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" sheetId="19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stage_hints!$C$1:$N$2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C21" i="19"/>
  <c r="K21" i="19"/>
  <c r="H21" i="19"/>
  <c r="G21" i="19"/>
  <c r="E21" i="19"/>
  <c r="D21" i="19"/>
  <c r="A21" i="19"/>
  <c r="C20" i="19"/>
  <c r="K20" i="19"/>
  <c r="H20" i="19"/>
  <c r="G20" i="19"/>
  <c r="E20" i="19"/>
  <c r="D20" i="19"/>
  <c r="A20" i="19"/>
  <c r="C19" i="19"/>
  <c r="K19" i="19"/>
  <c r="H19" i="19"/>
  <c r="G19" i="19"/>
  <c r="E19" i="19"/>
  <c r="D19" i="19"/>
  <c r="A19" i="19"/>
  <c r="C18" i="19"/>
  <c r="K18" i="19"/>
  <c r="H18" i="19"/>
  <c r="G18" i="19"/>
  <c r="E18" i="19"/>
  <c r="D18" i="19"/>
  <c r="A18" i="19"/>
  <c r="C17" i="19"/>
  <c r="K17" i="19"/>
  <c r="H17" i="19"/>
  <c r="G17" i="19"/>
  <c r="E17" i="19"/>
  <c r="D17" i="19"/>
  <c r="A17" i="19"/>
  <c r="C16" i="19"/>
  <c r="K16" i="19"/>
  <c r="H16" i="19"/>
  <c r="G16" i="19"/>
  <c r="E16" i="19"/>
  <c r="D16" i="19"/>
  <c r="A16" i="19"/>
  <c r="C15" i="19"/>
  <c r="K15" i="19"/>
  <c r="H15" i="19"/>
  <c r="G15" i="19"/>
  <c r="E15" i="19"/>
  <c r="D15" i="19"/>
  <c r="A15" i="19"/>
  <c r="C14" i="19"/>
  <c r="K14" i="19"/>
  <c r="H14" i="19"/>
  <c r="G14" i="19"/>
  <c r="E14" i="19"/>
  <c r="D14" i="19"/>
  <c r="A14" i="19"/>
  <c r="C13" i="19"/>
  <c r="K13" i="19"/>
  <c r="H13" i="19"/>
  <c r="G13" i="19"/>
  <c r="E13" i="19"/>
  <c r="D13" i="19"/>
  <c r="A13" i="19"/>
  <c r="C11" i="19"/>
  <c r="K11" i="19"/>
  <c r="H11" i="19"/>
  <c r="G11" i="19"/>
  <c r="E11" i="19"/>
  <c r="D11" i="19"/>
  <c r="A11" i="19"/>
  <c r="C10" i="19"/>
  <c r="K10" i="19"/>
  <c r="H10" i="19"/>
  <c r="G10" i="19"/>
  <c r="E10" i="19"/>
  <c r="D10" i="19"/>
  <c r="A10" i="19"/>
  <c r="C9" i="19"/>
  <c r="K9" i="19"/>
  <c r="H9" i="19"/>
  <c r="G9" i="19"/>
  <c r="E9" i="19"/>
  <c r="D9" i="19"/>
  <c r="A9" i="19"/>
  <c r="C8" i="19"/>
  <c r="K8" i="19"/>
  <c r="H8" i="19"/>
  <c r="G8" i="19"/>
  <c r="E8" i="19"/>
  <c r="D8" i="19"/>
  <c r="A8" i="19"/>
  <c r="C7" i="19"/>
  <c r="K7" i="19"/>
  <c r="H7" i="19"/>
  <c r="G7" i="19"/>
  <c r="E7" i="19"/>
  <c r="D7" i="19"/>
  <c r="A7" i="19"/>
  <c r="C6" i="19"/>
  <c r="K6" i="19"/>
  <c r="H6" i="19"/>
  <c r="G6" i="19"/>
  <c r="E6" i="19"/>
  <c r="D6" i="19"/>
  <c r="A6" i="19"/>
  <c r="C12" i="19"/>
  <c r="A12" i="19"/>
  <c r="D12" i="19"/>
  <c r="E12" i="19"/>
  <c r="G12" i="19"/>
  <c r="H12" i="19"/>
  <c r="K12" i="19"/>
  <c r="J32" i="11"/>
  <c r="O20" i="9"/>
  <c r="N20" i="9"/>
  <c r="M20" i="9"/>
  <c r="L20" i="9"/>
  <c r="K20" i="9"/>
  <c r="J20" i="9"/>
  <c r="I20" i="9"/>
  <c r="H20" i="9"/>
  <c r="G20" i="9"/>
  <c r="E20" i="9"/>
  <c r="D20" i="9"/>
  <c r="A20" i="9"/>
  <c r="C5" i="19"/>
  <c r="K5" i="19"/>
  <c r="H5" i="19"/>
  <c r="G5" i="19"/>
  <c r="E5" i="19"/>
  <c r="D5" i="19"/>
  <c r="A5" i="19"/>
  <c r="C4" i="19"/>
  <c r="K4" i="19"/>
  <c r="H4" i="19"/>
  <c r="G4" i="19"/>
  <c r="E4" i="19"/>
  <c r="D4" i="19"/>
  <c r="A4" i="19"/>
  <c r="C3" i="19"/>
  <c r="K3" i="19"/>
  <c r="H3" i="19"/>
  <c r="G3" i="19"/>
  <c r="E3" i="19"/>
  <c r="D3" i="19"/>
  <c r="A3" i="19"/>
  <c r="J14" i="11"/>
  <c r="O8" i="9"/>
  <c r="N8" i="9"/>
  <c r="M8" i="9"/>
  <c r="L8" i="9"/>
  <c r="K8" i="9"/>
  <c r="J8" i="9"/>
  <c r="I8" i="9"/>
  <c r="H8" i="9"/>
  <c r="G8" i="9"/>
  <c r="E8" i="9"/>
  <c r="D8" i="9"/>
  <c r="A8" i="9"/>
  <c r="A2" i="18"/>
  <c r="C2" i="18"/>
  <c r="D2" i="18"/>
  <c r="C2" i="16"/>
  <c r="C9" i="16"/>
  <c r="C10" i="16"/>
  <c r="C11" i="16"/>
  <c r="E11" i="16"/>
  <c r="E10" i="16"/>
  <c r="C2" i="19"/>
  <c r="K2" i="19"/>
  <c r="H2" i="19"/>
  <c r="G2" i="19"/>
  <c r="E2" i="19"/>
  <c r="D2" i="19"/>
  <c r="A2" i="19"/>
  <c r="J35" i="11"/>
  <c r="O22" i="9"/>
  <c r="N22" i="9"/>
  <c r="M22" i="9"/>
  <c r="L22" i="9"/>
  <c r="K22" i="9"/>
  <c r="J22" i="9"/>
  <c r="I22" i="9"/>
  <c r="H22" i="9"/>
  <c r="G22" i="9"/>
  <c r="E22" i="9"/>
  <c r="D22" i="9"/>
  <c r="A22" i="9"/>
  <c r="L34" i="10"/>
  <c r="S34" i="10"/>
  <c r="V34" i="10"/>
  <c r="U34" i="10"/>
  <c r="W34" i="10"/>
  <c r="T34" i="10"/>
  <c r="X34" i="10"/>
  <c r="J36" i="11"/>
  <c r="O23" i="9"/>
  <c r="N23" i="9"/>
  <c r="M23" i="9"/>
  <c r="L23" i="9"/>
  <c r="K23" i="9"/>
  <c r="J23" i="9"/>
  <c r="I23" i="9"/>
  <c r="H23" i="9"/>
  <c r="G23" i="9"/>
  <c r="E23" i="9"/>
  <c r="D23" i="9"/>
  <c r="A23" i="9"/>
  <c r="J34" i="11"/>
  <c r="O21" i="9"/>
  <c r="N21" i="9"/>
  <c r="M21" i="9"/>
  <c r="L21" i="9"/>
  <c r="K21" i="9"/>
  <c r="J21" i="9"/>
  <c r="I21" i="9"/>
  <c r="H21" i="9"/>
  <c r="G21" i="9"/>
  <c r="E21" i="9"/>
  <c r="D21" i="9"/>
  <c r="A21" i="9"/>
  <c r="J37" i="11"/>
  <c r="L37" i="10"/>
  <c r="S37" i="10"/>
  <c r="V37" i="10"/>
  <c r="U37" i="10"/>
  <c r="W37" i="10"/>
  <c r="T37" i="10"/>
  <c r="X37" i="10"/>
  <c r="M37" i="10"/>
  <c r="P37" i="10"/>
  <c r="O37" i="10"/>
  <c r="Q37" i="10"/>
  <c r="N37" i="10"/>
  <c r="R37" i="10"/>
  <c r="F37" i="10"/>
  <c r="I37" i="10"/>
  <c r="H37" i="10"/>
  <c r="J37" i="10"/>
  <c r="G37" i="10"/>
  <c r="K37" i="10"/>
  <c r="L36" i="10"/>
  <c r="S36" i="10"/>
  <c r="V36" i="10"/>
  <c r="U36" i="10"/>
  <c r="W36" i="10"/>
  <c r="T36" i="10"/>
  <c r="X36" i="10"/>
  <c r="M36" i="10"/>
  <c r="P36" i="10"/>
  <c r="O36" i="10"/>
  <c r="Q36" i="10"/>
  <c r="N36" i="10"/>
  <c r="R36" i="10"/>
  <c r="F36" i="10"/>
  <c r="I36" i="10"/>
  <c r="H36" i="10"/>
  <c r="J36" i="10"/>
  <c r="G36" i="10"/>
  <c r="K36" i="10"/>
  <c r="L35" i="10"/>
  <c r="S35" i="10"/>
  <c r="V35" i="10"/>
  <c r="U35" i="10"/>
  <c r="W35" i="10"/>
  <c r="T35" i="10"/>
  <c r="X35" i="10"/>
  <c r="M35" i="10"/>
  <c r="P35" i="10"/>
  <c r="O35" i="10"/>
  <c r="Q35" i="10"/>
  <c r="N35" i="10"/>
  <c r="R35" i="10"/>
  <c r="F35" i="10"/>
  <c r="I35" i="10"/>
  <c r="H35" i="10"/>
  <c r="J35" i="10"/>
  <c r="G35" i="10"/>
  <c r="K35" i="10"/>
  <c r="M34" i="10"/>
  <c r="P34" i="10"/>
  <c r="O34" i="10"/>
  <c r="Q34" i="10"/>
  <c r="N34" i="10"/>
  <c r="R34" i="10"/>
  <c r="F34" i="10"/>
  <c r="I34" i="10"/>
  <c r="H34" i="10"/>
  <c r="J34" i="10"/>
  <c r="G34" i="10"/>
  <c r="K34" i="10"/>
  <c r="AB2" i="1"/>
  <c r="AD2" i="1"/>
  <c r="AG2" i="1"/>
  <c r="AE2" i="1"/>
  <c r="AC2" i="1"/>
  <c r="V2" i="1"/>
  <c r="Q2" i="1"/>
  <c r="P2" i="1"/>
  <c r="O2" i="1"/>
  <c r="N2" i="1"/>
  <c r="M2" i="1"/>
  <c r="H2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2" i="1"/>
  <c r="I2" i="1"/>
  <c r="D2" i="1"/>
  <c r="F2" i="1"/>
  <c r="E2" i="1"/>
  <c r="A2" i="1"/>
  <c r="AB7" i="1"/>
  <c r="AD7" i="1"/>
  <c r="AG7" i="1"/>
  <c r="AE7" i="1"/>
  <c r="AC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H2" i="2"/>
  <c r="E2" i="2"/>
  <c r="D2" i="2"/>
  <c r="H3" i="1"/>
  <c r="H4" i="1"/>
  <c r="H5" i="1"/>
  <c r="H6" i="1"/>
  <c r="H8" i="1"/>
  <c r="H9" i="1"/>
  <c r="H10" i="1"/>
  <c r="H11" i="1"/>
  <c r="B2" i="2"/>
  <c r="H6" i="2"/>
  <c r="E6" i="2"/>
  <c r="D6" i="2"/>
  <c r="B6" i="2"/>
  <c r="J13" i="11"/>
  <c r="O7" i="9"/>
  <c r="N7" i="9"/>
  <c r="M7" i="9"/>
  <c r="L7" i="9"/>
  <c r="K7" i="9"/>
  <c r="J7" i="9"/>
  <c r="I7" i="9"/>
  <c r="H7" i="9"/>
  <c r="G7" i="9"/>
  <c r="E7" i="9"/>
  <c r="D7" i="9"/>
  <c r="A7" i="9"/>
  <c r="J33" i="11"/>
  <c r="J31" i="11"/>
  <c r="O19" i="9"/>
  <c r="N19" i="9"/>
  <c r="M19" i="9"/>
  <c r="L19" i="9"/>
  <c r="K19" i="9"/>
  <c r="J19" i="9"/>
  <c r="I19" i="9"/>
  <c r="H19" i="9"/>
  <c r="G19" i="9"/>
  <c r="E19" i="9"/>
  <c r="D19" i="9"/>
  <c r="A19" i="9"/>
  <c r="J30" i="11"/>
  <c r="O18" i="9"/>
  <c r="N18" i="9"/>
  <c r="M18" i="9"/>
  <c r="L18" i="9"/>
  <c r="K18" i="9"/>
  <c r="J18" i="9"/>
  <c r="I18" i="9"/>
  <c r="H18" i="9"/>
  <c r="G18" i="9"/>
  <c r="E18" i="9"/>
  <c r="D18" i="9"/>
  <c r="A18" i="9"/>
  <c r="J29" i="11"/>
  <c r="O17" i="9"/>
  <c r="N17" i="9"/>
  <c r="M17" i="9"/>
  <c r="L17" i="9"/>
  <c r="K17" i="9"/>
  <c r="J17" i="9"/>
  <c r="I17" i="9"/>
  <c r="H17" i="9"/>
  <c r="G17" i="9"/>
  <c r="E17" i="9"/>
  <c r="D17" i="9"/>
  <c r="A17" i="9"/>
  <c r="J28" i="11"/>
  <c r="O16" i="9"/>
  <c r="N16" i="9"/>
  <c r="M16" i="9"/>
  <c r="L16" i="9"/>
  <c r="K16" i="9"/>
  <c r="J16" i="9"/>
  <c r="I16" i="9"/>
  <c r="H16" i="9"/>
  <c r="G16" i="9"/>
  <c r="E16" i="9"/>
  <c r="D16" i="9"/>
  <c r="A16" i="9"/>
  <c r="J27" i="11"/>
  <c r="J26" i="11"/>
  <c r="J25" i="11"/>
  <c r="J24" i="11"/>
  <c r="O15" i="9"/>
  <c r="N15" i="9"/>
  <c r="M15" i="9"/>
  <c r="L15" i="9"/>
  <c r="K15" i="9"/>
  <c r="J15" i="9"/>
  <c r="I15" i="9"/>
  <c r="H15" i="9"/>
  <c r="G15" i="9"/>
  <c r="E15" i="9"/>
  <c r="D15" i="9"/>
  <c r="A15" i="9"/>
  <c r="J23" i="11"/>
  <c r="O14" i="9"/>
  <c r="N14" i="9"/>
  <c r="M14" i="9"/>
  <c r="L14" i="9"/>
  <c r="K14" i="9"/>
  <c r="J14" i="9"/>
  <c r="I14" i="9"/>
  <c r="H14" i="9"/>
  <c r="G14" i="9"/>
  <c r="E14" i="9"/>
  <c r="D14" i="9"/>
  <c r="A14" i="9"/>
  <c r="J22" i="11"/>
  <c r="O13" i="9"/>
  <c r="N13" i="9"/>
  <c r="M13" i="9"/>
  <c r="L13" i="9"/>
  <c r="K13" i="9"/>
  <c r="J13" i="9"/>
  <c r="I13" i="9"/>
  <c r="H13" i="9"/>
  <c r="G13" i="9"/>
  <c r="E13" i="9"/>
  <c r="D13" i="9"/>
  <c r="A13" i="9"/>
  <c r="J21" i="11"/>
  <c r="O12" i="9"/>
  <c r="N12" i="9"/>
  <c r="M12" i="9"/>
  <c r="L12" i="9"/>
  <c r="K12" i="9"/>
  <c r="J12" i="9"/>
  <c r="I12" i="9"/>
  <c r="H12" i="9"/>
  <c r="G12" i="9"/>
  <c r="E12" i="9"/>
  <c r="D12" i="9"/>
  <c r="A12" i="9"/>
  <c r="J20" i="11"/>
  <c r="J19" i="11"/>
  <c r="J18" i="11"/>
  <c r="J17" i="11"/>
  <c r="O11" i="9"/>
  <c r="N11" i="9"/>
  <c r="M11" i="9"/>
  <c r="L11" i="9"/>
  <c r="K11" i="9"/>
  <c r="J11" i="9"/>
  <c r="I11" i="9"/>
  <c r="H11" i="9"/>
  <c r="G11" i="9"/>
  <c r="E11" i="9"/>
  <c r="D11" i="9"/>
  <c r="A11" i="9"/>
  <c r="J16" i="11"/>
  <c r="O10" i="9"/>
  <c r="N10" i="9"/>
  <c r="M10" i="9"/>
  <c r="L10" i="9"/>
  <c r="K10" i="9"/>
  <c r="J10" i="9"/>
  <c r="I10" i="9"/>
  <c r="H10" i="9"/>
  <c r="G10" i="9"/>
  <c r="E10" i="9"/>
  <c r="D10" i="9"/>
  <c r="A10" i="9"/>
  <c r="J15" i="11"/>
  <c r="O9" i="9"/>
  <c r="N9" i="9"/>
  <c r="M9" i="9"/>
  <c r="L9" i="9"/>
  <c r="K9" i="9"/>
  <c r="J9" i="9"/>
  <c r="I9" i="9"/>
  <c r="H9" i="9"/>
  <c r="G9" i="9"/>
  <c r="E9" i="9"/>
  <c r="D9" i="9"/>
  <c r="A9" i="9"/>
  <c r="J12" i="11"/>
  <c r="O6" i="9"/>
  <c r="N6" i="9"/>
  <c r="M6" i="9"/>
  <c r="L6" i="9"/>
  <c r="K6" i="9"/>
  <c r="J6" i="9"/>
  <c r="I6" i="9"/>
  <c r="H6" i="9"/>
  <c r="G6" i="9"/>
  <c r="E6" i="9"/>
  <c r="D6" i="9"/>
  <c r="A6" i="9"/>
  <c r="J11" i="11"/>
  <c r="J10" i="11"/>
  <c r="O5" i="9"/>
  <c r="N5" i="9"/>
  <c r="M5" i="9"/>
  <c r="L5" i="9"/>
  <c r="K5" i="9"/>
  <c r="J5" i="9"/>
  <c r="I5" i="9"/>
  <c r="H5" i="9"/>
  <c r="G5" i="9"/>
  <c r="E5" i="9"/>
  <c r="D5" i="9"/>
  <c r="A5" i="9"/>
  <c r="J9" i="11"/>
  <c r="J8" i="11"/>
  <c r="O4" i="9"/>
  <c r="N4" i="9"/>
  <c r="M4" i="9"/>
  <c r="L4" i="9"/>
  <c r="K4" i="9"/>
  <c r="J4" i="9"/>
  <c r="I4" i="9"/>
  <c r="H4" i="9"/>
  <c r="G4" i="9"/>
  <c r="E4" i="9"/>
  <c r="D4" i="9"/>
  <c r="A4" i="9"/>
  <c r="J7" i="11"/>
  <c r="O3" i="9"/>
  <c r="N3" i="9"/>
  <c r="M3" i="9"/>
  <c r="L3" i="9"/>
  <c r="K3" i="9"/>
  <c r="J3" i="9"/>
  <c r="I3" i="9"/>
  <c r="H3" i="9"/>
  <c r="G3" i="9"/>
  <c r="E3" i="9"/>
  <c r="D3" i="9"/>
  <c r="A3" i="9"/>
  <c r="J6" i="11"/>
  <c r="O2" i="9"/>
  <c r="N2" i="9"/>
  <c r="M2" i="9"/>
  <c r="L2" i="9"/>
  <c r="K2" i="9"/>
  <c r="J2" i="9"/>
  <c r="I2" i="9"/>
  <c r="H2" i="9"/>
  <c r="G2" i="9"/>
  <c r="E2" i="9"/>
  <c r="D2" i="9"/>
  <c r="A2" i="9"/>
  <c r="J5" i="11"/>
  <c r="J4" i="11"/>
  <c r="J3" i="11"/>
  <c r="L33" i="10"/>
  <c r="S33" i="10"/>
  <c r="V33" i="10"/>
  <c r="U33" i="10"/>
  <c r="W33" i="10"/>
  <c r="T33" i="10"/>
  <c r="X33" i="10"/>
  <c r="M33" i="10"/>
  <c r="P33" i="10"/>
  <c r="O33" i="10"/>
  <c r="Q33" i="10"/>
  <c r="N33" i="10"/>
  <c r="R33" i="10"/>
  <c r="F33" i="10"/>
  <c r="I33" i="10"/>
  <c r="H33" i="10"/>
  <c r="J33" i="10"/>
  <c r="G33" i="10"/>
  <c r="K33" i="10"/>
  <c r="L32" i="10"/>
  <c r="S32" i="10"/>
  <c r="V32" i="10"/>
  <c r="U32" i="10"/>
  <c r="W32" i="10"/>
  <c r="T32" i="10"/>
  <c r="X32" i="10"/>
  <c r="M32" i="10"/>
  <c r="P32" i="10"/>
  <c r="O32" i="10"/>
  <c r="Q32" i="10"/>
  <c r="N32" i="10"/>
  <c r="R32" i="10"/>
  <c r="F32" i="10"/>
  <c r="I32" i="10"/>
  <c r="H32" i="10"/>
  <c r="J32" i="10"/>
  <c r="G32" i="10"/>
  <c r="K32" i="10"/>
  <c r="L31" i="10"/>
  <c r="S31" i="10"/>
  <c r="V31" i="10"/>
  <c r="U31" i="10"/>
  <c r="W31" i="10"/>
  <c r="T31" i="10"/>
  <c r="X31" i="10"/>
  <c r="M31" i="10"/>
  <c r="P31" i="10"/>
  <c r="O31" i="10"/>
  <c r="Q31" i="10"/>
  <c r="N31" i="10"/>
  <c r="R31" i="10"/>
  <c r="F31" i="10"/>
  <c r="I31" i="10"/>
  <c r="H31" i="10"/>
  <c r="J31" i="10"/>
  <c r="G31" i="10"/>
  <c r="K31" i="10"/>
  <c r="L30" i="10"/>
  <c r="S30" i="10"/>
  <c r="V30" i="10"/>
  <c r="U30" i="10"/>
  <c r="W30" i="10"/>
  <c r="T30" i="10"/>
  <c r="X30" i="10"/>
  <c r="M30" i="10"/>
  <c r="P30" i="10"/>
  <c r="O30" i="10"/>
  <c r="Q30" i="10"/>
  <c r="N30" i="10"/>
  <c r="R30" i="10"/>
  <c r="F30" i="10"/>
  <c r="I30" i="10"/>
  <c r="H30" i="10"/>
  <c r="J30" i="10"/>
  <c r="G30" i="10"/>
  <c r="K30" i="10"/>
  <c r="L29" i="10"/>
  <c r="S29" i="10"/>
  <c r="V29" i="10"/>
  <c r="U29" i="10"/>
  <c r="W29" i="10"/>
  <c r="T29" i="10"/>
  <c r="X29" i="10"/>
  <c r="M29" i="10"/>
  <c r="P29" i="10"/>
  <c r="O29" i="10"/>
  <c r="Q29" i="10"/>
  <c r="N29" i="10"/>
  <c r="R29" i="10"/>
  <c r="F29" i="10"/>
  <c r="I29" i="10"/>
  <c r="H29" i="10"/>
  <c r="J29" i="10"/>
  <c r="G29" i="10"/>
  <c r="K29" i="10"/>
  <c r="L28" i="10"/>
  <c r="S28" i="10"/>
  <c r="V28" i="10"/>
  <c r="U28" i="10"/>
  <c r="W28" i="10"/>
  <c r="T28" i="10"/>
  <c r="X28" i="10"/>
  <c r="M28" i="10"/>
  <c r="P28" i="10"/>
  <c r="O28" i="10"/>
  <c r="Q28" i="10"/>
  <c r="N28" i="10"/>
  <c r="R28" i="10"/>
  <c r="F28" i="10"/>
  <c r="I28" i="10"/>
  <c r="H28" i="10"/>
  <c r="J28" i="10"/>
  <c r="G28" i="10"/>
  <c r="K28" i="10"/>
  <c r="L27" i="10"/>
  <c r="S27" i="10"/>
  <c r="V27" i="10"/>
  <c r="U27" i="10"/>
  <c r="W27" i="10"/>
  <c r="T27" i="10"/>
  <c r="X27" i="10"/>
  <c r="M27" i="10"/>
  <c r="P27" i="10"/>
  <c r="O27" i="10"/>
  <c r="Q27" i="10"/>
  <c r="N27" i="10"/>
  <c r="R27" i="10"/>
  <c r="F27" i="10"/>
  <c r="I27" i="10"/>
  <c r="H27" i="10"/>
  <c r="J27" i="10"/>
  <c r="G27" i="10"/>
  <c r="K27" i="10"/>
  <c r="L26" i="10"/>
  <c r="S26" i="10"/>
  <c r="V26" i="10"/>
  <c r="U26" i="10"/>
  <c r="W26" i="10"/>
  <c r="T26" i="10"/>
  <c r="X26" i="10"/>
  <c r="M26" i="10"/>
  <c r="P26" i="10"/>
  <c r="O26" i="10"/>
  <c r="Q26" i="10"/>
  <c r="N26" i="10"/>
  <c r="R26" i="10"/>
  <c r="F26" i="10"/>
  <c r="I26" i="10"/>
  <c r="H26" i="10"/>
  <c r="J26" i="10"/>
  <c r="G26" i="10"/>
  <c r="K26" i="10"/>
  <c r="L25" i="10"/>
  <c r="S25" i="10"/>
  <c r="V25" i="10"/>
  <c r="U25" i="10"/>
  <c r="W25" i="10"/>
  <c r="T25" i="10"/>
  <c r="X25" i="10"/>
  <c r="M25" i="10"/>
  <c r="P25" i="10"/>
  <c r="O25" i="10"/>
  <c r="Q25" i="10"/>
  <c r="N25" i="10"/>
  <c r="R25" i="10"/>
  <c r="F25" i="10"/>
  <c r="I25" i="10"/>
  <c r="H25" i="10"/>
  <c r="J25" i="10"/>
  <c r="G25" i="10"/>
  <c r="K25" i="10"/>
  <c r="L24" i="10"/>
  <c r="S24" i="10"/>
  <c r="V24" i="10"/>
  <c r="U24" i="10"/>
  <c r="W24" i="10"/>
  <c r="T24" i="10"/>
  <c r="X24" i="10"/>
  <c r="M24" i="10"/>
  <c r="P24" i="10"/>
  <c r="O24" i="10"/>
  <c r="Q24" i="10"/>
  <c r="N24" i="10"/>
  <c r="R24" i="10"/>
  <c r="F24" i="10"/>
  <c r="I24" i="10"/>
  <c r="H24" i="10"/>
  <c r="J24" i="10"/>
  <c r="G24" i="10"/>
  <c r="K24" i="10"/>
  <c r="L23" i="10"/>
  <c r="S23" i="10"/>
  <c r="V23" i="10"/>
  <c r="U23" i="10"/>
  <c r="W23" i="10"/>
  <c r="T23" i="10"/>
  <c r="X23" i="10"/>
  <c r="M23" i="10"/>
  <c r="P23" i="10"/>
  <c r="O23" i="10"/>
  <c r="Q23" i="10"/>
  <c r="N23" i="10"/>
  <c r="R23" i="10"/>
  <c r="F23" i="10"/>
  <c r="I23" i="10"/>
  <c r="H23" i="10"/>
  <c r="J23" i="10"/>
  <c r="G23" i="10"/>
  <c r="K23" i="10"/>
  <c r="L22" i="10"/>
  <c r="S22" i="10"/>
  <c r="V22" i="10"/>
  <c r="U22" i="10"/>
  <c r="W22" i="10"/>
  <c r="T22" i="10"/>
  <c r="X22" i="10"/>
  <c r="M22" i="10"/>
  <c r="P22" i="10"/>
  <c r="O22" i="10"/>
  <c r="Q22" i="10"/>
  <c r="N22" i="10"/>
  <c r="R22" i="10"/>
  <c r="F22" i="10"/>
  <c r="I22" i="10"/>
  <c r="H22" i="10"/>
  <c r="J22" i="10"/>
  <c r="G22" i="10"/>
  <c r="K22" i="10"/>
  <c r="L21" i="10"/>
  <c r="S21" i="10"/>
  <c r="V21" i="10"/>
  <c r="U21" i="10"/>
  <c r="W21" i="10"/>
  <c r="T21" i="10"/>
  <c r="X21" i="10"/>
  <c r="M21" i="10"/>
  <c r="P21" i="10"/>
  <c r="O21" i="10"/>
  <c r="Q21" i="10"/>
  <c r="N21" i="10"/>
  <c r="R21" i="10"/>
  <c r="F21" i="10"/>
  <c r="I21" i="10"/>
  <c r="H21" i="10"/>
  <c r="J21" i="10"/>
  <c r="G21" i="10"/>
  <c r="K21" i="10"/>
  <c r="L20" i="10"/>
  <c r="S20" i="10"/>
  <c r="V20" i="10"/>
  <c r="U20" i="10"/>
  <c r="W20" i="10"/>
  <c r="T20" i="10"/>
  <c r="X20" i="10"/>
  <c r="M20" i="10"/>
  <c r="P20" i="10"/>
  <c r="O20" i="10"/>
  <c r="Q20" i="10"/>
  <c r="N20" i="10"/>
  <c r="R20" i="10"/>
  <c r="F20" i="10"/>
  <c r="I20" i="10"/>
  <c r="H20" i="10"/>
  <c r="J20" i="10"/>
  <c r="G20" i="10"/>
  <c r="K20" i="10"/>
  <c r="L19" i="10"/>
  <c r="S19" i="10"/>
  <c r="V19" i="10"/>
  <c r="U19" i="10"/>
  <c r="W19" i="10"/>
  <c r="T19" i="10"/>
  <c r="X19" i="10"/>
  <c r="M19" i="10"/>
  <c r="P19" i="10"/>
  <c r="O19" i="10"/>
  <c r="Q19" i="10"/>
  <c r="N19" i="10"/>
  <c r="R19" i="10"/>
  <c r="F19" i="10"/>
  <c r="I19" i="10"/>
  <c r="H19" i="10"/>
  <c r="J19" i="10"/>
  <c r="G19" i="10"/>
  <c r="K19" i="10"/>
  <c r="L18" i="10"/>
  <c r="S18" i="10"/>
  <c r="V18" i="10"/>
  <c r="U18" i="10"/>
  <c r="W18" i="10"/>
  <c r="T18" i="10"/>
  <c r="X18" i="10"/>
  <c r="M18" i="10"/>
  <c r="P18" i="10"/>
  <c r="O18" i="10"/>
  <c r="Q18" i="10"/>
  <c r="N18" i="10"/>
  <c r="R18" i="10"/>
  <c r="F18" i="10"/>
  <c r="I18" i="10"/>
  <c r="H18" i="10"/>
  <c r="J18" i="10"/>
  <c r="G18" i="10"/>
  <c r="K18" i="10"/>
  <c r="L17" i="10"/>
  <c r="S17" i="10"/>
  <c r="V17" i="10"/>
  <c r="U17" i="10"/>
  <c r="W17" i="10"/>
  <c r="T17" i="10"/>
  <c r="X17" i="10"/>
  <c r="M17" i="10"/>
  <c r="P17" i="10"/>
  <c r="O17" i="10"/>
  <c r="Q17" i="10"/>
  <c r="N17" i="10"/>
  <c r="R17" i="10"/>
  <c r="F17" i="10"/>
  <c r="I17" i="10"/>
  <c r="H17" i="10"/>
  <c r="J17" i="10"/>
  <c r="G17" i="10"/>
  <c r="K17" i="10"/>
  <c r="L16" i="10"/>
  <c r="S16" i="10"/>
  <c r="V16" i="10"/>
  <c r="U16" i="10"/>
  <c r="W16" i="10"/>
  <c r="T16" i="10"/>
  <c r="X16" i="10"/>
  <c r="M16" i="10"/>
  <c r="P16" i="10"/>
  <c r="O16" i="10"/>
  <c r="Q16" i="10"/>
  <c r="N16" i="10"/>
  <c r="R16" i="10"/>
  <c r="F16" i="10"/>
  <c r="I16" i="10"/>
  <c r="H16" i="10"/>
  <c r="J16" i="10"/>
  <c r="G16" i="10"/>
  <c r="K16" i="10"/>
  <c r="L15" i="10"/>
  <c r="S15" i="10"/>
  <c r="V15" i="10"/>
  <c r="U15" i="10"/>
  <c r="W15" i="10"/>
  <c r="T15" i="10"/>
  <c r="X15" i="10"/>
  <c r="M15" i="10"/>
  <c r="P15" i="10"/>
  <c r="O15" i="10"/>
  <c r="Q15" i="10"/>
  <c r="N15" i="10"/>
  <c r="R15" i="10"/>
  <c r="F15" i="10"/>
  <c r="I15" i="10"/>
  <c r="H15" i="10"/>
  <c r="J15" i="10"/>
  <c r="G15" i="10"/>
  <c r="K15" i="10"/>
  <c r="L14" i="10"/>
  <c r="S14" i="10"/>
  <c r="V14" i="10"/>
  <c r="U14" i="10"/>
  <c r="W14" i="10"/>
  <c r="T14" i="10"/>
  <c r="X14" i="10"/>
  <c r="M14" i="10"/>
  <c r="P14" i="10"/>
  <c r="O14" i="10"/>
  <c r="Q14" i="10"/>
  <c r="N14" i="10"/>
  <c r="R14" i="10"/>
  <c r="F14" i="10"/>
  <c r="I14" i="10"/>
  <c r="H14" i="10"/>
  <c r="J14" i="10"/>
  <c r="G14" i="10"/>
  <c r="K14" i="10"/>
  <c r="L13" i="10"/>
  <c r="S13" i="10"/>
  <c r="V13" i="10"/>
  <c r="U13" i="10"/>
  <c r="W13" i="10"/>
  <c r="T13" i="10"/>
  <c r="X13" i="10"/>
  <c r="M13" i="10"/>
  <c r="P13" i="10"/>
  <c r="O13" i="10"/>
  <c r="Q13" i="10"/>
  <c r="N13" i="10"/>
  <c r="R13" i="10"/>
  <c r="F13" i="10"/>
  <c r="I13" i="10"/>
  <c r="H13" i="10"/>
  <c r="J13" i="10"/>
  <c r="G13" i="10"/>
  <c r="K13" i="10"/>
  <c r="L12" i="10"/>
  <c r="S12" i="10"/>
  <c r="V12" i="10"/>
  <c r="U12" i="10"/>
  <c r="W12" i="10"/>
  <c r="T12" i="10"/>
  <c r="X12" i="10"/>
  <c r="M12" i="10"/>
  <c r="P12" i="10"/>
  <c r="O12" i="10"/>
  <c r="Q12" i="10"/>
  <c r="N12" i="10"/>
  <c r="R12" i="10"/>
  <c r="F12" i="10"/>
  <c r="I12" i="10"/>
  <c r="H12" i="10"/>
  <c r="J12" i="10"/>
  <c r="G12" i="10"/>
  <c r="K12" i="10"/>
  <c r="L11" i="10"/>
  <c r="S11" i="10"/>
  <c r="V11" i="10"/>
  <c r="U11" i="10"/>
  <c r="W11" i="10"/>
  <c r="T11" i="10"/>
  <c r="X11" i="10"/>
  <c r="M11" i="10"/>
  <c r="P11" i="10"/>
  <c r="O11" i="10"/>
  <c r="Q11" i="10"/>
  <c r="N11" i="10"/>
  <c r="R11" i="10"/>
  <c r="F11" i="10"/>
  <c r="I11" i="10"/>
  <c r="H11" i="10"/>
  <c r="J11" i="10"/>
  <c r="G11" i="10"/>
  <c r="K11" i="10"/>
  <c r="L10" i="10"/>
  <c r="S10" i="10"/>
  <c r="V10" i="10"/>
  <c r="U10" i="10"/>
  <c r="W10" i="10"/>
  <c r="T10" i="10"/>
  <c r="X10" i="10"/>
  <c r="M10" i="10"/>
  <c r="P10" i="10"/>
  <c r="O10" i="10"/>
  <c r="Q10" i="10"/>
  <c r="N10" i="10"/>
  <c r="R10" i="10"/>
  <c r="F10" i="10"/>
  <c r="I10" i="10"/>
  <c r="H10" i="10"/>
  <c r="J10" i="10"/>
  <c r="G10" i="10"/>
  <c r="K10" i="10"/>
  <c r="L9" i="10"/>
  <c r="S9" i="10"/>
  <c r="V9" i="10"/>
  <c r="U9" i="10"/>
  <c r="W9" i="10"/>
  <c r="T9" i="10"/>
  <c r="X9" i="10"/>
  <c r="M9" i="10"/>
  <c r="P9" i="10"/>
  <c r="O9" i="10"/>
  <c r="Q9" i="10"/>
  <c r="N9" i="10"/>
  <c r="R9" i="10"/>
  <c r="F9" i="10"/>
  <c r="I9" i="10"/>
  <c r="H9" i="10"/>
  <c r="J9" i="10"/>
  <c r="G9" i="10"/>
  <c r="K9" i="10"/>
  <c r="L8" i="10"/>
  <c r="S8" i="10"/>
  <c r="V8" i="10"/>
  <c r="U8" i="10"/>
  <c r="W8" i="10"/>
  <c r="T8" i="10"/>
  <c r="X8" i="10"/>
  <c r="M8" i="10"/>
  <c r="P8" i="10"/>
  <c r="O8" i="10"/>
  <c r="Q8" i="10"/>
  <c r="N8" i="10"/>
  <c r="R8" i="10"/>
  <c r="F8" i="10"/>
  <c r="I8" i="10"/>
  <c r="H8" i="10"/>
  <c r="J8" i="10"/>
  <c r="G8" i="10"/>
  <c r="K8" i="10"/>
  <c r="L7" i="10"/>
  <c r="S7" i="10"/>
  <c r="V7" i="10"/>
  <c r="U7" i="10"/>
  <c r="W7" i="10"/>
  <c r="T7" i="10"/>
  <c r="X7" i="10"/>
  <c r="M7" i="10"/>
  <c r="P7" i="10"/>
  <c r="O7" i="10"/>
  <c r="Q7" i="10"/>
  <c r="N7" i="10"/>
  <c r="R7" i="10"/>
  <c r="F7" i="10"/>
  <c r="I7" i="10"/>
  <c r="H7" i="10"/>
  <c r="J7" i="10"/>
  <c r="G7" i="10"/>
  <c r="K7" i="10"/>
  <c r="L6" i="10"/>
  <c r="S6" i="10"/>
  <c r="V6" i="10"/>
  <c r="U6" i="10"/>
  <c r="W6" i="10"/>
  <c r="T6" i="10"/>
  <c r="X6" i="10"/>
  <c r="M6" i="10"/>
  <c r="P6" i="10"/>
  <c r="O6" i="10"/>
  <c r="Q6" i="10"/>
  <c r="N6" i="10"/>
  <c r="R6" i="10"/>
  <c r="F6" i="10"/>
  <c r="I6" i="10"/>
  <c r="H6" i="10"/>
  <c r="J6" i="10"/>
  <c r="G6" i="10"/>
  <c r="K6" i="10"/>
  <c r="L5" i="10"/>
  <c r="S5" i="10"/>
  <c r="V5" i="10"/>
  <c r="U5" i="10"/>
  <c r="W5" i="10"/>
  <c r="T5" i="10"/>
  <c r="X5" i="10"/>
  <c r="M5" i="10"/>
  <c r="P5" i="10"/>
  <c r="O5" i="10"/>
  <c r="Q5" i="10"/>
  <c r="N5" i="10"/>
  <c r="R5" i="10"/>
  <c r="F5" i="10"/>
  <c r="I5" i="10"/>
  <c r="H5" i="10"/>
  <c r="J5" i="10"/>
  <c r="G5" i="10"/>
  <c r="K5" i="10"/>
  <c r="L4" i="10"/>
  <c r="S4" i="10"/>
  <c r="V4" i="10"/>
  <c r="U4" i="10"/>
  <c r="W4" i="10"/>
  <c r="T4" i="10"/>
  <c r="X4" i="10"/>
  <c r="M4" i="10"/>
  <c r="P4" i="10"/>
  <c r="O4" i="10"/>
  <c r="Q4" i="10"/>
  <c r="N4" i="10"/>
  <c r="R4" i="10"/>
  <c r="F4" i="10"/>
  <c r="I4" i="10"/>
  <c r="H4" i="10"/>
  <c r="J4" i="10"/>
  <c r="G4" i="10"/>
  <c r="K4" i="10"/>
  <c r="L3" i="10"/>
  <c r="S3" i="10"/>
  <c r="V3" i="10"/>
  <c r="U3" i="10"/>
  <c r="W3" i="10"/>
  <c r="T3" i="10"/>
  <c r="X3" i="10"/>
  <c r="M3" i="10"/>
  <c r="P3" i="10"/>
  <c r="O3" i="10"/>
  <c r="Q3" i="10"/>
  <c r="N3" i="10"/>
  <c r="R3" i="10"/>
  <c r="F3" i="10"/>
  <c r="I3" i="10"/>
  <c r="H3" i="10"/>
  <c r="J3" i="10"/>
  <c r="G3" i="10"/>
  <c r="K3" i="10"/>
  <c r="W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R3" i="7"/>
  <c r="Q3" i="7"/>
  <c r="P3" i="7"/>
  <c r="O3" i="7"/>
  <c r="N3" i="7"/>
  <c r="H3" i="7"/>
  <c r="J3" i="7"/>
  <c r="I3" i="7"/>
  <c r="D3" i="7"/>
  <c r="F3" i="7"/>
  <c r="E3" i="7"/>
  <c r="A3" i="7"/>
  <c r="AD11" i="1"/>
  <c r="AG11" i="1"/>
  <c r="AE11" i="1"/>
  <c r="AC11" i="1"/>
  <c r="AA11" i="1"/>
  <c r="V11" i="1"/>
  <c r="Q11" i="1"/>
  <c r="P11" i="1"/>
  <c r="O11" i="1"/>
  <c r="N11" i="1"/>
  <c r="M11" i="1"/>
  <c r="J11" i="1"/>
  <c r="I11" i="1"/>
  <c r="D11" i="1"/>
  <c r="F11" i="1"/>
  <c r="E11" i="1"/>
  <c r="A11" i="1"/>
  <c r="AD10" i="1"/>
  <c r="AG10" i="1"/>
  <c r="AE10" i="1"/>
  <c r="AC10" i="1"/>
  <c r="AA10" i="1"/>
  <c r="V10" i="1"/>
  <c r="Q10" i="1"/>
  <c r="P10" i="1"/>
  <c r="O10" i="1"/>
  <c r="N10" i="1"/>
  <c r="M10" i="1"/>
  <c r="J10" i="1"/>
  <c r="I10" i="1"/>
  <c r="D10" i="1"/>
  <c r="F10" i="1"/>
  <c r="E10" i="1"/>
  <c r="A10" i="1"/>
  <c r="AD9" i="1"/>
  <c r="AG9" i="1"/>
  <c r="AE9" i="1"/>
  <c r="AC9" i="1"/>
  <c r="AA9" i="1"/>
  <c r="V9" i="1"/>
  <c r="Q9" i="1"/>
  <c r="P9" i="1"/>
  <c r="O9" i="1"/>
  <c r="N9" i="1"/>
  <c r="M9" i="1"/>
  <c r="J9" i="1"/>
  <c r="I9" i="1"/>
  <c r="D9" i="1"/>
  <c r="F9" i="1"/>
  <c r="E9" i="1"/>
  <c r="A9" i="1"/>
  <c r="AD8" i="1"/>
  <c r="AG8" i="1"/>
  <c r="AE8" i="1"/>
  <c r="AC8" i="1"/>
  <c r="AA8" i="1"/>
  <c r="V8" i="1"/>
  <c r="Q8" i="1"/>
  <c r="P8" i="1"/>
  <c r="O8" i="1"/>
  <c r="N8" i="1"/>
  <c r="M8" i="1"/>
  <c r="J8" i="1"/>
  <c r="I8" i="1"/>
  <c r="D8" i="1"/>
  <c r="F8" i="1"/>
  <c r="E8" i="1"/>
  <c r="A8" i="1"/>
  <c r="AD6" i="1"/>
  <c r="AG6" i="1"/>
  <c r="AE6" i="1"/>
  <c r="AC6" i="1"/>
  <c r="AA6" i="1"/>
  <c r="V6" i="1"/>
  <c r="Q6" i="1"/>
  <c r="P6" i="1"/>
  <c r="O6" i="1"/>
  <c r="N6" i="1"/>
  <c r="M6" i="1"/>
  <c r="J6" i="1"/>
  <c r="I6" i="1"/>
  <c r="D6" i="1"/>
  <c r="F6" i="1"/>
  <c r="E6" i="1"/>
  <c r="A6" i="1"/>
  <c r="AD5" i="1"/>
  <c r="AG5" i="1"/>
  <c r="AE5" i="1"/>
  <c r="AC5" i="1"/>
  <c r="AA5" i="1"/>
  <c r="V5" i="1"/>
  <c r="Q5" i="1"/>
  <c r="P5" i="1"/>
  <c r="N5" i="1"/>
  <c r="M5" i="1"/>
  <c r="J5" i="1"/>
  <c r="I5" i="1"/>
  <c r="D5" i="1"/>
  <c r="F5" i="1"/>
  <c r="E5" i="1"/>
  <c r="A5" i="1"/>
  <c r="AD4" i="1"/>
  <c r="AG4" i="1"/>
  <c r="AE4" i="1"/>
  <c r="AC4" i="1"/>
  <c r="AA4" i="1"/>
  <c r="V4" i="1"/>
  <c r="Q4" i="1"/>
  <c r="P4" i="1"/>
  <c r="O4" i="1"/>
  <c r="N4" i="1"/>
  <c r="M4" i="1"/>
  <c r="J4" i="1"/>
  <c r="I4" i="1"/>
  <c r="D4" i="1"/>
  <c r="F4" i="1"/>
  <c r="E4" i="1"/>
  <c r="A4" i="1"/>
  <c r="AD3" i="1"/>
  <c r="AG3" i="1"/>
  <c r="AE3" i="1"/>
  <c r="AC3" i="1"/>
  <c r="AA3" i="1"/>
  <c r="V3" i="1"/>
  <c r="Q3" i="1"/>
  <c r="P3" i="1"/>
  <c r="O3" i="1"/>
  <c r="N3" i="1"/>
  <c r="M3" i="1"/>
  <c r="J3" i="1"/>
  <c r="I3" i="1"/>
  <c r="D3" i="1"/>
  <c r="F3" i="1"/>
  <c r="E3" i="1"/>
  <c r="A3" i="1"/>
  <c r="H9" i="2"/>
  <c r="E9" i="2"/>
  <c r="D9" i="2"/>
  <c r="B9" i="2"/>
  <c r="H8" i="2"/>
  <c r="E8" i="2"/>
  <c r="D8" i="2"/>
  <c r="B8" i="2"/>
  <c r="H7" i="2"/>
  <c r="E7" i="2"/>
  <c r="D7" i="2"/>
  <c r="B7" i="2"/>
  <c r="H5" i="2"/>
  <c r="E5" i="2"/>
  <c r="D5" i="2"/>
  <c r="B5" i="2"/>
  <c r="H4" i="2"/>
  <c r="E4" i="2"/>
  <c r="D4" i="2"/>
  <c r="B4" i="2"/>
  <c r="C4" i="16"/>
  <c r="C5" i="16"/>
  <c r="C6" i="16"/>
  <c r="C7" i="16"/>
  <c r="C8" i="16"/>
  <c r="C3" i="16"/>
  <c r="E9" i="16"/>
  <c r="W2" i="7"/>
  <c r="R2" i="7"/>
  <c r="Q2" i="7"/>
  <c r="P2" i="7"/>
  <c r="O2" i="7"/>
  <c r="N2" i="7"/>
  <c r="L2" i="10"/>
  <c r="S2" i="10"/>
  <c r="U2" i="10"/>
  <c r="M2" i="10"/>
  <c r="O2" i="10"/>
  <c r="F2" i="10"/>
  <c r="H2" i="10"/>
  <c r="W2" i="10"/>
  <c r="V2" i="10"/>
  <c r="T2" i="10"/>
  <c r="X2" i="10"/>
  <c r="Q2" i="10"/>
  <c r="P2" i="10"/>
  <c r="N2" i="10"/>
  <c r="R2" i="10"/>
  <c r="J2" i="10"/>
  <c r="I2" i="10"/>
  <c r="G2" i="10"/>
  <c r="K2" i="10"/>
  <c r="Y2" i="7"/>
  <c r="H2" i="7"/>
  <c r="J2" i="7"/>
  <c r="E8" i="16"/>
  <c r="E7" i="16"/>
  <c r="E6" i="16"/>
  <c r="E5" i="16"/>
  <c r="E4" i="16"/>
  <c r="E3" i="16"/>
  <c r="E2" i="16"/>
  <c r="J2" i="11"/>
  <c r="A2" i="7"/>
  <c r="I2" i="7"/>
  <c r="D2" i="7"/>
  <c r="F2" i="7"/>
  <c r="E2" i="7"/>
  <c r="D3" i="2"/>
  <c r="E3" i="2"/>
  <c r="H3" i="2"/>
  <c r="B3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<sst xmlns="http://schemas.openxmlformats.org/spreadsheetml/2006/main" count="717" uniqueCount="296">
  <si>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</si>
  <si>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</si>
  <si>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</si>
  <si>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</si>
  <si>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</si>
  <si>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</si>
  <si>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</si>
  <si>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</si>
  <si>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</si>
  <si>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</si>
  <si>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</si>
  <si>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</si>
  <si>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</si>
  <si>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</si>
  <si>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</si>
  <si>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</si>
  <si>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</si>
  <si>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</si>
  <si>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</si>
  <si>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</si>
  <si>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</si>
  <si>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</si>
  <si>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</si>
  <si>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</si>
  <si>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</si>
  <si>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</si>
  <si>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</si>
  <si>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</si>
  <si>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</si>
  <si>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</si>
  <si>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</si>
  <si>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</si>
  <si>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</si>
  <si>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</si>
  <si>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</si>
  <si>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</si>
  <si>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</si>
  <si>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</si>
  <si>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</si>
  <si>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</si>
  <si>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</si>
  <si>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</si>
  <si>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</si>
  <si>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</si>
  <si>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</si>
  <si>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</si>
  <si>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</si>
  <si>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</si>
  <si>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</si>
  <si>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</si>
  <si>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</si>
  <si>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</si>
  <si>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</si>
  <si>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</si>
  <si>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</si>
  <si>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</si>
  <si>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</si>
  <si>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</si>
  <si>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</si>
  <si>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</si>
  <si>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</si>
  <si>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</si>
  <si>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</si>
  <si>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</si>
  <si>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</si>
  <si>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</si>
  <si>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</si>
  <si>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</si>
  <si>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</si>
  <si>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</si>
  <si>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</si>
  <si>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</si>
  <si>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</si>
  <si>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</si>
  <si>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</si>
  <si>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</si>
  <si>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</si>
  <si>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</si>
  <si>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</si>
  <si>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</si>
  <si>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</si>
  <si>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</si>
  <si>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</si>
  <si>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</si>
  <si>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</si>
  <si>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</si>
  <si>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</si>
  <si>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</si>
  <si>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</si>
  <si>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</si>
  <si>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</si>
  <si>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</si>
  <si>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</si>
  <si>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</si>
  <si>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</si>
  <si>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</si>
  <si>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</si>
  <si>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</si>
  <si>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</si>
  <si>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</si>
  <si>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</si>
  <si>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</si>
  <si>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</si>
  <si>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</si>
  <si>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</si>
  <si>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</si>
  <si>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</si>
  <si>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</si>
  <si>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</si>
  <si>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</si>
  <si>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</si>
  <si>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</si>
  <si>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</si>
  <si>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</si>
  <si>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</si>
  <si>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</si>
  <si>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</si>
  <si>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</si>
  <si>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</si>
  <si>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</si>
  <si>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</si>
  <si>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</si>
  <si>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</si>
  <si>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</si>
  <si>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</si>
  <si>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</si>
  <si>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</si>
  <si>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</si>
  <si>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</si>
  <si>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</si>
  <si>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</si>
  <si>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</si>
  <si>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</si>
  <si>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</si>
  <si>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</si>
  <si>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</si>
  <si>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</si>
  <si>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</si>
  <si>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</si>
  <si>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</si>
  <si>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</si>
  <si>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</si>
  <si>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</si>
  <si>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</si>
  <si>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</si>
  <si>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</si>
  <si>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</si>
  <si>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</si>
  <si>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</si>
  <si>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</si>
  <si>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old</t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</si>
  <si>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</si>
  <si>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</si>
  <si>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</si>
  <si>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</si>
  <si>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</si>
  <si>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</si>
  <si>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</si>
  <si>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</si>
  <si>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</si>
  <si>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</si>
  <si>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</si>
  <si>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</si>
  <si>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</si>
  <si>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</si>
  <si>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</si>
  <si>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</si>
  <si>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</si>
  <si>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</si>
  <si>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</si>
  <si>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</si>
  <si>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</si>
  <si>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</si>
  <si>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t>skip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</si>
  <si>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</si>
  <si>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</si>
  <si>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</si>
  <si>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</si>
  <si>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</si>
  <si>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</si>
  <si>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</si>
  <si>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</si>
  <si>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</si>
  <si>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t>ショウイン　仮スキル</t>
    <rPh sb="6" eb="10">
      <t>カリスk</t>
    </rPh>
    <phoneticPr fontId="5"/>
  </si>
  <si>
    <t>ストール　仮スキル</t>
    <rPh sb="5" eb="9">
      <t>カr</t>
    </rPh>
    <phoneticPr fontId="5"/>
  </si>
  <si>
    <t>ショウイン　仮スキル</t>
    <rPh sb="6" eb="10">
      <t>カr</t>
    </rPh>
    <phoneticPr fontId="5"/>
  </si>
  <si>
    <t>ベヒモス　仮スキル</t>
    <rPh sb="5" eb="9">
      <t>カリスk</t>
    </rPh>
    <phoneticPr fontId="5"/>
  </si>
  <si>
    <t>ヨシタカ　仮スキル</t>
    <rPh sb="5" eb="9">
      <t>カr</t>
    </rPh>
    <phoneticPr fontId="5"/>
  </si>
  <si>
    <t>レッサ1　仮スキル</t>
    <rPh sb="5" eb="9">
      <t>カr</t>
    </rPh>
    <phoneticPr fontId="5"/>
  </si>
  <si>
    <t>レッサ2　開幕セリフ</t>
    <rPh sb="5" eb="10">
      <t>カイマクセ</t>
    </rPh>
    <phoneticPr fontId="5"/>
  </si>
  <si>
    <t>レッサ2　仮スキル</t>
    <rPh sb="5" eb="9">
      <t>カr</t>
    </rPh>
    <phoneticPr fontId="5"/>
  </si>
  <si>
    <t>レッサ3　開幕セリフ</t>
    <rPh sb="5" eb="10">
      <t>カ</t>
    </rPh>
    <phoneticPr fontId="5"/>
  </si>
  <si>
    <t>レッサ3　仮スキル</t>
    <rPh sb="5" eb="9">
      <t>カr</t>
    </rPh>
    <phoneticPr fontId="5"/>
  </si>
  <si>
    <t>[effect:nothing]</t>
    <phoneticPr fontId="5"/>
  </si>
  <si>
    <t>[effect:nothing]</t>
    <phoneticPr fontId="5"/>
  </si>
  <si>
    <t>[effect:enhance_enemy, target:myself, turn:5, status:defense, val:3000.0, animation:enemy_enhance_defense]</t>
    <phoneticPr fontId="5"/>
  </si>
  <si>
    <t>[effect:rush, count:8, val:0.2]</t>
    <phoneticPr fontId="5"/>
  </si>
  <si>
    <t>[effect:virus, turn:-1, rate:1.0, val:0.1, animation:virus03]</t>
    <phoneticPr fontId="5"/>
  </si>
  <si>
    <t>[effect:damage_anti_tribe, target:unit_all, tribe:animal, val1:1.5, val2:0.1]</t>
    <phoneticPr fontId="5"/>
  </si>
  <si>
    <t>[effect:charge, status:attack, val:10.0]</t>
    <phoneticPr fontId="5"/>
  </si>
  <si>
    <t>null</t>
    <phoneticPr fontId="5"/>
  </si>
  <si>
    <t>null</t>
    <phoneticPr fontId="5"/>
  </si>
  <si>
    <t>ストール　体力以外キラー</t>
    <rPh sb="5" eb="7">
      <t>タイリョk</t>
    </rPh>
    <rPh sb="7" eb="9">
      <t>イガ</t>
    </rPh>
    <phoneticPr fontId="5"/>
  </si>
  <si>
    <t>[effect:critical, val:1.5]</t>
    <phoneticPr fontId="5"/>
  </si>
  <si>
    <t>[effect:damage_anti_type, target:unit_all, type:hp, val1:0.1, val2:0.5]</t>
    <phoneticPr fontId="5"/>
  </si>
  <si>
    <t>[effect:enhance_enemy, target:enemy_all, turn:-1, status:defense, val:3000.0, animation:enemy_enhance_defense]</t>
    <phoneticPr fontId="5"/>
  </si>
  <si>
    <t>[effect:virus, turn:5, rate:1.0, val:0.1, animation:virus03],[effect:spread, val:0.3]</t>
    <phoneticPr fontId="5"/>
  </si>
  <si>
    <t>[effect:heal, target:enemy_one, val:0.2, animation:enemy_heal]</t>
    <phoneticPr fontId="5"/>
  </si>
  <si>
    <t>[effect:heal, target:enemy_one, val:0.1, animation:enemy_heal]</t>
    <phoneticPr fontId="5"/>
  </si>
  <si>
    <t>体力タイプ以外にキラー攻撃</t>
    <rPh sb="0" eb="2">
      <t>タイリョk</t>
    </rPh>
    <rPh sb="5" eb="7">
      <t>イガ</t>
    </rPh>
    <rPh sb="11" eb="13">
      <t>コウゲk</t>
    </rPh>
    <phoneticPr fontId="5"/>
  </si>
  <si>
    <t>クラッシュパネル生成を延長</t>
    <rPh sb="8" eb="10">
      <t>セ</t>
    </rPh>
    <rPh sb="11" eb="13">
      <t>エ</t>
    </rPh>
    <phoneticPr fontId="5"/>
  </si>
  <si>
    <t>敵全体に防御アップ</t>
    <rPh sb="0" eb="4">
      <t>テk</t>
    </rPh>
    <rPh sb="4" eb="9">
      <t>ボ</t>
    </rPh>
    <phoneticPr fontId="5"/>
  </si>
  <si>
    <t>連続攻撃</t>
    <rPh sb="0" eb="4">
      <t>レンゾk</t>
    </rPh>
    <phoneticPr fontId="5"/>
  </si>
  <si>
    <t>全体攻撃</t>
    <rPh sb="0" eb="2">
      <t>ゼン</t>
    </rPh>
    <rPh sb="2" eb="4">
      <t>コウゲk</t>
    </rPh>
    <phoneticPr fontId="5"/>
  </si>
  <si>
    <t>HPを小回復</t>
    <rPh sb="3" eb="6">
      <t>ショウカ</t>
    </rPh>
    <phoneticPr fontId="5"/>
  </si>
  <si>
    <t>開幕セリフ</t>
    <rPh sb="0" eb="5">
      <t>カイマクセ</t>
    </rPh>
    <phoneticPr fontId="5"/>
  </si>
  <si>
    <t>3ターンの間攻撃頻度が1になる</t>
    <rPh sb="5" eb="6">
      <t>ア</t>
    </rPh>
    <rPh sb="6" eb="11">
      <t>コウゲk</t>
    </rPh>
    <phoneticPr fontId="5"/>
  </si>
  <si>
    <t>全体にアニマルキラー</t>
    <rPh sb="0" eb="3">
      <t>ゼン</t>
    </rPh>
    <phoneticPr fontId="5"/>
  </si>
  <si>
    <t>うさぎ　仮スキル</t>
    <rPh sb="4" eb="8">
      <t>カr</t>
    </rPh>
    <phoneticPr fontId="5"/>
  </si>
  <si>
    <t>体力タイプ以外に致命的なダメージ！</t>
    <rPh sb="0" eb="2">
      <t>タイリョk</t>
    </rPh>
    <rPh sb="5" eb="7">
      <t>イガ</t>
    </rPh>
    <rPh sb="8" eb="12">
      <t>チメイt</t>
    </rPh>
    <phoneticPr fontId="5"/>
  </si>
  <si>
    <t>回復して次フロアに備えよう！</t>
    <rPh sb="0" eb="4">
      <t>カ</t>
    </rPh>
    <rPh sb="4" eb="5">
      <t>ツg</t>
    </rPh>
    <rPh sb="9" eb="13">
      <t>ソナ</t>
    </rPh>
    <phoneticPr fontId="5"/>
  </si>
  <si>
    <t>怒涛の進撃</t>
    <rPh sb="0" eb="3">
      <t>ドt</t>
    </rPh>
    <rPh sb="3" eb="5">
      <t>シンゲk</t>
    </rPh>
    <phoneticPr fontId="5"/>
  </si>
  <si>
    <t>超回復</t>
    <rPh sb="0" eb="3">
      <t>チョ</t>
    </rPh>
    <phoneticPr fontId="5"/>
  </si>
  <si>
    <t>突進</t>
    <rPh sb="0" eb="2">
      <t>トッシン</t>
    </rPh>
    <phoneticPr fontId="5"/>
  </si>
  <si>
    <t>ユニット一体にクリティカル攻撃</t>
    <rPh sb="4" eb="7">
      <t>イッタ</t>
    </rPh>
    <rPh sb="13" eb="15">
      <t>コウゲk</t>
    </rPh>
    <phoneticPr fontId="5"/>
  </si>
  <si>
    <t>HPを回復</t>
    <rPh sb="3" eb="5">
      <t>チュ</t>
    </rPh>
    <phoneticPr fontId="5"/>
  </si>
  <si>
    <t>ウィルス散布</t>
    <rPh sb="4" eb="6">
      <t>サンプ</t>
    </rPh>
    <phoneticPr fontId="5"/>
  </si>
  <si>
    <t>全体に5ターンウィルス＆攻撃</t>
    <rPh sb="0" eb="3">
      <t>ゼン</t>
    </rPh>
    <rPh sb="12" eb="14">
      <t>コウゲk</t>
    </rPh>
    <phoneticPr fontId="5"/>
  </si>
  <si>
    <t>どらごんがーど！</t>
    <phoneticPr fontId="5"/>
  </si>
  <si>
    <t>どらごんらっしゅ！</t>
    <phoneticPr fontId="5"/>
  </si>
  <si>
    <t>おいテメェ！</t>
    <phoneticPr fontId="5"/>
  </si>
  <si>
    <t>少年が睨みつけてくる！</t>
    <rPh sb="0" eb="3">
      <t>ショウネン</t>
    </rPh>
    <rPh sb="3" eb="7">
      <t>ニラm</t>
    </rPh>
    <phoneticPr fontId="5"/>
  </si>
  <si>
    <t>ぶっ飛ばすぞ！</t>
    <rPh sb="2" eb="7">
      <t>トバスz</t>
    </rPh>
    <phoneticPr fontId="5"/>
  </si>
  <si>
    <t>やりやがったな！</t>
    <phoneticPr fontId="5"/>
  </si>
  <si>
    <t>&lt;パンダヒール&gt;</t>
    <phoneticPr fontId="5"/>
  </si>
  <si>
    <t>&lt;パンダガード&gt;</t>
    <phoneticPr fontId="5"/>
  </si>
  <si>
    <t>ボコボコにしてやる！</t>
    <phoneticPr fontId="5"/>
  </si>
  <si>
    <t>これでも喰らえ！</t>
    <rPh sb="4" eb="8">
      <t>クラ</t>
    </rPh>
    <phoneticPr fontId="5"/>
  </si>
  <si>
    <t>解除するまでウィルス</t>
    <rPh sb="0" eb="6">
      <t>カ</t>
    </rPh>
    <phoneticPr fontId="5"/>
  </si>
  <si>
    <t>&lt;パンダヒール&gt;</t>
    <phoneticPr fontId="5"/>
  </si>
  <si>
    <t>&lt;パンダアタック&gt;</t>
    <phoneticPr fontId="5"/>
  </si>
  <si>
    <t>&lt;超パンダガード&gt;</t>
    <rPh sb="1" eb="2">
      <t>チョ</t>
    </rPh>
    <phoneticPr fontId="5"/>
  </si>
  <si>
    <t>&lt;パンダチャージ&gt;</t>
    <phoneticPr fontId="5"/>
  </si>
  <si>
    <t>&lt;適合者選定を開始します&gt;</t>
    <rPh sb="1" eb="4">
      <t>テキゴウ</t>
    </rPh>
    <rPh sb="4" eb="7">
      <t>センテ</t>
    </rPh>
    <rPh sb="7" eb="9">
      <t>カ</t>
    </rPh>
    <phoneticPr fontId="5"/>
  </si>
  <si>
    <t>&lt;適合者選定を終了します&gt;</t>
    <rPh sb="1" eb="6">
      <t>テk</t>
    </rPh>
    <rPh sb="7" eb="9">
      <t>シュ</t>
    </rPh>
    <phoneticPr fontId="5"/>
  </si>
  <si>
    <t>&lt;適合者選定プロセス実行&gt;</t>
    <rPh sb="1" eb="6">
      <t>テk</t>
    </rPh>
    <rPh sb="10" eb="12">
      <t>ジッコ</t>
    </rPh>
    <phoneticPr fontId="5"/>
  </si>
  <si>
    <t>[effect:heal, target:enemy_one, val:0.2, animation:enemy_heal]</t>
    <phoneticPr fontId="5"/>
  </si>
  <si>
    <t>[effect:tolerance,target:myself, turn:-1, tolerance_effect:all, count:-1],[effect:fix_speed,target:myself,turn:1]</t>
    <phoneticPr fontId="5"/>
  </si>
  <si>
    <t>temp_id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</si>
  <si>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</si>
  <si>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</si>
  <si>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</si>
  <si>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</si>
  <si>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</si>
  <si>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tmp_hint_id</t>
    <phoneticPr fontId="5"/>
  </si>
  <si>
    <t>hint_id</t>
    <phoneticPr fontId="5"/>
  </si>
  <si>
    <t>language</t>
    <phoneticPr fontId="5"/>
  </si>
  <si>
    <t>title</t>
    <phoneticPr fontId="5"/>
  </si>
  <si>
    <t>hint</t>
    <phoneticPr fontId="5"/>
  </si>
  <si>
    <t>filename</t>
    <phoneticPr fontId="5"/>
  </si>
  <si>
    <t>ja</t>
    <phoneticPr fontId="5"/>
  </si>
  <si>
    <t>攻略のヒント</t>
    <rPh sb="0" eb="2">
      <t>コウリャク</t>
    </rPh>
    <phoneticPr fontId="5"/>
  </si>
  <si>
    <t>NULL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</si>
  <si>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</si>
  <si>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</si>
  <si>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stage_hints</t>
  </si>
  <si>
    <t>stage_id</t>
    <phoneticPr fontId="5"/>
  </si>
  <si>
    <t>hint_id</t>
    <phoneticPr fontId="5"/>
  </si>
  <si>
    <t>hint_type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</si>
  <si>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</si>
  <si>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</t>
    <phoneticPr fontId="5"/>
  </si>
  <si>
    <t>filename</t>
  </si>
  <si>
    <t>title</t>
    <phoneticPr fontId="5"/>
  </si>
  <si>
    <t>どらごんえなじー！</t>
    <phoneticPr fontId="5"/>
  </si>
  <si>
    <t>failure</t>
    <phoneticPr fontId="5"/>
  </si>
  <si>
    <t>[effect:spread, val:0.4]</t>
    <phoneticPr fontId="5"/>
  </si>
  <si>
    <t>[effect:spread, val:0.3],[effect:force_change_block, new_block:block_heart, target:block_all, ignore01:crash, count:0, val:0.0]</t>
    <phoneticPr fontId="5"/>
  </si>
  <si>
    <t>[effect:rush, count:6, val:0.2]</t>
    <phoneticPr fontId="5"/>
  </si>
  <si>
    <t>[effect:kamikaze, val:0.0],[effect:force_change_block, new_block:block_heart, target:block_all, ignore01:crash, count:0, val:0.0]</t>
    <phoneticPr fontId="5"/>
  </si>
  <si>
    <t>本気でいくぜ！</t>
    <rPh sb="0" eb="3">
      <t>ホン</t>
    </rPh>
    <phoneticPr fontId="5"/>
  </si>
  <si>
    <t>[effect:freq_turn, target:myself, turn:3, val:1, animation:enemy_freq_turn]</t>
    <phoneticPr fontId="5"/>
  </si>
  <si>
    <t>[effect:freq_turn, target:myself, turn:-1, val:1, animation:enemy_freq_turn]</t>
    <phoneticPr fontId="5"/>
  </si>
  <si>
    <t>最後まで攻撃頻度が1になる！</t>
    <rPh sb="0" eb="4">
      <t>サイg</t>
    </rPh>
    <rPh sb="4" eb="9">
      <t>コウゲk</t>
    </rPh>
    <phoneticPr fontId="5"/>
  </si>
  <si>
    <t>5ターンの間防御力アップ</t>
    <rPh sb="5" eb="6">
      <t>ア</t>
    </rPh>
    <rPh sb="6" eb="8">
      <t>ボ</t>
    </rPh>
    <rPh sb="8" eb="9">
      <t>リョk</t>
    </rPh>
    <phoneticPr fontId="5"/>
  </si>
  <si>
    <t>次のターン大ダメージ</t>
    <rPh sb="0" eb="5">
      <t>ツg</t>
    </rPh>
    <rPh sb="5" eb="10">
      <t>ダイd</t>
    </rPh>
    <phoneticPr fontId="5"/>
  </si>
  <si>
    <t>5ターンの間防御力アップ</t>
    <rPh sb="5" eb="6">
      <t>ア</t>
    </rPh>
    <phoneticPr fontId="5"/>
  </si>
  <si>
    <t>ハートパネル大量発生！</t>
    <rPh sb="6" eb="8">
      <t>タイリョ</t>
    </rPh>
    <rPh sb="8" eb="10">
      <t>ハッセ</t>
    </rPh>
    <phoneticPr fontId="5"/>
  </si>
  <si>
    <t>突如UsagiChanが立ちはだかった！</t>
    <rPh sb="0" eb="2">
      <t>トツjy</t>
    </rPh>
    <rPh sb="12" eb="19">
      <t>タチハダカ</t>
    </rPh>
    <phoneticPr fontId="5"/>
  </si>
  <si>
    <t>体力タイプ以外のユニットを
このクエストには連れて行くのは難しいです
体力タイプを中心にパーティを考えましょう</t>
    <phoneticPr fontId="5"/>
  </si>
  <si>
    <t>ハートパネルを出現させる敵がいます
数少ない回復ポイントですので
有効に使わせてもらいましょう</t>
    <rPh sb="12" eb="13">
      <t>テキ</t>
    </rPh>
    <rPh sb="37" eb="38">
      <t>ツカ</t>
    </rPh>
    <phoneticPr fontId="5"/>
  </si>
  <si>
    <t>回復なしのステージですので
ウィルスは最優先で解除しましょう
後になるほどダメージが響いてきます</t>
    <phoneticPr fontId="5"/>
  </si>
  <si>
    <t>防御力アップを使うユニットは手強いです
防御力ダウンのスキルを持った
ユニットを連れて行きましょう</t>
    <phoneticPr fontId="5"/>
  </si>
  <si>
    <t>[effect:crash_condition, target:unit_all, val:2, turn:5, animation:enemy_crash_extend]</t>
    <phoneticPr fontId="5"/>
  </si>
  <si>
    <t>skip</t>
    <phoneticPr fontId="5"/>
  </si>
  <si>
    <t>[effect:damage_anti_type, target:unit_all, type:hp, val1:0.05, val2:5.0],[effect:damage_anti_type, target:unit_all, type:hp, val1:0.05, val2:5.0]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</si>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</sst>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/>
      <diagonal/>
    </border>
  </borders>
  <cellStyleXfs count="88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8" borderId="12" applyNumberFormat="0" applyAlignment="0" applyProtection="0"/>
    <xf numFmtId="0" fontId="33" fillId="19" borderId="0" applyNumberFormat="0" applyBorder="0" applyAlignment="0" applyProtection="0"/>
    <xf numFmtId="0" fontId="34" fillId="20" borderId="13" applyNumberFormat="0" applyAlignment="0" applyProtection="0"/>
    <xf numFmtId="0" fontId="35" fillId="0" borderId="0" applyNumberFormat="0" applyFill="0" applyBorder="0" applyAlignment="0" applyProtection="0"/>
    <xf numFmtId="0" fontId="36" fillId="21" borderId="0" applyNumberFormat="0" applyBorder="0" applyAlignment="0" applyProtection="0"/>
    <xf numFmtId="0" fontId="37" fillId="22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20" borderId="0" applyNumberFormat="0" applyBorder="0" applyAlignment="0" applyProtection="0"/>
    <xf numFmtId="0" fontId="42" fillId="19" borderId="0" applyNumberFormat="0" applyBorder="0" applyAlignment="0" applyProtection="0"/>
    <xf numFmtId="0" fontId="42" fillId="23" borderId="0" applyNumberFormat="0" applyBorder="0" applyAlignment="0" applyProtection="0"/>
    <xf numFmtId="0" fontId="42" fillId="20" borderId="0" applyNumberFormat="0" applyBorder="0" applyAlignment="0" applyProtection="0"/>
    <xf numFmtId="0" fontId="42" fillId="24" borderId="0" applyNumberFormat="0" applyBorder="0" applyAlignment="0" applyProtection="0"/>
    <xf numFmtId="0" fontId="42" fillId="18" borderId="0" applyNumberFormat="0" applyBorder="0" applyAlignment="0" applyProtection="0"/>
    <xf numFmtId="0" fontId="42" fillId="20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0" borderId="0" applyNumberFormat="0" applyBorder="0" applyAlignment="0" applyProtection="0"/>
    <xf numFmtId="0" fontId="42" fillId="26" borderId="0" applyNumberFormat="0" applyBorder="0" applyAlignment="0" applyProtection="0"/>
    <xf numFmtId="0" fontId="42" fillId="19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0" borderId="0" applyNumberFormat="0" applyBorder="0" applyAlignment="0" applyProtection="0"/>
    <xf numFmtId="0" fontId="43" fillId="27" borderId="0" applyNumberFormat="0" applyBorder="0" applyAlignment="0" applyProtection="0"/>
    <xf numFmtId="0" fontId="43" fillId="19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43" fillId="23" borderId="0" applyNumberFormat="0" applyBorder="0" applyAlignment="0" applyProtection="0"/>
    <xf numFmtId="0" fontId="43" fillId="29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4" fillId="30" borderId="0" applyNumberFormat="0" applyBorder="0" applyAlignment="0" applyProtection="0"/>
    <xf numFmtId="0" fontId="33" fillId="19" borderId="0" applyNumberFormat="0" applyBorder="0" applyAlignment="0" applyProtection="0"/>
    <xf numFmtId="0" fontId="45" fillId="0" borderId="18" applyNumberFormat="0" applyFill="0" applyAlignment="0" applyProtection="0"/>
    <xf numFmtId="0" fontId="46" fillId="20" borderId="19" applyNumberFormat="0" applyAlignment="0" applyProtection="0"/>
    <xf numFmtId="0" fontId="46" fillId="31" borderId="19" applyNumberFormat="0" applyAlignment="0" applyProtection="0"/>
    <xf numFmtId="0" fontId="34" fillId="19" borderId="13" applyNumberFormat="0" applyAlignment="0" applyProtection="0"/>
    <xf numFmtId="0" fontId="47" fillId="0" borderId="20" applyNumberFormat="0" applyFill="0" applyAlignment="0" applyProtection="0"/>
    <xf numFmtId="0" fontId="48" fillId="31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16" fillId="14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6" fillId="15" borderId="7" xfId="0" applyFont="1" applyFill="1" applyBorder="1" applyAlignment="1">
      <alignment vertical="center"/>
    </xf>
    <xf numFmtId="0" fontId="6" fillId="16" borderId="3" xfId="0" applyFont="1" applyFill="1" applyBorder="1" applyAlignment="1">
      <alignment vertical="center"/>
    </xf>
    <xf numFmtId="0" fontId="6" fillId="16" borderId="9" xfId="0" applyFont="1" applyFill="1" applyBorder="1" applyAlignment="1">
      <alignment vertical="center"/>
    </xf>
    <xf numFmtId="0" fontId="13" fillId="7" borderId="0" xfId="0" applyFont="1" applyFill="1" applyAlignment="1">
      <alignment horizontal="center"/>
    </xf>
    <xf numFmtId="0" fontId="27" fillId="6" borderId="7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7" borderId="7" xfId="0" applyFont="1" applyFill="1" applyBorder="1" applyAlignment="1">
      <alignment horizontal="center"/>
    </xf>
    <xf numFmtId="56" fontId="16" fillId="17" borderId="7" xfId="0" applyNumberFormat="1" applyFont="1" applyFill="1" applyBorder="1" applyAlignment="1">
      <alignment horizontal="center"/>
    </xf>
    <xf numFmtId="0" fontId="0" fillId="17" borderId="7" xfId="0" applyFill="1" applyBorder="1"/>
    <xf numFmtId="0" fontId="13" fillId="7" borderId="0" xfId="0" applyFont="1" applyFill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2" fillId="0" borderId="7" xfId="615" applyBorder="1"/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4" fillId="13" borderId="1" xfId="0" applyFont="1" applyFill="1" applyBorder="1" applyAlignment="1">
      <alignment vertical="center"/>
    </xf>
    <xf numFmtId="0" fontId="0" fillId="0" borderId="7" xfId="0" applyBorder="1" applyAlignment="1">
      <alignment wrapText="1"/>
    </xf>
    <xf numFmtId="0" fontId="16" fillId="0" borderId="22" xfId="0" applyFont="1" applyFill="1" applyBorder="1" applyAlignment="1">
      <alignment vertical="center"/>
    </xf>
  </cellXfs>
  <cellStyles count="886">
    <cellStyle name="20% - ANZg1" xfId="798"/>
    <cellStyle name="20% - ANZg2" xfId="799"/>
    <cellStyle name="20% - ANZg3" xfId="800"/>
    <cellStyle name="20% - ANZg4" xfId="801"/>
    <cellStyle name="20% - ANZg5" xfId="802"/>
    <cellStyle name="20% - ANZg6" xfId="803"/>
    <cellStyle name="40% - ANZg1" xfId="804"/>
    <cellStyle name="40% - ANZg2" xfId="805"/>
    <cellStyle name="40% - ANZg3" xfId="806"/>
    <cellStyle name="40% - ANZg4" xfId="807"/>
    <cellStyle name="40% - ANZg5" xfId="808"/>
    <cellStyle name="40% - ANZg6" xfId="809"/>
    <cellStyle name="60% - ANZg1" xfId="810"/>
    <cellStyle name="60% - ANZg2" xfId="811"/>
    <cellStyle name="60% - ANZg3" xfId="812"/>
    <cellStyle name="60% - ANZg4" xfId="813"/>
    <cellStyle name="60% - ANZg5" xfId="814"/>
    <cellStyle name="60% - ANZg6" xfId="815"/>
    <cellStyle name="Excel Built-in Normal" xfId="428"/>
    <cellStyle name="^Cg" xfId="793"/>
    <cellStyle name="`FbN Z" xfId="792"/>
    <cellStyle name="ANZg 1" xfId="817"/>
    <cellStyle name="ANZg 2" xfId="818"/>
    <cellStyle name="ANZg 3" xfId="819"/>
    <cellStyle name="ANZg 4" xfId="820"/>
    <cellStyle name="ANZg 5" xfId="821"/>
    <cellStyle name="ANZg 6" xfId="822"/>
    <cellStyle name="" xfId="787"/>
    <cellStyle name="N Z" xfId="825"/>
    <cellStyle name="_" xfId="788"/>
    <cellStyle name="«¢" xfId="791"/>
    <cellStyle name="vZ" xfId="830"/>
    <cellStyle name="x÷" xfId="832"/>
    <cellStyle name="x¶" xfId="831"/>
    <cellStyle name="ýo_ 1" xfId="833"/>
    <cellStyle name="©oµ 1" xfId="794"/>
    <cellStyle name="©oµ 2" xfId="795"/>
    <cellStyle name="©oµ 3" xfId="796"/>
    <cellStyle name="©oµ 4" xfId="797"/>
    <cellStyle name="v" xfId="829"/>
    <cellStyle name="o_" xfId="826"/>
    <cellStyle name="oÍ" xfId="827"/>
    <cellStyle name="__÷" xfId="790"/>
    <cellStyle name="à¾¶" xfId="816"/>
    <cellStyle name="__" xfId="789"/>
    <cellStyle name="üÍ" xfId="828"/>
    <cellStyle name="Ê" xfId="824"/>
    <cellStyle name="Ç¢" xfId="823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桁区切り 2" xfId="429"/>
    <cellStyle name="桁区切り 2 2" xfId="78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834"/>
    <cellStyle name="標準 5 2" xfId="835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externalLink" Target="externalLinks/externalLink1.xml"/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externalLink" Target="externalLinks/externalLink6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610</v>
          </cell>
          <cell r="K268">
            <v>30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12001_1</v>
          </cell>
          <cell r="B299">
            <v>3</v>
          </cell>
          <cell r="C299">
            <v>12001</v>
          </cell>
          <cell r="D299" t="str">
            <v>【緊急！！】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 xml:space="preserve">【初級】メタルダックを捕獲せよ！ </v>
          </cell>
          <cell r="I299" t="str">
            <v>経験値ゲリラ</v>
          </cell>
          <cell r="J299">
            <v>334</v>
          </cell>
          <cell r="K299">
            <v>8</v>
          </cell>
          <cell r="L299">
            <v>140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everyone</v>
          </cell>
        </row>
        <row r="300">
          <cell r="A300" t="str">
            <v>12001_2</v>
          </cell>
          <cell r="B300">
            <v>3</v>
          </cell>
          <cell r="C300">
            <v>12001</v>
          </cell>
          <cell r="D300" t="str">
            <v>【緊急！！】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【上級】メタルダックを捕獲せよ！ </v>
          </cell>
          <cell r="I300" t="str">
            <v>経験値ゲリラ</v>
          </cell>
          <cell r="J300">
            <v>334</v>
          </cell>
          <cell r="K300">
            <v>20</v>
          </cell>
          <cell r="L300">
            <v>350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201</v>
          </cell>
          <cell r="AD300">
            <v>6</v>
          </cell>
          <cell r="AE300" t="str">
            <v>everyone</v>
          </cell>
        </row>
        <row r="301">
          <cell r="A301" t="str">
            <v>12001_3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3</v>
          </cell>
          <cell r="G301" t="str">
            <v>ja</v>
          </cell>
          <cell r="H301" t="str">
            <v xml:space="preserve">【超級】メタルダックを捕獲せよ！ </v>
          </cell>
          <cell r="I301" t="str">
            <v>経験値ゲリラ</v>
          </cell>
          <cell r="J301">
            <v>334</v>
          </cell>
          <cell r="K301">
            <v>30</v>
          </cell>
          <cell r="L301">
            <v>444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everyone</v>
          </cell>
        </row>
        <row r="302">
          <cell r="A302" t="str">
            <v>12002_1</v>
          </cell>
          <cell r="B302">
            <v>3</v>
          </cell>
          <cell r="C302">
            <v>12002</v>
          </cell>
          <cell r="D302" t="str">
            <v>【マルチ専用1/2】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>【上級】メタルダックを捕獲せよ！</v>
          </cell>
          <cell r="I302" t="str">
            <v>経験値ゲリラ</v>
          </cell>
          <cell r="J302">
            <v>334</v>
          </cell>
          <cell r="K302">
            <v>10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multionly</v>
          </cell>
        </row>
        <row r="303">
          <cell r="A303" t="str">
            <v>12002_2</v>
          </cell>
          <cell r="B303">
            <v>1</v>
          </cell>
          <cell r="C303">
            <v>12002</v>
          </cell>
          <cell r="D303" t="str">
            <v>【マルチ専用1/2】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15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multionly</v>
          </cell>
        </row>
        <row r="304">
          <cell r="A304" t="str">
            <v>12003_1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1</v>
          </cell>
          <cell r="G304" t="str">
            <v>ja</v>
          </cell>
          <cell r="H304" t="str">
            <v>【超級】雷のジェントルを追え！</v>
          </cell>
          <cell r="I304" t="str">
            <v>超級ゲリラ</v>
          </cell>
          <cell r="J304">
            <v>347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singleonly</v>
          </cell>
        </row>
        <row r="305">
          <cell r="A305" t="str">
            <v>12003_2</v>
          </cell>
          <cell r="B305">
            <v>3</v>
          </cell>
          <cell r="C305">
            <v>12003</v>
          </cell>
          <cell r="D305" t="str">
            <v>【超緊急！！】メタルジェントルを追え</v>
          </cell>
          <cell r="E305" t="str">
            <v>ゲリラ【超級】</v>
          </cell>
          <cell r="F305">
            <v>2</v>
          </cell>
          <cell r="G305" t="str">
            <v>ja</v>
          </cell>
          <cell r="H305" t="str">
            <v>【超級】水のジェントルを追え！</v>
          </cell>
          <cell r="I305" t="str">
            <v>超級ゲリラ</v>
          </cell>
          <cell r="J305">
            <v>343</v>
          </cell>
          <cell r="K305">
            <v>40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singleonly</v>
          </cell>
        </row>
        <row r="306">
          <cell r="A306" t="str">
            <v>12003_3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3</v>
          </cell>
          <cell r="G306" t="str">
            <v>ja</v>
          </cell>
          <cell r="H306" t="str">
            <v>【超級】森のジェントルを追え！</v>
          </cell>
          <cell r="I306" t="str">
            <v>超級ゲリラ</v>
          </cell>
          <cell r="J306">
            <v>339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singleonly</v>
          </cell>
        </row>
        <row r="307">
          <cell r="A307" t="str">
            <v>12003_4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4</v>
          </cell>
          <cell r="G307" t="str">
            <v>ja</v>
          </cell>
          <cell r="H307" t="str">
            <v>【超級】炎のジェントルを追え！</v>
          </cell>
          <cell r="I307" t="str">
            <v>超級ゲリラ</v>
          </cell>
          <cell r="J307">
            <v>335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singleonly</v>
          </cell>
        </row>
        <row r="308">
          <cell r="A308" t="str">
            <v>12004_1</v>
          </cell>
          <cell r="B308">
            <v>3</v>
          </cell>
          <cell r="C308">
            <v>12004</v>
          </cell>
          <cell r="D308" t="str">
            <v>メタルフロッグをもとめて</v>
          </cell>
          <cell r="E308" t="str">
            <v>イベントクエスト</v>
          </cell>
          <cell r="F308">
            <v>1</v>
          </cell>
          <cell r="G308" t="str">
            <v>ja</v>
          </cell>
          <cell r="H308" t="str">
            <v>【上級】メタルフロッグをもとめて</v>
          </cell>
          <cell r="I308" t="str">
            <v>経験値イベント</v>
          </cell>
          <cell r="J308">
            <v>351</v>
          </cell>
          <cell r="K308">
            <v>20</v>
          </cell>
          <cell r="L308">
            <v>100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23</v>
          </cell>
          <cell r="AD308">
            <v>6</v>
          </cell>
          <cell r="AE308" t="str">
            <v>everyone</v>
          </cell>
        </row>
        <row r="309">
          <cell r="A309" t="str">
            <v>13001_1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</v>
          </cell>
          <cell r="G309" t="str">
            <v>ja</v>
          </cell>
          <cell r="H309" t="str">
            <v>チャレンジタワー 1F</v>
          </cell>
          <cell r="I309" t="str">
            <v>試練の塔</v>
          </cell>
          <cell r="J309">
            <v>345</v>
          </cell>
          <cell r="K309">
            <v>3</v>
          </cell>
          <cell r="L309">
            <v>120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345,345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</v>
          </cell>
          <cell r="G310" t="str">
            <v>ja</v>
          </cell>
          <cell r="H310" t="str">
            <v>チャレンジタワー 2F</v>
          </cell>
          <cell r="I310" t="str">
            <v>試練の塔</v>
          </cell>
          <cell r="J310">
            <v>333</v>
          </cell>
          <cell r="K310">
            <v>4</v>
          </cell>
          <cell r="L310">
            <v>176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333,333</v>
          </cell>
          <cell r="U310">
            <v>13001</v>
          </cell>
          <cell r="V310">
            <v>1</v>
          </cell>
          <cell r="W310" t="str">
            <v>チャレンジタワー 1F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13001_3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3</v>
          </cell>
          <cell r="G311" t="str">
            <v>ja</v>
          </cell>
          <cell r="H311" t="str">
            <v>チャレンジタワー 3F</v>
          </cell>
          <cell r="I311" t="str">
            <v>試練の塔</v>
          </cell>
          <cell r="J311">
            <v>337</v>
          </cell>
          <cell r="K311">
            <v>5</v>
          </cell>
          <cell r="L311">
            <v>242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</v>
          </cell>
          <cell r="U311">
            <v>13001</v>
          </cell>
          <cell r="V311">
            <v>2</v>
          </cell>
          <cell r="W311" t="str">
            <v>チャレンジタワー 2F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13001_4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4</v>
          </cell>
          <cell r="G312" t="str">
            <v>ja</v>
          </cell>
          <cell r="H312" t="str">
            <v>チャレンジタワー 4F</v>
          </cell>
          <cell r="I312" t="str">
            <v>試練の塔</v>
          </cell>
          <cell r="J312">
            <v>341</v>
          </cell>
          <cell r="K312">
            <v>7</v>
          </cell>
          <cell r="L312">
            <v>508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341,341</v>
          </cell>
          <cell r="U312">
            <v>13001</v>
          </cell>
          <cell r="V312">
            <v>3</v>
          </cell>
          <cell r="W312" t="str">
            <v>チャレンジタワー 3F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13001_5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5</v>
          </cell>
          <cell r="G313" t="str">
            <v>ja</v>
          </cell>
          <cell r="H313" t="str">
            <v>チャレンジタワー 5F</v>
          </cell>
          <cell r="I313" t="str">
            <v>試練の塔</v>
          </cell>
          <cell r="J313">
            <v>333</v>
          </cell>
          <cell r="K313">
            <v>7</v>
          </cell>
          <cell r="L313">
            <v>280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333,337,341,345</v>
          </cell>
          <cell r="U313">
            <v>13001</v>
          </cell>
          <cell r="V313">
            <v>4</v>
          </cell>
          <cell r="W313" t="str">
            <v>チャレンジタワー 4F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13001_6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6</v>
          </cell>
          <cell r="G314" t="str">
            <v>ja</v>
          </cell>
          <cell r="H314" t="str">
            <v>チャレンジタワー 6F</v>
          </cell>
          <cell r="I314" t="str">
            <v>試練の塔</v>
          </cell>
          <cell r="J314">
            <v>346</v>
          </cell>
          <cell r="K314">
            <v>8</v>
          </cell>
          <cell r="L314">
            <v>474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346,345</v>
          </cell>
          <cell r="U314">
            <v>13001</v>
          </cell>
          <cell r="V314">
            <v>5</v>
          </cell>
          <cell r="W314" t="str">
            <v>チャレンジタワー 5F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13001_7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7</v>
          </cell>
          <cell r="G315" t="str">
            <v>ja</v>
          </cell>
          <cell r="H315" t="str">
            <v>チャレンジタワー 7F</v>
          </cell>
          <cell r="I315" t="str">
            <v>試練の塔</v>
          </cell>
          <cell r="J315">
            <v>342</v>
          </cell>
          <cell r="K315">
            <v>8</v>
          </cell>
          <cell r="L315">
            <v>486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342,341</v>
          </cell>
          <cell r="U315">
            <v>13001</v>
          </cell>
          <cell r="V315">
            <v>6</v>
          </cell>
          <cell r="W315" t="str">
            <v>チャレンジタワー 6F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13001_8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8</v>
          </cell>
          <cell r="G316" t="str">
            <v>ja</v>
          </cell>
          <cell r="H316" t="str">
            <v>チャレンジタワー 8F</v>
          </cell>
          <cell r="I316" t="str">
            <v>試練の塔</v>
          </cell>
          <cell r="J316">
            <v>334</v>
          </cell>
          <cell r="K316">
            <v>10</v>
          </cell>
          <cell r="L316">
            <v>1006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334,333</v>
          </cell>
          <cell r="U316">
            <v>13001</v>
          </cell>
          <cell r="V316">
            <v>7</v>
          </cell>
          <cell r="W316" t="str">
            <v>チャレンジタワー 7F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13001_9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9</v>
          </cell>
          <cell r="G317" t="str">
            <v>ja</v>
          </cell>
          <cell r="H317" t="str">
            <v>チャレンジタワー 9F</v>
          </cell>
          <cell r="I317" t="str">
            <v>試練の塔</v>
          </cell>
          <cell r="J317">
            <v>338</v>
          </cell>
          <cell r="K317">
            <v>10</v>
          </cell>
          <cell r="L317">
            <v>702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337,337,338</v>
          </cell>
          <cell r="U317">
            <v>13001</v>
          </cell>
          <cell r="V317">
            <v>8</v>
          </cell>
          <cell r="W317" t="str">
            <v>チャレンジタワー 8F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13001_10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10</v>
          </cell>
          <cell r="G318" t="str">
            <v>ja</v>
          </cell>
          <cell r="H318" t="str">
            <v>チャレンジタワー 10F</v>
          </cell>
          <cell r="I318" t="str">
            <v>試練の塔</v>
          </cell>
          <cell r="J318">
            <v>346</v>
          </cell>
          <cell r="K318">
            <v>11</v>
          </cell>
          <cell r="L318">
            <v>788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346,333,337,341</v>
          </cell>
          <cell r="U318">
            <v>13001</v>
          </cell>
          <cell r="V318">
            <v>9</v>
          </cell>
          <cell r="W318" t="str">
            <v>チャレンジタワー 9F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13001_11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11</v>
          </cell>
          <cell r="G319" t="str">
            <v>ja</v>
          </cell>
          <cell r="H319" t="str">
            <v>チャレンジタワー 11F</v>
          </cell>
          <cell r="I319" t="str">
            <v>試練の塔</v>
          </cell>
          <cell r="J319">
            <v>346</v>
          </cell>
          <cell r="K319">
            <v>12</v>
          </cell>
          <cell r="L319">
            <v>936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</v>
          </cell>
          <cell r="U319">
            <v>13001</v>
          </cell>
          <cell r="V319">
            <v>10</v>
          </cell>
          <cell r="W319" t="str">
            <v>チャレンジタワー 10F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13001_12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12</v>
          </cell>
          <cell r="G320" t="str">
            <v>ja</v>
          </cell>
          <cell r="H320" t="str">
            <v>チャレンジタワー 12F</v>
          </cell>
          <cell r="I320" t="str">
            <v>試練の塔</v>
          </cell>
          <cell r="J320">
            <v>342</v>
          </cell>
          <cell r="K320">
            <v>13</v>
          </cell>
          <cell r="L320">
            <v>1601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</v>
          </cell>
          <cell r="U320">
            <v>13001</v>
          </cell>
          <cell r="V320">
            <v>11</v>
          </cell>
          <cell r="W320" t="str">
            <v>チャレンジタワー 11F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13001_13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13</v>
          </cell>
          <cell r="G321" t="str">
            <v>ja</v>
          </cell>
          <cell r="H321" t="str">
            <v>チャレンジタワー 13F</v>
          </cell>
          <cell r="I321" t="str">
            <v>試練の塔</v>
          </cell>
          <cell r="J321">
            <v>338</v>
          </cell>
          <cell r="K321">
            <v>14</v>
          </cell>
          <cell r="L321">
            <v>945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</v>
          </cell>
          <cell r="U321">
            <v>13001</v>
          </cell>
          <cell r="V321">
            <v>12</v>
          </cell>
          <cell r="W321" t="str">
            <v>チャレンジタワー 12F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13001_14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14</v>
          </cell>
          <cell r="G322" t="str">
            <v>ja</v>
          </cell>
          <cell r="H322" t="str">
            <v>チャレンジタワー 14F</v>
          </cell>
          <cell r="I322" t="str">
            <v>試練の塔</v>
          </cell>
          <cell r="J322">
            <v>334</v>
          </cell>
          <cell r="K322">
            <v>14</v>
          </cell>
          <cell r="L322">
            <v>1188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334,334</v>
          </cell>
          <cell r="U322">
            <v>13001</v>
          </cell>
          <cell r="V322">
            <v>13</v>
          </cell>
          <cell r="W322" t="str">
            <v>チャレンジタワー 13F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13001_15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15</v>
          </cell>
          <cell r="G323" t="str">
            <v>ja</v>
          </cell>
          <cell r="H323" t="str">
            <v>チャレンジタワー 15F</v>
          </cell>
          <cell r="I323" t="str">
            <v>試練の塔</v>
          </cell>
          <cell r="J323">
            <v>316</v>
          </cell>
          <cell r="K323">
            <v>14</v>
          </cell>
          <cell r="L323">
            <v>1008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316</v>
          </cell>
          <cell r="U323">
            <v>13001</v>
          </cell>
          <cell r="V323">
            <v>14</v>
          </cell>
          <cell r="W323" t="str">
            <v>チャレンジタワー 14F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13001_16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16</v>
          </cell>
          <cell r="G324" t="str">
            <v>ja</v>
          </cell>
          <cell r="H324" t="str">
            <v>チャレンジタワー 16F</v>
          </cell>
          <cell r="I324" t="str">
            <v>試練の塔</v>
          </cell>
          <cell r="J324">
            <v>338</v>
          </cell>
          <cell r="K324">
            <v>16</v>
          </cell>
          <cell r="L324">
            <v>2573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338,338,337</v>
          </cell>
          <cell r="U324">
            <v>13001</v>
          </cell>
          <cell r="V324">
            <v>15</v>
          </cell>
          <cell r="W324" t="str">
            <v>チャレンジタワー 15F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13001_17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17</v>
          </cell>
          <cell r="G325" t="str">
            <v>ja</v>
          </cell>
          <cell r="H325" t="str">
            <v>チャレンジタワー 17F</v>
          </cell>
          <cell r="I325" t="str">
            <v>試練の塔</v>
          </cell>
          <cell r="J325">
            <v>346</v>
          </cell>
          <cell r="K325">
            <v>16</v>
          </cell>
          <cell r="L325">
            <v>1568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346,346,345</v>
          </cell>
          <cell r="U325">
            <v>13001</v>
          </cell>
          <cell r="V325">
            <v>16</v>
          </cell>
          <cell r="W325" t="str">
            <v>チャレンジタワー 16F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13001_18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18</v>
          </cell>
          <cell r="G326" t="str">
            <v>ja</v>
          </cell>
          <cell r="H326" t="str">
            <v>チャレンジタワー 18F</v>
          </cell>
          <cell r="I326" t="str">
            <v>試練の塔</v>
          </cell>
          <cell r="J326">
            <v>334</v>
          </cell>
          <cell r="K326">
            <v>17</v>
          </cell>
          <cell r="L326">
            <v>1821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334,334,333</v>
          </cell>
          <cell r="U326">
            <v>13001</v>
          </cell>
          <cell r="V326">
            <v>17</v>
          </cell>
          <cell r="W326" t="str">
            <v>チャレンジタワー 17F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13001_19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19</v>
          </cell>
          <cell r="G327" t="str">
            <v>ja</v>
          </cell>
          <cell r="H327" t="str">
            <v>チャレンジタワー 19F</v>
          </cell>
          <cell r="I327" t="str">
            <v>試練の塔</v>
          </cell>
          <cell r="J327">
            <v>342</v>
          </cell>
          <cell r="K327">
            <v>18</v>
          </cell>
          <cell r="L327">
            <v>2108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342,342,341</v>
          </cell>
          <cell r="U327">
            <v>13001</v>
          </cell>
          <cell r="V327">
            <v>18</v>
          </cell>
          <cell r="W327" t="str">
            <v>チャレンジタワー 18F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13001_20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20</v>
          </cell>
          <cell r="G328" t="str">
            <v>ja</v>
          </cell>
          <cell r="H328" t="str">
            <v>チャレンジタワー 20F</v>
          </cell>
          <cell r="I328" t="str">
            <v>試練の塔</v>
          </cell>
          <cell r="J328">
            <v>318</v>
          </cell>
          <cell r="K328">
            <v>18</v>
          </cell>
          <cell r="L328">
            <v>1620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318</v>
          </cell>
          <cell r="U328">
            <v>13001</v>
          </cell>
          <cell r="V328">
            <v>19</v>
          </cell>
          <cell r="W328" t="str">
            <v>チャレンジタワー 19F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13001_21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21</v>
          </cell>
          <cell r="G329" t="str">
            <v>ja</v>
          </cell>
          <cell r="H329" t="str">
            <v>チャレンジタワー 21F</v>
          </cell>
          <cell r="I329" t="str">
            <v>試練の塔</v>
          </cell>
          <cell r="J329" t="str">
            <v>335</v>
          </cell>
          <cell r="K329">
            <v>18</v>
          </cell>
          <cell r="L329">
            <v>1620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334,335,335</v>
          </cell>
          <cell r="U329">
            <v>13001</v>
          </cell>
          <cell r="V329">
            <v>20</v>
          </cell>
          <cell r="W329" t="str">
            <v>チャレンジタワー 20F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13001_22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22</v>
          </cell>
          <cell r="G330" t="str">
            <v>ja</v>
          </cell>
          <cell r="H330" t="str">
            <v>チャレンジタワー 22F</v>
          </cell>
          <cell r="I330" t="str">
            <v>試練の塔</v>
          </cell>
          <cell r="J330" t="str">
            <v>339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338,339,339</v>
          </cell>
          <cell r="U330">
            <v>13001</v>
          </cell>
          <cell r="V330">
            <v>21</v>
          </cell>
          <cell r="W330" t="str">
            <v>チャレンジタワー 21F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13001_23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23</v>
          </cell>
          <cell r="G331" t="str">
            <v>ja</v>
          </cell>
          <cell r="H331" t="str">
            <v>チャレンジタワー 23F</v>
          </cell>
          <cell r="I331" t="str">
            <v>試練の塔</v>
          </cell>
          <cell r="J331" t="str">
            <v>347</v>
          </cell>
          <cell r="K331">
            <v>20</v>
          </cell>
          <cell r="L331">
            <v>1821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346,347,347</v>
          </cell>
          <cell r="U331">
            <v>13001</v>
          </cell>
          <cell r="V331">
            <v>22</v>
          </cell>
          <cell r="W331" t="str">
            <v>チャレンジタワー 22F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13001_24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24</v>
          </cell>
          <cell r="G332" t="str">
            <v>ja</v>
          </cell>
          <cell r="H332" t="str">
            <v>チャレンジタワー 24F</v>
          </cell>
          <cell r="I332" t="str">
            <v>試練の塔</v>
          </cell>
          <cell r="J332" t="str">
            <v>343</v>
          </cell>
          <cell r="K332">
            <v>20</v>
          </cell>
          <cell r="L332">
            <v>2871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342,343,343</v>
          </cell>
          <cell r="U332">
            <v>13001</v>
          </cell>
          <cell r="V332">
            <v>23</v>
          </cell>
          <cell r="W332" t="str">
            <v>チャレンジタワー 23F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13001_25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25</v>
          </cell>
          <cell r="G333" t="str">
            <v>ja</v>
          </cell>
          <cell r="H333" t="str">
            <v>チャレンジタワー 25F</v>
          </cell>
          <cell r="I333" t="str">
            <v>試練の塔</v>
          </cell>
          <cell r="J333" t="str">
            <v>368</v>
          </cell>
          <cell r="K333">
            <v>22</v>
          </cell>
          <cell r="L333">
            <v>3740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368</v>
          </cell>
          <cell r="U333">
            <v>13001</v>
          </cell>
          <cell r="V333">
            <v>24</v>
          </cell>
          <cell r="W333" t="str">
            <v>チャレンジタワー 24F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13101_1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1</v>
          </cell>
          <cell r="G334" t="str">
            <v>ja</v>
          </cell>
          <cell r="H334" t="str">
            <v>チャレンジタワー 1F</v>
          </cell>
          <cell r="I334" t="str">
            <v>試練の塔</v>
          </cell>
          <cell r="J334">
            <v>345</v>
          </cell>
          <cell r="K334">
            <v>3</v>
          </cell>
          <cell r="L334">
            <v>120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345,345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13101_2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2</v>
          </cell>
          <cell r="G335" t="str">
            <v>ja</v>
          </cell>
          <cell r="H335" t="str">
            <v>チャレンジタワー 2F</v>
          </cell>
          <cell r="I335" t="str">
            <v>試練の塔</v>
          </cell>
          <cell r="J335">
            <v>333</v>
          </cell>
          <cell r="K335">
            <v>4</v>
          </cell>
          <cell r="L335">
            <v>176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333,333</v>
          </cell>
          <cell r="U335">
            <v>13101</v>
          </cell>
          <cell r="V335">
            <v>1</v>
          </cell>
          <cell r="W335" t="str">
            <v>チャレンジタワー 1F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13101_3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3</v>
          </cell>
          <cell r="G336" t="str">
            <v>ja</v>
          </cell>
          <cell r="H336" t="str">
            <v>チャレンジタワー 3F</v>
          </cell>
          <cell r="I336" t="str">
            <v>試練の塔</v>
          </cell>
          <cell r="J336">
            <v>337</v>
          </cell>
          <cell r="K336">
            <v>5</v>
          </cell>
          <cell r="L336">
            <v>242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337,337</v>
          </cell>
          <cell r="U336">
            <v>13101</v>
          </cell>
          <cell r="V336">
            <v>2</v>
          </cell>
          <cell r="W336" t="str">
            <v>チャレンジタワー 2F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13101_4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4</v>
          </cell>
          <cell r="G337" t="str">
            <v>ja</v>
          </cell>
          <cell r="H337" t="str">
            <v>チャレンジタワー 4F</v>
          </cell>
          <cell r="I337" t="str">
            <v>試練の塔</v>
          </cell>
          <cell r="J337">
            <v>341</v>
          </cell>
          <cell r="K337">
            <v>7</v>
          </cell>
          <cell r="L337">
            <v>508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341,341</v>
          </cell>
          <cell r="U337">
            <v>13101</v>
          </cell>
          <cell r="V337">
            <v>3</v>
          </cell>
          <cell r="W337" t="str">
            <v>チャレンジタワー 3F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13101_5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5</v>
          </cell>
          <cell r="G338" t="str">
            <v>ja</v>
          </cell>
          <cell r="H338" t="str">
            <v>チャレンジタワー 5F</v>
          </cell>
          <cell r="I338" t="str">
            <v>試練の塔</v>
          </cell>
          <cell r="J338">
            <v>333</v>
          </cell>
          <cell r="K338">
            <v>7</v>
          </cell>
          <cell r="L338">
            <v>280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333,337,341,345</v>
          </cell>
          <cell r="U338">
            <v>13101</v>
          </cell>
          <cell r="V338">
            <v>4</v>
          </cell>
          <cell r="W338" t="str">
            <v>チャレンジタワー 4F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13101_6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6</v>
          </cell>
          <cell r="G339" t="str">
            <v>ja</v>
          </cell>
          <cell r="H339" t="str">
            <v>チャレンジタワー 6F</v>
          </cell>
          <cell r="I339" t="str">
            <v>試練の塔</v>
          </cell>
          <cell r="J339">
            <v>346</v>
          </cell>
          <cell r="K339">
            <v>8</v>
          </cell>
          <cell r="L339">
            <v>474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346,345</v>
          </cell>
          <cell r="U339">
            <v>13101</v>
          </cell>
          <cell r="V339">
            <v>5</v>
          </cell>
          <cell r="W339" t="str">
            <v>チャレンジタワー 5F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13101_7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7</v>
          </cell>
          <cell r="G340" t="str">
            <v>ja</v>
          </cell>
          <cell r="H340" t="str">
            <v>チャレンジタワー 7F</v>
          </cell>
          <cell r="I340" t="str">
            <v>試練の塔</v>
          </cell>
          <cell r="J340">
            <v>342</v>
          </cell>
          <cell r="K340">
            <v>8</v>
          </cell>
          <cell r="L340">
            <v>486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342,341</v>
          </cell>
          <cell r="U340">
            <v>13101</v>
          </cell>
          <cell r="V340">
            <v>6</v>
          </cell>
          <cell r="W340" t="str">
            <v>チャレンジタワー 6F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13101_8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8</v>
          </cell>
          <cell r="G341" t="str">
            <v>ja</v>
          </cell>
          <cell r="H341" t="str">
            <v>チャレンジタワー 8F</v>
          </cell>
          <cell r="I341" t="str">
            <v>試練の塔</v>
          </cell>
          <cell r="J341">
            <v>334</v>
          </cell>
          <cell r="K341">
            <v>10</v>
          </cell>
          <cell r="L341">
            <v>1006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334,333</v>
          </cell>
          <cell r="U341">
            <v>13101</v>
          </cell>
          <cell r="V341">
            <v>7</v>
          </cell>
          <cell r="W341" t="str">
            <v>チャレンジタワー 7F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13101_9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9</v>
          </cell>
          <cell r="G342" t="str">
            <v>ja</v>
          </cell>
          <cell r="H342" t="str">
            <v>チャレンジタワー 9F</v>
          </cell>
          <cell r="I342" t="str">
            <v>試練の塔</v>
          </cell>
          <cell r="J342">
            <v>338</v>
          </cell>
          <cell r="K342">
            <v>10</v>
          </cell>
          <cell r="L342">
            <v>702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337,337,338</v>
          </cell>
          <cell r="U342">
            <v>13101</v>
          </cell>
          <cell r="V342">
            <v>8</v>
          </cell>
          <cell r="W342" t="str">
            <v>チャレンジタワー 8F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13101_10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10</v>
          </cell>
          <cell r="G343" t="str">
            <v>ja</v>
          </cell>
          <cell r="H343" t="str">
            <v>チャレンジタワー 10F</v>
          </cell>
          <cell r="I343" t="str">
            <v>試練の塔</v>
          </cell>
          <cell r="J343">
            <v>346</v>
          </cell>
          <cell r="K343">
            <v>11</v>
          </cell>
          <cell r="L343">
            <v>788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346,333,337,341</v>
          </cell>
          <cell r="U343">
            <v>13101</v>
          </cell>
          <cell r="V343">
            <v>9</v>
          </cell>
          <cell r="W343" t="str">
            <v>チャレンジタワー 9F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13101_11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11</v>
          </cell>
          <cell r="G344" t="str">
            <v>ja</v>
          </cell>
          <cell r="H344" t="str">
            <v>チャレンジタワー 11F</v>
          </cell>
          <cell r="I344" t="str">
            <v>試練の塔</v>
          </cell>
          <cell r="J344">
            <v>346</v>
          </cell>
          <cell r="K344">
            <v>12</v>
          </cell>
          <cell r="L344">
            <v>936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346,346</v>
          </cell>
          <cell r="U344">
            <v>13101</v>
          </cell>
          <cell r="V344">
            <v>10</v>
          </cell>
          <cell r="W344" t="str">
            <v>チャレンジタワー 10F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13101_12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12</v>
          </cell>
          <cell r="G345" t="str">
            <v>ja</v>
          </cell>
          <cell r="H345" t="str">
            <v>チャレンジタワー 12F</v>
          </cell>
          <cell r="I345" t="str">
            <v>試練の塔</v>
          </cell>
          <cell r="J345">
            <v>342</v>
          </cell>
          <cell r="K345">
            <v>13</v>
          </cell>
          <cell r="L345">
            <v>1601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342,342</v>
          </cell>
          <cell r="U345">
            <v>13101</v>
          </cell>
          <cell r="V345">
            <v>11</v>
          </cell>
          <cell r="W345" t="str">
            <v>チャレンジタワー 11F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13101_13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13</v>
          </cell>
          <cell r="G346" t="str">
            <v>ja</v>
          </cell>
          <cell r="H346" t="str">
            <v>チャレンジタワー 13F</v>
          </cell>
          <cell r="I346" t="str">
            <v>試練の塔</v>
          </cell>
          <cell r="J346">
            <v>338</v>
          </cell>
          <cell r="K346">
            <v>14</v>
          </cell>
          <cell r="L346">
            <v>945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</v>
          </cell>
          <cell r="U346">
            <v>13101</v>
          </cell>
          <cell r="V346">
            <v>12</v>
          </cell>
          <cell r="W346" t="str">
            <v>チャレンジタワー 12F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13101_14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14</v>
          </cell>
          <cell r="G347" t="str">
            <v>ja</v>
          </cell>
          <cell r="H347" t="str">
            <v>チャレンジタワー 14F</v>
          </cell>
          <cell r="I347" t="str">
            <v>試練の塔</v>
          </cell>
          <cell r="J347">
            <v>334</v>
          </cell>
          <cell r="K347">
            <v>14</v>
          </cell>
          <cell r="L347">
            <v>1188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334,334</v>
          </cell>
          <cell r="U347">
            <v>13101</v>
          </cell>
          <cell r="V347">
            <v>13</v>
          </cell>
          <cell r="W347" t="str">
            <v>チャレンジタワー 13F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13101_15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15</v>
          </cell>
          <cell r="G348" t="str">
            <v>ja</v>
          </cell>
          <cell r="H348" t="str">
            <v>チャレンジタワー 15F</v>
          </cell>
          <cell r="I348" t="str">
            <v>試練の塔</v>
          </cell>
          <cell r="J348">
            <v>316</v>
          </cell>
          <cell r="K348">
            <v>14</v>
          </cell>
          <cell r="L348">
            <v>1008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316</v>
          </cell>
          <cell r="U348">
            <v>13101</v>
          </cell>
          <cell r="V348">
            <v>14</v>
          </cell>
          <cell r="W348" t="str">
            <v>チャレンジタワー 14F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13101_16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16</v>
          </cell>
          <cell r="G349" t="str">
            <v>ja</v>
          </cell>
          <cell r="H349" t="str">
            <v>チャレンジタワー 16F</v>
          </cell>
          <cell r="I349" t="str">
            <v>試練の塔</v>
          </cell>
          <cell r="J349">
            <v>338</v>
          </cell>
          <cell r="K349">
            <v>16</v>
          </cell>
          <cell r="L349">
            <v>2573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338,338,337</v>
          </cell>
          <cell r="U349">
            <v>13101</v>
          </cell>
          <cell r="V349">
            <v>15</v>
          </cell>
          <cell r="W349" t="str">
            <v>チャレンジタワー 15F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13101_17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17</v>
          </cell>
          <cell r="G350" t="str">
            <v>ja</v>
          </cell>
          <cell r="H350" t="str">
            <v>チャレンジタワー 17F</v>
          </cell>
          <cell r="I350" t="str">
            <v>試練の塔</v>
          </cell>
          <cell r="J350">
            <v>346</v>
          </cell>
          <cell r="K350">
            <v>16</v>
          </cell>
          <cell r="L350">
            <v>1568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346,346,345</v>
          </cell>
          <cell r="U350">
            <v>13101</v>
          </cell>
          <cell r="V350">
            <v>16</v>
          </cell>
          <cell r="W350" t="str">
            <v>チャレンジタワー 16F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13101_18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18</v>
          </cell>
          <cell r="G351" t="str">
            <v>ja</v>
          </cell>
          <cell r="H351" t="str">
            <v>チャレンジタワー 18F</v>
          </cell>
          <cell r="I351" t="str">
            <v>試練の塔</v>
          </cell>
          <cell r="J351">
            <v>334</v>
          </cell>
          <cell r="K351">
            <v>17</v>
          </cell>
          <cell r="L351">
            <v>1821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334,334,333</v>
          </cell>
          <cell r="U351">
            <v>13101</v>
          </cell>
          <cell r="V351">
            <v>17</v>
          </cell>
          <cell r="W351" t="str">
            <v>チャレンジタワー 17F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13101_19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19</v>
          </cell>
          <cell r="G352" t="str">
            <v>ja</v>
          </cell>
          <cell r="H352" t="str">
            <v>チャレンジタワー 19F</v>
          </cell>
          <cell r="I352" t="str">
            <v>試練の塔</v>
          </cell>
          <cell r="J352">
            <v>342</v>
          </cell>
          <cell r="K352">
            <v>18</v>
          </cell>
          <cell r="L352">
            <v>2108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342,342,341</v>
          </cell>
          <cell r="U352">
            <v>13101</v>
          </cell>
          <cell r="V352">
            <v>18</v>
          </cell>
          <cell r="W352" t="str">
            <v>チャレンジタワー 18F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13101_20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20</v>
          </cell>
          <cell r="G353" t="str">
            <v>ja</v>
          </cell>
          <cell r="H353" t="str">
            <v>チャレンジタワー 20F</v>
          </cell>
          <cell r="I353" t="str">
            <v>試練の塔</v>
          </cell>
          <cell r="J353">
            <v>318</v>
          </cell>
          <cell r="K353">
            <v>18</v>
          </cell>
          <cell r="L353">
            <v>1620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318</v>
          </cell>
          <cell r="U353">
            <v>13101</v>
          </cell>
          <cell r="V353">
            <v>19</v>
          </cell>
          <cell r="W353" t="str">
            <v>チャレンジタワー 19F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13101_21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21</v>
          </cell>
          <cell r="G354" t="str">
            <v>ja</v>
          </cell>
          <cell r="H354" t="str">
            <v>チャレンジタワー 21F</v>
          </cell>
          <cell r="I354" t="str">
            <v>試練の塔</v>
          </cell>
          <cell r="J354" t="str">
            <v>335</v>
          </cell>
          <cell r="K354">
            <v>18</v>
          </cell>
          <cell r="L354">
            <v>1620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334,335,335</v>
          </cell>
          <cell r="U354">
            <v>13101</v>
          </cell>
          <cell r="V354">
            <v>20</v>
          </cell>
          <cell r="W354" t="str">
            <v>チャレンジタワー 20F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13101_22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22</v>
          </cell>
          <cell r="G355" t="str">
            <v>ja</v>
          </cell>
          <cell r="H355" t="str">
            <v>チャレンジタワー 22F</v>
          </cell>
          <cell r="I355" t="str">
            <v>試練の塔</v>
          </cell>
          <cell r="J355" t="str">
            <v>339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338,339,339</v>
          </cell>
          <cell r="U355">
            <v>13101</v>
          </cell>
          <cell r="V355">
            <v>21</v>
          </cell>
          <cell r="W355" t="str">
            <v>チャレンジタワー 21F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13101_23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23</v>
          </cell>
          <cell r="G356" t="str">
            <v>ja</v>
          </cell>
          <cell r="H356" t="str">
            <v>チャレンジタワー 23F</v>
          </cell>
          <cell r="I356" t="str">
            <v>試練の塔</v>
          </cell>
          <cell r="J356" t="str">
            <v>347</v>
          </cell>
          <cell r="K356">
            <v>20</v>
          </cell>
          <cell r="L356">
            <v>1821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346,347,347</v>
          </cell>
          <cell r="U356">
            <v>13101</v>
          </cell>
          <cell r="V356">
            <v>22</v>
          </cell>
          <cell r="W356" t="str">
            <v>チャレンジタワー 22F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13101_24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24</v>
          </cell>
          <cell r="G357" t="str">
            <v>ja</v>
          </cell>
          <cell r="H357" t="str">
            <v>チャレンジタワー 24F</v>
          </cell>
          <cell r="I357" t="str">
            <v>試練の塔</v>
          </cell>
          <cell r="J357" t="str">
            <v>343</v>
          </cell>
          <cell r="K357">
            <v>20</v>
          </cell>
          <cell r="L357">
            <v>2871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342,343,343</v>
          </cell>
          <cell r="U357">
            <v>13101</v>
          </cell>
          <cell r="V357">
            <v>23</v>
          </cell>
          <cell r="W357" t="str">
            <v>チャレンジタワー 23F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13101_25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25</v>
          </cell>
          <cell r="G358" t="str">
            <v>ja</v>
          </cell>
          <cell r="H358" t="str">
            <v>チャレンジタワー 25F</v>
          </cell>
          <cell r="I358" t="str">
            <v>試練の塔</v>
          </cell>
          <cell r="J358" t="str">
            <v>368</v>
          </cell>
          <cell r="K358">
            <v>22</v>
          </cell>
          <cell r="L358">
            <v>3740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368</v>
          </cell>
          <cell r="U358">
            <v>13101</v>
          </cell>
          <cell r="V358">
            <v>24</v>
          </cell>
          <cell r="W358" t="str">
            <v>チャレンジタワー 24F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13300_1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1</v>
          </cell>
          <cell r="G359" t="str">
            <v>ja</v>
          </cell>
          <cell r="H359" t="str">
            <v>1階 コスト制限なし</v>
          </cell>
          <cell r="I359" t="str">
            <v>タワーオブザクイーン</v>
          </cell>
          <cell r="J359">
            <v>347</v>
          </cell>
          <cell r="K359">
            <v>15</v>
          </cell>
          <cell r="L359">
            <v>750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347,347,347,837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13300_2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2</v>
          </cell>
          <cell r="G360" t="str">
            <v>ja</v>
          </cell>
          <cell r="H360" t="str">
            <v>2階 コスト制限なし</v>
          </cell>
          <cell r="I360" t="str">
            <v>タワーオブザクイーン</v>
          </cell>
          <cell r="J360">
            <v>343</v>
          </cell>
          <cell r="K360">
            <v>18</v>
          </cell>
          <cell r="L360">
            <v>990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343,343,343,342</v>
          </cell>
          <cell r="U360">
            <v>13300</v>
          </cell>
          <cell r="V360">
            <v>1</v>
          </cell>
          <cell r="W360" t="str">
            <v>1階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13300_3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3</v>
          </cell>
          <cell r="G361" t="str">
            <v>ja</v>
          </cell>
          <cell r="H361" t="str">
            <v>3階 コスト制限なし</v>
          </cell>
          <cell r="I361" t="str">
            <v>タワーオブザクイーン</v>
          </cell>
          <cell r="J361">
            <v>335</v>
          </cell>
          <cell r="K361">
            <v>19</v>
          </cell>
          <cell r="L361">
            <v>1140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335,335,335,334</v>
          </cell>
          <cell r="U361">
            <v>13300</v>
          </cell>
          <cell r="V361">
            <v>2</v>
          </cell>
          <cell r="W361" t="str">
            <v>2階 コスト制限なし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13300_4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4</v>
          </cell>
          <cell r="G362" t="str">
            <v>ja</v>
          </cell>
          <cell r="H362" t="str">
            <v>4階 コスト制限なし</v>
          </cell>
          <cell r="I362" t="str">
            <v>タワーオブザクイーン</v>
          </cell>
          <cell r="J362">
            <v>339</v>
          </cell>
          <cell r="K362">
            <v>20</v>
          </cell>
          <cell r="L362">
            <v>1300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339,339,339,338</v>
          </cell>
          <cell r="U362">
            <v>13300</v>
          </cell>
          <cell r="V362">
            <v>3</v>
          </cell>
          <cell r="W362" t="str">
            <v>3階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13300_5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5</v>
          </cell>
          <cell r="G363" t="str">
            <v>ja</v>
          </cell>
          <cell r="H363" t="str">
            <v>5階 コスト30以下限定</v>
          </cell>
          <cell r="I363" t="str">
            <v>タワーオブザクイーン</v>
          </cell>
          <cell r="J363">
            <v>837</v>
          </cell>
          <cell r="K363">
            <v>24</v>
          </cell>
          <cell r="L363">
            <v>1680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837,610,125</v>
          </cell>
          <cell r="U363">
            <v>13300</v>
          </cell>
          <cell r="V363">
            <v>4</v>
          </cell>
          <cell r="W363" t="str">
            <v>4階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13300_6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6</v>
          </cell>
          <cell r="G364" t="str">
            <v>ja</v>
          </cell>
          <cell r="H364" t="str">
            <v>6階 コスト30以下ヒューマン限定</v>
          </cell>
          <cell r="I364" t="str">
            <v>タワーオブザクイーン</v>
          </cell>
          <cell r="J364">
            <v>612</v>
          </cell>
          <cell r="K364">
            <v>25</v>
          </cell>
          <cell r="L364">
            <v>1875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612,612,355</v>
          </cell>
          <cell r="U364">
            <v>13300</v>
          </cell>
          <cell r="V364">
            <v>5</v>
          </cell>
          <cell r="W364" t="str">
            <v>5階 コスト30以下限定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13300_7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7</v>
          </cell>
          <cell r="G365" t="str">
            <v>ja</v>
          </cell>
          <cell r="H365" t="str">
            <v>7階 コスト制限なし</v>
          </cell>
          <cell r="I365" t="str">
            <v>タワーオブザクイーン</v>
          </cell>
          <cell r="J365">
            <v>613</v>
          </cell>
          <cell r="K365">
            <v>28</v>
          </cell>
          <cell r="L365">
            <v>2240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613,613,353</v>
          </cell>
          <cell r="U365">
            <v>13300</v>
          </cell>
          <cell r="V365">
            <v>6</v>
          </cell>
          <cell r="W365" t="str">
            <v>6階 コスト30以下ヒューマン限定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13300_8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8</v>
          </cell>
          <cell r="G366" t="str">
            <v>ja</v>
          </cell>
          <cell r="H366" t="str">
            <v>8階 コスト28以下限定</v>
          </cell>
          <cell r="I366" t="str">
            <v>タワーオブザクイーン</v>
          </cell>
          <cell r="J366">
            <v>611</v>
          </cell>
          <cell r="K366">
            <v>30</v>
          </cell>
          <cell r="L366">
            <v>2550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611,611,349</v>
          </cell>
          <cell r="U366">
            <v>13300</v>
          </cell>
          <cell r="V366">
            <v>7</v>
          </cell>
          <cell r="W366" t="str">
            <v>7階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13300_9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9</v>
          </cell>
          <cell r="G367" t="str">
            <v>ja</v>
          </cell>
          <cell r="H367" t="str">
            <v>9階 コスト28以下ヒューマン限定</v>
          </cell>
          <cell r="I367" t="str">
            <v>タワーオブザクイーン</v>
          </cell>
          <cell r="J367">
            <v>610</v>
          </cell>
          <cell r="K367">
            <v>31</v>
          </cell>
          <cell r="L367">
            <v>2790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837,610,125</v>
          </cell>
          <cell r="U367">
            <v>13300</v>
          </cell>
          <cell r="V367">
            <v>8</v>
          </cell>
          <cell r="W367" t="str">
            <v>8階 コスト28以下限定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13300_10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10</v>
          </cell>
          <cell r="G368" t="str">
            <v>ja</v>
          </cell>
          <cell r="H368" t="str">
            <v>10階 ボナンザ 現る！</v>
          </cell>
          <cell r="I368" t="str">
            <v>タワーオブザクイーン</v>
          </cell>
          <cell r="J368">
            <v>0</v>
          </cell>
          <cell r="K368">
            <v>35</v>
          </cell>
          <cell r="L368">
            <v>3325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 t="str">
            <v>2</v>
          </cell>
          <cell r="U368">
            <v>13300</v>
          </cell>
          <cell r="V368">
            <v>9</v>
          </cell>
          <cell r="W368" t="str">
            <v>9階 コスト28以下ヒューマン限定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13300_11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11</v>
          </cell>
          <cell r="G369" t="str">
            <v>ja</v>
          </cell>
          <cell r="H369" t="str">
            <v>11階 コスト30以下限定</v>
          </cell>
          <cell r="I369" t="str">
            <v>タワーオブザクイーン</v>
          </cell>
          <cell r="J369">
            <v>612</v>
          </cell>
          <cell r="K369">
            <v>37</v>
          </cell>
          <cell r="L369">
            <v>3700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612,612,612,351</v>
          </cell>
          <cell r="U369">
            <v>13300</v>
          </cell>
          <cell r="V369">
            <v>10</v>
          </cell>
          <cell r="W369" t="str">
            <v>10階 ボナンザ 現る！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13300_12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12</v>
          </cell>
          <cell r="G370" t="str">
            <v>ja</v>
          </cell>
          <cell r="H370" t="str">
            <v>12階 コスト30以下ヒューマン限定</v>
          </cell>
          <cell r="I370" t="str">
            <v>タワーオブザクイーン</v>
          </cell>
          <cell r="J370">
            <v>613</v>
          </cell>
          <cell r="K370">
            <v>38</v>
          </cell>
          <cell r="L370">
            <v>3990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613,613,613,346</v>
          </cell>
          <cell r="U370">
            <v>13300</v>
          </cell>
          <cell r="V370">
            <v>11</v>
          </cell>
          <cell r="W370" t="str">
            <v>11階 コスト30以下限定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13300_13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13</v>
          </cell>
          <cell r="G371" t="str">
            <v>ja</v>
          </cell>
          <cell r="H371" t="str">
            <v>13階 コスト制限なし</v>
          </cell>
          <cell r="I371" t="str">
            <v>タワーオブザクイーン</v>
          </cell>
          <cell r="J371">
            <v>611</v>
          </cell>
          <cell r="K371">
            <v>39</v>
          </cell>
          <cell r="L371">
            <v>4290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611,611,611,338</v>
          </cell>
          <cell r="U371">
            <v>13300</v>
          </cell>
          <cell r="V371">
            <v>12</v>
          </cell>
          <cell r="W371" t="str">
            <v>12階 コスト30以下ヒューマン限定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13300_14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14</v>
          </cell>
          <cell r="G372" t="str">
            <v>ja</v>
          </cell>
          <cell r="H372" t="str">
            <v>14階 コスト制限なし</v>
          </cell>
          <cell r="I372" t="str">
            <v>タワーオブザクイーン</v>
          </cell>
          <cell r="J372">
            <v>614</v>
          </cell>
          <cell r="K372">
            <v>40</v>
          </cell>
          <cell r="L372">
            <v>4600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614,611,334,334</v>
          </cell>
          <cell r="U372">
            <v>13300</v>
          </cell>
          <cell r="V372">
            <v>13</v>
          </cell>
          <cell r="W372" t="str">
            <v>13階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13300_15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15</v>
          </cell>
          <cell r="G373" t="str">
            <v>ja</v>
          </cell>
          <cell r="H373" t="str">
            <v>15階 アヴァルシアの女王 ボナンザ</v>
          </cell>
          <cell r="I373" t="str">
            <v>タワーオブザクイーン</v>
          </cell>
          <cell r="J373">
            <v>1115</v>
          </cell>
          <cell r="K373">
            <v>50</v>
          </cell>
          <cell r="L373">
            <v>6250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1114</v>
          </cell>
          <cell r="U373">
            <v>13300</v>
          </cell>
          <cell r="V373">
            <v>14</v>
          </cell>
          <cell r="W373" t="str">
            <v>14階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13301_1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</v>
          </cell>
          <cell r="G374" t="str">
            <v>ja</v>
          </cell>
          <cell r="H374" t="str">
            <v>1階 コスト制限なし</v>
          </cell>
          <cell r="I374" t="str">
            <v>タワーオブザクイーン</v>
          </cell>
          <cell r="J374">
            <v>347</v>
          </cell>
          <cell r="K374">
            <v>15</v>
          </cell>
          <cell r="L374">
            <v>750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347,837,347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13301_2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2</v>
          </cell>
          <cell r="G375" t="str">
            <v>ja</v>
          </cell>
          <cell r="H375" t="str">
            <v>2階 コスト制限なし</v>
          </cell>
          <cell r="I375" t="str">
            <v>タワーオブザクイーン</v>
          </cell>
          <cell r="J375">
            <v>343</v>
          </cell>
          <cell r="K375">
            <v>18</v>
          </cell>
          <cell r="L375">
            <v>990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343,343,343</v>
          </cell>
          <cell r="U375">
            <v>13301</v>
          </cell>
          <cell r="V375">
            <v>1</v>
          </cell>
          <cell r="W375" t="str">
            <v>1階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13301_3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3</v>
          </cell>
          <cell r="G376" t="str">
            <v>ja</v>
          </cell>
          <cell r="H376" t="str">
            <v>3階 コスト制限なし</v>
          </cell>
          <cell r="I376" t="str">
            <v>タワーオブザクイーン</v>
          </cell>
          <cell r="J376">
            <v>335</v>
          </cell>
          <cell r="K376">
            <v>19</v>
          </cell>
          <cell r="L376">
            <v>1140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335,335,335</v>
          </cell>
          <cell r="U376">
            <v>13301</v>
          </cell>
          <cell r="V376">
            <v>2</v>
          </cell>
          <cell r="W376" t="str">
            <v>2階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13301_4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4</v>
          </cell>
          <cell r="G377" t="str">
            <v>ja</v>
          </cell>
          <cell r="H377" t="str">
            <v>4階 コスト制限なし</v>
          </cell>
          <cell r="I377" t="str">
            <v>タワーオブザクイーン</v>
          </cell>
          <cell r="J377">
            <v>339</v>
          </cell>
          <cell r="K377">
            <v>20</v>
          </cell>
          <cell r="L377">
            <v>1300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339,339,339</v>
          </cell>
          <cell r="U377">
            <v>13301</v>
          </cell>
          <cell r="V377">
            <v>3</v>
          </cell>
          <cell r="W377" t="str">
            <v>3階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13301_5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5</v>
          </cell>
          <cell r="G378" t="str">
            <v>ja</v>
          </cell>
          <cell r="H378" t="str">
            <v>5階 コスト30以下限定</v>
          </cell>
          <cell r="I378" t="str">
            <v>タワーオブザクイーン</v>
          </cell>
          <cell r="J378">
            <v>837</v>
          </cell>
          <cell r="K378">
            <v>24</v>
          </cell>
          <cell r="L378">
            <v>1680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837,610,125</v>
          </cell>
          <cell r="U378">
            <v>13301</v>
          </cell>
          <cell r="V378">
            <v>4</v>
          </cell>
          <cell r="W378" t="str">
            <v>4階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13301_6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6</v>
          </cell>
          <cell r="G379" t="str">
            <v>ja</v>
          </cell>
          <cell r="H379" t="str">
            <v>6階 コスト30以下ヒューマン限定</v>
          </cell>
          <cell r="I379" t="str">
            <v>タワーオブザクイーン</v>
          </cell>
          <cell r="J379">
            <v>612</v>
          </cell>
          <cell r="K379">
            <v>25</v>
          </cell>
          <cell r="L379">
            <v>1875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612,612,355</v>
          </cell>
          <cell r="U379">
            <v>13301</v>
          </cell>
          <cell r="V379">
            <v>5</v>
          </cell>
          <cell r="W379" t="str">
            <v>5階 コスト30以下限定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13301_7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7</v>
          </cell>
          <cell r="G380" t="str">
            <v>ja</v>
          </cell>
          <cell r="H380" t="str">
            <v>7階 コスト制限なし</v>
          </cell>
          <cell r="I380" t="str">
            <v>タワーオブザクイーン</v>
          </cell>
          <cell r="J380">
            <v>613</v>
          </cell>
          <cell r="K380">
            <v>28</v>
          </cell>
          <cell r="L380">
            <v>2240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613,613,353</v>
          </cell>
          <cell r="U380">
            <v>13301</v>
          </cell>
          <cell r="V380">
            <v>6</v>
          </cell>
          <cell r="W380" t="str">
            <v>6階 コスト30以下ヒューマン限定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13301_8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8</v>
          </cell>
          <cell r="G381" t="str">
            <v>ja</v>
          </cell>
          <cell r="H381" t="str">
            <v>8階 コスト28以下限定</v>
          </cell>
          <cell r="I381" t="str">
            <v>タワーオブザクイーン</v>
          </cell>
          <cell r="J381">
            <v>611</v>
          </cell>
          <cell r="K381">
            <v>30</v>
          </cell>
          <cell r="L381">
            <v>2550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611,611,349</v>
          </cell>
          <cell r="U381">
            <v>13301</v>
          </cell>
          <cell r="V381">
            <v>7</v>
          </cell>
          <cell r="W381" t="str">
            <v>7階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13301_9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9</v>
          </cell>
          <cell r="G382" t="str">
            <v>ja</v>
          </cell>
          <cell r="H382" t="str">
            <v>9階 コスト28以下ヒューマン限定</v>
          </cell>
          <cell r="I382" t="str">
            <v>タワーオブザクイーン</v>
          </cell>
          <cell r="J382">
            <v>837</v>
          </cell>
          <cell r="K382">
            <v>31</v>
          </cell>
          <cell r="L382">
            <v>2790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837,610,125</v>
          </cell>
          <cell r="U382">
            <v>13301</v>
          </cell>
          <cell r="V382">
            <v>8</v>
          </cell>
          <cell r="W382" t="str">
            <v>8階 コスト28以下限定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13301_10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10</v>
          </cell>
          <cell r="G383" t="str">
            <v>ja</v>
          </cell>
          <cell r="H383" t="str">
            <v>10階 ボナンザ 現る！</v>
          </cell>
          <cell r="I383" t="str">
            <v>タワーオブザクイーン</v>
          </cell>
          <cell r="J383">
            <v>0</v>
          </cell>
          <cell r="K383">
            <v>35</v>
          </cell>
          <cell r="L383">
            <v>3325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 t="str">
            <v>2</v>
          </cell>
          <cell r="U383">
            <v>13301</v>
          </cell>
          <cell r="V383">
            <v>9</v>
          </cell>
          <cell r="W383" t="str">
            <v>9階 コスト28以下ヒューマン限定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13301_11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11</v>
          </cell>
          <cell r="G384" t="str">
            <v>ja</v>
          </cell>
          <cell r="H384" t="str">
            <v>11階 コスト30以下限定</v>
          </cell>
          <cell r="I384" t="str">
            <v>タワーオブザクイーン</v>
          </cell>
          <cell r="J384">
            <v>612</v>
          </cell>
          <cell r="K384">
            <v>37</v>
          </cell>
          <cell r="L384">
            <v>3700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612,612,612</v>
          </cell>
          <cell r="U384">
            <v>13301</v>
          </cell>
          <cell r="V384">
            <v>10</v>
          </cell>
          <cell r="W384" t="str">
            <v>10階 ボナンザ 現る！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13301_12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12</v>
          </cell>
          <cell r="G385" t="str">
            <v>ja</v>
          </cell>
          <cell r="H385" t="str">
            <v>12階 コスト30以下ヒューマン限定</v>
          </cell>
          <cell r="I385" t="str">
            <v>タワーオブザクイーン</v>
          </cell>
          <cell r="J385">
            <v>613</v>
          </cell>
          <cell r="K385">
            <v>38</v>
          </cell>
          <cell r="L385">
            <v>3990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613,613,613</v>
          </cell>
          <cell r="U385">
            <v>13301</v>
          </cell>
          <cell r="V385">
            <v>11</v>
          </cell>
          <cell r="W385" t="str">
            <v>11階 コスト30以下限定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13301_13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13</v>
          </cell>
          <cell r="G386" t="str">
            <v>ja</v>
          </cell>
          <cell r="H386" t="str">
            <v>13階 コスト制限なし</v>
          </cell>
          <cell r="I386" t="str">
            <v>タワーオブザクイーン</v>
          </cell>
          <cell r="J386">
            <v>611</v>
          </cell>
          <cell r="K386">
            <v>39</v>
          </cell>
          <cell r="L386">
            <v>4290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611,611,611</v>
          </cell>
          <cell r="U386">
            <v>13301</v>
          </cell>
          <cell r="V386">
            <v>12</v>
          </cell>
          <cell r="W386" t="str">
            <v>12階 コスト30以下ヒューマン限定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13301_14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14</v>
          </cell>
          <cell r="G387" t="str">
            <v>ja</v>
          </cell>
          <cell r="H387" t="str">
            <v>14階 コスト制限なし</v>
          </cell>
          <cell r="I387" t="str">
            <v>タワーオブザクイーン</v>
          </cell>
          <cell r="J387">
            <v>614</v>
          </cell>
          <cell r="K387">
            <v>40</v>
          </cell>
          <cell r="L387">
            <v>4600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614,611,351</v>
          </cell>
          <cell r="U387">
            <v>13301</v>
          </cell>
          <cell r="V387">
            <v>13</v>
          </cell>
          <cell r="W387" t="str">
            <v>13階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13301_15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15</v>
          </cell>
          <cell r="G388" t="str">
            <v>ja</v>
          </cell>
          <cell r="H388" t="str">
            <v>15階 アヴァルシアの女王 ボナンザ</v>
          </cell>
          <cell r="I388" t="str">
            <v>タワーオブザクイーン</v>
          </cell>
          <cell r="J388">
            <v>1115</v>
          </cell>
          <cell r="K388">
            <v>50</v>
          </cell>
          <cell r="L388">
            <v>6250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1114</v>
          </cell>
          <cell r="U388">
            <v>13301</v>
          </cell>
          <cell r="V388">
            <v>14</v>
          </cell>
          <cell r="W388" t="str">
            <v>14階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13302_1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</v>
          </cell>
          <cell r="G389" t="str">
            <v>ja</v>
          </cell>
          <cell r="H389" t="str">
            <v>1階 コスト制限なし</v>
          </cell>
          <cell r="I389" t="str">
            <v>タワーオブザクイーン</v>
          </cell>
          <cell r="J389">
            <v>347</v>
          </cell>
          <cell r="K389">
            <v>10</v>
          </cell>
          <cell r="L389">
            <v>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347,837,347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13302_2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2</v>
          </cell>
          <cell r="G390" t="str">
            <v>ja</v>
          </cell>
          <cell r="H390" t="str">
            <v>2階 コスト制限なし</v>
          </cell>
          <cell r="I390" t="str">
            <v>タワーオブザクイーン</v>
          </cell>
          <cell r="J390">
            <v>343</v>
          </cell>
          <cell r="K390">
            <v>11</v>
          </cell>
          <cell r="L390">
            <v>860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343,343,125</v>
          </cell>
          <cell r="U390">
            <v>13302</v>
          </cell>
          <cell r="V390">
            <v>1</v>
          </cell>
          <cell r="W390" t="str">
            <v>1階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13302_3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3</v>
          </cell>
          <cell r="G391" t="str">
            <v>ja</v>
          </cell>
          <cell r="H391" t="str">
            <v>3階 コスト制限なし</v>
          </cell>
          <cell r="I391" t="str">
            <v>タワーオブザクイーン</v>
          </cell>
          <cell r="J391">
            <v>335</v>
          </cell>
          <cell r="K391">
            <v>12</v>
          </cell>
          <cell r="L391">
            <v>1140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335,335,125</v>
          </cell>
          <cell r="U391">
            <v>13302</v>
          </cell>
          <cell r="V391">
            <v>2</v>
          </cell>
          <cell r="W391" t="str">
            <v>2階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13302_4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4</v>
          </cell>
          <cell r="G392" t="str">
            <v>ja</v>
          </cell>
          <cell r="H392" t="str">
            <v>4階 コスト制限なし</v>
          </cell>
          <cell r="I392" t="str">
            <v>タワーオブザクイーン</v>
          </cell>
          <cell r="J392">
            <v>339</v>
          </cell>
          <cell r="K392">
            <v>13</v>
          </cell>
          <cell r="L392">
            <v>1440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339,339,125</v>
          </cell>
          <cell r="U392">
            <v>13302</v>
          </cell>
          <cell r="V392">
            <v>3</v>
          </cell>
          <cell r="W392" t="str">
            <v>3階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13302_5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5</v>
          </cell>
          <cell r="G393" t="str">
            <v>ja</v>
          </cell>
          <cell r="H393" t="str">
            <v>5階 コスト30以下限定</v>
          </cell>
          <cell r="I393" t="str">
            <v>タワーオブザクイーン</v>
          </cell>
          <cell r="J393">
            <v>837</v>
          </cell>
          <cell r="K393">
            <v>14</v>
          </cell>
          <cell r="L393">
            <v>1760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837,610,610</v>
          </cell>
          <cell r="U393">
            <v>13302</v>
          </cell>
          <cell r="V393">
            <v>4</v>
          </cell>
          <cell r="W393" t="str">
            <v>4階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13302_6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6</v>
          </cell>
          <cell r="G394" t="str">
            <v>ja</v>
          </cell>
          <cell r="H394" t="str">
            <v>6階 コスト30以下ヒューマン限定</v>
          </cell>
          <cell r="I394" t="str">
            <v>タワーオブザクイーン</v>
          </cell>
          <cell r="J394">
            <v>612</v>
          </cell>
          <cell r="K394">
            <v>15</v>
          </cell>
          <cell r="L394">
            <v>2100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612,612,355</v>
          </cell>
          <cell r="U394">
            <v>13302</v>
          </cell>
          <cell r="V394">
            <v>5</v>
          </cell>
          <cell r="W394" t="str">
            <v>5階 コスト30以下限定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13302_7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7</v>
          </cell>
          <cell r="G395" t="str">
            <v>ja</v>
          </cell>
          <cell r="H395" t="str">
            <v>7階 コスト制限なし</v>
          </cell>
          <cell r="I395" t="str">
            <v>タワーオブザクイーン</v>
          </cell>
          <cell r="J395">
            <v>613</v>
          </cell>
          <cell r="K395">
            <v>16</v>
          </cell>
          <cell r="L395">
            <v>2460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613,613,353</v>
          </cell>
          <cell r="U395">
            <v>13302</v>
          </cell>
          <cell r="V395">
            <v>6</v>
          </cell>
          <cell r="W395" t="str">
            <v>6階 コスト30以下ヒューマン限定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13302_8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8</v>
          </cell>
          <cell r="G396" t="str">
            <v>ja</v>
          </cell>
          <cell r="H396" t="str">
            <v>8階 コスト28以下限定</v>
          </cell>
          <cell r="I396" t="str">
            <v>タワーオブザクイーン</v>
          </cell>
          <cell r="J396">
            <v>611</v>
          </cell>
          <cell r="K396">
            <v>17</v>
          </cell>
          <cell r="L396">
            <v>2840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611,611,349</v>
          </cell>
          <cell r="U396">
            <v>13302</v>
          </cell>
          <cell r="V396">
            <v>7</v>
          </cell>
          <cell r="W396" t="str">
            <v>7階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13302_9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9</v>
          </cell>
          <cell r="G397" t="str">
            <v>ja</v>
          </cell>
          <cell r="H397" t="str">
            <v>9階 コスト28以下ヒューマン限定</v>
          </cell>
          <cell r="I397" t="str">
            <v>タワーオブザクイーン</v>
          </cell>
          <cell r="J397">
            <v>837</v>
          </cell>
          <cell r="K397">
            <v>18</v>
          </cell>
          <cell r="L397">
            <v>3240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837,614,351</v>
          </cell>
          <cell r="U397">
            <v>13302</v>
          </cell>
          <cell r="V397">
            <v>8</v>
          </cell>
          <cell r="W397" t="str">
            <v>8階 コスト28以下限定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13302_10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10</v>
          </cell>
          <cell r="G398" t="str">
            <v>ja</v>
          </cell>
          <cell r="H398" t="str">
            <v>10階 ボナンザ 現る！</v>
          </cell>
          <cell r="I398" t="str">
            <v>タワーオブザクイーン</v>
          </cell>
          <cell r="J398">
            <v>0</v>
          </cell>
          <cell r="K398">
            <v>19</v>
          </cell>
          <cell r="L398">
            <v>3660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 t="str">
            <v>7</v>
          </cell>
          <cell r="U398">
            <v>13302</v>
          </cell>
          <cell r="V398">
            <v>9</v>
          </cell>
          <cell r="W398" t="str">
            <v>9階 コスト28以下ヒューマン限定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13302_11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11</v>
          </cell>
          <cell r="G399" t="str">
            <v>ja</v>
          </cell>
          <cell r="H399" t="str">
            <v>11階 コスト30以下限定</v>
          </cell>
          <cell r="I399" t="str">
            <v>タワーオブザクイーン</v>
          </cell>
          <cell r="J399">
            <v>612</v>
          </cell>
          <cell r="K399">
            <v>20</v>
          </cell>
          <cell r="L399">
            <v>4100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612,612,612</v>
          </cell>
          <cell r="U399">
            <v>13302</v>
          </cell>
          <cell r="V399">
            <v>10</v>
          </cell>
          <cell r="W399" t="str">
            <v>10階 ボナンザ 現る！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13302_12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12</v>
          </cell>
          <cell r="G400" t="str">
            <v>ja</v>
          </cell>
          <cell r="H400" t="str">
            <v>12階 コスト30以下ヒューマン限定</v>
          </cell>
          <cell r="I400" t="str">
            <v>タワーオブザクイーン</v>
          </cell>
          <cell r="J400">
            <v>613</v>
          </cell>
          <cell r="K400">
            <v>21</v>
          </cell>
          <cell r="L400">
            <v>4560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613,613,613</v>
          </cell>
          <cell r="U400">
            <v>13302</v>
          </cell>
          <cell r="V400">
            <v>11</v>
          </cell>
          <cell r="W400" t="str">
            <v>11階 コスト30以下限定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13302_13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13</v>
          </cell>
          <cell r="G401" t="str">
            <v>ja</v>
          </cell>
          <cell r="H401" t="str">
            <v>13階 コスト制限なし</v>
          </cell>
          <cell r="I401" t="str">
            <v>タワーオブザクイーン</v>
          </cell>
          <cell r="J401">
            <v>611</v>
          </cell>
          <cell r="K401">
            <v>22</v>
          </cell>
          <cell r="L401">
            <v>5040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611,611,611</v>
          </cell>
          <cell r="U401">
            <v>13302</v>
          </cell>
          <cell r="V401">
            <v>12</v>
          </cell>
          <cell r="W401" t="str">
            <v>12階 コスト30以下ヒューマン限定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13302_14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14</v>
          </cell>
          <cell r="G402" t="str">
            <v>ja</v>
          </cell>
          <cell r="H402" t="str">
            <v>14階 コスト制限なし</v>
          </cell>
          <cell r="I402" t="str">
            <v>タワーオブザクイーン</v>
          </cell>
          <cell r="J402">
            <v>614</v>
          </cell>
          <cell r="K402">
            <v>23</v>
          </cell>
          <cell r="L402">
            <v>5540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614,614</v>
          </cell>
          <cell r="U402">
            <v>13302</v>
          </cell>
          <cell r="V402">
            <v>13</v>
          </cell>
          <cell r="W402" t="str">
            <v>13階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13302_15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15</v>
          </cell>
          <cell r="G403" t="str">
            <v>ja</v>
          </cell>
          <cell r="H403" t="str">
            <v>15階 アヴァルシアの女王 ボナンザ</v>
          </cell>
          <cell r="I403" t="str">
            <v>タワーオブザクイーン</v>
          </cell>
          <cell r="J403">
            <v>1115</v>
          </cell>
          <cell r="K403">
            <v>50</v>
          </cell>
          <cell r="L403">
            <v>10000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1114</v>
          </cell>
          <cell r="U403">
            <v>13302</v>
          </cell>
          <cell r="V403">
            <v>14</v>
          </cell>
          <cell r="W403" t="str">
            <v>14階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13400_1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1</v>
          </cell>
          <cell r="G404" t="str">
            <v>ja</v>
          </cell>
          <cell r="H404" t="str">
            <v>1階 コスト制限なし</v>
          </cell>
          <cell r="I404" t="str">
            <v>タワーオブザクイーン</v>
          </cell>
          <cell r="J404">
            <v>347</v>
          </cell>
          <cell r="K404">
            <v>10</v>
          </cell>
          <cell r="L404">
            <v>600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 t="str">
            <v>347,837,347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976</v>
          </cell>
          <cell r="AD404">
            <v>6</v>
          </cell>
          <cell r="AE404" t="str">
            <v>singleonly</v>
          </cell>
        </row>
        <row r="405">
          <cell r="A405" t="str">
            <v>13400_2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2</v>
          </cell>
          <cell r="G405" t="str">
            <v>ja</v>
          </cell>
          <cell r="H405" t="str">
            <v>2階 コスト制限なし</v>
          </cell>
          <cell r="I405" t="str">
            <v>タワーオブザクイーン</v>
          </cell>
          <cell r="J405">
            <v>343</v>
          </cell>
          <cell r="K405">
            <v>11</v>
          </cell>
          <cell r="L405">
            <v>860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 t="str">
            <v>343,343,125</v>
          </cell>
          <cell r="U405">
            <v>13400</v>
          </cell>
          <cell r="V405">
            <v>1</v>
          </cell>
          <cell r="W405" t="str">
            <v>1階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976</v>
          </cell>
          <cell r="AD405">
            <v>6</v>
          </cell>
          <cell r="AE405" t="str">
            <v>singleonly</v>
          </cell>
        </row>
        <row r="406">
          <cell r="A406" t="str">
            <v>13400_3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3</v>
          </cell>
          <cell r="G406" t="str">
            <v>ja</v>
          </cell>
          <cell r="H406" t="str">
            <v>3階 コスト制限なし</v>
          </cell>
          <cell r="I406" t="str">
            <v>タワーオブザクイーン</v>
          </cell>
          <cell r="J406">
            <v>335</v>
          </cell>
          <cell r="K406">
            <v>12</v>
          </cell>
          <cell r="L406">
            <v>1140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 t="str">
            <v>335,335,125</v>
          </cell>
          <cell r="U406">
            <v>13400</v>
          </cell>
          <cell r="V406">
            <v>2</v>
          </cell>
          <cell r="W406" t="str">
            <v>2階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976</v>
          </cell>
          <cell r="AD406">
            <v>6</v>
          </cell>
          <cell r="AE406" t="str">
            <v>singleonly</v>
          </cell>
        </row>
        <row r="407">
          <cell r="A407" t="str">
            <v>13400_4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4</v>
          </cell>
          <cell r="G407" t="str">
            <v>ja</v>
          </cell>
          <cell r="H407" t="str">
            <v>4階 コスト制限なし</v>
          </cell>
          <cell r="I407" t="str">
            <v>タワーオブザクイーン</v>
          </cell>
          <cell r="J407">
            <v>339</v>
          </cell>
          <cell r="K407">
            <v>13</v>
          </cell>
          <cell r="L407">
            <v>1440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 t="str">
            <v>339,339,125</v>
          </cell>
          <cell r="U407">
            <v>13400</v>
          </cell>
          <cell r="V407">
            <v>3</v>
          </cell>
          <cell r="W407" t="str">
            <v>3階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976</v>
          </cell>
          <cell r="AD407">
            <v>6</v>
          </cell>
          <cell r="AE407" t="str">
            <v>singleonly</v>
          </cell>
        </row>
        <row r="408">
          <cell r="A408" t="str">
            <v>13400_5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5</v>
          </cell>
          <cell r="G408" t="str">
            <v>ja</v>
          </cell>
          <cell r="H408" t="str">
            <v>5階 バランスタイプ限定</v>
          </cell>
          <cell r="I408" t="str">
            <v>タワーオブザクイーン</v>
          </cell>
          <cell r="J408">
            <v>837</v>
          </cell>
          <cell r="K408">
            <v>14</v>
          </cell>
          <cell r="L408">
            <v>1760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 t="str">
            <v>837,610,610</v>
          </cell>
          <cell r="U408">
            <v>13400</v>
          </cell>
          <cell r="V408">
            <v>4</v>
          </cell>
          <cell r="W408" t="str">
            <v>4階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976</v>
          </cell>
          <cell r="AD408">
            <v>6</v>
          </cell>
          <cell r="AE408" t="str">
            <v>singleonly</v>
          </cell>
        </row>
        <row r="409">
          <cell r="A409" t="str">
            <v>13400_6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6</v>
          </cell>
          <cell r="G409" t="str">
            <v>ja</v>
          </cell>
          <cell r="H409" t="str">
            <v>6階 コスト制限なし</v>
          </cell>
          <cell r="I409" t="str">
            <v>タワーオブザクイーン</v>
          </cell>
          <cell r="J409">
            <v>612</v>
          </cell>
          <cell r="K409">
            <v>15</v>
          </cell>
          <cell r="L409">
            <v>2100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 t="str">
            <v>612,612,355</v>
          </cell>
          <cell r="U409">
            <v>13400</v>
          </cell>
          <cell r="V409">
            <v>5</v>
          </cell>
          <cell r="W409" t="str">
            <v>5階 バランスタイプ限定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976</v>
          </cell>
          <cell r="AD409">
            <v>6</v>
          </cell>
          <cell r="AE409" t="str">
            <v>singleonly</v>
          </cell>
        </row>
        <row r="410">
          <cell r="A410" t="str">
            <v>13400_7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7</v>
          </cell>
          <cell r="G410" t="str">
            <v>ja</v>
          </cell>
          <cell r="H410" t="str">
            <v>7階 コスト30以下限定</v>
          </cell>
          <cell r="I410" t="str">
            <v>タワーオブザクイーン</v>
          </cell>
          <cell r="J410">
            <v>613</v>
          </cell>
          <cell r="K410">
            <v>16</v>
          </cell>
          <cell r="L410">
            <v>2460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 t="str">
            <v>613,613,353</v>
          </cell>
          <cell r="U410">
            <v>13400</v>
          </cell>
          <cell r="V410">
            <v>6</v>
          </cell>
          <cell r="W410" t="str">
            <v>6階 コスト制限なし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976</v>
          </cell>
          <cell r="AD410">
            <v>6</v>
          </cell>
          <cell r="AE410" t="str">
            <v>singleonly</v>
          </cell>
        </row>
        <row r="411">
          <cell r="A411" t="str">
            <v>13400_8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8</v>
          </cell>
          <cell r="G411" t="str">
            <v>ja</v>
          </cell>
          <cell r="H411" t="str">
            <v>8階 コスト制限なし</v>
          </cell>
          <cell r="I411" t="str">
            <v>タワーオブザクイーン</v>
          </cell>
          <cell r="J411">
            <v>611</v>
          </cell>
          <cell r="K411">
            <v>17</v>
          </cell>
          <cell r="L411">
            <v>2840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0</v>
          </cell>
          <cell r="R411">
            <v>3</v>
          </cell>
          <cell r="S411" t="str">
            <v>character</v>
          </cell>
          <cell r="T411" t="str">
            <v>611,611,349</v>
          </cell>
          <cell r="U411">
            <v>13400</v>
          </cell>
          <cell r="V411">
            <v>7</v>
          </cell>
          <cell r="W411" t="str">
            <v>7階 コスト30以下限定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976</v>
          </cell>
          <cell r="AD411">
            <v>6</v>
          </cell>
          <cell r="AE411" t="str">
            <v>singleonly</v>
          </cell>
        </row>
        <row r="412">
          <cell r="A412" t="str">
            <v>13400_9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9</v>
          </cell>
          <cell r="G412" t="str">
            <v>ja</v>
          </cell>
          <cell r="H412" t="str">
            <v>9階 テクニカルタイプ限定</v>
          </cell>
          <cell r="I412" t="str">
            <v>タワーオブザクイーン</v>
          </cell>
          <cell r="J412">
            <v>837</v>
          </cell>
          <cell r="K412">
            <v>18</v>
          </cell>
          <cell r="L412">
            <v>3240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 t="str">
            <v>837,614,351</v>
          </cell>
          <cell r="U412">
            <v>13400</v>
          </cell>
          <cell r="V412">
            <v>8</v>
          </cell>
          <cell r="W412" t="str">
            <v>8階 コスト制限なし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976</v>
          </cell>
          <cell r="AD412">
            <v>6</v>
          </cell>
          <cell r="AE412" t="str">
            <v>singleonly</v>
          </cell>
        </row>
        <row r="413">
          <cell r="A413" t="str">
            <v>13400_10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10</v>
          </cell>
          <cell r="G413" t="str">
            <v>ja</v>
          </cell>
          <cell r="H413" t="str">
            <v>10階 ローズ 現る！</v>
          </cell>
          <cell r="I413" t="str">
            <v>タワーオブザクイーン</v>
          </cell>
          <cell r="J413">
            <v>0</v>
          </cell>
          <cell r="K413">
            <v>19</v>
          </cell>
          <cell r="L413">
            <v>3660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 t="str">
            <v>7</v>
          </cell>
          <cell r="U413">
            <v>13400</v>
          </cell>
          <cell r="V413">
            <v>9</v>
          </cell>
          <cell r="W413" t="str">
            <v>9階 テクニカルタイプ限定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976</v>
          </cell>
          <cell r="AD413">
            <v>6</v>
          </cell>
          <cell r="AE413" t="str">
            <v>singleonly</v>
          </cell>
        </row>
        <row r="414">
          <cell r="A414" t="str">
            <v>13400_11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11</v>
          </cell>
          <cell r="G414" t="str">
            <v>ja</v>
          </cell>
          <cell r="H414" t="str">
            <v>11階 コスト制限なし</v>
          </cell>
          <cell r="I414" t="str">
            <v>タワーオブザクイーン</v>
          </cell>
          <cell r="J414">
            <v>612</v>
          </cell>
          <cell r="K414">
            <v>20</v>
          </cell>
          <cell r="L414">
            <v>4100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 t="str">
            <v>612,612,612</v>
          </cell>
          <cell r="U414">
            <v>13400</v>
          </cell>
          <cell r="V414">
            <v>10</v>
          </cell>
          <cell r="W414" t="str">
            <v>10階 ローズ 現る！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976</v>
          </cell>
          <cell r="AD414">
            <v>6</v>
          </cell>
          <cell r="AE414" t="str">
            <v>singleonly</v>
          </cell>
        </row>
        <row r="415">
          <cell r="A415" t="str">
            <v>13400_12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12</v>
          </cell>
          <cell r="G415" t="str">
            <v>ja</v>
          </cell>
          <cell r="H415" t="str">
            <v>12階 コスト制限なし</v>
          </cell>
          <cell r="I415" t="str">
            <v>タワーオブザクイーン</v>
          </cell>
          <cell r="J415">
            <v>613</v>
          </cell>
          <cell r="K415">
            <v>21</v>
          </cell>
          <cell r="L415">
            <v>4560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 t="str">
            <v>613,613,613</v>
          </cell>
          <cell r="U415">
            <v>13400</v>
          </cell>
          <cell r="V415">
            <v>11</v>
          </cell>
          <cell r="W415" t="str">
            <v>11階 コスト制限なし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976</v>
          </cell>
          <cell r="AD415">
            <v>6</v>
          </cell>
          <cell r="AE415" t="str">
            <v>singleonly</v>
          </cell>
        </row>
        <row r="416">
          <cell r="A416" t="str">
            <v>13400_13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13</v>
          </cell>
          <cell r="G416" t="str">
            <v>ja</v>
          </cell>
          <cell r="H416" t="str">
            <v>13階 コスト30以下限定</v>
          </cell>
          <cell r="I416" t="str">
            <v>タワーオブザクイーン</v>
          </cell>
          <cell r="J416">
            <v>611</v>
          </cell>
          <cell r="K416">
            <v>22</v>
          </cell>
          <cell r="L416">
            <v>5040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 t="str">
            <v>611,611,611</v>
          </cell>
          <cell r="U416">
            <v>13400</v>
          </cell>
          <cell r="V416">
            <v>12</v>
          </cell>
          <cell r="W416" t="str">
            <v>12階 コスト制限なし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976</v>
          </cell>
          <cell r="AD416">
            <v>6</v>
          </cell>
          <cell r="AE416" t="str">
            <v>singleonly</v>
          </cell>
        </row>
        <row r="417">
          <cell r="A417" t="str">
            <v>13400_14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14</v>
          </cell>
          <cell r="G417" t="str">
            <v>ja</v>
          </cell>
          <cell r="H417" t="str">
            <v>14階 コスト制限なし</v>
          </cell>
          <cell r="I417" t="str">
            <v>タワーオブザクイーン</v>
          </cell>
          <cell r="J417">
            <v>614</v>
          </cell>
          <cell r="K417">
            <v>23</v>
          </cell>
          <cell r="L417">
            <v>5540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 t="str">
            <v>614,614</v>
          </cell>
          <cell r="U417">
            <v>13400</v>
          </cell>
          <cell r="V417">
            <v>13</v>
          </cell>
          <cell r="W417" t="str">
            <v>13階 コスト30以下限定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976</v>
          </cell>
          <cell r="AD417">
            <v>6</v>
          </cell>
          <cell r="AE417" t="str">
            <v>singleonly</v>
          </cell>
        </row>
        <row r="418">
          <cell r="A418" t="str">
            <v>13400_15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15</v>
          </cell>
          <cell r="G418" t="str">
            <v>ja</v>
          </cell>
          <cell r="H418" t="str">
            <v>15階 ローズ</v>
          </cell>
          <cell r="I418" t="str">
            <v>タワーオブザクイーン</v>
          </cell>
          <cell r="J418">
            <v>1269</v>
          </cell>
          <cell r="K418">
            <v>50</v>
          </cell>
          <cell r="L418">
            <v>10000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>
            <v>1268</v>
          </cell>
          <cell r="U418">
            <v>13400</v>
          </cell>
          <cell r="V418">
            <v>14</v>
          </cell>
          <cell r="W418" t="str">
            <v>14階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976</v>
          </cell>
          <cell r="AD418">
            <v>6</v>
          </cell>
          <cell r="AE418" t="str">
            <v>singleonly</v>
          </cell>
        </row>
        <row r="419">
          <cell r="A419" t="str">
            <v>14001_1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1</v>
          </cell>
          <cell r="G419" t="str">
            <v>ja</v>
          </cell>
          <cell r="H419" t="str">
            <v>【超級】雷ファミリー（ハートなし）</v>
          </cell>
          <cell r="I419" t="str">
            <v>【ロッククエスト】経験値</v>
          </cell>
          <cell r="J419">
            <v>347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12</v>
          </cell>
          <cell r="AD419">
            <v>6</v>
          </cell>
          <cell r="AE419" t="str">
            <v>singleonly</v>
          </cell>
        </row>
        <row r="420">
          <cell r="A420" t="str">
            <v>14001_2</v>
          </cell>
          <cell r="B420">
            <v>3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2</v>
          </cell>
          <cell r="G420" t="str">
            <v>ja</v>
          </cell>
          <cell r="H420" t="str">
            <v>【超級】水ファミリー（ハートなし）</v>
          </cell>
          <cell r="I420" t="str">
            <v>【ロッククエスト】経験値</v>
          </cell>
          <cell r="J420">
            <v>343</v>
          </cell>
          <cell r="K420">
            <v>1</v>
          </cell>
          <cell r="L420">
            <v>500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singleonly</v>
          </cell>
        </row>
        <row r="421">
          <cell r="A421" t="str">
            <v>14001_3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3</v>
          </cell>
          <cell r="G421" t="str">
            <v>ja</v>
          </cell>
          <cell r="H421" t="str">
            <v>【超級】森ファミリー（ハートなし）</v>
          </cell>
          <cell r="I421" t="str">
            <v>【ロッククエスト】経験値</v>
          </cell>
          <cell r="J421">
            <v>339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singleonly</v>
          </cell>
        </row>
        <row r="422">
          <cell r="A422" t="str">
            <v>14001_4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4</v>
          </cell>
          <cell r="G422" t="str">
            <v>ja</v>
          </cell>
          <cell r="H422" t="str">
            <v>【超級】炎ファミリー（ハートなし）</v>
          </cell>
          <cell r="I422" t="str">
            <v>【ロッククエスト】経験値</v>
          </cell>
          <cell r="J422">
            <v>335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10</v>
          </cell>
          <cell r="AD422">
            <v>6</v>
          </cell>
          <cell r="AE422" t="str">
            <v>singleonly</v>
          </cell>
        </row>
        <row r="423">
          <cell r="A423" t="str">
            <v>14001_5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5</v>
          </cell>
          <cell r="G423" t="str">
            <v>ja</v>
          </cell>
          <cell r="H423" t="str">
            <v>【超絶級】雷のサミット（ハートなし）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14001_6</v>
          </cell>
          <cell r="B424">
            <v>0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6</v>
          </cell>
          <cell r="G424" t="str">
            <v>ja</v>
          </cell>
          <cell r="H424" t="str">
            <v>【超絶級】水のサミット（ハートなし）</v>
          </cell>
          <cell r="I424" t="str">
            <v>【ロッククエスト】経験値</v>
          </cell>
          <cell r="J424">
            <v>334</v>
          </cell>
          <cell r="K424">
            <v>1</v>
          </cell>
          <cell r="L424">
            <v>350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201</v>
          </cell>
          <cell r="AD424">
            <v>6</v>
          </cell>
          <cell r="AE424" t="str">
            <v>singleonly</v>
          </cell>
        </row>
        <row r="425">
          <cell r="A425" t="str">
            <v>14001_7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7</v>
          </cell>
          <cell r="G425" t="str">
            <v>ja</v>
          </cell>
          <cell r="H425" t="str">
            <v>【超絶級】森のサミット（ハートなし）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14001_8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8</v>
          </cell>
          <cell r="G426" t="str">
            <v>ja</v>
          </cell>
          <cell r="H426" t="str">
            <v>【超絶級】炎のサミット（ハートなし）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14002_1</v>
          </cell>
          <cell r="B427">
            <v>3</v>
          </cell>
          <cell r="C427">
            <v>14002</v>
          </cell>
          <cell r="D427" t="str">
            <v>【ロック】ビット/ソロ</v>
          </cell>
          <cell r="E427" t="str">
            <v>【ロック】ビット/ソロ</v>
          </cell>
          <cell r="F427">
            <v>1</v>
          </cell>
          <cell r="G427" t="str">
            <v>ja</v>
          </cell>
          <cell r="H427" t="str">
            <v>【超級】ハイローラー（ハートなし）</v>
          </cell>
          <cell r="I427" t="str">
            <v>【ロッククエスト】ビット</v>
          </cell>
          <cell r="J427">
            <v>119</v>
          </cell>
          <cell r="K427">
            <v>1</v>
          </cell>
          <cell r="L427">
            <v>777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105</v>
          </cell>
          <cell r="AD427">
            <v>6</v>
          </cell>
          <cell r="AE427" t="str">
            <v>singleonly</v>
          </cell>
        </row>
        <row r="428">
          <cell r="A428" t="str">
            <v>14002_2</v>
          </cell>
          <cell r="B428">
            <v>0</v>
          </cell>
          <cell r="C428">
            <v>14002</v>
          </cell>
          <cell r="D428" t="str">
            <v>【ロック】ビット/ソロ</v>
          </cell>
          <cell r="E428" t="str">
            <v>【ロック】ビット/ソロ</v>
          </cell>
          <cell r="F428">
            <v>2</v>
          </cell>
          <cell r="G428" t="str">
            <v>ja</v>
          </cell>
          <cell r="H428" t="str">
            <v>【上級】ゴールドカジノ （ハートなし）</v>
          </cell>
          <cell r="I428" t="str">
            <v>【ロッククエスト】ビット</v>
          </cell>
          <cell r="J428">
            <v>119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105</v>
          </cell>
          <cell r="AD428">
            <v>6</v>
          </cell>
          <cell r="AE428" t="str">
            <v>singleonly</v>
          </cell>
        </row>
        <row r="429">
          <cell r="A429" t="str">
            <v>14003_1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1</v>
          </cell>
          <cell r="G429" t="str">
            <v>ja</v>
          </cell>
          <cell r="H429" t="str">
            <v>【超級】果実の楽園（ハートなし）</v>
          </cell>
          <cell r="I429" t="str">
            <v>【ロッククエスト】限界突破</v>
          </cell>
          <cell r="J429">
            <v>125</v>
          </cell>
          <cell r="K429">
            <v>1</v>
          </cell>
          <cell r="L429">
            <v>860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14003_2</v>
          </cell>
          <cell r="B430">
            <v>3</v>
          </cell>
          <cell r="C430">
            <v>14003</v>
          </cell>
          <cell r="D430" t="str">
            <v>【ロック】限界突破/ソロ</v>
          </cell>
          <cell r="E430" t="str">
            <v>【ロック】限界突破/ソロ</v>
          </cell>
          <cell r="F430">
            <v>2</v>
          </cell>
          <cell r="G430" t="str">
            <v>ja</v>
          </cell>
          <cell r="H430" t="str">
            <v>【超級】攻めの極意（ハートなし）</v>
          </cell>
          <cell r="I430" t="str">
            <v>【ロッククエスト】限界突破</v>
          </cell>
          <cell r="J430">
            <v>611</v>
          </cell>
          <cell r="K430">
            <v>1</v>
          </cell>
          <cell r="L430">
            <v>999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</v>
          </cell>
          <cell r="AD430">
            <v>6</v>
          </cell>
          <cell r="AE430" t="str">
            <v>singleonly</v>
          </cell>
        </row>
        <row r="431">
          <cell r="A431" t="str">
            <v>14003_3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3</v>
          </cell>
          <cell r="G431" t="str">
            <v>ja</v>
          </cell>
          <cell r="H431" t="str">
            <v>【超級】癒しの極意（ハートなし）</v>
          </cell>
          <cell r="I431" t="str">
            <v>【ロッククエスト】限界突破</v>
          </cell>
          <cell r="J431">
            <v>613</v>
          </cell>
          <cell r="K431">
            <v>1</v>
          </cell>
          <cell r="L431">
            <v>999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singleonly</v>
          </cell>
        </row>
        <row r="432">
          <cell r="A432" t="str">
            <v>14003_4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4</v>
          </cell>
          <cell r="G432" t="str">
            <v>ja</v>
          </cell>
          <cell r="H432" t="str">
            <v>【超級】生命の極意（ハートなし）</v>
          </cell>
          <cell r="I432" t="str">
            <v>【ロッククエスト】限界突破</v>
          </cell>
          <cell r="J432">
            <v>612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14004_1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1</v>
          </cell>
          <cell r="G433" t="str">
            <v>ja</v>
          </cell>
          <cell r="H433" t="str">
            <v>【超級】雷ファミリー（ハートなし）</v>
          </cell>
          <cell r="I433" t="str">
            <v>【ロッククエスト】経験値</v>
          </cell>
          <cell r="J433">
            <v>347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12</v>
          </cell>
          <cell r="AD433">
            <v>6</v>
          </cell>
          <cell r="AE433" t="str">
            <v>lineonly</v>
          </cell>
        </row>
        <row r="434">
          <cell r="A434" t="str">
            <v>14004_2</v>
          </cell>
          <cell r="B434">
            <v>1</v>
          </cell>
          <cell r="C434">
            <v>14004</v>
          </cell>
          <cell r="D434" t="str">
            <v>【ロック】経験値/LINEマルチ</v>
          </cell>
          <cell r="E434" t="str">
            <v>【ロック】経験値/LINEマルチ</v>
          </cell>
          <cell r="F434">
            <v>2</v>
          </cell>
          <cell r="G434" t="str">
            <v>ja</v>
          </cell>
          <cell r="H434" t="str">
            <v>【超級】水ファミリー（ハートなし）</v>
          </cell>
          <cell r="I434" t="str">
            <v>【ロッククエスト】経験値</v>
          </cell>
          <cell r="J434">
            <v>343</v>
          </cell>
          <cell r="K434">
            <v>1</v>
          </cell>
          <cell r="L434">
            <v>500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lineonly</v>
          </cell>
        </row>
        <row r="435">
          <cell r="A435" t="str">
            <v>14004_3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3</v>
          </cell>
          <cell r="G435" t="str">
            <v>ja</v>
          </cell>
          <cell r="H435" t="str">
            <v>【超級】森ファミリー（ハートなし）</v>
          </cell>
          <cell r="I435" t="str">
            <v>【ロッククエスト】経験値</v>
          </cell>
          <cell r="J435">
            <v>339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14004_4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4</v>
          </cell>
          <cell r="G436" t="str">
            <v>ja</v>
          </cell>
          <cell r="H436" t="str">
            <v>【超級】炎ファミリー（ハートなし）</v>
          </cell>
          <cell r="I436" t="str">
            <v>【ロッククエスト】経験値</v>
          </cell>
          <cell r="J436">
            <v>335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10</v>
          </cell>
          <cell r="AD436">
            <v>6</v>
          </cell>
          <cell r="AE436" t="str">
            <v>lineonly</v>
          </cell>
        </row>
        <row r="437">
          <cell r="A437" t="str">
            <v>14005_1</v>
          </cell>
          <cell r="B437">
            <v>1</v>
          </cell>
          <cell r="C437">
            <v>14005</v>
          </cell>
          <cell r="D437" t="str">
            <v>【ロック】ビット/LINEマルチ</v>
          </cell>
          <cell r="E437" t="str">
            <v>【ロック】ビット/LINEマルチ</v>
          </cell>
          <cell r="F437">
            <v>1</v>
          </cell>
          <cell r="G437" t="str">
            <v>ja</v>
          </cell>
          <cell r="H437" t="str">
            <v>【超級】ハイローラー（ハートなし）</v>
          </cell>
          <cell r="I437" t="str">
            <v>【ロッククエスト】ビット</v>
          </cell>
          <cell r="J437">
            <v>119</v>
          </cell>
          <cell r="K437">
            <v>1</v>
          </cell>
          <cell r="L437">
            <v>777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105</v>
          </cell>
          <cell r="AD437">
            <v>6</v>
          </cell>
          <cell r="AE437" t="str">
            <v>lineonly</v>
          </cell>
        </row>
        <row r="438">
          <cell r="A438" t="str">
            <v>14006_1</v>
          </cell>
          <cell r="B438">
            <v>1</v>
          </cell>
          <cell r="C438">
            <v>14006</v>
          </cell>
          <cell r="D438" t="str">
            <v>【ロック】限界突破/LINEマルチ</v>
          </cell>
          <cell r="E438" t="str">
            <v>【ロック】限界突破/LINEマルチ</v>
          </cell>
          <cell r="F438">
            <v>1</v>
          </cell>
          <cell r="G438" t="str">
            <v>ja</v>
          </cell>
          <cell r="H438" t="str">
            <v>【超級】果実の楽園（ハートなし）</v>
          </cell>
          <cell r="I438" t="str">
            <v>【ロッククエスト】限界突破</v>
          </cell>
          <cell r="J438">
            <v>125</v>
          </cell>
          <cell r="K438">
            <v>1</v>
          </cell>
          <cell r="L438">
            <v>860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15027_1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1</v>
          </cell>
          <cell r="G439" t="str">
            <v>ja</v>
          </cell>
          <cell r="H439" t="str">
            <v>27-1. 登山道入口</v>
          </cell>
          <cell r="J439" t="str">
            <v>NULL</v>
          </cell>
          <cell r="K439">
            <v>18</v>
          </cell>
          <cell r="L439">
            <v>3740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26</v>
          </cell>
          <cell r="V439">
            <v>6</v>
          </cell>
          <cell r="W439" t="str">
            <v>26-6．【1回のみ】ボーナスステージ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anytime</v>
          </cell>
          <cell r="AC439">
            <v>27</v>
          </cell>
          <cell r="AD439">
            <v>6</v>
          </cell>
          <cell r="AE439" t="str">
            <v>everyone</v>
          </cell>
        </row>
        <row r="440">
          <cell r="A440" t="str">
            <v>15027_2</v>
          </cell>
          <cell r="B440">
            <v>3</v>
          </cell>
          <cell r="C440">
            <v>15027</v>
          </cell>
          <cell r="D440" t="str">
            <v>27. 雷雨の登山道</v>
          </cell>
          <cell r="E440" t="str">
            <v>黄青DL6</v>
          </cell>
          <cell r="F440">
            <v>2</v>
          </cell>
          <cell r="G440" t="str">
            <v>ja</v>
          </cell>
          <cell r="H440" t="str">
            <v>27-2. 霊峰の守護者</v>
          </cell>
          <cell r="J440" t="str">
            <v>NULL</v>
          </cell>
          <cell r="K440">
            <v>19</v>
          </cell>
          <cell r="L440">
            <v>4140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1</v>
          </cell>
          <cell r="W440" t="str">
            <v>27-1. 登山道入口</v>
          </cell>
          <cell r="X440">
            <v>0</v>
          </cell>
          <cell r="Y440">
            <v>1</v>
          </cell>
          <cell r="Z440">
            <v>0</v>
          </cell>
          <cell r="AA440">
            <v>1</v>
          </cell>
          <cell r="AB440" t="str">
            <v>anytime</v>
          </cell>
          <cell r="AC440">
            <v>27</v>
          </cell>
          <cell r="AD440">
            <v>6</v>
          </cell>
          <cell r="AE440" t="str">
            <v>everyone</v>
          </cell>
        </row>
        <row r="441">
          <cell r="A441" t="str">
            <v>15027_3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3</v>
          </cell>
          <cell r="G441" t="str">
            <v>ja</v>
          </cell>
          <cell r="H441" t="str">
            <v>27-3. 山岳の王者</v>
          </cell>
          <cell r="J441" t="str">
            <v>NULL</v>
          </cell>
          <cell r="K441">
            <v>22</v>
          </cell>
          <cell r="L441">
            <v>5250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15027</v>
          </cell>
          <cell r="V441">
            <v>2</v>
          </cell>
          <cell r="W441" t="str">
            <v>27-2. 霊峰の守護者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15027_4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4</v>
          </cell>
          <cell r="G442" t="str">
            <v>ja</v>
          </cell>
          <cell r="H442" t="str">
            <v>27-4. 【1回のみ】ボーナスステージ</v>
          </cell>
          <cell r="I442" t="str">
            <v>ボーナス</v>
          </cell>
          <cell r="J442">
            <v>343</v>
          </cell>
          <cell r="K442">
            <v>1</v>
          </cell>
          <cell r="L442">
            <v>1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3</v>
          </cell>
          <cell r="W442" t="str">
            <v>27-3. 山岳の王者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once</v>
          </cell>
          <cell r="AC442">
            <v>27</v>
          </cell>
          <cell r="AD442">
            <v>6</v>
          </cell>
          <cell r="AE442" t="str">
            <v>singleonly</v>
          </cell>
        </row>
        <row r="443">
          <cell r="A443" t="str">
            <v>15028_1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1</v>
          </cell>
          <cell r="G443" t="str">
            <v>ja</v>
          </cell>
          <cell r="H443" t="str">
            <v>28-1. 轟翼のかまど</v>
          </cell>
          <cell r="J443" t="str">
            <v>NULL</v>
          </cell>
          <cell r="K443">
            <v>18</v>
          </cell>
          <cell r="L443">
            <v>3870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4</v>
          </cell>
          <cell r="W443" t="str">
            <v>27-4. 【1回のみ】ボーナスステージ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anytime</v>
          </cell>
          <cell r="AC443">
            <v>28</v>
          </cell>
          <cell r="AD443">
            <v>6</v>
          </cell>
          <cell r="AE443" t="str">
            <v>everyone</v>
          </cell>
        </row>
        <row r="444">
          <cell r="A444" t="str">
            <v>15028_2</v>
          </cell>
          <cell r="B444">
            <v>3</v>
          </cell>
          <cell r="C444">
            <v>15028</v>
          </cell>
          <cell r="D444" t="str">
            <v>28. 暴風と灼熱の罪浄</v>
          </cell>
          <cell r="E444" t="str">
            <v>赤緑DL6</v>
          </cell>
          <cell r="F444">
            <v>2</v>
          </cell>
          <cell r="G444" t="str">
            <v>ja</v>
          </cell>
          <cell r="H444" t="str">
            <v>28-2. 空の寝殿</v>
          </cell>
          <cell r="J444" t="str">
            <v>NULL</v>
          </cell>
          <cell r="K444">
            <v>19</v>
          </cell>
          <cell r="L444">
            <v>4500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1</v>
          </cell>
          <cell r="W444" t="str">
            <v>28-1. 轟翼のかまど</v>
          </cell>
          <cell r="X444">
            <v>1</v>
          </cell>
          <cell r="Y444">
            <v>0</v>
          </cell>
          <cell r="Z444">
            <v>1</v>
          </cell>
          <cell r="AA444">
            <v>0</v>
          </cell>
          <cell r="AB444" t="str">
            <v>anytime</v>
          </cell>
          <cell r="AC444">
            <v>28</v>
          </cell>
          <cell r="AD444">
            <v>6</v>
          </cell>
          <cell r="AE444" t="str">
            <v>everyone</v>
          </cell>
        </row>
        <row r="445">
          <cell r="A445" t="str">
            <v>15028_3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3</v>
          </cell>
          <cell r="G445" t="str">
            <v>ja</v>
          </cell>
          <cell r="H445" t="str">
            <v>28-3. 縛風の洞窟</v>
          </cell>
          <cell r="J445" t="str">
            <v>NULL</v>
          </cell>
          <cell r="K445">
            <v>22</v>
          </cell>
          <cell r="L445">
            <v>5580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15028</v>
          </cell>
          <cell r="V445">
            <v>2</v>
          </cell>
          <cell r="W445" t="str">
            <v>28-2. 空の寝殿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15028_4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4</v>
          </cell>
          <cell r="G446" t="str">
            <v>ja</v>
          </cell>
          <cell r="H446" t="str">
            <v>28-4. 【1回のみ】ボーナスステージ</v>
          </cell>
          <cell r="I446" t="str">
            <v>ボーナス</v>
          </cell>
          <cell r="J446">
            <v>339</v>
          </cell>
          <cell r="K446">
            <v>1</v>
          </cell>
          <cell r="L446">
            <v>1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3</v>
          </cell>
          <cell r="W446" t="str">
            <v>28-3. 縛風の洞窟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once</v>
          </cell>
          <cell r="AC446">
            <v>28</v>
          </cell>
          <cell r="AD446">
            <v>6</v>
          </cell>
          <cell r="AE446" t="str">
            <v>singleonly</v>
          </cell>
        </row>
        <row r="447">
          <cell r="A447" t="str">
            <v>15029_1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1</v>
          </cell>
          <cell r="G447" t="str">
            <v>ja</v>
          </cell>
          <cell r="H447" t="str">
            <v>29-1. 雪の中のケモノたち</v>
          </cell>
          <cell r="J447" t="str">
            <v>NULL</v>
          </cell>
          <cell r="K447">
            <v>18</v>
          </cell>
          <cell r="L447">
            <v>4210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4</v>
          </cell>
          <cell r="W447" t="str">
            <v>28-4. 【1回のみ】ボーナスステージ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anytime</v>
          </cell>
          <cell r="AC447">
            <v>29</v>
          </cell>
          <cell r="AD447">
            <v>6</v>
          </cell>
          <cell r="AE447" t="str">
            <v>everyone</v>
          </cell>
        </row>
        <row r="448">
          <cell r="A448" t="str">
            <v>15029_2</v>
          </cell>
          <cell r="B448">
            <v>3</v>
          </cell>
          <cell r="C448">
            <v>15029</v>
          </cell>
          <cell r="D448" t="str">
            <v>29. 雪の望郷</v>
          </cell>
          <cell r="E448" t="str">
            <v>緑黄DL6</v>
          </cell>
          <cell r="F448">
            <v>2</v>
          </cell>
          <cell r="G448" t="str">
            <v>ja</v>
          </cell>
          <cell r="H448" t="str">
            <v>29-2. ねこみみマフラー</v>
          </cell>
          <cell r="J448" t="str">
            <v>NULL</v>
          </cell>
          <cell r="K448">
            <v>19</v>
          </cell>
          <cell r="L448">
            <v>4800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1</v>
          </cell>
          <cell r="W448" t="str">
            <v>29-1. 雪の中のケモノたち</v>
          </cell>
          <cell r="X448">
            <v>0</v>
          </cell>
          <cell r="Y448">
            <v>0</v>
          </cell>
          <cell r="Z448">
            <v>1</v>
          </cell>
          <cell r="AA448">
            <v>1</v>
          </cell>
          <cell r="AB448" t="str">
            <v>anytime</v>
          </cell>
          <cell r="AC448">
            <v>29</v>
          </cell>
          <cell r="AD448">
            <v>6</v>
          </cell>
          <cell r="AE448" t="str">
            <v>everyone</v>
          </cell>
        </row>
        <row r="449">
          <cell r="A449" t="str">
            <v>15029_3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3</v>
          </cell>
          <cell r="G449" t="str">
            <v>ja</v>
          </cell>
          <cell r="H449" t="str">
            <v>29-3. 仕立屋と兄妹</v>
          </cell>
          <cell r="J449" t="str">
            <v>NULL</v>
          </cell>
          <cell r="K449">
            <v>22</v>
          </cell>
          <cell r="L449">
            <v>5970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15029</v>
          </cell>
          <cell r="V449">
            <v>2</v>
          </cell>
          <cell r="W449" t="str">
            <v>29-2. ねこみみマフラー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15029_4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4</v>
          </cell>
          <cell r="G450" t="str">
            <v>ja</v>
          </cell>
          <cell r="H450" t="str">
            <v>29-4. 【1回のみ】ボーナスステージ</v>
          </cell>
          <cell r="I450" t="str">
            <v>ボーナス</v>
          </cell>
          <cell r="J450">
            <v>347</v>
          </cell>
          <cell r="K450">
            <v>1</v>
          </cell>
          <cell r="L450">
            <v>1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3</v>
          </cell>
          <cell r="W450" t="str">
            <v>29-3. 仕立屋と兄妹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once</v>
          </cell>
          <cell r="AC450">
            <v>29</v>
          </cell>
          <cell r="AD450">
            <v>6</v>
          </cell>
          <cell r="AE450" t="str">
            <v>singleonly</v>
          </cell>
        </row>
        <row r="451">
          <cell r="A451" t="str">
            <v>15030_1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1</v>
          </cell>
          <cell r="G451" t="str">
            <v>ja</v>
          </cell>
          <cell r="H451" t="str">
            <v>30-1. 月夜に煌めく刃</v>
          </cell>
          <cell r="J451" t="str">
            <v>NULL</v>
          </cell>
          <cell r="K451">
            <v>18</v>
          </cell>
          <cell r="L451">
            <v>4460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4</v>
          </cell>
          <cell r="W451" t="str">
            <v>29-4. 【1回のみ】ボーナスステージ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anytime</v>
          </cell>
          <cell r="AC451">
            <v>30</v>
          </cell>
          <cell r="AD451">
            <v>6</v>
          </cell>
          <cell r="AE451" t="str">
            <v>everyone</v>
          </cell>
        </row>
        <row r="452">
          <cell r="A452" t="str">
            <v>15030_2</v>
          </cell>
          <cell r="B452">
            <v>3</v>
          </cell>
          <cell r="C452">
            <v>15030</v>
          </cell>
          <cell r="D452" t="str">
            <v>30. 月夜のオールドシティ</v>
          </cell>
          <cell r="E452" t="str">
            <v>赤青DL6</v>
          </cell>
          <cell r="F452">
            <v>2</v>
          </cell>
          <cell r="G452" t="str">
            <v>ja</v>
          </cell>
          <cell r="H452" t="str">
            <v>30-2. 深夜のお茶会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1</v>
          </cell>
          <cell r="W452" t="str">
            <v>30-1. 月夜に煌めく刃</v>
          </cell>
          <cell r="X452">
            <v>1</v>
          </cell>
          <cell r="Y452">
            <v>1</v>
          </cell>
          <cell r="Z452">
            <v>0</v>
          </cell>
          <cell r="AA452">
            <v>0</v>
          </cell>
          <cell r="AB452" t="str">
            <v>anytime</v>
          </cell>
          <cell r="AC452">
            <v>30</v>
          </cell>
          <cell r="AD452">
            <v>6</v>
          </cell>
          <cell r="AE452" t="str">
            <v>everyone</v>
          </cell>
        </row>
        <row r="453">
          <cell r="A453" t="str">
            <v>15030_3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3</v>
          </cell>
          <cell r="G453" t="str">
            <v>ja</v>
          </cell>
          <cell r="H453" t="str">
            <v>30-3. 月影の襲撃者</v>
          </cell>
          <cell r="J453" t="str">
            <v>NULL</v>
          </cell>
          <cell r="K453">
            <v>22</v>
          </cell>
          <cell r="L453">
            <v>6370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15030</v>
          </cell>
          <cell r="V453">
            <v>2</v>
          </cell>
          <cell r="W453" t="str">
            <v>30-2. 深夜のお茶会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15030_4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4</v>
          </cell>
          <cell r="G454" t="str">
            <v>ja</v>
          </cell>
          <cell r="H454" t="str">
            <v>30-4. 【1回のみ】ボーナスステージ</v>
          </cell>
          <cell r="I454" t="str">
            <v>ボーナス</v>
          </cell>
          <cell r="J454">
            <v>335</v>
          </cell>
          <cell r="K454">
            <v>1</v>
          </cell>
          <cell r="L454">
            <v>1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3</v>
          </cell>
          <cell r="W454" t="str">
            <v>30-3. 月影の襲撃者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once</v>
          </cell>
          <cell r="AC454">
            <v>30</v>
          </cell>
          <cell r="AD454">
            <v>6</v>
          </cell>
          <cell r="AE454" t="str">
            <v>singleonly</v>
          </cell>
        </row>
        <row r="455">
          <cell r="A455" t="str">
            <v>15031_1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1</v>
          </cell>
          <cell r="G455" t="str">
            <v>ja</v>
          </cell>
          <cell r="H455" t="str">
            <v>31-1. 忍び寄る影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4</v>
          </cell>
          <cell r="W455" t="str">
            <v>30-4. 【1回のみ】ボーナスステージ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anytime</v>
          </cell>
          <cell r="AC455">
            <v>31</v>
          </cell>
          <cell r="AD455">
            <v>6</v>
          </cell>
          <cell r="AE455" t="str">
            <v>everyone</v>
          </cell>
        </row>
        <row r="456">
          <cell r="A456" t="str">
            <v>15031_2</v>
          </cell>
          <cell r="B456">
            <v>3</v>
          </cell>
          <cell r="C456">
            <v>15031</v>
          </cell>
          <cell r="D456" t="str">
            <v>31. 桜花乱城</v>
          </cell>
          <cell r="E456" t="str">
            <v>混色DL6</v>
          </cell>
          <cell r="F456">
            <v>2</v>
          </cell>
          <cell r="G456" t="str">
            <v>ja</v>
          </cell>
          <cell r="H456" t="str">
            <v>31-2. 赤鉄の将</v>
          </cell>
          <cell r="J456" t="str">
            <v>NULL</v>
          </cell>
          <cell r="K456">
            <v>21</v>
          </cell>
          <cell r="L456">
            <v>5760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15031</v>
          </cell>
          <cell r="V456">
            <v>1</v>
          </cell>
          <cell r="W456" t="str">
            <v>31-1. 忍び寄る影</v>
          </cell>
          <cell r="X456">
            <v>1</v>
          </cell>
          <cell r="Y456">
            <v>1</v>
          </cell>
          <cell r="Z456">
            <v>1</v>
          </cell>
          <cell r="AA456">
            <v>1</v>
          </cell>
          <cell r="AB456" t="str">
            <v>anytime</v>
          </cell>
          <cell r="AC456">
            <v>31</v>
          </cell>
          <cell r="AD456">
            <v>6</v>
          </cell>
          <cell r="AE456" t="str">
            <v>everyone</v>
          </cell>
        </row>
        <row r="457">
          <cell r="A457" t="str">
            <v>15031_3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3</v>
          </cell>
          <cell r="G457" t="str">
            <v>ja</v>
          </cell>
          <cell r="H457" t="str">
            <v>31-3. 神域の試練</v>
          </cell>
          <cell r="J457" t="str">
            <v>NULL</v>
          </cell>
          <cell r="K457">
            <v>24</v>
          </cell>
          <cell r="L457">
            <v>7200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15031</v>
          </cell>
          <cell r="V457">
            <v>2</v>
          </cell>
          <cell r="W457" t="str">
            <v>31-2. 赤鉄の将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15031_4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4</v>
          </cell>
          <cell r="G458" t="str">
            <v>ja</v>
          </cell>
          <cell r="H458" t="str">
            <v>31-4. 【1回のみ】ボーナスステージ</v>
          </cell>
          <cell r="I458" t="str">
            <v>ボーナス</v>
          </cell>
          <cell r="J458">
            <v>610</v>
          </cell>
          <cell r="K458">
            <v>1</v>
          </cell>
          <cell r="L458">
            <v>1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3</v>
          </cell>
          <cell r="W458" t="str">
            <v>31-3. 神域の試練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once</v>
          </cell>
          <cell r="AC458">
            <v>31</v>
          </cell>
          <cell r="AD458">
            <v>6</v>
          </cell>
          <cell r="AE458" t="str">
            <v>singleonly</v>
          </cell>
        </row>
        <row r="459">
          <cell r="A459" t="str">
            <v>20001_1</v>
          </cell>
          <cell r="B459">
            <v>3</v>
          </cell>
          <cell r="C459">
            <v>20001</v>
          </cell>
          <cell r="D459" t="str">
            <v>紅き執行者</v>
          </cell>
          <cell r="E459" t="str">
            <v>ドロップイベント1-1</v>
          </cell>
          <cell r="F459">
            <v>1</v>
          </cell>
          <cell r="G459" t="str">
            <v>ja</v>
          </cell>
          <cell r="H459" t="str">
            <v xml:space="preserve">【初級】紅き執行者 </v>
          </cell>
          <cell r="I459" t="str">
            <v>初級</v>
          </cell>
          <cell r="J459">
            <v>262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20001_2</v>
          </cell>
          <cell r="B460">
            <v>3</v>
          </cell>
          <cell r="C460">
            <v>20001</v>
          </cell>
          <cell r="D460" t="str">
            <v>紅き執行者</v>
          </cell>
          <cell r="E460" t="str">
            <v>ドロップイベント1-1</v>
          </cell>
          <cell r="F460">
            <v>2</v>
          </cell>
          <cell r="G460" t="str">
            <v>ja</v>
          </cell>
          <cell r="H460" t="str">
            <v>【中級】紅き執行者</v>
          </cell>
          <cell r="I460" t="str">
            <v>中級</v>
          </cell>
          <cell r="J460">
            <v>262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20001_3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3</v>
          </cell>
          <cell r="G461" t="str">
            <v>ja</v>
          </cell>
          <cell r="H461" t="str">
            <v xml:space="preserve">【上級】紅き執行者 </v>
          </cell>
          <cell r="I461" t="str">
            <v>上級</v>
          </cell>
          <cell r="J461">
            <v>263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20002_1</v>
          </cell>
          <cell r="B462">
            <v>3</v>
          </cell>
          <cell r="C462">
            <v>20002</v>
          </cell>
          <cell r="D462" t="str">
            <v>孤高の一角獣</v>
          </cell>
          <cell r="E462" t="str">
            <v>ドロップイベント1-2</v>
          </cell>
          <cell r="F462">
            <v>1</v>
          </cell>
          <cell r="G462" t="str">
            <v>ja</v>
          </cell>
          <cell r="H462" t="str">
            <v>【初級】孤高の一角獣</v>
          </cell>
          <cell r="I462" t="str">
            <v>初級</v>
          </cell>
          <cell r="J462">
            <v>264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0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19</v>
          </cell>
          <cell r="AD462">
            <v>6</v>
          </cell>
          <cell r="AE462" t="str">
            <v>everyone</v>
          </cell>
        </row>
        <row r="463">
          <cell r="A463" t="str">
            <v>20002_2</v>
          </cell>
          <cell r="B463">
            <v>3</v>
          </cell>
          <cell r="C463">
            <v>20002</v>
          </cell>
          <cell r="D463" t="str">
            <v>孤高の一角獣</v>
          </cell>
          <cell r="E463" t="str">
            <v>ドロップイベント1-2</v>
          </cell>
          <cell r="F463">
            <v>2</v>
          </cell>
          <cell r="G463" t="str">
            <v>ja</v>
          </cell>
          <cell r="H463" t="str">
            <v>【中級】孤高の一角獣</v>
          </cell>
          <cell r="I463" t="str">
            <v>中級</v>
          </cell>
          <cell r="J463">
            <v>264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0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19</v>
          </cell>
          <cell r="AD463">
            <v>6</v>
          </cell>
          <cell r="AE463" t="str">
            <v>everyone</v>
          </cell>
        </row>
        <row r="464">
          <cell r="A464" t="str">
            <v>20002_3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3</v>
          </cell>
          <cell r="G464" t="str">
            <v>ja</v>
          </cell>
          <cell r="H464" t="str">
            <v>【上級】孤高の一角獣</v>
          </cell>
          <cell r="I464" t="str">
            <v>上級</v>
          </cell>
          <cell r="J464">
            <v>265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20003_1</v>
          </cell>
          <cell r="B465">
            <v>3</v>
          </cell>
          <cell r="C465">
            <v>20003</v>
          </cell>
          <cell r="D465" t="str">
            <v>忍び寄る短剣</v>
          </cell>
          <cell r="E465" t="str">
            <v>ドロップイベント1-3</v>
          </cell>
          <cell r="F465">
            <v>1</v>
          </cell>
          <cell r="G465" t="str">
            <v>ja</v>
          </cell>
          <cell r="H465" t="str">
            <v xml:space="preserve">【初級】忍び寄る短剣 </v>
          </cell>
          <cell r="I465" t="str">
            <v>初級</v>
          </cell>
          <cell r="J465">
            <v>266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11</v>
          </cell>
          <cell r="AD465">
            <v>6</v>
          </cell>
          <cell r="AE465" t="str">
            <v>everyone</v>
          </cell>
        </row>
        <row r="466">
          <cell r="A466" t="str">
            <v>20003_2</v>
          </cell>
          <cell r="B466">
            <v>3</v>
          </cell>
          <cell r="C466">
            <v>20003</v>
          </cell>
          <cell r="D466" t="str">
            <v>忍び寄る短剣</v>
          </cell>
          <cell r="E466" t="str">
            <v>ドロップイベント1-3</v>
          </cell>
          <cell r="F466">
            <v>2</v>
          </cell>
          <cell r="G466" t="str">
            <v>ja</v>
          </cell>
          <cell r="H466" t="str">
            <v xml:space="preserve">【中級】忍び寄る短剣 </v>
          </cell>
          <cell r="I466" t="str">
            <v>中級</v>
          </cell>
          <cell r="J466">
            <v>266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11</v>
          </cell>
          <cell r="AD466">
            <v>6</v>
          </cell>
          <cell r="AE466" t="str">
            <v>everyone</v>
          </cell>
        </row>
        <row r="467">
          <cell r="A467" t="str">
            <v>20003_3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3</v>
          </cell>
          <cell r="G467" t="str">
            <v>ja</v>
          </cell>
          <cell r="H467" t="str">
            <v xml:space="preserve">【上級】忍び寄る短剣 </v>
          </cell>
          <cell r="I467" t="str">
            <v>上級</v>
          </cell>
          <cell r="J467">
            <v>267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20004_1</v>
          </cell>
          <cell r="B468">
            <v>3</v>
          </cell>
          <cell r="C468">
            <v>20004</v>
          </cell>
          <cell r="D468" t="str">
            <v>雷雲からの刺客</v>
          </cell>
          <cell r="E468" t="str">
            <v>ドロップイベント1-4</v>
          </cell>
          <cell r="F468">
            <v>1</v>
          </cell>
          <cell r="G468" t="str">
            <v>ja</v>
          </cell>
          <cell r="H468" t="str">
            <v>【初級】雷雲からの刺客</v>
          </cell>
          <cell r="I468" t="str">
            <v>初級</v>
          </cell>
          <cell r="J468">
            <v>268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4</v>
          </cell>
          <cell r="AD468">
            <v>6</v>
          </cell>
          <cell r="AE468" t="str">
            <v>everyone</v>
          </cell>
        </row>
        <row r="469">
          <cell r="A469" t="str">
            <v>20004_2</v>
          </cell>
          <cell r="B469">
            <v>3</v>
          </cell>
          <cell r="C469">
            <v>20004</v>
          </cell>
          <cell r="D469" t="str">
            <v>雷雲からの刺客</v>
          </cell>
          <cell r="E469" t="str">
            <v>ドロップイベント1-4</v>
          </cell>
          <cell r="F469">
            <v>2</v>
          </cell>
          <cell r="G469" t="str">
            <v>ja</v>
          </cell>
          <cell r="H469" t="str">
            <v>【中級】雷雲からの刺客</v>
          </cell>
          <cell r="I469" t="str">
            <v>中級</v>
          </cell>
          <cell r="J469">
            <v>268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4</v>
          </cell>
          <cell r="AD469">
            <v>6</v>
          </cell>
          <cell r="AE469" t="str">
            <v>everyone</v>
          </cell>
        </row>
        <row r="470">
          <cell r="A470" t="str">
            <v>20004_3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3</v>
          </cell>
          <cell r="G470" t="str">
            <v>ja</v>
          </cell>
          <cell r="H470" t="str">
            <v>【上級】雷雲からの刺客</v>
          </cell>
          <cell r="I470" t="str">
            <v>上級</v>
          </cell>
          <cell r="J470">
            <v>269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20005_1</v>
          </cell>
          <cell r="B471">
            <v>3</v>
          </cell>
          <cell r="C471">
            <v>20005</v>
          </cell>
          <cell r="D471" t="str">
            <v>ザ・キャノン</v>
          </cell>
          <cell r="E471" t="str">
            <v>ドロップイベント2-2</v>
          </cell>
          <cell r="F471">
            <v>1</v>
          </cell>
          <cell r="G471" t="str">
            <v>ja</v>
          </cell>
          <cell r="H471" t="str">
            <v>【初級】ザ・キャノン(4タップ）</v>
          </cell>
          <cell r="I471" t="str">
            <v>初級</v>
          </cell>
          <cell r="J471">
            <v>286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4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20005_2</v>
          </cell>
          <cell r="B472">
            <v>3</v>
          </cell>
          <cell r="C472">
            <v>20005</v>
          </cell>
          <cell r="D472" t="str">
            <v>ザ・キャノン</v>
          </cell>
          <cell r="E472" t="str">
            <v>ドロップイベント2-2</v>
          </cell>
          <cell r="F472">
            <v>2</v>
          </cell>
          <cell r="G472" t="str">
            <v>ja</v>
          </cell>
          <cell r="H472" t="str">
            <v>【中級】ザ・キャノン(4タップ)</v>
          </cell>
          <cell r="I472" t="str">
            <v>中級</v>
          </cell>
          <cell r="J472">
            <v>286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4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20005_3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3</v>
          </cell>
          <cell r="G473" t="str">
            <v>ja</v>
          </cell>
          <cell r="H473" t="str">
            <v>【上級】ザ・キャノン(4タップ)</v>
          </cell>
          <cell r="I473" t="str">
            <v>上級</v>
          </cell>
          <cell r="J473">
            <v>287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20006_1</v>
          </cell>
          <cell r="B474">
            <v>3</v>
          </cell>
          <cell r="C474">
            <v>20006</v>
          </cell>
          <cell r="D474" t="str">
            <v>スチール・プレデター</v>
          </cell>
          <cell r="E474" t="str">
            <v>ドロップイベント2-3</v>
          </cell>
          <cell r="F474">
            <v>1</v>
          </cell>
          <cell r="G474" t="str">
            <v>ja</v>
          </cell>
          <cell r="H474" t="str">
            <v>【初級】スチール・プレデター</v>
          </cell>
          <cell r="I474" t="str">
            <v>初級</v>
          </cell>
          <cell r="J474">
            <v>280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2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19</v>
          </cell>
          <cell r="AD474">
            <v>6</v>
          </cell>
          <cell r="AE474" t="str">
            <v>everyone</v>
          </cell>
        </row>
        <row r="475">
          <cell r="A475" t="str">
            <v>20006_2</v>
          </cell>
          <cell r="B475">
            <v>3</v>
          </cell>
          <cell r="C475">
            <v>20006</v>
          </cell>
          <cell r="D475" t="str">
            <v>スチール・プレデター</v>
          </cell>
          <cell r="E475" t="str">
            <v>ドロップイベント2-3</v>
          </cell>
          <cell r="F475">
            <v>2</v>
          </cell>
          <cell r="G475" t="str">
            <v>ja</v>
          </cell>
          <cell r="H475" t="str">
            <v>【中級】スチール・プレデター</v>
          </cell>
          <cell r="I475" t="str">
            <v>中級</v>
          </cell>
          <cell r="J475">
            <v>280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2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19</v>
          </cell>
          <cell r="AD475">
            <v>6</v>
          </cell>
          <cell r="AE475" t="str">
            <v>everyone</v>
          </cell>
        </row>
        <row r="476">
          <cell r="A476" t="str">
            <v>20006_3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3</v>
          </cell>
          <cell r="G476" t="str">
            <v>ja</v>
          </cell>
          <cell r="H476" t="str">
            <v>【上級】スチール・プレデター</v>
          </cell>
          <cell r="I476" t="str">
            <v>上級</v>
          </cell>
          <cell r="J476">
            <v>281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20007_1</v>
          </cell>
          <cell r="B477">
            <v>3</v>
          </cell>
          <cell r="C477">
            <v>20007</v>
          </cell>
          <cell r="D477" t="str">
            <v>女王陛下の処刑龍</v>
          </cell>
          <cell r="E477" t="str">
            <v>ドロップイベント2-1</v>
          </cell>
          <cell r="F477">
            <v>1</v>
          </cell>
          <cell r="G477" t="str">
            <v>ja</v>
          </cell>
          <cell r="H477" t="str">
            <v>【初級】女王陛下の処刑龍</v>
          </cell>
          <cell r="I477" t="str">
            <v>初級</v>
          </cell>
          <cell r="J477">
            <v>282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4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17</v>
          </cell>
          <cell r="AD477">
            <v>6</v>
          </cell>
          <cell r="AE477" t="str">
            <v>everyone</v>
          </cell>
        </row>
        <row r="478">
          <cell r="A478" t="str">
            <v>20007_2</v>
          </cell>
          <cell r="B478">
            <v>3</v>
          </cell>
          <cell r="C478">
            <v>20007</v>
          </cell>
          <cell r="D478" t="str">
            <v>女王陛下の処刑龍</v>
          </cell>
          <cell r="E478" t="str">
            <v>ドロップイベント2-1</v>
          </cell>
          <cell r="F478">
            <v>2</v>
          </cell>
          <cell r="G478" t="str">
            <v>ja</v>
          </cell>
          <cell r="H478" t="str">
            <v>【中級】女王陛下の処刑龍</v>
          </cell>
          <cell r="I478" t="str">
            <v>中級</v>
          </cell>
          <cell r="J478">
            <v>282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4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17</v>
          </cell>
          <cell r="AD478">
            <v>6</v>
          </cell>
          <cell r="AE478" t="str">
            <v>everyone</v>
          </cell>
        </row>
        <row r="479">
          <cell r="A479" t="str">
            <v>20007_3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3</v>
          </cell>
          <cell r="G479" t="str">
            <v>ja</v>
          </cell>
          <cell r="H479" t="str">
            <v>【上級】女王陛下の処刑龍</v>
          </cell>
          <cell r="I479" t="str">
            <v>上級</v>
          </cell>
          <cell r="J479">
            <v>283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20008_1</v>
          </cell>
          <cell r="B480">
            <v>3</v>
          </cell>
          <cell r="C480">
            <v>20008</v>
          </cell>
          <cell r="D480" t="str">
            <v>天翔ける金轟機龍</v>
          </cell>
          <cell r="E480" t="str">
            <v>ドロップイベント2-4</v>
          </cell>
          <cell r="F480">
            <v>1</v>
          </cell>
          <cell r="G480" t="str">
            <v>ja</v>
          </cell>
          <cell r="H480" t="str">
            <v>【初級】天翔ける金轟機龍</v>
          </cell>
          <cell r="I480" t="str">
            <v>初級</v>
          </cell>
          <cell r="J480">
            <v>284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20008_2</v>
          </cell>
          <cell r="B481">
            <v>3</v>
          </cell>
          <cell r="C481">
            <v>20008</v>
          </cell>
          <cell r="D481" t="str">
            <v>天翔ける金轟機龍</v>
          </cell>
          <cell r="E481" t="str">
            <v>ドロップイベント2-4</v>
          </cell>
          <cell r="F481">
            <v>2</v>
          </cell>
          <cell r="G481" t="str">
            <v>ja</v>
          </cell>
          <cell r="H481" t="str">
            <v>【中級】天翔ける金轟機龍</v>
          </cell>
          <cell r="I481" t="str">
            <v>中級</v>
          </cell>
          <cell r="J481">
            <v>284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8</v>
          </cell>
          <cell r="AD481">
            <v>6</v>
          </cell>
          <cell r="AE481" t="str">
            <v>everyone</v>
          </cell>
        </row>
        <row r="482">
          <cell r="A482" t="str">
            <v>20008_3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3</v>
          </cell>
          <cell r="G482" t="str">
            <v>ja</v>
          </cell>
          <cell r="H482" t="str">
            <v>【上級】天翔ける金轟機龍</v>
          </cell>
          <cell r="I482" t="str">
            <v>上級</v>
          </cell>
          <cell r="J482">
            <v>285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20009_1</v>
          </cell>
          <cell r="B483">
            <v>0</v>
          </cell>
          <cell r="C483">
            <v>20009</v>
          </cell>
          <cell r="D483" t="str">
            <v>迫り来る窒息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【初級】迫り来る窒息</v>
          </cell>
          <cell r="I483" t="str">
            <v>初級</v>
          </cell>
          <cell r="J483" t="str">
            <v>NULL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25</v>
          </cell>
          <cell r="AD483">
            <v>5</v>
          </cell>
          <cell r="AE483" t="str">
            <v>everyone</v>
          </cell>
        </row>
        <row r="484">
          <cell r="A484" t="str">
            <v>20009_2</v>
          </cell>
          <cell r="B484">
            <v>3</v>
          </cell>
          <cell r="C484">
            <v>20009</v>
          </cell>
          <cell r="D484" t="str">
            <v>迫り来る窒息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【中級】迫り来る窒息</v>
          </cell>
          <cell r="I484" t="str">
            <v>中級</v>
          </cell>
          <cell r="J484">
            <v>302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25</v>
          </cell>
          <cell r="AD484">
            <v>5</v>
          </cell>
          <cell r="AE484" t="str">
            <v>everyone</v>
          </cell>
        </row>
        <row r="485">
          <cell r="A485" t="str">
            <v>20009_3</v>
          </cell>
          <cell r="B485">
            <v>3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【上級】迫り来る窒息</v>
          </cell>
          <cell r="I485" t="str">
            <v>上級</v>
          </cell>
          <cell r="J485">
            <v>303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20010_1</v>
          </cell>
          <cell r="B486">
            <v>3</v>
          </cell>
          <cell r="C486">
            <v>20010</v>
          </cell>
          <cell r="D486" t="str">
            <v>悪夢の一目惚れ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【初級】悪夢の一目惚れ</v>
          </cell>
          <cell r="I486" t="str">
            <v>初級</v>
          </cell>
          <cell r="J486">
            <v>304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0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2601</v>
          </cell>
          <cell r="AD486">
            <v>6</v>
          </cell>
          <cell r="AE486" t="str">
            <v>everyone</v>
          </cell>
        </row>
        <row r="487">
          <cell r="A487" t="str">
            <v>20010_2</v>
          </cell>
          <cell r="B487">
            <v>3</v>
          </cell>
          <cell r="C487">
            <v>20010</v>
          </cell>
          <cell r="D487" t="str">
            <v>悪夢の一目惚れ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【中級】悪夢の一目惚れ</v>
          </cell>
          <cell r="I487" t="str">
            <v>中級</v>
          </cell>
          <cell r="J487">
            <v>304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0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2601</v>
          </cell>
          <cell r="AD487">
            <v>6</v>
          </cell>
          <cell r="AE487" t="str">
            <v>everyone</v>
          </cell>
        </row>
        <row r="488">
          <cell r="A488" t="str">
            <v>20010_3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【上級】悪夢の一目惚れ</v>
          </cell>
          <cell r="I488" t="str">
            <v>上級</v>
          </cell>
          <cell r="J488">
            <v>305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20011_1</v>
          </cell>
          <cell r="B489">
            <v>3</v>
          </cell>
          <cell r="C489">
            <v>20011</v>
          </cell>
          <cell r="D489" t="str">
            <v>すべてが灰になる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【初級】すべてが灰になる</v>
          </cell>
          <cell r="I489" t="str">
            <v>初級</v>
          </cell>
          <cell r="J489">
            <v>298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5</v>
          </cell>
          <cell r="AE489" t="str">
            <v>everyone</v>
          </cell>
        </row>
        <row r="490">
          <cell r="A490" t="str">
            <v>20011_2</v>
          </cell>
          <cell r="B490">
            <v>3</v>
          </cell>
          <cell r="C490">
            <v>20011</v>
          </cell>
          <cell r="D490" t="str">
            <v>すべてが灰になる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【中級】すべてが灰になる</v>
          </cell>
          <cell r="I490" t="str">
            <v>中級</v>
          </cell>
          <cell r="J490">
            <v>298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5</v>
          </cell>
          <cell r="AE490" t="str">
            <v>everyone</v>
          </cell>
        </row>
        <row r="491">
          <cell r="A491" t="str">
            <v>20011_3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【上級】すべてが灰になる</v>
          </cell>
          <cell r="I491" t="str">
            <v>上級</v>
          </cell>
          <cell r="J491">
            <v>299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20012_1</v>
          </cell>
          <cell r="B492">
            <v>3</v>
          </cell>
          <cell r="C492">
            <v>20012</v>
          </cell>
          <cell r="D492" t="str">
            <v>罪と劇薬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【初級】罪と劇薬</v>
          </cell>
          <cell r="I492" t="str">
            <v>初級</v>
          </cell>
          <cell r="J492">
            <v>300</v>
          </cell>
          <cell r="K492">
            <v>8</v>
          </cell>
          <cell r="L492">
            <v>384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19</v>
          </cell>
          <cell r="AD492">
            <v>6</v>
          </cell>
          <cell r="AE492" t="str">
            <v>everyone</v>
          </cell>
        </row>
        <row r="493">
          <cell r="A493" t="str">
            <v>20012_2</v>
          </cell>
          <cell r="B493">
            <v>3</v>
          </cell>
          <cell r="C493">
            <v>20012</v>
          </cell>
          <cell r="D493" t="str">
            <v>罪と劇薬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【中級】罪と劇薬</v>
          </cell>
          <cell r="I493" t="str">
            <v>中級</v>
          </cell>
          <cell r="J493">
            <v>300</v>
          </cell>
          <cell r="K493">
            <v>15</v>
          </cell>
          <cell r="L493">
            <v>1200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19</v>
          </cell>
          <cell r="AD493">
            <v>6</v>
          </cell>
          <cell r="AE493" t="str">
            <v>everyone</v>
          </cell>
        </row>
        <row r="494">
          <cell r="A494" t="str">
            <v>20012_3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【上級】罪と劇薬</v>
          </cell>
          <cell r="I494" t="str">
            <v>上級</v>
          </cell>
          <cell r="J494">
            <v>301</v>
          </cell>
          <cell r="K494">
            <v>20</v>
          </cell>
          <cell r="L494">
            <v>2000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20013_1</v>
          </cell>
          <cell r="B495">
            <v>3</v>
          </cell>
          <cell r="C495">
            <v>20013</v>
          </cell>
          <cell r="D495" t="str">
            <v>天の時、地の利、人の和</v>
          </cell>
          <cell r="E495" t="str">
            <v>ドロップイベント4</v>
          </cell>
          <cell r="F495">
            <v>1</v>
          </cell>
          <cell r="G495" t="str">
            <v>ja</v>
          </cell>
          <cell r="H495" t="str">
            <v>【初級】天の時、地の利、人の和</v>
          </cell>
          <cell r="I495" t="str">
            <v>初級</v>
          </cell>
          <cell r="J495">
            <v>720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10</v>
          </cell>
          <cell r="AD495">
            <v>6</v>
          </cell>
          <cell r="AE495" t="str">
            <v>everyone</v>
          </cell>
        </row>
        <row r="496">
          <cell r="A496" t="str">
            <v>20013_2</v>
          </cell>
          <cell r="B496">
            <v>3</v>
          </cell>
          <cell r="C496">
            <v>20013</v>
          </cell>
          <cell r="D496" t="str">
            <v>天の時、地の利、人の和</v>
          </cell>
          <cell r="E496" t="str">
            <v>ドロップイベント4</v>
          </cell>
          <cell r="F496">
            <v>2</v>
          </cell>
          <cell r="G496" t="str">
            <v>ja</v>
          </cell>
          <cell r="H496" t="str">
            <v>【中級】天の時、地の利、人の和</v>
          </cell>
          <cell r="I496" t="str">
            <v>中級</v>
          </cell>
          <cell r="J496">
            <v>720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10</v>
          </cell>
          <cell r="AD496">
            <v>6</v>
          </cell>
          <cell r="AE496" t="str">
            <v>everyone</v>
          </cell>
        </row>
        <row r="497">
          <cell r="A497" t="str">
            <v>20013_3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3</v>
          </cell>
          <cell r="G497" t="str">
            <v>ja</v>
          </cell>
          <cell r="H497" t="str">
            <v>【上級】天の時、地の利、人の和</v>
          </cell>
          <cell r="I497" t="str">
            <v>上級</v>
          </cell>
          <cell r="J497">
            <v>721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20014_1</v>
          </cell>
          <cell r="B498">
            <v>3</v>
          </cell>
          <cell r="C498">
            <v>20014</v>
          </cell>
          <cell r="D498" t="str">
            <v>魅了する歌声</v>
          </cell>
          <cell r="E498" t="str">
            <v>天使と悪魔編1</v>
          </cell>
          <cell r="F498">
            <v>1</v>
          </cell>
          <cell r="G498" t="str">
            <v>ja</v>
          </cell>
          <cell r="H498" t="str">
            <v>【初級】魅了する歌声</v>
          </cell>
          <cell r="I498" t="str">
            <v>初級</v>
          </cell>
          <cell r="J498">
            <v>842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17</v>
          </cell>
          <cell r="AD498">
            <v>4</v>
          </cell>
          <cell r="AE498" t="str">
            <v>everyone</v>
          </cell>
        </row>
        <row r="499">
          <cell r="A499" t="str">
            <v>20014_2</v>
          </cell>
          <cell r="B499">
            <v>3</v>
          </cell>
          <cell r="C499">
            <v>20014</v>
          </cell>
          <cell r="D499" t="str">
            <v>魅了する歌声</v>
          </cell>
          <cell r="E499" t="str">
            <v>天使と悪魔編1</v>
          </cell>
          <cell r="F499">
            <v>2</v>
          </cell>
          <cell r="G499" t="str">
            <v>ja</v>
          </cell>
          <cell r="H499" t="str">
            <v>【中級】魅了する歌声</v>
          </cell>
          <cell r="I499" t="str">
            <v>中級</v>
          </cell>
          <cell r="J499">
            <v>842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17</v>
          </cell>
          <cell r="AD499">
            <v>4</v>
          </cell>
          <cell r="AE499" t="str">
            <v>everyone</v>
          </cell>
        </row>
        <row r="500">
          <cell r="A500" t="str">
            <v>20014_3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3</v>
          </cell>
          <cell r="G500" t="str">
            <v>ja</v>
          </cell>
          <cell r="H500" t="str">
            <v>【上級】魅了する歌声</v>
          </cell>
          <cell r="I500" t="str">
            <v>上級</v>
          </cell>
          <cell r="J500">
            <v>842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20015_1</v>
          </cell>
          <cell r="B501">
            <v>3</v>
          </cell>
          <cell r="C501">
            <v>20015</v>
          </cell>
          <cell r="D501" t="str">
            <v>妄執とり憑く美貌の妃</v>
          </cell>
          <cell r="E501" t="str">
            <v>おとぎ話シリーズ3</v>
          </cell>
          <cell r="F501">
            <v>1</v>
          </cell>
          <cell r="G501" t="str">
            <v>ja</v>
          </cell>
          <cell r="H501" t="str">
            <v>【初級】妄執とり憑く美貌の妃</v>
          </cell>
          <cell r="I501" t="str">
            <v>初級</v>
          </cell>
          <cell r="J501">
            <v>856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6</v>
          </cell>
          <cell r="AD501">
            <v>6</v>
          </cell>
          <cell r="AE501" t="str">
            <v>everyone</v>
          </cell>
        </row>
        <row r="502">
          <cell r="A502" t="str">
            <v>20015_2</v>
          </cell>
          <cell r="B502">
            <v>3</v>
          </cell>
          <cell r="C502">
            <v>20015</v>
          </cell>
          <cell r="D502" t="str">
            <v>妄執とり憑く美貌の妃</v>
          </cell>
          <cell r="E502" t="str">
            <v>おとぎ話シリーズ3</v>
          </cell>
          <cell r="F502">
            <v>2</v>
          </cell>
          <cell r="G502" t="str">
            <v>ja</v>
          </cell>
          <cell r="H502" t="str">
            <v>【中級】妄執とり憑く美貌の妃</v>
          </cell>
          <cell r="I502" t="str">
            <v>中級</v>
          </cell>
          <cell r="J502">
            <v>856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6</v>
          </cell>
          <cell r="AD502">
            <v>6</v>
          </cell>
          <cell r="AE502" t="str">
            <v>everyone</v>
          </cell>
        </row>
        <row r="503">
          <cell r="A503" t="str">
            <v>20015_3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3</v>
          </cell>
          <cell r="G503" t="str">
            <v>ja</v>
          </cell>
          <cell r="H503" t="str">
            <v>【上級】妄執とり憑く美貌の妃</v>
          </cell>
          <cell r="I503" t="str">
            <v>上級</v>
          </cell>
          <cell r="J503">
            <v>857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20016_1</v>
          </cell>
          <cell r="B504">
            <v>3</v>
          </cell>
          <cell r="C504">
            <v>20016</v>
          </cell>
          <cell r="D504" t="str">
            <v>寡黙な翼竜の侵攻</v>
          </cell>
          <cell r="E504" t="str">
            <v>ギリシャ神話01</v>
          </cell>
          <cell r="F504">
            <v>1</v>
          </cell>
          <cell r="G504" t="str">
            <v>ja</v>
          </cell>
          <cell r="H504" t="str">
            <v>【初級】寡黙な翼竜の侵攻</v>
          </cell>
          <cell r="I504" t="str">
            <v>初級</v>
          </cell>
          <cell r="J504">
            <v>739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13</v>
          </cell>
          <cell r="AD504">
            <v>6</v>
          </cell>
          <cell r="AE504" t="str">
            <v>everyone</v>
          </cell>
        </row>
        <row r="505">
          <cell r="A505" t="str">
            <v>20016_2</v>
          </cell>
          <cell r="B505">
            <v>3</v>
          </cell>
          <cell r="C505">
            <v>20016</v>
          </cell>
          <cell r="D505" t="str">
            <v>寡黙な翼竜の侵攻</v>
          </cell>
          <cell r="E505" t="str">
            <v>ギリシャ神話01</v>
          </cell>
          <cell r="F505">
            <v>2</v>
          </cell>
          <cell r="G505" t="str">
            <v>ja</v>
          </cell>
          <cell r="H505" t="str">
            <v>【中級】寡黙な翼竜の侵攻</v>
          </cell>
          <cell r="I505" t="str">
            <v>中級</v>
          </cell>
          <cell r="J505">
            <v>739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13</v>
          </cell>
          <cell r="AD505">
            <v>6</v>
          </cell>
          <cell r="AE505" t="str">
            <v>everyone</v>
          </cell>
        </row>
        <row r="506">
          <cell r="A506" t="str">
            <v>20016_3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3</v>
          </cell>
          <cell r="G506" t="str">
            <v>ja</v>
          </cell>
          <cell r="H506" t="str">
            <v>【上級】寡黙な翼竜の侵攻</v>
          </cell>
          <cell r="I506" t="str">
            <v>上級</v>
          </cell>
          <cell r="J506">
            <v>739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20017_1</v>
          </cell>
          <cell r="B507">
            <v>3</v>
          </cell>
          <cell r="C507">
            <v>20017</v>
          </cell>
          <cell r="D507" t="str">
            <v>隻腕の提督</v>
          </cell>
          <cell r="E507" t="str">
            <v>フランス革命01</v>
          </cell>
          <cell r="F507">
            <v>1</v>
          </cell>
          <cell r="G507" t="str">
            <v>ja</v>
          </cell>
          <cell r="H507" t="str">
            <v>【初級】隻腕の提督</v>
          </cell>
          <cell r="I507" t="str">
            <v>初級</v>
          </cell>
          <cell r="J507">
            <v>932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0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24</v>
          </cell>
          <cell r="AD507">
            <v>6</v>
          </cell>
          <cell r="AE507" t="str">
            <v>everyone</v>
          </cell>
        </row>
        <row r="508">
          <cell r="A508" t="str">
            <v>20017_2</v>
          </cell>
          <cell r="B508">
            <v>3</v>
          </cell>
          <cell r="C508">
            <v>20017</v>
          </cell>
          <cell r="D508" t="str">
            <v>隻腕の提督</v>
          </cell>
          <cell r="E508" t="str">
            <v>フランス革命01</v>
          </cell>
          <cell r="F508">
            <v>2</v>
          </cell>
          <cell r="G508" t="str">
            <v>ja</v>
          </cell>
          <cell r="H508" t="str">
            <v>【中級】隻腕の提督</v>
          </cell>
          <cell r="I508" t="str">
            <v>中級</v>
          </cell>
          <cell r="J508">
            <v>932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24</v>
          </cell>
          <cell r="AD508">
            <v>6</v>
          </cell>
          <cell r="AE508" t="str">
            <v>everyone</v>
          </cell>
        </row>
        <row r="509">
          <cell r="A509" t="str">
            <v>20017_3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3</v>
          </cell>
          <cell r="G509" t="str">
            <v>ja</v>
          </cell>
          <cell r="H509" t="str">
            <v>【上級】隻腕の提督</v>
          </cell>
          <cell r="I509" t="str">
            <v>上級</v>
          </cell>
          <cell r="J509">
            <v>932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20018_1</v>
          </cell>
          <cell r="B510">
            <v>3</v>
          </cell>
          <cell r="C510">
            <v>20018</v>
          </cell>
          <cell r="D510" t="str">
            <v>魂を屠る黒影</v>
          </cell>
          <cell r="E510" t="str">
            <v>エジプト01</v>
          </cell>
          <cell r="F510">
            <v>1</v>
          </cell>
          <cell r="G510" t="str">
            <v>ja</v>
          </cell>
          <cell r="H510" t="str">
            <v>【初級】魂を屠る黒影</v>
          </cell>
          <cell r="I510" t="str">
            <v>初級</v>
          </cell>
          <cell r="J510">
            <v>1005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7</v>
          </cell>
          <cell r="AD510">
            <v>6</v>
          </cell>
          <cell r="AE510" t="str">
            <v>everyone</v>
          </cell>
        </row>
        <row r="511">
          <cell r="A511" t="str">
            <v>20018_2</v>
          </cell>
          <cell r="B511">
            <v>3</v>
          </cell>
          <cell r="C511">
            <v>20018</v>
          </cell>
          <cell r="D511" t="str">
            <v>魂を屠る黒影</v>
          </cell>
          <cell r="E511" t="str">
            <v>エジプト01</v>
          </cell>
          <cell r="F511">
            <v>2</v>
          </cell>
          <cell r="G511" t="str">
            <v>ja</v>
          </cell>
          <cell r="H511" t="str">
            <v>【中級】魂を屠る黒影</v>
          </cell>
          <cell r="I511" t="str">
            <v>中級</v>
          </cell>
          <cell r="J511">
            <v>1005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7</v>
          </cell>
          <cell r="AD511">
            <v>6</v>
          </cell>
          <cell r="AE511" t="str">
            <v>everyone</v>
          </cell>
        </row>
        <row r="512">
          <cell r="A512" t="str">
            <v>20018_3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3</v>
          </cell>
          <cell r="G512" t="str">
            <v>ja</v>
          </cell>
          <cell r="H512" t="str">
            <v>【上級】魂を屠る黒影</v>
          </cell>
          <cell r="I512" t="str">
            <v>上級</v>
          </cell>
          <cell r="J512">
            <v>1005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20019_1</v>
          </cell>
          <cell r="B513">
            <v>3</v>
          </cell>
          <cell r="C513">
            <v>20019</v>
          </cell>
          <cell r="D513" t="str">
            <v>灼熱の舞姫</v>
          </cell>
          <cell r="E513" t="str">
            <v>平安01</v>
          </cell>
          <cell r="F513">
            <v>1</v>
          </cell>
          <cell r="G513" t="str">
            <v>ja</v>
          </cell>
          <cell r="H513" t="str">
            <v>【初級】灼熱の舞姫</v>
          </cell>
          <cell r="I513" t="str">
            <v>初級</v>
          </cell>
          <cell r="J513">
            <v>1020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</v>
          </cell>
          <cell r="AD513">
            <v>6</v>
          </cell>
          <cell r="AE513" t="str">
            <v>everyone</v>
          </cell>
        </row>
        <row r="514">
          <cell r="A514" t="str">
            <v>20019_2</v>
          </cell>
          <cell r="B514">
            <v>3</v>
          </cell>
          <cell r="C514">
            <v>20019</v>
          </cell>
          <cell r="D514" t="str">
            <v>灼熱の舞姫</v>
          </cell>
          <cell r="E514" t="str">
            <v>平安01</v>
          </cell>
          <cell r="F514">
            <v>2</v>
          </cell>
          <cell r="G514" t="str">
            <v>ja</v>
          </cell>
          <cell r="H514" t="str">
            <v>【中級】灼熱の舞姫</v>
          </cell>
          <cell r="I514" t="str">
            <v>中級</v>
          </cell>
          <cell r="J514">
            <v>1020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</v>
          </cell>
          <cell r="AD514">
            <v>6</v>
          </cell>
          <cell r="AE514" t="str">
            <v>everyone</v>
          </cell>
        </row>
        <row r="515">
          <cell r="A515" t="str">
            <v>20019_3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3</v>
          </cell>
          <cell r="G515" t="str">
            <v>ja</v>
          </cell>
          <cell r="H515" t="str">
            <v>【上級】灼熱の舞姫</v>
          </cell>
          <cell r="I515" t="str">
            <v>上級</v>
          </cell>
          <cell r="J515">
            <v>1020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20020_1</v>
          </cell>
          <cell r="B516">
            <v>3</v>
          </cell>
          <cell r="C516">
            <v>20020</v>
          </cell>
          <cell r="D516" t="str">
            <v>変幻自在の風</v>
          </cell>
          <cell r="E516" t="str">
            <v>メソポタミア01</v>
          </cell>
          <cell r="F516">
            <v>1</v>
          </cell>
          <cell r="G516" t="str">
            <v>ja</v>
          </cell>
          <cell r="H516" t="str">
            <v>【初級】変幻自在の風</v>
          </cell>
          <cell r="I516" t="str">
            <v>初級</v>
          </cell>
          <cell r="J516">
            <v>1060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23</v>
          </cell>
          <cell r="AD516">
            <v>6</v>
          </cell>
          <cell r="AE516" t="str">
            <v>everyone</v>
          </cell>
        </row>
        <row r="517">
          <cell r="A517" t="str">
            <v>20020_2</v>
          </cell>
          <cell r="B517">
            <v>3</v>
          </cell>
          <cell r="C517">
            <v>20020</v>
          </cell>
          <cell r="D517" t="str">
            <v>変幻自在の風</v>
          </cell>
          <cell r="E517" t="str">
            <v>メソポタミア01</v>
          </cell>
          <cell r="F517">
            <v>2</v>
          </cell>
          <cell r="G517" t="str">
            <v>ja</v>
          </cell>
          <cell r="H517" t="str">
            <v>【中級】変幻自在の風</v>
          </cell>
          <cell r="I517" t="str">
            <v>中級</v>
          </cell>
          <cell r="J517">
            <v>1060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23</v>
          </cell>
          <cell r="AD517">
            <v>6</v>
          </cell>
          <cell r="AE517" t="str">
            <v>everyone</v>
          </cell>
        </row>
        <row r="518">
          <cell r="A518" t="str">
            <v>20020_3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3</v>
          </cell>
          <cell r="G518" t="str">
            <v>ja</v>
          </cell>
          <cell r="H518" t="str">
            <v>【上級】変幻自在の風</v>
          </cell>
          <cell r="I518" t="str">
            <v>上級</v>
          </cell>
          <cell r="J518">
            <v>1060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20021_1</v>
          </cell>
          <cell r="B519">
            <v>3</v>
          </cell>
          <cell r="C519">
            <v>20021</v>
          </cell>
          <cell r="D519" t="str">
            <v>ペインター・オブ・ラブ</v>
          </cell>
          <cell r="E519" t="str">
            <v>画家シリーズ01</v>
          </cell>
          <cell r="F519">
            <v>1</v>
          </cell>
          <cell r="G519" t="str">
            <v>ja</v>
          </cell>
          <cell r="H519" t="str">
            <v>【初級】ペインター・オブ・ラブ</v>
          </cell>
          <cell r="I519" t="str">
            <v>初級</v>
          </cell>
          <cell r="J519">
            <v>1095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4</v>
          </cell>
          <cell r="AD519">
            <v>6</v>
          </cell>
          <cell r="AE519" t="str">
            <v>everyone</v>
          </cell>
        </row>
        <row r="520">
          <cell r="A520" t="str">
            <v>20021_2</v>
          </cell>
          <cell r="B520">
            <v>3</v>
          </cell>
          <cell r="C520">
            <v>20021</v>
          </cell>
          <cell r="D520" t="str">
            <v>ペインター・オブ・ラブ</v>
          </cell>
          <cell r="E520" t="str">
            <v>画家シリーズ01</v>
          </cell>
          <cell r="F520">
            <v>2</v>
          </cell>
          <cell r="G520" t="str">
            <v>ja</v>
          </cell>
          <cell r="H520" t="str">
            <v>【中級】ペインター・オブ・ラブ</v>
          </cell>
          <cell r="I520" t="str">
            <v>中級</v>
          </cell>
          <cell r="J520">
            <v>1095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4</v>
          </cell>
          <cell r="AD520">
            <v>6</v>
          </cell>
          <cell r="AE520" t="str">
            <v>everyone</v>
          </cell>
        </row>
        <row r="521">
          <cell r="A521" t="str">
            <v>20021_3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3</v>
          </cell>
          <cell r="G521" t="str">
            <v>ja</v>
          </cell>
          <cell r="H521" t="str">
            <v>【上級】ペインター・オブ・ラブ</v>
          </cell>
          <cell r="I521" t="str">
            <v>上級</v>
          </cell>
          <cell r="J521">
            <v>1095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20022_1</v>
          </cell>
          <cell r="B522">
            <v>3</v>
          </cell>
          <cell r="C522">
            <v>20022</v>
          </cell>
          <cell r="D522" t="str">
            <v>年を越える宴</v>
          </cell>
          <cell r="E522" t="str">
            <v>季節イベント</v>
          </cell>
          <cell r="F522">
            <v>1</v>
          </cell>
          <cell r="G522" t="str">
            <v>ja</v>
          </cell>
          <cell r="H522" t="str">
            <v>【上級】年を越える宴（ハートなし）</v>
          </cell>
          <cell r="I522" t="str">
            <v>2016年年忘れクエスト</v>
          </cell>
          <cell r="J522">
            <v>377</v>
          </cell>
          <cell r="K522">
            <v>10</v>
          </cell>
          <cell r="L522">
            <v>350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0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multionly</v>
          </cell>
        </row>
        <row r="523">
          <cell r="A523" t="str">
            <v>30001_1</v>
          </cell>
          <cell r="B523">
            <v>3</v>
          </cell>
          <cell r="C523">
            <v>30001</v>
          </cell>
          <cell r="D523" t="str">
            <v>ハンター・オブ・ハンター</v>
          </cell>
          <cell r="E523" t="str">
            <v>ドロップイベント1-1（マルチ専用）</v>
          </cell>
          <cell r="F523">
            <v>1</v>
          </cell>
          <cell r="G523" t="str">
            <v>ja</v>
          </cell>
          <cell r="H523" t="str">
            <v xml:space="preserve">【中級】ハンター・オブ・ハンター </v>
          </cell>
          <cell r="I523" t="str">
            <v>中級</v>
          </cell>
          <cell r="J523">
            <v>270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7</v>
          </cell>
          <cell r="AD523">
            <v>6</v>
          </cell>
          <cell r="AE523" t="str">
            <v>everyone</v>
          </cell>
        </row>
        <row r="524">
          <cell r="A524" t="str">
            <v>30001_2</v>
          </cell>
          <cell r="B524">
            <v>3</v>
          </cell>
          <cell r="C524">
            <v>30001</v>
          </cell>
          <cell r="D524" t="str">
            <v>ハンター・オブ・ハンター</v>
          </cell>
          <cell r="E524" t="str">
            <v>ドロップイベント1-1（マルチ専用）</v>
          </cell>
          <cell r="F524">
            <v>2</v>
          </cell>
          <cell r="G524" t="str">
            <v>ja</v>
          </cell>
          <cell r="H524" t="str">
            <v xml:space="preserve">【上級】ハンター・オブ・ハンター </v>
          </cell>
          <cell r="I524" t="str">
            <v>上級</v>
          </cell>
          <cell r="J524">
            <v>270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7</v>
          </cell>
          <cell r="AD524">
            <v>6</v>
          </cell>
          <cell r="AE524" t="str">
            <v>everyone</v>
          </cell>
        </row>
        <row r="525">
          <cell r="A525" t="str">
            <v>30001_3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3</v>
          </cell>
          <cell r="G525" t="str">
            <v>ja</v>
          </cell>
          <cell r="H525" t="str">
            <v xml:space="preserve">【超級】ハンター・オブ・ハンター </v>
          </cell>
          <cell r="I525" t="str">
            <v>超級</v>
          </cell>
          <cell r="J525">
            <v>271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30002_1</v>
          </cell>
          <cell r="B526">
            <v>3</v>
          </cell>
          <cell r="C526">
            <v>30002</v>
          </cell>
          <cell r="D526" t="str">
            <v>トリックスター</v>
          </cell>
          <cell r="E526" t="str">
            <v>ドロップイベント1-2（マルチ専用）</v>
          </cell>
          <cell r="F526">
            <v>1</v>
          </cell>
          <cell r="G526" t="str">
            <v>ja</v>
          </cell>
          <cell r="H526" t="str">
            <v xml:space="preserve">【中級】トリックスター </v>
          </cell>
          <cell r="I526" t="str">
            <v>中級</v>
          </cell>
          <cell r="J526">
            <v>272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17</v>
          </cell>
          <cell r="AD526">
            <v>6</v>
          </cell>
          <cell r="AE526" t="str">
            <v>everyone</v>
          </cell>
        </row>
        <row r="527">
          <cell r="A527" t="str">
            <v>30002_2</v>
          </cell>
          <cell r="B527">
            <v>3</v>
          </cell>
          <cell r="C527">
            <v>30002</v>
          </cell>
          <cell r="D527" t="str">
            <v>トリックスター</v>
          </cell>
          <cell r="E527" t="str">
            <v>ドロップイベント1-2（マルチ専用）</v>
          </cell>
          <cell r="F527">
            <v>2</v>
          </cell>
          <cell r="G527" t="str">
            <v>ja</v>
          </cell>
          <cell r="H527" t="str">
            <v xml:space="preserve">【上級】トリックスター </v>
          </cell>
          <cell r="I527" t="str">
            <v>上級</v>
          </cell>
          <cell r="J527">
            <v>272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17</v>
          </cell>
          <cell r="AD527">
            <v>6</v>
          </cell>
          <cell r="AE527" t="str">
            <v>everyone</v>
          </cell>
        </row>
        <row r="528">
          <cell r="A528" t="str">
            <v>30002_3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3</v>
          </cell>
          <cell r="G528" t="str">
            <v>ja</v>
          </cell>
          <cell r="H528" t="str">
            <v xml:space="preserve">【超級】トリックスター </v>
          </cell>
          <cell r="I528" t="str">
            <v>超級</v>
          </cell>
          <cell r="J528">
            <v>273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30003_1</v>
          </cell>
          <cell r="B529">
            <v>3</v>
          </cell>
          <cell r="C529">
            <v>30003</v>
          </cell>
          <cell r="D529" t="str">
            <v>打ち下ろされる砕棒</v>
          </cell>
          <cell r="E529" t="str">
            <v>ドロップイベント1-3（マルチ専用）</v>
          </cell>
          <cell r="F529">
            <v>1</v>
          </cell>
          <cell r="G529" t="str">
            <v>ja</v>
          </cell>
          <cell r="H529" t="str">
            <v xml:space="preserve">【中級】打ち下ろされる砕棒 </v>
          </cell>
          <cell r="I529" t="str">
            <v>中級</v>
          </cell>
          <cell r="J529">
            <v>274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20</v>
          </cell>
          <cell r="AD529">
            <v>6</v>
          </cell>
          <cell r="AE529" t="str">
            <v>everyone</v>
          </cell>
        </row>
        <row r="530">
          <cell r="A530" t="str">
            <v>30003_2</v>
          </cell>
          <cell r="B530">
            <v>3</v>
          </cell>
          <cell r="C530">
            <v>30003</v>
          </cell>
          <cell r="D530" t="str">
            <v>打ち下ろされる砕棒</v>
          </cell>
          <cell r="E530" t="str">
            <v>ドロップイベント1-3（マルチ専用）</v>
          </cell>
          <cell r="F530">
            <v>2</v>
          </cell>
          <cell r="G530" t="str">
            <v>ja</v>
          </cell>
          <cell r="H530" t="str">
            <v>【上級】打ち下ろされる砕棒</v>
          </cell>
          <cell r="I530" t="str">
            <v>上級</v>
          </cell>
          <cell r="J530">
            <v>274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20</v>
          </cell>
          <cell r="AD530">
            <v>6</v>
          </cell>
          <cell r="AE530" t="str">
            <v>everyone</v>
          </cell>
        </row>
        <row r="531">
          <cell r="A531" t="str">
            <v>30003_3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3</v>
          </cell>
          <cell r="G531" t="str">
            <v>ja</v>
          </cell>
          <cell r="H531" t="str">
            <v xml:space="preserve">【超級】打ち下ろされる砕棒 </v>
          </cell>
          <cell r="I531" t="str">
            <v>超級</v>
          </cell>
          <cell r="J531">
            <v>275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30004_1</v>
          </cell>
          <cell r="B532">
            <v>3</v>
          </cell>
          <cell r="C532">
            <v>30004</v>
          </cell>
          <cell r="D532" t="str">
            <v>危険な仲裁者</v>
          </cell>
          <cell r="E532" t="str">
            <v>ドロップイベント1-4（マルチ専用）</v>
          </cell>
          <cell r="F532">
            <v>1</v>
          </cell>
          <cell r="G532" t="str">
            <v>ja</v>
          </cell>
          <cell r="H532" t="str">
            <v xml:space="preserve">【中級】危険な仲裁者 </v>
          </cell>
          <cell r="I532" t="str">
            <v>中級</v>
          </cell>
          <cell r="J532">
            <v>276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14</v>
          </cell>
          <cell r="AD532">
            <v>6</v>
          </cell>
          <cell r="AE532" t="str">
            <v>everyone</v>
          </cell>
        </row>
        <row r="533">
          <cell r="A533" t="str">
            <v>30004_2</v>
          </cell>
          <cell r="B533">
            <v>3</v>
          </cell>
          <cell r="C533">
            <v>30004</v>
          </cell>
          <cell r="D533" t="str">
            <v>危険な仲裁者</v>
          </cell>
          <cell r="E533" t="str">
            <v>ドロップイベント1-4（マルチ専用）</v>
          </cell>
          <cell r="F533">
            <v>2</v>
          </cell>
          <cell r="G533" t="str">
            <v>ja</v>
          </cell>
          <cell r="H533" t="str">
            <v xml:space="preserve">【上級】危険な仲裁者 </v>
          </cell>
          <cell r="I533" t="str">
            <v>上級</v>
          </cell>
          <cell r="J533">
            <v>276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14</v>
          </cell>
          <cell r="AD533">
            <v>6</v>
          </cell>
          <cell r="AE533" t="str">
            <v>everyone</v>
          </cell>
        </row>
        <row r="534">
          <cell r="A534" t="str">
            <v>30004_3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3</v>
          </cell>
          <cell r="G534" t="str">
            <v>ja</v>
          </cell>
          <cell r="H534" t="str">
            <v xml:space="preserve">【超級】危険な仲裁者 </v>
          </cell>
          <cell r="I534" t="str">
            <v>超級</v>
          </cell>
          <cell r="J534">
            <v>277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30005_1</v>
          </cell>
          <cell r="B535">
            <v>3</v>
          </cell>
          <cell r="C535">
            <v>30005</v>
          </cell>
          <cell r="D535" t="str">
            <v>ニンゲンにしてあげる☆</v>
          </cell>
          <cell r="E535" t="str">
            <v>ドロップイベント2-1（マルチ専用）</v>
          </cell>
          <cell r="F535">
            <v>1</v>
          </cell>
          <cell r="G535" t="str">
            <v>ja</v>
          </cell>
          <cell r="H535" t="str">
            <v xml:space="preserve">【中級】ニンゲンにしてあげる </v>
          </cell>
          <cell r="I535" t="str">
            <v>中級</v>
          </cell>
          <cell r="J535">
            <v>290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11</v>
          </cell>
          <cell r="AD535">
            <v>6</v>
          </cell>
          <cell r="AE535" t="str">
            <v>everyone</v>
          </cell>
        </row>
        <row r="536">
          <cell r="A536" t="str">
            <v>30005_2</v>
          </cell>
          <cell r="B536">
            <v>3</v>
          </cell>
          <cell r="C536">
            <v>30005</v>
          </cell>
          <cell r="D536" t="str">
            <v>ニンゲンにしてあげる☆</v>
          </cell>
          <cell r="E536" t="str">
            <v>ドロップイベント2-1（マルチ専用）</v>
          </cell>
          <cell r="F536">
            <v>2</v>
          </cell>
          <cell r="G536" t="str">
            <v>ja</v>
          </cell>
          <cell r="H536" t="str">
            <v xml:space="preserve">【上級】ニンゲンにしてあげる </v>
          </cell>
          <cell r="I536" t="str">
            <v>上級</v>
          </cell>
          <cell r="J536">
            <v>290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11</v>
          </cell>
          <cell r="AD536">
            <v>6</v>
          </cell>
          <cell r="AE536" t="str">
            <v>everyone</v>
          </cell>
        </row>
        <row r="537">
          <cell r="A537" t="str">
            <v>30005_3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3</v>
          </cell>
          <cell r="G537" t="str">
            <v>ja</v>
          </cell>
          <cell r="H537" t="str">
            <v>【超級】ニンゲンにしてあげる</v>
          </cell>
          <cell r="I537" t="str">
            <v>超級</v>
          </cell>
          <cell r="J537">
            <v>291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30006_1</v>
          </cell>
          <cell r="B538">
            <v>3</v>
          </cell>
          <cell r="C538">
            <v>30006</v>
          </cell>
          <cell r="D538" t="str">
            <v>それはお前を食べるためさ</v>
          </cell>
          <cell r="E538" t="str">
            <v>ドロップイベント2-3（マルチ専用）</v>
          </cell>
          <cell r="F538">
            <v>1</v>
          </cell>
          <cell r="G538" t="str">
            <v>ja</v>
          </cell>
          <cell r="H538" t="str">
            <v>【中級】それはお前を食べるためさ</v>
          </cell>
          <cell r="I538" t="str">
            <v>中級</v>
          </cell>
          <cell r="J538">
            <v>294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7</v>
          </cell>
          <cell r="AD538">
            <v>6</v>
          </cell>
          <cell r="AE538" t="str">
            <v>everyone</v>
          </cell>
        </row>
        <row r="539">
          <cell r="A539" t="str">
            <v>30006_2</v>
          </cell>
          <cell r="B539">
            <v>3</v>
          </cell>
          <cell r="C539">
            <v>30006</v>
          </cell>
          <cell r="D539" t="str">
            <v>それはお前を食べるためさ</v>
          </cell>
          <cell r="E539" t="str">
            <v>ドロップイベント2-3（マルチ専用）</v>
          </cell>
          <cell r="F539">
            <v>2</v>
          </cell>
          <cell r="G539" t="str">
            <v>ja</v>
          </cell>
          <cell r="H539" t="str">
            <v>【上級】それはお前を食べるためさ</v>
          </cell>
          <cell r="I539" t="str">
            <v>上級</v>
          </cell>
          <cell r="J539">
            <v>294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7</v>
          </cell>
          <cell r="AD539">
            <v>6</v>
          </cell>
          <cell r="AE539" t="str">
            <v>everyone</v>
          </cell>
        </row>
        <row r="540">
          <cell r="A540" t="str">
            <v>30006_3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3</v>
          </cell>
          <cell r="G540" t="str">
            <v>ja</v>
          </cell>
          <cell r="H540" t="str">
            <v>【超級】それはお前を食べるためさ</v>
          </cell>
          <cell r="I540" t="str">
            <v>超級</v>
          </cell>
          <cell r="J540">
            <v>295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30007_1</v>
          </cell>
          <cell r="B541">
            <v>3</v>
          </cell>
          <cell r="C541">
            <v>30007</v>
          </cell>
          <cell r="D541" t="str">
            <v>ガラスの靴は私のもの</v>
          </cell>
          <cell r="E541" t="str">
            <v>ドロップイベント2-2（マルチ専用）</v>
          </cell>
          <cell r="F541">
            <v>1</v>
          </cell>
          <cell r="G541" t="str">
            <v>ja</v>
          </cell>
          <cell r="H541" t="str">
            <v xml:space="preserve">【中級】ガラスの靴は私のもの </v>
          </cell>
          <cell r="I541" t="str">
            <v>中級</v>
          </cell>
          <cell r="J541">
            <v>292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</v>
          </cell>
          <cell r="AD541">
            <v>6</v>
          </cell>
          <cell r="AE541" t="str">
            <v>everyone</v>
          </cell>
        </row>
        <row r="542">
          <cell r="A542" t="str">
            <v>30007_2</v>
          </cell>
          <cell r="B542">
            <v>3</v>
          </cell>
          <cell r="C542">
            <v>30007</v>
          </cell>
          <cell r="D542" t="str">
            <v>ガラスの靴は私のもの</v>
          </cell>
          <cell r="E542" t="str">
            <v>ドロップイベント2-2（マルチ専用）</v>
          </cell>
          <cell r="F542">
            <v>2</v>
          </cell>
          <cell r="G542" t="str">
            <v>ja</v>
          </cell>
          <cell r="H542" t="str">
            <v>【上級】ガラスの靴は私のもの</v>
          </cell>
          <cell r="I542" t="str">
            <v>上級</v>
          </cell>
          <cell r="J542">
            <v>292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</v>
          </cell>
          <cell r="AD542">
            <v>6</v>
          </cell>
          <cell r="AE542" t="str">
            <v>everyone</v>
          </cell>
        </row>
        <row r="543">
          <cell r="A543" t="str">
            <v>30007_3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3</v>
          </cell>
          <cell r="G543" t="str">
            <v>ja</v>
          </cell>
          <cell r="H543" t="str">
            <v xml:space="preserve">【超級】ガラスの靴は私のもの </v>
          </cell>
          <cell r="I543" t="str">
            <v>超級</v>
          </cell>
          <cell r="J543">
            <v>293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30008_1</v>
          </cell>
          <cell r="B544">
            <v>3</v>
          </cell>
          <cell r="C544">
            <v>30008</v>
          </cell>
          <cell r="D544" t="str">
            <v>わたしの嫁を返してもらおう</v>
          </cell>
          <cell r="E544" t="str">
            <v>ドロップイベント2-4（マルチ専用）</v>
          </cell>
          <cell r="F544">
            <v>1</v>
          </cell>
          <cell r="G544" t="str">
            <v>ja</v>
          </cell>
          <cell r="H544" t="str">
            <v>【中級】わたしの嫁を返してもらおう</v>
          </cell>
          <cell r="I544" t="str">
            <v>中級</v>
          </cell>
          <cell r="J544">
            <v>288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22</v>
          </cell>
          <cell r="AD544">
            <v>6</v>
          </cell>
          <cell r="AE544" t="str">
            <v>everyone</v>
          </cell>
        </row>
        <row r="545">
          <cell r="A545" t="str">
            <v>30008_2</v>
          </cell>
          <cell r="B545">
            <v>3</v>
          </cell>
          <cell r="C545">
            <v>30008</v>
          </cell>
          <cell r="D545" t="str">
            <v>わたしの嫁を返してもらおう</v>
          </cell>
          <cell r="E545" t="str">
            <v>ドロップイベント2-4（マルチ専用）</v>
          </cell>
          <cell r="F545">
            <v>2</v>
          </cell>
          <cell r="G545" t="str">
            <v>ja</v>
          </cell>
          <cell r="H545" t="str">
            <v>【上級】わたしの嫁を返してもらおう</v>
          </cell>
          <cell r="I545" t="str">
            <v>上級</v>
          </cell>
          <cell r="J545">
            <v>288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22</v>
          </cell>
          <cell r="AD545">
            <v>6</v>
          </cell>
          <cell r="AE545" t="str">
            <v>everyone</v>
          </cell>
        </row>
        <row r="546">
          <cell r="A546" t="str">
            <v>30008_3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3</v>
          </cell>
          <cell r="G546" t="str">
            <v>ja</v>
          </cell>
          <cell r="H546" t="str">
            <v>【超級】わたしの嫁を返してもらおう</v>
          </cell>
          <cell r="I546" t="str">
            <v>超級</v>
          </cell>
          <cell r="J546">
            <v>289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30009_3</v>
          </cell>
          <cell r="B547">
            <v>0</v>
          </cell>
          <cell r="C547">
            <v>30009</v>
          </cell>
          <cell r="D547" t="str">
            <v>復活の捕食者</v>
          </cell>
          <cell r="E547" t="str">
            <v>ドロップイベント3（マルチ専用）</v>
          </cell>
          <cell r="F547">
            <v>3</v>
          </cell>
          <cell r="G547" t="str">
            <v>ja</v>
          </cell>
          <cell r="H547" t="str">
            <v>【上級】復活の捕食者</v>
          </cell>
          <cell r="I547" t="str">
            <v>上級</v>
          </cell>
          <cell r="J547">
            <v>312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2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8</v>
          </cell>
          <cell r="AD547">
            <v>6</v>
          </cell>
          <cell r="AE547" t="str">
            <v>everyone</v>
          </cell>
        </row>
        <row r="548">
          <cell r="A548" t="str">
            <v>30009_1</v>
          </cell>
          <cell r="B548">
            <v>3</v>
          </cell>
          <cell r="C548">
            <v>30009</v>
          </cell>
          <cell r="D548" t="str">
            <v>復活の捕食者</v>
          </cell>
          <cell r="E548" t="str">
            <v>ドロップイベント3（マルチ専用）</v>
          </cell>
          <cell r="F548">
            <v>1</v>
          </cell>
          <cell r="G548" t="str">
            <v>ja</v>
          </cell>
          <cell r="H548" t="str">
            <v>【超級】復活の捕食者</v>
          </cell>
          <cell r="I548" t="str">
            <v>超級</v>
          </cell>
          <cell r="J548">
            <v>312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2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8</v>
          </cell>
          <cell r="AD548">
            <v>6</v>
          </cell>
          <cell r="AE548" t="str">
            <v>everyone</v>
          </cell>
        </row>
        <row r="549">
          <cell r="A549" t="str">
            <v>30009_2</v>
          </cell>
          <cell r="B549">
            <v>3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2</v>
          </cell>
          <cell r="G549" t="str">
            <v>ja</v>
          </cell>
          <cell r="H549" t="str">
            <v>【超絶級】復活の捕食者</v>
          </cell>
          <cell r="I549" t="str">
            <v>超絶級</v>
          </cell>
          <cell r="J549">
            <v>312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30010_1</v>
          </cell>
          <cell r="B550">
            <v>3</v>
          </cell>
          <cell r="C550">
            <v>30010</v>
          </cell>
          <cell r="D550" t="str">
            <v>最大最凶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【上級】最大最凶</v>
          </cell>
          <cell r="I550" t="str">
            <v>上級</v>
          </cell>
          <cell r="J550">
            <v>306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2</v>
          </cell>
          <cell r="AD550">
            <v>7</v>
          </cell>
          <cell r="AE550" t="str">
            <v>everyone</v>
          </cell>
        </row>
        <row r="551">
          <cell r="A551" t="str">
            <v>30010_2</v>
          </cell>
          <cell r="B551">
            <v>3</v>
          </cell>
          <cell r="C551">
            <v>30010</v>
          </cell>
          <cell r="D551" t="str">
            <v>最大最凶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【超級】最大最凶</v>
          </cell>
          <cell r="I551" t="str">
            <v>超級</v>
          </cell>
          <cell r="J551">
            <v>306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2</v>
          </cell>
          <cell r="AD551">
            <v>7</v>
          </cell>
          <cell r="AE551" t="str">
            <v>everyone</v>
          </cell>
        </row>
        <row r="552">
          <cell r="A552" t="str">
            <v>30010_3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【超絶級】最大最凶</v>
          </cell>
          <cell r="I552" t="str">
            <v>超絶級</v>
          </cell>
          <cell r="J552">
            <v>306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30011_1</v>
          </cell>
          <cell r="B553">
            <v>3</v>
          </cell>
          <cell r="C553">
            <v>30011</v>
          </cell>
          <cell r="D553" t="str">
            <v>気怠い巨読者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【上級】気怠い巨読者</v>
          </cell>
          <cell r="I553" t="str">
            <v>上級</v>
          </cell>
          <cell r="J553">
            <v>308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2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19</v>
          </cell>
          <cell r="AD553">
            <v>6</v>
          </cell>
          <cell r="AE553" t="str">
            <v>everyone</v>
          </cell>
        </row>
        <row r="554">
          <cell r="A554" t="str">
            <v>30011_2</v>
          </cell>
          <cell r="B554">
            <v>3</v>
          </cell>
          <cell r="C554">
            <v>30011</v>
          </cell>
          <cell r="D554" t="str">
            <v>気怠い巨読者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【超級】気怠い巨読者</v>
          </cell>
          <cell r="I554" t="str">
            <v>超級</v>
          </cell>
          <cell r="J554">
            <v>308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2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19</v>
          </cell>
          <cell r="AD554">
            <v>6</v>
          </cell>
          <cell r="AE554" t="str">
            <v>everyone</v>
          </cell>
        </row>
        <row r="555">
          <cell r="A555" t="str">
            <v>30011_3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【超絶級】気怠い巨読者</v>
          </cell>
          <cell r="I555" t="str">
            <v>超絶級</v>
          </cell>
          <cell r="J555">
            <v>309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30012_1</v>
          </cell>
          <cell r="B556">
            <v>3</v>
          </cell>
          <cell r="C556">
            <v>30012</v>
          </cell>
          <cell r="D556" t="str">
            <v>底なしの胃袋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【上級】底なしの胃袋</v>
          </cell>
          <cell r="I556" t="str">
            <v>上級</v>
          </cell>
          <cell r="J556">
            <v>310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0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5</v>
          </cell>
          <cell r="AD556">
            <v>6</v>
          </cell>
          <cell r="AE556" t="str">
            <v>everyone</v>
          </cell>
        </row>
        <row r="557">
          <cell r="A557" t="str">
            <v>30012_2</v>
          </cell>
          <cell r="B557">
            <v>3</v>
          </cell>
          <cell r="C557">
            <v>30012</v>
          </cell>
          <cell r="D557" t="str">
            <v>底なしの胃袋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【超級】底なしの胃袋</v>
          </cell>
          <cell r="I557" t="str">
            <v>超級</v>
          </cell>
          <cell r="J557">
            <v>310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0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5</v>
          </cell>
          <cell r="AD557">
            <v>6</v>
          </cell>
          <cell r="AE557" t="str">
            <v>everyone</v>
          </cell>
        </row>
        <row r="558">
          <cell r="A558" t="str">
            <v>30012_3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【超絶級】底なしの胃袋</v>
          </cell>
          <cell r="I558" t="str">
            <v>超絶級</v>
          </cell>
          <cell r="J558">
            <v>310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30013_1</v>
          </cell>
          <cell r="B559">
            <v>3</v>
          </cell>
          <cell r="C559">
            <v>30013</v>
          </cell>
          <cell r="D559" t="str">
            <v>決戦・竜宮城</v>
          </cell>
          <cell r="E559" t="str">
            <v>ドロップイベント4（マルチ専用）</v>
          </cell>
          <cell r="F559">
            <v>1</v>
          </cell>
          <cell r="G559" t="str">
            <v>ja</v>
          </cell>
          <cell r="H559" t="str">
            <v>【超級】決戦・竜宮城</v>
          </cell>
          <cell r="I559" t="str">
            <v>超級</v>
          </cell>
          <cell r="J559">
            <v>418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17</v>
          </cell>
          <cell r="AD559">
            <v>6</v>
          </cell>
          <cell r="AE559" t="str">
            <v>everyone</v>
          </cell>
        </row>
        <row r="560">
          <cell r="A560" t="str">
            <v>30013_2</v>
          </cell>
          <cell r="B560">
            <v>3</v>
          </cell>
          <cell r="C560">
            <v>30013</v>
          </cell>
          <cell r="D560" t="str">
            <v>決戦・竜宮城</v>
          </cell>
          <cell r="E560" t="str">
            <v>ドロップイベント4（マルチ専用）</v>
          </cell>
          <cell r="F560">
            <v>2</v>
          </cell>
          <cell r="G560" t="str">
            <v>ja</v>
          </cell>
          <cell r="H560" t="str">
            <v>【超絶級】決戦・竜宮城</v>
          </cell>
          <cell r="I560" t="str">
            <v>超絶級</v>
          </cell>
          <cell r="J560">
            <v>419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17</v>
          </cell>
          <cell r="AD560">
            <v>6</v>
          </cell>
          <cell r="AE560" t="str">
            <v>everyone</v>
          </cell>
        </row>
        <row r="561">
          <cell r="A561" t="str">
            <v>30014_1</v>
          </cell>
          <cell r="B561">
            <v>3</v>
          </cell>
          <cell r="C561">
            <v>30014</v>
          </cell>
          <cell r="D561" t="str">
            <v>親指を突き立てろ！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【超級】親指を突き立てろ！</v>
          </cell>
          <cell r="I561" t="str">
            <v>超級</v>
          </cell>
          <cell r="J561">
            <v>420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23</v>
          </cell>
          <cell r="AD561">
            <v>5</v>
          </cell>
          <cell r="AE561" t="str">
            <v>everyone</v>
          </cell>
        </row>
        <row r="562">
          <cell r="A562" t="str">
            <v>30014_2</v>
          </cell>
          <cell r="B562">
            <v>3</v>
          </cell>
          <cell r="C562">
            <v>30014</v>
          </cell>
          <cell r="D562" t="str">
            <v>親指を突き立てろ！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【超絶級】親指を突き立てろ！</v>
          </cell>
          <cell r="I562" t="str">
            <v>超絶級</v>
          </cell>
          <cell r="J562">
            <v>421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23</v>
          </cell>
          <cell r="AD562">
            <v>5</v>
          </cell>
          <cell r="AE562" t="str">
            <v>everyone</v>
          </cell>
        </row>
        <row r="563">
          <cell r="A563" t="str">
            <v>30015_1</v>
          </cell>
          <cell r="B563">
            <v>3</v>
          </cell>
          <cell r="C563">
            <v>30015</v>
          </cell>
          <cell r="D563" t="str">
            <v>兄妹の大冒険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【超級】兄妹の大冒険</v>
          </cell>
          <cell r="I563" t="str">
            <v>超級</v>
          </cell>
          <cell r="J563">
            <v>422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16</v>
          </cell>
          <cell r="AD563">
            <v>6</v>
          </cell>
          <cell r="AE563" t="str">
            <v>everyone</v>
          </cell>
        </row>
        <row r="564">
          <cell r="A564" t="str">
            <v>30015_2</v>
          </cell>
          <cell r="B564">
            <v>3</v>
          </cell>
          <cell r="C564">
            <v>30015</v>
          </cell>
          <cell r="D564" t="str">
            <v>兄妹の大冒険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【超絶級】兄妹の大冒険</v>
          </cell>
          <cell r="I564" t="str">
            <v>超絶級</v>
          </cell>
          <cell r="J564">
            <v>423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16</v>
          </cell>
          <cell r="AD564">
            <v>6</v>
          </cell>
          <cell r="AE564" t="str">
            <v>everyone</v>
          </cell>
        </row>
        <row r="565">
          <cell r="A565" t="str">
            <v>30016_1</v>
          </cell>
          <cell r="B565">
            <v>3</v>
          </cell>
          <cell r="C565">
            <v>30016</v>
          </cell>
          <cell r="D565" t="str">
            <v>私がワニの天敵よ？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【超級】私がワニの天敵よ？</v>
          </cell>
          <cell r="I565" t="str">
            <v>超級</v>
          </cell>
          <cell r="J565">
            <v>424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4</v>
          </cell>
          <cell r="AD565">
            <v>6</v>
          </cell>
          <cell r="AE565" t="str">
            <v>everyone</v>
          </cell>
        </row>
        <row r="566">
          <cell r="A566" t="str">
            <v>30016_2</v>
          </cell>
          <cell r="B566">
            <v>3</v>
          </cell>
          <cell r="C566">
            <v>30016</v>
          </cell>
          <cell r="D566" t="str">
            <v>私がワニの天敵よ？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【超絶級】私がワニの天敵よ？</v>
          </cell>
          <cell r="I566" t="str">
            <v>超絶級</v>
          </cell>
          <cell r="J566">
            <v>425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4</v>
          </cell>
          <cell r="AD566">
            <v>6</v>
          </cell>
          <cell r="AE566" t="str">
            <v>everyone</v>
          </cell>
        </row>
        <row r="567">
          <cell r="A567" t="str">
            <v>30017_1</v>
          </cell>
          <cell r="B567">
            <v>3</v>
          </cell>
          <cell r="C567">
            <v>30017</v>
          </cell>
          <cell r="D567" t="str">
            <v>狩人の挽歌</v>
          </cell>
          <cell r="E567" t="str">
            <v>ドロップイベント5（マルチ専用）</v>
          </cell>
          <cell r="F567">
            <v>1</v>
          </cell>
          <cell r="G567" t="str">
            <v>ja</v>
          </cell>
          <cell r="H567" t="str">
            <v>【超級】狩人の挽歌</v>
          </cell>
          <cell r="I567" t="str">
            <v>超級</v>
          </cell>
          <cell r="J567">
            <v>452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</v>
          </cell>
          <cell r="AD567">
            <v>6</v>
          </cell>
          <cell r="AE567" t="str">
            <v>multionly</v>
          </cell>
        </row>
        <row r="568">
          <cell r="A568" t="str">
            <v>30017_2</v>
          </cell>
          <cell r="B568">
            <v>3</v>
          </cell>
          <cell r="C568">
            <v>30017</v>
          </cell>
          <cell r="D568" t="str">
            <v>狩人の挽歌</v>
          </cell>
          <cell r="E568" t="str">
            <v>ドロップイベント5（マルチ専用）</v>
          </cell>
          <cell r="F568">
            <v>2</v>
          </cell>
          <cell r="G568" t="str">
            <v>ja</v>
          </cell>
          <cell r="H568" t="str">
            <v>【超絶級】狩人の挽歌</v>
          </cell>
          <cell r="I568" t="str">
            <v>超絶級</v>
          </cell>
          <cell r="J568">
            <v>453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</v>
          </cell>
          <cell r="AD568">
            <v>6</v>
          </cell>
          <cell r="AE568" t="str">
            <v>multionly</v>
          </cell>
        </row>
        <row r="569">
          <cell r="A569" t="str">
            <v>30018_1</v>
          </cell>
          <cell r="B569">
            <v>3</v>
          </cell>
          <cell r="C569">
            <v>30018</v>
          </cell>
          <cell r="D569" t="str">
            <v>バックストリートファイト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【超級】バックストリートファイト</v>
          </cell>
          <cell r="I569" t="str">
            <v>超級</v>
          </cell>
          <cell r="J569">
            <v>454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0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14</v>
          </cell>
          <cell r="AD569">
            <v>6</v>
          </cell>
          <cell r="AE569" t="str">
            <v>everyone</v>
          </cell>
        </row>
        <row r="570">
          <cell r="A570" t="str">
            <v>30018_2</v>
          </cell>
          <cell r="B570">
            <v>3</v>
          </cell>
          <cell r="C570">
            <v>30018</v>
          </cell>
          <cell r="D570" t="str">
            <v>バックストリートファイト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【超絶級】バックストリートファイト</v>
          </cell>
          <cell r="I570" t="str">
            <v>超絶級</v>
          </cell>
          <cell r="J570">
            <v>455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0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14</v>
          </cell>
          <cell r="AD570">
            <v>6</v>
          </cell>
          <cell r="AE570" t="str">
            <v>everyone</v>
          </cell>
        </row>
        <row r="571">
          <cell r="A571" t="str">
            <v>30019_1</v>
          </cell>
          <cell r="B571">
            <v>3</v>
          </cell>
          <cell r="C571">
            <v>30019</v>
          </cell>
          <cell r="D571" t="str">
            <v>狙撃は終わらない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【超級】狙撃は終わらない</v>
          </cell>
          <cell r="I571" t="str">
            <v>超級</v>
          </cell>
          <cell r="J571">
            <v>456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24</v>
          </cell>
          <cell r="AD571">
            <v>6</v>
          </cell>
          <cell r="AE571" t="str">
            <v>multionly</v>
          </cell>
        </row>
        <row r="572">
          <cell r="A572" t="str">
            <v>30019_2</v>
          </cell>
          <cell r="B572">
            <v>3</v>
          </cell>
          <cell r="C572">
            <v>30019</v>
          </cell>
          <cell r="D572" t="str">
            <v>狙撃は終わらない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【超絶級】狙撃は終わらない</v>
          </cell>
          <cell r="I572" t="str">
            <v>超絶級</v>
          </cell>
          <cell r="J572">
            <v>457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24</v>
          </cell>
          <cell r="AD572">
            <v>6</v>
          </cell>
          <cell r="AE572" t="str">
            <v>multionly</v>
          </cell>
        </row>
        <row r="573">
          <cell r="A573" t="str">
            <v>30020_1</v>
          </cell>
          <cell r="B573">
            <v>3</v>
          </cell>
          <cell r="C573">
            <v>30020</v>
          </cell>
          <cell r="D573" t="str">
            <v>若造よ、身の程を知れ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【超級】若造よ、身の程を知れ</v>
          </cell>
          <cell r="I573" t="str">
            <v>超級</v>
          </cell>
          <cell r="J573">
            <v>458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13</v>
          </cell>
          <cell r="AD573">
            <v>6</v>
          </cell>
          <cell r="AE573" t="str">
            <v>everyone</v>
          </cell>
        </row>
        <row r="574">
          <cell r="A574" t="str">
            <v>30020_2</v>
          </cell>
          <cell r="B574">
            <v>3</v>
          </cell>
          <cell r="C574">
            <v>30020</v>
          </cell>
          <cell r="D574" t="str">
            <v>若造よ、身の程を知れ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【超絶級】若造よ、身の程を知れ</v>
          </cell>
          <cell r="I574" t="str">
            <v>超絶級</v>
          </cell>
          <cell r="J574">
            <v>459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13</v>
          </cell>
          <cell r="AD574">
            <v>6</v>
          </cell>
          <cell r="AE574" t="str">
            <v>everyone</v>
          </cell>
        </row>
        <row r="575">
          <cell r="A575" t="str">
            <v>30021_1</v>
          </cell>
          <cell r="B575">
            <v>3</v>
          </cell>
          <cell r="C575">
            <v>30021</v>
          </cell>
          <cell r="D575" t="str">
            <v>野獣死すべしっ！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【中級】野獣死すべしっ！</v>
          </cell>
          <cell r="I575" t="str">
            <v>中級</v>
          </cell>
          <cell r="J575">
            <v>502</v>
          </cell>
          <cell r="K575">
            <v>15</v>
          </cell>
          <cell r="L575">
            <v>1200</v>
          </cell>
          <cell r="M575">
            <v>1</v>
          </cell>
          <cell r="N575">
            <v>1</v>
          </cell>
          <cell r="O575">
            <v>0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14</v>
          </cell>
          <cell r="AD575">
            <v>6</v>
          </cell>
          <cell r="AE575" t="str">
            <v>everyone</v>
          </cell>
        </row>
        <row r="576">
          <cell r="A576" t="str">
            <v>30021_2</v>
          </cell>
          <cell r="B576">
            <v>3</v>
          </cell>
          <cell r="C576">
            <v>30021</v>
          </cell>
          <cell r="D576" t="str">
            <v>野獣死すべしっ！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【上級】野獣死すべしっ！</v>
          </cell>
          <cell r="I576" t="str">
            <v>上級</v>
          </cell>
          <cell r="J576">
            <v>502</v>
          </cell>
          <cell r="K576">
            <v>20</v>
          </cell>
          <cell r="L576">
            <v>2000</v>
          </cell>
          <cell r="M576">
            <v>1</v>
          </cell>
          <cell r="N576">
            <v>1</v>
          </cell>
          <cell r="O576">
            <v>0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14</v>
          </cell>
          <cell r="AD576">
            <v>6</v>
          </cell>
          <cell r="AE576" t="str">
            <v>everyone</v>
          </cell>
        </row>
        <row r="577">
          <cell r="A577" t="str">
            <v>30021_3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3</v>
          </cell>
          <cell r="G577" t="str">
            <v>ja</v>
          </cell>
          <cell r="H577" t="str">
            <v>【超級】野獣死すべしっ！</v>
          </cell>
          <cell r="I577" t="str">
            <v>超級</v>
          </cell>
          <cell r="J577">
            <v>503</v>
          </cell>
          <cell r="K577">
            <v>30</v>
          </cell>
          <cell r="L577">
            <v>3300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30022_1</v>
          </cell>
          <cell r="B578">
            <v>3</v>
          </cell>
          <cell r="C578">
            <v>30022</v>
          </cell>
          <cell r="D578" t="str">
            <v>凶鼠ネコを咬む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【超級】凶鼠ネコを咬む</v>
          </cell>
          <cell r="I578" t="str">
            <v>超級</v>
          </cell>
          <cell r="J578">
            <v>504</v>
          </cell>
          <cell r="K578">
            <v>30</v>
          </cell>
          <cell r="L578">
            <v>3300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6</v>
          </cell>
          <cell r="AD578">
            <v>6</v>
          </cell>
          <cell r="AE578" t="str">
            <v>everyone</v>
          </cell>
        </row>
        <row r="579">
          <cell r="A579" t="str">
            <v>30022_2</v>
          </cell>
          <cell r="B579">
            <v>3</v>
          </cell>
          <cell r="C579">
            <v>30022</v>
          </cell>
          <cell r="D579" t="str">
            <v>凶鼠ネコを咬む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【超絶級】凶鼠ネコを咬む</v>
          </cell>
          <cell r="I579" t="str">
            <v>超絶級</v>
          </cell>
          <cell r="J579">
            <v>505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6</v>
          </cell>
          <cell r="AD579">
            <v>6</v>
          </cell>
          <cell r="AE579" t="str">
            <v>everyone</v>
          </cell>
        </row>
        <row r="580">
          <cell r="A580" t="str">
            <v>30023_1</v>
          </cell>
          <cell r="B580">
            <v>3</v>
          </cell>
          <cell r="C580">
            <v>30023</v>
          </cell>
          <cell r="D580" t="str">
            <v>隔離からのエスケイプ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【中級】隔離からのエスケイプ</v>
          </cell>
          <cell r="I580" t="str">
            <v>中級</v>
          </cell>
          <cell r="J580">
            <v>506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25</v>
          </cell>
          <cell r="AD580">
            <v>6</v>
          </cell>
          <cell r="AE580" t="str">
            <v>everyone</v>
          </cell>
        </row>
        <row r="581">
          <cell r="A581" t="str">
            <v>30023_2</v>
          </cell>
          <cell r="B581">
            <v>3</v>
          </cell>
          <cell r="C581">
            <v>30023</v>
          </cell>
          <cell r="D581" t="str">
            <v>隔離からのエスケイプ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【上級】隔離からのエスケイプ</v>
          </cell>
          <cell r="I581" t="str">
            <v>上級</v>
          </cell>
          <cell r="J581">
            <v>506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25</v>
          </cell>
          <cell r="AD581">
            <v>6</v>
          </cell>
          <cell r="AE581" t="str">
            <v>everyone</v>
          </cell>
        </row>
        <row r="582">
          <cell r="A582" t="str">
            <v>30023_3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3</v>
          </cell>
          <cell r="G582" t="str">
            <v>ja</v>
          </cell>
          <cell r="H582" t="str">
            <v>【超級】隔離からのエスケイプ</v>
          </cell>
          <cell r="I582" t="str">
            <v>超級</v>
          </cell>
          <cell r="J582">
            <v>507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30024_1</v>
          </cell>
          <cell r="B583">
            <v>3</v>
          </cell>
          <cell r="C583">
            <v>30024</v>
          </cell>
          <cell r="D583" t="str">
            <v>雷鎚の選定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【中級】雷鎚の選定</v>
          </cell>
          <cell r="I583" t="str">
            <v>中級</v>
          </cell>
          <cell r="J583">
            <v>583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20</v>
          </cell>
          <cell r="AD583">
            <v>6</v>
          </cell>
          <cell r="AE583" t="str">
            <v>multionly</v>
          </cell>
        </row>
        <row r="584">
          <cell r="A584" t="str">
            <v>30024_2</v>
          </cell>
          <cell r="B584">
            <v>3</v>
          </cell>
          <cell r="C584">
            <v>30024</v>
          </cell>
          <cell r="D584" t="str">
            <v>雷鎚の選定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【上級】雷鎚の選定</v>
          </cell>
          <cell r="I584" t="str">
            <v>上級</v>
          </cell>
          <cell r="J584">
            <v>583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20</v>
          </cell>
          <cell r="AD584">
            <v>6</v>
          </cell>
          <cell r="AE584" t="str">
            <v>multionly</v>
          </cell>
        </row>
        <row r="585">
          <cell r="A585" t="str">
            <v>30024_3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【超級】雷鎚の選定</v>
          </cell>
          <cell r="I585" t="str">
            <v>超級</v>
          </cell>
          <cell r="J585">
            <v>584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30025_1</v>
          </cell>
          <cell r="B586">
            <v>3</v>
          </cell>
          <cell r="C586">
            <v>30025</v>
          </cell>
          <cell r="D586" t="str">
            <v>真実の探求者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【中級】真実の探求者</v>
          </cell>
          <cell r="I586" t="str">
            <v>中級</v>
          </cell>
          <cell r="J586">
            <v>579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7</v>
          </cell>
          <cell r="AD586">
            <v>6</v>
          </cell>
          <cell r="AE586" t="str">
            <v>everyone</v>
          </cell>
        </row>
        <row r="587">
          <cell r="A587" t="str">
            <v>30025_2</v>
          </cell>
          <cell r="B587">
            <v>3</v>
          </cell>
          <cell r="C587">
            <v>30025</v>
          </cell>
          <cell r="D587" t="str">
            <v>真実の探求者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【上級】真実の探求者</v>
          </cell>
          <cell r="I587" t="str">
            <v>上級</v>
          </cell>
          <cell r="J587">
            <v>579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7</v>
          </cell>
          <cell r="AD587">
            <v>6</v>
          </cell>
          <cell r="AE587" t="str">
            <v>everyone</v>
          </cell>
        </row>
        <row r="588">
          <cell r="A588" t="str">
            <v>30025_3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【超級】真実の探求者</v>
          </cell>
          <cell r="I588" t="str">
            <v>超級</v>
          </cell>
          <cell r="J588">
            <v>580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30026_1</v>
          </cell>
          <cell r="B589">
            <v>3</v>
          </cell>
          <cell r="C589">
            <v>30026</v>
          </cell>
          <cell r="D589" t="str">
            <v>道を阻む妖精夫婦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【中級】道を阻む妖精夫婦</v>
          </cell>
          <cell r="I589" t="str">
            <v>中級</v>
          </cell>
          <cell r="J589">
            <v>577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21</v>
          </cell>
          <cell r="AD589">
            <v>6</v>
          </cell>
          <cell r="AE589" t="str">
            <v>everyone</v>
          </cell>
        </row>
        <row r="590">
          <cell r="A590" t="str">
            <v>30026_2</v>
          </cell>
          <cell r="B590">
            <v>3</v>
          </cell>
          <cell r="C590">
            <v>30026</v>
          </cell>
          <cell r="D590" t="str">
            <v>道を阻む妖精夫婦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【上級】道を阻む妖精夫婦</v>
          </cell>
          <cell r="I590" t="str">
            <v>上級</v>
          </cell>
          <cell r="J590">
            <v>577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21</v>
          </cell>
          <cell r="AD590">
            <v>6</v>
          </cell>
          <cell r="AE590" t="str">
            <v>everyone</v>
          </cell>
        </row>
        <row r="591">
          <cell r="A591" t="str">
            <v>30026_3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【超級】道を阻む妖精夫婦</v>
          </cell>
          <cell r="I591" t="str">
            <v>超級</v>
          </cell>
          <cell r="J591">
            <v>578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30027_1</v>
          </cell>
          <cell r="B592">
            <v>3</v>
          </cell>
          <cell r="C592">
            <v>30027</v>
          </cell>
          <cell r="D592" t="str">
            <v>凍りつくまで愛してあげる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【中級】凍りつくまで愛してあげる</v>
          </cell>
          <cell r="I592" t="str">
            <v>中級</v>
          </cell>
          <cell r="J592">
            <v>646</v>
          </cell>
          <cell r="K592">
            <v>15</v>
          </cell>
          <cell r="L592">
            <v>1200</v>
          </cell>
          <cell r="M592">
            <v>0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</v>
          </cell>
          <cell r="AD592">
            <v>6</v>
          </cell>
          <cell r="AE592" t="str">
            <v>everyone</v>
          </cell>
        </row>
        <row r="593">
          <cell r="A593" t="str">
            <v>30027_2</v>
          </cell>
          <cell r="B593">
            <v>3</v>
          </cell>
          <cell r="C593">
            <v>30027</v>
          </cell>
          <cell r="D593" t="str">
            <v>凍りつくまで愛してあげる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【上級】凍りつくまで愛してあげる</v>
          </cell>
          <cell r="I593" t="str">
            <v>上級</v>
          </cell>
          <cell r="J593">
            <v>646</v>
          </cell>
          <cell r="K593">
            <v>20</v>
          </cell>
          <cell r="L593">
            <v>2000</v>
          </cell>
          <cell r="M593">
            <v>0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</v>
          </cell>
          <cell r="AD593">
            <v>6</v>
          </cell>
          <cell r="AE593" t="str">
            <v>everyone</v>
          </cell>
        </row>
        <row r="594">
          <cell r="A594" t="str">
            <v>30027_3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【超級】凍りつくまで愛してあげる</v>
          </cell>
          <cell r="I594" t="str">
            <v>超級</v>
          </cell>
          <cell r="J594">
            <v>647</v>
          </cell>
          <cell r="K594">
            <v>30</v>
          </cell>
          <cell r="L594">
            <v>3300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30028_1</v>
          </cell>
          <cell r="B595">
            <v>3</v>
          </cell>
          <cell r="C595">
            <v>30028</v>
          </cell>
          <cell r="D595" t="str">
            <v>最悪の刺客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【中級】最悪の刺客</v>
          </cell>
          <cell r="I595" t="str">
            <v>中級</v>
          </cell>
          <cell r="J595">
            <v>650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30028_2</v>
          </cell>
          <cell r="B596">
            <v>3</v>
          </cell>
          <cell r="C596">
            <v>30028</v>
          </cell>
          <cell r="D596" t="str">
            <v>最悪の刺客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【上級】最悪の刺客</v>
          </cell>
          <cell r="I596" t="str">
            <v>上級</v>
          </cell>
          <cell r="J596">
            <v>650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30028_3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【超級】最悪の刺客</v>
          </cell>
          <cell r="I597" t="str">
            <v>超級</v>
          </cell>
          <cell r="J597">
            <v>651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30029_1</v>
          </cell>
          <cell r="B598">
            <v>3</v>
          </cell>
          <cell r="C598">
            <v>30029</v>
          </cell>
          <cell r="D598" t="str">
            <v>全ては主のために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【中級】全ては主のために</v>
          </cell>
          <cell r="I598" t="str">
            <v>中級</v>
          </cell>
          <cell r="J598">
            <v>648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5</v>
          </cell>
          <cell r="AD598">
            <v>6</v>
          </cell>
          <cell r="AE598" t="str">
            <v>everyone</v>
          </cell>
        </row>
        <row r="599">
          <cell r="A599" t="str">
            <v>30029_2</v>
          </cell>
          <cell r="B599">
            <v>3</v>
          </cell>
          <cell r="C599">
            <v>30029</v>
          </cell>
          <cell r="D599" t="str">
            <v>全ては主のために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【上級】全ては主のために</v>
          </cell>
          <cell r="I599" t="str">
            <v>上級</v>
          </cell>
          <cell r="J599">
            <v>648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5</v>
          </cell>
          <cell r="AD599">
            <v>6</v>
          </cell>
          <cell r="AE599" t="str">
            <v>everyone</v>
          </cell>
        </row>
        <row r="600">
          <cell r="A600" t="str">
            <v>30029_3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【超級】全ては主のために</v>
          </cell>
          <cell r="I600" t="str">
            <v>超級</v>
          </cell>
          <cell r="J600">
            <v>648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30030_1</v>
          </cell>
          <cell r="B601">
            <v>3</v>
          </cell>
          <cell r="C601">
            <v>30030</v>
          </cell>
          <cell r="D601" t="str">
            <v>ここは誰の箱庭じゃ？</v>
          </cell>
          <cell r="E601" t="str">
            <v>ドロップイベント9（マルチ専用）</v>
          </cell>
          <cell r="F601">
            <v>1</v>
          </cell>
          <cell r="G601" t="str">
            <v>ja</v>
          </cell>
          <cell r="H601" t="str">
            <v>【中級】ここは誰の箱庭じゃ？</v>
          </cell>
          <cell r="I601" t="str">
            <v>中級</v>
          </cell>
          <cell r="J601">
            <v>652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8</v>
          </cell>
          <cell r="AD601">
            <v>6</v>
          </cell>
          <cell r="AE601" t="str">
            <v>everyone</v>
          </cell>
        </row>
        <row r="602">
          <cell r="A602" t="str">
            <v>30030_2</v>
          </cell>
          <cell r="B602">
            <v>3</v>
          </cell>
          <cell r="C602">
            <v>30030</v>
          </cell>
          <cell r="D602" t="str">
            <v>ここは誰の箱庭じゃ？</v>
          </cell>
          <cell r="E602" t="str">
            <v>ドロップイベント9（マルチ専用）</v>
          </cell>
          <cell r="F602">
            <v>2</v>
          </cell>
          <cell r="G602" t="str">
            <v>ja</v>
          </cell>
          <cell r="H602" t="str">
            <v>【上級】ここは誰の箱庭じゃ？</v>
          </cell>
          <cell r="I602" t="str">
            <v>上級</v>
          </cell>
          <cell r="J602">
            <v>653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8</v>
          </cell>
          <cell r="AD602">
            <v>6</v>
          </cell>
          <cell r="AE602" t="str">
            <v>everyone</v>
          </cell>
        </row>
        <row r="603">
          <cell r="A603" t="str">
            <v>30030_3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3</v>
          </cell>
          <cell r="G603" t="str">
            <v>ja</v>
          </cell>
          <cell r="H603" t="str">
            <v>【超級】ここは誰の箱庭じゃ？</v>
          </cell>
          <cell r="I603" t="str">
            <v>超級</v>
          </cell>
          <cell r="J603">
            <v>653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30031_1</v>
          </cell>
          <cell r="B604">
            <v>3</v>
          </cell>
          <cell r="C604">
            <v>30031</v>
          </cell>
          <cell r="D604" t="str">
            <v>力への羨望</v>
          </cell>
          <cell r="E604" t="str">
            <v>ドロップイベント10（マルチ専用）</v>
          </cell>
          <cell r="F604">
            <v>1</v>
          </cell>
          <cell r="G604" t="str">
            <v>ja</v>
          </cell>
          <cell r="H604" t="str">
            <v>【中級】力への羨望</v>
          </cell>
          <cell r="I604" t="str">
            <v>中級</v>
          </cell>
          <cell r="J604">
            <v>764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20</v>
          </cell>
          <cell r="AD604">
            <v>6</v>
          </cell>
          <cell r="AE604" t="str">
            <v>everyone</v>
          </cell>
        </row>
        <row r="605">
          <cell r="A605" t="str">
            <v>30031_2</v>
          </cell>
          <cell r="B605">
            <v>3</v>
          </cell>
          <cell r="C605">
            <v>30031</v>
          </cell>
          <cell r="D605" t="str">
            <v>力への羨望</v>
          </cell>
          <cell r="E605" t="str">
            <v>ドロップイベント10（マルチ専用）</v>
          </cell>
          <cell r="F605">
            <v>2</v>
          </cell>
          <cell r="G605" t="str">
            <v>ja</v>
          </cell>
          <cell r="H605" t="str">
            <v>【上級】力への羨望</v>
          </cell>
          <cell r="I605" t="str">
            <v>上級</v>
          </cell>
          <cell r="J605">
            <v>764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20</v>
          </cell>
          <cell r="AD605">
            <v>6</v>
          </cell>
          <cell r="AE605" t="str">
            <v>everyone</v>
          </cell>
        </row>
        <row r="606">
          <cell r="A606" t="str">
            <v>30031_3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3</v>
          </cell>
          <cell r="G606" t="str">
            <v>ja</v>
          </cell>
          <cell r="H606" t="str">
            <v>【超級】力への羨望</v>
          </cell>
          <cell r="I606" t="str">
            <v>超級</v>
          </cell>
          <cell r="J606">
            <v>765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30032_1</v>
          </cell>
          <cell r="B607">
            <v>3</v>
          </cell>
          <cell r="C607">
            <v>30032</v>
          </cell>
          <cell r="D607" t="str">
            <v>赤き竜の制裁</v>
          </cell>
          <cell r="E607" t="str">
            <v>円卓2（マルチ専用）</v>
          </cell>
          <cell r="F607">
            <v>1</v>
          </cell>
          <cell r="G607" t="str">
            <v>ja</v>
          </cell>
          <cell r="H607" t="str">
            <v>【中級】赤き竜の制裁</v>
          </cell>
          <cell r="I607" t="str">
            <v>中級</v>
          </cell>
          <cell r="J607">
            <v>767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14</v>
          </cell>
          <cell r="AD607">
            <v>6</v>
          </cell>
          <cell r="AE607" t="str">
            <v>everyone</v>
          </cell>
        </row>
        <row r="608">
          <cell r="A608" t="str">
            <v>30032_2</v>
          </cell>
          <cell r="B608">
            <v>3</v>
          </cell>
          <cell r="C608">
            <v>30032</v>
          </cell>
          <cell r="D608" t="str">
            <v>赤き竜の制裁</v>
          </cell>
          <cell r="E608" t="str">
            <v>円卓2（マルチ専用）</v>
          </cell>
          <cell r="F608">
            <v>2</v>
          </cell>
          <cell r="G608" t="str">
            <v>ja</v>
          </cell>
          <cell r="H608" t="str">
            <v>【上級】赤き竜の制裁</v>
          </cell>
          <cell r="I608" t="str">
            <v>上級</v>
          </cell>
          <cell r="J608">
            <v>767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14</v>
          </cell>
          <cell r="AD608">
            <v>6</v>
          </cell>
          <cell r="AE608" t="str">
            <v>everyone</v>
          </cell>
        </row>
        <row r="609">
          <cell r="A609" t="str">
            <v>30032_3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3</v>
          </cell>
          <cell r="G609" t="str">
            <v>ja</v>
          </cell>
          <cell r="H609" t="str">
            <v>【超級】赤き竜の制裁</v>
          </cell>
          <cell r="I609" t="str">
            <v>超級</v>
          </cell>
          <cell r="J609">
            <v>767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30033_1</v>
          </cell>
          <cell r="B610">
            <v>3</v>
          </cell>
          <cell r="C610">
            <v>30033</v>
          </cell>
          <cell r="D610" t="str">
            <v>御館様の懐刀</v>
          </cell>
          <cell r="E610" t="str">
            <v>戦国１</v>
          </cell>
          <cell r="F610">
            <v>1</v>
          </cell>
          <cell r="G610" t="str">
            <v>ja</v>
          </cell>
          <cell r="H610" t="str">
            <v>【中級】御館様の懐刀</v>
          </cell>
          <cell r="I610" t="str">
            <v>中級</v>
          </cell>
          <cell r="J610">
            <v>722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</v>
          </cell>
          <cell r="AD610">
            <v>6</v>
          </cell>
          <cell r="AE610" t="str">
            <v>everyone</v>
          </cell>
        </row>
        <row r="611">
          <cell r="A611" t="str">
            <v>30033_2</v>
          </cell>
          <cell r="B611">
            <v>3</v>
          </cell>
          <cell r="C611">
            <v>30033</v>
          </cell>
          <cell r="D611" t="str">
            <v>御館様の懐刀</v>
          </cell>
          <cell r="E611" t="str">
            <v>戦国１</v>
          </cell>
          <cell r="F611">
            <v>2</v>
          </cell>
          <cell r="G611" t="str">
            <v>ja</v>
          </cell>
          <cell r="H611" t="str">
            <v>【上級】御館様の懐刀</v>
          </cell>
          <cell r="I611" t="str">
            <v>上級</v>
          </cell>
          <cell r="J611">
            <v>722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</v>
          </cell>
          <cell r="AD611">
            <v>6</v>
          </cell>
          <cell r="AE611" t="str">
            <v>everyone</v>
          </cell>
        </row>
        <row r="612">
          <cell r="A612" t="str">
            <v>30033_3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3</v>
          </cell>
          <cell r="G612" t="str">
            <v>ja</v>
          </cell>
          <cell r="H612" t="str">
            <v>【超級】御館様の懐刀</v>
          </cell>
          <cell r="I612" t="str">
            <v>超級</v>
          </cell>
          <cell r="J612">
            <v>723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30034_1</v>
          </cell>
          <cell r="B613">
            <v>3</v>
          </cell>
          <cell r="C613">
            <v>30034</v>
          </cell>
          <cell r="D613" t="str">
            <v>孤高の焔翼</v>
          </cell>
          <cell r="E613" t="str">
            <v>天使と悪魔</v>
          </cell>
          <cell r="F613">
            <v>1</v>
          </cell>
          <cell r="G613" t="str">
            <v>ja</v>
          </cell>
          <cell r="H613" t="str">
            <v>【中級】孤高の焔翼</v>
          </cell>
          <cell r="I613" t="str">
            <v>中級</v>
          </cell>
          <cell r="J613">
            <v>840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</v>
          </cell>
          <cell r="AD613">
            <v>6</v>
          </cell>
          <cell r="AE613" t="str">
            <v>everyone</v>
          </cell>
        </row>
        <row r="614">
          <cell r="A614" t="str">
            <v>30034_2</v>
          </cell>
          <cell r="B614">
            <v>3</v>
          </cell>
          <cell r="C614">
            <v>30034</v>
          </cell>
          <cell r="D614" t="str">
            <v>孤高の焔翼</v>
          </cell>
          <cell r="E614" t="str">
            <v>天使と悪魔</v>
          </cell>
          <cell r="F614">
            <v>2</v>
          </cell>
          <cell r="G614" t="str">
            <v>ja</v>
          </cell>
          <cell r="H614" t="str">
            <v>【上級】孤高の焔翼</v>
          </cell>
          <cell r="I614" t="str">
            <v>上級</v>
          </cell>
          <cell r="J614">
            <v>840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</v>
          </cell>
          <cell r="AD614">
            <v>6</v>
          </cell>
          <cell r="AE614" t="str">
            <v>everyone</v>
          </cell>
        </row>
        <row r="615">
          <cell r="A615" t="str">
            <v>30034_3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3</v>
          </cell>
          <cell r="G615" t="str">
            <v>ja</v>
          </cell>
          <cell r="H615" t="str">
            <v>【超級】孤高の焔翼</v>
          </cell>
          <cell r="I615" t="str">
            <v>超級</v>
          </cell>
          <cell r="J615">
            <v>841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30035_1</v>
          </cell>
          <cell r="B616">
            <v>3</v>
          </cell>
          <cell r="C616">
            <v>30035</v>
          </cell>
          <cell r="D616" t="str">
            <v>大鯨の呼び声</v>
          </cell>
          <cell r="E616" t="str">
            <v>童話シリーズ3本目</v>
          </cell>
          <cell r="F616">
            <v>1</v>
          </cell>
          <cell r="G616" t="str">
            <v>ja</v>
          </cell>
          <cell r="H616" t="str">
            <v>【中級】大鯨の呼び声</v>
          </cell>
          <cell r="I616" t="str">
            <v>中級</v>
          </cell>
          <cell r="J616">
            <v>858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5</v>
          </cell>
          <cell r="AD616">
            <v>6</v>
          </cell>
          <cell r="AE616" t="str">
            <v>everyone</v>
          </cell>
        </row>
        <row r="617">
          <cell r="A617" t="str">
            <v>30035_2</v>
          </cell>
          <cell r="B617">
            <v>3</v>
          </cell>
          <cell r="C617">
            <v>30035</v>
          </cell>
          <cell r="D617" t="str">
            <v>大鯨の呼び声</v>
          </cell>
          <cell r="E617" t="str">
            <v>童話シリーズ3本目</v>
          </cell>
          <cell r="F617">
            <v>2</v>
          </cell>
          <cell r="G617" t="str">
            <v>ja</v>
          </cell>
          <cell r="H617" t="str">
            <v>【上級】大鯨の呼び声</v>
          </cell>
          <cell r="I617" t="str">
            <v>上級</v>
          </cell>
          <cell r="J617">
            <v>858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5</v>
          </cell>
          <cell r="AD617">
            <v>6</v>
          </cell>
          <cell r="AE617" t="str">
            <v>everyone</v>
          </cell>
        </row>
        <row r="618">
          <cell r="A618" t="str">
            <v>30035_3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3</v>
          </cell>
          <cell r="G618" t="str">
            <v>ja</v>
          </cell>
          <cell r="H618" t="str">
            <v>【超級】大鯨の呼び声</v>
          </cell>
          <cell r="I618" t="str">
            <v>超級</v>
          </cell>
          <cell r="J618">
            <v>859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30036_1</v>
          </cell>
          <cell r="B619">
            <v>3</v>
          </cell>
          <cell r="C619">
            <v>30036</v>
          </cell>
          <cell r="D619" t="str">
            <v>猛然たる炎獣使い</v>
          </cell>
          <cell r="E619" t="str">
            <v>ギリシャ神話シリーズ超級</v>
          </cell>
          <cell r="F619">
            <v>1</v>
          </cell>
          <cell r="G619" t="str">
            <v>ja</v>
          </cell>
          <cell r="H619" t="str">
            <v>【中級】猛然たる炎獣使い</v>
          </cell>
          <cell r="I619" t="str">
            <v>中級</v>
          </cell>
          <cell r="J619">
            <v>736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14</v>
          </cell>
          <cell r="AD619">
            <v>6</v>
          </cell>
          <cell r="AE619" t="str">
            <v>everyone</v>
          </cell>
        </row>
        <row r="620">
          <cell r="A620" t="str">
            <v>30036_2</v>
          </cell>
          <cell r="B620">
            <v>3</v>
          </cell>
          <cell r="C620">
            <v>30036</v>
          </cell>
          <cell r="D620" t="str">
            <v>猛然たる炎獣使い</v>
          </cell>
          <cell r="E620" t="str">
            <v>ギリシャ神話シリーズ超級</v>
          </cell>
          <cell r="F620">
            <v>2</v>
          </cell>
          <cell r="G620" t="str">
            <v>ja</v>
          </cell>
          <cell r="H620" t="str">
            <v>【上級】猛然たる炎獣使い</v>
          </cell>
          <cell r="I620" t="str">
            <v>上級</v>
          </cell>
          <cell r="J620">
            <v>737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14</v>
          </cell>
          <cell r="AD620">
            <v>6</v>
          </cell>
          <cell r="AE620" t="str">
            <v>everyone</v>
          </cell>
        </row>
        <row r="621">
          <cell r="A621" t="str">
            <v>30036_3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3</v>
          </cell>
          <cell r="G621" t="str">
            <v>ja</v>
          </cell>
          <cell r="H621" t="str">
            <v>【超級】猛然たる炎獣使い</v>
          </cell>
          <cell r="I621" t="str">
            <v>超級</v>
          </cell>
          <cell r="J621">
            <v>737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30037_1</v>
          </cell>
          <cell r="B622">
            <v>3</v>
          </cell>
          <cell r="C622">
            <v>30037</v>
          </cell>
          <cell r="D622" t="str">
            <v>灯り火の麗人</v>
          </cell>
          <cell r="E622" t="str">
            <v>フランス革命シリーズ超級</v>
          </cell>
          <cell r="F622">
            <v>1</v>
          </cell>
          <cell r="G622" t="str">
            <v>ja</v>
          </cell>
          <cell r="H622" t="str">
            <v>【中級】灯り火の麗人</v>
          </cell>
          <cell r="I622" t="str">
            <v>中級</v>
          </cell>
          <cell r="J622">
            <v>934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6</v>
          </cell>
          <cell r="AD622">
            <v>6</v>
          </cell>
          <cell r="AE622" t="str">
            <v>everyone</v>
          </cell>
        </row>
        <row r="623">
          <cell r="A623" t="str">
            <v>30037_2</v>
          </cell>
          <cell r="B623">
            <v>3</v>
          </cell>
          <cell r="C623">
            <v>30037</v>
          </cell>
          <cell r="D623" t="str">
            <v>灯り火の麗人</v>
          </cell>
          <cell r="E623" t="str">
            <v>フランス革命シリーズ超級</v>
          </cell>
          <cell r="F623">
            <v>2</v>
          </cell>
          <cell r="G623" t="str">
            <v>ja</v>
          </cell>
          <cell r="H623" t="str">
            <v>【上級】灯り火の麗人</v>
          </cell>
          <cell r="I623" t="str">
            <v>上級</v>
          </cell>
          <cell r="J623">
            <v>934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6</v>
          </cell>
          <cell r="AD623">
            <v>6</v>
          </cell>
          <cell r="AE623" t="str">
            <v>everyone</v>
          </cell>
        </row>
        <row r="624">
          <cell r="A624" t="str">
            <v>30037_3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3</v>
          </cell>
          <cell r="G624" t="str">
            <v>ja</v>
          </cell>
          <cell r="H624" t="str">
            <v>【超級】灯り火の麗人</v>
          </cell>
          <cell r="I624" t="str">
            <v>超級</v>
          </cell>
          <cell r="J624">
            <v>934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30038_1</v>
          </cell>
          <cell r="B625">
            <v>3</v>
          </cell>
          <cell r="C625">
            <v>30038</v>
          </cell>
          <cell r="D625" t="str">
            <v>毒絶神の願い</v>
          </cell>
          <cell r="E625" t="str">
            <v>エジプト神話シリーズ超級</v>
          </cell>
          <cell r="F625">
            <v>1</v>
          </cell>
          <cell r="G625" t="str">
            <v>ja</v>
          </cell>
          <cell r="H625" t="str">
            <v>【中級】毒絶神の願い</v>
          </cell>
          <cell r="I625" t="str">
            <v>中級</v>
          </cell>
          <cell r="J625">
            <v>1007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8</v>
          </cell>
          <cell r="AD625">
            <v>6</v>
          </cell>
          <cell r="AE625" t="str">
            <v>everyone</v>
          </cell>
        </row>
        <row r="626">
          <cell r="A626" t="str">
            <v>30038_2</v>
          </cell>
          <cell r="B626">
            <v>3</v>
          </cell>
          <cell r="C626">
            <v>30038</v>
          </cell>
          <cell r="D626" t="str">
            <v>毒絶神の願い</v>
          </cell>
          <cell r="E626" t="str">
            <v>エジプト神話シリーズ超級</v>
          </cell>
          <cell r="F626">
            <v>2</v>
          </cell>
          <cell r="G626" t="str">
            <v>ja</v>
          </cell>
          <cell r="H626" t="str">
            <v>【上級】毒絶神の願い</v>
          </cell>
          <cell r="I626" t="str">
            <v>上級</v>
          </cell>
          <cell r="J626">
            <v>1007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8</v>
          </cell>
          <cell r="AD626">
            <v>6</v>
          </cell>
          <cell r="AE626" t="str">
            <v>everyone</v>
          </cell>
        </row>
        <row r="627">
          <cell r="A627" t="str">
            <v>30038_3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3</v>
          </cell>
          <cell r="G627" t="str">
            <v>ja</v>
          </cell>
          <cell r="H627" t="str">
            <v>【超級】毒絶神の願い</v>
          </cell>
          <cell r="I627" t="str">
            <v>超級</v>
          </cell>
          <cell r="J627">
            <v>1007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30039_1</v>
          </cell>
          <cell r="B628">
            <v>3</v>
          </cell>
          <cell r="C628">
            <v>30039</v>
          </cell>
          <cell r="D628" t="str">
            <v>ゼロワン・ゲーム</v>
          </cell>
          <cell r="E628" t="str">
            <v>平安シリーズ超級</v>
          </cell>
          <cell r="F628">
            <v>1</v>
          </cell>
          <cell r="G628" t="str">
            <v>ja</v>
          </cell>
          <cell r="H628" t="str">
            <v>【中級】ゼロワン・ゲーム</v>
          </cell>
          <cell r="I628" t="str">
            <v>中級</v>
          </cell>
          <cell r="J628">
            <v>1022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18</v>
          </cell>
          <cell r="AD628">
            <v>6</v>
          </cell>
          <cell r="AE628" t="str">
            <v>everyone</v>
          </cell>
        </row>
        <row r="629">
          <cell r="A629" t="str">
            <v>30039_2</v>
          </cell>
          <cell r="B629">
            <v>3</v>
          </cell>
          <cell r="C629">
            <v>30039</v>
          </cell>
          <cell r="D629" t="str">
            <v>ゼロワン・ゲーム</v>
          </cell>
          <cell r="E629" t="str">
            <v>平安シリーズ超級</v>
          </cell>
          <cell r="F629">
            <v>2</v>
          </cell>
          <cell r="G629" t="str">
            <v>ja</v>
          </cell>
          <cell r="H629" t="str">
            <v>【上級】ゼロワン・ゲーム</v>
          </cell>
          <cell r="I629" t="str">
            <v>上級</v>
          </cell>
          <cell r="J629">
            <v>1022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18</v>
          </cell>
          <cell r="AD629">
            <v>6</v>
          </cell>
          <cell r="AE629" t="str">
            <v>everyone</v>
          </cell>
        </row>
        <row r="630">
          <cell r="A630" t="str">
            <v>30039_3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3</v>
          </cell>
          <cell r="G630" t="str">
            <v>ja</v>
          </cell>
          <cell r="H630" t="str">
            <v>【超級】ゼロワン・ゲーム</v>
          </cell>
          <cell r="I630" t="str">
            <v>超級</v>
          </cell>
          <cell r="J630">
            <v>1023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30040_1</v>
          </cell>
          <cell r="B631">
            <v>3</v>
          </cell>
          <cell r="C631">
            <v>30040</v>
          </cell>
          <cell r="D631" t="str">
            <v>闇ヨリ出ル魔獣</v>
          </cell>
          <cell r="E631" t="str">
            <v>メソポタミア文明シリーズ超級</v>
          </cell>
          <cell r="F631">
            <v>1</v>
          </cell>
          <cell r="G631" t="str">
            <v>ja</v>
          </cell>
          <cell r="H631" t="str">
            <v>【中級】闇ヨリ出ル魔獣</v>
          </cell>
          <cell r="I631" t="str">
            <v>中級</v>
          </cell>
          <cell r="J631">
            <v>1061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7</v>
          </cell>
          <cell r="AD631">
            <v>6</v>
          </cell>
          <cell r="AE631" t="str">
            <v>everyone</v>
          </cell>
        </row>
        <row r="632">
          <cell r="A632" t="str">
            <v>30040_2</v>
          </cell>
          <cell r="B632">
            <v>3</v>
          </cell>
          <cell r="C632">
            <v>30040</v>
          </cell>
          <cell r="D632" t="str">
            <v>闇ヨリ出ル魔獣</v>
          </cell>
          <cell r="E632" t="str">
            <v>メソポタミア文明シリーズ超級</v>
          </cell>
          <cell r="F632">
            <v>2</v>
          </cell>
          <cell r="G632" t="str">
            <v>ja</v>
          </cell>
          <cell r="H632" t="str">
            <v>【上級】闇ヨリ出ル魔獣</v>
          </cell>
          <cell r="I632" t="str">
            <v>上級</v>
          </cell>
          <cell r="J632">
            <v>1062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7</v>
          </cell>
          <cell r="AD632">
            <v>6</v>
          </cell>
          <cell r="AE632" t="str">
            <v>everyone</v>
          </cell>
        </row>
        <row r="633">
          <cell r="A633" t="str">
            <v>30040_3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3</v>
          </cell>
          <cell r="G633" t="str">
            <v>ja</v>
          </cell>
          <cell r="H633" t="str">
            <v>【超級】闇ヨリ出ル魔獣</v>
          </cell>
          <cell r="I633" t="str">
            <v>超級</v>
          </cell>
          <cell r="J633">
            <v>1062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30041_1</v>
          </cell>
          <cell r="B634">
            <v>3</v>
          </cell>
          <cell r="C634">
            <v>30041</v>
          </cell>
          <cell r="D634" t="str">
            <v>パラノイア・アート</v>
          </cell>
          <cell r="E634" t="str">
            <v>画家シリーズ超級</v>
          </cell>
          <cell r="F634">
            <v>1</v>
          </cell>
          <cell r="G634" t="str">
            <v>ja</v>
          </cell>
          <cell r="H634" t="str">
            <v>【中級】パラノイア・アート</v>
          </cell>
          <cell r="I634" t="str">
            <v>中級</v>
          </cell>
          <cell r="J634">
            <v>1096</v>
          </cell>
          <cell r="K634">
            <v>15</v>
          </cell>
          <cell r="L634">
            <v>1200</v>
          </cell>
          <cell r="M634">
            <v>1</v>
          </cell>
          <cell r="N634">
            <v>0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25</v>
          </cell>
          <cell r="AD634">
            <v>6</v>
          </cell>
          <cell r="AE634" t="str">
            <v>everyone</v>
          </cell>
        </row>
        <row r="635">
          <cell r="A635" t="str">
            <v>30041_2</v>
          </cell>
          <cell r="B635">
            <v>3</v>
          </cell>
          <cell r="C635">
            <v>30041</v>
          </cell>
          <cell r="D635" t="str">
            <v>パラノイア・アート</v>
          </cell>
          <cell r="E635" t="str">
            <v>画家シリーズ超級</v>
          </cell>
          <cell r="F635">
            <v>2</v>
          </cell>
          <cell r="G635" t="str">
            <v>ja</v>
          </cell>
          <cell r="H635" t="str">
            <v>【上級】パラノイア・アート</v>
          </cell>
          <cell r="I635" t="str">
            <v>上級</v>
          </cell>
          <cell r="J635">
            <v>1097</v>
          </cell>
          <cell r="K635">
            <v>20</v>
          </cell>
          <cell r="L635">
            <v>2000</v>
          </cell>
          <cell r="M635">
            <v>1</v>
          </cell>
          <cell r="N635">
            <v>0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25</v>
          </cell>
          <cell r="AD635">
            <v>6</v>
          </cell>
          <cell r="AE635" t="str">
            <v>everyone</v>
          </cell>
        </row>
        <row r="636">
          <cell r="A636" t="str">
            <v>30041_3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3</v>
          </cell>
          <cell r="G636" t="str">
            <v>ja</v>
          </cell>
          <cell r="H636" t="str">
            <v>【超級】パラノイア・アート</v>
          </cell>
          <cell r="I636" t="str">
            <v>超級</v>
          </cell>
          <cell r="J636">
            <v>1097</v>
          </cell>
          <cell r="K636">
            <v>30</v>
          </cell>
          <cell r="L636">
            <v>3300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30042_1</v>
          </cell>
          <cell r="B637">
            <v>3</v>
          </cell>
          <cell r="C637">
            <v>30042</v>
          </cell>
          <cell r="D637" t="str">
            <v>馬中に赤兎あり！</v>
          </cell>
          <cell r="E637" t="str">
            <v>三国志シリーズ超級</v>
          </cell>
          <cell r="F637">
            <v>1</v>
          </cell>
          <cell r="G637" t="str">
            <v>ja</v>
          </cell>
          <cell r="H637" t="str">
            <v>【中級】馬中に赤兎あり！</v>
          </cell>
          <cell r="I637" t="str">
            <v>中級</v>
          </cell>
          <cell r="J637">
            <v>1130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0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14</v>
          </cell>
          <cell r="AD637">
            <v>6</v>
          </cell>
          <cell r="AE637" t="str">
            <v>singleonly</v>
          </cell>
        </row>
        <row r="638">
          <cell r="A638" t="str">
            <v>30042_2</v>
          </cell>
          <cell r="B638">
            <v>3</v>
          </cell>
          <cell r="C638">
            <v>30042</v>
          </cell>
          <cell r="D638" t="str">
            <v>馬中に赤兎あり！</v>
          </cell>
          <cell r="E638" t="str">
            <v>三国志シリーズ超級</v>
          </cell>
          <cell r="F638">
            <v>2</v>
          </cell>
          <cell r="G638" t="str">
            <v>ja</v>
          </cell>
          <cell r="H638" t="str">
            <v>【上級】馬中に赤兎あり！</v>
          </cell>
          <cell r="I638" t="str">
            <v>上級</v>
          </cell>
          <cell r="J638">
            <v>1130</v>
          </cell>
          <cell r="K638">
            <v>20</v>
          </cell>
          <cell r="L638">
            <v>2000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0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14</v>
          </cell>
          <cell r="AD638">
            <v>6</v>
          </cell>
          <cell r="AE638" t="str">
            <v>singleonly</v>
          </cell>
        </row>
        <row r="639">
          <cell r="A639" t="str">
            <v>30042_3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3</v>
          </cell>
          <cell r="G639" t="str">
            <v>ja</v>
          </cell>
          <cell r="H639" t="str">
            <v>【超級】馬中に赤兎あり！</v>
          </cell>
          <cell r="I639" t="str">
            <v>超級</v>
          </cell>
          <cell r="J639">
            <v>1130</v>
          </cell>
          <cell r="K639">
            <v>30</v>
          </cell>
          <cell r="L639">
            <v>3300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30043_1</v>
          </cell>
          <cell r="B640">
            <v>3</v>
          </cell>
          <cell r="C640">
            <v>30043</v>
          </cell>
          <cell r="D640" t="str">
            <v>小さな破壊竜</v>
          </cell>
          <cell r="E640" t="str">
            <v>ヒンドゥー神話第二弾超級</v>
          </cell>
          <cell r="F640">
            <v>1</v>
          </cell>
          <cell r="G640" t="str">
            <v>ja</v>
          </cell>
          <cell r="H640" t="str">
            <v>【中級】小さな破壊竜</v>
          </cell>
          <cell r="I640" t="str">
            <v>中級</v>
          </cell>
          <cell r="J640">
            <v>1146</v>
          </cell>
          <cell r="K640">
            <v>15</v>
          </cell>
          <cell r="L640">
            <v>1200</v>
          </cell>
          <cell r="M640">
            <v>1</v>
          </cell>
          <cell r="N640">
            <v>0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24</v>
          </cell>
          <cell r="AD640">
            <v>6</v>
          </cell>
          <cell r="AE640" t="str">
            <v>everyone</v>
          </cell>
        </row>
        <row r="641">
          <cell r="A641" t="str">
            <v>30043_2</v>
          </cell>
          <cell r="B641">
            <v>3</v>
          </cell>
          <cell r="C641">
            <v>30043</v>
          </cell>
          <cell r="D641" t="str">
            <v>小さな破壊竜</v>
          </cell>
          <cell r="E641" t="str">
            <v>ヒンドゥー神話第二弾超級</v>
          </cell>
          <cell r="F641">
            <v>2</v>
          </cell>
          <cell r="G641" t="str">
            <v>ja</v>
          </cell>
          <cell r="H641" t="str">
            <v>【上級】小さな破壊竜</v>
          </cell>
          <cell r="I641" t="str">
            <v>上級</v>
          </cell>
          <cell r="J641">
            <v>1146</v>
          </cell>
          <cell r="K641">
            <v>20</v>
          </cell>
          <cell r="L641">
            <v>2000</v>
          </cell>
          <cell r="M641">
            <v>1</v>
          </cell>
          <cell r="N641">
            <v>0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24</v>
          </cell>
          <cell r="AD641">
            <v>6</v>
          </cell>
          <cell r="AE641" t="str">
            <v>everyone</v>
          </cell>
        </row>
        <row r="642">
          <cell r="A642" t="str">
            <v>30043_3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3</v>
          </cell>
          <cell r="G642" t="str">
            <v>ja</v>
          </cell>
          <cell r="H642" t="str">
            <v>【超級】小さな破壊竜</v>
          </cell>
          <cell r="I642" t="str">
            <v>超級</v>
          </cell>
          <cell r="J642">
            <v>1146</v>
          </cell>
          <cell r="K642">
            <v>30</v>
          </cell>
          <cell r="L642">
            <v>3300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30044_1</v>
          </cell>
          <cell r="B643">
            <v>3</v>
          </cell>
          <cell r="C643">
            <v>30044</v>
          </cell>
          <cell r="D643" t="str">
            <v>冷酷なる遂行者</v>
          </cell>
          <cell r="E643" t="str">
            <v>ギリシャ神話第二弾超級</v>
          </cell>
          <cell r="F643">
            <v>1</v>
          </cell>
          <cell r="G643" t="str">
            <v>ja</v>
          </cell>
          <cell r="H643" t="str">
            <v>【中級】冷酷なる遂行者</v>
          </cell>
          <cell r="I643" t="str">
            <v>中級</v>
          </cell>
          <cell r="J643">
            <v>1201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26</v>
          </cell>
          <cell r="AD643">
            <v>6</v>
          </cell>
          <cell r="AE643" t="str">
            <v>everyone</v>
          </cell>
        </row>
        <row r="644">
          <cell r="A644" t="str">
            <v>30044_2</v>
          </cell>
          <cell r="B644">
            <v>3</v>
          </cell>
          <cell r="C644">
            <v>30044</v>
          </cell>
          <cell r="D644" t="str">
            <v>冷酷なる遂行者</v>
          </cell>
          <cell r="E644" t="str">
            <v>ギリシャ神話第二弾超級</v>
          </cell>
          <cell r="F644">
            <v>2</v>
          </cell>
          <cell r="G644" t="str">
            <v>ja</v>
          </cell>
          <cell r="H644" t="str">
            <v>【上級】冷酷なる遂行者</v>
          </cell>
          <cell r="I644" t="str">
            <v>上級</v>
          </cell>
          <cell r="J644">
            <v>1201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26</v>
          </cell>
          <cell r="AD644">
            <v>6</v>
          </cell>
          <cell r="AE644" t="str">
            <v>everyone</v>
          </cell>
        </row>
        <row r="645">
          <cell r="A645" t="str">
            <v>30044_3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3</v>
          </cell>
          <cell r="G645" t="str">
            <v>ja</v>
          </cell>
          <cell r="H645" t="str">
            <v>【超級】冷酷なる遂行者</v>
          </cell>
          <cell r="I645" t="str">
            <v>超級</v>
          </cell>
          <cell r="J645">
            <v>1201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30045_1</v>
          </cell>
          <cell r="B646">
            <v>3</v>
          </cell>
          <cell r="C646">
            <v>30045</v>
          </cell>
          <cell r="D646" t="str">
            <v>れもん色の衝動</v>
          </cell>
          <cell r="E646" t="str">
            <v>文豪シリーズ　超級</v>
          </cell>
          <cell r="F646">
            <v>1</v>
          </cell>
          <cell r="G646" t="str">
            <v>ja</v>
          </cell>
          <cell r="H646" t="str">
            <v>【中級】れもん色の衝動</v>
          </cell>
          <cell r="I646" t="str">
            <v>中級</v>
          </cell>
          <cell r="J646">
            <v>1217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25</v>
          </cell>
          <cell r="AD646">
            <v>6</v>
          </cell>
          <cell r="AE646" t="str">
            <v>everyone</v>
          </cell>
        </row>
        <row r="647">
          <cell r="A647" t="str">
            <v>30045_2</v>
          </cell>
          <cell r="B647">
            <v>3</v>
          </cell>
          <cell r="C647">
            <v>30045</v>
          </cell>
          <cell r="D647" t="str">
            <v>れもん色の衝動</v>
          </cell>
          <cell r="E647" t="str">
            <v>文豪シリーズ　超級</v>
          </cell>
          <cell r="F647">
            <v>2</v>
          </cell>
          <cell r="G647" t="str">
            <v>ja</v>
          </cell>
          <cell r="H647" t="str">
            <v>【上級】れもん色の衝動</v>
          </cell>
          <cell r="I647" t="str">
            <v>上級</v>
          </cell>
          <cell r="J647">
            <v>1217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25</v>
          </cell>
          <cell r="AD647">
            <v>6</v>
          </cell>
          <cell r="AE647" t="str">
            <v>everyone</v>
          </cell>
        </row>
        <row r="648">
          <cell r="A648" t="str">
            <v>30045_3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3</v>
          </cell>
          <cell r="G648" t="str">
            <v>ja</v>
          </cell>
          <cell r="H648" t="str">
            <v>【超級】れもん色の衝動</v>
          </cell>
          <cell r="I648" t="str">
            <v>超級</v>
          </cell>
          <cell r="J648">
            <v>1217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30046_1</v>
          </cell>
          <cell r="B649">
            <v>3</v>
          </cell>
          <cell r="C649">
            <v>30046</v>
          </cell>
          <cell r="D649" t="str">
            <v>千利の道も一歩から！</v>
          </cell>
          <cell r="E649" t="str">
            <v>戦国シリーズ第二弾　超級</v>
          </cell>
          <cell r="F649">
            <v>1</v>
          </cell>
          <cell r="G649" t="str">
            <v>ja</v>
          </cell>
          <cell r="H649" t="str">
            <v>【中級】千利の道も一歩から！</v>
          </cell>
          <cell r="I649" t="str">
            <v>中級</v>
          </cell>
          <cell r="J649">
            <v>1237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30</v>
          </cell>
          <cell r="AD649">
            <v>6</v>
          </cell>
          <cell r="AE649" t="str">
            <v>everyone</v>
          </cell>
        </row>
        <row r="650">
          <cell r="A650" t="str">
            <v>30046_2</v>
          </cell>
          <cell r="B650">
            <v>3</v>
          </cell>
          <cell r="C650">
            <v>30046</v>
          </cell>
          <cell r="D650" t="str">
            <v>千利の道も一歩から！</v>
          </cell>
          <cell r="E650" t="str">
            <v>戦国シリーズ第二弾　超級</v>
          </cell>
          <cell r="F650">
            <v>2</v>
          </cell>
          <cell r="G650" t="str">
            <v>ja</v>
          </cell>
          <cell r="H650" t="str">
            <v>【上級】千利の道も一歩から！</v>
          </cell>
          <cell r="I650" t="str">
            <v>上級</v>
          </cell>
          <cell r="J650">
            <v>1237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30</v>
          </cell>
          <cell r="AD650">
            <v>6</v>
          </cell>
          <cell r="AE650" t="str">
            <v>everyone</v>
          </cell>
        </row>
        <row r="651">
          <cell r="A651" t="str">
            <v>30046_3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3</v>
          </cell>
          <cell r="G651" t="str">
            <v>ja</v>
          </cell>
          <cell r="H651" t="str">
            <v>【超級】千利の道も一歩から！</v>
          </cell>
          <cell r="I651" t="str">
            <v>超級</v>
          </cell>
          <cell r="J651">
            <v>1237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30047_1</v>
          </cell>
          <cell r="B652">
            <v>3</v>
          </cell>
          <cell r="C652">
            <v>30047</v>
          </cell>
          <cell r="D652" t="str">
            <v>終末の旋律</v>
          </cell>
          <cell r="E652" t="str">
            <v>北欧シリーズ第三弾　超級</v>
          </cell>
          <cell r="F652">
            <v>1</v>
          </cell>
          <cell r="G652" t="str">
            <v>ja</v>
          </cell>
          <cell r="H652" t="str">
            <v>【中級】終末の旋律</v>
          </cell>
          <cell r="I652" t="str">
            <v>中級</v>
          </cell>
          <cell r="J652">
            <v>1253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30047_2</v>
          </cell>
          <cell r="B653">
            <v>3</v>
          </cell>
          <cell r="C653">
            <v>30047</v>
          </cell>
          <cell r="D653" t="str">
            <v>終末の旋律</v>
          </cell>
          <cell r="E653" t="str">
            <v>北欧シリーズ第三弾　超級</v>
          </cell>
          <cell r="F653">
            <v>2</v>
          </cell>
          <cell r="G653" t="str">
            <v>ja</v>
          </cell>
          <cell r="H653" t="str">
            <v>【上級】終末の旋律</v>
          </cell>
          <cell r="I653" t="str">
            <v>上級</v>
          </cell>
          <cell r="J653">
            <v>1253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30047_3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3</v>
          </cell>
          <cell r="G654" t="str">
            <v>ja</v>
          </cell>
          <cell r="H654" t="str">
            <v>【超級】終末の旋律</v>
          </cell>
          <cell r="I654" t="str">
            <v>超級</v>
          </cell>
          <cell r="J654">
            <v>1253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30048_1</v>
          </cell>
          <cell r="B655">
            <v>3</v>
          </cell>
          <cell r="C655">
            <v>30048</v>
          </cell>
          <cell r="D655" t="str">
            <v>惑乱の双神使！？</v>
          </cell>
          <cell r="E655" t="str">
            <v>日本神話シリーズ　超級</v>
          </cell>
          <cell r="F655">
            <v>1</v>
          </cell>
          <cell r="G655" t="str">
            <v>ja</v>
          </cell>
          <cell r="H655" t="str">
            <v>【中級】惑乱の双神使！？</v>
          </cell>
          <cell r="I655" t="str">
            <v>中級</v>
          </cell>
          <cell r="J655">
            <v>1325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</v>
          </cell>
          <cell r="AD655">
            <v>6</v>
          </cell>
          <cell r="AE655" t="str">
            <v>everyone</v>
          </cell>
        </row>
        <row r="656">
          <cell r="A656" t="str">
            <v>30048_2</v>
          </cell>
          <cell r="B656">
            <v>3</v>
          </cell>
          <cell r="C656">
            <v>30048</v>
          </cell>
          <cell r="D656" t="str">
            <v>惑乱の双神使！？</v>
          </cell>
          <cell r="E656" t="str">
            <v>日本神話シリーズ　超級</v>
          </cell>
          <cell r="F656">
            <v>2</v>
          </cell>
          <cell r="G656" t="str">
            <v>ja</v>
          </cell>
          <cell r="H656" t="str">
            <v>【上級】惑乱の双神使！？</v>
          </cell>
          <cell r="I656" t="str">
            <v>上級</v>
          </cell>
          <cell r="J656">
            <v>1325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</v>
          </cell>
          <cell r="AD656">
            <v>6</v>
          </cell>
          <cell r="AE656" t="str">
            <v>everyone</v>
          </cell>
        </row>
        <row r="657">
          <cell r="A657" t="str">
            <v>30048_3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3</v>
          </cell>
          <cell r="G657" t="str">
            <v>ja</v>
          </cell>
          <cell r="H657" t="str">
            <v>【超級】惑乱の双神使！？</v>
          </cell>
          <cell r="I657" t="str">
            <v>超級</v>
          </cell>
          <cell r="J657">
            <v>1325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39001_1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1</v>
          </cell>
          <cell r="G658" t="str">
            <v>ja</v>
          </cell>
          <cell r="H658" t="str">
            <v>【初級】雪の歌姫</v>
          </cell>
          <cell r="I658" t="str">
            <v>初級</v>
          </cell>
          <cell r="J658">
            <v>525</v>
          </cell>
          <cell r="K658">
            <v>8</v>
          </cell>
          <cell r="L658">
            <v>384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39001_2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2</v>
          </cell>
          <cell r="G659" t="str">
            <v>ja</v>
          </cell>
          <cell r="H659" t="str">
            <v>【中級】雪の歌姫</v>
          </cell>
          <cell r="I659" t="str">
            <v>中級</v>
          </cell>
          <cell r="J659">
            <v>525</v>
          </cell>
          <cell r="K659">
            <v>15</v>
          </cell>
          <cell r="L659">
            <v>1200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39001_3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3</v>
          </cell>
          <cell r="G660" t="str">
            <v>ja</v>
          </cell>
          <cell r="H660" t="str">
            <v>【上級】雪の歌姫</v>
          </cell>
          <cell r="I660" t="str">
            <v>上級</v>
          </cell>
          <cell r="J660">
            <v>525</v>
          </cell>
          <cell r="K660">
            <v>20</v>
          </cell>
          <cell r="L660">
            <v>2000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39001_4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4</v>
          </cell>
          <cell r="G661" t="str">
            <v>ja</v>
          </cell>
          <cell r="H661" t="str">
            <v>【超級】雪の歌姫</v>
          </cell>
          <cell r="I661" t="str">
            <v>超級</v>
          </cell>
          <cell r="J661">
            <v>526</v>
          </cell>
          <cell r="K661">
            <v>30</v>
          </cell>
          <cell r="L661">
            <v>3300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39001_5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5</v>
          </cell>
          <cell r="G662" t="str">
            <v>ja</v>
          </cell>
          <cell r="H662" t="str">
            <v>【超絶級】雪の歌姫</v>
          </cell>
          <cell r="I662" t="str">
            <v>超絶級</v>
          </cell>
          <cell r="J662">
            <v>526</v>
          </cell>
          <cell r="K662">
            <v>35</v>
          </cell>
          <cell r="L662">
            <v>4200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polygon</v>
          </cell>
          <cell r="T662">
            <v>1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39002_1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1</v>
          </cell>
          <cell r="G663" t="str">
            <v>ja</v>
          </cell>
          <cell r="H663" t="str">
            <v>【初級】黄巾賊の暴走を止めろ</v>
          </cell>
          <cell r="I663" t="str">
            <v>初級</v>
          </cell>
          <cell r="J663">
            <v>694</v>
          </cell>
          <cell r="K663">
            <v>8</v>
          </cell>
          <cell r="L663">
            <v>384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39002_2</v>
          </cell>
          <cell r="B664">
            <v>3</v>
          </cell>
          <cell r="C664">
            <v>39002</v>
          </cell>
          <cell r="D664" t="str">
            <v>黄巾賊の暴走を止めろ！</v>
          </cell>
          <cell r="E664" t="str">
            <v>コラボクエスト</v>
          </cell>
          <cell r="F664">
            <v>2</v>
          </cell>
          <cell r="G664" t="str">
            <v>ja</v>
          </cell>
          <cell r="H664" t="str">
            <v>【中級】黄巾賊の暴走を止めろ</v>
          </cell>
          <cell r="I664" t="str">
            <v>中級</v>
          </cell>
          <cell r="J664">
            <v>694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12</v>
          </cell>
          <cell r="AD664">
            <v>6</v>
          </cell>
          <cell r="AE664" t="str">
            <v>everyone</v>
          </cell>
        </row>
        <row r="665">
          <cell r="A665" t="str">
            <v>39002_3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3</v>
          </cell>
          <cell r="G665" t="str">
            <v>ja</v>
          </cell>
          <cell r="H665" t="str">
            <v>【上級】黄巾賊の暴走を止めろ</v>
          </cell>
          <cell r="I665" t="str">
            <v>上級</v>
          </cell>
          <cell r="J665">
            <v>694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39002_4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4</v>
          </cell>
          <cell r="G666" t="str">
            <v>ja</v>
          </cell>
          <cell r="H666" t="str">
            <v>【超級】黄巾賊の暴走を止めろ</v>
          </cell>
          <cell r="I666" t="str">
            <v>超級</v>
          </cell>
          <cell r="J666">
            <v>694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39003_1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【初級】ブルースクウェアを追え！</v>
          </cell>
          <cell r="I667" t="str">
            <v>初級</v>
          </cell>
          <cell r="J667">
            <v>691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39003_2</v>
          </cell>
          <cell r="B668">
            <v>3</v>
          </cell>
          <cell r="C668">
            <v>39003</v>
          </cell>
          <cell r="D668" t="str">
            <v>ブルースクウェアを追え！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【中級】ブルースクウェアを追え！</v>
          </cell>
          <cell r="I668" t="str">
            <v>中級</v>
          </cell>
          <cell r="J668">
            <v>691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14</v>
          </cell>
          <cell r="AD668">
            <v>6</v>
          </cell>
          <cell r="AE668" t="str">
            <v>everyone</v>
          </cell>
        </row>
        <row r="669">
          <cell r="A669" t="str">
            <v>39003_3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【上級】ブルースクウェアを追え！</v>
          </cell>
          <cell r="I669" t="str">
            <v>上級</v>
          </cell>
          <cell r="J669">
            <v>691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39003_4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【超級】ブルースクウェアを追え！</v>
          </cell>
          <cell r="I670" t="str">
            <v>超級</v>
          </cell>
          <cell r="J670">
            <v>691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polygon</v>
          </cell>
          <cell r="T670">
            <v>1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39004_1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1</v>
          </cell>
          <cell r="G671" t="str">
            <v>ja</v>
          </cell>
          <cell r="H671" t="str">
            <v xml:space="preserve">【初級】ニムダのおきにいり♪ </v>
          </cell>
          <cell r="I671" t="str">
            <v>初級</v>
          </cell>
          <cell r="J671">
            <v>902</v>
          </cell>
          <cell r="K671">
            <v>8</v>
          </cell>
          <cell r="L671">
            <v>384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39004_2</v>
          </cell>
          <cell r="B672">
            <v>3</v>
          </cell>
          <cell r="C672">
            <v>39004</v>
          </cell>
          <cell r="D672" t="str">
            <v xml:space="preserve">ニムダのおきにいり♪ </v>
          </cell>
          <cell r="E672" t="str">
            <v>コラボクエスト</v>
          </cell>
          <cell r="F672">
            <v>2</v>
          </cell>
          <cell r="G672" t="str">
            <v>ja</v>
          </cell>
          <cell r="H672" t="str">
            <v xml:space="preserve">【中級】ニムダのおきにいり♪ </v>
          </cell>
          <cell r="I672" t="str">
            <v>中級</v>
          </cell>
          <cell r="J672">
            <v>902</v>
          </cell>
          <cell r="K672">
            <v>15</v>
          </cell>
          <cell r="L672">
            <v>1200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933</v>
          </cell>
          <cell r="AD672">
            <v>6</v>
          </cell>
          <cell r="AE672" t="str">
            <v>everyone</v>
          </cell>
        </row>
        <row r="673">
          <cell r="A673" t="str">
            <v>39004_3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3</v>
          </cell>
          <cell r="G673" t="str">
            <v>ja</v>
          </cell>
          <cell r="H673" t="str">
            <v xml:space="preserve">【上級】ニムダのおきにいり♪ </v>
          </cell>
          <cell r="I673" t="str">
            <v>上級</v>
          </cell>
          <cell r="J673">
            <v>902</v>
          </cell>
          <cell r="K673">
            <v>20</v>
          </cell>
          <cell r="L673">
            <v>2000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39004_4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4</v>
          </cell>
          <cell r="G674" t="str">
            <v>ja</v>
          </cell>
          <cell r="H674" t="str">
            <v xml:space="preserve">【超級】ニムダのおきにいり♪ </v>
          </cell>
          <cell r="I674" t="str">
            <v>超級</v>
          </cell>
          <cell r="J674">
            <v>902</v>
          </cell>
          <cell r="K674">
            <v>30</v>
          </cell>
          <cell r="L674">
            <v>3300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polygon</v>
          </cell>
          <cell r="T674">
            <v>1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39005_1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【初級】ポ</v>
          </cell>
          <cell r="I675" t="str">
            <v>初級</v>
          </cell>
          <cell r="J675">
            <v>8029</v>
          </cell>
          <cell r="K675">
            <v>8</v>
          </cell>
          <cell r="L675">
            <v>384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39005_2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【中級】ポ</v>
          </cell>
          <cell r="I676" t="str">
            <v>中級</v>
          </cell>
          <cell r="J676">
            <v>8029</v>
          </cell>
          <cell r="K676">
            <v>15</v>
          </cell>
          <cell r="L676">
            <v>1200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39005_3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【上級】ポ</v>
          </cell>
          <cell r="I677" t="str">
            <v>上級</v>
          </cell>
          <cell r="J677">
            <v>8029</v>
          </cell>
          <cell r="K677">
            <v>20</v>
          </cell>
          <cell r="L677">
            <v>2000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39005_4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【超級】ポ</v>
          </cell>
          <cell r="I678" t="str">
            <v>超級</v>
          </cell>
          <cell r="J678">
            <v>8029</v>
          </cell>
          <cell r="K678">
            <v>30</v>
          </cell>
          <cell r="L678">
            <v>3300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39005_5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5</v>
          </cell>
          <cell r="G679" t="str">
            <v>ja</v>
          </cell>
          <cell r="H679" t="str">
            <v>【超絶級】ポ</v>
          </cell>
          <cell r="I679" t="str">
            <v>超絶級</v>
          </cell>
          <cell r="J679">
            <v>8030</v>
          </cell>
          <cell r="K679">
            <v>35</v>
          </cell>
          <cell r="L679">
            <v>4200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39006_1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>【初級】シガンシナ区攻防戦</v>
          </cell>
          <cell r="I680" t="str">
            <v>初級</v>
          </cell>
          <cell r="J680">
            <v>0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39006_2</v>
          </cell>
          <cell r="B681">
            <v>3</v>
          </cell>
          <cell r="C681">
            <v>39006</v>
          </cell>
          <cell r="D681" t="str">
            <v>シガンシナ区攻防戦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>【中級】シガンシナ区攻防戦</v>
          </cell>
          <cell r="I681" t="str">
            <v>中級</v>
          </cell>
          <cell r="J681">
            <v>0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938</v>
          </cell>
          <cell r="AD681">
            <v>6</v>
          </cell>
          <cell r="AE681" t="str">
            <v>everyone</v>
          </cell>
        </row>
        <row r="682">
          <cell r="A682" t="str">
            <v>39006_3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>【上級】シガンシナ区攻防戦</v>
          </cell>
          <cell r="I682" t="str">
            <v>上級</v>
          </cell>
          <cell r="J682">
            <v>0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39006_4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>【超級】シガンシナ区攻防戦</v>
          </cell>
          <cell r="I683" t="str">
            <v>超級</v>
          </cell>
          <cell r="J683">
            <v>0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39007_1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【初級】ニムダ（台）</v>
          </cell>
          <cell r="I684" t="str">
            <v>初級</v>
          </cell>
          <cell r="J684">
            <v>902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39007_2</v>
          </cell>
          <cell r="B685">
            <v>1</v>
          </cell>
          <cell r="C685">
            <v>39007</v>
          </cell>
          <cell r="D685" t="str">
            <v>ニムダ（台）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【中級】ニムダ（台）</v>
          </cell>
          <cell r="I685" t="str">
            <v>中級</v>
          </cell>
          <cell r="J685">
            <v>902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933</v>
          </cell>
          <cell r="AD685">
            <v>6</v>
          </cell>
          <cell r="AE685" t="str">
            <v>everyone</v>
          </cell>
        </row>
        <row r="686">
          <cell r="A686" t="str">
            <v>39007_3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【上級】ニムダ（台）</v>
          </cell>
          <cell r="I686" t="str">
            <v>上級</v>
          </cell>
          <cell r="J686">
            <v>902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39007_4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【超級】ニムダ（台）</v>
          </cell>
          <cell r="I687" t="str">
            <v>超級</v>
          </cell>
          <cell r="J687">
            <v>902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polygon</v>
          </cell>
          <cell r="T687">
            <v>1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39008_1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1</v>
          </cell>
          <cell r="G688" t="str">
            <v>ja</v>
          </cell>
          <cell r="H688" t="str">
            <v>【初級】雪の歌姫</v>
          </cell>
          <cell r="I688" t="str">
            <v>初級</v>
          </cell>
          <cell r="J688">
            <v>525</v>
          </cell>
          <cell r="K688">
            <v>5</v>
          </cell>
          <cell r="L688">
            <v>384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39008_2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2</v>
          </cell>
          <cell r="G689" t="str">
            <v>ja</v>
          </cell>
          <cell r="H689" t="str">
            <v>【中級】雪の歌姫</v>
          </cell>
          <cell r="I689" t="str">
            <v>中級</v>
          </cell>
          <cell r="J689">
            <v>525</v>
          </cell>
          <cell r="K689">
            <v>9</v>
          </cell>
          <cell r="L689">
            <v>1200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39008_3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3</v>
          </cell>
          <cell r="G690" t="str">
            <v>ja</v>
          </cell>
          <cell r="H690" t="str">
            <v>【上級】雪の歌姫</v>
          </cell>
          <cell r="I690" t="str">
            <v>上級</v>
          </cell>
          <cell r="J690">
            <v>525</v>
          </cell>
          <cell r="K690">
            <v>14</v>
          </cell>
          <cell r="L690">
            <v>2000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39008_4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4</v>
          </cell>
          <cell r="G691" t="str">
            <v>ja</v>
          </cell>
          <cell r="H691" t="str">
            <v>【超級】雪の歌姫</v>
          </cell>
          <cell r="I691" t="str">
            <v>超級</v>
          </cell>
          <cell r="J691">
            <v>526</v>
          </cell>
          <cell r="K691">
            <v>20</v>
          </cell>
          <cell r="L691">
            <v>3300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39008_5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5</v>
          </cell>
          <cell r="G692" t="str">
            <v>ja</v>
          </cell>
          <cell r="H692" t="str">
            <v>【超絶級】雪の歌姫</v>
          </cell>
          <cell r="I692" t="str">
            <v>超絶級</v>
          </cell>
          <cell r="J692">
            <v>526</v>
          </cell>
          <cell r="K692">
            <v>25</v>
          </cell>
          <cell r="L692">
            <v>4200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39009_1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【初級】星空の歌姫</v>
          </cell>
          <cell r="I693" t="str">
            <v>初級</v>
          </cell>
          <cell r="J693">
            <v>1298</v>
          </cell>
          <cell r="K693">
            <v>5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39009_2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【中級】星空の歌姫</v>
          </cell>
          <cell r="I694" t="str">
            <v>中級</v>
          </cell>
          <cell r="J694">
            <v>1298</v>
          </cell>
          <cell r="K694">
            <v>9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39009_3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【上級】星空の歌姫</v>
          </cell>
          <cell r="I695" t="str">
            <v>上級</v>
          </cell>
          <cell r="J695">
            <v>1298</v>
          </cell>
          <cell r="K695">
            <v>14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39009_4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【超級】星空の歌姫</v>
          </cell>
          <cell r="I696" t="str">
            <v>超級</v>
          </cell>
          <cell r="J696">
            <v>1298</v>
          </cell>
          <cell r="K696">
            <v>20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39009_5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5</v>
          </cell>
          <cell r="G697" t="str">
            <v>ja</v>
          </cell>
          <cell r="H697" t="str">
            <v>【超絶級】星空の歌姫</v>
          </cell>
          <cell r="I697" t="str">
            <v>超絶級</v>
          </cell>
          <cell r="J697">
            <v>1298</v>
          </cell>
          <cell r="K697">
            <v>25</v>
          </cell>
          <cell r="L697">
            <v>4200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polygon</v>
          </cell>
          <cell r="T697">
            <v>1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39010_1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1</v>
          </cell>
          <cell r="G698" t="str">
            <v>ja</v>
          </cell>
          <cell r="H698" t="str">
            <v>【初級】黄巾賊の暴走を止めろ！</v>
          </cell>
          <cell r="I698" t="str">
            <v>初級</v>
          </cell>
          <cell r="J698">
            <v>694</v>
          </cell>
          <cell r="K698">
            <v>8</v>
          </cell>
          <cell r="L698">
            <v>384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39010_2</v>
          </cell>
          <cell r="B699">
            <v>3</v>
          </cell>
          <cell r="C699">
            <v>39010</v>
          </cell>
          <cell r="D699" t="str">
            <v>黄巾賊の暴走を止めろ！</v>
          </cell>
          <cell r="E699" t="str">
            <v>コラボクエスト（復刻）</v>
          </cell>
          <cell r="F699">
            <v>2</v>
          </cell>
          <cell r="G699" t="str">
            <v>ja</v>
          </cell>
          <cell r="H699" t="str">
            <v>【中級】黄巾賊の暴走を止めろ！</v>
          </cell>
          <cell r="I699" t="str">
            <v>中級</v>
          </cell>
          <cell r="J699">
            <v>694</v>
          </cell>
          <cell r="K699">
            <v>15</v>
          </cell>
          <cell r="L699">
            <v>1200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12</v>
          </cell>
          <cell r="AD699">
            <v>6</v>
          </cell>
          <cell r="AE699" t="str">
            <v>everyone</v>
          </cell>
        </row>
        <row r="700">
          <cell r="A700" t="str">
            <v>39010_3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3</v>
          </cell>
          <cell r="G700" t="str">
            <v>ja</v>
          </cell>
          <cell r="H700" t="str">
            <v>【上級】黄巾賊の暴走を止めろ！</v>
          </cell>
          <cell r="I700" t="str">
            <v>上級</v>
          </cell>
          <cell r="J700">
            <v>694</v>
          </cell>
          <cell r="K700">
            <v>20</v>
          </cell>
          <cell r="L700">
            <v>2000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39010_4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4</v>
          </cell>
          <cell r="G701" t="str">
            <v>ja</v>
          </cell>
          <cell r="H701" t="str">
            <v>【超級】黄巾賊の暴走を止めろ！</v>
          </cell>
          <cell r="I701" t="str">
            <v>超級</v>
          </cell>
          <cell r="J701">
            <v>694</v>
          </cell>
          <cell r="K701">
            <v>30</v>
          </cell>
          <cell r="L701">
            <v>3300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39011_1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1</v>
          </cell>
          <cell r="G702" t="str">
            <v>ja</v>
          </cell>
          <cell r="H702" t="str">
            <v>【初級】ブルースクウェアを追え！</v>
          </cell>
          <cell r="I702" t="str">
            <v>初級</v>
          </cell>
          <cell r="J702">
            <v>691</v>
          </cell>
          <cell r="K702">
            <v>8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39011_2</v>
          </cell>
          <cell r="B703">
            <v>3</v>
          </cell>
          <cell r="C703">
            <v>39011</v>
          </cell>
          <cell r="D703" t="str">
            <v>ブルースクウェアを追え！</v>
          </cell>
          <cell r="E703" t="str">
            <v>コラボクエスト（復刻）</v>
          </cell>
          <cell r="F703">
            <v>2</v>
          </cell>
          <cell r="G703" t="str">
            <v>ja</v>
          </cell>
          <cell r="H703" t="str">
            <v>【中級】ブルースクウェアを追え！</v>
          </cell>
          <cell r="I703" t="str">
            <v>中級</v>
          </cell>
          <cell r="J703">
            <v>691</v>
          </cell>
          <cell r="K703">
            <v>15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14</v>
          </cell>
          <cell r="AD703">
            <v>6</v>
          </cell>
          <cell r="AE703" t="str">
            <v>everyone</v>
          </cell>
        </row>
        <row r="704">
          <cell r="A704" t="str">
            <v>39011_3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3</v>
          </cell>
          <cell r="G704" t="str">
            <v>ja</v>
          </cell>
          <cell r="H704" t="str">
            <v>【上級】ブルースクウェアを追え！</v>
          </cell>
          <cell r="I704" t="str">
            <v>上級</v>
          </cell>
          <cell r="J704">
            <v>691</v>
          </cell>
          <cell r="K704">
            <v>20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39011_4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4</v>
          </cell>
          <cell r="G705" t="str">
            <v>ja</v>
          </cell>
          <cell r="H705" t="str">
            <v>【超級】ブルースクウェアを追え！</v>
          </cell>
          <cell r="I705" t="str">
            <v>超級</v>
          </cell>
          <cell r="J705">
            <v>691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polygon</v>
          </cell>
          <cell r="T705">
            <v>1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39012_1</v>
          </cell>
          <cell r="B706">
            <v>1</v>
          </cell>
          <cell r="C706">
            <v>39012</v>
          </cell>
          <cell r="D706" t="str">
            <v>C絶</v>
          </cell>
          <cell r="E706" t="str">
            <v>コラボクエスト</v>
          </cell>
          <cell r="F706">
            <v>1</v>
          </cell>
          <cell r="G706" t="str">
            <v>ja</v>
          </cell>
          <cell r="H706" t="str">
            <v>【初級】C</v>
          </cell>
          <cell r="I706" t="str">
            <v>初級</v>
          </cell>
          <cell r="J706">
            <v>1506</v>
          </cell>
          <cell r="K706">
            <v>8</v>
          </cell>
          <cell r="L706">
            <v>384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39012_2</v>
          </cell>
          <cell r="B707">
            <v>1</v>
          </cell>
          <cell r="C707">
            <v>39012</v>
          </cell>
          <cell r="D707" t="str">
            <v>C絶</v>
          </cell>
          <cell r="E707" t="str">
            <v>コラボクエスト</v>
          </cell>
          <cell r="F707">
            <v>2</v>
          </cell>
          <cell r="G707" t="str">
            <v>ja</v>
          </cell>
          <cell r="H707" t="str">
            <v>【中級】C</v>
          </cell>
          <cell r="I707" t="str">
            <v>中級</v>
          </cell>
          <cell r="J707">
            <v>1507</v>
          </cell>
          <cell r="K707">
            <v>15</v>
          </cell>
          <cell r="L707">
            <v>1200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39012_3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3</v>
          </cell>
          <cell r="G708" t="str">
            <v>ja</v>
          </cell>
          <cell r="H708" t="str">
            <v>【上級】C</v>
          </cell>
          <cell r="I708" t="str">
            <v>上級</v>
          </cell>
          <cell r="J708">
            <v>1508</v>
          </cell>
          <cell r="K708">
            <v>20</v>
          </cell>
          <cell r="L708">
            <v>2000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14</v>
          </cell>
          <cell r="AD708">
            <v>6</v>
          </cell>
          <cell r="AE708" t="str">
            <v>everyone</v>
          </cell>
        </row>
        <row r="709">
          <cell r="A709" t="str">
            <v>39012_4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4</v>
          </cell>
          <cell r="G709" t="str">
            <v>ja</v>
          </cell>
          <cell r="H709" t="str">
            <v>【超級】C</v>
          </cell>
          <cell r="I709" t="str">
            <v>超級</v>
          </cell>
          <cell r="J709">
            <v>1509</v>
          </cell>
          <cell r="K709">
            <v>30</v>
          </cell>
          <cell r="L709">
            <v>3300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14</v>
          </cell>
          <cell r="AD709">
            <v>6</v>
          </cell>
          <cell r="AE709" t="str">
            <v>everyone</v>
          </cell>
        </row>
        <row r="710">
          <cell r="A710" t="str">
            <v>39012_5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5</v>
          </cell>
          <cell r="G710" t="str">
            <v>ja</v>
          </cell>
          <cell r="H710" t="str">
            <v>【超絶級】C</v>
          </cell>
          <cell r="I710" t="str">
            <v>超絶級</v>
          </cell>
          <cell r="J710">
            <v>1510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14</v>
          </cell>
          <cell r="AD710">
            <v>6</v>
          </cell>
          <cell r="AE710" t="str">
            <v>everyone</v>
          </cell>
        </row>
        <row r="711">
          <cell r="A711" t="str">
            <v>40001_1</v>
          </cell>
          <cell r="B711">
            <v>1</v>
          </cell>
          <cell r="C711">
            <v>40001</v>
          </cell>
          <cell r="D711" t="str">
            <v>アマテラス襲来！</v>
          </cell>
          <cell r="E711" t="str">
            <v>降臨1</v>
          </cell>
          <cell r="F711">
            <v>1</v>
          </cell>
          <cell r="G711" t="str">
            <v>ja</v>
          </cell>
          <cell r="H711" t="str">
            <v xml:space="preserve">【ウィザード級】アマテラス襲来 </v>
          </cell>
          <cell r="I711" t="str">
            <v>地獄級</v>
          </cell>
          <cell r="J711">
            <v>278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901</v>
          </cell>
          <cell r="AD711">
            <v>6</v>
          </cell>
          <cell r="AE711" t="str">
            <v>everyone</v>
          </cell>
        </row>
        <row r="712">
          <cell r="A712" t="str">
            <v>40002_1</v>
          </cell>
          <cell r="B712">
            <v>1</v>
          </cell>
          <cell r="C712">
            <v>40002</v>
          </cell>
          <cell r="D712" t="str">
            <v>アザゼル襲来！</v>
          </cell>
          <cell r="E712" t="str">
            <v>降臨2</v>
          </cell>
          <cell r="F712">
            <v>1</v>
          </cell>
          <cell r="G712" t="str">
            <v>ja</v>
          </cell>
          <cell r="H712" t="str">
            <v xml:space="preserve">【超級】アザゼル襲来 </v>
          </cell>
          <cell r="I712" t="str">
            <v>超級</v>
          </cell>
          <cell r="J712">
            <v>296</v>
          </cell>
          <cell r="K712">
            <v>25</v>
          </cell>
          <cell r="L712">
            <v>2000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902</v>
          </cell>
          <cell r="AD712">
            <v>6</v>
          </cell>
          <cell r="AE712" t="str">
            <v>everyone</v>
          </cell>
        </row>
        <row r="713">
          <cell r="A713" t="str">
            <v>40002_2</v>
          </cell>
          <cell r="B713">
            <v>1</v>
          </cell>
          <cell r="C713">
            <v>40002</v>
          </cell>
          <cell r="D713" t="str">
            <v>アザゼル襲来！</v>
          </cell>
          <cell r="E713" t="str">
            <v>降臨2</v>
          </cell>
          <cell r="F713">
            <v>2</v>
          </cell>
          <cell r="G713" t="str">
            <v>ja</v>
          </cell>
          <cell r="H713" t="str">
            <v>【超絶級】アザゼル襲来</v>
          </cell>
          <cell r="I713" t="str">
            <v>超絶級</v>
          </cell>
          <cell r="J713">
            <v>297</v>
          </cell>
          <cell r="K713">
            <v>30</v>
          </cell>
          <cell r="L713">
            <v>3300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902</v>
          </cell>
          <cell r="AD713">
            <v>6</v>
          </cell>
          <cell r="AE713" t="str">
            <v>everyone</v>
          </cell>
        </row>
        <row r="714">
          <cell r="A714" t="str">
            <v>40002_3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3</v>
          </cell>
          <cell r="G714" t="str">
            <v>ja</v>
          </cell>
          <cell r="H714" t="str">
            <v xml:space="preserve">【ウィザード級】アザゼル襲来 </v>
          </cell>
          <cell r="I714" t="str">
            <v>地獄級</v>
          </cell>
          <cell r="J714">
            <v>297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character</v>
          </cell>
          <cell r="T714">
            <v>296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40003_1</v>
          </cell>
          <cell r="B715">
            <v>1</v>
          </cell>
          <cell r="C715">
            <v>40003</v>
          </cell>
          <cell r="D715" t="str">
            <v>ジャンヌ襲来！</v>
          </cell>
          <cell r="E715" t="str">
            <v>降臨3</v>
          </cell>
          <cell r="F715">
            <v>1</v>
          </cell>
          <cell r="G715" t="str">
            <v>ja</v>
          </cell>
          <cell r="H715" t="str">
            <v xml:space="preserve">【ウィザード級】ジャンヌ襲来 </v>
          </cell>
          <cell r="I715" t="str">
            <v>地獄級</v>
          </cell>
          <cell r="J715">
            <v>315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314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903</v>
          </cell>
          <cell r="AD715">
            <v>6</v>
          </cell>
          <cell r="AE715" t="str">
            <v>everyone</v>
          </cell>
        </row>
        <row r="716">
          <cell r="A716" t="str">
            <v>40004_1</v>
          </cell>
          <cell r="B716">
            <v>1</v>
          </cell>
          <cell r="C716">
            <v>40004</v>
          </cell>
          <cell r="D716" t="str">
            <v>宮本武蔵襲来！</v>
          </cell>
          <cell r="E716" t="str">
            <v>降臨4</v>
          </cell>
          <cell r="F716">
            <v>1</v>
          </cell>
          <cell r="G716" t="str">
            <v>ja</v>
          </cell>
          <cell r="H716" t="str">
            <v xml:space="preserve">【ウィザード級】宮本武蔵襲来 </v>
          </cell>
          <cell r="I716" t="str">
            <v>地獄級</v>
          </cell>
          <cell r="J716">
            <v>427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426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904</v>
          </cell>
          <cell r="AD716">
            <v>6</v>
          </cell>
          <cell r="AE716" t="str">
            <v>everyone</v>
          </cell>
        </row>
        <row r="717">
          <cell r="A717" t="str">
            <v>40005_1</v>
          </cell>
          <cell r="B717">
            <v>1</v>
          </cell>
          <cell r="C717">
            <v>40005</v>
          </cell>
          <cell r="D717" t="str">
            <v>オズ襲来！</v>
          </cell>
          <cell r="E717" t="str">
            <v>降臨5</v>
          </cell>
          <cell r="F717">
            <v>1</v>
          </cell>
          <cell r="G717" t="str">
            <v>ja</v>
          </cell>
          <cell r="H717" t="str">
            <v xml:space="preserve">【ウィザード級】オズ襲来 </v>
          </cell>
          <cell r="I717" t="str">
            <v>地獄級</v>
          </cell>
          <cell r="J717">
            <v>461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460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906</v>
          </cell>
          <cell r="AD717">
            <v>6</v>
          </cell>
          <cell r="AE717" t="str">
            <v>everyone</v>
          </cell>
        </row>
        <row r="718">
          <cell r="A718" t="str">
            <v>40006_1</v>
          </cell>
          <cell r="B718">
            <v>1</v>
          </cell>
          <cell r="C718">
            <v>40006</v>
          </cell>
          <cell r="D718" t="str">
            <v>アーサー襲来！</v>
          </cell>
          <cell r="E718" t="str">
            <v>降臨6</v>
          </cell>
          <cell r="F718">
            <v>1</v>
          </cell>
          <cell r="G718" t="str">
            <v>ja</v>
          </cell>
          <cell r="H718" t="str">
            <v xml:space="preserve">【ウィザード級】アーサー襲来 </v>
          </cell>
          <cell r="I718" t="str">
            <v>地獄級</v>
          </cell>
          <cell r="J718">
            <v>473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472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907</v>
          </cell>
          <cell r="AD718">
            <v>6</v>
          </cell>
          <cell r="AE718" t="str">
            <v>everyone</v>
          </cell>
        </row>
        <row r="719">
          <cell r="A719" t="str">
            <v>40007_1</v>
          </cell>
          <cell r="B719">
            <v>1</v>
          </cell>
          <cell r="C719">
            <v>40007</v>
          </cell>
          <cell r="D719" t="str">
            <v>グリム襲来！</v>
          </cell>
          <cell r="E719" t="str">
            <v>降臨7</v>
          </cell>
          <cell r="F719">
            <v>1</v>
          </cell>
          <cell r="G719" t="str">
            <v>ja</v>
          </cell>
          <cell r="H719" t="str">
            <v xml:space="preserve">【ウィザード級】グリム襲来 </v>
          </cell>
          <cell r="I719" t="str">
            <v>地獄級</v>
          </cell>
          <cell r="J719">
            <v>491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490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908</v>
          </cell>
          <cell r="AD719">
            <v>6</v>
          </cell>
          <cell r="AE719" t="str">
            <v>everyone</v>
          </cell>
        </row>
        <row r="720">
          <cell r="A720" t="str">
            <v>40008_1</v>
          </cell>
          <cell r="B720">
            <v>1</v>
          </cell>
          <cell r="C720">
            <v>40008</v>
          </cell>
          <cell r="D720" t="str">
            <v>Gスター襲来！</v>
          </cell>
          <cell r="E720" t="str">
            <v>降臨8</v>
          </cell>
          <cell r="F720">
            <v>1</v>
          </cell>
          <cell r="G720" t="str">
            <v>ja</v>
          </cell>
          <cell r="H720" t="str">
            <v xml:space="preserve">【ウィザード級】Gスター襲来 </v>
          </cell>
          <cell r="I720" t="str">
            <v>地獄級</v>
          </cell>
          <cell r="J720">
            <v>509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508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2601</v>
          </cell>
          <cell r="AD720">
            <v>6</v>
          </cell>
          <cell r="AE720" t="str">
            <v>everyone</v>
          </cell>
        </row>
        <row r="721">
          <cell r="A721" t="str">
            <v>40009_1</v>
          </cell>
          <cell r="B721">
            <v>1</v>
          </cell>
          <cell r="C721">
            <v>40009</v>
          </cell>
          <cell r="D721" t="str">
            <v>フギンとムニン襲来！</v>
          </cell>
          <cell r="E721" t="str">
            <v>降臨9</v>
          </cell>
          <cell r="F721">
            <v>1</v>
          </cell>
          <cell r="G721" t="str">
            <v>ja</v>
          </cell>
          <cell r="H721" t="str">
            <v xml:space="preserve">【ウィザード級】フギンとムニン襲来 </v>
          </cell>
          <cell r="I721" t="str">
            <v>地獄級</v>
          </cell>
          <cell r="J721">
            <v>582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581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25</v>
          </cell>
          <cell r="AD721">
            <v>6</v>
          </cell>
          <cell r="AE721" t="str">
            <v>everyone</v>
          </cell>
        </row>
        <row r="722">
          <cell r="A722" t="str">
            <v>40010_1</v>
          </cell>
          <cell r="B722">
            <v>1</v>
          </cell>
          <cell r="C722">
            <v>40010</v>
          </cell>
          <cell r="D722" t="str">
            <v>フレイ襲来！</v>
          </cell>
          <cell r="E722" t="str">
            <v>降臨10</v>
          </cell>
          <cell r="F722">
            <v>1</v>
          </cell>
          <cell r="G722" t="str">
            <v>ja</v>
          </cell>
          <cell r="H722" t="str">
            <v xml:space="preserve">【ウィザード級】フレイ襲来 </v>
          </cell>
          <cell r="I722" t="str">
            <v>地獄級</v>
          </cell>
          <cell r="J722">
            <v>575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0</v>
          </cell>
          <cell r="Q722">
            <v>1</v>
          </cell>
          <cell r="R722">
            <v>3</v>
          </cell>
          <cell r="S722" t="str">
            <v>character</v>
          </cell>
          <cell r="T722">
            <v>575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912</v>
          </cell>
          <cell r="AD722">
            <v>6</v>
          </cell>
          <cell r="AE722" t="str">
            <v>everyone</v>
          </cell>
        </row>
        <row r="723">
          <cell r="A723" t="str">
            <v>40011_1</v>
          </cell>
          <cell r="B723">
            <v>1</v>
          </cell>
          <cell r="C723">
            <v>40011</v>
          </cell>
          <cell r="D723" t="str">
            <v>ヨミ襲来！</v>
          </cell>
          <cell r="E723" t="str">
            <v>降臨11</v>
          </cell>
          <cell r="F723">
            <v>1</v>
          </cell>
          <cell r="G723" t="str">
            <v>ja</v>
          </cell>
          <cell r="H723" t="str">
            <v xml:space="preserve">【ウィザード級】ヨミ襲来 </v>
          </cell>
          <cell r="I723" t="str">
            <v>地獄級</v>
          </cell>
          <cell r="J723">
            <v>655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654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913</v>
          </cell>
          <cell r="AD723">
            <v>6</v>
          </cell>
          <cell r="AE723" t="str">
            <v>everyone</v>
          </cell>
        </row>
        <row r="724">
          <cell r="A724" t="str">
            <v>40012_1</v>
          </cell>
          <cell r="B724">
            <v>1</v>
          </cell>
          <cell r="C724">
            <v>40012</v>
          </cell>
          <cell r="D724" t="str">
            <v>ショウキ襲来！</v>
          </cell>
          <cell r="E724" t="str">
            <v>降臨12</v>
          </cell>
          <cell r="F724">
            <v>1</v>
          </cell>
          <cell r="G724" t="str">
            <v>ja</v>
          </cell>
          <cell r="H724" t="str">
            <v xml:space="preserve">【ウィザード級】ショウキ襲来 </v>
          </cell>
          <cell r="I724" t="str">
            <v>地獄級</v>
          </cell>
          <cell r="J724">
            <v>645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character</v>
          </cell>
          <cell r="T724">
            <v>644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915</v>
          </cell>
          <cell r="AD724">
            <v>6</v>
          </cell>
          <cell r="AE724" t="str">
            <v>everyone</v>
          </cell>
        </row>
        <row r="725">
          <cell r="A725" t="str">
            <v>40013_1</v>
          </cell>
          <cell r="B725">
            <v>1</v>
          </cell>
          <cell r="C725">
            <v>40013</v>
          </cell>
          <cell r="D725" t="str">
            <v>カーマ襲来！</v>
          </cell>
          <cell r="E725" t="str">
            <v>降臨13</v>
          </cell>
          <cell r="F725">
            <v>1</v>
          </cell>
          <cell r="G725" t="str">
            <v>ja</v>
          </cell>
          <cell r="H725" t="str">
            <v xml:space="preserve">【ウィザード級】カーマ襲来 </v>
          </cell>
          <cell r="I725" t="str">
            <v>地獄級</v>
          </cell>
          <cell r="J725">
            <v>643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0</v>
          </cell>
          <cell r="R725">
            <v>3</v>
          </cell>
          <cell r="S725" t="str">
            <v>character</v>
          </cell>
          <cell r="T725">
            <v>642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916</v>
          </cell>
          <cell r="AD725">
            <v>6</v>
          </cell>
          <cell r="AE725" t="str">
            <v>everyone</v>
          </cell>
        </row>
        <row r="726">
          <cell r="A726" t="str">
            <v>40014_1</v>
          </cell>
          <cell r="B726">
            <v>1</v>
          </cell>
          <cell r="C726">
            <v>40014</v>
          </cell>
          <cell r="D726" t="str">
            <v>シヴァ襲来！</v>
          </cell>
          <cell r="E726" t="str">
            <v>降臨14</v>
          </cell>
          <cell r="F726">
            <v>1</v>
          </cell>
          <cell r="G726" t="str">
            <v>ja</v>
          </cell>
          <cell r="H726" t="str">
            <v xml:space="preserve">【ウィザード級】シヴァ襲来 </v>
          </cell>
          <cell r="I726" t="str">
            <v>地獄級</v>
          </cell>
          <cell r="J726">
            <v>657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656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916</v>
          </cell>
          <cell r="AD726">
            <v>6</v>
          </cell>
          <cell r="AE726" t="str">
            <v>everyone</v>
          </cell>
        </row>
        <row r="727">
          <cell r="A727" t="str">
            <v>40015_1</v>
          </cell>
          <cell r="B727">
            <v>1</v>
          </cell>
          <cell r="C727">
            <v>40015</v>
          </cell>
          <cell r="D727" t="str">
            <v>ガレス襲来！</v>
          </cell>
          <cell r="E727" t="str">
            <v>降臨15</v>
          </cell>
          <cell r="F727">
            <v>1</v>
          </cell>
          <cell r="G727" t="str">
            <v>ja</v>
          </cell>
          <cell r="H727" t="str">
            <v xml:space="preserve">【ウィザード級】ガレス襲来 </v>
          </cell>
          <cell r="I727" t="str">
            <v>地獄級</v>
          </cell>
          <cell r="J727">
            <v>769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character</v>
          </cell>
          <cell r="T727">
            <v>768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907</v>
          </cell>
          <cell r="AD727">
            <v>6</v>
          </cell>
          <cell r="AE727" t="str">
            <v>everyone</v>
          </cell>
        </row>
        <row r="728">
          <cell r="A728" t="str">
            <v>40016_1</v>
          </cell>
          <cell r="B728">
            <v>3</v>
          </cell>
          <cell r="C728">
            <v>40016</v>
          </cell>
          <cell r="D728" t="str">
            <v>武田信玄襲来！</v>
          </cell>
          <cell r="E728" t="str">
            <v>降臨16</v>
          </cell>
          <cell r="F728">
            <v>1</v>
          </cell>
          <cell r="G728" t="str">
            <v>ja</v>
          </cell>
          <cell r="H728" t="str">
            <v xml:space="preserve">【ウィザード級】武田信玄襲来 </v>
          </cell>
          <cell r="I728" t="str">
            <v>地獄級</v>
          </cell>
          <cell r="J728">
            <v>725</v>
          </cell>
          <cell r="K728">
            <v>40</v>
          </cell>
          <cell r="L728">
            <v>4500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919</v>
          </cell>
          <cell r="AD728">
            <v>6</v>
          </cell>
          <cell r="AE728" t="str">
            <v>everyone</v>
          </cell>
        </row>
        <row r="729">
          <cell r="A729" t="str">
            <v>40016_2</v>
          </cell>
          <cell r="B729">
            <v>1</v>
          </cell>
          <cell r="C729">
            <v>40016</v>
          </cell>
          <cell r="D729" t="str">
            <v>武田信玄襲来！</v>
          </cell>
          <cell r="E729" t="str">
            <v>降臨16</v>
          </cell>
          <cell r="F729">
            <v>2</v>
          </cell>
          <cell r="G729" t="str">
            <v>ja</v>
          </cell>
          <cell r="H729" t="str">
            <v xml:space="preserve">【ノーコンテニュー】武田信玄襲来 </v>
          </cell>
          <cell r="I729" t="str">
            <v>地獄級</v>
          </cell>
          <cell r="J729">
            <v>725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919</v>
          </cell>
          <cell r="AD729">
            <v>6</v>
          </cell>
          <cell r="AE729" t="str">
            <v>everyone</v>
          </cell>
        </row>
        <row r="730">
          <cell r="A730" t="str">
            <v>40017_1</v>
          </cell>
          <cell r="B730">
            <v>3</v>
          </cell>
          <cell r="C730">
            <v>40017</v>
          </cell>
          <cell r="D730" t="str">
            <v>ベルゼブブ襲来！</v>
          </cell>
          <cell r="E730" t="str">
            <v>降臨17</v>
          </cell>
          <cell r="F730">
            <v>1</v>
          </cell>
          <cell r="G730" t="str">
            <v>ja</v>
          </cell>
          <cell r="H730" t="str">
            <v xml:space="preserve">【超絶級】ベルゼブブ襲来 </v>
          </cell>
          <cell r="I730" t="str">
            <v>地獄級</v>
          </cell>
          <cell r="J730">
            <v>845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927</v>
          </cell>
          <cell r="AD730">
            <v>6</v>
          </cell>
          <cell r="AE730" t="str">
            <v>everyone</v>
          </cell>
        </row>
        <row r="731">
          <cell r="A731" t="str">
            <v>40017_2</v>
          </cell>
          <cell r="B731">
            <v>3</v>
          </cell>
          <cell r="C731">
            <v>40017</v>
          </cell>
          <cell r="D731" t="str">
            <v>ベルゼブブ襲来！</v>
          </cell>
          <cell r="E731" t="str">
            <v>降臨17</v>
          </cell>
          <cell r="F731">
            <v>2</v>
          </cell>
          <cell r="G731" t="str">
            <v>ja</v>
          </cell>
          <cell r="H731" t="str">
            <v>【ウィザード級】ベルゼブブ襲来</v>
          </cell>
          <cell r="I731" t="str">
            <v>地獄級</v>
          </cell>
          <cell r="J731">
            <v>845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927</v>
          </cell>
          <cell r="AD731">
            <v>6</v>
          </cell>
          <cell r="AE731" t="str">
            <v>everyone</v>
          </cell>
        </row>
        <row r="732">
          <cell r="A732" t="str">
            <v>40017_3</v>
          </cell>
          <cell r="B732">
            <v>1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3</v>
          </cell>
          <cell r="G732" t="str">
            <v>ja</v>
          </cell>
          <cell r="H732" t="str">
            <v>【ノーコンテニュー】ベルゼブブ襲来</v>
          </cell>
          <cell r="I732" t="str">
            <v>地獄級</v>
          </cell>
          <cell r="J732">
            <v>845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40018_1</v>
          </cell>
          <cell r="B733">
            <v>3</v>
          </cell>
          <cell r="C733">
            <v>40018</v>
          </cell>
          <cell r="D733" t="str">
            <v>ジーナ襲来！</v>
          </cell>
          <cell r="E733" t="str">
            <v>降臨18</v>
          </cell>
          <cell r="F733">
            <v>1</v>
          </cell>
          <cell r="G733" t="str">
            <v>ja</v>
          </cell>
          <cell r="H733" t="str">
            <v xml:space="preserve">【超絶級】ジーナ襲来 </v>
          </cell>
          <cell r="I733" t="str">
            <v>地獄級</v>
          </cell>
          <cell r="J733">
            <v>861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929</v>
          </cell>
          <cell r="AD733">
            <v>6</v>
          </cell>
          <cell r="AE733" t="str">
            <v>everyone</v>
          </cell>
        </row>
        <row r="734">
          <cell r="A734" t="str">
            <v>40018_2</v>
          </cell>
          <cell r="B734">
            <v>3</v>
          </cell>
          <cell r="C734">
            <v>40018</v>
          </cell>
          <cell r="D734" t="str">
            <v>ジーナ襲来！</v>
          </cell>
          <cell r="E734" t="str">
            <v>降臨18</v>
          </cell>
          <cell r="F734">
            <v>2</v>
          </cell>
          <cell r="G734" t="str">
            <v>ja</v>
          </cell>
          <cell r="H734" t="str">
            <v>【ウィザード級】ジーナ襲来</v>
          </cell>
          <cell r="I734" t="str">
            <v>地獄級</v>
          </cell>
          <cell r="J734">
            <v>861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929</v>
          </cell>
          <cell r="AD734">
            <v>6</v>
          </cell>
          <cell r="AE734" t="str">
            <v>everyone</v>
          </cell>
        </row>
        <row r="735">
          <cell r="A735" t="str">
            <v>40018_3</v>
          </cell>
          <cell r="B735">
            <v>1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3</v>
          </cell>
          <cell r="G735" t="str">
            <v>ja</v>
          </cell>
          <cell r="H735" t="str">
            <v>【ノーコンテニュー】ジーナ襲来</v>
          </cell>
          <cell r="I735" t="str">
            <v>地獄級</v>
          </cell>
          <cell r="J735">
            <v>861</v>
          </cell>
          <cell r="K735">
            <v>40</v>
          </cell>
          <cell r="L735">
            <v>4500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40019_1</v>
          </cell>
          <cell r="B736">
            <v>3</v>
          </cell>
          <cell r="C736">
            <v>40019</v>
          </cell>
          <cell r="D736" t="str">
            <v>テュポーン襲来！</v>
          </cell>
          <cell r="E736" t="str">
            <v>降臨19</v>
          </cell>
          <cell r="F736">
            <v>1</v>
          </cell>
          <cell r="G736" t="str">
            <v>ja</v>
          </cell>
          <cell r="H736" t="str">
            <v xml:space="preserve">【超絶級】テュポーン襲来 </v>
          </cell>
          <cell r="I736" t="str">
            <v>超絶級</v>
          </cell>
          <cell r="J736">
            <v>741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921</v>
          </cell>
          <cell r="AD736">
            <v>6</v>
          </cell>
          <cell r="AE736" t="str">
            <v>everyone</v>
          </cell>
        </row>
        <row r="737">
          <cell r="A737" t="str">
            <v>40019_2</v>
          </cell>
          <cell r="B737">
            <v>3</v>
          </cell>
          <cell r="C737">
            <v>40019</v>
          </cell>
          <cell r="D737" t="str">
            <v>テュポーン襲来！</v>
          </cell>
          <cell r="E737" t="str">
            <v>降臨19</v>
          </cell>
          <cell r="F737">
            <v>2</v>
          </cell>
          <cell r="G737" t="str">
            <v>ja</v>
          </cell>
          <cell r="H737" t="str">
            <v>【ウィザード級】テュポーン襲来</v>
          </cell>
          <cell r="I737" t="str">
            <v>地獄級</v>
          </cell>
          <cell r="J737">
            <v>741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921</v>
          </cell>
          <cell r="AD737">
            <v>6</v>
          </cell>
          <cell r="AE737" t="str">
            <v>everyone</v>
          </cell>
        </row>
        <row r="738">
          <cell r="A738" t="str">
            <v>40019_3</v>
          </cell>
          <cell r="B738">
            <v>1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3</v>
          </cell>
          <cell r="G738" t="str">
            <v>ja</v>
          </cell>
          <cell r="H738" t="str">
            <v>【ノーコンテニュー】テュポーン襲来</v>
          </cell>
          <cell r="I738" t="str">
            <v>地獄級</v>
          </cell>
          <cell r="J738">
            <v>741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40021_1</v>
          </cell>
          <cell r="B739">
            <v>3</v>
          </cell>
          <cell r="C739">
            <v>40021</v>
          </cell>
          <cell r="D739" t="str">
            <v>ルイ16世襲来！</v>
          </cell>
          <cell r="E739" t="str">
            <v>降臨21</v>
          </cell>
          <cell r="F739">
            <v>1</v>
          </cell>
          <cell r="G739" t="str">
            <v>ja</v>
          </cell>
          <cell r="H739" t="str">
            <v xml:space="preserve">【超絶級】ルイ16世襲来 </v>
          </cell>
          <cell r="I739" t="str">
            <v>超絶級</v>
          </cell>
          <cell r="J739">
            <v>936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936</v>
          </cell>
          <cell r="AD739">
            <v>6</v>
          </cell>
          <cell r="AE739" t="str">
            <v>everyone</v>
          </cell>
        </row>
        <row r="740">
          <cell r="A740" t="str">
            <v>40021_2</v>
          </cell>
          <cell r="B740">
            <v>3</v>
          </cell>
          <cell r="C740">
            <v>40021</v>
          </cell>
          <cell r="D740" t="str">
            <v>ルイ16世襲来！</v>
          </cell>
          <cell r="E740" t="str">
            <v>降臨21</v>
          </cell>
          <cell r="F740">
            <v>2</v>
          </cell>
          <cell r="G740" t="str">
            <v>ja</v>
          </cell>
          <cell r="H740" t="str">
            <v>【ウィザード級】ルイ16世襲来</v>
          </cell>
          <cell r="I740" t="str">
            <v>地獄級</v>
          </cell>
          <cell r="J740">
            <v>936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936</v>
          </cell>
          <cell r="AD740">
            <v>6</v>
          </cell>
          <cell r="AE740" t="str">
            <v>everyone</v>
          </cell>
        </row>
        <row r="741">
          <cell r="A741" t="str">
            <v>40022_1</v>
          </cell>
          <cell r="B741">
            <v>3</v>
          </cell>
          <cell r="C741">
            <v>40022</v>
          </cell>
          <cell r="D741" t="str">
            <v>オシリス襲来！</v>
          </cell>
          <cell r="E741" t="str">
            <v>降臨22</v>
          </cell>
          <cell r="F741">
            <v>1</v>
          </cell>
          <cell r="G741" t="str">
            <v>ja</v>
          </cell>
          <cell r="H741" t="str">
            <v xml:space="preserve">【超絶級】オシリス襲来 </v>
          </cell>
          <cell r="I741" t="str">
            <v>超絶級</v>
          </cell>
          <cell r="J741">
            <v>1009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0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940</v>
          </cell>
          <cell r="AD741">
            <v>6</v>
          </cell>
          <cell r="AE741" t="str">
            <v>everyone</v>
          </cell>
        </row>
        <row r="742">
          <cell r="A742" t="str">
            <v>40022_2</v>
          </cell>
          <cell r="B742">
            <v>3</v>
          </cell>
          <cell r="C742">
            <v>40022</v>
          </cell>
          <cell r="D742" t="str">
            <v>オシリス襲来！</v>
          </cell>
          <cell r="E742" t="str">
            <v>降臨22</v>
          </cell>
          <cell r="F742">
            <v>2</v>
          </cell>
          <cell r="G742" t="str">
            <v>ja</v>
          </cell>
          <cell r="H742" t="str">
            <v>【ウィザード級】オシリス襲来</v>
          </cell>
          <cell r="I742" t="str">
            <v>地獄級</v>
          </cell>
          <cell r="J742">
            <v>1009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0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940</v>
          </cell>
          <cell r="AD742">
            <v>6</v>
          </cell>
          <cell r="AE742" t="str">
            <v>everyone</v>
          </cell>
        </row>
        <row r="743">
          <cell r="A743" t="str">
            <v>40023_1</v>
          </cell>
          <cell r="B743">
            <v>3</v>
          </cell>
          <cell r="C743">
            <v>40023</v>
          </cell>
          <cell r="D743" t="str">
            <v>武蔵坊弁慶襲来！</v>
          </cell>
          <cell r="E743" t="str">
            <v>降臨23</v>
          </cell>
          <cell r="F743">
            <v>1</v>
          </cell>
          <cell r="G743" t="str">
            <v>ja</v>
          </cell>
          <cell r="H743" t="str">
            <v xml:space="preserve">【超絶級】武蔵坊弁慶襲来 </v>
          </cell>
          <cell r="I743" t="str">
            <v>超絶級</v>
          </cell>
          <cell r="J743">
            <v>1025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941</v>
          </cell>
          <cell r="AD743">
            <v>6</v>
          </cell>
          <cell r="AE743" t="str">
            <v>everyone</v>
          </cell>
        </row>
        <row r="744">
          <cell r="A744" t="str">
            <v>40023_2</v>
          </cell>
          <cell r="B744">
            <v>3</v>
          </cell>
          <cell r="C744">
            <v>40023</v>
          </cell>
          <cell r="D744" t="str">
            <v>武蔵坊弁慶襲来！</v>
          </cell>
          <cell r="E744" t="str">
            <v>降臨23</v>
          </cell>
          <cell r="F744">
            <v>2</v>
          </cell>
          <cell r="G744" t="str">
            <v>ja</v>
          </cell>
          <cell r="H744" t="str">
            <v>【ウィザード級】武蔵坊弁慶襲来</v>
          </cell>
          <cell r="I744" t="str">
            <v>地獄級</v>
          </cell>
          <cell r="J744">
            <v>1025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941</v>
          </cell>
          <cell r="AD744">
            <v>6</v>
          </cell>
          <cell r="AE744" t="str">
            <v>everyone</v>
          </cell>
        </row>
        <row r="745">
          <cell r="A745" t="str">
            <v>40024_1</v>
          </cell>
          <cell r="B745">
            <v>3</v>
          </cell>
          <cell r="C745">
            <v>40024</v>
          </cell>
          <cell r="D745" t="str">
            <v>アトラス襲来！</v>
          </cell>
          <cell r="E745" t="str">
            <v>降臨24</v>
          </cell>
          <cell r="F745">
            <v>1</v>
          </cell>
          <cell r="G745" t="str">
            <v>ja</v>
          </cell>
          <cell r="H745" t="str">
            <v>【超絶級】アトラス襲来</v>
          </cell>
          <cell r="I745" t="str">
            <v>超絶級</v>
          </cell>
          <cell r="J745">
            <v>789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20</v>
          </cell>
          <cell r="AD745">
            <v>6</v>
          </cell>
          <cell r="AE745" t="str">
            <v>everyone</v>
          </cell>
        </row>
        <row r="746">
          <cell r="A746" t="str">
            <v>40024_2</v>
          </cell>
          <cell r="B746">
            <v>3</v>
          </cell>
          <cell r="C746">
            <v>40024</v>
          </cell>
          <cell r="D746" t="str">
            <v>アトラス襲来！</v>
          </cell>
          <cell r="E746" t="str">
            <v>降臨24</v>
          </cell>
          <cell r="F746">
            <v>2</v>
          </cell>
          <cell r="G746" t="str">
            <v>ja</v>
          </cell>
          <cell r="H746" t="str">
            <v>【ウィザード級】アトラス襲来</v>
          </cell>
          <cell r="I746" t="str">
            <v>地獄級</v>
          </cell>
          <cell r="J746">
            <v>789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20</v>
          </cell>
          <cell r="AD746">
            <v>6</v>
          </cell>
          <cell r="AE746" t="str">
            <v>everyone</v>
          </cell>
        </row>
        <row r="747">
          <cell r="A747" t="str">
            <v>40025_1</v>
          </cell>
          <cell r="B747">
            <v>3</v>
          </cell>
          <cell r="C747">
            <v>40025</v>
          </cell>
          <cell r="D747" t="str">
            <v>ティアマト襲来！</v>
          </cell>
          <cell r="E747" t="str">
            <v>降臨25</v>
          </cell>
          <cell r="F747">
            <v>1</v>
          </cell>
          <cell r="G747" t="str">
            <v>ja</v>
          </cell>
          <cell r="H747" t="str">
            <v>【超絶級】ティアマト襲来</v>
          </cell>
          <cell r="I747" t="str">
            <v>超絶級</v>
          </cell>
          <cell r="J747">
            <v>1064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944</v>
          </cell>
          <cell r="AD747">
            <v>6</v>
          </cell>
          <cell r="AE747" t="str">
            <v>everyone</v>
          </cell>
        </row>
        <row r="748">
          <cell r="A748" t="str">
            <v>40025_2</v>
          </cell>
          <cell r="B748">
            <v>3</v>
          </cell>
          <cell r="C748">
            <v>40025</v>
          </cell>
          <cell r="D748" t="str">
            <v>ティアマト襲来！</v>
          </cell>
          <cell r="E748" t="str">
            <v>降臨25</v>
          </cell>
          <cell r="F748">
            <v>2</v>
          </cell>
          <cell r="G748" t="str">
            <v>ja</v>
          </cell>
          <cell r="H748" t="str">
            <v>【ウィザード級】ティアマト襲来</v>
          </cell>
          <cell r="I748" t="str">
            <v>地獄級</v>
          </cell>
          <cell r="J748">
            <v>1064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944</v>
          </cell>
          <cell r="AD748">
            <v>6</v>
          </cell>
          <cell r="AE748" t="str">
            <v>everyone</v>
          </cell>
        </row>
        <row r="749">
          <cell r="A749" t="str">
            <v>40026_1</v>
          </cell>
          <cell r="B749">
            <v>3</v>
          </cell>
          <cell r="C749">
            <v>40026</v>
          </cell>
          <cell r="D749" t="str">
            <v>ミケランジェロ襲来！</v>
          </cell>
          <cell r="E749" t="str">
            <v>降臨26</v>
          </cell>
          <cell r="F749">
            <v>1</v>
          </cell>
          <cell r="G749" t="str">
            <v>ja</v>
          </cell>
          <cell r="H749" t="str">
            <v>【超絶級】ミケランジェロ襲来</v>
          </cell>
          <cell r="I749" t="str">
            <v>超絶級</v>
          </cell>
          <cell r="J749">
            <v>1089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26</v>
          </cell>
          <cell r="AD749">
            <v>6</v>
          </cell>
          <cell r="AE749" t="str">
            <v>everyone</v>
          </cell>
        </row>
        <row r="750">
          <cell r="A750" t="str">
            <v>40026_2</v>
          </cell>
          <cell r="B750">
            <v>3</v>
          </cell>
          <cell r="C750">
            <v>40026</v>
          </cell>
          <cell r="D750" t="str">
            <v>ミケランジェロ襲来！</v>
          </cell>
          <cell r="E750" t="str">
            <v>降臨26</v>
          </cell>
          <cell r="F750">
            <v>2</v>
          </cell>
          <cell r="G750" t="str">
            <v>ja</v>
          </cell>
          <cell r="H750" t="str">
            <v>【ウィザード級】ミケランジェロ襲来</v>
          </cell>
          <cell r="I750" t="str">
            <v>地獄級</v>
          </cell>
          <cell r="J750">
            <v>1089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26</v>
          </cell>
          <cell r="AD750">
            <v>6</v>
          </cell>
          <cell r="AE750" t="str">
            <v>everyone</v>
          </cell>
        </row>
        <row r="751">
          <cell r="A751" t="str">
            <v>40027_1</v>
          </cell>
          <cell r="B751">
            <v>3</v>
          </cell>
          <cell r="C751">
            <v>40027</v>
          </cell>
          <cell r="D751" t="str">
            <v>コルキス襲来！</v>
          </cell>
          <cell r="E751" t="str">
            <v>降臨27</v>
          </cell>
          <cell r="F751">
            <v>1</v>
          </cell>
          <cell r="G751" t="str">
            <v>ja</v>
          </cell>
          <cell r="H751" t="str">
            <v>【超絶級】コルキス襲来</v>
          </cell>
          <cell r="I751" t="str">
            <v>超絶級</v>
          </cell>
          <cell r="J751">
            <v>892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0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11</v>
          </cell>
          <cell r="AD751">
            <v>6</v>
          </cell>
          <cell r="AE751" t="str">
            <v>everyone</v>
          </cell>
        </row>
        <row r="752">
          <cell r="A752" t="str">
            <v>40027_2</v>
          </cell>
          <cell r="B752">
            <v>3</v>
          </cell>
          <cell r="C752">
            <v>40027</v>
          </cell>
          <cell r="D752" t="str">
            <v>コルキス襲来！</v>
          </cell>
          <cell r="E752" t="str">
            <v>降臨27</v>
          </cell>
          <cell r="F752">
            <v>2</v>
          </cell>
          <cell r="G752" t="str">
            <v>ja</v>
          </cell>
          <cell r="H752" t="str">
            <v>【ウィザード級】コルキス襲来</v>
          </cell>
          <cell r="I752" t="str">
            <v>地獄級</v>
          </cell>
          <cell r="J752">
            <v>892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0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11</v>
          </cell>
          <cell r="AD752">
            <v>6</v>
          </cell>
          <cell r="AE752" t="str">
            <v>everyone</v>
          </cell>
        </row>
        <row r="753">
          <cell r="A753" t="str">
            <v>40028_1</v>
          </cell>
          <cell r="B753">
            <v>3</v>
          </cell>
          <cell r="C753">
            <v>40028</v>
          </cell>
          <cell r="D753" t="str">
            <v>ルピカ襲来！</v>
          </cell>
          <cell r="E753" t="str">
            <v>降臨28</v>
          </cell>
          <cell r="F753">
            <v>1</v>
          </cell>
          <cell r="G753" t="str">
            <v>ja</v>
          </cell>
          <cell r="H753" t="str">
            <v>【超絶級】ルピカ襲来</v>
          </cell>
          <cell r="I753" t="str">
            <v>超絶級</v>
          </cell>
          <cell r="J753">
            <v>1098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947</v>
          </cell>
          <cell r="AD753">
            <v>6</v>
          </cell>
          <cell r="AE753" t="str">
            <v>everyone</v>
          </cell>
        </row>
        <row r="754">
          <cell r="A754" t="str">
            <v>40028_2</v>
          </cell>
          <cell r="B754">
            <v>3</v>
          </cell>
          <cell r="C754">
            <v>40028</v>
          </cell>
          <cell r="D754" t="str">
            <v>ルピカ襲来！</v>
          </cell>
          <cell r="E754" t="str">
            <v>降臨28</v>
          </cell>
          <cell r="F754">
            <v>2</v>
          </cell>
          <cell r="G754" t="str">
            <v>ja</v>
          </cell>
          <cell r="H754" t="str">
            <v>【ウィザード級】ルピカ襲来</v>
          </cell>
          <cell r="I754" t="str">
            <v>地獄級</v>
          </cell>
          <cell r="J754">
            <v>1099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947</v>
          </cell>
          <cell r="AD754">
            <v>6</v>
          </cell>
          <cell r="AE754" t="str">
            <v>everyone</v>
          </cell>
        </row>
        <row r="755">
          <cell r="A755" t="str">
            <v>40029_1</v>
          </cell>
          <cell r="B755">
            <v>3</v>
          </cell>
          <cell r="C755">
            <v>40029</v>
          </cell>
          <cell r="D755" t="str">
            <v>カスケード襲来！</v>
          </cell>
          <cell r="E755" t="str">
            <v>降臨29</v>
          </cell>
          <cell r="F755">
            <v>1</v>
          </cell>
          <cell r="G755" t="str">
            <v>ja</v>
          </cell>
          <cell r="H755" t="str">
            <v>【超絶級】カスケード襲来</v>
          </cell>
          <cell r="I755" t="str">
            <v>超絶級</v>
          </cell>
          <cell r="J755">
            <v>781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12</v>
          </cell>
          <cell r="AD755">
            <v>6</v>
          </cell>
          <cell r="AE755" t="str">
            <v>everyone</v>
          </cell>
        </row>
        <row r="756">
          <cell r="A756" t="str">
            <v>40029_2</v>
          </cell>
          <cell r="B756">
            <v>3</v>
          </cell>
          <cell r="C756">
            <v>40029</v>
          </cell>
          <cell r="D756" t="str">
            <v>カスケード襲来！</v>
          </cell>
          <cell r="E756" t="str">
            <v>降臨29</v>
          </cell>
          <cell r="F756">
            <v>2</v>
          </cell>
          <cell r="G756" t="str">
            <v>ja</v>
          </cell>
          <cell r="H756" t="str">
            <v>【ウィザード級】カスケード襲来</v>
          </cell>
          <cell r="I756" t="str">
            <v>地獄級</v>
          </cell>
          <cell r="J756">
            <v>781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12</v>
          </cell>
          <cell r="AD756">
            <v>6</v>
          </cell>
          <cell r="AE756" t="str">
            <v>everyone</v>
          </cell>
        </row>
        <row r="757">
          <cell r="A757" t="str">
            <v>40030_1</v>
          </cell>
          <cell r="B757">
            <v>3</v>
          </cell>
          <cell r="C757">
            <v>40030</v>
          </cell>
          <cell r="D757" t="str">
            <v>エリス襲来！</v>
          </cell>
          <cell r="E757" t="str">
            <v>降臨30</v>
          </cell>
          <cell r="F757">
            <v>1</v>
          </cell>
          <cell r="G757" t="str">
            <v>ja</v>
          </cell>
          <cell r="H757" t="str">
            <v>【超絶級】エリス襲来</v>
          </cell>
          <cell r="I757" t="str">
            <v>超絶級</v>
          </cell>
          <cell r="J757">
            <v>888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17</v>
          </cell>
          <cell r="AD757">
            <v>6</v>
          </cell>
          <cell r="AE757" t="str">
            <v>everyone</v>
          </cell>
        </row>
        <row r="758">
          <cell r="A758" t="str">
            <v>40030_2</v>
          </cell>
          <cell r="B758">
            <v>3</v>
          </cell>
          <cell r="C758">
            <v>40030</v>
          </cell>
          <cell r="D758" t="str">
            <v>エリス襲来！</v>
          </cell>
          <cell r="E758" t="str">
            <v>降臨30</v>
          </cell>
          <cell r="F758">
            <v>2</v>
          </cell>
          <cell r="G758" t="str">
            <v>ja</v>
          </cell>
          <cell r="H758" t="str">
            <v>【ウィザード級】エリス襲来</v>
          </cell>
          <cell r="I758" t="str">
            <v>地獄級</v>
          </cell>
          <cell r="J758">
            <v>888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17</v>
          </cell>
          <cell r="AD758">
            <v>6</v>
          </cell>
          <cell r="AE758" t="str">
            <v>everyone</v>
          </cell>
        </row>
        <row r="759">
          <cell r="A759" t="str">
            <v>40031_1</v>
          </cell>
          <cell r="B759">
            <v>3</v>
          </cell>
          <cell r="C759">
            <v>40031</v>
          </cell>
          <cell r="D759" t="str">
            <v>董卓襲来！</v>
          </cell>
          <cell r="E759" t="str">
            <v>降臨31</v>
          </cell>
          <cell r="F759">
            <v>1</v>
          </cell>
          <cell r="G759" t="str">
            <v>ja</v>
          </cell>
          <cell r="H759" t="str">
            <v>【超絶級】董卓襲来</v>
          </cell>
          <cell r="I759" t="str">
            <v>超絶級</v>
          </cell>
          <cell r="J759">
            <v>1131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949</v>
          </cell>
          <cell r="AD759">
            <v>6</v>
          </cell>
          <cell r="AE759" t="str">
            <v>everyone</v>
          </cell>
        </row>
        <row r="760">
          <cell r="A760" t="str">
            <v>40031_2</v>
          </cell>
          <cell r="B760">
            <v>3</v>
          </cell>
          <cell r="C760">
            <v>40031</v>
          </cell>
          <cell r="D760" t="str">
            <v>董卓襲来！</v>
          </cell>
          <cell r="E760" t="str">
            <v>降臨31</v>
          </cell>
          <cell r="F760">
            <v>2</v>
          </cell>
          <cell r="G760" t="str">
            <v>ja</v>
          </cell>
          <cell r="H760" t="str">
            <v>【ウィザード級】董卓襲来</v>
          </cell>
          <cell r="I760" t="str">
            <v>地獄級</v>
          </cell>
          <cell r="J760">
            <v>1132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949</v>
          </cell>
          <cell r="AD760">
            <v>6</v>
          </cell>
          <cell r="AE760" t="str">
            <v>everyone</v>
          </cell>
        </row>
        <row r="761">
          <cell r="A761" t="str">
            <v>40032_1</v>
          </cell>
          <cell r="B761">
            <v>3</v>
          </cell>
          <cell r="C761">
            <v>40032</v>
          </cell>
          <cell r="D761" t="str">
            <v>貂蝉襲来！</v>
          </cell>
          <cell r="E761" t="str">
            <v>降臨32</v>
          </cell>
          <cell r="F761">
            <v>1</v>
          </cell>
          <cell r="G761" t="str">
            <v>ja</v>
          </cell>
          <cell r="H761" t="str">
            <v>【超絶級】貂蝉襲来</v>
          </cell>
          <cell r="I761" t="str">
            <v>超絶級</v>
          </cell>
          <cell r="J761">
            <v>1133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40032_2</v>
          </cell>
          <cell r="B762">
            <v>3</v>
          </cell>
          <cell r="C762">
            <v>40032</v>
          </cell>
          <cell r="D762" t="str">
            <v>貂蝉襲来！</v>
          </cell>
          <cell r="E762" t="str">
            <v>降臨32</v>
          </cell>
          <cell r="F762">
            <v>2</v>
          </cell>
          <cell r="G762" t="str">
            <v>ja</v>
          </cell>
          <cell r="H762" t="str">
            <v>【ウィザード級】貂蝉襲来</v>
          </cell>
          <cell r="I762" t="str">
            <v>地獄級</v>
          </cell>
          <cell r="J762">
            <v>1134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40033_1</v>
          </cell>
          <cell r="B763">
            <v>3</v>
          </cell>
          <cell r="C763">
            <v>40033</v>
          </cell>
          <cell r="D763" t="str">
            <v>アテナ襲来！</v>
          </cell>
          <cell r="E763" t="str">
            <v>降臨33</v>
          </cell>
          <cell r="F763">
            <v>1</v>
          </cell>
          <cell r="G763" t="str">
            <v>ja</v>
          </cell>
          <cell r="H763" t="str">
            <v>【超絶級】アテナ襲来</v>
          </cell>
          <cell r="I763" t="str">
            <v>超絶級</v>
          </cell>
          <cell r="J763">
            <v>893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13</v>
          </cell>
          <cell r="AD763">
            <v>6</v>
          </cell>
          <cell r="AE763" t="str">
            <v>everyone</v>
          </cell>
        </row>
        <row r="764">
          <cell r="A764" t="str">
            <v>40033_2</v>
          </cell>
          <cell r="B764">
            <v>3</v>
          </cell>
          <cell r="C764">
            <v>40033</v>
          </cell>
          <cell r="D764" t="str">
            <v>アテナ襲来！</v>
          </cell>
          <cell r="E764" t="str">
            <v>降臨33</v>
          </cell>
          <cell r="F764">
            <v>2</v>
          </cell>
          <cell r="G764" t="str">
            <v>ja</v>
          </cell>
          <cell r="H764" t="str">
            <v>【ウィザード級】アテナ襲来</v>
          </cell>
          <cell r="I764" t="str">
            <v>地獄級</v>
          </cell>
          <cell r="J764">
            <v>894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13</v>
          </cell>
          <cell r="AD764">
            <v>6</v>
          </cell>
          <cell r="AE764" t="str">
            <v>everyone</v>
          </cell>
        </row>
        <row r="765">
          <cell r="A765" t="str">
            <v>40034_1</v>
          </cell>
          <cell r="B765">
            <v>3</v>
          </cell>
          <cell r="C765">
            <v>40034</v>
          </cell>
          <cell r="D765" t="str">
            <v>カーリー襲来！</v>
          </cell>
          <cell r="E765" t="str">
            <v>降臨34</v>
          </cell>
          <cell r="F765">
            <v>1</v>
          </cell>
          <cell r="G765" t="str">
            <v>ja</v>
          </cell>
          <cell r="H765" t="str">
            <v>【超絶級】カーリー襲来</v>
          </cell>
          <cell r="I765" t="str">
            <v>超絶級</v>
          </cell>
          <cell r="J765">
            <v>1148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951</v>
          </cell>
          <cell r="AD765">
            <v>6</v>
          </cell>
          <cell r="AE765" t="str">
            <v>everyone</v>
          </cell>
        </row>
        <row r="766">
          <cell r="A766" t="str">
            <v>40034_2</v>
          </cell>
          <cell r="B766">
            <v>3</v>
          </cell>
          <cell r="C766">
            <v>40034</v>
          </cell>
          <cell r="D766" t="str">
            <v>カーリー襲来！</v>
          </cell>
          <cell r="E766" t="str">
            <v>降臨34</v>
          </cell>
          <cell r="F766">
            <v>2</v>
          </cell>
          <cell r="G766" t="str">
            <v>ja</v>
          </cell>
          <cell r="H766" t="str">
            <v>【ウィザード級】カーリー襲来</v>
          </cell>
          <cell r="I766" t="str">
            <v>地獄級</v>
          </cell>
          <cell r="J766">
            <v>1148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951</v>
          </cell>
          <cell r="AD766">
            <v>6</v>
          </cell>
          <cell r="AE766" t="str">
            <v>everyone</v>
          </cell>
        </row>
        <row r="767">
          <cell r="A767" t="str">
            <v>40035_1</v>
          </cell>
          <cell r="B767">
            <v>3</v>
          </cell>
          <cell r="C767">
            <v>40035</v>
          </cell>
          <cell r="D767" t="str">
            <v>ブラフマー襲来！</v>
          </cell>
          <cell r="E767" t="str">
            <v>降臨35</v>
          </cell>
          <cell r="F767">
            <v>1</v>
          </cell>
          <cell r="G767" t="str">
            <v>ja</v>
          </cell>
          <cell r="H767" t="str">
            <v>【超絶級】ブラフマー襲来</v>
          </cell>
          <cell r="I767" t="str">
            <v>超絶級</v>
          </cell>
          <cell r="J767">
            <v>1150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40035_2</v>
          </cell>
          <cell r="B768">
            <v>3</v>
          </cell>
          <cell r="C768">
            <v>40035</v>
          </cell>
          <cell r="D768" t="str">
            <v>ブラフマー襲来！</v>
          </cell>
          <cell r="E768" t="str">
            <v>降臨35</v>
          </cell>
          <cell r="F768">
            <v>2</v>
          </cell>
          <cell r="G768" t="str">
            <v>ja</v>
          </cell>
          <cell r="H768" t="str">
            <v>【ウィザード級】ブラフマー襲来</v>
          </cell>
          <cell r="I768" t="str">
            <v>地獄級</v>
          </cell>
          <cell r="J768">
            <v>1150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40036_1</v>
          </cell>
          <cell r="B769">
            <v>3</v>
          </cell>
          <cell r="C769">
            <v>40036</v>
          </cell>
          <cell r="D769" t="str">
            <v>ウラヌス襲来！</v>
          </cell>
          <cell r="E769" t="str">
            <v>降臨36</v>
          </cell>
          <cell r="F769">
            <v>1</v>
          </cell>
          <cell r="G769" t="str">
            <v>ja</v>
          </cell>
          <cell r="H769" t="str">
            <v>【超絶級】ウラヌス襲来</v>
          </cell>
          <cell r="I769" t="str">
            <v>超絶級</v>
          </cell>
          <cell r="J769">
            <v>1203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954</v>
          </cell>
          <cell r="AD769">
            <v>6</v>
          </cell>
          <cell r="AE769" t="str">
            <v>everyone</v>
          </cell>
        </row>
        <row r="770">
          <cell r="A770" t="str">
            <v>40036_2</v>
          </cell>
          <cell r="B770">
            <v>3</v>
          </cell>
          <cell r="C770">
            <v>40036</v>
          </cell>
          <cell r="D770" t="str">
            <v>ウラヌス襲来！</v>
          </cell>
          <cell r="E770" t="str">
            <v>降臨36</v>
          </cell>
          <cell r="F770">
            <v>2</v>
          </cell>
          <cell r="G770" t="str">
            <v>ja</v>
          </cell>
          <cell r="H770" t="str">
            <v>【ウィザード級】ウラヌス襲来</v>
          </cell>
          <cell r="I770" t="str">
            <v>地獄級</v>
          </cell>
          <cell r="J770">
            <v>1203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954</v>
          </cell>
          <cell r="AD770">
            <v>6</v>
          </cell>
          <cell r="AE770" t="str">
            <v>everyone</v>
          </cell>
        </row>
        <row r="771">
          <cell r="A771" t="str">
            <v>40037_1</v>
          </cell>
          <cell r="B771">
            <v>3</v>
          </cell>
          <cell r="C771">
            <v>40037</v>
          </cell>
          <cell r="D771" t="str">
            <v>デルピュネー襲来！</v>
          </cell>
          <cell r="E771" t="str">
            <v>降臨37</v>
          </cell>
          <cell r="F771">
            <v>1</v>
          </cell>
          <cell r="G771" t="str">
            <v>ja</v>
          </cell>
          <cell r="H771" t="str">
            <v>【超絶級】デルピュネー襲来</v>
          </cell>
          <cell r="I771" t="str">
            <v>超絶級</v>
          </cell>
          <cell r="J771">
            <v>1205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40037_2</v>
          </cell>
          <cell r="B772">
            <v>3</v>
          </cell>
          <cell r="C772">
            <v>40037</v>
          </cell>
          <cell r="D772" t="str">
            <v>デルピュネー襲来！</v>
          </cell>
          <cell r="E772" t="str">
            <v>降臨37</v>
          </cell>
          <cell r="F772">
            <v>2</v>
          </cell>
          <cell r="G772" t="str">
            <v>ja</v>
          </cell>
          <cell r="H772" t="str">
            <v>【ウィザード級】デルピュネー襲来</v>
          </cell>
          <cell r="I772" t="str">
            <v>地獄級</v>
          </cell>
          <cell r="J772">
            <v>1205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40038_1</v>
          </cell>
          <cell r="B773">
            <v>3</v>
          </cell>
          <cell r="C773">
            <v>40038</v>
          </cell>
          <cell r="D773" t="str">
            <v>太宰治襲来！</v>
          </cell>
          <cell r="E773" t="str">
            <v>降臨38</v>
          </cell>
          <cell r="F773">
            <v>1</v>
          </cell>
          <cell r="G773" t="str">
            <v>ja</v>
          </cell>
          <cell r="H773" t="str">
            <v>【超絶級】太宰治襲来</v>
          </cell>
          <cell r="I773" t="str">
            <v>超絶級</v>
          </cell>
          <cell r="J773">
            <v>1218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0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956</v>
          </cell>
          <cell r="AD773">
            <v>6</v>
          </cell>
          <cell r="AE773" t="str">
            <v>everyone</v>
          </cell>
        </row>
        <row r="774">
          <cell r="A774" t="str">
            <v>40038_2</v>
          </cell>
          <cell r="B774">
            <v>3</v>
          </cell>
          <cell r="C774">
            <v>40038</v>
          </cell>
          <cell r="D774" t="str">
            <v>太宰治襲来！</v>
          </cell>
          <cell r="E774" t="str">
            <v>降臨38</v>
          </cell>
          <cell r="F774">
            <v>2</v>
          </cell>
          <cell r="G774" t="str">
            <v>ja</v>
          </cell>
          <cell r="H774" t="str">
            <v>【ウィザード級】太宰治襲来</v>
          </cell>
          <cell r="I774" t="str">
            <v>地獄級</v>
          </cell>
          <cell r="J774">
            <v>1219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0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956</v>
          </cell>
          <cell r="AD774">
            <v>6</v>
          </cell>
          <cell r="AE774" t="str">
            <v>everyone</v>
          </cell>
        </row>
        <row r="775">
          <cell r="A775" t="str">
            <v>40039_1</v>
          </cell>
          <cell r="B775">
            <v>3</v>
          </cell>
          <cell r="C775">
            <v>40039</v>
          </cell>
          <cell r="D775" t="str">
            <v>シェイクスピア襲来！</v>
          </cell>
          <cell r="E775" t="str">
            <v>降臨39</v>
          </cell>
          <cell r="F775">
            <v>1</v>
          </cell>
          <cell r="G775" t="str">
            <v>ja</v>
          </cell>
          <cell r="H775" t="str">
            <v>【超絶級】シェイクスピア襲来</v>
          </cell>
          <cell r="I775" t="str">
            <v>超絶級</v>
          </cell>
          <cell r="J775">
            <v>1220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40039_2</v>
          </cell>
          <cell r="B776">
            <v>3</v>
          </cell>
          <cell r="C776">
            <v>40039</v>
          </cell>
          <cell r="D776" t="str">
            <v>シェイクスピア襲来！</v>
          </cell>
          <cell r="E776" t="str">
            <v>降臨39</v>
          </cell>
          <cell r="F776">
            <v>2</v>
          </cell>
          <cell r="G776" t="str">
            <v>ja</v>
          </cell>
          <cell r="H776" t="str">
            <v>【ウィザード級】シェイクスピア襲来</v>
          </cell>
          <cell r="I776" t="str">
            <v>地獄級</v>
          </cell>
          <cell r="J776">
            <v>1221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40040_1</v>
          </cell>
          <cell r="B777">
            <v>3</v>
          </cell>
          <cell r="C777">
            <v>40040</v>
          </cell>
          <cell r="D777" t="str">
            <v>竹中半兵衛襲来！</v>
          </cell>
          <cell r="E777" t="str">
            <v>降臨40</v>
          </cell>
          <cell r="F777">
            <v>1</v>
          </cell>
          <cell r="G777" t="str">
            <v>ja</v>
          </cell>
          <cell r="H777" t="str">
            <v>【超絶級】竹中半兵衛襲来</v>
          </cell>
          <cell r="I777" t="str">
            <v>超絶級</v>
          </cell>
          <cell r="J777">
            <v>1241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958</v>
          </cell>
          <cell r="AD777">
            <v>6</v>
          </cell>
          <cell r="AE777" t="str">
            <v>everyone</v>
          </cell>
        </row>
        <row r="778">
          <cell r="A778" t="str">
            <v>40040_2</v>
          </cell>
          <cell r="B778">
            <v>3</v>
          </cell>
          <cell r="C778">
            <v>40040</v>
          </cell>
          <cell r="D778" t="str">
            <v>竹中半兵衛襲来！</v>
          </cell>
          <cell r="E778" t="str">
            <v>降臨40</v>
          </cell>
          <cell r="F778">
            <v>2</v>
          </cell>
          <cell r="G778" t="str">
            <v>ja</v>
          </cell>
          <cell r="H778" t="str">
            <v>【ウィザード級】竹中半兵衛襲来</v>
          </cell>
          <cell r="I778" t="str">
            <v>地獄級</v>
          </cell>
          <cell r="J778">
            <v>1241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958</v>
          </cell>
          <cell r="AD778">
            <v>6</v>
          </cell>
          <cell r="AE778" t="str">
            <v>everyone</v>
          </cell>
        </row>
        <row r="779">
          <cell r="A779" t="str">
            <v>40041_1</v>
          </cell>
          <cell r="B779">
            <v>3</v>
          </cell>
          <cell r="C779">
            <v>40041</v>
          </cell>
          <cell r="D779" t="str">
            <v>ポーラとダニー襲来！</v>
          </cell>
          <cell r="E779" t="str">
            <v>降臨41</v>
          </cell>
          <cell r="F779">
            <v>1</v>
          </cell>
          <cell r="G779" t="str">
            <v>ja</v>
          </cell>
          <cell r="H779" t="str">
            <v>【超絶級】ポーラとダニー襲来！</v>
          </cell>
          <cell r="I779" t="str">
            <v>地獄級</v>
          </cell>
          <cell r="J779">
            <v>1283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962</v>
          </cell>
          <cell r="AD779">
            <v>6</v>
          </cell>
          <cell r="AE779" t="str">
            <v>everyone</v>
          </cell>
        </row>
        <row r="780">
          <cell r="A780" t="str">
            <v>40041_2</v>
          </cell>
          <cell r="B780">
            <v>3</v>
          </cell>
          <cell r="C780">
            <v>40041</v>
          </cell>
          <cell r="D780" t="str">
            <v>ポーラとダニー襲来！</v>
          </cell>
          <cell r="E780" t="str">
            <v>降臨41</v>
          </cell>
          <cell r="F780">
            <v>2</v>
          </cell>
          <cell r="G780" t="str">
            <v>ja</v>
          </cell>
          <cell r="H780" t="str">
            <v>【ｳｨｻﾞ】ポーラとダニー襲来！</v>
          </cell>
          <cell r="I780" t="str">
            <v>地獄級</v>
          </cell>
          <cell r="J780">
            <v>1283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962</v>
          </cell>
          <cell r="AD780">
            <v>6</v>
          </cell>
          <cell r="AE780" t="str">
            <v>everyone</v>
          </cell>
        </row>
        <row r="781">
          <cell r="A781" t="str">
            <v>40042_1</v>
          </cell>
          <cell r="B781">
            <v>3</v>
          </cell>
          <cell r="C781">
            <v>40042</v>
          </cell>
          <cell r="D781" t="str">
            <v>ヘル襲来！</v>
          </cell>
          <cell r="E781" t="str">
            <v>降臨42</v>
          </cell>
          <cell r="F781">
            <v>1</v>
          </cell>
          <cell r="G781" t="str">
            <v>ja</v>
          </cell>
          <cell r="H781" t="str">
            <v>【超絶級】ヘル襲来</v>
          </cell>
          <cell r="I781" t="str">
            <v>超絶級</v>
          </cell>
          <cell r="J781">
            <v>1257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960</v>
          </cell>
          <cell r="AD781">
            <v>6</v>
          </cell>
          <cell r="AE781" t="str">
            <v>everyone</v>
          </cell>
        </row>
        <row r="782">
          <cell r="A782" t="str">
            <v>40042_2</v>
          </cell>
          <cell r="B782">
            <v>3</v>
          </cell>
          <cell r="C782">
            <v>40042</v>
          </cell>
          <cell r="D782" t="str">
            <v>ヘル襲来！</v>
          </cell>
          <cell r="E782" t="str">
            <v>降臨42</v>
          </cell>
          <cell r="F782">
            <v>2</v>
          </cell>
          <cell r="G782" t="str">
            <v>ja</v>
          </cell>
          <cell r="H782" t="str">
            <v>【ウィザード級】ヘル襲来</v>
          </cell>
          <cell r="I782" t="str">
            <v>地獄級</v>
          </cell>
          <cell r="J782">
            <v>1257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960</v>
          </cell>
          <cell r="AD782">
            <v>6</v>
          </cell>
          <cell r="AE782" t="str">
            <v>everyone</v>
          </cell>
        </row>
        <row r="783">
          <cell r="A783" t="str">
            <v>40043_1</v>
          </cell>
          <cell r="B783">
            <v>3</v>
          </cell>
          <cell r="C783">
            <v>40043</v>
          </cell>
          <cell r="D783" t="str">
            <v>ワカヒルメ襲来！</v>
          </cell>
          <cell r="E783" t="str">
            <v>降臨43</v>
          </cell>
          <cell r="F783">
            <v>1</v>
          </cell>
          <cell r="G783" t="str">
            <v>ja</v>
          </cell>
          <cell r="H783" t="str">
            <v>【超絶級】ワカヒルメ襲来</v>
          </cell>
          <cell r="I783" t="str">
            <v>超絶級</v>
          </cell>
          <cell r="J783">
            <v>1327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966</v>
          </cell>
          <cell r="AD783">
            <v>6</v>
          </cell>
          <cell r="AE783" t="str">
            <v>everyone</v>
          </cell>
        </row>
        <row r="784">
          <cell r="A784" t="str">
            <v>40043_2</v>
          </cell>
          <cell r="B784">
            <v>3</v>
          </cell>
          <cell r="C784">
            <v>40043</v>
          </cell>
          <cell r="D784" t="str">
            <v>ワカヒルメ襲来！</v>
          </cell>
          <cell r="E784" t="str">
            <v>降臨43</v>
          </cell>
          <cell r="F784">
            <v>2</v>
          </cell>
          <cell r="G784" t="str">
            <v>ja</v>
          </cell>
          <cell r="H784" t="str">
            <v>【ウィザード級】ワカヒルメ襲来</v>
          </cell>
          <cell r="I784" t="str">
            <v>地獄級</v>
          </cell>
          <cell r="J784">
            <v>1327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966</v>
          </cell>
          <cell r="AD784">
            <v>6</v>
          </cell>
          <cell r="AE784" t="str">
            <v>everyone</v>
          </cell>
        </row>
        <row r="785">
          <cell r="A785" t="str">
            <v>41001_1</v>
          </cell>
          <cell r="B785">
            <v>3</v>
          </cell>
          <cell r="C785">
            <v>41001</v>
          </cell>
          <cell r="D785" t="str">
            <v>アマテラス襲来！</v>
          </cell>
          <cell r="E785" t="str">
            <v>降臨1</v>
          </cell>
          <cell r="F785">
            <v>1</v>
          </cell>
          <cell r="G785" t="str">
            <v>ja</v>
          </cell>
          <cell r="H785" t="str">
            <v>【超絶級】アマテラス襲来</v>
          </cell>
          <cell r="I785" t="str">
            <v>超絶級</v>
          </cell>
          <cell r="J785">
            <v>279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901</v>
          </cell>
          <cell r="AD785">
            <v>6</v>
          </cell>
          <cell r="AE785" t="str">
            <v>everyone</v>
          </cell>
        </row>
        <row r="786">
          <cell r="A786" t="str">
            <v>41001_2</v>
          </cell>
          <cell r="B786">
            <v>3</v>
          </cell>
          <cell r="C786">
            <v>41001</v>
          </cell>
          <cell r="D786" t="str">
            <v>アマテラス襲来！</v>
          </cell>
          <cell r="E786" t="str">
            <v>降臨1</v>
          </cell>
          <cell r="F786">
            <v>2</v>
          </cell>
          <cell r="G786" t="str">
            <v>ja</v>
          </cell>
          <cell r="H786" t="str">
            <v>【ウィザード級】アマテラス襲来</v>
          </cell>
          <cell r="I786" t="str">
            <v>地獄級</v>
          </cell>
          <cell r="J786">
            <v>810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901</v>
          </cell>
          <cell r="AD786">
            <v>6</v>
          </cell>
          <cell r="AE786" t="str">
            <v>everyone</v>
          </cell>
        </row>
        <row r="787">
          <cell r="A787" t="str">
            <v>41001_3</v>
          </cell>
          <cell r="B787">
            <v>1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3</v>
          </cell>
          <cell r="G787" t="str">
            <v>ja</v>
          </cell>
          <cell r="H787" t="str">
            <v>【ノーコンテニュー】アマテラス襲来</v>
          </cell>
          <cell r="I787" t="str">
            <v>地獄級</v>
          </cell>
          <cell r="J787">
            <v>810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41002_1</v>
          </cell>
          <cell r="B788">
            <v>3</v>
          </cell>
          <cell r="C788">
            <v>41002</v>
          </cell>
          <cell r="D788" t="str">
            <v>アザゼル襲来！</v>
          </cell>
          <cell r="E788" t="str">
            <v>降臨1</v>
          </cell>
          <cell r="F788">
            <v>1</v>
          </cell>
          <cell r="G788" t="str">
            <v>ja</v>
          </cell>
          <cell r="H788" t="str">
            <v>【超絶級】アザゼル襲来</v>
          </cell>
          <cell r="I788" t="str">
            <v>超絶級</v>
          </cell>
          <cell r="J788">
            <v>297</v>
          </cell>
          <cell r="K788">
            <v>35</v>
          </cell>
          <cell r="L788">
            <v>4200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902</v>
          </cell>
          <cell r="AD788">
            <v>6</v>
          </cell>
          <cell r="AE788" t="str">
            <v>everyone</v>
          </cell>
        </row>
        <row r="789">
          <cell r="A789" t="str">
            <v>41002_2</v>
          </cell>
          <cell r="B789">
            <v>3</v>
          </cell>
          <cell r="C789">
            <v>41002</v>
          </cell>
          <cell r="D789" t="str">
            <v>アザゼル襲来！</v>
          </cell>
          <cell r="E789" t="str">
            <v>降臨1</v>
          </cell>
          <cell r="F789">
            <v>2</v>
          </cell>
          <cell r="G789" t="str">
            <v>ja</v>
          </cell>
          <cell r="H789" t="str">
            <v>【ウィザード級】アザゼル襲来</v>
          </cell>
          <cell r="I789" t="str">
            <v>地獄級</v>
          </cell>
          <cell r="J789">
            <v>812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902</v>
          </cell>
          <cell r="AD789">
            <v>6</v>
          </cell>
          <cell r="AE789" t="str">
            <v>everyone</v>
          </cell>
        </row>
        <row r="790">
          <cell r="A790" t="str">
            <v>41002_3</v>
          </cell>
          <cell r="B790">
            <v>1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3</v>
          </cell>
          <cell r="G790" t="str">
            <v>ja</v>
          </cell>
          <cell r="H790" t="str">
            <v>【ノーコンテニュー】アザゼル襲来</v>
          </cell>
          <cell r="I790" t="str">
            <v>地獄級</v>
          </cell>
          <cell r="J790">
            <v>812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41003_1</v>
          </cell>
          <cell r="B791">
            <v>3</v>
          </cell>
          <cell r="C791">
            <v>41003</v>
          </cell>
          <cell r="D791" t="str">
            <v>ジャンヌ襲来！</v>
          </cell>
          <cell r="E791" t="str">
            <v>降臨1</v>
          </cell>
          <cell r="F791">
            <v>1</v>
          </cell>
          <cell r="G791" t="str">
            <v>ja</v>
          </cell>
          <cell r="H791" t="str">
            <v>【超絶級】ジャンヌ襲来</v>
          </cell>
          <cell r="I791" t="str">
            <v>超絶級</v>
          </cell>
          <cell r="J791">
            <v>315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903</v>
          </cell>
          <cell r="AD791">
            <v>6</v>
          </cell>
          <cell r="AE791" t="str">
            <v>everyone</v>
          </cell>
        </row>
        <row r="792">
          <cell r="A792" t="str">
            <v>41003_2</v>
          </cell>
          <cell r="B792">
            <v>3</v>
          </cell>
          <cell r="C792">
            <v>41003</v>
          </cell>
          <cell r="D792" t="str">
            <v>ジャンヌ襲来！</v>
          </cell>
          <cell r="E792" t="str">
            <v>降臨1</v>
          </cell>
          <cell r="F792">
            <v>2</v>
          </cell>
          <cell r="G792" t="str">
            <v>ja</v>
          </cell>
          <cell r="H792" t="str">
            <v>【ウィザード級】ジャンヌ襲来</v>
          </cell>
          <cell r="I792" t="str">
            <v>地獄級</v>
          </cell>
          <cell r="J792">
            <v>814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903</v>
          </cell>
          <cell r="AD792">
            <v>6</v>
          </cell>
          <cell r="AE792" t="str">
            <v>everyone</v>
          </cell>
        </row>
        <row r="793">
          <cell r="A793" t="str">
            <v>41003_3</v>
          </cell>
          <cell r="B793">
            <v>1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3</v>
          </cell>
          <cell r="G793" t="str">
            <v>ja</v>
          </cell>
          <cell r="H793" t="str">
            <v>【ノーコンテニュー】ジャンヌ襲来</v>
          </cell>
          <cell r="I793" t="str">
            <v>地獄級</v>
          </cell>
          <cell r="J793">
            <v>814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41004_1</v>
          </cell>
          <cell r="B794">
            <v>3</v>
          </cell>
          <cell r="C794">
            <v>41004</v>
          </cell>
          <cell r="D794" t="str">
            <v>宮本武蔵襲来！</v>
          </cell>
          <cell r="E794" t="str">
            <v>降臨1</v>
          </cell>
          <cell r="F794">
            <v>1</v>
          </cell>
          <cell r="G794" t="str">
            <v>ja</v>
          </cell>
          <cell r="H794" t="str">
            <v>【超絶級】宮本武蔵襲来</v>
          </cell>
          <cell r="I794" t="str">
            <v>超絶級</v>
          </cell>
          <cell r="J794">
            <v>427</v>
          </cell>
          <cell r="K794">
            <v>35</v>
          </cell>
          <cell r="L794">
            <v>4200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904</v>
          </cell>
          <cell r="AD794">
            <v>6</v>
          </cell>
          <cell r="AE794" t="str">
            <v>everyone</v>
          </cell>
        </row>
        <row r="795">
          <cell r="A795" t="str">
            <v>41004_2</v>
          </cell>
          <cell r="B795">
            <v>3</v>
          </cell>
          <cell r="C795">
            <v>41004</v>
          </cell>
          <cell r="D795" t="str">
            <v>宮本武蔵襲来！</v>
          </cell>
          <cell r="E795" t="str">
            <v>降臨1</v>
          </cell>
          <cell r="F795">
            <v>2</v>
          </cell>
          <cell r="G795" t="str">
            <v>ja</v>
          </cell>
          <cell r="H795" t="str">
            <v>【ウィザード級】宮本武蔵襲来</v>
          </cell>
          <cell r="I795" t="str">
            <v>地獄級</v>
          </cell>
          <cell r="J795">
            <v>816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904</v>
          </cell>
          <cell r="AD795">
            <v>6</v>
          </cell>
          <cell r="AE795" t="str">
            <v>everyone</v>
          </cell>
        </row>
        <row r="796">
          <cell r="A796" t="str">
            <v>41004_3</v>
          </cell>
          <cell r="B796">
            <v>1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3</v>
          </cell>
          <cell r="G796" t="str">
            <v>ja</v>
          </cell>
          <cell r="H796" t="str">
            <v>【ノーコンテニュー】宮本武蔵襲来</v>
          </cell>
          <cell r="I796" t="str">
            <v>地獄級</v>
          </cell>
          <cell r="J796">
            <v>816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41005_1</v>
          </cell>
          <cell r="B797">
            <v>3</v>
          </cell>
          <cell r="C797">
            <v>41005</v>
          </cell>
          <cell r="D797" t="str">
            <v>オズ襲来！</v>
          </cell>
          <cell r="E797" t="str">
            <v>降臨1</v>
          </cell>
          <cell r="F797">
            <v>1</v>
          </cell>
          <cell r="G797" t="str">
            <v>ja</v>
          </cell>
          <cell r="H797" t="str">
            <v>【超絶級】オズ襲来</v>
          </cell>
          <cell r="I797" t="str">
            <v>超絶級</v>
          </cell>
          <cell r="J797">
            <v>461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906</v>
          </cell>
          <cell r="AD797">
            <v>6</v>
          </cell>
          <cell r="AE797" t="str">
            <v>everyone</v>
          </cell>
        </row>
        <row r="798">
          <cell r="A798" t="str">
            <v>41005_2</v>
          </cell>
          <cell r="B798">
            <v>3</v>
          </cell>
          <cell r="C798">
            <v>41005</v>
          </cell>
          <cell r="D798" t="str">
            <v>オズ襲来！</v>
          </cell>
          <cell r="E798" t="str">
            <v>降臨1</v>
          </cell>
          <cell r="F798">
            <v>2</v>
          </cell>
          <cell r="G798" t="str">
            <v>ja</v>
          </cell>
          <cell r="H798" t="str">
            <v>【ウィザード級】オズ襲来</v>
          </cell>
          <cell r="I798" t="str">
            <v>地獄級</v>
          </cell>
          <cell r="J798">
            <v>818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906</v>
          </cell>
          <cell r="AD798">
            <v>6</v>
          </cell>
          <cell r="AE798" t="str">
            <v>everyone</v>
          </cell>
        </row>
        <row r="799">
          <cell r="A799" t="str">
            <v>41005_3</v>
          </cell>
          <cell r="B799">
            <v>1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3</v>
          </cell>
          <cell r="G799" t="str">
            <v>ja</v>
          </cell>
          <cell r="H799" t="str">
            <v>【ノーコンテニュー】オズ襲来</v>
          </cell>
          <cell r="I799" t="str">
            <v>地獄級</v>
          </cell>
          <cell r="J799">
            <v>818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41006_1</v>
          </cell>
          <cell r="B800">
            <v>3</v>
          </cell>
          <cell r="C800">
            <v>41006</v>
          </cell>
          <cell r="D800" t="str">
            <v>アーサー襲来！</v>
          </cell>
          <cell r="E800" t="str">
            <v>降臨1</v>
          </cell>
          <cell r="F800">
            <v>1</v>
          </cell>
          <cell r="G800" t="str">
            <v>ja</v>
          </cell>
          <cell r="H800" t="str">
            <v>【超絶級】アーサー襲来</v>
          </cell>
          <cell r="I800" t="str">
            <v>超絶級</v>
          </cell>
          <cell r="J800">
            <v>473</v>
          </cell>
          <cell r="K800">
            <v>35</v>
          </cell>
          <cell r="L800">
            <v>4200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907</v>
          </cell>
          <cell r="AD800">
            <v>6</v>
          </cell>
          <cell r="AE800" t="str">
            <v>everyone</v>
          </cell>
        </row>
        <row r="801">
          <cell r="A801" t="str">
            <v>41006_2</v>
          </cell>
          <cell r="B801">
            <v>3</v>
          </cell>
          <cell r="C801">
            <v>41006</v>
          </cell>
          <cell r="D801" t="str">
            <v>アーサー襲来！</v>
          </cell>
          <cell r="E801" t="str">
            <v>降臨1</v>
          </cell>
          <cell r="F801">
            <v>2</v>
          </cell>
          <cell r="G801" t="str">
            <v>ja</v>
          </cell>
          <cell r="H801" t="str">
            <v>【ウィザード級】アーサー襲来</v>
          </cell>
          <cell r="I801" t="str">
            <v>地獄級</v>
          </cell>
          <cell r="J801">
            <v>820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907</v>
          </cell>
          <cell r="AD801">
            <v>6</v>
          </cell>
          <cell r="AE801" t="str">
            <v>everyone</v>
          </cell>
        </row>
        <row r="802">
          <cell r="A802" t="str">
            <v>41006_3</v>
          </cell>
          <cell r="B802">
            <v>1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3</v>
          </cell>
          <cell r="G802" t="str">
            <v>ja</v>
          </cell>
          <cell r="H802" t="str">
            <v>【ノーコンテニュー】アーサー襲来</v>
          </cell>
          <cell r="I802" t="str">
            <v>地獄級</v>
          </cell>
          <cell r="J802">
            <v>820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41007_1</v>
          </cell>
          <cell r="B803">
            <v>3</v>
          </cell>
          <cell r="C803">
            <v>41007</v>
          </cell>
          <cell r="D803" t="str">
            <v>グリム襲来！</v>
          </cell>
          <cell r="E803" t="str">
            <v>降臨1</v>
          </cell>
          <cell r="F803">
            <v>1</v>
          </cell>
          <cell r="G803" t="str">
            <v>ja</v>
          </cell>
          <cell r="H803" t="str">
            <v>【超絶級】グリム襲来</v>
          </cell>
          <cell r="I803" t="str">
            <v>超絶級</v>
          </cell>
          <cell r="J803">
            <v>491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908</v>
          </cell>
          <cell r="AD803">
            <v>6</v>
          </cell>
          <cell r="AE803" t="str">
            <v>everyone</v>
          </cell>
        </row>
        <row r="804">
          <cell r="A804" t="str">
            <v>41007_2</v>
          </cell>
          <cell r="B804">
            <v>3</v>
          </cell>
          <cell r="C804">
            <v>41007</v>
          </cell>
          <cell r="D804" t="str">
            <v>グリム襲来！</v>
          </cell>
          <cell r="E804" t="str">
            <v>降臨1</v>
          </cell>
          <cell r="F804">
            <v>2</v>
          </cell>
          <cell r="G804" t="str">
            <v>ja</v>
          </cell>
          <cell r="H804" t="str">
            <v>【ウィザード級】グリム襲来</v>
          </cell>
          <cell r="I804" t="str">
            <v>地獄級</v>
          </cell>
          <cell r="J804">
            <v>822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908</v>
          </cell>
          <cell r="AD804">
            <v>6</v>
          </cell>
          <cell r="AE804" t="str">
            <v>everyone</v>
          </cell>
        </row>
        <row r="805">
          <cell r="A805" t="str">
            <v>41007_3</v>
          </cell>
          <cell r="B805">
            <v>1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3</v>
          </cell>
          <cell r="G805" t="str">
            <v>ja</v>
          </cell>
          <cell r="H805" t="str">
            <v>【ノーコンテニュー】グリム襲来</v>
          </cell>
          <cell r="I805" t="str">
            <v>地獄級</v>
          </cell>
          <cell r="J805">
            <v>822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41008_1</v>
          </cell>
          <cell r="B806">
            <v>3</v>
          </cell>
          <cell r="C806">
            <v>41008</v>
          </cell>
          <cell r="D806" t="str">
            <v>Gスター襲来！</v>
          </cell>
          <cell r="E806" t="str">
            <v>降臨1</v>
          </cell>
          <cell r="F806">
            <v>1</v>
          </cell>
          <cell r="G806" t="str">
            <v>ja</v>
          </cell>
          <cell r="H806" t="str">
            <v>【超絶級】Gスター襲来</v>
          </cell>
          <cell r="I806" t="str">
            <v>超絶級</v>
          </cell>
          <cell r="J806">
            <v>509</v>
          </cell>
          <cell r="K806">
            <v>35</v>
          </cell>
          <cell r="L806">
            <v>4200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2601</v>
          </cell>
          <cell r="AD806">
            <v>6</v>
          </cell>
          <cell r="AE806" t="str">
            <v>everyone</v>
          </cell>
        </row>
        <row r="807">
          <cell r="A807" t="str">
            <v>41008_2</v>
          </cell>
          <cell r="B807">
            <v>3</v>
          </cell>
          <cell r="C807">
            <v>41008</v>
          </cell>
          <cell r="D807" t="str">
            <v>Gスター襲来！</v>
          </cell>
          <cell r="E807" t="str">
            <v>降臨1</v>
          </cell>
          <cell r="F807">
            <v>2</v>
          </cell>
          <cell r="G807" t="str">
            <v>ja</v>
          </cell>
          <cell r="H807" t="str">
            <v>【ウィザード級】Gスター襲来</v>
          </cell>
          <cell r="I807" t="str">
            <v>地獄級</v>
          </cell>
          <cell r="J807">
            <v>824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2601</v>
          </cell>
          <cell r="AD807">
            <v>6</v>
          </cell>
          <cell r="AE807" t="str">
            <v>everyone</v>
          </cell>
        </row>
        <row r="808">
          <cell r="A808" t="str">
            <v>41008_3</v>
          </cell>
          <cell r="B808">
            <v>1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3</v>
          </cell>
          <cell r="G808" t="str">
            <v>ja</v>
          </cell>
          <cell r="H808" t="str">
            <v>【ノーコンテニュー】Gスター襲来</v>
          </cell>
          <cell r="I808" t="str">
            <v>地獄級</v>
          </cell>
          <cell r="J808">
            <v>824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41009_1</v>
          </cell>
          <cell r="B809">
            <v>3</v>
          </cell>
          <cell r="C809">
            <v>41009</v>
          </cell>
          <cell r="D809" t="str">
            <v>フギンとムニン襲来！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【超絶級】フギンとムニン襲来</v>
          </cell>
          <cell r="I809" t="str">
            <v>超絶級</v>
          </cell>
          <cell r="J809">
            <v>582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25</v>
          </cell>
          <cell r="AD809">
            <v>6</v>
          </cell>
          <cell r="AE809" t="str">
            <v>everyone</v>
          </cell>
        </row>
        <row r="810">
          <cell r="A810" t="str">
            <v>41009_2</v>
          </cell>
          <cell r="B810">
            <v>3</v>
          </cell>
          <cell r="C810">
            <v>41009</v>
          </cell>
          <cell r="D810" t="str">
            <v>フギンとムニン襲来！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【ウィザード級】フギンとムニン襲来</v>
          </cell>
          <cell r="I810" t="str">
            <v>地獄級</v>
          </cell>
          <cell r="J810">
            <v>828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25</v>
          </cell>
          <cell r="AD810">
            <v>6</v>
          </cell>
          <cell r="AE810" t="str">
            <v>everyone</v>
          </cell>
        </row>
        <row r="811">
          <cell r="A811" t="str">
            <v>41009_3</v>
          </cell>
          <cell r="B811">
            <v>1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【ノーコンテニュー】フギンとムニン襲来</v>
          </cell>
          <cell r="I811" t="str">
            <v>地獄級</v>
          </cell>
          <cell r="J811">
            <v>1</v>
          </cell>
          <cell r="K811">
            <v>40</v>
          </cell>
          <cell r="L811">
            <v>4500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41010_1</v>
          </cell>
          <cell r="B812">
            <v>3</v>
          </cell>
          <cell r="C812">
            <v>41010</v>
          </cell>
          <cell r="D812" t="str">
            <v>フレイ襲来！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【超絶級】フレイ襲来</v>
          </cell>
          <cell r="I812" t="str">
            <v>超絶級</v>
          </cell>
          <cell r="J812">
            <v>576</v>
          </cell>
          <cell r="K812">
            <v>35</v>
          </cell>
          <cell r="L812">
            <v>4200</v>
          </cell>
          <cell r="M812">
            <v>1</v>
          </cell>
          <cell r="N812">
            <v>1</v>
          </cell>
          <cell r="O812">
            <v>1</v>
          </cell>
          <cell r="P812">
            <v>0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912</v>
          </cell>
          <cell r="AD812">
            <v>6</v>
          </cell>
          <cell r="AE812" t="str">
            <v>everyone</v>
          </cell>
        </row>
        <row r="813">
          <cell r="A813" t="str">
            <v>41010_2</v>
          </cell>
          <cell r="B813">
            <v>3</v>
          </cell>
          <cell r="C813">
            <v>41010</v>
          </cell>
          <cell r="D813" t="str">
            <v>フレイ襲来！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【ウィザード級】フレイ襲来</v>
          </cell>
          <cell r="I813" t="str">
            <v>地獄級</v>
          </cell>
          <cell r="J813">
            <v>826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0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912</v>
          </cell>
          <cell r="AD813">
            <v>6</v>
          </cell>
          <cell r="AE813" t="str">
            <v>everyone</v>
          </cell>
        </row>
        <row r="814">
          <cell r="A814" t="str">
            <v>41010_3</v>
          </cell>
          <cell r="B814">
            <v>1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【ノーコンテニュー】フレイ襲来</v>
          </cell>
          <cell r="I814" t="str">
            <v>地獄級</v>
          </cell>
          <cell r="J814">
            <v>1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41011_1</v>
          </cell>
          <cell r="B815">
            <v>3</v>
          </cell>
          <cell r="C815">
            <v>41011</v>
          </cell>
          <cell r="D815" t="str">
            <v>ヨミ襲来！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【超絶級】ヨミ襲来</v>
          </cell>
          <cell r="I815" t="str">
            <v>超絶級</v>
          </cell>
          <cell r="J815">
            <v>655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913</v>
          </cell>
          <cell r="AD815">
            <v>6</v>
          </cell>
          <cell r="AE815" t="str">
            <v>everyone</v>
          </cell>
        </row>
        <row r="816">
          <cell r="A816" t="str">
            <v>41011_2</v>
          </cell>
          <cell r="B816">
            <v>3</v>
          </cell>
          <cell r="C816">
            <v>41011</v>
          </cell>
          <cell r="D816" t="str">
            <v>ヨミ襲来！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【ウィザード級】ヨミ襲来</v>
          </cell>
          <cell r="I816" t="str">
            <v>ウィザード級</v>
          </cell>
          <cell r="J816">
            <v>832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913</v>
          </cell>
          <cell r="AD816">
            <v>6</v>
          </cell>
          <cell r="AE816" t="str">
            <v>everyone</v>
          </cell>
        </row>
        <row r="817">
          <cell r="A817" t="str">
            <v>41012_1</v>
          </cell>
          <cell r="B817">
            <v>3</v>
          </cell>
          <cell r="C817">
            <v>41012</v>
          </cell>
          <cell r="D817" t="str">
            <v>ショウキ襲来！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【超絶級】ショウキ襲来</v>
          </cell>
          <cell r="I817" t="str">
            <v>超絶級</v>
          </cell>
          <cell r="J817">
            <v>645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915</v>
          </cell>
          <cell r="AD817">
            <v>6</v>
          </cell>
          <cell r="AE817" t="str">
            <v>everyone</v>
          </cell>
        </row>
        <row r="818">
          <cell r="A818" t="str">
            <v>41012_2</v>
          </cell>
          <cell r="B818">
            <v>3</v>
          </cell>
          <cell r="C818">
            <v>41012</v>
          </cell>
          <cell r="D818" t="str">
            <v>ショウキ襲来！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【ウィザード級】ショウキ襲来</v>
          </cell>
          <cell r="I818" t="str">
            <v>地獄級</v>
          </cell>
          <cell r="J818">
            <v>831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915</v>
          </cell>
          <cell r="AD818">
            <v>6</v>
          </cell>
          <cell r="AE818" t="str">
            <v>everyone</v>
          </cell>
        </row>
        <row r="819">
          <cell r="A819" t="str">
            <v>41013_1</v>
          </cell>
          <cell r="B819">
            <v>3</v>
          </cell>
          <cell r="C819">
            <v>41013</v>
          </cell>
          <cell r="D819" t="str">
            <v>カーマ襲来！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【超絶級】カーマ襲来</v>
          </cell>
          <cell r="I819" t="str">
            <v>超絶級</v>
          </cell>
          <cell r="J819">
            <v>643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0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916</v>
          </cell>
          <cell r="AD819">
            <v>6</v>
          </cell>
          <cell r="AE819" t="str">
            <v>everyone</v>
          </cell>
        </row>
        <row r="820">
          <cell r="A820" t="str">
            <v>41013_2</v>
          </cell>
          <cell r="B820">
            <v>3</v>
          </cell>
          <cell r="C820">
            <v>41013</v>
          </cell>
          <cell r="D820" t="str">
            <v>カーマ襲来！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【ウィザード級】カーマ襲来</v>
          </cell>
          <cell r="I820" t="str">
            <v>地獄級</v>
          </cell>
          <cell r="J820">
            <v>836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0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916</v>
          </cell>
          <cell r="AD820">
            <v>6</v>
          </cell>
          <cell r="AE820" t="str">
            <v>everyone</v>
          </cell>
        </row>
        <row r="821">
          <cell r="A821" t="str">
            <v>41014_1</v>
          </cell>
          <cell r="B821">
            <v>3</v>
          </cell>
          <cell r="C821">
            <v>41014</v>
          </cell>
          <cell r="D821" t="str">
            <v>シヴァ襲来！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【超絶級】シヴァ襲来</v>
          </cell>
          <cell r="I821" t="str">
            <v>超絶級</v>
          </cell>
          <cell r="J821">
            <v>657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914</v>
          </cell>
          <cell r="AD821">
            <v>6</v>
          </cell>
          <cell r="AE821" t="str">
            <v>everyone</v>
          </cell>
        </row>
        <row r="822">
          <cell r="A822" t="str">
            <v>41014_2</v>
          </cell>
          <cell r="B822">
            <v>3</v>
          </cell>
          <cell r="C822">
            <v>41014</v>
          </cell>
          <cell r="D822" t="str">
            <v>シヴァ襲来！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【ウィザード級】シヴァ襲来</v>
          </cell>
          <cell r="I822" t="str">
            <v>地獄級</v>
          </cell>
          <cell r="J822">
            <v>834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914</v>
          </cell>
          <cell r="AD822">
            <v>6</v>
          </cell>
          <cell r="AE822" t="str">
            <v>everyone</v>
          </cell>
        </row>
        <row r="823">
          <cell r="A823" t="str">
            <v>41015_1</v>
          </cell>
          <cell r="B823">
            <v>3</v>
          </cell>
          <cell r="C823">
            <v>41015</v>
          </cell>
          <cell r="D823" t="str">
            <v>ガレス襲来！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【超絶級】ガレス襲来</v>
          </cell>
          <cell r="I823" t="str">
            <v>超絶級</v>
          </cell>
          <cell r="J823">
            <v>769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907</v>
          </cell>
          <cell r="AD823">
            <v>6</v>
          </cell>
          <cell r="AE823" t="str">
            <v>everyone</v>
          </cell>
        </row>
        <row r="824">
          <cell r="A824" t="str">
            <v>41015_2</v>
          </cell>
          <cell r="B824">
            <v>3</v>
          </cell>
          <cell r="C824">
            <v>41015</v>
          </cell>
          <cell r="D824" t="str">
            <v>ガレス襲来！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【ウィザード級】ガレス襲来</v>
          </cell>
          <cell r="I824" t="str">
            <v>地獄級</v>
          </cell>
          <cell r="J824">
            <v>961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907</v>
          </cell>
          <cell r="AD824">
            <v>6</v>
          </cell>
          <cell r="AE824" t="str">
            <v>everyone</v>
          </cell>
        </row>
        <row r="825">
          <cell r="A825" t="str">
            <v>47001_1</v>
          </cell>
          <cell r="B825">
            <v>3</v>
          </cell>
          <cell r="C825">
            <v>47001</v>
          </cell>
          <cell r="D825" t="str">
            <v>彦星襲来！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【超絶級】彦星襲来</v>
          </cell>
          <cell r="I825" t="str">
            <v>地獄級</v>
          </cell>
          <cell r="J825">
            <v>1043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943</v>
          </cell>
          <cell r="AD825">
            <v>6</v>
          </cell>
          <cell r="AE825" t="str">
            <v>everyone</v>
          </cell>
        </row>
        <row r="826">
          <cell r="A826" t="str">
            <v>47001_2</v>
          </cell>
          <cell r="B826">
            <v>3</v>
          </cell>
          <cell r="C826">
            <v>47001</v>
          </cell>
          <cell r="D826" t="str">
            <v>彦星襲来！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【ウィザード級】彦星襲来</v>
          </cell>
          <cell r="I826" t="str">
            <v>地獄級</v>
          </cell>
          <cell r="J826">
            <v>1044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943</v>
          </cell>
          <cell r="AD826">
            <v>6</v>
          </cell>
          <cell r="AE826" t="str">
            <v>everyone</v>
          </cell>
        </row>
        <row r="827">
          <cell r="A827" t="str">
            <v>47002_1</v>
          </cell>
          <cell r="B827">
            <v>3</v>
          </cell>
          <cell r="C827">
            <v>47002</v>
          </cell>
          <cell r="D827" t="str">
            <v>夏☆襲来！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【超絶級】夏☆襲来</v>
          </cell>
          <cell r="I827" t="str">
            <v>地獄級</v>
          </cell>
          <cell r="J827">
            <v>1053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5</v>
          </cell>
          <cell r="AD827">
            <v>6</v>
          </cell>
          <cell r="AE827" t="str">
            <v>everyone</v>
          </cell>
        </row>
        <row r="828">
          <cell r="A828" t="str">
            <v>47002_2</v>
          </cell>
          <cell r="B828">
            <v>3</v>
          </cell>
          <cell r="C828">
            <v>47002</v>
          </cell>
          <cell r="D828" t="str">
            <v>夏☆襲来！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【ウィザード級】夏☆襲来</v>
          </cell>
          <cell r="I828" t="str">
            <v>地獄級</v>
          </cell>
          <cell r="J828">
            <v>1054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5</v>
          </cell>
          <cell r="AD828">
            <v>6</v>
          </cell>
          <cell r="AE828" t="str">
            <v>everyone</v>
          </cell>
        </row>
        <row r="829">
          <cell r="A829" t="str">
            <v>47003_1</v>
          </cell>
          <cell r="B829">
            <v>3</v>
          </cell>
          <cell r="C829">
            <v>47003</v>
          </cell>
          <cell r="D829" t="str">
            <v>ハロウィンナイトパニック！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【上級】ハロウィンナイトパニック！</v>
          </cell>
          <cell r="I829" t="str">
            <v>地獄級</v>
          </cell>
          <cell r="J829">
            <v>1192</v>
          </cell>
          <cell r="K829">
            <v>20</v>
          </cell>
          <cell r="L829">
            <v>2000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none</v>
          </cell>
          <cell r="T829">
            <v>0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952</v>
          </cell>
          <cell r="AD829">
            <v>6</v>
          </cell>
          <cell r="AE829" t="str">
            <v>everyone</v>
          </cell>
        </row>
        <row r="830">
          <cell r="A830" t="str">
            <v>47003_2</v>
          </cell>
          <cell r="B830">
            <v>3</v>
          </cell>
          <cell r="C830">
            <v>47003</v>
          </cell>
          <cell r="D830" t="str">
            <v>ハロウィンナイトパニック！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【超級】ハロウィンナイトパニック！</v>
          </cell>
          <cell r="I830" t="str">
            <v>地獄級</v>
          </cell>
          <cell r="J830">
            <v>1192</v>
          </cell>
          <cell r="K830">
            <v>30</v>
          </cell>
          <cell r="L830">
            <v>3300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none</v>
          </cell>
          <cell r="T830">
            <v>0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952</v>
          </cell>
          <cell r="AD830">
            <v>6</v>
          </cell>
          <cell r="AE830" t="str">
            <v>everyone</v>
          </cell>
        </row>
        <row r="831">
          <cell r="A831" t="str">
            <v>47003_3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3</v>
          </cell>
          <cell r="G831" t="str">
            <v>ja</v>
          </cell>
          <cell r="H831" t="str">
            <v>【超絶】ハロウィンナイトパニック！</v>
          </cell>
          <cell r="I831" t="str">
            <v>地獄級</v>
          </cell>
          <cell r="J831">
            <v>1192</v>
          </cell>
          <cell r="K831">
            <v>35</v>
          </cell>
          <cell r="L831">
            <v>4200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47003_4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4</v>
          </cell>
          <cell r="G832" t="str">
            <v>ja</v>
          </cell>
          <cell r="H832" t="str">
            <v>【ｳｨｻﾞ】ハロウィンナイトパニック！</v>
          </cell>
          <cell r="I832" t="str">
            <v>地獄級</v>
          </cell>
          <cell r="J832">
            <v>1192</v>
          </cell>
          <cell r="K832">
            <v>40</v>
          </cell>
          <cell r="L832">
            <v>4500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47004_1</v>
          </cell>
          <cell r="B833">
            <v>3</v>
          </cell>
          <cell r="C833">
            <v>47004</v>
          </cell>
          <cell r="D833" t="str">
            <v>聖なる夜に祝福を</v>
          </cell>
          <cell r="E833" t="str">
            <v>季節イベント</v>
          </cell>
          <cell r="F833">
            <v>1</v>
          </cell>
          <cell r="G833" t="str">
            <v>ja</v>
          </cell>
          <cell r="H833" t="str">
            <v>【上級】聖なる夜に祝福を</v>
          </cell>
          <cell r="I833" t="str">
            <v>上級</v>
          </cell>
          <cell r="J833">
            <v>1284</v>
          </cell>
          <cell r="K833">
            <v>20</v>
          </cell>
          <cell r="L833">
            <v>2000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none</v>
          </cell>
          <cell r="T833">
            <v>0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47004_2</v>
          </cell>
          <cell r="B834">
            <v>3</v>
          </cell>
          <cell r="C834">
            <v>47004</v>
          </cell>
          <cell r="D834" t="str">
            <v>聖なる夜に祝福を</v>
          </cell>
          <cell r="E834" t="str">
            <v>季節イベント</v>
          </cell>
          <cell r="F834">
            <v>2</v>
          </cell>
          <cell r="G834" t="str">
            <v>ja</v>
          </cell>
          <cell r="H834" t="str">
            <v>【超級】聖なる夜に祝福を</v>
          </cell>
          <cell r="I834" t="str">
            <v>超級</v>
          </cell>
          <cell r="J834">
            <v>1284</v>
          </cell>
          <cell r="K834">
            <v>30</v>
          </cell>
          <cell r="L834">
            <v>3300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none</v>
          </cell>
          <cell r="T834">
            <v>0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47004_3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3</v>
          </cell>
          <cell r="G835" t="str">
            <v>ja</v>
          </cell>
          <cell r="H835" t="str">
            <v>【超絶級】聖なる夜に祝福を</v>
          </cell>
          <cell r="I835" t="str">
            <v>超絶級</v>
          </cell>
          <cell r="J835">
            <v>1284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47004_4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4</v>
          </cell>
          <cell r="G836" t="str">
            <v>ja</v>
          </cell>
          <cell r="H836" t="str">
            <v>【ウィザード級】聖なる夜に祝福を</v>
          </cell>
          <cell r="I836" t="str">
            <v>地獄級</v>
          </cell>
          <cell r="J836">
            <v>1284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47005_1</v>
          </cell>
          <cell r="B837">
            <v>3</v>
          </cell>
          <cell r="C837">
            <v>47005</v>
          </cell>
          <cell r="D837" t="str">
            <v>年を越える儀式</v>
          </cell>
          <cell r="E837" t="str">
            <v>季節イベント</v>
          </cell>
          <cell r="F837">
            <v>1</v>
          </cell>
          <cell r="G837" t="str">
            <v>ja</v>
          </cell>
          <cell r="H837" t="str">
            <v>【ウィザード級】年を越える儀式</v>
          </cell>
          <cell r="I837" t="str">
            <v>地獄級</v>
          </cell>
          <cell r="J837">
            <v>1292</v>
          </cell>
          <cell r="K837">
            <v>30</v>
          </cell>
          <cell r="L837">
            <v>4000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901</v>
          </cell>
          <cell r="AD837">
            <v>6</v>
          </cell>
          <cell r="AE837" t="str">
            <v>everyone</v>
          </cell>
        </row>
        <row r="838">
          <cell r="A838" t="str">
            <v>47006_1</v>
          </cell>
          <cell r="B838">
            <v>3</v>
          </cell>
          <cell r="C838">
            <v>47006</v>
          </cell>
          <cell r="D838" t="str">
            <v>酉の初めはたまごから</v>
          </cell>
          <cell r="E838" t="str">
            <v>季節イベント</v>
          </cell>
          <cell r="F838">
            <v>1</v>
          </cell>
          <cell r="G838" t="str">
            <v>ja</v>
          </cell>
          <cell r="H838" t="str">
            <v>【超絶】酉の初めはたまごから</v>
          </cell>
          <cell r="I838" t="str">
            <v>超絶級</v>
          </cell>
          <cell r="J838">
            <v>1294</v>
          </cell>
          <cell r="K838">
            <v>30</v>
          </cell>
          <cell r="L838">
            <v>4200</v>
          </cell>
          <cell r="M838">
            <v>1</v>
          </cell>
          <cell r="N838">
            <v>1</v>
          </cell>
          <cell r="O838">
            <v>1</v>
          </cell>
          <cell r="P838">
            <v>0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2</v>
          </cell>
          <cell r="AD838">
            <v>6</v>
          </cell>
          <cell r="AE838" t="str">
            <v>everyone</v>
          </cell>
        </row>
        <row r="839">
          <cell r="A839" t="str">
            <v>47006_2</v>
          </cell>
          <cell r="B839">
            <v>3</v>
          </cell>
          <cell r="C839">
            <v>47006</v>
          </cell>
          <cell r="D839" t="str">
            <v>酉の初めはたまごから</v>
          </cell>
          <cell r="E839" t="str">
            <v>季節イベント</v>
          </cell>
          <cell r="F839">
            <v>2</v>
          </cell>
          <cell r="G839" t="str">
            <v>ja</v>
          </cell>
          <cell r="H839" t="str">
            <v>【ｳｨｻﾞ】酉の初めはたまごから</v>
          </cell>
          <cell r="I839" t="str">
            <v>地獄級</v>
          </cell>
          <cell r="J839">
            <v>1294</v>
          </cell>
          <cell r="K839">
            <v>35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0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2</v>
          </cell>
          <cell r="AD839">
            <v>6</v>
          </cell>
          <cell r="AE839" t="str">
            <v>everyone</v>
          </cell>
        </row>
        <row r="840">
          <cell r="A840" t="str">
            <v>47007_1</v>
          </cell>
          <cell r="B840">
            <v>3</v>
          </cell>
          <cell r="C840">
            <v>47007</v>
          </cell>
          <cell r="D840" t="str">
            <v>ツンデレ少女の恋心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【上級】ツンデレ少女の恋心</v>
          </cell>
          <cell r="I840" t="str">
            <v>超絶級</v>
          </cell>
          <cell r="J840">
            <v>1351</v>
          </cell>
          <cell r="K840">
            <v>15</v>
          </cell>
          <cell r="L840">
            <v>2000</v>
          </cell>
          <cell r="M840">
            <v>1</v>
          </cell>
          <cell r="N840">
            <v>1</v>
          </cell>
          <cell r="O840">
            <v>0</v>
          </cell>
          <cell r="P840">
            <v>1</v>
          </cell>
          <cell r="Q840">
            <v>1</v>
          </cell>
          <cell r="R840">
            <v>3</v>
          </cell>
          <cell r="S840" t="str">
            <v>none</v>
          </cell>
          <cell r="T840">
            <v>0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969</v>
          </cell>
          <cell r="AD840">
            <v>6</v>
          </cell>
          <cell r="AE840" t="str">
            <v>everyone</v>
          </cell>
        </row>
        <row r="841">
          <cell r="A841" t="str">
            <v>47007_2</v>
          </cell>
          <cell r="B841">
            <v>3</v>
          </cell>
          <cell r="C841">
            <v>47007</v>
          </cell>
          <cell r="D841" t="str">
            <v>ツンデレ少女の恋心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【ウィザード級】ツンデレ少女の恋心</v>
          </cell>
          <cell r="I841" t="str">
            <v>地獄級</v>
          </cell>
          <cell r="J841">
            <v>1351</v>
          </cell>
          <cell r="K841">
            <v>30</v>
          </cell>
          <cell r="L841">
            <v>4500</v>
          </cell>
          <cell r="M841">
            <v>1</v>
          </cell>
          <cell r="N841">
            <v>1</v>
          </cell>
          <cell r="O841">
            <v>0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969</v>
          </cell>
          <cell r="AD841">
            <v>6</v>
          </cell>
          <cell r="AE841" t="str">
            <v>everyone</v>
          </cell>
        </row>
        <row r="842">
          <cell r="A842" t="str">
            <v>47008_1</v>
          </cell>
          <cell r="B842">
            <v>3</v>
          </cell>
          <cell r="C842">
            <v>47008</v>
          </cell>
          <cell r="D842" t="str">
            <v>ふんわり少女の恋心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【上級】ふんわり少女の恋心</v>
          </cell>
          <cell r="I842" t="str">
            <v>超絶級</v>
          </cell>
          <cell r="J842">
            <v>1364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1</v>
          </cell>
          <cell r="P842">
            <v>0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47008_2</v>
          </cell>
          <cell r="B843">
            <v>3</v>
          </cell>
          <cell r="C843">
            <v>47008</v>
          </cell>
          <cell r="D843" t="str">
            <v>ふんわり少女の恋心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【ウィザード級】ふんわり少女の恋心</v>
          </cell>
          <cell r="I843" t="str">
            <v>地獄級</v>
          </cell>
          <cell r="J843">
            <v>1364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0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47009_1</v>
          </cell>
          <cell r="B844">
            <v>3</v>
          </cell>
          <cell r="C844">
            <v>47009</v>
          </cell>
          <cell r="D844" t="str">
            <v>夏☆襲来！</v>
          </cell>
          <cell r="E844" t="str">
            <v>（復刻）季節イベント</v>
          </cell>
          <cell r="F844">
            <v>1</v>
          </cell>
          <cell r="G844" t="str">
            <v>ja</v>
          </cell>
          <cell r="H844" t="str">
            <v>【超絶級】夏☆襲来</v>
          </cell>
          <cell r="I844" t="str">
            <v>地獄級</v>
          </cell>
          <cell r="J844">
            <v>1053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5</v>
          </cell>
          <cell r="AD844">
            <v>6</v>
          </cell>
          <cell r="AE844" t="str">
            <v>everyone</v>
          </cell>
        </row>
        <row r="845">
          <cell r="A845" t="str">
            <v>47009_2</v>
          </cell>
          <cell r="B845">
            <v>3</v>
          </cell>
          <cell r="C845">
            <v>47009</v>
          </cell>
          <cell r="D845" t="str">
            <v>夏☆襲来！</v>
          </cell>
          <cell r="E845" t="str">
            <v>（復刻）季節イベント</v>
          </cell>
          <cell r="F845">
            <v>2</v>
          </cell>
          <cell r="G845" t="str">
            <v>ja</v>
          </cell>
          <cell r="H845" t="str">
            <v>【ウィザード級】夏☆襲来</v>
          </cell>
          <cell r="I845" t="str">
            <v>地獄級</v>
          </cell>
          <cell r="J845">
            <v>1054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5</v>
          </cell>
          <cell r="AD845">
            <v>6</v>
          </cell>
          <cell r="AE845" t="str">
            <v>everyone</v>
          </cell>
        </row>
        <row r="846">
          <cell r="A846" t="str">
            <v>47010_1</v>
          </cell>
          <cell r="B846">
            <v>3</v>
          </cell>
          <cell r="C846">
            <v>47010</v>
          </cell>
          <cell r="D846" t="str">
            <v>僕の愛よあの子にとどけ！</v>
          </cell>
          <cell r="E846" t="str">
            <v>季節イベント</v>
          </cell>
          <cell r="F846">
            <v>1</v>
          </cell>
          <cell r="G846" t="str">
            <v>ja</v>
          </cell>
          <cell r="H846" t="str">
            <v>【上級】僕の愛よあの子にとどけ！</v>
          </cell>
          <cell r="I846" t="str">
            <v>地獄級</v>
          </cell>
          <cell r="J846">
            <v>1408</v>
          </cell>
          <cell r="K846">
            <v>20</v>
          </cell>
          <cell r="L846">
            <v>2000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item</v>
          </cell>
          <cell r="T846">
            <v>703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908</v>
          </cell>
          <cell r="AD846">
            <v>6</v>
          </cell>
          <cell r="AE846" t="str">
            <v>everyone</v>
          </cell>
        </row>
        <row r="847">
          <cell r="A847" t="str">
            <v>47010_2</v>
          </cell>
          <cell r="B847">
            <v>3</v>
          </cell>
          <cell r="C847">
            <v>47010</v>
          </cell>
          <cell r="D847" t="str">
            <v>僕の愛よあの子にとどけ！</v>
          </cell>
          <cell r="E847" t="str">
            <v>季節イベント</v>
          </cell>
          <cell r="F847">
            <v>2</v>
          </cell>
          <cell r="G847" t="str">
            <v>ja</v>
          </cell>
          <cell r="H847" t="str">
            <v>【ｳｨｻﾞ】僕の愛よあの子にとどけ！</v>
          </cell>
          <cell r="I847" t="str">
            <v>地獄級</v>
          </cell>
          <cell r="J847">
            <v>1408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908</v>
          </cell>
          <cell r="AD847">
            <v>6</v>
          </cell>
          <cell r="AE847" t="str">
            <v>everyone</v>
          </cell>
        </row>
        <row r="848">
          <cell r="A848" t="str">
            <v>47011_1</v>
          </cell>
          <cell r="B848">
            <v>3</v>
          </cell>
          <cell r="C848">
            <v>47011</v>
          </cell>
          <cell r="D848" t="str">
            <v>ツンデレ少女にお返しを！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ツンデレ少女にお返しを！</v>
          </cell>
          <cell r="I848" t="str">
            <v>地獄級</v>
          </cell>
          <cell r="J848">
            <v>1351</v>
          </cell>
          <cell r="K848">
            <v>1</v>
          </cell>
          <cell r="L848">
            <v>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926</v>
          </cell>
          <cell r="AD848">
            <v>6</v>
          </cell>
          <cell r="AE848" t="str">
            <v>singleonly</v>
          </cell>
        </row>
        <row r="849">
          <cell r="A849" t="str">
            <v>48001_1</v>
          </cell>
          <cell r="B849">
            <v>1</v>
          </cell>
          <cell r="C849">
            <v>48001</v>
          </cell>
          <cell r="D849" t="str">
            <v>蛟龍襲来！</v>
          </cell>
          <cell r="E849" t="str">
            <v>台湾版降臨1</v>
          </cell>
          <cell r="F849">
            <v>1</v>
          </cell>
          <cell r="G849" t="str">
            <v>ja</v>
          </cell>
          <cell r="H849" t="str">
            <v>【ウィザード級】蛟龍襲来</v>
          </cell>
          <cell r="I849" t="str">
            <v>地獄級</v>
          </cell>
          <cell r="J849">
            <v>8003</v>
          </cell>
          <cell r="K849">
            <v>35</v>
          </cell>
          <cell r="L849">
            <v>4200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character</v>
          </cell>
          <cell r="T849">
            <v>8003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930</v>
          </cell>
          <cell r="AD849">
            <v>6</v>
          </cell>
          <cell r="AE849" t="str">
            <v>everyone</v>
          </cell>
        </row>
        <row r="850">
          <cell r="A850" t="str">
            <v>48002_1</v>
          </cell>
          <cell r="B850">
            <v>1</v>
          </cell>
          <cell r="C850">
            <v>48002</v>
          </cell>
          <cell r="D850" t="str">
            <v>孫悟空襲来！</v>
          </cell>
          <cell r="E850" t="str">
            <v>台湾版降臨2</v>
          </cell>
          <cell r="F850">
            <v>1</v>
          </cell>
          <cell r="G850" t="str">
            <v>ja</v>
          </cell>
          <cell r="H850" t="str">
            <v>【超絶級】孫悟空襲来</v>
          </cell>
          <cell r="I850" t="str">
            <v>地獄級</v>
          </cell>
          <cell r="J850">
            <v>8007</v>
          </cell>
          <cell r="K850">
            <v>35</v>
          </cell>
          <cell r="L850">
            <v>4200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927</v>
          </cell>
          <cell r="AD850">
            <v>6</v>
          </cell>
          <cell r="AE850" t="str">
            <v>everyone</v>
          </cell>
        </row>
        <row r="851">
          <cell r="A851" t="str">
            <v>48002_2</v>
          </cell>
          <cell r="B851">
            <v>1</v>
          </cell>
          <cell r="C851">
            <v>48002</v>
          </cell>
          <cell r="D851" t="str">
            <v>孫悟空襲来！</v>
          </cell>
          <cell r="E851" t="str">
            <v>台湾版降臨2</v>
          </cell>
          <cell r="F851">
            <v>2</v>
          </cell>
          <cell r="G851" t="str">
            <v>ja</v>
          </cell>
          <cell r="H851" t="str">
            <v>【ウィザード級】孫悟空襲来</v>
          </cell>
          <cell r="I851" t="str">
            <v>地獄級</v>
          </cell>
          <cell r="J851">
            <v>8007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927</v>
          </cell>
          <cell r="AD851">
            <v>6</v>
          </cell>
          <cell r="AE851" t="str">
            <v>everyone</v>
          </cell>
        </row>
        <row r="852">
          <cell r="A852" t="str">
            <v>48002_3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3</v>
          </cell>
          <cell r="G852" t="str">
            <v>ja</v>
          </cell>
          <cell r="H852" t="str">
            <v>【ノーコンテニュー】孫悟空襲来</v>
          </cell>
          <cell r="I852" t="str">
            <v>地獄級</v>
          </cell>
          <cell r="J852">
            <v>8007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character</v>
          </cell>
          <cell r="T852">
            <v>8007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48003_1</v>
          </cell>
          <cell r="B853">
            <v>3</v>
          </cell>
          <cell r="C853">
            <v>48003</v>
          </cell>
          <cell r="D853" t="str">
            <v>月下老人襲来！</v>
          </cell>
          <cell r="E853" t="str">
            <v>台湾版降臨4</v>
          </cell>
          <cell r="F853">
            <v>1</v>
          </cell>
          <cell r="G853" t="str">
            <v>ja</v>
          </cell>
          <cell r="H853" t="str">
            <v>【超絶級】月下老人襲来</v>
          </cell>
          <cell r="I853" t="str">
            <v>超絶級</v>
          </cell>
          <cell r="J853">
            <v>8012</v>
          </cell>
          <cell r="K853">
            <v>35</v>
          </cell>
          <cell r="L853">
            <v>4200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942</v>
          </cell>
          <cell r="AD853">
            <v>6</v>
          </cell>
          <cell r="AE853" t="str">
            <v>everyone</v>
          </cell>
        </row>
        <row r="854">
          <cell r="A854" t="str">
            <v>48003_2</v>
          </cell>
          <cell r="B854">
            <v>3</v>
          </cell>
          <cell r="C854">
            <v>48003</v>
          </cell>
          <cell r="D854" t="str">
            <v>月下老人襲来！</v>
          </cell>
          <cell r="E854" t="str">
            <v>台湾版降臨4</v>
          </cell>
          <cell r="F854">
            <v>2</v>
          </cell>
          <cell r="G854" t="str">
            <v>ja</v>
          </cell>
          <cell r="H854" t="str">
            <v>【ウィザード級】月下老人襲来</v>
          </cell>
          <cell r="I854" t="str">
            <v>地獄級</v>
          </cell>
          <cell r="J854">
            <v>8012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942</v>
          </cell>
          <cell r="AD854">
            <v>6</v>
          </cell>
          <cell r="AE854" t="str">
            <v>everyone</v>
          </cell>
        </row>
        <row r="855">
          <cell r="A855" t="str">
            <v>48004_1</v>
          </cell>
          <cell r="B855">
            <v>3</v>
          </cell>
          <cell r="C855">
            <v>48004</v>
          </cell>
          <cell r="D855" t="str">
            <v>蛟龍襲来！</v>
          </cell>
          <cell r="E855" t="str">
            <v>台湾版降臨5</v>
          </cell>
          <cell r="F855">
            <v>1</v>
          </cell>
          <cell r="G855" t="str">
            <v>ja</v>
          </cell>
          <cell r="H855" t="str">
            <v>【超絶級】蛟龍襲来</v>
          </cell>
          <cell r="I855" t="str">
            <v>地獄級</v>
          </cell>
          <cell r="J855">
            <v>8003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930</v>
          </cell>
          <cell r="AD855">
            <v>6</v>
          </cell>
          <cell r="AE855" t="str">
            <v>everyone</v>
          </cell>
        </row>
        <row r="856">
          <cell r="A856" t="str">
            <v>48004_2</v>
          </cell>
          <cell r="B856">
            <v>3</v>
          </cell>
          <cell r="C856">
            <v>48004</v>
          </cell>
          <cell r="D856" t="str">
            <v>蛟龍襲来！</v>
          </cell>
          <cell r="E856" t="str">
            <v>台湾版降臨5</v>
          </cell>
          <cell r="F856">
            <v>2</v>
          </cell>
          <cell r="G856" t="str">
            <v>ja</v>
          </cell>
          <cell r="H856" t="str">
            <v>【ウィザード級】蛟龍襲来</v>
          </cell>
          <cell r="I856" t="str">
            <v>地獄級</v>
          </cell>
          <cell r="J856">
            <v>8004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930</v>
          </cell>
          <cell r="AD856">
            <v>6</v>
          </cell>
          <cell r="AE856" t="str">
            <v>everyone</v>
          </cell>
        </row>
        <row r="857">
          <cell r="A857" t="str">
            <v>48005_1</v>
          </cell>
          <cell r="B857">
            <v>3</v>
          </cell>
          <cell r="C857">
            <v>48005</v>
          </cell>
          <cell r="D857" t="str">
            <v>孫悟空襲来！</v>
          </cell>
          <cell r="E857" t="str">
            <v>台湾版降臨6</v>
          </cell>
          <cell r="F857">
            <v>1</v>
          </cell>
          <cell r="G857" t="str">
            <v>ja</v>
          </cell>
          <cell r="H857" t="str">
            <v>【超絶級】孫悟空襲来</v>
          </cell>
          <cell r="I857" t="str">
            <v>地獄級</v>
          </cell>
          <cell r="J857">
            <v>8007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932</v>
          </cell>
          <cell r="AD857">
            <v>6</v>
          </cell>
          <cell r="AE857" t="str">
            <v>everyone</v>
          </cell>
        </row>
        <row r="858">
          <cell r="A858" t="str">
            <v>48005_2</v>
          </cell>
          <cell r="B858">
            <v>3</v>
          </cell>
          <cell r="C858">
            <v>48005</v>
          </cell>
          <cell r="D858" t="str">
            <v>孫悟空襲来！</v>
          </cell>
          <cell r="E858" t="str">
            <v>台湾版降臨6</v>
          </cell>
          <cell r="F858">
            <v>2</v>
          </cell>
          <cell r="G858" t="str">
            <v>ja</v>
          </cell>
          <cell r="H858" t="str">
            <v>【ウィザード級】孫悟空襲来</v>
          </cell>
          <cell r="I858" t="str">
            <v>地獄級</v>
          </cell>
          <cell r="J858">
            <v>8008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932</v>
          </cell>
          <cell r="AD858">
            <v>6</v>
          </cell>
          <cell r="AE858" t="str">
            <v>everyone</v>
          </cell>
        </row>
        <row r="859">
          <cell r="A859" t="str">
            <v>48006_1</v>
          </cell>
          <cell r="B859">
            <v>3</v>
          </cell>
          <cell r="C859">
            <v>48006</v>
          </cell>
          <cell r="D859" t="str">
            <v>牛頭馬面襲来！</v>
          </cell>
          <cell r="E859" t="str">
            <v>台湾版降臨7</v>
          </cell>
          <cell r="F859">
            <v>1</v>
          </cell>
          <cell r="G859" t="str">
            <v>ja</v>
          </cell>
          <cell r="H859" t="str">
            <v>【超絶級】牛頭馬面襲来</v>
          </cell>
          <cell r="I859" t="str">
            <v>地獄級</v>
          </cell>
          <cell r="J859">
            <v>8033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0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946</v>
          </cell>
          <cell r="AD859">
            <v>6</v>
          </cell>
          <cell r="AE859" t="str">
            <v>everyone</v>
          </cell>
        </row>
        <row r="860">
          <cell r="A860" t="str">
            <v>48006_2</v>
          </cell>
          <cell r="B860">
            <v>3</v>
          </cell>
          <cell r="C860">
            <v>48006</v>
          </cell>
          <cell r="D860" t="str">
            <v>牛頭馬面襲来！</v>
          </cell>
          <cell r="E860" t="str">
            <v>台湾版降臨7</v>
          </cell>
          <cell r="F860">
            <v>2</v>
          </cell>
          <cell r="G860" t="str">
            <v>ja</v>
          </cell>
          <cell r="H860" t="str">
            <v>【ウィザード級】牛頭馬面襲来</v>
          </cell>
          <cell r="I860" t="str">
            <v>地獄級</v>
          </cell>
          <cell r="J860">
            <v>8034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0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946</v>
          </cell>
          <cell r="AD860">
            <v>6</v>
          </cell>
          <cell r="AE860" t="str">
            <v>everyone</v>
          </cell>
        </row>
        <row r="861">
          <cell r="A861" t="str">
            <v>48007_1</v>
          </cell>
          <cell r="B861">
            <v>1</v>
          </cell>
          <cell r="C861">
            <v>48007</v>
          </cell>
          <cell r="D861" t="str">
            <v>紅鬼襲来！</v>
          </cell>
          <cell r="E861" t="str">
            <v>台湾版降臨8</v>
          </cell>
          <cell r="F861">
            <v>1</v>
          </cell>
          <cell r="G861" t="str">
            <v>ja</v>
          </cell>
          <cell r="H861" t="str">
            <v>【超絶級】紅鬼襲来</v>
          </cell>
          <cell r="I861" t="str">
            <v>地獄級</v>
          </cell>
          <cell r="J861">
            <v>8079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931</v>
          </cell>
          <cell r="AD861">
            <v>6</v>
          </cell>
          <cell r="AE861" t="str">
            <v>everyone</v>
          </cell>
        </row>
        <row r="862">
          <cell r="A862" t="str">
            <v>48007_2</v>
          </cell>
          <cell r="B862">
            <v>1</v>
          </cell>
          <cell r="C862">
            <v>48007</v>
          </cell>
          <cell r="D862" t="str">
            <v>紅鬼襲来！</v>
          </cell>
          <cell r="E862" t="str">
            <v>台湾版降臨8</v>
          </cell>
          <cell r="F862">
            <v>2</v>
          </cell>
          <cell r="G862" t="str">
            <v>ja</v>
          </cell>
          <cell r="H862" t="str">
            <v>【ウィザード級】紅鬼襲来</v>
          </cell>
          <cell r="I862" t="str">
            <v>地獄級</v>
          </cell>
          <cell r="J862">
            <v>8080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931</v>
          </cell>
          <cell r="AD862">
            <v>6</v>
          </cell>
          <cell r="AE862" t="str">
            <v>everyone</v>
          </cell>
        </row>
        <row r="863">
          <cell r="A863" t="str">
            <v>48008_1</v>
          </cell>
          <cell r="B863">
            <v>1</v>
          </cell>
          <cell r="C863">
            <v>48008</v>
          </cell>
          <cell r="D863" t="str">
            <v>紀昌襲来！</v>
          </cell>
          <cell r="E863" t="str">
            <v>台湾版降臨9</v>
          </cell>
          <cell r="F863">
            <v>1</v>
          </cell>
          <cell r="G863" t="str">
            <v>ja</v>
          </cell>
          <cell r="H863" t="str">
            <v>【超絶級】紀昌襲来</v>
          </cell>
          <cell r="I863" t="str">
            <v>地獄級</v>
          </cell>
          <cell r="J863">
            <v>8037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948</v>
          </cell>
          <cell r="AD863">
            <v>6</v>
          </cell>
          <cell r="AE863" t="str">
            <v>everyone</v>
          </cell>
        </row>
        <row r="864">
          <cell r="A864" t="str">
            <v>48008_2</v>
          </cell>
          <cell r="B864">
            <v>1</v>
          </cell>
          <cell r="C864">
            <v>48008</v>
          </cell>
          <cell r="D864" t="str">
            <v>紀昌襲来！</v>
          </cell>
          <cell r="E864" t="str">
            <v>台湾版降臨9</v>
          </cell>
          <cell r="F864">
            <v>2</v>
          </cell>
          <cell r="G864" t="str">
            <v>ja</v>
          </cell>
          <cell r="H864" t="str">
            <v>【ウィザード級】紀昌襲来</v>
          </cell>
          <cell r="I864" t="str">
            <v>地獄級</v>
          </cell>
          <cell r="J864">
            <v>8038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948</v>
          </cell>
          <cell r="AD864">
            <v>6</v>
          </cell>
          <cell r="AE864" t="str">
            <v>everyone</v>
          </cell>
        </row>
        <row r="865">
          <cell r="A865" t="str">
            <v>48009_1</v>
          </cell>
          <cell r="B865">
            <v>1</v>
          </cell>
          <cell r="C865">
            <v>48009</v>
          </cell>
          <cell r="D865" t="str">
            <v>藍采和襲来！</v>
          </cell>
          <cell r="E865" t="str">
            <v>台湾版降臨10</v>
          </cell>
          <cell r="F865">
            <v>1</v>
          </cell>
          <cell r="G865" t="str">
            <v>ja</v>
          </cell>
          <cell r="H865" t="str">
            <v>【超絶級】藍采和襲来</v>
          </cell>
          <cell r="I865" t="str">
            <v>地獄級</v>
          </cell>
          <cell r="J865">
            <v>8042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953</v>
          </cell>
          <cell r="AD865">
            <v>6</v>
          </cell>
          <cell r="AE865" t="str">
            <v>everyone</v>
          </cell>
        </row>
        <row r="866">
          <cell r="A866" t="str">
            <v>48009_2</v>
          </cell>
          <cell r="B866">
            <v>1</v>
          </cell>
          <cell r="C866">
            <v>48009</v>
          </cell>
          <cell r="D866" t="str">
            <v>藍采和襲来！</v>
          </cell>
          <cell r="E866" t="str">
            <v>台湾版降臨10</v>
          </cell>
          <cell r="F866">
            <v>2</v>
          </cell>
          <cell r="G866" t="str">
            <v>ja</v>
          </cell>
          <cell r="H866" t="str">
            <v>【ウィザード級】藍采和襲来</v>
          </cell>
          <cell r="I866" t="str">
            <v>地獄級</v>
          </cell>
          <cell r="J866">
            <v>8042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953</v>
          </cell>
          <cell r="AD866">
            <v>6</v>
          </cell>
          <cell r="AE866" t="str">
            <v>everyone</v>
          </cell>
        </row>
        <row r="867">
          <cell r="A867" t="str">
            <v>48010_1</v>
          </cell>
          <cell r="B867">
            <v>1</v>
          </cell>
          <cell r="C867">
            <v>48010</v>
          </cell>
          <cell r="D867" t="str">
            <v>バハムートダックより祝福を</v>
          </cell>
          <cell r="E867" t="str">
            <v>台湾バハムート記念限定クエスト</v>
          </cell>
          <cell r="F867">
            <v>1</v>
          </cell>
          <cell r="G867" t="str">
            <v>ja</v>
          </cell>
          <cell r="H867" t="str">
            <v>バハムートダックより祝福を</v>
          </cell>
          <cell r="I867" t="str">
            <v>台湾バハムート記念限定クエスト</v>
          </cell>
          <cell r="J867">
            <v>8095</v>
          </cell>
          <cell r="K867">
            <v>1</v>
          </cell>
          <cell r="L867">
            <v>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once</v>
          </cell>
          <cell r="AC867">
            <v>1</v>
          </cell>
          <cell r="AD867">
            <v>6</v>
          </cell>
          <cell r="AE867" t="str">
            <v>singleonly</v>
          </cell>
        </row>
        <row r="868">
          <cell r="A868" t="str">
            <v>48011_1</v>
          </cell>
          <cell r="B868">
            <v>1</v>
          </cell>
          <cell r="C868">
            <v>48011</v>
          </cell>
          <cell r="D868" t="str">
            <v>年獣襲来！</v>
          </cell>
          <cell r="E868" t="str">
            <v>台湾版降臨11</v>
          </cell>
          <cell r="F868">
            <v>1</v>
          </cell>
          <cell r="G868" t="str">
            <v>ja</v>
          </cell>
          <cell r="H868" t="str">
            <v>【超絶級】年獣襲来</v>
          </cell>
          <cell r="I868" t="str">
            <v>地獄級</v>
          </cell>
          <cell r="J868">
            <v>8090</v>
          </cell>
          <cell r="K868">
            <v>35</v>
          </cell>
          <cell r="L868">
            <v>4200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970</v>
          </cell>
          <cell r="AD868">
            <v>6</v>
          </cell>
          <cell r="AE868" t="str">
            <v>everyone</v>
          </cell>
        </row>
        <row r="869">
          <cell r="A869" t="str">
            <v>48011_2</v>
          </cell>
          <cell r="B869">
            <v>1</v>
          </cell>
          <cell r="C869">
            <v>48011</v>
          </cell>
          <cell r="D869" t="str">
            <v>年獣襲来！</v>
          </cell>
          <cell r="E869" t="str">
            <v>台湾版降臨11</v>
          </cell>
          <cell r="F869">
            <v>2</v>
          </cell>
          <cell r="G869" t="str">
            <v>ja</v>
          </cell>
          <cell r="H869" t="str">
            <v>【ウィザード級】年獣襲来</v>
          </cell>
          <cell r="I869" t="str">
            <v>地獄級</v>
          </cell>
          <cell r="J869">
            <v>8090</v>
          </cell>
          <cell r="K869">
            <v>40</v>
          </cell>
          <cell r="L869">
            <v>4500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970</v>
          </cell>
          <cell r="AD869">
            <v>6</v>
          </cell>
          <cell r="AE869" t="str">
            <v>everyone</v>
          </cell>
        </row>
        <row r="870">
          <cell r="A870" t="str">
            <v>48501_1</v>
          </cell>
          <cell r="B870">
            <v>1</v>
          </cell>
          <cell r="C870">
            <v>48501</v>
          </cell>
          <cell r="D870" t="str">
            <v>ナーガ襲来！</v>
          </cell>
          <cell r="E870" t="str">
            <v>グローバル版降臨1</v>
          </cell>
          <cell r="F870">
            <v>1</v>
          </cell>
          <cell r="G870" t="str">
            <v>ja</v>
          </cell>
          <cell r="H870" t="str">
            <v>【超絶級】ナーガ襲来</v>
          </cell>
          <cell r="I870" t="str">
            <v>地獄級</v>
          </cell>
          <cell r="J870">
            <v>5004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963</v>
          </cell>
          <cell r="AD870">
            <v>6</v>
          </cell>
          <cell r="AE870" t="str">
            <v>everyone</v>
          </cell>
        </row>
        <row r="871">
          <cell r="A871" t="str">
            <v>48501_2</v>
          </cell>
          <cell r="B871">
            <v>1</v>
          </cell>
          <cell r="C871">
            <v>48501</v>
          </cell>
          <cell r="D871" t="str">
            <v>ナーガ襲来！</v>
          </cell>
          <cell r="E871" t="str">
            <v>グローバル版降臨1</v>
          </cell>
          <cell r="F871">
            <v>2</v>
          </cell>
          <cell r="G871" t="str">
            <v>ja</v>
          </cell>
          <cell r="H871" t="str">
            <v>【ウィザード級】ナーガ襲来</v>
          </cell>
          <cell r="I871" t="str">
            <v>地獄級</v>
          </cell>
          <cell r="J871">
            <v>5004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963</v>
          </cell>
          <cell r="AD871">
            <v>6</v>
          </cell>
          <cell r="AE871" t="str">
            <v>everyone</v>
          </cell>
        </row>
        <row r="872">
          <cell r="A872" t="str">
            <v>48502_1</v>
          </cell>
          <cell r="B872">
            <v>1</v>
          </cell>
          <cell r="C872">
            <v>48502</v>
          </cell>
          <cell r="D872" t="str">
            <v>ヘルシング襲来！</v>
          </cell>
          <cell r="E872" t="str">
            <v>グローバル版降臨2</v>
          </cell>
          <cell r="F872">
            <v>1</v>
          </cell>
          <cell r="G872" t="str">
            <v>ja</v>
          </cell>
          <cell r="H872" t="str">
            <v>【超絶級】ヘルシング襲来</v>
          </cell>
          <cell r="I872" t="str">
            <v>地獄級</v>
          </cell>
          <cell r="J872">
            <v>5008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48502_2</v>
          </cell>
          <cell r="B873">
            <v>1</v>
          </cell>
          <cell r="C873">
            <v>48502</v>
          </cell>
          <cell r="D873" t="str">
            <v>ヘルシング襲来！</v>
          </cell>
          <cell r="E873" t="str">
            <v>グローバル版降臨2</v>
          </cell>
          <cell r="F873">
            <v>2</v>
          </cell>
          <cell r="G873" t="str">
            <v>ja</v>
          </cell>
          <cell r="H873" t="str">
            <v>【ウィザード級】ヘルシング襲来</v>
          </cell>
          <cell r="I873" t="str">
            <v>地獄級</v>
          </cell>
          <cell r="J873">
            <v>5008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48701_1</v>
          </cell>
          <cell r="B874">
            <v>1</v>
          </cell>
          <cell r="C874">
            <v>48701</v>
          </cell>
          <cell r="D874" t="str">
            <v>M.Dragon襲来！</v>
          </cell>
          <cell r="E874" t="str">
            <v>韓国版降臨1</v>
          </cell>
          <cell r="F874">
            <v>1</v>
          </cell>
          <cell r="G874" t="str">
            <v>ja</v>
          </cell>
          <cell r="H874" t="str">
            <v>【超絶級】M.Dragon襲来</v>
          </cell>
          <cell r="I874" t="str">
            <v>地獄級</v>
          </cell>
          <cell r="J874">
            <v>9004</v>
          </cell>
          <cell r="K874">
            <v>35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963</v>
          </cell>
          <cell r="AD874">
            <v>6</v>
          </cell>
          <cell r="AE874" t="str">
            <v>everyone</v>
          </cell>
        </row>
        <row r="875">
          <cell r="A875" t="str">
            <v>48701_2</v>
          </cell>
          <cell r="B875">
            <v>1</v>
          </cell>
          <cell r="C875">
            <v>48701</v>
          </cell>
          <cell r="D875" t="str">
            <v>M.Dragon襲来！</v>
          </cell>
          <cell r="E875" t="str">
            <v>韓国版降臨1</v>
          </cell>
          <cell r="F875">
            <v>2</v>
          </cell>
          <cell r="G875" t="str">
            <v>ja</v>
          </cell>
          <cell r="H875" t="str">
            <v>【ウィザード級】M.Dragon襲来</v>
          </cell>
          <cell r="I875" t="str">
            <v>地獄級</v>
          </cell>
          <cell r="J875">
            <v>9004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963</v>
          </cell>
          <cell r="AD875">
            <v>6</v>
          </cell>
          <cell r="AE875" t="str">
            <v>everyone</v>
          </cell>
        </row>
        <row r="876">
          <cell r="A876" t="str">
            <v>49001_1</v>
          </cell>
          <cell r="B876">
            <v>3</v>
          </cell>
          <cell r="C876">
            <v>49001</v>
          </cell>
          <cell r="D876" t="str">
            <v>熱唱！初音ミクV3</v>
          </cell>
          <cell r="E876" t="str">
            <v>コラボ降臨1</v>
          </cell>
          <cell r="F876">
            <v>1</v>
          </cell>
          <cell r="G876" t="str">
            <v>ja</v>
          </cell>
          <cell r="H876" t="str">
            <v>【ウィザード級】熱唱！初音ミクV3</v>
          </cell>
          <cell r="I876" t="str">
            <v>地獄級</v>
          </cell>
          <cell r="J876">
            <v>528</v>
          </cell>
          <cell r="K876">
            <v>40</v>
          </cell>
          <cell r="L876">
            <v>4200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910</v>
          </cell>
          <cell r="AD876">
            <v>6</v>
          </cell>
          <cell r="AE876" t="str">
            <v>everyone</v>
          </cell>
        </row>
        <row r="877">
          <cell r="A877" t="str">
            <v>49002_1</v>
          </cell>
          <cell r="B877">
            <v>3</v>
          </cell>
          <cell r="C877">
            <v>49002</v>
          </cell>
          <cell r="D877" t="str">
            <v>園原杏里襲来！</v>
          </cell>
          <cell r="E877" t="str">
            <v>コラボ降臨2</v>
          </cell>
          <cell r="F877">
            <v>1</v>
          </cell>
          <cell r="G877" t="str">
            <v>ja</v>
          </cell>
          <cell r="H877" t="str">
            <v>【ウィザード級】園原杏里襲来</v>
          </cell>
          <cell r="I877" t="str">
            <v>地獄級</v>
          </cell>
          <cell r="J877">
            <v>699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917</v>
          </cell>
          <cell r="AD877">
            <v>6</v>
          </cell>
          <cell r="AE877" t="str">
            <v>everyone</v>
          </cell>
        </row>
        <row r="878">
          <cell r="A878" t="str">
            <v>49002_2</v>
          </cell>
          <cell r="B878">
            <v>3</v>
          </cell>
          <cell r="C878">
            <v>49002</v>
          </cell>
          <cell r="D878" t="str">
            <v>園原杏里襲来！</v>
          </cell>
          <cell r="E878" t="str">
            <v>コラボ降臨2</v>
          </cell>
          <cell r="F878">
            <v>2</v>
          </cell>
          <cell r="G878" t="str">
            <v>ja</v>
          </cell>
          <cell r="H878" t="str">
            <v>【ノーコンテニュー】園原杏里襲来</v>
          </cell>
          <cell r="I878" t="str">
            <v>地獄級</v>
          </cell>
          <cell r="J878">
            <v>699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917</v>
          </cell>
          <cell r="AD878">
            <v>6</v>
          </cell>
          <cell r="AE878" t="str">
            <v>everyone</v>
          </cell>
        </row>
        <row r="879">
          <cell r="A879" t="str">
            <v>49003_1</v>
          </cell>
          <cell r="B879">
            <v>3</v>
          </cell>
          <cell r="C879">
            <v>49003</v>
          </cell>
          <cell r="D879" t="str">
            <v>折原臨也襲来！</v>
          </cell>
          <cell r="E879" t="str">
            <v>コラボ降臨3</v>
          </cell>
          <cell r="F879">
            <v>1</v>
          </cell>
          <cell r="G879" t="str">
            <v>ja</v>
          </cell>
          <cell r="H879" t="str">
            <v>【ウィザード級】折原臨也襲来</v>
          </cell>
          <cell r="I879" t="str">
            <v>地獄級</v>
          </cell>
          <cell r="J879">
            <v>701</v>
          </cell>
          <cell r="K879">
            <v>40</v>
          </cell>
          <cell r="L879">
            <v>4500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918</v>
          </cell>
          <cell r="AD879">
            <v>6</v>
          </cell>
          <cell r="AE879" t="str">
            <v>everyone</v>
          </cell>
        </row>
        <row r="880">
          <cell r="A880" t="str">
            <v>49003_2</v>
          </cell>
          <cell r="B880">
            <v>3</v>
          </cell>
          <cell r="C880">
            <v>49003</v>
          </cell>
          <cell r="D880" t="str">
            <v>折原臨也襲来！</v>
          </cell>
          <cell r="E880" t="str">
            <v>コラボ降臨3</v>
          </cell>
          <cell r="F880">
            <v>2</v>
          </cell>
          <cell r="G880" t="str">
            <v>ja</v>
          </cell>
          <cell r="H880" t="str">
            <v>【ノーコンテニュー】折原臨也襲来</v>
          </cell>
          <cell r="I880" t="str">
            <v>地獄級</v>
          </cell>
          <cell r="J880">
            <v>701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918</v>
          </cell>
          <cell r="AD880">
            <v>6</v>
          </cell>
          <cell r="AE880" t="str">
            <v>everyone</v>
          </cell>
        </row>
        <row r="881">
          <cell r="A881" t="str">
            <v>49004_1</v>
          </cell>
          <cell r="B881">
            <v>3</v>
          </cell>
          <cell r="C881">
            <v>49004</v>
          </cell>
          <cell r="D881" t="str">
            <v>サンリオ好きなのだーれだ♪</v>
          </cell>
          <cell r="E881" t="str">
            <v>コラボ降臨4</v>
          </cell>
          <cell r="F881">
            <v>1</v>
          </cell>
          <cell r="G881" t="str">
            <v>ja</v>
          </cell>
          <cell r="H881" t="str">
            <v>【超絶】サンリオ好きなのだーれだ♪</v>
          </cell>
          <cell r="I881" t="str">
            <v>地獄級</v>
          </cell>
          <cell r="J881">
            <v>0</v>
          </cell>
          <cell r="K881">
            <v>35</v>
          </cell>
          <cell r="L881">
            <v>4200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934</v>
          </cell>
          <cell r="AD881">
            <v>6</v>
          </cell>
          <cell r="AE881" t="str">
            <v>everyone</v>
          </cell>
        </row>
        <row r="882">
          <cell r="A882" t="str">
            <v>49004_2</v>
          </cell>
          <cell r="B882">
            <v>3</v>
          </cell>
          <cell r="C882">
            <v>49004</v>
          </cell>
          <cell r="D882" t="str">
            <v>サンリオ好きなのだーれだ♪</v>
          </cell>
          <cell r="E882" t="str">
            <v>コラボ降臨4</v>
          </cell>
          <cell r="F882">
            <v>2</v>
          </cell>
          <cell r="G882" t="str">
            <v>ja</v>
          </cell>
          <cell r="H882" t="str">
            <v>【ｳｨｻﾞ】サンリオ好きなのだーれだ♪</v>
          </cell>
          <cell r="I882" t="str">
            <v>地獄級</v>
          </cell>
          <cell r="J882">
            <v>0</v>
          </cell>
          <cell r="K882">
            <v>40</v>
          </cell>
          <cell r="L882">
            <v>4500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934</v>
          </cell>
          <cell r="AD882">
            <v>6</v>
          </cell>
          <cell r="AE882" t="str">
            <v>everyone</v>
          </cell>
        </row>
        <row r="883">
          <cell r="A883" t="str">
            <v>49004_3</v>
          </cell>
          <cell r="B883">
            <v>3</v>
          </cell>
          <cell r="C883">
            <v>49004</v>
          </cell>
          <cell r="D883" t="str">
            <v>サンリオ好きなのだーれだ♪</v>
          </cell>
          <cell r="E883" t="str">
            <v>コラボ降臨4</v>
          </cell>
          <cell r="F883">
            <v>3</v>
          </cell>
          <cell r="G883" t="str">
            <v>ja</v>
          </cell>
          <cell r="H883" t="str">
            <v>【ﾉｰｺﾝ】サンリオ好きなのだーれだ♪</v>
          </cell>
          <cell r="I883" t="str">
            <v>地獄級</v>
          </cell>
          <cell r="J883">
            <v>0</v>
          </cell>
          <cell r="K883">
            <v>40</v>
          </cell>
          <cell r="L883">
            <v>4500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934</v>
          </cell>
          <cell r="AD883">
            <v>6</v>
          </cell>
          <cell r="AE883" t="str">
            <v>everyone</v>
          </cell>
        </row>
        <row r="884">
          <cell r="A884" t="str">
            <v>49005_1</v>
          </cell>
          <cell r="B884">
            <v>1</v>
          </cell>
          <cell r="C884">
            <v>49005</v>
          </cell>
          <cell r="D884" t="str">
            <v>襲来クエスト</v>
          </cell>
          <cell r="E884" t="str">
            <v>コラボ降臨5</v>
          </cell>
          <cell r="F884">
            <v>1</v>
          </cell>
          <cell r="G884" t="str">
            <v>ja</v>
          </cell>
          <cell r="H884" t="str">
            <v>【ウィザード級】襲来クエスト</v>
          </cell>
          <cell r="I884" t="str">
            <v>地獄級</v>
          </cell>
          <cell r="J884">
            <v>8013</v>
          </cell>
          <cell r="K884">
            <v>40</v>
          </cell>
          <cell r="L884">
            <v>4200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910</v>
          </cell>
          <cell r="AD884">
            <v>6</v>
          </cell>
          <cell r="AE884" t="str">
            <v>everyone</v>
          </cell>
        </row>
        <row r="885">
          <cell r="A885" t="str">
            <v>49006_1</v>
          </cell>
          <cell r="B885">
            <v>3</v>
          </cell>
          <cell r="C885">
            <v>49006</v>
          </cell>
          <cell r="D885" t="str">
            <v>超大型巨人襲来！</v>
          </cell>
          <cell r="E885" t="str">
            <v>コラボ降臨6</v>
          </cell>
          <cell r="F885">
            <v>1</v>
          </cell>
          <cell r="G885" t="str">
            <v>ja</v>
          </cell>
          <cell r="H885" t="str">
            <v>【超絶級】超大型巨人襲来</v>
          </cell>
          <cell r="I885" t="str">
            <v>地獄級</v>
          </cell>
          <cell r="J885">
            <v>980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937</v>
          </cell>
          <cell r="AD885">
            <v>6</v>
          </cell>
          <cell r="AE885" t="str">
            <v>everyone</v>
          </cell>
        </row>
        <row r="886">
          <cell r="A886" t="str">
            <v>49006_2</v>
          </cell>
          <cell r="B886">
            <v>3</v>
          </cell>
          <cell r="C886">
            <v>49006</v>
          </cell>
          <cell r="D886" t="str">
            <v>超大型巨人襲来！</v>
          </cell>
          <cell r="E886" t="str">
            <v>コラボ降臨6</v>
          </cell>
          <cell r="F886">
            <v>2</v>
          </cell>
          <cell r="G886" t="str">
            <v>ja</v>
          </cell>
          <cell r="H886" t="str">
            <v>【ウィザード級】超大型巨人襲来</v>
          </cell>
          <cell r="I886" t="str">
            <v>地獄級</v>
          </cell>
          <cell r="J886">
            <v>980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937</v>
          </cell>
          <cell r="AD886">
            <v>6</v>
          </cell>
          <cell r="AE886" t="str">
            <v>everyone</v>
          </cell>
        </row>
        <row r="887">
          <cell r="A887" t="str">
            <v>49007_1</v>
          </cell>
          <cell r="B887">
            <v>1</v>
          </cell>
          <cell r="C887">
            <v>49007</v>
          </cell>
          <cell r="D887" t="str">
            <v>アザゼル（台）</v>
          </cell>
          <cell r="E887" t="str">
            <v>コラボ降臨4</v>
          </cell>
          <cell r="F887">
            <v>1</v>
          </cell>
          <cell r="G887" t="str">
            <v>ja</v>
          </cell>
          <cell r="H887" t="str">
            <v>【超絶】アザゼル（台）</v>
          </cell>
          <cell r="I887" t="str">
            <v>地獄級</v>
          </cell>
          <cell r="J887">
            <v>0</v>
          </cell>
          <cell r="K887">
            <v>35</v>
          </cell>
          <cell r="L887">
            <v>4200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934</v>
          </cell>
          <cell r="AD887">
            <v>6</v>
          </cell>
          <cell r="AE887" t="str">
            <v>everyone</v>
          </cell>
        </row>
        <row r="888">
          <cell r="A888" t="str">
            <v>49007_2</v>
          </cell>
          <cell r="B888">
            <v>1</v>
          </cell>
          <cell r="C888">
            <v>49007</v>
          </cell>
          <cell r="D888" t="str">
            <v>アザゼル（台）</v>
          </cell>
          <cell r="E888" t="str">
            <v>コラボ降臨4</v>
          </cell>
          <cell r="F888">
            <v>2</v>
          </cell>
          <cell r="G888" t="str">
            <v>ja</v>
          </cell>
          <cell r="H888" t="str">
            <v>【ｳｨｻﾞ】アザゼル（台）</v>
          </cell>
          <cell r="I888" t="str">
            <v>地獄級</v>
          </cell>
          <cell r="J888">
            <v>0</v>
          </cell>
          <cell r="K888">
            <v>40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934</v>
          </cell>
          <cell r="AD888">
            <v>6</v>
          </cell>
          <cell r="AE888" t="str">
            <v>everyone</v>
          </cell>
        </row>
        <row r="889">
          <cell r="A889" t="str">
            <v>49007_3</v>
          </cell>
          <cell r="B889">
            <v>1</v>
          </cell>
          <cell r="C889">
            <v>49007</v>
          </cell>
          <cell r="D889" t="str">
            <v>アザゼル（台）</v>
          </cell>
          <cell r="E889" t="str">
            <v>コラボ降臨4</v>
          </cell>
          <cell r="F889">
            <v>3</v>
          </cell>
          <cell r="G889" t="str">
            <v>ja</v>
          </cell>
          <cell r="H889" t="str">
            <v>【ﾉｰｺﾝ】アザゼル（台）</v>
          </cell>
          <cell r="I889" t="str">
            <v>地獄級</v>
          </cell>
          <cell r="J889">
            <v>0</v>
          </cell>
          <cell r="K889">
            <v>40</v>
          </cell>
          <cell r="L889">
            <v>4500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934</v>
          </cell>
          <cell r="AD889">
            <v>6</v>
          </cell>
          <cell r="AE889" t="str">
            <v>everyone</v>
          </cell>
        </row>
        <row r="890">
          <cell r="A890" t="str">
            <v>49008_1</v>
          </cell>
          <cell r="B890">
            <v>3</v>
          </cell>
          <cell r="C890">
            <v>49008</v>
          </cell>
          <cell r="D890" t="str">
            <v>熱唱！初音ミクV3</v>
          </cell>
          <cell r="E890" t="str">
            <v>コラボ降臨1</v>
          </cell>
          <cell r="F890">
            <v>1</v>
          </cell>
          <cell r="G890" t="str">
            <v>ja</v>
          </cell>
          <cell r="H890" t="str">
            <v>【ウィザード級】熱唱！初音ミクV3</v>
          </cell>
          <cell r="I890" t="str">
            <v>地獄級</v>
          </cell>
          <cell r="J890">
            <v>1299</v>
          </cell>
          <cell r="K890">
            <v>30</v>
          </cell>
          <cell r="L890">
            <v>4500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910</v>
          </cell>
          <cell r="AD890">
            <v>6</v>
          </cell>
          <cell r="AE890" t="str">
            <v>everyone</v>
          </cell>
        </row>
        <row r="891">
          <cell r="A891" t="str">
            <v>49009_1</v>
          </cell>
          <cell r="B891">
            <v>3</v>
          </cell>
          <cell r="C891">
            <v>49009</v>
          </cell>
          <cell r="D891" t="str">
            <v>電子音協奏曲</v>
          </cell>
          <cell r="E891" t="str">
            <v>コラボ降臨7</v>
          </cell>
          <cell r="F891">
            <v>1</v>
          </cell>
          <cell r="G891" t="str">
            <v>ja</v>
          </cell>
          <cell r="H891" t="str">
            <v>【ウィザード級】電子音協奏曲</v>
          </cell>
          <cell r="I891" t="str">
            <v>地獄級</v>
          </cell>
          <cell r="J891">
            <v>1305</v>
          </cell>
          <cell r="K891">
            <v>30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910</v>
          </cell>
          <cell r="AD891">
            <v>6</v>
          </cell>
          <cell r="AE891" t="str">
            <v>everyone</v>
          </cell>
        </row>
        <row r="892">
          <cell r="A892" t="str">
            <v>49010_1</v>
          </cell>
          <cell r="B892">
            <v>3</v>
          </cell>
          <cell r="C892">
            <v>49010</v>
          </cell>
          <cell r="D892" t="str">
            <v>走り抜けろ！ALICE GP</v>
          </cell>
          <cell r="E892" t="str">
            <v>コラボ降臨8</v>
          </cell>
          <cell r="F892">
            <v>1</v>
          </cell>
          <cell r="G892" t="str">
            <v>ja</v>
          </cell>
          <cell r="H892" t="str">
            <v>【ｳｨｻﾞ】走り抜けろ！ALICE GP</v>
          </cell>
          <cell r="I892" t="str">
            <v>地獄級</v>
          </cell>
          <cell r="J892">
            <v>1303</v>
          </cell>
          <cell r="K892">
            <v>30</v>
          </cell>
          <cell r="L892">
            <v>4500</v>
          </cell>
          <cell r="M892">
            <v>1</v>
          </cell>
          <cell r="N892">
            <v>0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987</v>
          </cell>
          <cell r="AD892">
            <v>6</v>
          </cell>
          <cell r="AE892" t="str">
            <v>everyone</v>
          </cell>
        </row>
        <row r="893">
          <cell r="A893" t="str">
            <v>49011_1</v>
          </cell>
          <cell r="B893">
            <v>3</v>
          </cell>
          <cell r="C893">
            <v>49011</v>
          </cell>
          <cell r="D893" t="str">
            <v>秘密のイベント潜入作戦</v>
          </cell>
          <cell r="E893" t="str">
            <v>コラボ降臨9</v>
          </cell>
          <cell r="F893">
            <v>1</v>
          </cell>
          <cell r="G893" t="str">
            <v>ja</v>
          </cell>
          <cell r="H893" t="str">
            <v>【ｳｨｻﾞ】秘密のイベント潜入作戦</v>
          </cell>
          <cell r="I893" t="str">
            <v>地獄級</v>
          </cell>
          <cell r="J893">
            <v>1301</v>
          </cell>
          <cell r="K893">
            <v>30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909</v>
          </cell>
          <cell r="AD893">
            <v>6</v>
          </cell>
          <cell r="AE893" t="str">
            <v>everyone</v>
          </cell>
        </row>
        <row r="894">
          <cell r="A894" t="str">
            <v>49012_1</v>
          </cell>
          <cell r="B894">
            <v>3</v>
          </cell>
          <cell r="C894">
            <v>49012</v>
          </cell>
          <cell r="D894" t="str">
            <v>園原杏里襲来！</v>
          </cell>
          <cell r="E894" t="str">
            <v>コラボ降臨2（復刻）</v>
          </cell>
          <cell r="F894">
            <v>1</v>
          </cell>
          <cell r="G894" t="str">
            <v>ja</v>
          </cell>
          <cell r="H894" t="str">
            <v>【ウィザード級】園原杏里襲来</v>
          </cell>
          <cell r="I894" t="str">
            <v>地獄級</v>
          </cell>
          <cell r="J894">
            <v>699</v>
          </cell>
          <cell r="K894">
            <v>40</v>
          </cell>
          <cell r="L894">
            <v>4500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917</v>
          </cell>
          <cell r="AD894">
            <v>6</v>
          </cell>
          <cell r="AE894" t="str">
            <v>everyone</v>
          </cell>
        </row>
        <row r="895">
          <cell r="A895" t="str">
            <v>49013_1</v>
          </cell>
          <cell r="B895">
            <v>3</v>
          </cell>
          <cell r="C895">
            <v>49013</v>
          </cell>
          <cell r="D895" t="str">
            <v>折原臨也襲来！</v>
          </cell>
          <cell r="E895" t="str">
            <v>コラボ降臨3（復刻）</v>
          </cell>
          <cell r="F895">
            <v>1</v>
          </cell>
          <cell r="G895" t="str">
            <v>ja</v>
          </cell>
          <cell r="H895" t="str">
            <v>【ウィザード級】折原臨也襲来</v>
          </cell>
          <cell r="I895" t="str">
            <v>地獄級</v>
          </cell>
          <cell r="J895">
            <v>701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918</v>
          </cell>
          <cell r="AD895">
            <v>6</v>
          </cell>
          <cell r="AE895" t="str">
            <v>everyone</v>
          </cell>
        </row>
        <row r="896">
          <cell r="A896" t="str">
            <v>49014_1</v>
          </cell>
          <cell r="B896">
            <v>1</v>
          </cell>
          <cell r="C896">
            <v>49014</v>
          </cell>
          <cell r="D896" t="str">
            <v>C魔</v>
          </cell>
          <cell r="E896" t="str">
            <v>コラボ降臨10</v>
          </cell>
          <cell r="F896">
            <v>1</v>
          </cell>
          <cell r="G896" t="str">
            <v>ja</v>
          </cell>
          <cell r="H896" t="str">
            <v>【超絶級】C魔</v>
          </cell>
          <cell r="I896" t="str">
            <v>地獄級</v>
          </cell>
          <cell r="J896">
            <v>1524</v>
          </cell>
          <cell r="K896">
            <v>35</v>
          </cell>
          <cell r="L896">
            <v>4200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polygon</v>
          </cell>
          <cell r="T896">
            <v>1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918</v>
          </cell>
          <cell r="AD896">
            <v>6</v>
          </cell>
          <cell r="AE896" t="str">
            <v>everyone</v>
          </cell>
        </row>
        <row r="897">
          <cell r="A897" t="str">
            <v>49014_2</v>
          </cell>
          <cell r="B897">
            <v>1</v>
          </cell>
          <cell r="C897">
            <v>49014</v>
          </cell>
          <cell r="D897" t="str">
            <v>C魔</v>
          </cell>
          <cell r="E897" t="str">
            <v>コラボ降臨10</v>
          </cell>
          <cell r="F897">
            <v>2</v>
          </cell>
          <cell r="G897" t="str">
            <v>ja</v>
          </cell>
          <cell r="H897" t="str">
            <v>【ウィザード級】C魔</v>
          </cell>
          <cell r="I897" t="str">
            <v>地獄級</v>
          </cell>
          <cell r="J897">
            <v>1524</v>
          </cell>
          <cell r="K897">
            <v>40</v>
          </cell>
          <cell r="L897">
            <v>4500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polygon</v>
          </cell>
          <cell r="T897">
            <v>1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918</v>
          </cell>
          <cell r="AD897">
            <v>6</v>
          </cell>
          <cell r="AE897" t="str">
            <v>everyone</v>
          </cell>
        </row>
        <row r="898">
          <cell r="A898" t="str">
            <v>49015_1</v>
          </cell>
          <cell r="B898">
            <v>1</v>
          </cell>
          <cell r="C898">
            <v>49015</v>
          </cell>
          <cell r="D898" t="str">
            <v>FA</v>
          </cell>
          <cell r="E898" t="str">
            <v>コラボ降臨11</v>
          </cell>
          <cell r="F898">
            <v>1</v>
          </cell>
          <cell r="G898" t="str">
            <v>ja</v>
          </cell>
          <cell r="H898" t="str">
            <v>【上級】FA</v>
          </cell>
          <cell r="I898" t="str">
            <v>地獄級</v>
          </cell>
          <cell r="J898">
            <v>1524</v>
          </cell>
          <cell r="K898">
            <v>20</v>
          </cell>
          <cell r="L898">
            <v>2000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none</v>
          </cell>
          <cell r="T898">
            <v>0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994</v>
          </cell>
          <cell r="AD898">
            <v>6</v>
          </cell>
          <cell r="AE898" t="str">
            <v>everyone</v>
          </cell>
        </row>
        <row r="899">
          <cell r="A899" t="str">
            <v>49015_2</v>
          </cell>
          <cell r="B899">
            <v>1</v>
          </cell>
          <cell r="C899">
            <v>49015</v>
          </cell>
          <cell r="D899" t="str">
            <v>FA</v>
          </cell>
          <cell r="E899" t="str">
            <v>コラボ降臨11</v>
          </cell>
          <cell r="F899">
            <v>2</v>
          </cell>
          <cell r="G899" t="str">
            <v>ja</v>
          </cell>
          <cell r="H899" t="str">
            <v>【超級】FA</v>
          </cell>
          <cell r="I899" t="str">
            <v>地獄級</v>
          </cell>
          <cell r="J899">
            <v>1524</v>
          </cell>
          <cell r="K899">
            <v>30</v>
          </cell>
          <cell r="L899">
            <v>3300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none</v>
          </cell>
          <cell r="T899">
            <v>0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994</v>
          </cell>
          <cell r="AD899">
            <v>6</v>
          </cell>
          <cell r="AE899" t="str">
            <v>everyone</v>
          </cell>
        </row>
        <row r="900">
          <cell r="A900" t="str">
            <v>49015_3</v>
          </cell>
          <cell r="B900">
            <v>1</v>
          </cell>
          <cell r="C900">
            <v>49015</v>
          </cell>
          <cell r="D900" t="str">
            <v>FA</v>
          </cell>
          <cell r="E900" t="str">
            <v>コラボ降臨11</v>
          </cell>
          <cell r="F900">
            <v>3</v>
          </cell>
          <cell r="G900" t="str">
            <v>ja</v>
          </cell>
          <cell r="H900" t="str">
            <v>【ウィザード級】FA</v>
          </cell>
          <cell r="I900" t="str">
            <v>地獄級</v>
          </cell>
          <cell r="J900">
            <v>1524</v>
          </cell>
          <cell r="K900">
            <v>40</v>
          </cell>
          <cell r="L900">
            <v>4500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polygon</v>
          </cell>
          <cell r="T900">
            <v>1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994</v>
          </cell>
          <cell r="AD900">
            <v>6</v>
          </cell>
          <cell r="AE900" t="str">
            <v>everyone</v>
          </cell>
        </row>
        <row r="901">
          <cell r="A901" t="str">
            <v>50001_1</v>
          </cell>
          <cell r="B901">
            <v>3</v>
          </cell>
          <cell r="C901">
            <v>50001</v>
          </cell>
          <cell r="D901" t="str">
            <v>麒麟襲来！</v>
          </cell>
          <cell r="E901" t="str">
            <v>超降臨1</v>
          </cell>
          <cell r="F901">
            <v>1</v>
          </cell>
          <cell r="G901" t="str">
            <v>ja</v>
          </cell>
          <cell r="H901" t="str">
            <v xml:space="preserve">【超ウィザード級】麒麟襲来 </v>
          </cell>
          <cell r="I901" t="str">
            <v>超地獄級</v>
          </cell>
          <cell r="J901">
            <v>329</v>
          </cell>
          <cell r="K901">
            <v>40</v>
          </cell>
          <cell r="L901">
            <v>5200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character</v>
          </cell>
          <cell r="T901">
            <v>432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905</v>
          </cell>
          <cell r="AD901">
            <v>6</v>
          </cell>
          <cell r="AE901" t="str">
            <v>everyone</v>
          </cell>
        </row>
        <row r="902">
          <cell r="A902" t="str">
            <v>50002_1</v>
          </cell>
          <cell r="B902">
            <v>3</v>
          </cell>
          <cell r="C902">
            <v>50002</v>
          </cell>
          <cell r="D902" t="str">
            <v>オーディン襲来！</v>
          </cell>
          <cell r="E902" t="str">
            <v>超降臨2</v>
          </cell>
          <cell r="F902">
            <v>1</v>
          </cell>
          <cell r="G902" t="str">
            <v>ja</v>
          </cell>
          <cell r="H902" t="str">
            <v xml:space="preserve">【超ウィザード級】オーディン襲来 </v>
          </cell>
          <cell r="I902" t="str">
            <v>超地獄級</v>
          </cell>
          <cell r="J902">
            <v>331</v>
          </cell>
          <cell r="K902">
            <v>40</v>
          </cell>
          <cell r="L902">
            <v>5200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character</v>
          </cell>
          <cell r="T902">
            <v>573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911</v>
          </cell>
          <cell r="AD902">
            <v>6</v>
          </cell>
          <cell r="AE902" t="str">
            <v>everyone</v>
          </cell>
        </row>
        <row r="903">
          <cell r="A903" t="str">
            <v>50003_1</v>
          </cell>
          <cell r="B903">
            <v>3</v>
          </cell>
          <cell r="C903">
            <v>50003</v>
          </cell>
          <cell r="D903" t="str">
            <v>織田信長襲来！</v>
          </cell>
          <cell r="E903" t="str">
            <v>超降臨3</v>
          </cell>
          <cell r="F903">
            <v>1</v>
          </cell>
          <cell r="G903" t="str">
            <v>ja</v>
          </cell>
          <cell r="H903" t="str">
            <v xml:space="preserve">【超ウィザード級】織田信長襲来 </v>
          </cell>
          <cell r="I903" t="str">
            <v>超地獄級</v>
          </cell>
          <cell r="J903">
            <v>0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726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920</v>
          </cell>
          <cell r="AD903">
            <v>6</v>
          </cell>
          <cell r="AE903" t="str">
            <v>everyone</v>
          </cell>
        </row>
        <row r="904">
          <cell r="A904" t="str">
            <v>50004_1</v>
          </cell>
          <cell r="B904">
            <v>3</v>
          </cell>
          <cell r="C904">
            <v>50004</v>
          </cell>
          <cell r="D904" t="str">
            <v>ルシファー襲来！</v>
          </cell>
          <cell r="E904" t="str">
            <v>超降臨4</v>
          </cell>
          <cell r="F904">
            <v>1</v>
          </cell>
          <cell r="G904" t="str">
            <v>ja</v>
          </cell>
          <cell r="H904" t="str">
            <v xml:space="preserve">【超ウィザード級】ルシファー襲来 </v>
          </cell>
          <cell r="I904" t="str">
            <v>超地獄級</v>
          </cell>
          <cell r="J904">
            <v>0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846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928</v>
          </cell>
          <cell r="AD904">
            <v>6</v>
          </cell>
          <cell r="AE904" t="str">
            <v>everyone</v>
          </cell>
        </row>
        <row r="905">
          <cell r="A905" t="str">
            <v>50005_1</v>
          </cell>
          <cell r="B905">
            <v>3</v>
          </cell>
          <cell r="C905">
            <v>50005</v>
          </cell>
          <cell r="D905" t="str">
            <v>ゼウス襲来！</v>
          </cell>
          <cell r="E905" t="str">
            <v>超降臨5</v>
          </cell>
          <cell r="F905">
            <v>1</v>
          </cell>
          <cell r="G905" t="str">
            <v>ja</v>
          </cell>
          <cell r="H905" t="str">
            <v>【超ウィザード級】ゼウス襲来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929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935</v>
          </cell>
          <cell r="AD905">
            <v>6</v>
          </cell>
          <cell r="AE905" t="str">
            <v>everyone</v>
          </cell>
        </row>
        <row r="906">
          <cell r="A906" t="str">
            <v>50006_1</v>
          </cell>
          <cell r="B906">
            <v>3</v>
          </cell>
          <cell r="C906">
            <v>50006</v>
          </cell>
          <cell r="D906" t="str">
            <v>セト襲来！</v>
          </cell>
          <cell r="E906" t="str">
            <v>超降臨6</v>
          </cell>
          <cell r="F906">
            <v>1</v>
          </cell>
          <cell r="G906" t="str">
            <v>ja</v>
          </cell>
          <cell r="H906" t="str">
            <v>【超ウィザード級】セト襲来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1010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939</v>
          </cell>
          <cell r="AD906">
            <v>6</v>
          </cell>
          <cell r="AE906" t="str">
            <v>everyone</v>
          </cell>
        </row>
        <row r="907">
          <cell r="A907" t="str">
            <v>50007_1</v>
          </cell>
          <cell r="B907">
            <v>3</v>
          </cell>
          <cell r="C907">
            <v>50007</v>
          </cell>
          <cell r="D907" t="str">
            <v>ギルガメッシュ襲来！</v>
          </cell>
          <cell r="E907" t="str">
            <v>超降臨7</v>
          </cell>
          <cell r="F907">
            <v>1</v>
          </cell>
          <cell r="G907" t="str">
            <v>ja</v>
          </cell>
          <cell r="H907" t="str">
            <v>【超ウィザ】ギルガメッシュ襲来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1065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945</v>
          </cell>
          <cell r="AD907">
            <v>6</v>
          </cell>
          <cell r="AE907" t="str">
            <v>everyone</v>
          </cell>
        </row>
        <row r="908">
          <cell r="A908" t="str">
            <v>50008_1</v>
          </cell>
          <cell r="B908">
            <v>3</v>
          </cell>
          <cell r="C908">
            <v>50008</v>
          </cell>
          <cell r="D908" t="str">
            <v>呂布襲来！</v>
          </cell>
          <cell r="E908" t="str">
            <v>超降臨8</v>
          </cell>
          <cell r="F908">
            <v>1</v>
          </cell>
          <cell r="G908" t="str">
            <v>ja</v>
          </cell>
          <cell r="H908" t="str">
            <v>【超ウィザード級】呂布襲来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1135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950</v>
          </cell>
          <cell r="AD908">
            <v>6</v>
          </cell>
          <cell r="AE908" t="str">
            <v>everyone</v>
          </cell>
        </row>
        <row r="909">
          <cell r="A909" t="str">
            <v>50009_1</v>
          </cell>
          <cell r="B909">
            <v>1</v>
          </cell>
          <cell r="C909">
            <v>50009</v>
          </cell>
          <cell r="D909" t="str">
            <v>ヘラ襲来！</v>
          </cell>
          <cell r="E909" t="str">
            <v>超降臨9</v>
          </cell>
          <cell r="F909">
            <v>1</v>
          </cell>
          <cell r="G909" t="str">
            <v>ja</v>
          </cell>
          <cell r="H909" t="str">
            <v>【超ウィザード級】ヘラ襲来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1206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955</v>
          </cell>
          <cell r="AD909">
            <v>6</v>
          </cell>
          <cell r="AE909" t="str">
            <v>everyone</v>
          </cell>
        </row>
        <row r="910">
          <cell r="A910" t="str">
            <v>50010_1</v>
          </cell>
          <cell r="B910">
            <v>3</v>
          </cell>
          <cell r="C910">
            <v>50010</v>
          </cell>
          <cell r="D910" t="str">
            <v>カフカ襲来！</v>
          </cell>
          <cell r="E910" t="str">
            <v>超降臨10</v>
          </cell>
          <cell r="F910">
            <v>1</v>
          </cell>
          <cell r="G910" t="str">
            <v>ja</v>
          </cell>
          <cell r="H910" t="str">
            <v>【超ウィザード級】カフカ襲来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1222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957</v>
          </cell>
          <cell r="AD910">
            <v>6</v>
          </cell>
          <cell r="AE910" t="str">
            <v>everyone</v>
          </cell>
        </row>
        <row r="911">
          <cell r="A911" t="str">
            <v>50011_1</v>
          </cell>
          <cell r="B911">
            <v>3</v>
          </cell>
          <cell r="C911">
            <v>50011</v>
          </cell>
          <cell r="D911" t="str">
            <v>ヘラ襲来！</v>
          </cell>
          <cell r="E911" t="str">
            <v>超降臨9</v>
          </cell>
          <cell r="F911">
            <v>1</v>
          </cell>
          <cell r="G911" t="str">
            <v>ja</v>
          </cell>
          <cell r="H911" t="str">
            <v>【超ウィザード級】ヘラ襲来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1206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955</v>
          </cell>
          <cell r="AD911">
            <v>6</v>
          </cell>
          <cell r="AE911" t="str">
            <v>everyone</v>
          </cell>
        </row>
        <row r="912">
          <cell r="A912" t="str">
            <v>50012_1</v>
          </cell>
          <cell r="B912">
            <v>3</v>
          </cell>
          <cell r="C912">
            <v>50012</v>
          </cell>
          <cell r="D912" t="str">
            <v>豊臣秀吉襲来！</v>
          </cell>
          <cell r="E912" t="str">
            <v>超降臨11</v>
          </cell>
          <cell r="F912">
            <v>1</v>
          </cell>
          <cell r="G912" t="str">
            <v>ja</v>
          </cell>
          <cell r="H912" t="str">
            <v>【超ウィザード級】豊臣秀吉襲来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1242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959</v>
          </cell>
          <cell r="AD912">
            <v>6</v>
          </cell>
          <cell r="AE912" t="str">
            <v>everyone</v>
          </cell>
        </row>
        <row r="913">
          <cell r="A913" t="str">
            <v>50013_1</v>
          </cell>
          <cell r="B913">
            <v>3</v>
          </cell>
          <cell r="C913">
            <v>50013</v>
          </cell>
          <cell r="D913" t="str">
            <v>ロキ襲来！</v>
          </cell>
          <cell r="E913" t="str">
            <v>超降臨12</v>
          </cell>
          <cell r="F913">
            <v>1</v>
          </cell>
          <cell r="G913" t="str">
            <v>ja</v>
          </cell>
          <cell r="H913" t="str">
            <v>【超ウィザード級】ロキ襲来</v>
          </cell>
          <cell r="I913" t="str">
            <v>超地獄級</v>
          </cell>
          <cell r="J913">
            <v>0</v>
          </cell>
          <cell r="K913">
            <v>40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1258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961</v>
          </cell>
          <cell r="AD913">
            <v>6</v>
          </cell>
          <cell r="AE913" t="str">
            <v>everyone</v>
          </cell>
        </row>
        <row r="914">
          <cell r="A914" t="str">
            <v>50014_1</v>
          </cell>
          <cell r="B914">
            <v>3</v>
          </cell>
          <cell r="C914">
            <v>50014</v>
          </cell>
          <cell r="D914" t="str">
            <v>スサノオ襲来！</v>
          </cell>
          <cell r="E914" t="str">
            <v>超降臨13</v>
          </cell>
          <cell r="F914">
            <v>1</v>
          </cell>
          <cell r="G914" t="str">
            <v>ja</v>
          </cell>
          <cell r="H914" t="str">
            <v>【超ウィザード級】スサノオ襲来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1330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967</v>
          </cell>
          <cell r="AD914">
            <v>6</v>
          </cell>
          <cell r="AE914" t="str">
            <v>everyone</v>
          </cell>
        </row>
        <row r="915">
          <cell r="A915" t="str">
            <v>51001_1</v>
          </cell>
          <cell r="B915">
            <v>3</v>
          </cell>
          <cell r="C915">
            <v>51001</v>
          </cell>
          <cell r="D915" t="str">
            <v>麒麟襲来！</v>
          </cell>
          <cell r="E915" t="str">
            <v>超降臨1</v>
          </cell>
          <cell r="F915">
            <v>1</v>
          </cell>
          <cell r="G915" t="str">
            <v>ja</v>
          </cell>
          <cell r="H915" t="str">
            <v xml:space="preserve">【超ウィザード級】麒麟襲来 </v>
          </cell>
          <cell r="I915" t="str">
            <v>超地獄級</v>
          </cell>
          <cell r="J915">
            <v>0</v>
          </cell>
          <cell r="K915">
            <v>40</v>
          </cell>
          <cell r="L915">
            <v>5200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character</v>
          </cell>
          <cell r="T915">
            <v>432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905</v>
          </cell>
          <cell r="AD915">
            <v>6</v>
          </cell>
          <cell r="AE915" t="str">
            <v>everyone</v>
          </cell>
        </row>
        <row r="916">
          <cell r="A916" t="str">
            <v>51002_1</v>
          </cell>
          <cell r="B916">
            <v>3</v>
          </cell>
          <cell r="C916">
            <v>51002</v>
          </cell>
          <cell r="D916" t="str">
            <v>オーディン襲来！</v>
          </cell>
          <cell r="E916" t="str">
            <v>超降臨2</v>
          </cell>
          <cell r="F916">
            <v>1</v>
          </cell>
          <cell r="G916" t="str">
            <v>ja</v>
          </cell>
          <cell r="H916" t="str">
            <v>【超ウィザード級】オーディン襲来</v>
          </cell>
          <cell r="I916" t="str">
            <v>超地獄級</v>
          </cell>
          <cell r="J916">
            <v>0</v>
          </cell>
          <cell r="K916">
            <v>40</v>
          </cell>
          <cell r="L916">
            <v>5200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character</v>
          </cell>
          <cell r="T916">
            <v>573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911</v>
          </cell>
          <cell r="AD916">
            <v>6</v>
          </cell>
          <cell r="AE916" t="str">
            <v>everyone</v>
          </cell>
        </row>
        <row r="917">
          <cell r="A917" t="str">
            <v>58001_1</v>
          </cell>
          <cell r="B917">
            <v>1</v>
          </cell>
          <cell r="C917">
            <v>58001</v>
          </cell>
          <cell r="D917" t="str">
            <v>曹操襲来！</v>
          </cell>
          <cell r="E917" t="str">
            <v>繁体字版超降臨1</v>
          </cell>
          <cell r="F917">
            <v>1</v>
          </cell>
          <cell r="G917" t="str">
            <v>ja</v>
          </cell>
          <cell r="H917" t="str">
            <v>【超ウィザード級】曹操襲来</v>
          </cell>
          <cell r="I917" t="str">
            <v>超地獄級</v>
          </cell>
          <cell r="J917">
            <v>0</v>
          </cell>
          <cell r="K917">
            <v>40</v>
          </cell>
          <cell r="L917">
            <v>5200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character</v>
          </cell>
          <cell r="T917">
            <v>8083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964</v>
          </cell>
          <cell r="AD917">
            <v>6</v>
          </cell>
          <cell r="AE917" t="str">
            <v>everyone</v>
          </cell>
        </row>
        <row r="918">
          <cell r="A918" t="str">
            <v>59001_1</v>
          </cell>
          <cell r="B918">
            <v>3</v>
          </cell>
          <cell r="C918">
            <v>59001</v>
          </cell>
          <cell r="D918" t="str">
            <v>電子歌姫の堕天使</v>
          </cell>
          <cell r="E918" t="str">
            <v>コラボ超降臨1</v>
          </cell>
          <cell r="F918">
            <v>1</v>
          </cell>
          <cell r="G918" t="str">
            <v>ja</v>
          </cell>
          <cell r="H918" t="str">
            <v>【超ウィザード級】電子歌姫の堕天使</v>
          </cell>
          <cell r="I918" t="str">
            <v>超地獄級</v>
          </cell>
          <cell r="J918">
            <v>0</v>
          </cell>
          <cell r="K918">
            <v>30</v>
          </cell>
          <cell r="L918">
            <v>5200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character</v>
          </cell>
          <cell r="T918">
            <v>1306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968</v>
          </cell>
          <cell r="AD918">
            <v>6</v>
          </cell>
          <cell r="AE918" t="str">
            <v>everyone</v>
          </cell>
        </row>
        <row r="919">
          <cell r="A919" t="str">
            <v>59002_1</v>
          </cell>
          <cell r="B919">
            <v>1</v>
          </cell>
          <cell r="C919">
            <v>59002</v>
          </cell>
          <cell r="D919" t="str">
            <v>C超魔</v>
          </cell>
          <cell r="E919" t="str">
            <v>コラボ超降臨2</v>
          </cell>
          <cell r="F919">
            <v>1</v>
          </cell>
          <cell r="G919" t="str">
            <v>ja</v>
          </cell>
          <cell r="H919" t="str">
            <v>【超ウィザード級】C超魔</v>
          </cell>
          <cell r="I919" t="str">
            <v>超地獄級</v>
          </cell>
          <cell r="J919">
            <v>0</v>
          </cell>
          <cell r="K919">
            <v>40</v>
          </cell>
          <cell r="L919">
            <v>5200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character</v>
          </cell>
          <cell r="T919">
            <v>1525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967</v>
          </cell>
          <cell r="AD919">
            <v>6</v>
          </cell>
          <cell r="AE919" t="str">
            <v>everyone</v>
          </cell>
        </row>
        <row r="920">
          <cell r="A920" t="str">
            <v>60001_1</v>
          </cell>
          <cell r="B920">
            <v>1</v>
          </cell>
          <cell r="C920">
            <v>60001</v>
          </cell>
          <cell r="D920" t="str">
            <v>ヘンペルチャレンジ</v>
          </cell>
          <cell r="E920" t="str">
            <v>ランキング1</v>
          </cell>
          <cell r="F920">
            <v>1</v>
          </cell>
          <cell r="G920" t="str">
            <v>ja</v>
          </cell>
          <cell r="H920" t="str">
            <v>[ウィザード] 第一回</v>
          </cell>
          <cell r="I920" t="str">
            <v>ランキング</v>
          </cell>
          <cell r="J920">
            <v>488</v>
          </cell>
          <cell r="K920">
            <v>5</v>
          </cell>
          <cell r="L920">
            <v>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911</v>
          </cell>
          <cell r="AD920">
            <v>6</v>
          </cell>
          <cell r="AE920" t="str">
            <v>singleonly</v>
          </cell>
        </row>
        <row r="921">
          <cell r="A921" t="str">
            <v>60002_1</v>
          </cell>
          <cell r="B921">
            <v>1</v>
          </cell>
          <cell r="C921">
            <v>60002</v>
          </cell>
          <cell r="D921" t="str">
            <v>ヘンペルチャレンジ</v>
          </cell>
          <cell r="E921" t="str">
            <v>ランキング1</v>
          </cell>
          <cell r="F921">
            <v>1</v>
          </cell>
          <cell r="G921" t="str">
            <v>ja</v>
          </cell>
          <cell r="H921" t="str">
            <v>[超級] 第2回　※Wizと難易度は同じ</v>
          </cell>
          <cell r="I921" t="str">
            <v>ランキング</v>
          </cell>
          <cell r="J921">
            <v>488</v>
          </cell>
          <cell r="K921">
            <v>5</v>
          </cell>
          <cell r="L921">
            <v>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911</v>
          </cell>
          <cell r="AD921">
            <v>6</v>
          </cell>
          <cell r="AE921" t="str">
            <v>singleonly</v>
          </cell>
        </row>
        <row r="922">
          <cell r="A922" t="str">
            <v>60002_2</v>
          </cell>
          <cell r="B922">
            <v>1</v>
          </cell>
          <cell r="C922">
            <v>60002</v>
          </cell>
          <cell r="D922" t="str">
            <v>ヘンペルチャレンジ</v>
          </cell>
          <cell r="E922" t="str">
            <v>ランキング1</v>
          </cell>
          <cell r="F922">
            <v>2</v>
          </cell>
          <cell r="G922" t="str">
            <v>ja</v>
          </cell>
          <cell r="H922" t="str">
            <v>[ウィザード] 第2回　※Wizと難易度は同じ</v>
          </cell>
          <cell r="I922" t="str">
            <v>ランキング</v>
          </cell>
          <cell r="J922">
            <v>488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911</v>
          </cell>
          <cell r="AD922">
            <v>6</v>
          </cell>
          <cell r="AE922" t="str">
            <v>singleonly</v>
          </cell>
        </row>
        <row r="923">
          <cell r="A923" t="str">
            <v>60003_1</v>
          </cell>
          <cell r="B923">
            <v>1</v>
          </cell>
          <cell r="C923">
            <v>60003</v>
          </cell>
          <cell r="D923" t="str">
            <v>ヘンペルチャレンジ</v>
          </cell>
          <cell r="E923" t="str">
            <v>ランキング1</v>
          </cell>
          <cell r="F923">
            <v>1</v>
          </cell>
          <cell r="G923" t="str">
            <v>ja</v>
          </cell>
          <cell r="H923" t="str">
            <v>[中級] 第3回　</v>
          </cell>
          <cell r="I923" t="str">
            <v>ランキング</v>
          </cell>
          <cell r="J923">
            <v>488</v>
          </cell>
          <cell r="K923">
            <v>5</v>
          </cell>
          <cell r="L923">
            <v>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911</v>
          </cell>
          <cell r="AD923">
            <v>6</v>
          </cell>
          <cell r="AE923" t="str">
            <v>singleonly</v>
          </cell>
        </row>
        <row r="924">
          <cell r="A924" t="str">
            <v>60003_2</v>
          </cell>
          <cell r="B924">
            <v>1</v>
          </cell>
          <cell r="C924">
            <v>60003</v>
          </cell>
          <cell r="D924" t="str">
            <v>ヘンペルチャレンジ</v>
          </cell>
          <cell r="E924" t="str">
            <v>ランキング1</v>
          </cell>
          <cell r="F924">
            <v>2</v>
          </cell>
          <cell r="G924" t="str">
            <v>ja</v>
          </cell>
          <cell r="H924" t="str">
            <v>[超級] 第3回　</v>
          </cell>
          <cell r="I924" t="str">
            <v>ランキング</v>
          </cell>
          <cell r="J924">
            <v>488</v>
          </cell>
          <cell r="K924">
            <v>5</v>
          </cell>
          <cell r="L924">
            <v>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>
            <v>60003</v>
          </cell>
          <cell r="V924">
            <v>1</v>
          </cell>
          <cell r="W924" t="str">
            <v>[中級] 第3回　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911</v>
          </cell>
          <cell r="AD924">
            <v>6</v>
          </cell>
          <cell r="AE924" t="str">
            <v>singleonly</v>
          </cell>
        </row>
        <row r="925">
          <cell r="A925" t="str">
            <v>60003_3</v>
          </cell>
          <cell r="B925">
            <v>1</v>
          </cell>
          <cell r="C925">
            <v>60003</v>
          </cell>
          <cell r="D925" t="str">
            <v>ヘンペルチャレンジ</v>
          </cell>
          <cell r="E925" t="str">
            <v>ランキング1</v>
          </cell>
          <cell r="F925">
            <v>3</v>
          </cell>
          <cell r="G925" t="str">
            <v>ja</v>
          </cell>
          <cell r="H925" t="str">
            <v>[ウィザード] 第3回　</v>
          </cell>
          <cell r="I925" t="str">
            <v>ランキング</v>
          </cell>
          <cell r="J925">
            <v>488</v>
          </cell>
          <cell r="K925">
            <v>5</v>
          </cell>
          <cell r="L925">
            <v>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>
            <v>60003</v>
          </cell>
          <cell r="V925">
            <v>2</v>
          </cell>
          <cell r="W925" t="str">
            <v>[超級] 第3回　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911</v>
          </cell>
          <cell r="AD925">
            <v>6</v>
          </cell>
          <cell r="AE925" t="str">
            <v>singleonly</v>
          </cell>
        </row>
        <row r="926">
          <cell r="A926" t="str">
            <v>60004_1</v>
          </cell>
          <cell r="B926">
            <v>1</v>
          </cell>
          <cell r="C926">
            <v>60004</v>
          </cell>
          <cell r="D926" t="str">
            <v>ヘンペルチャレンジ</v>
          </cell>
          <cell r="E926" t="str">
            <v>ランキング1</v>
          </cell>
          <cell r="F926">
            <v>1</v>
          </cell>
          <cell r="G926" t="str">
            <v>ja</v>
          </cell>
          <cell r="H926" t="str">
            <v>[ウィザード] 第4回　</v>
          </cell>
          <cell r="I926" t="str">
            <v>ランキング</v>
          </cell>
          <cell r="J926">
            <v>488</v>
          </cell>
          <cell r="K926">
            <v>5</v>
          </cell>
          <cell r="L926">
            <v>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911</v>
          </cell>
          <cell r="AD926">
            <v>6</v>
          </cell>
          <cell r="AE926" t="str">
            <v>singleonly</v>
          </cell>
        </row>
        <row r="927">
          <cell r="A927" t="str">
            <v>60005_1</v>
          </cell>
          <cell r="B927">
            <v>1</v>
          </cell>
          <cell r="C927">
            <v>60005</v>
          </cell>
          <cell r="D927" t="str">
            <v>オイラーチャレンジ</v>
          </cell>
          <cell r="E927" t="str">
            <v>ランキング1</v>
          </cell>
          <cell r="F927">
            <v>1</v>
          </cell>
          <cell r="G927" t="str">
            <v>ja</v>
          </cell>
          <cell r="H927" t="str">
            <v>[ウィザード] 第5回　</v>
          </cell>
          <cell r="I927" t="str">
            <v>ランキング</v>
          </cell>
          <cell r="J927">
            <v>379</v>
          </cell>
          <cell r="K927">
            <v>5</v>
          </cell>
          <cell r="L927">
            <v>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923</v>
          </cell>
          <cell r="AD927">
            <v>6</v>
          </cell>
          <cell r="AE927" t="str">
            <v>singleonly</v>
          </cell>
        </row>
        <row r="928">
          <cell r="A928" t="str">
            <v>60006_1</v>
          </cell>
          <cell r="B928">
            <v>0</v>
          </cell>
          <cell r="C928">
            <v>60006</v>
          </cell>
          <cell r="D928" t="str">
            <v>オイラーチャレンジ</v>
          </cell>
          <cell r="E928" t="str">
            <v>ランキング1（本番実装用）</v>
          </cell>
          <cell r="F928">
            <v>1</v>
          </cell>
          <cell r="G928" t="str">
            <v>ja</v>
          </cell>
          <cell r="H928" t="str">
            <v>【中級】オイラーチャレンジ</v>
          </cell>
          <cell r="I928" t="str">
            <v>中級</v>
          </cell>
          <cell r="J928">
            <v>378</v>
          </cell>
          <cell r="K928">
            <v>15</v>
          </cell>
          <cell r="L928">
            <v>1200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>
            <v>60006</v>
          </cell>
          <cell r="V928">
            <v>1</v>
          </cell>
          <cell r="W928" t="str">
            <v>【中級】オイラーチャレンジ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923</v>
          </cell>
          <cell r="AD928">
            <v>6</v>
          </cell>
          <cell r="AE928" t="str">
            <v>singleonly</v>
          </cell>
        </row>
        <row r="929">
          <cell r="A929" t="str">
            <v>60006_2</v>
          </cell>
          <cell r="B929">
            <v>0</v>
          </cell>
          <cell r="C929">
            <v>60006</v>
          </cell>
          <cell r="D929" t="str">
            <v>オイラーチャレンジ</v>
          </cell>
          <cell r="E929" t="str">
            <v>ランキング1（本番実装用）</v>
          </cell>
          <cell r="F929">
            <v>2</v>
          </cell>
          <cell r="G929" t="str">
            <v>ja</v>
          </cell>
          <cell r="H929" t="str">
            <v>【超級】オイラーチャレンジ</v>
          </cell>
          <cell r="I929" t="str">
            <v>超級</v>
          </cell>
          <cell r="J929">
            <v>378</v>
          </cell>
          <cell r="K929">
            <v>30</v>
          </cell>
          <cell r="L929">
            <v>3300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>
            <v>60006</v>
          </cell>
          <cell r="V929">
            <v>2</v>
          </cell>
          <cell r="W929" t="str">
            <v>【超級】オイラーチャレンジ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923</v>
          </cell>
          <cell r="AD929">
            <v>6</v>
          </cell>
          <cell r="AE929" t="str">
            <v>singleonly</v>
          </cell>
        </row>
        <row r="930">
          <cell r="A930" t="str">
            <v>60006_3</v>
          </cell>
          <cell r="B930">
            <v>3</v>
          </cell>
          <cell r="C930">
            <v>60006</v>
          </cell>
          <cell r="D930" t="str">
            <v>オイラーチャレンジ</v>
          </cell>
          <cell r="E930" t="str">
            <v>ランキング1（本番実装用）</v>
          </cell>
          <cell r="F930">
            <v>3</v>
          </cell>
          <cell r="G930" t="str">
            <v>ja</v>
          </cell>
          <cell r="H930" t="str">
            <v>【ウィザード級】オイラーチャレンジ</v>
          </cell>
          <cell r="I930" t="str">
            <v>ウィザード級</v>
          </cell>
          <cell r="J930">
            <v>379</v>
          </cell>
          <cell r="K930">
            <v>35</v>
          </cell>
          <cell r="L930">
            <v>4200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>
            <v>60006</v>
          </cell>
          <cell r="V930">
            <v>3</v>
          </cell>
          <cell r="W930" t="str">
            <v>【ウィザード級】オイラーチャレンジ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923</v>
          </cell>
          <cell r="AD930">
            <v>6</v>
          </cell>
          <cell r="AE930" t="str">
            <v>singleonly</v>
          </cell>
        </row>
        <row r="931">
          <cell r="A931" t="str">
            <v>60007_1</v>
          </cell>
          <cell r="B931">
            <v>0</v>
          </cell>
          <cell r="C931">
            <v>60007</v>
          </cell>
          <cell r="D931" t="str">
            <v>オイラーチャレンジ</v>
          </cell>
          <cell r="E931" t="str">
            <v>ランキング1（改修版）</v>
          </cell>
          <cell r="F931">
            <v>1</v>
          </cell>
          <cell r="G931" t="str">
            <v>ja</v>
          </cell>
          <cell r="H931" t="str">
            <v>【中級】オイラーチャレンジ</v>
          </cell>
          <cell r="I931" t="str">
            <v>中級</v>
          </cell>
          <cell r="J931">
            <v>378</v>
          </cell>
          <cell r="K931">
            <v>15</v>
          </cell>
          <cell r="L931">
            <v>1200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923</v>
          </cell>
          <cell r="AD931">
            <v>6</v>
          </cell>
          <cell r="AE931" t="str">
            <v>singleonly</v>
          </cell>
        </row>
        <row r="932">
          <cell r="A932" t="str">
            <v>60007_2</v>
          </cell>
          <cell r="B932">
            <v>0</v>
          </cell>
          <cell r="C932">
            <v>60007</v>
          </cell>
          <cell r="D932" t="str">
            <v>オイラーチャレンジ</v>
          </cell>
          <cell r="E932" t="str">
            <v>ランキング1（改修版）</v>
          </cell>
          <cell r="F932">
            <v>2</v>
          </cell>
          <cell r="G932" t="str">
            <v>ja</v>
          </cell>
          <cell r="H932" t="str">
            <v>【超級】オイラーチャレンジ</v>
          </cell>
          <cell r="I932" t="str">
            <v>超級</v>
          </cell>
          <cell r="J932">
            <v>378</v>
          </cell>
          <cell r="K932">
            <v>30</v>
          </cell>
          <cell r="L932">
            <v>3300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923</v>
          </cell>
          <cell r="AD932">
            <v>6</v>
          </cell>
          <cell r="AE932" t="str">
            <v>singleonly</v>
          </cell>
        </row>
        <row r="933">
          <cell r="A933" t="str">
            <v>60007_3</v>
          </cell>
          <cell r="B933">
            <v>3</v>
          </cell>
          <cell r="C933">
            <v>60007</v>
          </cell>
          <cell r="D933" t="str">
            <v>オイラーチャレンジ</v>
          </cell>
          <cell r="E933" t="str">
            <v>ランキング1（改修版）</v>
          </cell>
          <cell r="F933">
            <v>3</v>
          </cell>
          <cell r="G933" t="str">
            <v>ja</v>
          </cell>
          <cell r="H933" t="str">
            <v>【ウィザード級】オイラーチャレンジ</v>
          </cell>
          <cell r="I933" t="str">
            <v>ウィザード級</v>
          </cell>
          <cell r="J933">
            <v>379</v>
          </cell>
          <cell r="K933">
            <v>35</v>
          </cell>
          <cell r="L933">
            <v>4200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60010_1</v>
          </cell>
          <cell r="B934">
            <v>3</v>
          </cell>
          <cell r="C934">
            <v>60010</v>
          </cell>
          <cell r="D934" t="str">
            <v>ラグランジュチャレンジ</v>
          </cell>
          <cell r="E934" t="str">
            <v>ランキング2（ラグランジュ）</v>
          </cell>
          <cell r="F934">
            <v>1</v>
          </cell>
          <cell r="G934" t="str">
            <v>ja</v>
          </cell>
          <cell r="H934" t="str">
            <v>ラグランジュチャレンジ</v>
          </cell>
          <cell r="I934" t="str">
            <v>ウィザード級</v>
          </cell>
          <cell r="J934">
            <v>796</v>
          </cell>
          <cell r="K934">
            <v>35</v>
          </cell>
          <cell r="L934">
            <v>4200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922</v>
          </cell>
          <cell r="AD934">
            <v>6</v>
          </cell>
          <cell r="AE934" t="str">
            <v>singleonly</v>
          </cell>
        </row>
        <row r="935">
          <cell r="A935" t="str">
            <v>60011_1</v>
          </cell>
          <cell r="B935">
            <v>3</v>
          </cell>
          <cell r="C935">
            <v>60011</v>
          </cell>
          <cell r="D935" t="str">
            <v>ユークリッドチャレンジ</v>
          </cell>
          <cell r="E935" t="str">
            <v>ランキング3（ユークリッド）</v>
          </cell>
          <cell r="F935">
            <v>1</v>
          </cell>
          <cell r="G935" t="str">
            <v>ja</v>
          </cell>
          <cell r="H935" t="str">
            <v>ウィザード級</v>
          </cell>
          <cell r="I935" t="str">
            <v>ウィザード級</v>
          </cell>
          <cell r="J935">
            <v>690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924</v>
          </cell>
          <cell r="AD935">
            <v>6</v>
          </cell>
          <cell r="AE935" t="str">
            <v>singleonly</v>
          </cell>
        </row>
        <row r="936">
          <cell r="A936" t="str">
            <v>60011_2</v>
          </cell>
          <cell r="B936">
            <v>1</v>
          </cell>
          <cell r="C936">
            <v>60011</v>
          </cell>
          <cell r="D936" t="str">
            <v>ユークリッドチャレンジ</v>
          </cell>
          <cell r="E936" t="str">
            <v>ランキング3（ユークリッド）</v>
          </cell>
          <cell r="F936">
            <v>2</v>
          </cell>
          <cell r="G936" t="str">
            <v>ja</v>
          </cell>
          <cell r="H936" t="str">
            <v>超絶級</v>
          </cell>
          <cell r="I936" t="str">
            <v>ウィザード級</v>
          </cell>
          <cell r="J936">
            <v>690</v>
          </cell>
          <cell r="K936">
            <v>30</v>
          </cell>
          <cell r="L936">
            <v>3300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924</v>
          </cell>
          <cell r="AD936">
            <v>6</v>
          </cell>
          <cell r="AE936" t="str">
            <v>singleonly</v>
          </cell>
        </row>
        <row r="937">
          <cell r="A937" t="str">
            <v>60012_1</v>
          </cell>
          <cell r="B937">
            <v>3</v>
          </cell>
          <cell r="C937">
            <v>60012</v>
          </cell>
          <cell r="D937" t="str">
            <v>ユークリッドチャレンジ</v>
          </cell>
          <cell r="E937" t="str">
            <v>ランキング3（ユークリッド）</v>
          </cell>
          <cell r="F937">
            <v>1</v>
          </cell>
          <cell r="G937" t="str">
            <v>ja</v>
          </cell>
          <cell r="H937" t="str">
            <v>ユークリッドチャレンジ</v>
          </cell>
          <cell r="I937" t="str">
            <v>ウィザード級</v>
          </cell>
          <cell r="J937">
            <v>690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924</v>
          </cell>
          <cell r="AD937">
            <v>6</v>
          </cell>
          <cell r="AE937" t="str">
            <v>singleonly</v>
          </cell>
        </row>
        <row r="938">
          <cell r="A938" t="str">
            <v>60013_1</v>
          </cell>
          <cell r="B938">
            <v>0</v>
          </cell>
          <cell r="C938">
            <v>60013</v>
          </cell>
          <cell r="D938" t="str">
            <v>オイラーチャレンジ</v>
          </cell>
          <cell r="E938" t="str">
            <v>ランキング1（再開催版）</v>
          </cell>
          <cell r="F938">
            <v>1</v>
          </cell>
          <cell r="G938" t="str">
            <v>ja</v>
          </cell>
          <cell r="H938" t="str">
            <v>【中級】オイラーチャレンジ</v>
          </cell>
          <cell r="I938" t="str">
            <v>中級</v>
          </cell>
          <cell r="J938">
            <v>378</v>
          </cell>
          <cell r="K938">
            <v>15</v>
          </cell>
          <cell r="L938">
            <v>1200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923</v>
          </cell>
          <cell r="AD938">
            <v>6</v>
          </cell>
          <cell r="AE938" t="str">
            <v>singleonly</v>
          </cell>
        </row>
        <row r="939">
          <cell r="A939" t="str">
            <v>60013_2</v>
          </cell>
          <cell r="B939">
            <v>0</v>
          </cell>
          <cell r="C939">
            <v>60013</v>
          </cell>
          <cell r="D939" t="str">
            <v>オイラーチャレンジ</v>
          </cell>
          <cell r="E939" t="str">
            <v>ランキング1（再開催版）</v>
          </cell>
          <cell r="F939">
            <v>2</v>
          </cell>
          <cell r="G939" t="str">
            <v>ja</v>
          </cell>
          <cell r="H939" t="str">
            <v>【超級】オイラーチャレンジ</v>
          </cell>
          <cell r="I939" t="str">
            <v>超級</v>
          </cell>
          <cell r="J939">
            <v>378</v>
          </cell>
          <cell r="K939">
            <v>30</v>
          </cell>
          <cell r="L939">
            <v>3300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923</v>
          </cell>
          <cell r="AD939">
            <v>6</v>
          </cell>
          <cell r="AE939" t="str">
            <v>singleonly</v>
          </cell>
        </row>
        <row r="940">
          <cell r="A940" t="str">
            <v>60013_3</v>
          </cell>
          <cell r="B940">
            <v>3</v>
          </cell>
          <cell r="C940">
            <v>60013</v>
          </cell>
          <cell r="D940" t="str">
            <v>オイラーチャレンジ</v>
          </cell>
          <cell r="E940" t="str">
            <v>ランキング1（再開催版）</v>
          </cell>
          <cell r="F940">
            <v>3</v>
          </cell>
          <cell r="G940" t="str">
            <v>ja</v>
          </cell>
          <cell r="H940" t="str">
            <v>【ウィザード級】オイラーチャレンジ</v>
          </cell>
          <cell r="I940" t="str">
            <v>ウィザード級</v>
          </cell>
          <cell r="J940">
            <v>379</v>
          </cell>
          <cell r="K940">
            <v>35</v>
          </cell>
          <cell r="L940">
            <v>4200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60014_1</v>
          </cell>
          <cell r="B941">
            <v>3</v>
          </cell>
          <cell r="C941">
            <v>60014</v>
          </cell>
          <cell r="D941" t="str">
            <v xml:space="preserve">クロネッカーチャレンジ </v>
          </cell>
          <cell r="E941" t="str">
            <v>ランキング4（クロネッカー）</v>
          </cell>
          <cell r="F941">
            <v>1</v>
          </cell>
          <cell r="G941" t="str">
            <v>ja</v>
          </cell>
          <cell r="H941" t="str">
            <v>クロネッカーチャレンジ</v>
          </cell>
          <cell r="I941" t="str">
            <v>ウィザード級</v>
          </cell>
          <cell r="J941">
            <v>761</v>
          </cell>
          <cell r="K941">
            <v>35</v>
          </cell>
          <cell r="L941">
            <v>4200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925</v>
          </cell>
          <cell r="AD941">
            <v>6</v>
          </cell>
          <cell r="AE941" t="str">
            <v>singleonly</v>
          </cell>
        </row>
        <row r="942">
          <cell r="A942" t="str">
            <v>60015_1</v>
          </cell>
          <cell r="B942">
            <v>3</v>
          </cell>
          <cell r="C942">
            <v>60015</v>
          </cell>
          <cell r="D942" t="str">
            <v>ラグランジュチャレンジ</v>
          </cell>
          <cell r="E942" t="str">
            <v>ランキング2（再開催）</v>
          </cell>
          <cell r="F942">
            <v>1</v>
          </cell>
          <cell r="G942" t="str">
            <v>ja</v>
          </cell>
          <cell r="H942" t="str">
            <v>ラグランジュチャレンジ</v>
          </cell>
          <cell r="I942" t="str">
            <v>ウィザード級</v>
          </cell>
          <cell r="J942">
            <v>796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922</v>
          </cell>
          <cell r="AD942">
            <v>6</v>
          </cell>
          <cell r="AE942" t="str">
            <v>singleonly</v>
          </cell>
        </row>
        <row r="943">
          <cell r="A943" t="str">
            <v>60016_1</v>
          </cell>
          <cell r="B943">
            <v>3</v>
          </cell>
          <cell r="C943">
            <v>60016</v>
          </cell>
          <cell r="D943" t="str">
            <v>シュレディンガーチャレンジ</v>
          </cell>
          <cell r="E943" t="str">
            <v>ランキング5（シュレディンガー）</v>
          </cell>
          <cell r="F943">
            <v>1</v>
          </cell>
          <cell r="G943" t="str">
            <v>ja</v>
          </cell>
          <cell r="H943" t="str">
            <v>シュレディンガーチャレンジ</v>
          </cell>
          <cell r="I943" t="str">
            <v>ウィザード級</v>
          </cell>
          <cell r="J943">
            <v>797</v>
          </cell>
          <cell r="K943">
            <v>35</v>
          </cell>
          <cell r="L943">
            <v>4200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922</v>
          </cell>
          <cell r="AD943">
            <v>6</v>
          </cell>
          <cell r="AE943" t="str">
            <v>singleonly</v>
          </cell>
        </row>
        <row r="944">
          <cell r="A944" t="str">
            <v>60017_1</v>
          </cell>
          <cell r="B944">
            <v>3</v>
          </cell>
          <cell r="C944">
            <v>60017</v>
          </cell>
          <cell r="D944" t="str">
            <v>ユークリッドチャレンジ</v>
          </cell>
          <cell r="E944" t="str">
            <v>ランキング3（再開催）</v>
          </cell>
          <cell r="F944">
            <v>1</v>
          </cell>
          <cell r="G944" t="str">
            <v>ja</v>
          </cell>
          <cell r="H944" t="str">
            <v>ユークリッドチャレンジ</v>
          </cell>
          <cell r="I944" t="str">
            <v>ウィザード級</v>
          </cell>
          <cell r="J944">
            <v>690</v>
          </cell>
          <cell r="K944">
            <v>35</v>
          </cell>
          <cell r="L944">
            <v>4200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924</v>
          </cell>
          <cell r="AD944">
            <v>6</v>
          </cell>
          <cell r="AE944" t="str">
            <v>singleonly</v>
          </cell>
        </row>
        <row r="945">
          <cell r="A945" t="str">
            <v>60018_1</v>
          </cell>
          <cell r="B945">
            <v>3</v>
          </cell>
          <cell r="C945">
            <v>60018</v>
          </cell>
          <cell r="D945" t="str">
            <v>チューリングチャレンジ</v>
          </cell>
          <cell r="E945" t="str">
            <v>ランキング6</v>
          </cell>
          <cell r="F945">
            <v>1</v>
          </cell>
          <cell r="G945" t="str">
            <v>ja</v>
          </cell>
          <cell r="H945" t="str">
            <v>チューリングチャレンジ</v>
          </cell>
          <cell r="I945" t="str">
            <v>ウィザード級</v>
          </cell>
          <cell r="J945">
            <v>799</v>
          </cell>
          <cell r="K945">
            <v>35</v>
          </cell>
          <cell r="L945">
            <v>4200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923</v>
          </cell>
          <cell r="AD945">
            <v>6</v>
          </cell>
          <cell r="AE945" t="str">
            <v>singleonly</v>
          </cell>
        </row>
        <row r="946">
          <cell r="A946" t="str">
            <v>60019_1</v>
          </cell>
          <cell r="B946">
            <v>3</v>
          </cell>
          <cell r="C946">
            <v>60019</v>
          </cell>
          <cell r="D946" t="str">
            <v>ヘンペルチャレンジ</v>
          </cell>
          <cell r="E946" t="str">
            <v>ランキング7</v>
          </cell>
          <cell r="F946">
            <v>1</v>
          </cell>
          <cell r="G946" t="str">
            <v>ja</v>
          </cell>
          <cell r="H946" t="str">
            <v>ヘンペルチャレンジ</v>
          </cell>
          <cell r="I946" t="str">
            <v>ウィザード級</v>
          </cell>
          <cell r="J946">
            <v>800</v>
          </cell>
          <cell r="K946">
            <v>35</v>
          </cell>
          <cell r="L946">
            <v>4200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924</v>
          </cell>
          <cell r="AD946">
            <v>6</v>
          </cell>
          <cell r="AE946" t="str">
            <v>singleonly</v>
          </cell>
        </row>
        <row r="947">
          <cell r="A947" t="str">
            <v>60020_1</v>
          </cell>
          <cell r="B947">
            <v>3</v>
          </cell>
          <cell r="C947">
            <v>60020</v>
          </cell>
          <cell r="D947" t="str">
            <v>シュレディンガーチャレンジ</v>
          </cell>
          <cell r="E947" t="str">
            <v>ランキング5（再開催）</v>
          </cell>
          <cell r="F947">
            <v>1</v>
          </cell>
          <cell r="G947" t="str">
            <v>ja</v>
          </cell>
          <cell r="H947" t="str">
            <v>シュレディンガーチャレンジ</v>
          </cell>
          <cell r="I947" t="str">
            <v>ウィザード級</v>
          </cell>
          <cell r="J947">
            <v>797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922</v>
          </cell>
          <cell r="AD947">
            <v>6</v>
          </cell>
          <cell r="AE947" t="str">
            <v>singleonly</v>
          </cell>
        </row>
        <row r="948">
          <cell r="A948" t="str">
            <v>60021_3</v>
          </cell>
          <cell r="B948">
            <v>1</v>
          </cell>
          <cell r="C948">
            <v>60021</v>
          </cell>
          <cell r="D948" t="str">
            <v>【月曜限定】 黄の素材verハンプ検証</v>
          </cell>
          <cell r="E948" t="str">
            <v>検証</v>
          </cell>
          <cell r="F948">
            <v>3</v>
          </cell>
          <cell r="G948" t="str">
            <v>ja</v>
          </cell>
          <cell r="H948" t="str">
            <v>【上級】ハンプティ検証</v>
          </cell>
          <cell r="I948" t="str">
            <v>上級</v>
          </cell>
          <cell r="J948">
            <v>84</v>
          </cell>
          <cell r="K948">
            <v>20</v>
          </cell>
          <cell r="L948">
            <v>860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101</v>
          </cell>
          <cell r="AD948">
            <v>6</v>
          </cell>
          <cell r="AE948" t="str">
            <v>everyone</v>
          </cell>
        </row>
        <row r="949">
          <cell r="A949" t="str">
            <v>60022_3</v>
          </cell>
          <cell r="B949">
            <v>1</v>
          </cell>
          <cell r="C949">
            <v>60022</v>
          </cell>
          <cell r="D949" t="str">
            <v>【火曜限定】 赤の素材verハンプ検証</v>
          </cell>
          <cell r="E949" t="str">
            <v>検証</v>
          </cell>
          <cell r="F949">
            <v>3</v>
          </cell>
          <cell r="G949" t="str">
            <v>ja</v>
          </cell>
          <cell r="H949" t="str">
            <v>【上級】ハンプティ検証</v>
          </cell>
          <cell r="I949" t="str">
            <v>上級</v>
          </cell>
          <cell r="J949">
            <v>84</v>
          </cell>
          <cell r="K949">
            <v>20</v>
          </cell>
          <cell r="L949">
            <v>860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101</v>
          </cell>
          <cell r="AD949">
            <v>6</v>
          </cell>
          <cell r="AE949" t="str">
            <v>everyone</v>
          </cell>
        </row>
        <row r="950">
          <cell r="A950" t="str">
            <v>60023_3</v>
          </cell>
          <cell r="B950">
            <v>1</v>
          </cell>
          <cell r="C950">
            <v>60023</v>
          </cell>
          <cell r="D950" t="str">
            <v>【水曜限定】 青の素材verハンプ検証</v>
          </cell>
          <cell r="E950" t="str">
            <v>検証</v>
          </cell>
          <cell r="F950">
            <v>3</v>
          </cell>
          <cell r="G950" t="str">
            <v>ja</v>
          </cell>
          <cell r="H950" t="str">
            <v>【上級】ハンプティ検証</v>
          </cell>
          <cell r="I950" t="str">
            <v>上級</v>
          </cell>
          <cell r="J950">
            <v>84</v>
          </cell>
          <cell r="K950">
            <v>20</v>
          </cell>
          <cell r="L950">
            <v>860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101</v>
          </cell>
          <cell r="AD950">
            <v>6</v>
          </cell>
          <cell r="AE950" t="str">
            <v>everyone</v>
          </cell>
        </row>
        <row r="951">
          <cell r="A951" t="str">
            <v>60024_3</v>
          </cell>
          <cell r="B951">
            <v>1</v>
          </cell>
          <cell r="C951">
            <v>60024</v>
          </cell>
          <cell r="D951" t="str">
            <v>【木曜限定】 緑の素材verハンプ検証</v>
          </cell>
          <cell r="E951" t="str">
            <v>検証</v>
          </cell>
          <cell r="F951">
            <v>3</v>
          </cell>
          <cell r="G951" t="str">
            <v>ja</v>
          </cell>
          <cell r="H951" t="str">
            <v>【上級】ハンプティ検証</v>
          </cell>
          <cell r="I951" t="str">
            <v>上級</v>
          </cell>
          <cell r="J951">
            <v>84</v>
          </cell>
          <cell r="K951">
            <v>20</v>
          </cell>
          <cell r="L951">
            <v>860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101</v>
          </cell>
          <cell r="AD951">
            <v>6</v>
          </cell>
          <cell r="AE951" t="str">
            <v>everyone</v>
          </cell>
        </row>
        <row r="952">
          <cell r="A952" t="str">
            <v>60025_1</v>
          </cell>
          <cell r="B952">
            <v>3</v>
          </cell>
          <cell r="C952">
            <v>60025</v>
          </cell>
          <cell r="D952" t="str">
            <v>マリアチャレンジ</v>
          </cell>
          <cell r="E952" t="str">
            <v>ランキング8</v>
          </cell>
          <cell r="F952">
            <v>1</v>
          </cell>
          <cell r="G952" t="str">
            <v>ja</v>
          </cell>
          <cell r="H952" t="str">
            <v>マリアチャレンジ</v>
          </cell>
          <cell r="I952" t="str">
            <v>ウィザード級</v>
          </cell>
          <cell r="J952">
            <v>1274</v>
          </cell>
          <cell r="K952">
            <v>35</v>
          </cell>
          <cell r="L952">
            <v>4200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none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9</v>
          </cell>
          <cell r="AD952">
            <v>6</v>
          </cell>
          <cell r="AE952" t="str">
            <v>singleonly</v>
          </cell>
        </row>
        <row r="953">
          <cell r="A953" t="str">
            <v>60026_1</v>
          </cell>
          <cell r="B953">
            <v>3</v>
          </cell>
          <cell r="C953">
            <v>60026</v>
          </cell>
          <cell r="D953" t="str">
            <v>ハップルチャレンジ</v>
          </cell>
          <cell r="E953" t="str">
            <v>ランキング9</v>
          </cell>
          <cell r="F953">
            <v>1</v>
          </cell>
          <cell r="G953" t="str">
            <v>ja</v>
          </cell>
          <cell r="H953" t="str">
            <v>ハップルチャレンジ</v>
          </cell>
          <cell r="I953" t="str">
            <v>ウィザード級</v>
          </cell>
          <cell r="J953">
            <v>803</v>
          </cell>
          <cell r="K953">
            <v>35</v>
          </cell>
          <cell r="L953">
            <v>4200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none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925</v>
          </cell>
          <cell r="AD953">
            <v>6</v>
          </cell>
          <cell r="AE953" t="str">
            <v>singleonly</v>
          </cell>
        </row>
        <row r="954">
          <cell r="A954" t="str">
            <v>61011_1</v>
          </cell>
          <cell r="B954">
            <v>1</v>
          </cell>
          <cell r="C954">
            <v>61011</v>
          </cell>
          <cell r="D954" t="str">
            <v>ユークリッドチャレンジコピー</v>
          </cell>
          <cell r="E954" t="str">
            <v>ランキング3（ユークリッド）</v>
          </cell>
          <cell r="F954">
            <v>1</v>
          </cell>
          <cell r="G954" t="str">
            <v>ja</v>
          </cell>
          <cell r="H954" t="str">
            <v>ウィザード級コピー</v>
          </cell>
          <cell r="I954" t="str">
            <v>ウィザード級</v>
          </cell>
          <cell r="J954">
            <v>690</v>
          </cell>
          <cell r="K954">
            <v>35</v>
          </cell>
          <cell r="L954">
            <v>4200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none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925</v>
          </cell>
          <cell r="AD954">
            <v>6</v>
          </cell>
          <cell r="AE954" t="str">
            <v>singleonly</v>
          </cell>
        </row>
        <row r="955">
          <cell r="A955" t="str">
            <v>60027_1</v>
          </cell>
          <cell r="B955">
            <v>3</v>
          </cell>
          <cell r="C955">
            <v>60027</v>
          </cell>
          <cell r="D955" t="str">
            <v>チューリングチャレンジ</v>
          </cell>
          <cell r="E955" t="str">
            <v>ランキング6（再開催）</v>
          </cell>
          <cell r="F955">
            <v>1</v>
          </cell>
          <cell r="G955" t="str">
            <v>ja</v>
          </cell>
          <cell r="H955" t="str">
            <v>チューリングチャレンジ</v>
          </cell>
          <cell r="I955" t="str">
            <v>ウィザード級</v>
          </cell>
          <cell r="J955">
            <v>799</v>
          </cell>
          <cell r="K955">
            <v>35</v>
          </cell>
          <cell r="L955">
            <v>4200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none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923</v>
          </cell>
          <cell r="AD955">
            <v>6</v>
          </cell>
          <cell r="AE955" t="str">
            <v>singleonly</v>
          </cell>
        </row>
        <row r="956">
          <cell r="A956" t="str">
            <v>60028_1</v>
          </cell>
          <cell r="B956">
            <v>3</v>
          </cell>
          <cell r="C956">
            <v>60028</v>
          </cell>
          <cell r="D956" t="str">
            <v xml:space="preserve">クロネッカーチャレンジ </v>
          </cell>
          <cell r="E956" t="str">
            <v>ランキング4（再開催）</v>
          </cell>
          <cell r="F956">
            <v>1</v>
          </cell>
          <cell r="G956" t="str">
            <v>ja</v>
          </cell>
          <cell r="H956" t="str">
            <v>クロネッカーチャレンジ</v>
          </cell>
          <cell r="I956" t="str">
            <v>ウィザード級</v>
          </cell>
          <cell r="J956">
            <v>761</v>
          </cell>
          <cell r="K956">
            <v>35</v>
          </cell>
          <cell r="L956">
            <v>4200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none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925</v>
          </cell>
          <cell r="AD956">
            <v>6</v>
          </cell>
          <cell r="AE956" t="str">
            <v>singleonly</v>
          </cell>
        </row>
        <row r="957">
          <cell r="A957" t="str">
            <v>65525_1</v>
          </cell>
          <cell r="B957">
            <v>1</v>
          </cell>
          <cell r="C957">
            <v>65525</v>
          </cell>
          <cell r="D957" t="str">
            <v>【LB田邉】検証クエスト</v>
          </cell>
          <cell r="E957" t="str">
            <v>検証</v>
          </cell>
          <cell r="F957">
            <v>1</v>
          </cell>
          <cell r="G957" t="str">
            <v>ja</v>
          </cell>
          <cell r="H957" t="str">
            <v>【LB田邉】アニメーション検証</v>
          </cell>
          <cell r="I957" t="str">
            <v>検証</v>
          </cell>
          <cell r="J957">
            <v>1</v>
          </cell>
          <cell r="K957">
            <v>1</v>
          </cell>
          <cell r="L957">
            <v>1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24</v>
          </cell>
          <cell r="AD957">
            <v>4</v>
          </cell>
          <cell r="AE957" t="str">
            <v>everyone</v>
          </cell>
        </row>
        <row r="958">
          <cell r="A958" t="str">
            <v>65526_1</v>
          </cell>
          <cell r="B958">
            <v>1</v>
          </cell>
          <cell r="C958">
            <v>65526</v>
          </cell>
          <cell r="D958" t="str">
            <v>【LB加藤】検証クエスト</v>
          </cell>
          <cell r="E958" t="str">
            <v>検証</v>
          </cell>
          <cell r="F958">
            <v>1</v>
          </cell>
          <cell r="G958" t="str">
            <v>ja</v>
          </cell>
          <cell r="H958" t="str">
            <v>【LB加藤】検証</v>
          </cell>
          <cell r="I958" t="str">
            <v>検証</v>
          </cell>
          <cell r="J958">
            <v>1</v>
          </cell>
          <cell r="K958">
            <v>1</v>
          </cell>
          <cell r="L958">
            <v>1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65526_2</v>
          </cell>
          <cell r="B959">
            <v>1</v>
          </cell>
          <cell r="C959">
            <v>65526</v>
          </cell>
          <cell r="D959" t="str">
            <v>【LB加藤】検証クエスト</v>
          </cell>
          <cell r="E959" t="str">
            <v>検証</v>
          </cell>
          <cell r="F959">
            <v>2</v>
          </cell>
          <cell r="G959" t="str">
            <v>ja</v>
          </cell>
          <cell r="H959" t="str">
            <v>【LB加藤】ハップル仮実装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1</v>
          </cell>
          <cell r="AD959">
            <v>6</v>
          </cell>
          <cell r="AE959" t="str">
            <v>everyone</v>
          </cell>
        </row>
        <row r="960">
          <cell r="A960" t="str">
            <v>65527_1</v>
          </cell>
          <cell r="B960">
            <v>1</v>
          </cell>
          <cell r="C960">
            <v>65527</v>
          </cell>
          <cell r="D960" t="str">
            <v>【LB小原】検証クエスト</v>
          </cell>
          <cell r="E960" t="str">
            <v>検証</v>
          </cell>
          <cell r="F960">
            <v>1</v>
          </cell>
          <cell r="G960" t="str">
            <v>ja</v>
          </cell>
          <cell r="H960" t="str">
            <v>【LB小原】検証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65528_1</v>
          </cell>
          <cell r="B961">
            <v>1</v>
          </cell>
          <cell r="C961">
            <v>65528</v>
          </cell>
          <cell r="D961" t="str">
            <v>【LB保堂】検証クエスト</v>
          </cell>
          <cell r="E961" t="str">
            <v>検証</v>
          </cell>
          <cell r="F961">
            <v>1</v>
          </cell>
          <cell r="G961" t="str">
            <v>ja</v>
          </cell>
          <cell r="H961" t="str">
            <v>【LB保堂】検証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65529_1</v>
          </cell>
          <cell r="B962">
            <v>1</v>
          </cell>
          <cell r="C962">
            <v>65529</v>
          </cell>
          <cell r="D962" t="str">
            <v>【LB植松】検証クエスト</v>
          </cell>
          <cell r="E962" t="str">
            <v>検証</v>
          </cell>
          <cell r="F962">
            <v>1</v>
          </cell>
          <cell r="G962" t="str">
            <v>ja</v>
          </cell>
          <cell r="H962" t="str">
            <v>【LB植松】検証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65530_1</v>
          </cell>
          <cell r="B963">
            <v>1</v>
          </cell>
          <cell r="C963">
            <v>65530</v>
          </cell>
          <cell r="D963" t="str">
            <v>【LB渡邉】検証クエスト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【LB渡邉】検証</v>
          </cell>
          <cell r="I963" t="str">
            <v>検証</v>
          </cell>
          <cell r="J963">
            <v>1</v>
          </cell>
          <cell r="K963">
            <v>1</v>
          </cell>
          <cell r="L963">
            <v>1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polygon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</v>
          </cell>
          <cell r="AD963">
            <v>6</v>
          </cell>
          <cell r="AE963" t="str">
            <v>everyone</v>
          </cell>
        </row>
        <row r="964">
          <cell r="A964" t="str">
            <v>65531_1</v>
          </cell>
          <cell r="B964">
            <v>1</v>
          </cell>
          <cell r="C964">
            <v>65531</v>
          </cell>
          <cell r="D964" t="str">
            <v>【LB塚本】検証クエスト</v>
          </cell>
          <cell r="E964" t="str">
            <v>検証</v>
          </cell>
          <cell r="F964">
            <v>1</v>
          </cell>
          <cell r="G964" t="str">
            <v>ja</v>
          </cell>
          <cell r="H964" t="str">
            <v>【LB塚本】検証</v>
          </cell>
          <cell r="I964" t="str">
            <v>検証</v>
          </cell>
          <cell r="J964">
            <v>1</v>
          </cell>
          <cell r="K964">
            <v>1</v>
          </cell>
          <cell r="L964">
            <v>1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0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</v>
          </cell>
          <cell r="AD964">
            <v>6</v>
          </cell>
          <cell r="AE964" t="str">
            <v>everyone</v>
          </cell>
        </row>
        <row r="965">
          <cell r="A965" t="str">
            <v>65531_2</v>
          </cell>
          <cell r="B965">
            <v>1</v>
          </cell>
          <cell r="C965">
            <v>65531</v>
          </cell>
          <cell r="D965" t="str">
            <v>【LB塚本】検証クエスト</v>
          </cell>
          <cell r="E965" t="str">
            <v>検証</v>
          </cell>
          <cell r="F965">
            <v>2</v>
          </cell>
          <cell r="G965" t="str">
            <v>ja</v>
          </cell>
          <cell r="H965" t="str">
            <v>【LB塚本】検証プレイ用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1</v>
          </cell>
          <cell r="AD965">
            <v>6</v>
          </cell>
          <cell r="AE965" t="str">
            <v>everyone</v>
          </cell>
        </row>
        <row r="966">
          <cell r="A966" t="str">
            <v>65532_1</v>
          </cell>
          <cell r="B966">
            <v>1</v>
          </cell>
          <cell r="C966">
            <v>65532</v>
          </cell>
          <cell r="D966" t="str">
            <v>【LB山川】検証クエスト</v>
          </cell>
          <cell r="E966" t="str">
            <v>検証</v>
          </cell>
          <cell r="F966">
            <v>1</v>
          </cell>
          <cell r="G966" t="str">
            <v>ja</v>
          </cell>
          <cell r="H966" t="str">
            <v>【LB山川】検証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1</v>
          </cell>
          <cell r="AD966">
            <v>6</v>
          </cell>
          <cell r="AE966" t="str">
            <v>everyone</v>
          </cell>
        </row>
        <row r="967">
          <cell r="A967" t="str">
            <v>65532_2</v>
          </cell>
          <cell r="B967">
            <v>1</v>
          </cell>
          <cell r="C967">
            <v>65532</v>
          </cell>
          <cell r="D967" t="str">
            <v>【LB山川】検証クエスト</v>
          </cell>
          <cell r="E967" t="str">
            <v>検証</v>
          </cell>
          <cell r="F967">
            <v>2</v>
          </cell>
          <cell r="G967" t="str">
            <v>ja</v>
          </cell>
          <cell r="H967" t="str">
            <v>【LB山川】検証プレイ用</v>
          </cell>
          <cell r="I967" t="str">
            <v>検証</v>
          </cell>
          <cell r="J967">
            <v>1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polygon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1</v>
          </cell>
          <cell r="AD967">
            <v>6</v>
          </cell>
          <cell r="AE967" t="str">
            <v>everyone</v>
          </cell>
        </row>
        <row r="968">
          <cell r="A968" t="str">
            <v>65533_1</v>
          </cell>
          <cell r="B968">
            <v>1</v>
          </cell>
          <cell r="C968">
            <v>65533</v>
          </cell>
          <cell r="D968" t="str">
            <v>【程塚】検証クエスト</v>
          </cell>
          <cell r="E968" t="str">
            <v>検証</v>
          </cell>
          <cell r="F968">
            <v>1</v>
          </cell>
          <cell r="G968" t="str">
            <v>ja</v>
          </cell>
          <cell r="H968" t="str">
            <v>【超級】若造よ、身の程を知れ</v>
          </cell>
          <cell r="I968" t="str">
            <v>超級</v>
          </cell>
          <cell r="J968">
            <v>458</v>
          </cell>
          <cell r="K968">
            <v>30</v>
          </cell>
          <cell r="L968">
            <v>3300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13</v>
          </cell>
          <cell r="AD968">
            <v>6</v>
          </cell>
          <cell r="AE968" t="str">
            <v>everyone</v>
          </cell>
        </row>
        <row r="969">
          <cell r="A969" t="str">
            <v>65533_2</v>
          </cell>
          <cell r="B969">
            <v>1</v>
          </cell>
          <cell r="C969">
            <v>65533</v>
          </cell>
          <cell r="D969" t="str">
            <v>【程塚】検証クエスト</v>
          </cell>
          <cell r="E969" t="str">
            <v>検証</v>
          </cell>
          <cell r="F969">
            <v>2</v>
          </cell>
          <cell r="G969" t="str">
            <v>ja</v>
          </cell>
          <cell r="H969" t="str">
            <v>【超絶級】若造よ、身の程を知れ</v>
          </cell>
          <cell r="I969" t="str">
            <v>超絶級</v>
          </cell>
          <cell r="J969">
            <v>459</v>
          </cell>
          <cell r="K969">
            <v>35</v>
          </cell>
          <cell r="L969">
            <v>4200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polygon</v>
          </cell>
          <cell r="T969">
            <v>1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13</v>
          </cell>
          <cell r="AD969">
            <v>6</v>
          </cell>
          <cell r="AE969" t="str">
            <v>everyone</v>
          </cell>
        </row>
        <row r="970">
          <cell r="A970" t="str">
            <v>65534_1</v>
          </cell>
          <cell r="B970">
            <v>1</v>
          </cell>
          <cell r="C970">
            <v>65534</v>
          </cell>
          <cell r="D970" t="str">
            <v>【LB久保】検証クエスト</v>
          </cell>
          <cell r="E970" t="str">
            <v>検証</v>
          </cell>
          <cell r="F970">
            <v>1</v>
          </cell>
          <cell r="G970" t="str">
            <v>ja</v>
          </cell>
          <cell r="H970" t="str">
            <v>【LB久保】タワー調整用</v>
          </cell>
          <cell r="I970" t="str">
            <v>検証</v>
          </cell>
          <cell r="J970">
            <v>1</v>
          </cell>
          <cell r="K970">
            <v>1</v>
          </cell>
          <cell r="L970">
            <v>1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polygon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24</v>
          </cell>
          <cell r="AD970">
            <v>4</v>
          </cell>
          <cell r="AE970" t="str">
            <v>everyone</v>
          </cell>
        </row>
        <row r="971">
          <cell r="A971" t="str">
            <v>65534_2</v>
          </cell>
          <cell r="B971">
            <v>1</v>
          </cell>
          <cell r="C971">
            <v>65534</v>
          </cell>
          <cell r="D971" t="str">
            <v>【LB久保】検証クエスト</v>
          </cell>
          <cell r="E971" t="str">
            <v>検証</v>
          </cell>
          <cell r="F971">
            <v>2</v>
          </cell>
          <cell r="G971" t="str">
            <v>ja</v>
          </cell>
          <cell r="H971" t="str">
            <v>【LB久保】タワー調整用2</v>
          </cell>
          <cell r="I971" t="str">
            <v>検証</v>
          </cell>
          <cell r="J971">
            <v>1</v>
          </cell>
          <cell r="K971">
            <v>1</v>
          </cell>
          <cell r="L971">
            <v>1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polygon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24</v>
          </cell>
          <cell r="AD971">
            <v>4</v>
          </cell>
          <cell r="AE971" t="str">
            <v>everyone</v>
          </cell>
        </row>
        <row r="972">
          <cell r="A972" t="str">
            <v>65535_1</v>
          </cell>
          <cell r="B972">
            <v>1</v>
          </cell>
          <cell r="C972">
            <v>65535</v>
          </cell>
          <cell r="D972" t="str">
            <v>１２３４５６７８９０１２３４５６７８９０１２３４５６７８９０</v>
          </cell>
          <cell r="E972" t="str">
            <v>検証</v>
          </cell>
          <cell r="F972">
            <v>1</v>
          </cell>
          <cell r="G972" t="str">
            <v>ja</v>
          </cell>
          <cell r="H972" t="str">
            <v>テンプレート</v>
          </cell>
          <cell r="I972" t="str">
            <v>検証</v>
          </cell>
          <cell r="J972" t="str">
            <v>NULL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903</v>
          </cell>
          <cell r="AD972">
            <v>6</v>
          </cell>
          <cell r="AE972" t="str">
            <v>everyone</v>
          </cell>
        </row>
        <row r="973">
          <cell r="A973" t="str">
            <v>65535_2</v>
          </cell>
          <cell r="B973">
            <v>1</v>
          </cell>
          <cell r="C973">
            <v>65535</v>
          </cell>
          <cell r="D973" t="str">
            <v>１２３４５６７８９０１２３４５６７８９０１２３４５６７８９０</v>
          </cell>
          <cell r="E973" t="str">
            <v>検証</v>
          </cell>
          <cell r="F973">
            <v>2</v>
          </cell>
          <cell r="G973" t="str">
            <v>ja</v>
          </cell>
          <cell r="H973" t="str">
            <v>ランクアップクエスト</v>
          </cell>
          <cell r="I973" t="str">
            <v>検証</v>
          </cell>
          <cell r="J973" t="str">
            <v>NULL</v>
          </cell>
          <cell r="K973">
            <v>1</v>
          </cell>
          <cell r="L973">
            <v>65535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903</v>
          </cell>
          <cell r="AD973">
            <v>6</v>
          </cell>
          <cell r="AE973" t="str">
            <v>everyone</v>
          </cell>
        </row>
        <row r="974">
          <cell r="A974" t="str">
            <v>65535_3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3</v>
          </cell>
          <cell r="G974" t="str">
            <v>ja</v>
          </cell>
          <cell r="H974" t="str">
            <v>サンドボックス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105</v>
          </cell>
          <cell r="AD974">
            <v>6</v>
          </cell>
          <cell r="AE974" t="str">
            <v>everyone</v>
          </cell>
        </row>
        <row r="975">
          <cell r="A975" t="str">
            <v>65535_4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4</v>
          </cell>
          <cell r="G975" t="str">
            <v>ja</v>
          </cell>
          <cell r="H975" t="str">
            <v>フリーズジャンヌ</v>
          </cell>
          <cell r="I975" t="str">
            <v>検証</v>
          </cell>
          <cell r="J975" t="str">
            <v>NULL</v>
          </cell>
          <cell r="K975">
            <v>1</v>
          </cell>
          <cell r="L975">
            <v>1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105</v>
          </cell>
          <cell r="AD975">
            <v>6</v>
          </cell>
          <cell r="AE975" t="str">
            <v>everyone</v>
          </cell>
        </row>
        <row r="976">
          <cell r="A976" t="str">
            <v>65535_5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5</v>
          </cell>
          <cell r="G976" t="str">
            <v>ja</v>
          </cell>
          <cell r="H976" t="str">
            <v>ウィルスジャンヌ</v>
          </cell>
          <cell r="I976" t="str">
            <v>検証</v>
          </cell>
          <cell r="J976" t="str">
            <v>NULL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  <row r="977">
          <cell r="A977" t="str">
            <v>65535_6</v>
          </cell>
          <cell r="B977">
            <v>1</v>
          </cell>
          <cell r="C977">
            <v>65535</v>
          </cell>
          <cell r="D977" t="str">
            <v>１２３４５６７８９０１２３４５６７８９０１２３４５６７８９０</v>
          </cell>
          <cell r="E977" t="str">
            <v>検証</v>
          </cell>
          <cell r="F977">
            <v>6</v>
          </cell>
          <cell r="G977" t="str">
            <v>ja</v>
          </cell>
          <cell r="H977" t="str">
            <v>お邪魔ジャンヌ</v>
          </cell>
          <cell r="I977" t="str">
            <v>検証</v>
          </cell>
          <cell r="J977" t="str">
            <v>NULL</v>
          </cell>
          <cell r="K977">
            <v>1</v>
          </cell>
          <cell r="L977">
            <v>1</v>
          </cell>
          <cell r="M977">
            <v>1</v>
          </cell>
          <cell r="N977">
            <v>1</v>
          </cell>
          <cell r="O977">
            <v>1</v>
          </cell>
          <cell r="P977">
            <v>1</v>
          </cell>
          <cell r="Q977">
            <v>1</v>
          </cell>
          <cell r="R977">
            <v>3</v>
          </cell>
          <cell r="S977" t="str">
            <v>none</v>
          </cell>
          <cell r="T977">
            <v>0</v>
          </cell>
          <cell r="U977" t="str">
            <v>NULL</v>
          </cell>
          <cell r="V977" t="str">
            <v>NULL</v>
          </cell>
          <cell r="W977" t="str">
            <v/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 t="str">
            <v>anytime</v>
          </cell>
          <cell r="AC977">
            <v>105</v>
          </cell>
          <cell r="AD977">
            <v>6</v>
          </cell>
          <cell r="AE977" t="str">
            <v>everyone</v>
          </cell>
        </row>
        <row r="978">
          <cell r="A978" t="str">
            <v>65535_7</v>
          </cell>
          <cell r="B978">
            <v>1</v>
          </cell>
          <cell r="C978">
            <v>65535</v>
          </cell>
          <cell r="D978" t="str">
            <v>１２３４５６７８９０１２３４５６７８９０１２３４５６７８９０</v>
          </cell>
          <cell r="E978" t="str">
            <v>検証</v>
          </cell>
          <cell r="F978">
            <v>7</v>
          </cell>
          <cell r="G978" t="str">
            <v>ja</v>
          </cell>
          <cell r="H978" t="str">
            <v>爆風ジャンヌ</v>
          </cell>
          <cell r="I978" t="str">
            <v>検証</v>
          </cell>
          <cell r="J978" t="str">
            <v>NULL</v>
          </cell>
          <cell r="K978">
            <v>1</v>
          </cell>
          <cell r="L978">
            <v>1</v>
          </cell>
          <cell r="M978">
            <v>1</v>
          </cell>
          <cell r="N978">
            <v>1</v>
          </cell>
          <cell r="O978">
            <v>1</v>
          </cell>
          <cell r="P978">
            <v>1</v>
          </cell>
          <cell r="Q978">
            <v>1</v>
          </cell>
          <cell r="R978">
            <v>3</v>
          </cell>
          <cell r="S978" t="str">
            <v>none</v>
          </cell>
          <cell r="T978">
            <v>0</v>
          </cell>
          <cell r="U978" t="str">
            <v>NULL</v>
          </cell>
          <cell r="V978" t="str">
            <v>NULL</v>
          </cell>
          <cell r="W978" t="str">
            <v/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 t="str">
            <v>anytime</v>
          </cell>
          <cell r="AC978">
            <v>105</v>
          </cell>
          <cell r="AD978">
            <v>6</v>
          </cell>
          <cell r="AE978" t="str">
            <v>everyone</v>
          </cell>
        </row>
        <row r="979">
          <cell r="A979" t="str">
            <v>65535_8</v>
          </cell>
          <cell r="B979">
            <v>1</v>
          </cell>
          <cell r="C979">
            <v>65535</v>
          </cell>
          <cell r="D979" t="str">
            <v>１２３４５６７８９０１２３４５６７８９０１２３４５６７８９０</v>
          </cell>
          <cell r="E979" t="str">
            <v>検証</v>
          </cell>
          <cell r="F979">
            <v>8</v>
          </cell>
          <cell r="G979" t="str">
            <v>ja</v>
          </cell>
          <cell r="H979" t="str">
            <v>テスト</v>
          </cell>
          <cell r="I979" t="str">
            <v>検証</v>
          </cell>
          <cell r="J979" t="str">
            <v>NULL</v>
          </cell>
          <cell r="K979">
            <v>1</v>
          </cell>
          <cell r="L979">
            <v>1</v>
          </cell>
          <cell r="M979">
            <v>1</v>
          </cell>
          <cell r="N979">
            <v>1</v>
          </cell>
          <cell r="O979">
            <v>1</v>
          </cell>
          <cell r="P979">
            <v>1</v>
          </cell>
          <cell r="Q979">
            <v>1</v>
          </cell>
          <cell r="R979">
            <v>3</v>
          </cell>
          <cell r="S979" t="str">
            <v>none</v>
          </cell>
          <cell r="T979">
            <v>0</v>
          </cell>
          <cell r="U979" t="str">
            <v>NULL</v>
          </cell>
          <cell r="V979" t="str">
            <v>NULL</v>
          </cell>
          <cell r="W979" t="str">
            <v/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 t="str">
            <v>anytime</v>
          </cell>
          <cell r="AC979">
            <v>105</v>
          </cell>
          <cell r="AD979">
            <v>6</v>
          </cell>
          <cell r="AE979" t="str">
            <v>everyone</v>
          </cell>
        </row>
        <row r="980">
          <cell r="A980" t="str">
            <v>65535_9</v>
          </cell>
          <cell r="B980">
            <v>1</v>
          </cell>
          <cell r="C980">
            <v>65535</v>
          </cell>
          <cell r="D980" t="str">
            <v>１２３４５６７８９０１２３４５６７８９０１２３４５６７８９０</v>
          </cell>
          <cell r="E980" t="str">
            <v>検証</v>
          </cell>
          <cell r="F980">
            <v>9</v>
          </cell>
          <cell r="G980" t="str">
            <v>ja</v>
          </cell>
          <cell r="H980" t="str">
            <v>本気プロテクトジャンヌ</v>
          </cell>
          <cell r="I980" t="str">
            <v>検証</v>
          </cell>
          <cell r="J980">
            <v>814</v>
          </cell>
          <cell r="K980">
            <v>1</v>
          </cell>
          <cell r="L980">
            <v>1</v>
          </cell>
          <cell r="M980">
            <v>1</v>
          </cell>
          <cell r="N980">
            <v>1</v>
          </cell>
          <cell r="O980">
            <v>1</v>
          </cell>
          <cell r="P980">
            <v>1</v>
          </cell>
          <cell r="Q980">
            <v>1</v>
          </cell>
          <cell r="R980">
            <v>3</v>
          </cell>
          <cell r="S980" t="str">
            <v>none</v>
          </cell>
          <cell r="T980">
            <v>0</v>
          </cell>
          <cell r="U980" t="str">
            <v>NULL</v>
          </cell>
          <cell r="V980" t="str">
            <v>NULL</v>
          </cell>
          <cell r="W980" t="str">
            <v/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 t="str">
            <v>anytime</v>
          </cell>
          <cell r="AC980">
            <v>105</v>
          </cell>
          <cell r="AD980">
            <v>6</v>
          </cell>
          <cell r="AE980" t="str">
            <v>everyone</v>
          </cell>
        </row>
        <row r="981">
          <cell r="A981" t="str">
            <v>65535_10</v>
          </cell>
          <cell r="B981">
            <v>1</v>
          </cell>
          <cell r="C981">
            <v>65535</v>
          </cell>
          <cell r="D981" t="str">
            <v>１２３４５６７８９０１２３４５６７８９０１２３４５６７８９０</v>
          </cell>
          <cell r="E981" t="str">
            <v>検証</v>
          </cell>
          <cell r="F981">
            <v>10</v>
          </cell>
          <cell r="G981" t="str">
            <v>ja</v>
          </cell>
          <cell r="H981" t="str">
            <v>本気ウィルスミケランジェロ</v>
          </cell>
          <cell r="I981" t="str">
            <v>検証</v>
          </cell>
          <cell r="J981">
            <v>1089</v>
          </cell>
          <cell r="K981">
            <v>1</v>
          </cell>
          <cell r="L981">
            <v>1</v>
          </cell>
          <cell r="M981">
            <v>1</v>
          </cell>
          <cell r="N981">
            <v>1</v>
          </cell>
          <cell r="O981">
            <v>1</v>
          </cell>
          <cell r="P981">
            <v>1</v>
          </cell>
          <cell r="Q981">
            <v>1</v>
          </cell>
          <cell r="R981">
            <v>3</v>
          </cell>
          <cell r="S981" t="str">
            <v>none</v>
          </cell>
          <cell r="T981">
            <v>0</v>
          </cell>
          <cell r="U981" t="str">
            <v>NULL</v>
          </cell>
          <cell r="V981" t="str">
            <v>NULL</v>
          </cell>
          <cell r="W981" t="str">
            <v/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 t="str">
            <v>anytime</v>
          </cell>
          <cell r="AC981">
            <v>105</v>
          </cell>
          <cell r="AD981">
            <v>6</v>
          </cell>
          <cell r="AE98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</row>
        <row r="2">
          <cell r="A2">
            <v>0</v>
          </cell>
          <cell r="C2">
            <v>3</v>
          </cell>
          <cell r="D2" t="str">
            <v>ja</v>
          </cell>
          <cell r="E2" t="str">
            <v>なし</v>
          </cell>
        </row>
        <row r="3">
          <cell r="A3">
            <v>100001</v>
          </cell>
          <cell r="B3" t="str">
            <v>[effect:nothing]</v>
          </cell>
          <cell r="C3">
            <v>3</v>
          </cell>
          <cell r="D3" t="str">
            <v>ja</v>
          </cell>
          <cell r="E3" t="str">
            <v>視線</v>
          </cell>
        </row>
        <row r="4">
          <cell r="A4">
            <v>100002</v>
          </cell>
          <cell r="B4" t="str">
            <v>[effect:nothing]</v>
          </cell>
          <cell r="C4">
            <v>3</v>
          </cell>
          <cell r="D4" t="str">
            <v>ja</v>
          </cell>
          <cell r="E4" t="str">
            <v>コンニチワ</v>
          </cell>
        </row>
        <row r="5">
          <cell r="A5">
            <v>100003</v>
          </cell>
          <cell r="B5" t="str">
            <v>[effect:nothing]</v>
          </cell>
          <cell r="C5">
            <v>3</v>
          </cell>
          <cell r="D5" t="str">
            <v>ja</v>
          </cell>
          <cell r="E5" t="str">
            <v>ご質問をどうぞ</v>
          </cell>
        </row>
        <row r="6">
          <cell r="A6">
            <v>100004</v>
          </cell>
          <cell r="B6" t="str">
            <v>[effect:nothing]</v>
          </cell>
          <cell r="C6">
            <v>3</v>
          </cell>
          <cell r="D6" t="str">
            <v>ja</v>
          </cell>
          <cell r="E6" t="str">
            <v>ハッピー！？</v>
          </cell>
        </row>
        <row r="7">
          <cell r="A7">
            <v>100005</v>
          </cell>
          <cell r="B7" t="str">
            <v>[effect:nothing]</v>
          </cell>
          <cell r="C7">
            <v>3</v>
          </cell>
          <cell r="D7" t="str">
            <v>ja</v>
          </cell>
          <cell r="E7" t="str">
            <v>楽しげなステップ</v>
          </cell>
        </row>
        <row r="8">
          <cell r="A8">
            <v>100006</v>
          </cell>
          <cell r="B8" t="str">
            <v>[effect:nothing]</v>
          </cell>
          <cell r="C8">
            <v>3</v>
          </cell>
          <cell r="D8" t="str">
            <v>ja</v>
          </cell>
          <cell r="E8" t="str">
            <v>見物</v>
          </cell>
        </row>
        <row r="9">
          <cell r="A9">
            <v>100007</v>
          </cell>
          <cell r="B9" t="str">
            <v>[effect:nothing]</v>
          </cell>
          <cell r="C9">
            <v>3</v>
          </cell>
          <cell r="D9" t="str">
            <v>ja</v>
          </cell>
          <cell r="E9" t="str">
            <v>見物</v>
          </cell>
        </row>
        <row r="10">
          <cell r="A10">
            <v>100008</v>
          </cell>
          <cell r="B10" t="str">
            <v>[effect:nothing]</v>
          </cell>
          <cell r="C10">
            <v>3</v>
          </cell>
          <cell r="D10" t="str">
            <v>ja</v>
          </cell>
          <cell r="E10" t="str">
            <v>リンゴ警報！</v>
          </cell>
        </row>
        <row r="11">
          <cell r="A11">
            <v>100009</v>
          </cell>
          <cell r="B11" t="str">
            <v>[effect:nothing]</v>
          </cell>
          <cell r="C11">
            <v>3</v>
          </cell>
          <cell r="D11" t="str">
            <v>ja</v>
          </cell>
          <cell r="E11" t="str">
            <v>うっとり妄想タイム</v>
          </cell>
        </row>
        <row r="12">
          <cell r="A12">
            <v>100010</v>
          </cell>
          <cell r="B12" t="str">
            <v>[effect:nothing]</v>
          </cell>
          <cell r="C12">
            <v>3</v>
          </cell>
          <cell r="D12" t="str">
            <v>ja</v>
          </cell>
          <cell r="E12" t="str">
            <v>まるで夢みたい！</v>
          </cell>
        </row>
        <row r="13">
          <cell r="A13">
            <v>100011</v>
          </cell>
          <cell r="B13" t="str">
            <v>[effect:nothing]</v>
          </cell>
          <cell r="C13">
            <v>3</v>
          </cell>
          <cell r="D13" t="str">
            <v>ja</v>
          </cell>
          <cell r="E13" t="str">
            <v>コ4ン8ニ・・チワ9</v>
          </cell>
        </row>
        <row r="14">
          <cell r="A14">
            <v>100012</v>
          </cell>
          <cell r="B14" t="str">
            <v>[effect:fix_speed,target:myself,turn:3]</v>
          </cell>
          <cell r="C14">
            <v>3</v>
          </cell>
          <cell r="D14" t="str">
            <v>ja</v>
          </cell>
          <cell r="E14" t="str">
            <v>りんご速報</v>
          </cell>
        </row>
        <row r="15">
          <cell r="A15">
            <v>100013</v>
          </cell>
          <cell r="B15" t="str">
            <v>[effect:nothing]</v>
          </cell>
          <cell r="C15">
            <v>3</v>
          </cell>
          <cell r="D15" t="str">
            <v>ja</v>
          </cell>
          <cell r="E15" t="str">
            <v>高みの見物</v>
          </cell>
        </row>
        <row r="16">
          <cell r="A16">
            <v>100014</v>
          </cell>
          <cell r="B16" t="str">
            <v>[effect:nothing]</v>
          </cell>
          <cell r="C16">
            <v>3</v>
          </cell>
          <cell r="D16" t="str">
            <v>ja</v>
          </cell>
          <cell r="E16" t="str">
            <v>困惑</v>
          </cell>
        </row>
        <row r="17">
          <cell r="A17">
            <v>100015</v>
          </cell>
          <cell r="B17" t="str">
            <v>[effect:fix_speed,target:myself,turn:3]</v>
          </cell>
          <cell r="C17">
            <v>3</v>
          </cell>
          <cell r="D17" t="str">
            <v>ja</v>
          </cell>
          <cell r="E17" t="str">
            <v>&lt;ロックオン&gt;</v>
          </cell>
        </row>
        <row r="18">
          <cell r="A18">
            <v>100016</v>
          </cell>
          <cell r="B18" t="str">
            <v>[effect:nothing]</v>
          </cell>
          <cell r="C18">
            <v>3</v>
          </cell>
          <cell r="D18" t="str">
            <v>ja</v>
          </cell>
          <cell r="E18" t="str">
            <v>&lt;装填中&gt;</v>
          </cell>
        </row>
        <row r="19">
          <cell r="A19">
            <v>100017</v>
          </cell>
          <cell r="B19" t="str">
            <v>[effect:nothing]</v>
          </cell>
          <cell r="C19">
            <v>3</v>
          </cell>
          <cell r="D19" t="str">
            <v>ja</v>
          </cell>
          <cell r="E19" t="str">
            <v>人間風情が…</v>
          </cell>
        </row>
        <row r="20">
          <cell r="A20">
            <v>100018</v>
          </cell>
          <cell r="B20" t="str">
            <v>[effect:nothing]</v>
          </cell>
          <cell r="C20">
            <v>1</v>
          </cell>
          <cell r="D20" t="str">
            <v>ja</v>
          </cell>
          <cell r="E20" t="str">
            <v>ずっと一緒に…</v>
          </cell>
        </row>
        <row r="21">
          <cell r="A21">
            <v>100019</v>
          </cell>
          <cell r="B21" t="str">
            <v>[effect:nothing]</v>
          </cell>
          <cell r="C21">
            <v>3</v>
          </cell>
          <cell r="D21" t="str">
            <v>ja</v>
          </cell>
          <cell r="E21" t="str">
            <v>もう一人じゃないよね</v>
          </cell>
        </row>
        <row r="22">
          <cell r="A22">
            <v>100020</v>
          </cell>
          <cell r="B22" t="str">
            <v>[effect:nothing]</v>
          </cell>
          <cell r="C22">
            <v>3</v>
          </cell>
          <cell r="D22" t="str">
            <v>ja</v>
          </cell>
          <cell r="E22" t="str">
            <v>魂の帰還</v>
          </cell>
        </row>
        <row r="23">
          <cell r="A23">
            <v>100021</v>
          </cell>
          <cell r="B23" t="str">
            <v>[effect:nothing]</v>
          </cell>
          <cell r="C23">
            <v>3</v>
          </cell>
          <cell r="D23" t="str">
            <v>ja</v>
          </cell>
          <cell r="E23" t="str">
            <v>自爆の覚悟</v>
          </cell>
        </row>
        <row r="24">
          <cell r="A24">
            <v>100022</v>
          </cell>
          <cell r="B24" t="str">
            <v>[effect:nothing]</v>
          </cell>
          <cell r="C24">
            <v>1</v>
          </cell>
          <cell r="D24" t="str">
            <v>ja</v>
          </cell>
          <cell r="E24" t="str">
            <v>指一本触れさせん…</v>
          </cell>
        </row>
        <row r="25">
          <cell r="A25">
            <v>100023</v>
          </cell>
          <cell r="B25" t="str">
            <v>[effect:nothing]</v>
          </cell>
          <cell r="C25">
            <v>3</v>
          </cell>
          <cell r="D25" t="str">
            <v>ja</v>
          </cell>
          <cell r="E25" t="str">
            <v>星降りの儀</v>
          </cell>
        </row>
        <row r="26">
          <cell r="A26">
            <v>100024</v>
          </cell>
          <cell r="B26" t="str">
            <v>[effect:nothing]</v>
          </cell>
          <cell r="C26">
            <v>3</v>
          </cell>
          <cell r="D26" t="str">
            <v>ja</v>
          </cell>
          <cell r="E26" t="str">
            <v>絡みつく触手</v>
          </cell>
        </row>
        <row r="27">
          <cell r="A27">
            <v>100025</v>
          </cell>
          <cell r="B27" t="str">
            <v>[effect:fix_speed,target:myself,turn:1]</v>
          </cell>
          <cell r="C27">
            <v>3</v>
          </cell>
          <cell r="D27" t="str">
            <v>ja</v>
          </cell>
          <cell r="E27" t="str">
            <v>ガラスの靴は私のもの！</v>
          </cell>
        </row>
        <row r="28">
          <cell r="A28">
            <v>100026</v>
          </cell>
          <cell r="B28" t="str">
            <v>[effect:freq_turn, target:myself, turn:-1, val:1, animation:enemy_freq_turn]</v>
          </cell>
          <cell r="C28">
            <v>3</v>
          </cell>
          <cell r="D28" t="str">
            <v>ja</v>
          </cell>
          <cell r="E28" t="str">
            <v>私を怒らせてしまったようだな・・！</v>
          </cell>
        </row>
        <row r="29">
          <cell r="A29">
            <v>100027</v>
          </cell>
          <cell r="B29" t="str">
            <v>[effect:fix_speed,target:myself,turn:3]</v>
          </cell>
          <cell r="C29">
            <v>3</v>
          </cell>
          <cell r="D29" t="str">
            <v>ja</v>
          </cell>
          <cell r="E29" t="str">
            <v>ガガ…ピ…!?</v>
          </cell>
        </row>
        <row r="30">
          <cell r="A30">
            <v>100028</v>
          </cell>
          <cell r="B30" t="str">
            <v>[effect:nothing]</v>
          </cell>
          <cell r="C30">
            <v>3</v>
          </cell>
          <cell r="D30" t="str">
            <v>ja</v>
          </cell>
          <cell r="E30" t="str">
            <v>フフフ・・・</v>
          </cell>
        </row>
        <row r="31">
          <cell r="A31">
            <v>100029</v>
          </cell>
          <cell r="B31" t="str">
            <v>[effect:nothing]</v>
          </cell>
          <cell r="C31">
            <v>3</v>
          </cell>
          <cell r="D31" t="str">
            <v>ja</v>
          </cell>
          <cell r="E31" t="str">
            <v>震えている</v>
          </cell>
        </row>
        <row r="32">
          <cell r="A32">
            <v>100030</v>
          </cell>
          <cell r="B32" t="str">
            <v>[effect:nothing]</v>
          </cell>
          <cell r="C32">
            <v>3</v>
          </cell>
          <cell r="D32" t="str">
            <v>ja</v>
          </cell>
          <cell r="E32" t="str">
            <v>引導を渡してやろう…</v>
          </cell>
        </row>
        <row r="33">
          <cell r="A33">
            <v>100031</v>
          </cell>
          <cell r="B33" t="str">
            <v>[effect:fix_speed,target:myself,turn:4]</v>
          </cell>
          <cell r="C33">
            <v>3</v>
          </cell>
          <cell r="D33" t="str">
            <v>ja</v>
          </cell>
          <cell r="E33" t="str">
            <v>侵入者…排除…</v>
          </cell>
        </row>
        <row r="34">
          <cell r="A34">
            <v>100032</v>
          </cell>
          <cell r="B34" t="str">
            <v>[effect:fix_speed,target:myself,turn:3]</v>
          </cell>
          <cell r="C34">
            <v>3</v>
          </cell>
          <cell r="D34" t="str">
            <v>ja</v>
          </cell>
          <cell r="E34" t="str">
            <v>こい、遊んでやろう</v>
          </cell>
        </row>
        <row r="35">
          <cell r="A35">
            <v>200001</v>
          </cell>
          <cell r="B35" t="str">
            <v>[effect:charge, status:attack, val:1.5, animation:enemy_charge]</v>
          </cell>
          <cell r="C35">
            <v>3</v>
          </cell>
          <cell r="D35" t="str">
            <v>ja</v>
          </cell>
          <cell r="E35" t="str">
            <v>一点集中</v>
          </cell>
        </row>
        <row r="36">
          <cell r="A36">
            <v>200002</v>
          </cell>
          <cell r="B36" t="str">
            <v>[effect:charge, status:attack, val:2.0, animation:enemy_charge]</v>
          </cell>
          <cell r="C36">
            <v>3</v>
          </cell>
          <cell r="D36" t="str">
            <v>ja</v>
          </cell>
          <cell r="E36" t="str">
            <v>リラックス</v>
          </cell>
        </row>
        <row r="37">
          <cell r="A37">
            <v>200003</v>
          </cell>
          <cell r="B37" t="str">
            <v>[effect:charge, status:attack, val:2.0, animation:enemy_charge]</v>
          </cell>
          <cell r="C37">
            <v>3</v>
          </cell>
          <cell r="D37" t="str">
            <v>ja</v>
          </cell>
          <cell r="E37" t="str">
            <v>玄武の構え</v>
          </cell>
        </row>
        <row r="38">
          <cell r="A38">
            <v>200004</v>
          </cell>
          <cell r="B38" t="str">
            <v>[effect:charge, status:attack, val:3.0, animation:enemy_charge]</v>
          </cell>
          <cell r="C38">
            <v>3</v>
          </cell>
          <cell r="D38" t="str">
            <v>ja</v>
          </cell>
          <cell r="E38" t="str">
            <v>気合溜め</v>
          </cell>
        </row>
        <row r="39">
          <cell r="A39">
            <v>200005</v>
          </cell>
          <cell r="B39" t="str">
            <v>[effect:charge, status:attack, val:5.0, animation:enemy_charge]</v>
          </cell>
          <cell r="C39">
            <v>3</v>
          </cell>
          <cell r="D39" t="str">
            <v>ja</v>
          </cell>
          <cell r="E39" t="str">
            <v>増幅するチカラ</v>
          </cell>
        </row>
        <row r="40">
          <cell r="A40">
            <v>200006</v>
          </cell>
          <cell r="B40" t="str">
            <v>[effect:charge, status:attack, val:2.0, animation:enemy_charge]</v>
          </cell>
          <cell r="C40">
            <v>3</v>
          </cell>
          <cell r="D40" t="str">
            <v>ja</v>
          </cell>
          <cell r="E40" t="str">
            <v>後悔するわよ</v>
          </cell>
        </row>
        <row r="41">
          <cell r="A41">
            <v>200007</v>
          </cell>
          <cell r="B41" t="str">
            <v>[effect:charge, status:attack, val:3.0, animation:enemy_charge]</v>
          </cell>
          <cell r="C41">
            <v>3</v>
          </cell>
          <cell r="D41" t="str">
            <v>ja</v>
          </cell>
          <cell r="E41" t="str">
            <v>不機嫌な目覚め</v>
          </cell>
        </row>
        <row r="42">
          <cell r="A42">
            <v>200008</v>
          </cell>
          <cell r="B42" t="str">
            <v>[effect:charge, status:attack, val:2.0, animation:enemy_charge]</v>
          </cell>
          <cell r="C42">
            <v>3</v>
          </cell>
          <cell r="D42" t="str">
            <v>ja</v>
          </cell>
          <cell r="E42" t="str">
            <v>フルスイング</v>
          </cell>
        </row>
        <row r="43">
          <cell r="A43">
            <v>200009</v>
          </cell>
          <cell r="B43" t="str">
            <v>[effect:charge, status:attack, val:4.0, animation:enemy_charge]</v>
          </cell>
          <cell r="C43">
            <v>3</v>
          </cell>
          <cell r="D43" t="str">
            <v>ja</v>
          </cell>
          <cell r="E43" t="str">
            <v>キラースイング</v>
          </cell>
        </row>
        <row r="44">
          <cell r="A44">
            <v>200010</v>
          </cell>
          <cell r="B44" t="str">
            <v>[effect:charge, status:attack, val:2.0, animation:enemy_charge]</v>
          </cell>
          <cell r="C44">
            <v>3</v>
          </cell>
          <cell r="D44" t="str">
            <v>ja</v>
          </cell>
          <cell r="E44" t="str">
            <v>みなぎる闘志</v>
          </cell>
        </row>
        <row r="45">
          <cell r="A45">
            <v>200011</v>
          </cell>
          <cell r="B45" t="str">
            <v>[effect:charge, status:attack, val:3.0, animation:enemy_charge]</v>
          </cell>
          <cell r="C45">
            <v>3</v>
          </cell>
          <cell r="D45" t="str">
            <v>ja</v>
          </cell>
          <cell r="E45" t="str">
            <v>ハイパーリラックス</v>
          </cell>
        </row>
        <row r="46">
          <cell r="A46">
            <v>200012</v>
          </cell>
          <cell r="B46" t="str">
            <v>[effect:charge, status:attack, val:3.0, animation:enemy_charge]</v>
          </cell>
          <cell r="C46">
            <v>3</v>
          </cell>
          <cell r="D46" t="str">
            <v>ja</v>
          </cell>
          <cell r="E46" t="str">
            <v>ラストシューティング</v>
          </cell>
        </row>
        <row r="47">
          <cell r="A47">
            <v>200013</v>
          </cell>
          <cell r="B47" t="str">
            <v>[effect:charge, status:attack, val:4.0, animation:enemy_charge]</v>
          </cell>
          <cell r="C47">
            <v>3</v>
          </cell>
          <cell r="D47" t="str">
            <v>ja</v>
          </cell>
          <cell r="E47" t="str">
            <v>わたしに触るな！</v>
          </cell>
        </row>
        <row r="48">
          <cell r="A48">
            <v>200014</v>
          </cell>
          <cell r="B48" t="str">
            <v>[effect:charge, status:attack, val:5.0, animation:enemy_charge]</v>
          </cell>
          <cell r="C48">
            <v>3</v>
          </cell>
          <cell r="D48" t="str">
            <v>ja</v>
          </cell>
          <cell r="E48" t="str">
            <v>かぐや諸共消し飛べ！！</v>
          </cell>
        </row>
        <row r="49">
          <cell r="A49">
            <v>200015</v>
          </cell>
          <cell r="B49" t="str">
            <v>[effect:charge, status:attack, val:2.0, animation:enemy_charge]</v>
          </cell>
          <cell r="C49">
            <v>3</v>
          </cell>
          <cell r="D49" t="str">
            <v>ja</v>
          </cell>
          <cell r="E49" t="str">
            <v>蒼斬刀</v>
          </cell>
        </row>
        <row r="50">
          <cell r="A50">
            <v>200016</v>
          </cell>
          <cell r="B50" t="str">
            <v>[effect:rush, count:5, val:0.15][effect:charge, status:attack, val:0.75, animation:enemy_charge]</v>
          </cell>
          <cell r="C50">
            <v>3</v>
          </cell>
          <cell r="D50" t="str">
            <v>ja</v>
          </cell>
          <cell r="E50" t="str">
            <v>ビリビリちゃーじ！</v>
          </cell>
        </row>
        <row r="51">
          <cell r="A51">
            <v>200017</v>
          </cell>
          <cell r="B51" t="str">
            <v>[effect:charge, status:attack, val:0.7, animation:enemy_charge]</v>
          </cell>
          <cell r="C51">
            <v>3</v>
          </cell>
          <cell r="D51" t="str">
            <v>ja</v>
          </cell>
          <cell r="E51" t="str">
            <v>次のは痛いぞ？</v>
          </cell>
        </row>
        <row r="52">
          <cell r="A52">
            <v>210001</v>
          </cell>
          <cell r="B52" t="str">
            <v>[effect:critical, val:1.5.0, animation:enemy_critical]</v>
          </cell>
          <cell r="C52">
            <v>3</v>
          </cell>
          <cell r="D52" t="str">
            <v>ja</v>
          </cell>
          <cell r="E52" t="str">
            <v>青の剛力</v>
          </cell>
        </row>
        <row r="53">
          <cell r="A53">
            <v>210002</v>
          </cell>
          <cell r="B53" t="str">
            <v>[effect:critical, val:1.8.0, animation:enemy_critical]</v>
          </cell>
          <cell r="C53">
            <v>3</v>
          </cell>
          <cell r="D53" t="str">
            <v>ja</v>
          </cell>
          <cell r="E53" t="str">
            <v>蛇牙</v>
          </cell>
        </row>
        <row r="54">
          <cell r="A54">
            <v>210003</v>
          </cell>
          <cell r="B54" t="str">
            <v>[effect:critical, val:2.5.0, animation:enemy_critical]</v>
          </cell>
          <cell r="C54">
            <v>3</v>
          </cell>
          <cell r="D54" t="str">
            <v>ja</v>
          </cell>
          <cell r="E54" t="str">
            <v>ワンショットキル</v>
          </cell>
        </row>
        <row r="55">
          <cell r="A55">
            <v>210004</v>
          </cell>
          <cell r="B55" t="str">
            <v>[effect:critical, val:1.5.0, animation:enemy_critical]</v>
          </cell>
          <cell r="C55">
            <v>3</v>
          </cell>
          <cell r="D55" t="str">
            <v>ja</v>
          </cell>
          <cell r="E55" t="str">
            <v>タックル</v>
          </cell>
        </row>
        <row r="56">
          <cell r="A56">
            <v>210005</v>
          </cell>
          <cell r="B56" t="str">
            <v>[effect:critical, val:2.5.0, animation:enemy_critical]</v>
          </cell>
          <cell r="C56">
            <v>3</v>
          </cell>
          <cell r="D56" t="str">
            <v>ja</v>
          </cell>
          <cell r="E56" t="str">
            <v>猛烈電撃</v>
          </cell>
        </row>
        <row r="57">
          <cell r="A57">
            <v>210006</v>
          </cell>
          <cell r="B57" t="str">
            <v>[effect:critical, val:1.5.0, animation:enemy_critical]</v>
          </cell>
          <cell r="C57">
            <v>3</v>
          </cell>
          <cell r="D57" t="str">
            <v>ja</v>
          </cell>
          <cell r="E57" t="str">
            <v>巨腕の抱擁</v>
          </cell>
        </row>
        <row r="58">
          <cell r="A58">
            <v>210007</v>
          </cell>
          <cell r="B58" t="str">
            <v>[effect:critical, val:3.0.0, animation:enemy_critical]</v>
          </cell>
          <cell r="C58">
            <v>3</v>
          </cell>
          <cell r="D58" t="str">
            <v>ja</v>
          </cell>
          <cell r="E58" t="str">
            <v>金剛黄撃</v>
          </cell>
        </row>
        <row r="59">
          <cell r="A59">
            <v>210008</v>
          </cell>
          <cell r="B59" t="str">
            <v>[effect:critical, val:1.5.0, animation:enemy_critical]</v>
          </cell>
          <cell r="C59">
            <v>3</v>
          </cell>
          <cell r="D59" t="str">
            <v>ja</v>
          </cell>
          <cell r="E59" t="str">
            <v>煌きの一蹴</v>
          </cell>
        </row>
        <row r="60">
          <cell r="A60">
            <v>210009</v>
          </cell>
          <cell r="B60" t="str">
            <v>[effect:critical, val:2.5.0, animation:enemy_critical]</v>
          </cell>
          <cell r="C60">
            <v>3</v>
          </cell>
          <cell r="D60" t="str">
            <v>ja</v>
          </cell>
          <cell r="E60" t="str">
            <v>輝きの一蹴</v>
          </cell>
        </row>
        <row r="61">
          <cell r="A61">
            <v>210010</v>
          </cell>
          <cell r="B61" t="str">
            <v>[effect:critical, val:1.5.0, animation:enemy_critical]</v>
          </cell>
          <cell r="C61">
            <v>3</v>
          </cell>
          <cell r="D61" t="str">
            <v>ja</v>
          </cell>
          <cell r="E61" t="str">
            <v>お前を消す方法</v>
          </cell>
        </row>
        <row r="62">
          <cell r="A62">
            <v>210011</v>
          </cell>
          <cell r="B62" t="str">
            <v>[effect:critical, val:1.5.0, animation:enemy_critical]</v>
          </cell>
          <cell r="C62">
            <v>3</v>
          </cell>
          <cell r="D62" t="str">
            <v>ja</v>
          </cell>
          <cell r="E62" t="str">
            <v>迫る鉤爪</v>
          </cell>
        </row>
        <row r="63">
          <cell r="A63">
            <v>210012</v>
          </cell>
          <cell r="B63" t="str">
            <v>[effect:critical, val:2.0.0, animation:enemy_critical]</v>
          </cell>
          <cell r="C63">
            <v>3</v>
          </cell>
          <cell r="D63" t="str">
            <v>ja</v>
          </cell>
          <cell r="E63" t="str">
            <v>襲い来る鉤爪</v>
          </cell>
        </row>
        <row r="64">
          <cell r="A64">
            <v>210013</v>
          </cell>
          <cell r="B64" t="str">
            <v>[effect:critical, val:1.3.0, animation:enemy_critical]</v>
          </cell>
          <cell r="C64">
            <v>3</v>
          </cell>
          <cell r="D64" t="str">
            <v>ja</v>
          </cell>
          <cell r="E64" t="str">
            <v>猛虎の手</v>
          </cell>
        </row>
        <row r="65">
          <cell r="A65">
            <v>210014</v>
          </cell>
          <cell r="B65" t="str">
            <v>[effect:critical, val:1.5.0, animation:enemy_critical]</v>
          </cell>
          <cell r="C65">
            <v>3</v>
          </cell>
          <cell r="D65" t="str">
            <v>ja</v>
          </cell>
          <cell r="E65" t="str">
            <v>閃光空撃</v>
          </cell>
        </row>
        <row r="66">
          <cell r="A66">
            <v>210015</v>
          </cell>
          <cell r="B66" t="str">
            <v>[effect:critical, val:1.5.0, animation:enemy_critical]</v>
          </cell>
          <cell r="C66">
            <v>3</v>
          </cell>
          <cell r="D66" t="str">
            <v>ja</v>
          </cell>
          <cell r="E66" t="str">
            <v>蒼き一撃</v>
          </cell>
        </row>
        <row r="67">
          <cell r="A67">
            <v>210016</v>
          </cell>
          <cell r="B67" t="str">
            <v>[effect:critical, val:2.0.0, animation:enemy_critical]</v>
          </cell>
          <cell r="C67">
            <v>3</v>
          </cell>
          <cell r="D67" t="str">
            <v>ja</v>
          </cell>
          <cell r="E67" t="str">
            <v>金剛黄撃</v>
          </cell>
        </row>
        <row r="68">
          <cell r="A68">
            <v>210017</v>
          </cell>
          <cell r="B68" t="str">
            <v>[effect:critical, val:1.3.0, animation:enemy_critical]</v>
          </cell>
          <cell r="C68">
            <v>3</v>
          </cell>
          <cell r="D68" t="str">
            <v>ja</v>
          </cell>
          <cell r="E68" t="str">
            <v>ハンマーフォール</v>
          </cell>
        </row>
        <row r="69">
          <cell r="A69">
            <v>210018</v>
          </cell>
          <cell r="B69" t="str">
            <v>[effect:critical, val:1.3.0, animation:enemy_critical]</v>
          </cell>
          <cell r="C69">
            <v>3</v>
          </cell>
          <cell r="D69" t="str">
            <v>ja</v>
          </cell>
          <cell r="E69" t="str">
            <v>一筆一閃</v>
          </cell>
        </row>
        <row r="70">
          <cell r="A70">
            <v>210019</v>
          </cell>
          <cell r="B70" t="str">
            <v>[effect:critical, val:4.0.0, animation:enemy_critical]</v>
          </cell>
          <cell r="C70">
            <v>3</v>
          </cell>
          <cell r="D70" t="str">
            <v>ja</v>
          </cell>
          <cell r="E70" t="str">
            <v>&lt;キャノン砲発射&gt;</v>
          </cell>
        </row>
        <row r="71">
          <cell r="A71">
            <v>210020</v>
          </cell>
          <cell r="B71" t="str">
            <v>[effect:critical, val:5.0.0, animation:enemy_critical]</v>
          </cell>
          <cell r="C71">
            <v>3</v>
          </cell>
          <cell r="D71" t="str">
            <v>ja</v>
          </cell>
          <cell r="E71" t="str">
            <v>襲い来る鉤爪</v>
          </cell>
        </row>
        <row r="72">
          <cell r="A72">
            <v>210021</v>
          </cell>
          <cell r="B72" t="str">
            <v>[effect:critical, val:1.5.0, animation:enemy_critical]</v>
          </cell>
          <cell r="C72">
            <v>3</v>
          </cell>
          <cell r="D72" t="str">
            <v>ja</v>
          </cell>
          <cell r="E72" t="str">
            <v>疾風狼牙</v>
          </cell>
        </row>
        <row r="73">
          <cell r="A73">
            <v>210022</v>
          </cell>
          <cell r="B73" t="str">
            <v>[effect:critical, val:1.5.0, animation:enemy_critical]</v>
          </cell>
          <cell r="C73">
            <v>1</v>
          </cell>
          <cell r="D73" t="str">
            <v>ja</v>
          </cell>
          <cell r="E73" t="str">
            <v>クリティカル攻撃【仮】</v>
          </cell>
        </row>
        <row r="74">
          <cell r="A74">
            <v>210023</v>
          </cell>
          <cell r="B74" t="str">
            <v>[effect:critical, val:2.0.0, animation:enemy_critical]</v>
          </cell>
          <cell r="C74">
            <v>3</v>
          </cell>
          <cell r="D74" t="str">
            <v>ja</v>
          </cell>
          <cell r="E74" t="str">
            <v>紅の衝撃</v>
          </cell>
        </row>
        <row r="75">
          <cell r="A75">
            <v>210024</v>
          </cell>
          <cell r="B75" t="str">
            <v>[effect:critical, val:2.0.0, animation:enemy_critical]</v>
          </cell>
          <cell r="C75">
            <v>3</v>
          </cell>
          <cell r="D75" t="str">
            <v>ja</v>
          </cell>
          <cell r="E75" t="str">
            <v>蒼の衝撃</v>
          </cell>
        </row>
        <row r="76">
          <cell r="A76">
            <v>210025</v>
          </cell>
          <cell r="B76" t="str">
            <v>[effect:critical, val:2.0.0, animation:enemy_critical]</v>
          </cell>
          <cell r="C76">
            <v>1</v>
          </cell>
          <cell r="D76" t="str">
            <v>ja</v>
          </cell>
          <cell r="E76" t="str">
            <v>ハートクラッシュ</v>
          </cell>
        </row>
        <row r="77">
          <cell r="A77">
            <v>210026</v>
          </cell>
          <cell r="B77" t="str">
            <v>[effect:critical, val:3.0.0, animation:enemy_critical]</v>
          </cell>
          <cell r="C77">
            <v>1</v>
          </cell>
          <cell r="D77" t="str">
            <v>ja</v>
          </cell>
          <cell r="E77" t="str">
            <v>失せろ下郎！</v>
          </cell>
        </row>
        <row r="78">
          <cell r="A78">
            <v>210027</v>
          </cell>
          <cell r="B78" t="str">
            <v>[effect:critical, val:1.3.0, animation:enemy_critical]</v>
          </cell>
          <cell r="C78">
            <v>3</v>
          </cell>
          <cell r="D78" t="str">
            <v>ja</v>
          </cell>
          <cell r="E78" t="str">
            <v>猛虎の手</v>
          </cell>
        </row>
        <row r="79">
          <cell r="A79">
            <v>210028</v>
          </cell>
          <cell r="B79" t="str">
            <v>[effect:critical, val:1.6.0, animation:enemy_critical]</v>
          </cell>
          <cell r="C79">
            <v>3</v>
          </cell>
          <cell r="D79" t="str">
            <v>ja</v>
          </cell>
          <cell r="E79" t="str">
            <v>蒼の衝撃</v>
          </cell>
        </row>
        <row r="80">
          <cell r="A80">
            <v>210029</v>
          </cell>
          <cell r="B80" t="str">
            <v>[effect:critical, val:5.0.0, animation:enemy_critical]</v>
          </cell>
          <cell r="C80">
            <v>3</v>
          </cell>
          <cell r="D80" t="str">
            <v>ja</v>
          </cell>
          <cell r="E80" t="str">
            <v>EXECUTION</v>
          </cell>
        </row>
        <row r="81">
          <cell r="A81">
            <v>210030</v>
          </cell>
          <cell r="B81" t="str">
            <v>[effect:critical, val:1.8.0, animation:enemy_critical]</v>
          </cell>
          <cell r="C81">
            <v>3</v>
          </cell>
          <cell r="D81" t="str">
            <v>ja</v>
          </cell>
          <cell r="E81" t="str">
            <v>連鎖の氷殺</v>
          </cell>
        </row>
        <row r="82">
          <cell r="A82">
            <v>220001</v>
          </cell>
          <cell r="B82" t="str">
            <v>[effect:rush, count:2, val:0.6]</v>
          </cell>
          <cell r="C82">
            <v>3</v>
          </cell>
          <cell r="D82" t="str">
            <v>ja</v>
          </cell>
          <cell r="E82" t="str">
            <v>スピードスター</v>
          </cell>
        </row>
        <row r="83">
          <cell r="A83">
            <v>220002</v>
          </cell>
          <cell r="B83" t="str">
            <v>[effect:rush, count:2, val:0.7]</v>
          </cell>
          <cell r="C83">
            <v>3</v>
          </cell>
          <cell r="D83" t="str">
            <v>ja</v>
          </cell>
          <cell r="E83" t="str">
            <v>狂乱打</v>
          </cell>
        </row>
        <row r="84">
          <cell r="A84">
            <v>220003</v>
          </cell>
          <cell r="B84" t="str">
            <v>[effect:rush, count:2, val:0.8]</v>
          </cell>
          <cell r="C84">
            <v>3</v>
          </cell>
          <cell r="D84" t="str">
            <v>ja</v>
          </cell>
          <cell r="E84" t="str">
            <v>トゥハンド</v>
          </cell>
        </row>
        <row r="85">
          <cell r="A85">
            <v>220004</v>
          </cell>
          <cell r="B85" t="str">
            <v>[effect:rush, count:3, val:0.8]</v>
          </cell>
          <cell r="C85">
            <v>3</v>
          </cell>
          <cell r="D85" t="str">
            <v>ja</v>
          </cell>
          <cell r="E85" t="str">
            <v>エクスプローラーキラー</v>
          </cell>
        </row>
        <row r="86">
          <cell r="A86">
            <v>220005</v>
          </cell>
          <cell r="B86" t="str">
            <v>[effect:rush, count:4, val:0.6]</v>
          </cell>
          <cell r="C86">
            <v>3</v>
          </cell>
          <cell r="D86" t="str">
            <v>ja</v>
          </cell>
          <cell r="E86" t="str">
            <v>ハイ・エクスプローラーキラー</v>
          </cell>
        </row>
        <row r="87">
          <cell r="A87">
            <v>220006</v>
          </cell>
          <cell r="B87" t="str">
            <v>[effect:rush, count:5, val:0.4]</v>
          </cell>
          <cell r="C87">
            <v>3</v>
          </cell>
          <cell r="D87" t="str">
            <v>ja</v>
          </cell>
          <cell r="E87" t="str">
            <v>乱射</v>
          </cell>
        </row>
        <row r="88">
          <cell r="A88">
            <v>220007</v>
          </cell>
          <cell r="B88" t="str">
            <v>[effect:rush, count:8, val:0.5]</v>
          </cell>
          <cell r="C88">
            <v>3</v>
          </cell>
          <cell r="D88" t="str">
            <v>ja</v>
          </cell>
          <cell r="E88" t="str">
            <v>超乱射</v>
          </cell>
        </row>
        <row r="89">
          <cell r="A89">
            <v>220008</v>
          </cell>
          <cell r="B89" t="str">
            <v>[effect:rush, count:3, val:0.8]</v>
          </cell>
          <cell r="C89">
            <v>3</v>
          </cell>
          <cell r="D89" t="str">
            <v>ja</v>
          </cell>
          <cell r="E89" t="str">
            <v>超拡散アタック</v>
          </cell>
        </row>
        <row r="90">
          <cell r="A90">
            <v>220009</v>
          </cell>
          <cell r="B90" t="str">
            <v>[effect:rush, count:2, val:0.6]</v>
          </cell>
          <cell r="C90">
            <v>3</v>
          </cell>
          <cell r="D90" t="str">
            <v>ja</v>
          </cell>
          <cell r="E90" t="str">
            <v>連続雷撃</v>
          </cell>
        </row>
        <row r="91">
          <cell r="A91">
            <v>220010</v>
          </cell>
          <cell r="B91" t="str">
            <v>[effect:rush, count:4, val:0.8]</v>
          </cell>
          <cell r="C91">
            <v>3</v>
          </cell>
          <cell r="D91" t="str">
            <v>ja</v>
          </cell>
          <cell r="E91" t="str">
            <v>五月雨雷撃</v>
          </cell>
        </row>
        <row r="92">
          <cell r="A92">
            <v>220011</v>
          </cell>
          <cell r="B92" t="str">
            <v>[effect:rush, count:5, val:0.4]</v>
          </cell>
          <cell r="C92">
            <v>3</v>
          </cell>
          <cell r="D92" t="str">
            <v>ja</v>
          </cell>
          <cell r="E92" t="str">
            <v>毒蛇の猛攻</v>
          </cell>
        </row>
        <row r="93">
          <cell r="A93">
            <v>220012</v>
          </cell>
          <cell r="B93" t="str">
            <v>[effect:rush, count:5, val:0.4]</v>
          </cell>
          <cell r="C93">
            <v>3</v>
          </cell>
          <cell r="D93" t="str">
            <v>ja</v>
          </cell>
          <cell r="E93" t="str">
            <v>山猿の足</v>
          </cell>
        </row>
        <row r="94">
          <cell r="A94">
            <v>220013</v>
          </cell>
          <cell r="B94" t="str">
            <v>[effect:rush, count:8, val:0.7]</v>
          </cell>
          <cell r="C94">
            <v>3</v>
          </cell>
          <cell r="D94" t="str">
            <v>ja</v>
          </cell>
          <cell r="E94" t="str">
            <v>スピードスター</v>
          </cell>
        </row>
        <row r="95">
          <cell r="A95">
            <v>23011</v>
          </cell>
          <cell r="B95" t="str">
            <v>[effect:spread, val:0.9, animation:enemy_spread]</v>
          </cell>
          <cell r="C95">
            <v>3</v>
          </cell>
          <cell r="D95" t="str">
            <v>ja</v>
          </cell>
          <cell r="E95" t="str">
            <v>ハル・ディナーハ</v>
          </cell>
        </row>
        <row r="96">
          <cell r="A96">
            <v>220014</v>
          </cell>
          <cell r="B96" t="str">
            <v>[effect:rush, count:8, val:0.25]</v>
          </cell>
          <cell r="C96">
            <v>3</v>
          </cell>
          <cell r="D96" t="str">
            <v>ja</v>
          </cell>
          <cell r="E96" t="str">
            <v>ナーヴァ・グラハ</v>
          </cell>
        </row>
        <row r="97">
          <cell r="A97">
            <v>220015</v>
          </cell>
          <cell r="B97" t="str">
            <v>[effect:rush, count:3, val:0.6]</v>
          </cell>
          <cell r="C97">
            <v>3</v>
          </cell>
          <cell r="D97" t="str">
            <v>ja</v>
          </cell>
          <cell r="E97" t="str">
            <v>耐えられない孤独</v>
          </cell>
        </row>
        <row r="98">
          <cell r="A98">
            <v>220016</v>
          </cell>
          <cell r="B98" t="str">
            <v>[effect:rush, count:8, val:0.2]</v>
          </cell>
          <cell r="C98">
            <v>3</v>
          </cell>
          <cell r="D98" t="str">
            <v>ja</v>
          </cell>
          <cell r="E98" t="str">
            <v>ナーヴァ・グラハ</v>
          </cell>
        </row>
        <row r="99">
          <cell r="A99">
            <v>220017</v>
          </cell>
          <cell r="B99" t="str">
            <v>[effect:rush, count:5, val:0.5],[effect:enhance_enemy, target:enemy_all, turn:3, status:attack, val:1.2, animation:enemy_enhance_enemy]</v>
          </cell>
          <cell r="C99">
            <v>3</v>
          </cell>
          <cell r="D99" t="str">
            <v>ja</v>
          </cell>
          <cell r="E99" t="str">
            <v>抑えきれぬ食欲</v>
          </cell>
        </row>
        <row r="100">
          <cell r="A100">
            <v>220018</v>
          </cell>
          <cell r="B100" t="str">
            <v>[effect:rush, count:10, val:0.27],[effect:enhance_enemy, target:enemy_all, turn:5, status:attack, val:1.2, animation:enemy_enhance_enemy]</v>
          </cell>
          <cell r="C100">
            <v>3</v>
          </cell>
          <cell r="D100" t="str">
            <v>ja</v>
          </cell>
          <cell r="E100" t="str">
            <v>襲い来る食欲</v>
          </cell>
        </row>
        <row r="101">
          <cell r="A101">
            <v>220019</v>
          </cell>
          <cell r="B101" t="str">
            <v>[effect:rush, count:20, val:0.13],[effect:enhance_enemy, target:enemy_all, turn:5, status:attack, val:1.5, animation:enemy_enhance_enemy]</v>
          </cell>
          <cell r="C101">
            <v>3</v>
          </cell>
          <cell r="D101" t="str">
            <v>ja</v>
          </cell>
          <cell r="E101" t="str">
            <v>果てしなき食欲</v>
          </cell>
        </row>
        <row r="102">
          <cell r="A102">
            <v>220020</v>
          </cell>
          <cell r="B102" t="str">
            <v>[effect:rush, count:2, val:0.3]</v>
          </cell>
          <cell r="C102">
            <v>3</v>
          </cell>
          <cell r="D102" t="str">
            <v>ja</v>
          </cell>
          <cell r="E102" t="str">
            <v>ノロマめ…</v>
          </cell>
        </row>
        <row r="103">
          <cell r="A103">
            <v>220021</v>
          </cell>
          <cell r="B103" t="str">
            <v>[effect:rush, count:3, val:0.3]</v>
          </cell>
          <cell r="C103">
            <v>3</v>
          </cell>
          <cell r="D103" t="str">
            <v>ja</v>
          </cell>
          <cell r="E103" t="str">
            <v>何と緩慢な</v>
          </cell>
        </row>
        <row r="104">
          <cell r="A104">
            <v>220022</v>
          </cell>
          <cell r="B104" t="str">
            <v>[effect:rush, count:7, val:0.2]</v>
          </cell>
          <cell r="C104">
            <v>3</v>
          </cell>
          <cell r="D104" t="str">
            <v>ja</v>
          </cell>
          <cell r="E104" t="str">
            <v>止まってみえるぞ!</v>
          </cell>
        </row>
        <row r="105">
          <cell r="A105">
            <v>220023</v>
          </cell>
          <cell r="B105" t="str">
            <v>[effect:rush, count:5, val:0.4]</v>
          </cell>
          <cell r="C105">
            <v>3</v>
          </cell>
          <cell r="D105" t="str">
            <v>ja</v>
          </cell>
          <cell r="E105" t="str">
            <v>山猿の足</v>
          </cell>
        </row>
        <row r="106">
          <cell r="A106">
            <v>220024</v>
          </cell>
          <cell r="B106" t="str">
            <v>[effect:rush, count:7, val:0.2]</v>
          </cell>
          <cell r="C106">
            <v>3</v>
          </cell>
          <cell r="D106" t="str">
            <v>ja</v>
          </cell>
          <cell r="E106" t="str">
            <v>地獄の締め上げ</v>
          </cell>
        </row>
        <row r="107">
          <cell r="A107">
            <v>220025</v>
          </cell>
          <cell r="B107" t="str">
            <v>[effect:rush, count:10, val:0.2]</v>
          </cell>
          <cell r="C107">
            <v>3</v>
          </cell>
          <cell r="D107" t="str">
            <v>ja</v>
          </cell>
          <cell r="E107" t="str">
            <v>ゴールドスラッシュ</v>
          </cell>
        </row>
        <row r="108">
          <cell r="A108">
            <v>220026</v>
          </cell>
          <cell r="B108" t="str">
            <v>[effect:rush, count:5, val:0.3]</v>
          </cell>
          <cell r="C108">
            <v>3</v>
          </cell>
          <cell r="D108" t="str">
            <v>ja</v>
          </cell>
          <cell r="E108" t="str">
            <v>ゴールドラッシュ</v>
          </cell>
        </row>
        <row r="109">
          <cell r="A109">
            <v>220027</v>
          </cell>
          <cell r="B109" t="str">
            <v>[effect:rush, count:2, val:0.8]</v>
          </cell>
          <cell r="C109">
            <v>3</v>
          </cell>
          <cell r="D109" t="str">
            <v>ja</v>
          </cell>
          <cell r="E109" t="str">
            <v>ツインターゲット</v>
          </cell>
        </row>
        <row r="110">
          <cell r="A110">
            <v>220028</v>
          </cell>
          <cell r="B110" t="str">
            <v>[effect:rush, count:3, val:0.4]</v>
          </cell>
          <cell r="C110">
            <v>3</v>
          </cell>
          <cell r="D110" t="str">
            <v>ja</v>
          </cell>
          <cell r="E110" t="str">
            <v>気分が良いぞ…</v>
          </cell>
        </row>
        <row r="111">
          <cell r="A111">
            <v>220029</v>
          </cell>
          <cell r="B111" t="str">
            <v>[effect:rush, count:5, val:0.3]</v>
          </cell>
          <cell r="C111">
            <v>3</v>
          </cell>
          <cell r="D111" t="str">
            <v>ja</v>
          </cell>
          <cell r="E111" t="str">
            <v>群れるな痴れ者ども</v>
          </cell>
        </row>
        <row r="112">
          <cell r="A112">
            <v>220030</v>
          </cell>
          <cell r="B112" t="str">
            <v>[effect:rush, count:7, val:0.2]</v>
          </cell>
          <cell r="C112">
            <v>3</v>
          </cell>
          <cell r="D112" t="str">
            <v>ja</v>
          </cell>
          <cell r="E112" t="str">
            <v>まとめてサメのエサだ！</v>
          </cell>
        </row>
        <row r="113">
          <cell r="A113">
            <v>230001</v>
          </cell>
          <cell r="B113" t="str">
            <v>[effect:spread, val:0.5, animation:enemy_spread]</v>
          </cell>
          <cell r="C113">
            <v>3</v>
          </cell>
          <cell r="D113" t="str">
            <v>ja</v>
          </cell>
          <cell r="E113" t="str">
            <v>連打</v>
          </cell>
        </row>
        <row r="114">
          <cell r="A114">
            <v>230002</v>
          </cell>
          <cell r="B114" t="str">
            <v>[effect:spread, val:0.3, animation:enemy_spread]</v>
          </cell>
          <cell r="C114">
            <v>3</v>
          </cell>
          <cell r="D114" t="str">
            <v>ja</v>
          </cell>
          <cell r="E114" t="str">
            <v>大切断</v>
          </cell>
        </row>
        <row r="115">
          <cell r="A115">
            <v>230003</v>
          </cell>
          <cell r="B115" t="str">
            <v>[effect:spread, val:0.5, animation:enemy_spread]</v>
          </cell>
          <cell r="C115">
            <v>3</v>
          </cell>
          <cell r="D115" t="str">
            <v>ja</v>
          </cell>
          <cell r="E115" t="str">
            <v>敗北の悪夢</v>
          </cell>
        </row>
        <row r="116">
          <cell r="A116">
            <v>230004</v>
          </cell>
          <cell r="B116" t="str">
            <v>[effect:spread, val:0.8, animation:enemy_spread]</v>
          </cell>
          <cell r="C116">
            <v>3</v>
          </cell>
          <cell r="D116" t="str">
            <v>ja</v>
          </cell>
          <cell r="E116" t="str">
            <v>絶望の悪夢</v>
          </cell>
        </row>
        <row r="117">
          <cell r="A117">
            <v>230005</v>
          </cell>
          <cell r="B117" t="str">
            <v>[effect:spread, val:0.5, animation:enemy_spread]</v>
          </cell>
          <cell r="C117">
            <v>3</v>
          </cell>
          <cell r="D117" t="str">
            <v>ja</v>
          </cell>
          <cell r="E117" t="str">
            <v>猛烈突進</v>
          </cell>
        </row>
        <row r="118">
          <cell r="A118">
            <v>230006</v>
          </cell>
          <cell r="B118" t="str">
            <v>[effect:spread, val:0.3, animation:enemy_spread]</v>
          </cell>
          <cell r="C118">
            <v>3</v>
          </cell>
          <cell r="D118" t="str">
            <v>ja</v>
          </cell>
          <cell r="E118" t="str">
            <v>畏れの至言</v>
          </cell>
        </row>
        <row r="119">
          <cell r="A119">
            <v>230007</v>
          </cell>
          <cell r="B119" t="str">
            <v>[effect:spread, val:0.5, animation:enemy_spread]</v>
          </cell>
          <cell r="C119">
            <v>3</v>
          </cell>
          <cell r="D119" t="str">
            <v>ja</v>
          </cell>
          <cell r="E119" t="str">
            <v>寝起きの鉄槌</v>
          </cell>
        </row>
        <row r="120">
          <cell r="A120">
            <v>230008</v>
          </cell>
          <cell r="B120" t="str">
            <v>[effect:spread, val:0.5, animation:enemy_spread]</v>
          </cell>
          <cell r="C120">
            <v>3</v>
          </cell>
          <cell r="D120" t="str">
            <v>ja</v>
          </cell>
          <cell r="E120" t="str">
            <v>窮鼠の爪</v>
          </cell>
        </row>
        <row r="121">
          <cell r="A121">
            <v>230009</v>
          </cell>
          <cell r="B121" t="str">
            <v>[effect:spread, val:0.35, animation:enemy_spread]</v>
          </cell>
          <cell r="C121">
            <v>3</v>
          </cell>
          <cell r="D121" t="str">
            <v>ja</v>
          </cell>
          <cell r="E121" t="str">
            <v>妙技「雷轟金閃」</v>
          </cell>
        </row>
        <row r="122">
          <cell r="A122">
            <v>230010</v>
          </cell>
          <cell r="B122" t="str">
            <v>[effect:spread, val:0.3, animation:enemy_spread]</v>
          </cell>
          <cell r="C122">
            <v>3</v>
          </cell>
          <cell r="D122" t="str">
            <v>ja</v>
          </cell>
          <cell r="E122" t="str">
            <v>瞬殺の極意</v>
          </cell>
        </row>
        <row r="123">
          <cell r="A123">
            <v>230012</v>
          </cell>
          <cell r="B123" t="str">
            <v>[effect:spread, val:0.3, animation:enemy_spread]</v>
          </cell>
          <cell r="C123">
            <v>3</v>
          </cell>
          <cell r="D123" t="str">
            <v>ja</v>
          </cell>
          <cell r="E123" t="str">
            <v>黄剛の一閃</v>
          </cell>
        </row>
        <row r="124">
          <cell r="A124">
            <v>230013</v>
          </cell>
          <cell r="B124" t="str">
            <v>[effect:spread, val:0.4, animation:enemy_spread]</v>
          </cell>
          <cell r="C124">
            <v>1</v>
          </cell>
          <cell r="D124" t="str">
            <v>ja</v>
          </cell>
          <cell r="E124" t="str">
            <v>紅の一閃</v>
          </cell>
        </row>
        <row r="125">
          <cell r="A125">
            <v>230014</v>
          </cell>
          <cell r="B125" t="str">
            <v>[effect:spread, val:0.3, animation:enemy_spread]</v>
          </cell>
          <cell r="C125">
            <v>3</v>
          </cell>
          <cell r="D125" t="str">
            <v>ja</v>
          </cell>
          <cell r="E125" t="str">
            <v>紅の一閃</v>
          </cell>
        </row>
        <row r="126">
          <cell r="A126">
            <v>230015</v>
          </cell>
          <cell r="B126" t="str">
            <v>[effect:spread, val:0.3, animation:enemy_spread]</v>
          </cell>
          <cell r="C126">
            <v>3</v>
          </cell>
          <cell r="D126" t="str">
            <v>ja</v>
          </cell>
          <cell r="E126" t="str">
            <v>スプレッドボム</v>
          </cell>
        </row>
        <row r="127">
          <cell r="A127">
            <v>230016</v>
          </cell>
          <cell r="B127" t="str">
            <v>[effect:spread, val:0.5, animation:enemy_spread]</v>
          </cell>
          <cell r="C127">
            <v>3</v>
          </cell>
          <cell r="D127" t="str">
            <v>ja</v>
          </cell>
          <cell r="E127" t="str">
            <v>猟師さーんヽ(≧Д≦)ノ</v>
          </cell>
        </row>
        <row r="128">
          <cell r="A128">
            <v>230017</v>
          </cell>
          <cell r="B128" t="str">
            <v>[effect:spread, val:1.0, animation:enemy_spread]</v>
          </cell>
          <cell r="C128">
            <v>3</v>
          </cell>
          <cell r="D128" t="str">
            <v>ja</v>
          </cell>
          <cell r="E128" t="str">
            <v>地を焦がす流星雨</v>
          </cell>
        </row>
        <row r="129">
          <cell r="A129">
            <v>230018</v>
          </cell>
          <cell r="B129" t="str">
            <v>[effect:spread, val:0.3, animation:enemy_spread]</v>
          </cell>
          <cell r="C129">
            <v>3</v>
          </cell>
          <cell r="D129" t="str">
            <v>ja</v>
          </cell>
          <cell r="E129" t="str">
            <v>無差別乱射</v>
          </cell>
        </row>
        <row r="130">
          <cell r="A130">
            <v>230019</v>
          </cell>
          <cell r="B130" t="str">
            <v>[effect:spread, val:0.3, animation:enemy_spread]</v>
          </cell>
          <cell r="C130">
            <v>3</v>
          </cell>
          <cell r="D130" t="str">
            <v>ja</v>
          </cell>
          <cell r="E130" t="str">
            <v>ハァーッハッハッハ！!</v>
          </cell>
        </row>
        <row r="131">
          <cell r="A131">
            <v>230020</v>
          </cell>
          <cell r="B131" t="str">
            <v>[effect:spread, val:0.3, animation:enemy_spread]</v>
          </cell>
          <cell r="C131">
            <v>3</v>
          </cell>
          <cell r="D131" t="str">
            <v>ja</v>
          </cell>
          <cell r="E131" t="str">
            <v>シュトゥルム・アングリフ</v>
          </cell>
        </row>
        <row r="132">
          <cell r="A132">
            <v>230022</v>
          </cell>
          <cell r="B132" t="str">
            <v>[effect:spread, val:0.3, animation:enemy_spread]</v>
          </cell>
          <cell r="C132">
            <v>3</v>
          </cell>
          <cell r="D132" t="str">
            <v>ja</v>
          </cell>
          <cell r="E132" t="str">
            <v>キミたち食べていい？</v>
          </cell>
        </row>
        <row r="133">
          <cell r="A133">
            <v>230023</v>
          </cell>
          <cell r="B133" t="str">
            <v>[effect:spread, val:0.5, animation:enemy_spread]</v>
          </cell>
          <cell r="C133">
            <v>3</v>
          </cell>
          <cell r="D133" t="str">
            <v>ja</v>
          </cell>
          <cell r="E133" t="str">
            <v>甲撃</v>
          </cell>
        </row>
        <row r="134">
          <cell r="A134">
            <v>230024</v>
          </cell>
          <cell r="B134" t="str">
            <v>[effect:spread, val:0.5, animation:enemy_spread]</v>
          </cell>
          <cell r="C134">
            <v>3</v>
          </cell>
          <cell r="D134" t="str">
            <v>ja</v>
          </cell>
          <cell r="E134" t="str">
            <v>サウンドストーム</v>
          </cell>
        </row>
        <row r="135">
          <cell r="A135">
            <v>230025</v>
          </cell>
          <cell r="B135" t="str">
            <v>[effect:spread, val:2.2, animation:enemy_spread]</v>
          </cell>
          <cell r="C135">
            <v>3</v>
          </cell>
          <cell r="D135" t="str">
            <v>ja</v>
          </cell>
          <cell r="E135" t="str">
            <v>ツムジ風！</v>
          </cell>
        </row>
        <row r="136">
          <cell r="A136">
            <v>230026</v>
          </cell>
          <cell r="B136" t="str">
            <v>[effect:spread, val:0.5, animation:enemy_spread]</v>
          </cell>
          <cell r="C136">
            <v>3</v>
          </cell>
          <cell r="D136" t="str">
            <v>ja</v>
          </cell>
          <cell r="E136" t="str">
            <v>踊れヤギども</v>
          </cell>
        </row>
        <row r="137">
          <cell r="A137">
            <v>230027</v>
          </cell>
          <cell r="B137" t="str">
            <v>[effect:spread, val:0.7, animation:enemy_spread]</v>
          </cell>
          <cell r="C137">
            <v>3</v>
          </cell>
          <cell r="D137" t="str">
            <v>ja</v>
          </cell>
          <cell r="E137" t="str">
            <v>出でよグリゴリ！</v>
          </cell>
        </row>
        <row r="138">
          <cell r="A138">
            <v>230029</v>
          </cell>
          <cell r="B138" t="str">
            <v>[effect:spread, val:0.3, animation:enemy_spread]</v>
          </cell>
          <cell r="C138">
            <v>3</v>
          </cell>
          <cell r="D138" t="str">
            <v>ja</v>
          </cell>
          <cell r="E138" t="str">
            <v>ビリビリあたっく！</v>
          </cell>
        </row>
        <row r="139">
          <cell r="A139">
            <v>230030</v>
          </cell>
          <cell r="B139" t="str">
            <v>[effect:spread, val:0.4, animation:enemy_spread]</v>
          </cell>
          <cell r="C139">
            <v>3</v>
          </cell>
          <cell r="D139" t="str">
            <v>ja</v>
          </cell>
          <cell r="E139" t="str">
            <v>薙ぎ払い</v>
          </cell>
        </row>
        <row r="140">
          <cell r="A140">
            <v>240001</v>
          </cell>
          <cell r="B140" t="str">
            <v>[effect:kamikaze, val:3.0, animation:enemy_kamikaze]</v>
          </cell>
          <cell r="C140">
            <v>3</v>
          </cell>
          <cell r="D140" t="str">
            <v>ja</v>
          </cell>
          <cell r="E140" t="str">
            <v>自爆</v>
          </cell>
        </row>
        <row r="141">
          <cell r="A141">
            <v>240002</v>
          </cell>
          <cell r="B141" t="str">
            <v>[effect:kamikaze, val:10.0, animation:enemy_kamikaze]</v>
          </cell>
          <cell r="C141">
            <v>3</v>
          </cell>
          <cell r="D141" t="str">
            <v>ja</v>
          </cell>
          <cell r="E141" t="str">
            <v>自爆</v>
          </cell>
        </row>
        <row r="142">
          <cell r="A142">
            <v>240003</v>
          </cell>
          <cell r="B142" t="str">
            <v>[effect:kamikaze, val:10.0, animation:enemy_kamikaze]</v>
          </cell>
          <cell r="C142">
            <v>3</v>
          </cell>
          <cell r="D142" t="str">
            <v>ja</v>
          </cell>
          <cell r="E142" t="str">
            <v>ピヨボム</v>
          </cell>
        </row>
        <row r="143">
          <cell r="A143">
            <v>240004</v>
          </cell>
          <cell r="B143" t="str">
            <v>[effect:kamikaze, val:20.0, animation:enemy_kamikaze]</v>
          </cell>
          <cell r="C143">
            <v>3</v>
          </cell>
          <cell r="D143" t="str">
            <v>ja</v>
          </cell>
          <cell r="E143" t="str">
            <v>でかピヨボム</v>
          </cell>
        </row>
        <row r="144">
          <cell r="A144">
            <v>240005</v>
          </cell>
          <cell r="B144" t="str">
            <v>[effect:kamikaze, val:30.0, animation:enemy_kamikaze]</v>
          </cell>
          <cell r="C144">
            <v>3</v>
          </cell>
          <cell r="D144" t="str">
            <v>ja</v>
          </cell>
          <cell r="E144" t="str">
            <v>ドでかピヨボム</v>
          </cell>
        </row>
        <row r="145">
          <cell r="A145">
            <v>240006</v>
          </cell>
          <cell r="B145" t="str">
            <v>[effect:fix_speed,target:myself,turn:3],[effect:kamikaze, val:3.0, animation:enemy_kamikaze]</v>
          </cell>
          <cell r="C145">
            <v>3</v>
          </cell>
          <cell r="D145" t="str">
            <v>ja</v>
          </cell>
          <cell r="E145" t="str">
            <v>生命の爆発</v>
          </cell>
        </row>
        <row r="146">
          <cell r="A146">
            <v>240007</v>
          </cell>
          <cell r="B146" t="str">
            <v>[effect:kamikaze, val:3.0, animation:enemy_kamikaze],[effect:virus, turn:3, rate:1.0, val:0.15, animation:enemy_virus]</v>
          </cell>
          <cell r="C146">
            <v>3</v>
          </cell>
          <cell r="D146" t="str">
            <v>ja</v>
          </cell>
          <cell r="E146" t="str">
            <v>最後の爆弾</v>
          </cell>
        </row>
        <row r="147">
          <cell r="A147">
            <v>240008</v>
          </cell>
          <cell r="B147" t="str">
            <v>[effect:kamikaze, val:0.25, animation:enemy_kamikaze],[effect:enhance_enemy, target:enemy_all, turn:-1, status:attack, val:2.0, animation:enemy_enhance_enemy]</v>
          </cell>
          <cell r="C147">
            <v>3</v>
          </cell>
          <cell r="D147" t="str">
            <v>ja</v>
          </cell>
          <cell r="E147" t="str">
            <v>エネルギー変換</v>
          </cell>
        </row>
        <row r="148">
          <cell r="A148">
            <v>240009</v>
          </cell>
          <cell r="B148" t="str">
            <v>[effect:kamikaze, val:0.25, animation:enemy_kamikaze],[effect:freq_turn, target:enemy_all, turn:-1, val:1, animation:enemy_freq_turn]</v>
          </cell>
          <cell r="C148">
            <v>3</v>
          </cell>
          <cell r="D148" t="str">
            <v>ja</v>
          </cell>
          <cell r="E148" t="str">
            <v>エネルギー変換</v>
          </cell>
        </row>
        <row r="149">
          <cell r="A149">
            <v>240010</v>
          </cell>
          <cell r="B149" t="str">
            <v>[effect:kamikaze, val:0.25, animation:enemy_kamikaze],[effect:heal, target:enemy_all, val:0.5, animation:enemy_heal]</v>
          </cell>
          <cell r="C149">
            <v>3</v>
          </cell>
          <cell r="D149" t="str">
            <v>ja</v>
          </cell>
          <cell r="E149" t="str">
            <v>ぎゃああああああ</v>
          </cell>
        </row>
        <row r="150">
          <cell r="A150">
            <v>240011</v>
          </cell>
          <cell r="B150" t="str">
            <v>[effect:kamikaze, val:0.25, animation:enemy_kamikaze],[effect:enhance_enemy, target:enemy_all, turn:-1, status:attack, val:2.0, animation:enemy_enhance_enemy]</v>
          </cell>
          <cell r="C150">
            <v>3</v>
          </cell>
          <cell r="D150" t="str">
            <v>ja</v>
          </cell>
          <cell r="E150" t="str">
            <v>進撃の花火</v>
          </cell>
        </row>
        <row r="151">
          <cell r="A151">
            <v>250001</v>
          </cell>
          <cell r="B151" t="str">
            <v>[effect:damage_anti_tribe, target:unit_one, tribe:god, val1:3.0, val2:1.0]</v>
          </cell>
          <cell r="C151">
            <v>3</v>
          </cell>
          <cell r="D151" t="str">
            <v>ja</v>
          </cell>
          <cell r="E151" t="str">
            <v>神をも燃やす天の炎</v>
          </cell>
        </row>
        <row r="152">
          <cell r="A152">
            <v>250002</v>
          </cell>
          <cell r="B152" t="str">
            <v>[effect:damage_anti_tribe, target:unit_one, tribe:animal, val1:1.5, val2:0.8]</v>
          </cell>
          <cell r="C152">
            <v>3</v>
          </cell>
          <cell r="D152" t="str">
            <v>ja</v>
          </cell>
          <cell r="E152" t="str">
            <v>アニマルキラー</v>
          </cell>
        </row>
        <row r="153">
          <cell r="A153">
            <v>250003</v>
          </cell>
          <cell r="B153" t="str">
            <v>[effect:damage_anti_tribe, target:unit_one, tribe:human, val1:2.0, val2:0.8]</v>
          </cell>
          <cell r="C153">
            <v>3</v>
          </cell>
          <cell r="D153" t="str">
            <v>ja</v>
          </cell>
          <cell r="E153" t="str">
            <v>ヒューマンキラー</v>
          </cell>
        </row>
        <row r="154">
          <cell r="A154">
            <v>250004</v>
          </cell>
          <cell r="B154" t="str">
            <v>[effect:damage_anti_tribe, target:unit_one, tribe:human, val1:2.0, val2:0.8]</v>
          </cell>
          <cell r="C154">
            <v>1</v>
          </cell>
          <cell r="D154" t="str">
            <v>ja</v>
          </cell>
          <cell r="E154" t="str">
            <v>軍神の咆哮</v>
          </cell>
        </row>
        <row r="155">
          <cell r="A155">
            <v>250005</v>
          </cell>
          <cell r="B155" t="str">
            <v>[effect:damage_anti_tribe, target:unit_one, tribe:animal, val1:1.5, val2:0.8]</v>
          </cell>
          <cell r="C155">
            <v>3</v>
          </cell>
          <cell r="D155" t="str">
            <v>ja</v>
          </cell>
          <cell r="E155" t="str">
            <v>アニマルキラー</v>
          </cell>
        </row>
        <row r="156">
          <cell r="A156">
            <v>250006</v>
          </cell>
          <cell r="B156" t="str">
            <v>[effect:damage_anti_tribe, target:unit_one, tribe:god, val1:3.0, val2:0.8]</v>
          </cell>
          <cell r="C156">
            <v>3</v>
          </cell>
          <cell r="D156" t="str">
            <v>ja</v>
          </cell>
          <cell r="E156" t="str">
            <v>ゴッドキラー</v>
          </cell>
        </row>
        <row r="157">
          <cell r="A157">
            <v>250007</v>
          </cell>
          <cell r="B157" t="str">
            <v>[effect:damage_anti_tribe, target:unit_one, tribe:dragon, val1:3.0, val2:0.8]</v>
          </cell>
          <cell r="C157">
            <v>3</v>
          </cell>
          <cell r="D157" t="str">
            <v>ja</v>
          </cell>
          <cell r="E157" t="str">
            <v>ドラゴンキラー</v>
          </cell>
        </row>
        <row r="158">
          <cell r="A158">
            <v>250008</v>
          </cell>
          <cell r="B158" t="str">
            <v>[effect:damage_anti_tribe, target:unit_one, tribe:god, val1:2.5, val2:0.8]</v>
          </cell>
          <cell r="C158">
            <v>3</v>
          </cell>
          <cell r="D158" t="str">
            <v>ja</v>
          </cell>
          <cell r="E158" t="str">
            <v>神をも撃ち抜く雷</v>
          </cell>
        </row>
        <row r="159">
          <cell r="A159">
            <v>250009</v>
          </cell>
          <cell r="B159" t="str">
            <v>[effect:damage_anti_tribe, target:unit_one, tribe:god, val1:2.5, val2:0.8]</v>
          </cell>
          <cell r="C159">
            <v>3</v>
          </cell>
          <cell r="D159" t="str">
            <v>ja</v>
          </cell>
          <cell r="E159" t="str">
            <v>神撃ちの拳</v>
          </cell>
        </row>
        <row r="160">
          <cell r="A160">
            <v>250010</v>
          </cell>
          <cell r="B160" t="str">
            <v>[effect:damage_anti_tribe, target:unit_one, tribe:machine, val1:2.5, val2:0.8]</v>
          </cell>
          <cell r="C160">
            <v>3</v>
          </cell>
          <cell r="D160" t="str">
            <v>ja</v>
          </cell>
          <cell r="E160" t="str">
            <v>分解…</v>
          </cell>
        </row>
        <row r="161">
          <cell r="A161">
            <v>250011</v>
          </cell>
          <cell r="B161" t="str">
            <v>[effect:damage_anti_tribe, target:unit_one, tribe:animal, val1:2.0, val2:1.0]</v>
          </cell>
          <cell r="C161">
            <v>3</v>
          </cell>
          <cell r="D161" t="str">
            <v>ja</v>
          </cell>
          <cell r="E161" t="str">
            <v>家畜が…目障りだ！</v>
          </cell>
        </row>
        <row r="162">
          <cell r="A162">
            <v>250012</v>
          </cell>
          <cell r="B162" t="str">
            <v>[effect:damage_anti_tribe, target:unit_one, tribe:god, val1:10, val2:0.8]</v>
          </cell>
          <cell r="C162">
            <v>3</v>
          </cell>
          <cell r="D162" t="str">
            <v>ja</v>
          </cell>
          <cell r="E162" t="str">
            <v>私は絶滅なんかしない！</v>
          </cell>
        </row>
        <row r="163">
          <cell r="A163">
            <v>250013</v>
          </cell>
          <cell r="B163" t="str">
            <v>[effect:damage_anti_tribe, target:unit_one, tribe:machine, val1:2.0, val2:0.7]</v>
          </cell>
          <cell r="C163">
            <v>3</v>
          </cell>
          <cell r="D163" t="str">
            <v>ja</v>
          </cell>
          <cell r="E163" t="str">
            <v>カワラ割り</v>
          </cell>
        </row>
        <row r="164">
          <cell r="A164">
            <v>260001</v>
          </cell>
          <cell r="B164" t="str">
            <v>[effect:damage_anti_color, target:unit_one, color:red, val1:2.0, val2:1.0]</v>
          </cell>
          <cell r="C164">
            <v>3</v>
          </cell>
          <cell r="D164" t="str">
            <v>ja</v>
          </cell>
          <cell r="E164" t="str">
            <v>渓谷の霧雨</v>
          </cell>
        </row>
        <row r="165">
          <cell r="A165">
            <v>260002</v>
          </cell>
          <cell r="B165" t="str">
            <v>[effect:damage_anti_color, target:unit_one, color:yellow, val1:2.0, val2:1.0]</v>
          </cell>
          <cell r="C165">
            <v>3</v>
          </cell>
          <cell r="D165" t="str">
            <v>ja</v>
          </cell>
          <cell r="E165" t="str">
            <v>深山の芽吹き</v>
          </cell>
        </row>
        <row r="166">
          <cell r="A166">
            <v>260003</v>
          </cell>
          <cell r="B166" t="str">
            <v>[effect:damage_anti_color, target:unit_one, color:green, val1:2.0, val2:1.0]</v>
          </cell>
          <cell r="C166">
            <v>3</v>
          </cell>
          <cell r="D166" t="str">
            <v>ja</v>
          </cell>
          <cell r="E166" t="str">
            <v>灼熱の火炎</v>
          </cell>
        </row>
        <row r="167">
          <cell r="A167">
            <v>260004</v>
          </cell>
          <cell r="B167" t="str">
            <v>[effect:damage_anti_color, target:unit_one, color:blue, val1:1.5, val2:1.0]</v>
          </cell>
          <cell r="C167">
            <v>3</v>
          </cell>
          <cell r="D167" t="str">
            <v>ja</v>
          </cell>
          <cell r="E167" t="str">
            <v xml:space="preserve">狼なんてコワくない(´･ω･`) </v>
          </cell>
        </row>
        <row r="168">
          <cell r="A168">
            <v>260005</v>
          </cell>
          <cell r="B168" t="str">
            <v>[effect:damage_anti_color, target:unit_one, color:red, val1:3.0, val2:0.1]</v>
          </cell>
          <cell r="C168">
            <v>3</v>
          </cell>
          <cell r="D168" t="str">
            <v>ja</v>
          </cell>
          <cell r="E168" t="str">
            <v>乱れ跳ぶ虹弾</v>
          </cell>
        </row>
        <row r="169">
          <cell r="A169">
            <v>260006</v>
          </cell>
          <cell r="B169" t="str">
            <v>[effect:damage_anti_color, target:unit_one, color:yellow, val1:3.0, val2:0.1]</v>
          </cell>
          <cell r="C169">
            <v>3</v>
          </cell>
          <cell r="D169" t="str">
            <v>ja</v>
          </cell>
          <cell r="E169" t="str">
            <v>乱れ跳ぶ虹弾</v>
          </cell>
        </row>
        <row r="170">
          <cell r="A170">
            <v>260007</v>
          </cell>
          <cell r="B170" t="str">
            <v>[effect:damage_anti_color, target:unit_one, color:green, val1:3.0, val2:0.1]</v>
          </cell>
          <cell r="C170">
            <v>3</v>
          </cell>
          <cell r="D170" t="str">
            <v>ja</v>
          </cell>
          <cell r="E170" t="str">
            <v>乱れ跳ぶ虹弾</v>
          </cell>
        </row>
        <row r="171">
          <cell r="A171">
            <v>260008</v>
          </cell>
          <cell r="B171" t="str">
            <v>[effect:damage_anti_color, target:unit_one, color:blue, val1:3.0, val2:0.1]</v>
          </cell>
          <cell r="C171">
            <v>3</v>
          </cell>
          <cell r="D171" t="str">
            <v>ja</v>
          </cell>
          <cell r="E171" t="str">
            <v>乱れ跳ぶ虹弾</v>
          </cell>
        </row>
        <row r="172">
          <cell r="A172">
            <v>300001</v>
          </cell>
          <cell r="B172" t="str">
            <v>[effect:heal, target:enemy_all, val:0.25, animation:enemy_heal]</v>
          </cell>
          <cell r="C172">
            <v>3</v>
          </cell>
          <cell r="D172" t="str">
            <v>ja</v>
          </cell>
          <cell r="E172" t="str">
            <v>ヒール</v>
          </cell>
        </row>
        <row r="173">
          <cell r="A173">
            <v>300002</v>
          </cell>
          <cell r="B173" t="str">
            <v>[effect:heal, target:enemy_all, val:0.5, animation:enemy_heal]</v>
          </cell>
          <cell r="C173">
            <v>3</v>
          </cell>
          <cell r="D173" t="str">
            <v>ja</v>
          </cell>
          <cell r="E173" t="str">
            <v>ヒール</v>
          </cell>
        </row>
        <row r="174">
          <cell r="A174">
            <v>300003</v>
          </cell>
          <cell r="B174" t="str">
            <v>[effect:heal, target:enemy_one, val:1.0, animation:enemy_heal]</v>
          </cell>
          <cell r="C174">
            <v>3</v>
          </cell>
          <cell r="D174" t="str">
            <v>ja</v>
          </cell>
          <cell r="E174" t="str">
            <v>超再生</v>
          </cell>
        </row>
        <row r="175">
          <cell r="A175">
            <v>300004</v>
          </cell>
          <cell r="B175" t="str">
            <v>[effect:heal, target:enemy_one, val:0.1, animation:enemy_heal]</v>
          </cell>
          <cell r="C175">
            <v>3</v>
          </cell>
          <cell r="D175" t="str">
            <v>ja</v>
          </cell>
          <cell r="E175" t="str">
            <v>ヒール</v>
          </cell>
        </row>
        <row r="176">
          <cell r="A176">
            <v>300005</v>
          </cell>
          <cell r="B176" t="str">
            <v>[effect:heal, target:enemy_all, val:0.25, animation:enemy_heal]</v>
          </cell>
          <cell r="C176">
            <v>3</v>
          </cell>
          <cell r="D176" t="str">
            <v>ja</v>
          </cell>
          <cell r="E176" t="str">
            <v>ヒール</v>
          </cell>
        </row>
        <row r="177">
          <cell r="A177">
            <v>300006</v>
          </cell>
          <cell r="B177" t="str">
            <v>[effect:heal, target:enemy_all, val:0.25, animation:enemy_heal]</v>
          </cell>
          <cell r="C177">
            <v>3</v>
          </cell>
          <cell r="D177" t="str">
            <v>ja</v>
          </cell>
          <cell r="E177" t="str">
            <v>癒しの果汁</v>
          </cell>
        </row>
        <row r="178">
          <cell r="A178">
            <v>300007</v>
          </cell>
          <cell r="B178" t="str">
            <v>[effect:heal, target:myself, val:0.40, animation:enemy_heal],[effect:enhance_enemy, target:myself, turn:-1, status:attack, val:1.5, animation:enemy_enhance_enemy]</v>
          </cell>
          <cell r="C178">
            <v>3</v>
          </cell>
          <cell r="D178" t="str">
            <v>ja</v>
          </cell>
          <cell r="E178" t="str">
            <v>永遠の美貌</v>
          </cell>
        </row>
        <row r="179">
          <cell r="A179">
            <v>300008</v>
          </cell>
          <cell r="B179" t="str">
            <v>[effect:heal, target:enemy_all, val:0.30, animation:enemy_heal]</v>
          </cell>
          <cell r="C179">
            <v>1</v>
          </cell>
          <cell r="D179" t="str">
            <v>ja</v>
          </cell>
          <cell r="E179" t="str">
            <v>すべてを癒そう</v>
          </cell>
        </row>
        <row r="180">
          <cell r="A180">
            <v>300009</v>
          </cell>
          <cell r="B180" t="str">
            <v>[effect:heal, target:enemy_one, val:0.5, animation:enemy_heal]</v>
          </cell>
          <cell r="C180">
            <v>3</v>
          </cell>
          <cell r="D180" t="str">
            <v>ja</v>
          </cell>
          <cell r="E180" t="str">
            <v>ヒール</v>
          </cell>
        </row>
        <row r="181">
          <cell r="A181">
            <v>310001</v>
          </cell>
          <cell r="B181" t="str">
            <v>[effect:dis_heart, turn:7, rate:1.0, animation:enemy_dis_heart]</v>
          </cell>
          <cell r="C181">
            <v>3</v>
          </cell>
          <cell r="D181" t="str">
            <v>ja</v>
          </cell>
          <cell r="E181" t="str">
            <v>ディスハート</v>
          </cell>
        </row>
        <row r="182">
          <cell r="A182">
            <v>310002</v>
          </cell>
          <cell r="B182" t="str">
            <v>[effect:dis_heart, turn:3, rate:1.0, animation:enemy_dis_heart]</v>
          </cell>
          <cell r="C182">
            <v>1</v>
          </cell>
          <cell r="D182" t="str">
            <v>ja</v>
          </cell>
          <cell r="E182" t="str">
            <v>ディスハート</v>
          </cell>
        </row>
        <row r="183">
          <cell r="A183">
            <v>310003</v>
          </cell>
          <cell r="B183" t="str">
            <v>[effect:dis_heart, turn:3, rate:1.0, animation:enemy_dis_heart]</v>
          </cell>
          <cell r="C183">
            <v>3</v>
          </cell>
          <cell r="D183" t="str">
            <v>ja</v>
          </cell>
          <cell r="E183" t="str">
            <v>心頭滅却</v>
          </cell>
        </row>
        <row r="184">
          <cell r="A184">
            <v>310004</v>
          </cell>
          <cell r="B184" t="str">
            <v>[effect:dis_heart, turn:10, rate:1.0, animation:enemy_dis_heart]</v>
          </cell>
          <cell r="C184">
            <v>3</v>
          </cell>
          <cell r="D184" t="str">
            <v>ja</v>
          </cell>
          <cell r="E184" t="str">
            <v>貴様らに未来は無い…</v>
          </cell>
        </row>
        <row r="185">
          <cell r="A185">
            <v>320001</v>
          </cell>
          <cell r="B185" t="str">
            <v>[effect:virus, turn:3, rate:1.0, val:0.10, animation:enemy_virus]</v>
          </cell>
          <cell r="C185">
            <v>3</v>
          </cell>
          <cell r="D185" t="str">
            <v>ja</v>
          </cell>
          <cell r="E185" t="str">
            <v>即効性ウィルス</v>
          </cell>
        </row>
        <row r="186">
          <cell r="A186">
            <v>320002</v>
          </cell>
          <cell r="B186" t="str">
            <v>[effect:virus, turn:3, rate:1.0, val:0.15, animation:enemy_virus]</v>
          </cell>
          <cell r="C186">
            <v>3</v>
          </cell>
          <cell r="D186" t="str">
            <v>ja</v>
          </cell>
          <cell r="E186" t="str">
            <v>地獄の熱気</v>
          </cell>
        </row>
        <row r="187">
          <cell r="A187">
            <v>320003</v>
          </cell>
          <cell r="B187" t="str">
            <v>[effect:virus, turn:5, rate:1.0, val:0.15, animation:enemy_virus]</v>
          </cell>
          <cell r="C187">
            <v>3</v>
          </cell>
          <cell r="D187" t="str">
            <v>ja</v>
          </cell>
          <cell r="E187" t="str">
            <v>煉獄の熱気</v>
          </cell>
        </row>
        <row r="188">
          <cell r="A188">
            <v>320004</v>
          </cell>
          <cell r="B188" t="str">
            <v>[effect:virus, turn:5, rate:1.0, val:0.25, animation:enemy_virus]</v>
          </cell>
          <cell r="C188">
            <v>3</v>
          </cell>
          <cell r="D188" t="str">
            <v>ja</v>
          </cell>
          <cell r="E188" t="str">
            <v>侵食性ウィルス</v>
          </cell>
        </row>
        <row r="189">
          <cell r="A189">
            <v>320005</v>
          </cell>
          <cell r="B189" t="str">
            <v>[effect:virus, turn:5, rate:1.0, val:0.10, animation:enemy_virus]</v>
          </cell>
          <cell r="C189">
            <v>3</v>
          </cell>
          <cell r="D189" t="str">
            <v>ja</v>
          </cell>
          <cell r="E189" t="str">
            <v>超即効性ウィルス</v>
          </cell>
        </row>
        <row r="190">
          <cell r="A190">
            <v>320006</v>
          </cell>
          <cell r="B190" t="str">
            <v>[effect:virus, turn:5, rate:1.0, val:0.25, animation:enemy_virus]</v>
          </cell>
          <cell r="C190">
            <v>3</v>
          </cell>
          <cell r="D190" t="str">
            <v>ja</v>
          </cell>
          <cell r="E190" t="str">
            <v>死の誘惑</v>
          </cell>
        </row>
        <row r="191">
          <cell r="A191">
            <v>320007</v>
          </cell>
          <cell r="B191" t="str">
            <v>[effect:virus, turn:3, rate:1.0, val:0.15, animation:enemy_virus]</v>
          </cell>
          <cell r="C191">
            <v>3</v>
          </cell>
          <cell r="D191" t="str">
            <v>ja</v>
          </cell>
          <cell r="E191" t="str">
            <v>炎華の香り</v>
          </cell>
        </row>
        <row r="192">
          <cell r="A192">
            <v>320008</v>
          </cell>
          <cell r="B192" t="str">
            <v>[effect:virus, turn:-1, rate:1.0, val:0.22, animation:enemy_virus]</v>
          </cell>
          <cell r="C192">
            <v>3</v>
          </cell>
          <cell r="D192" t="str">
            <v>ja</v>
          </cell>
          <cell r="E192" t="str">
            <v>炎華の香り・永代</v>
          </cell>
        </row>
        <row r="193">
          <cell r="A193">
            <v>320009</v>
          </cell>
          <cell r="B193" t="str">
            <v>[effect:virus, turn:5, rate:1.0, val:0.35, animation:enemy_virus]</v>
          </cell>
          <cell r="C193">
            <v>3</v>
          </cell>
          <cell r="D193" t="str">
            <v>ja</v>
          </cell>
          <cell r="E193" t="str">
            <v>炎華の香り・真打</v>
          </cell>
        </row>
        <row r="194">
          <cell r="A194">
            <v>320010</v>
          </cell>
          <cell r="B194" t="str">
            <v>[effect:virus, turn:-1, rate:1.0, val:0.1, animation:enemy_virus]</v>
          </cell>
          <cell r="C194">
            <v>3</v>
          </cell>
          <cell r="D194" t="str">
            <v>ja</v>
          </cell>
          <cell r="E194" t="str">
            <v>死国への誘い</v>
          </cell>
        </row>
        <row r="195">
          <cell r="A195">
            <v>320011</v>
          </cell>
          <cell r="B195" t="str">
            <v>[effect:virus, turn:3, rate:1.0, val:0.19, animation:enemy_virus],[effect:rush, count:1, val:0.3]</v>
          </cell>
          <cell r="C195">
            <v>3</v>
          </cell>
          <cell r="D195" t="str">
            <v>ja</v>
          </cell>
          <cell r="E195" t="str">
            <v>ブラッド・インク</v>
          </cell>
        </row>
        <row r="196">
          <cell r="A196">
            <v>320012</v>
          </cell>
          <cell r="B196" t="str">
            <v>[effect:virus, turn:3, rate:1.0, val:0.1, animation:enemy_virus]</v>
          </cell>
          <cell r="C196">
            <v>1</v>
          </cell>
          <cell r="D196" t="str">
            <v>ja</v>
          </cell>
          <cell r="E196" t="str">
            <v>セクメトの息吹</v>
          </cell>
        </row>
        <row r="197">
          <cell r="A197">
            <v>320013</v>
          </cell>
          <cell r="B197" t="str">
            <v>[effect:virus, turn:2, rate:1.0, val:0.27, animation:enemy_virus],[effect:rush, count:1, val:0.5]</v>
          </cell>
          <cell r="C197">
            <v>3</v>
          </cell>
          <cell r="D197" t="str">
            <v>ja</v>
          </cell>
          <cell r="E197" t="str">
            <v>や、やってくれたわね！</v>
          </cell>
        </row>
        <row r="198">
          <cell r="A198">
            <v>320014</v>
          </cell>
          <cell r="B198" t="str">
            <v>[effect:virus, turn:3, rate:1.0, val:0.10, animation:enemy_virus]</v>
          </cell>
          <cell r="C198">
            <v>3</v>
          </cell>
          <cell r="D198" t="str">
            <v>ja</v>
          </cell>
          <cell r="E198" t="str">
            <v>パタパタ胞子</v>
          </cell>
        </row>
        <row r="199">
          <cell r="A199">
            <v>320015</v>
          </cell>
          <cell r="B199" t="str">
            <v>[effect:virus, turn:8, rate:1.0, val:0.1, animation:enemy_virus]</v>
          </cell>
          <cell r="C199">
            <v>1</v>
          </cell>
          <cell r="D199" t="str">
            <v>ja</v>
          </cell>
          <cell r="E199" t="str">
            <v>凍てつくフィールド！</v>
          </cell>
        </row>
        <row r="200">
          <cell r="A200">
            <v>330001</v>
          </cell>
          <cell r="B200" t="str">
            <v>[effect:hungup, target:unit_one, turn:2, rate:1.0, animation:enemy_hungup]</v>
          </cell>
          <cell r="C200">
            <v>3</v>
          </cell>
          <cell r="D200" t="str">
            <v>ja</v>
          </cell>
          <cell r="E200" t="str">
            <v>ハングアップ</v>
          </cell>
        </row>
        <row r="201">
          <cell r="A201">
            <v>330002</v>
          </cell>
          <cell r="B201" t="str">
            <v>[effect:hungup, target:unit_one, turn:3, rate:1.0, animation:enemy_hungup]</v>
          </cell>
          <cell r="C201">
            <v>3</v>
          </cell>
          <cell r="D201" t="str">
            <v>ja</v>
          </cell>
          <cell r="E201" t="str">
            <v>デジタルマジック</v>
          </cell>
        </row>
        <row r="202">
          <cell r="A202">
            <v>330003</v>
          </cell>
          <cell r="B202" t="str">
            <v>[effect:hungup, target:unit_all, turn:4, rate:1.0, animation:enemy_hungup]</v>
          </cell>
          <cell r="C202">
            <v>3</v>
          </cell>
          <cell r="D202" t="str">
            <v>ja</v>
          </cell>
          <cell r="E202" t="str">
            <v>ハイ・ハングアップ</v>
          </cell>
        </row>
        <row r="203">
          <cell r="A203">
            <v>330004</v>
          </cell>
          <cell r="B203" t="str">
            <v>[effect:hungup, target:unit_one, turn:3, rate:1.0, animation:enemy_hungup]</v>
          </cell>
          <cell r="C203">
            <v>3</v>
          </cell>
          <cell r="D203" t="str">
            <v>ja</v>
          </cell>
          <cell r="E203" t="str">
            <v>回線ショート</v>
          </cell>
        </row>
        <row r="204">
          <cell r="A204">
            <v>330005</v>
          </cell>
          <cell r="B204" t="str">
            <v>[effect:hungup, target:unit_all, turn:-1, rate:1.0, animation:enemy_hungup]</v>
          </cell>
          <cell r="C204">
            <v>3</v>
          </cell>
          <cell r="D204" t="str">
            <v>ja</v>
          </cell>
          <cell r="E204" t="str">
            <v>マインドスナッチ</v>
          </cell>
        </row>
        <row r="205">
          <cell r="A205">
            <v>330006</v>
          </cell>
          <cell r="B205" t="str">
            <v>[effect:hungup, target:unit_all, turn:4, rate:1.0, animation:enemy_hungup]</v>
          </cell>
          <cell r="C205">
            <v>3</v>
          </cell>
          <cell r="D205" t="str">
            <v>ja</v>
          </cell>
          <cell r="E205" t="str">
            <v>孤独の支配</v>
          </cell>
        </row>
        <row r="206">
          <cell r="A206">
            <v>330007</v>
          </cell>
          <cell r="B206" t="str">
            <v>[effect:hungup, target:unit_all, turn:4, rate:1.0, animation:enemy_hungup]</v>
          </cell>
          <cell r="C206">
            <v>3</v>
          </cell>
          <cell r="D206" t="str">
            <v>ja</v>
          </cell>
          <cell r="E206" t="str">
            <v>孤独の支配</v>
          </cell>
        </row>
        <row r="207">
          <cell r="A207">
            <v>330008</v>
          </cell>
          <cell r="B207" t="str">
            <v>[effect:hungup, target:unit_all, turn:4, rate:1.0, animation:enemy_hungup],[effect:rush, count:1, val:0.7]</v>
          </cell>
          <cell r="C207">
            <v>1</v>
          </cell>
          <cell r="D207" t="str">
            <v>ja</v>
          </cell>
          <cell r="E207" t="str">
            <v>雷の拳</v>
          </cell>
        </row>
        <row r="208">
          <cell r="A208">
            <v>330009</v>
          </cell>
          <cell r="B208" t="str">
            <v>[effect:hungup, target:unit_all, turn:-1, rate:1.0, animation:enemy_hungup]</v>
          </cell>
          <cell r="C208">
            <v>3</v>
          </cell>
          <cell r="D208" t="str">
            <v>ja</v>
          </cell>
          <cell r="E208" t="str">
            <v>今度はイブの番！</v>
          </cell>
        </row>
        <row r="209">
          <cell r="A209">
            <v>330010</v>
          </cell>
          <cell r="B209" t="str">
            <v>[effect:hungup, target:unit_one, turn:3, rate:1.0, animation:enemy_hungup],[effect:rush, count:1, val:0.7]</v>
          </cell>
          <cell r="C209">
            <v>3</v>
          </cell>
          <cell r="D209" t="str">
            <v>ja</v>
          </cell>
          <cell r="E209" t="str">
            <v>束縛する薔薇</v>
          </cell>
        </row>
        <row r="210">
          <cell r="A210">
            <v>330014</v>
          </cell>
          <cell r="B210" t="str">
            <v>[effect:hungup, target:unit_all, turn:6, rate:1.0, animation:enemy_hungup],[effect:rush, count:1, val:0.7]</v>
          </cell>
          <cell r="C210">
            <v>3</v>
          </cell>
          <cell r="D210" t="str">
            <v>ja</v>
          </cell>
          <cell r="E210" t="str">
            <v>バインドノイズ</v>
          </cell>
        </row>
        <row r="211">
          <cell r="A211">
            <v>330015</v>
          </cell>
          <cell r="B211" t="str">
            <v>[effect:hungup, target:unit_all, turn:6, rate:1.0, animation:enemy_hungup],[effect:rush, count:1, val:0.7]</v>
          </cell>
          <cell r="C211">
            <v>3</v>
          </cell>
          <cell r="D211" t="str">
            <v>ja</v>
          </cell>
          <cell r="E211" t="str">
            <v>バインドノイズ</v>
          </cell>
        </row>
        <row r="212">
          <cell r="A212">
            <v>330016</v>
          </cell>
          <cell r="B212" t="str">
            <v>[effect:hungup, target:unit_one, turn:3, rate:1.0, animation:enemy_hungup]</v>
          </cell>
          <cell r="C212">
            <v>3</v>
          </cell>
          <cell r="D212" t="str">
            <v>ja</v>
          </cell>
          <cell r="E212" t="str">
            <v>実戦ロープワーク</v>
          </cell>
        </row>
        <row r="213">
          <cell r="A213">
            <v>340001</v>
          </cell>
          <cell r="B213" t="str">
            <v>[effect:sleep, target:unit_one, turn:2, rate:0.5, animation:enemy_sleep]</v>
          </cell>
          <cell r="C213">
            <v>3</v>
          </cell>
          <cell r="D213" t="str">
            <v>ja</v>
          </cell>
          <cell r="E213" t="str">
            <v>睡眠薬</v>
          </cell>
        </row>
        <row r="214">
          <cell r="A214">
            <v>340002</v>
          </cell>
          <cell r="B214" t="str">
            <v>[effect:sleep, target:unit_one, turn:3, rate:1.0, animation:enemy_sleep]</v>
          </cell>
          <cell r="C214">
            <v>3</v>
          </cell>
          <cell r="D214" t="str">
            <v>ja</v>
          </cell>
          <cell r="E214" t="str">
            <v>子守唄</v>
          </cell>
        </row>
        <row r="215">
          <cell r="A215">
            <v>340003</v>
          </cell>
          <cell r="B215" t="str">
            <v>[effect:sleep, target:unit_one, turn:4, rate:0.5, animation:enemy_sleep]</v>
          </cell>
          <cell r="C215">
            <v>3</v>
          </cell>
          <cell r="D215" t="str">
            <v>ja</v>
          </cell>
          <cell r="E215" t="str">
            <v>夢への誘い</v>
          </cell>
        </row>
        <row r="216">
          <cell r="A216">
            <v>340004</v>
          </cell>
          <cell r="B216" t="str">
            <v>[effect:sleep, target:unit_one, turn:3, rate:1.0, animation:enemy_sleep]</v>
          </cell>
          <cell r="C216">
            <v>3</v>
          </cell>
          <cell r="D216" t="str">
            <v>ja</v>
          </cell>
          <cell r="E216" t="str">
            <v>魅惑の瞳</v>
          </cell>
        </row>
        <row r="217">
          <cell r="A217">
            <v>340005</v>
          </cell>
          <cell r="B217" t="str">
            <v>[effect:sleep, target:unit_one, turn:4, rate:1.0, animation:enemy_sleep]</v>
          </cell>
          <cell r="C217">
            <v>3</v>
          </cell>
          <cell r="D217" t="str">
            <v>ja</v>
          </cell>
          <cell r="E217" t="str">
            <v>安寧への誘い</v>
          </cell>
        </row>
        <row r="218">
          <cell r="A218">
            <v>340006</v>
          </cell>
          <cell r="B218" t="str">
            <v>[effect:sleep, target:unit_one, turn:3, rate:1.0, animation:enemy_sleep]</v>
          </cell>
          <cell r="C218">
            <v>3</v>
          </cell>
          <cell r="D218" t="str">
            <v>ja</v>
          </cell>
          <cell r="E218" t="str">
            <v>人魚の歌声</v>
          </cell>
        </row>
        <row r="219">
          <cell r="A219">
            <v>340007</v>
          </cell>
          <cell r="B219" t="str">
            <v>[effect:sleep, target:unit_one, turn:3, rate:1.0, animation:enemy_sleep],[effect:rush, count:3, val:0.3]</v>
          </cell>
          <cell r="C219">
            <v>3</v>
          </cell>
          <cell r="D219" t="str">
            <v>ja</v>
          </cell>
          <cell r="E219" t="str">
            <v>殺戮の子守唄</v>
          </cell>
        </row>
        <row r="220">
          <cell r="A220">
            <v>340008</v>
          </cell>
          <cell r="B220" t="str">
            <v>[effect:sleep, target:unit_one, turn:4, rate:1.0, animation:enemy_sleep],[effect:virus, turn:2, rate:1.0, val:0.20, animation:enemy_virus]</v>
          </cell>
          <cell r="C220">
            <v>3</v>
          </cell>
          <cell r="D220" t="str">
            <v>ja</v>
          </cell>
          <cell r="E220" t="str">
            <v>恐怖のベル</v>
          </cell>
        </row>
        <row r="221">
          <cell r="A221">
            <v>340009</v>
          </cell>
          <cell r="B221" t="str">
            <v>[effect:sleep, target:unit_one, turn:4, rate:1.0, animation:enemy_sleep]</v>
          </cell>
          <cell r="C221">
            <v>3</v>
          </cell>
          <cell r="D221" t="str">
            <v>ja</v>
          </cell>
          <cell r="E221" t="str">
            <v>天使の子守唄</v>
          </cell>
        </row>
        <row r="222">
          <cell r="A222">
            <v>340010</v>
          </cell>
          <cell r="B222" t="str">
            <v>[effect:sleep, target:unit_green, turn:4, rate:1.0, animation:enemy_sleep]</v>
          </cell>
          <cell r="C222">
            <v>3</v>
          </cell>
          <cell r="D222" t="str">
            <v>ja</v>
          </cell>
          <cell r="E222" t="str">
            <v>静寂の緑</v>
          </cell>
        </row>
        <row r="223">
          <cell r="A223">
            <v>340011</v>
          </cell>
          <cell r="B223" t="str">
            <v>[effect:sleep, target:unit_one, turn:3, rate:1.0, animation:enemy_sleep],[effect:rush, count:1, val:0.7]</v>
          </cell>
          <cell r="C223">
            <v>3</v>
          </cell>
          <cell r="D223" t="str">
            <v>ja</v>
          </cell>
          <cell r="E223" t="str">
            <v>眠りを誘う薔薇園</v>
          </cell>
        </row>
        <row r="224">
          <cell r="A224">
            <v>340012</v>
          </cell>
          <cell r="B224" t="str">
            <v>[effect:sleep, target:unit_one, turn:3, rate:1.0, animation:enemy_sleep]</v>
          </cell>
          <cell r="C224">
            <v>3</v>
          </cell>
          <cell r="D224" t="str">
            <v>ja</v>
          </cell>
          <cell r="E224" t="str">
            <v>おやすみマーチ</v>
          </cell>
        </row>
        <row r="225">
          <cell r="A225">
            <v>340013</v>
          </cell>
          <cell r="B225" t="str">
            <v>[effect:sleep, target:unit_one, turn:4, rate:1.0, animation:enemy_sleep]</v>
          </cell>
          <cell r="C225">
            <v>3</v>
          </cell>
          <cell r="D225" t="str">
            <v>ja</v>
          </cell>
          <cell r="E225" t="str">
            <v>連鎖の水縛</v>
          </cell>
        </row>
        <row r="226">
          <cell r="A226">
            <v>34014</v>
          </cell>
          <cell r="B226" t="str">
            <v>[effect:sleep, target:unit_one, turn:4, rate:1.0, animation:enemy_sleep]</v>
          </cell>
          <cell r="C226">
            <v>3</v>
          </cell>
          <cell r="D226" t="str">
            <v>ja</v>
          </cell>
          <cell r="E226" t="str">
            <v>連鎖の水縛</v>
          </cell>
        </row>
        <row r="227">
          <cell r="A227">
            <v>350001</v>
          </cell>
          <cell r="B227" t="str">
            <v>[effect:degrade_unit, target:unit_all, turn:5, status:heal, val:1.0, calc:mul, animation:degrade_unit_all_heal]</v>
          </cell>
          <cell r="C227">
            <v>3</v>
          </cell>
          <cell r="D227" t="str">
            <v>ja</v>
          </cell>
          <cell r="E227" t="str">
            <v>ハートブレイク</v>
          </cell>
        </row>
        <row r="228">
          <cell r="A228">
            <v>350002</v>
          </cell>
          <cell r="B228" t="str">
            <v>[effect:degrade_unit, target:unit_all, turn:-1, status:heal, val:1.0, calc:mul, animation:degrade_unit_all_heal]</v>
          </cell>
          <cell r="C228">
            <v>3</v>
          </cell>
          <cell r="D228" t="str">
            <v>ja</v>
          </cell>
          <cell r="E228" t="str">
            <v>ハートブレイク</v>
          </cell>
        </row>
        <row r="229">
          <cell r="A229">
            <v>350003</v>
          </cell>
          <cell r="B229" t="str">
            <v>[effect:degrade_unit, target:unit_all, turn:-1, status:heal, val:1.0, calc:mul, animation:degrade_unit_all_heal]</v>
          </cell>
          <cell r="C229">
            <v>3</v>
          </cell>
          <cell r="D229" t="str">
            <v>ja</v>
          </cell>
          <cell r="E229" t="str">
            <v>神代の呪詛</v>
          </cell>
        </row>
        <row r="230">
          <cell r="A230">
            <v>350004</v>
          </cell>
          <cell r="B230" t="str">
            <v>[effect:degrade_unit, target:unit_all, turn:-1, status:heal, val:1.0, calc:mul]</v>
          </cell>
          <cell r="C230">
            <v>1</v>
          </cell>
          <cell r="D230" t="str">
            <v>ja</v>
          </cell>
          <cell r="E230" t="str">
            <v>ハートキャッチ</v>
          </cell>
        </row>
        <row r="231">
          <cell r="A231">
            <v>350005</v>
          </cell>
          <cell r="B231" t="str">
            <v>[effect:degrade_unit, target:unit_all, turn:3, status:heal, val:1, calc:mul, animation:degrade_unit_all_heal]</v>
          </cell>
          <cell r="C231">
            <v>3</v>
          </cell>
          <cell r="D231" t="str">
            <v>ja</v>
          </cell>
          <cell r="E231" t="str">
            <v>叶わぬ恋</v>
          </cell>
        </row>
        <row r="232">
          <cell r="A232">
            <v>350006</v>
          </cell>
          <cell r="B232" t="str">
            <v>[effect:degrade_unit, target:unit_all, turn:-1, status:heal, val:1.0, calc:mul]</v>
          </cell>
          <cell r="C232">
            <v>1</v>
          </cell>
          <cell r="D232" t="str">
            <v>ja</v>
          </cell>
          <cell r="E232" t="str">
            <v>回復ダウン【仮】</v>
          </cell>
        </row>
        <row r="233">
          <cell r="A233">
            <v>350007</v>
          </cell>
          <cell r="B233" t="str">
            <v>[effect:degrade_unit, target:unit_all, turn:5, status:heal, val:1.0, calc:mul, animation:degrade_unit_all_heal],[effect:critical, val:1.5.0, animation:enemy_critical]</v>
          </cell>
          <cell r="C233">
            <v>3</v>
          </cell>
          <cell r="D233" t="str">
            <v>ja</v>
          </cell>
          <cell r="E233" t="str">
            <v>ハートスナイプ</v>
          </cell>
        </row>
        <row r="234">
          <cell r="A234">
            <v>360001</v>
          </cell>
          <cell r="B234" t="str">
            <v>[effect:degrade_unit, target:unit_red, turn:-1, status:attack, val:1.0, calc:mul]</v>
          </cell>
          <cell r="C234">
            <v>3</v>
          </cell>
          <cell r="D234" t="str">
            <v>ja</v>
          </cell>
          <cell r="E234" t="str">
            <v>楽しき宴</v>
          </cell>
        </row>
        <row r="235">
          <cell r="A235">
            <v>360002</v>
          </cell>
          <cell r="B235" t="str">
            <v>[effect:degrade_unit, target:unit_red, turn:2, status:attack, val:0.5, calc:mul]</v>
          </cell>
          <cell r="C235">
            <v>3</v>
          </cell>
          <cell r="D235" t="str">
            <v>ja</v>
          </cell>
          <cell r="E235" t="str">
            <v>遊んでやろう</v>
          </cell>
        </row>
        <row r="236">
          <cell r="A236">
            <v>370001</v>
          </cell>
          <cell r="B236" t="str">
            <v>[effect:enemy_counter, target:myself,invoke_condition:unit_yellow,counter_target:attacker,turn:3,val:2.0,animation:enemy_counter]</v>
          </cell>
          <cell r="C236">
            <v>3</v>
          </cell>
          <cell r="D236" t="str">
            <v>ja</v>
          </cell>
          <cell r="E236" t="str">
            <v>黄属性カウンター</v>
          </cell>
        </row>
        <row r="237">
          <cell r="A237">
            <v>370002</v>
          </cell>
          <cell r="B237" t="str">
            <v>[effect:enemy_counter, target:myself,invoke_condition:unit_yellow,counter_target:attacker,turn:3,val:3.5,animation:enemy_counter]</v>
          </cell>
          <cell r="C237">
            <v>3</v>
          </cell>
          <cell r="D237" t="str">
            <v>ja</v>
          </cell>
          <cell r="E237" t="str">
            <v>黄属性カウンター(強)</v>
          </cell>
        </row>
        <row r="238">
          <cell r="A238">
            <v>370003</v>
          </cell>
          <cell r="B238" t="str">
            <v>[effect:enemy_counter, target:myself,invoke_condition:unit_red,counter_target:attacker,turn:1,val:2.0,animation:enemy_counter]</v>
          </cell>
          <cell r="C238">
            <v>3</v>
          </cell>
          <cell r="D238" t="str">
            <v>ja</v>
          </cell>
          <cell r="E238" t="str">
            <v>ダダこね</v>
          </cell>
        </row>
        <row r="239">
          <cell r="A239">
            <v>370004</v>
          </cell>
          <cell r="B239" t="str">
            <v>[effect:enemy_counter, target:myself,invoke_condition:unit_red,counter_target:attacker,turn:3,val:1.5,animation:enemy_counter]</v>
          </cell>
          <cell r="C239">
            <v>3</v>
          </cell>
          <cell r="D239" t="str">
            <v>ja</v>
          </cell>
          <cell r="E239" t="str">
            <v>インティミデイト</v>
          </cell>
        </row>
        <row r="240">
          <cell r="A240">
            <v>370005</v>
          </cell>
          <cell r="B240" t="str">
            <v>[effect:enemy_counter, target:myself,invoke_condition:unit_yellow,counter_target:attacker,turn:4,val:2.0,animation:enemy_counter]</v>
          </cell>
          <cell r="C240">
            <v>3</v>
          </cell>
          <cell r="D240" t="str">
            <v>ja</v>
          </cell>
          <cell r="E240" t="str">
            <v>黄属性カウンター</v>
          </cell>
        </row>
        <row r="241">
          <cell r="A241">
            <v>370006</v>
          </cell>
          <cell r="B241" t="str">
            <v>[effect:enemy_counter, target:myself,invoke_condition:unit_all,counter_target:attacker,turn:1,val:1.25,animation:enemy_counter]</v>
          </cell>
          <cell r="C241">
            <v>3</v>
          </cell>
          <cell r="D241" t="str">
            <v>ja</v>
          </cell>
          <cell r="E241" t="str">
            <v>ほらほら、触ってみて？</v>
          </cell>
        </row>
        <row r="242">
          <cell r="A242">
            <v>400001</v>
          </cell>
          <cell r="B242" t="str">
            <v>[effect:freq_turn, target:myself, turn:3, val:1, animation:enemy_freq_turn]</v>
          </cell>
          <cell r="C242">
            <v>3</v>
          </cell>
          <cell r="D242" t="str">
            <v>ja</v>
          </cell>
          <cell r="E242" t="str">
            <v>ハイスピードハック</v>
          </cell>
        </row>
        <row r="243">
          <cell r="A243">
            <v>400002</v>
          </cell>
          <cell r="B243" t="str">
            <v>[effect:freq_turn, target:myself, turn:3, val:1, animation:enemy_freq_turn]</v>
          </cell>
          <cell r="C243">
            <v>3</v>
          </cell>
          <cell r="D243" t="str">
            <v>ja</v>
          </cell>
          <cell r="E243" t="str">
            <v>スーパースピードハック</v>
          </cell>
        </row>
        <row r="244">
          <cell r="A244">
            <v>400003</v>
          </cell>
          <cell r="B244" t="str">
            <v>[effect:freq_turn, target:myself, turn:4, val:1, animation:enemy_freq_turn]</v>
          </cell>
          <cell r="C244">
            <v>3</v>
          </cell>
          <cell r="D244" t="str">
            <v>ja</v>
          </cell>
          <cell r="E244" t="str">
            <v>速筆</v>
          </cell>
        </row>
        <row r="245">
          <cell r="A245">
            <v>400004</v>
          </cell>
          <cell r="B245" t="str">
            <v>[effect:freq_turn, target:myself, turn:2, val:1, animation:enemy_freq_turn]</v>
          </cell>
          <cell r="C245">
            <v>3</v>
          </cell>
          <cell r="D245" t="str">
            <v>ja</v>
          </cell>
          <cell r="E245" t="str">
            <v>紅葉乱舞</v>
          </cell>
        </row>
        <row r="246">
          <cell r="A246">
            <v>400005</v>
          </cell>
          <cell r="B246" t="str">
            <v>[effect:freq_turn, target:enemy_all, turn:3, val:1, animation:enemy_freq_turn]</v>
          </cell>
          <cell r="C246">
            <v>3</v>
          </cell>
          <cell r="D246" t="str">
            <v>ja</v>
          </cell>
          <cell r="E246" t="str">
            <v>ハイスピードハック</v>
          </cell>
        </row>
        <row r="247">
          <cell r="A247">
            <v>400006</v>
          </cell>
          <cell r="B247" t="str">
            <v>[effect:freq_turn, target:enemy_all, turn:2, val:1, animation:enemy_freq_turn]</v>
          </cell>
          <cell r="C247">
            <v>3</v>
          </cell>
          <cell r="D247" t="str">
            <v>ja</v>
          </cell>
          <cell r="E247" t="str">
            <v>紅葉乱舞</v>
          </cell>
        </row>
        <row r="248">
          <cell r="A248">
            <v>400007</v>
          </cell>
          <cell r="B248" t="str">
            <v>[effect:freq_turn, target:myself, turn:-1, val:1, animation:enemy_freq_turn]</v>
          </cell>
          <cell r="C248">
            <v>3</v>
          </cell>
          <cell r="D248" t="str">
            <v>ja</v>
          </cell>
          <cell r="E248" t="str">
            <v>駿撃</v>
          </cell>
        </row>
        <row r="249">
          <cell r="A249">
            <v>400008</v>
          </cell>
          <cell r="B249" t="str">
            <v>[effect:freq_turn, target:myself, turn:-1, val:1, animation:enemy_freq_turn]</v>
          </cell>
          <cell r="C249">
            <v>3</v>
          </cell>
          <cell r="D249" t="str">
            <v>ja</v>
          </cell>
          <cell r="E249" t="str">
            <v>急いで止めなきゃ</v>
          </cell>
        </row>
        <row r="250">
          <cell r="A250">
            <v>400009</v>
          </cell>
          <cell r="B250" t="str">
            <v>[effect:freq_turn, turn:2, val:1, animation:enemy_freq_turn]</v>
          </cell>
          <cell r="C250">
            <v>3</v>
          </cell>
          <cell r="D250" t="str">
            <v>ja</v>
          </cell>
          <cell r="E250" t="str">
            <v>クロックアップ</v>
          </cell>
        </row>
        <row r="251">
          <cell r="A251">
            <v>400010</v>
          </cell>
          <cell r="B251" t="str">
            <v>[effect:freq_turn, target:myself, turn:-1, val:1, animation:enemy_freq_turn]</v>
          </cell>
          <cell r="C251">
            <v>3</v>
          </cell>
          <cell r="D251" t="str">
            <v>ja</v>
          </cell>
          <cell r="E251" t="str">
            <v>処刑宣告完了</v>
          </cell>
        </row>
        <row r="252">
          <cell r="A252">
            <v>400011</v>
          </cell>
          <cell r="B252" t="str">
            <v>[effect:freq_turn, target:myself, turn:4, val:1, animation:enemy_freq_turn]</v>
          </cell>
          <cell r="C252">
            <v>3</v>
          </cell>
          <cell r="D252" t="str">
            <v>ja</v>
          </cell>
          <cell r="E252" t="str">
            <v>疾走する本能</v>
          </cell>
        </row>
        <row r="253">
          <cell r="A253">
            <v>400012</v>
          </cell>
          <cell r="B253" t="str">
            <v>[effect:freq_turn, target:myself, turn:3, val:1, animation:enemy_freq_turn]</v>
          </cell>
          <cell r="C253">
            <v>1</v>
          </cell>
          <cell r="D253" t="str">
            <v>ja</v>
          </cell>
          <cell r="E253" t="str">
            <v>紅葉乱舞</v>
          </cell>
        </row>
        <row r="254">
          <cell r="A254">
            <v>400013</v>
          </cell>
          <cell r="B254" t="str">
            <v>[effect:freq_turn, target:myself, turn:3, val:1, animation:enemy_freq_turn]</v>
          </cell>
          <cell r="C254">
            <v>1</v>
          </cell>
          <cell r="D254" t="str">
            <v>ja</v>
          </cell>
          <cell r="E254" t="str">
            <v>スピードアップ【仮】</v>
          </cell>
        </row>
        <row r="255">
          <cell r="A255">
            <v>400014</v>
          </cell>
          <cell r="B255" t="str">
            <v>[effect:fix_speed,target:myself,turn:2]</v>
          </cell>
          <cell r="C255">
            <v>3</v>
          </cell>
          <cell r="D255" t="str">
            <v>ja</v>
          </cell>
          <cell r="E255" t="str">
            <v>&lt;ロックオン&gt;</v>
          </cell>
        </row>
        <row r="256">
          <cell r="A256">
            <v>400015</v>
          </cell>
          <cell r="B256" t="str">
            <v>[effect:freq_turn, target:myself, turn:-1, val:1, animation:enemy_freq_turn]</v>
          </cell>
          <cell r="C256">
            <v>3</v>
          </cell>
          <cell r="D256" t="str">
            <v>ja</v>
          </cell>
          <cell r="E256" t="str">
            <v>速翼の矜持</v>
          </cell>
        </row>
        <row r="257">
          <cell r="A257">
            <v>400016</v>
          </cell>
          <cell r="B257" t="str">
            <v>[effect:freq_turn, target:myself, turn:5, val:1, animation:enemy_freq_turn]</v>
          </cell>
          <cell r="C257">
            <v>3</v>
          </cell>
          <cell r="D257" t="str">
            <v>ja</v>
          </cell>
          <cell r="E257" t="str">
            <v>ターゲット・ロックオン</v>
          </cell>
        </row>
        <row r="258">
          <cell r="A258">
            <v>400017</v>
          </cell>
          <cell r="B258" t="str">
            <v>[effect:freq_turn, target:myself, turn:-1, val:1, animation:enemy_freq_turn]</v>
          </cell>
          <cell r="C258">
            <v>3</v>
          </cell>
          <cell r="D258" t="str">
            <v>ja</v>
          </cell>
          <cell r="E258" t="str">
            <v>狂乱の宴</v>
          </cell>
        </row>
        <row r="259">
          <cell r="A259">
            <v>400018</v>
          </cell>
          <cell r="B259" t="str">
            <v>[effect:freq_turn, target:enemy_all, turn:3, val:1, animation:enemy_freq_turn]</v>
          </cell>
          <cell r="C259">
            <v>1</v>
          </cell>
          <cell r="D259" t="str">
            <v>ja</v>
          </cell>
          <cell r="E259" t="str">
            <v>疾走する本能</v>
          </cell>
        </row>
        <row r="260">
          <cell r="A260">
            <v>400019</v>
          </cell>
          <cell r="B260" t="str">
            <v>[effect:freq_turn, target:myself, turn:3, val:1, animation:enemy_freq_turn]</v>
          </cell>
          <cell r="C260">
            <v>3</v>
          </cell>
          <cell r="D260" t="str">
            <v>ja</v>
          </cell>
          <cell r="E260" t="str">
            <v>クイックリロード</v>
          </cell>
        </row>
        <row r="261">
          <cell r="A261">
            <v>400020</v>
          </cell>
          <cell r="B261" t="str">
            <v>[effect:freq_turn, target:myself, turn:4, val:1, animation:enemy_freq_turn]</v>
          </cell>
          <cell r="C261">
            <v>3</v>
          </cell>
          <cell r="D261" t="str">
            <v>ja</v>
          </cell>
          <cell r="E261" t="str">
            <v>高速化</v>
          </cell>
        </row>
        <row r="262">
          <cell r="A262">
            <v>400021</v>
          </cell>
          <cell r="B262" t="str">
            <v>[effect:freq_turn, target:myself, turn:3, val:1, animation:enemy_freq_turn]</v>
          </cell>
          <cell r="C262">
            <v>3</v>
          </cell>
          <cell r="D262" t="str">
            <v>ja</v>
          </cell>
          <cell r="E262" t="str">
            <v>暴走</v>
          </cell>
        </row>
        <row r="263">
          <cell r="A263">
            <v>400022</v>
          </cell>
          <cell r="B263" t="str">
            <v>[effect:freq_turn, target:myself, turn:2, val:1, animation:enemy_freq_turn]</v>
          </cell>
          <cell r="C263">
            <v>3</v>
          </cell>
          <cell r="D263" t="str">
            <v>ja</v>
          </cell>
          <cell r="E263" t="str">
            <v>カンブリアの激流！</v>
          </cell>
        </row>
        <row r="264">
          <cell r="A264">
            <v>400023</v>
          </cell>
          <cell r="B264" t="str">
            <v>[effect:freq_turn, target:enemy_all, turn:-1, val:1, animation:enemy_freq_turn]</v>
          </cell>
          <cell r="C264">
            <v>3</v>
          </cell>
          <cell r="D264" t="str">
            <v>ja</v>
          </cell>
          <cell r="E264" t="str">
            <v>疾走する本能</v>
          </cell>
        </row>
        <row r="265">
          <cell r="A265">
            <v>400024</v>
          </cell>
          <cell r="B265" t="str">
            <v>[effect:freq_turn, target:enemy_all, turn:3, val:1, animation:enemy_freq_turn]</v>
          </cell>
          <cell r="C265">
            <v>3</v>
          </cell>
          <cell r="D265" t="str">
            <v>ja</v>
          </cell>
          <cell r="E265" t="str">
            <v>紅葉乱舞</v>
          </cell>
        </row>
        <row r="266">
          <cell r="A266">
            <v>40025</v>
          </cell>
          <cell r="B266" t="str">
            <v>[effect:freq_turn, target:myself, turn:2, val:1, animation:enemy_freq_turn],[effect:dis_panel, target:block_yellow, turn:5, animation:enemy_dis_yellow]</v>
          </cell>
          <cell r="C266">
            <v>3</v>
          </cell>
          <cell r="D266" t="str">
            <v>ja</v>
          </cell>
          <cell r="E266" t="str">
            <v>あ、あのねっ</v>
          </cell>
        </row>
        <row r="267">
          <cell r="A267">
            <v>400027</v>
          </cell>
          <cell r="B267" t="str">
            <v>[effect:freq_turn, target:enemy_all, turn:5, val:1, animation:enemy_freq_turn]</v>
          </cell>
          <cell r="C267">
            <v>1</v>
          </cell>
          <cell r="D267" t="str">
            <v>ja</v>
          </cell>
          <cell r="E267" t="str">
            <v>ジャンヌ仮頻度</v>
          </cell>
        </row>
        <row r="268">
          <cell r="A268">
            <v>410001</v>
          </cell>
          <cell r="B268" t="str">
            <v>[effect:enhance_enemy, target:enemy_all, turn:3, status:attack, val:1.25, animation:enemy_enhance_enemy]</v>
          </cell>
          <cell r="C268">
            <v>3</v>
          </cell>
          <cell r="D268" t="str">
            <v>ja</v>
          </cell>
          <cell r="E268" t="str">
            <v>火酒</v>
          </cell>
        </row>
        <row r="269">
          <cell r="A269">
            <v>410002</v>
          </cell>
          <cell r="B269" t="str">
            <v>[effect:enhance_enemy, target:enemy_all, turn:3, status:attack, val:1.50, animation:enemy_enhance_enemy]</v>
          </cell>
          <cell r="C269">
            <v>3</v>
          </cell>
          <cell r="D269" t="str">
            <v>ja</v>
          </cell>
          <cell r="E269" t="str">
            <v>攻撃力UP</v>
          </cell>
        </row>
        <row r="270">
          <cell r="A270">
            <v>410003</v>
          </cell>
          <cell r="B270" t="str">
            <v>[effect:enhance_enemy, target:enemy_all, turn:5, status:attack, val:1.2, animation:enemy_enhance_enemy]</v>
          </cell>
          <cell r="C270">
            <v>3</v>
          </cell>
          <cell r="D270" t="str">
            <v>ja</v>
          </cell>
          <cell r="E270" t="str">
            <v>頑張っちゃいますぅ！</v>
          </cell>
        </row>
        <row r="271">
          <cell r="A271">
            <v>410004</v>
          </cell>
          <cell r="B271" t="str">
            <v>[effect:enhance_enemy, target:enemy_all, turn:3, status:attack, val:1.50, animation:enemy_enhance_enemy]</v>
          </cell>
          <cell r="C271">
            <v>3</v>
          </cell>
          <cell r="D271" t="str">
            <v>ja</v>
          </cell>
          <cell r="E271" t="str">
            <v>電力アップ</v>
          </cell>
        </row>
        <row r="272">
          <cell r="A272">
            <v>410005</v>
          </cell>
          <cell r="B272" t="str">
            <v>[effect:enhance_enemy, target:enemy_all, turn:5, status:attack, val:2.0, animation:enemy_enhance_enemy]</v>
          </cell>
          <cell r="C272">
            <v>3</v>
          </cell>
          <cell r="D272" t="str">
            <v>ja</v>
          </cell>
          <cell r="E272" t="str">
            <v>もっと遊ぼう？</v>
          </cell>
        </row>
        <row r="273">
          <cell r="A273">
            <v>410006</v>
          </cell>
          <cell r="B273" t="str">
            <v>[effect:enhance_enemy, target:enemy_all, turn:3, status:attack, val:2.0, animation:enemy_enhance_enemy]</v>
          </cell>
          <cell r="C273">
            <v>3</v>
          </cell>
          <cell r="D273" t="str">
            <v>ja</v>
          </cell>
          <cell r="E273" t="str">
            <v>獅子の咆哮</v>
          </cell>
        </row>
        <row r="274">
          <cell r="A274">
            <v>410007</v>
          </cell>
          <cell r="B274" t="str">
            <v>[effect:enhance_enemy, target:enemy_all, turn:5, status:attack, val:1.50, animation:enemy_enhance_enemy]</v>
          </cell>
          <cell r="C274">
            <v>3</v>
          </cell>
          <cell r="D274" t="str">
            <v>ja</v>
          </cell>
          <cell r="E274" t="str">
            <v>緑剛の恵み</v>
          </cell>
        </row>
        <row r="275">
          <cell r="A275">
            <v>410008</v>
          </cell>
          <cell r="B275" t="str">
            <v>[effect:enhance_enemy, target:enemy_all, turn:3, status:attack, val:1.5, animation:enemy_enhance_enemy]</v>
          </cell>
          <cell r="C275">
            <v>3</v>
          </cell>
          <cell r="D275" t="str">
            <v>ja</v>
          </cell>
          <cell r="E275" t="str">
            <v>怒り鉤爪</v>
          </cell>
        </row>
        <row r="276">
          <cell r="A276">
            <v>410009</v>
          </cell>
          <cell r="B276" t="str">
            <v>[effect:enhance_enemy, target:enemy_all, turn:5, status:attack, val:1.50, animation:enemy_enhance_enemy]</v>
          </cell>
          <cell r="C276">
            <v>3</v>
          </cell>
          <cell r="D276" t="str">
            <v>ja</v>
          </cell>
          <cell r="E276" t="str">
            <v>本気で止めなきゃ</v>
          </cell>
        </row>
        <row r="277">
          <cell r="A277">
            <v>410010</v>
          </cell>
          <cell r="B277" t="str">
            <v>[effect:enhance_enemy, target:enemy_all, turn:3, status:attack, val:1.50, animation:enemy_enhance_enemy]</v>
          </cell>
          <cell r="C277">
            <v>3</v>
          </cell>
          <cell r="D277" t="str">
            <v>ja</v>
          </cell>
          <cell r="E277" t="str">
            <v>攻勢の巫術</v>
          </cell>
        </row>
        <row r="278">
          <cell r="A278">
            <v>410011</v>
          </cell>
          <cell r="B278" t="str">
            <v>[effect:enhance_enemy, target:enemy_all, turn:-1, status:attack, val:1.6, animation:enemy_enhance_enemy]</v>
          </cell>
          <cell r="C278">
            <v>3</v>
          </cell>
          <cell r="D278" t="str">
            <v>ja</v>
          </cell>
          <cell r="E278" t="str">
            <v>痛いじゃないの！</v>
          </cell>
        </row>
        <row r="279">
          <cell r="A279">
            <v>410012</v>
          </cell>
          <cell r="B279" t="str">
            <v>[effect:enhance_enemy, target:myself, turn:3, status:attack, val:1.5, animation:enemy_enhance_enemy]</v>
          </cell>
          <cell r="C279">
            <v>3</v>
          </cell>
          <cell r="D279" t="str">
            <v>ja</v>
          </cell>
          <cell r="E279" t="str">
            <v>獅子の咆哮</v>
          </cell>
        </row>
        <row r="280">
          <cell r="A280">
            <v>410013</v>
          </cell>
          <cell r="B280" t="str">
            <v>[effect:enhance_enemy, target:myself, turn:-1, status:attack, val:1.2, animation:enemy_enhance_enemy]</v>
          </cell>
          <cell r="C280">
            <v>3</v>
          </cell>
          <cell r="D280" t="str">
            <v>ja</v>
          </cell>
          <cell r="E280" t="str">
            <v>野生の本能</v>
          </cell>
        </row>
        <row r="281">
          <cell r="A281">
            <v>410014</v>
          </cell>
          <cell r="B281" t="str">
            <v>[effect:enhance_enemy, target:enemy_all, turn:3, status:attack, val:1.50, animation:enemy_enhance_enemy]</v>
          </cell>
          <cell r="C281">
            <v>3</v>
          </cell>
          <cell r="D281" t="str">
            <v>ja</v>
          </cell>
          <cell r="E281" t="str">
            <v>緑剛の恵み</v>
          </cell>
        </row>
        <row r="282">
          <cell r="A282">
            <v>410015</v>
          </cell>
          <cell r="B282" t="str">
            <v>[effect:enhance_enemy, target:enemy_all, turn:5, status:attack, val:2.0, animation:enemy_enhance_enemy]</v>
          </cell>
          <cell r="C282">
            <v>3</v>
          </cell>
          <cell r="D282" t="str">
            <v>ja</v>
          </cell>
          <cell r="E282" t="str">
            <v>もっと遊ぼう？</v>
          </cell>
        </row>
        <row r="283">
          <cell r="A283">
            <v>41016</v>
          </cell>
          <cell r="B283" t="str">
            <v>[effect:enhance_enemy, target:enemy_all, turn:-1, status:attack, val:1.1, animation:enemy_enhance_enemy],[effect:fix_speed,target:myself,turn:2]</v>
          </cell>
          <cell r="C283">
            <v>3</v>
          </cell>
          <cell r="D283" t="str">
            <v>ja</v>
          </cell>
          <cell r="E283" t="str">
            <v>力尽くでも奪い返す…！</v>
          </cell>
        </row>
        <row r="284">
          <cell r="A284">
            <v>410017</v>
          </cell>
          <cell r="B284" t="str">
            <v>[effect:enhance_enemy, target:enemy_all, turn:-1, status:attack, val:1.1, animation:enemy_enhance_enemy]</v>
          </cell>
          <cell r="C284">
            <v>3</v>
          </cell>
          <cell r="D284" t="str">
            <v>ja</v>
          </cell>
          <cell r="E284" t="str">
            <v>野生の本能</v>
          </cell>
        </row>
        <row r="285">
          <cell r="A285">
            <v>410018</v>
          </cell>
          <cell r="B285" t="str">
            <v>[effect:enhance_enemy, target:enemy_all, turn:5, status:attack, val:1.1, animation:enemy_enhance_enemy]</v>
          </cell>
          <cell r="C285">
            <v>3</v>
          </cell>
          <cell r="D285" t="str">
            <v>ja</v>
          </cell>
          <cell r="E285" t="str">
            <v>力尽くでも奪い返す…！</v>
          </cell>
        </row>
        <row r="286">
          <cell r="A286">
            <v>410019</v>
          </cell>
          <cell r="B286" t="str">
            <v>[effect:enhance_enemy, target:enemy_all, turn:4, status:attack, val:1.5, animation:enemy_enhance_enemy]</v>
          </cell>
          <cell r="C286">
            <v>3</v>
          </cell>
          <cell r="D286" t="str">
            <v>ja</v>
          </cell>
          <cell r="E286" t="str">
            <v>闘気結集</v>
          </cell>
        </row>
        <row r="287">
          <cell r="A287">
            <v>410020</v>
          </cell>
          <cell r="B287" t="str">
            <v>[effect:enhance_enemy, target:enemy_all, turn:3, status:attack, val:1.2, animation:enemy_enhance_enemy]</v>
          </cell>
          <cell r="C287">
            <v>3</v>
          </cell>
          <cell r="D287" t="str">
            <v>ja</v>
          </cell>
          <cell r="E287" t="str">
            <v>ちょっと本気出そっかな</v>
          </cell>
        </row>
        <row r="288">
          <cell r="A288">
            <v>410021</v>
          </cell>
          <cell r="B288" t="str">
            <v>[effect:enhance_enemy, target:enemy_all, turn:4, status:attack, val:1.25, animation:enemy_enhance_enemy]</v>
          </cell>
          <cell r="C288">
            <v>3</v>
          </cell>
          <cell r="D288" t="str">
            <v>ja</v>
          </cell>
          <cell r="E288" t="str">
            <v>インサニティ</v>
          </cell>
        </row>
        <row r="289">
          <cell r="A289">
            <v>410022</v>
          </cell>
          <cell r="B289" t="str">
            <v>[effect:enhance_enemy, target:enemy_all, turn:3, status:attack, val:1.5, animation:enemy_enhance_enemy]</v>
          </cell>
          <cell r="C289">
            <v>3</v>
          </cell>
          <cell r="D289" t="str">
            <v>ja</v>
          </cell>
          <cell r="E289" t="str">
            <v>このオレが愛でてやろう</v>
          </cell>
        </row>
        <row r="290">
          <cell r="A290">
            <v>410023</v>
          </cell>
          <cell r="B290" t="str">
            <v>[effect:enhance_enemy, target:enemy_all, turn:8, status:attack, val:1.2, animation:enemy_enhance_enemy]</v>
          </cell>
          <cell r="C290">
            <v>3</v>
          </cell>
          <cell r="D290" t="str">
            <v>ja</v>
          </cell>
          <cell r="E290" t="str">
            <v>頑張っちゃいますぅ！</v>
          </cell>
        </row>
        <row r="291">
          <cell r="A291">
            <v>410024</v>
          </cell>
          <cell r="B291" t="str">
            <v>[effect:enhance_enemy, target:myself, turn:3, status:attack, val:1.2, animation:enemy_enhance_enemy]</v>
          </cell>
          <cell r="C291">
            <v>3</v>
          </cell>
          <cell r="D291" t="str">
            <v>ja</v>
          </cell>
          <cell r="E291" t="str">
            <v>全ては薔薇のために…</v>
          </cell>
        </row>
        <row r="292">
          <cell r="A292">
            <v>410025</v>
          </cell>
          <cell r="B292" t="str">
            <v>[effect:enhance_enemy, target:enemy_all, turn:3, status:attack, val:1.50, animation:enemy_enhance_enemy]</v>
          </cell>
          <cell r="C292">
            <v>3</v>
          </cell>
          <cell r="D292" t="str">
            <v>ja</v>
          </cell>
          <cell r="E292" t="str">
            <v>全力応援</v>
          </cell>
        </row>
        <row r="293">
          <cell r="A293">
            <v>410026</v>
          </cell>
          <cell r="B293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3">
            <v>3</v>
          </cell>
          <cell r="D293" t="str">
            <v>ja</v>
          </cell>
          <cell r="E293" t="str">
            <v>岩戸隠れ</v>
          </cell>
        </row>
        <row r="294">
          <cell r="A294">
            <v>410027</v>
          </cell>
          <cell r="B294" t="str">
            <v>[effect:enhance_enemy, target:enemy_all, turn:3, status:attack, val:1.1, animation:enemy_enhance_enemy]</v>
          </cell>
          <cell r="C294">
            <v>3</v>
          </cell>
          <cell r="D294" t="str">
            <v>ja</v>
          </cell>
          <cell r="E294" t="str">
            <v>深呼吸</v>
          </cell>
        </row>
        <row r="295">
          <cell r="A295">
            <v>410028</v>
          </cell>
          <cell r="B295" t="str">
            <v>[effect:enhance_enemy, target:enemy_all, turn:3, status:attack, val:1.3, animation:enemy_enhance_enemy]</v>
          </cell>
          <cell r="C295">
            <v>3</v>
          </cell>
          <cell r="D295" t="str">
            <v>ja</v>
          </cell>
          <cell r="E295" t="str">
            <v>もっと本気出すよ！</v>
          </cell>
        </row>
        <row r="296">
          <cell r="A296">
            <v>420001</v>
          </cell>
          <cell r="B296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6">
            <v>3</v>
          </cell>
          <cell r="D296" t="str">
            <v>ja</v>
          </cell>
          <cell r="E296" t="str">
            <v>岩戸隠れ</v>
          </cell>
        </row>
        <row r="297">
          <cell r="A297">
            <v>420002</v>
          </cell>
          <cell r="B297" t="str">
            <v>[effect:enhance_enemy, target:enemy_all, turn:3, status:defense, val:3000, calc:add, animation:enemy_enhance_enemy]</v>
          </cell>
          <cell r="C297">
            <v>1</v>
          </cell>
          <cell r="D297" t="str">
            <v>ja</v>
          </cell>
          <cell r="E297" t="str">
            <v>セメクトのカラシリス</v>
          </cell>
        </row>
        <row r="298">
          <cell r="A298">
            <v>420003</v>
          </cell>
          <cell r="B298" t="str">
            <v>[effect:enhance_enemy, target:enemy_all, turn:3, status:defense, val:10000, calc:add, animation:enemy_enhance_enemy]</v>
          </cell>
          <cell r="C298">
            <v>1</v>
          </cell>
          <cell r="D298" t="str">
            <v>ja</v>
          </cell>
          <cell r="E298" t="str">
            <v>女王を護る盾となる</v>
          </cell>
        </row>
        <row r="299">
          <cell r="A299">
            <v>420004</v>
          </cell>
          <cell r="B299" t="str">
            <v>[effect:enhance_enemy, target:myself, turn:-1, status:defense, val:5000, calc:add, animation:enemy_enhance_enemy]</v>
          </cell>
          <cell r="C299">
            <v>3</v>
          </cell>
          <cell r="D299" t="str">
            <v>ja</v>
          </cell>
          <cell r="E299" t="str">
            <v>竹林の防壁</v>
          </cell>
        </row>
        <row r="300">
          <cell r="A300">
            <v>420005</v>
          </cell>
          <cell r="B300" t="str">
            <v>[effect:enhance_enemy, target:enemy_all, turn:3, status:defense, val:5000, calc:add, animation:enemy_enhance_enemy],[effect:enhance_enemy, target:enemy_all, turn:3, status:attack, val:0.4, calc:mul, animation:enemy_enhance_enemy]</v>
          </cell>
          <cell r="C300">
            <v>3</v>
          </cell>
          <cell r="D300" t="str">
            <v>ja</v>
          </cell>
          <cell r="E300" t="str">
            <v>弾幕の嵐</v>
          </cell>
        </row>
        <row r="301">
          <cell r="A301">
            <v>420006</v>
          </cell>
          <cell r="B301" t="str">
            <v>[effect:nothing],[effect:fix_speed,target:myself,turn:2]</v>
          </cell>
          <cell r="C301">
            <v>3</v>
          </cell>
          <cell r="D301" t="str">
            <v>ja</v>
          </cell>
          <cell r="E301" t="str">
            <v>スチールプレデター</v>
          </cell>
        </row>
        <row r="302">
          <cell r="A302">
            <v>420007</v>
          </cell>
          <cell r="B302" t="str">
            <v>[effect:nothing],[effect:fix_speed,target:myself,turn:2]</v>
          </cell>
          <cell r="C302">
            <v>3</v>
          </cell>
          <cell r="D302" t="str">
            <v>ja</v>
          </cell>
          <cell r="E302" t="str">
            <v>スチールプレデター</v>
          </cell>
        </row>
        <row r="303">
          <cell r="A303">
            <v>420008</v>
          </cell>
          <cell r="B303" t="str">
            <v>[effect:enhance_enemy, target:enemy_all, turn:5, status:defense, val:1250, calc:add, animation:enemy_enhance_enemy],[effect:fix_speed,target:myself,turn:3]</v>
          </cell>
          <cell r="C303">
            <v>3</v>
          </cell>
          <cell r="D303" t="str">
            <v>ja</v>
          </cell>
          <cell r="E303" t="str">
            <v>わたしの嫁を返してもらおう</v>
          </cell>
        </row>
        <row r="304">
          <cell r="A304">
            <v>420009</v>
          </cell>
          <cell r="B304" t="str">
            <v>[effect:enhance_enemy, target:enemy_all, turn:5, status:defense, val:1000, calc:add, animation:enemy_enhance_enemy]</v>
          </cell>
          <cell r="C304">
            <v>3</v>
          </cell>
          <cell r="D304" t="str">
            <v>ja</v>
          </cell>
          <cell r="E304" t="str">
            <v>わたしの嫁を返してもらおう</v>
          </cell>
        </row>
        <row r="305">
          <cell r="A305">
            <v>420010</v>
          </cell>
          <cell r="B305" t="str">
            <v>[effect:enhance_enemy, target:enemy_all, turn:5, status:defense, val:800, calc:add, animation:enemy_enhance_enemy]</v>
          </cell>
          <cell r="C305">
            <v>3</v>
          </cell>
          <cell r="D305" t="str">
            <v>ja</v>
          </cell>
          <cell r="E305" t="str">
            <v>わたしの嫁を返してもらおう</v>
          </cell>
        </row>
        <row r="306">
          <cell r="A306">
            <v>420011</v>
          </cell>
          <cell r="B306" t="str">
            <v>[effect:enhance_enemy, target:enemy_all, turn:1, status:defense, val:10000, calc:add, animation:enemy_enhance_enemy],[effect:rush, count:1, val:0.8]</v>
          </cell>
          <cell r="C306">
            <v>3</v>
          </cell>
          <cell r="D306" t="str">
            <v>ja</v>
          </cell>
          <cell r="E306" t="str">
            <v>大地の怒り</v>
          </cell>
        </row>
        <row r="307">
          <cell r="A307">
            <v>420012</v>
          </cell>
          <cell r="B307" t="str">
            <v>[effect:enhance_enemy, target:enemy_all, turn:3, status:defense, val:3000, calc:add, animation:enemy_enhance_enemy]</v>
          </cell>
          <cell r="C307">
            <v>3</v>
          </cell>
          <cell r="D307" t="str">
            <v>ja</v>
          </cell>
          <cell r="E307" t="str">
            <v>カセキ化</v>
          </cell>
        </row>
        <row r="308">
          <cell r="A308">
            <v>420013</v>
          </cell>
          <cell r="B308" t="str">
            <v>[effect:enhance_enemy, target:enemy_all, turn:3, status:defense, val:3500, calc:add, animation:enemy_enhance_enemy]</v>
          </cell>
          <cell r="C308">
            <v>3</v>
          </cell>
          <cell r="D308" t="str">
            <v>ja</v>
          </cell>
          <cell r="E308" t="str">
            <v>下段の構え</v>
          </cell>
        </row>
        <row r="309">
          <cell r="A309">
            <v>430001</v>
          </cell>
          <cell r="B309" t="str">
            <v>[effect:degrade_unit, target:enemy_all, turn:-1, status:attack, val:0.7]</v>
          </cell>
          <cell r="C309">
            <v>3</v>
          </cell>
          <cell r="D309" t="str">
            <v>ja</v>
          </cell>
          <cell r="E309" t="str">
            <v>フフ、遊んであげるわ</v>
          </cell>
        </row>
        <row r="310">
          <cell r="A310">
            <v>500001</v>
          </cell>
          <cell r="B310" t="str">
            <v>[effect:change_block, new_block:time_bomb, target:block_all, count:3, val:0.1, animation:change_block]</v>
          </cell>
          <cell r="C310">
            <v>3</v>
          </cell>
          <cell r="D310" t="str">
            <v>ja</v>
          </cell>
          <cell r="E310" t="str">
            <v>クロックメテオ</v>
          </cell>
        </row>
        <row r="311">
          <cell r="A311">
            <v>500002</v>
          </cell>
          <cell r="B311" t="str">
            <v>[effect:change_block, new_block:time_bomb, target:block_all, count:5, val:0.2, animation:change_block],[effect:rush, count:1, val:0.7]</v>
          </cell>
          <cell r="C311">
            <v>3</v>
          </cell>
          <cell r="D311" t="str">
            <v>ja</v>
          </cell>
          <cell r="E311" t="str">
            <v>マキシマムベット</v>
          </cell>
        </row>
        <row r="312">
          <cell r="A312">
            <v>500003</v>
          </cell>
          <cell r="B312" t="str">
            <v>[effect:change_block, new_block:time_bomb, target:block_all, count:5, val:0.2, animation:change_block],[effect:rush, count:1, val:0.7]</v>
          </cell>
          <cell r="C312">
            <v>3</v>
          </cell>
          <cell r="D312" t="str">
            <v>ja</v>
          </cell>
          <cell r="E312" t="str">
            <v>マキシマムベット</v>
          </cell>
        </row>
        <row r="313">
          <cell r="A313">
            <v>500004</v>
          </cell>
          <cell r="B313" t="str">
            <v>[effect:change_block, new_block:time_bomb, target:block_all, count:3, val:0.1, animation:change_block]</v>
          </cell>
          <cell r="C313">
            <v>3</v>
          </cell>
          <cell r="D313" t="str">
            <v>ja</v>
          </cell>
          <cell r="E313" t="str">
            <v>クロックメテオ</v>
          </cell>
        </row>
        <row r="314">
          <cell r="A314">
            <v>500005</v>
          </cell>
          <cell r="B314" t="str">
            <v>[effect:change_block, new_block:time_bomb, target:block_all, count:7, val:0.1, animation:change_block]</v>
          </cell>
          <cell r="C314">
            <v>1</v>
          </cell>
          <cell r="D314" t="str">
            <v>ja</v>
          </cell>
          <cell r="E314" t="str">
            <v>深淵からの大渦</v>
          </cell>
        </row>
        <row r="315">
          <cell r="A315">
            <v>500006</v>
          </cell>
          <cell r="B315" t="str">
            <v>[effect:change_block, new_block:time_bomb, target:block_all, count:3, val:1.0, animation:change_block]</v>
          </cell>
          <cell r="C315">
            <v>3</v>
          </cell>
          <cell r="D315" t="str">
            <v>ja</v>
          </cell>
          <cell r="E315" t="str">
            <v>クレイモア</v>
          </cell>
        </row>
        <row r="316">
          <cell r="A316">
            <v>510001</v>
          </cell>
          <cell r="B316" t="str">
            <v>[effect:change_block, new_block:jammer, target:block_all, count:3, val:0.1, animation:change_block]</v>
          </cell>
          <cell r="C316">
            <v>3</v>
          </cell>
          <cell r="D316" t="str">
            <v>ja</v>
          </cell>
          <cell r="E316" t="str">
            <v>スパムバースト</v>
          </cell>
        </row>
        <row r="317">
          <cell r="A317">
            <v>510002</v>
          </cell>
          <cell r="B317" t="str">
            <v>[effect:change_block, new_block:jammer, target:block_all, count:5, val:0.1, animation:change_block]</v>
          </cell>
          <cell r="C317">
            <v>3</v>
          </cell>
          <cell r="D317" t="str">
            <v>ja</v>
          </cell>
          <cell r="E317" t="str">
            <v>ハイ・スパムバースト</v>
          </cell>
        </row>
        <row r="318">
          <cell r="A318">
            <v>510003</v>
          </cell>
          <cell r="B318" t="str">
            <v>[effect:change_block, new_block:jammer, target:block_all, count:3, val:0.1, animation:change_block]</v>
          </cell>
          <cell r="C318">
            <v>3</v>
          </cell>
          <cell r="D318" t="str">
            <v>ja</v>
          </cell>
          <cell r="E318" t="str">
            <v>反逆のシャウト</v>
          </cell>
        </row>
        <row r="319">
          <cell r="A319">
            <v>510004</v>
          </cell>
          <cell r="B319" t="str">
            <v>[effect:change_block, new_block:time_bomb, target:block_heart, count:0, val:0.1, animation:change_block]</v>
          </cell>
          <cell r="C319">
            <v>3</v>
          </cell>
          <cell r="D319" t="str">
            <v>ja</v>
          </cell>
          <cell r="E319" t="str">
            <v>ハートジャミング</v>
          </cell>
        </row>
        <row r="320">
          <cell r="A320">
            <v>510005</v>
          </cell>
          <cell r="B320" t="str">
            <v>[effect:change_block, new_block:jammer, target:block_all, count:5, val:0.1, animation:change_block]</v>
          </cell>
          <cell r="C320">
            <v>3</v>
          </cell>
          <cell r="D320" t="str">
            <v>ja</v>
          </cell>
          <cell r="E320" t="str">
            <v>お邪魔します</v>
          </cell>
        </row>
        <row r="321">
          <cell r="A321">
            <v>510006</v>
          </cell>
          <cell r="B321" t="str">
            <v>[effect:change_block, new_block:time_bomb, target:block_all, count:8, val:0.15, animation:change_block]</v>
          </cell>
          <cell r="C321">
            <v>3</v>
          </cell>
          <cell r="D321" t="str">
            <v>ja</v>
          </cell>
          <cell r="E321" t="str">
            <v>爆破します</v>
          </cell>
        </row>
        <row r="322">
          <cell r="A322">
            <v>510007</v>
          </cell>
          <cell r="B322" t="str">
            <v>[effect:change_block, new_block:time_bomb, target:block_heart, count:0, val:0.1, animation:change_block]</v>
          </cell>
          <cell r="C322">
            <v>3</v>
          </cell>
          <cell r="D322" t="str">
            <v>ja</v>
          </cell>
          <cell r="E322" t="str">
            <v>さよならハート</v>
          </cell>
        </row>
        <row r="323">
          <cell r="A323">
            <v>510008</v>
          </cell>
          <cell r="B323" t="str">
            <v>[effect:change_block, new_block:jammer, target:block_all, count:3, val:0.1, animation:change_block]</v>
          </cell>
          <cell r="C323">
            <v>3</v>
          </cell>
          <cell r="D323" t="str">
            <v>ja</v>
          </cell>
          <cell r="E323" t="str">
            <v>イブと遊ぼ？</v>
          </cell>
        </row>
        <row r="324">
          <cell r="A324">
            <v>510009</v>
          </cell>
          <cell r="B324" t="str">
            <v>[effect:change_block, new_block:jammer, target:block_all, count:5, val:0.1, animation:change_block]</v>
          </cell>
          <cell r="C324">
            <v>3</v>
          </cell>
          <cell r="D324" t="str">
            <v>ja</v>
          </cell>
          <cell r="E324" t="str">
            <v>パネルフリーズ</v>
          </cell>
        </row>
        <row r="325">
          <cell r="A325">
            <v>510010</v>
          </cell>
          <cell r="B325" t="str">
            <v>[effect:change_block, new_block:jammer, target:block_all, count:5, val:0.1, animation:change_block],[effect:rush, count:1, val:1.3]</v>
          </cell>
          <cell r="C325">
            <v>3</v>
          </cell>
          <cell r="D325" t="str">
            <v>ja</v>
          </cell>
          <cell r="E325" t="str">
            <v>ダウンカード</v>
          </cell>
        </row>
        <row r="326">
          <cell r="A326">
            <v>510011</v>
          </cell>
          <cell r="B326" t="str">
            <v>[effect:change_block, new_block:block_red, target:block_all, count:6, val:0.1, animation:change_block],[effect:rush, count:1, val:1.0]</v>
          </cell>
          <cell r="C326">
            <v>3</v>
          </cell>
          <cell r="D326" t="str">
            <v>ja</v>
          </cell>
          <cell r="E326" t="str">
            <v>ダズルフィクション</v>
          </cell>
        </row>
        <row r="327">
          <cell r="A327">
            <v>510012</v>
          </cell>
          <cell r="B327" t="str">
            <v>[effect:change_block, new_block:block_blue, target:block_all, count:6, val:0.1, animation:change_block],[effect:rush, count:1, val:1.0]</v>
          </cell>
          <cell r="C327">
            <v>3</v>
          </cell>
          <cell r="D327" t="str">
            <v>ja</v>
          </cell>
          <cell r="E327" t="str">
            <v>ダズルフィクション</v>
          </cell>
        </row>
        <row r="328">
          <cell r="A328">
            <v>510013</v>
          </cell>
          <cell r="B328" t="str">
            <v>[effect:change_block, new_block:block_green, target:block_all, count:6, val:0.1, animation:change_block],[effect:rush, count:1, val:1.0]</v>
          </cell>
          <cell r="C328">
            <v>3</v>
          </cell>
          <cell r="D328" t="str">
            <v>ja</v>
          </cell>
          <cell r="E328" t="str">
            <v>ダズルフィクション</v>
          </cell>
        </row>
        <row r="329">
          <cell r="A329">
            <v>510014</v>
          </cell>
          <cell r="B329" t="str">
            <v>[effect:change_block, new_block:block_yellow, target:block_all, count:6, val:0.1, animation:change_block],[effect:rush, count:1, val:1.0]</v>
          </cell>
          <cell r="C329">
            <v>3</v>
          </cell>
          <cell r="D329" t="str">
            <v>ja</v>
          </cell>
          <cell r="E329" t="str">
            <v>ダズルフィクション</v>
          </cell>
        </row>
        <row r="330">
          <cell r="A330">
            <v>510015</v>
          </cell>
          <cell r="B330" t="str">
            <v>[effect:change_block, new_block:jammer, target:block_heart, count:0, val:0.1, animation:change_block]</v>
          </cell>
          <cell r="C330">
            <v>3</v>
          </cell>
          <cell r="D330" t="str">
            <v>ja</v>
          </cell>
          <cell r="E330" t="str">
            <v>生命変遷</v>
          </cell>
        </row>
        <row r="331">
          <cell r="A331">
            <v>510017</v>
          </cell>
          <cell r="B331" t="str">
            <v>[effect:change_block, new_block:jammer, target:block_all, count:10, val:0.1, animation:change_block],[effect:rush, count:1, val:1.5]</v>
          </cell>
          <cell r="C331">
            <v>3</v>
          </cell>
          <cell r="D331" t="str">
            <v>ja</v>
          </cell>
          <cell r="E331" t="str">
            <v>奥義・邪砲蒼閃拳</v>
          </cell>
        </row>
        <row r="332">
          <cell r="A332">
            <v>510016</v>
          </cell>
          <cell r="B332" t="str">
            <v>[effect:change_block, new_block:jammer, target:block_all, count:7, val:0.1, animation:change_block],[effect:rush, count:1, val:1.25]</v>
          </cell>
          <cell r="C332">
            <v>3</v>
          </cell>
          <cell r="D332" t="str">
            <v>ja</v>
          </cell>
          <cell r="E332" t="str">
            <v>秘技・邪烈蒼打拳</v>
          </cell>
        </row>
        <row r="333">
          <cell r="A333">
            <v>510018</v>
          </cell>
          <cell r="B333" t="str">
            <v>[effect:change_block, new_block:jammer, target:block_all, count:2, val:0.1, animation:change_block],[effect:rush, count:1, val:1.0]</v>
          </cell>
          <cell r="C333">
            <v>3</v>
          </cell>
          <cell r="D333" t="str">
            <v>ja</v>
          </cell>
          <cell r="E333" t="str">
            <v>邪気蒼黒掌</v>
          </cell>
        </row>
        <row r="334">
          <cell r="A334">
            <v>510019</v>
          </cell>
          <cell r="B334" t="str">
            <v>[effect:change_block, new_block:time_bomb, target:block_heart, count:0, val:0.1, animation:change_block]</v>
          </cell>
          <cell r="C334">
            <v>3</v>
          </cell>
          <cell r="D334" t="str">
            <v>ja</v>
          </cell>
          <cell r="E334" t="str">
            <v>ハートジャミング</v>
          </cell>
        </row>
        <row r="335">
          <cell r="A335">
            <v>510020</v>
          </cell>
          <cell r="B335" t="str">
            <v>[effect:change_block, new_block:jammer, target:block_all, count:5, val:0.1, animation:change_block],[effect:spread, val:0.3, animation:enemy_spread]</v>
          </cell>
          <cell r="C335">
            <v>3</v>
          </cell>
          <cell r="D335" t="str">
            <v>ja</v>
          </cell>
          <cell r="E335" t="str">
            <v>バブル・エクステンション</v>
          </cell>
        </row>
        <row r="336">
          <cell r="A336">
            <v>510021</v>
          </cell>
          <cell r="B336" t="str">
            <v>[effect:change_block, new_block:time_bomb, target:block_heart, count:0, val:0.1, animation:change_block]</v>
          </cell>
          <cell r="C336">
            <v>1</v>
          </cell>
          <cell r="D336" t="str">
            <v>ja</v>
          </cell>
          <cell r="E336" t="str">
            <v>心を秤ってあげるわ</v>
          </cell>
        </row>
        <row r="337">
          <cell r="A337">
            <v>510022</v>
          </cell>
          <cell r="B337" t="str">
            <v>[effect:change_block, new_block:jammer, target:block_all, count:5, val:0.1, animation:change_block],[effect:rush, count:1, val:1.5]</v>
          </cell>
          <cell r="C337">
            <v>1</v>
          </cell>
          <cell r="D337" t="str">
            <v>ja</v>
          </cell>
          <cell r="E337" t="str">
            <v>武術指南</v>
          </cell>
        </row>
        <row r="338">
          <cell r="A338">
            <v>510023</v>
          </cell>
          <cell r="B338" t="str">
            <v>[effect:change_block, new_block:jammer, target:block_all, count:3, val:0.1, animation:change_block]</v>
          </cell>
          <cell r="C338">
            <v>3</v>
          </cell>
          <cell r="D338" t="str">
            <v>ja</v>
          </cell>
          <cell r="E338" t="str">
            <v>イブと遊ぼ？</v>
          </cell>
        </row>
        <row r="339">
          <cell r="A339">
            <v>510024</v>
          </cell>
          <cell r="B339" t="str">
            <v>[effect:change_block, new_block:block_yellow, target:block_all, count:6, val:0.1, animation:change_block],[effect:rush, count:1, val:1.0]</v>
          </cell>
          <cell r="C339">
            <v>3</v>
          </cell>
          <cell r="D339" t="str">
            <v>ja</v>
          </cell>
          <cell r="E339" t="str">
            <v>万物流転</v>
          </cell>
        </row>
        <row r="340">
          <cell r="A340">
            <v>510025</v>
          </cell>
          <cell r="B340" t="str">
            <v>[effect:change_block, new_block:jammer, target:block_all, count:5, val:0.1, animation:change_block]</v>
          </cell>
          <cell r="C340">
            <v>3</v>
          </cell>
          <cell r="D340" t="str">
            <v>ja</v>
          </cell>
          <cell r="E340" t="str">
            <v>不協和音</v>
          </cell>
        </row>
        <row r="341">
          <cell r="A341">
            <v>51026</v>
          </cell>
          <cell r="B341" t="str">
            <v>[effect:change_block, new_block:jammer, target:block_all, count:5, val:0.1, animation:change_block][effect:critical, val:1.5.0, animation:enemy_critical]</v>
          </cell>
          <cell r="C341">
            <v>3</v>
          </cell>
          <cell r="D341" t="str">
            <v>ja</v>
          </cell>
          <cell r="E341" t="str">
            <v>ほれ、くぐり抜けろ</v>
          </cell>
        </row>
        <row r="342">
          <cell r="A342">
            <v>51027</v>
          </cell>
          <cell r="B342" t="str">
            <v>[effect:change_block, new_block:block_green, target:block_yellow, count:10, val:0.1, animation:change_block]</v>
          </cell>
          <cell r="C342">
            <v>3</v>
          </cell>
          <cell r="D342" t="str">
            <v>ja</v>
          </cell>
          <cell r="E342" t="str">
            <v>よかったら…これ…</v>
          </cell>
        </row>
        <row r="343">
          <cell r="A343">
            <v>51028</v>
          </cell>
          <cell r="B343" t="str">
            <v>[effect:change_block, new_block:time_bomb, target:block_all, count:5, val:0.4, animation:change_block],[effect:enemy_counter, target:myself,invoke_condition:unit_all,counter_target:attacker,turn:2,val:2.0,animation:enemy_counter]</v>
          </cell>
          <cell r="C343">
            <v>3</v>
          </cell>
          <cell r="D343" t="str">
            <v>ja</v>
          </cell>
          <cell r="E343" t="str">
            <v>受け取ってほしいな♪</v>
          </cell>
        </row>
        <row r="344">
          <cell r="A344">
            <v>51029</v>
          </cell>
          <cell r="B344" t="str">
            <v>[effect:change_block, new_block:time_bomb, target:block_all, count:5, val:0.3, animation:change_block]</v>
          </cell>
          <cell r="C344">
            <v>3</v>
          </cell>
          <cell r="D344" t="str">
            <v>ja</v>
          </cell>
          <cell r="E344" t="str">
            <v>受け取ってほしいなっ</v>
          </cell>
        </row>
        <row r="345">
          <cell r="A345">
            <v>510029</v>
          </cell>
          <cell r="B345" t="str">
            <v>[effect:change_block, new_block:block_heart, target:block_all, count:6, val:0.1, animation:change_block]</v>
          </cell>
          <cell r="C345">
            <v>3</v>
          </cell>
          <cell r="D345" t="str">
            <v>ja</v>
          </cell>
          <cell r="E345" t="str">
            <v>応急処置セット</v>
          </cell>
        </row>
        <row r="346">
          <cell r="A346">
            <v>510030</v>
          </cell>
          <cell r="B346" t="str">
            <v>[effect:change_block, new_block:block_heart, target:block_red, count:10, val:0.1, animation:change_block]</v>
          </cell>
          <cell r="C346">
            <v>3</v>
          </cell>
          <cell r="D346" t="str">
            <v>ja</v>
          </cell>
          <cell r="E346" t="str">
            <v>おっ、よく来たね！</v>
          </cell>
        </row>
        <row r="347">
          <cell r="A347">
            <v>510031</v>
          </cell>
          <cell r="B347" t="str">
            <v>[effect:change_block, new_block:block_heart, target:block_red, count:3, val:0.2, animation:change_block]</v>
          </cell>
          <cell r="C347">
            <v>3</v>
          </cell>
          <cell r="D347" t="str">
            <v>ja</v>
          </cell>
          <cell r="E347" t="str">
            <v>楽しんでるか？</v>
          </cell>
        </row>
        <row r="348">
          <cell r="A348">
            <v>500025</v>
          </cell>
          <cell r="B348" t="str">
            <v>[effect:change_block, new_block:time_bomb, target:block_all, count:3, val:0.3, animation:change_block]</v>
          </cell>
          <cell r="C348">
            <v>3</v>
          </cell>
          <cell r="D348" t="str">
            <v>ja</v>
          </cell>
          <cell r="E348" t="str">
            <v>コメットシャワー</v>
          </cell>
        </row>
        <row r="349">
          <cell r="A349">
            <v>500026</v>
          </cell>
          <cell r="B349" t="str">
            <v>[effect:change_block, new_block:time_bomb, target:block_green, count:0, val:0.5, animation:change_block],[effect:rush, count:3, val:0.2]</v>
          </cell>
          <cell r="C349">
            <v>3</v>
          </cell>
          <cell r="D349" t="str">
            <v>ja</v>
          </cell>
          <cell r="E349" t="str">
            <v>コメットレイン</v>
          </cell>
        </row>
        <row r="350">
          <cell r="A350">
            <v>500027</v>
          </cell>
          <cell r="B350" t="str">
            <v>[effect:change_block, new_block:jammer, target:block_all, count:5, val:0.1, animation:change_block],[effect:virus, turn:2, rate:1.0, val:0.10, animation:enemy_virus]</v>
          </cell>
          <cell r="C350">
            <v>3</v>
          </cell>
          <cell r="D350" t="str">
            <v>ja</v>
          </cell>
          <cell r="E350" t="str">
            <v>陽炎</v>
          </cell>
        </row>
        <row r="351">
          <cell r="A351">
            <v>500028</v>
          </cell>
          <cell r="B351" t="str">
            <v>[effect:change_block, new_block:time_bomb, target:block_all, count:3, val:0.4, animation:change_block],[effect:rush, count:1, val:0.4]</v>
          </cell>
          <cell r="C351">
            <v>3</v>
          </cell>
          <cell r="D351" t="str">
            <v>ja</v>
          </cell>
          <cell r="E351" t="str">
            <v>アタシのタマゴだよ！</v>
          </cell>
        </row>
        <row r="352">
          <cell r="A352">
            <v>500029</v>
          </cell>
          <cell r="B352" t="str">
            <v>[effect:change_block, new_block:jammer, target:block_all, count:6, val:0.1, animation:change_block]</v>
          </cell>
          <cell r="C352">
            <v>3</v>
          </cell>
          <cell r="D352" t="str">
            <v>ja</v>
          </cell>
          <cell r="E352" t="str">
            <v>イブと遊ぼ？</v>
          </cell>
        </row>
        <row r="353">
          <cell r="A353">
            <v>520001</v>
          </cell>
          <cell r="B353" t="str">
            <v>[effect:dis_panel, target:block_green, turn:1, animation:enemy_dis_green],[effect:rush, count:1, val:0.5]</v>
          </cell>
          <cell r="C353">
            <v>3</v>
          </cell>
          <cell r="D353" t="str">
            <v>ja</v>
          </cell>
          <cell r="E353" t="str">
            <v>グリーン・スポイル</v>
          </cell>
        </row>
        <row r="354">
          <cell r="A354">
            <v>520002</v>
          </cell>
          <cell r="B354" t="str">
            <v>[effect:dis_panel, target:block_blue, turn:5],[effect:rush, count:3, val:0.4]</v>
          </cell>
          <cell r="C354">
            <v>3</v>
          </cell>
          <cell r="D354" t="str">
            <v>ja</v>
          </cell>
          <cell r="E354" t="str">
            <v>蒼を撃ち抜く弾丸</v>
          </cell>
        </row>
        <row r="355">
          <cell r="A355">
            <v>520003</v>
          </cell>
          <cell r="B355" t="str">
            <v>[effect:dis_panel, target:block_green, turn:4, animation:enemy_dis_green],[effect:rush, count:1, val:1.0]</v>
          </cell>
          <cell r="C355">
            <v>3</v>
          </cell>
          <cell r="D355" t="str">
            <v>ja</v>
          </cell>
          <cell r="E355" t="str">
            <v>緑を刈り奪る大鎌</v>
          </cell>
        </row>
        <row r="356">
          <cell r="A356">
            <v>520004</v>
          </cell>
          <cell r="B356" t="str">
            <v>[effect:dis_panel, target:block_red, turn:2, animation:enemy_dis_red]</v>
          </cell>
          <cell r="C356">
            <v>3</v>
          </cell>
          <cell r="D356" t="str">
            <v>ja</v>
          </cell>
          <cell r="E356" t="str">
            <v>ディスレッド</v>
          </cell>
        </row>
        <row r="357">
          <cell r="A357">
            <v>520005</v>
          </cell>
          <cell r="B357" t="str">
            <v>[effect:dis_panel, target:block_green, turn:2, animation:enemy_dis_green]</v>
          </cell>
          <cell r="C357">
            <v>3</v>
          </cell>
          <cell r="D357" t="str">
            <v>ja</v>
          </cell>
          <cell r="E357" t="str">
            <v>ディスグリーン</v>
          </cell>
        </row>
        <row r="358">
          <cell r="A358">
            <v>520006</v>
          </cell>
          <cell r="B358" t="str">
            <v>[effect:dis_panel, target:block_blue, turn:2, animation:enemy_dis_blue]</v>
          </cell>
          <cell r="C358">
            <v>3</v>
          </cell>
          <cell r="D358" t="str">
            <v>ja</v>
          </cell>
          <cell r="E358" t="str">
            <v>ディスブルー</v>
          </cell>
        </row>
        <row r="359">
          <cell r="A359">
            <v>520007</v>
          </cell>
          <cell r="B359" t="str">
            <v>[effect:dis_panel, target:block_yellow, turn:2, animation:enemy_dis_yellow]</v>
          </cell>
          <cell r="C359">
            <v>3</v>
          </cell>
          <cell r="D359" t="str">
            <v>ja</v>
          </cell>
          <cell r="E359" t="str">
            <v>ディスイエロー</v>
          </cell>
        </row>
        <row r="360">
          <cell r="A360">
            <v>520008</v>
          </cell>
          <cell r="B360" t="str">
            <v>[effect:dis_panel, target:block_red, turn:3, animation:enemy_dis_red]</v>
          </cell>
          <cell r="C360">
            <v>3</v>
          </cell>
          <cell r="D360" t="str">
            <v>ja</v>
          </cell>
          <cell r="E360" t="str">
            <v>ルージュキャンセリング</v>
          </cell>
        </row>
        <row r="361">
          <cell r="A361">
            <v>520009</v>
          </cell>
          <cell r="B361" t="str">
            <v>[effect:dis_panel, target:block_green, turn:3, animation:enemy_dis_green],[effect:hungup, target:unit_all, turn:3, rate:1.0, animation:enemy_hungup]</v>
          </cell>
          <cell r="C361">
            <v>3</v>
          </cell>
          <cell r="D361" t="str">
            <v>ja</v>
          </cell>
          <cell r="E361" t="str">
            <v>EMP</v>
          </cell>
        </row>
        <row r="362">
          <cell r="A362">
            <v>520010</v>
          </cell>
          <cell r="B362" t="str">
            <v>[effect:dis_heart, turn:5, rate:1.0, animation:enemy_dis_heart],[effect:rush, count:1, val:0.5]</v>
          </cell>
          <cell r="C362">
            <v>3</v>
          </cell>
          <cell r="D362" t="str">
            <v>ja</v>
          </cell>
          <cell r="E362" t="str">
            <v>ハート・スポイル</v>
          </cell>
        </row>
        <row r="363">
          <cell r="A363">
            <v>520012</v>
          </cell>
          <cell r="B363" t="str">
            <v>[effect:dis_heart, turn:5, rate:1.0, animation:enemy_dis_red],[effect:rush, count:1, val:0.5]</v>
          </cell>
          <cell r="C363">
            <v>1</v>
          </cell>
          <cell r="D363" t="str">
            <v>ja</v>
          </cell>
          <cell r="E363" t="str">
            <v>ジャンヌ赤</v>
          </cell>
        </row>
        <row r="364">
          <cell r="A364">
            <v>520013</v>
          </cell>
          <cell r="B364" t="str">
            <v>[effect:dis_heart, turn:5, rate:1.0, animation:enemy_dis_yellow],[effect:rush, count:1, val:0.5]</v>
          </cell>
          <cell r="C364">
            <v>1</v>
          </cell>
          <cell r="D364" t="str">
            <v>ja</v>
          </cell>
          <cell r="E364" t="str">
            <v>ジャンヌ黄</v>
          </cell>
        </row>
        <row r="365">
          <cell r="A365">
            <v>520014</v>
          </cell>
          <cell r="B365" t="str">
            <v>[effect:dis_heart, turn:5, rate:1.0, animation:enemy_dis_green],[effect:rush, count:1, val:0.5]</v>
          </cell>
          <cell r="C365">
            <v>1</v>
          </cell>
          <cell r="D365" t="str">
            <v>ja</v>
          </cell>
          <cell r="E365" t="str">
            <v>ジャンヌ緑</v>
          </cell>
        </row>
        <row r="366">
          <cell r="A366">
            <v>520015</v>
          </cell>
          <cell r="B366" t="str">
            <v>[effect:dis_heart, turn:5, rate:1.0, animation:enemy_dis_blue],[effect:rush, count:1, val:0.5]</v>
          </cell>
          <cell r="C366">
            <v>1</v>
          </cell>
          <cell r="D366" t="str">
            <v>ja</v>
          </cell>
          <cell r="E366" t="str">
            <v>ジャンヌ青</v>
          </cell>
        </row>
        <row r="367">
          <cell r="A367">
            <v>530001</v>
          </cell>
          <cell r="B367" t="str">
            <v>[effect:tolerance,target:myself, turn:-1, tolerance_effect:all, count:-1]</v>
          </cell>
          <cell r="C367">
            <v>3</v>
          </cell>
          <cell r="D367" t="str">
            <v>ja</v>
          </cell>
          <cell r="E367" t="str">
            <v>鋼鉄の胃袋</v>
          </cell>
        </row>
        <row r="368">
          <cell r="A368">
            <v>530002</v>
          </cell>
          <cell r="B368" t="str">
            <v>[effect:tolerance,target:myself,turn:-1,tolerance_effect:all,count:-1,animation:enemy_tolerance]</v>
          </cell>
          <cell r="C368">
            <v>3</v>
          </cell>
          <cell r="D368" t="str">
            <v>ja</v>
          </cell>
          <cell r="E368" t="str">
            <v>天使のカーテン</v>
          </cell>
        </row>
        <row r="369">
          <cell r="A369">
            <v>540001</v>
          </cell>
          <cell r="B369" t="str">
            <v>[effect:degrade_unit, target:unit_all, turn:3, status:action, val:1.0,animation:enemy_tap_down]</v>
          </cell>
          <cell r="C369">
            <v>3</v>
          </cell>
          <cell r="D369" t="str">
            <v>ja</v>
          </cell>
          <cell r="E369" t="str">
            <v>デコイ</v>
          </cell>
        </row>
        <row r="370">
          <cell r="A370">
            <v>540002</v>
          </cell>
          <cell r="B370" t="str">
            <v>[effect:degrade_unit, target:unit_all, turn:3, status:action, val:1.0,animation:enemy_tap_down],[effect:freq_turn, target:enemy_all, turn:2, val:1, animation:enemy_freq_turn]</v>
          </cell>
          <cell r="C370">
            <v>3</v>
          </cell>
          <cell r="D370" t="str">
            <v>ja</v>
          </cell>
          <cell r="E370" t="str">
            <v>フレア</v>
          </cell>
        </row>
        <row r="371">
          <cell r="A371">
            <v>540003</v>
          </cell>
          <cell r="B371" t="str">
            <v>[effect:time_limit,count:5,turn:3,animation:enemy_time_limit]</v>
          </cell>
          <cell r="C371">
            <v>1</v>
          </cell>
          <cell r="D371" t="str">
            <v>ja</v>
          </cell>
          <cell r="E371" t="str">
            <v>タップ時間制限（仮）</v>
          </cell>
        </row>
        <row r="372">
          <cell r="A372">
            <v>540004</v>
          </cell>
          <cell r="B372" t="str">
            <v>[effect:time_limit,count:5,turn:3,animation:enemy_time_limit]</v>
          </cell>
          <cell r="C372">
            <v>1</v>
          </cell>
          <cell r="D372" t="str">
            <v>ja</v>
          </cell>
          <cell r="E372" t="str">
            <v>プレッシャー</v>
          </cell>
        </row>
        <row r="373">
          <cell r="A373">
            <v>540005</v>
          </cell>
          <cell r="B373" t="str">
            <v>[effect:time_limit,count:4,turn:-1,animation:enemy_time_limit]</v>
          </cell>
          <cell r="C373">
            <v>3</v>
          </cell>
          <cell r="D373" t="str">
            <v>ja</v>
          </cell>
          <cell r="E373" t="str">
            <v>カウントダウン</v>
          </cell>
        </row>
        <row r="374">
          <cell r="A374">
            <v>540007</v>
          </cell>
          <cell r="B374" t="str">
            <v>[effect:degrade_unit, target:unit_all, turn:3, status:action, val:1.0,animation:enemy_tap_down],[effect:rush, count:1, val:0.5]</v>
          </cell>
          <cell r="C374">
            <v>3</v>
          </cell>
          <cell r="D374" t="str">
            <v>ja</v>
          </cell>
          <cell r="E374" t="str">
            <v>ディスアーム</v>
          </cell>
        </row>
        <row r="375">
          <cell r="A375">
            <v>540008</v>
          </cell>
          <cell r="B375" t="str">
            <v>[effect:time_limit,count:8,turn:-1,animation:enemy_time_limit]</v>
          </cell>
          <cell r="C375">
            <v>3</v>
          </cell>
          <cell r="D375" t="str">
            <v>ja</v>
          </cell>
          <cell r="E375" t="str">
            <v>ここは潮の流れが速いよ！</v>
          </cell>
        </row>
        <row r="376">
          <cell r="A376">
            <v>540009</v>
          </cell>
          <cell r="B376" t="str">
            <v>[effect:degrade_unit, target:unit_all, turn:3, status:action, val:1.0]</v>
          </cell>
          <cell r="C376">
            <v>3</v>
          </cell>
          <cell r="D376" t="str">
            <v>ja</v>
          </cell>
          <cell r="E376" t="str">
            <v>アームブレイク</v>
          </cell>
        </row>
        <row r="377">
          <cell r="A377">
            <v>540010</v>
          </cell>
          <cell r="B377" t="str">
            <v>[effect:degrade_unit, target:unit_all, turn:3, status:action, val:1.0,animation:enemy_tap_down],[effect:change_block, new_block:jammer, target:block_all, count:5, val:0.1, animation:change_block]</v>
          </cell>
          <cell r="C377">
            <v>3</v>
          </cell>
          <cell r="D377" t="str">
            <v>ja</v>
          </cell>
          <cell r="E377" t="str">
            <v>動を阻む鎖</v>
          </cell>
        </row>
        <row r="378">
          <cell r="A378">
            <v>540011</v>
          </cell>
          <cell r="B378" t="str">
            <v>[effect:degrade_unit, target:unit_all, turn:3, status:action, val:1.0,animation:enemy_tap_down],[effect:rush, count:1, val:0.5]</v>
          </cell>
          <cell r="C378">
            <v>1</v>
          </cell>
          <cell r="D378" t="str">
            <v>ja</v>
          </cell>
          <cell r="E378" t="str">
            <v>ジャンヌ仮タップ</v>
          </cell>
        </row>
        <row r="379">
          <cell r="A379">
            <v>550001</v>
          </cell>
          <cell r="B379" t="str">
            <v>[effect:dark, turn:4,target:unit_all,animation:enemy_dark]</v>
          </cell>
          <cell r="C379">
            <v>3</v>
          </cell>
          <cell r="D379" t="str">
            <v>ja</v>
          </cell>
          <cell r="E379" t="str">
            <v>サディスティックステージ</v>
          </cell>
        </row>
        <row r="380">
          <cell r="A380">
            <v>550002</v>
          </cell>
          <cell r="B380" t="str">
            <v>[effect:dark, turn:1,target:unit_all]</v>
          </cell>
          <cell r="C380">
            <v>3</v>
          </cell>
          <cell r="D380" t="str">
            <v>ja</v>
          </cell>
          <cell r="E380" t="str">
            <v>触手姫の口づけ</v>
          </cell>
        </row>
        <row r="381">
          <cell r="A381">
            <v>550003</v>
          </cell>
          <cell r="B381" t="str">
            <v>[effect:dark, turn:4,target:unit_all,animation:enemy_dark]</v>
          </cell>
          <cell r="C381">
            <v>3</v>
          </cell>
          <cell r="D381" t="str">
            <v>ja</v>
          </cell>
          <cell r="E381" t="str">
            <v>ブラインドネス</v>
          </cell>
        </row>
        <row r="382">
          <cell r="A382">
            <v>550004</v>
          </cell>
          <cell r="B382" t="str">
            <v>[effect:dark, turn:2,target:unit_all,animation:enemy_dark]</v>
          </cell>
          <cell r="C382">
            <v>3</v>
          </cell>
          <cell r="D382" t="str">
            <v>ja</v>
          </cell>
          <cell r="E382" t="str">
            <v>マヨビーム</v>
          </cell>
        </row>
        <row r="383">
          <cell r="A383">
            <v>550005</v>
          </cell>
          <cell r="B383" t="str">
            <v>[effect:dark, turn:6,target:unit_all,animation:enemy_dark]</v>
          </cell>
          <cell r="C383">
            <v>3</v>
          </cell>
          <cell r="D383" t="str">
            <v>ja</v>
          </cell>
          <cell r="E383" t="str">
            <v>常世の闇に彷徨うがいい</v>
          </cell>
        </row>
      </sheetData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1"/>
  <sheetViews>
    <sheetView tabSelected="1" workbookViewId="0">
      <selection activeCell="A4" sqref="A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130</v>
      </c>
      <c r="B1" s="52" t="s">
        <v>100</v>
      </c>
      <c r="C1" s="52" t="s">
        <v>101</v>
      </c>
      <c r="D1" s="52" t="s">
        <v>102</v>
      </c>
      <c r="E1" s="52" t="s">
        <v>103</v>
      </c>
      <c r="F1" s="52" t="s">
        <v>104</v>
      </c>
      <c r="G1" s="52" t="s">
        <v>105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</row>
    <row r="2" spans="1:30" x14ac:dyDescent="0.15">
      <c r="A2" s="58" t="s">
        <v>293</v>
      </c>
      <c r="B2" s="54" t="s">
        <v>106</v>
      </c>
      <c r="C2" s="59">
        <f>floors!C3</f>
        <v>30018</v>
      </c>
      <c r="D2" s="54" t="s">
        <v>107</v>
      </c>
      <c r="E2" s="53" t="str">
        <f>B2&amp;C2&amp;D2</f>
        <v>floors_30018.tmp</v>
      </c>
      <c r="F2" s="54" t="s">
        <v>108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</row>
    <row r="3" spans="1:30" x14ac:dyDescent="0.15">
      <c r="A3" s="58" t="s">
        <v>295</v>
      </c>
      <c r="B3" s="54" t="s">
        <v>109</v>
      </c>
      <c r="C3" s="59">
        <f>C$2</f>
        <v>30018</v>
      </c>
      <c r="D3" s="54" t="s">
        <v>107</v>
      </c>
      <c r="E3" s="53" t="str">
        <f>B3&amp;C3&amp;D3</f>
        <v>enemy_habitats_30018.tmp</v>
      </c>
      <c r="F3" s="54" t="s">
        <v>110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181</v>
      </c>
    </row>
    <row r="4" spans="1:30" x14ac:dyDescent="0.15">
      <c r="A4" s="58" t="s">
        <v>293</v>
      </c>
      <c r="B4" s="54" t="s">
        <v>111</v>
      </c>
      <c r="C4" s="59">
        <f t="shared" ref="C4:C9" si="0">C$2</f>
        <v>30018</v>
      </c>
      <c r="D4" s="54" t="s">
        <v>107</v>
      </c>
      <c r="E4" s="53" t="str">
        <f>B4&amp;C4&amp;D4</f>
        <v>enemy_habitat_S_30018.tmp</v>
      </c>
      <c r="F4" s="54" t="s">
        <v>112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</row>
    <row r="5" spans="1:30" x14ac:dyDescent="0.15">
      <c r="A5" s="58" t="s">
        <v>293</v>
      </c>
      <c r="B5" s="54" t="s">
        <v>113</v>
      </c>
      <c r="C5" s="59">
        <f t="shared" si="0"/>
        <v>30018</v>
      </c>
      <c r="D5" s="54" t="s">
        <v>107</v>
      </c>
      <c r="E5" s="53" t="str">
        <f>B5&amp;C5&amp;D5</f>
        <v>enemy_skill_sets_30018.tmp</v>
      </c>
      <c r="F5" s="54" t="s">
        <v>114</v>
      </c>
      <c r="G5" s="56" t="s">
        <v>22</v>
      </c>
      <c r="H5" s="56" t="s">
        <v>99</v>
      </c>
      <c r="I5" s="56" t="s">
        <v>94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</row>
    <row r="6" spans="1:30" x14ac:dyDescent="0.15">
      <c r="A6" s="58" t="s">
        <v>150</v>
      </c>
      <c r="B6" s="54" t="s">
        <v>115</v>
      </c>
      <c r="C6" s="59">
        <f t="shared" si="0"/>
        <v>30018</v>
      </c>
      <c r="D6" s="54" t="s">
        <v>116</v>
      </c>
      <c r="E6" s="53" t="str">
        <f t="shared" ref="E6:E11" si="1">B6&amp;C6&amp;D6</f>
        <v>enemy_skills_tmp_30018.tmp</v>
      </c>
      <c r="F6" s="54" t="s">
        <v>90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</row>
    <row r="7" spans="1:30" x14ac:dyDescent="0.15">
      <c r="A7" s="58" t="s">
        <v>150</v>
      </c>
      <c r="B7" s="54" t="s">
        <v>117</v>
      </c>
      <c r="C7" s="59">
        <f t="shared" si="0"/>
        <v>30018</v>
      </c>
      <c r="D7" s="54" t="s">
        <v>107</v>
      </c>
      <c r="E7" s="53" t="str">
        <f>B7&amp;C7&amp;D7</f>
        <v>enemy_skills_i18n_30018.tmp</v>
      </c>
      <c r="F7" s="54" t="s">
        <v>118</v>
      </c>
      <c r="G7" s="55" t="s">
        <v>79</v>
      </c>
      <c r="H7" s="55" t="s">
        <v>91</v>
      </c>
      <c r="I7" s="55" t="s">
        <v>92</v>
      </c>
      <c r="J7" s="55" t="s">
        <v>93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</row>
    <row r="8" spans="1:30" x14ac:dyDescent="0.15">
      <c r="A8" s="65" t="s">
        <v>173</v>
      </c>
      <c r="B8" s="54" t="s">
        <v>119</v>
      </c>
      <c r="C8" s="59">
        <f t="shared" si="0"/>
        <v>30018</v>
      </c>
      <c r="D8" s="54" t="s">
        <v>120</v>
      </c>
      <c r="E8" s="53" t="str">
        <f t="shared" si="1"/>
        <v>enemy_skill_triggers_30018.tmp</v>
      </c>
      <c r="F8" s="54" t="s">
        <v>121</v>
      </c>
      <c r="G8" s="55" t="s">
        <v>94</v>
      </c>
      <c r="H8" s="55" t="s">
        <v>95</v>
      </c>
      <c r="I8" s="55" t="s">
        <v>96</v>
      </c>
      <c r="J8" s="55" t="s">
        <v>97</v>
      </c>
      <c r="K8" s="55" t="s">
        <v>122</v>
      </c>
      <c r="L8" s="55" t="s">
        <v>98</v>
      </c>
      <c r="M8" s="55" t="s">
        <v>123</v>
      </c>
      <c r="N8" s="55" t="s">
        <v>124</v>
      </c>
      <c r="O8" s="55" t="s">
        <v>125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</row>
    <row r="9" spans="1:30" x14ac:dyDescent="0.15">
      <c r="A9" s="65" t="s">
        <v>173</v>
      </c>
      <c r="B9" s="65" t="s">
        <v>180</v>
      </c>
      <c r="C9" s="59">
        <f t="shared" si="0"/>
        <v>30018</v>
      </c>
      <c r="D9" s="65" t="s">
        <v>174</v>
      </c>
      <c r="E9" s="66" t="str">
        <f t="shared" si="1"/>
        <v>stage_bug_bonuses_30018.tmp</v>
      </c>
      <c r="F9" s="65" t="s">
        <v>175</v>
      </c>
      <c r="G9" s="61" t="s">
        <v>151</v>
      </c>
      <c r="H9" s="61" t="s">
        <v>176</v>
      </c>
      <c r="I9" s="61" t="s">
        <v>177</v>
      </c>
      <c r="J9" s="64" t="s">
        <v>178</v>
      </c>
      <c r="K9" s="61" t="s">
        <v>179</v>
      </c>
      <c r="L9" s="61" t="s">
        <v>157</v>
      </c>
      <c r="M9" s="61" t="s">
        <v>158</v>
      </c>
      <c r="N9" s="61" t="s">
        <v>159</v>
      </c>
      <c r="O9" s="61" t="s">
        <v>160</v>
      </c>
      <c r="P9" s="61" t="s">
        <v>161</v>
      </c>
      <c r="Q9" s="61" t="s">
        <v>162</v>
      </c>
      <c r="R9" s="61" t="s">
        <v>163</v>
      </c>
      <c r="S9" s="61" t="s">
        <v>164</v>
      </c>
      <c r="T9" s="61" t="s">
        <v>165</v>
      </c>
      <c r="U9" s="61" t="s">
        <v>166</v>
      </c>
      <c r="V9" s="61" t="s">
        <v>167</v>
      </c>
      <c r="W9" s="61" t="s">
        <v>168</v>
      </c>
    </row>
    <row r="10" spans="1:30" s="94" customFormat="1" x14ac:dyDescent="0.15">
      <c r="A10" s="65" t="s">
        <v>173</v>
      </c>
      <c r="B10" s="65" t="s">
        <v>263</v>
      </c>
      <c r="C10" s="59">
        <f>C9</f>
        <v>30018</v>
      </c>
      <c r="D10" s="65" t="s">
        <v>264</v>
      </c>
      <c r="E10" s="66" t="str">
        <f t="shared" si="1"/>
        <v>stage_hints_data_30018.tmp</v>
      </c>
      <c r="F10" s="91" t="s">
        <v>265</v>
      </c>
      <c r="G10" s="76" t="s">
        <v>151</v>
      </c>
      <c r="H10" s="76" t="s">
        <v>266</v>
      </c>
      <c r="I10" s="92" t="s">
        <v>267</v>
      </c>
      <c r="J10" s="64" t="s">
        <v>19</v>
      </c>
      <c r="K10" s="93" t="s">
        <v>268</v>
      </c>
    </row>
    <row r="11" spans="1:30" s="94" customFormat="1" x14ac:dyDescent="0.15">
      <c r="A11" s="65" t="s">
        <v>173</v>
      </c>
      <c r="B11" s="65" t="s">
        <v>269</v>
      </c>
      <c r="C11" s="59">
        <f t="shared" ref="C11" si="2">C10</f>
        <v>30018</v>
      </c>
      <c r="D11" s="65" t="s">
        <v>264</v>
      </c>
      <c r="E11" s="66" t="str">
        <f t="shared" si="1"/>
        <v>stage_hints_i18n_30018.tmp</v>
      </c>
      <c r="F11" s="91" t="s">
        <v>265</v>
      </c>
      <c r="G11" s="92" t="s">
        <v>267</v>
      </c>
      <c r="H11" s="95" t="s">
        <v>126</v>
      </c>
      <c r="I11" s="76" t="s">
        <v>270</v>
      </c>
      <c r="J11" s="96" t="s">
        <v>271</v>
      </c>
      <c r="K11" s="93" t="s">
        <v>272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L6" sqref="L6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0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 t="shared" ref="A2" si="0">G2&amp;"-"&amp;I2</f>
        <v>30018_1-1</v>
      </c>
      <c r="B2" s="15" t="str">
        <f>IF(COUNTIF(enemy_habitats!$H:$H,A2),"OK","NG")</f>
        <v>OK</v>
      </c>
      <c r="C2" s="68">
        <v>30018</v>
      </c>
      <c r="D2" s="11" t="str">
        <f ca="1">VLOOKUP($C2,OFFSET([2]quests!$A$1,0,0,COUNTA([2]quests!$A:$A),MATCH(D$1,[2]quests!$1:$1,0)-MATCH($C$1,[2]quests!$1:$1,0)+1),MATCH(D$1,[2]quests!$1:$1,0)-MATCH($C$1,[2]quests!$1:$1,0)+1,FALSE)</f>
        <v>バックストリートファイト</v>
      </c>
      <c r="E2" s="17" t="str">
        <f ca="1">VLOOKUP($C2,OFFSET([2]quests!$A$1,0,0,COUNTA([2]quests!$A:$A),MATCH(E$1,[2]quests!$1:$1,0)-MATCH($C$1,[2]quests!$1:$1,0)+1),MATCH(E$1,[2]quests!$1:$1,0)-MATCH($C$1,[2]quests!$1:$1,0)+1,FALSE)</f>
        <v>ドロップイベント5（マルチ専用）</v>
      </c>
      <c r="F2" s="69">
        <v>1</v>
      </c>
      <c r="G2" s="20" t="str">
        <f t="shared" ref="G2" si="1">C2&amp;"_"&amp;F2</f>
        <v>30018_1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【超級】バックストリートファイト</v>
      </c>
      <c r="I2" s="69">
        <v>1</v>
      </c>
      <c r="J2" s="35">
        <v>15</v>
      </c>
      <c r="K2" s="35">
        <v>15</v>
      </c>
    </row>
    <row r="3" spans="1:11" ht="21" customHeight="1" x14ac:dyDescent="0.15">
      <c r="A3" s="15" t="str">
        <f>G3&amp;"-"&amp;I3</f>
        <v>30018_1-2</v>
      </c>
      <c r="B3" s="15" t="str">
        <f>IF(COUNTIF(enemy_habitats!$H:$H,A3),"OK","NG")</f>
        <v>OK</v>
      </c>
      <c r="C3" s="68">
        <v>30018</v>
      </c>
      <c r="D3" s="11" t="str">
        <f ca="1">VLOOKUP($C3,OFFSET([2]quests!$A$1,0,0,COUNTA([2]quests!$A:$A),MATCH(D$1,[2]quests!$1:$1,0)-MATCH($C$1,[2]quests!$1:$1,0)+1),MATCH(D$1,[2]quests!$1:$1,0)-MATCH($C$1,[2]quests!$1:$1,0)+1,FALSE)</f>
        <v>バックストリートファイト</v>
      </c>
      <c r="E3" s="17" t="str">
        <f ca="1">VLOOKUP($C3,OFFSET([2]quests!$A$1,0,0,COUNTA([2]quests!$A:$A),MATCH(E$1,[2]quests!$1:$1,0)-MATCH($C$1,[2]quests!$1:$1,0)+1),MATCH(E$1,[2]quests!$1:$1,0)-MATCH($C$1,[2]quests!$1:$1,0)+1,FALSE)</f>
        <v>ドロップイベント5（マルチ専用）</v>
      </c>
      <c r="F3" s="69">
        <v>1</v>
      </c>
      <c r="G3" s="20" t="str">
        <f>C3&amp;"_"&amp;F3</f>
        <v>30018_1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【超級】バックストリートファイト</v>
      </c>
      <c r="I3" s="69">
        <v>2</v>
      </c>
      <c r="J3" s="35">
        <v>60</v>
      </c>
      <c r="K3" s="35">
        <v>60</v>
      </c>
    </row>
    <row r="4" spans="1:11" ht="21" customHeight="1" x14ac:dyDescent="0.15">
      <c r="A4" s="15" t="str">
        <f t="shared" ref="A4:A9" si="2">G4&amp;"-"&amp;I4</f>
        <v>30018_1-3</v>
      </c>
      <c r="B4" s="15" t="str">
        <f>IF(COUNTIF(enemy_habitats!$H:$H,A4),"OK","NG")</f>
        <v>OK</v>
      </c>
      <c r="C4" s="68">
        <v>30018</v>
      </c>
      <c r="D4" s="11" t="str">
        <f ca="1">VLOOKUP($C4,OFFSET([2]quests!$A$1,0,0,COUNTA([2]quests!$A:$A),MATCH(D$1,[2]quests!$1:$1,0)-MATCH($C$1,[2]quests!$1:$1,0)+1),MATCH(D$1,[2]quests!$1:$1,0)-MATCH($C$1,[2]quests!$1:$1,0)+1,FALSE)</f>
        <v>バックストリートファイト</v>
      </c>
      <c r="E4" s="17" t="str">
        <f ca="1">VLOOKUP($C4,OFFSET([2]quests!$A$1,0,0,COUNTA([2]quests!$A:$A),MATCH(E$1,[2]quests!$1:$1,0)-MATCH($C$1,[2]quests!$1:$1,0)+1),MATCH(E$1,[2]quests!$1:$1,0)-MATCH($C$1,[2]quests!$1:$1,0)+1,FALSE)</f>
        <v>ドロップイベント5（マルチ専用）</v>
      </c>
      <c r="F4" s="69">
        <v>1</v>
      </c>
      <c r="G4" s="20" t="str">
        <f t="shared" ref="G4:G9" si="3">C4&amp;"_"&amp;F4</f>
        <v>30018_1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【超級】バックストリートファイト</v>
      </c>
      <c r="I4" s="69">
        <v>3</v>
      </c>
      <c r="J4" s="35">
        <v>60</v>
      </c>
      <c r="K4" s="35">
        <v>60</v>
      </c>
    </row>
    <row r="5" spans="1:11" ht="21" customHeight="1" x14ac:dyDescent="0.15">
      <c r="A5" s="15" t="str">
        <f t="shared" si="2"/>
        <v>30018_1-4</v>
      </c>
      <c r="B5" s="15" t="str">
        <f>IF(COUNTIF(enemy_habitats!$H:$H,A5),"OK","NG")</f>
        <v>OK</v>
      </c>
      <c r="C5" s="68">
        <v>30018</v>
      </c>
      <c r="D5" s="11" t="str">
        <f ca="1">VLOOKUP($C5,OFFSET([2]quests!$A$1,0,0,COUNTA([2]quests!$A:$A),MATCH(D$1,[2]quests!$1:$1,0)-MATCH($C$1,[2]quests!$1:$1,0)+1),MATCH(D$1,[2]quests!$1:$1,0)-MATCH($C$1,[2]quests!$1:$1,0)+1,FALSE)</f>
        <v>バックストリートファイト</v>
      </c>
      <c r="E5" s="17" t="str">
        <f ca="1">VLOOKUP($C5,OFFSET([2]quests!$A$1,0,0,COUNTA([2]quests!$A:$A),MATCH(E$1,[2]quests!$1:$1,0)-MATCH($C$1,[2]quests!$1:$1,0)+1),MATCH(E$1,[2]quests!$1:$1,0)-MATCH($C$1,[2]quests!$1:$1,0)+1,FALSE)</f>
        <v>ドロップイベント5（マルチ専用）</v>
      </c>
      <c r="F5" s="69">
        <v>1</v>
      </c>
      <c r="G5" s="20" t="str">
        <f t="shared" si="3"/>
        <v>30018_1</v>
      </c>
      <c r="H5" s="14" t="str">
        <f ca="1">VLOOKUP($G5,OFFSET([2]stages!$A$1,0,0,COUNTA([2]stages!$A:$A),MATCH(H$1,[2]stages!$2:$2,0)-MATCH($G$1,[2]stages!$2:$2,0)+1),MATCH(H$1,[2]stages!$2:$2,0)-MATCH($G$1,[2]stages!$2:$2,0)+1,FALSE)</f>
        <v>【超級】バックストリートファイト</v>
      </c>
      <c r="I5" s="69">
        <v>4</v>
      </c>
      <c r="J5" s="35">
        <v>60</v>
      </c>
      <c r="K5" s="35">
        <v>60</v>
      </c>
    </row>
    <row r="6" spans="1:11" ht="21" customHeight="1" x14ac:dyDescent="0.15">
      <c r="A6" s="15" t="str">
        <f t="shared" ref="A6" si="4">G6&amp;"-"&amp;I6</f>
        <v>30018_2-1</v>
      </c>
      <c r="B6" s="15" t="str">
        <f>IF(COUNTIF(enemy_habitats!$H:$H,A6),"OK","NG")</f>
        <v>OK</v>
      </c>
      <c r="C6" s="68">
        <v>30018</v>
      </c>
      <c r="D6" s="11" t="str">
        <f ca="1">VLOOKUP($C6,OFFSET([2]quests!$A$1,0,0,COUNTA([2]quests!$A:$A),MATCH(D$1,[2]quests!$1:$1,0)-MATCH($C$1,[2]quests!$1:$1,0)+1),MATCH(D$1,[2]quests!$1:$1,0)-MATCH($C$1,[2]quests!$1:$1,0)+1,FALSE)</f>
        <v>バックストリートファイト</v>
      </c>
      <c r="E6" s="17" t="str">
        <f ca="1">VLOOKUP($C6,OFFSET([2]quests!$A$1,0,0,COUNTA([2]quests!$A:$A),MATCH(E$1,[2]quests!$1:$1,0)-MATCH($C$1,[2]quests!$1:$1,0)+1),MATCH(E$1,[2]quests!$1:$1,0)-MATCH($C$1,[2]quests!$1:$1,0)+1,FALSE)</f>
        <v>ドロップイベント5（マルチ専用）</v>
      </c>
      <c r="F6" s="69">
        <v>2</v>
      </c>
      <c r="G6" s="20" t="str">
        <f t="shared" ref="G6" si="5">C6&amp;"_"&amp;F6</f>
        <v>30018_2</v>
      </c>
      <c r="H6" s="14" t="str">
        <f ca="1">VLOOKUP($G6,OFFSET([2]stages!$A$1,0,0,COUNTA([2]stages!$A:$A),MATCH(H$1,[2]stages!$2:$2,0)-MATCH($G$1,[2]stages!$2:$2,0)+1),MATCH(H$1,[2]stages!$2:$2,0)-MATCH($G$1,[2]stages!$2:$2,0)+1,FALSE)</f>
        <v>【超絶級】バックストリートファイト</v>
      </c>
      <c r="I6" s="69">
        <v>1</v>
      </c>
      <c r="J6" s="35">
        <v>15</v>
      </c>
      <c r="K6" s="35">
        <v>15</v>
      </c>
    </row>
    <row r="7" spans="1:11" ht="21" customHeight="1" x14ac:dyDescent="0.15">
      <c r="A7" s="15" t="str">
        <f t="shared" si="2"/>
        <v>30018_2-2</v>
      </c>
      <c r="B7" s="15" t="str">
        <f>IF(COUNTIF(enemy_habitats!$H:$H,A7),"OK","NG")</f>
        <v>OK</v>
      </c>
      <c r="C7" s="68">
        <v>30018</v>
      </c>
      <c r="D7" s="11" t="str">
        <f ca="1">VLOOKUP($C7,OFFSET([2]quests!$A$1,0,0,COUNTA([2]quests!$A:$A),MATCH(D$1,[2]quests!$1:$1,0)-MATCH($C$1,[2]quests!$1:$1,0)+1),MATCH(D$1,[2]quests!$1:$1,0)-MATCH($C$1,[2]quests!$1:$1,0)+1,FALSE)</f>
        <v>バックストリートファイト</v>
      </c>
      <c r="E7" s="17" t="str">
        <f ca="1">VLOOKUP($C7,OFFSET([2]quests!$A$1,0,0,COUNTA([2]quests!$A:$A),MATCH(E$1,[2]quests!$1:$1,0)-MATCH($C$1,[2]quests!$1:$1,0)+1),MATCH(E$1,[2]quests!$1:$1,0)-MATCH($C$1,[2]quests!$1:$1,0)+1,FALSE)</f>
        <v>ドロップイベント5（マルチ専用）</v>
      </c>
      <c r="F7" s="69">
        <v>2</v>
      </c>
      <c r="G7" s="20" t="str">
        <f t="shared" si="3"/>
        <v>30018_2</v>
      </c>
      <c r="H7" s="14" t="str">
        <f ca="1">VLOOKUP($G7,OFFSET([2]stages!$A$1,0,0,COUNTA([2]stages!$A:$A),MATCH(H$1,[2]stages!$2:$2,0)-MATCH($G$1,[2]stages!$2:$2,0)+1),MATCH(H$1,[2]stages!$2:$2,0)-MATCH($G$1,[2]stages!$2:$2,0)+1,FALSE)</f>
        <v>【超絶級】バックストリートファイト</v>
      </c>
      <c r="I7" s="69">
        <v>2</v>
      </c>
      <c r="J7" s="35">
        <v>60</v>
      </c>
      <c r="K7" s="35">
        <v>60</v>
      </c>
    </row>
    <row r="8" spans="1:11" ht="21" customHeight="1" x14ac:dyDescent="0.15">
      <c r="A8" s="15" t="str">
        <f t="shared" si="2"/>
        <v>30018_2-3</v>
      </c>
      <c r="B8" s="15" t="str">
        <f>IF(COUNTIF(enemy_habitats!$H:$H,A8),"OK","NG")</f>
        <v>OK</v>
      </c>
      <c r="C8" s="68">
        <v>30018</v>
      </c>
      <c r="D8" s="11" t="str">
        <f ca="1">VLOOKUP($C8,OFFSET([2]quests!$A$1,0,0,COUNTA([2]quests!$A:$A),MATCH(D$1,[2]quests!$1:$1,0)-MATCH($C$1,[2]quests!$1:$1,0)+1),MATCH(D$1,[2]quests!$1:$1,0)-MATCH($C$1,[2]quests!$1:$1,0)+1,FALSE)</f>
        <v>バックストリートファイト</v>
      </c>
      <c r="E8" s="17" t="str">
        <f ca="1">VLOOKUP($C8,OFFSET([2]quests!$A$1,0,0,COUNTA([2]quests!$A:$A),MATCH(E$1,[2]quests!$1:$1,0)-MATCH($C$1,[2]quests!$1:$1,0)+1),MATCH(E$1,[2]quests!$1:$1,0)-MATCH($C$1,[2]quests!$1:$1,0)+1,FALSE)</f>
        <v>ドロップイベント5（マルチ専用）</v>
      </c>
      <c r="F8" s="69">
        <v>2</v>
      </c>
      <c r="G8" s="20" t="str">
        <f t="shared" si="3"/>
        <v>30018_2</v>
      </c>
      <c r="H8" s="14" t="str">
        <f ca="1">VLOOKUP($G8,OFFSET([2]stages!$A$1,0,0,COUNTA([2]stages!$A:$A),MATCH(H$1,[2]stages!$2:$2,0)-MATCH($G$1,[2]stages!$2:$2,0)+1),MATCH(H$1,[2]stages!$2:$2,0)-MATCH($G$1,[2]stages!$2:$2,0)+1,FALSE)</f>
        <v>【超絶級】バックストリートファイト</v>
      </c>
      <c r="I8" s="69">
        <v>3</v>
      </c>
      <c r="J8" s="35">
        <v>60</v>
      </c>
      <c r="K8" s="35">
        <v>60</v>
      </c>
    </row>
    <row r="9" spans="1:11" ht="21" customHeight="1" x14ac:dyDescent="0.15">
      <c r="A9" s="15" t="str">
        <f t="shared" si="2"/>
        <v>30018_2-4</v>
      </c>
      <c r="B9" s="15" t="str">
        <f>IF(COUNTIF(enemy_habitats!$H:$H,A9),"OK","NG")</f>
        <v>OK</v>
      </c>
      <c r="C9" s="68">
        <v>30018</v>
      </c>
      <c r="D9" s="11" t="str">
        <f ca="1">VLOOKUP($C9,OFFSET([2]quests!$A$1,0,0,COUNTA([2]quests!$A:$A),MATCH(D$1,[2]quests!$1:$1,0)-MATCH($C$1,[2]quests!$1:$1,0)+1),MATCH(D$1,[2]quests!$1:$1,0)-MATCH($C$1,[2]quests!$1:$1,0)+1,FALSE)</f>
        <v>バックストリートファイト</v>
      </c>
      <c r="E9" s="17" t="str">
        <f ca="1">VLOOKUP($C9,OFFSET([2]quests!$A$1,0,0,COUNTA([2]quests!$A:$A),MATCH(E$1,[2]quests!$1:$1,0)-MATCH($C$1,[2]quests!$1:$1,0)+1),MATCH(E$1,[2]quests!$1:$1,0)-MATCH($C$1,[2]quests!$1:$1,0)+1,FALSE)</f>
        <v>ドロップイベント5（マルチ専用）</v>
      </c>
      <c r="F9" s="69">
        <v>2</v>
      </c>
      <c r="G9" s="20" t="str">
        <f t="shared" si="3"/>
        <v>30018_2</v>
      </c>
      <c r="H9" s="14" t="str">
        <f ca="1">VLOOKUP($G9,OFFSET([2]stages!$A$1,0,0,COUNTA([2]stages!$A:$A),MATCH(H$1,[2]stages!$2:$2,0)-MATCH($G$1,[2]stages!$2:$2,0)+1),MATCH(H$1,[2]stages!$2:$2,0)-MATCH($G$1,[2]stages!$2:$2,0)+1,FALSE)</f>
        <v>【超絶級】バックストリートファイト</v>
      </c>
      <c r="I9" s="69">
        <v>4</v>
      </c>
      <c r="J9" s="35">
        <v>60</v>
      </c>
      <c r="K9" s="35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1"/>
  <sheetViews>
    <sheetView showGridLines="0" zoomScale="75" zoomScaleNormal="75" zoomScalePageLayoutView="75" workbookViewId="0">
      <pane xSplit="17" ySplit="1" topLeftCell="AA2" activePane="bottomRight" state="frozen"/>
      <selection pane="topRight" activeCell="N1" sqref="N1"/>
      <selection pane="bottomLeft" activeCell="A2" sqref="A2"/>
      <selection pane="bottomRight" activeCell="B14" sqref="B14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20</v>
      </c>
      <c r="F1" s="27" t="s">
        <v>20</v>
      </c>
      <c r="G1" s="25" t="s">
        <v>19</v>
      </c>
      <c r="H1" s="26" t="s">
        <v>35</v>
      </c>
      <c r="I1" s="26" t="s">
        <v>14</v>
      </c>
      <c r="J1" s="26" t="s">
        <v>15</v>
      </c>
      <c r="K1" s="33" t="s">
        <v>54</v>
      </c>
      <c r="L1" s="34" t="s">
        <v>2</v>
      </c>
      <c r="M1" s="28" t="s">
        <v>21</v>
      </c>
      <c r="N1" s="26" t="s">
        <v>24</v>
      </c>
      <c r="O1" s="26" t="s">
        <v>23</v>
      </c>
      <c r="P1" s="29" t="s">
        <v>26</v>
      </c>
      <c r="Q1" s="27" t="s">
        <v>25</v>
      </c>
      <c r="R1" s="25" t="s">
        <v>3</v>
      </c>
      <c r="S1" s="23" t="s">
        <v>48</v>
      </c>
      <c r="T1" s="23" t="s">
        <v>50</v>
      </c>
      <c r="U1" s="23" t="s">
        <v>52</v>
      </c>
      <c r="V1" s="26" t="s">
        <v>31</v>
      </c>
      <c r="W1" s="25" t="s">
        <v>4</v>
      </c>
      <c r="X1" s="25" t="s">
        <v>5</v>
      </c>
      <c r="Y1" s="25" t="s">
        <v>6</v>
      </c>
      <c r="Z1" s="25" t="s">
        <v>7</v>
      </c>
      <c r="AA1" s="25" t="s">
        <v>8</v>
      </c>
      <c r="AB1" s="30" t="s">
        <v>9</v>
      </c>
      <c r="AC1" s="31" t="s">
        <v>16</v>
      </c>
      <c r="AD1" s="31" t="s">
        <v>17</v>
      </c>
      <c r="AE1" s="31" t="s">
        <v>27</v>
      </c>
      <c r="AF1" s="30" t="s">
        <v>10</v>
      </c>
      <c r="AG1" s="25" t="s">
        <v>11</v>
      </c>
      <c r="AH1" s="25" t="s">
        <v>12</v>
      </c>
      <c r="AI1" s="25" t="s">
        <v>38</v>
      </c>
      <c r="AJ1" s="25" t="s">
        <v>40</v>
      </c>
      <c r="AK1" s="25" t="s">
        <v>42</v>
      </c>
      <c r="AL1" s="25" t="s">
        <v>44</v>
      </c>
      <c r="AM1" s="25" t="s">
        <v>46</v>
      </c>
      <c r="AN1" s="33" t="s">
        <v>182</v>
      </c>
    </row>
    <row r="2" spans="1:40" ht="21" customHeight="1" x14ac:dyDescent="0.15">
      <c r="A2" s="15" t="str">
        <f t="shared" ref="A2" si="0">B2&amp;"_"&amp;C2&amp;"-"&amp;G2&amp;"/"&amp;L2&amp;"&lt;lv"&amp;R2&amp;"&gt;s"&amp;AA2</f>
        <v>30018_1-1/330&lt;lv68&gt;s1</v>
      </c>
      <c r="B2" s="19">
        <v>30018</v>
      </c>
      <c r="C2" s="69">
        <v>1</v>
      </c>
      <c r="D2" s="2" t="str">
        <f t="shared" ref="D2" si="1">B2&amp;"_"&amp;C2</f>
        <v>30018_1</v>
      </c>
      <c r="E2" s="4" t="str">
        <f ca="1">VLOOKUP($B2,OFFSET([2]quests!$A$1,0,0,COUNTA([2]quests!$A:$A),MATCH(E$1,[2]quests!$1:$1,0)-MATCH($B$1,[2]quests!$1:$1,0)+1),MATCH(E$1,[2]quests!$1:$1,0)-MATCH($B$1,[2]quests!$1:$1,0)+1,FALSE)</f>
        <v>バックストリートファイト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【超級】バックストリートファイト</v>
      </c>
      <c r="G2" s="69">
        <v>1</v>
      </c>
      <c r="H2" s="14" t="str">
        <f t="shared" ref="H2" si="2">B2&amp;"_"&amp;C2&amp;"-"&amp;G2</f>
        <v>30018_1-1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5" t="s">
        <v>53</v>
      </c>
      <c r="L2" s="70">
        <v>330</v>
      </c>
      <c r="M2" s="16" t="str">
        <f ca="1">VLOOKUP($L2,OFFSET([3]enemies!$A$1,0,0,COUNTA([3]enemies!$A:$A),MATCH(M$1,[3]enemies!$1:$1,0)-MATCH($L$1,[3]enemies!$1:$1,0)+1),MATCH(M$1,[3]enemies!$1:$1,0)-MATCH($L$1,[3]enemies!$1:$1,0)+1,FALSE)</f>
        <v>UsagiChan</v>
      </c>
      <c r="N2" s="16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DropWizSSS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68</v>
      </c>
      <c r="S2" s="22">
        <v>1</v>
      </c>
      <c r="T2" s="22">
        <v>1</v>
      </c>
      <c r="U2" s="5">
        <v>9999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72">
        <v>30018009</v>
      </c>
      <c r="X2" s="6">
        <v>1</v>
      </c>
      <c r="Y2" s="6">
        <v>100</v>
      </c>
      <c r="Z2" s="6">
        <v>1</v>
      </c>
      <c r="AA2" s="73">
        <v>1</v>
      </c>
      <c r="AB2" s="21">
        <f t="shared" ref="AB2" si="3">L2</f>
        <v>330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UsagiChan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DropWizSSS</v>
      </c>
      <c r="AF2" s="7">
        <v>1</v>
      </c>
      <c r="AG2" s="21">
        <f t="shared" ref="AG2" ca="1" si="4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 x14ac:dyDescent="0.15">
      <c r="A3" s="15" t="str">
        <f t="shared" ref="A3:A11" ca="1" si="5">B3&amp;"_"&amp;C3&amp;"-"&amp;G3&amp;"/"&amp;L3&amp;"&lt;lv"&amp;R3&amp;"&gt;s"&amp;AA3</f>
        <v>30018_1-2/182&lt;lv59&gt;s2</v>
      </c>
      <c r="B3" s="19">
        <v>30018</v>
      </c>
      <c r="C3" s="69">
        <v>1</v>
      </c>
      <c r="D3" s="2" t="str">
        <f t="shared" ref="D3:D11" si="6">B3&amp;"_"&amp;C3</f>
        <v>30018_1</v>
      </c>
      <c r="E3" s="4" t="str">
        <f ca="1">VLOOKUP($B3,OFFSET([2]quests!$A$1,0,0,COUNTA([2]quests!$A:$A),MATCH(E$1,[2]quests!$1:$1,0)-MATCH($B$1,[2]quests!$1:$1,0)+1),MATCH(E$1,[2]quests!$1:$1,0)-MATCH($B$1,[2]quests!$1:$1,0)+1,FALSE)</f>
        <v>バックストリートファイト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【超級】バックストリートファイト</v>
      </c>
      <c r="G3" s="69">
        <v>2</v>
      </c>
      <c r="H3" s="14" t="str">
        <f t="shared" ref="H3:H11" si="7">B3&amp;"_"&amp;C3&amp;"-"&amp;G3</f>
        <v>30018_1-2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5" t="s">
        <v>53</v>
      </c>
      <c r="L3" s="70">
        <v>182</v>
      </c>
      <c r="M3" s="16" t="str">
        <f ca="1">VLOOKUP($L3,OFFSET([3]enemies!$A$1,0,0,COUNTA([3]enemies!$A:$A),MATCH(M$1,[3]enemies!$1:$1,0)-MATCH($L$1,[3]enemies!$1:$1,0)+1),MATCH(M$1,[3]enemies!$1:$1,0)-MATCH($L$1,[3]enemies!$1:$1,0)+1,FALSE)</f>
        <v>放蕩者 ベヒモス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59</v>
      </c>
      <c r="S3" s="22">
        <v>1</v>
      </c>
      <c r="T3" s="22">
        <v>0.8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72">
        <v>30018003</v>
      </c>
      <c r="X3" s="6">
        <v>1</v>
      </c>
      <c r="Y3" s="6">
        <v>100</v>
      </c>
      <c r="Z3" s="6">
        <v>1</v>
      </c>
      <c r="AA3" s="16">
        <f ca="1">VLOOKUP($L3,OFFSET([3]enemies!$A$1,0,0,COUNTA([3]enemies!$A:$A),MATCH(AA$1,[3]enemies!$1:$1,0)-MATCH($L$1,[3]enemies!$1:$1,0)+1),MATCH(AA$1,[3]enemies!$1:$1,0)-MATCH($L$1,[3]enemies!$1:$1,0)+1,FALSE)</f>
        <v>2</v>
      </c>
      <c r="AB3" s="97">
        <v>181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ベヒモス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" s="7">
        <v>1</v>
      </c>
      <c r="AG3" s="21">
        <f t="shared" ref="AG3:AG11" ca="1" si="8">AD3</f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 x14ac:dyDescent="0.15">
      <c r="A4" s="15" t="str">
        <f t="shared" ca="1" si="5"/>
        <v>30018_1-3/49&lt;lv52&gt;s2</v>
      </c>
      <c r="B4" s="19">
        <v>30018</v>
      </c>
      <c r="C4" s="69">
        <v>1</v>
      </c>
      <c r="D4" s="2" t="str">
        <f t="shared" si="6"/>
        <v>30018_1</v>
      </c>
      <c r="E4" s="4" t="str">
        <f ca="1">VLOOKUP($B4,OFFSET([2]quests!$A$1,0,0,COUNTA([2]quests!$A:$A),MATCH(E$1,[2]quests!$1:$1,0)-MATCH($B$1,[2]quests!$1:$1,0)+1),MATCH(E$1,[2]quests!$1:$1,0)-MATCH($B$1,[2]quests!$1:$1,0)+1,FALSE)</f>
        <v>バックストリートファイト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【超級】バックストリートファイト</v>
      </c>
      <c r="G4" s="69">
        <v>3</v>
      </c>
      <c r="H4" s="14" t="str">
        <f t="shared" si="7"/>
        <v>30018_1-3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5" t="s">
        <v>53</v>
      </c>
      <c r="L4" s="70">
        <v>49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ヨシタカ</v>
      </c>
      <c r="N4" s="16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52</v>
      </c>
      <c r="S4" s="22">
        <v>1.5</v>
      </c>
      <c r="T4" s="22">
        <v>0.8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72">
        <v>30018004</v>
      </c>
      <c r="X4" s="6">
        <v>2</v>
      </c>
      <c r="Y4" s="6">
        <v>100</v>
      </c>
      <c r="Z4" s="6">
        <v>0</v>
      </c>
      <c r="AA4" s="16">
        <f ca="1">VLOOKUP($L4,OFFSET([3]enemies!$A$1,0,0,COUNTA([3]enemies!$A:$A),MATCH(AA$1,[3]enemies!$1:$1,0)-MATCH($L$1,[3]enemies!$1:$1,0)+1),MATCH(AA$1,[3]enemies!$1:$1,0)-MATCH($L$1,[3]enemies!$1:$1,0)+1,FALSE)</f>
        <v>2</v>
      </c>
      <c r="AB4" s="97">
        <v>49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1">
        <f t="shared" ca="1" si="8"/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 x14ac:dyDescent="0.15">
      <c r="A5" s="15" t="str">
        <f t="shared" ca="1" si="5"/>
        <v>30018_1-3/218&lt;lv59&gt;s3</v>
      </c>
      <c r="B5" s="19">
        <v>30018</v>
      </c>
      <c r="C5" s="69">
        <v>1</v>
      </c>
      <c r="D5" s="2" t="str">
        <f t="shared" si="6"/>
        <v>30018_1</v>
      </c>
      <c r="E5" s="4" t="str">
        <f ca="1">VLOOKUP($B5,OFFSET([2]quests!$A$1,0,0,COUNTA([2]quests!$A:$A),MATCH(E$1,[2]quests!$1:$1,0)-MATCH($B$1,[2]quests!$1:$1,0)+1),MATCH(E$1,[2]quests!$1:$1,0)-MATCH($B$1,[2]quests!$1:$1,0)+1,FALSE)</f>
        <v>バックストリートファイト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【超級】バックストリートファイト</v>
      </c>
      <c r="G5" s="69">
        <v>3</v>
      </c>
      <c r="H5" s="14" t="str">
        <f t="shared" si="7"/>
        <v>30018_1-3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5" t="s">
        <v>53</v>
      </c>
      <c r="L5" s="70">
        <v>218</v>
      </c>
      <c r="M5" s="16" t="str">
        <f ca="1">VLOOKUP($L5,OFFSET([3]enemies!$A$1,0,0,COUNTA([3]enemies!$A:$A),MATCH(M$1,[3]enemies!$1:$1,0)-MATCH($L$1,[3]enemies!$1:$1,0)+1),MATCH(M$1,[3]enemies!$1:$1,0)-MATCH($L$1,[3]enemies!$1:$1,0)+1,FALSE)</f>
        <v>聖蛇 ケツァクアトル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59</v>
      </c>
      <c r="S5" s="22">
        <v>0.8</v>
      </c>
      <c r="T5" s="22">
        <v>0.8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72">
        <v>30018005</v>
      </c>
      <c r="X5" s="6">
        <v>1</v>
      </c>
      <c r="Y5" s="6">
        <v>100</v>
      </c>
      <c r="Z5" s="6">
        <v>1</v>
      </c>
      <c r="AA5" s="16">
        <f ca="1">VLOOKUP($L5,OFFSET([3]enemies!$A$1,0,0,COUNTA([3]enemies!$A:$A),MATCH(AA$1,[3]enemies!$1:$1,0)-MATCH($L$1,[3]enemies!$1:$1,0)+1),MATCH(AA$1,[3]enemies!$1:$1,0)-MATCH($L$1,[3]enemies!$1:$1,0)+1,FALSE)</f>
        <v>3</v>
      </c>
      <c r="AB5" s="97">
        <v>217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ケツァクアトル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5" s="7">
        <v>1</v>
      </c>
      <c r="AG5" s="21">
        <f t="shared" ca="1" si="8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  <row r="6" spans="1:40" ht="21" customHeight="1" x14ac:dyDescent="0.15">
      <c r="A6" s="15" t="str">
        <f t="shared" ca="1" si="5"/>
        <v>30018_1-4/454&lt;lv59&gt;s3</v>
      </c>
      <c r="B6" s="19">
        <v>30018</v>
      </c>
      <c r="C6" s="69">
        <v>1</v>
      </c>
      <c r="D6" s="2" t="str">
        <f t="shared" si="6"/>
        <v>30018_1</v>
      </c>
      <c r="E6" s="4" t="str">
        <f ca="1">VLOOKUP($B6,OFFSET([2]quests!$A$1,0,0,COUNTA([2]quests!$A:$A),MATCH(E$1,[2]quests!$1:$1,0)-MATCH($B$1,[2]quests!$1:$1,0)+1),MATCH(E$1,[2]quests!$1:$1,0)-MATCH($B$1,[2]quests!$1:$1,0)+1,FALSE)</f>
        <v>バックストリートファイト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【超級】バックストリートファイト</v>
      </c>
      <c r="G6" s="69">
        <v>4</v>
      </c>
      <c r="H6" s="14" t="str">
        <f t="shared" si="7"/>
        <v>30018_1-4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5">
        <v>1</v>
      </c>
      <c r="L6" s="70">
        <v>454</v>
      </c>
      <c r="M6" s="16" t="str">
        <f ca="1">VLOOKUP($L6,OFFSET([3]enemies!$A$1,0,0,COUNTA([3]enemies!$A:$A),MATCH(M$1,[3]enemies!$1:$1,0)-MATCH($L$1,[3]enemies!$1:$1,0)+1),MATCH(M$1,[3]enemies!$1:$1,0)-MATCH($L$1,[3]enemies!$1:$1,0)+1,FALSE)</f>
        <v>二闘 レッサとギガン</v>
      </c>
      <c r="N6" s="16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6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59</v>
      </c>
      <c r="S6" s="22">
        <v>1.2</v>
      </c>
      <c r="T6" s="22">
        <v>1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72">
        <v>30018006</v>
      </c>
      <c r="X6" s="6">
        <v>1</v>
      </c>
      <c r="Y6" s="6">
        <v>100</v>
      </c>
      <c r="Z6" s="6">
        <v>1</v>
      </c>
      <c r="AA6" s="16">
        <f ca="1">VLOOKUP($L6,OFFSET([3]enemies!$A$1,0,0,COUNTA([3]enemies!$A:$A),MATCH(AA$1,[3]enemies!$1:$1,0)-MATCH($L$1,[3]enemies!$1:$1,0)+1),MATCH(AA$1,[3]enemies!$1:$1,0)-MATCH($L$1,[3]enemies!$1:$1,0)+1,FALSE)</f>
        <v>3</v>
      </c>
      <c r="AB6" s="97">
        <v>454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二闘 レッサとギガン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1">
        <f t="shared" ca="1" si="8"/>
        <v>4</v>
      </c>
      <c r="AH6" s="8">
        <v>50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7">
        <v>1</v>
      </c>
    </row>
    <row r="7" spans="1:40" ht="21" customHeight="1" x14ac:dyDescent="0.15">
      <c r="A7" s="15" t="str">
        <f t="shared" ref="A7" ca="1" si="9">B7&amp;"_"&amp;C7&amp;"-"&amp;G7&amp;"/"&amp;L7&amp;"&lt;lv"&amp;R7&amp;"&gt;s"&amp;AA7</f>
        <v>30018_2-1/330&lt;lv68&gt;s2</v>
      </c>
      <c r="B7" s="19">
        <v>30018</v>
      </c>
      <c r="C7" s="69">
        <v>2</v>
      </c>
      <c r="D7" s="2" t="str">
        <f t="shared" ref="D7" si="10">B7&amp;"_"&amp;C7</f>
        <v>30018_2</v>
      </c>
      <c r="E7" s="4" t="str">
        <f ca="1">VLOOKUP($B7,OFFSET([2]quests!$A$1,0,0,COUNTA([2]quests!$A:$A),MATCH(E$1,[2]quests!$1:$1,0)-MATCH($B$1,[2]quests!$1:$1,0)+1),MATCH(E$1,[2]quests!$1:$1,0)-MATCH($B$1,[2]quests!$1:$1,0)+1,FALSE)</f>
        <v>バックストリートファイト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【超絶級】バックストリートファイト</v>
      </c>
      <c r="G7" s="69">
        <v>1</v>
      </c>
      <c r="H7" s="14" t="str">
        <f t="shared" ref="H7" si="11">B7&amp;"_"&amp;C7&amp;"-"&amp;G7</f>
        <v>30018_2-1</v>
      </c>
      <c r="I7" s="4">
        <f ca="1">VLOOKUP($H7,OFFSET(floors!$A$1,0,0,COUNTA(floors!$A:$A),MATCH(I$1,floors!$1:$1,0)-MATCH($H$1,floors!$1:$1,0)+1),MATCH(I$1,floors!$1:$1,0)-MATCH($H$1,floors!$1:$1,0)+1,FALSE)</f>
        <v>15</v>
      </c>
      <c r="J7" s="4">
        <f ca="1">VLOOKUP($H7,OFFSET(floors!$A$1,0,0,COUNTA(floors!$A:$A),MATCH(J$1,floors!$1:$1,0)-MATCH($H$1,floors!$1:$1,0)+1),MATCH(J$1,floors!$1:$1,0)-MATCH($H$1,floors!$1:$1,0)+1,FALSE)</f>
        <v>15</v>
      </c>
      <c r="K7" s="35" t="s">
        <v>53</v>
      </c>
      <c r="L7" s="70">
        <v>330</v>
      </c>
      <c r="M7" s="16" t="str">
        <f ca="1">VLOOKUP($L7,OFFSET([3]enemies!$A$1,0,0,COUNTA([3]enemies!$A:$A),MATCH(M$1,[3]enemies!$1:$1,0)-MATCH($L$1,[3]enemies!$1:$1,0)+1),MATCH(M$1,[3]enemies!$1:$1,0)-MATCH($L$1,[3]enemies!$1:$1,0)+1,FALSE)</f>
        <v>UsagiChan</v>
      </c>
      <c r="N7" s="16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DropWizSSS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6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68</v>
      </c>
      <c r="S7" s="22">
        <v>1</v>
      </c>
      <c r="T7" s="22">
        <v>1</v>
      </c>
      <c r="U7" s="5">
        <v>9999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72">
        <v>30018009</v>
      </c>
      <c r="X7" s="6">
        <v>1</v>
      </c>
      <c r="Y7" s="6">
        <v>100</v>
      </c>
      <c r="Z7" s="6">
        <v>1</v>
      </c>
      <c r="AA7" s="16">
        <f ca="1">VLOOKUP($L7,OFFSET([3]enemies!$A$1,0,0,COUNTA([3]enemies!$A:$A),MATCH(AA$1,[3]enemies!$1:$1,0)-MATCH($L$1,[3]enemies!$1:$1,0)+1),MATCH(AA$1,[3]enemies!$1:$1,0)-MATCH($L$1,[3]enemies!$1:$1,0)+1,FALSE)</f>
        <v>2</v>
      </c>
      <c r="AB7" s="21">
        <f t="shared" ref="AB7" si="12">L7</f>
        <v>330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UsagiChan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DropWizSSS</v>
      </c>
      <c r="AF7" s="7">
        <v>1</v>
      </c>
      <c r="AG7" s="21">
        <f t="shared" ref="AG7" ca="1" si="13">AD7</f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7">
        <v>1</v>
      </c>
    </row>
    <row r="8" spans="1:40" ht="21" customHeight="1" x14ac:dyDescent="0.15">
      <c r="A8" s="15" t="str">
        <f t="shared" ca="1" si="5"/>
        <v>30018_2-2/183&lt;lv75&gt;s2</v>
      </c>
      <c r="B8" s="19">
        <v>30018</v>
      </c>
      <c r="C8" s="69">
        <v>2</v>
      </c>
      <c r="D8" s="2" t="str">
        <f t="shared" si="6"/>
        <v>30018_2</v>
      </c>
      <c r="E8" s="4" t="str">
        <f ca="1">VLOOKUP($B8,OFFSET([2]quests!$A$1,0,0,COUNTA([2]quests!$A:$A),MATCH(E$1,[2]quests!$1:$1,0)-MATCH($B$1,[2]quests!$1:$1,0)+1),MATCH(E$1,[2]quests!$1:$1,0)-MATCH($B$1,[2]quests!$1:$1,0)+1,FALSE)</f>
        <v>バックストリートファイト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【超絶級】バックストリートファイト</v>
      </c>
      <c r="G8" s="69">
        <v>2</v>
      </c>
      <c r="H8" s="14" t="str">
        <f t="shared" si="7"/>
        <v>30018_2-2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5" t="s">
        <v>53</v>
      </c>
      <c r="L8" s="70">
        <v>183</v>
      </c>
      <c r="M8" s="16" t="str">
        <f ca="1">VLOOKUP($L8,OFFSET([3]enemies!$A$1,0,0,COUNTA([3]enemies!$A:$A),MATCH(M$1,[3]enemies!$1:$1,0)-MATCH($L$1,[3]enemies!$1:$1,0)+1),MATCH(M$1,[3]enemies!$1:$1,0)-MATCH($L$1,[3]enemies!$1:$1,0)+1,FALSE)</f>
        <v>鈍重な彷徨者 ベヒモス</v>
      </c>
      <c r="N8" s="16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6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6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75</v>
      </c>
      <c r="S8" s="22">
        <v>1</v>
      </c>
      <c r="T8" s="22">
        <v>0.8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72">
        <v>30018003</v>
      </c>
      <c r="X8" s="6">
        <v>1</v>
      </c>
      <c r="Y8" s="6">
        <v>100</v>
      </c>
      <c r="Z8" s="6">
        <v>1</v>
      </c>
      <c r="AA8" s="16">
        <f ca="1">VLOOKUP($L8,OFFSET([3]enemies!$A$1,0,0,COUNTA([3]enemies!$A:$A),MATCH(AA$1,[3]enemies!$1:$1,0)-MATCH($L$1,[3]enemies!$1:$1,0)+1),MATCH(AA$1,[3]enemies!$1:$1,0)-MATCH($L$1,[3]enemies!$1:$1,0)+1,FALSE)</f>
        <v>2</v>
      </c>
      <c r="AB8" s="97">
        <v>181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ベヒモス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8" s="7">
        <v>1</v>
      </c>
      <c r="AG8" s="21">
        <f t="shared" ca="1" si="8"/>
        <v>3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7">
        <v>1</v>
      </c>
    </row>
    <row r="9" spans="1:40" ht="21" customHeight="1" x14ac:dyDescent="0.15">
      <c r="A9" s="15" t="str">
        <f t="shared" ca="1" si="5"/>
        <v>30018_2-3/49&lt;lv68&gt;s2</v>
      </c>
      <c r="B9" s="19">
        <v>30018</v>
      </c>
      <c r="C9" s="69">
        <v>2</v>
      </c>
      <c r="D9" s="2" t="str">
        <f t="shared" si="6"/>
        <v>30018_2</v>
      </c>
      <c r="E9" s="4" t="str">
        <f ca="1">VLOOKUP($B9,OFFSET([2]quests!$A$1,0,0,COUNTA([2]quests!$A:$A),MATCH(E$1,[2]quests!$1:$1,0)-MATCH($B$1,[2]quests!$1:$1,0)+1),MATCH(E$1,[2]quests!$1:$1,0)-MATCH($B$1,[2]quests!$1:$1,0)+1,FALSE)</f>
        <v>バックストリートファイト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【超絶級】バックストリートファイト</v>
      </c>
      <c r="G9" s="69">
        <v>3</v>
      </c>
      <c r="H9" s="14" t="str">
        <f t="shared" si="7"/>
        <v>30018_2-3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5" t="s">
        <v>53</v>
      </c>
      <c r="L9" s="70">
        <v>49</v>
      </c>
      <c r="M9" s="16" t="str">
        <f ca="1">VLOOKUP($L9,OFFSET([3]enemies!$A$1,0,0,COUNTA([3]enemies!$A:$A),MATCH(M$1,[3]enemies!$1:$1,0)-MATCH($L$1,[3]enemies!$1:$1,0)+1),MATCH(M$1,[3]enemies!$1:$1,0)-MATCH($L$1,[3]enemies!$1:$1,0)+1,FALSE)</f>
        <v>ヨシタカ</v>
      </c>
      <c r="N9" s="16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68</v>
      </c>
      <c r="S9" s="22">
        <v>1.5</v>
      </c>
      <c r="T9" s="22">
        <v>0.8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72">
        <v>30018004</v>
      </c>
      <c r="X9" s="6">
        <v>2</v>
      </c>
      <c r="Y9" s="6">
        <v>100</v>
      </c>
      <c r="Z9" s="6">
        <v>0</v>
      </c>
      <c r="AA9" s="16">
        <f ca="1">VLOOKUP($L9,OFFSET([3]enemies!$A$1,0,0,COUNTA([3]enemies!$A:$A),MATCH(AA$1,[3]enemies!$1:$1,0)-MATCH($L$1,[3]enemies!$1:$1,0)+1),MATCH(AA$1,[3]enemies!$1:$1,0)-MATCH($L$1,[3]enemies!$1:$1,0)+1,FALSE)</f>
        <v>2</v>
      </c>
      <c r="AB9" s="97">
        <v>49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7">
        <v>1</v>
      </c>
      <c r="AG9" s="21">
        <f t="shared" ca="1" si="8"/>
        <v>2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7">
        <v>1</v>
      </c>
    </row>
    <row r="10" spans="1:40" ht="21" customHeight="1" x14ac:dyDescent="0.15">
      <c r="A10" s="15" t="str">
        <f t="shared" ca="1" si="5"/>
        <v>30018_2-3/218&lt;lv75&gt;s3</v>
      </c>
      <c r="B10" s="19">
        <v>30018</v>
      </c>
      <c r="C10" s="69">
        <v>2</v>
      </c>
      <c r="D10" s="2" t="str">
        <f t="shared" si="6"/>
        <v>30018_2</v>
      </c>
      <c r="E10" s="4" t="str">
        <f ca="1">VLOOKUP($B10,OFFSET([2]quests!$A$1,0,0,COUNTA([2]quests!$A:$A),MATCH(E$1,[2]quests!$1:$1,0)-MATCH($B$1,[2]quests!$1:$1,0)+1),MATCH(E$1,[2]quests!$1:$1,0)-MATCH($B$1,[2]quests!$1:$1,0)+1,FALSE)</f>
        <v>バックストリートファイト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【超絶級】バックストリートファイト</v>
      </c>
      <c r="G10" s="69">
        <v>3</v>
      </c>
      <c r="H10" s="14" t="str">
        <f t="shared" si="7"/>
        <v>30018_2-3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5" t="s">
        <v>53</v>
      </c>
      <c r="L10" s="70">
        <v>218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聖蛇 ケツァクアトル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PremiumN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6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75</v>
      </c>
      <c r="S10" s="22">
        <v>0.8</v>
      </c>
      <c r="T10" s="22">
        <v>0.8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0" s="72">
        <v>30018005</v>
      </c>
      <c r="X10" s="6">
        <v>1</v>
      </c>
      <c r="Y10" s="6">
        <v>100</v>
      </c>
      <c r="Z10" s="6">
        <v>1</v>
      </c>
      <c r="AA10" s="16">
        <f ca="1">VLOOKUP($L10,OFFSET([3]enemies!$A$1,0,0,COUNTA([3]enemies!$A:$A),MATCH(AA$1,[3]enemies!$1:$1,0)-MATCH($L$1,[3]enemies!$1:$1,0)+1),MATCH(AA$1,[3]enemies!$1:$1,0)-MATCH($L$1,[3]enemies!$1:$1,0)+1,FALSE)</f>
        <v>3</v>
      </c>
      <c r="AB10" s="97">
        <v>217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ケツァクアトル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0" s="7">
        <v>1</v>
      </c>
      <c r="AG10" s="21">
        <f t="shared" ca="1" si="8"/>
        <v>3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7">
        <v>1</v>
      </c>
    </row>
    <row r="11" spans="1:40" ht="21" customHeight="1" x14ac:dyDescent="0.15">
      <c r="A11" s="15" t="str">
        <f t="shared" ca="1" si="5"/>
        <v>30018_2-4/455&lt;lv75&gt;s3</v>
      </c>
      <c r="B11" s="19">
        <v>30018</v>
      </c>
      <c r="C11" s="69">
        <v>2</v>
      </c>
      <c r="D11" s="2" t="str">
        <f t="shared" si="6"/>
        <v>30018_2</v>
      </c>
      <c r="E11" s="4" t="str">
        <f ca="1">VLOOKUP($B11,OFFSET([2]quests!$A$1,0,0,COUNTA([2]quests!$A:$A),MATCH(E$1,[2]quests!$1:$1,0)-MATCH($B$1,[2]quests!$1:$1,0)+1),MATCH(E$1,[2]quests!$1:$1,0)-MATCH($B$1,[2]quests!$1:$1,0)+1,FALSE)</f>
        <v>バックストリートファイト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【超絶級】バックストリートファイト</v>
      </c>
      <c r="G11" s="69">
        <v>4</v>
      </c>
      <c r="H11" s="14" t="str">
        <f t="shared" si="7"/>
        <v>30018_2-4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5">
        <v>2</v>
      </c>
      <c r="L11" s="70">
        <v>455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廃街の二闘 レッサとギガン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6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75</v>
      </c>
      <c r="S11" s="22">
        <v>1.2</v>
      </c>
      <c r="T11" s="22">
        <v>1.2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72">
        <v>30018006</v>
      </c>
      <c r="X11" s="6">
        <v>1</v>
      </c>
      <c r="Y11" s="6">
        <v>100</v>
      </c>
      <c r="Z11" s="6">
        <v>1</v>
      </c>
      <c r="AA11" s="16">
        <f ca="1">VLOOKUP($L11,OFFSET([3]enemies!$A$1,0,0,COUNTA([3]enemies!$A:$A),MATCH(AA$1,[3]enemies!$1:$1,0)-MATCH($L$1,[3]enemies!$1:$1,0)+1),MATCH(AA$1,[3]enemies!$1:$1,0)-MATCH($L$1,[3]enemies!$1:$1,0)+1,FALSE)</f>
        <v>3</v>
      </c>
      <c r="AB11" s="97">
        <v>454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二闘 レッサとギガン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" s="7">
        <v>1</v>
      </c>
      <c r="AG11" s="21">
        <f t="shared" ca="1" si="8"/>
        <v>4</v>
      </c>
      <c r="AH11" s="8">
        <v>100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7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16" sqref="M16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16</v>
      </c>
      <c r="F1" s="27" t="s">
        <v>16</v>
      </c>
      <c r="G1" s="25" t="s">
        <v>19</v>
      </c>
      <c r="H1" s="26" t="s">
        <v>30</v>
      </c>
      <c r="I1" s="26" t="s">
        <v>14</v>
      </c>
      <c r="J1" s="26" t="s">
        <v>15</v>
      </c>
      <c r="K1" s="33" t="s">
        <v>54</v>
      </c>
      <c r="L1" s="33" t="s">
        <v>55</v>
      </c>
      <c r="M1" s="34" t="s">
        <v>2</v>
      </c>
      <c r="N1" s="28" t="s">
        <v>16</v>
      </c>
      <c r="O1" s="26" t="s">
        <v>24</v>
      </c>
      <c r="P1" s="26" t="s">
        <v>23</v>
      </c>
      <c r="Q1" s="29" t="s">
        <v>26</v>
      </c>
      <c r="R1" s="27" t="s">
        <v>25</v>
      </c>
      <c r="S1" s="25" t="s">
        <v>3</v>
      </c>
      <c r="T1" s="23" t="s">
        <v>48</v>
      </c>
      <c r="U1" s="23" t="s">
        <v>50</v>
      </c>
      <c r="V1" s="23" t="s">
        <v>52</v>
      </c>
      <c r="W1" s="25" t="s">
        <v>129</v>
      </c>
      <c r="X1" s="26" t="s">
        <v>128</v>
      </c>
      <c r="Y1" s="25" t="s">
        <v>8</v>
      </c>
    </row>
    <row r="2" spans="1:25" ht="21" customHeight="1" x14ac:dyDescent="0.15">
      <c r="A2" s="15" t="str">
        <f>B2&amp;"_"&amp;C2&amp;"-"&amp;G2&amp;"/"&amp;M2&amp;"&lt;lv"&amp;S2&amp;"&gt;sq"&amp;K2&amp;"st"&amp;L2</f>
        <v>30018_1-4/454&lt;lv59&gt;sq1st2</v>
      </c>
      <c r="B2" s="19">
        <v>30018</v>
      </c>
      <c r="C2" s="69">
        <v>1</v>
      </c>
      <c r="D2" s="2" t="str">
        <f>B2&amp;"_"&amp;C2</f>
        <v>30018_1</v>
      </c>
      <c r="E2" s="4" t="str">
        <f ca="1">VLOOKUP($B2,OFFSET([2]quests!$A$1,0,0,COUNTA([2]quests!$A:$A),MATCH(E$1,[2]quests!$1:$1,0)-MATCH($B$1,[2]quests!$1:$1,0)+1),MATCH(E$1,[2]quests!$1:$1,0)-MATCH($B$1,[2]quests!$1:$1,0)+1,FALSE)</f>
        <v>バックストリートファイト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【超級】バックストリートファイト</v>
      </c>
      <c r="G2" s="69">
        <v>4</v>
      </c>
      <c r="H2" s="14" t="str">
        <f>B2&amp;"_"&amp;C2&amp;"-"&amp;G2</f>
        <v>30018_1-4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5">
        <v>1</v>
      </c>
      <c r="L2" s="35">
        <v>2</v>
      </c>
      <c r="M2" s="70">
        <v>454</v>
      </c>
      <c r="N2" s="16" t="str">
        <f ca="1">VLOOKUP($M2,OFFSET([3]enemies!$A$1,0,0,COUNTA([3]enemies!$A:$A),MATCH(N$1,[3]enemies!$1:$1,0)-MATCH($M$1,[3]enemies!$1:$1,0)+1),MATCH(N$1,[3]enemies!$1:$1,0)-MATCH($M$1,[3]enemies!$1:$1,0)+1,FALSE)</f>
        <v>二闘 レッサとギガン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6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6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59</v>
      </c>
      <c r="T2" s="22">
        <v>1.5</v>
      </c>
      <c r="U2" s="22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72">
        <v>30018008</v>
      </c>
      <c r="Y2" s="4">
        <f ca="1">VLOOKUP(M2,[3]enemies!$A:$V,22,FALSE)</f>
        <v>3</v>
      </c>
    </row>
    <row r="3" spans="1:25" ht="21" customHeight="1" x14ac:dyDescent="0.15">
      <c r="A3" s="15" t="str">
        <f>B3&amp;"_"&amp;C3&amp;"-"&amp;G3&amp;"/"&amp;M3&amp;"&lt;lv"&amp;S3&amp;"&gt;sq"&amp;K3&amp;"st"&amp;L3</f>
        <v>30018_2-4/455&lt;lv75&gt;sq2st2</v>
      </c>
      <c r="B3" s="19">
        <v>30018</v>
      </c>
      <c r="C3" s="69">
        <v>2</v>
      </c>
      <c r="D3" s="2" t="str">
        <f>B3&amp;"_"&amp;C3</f>
        <v>30018_2</v>
      </c>
      <c r="E3" s="4" t="str">
        <f ca="1">VLOOKUP($B3,OFFSET([2]quests!$A$1,0,0,COUNTA([2]quests!$A:$A),MATCH(E$1,[2]quests!$1:$1,0)-MATCH($B$1,[2]quests!$1:$1,0)+1),MATCH(E$1,[2]quests!$1:$1,0)-MATCH($B$1,[2]quests!$1:$1,0)+1,FALSE)</f>
        <v>バックストリートファイト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【超絶級】バックストリートファイト</v>
      </c>
      <c r="G3" s="69">
        <v>4</v>
      </c>
      <c r="H3" s="14" t="str">
        <f>B3&amp;"_"&amp;C3&amp;"-"&amp;G3</f>
        <v>30018_2-4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5">
        <v>2</v>
      </c>
      <c r="L3" s="35">
        <v>2</v>
      </c>
      <c r="M3" s="70">
        <v>455</v>
      </c>
      <c r="N3" s="16" t="str">
        <f ca="1">VLOOKUP($M3,OFFSET([3]enemies!$A$1,0,0,COUNTA([3]enemies!$A:$A),MATCH(N$1,[3]enemies!$1:$1,0)-MATCH($M$1,[3]enemies!$1:$1,0)+1),MATCH(N$1,[3]enemies!$1:$1,0)-MATCH($M$1,[3]enemies!$1:$1,0)+1,FALSE)</f>
        <v>廃街の二闘 レッサとギガン</v>
      </c>
      <c r="O3" s="1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6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75</v>
      </c>
      <c r="T3" s="22">
        <v>1.2</v>
      </c>
      <c r="U3" s="22">
        <v>1.2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72">
        <v>30018007</v>
      </c>
      <c r="Y3" s="4">
        <f ca="1">VLOOKUP(M3,[3]enemies!$A:$V,22,FALSE)</f>
        <v>3</v>
      </c>
    </row>
    <row r="4" spans="1:25" ht="21" customHeight="1" x14ac:dyDescent="0.15">
      <c r="A4" s="15" t="str">
        <f>B4&amp;"_"&amp;C4&amp;"-"&amp;G4&amp;"/"&amp;M4&amp;"&lt;lv"&amp;S4&amp;"&gt;sq"&amp;K4&amp;"st"&amp;L4</f>
        <v>30018_2-4/455&lt;lv75&gt;sq2st3</v>
      </c>
      <c r="B4" s="19">
        <v>30018</v>
      </c>
      <c r="C4" s="69">
        <v>2</v>
      </c>
      <c r="D4" s="2" t="str">
        <f>B4&amp;"_"&amp;C4</f>
        <v>30018_2</v>
      </c>
      <c r="E4" s="4" t="str">
        <f ca="1">VLOOKUP($B4,OFFSET([2]quests!$A$1,0,0,COUNTA([2]quests!$A:$A),MATCH(E$1,[2]quests!$1:$1,0)-MATCH($B$1,[2]quests!$1:$1,0)+1),MATCH(E$1,[2]quests!$1:$1,0)-MATCH($B$1,[2]quests!$1:$1,0)+1,FALSE)</f>
        <v>バックストリートファイト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【超絶級】バックストリートファイト</v>
      </c>
      <c r="G4" s="69">
        <v>4</v>
      </c>
      <c r="H4" s="14" t="str">
        <f>B4&amp;"_"&amp;C4&amp;"-"&amp;G4</f>
        <v>30018_2-4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5">
        <v>2</v>
      </c>
      <c r="L4" s="35">
        <v>3</v>
      </c>
      <c r="M4" s="70">
        <v>455</v>
      </c>
      <c r="N4" s="16" t="str">
        <f ca="1">VLOOKUP($M4,OFFSET([3]enemies!$A$1,0,0,COUNTA([3]enemies!$A:$A),MATCH(N$1,[3]enemies!$1:$1,0)-MATCH($M$1,[3]enemies!$1:$1,0)+1),MATCH(N$1,[3]enemies!$1:$1,0)-MATCH($M$1,[3]enemies!$1:$1,0)+1,FALSE)</f>
        <v>廃街の二闘 レッサとギガン</v>
      </c>
      <c r="O4" s="16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6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75</v>
      </c>
      <c r="T4" s="22">
        <v>1.5</v>
      </c>
      <c r="U4" s="22">
        <v>1.2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72">
        <v>30018008</v>
      </c>
      <c r="Y4" s="72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3"/>
  <sheetViews>
    <sheetView showGridLines="0" workbookViewId="0">
      <pane xSplit="5" ySplit="1" topLeftCell="F7" activePane="bottomRight" state="frozen"/>
      <selection activeCell="F3" sqref="F3"/>
      <selection pane="topRight" activeCell="F3" sqref="F3"/>
      <selection pane="bottomLeft" activeCell="F3" sqref="F3"/>
      <selection pane="bottomRight" activeCell="G25" sqref="G25"/>
    </sheetView>
  </sheetViews>
  <sheetFormatPr baseColWidth="12" defaultColWidth="12.83203125" defaultRowHeight="21" customHeight="1" outlineLevelCol="1" x14ac:dyDescent="0.15"/>
  <cols>
    <col min="1" max="1" width="11.33203125" style="36" bestFit="1" customWidth="1"/>
    <col min="2" max="2" width="9.5" style="46" bestFit="1" customWidth="1"/>
    <col min="3" max="3" width="9.6640625" style="46" customWidth="1"/>
    <col min="4" max="4" width="18.5" style="46" customWidth="1" outlineLevel="1"/>
    <col min="5" max="5" width="44.1640625" style="46" bestFit="1" customWidth="1" outlineLevel="1"/>
    <col min="6" max="6" width="10.83203125" style="46" bestFit="1" customWidth="1"/>
    <col min="7" max="7" width="8.33203125" style="46" bestFit="1" customWidth="1" outlineLevel="1"/>
    <col min="8" max="9" width="12.83203125" style="46" outlineLevel="1"/>
    <col min="10" max="10" width="17.6640625" style="46" bestFit="1" customWidth="1" outlineLevel="1"/>
    <col min="11" max="15" width="12.83203125" style="46" outlineLevel="1"/>
    <col min="16" max="16" width="8.33203125" style="42" bestFit="1" customWidth="1"/>
    <col min="17" max="17" width="9.6640625" style="42" customWidth="1"/>
    <col min="18" max="18" width="56.5" style="42" bestFit="1" customWidth="1"/>
    <col min="19" max="16384" width="12.83203125" style="42"/>
  </cols>
  <sheetData>
    <row r="1" spans="1:18" ht="21" customHeight="1" x14ac:dyDescent="0.15">
      <c r="A1" s="36" t="s">
        <v>60</v>
      </c>
      <c r="B1" s="37" t="s">
        <v>61</v>
      </c>
      <c r="C1" s="37" t="s">
        <v>62</v>
      </c>
      <c r="D1" s="38" t="s">
        <v>63</v>
      </c>
      <c r="E1" s="38" t="s">
        <v>64</v>
      </c>
      <c r="F1" s="39" t="s">
        <v>65</v>
      </c>
      <c r="G1" s="40" t="s">
        <v>66</v>
      </c>
      <c r="H1" s="40" t="s">
        <v>68</v>
      </c>
      <c r="I1" s="40" t="s">
        <v>69</v>
      </c>
      <c r="J1" s="40" t="s">
        <v>70</v>
      </c>
      <c r="K1" s="41" t="s">
        <v>71</v>
      </c>
      <c r="L1" s="41" t="s">
        <v>72</v>
      </c>
      <c r="M1" s="40" t="s">
        <v>73</v>
      </c>
      <c r="N1" s="40" t="s">
        <v>74</v>
      </c>
      <c r="O1" s="40" t="s">
        <v>75</v>
      </c>
      <c r="P1" s="38" t="s">
        <v>76</v>
      </c>
      <c r="Q1" s="38" t="s">
        <v>77</v>
      </c>
      <c r="R1" s="38" t="s">
        <v>78</v>
      </c>
    </row>
    <row r="2" spans="1:18" ht="21" customHeight="1" x14ac:dyDescent="0.15">
      <c r="A2" s="36" t="str">
        <f t="shared" ref="A2:A19" si="0">B2&amp;"_"&amp;C2</f>
        <v>30018003_30018005</v>
      </c>
      <c r="B2" s="71">
        <v>30018003</v>
      </c>
      <c r="C2" s="71">
        <v>30018005</v>
      </c>
      <c r="D2" s="43" t="str">
        <f>IFERROR(VLOOKUP(C2,enemy_skills!A:Y,4,FALSE),VLOOKUP(C2,[5]enemy_skills!$A:$E,4,FALSE))</f>
        <v>ja</v>
      </c>
      <c r="E2" s="43" t="str">
        <f>IFERROR(VLOOKUP(C2,enemy_skills!A:Y,5,FALSE),VLOOKUP(C2,[5]enemy_skills!$A:$E,5,FALSE))</f>
        <v>怒涛の進撃</v>
      </c>
      <c r="F2" s="44">
        <v>30018005</v>
      </c>
      <c r="G2" s="45">
        <f>VLOOKUP($F2,enemy_skill_triggers!$A:$J,2,FALSE)</f>
        <v>1</v>
      </c>
      <c r="H2" s="45">
        <f>VLOOKUP($F2,enemy_skill_triggers!$A:$J,3,FALSE)</f>
        <v>0</v>
      </c>
      <c r="I2" s="45">
        <f>VLOOKUP($F2,enemy_skill_triggers!$A:$J,4,FALSE)</f>
        <v>100</v>
      </c>
      <c r="J2" s="45" t="str">
        <f>VLOOKUP($F2,enemy_skill_triggers!$A:$J,5,FALSE)</f>
        <v>null</v>
      </c>
      <c r="K2" s="45" t="str">
        <f>VLOOKUP($F2,enemy_skill_triggers!$A:$J,6,FALSE)</f>
        <v>null</v>
      </c>
      <c r="L2" s="45">
        <f>VLOOKUP($F2,enemy_skill_triggers!$A:$J,7,FALSE)</f>
        <v>1</v>
      </c>
      <c r="M2" s="45" t="str">
        <f>VLOOKUP($F2,enemy_skill_triggers!$A:$J,8,FALSE)</f>
        <v>null</v>
      </c>
      <c r="N2" s="45" t="str">
        <f>VLOOKUP($F2,enemy_skill_triggers!$A:$J,9,FALSE)</f>
        <v>null</v>
      </c>
      <c r="O2" s="45">
        <f>VLOOKUP($F2,enemy_skill_triggers!$A:$J,10,FALSE)</f>
        <v>100</v>
      </c>
      <c r="P2" s="44"/>
      <c r="Q2" s="44"/>
      <c r="R2" s="44"/>
    </row>
    <row r="3" spans="1:18" ht="21" customHeight="1" x14ac:dyDescent="0.15">
      <c r="A3" s="36" t="str">
        <f t="shared" si="0"/>
        <v>30018003_30018006</v>
      </c>
      <c r="B3" s="71">
        <v>30018003</v>
      </c>
      <c r="C3" s="71">
        <v>30018006</v>
      </c>
      <c r="D3" s="43" t="str">
        <f>IFERROR(VLOOKUP(C3,enemy_skills!A:Y,4,FALSE),VLOOKUP(C3,[5]enemy_skills!$A:$E,4,FALSE))</f>
        <v>ja</v>
      </c>
      <c r="E3" s="43" t="str">
        <f>IFERROR(VLOOKUP(C3,enemy_skills!A:Y,5,FALSE),VLOOKUP(C3,[5]enemy_skills!$A:$E,5,FALSE))</f>
        <v>超回復</v>
      </c>
      <c r="F3" s="44">
        <v>30018006</v>
      </c>
      <c r="G3" s="45">
        <f>VLOOKUP($F3,enemy_skill_triggers!$A:$J,2,FALSE)</f>
        <v>0</v>
      </c>
      <c r="H3" s="45">
        <f>VLOOKUP($F3,enemy_skill_triggers!$A:$J,3,FALSE)</f>
        <v>0</v>
      </c>
      <c r="I3" s="45">
        <f>VLOOKUP($F3,enemy_skill_triggers!$A:$J,4,FALSE)</f>
        <v>50</v>
      </c>
      <c r="J3" s="45">
        <f>VLOOKUP($F3,enemy_skill_triggers!$A:$J,5,FALSE)</f>
        <v>50</v>
      </c>
      <c r="K3" s="45" t="str">
        <f>VLOOKUP($F3,enemy_skill_triggers!$A:$J,6,FALSE)</f>
        <v>null</v>
      </c>
      <c r="L3" s="45">
        <f>VLOOKUP($F3,enemy_skill_triggers!$A:$J,7,FALSE)</f>
        <v>1</v>
      </c>
      <c r="M3" s="45" t="str">
        <f>VLOOKUP($F3,enemy_skill_triggers!$A:$J,8,FALSE)</f>
        <v>null</v>
      </c>
      <c r="N3" s="45" t="str">
        <f>VLOOKUP($F3,enemy_skill_triggers!$A:$J,9,FALSE)</f>
        <v>null</v>
      </c>
      <c r="O3" s="45">
        <f>VLOOKUP($F3,enemy_skill_triggers!$A:$J,10,FALSE)</f>
        <v>50</v>
      </c>
      <c r="P3" s="44"/>
      <c r="Q3" s="44"/>
      <c r="R3" s="44"/>
    </row>
    <row r="4" spans="1:18" ht="21" customHeight="1" x14ac:dyDescent="0.15">
      <c r="A4" s="36" t="str">
        <f t="shared" si="0"/>
        <v>30018003_30018007</v>
      </c>
      <c r="B4" s="71">
        <v>30018003</v>
      </c>
      <c r="C4" s="71">
        <v>30018007</v>
      </c>
      <c r="D4" s="43" t="str">
        <f>IFERROR(VLOOKUP(C4,enemy_skills!A:Y,4,FALSE),VLOOKUP(C4,[5]enemy_skills!$A:$E,4,FALSE))</f>
        <v>ja</v>
      </c>
      <c r="E4" s="43" t="str">
        <f>IFERROR(VLOOKUP(C4,enemy_skills!A:Y,5,FALSE),VLOOKUP(C4,[5]enemy_skills!$A:$E,5,FALSE))</f>
        <v>突進</v>
      </c>
      <c r="F4" s="44">
        <v>30018007</v>
      </c>
      <c r="G4" s="45">
        <f>VLOOKUP($F4,enemy_skill_triggers!$A:$J,2,FALSE)</f>
        <v>0</v>
      </c>
      <c r="H4" s="45">
        <f>VLOOKUP($F4,enemy_skill_triggers!$A:$J,3,FALSE)</f>
        <v>0</v>
      </c>
      <c r="I4" s="45">
        <f>VLOOKUP($F4,enemy_skill_triggers!$A:$J,4,FALSE)</f>
        <v>30</v>
      </c>
      <c r="J4" s="45" t="str">
        <f>VLOOKUP($F4,enemy_skill_triggers!$A:$J,5,FALSE)</f>
        <v>null</v>
      </c>
      <c r="K4" s="45" t="str">
        <f>VLOOKUP($F4,enemy_skill_triggers!$A:$J,6,FALSE)</f>
        <v>null</v>
      </c>
      <c r="L4" s="45" t="str">
        <f>VLOOKUP($F4,enemy_skill_triggers!$A:$J,7,FALSE)</f>
        <v>null</v>
      </c>
      <c r="M4" s="45" t="str">
        <f>VLOOKUP($F4,enemy_skill_triggers!$A:$J,8,FALSE)</f>
        <v>null</v>
      </c>
      <c r="N4" s="45" t="str">
        <f>VLOOKUP($F4,enemy_skill_triggers!$A:$J,9,FALSE)</f>
        <v>null</v>
      </c>
      <c r="O4" s="45">
        <f>VLOOKUP($F4,enemy_skill_triggers!$A:$J,10,FALSE)</f>
        <v>30</v>
      </c>
      <c r="P4" s="44"/>
      <c r="Q4" s="44"/>
      <c r="R4" s="44"/>
    </row>
    <row r="5" spans="1:18" ht="21" customHeight="1" x14ac:dyDescent="0.15">
      <c r="A5" s="36" t="str">
        <f t="shared" si="0"/>
        <v>30018004_30018009</v>
      </c>
      <c r="B5" s="71">
        <v>30018004</v>
      </c>
      <c r="C5" s="71">
        <v>30018009</v>
      </c>
      <c r="D5" s="43" t="str">
        <f>IFERROR(VLOOKUP(C5,enemy_skills!A:Y,4,FALSE),VLOOKUP(C5,[5]enemy_skills!$A:$E,4,FALSE))</f>
        <v>ja</v>
      </c>
      <c r="E5" s="43" t="str">
        <f>IFERROR(VLOOKUP(C5,enemy_skills!A:Y,5,FALSE),VLOOKUP(C5,[5]enemy_skills!$A:$E,5,FALSE))</f>
        <v>ウィルス散布</v>
      </c>
      <c r="F5" s="44">
        <v>30018009</v>
      </c>
      <c r="G5" s="45">
        <f>VLOOKUP($F5,enemy_skill_triggers!$A:$J,2,FALSE)</f>
        <v>0</v>
      </c>
      <c r="H5" s="45">
        <f>VLOOKUP($F5,enemy_skill_triggers!$A:$J,3,FALSE)</f>
        <v>0</v>
      </c>
      <c r="I5" s="45">
        <f>VLOOKUP($F5,enemy_skill_triggers!$A:$J,4,FALSE)</f>
        <v>50</v>
      </c>
      <c r="J5" s="45" t="str">
        <f>VLOOKUP($F5,enemy_skill_triggers!$A:$J,5,FALSE)</f>
        <v>null</v>
      </c>
      <c r="K5" s="45" t="str">
        <f>VLOOKUP($F5,enemy_skill_triggers!$A:$J,6,FALSE)</f>
        <v>null</v>
      </c>
      <c r="L5" s="45">
        <f>VLOOKUP($F5,enemy_skill_triggers!$A:$J,7,FALSE)</f>
        <v>1</v>
      </c>
      <c r="M5" s="45" t="str">
        <f>VLOOKUP($F5,enemy_skill_triggers!$A:$J,8,FALSE)</f>
        <v>null</v>
      </c>
      <c r="N5" s="45" t="str">
        <f>VLOOKUP($F5,enemy_skill_triggers!$A:$J,9,FALSE)</f>
        <v>null</v>
      </c>
      <c r="O5" s="45">
        <f>VLOOKUP($F5,enemy_skill_triggers!$A:$J,10,FALSE)</f>
        <v>50</v>
      </c>
      <c r="P5" s="44"/>
      <c r="Q5" s="44"/>
      <c r="R5" s="44"/>
    </row>
    <row r="6" spans="1:18" ht="21" customHeight="1" x14ac:dyDescent="0.15">
      <c r="A6" s="36" t="str">
        <f t="shared" si="0"/>
        <v>30018005_30018011</v>
      </c>
      <c r="B6" s="71">
        <v>30018005</v>
      </c>
      <c r="C6" s="71">
        <v>30018011</v>
      </c>
      <c r="D6" s="43" t="str">
        <f>IFERROR(VLOOKUP(C6,enemy_skills!A:Y,4,FALSE),VLOOKUP(C6,[5]enemy_skills!$A:$E,4,FALSE))</f>
        <v>ja</v>
      </c>
      <c r="E6" s="43" t="str">
        <f>IFERROR(VLOOKUP(C6,enemy_skills!A:Y,5,FALSE),VLOOKUP(C6,[5]enemy_skills!$A:$E,5,FALSE))</f>
        <v>どらごんがーど！</v>
      </c>
      <c r="F6" s="44">
        <v>30018011</v>
      </c>
      <c r="G6" s="45">
        <f>VLOOKUP($F6,enemy_skill_triggers!$A:$J,2,FALSE)</f>
        <v>1</v>
      </c>
      <c r="H6" s="45">
        <f>VLOOKUP($F6,enemy_skill_triggers!$A:$J,3,FALSE)</f>
        <v>0</v>
      </c>
      <c r="I6" s="45">
        <f>VLOOKUP($F6,enemy_skill_triggers!$A:$J,4,FALSE)</f>
        <v>100</v>
      </c>
      <c r="J6" s="45" t="str">
        <f>VLOOKUP($F6,enemy_skill_triggers!$A:$J,5,FALSE)</f>
        <v>null</v>
      </c>
      <c r="K6" s="45" t="str">
        <f>VLOOKUP($F6,enemy_skill_triggers!$A:$J,6,FALSE)</f>
        <v>null</v>
      </c>
      <c r="L6" s="45">
        <f>VLOOKUP($F6,enemy_skill_triggers!$A:$J,7,FALSE)</f>
        <v>1</v>
      </c>
      <c r="M6" s="45" t="str">
        <f>VLOOKUP($F6,enemy_skill_triggers!$A:$J,8,FALSE)</f>
        <v>null</v>
      </c>
      <c r="N6" s="45" t="str">
        <f>VLOOKUP($F6,enemy_skill_triggers!$A:$J,9,FALSE)</f>
        <v>null</v>
      </c>
      <c r="O6" s="45">
        <f>VLOOKUP($F6,enemy_skill_triggers!$A:$J,10,FALSE)</f>
        <v>100</v>
      </c>
      <c r="P6" s="44"/>
      <c r="Q6" s="44"/>
      <c r="R6" s="44"/>
    </row>
    <row r="7" spans="1:18" ht="21" customHeight="1" x14ac:dyDescent="0.15">
      <c r="A7" s="36" t="str">
        <f t="shared" ref="A7" si="1">B7&amp;"_"&amp;C7</f>
        <v>30018005_30018012</v>
      </c>
      <c r="B7" s="71">
        <v>30018005</v>
      </c>
      <c r="C7" s="71">
        <v>30018012</v>
      </c>
      <c r="D7" s="43" t="str">
        <f>IFERROR(VLOOKUP(C7,enemy_skills!A:Y,4,FALSE),VLOOKUP(C7,[5]enemy_skills!$A:$E,4,FALSE))</f>
        <v>ja</v>
      </c>
      <c r="E7" s="43" t="str">
        <f>IFERROR(VLOOKUP(C7,enemy_skills!A:Y,5,FALSE),VLOOKUP(C7,[5]enemy_skills!$A:$E,5,FALSE))</f>
        <v>どらごんらっしゅ！</v>
      </c>
      <c r="F7" s="44">
        <v>30018012</v>
      </c>
      <c r="G7" s="45">
        <f>VLOOKUP($F7,enemy_skill_triggers!$A:$J,2,FALSE)</f>
        <v>0</v>
      </c>
      <c r="H7" s="45">
        <f>VLOOKUP($F7,enemy_skill_triggers!$A:$J,3,FALSE)</f>
        <v>0</v>
      </c>
      <c r="I7" s="45">
        <f>VLOOKUP($F7,enemy_skill_triggers!$A:$J,4,FALSE)</f>
        <v>30</v>
      </c>
      <c r="J7" s="45" t="str">
        <f>VLOOKUP($F7,enemy_skill_triggers!$A:$J,5,FALSE)</f>
        <v>null</v>
      </c>
      <c r="K7" s="45" t="str">
        <f>VLOOKUP($F7,enemy_skill_triggers!$A:$J,6,FALSE)</f>
        <v>null</v>
      </c>
      <c r="L7" s="45" t="str">
        <f>VLOOKUP($F7,enemy_skill_triggers!$A:$J,7,FALSE)</f>
        <v>null</v>
      </c>
      <c r="M7" s="45" t="str">
        <f>VLOOKUP($F7,enemy_skill_triggers!$A:$J,8,FALSE)</f>
        <v>null</v>
      </c>
      <c r="N7" s="45" t="str">
        <f>VLOOKUP($F7,enemy_skill_triggers!$A:$J,9,FALSE)</f>
        <v>null</v>
      </c>
      <c r="O7" s="45">
        <f>VLOOKUP($F7,enemy_skill_triggers!$A:$J,10,FALSE)</f>
        <v>30</v>
      </c>
      <c r="P7" s="44"/>
      <c r="Q7" s="44"/>
      <c r="R7" s="44"/>
    </row>
    <row r="8" spans="1:18" ht="21" customHeight="1" x14ac:dyDescent="0.15">
      <c r="A8" s="36" t="str">
        <f t="shared" ref="A8" si="2">B8&amp;"_"&amp;C8</f>
        <v>30018005_30018013</v>
      </c>
      <c r="B8" s="71">
        <v>30018005</v>
      </c>
      <c r="C8" s="71">
        <v>30018013</v>
      </c>
      <c r="D8" s="43" t="str">
        <f>IFERROR(VLOOKUP(C8,enemy_skills!A:Y,4,FALSE),VLOOKUP(C8,[5]enemy_skills!$A:$E,4,FALSE))</f>
        <v>ja</v>
      </c>
      <c r="E8" s="43" t="str">
        <f>IFERROR(VLOOKUP(C8,enemy_skills!A:Y,5,FALSE),VLOOKUP(C8,[5]enemy_skills!$A:$E,5,FALSE))</f>
        <v>どらごんえなじー！</v>
      </c>
      <c r="F8" s="44">
        <v>30018013</v>
      </c>
      <c r="G8" s="45">
        <f>VLOOKUP($F8,enemy_skill_triggers!$A:$J,2,FALSE)</f>
        <v>0</v>
      </c>
      <c r="H8" s="45">
        <f>VLOOKUP($F8,enemy_skill_triggers!$A:$J,3,FALSE)</f>
        <v>0</v>
      </c>
      <c r="I8" s="45">
        <f>VLOOKUP($F8,enemy_skill_triggers!$A:$J,4,FALSE)</f>
        <v>100</v>
      </c>
      <c r="J8" s="45">
        <f>VLOOKUP($F8,enemy_skill_triggers!$A:$J,5,FALSE)</f>
        <v>50</v>
      </c>
      <c r="K8" s="45" t="str">
        <f>VLOOKUP($F8,enemy_skill_triggers!$A:$J,6,FALSE)</f>
        <v>null</v>
      </c>
      <c r="L8" s="45">
        <f>VLOOKUP($F8,enemy_skill_triggers!$A:$J,7,FALSE)</f>
        <v>1</v>
      </c>
      <c r="M8" s="45" t="str">
        <f>VLOOKUP($F8,enemy_skill_triggers!$A:$J,8,FALSE)</f>
        <v>null</v>
      </c>
      <c r="N8" s="45" t="str">
        <f>VLOOKUP($F8,enemy_skill_triggers!$A:$J,9,FALSE)</f>
        <v>null</v>
      </c>
      <c r="O8" s="45">
        <f>VLOOKUP($F8,enemy_skill_triggers!$A:$J,10,FALSE)</f>
        <v>100</v>
      </c>
      <c r="P8" s="44"/>
      <c r="Q8" s="44"/>
      <c r="R8" s="44"/>
    </row>
    <row r="9" spans="1:18" ht="21" customHeight="1" x14ac:dyDescent="0.15">
      <c r="A9" s="36" t="str">
        <f t="shared" si="0"/>
        <v>30018006_30018014</v>
      </c>
      <c r="B9" s="71">
        <v>30018006</v>
      </c>
      <c r="C9" s="71">
        <v>30018014</v>
      </c>
      <c r="D9" s="43" t="str">
        <f>IFERROR(VLOOKUP(C9,enemy_skills!A:Y,4,FALSE),VLOOKUP(C9,[5]enemy_skills!$A:$E,4,FALSE))</f>
        <v>ja</v>
      </c>
      <c r="E9" s="43" t="str">
        <f>IFERROR(VLOOKUP(C9,enemy_skills!A:Y,5,FALSE),VLOOKUP(C9,[5]enemy_skills!$A:$E,5,FALSE))</f>
        <v>おいテメェ！</v>
      </c>
      <c r="F9" s="44">
        <v>30018014</v>
      </c>
      <c r="G9" s="45">
        <f>VLOOKUP($F9,enemy_skill_triggers!$A:$J,2,FALSE)</f>
        <v>1</v>
      </c>
      <c r="H9" s="45">
        <f>VLOOKUP($F9,enemy_skill_triggers!$A:$J,3,FALSE)</f>
        <v>0</v>
      </c>
      <c r="I9" s="45">
        <f>VLOOKUP($F9,enemy_skill_triggers!$A:$J,4,FALSE)</f>
        <v>100</v>
      </c>
      <c r="J9" s="45" t="str">
        <f>VLOOKUP($F9,enemy_skill_triggers!$A:$J,5,FALSE)</f>
        <v>null</v>
      </c>
      <c r="K9" s="45" t="str">
        <f>VLOOKUP($F9,enemy_skill_triggers!$A:$J,6,FALSE)</f>
        <v>null</v>
      </c>
      <c r="L9" s="45">
        <f>VLOOKUP($F9,enemy_skill_triggers!$A:$J,7,FALSE)</f>
        <v>1</v>
      </c>
      <c r="M9" s="45" t="str">
        <f>VLOOKUP($F9,enemy_skill_triggers!$A:$J,8,FALSE)</f>
        <v>null</v>
      </c>
      <c r="N9" s="45" t="str">
        <f>VLOOKUP($F9,enemy_skill_triggers!$A:$J,9,FALSE)</f>
        <v>null</v>
      </c>
      <c r="O9" s="45">
        <f>VLOOKUP($F9,enemy_skill_triggers!$A:$J,10,FALSE)</f>
        <v>100</v>
      </c>
      <c r="P9" s="44"/>
      <c r="Q9" s="44"/>
      <c r="R9" s="44"/>
    </row>
    <row r="10" spans="1:18" ht="21" customHeight="1" x14ac:dyDescent="0.15">
      <c r="A10" s="36" t="str">
        <f t="shared" si="0"/>
        <v>30018006_30018015</v>
      </c>
      <c r="B10" s="71">
        <v>30018006</v>
      </c>
      <c r="C10" s="71">
        <v>30018015</v>
      </c>
      <c r="D10" s="43" t="str">
        <f>IFERROR(VLOOKUP(C10,enemy_skills!A:Y,4,FALSE),VLOOKUP(C10,[5]enemy_skills!$A:$E,4,FALSE))</f>
        <v>ja</v>
      </c>
      <c r="E10" s="43" t="str">
        <f>IFERROR(VLOOKUP(C10,enemy_skills!A:Y,5,FALSE),VLOOKUP(C10,[5]enemy_skills!$A:$E,5,FALSE))</f>
        <v>ぶっ飛ばすぞ！</v>
      </c>
      <c r="F10" s="44">
        <v>30018015</v>
      </c>
      <c r="G10" s="45">
        <f>VLOOKUP($F10,enemy_skill_triggers!$A:$J,2,FALSE)</f>
        <v>0</v>
      </c>
      <c r="H10" s="45">
        <f>VLOOKUP($F10,enemy_skill_triggers!$A:$J,3,FALSE)</f>
        <v>0</v>
      </c>
      <c r="I10" s="45">
        <f>VLOOKUP($F10,enemy_skill_triggers!$A:$J,4,FALSE)</f>
        <v>100</v>
      </c>
      <c r="J10" s="45" t="str">
        <f>VLOOKUP($F10,enemy_skill_triggers!$A:$J,5,FALSE)</f>
        <v>null</v>
      </c>
      <c r="K10" s="45" t="str">
        <f>VLOOKUP($F10,enemy_skill_triggers!$A:$J,6,FALSE)</f>
        <v>null</v>
      </c>
      <c r="L10" s="45" t="str">
        <f>VLOOKUP($F10,enemy_skill_triggers!$A:$J,7,FALSE)</f>
        <v>null</v>
      </c>
      <c r="M10" s="45">
        <f>VLOOKUP($F10,enemy_skill_triggers!$A:$J,8,FALSE)</f>
        <v>3</v>
      </c>
      <c r="N10" s="45" t="str">
        <f>VLOOKUP($F10,enemy_skill_triggers!$A:$J,9,FALSE)</f>
        <v>null</v>
      </c>
      <c r="O10" s="45">
        <f>VLOOKUP($F10,enemy_skill_triggers!$A:$J,10,FALSE)</f>
        <v>100</v>
      </c>
      <c r="P10" s="44"/>
      <c r="Q10" s="44"/>
      <c r="R10" s="44"/>
    </row>
    <row r="11" spans="1:18" ht="21" customHeight="1" x14ac:dyDescent="0.15">
      <c r="A11" s="36" t="str">
        <f t="shared" si="0"/>
        <v>30018006_30018016</v>
      </c>
      <c r="B11" s="71">
        <v>30018006</v>
      </c>
      <c r="C11" s="71">
        <v>30018016</v>
      </c>
      <c r="D11" s="43" t="str">
        <f>IFERROR(VLOOKUP(C11,enemy_skills!A:Y,4,FALSE),VLOOKUP(C11,[5]enemy_skills!$A:$E,4,FALSE))</f>
        <v>ja</v>
      </c>
      <c r="E11" s="43" t="str">
        <f>IFERROR(VLOOKUP(C11,enemy_skills!A:Y,5,FALSE),VLOOKUP(C11,[5]enemy_skills!$A:$E,5,FALSE))</f>
        <v>&lt;パンダヒール&gt;</v>
      </c>
      <c r="F11" s="44">
        <v>30018016</v>
      </c>
      <c r="G11" s="45">
        <f>VLOOKUP($F11,enemy_skill_triggers!$A:$J,2,FALSE)</f>
        <v>0</v>
      </c>
      <c r="H11" s="45">
        <f>VLOOKUP($F11,enemy_skill_triggers!$A:$J,3,FALSE)</f>
        <v>0</v>
      </c>
      <c r="I11" s="45">
        <f>VLOOKUP($F11,enemy_skill_triggers!$A:$J,4,FALSE)</f>
        <v>100</v>
      </c>
      <c r="J11" s="45" t="str">
        <f>VLOOKUP($F11,enemy_skill_triggers!$A:$J,5,FALSE)</f>
        <v>null</v>
      </c>
      <c r="K11" s="45" t="str">
        <f>VLOOKUP($F11,enemy_skill_triggers!$A:$J,6,FALSE)</f>
        <v>null</v>
      </c>
      <c r="L11" s="45">
        <f>VLOOKUP($F11,enemy_skill_triggers!$A:$J,7,FALSE)</f>
        <v>3</v>
      </c>
      <c r="M11" s="45">
        <f>VLOOKUP($F11,enemy_skill_triggers!$A:$J,8,FALSE)</f>
        <v>2</v>
      </c>
      <c r="N11" s="45" t="str">
        <f>VLOOKUP($F11,enemy_skill_triggers!$A:$J,9,FALSE)</f>
        <v>null</v>
      </c>
      <c r="O11" s="45">
        <f>VLOOKUP($F11,enemy_skill_triggers!$A:$J,10,FALSE)</f>
        <v>100</v>
      </c>
      <c r="P11" s="44"/>
      <c r="Q11" s="44"/>
      <c r="R11" s="44"/>
    </row>
    <row r="12" spans="1:18" ht="21" customHeight="1" x14ac:dyDescent="0.15">
      <c r="A12" s="36" t="str">
        <f t="shared" si="0"/>
        <v>30018007_30018020</v>
      </c>
      <c r="B12" s="71">
        <v>30018007</v>
      </c>
      <c r="C12" s="71">
        <v>30018020</v>
      </c>
      <c r="D12" s="43" t="str">
        <f>IFERROR(VLOOKUP(C12,enemy_skills!A:Y,4,FALSE),VLOOKUP(C12,[5]enemy_skills!$A:$E,4,FALSE))</f>
        <v>ja</v>
      </c>
      <c r="E12" s="43" t="str">
        <f>IFERROR(VLOOKUP(C12,enemy_skills!A:Y,5,FALSE),VLOOKUP(C12,[5]enemy_skills!$A:$E,5,FALSE))</f>
        <v>&lt;パンダガード&gt;</v>
      </c>
      <c r="F12" s="44">
        <v>30018020</v>
      </c>
      <c r="G12" s="45">
        <f>VLOOKUP($F12,enemy_skill_triggers!$A:$J,2,FALSE)</f>
        <v>1</v>
      </c>
      <c r="H12" s="45">
        <f>VLOOKUP($F12,enemy_skill_triggers!$A:$J,3,FALSE)</f>
        <v>0</v>
      </c>
      <c r="I12" s="45">
        <f>VLOOKUP($F12,enemy_skill_triggers!$A:$J,4,FALSE)</f>
        <v>100</v>
      </c>
      <c r="J12" s="45" t="str">
        <f>VLOOKUP($F12,enemy_skill_triggers!$A:$J,5,FALSE)</f>
        <v>null</v>
      </c>
      <c r="K12" s="45" t="str">
        <f>VLOOKUP($F12,enemy_skill_triggers!$A:$J,6,FALSE)</f>
        <v>null</v>
      </c>
      <c r="L12" s="45">
        <f>VLOOKUP($F12,enemy_skill_triggers!$A:$J,7,FALSE)</f>
        <v>1</v>
      </c>
      <c r="M12" s="45" t="str">
        <f>VLOOKUP($F12,enemy_skill_triggers!$A:$J,8,FALSE)</f>
        <v>null</v>
      </c>
      <c r="N12" s="45" t="str">
        <f>VLOOKUP($F12,enemy_skill_triggers!$A:$J,9,FALSE)</f>
        <v>null</v>
      </c>
      <c r="O12" s="45">
        <f>VLOOKUP($F12,enemy_skill_triggers!$A:$J,10,FALSE)</f>
        <v>100</v>
      </c>
      <c r="P12" s="44"/>
      <c r="Q12" s="44"/>
      <c r="R12" s="44"/>
    </row>
    <row r="13" spans="1:18" ht="21" customHeight="1" x14ac:dyDescent="0.15">
      <c r="A13" s="36" t="str">
        <f t="shared" si="0"/>
        <v>30018007_30018021</v>
      </c>
      <c r="B13" s="71">
        <v>30018007</v>
      </c>
      <c r="C13" s="71">
        <v>30018021</v>
      </c>
      <c r="D13" s="43" t="str">
        <f>IFERROR(VLOOKUP(C13,enemy_skills!A:Y,4,FALSE),VLOOKUP(C13,[5]enemy_skills!$A:$E,4,FALSE))</f>
        <v>ja</v>
      </c>
      <c r="E13" s="43" t="str">
        <f>IFERROR(VLOOKUP(C13,enemy_skills!A:Y,5,FALSE),VLOOKUP(C13,[5]enemy_skills!$A:$E,5,FALSE))</f>
        <v>やりやがったな！</v>
      </c>
      <c r="F13" s="44">
        <v>30018021</v>
      </c>
      <c r="G13" s="45">
        <f>VLOOKUP($F13,enemy_skill_triggers!$A:$J,2,FALSE)</f>
        <v>0</v>
      </c>
      <c r="H13" s="45">
        <f>VLOOKUP($F13,enemy_skill_triggers!$A:$J,3,FALSE)</f>
        <v>15</v>
      </c>
      <c r="I13" s="45">
        <f>VLOOKUP($F13,enemy_skill_triggers!$A:$J,4,FALSE)</f>
        <v>100</v>
      </c>
      <c r="J13" s="45">
        <f>VLOOKUP($F13,enemy_skill_triggers!$A:$J,5,FALSE)</f>
        <v>50</v>
      </c>
      <c r="K13" s="45" t="str">
        <f>VLOOKUP($F13,enemy_skill_triggers!$A:$J,6,FALSE)</f>
        <v>null</v>
      </c>
      <c r="L13" s="45">
        <f>VLOOKUP($F13,enemy_skill_triggers!$A:$J,7,FALSE)</f>
        <v>1</v>
      </c>
      <c r="M13" s="45" t="str">
        <f>VLOOKUP($F13,enemy_skill_triggers!$A:$J,8,FALSE)</f>
        <v>null</v>
      </c>
      <c r="N13" s="45" t="str">
        <f>VLOOKUP($F13,enemy_skill_triggers!$A:$J,9,FALSE)</f>
        <v>null</v>
      </c>
      <c r="O13" s="45">
        <f>VLOOKUP($F13,enemy_skill_triggers!$A:$J,10,FALSE)</f>
        <v>100</v>
      </c>
      <c r="P13" s="44"/>
      <c r="Q13" s="44"/>
      <c r="R13" s="44"/>
    </row>
    <row r="14" spans="1:18" ht="21" customHeight="1" x14ac:dyDescent="0.15">
      <c r="A14" s="36" t="str">
        <f t="shared" si="0"/>
        <v>30018007_30018022</v>
      </c>
      <c r="B14" s="71">
        <v>30018007</v>
      </c>
      <c r="C14" s="71">
        <v>30018022</v>
      </c>
      <c r="D14" s="43" t="str">
        <f>IFERROR(VLOOKUP(C14,enemy_skills!A:Y,4,FALSE),VLOOKUP(C14,[5]enemy_skills!$A:$E,4,FALSE))</f>
        <v>ja</v>
      </c>
      <c r="E14" s="43" t="str">
        <f>IFERROR(VLOOKUP(C14,enemy_skills!A:Y,5,FALSE),VLOOKUP(C14,[5]enemy_skills!$A:$E,5,FALSE))</f>
        <v>ボコボコにしてやる！</v>
      </c>
      <c r="F14" s="44">
        <v>30018022</v>
      </c>
      <c r="G14" s="45">
        <f>VLOOKUP($F14,enemy_skill_triggers!$A:$J,2,FALSE)</f>
        <v>0</v>
      </c>
      <c r="H14" s="45">
        <f>VLOOKUP($F14,enemy_skill_triggers!$A:$J,3,FALSE)</f>
        <v>10</v>
      </c>
      <c r="I14" s="45">
        <f>VLOOKUP($F14,enemy_skill_triggers!$A:$J,4,FALSE)</f>
        <v>100</v>
      </c>
      <c r="J14" s="45">
        <f>VLOOKUP($F14,enemy_skill_triggers!$A:$J,5,FALSE)</f>
        <v>50</v>
      </c>
      <c r="K14" s="45" t="str">
        <f>VLOOKUP($F14,enemy_skill_triggers!$A:$J,6,FALSE)</f>
        <v>null</v>
      </c>
      <c r="L14" s="45">
        <f>VLOOKUP($F14,enemy_skill_triggers!$A:$J,7,FALSE)</f>
        <v>1</v>
      </c>
      <c r="M14" s="45" t="str">
        <f>VLOOKUP($F14,enemy_skill_triggers!$A:$J,8,FALSE)</f>
        <v>null</v>
      </c>
      <c r="N14" s="45" t="str">
        <f>VLOOKUP($F14,enemy_skill_triggers!$A:$J,9,FALSE)</f>
        <v>null</v>
      </c>
      <c r="O14" s="45">
        <f>VLOOKUP($F14,enemy_skill_triggers!$A:$J,10,FALSE)</f>
        <v>100</v>
      </c>
      <c r="P14" s="44"/>
      <c r="Q14" s="44"/>
      <c r="R14" s="44"/>
    </row>
    <row r="15" spans="1:18" ht="21" customHeight="1" x14ac:dyDescent="0.15">
      <c r="A15" s="36" t="str">
        <f t="shared" si="0"/>
        <v>30018007_30018023</v>
      </c>
      <c r="B15" s="71">
        <v>30018007</v>
      </c>
      <c r="C15" s="71">
        <v>30018023</v>
      </c>
      <c r="D15" s="43" t="str">
        <f>IFERROR(VLOOKUP(C15,enemy_skills!A:Y,4,FALSE),VLOOKUP(C15,[5]enemy_skills!$A:$E,4,FALSE))</f>
        <v>ja</v>
      </c>
      <c r="E15" s="43" t="str">
        <f>IFERROR(VLOOKUP(C15,enemy_skills!A:Y,5,FALSE),VLOOKUP(C15,[5]enemy_skills!$A:$E,5,FALSE))</f>
        <v>&lt;パンダヒール&gt;</v>
      </c>
      <c r="F15" s="44">
        <v>30018023</v>
      </c>
      <c r="G15" s="45">
        <f>VLOOKUP($F15,enemy_skill_triggers!$A:$J,2,FALSE)</f>
        <v>0</v>
      </c>
      <c r="H15" s="45">
        <f>VLOOKUP($F15,enemy_skill_triggers!$A:$J,3,FALSE)</f>
        <v>0</v>
      </c>
      <c r="I15" s="45">
        <f>VLOOKUP($F15,enemy_skill_triggers!$A:$J,4,FALSE)</f>
        <v>100</v>
      </c>
      <c r="J15" s="45">
        <f>VLOOKUP($F15,enemy_skill_triggers!$A:$J,5,FALSE)</f>
        <v>25</v>
      </c>
      <c r="K15" s="45" t="str">
        <f>VLOOKUP($F15,enemy_skill_triggers!$A:$J,6,FALSE)</f>
        <v>null</v>
      </c>
      <c r="L15" s="45">
        <f>VLOOKUP($F15,enemy_skill_triggers!$A:$J,7,FALSE)</f>
        <v>1</v>
      </c>
      <c r="M15" s="45" t="str">
        <f>VLOOKUP($F15,enemy_skill_triggers!$A:$J,8,FALSE)</f>
        <v>null</v>
      </c>
      <c r="N15" s="45" t="str">
        <f>VLOOKUP($F15,enemy_skill_triggers!$A:$J,9,FALSE)</f>
        <v>null</v>
      </c>
      <c r="O15" s="45">
        <f>VLOOKUP($F15,enemy_skill_triggers!$A:$J,10,FALSE)</f>
        <v>100</v>
      </c>
      <c r="P15" s="44"/>
      <c r="Q15" s="44"/>
      <c r="R15" s="44"/>
    </row>
    <row r="16" spans="1:18" ht="21" customHeight="1" x14ac:dyDescent="0.15">
      <c r="A16" s="36" t="str">
        <f t="shared" si="0"/>
        <v>30018008_30018027</v>
      </c>
      <c r="B16" s="71">
        <v>30018008</v>
      </c>
      <c r="C16" s="71">
        <v>30018027</v>
      </c>
      <c r="D16" s="43" t="str">
        <f>IFERROR(VLOOKUP(C16,enemy_skills!A:Y,4,FALSE),VLOOKUP(C16,[5]enemy_skills!$A:$E,4,FALSE))</f>
        <v>ja</v>
      </c>
      <c r="E16" s="43" t="str">
        <f>IFERROR(VLOOKUP(C16,enemy_skills!A:Y,5,FALSE),VLOOKUP(C16,[5]enemy_skills!$A:$E,5,FALSE))</f>
        <v>これでも喰らえ！</v>
      </c>
      <c r="F16" s="44">
        <v>30018027</v>
      </c>
      <c r="G16" s="45">
        <f>VLOOKUP($F16,enemy_skill_triggers!$A:$J,2,FALSE)</f>
        <v>1</v>
      </c>
      <c r="H16" s="45">
        <f>VLOOKUP($F16,enemy_skill_triggers!$A:$J,3,FALSE)</f>
        <v>0</v>
      </c>
      <c r="I16" s="45">
        <f>VLOOKUP($F16,enemy_skill_triggers!$A:$J,4,FALSE)</f>
        <v>100</v>
      </c>
      <c r="J16" s="45" t="str">
        <f>VLOOKUP($F16,enemy_skill_triggers!$A:$J,5,FALSE)</f>
        <v>null</v>
      </c>
      <c r="K16" s="45" t="str">
        <f>VLOOKUP($F16,enemy_skill_triggers!$A:$J,6,FALSE)</f>
        <v>null</v>
      </c>
      <c r="L16" s="45">
        <f>VLOOKUP($F16,enemy_skill_triggers!$A:$J,7,FALSE)</f>
        <v>1</v>
      </c>
      <c r="M16" s="45" t="str">
        <f>VLOOKUP($F16,enemy_skill_triggers!$A:$J,8,FALSE)</f>
        <v>null</v>
      </c>
      <c r="N16" s="45" t="str">
        <f>VLOOKUP($F16,enemy_skill_triggers!$A:$J,9,FALSE)</f>
        <v>null</v>
      </c>
      <c r="O16" s="45">
        <f>VLOOKUP($F16,enemy_skill_triggers!$A:$J,10,FALSE)</f>
        <v>100</v>
      </c>
      <c r="P16" s="44"/>
      <c r="Q16" s="44"/>
      <c r="R16" s="44"/>
    </row>
    <row r="17" spans="1:18" ht="21" customHeight="1" x14ac:dyDescent="0.15">
      <c r="A17" s="36" t="str">
        <f t="shared" si="0"/>
        <v>30018008_30018028</v>
      </c>
      <c r="B17" s="71">
        <v>30018008</v>
      </c>
      <c r="C17" s="71">
        <v>30018028</v>
      </c>
      <c r="D17" s="43" t="str">
        <f>IFERROR(VLOOKUP(C17,enemy_skills!A:Y,4,FALSE),VLOOKUP(C17,[5]enemy_skills!$A:$E,4,FALSE))</f>
        <v>ja</v>
      </c>
      <c r="E17" s="43" t="str">
        <f>IFERROR(VLOOKUP(C17,enemy_skills!A:Y,5,FALSE),VLOOKUP(C17,[5]enemy_skills!$A:$E,5,FALSE))</f>
        <v>&lt;パンダアタック&gt;</v>
      </c>
      <c r="F17" s="44">
        <v>30018028</v>
      </c>
      <c r="G17" s="45">
        <f>VLOOKUP($F17,enemy_skill_triggers!$A:$J,2,FALSE)</f>
        <v>0</v>
      </c>
      <c r="H17" s="45">
        <f>VLOOKUP($F17,enemy_skill_triggers!$A:$J,3,FALSE)</f>
        <v>0</v>
      </c>
      <c r="I17" s="45">
        <f>VLOOKUP($F17,enemy_skill_triggers!$A:$J,4,FALSE)</f>
        <v>45</v>
      </c>
      <c r="J17" s="45" t="str">
        <f>VLOOKUP($F17,enemy_skill_triggers!$A:$J,5,FALSE)</f>
        <v>null</v>
      </c>
      <c r="K17" s="45" t="str">
        <f>VLOOKUP($F17,enemy_skill_triggers!$A:$J,6,FALSE)</f>
        <v>null</v>
      </c>
      <c r="L17" s="45">
        <f>VLOOKUP($F17,enemy_skill_triggers!$A:$J,7,FALSE)</f>
        <v>3</v>
      </c>
      <c r="M17" s="45" t="str">
        <f>VLOOKUP($F17,enemy_skill_triggers!$A:$J,8,FALSE)</f>
        <v>null</v>
      </c>
      <c r="N17" s="45" t="str">
        <f>VLOOKUP($F17,enemy_skill_triggers!$A:$J,9,FALSE)</f>
        <v>null</v>
      </c>
      <c r="O17" s="45">
        <f>VLOOKUP($F17,enemy_skill_triggers!$A:$J,10,FALSE)</f>
        <v>45</v>
      </c>
      <c r="P17" s="44"/>
      <c r="Q17" s="44"/>
      <c r="R17" s="44"/>
    </row>
    <row r="18" spans="1:18" ht="21" customHeight="1" x14ac:dyDescent="0.15">
      <c r="A18" s="36" t="str">
        <f t="shared" si="0"/>
        <v>30018008_30018029</v>
      </c>
      <c r="B18" s="71">
        <v>30018008</v>
      </c>
      <c r="C18" s="71">
        <v>30018029</v>
      </c>
      <c r="D18" s="43" t="str">
        <f>IFERROR(VLOOKUP(C18,enemy_skills!A:Y,4,FALSE),VLOOKUP(C18,[5]enemy_skills!$A:$E,4,FALSE))</f>
        <v>ja</v>
      </c>
      <c r="E18" s="43" t="str">
        <f>IFERROR(VLOOKUP(C18,enemy_skills!A:Y,5,FALSE),VLOOKUP(C18,[5]enemy_skills!$A:$E,5,FALSE))</f>
        <v>&lt;超パンダガード&gt;</v>
      </c>
      <c r="F18" s="44">
        <v>30018029</v>
      </c>
      <c r="G18" s="45">
        <f>VLOOKUP($F18,enemy_skill_triggers!$A:$J,2,FALSE)</f>
        <v>0</v>
      </c>
      <c r="H18" s="45">
        <f>VLOOKUP($F18,enemy_skill_triggers!$A:$J,3,FALSE)</f>
        <v>0</v>
      </c>
      <c r="I18" s="45">
        <f>VLOOKUP($F18,enemy_skill_triggers!$A:$J,4,FALSE)</f>
        <v>100</v>
      </c>
      <c r="J18" s="45">
        <f>VLOOKUP($F18,enemy_skill_triggers!$A:$J,5,FALSE)</f>
        <v>30</v>
      </c>
      <c r="K18" s="45" t="str">
        <f>VLOOKUP($F18,enemy_skill_triggers!$A:$J,6,FALSE)</f>
        <v>null</v>
      </c>
      <c r="L18" s="45">
        <f>VLOOKUP($F18,enemy_skill_triggers!$A:$J,7,FALSE)</f>
        <v>1</v>
      </c>
      <c r="M18" s="45" t="str">
        <f>VLOOKUP($F18,enemy_skill_triggers!$A:$J,8,FALSE)</f>
        <v>null</v>
      </c>
      <c r="N18" s="45" t="str">
        <f>VLOOKUP($F18,enemy_skill_triggers!$A:$J,9,FALSE)</f>
        <v>null</v>
      </c>
      <c r="O18" s="45">
        <f>VLOOKUP($F18,enemy_skill_triggers!$A:$J,10,FALSE)</f>
        <v>100</v>
      </c>
      <c r="P18" s="44"/>
      <c r="Q18" s="44"/>
      <c r="R18" s="44"/>
    </row>
    <row r="19" spans="1:18" ht="21" customHeight="1" x14ac:dyDescent="0.15">
      <c r="A19" s="36" t="str">
        <f t="shared" si="0"/>
        <v>30018008_30018030</v>
      </c>
      <c r="B19" s="71">
        <v>30018008</v>
      </c>
      <c r="C19" s="71">
        <v>30018030</v>
      </c>
      <c r="D19" s="43" t="str">
        <f>IFERROR(VLOOKUP(C19,enemy_skills!A:Y,4,FALSE),VLOOKUP(C19,[5]enemy_skills!$A:$E,4,FALSE))</f>
        <v>ja</v>
      </c>
      <c r="E19" s="43" t="str">
        <f>IFERROR(VLOOKUP(C19,enemy_skills!A:Y,5,FALSE),VLOOKUP(C19,[5]enemy_skills!$A:$E,5,FALSE))</f>
        <v>&lt;パンダチャージ&gt;</v>
      </c>
      <c r="F19" s="44">
        <v>30018030</v>
      </c>
      <c r="G19" s="45">
        <f>VLOOKUP($F19,enemy_skill_triggers!$A:$J,2,FALSE)</f>
        <v>0</v>
      </c>
      <c r="H19" s="45">
        <f>VLOOKUP($F19,enemy_skill_triggers!$A:$J,3,FALSE)</f>
        <v>0</v>
      </c>
      <c r="I19" s="45">
        <f>VLOOKUP($F19,enemy_skill_triggers!$A:$J,4,FALSE)</f>
        <v>100</v>
      </c>
      <c r="J19" s="45">
        <f>VLOOKUP($F19,enemy_skill_triggers!$A:$J,5,FALSE)</f>
        <v>15</v>
      </c>
      <c r="K19" s="45" t="str">
        <f>VLOOKUP($F19,enemy_skill_triggers!$A:$J,6,FALSE)</f>
        <v>null</v>
      </c>
      <c r="L19" s="45" t="str">
        <f>VLOOKUP($F19,enemy_skill_triggers!$A:$J,7,FALSE)</f>
        <v>null</v>
      </c>
      <c r="M19" s="45" t="str">
        <f>VLOOKUP($F19,enemy_skill_triggers!$A:$J,8,FALSE)</f>
        <v>null</v>
      </c>
      <c r="N19" s="45" t="str">
        <f>VLOOKUP($F19,enemy_skill_triggers!$A:$J,9,FALSE)</f>
        <v>null</v>
      </c>
      <c r="O19" s="45">
        <f>VLOOKUP($F19,enemy_skill_triggers!$A:$J,10,FALSE)</f>
        <v>100</v>
      </c>
      <c r="P19" s="44"/>
      <c r="Q19" s="44"/>
      <c r="R19" s="44"/>
    </row>
    <row r="20" spans="1:18" ht="21" customHeight="1" x14ac:dyDescent="0.15">
      <c r="A20" s="36" t="str">
        <f t="shared" ref="A20" si="3">B20&amp;"_"&amp;C20</f>
        <v>30018008_30018031</v>
      </c>
      <c r="B20" s="71">
        <v>30018008</v>
      </c>
      <c r="C20" s="71">
        <v>30018031</v>
      </c>
      <c r="D20" s="43" t="str">
        <f>IFERROR(VLOOKUP(C20,enemy_skills!A:Y,4,FALSE),VLOOKUP(C20,[5]enemy_skills!$A:$E,4,FALSE))</f>
        <v>ja</v>
      </c>
      <c r="E20" s="43" t="str">
        <f>IFERROR(VLOOKUP(C20,enemy_skills!A:Y,5,FALSE),VLOOKUP(C20,[5]enemy_skills!$A:$E,5,FALSE))</f>
        <v>本気でいくぜ！</v>
      </c>
      <c r="F20" s="44">
        <v>30018031</v>
      </c>
      <c r="G20" s="45">
        <f>VLOOKUP($F20,enemy_skill_triggers!$A:$J,2,FALSE)</f>
        <v>0</v>
      </c>
      <c r="H20" s="45">
        <f>VLOOKUP($F20,enemy_skill_triggers!$A:$J,3,FALSE)</f>
        <v>10</v>
      </c>
      <c r="I20" s="45">
        <f>VLOOKUP($F20,enemy_skill_triggers!$A:$J,4,FALSE)</f>
        <v>100</v>
      </c>
      <c r="J20" s="45" t="str">
        <f>VLOOKUP($F20,enemy_skill_triggers!$A:$J,5,FALSE)</f>
        <v>null</v>
      </c>
      <c r="K20" s="45" t="str">
        <f>VLOOKUP($F20,enemy_skill_triggers!$A:$J,6,FALSE)</f>
        <v>null</v>
      </c>
      <c r="L20" s="45">
        <f>VLOOKUP($F20,enemy_skill_triggers!$A:$J,7,FALSE)</f>
        <v>1</v>
      </c>
      <c r="M20" s="45" t="str">
        <f>VLOOKUP($F20,enemy_skill_triggers!$A:$J,8,FALSE)</f>
        <v>null</v>
      </c>
      <c r="N20" s="45" t="str">
        <f>VLOOKUP($F20,enemy_skill_triggers!$A:$J,9,FALSE)</f>
        <v>null</v>
      </c>
      <c r="O20" s="45">
        <f>VLOOKUP($F20,enemy_skill_triggers!$A:$J,10,FALSE)</f>
        <v>100</v>
      </c>
      <c r="P20" s="44"/>
      <c r="Q20" s="44"/>
      <c r="R20" s="44"/>
    </row>
    <row r="21" spans="1:18" ht="21" customHeight="1" x14ac:dyDescent="0.15">
      <c r="A21" s="36" t="str">
        <f t="shared" ref="A21:A23" si="4">B21&amp;"_"&amp;C21</f>
        <v>30018009_30018033</v>
      </c>
      <c r="B21" s="71">
        <v>30018009</v>
      </c>
      <c r="C21" s="71">
        <v>30018033</v>
      </c>
      <c r="D21" s="43" t="str">
        <f>IFERROR(VLOOKUP(C21,enemy_skills!A:Y,4,FALSE),VLOOKUP(C21,[5]enemy_skills!$A:$E,4,FALSE))</f>
        <v>ja</v>
      </c>
      <c r="E21" s="43" t="str">
        <f>IFERROR(VLOOKUP(C21,enemy_skills!A:Y,5,FALSE),VLOOKUP(C21,[5]enemy_skills!$A:$E,5,FALSE))</f>
        <v>&lt;適合者選定を開始します&gt;</v>
      </c>
      <c r="F21" s="71">
        <v>30018033</v>
      </c>
      <c r="G21" s="45">
        <f>VLOOKUP($F21,enemy_skill_triggers!$A:$J,2,FALSE)</f>
        <v>1</v>
      </c>
      <c r="H21" s="45">
        <f>VLOOKUP($F21,enemy_skill_triggers!$A:$J,3,FALSE)</f>
        <v>0</v>
      </c>
      <c r="I21" s="45">
        <f>VLOOKUP($F21,enemy_skill_triggers!$A:$J,4,FALSE)</f>
        <v>100</v>
      </c>
      <c r="J21" s="45" t="str">
        <f>VLOOKUP($F21,enemy_skill_triggers!$A:$J,5,FALSE)</f>
        <v>null</v>
      </c>
      <c r="K21" s="45" t="str">
        <f>VLOOKUP($F21,enemy_skill_triggers!$A:$J,6,FALSE)</f>
        <v>null</v>
      </c>
      <c r="L21" s="45">
        <f>VLOOKUP($F21,enemy_skill_triggers!$A:$J,7,FALSE)</f>
        <v>1</v>
      </c>
      <c r="M21" s="45" t="str">
        <f>VLOOKUP($F21,enemy_skill_triggers!$A:$J,8,FALSE)</f>
        <v>null</v>
      </c>
      <c r="N21" s="45" t="str">
        <f>VLOOKUP($F21,enemy_skill_triggers!$A:$J,9,FALSE)</f>
        <v>null</v>
      </c>
      <c r="O21" s="45">
        <f>VLOOKUP($F21,enemy_skill_triggers!$A:$J,10,FALSE)</f>
        <v>100</v>
      </c>
      <c r="P21" s="44"/>
      <c r="Q21" s="44"/>
      <c r="R21" s="44"/>
    </row>
    <row r="22" spans="1:18" ht="21" customHeight="1" x14ac:dyDescent="0.15">
      <c r="A22" s="36" t="str">
        <f t="shared" ref="A22" si="5">B22&amp;"_"&amp;C22</f>
        <v>30018009_30018034</v>
      </c>
      <c r="B22" s="71">
        <v>30018009</v>
      </c>
      <c r="C22" s="71">
        <v>30018034</v>
      </c>
      <c r="D22" s="43" t="str">
        <f>IFERROR(VLOOKUP(C22,enemy_skills!A:Y,4,FALSE),VLOOKUP(C22,[5]enemy_skills!$A:$E,4,FALSE))</f>
        <v>ja</v>
      </c>
      <c r="E22" s="43" t="str">
        <f>IFERROR(VLOOKUP(C22,enemy_skills!A:Y,5,FALSE),VLOOKUP(C22,[5]enemy_skills!$A:$E,5,FALSE))</f>
        <v>&lt;適合者選定プロセス実行&gt;</v>
      </c>
      <c r="F22" s="71">
        <v>30018034</v>
      </c>
      <c r="G22" s="45">
        <f>VLOOKUP($F22,enemy_skill_triggers!$A:$J,2,FALSE)</f>
        <v>0</v>
      </c>
      <c r="H22" s="45">
        <f>VLOOKUP($F22,enemy_skill_triggers!$A:$J,3,FALSE)</f>
        <v>10</v>
      </c>
      <c r="I22" s="45">
        <f>VLOOKUP($F22,enemy_skill_triggers!$A:$J,4,FALSE)</f>
        <v>100</v>
      </c>
      <c r="J22" s="45" t="str">
        <f>VLOOKUP($F22,enemy_skill_triggers!$A:$J,5,FALSE)</f>
        <v>null</v>
      </c>
      <c r="K22" s="45" t="str">
        <f>VLOOKUP($F22,enemy_skill_triggers!$A:$J,6,FALSE)</f>
        <v>null</v>
      </c>
      <c r="L22" s="45">
        <f>VLOOKUP($F22,enemy_skill_triggers!$A:$J,7,FALSE)</f>
        <v>1</v>
      </c>
      <c r="M22" s="45" t="str">
        <f>VLOOKUP($F22,enemy_skill_triggers!$A:$J,8,FALSE)</f>
        <v>null</v>
      </c>
      <c r="N22" s="45" t="str">
        <f>VLOOKUP($F22,enemy_skill_triggers!$A:$J,9,FALSE)</f>
        <v>null</v>
      </c>
      <c r="O22" s="45">
        <f>VLOOKUP($F22,enemy_skill_triggers!$A:$J,10,FALSE)</f>
        <v>100</v>
      </c>
      <c r="P22" s="44"/>
      <c r="Q22" s="44"/>
      <c r="R22" s="44"/>
    </row>
    <row r="23" spans="1:18" ht="21" customHeight="1" x14ac:dyDescent="0.15">
      <c r="A23" s="36" t="str">
        <f t="shared" si="4"/>
        <v>30018009_30018035</v>
      </c>
      <c r="B23" s="71">
        <v>30018009</v>
      </c>
      <c r="C23" s="71">
        <v>30018035</v>
      </c>
      <c r="D23" s="43" t="str">
        <f>IFERROR(VLOOKUP(C23,enemy_skills!A:Y,4,FALSE),VLOOKUP(C23,[5]enemy_skills!$A:$E,4,FALSE))</f>
        <v>ja</v>
      </c>
      <c r="E23" s="43" t="str">
        <f>IFERROR(VLOOKUP(C23,enemy_skills!A:Y,5,FALSE),VLOOKUP(C23,[5]enemy_skills!$A:$E,5,FALSE))</f>
        <v>&lt;適合者選定を終了します&gt;</v>
      </c>
      <c r="F23" s="44">
        <v>30018035</v>
      </c>
      <c r="G23" s="45">
        <f>VLOOKUP($F23,enemy_skill_triggers!$A:$J,2,FALSE)</f>
        <v>0</v>
      </c>
      <c r="H23" s="45">
        <f>VLOOKUP($F23,enemy_skill_triggers!$A:$J,3,FALSE)</f>
        <v>5</v>
      </c>
      <c r="I23" s="45">
        <f>VLOOKUP($F23,enemy_skill_triggers!$A:$J,4,FALSE)</f>
        <v>100</v>
      </c>
      <c r="J23" s="45" t="str">
        <f>VLOOKUP($F23,enemy_skill_triggers!$A:$J,5,FALSE)</f>
        <v>null</v>
      </c>
      <c r="K23" s="45" t="str">
        <f>VLOOKUP($F23,enemy_skill_triggers!$A:$J,6,FALSE)</f>
        <v>null</v>
      </c>
      <c r="L23" s="45">
        <f>VLOOKUP($F23,enemy_skill_triggers!$A:$J,7,FALSE)</f>
        <v>1</v>
      </c>
      <c r="M23" s="45" t="str">
        <f>VLOOKUP($F23,enemy_skill_triggers!$A:$J,8,FALSE)</f>
        <v>null</v>
      </c>
      <c r="N23" s="45" t="str">
        <f>VLOOKUP($F23,enemy_skill_triggers!$A:$J,9,FALSE)</f>
        <v>null</v>
      </c>
      <c r="O23" s="45">
        <f>VLOOKUP($F23,enemy_skill_triggers!$A:$J,10,FALSE)</f>
        <v>100</v>
      </c>
      <c r="P23" s="44"/>
      <c r="Q23" s="44"/>
      <c r="R23" s="44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0"/>
  <sheetViews>
    <sheetView showGridLines="0" workbookViewId="0">
      <pane ySplit="1" topLeftCell="A2" activePane="bottomLeft" state="frozenSplit"/>
      <selection activeCell="F3" sqref="F3"/>
      <selection pane="bottomLeft" activeCell="A14" sqref="A14"/>
    </sheetView>
  </sheetViews>
  <sheetFormatPr baseColWidth="12" defaultColWidth="12.83203125" defaultRowHeight="21" customHeight="1" outlineLevelCol="1" x14ac:dyDescent="0.15"/>
  <cols>
    <col min="1" max="1" width="12.83203125" style="46"/>
    <col min="2" max="2" width="67.1640625" style="46" customWidth="1"/>
    <col min="3" max="4" width="12.83203125" style="46"/>
    <col min="5" max="5" width="23.6640625" style="46" bestFit="1" customWidth="1"/>
    <col min="6" max="6" width="52" style="46" customWidth="1" outlineLevel="1"/>
    <col min="7" max="7" width="18.33203125" style="46" customWidth="1" outlineLevel="1"/>
    <col min="8" max="10" width="18.6640625" style="46" customWidth="1" outlineLevel="1"/>
    <col min="11" max="11" width="23.6640625" style="46" customWidth="1"/>
    <col min="12" max="17" width="23.6640625" style="46" hidden="1" customWidth="1" outlineLevel="1"/>
    <col min="18" max="18" width="23.6640625" style="46" customWidth="1" collapsed="1"/>
    <col min="19" max="23" width="23.6640625" style="46" hidden="1" customWidth="1" outlineLevel="1"/>
    <col min="24" max="24" width="23.6640625" style="46" customWidth="1" collapsed="1"/>
    <col min="25" max="25" width="44.1640625" style="46" bestFit="1" customWidth="1"/>
    <col min="26" max="27" width="12.83203125" style="46"/>
    <col min="28" max="28" width="44.5" style="46" customWidth="1"/>
    <col min="29" max="16384" width="12.83203125" style="46"/>
  </cols>
  <sheetData>
    <row r="1" spans="1:28" ht="21" customHeight="1" x14ac:dyDescent="0.15">
      <c r="A1" s="37" t="s">
        <v>79</v>
      </c>
      <c r="B1" s="37" t="s">
        <v>80</v>
      </c>
      <c r="C1" s="37" t="s">
        <v>81</v>
      </c>
      <c r="D1" s="37" t="s">
        <v>126</v>
      </c>
      <c r="E1" s="37" t="s">
        <v>82</v>
      </c>
      <c r="F1" s="38" t="s">
        <v>132</v>
      </c>
      <c r="G1" s="38" t="s">
        <v>138</v>
      </c>
      <c r="H1" s="38" t="s">
        <v>140</v>
      </c>
      <c r="I1" s="38" t="s">
        <v>139</v>
      </c>
      <c r="J1" s="38" t="s">
        <v>141</v>
      </c>
      <c r="K1" s="38" t="s">
        <v>133</v>
      </c>
      <c r="L1" s="38" t="s">
        <v>131</v>
      </c>
      <c r="M1" s="38" t="s">
        <v>134</v>
      </c>
      <c r="N1" s="38" t="s">
        <v>142</v>
      </c>
      <c r="O1" s="38" t="s">
        <v>143</v>
      </c>
      <c r="P1" s="38" t="s">
        <v>144</v>
      </c>
      <c r="Q1" s="38" t="s">
        <v>145</v>
      </c>
      <c r="R1" s="38" t="s">
        <v>135</v>
      </c>
      <c r="S1" s="38" t="s">
        <v>136</v>
      </c>
      <c r="T1" s="38" t="s">
        <v>146</v>
      </c>
      <c r="U1" s="38" t="s">
        <v>147</v>
      </c>
      <c r="V1" s="38" t="s">
        <v>148</v>
      </c>
      <c r="W1" s="38" t="s">
        <v>149</v>
      </c>
      <c r="X1" s="38" t="s">
        <v>137</v>
      </c>
      <c r="Y1" s="37" t="s">
        <v>83</v>
      </c>
      <c r="Z1" s="38" t="s">
        <v>76</v>
      </c>
      <c r="AA1" s="38" t="s">
        <v>77</v>
      </c>
      <c r="AB1" s="38" t="s">
        <v>78</v>
      </c>
    </row>
    <row r="2" spans="1:28" ht="21" customHeight="1" x14ac:dyDescent="0.15">
      <c r="A2" s="44">
        <v>30018001</v>
      </c>
      <c r="B2" s="44" t="s">
        <v>204</v>
      </c>
      <c r="C2" s="47">
        <v>3</v>
      </c>
      <c r="D2" s="47" t="s">
        <v>127</v>
      </c>
      <c r="E2" s="48" t="s">
        <v>202</v>
      </c>
      <c r="F2" s="60" t="str">
        <f>IFERROR(LEFT(B2,FIND("],",B2)),B2)</f>
        <v>[effect:damage_anti_type, target:unit_all, type:hp, val1:0.1, val2:0.5]</v>
      </c>
      <c r="G2" s="60">
        <f>FIND("effect:",F2)+7</f>
        <v>9</v>
      </c>
      <c r="H2" s="60">
        <f>IFERROR(FIND(",",F2),LEN(F2))</f>
        <v>25</v>
      </c>
      <c r="I2" s="60">
        <f>FIND("target:",F2)+7</f>
        <v>34</v>
      </c>
      <c r="J2" s="60">
        <f>FIND(",",F2,H2+1)</f>
        <v>42</v>
      </c>
      <c r="K2" s="60" t="str">
        <f>IFERROR(VLOOKUP(MID(F2,I2,J2-I2),[6]skilldef!$C:$D,2,FALSE),"-") &amp; " / " &amp; IFERROR(VLOOKUP(MID(F2,G2,H2-G2),[6]skilldef!$A:$B,2,FALSE),"-")</f>
        <v>味方全体に / タイプキラー</v>
      </c>
      <c r="L2" s="60" t="str">
        <f>IFERROR(RIGHT(B2,LEN(B2)-FIND("],",B2)-1),"none")</f>
        <v>none</v>
      </c>
      <c r="M2" s="45" t="str">
        <f>IFERROR(LEFT(L2,FIND("],",L2)+R12),L2)</f>
        <v>none</v>
      </c>
      <c r="N2" s="60" t="e">
        <f>FIND("effect:",M2)+7</f>
        <v>#VALUE!</v>
      </c>
      <c r="O2" s="60">
        <f>IFERROR(FIND(",",M2),LEN(M2))</f>
        <v>4</v>
      </c>
      <c r="P2" s="60" t="e">
        <f>FIND("target:",M2)+7</f>
        <v>#VALUE!</v>
      </c>
      <c r="Q2" s="60" t="e">
        <f>FIND(",",M2,O2+1)</f>
        <v>#VALUE!</v>
      </c>
      <c r="R2" s="60" t="str">
        <f>IFERROR(VLOOKUP(MID(M2,P2,Q2-P2),[6]skilldef!$C:$D,2,FALSE),"-") &amp; " / " &amp; IFERROR(VLOOKUP(MID(M2,N2,O2-N2),[6]skilldef!$A:$B,2,FALSE),"-")</f>
        <v>- / -</v>
      </c>
      <c r="S2" s="45" t="str">
        <f>IFERROR(RIGHT(L2,LEN(L2)-FIND("],",L2)-1),"none")</f>
        <v>none</v>
      </c>
      <c r="T2" s="60" t="e">
        <f>FIND("effect:",S2)+7</f>
        <v>#VALUE!</v>
      </c>
      <c r="U2" s="60">
        <f>IFERROR(FIND(",",S2),LEN(S2))</f>
        <v>4</v>
      </c>
      <c r="V2" s="60" t="e">
        <f>FIND("target:",S2)+7</f>
        <v>#VALUE!</v>
      </c>
      <c r="W2" s="60" t="e">
        <f>FIND(",",S2,U2+1)</f>
        <v>#VALUE!</v>
      </c>
      <c r="X2" s="60" t="str">
        <f>IFERROR(VLOOKUP(MID(S2,V2,W2-V2),[6]skilldef!$C:$D,2,FALSE),"-") &amp; " / " &amp; IFERROR(VLOOKUP(MID(S2,T2,U2-T2),[6]skilldef!$A:$B,2,FALSE),"-")</f>
        <v>- / -</v>
      </c>
      <c r="Y2" s="48" t="s">
        <v>209</v>
      </c>
      <c r="Z2" s="47"/>
      <c r="AA2" s="49"/>
      <c r="AB2" s="47"/>
    </row>
    <row r="3" spans="1:28" ht="21" customHeight="1" x14ac:dyDescent="0.15">
      <c r="A3" s="44">
        <v>30018002</v>
      </c>
      <c r="B3" s="44" t="s">
        <v>194</v>
      </c>
      <c r="C3" s="47">
        <v>3</v>
      </c>
      <c r="D3" s="47" t="s">
        <v>127</v>
      </c>
      <c r="E3" s="48" t="s">
        <v>184</v>
      </c>
      <c r="F3" s="60" t="str">
        <f t="shared" ref="F3:F18" si="0">IFERROR(LEFT(B3,FIND("],",B3)),B3)</f>
        <v>[effect:nothing]</v>
      </c>
      <c r="G3" s="60">
        <f t="shared" ref="G3:G33" si="1">FIND("effect:",F3)+7</f>
        <v>9</v>
      </c>
      <c r="H3" s="60">
        <f t="shared" ref="H3:H18" si="2">IFERROR(FIND(",",F3),LEN(F3))</f>
        <v>16</v>
      </c>
      <c r="I3" s="60" t="e">
        <f t="shared" ref="I3:I18" si="3">FIND("target:",F3)+7</f>
        <v>#VALUE!</v>
      </c>
      <c r="J3" s="60" t="e">
        <f t="shared" ref="J3:J18" si="4">FIND(",",F3,H3+1)</f>
        <v>#VALUE!</v>
      </c>
      <c r="K3" s="60" t="str">
        <f>IFERROR(VLOOKUP(MID(F3,I3,J3-I3),[6]skilldef!$C:$D,2,FALSE),"-") &amp; " / " &amp; IFERROR(VLOOKUP(MID(F3,G3,H3-G3),[6]skilldef!$A:$B,2,FALSE),"-")</f>
        <v>- / 何もしない</v>
      </c>
      <c r="L3" s="60" t="str">
        <f t="shared" ref="L3:L18" si="5">IFERROR(RIGHT(B3,LEN(B3)-FIND("],",B3)-1),"none")</f>
        <v>none</v>
      </c>
      <c r="M3" s="45" t="str">
        <f t="shared" ref="M3:M18" si="6">IFERROR(LEFT(L3,FIND("],",L3)+R13),L3)</f>
        <v>none</v>
      </c>
      <c r="N3" s="60" t="e">
        <f t="shared" ref="N3:N33" si="7">FIND("effect:",M3)+7</f>
        <v>#VALUE!</v>
      </c>
      <c r="O3" s="60">
        <f t="shared" ref="O3:O18" si="8">IFERROR(FIND(",",M3),LEN(M3))</f>
        <v>4</v>
      </c>
      <c r="P3" s="60" t="e">
        <f t="shared" ref="P3:P18" si="9">FIND("target:",M3)+7</f>
        <v>#VALUE!</v>
      </c>
      <c r="Q3" s="60" t="e">
        <f t="shared" ref="Q3:Q18" si="10">FIND(",",M3,O3+1)</f>
        <v>#VALUE!</v>
      </c>
      <c r="R3" s="60" t="str">
        <f>IFERROR(VLOOKUP(MID(M3,P3,Q3-P3),[6]skilldef!$C:$D,2,FALSE),"-") &amp; " / " &amp; IFERROR(VLOOKUP(MID(M3,N3,O3-N3),[6]skilldef!$A:$B,2,FALSE),"-")</f>
        <v>- / -</v>
      </c>
      <c r="S3" s="45" t="str">
        <f t="shared" ref="S3:S18" si="11">IFERROR(RIGHT(L3,LEN(L3)-FIND("],",L3)-1),"none")</f>
        <v>none</v>
      </c>
      <c r="T3" s="60" t="e">
        <f t="shared" ref="T3:T33" si="12">FIND("effect:",S3)+7</f>
        <v>#VALUE!</v>
      </c>
      <c r="U3" s="60">
        <f t="shared" ref="U3:U18" si="13">IFERROR(FIND(",",S3),LEN(S3))</f>
        <v>4</v>
      </c>
      <c r="V3" s="60" t="e">
        <f t="shared" ref="V3:V18" si="14">FIND("target:",S3)+7</f>
        <v>#VALUE!</v>
      </c>
      <c r="W3" s="60" t="e">
        <f t="shared" ref="W3:W18" si="15">FIND(",",S3,U3+1)</f>
        <v>#VALUE!</v>
      </c>
      <c r="X3" s="60" t="str">
        <f>IFERROR(VLOOKUP(MID(S3,V3,W3-V3),[6]skilldef!$C:$D,2,FALSE),"-") &amp; " / " &amp; IFERROR(VLOOKUP(MID(S3,T3,U3-T3),[6]skilldef!$A:$B,2,FALSE),"-")</f>
        <v>- / -</v>
      </c>
      <c r="Y3" s="48" t="s">
        <v>184</v>
      </c>
      <c r="Z3" s="47"/>
      <c r="AA3" s="49"/>
      <c r="AB3" s="47"/>
    </row>
    <row r="4" spans="1:28" ht="21" customHeight="1" x14ac:dyDescent="0.15">
      <c r="A4" s="44">
        <v>30018003</v>
      </c>
      <c r="B4" s="44" t="s">
        <v>193</v>
      </c>
      <c r="C4" s="47">
        <v>3</v>
      </c>
      <c r="D4" s="47" t="s">
        <v>127</v>
      </c>
      <c r="E4" s="48" t="s">
        <v>183</v>
      </c>
      <c r="F4" s="60" t="str">
        <f t="shared" si="0"/>
        <v>[effect:nothing]</v>
      </c>
      <c r="G4" s="60">
        <f t="shared" si="1"/>
        <v>9</v>
      </c>
      <c r="H4" s="60">
        <f t="shared" si="2"/>
        <v>16</v>
      </c>
      <c r="I4" s="60" t="e">
        <f t="shared" si="3"/>
        <v>#VALUE!</v>
      </c>
      <c r="J4" s="60" t="e">
        <f t="shared" si="4"/>
        <v>#VALUE!</v>
      </c>
      <c r="K4" s="60" t="str">
        <f>IFERROR(VLOOKUP(MID(F4,I4,J4-I4),[6]skilldef!$C:$D,2,FALSE),"-") &amp; " / " &amp; IFERROR(VLOOKUP(MID(F4,G4,H4-G4),[6]skilldef!$A:$B,2,FALSE),"-")</f>
        <v>- / 何もしない</v>
      </c>
      <c r="L4" s="60" t="str">
        <f t="shared" si="5"/>
        <v>none</v>
      </c>
      <c r="M4" s="45" t="str">
        <f t="shared" si="6"/>
        <v>none</v>
      </c>
      <c r="N4" s="60" t="e">
        <f t="shared" si="7"/>
        <v>#VALUE!</v>
      </c>
      <c r="O4" s="60">
        <f t="shared" si="8"/>
        <v>4</v>
      </c>
      <c r="P4" s="60" t="e">
        <f t="shared" si="9"/>
        <v>#VALUE!</v>
      </c>
      <c r="Q4" s="60" t="e">
        <f t="shared" si="10"/>
        <v>#VALUE!</v>
      </c>
      <c r="R4" s="60" t="str">
        <f>IFERROR(VLOOKUP(MID(M4,P4,Q4-P4),[6]skilldef!$C:$D,2,FALSE),"-") &amp; " / " &amp; IFERROR(VLOOKUP(MID(M4,N4,O4-N4),[6]skilldef!$A:$B,2,FALSE),"-")</f>
        <v>- / -</v>
      </c>
      <c r="S4" s="45" t="str">
        <f t="shared" si="11"/>
        <v>none</v>
      </c>
      <c r="T4" s="60" t="e">
        <f t="shared" si="12"/>
        <v>#VALUE!</v>
      </c>
      <c r="U4" s="60">
        <f t="shared" si="13"/>
        <v>4</v>
      </c>
      <c r="V4" s="60" t="e">
        <f t="shared" si="14"/>
        <v>#VALUE!</v>
      </c>
      <c r="W4" s="60" t="e">
        <f t="shared" si="15"/>
        <v>#VALUE!</v>
      </c>
      <c r="X4" s="60" t="str">
        <f>IFERROR(VLOOKUP(MID(S4,V4,W4-V4),[6]skilldef!$C:$D,2,FALSE),"-") &amp; " / " &amp; IFERROR(VLOOKUP(MID(S4,T4,U4-T4),[6]skilldef!$A:$B,2,FALSE),"-")</f>
        <v>- / -</v>
      </c>
      <c r="Y4" s="48" t="s">
        <v>183</v>
      </c>
      <c r="Z4" s="47"/>
      <c r="AA4" s="49"/>
      <c r="AB4" s="47"/>
    </row>
    <row r="5" spans="1:28" ht="21" customHeight="1" x14ac:dyDescent="0.15">
      <c r="A5" s="44">
        <v>30018004</v>
      </c>
      <c r="B5" s="44" t="s">
        <v>193</v>
      </c>
      <c r="C5" s="47">
        <v>3</v>
      </c>
      <c r="D5" s="47" t="s">
        <v>127</v>
      </c>
      <c r="E5" s="48" t="s">
        <v>185</v>
      </c>
      <c r="F5" s="60" t="str">
        <f t="shared" si="0"/>
        <v>[effect:nothing]</v>
      </c>
      <c r="G5" s="60">
        <f t="shared" si="1"/>
        <v>9</v>
      </c>
      <c r="H5" s="60">
        <f t="shared" si="2"/>
        <v>16</v>
      </c>
      <c r="I5" s="60" t="e">
        <f t="shared" si="3"/>
        <v>#VALUE!</v>
      </c>
      <c r="J5" s="60" t="e">
        <f t="shared" si="4"/>
        <v>#VALUE!</v>
      </c>
      <c r="K5" s="60" t="str">
        <f>IFERROR(VLOOKUP(MID(F5,I5,J5-I5),[6]skilldef!$C:$D,2,FALSE),"-") &amp; " / " &amp; IFERROR(VLOOKUP(MID(F5,G5,H5-G5),[6]skilldef!$A:$B,2,FALSE),"-")</f>
        <v>- / 何もしない</v>
      </c>
      <c r="L5" s="60" t="str">
        <f t="shared" si="5"/>
        <v>none</v>
      </c>
      <c r="M5" s="45" t="str">
        <f t="shared" si="6"/>
        <v>none</v>
      </c>
      <c r="N5" s="60" t="e">
        <f t="shared" si="7"/>
        <v>#VALUE!</v>
      </c>
      <c r="O5" s="60">
        <f t="shared" si="8"/>
        <v>4</v>
      </c>
      <c r="P5" s="60" t="e">
        <f t="shared" si="9"/>
        <v>#VALUE!</v>
      </c>
      <c r="Q5" s="60" t="e">
        <f t="shared" si="10"/>
        <v>#VALUE!</v>
      </c>
      <c r="R5" s="60" t="str">
        <f>IFERROR(VLOOKUP(MID(M5,P5,Q5-P5),[6]skilldef!$C:$D,2,FALSE),"-") &amp; " / " &amp; IFERROR(VLOOKUP(MID(M5,N5,O5-N5),[6]skilldef!$A:$B,2,FALSE),"-")</f>
        <v>- / -</v>
      </c>
      <c r="S5" s="45" t="str">
        <f t="shared" si="11"/>
        <v>none</v>
      </c>
      <c r="T5" s="60" t="e">
        <f t="shared" si="12"/>
        <v>#VALUE!</v>
      </c>
      <c r="U5" s="60">
        <f t="shared" si="13"/>
        <v>4</v>
      </c>
      <c r="V5" s="60" t="e">
        <f t="shared" si="14"/>
        <v>#VALUE!</v>
      </c>
      <c r="W5" s="60" t="e">
        <f t="shared" si="15"/>
        <v>#VALUE!</v>
      </c>
      <c r="X5" s="60" t="str">
        <f>IFERROR(VLOOKUP(MID(S5,V5,W5-V5),[6]skilldef!$C:$D,2,FALSE),"-") &amp; " / " &amp; IFERROR(VLOOKUP(MID(S5,T5,U5-T5),[6]skilldef!$A:$B,2,FALSE),"-")</f>
        <v>- / -</v>
      </c>
      <c r="Y5" s="48" t="s">
        <v>185</v>
      </c>
      <c r="Z5" s="47"/>
      <c r="AA5" s="49"/>
      <c r="AB5" s="47"/>
    </row>
    <row r="6" spans="1:28" ht="21" customHeight="1" x14ac:dyDescent="0.15">
      <c r="A6" s="44">
        <v>30018005</v>
      </c>
      <c r="B6" s="44" t="s">
        <v>292</v>
      </c>
      <c r="C6" s="47">
        <v>3</v>
      </c>
      <c r="D6" s="47" t="s">
        <v>127</v>
      </c>
      <c r="E6" s="48" t="s">
        <v>221</v>
      </c>
      <c r="F6" s="60" t="str">
        <f t="shared" si="0"/>
        <v>[effect:crash_condition, target:unit_all, val:2, turn:5, animation:enemy_crash_extend]</v>
      </c>
      <c r="G6" s="60">
        <f t="shared" si="1"/>
        <v>9</v>
      </c>
      <c r="H6" s="60">
        <f t="shared" si="2"/>
        <v>24</v>
      </c>
      <c r="I6" s="60">
        <f t="shared" si="3"/>
        <v>33</v>
      </c>
      <c r="J6" s="60">
        <f t="shared" si="4"/>
        <v>41</v>
      </c>
      <c r="K6" s="60" t="str">
        <f>IFERROR(VLOOKUP(MID(F6,I6,J6-I6),[6]skilldef!$C:$D,2,FALSE),"-") &amp; " / " &amp; IFERROR(VLOOKUP(MID(F6,G6,H6-G6),[6]skilldef!$A:$B,2,FALSE),"-")</f>
        <v>味方全体に / -</v>
      </c>
      <c r="L6" s="60" t="str">
        <f t="shared" si="5"/>
        <v>none</v>
      </c>
      <c r="M6" s="45" t="str">
        <f t="shared" si="6"/>
        <v>none</v>
      </c>
      <c r="N6" s="60" t="e">
        <f t="shared" si="7"/>
        <v>#VALUE!</v>
      </c>
      <c r="O6" s="60">
        <f t="shared" si="8"/>
        <v>4</v>
      </c>
      <c r="P6" s="60" t="e">
        <f t="shared" si="9"/>
        <v>#VALUE!</v>
      </c>
      <c r="Q6" s="60" t="e">
        <f t="shared" si="10"/>
        <v>#VALUE!</v>
      </c>
      <c r="R6" s="60" t="str">
        <f>IFERROR(VLOOKUP(MID(M6,P6,Q6-P6),[6]skilldef!$C:$D,2,FALSE),"-") &amp; " / " &amp; IFERROR(VLOOKUP(MID(M6,N6,O6-N6),[6]skilldef!$A:$B,2,FALSE),"-")</f>
        <v>- / -</v>
      </c>
      <c r="S6" s="45" t="str">
        <f t="shared" si="11"/>
        <v>none</v>
      </c>
      <c r="T6" s="60" t="e">
        <f t="shared" si="12"/>
        <v>#VALUE!</v>
      </c>
      <c r="U6" s="60">
        <f t="shared" si="13"/>
        <v>4</v>
      </c>
      <c r="V6" s="60" t="e">
        <f t="shared" si="14"/>
        <v>#VALUE!</v>
      </c>
      <c r="W6" s="60" t="e">
        <f t="shared" si="15"/>
        <v>#VALUE!</v>
      </c>
      <c r="X6" s="60" t="str">
        <f>IFERROR(VLOOKUP(MID(S6,V6,W6-V6),[6]skilldef!$C:$D,2,FALSE),"-") &amp; " / " &amp; IFERROR(VLOOKUP(MID(S6,T6,U6-T6),[6]skilldef!$A:$B,2,FALSE),"-")</f>
        <v>- / -</v>
      </c>
      <c r="Y6" s="48" t="s">
        <v>210</v>
      </c>
      <c r="Z6" s="47"/>
      <c r="AA6" s="49"/>
      <c r="AB6" s="47"/>
    </row>
    <row r="7" spans="1:28" ht="21" customHeight="1" x14ac:dyDescent="0.15">
      <c r="A7" s="44">
        <v>30018006</v>
      </c>
      <c r="B7" s="44" t="s">
        <v>246</v>
      </c>
      <c r="C7" s="47">
        <v>3</v>
      </c>
      <c r="D7" s="47" t="s">
        <v>127</v>
      </c>
      <c r="E7" s="48" t="s">
        <v>222</v>
      </c>
      <c r="F7" s="60" t="str">
        <f t="shared" si="0"/>
        <v>[effect:heal, target:enemy_one, val:0.2, animation:enemy_heal]</v>
      </c>
      <c r="G7" s="60">
        <f t="shared" si="1"/>
        <v>9</v>
      </c>
      <c r="H7" s="60">
        <f t="shared" si="2"/>
        <v>13</v>
      </c>
      <c r="I7" s="60">
        <f t="shared" si="3"/>
        <v>22</v>
      </c>
      <c r="J7" s="60">
        <f t="shared" si="4"/>
        <v>31</v>
      </c>
      <c r="K7" s="60" t="str">
        <f>IFERROR(VLOOKUP(MID(F7,I7,J7-I7),[6]skilldef!$C:$D,2,FALSE),"-") &amp; " / " &amp; IFERROR(VLOOKUP(MID(F7,G7,H7-G7),[6]skilldef!$A:$B,2,FALSE),"-")</f>
        <v>敵単体に / 回復</v>
      </c>
      <c r="L7" s="60" t="str">
        <f t="shared" si="5"/>
        <v>none</v>
      </c>
      <c r="M7" s="45" t="str">
        <f t="shared" si="6"/>
        <v>none</v>
      </c>
      <c r="N7" s="60" t="e">
        <f t="shared" si="7"/>
        <v>#VALUE!</v>
      </c>
      <c r="O7" s="60">
        <f t="shared" si="8"/>
        <v>4</v>
      </c>
      <c r="P7" s="60" t="e">
        <f t="shared" si="9"/>
        <v>#VALUE!</v>
      </c>
      <c r="Q7" s="60" t="e">
        <f t="shared" si="10"/>
        <v>#VALUE!</v>
      </c>
      <c r="R7" s="60" t="str">
        <f>IFERROR(VLOOKUP(MID(M7,P7,Q7-P7),[6]skilldef!$C:$D,2,FALSE),"-") &amp; " / " &amp; IFERROR(VLOOKUP(MID(M7,N7,O7-N7),[6]skilldef!$A:$B,2,FALSE),"-")</f>
        <v>- / -</v>
      </c>
      <c r="S7" s="45" t="str">
        <f t="shared" si="11"/>
        <v>none</v>
      </c>
      <c r="T7" s="60" t="e">
        <f t="shared" si="12"/>
        <v>#VALUE!</v>
      </c>
      <c r="U7" s="60">
        <f t="shared" si="13"/>
        <v>4</v>
      </c>
      <c r="V7" s="60" t="e">
        <f t="shared" si="14"/>
        <v>#VALUE!</v>
      </c>
      <c r="W7" s="60" t="e">
        <f t="shared" si="15"/>
        <v>#VALUE!</v>
      </c>
      <c r="X7" s="60" t="str">
        <f>IFERROR(VLOOKUP(MID(S7,V7,W7-V7),[6]skilldef!$C:$D,2,FALSE),"-") &amp; " / " &amp; IFERROR(VLOOKUP(MID(S7,T7,U7-T7),[6]skilldef!$A:$B,2,FALSE),"-")</f>
        <v>- / -</v>
      </c>
      <c r="Y7" s="48" t="s">
        <v>225</v>
      </c>
      <c r="Z7" s="47"/>
      <c r="AA7" s="49"/>
      <c r="AB7" s="47"/>
    </row>
    <row r="8" spans="1:28" ht="21" customHeight="1" x14ac:dyDescent="0.15">
      <c r="A8" s="44">
        <v>30018007</v>
      </c>
      <c r="B8" s="44" t="s">
        <v>203</v>
      </c>
      <c r="C8" s="47">
        <v>3</v>
      </c>
      <c r="D8" s="47" t="s">
        <v>127</v>
      </c>
      <c r="E8" s="48" t="s">
        <v>223</v>
      </c>
      <c r="F8" s="60" t="str">
        <f t="shared" si="0"/>
        <v>[effect:critical, val:1.5]</v>
      </c>
      <c r="G8" s="60">
        <f t="shared" si="1"/>
        <v>9</v>
      </c>
      <c r="H8" s="60">
        <f t="shared" si="2"/>
        <v>17</v>
      </c>
      <c r="I8" s="60" t="e">
        <f t="shared" si="3"/>
        <v>#VALUE!</v>
      </c>
      <c r="J8" s="60" t="e">
        <f t="shared" si="4"/>
        <v>#VALUE!</v>
      </c>
      <c r="K8" s="60" t="str">
        <f>IFERROR(VLOOKUP(MID(F8,I8,J8-I8),[6]skilldef!$C:$D,2,FALSE),"-") &amp; " / " &amp; IFERROR(VLOOKUP(MID(F8,G8,H8-G8),[6]skilldef!$A:$B,2,FALSE),"-")</f>
        <v>- / 大攻撃</v>
      </c>
      <c r="L8" s="60" t="str">
        <f t="shared" si="5"/>
        <v>none</v>
      </c>
      <c r="M8" s="45" t="str">
        <f t="shared" si="6"/>
        <v>none</v>
      </c>
      <c r="N8" s="60" t="e">
        <f t="shared" si="7"/>
        <v>#VALUE!</v>
      </c>
      <c r="O8" s="60">
        <f t="shared" si="8"/>
        <v>4</v>
      </c>
      <c r="P8" s="60" t="e">
        <f t="shared" si="9"/>
        <v>#VALUE!</v>
      </c>
      <c r="Q8" s="60" t="e">
        <f t="shared" si="10"/>
        <v>#VALUE!</v>
      </c>
      <c r="R8" s="60" t="str">
        <f>IFERROR(VLOOKUP(MID(M8,P8,Q8-P8),[6]skilldef!$C:$D,2,FALSE),"-") &amp; " / " &amp; IFERROR(VLOOKUP(MID(M8,N8,O8-N8),[6]skilldef!$A:$B,2,FALSE),"-")</f>
        <v>- / -</v>
      </c>
      <c r="S8" s="45" t="str">
        <f t="shared" si="11"/>
        <v>none</v>
      </c>
      <c r="T8" s="60" t="e">
        <f t="shared" si="12"/>
        <v>#VALUE!</v>
      </c>
      <c r="U8" s="60">
        <f t="shared" si="13"/>
        <v>4</v>
      </c>
      <c r="V8" s="60" t="e">
        <f t="shared" si="14"/>
        <v>#VALUE!</v>
      </c>
      <c r="W8" s="60" t="e">
        <f t="shared" si="15"/>
        <v>#VALUE!</v>
      </c>
      <c r="X8" s="60" t="str">
        <f>IFERROR(VLOOKUP(MID(S8,V8,W8-V8),[6]skilldef!$C:$D,2,FALSE),"-") &amp; " / " &amp; IFERROR(VLOOKUP(MID(S8,T8,U8-T8),[6]skilldef!$A:$B,2,FALSE),"-")</f>
        <v>- / -</v>
      </c>
      <c r="Y8" s="48" t="s">
        <v>224</v>
      </c>
      <c r="Z8" s="47"/>
      <c r="AA8" s="49"/>
      <c r="AB8" s="47"/>
    </row>
    <row r="9" spans="1:28" ht="21" customHeight="1" x14ac:dyDescent="0.15">
      <c r="A9" s="44">
        <v>30018008</v>
      </c>
      <c r="B9" s="44" t="s">
        <v>193</v>
      </c>
      <c r="C9" s="47">
        <v>3</v>
      </c>
      <c r="D9" s="47" t="s">
        <v>127</v>
      </c>
      <c r="E9" s="48" t="s">
        <v>186</v>
      </c>
      <c r="F9" s="60" t="str">
        <f t="shared" si="0"/>
        <v>[effect:nothing]</v>
      </c>
      <c r="G9" s="60">
        <f t="shared" si="1"/>
        <v>9</v>
      </c>
      <c r="H9" s="60">
        <f t="shared" si="2"/>
        <v>16</v>
      </c>
      <c r="I9" s="60" t="e">
        <f t="shared" si="3"/>
        <v>#VALUE!</v>
      </c>
      <c r="J9" s="60" t="e">
        <f t="shared" si="4"/>
        <v>#VALUE!</v>
      </c>
      <c r="K9" s="60" t="str">
        <f>IFERROR(VLOOKUP(MID(F9,I9,J9-I9),[6]skilldef!$C:$D,2,FALSE),"-") &amp; " / " &amp; IFERROR(VLOOKUP(MID(F9,G9,H9-G9),[6]skilldef!$A:$B,2,FALSE),"-")</f>
        <v>- / 何もしない</v>
      </c>
      <c r="L9" s="60" t="str">
        <f t="shared" si="5"/>
        <v>none</v>
      </c>
      <c r="M9" s="45" t="str">
        <f t="shared" si="6"/>
        <v>none</v>
      </c>
      <c r="N9" s="60" t="e">
        <f t="shared" si="7"/>
        <v>#VALUE!</v>
      </c>
      <c r="O9" s="60">
        <f t="shared" si="8"/>
        <v>4</v>
      </c>
      <c r="P9" s="60" t="e">
        <f t="shared" si="9"/>
        <v>#VALUE!</v>
      </c>
      <c r="Q9" s="60" t="e">
        <f t="shared" si="10"/>
        <v>#VALUE!</v>
      </c>
      <c r="R9" s="60" t="str">
        <f>IFERROR(VLOOKUP(MID(M9,P9,Q9-P9),[6]skilldef!$C:$D,2,FALSE),"-") &amp; " / " &amp; IFERROR(VLOOKUP(MID(M9,N9,O9-N9),[6]skilldef!$A:$B,2,FALSE),"-")</f>
        <v>- / -</v>
      </c>
      <c r="S9" s="45" t="str">
        <f t="shared" si="11"/>
        <v>none</v>
      </c>
      <c r="T9" s="60" t="e">
        <f t="shared" si="12"/>
        <v>#VALUE!</v>
      </c>
      <c r="U9" s="60">
        <f t="shared" si="13"/>
        <v>4</v>
      </c>
      <c r="V9" s="60" t="e">
        <f t="shared" si="14"/>
        <v>#VALUE!</v>
      </c>
      <c r="W9" s="60" t="e">
        <f t="shared" si="15"/>
        <v>#VALUE!</v>
      </c>
      <c r="X9" s="60" t="str">
        <f>IFERROR(VLOOKUP(MID(S9,V9,W9-V9),[6]skilldef!$C:$D,2,FALSE),"-") &amp; " / " &amp; IFERROR(VLOOKUP(MID(S9,T9,U9-T9),[6]skilldef!$A:$B,2,FALSE),"-")</f>
        <v>- / -</v>
      </c>
      <c r="Y9" s="48" t="s">
        <v>186</v>
      </c>
      <c r="Z9" s="47"/>
      <c r="AA9" s="49"/>
      <c r="AB9" s="47"/>
    </row>
    <row r="10" spans="1:28" ht="21" customHeight="1" x14ac:dyDescent="0.15">
      <c r="A10" s="44">
        <v>30018009</v>
      </c>
      <c r="B10" s="44" t="s">
        <v>206</v>
      </c>
      <c r="C10" s="47">
        <v>3</v>
      </c>
      <c r="D10" s="47" t="s">
        <v>127</v>
      </c>
      <c r="E10" s="48" t="s">
        <v>226</v>
      </c>
      <c r="F10" s="60" t="str">
        <f t="shared" si="0"/>
        <v>[effect:virus, turn:5, rate:1.0, val:0.1, animation:virus03]</v>
      </c>
      <c r="G10" s="60">
        <f t="shared" si="1"/>
        <v>9</v>
      </c>
      <c r="H10" s="60">
        <f t="shared" si="2"/>
        <v>14</v>
      </c>
      <c r="I10" s="60" t="e">
        <f t="shared" si="3"/>
        <v>#VALUE!</v>
      </c>
      <c r="J10" s="60">
        <f t="shared" si="4"/>
        <v>22</v>
      </c>
      <c r="K10" s="60" t="str">
        <f>IFERROR(VLOOKUP(MID(F10,I10,J10-I10),[6]skilldef!$C:$D,2,FALSE),"-") &amp; " / " &amp; IFERROR(VLOOKUP(MID(F10,G10,H10-G10),[6]skilldef!$A:$B,2,FALSE),"-")</f>
        <v>- / ウィルス</v>
      </c>
      <c r="L10" s="60" t="str">
        <f t="shared" si="5"/>
        <v>[effect:spread, val:0.3]</v>
      </c>
      <c r="M10" s="45" t="str">
        <f t="shared" si="6"/>
        <v>[effect:spread, val:0.3]</v>
      </c>
      <c r="N10" s="60">
        <f t="shared" si="7"/>
        <v>9</v>
      </c>
      <c r="O10" s="60">
        <f t="shared" si="8"/>
        <v>15</v>
      </c>
      <c r="P10" s="60" t="e">
        <f t="shared" si="9"/>
        <v>#VALUE!</v>
      </c>
      <c r="Q10" s="60" t="e">
        <f t="shared" si="10"/>
        <v>#VALUE!</v>
      </c>
      <c r="R10" s="60" t="str">
        <f>IFERROR(VLOOKUP(MID(M10,P10,Q10-P10),[6]skilldef!$C:$D,2,FALSE),"-") &amp; " / " &amp; IFERROR(VLOOKUP(MID(M10,N10,O10-N10),[6]skilldef!$A:$B,2,FALSE),"-")</f>
        <v>- / 全体攻撃</v>
      </c>
      <c r="S10" s="45" t="str">
        <f t="shared" si="11"/>
        <v>none</v>
      </c>
      <c r="T10" s="60" t="e">
        <f t="shared" si="12"/>
        <v>#VALUE!</v>
      </c>
      <c r="U10" s="60">
        <f t="shared" si="13"/>
        <v>4</v>
      </c>
      <c r="V10" s="60" t="e">
        <f t="shared" si="14"/>
        <v>#VALUE!</v>
      </c>
      <c r="W10" s="60" t="e">
        <f t="shared" si="15"/>
        <v>#VALUE!</v>
      </c>
      <c r="X10" s="60" t="str">
        <f>IFERROR(VLOOKUP(MID(S10,V10,W10-V10),[6]skilldef!$C:$D,2,FALSE),"-") &amp; " / " &amp; IFERROR(VLOOKUP(MID(S10,T10,U10-T10),[6]skilldef!$A:$B,2,FALSE),"-")</f>
        <v>- / -</v>
      </c>
      <c r="Y10" s="48" t="s">
        <v>227</v>
      </c>
      <c r="Z10" s="47"/>
      <c r="AA10" s="49"/>
      <c r="AB10" s="47"/>
    </row>
    <row r="11" spans="1:28" ht="21" customHeight="1" x14ac:dyDescent="0.15">
      <c r="A11" s="44">
        <v>30018010</v>
      </c>
      <c r="B11" s="44" t="s">
        <v>193</v>
      </c>
      <c r="C11" s="47">
        <v>3</v>
      </c>
      <c r="D11" s="47" t="s">
        <v>127</v>
      </c>
      <c r="E11" s="48" t="s">
        <v>187</v>
      </c>
      <c r="F11" s="60" t="str">
        <f t="shared" si="0"/>
        <v>[effect:nothing]</v>
      </c>
      <c r="G11" s="60">
        <f t="shared" si="1"/>
        <v>9</v>
      </c>
      <c r="H11" s="60">
        <f t="shared" si="2"/>
        <v>16</v>
      </c>
      <c r="I11" s="60" t="e">
        <f t="shared" si="3"/>
        <v>#VALUE!</v>
      </c>
      <c r="J11" s="60" t="e">
        <f t="shared" si="4"/>
        <v>#VALUE!</v>
      </c>
      <c r="K11" s="60" t="str">
        <f>IFERROR(VLOOKUP(MID(F11,I11,J11-I11),[6]skilldef!$C:$D,2,FALSE),"-") &amp; " / " &amp; IFERROR(VLOOKUP(MID(F11,G11,H11-G11),[6]skilldef!$A:$B,2,FALSE),"-")</f>
        <v>- / 何もしない</v>
      </c>
      <c r="L11" s="60" t="str">
        <f t="shared" si="5"/>
        <v>none</v>
      </c>
      <c r="M11" s="45" t="str">
        <f t="shared" si="6"/>
        <v>none</v>
      </c>
      <c r="N11" s="60" t="e">
        <f t="shared" si="7"/>
        <v>#VALUE!</v>
      </c>
      <c r="O11" s="60">
        <f t="shared" si="8"/>
        <v>4</v>
      </c>
      <c r="P11" s="60" t="e">
        <f t="shared" si="9"/>
        <v>#VALUE!</v>
      </c>
      <c r="Q11" s="60" t="e">
        <f t="shared" si="10"/>
        <v>#VALUE!</v>
      </c>
      <c r="R11" s="60" t="str">
        <f>IFERROR(VLOOKUP(MID(M11,P11,Q11-P11),[6]skilldef!$C:$D,2,FALSE),"-") &amp; " / " &amp; IFERROR(VLOOKUP(MID(M11,N11,O11-N11),[6]skilldef!$A:$B,2,FALSE),"-")</f>
        <v>- / -</v>
      </c>
      <c r="S11" s="45" t="str">
        <f t="shared" si="11"/>
        <v>none</v>
      </c>
      <c r="T11" s="60" t="e">
        <f t="shared" si="12"/>
        <v>#VALUE!</v>
      </c>
      <c r="U11" s="60">
        <f t="shared" si="13"/>
        <v>4</v>
      </c>
      <c r="V11" s="60" t="e">
        <f t="shared" si="14"/>
        <v>#VALUE!</v>
      </c>
      <c r="W11" s="60" t="e">
        <f t="shared" si="15"/>
        <v>#VALUE!</v>
      </c>
      <c r="X11" s="60" t="str">
        <f>IFERROR(VLOOKUP(MID(S11,V11,W11-V11),[6]skilldef!$C:$D,2,FALSE),"-") &amp; " / " &amp; IFERROR(VLOOKUP(MID(S11,T11,U11-T11),[6]skilldef!$A:$B,2,FALSE),"-")</f>
        <v>- / -</v>
      </c>
      <c r="Y11" s="48" t="s">
        <v>187</v>
      </c>
      <c r="Z11" s="47"/>
      <c r="AA11" s="49"/>
      <c r="AB11" s="47"/>
    </row>
    <row r="12" spans="1:28" ht="21" customHeight="1" x14ac:dyDescent="0.15">
      <c r="A12" s="44">
        <v>30018011</v>
      </c>
      <c r="B12" s="44" t="s">
        <v>205</v>
      </c>
      <c r="C12" s="47">
        <v>3</v>
      </c>
      <c r="D12" s="47" t="s">
        <v>127</v>
      </c>
      <c r="E12" s="48" t="s">
        <v>228</v>
      </c>
      <c r="F12" s="60" t="str">
        <f t="shared" si="0"/>
        <v>[effect:enhance_enemy, target:enemy_all, turn:-1, status:defense, val:3000.0, animation:enemy_enhance_defense]</v>
      </c>
      <c r="G12" s="60">
        <f t="shared" si="1"/>
        <v>9</v>
      </c>
      <c r="H12" s="60">
        <f t="shared" si="2"/>
        <v>22</v>
      </c>
      <c r="I12" s="60">
        <f t="shared" si="3"/>
        <v>31</v>
      </c>
      <c r="J12" s="60">
        <f t="shared" si="4"/>
        <v>40</v>
      </c>
      <c r="K12" s="60" t="str">
        <f>IFERROR(VLOOKUP(MID(F12,I12,J12-I12),[6]skilldef!$C:$D,2,FALSE),"-") &amp; " / " &amp; IFERROR(VLOOKUP(MID(F12,G12,H12-G12),[6]skilldef!$A:$B,2,FALSE),"-")</f>
        <v>敵全体に / ステータス強化</v>
      </c>
      <c r="L12" s="60" t="str">
        <f t="shared" si="5"/>
        <v>none</v>
      </c>
      <c r="M12" s="45" t="str">
        <f t="shared" si="6"/>
        <v>none</v>
      </c>
      <c r="N12" s="60" t="e">
        <f t="shared" si="7"/>
        <v>#VALUE!</v>
      </c>
      <c r="O12" s="60">
        <f t="shared" si="8"/>
        <v>4</v>
      </c>
      <c r="P12" s="60" t="e">
        <f t="shared" si="9"/>
        <v>#VALUE!</v>
      </c>
      <c r="Q12" s="60" t="e">
        <f t="shared" si="10"/>
        <v>#VALUE!</v>
      </c>
      <c r="R12" s="60" t="str">
        <f>IFERROR(VLOOKUP(MID(M12,P12,Q12-P12),[6]skilldef!$C:$D,2,FALSE),"-") &amp; " / " &amp; IFERROR(VLOOKUP(MID(M12,N12,O12-N12),[6]skilldef!$A:$B,2,FALSE),"-")</f>
        <v>- / -</v>
      </c>
      <c r="S12" s="45" t="str">
        <f t="shared" si="11"/>
        <v>none</v>
      </c>
      <c r="T12" s="60" t="e">
        <f t="shared" si="12"/>
        <v>#VALUE!</v>
      </c>
      <c r="U12" s="60">
        <f t="shared" si="13"/>
        <v>4</v>
      </c>
      <c r="V12" s="60" t="e">
        <f t="shared" si="14"/>
        <v>#VALUE!</v>
      </c>
      <c r="W12" s="60" t="e">
        <f t="shared" si="15"/>
        <v>#VALUE!</v>
      </c>
      <c r="X12" s="60" t="str">
        <f>IFERROR(VLOOKUP(MID(S12,V12,W12-V12),[6]skilldef!$C:$D,2,FALSE),"-") &amp; " / " &amp; IFERROR(VLOOKUP(MID(S12,T12,U12-T12),[6]skilldef!$A:$B,2,FALSE),"-")</f>
        <v>- / -</v>
      </c>
      <c r="Y12" s="48" t="s">
        <v>211</v>
      </c>
      <c r="Z12" s="47"/>
      <c r="AA12" s="49"/>
      <c r="AB12" s="47"/>
    </row>
    <row r="13" spans="1:28" ht="21" customHeight="1" x14ac:dyDescent="0.15">
      <c r="A13" s="44">
        <v>30018012</v>
      </c>
      <c r="B13" s="44" t="s">
        <v>277</v>
      </c>
      <c r="C13" s="47">
        <v>3</v>
      </c>
      <c r="D13" s="47" t="s">
        <v>127</v>
      </c>
      <c r="E13" s="48" t="s">
        <v>229</v>
      </c>
      <c r="F13" s="60" t="str">
        <f t="shared" si="0"/>
        <v>[effect:rush, count:6, val:0.2]</v>
      </c>
      <c r="G13" s="60">
        <f t="shared" si="1"/>
        <v>9</v>
      </c>
      <c r="H13" s="60">
        <f t="shared" si="2"/>
        <v>13</v>
      </c>
      <c r="I13" s="60" t="e">
        <f t="shared" si="3"/>
        <v>#VALUE!</v>
      </c>
      <c r="J13" s="60">
        <f t="shared" si="4"/>
        <v>22</v>
      </c>
      <c r="K13" s="60" t="str">
        <f>IFERROR(VLOOKUP(MID(F13,I13,J13-I13),[6]skilldef!$C:$D,2,FALSE),"-") &amp; " / " &amp; IFERROR(VLOOKUP(MID(F13,G13,H13-G13),[6]skilldef!$A:$B,2,FALSE),"-")</f>
        <v>- / 連続攻撃</v>
      </c>
      <c r="L13" s="60" t="str">
        <f t="shared" si="5"/>
        <v>none</v>
      </c>
      <c r="M13" s="45" t="str">
        <f t="shared" si="6"/>
        <v>none</v>
      </c>
      <c r="N13" s="60" t="e">
        <f t="shared" si="7"/>
        <v>#VALUE!</v>
      </c>
      <c r="O13" s="60">
        <f t="shared" si="8"/>
        <v>4</v>
      </c>
      <c r="P13" s="60" t="e">
        <f t="shared" si="9"/>
        <v>#VALUE!</v>
      </c>
      <c r="Q13" s="60" t="e">
        <f t="shared" si="10"/>
        <v>#VALUE!</v>
      </c>
      <c r="R13" s="60" t="str">
        <f>IFERROR(VLOOKUP(MID(M13,P13,Q13-P13),[6]skilldef!$C:$D,2,FALSE),"-") &amp; " / " &amp; IFERROR(VLOOKUP(MID(M13,N13,O13-N13),[6]skilldef!$A:$B,2,FALSE),"-")</f>
        <v>- / -</v>
      </c>
      <c r="S13" s="45" t="str">
        <f t="shared" si="11"/>
        <v>none</v>
      </c>
      <c r="T13" s="60" t="e">
        <f t="shared" si="12"/>
        <v>#VALUE!</v>
      </c>
      <c r="U13" s="60">
        <f t="shared" si="13"/>
        <v>4</v>
      </c>
      <c r="V13" s="60" t="e">
        <f t="shared" si="14"/>
        <v>#VALUE!</v>
      </c>
      <c r="W13" s="60" t="e">
        <f t="shared" si="15"/>
        <v>#VALUE!</v>
      </c>
      <c r="X13" s="60" t="str">
        <f>IFERROR(VLOOKUP(MID(S13,V13,W13-V13),[6]skilldef!$C:$D,2,FALSE),"-") &amp; " / " &amp; IFERROR(VLOOKUP(MID(S13,T13,U13-T13),[6]skilldef!$A:$B,2,FALSE),"-")</f>
        <v>- / -</v>
      </c>
      <c r="Y13" s="48" t="s">
        <v>212</v>
      </c>
      <c r="Z13" s="47"/>
      <c r="AA13" s="49"/>
      <c r="AB13" s="47"/>
    </row>
    <row r="14" spans="1:28" ht="21" customHeight="1" x14ac:dyDescent="0.15">
      <c r="A14" s="44">
        <v>30018013</v>
      </c>
      <c r="B14" s="44" t="s">
        <v>276</v>
      </c>
      <c r="C14" s="47">
        <v>3</v>
      </c>
      <c r="D14" s="47" t="s">
        <v>127</v>
      </c>
      <c r="E14" s="48" t="s">
        <v>273</v>
      </c>
      <c r="F14" s="60" t="str">
        <f t="shared" si="0"/>
        <v>[effect:spread, val:0.3]</v>
      </c>
      <c r="G14" s="60">
        <f t="shared" si="1"/>
        <v>9</v>
      </c>
      <c r="H14" s="60">
        <f t="shared" si="2"/>
        <v>15</v>
      </c>
      <c r="I14" s="60" t="e">
        <f t="shared" si="3"/>
        <v>#VALUE!</v>
      </c>
      <c r="J14" s="60" t="e">
        <f t="shared" si="4"/>
        <v>#VALUE!</v>
      </c>
      <c r="K14" s="60" t="str">
        <f>IFERROR(VLOOKUP(MID(F14,I14,J14-I14),[6]skilldef!$C:$D,2,FALSE),"-") &amp; " / " &amp; IFERROR(VLOOKUP(MID(F14,G14,H14-G14),[6]skilldef!$A:$B,2,FALSE),"-")</f>
        <v>- / 全体攻撃</v>
      </c>
      <c r="L14" s="60" t="str">
        <f t="shared" si="5"/>
        <v>[effect:force_change_block, new_block:block_heart, target:block_all, ignore01:crash, count:0, val:0.0]</v>
      </c>
      <c r="M14" s="45" t="str">
        <f t="shared" si="6"/>
        <v>[effect:force_change_block, new_block:block_heart, target:block_all, ignore01:crash, count:0, val:0.0]</v>
      </c>
      <c r="N14" s="60">
        <f t="shared" si="7"/>
        <v>9</v>
      </c>
      <c r="O14" s="60">
        <f t="shared" si="8"/>
        <v>27</v>
      </c>
      <c r="P14" s="60">
        <f t="shared" si="9"/>
        <v>59</v>
      </c>
      <c r="Q14" s="60">
        <f t="shared" si="10"/>
        <v>50</v>
      </c>
      <c r="R14" s="60" t="str">
        <f>IFERROR(VLOOKUP(MID(M14,P14,Q14-P14),[6]skilldef!$C:$D,2,FALSE),"-") &amp; " / " &amp; IFERROR(VLOOKUP(MID(M14,N14,O14-N14),[6]skilldef!$A:$B,2,FALSE),"-")</f>
        <v>- / -</v>
      </c>
      <c r="S14" s="45" t="str">
        <f t="shared" si="11"/>
        <v>none</v>
      </c>
      <c r="T14" s="60" t="e">
        <f t="shared" si="12"/>
        <v>#VALUE!</v>
      </c>
      <c r="U14" s="60">
        <f t="shared" si="13"/>
        <v>4</v>
      </c>
      <c r="V14" s="60" t="e">
        <f t="shared" si="14"/>
        <v>#VALUE!</v>
      </c>
      <c r="W14" s="60" t="e">
        <f t="shared" si="15"/>
        <v>#VALUE!</v>
      </c>
      <c r="X14" s="60" t="str">
        <f>IFERROR(VLOOKUP(MID(S14,V14,W14-V14),[6]skilldef!$C:$D,2,FALSE),"-") &amp; " / " &amp; IFERROR(VLOOKUP(MID(S14,T14,U14-T14),[6]skilldef!$A:$B,2,FALSE),"-")</f>
        <v>- / -</v>
      </c>
      <c r="Y14" s="48" t="s">
        <v>286</v>
      </c>
      <c r="Z14" s="47"/>
      <c r="AA14" s="49"/>
      <c r="AB14" s="47"/>
    </row>
    <row r="15" spans="1:28" ht="21" customHeight="1" x14ac:dyDescent="0.15">
      <c r="A15" s="44">
        <v>30018014</v>
      </c>
      <c r="B15" s="44" t="s">
        <v>193</v>
      </c>
      <c r="C15" s="47">
        <v>3</v>
      </c>
      <c r="D15" s="47" t="s">
        <v>127</v>
      </c>
      <c r="E15" s="48" t="s">
        <v>230</v>
      </c>
      <c r="F15" s="60" t="str">
        <f t="shared" si="0"/>
        <v>[effect:nothing]</v>
      </c>
      <c r="G15" s="60">
        <f t="shared" si="1"/>
        <v>9</v>
      </c>
      <c r="H15" s="60">
        <f t="shared" si="2"/>
        <v>16</v>
      </c>
      <c r="I15" s="60" t="e">
        <f t="shared" si="3"/>
        <v>#VALUE!</v>
      </c>
      <c r="J15" s="60" t="e">
        <f t="shared" si="4"/>
        <v>#VALUE!</v>
      </c>
      <c r="K15" s="60" t="str">
        <f>IFERROR(VLOOKUP(MID(F15,I15,J15-I15),[6]skilldef!$C:$D,2,FALSE),"-") &amp; " / " &amp; IFERROR(VLOOKUP(MID(F15,G15,H15-G15),[6]skilldef!$A:$B,2,FALSE),"-")</f>
        <v>- / 何もしない</v>
      </c>
      <c r="L15" s="60" t="str">
        <f t="shared" si="5"/>
        <v>none</v>
      </c>
      <c r="M15" s="45" t="str">
        <f t="shared" si="6"/>
        <v>none</v>
      </c>
      <c r="N15" s="60" t="e">
        <f t="shared" si="7"/>
        <v>#VALUE!</v>
      </c>
      <c r="O15" s="60">
        <f t="shared" si="8"/>
        <v>4</v>
      </c>
      <c r="P15" s="60" t="e">
        <f t="shared" si="9"/>
        <v>#VALUE!</v>
      </c>
      <c r="Q15" s="60" t="e">
        <f t="shared" si="10"/>
        <v>#VALUE!</v>
      </c>
      <c r="R15" s="60" t="str">
        <f>IFERROR(VLOOKUP(MID(M15,P15,Q15-P15),[6]skilldef!$C:$D,2,FALSE),"-") &amp; " / " &amp; IFERROR(VLOOKUP(MID(M15,N15,O15-N15),[6]skilldef!$A:$B,2,FALSE),"-")</f>
        <v>- / -</v>
      </c>
      <c r="S15" s="45" t="str">
        <f t="shared" si="11"/>
        <v>none</v>
      </c>
      <c r="T15" s="60" t="e">
        <f t="shared" si="12"/>
        <v>#VALUE!</v>
      </c>
      <c r="U15" s="60">
        <f t="shared" si="13"/>
        <v>4</v>
      </c>
      <c r="V15" s="60" t="e">
        <f t="shared" si="14"/>
        <v>#VALUE!</v>
      </c>
      <c r="W15" s="60" t="e">
        <f t="shared" si="15"/>
        <v>#VALUE!</v>
      </c>
      <c r="X15" s="60" t="str">
        <f>IFERROR(VLOOKUP(MID(S15,V15,W15-V15),[6]skilldef!$C:$D,2,FALSE),"-") &amp; " / " &amp; IFERROR(VLOOKUP(MID(S15,T15,U15-T15),[6]skilldef!$A:$B,2,FALSE),"-")</f>
        <v>- / -</v>
      </c>
      <c r="Y15" s="48" t="s">
        <v>231</v>
      </c>
      <c r="Z15" s="47"/>
      <c r="AA15" s="49"/>
      <c r="AB15" s="47"/>
    </row>
    <row r="16" spans="1:28" ht="21" customHeight="1" x14ac:dyDescent="0.15">
      <c r="A16" s="44">
        <v>30018015</v>
      </c>
      <c r="B16" s="44" t="s">
        <v>275</v>
      </c>
      <c r="C16" s="47">
        <v>3</v>
      </c>
      <c r="D16" s="47" t="s">
        <v>127</v>
      </c>
      <c r="E16" s="48" t="s">
        <v>232</v>
      </c>
      <c r="F16" s="60" t="str">
        <f t="shared" si="0"/>
        <v>[effect:spread, val:0.4]</v>
      </c>
      <c r="G16" s="60">
        <f t="shared" si="1"/>
        <v>9</v>
      </c>
      <c r="H16" s="60">
        <f t="shared" si="2"/>
        <v>15</v>
      </c>
      <c r="I16" s="60" t="e">
        <f t="shared" si="3"/>
        <v>#VALUE!</v>
      </c>
      <c r="J16" s="60" t="e">
        <f t="shared" si="4"/>
        <v>#VALUE!</v>
      </c>
      <c r="K16" s="60" t="str">
        <f>IFERROR(VLOOKUP(MID(F16,I16,J16-I16),[6]skilldef!$C:$D,2,FALSE),"-") &amp; " / " &amp; IFERROR(VLOOKUP(MID(F16,G16,H16-G16),[6]skilldef!$A:$B,2,FALSE),"-")</f>
        <v>- / 全体攻撃</v>
      </c>
      <c r="L16" s="60" t="str">
        <f t="shared" si="5"/>
        <v>none</v>
      </c>
      <c r="M16" s="45" t="str">
        <f t="shared" si="6"/>
        <v>none</v>
      </c>
      <c r="N16" s="60" t="e">
        <f t="shared" si="7"/>
        <v>#VALUE!</v>
      </c>
      <c r="O16" s="60">
        <f t="shared" si="8"/>
        <v>4</v>
      </c>
      <c r="P16" s="60" t="e">
        <f t="shared" si="9"/>
        <v>#VALUE!</v>
      </c>
      <c r="Q16" s="60" t="e">
        <f t="shared" si="10"/>
        <v>#VALUE!</v>
      </c>
      <c r="R16" s="60" t="str">
        <f>IFERROR(VLOOKUP(MID(M16,P16,Q16-P16),[6]skilldef!$C:$D,2,FALSE),"-") &amp; " / " &amp; IFERROR(VLOOKUP(MID(M16,N16,O16-N16),[6]skilldef!$A:$B,2,FALSE),"-")</f>
        <v>- / -</v>
      </c>
      <c r="S16" s="45" t="str">
        <f t="shared" si="11"/>
        <v>none</v>
      </c>
      <c r="T16" s="60" t="e">
        <f t="shared" si="12"/>
        <v>#VALUE!</v>
      </c>
      <c r="U16" s="60">
        <f t="shared" si="13"/>
        <v>4</v>
      </c>
      <c r="V16" s="60" t="e">
        <f t="shared" si="14"/>
        <v>#VALUE!</v>
      </c>
      <c r="W16" s="60" t="e">
        <f t="shared" si="15"/>
        <v>#VALUE!</v>
      </c>
      <c r="X16" s="60" t="str">
        <f>IFERROR(VLOOKUP(MID(S16,V16,W16-V16),[6]skilldef!$C:$D,2,FALSE),"-") &amp; " / " &amp; IFERROR(VLOOKUP(MID(S16,T16,U16-T16),[6]skilldef!$A:$B,2,FALSE),"-")</f>
        <v>- / -</v>
      </c>
      <c r="Y16" s="48" t="s">
        <v>213</v>
      </c>
      <c r="Z16" s="47"/>
      <c r="AA16" s="49"/>
      <c r="AB16" s="47"/>
    </row>
    <row r="17" spans="1:28" ht="21" customHeight="1" x14ac:dyDescent="0.15">
      <c r="A17" s="44">
        <v>30018016</v>
      </c>
      <c r="B17" s="44" t="s">
        <v>208</v>
      </c>
      <c r="C17" s="47">
        <v>3</v>
      </c>
      <c r="D17" s="47" t="s">
        <v>127</v>
      </c>
      <c r="E17" s="48" t="s">
        <v>234</v>
      </c>
      <c r="F17" s="60" t="str">
        <f t="shared" si="0"/>
        <v>[effect:heal, target:enemy_one, val:0.1, animation:enemy_heal]</v>
      </c>
      <c r="G17" s="60">
        <f t="shared" si="1"/>
        <v>9</v>
      </c>
      <c r="H17" s="60">
        <f t="shared" si="2"/>
        <v>13</v>
      </c>
      <c r="I17" s="60">
        <f t="shared" si="3"/>
        <v>22</v>
      </c>
      <c r="J17" s="60">
        <f t="shared" si="4"/>
        <v>31</v>
      </c>
      <c r="K17" s="60" t="str">
        <f>IFERROR(VLOOKUP(MID(F17,I17,J17-I17),[6]skilldef!$C:$D,2,FALSE),"-") &amp; " / " &amp; IFERROR(VLOOKUP(MID(F17,G17,H17-G17),[6]skilldef!$A:$B,2,FALSE),"-")</f>
        <v>敵単体に / 回復</v>
      </c>
      <c r="L17" s="60" t="str">
        <f t="shared" si="5"/>
        <v>none</v>
      </c>
      <c r="M17" s="45" t="str">
        <f t="shared" si="6"/>
        <v>none</v>
      </c>
      <c r="N17" s="60" t="e">
        <f t="shared" si="7"/>
        <v>#VALUE!</v>
      </c>
      <c r="O17" s="60">
        <f t="shared" si="8"/>
        <v>4</v>
      </c>
      <c r="P17" s="60" t="e">
        <f t="shared" si="9"/>
        <v>#VALUE!</v>
      </c>
      <c r="Q17" s="60" t="e">
        <f t="shared" si="10"/>
        <v>#VALUE!</v>
      </c>
      <c r="R17" s="60" t="str">
        <f>IFERROR(VLOOKUP(MID(M17,P17,Q17-P17),[6]skilldef!$C:$D,2,FALSE),"-") &amp; " / " &amp; IFERROR(VLOOKUP(MID(M17,N17,O17-N17),[6]skilldef!$A:$B,2,FALSE),"-")</f>
        <v>- / -</v>
      </c>
      <c r="S17" s="45" t="str">
        <f t="shared" si="11"/>
        <v>none</v>
      </c>
      <c r="T17" s="60" t="e">
        <f t="shared" si="12"/>
        <v>#VALUE!</v>
      </c>
      <c r="U17" s="60">
        <f t="shared" si="13"/>
        <v>4</v>
      </c>
      <c r="V17" s="60" t="e">
        <f t="shared" si="14"/>
        <v>#VALUE!</v>
      </c>
      <c r="W17" s="60" t="e">
        <f t="shared" si="15"/>
        <v>#VALUE!</v>
      </c>
      <c r="X17" s="60" t="str">
        <f>IFERROR(VLOOKUP(MID(S17,V17,W17-V17),[6]skilldef!$C:$D,2,FALSE),"-") &amp; " / " &amp; IFERROR(VLOOKUP(MID(S17,T17,U17-T17),[6]skilldef!$A:$B,2,FALSE),"-")</f>
        <v>- / -</v>
      </c>
      <c r="Y17" s="48" t="s">
        <v>214</v>
      </c>
      <c r="Z17" s="47"/>
      <c r="AA17" s="49"/>
      <c r="AB17" s="47"/>
    </row>
    <row r="18" spans="1:28" ht="21" customHeight="1" x14ac:dyDescent="0.15">
      <c r="A18" s="44">
        <v>30018017</v>
      </c>
      <c r="B18" s="44" t="s">
        <v>193</v>
      </c>
      <c r="C18" s="47">
        <v>3</v>
      </c>
      <c r="D18" s="47" t="s">
        <v>127</v>
      </c>
      <c r="E18" s="48" t="s">
        <v>188</v>
      </c>
      <c r="F18" s="60" t="str">
        <f t="shared" si="0"/>
        <v>[effect:nothing]</v>
      </c>
      <c r="G18" s="60">
        <f t="shared" si="1"/>
        <v>9</v>
      </c>
      <c r="H18" s="60">
        <f t="shared" si="2"/>
        <v>16</v>
      </c>
      <c r="I18" s="60" t="e">
        <f t="shared" si="3"/>
        <v>#VALUE!</v>
      </c>
      <c r="J18" s="60" t="e">
        <f t="shared" si="4"/>
        <v>#VALUE!</v>
      </c>
      <c r="K18" s="60" t="str">
        <f>IFERROR(VLOOKUP(MID(F18,I18,J18-I18),[6]skilldef!$C:$D,2,FALSE),"-") &amp; " / " &amp; IFERROR(VLOOKUP(MID(F18,G18,H18-G18),[6]skilldef!$A:$B,2,FALSE),"-")</f>
        <v>- / 何もしない</v>
      </c>
      <c r="L18" s="60" t="str">
        <f t="shared" si="5"/>
        <v>none</v>
      </c>
      <c r="M18" s="45" t="str">
        <f t="shared" si="6"/>
        <v>none</v>
      </c>
      <c r="N18" s="60" t="e">
        <f t="shared" si="7"/>
        <v>#VALUE!</v>
      </c>
      <c r="O18" s="60">
        <f t="shared" si="8"/>
        <v>4</v>
      </c>
      <c r="P18" s="60" t="e">
        <f t="shared" si="9"/>
        <v>#VALUE!</v>
      </c>
      <c r="Q18" s="60" t="e">
        <f t="shared" si="10"/>
        <v>#VALUE!</v>
      </c>
      <c r="R18" s="60" t="str">
        <f>IFERROR(VLOOKUP(MID(M18,P18,Q18-P18),[6]skilldef!$C:$D,2,FALSE),"-") &amp; " / " &amp; IFERROR(VLOOKUP(MID(M18,N18,O18-N18),[6]skilldef!$A:$B,2,FALSE),"-")</f>
        <v>- / -</v>
      </c>
      <c r="S18" s="45" t="str">
        <f t="shared" si="11"/>
        <v>none</v>
      </c>
      <c r="T18" s="60" t="e">
        <f t="shared" si="12"/>
        <v>#VALUE!</v>
      </c>
      <c r="U18" s="60">
        <f t="shared" si="13"/>
        <v>4</v>
      </c>
      <c r="V18" s="60" t="e">
        <f t="shared" si="14"/>
        <v>#VALUE!</v>
      </c>
      <c r="W18" s="60" t="e">
        <f t="shared" si="15"/>
        <v>#VALUE!</v>
      </c>
      <c r="X18" s="60" t="str">
        <f>IFERROR(VLOOKUP(MID(S18,V18,W18-V18),[6]skilldef!$C:$D,2,FALSE),"-") &amp; " / " &amp; IFERROR(VLOOKUP(MID(S18,T18,U18-T18),[6]skilldef!$A:$B,2,FALSE),"-")</f>
        <v>- / -</v>
      </c>
      <c r="Y18" s="48" t="s">
        <v>188</v>
      </c>
      <c r="Z18" s="47"/>
      <c r="AA18" s="49"/>
      <c r="AB18" s="47"/>
    </row>
    <row r="19" spans="1:28" ht="21" customHeight="1" x14ac:dyDescent="0.15">
      <c r="A19" s="44">
        <v>30018018</v>
      </c>
      <c r="B19" s="44" t="s">
        <v>193</v>
      </c>
      <c r="C19" s="47">
        <v>3</v>
      </c>
      <c r="D19" s="47" t="s">
        <v>127</v>
      </c>
      <c r="E19" s="48" t="s">
        <v>188</v>
      </c>
      <c r="F19" s="60" t="str">
        <f t="shared" ref="F19:F30" si="16">IFERROR(LEFT(B19,FIND("],",B19)),B19)</f>
        <v>[effect:nothing]</v>
      </c>
      <c r="G19" s="60">
        <f t="shared" si="1"/>
        <v>9</v>
      </c>
      <c r="H19" s="60">
        <f t="shared" ref="H19:H30" si="17">IFERROR(FIND(",",F19),LEN(F19))</f>
        <v>16</v>
      </c>
      <c r="I19" s="60" t="e">
        <f t="shared" ref="I19:I30" si="18">FIND("target:",F19)+7</f>
        <v>#VALUE!</v>
      </c>
      <c r="J19" s="60" t="e">
        <f t="shared" ref="J19:J30" si="19">FIND(",",F19,H19+1)</f>
        <v>#VALUE!</v>
      </c>
      <c r="K19" s="60" t="str">
        <f>IFERROR(VLOOKUP(MID(F19,I19,J19-I19),[6]skilldef!$C:$D,2,FALSE),"-") &amp; " / " &amp; IFERROR(VLOOKUP(MID(F19,G19,H19-G19),[6]skilldef!$A:$B,2,FALSE),"-")</f>
        <v>- / 何もしない</v>
      </c>
      <c r="L19" s="60" t="str">
        <f t="shared" ref="L19:L30" si="20">IFERROR(RIGHT(B19,LEN(B19)-FIND("],",B19)-1),"none")</f>
        <v>none</v>
      </c>
      <c r="M19" s="45" t="str">
        <f t="shared" ref="M19:M23" si="21">IFERROR(LEFT(L19,FIND("],",L19)+R29),L19)</f>
        <v>none</v>
      </c>
      <c r="N19" s="60" t="e">
        <f t="shared" si="7"/>
        <v>#VALUE!</v>
      </c>
      <c r="O19" s="60">
        <f t="shared" ref="O19:O30" si="22">IFERROR(FIND(",",M19),LEN(M19))</f>
        <v>4</v>
      </c>
      <c r="P19" s="60" t="e">
        <f t="shared" ref="P19:P30" si="23">FIND("target:",M19)+7</f>
        <v>#VALUE!</v>
      </c>
      <c r="Q19" s="60" t="e">
        <f t="shared" ref="Q19:Q30" si="24">FIND(",",M19,O19+1)</f>
        <v>#VALUE!</v>
      </c>
      <c r="R19" s="60" t="str">
        <f>IFERROR(VLOOKUP(MID(M19,P19,Q19-P19),[6]skilldef!$C:$D,2,FALSE),"-") &amp; " / " &amp; IFERROR(VLOOKUP(MID(M19,N19,O19-N19),[6]skilldef!$A:$B,2,FALSE),"-")</f>
        <v>- / -</v>
      </c>
      <c r="S19" s="45" t="str">
        <f t="shared" ref="S19:S30" si="25">IFERROR(RIGHT(L19,LEN(L19)-FIND("],",L19)-1),"none")</f>
        <v>none</v>
      </c>
      <c r="T19" s="60" t="e">
        <f t="shared" si="12"/>
        <v>#VALUE!</v>
      </c>
      <c r="U19" s="60">
        <f t="shared" ref="U19:U30" si="26">IFERROR(FIND(",",S19),LEN(S19))</f>
        <v>4</v>
      </c>
      <c r="V19" s="60" t="e">
        <f t="shared" ref="V19:V30" si="27">FIND("target:",S19)+7</f>
        <v>#VALUE!</v>
      </c>
      <c r="W19" s="60" t="e">
        <f t="shared" ref="W19:W30" si="28">FIND(",",S19,U19+1)</f>
        <v>#VALUE!</v>
      </c>
      <c r="X19" s="60" t="str">
        <f>IFERROR(VLOOKUP(MID(S19,V19,W19-V19),[6]skilldef!$C:$D,2,FALSE),"-") &amp; " / " &amp; IFERROR(VLOOKUP(MID(S19,T19,U19-T19),[6]skilldef!$A:$B,2,FALSE),"-")</f>
        <v>- / -</v>
      </c>
      <c r="Y19" s="48" t="s">
        <v>188</v>
      </c>
      <c r="Z19" s="47"/>
      <c r="AA19" s="49"/>
      <c r="AB19" s="47"/>
    </row>
    <row r="20" spans="1:28" ht="21" customHeight="1" x14ac:dyDescent="0.15">
      <c r="A20" s="44">
        <v>30018019</v>
      </c>
      <c r="B20" s="44" t="s">
        <v>193</v>
      </c>
      <c r="C20" s="47">
        <v>3</v>
      </c>
      <c r="D20" s="47" t="s">
        <v>127</v>
      </c>
      <c r="E20" s="48" t="s">
        <v>189</v>
      </c>
      <c r="F20" s="60" t="str">
        <f t="shared" si="16"/>
        <v>[effect:nothing]</v>
      </c>
      <c r="G20" s="60">
        <f t="shared" si="1"/>
        <v>9</v>
      </c>
      <c r="H20" s="60">
        <f t="shared" si="17"/>
        <v>16</v>
      </c>
      <c r="I20" s="60" t="e">
        <f t="shared" si="18"/>
        <v>#VALUE!</v>
      </c>
      <c r="J20" s="60" t="e">
        <f t="shared" si="19"/>
        <v>#VALUE!</v>
      </c>
      <c r="K20" s="60" t="str">
        <f>IFERROR(VLOOKUP(MID(F20,I20,J20-I20),[6]skilldef!$C:$D,2,FALSE),"-") &amp; " / " &amp; IFERROR(VLOOKUP(MID(F20,G20,H20-G20),[6]skilldef!$A:$B,2,FALSE),"-")</f>
        <v>- / 何もしない</v>
      </c>
      <c r="L20" s="60" t="str">
        <f t="shared" si="20"/>
        <v>none</v>
      </c>
      <c r="M20" s="45" t="str">
        <f t="shared" si="21"/>
        <v>none</v>
      </c>
      <c r="N20" s="60" t="e">
        <f t="shared" si="7"/>
        <v>#VALUE!</v>
      </c>
      <c r="O20" s="60">
        <f t="shared" si="22"/>
        <v>4</v>
      </c>
      <c r="P20" s="60" t="e">
        <f t="shared" si="23"/>
        <v>#VALUE!</v>
      </c>
      <c r="Q20" s="60" t="e">
        <f t="shared" si="24"/>
        <v>#VALUE!</v>
      </c>
      <c r="R20" s="60" t="str">
        <f>IFERROR(VLOOKUP(MID(M20,P20,Q20-P20),[6]skilldef!$C:$D,2,FALSE),"-") &amp; " / " &amp; IFERROR(VLOOKUP(MID(M20,N20,O20-N20),[6]skilldef!$A:$B,2,FALSE),"-")</f>
        <v>- / -</v>
      </c>
      <c r="S20" s="45" t="str">
        <f t="shared" si="25"/>
        <v>none</v>
      </c>
      <c r="T20" s="60" t="e">
        <f t="shared" si="12"/>
        <v>#VALUE!</v>
      </c>
      <c r="U20" s="60">
        <f t="shared" si="26"/>
        <v>4</v>
      </c>
      <c r="V20" s="60" t="e">
        <f t="shared" si="27"/>
        <v>#VALUE!</v>
      </c>
      <c r="W20" s="60" t="e">
        <f t="shared" si="28"/>
        <v>#VALUE!</v>
      </c>
      <c r="X20" s="60" t="str">
        <f>IFERROR(VLOOKUP(MID(S20,V20,W20-V20),[6]skilldef!$C:$D,2,FALSE),"-") &amp; " / " &amp; IFERROR(VLOOKUP(MID(S20,T20,U20-T20),[6]skilldef!$A:$B,2,FALSE),"-")</f>
        <v>- / -</v>
      </c>
      <c r="Y20" s="48" t="s">
        <v>215</v>
      </c>
      <c r="Z20" s="47"/>
      <c r="AA20" s="49"/>
      <c r="AB20" s="47"/>
    </row>
    <row r="21" spans="1:28" ht="21" customHeight="1" x14ac:dyDescent="0.15">
      <c r="A21" s="44">
        <v>30018020</v>
      </c>
      <c r="B21" s="44" t="s">
        <v>195</v>
      </c>
      <c r="C21" s="47">
        <v>3</v>
      </c>
      <c r="D21" s="47" t="s">
        <v>127</v>
      </c>
      <c r="E21" s="48" t="s">
        <v>235</v>
      </c>
      <c r="F21" s="60" t="str">
        <f t="shared" si="16"/>
        <v>[effect:enhance_enemy, target:myself, turn:5, status:defense, val:3000.0, animation:enemy_enhance_defense]</v>
      </c>
      <c r="G21" s="60">
        <f t="shared" si="1"/>
        <v>9</v>
      </c>
      <c r="H21" s="60">
        <f t="shared" si="17"/>
        <v>22</v>
      </c>
      <c r="I21" s="60">
        <f t="shared" si="18"/>
        <v>31</v>
      </c>
      <c r="J21" s="60">
        <f t="shared" si="19"/>
        <v>37</v>
      </c>
      <c r="K21" s="60" t="str">
        <f>IFERROR(VLOOKUP(MID(F21,I21,J21-I21),[6]skilldef!$C:$D,2,FALSE),"-") &amp; " / " &amp; IFERROR(VLOOKUP(MID(F21,G21,H21-G21),[6]skilldef!$A:$B,2,FALSE),"-")</f>
        <v>自分自身に / ステータス強化</v>
      </c>
      <c r="L21" s="60" t="str">
        <f t="shared" si="20"/>
        <v>none</v>
      </c>
      <c r="M21" s="45" t="str">
        <f t="shared" si="21"/>
        <v>none</v>
      </c>
      <c r="N21" s="60" t="e">
        <f t="shared" si="7"/>
        <v>#VALUE!</v>
      </c>
      <c r="O21" s="60">
        <f t="shared" si="22"/>
        <v>4</v>
      </c>
      <c r="P21" s="60" t="e">
        <f t="shared" si="23"/>
        <v>#VALUE!</v>
      </c>
      <c r="Q21" s="60" t="e">
        <f t="shared" si="24"/>
        <v>#VALUE!</v>
      </c>
      <c r="R21" s="60" t="str">
        <f>IFERROR(VLOOKUP(MID(M21,P21,Q21-P21),[6]skilldef!$C:$D,2,FALSE),"-") &amp; " / " &amp; IFERROR(VLOOKUP(MID(M21,N21,O21-N21),[6]skilldef!$A:$B,2,FALSE),"-")</f>
        <v>- / -</v>
      </c>
      <c r="S21" s="45" t="str">
        <f t="shared" si="25"/>
        <v>none</v>
      </c>
      <c r="T21" s="60" t="e">
        <f t="shared" si="12"/>
        <v>#VALUE!</v>
      </c>
      <c r="U21" s="60">
        <f t="shared" si="26"/>
        <v>4</v>
      </c>
      <c r="V21" s="60" t="e">
        <f t="shared" si="27"/>
        <v>#VALUE!</v>
      </c>
      <c r="W21" s="60" t="e">
        <f t="shared" si="28"/>
        <v>#VALUE!</v>
      </c>
      <c r="X21" s="60" t="str">
        <f>IFERROR(VLOOKUP(MID(S21,V21,W21-V21),[6]skilldef!$C:$D,2,FALSE),"-") &amp; " / " &amp; IFERROR(VLOOKUP(MID(S21,T21,U21-T21),[6]skilldef!$A:$B,2,FALSE),"-")</f>
        <v>- / -</v>
      </c>
      <c r="Y21" s="48" t="s">
        <v>283</v>
      </c>
      <c r="Z21" s="47"/>
      <c r="AA21" s="49"/>
      <c r="AB21" s="47"/>
    </row>
    <row r="22" spans="1:28" ht="21" customHeight="1" x14ac:dyDescent="0.15">
      <c r="A22" s="44">
        <v>30018021</v>
      </c>
      <c r="B22" s="44" t="s">
        <v>280</v>
      </c>
      <c r="C22" s="47">
        <v>3</v>
      </c>
      <c r="D22" s="47" t="s">
        <v>127</v>
      </c>
      <c r="E22" s="48" t="s">
        <v>233</v>
      </c>
      <c r="F22" s="60" t="str">
        <f t="shared" si="16"/>
        <v>[effect:freq_turn, target:myself, turn:3, val:1, animation:enemy_freq_turn]</v>
      </c>
      <c r="G22" s="60">
        <f t="shared" si="1"/>
        <v>9</v>
      </c>
      <c r="H22" s="60">
        <f t="shared" si="17"/>
        <v>18</v>
      </c>
      <c r="I22" s="60">
        <f t="shared" si="18"/>
        <v>27</v>
      </c>
      <c r="J22" s="60">
        <f t="shared" si="19"/>
        <v>33</v>
      </c>
      <c r="K22" s="60" t="str">
        <f>IFERROR(VLOOKUP(MID(F22,I22,J22-I22),[6]skilldef!$C:$D,2,FALSE),"-") &amp; " / " &amp; IFERROR(VLOOKUP(MID(F22,G22,H22-G22),[6]skilldef!$A:$B,2,FALSE),"-")</f>
        <v>自分自身に / 攻撃頻度がUP</v>
      </c>
      <c r="L22" s="60" t="str">
        <f t="shared" si="20"/>
        <v>none</v>
      </c>
      <c r="M22" s="45" t="str">
        <f t="shared" si="21"/>
        <v>none</v>
      </c>
      <c r="N22" s="60" t="e">
        <f t="shared" si="7"/>
        <v>#VALUE!</v>
      </c>
      <c r="O22" s="60">
        <f t="shared" si="22"/>
        <v>4</v>
      </c>
      <c r="P22" s="60" t="e">
        <f t="shared" si="23"/>
        <v>#VALUE!</v>
      </c>
      <c r="Q22" s="60" t="e">
        <f t="shared" si="24"/>
        <v>#VALUE!</v>
      </c>
      <c r="R22" s="60" t="str">
        <f>IFERROR(VLOOKUP(MID(M22,P22,Q22-P22),[6]skilldef!$C:$D,2,FALSE),"-") &amp; " / " &amp; IFERROR(VLOOKUP(MID(M22,N22,O22-N22),[6]skilldef!$A:$B,2,FALSE),"-")</f>
        <v>- / -</v>
      </c>
      <c r="S22" s="45" t="str">
        <f t="shared" si="25"/>
        <v>none</v>
      </c>
      <c r="T22" s="60" t="e">
        <f t="shared" si="12"/>
        <v>#VALUE!</v>
      </c>
      <c r="U22" s="60">
        <f t="shared" si="26"/>
        <v>4</v>
      </c>
      <c r="V22" s="60" t="e">
        <f t="shared" si="27"/>
        <v>#VALUE!</v>
      </c>
      <c r="W22" s="60" t="e">
        <f t="shared" si="28"/>
        <v>#VALUE!</v>
      </c>
      <c r="X22" s="60" t="str">
        <f>IFERROR(VLOOKUP(MID(S22,V22,W22-V22),[6]skilldef!$C:$D,2,FALSE),"-") &amp; " / " &amp; IFERROR(VLOOKUP(MID(S22,T22,U22-T22),[6]skilldef!$A:$B,2,FALSE),"-")</f>
        <v>- / -</v>
      </c>
      <c r="Y22" s="48" t="s">
        <v>216</v>
      </c>
      <c r="Z22" s="47"/>
      <c r="AA22" s="49"/>
      <c r="AB22" s="47"/>
    </row>
    <row r="23" spans="1:28" ht="21" customHeight="1" x14ac:dyDescent="0.15">
      <c r="A23" s="44">
        <v>30018022</v>
      </c>
      <c r="B23" s="44" t="s">
        <v>196</v>
      </c>
      <c r="C23" s="47">
        <v>3</v>
      </c>
      <c r="D23" s="47" t="s">
        <v>127</v>
      </c>
      <c r="E23" s="48" t="s">
        <v>236</v>
      </c>
      <c r="F23" s="60" t="str">
        <f t="shared" si="16"/>
        <v>[effect:rush, count:8, val:0.2]</v>
      </c>
      <c r="G23" s="60">
        <f t="shared" si="1"/>
        <v>9</v>
      </c>
      <c r="H23" s="60">
        <f t="shared" si="17"/>
        <v>13</v>
      </c>
      <c r="I23" s="60" t="e">
        <f t="shared" si="18"/>
        <v>#VALUE!</v>
      </c>
      <c r="J23" s="60">
        <f t="shared" si="19"/>
        <v>22</v>
      </c>
      <c r="K23" s="60" t="str">
        <f>IFERROR(VLOOKUP(MID(F23,I23,J23-I23),[6]skilldef!$C:$D,2,FALSE),"-") &amp; " / " &amp; IFERROR(VLOOKUP(MID(F23,G23,H23-G23),[6]skilldef!$A:$B,2,FALSE),"-")</f>
        <v>- / 連続攻撃</v>
      </c>
      <c r="L23" s="60" t="str">
        <f t="shared" si="20"/>
        <v>none</v>
      </c>
      <c r="M23" s="45" t="str">
        <f t="shared" si="21"/>
        <v>none</v>
      </c>
      <c r="N23" s="60" t="e">
        <f t="shared" si="7"/>
        <v>#VALUE!</v>
      </c>
      <c r="O23" s="60">
        <f t="shared" si="22"/>
        <v>4</v>
      </c>
      <c r="P23" s="60" t="e">
        <f t="shared" si="23"/>
        <v>#VALUE!</v>
      </c>
      <c r="Q23" s="60" t="e">
        <f t="shared" si="24"/>
        <v>#VALUE!</v>
      </c>
      <c r="R23" s="60" t="str">
        <f>IFERROR(VLOOKUP(MID(M23,P23,Q23-P23),[6]skilldef!$C:$D,2,FALSE),"-") &amp; " / " &amp; IFERROR(VLOOKUP(MID(M23,N23,O23-N23),[6]skilldef!$A:$B,2,FALSE),"-")</f>
        <v>- / -</v>
      </c>
      <c r="S23" s="45" t="str">
        <f t="shared" si="25"/>
        <v>none</v>
      </c>
      <c r="T23" s="60" t="e">
        <f t="shared" si="12"/>
        <v>#VALUE!</v>
      </c>
      <c r="U23" s="60">
        <f t="shared" si="26"/>
        <v>4</v>
      </c>
      <c r="V23" s="60" t="e">
        <f t="shared" si="27"/>
        <v>#VALUE!</v>
      </c>
      <c r="W23" s="60" t="e">
        <f t="shared" si="28"/>
        <v>#VALUE!</v>
      </c>
      <c r="X23" s="60" t="str">
        <f>IFERROR(VLOOKUP(MID(S23,V23,W23-V23),[6]skilldef!$C:$D,2,FALSE),"-") &amp; " / " &amp; IFERROR(VLOOKUP(MID(S23,T23,U23-T23),[6]skilldef!$A:$B,2,FALSE),"-")</f>
        <v>- / -</v>
      </c>
      <c r="Y23" s="48" t="s">
        <v>212</v>
      </c>
      <c r="Z23" s="47"/>
      <c r="AA23" s="49"/>
      <c r="AB23" s="47"/>
    </row>
    <row r="24" spans="1:28" ht="21" customHeight="1" x14ac:dyDescent="0.15">
      <c r="A24" s="44">
        <v>30018023</v>
      </c>
      <c r="B24" s="44" t="s">
        <v>207</v>
      </c>
      <c r="C24" s="47">
        <v>3</v>
      </c>
      <c r="D24" s="47" t="s">
        <v>127</v>
      </c>
      <c r="E24" s="48" t="s">
        <v>239</v>
      </c>
      <c r="F24" s="60" t="str">
        <f t="shared" si="16"/>
        <v>[effect:heal, target:enemy_one, val:0.2, animation:enemy_heal]</v>
      </c>
      <c r="G24" s="60">
        <f t="shared" si="1"/>
        <v>9</v>
      </c>
      <c r="H24" s="60">
        <f t="shared" si="17"/>
        <v>13</v>
      </c>
      <c r="I24" s="60">
        <f t="shared" si="18"/>
        <v>22</v>
      </c>
      <c r="J24" s="60">
        <f t="shared" si="19"/>
        <v>31</v>
      </c>
      <c r="K24" s="60" t="str">
        <f>IFERROR(VLOOKUP(MID(F24,I24,J24-I24),[6]skilldef!$C:$D,2,FALSE),"-") &amp; " / " &amp; IFERROR(VLOOKUP(MID(F24,G24,H24-G24),[6]skilldef!$A:$B,2,FALSE),"-")</f>
        <v>敵単体に / 回復</v>
      </c>
      <c r="L24" s="60" t="str">
        <f t="shared" si="20"/>
        <v>none</v>
      </c>
      <c r="M24" s="45" t="str">
        <f>IFERROR(LEFT(L24,FIND("],",L24)+#REF!),L24)</f>
        <v>none</v>
      </c>
      <c r="N24" s="60" t="e">
        <f t="shared" si="7"/>
        <v>#VALUE!</v>
      </c>
      <c r="O24" s="60">
        <f t="shared" si="22"/>
        <v>4</v>
      </c>
      <c r="P24" s="60" t="e">
        <f t="shared" si="23"/>
        <v>#VALUE!</v>
      </c>
      <c r="Q24" s="60" t="e">
        <f t="shared" si="24"/>
        <v>#VALUE!</v>
      </c>
      <c r="R24" s="60" t="str">
        <f>IFERROR(VLOOKUP(MID(M24,P24,Q24-P24),[6]skilldef!$C:$D,2,FALSE),"-") &amp; " / " &amp; IFERROR(VLOOKUP(MID(M24,N24,O24-N24),[6]skilldef!$A:$B,2,FALSE),"-")</f>
        <v>- / -</v>
      </c>
      <c r="S24" s="45" t="str">
        <f t="shared" si="25"/>
        <v>none</v>
      </c>
      <c r="T24" s="60" t="e">
        <f t="shared" si="12"/>
        <v>#VALUE!</v>
      </c>
      <c r="U24" s="60">
        <f t="shared" si="26"/>
        <v>4</v>
      </c>
      <c r="V24" s="60" t="e">
        <f t="shared" si="27"/>
        <v>#VALUE!</v>
      </c>
      <c r="W24" s="60" t="e">
        <f t="shared" si="28"/>
        <v>#VALUE!</v>
      </c>
      <c r="X24" s="60" t="str">
        <f>IFERROR(VLOOKUP(MID(S24,V24,W24-V24),[6]skilldef!$C:$D,2,FALSE),"-") &amp; " / " &amp; IFERROR(VLOOKUP(MID(S24,T24,U24-T24),[6]skilldef!$A:$B,2,FALSE),"-")</f>
        <v>- / -</v>
      </c>
      <c r="Y24" s="48" t="s">
        <v>214</v>
      </c>
      <c r="Z24" s="47"/>
      <c r="AA24" s="49"/>
      <c r="AB24" s="47"/>
    </row>
    <row r="25" spans="1:28" ht="21" customHeight="1" x14ac:dyDescent="0.15">
      <c r="A25" s="44">
        <v>30018024</v>
      </c>
      <c r="B25" s="44" t="s">
        <v>193</v>
      </c>
      <c r="C25" s="47">
        <v>3</v>
      </c>
      <c r="D25" s="47" t="s">
        <v>127</v>
      </c>
      <c r="E25" s="48" t="s">
        <v>190</v>
      </c>
      <c r="F25" s="60" t="str">
        <f t="shared" si="16"/>
        <v>[effect:nothing]</v>
      </c>
      <c r="G25" s="60">
        <f t="shared" si="1"/>
        <v>9</v>
      </c>
      <c r="H25" s="60">
        <f t="shared" si="17"/>
        <v>16</v>
      </c>
      <c r="I25" s="60" t="e">
        <f t="shared" si="18"/>
        <v>#VALUE!</v>
      </c>
      <c r="J25" s="60" t="e">
        <f t="shared" si="19"/>
        <v>#VALUE!</v>
      </c>
      <c r="K25" s="60" t="str">
        <f>IFERROR(VLOOKUP(MID(F25,I25,J25-I25),[6]skilldef!$C:$D,2,FALSE),"-") &amp; " / " &amp; IFERROR(VLOOKUP(MID(F25,G25,H25-G25),[6]skilldef!$A:$B,2,FALSE),"-")</f>
        <v>- / 何もしない</v>
      </c>
      <c r="L25" s="60" t="str">
        <f t="shared" si="20"/>
        <v>none</v>
      </c>
      <c r="M25" s="45" t="str">
        <f>IFERROR(LEFT(L25,FIND("],",L25)+#REF!),L25)</f>
        <v>none</v>
      </c>
      <c r="N25" s="60" t="e">
        <f t="shared" si="7"/>
        <v>#VALUE!</v>
      </c>
      <c r="O25" s="60">
        <f t="shared" si="22"/>
        <v>4</v>
      </c>
      <c r="P25" s="60" t="e">
        <f t="shared" si="23"/>
        <v>#VALUE!</v>
      </c>
      <c r="Q25" s="60" t="e">
        <f t="shared" si="24"/>
        <v>#VALUE!</v>
      </c>
      <c r="R25" s="60" t="str">
        <f>IFERROR(VLOOKUP(MID(M25,P25,Q25-P25),[6]skilldef!$C:$D,2,FALSE),"-") &amp; " / " &amp; IFERROR(VLOOKUP(MID(M25,N25,O25-N25),[6]skilldef!$A:$B,2,FALSE),"-")</f>
        <v>- / -</v>
      </c>
      <c r="S25" s="45" t="str">
        <f t="shared" si="25"/>
        <v>none</v>
      </c>
      <c r="T25" s="60" t="e">
        <f t="shared" si="12"/>
        <v>#VALUE!</v>
      </c>
      <c r="U25" s="60">
        <f t="shared" si="26"/>
        <v>4</v>
      </c>
      <c r="V25" s="60" t="e">
        <f t="shared" si="27"/>
        <v>#VALUE!</v>
      </c>
      <c r="W25" s="60" t="e">
        <f t="shared" si="28"/>
        <v>#VALUE!</v>
      </c>
      <c r="X25" s="60" t="str">
        <f>IFERROR(VLOOKUP(MID(S25,V25,W25-V25),[6]skilldef!$C:$D,2,FALSE),"-") &amp; " / " &amp; IFERROR(VLOOKUP(MID(S25,T25,U25-T25),[6]skilldef!$A:$B,2,FALSE),"-")</f>
        <v>- / -</v>
      </c>
      <c r="Y25" s="48" t="s">
        <v>190</v>
      </c>
      <c r="Z25" s="47"/>
      <c r="AA25" s="49"/>
      <c r="AB25" s="47"/>
    </row>
    <row r="26" spans="1:28" ht="21" customHeight="1" x14ac:dyDescent="0.15">
      <c r="A26" s="44">
        <v>30018025</v>
      </c>
      <c r="B26" s="44" t="s">
        <v>193</v>
      </c>
      <c r="C26" s="47">
        <v>3</v>
      </c>
      <c r="D26" s="47" t="s">
        <v>127</v>
      </c>
      <c r="E26" s="48" t="s">
        <v>190</v>
      </c>
      <c r="F26" s="60" t="str">
        <f t="shared" si="16"/>
        <v>[effect:nothing]</v>
      </c>
      <c r="G26" s="60">
        <f t="shared" si="1"/>
        <v>9</v>
      </c>
      <c r="H26" s="60">
        <f t="shared" si="17"/>
        <v>16</v>
      </c>
      <c r="I26" s="60" t="e">
        <f t="shared" si="18"/>
        <v>#VALUE!</v>
      </c>
      <c r="J26" s="60" t="e">
        <f t="shared" si="19"/>
        <v>#VALUE!</v>
      </c>
      <c r="K26" s="60" t="str">
        <f>IFERROR(VLOOKUP(MID(F26,I26,J26-I26),[6]skilldef!$C:$D,2,FALSE),"-") &amp; " / " &amp; IFERROR(VLOOKUP(MID(F26,G26,H26-G26),[6]skilldef!$A:$B,2,FALSE),"-")</f>
        <v>- / 何もしない</v>
      </c>
      <c r="L26" s="60" t="str">
        <f t="shared" si="20"/>
        <v>none</v>
      </c>
      <c r="M26" s="45" t="str">
        <f t="shared" ref="M26:M33" si="29">IFERROR(LEFT(L26,FIND("],",L26)+R34),L26)</f>
        <v>none</v>
      </c>
      <c r="N26" s="60" t="e">
        <f t="shared" si="7"/>
        <v>#VALUE!</v>
      </c>
      <c r="O26" s="60">
        <f t="shared" si="22"/>
        <v>4</v>
      </c>
      <c r="P26" s="60" t="e">
        <f t="shared" si="23"/>
        <v>#VALUE!</v>
      </c>
      <c r="Q26" s="60" t="e">
        <f t="shared" si="24"/>
        <v>#VALUE!</v>
      </c>
      <c r="R26" s="60" t="str">
        <f>IFERROR(VLOOKUP(MID(M26,P26,Q26-P26),[6]skilldef!$C:$D,2,FALSE),"-") &amp; " / " &amp; IFERROR(VLOOKUP(MID(M26,N26,O26-N26),[6]skilldef!$A:$B,2,FALSE),"-")</f>
        <v>- / -</v>
      </c>
      <c r="S26" s="45" t="str">
        <f t="shared" si="25"/>
        <v>none</v>
      </c>
      <c r="T26" s="60" t="e">
        <f t="shared" si="12"/>
        <v>#VALUE!</v>
      </c>
      <c r="U26" s="60">
        <f t="shared" si="26"/>
        <v>4</v>
      </c>
      <c r="V26" s="60" t="e">
        <f t="shared" si="27"/>
        <v>#VALUE!</v>
      </c>
      <c r="W26" s="60" t="e">
        <f t="shared" si="28"/>
        <v>#VALUE!</v>
      </c>
      <c r="X26" s="60" t="str">
        <f>IFERROR(VLOOKUP(MID(S26,V26,W26-V26),[6]skilldef!$C:$D,2,FALSE),"-") &amp; " / " &amp; IFERROR(VLOOKUP(MID(S26,T26,U26-T26),[6]skilldef!$A:$B,2,FALSE),"-")</f>
        <v>- / -</v>
      </c>
      <c r="Y26" s="48" t="s">
        <v>190</v>
      </c>
      <c r="Z26" s="47"/>
      <c r="AA26" s="49"/>
      <c r="AB26" s="47"/>
    </row>
    <row r="27" spans="1:28" ht="21" customHeight="1" x14ac:dyDescent="0.15">
      <c r="A27" s="44">
        <v>30018026</v>
      </c>
      <c r="B27" s="44" t="s">
        <v>193</v>
      </c>
      <c r="C27" s="47">
        <v>3</v>
      </c>
      <c r="D27" s="47" t="s">
        <v>127</v>
      </c>
      <c r="E27" s="48" t="s">
        <v>191</v>
      </c>
      <c r="F27" s="60" t="str">
        <f t="shared" si="16"/>
        <v>[effect:nothing]</v>
      </c>
      <c r="G27" s="60">
        <f t="shared" si="1"/>
        <v>9</v>
      </c>
      <c r="H27" s="60">
        <f t="shared" si="17"/>
        <v>16</v>
      </c>
      <c r="I27" s="60" t="e">
        <f t="shared" si="18"/>
        <v>#VALUE!</v>
      </c>
      <c r="J27" s="60" t="e">
        <f t="shared" si="19"/>
        <v>#VALUE!</v>
      </c>
      <c r="K27" s="60" t="str">
        <f>IFERROR(VLOOKUP(MID(F27,I27,J27-I27),[6]skilldef!$C:$D,2,FALSE),"-") &amp; " / " &amp; IFERROR(VLOOKUP(MID(F27,G27,H27-G27),[6]skilldef!$A:$B,2,FALSE),"-")</f>
        <v>- / 何もしない</v>
      </c>
      <c r="L27" s="60" t="str">
        <f t="shared" si="20"/>
        <v>none</v>
      </c>
      <c r="M27" s="45" t="str">
        <f t="shared" si="29"/>
        <v>none</v>
      </c>
      <c r="N27" s="60" t="e">
        <f t="shared" si="7"/>
        <v>#VALUE!</v>
      </c>
      <c r="O27" s="60">
        <f t="shared" si="22"/>
        <v>4</v>
      </c>
      <c r="P27" s="60" t="e">
        <f t="shared" si="23"/>
        <v>#VALUE!</v>
      </c>
      <c r="Q27" s="60" t="e">
        <f t="shared" si="24"/>
        <v>#VALUE!</v>
      </c>
      <c r="R27" s="60" t="str">
        <f>IFERROR(VLOOKUP(MID(M27,P27,Q27-P27),[6]skilldef!$C:$D,2,FALSE),"-") &amp; " / " &amp; IFERROR(VLOOKUP(MID(M27,N27,O27-N27),[6]skilldef!$A:$B,2,FALSE),"-")</f>
        <v>- / -</v>
      </c>
      <c r="S27" s="45" t="str">
        <f t="shared" si="25"/>
        <v>none</v>
      </c>
      <c r="T27" s="60" t="e">
        <f t="shared" si="12"/>
        <v>#VALUE!</v>
      </c>
      <c r="U27" s="60">
        <f t="shared" si="26"/>
        <v>4</v>
      </c>
      <c r="V27" s="60" t="e">
        <f t="shared" si="27"/>
        <v>#VALUE!</v>
      </c>
      <c r="W27" s="60" t="e">
        <f t="shared" si="28"/>
        <v>#VALUE!</v>
      </c>
      <c r="X27" s="60" t="str">
        <f>IFERROR(VLOOKUP(MID(S27,V27,W27-V27),[6]skilldef!$C:$D,2,FALSE),"-") &amp; " / " &amp; IFERROR(VLOOKUP(MID(S27,T27,U27-T27),[6]skilldef!$A:$B,2,FALSE),"-")</f>
        <v>- / -</v>
      </c>
      <c r="Y27" s="48" t="s">
        <v>191</v>
      </c>
      <c r="Z27" s="47"/>
      <c r="AA27" s="49"/>
      <c r="AB27" s="47"/>
    </row>
    <row r="28" spans="1:28" ht="21" customHeight="1" x14ac:dyDescent="0.15">
      <c r="A28" s="44">
        <v>30018027</v>
      </c>
      <c r="B28" s="44" t="s">
        <v>197</v>
      </c>
      <c r="C28" s="47">
        <v>3</v>
      </c>
      <c r="D28" s="47" t="s">
        <v>127</v>
      </c>
      <c r="E28" s="48" t="s">
        <v>237</v>
      </c>
      <c r="F28" s="60" t="str">
        <f t="shared" si="16"/>
        <v>[effect:virus, turn:-1, rate:1.0, val:0.1, animation:virus03]</v>
      </c>
      <c r="G28" s="60">
        <f t="shared" si="1"/>
        <v>9</v>
      </c>
      <c r="H28" s="60">
        <f t="shared" si="17"/>
        <v>14</v>
      </c>
      <c r="I28" s="60" t="e">
        <f t="shared" si="18"/>
        <v>#VALUE!</v>
      </c>
      <c r="J28" s="60">
        <f t="shared" si="19"/>
        <v>23</v>
      </c>
      <c r="K28" s="60" t="str">
        <f>IFERROR(VLOOKUP(MID(F28,I28,J28-I28),[6]skilldef!$C:$D,2,FALSE),"-") &amp; " / " &amp; IFERROR(VLOOKUP(MID(F28,G28,H28-G28),[6]skilldef!$A:$B,2,FALSE),"-")</f>
        <v>- / ウィルス</v>
      </c>
      <c r="L28" s="60" t="str">
        <f t="shared" si="20"/>
        <v>none</v>
      </c>
      <c r="M28" s="45" t="str">
        <f t="shared" si="29"/>
        <v>none</v>
      </c>
      <c r="N28" s="60" t="e">
        <f t="shared" si="7"/>
        <v>#VALUE!</v>
      </c>
      <c r="O28" s="60">
        <f t="shared" si="22"/>
        <v>4</v>
      </c>
      <c r="P28" s="60" t="e">
        <f t="shared" si="23"/>
        <v>#VALUE!</v>
      </c>
      <c r="Q28" s="60" t="e">
        <f t="shared" si="24"/>
        <v>#VALUE!</v>
      </c>
      <c r="R28" s="60" t="str">
        <f>IFERROR(VLOOKUP(MID(M28,P28,Q28-P28),[6]skilldef!$C:$D,2,FALSE),"-") &amp; " / " &amp; IFERROR(VLOOKUP(MID(M28,N28,O28-N28),[6]skilldef!$A:$B,2,FALSE),"-")</f>
        <v>- / -</v>
      </c>
      <c r="S28" s="45" t="str">
        <f t="shared" si="25"/>
        <v>none</v>
      </c>
      <c r="T28" s="60" t="e">
        <f t="shared" si="12"/>
        <v>#VALUE!</v>
      </c>
      <c r="U28" s="60">
        <f t="shared" si="26"/>
        <v>4</v>
      </c>
      <c r="V28" s="60" t="e">
        <f t="shared" si="27"/>
        <v>#VALUE!</v>
      </c>
      <c r="W28" s="60" t="e">
        <f t="shared" si="28"/>
        <v>#VALUE!</v>
      </c>
      <c r="X28" s="60" t="str">
        <f>IFERROR(VLOOKUP(MID(S28,V28,W28-V28),[6]skilldef!$C:$D,2,FALSE),"-") &amp; " / " &amp; IFERROR(VLOOKUP(MID(S28,T28,U28-T28),[6]skilldef!$A:$B,2,FALSE),"-")</f>
        <v>- / -</v>
      </c>
      <c r="Y28" s="48" t="s">
        <v>238</v>
      </c>
      <c r="Z28" s="47"/>
      <c r="AA28" s="49"/>
      <c r="AB28" s="47"/>
    </row>
    <row r="29" spans="1:28" ht="21" customHeight="1" x14ac:dyDescent="0.15">
      <c r="A29" s="44">
        <v>30018028</v>
      </c>
      <c r="B29" s="44" t="s">
        <v>198</v>
      </c>
      <c r="C29" s="47">
        <v>3</v>
      </c>
      <c r="D29" s="47" t="s">
        <v>127</v>
      </c>
      <c r="E29" s="48" t="s">
        <v>240</v>
      </c>
      <c r="F29" s="60" t="str">
        <f t="shared" si="16"/>
        <v>[effect:damage_anti_tribe, target:unit_all, tribe:animal, val1:1.5, val2:0.1]</v>
      </c>
      <c r="G29" s="60">
        <f t="shared" si="1"/>
        <v>9</v>
      </c>
      <c r="H29" s="60">
        <f t="shared" si="17"/>
        <v>26</v>
      </c>
      <c r="I29" s="60">
        <f t="shared" si="18"/>
        <v>35</v>
      </c>
      <c r="J29" s="60">
        <f t="shared" si="19"/>
        <v>43</v>
      </c>
      <c r="K29" s="60" t="str">
        <f>IFERROR(VLOOKUP(MID(F29,I29,J29-I29),[6]skilldef!$C:$D,2,FALSE),"-") &amp; " / " &amp; IFERROR(VLOOKUP(MID(F29,G29,H29-G29),[6]skilldef!$A:$B,2,FALSE),"-")</f>
        <v>味方全体に / 種族キラー</v>
      </c>
      <c r="L29" s="60" t="str">
        <f t="shared" si="20"/>
        <v>none</v>
      </c>
      <c r="M29" s="45" t="str">
        <f t="shared" si="29"/>
        <v>none</v>
      </c>
      <c r="N29" s="60" t="e">
        <f t="shared" si="7"/>
        <v>#VALUE!</v>
      </c>
      <c r="O29" s="60">
        <f t="shared" si="22"/>
        <v>4</v>
      </c>
      <c r="P29" s="60" t="e">
        <f t="shared" si="23"/>
        <v>#VALUE!</v>
      </c>
      <c r="Q29" s="60" t="e">
        <f t="shared" si="24"/>
        <v>#VALUE!</v>
      </c>
      <c r="R29" s="60" t="str">
        <f>IFERROR(VLOOKUP(MID(M29,P29,Q29-P29),[6]skilldef!$C:$D,2,FALSE),"-") &amp; " / " &amp; IFERROR(VLOOKUP(MID(M29,N29,O29-N29),[6]skilldef!$A:$B,2,FALSE),"-")</f>
        <v>- / -</v>
      </c>
      <c r="S29" s="45" t="str">
        <f t="shared" si="25"/>
        <v>none</v>
      </c>
      <c r="T29" s="60" t="e">
        <f t="shared" si="12"/>
        <v>#VALUE!</v>
      </c>
      <c r="U29" s="60">
        <f t="shared" si="26"/>
        <v>4</v>
      </c>
      <c r="V29" s="60" t="e">
        <f t="shared" si="27"/>
        <v>#VALUE!</v>
      </c>
      <c r="W29" s="60" t="e">
        <f t="shared" si="28"/>
        <v>#VALUE!</v>
      </c>
      <c r="X29" s="60" t="str">
        <f>IFERROR(VLOOKUP(MID(S29,V29,W29-V29),[6]skilldef!$C:$D,2,FALSE),"-") &amp; " / " &amp; IFERROR(VLOOKUP(MID(S29,T29,U29-T29),[6]skilldef!$A:$B,2,FALSE),"-")</f>
        <v>- / -</v>
      </c>
      <c r="Y29" s="48" t="s">
        <v>217</v>
      </c>
      <c r="Z29" s="47"/>
      <c r="AA29" s="49"/>
      <c r="AB29" s="47"/>
    </row>
    <row r="30" spans="1:28" ht="21" customHeight="1" x14ac:dyDescent="0.15">
      <c r="A30" s="44">
        <v>30018029</v>
      </c>
      <c r="B30" s="44" t="s">
        <v>195</v>
      </c>
      <c r="C30" s="47">
        <v>3</v>
      </c>
      <c r="D30" s="47" t="s">
        <v>127</v>
      </c>
      <c r="E30" s="48" t="s">
        <v>241</v>
      </c>
      <c r="F30" s="60" t="str">
        <f t="shared" si="16"/>
        <v>[effect:enhance_enemy, target:myself, turn:5, status:defense, val:3000.0, animation:enemy_enhance_defense]</v>
      </c>
      <c r="G30" s="60">
        <f t="shared" si="1"/>
        <v>9</v>
      </c>
      <c r="H30" s="60">
        <f t="shared" si="17"/>
        <v>22</v>
      </c>
      <c r="I30" s="60">
        <f t="shared" si="18"/>
        <v>31</v>
      </c>
      <c r="J30" s="60">
        <f t="shared" si="19"/>
        <v>37</v>
      </c>
      <c r="K30" s="60" t="str">
        <f>IFERROR(VLOOKUP(MID(F30,I30,J30-I30),[6]skilldef!$C:$D,2,FALSE),"-") &amp; " / " &amp; IFERROR(VLOOKUP(MID(F30,G30,H30-G30),[6]skilldef!$A:$B,2,FALSE),"-")</f>
        <v>自分自身に / ステータス強化</v>
      </c>
      <c r="L30" s="60" t="str">
        <f t="shared" si="20"/>
        <v>none</v>
      </c>
      <c r="M30" s="45" t="str">
        <f t="shared" si="29"/>
        <v>none</v>
      </c>
      <c r="N30" s="60" t="e">
        <f t="shared" si="7"/>
        <v>#VALUE!</v>
      </c>
      <c r="O30" s="60">
        <f t="shared" si="22"/>
        <v>4</v>
      </c>
      <c r="P30" s="60" t="e">
        <f t="shared" si="23"/>
        <v>#VALUE!</v>
      </c>
      <c r="Q30" s="60" t="e">
        <f t="shared" si="24"/>
        <v>#VALUE!</v>
      </c>
      <c r="R30" s="60" t="str">
        <f>IFERROR(VLOOKUP(MID(M30,P30,Q30-P30),[6]skilldef!$C:$D,2,FALSE),"-") &amp; " / " &amp; IFERROR(VLOOKUP(MID(M30,N30,O30-N30),[6]skilldef!$A:$B,2,FALSE),"-")</f>
        <v>- / -</v>
      </c>
      <c r="S30" s="45" t="str">
        <f t="shared" si="25"/>
        <v>none</v>
      </c>
      <c r="T30" s="60" t="e">
        <f t="shared" si="12"/>
        <v>#VALUE!</v>
      </c>
      <c r="U30" s="60">
        <f t="shared" si="26"/>
        <v>4</v>
      </c>
      <c r="V30" s="60" t="e">
        <f t="shared" si="27"/>
        <v>#VALUE!</v>
      </c>
      <c r="W30" s="60" t="e">
        <f t="shared" si="28"/>
        <v>#VALUE!</v>
      </c>
      <c r="X30" s="60" t="str">
        <f>IFERROR(VLOOKUP(MID(S30,V30,W30-V30),[6]skilldef!$C:$D,2,FALSE),"-") &amp; " / " &amp; IFERROR(VLOOKUP(MID(S30,T30,U30-T30),[6]skilldef!$A:$B,2,FALSE),"-")</f>
        <v>- / -</v>
      </c>
      <c r="Y30" s="48" t="s">
        <v>285</v>
      </c>
      <c r="Z30" s="47"/>
      <c r="AA30" s="49"/>
      <c r="AB30" s="47"/>
    </row>
    <row r="31" spans="1:28" ht="21" customHeight="1" x14ac:dyDescent="0.15">
      <c r="A31" s="44">
        <v>30018030</v>
      </c>
      <c r="B31" s="44" t="s">
        <v>199</v>
      </c>
      <c r="C31" s="47">
        <v>3</v>
      </c>
      <c r="D31" s="47" t="s">
        <v>127</v>
      </c>
      <c r="E31" s="48" t="s">
        <v>242</v>
      </c>
      <c r="F31" s="60" t="str">
        <f t="shared" ref="F31:F33" si="30">IFERROR(LEFT(B31,FIND("],",B31)),B31)</f>
        <v>[effect:charge, status:attack, val:10.0]</v>
      </c>
      <c r="G31" s="60">
        <f t="shared" si="1"/>
        <v>9</v>
      </c>
      <c r="H31" s="60">
        <f t="shared" ref="H31:H33" si="31">IFERROR(FIND(",",F31),LEN(F31))</f>
        <v>15</v>
      </c>
      <c r="I31" s="60" t="e">
        <f t="shared" ref="I31:I33" si="32">FIND("target:",F31)+7</f>
        <v>#VALUE!</v>
      </c>
      <c r="J31" s="60">
        <f t="shared" ref="J31:J33" si="33">FIND(",",F31,H31+1)</f>
        <v>30</v>
      </c>
      <c r="K31" s="60" t="str">
        <f>IFERROR(VLOOKUP(MID(F31,I31,J31-I31),[6]skilldef!$C:$D,2,FALSE),"-") &amp; " / " &amp; IFERROR(VLOOKUP(MID(F31,G31,H31-G31),[6]skilldef!$A:$B,2,FALSE),"-")</f>
        <v>- / 溜め</v>
      </c>
      <c r="L31" s="60" t="str">
        <f t="shared" ref="L31:L33" si="34">IFERROR(RIGHT(B31,LEN(B31)-FIND("],",B31)-1),"none")</f>
        <v>none</v>
      </c>
      <c r="M31" s="45" t="str">
        <f t="shared" si="29"/>
        <v>none</v>
      </c>
      <c r="N31" s="60" t="e">
        <f t="shared" si="7"/>
        <v>#VALUE!</v>
      </c>
      <c r="O31" s="60">
        <f t="shared" ref="O31:O33" si="35">IFERROR(FIND(",",M31),LEN(M31))</f>
        <v>4</v>
      </c>
      <c r="P31" s="60" t="e">
        <f t="shared" ref="P31:P33" si="36">FIND("target:",M31)+7</f>
        <v>#VALUE!</v>
      </c>
      <c r="Q31" s="60" t="e">
        <f t="shared" ref="Q31:Q33" si="37">FIND(",",M31,O31+1)</f>
        <v>#VALUE!</v>
      </c>
      <c r="R31" s="60" t="str">
        <f>IFERROR(VLOOKUP(MID(M31,P31,Q31-P31),[6]skilldef!$C:$D,2,FALSE),"-") &amp; " / " &amp; IFERROR(VLOOKUP(MID(M31,N31,O31-N31),[6]skilldef!$A:$B,2,FALSE),"-")</f>
        <v>- / -</v>
      </c>
      <c r="S31" s="45" t="str">
        <f t="shared" ref="S31:S33" si="38">IFERROR(RIGHT(L31,LEN(L31)-FIND("],",L31)-1),"none")</f>
        <v>none</v>
      </c>
      <c r="T31" s="60" t="e">
        <f t="shared" si="12"/>
        <v>#VALUE!</v>
      </c>
      <c r="U31" s="60">
        <f t="shared" ref="U31:U33" si="39">IFERROR(FIND(",",S31),LEN(S31))</f>
        <v>4</v>
      </c>
      <c r="V31" s="60" t="e">
        <f t="shared" ref="V31:V33" si="40">FIND("target:",S31)+7</f>
        <v>#VALUE!</v>
      </c>
      <c r="W31" s="60" t="e">
        <f t="shared" ref="W31:W33" si="41">FIND(",",S31,U31+1)</f>
        <v>#VALUE!</v>
      </c>
      <c r="X31" s="60" t="str">
        <f>IFERROR(VLOOKUP(MID(S31,V31,W31-V31),[6]skilldef!$C:$D,2,FALSE),"-") &amp; " / " &amp; IFERROR(VLOOKUP(MID(S31,T31,U31-T31),[6]skilldef!$A:$B,2,FALSE),"-")</f>
        <v>- / -</v>
      </c>
      <c r="Y31" s="48" t="s">
        <v>284</v>
      </c>
      <c r="Z31" s="47"/>
      <c r="AA31" s="49"/>
      <c r="AB31" s="47"/>
    </row>
    <row r="32" spans="1:28" ht="21" customHeight="1" x14ac:dyDescent="0.15">
      <c r="A32" s="44">
        <v>30018031</v>
      </c>
      <c r="B32" s="44" t="s">
        <v>281</v>
      </c>
      <c r="C32" s="47">
        <v>3</v>
      </c>
      <c r="D32" s="47" t="s">
        <v>127</v>
      </c>
      <c r="E32" s="48" t="s">
        <v>279</v>
      </c>
      <c r="F32" s="60" t="str">
        <f t="shared" si="30"/>
        <v>[effect:freq_turn, target:myself, turn:-1, val:1, animation:enemy_freq_turn]</v>
      </c>
      <c r="G32" s="60">
        <f t="shared" si="1"/>
        <v>9</v>
      </c>
      <c r="H32" s="60">
        <f t="shared" si="31"/>
        <v>18</v>
      </c>
      <c r="I32" s="60">
        <f t="shared" si="32"/>
        <v>27</v>
      </c>
      <c r="J32" s="60">
        <f t="shared" si="33"/>
        <v>33</v>
      </c>
      <c r="K32" s="60" t="str">
        <f>IFERROR(VLOOKUP(MID(F32,I32,J32-I32),[6]skilldef!$C:$D,2,FALSE),"-") &amp; " / " &amp; IFERROR(VLOOKUP(MID(F32,G32,H32-G32),[6]skilldef!$A:$B,2,FALSE),"-")</f>
        <v>自分自身に / 攻撃頻度がUP</v>
      </c>
      <c r="L32" s="60" t="str">
        <f t="shared" si="34"/>
        <v>none</v>
      </c>
      <c r="M32" s="45" t="str">
        <f t="shared" si="29"/>
        <v>none</v>
      </c>
      <c r="N32" s="60" t="e">
        <f t="shared" si="7"/>
        <v>#VALUE!</v>
      </c>
      <c r="O32" s="60">
        <f t="shared" si="35"/>
        <v>4</v>
      </c>
      <c r="P32" s="60" t="e">
        <f t="shared" si="36"/>
        <v>#VALUE!</v>
      </c>
      <c r="Q32" s="60" t="e">
        <f t="shared" si="37"/>
        <v>#VALUE!</v>
      </c>
      <c r="R32" s="60" t="str">
        <f>IFERROR(VLOOKUP(MID(M32,P32,Q32-P32),[6]skilldef!$C:$D,2,FALSE),"-") &amp; " / " &amp; IFERROR(VLOOKUP(MID(M32,N32,O32-N32),[6]skilldef!$A:$B,2,FALSE),"-")</f>
        <v>- / -</v>
      </c>
      <c r="S32" s="45" t="str">
        <f t="shared" si="38"/>
        <v>none</v>
      </c>
      <c r="T32" s="60" t="e">
        <f t="shared" si="12"/>
        <v>#VALUE!</v>
      </c>
      <c r="U32" s="60">
        <f t="shared" si="39"/>
        <v>4</v>
      </c>
      <c r="V32" s="60" t="e">
        <f t="shared" si="40"/>
        <v>#VALUE!</v>
      </c>
      <c r="W32" s="60" t="e">
        <f t="shared" si="41"/>
        <v>#VALUE!</v>
      </c>
      <c r="X32" s="60" t="str">
        <f>IFERROR(VLOOKUP(MID(S32,V32,W32-V32),[6]skilldef!$C:$D,2,FALSE),"-") &amp; " / " &amp; IFERROR(VLOOKUP(MID(S32,T32,U32-T32),[6]skilldef!$A:$B,2,FALSE),"-")</f>
        <v>- / -</v>
      </c>
      <c r="Y32" s="48" t="s">
        <v>282</v>
      </c>
      <c r="Z32" s="47"/>
      <c r="AA32" s="49"/>
      <c r="AB32" s="47"/>
    </row>
    <row r="33" spans="1:28" ht="21" customHeight="1" x14ac:dyDescent="0.15">
      <c r="A33" s="44">
        <v>30018032</v>
      </c>
      <c r="B33" s="44" t="s">
        <v>193</v>
      </c>
      <c r="C33" s="47">
        <v>3</v>
      </c>
      <c r="D33" s="47" t="s">
        <v>127</v>
      </c>
      <c r="E33" s="48" t="s">
        <v>192</v>
      </c>
      <c r="F33" s="60" t="str">
        <f t="shared" si="30"/>
        <v>[effect:nothing]</v>
      </c>
      <c r="G33" s="60">
        <f t="shared" si="1"/>
        <v>9</v>
      </c>
      <c r="H33" s="60">
        <f t="shared" si="31"/>
        <v>16</v>
      </c>
      <c r="I33" s="60" t="e">
        <f t="shared" si="32"/>
        <v>#VALUE!</v>
      </c>
      <c r="J33" s="60" t="e">
        <f t="shared" si="33"/>
        <v>#VALUE!</v>
      </c>
      <c r="K33" s="60" t="str">
        <f>IFERROR(VLOOKUP(MID(F33,I33,J33-I33),[6]skilldef!$C:$D,2,FALSE),"-") &amp; " / " &amp; IFERROR(VLOOKUP(MID(F33,G33,H33-G33),[6]skilldef!$A:$B,2,FALSE),"-")</f>
        <v>- / 何もしない</v>
      </c>
      <c r="L33" s="60" t="str">
        <f t="shared" si="34"/>
        <v>none</v>
      </c>
      <c r="M33" s="45" t="str">
        <f t="shared" si="29"/>
        <v>none</v>
      </c>
      <c r="N33" s="60" t="e">
        <f t="shared" si="7"/>
        <v>#VALUE!</v>
      </c>
      <c r="O33" s="60">
        <f t="shared" si="35"/>
        <v>4</v>
      </c>
      <c r="P33" s="60" t="e">
        <f t="shared" si="36"/>
        <v>#VALUE!</v>
      </c>
      <c r="Q33" s="60" t="e">
        <f t="shared" si="37"/>
        <v>#VALUE!</v>
      </c>
      <c r="R33" s="60" t="str">
        <f>IFERROR(VLOOKUP(MID(M33,P33,Q33-P33),[6]skilldef!$C:$D,2,FALSE),"-") &amp; " / " &amp; IFERROR(VLOOKUP(MID(M33,N33,O33-N33),[6]skilldef!$A:$B,2,FALSE),"-")</f>
        <v>- / -</v>
      </c>
      <c r="S33" s="45" t="str">
        <f t="shared" si="38"/>
        <v>none</v>
      </c>
      <c r="T33" s="60" t="e">
        <f t="shared" si="12"/>
        <v>#VALUE!</v>
      </c>
      <c r="U33" s="60">
        <f t="shared" si="39"/>
        <v>4</v>
      </c>
      <c r="V33" s="60" t="e">
        <f t="shared" si="40"/>
        <v>#VALUE!</v>
      </c>
      <c r="W33" s="60" t="e">
        <f t="shared" si="41"/>
        <v>#VALUE!</v>
      </c>
      <c r="X33" s="60" t="str">
        <f>IFERROR(VLOOKUP(MID(S33,V33,W33-V33),[6]skilldef!$C:$D,2,FALSE),"-") &amp; " / " &amp; IFERROR(VLOOKUP(MID(S33,T33,U33-T33),[6]skilldef!$A:$B,2,FALSE),"-")</f>
        <v>- / -</v>
      </c>
      <c r="Y33" s="48" t="s">
        <v>192</v>
      </c>
      <c r="Z33" s="47"/>
      <c r="AA33" s="49"/>
      <c r="AB33" s="47"/>
    </row>
    <row r="34" spans="1:28" ht="21" customHeight="1" x14ac:dyDescent="0.15">
      <c r="A34" s="44">
        <v>30018033</v>
      </c>
      <c r="B34" s="44" t="s">
        <v>247</v>
      </c>
      <c r="C34" s="47">
        <v>3</v>
      </c>
      <c r="D34" s="47" t="s">
        <v>127</v>
      </c>
      <c r="E34" s="48" t="s">
        <v>243</v>
      </c>
      <c r="F34" s="60" t="str">
        <f t="shared" ref="F34:F37" si="42">IFERROR(LEFT(B34,FIND("],",B34)),B34)</f>
        <v>[effect:tolerance,target:myself, turn:-1, tolerance_effect:all, count:-1]</v>
      </c>
      <c r="G34" s="60">
        <f t="shared" ref="G34:G37" si="43">FIND("effect:",F34)+7</f>
        <v>9</v>
      </c>
      <c r="H34" s="60">
        <f t="shared" ref="H34:H37" si="44">IFERROR(FIND(",",F34),LEN(F34))</f>
        <v>18</v>
      </c>
      <c r="I34" s="60">
        <f t="shared" ref="I34:I37" si="45">FIND("target:",F34)+7</f>
        <v>26</v>
      </c>
      <c r="J34" s="60">
        <f t="shared" ref="J34:J37" si="46">FIND(",",F34,H34+1)</f>
        <v>32</v>
      </c>
      <c r="K34" s="60" t="str">
        <f>IFERROR(VLOOKUP(MID(F34,I34,J34-I34),[6]skilldef!$C:$D,2,FALSE),"-") &amp; " / " &amp; IFERROR(VLOOKUP(MID(F34,G34,H34-G34),[6]skilldef!$A:$B,2,FALSE),"-")</f>
        <v>自分自身に / 状態異常耐性</v>
      </c>
      <c r="L34" s="60" t="str">
        <f t="shared" ref="L34:L37" si="47">IFERROR(RIGHT(B34,LEN(B34)-FIND("],",B34)-1),"none")</f>
        <v>[effect:fix_speed,target:myself,turn:1]</v>
      </c>
      <c r="M34" s="45" t="str">
        <f t="shared" ref="M34:M37" si="48">IFERROR(LEFT(L34,FIND("],",L34)+R42),L34)</f>
        <v>[effect:fix_speed,target:myself,turn:1]</v>
      </c>
      <c r="N34" s="60">
        <f t="shared" ref="N34:N37" si="49">FIND("effect:",M34)+7</f>
        <v>9</v>
      </c>
      <c r="O34" s="60">
        <f t="shared" ref="O34:O37" si="50">IFERROR(FIND(",",M34),LEN(M34))</f>
        <v>18</v>
      </c>
      <c r="P34" s="60">
        <f t="shared" ref="P34:P37" si="51">FIND("target:",M34)+7</f>
        <v>26</v>
      </c>
      <c r="Q34" s="60">
        <f t="shared" ref="Q34:Q37" si="52">FIND(",",M34,O34+1)</f>
        <v>32</v>
      </c>
      <c r="R34" s="60" t="str">
        <f>IFERROR(VLOOKUP(MID(M34,P34,Q34-P34),[6]skilldef!$C:$D,2,FALSE),"-") &amp; " / " &amp; IFERROR(VLOOKUP(MID(M34,N34,O34-N34),[6]skilldef!$A:$B,2,FALSE),"-")</f>
        <v>自分自身に / 行動値設定</v>
      </c>
      <c r="S34" s="45" t="str">
        <f t="shared" ref="S34:S37" si="53">IFERROR(RIGHT(L34,LEN(L34)-FIND("],",L34)-1),"none")</f>
        <v>none</v>
      </c>
      <c r="T34" s="60" t="e">
        <f t="shared" ref="T34:T37" si="54">FIND("effect:",S34)+7</f>
        <v>#VALUE!</v>
      </c>
      <c r="U34" s="60">
        <f t="shared" ref="U34:U37" si="55">IFERROR(FIND(",",S34),LEN(S34))</f>
        <v>4</v>
      </c>
      <c r="V34" s="60" t="e">
        <f t="shared" ref="V34:V37" si="56">FIND("target:",S34)+7</f>
        <v>#VALUE!</v>
      </c>
      <c r="W34" s="60" t="e">
        <f t="shared" ref="W34:W37" si="57">FIND(",",S34,U34+1)</f>
        <v>#VALUE!</v>
      </c>
      <c r="X34" s="60" t="str">
        <f>IFERROR(VLOOKUP(MID(S34,V34,W34-V34),[6]skilldef!$C:$D,2,FALSE),"-") &amp; " / " &amp; IFERROR(VLOOKUP(MID(S34,T34,U34-T34),[6]skilldef!$A:$B,2,FALSE),"-")</f>
        <v>- / -</v>
      </c>
      <c r="Y34" s="48" t="s">
        <v>287</v>
      </c>
      <c r="Z34" s="47"/>
      <c r="AA34" s="49"/>
      <c r="AB34" s="47"/>
    </row>
    <row r="35" spans="1:28" ht="21" customHeight="1" x14ac:dyDescent="0.15">
      <c r="A35" s="44">
        <v>30018034</v>
      </c>
      <c r="B35" s="44" t="s">
        <v>294</v>
      </c>
      <c r="C35" s="47">
        <v>3</v>
      </c>
      <c r="D35" s="47" t="s">
        <v>127</v>
      </c>
      <c r="E35" s="48" t="s">
        <v>245</v>
      </c>
      <c r="F35" s="60" t="str">
        <f t="shared" si="42"/>
        <v>[effect:damage_anti_type, target:unit_all, type:hp, val1:0.05, val2:5.0]</v>
      </c>
      <c r="G35" s="60">
        <f t="shared" si="43"/>
        <v>9</v>
      </c>
      <c r="H35" s="60">
        <f t="shared" si="44"/>
        <v>25</v>
      </c>
      <c r="I35" s="60">
        <f t="shared" si="45"/>
        <v>34</v>
      </c>
      <c r="J35" s="60">
        <f t="shared" si="46"/>
        <v>42</v>
      </c>
      <c r="K35" s="60" t="str">
        <f>IFERROR(VLOOKUP(MID(F35,I35,J35-I35),[6]skilldef!$C:$D,2,FALSE),"-") &amp; " / " &amp; IFERROR(VLOOKUP(MID(F35,G35,H35-G35),[6]skilldef!$A:$B,2,FALSE),"-")</f>
        <v>味方全体に / タイプキラー</v>
      </c>
      <c r="L35" s="60" t="str">
        <f t="shared" si="47"/>
        <v>[effect:damage_anti_type, target:unit_all, type:hp, val1:0.05, val2:5.0]</v>
      </c>
      <c r="M35" s="45" t="str">
        <f t="shared" si="48"/>
        <v>[effect:damage_anti_type, target:unit_all, type:hp, val1:0.05, val2:5.0]</v>
      </c>
      <c r="N35" s="60">
        <f t="shared" si="49"/>
        <v>9</v>
      </c>
      <c r="O35" s="60">
        <f t="shared" si="50"/>
        <v>25</v>
      </c>
      <c r="P35" s="60">
        <f t="shared" si="51"/>
        <v>34</v>
      </c>
      <c r="Q35" s="60">
        <f t="shared" si="52"/>
        <v>42</v>
      </c>
      <c r="R35" s="60" t="str">
        <f>IFERROR(VLOOKUP(MID(M35,P35,Q35-P35),[6]skilldef!$C:$D,2,FALSE),"-") &amp; " / " &amp; IFERROR(VLOOKUP(MID(M35,N35,O35-N35),[6]skilldef!$A:$B,2,FALSE),"-")</f>
        <v>味方全体に / タイプキラー</v>
      </c>
      <c r="S35" s="45" t="str">
        <f t="shared" si="53"/>
        <v>none</v>
      </c>
      <c r="T35" s="60" t="e">
        <f t="shared" si="54"/>
        <v>#VALUE!</v>
      </c>
      <c r="U35" s="60">
        <f t="shared" si="55"/>
        <v>4</v>
      </c>
      <c r="V35" s="60" t="e">
        <f t="shared" si="56"/>
        <v>#VALUE!</v>
      </c>
      <c r="W35" s="60" t="e">
        <f t="shared" si="57"/>
        <v>#VALUE!</v>
      </c>
      <c r="X35" s="60" t="str">
        <f>IFERROR(VLOOKUP(MID(S35,V35,W35-V35),[6]skilldef!$C:$D,2,FALSE),"-") &amp; " / " &amp; IFERROR(VLOOKUP(MID(S35,T35,U35-T35),[6]skilldef!$A:$B,2,FALSE),"-")</f>
        <v>- / -</v>
      </c>
      <c r="Y35" s="48" t="s">
        <v>219</v>
      </c>
      <c r="Z35" s="47"/>
      <c r="AA35" s="49"/>
      <c r="AB35" s="47"/>
    </row>
    <row r="36" spans="1:28" ht="21" customHeight="1" x14ac:dyDescent="0.15">
      <c r="A36" s="44">
        <v>30018035</v>
      </c>
      <c r="B36" s="44" t="s">
        <v>278</v>
      </c>
      <c r="C36" s="47">
        <v>3</v>
      </c>
      <c r="D36" s="47" t="s">
        <v>127</v>
      </c>
      <c r="E36" s="48" t="s">
        <v>244</v>
      </c>
      <c r="F36" s="60" t="str">
        <f t="shared" si="42"/>
        <v>[effect:kamikaze, val:0.0]</v>
      </c>
      <c r="G36" s="60">
        <f t="shared" si="43"/>
        <v>9</v>
      </c>
      <c r="H36" s="60">
        <f t="shared" si="44"/>
        <v>17</v>
      </c>
      <c r="I36" s="60" t="e">
        <f t="shared" si="45"/>
        <v>#VALUE!</v>
      </c>
      <c r="J36" s="60" t="e">
        <f t="shared" si="46"/>
        <v>#VALUE!</v>
      </c>
      <c r="K36" s="60" t="str">
        <f>IFERROR(VLOOKUP(MID(F36,I36,J36-I36),[6]skilldef!$C:$D,2,FALSE),"-") &amp; " / " &amp; IFERROR(VLOOKUP(MID(F36,G36,H36-G36),[6]skilldef!$A:$B,2,FALSE),"-")</f>
        <v>- / 自爆</v>
      </c>
      <c r="L36" s="60" t="str">
        <f t="shared" si="47"/>
        <v>[effect:force_change_block, new_block:block_heart, target:block_all, ignore01:crash, count:0, val:0.0]</v>
      </c>
      <c r="M36" s="45" t="str">
        <f t="shared" si="48"/>
        <v>[effect:force_change_block, new_block:block_heart, target:block_all, ignore01:crash, count:0, val:0.0]</v>
      </c>
      <c r="N36" s="60">
        <f t="shared" si="49"/>
        <v>9</v>
      </c>
      <c r="O36" s="60">
        <f t="shared" si="50"/>
        <v>27</v>
      </c>
      <c r="P36" s="60">
        <f t="shared" si="51"/>
        <v>59</v>
      </c>
      <c r="Q36" s="60">
        <f t="shared" si="52"/>
        <v>50</v>
      </c>
      <c r="R36" s="60" t="str">
        <f>IFERROR(VLOOKUP(MID(M36,P36,Q36-P36),[6]skilldef!$C:$D,2,FALSE),"-") &amp; " / " &amp; IFERROR(VLOOKUP(MID(M36,N36,O36-N36),[6]skilldef!$A:$B,2,FALSE),"-")</f>
        <v>- / -</v>
      </c>
      <c r="S36" s="45" t="str">
        <f t="shared" si="53"/>
        <v>none</v>
      </c>
      <c r="T36" s="60" t="e">
        <f t="shared" si="54"/>
        <v>#VALUE!</v>
      </c>
      <c r="U36" s="60">
        <f t="shared" si="55"/>
        <v>4</v>
      </c>
      <c r="V36" s="60" t="e">
        <f t="shared" si="56"/>
        <v>#VALUE!</v>
      </c>
      <c r="W36" s="60" t="e">
        <f t="shared" si="57"/>
        <v>#VALUE!</v>
      </c>
      <c r="X36" s="60" t="str">
        <f>IFERROR(VLOOKUP(MID(S36,V36,W36-V36),[6]skilldef!$C:$D,2,FALSE),"-") &amp; " / " &amp; IFERROR(VLOOKUP(MID(S36,T36,U36-T36),[6]skilldef!$A:$B,2,FALSE),"-")</f>
        <v>- / -</v>
      </c>
      <c r="Y36" s="48" t="s">
        <v>220</v>
      </c>
      <c r="Z36" s="47"/>
      <c r="AA36" s="49"/>
      <c r="AB36" s="47"/>
    </row>
    <row r="37" spans="1:28" ht="21" customHeight="1" x14ac:dyDescent="0.15">
      <c r="A37" s="44">
        <v>30018036</v>
      </c>
      <c r="B37" s="44" t="s">
        <v>193</v>
      </c>
      <c r="C37" s="47">
        <v>3</v>
      </c>
      <c r="D37" s="47" t="s">
        <v>127</v>
      </c>
      <c r="E37" s="48" t="s">
        <v>218</v>
      </c>
      <c r="F37" s="60" t="str">
        <f t="shared" si="42"/>
        <v>[effect:nothing]</v>
      </c>
      <c r="G37" s="60">
        <f t="shared" si="43"/>
        <v>9</v>
      </c>
      <c r="H37" s="60">
        <f t="shared" si="44"/>
        <v>16</v>
      </c>
      <c r="I37" s="60" t="e">
        <f t="shared" si="45"/>
        <v>#VALUE!</v>
      </c>
      <c r="J37" s="60" t="e">
        <f t="shared" si="46"/>
        <v>#VALUE!</v>
      </c>
      <c r="K37" s="60" t="str">
        <f>IFERROR(VLOOKUP(MID(F37,I37,J37-I37),[6]skilldef!$C:$D,2,FALSE),"-") &amp; " / " &amp; IFERROR(VLOOKUP(MID(F37,G37,H37-G37),[6]skilldef!$A:$B,2,FALSE),"-")</f>
        <v>- / 何もしない</v>
      </c>
      <c r="L37" s="60" t="str">
        <f t="shared" si="47"/>
        <v>none</v>
      </c>
      <c r="M37" s="45" t="str">
        <f t="shared" si="48"/>
        <v>none</v>
      </c>
      <c r="N37" s="60" t="e">
        <f t="shared" si="49"/>
        <v>#VALUE!</v>
      </c>
      <c r="O37" s="60">
        <f t="shared" si="50"/>
        <v>4</v>
      </c>
      <c r="P37" s="60" t="e">
        <f t="shared" si="51"/>
        <v>#VALUE!</v>
      </c>
      <c r="Q37" s="60" t="e">
        <f t="shared" si="52"/>
        <v>#VALUE!</v>
      </c>
      <c r="R37" s="60" t="str">
        <f>IFERROR(VLOOKUP(MID(M37,P37,Q37-P37),[6]skilldef!$C:$D,2,FALSE),"-") &amp; " / " &amp; IFERROR(VLOOKUP(MID(M37,N37,O37-N37),[6]skilldef!$A:$B,2,FALSE),"-")</f>
        <v>- / -</v>
      </c>
      <c r="S37" s="45" t="str">
        <f t="shared" si="53"/>
        <v>none</v>
      </c>
      <c r="T37" s="60" t="e">
        <f t="shared" si="54"/>
        <v>#VALUE!</v>
      </c>
      <c r="U37" s="60">
        <f t="shared" si="55"/>
        <v>4</v>
      </c>
      <c r="V37" s="60" t="e">
        <f t="shared" si="56"/>
        <v>#VALUE!</v>
      </c>
      <c r="W37" s="60" t="e">
        <f t="shared" si="57"/>
        <v>#VALUE!</v>
      </c>
      <c r="X37" s="60" t="str">
        <f>IFERROR(VLOOKUP(MID(S37,V37,W37-V37),[6]skilldef!$C:$D,2,FALSE),"-") &amp; " / " &amp; IFERROR(VLOOKUP(MID(S37,T37,U37-T37),[6]skilldef!$A:$B,2,FALSE),"-")</f>
        <v>- / -</v>
      </c>
      <c r="Y37" s="48" t="s">
        <v>218</v>
      </c>
      <c r="Z37" s="47"/>
      <c r="AA37" s="49"/>
      <c r="AB37" s="47"/>
    </row>
    <row r="40" spans="1:28" ht="21" customHeight="1" x14ac:dyDescent="0.15">
      <c r="K40" s="9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7"/>
  <sheetViews>
    <sheetView showGridLines="0" workbookViewId="0">
      <pane ySplit="1" topLeftCell="A14" activePane="bottomLeft" state="frozenSplit"/>
      <selection activeCell="F3" sqref="F3"/>
      <selection pane="bottomLeft" activeCell="C34" sqref="C34"/>
    </sheetView>
  </sheetViews>
  <sheetFormatPr baseColWidth="12" defaultColWidth="12.83203125" defaultRowHeight="21" customHeight="1" x14ac:dyDescent="0.15"/>
  <cols>
    <col min="1" max="1" width="16.1640625" style="46" bestFit="1" customWidth="1"/>
    <col min="2" max="2" width="13.33203125" style="46" bestFit="1" customWidth="1"/>
    <col min="3" max="3" width="11.83203125" style="46" bestFit="1" customWidth="1"/>
    <col min="4" max="4" width="14.6640625" style="46" bestFit="1" customWidth="1"/>
    <col min="5" max="5" width="15.6640625" style="46" bestFit="1" customWidth="1"/>
    <col min="6" max="6" width="17" style="46" bestFit="1" customWidth="1"/>
    <col min="7" max="7" width="15.6640625" style="46" bestFit="1" customWidth="1"/>
    <col min="8" max="9" width="14.6640625" style="46" customWidth="1"/>
    <col min="10" max="10" width="14.6640625" style="46" bestFit="1" customWidth="1"/>
    <col min="11" max="11" width="22.83203125" style="36" bestFit="1" customWidth="1"/>
    <col min="12" max="16384" width="12.83203125" style="42"/>
  </cols>
  <sheetData>
    <row r="1" spans="1:11" ht="21" customHeight="1" x14ac:dyDescent="0.15">
      <c r="A1" s="39" t="s">
        <v>84</v>
      </c>
      <c r="B1" s="39" t="s">
        <v>85</v>
      </c>
      <c r="C1" s="39" t="s">
        <v>86</v>
      </c>
      <c r="D1" s="39" t="s">
        <v>87</v>
      </c>
      <c r="E1" s="39" t="s">
        <v>70</v>
      </c>
      <c r="F1" s="50" t="s">
        <v>71</v>
      </c>
      <c r="G1" s="50" t="s">
        <v>72</v>
      </c>
      <c r="H1" s="39" t="s">
        <v>73</v>
      </c>
      <c r="I1" s="39" t="s">
        <v>74</v>
      </c>
      <c r="J1" s="39" t="s">
        <v>75</v>
      </c>
      <c r="K1" s="51" t="s">
        <v>88</v>
      </c>
    </row>
    <row r="2" spans="1:11" ht="21" customHeight="1" x14ac:dyDescent="0.15">
      <c r="A2" s="44">
        <v>30018001</v>
      </c>
      <c r="B2" s="44">
        <v>0</v>
      </c>
      <c r="C2" s="44">
        <v>0</v>
      </c>
      <c r="D2" s="44">
        <v>40</v>
      </c>
      <c r="E2" s="44" t="s">
        <v>53</v>
      </c>
      <c r="F2" s="44" t="s">
        <v>89</v>
      </c>
      <c r="G2" s="44" t="s">
        <v>89</v>
      </c>
      <c r="H2" s="44" t="s">
        <v>89</v>
      </c>
      <c r="I2" s="44" t="s">
        <v>89</v>
      </c>
      <c r="J2" s="45">
        <f t="shared" ref="J2" si="0">D2</f>
        <v>40</v>
      </c>
    </row>
    <row r="3" spans="1:11" ht="21" customHeight="1" x14ac:dyDescent="0.15">
      <c r="A3" s="44">
        <v>30018002</v>
      </c>
      <c r="B3" s="44">
        <v>0</v>
      </c>
      <c r="C3" s="44">
        <v>0</v>
      </c>
      <c r="D3" s="44">
        <v>100</v>
      </c>
      <c r="E3" s="44" t="s">
        <v>53</v>
      </c>
      <c r="F3" s="44" t="s">
        <v>89</v>
      </c>
      <c r="G3" s="44" t="s">
        <v>89</v>
      </c>
      <c r="H3" s="44" t="s">
        <v>89</v>
      </c>
      <c r="I3" s="44" t="s">
        <v>89</v>
      </c>
      <c r="J3" s="45">
        <f t="shared" ref="J3:J33" si="1">D3</f>
        <v>100</v>
      </c>
    </row>
    <row r="4" spans="1:11" ht="21" customHeight="1" x14ac:dyDescent="0.15">
      <c r="A4" s="44">
        <v>30018003</v>
      </c>
      <c r="B4" s="44">
        <v>0</v>
      </c>
      <c r="C4" s="44">
        <v>0</v>
      </c>
      <c r="D4" s="44">
        <v>100</v>
      </c>
      <c r="E4" s="44" t="s">
        <v>53</v>
      </c>
      <c r="F4" s="44" t="s">
        <v>89</v>
      </c>
      <c r="G4" s="44" t="s">
        <v>89</v>
      </c>
      <c r="H4" s="44" t="s">
        <v>89</v>
      </c>
      <c r="I4" s="44" t="s">
        <v>89</v>
      </c>
      <c r="J4" s="45">
        <f t="shared" si="1"/>
        <v>100</v>
      </c>
    </row>
    <row r="5" spans="1:11" ht="21" customHeight="1" x14ac:dyDescent="0.15">
      <c r="A5" s="44">
        <v>30018004</v>
      </c>
      <c r="B5" s="44">
        <v>0</v>
      </c>
      <c r="C5" s="44">
        <v>0</v>
      </c>
      <c r="D5" s="44">
        <v>100</v>
      </c>
      <c r="E5" s="44" t="s">
        <v>53</v>
      </c>
      <c r="F5" s="44" t="s">
        <v>89</v>
      </c>
      <c r="G5" s="44" t="s">
        <v>89</v>
      </c>
      <c r="H5" s="44" t="s">
        <v>89</v>
      </c>
      <c r="I5" s="44" t="s">
        <v>89</v>
      </c>
      <c r="J5" s="45">
        <f t="shared" si="1"/>
        <v>100</v>
      </c>
    </row>
    <row r="6" spans="1:11" ht="21" customHeight="1" x14ac:dyDescent="0.15">
      <c r="A6" s="44">
        <v>30018005</v>
      </c>
      <c r="B6" s="44">
        <v>1</v>
      </c>
      <c r="C6" s="44">
        <v>0</v>
      </c>
      <c r="D6" s="44">
        <v>100</v>
      </c>
      <c r="E6" s="44" t="s">
        <v>53</v>
      </c>
      <c r="F6" s="44" t="s">
        <v>89</v>
      </c>
      <c r="G6" s="44">
        <v>1</v>
      </c>
      <c r="H6" s="44" t="s">
        <v>89</v>
      </c>
      <c r="I6" s="44" t="s">
        <v>89</v>
      </c>
      <c r="J6" s="45">
        <f t="shared" si="1"/>
        <v>100</v>
      </c>
    </row>
    <row r="7" spans="1:11" ht="21" customHeight="1" x14ac:dyDescent="0.15">
      <c r="A7" s="44">
        <v>30018006</v>
      </c>
      <c r="B7" s="44">
        <v>0</v>
      </c>
      <c r="C7" s="44">
        <v>0</v>
      </c>
      <c r="D7" s="44">
        <v>50</v>
      </c>
      <c r="E7" s="44">
        <v>50</v>
      </c>
      <c r="F7" s="44" t="s">
        <v>89</v>
      </c>
      <c r="G7" s="44">
        <v>1</v>
      </c>
      <c r="H7" s="44" t="s">
        <v>89</v>
      </c>
      <c r="I7" s="44" t="s">
        <v>89</v>
      </c>
      <c r="J7" s="45">
        <f t="shared" si="1"/>
        <v>50</v>
      </c>
    </row>
    <row r="8" spans="1:11" ht="21" customHeight="1" x14ac:dyDescent="0.15">
      <c r="A8" s="44">
        <v>30018007</v>
      </c>
      <c r="B8" s="44">
        <v>0</v>
      </c>
      <c r="C8" s="44">
        <v>0</v>
      </c>
      <c r="D8" s="44">
        <v>30</v>
      </c>
      <c r="E8" s="44" t="s">
        <v>53</v>
      </c>
      <c r="F8" s="44" t="s">
        <v>89</v>
      </c>
      <c r="G8" s="44" t="s">
        <v>89</v>
      </c>
      <c r="H8" s="44" t="s">
        <v>89</v>
      </c>
      <c r="I8" s="44" t="s">
        <v>89</v>
      </c>
      <c r="J8" s="45">
        <f t="shared" si="1"/>
        <v>30</v>
      </c>
    </row>
    <row r="9" spans="1:11" ht="21" customHeight="1" x14ac:dyDescent="0.15">
      <c r="A9" s="44">
        <v>30018008</v>
      </c>
      <c r="B9" s="44">
        <v>0</v>
      </c>
      <c r="C9" s="44">
        <v>0</v>
      </c>
      <c r="D9" s="44">
        <v>100</v>
      </c>
      <c r="E9" s="44" t="s">
        <v>53</v>
      </c>
      <c r="F9" s="44" t="s">
        <v>89</v>
      </c>
      <c r="G9" s="44" t="s">
        <v>89</v>
      </c>
      <c r="H9" s="44" t="s">
        <v>89</v>
      </c>
      <c r="I9" s="44" t="s">
        <v>89</v>
      </c>
      <c r="J9" s="45">
        <f t="shared" si="1"/>
        <v>100</v>
      </c>
    </row>
    <row r="10" spans="1:11" ht="21" customHeight="1" x14ac:dyDescent="0.15">
      <c r="A10" s="44">
        <v>30018009</v>
      </c>
      <c r="B10" s="44">
        <v>0</v>
      </c>
      <c r="C10" s="44">
        <v>0</v>
      </c>
      <c r="D10" s="44">
        <v>50</v>
      </c>
      <c r="E10" s="44" t="s">
        <v>53</v>
      </c>
      <c r="F10" s="44" t="s">
        <v>89</v>
      </c>
      <c r="G10" s="44">
        <v>1</v>
      </c>
      <c r="H10" s="44" t="s">
        <v>89</v>
      </c>
      <c r="I10" s="44" t="s">
        <v>89</v>
      </c>
      <c r="J10" s="45">
        <f t="shared" si="1"/>
        <v>50</v>
      </c>
    </row>
    <row r="11" spans="1:11" ht="21" customHeight="1" x14ac:dyDescent="0.15">
      <c r="A11" s="44">
        <v>30018010</v>
      </c>
      <c r="B11" s="44">
        <v>0</v>
      </c>
      <c r="C11" s="44">
        <v>0</v>
      </c>
      <c r="D11" s="44">
        <v>100</v>
      </c>
      <c r="E11" s="44" t="s">
        <v>53</v>
      </c>
      <c r="F11" s="44" t="s">
        <v>89</v>
      </c>
      <c r="G11" s="44" t="s">
        <v>89</v>
      </c>
      <c r="H11" s="44" t="s">
        <v>89</v>
      </c>
      <c r="I11" s="44" t="s">
        <v>89</v>
      </c>
      <c r="J11" s="45">
        <f t="shared" si="1"/>
        <v>100</v>
      </c>
    </row>
    <row r="12" spans="1:11" ht="21" customHeight="1" x14ac:dyDescent="0.15">
      <c r="A12" s="44">
        <v>30018011</v>
      </c>
      <c r="B12" s="44">
        <v>1</v>
      </c>
      <c r="C12" s="44">
        <v>0</v>
      </c>
      <c r="D12" s="44">
        <v>100</v>
      </c>
      <c r="E12" s="44" t="s">
        <v>53</v>
      </c>
      <c r="F12" s="44" t="s">
        <v>89</v>
      </c>
      <c r="G12" s="44">
        <v>1</v>
      </c>
      <c r="H12" s="44" t="s">
        <v>89</v>
      </c>
      <c r="I12" s="44" t="s">
        <v>89</v>
      </c>
      <c r="J12" s="45">
        <f t="shared" si="1"/>
        <v>100</v>
      </c>
    </row>
    <row r="13" spans="1:11" ht="21" customHeight="1" x14ac:dyDescent="0.15">
      <c r="A13" s="44">
        <v>30018012</v>
      </c>
      <c r="B13" s="44">
        <v>0</v>
      </c>
      <c r="C13" s="44">
        <v>0</v>
      </c>
      <c r="D13" s="44">
        <v>30</v>
      </c>
      <c r="E13" s="44" t="s">
        <v>53</v>
      </c>
      <c r="F13" s="44" t="s">
        <v>89</v>
      </c>
      <c r="G13" s="44" t="s">
        <v>89</v>
      </c>
      <c r="H13" s="44" t="s">
        <v>89</v>
      </c>
      <c r="I13" s="44" t="s">
        <v>89</v>
      </c>
      <c r="J13" s="45">
        <f t="shared" si="1"/>
        <v>30</v>
      </c>
    </row>
    <row r="14" spans="1:11" ht="21" customHeight="1" x14ac:dyDescent="0.15">
      <c r="A14" s="44">
        <v>30018013</v>
      </c>
      <c r="B14" s="44">
        <v>0</v>
      </c>
      <c r="C14" s="44">
        <v>0</v>
      </c>
      <c r="D14" s="44">
        <v>100</v>
      </c>
      <c r="E14" s="44">
        <v>50</v>
      </c>
      <c r="F14" s="44" t="s">
        <v>89</v>
      </c>
      <c r="G14" s="44">
        <v>1</v>
      </c>
      <c r="H14" s="44" t="s">
        <v>89</v>
      </c>
      <c r="I14" s="44" t="s">
        <v>89</v>
      </c>
      <c r="J14" s="45">
        <f t="shared" si="1"/>
        <v>100</v>
      </c>
    </row>
    <row r="15" spans="1:11" ht="21" customHeight="1" x14ac:dyDescent="0.15">
      <c r="A15" s="44">
        <v>30018014</v>
      </c>
      <c r="B15" s="44">
        <v>1</v>
      </c>
      <c r="C15" s="44">
        <v>0</v>
      </c>
      <c r="D15" s="44">
        <v>100</v>
      </c>
      <c r="E15" s="44" t="s">
        <v>53</v>
      </c>
      <c r="F15" s="44" t="s">
        <v>89</v>
      </c>
      <c r="G15" s="44">
        <v>1</v>
      </c>
      <c r="H15" s="44" t="s">
        <v>89</v>
      </c>
      <c r="I15" s="44" t="s">
        <v>89</v>
      </c>
      <c r="J15" s="45">
        <f t="shared" si="1"/>
        <v>100</v>
      </c>
    </row>
    <row r="16" spans="1:11" ht="21" customHeight="1" x14ac:dyDescent="0.15">
      <c r="A16" s="44">
        <v>30018015</v>
      </c>
      <c r="B16" s="44">
        <v>0</v>
      </c>
      <c r="C16" s="44">
        <v>0</v>
      </c>
      <c r="D16" s="44">
        <v>100</v>
      </c>
      <c r="E16" s="44" t="s">
        <v>53</v>
      </c>
      <c r="F16" s="44" t="s">
        <v>89</v>
      </c>
      <c r="G16" s="44" t="s">
        <v>89</v>
      </c>
      <c r="H16" s="44">
        <v>3</v>
      </c>
      <c r="I16" s="44" t="s">
        <v>89</v>
      </c>
      <c r="J16" s="45">
        <f t="shared" si="1"/>
        <v>100</v>
      </c>
    </row>
    <row r="17" spans="1:10" ht="21" customHeight="1" x14ac:dyDescent="0.15">
      <c r="A17" s="44">
        <v>30018016</v>
      </c>
      <c r="B17" s="44">
        <v>0</v>
      </c>
      <c r="C17" s="44">
        <v>0</v>
      </c>
      <c r="D17" s="44">
        <v>100</v>
      </c>
      <c r="E17" s="44" t="s">
        <v>53</v>
      </c>
      <c r="F17" s="44" t="s">
        <v>89</v>
      </c>
      <c r="G17" s="44">
        <v>3</v>
      </c>
      <c r="H17" s="44">
        <v>2</v>
      </c>
      <c r="I17" s="44" t="s">
        <v>89</v>
      </c>
      <c r="J17" s="45">
        <f t="shared" si="1"/>
        <v>100</v>
      </c>
    </row>
    <row r="18" spans="1:10" ht="21" customHeight="1" x14ac:dyDescent="0.15">
      <c r="A18" s="44">
        <v>30018017</v>
      </c>
      <c r="B18" s="44">
        <v>0</v>
      </c>
      <c r="C18" s="44">
        <v>0</v>
      </c>
      <c r="D18" s="44">
        <v>100</v>
      </c>
      <c r="E18" s="44" t="s">
        <v>53</v>
      </c>
      <c r="F18" s="44" t="s">
        <v>89</v>
      </c>
      <c r="G18" s="44" t="s">
        <v>89</v>
      </c>
      <c r="H18" s="44" t="s">
        <v>89</v>
      </c>
      <c r="I18" s="44" t="s">
        <v>89</v>
      </c>
      <c r="J18" s="45">
        <f t="shared" si="1"/>
        <v>100</v>
      </c>
    </row>
    <row r="19" spans="1:10" ht="21" customHeight="1" x14ac:dyDescent="0.15">
      <c r="A19" s="44">
        <v>30018018</v>
      </c>
      <c r="B19" s="44">
        <v>0</v>
      </c>
      <c r="C19" s="44">
        <v>0</v>
      </c>
      <c r="D19" s="44">
        <v>100</v>
      </c>
      <c r="E19" s="44" t="s">
        <v>53</v>
      </c>
      <c r="F19" s="44" t="s">
        <v>89</v>
      </c>
      <c r="G19" s="44" t="s">
        <v>89</v>
      </c>
      <c r="H19" s="44" t="s">
        <v>89</v>
      </c>
      <c r="I19" s="44" t="s">
        <v>89</v>
      </c>
      <c r="J19" s="45">
        <f t="shared" si="1"/>
        <v>100</v>
      </c>
    </row>
    <row r="20" spans="1:10" ht="21" customHeight="1" x14ac:dyDescent="0.15">
      <c r="A20" s="44">
        <v>30018019</v>
      </c>
      <c r="B20" s="44">
        <v>0</v>
      </c>
      <c r="C20" s="44">
        <v>0</v>
      </c>
      <c r="D20" s="44">
        <v>100</v>
      </c>
      <c r="E20" s="44" t="s">
        <v>53</v>
      </c>
      <c r="F20" s="44" t="s">
        <v>89</v>
      </c>
      <c r="G20" s="44" t="s">
        <v>200</v>
      </c>
      <c r="H20" s="44" t="s">
        <v>89</v>
      </c>
      <c r="I20" s="44" t="s">
        <v>89</v>
      </c>
      <c r="J20" s="45">
        <f t="shared" si="1"/>
        <v>100</v>
      </c>
    </row>
    <row r="21" spans="1:10" ht="21" customHeight="1" x14ac:dyDescent="0.15">
      <c r="A21" s="44">
        <v>30018020</v>
      </c>
      <c r="B21" s="44">
        <v>1</v>
      </c>
      <c r="C21" s="44">
        <v>0</v>
      </c>
      <c r="D21" s="44">
        <v>100</v>
      </c>
      <c r="E21" s="44" t="s">
        <v>53</v>
      </c>
      <c r="F21" s="44" t="s">
        <v>89</v>
      </c>
      <c r="G21" s="44">
        <v>1</v>
      </c>
      <c r="H21" s="44" t="s">
        <v>89</v>
      </c>
      <c r="I21" s="44" t="s">
        <v>89</v>
      </c>
      <c r="J21" s="45">
        <f t="shared" si="1"/>
        <v>100</v>
      </c>
    </row>
    <row r="22" spans="1:10" ht="21" customHeight="1" x14ac:dyDescent="0.15">
      <c r="A22" s="44">
        <v>30018021</v>
      </c>
      <c r="B22" s="44">
        <v>0</v>
      </c>
      <c r="C22" s="44">
        <v>15</v>
      </c>
      <c r="D22" s="44">
        <v>100</v>
      </c>
      <c r="E22" s="44">
        <v>50</v>
      </c>
      <c r="F22" s="44" t="s">
        <v>201</v>
      </c>
      <c r="G22" s="44">
        <v>1</v>
      </c>
      <c r="H22" s="44" t="s">
        <v>89</v>
      </c>
      <c r="I22" s="44" t="s">
        <v>89</v>
      </c>
      <c r="J22" s="45">
        <f t="shared" si="1"/>
        <v>100</v>
      </c>
    </row>
    <row r="23" spans="1:10" ht="21" customHeight="1" x14ac:dyDescent="0.15">
      <c r="A23" s="44">
        <v>30018022</v>
      </c>
      <c r="B23" s="44">
        <v>0</v>
      </c>
      <c r="C23" s="44">
        <v>10</v>
      </c>
      <c r="D23" s="44">
        <v>100</v>
      </c>
      <c r="E23" s="44">
        <v>50</v>
      </c>
      <c r="F23" s="44" t="s">
        <v>89</v>
      </c>
      <c r="G23" s="44">
        <v>1</v>
      </c>
      <c r="H23" s="44" t="s">
        <v>89</v>
      </c>
      <c r="I23" s="44" t="s">
        <v>89</v>
      </c>
      <c r="J23" s="45">
        <f t="shared" si="1"/>
        <v>100</v>
      </c>
    </row>
    <row r="24" spans="1:10" ht="21" customHeight="1" x14ac:dyDescent="0.15">
      <c r="A24" s="44">
        <v>30018023</v>
      </c>
      <c r="B24" s="44">
        <v>0</v>
      </c>
      <c r="C24" s="44">
        <v>0</v>
      </c>
      <c r="D24" s="44">
        <v>100</v>
      </c>
      <c r="E24" s="44">
        <v>25</v>
      </c>
      <c r="F24" s="44" t="s">
        <v>89</v>
      </c>
      <c r="G24" s="44">
        <v>1</v>
      </c>
      <c r="H24" s="44" t="s">
        <v>89</v>
      </c>
      <c r="I24" s="44" t="s">
        <v>89</v>
      </c>
      <c r="J24" s="45">
        <f t="shared" si="1"/>
        <v>100</v>
      </c>
    </row>
    <row r="25" spans="1:10" ht="21" customHeight="1" x14ac:dyDescent="0.15">
      <c r="A25" s="44">
        <v>30018024</v>
      </c>
      <c r="B25" s="44">
        <v>0</v>
      </c>
      <c r="C25" s="44">
        <v>0</v>
      </c>
      <c r="D25" s="44">
        <v>100</v>
      </c>
      <c r="E25" s="44" t="s">
        <v>53</v>
      </c>
      <c r="F25" s="44" t="s">
        <v>89</v>
      </c>
      <c r="G25" s="44" t="s">
        <v>89</v>
      </c>
      <c r="H25" s="44" t="s">
        <v>89</v>
      </c>
      <c r="I25" s="44" t="s">
        <v>89</v>
      </c>
      <c r="J25" s="45">
        <f t="shared" si="1"/>
        <v>100</v>
      </c>
    </row>
    <row r="26" spans="1:10" ht="21" customHeight="1" x14ac:dyDescent="0.15">
      <c r="A26" s="44">
        <v>30018025</v>
      </c>
      <c r="B26" s="44">
        <v>0</v>
      </c>
      <c r="C26" s="44">
        <v>0</v>
      </c>
      <c r="D26" s="44">
        <v>100</v>
      </c>
      <c r="E26" s="44" t="s">
        <v>53</v>
      </c>
      <c r="F26" s="44" t="s">
        <v>89</v>
      </c>
      <c r="G26" s="44" t="s">
        <v>89</v>
      </c>
      <c r="H26" s="44" t="s">
        <v>89</v>
      </c>
      <c r="I26" s="44" t="s">
        <v>89</v>
      </c>
      <c r="J26" s="45">
        <f t="shared" si="1"/>
        <v>100</v>
      </c>
    </row>
    <row r="27" spans="1:10" ht="21" customHeight="1" x14ac:dyDescent="0.15">
      <c r="A27" s="44">
        <v>30018026</v>
      </c>
      <c r="B27" s="44">
        <v>0</v>
      </c>
      <c r="C27" s="44">
        <v>0</v>
      </c>
      <c r="D27" s="44">
        <v>100</v>
      </c>
      <c r="E27" s="44" t="s">
        <v>53</v>
      </c>
      <c r="F27" s="44" t="s">
        <v>89</v>
      </c>
      <c r="G27" s="44" t="s">
        <v>89</v>
      </c>
      <c r="H27" s="44" t="s">
        <v>89</v>
      </c>
      <c r="I27" s="44" t="s">
        <v>89</v>
      </c>
      <c r="J27" s="45">
        <f t="shared" si="1"/>
        <v>100</v>
      </c>
    </row>
    <row r="28" spans="1:10" ht="21" customHeight="1" x14ac:dyDescent="0.15">
      <c r="A28" s="44">
        <v>30018027</v>
      </c>
      <c r="B28" s="44">
        <v>1</v>
      </c>
      <c r="C28" s="44">
        <v>0</v>
      </c>
      <c r="D28" s="44">
        <v>100</v>
      </c>
      <c r="E28" s="44" t="s">
        <v>53</v>
      </c>
      <c r="F28" s="44" t="s">
        <v>89</v>
      </c>
      <c r="G28" s="44">
        <v>1</v>
      </c>
      <c r="H28" s="44" t="s">
        <v>89</v>
      </c>
      <c r="I28" s="44" t="s">
        <v>89</v>
      </c>
      <c r="J28" s="45">
        <f t="shared" si="1"/>
        <v>100</v>
      </c>
    </row>
    <row r="29" spans="1:10" ht="21" customHeight="1" x14ac:dyDescent="0.15">
      <c r="A29" s="44">
        <v>30018028</v>
      </c>
      <c r="B29" s="44">
        <v>0</v>
      </c>
      <c r="C29" s="44">
        <v>0</v>
      </c>
      <c r="D29" s="44">
        <v>45</v>
      </c>
      <c r="E29" s="44" t="s">
        <v>53</v>
      </c>
      <c r="F29" s="44" t="s">
        <v>89</v>
      </c>
      <c r="G29" s="44">
        <v>3</v>
      </c>
      <c r="H29" s="44" t="s">
        <v>89</v>
      </c>
      <c r="I29" s="44" t="s">
        <v>89</v>
      </c>
      <c r="J29" s="45">
        <f t="shared" si="1"/>
        <v>45</v>
      </c>
    </row>
    <row r="30" spans="1:10" ht="21" customHeight="1" x14ac:dyDescent="0.15">
      <c r="A30" s="44">
        <v>30018029</v>
      </c>
      <c r="B30" s="44">
        <v>0</v>
      </c>
      <c r="C30" s="44">
        <v>0</v>
      </c>
      <c r="D30" s="44">
        <v>100</v>
      </c>
      <c r="E30" s="44">
        <v>30</v>
      </c>
      <c r="F30" s="44" t="s">
        <v>89</v>
      </c>
      <c r="G30" s="44">
        <v>1</v>
      </c>
      <c r="H30" s="44" t="s">
        <v>89</v>
      </c>
      <c r="I30" s="44" t="s">
        <v>89</v>
      </c>
      <c r="J30" s="45">
        <f t="shared" si="1"/>
        <v>100</v>
      </c>
    </row>
    <row r="31" spans="1:10" ht="21" customHeight="1" x14ac:dyDescent="0.15">
      <c r="A31" s="44">
        <v>30018030</v>
      </c>
      <c r="B31" s="44">
        <v>0</v>
      </c>
      <c r="C31" s="44">
        <v>0</v>
      </c>
      <c r="D31" s="44">
        <v>100</v>
      </c>
      <c r="E31" s="44">
        <v>15</v>
      </c>
      <c r="F31" s="44" t="s">
        <v>201</v>
      </c>
      <c r="G31" s="44" t="s">
        <v>89</v>
      </c>
      <c r="H31" s="44" t="s">
        <v>89</v>
      </c>
      <c r="I31" s="44" t="s">
        <v>89</v>
      </c>
      <c r="J31" s="45">
        <f t="shared" si="1"/>
        <v>100</v>
      </c>
    </row>
    <row r="32" spans="1:10" ht="21" customHeight="1" x14ac:dyDescent="0.15">
      <c r="A32" s="44">
        <v>30018031</v>
      </c>
      <c r="B32" s="44">
        <v>0</v>
      </c>
      <c r="C32" s="44">
        <v>10</v>
      </c>
      <c r="D32" s="44">
        <v>100</v>
      </c>
      <c r="E32" s="44" t="s">
        <v>53</v>
      </c>
      <c r="F32" s="44" t="s">
        <v>89</v>
      </c>
      <c r="G32" s="44">
        <v>1</v>
      </c>
      <c r="H32" s="44" t="s">
        <v>89</v>
      </c>
      <c r="I32" s="44" t="s">
        <v>89</v>
      </c>
      <c r="J32" s="45">
        <f t="shared" si="1"/>
        <v>100</v>
      </c>
    </row>
    <row r="33" spans="1:10" ht="21" customHeight="1" x14ac:dyDescent="0.15">
      <c r="A33" s="44">
        <v>30018032</v>
      </c>
      <c r="B33" s="44">
        <v>0</v>
      </c>
      <c r="C33" s="44">
        <v>0</v>
      </c>
      <c r="D33" s="44">
        <v>100</v>
      </c>
      <c r="E33" s="44" t="s">
        <v>53</v>
      </c>
      <c r="F33" s="44" t="s">
        <v>89</v>
      </c>
      <c r="G33" s="44" t="s">
        <v>89</v>
      </c>
      <c r="H33" s="44" t="s">
        <v>89</v>
      </c>
      <c r="I33" s="44" t="s">
        <v>89</v>
      </c>
      <c r="J33" s="45">
        <f t="shared" si="1"/>
        <v>100</v>
      </c>
    </row>
    <row r="34" spans="1:10" ht="21" customHeight="1" x14ac:dyDescent="0.15">
      <c r="A34" s="44">
        <v>30018033</v>
      </c>
      <c r="B34" s="44">
        <v>1</v>
      </c>
      <c r="C34" s="44">
        <v>0</v>
      </c>
      <c r="D34" s="44">
        <v>100</v>
      </c>
      <c r="E34" s="44" t="s">
        <v>53</v>
      </c>
      <c r="F34" s="44" t="s">
        <v>53</v>
      </c>
      <c r="G34" s="44">
        <v>1</v>
      </c>
      <c r="H34" s="44" t="s">
        <v>53</v>
      </c>
      <c r="I34" s="44" t="s">
        <v>53</v>
      </c>
      <c r="J34" s="45">
        <f t="shared" ref="J34:J36" si="2">D34</f>
        <v>100</v>
      </c>
    </row>
    <row r="35" spans="1:10" ht="21" customHeight="1" x14ac:dyDescent="0.15">
      <c r="A35" s="44">
        <v>30018034</v>
      </c>
      <c r="B35" s="44">
        <v>0</v>
      </c>
      <c r="C35" s="44">
        <v>10</v>
      </c>
      <c r="D35" s="44">
        <v>100</v>
      </c>
      <c r="E35" s="44" t="s">
        <v>53</v>
      </c>
      <c r="F35" s="44" t="s">
        <v>53</v>
      </c>
      <c r="G35" s="44">
        <v>1</v>
      </c>
      <c r="H35" s="44" t="s">
        <v>53</v>
      </c>
      <c r="I35" s="44" t="s">
        <v>53</v>
      </c>
      <c r="J35" s="45">
        <f t="shared" si="2"/>
        <v>100</v>
      </c>
    </row>
    <row r="36" spans="1:10" ht="21" customHeight="1" x14ac:dyDescent="0.15">
      <c r="A36" s="44">
        <v>30018035</v>
      </c>
      <c r="B36" s="44">
        <v>0</v>
      </c>
      <c r="C36" s="44">
        <v>5</v>
      </c>
      <c r="D36" s="44">
        <v>100</v>
      </c>
      <c r="E36" s="44" t="s">
        <v>53</v>
      </c>
      <c r="F36" s="44" t="s">
        <v>53</v>
      </c>
      <c r="G36" s="44">
        <v>1</v>
      </c>
      <c r="H36" s="44" t="s">
        <v>53</v>
      </c>
      <c r="I36" s="44" t="s">
        <v>53</v>
      </c>
      <c r="J36" s="45">
        <f t="shared" si="2"/>
        <v>100</v>
      </c>
    </row>
    <row r="37" spans="1:10" ht="21" customHeight="1" x14ac:dyDescent="0.15">
      <c r="A37" s="44">
        <v>30018036</v>
      </c>
      <c r="B37" s="44">
        <v>0</v>
      </c>
      <c r="C37" s="44">
        <v>0</v>
      </c>
      <c r="D37" s="44">
        <v>100</v>
      </c>
      <c r="E37" s="44" t="s">
        <v>53</v>
      </c>
      <c r="F37" s="44" t="s">
        <v>53</v>
      </c>
      <c r="G37" s="44" t="s">
        <v>53</v>
      </c>
      <c r="H37" s="44" t="s">
        <v>53</v>
      </c>
      <c r="I37" s="44" t="s">
        <v>53</v>
      </c>
      <c r="J37" s="45">
        <f t="shared" ref="J37" si="3">D37</f>
        <v>100</v>
      </c>
    </row>
  </sheetData>
  <autoFilter ref="A1:G1"/>
  <phoneticPr fontId="5"/>
  <conditionalFormatting sqref="K38:K1048576 K1:K2">
    <cfRule type="duplicateValues" dxfId="3" priority="4"/>
  </conditionalFormatting>
  <conditionalFormatting sqref="K3:K33">
    <cfRule type="duplicateValues" dxfId="2" priority="6"/>
  </conditionalFormatting>
  <conditionalFormatting sqref="K34:K36">
    <cfRule type="duplicateValues" dxfId="1" priority="2"/>
  </conditionalFormatting>
  <conditionalFormatting sqref="K3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G18" sqref="G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151</v>
      </c>
      <c r="B1" s="61" t="s">
        <v>152</v>
      </c>
      <c r="C1" s="62" t="s">
        <v>153</v>
      </c>
      <c r="D1" s="63" t="s">
        <v>154</v>
      </c>
      <c r="E1" s="64" t="s">
        <v>155</v>
      </c>
      <c r="F1" s="61" t="s">
        <v>156</v>
      </c>
      <c r="G1" s="61" t="s">
        <v>157</v>
      </c>
      <c r="H1" s="61" t="s">
        <v>158</v>
      </c>
      <c r="I1" s="61" t="s">
        <v>159</v>
      </c>
      <c r="J1" s="61" t="s">
        <v>160</v>
      </c>
      <c r="K1" s="61" t="s">
        <v>161</v>
      </c>
      <c r="L1" s="61" t="s">
        <v>162</v>
      </c>
      <c r="M1" s="61" t="s">
        <v>163</v>
      </c>
      <c r="N1" s="61" t="s">
        <v>164</v>
      </c>
      <c r="O1" s="61" t="s">
        <v>165</v>
      </c>
      <c r="P1" s="61" t="s">
        <v>166</v>
      </c>
      <c r="Q1" s="61" t="s">
        <v>167</v>
      </c>
      <c r="R1" s="61" t="s">
        <v>168</v>
      </c>
    </row>
    <row r="2" spans="1:18" x14ac:dyDescent="0.15">
      <c r="A2" s="54">
        <f>floors!C3</f>
        <v>30018</v>
      </c>
      <c r="B2" s="54">
        <v>1</v>
      </c>
      <c r="C2" s="54" t="str">
        <f>A2&amp; "_"&amp;B2</f>
        <v>30018_1</v>
      </c>
      <c r="D2" s="54" t="str">
        <f>VLOOKUP(C2,[2]stages!$A:$AE,31,FALSE)</f>
        <v>everyone</v>
      </c>
      <c r="E2" s="54">
        <v>1</v>
      </c>
      <c r="F2" s="54" t="s">
        <v>169</v>
      </c>
      <c r="G2" s="54">
        <v>1000</v>
      </c>
      <c r="H2" s="54" t="s">
        <v>170</v>
      </c>
      <c r="I2" s="54" t="s">
        <v>170</v>
      </c>
      <c r="J2" s="54" t="s">
        <v>170</v>
      </c>
      <c r="K2" s="54" t="s">
        <v>170</v>
      </c>
      <c r="L2" s="54" t="s">
        <v>170</v>
      </c>
      <c r="M2" s="54" t="s">
        <v>170</v>
      </c>
      <c r="N2" s="54" t="s">
        <v>170</v>
      </c>
      <c r="O2" s="54" t="s">
        <v>170</v>
      </c>
      <c r="P2" s="54">
        <v>100</v>
      </c>
      <c r="Q2" s="54" t="s">
        <v>171</v>
      </c>
      <c r="R2" s="54" t="s">
        <v>172</v>
      </c>
    </row>
    <row r="3" spans="1:18" x14ac:dyDescent="0.1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</row>
    <row r="4" spans="1:18" x14ac:dyDescent="0.15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</row>
    <row r="5" spans="1:18" x14ac:dyDescent="0.15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21"/>
  <sheetViews>
    <sheetView showGridLines="0" workbookViewId="0">
      <pane ySplit="1" topLeftCell="A2" activePane="bottomLeft" state="frozen"/>
      <selection pane="bottomLeft" activeCell="N19" sqref="N19"/>
    </sheetView>
  </sheetViews>
  <sheetFormatPr baseColWidth="12" defaultColWidth="13" defaultRowHeight="15" outlineLevelCol="1" x14ac:dyDescent="0.15"/>
  <cols>
    <col min="2" max="2" width="13" style="90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74" t="s">
        <v>248</v>
      </c>
      <c r="B1" s="75" t="s">
        <v>249</v>
      </c>
      <c r="C1" s="76" t="s">
        <v>250</v>
      </c>
      <c r="D1" s="77" t="s">
        <v>251</v>
      </c>
      <c r="E1" s="77" t="s">
        <v>33</v>
      </c>
      <c r="F1" s="76" t="s">
        <v>252</v>
      </c>
      <c r="G1" s="77" t="s">
        <v>253</v>
      </c>
      <c r="H1" s="77" t="s">
        <v>33</v>
      </c>
      <c r="I1" s="76" t="s">
        <v>19</v>
      </c>
      <c r="J1" s="76" t="s">
        <v>254</v>
      </c>
      <c r="K1" s="78" t="s">
        <v>255</v>
      </c>
      <c r="L1" s="79" t="s">
        <v>256</v>
      </c>
      <c r="M1" s="79" t="s">
        <v>257</v>
      </c>
      <c r="N1" s="80" t="s">
        <v>258</v>
      </c>
      <c r="O1" s="81" t="s">
        <v>259</v>
      </c>
    </row>
    <row r="2" spans="1:15" ht="47" customHeight="1" x14ac:dyDescent="0.15">
      <c r="A2" s="82" t="str">
        <f t="shared" ref="A2" si="0">C2&amp;"_"&amp;F2&amp;"_"&amp;J2</f>
        <v>30018_1_1</v>
      </c>
      <c r="B2" s="83" t="s">
        <v>274</v>
      </c>
      <c r="C2" s="84">
        <f>floors!C$2</f>
        <v>30018</v>
      </c>
      <c r="D2" s="85" t="str">
        <f ca="1">VLOOKUP($C2,OFFSET([2]quests!$A$1,0,0,COUNTA([2]quests!$A:$A),MATCH(D$1,[2]quests!$1:$1,0)-MATCH($C$1,[2]quests!$1:$1,0)+1),MATCH(D$1,[2]quests!$1:$1,0)-MATCH($C$1,[2]quests!$1:$1,0)+1,FALSE)</f>
        <v>バックストリートファイト</v>
      </c>
      <c r="E2" s="85" t="str">
        <f ca="1">VLOOKUP($C2,OFFSET([2]quests!$A$1,0,0,COUNTA([2]quests!$A:$A),MATCH(E$1,[2]quests!$1:$1,0)-MATCH($C$1,[2]quests!$1:$1,0)+1),MATCH(E$1,[2]quests!$1:$1,0)-MATCH($C$1,[2]quests!$1:$1,0)+1,FALSE)</f>
        <v>ドロップイベント5（マルチ専用）</v>
      </c>
      <c r="F2" s="86">
        <v>1</v>
      </c>
      <c r="G2" s="85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【超級】バックストリートファイト</v>
      </c>
      <c r="H2" s="85" t="str">
        <f ca="1">VLOOKUP($C2&amp;"_"&amp;$F2,OFFSET([2]stages!$A$1,0,0,COUNTA([2]stages!$A:$A),MATCH(H$1,[2]stages!$2:$2,0)-MATCH("temp_stage",[2]stages!$2:$2,0)+1),MATCH(H$1,[2]stages!$2:$2,0)-MATCH("temp_stage",[2]stages!$2:$2,0)+1,FALSE)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" s="87">
        <v>1</v>
      </c>
      <c r="J2" s="86">
        <v>1</v>
      </c>
      <c r="K2" s="88" t="str">
        <f>C2&amp;TEXT(J2,"00")</f>
        <v>3001801</v>
      </c>
      <c r="L2" s="86" t="s">
        <v>260</v>
      </c>
      <c r="M2" s="89" t="s">
        <v>261</v>
      </c>
      <c r="N2" s="98" t="s">
        <v>288</v>
      </c>
      <c r="O2" s="54" t="s">
        <v>262</v>
      </c>
    </row>
    <row r="3" spans="1:15" ht="60" x14ac:dyDescent="0.15">
      <c r="A3" s="82" t="str">
        <f t="shared" ref="A3:A12" si="1">C3&amp;"_"&amp;F3&amp;"_"&amp;J3</f>
        <v>30018_1_2</v>
      </c>
      <c r="B3" s="83" t="s">
        <v>274</v>
      </c>
      <c r="C3" s="84">
        <f>floors!C$2</f>
        <v>30018</v>
      </c>
      <c r="D3" s="85" t="str">
        <f ca="1">VLOOKUP($C3,OFFSET([2]quests!$A$1,0,0,COUNTA([2]quests!$A:$A),MATCH(D$1,[2]quests!$1:$1,0)-MATCH($C$1,[2]quests!$1:$1,0)+1),MATCH(D$1,[2]quests!$1:$1,0)-MATCH($C$1,[2]quests!$1:$1,0)+1,FALSE)</f>
        <v>バックストリートファイト</v>
      </c>
      <c r="E3" s="85" t="str">
        <f ca="1">VLOOKUP($C3,OFFSET([2]quests!$A$1,0,0,COUNTA([2]quests!$A:$A),MATCH(E$1,[2]quests!$1:$1,0)-MATCH($C$1,[2]quests!$1:$1,0)+1),MATCH(E$1,[2]quests!$1:$1,0)-MATCH($C$1,[2]quests!$1:$1,0)+1,FALSE)</f>
        <v>ドロップイベント5（マルチ専用）</v>
      </c>
      <c r="F3" s="86">
        <v>1</v>
      </c>
      <c r="G3" s="85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【超級】バックストリートファイト</v>
      </c>
      <c r="H3" s="85" t="str">
        <f ca="1">VLOOKUP($C3&amp;"_"&amp;$F3,OFFSET([2]stages!$A$1,0,0,COUNTA([2]stages!$A:$A),MATCH(H$1,[2]stages!$2:$2,0)-MATCH("temp_stage",[2]stages!$2:$2,0)+1),MATCH(H$1,[2]stages!$2:$2,0)-MATCH("temp_stage",[2]stages!$2:$2,0)+1,FALSE)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3" s="87">
        <v>2</v>
      </c>
      <c r="J3" s="86">
        <v>2</v>
      </c>
      <c r="K3" s="88" t="str">
        <f t="shared" ref="K3:K5" si="2">C3&amp;TEXT(J3,"00")</f>
        <v>3001802</v>
      </c>
      <c r="L3" s="86" t="s">
        <v>260</v>
      </c>
      <c r="M3" s="89" t="s">
        <v>261</v>
      </c>
      <c r="N3" s="98" t="s">
        <v>289</v>
      </c>
      <c r="O3" s="54" t="s">
        <v>262</v>
      </c>
    </row>
    <row r="4" spans="1:15" ht="60" x14ac:dyDescent="0.15">
      <c r="A4" s="82" t="str">
        <f t="shared" si="1"/>
        <v>30018_1_3</v>
      </c>
      <c r="B4" s="83" t="s">
        <v>274</v>
      </c>
      <c r="C4" s="84">
        <f>floors!C$2</f>
        <v>30018</v>
      </c>
      <c r="D4" s="85" t="str">
        <f ca="1">VLOOKUP($C4,OFFSET([2]quests!$A$1,0,0,COUNTA([2]quests!$A:$A),MATCH(D$1,[2]quests!$1:$1,0)-MATCH($C$1,[2]quests!$1:$1,0)+1),MATCH(D$1,[2]quests!$1:$1,0)-MATCH($C$1,[2]quests!$1:$1,0)+1,FALSE)</f>
        <v>バックストリートファイト</v>
      </c>
      <c r="E4" s="85" t="str">
        <f ca="1">VLOOKUP($C4,OFFSET([2]quests!$A$1,0,0,COUNTA([2]quests!$A:$A),MATCH(E$1,[2]quests!$1:$1,0)-MATCH($C$1,[2]quests!$1:$1,0)+1),MATCH(E$1,[2]quests!$1:$1,0)-MATCH($C$1,[2]quests!$1:$1,0)+1,FALSE)</f>
        <v>ドロップイベント5（マルチ専用）</v>
      </c>
      <c r="F4" s="86">
        <v>1</v>
      </c>
      <c r="G4" s="85" t="str">
        <f ca="1">VLOOKUP($C4&amp;"_"&amp;$F4,OFFSET([2]stages!$A$1,0,0,COUNTA([2]stages!$A:$A),MATCH(G$1,[2]stages!$2:$2,0)-MATCH("temp_stage",[2]stages!$2:$2,0)+1),MATCH(G$1,[2]stages!$2:$2,0)-MATCH("temp_stage",[2]stages!$2:$2,0)+1,FALSE)</f>
        <v>【超級】バックストリートファイト</v>
      </c>
      <c r="H4" s="85" t="str">
        <f ca="1">VLOOKUP($C4&amp;"_"&amp;$F4,OFFSET([2]stages!$A$1,0,0,COUNTA([2]stages!$A:$A),MATCH(H$1,[2]stages!$2:$2,0)-MATCH("temp_stage",[2]stages!$2:$2,0)+1),MATCH(H$1,[2]stages!$2:$2,0)-MATCH("temp_stage",[2]stages!$2:$2,0)+1,FALSE)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4" s="87">
        <v>2</v>
      </c>
      <c r="J4" s="86">
        <v>3</v>
      </c>
      <c r="K4" s="88" t="str">
        <f t="shared" si="2"/>
        <v>3001803</v>
      </c>
      <c r="L4" s="86" t="s">
        <v>260</v>
      </c>
      <c r="M4" s="89" t="s">
        <v>261</v>
      </c>
      <c r="N4" s="98" t="s">
        <v>290</v>
      </c>
      <c r="O4" s="54" t="s">
        <v>262</v>
      </c>
    </row>
    <row r="5" spans="1:15" ht="60" x14ac:dyDescent="0.15">
      <c r="A5" s="82" t="str">
        <f t="shared" si="1"/>
        <v>30018_1_4</v>
      </c>
      <c r="B5" s="83" t="s">
        <v>274</v>
      </c>
      <c r="C5" s="84">
        <f>floors!C$2</f>
        <v>30018</v>
      </c>
      <c r="D5" s="85" t="str">
        <f ca="1">VLOOKUP($C5,OFFSET([2]quests!$A$1,0,0,COUNTA([2]quests!$A:$A),MATCH(D$1,[2]quests!$1:$1,0)-MATCH($C$1,[2]quests!$1:$1,0)+1),MATCH(D$1,[2]quests!$1:$1,0)-MATCH($C$1,[2]quests!$1:$1,0)+1,FALSE)</f>
        <v>バックストリートファイト</v>
      </c>
      <c r="E5" s="85" t="str">
        <f ca="1">VLOOKUP($C5,OFFSET([2]quests!$A$1,0,0,COUNTA([2]quests!$A:$A),MATCH(E$1,[2]quests!$1:$1,0)-MATCH($C$1,[2]quests!$1:$1,0)+1),MATCH(E$1,[2]quests!$1:$1,0)-MATCH($C$1,[2]quests!$1:$1,0)+1,FALSE)</f>
        <v>ドロップイベント5（マルチ専用）</v>
      </c>
      <c r="F5" s="86">
        <v>1</v>
      </c>
      <c r="G5" s="85" t="str">
        <f ca="1">VLOOKUP($C5&amp;"_"&amp;$F5,OFFSET([2]stages!$A$1,0,0,COUNTA([2]stages!$A:$A),MATCH(G$1,[2]stages!$2:$2,0)-MATCH("temp_stage",[2]stages!$2:$2,0)+1),MATCH(G$1,[2]stages!$2:$2,0)-MATCH("temp_stage",[2]stages!$2:$2,0)+1,FALSE)</f>
        <v>【超級】バックストリートファイト</v>
      </c>
      <c r="H5" s="85" t="str">
        <f ca="1">VLOOKUP($C5&amp;"_"&amp;$F5,OFFSET([2]stages!$A$1,0,0,COUNTA([2]stages!$A:$A),MATCH(H$1,[2]stages!$2:$2,0)-MATCH("temp_stage",[2]stages!$2:$2,0)+1),MATCH(H$1,[2]stages!$2:$2,0)-MATCH("temp_stage",[2]stages!$2:$2,0)+1,FALSE)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5" s="87">
        <v>2</v>
      </c>
      <c r="J5" s="86">
        <v>4</v>
      </c>
      <c r="K5" s="88" t="str">
        <f t="shared" si="2"/>
        <v>3001804</v>
      </c>
      <c r="L5" s="86" t="s">
        <v>260</v>
      </c>
      <c r="M5" s="89" t="s">
        <v>261</v>
      </c>
      <c r="N5" s="98" t="s">
        <v>291</v>
      </c>
      <c r="O5" s="54" t="s">
        <v>262</v>
      </c>
    </row>
    <row r="6" spans="1:15" ht="60" x14ac:dyDescent="0.15">
      <c r="A6" s="82" t="str">
        <f t="shared" ref="A6:A8" si="3">C6&amp;"_"&amp;F6&amp;"_"&amp;J6</f>
        <v>30018_1_5</v>
      </c>
      <c r="B6" s="83" t="s">
        <v>274</v>
      </c>
      <c r="C6" s="84">
        <f>floors!C$2</f>
        <v>30018</v>
      </c>
      <c r="D6" s="85" t="str">
        <f ca="1">VLOOKUP($C6,OFFSET([2]quests!$A$1,0,0,COUNTA([2]quests!$A:$A),MATCH(D$1,[2]quests!$1:$1,0)-MATCH($C$1,[2]quests!$1:$1,0)+1),MATCH(D$1,[2]quests!$1:$1,0)-MATCH($C$1,[2]quests!$1:$1,0)+1,FALSE)</f>
        <v>バックストリートファイト</v>
      </c>
      <c r="E6" s="85" t="str">
        <f ca="1">VLOOKUP($C6,OFFSET([2]quests!$A$1,0,0,COUNTA([2]quests!$A:$A),MATCH(E$1,[2]quests!$1:$1,0)-MATCH($C$1,[2]quests!$1:$1,0)+1),MATCH(E$1,[2]quests!$1:$1,0)-MATCH($C$1,[2]quests!$1:$1,0)+1,FALSE)</f>
        <v>ドロップイベント5（マルチ専用）</v>
      </c>
      <c r="F6" s="86">
        <v>1</v>
      </c>
      <c r="G6" s="85" t="str">
        <f ca="1">VLOOKUP($C6&amp;"_"&amp;$F6,OFFSET([2]stages!$A$1,0,0,COUNTA([2]stages!$A:$A),MATCH(G$1,[2]stages!$2:$2,0)-MATCH("temp_stage",[2]stages!$2:$2,0)+1),MATCH(G$1,[2]stages!$2:$2,0)-MATCH("temp_stage",[2]stages!$2:$2,0)+1,FALSE)</f>
        <v>【超級】バックストリートファイト</v>
      </c>
      <c r="H6" s="85" t="str">
        <f ca="1">VLOOKUP($C6&amp;"_"&amp;$F6,OFFSET([2]stages!$A$1,0,0,COUNTA([2]stages!$A:$A),MATCH(H$1,[2]stages!$2:$2,0)-MATCH("temp_stage",[2]stages!$2:$2,0)+1),MATCH(H$1,[2]stages!$2:$2,0)-MATCH("temp_stage",[2]stages!$2:$2,0)+1,FALSE)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6" s="87">
        <v>3</v>
      </c>
      <c r="J6" s="86">
        <v>5</v>
      </c>
      <c r="K6" s="88" t="str">
        <f t="shared" ref="K6:K8" si="4">C6&amp;TEXT(J6,"00")</f>
        <v>3001805</v>
      </c>
      <c r="L6" s="86" t="s">
        <v>260</v>
      </c>
      <c r="M6" s="89" t="s">
        <v>261</v>
      </c>
      <c r="N6" s="98" t="s">
        <v>289</v>
      </c>
      <c r="O6" s="54" t="s">
        <v>262</v>
      </c>
    </row>
    <row r="7" spans="1:15" ht="60" x14ac:dyDescent="0.15">
      <c r="A7" s="82" t="str">
        <f t="shared" si="3"/>
        <v>30018_1_6</v>
      </c>
      <c r="B7" s="83" t="s">
        <v>274</v>
      </c>
      <c r="C7" s="84">
        <f>floors!C$2</f>
        <v>30018</v>
      </c>
      <c r="D7" s="85" t="str">
        <f ca="1">VLOOKUP($C7,OFFSET([2]quests!$A$1,0,0,COUNTA([2]quests!$A:$A),MATCH(D$1,[2]quests!$1:$1,0)-MATCH($C$1,[2]quests!$1:$1,0)+1),MATCH(D$1,[2]quests!$1:$1,0)-MATCH($C$1,[2]quests!$1:$1,0)+1,FALSE)</f>
        <v>バックストリートファイト</v>
      </c>
      <c r="E7" s="85" t="str">
        <f ca="1">VLOOKUP($C7,OFFSET([2]quests!$A$1,0,0,COUNTA([2]quests!$A:$A),MATCH(E$1,[2]quests!$1:$1,0)-MATCH($C$1,[2]quests!$1:$1,0)+1),MATCH(E$1,[2]quests!$1:$1,0)-MATCH($C$1,[2]quests!$1:$1,0)+1,FALSE)</f>
        <v>ドロップイベント5（マルチ専用）</v>
      </c>
      <c r="F7" s="86">
        <v>1</v>
      </c>
      <c r="G7" s="85" t="str">
        <f ca="1">VLOOKUP($C7&amp;"_"&amp;$F7,OFFSET([2]stages!$A$1,0,0,COUNTA([2]stages!$A:$A),MATCH(G$1,[2]stages!$2:$2,0)-MATCH("temp_stage",[2]stages!$2:$2,0)+1),MATCH(G$1,[2]stages!$2:$2,0)-MATCH("temp_stage",[2]stages!$2:$2,0)+1,FALSE)</f>
        <v>【超級】バックストリートファイト</v>
      </c>
      <c r="H7" s="85" t="str">
        <f ca="1">VLOOKUP($C7&amp;"_"&amp;$F7,OFFSET([2]stages!$A$1,0,0,COUNTA([2]stages!$A:$A),MATCH(H$1,[2]stages!$2:$2,0)-MATCH("temp_stage",[2]stages!$2:$2,0)+1),MATCH(H$1,[2]stages!$2:$2,0)-MATCH("temp_stage",[2]stages!$2:$2,0)+1,FALSE)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7" s="87">
        <v>3</v>
      </c>
      <c r="J7" s="86">
        <v>6</v>
      </c>
      <c r="K7" s="88" t="str">
        <f t="shared" si="4"/>
        <v>3001806</v>
      </c>
      <c r="L7" s="86" t="s">
        <v>260</v>
      </c>
      <c r="M7" s="89" t="s">
        <v>261</v>
      </c>
      <c r="N7" s="98" t="s">
        <v>290</v>
      </c>
      <c r="O7" s="54" t="s">
        <v>262</v>
      </c>
    </row>
    <row r="8" spans="1:15" ht="60" x14ac:dyDescent="0.15">
      <c r="A8" s="82" t="str">
        <f t="shared" si="3"/>
        <v>30018_1_7</v>
      </c>
      <c r="B8" s="83" t="s">
        <v>274</v>
      </c>
      <c r="C8" s="84">
        <f>floors!C$2</f>
        <v>30018</v>
      </c>
      <c r="D8" s="85" t="str">
        <f ca="1">VLOOKUP($C8,OFFSET([2]quests!$A$1,0,0,COUNTA([2]quests!$A:$A),MATCH(D$1,[2]quests!$1:$1,0)-MATCH($C$1,[2]quests!$1:$1,0)+1),MATCH(D$1,[2]quests!$1:$1,0)-MATCH($C$1,[2]quests!$1:$1,0)+1,FALSE)</f>
        <v>バックストリートファイト</v>
      </c>
      <c r="E8" s="85" t="str">
        <f ca="1">VLOOKUP($C8,OFFSET([2]quests!$A$1,0,0,COUNTA([2]quests!$A:$A),MATCH(E$1,[2]quests!$1:$1,0)-MATCH($C$1,[2]quests!$1:$1,0)+1),MATCH(E$1,[2]quests!$1:$1,0)-MATCH($C$1,[2]quests!$1:$1,0)+1,FALSE)</f>
        <v>ドロップイベント5（マルチ専用）</v>
      </c>
      <c r="F8" s="86">
        <v>1</v>
      </c>
      <c r="G8" s="85" t="str">
        <f ca="1">VLOOKUP($C8&amp;"_"&amp;$F8,OFFSET([2]stages!$A$1,0,0,COUNTA([2]stages!$A:$A),MATCH(G$1,[2]stages!$2:$2,0)-MATCH("temp_stage",[2]stages!$2:$2,0)+1),MATCH(G$1,[2]stages!$2:$2,0)-MATCH("temp_stage",[2]stages!$2:$2,0)+1,FALSE)</f>
        <v>【超級】バックストリートファイト</v>
      </c>
      <c r="H8" s="85" t="str">
        <f ca="1">VLOOKUP($C8&amp;"_"&amp;$F8,OFFSET([2]stages!$A$1,0,0,COUNTA([2]stages!$A:$A),MATCH(H$1,[2]stages!$2:$2,0)-MATCH("temp_stage",[2]stages!$2:$2,0)+1),MATCH(H$1,[2]stages!$2:$2,0)-MATCH("temp_stage",[2]stages!$2:$2,0)+1,FALSE)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8" s="87">
        <v>3</v>
      </c>
      <c r="J8" s="86">
        <v>7</v>
      </c>
      <c r="K8" s="88" t="str">
        <f t="shared" si="4"/>
        <v>3001807</v>
      </c>
      <c r="L8" s="86" t="s">
        <v>260</v>
      </c>
      <c r="M8" s="89" t="s">
        <v>261</v>
      </c>
      <c r="N8" s="98" t="s">
        <v>291</v>
      </c>
      <c r="O8" s="54" t="s">
        <v>262</v>
      </c>
    </row>
    <row r="9" spans="1:15" ht="60" x14ac:dyDescent="0.15">
      <c r="A9" s="82" t="str">
        <f t="shared" ref="A9:A11" si="5">C9&amp;"_"&amp;F9&amp;"_"&amp;J9</f>
        <v>30018_1_8</v>
      </c>
      <c r="B9" s="83" t="s">
        <v>274</v>
      </c>
      <c r="C9" s="84">
        <f>floors!C$2</f>
        <v>30018</v>
      </c>
      <c r="D9" s="85" t="str">
        <f ca="1">VLOOKUP($C9,OFFSET([2]quests!$A$1,0,0,COUNTA([2]quests!$A:$A),MATCH(D$1,[2]quests!$1:$1,0)-MATCH($C$1,[2]quests!$1:$1,0)+1),MATCH(D$1,[2]quests!$1:$1,0)-MATCH($C$1,[2]quests!$1:$1,0)+1,FALSE)</f>
        <v>バックストリートファイト</v>
      </c>
      <c r="E9" s="85" t="str">
        <f ca="1">VLOOKUP($C9,OFFSET([2]quests!$A$1,0,0,COUNTA([2]quests!$A:$A),MATCH(E$1,[2]quests!$1:$1,0)-MATCH($C$1,[2]quests!$1:$1,0)+1),MATCH(E$1,[2]quests!$1:$1,0)-MATCH($C$1,[2]quests!$1:$1,0)+1,FALSE)</f>
        <v>ドロップイベント5（マルチ専用）</v>
      </c>
      <c r="F9" s="86">
        <v>1</v>
      </c>
      <c r="G9" s="85" t="str">
        <f ca="1">VLOOKUP($C9&amp;"_"&amp;$F9,OFFSET([2]stages!$A$1,0,0,COUNTA([2]stages!$A:$A),MATCH(G$1,[2]stages!$2:$2,0)-MATCH("temp_stage",[2]stages!$2:$2,0)+1),MATCH(G$1,[2]stages!$2:$2,0)-MATCH("temp_stage",[2]stages!$2:$2,0)+1,FALSE)</f>
        <v>【超級】バックストリートファイト</v>
      </c>
      <c r="H9" s="85" t="str">
        <f ca="1">VLOOKUP($C9&amp;"_"&amp;$F9,OFFSET([2]stages!$A$1,0,0,COUNTA([2]stages!$A:$A),MATCH(H$1,[2]stages!$2:$2,0)-MATCH("temp_stage",[2]stages!$2:$2,0)+1),MATCH(H$1,[2]stages!$2:$2,0)-MATCH("temp_stage",[2]stages!$2:$2,0)+1,FALSE)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9" s="87">
        <v>4</v>
      </c>
      <c r="J9" s="86">
        <v>8</v>
      </c>
      <c r="K9" s="88" t="str">
        <f t="shared" ref="K9:K11" si="6">C9&amp;TEXT(J9,"00")</f>
        <v>3001808</v>
      </c>
      <c r="L9" s="86" t="s">
        <v>260</v>
      </c>
      <c r="M9" s="89" t="s">
        <v>261</v>
      </c>
      <c r="N9" s="98" t="s">
        <v>289</v>
      </c>
      <c r="O9" s="54" t="s">
        <v>262</v>
      </c>
    </row>
    <row r="10" spans="1:15" ht="60" x14ac:dyDescent="0.15">
      <c r="A10" s="82" t="str">
        <f t="shared" si="5"/>
        <v>30018_1_9</v>
      </c>
      <c r="B10" s="83" t="s">
        <v>274</v>
      </c>
      <c r="C10" s="84">
        <f>floors!C$2</f>
        <v>30018</v>
      </c>
      <c r="D10" s="85" t="str">
        <f ca="1">VLOOKUP($C10,OFFSET([2]quests!$A$1,0,0,COUNTA([2]quests!$A:$A),MATCH(D$1,[2]quests!$1:$1,0)-MATCH($C$1,[2]quests!$1:$1,0)+1),MATCH(D$1,[2]quests!$1:$1,0)-MATCH($C$1,[2]quests!$1:$1,0)+1,FALSE)</f>
        <v>バックストリートファイト</v>
      </c>
      <c r="E10" s="85" t="str">
        <f ca="1">VLOOKUP($C10,OFFSET([2]quests!$A$1,0,0,COUNTA([2]quests!$A:$A),MATCH(E$1,[2]quests!$1:$1,0)-MATCH($C$1,[2]quests!$1:$1,0)+1),MATCH(E$1,[2]quests!$1:$1,0)-MATCH($C$1,[2]quests!$1:$1,0)+1,FALSE)</f>
        <v>ドロップイベント5（マルチ専用）</v>
      </c>
      <c r="F10" s="86">
        <v>1</v>
      </c>
      <c r="G10" s="85" t="str">
        <f ca="1">VLOOKUP($C10&amp;"_"&amp;$F10,OFFSET([2]stages!$A$1,0,0,COUNTA([2]stages!$A:$A),MATCH(G$1,[2]stages!$2:$2,0)-MATCH("temp_stage",[2]stages!$2:$2,0)+1),MATCH(G$1,[2]stages!$2:$2,0)-MATCH("temp_stage",[2]stages!$2:$2,0)+1,FALSE)</f>
        <v>【超級】バックストリートファイト</v>
      </c>
      <c r="H10" s="85" t="str">
        <f ca="1">VLOOKUP($C10&amp;"_"&amp;$F10,OFFSET([2]stages!$A$1,0,0,COUNTA([2]stages!$A:$A),MATCH(H$1,[2]stages!$2:$2,0)-MATCH("temp_stage",[2]stages!$2:$2,0)+1),MATCH(H$1,[2]stages!$2:$2,0)-MATCH("temp_stage",[2]stages!$2:$2,0)+1,FALSE)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0" s="87">
        <v>4</v>
      </c>
      <c r="J10" s="86">
        <v>9</v>
      </c>
      <c r="K10" s="88" t="str">
        <f t="shared" si="6"/>
        <v>3001809</v>
      </c>
      <c r="L10" s="86" t="s">
        <v>260</v>
      </c>
      <c r="M10" s="89" t="s">
        <v>261</v>
      </c>
      <c r="N10" s="98" t="s">
        <v>290</v>
      </c>
      <c r="O10" s="54" t="s">
        <v>262</v>
      </c>
    </row>
    <row r="11" spans="1:15" ht="60" x14ac:dyDescent="0.15">
      <c r="A11" s="82" t="str">
        <f t="shared" si="5"/>
        <v>30018_1_10</v>
      </c>
      <c r="B11" s="83" t="s">
        <v>274</v>
      </c>
      <c r="C11" s="84">
        <f>floors!C$2</f>
        <v>30018</v>
      </c>
      <c r="D11" s="85" t="str">
        <f ca="1">VLOOKUP($C11,OFFSET([2]quests!$A$1,0,0,COUNTA([2]quests!$A:$A),MATCH(D$1,[2]quests!$1:$1,0)-MATCH($C$1,[2]quests!$1:$1,0)+1),MATCH(D$1,[2]quests!$1:$1,0)-MATCH($C$1,[2]quests!$1:$1,0)+1,FALSE)</f>
        <v>バックストリートファイト</v>
      </c>
      <c r="E11" s="85" t="str">
        <f ca="1">VLOOKUP($C11,OFFSET([2]quests!$A$1,0,0,COUNTA([2]quests!$A:$A),MATCH(E$1,[2]quests!$1:$1,0)-MATCH($C$1,[2]quests!$1:$1,0)+1),MATCH(E$1,[2]quests!$1:$1,0)-MATCH($C$1,[2]quests!$1:$1,0)+1,FALSE)</f>
        <v>ドロップイベント5（マルチ専用）</v>
      </c>
      <c r="F11" s="86">
        <v>1</v>
      </c>
      <c r="G11" s="85" t="str">
        <f ca="1">VLOOKUP($C11&amp;"_"&amp;$F11,OFFSET([2]stages!$A$1,0,0,COUNTA([2]stages!$A:$A),MATCH(G$1,[2]stages!$2:$2,0)-MATCH("temp_stage",[2]stages!$2:$2,0)+1),MATCH(G$1,[2]stages!$2:$2,0)-MATCH("temp_stage",[2]stages!$2:$2,0)+1,FALSE)</f>
        <v>【超級】バックストリートファイト</v>
      </c>
      <c r="H11" s="85" t="str">
        <f ca="1">VLOOKUP($C11&amp;"_"&amp;$F11,OFFSET([2]stages!$A$1,0,0,COUNTA([2]stages!$A:$A),MATCH(H$1,[2]stages!$2:$2,0)-MATCH("temp_stage",[2]stages!$2:$2,0)+1),MATCH(H$1,[2]stages!$2:$2,0)-MATCH("temp_stage",[2]stages!$2:$2,0)+1,FALSE)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1" s="87">
        <v>4</v>
      </c>
      <c r="J11" s="86">
        <v>10</v>
      </c>
      <c r="K11" s="88" t="str">
        <f t="shared" si="6"/>
        <v>3001810</v>
      </c>
      <c r="L11" s="86" t="s">
        <v>260</v>
      </c>
      <c r="M11" s="89" t="s">
        <v>261</v>
      </c>
      <c r="N11" s="98" t="s">
        <v>291</v>
      </c>
      <c r="O11" s="54" t="s">
        <v>262</v>
      </c>
    </row>
    <row r="12" spans="1:15" ht="60" x14ac:dyDescent="0.15">
      <c r="A12" s="82" t="str">
        <f t="shared" si="1"/>
        <v>30018_2_11</v>
      </c>
      <c r="B12" s="83" t="s">
        <v>274</v>
      </c>
      <c r="C12" s="84">
        <f>floors!C$2</f>
        <v>30018</v>
      </c>
      <c r="D12" s="85" t="str">
        <f ca="1">VLOOKUP($C12,OFFSET([2]quests!$A$1,0,0,COUNTA([2]quests!$A:$A),MATCH(D$1,[2]quests!$1:$1,0)-MATCH($C$1,[2]quests!$1:$1,0)+1),MATCH(D$1,[2]quests!$1:$1,0)-MATCH($C$1,[2]quests!$1:$1,0)+1,FALSE)</f>
        <v>バックストリートファイト</v>
      </c>
      <c r="E12" s="85" t="str">
        <f ca="1">VLOOKUP($C12,OFFSET([2]quests!$A$1,0,0,COUNTA([2]quests!$A:$A),MATCH(E$1,[2]quests!$1:$1,0)-MATCH($C$1,[2]quests!$1:$1,0)+1),MATCH(E$1,[2]quests!$1:$1,0)-MATCH($C$1,[2]quests!$1:$1,0)+1,FALSE)</f>
        <v>ドロップイベント5（マルチ専用）</v>
      </c>
      <c r="F12" s="86">
        <v>2</v>
      </c>
      <c r="G12" s="85" t="str">
        <f ca="1">VLOOKUP($C12&amp;"_"&amp;$F12,OFFSET([2]stages!$A$1,0,0,COUNTA([2]stages!$A:$A),MATCH(G$1,[2]stages!$2:$2,0)-MATCH("temp_stage",[2]stages!$2:$2,0)+1),MATCH(G$1,[2]stages!$2:$2,0)-MATCH("temp_stage",[2]stages!$2:$2,0)+1,FALSE)</f>
        <v>【超絶級】バックストリートファイト</v>
      </c>
      <c r="H12" s="85" t="str">
        <f ca="1">VLOOKUP($C12&amp;"_"&amp;$F12,OFFSET([2]stages!$A$1,0,0,COUNTA([2]stages!$A:$A),MATCH(H$1,[2]stages!$2:$2,0)-MATCH("temp_stage",[2]stages!$2:$2,0)+1),MATCH(H$1,[2]stages!$2:$2,0)-MATCH("temp_stage",[2]stages!$2:$2,0)+1,FALSE)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2" s="87">
        <v>1</v>
      </c>
      <c r="J12" s="86">
        <v>11</v>
      </c>
      <c r="K12" s="88" t="str">
        <f>C12&amp;TEXT(J12,"00")</f>
        <v>3001811</v>
      </c>
      <c r="L12" s="86" t="s">
        <v>260</v>
      </c>
      <c r="M12" s="89" t="s">
        <v>261</v>
      </c>
      <c r="N12" s="98" t="s">
        <v>288</v>
      </c>
      <c r="O12" s="54" t="s">
        <v>262</v>
      </c>
    </row>
    <row r="13" spans="1:15" ht="60" x14ac:dyDescent="0.15">
      <c r="A13" s="82" t="str">
        <f t="shared" ref="A13:A21" si="7">C13&amp;"_"&amp;F13&amp;"_"&amp;J13</f>
        <v>30018_2_12</v>
      </c>
      <c r="B13" s="83" t="s">
        <v>274</v>
      </c>
      <c r="C13" s="84">
        <f>floors!C$2</f>
        <v>30018</v>
      </c>
      <c r="D13" s="85" t="str">
        <f ca="1">VLOOKUP($C13,OFFSET([2]quests!$A$1,0,0,COUNTA([2]quests!$A:$A),MATCH(D$1,[2]quests!$1:$1,0)-MATCH($C$1,[2]quests!$1:$1,0)+1),MATCH(D$1,[2]quests!$1:$1,0)-MATCH($C$1,[2]quests!$1:$1,0)+1,FALSE)</f>
        <v>バックストリートファイト</v>
      </c>
      <c r="E13" s="85" t="str">
        <f ca="1">VLOOKUP($C13,OFFSET([2]quests!$A$1,0,0,COUNTA([2]quests!$A:$A),MATCH(E$1,[2]quests!$1:$1,0)-MATCH($C$1,[2]quests!$1:$1,0)+1),MATCH(E$1,[2]quests!$1:$1,0)-MATCH($C$1,[2]quests!$1:$1,0)+1,FALSE)</f>
        <v>ドロップイベント5（マルチ専用）</v>
      </c>
      <c r="F13" s="86">
        <v>2</v>
      </c>
      <c r="G13" s="85" t="str">
        <f ca="1">VLOOKUP($C13&amp;"_"&amp;$F13,OFFSET([2]stages!$A$1,0,0,COUNTA([2]stages!$A:$A),MATCH(G$1,[2]stages!$2:$2,0)-MATCH("temp_stage",[2]stages!$2:$2,0)+1),MATCH(G$1,[2]stages!$2:$2,0)-MATCH("temp_stage",[2]stages!$2:$2,0)+1,FALSE)</f>
        <v>【超絶級】バックストリートファイト</v>
      </c>
      <c r="H13" s="85" t="str">
        <f ca="1">VLOOKUP($C13&amp;"_"&amp;$F13,OFFSET([2]stages!$A$1,0,0,COUNTA([2]stages!$A:$A),MATCH(H$1,[2]stages!$2:$2,0)-MATCH("temp_stage",[2]stages!$2:$2,0)+1),MATCH(H$1,[2]stages!$2:$2,0)-MATCH("temp_stage",[2]stages!$2:$2,0)+1,FALSE)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3" s="87">
        <v>2</v>
      </c>
      <c r="J13" s="86">
        <v>12</v>
      </c>
      <c r="K13" s="88" t="str">
        <f t="shared" ref="K13:K21" si="8">C13&amp;TEXT(J13,"00")</f>
        <v>3001812</v>
      </c>
      <c r="L13" s="86" t="s">
        <v>260</v>
      </c>
      <c r="M13" s="89" t="s">
        <v>261</v>
      </c>
      <c r="N13" s="98" t="s">
        <v>289</v>
      </c>
      <c r="O13" s="54" t="s">
        <v>262</v>
      </c>
    </row>
    <row r="14" spans="1:15" ht="60" x14ac:dyDescent="0.15">
      <c r="A14" s="82" t="str">
        <f t="shared" si="7"/>
        <v>30018_2_13</v>
      </c>
      <c r="B14" s="83" t="s">
        <v>274</v>
      </c>
      <c r="C14" s="84">
        <f>floors!C$2</f>
        <v>30018</v>
      </c>
      <c r="D14" s="85" t="str">
        <f ca="1">VLOOKUP($C14,OFFSET([2]quests!$A$1,0,0,COUNTA([2]quests!$A:$A),MATCH(D$1,[2]quests!$1:$1,0)-MATCH($C$1,[2]quests!$1:$1,0)+1),MATCH(D$1,[2]quests!$1:$1,0)-MATCH($C$1,[2]quests!$1:$1,0)+1,FALSE)</f>
        <v>バックストリートファイト</v>
      </c>
      <c r="E14" s="85" t="str">
        <f ca="1">VLOOKUP($C14,OFFSET([2]quests!$A$1,0,0,COUNTA([2]quests!$A:$A),MATCH(E$1,[2]quests!$1:$1,0)-MATCH($C$1,[2]quests!$1:$1,0)+1),MATCH(E$1,[2]quests!$1:$1,0)-MATCH($C$1,[2]quests!$1:$1,0)+1,FALSE)</f>
        <v>ドロップイベント5（マルチ専用）</v>
      </c>
      <c r="F14" s="86">
        <v>2</v>
      </c>
      <c r="G14" s="85" t="str">
        <f ca="1">VLOOKUP($C14&amp;"_"&amp;$F14,OFFSET([2]stages!$A$1,0,0,COUNTA([2]stages!$A:$A),MATCH(G$1,[2]stages!$2:$2,0)-MATCH("temp_stage",[2]stages!$2:$2,0)+1),MATCH(G$1,[2]stages!$2:$2,0)-MATCH("temp_stage",[2]stages!$2:$2,0)+1,FALSE)</f>
        <v>【超絶級】バックストリートファイト</v>
      </c>
      <c r="H14" s="85" t="str">
        <f ca="1">VLOOKUP($C14&amp;"_"&amp;$F14,OFFSET([2]stages!$A$1,0,0,COUNTA([2]stages!$A:$A),MATCH(H$1,[2]stages!$2:$2,0)-MATCH("temp_stage",[2]stages!$2:$2,0)+1),MATCH(H$1,[2]stages!$2:$2,0)-MATCH("temp_stage",[2]stages!$2:$2,0)+1,FALSE)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4" s="87">
        <v>2</v>
      </c>
      <c r="J14" s="86">
        <v>13</v>
      </c>
      <c r="K14" s="88" t="str">
        <f t="shared" si="8"/>
        <v>3001813</v>
      </c>
      <c r="L14" s="86" t="s">
        <v>260</v>
      </c>
      <c r="M14" s="89" t="s">
        <v>261</v>
      </c>
      <c r="N14" s="98" t="s">
        <v>290</v>
      </c>
      <c r="O14" s="54" t="s">
        <v>262</v>
      </c>
    </row>
    <row r="15" spans="1:15" ht="60" x14ac:dyDescent="0.15">
      <c r="A15" s="82" t="str">
        <f t="shared" si="7"/>
        <v>30018_2_14</v>
      </c>
      <c r="B15" s="83" t="s">
        <v>274</v>
      </c>
      <c r="C15" s="84">
        <f>floors!C$2</f>
        <v>30018</v>
      </c>
      <c r="D15" s="85" t="str">
        <f ca="1">VLOOKUP($C15,OFFSET([2]quests!$A$1,0,0,COUNTA([2]quests!$A:$A),MATCH(D$1,[2]quests!$1:$1,0)-MATCH($C$1,[2]quests!$1:$1,0)+1),MATCH(D$1,[2]quests!$1:$1,0)-MATCH($C$1,[2]quests!$1:$1,0)+1,FALSE)</f>
        <v>バックストリートファイト</v>
      </c>
      <c r="E15" s="85" t="str">
        <f ca="1">VLOOKUP($C15,OFFSET([2]quests!$A$1,0,0,COUNTA([2]quests!$A:$A),MATCH(E$1,[2]quests!$1:$1,0)-MATCH($C$1,[2]quests!$1:$1,0)+1),MATCH(E$1,[2]quests!$1:$1,0)-MATCH($C$1,[2]quests!$1:$1,0)+1,FALSE)</f>
        <v>ドロップイベント5（マルチ専用）</v>
      </c>
      <c r="F15" s="86">
        <v>2</v>
      </c>
      <c r="G15" s="85" t="str">
        <f ca="1">VLOOKUP($C15&amp;"_"&amp;$F15,OFFSET([2]stages!$A$1,0,0,COUNTA([2]stages!$A:$A),MATCH(G$1,[2]stages!$2:$2,0)-MATCH("temp_stage",[2]stages!$2:$2,0)+1),MATCH(G$1,[2]stages!$2:$2,0)-MATCH("temp_stage",[2]stages!$2:$2,0)+1,FALSE)</f>
        <v>【超絶級】バックストリートファイト</v>
      </c>
      <c r="H15" s="85" t="str">
        <f ca="1">VLOOKUP($C15&amp;"_"&amp;$F15,OFFSET([2]stages!$A$1,0,0,COUNTA([2]stages!$A:$A),MATCH(H$1,[2]stages!$2:$2,0)-MATCH("temp_stage",[2]stages!$2:$2,0)+1),MATCH(H$1,[2]stages!$2:$2,0)-MATCH("temp_stage",[2]stages!$2:$2,0)+1,FALSE)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5" s="87">
        <v>2</v>
      </c>
      <c r="J15" s="86">
        <v>14</v>
      </c>
      <c r="K15" s="88" t="str">
        <f t="shared" si="8"/>
        <v>3001814</v>
      </c>
      <c r="L15" s="86" t="s">
        <v>260</v>
      </c>
      <c r="M15" s="89" t="s">
        <v>261</v>
      </c>
      <c r="N15" s="98" t="s">
        <v>291</v>
      </c>
      <c r="O15" s="54" t="s">
        <v>262</v>
      </c>
    </row>
    <row r="16" spans="1:15" ht="60" x14ac:dyDescent="0.15">
      <c r="A16" s="82" t="str">
        <f t="shared" si="7"/>
        <v>30018_2_15</v>
      </c>
      <c r="B16" s="83" t="s">
        <v>274</v>
      </c>
      <c r="C16" s="84">
        <f>floors!C$2</f>
        <v>30018</v>
      </c>
      <c r="D16" s="85" t="str">
        <f ca="1">VLOOKUP($C16,OFFSET([2]quests!$A$1,0,0,COUNTA([2]quests!$A:$A),MATCH(D$1,[2]quests!$1:$1,0)-MATCH($C$1,[2]quests!$1:$1,0)+1),MATCH(D$1,[2]quests!$1:$1,0)-MATCH($C$1,[2]quests!$1:$1,0)+1,FALSE)</f>
        <v>バックストリートファイト</v>
      </c>
      <c r="E16" s="85" t="str">
        <f ca="1">VLOOKUP($C16,OFFSET([2]quests!$A$1,0,0,COUNTA([2]quests!$A:$A),MATCH(E$1,[2]quests!$1:$1,0)-MATCH($C$1,[2]quests!$1:$1,0)+1),MATCH(E$1,[2]quests!$1:$1,0)-MATCH($C$1,[2]quests!$1:$1,0)+1,FALSE)</f>
        <v>ドロップイベント5（マルチ専用）</v>
      </c>
      <c r="F16" s="86">
        <v>2</v>
      </c>
      <c r="G16" s="85" t="str">
        <f ca="1">VLOOKUP($C16&amp;"_"&amp;$F16,OFFSET([2]stages!$A$1,0,0,COUNTA([2]stages!$A:$A),MATCH(G$1,[2]stages!$2:$2,0)-MATCH("temp_stage",[2]stages!$2:$2,0)+1),MATCH(G$1,[2]stages!$2:$2,0)-MATCH("temp_stage",[2]stages!$2:$2,0)+1,FALSE)</f>
        <v>【超絶級】バックストリートファイト</v>
      </c>
      <c r="H16" s="85" t="str">
        <f ca="1">VLOOKUP($C16&amp;"_"&amp;$F16,OFFSET([2]stages!$A$1,0,0,COUNTA([2]stages!$A:$A),MATCH(H$1,[2]stages!$2:$2,0)-MATCH("temp_stage",[2]stages!$2:$2,0)+1),MATCH(H$1,[2]stages!$2:$2,0)-MATCH("temp_stage",[2]stages!$2:$2,0)+1,FALSE)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6" s="87">
        <v>3</v>
      </c>
      <c r="J16" s="86">
        <v>15</v>
      </c>
      <c r="K16" s="88" t="str">
        <f t="shared" si="8"/>
        <v>3001815</v>
      </c>
      <c r="L16" s="86" t="s">
        <v>260</v>
      </c>
      <c r="M16" s="89" t="s">
        <v>261</v>
      </c>
      <c r="N16" s="98" t="s">
        <v>289</v>
      </c>
      <c r="O16" s="54" t="s">
        <v>262</v>
      </c>
    </row>
    <row r="17" spans="1:15" ht="60" x14ac:dyDescent="0.15">
      <c r="A17" s="82" t="str">
        <f t="shared" si="7"/>
        <v>30018_2_16</v>
      </c>
      <c r="B17" s="83" t="s">
        <v>274</v>
      </c>
      <c r="C17" s="84">
        <f>floors!C$2</f>
        <v>30018</v>
      </c>
      <c r="D17" s="85" t="str">
        <f ca="1">VLOOKUP($C17,OFFSET([2]quests!$A$1,0,0,COUNTA([2]quests!$A:$A),MATCH(D$1,[2]quests!$1:$1,0)-MATCH($C$1,[2]quests!$1:$1,0)+1),MATCH(D$1,[2]quests!$1:$1,0)-MATCH($C$1,[2]quests!$1:$1,0)+1,FALSE)</f>
        <v>バックストリートファイト</v>
      </c>
      <c r="E17" s="85" t="str">
        <f ca="1">VLOOKUP($C17,OFFSET([2]quests!$A$1,0,0,COUNTA([2]quests!$A:$A),MATCH(E$1,[2]quests!$1:$1,0)-MATCH($C$1,[2]quests!$1:$1,0)+1),MATCH(E$1,[2]quests!$1:$1,0)-MATCH($C$1,[2]quests!$1:$1,0)+1,FALSE)</f>
        <v>ドロップイベント5（マルチ専用）</v>
      </c>
      <c r="F17" s="86">
        <v>2</v>
      </c>
      <c r="G17" s="85" t="str">
        <f ca="1">VLOOKUP($C17&amp;"_"&amp;$F17,OFFSET([2]stages!$A$1,0,0,COUNTA([2]stages!$A:$A),MATCH(G$1,[2]stages!$2:$2,0)-MATCH("temp_stage",[2]stages!$2:$2,0)+1),MATCH(G$1,[2]stages!$2:$2,0)-MATCH("temp_stage",[2]stages!$2:$2,0)+1,FALSE)</f>
        <v>【超絶級】バックストリートファイト</v>
      </c>
      <c r="H17" s="85" t="str">
        <f ca="1">VLOOKUP($C17&amp;"_"&amp;$F17,OFFSET([2]stages!$A$1,0,0,COUNTA([2]stages!$A:$A),MATCH(H$1,[2]stages!$2:$2,0)-MATCH("temp_stage",[2]stages!$2:$2,0)+1),MATCH(H$1,[2]stages!$2:$2,0)-MATCH("temp_stage",[2]stages!$2:$2,0)+1,FALSE)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7" s="87">
        <v>3</v>
      </c>
      <c r="J17" s="86">
        <v>16</v>
      </c>
      <c r="K17" s="88" t="str">
        <f t="shared" si="8"/>
        <v>3001816</v>
      </c>
      <c r="L17" s="86" t="s">
        <v>260</v>
      </c>
      <c r="M17" s="89" t="s">
        <v>261</v>
      </c>
      <c r="N17" s="98" t="s">
        <v>290</v>
      </c>
      <c r="O17" s="54" t="s">
        <v>262</v>
      </c>
    </row>
    <row r="18" spans="1:15" ht="60" x14ac:dyDescent="0.15">
      <c r="A18" s="82" t="str">
        <f t="shared" si="7"/>
        <v>30018_2_17</v>
      </c>
      <c r="B18" s="83" t="s">
        <v>274</v>
      </c>
      <c r="C18" s="84">
        <f>floors!C$2</f>
        <v>30018</v>
      </c>
      <c r="D18" s="85" t="str">
        <f ca="1">VLOOKUP($C18,OFFSET([2]quests!$A$1,0,0,COUNTA([2]quests!$A:$A),MATCH(D$1,[2]quests!$1:$1,0)-MATCH($C$1,[2]quests!$1:$1,0)+1),MATCH(D$1,[2]quests!$1:$1,0)-MATCH($C$1,[2]quests!$1:$1,0)+1,FALSE)</f>
        <v>バックストリートファイト</v>
      </c>
      <c r="E18" s="85" t="str">
        <f ca="1">VLOOKUP($C18,OFFSET([2]quests!$A$1,0,0,COUNTA([2]quests!$A:$A),MATCH(E$1,[2]quests!$1:$1,0)-MATCH($C$1,[2]quests!$1:$1,0)+1),MATCH(E$1,[2]quests!$1:$1,0)-MATCH($C$1,[2]quests!$1:$1,0)+1,FALSE)</f>
        <v>ドロップイベント5（マルチ専用）</v>
      </c>
      <c r="F18" s="86">
        <v>2</v>
      </c>
      <c r="G18" s="85" t="str">
        <f ca="1">VLOOKUP($C18&amp;"_"&amp;$F18,OFFSET([2]stages!$A$1,0,0,COUNTA([2]stages!$A:$A),MATCH(G$1,[2]stages!$2:$2,0)-MATCH("temp_stage",[2]stages!$2:$2,0)+1),MATCH(G$1,[2]stages!$2:$2,0)-MATCH("temp_stage",[2]stages!$2:$2,0)+1,FALSE)</f>
        <v>【超絶級】バックストリートファイト</v>
      </c>
      <c r="H18" s="85" t="str">
        <f ca="1">VLOOKUP($C18&amp;"_"&amp;$F18,OFFSET([2]stages!$A$1,0,0,COUNTA([2]stages!$A:$A),MATCH(H$1,[2]stages!$2:$2,0)-MATCH("temp_stage",[2]stages!$2:$2,0)+1),MATCH(H$1,[2]stages!$2:$2,0)-MATCH("temp_stage",[2]stages!$2:$2,0)+1,FALSE)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8" s="87">
        <v>3</v>
      </c>
      <c r="J18" s="86">
        <v>17</v>
      </c>
      <c r="K18" s="88" t="str">
        <f t="shared" si="8"/>
        <v>3001817</v>
      </c>
      <c r="L18" s="86" t="s">
        <v>260</v>
      </c>
      <c r="M18" s="89" t="s">
        <v>261</v>
      </c>
      <c r="N18" s="98" t="s">
        <v>291</v>
      </c>
      <c r="O18" s="54" t="s">
        <v>262</v>
      </c>
    </row>
    <row r="19" spans="1:15" ht="60" x14ac:dyDescent="0.15">
      <c r="A19" s="82" t="str">
        <f t="shared" si="7"/>
        <v>30018_2_18</v>
      </c>
      <c r="B19" s="83" t="s">
        <v>274</v>
      </c>
      <c r="C19" s="84">
        <f>floors!C$2</f>
        <v>30018</v>
      </c>
      <c r="D19" s="85" t="str">
        <f ca="1">VLOOKUP($C19,OFFSET([2]quests!$A$1,0,0,COUNTA([2]quests!$A:$A),MATCH(D$1,[2]quests!$1:$1,0)-MATCH($C$1,[2]quests!$1:$1,0)+1),MATCH(D$1,[2]quests!$1:$1,0)-MATCH($C$1,[2]quests!$1:$1,0)+1,FALSE)</f>
        <v>バックストリートファイト</v>
      </c>
      <c r="E19" s="85" t="str">
        <f ca="1">VLOOKUP($C19,OFFSET([2]quests!$A$1,0,0,COUNTA([2]quests!$A:$A),MATCH(E$1,[2]quests!$1:$1,0)-MATCH($C$1,[2]quests!$1:$1,0)+1),MATCH(E$1,[2]quests!$1:$1,0)-MATCH($C$1,[2]quests!$1:$1,0)+1,FALSE)</f>
        <v>ドロップイベント5（マルチ専用）</v>
      </c>
      <c r="F19" s="86">
        <v>2</v>
      </c>
      <c r="G19" s="85" t="str">
        <f ca="1">VLOOKUP($C19&amp;"_"&amp;$F19,OFFSET([2]stages!$A$1,0,0,COUNTA([2]stages!$A:$A),MATCH(G$1,[2]stages!$2:$2,0)-MATCH("temp_stage",[2]stages!$2:$2,0)+1),MATCH(G$1,[2]stages!$2:$2,0)-MATCH("temp_stage",[2]stages!$2:$2,0)+1,FALSE)</f>
        <v>【超絶級】バックストリートファイト</v>
      </c>
      <c r="H19" s="85" t="str">
        <f ca="1">VLOOKUP($C19&amp;"_"&amp;$F19,OFFSET([2]stages!$A$1,0,0,COUNTA([2]stages!$A:$A),MATCH(H$1,[2]stages!$2:$2,0)-MATCH("temp_stage",[2]stages!$2:$2,0)+1),MATCH(H$1,[2]stages!$2:$2,0)-MATCH("temp_stage",[2]stages!$2:$2,0)+1,FALSE)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19" s="87">
        <v>4</v>
      </c>
      <c r="J19" s="86">
        <v>18</v>
      </c>
      <c r="K19" s="88" t="str">
        <f t="shared" si="8"/>
        <v>3001818</v>
      </c>
      <c r="L19" s="86" t="s">
        <v>260</v>
      </c>
      <c r="M19" s="89" t="s">
        <v>261</v>
      </c>
      <c r="N19" s="98" t="s">
        <v>289</v>
      </c>
      <c r="O19" s="54" t="s">
        <v>262</v>
      </c>
    </row>
    <row r="20" spans="1:15" ht="60" x14ac:dyDescent="0.15">
      <c r="A20" s="82" t="str">
        <f t="shared" si="7"/>
        <v>30018_2_19</v>
      </c>
      <c r="B20" s="83" t="s">
        <v>274</v>
      </c>
      <c r="C20" s="84">
        <f>floors!C$2</f>
        <v>30018</v>
      </c>
      <c r="D20" s="85" t="str">
        <f ca="1">VLOOKUP($C20,OFFSET([2]quests!$A$1,0,0,COUNTA([2]quests!$A:$A),MATCH(D$1,[2]quests!$1:$1,0)-MATCH($C$1,[2]quests!$1:$1,0)+1),MATCH(D$1,[2]quests!$1:$1,0)-MATCH($C$1,[2]quests!$1:$1,0)+1,FALSE)</f>
        <v>バックストリートファイト</v>
      </c>
      <c r="E20" s="85" t="str">
        <f ca="1">VLOOKUP($C20,OFFSET([2]quests!$A$1,0,0,COUNTA([2]quests!$A:$A),MATCH(E$1,[2]quests!$1:$1,0)-MATCH($C$1,[2]quests!$1:$1,0)+1),MATCH(E$1,[2]quests!$1:$1,0)-MATCH($C$1,[2]quests!$1:$1,0)+1,FALSE)</f>
        <v>ドロップイベント5（マルチ専用）</v>
      </c>
      <c r="F20" s="86">
        <v>2</v>
      </c>
      <c r="G20" s="85" t="str">
        <f ca="1">VLOOKUP($C20&amp;"_"&amp;$F20,OFFSET([2]stages!$A$1,0,0,COUNTA([2]stages!$A:$A),MATCH(G$1,[2]stages!$2:$2,0)-MATCH("temp_stage",[2]stages!$2:$2,0)+1),MATCH(G$1,[2]stages!$2:$2,0)-MATCH("temp_stage",[2]stages!$2:$2,0)+1,FALSE)</f>
        <v>【超絶級】バックストリートファイト</v>
      </c>
      <c r="H20" s="85" t="str">
        <f ca="1">VLOOKUP($C20&amp;"_"&amp;$F20,OFFSET([2]stages!$A$1,0,0,COUNTA([2]stages!$A:$A),MATCH(H$1,[2]stages!$2:$2,0)-MATCH("temp_stage",[2]stages!$2:$2,0)+1),MATCH(H$1,[2]stages!$2:$2,0)-MATCH("temp_stage",[2]stages!$2:$2,0)+1,FALSE)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0" s="87">
        <v>4</v>
      </c>
      <c r="J20" s="86">
        <v>19</v>
      </c>
      <c r="K20" s="88" t="str">
        <f t="shared" si="8"/>
        <v>3001819</v>
      </c>
      <c r="L20" s="86" t="s">
        <v>260</v>
      </c>
      <c r="M20" s="89" t="s">
        <v>261</v>
      </c>
      <c r="N20" s="98" t="s">
        <v>290</v>
      </c>
      <c r="O20" s="54" t="s">
        <v>262</v>
      </c>
    </row>
    <row r="21" spans="1:15" ht="60" x14ac:dyDescent="0.15">
      <c r="A21" s="82" t="str">
        <f t="shared" si="7"/>
        <v>30018_2_20</v>
      </c>
      <c r="B21" s="83" t="s">
        <v>274</v>
      </c>
      <c r="C21" s="84">
        <f>floors!C$2</f>
        <v>30018</v>
      </c>
      <c r="D21" s="85" t="str">
        <f ca="1">VLOOKUP($C21,OFFSET([2]quests!$A$1,0,0,COUNTA([2]quests!$A:$A),MATCH(D$1,[2]quests!$1:$1,0)-MATCH($C$1,[2]quests!$1:$1,0)+1),MATCH(D$1,[2]quests!$1:$1,0)-MATCH($C$1,[2]quests!$1:$1,0)+1,FALSE)</f>
        <v>バックストリートファイト</v>
      </c>
      <c r="E21" s="85" t="str">
        <f ca="1">VLOOKUP($C21,OFFSET([2]quests!$A$1,0,0,COUNTA([2]quests!$A:$A),MATCH(E$1,[2]quests!$1:$1,0)-MATCH($C$1,[2]quests!$1:$1,0)+1),MATCH(E$1,[2]quests!$1:$1,0)-MATCH($C$1,[2]quests!$1:$1,0)+1,FALSE)</f>
        <v>ドロップイベント5（マルチ専用）</v>
      </c>
      <c r="F21" s="86">
        <v>2</v>
      </c>
      <c r="G21" s="85" t="str">
        <f ca="1">VLOOKUP($C21&amp;"_"&amp;$F21,OFFSET([2]stages!$A$1,0,0,COUNTA([2]stages!$A:$A),MATCH(G$1,[2]stages!$2:$2,0)-MATCH("temp_stage",[2]stages!$2:$2,0)+1),MATCH(G$1,[2]stages!$2:$2,0)-MATCH("temp_stage",[2]stages!$2:$2,0)+1,FALSE)</f>
        <v>【超絶級】バックストリートファイト</v>
      </c>
      <c r="H21" s="85" t="str">
        <f ca="1">VLOOKUP($C21&amp;"_"&amp;$F21,OFFSET([2]stages!$A$1,0,0,COUNTA([2]stages!$A:$A),MATCH(H$1,[2]stages!$2:$2,0)-MATCH("temp_stage",[2]stages!$2:$2,0)+1),MATCH(H$1,[2]stages!$2:$2,0)-MATCH("temp_stage",[2]stages!$2:$2,0)+1,FALSE)</f>
        <v>ドロップイベント5（マルチ専用）</v>
      </c>
      <c r="I21" s="87">
        <v>4</v>
      </c>
      <c r="J21" s="86">
        <v>20</v>
      </c>
      <c r="K21" s="88" t="str">
        <f t="shared" si="8"/>
        <v>3001820</v>
      </c>
      <c r="L21" s="86" t="s">
        <v>260</v>
      </c>
      <c r="M21" s="89" t="s">
        <v>261</v>
      </c>
      <c r="N21" s="98" t="s">
        <v>291</v>
      </c>
      <c r="O21" s="54" t="s">
        <v>262</v>
      </c>
    </row>
  </sheetData>
  <phoneticPr fontId="5"/>
  <dataValidations count="1">
    <dataValidation type="list" allowBlank="1" showInputMessage="1" showErrorMessage="1" sqref="B2:B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2017-03-08T03:48:43Z</dcterms:modified>
</cp:coreProperties>
</file>