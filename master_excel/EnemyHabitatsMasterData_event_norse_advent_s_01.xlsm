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460" windowWidth="24380" windowHeight="150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8" l="1"/>
  <c r="C15" i="18"/>
  <c r="D15" i="18"/>
  <c r="A14" i="18"/>
  <c r="C14" i="18"/>
  <c r="D14" i="18"/>
  <c r="A13" i="18"/>
  <c r="C13" i="18"/>
  <c r="D13" i="18"/>
  <c r="A65" i="9"/>
  <c r="D65" i="9"/>
  <c r="E65" i="9"/>
  <c r="G65" i="9"/>
  <c r="H65" i="9"/>
  <c r="I65" i="9"/>
  <c r="J65" i="9"/>
  <c r="K65" i="9"/>
  <c r="L65" i="9"/>
  <c r="M65" i="9"/>
  <c r="N65" i="9"/>
  <c r="J67" i="11"/>
  <c r="O65" i="9"/>
  <c r="J66" i="11"/>
  <c r="O64" i="9"/>
  <c r="N64" i="9"/>
  <c r="M64" i="9"/>
  <c r="L64" i="9"/>
  <c r="K64" i="9"/>
  <c r="J64" i="9"/>
  <c r="I64" i="9"/>
  <c r="H64" i="9"/>
  <c r="G64" i="9"/>
  <c r="E64" i="9"/>
  <c r="D64" i="9"/>
  <c r="A64" i="9"/>
  <c r="J65" i="11"/>
  <c r="O63" i="9"/>
  <c r="N63" i="9"/>
  <c r="M63" i="9"/>
  <c r="L63" i="9"/>
  <c r="K63" i="9"/>
  <c r="J63" i="9"/>
  <c r="I63" i="9"/>
  <c r="H63" i="9"/>
  <c r="G63" i="9"/>
  <c r="E63" i="9"/>
  <c r="D63" i="9"/>
  <c r="A63" i="9"/>
  <c r="J64" i="11"/>
  <c r="O62" i="9"/>
  <c r="N62" i="9"/>
  <c r="M62" i="9"/>
  <c r="L62" i="9"/>
  <c r="K62" i="9"/>
  <c r="J62" i="9"/>
  <c r="I62" i="9"/>
  <c r="H62" i="9"/>
  <c r="G62" i="9"/>
  <c r="E62" i="9"/>
  <c r="D62" i="9"/>
  <c r="A62" i="9"/>
  <c r="J63" i="11"/>
  <c r="O61" i="9"/>
  <c r="N61" i="9"/>
  <c r="M61" i="9"/>
  <c r="L61" i="9"/>
  <c r="K61" i="9"/>
  <c r="J61" i="9"/>
  <c r="I61" i="9"/>
  <c r="H61" i="9"/>
  <c r="G61" i="9"/>
  <c r="E61" i="9"/>
  <c r="D61" i="9"/>
  <c r="A61" i="9"/>
  <c r="J6" i="11"/>
  <c r="O4" i="9"/>
  <c r="N4" i="9"/>
  <c r="M4" i="9"/>
  <c r="L4" i="9"/>
  <c r="K4" i="9"/>
  <c r="J4" i="9"/>
  <c r="I4" i="9"/>
  <c r="H4" i="9"/>
  <c r="G4" i="9"/>
  <c r="E4" i="9"/>
  <c r="D4" i="9"/>
  <c r="A4" i="9"/>
  <c r="M6" i="10"/>
  <c r="T6" i="10"/>
  <c r="W6" i="10"/>
  <c r="V6" i="10"/>
  <c r="X6" i="10"/>
  <c r="U6" i="10"/>
  <c r="Y6" i="10"/>
  <c r="M14" i="10"/>
  <c r="N14" i="10"/>
  <c r="Q14" i="10"/>
  <c r="P14" i="10"/>
  <c r="R14" i="10"/>
  <c r="O14" i="10"/>
  <c r="S14" i="10"/>
  <c r="N6" i="10"/>
  <c r="Q6" i="10"/>
  <c r="P6" i="10"/>
  <c r="R6" i="10"/>
  <c r="O6" i="10"/>
  <c r="S6" i="10"/>
  <c r="G6" i="10"/>
  <c r="J6" i="10"/>
  <c r="I6" i="10"/>
  <c r="K6" i="10"/>
  <c r="H6" i="10"/>
  <c r="L6" i="10"/>
  <c r="J45" i="11"/>
  <c r="O43" i="9"/>
  <c r="N43" i="9"/>
  <c r="M43" i="9"/>
  <c r="L43" i="9"/>
  <c r="K43" i="9"/>
  <c r="J43" i="9"/>
  <c r="I43" i="9"/>
  <c r="H43" i="9"/>
  <c r="G43" i="9"/>
  <c r="E43" i="9"/>
  <c r="D43" i="9"/>
  <c r="A43" i="9"/>
  <c r="M43" i="10"/>
  <c r="T43" i="10"/>
  <c r="W43" i="10"/>
  <c r="V43" i="10"/>
  <c r="X43" i="10"/>
  <c r="U43" i="10"/>
  <c r="Y43" i="10"/>
  <c r="M54" i="10"/>
  <c r="N54" i="10"/>
  <c r="O54" i="10"/>
  <c r="Q54" i="10"/>
  <c r="P54" i="10"/>
  <c r="R54" i="10"/>
  <c r="S54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J62" i="11"/>
  <c r="O60" i="9"/>
  <c r="N60" i="9"/>
  <c r="M60" i="9"/>
  <c r="L60" i="9"/>
  <c r="K60" i="9"/>
  <c r="J60" i="9"/>
  <c r="I60" i="9"/>
  <c r="H60" i="9"/>
  <c r="G60" i="9"/>
  <c r="E60" i="9"/>
  <c r="D60" i="9"/>
  <c r="A60" i="9"/>
  <c r="J61" i="11"/>
  <c r="O59" i="9"/>
  <c r="N59" i="9"/>
  <c r="M59" i="9"/>
  <c r="L59" i="9"/>
  <c r="K59" i="9"/>
  <c r="J59" i="9"/>
  <c r="I59" i="9"/>
  <c r="H59" i="9"/>
  <c r="G59" i="9"/>
  <c r="E59" i="9"/>
  <c r="D59" i="9"/>
  <c r="A59" i="9"/>
  <c r="J60" i="11"/>
  <c r="O58" i="9"/>
  <c r="N58" i="9"/>
  <c r="M58" i="9"/>
  <c r="L58" i="9"/>
  <c r="K58" i="9"/>
  <c r="J58" i="9"/>
  <c r="I58" i="9"/>
  <c r="H58" i="9"/>
  <c r="G58" i="9"/>
  <c r="E58" i="9"/>
  <c r="D58" i="9"/>
  <c r="A58" i="9"/>
  <c r="J59" i="11"/>
  <c r="O57" i="9"/>
  <c r="N57" i="9"/>
  <c r="M57" i="9"/>
  <c r="L57" i="9"/>
  <c r="K57" i="9"/>
  <c r="J57" i="9"/>
  <c r="I57" i="9"/>
  <c r="H57" i="9"/>
  <c r="G57" i="9"/>
  <c r="E57" i="9"/>
  <c r="D57" i="9"/>
  <c r="A57" i="9"/>
  <c r="J39" i="11"/>
  <c r="J38" i="11"/>
  <c r="J37" i="11"/>
  <c r="J36" i="11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35" i="10"/>
  <c r="T35" i="10"/>
  <c r="W35" i="10"/>
  <c r="V35" i="10"/>
  <c r="X35" i="10"/>
  <c r="U35" i="10"/>
  <c r="Y35" i="10"/>
  <c r="M49" i="10"/>
  <c r="N49" i="10"/>
  <c r="Q49" i="10"/>
  <c r="P49" i="10"/>
  <c r="R49" i="10"/>
  <c r="O49" i="10"/>
  <c r="S49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7" i="10"/>
  <c r="T37" i="10"/>
  <c r="W37" i="10"/>
  <c r="V37" i="10"/>
  <c r="X37" i="10"/>
  <c r="U37" i="10"/>
  <c r="Y37" i="10"/>
  <c r="M51" i="10"/>
  <c r="N51" i="10"/>
  <c r="Q51" i="10"/>
  <c r="P51" i="10"/>
  <c r="R51" i="10"/>
  <c r="O51" i="10"/>
  <c r="S51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M50" i="10"/>
  <c r="N50" i="10"/>
  <c r="Q50" i="10"/>
  <c r="P50" i="10"/>
  <c r="R50" i="10"/>
  <c r="O50" i="10"/>
  <c r="S50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O10" i="21"/>
  <c r="B10" i="21"/>
  <c r="I10" i="21"/>
  <c r="J10" i="21"/>
  <c r="G10" i="21"/>
  <c r="F10" i="21"/>
  <c r="D10" i="21"/>
  <c r="C10" i="21"/>
  <c r="O9" i="21"/>
  <c r="B9" i="21"/>
  <c r="I9" i="21"/>
  <c r="J9" i="21"/>
  <c r="G9" i="21"/>
  <c r="F9" i="21"/>
  <c r="D9" i="21"/>
  <c r="C9" i="21"/>
  <c r="O6" i="21"/>
  <c r="B6" i="21"/>
  <c r="I6" i="21"/>
  <c r="J6" i="21"/>
  <c r="G6" i="21"/>
  <c r="F6" i="21"/>
  <c r="D6" i="21"/>
  <c r="C6" i="21"/>
  <c r="O5" i="21"/>
  <c r="B5" i="21"/>
  <c r="I5" i="21"/>
  <c r="J5" i="21"/>
  <c r="G5" i="21"/>
  <c r="F5" i="21"/>
  <c r="D5" i="21"/>
  <c r="C5" i="21"/>
  <c r="O4" i="21"/>
  <c r="B4" i="21"/>
  <c r="I4" i="21"/>
  <c r="J4" i="21"/>
  <c r="G4" i="21"/>
  <c r="F4" i="21"/>
  <c r="D4" i="21"/>
  <c r="C4" i="21"/>
  <c r="O3" i="21"/>
  <c r="O7" i="21"/>
  <c r="O8" i="21"/>
  <c r="O11" i="21"/>
  <c r="O12" i="21"/>
  <c r="O13" i="21"/>
  <c r="O14" i="21"/>
  <c r="O2" i="21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2" i="18"/>
  <c r="G3" i="9"/>
  <c r="H3" i="9"/>
  <c r="I3" i="9"/>
  <c r="J3" i="9"/>
  <c r="K3" i="9"/>
  <c r="L3" i="9"/>
  <c r="M3" i="9"/>
  <c r="N3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J3" i="11"/>
  <c r="J4" i="11"/>
  <c r="J5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40" i="11"/>
  <c r="J41" i="11"/>
  <c r="J42" i="11"/>
  <c r="J43" i="11"/>
  <c r="J44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2" i="9"/>
  <c r="E42" i="9"/>
  <c r="D42" i="9"/>
  <c r="A42" i="9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3" i="21"/>
  <c r="I3" i="21"/>
  <c r="J3" i="21"/>
  <c r="G3" i="21"/>
  <c r="F3" i="21"/>
  <c r="D3" i="21"/>
  <c r="C3" i="21"/>
  <c r="J2" i="11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3" i="9"/>
  <c r="E3" i="9"/>
  <c r="D3" i="9"/>
  <c r="A3" i="9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2" i="22"/>
  <c r="G2" i="22"/>
  <c r="F2" i="22"/>
  <c r="D2" i="22"/>
  <c r="C2" i="22"/>
  <c r="A2" i="22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<sst xmlns="http://schemas.openxmlformats.org/spreadsheetml/2006/main" count="967" uniqueCount="451">
  <si>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</si>
  <si>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</si>
  <si>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</si>
  <si>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</si>
  <si>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</si>
  <si>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</si>
  <si>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</si>
  <si>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</si>
  <si>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</si>
  <si>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</si>
  <si>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</si>
  <si>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</si>
  <si>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</si>
  <si>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</si>
  <si>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</si>
  <si>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</si>
  <si>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</si>
  <si>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</si>
  <si>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</si>
  <si>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</si>
  <si>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</si>
  <si>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</si>
  <si>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</si>
  <si>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</si>
  <si>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</si>
  <si>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</si>
  <si>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</si>
  <si>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</si>
  <si>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</si>
  <si>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</si>
  <si>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</si>
  <si>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</si>
  <si>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</si>
  <si>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</si>
  <si>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</si>
  <si>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</si>
  <si>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</si>
  <si>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</si>
  <si>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</si>
  <si>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</si>
  <si>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</si>
  <si>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</si>
  <si>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</si>
  <si>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</si>
  <si>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</si>
  <si>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</si>
  <si>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</si>
  <si>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</si>
  <si>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</si>
  <si>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</si>
  <si>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</si>
  <si>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</si>
  <si>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</si>
  <si>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</si>
  <si>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</si>
  <si>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</si>
  <si>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</si>
  <si>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</si>
  <si>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</si>
  <si>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</si>
  <si>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</si>
  <si>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</si>
  <si>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</si>
  <si>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</si>
  <si>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</si>
  <si>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</si>
  <si>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</si>
  <si>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</si>
  <si>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</si>
  <si>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</si>
  <si>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</si>
  <si>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</si>
  <si>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</si>
  <si>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</si>
  <si>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</si>
  <si>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</si>
  <si>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</si>
  <si>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</si>
  <si>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</si>
  <si>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</si>
  <si>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</si>
  <si>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</si>
  <si>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</si>
  <si>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</si>
  <si>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</si>
  <si>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</si>
  <si>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</si>
  <si>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</si>
  <si>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</si>
  <si>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</si>
  <si>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</si>
  <si>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</si>
  <si>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</si>
  <si>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</si>
  <si>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</si>
  <si>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</si>
  <si>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</si>
  <si>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</si>
  <si>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</si>
  <si>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</si>
  <si>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</si>
  <si>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</si>
  <si>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</si>
  <si>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</si>
  <si>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</si>
  <si>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</si>
  <si>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</si>
  <si>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</si>
  <si>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</si>
  <si>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</si>
  <si>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</si>
  <si>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</si>
  <si>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</si>
  <si>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</si>
  <si>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</si>
  <si>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</si>
  <si>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</si>
  <si>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</si>
  <si>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</si>
  <si>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</si>
  <si>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</si>
  <si>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</si>
  <si>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</si>
  <si>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</si>
  <si>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</si>
  <si>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</si>
  <si>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</si>
  <si>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</si>
  <si>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</si>
  <si>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</si>
  <si>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</si>
  <si>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</si>
  <si>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</si>
  <si>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</si>
  <si>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</si>
  <si>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</si>
  <si>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</si>
  <si>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</si>
  <si>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</si>
  <si>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</si>
  <si>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</si>
  <si>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</si>
  <si>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</si>
  <si>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</si>
  <si>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</si>
  <si>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</si>
  <si>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</si>
  <si>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</si>
  <si>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</si>
  <si>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</si>
  <si>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</si>
  <si>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</si>
  <si>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</si>
  <si>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</si>
  <si>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</si>
  <si>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</si>
  <si>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</si>
  <si>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</si>
  <si>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</si>
  <si>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</si>
  <si>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</si>
  <si>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</si>
  <si>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</si>
  <si>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</si>
  <si>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</si>
  <si>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</si>
  <si>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</si>
  <si>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</si>
  <si>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</si>
  <si>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</si>
  <si>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</si>
  <si>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</si>
  <si>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</si>
  <si>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</si>
  <si>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</si>
  <si>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</si>
  <si>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</si>
  <si>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</si>
  <si>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</si>
  <si>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</si>
  <si>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</si>
  <si>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</si>
  <si>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</si>
  <si>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</si>
  <si>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</si>
  <si>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</si>
  <si>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</si>
  <si>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</si>
  <si>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</si>
  <si>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</si>
  <si>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</si>
  <si>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</si>
  <si>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</si>
  <si>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</si>
  <si>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</si>
  <si>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</si>
  <si>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</si>
  <si>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</si>
  <si>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</si>
  <si>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</si>
  <si>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</si>
  <si>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</si>
  <si>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</si>
  <si>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</si>
  <si>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</si>
  <si>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</si>
  <si>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</si>
  <si>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</si>
  <si>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</si>
  <si>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</si>
  <si>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</si>
  <si>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</si>
  <si>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</si>
  <si>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</si>
  <si>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</si>
  <si>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</si>
  <si>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</si>
  <si>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</si>
  <si>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</si>
  <si>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</si>
  <si>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</si>
  <si>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</si>
  <si>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</si>
  <si>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</si>
  <si>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</si>
  <si>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</si>
  <si>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</si>
  <si>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</si>
  <si>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</si>
  <si>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</si>
  <si>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</si>
  <si>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</si>
  <si>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</si>
  <si>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</si>
  <si>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</si>
  <si>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</si>
  <si>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</si>
  <si>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</si>
  <si>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</si>
  <si>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</si>
  <si>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</si>
  <si>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</si>
  <si>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</si>
  <si>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</si>
  <si>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</si>
  <si>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</si>
  <si>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</si>
  <si>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</si>
  <si>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</si>
  <si>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</si>
  <si>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</si>
  <si>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</si>
  <si>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</si>
  <si>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なし</t>
  </si>
  <si>
    <t>攻略のヒント</t>
    <rPh sb="0" eb="2">
      <t>コウリャク</t>
    </rPh>
    <phoneticPr fontId="5"/>
  </si>
  <si>
    <t>old</t>
  </si>
  <si>
    <t>ダメージパネルを吸収して強力な攻撃</t>
    <rPh sb="8" eb="10">
      <t>キュウシュウ</t>
    </rPh>
    <rPh sb="12" eb="14">
      <t>キョウリョクナ</t>
    </rPh>
    <rPh sb="15" eb="17">
      <t>コウゲキ</t>
    </rPh>
    <phoneticPr fontId="5"/>
  </si>
  <si>
    <t>ボムパネルを吸収して自身の攻撃力超大UP</t>
    <phoneticPr fontId="5"/>
  </si>
  <si>
    <t>残りHPの99%ダメージ！</t>
    <rPh sb="0" eb="1">
      <t>ノコリ</t>
    </rPh>
    <phoneticPr fontId="5"/>
  </si>
  <si>
    <t>null</t>
    <phoneticPr fontId="5"/>
  </si>
  <si>
    <t>null</t>
    <phoneticPr fontId="5"/>
  </si>
  <si>
    <t>null</t>
    <phoneticPr fontId="5"/>
  </si>
  <si>
    <t>演出用フロアなので演出を重視し、スキルブーストの説明を省いております。</t>
    <rPh sb="0" eb="2">
      <t>エンシュツ</t>
    </rPh>
    <rPh sb="2" eb="3">
      <t>ヨウ</t>
    </rPh>
    <rPh sb="9" eb="11">
      <t>エンシュツ</t>
    </rPh>
    <rPh sb="12" eb="14">
      <t>ジュウシ</t>
    </rPh>
    <rPh sb="24" eb="26">
      <t>セツメイ</t>
    </rPh>
    <rPh sb="27" eb="28">
      <t>ハブイテオリマス</t>
    </rPh>
    <phoneticPr fontId="5"/>
  </si>
  <si>
    <t>full_member</t>
    <phoneticPr fontId="5"/>
  </si>
  <si>
    <t>old</t>
    <phoneticPr fontId="7"/>
  </si>
  <si>
    <t>unit</t>
  </si>
  <si>
    <t>残りHPの80%ダメージ+3ターン暗闇+
2ゲージ目に移行</t>
    <rPh sb="0" eb="1">
      <t>ノコリ</t>
    </rPh>
    <rPh sb="17" eb="19">
      <t>クラヤミ</t>
    </rPh>
    <rPh sb="27" eb="29">
      <t>イコウ</t>
    </rPh>
    <phoneticPr fontId="5"/>
  </si>
  <si>
    <t>緑パネルを緑のダメージパネルに5個変換+
強力な全体攻撃</t>
    <rPh sb="16" eb="17">
      <t>コ</t>
    </rPh>
    <rPh sb="21" eb="23">
      <t>キョウリョクナ</t>
    </rPh>
    <rPh sb="24" eb="26">
      <t>ゼンタイ</t>
    </rPh>
    <rPh sb="26" eb="28">
      <t>コウゲキ</t>
    </rPh>
    <phoneticPr fontId="5"/>
  </si>
  <si>
    <t>状態異常耐性+
9ターンランダムに時限式ダメージパネルをドロップ</t>
    <phoneticPr fontId="5"/>
  </si>
  <si>
    <t>奴がアレを起動するのは
何としても阻止せねばならん</t>
    <rPh sb="0" eb="1">
      <t>ヤツガ</t>
    </rPh>
    <rPh sb="5" eb="7">
      <t>キドウ</t>
    </rPh>
    <rPh sb="12" eb="13">
      <t>ナントシテモ</t>
    </rPh>
    <rPh sb="17" eb="19">
      <t>ソシ</t>
    </rPh>
    <phoneticPr fontId="5"/>
  </si>
  <si>
    <t>表示時間ゼロ</t>
    <rPh sb="0" eb="4">
      <t>ヒョウジジカn</t>
    </rPh>
    <phoneticPr fontId="5"/>
  </si>
  <si>
    <t>ALICEの適合者たちよ！
ロキを止めるのは任せたぞ！</t>
    <rPh sb="6" eb="9">
      <t>テキゴウシャ</t>
    </rPh>
    <rPh sb="17" eb="18">
      <t>トメル</t>
    </rPh>
    <rPh sb="22" eb="23">
      <t>マカセヨウ</t>
    </rPh>
    <phoneticPr fontId="5"/>
  </si>
  <si>
    <t>危険な道のりだよ</t>
    <rPh sb="0" eb="2">
      <t>キケンナ</t>
    </rPh>
    <rPh sb="3" eb="4">
      <t>ミチノリ</t>
    </rPh>
    <phoneticPr fontId="5"/>
  </si>
  <si>
    <t>ヘキサゴナルターゲット</t>
    <phoneticPr fontId="5"/>
  </si>
  <si>
    <t>スポイルシューティング</t>
    <phoneticPr fontId="5"/>
  </si>
  <si>
    <t>ふーん…これならどうかな？</t>
    <phoneticPr fontId="5"/>
  </si>
  <si>
    <t>残りHPの100%ダメージ！</t>
    <rPh sb="0" eb="1">
      <t>ノコリ</t>
    </rPh>
    <phoneticPr fontId="5"/>
  </si>
  <si>
    <t>バキュキューンっと撃ち抜くよ！</t>
    <rPh sb="9" eb="10">
      <t>ウチヌクヨ</t>
    </rPh>
    <phoneticPr fontId="5"/>
  </si>
  <si>
    <t>思い知らせてあげる！！</t>
    <rPh sb="0" eb="1">
      <t>オモイシラセテ</t>
    </rPh>
    <phoneticPr fontId="5"/>
  </si>
  <si>
    <t>メテオハウリング</t>
    <phoneticPr fontId="5"/>
  </si>
  <si>
    <t>イグニートネイル</t>
    <phoneticPr fontId="5"/>
  </si>
  <si>
    <t>そんなんじゃ私には追いつけないよ！</t>
    <rPh sb="6" eb="7">
      <t>ワタシニハ</t>
    </rPh>
    <rPh sb="9" eb="10">
      <t>オイツケナイ</t>
    </rPh>
    <phoneticPr fontId="5"/>
  </si>
  <si>
    <t>灰になっちゃえー！！</t>
    <rPh sb="0" eb="1">
      <t>HIニ</t>
    </rPh>
    <phoneticPr fontId="5"/>
  </si>
  <si>
    <t>もっともっと熱く…</t>
    <rPh sb="6" eb="7">
      <t>アツク</t>
    </rPh>
    <phoneticPr fontId="5"/>
  </si>
  <si>
    <t>ムーン・エクスプロード</t>
    <phoneticPr fontId="5"/>
  </si>
  <si>
    <t>ロキ…見ててね…</t>
    <rPh sb="3" eb="4">
      <t>ミテテ</t>
    </rPh>
    <phoneticPr fontId="5"/>
  </si>
  <si>
    <t>どうして帰ってくれないの…？</t>
    <rPh sb="4" eb="5">
      <t>カエッテ</t>
    </rPh>
    <phoneticPr fontId="5"/>
  </si>
  <si>
    <t>1ターン赤パネルが出現しない+
赤パネルを吸収して攻撃(最大10個)</t>
    <rPh sb="9" eb="11">
      <t>シュツゲn</t>
    </rPh>
    <rPh sb="28" eb="30">
      <t>サイダイ</t>
    </rPh>
    <rPh sb="32" eb="33">
      <t>コ</t>
    </rPh>
    <phoneticPr fontId="5"/>
  </si>
  <si>
    <t>1ターン青パネルが出現しない+
青パネルを吸収して攻撃(最大10個)</t>
    <rPh sb="4" eb="5">
      <t>アオ</t>
    </rPh>
    <rPh sb="9" eb="11">
      <t>シュツゲn</t>
    </rPh>
    <rPh sb="16" eb="17">
      <t>アオ</t>
    </rPh>
    <rPh sb="28" eb="30">
      <t>サイダイ</t>
    </rPh>
    <rPh sb="32" eb="33">
      <t>コ</t>
    </rPh>
    <phoneticPr fontId="5"/>
  </si>
  <si>
    <t>ロキが絶対正しいんだよ</t>
    <rPh sb="3" eb="5">
      <t>ゼッタイ</t>
    </rPh>
    <rPh sb="5" eb="6">
      <t>タダシイ</t>
    </rPh>
    <phoneticPr fontId="5"/>
  </si>
  <si>
    <t>ほら、冥府にご案内♪</t>
    <rPh sb="3" eb="5">
      <t>メイフニ</t>
    </rPh>
    <rPh sb="7" eb="9">
      <t>アンナイ</t>
    </rPh>
    <phoneticPr fontId="5"/>
  </si>
  <si>
    <t>みんな言う通りにしてね？</t>
    <rPh sb="3" eb="4">
      <t>イウトオリニ</t>
    </rPh>
    <phoneticPr fontId="5"/>
  </si>
  <si>
    <t>残りHPの500%ダメージ！！</t>
    <rPh sb="0" eb="1">
      <t>ノコリ</t>
    </rPh>
    <phoneticPr fontId="5"/>
  </si>
  <si>
    <t>アハハ！油断してやんの！</t>
    <rPh sb="4" eb="6">
      <t>ユダン</t>
    </rPh>
    <phoneticPr fontId="5"/>
  </si>
  <si>
    <t>ハァー結局私が相手するのか…</t>
    <rPh sb="3" eb="5">
      <t>ケッキョク</t>
    </rPh>
    <rPh sb="5" eb="6">
      <t>ワタシガ</t>
    </rPh>
    <rPh sb="7" eb="9">
      <t>アイテ</t>
    </rPh>
    <phoneticPr fontId="5"/>
  </si>
  <si>
    <t>まずはあんたが消えろ！</t>
    <rPh sb="7" eb="8">
      <t>キエロ</t>
    </rPh>
    <phoneticPr fontId="5"/>
  </si>
  <si>
    <t>本気で私に敵うと思ってるのか？</t>
    <rPh sb="0" eb="2">
      <t>ホンキデ</t>
    </rPh>
    <rPh sb="3" eb="4">
      <t>ワタシニ</t>
    </rPh>
    <rPh sb="5" eb="6">
      <t>カナウト</t>
    </rPh>
    <rPh sb="8" eb="9">
      <t>オモッテルノカ</t>
    </rPh>
    <phoneticPr fontId="5"/>
  </si>
  <si>
    <t>失えるモノさえ何も無い！</t>
    <rPh sb="0" eb="1">
      <t>ウシナエル</t>
    </rPh>
    <rPh sb="7" eb="8">
      <t>ナニモ</t>
    </rPh>
    <rPh sb="9" eb="10">
      <t>ナイ</t>
    </rPh>
    <phoneticPr fontId="5"/>
  </si>
  <si>
    <t>こんな空虚な世界はもう終わらせよう</t>
    <rPh sb="3" eb="5">
      <t>クウキョ</t>
    </rPh>
    <rPh sb="6" eb="8">
      <t>セカイ</t>
    </rPh>
    <rPh sb="11" eb="12">
      <t>オワラセヨウ</t>
    </rPh>
    <phoneticPr fontId="5"/>
  </si>
  <si>
    <t>そして私は刻む…存在の証明を！</t>
    <rPh sb="3" eb="4">
      <t>ワタシハ</t>
    </rPh>
    <rPh sb="5" eb="6">
      <t>キザムゾ</t>
    </rPh>
    <rPh sb="8" eb="10">
      <t>ソンザイ</t>
    </rPh>
    <rPh sb="11" eb="13">
      <t>ショウメイ</t>
    </rPh>
    <phoneticPr fontId="5"/>
  </si>
  <si>
    <t>触れれば滅び、待てども滅ぶ</t>
    <rPh sb="0" eb="1">
      <t>フレレバ</t>
    </rPh>
    <rPh sb="4" eb="5">
      <t>ホロビ</t>
    </rPh>
    <rPh sb="7" eb="8">
      <t>マテバ</t>
    </rPh>
    <rPh sb="11" eb="12">
      <t>ホロビ</t>
    </rPh>
    <phoneticPr fontId="5"/>
  </si>
  <si>
    <t>ALICEは滅ぶ！私の手で！</t>
    <rPh sb="6" eb="7">
      <t>ホロビル</t>
    </rPh>
    <rPh sb="9" eb="10">
      <t>ワタシノテ</t>
    </rPh>
    <phoneticPr fontId="5"/>
  </si>
  <si>
    <t>もう何をしても無駄だぞ？</t>
    <rPh sb="2" eb="3">
      <t>ナニヲシテモ</t>
    </rPh>
    <rPh sb="7" eb="9">
      <t>ムダダ</t>
    </rPh>
    <phoneticPr fontId="5"/>
  </si>
  <si>
    <t>終わらせることも許されないのか…？</t>
    <rPh sb="0" eb="1">
      <t>オワラセル</t>
    </rPh>
    <rPh sb="8" eb="9">
      <t>ユルサレナイ</t>
    </rPh>
    <phoneticPr fontId="5"/>
  </si>
  <si>
    <t>ホントの本気！見せてあげる！</t>
    <rPh sb="4" eb="6">
      <t>ホンキ</t>
    </rPh>
    <rPh sb="7" eb="8">
      <t>ミセテ</t>
    </rPh>
    <phoneticPr fontId="5"/>
  </si>
  <si>
    <t>私の方が格上なんだからっ</t>
    <rPh sb="0" eb="1">
      <t>ワタシノホウガ</t>
    </rPh>
    <rPh sb="4" eb="6">
      <t>カクウエ</t>
    </rPh>
    <phoneticPr fontId="5"/>
  </si>
  <si>
    <t>全部ぜ〜んぶ焼き尽くすっ</t>
    <rPh sb="0" eb="2">
      <t>ゼンブ</t>
    </rPh>
    <rPh sb="6" eb="7">
      <t>ヤキツクシチャウ</t>
    </rPh>
    <phoneticPr fontId="5"/>
  </si>
  <si>
    <t>私…痛いけど頑張るよ…</t>
    <rPh sb="0" eb="1">
      <t>ワタシ</t>
    </rPh>
    <rPh sb="2" eb="3">
      <t>イタイケド</t>
    </rPh>
    <rPh sb="6" eb="8">
      <t>ガンバッテル</t>
    </rPh>
    <phoneticPr fontId="5"/>
  </si>
  <si>
    <t>うっ…褒めて…くれるかな…</t>
    <rPh sb="3" eb="4">
      <t>ホメテクレル</t>
    </rPh>
    <phoneticPr fontId="5"/>
  </si>
  <si>
    <t>ヨルムンガンドは一定ターンが経過すると
即死攻撃を発動します
オーディンの助力を利用し
スキルを駆使して突破しましょう</t>
    <rPh sb="8" eb="10">
      <t>イッテイ</t>
    </rPh>
    <rPh sb="14" eb="16">
      <t>ケイカ</t>
    </rPh>
    <rPh sb="20" eb="22">
      <t>ソクシ</t>
    </rPh>
    <rPh sb="22" eb="24">
      <t>コウゲキヲ</t>
    </rPh>
    <rPh sb="25" eb="27">
      <t>ハツドウ</t>
    </rPh>
    <rPh sb="38" eb="40">
      <t>ジョリョク</t>
    </rPh>
    <rPh sb="41" eb="43">
      <t>リヨウシ</t>
    </rPh>
    <rPh sb="49" eb="51">
      <t>クシ</t>
    </rPh>
    <rPh sb="53" eb="55">
      <t>トッパ</t>
    </rPh>
    <phoneticPr fontId="5"/>
  </si>
  <si>
    <t>しつこい連中だ。
だが終末への道は開いたっ！</t>
    <phoneticPr fontId="5"/>
  </si>
  <si>
    <t>あんたら人間は…なぜ私を生み出した…
誰か……て…くれ…</t>
    <phoneticPr fontId="5"/>
  </si>
  <si>
    <t>所詮私たち&lt;AI&gt;には命など無い…</t>
    <phoneticPr fontId="5"/>
  </si>
  <si>
    <t>創られた存在には自由も無い…！</t>
    <rPh sb="0" eb="1">
      <t>ツクラレタ</t>
    </rPh>
    <rPh sb="4" eb="6">
      <t>ソンザイ</t>
    </rPh>
    <rPh sb="8" eb="10">
      <t>ジユウ</t>
    </rPh>
    <rPh sb="11" eb="12">
      <t>ナイ</t>
    </rPh>
    <phoneticPr fontId="5"/>
  </si>
  <si>
    <t>…共に終焉を見届けよう</t>
    <rPh sb="1" eb="2">
      <t>トモニ</t>
    </rPh>
    <rPh sb="3" eb="5">
      <t>シュウエンヲ</t>
    </rPh>
    <rPh sb="6" eb="8">
      <t>ミトドケヨウ</t>
    </rPh>
    <phoneticPr fontId="5"/>
  </si>
  <si>
    <t>……気をつけてね</t>
    <rPh sb="2" eb="3">
      <t>キヲツケテネ</t>
    </rPh>
    <phoneticPr fontId="5"/>
  </si>
  <si>
    <t>全機能停止コード：RAGNAROK</t>
    <rPh sb="0" eb="3">
      <t>ゼンキノウ</t>
    </rPh>
    <rPh sb="3" eb="5">
      <t>テイシ</t>
    </rPh>
    <phoneticPr fontId="5"/>
  </si>
  <si>
    <t>フェンリルは2ゲージどちらも
最初に激烈クリティカル発動を予告します
HPを高く保つか
ダメージ軽減のスキルで備えましょう</t>
    <rPh sb="15" eb="17">
      <t>サイショニ</t>
    </rPh>
    <rPh sb="18" eb="20">
      <t>ゲキレツ</t>
    </rPh>
    <rPh sb="26" eb="28">
      <t>ハツドウ</t>
    </rPh>
    <rPh sb="29" eb="31">
      <t>ヨコク</t>
    </rPh>
    <rPh sb="39" eb="40">
      <t>タカク</t>
    </rPh>
    <rPh sb="41" eb="42">
      <t>タモツ</t>
    </rPh>
    <rPh sb="49" eb="51">
      <t>ケイゲン</t>
    </rPh>
    <rPh sb="56" eb="57">
      <t>ソナエ</t>
    </rPh>
    <phoneticPr fontId="5"/>
  </si>
  <si>
    <t>フェンリルとの戦いでは
盤面を動かすと不利になる状況があります
ターンスキップで様子を見る戦術も有効です</t>
    <rPh sb="7" eb="8">
      <t>タタカイ</t>
    </rPh>
    <rPh sb="12" eb="14">
      <t>バンメン</t>
    </rPh>
    <rPh sb="15" eb="16">
      <t>ウゴカス</t>
    </rPh>
    <rPh sb="19" eb="21">
      <t>フリニ</t>
    </rPh>
    <rPh sb="24" eb="26">
      <t>ジョウキョウ</t>
    </rPh>
    <rPh sb="41" eb="43">
      <t>ヨウスヲ</t>
    </rPh>
    <rPh sb="44" eb="45">
      <t>ミル</t>
    </rPh>
    <rPh sb="46" eb="48">
      <t>センジュツ</t>
    </rPh>
    <rPh sb="49" eb="51">
      <t>ユウコウ</t>
    </rPh>
    <phoneticPr fontId="5"/>
  </si>
  <si>
    <t>ヘルは2ゲージ目になると
だんだん強くなるクリティカルを使用します
耐え続けるのは難しいので
素早く突破する策を講じましょう</t>
    <rPh sb="17" eb="18">
      <t>ツヨクナル</t>
    </rPh>
    <rPh sb="28" eb="30">
      <t>シヨウ</t>
    </rPh>
    <rPh sb="35" eb="36">
      <t>タエツヅケル</t>
    </rPh>
    <rPh sb="42" eb="43">
      <t>ムズカシイ</t>
    </rPh>
    <rPh sb="48" eb="50">
      <t>スバヤク</t>
    </rPh>
    <rPh sb="51" eb="53">
      <t>トッパ</t>
    </rPh>
    <rPh sb="55" eb="56">
      <t>サクヲ</t>
    </rPh>
    <rPh sb="57" eb="58">
      <t>コウジマショウ</t>
    </rPh>
    <phoneticPr fontId="5"/>
  </si>
  <si>
    <t>ヘルは1ゲージ目で
時限式ダメージパネルを降らせます
さらに定期的にスリープを使用するので
カウント数に注意して戦いましょう</t>
    <rPh sb="10" eb="13">
      <t>ジゲンシキ</t>
    </rPh>
    <rPh sb="21" eb="22">
      <t>フラシマス</t>
    </rPh>
    <rPh sb="31" eb="34">
      <t>テイキテキニ</t>
    </rPh>
    <rPh sb="40" eb="42">
      <t>シヨウ</t>
    </rPh>
    <rPh sb="51" eb="52">
      <t>カズ</t>
    </rPh>
    <rPh sb="53" eb="55">
      <t>チュウイ</t>
    </rPh>
    <rPh sb="57" eb="58">
      <t>タタカイ</t>
    </rPh>
    <phoneticPr fontId="5"/>
  </si>
  <si>
    <t>ヘルは1ゲージ目の特定のタイミングで
3ターンのスキルバインドを使用します
その間に力尽きないよう
盤面を整えておきましょう</t>
    <rPh sb="9" eb="11">
      <t>トクテイノ</t>
    </rPh>
    <rPh sb="32" eb="34">
      <t>シヨウ</t>
    </rPh>
    <rPh sb="43" eb="45">
      <t>チカラツキテ</t>
    </rPh>
    <rPh sb="51" eb="53">
      <t>バンメンヲ</t>
    </rPh>
    <rPh sb="54" eb="55">
      <t>トトノエテ</t>
    </rPh>
    <phoneticPr fontId="5"/>
  </si>
  <si>
    <t>ロキのため…ロキの…ため！！</t>
    <phoneticPr fontId="5"/>
  </si>
  <si>
    <t>ロキのためなら…どうなってもいい…！</t>
    <phoneticPr fontId="5"/>
  </si>
  <si>
    <t>さっさとご退場願おうか</t>
    <rPh sb="7" eb="8">
      <t>ネガイタイ</t>
    </rPh>
    <phoneticPr fontId="5"/>
  </si>
  <si>
    <t>織田信長…あんたの技巧は
色々と参考になったがね</t>
    <rPh sb="0" eb="4">
      <t>オダノブナガ</t>
    </rPh>
    <rPh sb="9" eb="11">
      <t>ギコウ</t>
    </rPh>
    <rPh sb="13" eb="14">
      <t>イロイロト</t>
    </rPh>
    <rPh sb="16" eb="18">
      <t>サンコウニナッタ</t>
    </rPh>
    <phoneticPr fontId="5"/>
  </si>
  <si>
    <t>オーディンの指示か？
邪魔をするな！トール！</t>
    <rPh sb="6" eb="8">
      <t>シジ</t>
    </rPh>
    <rPh sb="11" eb="13">
      <t>ジャマヲ</t>
    </rPh>
    <phoneticPr fontId="5"/>
  </si>
  <si>
    <t>くそ…越えられないのかよ…</t>
    <rPh sb="3" eb="4">
      <t>コエラレナイノカ</t>
    </rPh>
    <phoneticPr fontId="5"/>
  </si>
  <si>
    <t>ここで終わらせなかったことを…
その時に後悔するがいい…！</t>
    <rPh sb="3" eb="4">
      <t>オワラセナカッタ</t>
    </rPh>
    <rPh sb="20" eb="22">
      <t>コウカイスル</t>
    </rPh>
    <phoneticPr fontId="5"/>
  </si>
  <si>
    <t>くくくっ…無責任に夢を与えて…</t>
    <rPh sb="5" eb="8">
      <t>ムセキニン</t>
    </rPh>
    <rPh sb="9" eb="10">
      <t>ユメ</t>
    </rPh>
    <rPh sb="11" eb="12">
      <t>アタエテ</t>
    </rPh>
    <phoneticPr fontId="5"/>
  </si>
  <si>
    <t>今に思い知るぞ…？
あんたがやってるのは所詮お人形遊びだ…</t>
    <rPh sb="0" eb="1">
      <t>イマニ</t>
    </rPh>
    <rPh sb="2" eb="3">
      <t>オモイシル</t>
    </rPh>
    <rPh sb="20" eb="22">
      <t>ショセン</t>
    </rPh>
    <rPh sb="25" eb="26">
      <t>アソビ</t>
    </rPh>
    <phoneticPr fontId="5"/>
  </si>
  <si>
    <t>馬鹿な…私の演算は完璧だったはず…</t>
    <rPh sb="0" eb="2">
      <t>バカナ</t>
    </rPh>
    <rPh sb="4" eb="5">
      <t>ワタシノ</t>
    </rPh>
    <rPh sb="6" eb="8">
      <t>エンザンハ</t>
    </rPh>
    <rPh sb="9" eb="11">
      <t>カンペキ</t>
    </rPh>
    <phoneticPr fontId="5"/>
  </si>
  <si>
    <t>成長曲線を見誤った…？
くそ…ヴェーダを破った実力…か…</t>
    <rPh sb="0" eb="4">
      <t>セイチョウキョクセン</t>
    </rPh>
    <rPh sb="5" eb="7">
      <t>ミアヤマッタ</t>
    </rPh>
    <rPh sb="20" eb="21">
      <t>ヤブッタ</t>
    </rPh>
    <rPh sb="23" eb="25">
      <t>ジツリョク</t>
    </rPh>
    <phoneticPr fontId="5"/>
  </si>
  <si>
    <t>状態異常耐性+
種族サムライのユニットに10ターンスキルバインド+
種族サムライのユニットの攻撃力超大UP</t>
    <rPh sb="0" eb="4">
      <t>ジョウタイイジョウ</t>
    </rPh>
    <rPh sb="4" eb="6">
      <t>タイセイ</t>
    </rPh>
    <rPh sb="8" eb="10">
      <t>シュゾク</t>
    </rPh>
    <rPh sb="34" eb="36">
      <t>シュゾク</t>
    </rPh>
    <rPh sb="46" eb="49">
      <t>コウゲキリョク</t>
    </rPh>
    <rPh sb="49" eb="51">
      <t>チョウダイ</t>
    </rPh>
    <phoneticPr fontId="5"/>
  </si>
  <si>
    <t>状態異常耐性+1ターン全属性ダメージ80%軽減+
緑パネルを確率で緑の時限式ダメージパネルとしてドロップ</t>
    <rPh sb="0" eb="4">
      <t>ジョウタイイジョウ</t>
    </rPh>
    <rPh sb="4" eb="6">
      <t>タイセイ</t>
    </rPh>
    <rPh sb="11" eb="14">
      <t>ゼンゾクセイ</t>
    </rPh>
    <rPh sb="21" eb="23">
      <t>ケイゲン</t>
    </rPh>
    <rPh sb="25" eb="26">
      <t>ミドリ</t>
    </rPh>
    <rPh sb="30" eb="32">
      <t>カクリツ</t>
    </rPh>
    <rPh sb="33" eb="34">
      <t>ミドリノ</t>
    </rPh>
    <rPh sb="35" eb="38">
      <t>ジゲンシキ</t>
    </rPh>
    <phoneticPr fontId="5"/>
  </si>
  <si>
    <t>挨拶代わりだ…</t>
    <rPh sb="0" eb="2">
      <t>アイサツ</t>
    </rPh>
    <rPh sb="2" eb="3">
      <t>ガワリ</t>
    </rPh>
    <phoneticPr fontId="5"/>
  </si>
  <si>
    <t>ロキは戦闘開始から1ターン目に
大量のお邪魔パネル変換を使用します
手詰まりにならないよう
なんらかの対策をして挑みましょう</t>
    <rPh sb="3" eb="7">
      <t>セントウカイシ</t>
    </rPh>
    <rPh sb="16" eb="18">
      <t>タイリョウ</t>
    </rPh>
    <rPh sb="25" eb="27">
      <t>ヘンカン</t>
    </rPh>
    <rPh sb="28" eb="30">
      <t>シヨウ</t>
    </rPh>
    <rPh sb="35" eb="37">
      <t>テヅマリ</t>
    </rPh>
    <rPh sb="52" eb="54">
      <t>タイサク</t>
    </rPh>
    <rPh sb="57" eb="58">
      <t>イドミマショウ</t>
    </rPh>
    <phoneticPr fontId="5"/>
  </si>
  <si>
    <t>ALICEで本来の役割を失ったロキは
自身の存在に意味を見出せませんでした
その事が崩壊願望に繋がっていったようです</t>
    <rPh sb="6" eb="8">
      <t>ホンライノ</t>
    </rPh>
    <rPh sb="9" eb="11">
      <t>ヤクワリ</t>
    </rPh>
    <rPh sb="12" eb="13">
      <t>ウシナッタ</t>
    </rPh>
    <rPh sb="19" eb="21">
      <t>ジシンノ</t>
    </rPh>
    <rPh sb="22" eb="24">
      <t>ソンザイ</t>
    </rPh>
    <rPh sb="25" eb="27">
      <t>イミモ</t>
    </rPh>
    <rPh sb="28" eb="30">
      <t>ミイダセ</t>
    </rPh>
    <rPh sb="41" eb="42">
      <t>コトガ</t>
    </rPh>
    <rPh sb="43" eb="47">
      <t>ホウカイガンボウ</t>
    </rPh>
    <rPh sb="48" eb="49">
      <t>ツナガッテ</t>
    </rPh>
    <phoneticPr fontId="5"/>
  </si>
  <si>
    <t>空虚なロキ</t>
    <rPh sb="0" eb="2">
      <t>クウキョ</t>
    </rPh>
    <phoneticPr fontId="5"/>
  </si>
  <si>
    <t>思考実験の弊害</t>
    <rPh sb="0" eb="2">
      <t>シコウ</t>
    </rPh>
    <rPh sb="2" eb="4">
      <t>ジッケン</t>
    </rPh>
    <rPh sb="5" eb="7">
      <t>ヘイガイ</t>
    </rPh>
    <phoneticPr fontId="5"/>
  </si>
  <si>
    <t>ロキは誰かが自分を停止させる
可能性に行き着き怯えていました
ならば自らの手で全てを終わらせようと
焦っていたようです</t>
    <rPh sb="3" eb="4">
      <t>ダレカニ</t>
    </rPh>
    <rPh sb="6" eb="8">
      <t>ジブn</t>
    </rPh>
    <rPh sb="9" eb="11">
      <t>テイシ</t>
    </rPh>
    <rPh sb="15" eb="18">
      <t>カノウセイ</t>
    </rPh>
    <rPh sb="19" eb="20">
      <t>イキツキ</t>
    </rPh>
    <rPh sb="23" eb="24">
      <t>オビエマシタ</t>
    </rPh>
    <rPh sb="35" eb="36">
      <t>ミズカラノ</t>
    </rPh>
    <rPh sb="38" eb="39">
      <t>テ</t>
    </rPh>
    <rPh sb="40" eb="41">
      <t>スベテ</t>
    </rPh>
    <rPh sb="43" eb="44">
      <t>オワラセヨウt</t>
    </rPh>
    <rPh sb="51" eb="52">
      <t>アセッテイタ</t>
    </rPh>
    <phoneticPr fontId="5"/>
  </si>
  <si>
    <t>トールよ、ラグナロクを止めるため
お前も協力してやってくれ</t>
    <rPh sb="11" eb="12">
      <t>ソシ</t>
    </rPh>
    <rPh sb="20" eb="22">
      <t>キョウリョク</t>
    </rPh>
    <phoneticPr fontId="5"/>
  </si>
  <si>
    <t>ユグドラシルウォールの
最深部でのみ有効なこの命令は
開発者たちと特に重要とされるAIしか
知り得ない最高機密です</t>
    <rPh sb="12" eb="15">
      <t>サイシンブ</t>
    </rPh>
    <rPh sb="18" eb="20">
      <t>ユウコウナ</t>
    </rPh>
    <rPh sb="23" eb="25">
      <t>メイレイ</t>
    </rPh>
    <rPh sb="27" eb="30">
      <t>カイハツシャ</t>
    </rPh>
    <rPh sb="33" eb="34">
      <t>トクニ</t>
    </rPh>
    <rPh sb="35" eb="37">
      <t>ジュウヨウナ</t>
    </rPh>
    <rPh sb="46" eb="47">
      <t>シリエナイ</t>
    </rPh>
    <rPh sb="51" eb="55">
      <t>サイコウキミツ</t>
    </rPh>
    <phoneticPr fontId="5"/>
  </si>
  <si>
    <t>全機能停止コード</t>
    <rPh sb="0" eb="3">
      <t>ゼンキノウ</t>
    </rPh>
    <rPh sb="3" eb="5">
      <t>テイシ</t>
    </rPh>
    <phoneticPr fontId="5"/>
  </si>
  <si>
    <t>オーディン・バルドル・トールなど
ユグドラシルウォールに所属するAIは
ロキやヘルを知っており
ずっと危険視していたようです</t>
    <rPh sb="28" eb="30">
      <t>ショゾク</t>
    </rPh>
    <rPh sb="42" eb="43">
      <t>シッテオリ</t>
    </rPh>
    <rPh sb="51" eb="54">
      <t>キケンシ</t>
    </rPh>
    <phoneticPr fontId="5"/>
  </si>
  <si>
    <t>セキュリティ網</t>
    <rPh sb="6" eb="7">
      <t>アミ</t>
    </rPh>
    <phoneticPr fontId="5"/>
  </si>
  <si>
    <t>無意味に生み出され無価値に捨てられる…
そんな……宿命を……</t>
    <rPh sb="0" eb="3">
      <t>ムイミ</t>
    </rPh>
    <rPh sb="4" eb="5">
      <t>ウミダサレ</t>
    </rPh>
    <rPh sb="9" eb="10">
      <t>ムイミ</t>
    </rPh>
    <rPh sb="10" eb="12">
      <t>カチニ</t>
    </rPh>
    <rPh sb="13" eb="14">
      <t>ステラレル</t>
    </rPh>
    <rPh sb="25" eb="27">
      <t>シュクメイ</t>
    </rPh>
    <phoneticPr fontId="5"/>
  </si>
  <si>
    <t>あんた、バビロニアの…
愛しの彼女を守ろうってか？</t>
    <rPh sb="12" eb="13">
      <t>イトシノ</t>
    </rPh>
    <rPh sb="15" eb="17">
      <t>カノジョヲ</t>
    </rPh>
    <rPh sb="18" eb="19">
      <t>マモロウ</t>
    </rPh>
    <phoneticPr fontId="5"/>
  </si>
  <si>
    <t>誰も通すなってロキが言ってたのー♪</t>
    <rPh sb="0" eb="1">
      <t>ダレモ</t>
    </rPh>
    <rPh sb="2" eb="3">
      <t>トオスナ</t>
    </rPh>
    <rPh sb="10" eb="11">
      <t>イッテタ</t>
    </rPh>
    <phoneticPr fontId="5"/>
  </si>
  <si>
    <t>あんたらだって
いずれ使い捨てられるんだ…</t>
    <rPh sb="11" eb="12">
      <t>ツカイステラレル</t>
    </rPh>
    <phoneticPr fontId="5"/>
  </si>
  <si>
    <t>ランダムにお邪魔パネルに15個変換+
残りHPの40%ダメージ！</t>
    <rPh sb="14" eb="15">
      <t>コ</t>
    </rPh>
    <rPh sb="15" eb="17">
      <t>ヘンカn</t>
    </rPh>
    <rPh sb="19" eb="20">
      <t>ノコリ</t>
    </rPh>
    <phoneticPr fontId="5"/>
  </si>
  <si>
    <t>黄パネル無効+
黄パネルを黄のダメージパネルに5個変換</t>
    <rPh sb="0" eb="1">
      <t>キイロ</t>
    </rPh>
    <rPh sb="4" eb="6">
      <t>ムコウ</t>
    </rPh>
    <rPh sb="8" eb="9">
      <t>キイロ</t>
    </rPh>
    <rPh sb="13" eb="14">
      <t>キイロ</t>
    </rPh>
    <phoneticPr fontId="5"/>
  </si>
  <si>
    <t>緑パネル無効+
緑パネルを緑のダメージパネルに5個変換</t>
    <rPh sb="0" eb="1">
      <t>ミドリ</t>
    </rPh>
    <rPh sb="4" eb="6">
      <t>ムコウ</t>
    </rPh>
    <rPh sb="8" eb="9">
      <t>ミドリ</t>
    </rPh>
    <rPh sb="13" eb="14">
      <t>ミドリノ</t>
    </rPh>
    <rPh sb="24" eb="25">
      <t>コ</t>
    </rPh>
    <rPh sb="25" eb="27">
      <t>ヘンカn</t>
    </rPh>
    <phoneticPr fontId="5"/>
  </si>
  <si>
    <t>青パネル無効+
青パネルを青のダメージパネルに5個変換</t>
    <rPh sb="0" eb="1">
      <t>アオ</t>
    </rPh>
    <rPh sb="4" eb="6">
      <t>ムコウ</t>
    </rPh>
    <rPh sb="8" eb="9">
      <t>アオ</t>
    </rPh>
    <rPh sb="13" eb="14">
      <t>アオノ</t>
    </rPh>
    <rPh sb="24" eb="25">
      <t>コ</t>
    </rPh>
    <rPh sb="25" eb="27">
      <t>ヘンカn</t>
    </rPh>
    <phoneticPr fontId="5"/>
  </si>
  <si>
    <t>ロキはダメージパネル変換を
頻繁に行います
ダメージパネルブレイクや変換スキルで
被ダメージを抑えましょう</t>
    <rPh sb="10" eb="12">
      <t>ヘンカn</t>
    </rPh>
    <rPh sb="14" eb="16">
      <t>ヒンパン</t>
    </rPh>
    <rPh sb="17" eb="18">
      <t>オコナイマス</t>
    </rPh>
    <rPh sb="35" eb="37">
      <t>ヘンカn</t>
    </rPh>
    <rPh sb="42" eb="43">
      <t>カブル</t>
    </rPh>
    <rPh sb="48" eb="49">
      <t>オサエマショウ</t>
    </rPh>
    <phoneticPr fontId="5"/>
  </si>
  <si>
    <t>ロキの3ゲージ目はHPを95%以下まで
削ると即死攻撃を発動します
ターン数制限もあるので
機を見て一撃で仕留めましょう</t>
    <rPh sb="15" eb="17">
      <t>イカニ</t>
    </rPh>
    <rPh sb="20" eb="21">
      <t>ケズルト</t>
    </rPh>
    <rPh sb="23" eb="25">
      <t>ソクシ</t>
    </rPh>
    <rPh sb="25" eb="27">
      <t>コウゲキ</t>
    </rPh>
    <rPh sb="28" eb="30">
      <t>ハツドウ</t>
    </rPh>
    <rPh sb="38" eb="39">
      <t>カズ</t>
    </rPh>
    <rPh sb="39" eb="41">
      <t>セイゲn</t>
    </rPh>
    <rPh sb="47" eb="48">
      <t>キカイ</t>
    </rPh>
    <rPh sb="49" eb="50">
      <t>ミハカライ</t>
    </rPh>
    <rPh sb="51" eb="53">
      <t>イチゲキ</t>
    </rPh>
    <rPh sb="54" eb="56">
      <t>シトメマショウ</t>
    </rPh>
    <phoneticPr fontId="5"/>
  </si>
  <si>
    <t>1ターンハートパネルをお邪魔パネルとしてドロップ+
2回連続全体攻撃</t>
    <rPh sb="27" eb="28">
      <t>カイ</t>
    </rPh>
    <rPh sb="28" eb="30">
      <t>レンゾク</t>
    </rPh>
    <rPh sb="30" eb="32">
      <t>ゼンタイ</t>
    </rPh>
    <rPh sb="32" eb="34">
      <t>コウゲキ</t>
    </rPh>
    <phoneticPr fontId="5"/>
  </si>
  <si>
    <t>にしし…いただきまぁす</t>
    <phoneticPr fontId="5"/>
  </si>
  <si>
    <t>新しいエサが来たぁ</t>
    <rPh sb="0" eb="1">
      <t>アタラシイ</t>
    </rPh>
    <rPh sb="6" eb="7">
      <t>キタ</t>
    </rPh>
    <phoneticPr fontId="5"/>
  </si>
  <si>
    <t>ムカつくなぁ…あんたら…！</t>
    <phoneticPr fontId="5"/>
  </si>
  <si>
    <t>豊臣秀吉…！
私たち&lt;AI&gt;を散々利用しやがって…</t>
    <rPh sb="0" eb="4">
      <t>トヨトミヒデヨシ</t>
    </rPh>
    <rPh sb="7" eb="8">
      <t>ワタシタチ</t>
    </rPh>
    <rPh sb="15" eb="16">
      <t>サンザン</t>
    </rPh>
    <rPh sb="17" eb="19">
      <t>リヨウ</t>
    </rPh>
    <phoneticPr fontId="5"/>
  </si>
  <si>
    <t>ランダムに緑のダメージパネルに8個変換+
8回連続攻撃</t>
    <rPh sb="5" eb="6">
      <t>ミドリノ</t>
    </rPh>
    <rPh sb="16" eb="17">
      <t>コ</t>
    </rPh>
    <rPh sb="17" eb="19">
      <t>ヘンカn</t>
    </rPh>
    <rPh sb="22" eb="23">
      <t>カイ</t>
    </rPh>
    <rPh sb="23" eb="25">
      <t>レンゾク</t>
    </rPh>
    <rPh sb="25" eb="27">
      <t>コウゲキ</t>
    </rPh>
    <phoneticPr fontId="5"/>
  </si>
  <si>
    <t>ランダムに緑のダメージパネルに4個変換+
5ターン攻撃力UP</t>
    <rPh sb="5" eb="6">
      <t>ミドリノ</t>
    </rPh>
    <rPh sb="16" eb="17">
      <t>コ</t>
    </rPh>
    <rPh sb="17" eb="19">
      <t>ヘンカン</t>
    </rPh>
    <rPh sb="25" eb="28">
      <t>コウゲキリョク</t>
    </rPh>
    <phoneticPr fontId="5"/>
  </si>
  <si>
    <t>ランダムに緑のダメージパネルに4個変換+
5ターン防御力大UP</t>
    <rPh sb="5" eb="6">
      <t>ミドリノ</t>
    </rPh>
    <rPh sb="16" eb="17">
      <t>コ</t>
    </rPh>
    <rPh sb="17" eb="19">
      <t>ヘンカン</t>
    </rPh>
    <rPh sb="25" eb="28">
      <t>ボウギョリョク</t>
    </rPh>
    <rPh sb="28" eb="29">
      <t>ダイ</t>
    </rPh>
    <phoneticPr fontId="5"/>
  </si>
  <si>
    <t>ランダムにボムパネルに23個変換+
ランダムに赤のダメージパネルに7個変換</t>
    <rPh sb="23" eb="24">
      <t>アカノ</t>
    </rPh>
    <phoneticPr fontId="5"/>
  </si>
  <si>
    <t>6回連続攻撃+
ランダムに緑のダメージパネルに6個変換</t>
    <rPh sb="13" eb="14">
      <t>ミドリノ</t>
    </rPh>
    <phoneticPr fontId="5"/>
  </si>
  <si>
    <t>備考(使用箇所)</t>
    <rPh sb="0" eb="2">
      <t>ビコウ</t>
    </rPh>
    <rPh sb="3" eb="7">
      <t>シヨウカショ</t>
    </rPh>
    <phoneticPr fontId="5"/>
  </si>
  <si>
    <t>緑パネルを吸収して攻撃(最大15個)</t>
    <rPh sb="0" eb="1">
      <t>ミドリ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5"/>
  </si>
  <si>
    <t>4回連続攻撃
(命中したユニットに1ターンスキルバインド)</t>
    <rPh sb="1" eb="2">
      <t>カイ</t>
    </rPh>
    <rPh sb="2" eb="4">
      <t>レンゾク</t>
    </rPh>
    <rPh sb="4" eb="6">
      <t>コウゲキ</t>
    </rPh>
    <rPh sb="8" eb="10">
      <t>メイチュウ</t>
    </rPh>
    <phoneticPr fontId="5"/>
  </si>
  <si>
    <t>ボムパネル&amp;ダメージパネル以外を
吸収して全体攻撃(最大30個)</t>
    <rPh sb="26" eb="28">
      <t>サイダイ</t>
    </rPh>
    <rPh sb="30" eb="31">
      <t>コ</t>
    </rPh>
    <phoneticPr fontId="5"/>
  </si>
  <si>
    <t>ハートパネルを吸収して全体攻撃(最大3個)</t>
    <rPh sb="7" eb="9">
      <t>キュウシュウ</t>
    </rPh>
    <rPh sb="11" eb="13">
      <t>ゼンタイ</t>
    </rPh>
    <rPh sb="13" eb="15">
      <t>コウゲキ</t>
    </rPh>
    <rPh sb="16" eb="18">
      <t>サイダイ</t>
    </rPh>
    <rPh sb="19" eb="20">
      <t>コ</t>
    </rPh>
    <phoneticPr fontId="5"/>
  </si>
  <si>
    <t>[effect:enemy_message, val1:1.2, val2:1.8],[effect:break_attack_fix, target:unit_one, val:500, lowest_val:5000, count:15, color:green, block01:block_green]</t>
    <phoneticPr fontId="5"/>
  </si>
  <si>
    <t>強力なクリティカル！</t>
    <rPh sb="0" eb="2">
      <t>チョウキョウリョク</t>
    </rPh>
    <phoneticPr fontId="5"/>
  </si>
  <si>
    <t>ハートパネルを吸収して強力な全体攻撃+
2ターン全ユニットにスキルバインド</t>
    <rPh sb="7" eb="9">
      <t>キュウシュウシテ</t>
    </rPh>
    <rPh sb="11" eb="13">
      <t>キョウリョクナ</t>
    </rPh>
    <rPh sb="14" eb="16">
      <t>ゼンタイ</t>
    </rPh>
    <rPh sb="16" eb="18">
      <t>コウゲキ</t>
    </rPh>
    <rPh sb="24" eb="25">
      <t>ゼンタイ</t>
    </rPh>
    <phoneticPr fontId="5"/>
  </si>
  <si>
    <t>3ターン全ユニットにスキルバインド</t>
    <rPh sb="4" eb="5">
      <t>ゼンタイ</t>
    </rPh>
    <phoneticPr fontId="5"/>
  </si>
  <si>
    <t>1ターン全ユニットにスリープ+
フィーバーゲージ減少</t>
    <phoneticPr fontId="5"/>
  </si>
  <si>
    <t>父さん…
僕らはどうすれば…？</t>
    <rPh sb="0" eb="1">
      <t>トウサン</t>
    </rPh>
    <rPh sb="5" eb="6">
      <t>ボクラハ</t>
    </rPh>
    <phoneticPr fontId="5"/>
  </si>
  <si>
    <t>我々は防壁を強化し
時間を稼ぐ</t>
    <rPh sb="0" eb="1">
      <t>ワレワレハ</t>
    </rPh>
    <rPh sb="3" eb="5">
      <t>ボウヘキ</t>
    </rPh>
    <rPh sb="6" eb="8">
      <t>キョウカ</t>
    </rPh>
    <rPh sb="10" eb="12">
      <t>ジカンヲ</t>
    </rPh>
    <rPh sb="13" eb="14">
      <t>カセグ</t>
    </rPh>
    <phoneticPr fontId="5"/>
  </si>
  <si>
    <t>ロキめ…早まった事を</t>
    <rPh sb="4" eb="5">
      <t>ハヤマッタコトヲ</t>
    </rPh>
    <phoneticPr fontId="5"/>
  </si>
  <si>
    <t>[effect:enemy_message, val1:1.5, val2:0],[effect:fix_speed, target:myself, turn:1]</t>
    <phoneticPr fontId="5"/>
  </si>
  <si>
    <t>[effect:enemy_message, val1:1.5, val2:2.7],[effect:sp_boost, target:unit_red, val:99, animation:sp_boost_one02],[effect:suicide, target:myself, val:1, dead_type:escape]</t>
    <phoneticPr fontId="5"/>
  </si>
  <si>
    <t>[effect:enemy_message, val1:1.2, val2:2.9],[effect:fix_speed, target:myself, turn:1]</t>
    <phoneticPr fontId="5"/>
  </si>
  <si>
    <t>[effect:enemy_message, val1:1.3, val2:3.7],[effect:break_attack_fix, target:unit_all, val:250, lowest_val:1500, count:-1, color:green, block01:block_heart],[effect:hungup, target:unit_all, turn:2, rate:1, animation:hungup01]</t>
    <phoneticPr fontId="5"/>
  </si>
  <si>
    <t>[effect:enemy_message, val1:1.5, val2:2.8],[effect:force_change_block, new_block:damage, target:block_green, ignore01:crash, ignore02:crack_bomb, ignore03:damage, ignore04:color_break, color:block_green, count:5, val:0.1, animation:change_block],[effect:spread, val:0.4]</t>
    <phoneticPr fontId="5"/>
  </si>
  <si>
    <t>[effect:enemy_message, val1:1.2, val2:2.8],[effect:fix_speed, target:myself, turn:1],[effect:tolerance, target:myself, turn:-1, count:-1, tolerance_effect:all, animation:enemy_tolerance]</t>
    <phoneticPr fontId="5"/>
  </si>
  <si>
    <t>[effect:enemy_message, val1:1.2, val2:3.4],[effect:drop_block, block_type:jammer, color:block_heart, val:0, rate:1, turn:1, animation:jammer_influence04],[effect:spread, val:0.14],[effect:spread, val:0.14]</t>
    <phoneticPr fontId="5"/>
  </si>
  <si>
    <t>[effect:enemy_message, val1:1.2, val2:2.9],[effect:damage_abnormal,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</t>
    <phoneticPr fontId="5"/>
  </si>
  <si>
    <t>[effect:enemy_message, val1:1.7, val2:2.9],[effect:damage_gravity, val:0.8, animation:fevergauge_down],[effect:dark, target:unit_all, turn:3, animation:enemy_dark],[effect:suicide, target:myself, val:1, dead_type:escape]</t>
    <phoneticPr fontId="5"/>
  </si>
  <si>
    <t>[effect:enemy_message, val1:1.2, val2:3.2],[effect:break_attack, target:unit_all, val:0.01, lowest_val:0, count:30, color:red, block01:block_all, ignore01:crack_bomb, ignore02:damage]</t>
    <phoneticPr fontId="5"/>
  </si>
  <si>
    <t>[effect:enemy_message, val1:1.4, val2:2.0],[effect:break_enchance_enemy, target:myself, val:0.01, lowest_val:0.2, count:-1, status:attack, turn:-1, block01:crack_bomb, calc:mul, animation:enemy_enhance_attack]</t>
    <phoneticPr fontId="5"/>
  </si>
  <si>
    <t>[effect:enemy_message, val1:1.7, val2:3.2],[effect:fix_speed, target:myself, turn:1],[effect:tolerance, target:myself, turn:-1, count:-1, tolerance_effect:all, animation:enemy_tolerance],[effect:drop_block, block_type:time_bomb, color:block_all, val:0.15, rate:0.1, turn:9, min_time_count:3, max_time_count:3, animation:time_bomb_influence04]</t>
    <phoneticPr fontId="5"/>
  </si>
  <si>
    <t>[effect:enemy_message, val1:1.2, val2:3.4],[effect:change_panel_ratio, turn:1, block_type:red, val:0, animation:block_incidence04],[effect:break_attack_fix, target:unit_one, val:500, lowest_val:5000, count:10, color:yellow, block01:block_red]</t>
    <phoneticPr fontId="5"/>
  </si>
  <si>
    <t>[effect:enemy_message, val1:1.2, val2:3.4],[effect:change_panel_ratio, turn:1, block_type:blue, val:0, animation:block_incidence04],[effect:break_attack_fix, target:unit_one, val:500, lowest_val:5000, count:10, color:yellow, block01:block_blue]</t>
    <phoneticPr fontId="5"/>
  </si>
  <si>
    <t>[effect:enemy_message, val1:1.2, val2:2.6],[effect:sleep, target:unit_all, turn:1, rate:1, animation:sleep01],[effect:degrade_fever, val:250, animation:fevergauge_down]</t>
    <phoneticPr fontId="5"/>
  </si>
  <si>
    <t>[effect:enemy_message, val1:1.3, val2:2.1],[effect:break_attack_fix, target:unit_all, val:1500, lowest_val:15, count:3, color:green, block01:block_heart]</t>
    <phoneticPr fontId="5"/>
  </si>
  <si>
    <t>[effect:enemy_message, val1:1.2, val2:2.7],[effect:dis_panel, target:block_yellow, turn:-1, animation:enemy_dis_yellow],[effect:force_change_block, new_block:damage, target:block_yellow, ignore01:crash, ignore02:crack_bomb, ignore03:damage, ignore04:color_break, color:block_yellow, count:5, val:0.1, animation:change_block]</t>
    <phoneticPr fontId="5"/>
  </si>
  <si>
    <t>[effect:enemy_message, val1:1.2, val2:2.7],[effect:dis_panel, target:block_green, turn:-1, animation:enemy_dis_green],[effect:force_change_block, new_block:damage, target:block_green, ignore01:crash, ignore02:crack_bomb, ignore03:damage, ignore04:color_break, color:block_green, count:5, val:0.1, animation:change_block]</t>
    <phoneticPr fontId="5"/>
  </si>
  <si>
    <t>3ターン全ユニットに暗闇+
全てのプラス効果を解除</t>
    <rPh sb="4" eb="5">
      <t>ゼン</t>
    </rPh>
    <rPh sb="10" eb="12">
      <t>クラヤミ</t>
    </rPh>
    <rPh sb="14" eb="15">
      <t>スベテノ</t>
    </rPh>
    <rPh sb="20" eb="22">
      <t>コウカヲ</t>
    </rPh>
    <rPh sb="23" eb="25">
      <t>カイジョ</t>
    </rPh>
    <phoneticPr fontId="5"/>
  </si>
  <si>
    <t>[effect:enemy_message, val1:1.7, val2:1.5],[effect:damage_gravity, val:5, animation:fevergauge_down]</t>
    <phoneticPr fontId="5"/>
  </si>
  <si>
    <t>[effect:enemy_message, val1:1.7, val2:1.5],[effect:damage_gravity, val:5, animation:fevergauge_down]</t>
    <phoneticPr fontId="5"/>
  </si>
  <si>
    <t>[effect:enemy_message, val1:1.4, val2:1.7],[effect:hungup, target:unit_all, turn:3, rate:1, animation:hungup01]</t>
    <phoneticPr fontId="5"/>
  </si>
  <si>
    <t>[effect:enemy_message, val1:1.2, val2:1.7],[effect:break_attack_fix, target:unit_one, val:1000, lowest_val:20000, count:-1, color:green, block01:damage]</t>
    <phoneticPr fontId="5"/>
  </si>
  <si>
    <t>[effect:enemy_message, val1:1.2, val2:1.3],[effect:damage_gravity, val:0.99, animation:fevergauge_down]</t>
    <phoneticPr fontId="5"/>
  </si>
  <si>
    <t>[effect:enemy_message, val1:1.2, val2:1.4],[effect:damage_gravity, val:1, animation:fevergauge_down]</t>
    <phoneticPr fontId="5"/>
  </si>
  <si>
    <t>[effect:enemy_message, val1:1.2, val2:1.2],[effect:suicide, target:myself, val:1, dead_type:escape]</t>
    <phoneticPr fontId="5"/>
  </si>
  <si>
    <t>[effect:enemy_message, val1:1.2, val2:1.2],[effect:critical, val:2, animation:enemy_critical]</t>
    <phoneticPr fontId="5"/>
  </si>
  <si>
    <t>[effect:enemy_message, val1:1.2, val2:1.2],[effect:critical, val:1.4, animation:enemy_critical]</t>
    <phoneticPr fontId="5"/>
  </si>
  <si>
    <t>[effect:enemy_message, val1:1.4, val2:5.2],[effect:fix_speed,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t>
    <phoneticPr fontId="5"/>
  </si>
  <si>
    <t>[effect:enemy_message, val1:2.2, val2:5.2],[effect:fix_speed,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t>
    <phoneticPr fontId="5"/>
  </si>
  <si>
    <t>[effect:enemy_message, val1:2.5, val2:5.2],[effect:fix_speed,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t>
    <phoneticPr fontId="5"/>
  </si>
  <si>
    <t>[effect:enemy_message, val1:2.5, val2:5.2],[effect:fix_speed,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t>
    <phoneticPr fontId="5"/>
  </si>
  <si>
    <t>[effect:enemy_message, val1:2.4, val2:5.2],[effect:fix_speed,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t>
    <phoneticPr fontId="5"/>
  </si>
  <si>
    <t>[effect:enemy_message, val1:1.7, val2:5.3],[effect:fix_speed, target:myself, turn:1],[effect:tolerance, target:myself, turn:-1, count:-1, tolerance_effect:all, animation:enemy_tolerance],[effect:hungup, target:unit_samurai, turn:10, rate:1, animation:hungup01],[effect:enhance_unit, target:unit_samurai, turn:-1, status:attack, val:0.5, calc:mul, animation:enhance_unit_all_attack03]</t>
    <phoneticPr fontId="5"/>
  </si>
  <si>
    <t>ja</t>
    <phoneticPr fontId="5"/>
  </si>
  <si>
    <t>[effect:enemy_message, val1:1.3, val2:2.5],[effect:fix_speed, target:myself, turn:1]</t>
    <phoneticPr fontId="5"/>
  </si>
  <si>
    <t>[effect:enemy_message, val1:2.0, val2:3.1, dead_type:suicide]</t>
    <phoneticPr fontId="5"/>
  </si>
  <si>
    <t>[effect:enemy_message, val1:2.4, val2:3.2, dead_type:suicide]</t>
    <phoneticPr fontId="5"/>
  </si>
  <si>
    <t>[effect:enemy_message, val1:1.6, val2:3.3, dead_type:suicide]</t>
    <phoneticPr fontId="5"/>
  </si>
  <si>
    <t>[effect:enemy_message, val1:1.8, val2:3.2, dead_type:suicide]</t>
    <phoneticPr fontId="5"/>
  </si>
  <si>
    <t>[effect:enemy_message, val1:1.5, val2:2.3],[effect:dark, target:unit_all, turn:3, animation:enemy_dark],[effect:remove_enhancement, target:unit_all, target_effect:all, target_type:buff, animation:frozen_wave]</t>
    <phoneticPr fontId="5"/>
  </si>
  <si>
    <t>状態異常耐性
【！】次のターン強力な攻撃を発動【！】</t>
    <rPh sb="0" eb="4">
      <t>ジョウタイイジョウ</t>
    </rPh>
    <rPh sb="4" eb="6">
      <t>タイセイ</t>
    </rPh>
    <rPh sb="10" eb="11">
      <t>ツギノターン</t>
    </rPh>
    <rPh sb="15" eb="17">
      <t>キョウリョクナ</t>
    </rPh>
    <rPh sb="18" eb="20">
      <t>コウゲキ</t>
    </rPh>
    <rPh sb="21" eb="23">
      <t>ハツドウ</t>
    </rPh>
    <phoneticPr fontId="5"/>
  </si>
  <si>
    <t>状態異常耐性+ランダムに赤のダメージパネルに6個変換
【！】次のターン強力な攻撃を発動【！】</t>
    <rPh sb="0" eb="4">
      <t>ジョウタイイジョウ</t>
    </rPh>
    <rPh sb="4" eb="6">
      <t>タイセイ</t>
    </rPh>
    <rPh sb="12" eb="13">
      <t>アカノ</t>
    </rPh>
    <rPh sb="23" eb="24">
      <t>コ</t>
    </rPh>
    <rPh sb="24" eb="26">
      <t>ヘンカn</t>
    </rPh>
    <rPh sb="30" eb="31">
      <t>ツギノターン</t>
    </rPh>
    <rPh sb="35" eb="37">
      <t>キョウリョクナ</t>
    </rPh>
    <rPh sb="38" eb="40">
      <t>コウゲキヲ</t>
    </rPh>
    <rPh sb="41" eb="43">
      <t>ハツドウ</t>
    </rPh>
    <phoneticPr fontId="5"/>
  </si>
  <si>
    <t>激烈クリティカル！</t>
    <rPh sb="0" eb="2">
      <t>ゲキレツ</t>
    </rPh>
    <phoneticPr fontId="5"/>
  </si>
  <si>
    <t>激烈クリティカル！+
攻撃頻度が2にDOWN</t>
    <rPh sb="0" eb="2">
      <t>ゲキレツ</t>
    </rPh>
    <rPh sb="11" eb="15">
      <t>コウゲキヒンド</t>
    </rPh>
    <phoneticPr fontId="5"/>
  </si>
  <si>
    <t>[effect:enemy_message, val1:1.2, val2:2.1],[effect:critical, val:2, animation:enemy_critical],[effect:fix_speed, target:myself, turn:2]</t>
    <phoneticPr fontId="5"/>
  </si>
  <si>
    <t>状態異常耐性+
次のターンからだんだん強くなる攻撃を発動</t>
    <rPh sb="8" eb="9">
      <t>ツギ</t>
    </rPh>
    <rPh sb="23" eb="25">
      <t>コウゲキヲ</t>
    </rPh>
    <rPh sb="26" eb="28">
      <t>ハツドウ</t>
    </rPh>
    <phoneticPr fontId="5"/>
  </si>
  <si>
    <t>[effect:enemy_message, val1:1.8, val2:2.8],[effect:fix_speed, target:myself, turn:2],[effect:tolerance, target:myself, turn:-1, count:-1, tolerance_effect:all, animation:enemy_tolerance]</t>
    <phoneticPr fontId="5"/>
  </si>
  <si>
    <t>HPを10%消費して単体攻撃+
ランダムに超強力な黄のダメージパネルに1個変換</t>
    <rPh sb="10" eb="14">
      <t>タンタイコウゲキ</t>
    </rPh>
    <rPh sb="21" eb="22">
      <t>チョウ</t>
    </rPh>
    <rPh sb="22" eb="24">
      <t>キョウリョクナ</t>
    </rPh>
    <rPh sb="25" eb="26">
      <t>キイロ</t>
    </rPh>
    <phoneticPr fontId="5"/>
  </si>
  <si>
    <t>HPを20%消費してクリティカル！+
攻撃頻度が1にUP</t>
    <phoneticPr fontId="5"/>
  </si>
  <si>
    <t>HPを40%消費して強力なクリティカル！+
ランダムに超強力な黄のダメージパネルに1個変換</t>
    <rPh sb="10" eb="12">
      <t>キョウリョクナ</t>
    </rPh>
    <rPh sb="27" eb="28">
      <t>チョウ</t>
    </rPh>
    <rPh sb="31" eb="32">
      <t>キイロ</t>
    </rPh>
    <phoneticPr fontId="5"/>
  </si>
  <si>
    <t>HPを50%消費して激烈クリティカル！+
ランダムに超強力な黄のダメージパネルに1個変換</t>
    <rPh sb="10" eb="12">
      <t>ゲキレツ</t>
    </rPh>
    <rPh sb="26" eb="27">
      <t>チョウ</t>
    </rPh>
    <rPh sb="30" eb="31">
      <t>キイロ</t>
    </rPh>
    <phoneticPr fontId="5"/>
  </si>
  <si>
    <t>ランダムに緑のダメージパネルに5個変換
【！】6ターン目に残りHPの100%ダメージ【！】</t>
    <rPh sb="5" eb="6">
      <t>ミドリノ</t>
    </rPh>
    <rPh sb="16" eb="17">
      <t>コ</t>
    </rPh>
    <rPh sb="17" eb="19">
      <t>ヘンカン</t>
    </rPh>
    <rPh sb="29" eb="30">
      <t>ノコリ</t>
    </rPh>
    <phoneticPr fontId="5"/>
  </si>
  <si>
    <t>状態異常耐性+ハートパネル無効
【！】敵HP95%以下で残りHPの500%ダメージ【！】</t>
    <rPh sb="0" eb="6">
      <t>ジョウタイイジョウタイセイ</t>
    </rPh>
    <rPh sb="13" eb="15">
      <t>ムコウ</t>
    </rPh>
    <rPh sb="19" eb="20">
      <t>テキ</t>
    </rPh>
    <rPh sb="25" eb="27">
      <t>イカ</t>
    </rPh>
    <phoneticPr fontId="5"/>
  </si>
  <si>
    <t>[effect:enemy_message, val1:2.2, val2:4.4],[effect:fix_speed, target:myself, turn:1],[effect:tolerance, target:myself, turn:-1, count:-1, tolerance_effect:all, animation:enemy_tolerance],[effect:dis_heart, turn:-1, animation:enemy_dis_heart]</t>
    <phoneticPr fontId="5"/>
  </si>
  <si>
    <t>赤パネル無効
【！】次のターン残りHPの500%ダメージ【！】</t>
    <rPh sb="0" eb="1">
      <t>アカ</t>
    </rPh>
    <rPh sb="4" eb="6">
      <t>ムコウ</t>
    </rPh>
    <phoneticPr fontId="5"/>
  </si>
  <si>
    <t>[effect:enemy_message, val1:1.2, val2:3.1],[effect:dis_panel, target:block_red, turn:-1, animation:enemy_dis_red]</t>
    <phoneticPr fontId="5"/>
  </si>
  <si>
    <t>[effect:enemy_message, val1:1.4, val2:2.7],[effect:dis_panel, target:block_blue, turn:-1, animation:enemy_dis_blue],[effect:force_change_block, new_block:damage, target:block_blue, ignore01:crash, ignore02:crack_bomb, ignore03:damage, ignore04:color_break, color:block_blue, count:5, val:0.1, animation:change_block]</t>
    <phoneticPr fontId="5"/>
  </si>
  <si>
    <t>[effect:enemy_message, val1:1.5, val2:2.7],[effect:force_change_block, new_block:damage, target:block_all, ignore01:crash, ignore02:crack_bomb, ignore03:damage, ignore04:color_break, ignore05:magnet, count:8, val:0.06, animation:change_block],[effect:rush, count:8, val:0.15]</t>
    <phoneticPr fontId="5"/>
  </si>
  <si>
    <t>[effect:enemy_message, val1:1.2, val2:3.2],[effect:force_change_block, new_block:jammer, target:block_all, ignore01:crash, ignore02:crack_bomb, ignore03:time_bomb, ignore04:damage, ignore05:color_break, ignore06:magnet, count:15, val:0, animation:change_block],[effect:damage_gravity, val:0.4, animation:fevergauge_down]</t>
    <phoneticPr fontId="5"/>
  </si>
  <si>
    <t>[effect:enemy_message, val1:1.5, val2:3.0],[effect:force_change_block, new_block:damage, target:block_all, ignore01:crash, ignore02:crack_bomb, ignore03:damage, ignore04:color_break, ignore05:magnet, count:4, val:0.15, animation:change_block],[effect:enhance_enemy, target:myself, turn:5, status:attack, val:0.3, animation:enemy_enhance_attack]</t>
    <phoneticPr fontId="5"/>
  </si>
  <si>
    <t>[effect:enemy_message, val1:1.7, val2:3.1],[effect:force_change_block, new_block:damage, target:block_all, ignore01:crash, ignore02:crack_bomb, ignore03:damage, ignore04:color_break, ignore05:magnet, count:4, val:0.15, animation:change_block],[effect:enhance_enemy, target:myself, turn:5, status:defense, val:5000, calc:add, animation:enemy_enhance_defense]</t>
    <phoneticPr fontId="5"/>
  </si>
  <si>
    <t>[effect:enemy_message, val1:1.2, val2:2.7],[effect:force_change_block, new_block:damage, target:block_all, ignore01:crash, ignore02:crack_bomb, ignore03:damage, ignore04:color_break, ignore05:magnet, count:8, val:0.06, animation:change_block],[effect:rush, count:8, val:0.15]</t>
    <phoneticPr fontId="5"/>
  </si>
  <si>
    <t>[effect:enemy_message, val1:1.4, val2:4.4],[effect:suicide, target:myself, val:0.5, dead_type:escape],[effect:critical, val:2.5, animation:enemy_critical],[effect:force_change_block, new_block:damage, target:block_all, ignore01:crash, ignore02:crack_bomb, ignore03:damage, ignore04:color_break, ignore05:magnet, count:1, val:0.5, animation:change_block]</t>
    <phoneticPr fontId="5"/>
  </si>
  <si>
    <t>[effect:enemy_message, val1:1.3, val2:4.5],[effect:suicide, target:myself, val:0.4, dead_type:escape],[effect:critical, val:1.75, animation:enemy_critical],[effect:force_change_block, new_block:damage, target:block_all, ignore01:crash, ignore02:crack_bomb, ignore03:damage, ignore04:color_break, ignore05:magnet, count:1, val:0.5, animation:change_block]</t>
    <phoneticPr fontId="5"/>
  </si>
  <si>
    <t>[effect:enemy_message, val1:1.2, val2:2.8],[effect:suicide, target:myself, val:0.2, dead_type:escape],[effect:critical, val:1.25, animation:enemy_critical],[effect:freq_turn, target:myself, turn:-1, val:1, animation:enemy_freq_turn]</t>
    <phoneticPr fontId="5"/>
  </si>
  <si>
    <t>[effect:enemy_message, val1:1.2, val2:3.9],[effect:suicide, target:myself, val:0.1, dead_type:escape],[effect:critical, val:1, animation:enemy_critical],[effect:force_change_block, new_block:damage, target:block_all, ignore01:crash, ignore02:crack_bomb, ignore03:damage, ignore04:color_break, ignore05:magnet, count:1, val:0.5, animation:change_block]</t>
    <phoneticPr fontId="5"/>
  </si>
  <si>
    <t>[effect:enemy_message, val1:1.2, val2:3.7],[effect:force_change_block, new_block:crack_bomb, target:block_all, ignore01:crash, ignore02:crack_bomb, ignore03:damage, ignore04:color_break, ignore05:magnet, count:23, val:12, animation:change_block],[effect:force_change_block, new_block:damage, target:block_all, ignore01:crash, ignore02:crack_bomb, ignore03:damage, ignore04:color_break, ignore05:magnet, count:7, val:0.06, animation:change_block]</t>
    <phoneticPr fontId="5"/>
  </si>
  <si>
    <t>[effect:enemy_message, val1:1.2, val2:4.8],[effect:fix_speed, target:myself, turn:1],[effect:tolerance, target:myself, turn:-1, count:-1, tolerance_effect:all, animation:enemy_tolerance],[effect:force_change_block, new_block:damage, target:block_all, ignore01:crash, ignore02:crack_bomb, ignore03:damage, ignore04:color_break, ignore05:magnet, count:6, val:0.08, animation:change_block]</t>
    <phoneticPr fontId="5"/>
  </si>
  <si>
    <t>[effect:enemy_message, val1:1.2, val2:2.7],[effect:rush, count:6, val:0.2],[effect:force_change_block, new_block:damage, target:block_all, ignore01:crash, ignore02:crack_bomb, ignore03:damage, ignore04:color_break, ignore05:magnet, count:6, val:0.05, animation:change_block]</t>
    <phoneticPr fontId="5"/>
  </si>
  <si>
    <t>[effect:enemy_message, val1:1.2, val2:4.5],[effect:fix_speed, target:myself, turn:1],[effect:force_change_block, new_block:damage, target:block_all, ignore01:crash, ignore02:crack_bomb, ignore03:damage, ignore04:color_break, ignore05:magnet, count:5, val:0.1, animation:change_block]</t>
    <phoneticPr fontId="5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</si>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</sst>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8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0" fontId="52" fillId="0" borderId="0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7" sqref="I2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255</v>
      </c>
      <c r="B2" s="57" t="s">
        <v>106</v>
      </c>
      <c r="C2" s="62">
        <v>50013</v>
      </c>
      <c r="D2" s="57" t="s">
        <v>107</v>
      </c>
      <c r="E2" s="56" t="str">
        <f>B2&amp;C2&amp;D2</f>
        <v>floors_50013.tmp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255</v>
      </c>
      <c r="B3" s="57" t="s">
        <v>109</v>
      </c>
      <c r="C3" s="62">
        <f>C$2</f>
        <v>50013</v>
      </c>
      <c r="D3" s="57" t="s">
        <v>107</v>
      </c>
      <c r="E3" s="56" t="str">
        <f>B3&amp;C3&amp;D3</f>
        <v>enemy_habitats_50013.tmp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255</v>
      </c>
      <c r="B4" s="57" t="s">
        <v>111</v>
      </c>
      <c r="C4" s="62">
        <f t="shared" ref="C4:C13" si="0">C$2</f>
        <v>50013</v>
      </c>
      <c r="D4" s="57" t="s">
        <v>107</v>
      </c>
      <c r="E4" s="56" t="str">
        <f>B4&amp;C4&amp;D4</f>
        <v>enemy_habitat_S_50013.tmp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255</v>
      </c>
      <c r="B5" s="57" t="s">
        <v>113</v>
      </c>
      <c r="C5" s="62">
        <f t="shared" si="0"/>
        <v>50013</v>
      </c>
      <c r="D5" s="57" t="s">
        <v>107</v>
      </c>
      <c r="E5" s="56" t="str">
        <f>B5&amp;C5&amp;D5</f>
        <v>enemy_skill_sets_50013.tmp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255</v>
      </c>
      <c r="B6" s="57" t="s">
        <v>115</v>
      </c>
      <c r="C6" s="62">
        <f t="shared" si="0"/>
        <v>50013</v>
      </c>
      <c r="D6" s="57" t="s">
        <v>116</v>
      </c>
      <c r="E6" s="56" t="str">
        <f t="shared" ref="E6:E10" si="1">B6&amp;C6&amp;D6</f>
        <v>enemy_skills_tmp_50013.tmp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255</v>
      </c>
      <c r="B7" s="57" t="s">
        <v>117</v>
      </c>
      <c r="C7" s="62">
        <f t="shared" si="0"/>
        <v>50013</v>
      </c>
      <c r="D7" s="57" t="s">
        <v>107</v>
      </c>
      <c r="E7" s="56" t="str">
        <f>B7&amp;C7&amp;D7</f>
        <v>enemy_skills_i18n_50013.tmp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255</v>
      </c>
      <c r="B8" s="57" t="s">
        <v>119</v>
      </c>
      <c r="C8" s="62">
        <f t="shared" si="0"/>
        <v>50013</v>
      </c>
      <c r="D8" s="57" t="s">
        <v>120</v>
      </c>
      <c r="E8" s="56" t="str">
        <f t="shared" si="1"/>
        <v>enemy_skill_triggers_50013.tmp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255</v>
      </c>
      <c r="B9" s="67" t="s">
        <v>177</v>
      </c>
      <c r="C9" s="62">
        <f t="shared" si="0"/>
        <v>50013</v>
      </c>
      <c r="D9" s="67" t="s">
        <v>171</v>
      </c>
      <c r="E9" s="68" t="str">
        <f t="shared" si="1"/>
        <v>stage_bug_bonuses_50013.tmp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187</v>
      </c>
      <c r="B10" s="67" t="s">
        <v>201</v>
      </c>
      <c r="C10" s="62">
        <f>C$2</f>
        <v>50013</v>
      </c>
      <c r="D10" s="67" t="s">
        <v>180</v>
      </c>
      <c r="E10" s="68" t="str">
        <f t="shared" si="1"/>
        <v>stage_hints_data_c_50013.tmp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66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7" t="s">
        <v>264</v>
      </c>
      <c r="B11" s="67" t="s">
        <v>202</v>
      </c>
      <c r="C11" s="62">
        <f t="shared" si="0"/>
        <v>50013</v>
      </c>
      <c r="D11" s="67" t="s">
        <v>171</v>
      </c>
      <c r="E11" s="68" t="str">
        <f t="shared" ref="E11:E13" si="2">B11&amp;C11&amp;D11</f>
        <v>stage_hints_data_f_50013.tmp</v>
      </c>
      <c r="F11" s="67" t="s">
        <v>210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66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7" t="s">
        <v>264</v>
      </c>
      <c r="B12" s="67" t="s">
        <v>203</v>
      </c>
      <c r="C12" s="62">
        <f t="shared" si="0"/>
        <v>50013</v>
      </c>
      <c r="D12" s="67" t="s">
        <v>171</v>
      </c>
      <c r="E12" s="68" t="str">
        <f t="shared" si="2"/>
        <v>stage_hints_i18n_50013.tmp</v>
      </c>
      <c r="F12" s="67" t="s">
        <v>211</v>
      </c>
      <c r="G12" s="73" t="s">
        <v>204</v>
      </c>
      <c r="H12" s="92" t="s">
        <v>205</v>
      </c>
      <c r="I12" s="72" t="s">
        <v>206</v>
      </c>
      <c r="J12" s="100" t="s">
        <v>207</v>
      </c>
      <c r="K12" s="66" t="s">
        <v>208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7" t="s">
        <v>264</v>
      </c>
      <c r="B13" s="67" t="s">
        <v>250</v>
      </c>
      <c r="C13" s="62">
        <f t="shared" si="0"/>
        <v>50013</v>
      </c>
      <c r="D13" s="67" t="s">
        <v>231</v>
      </c>
      <c r="E13" s="68" t="str">
        <f t="shared" si="2"/>
        <v>stage_bonuses_50013.tmp</v>
      </c>
      <c r="F13" s="67" t="s">
        <v>230</v>
      </c>
      <c r="G13" s="72" t="s">
        <v>232</v>
      </c>
      <c r="H13" s="72" t="s">
        <v>233</v>
      </c>
      <c r="I13" s="72" t="s">
        <v>234</v>
      </c>
      <c r="J13" s="72" t="s">
        <v>235</v>
      </c>
      <c r="K13" s="72" t="s">
        <v>236</v>
      </c>
      <c r="L13" s="72" t="s">
        <v>237</v>
      </c>
      <c r="M13" s="72" t="s">
        <v>238</v>
      </c>
      <c r="N13" s="72" t="s">
        <v>239</v>
      </c>
      <c r="O13" s="72" t="s">
        <v>240</v>
      </c>
      <c r="P13" s="72" t="s">
        <v>241</v>
      </c>
      <c r="Q13" s="72" t="s">
        <v>242</v>
      </c>
      <c r="R13" s="72" t="s">
        <v>243</v>
      </c>
      <c r="S13" s="72" t="s">
        <v>244</v>
      </c>
      <c r="T13" s="72" t="s">
        <v>245</v>
      </c>
      <c r="U13" s="72" t="s">
        <v>246</v>
      </c>
      <c r="V13" s="72" t="s">
        <v>247</v>
      </c>
      <c r="W13" s="72" t="s">
        <v>248</v>
      </c>
      <c r="X13" s="72" t="s">
        <v>249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0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N21" sqref="N2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50013_1-1</v>
      </c>
      <c r="B2" s="16" t="str">
        <f>IF(COUNTIF(enemy_habitats!$H:$H,A2),"OK","NG")</f>
        <v>OK</v>
      </c>
      <c r="C2" s="7">
        <v>50013</v>
      </c>
      <c r="D2" s="11" t="str">
        <f ca="1">VLOOKUP($C2,OFFSET([2]quests!$A$1,0,0,COUNTA([2]quests!$A:$A),MATCH(D$1,[2]quests!$1:$1,0)-MATCH($C$1,[2]quests!$1:$1,0)+1),MATCH(D$1,[2]quests!$1:$1,0)-MATCH($C$1,[2]quests!$1:$1,0)+1,FALSE)</f>
        <v>ロキ襲来！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超降臨12</v>
      </c>
      <c r="F2" s="21">
        <v>1</v>
      </c>
      <c r="G2" s="23" t="str">
        <f>C2&amp;"_"&amp;F2</f>
        <v>50013_1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【超ウィザード級】ロキ襲来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50013_1-2</v>
      </c>
      <c r="B3" s="16" t="str">
        <f>IF(COUNTIF(enemy_habitats!$H:$H,A3),"OK","NG")</f>
        <v>OK</v>
      </c>
      <c r="C3" s="7">
        <v>50013</v>
      </c>
      <c r="D3" s="11" t="str">
        <f ca="1">VLOOKUP($C3,OFFSET([2]quests!$A$1,0,0,COUNTA([2]quests!$A:$A),MATCH(D$1,[2]quests!$1:$1,0)-MATCH($C$1,[2]quests!$1:$1,0)+1),MATCH(D$1,[2]quests!$1:$1,0)-MATCH($C$1,[2]quests!$1:$1,0)+1,FALSE)</f>
        <v>ロキ襲来！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超降臨12</v>
      </c>
      <c r="F3" s="21">
        <v>1</v>
      </c>
      <c r="G3" s="23" t="str">
        <f>C3&amp;"_"&amp;F3</f>
        <v>50013_1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【超ウィザード級】ロキ襲来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50013_1-3</v>
      </c>
      <c r="B4" s="16" t="str">
        <f>IF(COUNTIF(enemy_habitats!$H:$H,A4),"OK","NG")</f>
        <v>OK</v>
      </c>
      <c r="C4" s="7">
        <v>50013</v>
      </c>
      <c r="D4" s="11" t="str">
        <f ca="1">VLOOKUP($C4,OFFSET([2]quests!$A$1,0,0,COUNTA([2]quests!$A:$A),MATCH(D$1,[2]quests!$1:$1,0)-MATCH($C$1,[2]quests!$1:$1,0)+1),MATCH(D$1,[2]quests!$1:$1,0)-MATCH($C$1,[2]quests!$1:$1,0)+1,FALSE)</f>
        <v>ロキ襲来！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超降臨12</v>
      </c>
      <c r="F4" s="21">
        <v>1</v>
      </c>
      <c r="G4" s="23" t="str">
        <f>C4&amp;"_"&amp;F4</f>
        <v>50013_1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【超ウィザード級】ロキ襲来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50013_1-4</v>
      </c>
      <c r="B5" s="16" t="str">
        <f>IF(COUNTIF(enemy_habitats!$H:$H,A5),"OK","NG")</f>
        <v>OK</v>
      </c>
      <c r="C5" s="7">
        <v>50013</v>
      </c>
      <c r="D5" s="11" t="str">
        <f ca="1">VLOOKUP($C5,OFFSET([2]quests!$A$1,0,0,COUNTA([2]quests!$A:$A),MATCH(D$1,[2]quests!$1:$1,0)-MATCH($C$1,[2]quests!$1:$1,0)+1),MATCH(D$1,[2]quests!$1:$1,0)-MATCH($C$1,[2]quests!$1:$1,0)+1,FALSE)</f>
        <v>ロキ襲来！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超降臨12</v>
      </c>
      <c r="F5" s="21">
        <v>1</v>
      </c>
      <c r="G5" s="23" t="str">
        <f>C5&amp;"_"&amp;F5</f>
        <v>50013_1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【超ウィザード級】ロキ襲来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50013_1-5</v>
      </c>
      <c r="B6" s="16" t="str">
        <f>IF(COUNTIF(enemy_habitats!$H:$H,A6),"OK","NG")</f>
        <v>OK</v>
      </c>
      <c r="C6" s="7">
        <v>50013</v>
      </c>
      <c r="D6" s="11" t="str">
        <f ca="1">VLOOKUP($C6,OFFSET([2]quests!$A$1,0,0,COUNTA([2]quests!$A:$A),MATCH(D$1,[2]quests!$1:$1,0)-MATCH($C$1,[2]quests!$1:$1,0)+1),MATCH(D$1,[2]quests!$1:$1,0)-MATCH($C$1,[2]quests!$1:$1,0)+1,FALSE)</f>
        <v>ロキ襲来！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超降臨12</v>
      </c>
      <c r="F6" s="21">
        <v>1</v>
      </c>
      <c r="G6" s="23" t="str">
        <f>C6&amp;"_"&amp;F6</f>
        <v>50013_1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【超ウィザード級】ロキ襲来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workbookViewId="0">
      <pane xSplit="17" ySplit="1" topLeftCell="AI2" activePane="bottomRight" state="frozen"/>
      <selection pane="topRight" activeCell="N1" sqref="N1"/>
      <selection pane="bottomLeft" activeCell="A2" sqref="A2"/>
      <selection pane="bottomRight" activeCell="AJ16" sqref="AJ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251</v>
      </c>
      <c r="U1" s="26" t="s">
        <v>50</v>
      </c>
      <c r="V1" s="101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50013_1-1/573&lt;lv80&gt;s1</v>
      </c>
      <c r="B2" s="22">
        <v>50013</v>
      </c>
      <c r="C2" s="21">
        <v>1</v>
      </c>
      <c r="D2" s="2" t="str">
        <f t="shared" ref="D2:D7" si="1">B2&amp;"_"&amp;C2</f>
        <v>50013_1</v>
      </c>
      <c r="E2" s="4" t="str">
        <f ca="1">VLOOKUP($B2,OFFSET([2]quests!$A$1,0,0,COUNTA([2]quests!$A:$A),MATCH(E$1,[2]quests!$1:$1,0)-MATCH($B$1,[2]quests!$1:$1,0)+1),MATCH(E$1,[2]quests!$1:$1,0)-MATCH($B$1,[2]quests!$1:$1,0)+1,FALSE)</f>
        <v>ロキ襲来！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【超ウィザード級】ロキ襲来</v>
      </c>
      <c r="G2" s="21">
        <v>1</v>
      </c>
      <c r="H2" s="15" t="str">
        <f t="shared" ref="H2:H7" si="2">B2&amp;"_"&amp;C2&amp;"-"&amp;G2</f>
        <v>50013_1-1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88</v>
      </c>
      <c r="L2" s="20">
        <v>573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オーディン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10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1536280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6884</v>
      </c>
      <c r="W2" s="5">
        <v>50000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奴がアレを起動するのは_x000D_何としても阻止せねばならん</v>
      </c>
      <c r="Y2" s="105">
        <v>50013101</v>
      </c>
      <c r="Z2" s="6">
        <v>0</v>
      </c>
      <c r="AA2" s="6">
        <v>100</v>
      </c>
      <c r="AB2" s="6">
        <v>2</v>
      </c>
      <c r="AC2" s="104">
        <v>1</v>
      </c>
      <c r="AD2" s="24">
        <f t="shared" ref="AD2:AD7" si="3">L2</f>
        <v>573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オーディン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2" s="7">
        <v>1</v>
      </c>
      <c r="AI2" s="24">
        <f t="shared" ref="AI2:AI7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50013_1-1/604&lt;lv80&gt;s1</v>
      </c>
      <c r="B3" s="22">
        <v>50013</v>
      </c>
      <c r="C3" s="21">
        <v>1</v>
      </c>
      <c r="D3" s="2" t="str">
        <f t="shared" si="1"/>
        <v>50013_1</v>
      </c>
      <c r="E3" s="4" t="str">
        <f ca="1">VLOOKUP($B3,OFFSET([2]quests!$A$1,0,0,COUNTA([2]quests!$A:$A),MATCH(E$1,[2]quests!$1:$1,0)-MATCH($B$1,[2]quests!$1:$1,0)+1),MATCH(E$1,[2]quests!$1:$1,0)-MATCH($B$1,[2]quests!$1:$1,0)+1,FALSE)</f>
        <v>ロキ襲来！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【超ウィザード級】ロキ襲来</v>
      </c>
      <c r="G3" s="21">
        <v>1</v>
      </c>
      <c r="H3" s="15" t="str">
        <f t="shared" si="2"/>
        <v>50013_1-1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88</v>
      </c>
      <c r="L3" s="20">
        <v>604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バルドル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25</v>
      </c>
      <c r="R3" s="5">
        <v>80</v>
      </c>
      <c r="S3" s="25">
        <v>10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736080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6385</v>
      </c>
      <c r="W3" s="5">
        <v>50000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表示時間ゼロ</v>
      </c>
      <c r="Y3" s="105">
        <v>50013102</v>
      </c>
      <c r="Z3" s="6">
        <v>0</v>
      </c>
      <c r="AA3" s="6">
        <v>100</v>
      </c>
      <c r="AB3" s="6">
        <v>1</v>
      </c>
      <c r="AC3" s="104">
        <v>1</v>
      </c>
      <c r="AD3" s="24">
        <f t="shared" si="3"/>
        <v>604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バルドル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50013_1-2/231&lt;lv80&gt;s1</v>
      </c>
      <c r="B4" s="22">
        <v>50013</v>
      </c>
      <c r="C4" s="21">
        <v>1</v>
      </c>
      <c r="D4" s="2" t="str">
        <f t="shared" si="1"/>
        <v>50013_1</v>
      </c>
      <c r="E4" s="4" t="str">
        <f ca="1">VLOOKUP($B4,OFFSET([2]quests!$A$1,0,0,COUNTA([2]quests!$A:$A),MATCH(E$1,[2]quests!$1:$1,0)-MATCH($B$1,[2]quests!$1:$1,0)+1),MATCH(E$1,[2]quests!$1:$1,0)-MATCH($B$1,[2]quests!$1:$1,0)+1,FALSE)</f>
        <v>ロキ襲来！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【超ウィザード級】ロキ襲来</v>
      </c>
      <c r="G4" s="21">
        <v>2</v>
      </c>
      <c r="H4" s="15" t="str">
        <f t="shared" si="2"/>
        <v>50013_1-2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88</v>
      </c>
      <c r="L4" s="20">
        <v>231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必中の咬銃 ヨルムンガンド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3.8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555814.6</v>
      </c>
      <c r="U4" s="25">
        <v>1.6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13816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ランダムに緑のダメージパネルに5個変換_x000D_【！】6ターン目に残りHPの100%ダメージ【！】</v>
      </c>
      <c r="Y4" s="105">
        <v>50013103</v>
      </c>
      <c r="Z4" s="6">
        <v>0</v>
      </c>
      <c r="AA4" s="6">
        <v>100</v>
      </c>
      <c r="AB4" s="6">
        <v>1</v>
      </c>
      <c r="AC4" s="104">
        <v>1</v>
      </c>
      <c r="AD4" s="24">
        <f t="shared" si="3"/>
        <v>231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必中の咬銃 ヨルムンガンド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50013_1-3/402&lt;lv80&gt;s1</v>
      </c>
      <c r="B5" s="22">
        <v>50013</v>
      </c>
      <c r="C5" s="21">
        <v>1</v>
      </c>
      <c r="D5" s="2" t="str">
        <f t="shared" si="1"/>
        <v>50013_1</v>
      </c>
      <c r="E5" s="4" t="str">
        <f ca="1">VLOOKUP($B5,OFFSET([2]quests!$A$1,0,0,COUNTA([2]quests!$A:$A),MATCH(E$1,[2]quests!$1:$1,0)-MATCH($B$1,[2]quests!$1:$1,0)+1),MATCH(E$1,[2]quests!$1:$1,0)-MATCH($B$1,[2]quests!$1:$1,0)+1,FALSE)</f>
        <v>ロキ襲来！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【超ウィザード級】ロキ襲来</v>
      </c>
      <c r="G5" s="21">
        <v>3</v>
      </c>
      <c r="H5" s="15" t="str">
        <f t="shared" si="2"/>
        <v>50013_1-3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402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天災の神狼 フェンリル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3.3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457215</v>
      </c>
      <c r="U5" s="25">
        <v>0.9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11952.9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状態異常耐性_x000D_【！】次のターン強力な攻撃を発動【！】</v>
      </c>
      <c r="Y5" s="105">
        <v>50013104</v>
      </c>
      <c r="Z5" s="6">
        <v>0</v>
      </c>
      <c r="AA5" s="6">
        <v>100</v>
      </c>
      <c r="AB5" s="6">
        <v>1</v>
      </c>
      <c r="AC5" s="104">
        <v>1</v>
      </c>
      <c r="AD5" s="24">
        <f t="shared" si="3"/>
        <v>402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天災の神狼 フェンリル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50013_1-4/1256&lt;lv90&gt;s1</v>
      </c>
      <c r="B6" s="22">
        <v>50013</v>
      </c>
      <c r="C6" s="21">
        <v>1</v>
      </c>
      <c r="D6" s="2" t="str">
        <f t="shared" si="1"/>
        <v>50013_1</v>
      </c>
      <c r="E6" s="4" t="str">
        <f ca="1">VLOOKUP($B6,OFFSET([2]quests!$A$1,0,0,COUNTA([2]quests!$A:$A),MATCH(E$1,[2]quests!$1:$1,0)-MATCH($B$1,[2]quests!$1:$1,0)+1),MATCH(E$1,[2]quests!$1:$1,0)-MATCH($B$1,[2]quests!$1:$1,0)+1,FALSE)</f>
        <v>ロキ襲来！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【超ウィザード級】ロキ襲来</v>
      </c>
      <c r="G6" s="21">
        <v>4</v>
      </c>
      <c r="H6" s="15" t="str">
        <f t="shared" si="2"/>
        <v>50013_1-4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1256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ヘル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90</v>
      </c>
      <c r="S6" s="25">
        <v>4.5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658534.5</v>
      </c>
      <c r="U6" s="25">
        <v>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13690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状態異常耐性+_x000D_9ターンランダムに時限式ダメージパネルをドロップ</v>
      </c>
      <c r="Y6" s="105">
        <v>50013106</v>
      </c>
      <c r="Z6" s="6">
        <v>0</v>
      </c>
      <c r="AA6" s="6">
        <v>100</v>
      </c>
      <c r="AB6" s="6">
        <v>1</v>
      </c>
      <c r="AC6" s="104">
        <v>1</v>
      </c>
      <c r="AD6" s="24">
        <f t="shared" si="3"/>
        <v>1256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ヘル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50013_1-5/1258&lt;lv90&gt;s1</v>
      </c>
      <c r="B7" s="22">
        <v>50013</v>
      </c>
      <c r="C7" s="21">
        <v>1</v>
      </c>
      <c r="D7" s="2" t="str">
        <f t="shared" si="1"/>
        <v>50013_1</v>
      </c>
      <c r="E7" s="4" t="str">
        <f ca="1">VLOOKUP($B7,OFFSET([2]quests!$A$1,0,0,COUNTA([2]quests!$A:$A),MATCH(E$1,[2]quests!$1:$1,0)-MATCH($B$1,[2]quests!$1:$1,0)+1),MATCH(E$1,[2]quests!$1:$1,0)-MATCH($B$1,[2]quests!$1:$1,0)+1,FALSE)</f>
        <v>ロキ襲来！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【超ウィザード級】ロキ襲来</v>
      </c>
      <c r="G7" s="21">
        <v>5</v>
      </c>
      <c r="H7" s="15" t="str">
        <f t="shared" si="2"/>
        <v>50013_1-5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3</v>
      </c>
      <c r="L7" s="20">
        <v>1258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ロキ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90</v>
      </c>
      <c r="S7" s="25">
        <v>5.3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807269.5</v>
      </c>
      <c r="U7" s="25">
        <v>1.1000000000000001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14612.400000000001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状態異常耐性+1ターン全属性ダメージ80%軽減+_x000D_緑パネルを確率で緑の時限式ダメージパネルとしてドロップ</v>
      </c>
      <c r="Y7" s="105">
        <v>50013108</v>
      </c>
      <c r="Z7" s="6">
        <v>0</v>
      </c>
      <c r="AA7" s="6">
        <v>100</v>
      </c>
      <c r="AB7" s="6">
        <v>1</v>
      </c>
      <c r="AC7" s="104">
        <v>1</v>
      </c>
      <c r="AD7" s="24">
        <f t="shared" si="3"/>
        <v>1258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ロキ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7" s="7">
        <v>1</v>
      </c>
      <c r="AI7" s="24">
        <f t="shared" ca="1" si="4"/>
        <v>5</v>
      </c>
      <c r="AJ7" s="8">
        <v>85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251</v>
      </c>
      <c r="V1" s="26" t="s">
        <v>50</v>
      </c>
      <c r="W1" s="101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50013_1-3/402&lt;lv80&gt;sq1st2</v>
      </c>
      <c r="B2" s="22">
        <v>50013</v>
      </c>
      <c r="C2" s="21">
        <v>1</v>
      </c>
      <c r="D2" s="2" t="str">
        <f>B2&amp;"_"&amp;C2</f>
        <v>50013_1</v>
      </c>
      <c r="E2" s="4" t="str">
        <f ca="1">VLOOKUP($B2,OFFSET([2]quests!$A$1,0,0,COUNTA([2]quests!$A:$A),MATCH(E$1,[2]quests!$1:$1,0)-MATCH($B$1,[2]quests!$1:$1,0)+1),MATCH(E$1,[2]quests!$1:$1,0)-MATCH($B$1,[2]quests!$1:$1,0)+1,FALSE)</f>
        <v>ロキ襲来！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【超ウィザード級】ロキ襲来</v>
      </c>
      <c r="G2" s="21">
        <v>3</v>
      </c>
      <c r="H2" s="15" t="str">
        <f>B2&amp;"_"&amp;C2&amp;"-"&amp;G2</f>
        <v>50013_1-3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402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天災の神狼 フェンリル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3.8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526490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13281</v>
      </c>
      <c r="X2" s="5">
        <v>0</v>
      </c>
      <c r="Y2" s="4" t="s">
        <v>253</v>
      </c>
      <c r="Z2" s="105">
        <v>50013105</v>
      </c>
      <c r="AA2" s="106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50013_1-4/1257&lt;lv90&gt;sq2st2</v>
      </c>
      <c r="B3" s="22">
        <v>50013</v>
      </c>
      <c r="C3" s="21">
        <v>1</v>
      </c>
      <c r="D3" s="2" t="str">
        <f>B3&amp;"_"&amp;C3</f>
        <v>50013_1</v>
      </c>
      <c r="E3" s="4" t="str">
        <f ca="1">VLOOKUP($B3,OFFSET([2]quests!$A$1,0,0,COUNTA([2]quests!$A:$A),MATCH(E$1,[2]quests!$1:$1,0)-MATCH($B$1,[2]quests!$1:$1,0)+1),MATCH(E$1,[2]quests!$1:$1,0)-MATCH($B$1,[2]quests!$1:$1,0)+1,FALSE)</f>
        <v>ロキ襲来！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【超ウィザード級】ロキ襲来</v>
      </c>
      <c r="G3" s="21">
        <v>4</v>
      </c>
      <c r="H3" s="15" t="str">
        <f>B3&amp;"_"&amp;C3&amp;"-"&amp;G3</f>
        <v>50013_1-4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1257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危能の幼魔神 ヘル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90</v>
      </c>
      <c r="T3" s="25">
        <v>5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731705</v>
      </c>
      <c r="V3" s="25">
        <v>1.1000000000000001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15059.000000000002</v>
      </c>
      <c r="X3" s="5">
        <v>0</v>
      </c>
      <c r="Y3" s="4" t="s">
        <v>253</v>
      </c>
      <c r="Z3" s="105">
        <v>50013107</v>
      </c>
      <c r="AA3" s="106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50013_1-5/1258&lt;lv90&gt;sq3st2</v>
      </c>
      <c r="B4" s="22">
        <v>50013</v>
      </c>
      <c r="C4" s="21">
        <v>1</v>
      </c>
      <c r="D4" s="2" t="str">
        <f>B4&amp;"_"&amp;C4</f>
        <v>50013_1</v>
      </c>
      <c r="E4" s="4" t="str">
        <f ca="1">VLOOKUP($B4,OFFSET([2]quests!$A$1,0,0,COUNTA([2]quests!$A:$A),MATCH(E$1,[2]quests!$1:$1,0)-MATCH($B$1,[2]quests!$1:$1,0)+1),MATCH(E$1,[2]quests!$1:$1,0)-MATCH($B$1,[2]quests!$1:$1,0)+1,FALSE)</f>
        <v>ロキ襲来！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【超ウィザード級】ロキ襲来</v>
      </c>
      <c r="G4" s="21">
        <v>5</v>
      </c>
      <c r="H4" s="15" t="str">
        <f>B4&amp;"_"&amp;C4&amp;"-"&amp;G4</f>
        <v>50013_1-5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1258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ロキ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90</v>
      </c>
      <c r="T4" s="25">
        <v>5.5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837732.5</v>
      </c>
      <c r="V4" s="25">
        <v>1.1000000000000001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14612.400000000001</v>
      </c>
      <c r="X4" s="5">
        <v>0</v>
      </c>
      <c r="Y4" s="4" t="s">
        <v>253</v>
      </c>
      <c r="Z4" s="105">
        <v>50013109</v>
      </c>
      <c r="AA4" s="106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50013_1-5/1259&lt;lv90&gt;sq3st3</v>
      </c>
      <c r="B5" s="22">
        <v>50013</v>
      </c>
      <c r="C5" s="21">
        <v>1</v>
      </c>
      <c r="D5" s="2" t="str">
        <f>B5&amp;"_"&amp;C5</f>
        <v>50013_1</v>
      </c>
      <c r="E5" s="4" t="str">
        <f ca="1">VLOOKUP($B5,OFFSET([2]quests!$A$1,0,0,COUNTA([2]quests!$A:$A),MATCH(E$1,[2]quests!$1:$1,0)-MATCH($B$1,[2]quests!$1:$1,0)+1),MATCH(E$1,[2]quests!$1:$1,0)-MATCH($B$1,[2]quests!$1:$1,0)+1,FALSE)</f>
        <v>ロキ襲来！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【超ウィザード級】ロキ襲来</v>
      </c>
      <c r="G5" s="21">
        <v>5</v>
      </c>
      <c r="H5" s="15" t="str">
        <f>B5&amp;"_"&amp;C5&amp;"-"&amp;G5</f>
        <v>50013_1-5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1259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崩世を叫ぶ悪戯 ロキ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90</v>
      </c>
      <c r="T5" s="25">
        <v>4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609260</v>
      </c>
      <c r="V5" s="25">
        <v>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13284</v>
      </c>
      <c r="X5" s="5">
        <v>0</v>
      </c>
      <c r="Y5" s="4" t="s">
        <v>253</v>
      </c>
      <c r="Z5" s="105">
        <v>50013110</v>
      </c>
      <c r="AA5" s="10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5"/>
  <sheetViews>
    <sheetView showGridLines="0" workbookViewId="0">
      <pane xSplit="5" ySplit="1" topLeftCell="F39" activePane="bottomRight" state="frozen"/>
      <selection pane="topRight"/>
      <selection pane="bottomLeft"/>
      <selection pane="bottomRight" activeCell="J68" sqref="J68:J6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50013101_50013101</v>
      </c>
      <c r="B2" s="47">
        <v>50013101</v>
      </c>
      <c r="C2" s="47">
        <v>50013101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ロキめ…早まった事を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奴がアレを起動するのは_x000D_何としても阻止せねばならん</v>
      </c>
      <c r="F2" s="47">
        <v>50013101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3" si="1">B3&amp;"_"&amp;C3</f>
        <v>50013101_50013102</v>
      </c>
      <c r="B3" s="47">
        <v>50013101</v>
      </c>
      <c r="C3" s="47">
        <v>50013102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我々は防壁を強化し_x000D_時間を稼ぐ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ALICEの適合者たちよ！_x000D_ロキを止めるのは任せたぞ！</v>
      </c>
      <c r="F3" s="47">
        <v>50013102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50013101_50013105</v>
      </c>
      <c r="B4" s="47">
        <v>50013101</v>
      </c>
      <c r="C4" s="109">
        <v>50013105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ロキめ…早まった事を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トールよ、ラグナロクを止めるため_x000D_お前も協力してやってくれ</v>
      </c>
      <c r="F4" s="109">
        <v>50013105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1260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50013102_50013103</v>
      </c>
      <c r="B5" s="47">
        <v>50013102</v>
      </c>
      <c r="C5" s="47">
        <v>50013103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父さん…_x000D_僕らはどうすれば…？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表示時間ゼロ</v>
      </c>
      <c r="F5" s="47">
        <v>50013103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50013102_50013104</v>
      </c>
      <c r="B6" s="47">
        <v>50013102</v>
      </c>
      <c r="C6" s="47">
        <v>50013104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危険な道のりだよ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……気をつけてね</v>
      </c>
      <c r="F6" s="47">
        <v>50013104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50013103_50013201</v>
      </c>
      <c r="B7" s="47">
        <v>50013103</v>
      </c>
      <c r="C7" s="47">
        <v>50013201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新しいエサが来たぁ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ランダムに緑のダメージパネルに5個変換_x000D_【！】6ターン目に残りHPの100%ダメージ【！】</v>
      </c>
      <c r="F7" s="47">
        <v>50013201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50013103_50013202</v>
      </c>
      <c r="B8" s="47">
        <v>50013103</v>
      </c>
      <c r="C8" s="47">
        <v>50013202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ヘキサゴナルターゲット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6回連続攻撃+_x000D_ランダムに緑のダメージパネルに6個変換</v>
      </c>
      <c r="F8" s="47">
        <v>50013202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50013103_50013203</v>
      </c>
      <c r="B9" s="47">
        <v>50013103</v>
      </c>
      <c r="C9" s="47">
        <v>50013203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スポイルシューティング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緑パネルを吸収して攻撃(最大15個)</v>
      </c>
      <c r="F9" s="47">
        <v>50013203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50013103_50013204</v>
      </c>
      <c r="B10" s="47">
        <v>50013103</v>
      </c>
      <c r="C10" s="47">
        <v>50013204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ふーん…これならどうかな？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ハートパネルを吸収して強力な全体攻撃+_x000D_2ターン全ユニットにスキルバインド</v>
      </c>
      <c r="F10" s="47">
        <v>50013204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50013103_50013205</v>
      </c>
      <c r="B11" s="47">
        <v>50013103</v>
      </c>
      <c r="C11" s="47">
        <v>50013205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バキュキューンっと撃ち抜くよ！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緑パネルを緑のダメージパネルに5個変換+_x000D_強力な全体攻撃</v>
      </c>
      <c r="F11" s="47">
        <v>50013205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50013103_50013206</v>
      </c>
      <c r="B12" s="47">
        <v>50013103</v>
      </c>
      <c r="C12" s="47">
        <v>50013206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にしし…いただきまぁす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残りHPの100%ダメージ！</v>
      </c>
      <c r="F12" s="47">
        <v>50013206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50013104_50013301</v>
      </c>
      <c r="B13" s="47">
        <v>50013104</v>
      </c>
      <c r="C13" s="47">
        <v>50013301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私の方が格上なんだからっ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状態異常耐性_x000D_【！】次のターン強力な攻撃を発動【！】</v>
      </c>
      <c r="F13" s="47">
        <v>50013301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:A55" si="2">B14&amp;"_"&amp;C14</f>
        <v>50013104_50013302</v>
      </c>
      <c r="B14" s="47">
        <v>50013104</v>
      </c>
      <c r="C14" s="47">
        <v>50013302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思い知らせてあげる！！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激烈クリティカル！+_x000D_攻撃頻度が2にDOWN</v>
      </c>
      <c r="F14" s="47">
        <v>50013302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50013104_50013303</v>
      </c>
      <c r="B15" s="47">
        <v>50013104</v>
      </c>
      <c r="C15" s="47">
        <v>50013303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メテオハウリング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1ターンハートパネルをお邪魔パネルとしてドロップ+_x000D_2回連続全体攻撃</v>
      </c>
      <c r="F15" s="47">
        <v>50013303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50013104_50013304</v>
      </c>
      <c r="B16" s="47">
        <v>50013104</v>
      </c>
      <c r="C16" s="47">
        <v>50013304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イグニートネイル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4回連続攻撃_x000D_(命中したユニットに1ターンスキルバインド)</v>
      </c>
      <c r="F16" s="47">
        <v>50013304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50013104_50013305</v>
      </c>
      <c r="B17" s="47">
        <v>50013104</v>
      </c>
      <c r="C17" s="47">
        <v>50013305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そんなんじゃ私には追いつけないよ！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残りHPの80%ダメージ+3ターン暗闇+_x000D_2ゲージ目に移行</v>
      </c>
      <c r="F17" s="47">
        <v>50013305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50013105_50013401</v>
      </c>
      <c r="B18" s="47">
        <v>50013105</v>
      </c>
      <c r="C18" s="47">
        <v>50013401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全部ぜ〜んぶ焼き尽くすっ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状態異常耐性+ランダムに赤のダメージパネルに6個変換_x000D_【！】次のターン強力な攻撃を発動【！】</v>
      </c>
      <c r="F18" s="47">
        <v>50013401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50013105_50013402</v>
      </c>
      <c r="B19" s="47">
        <v>50013105</v>
      </c>
      <c r="C19" s="47">
        <v>50013402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灰になっちゃえー！！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19" s="47">
        <v>50013402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50013105_50013403</v>
      </c>
      <c r="B20" s="47">
        <v>50013105</v>
      </c>
      <c r="C20" s="47">
        <v>50013403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もっともっと熱く…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ランダムにボムパネルに23個変換+_x000D_ランダムに赤のダメージパネルに7個変換</v>
      </c>
      <c r="F20" s="47">
        <v>50013403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50013105_50013404</v>
      </c>
      <c r="B21" s="47">
        <v>50013105</v>
      </c>
      <c r="C21" s="47">
        <v>50013404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ムーン・エクスプロード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ボムパネル&amp;ダメージパネル以外を_x000D_吸収して全体攻撃(最大30個)</v>
      </c>
      <c r="F21" s="47">
        <v>50013404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50013105_50013405</v>
      </c>
      <c r="B22" s="47">
        <v>50013105</v>
      </c>
      <c r="C22" s="47">
        <v>50013405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ホントの本気！見せてあげる！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ボムパネルを吸収して自身の攻撃力超大UP</v>
      </c>
      <c r="F22" s="47">
        <v>50013405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50013106_50013501</v>
      </c>
      <c r="B23" s="47">
        <v>50013106</v>
      </c>
      <c r="C23" s="47">
        <v>50013501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誰も通すなってロキが言ってたのー♪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状態異常耐性+_x000D_9ターンランダムに時限式ダメージパネルをドロップ</v>
      </c>
      <c r="F23" s="47">
        <v>50013501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50013106_50013502</v>
      </c>
      <c r="B24" s="47">
        <v>50013106</v>
      </c>
      <c r="C24" s="47">
        <v>50013502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みんな言う通りにしてね？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1ターン赤パネルが出現しない+_x000D_赤パネルを吸収して攻撃(最大10個)</v>
      </c>
      <c r="F24" s="47">
        <v>50013503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50013106_50013503</v>
      </c>
      <c r="B25" s="47">
        <v>50013106</v>
      </c>
      <c r="C25" s="47">
        <v>50013503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ロキが絶対正しいんだよ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1ターン青パネルが出現しない+_x000D_青パネルを吸収して攻撃(最大10個)</v>
      </c>
      <c r="F25" s="47">
        <v>50013504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50013106_50013504</v>
      </c>
      <c r="B26" s="47">
        <v>50013106</v>
      </c>
      <c r="C26" s="47">
        <v>50013504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ほら、冥府にご案内♪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1ターン全ユニットにスリープ+_x000D_フィーバーゲージ減少</v>
      </c>
      <c r="F26" s="47">
        <v>50013505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50013106_50013505</v>
      </c>
      <c r="B27" s="47">
        <v>50013106</v>
      </c>
      <c r="C27" s="47">
        <v>50013505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どうして帰ってくれないの…？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3ターン全ユニットにスキルバインド</v>
      </c>
      <c r="F27" s="47">
        <v>50013506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50013107_50013601</v>
      </c>
      <c r="B28" s="47">
        <v>50013107</v>
      </c>
      <c r="C28" s="47">
        <v>50013601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ロキのためなら…どうなってもいい…！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状態異常耐性+_x000D_次のターンからだんだん強くなる攻撃を発動</v>
      </c>
      <c r="F28" s="47">
        <v>50013601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50013107_50013602</v>
      </c>
      <c r="B29" s="47">
        <v>50013107</v>
      </c>
      <c r="C29" s="47">
        <v>50013602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ロキ…見ててね…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HPを10%消費して単体攻撃+_x000D_ランダムに超強力な黄のダメージパネルに1個変換</v>
      </c>
      <c r="F29" s="47">
        <v>50013602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50013107_50013603</v>
      </c>
      <c r="B30" s="47">
        <v>50013107</v>
      </c>
      <c r="C30" s="47">
        <v>50013603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私…痛いけど頑張るよ…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HPを20%消費してクリティカル！+_x000D_攻撃頻度が1にUP</v>
      </c>
      <c r="F30" s="47">
        <v>50013603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50013107_50013604</v>
      </c>
      <c r="B31" s="47">
        <v>50013107</v>
      </c>
      <c r="C31" s="47">
        <v>50013604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うっ…褒めて…くれるかな…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HPを40%消費して強力なクリティカル！+_x000D_ランダムに超強力な黄のダメージパネルに1個変換</v>
      </c>
      <c r="F31" s="47">
        <v>50013605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50013107_50013605</v>
      </c>
      <c r="B32" s="47">
        <v>50013107</v>
      </c>
      <c r="C32" s="47">
        <v>50013605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ロキのため…ロキの…ため！！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HPを50%消費して激烈クリティカル！+_x000D_ランダムに超強力な黄のダメージパネルに1個変換</v>
      </c>
      <c r="F32" s="47">
        <v>50013606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50013108_50013701</v>
      </c>
      <c r="B33" s="47">
        <v>50013108</v>
      </c>
      <c r="C33" s="47">
        <v>50013701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ハァー結局私が相手するのか…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状態異常耐性+1ターン全属性ダメージ80%軽減+_x000D_緑パネルを確率で緑の時限式ダメージパネルとしてドロップ</v>
      </c>
      <c r="F33" s="47">
        <v>50013701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5" si="3">B34&amp;"_"&amp;C34</f>
        <v>50013108_50013791</v>
      </c>
      <c r="B34" s="47">
        <v>50013108</v>
      </c>
      <c r="C34" s="109">
        <v>50013791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オーディンの指示か？_x000D_邪魔をするな！トール！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状態異常耐性+1ターン全属性ダメージ80%軽減+_x000D_緑パネルを確率で緑の時限式ダメージパネルとしてドロップ</v>
      </c>
      <c r="F34" s="109">
        <v>50013791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1260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50013108_50013792</v>
      </c>
      <c r="B35" s="47">
        <v>50013108</v>
      </c>
      <c r="C35" s="109">
        <v>50013792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豊臣秀吉…！_x000D_私たち&lt;AI&gt;を散々利用しやがって…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状態異常耐性+1ターン全属性ダメージ80%軽減+_x000D_緑パネルを確率で緑の時限式ダメージパネルとしてドロップ</v>
      </c>
      <c r="F35" s="109">
        <v>50013792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" si="4">B36&amp;"_"&amp;C36</f>
        <v>50013108_50013793</v>
      </c>
      <c r="B36" s="47">
        <v>50013108</v>
      </c>
      <c r="C36" s="109">
        <v>50013793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あんた、バビロニアの…_x000D_愛しの彼女を守ろうってか？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状態異常耐性+1ターン全属性ダメージ80%軽減+_x000D_緑パネルを確率で緑の時限式ダメージパネルとしてドロップ</v>
      </c>
      <c r="F36" s="109">
        <v>50013793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ref="A37" si="5">B37&amp;"_"&amp;C37</f>
        <v>50013108_50013794</v>
      </c>
      <c r="B37" s="47">
        <v>50013108</v>
      </c>
      <c r="C37" s="109">
        <v>50013794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織田信長…あんたの技巧は_x000D_色々と参考になったがね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状態異常耐性+1ターン全属性ダメージ80%軽減+_x000D_緑パネルを確率で緑の時限式ダメージパネルとしてドロップ</v>
      </c>
      <c r="F37" s="109">
        <v>50013794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50013108_50013702</v>
      </c>
      <c r="B38" s="47">
        <v>50013108</v>
      </c>
      <c r="C38" s="47">
        <v>50013702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さっさとご退場願おうか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ランダムに緑のダメージパネルに8個変換+_x000D_8回連続攻撃</v>
      </c>
      <c r="F38" s="47">
        <v>50013702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50013108_50013703</v>
      </c>
      <c r="B39" s="47">
        <v>50013108</v>
      </c>
      <c r="C39" s="47">
        <v>50013703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ムカつくなぁ…あんたら…！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ハートパネルを吸収して全体攻撃(最大3個)</v>
      </c>
      <c r="F39" s="47">
        <v>50013703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50013108_50013704</v>
      </c>
      <c r="B40" s="47">
        <v>50013108</v>
      </c>
      <c r="C40" s="47">
        <v>50013704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所詮私たち&lt;AI&gt;には命など無い…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ランダムに緑のダメージパネルに4個変換+_x000D_5ターン防御力大UP</v>
      </c>
      <c r="F40" s="47">
        <v>50013704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50013108_50013705</v>
      </c>
      <c r="B41" s="47">
        <v>50013108</v>
      </c>
      <c r="C41" s="47">
        <v>50013705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創られた存在には自由も無い…！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ランダムに緑のダメージパネルに4個変換+_x000D_5ターン攻撃力UP</v>
      </c>
      <c r="F41" s="47">
        <v>50013705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2"/>
        <v>50013108_50013706</v>
      </c>
      <c r="B42" s="47">
        <v>50013108</v>
      </c>
      <c r="C42" s="47">
        <v>50013706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失えるモノさえ何も無い！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ダメージパネルを吸収して強力な攻撃</v>
      </c>
      <c r="F42" s="47">
        <v>50013706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6">B43&amp;"_"&amp;C43</f>
        <v>50013108_50013707</v>
      </c>
      <c r="B43" s="47">
        <v>50013108</v>
      </c>
      <c r="C43" s="47">
        <v>50013707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挨拶代わりだ…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ランダムにお邪魔パネルに15個変換+_x000D_残りHPの40%ダメージ！</v>
      </c>
      <c r="F43" s="47">
        <v>50013707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2"/>
        <v>50013109_50013801</v>
      </c>
      <c r="B44" s="47">
        <v>50013109</v>
      </c>
      <c r="C44" s="47">
        <v>50013801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こんな空虚な世界はもう終わらせよう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状態異常耐性+_x000D_種族サムライのユニットに10ターンスキルバインド+_x000D_種族サムライのユニットの攻撃力超大UP</v>
      </c>
      <c r="F44" s="47">
        <v>50013801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2"/>
        <v>50013109_50013802</v>
      </c>
      <c r="B45" s="47">
        <v>50013109</v>
      </c>
      <c r="C45" s="47">
        <v>50013802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まずはあんたが消えろ！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強力なクリティカル！</v>
      </c>
      <c r="F45" s="47">
        <v>50013802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2"/>
        <v>50013109_50013803</v>
      </c>
      <c r="B46" s="47">
        <v>50013109</v>
      </c>
      <c r="C46" s="47">
        <v>50013803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そして私は刻む…存在の証明を！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3ターン全ユニットに暗闇+_x000D_全てのプラス効果を解除</v>
      </c>
      <c r="F46" s="47">
        <v>50013803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2"/>
        <v>50013109_50013804</v>
      </c>
      <c r="B47" s="47">
        <v>50013109</v>
      </c>
      <c r="C47" s="47">
        <v>50013804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本気で私に敵うと思ってるのか？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ランダムに緑のダメージパネルに8個変換+_x000D_8回連続攻撃</v>
      </c>
      <c r="F47" s="47">
        <v>50013804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2"/>
        <v>50013109_50013805</v>
      </c>
      <c r="B48" s="47">
        <v>50013109</v>
      </c>
      <c r="C48" s="47">
        <v>50013805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アハハ！油断してやんの！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残りHPの99%ダメージ！</v>
      </c>
      <c r="F48" s="47">
        <v>50013805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2"/>
        <v>50013110_50013901</v>
      </c>
      <c r="B49" s="47">
        <v>50013110</v>
      </c>
      <c r="C49" s="47">
        <v>50013901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しつこい連中だ。_x000D_だが終末への道は開いたっ！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状態異常耐性+ハートパネル無効_x000D_【！】敵HP95%以下で残りHPの500%ダメージ【！】</v>
      </c>
      <c r="F49" s="47">
        <v>50013901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2"/>
        <v>50013110_50013902</v>
      </c>
      <c r="B50" s="47">
        <v>50013110</v>
      </c>
      <c r="C50" s="47">
        <v>50013902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もう何をしても無駄だぞ？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黄パネル無効+_x000D_黄パネルを黄のダメージパネルに5個変換</v>
      </c>
      <c r="F50" s="47">
        <v>50013902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2"/>
        <v>50013110_50013903</v>
      </c>
      <c r="B51" s="47">
        <v>50013110</v>
      </c>
      <c r="C51" s="47">
        <v>50013903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触れれば滅び、待てども滅ぶ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緑パネル無効+_x000D_緑パネルを緑のダメージパネルに5個変換</v>
      </c>
      <c r="F51" s="47">
        <v>50013903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2"/>
        <v>50013110_50013904</v>
      </c>
      <c r="B52" s="47">
        <v>50013110</v>
      </c>
      <c r="C52" s="47">
        <v>50013904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ALICEは滅ぶ！私の手で！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青パネル無効+_x000D_青パネルを青のダメージパネルに5個変換</v>
      </c>
      <c r="F52" s="47">
        <v>50013904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2"/>
        <v>50013110_50013905</v>
      </c>
      <c r="B53" s="47">
        <v>50013110</v>
      </c>
      <c r="C53" s="47">
        <v>50013905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…共に終焉を見届けよう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赤パネル無効_x000D_【！】次のターン残りHPの500%ダメージ【！】</v>
      </c>
      <c r="F53" s="47">
        <v>50013905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2"/>
        <v>50013110_50013906</v>
      </c>
      <c r="B54" s="47">
        <v>50013110</v>
      </c>
      <c r="C54" s="47">
        <v>50013906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全機能停止コード：RAGNAROK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残りHPの500%ダメージ！！</v>
      </c>
      <c r="F54" s="47">
        <v>50013906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2"/>
        <v>50013110_50013907</v>
      </c>
      <c r="B55" s="47">
        <v>50013110</v>
      </c>
      <c r="C55" s="47">
        <v>50013907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全機能停止コード：RAGNAROK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残りHPの500%ダメージ！！</v>
      </c>
      <c r="F55" s="47">
        <v>50013907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95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" si="7">B56&amp;"_"&amp;C56</f>
        <v>50013110_50013908</v>
      </c>
      <c r="B56" s="47">
        <v>50013110</v>
      </c>
      <c r="C56" s="47">
        <v>50013908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終わらせることも許されないのか…？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あんたら人間は…なぜ私を生み出した…_x000D_誰か……て…くれ…</v>
      </c>
      <c r="F56" s="47">
        <v>50013908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0" si="8">B57&amp;"_"&amp;C57</f>
        <v>50013110_50013991</v>
      </c>
      <c r="B57" s="47">
        <v>50013110</v>
      </c>
      <c r="C57" s="109">
        <v>50013991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あんたらだって_x000D_いずれ使い捨てられるんだ…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ここで終わらせなかったことを…_x000D_その時に後悔するがいい…！</v>
      </c>
      <c r="F57" s="109">
        <v>50013991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1260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8"/>
        <v>50013110_50013992</v>
      </c>
      <c r="B58" s="47">
        <v>50013110</v>
      </c>
      <c r="C58" s="109">
        <v>50013992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くそ…越えられないのかよ…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無意味に生み出され無価値に捨てられる…_x000D_そんな……宿命を……</v>
      </c>
      <c r="F58" s="109">
        <v>50013992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8"/>
        <v>50013110_50013993</v>
      </c>
      <c r="B59" s="47">
        <v>50013110</v>
      </c>
      <c r="C59" s="109">
        <v>50013993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くくくっ…無責任に夢を与えて…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今に思い知るぞ…？_x000D_あんたがやってるのは所詮お人形遊びだ…</v>
      </c>
      <c r="F59" s="109">
        <v>50013993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8"/>
        <v>50013110_50013994</v>
      </c>
      <c r="B60" s="47">
        <v>50013110</v>
      </c>
      <c r="C60" s="109">
        <v>50013994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馬鹿な…私の演算は完璧だったはず…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成長曲線を見誤った…？_x000D_くそ…ヴェーダを破った実力…か…</v>
      </c>
      <c r="F60" s="109">
        <v>50013994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ref="A61:A64" si="9">B61&amp;"_"&amp;C61</f>
        <v>50013110_50013991</v>
      </c>
      <c r="B61" s="47">
        <v>50013110</v>
      </c>
      <c r="C61" s="109">
        <v>50013991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あんたらだって_x000D_いずれ使い捨てられるんだ…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ここで終わらせなかったことを…_x000D_その時に後悔するがいい…！</v>
      </c>
      <c r="F61" s="109">
        <v>50013995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141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1261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9"/>
        <v>50013110_50013992</v>
      </c>
      <c r="B62" s="47">
        <v>50013110</v>
      </c>
      <c r="C62" s="109">
        <v>50013992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くそ…越えられないのかよ…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無意味に生み出され無価値に捨てられる…_x000D_そんな……宿命を……</v>
      </c>
      <c r="F62" s="109">
        <v>50013996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9"/>
        <v>50013110_50013993</v>
      </c>
      <c r="B63" s="47">
        <v>50013110</v>
      </c>
      <c r="C63" s="109">
        <v>50013993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くくくっ…無責任に夢を与えて…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今に思い知るぞ…？_x000D_あんたがやってるのは所詮お人形遊びだ…</v>
      </c>
      <c r="F63" s="109">
        <v>50013997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1066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9"/>
        <v>50013110_50013994</v>
      </c>
      <c r="B64" s="47">
        <v>50013110</v>
      </c>
      <c r="C64" s="109">
        <v>50013994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馬鹿な…私の演算は完璧だったはず…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成長曲線を見誤った…？_x000D_くそ…ヴェーダを破った実力…か…</v>
      </c>
      <c r="F64" s="109">
        <v>50013998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" si="10">B65&amp;"_"&amp;C65</f>
        <v>50013110_50013994</v>
      </c>
      <c r="B65" s="47">
        <v>50013110</v>
      </c>
      <c r="C65" s="109">
        <v>50013994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馬鹿な…私の演算は完璧だったはず…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成長曲線を見誤った…？_x000D_くそ…ヴェーダを破った実力…か…</v>
      </c>
      <c r="F65" s="109">
        <v>50013999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2"/>
  <sheetViews>
    <sheetView showGridLines="0" workbookViewId="0">
      <pane ySplit="1" topLeftCell="A39" activePane="bottomLeft" state="frozenSplit"/>
      <selection pane="bottomLeft" activeCell="F46" sqref="F4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366</v>
      </c>
    </row>
    <row r="2" spans="1:28" ht="21" customHeight="1" x14ac:dyDescent="0.15">
      <c r="A2" s="47">
        <v>50013101</v>
      </c>
      <c r="B2" s="47" t="s">
        <v>414</v>
      </c>
      <c r="C2" s="50">
        <v>3</v>
      </c>
      <c r="D2" s="50" t="s">
        <v>413</v>
      </c>
      <c r="E2" s="51" t="s">
        <v>378</v>
      </c>
      <c r="F2" s="51" t="s">
        <v>269</v>
      </c>
      <c r="G2" s="63" t="str">
        <f>IFERROR(LEFT(B2,FIND("],",B2)),B2)</f>
        <v>[effect:enemy_message, val1:1.3, val2:2.5]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>[effect:fix_speed, target:myself, turn:1]</v>
      </c>
      <c r="N2" s="48" t="str">
        <f>IFERROR(LEFT(M2,FIND("],",M2)+S13),M2)</f>
        <v>[effect:fix_speed, target:myself, turn:1]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50013102</v>
      </c>
      <c r="B3" s="47" t="s">
        <v>380</v>
      </c>
      <c r="C3" s="50">
        <v>3</v>
      </c>
      <c r="D3" s="50" t="s">
        <v>413</v>
      </c>
      <c r="E3" s="51" t="s">
        <v>377</v>
      </c>
      <c r="F3" s="51" t="s">
        <v>271</v>
      </c>
      <c r="G3" s="63" t="str">
        <f t="shared" ref="G3:G38" si="0">IFERROR(LEFT(B3,FIND("],",B3)),B3)</f>
        <v>[effect:enemy_message, val1:1.5, val2:2.7]</v>
      </c>
      <c r="H3" s="63">
        <f t="shared" ref="H3:H60" si="1">FIND("effect:",G3)+7</f>
        <v>9</v>
      </c>
      <c r="I3" s="63">
        <f t="shared" ref="I3:I38" si="2">IFERROR(FIND(",",G3),LEN(G3))</f>
        <v>22</v>
      </c>
      <c r="J3" s="63" t="e">
        <f t="shared" ref="J3:J38" si="3">FIND("target:",G3)+7</f>
        <v>#VALUE!</v>
      </c>
      <c r="K3" s="63">
        <f t="shared" ref="K3:K38" si="4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:M38" si="5">IFERROR(RIGHT(B3,LEN(B3)-FIND("],",B3)-1),"none")</f>
        <v>[effect:sp_boost, target:unit_red, val:99, animation:sp_boost_one02],[effect:suicide, target:myself, val:1, dead_type:escape]</v>
      </c>
      <c r="N3" s="48" t="str">
        <f>IFERROR(LEFT(M3,FIND("],",M3)+S14),M3)</f>
        <v>[effect:sp_boost, target:unit_red, val:99, animation:sp_boost_one02],[effect:suicide, target:myself, val:1, dead_type:escape]</v>
      </c>
      <c r="O3" s="63">
        <f t="shared" ref="O3:O60" si="6">FIND("effect:",N3)+7</f>
        <v>9</v>
      </c>
      <c r="P3" s="63">
        <f t="shared" ref="P3:P38" si="7">IFERROR(FIND(",",N3),LEN(N3))</f>
        <v>17</v>
      </c>
      <c r="Q3" s="63">
        <f t="shared" ref="Q3:Q38" si="8">FIND("target:",N3)+7</f>
        <v>26</v>
      </c>
      <c r="R3" s="63">
        <f t="shared" ref="R3:R38" si="9">FIND(",",N3,P3+1)</f>
        <v>34</v>
      </c>
      <c r="S3" s="63" t="str">
        <f>IFERROR(VLOOKUP(MID(N3,Q3,R3-Q3),[5]skilldef!$C:$D,2,FALSE),"-") &amp; " / " &amp; IFERROR(VLOOKUP(MID(N3,O3,P3-O3),[5]skilldef!$A:$B,2,FALSE),"-")</f>
        <v>赤の味方に / -</v>
      </c>
      <c r="T3" s="48" t="str">
        <f t="shared" ref="T3:T38" si="10">IFERROR(RIGHT(M3,LEN(M3)-FIND("],",M3)-1),"none")</f>
        <v>[effect:suicide, target:myself, val:1, dead_type:escape]</v>
      </c>
      <c r="U3" s="63">
        <f t="shared" ref="U3:U60" si="11">FIND("effect:",T3)+7</f>
        <v>9</v>
      </c>
      <c r="V3" s="63">
        <f t="shared" ref="V3:V38" si="12">IFERROR(FIND(",",T3),LEN(T3))</f>
        <v>16</v>
      </c>
      <c r="W3" s="63">
        <f t="shared" ref="W3:W38" si="13">FIND("target:",T3)+7</f>
        <v>25</v>
      </c>
      <c r="X3" s="63">
        <f t="shared" ref="X3:X38" si="14">FIND(",",T3,V3+1)</f>
        <v>31</v>
      </c>
      <c r="Y3" s="63" t="str">
        <f>IFERROR(VLOOKUP(MID(T3,W3,X3-W3),[5]skilldef!$C:$D,2,FALSE),"-") &amp; " / " &amp; IFERROR(VLOOKUP(MID(T3,U3,V3-U3),[5]skilldef!$A:$B,2,FALSE),"-")</f>
        <v>自分自身に / -</v>
      </c>
      <c r="Z3" s="50"/>
      <c r="AA3" s="52"/>
      <c r="AB3" s="50"/>
    </row>
    <row r="4" spans="1:28" ht="21" customHeight="1" x14ac:dyDescent="0.15">
      <c r="A4" s="47">
        <v>50013103</v>
      </c>
      <c r="B4" s="47" t="s">
        <v>379</v>
      </c>
      <c r="C4" s="50">
        <v>3</v>
      </c>
      <c r="D4" s="50" t="s">
        <v>413</v>
      </c>
      <c r="E4" s="51" t="s">
        <v>376</v>
      </c>
      <c r="F4" s="107" t="s">
        <v>270</v>
      </c>
      <c r="G4" s="63" t="str">
        <f t="shared" si="0"/>
        <v>[effect:enemy_message, val1:1.5, val2:0]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[effect:fix_speed, target:myself, turn:1]</v>
      </c>
      <c r="N4" s="48" t="str">
        <f>IFERROR(LEFT(M4,FIND("],",M4)+S15),M4)</f>
        <v>[effect:fix_speed, target:myself, turn:1]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IFERROR(VLOOKUP(MID(N4,Q4,R4-Q4),[5]skilldef!$C:$D,2,FALSE),"-") &amp; " / " &amp; IFERROR(VLOOKUP(MID(N4,O4,P4-O4),[5]skilldef!$A:$B,2,FALSE),"-")</f>
        <v>自分自身に / 行動値設定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50013104</v>
      </c>
      <c r="B5" s="47" t="s">
        <v>404</v>
      </c>
      <c r="C5" s="50">
        <v>3</v>
      </c>
      <c r="D5" s="50" t="s">
        <v>413</v>
      </c>
      <c r="E5" s="51" t="s">
        <v>272</v>
      </c>
      <c r="F5" s="51" t="s">
        <v>315</v>
      </c>
      <c r="G5" s="63" t="str">
        <f t="shared" si="0"/>
        <v>[effect:enemy_message, val1:1.2,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[effect:suicide, target:myself, val:1, dead_type:escape]</v>
      </c>
      <c r="N5" s="48" t="str">
        <f>IFERROR(LEFT(M5,FIND("],",M5)+S16),M5)</f>
        <v>[effect:suicide, target:myself, val:1, dead_type:escape]</v>
      </c>
      <c r="O5" s="63">
        <f t="shared" si="6"/>
        <v>9</v>
      </c>
      <c r="P5" s="63">
        <f t="shared" si="7"/>
        <v>16</v>
      </c>
      <c r="Q5" s="63">
        <f t="shared" si="8"/>
        <v>25</v>
      </c>
      <c r="R5" s="63">
        <f t="shared" si="9"/>
        <v>31</v>
      </c>
      <c r="S5" s="63" t="str">
        <f>IFERROR(VLOOKUP(MID(N5,Q5,R5-Q5),[5]skilldef!$C:$D,2,FALSE),"-") &amp; " / " &amp; IFERROR(VLOOKUP(MID(N5,O5,P5-O5),[5]skilldef!$A:$B,2,FALSE),"-")</f>
        <v>自分自身に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 t="s">
        <v>262</v>
      </c>
    </row>
    <row r="6" spans="1:28" ht="21" customHeight="1" x14ac:dyDescent="0.15">
      <c r="A6" s="47">
        <v>50013105</v>
      </c>
      <c r="B6" s="47" t="s">
        <v>381</v>
      </c>
      <c r="C6" s="50">
        <v>3</v>
      </c>
      <c r="D6" s="50" t="s">
        <v>413</v>
      </c>
      <c r="E6" s="110" t="s">
        <v>378</v>
      </c>
      <c r="F6" s="110" t="s">
        <v>341</v>
      </c>
      <c r="G6" s="63" t="str">
        <f t="shared" ref="G6" si="15">IFERROR(LEFT(B6,FIND("],",B6)),B6)</f>
        <v>[effect:enemy_message, val1:1.2, val2:2.9]</v>
      </c>
      <c r="H6" s="63">
        <f t="shared" ref="H6" si="16">FIND("effect:",G6)+7</f>
        <v>9</v>
      </c>
      <c r="I6" s="63">
        <f t="shared" ref="I6" si="17">IFERROR(FIND(",",G6),LEN(G6))</f>
        <v>22</v>
      </c>
      <c r="J6" s="63" t="e">
        <f t="shared" ref="J6" si="18">FIND("target:",G6)+7</f>
        <v>#VALUE!</v>
      </c>
      <c r="K6" s="63">
        <f t="shared" ref="K6" si="19">FIND(",",G6,I6+1)</f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ref="M6" si="20">IFERROR(RIGHT(B6,LEN(B6)-FIND("],",B6)-1),"none")</f>
        <v>[effect:fix_speed, target:myself, turn:1]</v>
      </c>
      <c r="N6" s="48" t="str">
        <f>IFERROR(LEFT(M6,FIND("],",M6)+S14),M6)</f>
        <v>[effect:fix_speed, target:myself, turn:1]</v>
      </c>
      <c r="O6" s="63">
        <f t="shared" ref="O6" si="21">FIND("effect:",N6)+7</f>
        <v>9</v>
      </c>
      <c r="P6" s="63">
        <f t="shared" ref="P6" si="22">IFERROR(FIND(",",N6),LEN(N6))</f>
        <v>18</v>
      </c>
      <c r="Q6" s="63">
        <f t="shared" ref="Q6" si="23">FIND("target:",N6)+7</f>
        <v>27</v>
      </c>
      <c r="R6" s="63">
        <f t="shared" ref="R6" si="24">FIND(",",N6,P6+1)</f>
        <v>33</v>
      </c>
      <c r="S6" s="63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ref="T6" si="25">IFERROR(RIGHT(M6,LEN(M6)-FIND("],",M6)-1),"none")</f>
        <v>none</v>
      </c>
      <c r="U6" s="63" t="e">
        <f t="shared" ref="U6" si="26">FIND("effect:",T6)+7</f>
        <v>#VALUE!</v>
      </c>
      <c r="V6" s="63">
        <f t="shared" ref="V6" si="27">IFERROR(FIND(",",T6),LEN(T6))</f>
        <v>4</v>
      </c>
      <c r="W6" s="63" t="e">
        <f t="shared" ref="W6" si="28">FIND("target:",T6)+7</f>
        <v>#VALUE!</v>
      </c>
      <c r="X6" s="63" t="e">
        <f t="shared" ref="X6" si="29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50013201</v>
      </c>
      <c r="B7" s="47" t="s">
        <v>449</v>
      </c>
      <c r="C7" s="50">
        <v>3</v>
      </c>
      <c r="D7" s="50" t="s">
        <v>413</v>
      </c>
      <c r="E7" s="112" t="s">
        <v>358</v>
      </c>
      <c r="F7" s="51" t="s">
        <v>431</v>
      </c>
      <c r="G7" s="63" t="str">
        <f t="shared" si="0"/>
        <v>[effect:enemy_message, val1:1.2, val2:4.5]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[effect:fix_speed, target:myself, turn:1],[effect:force_change_block, new_block:damage, target:block_all, ignore01:crash, ignore02:crack_bomb, ignore03:damage, ignore04:color_break, ignore05:magnet, count:5, val:0.1, animation:change_block]</v>
      </c>
      <c r="N7" s="48" t="str">
        <f t="shared" ref="N7:N13" si="30">IFERROR(LEFT(M7,FIND("],",M7)+S17),M7)</f>
        <v>[effect:fix_speed, target:myself, turn:1],[effect:force_change_block, new_block:damage, target:block_all, ignore01:crash, ignore02:crack_bomb, ignore03:damage, ignore04:color_break, ignore05:magnet, count:5, val:0.1, animation:change_block]</v>
      </c>
      <c r="O7" s="63">
        <f t="shared" si="6"/>
        <v>9</v>
      </c>
      <c r="P7" s="63">
        <f t="shared" si="7"/>
        <v>18</v>
      </c>
      <c r="Q7" s="63">
        <f t="shared" si="8"/>
        <v>27</v>
      </c>
      <c r="R7" s="63">
        <f t="shared" si="9"/>
        <v>33</v>
      </c>
      <c r="S7" s="63" t="str">
        <f>IFERROR(VLOOKUP(MID(N7,Q7,R7-Q7),[5]skilldef!$C:$D,2,FALSE),"-") &amp; " / " &amp; IFERROR(VLOOKUP(MID(N7,O7,P7-O7),[5]skilldef!$A:$B,2,FALSE),"-")</f>
        <v>自分自身に / 行動値設定</v>
      </c>
      <c r="T7" s="48" t="str">
        <f t="shared" si="10"/>
        <v>[effect:force_change_block, new_block:damage, target:block_all, ignore01:crash, ignore02:crack_bomb, ignore03:damage, ignore04:color_break, ignore05:magnet, count:5, val:0.1, animation:change_block]</v>
      </c>
      <c r="U7" s="63">
        <f t="shared" si="11"/>
        <v>9</v>
      </c>
      <c r="V7" s="63">
        <f t="shared" si="12"/>
        <v>27</v>
      </c>
      <c r="W7" s="63">
        <f t="shared" si="13"/>
        <v>54</v>
      </c>
      <c r="X7" s="63">
        <f t="shared" si="14"/>
        <v>45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50013202</v>
      </c>
      <c r="B8" s="47" t="s">
        <v>448</v>
      </c>
      <c r="C8" s="50">
        <v>3</v>
      </c>
      <c r="D8" s="50" t="s">
        <v>413</v>
      </c>
      <c r="E8" s="112" t="s">
        <v>273</v>
      </c>
      <c r="F8" s="51" t="s">
        <v>365</v>
      </c>
      <c r="G8" s="63" t="str">
        <f t="shared" si="0"/>
        <v>[effect:enemy_message, val1:1.2, val2:2.7]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[effect:rush, count:6, val:0.2],[effect:force_change_block, new_block:damage, target:block_all, ignore01:crash, ignore02:crack_bomb, ignore03:damage, ignore04:color_break, ignore05:magnet, count:6, val:0.05, animation:change_block]</v>
      </c>
      <c r="N8" s="48" t="str">
        <f t="shared" si="30"/>
        <v>[effect:rush, count:6, val:0.2],[effect:force_change_block, new_block:damage, target:block_all, ignore01:crash, ignore02:crack_bomb, ignore03:damage, ignore04:color_break, ignore05:magnet, count:6, val:0.05, animation:change_block]</v>
      </c>
      <c r="O8" s="63">
        <f t="shared" si="6"/>
        <v>9</v>
      </c>
      <c r="P8" s="63">
        <f t="shared" si="7"/>
        <v>13</v>
      </c>
      <c r="Q8" s="63">
        <f t="shared" si="8"/>
        <v>86</v>
      </c>
      <c r="R8" s="63">
        <f t="shared" si="9"/>
        <v>22</v>
      </c>
      <c r="S8" s="63" t="str">
        <f>IFERROR(VLOOKUP(MID(N8,Q8,R8-Q8),[5]skilldef!$C:$D,2,FALSE),"-") &amp; " / " &amp; IFERROR(VLOOKUP(MID(N8,O8,P8-O8),[5]skilldef!$A:$B,2,FALSE),"-")</f>
        <v>- / 連続攻撃</v>
      </c>
      <c r="T8" s="48" t="str">
        <f t="shared" si="10"/>
        <v>[effect:force_change_block, new_block:damage, target:block_all, ignore01:crash, ignore02:crack_bomb, ignore03:damage, ignore04:color_break, ignore05:magnet, count:6, val:0.05, animation:change_block]</v>
      </c>
      <c r="U8" s="63">
        <f t="shared" si="11"/>
        <v>9</v>
      </c>
      <c r="V8" s="63">
        <f t="shared" si="12"/>
        <v>27</v>
      </c>
      <c r="W8" s="63">
        <f t="shared" si="13"/>
        <v>54</v>
      </c>
      <c r="X8" s="63">
        <f t="shared" si="14"/>
        <v>45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50013203</v>
      </c>
      <c r="B9" s="47" t="s">
        <v>371</v>
      </c>
      <c r="C9" s="50">
        <v>3</v>
      </c>
      <c r="D9" s="50" t="s">
        <v>413</v>
      </c>
      <c r="E9" s="51" t="s">
        <v>274</v>
      </c>
      <c r="F9" s="51" t="s">
        <v>367</v>
      </c>
      <c r="G9" s="63" t="str">
        <f t="shared" si="0"/>
        <v>[effect:enemy_message, val1:1.2, val2:1.8]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[effect:break_attack_fix, target:unit_one, val:500, lowest_val:5000, count:15, color:green, block01:block_green]</v>
      </c>
      <c r="N9" s="48" t="str">
        <f t="shared" si="30"/>
        <v>[effect:break_attack_fix, target:unit_one, val:500, lowest_val:5000, count:15, color:green, block01:block_green]</v>
      </c>
      <c r="O9" s="63">
        <f t="shared" si="6"/>
        <v>9</v>
      </c>
      <c r="P9" s="63">
        <f t="shared" si="7"/>
        <v>25</v>
      </c>
      <c r="Q9" s="63">
        <f t="shared" si="8"/>
        <v>34</v>
      </c>
      <c r="R9" s="63">
        <f t="shared" si="9"/>
        <v>42</v>
      </c>
      <c r="S9" s="63" t="str">
        <f>IFERROR(VLOOKUP(MID(N9,Q9,R9-Q9),[5]skilldef!$C:$D,2,FALSE),"-") &amp; " / " &amp; IFERROR(VLOOKUP(MID(N9,O9,P9-O9),[5]skilldef!$A:$B,2,FALSE),"-")</f>
        <v>味方単体に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50013204</v>
      </c>
      <c r="B10" s="47" t="s">
        <v>382</v>
      </c>
      <c r="C10" s="50">
        <v>3</v>
      </c>
      <c r="D10" s="50" t="s">
        <v>413</v>
      </c>
      <c r="E10" s="51" t="s">
        <v>275</v>
      </c>
      <c r="F10" s="51" t="s">
        <v>373</v>
      </c>
      <c r="G10" s="63" t="str">
        <f t="shared" si="0"/>
        <v>[effect:enemy_message, val1:1.3, val2:3.7]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[effect:break_attack_fix, target:unit_all, val:250, lowest_val:1500, count:-1, color:green, block01:block_heart],[effect:hungup, target:unit_all, turn:2, rate:1, animation:hungup01]</v>
      </c>
      <c r="N10" s="48" t="str">
        <f t="shared" si="30"/>
        <v>[effect:break_attack_fix, target:unit_all, val:250, lowest_val:1500, count:-1, color:green, block01:block_heart],[effect:hungup, target:unit_all, turn:2, rate:1, animation:hungup01]</v>
      </c>
      <c r="O10" s="63">
        <f t="shared" si="6"/>
        <v>9</v>
      </c>
      <c r="P10" s="63">
        <f t="shared" si="7"/>
        <v>25</v>
      </c>
      <c r="Q10" s="63">
        <f t="shared" si="8"/>
        <v>34</v>
      </c>
      <c r="R10" s="63">
        <f t="shared" si="9"/>
        <v>42</v>
      </c>
      <c r="S10" s="63" t="str">
        <f>IFERROR(VLOOKUP(MID(N10,Q10,R10-Q10),[5]skilldef!$C:$D,2,FALSE),"-") &amp; " / " &amp; IFERROR(VLOOKUP(MID(N10,O10,P10-O10),[5]skilldef!$A:$B,2,FALSE),"-")</f>
        <v>味方全体に / -</v>
      </c>
      <c r="T10" s="48" t="str">
        <f t="shared" si="10"/>
        <v>[effect:hungup, target:unit_all, turn:2, rate:1, animation:hungup01]</v>
      </c>
      <c r="U10" s="63">
        <f t="shared" si="11"/>
        <v>9</v>
      </c>
      <c r="V10" s="63">
        <f t="shared" si="12"/>
        <v>15</v>
      </c>
      <c r="W10" s="63">
        <f t="shared" si="13"/>
        <v>24</v>
      </c>
      <c r="X10" s="63">
        <f t="shared" si="14"/>
        <v>32</v>
      </c>
      <c r="Y10" s="63" t="str">
        <f>IFERROR(VLOOKUP(MID(T10,W10,X10-W10),[5]skilldef!$C:$D,2,FALSE),"-") &amp; " / " &amp; IFERROR(VLOOKUP(MID(T10,U10,V10-U10),[5]skilldef!$A:$B,2,FALSE),"-")</f>
        <v>味方全体に / ハングアップ</v>
      </c>
      <c r="Z10" s="50"/>
      <c r="AA10" s="52"/>
      <c r="AB10" s="50"/>
    </row>
    <row r="11" spans="1:28" ht="21" customHeight="1" x14ac:dyDescent="0.15">
      <c r="A11" s="47">
        <v>50013205</v>
      </c>
      <c r="B11" s="47" t="s">
        <v>383</v>
      </c>
      <c r="C11" s="50">
        <v>3</v>
      </c>
      <c r="D11" s="50" t="s">
        <v>413</v>
      </c>
      <c r="E11" s="51" t="s">
        <v>277</v>
      </c>
      <c r="F11" s="51" t="s">
        <v>267</v>
      </c>
      <c r="G11" s="63" t="str">
        <f t="shared" si="0"/>
        <v>[effect:enemy_message, val1:1.5, val2:2.8]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[effect:force_change_block, new_block:damage, target:block_green, ignore01:crash, ignore02:crack_bomb, ignore03:damage, ignore04:color_break, color:block_green, count:5, val:0.1, animation:change_block],[effect:spread, val:0.4]</v>
      </c>
      <c r="N11" s="48" t="str">
        <f t="shared" si="30"/>
        <v>[effect:force_change_block, new_block:damage, target:block_green, ignore01:crash, ignore02:crack_bomb, ignore03:damage, ignore04:color_break, color:block_green, count:5, val:0.1, animation:change_block],[effect:spread, val:0.4]</v>
      </c>
      <c r="O11" s="63">
        <f t="shared" si="6"/>
        <v>9</v>
      </c>
      <c r="P11" s="63">
        <f t="shared" si="7"/>
        <v>27</v>
      </c>
      <c r="Q11" s="63">
        <f t="shared" si="8"/>
        <v>54</v>
      </c>
      <c r="R11" s="63">
        <f t="shared" si="9"/>
        <v>45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[effect:spread, val:0.4]</v>
      </c>
      <c r="U11" s="63">
        <f t="shared" si="11"/>
        <v>9</v>
      </c>
      <c r="V11" s="63">
        <f t="shared" si="12"/>
        <v>15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全体攻撃</v>
      </c>
      <c r="Z11" s="50"/>
      <c r="AA11" s="52"/>
      <c r="AB11" s="50"/>
    </row>
    <row r="12" spans="1:28" ht="21" customHeight="1" x14ac:dyDescent="0.15">
      <c r="A12" s="47">
        <v>50013206</v>
      </c>
      <c r="B12" s="47" t="s">
        <v>403</v>
      </c>
      <c r="C12" s="50">
        <v>3</v>
      </c>
      <c r="D12" s="50" t="s">
        <v>413</v>
      </c>
      <c r="E12" s="51" t="s">
        <v>357</v>
      </c>
      <c r="F12" s="51" t="s">
        <v>276</v>
      </c>
      <c r="G12" s="63" t="str">
        <f t="shared" si="0"/>
        <v>[effect:enemy_message, val1:1.2, val2:1.4]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[effect:damage_gravity, val:1, animation:fevergauge_down]</v>
      </c>
      <c r="N12" s="48" t="str">
        <f t="shared" si="30"/>
        <v>[effect:damage_gravity, val:1, animation:fevergauge_down]</v>
      </c>
      <c r="O12" s="63">
        <f t="shared" si="6"/>
        <v>9</v>
      </c>
      <c r="P12" s="63">
        <f t="shared" si="7"/>
        <v>23</v>
      </c>
      <c r="Q12" s="63" t="e">
        <f t="shared" si="8"/>
        <v>#VALUE!</v>
      </c>
      <c r="R12" s="63">
        <f t="shared" si="9"/>
        <v>30</v>
      </c>
      <c r="S12" s="63" t="str">
        <f>IFERROR(VLOOKUP(MID(N12,Q12,R12-Q12),[5]skilldef!$C:$D,2,FALSE),"-") &amp; " / " &amp; IFERROR(VLOOKUP(MID(N12,O12,P12-O12),[5]skilldef!$A:$B,2,FALSE),"-")</f>
        <v>- / 割合ダメージ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50013301</v>
      </c>
      <c r="B13" s="47" t="s">
        <v>384</v>
      </c>
      <c r="C13" s="50">
        <v>3</v>
      </c>
      <c r="D13" s="50" t="s">
        <v>413</v>
      </c>
      <c r="E13" s="51" t="s">
        <v>305</v>
      </c>
      <c r="F13" s="51" t="s">
        <v>420</v>
      </c>
      <c r="G13" s="63" t="str">
        <f t="shared" si="0"/>
        <v>[effect:enemy_message, val1:1.2, val2:2.8]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[effect:fix_speed, target:myself, turn:1],[effect:tolerance, target:myself, turn:-1, count:-1, tolerance_effect:all, animation:enemy_tolerance]</v>
      </c>
      <c r="N13" s="48" t="str">
        <f t="shared" si="30"/>
        <v>[effect:fix_speed, target:myself, turn:1],[effect:tolerance, target:myself, turn:-1, count:-1, tolerance_effect:all, animation:enemy_tolerance]</v>
      </c>
      <c r="O13" s="63">
        <f t="shared" si="6"/>
        <v>9</v>
      </c>
      <c r="P13" s="63">
        <f t="shared" si="7"/>
        <v>18</v>
      </c>
      <c r="Q13" s="63">
        <f t="shared" si="8"/>
        <v>27</v>
      </c>
      <c r="R13" s="63">
        <f t="shared" si="9"/>
        <v>33</v>
      </c>
      <c r="S13" s="63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10"/>
        <v>[effect:tolerance, target:myself, turn:-1, count:-1, tolerance_effect:all, animation:enemy_tolerance]</v>
      </c>
      <c r="U13" s="63">
        <f t="shared" si="11"/>
        <v>9</v>
      </c>
      <c r="V13" s="63">
        <f t="shared" si="12"/>
        <v>18</v>
      </c>
      <c r="W13" s="63">
        <f t="shared" si="13"/>
        <v>27</v>
      </c>
      <c r="X13" s="63">
        <f t="shared" si="14"/>
        <v>33</v>
      </c>
      <c r="Y13" s="63" t="str">
        <f>IFERROR(VLOOKUP(MID(T13,W13,X13-W13),[5]skilldef!$C:$D,2,FALSE),"-") &amp; " / " &amp; IFERROR(VLOOKUP(MID(T13,U13,V13-U13),[5]skilldef!$A:$B,2,FALSE),"-")</f>
        <v>自分自身に / 状態異常耐性</v>
      </c>
      <c r="Z13" s="50"/>
      <c r="AA13" s="52"/>
      <c r="AB13" s="50"/>
    </row>
    <row r="14" spans="1:28" ht="21" customHeight="1" x14ac:dyDescent="0.15">
      <c r="A14" s="47">
        <v>50013302</v>
      </c>
      <c r="B14" s="47" t="s">
        <v>424</v>
      </c>
      <c r="C14" s="50">
        <v>3</v>
      </c>
      <c r="D14" s="50" t="s">
        <v>413</v>
      </c>
      <c r="E14" s="51" t="s">
        <v>278</v>
      </c>
      <c r="F14" s="51" t="s">
        <v>423</v>
      </c>
      <c r="G14" s="63" t="str">
        <f t="shared" si="0"/>
        <v>[effect:enemy_message, val1:1.2, val2:2.1]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[effect:critical, val:2, animation:enemy_critical],[effect:fix_speed, target:myself, turn:2]</v>
      </c>
      <c r="N14" s="48" t="str">
        <f>IFERROR(LEFT(M14,FIND("],",M14)+#REF!),M14)</f>
        <v>[effect:critical, val:2, animation:enemy_critical],[effect:fix_speed, target:myself, turn:2]</v>
      </c>
      <c r="O14" s="63">
        <f t="shared" si="6"/>
        <v>9</v>
      </c>
      <c r="P14" s="63">
        <f t="shared" si="7"/>
        <v>17</v>
      </c>
      <c r="Q14" s="63">
        <f t="shared" si="8"/>
        <v>78</v>
      </c>
      <c r="R14" s="63">
        <f t="shared" si="9"/>
        <v>24</v>
      </c>
      <c r="S14" s="63" t="str">
        <f>IFERROR(VLOOKUP(MID(N14,Q14,R14-Q14),[5]skilldef!$C:$D,2,FALSE),"-") &amp; " / " &amp; IFERROR(VLOOKUP(MID(N14,O14,P14-O14),[5]skilldef!$A:$B,2,FALSE),"-")</f>
        <v>- / 大攻撃</v>
      </c>
      <c r="T14" s="48" t="str">
        <f t="shared" si="10"/>
        <v>[effect:fix_speed, target:myself, turn:2]</v>
      </c>
      <c r="U14" s="63">
        <f t="shared" si="11"/>
        <v>9</v>
      </c>
      <c r="V14" s="63">
        <f t="shared" si="12"/>
        <v>18</v>
      </c>
      <c r="W14" s="63">
        <f t="shared" si="13"/>
        <v>27</v>
      </c>
      <c r="X14" s="63">
        <f t="shared" si="14"/>
        <v>33</v>
      </c>
      <c r="Y14" s="63" t="str">
        <f>IFERROR(VLOOKUP(MID(T14,W14,X14-W14),[5]skilldef!$C:$D,2,FALSE),"-") &amp; " / " &amp; IFERROR(VLOOKUP(MID(T14,U14,V14-U14),[5]skilldef!$A:$B,2,FALSE),"-")</f>
        <v>自分自身に / 行動値設定</v>
      </c>
      <c r="Z14" s="50"/>
      <c r="AA14" s="52"/>
      <c r="AB14" s="50"/>
    </row>
    <row r="15" spans="1:28" ht="21" customHeight="1" x14ac:dyDescent="0.15">
      <c r="A15" s="47">
        <v>50013303</v>
      </c>
      <c r="B15" s="47" t="s">
        <v>385</v>
      </c>
      <c r="C15" s="50">
        <v>3</v>
      </c>
      <c r="D15" s="50" t="s">
        <v>413</v>
      </c>
      <c r="E15" s="51" t="s">
        <v>279</v>
      </c>
      <c r="F15" s="51" t="s">
        <v>356</v>
      </c>
      <c r="G15" s="63" t="str">
        <f t="shared" si="0"/>
        <v>[effect:enemy_message, val1:1.2, val2:3.4]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[effect:drop_block, block_type:jammer, color:block_heart, val:0, rate:1, turn:1, animation:jammer_influence04],[effect:spread, val:0.14],[effect:spread, val:0.14]</v>
      </c>
      <c r="N15" s="48" t="str">
        <f t="shared" ref="N15:N21" si="31">IFERROR(LEFT(M15,FIND("],",M15)+S24),M15)</f>
        <v>[effect:drop_block, block_type:jammer, color:block_heart, val:0, rate:1, turn:1, animation:jammer_influence04],[effect:spread, val:0.14],[effect:spread, val:0.14]</v>
      </c>
      <c r="O15" s="63">
        <f t="shared" si="6"/>
        <v>9</v>
      </c>
      <c r="P15" s="63">
        <f t="shared" si="7"/>
        <v>19</v>
      </c>
      <c r="Q15" s="63" t="e">
        <f t="shared" si="8"/>
        <v>#VALUE!</v>
      </c>
      <c r="R15" s="63">
        <f t="shared" si="9"/>
        <v>38</v>
      </c>
      <c r="S15" s="63" t="str">
        <f>IFERROR(VLOOKUP(MID(N15,Q15,R15-Q15),[5]skilldef!$C:$D,2,FALSE),"-") &amp; " / " &amp; IFERROR(VLOOKUP(MID(N15,O15,P15-O15),[5]skilldef!$A:$B,2,FALSE),"-")</f>
        <v>- / 特定ブロックの割合ドロップ</v>
      </c>
      <c r="T15" s="48" t="str">
        <f t="shared" si="10"/>
        <v>[effect:spread, val:0.14],[effect:spread, val:0.14]</v>
      </c>
      <c r="U15" s="63">
        <f t="shared" si="11"/>
        <v>9</v>
      </c>
      <c r="V15" s="63">
        <f t="shared" si="12"/>
        <v>15</v>
      </c>
      <c r="W15" s="63" t="e">
        <f t="shared" si="13"/>
        <v>#VALUE!</v>
      </c>
      <c r="X15" s="63">
        <f t="shared" si="14"/>
        <v>26</v>
      </c>
      <c r="Y15" s="63" t="str">
        <f>IFERROR(VLOOKUP(MID(T15,W15,X15-W15),[5]skilldef!$C:$D,2,FALSE),"-") &amp; " / " &amp; IFERROR(VLOOKUP(MID(T15,U15,V15-U15),[5]skilldef!$A:$B,2,FALSE),"-")</f>
        <v>- / 全体攻撃</v>
      </c>
      <c r="Z15" s="50"/>
      <c r="AA15" s="52"/>
      <c r="AB15" s="50"/>
    </row>
    <row r="16" spans="1:28" ht="21" customHeight="1" x14ac:dyDescent="0.15">
      <c r="A16" s="47">
        <v>50013304</v>
      </c>
      <c r="B16" s="47" t="s">
        <v>386</v>
      </c>
      <c r="C16" s="50">
        <v>3</v>
      </c>
      <c r="D16" s="50" t="s">
        <v>413</v>
      </c>
      <c r="E16" s="51" t="s">
        <v>280</v>
      </c>
      <c r="F16" s="51" t="s">
        <v>368</v>
      </c>
      <c r="G16" s="63" t="str">
        <f t="shared" si="0"/>
        <v>[effect:enemy_message, val1:1.2, val2:2.9]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</v>
      </c>
      <c r="N16" s="48" t="str">
        <f t="shared" si="31"/>
        <v>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</v>
      </c>
      <c r="O16" s="63">
        <f t="shared" si="6"/>
        <v>9</v>
      </c>
      <c r="P16" s="63">
        <f t="shared" si="7"/>
        <v>24</v>
      </c>
      <c r="Q16" s="63">
        <f t="shared" si="8"/>
        <v>33</v>
      </c>
      <c r="R16" s="63">
        <f t="shared" si="9"/>
        <v>41</v>
      </c>
      <c r="S16" s="63" t="str">
        <f>IFERROR(VLOOKUP(MID(N16,Q16,R16-Q16),[5]skilldef!$C:$D,2,FALSE),"-") &amp; " / " &amp; IFERROR(VLOOKUP(MID(N16,O16,P16-O16),[5]skilldef!$A:$B,2,FALSE),"-")</f>
        <v>味方単体に / -</v>
      </c>
      <c r="T16" s="48" t="str">
        <f t="shared" si="10"/>
        <v>[effect:damage_abnormal, target:unit_one, val:0.3, status:hungup, turn:1, rate:1, animation:hungup01],[effect:damage_abnormal, target:unit_one, val:0.3, status:hungup, turn:1, rate:1, animation:hungup01],[effect:damage_abnormal, target:unit_one, val:0.3, status:hungup, turn:1, rate:1, animation:hungup01]</v>
      </c>
      <c r="U16" s="63">
        <f t="shared" si="11"/>
        <v>9</v>
      </c>
      <c r="V16" s="63">
        <f t="shared" si="12"/>
        <v>24</v>
      </c>
      <c r="W16" s="63">
        <f t="shared" si="13"/>
        <v>33</v>
      </c>
      <c r="X16" s="63">
        <f t="shared" si="14"/>
        <v>41</v>
      </c>
      <c r="Y16" s="63" t="str">
        <f>IFERROR(VLOOKUP(MID(T16,W16,X16-W16),[5]skilldef!$C:$D,2,FALSE),"-") &amp; " / " &amp; IFERROR(VLOOKUP(MID(T16,U16,V16-U16),[5]skilldef!$A:$B,2,FALSE),"-")</f>
        <v>味方単体に / -</v>
      </c>
      <c r="Z16" s="50"/>
      <c r="AA16" s="52"/>
      <c r="AB16" s="50"/>
    </row>
    <row r="17" spans="1:28" ht="21" customHeight="1" x14ac:dyDescent="0.15">
      <c r="A17" s="47">
        <v>50013305</v>
      </c>
      <c r="B17" s="47" t="s">
        <v>387</v>
      </c>
      <c r="C17" s="50">
        <v>3</v>
      </c>
      <c r="D17" s="50" t="s">
        <v>413</v>
      </c>
      <c r="E17" s="51" t="s">
        <v>281</v>
      </c>
      <c r="F17" s="51" t="s">
        <v>266</v>
      </c>
      <c r="G17" s="63" t="str">
        <f t="shared" si="0"/>
        <v>[effect:enemy_message, val1:1.7, val2:2.9]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[effect:damage_gravity, val:0.8, animation:fevergauge_down],[effect:dark, target:unit_all, turn:3, animation:enemy_dark],[effect:suicide, target:myself, val:1, dead_type:escape]</v>
      </c>
      <c r="N17" s="48" t="str">
        <f t="shared" si="31"/>
        <v>[effect:damage_gravity, val:0.8, animation:fevergauge_down],[effect:dark, target:unit_all, turn:3, animation:enemy_dark],[effect:suicide, target:myself, val:1, dead_type:escape]</v>
      </c>
      <c r="O17" s="63">
        <f t="shared" si="6"/>
        <v>9</v>
      </c>
      <c r="P17" s="63">
        <f t="shared" si="7"/>
        <v>23</v>
      </c>
      <c r="Q17" s="63">
        <f t="shared" si="8"/>
        <v>82</v>
      </c>
      <c r="R17" s="63">
        <f t="shared" si="9"/>
        <v>32</v>
      </c>
      <c r="S17" s="63" t="str">
        <f>IFERROR(VLOOKUP(MID(N17,Q17,R17-Q17),[5]skilldef!$C:$D,2,FALSE),"-") &amp; " / " &amp; IFERROR(VLOOKUP(MID(N17,O17,P17-O17),[5]skilldef!$A:$B,2,FALSE),"-")</f>
        <v>- / 割合ダメージ</v>
      </c>
      <c r="T17" s="48" t="str">
        <f t="shared" si="10"/>
        <v>[effect:dark, target:unit_all, turn:3, animation:enemy_dark],[effect:suicide, target:myself, val:1, dead_type:escape]</v>
      </c>
      <c r="U17" s="63">
        <f t="shared" si="11"/>
        <v>9</v>
      </c>
      <c r="V17" s="63">
        <f t="shared" si="12"/>
        <v>13</v>
      </c>
      <c r="W17" s="63">
        <f t="shared" si="13"/>
        <v>22</v>
      </c>
      <c r="X17" s="63">
        <f t="shared" si="14"/>
        <v>30</v>
      </c>
      <c r="Y17" s="63" t="str">
        <f>IFERROR(VLOOKUP(MID(T17,W17,X17-W17),[5]skilldef!$C:$D,2,FALSE),"-") &amp; " / " &amp; IFERROR(VLOOKUP(MID(T17,U17,V17-U17),[5]skilldef!$A:$B,2,FALSE),"-")</f>
        <v>味方全体に / 暗黒</v>
      </c>
      <c r="Z17" s="50"/>
      <c r="AA17" s="52"/>
      <c r="AB17" s="50"/>
    </row>
    <row r="18" spans="1:28" ht="21" customHeight="1" x14ac:dyDescent="0.15">
      <c r="A18" s="47">
        <v>50013401</v>
      </c>
      <c r="B18" s="47" t="s">
        <v>447</v>
      </c>
      <c r="C18" s="50">
        <v>3</v>
      </c>
      <c r="D18" s="50" t="s">
        <v>413</v>
      </c>
      <c r="E18" s="112" t="s">
        <v>306</v>
      </c>
      <c r="F18" s="51" t="s">
        <v>421</v>
      </c>
      <c r="G18" s="63" t="str">
        <f t="shared" si="0"/>
        <v>[effect:enemy_message, val1:1.2, val2:4.8]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[effect:fix_speed, target:myself, turn:1],[effect:tolerance, target:myself, turn:-1, count:-1, tolerance_effect:all, animation:enemy_tolerance],[effect:force_change_block, new_block:damage, target:block_all, ignore01:crash, ignore02:crack_bomb, ignore03:damage, ignore04:color_break, ignore05:magnet, count:6, val:0.08, animation:change_block]</v>
      </c>
      <c r="N18" s="48" t="str">
        <f t="shared" si="31"/>
        <v>[effect:fix_speed, target:myself, turn:1],[effect:tolerance, target:myself, turn:-1, count:-1, tolerance_effect:all, animation:enemy_tolerance],[effect:force_change_block, new_block:damage, target:block_all, ignore01:crash, ignore02:crack_bomb, ignore03:damage, ignore04:color_break, ignore05:magnet, count:6, val:0.08, animation:change_block]</v>
      </c>
      <c r="O18" s="63">
        <f t="shared" si="6"/>
        <v>9</v>
      </c>
      <c r="P18" s="63">
        <f t="shared" si="7"/>
        <v>18</v>
      </c>
      <c r="Q18" s="63">
        <f t="shared" si="8"/>
        <v>27</v>
      </c>
      <c r="R18" s="63">
        <f t="shared" si="9"/>
        <v>33</v>
      </c>
      <c r="S18" s="63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0"/>
        <v>[effect:tolerance, target:myself, turn:-1, count:-1, tolerance_effect:all, animation:enemy_tolerance],[effect:force_change_block, new_block:damage, target:block_all, ignore01:crash, ignore02:crack_bomb, ignore03:damage, ignore04:color_break, ignore05:magnet, count:6, val:0.08, animation:change_block]</v>
      </c>
      <c r="U18" s="63">
        <f t="shared" si="11"/>
        <v>9</v>
      </c>
      <c r="V18" s="63">
        <f t="shared" si="12"/>
        <v>18</v>
      </c>
      <c r="W18" s="63">
        <f t="shared" si="13"/>
        <v>27</v>
      </c>
      <c r="X18" s="63">
        <f t="shared" si="14"/>
        <v>33</v>
      </c>
      <c r="Y18" s="63" t="str">
        <f>IFERROR(VLOOKUP(MID(T18,W18,X18-W18),[5]skilldef!$C:$D,2,FALSE),"-") &amp; " / " &amp; IFERROR(VLOOKUP(MID(T18,U18,V18-U18),[5]skilldef!$A:$B,2,FALSE),"-")</f>
        <v>自分自身に / 状態異常耐性</v>
      </c>
      <c r="Z18" s="50"/>
      <c r="AA18" s="52"/>
      <c r="AB18" s="50"/>
    </row>
    <row r="19" spans="1:28" ht="21" customHeight="1" x14ac:dyDescent="0.15">
      <c r="A19" s="47">
        <v>50013402</v>
      </c>
      <c r="B19" s="47" t="s">
        <v>405</v>
      </c>
      <c r="C19" s="50">
        <v>3</v>
      </c>
      <c r="D19" s="50" t="s">
        <v>413</v>
      </c>
      <c r="E19" s="51" t="s">
        <v>282</v>
      </c>
      <c r="F19" s="51" t="s">
        <v>422</v>
      </c>
      <c r="G19" s="63" t="str">
        <f t="shared" si="0"/>
        <v>[effect:enemy_message, val1:1.2, val2:1.2]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[effect:critical, val:2, animation:enemy_critical]</v>
      </c>
      <c r="N19" s="48" t="str">
        <f t="shared" si="31"/>
        <v>[effect:critical, val:2, animation:enemy_critical]</v>
      </c>
      <c r="O19" s="63">
        <f t="shared" si="6"/>
        <v>9</v>
      </c>
      <c r="P19" s="63">
        <f t="shared" si="7"/>
        <v>17</v>
      </c>
      <c r="Q19" s="63" t="e">
        <f t="shared" si="8"/>
        <v>#VALUE!</v>
      </c>
      <c r="R19" s="63">
        <f t="shared" si="9"/>
        <v>24</v>
      </c>
      <c r="S19" s="63" t="str">
        <f>IFERROR(VLOOKUP(MID(N19,Q19,R19-Q19),[5]skilldef!$C:$D,2,FALSE),"-") &amp; " / " &amp; IFERROR(VLOOKUP(MID(N19,O19,P19-O19),[5]skilldef!$A:$B,2,FALSE),"-")</f>
        <v>- / 大攻撃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50013403</v>
      </c>
      <c r="B20" s="47" t="s">
        <v>446</v>
      </c>
      <c r="C20" s="50">
        <v>3</v>
      </c>
      <c r="D20" s="50" t="s">
        <v>413</v>
      </c>
      <c r="E20" s="112" t="s">
        <v>283</v>
      </c>
      <c r="F20" s="51" t="s">
        <v>364</v>
      </c>
      <c r="G20" s="63" t="str">
        <f t="shared" si="0"/>
        <v>[effect:enemy_message, val1:1.2, val2:3.7]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[effect:force_change_block, new_block:crack_bomb, target:block_all, ignore01:crash, ignore02:crack_bomb, ignore03:damage, ignore04:color_break, ignore05:magnet, count:23, val:12, animation:change_block],[effect:force_change_block, new_block:damage, target:block_all, ignore01:crash, ignore02:crack_bomb, ignore03:damage, ignore04:color_break, ignore05:magnet, count:7, val:0.06, animation:change_block]</v>
      </c>
      <c r="N20" s="48" t="str">
        <f t="shared" si="31"/>
        <v>[effect:force_change_block, new_block:crack_bomb, target:block_all, ignore01:crash, ignore02:crack_bomb, ignore03:damage, ignore04:color_break, ignore05:magnet, count:23, val:12, animation:change_block],[effect:force_change_block, new_block:damage, target:block_all, ignore01:crash, ignore02:crack_bomb, ignore03:damage, ignore04:color_break, ignore05:magnet, count:7, val:0.06, animation:change_block]</v>
      </c>
      <c r="O20" s="63">
        <f t="shared" si="6"/>
        <v>9</v>
      </c>
      <c r="P20" s="63">
        <f t="shared" si="7"/>
        <v>27</v>
      </c>
      <c r="Q20" s="63">
        <f t="shared" si="8"/>
        <v>58</v>
      </c>
      <c r="R20" s="63">
        <f t="shared" si="9"/>
        <v>49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[effect:force_change_block, new_block:damage, target:block_all, ignore01:crash, ignore02:crack_bomb, ignore03:damage, ignore04:color_break, ignore05:magnet, count:7, val:0.06, animation:change_block]</v>
      </c>
      <c r="U20" s="63">
        <f t="shared" si="11"/>
        <v>9</v>
      </c>
      <c r="V20" s="63">
        <f t="shared" si="12"/>
        <v>27</v>
      </c>
      <c r="W20" s="63">
        <f t="shared" si="13"/>
        <v>54</v>
      </c>
      <c r="X20" s="63">
        <f t="shared" si="14"/>
        <v>45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50013404</v>
      </c>
      <c r="B21" s="47" t="s">
        <v>388</v>
      </c>
      <c r="C21" s="50">
        <v>3</v>
      </c>
      <c r="D21" s="50" t="s">
        <v>413</v>
      </c>
      <c r="E21" s="51" t="s">
        <v>284</v>
      </c>
      <c r="F21" s="51" t="s">
        <v>369</v>
      </c>
      <c r="G21" s="63" t="str">
        <f t="shared" si="0"/>
        <v>[effect:enemy_message, val1:1.2, val2:3.2]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[effect:break_attack, target:unit_all, val:0.01, lowest_val:0, count:30, color:red, block01:block_all, ignore01:crack_bomb, ignore02:damage]</v>
      </c>
      <c r="N21" s="48" t="str">
        <f t="shared" si="31"/>
        <v>[effect:break_attack, target:unit_all, val:0.01, lowest_val:0, count:30, color:red, block01:block_all, ignore01:crack_bomb, ignore02:damage]</v>
      </c>
      <c r="O21" s="63">
        <f t="shared" si="6"/>
        <v>9</v>
      </c>
      <c r="P21" s="63">
        <f t="shared" si="7"/>
        <v>21</v>
      </c>
      <c r="Q21" s="63">
        <f t="shared" si="8"/>
        <v>30</v>
      </c>
      <c r="R21" s="63">
        <f t="shared" si="9"/>
        <v>38</v>
      </c>
      <c r="S21" s="63" t="str">
        <f>IFERROR(VLOOKUP(MID(N21,Q21,R21-Q21),[5]skilldef!$C:$D,2,FALSE),"-") &amp; " / " &amp; IFERROR(VLOOKUP(MID(N21,O21,P21-O21),[5]skilldef!$A:$B,2,FALSE),"-")</f>
        <v>味方全体に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50013405</v>
      </c>
      <c r="B22" s="47" t="s">
        <v>389</v>
      </c>
      <c r="C22" s="50">
        <v>3</v>
      </c>
      <c r="D22" s="50" t="s">
        <v>413</v>
      </c>
      <c r="E22" s="51" t="s">
        <v>304</v>
      </c>
      <c r="F22" s="51" t="s">
        <v>257</v>
      </c>
      <c r="G22" s="63" t="str">
        <f t="shared" si="0"/>
        <v>[effect:enemy_message, val1:1.4, val2:2.0]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[effect:break_enchance_enemy, target:myself, val:0.01, lowest_val:0.2, count:-1, status:attack, turn:-1, block01:crack_bomb, calc:mul, animation:enemy_enhance_attack]</v>
      </c>
      <c r="N22" s="48" t="str">
        <f>IFERROR(LEFT(M22,FIND("],",M22)+#REF!),M22)</f>
        <v>[effect:break_enchance_enemy, target:myself, val:0.01, lowest_val:0.2, count:-1, status:attack, turn:-1, block01:crack_bomb, calc:mul, animation:enemy_enhance_attack]</v>
      </c>
      <c r="O22" s="63">
        <f t="shared" si="6"/>
        <v>9</v>
      </c>
      <c r="P22" s="63">
        <f t="shared" si="7"/>
        <v>29</v>
      </c>
      <c r="Q22" s="63">
        <f t="shared" si="8"/>
        <v>38</v>
      </c>
      <c r="R22" s="63">
        <f t="shared" si="9"/>
        <v>44</v>
      </c>
      <c r="S22" s="63" t="str">
        <f>IFERROR(VLOOKUP(MID(N22,Q22,R22-Q22),[5]skilldef!$C:$D,2,FALSE),"-") &amp; " / " &amp; IFERROR(VLOOKUP(MID(N22,O22,P22-O22),[5]skilldef!$A:$B,2,FALSE),"-")</f>
        <v>自分自身に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50013501</v>
      </c>
      <c r="B23" s="47" t="s">
        <v>390</v>
      </c>
      <c r="C23" s="50">
        <v>3</v>
      </c>
      <c r="D23" s="50" t="s">
        <v>413</v>
      </c>
      <c r="E23" s="51" t="s">
        <v>348</v>
      </c>
      <c r="F23" s="51" t="s">
        <v>268</v>
      </c>
      <c r="G23" s="63" t="str">
        <f t="shared" si="0"/>
        <v>[effect:enemy_message, val1:1.7, val2:3.2]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[effect:fix_speed, target:myself, turn:1],[effect:tolerance, target:myself, turn:-1, count:-1, tolerance_effect:all, animation:enemy_tolerance],[effect:drop_block, block_type:time_bomb, color:block_all, val:0.15, rate:0.1, turn:9, min_time_count:3, max_time_count:3, animation:time_bomb_influence04]</v>
      </c>
      <c r="N23" s="48" t="str">
        <f>IFERROR(LEFT(M23,FIND("],",M23)+S31),M23)</f>
        <v>[effect:fix_speed, target:myself, turn:1],[effect:tolerance, target:myself, turn:-1, count:-1, tolerance_effect:all, animation:enemy_tolerance],[effect:drop_block, block_type:time_bomb, color:block_all, val:0.15, rate:0.1, turn:9, min_time_count:3, max_time_count:3, animation:time_bomb_influence04]</v>
      </c>
      <c r="O23" s="63">
        <f t="shared" si="6"/>
        <v>9</v>
      </c>
      <c r="P23" s="63">
        <f t="shared" si="7"/>
        <v>18</v>
      </c>
      <c r="Q23" s="63">
        <f t="shared" si="8"/>
        <v>27</v>
      </c>
      <c r="R23" s="63">
        <f t="shared" si="9"/>
        <v>33</v>
      </c>
      <c r="S23" s="63" t="str">
        <f>IFERROR(VLOOKUP(MID(N23,Q23,R23-Q23),[5]skilldef!$C:$D,2,FALSE),"-") &amp; " / " &amp; IFERROR(VLOOKUP(MID(N23,O23,P23-O23),[5]skilldef!$A:$B,2,FALSE),"-")</f>
        <v>自分自身に / 行動値設定</v>
      </c>
      <c r="T23" s="48" t="str">
        <f t="shared" si="10"/>
        <v>[effect:tolerance, target:myself, turn:-1, count:-1, tolerance_effect:all, animation:enemy_tolerance],[effect:drop_block, block_type:time_bomb, color:block_all, val:0.15, rate:0.1, turn:9, min_time_count:3, max_time_count:3, animation:time_bomb_influence04]</v>
      </c>
      <c r="U23" s="63">
        <f t="shared" si="11"/>
        <v>9</v>
      </c>
      <c r="V23" s="63">
        <f t="shared" si="12"/>
        <v>18</v>
      </c>
      <c r="W23" s="63">
        <f t="shared" si="13"/>
        <v>27</v>
      </c>
      <c r="X23" s="63">
        <f t="shared" si="14"/>
        <v>33</v>
      </c>
      <c r="Y23" s="63" t="str">
        <f>IFERROR(VLOOKUP(MID(T23,W23,X23-W23),[5]skilldef!$C:$D,2,FALSE),"-") &amp; " / " &amp; IFERROR(VLOOKUP(MID(T23,U23,V23-U23),[5]skilldef!$A:$B,2,FALSE),"-")</f>
        <v>自分自身に / 状態異常耐性</v>
      </c>
      <c r="Z23" s="50"/>
      <c r="AA23" s="52"/>
      <c r="AB23" s="50"/>
    </row>
    <row r="24" spans="1:28" ht="21" customHeight="1" x14ac:dyDescent="0.15">
      <c r="A24" s="47">
        <v>50013502</v>
      </c>
      <c r="B24" s="47" t="s">
        <v>391</v>
      </c>
      <c r="C24" s="50">
        <v>3</v>
      </c>
      <c r="D24" s="50" t="s">
        <v>413</v>
      </c>
      <c r="E24" s="51" t="s">
        <v>291</v>
      </c>
      <c r="F24" s="51" t="s">
        <v>287</v>
      </c>
      <c r="G24" s="63" t="str">
        <f t="shared" si="0"/>
        <v>[effect:enemy_message, val1:1.2, val2:3.4]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[effect:change_panel_ratio, turn:1, block_type:red, val:0, animation:block_incidence04],[effect:break_attack_fix, target:unit_one, val:500, lowest_val:5000, count:10, color:yellow, block01:block_red]</v>
      </c>
      <c r="N24" s="48" t="str">
        <f t="shared" ref="N24" si="32">IFERROR(LEFT(M24,FIND("],",M24)+S33),M24)</f>
        <v>[effect:change_panel_ratio, turn:1, block_type:red, val:0, animation:block_incidence04],[effect:break_attack_fix, target:unit_one, val:500, lowest_val:5000, count:10, color:yellow, block01:block_red]</v>
      </c>
      <c r="O24" s="63">
        <f t="shared" si="6"/>
        <v>9</v>
      </c>
      <c r="P24" s="63">
        <f t="shared" si="7"/>
        <v>27</v>
      </c>
      <c r="Q24" s="63">
        <f t="shared" si="8"/>
        <v>122</v>
      </c>
      <c r="R24" s="63">
        <f t="shared" si="9"/>
        <v>35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[effect:break_attack_fix, target:unit_one, val:500, lowest_val:5000, count:10, color:yellow, block01:block_red]</v>
      </c>
      <c r="U24" s="63">
        <f t="shared" si="11"/>
        <v>9</v>
      </c>
      <c r="V24" s="63">
        <f t="shared" si="12"/>
        <v>25</v>
      </c>
      <c r="W24" s="63">
        <f t="shared" si="13"/>
        <v>34</v>
      </c>
      <c r="X24" s="63">
        <f t="shared" si="14"/>
        <v>42</v>
      </c>
      <c r="Y24" s="63" t="str">
        <f>IFERROR(VLOOKUP(MID(T24,W24,X24-W24),[5]skilldef!$C:$D,2,FALSE),"-") &amp; " / " &amp; IFERROR(VLOOKUP(MID(T24,U24,V24-U24),[5]skilldef!$A:$B,2,FALSE),"-")</f>
        <v>味方単体に / -</v>
      </c>
      <c r="Z24" s="50"/>
      <c r="AA24" s="52"/>
      <c r="AB24" s="50"/>
    </row>
    <row r="25" spans="1:28" ht="21" customHeight="1" x14ac:dyDescent="0.15">
      <c r="A25" s="47">
        <v>50013503</v>
      </c>
      <c r="B25" s="47" t="s">
        <v>392</v>
      </c>
      <c r="C25" s="50">
        <v>3</v>
      </c>
      <c r="D25" s="50" t="s">
        <v>413</v>
      </c>
      <c r="E25" s="51" t="s">
        <v>289</v>
      </c>
      <c r="F25" s="51" t="s">
        <v>288</v>
      </c>
      <c r="G25" s="63" t="str">
        <f t="shared" si="0"/>
        <v>[effect:enemy_message, val1:1.2, val2:3.4]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>[effect:change_panel_ratio, turn:1, block_type:blue, val:0, animation:block_incidence04],[effect:break_attack_fix, target:unit_one, val:500, lowest_val:5000, count:10, color:yellow, block01:block_blue]</v>
      </c>
      <c r="N25" s="48" t="str">
        <f>IFERROR(LEFT(M25,FIND("],",M25)+S38),M25)</f>
        <v>[effect:change_panel_ratio, turn:1, block_type:blue, val:0, animation:block_incidence04],[effect:break_attack_fix, target:unit_one, val:500, lowest_val:5000, count:10, color:yellow, block01:block_blue]</v>
      </c>
      <c r="O25" s="63">
        <f t="shared" si="6"/>
        <v>9</v>
      </c>
      <c r="P25" s="63">
        <f t="shared" si="7"/>
        <v>27</v>
      </c>
      <c r="Q25" s="63">
        <f t="shared" si="8"/>
        <v>123</v>
      </c>
      <c r="R25" s="63">
        <f t="shared" si="9"/>
        <v>35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[effect:break_attack_fix, target:unit_one, val:500, lowest_val:5000, count:10, color:yellow, block01:block_blue]</v>
      </c>
      <c r="U25" s="63">
        <f t="shared" si="11"/>
        <v>9</v>
      </c>
      <c r="V25" s="63">
        <f t="shared" si="12"/>
        <v>25</v>
      </c>
      <c r="W25" s="63">
        <f t="shared" si="13"/>
        <v>34</v>
      </c>
      <c r="X25" s="63">
        <f t="shared" si="14"/>
        <v>42</v>
      </c>
      <c r="Y25" s="63" t="str">
        <f>IFERROR(VLOOKUP(MID(T25,W25,X25-W25),[5]skilldef!$C:$D,2,FALSE),"-") &amp; " / " &amp; IFERROR(VLOOKUP(MID(T25,U25,V25-U25),[5]skilldef!$A:$B,2,FALSE),"-")</f>
        <v>味方単体に / -</v>
      </c>
      <c r="Z25" s="50"/>
      <c r="AA25" s="52"/>
      <c r="AB25" s="50"/>
    </row>
    <row r="26" spans="1:28" ht="21" customHeight="1" x14ac:dyDescent="0.15">
      <c r="A26" s="47">
        <v>50013504</v>
      </c>
      <c r="B26" s="47" t="s">
        <v>393</v>
      </c>
      <c r="C26" s="50">
        <v>3</v>
      </c>
      <c r="D26" s="50" t="s">
        <v>413</v>
      </c>
      <c r="E26" s="51" t="s">
        <v>290</v>
      </c>
      <c r="F26" s="51" t="s">
        <v>375</v>
      </c>
      <c r="G26" s="63" t="str">
        <f t="shared" si="0"/>
        <v>[effect:enemy_message, val1:1.2, val2:2.6]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[effect:sleep, target:unit_all, turn:1, rate:1, animation:sleep01],[effect:degrade_fever, val:250, animation:fevergauge_down]</v>
      </c>
      <c r="N26" s="48" t="str">
        <f>IFERROR(LEFT(M26,FIND("],",M26)+S39),M26)</f>
        <v>[effect:sleep, target:unit_all, turn:1, rate:1, animation:sleep01],[effect:degrade_fever, val:250, animation:fevergauge_down]</v>
      </c>
      <c r="O26" s="63">
        <f t="shared" si="6"/>
        <v>9</v>
      </c>
      <c r="P26" s="63">
        <f t="shared" si="7"/>
        <v>14</v>
      </c>
      <c r="Q26" s="63">
        <f t="shared" si="8"/>
        <v>23</v>
      </c>
      <c r="R26" s="63">
        <f t="shared" si="9"/>
        <v>31</v>
      </c>
      <c r="S26" s="63" t="str">
        <f>IFERROR(VLOOKUP(MID(N26,Q26,R26-Q26),[5]skilldef!$C:$D,2,FALSE),"-") &amp; " / " &amp; IFERROR(VLOOKUP(MID(N26,O26,P26-O26),[5]skilldef!$A:$B,2,FALSE),"-")</f>
        <v>味方全体に / スリープ</v>
      </c>
      <c r="T26" s="48" t="str">
        <f t="shared" si="10"/>
        <v>[effect:degrade_fever, val:250, animation:fevergauge_down]</v>
      </c>
      <c r="U26" s="63">
        <f t="shared" si="11"/>
        <v>9</v>
      </c>
      <c r="V26" s="63">
        <f t="shared" si="12"/>
        <v>22</v>
      </c>
      <c r="W26" s="63" t="e">
        <f t="shared" si="13"/>
        <v>#VALUE!</v>
      </c>
      <c r="X26" s="63">
        <f t="shared" si="14"/>
        <v>31</v>
      </c>
      <c r="Y26" s="63" t="str">
        <f>IFERROR(VLOOKUP(MID(T26,W26,X26-W26),[5]skilldef!$C:$D,2,FALSE),"-") &amp; " / " &amp; IFERROR(VLOOKUP(MID(T26,U26,V26-U26),[5]skilldef!$A:$B,2,FALSE),"-")</f>
        <v>- / フィーバーゲージ減少</v>
      </c>
      <c r="Z26" s="50"/>
      <c r="AA26" s="52"/>
      <c r="AB26" s="50"/>
    </row>
    <row r="27" spans="1:28" ht="21" customHeight="1" x14ac:dyDescent="0.15">
      <c r="A27" s="47">
        <v>50013505</v>
      </c>
      <c r="B27" s="47" t="s">
        <v>400</v>
      </c>
      <c r="C27" s="50">
        <v>3</v>
      </c>
      <c r="D27" s="50" t="s">
        <v>413</v>
      </c>
      <c r="E27" s="51" t="s">
        <v>286</v>
      </c>
      <c r="F27" s="51" t="s">
        <v>374</v>
      </c>
      <c r="G27" s="63" t="str">
        <f t="shared" si="0"/>
        <v>[effect:enemy_message, val1:1.4, val2:1.7]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[effect:hungup, target:unit_all, turn:3, rate:1, animation:hungup01]</v>
      </c>
      <c r="N27" s="48" t="str">
        <f>IFERROR(LEFT(M27,FIND("],",M27)+S40),M27)</f>
        <v>[effect:hungup, target:unit_all, turn:3, rate:1, animation:hungup01]</v>
      </c>
      <c r="O27" s="63">
        <f t="shared" si="6"/>
        <v>9</v>
      </c>
      <c r="P27" s="63">
        <f t="shared" si="7"/>
        <v>15</v>
      </c>
      <c r="Q27" s="63">
        <f t="shared" si="8"/>
        <v>24</v>
      </c>
      <c r="R27" s="63">
        <f t="shared" si="9"/>
        <v>32</v>
      </c>
      <c r="S27" s="63" t="str">
        <f>IFERROR(VLOOKUP(MID(N27,Q27,R27-Q27),[5]skilldef!$C:$D,2,FALSE),"-") &amp; " / " &amp; IFERROR(VLOOKUP(MID(N27,O27,P27-O27),[5]skilldef!$A:$B,2,FALSE),"-")</f>
        <v>味方全体に / ハングアップ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50013601</v>
      </c>
      <c r="B28" s="47" t="s">
        <v>426</v>
      </c>
      <c r="C28" s="50">
        <v>3</v>
      </c>
      <c r="D28" s="50" t="s">
        <v>413</v>
      </c>
      <c r="E28" s="51" t="s">
        <v>323</v>
      </c>
      <c r="F28" s="51" t="s">
        <v>425</v>
      </c>
      <c r="G28" s="63" t="str">
        <f t="shared" si="0"/>
        <v>[effect:enemy_message, val1:1.8, val2:2.8]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[effect:fix_speed, target:myself, turn:2],[effect:tolerance, target:myself, turn:-1, count:-1, tolerance_effect:all, animation:enemy_tolerance]</v>
      </c>
      <c r="N28" s="48" t="str">
        <f>IFERROR(LEFT(M28,FIND("],",M28)+S41),M28)</f>
        <v>[effect:fix_speed, target:myself, turn:2],[effect:tolerance, target:myself, turn:-1, count:-1, tolerance_effect:all, animation:enemy_tolerance]</v>
      </c>
      <c r="O28" s="63">
        <f t="shared" si="6"/>
        <v>9</v>
      </c>
      <c r="P28" s="63">
        <f t="shared" si="7"/>
        <v>18</v>
      </c>
      <c r="Q28" s="63">
        <f t="shared" si="8"/>
        <v>27</v>
      </c>
      <c r="R28" s="63">
        <f t="shared" si="9"/>
        <v>33</v>
      </c>
      <c r="S28" s="63" t="str">
        <f>IFERROR(VLOOKUP(MID(N28,Q28,R28-Q28),[5]skilldef!$C:$D,2,FALSE),"-") &amp; " / " &amp; IFERROR(VLOOKUP(MID(N28,O28,P28-O28),[5]skilldef!$A:$B,2,FALSE),"-")</f>
        <v>自分自身に / 行動値設定</v>
      </c>
      <c r="T28" s="48" t="str">
        <f t="shared" si="10"/>
        <v>[effect:tolerance, target:myself, turn:-1, count:-1, tolerance_effect:all, animation:enemy_tolerance]</v>
      </c>
      <c r="U28" s="63">
        <f t="shared" si="11"/>
        <v>9</v>
      </c>
      <c r="V28" s="63">
        <f t="shared" si="12"/>
        <v>18</v>
      </c>
      <c r="W28" s="63">
        <f t="shared" si="13"/>
        <v>27</v>
      </c>
      <c r="X28" s="63">
        <f t="shared" si="14"/>
        <v>33</v>
      </c>
      <c r="Y28" s="63" t="str">
        <f>IFERROR(VLOOKUP(MID(T28,W28,X28-W28),[5]skilldef!$C:$D,2,FALSE),"-") &amp; " / " &amp; IFERROR(VLOOKUP(MID(T28,U28,V28-U28),[5]skilldef!$A:$B,2,FALSE),"-")</f>
        <v>自分自身に / 状態異常耐性</v>
      </c>
      <c r="Z28" s="50"/>
      <c r="AA28" s="52"/>
      <c r="AB28" s="50"/>
    </row>
    <row r="29" spans="1:28" ht="21" customHeight="1" x14ac:dyDescent="0.15">
      <c r="A29" s="47">
        <v>50013602</v>
      </c>
      <c r="B29" s="47" t="s">
        <v>445</v>
      </c>
      <c r="C29" s="50">
        <v>3</v>
      </c>
      <c r="D29" s="50" t="s">
        <v>413</v>
      </c>
      <c r="E29" s="112" t="s">
        <v>285</v>
      </c>
      <c r="F29" s="51" t="s">
        <v>427</v>
      </c>
      <c r="G29" s="63" t="str">
        <f t="shared" si="0"/>
        <v>[effect:enemy_message, val1:1.2, val2:3.9]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5"/>
        <v>[effect:suicide, target:myself, val:0.1, dead_type:escape],[effect:critical, val:1, animation:enemy_critical],[effect:force_change_block, new_block:damage, target:block_all, ignore01:crash, ignore02:crack_bomb, ignore03:damage, ignore04:color_break, ignore05:magnet, count:1, val:0.5, animation:change_block]</v>
      </c>
      <c r="N29" s="48" t="str">
        <f>IFERROR(LEFT(M29,FIND("],",M29)+S42),M29)</f>
        <v>[effect:suicide, target:myself, val:0.1, dead_type:escape],[effect:critical, val:1, animation:enemy_critical],[effect:force_change_block, new_block:damage, target:block_all, ignore01:crash, ignore02:crack_bomb, ignore03:damage, ignore04:color_break, ignore05:magnet, count:1, val:0.5, animation:change_block]</v>
      </c>
      <c r="O29" s="63">
        <f t="shared" si="6"/>
        <v>9</v>
      </c>
      <c r="P29" s="63">
        <f t="shared" si="7"/>
        <v>16</v>
      </c>
      <c r="Q29" s="63">
        <f t="shared" si="8"/>
        <v>25</v>
      </c>
      <c r="R29" s="63">
        <f t="shared" si="9"/>
        <v>31</v>
      </c>
      <c r="S29" s="63" t="str">
        <f>IFERROR(VLOOKUP(MID(N29,Q29,R29-Q29),[5]skilldef!$C:$D,2,FALSE),"-") &amp; " / " &amp; IFERROR(VLOOKUP(MID(N29,O29,P29-O29),[5]skilldef!$A:$B,2,FALSE),"-")</f>
        <v>自分自身に / -</v>
      </c>
      <c r="T29" s="48" t="str">
        <f t="shared" si="10"/>
        <v>[effect:critical, val:1, animation:enemy_critical],[effect:force_change_block, new_block:damage, target:block_all, ignore01:crash, ignore02:crack_bomb, ignore03:damage, ignore04:color_break, ignore05:magnet, count:1, val:0.5, animation:change_block]</v>
      </c>
      <c r="U29" s="63">
        <f t="shared" si="11"/>
        <v>9</v>
      </c>
      <c r="V29" s="63">
        <f t="shared" si="12"/>
        <v>17</v>
      </c>
      <c r="W29" s="63">
        <f t="shared" si="13"/>
        <v>105</v>
      </c>
      <c r="X29" s="63">
        <f t="shared" si="14"/>
        <v>24</v>
      </c>
      <c r="Y29" s="63" t="str">
        <f>IFERROR(VLOOKUP(MID(T29,W29,X29-W29),[5]skilldef!$C:$D,2,FALSE),"-") &amp; " / " &amp; IFERROR(VLOOKUP(MID(T29,U29,V29-U29),[5]skilldef!$A:$B,2,FALSE),"-")</f>
        <v>- / 大攻撃</v>
      </c>
      <c r="Z29" s="50"/>
      <c r="AA29" s="52"/>
      <c r="AB29" s="50"/>
    </row>
    <row r="30" spans="1:28" ht="21" customHeight="1" x14ac:dyDescent="0.15">
      <c r="A30" s="47">
        <v>50013603</v>
      </c>
      <c r="B30" s="47" t="s">
        <v>444</v>
      </c>
      <c r="C30" s="50">
        <v>3</v>
      </c>
      <c r="D30" s="50" t="s">
        <v>413</v>
      </c>
      <c r="E30" s="51" t="s">
        <v>307</v>
      </c>
      <c r="F30" s="51" t="s">
        <v>428</v>
      </c>
      <c r="G30" s="63" t="str">
        <f t="shared" si="0"/>
        <v>[effect:enemy_message, val1:1.2, val2:2.8]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5"/>
        <v>[effect:suicide, target:myself, val:0.2, dead_type:escape],[effect:critical, val:1.25, animation:enemy_critical],[effect:freq_turn, target:myself, turn:-1, val:1, animation:enemy_freq_turn]</v>
      </c>
      <c r="N30" s="48" t="str">
        <f>IFERROR(LEFT(M30,FIND("],",M30)+S44),M30)</f>
        <v>[effect:suicide, target:myself, val:0.2, dead_type:escape],[effect:critical, val:1.25, animation:enemy_critical],[effect:freq_turn, target:myself, turn:-1, val:1, animation:enemy_freq_turn]</v>
      </c>
      <c r="O30" s="63">
        <f t="shared" si="6"/>
        <v>9</v>
      </c>
      <c r="P30" s="63">
        <f t="shared" si="7"/>
        <v>16</v>
      </c>
      <c r="Q30" s="63">
        <f t="shared" si="8"/>
        <v>25</v>
      </c>
      <c r="R30" s="63">
        <f t="shared" si="9"/>
        <v>31</v>
      </c>
      <c r="S30" s="63" t="str">
        <f>IFERROR(VLOOKUP(MID(N30,Q30,R30-Q30),[5]skilldef!$C:$D,2,FALSE),"-") &amp; " / " &amp; IFERROR(VLOOKUP(MID(N30,O30,P30-O30),[5]skilldef!$A:$B,2,FALSE),"-")</f>
        <v>自分自身に / -</v>
      </c>
      <c r="T30" s="48" t="str">
        <f t="shared" si="10"/>
        <v>[effect:critical, val:1.25, animation:enemy_critical],[effect:freq_turn, target:myself, turn:-1, val:1, animation:enemy_freq_turn]</v>
      </c>
      <c r="U30" s="63">
        <f t="shared" si="11"/>
        <v>9</v>
      </c>
      <c r="V30" s="63">
        <f t="shared" si="12"/>
        <v>17</v>
      </c>
      <c r="W30" s="63">
        <f t="shared" si="13"/>
        <v>81</v>
      </c>
      <c r="X30" s="63">
        <f t="shared" si="14"/>
        <v>27</v>
      </c>
      <c r="Y30" s="63" t="str">
        <f>IFERROR(VLOOKUP(MID(T30,W30,X30-W30),[5]skilldef!$C:$D,2,FALSE),"-") &amp; " / " &amp; IFERROR(VLOOKUP(MID(T30,U30,V30-U30),[5]skilldef!$A:$B,2,FALSE),"-")</f>
        <v>- / 大攻撃</v>
      </c>
      <c r="Z30" s="50"/>
      <c r="AA30" s="52"/>
      <c r="AB30" s="50"/>
    </row>
    <row r="31" spans="1:28" ht="21" customHeight="1" x14ac:dyDescent="0.15">
      <c r="A31" s="47">
        <v>50013604</v>
      </c>
      <c r="B31" s="47" t="s">
        <v>443</v>
      </c>
      <c r="C31" s="50">
        <v>3</v>
      </c>
      <c r="D31" s="50" t="s">
        <v>413</v>
      </c>
      <c r="E31" s="112" t="s">
        <v>308</v>
      </c>
      <c r="F31" s="51" t="s">
        <v>429</v>
      </c>
      <c r="G31" s="63" t="str">
        <f t="shared" si="0"/>
        <v>[effect:enemy_message, val1:1.3, val2:4.5]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5"/>
        <v>[effect:suicide, target:myself, val:0.4, dead_type:escape],[effect:critical, val:1.75, animation:enemy_critical],[effect:force_change_block, new_block:damage, target:block_all, ignore01:crash, ignore02:crack_bomb, ignore03:damage, ignore04:color_break, ignore05:magnet, count:1, val:0.5, animation:change_block]</v>
      </c>
      <c r="N31" s="48" t="str">
        <f>IFERROR(LEFT(M31,FIND("],",M31)+S46),M31)</f>
        <v>[effect:suicide, target:myself, val:0.4, dead_type:escape],[effect:critical, val:1.75, animation:enemy_critical],[effect:force_change_block, new_block:damage, target:block_all, ignore01:crash, ignore02:crack_bomb, ignore03:damage, ignore04:color_break, ignore05:magnet, count:1, val:0.5, animation:change_block]</v>
      </c>
      <c r="O31" s="63">
        <f t="shared" si="6"/>
        <v>9</v>
      </c>
      <c r="P31" s="63">
        <f t="shared" si="7"/>
        <v>16</v>
      </c>
      <c r="Q31" s="63">
        <f t="shared" si="8"/>
        <v>25</v>
      </c>
      <c r="R31" s="63">
        <f t="shared" si="9"/>
        <v>31</v>
      </c>
      <c r="S31" s="63" t="str">
        <f>IFERROR(VLOOKUP(MID(N31,Q31,R31-Q31),[5]skilldef!$C:$D,2,FALSE),"-") &amp; " / " &amp; IFERROR(VLOOKUP(MID(N31,O31,P31-O31),[5]skilldef!$A:$B,2,FALSE),"-")</f>
        <v>自分自身に / -</v>
      </c>
      <c r="T31" s="48" t="str">
        <f t="shared" si="10"/>
        <v>[effect:critical, val:1.75, animation:enemy_critical],[effect:force_change_block, new_block:damage, target:block_all, ignore01:crash, ignore02:crack_bomb, ignore03:damage, ignore04:color_break, ignore05:magnet, count:1, val:0.5, animation:change_block]</v>
      </c>
      <c r="U31" s="63">
        <f t="shared" si="11"/>
        <v>9</v>
      </c>
      <c r="V31" s="63">
        <f t="shared" si="12"/>
        <v>17</v>
      </c>
      <c r="W31" s="63">
        <f t="shared" si="13"/>
        <v>108</v>
      </c>
      <c r="X31" s="63">
        <f t="shared" si="14"/>
        <v>27</v>
      </c>
      <c r="Y31" s="63" t="str">
        <f>IFERROR(VLOOKUP(MID(T31,W31,X31-W31),[5]skilldef!$C:$D,2,FALSE),"-") &amp; " / " &amp; IFERROR(VLOOKUP(MID(T31,U31,V31-U31),[5]skilldef!$A:$B,2,FALSE),"-")</f>
        <v>- / 大攻撃</v>
      </c>
      <c r="Z31" s="50"/>
      <c r="AA31" s="52"/>
      <c r="AB31" s="50"/>
    </row>
    <row r="32" spans="1:28" ht="21" customHeight="1" x14ac:dyDescent="0.15">
      <c r="A32" s="47">
        <v>50013605</v>
      </c>
      <c r="B32" s="47" t="s">
        <v>442</v>
      </c>
      <c r="C32" s="50">
        <v>3</v>
      </c>
      <c r="D32" s="50" t="s">
        <v>413</v>
      </c>
      <c r="E32" s="112" t="s">
        <v>322</v>
      </c>
      <c r="F32" s="51" t="s">
        <v>430</v>
      </c>
      <c r="G32" s="63" t="str">
        <f t="shared" si="0"/>
        <v>[effect:enemy_message, val1:1.4, val2:4.4]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5"/>
        <v>[effect:suicide, target:myself, val:0.5, dead_type:escape],[effect:critical, val:2.5, animation:enemy_critical],[effect:force_change_block, new_block:damage, target:block_all, ignore01:crash, ignore02:crack_bomb, ignore03:damage, ignore04:color_break, ignore05:magnet, count:1, val:0.5, animation:change_block]</v>
      </c>
      <c r="N32" s="48" t="str">
        <f>IFERROR(LEFT(M32,FIND("],",M32)+S47),M32)</f>
        <v>[effect:suicide, target:myself, val:0.5, dead_type:escape],[effect:critical, val:2.5, animation:enemy_critical],[effect:force_change_block, new_block:damage, target:block_all, ignore01:crash, ignore02:crack_bomb, ignore03:damage, ignore04:color_break, ignore05:magnet, count:1, val:0.5, animation:change_block]</v>
      </c>
      <c r="O32" s="63">
        <f t="shared" si="6"/>
        <v>9</v>
      </c>
      <c r="P32" s="63">
        <f t="shared" si="7"/>
        <v>16</v>
      </c>
      <c r="Q32" s="63">
        <f t="shared" si="8"/>
        <v>25</v>
      </c>
      <c r="R32" s="63">
        <f t="shared" si="9"/>
        <v>31</v>
      </c>
      <c r="S32" s="63" t="str">
        <f>IFERROR(VLOOKUP(MID(N32,Q32,R32-Q32),[5]skilldef!$C:$D,2,FALSE),"-") &amp; " / " &amp; IFERROR(VLOOKUP(MID(N32,O32,P32-O32),[5]skilldef!$A:$B,2,FALSE),"-")</f>
        <v>自分自身に / -</v>
      </c>
      <c r="T32" s="48" t="str">
        <f t="shared" si="10"/>
        <v>[effect:critical, val:2.5, animation:enemy_critical],[effect:force_change_block, new_block:damage, target:block_all, ignore01:crash, ignore02:crack_bomb, ignore03:damage, ignore04:color_break, ignore05:magnet, count:1, val:0.5, animation:change_block]</v>
      </c>
      <c r="U32" s="63">
        <f t="shared" si="11"/>
        <v>9</v>
      </c>
      <c r="V32" s="63">
        <f t="shared" si="12"/>
        <v>17</v>
      </c>
      <c r="W32" s="63">
        <f t="shared" si="13"/>
        <v>107</v>
      </c>
      <c r="X32" s="63">
        <f t="shared" si="14"/>
        <v>26</v>
      </c>
      <c r="Y32" s="63" t="str">
        <f>IFERROR(VLOOKUP(MID(T32,W32,X32-W32),[5]skilldef!$C:$D,2,FALSE),"-") &amp; " / " &amp; IFERROR(VLOOKUP(MID(T32,U32,V32-U32),[5]skilldef!$A:$B,2,FALSE),"-")</f>
        <v>- / 大攻撃</v>
      </c>
      <c r="Z32" s="50"/>
      <c r="AA32" s="52"/>
      <c r="AB32" s="50"/>
    </row>
    <row r="33" spans="1:28" ht="21" customHeight="1" x14ac:dyDescent="0.15">
      <c r="A33" s="47">
        <v>50013701</v>
      </c>
      <c r="B33" s="47" t="s">
        <v>407</v>
      </c>
      <c r="C33" s="50">
        <v>3</v>
      </c>
      <c r="D33" s="50" t="s">
        <v>413</v>
      </c>
      <c r="E33" s="51" t="s">
        <v>294</v>
      </c>
      <c r="F33" s="51" t="s">
        <v>334</v>
      </c>
      <c r="G33" s="63" t="str">
        <f t="shared" si="0"/>
        <v>[effect:enemy_message, val1:1.4, val2:5.2]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5"/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N33" s="48" t="str">
        <f>IFERROR(LEFT(M33,FIND("],",M33)+S48),M33)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O33" s="63">
        <f t="shared" si="6"/>
        <v>9</v>
      </c>
      <c r="P33" s="63">
        <f t="shared" si="7"/>
        <v>18</v>
      </c>
      <c r="Q33" s="63">
        <f t="shared" si="8"/>
        <v>27</v>
      </c>
      <c r="R33" s="63">
        <f t="shared" si="9"/>
        <v>33</v>
      </c>
      <c r="S33" s="63" t="str">
        <f>IFERROR(VLOOKUP(MID(N33,Q33,R33-Q33),[5]skilldef!$C:$D,2,FALSE),"-") &amp; " / " &amp; IFERROR(VLOOKUP(MID(N33,O33,P33-O33),[5]skilldef!$A:$B,2,FALSE),"-")</f>
        <v>自分自身に / 行動値設定</v>
      </c>
      <c r="T33" s="48" t="str">
        <f t="shared" si="10"/>
        <v>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U33" s="63">
        <f t="shared" si="11"/>
        <v>9</v>
      </c>
      <c r="V33" s="63">
        <f t="shared" si="12"/>
        <v>18</v>
      </c>
      <c r="W33" s="63">
        <f t="shared" si="13"/>
        <v>27</v>
      </c>
      <c r="X33" s="63">
        <f t="shared" si="14"/>
        <v>33</v>
      </c>
      <c r="Y33" s="63" t="str">
        <f>IFERROR(VLOOKUP(MID(T33,W33,X33-W33),[5]skilldef!$C:$D,2,FALSE),"-") &amp; " / " &amp; IFERROR(VLOOKUP(MID(T33,U33,V33-U33),[5]skilldef!$A:$B,2,FALSE),"-")</f>
        <v>自分自身に / 状態異常耐性</v>
      </c>
      <c r="Z33" s="50"/>
      <c r="AA33" s="52"/>
      <c r="AB33" s="50"/>
    </row>
    <row r="34" spans="1:28" ht="21" customHeight="1" x14ac:dyDescent="0.15">
      <c r="A34" s="109">
        <v>50013791</v>
      </c>
      <c r="B34" s="47" t="s">
        <v>408</v>
      </c>
      <c r="C34" s="50">
        <v>3</v>
      </c>
      <c r="D34" s="50" t="s">
        <v>413</v>
      </c>
      <c r="E34" s="110" t="s">
        <v>326</v>
      </c>
      <c r="F34" s="51" t="s">
        <v>334</v>
      </c>
      <c r="G34" s="63" t="str">
        <f t="shared" ref="G34:G35" si="33">IFERROR(LEFT(B34,FIND("],",B34)),B34)</f>
        <v>[effect:enemy_message, val1:2.2, val2:5.2]</v>
      </c>
      <c r="H34" s="63">
        <f t="shared" ref="H34:H35" si="34">FIND("effect:",G34)+7</f>
        <v>9</v>
      </c>
      <c r="I34" s="63">
        <f t="shared" ref="I34:I35" si="35">IFERROR(FIND(",",G34),LEN(G34))</f>
        <v>22</v>
      </c>
      <c r="J34" s="63" t="e">
        <f t="shared" ref="J34:J35" si="36">FIND("target:",G34)+7</f>
        <v>#VALUE!</v>
      </c>
      <c r="K34" s="63">
        <f t="shared" ref="K34:K35" si="37">FIND(",",G34,I34+1)</f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ref="M34:M35" si="38">IFERROR(RIGHT(B34,LEN(B34)-FIND("],",B34)-1),"none")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N34" s="48" t="str">
        <f>IFERROR(LEFT(M34,FIND("],",M34)+S49),M34)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O34" s="63">
        <f t="shared" ref="O34:O35" si="39">FIND("effect:",N34)+7</f>
        <v>9</v>
      </c>
      <c r="P34" s="63">
        <f t="shared" ref="P34:P35" si="40">IFERROR(FIND(",",N34),LEN(N34))</f>
        <v>18</v>
      </c>
      <c r="Q34" s="63">
        <f t="shared" ref="Q34:Q35" si="41">FIND("target:",N34)+7</f>
        <v>27</v>
      </c>
      <c r="R34" s="63">
        <f t="shared" ref="R34:R35" si="42">FIND(",",N34,P34+1)</f>
        <v>33</v>
      </c>
      <c r="S34" s="63" t="str">
        <f>IFERROR(VLOOKUP(MID(N34,Q34,R34-Q34),[5]skilldef!$C:$D,2,FALSE),"-") &amp; " / " &amp; IFERROR(VLOOKUP(MID(N34,O34,P34-O34),[5]skilldef!$A:$B,2,FALSE),"-")</f>
        <v>自分自身に / 行動値設定</v>
      </c>
      <c r="T34" s="48" t="str">
        <f t="shared" ref="T34:T35" si="43">IFERROR(RIGHT(M34,LEN(M34)-FIND("],",M34)-1),"none")</f>
        <v>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U34" s="63">
        <f t="shared" ref="U34:U35" si="44">FIND("effect:",T34)+7</f>
        <v>9</v>
      </c>
      <c r="V34" s="63">
        <f t="shared" ref="V34:V35" si="45">IFERROR(FIND(",",T34),LEN(T34))</f>
        <v>18</v>
      </c>
      <c r="W34" s="63">
        <f t="shared" ref="W34:W35" si="46">FIND("target:",T34)+7</f>
        <v>27</v>
      </c>
      <c r="X34" s="63">
        <f t="shared" ref="X34:X35" si="47">FIND(",",T34,V34+1)</f>
        <v>33</v>
      </c>
      <c r="Y34" s="63" t="str">
        <f>IFERROR(VLOOKUP(MID(T34,W34,X34-W34),[5]skilldef!$C:$D,2,FALSE),"-") &amp; " / " &amp; IFERROR(VLOOKUP(MID(T34,U34,V34-U34),[5]skilldef!$A:$B,2,FALSE),"-")</f>
        <v>自分自身に / 状態異常耐性</v>
      </c>
      <c r="Z34" s="50"/>
      <c r="AA34" s="52"/>
      <c r="AB34" s="50"/>
    </row>
    <row r="35" spans="1:28" ht="21" customHeight="1" x14ac:dyDescent="0.15">
      <c r="A35" s="109">
        <v>50013792</v>
      </c>
      <c r="B35" s="47" t="s">
        <v>409</v>
      </c>
      <c r="C35" s="50">
        <v>3</v>
      </c>
      <c r="D35" s="50" t="s">
        <v>413</v>
      </c>
      <c r="E35" s="110" t="s">
        <v>360</v>
      </c>
      <c r="F35" s="51" t="s">
        <v>334</v>
      </c>
      <c r="G35" s="63" t="str">
        <f t="shared" si="33"/>
        <v>[effect:enemy_message, val1:2.5, val2:5.2]</v>
      </c>
      <c r="H35" s="63">
        <f t="shared" si="34"/>
        <v>9</v>
      </c>
      <c r="I35" s="63">
        <f t="shared" si="35"/>
        <v>22</v>
      </c>
      <c r="J35" s="63" t="e">
        <f t="shared" si="36"/>
        <v>#VALUE!</v>
      </c>
      <c r="K35" s="63">
        <f t="shared" si="37"/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si="38"/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N35" s="48" t="str">
        <f>IFERROR(LEFT(M35,FIND("],",M35)+S49),M35)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O35" s="63">
        <f t="shared" si="39"/>
        <v>9</v>
      </c>
      <c r="P35" s="63">
        <f t="shared" si="40"/>
        <v>18</v>
      </c>
      <c r="Q35" s="63">
        <f t="shared" si="41"/>
        <v>27</v>
      </c>
      <c r="R35" s="63">
        <f t="shared" si="42"/>
        <v>33</v>
      </c>
      <c r="S35" s="63" t="str">
        <f>IFERROR(VLOOKUP(MID(N35,Q35,R35-Q35),[5]skilldef!$C:$D,2,FALSE),"-") &amp; " / " &amp; IFERROR(VLOOKUP(MID(N35,O35,P35-O35),[5]skilldef!$A:$B,2,FALSE),"-")</f>
        <v>自分自身に / 行動値設定</v>
      </c>
      <c r="T35" s="48" t="str">
        <f t="shared" si="43"/>
        <v>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U35" s="63">
        <f t="shared" si="44"/>
        <v>9</v>
      </c>
      <c r="V35" s="63">
        <f t="shared" si="45"/>
        <v>18</v>
      </c>
      <c r="W35" s="63">
        <f t="shared" si="46"/>
        <v>27</v>
      </c>
      <c r="X35" s="63">
        <f t="shared" si="47"/>
        <v>33</v>
      </c>
      <c r="Y35" s="63" t="str">
        <f>IFERROR(VLOOKUP(MID(T35,W35,X35-W35),[5]skilldef!$C:$D,2,FALSE),"-") &amp; " / " &amp; IFERROR(VLOOKUP(MID(T35,U35,V35-U35),[5]skilldef!$A:$B,2,FALSE),"-")</f>
        <v>自分自身に / 状態異常耐性</v>
      </c>
      <c r="Z35" s="50"/>
      <c r="AA35" s="52"/>
      <c r="AB35" s="50"/>
    </row>
    <row r="36" spans="1:28" ht="21" customHeight="1" x14ac:dyDescent="0.15">
      <c r="A36" s="109">
        <v>50013793</v>
      </c>
      <c r="B36" s="47" t="s">
        <v>410</v>
      </c>
      <c r="C36" s="50">
        <v>3</v>
      </c>
      <c r="D36" s="50" t="s">
        <v>413</v>
      </c>
      <c r="E36" s="110" t="s">
        <v>347</v>
      </c>
      <c r="F36" s="51" t="s">
        <v>334</v>
      </c>
      <c r="G36" s="63" t="str">
        <f t="shared" ref="G36" si="48">IFERROR(LEFT(B36,FIND("],",B36)),B36)</f>
        <v>[effect:enemy_message, val1:2.5, val2:5.2]</v>
      </c>
      <c r="H36" s="63">
        <f t="shared" ref="H36" si="49">FIND("effect:",G36)+7</f>
        <v>9</v>
      </c>
      <c r="I36" s="63">
        <f t="shared" ref="I36" si="50">IFERROR(FIND(",",G36),LEN(G36))</f>
        <v>22</v>
      </c>
      <c r="J36" s="63" t="e">
        <f t="shared" ref="J36" si="51">FIND("target:",G36)+7</f>
        <v>#VALUE!</v>
      </c>
      <c r="K36" s="63">
        <f t="shared" ref="K36" si="52">FIND(",",G36,I36+1)</f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ref="M36" si="53">IFERROR(RIGHT(B36,LEN(B36)-FIND("],",B36)-1),"none")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N36" s="48" t="str">
        <f>IFERROR(LEFT(M36,FIND("],",M36)+S50),M36)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O36" s="63">
        <f t="shared" ref="O36" si="54">FIND("effect:",N36)+7</f>
        <v>9</v>
      </c>
      <c r="P36" s="63">
        <f t="shared" ref="P36" si="55">IFERROR(FIND(",",N36),LEN(N36))</f>
        <v>18</v>
      </c>
      <c r="Q36" s="63">
        <f t="shared" ref="Q36" si="56">FIND("target:",N36)+7</f>
        <v>27</v>
      </c>
      <c r="R36" s="63">
        <f t="shared" ref="R36" si="57">FIND(",",N36,P36+1)</f>
        <v>33</v>
      </c>
      <c r="S36" s="63" t="str">
        <f>IFERROR(VLOOKUP(MID(N36,Q36,R36-Q36),[5]skilldef!$C:$D,2,FALSE),"-") &amp; " / " &amp; IFERROR(VLOOKUP(MID(N36,O36,P36-O36),[5]skilldef!$A:$B,2,FALSE),"-")</f>
        <v>自分自身に / 行動値設定</v>
      </c>
      <c r="T36" s="48" t="str">
        <f t="shared" ref="T36" si="58">IFERROR(RIGHT(M36,LEN(M36)-FIND("],",M36)-1),"none")</f>
        <v>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U36" s="63">
        <f t="shared" ref="U36" si="59">FIND("effect:",T36)+7</f>
        <v>9</v>
      </c>
      <c r="V36" s="63">
        <f t="shared" ref="V36" si="60">IFERROR(FIND(",",T36),LEN(T36))</f>
        <v>18</v>
      </c>
      <c r="W36" s="63">
        <f t="shared" ref="W36" si="61">FIND("target:",T36)+7</f>
        <v>27</v>
      </c>
      <c r="X36" s="63">
        <f t="shared" ref="X36" si="62">FIND(",",T36,V36+1)</f>
        <v>33</v>
      </c>
      <c r="Y36" s="63" t="str">
        <f>IFERROR(VLOOKUP(MID(T36,W36,X36-W36),[5]skilldef!$C:$D,2,FALSE),"-") &amp; " / " &amp; IFERROR(VLOOKUP(MID(T36,U36,V36-U36),[5]skilldef!$A:$B,2,FALSE),"-")</f>
        <v>自分自身に / 状態異常耐性</v>
      </c>
      <c r="Z36" s="50"/>
      <c r="AA36" s="52"/>
      <c r="AB36" s="50"/>
    </row>
    <row r="37" spans="1:28" ht="21" customHeight="1" x14ac:dyDescent="0.15">
      <c r="A37" s="109">
        <v>50013794</v>
      </c>
      <c r="B37" s="47" t="s">
        <v>411</v>
      </c>
      <c r="C37" s="50">
        <v>3</v>
      </c>
      <c r="D37" s="50" t="s">
        <v>413</v>
      </c>
      <c r="E37" s="110" t="s">
        <v>325</v>
      </c>
      <c r="F37" s="51" t="s">
        <v>334</v>
      </c>
      <c r="G37" s="63" t="str">
        <f t="shared" ref="G37" si="63">IFERROR(LEFT(B37,FIND("],",B37)),B37)</f>
        <v>[effect:enemy_message, val1:2.4, val2:5.2]</v>
      </c>
      <c r="H37" s="63">
        <f t="shared" ref="H37" si="64">FIND("effect:",G37)+7</f>
        <v>9</v>
      </c>
      <c r="I37" s="63">
        <f t="shared" ref="I37" si="65">IFERROR(FIND(",",G37),LEN(G37))</f>
        <v>22</v>
      </c>
      <c r="J37" s="63" t="e">
        <f t="shared" ref="J37" si="66">FIND("target:",G37)+7</f>
        <v>#VALUE!</v>
      </c>
      <c r="K37" s="63">
        <f t="shared" ref="K37" si="67">FIND(",",G37,I37+1)</f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ref="M37" si="68">IFERROR(RIGHT(B37,LEN(B37)-FIND("],",B37)-1),"none")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N37" s="48" t="str">
        <f>IFERROR(LEFT(M37,FIND("],",M37)+S51),M37)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O37" s="63">
        <f t="shared" ref="O37" si="69">FIND("effect:",N37)+7</f>
        <v>9</v>
      </c>
      <c r="P37" s="63">
        <f t="shared" ref="P37" si="70">IFERROR(FIND(",",N37),LEN(N37))</f>
        <v>18</v>
      </c>
      <c r="Q37" s="63">
        <f t="shared" ref="Q37" si="71">FIND("target:",N37)+7</f>
        <v>27</v>
      </c>
      <c r="R37" s="63">
        <f t="shared" ref="R37" si="72">FIND(",",N37,P37+1)</f>
        <v>33</v>
      </c>
      <c r="S37" s="63" t="str">
        <f>IFERROR(VLOOKUP(MID(N37,Q37,R37-Q37),[5]skilldef!$C:$D,2,FALSE),"-") &amp; " / " &amp; IFERROR(VLOOKUP(MID(N37,O37,P37-O37),[5]skilldef!$A:$B,2,FALSE),"-")</f>
        <v>自分自身に / 行動値設定</v>
      </c>
      <c r="T37" s="48" t="str">
        <f t="shared" ref="T37" si="73">IFERROR(RIGHT(M37,LEN(M37)-FIND("],",M37)-1),"none")</f>
        <v>[effect:tolerance, target:myself, turn:-1, count:-1, tolerance_effect:all, animation:enemy_tolerance],[effect:reduction, target:myself, color:all, turn:1, val:0.8, animation:reduction_one01],[effect:drop_block, block_type:time_bomb, block_color:block_green, color:block_green, val:0.25, rate:0.4, turn:-1, min_time_count:2, max_time_count:2, animation:time_bomb_influence04]</v>
      </c>
      <c r="U37" s="63">
        <f t="shared" ref="U37" si="74">FIND("effect:",T37)+7</f>
        <v>9</v>
      </c>
      <c r="V37" s="63">
        <f t="shared" ref="V37" si="75">IFERROR(FIND(",",T37),LEN(T37))</f>
        <v>18</v>
      </c>
      <c r="W37" s="63">
        <f t="shared" ref="W37" si="76">FIND("target:",T37)+7</f>
        <v>27</v>
      </c>
      <c r="X37" s="63">
        <f t="shared" ref="X37" si="77">FIND(",",T37,V37+1)</f>
        <v>33</v>
      </c>
      <c r="Y37" s="63" t="str">
        <f>IFERROR(VLOOKUP(MID(T37,W37,X37-W37),[5]skilldef!$C:$D,2,FALSE),"-") &amp; " / " &amp; IFERROR(VLOOKUP(MID(T37,U37,V37-U37),[5]skilldef!$A:$B,2,FALSE),"-")</f>
        <v>自分自身に / 状態異常耐性</v>
      </c>
      <c r="Z37" s="50"/>
      <c r="AA37" s="52"/>
      <c r="AB37" s="50"/>
    </row>
    <row r="38" spans="1:28" ht="21" customHeight="1" x14ac:dyDescent="0.15">
      <c r="A38" s="47">
        <v>50013702</v>
      </c>
      <c r="B38" s="47" t="s">
        <v>441</v>
      </c>
      <c r="C38" s="50">
        <v>3</v>
      </c>
      <c r="D38" s="50" t="s">
        <v>413</v>
      </c>
      <c r="E38" s="112" t="s">
        <v>324</v>
      </c>
      <c r="F38" s="51" t="s">
        <v>361</v>
      </c>
      <c r="G38" s="63" t="str">
        <f t="shared" si="0"/>
        <v>[effect:enemy_message, val1:1.2, val2:2.7]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5"/>
        <v>[effect:force_change_block, new_block:damage, target:block_all, ignore01:crash, ignore02:crack_bomb, ignore03:damage, ignore04:color_break, ignore05:magnet, count:8, val:0.06, animation:change_block],[effect:rush, count:8, val:0.15]</v>
      </c>
      <c r="N38" s="48" t="str">
        <f t="shared" ref="N38:N43" si="78">IFERROR(LEFT(M38,FIND("],",M38)+S49),M38)</f>
        <v>[effect:force_change_block, new_block:damage, target:block_all, ignore01:crash, ignore02:crack_bomb, ignore03:damage, ignore04:color_break, ignore05:magnet, count:8, val:0.06, animation:change_block],[effect:rush, count:8, val:0.15]</v>
      </c>
      <c r="O38" s="63">
        <f t="shared" si="6"/>
        <v>9</v>
      </c>
      <c r="P38" s="63">
        <f t="shared" si="7"/>
        <v>27</v>
      </c>
      <c r="Q38" s="63">
        <f t="shared" si="8"/>
        <v>54</v>
      </c>
      <c r="R38" s="63">
        <f t="shared" si="9"/>
        <v>45</v>
      </c>
      <c r="S38" s="63" t="str">
        <f>IFERROR(VLOOKUP(MID(N38,Q38,R38-Q38),[5]skilldef!$C:$D,2,FALSE),"-") &amp; " / " &amp; IFERROR(VLOOKUP(MID(N38,O38,P38-O38),[5]skilldef!$A:$B,2,FALSE),"-")</f>
        <v>- / -</v>
      </c>
      <c r="T38" s="48" t="str">
        <f t="shared" si="10"/>
        <v>[effect:rush, count:8, val:0.15]</v>
      </c>
      <c r="U38" s="63">
        <f t="shared" si="11"/>
        <v>9</v>
      </c>
      <c r="V38" s="63">
        <f t="shared" si="12"/>
        <v>13</v>
      </c>
      <c r="W38" s="63" t="e">
        <f t="shared" si="13"/>
        <v>#VALUE!</v>
      </c>
      <c r="X38" s="63">
        <f t="shared" si="14"/>
        <v>22</v>
      </c>
      <c r="Y38" s="63" t="str">
        <f>IFERROR(VLOOKUP(MID(T38,W38,X38-W38),[5]skilldef!$C:$D,2,FALSE),"-") &amp; " / " &amp; IFERROR(VLOOKUP(MID(T38,U38,V38-U38),[5]skilldef!$A:$B,2,FALSE),"-")</f>
        <v>- / 連続攻撃</v>
      </c>
      <c r="Z38" s="50"/>
      <c r="AA38" s="52"/>
      <c r="AB38" s="50"/>
    </row>
    <row r="39" spans="1:28" ht="21" customHeight="1" x14ac:dyDescent="0.15">
      <c r="A39" s="47">
        <v>50013703</v>
      </c>
      <c r="B39" s="47" t="s">
        <v>394</v>
      </c>
      <c r="C39" s="50">
        <v>3</v>
      </c>
      <c r="D39" s="50" t="s">
        <v>413</v>
      </c>
      <c r="E39" s="51" t="s">
        <v>359</v>
      </c>
      <c r="F39" s="51" t="s">
        <v>370</v>
      </c>
      <c r="G39" s="63" t="str">
        <f t="shared" ref="G39:G53" si="79">IFERROR(LEFT(B39,FIND("],",B39)),B39)</f>
        <v>[effect:enemy_message, val1:1.3, val2:2.1]</v>
      </c>
      <c r="H39" s="63">
        <f t="shared" si="1"/>
        <v>9</v>
      </c>
      <c r="I39" s="63">
        <f t="shared" ref="I39:I53" si="80">IFERROR(FIND(",",G39),LEN(G39))</f>
        <v>22</v>
      </c>
      <c r="J39" s="63" t="e">
        <f t="shared" ref="J39:J53" si="81">FIND("target:",G39)+7</f>
        <v>#VALUE!</v>
      </c>
      <c r="K39" s="63">
        <f t="shared" ref="K39:K53" si="82">FIND(",",G39,I39+1)</f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ref="M39:M53" si="83">IFERROR(RIGHT(B39,LEN(B39)-FIND("],",B39)-1),"none")</f>
        <v>[effect:break_attack_fix, target:unit_all, val:1500, lowest_val:15, count:3, color:green, block01:block_heart]</v>
      </c>
      <c r="N39" s="48" t="str">
        <f t="shared" si="78"/>
        <v>[effect:break_attack_fix, target:unit_all, val:1500, lowest_val:15, count:3, color:green, block01:block_heart]</v>
      </c>
      <c r="O39" s="63">
        <f t="shared" si="6"/>
        <v>9</v>
      </c>
      <c r="P39" s="63">
        <f t="shared" ref="P39:P53" si="84">IFERROR(FIND(",",N39),LEN(N39))</f>
        <v>25</v>
      </c>
      <c r="Q39" s="63">
        <f t="shared" ref="Q39:Q53" si="85">FIND("target:",N39)+7</f>
        <v>34</v>
      </c>
      <c r="R39" s="63">
        <f t="shared" ref="R39:R53" si="86">FIND(",",N39,P39+1)</f>
        <v>42</v>
      </c>
      <c r="S39" s="63" t="str">
        <f>IFERROR(VLOOKUP(MID(N39,Q39,R39-Q39),[5]skilldef!$C:$D,2,FALSE),"-") &amp; " / " &amp; IFERROR(VLOOKUP(MID(N39,O39,P39-O39),[5]skilldef!$A:$B,2,FALSE),"-")</f>
        <v>味方全体に / -</v>
      </c>
      <c r="T39" s="48" t="str">
        <f t="shared" ref="T39:T53" si="87">IFERROR(RIGHT(M39,LEN(M39)-FIND("],",M39)-1),"none")</f>
        <v>none</v>
      </c>
      <c r="U39" s="63" t="e">
        <f t="shared" si="11"/>
        <v>#VALUE!</v>
      </c>
      <c r="V39" s="63">
        <f t="shared" ref="V39:V53" si="88">IFERROR(FIND(",",T39),LEN(T39))</f>
        <v>4</v>
      </c>
      <c r="W39" s="63" t="e">
        <f t="shared" ref="W39:W53" si="89">FIND("target:",T39)+7</f>
        <v>#VALUE!</v>
      </c>
      <c r="X39" s="63" t="e">
        <f t="shared" ref="X39:X53" si="90">FIND(",",T39,V39+1)</f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50013704</v>
      </c>
      <c r="B40" s="47" t="s">
        <v>440</v>
      </c>
      <c r="C40" s="50">
        <v>3</v>
      </c>
      <c r="D40" s="50" t="s">
        <v>413</v>
      </c>
      <c r="E40" s="112" t="s">
        <v>312</v>
      </c>
      <c r="F40" s="51" t="s">
        <v>363</v>
      </c>
      <c r="G40" s="63" t="str">
        <f t="shared" si="79"/>
        <v>[effect:enemy_message, val1:1.7, val2:3.1]</v>
      </c>
      <c r="H40" s="63">
        <f t="shared" si="1"/>
        <v>9</v>
      </c>
      <c r="I40" s="63">
        <f t="shared" si="80"/>
        <v>22</v>
      </c>
      <c r="J40" s="63" t="e">
        <f t="shared" si="81"/>
        <v>#VALUE!</v>
      </c>
      <c r="K40" s="63">
        <f t="shared" si="82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83"/>
        <v>[effect:force_change_block, new_block:damage, target:block_all, ignore01:crash, ignore02:crack_bomb, ignore03:damage, ignore04:color_break, ignore05:magnet, count:4, val:0.15, animation:change_block],[effect:enhance_enemy, target:myself, turn:5, status:defense, val:5000, calc:add, animation:enemy_enhance_defense]</v>
      </c>
      <c r="N40" s="48" t="str">
        <f t="shared" si="78"/>
        <v>[effect:force_change_block, new_block:damage, target:block_all, ignore01:crash, ignore02:crack_bomb, ignore03:damage, ignore04:color_break, ignore05:magnet, count:4, val:0.15, animation:change_block],[effect:enhance_enemy, target:myself, turn:5, status:defense, val:5000, calc:add, animation:enemy_enhance_defense]</v>
      </c>
      <c r="O40" s="63">
        <f t="shared" si="6"/>
        <v>9</v>
      </c>
      <c r="P40" s="63">
        <f t="shared" si="84"/>
        <v>27</v>
      </c>
      <c r="Q40" s="63">
        <f t="shared" si="85"/>
        <v>54</v>
      </c>
      <c r="R40" s="63">
        <f t="shared" si="86"/>
        <v>45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87"/>
        <v>[effect:enhance_enemy, target:myself, turn:5, status:defense, val:5000, calc:add, animation:enemy_enhance_defense]</v>
      </c>
      <c r="U40" s="63">
        <f t="shared" si="11"/>
        <v>9</v>
      </c>
      <c r="V40" s="63">
        <f t="shared" si="88"/>
        <v>22</v>
      </c>
      <c r="W40" s="63">
        <f t="shared" si="89"/>
        <v>31</v>
      </c>
      <c r="X40" s="63">
        <f t="shared" si="90"/>
        <v>37</v>
      </c>
      <c r="Y40" s="63" t="str">
        <f>IFERROR(VLOOKUP(MID(T40,W40,X40-W40),[5]skilldef!$C:$D,2,FALSE),"-") &amp; " / " &amp; IFERROR(VLOOKUP(MID(T40,U40,V40-U40),[5]skilldef!$A:$B,2,FALSE),"-")</f>
        <v>自分自身に / ステータス強化</v>
      </c>
      <c r="Z40" s="50"/>
      <c r="AA40" s="52"/>
      <c r="AB40" s="50"/>
    </row>
    <row r="41" spans="1:28" ht="21" customHeight="1" x14ac:dyDescent="0.15">
      <c r="A41" s="47">
        <v>50013705</v>
      </c>
      <c r="B41" s="47" t="s">
        <v>439</v>
      </c>
      <c r="C41" s="50">
        <v>3</v>
      </c>
      <c r="D41" s="50" t="s">
        <v>413</v>
      </c>
      <c r="E41" s="112" t="s">
        <v>313</v>
      </c>
      <c r="F41" s="51" t="s">
        <v>362</v>
      </c>
      <c r="G41" s="63" t="str">
        <f t="shared" si="79"/>
        <v>[effect:enemy_message, val1:1.5, val2:3.0]</v>
      </c>
      <c r="H41" s="63">
        <f t="shared" si="1"/>
        <v>9</v>
      </c>
      <c r="I41" s="63">
        <f t="shared" si="80"/>
        <v>22</v>
      </c>
      <c r="J41" s="63" t="e">
        <f t="shared" si="81"/>
        <v>#VALUE!</v>
      </c>
      <c r="K41" s="63">
        <f t="shared" si="82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83"/>
        <v>[effect:force_change_block, new_block:damage, target:block_all, ignore01:crash, ignore02:crack_bomb, ignore03:damage, ignore04:color_break, ignore05:magnet, count:4, val:0.15, animation:change_block],[effect:enhance_enemy, target:myself, turn:5, status:attack, val:0.3, animation:enemy_enhance_attack]</v>
      </c>
      <c r="N41" s="48" t="str">
        <f t="shared" si="78"/>
        <v>[effect:force_change_block, new_block:damage, target:block_all, ignore01:crash, ignore02:crack_bomb, ignore03:damage, ignore04:color_break, ignore05:magnet, count:4, val:0.15, animation:change_block],[effect:enhance_enemy, target:myself, turn:5, status:attack, val:0.3, animation:enemy_enhance_attack]</v>
      </c>
      <c r="O41" s="63">
        <f t="shared" si="6"/>
        <v>9</v>
      </c>
      <c r="P41" s="63">
        <f t="shared" si="84"/>
        <v>27</v>
      </c>
      <c r="Q41" s="63">
        <f t="shared" si="85"/>
        <v>54</v>
      </c>
      <c r="R41" s="63">
        <f t="shared" si="86"/>
        <v>45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87"/>
        <v>[effect:enhance_enemy, target:myself, turn:5, status:attack, val:0.3, animation:enemy_enhance_attack]</v>
      </c>
      <c r="U41" s="63">
        <f t="shared" si="11"/>
        <v>9</v>
      </c>
      <c r="V41" s="63">
        <f t="shared" si="88"/>
        <v>22</v>
      </c>
      <c r="W41" s="63">
        <f t="shared" si="89"/>
        <v>31</v>
      </c>
      <c r="X41" s="63">
        <f t="shared" si="90"/>
        <v>37</v>
      </c>
      <c r="Y41" s="63" t="str">
        <f>IFERROR(VLOOKUP(MID(T41,W41,X41-W41),[5]skilldef!$C:$D,2,FALSE),"-") &amp; " / " &amp; IFERROR(VLOOKUP(MID(T41,U41,V41-U41),[5]skilldef!$A:$B,2,FALSE),"-")</f>
        <v>自分自身に / ステータス強化</v>
      </c>
      <c r="Z41" s="50"/>
      <c r="AA41" s="52"/>
      <c r="AB41" s="50"/>
    </row>
    <row r="42" spans="1:28" ht="21" customHeight="1" x14ac:dyDescent="0.15">
      <c r="A42" s="47">
        <v>50013706</v>
      </c>
      <c r="B42" s="47" t="s">
        <v>401</v>
      </c>
      <c r="C42" s="50">
        <v>3</v>
      </c>
      <c r="D42" s="50" t="s">
        <v>413</v>
      </c>
      <c r="E42" s="51" t="s">
        <v>297</v>
      </c>
      <c r="F42" s="51" t="s">
        <v>256</v>
      </c>
      <c r="G42" s="63" t="str">
        <f t="shared" si="79"/>
        <v>[effect:enemy_message, val1:1.2, val2:1.7]</v>
      </c>
      <c r="H42" s="63">
        <f t="shared" si="1"/>
        <v>9</v>
      </c>
      <c r="I42" s="63">
        <f t="shared" si="80"/>
        <v>22</v>
      </c>
      <c r="J42" s="63" t="e">
        <f t="shared" si="81"/>
        <v>#VALUE!</v>
      </c>
      <c r="K42" s="63">
        <f t="shared" si="82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83"/>
        <v>[effect:break_attack_fix, target:unit_one, val:1000, lowest_val:20000, count:-1, color:green, block01:damage]</v>
      </c>
      <c r="N42" s="48" t="str">
        <f t="shared" si="78"/>
        <v>[effect:break_attack_fix, target:unit_one, val:1000, lowest_val:20000, count:-1, color:green, block01:damage]</v>
      </c>
      <c r="O42" s="63">
        <f t="shared" si="6"/>
        <v>9</v>
      </c>
      <c r="P42" s="63">
        <f t="shared" si="84"/>
        <v>25</v>
      </c>
      <c r="Q42" s="63">
        <f t="shared" si="85"/>
        <v>34</v>
      </c>
      <c r="R42" s="63">
        <f t="shared" si="86"/>
        <v>42</v>
      </c>
      <c r="S42" s="63" t="str">
        <f>IFERROR(VLOOKUP(MID(N42,Q42,R42-Q42),[5]skilldef!$C:$D,2,FALSE),"-") &amp; " / " &amp; IFERROR(VLOOKUP(MID(N42,O42,P42-O42),[5]skilldef!$A:$B,2,FALSE),"-")</f>
        <v>味方単体に / -</v>
      </c>
      <c r="T42" s="48" t="str">
        <f t="shared" si="87"/>
        <v>none</v>
      </c>
      <c r="U42" s="63" t="e">
        <f t="shared" si="11"/>
        <v>#VALUE!</v>
      </c>
      <c r="V42" s="63">
        <f t="shared" si="88"/>
        <v>4</v>
      </c>
      <c r="W42" s="63" t="e">
        <f t="shared" si="89"/>
        <v>#VALUE!</v>
      </c>
      <c r="X42" s="63" t="e">
        <f t="shared" si="90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50013707</v>
      </c>
      <c r="B43" s="47" t="s">
        <v>438</v>
      </c>
      <c r="C43" s="50">
        <v>3</v>
      </c>
      <c r="D43" s="50" t="s">
        <v>413</v>
      </c>
      <c r="E43" s="112" t="s">
        <v>335</v>
      </c>
      <c r="F43" s="51" t="s">
        <v>350</v>
      </c>
      <c r="G43" s="63" t="str">
        <f t="shared" ref="G43" si="91">IFERROR(LEFT(B43,FIND("],",B43)),B43)</f>
        <v>[effect:enemy_message, val1:1.2, val2:3.2]</v>
      </c>
      <c r="H43" s="63">
        <f t="shared" ref="H43" si="92">FIND("effect:",G43)+7</f>
        <v>9</v>
      </c>
      <c r="I43" s="63">
        <f t="shared" ref="I43" si="93">IFERROR(FIND(",",G43),LEN(G43))</f>
        <v>22</v>
      </c>
      <c r="J43" s="63" t="e">
        <f t="shared" ref="J43" si="94">FIND("target:",G43)+7</f>
        <v>#VALUE!</v>
      </c>
      <c r="K43" s="63">
        <f t="shared" ref="K43" si="95">FIND(",",G43,I43+1)</f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ref="M43" si="96">IFERROR(RIGHT(B43,LEN(B43)-FIND("],",B43)-1),"none")</f>
        <v>[effect:force_change_block, new_block:jammer, target:block_all, ignore01:crash, ignore02:crack_bomb, ignore03:time_bomb, ignore04:damage, ignore05:color_break, ignore06:magnet, count:15, val:0, animation:change_block],[effect:damage_gravity, val:0.4, animation:fevergauge_down]</v>
      </c>
      <c r="N43" s="48" t="str">
        <f t="shared" si="78"/>
        <v>[effect:force_change_block, new_block:jammer, target:block_all, ignore01:crash, ignore02:crack_bomb, ignore03:time_bomb, ignore04:damage, ignore05:color_break, ignore06:magnet, count:15, val:0, animation:change_block],[effect:damage_gravity, val:0.4, animation:fevergauge_down]</v>
      </c>
      <c r="O43" s="63">
        <f t="shared" ref="O43" si="97">FIND("effect:",N43)+7</f>
        <v>9</v>
      </c>
      <c r="P43" s="63">
        <f t="shared" ref="P43" si="98">IFERROR(FIND(",",N43),LEN(N43))</f>
        <v>27</v>
      </c>
      <c r="Q43" s="63">
        <f t="shared" ref="Q43" si="99">FIND("target:",N43)+7</f>
        <v>54</v>
      </c>
      <c r="R43" s="63">
        <f t="shared" ref="R43" si="100">FIND(",",N43,P43+1)</f>
        <v>45</v>
      </c>
      <c r="S43" s="63" t="str">
        <f>IFERROR(VLOOKUP(MID(N43,Q43,R43-Q43),[5]skilldef!$C:$D,2,FALSE),"-") &amp; " / " &amp; IFERROR(VLOOKUP(MID(N43,O43,P43-O43),[5]skilldef!$A:$B,2,FALSE),"-")</f>
        <v>- / -</v>
      </c>
      <c r="T43" s="48" t="str">
        <f t="shared" ref="T43" si="101">IFERROR(RIGHT(M43,LEN(M43)-FIND("],",M43)-1),"none")</f>
        <v>[effect:damage_gravity, val:0.4, animation:fevergauge_down]</v>
      </c>
      <c r="U43" s="63">
        <f t="shared" ref="U43" si="102">FIND("effect:",T43)+7</f>
        <v>9</v>
      </c>
      <c r="V43" s="63">
        <f t="shared" ref="V43" si="103">IFERROR(FIND(",",T43),LEN(T43))</f>
        <v>23</v>
      </c>
      <c r="W43" s="63" t="e">
        <f t="shared" ref="W43" si="104">FIND("target:",T43)+7</f>
        <v>#VALUE!</v>
      </c>
      <c r="X43" s="63">
        <f t="shared" ref="X43" si="105">FIND(",",T43,V43+1)</f>
        <v>32</v>
      </c>
      <c r="Y43" s="63" t="str">
        <f>IFERROR(VLOOKUP(MID(T43,W43,X43-W43),[5]skilldef!$C:$D,2,FALSE),"-") &amp; " / " &amp; IFERROR(VLOOKUP(MID(T43,U43,V43-U43),[5]skilldef!$A:$B,2,FALSE),"-")</f>
        <v>- / 割合ダメージ</v>
      </c>
      <c r="Z43" s="50"/>
      <c r="AA43" s="52"/>
      <c r="AB43" s="50"/>
    </row>
    <row r="44" spans="1:28" ht="21" customHeight="1" x14ac:dyDescent="0.15">
      <c r="A44" s="47">
        <v>50013801</v>
      </c>
      <c r="B44" s="47" t="s">
        <v>412</v>
      </c>
      <c r="C44" s="50">
        <v>3</v>
      </c>
      <c r="D44" s="50" t="s">
        <v>413</v>
      </c>
      <c r="E44" s="51" t="s">
        <v>298</v>
      </c>
      <c r="F44" s="51" t="s">
        <v>333</v>
      </c>
      <c r="G44" s="63" t="str">
        <f t="shared" si="79"/>
        <v>[effect:enemy_message, val1:1.7, val2:5.3]</v>
      </c>
      <c r="H44" s="63">
        <f t="shared" si="1"/>
        <v>9</v>
      </c>
      <c r="I44" s="63">
        <f t="shared" si="80"/>
        <v>22</v>
      </c>
      <c r="J44" s="63" t="e">
        <f t="shared" si="81"/>
        <v>#VALUE!</v>
      </c>
      <c r="K44" s="63">
        <f t="shared" si="82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83"/>
        <v>[effect:fix_speed, target:myself, turn:1],[effect:tolerance, target:myself, turn:-1, count:-1, tolerance_effect:all, animation:enemy_tolerance],[effect:hungup, target:unit_samurai, turn:10, rate:1, animation:hungup01],[effect:enhance_unit, target:unit_samurai, turn:-1, status:attack, val:0.5, calc:mul, animation:enhance_unit_all_attack03]</v>
      </c>
      <c r="N44" s="48" t="str">
        <f t="shared" ref="N44:N48" si="106">IFERROR(LEFT(M44,FIND("],",M44)+S54),M44)</f>
        <v>[effect:fix_speed, target:myself, turn:1],[effect:tolerance, target:myself, turn:-1, count:-1, tolerance_effect:all, animation:enemy_tolerance],[effect:hungup, target:unit_samurai, turn:10, rate:1, animation:hungup01],[effect:enhance_unit, target:unit_samurai, turn:-1, status:attack, val:0.5, calc:mul, animation:enhance_unit_all_attack03]</v>
      </c>
      <c r="O44" s="63">
        <f t="shared" si="6"/>
        <v>9</v>
      </c>
      <c r="P44" s="63">
        <f t="shared" si="84"/>
        <v>18</v>
      </c>
      <c r="Q44" s="63">
        <f t="shared" si="85"/>
        <v>27</v>
      </c>
      <c r="R44" s="63">
        <f t="shared" si="86"/>
        <v>33</v>
      </c>
      <c r="S44" s="63" t="str">
        <f>IFERROR(VLOOKUP(MID(N44,Q44,R44-Q44),[5]skilldef!$C:$D,2,FALSE),"-") &amp; " / " &amp; IFERROR(VLOOKUP(MID(N44,O44,P44-O44),[5]skilldef!$A:$B,2,FALSE),"-")</f>
        <v>自分自身に / 行動値設定</v>
      </c>
      <c r="T44" s="48" t="str">
        <f t="shared" si="87"/>
        <v>[effect:tolerance, target:myself, turn:-1, count:-1, tolerance_effect:all, animation:enemy_tolerance],[effect:hungup, target:unit_samurai, turn:10, rate:1, animation:hungup01],[effect:enhance_unit, target:unit_samurai, turn:-1, status:attack, val:0.5, calc:mul, animation:enhance_unit_all_attack03]</v>
      </c>
      <c r="U44" s="63">
        <f t="shared" si="11"/>
        <v>9</v>
      </c>
      <c r="V44" s="63">
        <f t="shared" si="88"/>
        <v>18</v>
      </c>
      <c r="W44" s="63">
        <f t="shared" si="89"/>
        <v>27</v>
      </c>
      <c r="X44" s="63">
        <f t="shared" si="90"/>
        <v>33</v>
      </c>
      <c r="Y44" s="63" t="str">
        <f>IFERROR(VLOOKUP(MID(T44,W44,X44-W44),[5]skilldef!$C:$D,2,FALSE),"-") &amp; " / " &amp; IFERROR(VLOOKUP(MID(T44,U44,V44-U44),[5]skilldef!$A:$B,2,FALSE),"-")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47">
        <v>50013802</v>
      </c>
      <c r="B45" s="47" t="s">
        <v>406</v>
      </c>
      <c r="C45" s="50">
        <v>3</v>
      </c>
      <c r="D45" s="50" t="s">
        <v>413</v>
      </c>
      <c r="E45" s="51" t="s">
        <v>295</v>
      </c>
      <c r="F45" s="51" t="s">
        <v>372</v>
      </c>
      <c r="G45" s="63" t="str">
        <f t="shared" si="79"/>
        <v>[effect:enemy_message, val1:1.2, val2:1.2]</v>
      </c>
      <c r="H45" s="63">
        <f t="shared" si="1"/>
        <v>9</v>
      </c>
      <c r="I45" s="63">
        <f t="shared" si="80"/>
        <v>22</v>
      </c>
      <c r="J45" s="63" t="e">
        <f t="shared" si="81"/>
        <v>#VALUE!</v>
      </c>
      <c r="K45" s="63">
        <f t="shared" si="82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83"/>
        <v>[effect:critical, val:1.4, animation:enemy_critical]</v>
      </c>
      <c r="N45" s="48" t="str">
        <f t="shared" si="106"/>
        <v>[effect:critical, val:1.4, animation:enemy_critical]</v>
      </c>
      <c r="O45" s="63">
        <f t="shared" si="6"/>
        <v>9</v>
      </c>
      <c r="P45" s="63">
        <f t="shared" si="84"/>
        <v>17</v>
      </c>
      <c r="Q45" s="63" t="e">
        <f t="shared" si="85"/>
        <v>#VALUE!</v>
      </c>
      <c r="R45" s="63">
        <f t="shared" si="86"/>
        <v>26</v>
      </c>
      <c r="S45" s="63" t="str">
        <f>IFERROR(VLOOKUP(MID(N45,Q45,R45-Q45),[5]skilldef!$C:$D,2,FALSE),"-") &amp; " / " &amp; IFERROR(VLOOKUP(MID(N45,O45,P45-O45),[5]skilldef!$A:$B,2,FALSE),"-")</f>
        <v>- / 大攻撃</v>
      </c>
      <c r="T45" s="48" t="str">
        <f t="shared" si="87"/>
        <v>none</v>
      </c>
      <c r="U45" s="63" t="e">
        <f t="shared" si="11"/>
        <v>#VALUE!</v>
      </c>
      <c r="V45" s="63">
        <f t="shared" si="88"/>
        <v>4</v>
      </c>
      <c r="W45" s="63" t="e">
        <f t="shared" si="89"/>
        <v>#VALUE!</v>
      </c>
      <c r="X45" s="63" t="e">
        <f t="shared" si="90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50013803</v>
      </c>
      <c r="B46" s="47" t="s">
        <v>419</v>
      </c>
      <c r="C46" s="50">
        <v>3</v>
      </c>
      <c r="D46" s="50" t="s">
        <v>413</v>
      </c>
      <c r="E46" s="51" t="s">
        <v>299</v>
      </c>
      <c r="F46" s="51" t="s">
        <v>397</v>
      </c>
      <c r="G46" s="63" t="str">
        <f t="shared" si="79"/>
        <v>[effect:enemy_message, val1:1.5, val2:2.3]</v>
      </c>
      <c r="H46" s="63">
        <f t="shared" si="1"/>
        <v>9</v>
      </c>
      <c r="I46" s="63">
        <f t="shared" si="80"/>
        <v>22</v>
      </c>
      <c r="J46" s="63" t="e">
        <f t="shared" si="81"/>
        <v>#VALUE!</v>
      </c>
      <c r="K46" s="63">
        <f t="shared" si="82"/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83"/>
        <v>[effect:dark, target:unit_all, turn:3, animation:enemy_dark],[effect:remove_enhancement, target:unit_all, target_effect:all, target_type:buff, animation:frozen_wave]</v>
      </c>
      <c r="N46" s="48" t="str">
        <f t="shared" si="106"/>
        <v>[effect:dark, target:unit_all, turn:3, animation:enemy_dark],[effect:remove_enhancement, target:unit_all, target_effect:all, target_type:buff, animation:frozen_wave]</v>
      </c>
      <c r="O46" s="63">
        <f t="shared" si="6"/>
        <v>9</v>
      </c>
      <c r="P46" s="63">
        <f t="shared" si="84"/>
        <v>13</v>
      </c>
      <c r="Q46" s="63">
        <f t="shared" si="85"/>
        <v>22</v>
      </c>
      <c r="R46" s="63">
        <f t="shared" si="86"/>
        <v>30</v>
      </c>
      <c r="S46" s="63" t="str">
        <f>IFERROR(VLOOKUP(MID(N46,Q46,R46-Q46),[5]skilldef!$C:$D,2,FALSE),"-") &amp; " / " &amp; IFERROR(VLOOKUP(MID(N46,O46,P46-O46),[5]skilldef!$A:$B,2,FALSE),"-")</f>
        <v>味方全体に / 暗黒</v>
      </c>
      <c r="T46" s="48" t="str">
        <f t="shared" si="87"/>
        <v>[effect:remove_enhancement, target:unit_all, target_effect:all, target_type:buff, animation:frozen_wave]</v>
      </c>
      <c r="U46" s="63">
        <f t="shared" si="11"/>
        <v>9</v>
      </c>
      <c r="V46" s="63">
        <f t="shared" si="88"/>
        <v>27</v>
      </c>
      <c r="W46" s="63">
        <f t="shared" si="89"/>
        <v>36</v>
      </c>
      <c r="X46" s="63">
        <f t="shared" si="90"/>
        <v>44</v>
      </c>
      <c r="Y46" s="63" t="str">
        <f>IFERROR(VLOOKUP(MID(T46,W46,X46-W46),[5]skilldef!$C:$D,2,FALSE),"-") &amp; " / " &amp; IFERROR(VLOOKUP(MID(T46,U46,V46-U46),[5]skilldef!$A:$B,2,FALSE),"-")</f>
        <v>味方全体に / -</v>
      </c>
      <c r="Z46" s="50"/>
      <c r="AA46" s="52"/>
      <c r="AB46" s="50"/>
    </row>
    <row r="47" spans="1:28" ht="21" customHeight="1" x14ac:dyDescent="0.15">
      <c r="A47" s="47">
        <v>50013804</v>
      </c>
      <c r="B47" s="47" t="s">
        <v>437</v>
      </c>
      <c r="C47" s="50">
        <v>3</v>
      </c>
      <c r="D47" s="50" t="s">
        <v>413</v>
      </c>
      <c r="E47" s="112" t="s">
        <v>296</v>
      </c>
      <c r="F47" s="51" t="s">
        <v>361</v>
      </c>
      <c r="G47" s="63" t="str">
        <f t="shared" si="79"/>
        <v>[effect:enemy_message, val1:1.5, val2:2.7]</v>
      </c>
      <c r="H47" s="63">
        <f t="shared" si="1"/>
        <v>9</v>
      </c>
      <c r="I47" s="63">
        <f t="shared" si="80"/>
        <v>22</v>
      </c>
      <c r="J47" s="63" t="e">
        <f t="shared" si="81"/>
        <v>#VALUE!</v>
      </c>
      <c r="K47" s="63">
        <f t="shared" si="82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83"/>
        <v>[effect:force_change_block, new_block:damage, target:block_all, ignore01:crash, ignore02:crack_bomb, ignore03:damage, ignore04:color_break, ignore05:magnet, count:8, val:0.06, animation:change_block],[effect:rush, count:8, val:0.15]</v>
      </c>
      <c r="N47" s="48" t="str">
        <f t="shared" si="106"/>
        <v>[effect:force_change_block, new_block:damage, target:block_all, ignore01:crash, ignore02:crack_bomb, ignore03:damage, ignore04:color_break, ignore05:magnet, count:8, val:0.06, animation:change_block],[effect:rush, count:8, val:0.15]</v>
      </c>
      <c r="O47" s="63">
        <f t="shared" si="6"/>
        <v>9</v>
      </c>
      <c r="P47" s="63">
        <f t="shared" si="84"/>
        <v>27</v>
      </c>
      <c r="Q47" s="63">
        <f t="shared" si="85"/>
        <v>54</v>
      </c>
      <c r="R47" s="63">
        <f t="shared" si="86"/>
        <v>45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si="87"/>
        <v>[effect:rush, count:8, val:0.15]</v>
      </c>
      <c r="U47" s="63">
        <f t="shared" si="11"/>
        <v>9</v>
      </c>
      <c r="V47" s="63">
        <f t="shared" si="88"/>
        <v>13</v>
      </c>
      <c r="W47" s="63" t="e">
        <f t="shared" si="89"/>
        <v>#VALUE!</v>
      </c>
      <c r="X47" s="63">
        <f t="shared" si="90"/>
        <v>22</v>
      </c>
      <c r="Y47" s="63" t="str">
        <f>IFERROR(VLOOKUP(MID(T47,W47,X47-W47),[5]skilldef!$C:$D,2,FALSE),"-") &amp; " / " &amp; IFERROR(VLOOKUP(MID(T47,U47,V47-U47),[5]skilldef!$A:$B,2,FALSE),"-")</f>
        <v>- / 連続攻撃</v>
      </c>
      <c r="Z47" s="50"/>
      <c r="AA47" s="52"/>
      <c r="AB47" s="50"/>
    </row>
    <row r="48" spans="1:28" ht="21" customHeight="1" x14ac:dyDescent="0.15">
      <c r="A48" s="47">
        <v>50013805</v>
      </c>
      <c r="B48" s="47" t="s">
        <v>402</v>
      </c>
      <c r="C48" s="50">
        <v>3</v>
      </c>
      <c r="D48" s="50" t="s">
        <v>413</v>
      </c>
      <c r="E48" s="51" t="s">
        <v>293</v>
      </c>
      <c r="F48" s="51" t="s">
        <v>258</v>
      </c>
      <c r="G48" s="63" t="str">
        <f t="shared" si="79"/>
        <v>[effect:enemy_message, val1:1.2, val2:1.3]</v>
      </c>
      <c r="H48" s="63">
        <f t="shared" si="1"/>
        <v>9</v>
      </c>
      <c r="I48" s="63">
        <f t="shared" si="80"/>
        <v>22</v>
      </c>
      <c r="J48" s="63" t="e">
        <f t="shared" si="81"/>
        <v>#VALUE!</v>
      </c>
      <c r="K48" s="63">
        <f t="shared" si="82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83"/>
        <v>[effect:damage_gravity, val:0.99, animation:fevergauge_down]</v>
      </c>
      <c r="N48" s="48" t="str">
        <f t="shared" si="106"/>
        <v>[effect:damage_gravity, val:0.99, animation:fevergauge_down]</v>
      </c>
      <c r="O48" s="63">
        <f t="shared" si="6"/>
        <v>9</v>
      </c>
      <c r="P48" s="63">
        <f t="shared" si="84"/>
        <v>23</v>
      </c>
      <c r="Q48" s="63" t="e">
        <f t="shared" si="85"/>
        <v>#VALUE!</v>
      </c>
      <c r="R48" s="63">
        <f t="shared" si="86"/>
        <v>33</v>
      </c>
      <c r="S48" s="63" t="str">
        <f>IFERROR(VLOOKUP(MID(N48,Q48,R48-Q48),[5]skilldef!$C:$D,2,FALSE),"-") &amp; " / " &amp; IFERROR(VLOOKUP(MID(N48,O48,P48-O48),[5]skilldef!$A:$B,2,FALSE),"-")</f>
        <v>- / 割合ダメージ</v>
      </c>
      <c r="T48" s="48" t="str">
        <f t="shared" si="87"/>
        <v>none</v>
      </c>
      <c r="U48" s="63" t="e">
        <f t="shared" si="11"/>
        <v>#VALUE!</v>
      </c>
      <c r="V48" s="63">
        <f t="shared" si="88"/>
        <v>4</v>
      </c>
      <c r="W48" s="63" t="e">
        <f t="shared" si="89"/>
        <v>#VALUE!</v>
      </c>
      <c r="X48" s="63" t="e">
        <f t="shared" si="90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47">
        <v>50013901</v>
      </c>
      <c r="B49" s="47" t="s">
        <v>433</v>
      </c>
      <c r="C49" s="50">
        <v>3</v>
      </c>
      <c r="D49" s="50" t="s">
        <v>413</v>
      </c>
      <c r="E49" s="51" t="s">
        <v>310</v>
      </c>
      <c r="F49" s="51" t="s">
        <v>432</v>
      </c>
      <c r="G49" s="63" t="str">
        <f t="shared" si="79"/>
        <v>[effect:enemy_message, val1:2.2, val2:4.4]</v>
      </c>
      <c r="H49" s="63">
        <f t="shared" si="1"/>
        <v>9</v>
      </c>
      <c r="I49" s="63">
        <f t="shared" si="80"/>
        <v>22</v>
      </c>
      <c r="J49" s="63" t="e">
        <f t="shared" si="81"/>
        <v>#VALUE!</v>
      </c>
      <c r="K49" s="63">
        <f t="shared" si="82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83"/>
        <v>[effect:fix_speed, target:myself, turn:1],[effect:tolerance, target:myself, turn:-1, count:-1, tolerance_effect:all, animation:enemy_tolerance],[effect:dis_heart, turn:-1, animation:enemy_dis_heart]</v>
      </c>
      <c r="N49" s="48" t="str">
        <f t="shared" ref="N49:N50" si="107">IFERROR(LEFT(M49,FIND("],",M49)+S59),M49)</f>
        <v>[effect:fix_speed, target:myself, turn:1],[effect:tolerance, target:myself, turn:-1, count:-1, tolerance_effect:all, animation:enemy_tolerance],[effect:dis_heart, turn:-1, animation:enemy_dis_heart]</v>
      </c>
      <c r="O49" s="63">
        <f t="shared" si="6"/>
        <v>9</v>
      </c>
      <c r="P49" s="63">
        <f t="shared" si="84"/>
        <v>18</v>
      </c>
      <c r="Q49" s="63">
        <f t="shared" si="85"/>
        <v>27</v>
      </c>
      <c r="R49" s="63">
        <f t="shared" si="86"/>
        <v>33</v>
      </c>
      <c r="S49" s="63" t="str">
        <f>IFERROR(VLOOKUP(MID(N49,Q49,R49-Q49),[5]skilldef!$C:$D,2,FALSE),"-") &amp; " / " &amp; IFERROR(VLOOKUP(MID(N49,O49,P49-O49),[5]skilldef!$A:$B,2,FALSE),"-")</f>
        <v>自分自身に / 行動値設定</v>
      </c>
      <c r="T49" s="48" t="str">
        <f t="shared" si="87"/>
        <v>[effect:tolerance, target:myself, turn:-1, count:-1, tolerance_effect:all, animation:enemy_tolerance],[effect:dis_heart, turn:-1, animation:enemy_dis_heart]</v>
      </c>
      <c r="U49" s="63">
        <f t="shared" si="11"/>
        <v>9</v>
      </c>
      <c r="V49" s="63">
        <f t="shared" si="88"/>
        <v>18</v>
      </c>
      <c r="W49" s="63">
        <f t="shared" si="89"/>
        <v>27</v>
      </c>
      <c r="X49" s="63">
        <f t="shared" si="90"/>
        <v>33</v>
      </c>
      <c r="Y49" s="63" t="str">
        <f>IFERROR(VLOOKUP(MID(T49,W49,X49-W49),[5]skilldef!$C:$D,2,FALSE),"-") &amp; " / " &amp; IFERROR(VLOOKUP(MID(T49,U49,V49-U49),[5]skilldef!$A:$B,2,FALSE),"-")</f>
        <v>自分自身に / 状態異常耐性</v>
      </c>
      <c r="Z49" s="50"/>
      <c r="AA49" s="52"/>
      <c r="AB49" s="50"/>
    </row>
    <row r="50" spans="1:28" ht="21" customHeight="1" x14ac:dyDescent="0.15">
      <c r="A50" s="47">
        <v>50013902</v>
      </c>
      <c r="B50" s="47" t="s">
        <v>395</v>
      </c>
      <c r="C50" s="50">
        <v>3</v>
      </c>
      <c r="D50" s="50" t="s">
        <v>413</v>
      </c>
      <c r="E50" s="51" t="s">
        <v>302</v>
      </c>
      <c r="F50" s="51" t="s">
        <v>351</v>
      </c>
      <c r="G50" s="63" t="str">
        <f t="shared" si="79"/>
        <v>[effect:enemy_message, val1:1.2, val2:2.7]</v>
      </c>
      <c r="H50" s="63">
        <f t="shared" si="1"/>
        <v>9</v>
      </c>
      <c r="I50" s="63">
        <f t="shared" si="80"/>
        <v>22</v>
      </c>
      <c r="J50" s="63" t="e">
        <f t="shared" si="81"/>
        <v>#VALUE!</v>
      </c>
      <c r="K50" s="63">
        <f t="shared" si="82"/>
        <v>32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83"/>
        <v>[effect:dis_panel, target:block_yellow, turn:-1, animation:enemy_dis_yellow],[effect:force_change_block, new_block:damage, target:block_yellow, ignore01:crash, ignore02:crack_bomb, ignore03:damage, ignore04:color_break, color:block_yellow, count:5, val:0.1, animation:change_block]</v>
      </c>
      <c r="N50" s="48" t="str">
        <f t="shared" si="107"/>
        <v>[effect:dis_panel, target:block_yellow, turn:-1, animation:enemy_dis_yellow],[effect:force_change_block, new_block:damage, target:block_yellow, ignore01:crash, ignore02:crack_bomb, ignore03:damage, ignore04:color_break, color:block_yellow, count:5, val:0.1, animation:change_block]</v>
      </c>
      <c r="O50" s="63">
        <f t="shared" si="6"/>
        <v>9</v>
      </c>
      <c r="P50" s="63">
        <f t="shared" si="84"/>
        <v>18</v>
      </c>
      <c r="Q50" s="63">
        <f t="shared" si="85"/>
        <v>27</v>
      </c>
      <c r="R50" s="63">
        <f t="shared" si="86"/>
        <v>39</v>
      </c>
      <c r="S50" s="63" t="str">
        <f>IFERROR(VLOOKUP(MID(N50,Q50,R50-Q50),[5]skilldef!$C:$D,2,FALSE),"-") &amp; " / " &amp; IFERROR(VLOOKUP(MID(N50,O50,P50-O50),[5]skilldef!$A:$B,2,FALSE),"-")</f>
        <v>黄色パネルを / ディスパネル</v>
      </c>
      <c r="T50" s="48" t="str">
        <f t="shared" si="87"/>
        <v>[effect:force_change_block, new_block:damage, target:block_yellow, ignore01:crash, ignore02:crack_bomb, ignore03:damage, ignore04:color_break, color:block_yellow, count:5, val:0.1, animation:change_block]</v>
      </c>
      <c r="U50" s="63">
        <f t="shared" si="11"/>
        <v>9</v>
      </c>
      <c r="V50" s="63">
        <f t="shared" si="88"/>
        <v>27</v>
      </c>
      <c r="W50" s="63">
        <f t="shared" si="89"/>
        <v>54</v>
      </c>
      <c r="X50" s="63">
        <f t="shared" si="90"/>
        <v>45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47">
        <v>50013903</v>
      </c>
      <c r="B51" s="47" t="s">
        <v>396</v>
      </c>
      <c r="C51" s="50">
        <v>3</v>
      </c>
      <c r="D51" s="50" t="s">
        <v>413</v>
      </c>
      <c r="E51" s="51" t="s">
        <v>300</v>
      </c>
      <c r="F51" s="51" t="s">
        <v>352</v>
      </c>
      <c r="G51" s="63" t="str">
        <f t="shared" si="79"/>
        <v>[effect:enemy_message, val1:1.2, val2:2.7]</v>
      </c>
      <c r="H51" s="63">
        <f t="shared" si="1"/>
        <v>9</v>
      </c>
      <c r="I51" s="63">
        <f t="shared" si="80"/>
        <v>22</v>
      </c>
      <c r="J51" s="63" t="e">
        <f t="shared" si="81"/>
        <v>#VALUE!</v>
      </c>
      <c r="K51" s="63">
        <f t="shared" si="82"/>
        <v>32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83"/>
        <v>[effect:dis_panel, target:block_green, turn:-1, animation:enemy_dis_green],[effect:force_change_block, new_block:damage, target:block_green, ignore01:crash, ignore02:crack_bomb, ignore03:damage, ignore04:color_break, color:block_green, count:5, val:0.1, animation:change_block]</v>
      </c>
      <c r="N51" s="48" t="str">
        <f>IFERROR(LEFT(M51,FIND("],",M51)+#REF!),M51)</f>
        <v>[effect:dis_panel, target:block_green, turn:-1, animation:enemy_dis_green],[effect:force_change_block, new_block:damage, target:block_green, ignore01:crash, ignore02:crack_bomb, ignore03:damage, ignore04:color_break, color:block_green, count:5, val:0.1, animation:change_block]</v>
      </c>
      <c r="O51" s="63">
        <f t="shared" si="6"/>
        <v>9</v>
      </c>
      <c r="P51" s="63">
        <f t="shared" si="84"/>
        <v>18</v>
      </c>
      <c r="Q51" s="63">
        <f t="shared" si="85"/>
        <v>27</v>
      </c>
      <c r="R51" s="63">
        <f t="shared" si="86"/>
        <v>38</v>
      </c>
      <c r="S51" s="63" t="str">
        <f>IFERROR(VLOOKUP(MID(N51,Q51,R51-Q51),[5]skilldef!$C:$D,2,FALSE),"-") &amp; " / " &amp; IFERROR(VLOOKUP(MID(N51,O51,P51-O51),[5]skilldef!$A:$B,2,FALSE),"-")</f>
        <v>緑パネルを / ディスパネル</v>
      </c>
      <c r="T51" s="48" t="str">
        <f t="shared" si="87"/>
        <v>[effect:force_change_block, new_block:damage, target:block_green, ignore01:crash, ignore02:crack_bomb, ignore03:damage, ignore04:color_break, color:block_green, count:5, val:0.1, animation:change_block]</v>
      </c>
      <c r="U51" s="63">
        <f t="shared" si="11"/>
        <v>9</v>
      </c>
      <c r="V51" s="63">
        <f t="shared" si="88"/>
        <v>27</v>
      </c>
      <c r="W51" s="63">
        <f t="shared" si="89"/>
        <v>54</v>
      </c>
      <c r="X51" s="63">
        <f t="shared" si="90"/>
        <v>45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50013904</v>
      </c>
      <c r="B52" s="47" t="s">
        <v>436</v>
      </c>
      <c r="C52" s="50">
        <v>3</v>
      </c>
      <c r="D52" s="50" t="s">
        <v>413</v>
      </c>
      <c r="E52" s="51" t="s">
        <v>301</v>
      </c>
      <c r="F52" s="51" t="s">
        <v>353</v>
      </c>
      <c r="G52" s="63" t="str">
        <f t="shared" si="79"/>
        <v>[effect:enemy_message, val1:1.4, val2:2.7]</v>
      </c>
      <c r="H52" s="63">
        <f t="shared" si="1"/>
        <v>9</v>
      </c>
      <c r="I52" s="63">
        <f t="shared" si="80"/>
        <v>22</v>
      </c>
      <c r="J52" s="63" t="e">
        <f t="shared" si="81"/>
        <v>#VALUE!</v>
      </c>
      <c r="K52" s="63">
        <f t="shared" si="82"/>
        <v>32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83"/>
        <v>[effect:dis_panel, target:block_blue, turn:-1, animation:enemy_dis_blue],[effect:force_change_block, new_block:damage, target:block_blue, ignore01:crash, ignore02:crack_bomb, ignore03:damage, ignore04:color_break, color:block_blue, count:5, val:0.1, animation:change_block]</v>
      </c>
      <c r="N52" s="48" t="str">
        <f>IFERROR(LEFT(M52,FIND("],",M52)+S61),M52)</f>
        <v>[effect:dis_panel, target:block_blue, turn:-1, animation:enemy_dis_blue]</v>
      </c>
      <c r="O52" s="63">
        <f t="shared" si="6"/>
        <v>9</v>
      </c>
      <c r="P52" s="63">
        <f t="shared" si="84"/>
        <v>18</v>
      </c>
      <c r="Q52" s="63">
        <f t="shared" si="85"/>
        <v>27</v>
      </c>
      <c r="R52" s="63">
        <f t="shared" si="86"/>
        <v>37</v>
      </c>
      <c r="S52" s="63" t="str">
        <f>IFERROR(VLOOKUP(MID(N52,Q52,R52-Q52),[5]skilldef!$C:$D,2,FALSE),"-") &amp; " / " &amp; IFERROR(VLOOKUP(MID(N52,O52,P52-O52),[5]skilldef!$A:$B,2,FALSE),"-")</f>
        <v>青パネルを / ディスパネル</v>
      </c>
      <c r="T52" s="48" t="str">
        <f t="shared" si="87"/>
        <v>[effect:force_change_block, new_block:damage, target:block_blue, ignore01:crash, ignore02:crack_bomb, ignore03:damage, ignore04:color_break, color:block_blue, count:5, val:0.1, animation:change_block]</v>
      </c>
      <c r="U52" s="63">
        <f t="shared" si="11"/>
        <v>9</v>
      </c>
      <c r="V52" s="63">
        <f t="shared" si="88"/>
        <v>27</v>
      </c>
      <c r="W52" s="63">
        <f t="shared" si="89"/>
        <v>54</v>
      </c>
      <c r="X52" s="63">
        <f t="shared" si="90"/>
        <v>45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47">
        <v>50013905</v>
      </c>
      <c r="B53" s="47" t="s">
        <v>435</v>
      </c>
      <c r="C53" s="50">
        <v>3</v>
      </c>
      <c r="D53" s="50" t="s">
        <v>413</v>
      </c>
      <c r="E53" s="51" t="s">
        <v>314</v>
      </c>
      <c r="F53" s="51" t="s">
        <v>434</v>
      </c>
      <c r="G53" s="63" t="str">
        <f t="shared" si="79"/>
        <v>[effect:enemy_message, val1:1.2, val2:3.1]</v>
      </c>
      <c r="H53" s="63">
        <f t="shared" si="1"/>
        <v>9</v>
      </c>
      <c r="I53" s="63">
        <f t="shared" si="80"/>
        <v>22</v>
      </c>
      <c r="J53" s="63" t="e">
        <f t="shared" si="81"/>
        <v>#VALUE!</v>
      </c>
      <c r="K53" s="63">
        <f t="shared" si="82"/>
        <v>32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83"/>
        <v>[effect:dis_panel, target:block_red, turn:-1, animation:enemy_dis_red]</v>
      </c>
      <c r="N53" s="48" t="str">
        <f>IFERROR(LEFT(M53,FIND("],",M53)+S62),M53)</f>
        <v>[effect:dis_panel, target:block_red, turn:-1, animation:enemy_dis_red]</v>
      </c>
      <c r="O53" s="63">
        <f t="shared" si="6"/>
        <v>9</v>
      </c>
      <c r="P53" s="63">
        <f t="shared" si="84"/>
        <v>18</v>
      </c>
      <c r="Q53" s="63">
        <f t="shared" si="85"/>
        <v>27</v>
      </c>
      <c r="R53" s="63">
        <f t="shared" si="86"/>
        <v>36</v>
      </c>
      <c r="S53" s="63" t="str">
        <f>IFERROR(VLOOKUP(MID(N53,Q53,R53-Q53),[5]skilldef!$C:$D,2,FALSE),"-") &amp; " / " &amp; IFERROR(VLOOKUP(MID(N53,O53,P53-O53),[5]skilldef!$A:$B,2,FALSE),"-")</f>
        <v>赤パネルを / ディスパネル</v>
      </c>
      <c r="T53" s="48" t="str">
        <f t="shared" si="87"/>
        <v>none</v>
      </c>
      <c r="U53" s="63" t="e">
        <f t="shared" si="11"/>
        <v>#VALUE!</v>
      </c>
      <c r="V53" s="63">
        <f t="shared" si="88"/>
        <v>4</v>
      </c>
      <c r="W53" s="63" t="e">
        <f t="shared" si="89"/>
        <v>#VALUE!</v>
      </c>
      <c r="X53" s="63" t="e">
        <f t="shared" si="90"/>
        <v>#VALUE!</v>
      </c>
      <c r="Y53" s="63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47">
        <v>50013906</v>
      </c>
      <c r="B54" s="47" t="s">
        <v>399</v>
      </c>
      <c r="C54" s="50">
        <v>3</v>
      </c>
      <c r="D54" s="50" t="s">
        <v>413</v>
      </c>
      <c r="E54" s="51" t="s">
        <v>316</v>
      </c>
      <c r="F54" s="51" t="s">
        <v>292</v>
      </c>
      <c r="G54" s="63" t="str">
        <f t="shared" ref="G54:G55" si="108">IFERROR(LEFT(B54,FIND("],",B54)),B54)</f>
        <v>[effect:enemy_message, val1:1.7, val2:1.5]</v>
      </c>
      <c r="H54" s="63">
        <f t="shared" si="1"/>
        <v>9</v>
      </c>
      <c r="I54" s="63">
        <f t="shared" ref="I54:I55" si="109">IFERROR(FIND(",",G54),LEN(G54))</f>
        <v>22</v>
      </c>
      <c r="J54" s="63" t="e">
        <f t="shared" ref="J54:J55" si="110">FIND("target:",G54)+7</f>
        <v>#VALUE!</v>
      </c>
      <c r="K54" s="63">
        <f t="shared" ref="K54:K55" si="111">FIND(",",G54,I54+1)</f>
        <v>32</v>
      </c>
      <c r="L54" s="63" t="str">
        <f>IFERROR(VLOOKUP(MID(G54,J54,K54-J54),[5]skilldef!$C:$D,2,FALSE),"-") &amp; " / " &amp; IFERROR(VLOOKUP(MID(G54,H54,I54-H54),[5]skilldef!$A:$B,2,FALSE),"-")</f>
        <v>- / -</v>
      </c>
      <c r="M54" s="63" t="str">
        <f t="shared" ref="M54:M55" si="112">IFERROR(RIGHT(B54,LEN(B54)-FIND("],",B54)-1),"none")</f>
        <v>[effect:damage_gravity, val:5, animation:fevergauge_down]</v>
      </c>
      <c r="N54" s="48" t="str">
        <f>IFERROR(LEFT(M54,FIND("],",M54)+S63),M54)</f>
        <v>[effect:damage_gravity, val:5, animation:fevergauge_down]</v>
      </c>
      <c r="O54" s="63">
        <f t="shared" si="6"/>
        <v>9</v>
      </c>
      <c r="P54" s="63">
        <f t="shared" ref="P54:P55" si="113">IFERROR(FIND(",",N54),LEN(N54))</f>
        <v>23</v>
      </c>
      <c r="Q54" s="63" t="e">
        <f t="shared" ref="Q54:Q55" si="114">FIND("target:",N54)+7</f>
        <v>#VALUE!</v>
      </c>
      <c r="R54" s="63">
        <f t="shared" ref="R54:R55" si="115">FIND(",",N54,P54+1)</f>
        <v>30</v>
      </c>
      <c r="S54" s="63" t="str">
        <f>IFERROR(VLOOKUP(MID(N54,Q54,R54-Q54),[5]skilldef!$C:$D,2,FALSE),"-") &amp; " / " &amp; IFERROR(VLOOKUP(MID(N54,O54,P54-O54),[5]skilldef!$A:$B,2,FALSE),"-")</f>
        <v>- / 割合ダメージ</v>
      </c>
      <c r="T54" s="48" t="str">
        <f t="shared" ref="T54:T55" si="116">IFERROR(RIGHT(M54,LEN(M54)-FIND("],",M54)-1),"none")</f>
        <v>none</v>
      </c>
      <c r="U54" s="63" t="e">
        <f t="shared" si="11"/>
        <v>#VALUE!</v>
      </c>
      <c r="V54" s="63">
        <f t="shared" ref="V54:V55" si="117">IFERROR(FIND(",",T54),LEN(T54))</f>
        <v>4</v>
      </c>
      <c r="W54" s="63" t="e">
        <f t="shared" ref="W54:W55" si="118">FIND("target:",T54)+7</f>
        <v>#VALUE!</v>
      </c>
      <c r="X54" s="63" t="e">
        <f t="shared" ref="X54:X55" si="119">FIND(",",T54,V54+1)</f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47">
        <v>50013907</v>
      </c>
      <c r="B55" s="47" t="s">
        <v>398</v>
      </c>
      <c r="C55" s="50">
        <v>3</v>
      </c>
      <c r="D55" s="50" t="s">
        <v>413</v>
      </c>
      <c r="E55" s="51" t="s">
        <v>316</v>
      </c>
      <c r="F55" s="51" t="s">
        <v>292</v>
      </c>
      <c r="G55" s="63" t="str">
        <f t="shared" si="108"/>
        <v>[effect:enemy_message, val1:1.7, val2:1.5]</v>
      </c>
      <c r="H55" s="63">
        <f t="shared" si="1"/>
        <v>9</v>
      </c>
      <c r="I55" s="63">
        <f t="shared" si="109"/>
        <v>22</v>
      </c>
      <c r="J55" s="63" t="e">
        <f t="shared" si="110"/>
        <v>#VALUE!</v>
      </c>
      <c r="K55" s="63">
        <f t="shared" si="111"/>
        <v>32</v>
      </c>
      <c r="L55" s="63" t="str">
        <f>IFERROR(VLOOKUP(MID(G55,J55,K55-J55),[5]skilldef!$C:$D,2,FALSE),"-") &amp; " / " &amp; IFERROR(VLOOKUP(MID(G55,H55,I55-H55),[5]skilldef!$A:$B,2,FALSE),"-")</f>
        <v>- / -</v>
      </c>
      <c r="M55" s="63" t="str">
        <f t="shared" si="112"/>
        <v>[effect:damage_gravity, val:5, animation:fevergauge_down]</v>
      </c>
      <c r="N55" s="48" t="str">
        <f>IFERROR(LEFT(M55,FIND("],",M55)+S64),M55)</f>
        <v>[effect:damage_gravity, val:5, animation:fevergauge_down]</v>
      </c>
      <c r="O55" s="63">
        <f t="shared" si="6"/>
        <v>9</v>
      </c>
      <c r="P55" s="63">
        <f t="shared" si="113"/>
        <v>23</v>
      </c>
      <c r="Q55" s="63" t="e">
        <f t="shared" si="114"/>
        <v>#VALUE!</v>
      </c>
      <c r="R55" s="63">
        <f t="shared" si="115"/>
        <v>30</v>
      </c>
      <c r="S55" s="63" t="str">
        <f>IFERROR(VLOOKUP(MID(N55,Q55,R55-Q55),[5]skilldef!$C:$D,2,FALSE),"-") &amp; " / " &amp; IFERROR(VLOOKUP(MID(N55,O55,P55-O55),[5]skilldef!$A:$B,2,FALSE),"-")</f>
        <v>- / 割合ダメージ</v>
      </c>
      <c r="T55" s="48" t="str">
        <f t="shared" si="116"/>
        <v>none</v>
      </c>
      <c r="U55" s="63" t="e">
        <f t="shared" si="11"/>
        <v>#VALUE!</v>
      </c>
      <c r="V55" s="63">
        <f t="shared" si="117"/>
        <v>4</v>
      </c>
      <c r="W55" s="63" t="e">
        <f t="shared" si="118"/>
        <v>#VALUE!</v>
      </c>
      <c r="X55" s="63" t="e">
        <f t="shared" si="119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47">
        <v>50013908</v>
      </c>
      <c r="B56" s="47" t="s">
        <v>415</v>
      </c>
      <c r="C56" s="50">
        <v>3</v>
      </c>
      <c r="D56" s="50" t="s">
        <v>413</v>
      </c>
      <c r="E56" s="51" t="s">
        <v>303</v>
      </c>
      <c r="F56" s="51" t="s">
        <v>311</v>
      </c>
      <c r="G56" s="63" t="str">
        <f t="shared" ref="G56:G60" si="120">IFERROR(LEFT(B56,FIND("],",B56)),B56)</f>
        <v>[effect:enemy_message, val1:2.0, val2:3.1, dead_type:suicide]</v>
      </c>
      <c r="H56" s="63">
        <f t="shared" si="1"/>
        <v>9</v>
      </c>
      <c r="I56" s="63">
        <f t="shared" ref="I56:I60" si="121">IFERROR(FIND(",",G56),LEN(G56))</f>
        <v>22</v>
      </c>
      <c r="J56" s="63" t="e">
        <f t="shared" ref="J56:J60" si="122">FIND("target:",G56)+7</f>
        <v>#VALUE!</v>
      </c>
      <c r="K56" s="63">
        <f t="shared" ref="K56:K60" si="123">FIND(",",G56,I56+1)</f>
        <v>32</v>
      </c>
      <c r="L56" s="63" t="str">
        <f>IFERROR(VLOOKUP(MID(G56,J56,K56-J56),[5]skilldef!$C:$D,2,FALSE),"-") &amp; " / " &amp; IFERROR(VLOOKUP(MID(G56,H56,I56-H56),[5]skilldef!$A:$B,2,FALSE),"-")</f>
        <v>- / -</v>
      </c>
      <c r="M56" s="63" t="str">
        <f t="shared" ref="M56:M60" si="124">IFERROR(RIGHT(B56,LEN(B56)-FIND("],",B56)-1),"none")</f>
        <v>none</v>
      </c>
      <c r="N56" s="48" t="str">
        <f>IFERROR(LEFT(M56,FIND("],",M56)+S65),M56)</f>
        <v>none</v>
      </c>
      <c r="O56" s="63" t="e">
        <f t="shared" si="6"/>
        <v>#VALUE!</v>
      </c>
      <c r="P56" s="63">
        <f t="shared" ref="P56:P60" si="125">IFERROR(FIND(",",N56),LEN(N56))</f>
        <v>4</v>
      </c>
      <c r="Q56" s="63" t="e">
        <f t="shared" ref="Q56:Q60" si="126">FIND("target:",N56)+7</f>
        <v>#VALUE!</v>
      </c>
      <c r="R56" s="63" t="e">
        <f t="shared" ref="R56:R60" si="127">FIND(",",N56,P56+1)</f>
        <v>#VALUE!</v>
      </c>
      <c r="S56" s="63" t="str">
        <f>IFERROR(VLOOKUP(MID(N56,Q56,R56-Q56),[5]skilldef!$C:$D,2,FALSE),"-") &amp; " / " &amp; IFERROR(VLOOKUP(MID(N56,O56,P56-O56),[5]skilldef!$A:$B,2,FALSE),"-")</f>
        <v>- / -</v>
      </c>
      <c r="T56" s="48" t="str">
        <f t="shared" ref="T56:T60" si="128">IFERROR(RIGHT(M56,LEN(M56)-FIND("],",M56)-1),"none")</f>
        <v>none</v>
      </c>
      <c r="U56" s="63" t="e">
        <f t="shared" si="11"/>
        <v>#VALUE!</v>
      </c>
      <c r="V56" s="63">
        <f t="shared" ref="V56:V60" si="129">IFERROR(FIND(",",T56),LEN(T56))</f>
        <v>4</v>
      </c>
      <c r="W56" s="63" t="e">
        <f t="shared" ref="W56:W60" si="130">FIND("target:",T56)+7</f>
        <v>#VALUE!</v>
      </c>
      <c r="X56" s="63" t="e">
        <f t="shared" ref="X56:X60" si="131">FIND(",",T56,V56+1)</f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109">
        <v>50013991</v>
      </c>
      <c r="B57" s="47" t="s">
        <v>416</v>
      </c>
      <c r="C57" s="50">
        <v>3</v>
      </c>
      <c r="D57" s="50" t="s">
        <v>413</v>
      </c>
      <c r="E57" s="110" t="s">
        <v>349</v>
      </c>
      <c r="F57" s="110" t="s">
        <v>328</v>
      </c>
      <c r="G57" s="63" t="str">
        <f t="shared" si="120"/>
        <v>[effect:enemy_message, val1:2.4, val2:3.2, dead_type:suicide]</v>
      </c>
      <c r="H57" s="63">
        <f t="shared" si="1"/>
        <v>9</v>
      </c>
      <c r="I57" s="63">
        <f t="shared" si="121"/>
        <v>22</v>
      </c>
      <c r="J57" s="63" t="e">
        <f t="shared" si="122"/>
        <v>#VALUE!</v>
      </c>
      <c r="K57" s="63">
        <f t="shared" si="123"/>
        <v>32</v>
      </c>
      <c r="L57" s="63" t="str">
        <f>IFERROR(VLOOKUP(MID(G57,J57,K57-J57),[5]skilldef!$C:$D,2,FALSE),"-") &amp; " / " &amp; IFERROR(VLOOKUP(MID(G57,H57,I57-H57),[5]skilldef!$A:$B,2,FALSE),"-")</f>
        <v>- / -</v>
      </c>
      <c r="M57" s="63" t="str">
        <f t="shared" si="124"/>
        <v>none</v>
      </c>
      <c r="N57" s="48" t="str">
        <f>IFERROR(LEFT(M57,FIND("],",M57)+S71),M57)</f>
        <v>none</v>
      </c>
      <c r="O57" s="63" t="e">
        <f t="shared" si="6"/>
        <v>#VALUE!</v>
      </c>
      <c r="P57" s="63">
        <f t="shared" si="125"/>
        <v>4</v>
      </c>
      <c r="Q57" s="63" t="e">
        <f t="shared" si="126"/>
        <v>#VALUE!</v>
      </c>
      <c r="R57" s="63" t="e">
        <f t="shared" si="127"/>
        <v>#VALUE!</v>
      </c>
      <c r="S57" s="63" t="str">
        <f>IFERROR(VLOOKUP(MID(N57,Q57,R57-Q57),[5]skilldef!$C:$D,2,FALSE),"-") &amp; " / " &amp; IFERROR(VLOOKUP(MID(N57,O57,P57-O57),[5]skilldef!$A:$B,2,FALSE),"-")</f>
        <v>- / -</v>
      </c>
      <c r="T57" s="48" t="str">
        <f t="shared" si="128"/>
        <v>none</v>
      </c>
      <c r="U57" s="63" t="e">
        <f t="shared" si="11"/>
        <v>#VALUE!</v>
      </c>
      <c r="V57" s="63">
        <f t="shared" si="129"/>
        <v>4</v>
      </c>
      <c r="W57" s="63" t="e">
        <f t="shared" si="130"/>
        <v>#VALUE!</v>
      </c>
      <c r="X57" s="63" t="e">
        <f t="shared" si="131"/>
        <v>#VALUE!</v>
      </c>
      <c r="Y57" s="63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109">
        <v>50013992</v>
      </c>
      <c r="B58" s="47" t="s">
        <v>417</v>
      </c>
      <c r="C58" s="50">
        <v>3</v>
      </c>
      <c r="D58" s="50" t="s">
        <v>413</v>
      </c>
      <c r="E58" s="110" t="s">
        <v>327</v>
      </c>
      <c r="F58" s="110" t="s">
        <v>346</v>
      </c>
      <c r="G58" s="63" t="str">
        <f t="shared" si="120"/>
        <v>[effect:enemy_message, val1:1.6, val2:3.3, dead_type:suicide]</v>
      </c>
      <c r="H58" s="63">
        <f t="shared" si="1"/>
        <v>9</v>
      </c>
      <c r="I58" s="63">
        <f t="shared" si="121"/>
        <v>22</v>
      </c>
      <c r="J58" s="63" t="e">
        <f t="shared" si="122"/>
        <v>#VALUE!</v>
      </c>
      <c r="K58" s="63">
        <f t="shared" si="123"/>
        <v>32</v>
      </c>
      <c r="L58" s="63" t="str">
        <f>IFERROR(VLOOKUP(MID(G58,J58,K58-J58),[5]skilldef!$C:$D,2,FALSE),"-") &amp; " / " &amp; IFERROR(VLOOKUP(MID(G58,H58,I58-H58),[5]skilldef!$A:$B,2,FALSE),"-")</f>
        <v>- / -</v>
      </c>
      <c r="M58" s="63" t="str">
        <f t="shared" si="124"/>
        <v>none</v>
      </c>
      <c r="N58" s="48" t="str">
        <f>IFERROR(LEFT(M58,FIND("],",M58)+S71),M58)</f>
        <v>none</v>
      </c>
      <c r="O58" s="63" t="e">
        <f t="shared" si="6"/>
        <v>#VALUE!</v>
      </c>
      <c r="P58" s="63">
        <f t="shared" si="125"/>
        <v>4</v>
      </c>
      <c r="Q58" s="63" t="e">
        <f t="shared" si="126"/>
        <v>#VALUE!</v>
      </c>
      <c r="R58" s="63" t="e">
        <f t="shared" si="127"/>
        <v>#VALUE!</v>
      </c>
      <c r="S58" s="63" t="str">
        <f>IFERROR(VLOOKUP(MID(N58,Q58,R58-Q58),[5]skilldef!$C:$D,2,FALSE),"-") &amp; " / " &amp; IFERROR(VLOOKUP(MID(N58,O58,P58-O58),[5]skilldef!$A:$B,2,FALSE),"-")</f>
        <v>- / -</v>
      </c>
      <c r="T58" s="48" t="str">
        <f t="shared" si="128"/>
        <v>none</v>
      </c>
      <c r="U58" s="63" t="e">
        <f t="shared" si="11"/>
        <v>#VALUE!</v>
      </c>
      <c r="V58" s="63">
        <f t="shared" si="129"/>
        <v>4</v>
      </c>
      <c r="W58" s="63" t="e">
        <f t="shared" si="130"/>
        <v>#VALUE!</v>
      </c>
      <c r="X58" s="63" t="e">
        <f t="shared" si="131"/>
        <v>#VALUE!</v>
      </c>
      <c r="Y58" s="63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109">
        <v>50013993</v>
      </c>
      <c r="B59" s="47" t="s">
        <v>418</v>
      </c>
      <c r="C59" s="50">
        <v>3</v>
      </c>
      <c r="D59" s="50" t="s">
        <v>413</v>
      </c>
      <c r="E59" s="110" t="s">
        <v>329</v>
      </c>
      <c r="F59" s="110" t="s">
        <v>330</v>
      </c>
      <c r="G59" s="63" t="str">
        <f t="shared" si="120"/>
        <v>[effect:enemy_message, val1:1.8, val2:3.2, dead_type:suicide]</v>
      </c>
      <c r="H59" s="63">
        <f t="shared" si="1"/>
        <v>9</v>
      </c>
      <c r="I59" s="63">
        <f t="shared" si="121"/>
        <v>22</v>
      </c>
      <c r="J59" s="63" t="e">
        <f t="shared" si="122"/>
        <v>#VALUE!</v>
      </c>
      <c r="K59" s="63">
        <f t="shared" si="123"/>
        <v>32</v>
      </c>
      <c r="L59" s="63" t="str">
        <f>IFERROR(VLOOKUP(MID(G59,J59,K59-J59),[5]skilldef!$C:$D,2,FALSE),"-") &amp; " / " &amp; IFERROR(VLOOKUP(MID(G59,H59,I59-H59),[5]skilldef!$A:$B,2,FALSE),"-")</f>
        <v>- / -</v>
      </c>
      <c r="M59" s="63" t="str">
        <f t="shared" si="124"/>
        <v>none</v>
      </c>
      <c r="N59" s="48" t="str">
        <f>IFERROR(LEFT(M59,FIND("],",M59)+S72),M59)</f>
        <v>none</v>
      </c>
      <c r="O59" s="63" t="e">
        <f t="shared" si="6"/>
        <v>#VALUE!</v>
      </c>
      <c r="P59" s="63">
        <f t="shared" si="125"/>
        <v>4</v>
      </c>
      <c r="Q59" s="63" t="e">
        <f t="shared" si="126"/>
        <v>#VALUE!</v>
      </c>
      <c r="R59" s="63" t="e">
        <f t="shared" si="127"/>
        <v>#VALUE!</v>
      </c>
      <c r="S59" s="63" t="str">
        <f>IFERROR(VLOOKUP(MID(N59,Q59,R59-Q59),[5]skilldef!$C:$D,2,FALSE),"-") &amp; " / " &amp; IFERROR(VLOOKUP(MID(N59,O59,P59-O59),[5]skilldef!$A:$B,2,FALSE),"-")</f>
        <v>- / -</v>
      </c>
      <c r="T59" s="48" t="str">
        <f t="shared" si="128"/>
        <v>none</v>
      </c>
      <c r="U59" s="63" t="e">
        <f t="shared" si="11"/>
        <v>#VALUE!</v>
      </c>
      <c r="V59" s="63">
        <f t="shared" si="129"/>
        <v>4</v>
      </c>
      <c r="W59" s="63" t="e">
        <f t="shared" si="130"/>
        <v>#VALUE!</v>
      </c>
      <c r="X59" s="63" t="e">
        <f t="shared" si="131"/>
        <v>#VALUE!</v>
      </c>
      <c r="Y59" s="63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109">
        <v>50013994</v>
      </c>
      <c r="B60" s="47" t="s">
        <v>415</v>
      </c>
      <c r="C60" s="50">
        <v>3</v>
      </c>
      <c r="D60" s="50" t="s">
        <v>413</v>
      </c>
      <c r="E60" s="110" t="s">
        <v>331</v>
      </c>
      <c r="F60" s="110" t="s">
        <v>332</v>
      </c>
      <c r="G60" s="63" t="str">
        <f t="shared" si="120"/>
        <v>[effect:enemy_message, val1:2.0, val2:3.1, dead_type:suicide]</v>
      </c>
      <c r="H60" s="63">
        <f t="shared" si="1"/>
        <v>9</v>
      </c>
      <c r="I60" s="63">
        <f t="shared" si="121"/>
        <v>22</v>
      </c>
      <c r="J60" s="63" t="e">
        <f t="shared" si="122"/>
        <v>#VALUE!</v>
      </c>
      <c r="K60" s="63">
        <f t="shared" si="123"/>
        <v>32</v>
      </c>
      <c r="L60" s="63" t="str">
        <f>IFERROR(VLOOKUP(MID(G60,J60,K60-J60),[5]skilldef!$C:$D,2,FALSE),"-") &amp; " / " &amp; IFERROR(VLOOKUP(MID(G60,H60,I60-H60),[5]skilldef!$A:$B,2,FALSE),"-")</f>
        <v>- / -</v>
      </c>
      <c r="M60" s="63" t="str">
        <f t="shared" si="124"/>
        <v>none</v>
      </c>
      <c r="N60" s="48" t="str">
        <f>IFERROR(LEFT(M60,FIND("],",M60)+S73),M60)</f>
        <v>none</v>
      </c>
      <c r="O60" s="63" t="e">
        <f t="shared" si="6"/>
        <v>#VALUE!</v>
      </c>
      <c r="P60" s="63">
        <f t="shared" si="125"/>
        <v>4</v>
      </c>
      <c r="Q60" s="63" t="e">
        <f t="shared" si="126"/>
        <v>#VALUE!</v>
      </c>
      <c r="R60" s="63" t="e">
        <f t="shared" si="127"/>
        <v>#VALUE!</v>
      </c>
      <c r="S60" s="63" t="str">
        <f>IFERROR(VLOOKUP(MID(N60,Q60,R60-Q60),[5]skilldef!$C:$D,2,FALSE),"-") &amp; " / " &amp; IFERROR(VLOOKUP(MID(N60,O60,P60-O60),[5]skilldef!$A:$B,2,FALSE),"-")</f>
        <v>- / -</v>
      </c>
      <c r="T60" s="48" t="str">
        <f t="shared" si="128"/>
        <v>none</v>
      </c>
      <c r="U60" s="63" t="e">
        <f t="shared" si="11"/>
        <v>#VALUE!</v>
      </c>
      <c r="V60" s="63">
        <f t="shared" si="129"/>
        <v>4</v>
      </c>
      <c r="W60" s="63" t="e">
        <f t="shared" si="130"/>
        <v>#VALUE!</v>
      </c>
      <c r="X60" s="63" t="e">
        <f t="shared" si="131"/>
        <v>#VALUE!</v>
      </c>
      <c r="Y60" s="63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2" spans="1:28" ht="21" customHeight="1" x14ac:dyDescent="0.15">
      <c r="E62" s="11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workbookViewId="0">
      <pane ySplit="1" topLeftCell="A2" activePane="bottomLeft" state="frozenSplit"/>
      <selection pane="bottomLeft" activeCell="J17" sqref="J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50013101</v>
      </c>
      <c r="B2" s="47">
        <v>1</v>
      </c>
      <c r="C2" s="47">
        <v>100</v>
      </c>
      <c r="D2" s="47">
        <v>100</v>
      </c>
      <c r="E2" s="47" t="s">
        <v>259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62" si="0">D2</f>
        <v>100</v>
      </c>
    </row>
    <row r="3" spans="1:11" ht="21" customHeight="1" x14ac:dyDescent="0.15">
      <c r="A3" s="47">
        <v>50013102</v>
      </c>
      <c r="B3" s="47">
        <v>0</v>
      </c>
      <c r="C3" s="47">
        <v>50</v>
      </c>
      <c r="D3" s="47">
        <v>100</v>
      </c>
      <c r="E3" s="47" t="s">
        <v>89</v>
      </c>
      <c r="F3" s="47" t="s">
        <v>89</v>
      </c>
      <c r="G3" s="47" t="s">
        <v>260</v>
      </c>
      <c r="H3" s="47" t="s">
        <v>261</v>
      </c>
      <c r="I3" s="47" t="s">
        <v>89</v>
      </c>
      <c r="J3" s="48">
        <f t="shared" si="0"/>
        <v>100</v>
      </c>
    </row>
    <row r="4" spans="1:11" ht="21" customHeight="1" x14ac:dyDescent="0.15">
      <c r="A4" s="47">
        <v>50013103</v>
      </c>
      <c r="B4" s="47">
        <v>1</v>
      </c>
      <c r="C4" s="47">
        <v>100</v>
      </c>
      <c r="D4" s="47">
        <v>100</v>
      </c>
      <c r="E4" s="47" t="s">
        <v>89</v>
      </c>
      <c r="F4" s="47" t="s">
        <v>89</v>
      </c>
      <c r="G4" s="47">
        <v>1</v>
      </c>
      <c r="H4" s="47" t="s">
        <v>261</v>
      </c>
      <c r="I4" s="47" t="s">
        <v>89</v>
      </c>
      <c r="J4" s="48">
        <f t="shared" si="0"/>
        <v>100</v>
      </c>
    </row>
    <row r="5" spans="1:11" ht="21" customHeight="1" x14ac:dyDescent="0.15">
      <c r="A5" s="47">
        <v>50013104</v>
      </c>
      <c r="B5" s="47">
        <v>0</v>
      </c>
      <c r="C5" s="47">
        <v>50</v>
      </c>
      <c r="D5" s="47">
        <v>100</v>
      </c>
      <c r="E5" s="47" t="s">
        <v>89</v>
      </c>
      <c r="F5" s="47" t="s">
        <v>89</v>
      </c>
      <c r="G5" s="47" t="s">
        <v>260</v>
      </c>
      <c r="H5" s="47" t="s">
        <v>261</v>
      </c>
      <c r="I5" s="47" t="s">
        <v>89</v>
      </c>
      <c r="J5" s="48">
        <f t="shared" si="0"/>
        <v>100</v>
      </c>
    </row>
    <row r="6" spans="1:11" ht="21" customHeight="1" x14ac:dyDescent="0.15">
      <c r="A6" s="109">
        <v>50013105</v>
      </c>
      <c r="B6" s="47">
        <v>1</v>
      </c>
      <c r="C6" s="47">
        <v>101</v>
      </c>
      <c r="D6" s="47">
        <v>100</v>
      </c>
      <c r="E6" s="47" t="s">
        <v>88</v>
      </c>
      <c r="F6" s="47" t="s">
        <v>88</v>
      </c>
      <c r="G6" s="47">
        <v>1</v>
      </c>
      <c r="H6" s="47" t="s">
        <v>260</v>
      </c>
      <c r="I6" s="47">
        <v>1260</v>
      </c>
      <c r="J6" s="48">
        <f t="shared" si="0"/>
        <v>100</v>
      </c>
    </row>
    <row r="7" spans="1:11" ht="21" customHeight="1" x14ac:dyDescent="0.15">
      <c r="A7" s="47">
        <v>50013201</v>
      </c>
      <c r="B7" s="47">
        <v>1</v>
      </c>
      <c r="C7" s="47">
        <v>100</v>
      </c>
      <c r="D7" s="47">
        <v>100</v>
      </c>
      <c r="E7" s="47" t="s">
        <v>89</v>
      </c>
      <c r="F7" s="47" t="s">
        <v>89</v>
      </c>
      <c r="G7" s="47">
        <v>1</v>
      </c>
      <c r="H7" s="47" t="s">
        <v>261</v>
      </c>
      <c r="I7" s="47" t="s">
        <v>89</v>
      </c>
      <c r="J7" s="48">
        <f t="shared" si="0"/>
        <v>100</v>
      </c>
    </row>
    <row r="8" spans="1:11" ht="21" customHeight="1" x14ac:dyDescent="0.15">
      <c r="A8" s="47">
        <v>50013202</v>
      </c>
      <c r="B8" s="47">
        <v>0</v>
      </c>
      <c r="C8" s="47">
        <v>50</v>
      </c>
      <c r="D8" s="47">
        <v>100</v>
      </c>
      <c r="E8" s="47" t="s">
        <v>89</v>
      </c>
      <c r="F8" s="47" t="s">
        <v>89</v>
      </c>
      <c r="G8" s="47" t="s">
        <v>260</v>
      </c>
      <c r="H8" s="47" t="s">
        <v>261</v>
      </c>
      <c r="I8" s="47" t="s">
        <v>89</v>
      </c>
      <c r="J8" s="48">
        <f t="shared" si="0"/>
        <v>100</v>
      </c>
    </row>
    <row r="9" spans="1:11" ht="21" customHeight="1" x14ac:dyDescent="0.15">
      <c r="A9" s="47">
        <v>50013203</v>
      </c>
      <c r="B9" s="47">
        <v>0</v>
      </c>
      <c r="C9" s="47">
        <v>60</v>
      </c>
      <c r="D9" s="47">
        <v>100</v>
      </c>
      <c r="E9" s="47" t="s">
        <v>89</v>
      </c>
      <c r="F9" s="47" t="s">
        <v>89</v>
      </c>
      <c r="G9" s="47" t="s">
        <v>260</v>
      </c>
      <c r="H9" s="47">
        <v>3</v>
      </c>
      <c r="I9" s="47" t="s">
        <v>89</v>
      </c>
      <c r="J9" s="48">
        <f t="shared" si="0"/>
        <v>100</v>
      </c>
    </row>
    <row r="10" spans="1:11" ht="21" customHeight="1" x14ac:dyDescent="0.15">
      <c r="A10" s="47">
        <v>50013204</v>
      </c>
      <c r="B10" s="47">
        <v>0</v>
      </c>
      <c r="C10" s="47">
        <v>70</v>
      </c>
      <c r="D10" s="47">
        <v>100</v>
      </c>
      <c r="E10" s="47">
        <v>66</v>
      </c>
      <c r="F10" s="47" t="s">
        <v>89</v>
      </c>
      <c r="G10" s="47">
        <v>1</v>
      </c>
      <c r="H10" s="47">
        <v>1</v>
      </c>
      <c r="I10" s="47" t="s">
        <v>89</v>
      </c>
      <c r="J10" s="48">
        <f t="shared" si="0"/>
        <v>100</v>
      </c>
    </row>
    <row r="11" spans="1:11" ht="21" customHeight="1" x14ac:dyDescent="0.15">
      <c r="A11" s="47">
        <v>50013205</v>
      </c>
      <c r="B11" s="47">
        <v>0</v>
      </c>
      <c r="C11" s="47">
        <v>70</v>
      </c>
      <c r="D11" s="47">
        <v>100</v>
      </c>
      <c r="E11" s="47">
        <v>33</v>
      </c>
      <c r="F11" s="47" t="s">
        <v>89</v>
      </c>
      <c r="G11" s="47">
        <v>1</v>
      </c>
      <c r="H11" s="47">
        <v>1</v>
      </c>
      <c r="I11" s="47" t="s">
        <v>89</v>
      </c>
      <c r="J11" s="48">
        <f t="shared" si="0"/>
        <v>100</v>
      </c>
    </row>
    <row r="12" spans="1:11" ht="21" customHeight="1" x14ac:dyDescent="0.15">
      <c r="A12" s="47">
        <v>50013206</v>
      </c>
      <c r="B12" s="47">
        <v>0</v>
      </c>
      <c r="C12" s="47">
        <v>80</v>
      </c>
      <c r="D12" s="47">
        <v>100</v>
      </c>
      <c r="E12" s="47" t="s">
        <v>89</v>
      </c>
      <c r="F12" s="47" t="s">
        <v>89</v>
      </c>
      <c r="G12" s="47" t="s">
        <v>260</v>
      </c>
      <c r="H12" s="47">
        <v>6</v>
      </c>
      <c r="I12" s="47" t="s">
        <v>89</v>
      </c>
      <c r="J12" s="48">
        <f t="shared" si="0"/>
        <v>100</v>
      </c>
    </row>
    <row r="13" spans="1:11" ht="21" customHeight="1" x14ac:dyDescent="0.15">
      <c r="A13" s="47">
        <v>50013301</v>
      </c>
      <c r="B13" s="47">
        <v>1</v>
      </c>
      <c r="C13" s="47">
        <v>100</v>
      </c>
      <c r="D13" s="47">
        <v>100</v>
      </c>
      <c r="E13" s="47" t="s">
        <v>89</v>
      </c>
      <c r="F13" s="47" t="s">
        <v>89</v>
      </c>
      <c r="G13" s="47">
        <v>1</v>
      </c>
      <c r="H13" s="47" t="s">
        <v>261</v>
      </c>
      <c r="I13" s="47" t="s">
        <v>89</v>
      </c>
      <c r="J13" s="48">
        <f t="shared" si="0"/>
        <v>100</v>
      </c>
    </row>
    <row r="14" spans="1:11" ht="21" customHeight="1" x14ac:dyDescent="0.15">
      <c r="A14" s="47">
        <v>50013302</v>
      </c>
      <c r="B14" s="47">
        <v>0</v>
      </c>
      <c r="C14" s="47">
        <v>90</v>
      </c>
      <c r="D14" s="47">
        <v>100</v>
      </c>
      <c r="E14" s="47" t="s">
        <v>89</v>
      </c>
      <c r="F14" s="47" t="s">
        <v>89</v>
      </c>
      <c r="G14" s="47">
        <v>1</v>
      </c>
      <c r="H14" s="47">
        <v>1</v>
      </c>
      <c r="I14" s="47" t="s">
        <v>89</v>
      </c>
      <c r="J14" s="48">
        <f t="shared" si="0"/>
        <v>100</v>
      </c>
    </row>
    <row r="15" spans="1:11" ht="21" customHeight="1" x14ac:dyDescent="0.15">
      <c r="A15" s="47">
        <v>50013303</v>
      </c>
      <c r="B15" s="47">
        <v>0</v>
      </c>
      <c r="C15" s="47">
        <v>50</v>
      </c>
      <c r="D15" s="47">
        <v>100</v>
      </c>
      <c r="E15" s="47" t="s">
        <v>89</v>
      </c>
      <c r="F15" s="47" t="s">
        <v>89</v>
      </c>
      <c r="G15" s="47">
        <v>2</v>
      </c>
      <c r="H15" s="47" t="s">
        <v>261</v>
      </c>
      <c r="I15" s="47" t="s">
        <v>89</v>
      </c>
      <c r="J15" s="48">
        <f t="shared" si="0"/>
        <v>100</v>
      </c>
    </row>
    <row r="16" spans="1:11" ht="21" customHeight="1" x14ac:dyDescent="0.15">
      <c r="A16" s="47">
        <v>50013304</v>
      </c>
      <c r="B16" s="47">
        <v>0</v>
      </c>
      <c r="C16" s="47">
        <v>50</v>
      </c>
      <c r="D16" s="47">
        <v>100</v>
      </c>
      <c r="E16" s="47" t="s">
        <v>89</v>
      </c>
      <c r="F16" s="47" t="s">
        <v>89</v>
      </c>
      <c r="G16" s="47">
        <v>2</v>
      </c>
      <c r="H16" s="47" t="s">
        <v>261</v>
      </c>
      <c r="I16" s="47" t="s">
        <v>89</v>
      </c>
      <c r="J16" s="48">
        <f t="shared" si="0"/>
        <v>100</v>
      </c>
    </row>
    <row r="17" spans="1:10" ht="21" customHeight="1" x14ac:dyDescent="0.15">
      <c r="A17" s="47">
        <v>50013305</v>
      </c>
      <c r="B17" s="47">
        <v>0</v>
      </c>
      <c r="C17" s="47">
        <v>40</v>
      </c>
      <c r="D17" s="47">
        <v>100</v>
      </c>
      <c r="E17" s="47" t="s">
        <v>89</v>
      </c>
      <c r="F17" s="47" t="s">
        <v>89</v>
      </c>
      <c r="G17" s="47" t="s">
        <v>260</v>
      </c>
      <c r="H17" s="47" t="s">
        <v>261</v>
      </c>
      <c r="I17" s="47" t="s">
        <v>89</v>
      </c>
      <c r="J17" s="48">
        <f t="shared" si="0"/>
        <v>100</v>
      </c>
    </row>
    <row r="18" spans="1:10" ht="21" customHeight="1" x14ac:dyDescent="0.15">
      <c r="A18" s="47">
        <v>50013401</v>
      </c>
      <c r="B18" s="47">
        <v>1</v>
      </c>
      <c r="C18" s="47">
        <v>100</v>
      </c>
      <c r="D18" s="47">
        <v>100</v>
      </c>
      <c r="E18" s="47" t="s">
        <v>89</v>
      </c>
      <c r="F18" s="47" t="s">
        <v>89</v>
      </c>
      <c r="G18" s="47">
        <v>1</v>
      </c>
      <c r="H18" s="47" t="s">
        <v>261</v>
      </c>
      <c r="I18" s="47" t="s">
        <v>89</v>
      </c>
      <c r="J18" s="48">
        <f t="shared" si="0"/>
        <v>100</v>
      </c>
    </row>
    <row r="19" spans="1:10" ht="21" customHeight="1" x14ac:dyDescent="0.15">
      <c r="A19" s="47">
        <v>50013402</v>
      </c>
      <c r="B19" s="47">
        <v>0</v>
      </c>
      <c r="C19" s="47">
        <v>90</v>
      </c>
      <c r="D19" s="47">
        <v>100</v>
      </c>
      <c r="E19" s="47" t="s">
        <v>89</v>
      </c>
      <c r="F19" s="47" t="s">
        <v>89</v>
      </c>
      <c r="G19" s="47">
        <v>1</v>
      </c>
      <c r="H19" s="47">
        <v>1</v>
      </c>
      <c r="I19" s="47" t="s">
        <v>89</v>
      </c>
      <c r="J19" s="48">
        <f t="shared" si="0"/>
        <v>100</v>
      </c>
    </row>
    <row r="20" spans="1:10" ht="21" customHeight="1" x14ac:dyDescent="0.15">
      <c r="A20" s="47">
        <v>50013403</v>
      </c>
      <c r="B20" s="47">
        <v>0</v>
      </c>
      <c r="C20" s="47">
        <v>60</v>
      </c>
      <c r="D20" s="47">
        <v>100</v>
      </c>
      <c r="E20" s="47" t="s">
        <v>89</v>
      </c>
      <c r="F20" s="47" t="s">
        <v>89</v>
      </c>
      <c r="G20" s="47" t="s">
        <v>260</v>
      </c>
      <c r="H20" s="47">
        <v>2</v>
      </c>
      <c r="I20" s="47" t="s">
        <v>89</v>
      </c>
      <c r="J20" s="48">
        <f t="shared" si="0"/>
        <v>100</v>
      </c>
    </row>
    <row r="21" spans="1:10" ht="21" customHeight="1" x14ac:dyDescent="0.15">
      <c r="A21" s="47">
        <v>50013404</v>
      </c>
      <c r="B21" s="47">
        <v>0</v>
      </c>
      <c r="C21" s="47">
        <v>50</v>
      </c>
      <c r="D21" s="47">
        <v>100</v>
      </c>
      <c r="E21" s="47" t="s">
        <v>89</v>
      </c>
      <c r="F21" s="47" t="s">
        <v>89</v>
      </c>
      <c r="G21" s="47" t="s">
        <v>260</v>
      </c>
      <c r="H21" s="47">
        <v>1</v>
      </c>
      <c r="I21" s="47" t="s">
        <v>89</v>
      </c>
      <c r="J21" s="48">
        <f t="shared" si="0"/>
        <v>100</v>
      </c>
    </row>
    <row r="22" spans="1:10" ht="21" customHeight="1" x14ac:dyDescent="0.15">
      <c r="A22" s="47">
        <v>50013405</v>
      </c>
      <c r="B22" s="47">
        <v>0</v>
      </c>
      <c r="C22" s="47">
        <v>70</v>
      </c>
      <c r="D22" s="47">
        <v>100</v>
      </c>
      <c r="E22" s="47" t="s">
        <v>89</v>
      </c>
      <c r="F22" s="47" t="s">
        <v>89</v>
      </c>
      <c r="G22" s="47">
        <v>1</v>
      </c>
      <c r="H22" s="47">
        <v>5</v>
      </c>
      <c r="I22" s="47" t="s">
        <v>89</v>
      </c>
      <c r="J22" s="48">
        <f t="shared" si="0"/>
        <v>100</v>
      </c>
    </row>
    <row r="23" spans="1:10" ht="21" customHeight="1" x14ac:dyDescent="0.15">
      <c r="A23" s="47">
        <v>50013501</v>
      </c>
      <c r="B23" s="47">
        <v>1</v>
      </c>
      <c r="C23" s="47">
        <v>100</v>
      </c>
      <c r="D23" s="47">
        <v>100</v>
      </c>
      <c r="E23" s="47" t="s">
        <v>89</v>
      </c>
      <c r="F23" s="47" t="s">
        <v>89</v>
      </c>
      <c r="G23" s="47">
        <v>1</v>
      </c>
      <c r="H23" s="47" t="s">
        <v>261</v>
      </c>
      <c r="I23" s="47" t="s">
        <v>89</v>
      </c>
      <c r="J23" s="48">
        <f t="shared" si="0"/>
        <v>100</v>
      </c>
    </row>
    <row r="24" spans="1:10" ht="21" customHeight="1" x14ac:dyDescent="0.15">
      <c r="A24" s="47">
        <v>50013502</v>
      </c>
      <c r="B24" s="47">
        <v>0</v>
      </c>
      <c r="C24" s="47">
        <v>90</v>
      </c>
      <c r="D24" s="47">
        <v>100</v>
      </c>
      <c r="E24" s="47" t="s">
        <v>89</v>
      </c>
      <c r="F24" s="47" t="s">
        <v>89</v>
      </c>
      <c r="G24" s="47">
        <v>1</v>
      </c>
      <c r="H24" s="47">
        <v>1</v>
      </c>
      <c r="I24" s="47" t="s">
        <v>89</v>
      </c>
      <c r="J24" s="48">
        <f t="shared" si="0"/>
        <v>100</v>
      </c>
    </row>
    <row r="25" spans="1:10" ht="21" customHeight="1" x14ac:dyDescent="0.15">
      <c r="A25" s="47">
        <v>50013503</v>
      </c>
      <c r="B25" s="47">
        <v>0</v>
      </c>
      <c r="C25" s="47">
        <v>50</v>
      </c>
      <c r="D25" s="47">
        <v>100</v>
      </c>
      <c r="E25" s="47" t="s">
        <v>89</v>
      </c>
      <c r="F25" s="47" t="s">
        <v>89</v>
      </c>
      <c r="G25" s="47" t="s">
        <v>260</v>
      </c>
      <c r="H25" s="47">
        <v>1</v>
      </c>
      <c r="I25" s="47" t="s">
        <v>89</v>
      </c>
      <c r="J25" s="48">
        <f t="shared" si="0"/>
        <v>100</v>
      </c>
    </row>
    <row r="26" spans="1:10" ht="21" customHeight="1" x14ac:dyDescent="0.15">
      <c r="A26" s="47">
        <v>50013504</v>
      </c>
      <c r="B26" s="47">
        <v>0</v>
      </c>
      <c r="C26" s="47">
        <v>50</v>
      </c>
      <c r="D26" s="47">
        <v>100</v>
      </c>
      <c r="E26" s="47" t="s">
        <v>89</v>
      </c>
      <c r="F26" s="47" t="s">
        <v>89</v>
      </c>
      <c r="G26" s="47" t="s">
        <v>260</v>
      </c>
      <c r="H26" s="47">
        <v>1</v>
      </c>
      <c r="I26" s="47" t="s">
        <v>89</v>
      </c>
      <c r="J26" s="48">
        <f t="shared" si="0"/>
        <v>100</v>
      </c>
    </row>
    <row r="27" spans="1:10" ht="21" customHeight="1" x14ac:dyDescent="0.15">
      <c r="A27" s="47">
        <v>50013505</v>
      </c>
      <c r="B27" s="47">
        <v>0</v>
      </c>
      <c r="C27" s="47">
        <v>60</v>
      </c>
      <c r="D27" s="47">
        <v>100</v>
      </c>
      <c r="E27" s="47" t="s">
        <v>89</v>
      </c>
      <c r="F27" s="47" t="s">
        <v>89</v>
      </c>
      <c r="G27" s="47" t="s">
        <v>260</v>
      </c>
      <c r="H27" s="47">
        <v>3</v>
      </c>
      <c r="I27" s="47" t="s">
        <v>89</v>
      </c>
      <c r="J27" s="48">
        <f t="shared" si="0"/>
        <v>100</v>
      </c>
    </row>
    <row r="28" spans="1:10" ht="21" customHeight="1" x14ac:dyDescent="0.15">
      <c r="A28" s="47">
        <v>50013506</v>
      </c>
      <c r="B28" s="47">
        <v>0</v>
      </c>
      <c r="C28" s="47">
        <v>70</v>
      </c>
      <c r="D28" s="47">
        <v>100</v>
      </c>
      <c r="E28" s="47">
        <v>50</v>
      </c>
      <c r="F28" s="47" t="s">
        <v>89</v>
      </c>
      <c r="G28" s="47">
        <v>1</v>
      </c>
      <c r="H28" s="47">
        <v>1</v>
      </c>
      <c r="I28" s="47" t="s">
        <v>89</v>
      </c>
      <c r="J28" s="48">
        <f t="shared" si="0"/>
        <v>100</v>
      </c>
    </row>
    <row r="29" spans="1:10" ht="21" customHeight="1" x14ac:dyDescent="0.15">
      <c r="A29" s="47">
        <v>50013601</v>
      </c>
      <c r="B29" s="47">
        <v>1</v>
      </c>
      <c r="C29" s="47">
        <v>100</v>
      </c>
      <c r="D29" s="47">
        <v>100</v>
      </c>
      <c r="E29" s="47" t="s">
        <v>89</v>
      </c>
      <c r="F29" s="47" t="s">
        <v>89</v>
      </c>
      <c r="G29" s="47">
        <v>1</v>
      </c>
      <c r="H29" s="47" t="s">
        <v>261</v>
      </c>
      <c r="I29" s="47" t="s">
        <v>89</v>
      </c>
      <c r="J29" s="48">
        <f t="shared" si="0"/>
        <v>100</v>
      </c>
    </row>
    <row r="30" spans="1:10" ht="21" customHeight="1" x14ac:dyDescent="0.15">
      <c r="A30" s="47">
        <v>50013602</v>
      </c>
      <c r="B30" s="47">
        <v>0</v>
      </c>
      <c r="C30" s="47">
        <v>50</v>
      </c>
      <c r="D30" s="47">
        <v>100</v>
      </c>
      <c r="E30" s="47" t="s">
        <v>89</v>
      </c>
      <c r="F30" s="47" t="s">
        <v>89</v>
      </c>
      <c r="G30" s="47">
        <v>1</v>
      </c>
      <c r="H30" s="47" t="s">
        <v>261</v>
      </c>
      <c r="I30" s="47" t="s">
        <v>89</v>
      </c>
      <c r="J30" s="48">
        <f t="shared" si="0"/>
        <v>100</v>
      </c>
    </row>
    <row r="31" spans="1:10" ht="21" customHeight="1" x14ac:dyDescent="0.15">
      <c r="A31" s="47">
        <v>50013603</v>
      </c>
      <c r="B31" s="47">
        <v>0</v>
      </c>
      <c r="C31" s="47">
        <v>49</v>
      </c>
      <c r="D31" s="47">
        <v>100</v>
      </c>
      <c r="E31" s="47" t="s">
        <v>89</v>
      </c>
      <c r="F31" s="47" t="s">
        <v>89</v>
      </c>
      <c r="G31" s="47">
        <v>1</v>
      </c>
      <c r="H31" s="47" t="s">
        <v>261</v>
      </c>
      <c r="I31" s="47" t="s">
        <v>89</v>
      </c>
      <c r="J31" s="48">
        <f t="shared" si="0"/>
        <v>100</v>
      </c>
    </row>
    <row r="32" spans="1:10" ht="21" customHeight="1" x14ac:dyDescent="0.15">
      <c r="A32" s="47">
        <v>50013604</v>
      </c>
      <c r="B32" s="47">
        <v>0</v>
      </c>
      <c r="C32" s="47">
        <v>48</v>
      </c>
      <c r="D32" s="47">
        <v>100</v>
      </c>
      <c r="E32" s="47" t="s">
        <v>89</v>
      </c>
      <c r="F32" s="47" t="s">
        <v>89</v>
      </c>
      <c r="G32" s="47">
        <v>1</v>
      </c>
      <c r="H32" s="47" t="s">
        <v>261</v>
      </c>
      <c r="I32" s="47" t="s">
        <v>89</v>
      </c>
      <c r="J32" s="48">
        <f t="shared" si="0"/>
        <v>100</v>
      </c>
    </row>
    <row r="33" spans="1:10" ht="21" customHeight="1" x14ac:dyDescent="0.15">
      <c r="A33" s="47">
        <v>50013605</v>
      </c>
      <c r="B33" s="47">
        <v>0</v>
      </c>
      <c r="C33" s="47">
        <v>47</v>
      </c>
      <c r="D33" s="47">
        <v>100</v>
      </c>
      <c r="E33" s="47" t="s">
        <v>89</v>
      </c>
      <c r="F33" s="47" t="s">
        <v>89</v>
      </c>
      <c r="G33" s="47">
        <v>1</v>
      </c>
      <c r="H33" s="47" t="s">
        <v>261</v>
      </c>
      <c r="I33" s="47" t="s">
        <v>89</v>
      </c>
      <c r="J33" s="48">
        <f t="shared" si="0"/>
        <v>100</v>
      </c>
    </row>
    <row r="34" spans="1:10" ht="21" customHeight="1" x14ac:dyDescent="0.15">
      <c r="A34" s="47">
        <v>50013606</v>
      </c>
      <c r="B34" s="47">
        <v>0</v>
      </c>
      <c r="C34" s="47">
        <v>46</v>
      </c>
      <c r="D34" s="47">
        <v>100</v>
      </c>
      <c r="E34" s="47" t="s">
        <v>89</v>
      </c>
      <c r="F34" s="47" t="s">
        <v>89</v>
      </c>
      <c r="G34" s="47" t="s">
        <v>260</v>
      </c>
      <c r="H34" s="47" t="s">
        <v>261</v>
      </c>
      <c r="I34" s="47" t="s">
        <v>89</v>
      </c>
      <c r="J34" s="48">
        <f t="shared" si="0"/>
        <v>100</v>
      </c>
    </row>
    <row r="35" spans="1:10" ht="21" customHeight="1" x14ac:dyDescent="0.15">
      <c r="A35" s="47">
        <v>50013701</v>
      </c>
      <c r="B35" s="47">
        <v>1</v>
      </c>
      <c r="C35" s="47">
        <v>100</v>
      </c>
      <c r="D35" s="47">
        <v>100</v>
      </c>
      <c r="E35" s="47" t="s">
        <v>89</v>
      </c>
      <c r="F35" s="47" t="s">
        <v>89</v>
      </c>
      <c r="G35" s="47">
        <v>1</v>
      </c>
      <c r="H35" s="47" t="s">
        <v>261</v>
      </c>
      <c r="I35" s="47" t="s">
        <v>89</v>
      </c>
      <c r="J35" s="48">
        <f t="shared" si="0"/>
        <v>100</v>
      </c>
    </row>
    <row r="36" spans="1:10" ht="21" customHeight="1" x14ac:dyDescent="0.15">
      <c r="A36" s="109">
        <v>50013791</v>
      </c>
      <c r="B36" s="47">
        <v>1</v>
      </c>
      <c r="C36" s="47">
        <v>104</v>
      </c>
      <c r="D36" s="47">
        <v>100</v>
      </c>
      <c r="E36" s="47" t="s">
        <v>89</v>
      </c>
      <c r="F36" s="47" t="s">
        <v>89</v>
      </c>
      <c r="G36" s="47">
        <v>1</v>
      </c>
      <c r="H36" s="47" t="s">
        <v>260</v>
      </c>
      <c r="I36" s="47">
        <v>1260</v>
      </c>
      <c r="J36" s="48">
        <f t="shared" ref="J36:J39" si="1">D36</f>
        <v>100</v>
      </c>
    </row>
    <row r="37" spans="1:10" ht="21" customHeight="1" x14ac:dyDescent="0.15">
      <c r="A37" s="109">
        <v>50013792</v>
      </c>
      <c r="B37" s="47">
        <v>1</v>
      </c>
      <c r="C37" s="47">
        <v>103</v>
      </c>
      <c r="D37" s="47">
        <v>100</v>
      </c>
      <c r="E37" s="47" t="s">
        <v>89</v>
      </c>
      <c r="F37" s="47" t="s">
        <v>89</v>
      </c>
      <c r="G37" s="47">
        <v>1</v>
      </c>
      <c r="H37" s="47" t="s">
        <v>260</v>
      </c>
      <c r="I37" s="47">
        <v>1242</v>
      </c>
      <c r="J37" s="48">
        <f t="shared" si="1"/>
        <v>100</v>
      </c>
    </row>
    <row r="38" spans="1:10" ht="21" customHeight="1" x14ac:dyDescent="0.15">
      <c r="A38" s="109">
        <v>50013793</v>
      </c>
      <c r="B38" s="47">
        <v>1</v>
      </c>
      <c r="C38" s="47">
        <v>102</v>
      </c>
      <c r="D38" s="47">
        <v>100</v>
      </c>
      <c r="E38" s="47" t="s">
        <v>89</v>
      </c>
      <c r="F38" s="47" t="s">
        <v>89</v>
      </c>
      <c r="G38" s="47">
        <v>1</v>
      </c>
      <c r="H38" s="47" t="s">
        <v>260</v>
      </c>
      <c r="I38" s="47">
        <v>1065</v>
      </c>
      <c r="J38" s="48">
        <f t="shared" si="1"/>
        <v>100</v>
      </c>
    </row>
    <row r="39" spans="1:10" ht="21" customHeight="1" x14ac:dyDescent="0.15">
      <c r="A39" s="109">
        <v>50013794</v>
      </c>
      <c r="B39" s="47">
        <v>1</v>
      </c>
      <c r="C39" s="47">
        <v>101</v>
      </c>
      <c r="D39" s="47">
        <v>100</v>
      </c>
      <c r="E39" s="47" t="s">
        <v>89</v>
      </c>
      <c r="F39" s="47" t="s">
        <v>89</v>
      </c>
      <c r="G39" s="47">
        <v>1</v>
      </c>
      <c r="H39" s="47" t="s">
        <v>260</v>
      </c>
      <c r="I39" s="47">
        <v>726</v>
      </c>
      <c r="J39" s="48">
        <f t="shared" si="1"/>
        <v>100</v>
      </c>
    </row>
    <row r="40" spans="1:10" ht="21" customHeight="1" x14ac:dyDescent="0.15">
      <c r="A40" s="47">
        <v>50013702</v>
      </c>
      <c r="B40" s="47">
        <v>0</v>
      </c>
      <c r="C40" s="47">
        <v>50</v>
      </c>
      <c r="D40" s="47">
        <v>100</v>
      </c>
      <c r="E40" s="47" t="s">
        <v>89</v>
      </c>
      <c r="F40" s="47" t="s">
        <v>89</v>
      </c>
      <c r="G40" s="47" t="s">
        <v>260</v>
      </c>
      <c r="H40" s="47">
        <v>1</v>
      </c>
      <c r="I40" s="47" t="s">
        <v>89</v>
      </c>
      <c r="J40" s="48">
        <f t="shared" si="0"/>
        <v>100</v>
      </c>
    </row>
    <row r="41" spans="1:10" ht="21" customHeight="1" x14ac:dyDescent="0.15">
      <c r="A41" s="47">
        <v>50013703</v>
      </c>
      <c r="B41" s="47">
        <v>0</v>
      </c>
      <c r="C41" s="47">
        <v>60</v>
      </c>
      <c r="D41" s="47">
        <v>100</v>
      </c>
      <c r="E41" s="47" t="s">
        <v>89</v>
      </c>
      <c r="F41" s="47" t="s">
        <v>89</v>
      </c>
      <c r="G41" s="47" t="s">
        <v>260</v>
      </c>
      <c r="H41" s="47">
        <v>2</v>
      </c>
      <c r="I41" s="47" t="s">
        <v>89</v>
      </c>
      <c r="J41" s="48">
        <f t="shared" si="0"/>
        <v>100</v>
      </c>
    </row>
    <row r="42" spans="1:10" ht="21" customHeight="1" x14ac:dyDescent="0.15">
      <c r="A42" s="47">
        <v>50013704</v>
      </c>
      <c r="B42" s="47">
        <v>0</v>
      </c>
      <c r="C42" s="47">
        <v>70</v>
      </c>
      <c r="D42" s="47">
        <v>100</v>
      </c>
      <c r="E42" s="47">
        <v>75</v>
      </c>
      <c r="F42" s="47" t="s">
        <v>89</v>
      </c>
      <c r="G42" s="47">
        <v>1</v>
      </c>
      <c r="H42" s="47">
        <v>1</v>
      </c>
      <c r="I42" s="47" t="s">
        <v>89</v>
      </c>
      <c r="J42" s="48">
        <f t="shared" si="0"/>
        <v>100</v>
      </c>
    </row>
    <row r="43" spans="1:10" ht="21" customHeight="1" x14ac:dyDescent="0.15">
      <c r="A43" s="47">
        <v>50013705</v>
      </c>
      <c r="B43" s="47">
        <v>0</v>
      </c>
      <c r="C43" s="47">
        <v>69</v>
      </c>
      <c r="D43" s="47">
        <v>100</v>
      </c>
      <c r="E43" s="47">
        <v>50</v>
      </c>
      <c r="F43" s="47" t="s">
        <v>89</v>
      </c>
      <c r="G43" s="47">
        <v>1</v>
      </c>
      <c r="H43" s="47">
        <v>1</v>
      </c>
      <c r="I43" s="47" t="s">
        <v>89</v>
      </c>
      <c r="J43" s="48">
        <f t="shared" si="0"/>
        <v>100</v>
      </c>
    </row>
    <row r="44" spans="1:10" ht="21" customHeight="1" x14ac:dyDescent="0.15">
      <c r="A44" s="47">
        <v>50013706</v>
      </c>
      <c r="B44" s="47">
        <v>0</v>
      </c>
      <c r="C44" s="47">
        <v>68</v>
      </c>
      <c r="D44" s="47">
        <v>100</v>
      </c>
      <c r="E44" s="47">
        <v>25</v>
      </c>
      <c r="F44" s="47" t="s">
        <v>89</v>
      </c>
      <c r="G44" s="47">
        <v>1</v>
      </c>
      <c r="H44" s="47">
        <v>1</v>
      </c>
      <c r="I44" s="47" t="s">
        <v>89</v>
      </c>
      <c r="J44" s="48">
        <f t="shared" si="0"/>
        <v>100</v>
      </c>
    </row>
    <row r="45" spans="1:10" ht="21" customHeight="1" x14ac:dyDescent="0.15">
      <c r="A45" s="47">
        <v>50013707</v>
      </c>
      <c r="B45" s="47">
        <v>0</v>
      </c>
      <c r="C45" s="47">
        <v>80</v>
      </c>
      <c r="D45" s="47">
        <v>100</v>
      </c>
      <c r="E45" s="47" t="s">
        <v>89</v>
      </c>
      <c r="F45" s="47" t="s">
        <v>89</v>
      </c>
      <c r="G45" s="47">
        <v>1</v>
      </c>
      <c r="H45" s="47">
        <v>1</v>
      </c>
      <c r="I45" s="47" t="s">
        <v>89</v>
      </c>
      <c r="J45" s="48">
        <f t="shared" ref="J45" si="2">D45</f>
        <v>100</v>
      </c>
    </row>
    <row r="46" spans="1:10" ht="21" customHeight="1" x14ac:dyDescent="0.15">
      <c r="A46" s="47">
        <v>50013801</v>
      </c>
      <c r="B46" s="47">
        <v>1</v>
      </c>
      <c r="C46" s="47">
        <v>100</v>
      </c>
      <c r="D46" s="47">
        <v>100</v>
      </c>
      <c r="E46" s="47" t="s">
        <v>89</v>
      </c>
      <c r="F46" s="47" t="s">
        <v>89</v>
      </c>
      <c r="G46" s="47">
        <v>1</v>
      </c>
      <c r="H46" s="47" t="s">
        <v>261</v>
      </c>
      <c r="I46" s="47" t="s">
        <v>89</v>
      </c>
      <c r="J46" s="48">
        <f t="shared" si="0"/>
        <v>100</v>
      </c>
    </row>
    <row r="47" spans="1:10" ht="21" customHeight="1" x14ac:dyDescent="0.15">
      <c r="A47" s="47">
        <v>50013802</v>
      </c>
      <c r="B47" s="47">
        <v>0</v>
      </c>
      <c r="C47" s="47">
        <v>50</v>
      </c>
      <c r="D47" s="47">
        <v>100</v>
      </c>
      <c r="E47" s="47" t="s">
        <v>89</v>
      </c>
      <c r="F47" s="47" t="s">
        <v>89</v>
      </c>
      <c r="G47" s="47" t="s">
        <v>260</v>
      </c>
      <c r="H47" s="47" t="s">
        <v>261</v>
      </c>
      <c r="I47" s="47" t="s">
        <v>89</v>
      </c>
      <c r="J47" s="48">
        <f t="shared" si="0"/>
        <v>100</v>
      </c>
    </row>
    <row r="48" spans="1:10" ht="21" customHeight="1" x14ac:dyDescent="0.15">
      <c r="A48" s="47">
        <v>50013803</v>
      </c>
      <c r="B48" s="47">
        <v>0</v>
      </c>
      <c r="C48" s="47">
        <v>70</v>
      </c>
      <c r="D48" s="47">
        <v>100</v>
      </c>
      <c r="E48" s="47">
        <v>50</v>
      </c>
      <c r="F48" s="47" t="s">
        <v>89</v>
      </c>
      <c r="G48" s="47">
        <v>1</v>
      </c>
      <c r="H48" s="47" t="s">
        <v>261</v>
      </c>
      <c r="I48" s="47" t="s">
        <v>89</v>
      </c>
      <c r="J48" s="48">
        <f t="shared" si="0"/>
        <v>100</v>
      </c>
    </row>
    <row r="49" spans="1:10" ht="21" customHeight="1" x14ac:dyDescent="0.15">
      <c r="A49" s="47">
        <v>50013804</v>
      </c>
      <c r="B49" s="47">
        <v>0</v>
      </c>
      <c r="C49" s="47">
        <v>60</v>
      </c>
      <c r="D49" s="47">
        <v>100</v>
      </c>
      <c r="E49" s="47">
        <v>50</v>
      </c>
      <c r="F49" s="47" t="s">
        <v>89</v>
      </c>
      <c r="G49" s="47" t="s">
        <v>260</v>
      </c>
      <c r="H49" s="47" t="s">
        <v>261</v>
      </c>
      <c r="I49" s="47" t="s">
        <v>89</v>
      </c>
      <c r="J49" s="48">
        <f t="shared" si="0"/>
        <v>100</v>
      </c>
    </row>
    <row r="50" spans="1:10" ht="21" customHeight="1" x14ac:dyDescent="0.15">
      <c r="A50" s="47">
        <v>50013805</v>
      </c>
      <c r="B50" s="47">
        <v>0</v>
      </c>
      <c r="C50" s="47">
        <v>80</v>
      </c>
      <c r="D50" s="47">
        <v>100</v>
      </c>
      <c r="E50" s="47" t="s">
        <v>89</v>
      </c>
      <c r="F50" s="47" t="s">
        <v>89</v>
      </c>
      <c r="G50" s="47" t="s">
        <v>260</v>
      </c>
      <c r="H50" s="47">
        <v>6</v>
      </c>
      <c r="I50" s="47" t="s">
        <v>89</v>
      </c>
      <c r="J50" s="48">
        <f t="shared" si="0"/>
        <v>100</v>
      </c>
    </row>
    <row r="51" spans="1:10" ht="21" customHeight="1" x14ac:dyDescent="0.15">
      <c r="A51" s="47">
        <v>50013901</v>
      </c>
      <c r="B51" s="47">
        <v>1</v>
      </c>
      <c r="C51" s="47">
        <v>100</v>
      </c>
      <c r="D51" s="47">
        <v>100</v>
      </c>
      <c r="E51" s="47" t="s">
        <v>89</v>
      </c>
      <c r="F51" s="47" t="s">
        <v>89</v>
      </c>
      <c r="G51" s="47">
        <v>1</v>
      </c>
      <c r="H51" s="47" t="s">
        <v>261</v>
      </c>
      <c r="I51" s="47" t="s">
        <v>89</v>
      </c>
      <c r="J51" s="48">
        <f t="shared" si="0"/>
        <v>100</v>
      </c>
    </row>
    <row r="52" spans="1:10" ht="21" customHeight="1" x14ac:dyDescent="0.15">
      <c r="A52" s="47">
        <v>50013902</v>
      </c>
      <c r="B52" s="47">
        <v>0</v>
      </c>
      <c r="C52" s="47">
        <v>50</v>
      </c>
      <c r="D52" s="47">
        <v>100</v>
      </c>
      <c r="E52" s="47" t="s">
        <v>89</v>
      </c>
      <c r="F52" s="47" t="s">
        <v>89</v>
      </c>
      <c r="G52" s="47">
        <v>1</v>
      </c>
      <c r="H52" s="47" t="s">
        <v>261</v>
      </c>
      <c r="I52" s="47" t="s">
        <v>89</v>
      </c>
      <c r="J52" s="48">
        <f t="shared" si="0"/>
        <v>100</v>
      </c>
    </row>
    <row r="53" spans="1:10" ht="21" customHeight="1" x14ac:dyDescent="0.15">
      <c r="A53" s="47">
        <v>50013903</v>
      </c>
      <c r="B53" s="47">
        <v>0</v>
      </c>
      <c r="C53" s="47">
        <v>49</v>
      </c>
      <c r="D53" s="47">
        <v>100</v>
      </c>
      <c r="E53" s="47" t="s">
        <v>89</v>
      </c>
      <c r="F53" s="47" t="s">
        <v>89</v>
      </c>
      <c r="G53" s="47">
        <v>1</v>
      </c>
      <c r="H53" s="47" t="s">
        <v>261</v>
      </c>
      <c r="I53" s="47" t="s">
        <v>89</v>
      </c>
      <c r="J53" s="48">
        <f t="shared" si="0"/>
        <v>100</v>
      </c>
    </row>
    <row r="54" spans="1:10" ht="21" customHeight="1" x14ac:dyDescent="0.15">
      <c r="A54" s="47">
        <v>50013904</v>
      </c>
      <c r="B54" s="47">
        <v>0</v>
      </c>
      <c r="C54" s="47">
        <v>48</v>
      </c>
      <c r="D54" s="47">
        <v>100</v>
      </c>
      <c r="E54" s="47" t="s">
        <v>89</v>
      </c>
      <c r="F54" s="47" t="s">
        <v>89</v>
      </c>
      <c r="G54" s="47">
        <v>1</v>
      </c>
      <c r="H54" s="47" t="s">
        <v>261</v>
      </c>
      <c r="I54" s="47" t="s">
        <v>89</v>
      </c>
      <c r="J54" s="48">
        <f t="shared" si="0"/>
        <v>100</v>
      </c>
    </row>
    <row r="55" spans="1:10" ht="21" customHeight="1" x14ac:dyDescent="0.15">
      <c r="A55" s="47">
        <v>50013905</v>
      </c>
      <c r="B55" s="47">
        <v>0</v>
      </c>
      <c r="C55" s="47">
        <v>47</v>
      </c>
      <c r="D55" s="47">
        <v>100</v>
      </c>
      <c r="E55" s="47" t="s">
        <v>89</v>
      </c>
      <c r="F55" s="47" t="s">
        <v>89</v>
      </c>
      <c r="G55" s="47">
        <v>1</v>
      </c>
      <c r="H55" s="47" t="s">
        <v>261</v>
      </c>
      <c r="I55" s="47" t="s">
        <v>89</v>
      </c>
      <c r="J55" s="48">
        <f t="shared" si="0"/>
        <v>100</v>
      </c>
    </row>
    <row r="56" spans="1:10" ht="21" customHeight="1" x14ac:dyDescent="0.15">
      <c r="A56" s="47">
        <v>50013906</v>
      </c>
      <c r="B56" s="47">
        <v>0</v>
      </c>
      <c r="C56" s="47">
        <v>46</v>
      </c>
      <c r="D56" s="47">
        <v>100</v>
      </c>
      <c r="E56" s="47" t="s">
        <v>89</v>
      </c>
      <c r="F56" s="47" t="s">
        <v>89</v>
      </c>
      <c r="G56" s="47" t="s">
        <v>260</v>
      </c>
      <c r="H56" s="47" t="s">
        <v>261</v>
      </c>
      <c r="I56" s="47" t="s">
        <v>89</v>
      </c>
      <c r="J56" s="48">
        <f t="shared" si="0"/>
        <v>100</v>
      </c>
    </row>
    <row r="57" spans="1:10" ht="21" customHeight="1" x14ac:dyDescent="0.15">
      <c r="A57" s="47">
        <v>50013907</v>
      </c>
      <c r="B57" s="47">
        <v>0</v>
      </c>
      <c r="C57" s="47">
        <v>60</v>
      </c>
      <c r="D57" s="47">
        <v>100</v>
      </c>
      <c r="E57" s="47">
        <v>95</v>
      </c>
      <c r="F57" s="47" t="s">
        <v>89</v>
      </c>
      <c r="G57" s="47" t="s">
        <v>260</v>
      </c>
      <c r="H57" s="47" t="s">
        <v>261</v>
      </c>
      <c r="I57" s="47" t="s">
        <v>89</v>
      </c>
      <c r="J57" s="48">
        <f t="shared" si="0"/>
        <v>100</v>
      </c>
    </row>
    <row r="58" spans="1:10" ht="21" customHeight="1" x14ac:dyDescent="0.15">
      <c r="A58" s="47">
        <v>50013908</v>
      </c>
      <c r="B58" s="47">
        <v>0</v>
      </c>
      <c r="C58" s="47">
        <v>100</v>
      </c>
      <c r="D58" s="47">
        <v>100</v>
      </c>
      <c r="E58" s="47" t="s">
        <v>89</v>
      </c>
      <c r="F58" s="47" t="s">
        <v>89</v>
      </c>
      <c r="G58" s="47">
        <v>0</v>
      </c>
      <c r="H58" s="47" t="s">
        <v>261</v>
      </c>
      <c r="I58" s="47">
        <v>0</v>
      </c>
      <c r="J58" s="48">
        <f t="shared" si="0"/>
        <v>100</v>
      </c>
    </row>
    <row r="59" spans="1:10" ht="21" customHeight="1" x14ac:dyDescent="0.15">
      <c r="A59" s="109">
        <v>50013991</v>
      </c>
      <c r="B59" s="47">
        <v>0</v>
      </c>
      <c r="C59" s="47">
        <v>140</v>
      </c>
      <c r="D59" s="47">
        <v>100</v>
      </c>
      <c r="E59" s="47" t="s">
        <v>89</v>
      </c>
      <c r="F59" s="47" t="s">
        <v>89</v>
      </c>
      <c r="G59" s="47">
        <v>0</v>
      </c>
      <c r="H59" s="47" t="s">
        <v>260</v>
      </c>
      <c r="I59" s="47">
        <v>1260</v>
      </c>
      <c r="J59" s="48">
        <f t="shared" si="0"/>
        <v>100</v>
      </c>
    </row>
    <row r="60" spans="1:10" ht="21" customHeight="1" x14ac:dyDescent="0.15">
      <c r="A60" s="109">
        <v>50013992</v>
      </c>
      <c r="B60" s="47">
        <v>0</v>
      </c>
      <c r="C60" s="47">
        <v>130</v>
      </c>
      <c r="D60" s="47">
        <v>100</v>
      </c>
      <c r="E60" s="47" t="s">
        <v>89</v>
      </c>
      <c r="F60" s="47" t="s">
        <v>89</v>
      </c>
      <c r="G60" s="47">
        <v>0</v>
      </c>
      <c r="H60" s="47" t="s">
        <v>260</v>
      </c>
      <c r="I60" s="47">
        <v>1242</v>
      </c>
      <c r="J60" s="48">
        <f t="shared" si="0"/>
        <v>100</v>
      </c>
    </row>
    <row r="61" spans="1:10" ht="21" customHeight="1" x14ac:dyDescent="0.15">
      <c r="A61" s="109">
        <v>50013993</v>
      </c>
      <c r="B61" s="47">
        <v>0</v>
      </c>
      <c r="C61" s="47">
        <v>120</v>
      </c>
      <c r="D61" s="47">
        <v>100</v>
      </c>
      <c r="E61" s="47" t="s">
        <v>89</v>
      </c>
      <c r="F61" s="47" t="s">
        <v>89</v>
      </c>
      <c r="G61" s="47">
        <v>0</v>
      </c>
      <c r="H61" s="47" t="s">
        <v>260</v>
      </c>
      <c r="I61" s="47">
        <v>1065</v>
      </c>
      <c r="J61" s="48">
        <f t="shared" si="0"/>
        <v>100</v>
      </c>
    </row>
    <row r="62" spans="1:10" ht="21" customHeight="1" x14ac:dyDescent="0.15">
      <c r="A62" s="109">
        <v>50013994</v>
      </c>
      <c r="B62" s="47">
        <v>0</v>
      </c>
      <c r="C62" s="47">
        <v>110</v>
      </c>
      <c r="D62" s="47">
        <v>100</v>
      </c>
      <c r="E62" s="47" t="s">
        <v>89</v>
      </c>
      <c r="F62" s="47" t="s">
        <v>89</v>
      </c>
      <c r="G62" s="47">
        <v>0</v>
      </c>
      <c r="H62" s="47" t="s">
        <v>260</v>
      </c>
      <c r="I62" s="47">
        <v>726</v>
      </c>
      <c r="J62" s="48">
        <f t="shared" si="0"/>
        <v>100</v>
      </c>
    </row>
    <row r="63" spans="1:10" ht="21" customHeight="1" x14ac:dyDescent="0.15">
      <c r="A63" s="109">
        <v>50013995</v>
      </c>
      <c r="B63" s="47">
        <v>0</v>
      </c>
      <c r="C63" s="47">
        <v>141</v>
      </c>
      <c r="D63" s="47">
        <v>100</v>
      </c>
      <c r="E63" s="47" t="s">
        <v>89</v>
      </c>
      <c r="F63" s="47" t="s">
        <v>89</v>
      </c>
      <c r="G63" s="47">
        <v>0</v>
      </c>
      <c r="H63" s="47" t="s">
        <v>260</v>
      </c>
      <c r="I63" s="47">
        <v>1261</v>
      </c>
      <c r="J63" s="48">
        <f t="shared" ref="J63:J66" si="3">D63</f>
        <v>100</v>
      </c>
    </row>
    <row r="64" spans="1:10" ht="21" customHeight="1" x14ac:dyDescent="0.15">
      <c r="A64" s="109">
        <v>50013996</v>
      </c>
      <c r="B64" s="47">
        <v>0</v>
      </c>
      <c r="C64" s="47">
        <v>131</v>
      </c>
      <c r="D64" s="47">
        <v>100</v>
      </c>
      <c r="E64" s="47" t="s">
        <v>89</v>
      </c>
      <c r="F64" s="47" t="s">
        <v>89</v>
      </c>
      <c r="G64" s="47">
        <v>0</v>
      </c>
      <c r="H64" s="47" t="s">
        <v>260</v>
      </c>
      <c r="I64" s="47">
        <v>1243</v>
      </c>
      <c r="J64" s="48">
        <f t="shared" si="3"/>
        <v>100</v>
      </c>
    </row>
    <row r="65" spans="1:10" ht="21" customHeight="1" x14ac:dyDescent="0.15">
      <c r="A65" s="109">
        <v>50013997</v>
      </c>
      <c r="B65" s="47">
        <v>0</v>
      </c>
      <c r="C65" s="47">
        <v>121</v>
      </c>
      <c r="D65" s="47">
        <v>100</v>
      </c>
      <c r="E65" s="47" t="s">
        <v>89</v>
      </c>
      <c r="F65" s="47" t="s">
        <v>89</v>
      </c>
      <c r="G65" s="47">
        <v>0</v>
      </c>
      <c r="H65" s="47" t="s">
        <v>260</v>
      </c>
      <c r="I65" s="47">
        <v>1066</v>
      </c>
      <c r="J65" s="48">
        <f t="shared" si="3"/>
        <v>100</v>
      </c>
    </row>
    <row r="66" spans="1:10" ht="21" customHeight="1" x14ac:dyDescent="0.15">
      <c r="A66" s="109">
        <v>50013998</v>
      </c>
      <c r="B66" s="47">
        <v>0</v>
      </c>
      <c r="C66" s="47">
        <v>111</v>
      </c>
      <c r="D66" s="47">
        <v>100</v>
      </c>
      <c r="E66" s="47" t="s">
        <v>89</v>
      </c>
      <c r="F66" s="47" t="s">
        <v>89</v>
      </c>
      <c r="G66" s="47">
        <v>0</v>
      </c>
      <c r="H66" s="47" t="s">
        <v>260</v>
      </c>
      <c r="I66" s="47">
        <v>727</v>
      </c>
      <c r="J66" s="48">
        <f t="shared" si="3"/>
        <v>100</v>
      </c>
    </row>
    <row r="67" spans="1:10" ht="21" customHeight="1" x14ac:dyDescent="0.15">
      <c r="A67" s="109">
        <v>50013999</v>
      </c>
      <c r="B67" s="47">
        <v>0</v>
      </c>
      <c r="C67" s="47">
        <v>112</v>
      </c>
      <c r="D67" s="47">
        <v>100</v>
      </c>
      <c r="E67" s="47" t="s">
        <v>88</v>
      </c>
      <c r="F67" s="47" t="s">
        <v>88</v>
      </c>
      <c r="G67" s="47">
        <v>0</v>
      </c>
      <c r="H67" s="47" t="s">
        <v>260</v>
      </c>
      <c r="I67" s="47">
        <v>1273</v>
      </c>
      <c r="J67" s="48">
        <f t="shared" ref="J67" si="4">D67</f>
        <v>100</v>
      </c>
    </row>
  </sheetData>
  <autoFilter ref="A1:G1"/>
  <phoneticPr fontId="5"/>
  <conditionalFormatting sqref="K40:K44 K1:K5 K46:K62 K7:K35 K68:K1048576">
    <cfRule type="duplicateValues" dxfId="4" priority="5"/>
  </conditionalFormatting>
  <conditionalFormatting sqref="K36:K39">
    <cfRule type="duplicateValues" dxfId="3" priority="4"/>
  </conditionalFormatting>
  <conditionalFormatting sqref="K45">
    <cfRule type="duplicateValues" dxfId="2" priority="3"/>
  </conditionalFormatting>
  <conditionalFormatting sqref="K6">
    <cfRule type="duplicateValues" dxfId="1" priority="2"/>
  </conditionalFormatting>
  <conditionalFormatting sqref="K63:K6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I22" sqref="I2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floors!$C$2</f>
        <v>50013</v>
      </c>
      <c r="B2" s="57">
        <v>1</v>
      </c>
      <c r="C2" s="70" t="str">
        <f>A2&amp; "_"&amp;B2</f>
        <v>50013_1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65000</v>
      </c>
      <c r="H2" s="57" t="s">
        <v>450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169</v>
      </c>
      <c r="R2" s="57" t="s">
        <v>170</v>
      </c>
    </row>
    <row r="3" spans="1:18" x14ac:dyDescent="0.15">
      <c r="A3" s="57">
        <f>floors!$C$2</f>
        <v>50013</v>
      </c>
      <c r="B3" s="57">
        <v>1</v>
      </c>
      <c r="C3" s="70" t="str">
        <f t="shared" ref="C3:C12" si="0">A3&amp; "_"&amp;B3</f>
        <v>50013_1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265</v>
      </c>
      <c r="G3" s="57">
        <v>339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169</v>
      </c>
      <c r="R3" s="57" t="s">
        <v>170</v>
      </c>
    </row>
    <row r="4" spans="1:18" x14ac:dyDescent="0.15">
      <c r="A4" s="57">
        <f>floors!$C$2</f>
        <v>50013</v>
      </c>
      <c r="B4" s="57">
        <v>1</v>
      </c>
      <c r="C4" s="70" t="str">
        <f t="shared" si="0"/>
        <v>50013_1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265</v>
      </c>
      <c r="G4" s="57">
        <v>351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169</v>
      </c>
      <c r="R4" s="57" t="s">
        <v>170</v>
      </c>
    </row>
    <row r="5" spans="1:18" x14ac:dyDescent="0.15">
      <c r="A5" s="57">
        <f>floors!$C$2</f>
        <v>50013</v>
      </c>
      <c r="B5" s="57">
        <v>1</v>
      </c>
      <c r="C5" s="70" t="str">
        <f t="shared" si="0"/>
        <v>50013_1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265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169</v>
      </c>
      <c r="R5" s="57" t="s">
        <v>170</v>
      </c>
    </row>
    <row r="6" spans="1:18" x14ac:dyDescent="0.15">
      <c r="A6" s="57">
        <f>floors!$C$2</f>
        <v>50013</v>
      </c>
      <c r="B6" s="57">
        <v>1</v>
      </c>
      <c r="C6" s="70" t="str">
        <f t="shared" si="0"/>
        <v>50013_1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265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169</v>
      </c>
      <c r="R6" s="57" t="s">
        <v>170</v>
      </c>
    </row>
    <row r="7" spans="1:18" x14ac:dyDescent="0.15">
      <c r="A7" s="57">
        <f>floors!$C$2</f>
        <v>50013</v>
      </c>
      <c r="B7" s="57">
        <v>1</v>
      </c>
      <c r="C7" s="70" t="str">
        <f t="shared" si="0"/>
        <v>50013_1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265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169</v>
      </c>
      <c r="R7" s="57" t="s">
        <v>170</v>
      </c>
    </row>
    <row r="8" spans="1:18" x14ac:dyDescent="0.15">
      <c r="A8" s="57">
        <f>floors!$C$2</f>
        <v>50013</v>
      </c>
      <c r="B8" s="57">
        <v>1</v>
      </c>
      <c r="C8" s="70" t="str">
        <f t="shared" si="0"/>
        <v>50013_1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265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169</v>
      </c>
      <c r="R8" s="57" t="s">
        <v>170</v>
      </c>
    </row>
    <row r="9" spans="1:18" x14ac:dyDescent="0.15">
      <c r="A9" s="57">
        <f>floors!$C$2</f>
        <v>50013</v>
      </c>
      <c r="B9" s="57">
        <v>1</v>
      </c>
      <c r="C9" s="70" t="str">
        <f t="shared" si="0"/>
        <v>50013_1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265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169</v>
      </c>
      <c r="R9" s="57" t="s">
        <v>170</v>
      </c>
    </row>
    <row r="10" spans="1:18" x14ac:dyDescent="0.15">
      <c r="A10" s="57">
        <f>floors!$C$2</f>
        <v>50013</v>
      </c>
      <c r="B10" s="57">
        <v>1</v>
      </c>
      <c r="C10" s="70" t="str">
        <f t="shared" si="0"/>
        <v>50013_1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265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169</v>
      </c>
      <c r="R10" s="57" t="s">
        <v>170</v>
      </c>
    </row>
    <row r="11" spans="1:18" x14ac:dyDescent="0.15">
      <c r="A11" s="57">
        <f>floors!$C$2</f>
        <v>50013</v>
      </c>
      <c r="B11" s="57">
        <v>1</v>
      </c>
      <c r="C11" s="70" t="str">
        <f t="shared" si="0"/>
        <v>50013_1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265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169</v>
      </c>
      <c r="R11" s="57" t="s">
        <v>170</v>
      </c>
    </row>
    <row r="12" spans="1:18" x14ac:dyDescent="0.15">
      <c r="A12" s="57">
        <f>floors!$C$2</f>
        <v>50013</v>
      </c>
      <c r="B12" s="57">
        <v>1</v>
      </c>
      <c r="C12" s="70" t="str">
        <f t="shared" si="0"/>
        <v>50013_1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265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169</v>
      </c>
      <c r="R12" s="57" t="s">
        <v>170</v>
      </c>
    </row>
    <row r="13" spans="1:18" x14ac:dyDescent="0.15">
      <c r="A13" s="57">
        <f>floors!$C$2</f>
        <v>50013</v>
      </c>
      <c r="B13" s="57">
        <v>1</v>
      </c>
      <c r="C13" s="70" t="str">
        <f t="shared" ref="C13:C15" si="1">A13&amp; "_"&amp;B13</f>
        <v>50013_1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265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169</v>
      </c>
      <c r="R13" s="57" t="s">
        <v>170</v>
      </c>
    </row>
    <row r="14" spans="1:18" x14ac:dyDescent="0.15">
      <c r="A14" s="57">
        <f>floors!$C$2</f>
        <v>50013</v>
      </c>
      <c r="B14" s="57">
        <v>1</v>
      </c>
      <c r="C14" s="70" t="str">
        <f t="shared" si="1"/>
        <v>50013_1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265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169</v>
      </c>
      <c r="R14" s="57" t="s">
        <v>170</v>
      </c>
    </row>
    <row r="15" spans="1:18" x14ac:dyDescent="0.15">
      <c r="A15" s="57">
        <f>floors!$C$2</f>
        <v>50013</v>
      </c>
      <c r="B15" s="57">
        <v>1</v>
      </c>
      <c r="C15" s="70" t="str">
        <f t="shared" si="1"/>
        <v>50013_1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265</v>
      </c>
      <c r="G15" s="57">
        <v>1258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169</v>
      </c>
      <c r="R15" s="57" t="s">
        <v>170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8" sqref="H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126</v>
      </c>
      <c r="K1" s="77" t="s">
        <v>186</v>
      </c>
      <c r="L1" s="91" t="s">
        <v>185</v>
      </c>
      <c r="M1" s="79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4"/>
  <sheetViews>
    <sheetView showGridLines="0" workbookViewId="0">
      <pane ySplit="1" topLeftCell="A2" activePane="bottomLeft" state="frozen"/>
      <selection pane="bottomLeft" activeCell="M8" sqref="M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188</v>
      </c>
      <c r="B1" s="72" t="s">
        <v>150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126</v>
      </c>
      <c r="L1" s="77" t="s">
        <v>186</v>
      </c>
      <c r="M1" s="91" t="s">
        <v>185</v>
      </c>
      <c r="N1" s="79" t="s">
        <v>196</v>
      </c>
    </row>
    <row r="2" spans="1:15" ht="70" x14ac:dyDescent="0.15">
      <c r="A2" s="80" t="s">
        <v>197</v>
      </c>
      <c r="B2" s="81">
        <f>floors!$C$2</f>
        <v>50013</v>
      </c>
      <c r="C2" s="82" t="str">
        <f ca="1">VLOOKUP($B2,OFFSET([2]quests!$A$1,0,0,COUNTA([2]quests!$A:$A),MATCH(C$1,[2]quests!$1:$1,0)-MATCH($B$1,[2]quests!$1:$1,0)+1),MATCH(C$1,[2]quests!$1:$1,0)-MATCH($B$1,[2]quests!$1:$1,0)+1,FALSE)</f>
        <v>ロキ襲来！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超降臨12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超降臨12</v>
      </c>
      <c r="H2" s="84">
        <v>2</v>
      </c>
      <c r="I2" s="89">
        <f>ROW()-1</f>
        <v>1</v>
      </c>
      <c r="J2" s="85" t="str">
        <f>B2&amp;TEXT(I2,"00")</f>
        <v>5001301</v>
      </c>
      <c r="K2" s="83" t="s">
        <v>198</v>
      </c>
      <c r="L2" s="86" t="s">
        <v>254</v>
      </c>
      <c r="M2" s="108" t="s">
        <v>309</v>
      </c>
      <c r="N2" s="57" t="s">
        <v>199</v>
      </c>
      <c r="O2">
        <f>LEN(M2)</f>
        <v>60</v>
      </c>
    </row>
    <row r="3" spans="1:15" ht="70" x14ac:dyDescent="0.15">
      <c r="A3" s="80" t="s">
        <v>197</v>
      </c>
      <c r="B3" s="81">
        <f>floors!$C$2</f>
        <v>50013</v>
      </c>
      <c r="C3" s="82" t="str">
        <f ca="1">VLOOKUP($B3,OFFSET([2]quests!$A$1,0,0,COUNTA([2]quests!$A:$A),MATCH(C$1,[2]quests!$1:$1,0)-MATCH($B$1,[2]quests!$1:$1,0)+1),MATCH(C$1,[2]quests!$1:$1,0)-MATCH($B$1,[2]quests!$1:$1,0)+1,FALSE)</f>
        <v>ロキ襲来！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超降臨12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超降臨12</v>
      </c>
      <c r="H3" s="84">
        <v>3</v>
      </c>
      <c r="I3" s="89">
        <f>ROW()-1</f>
        <v>2</v>
      </c>
      <c r="J3" s="85" t="str">
        <f>B3&amp;TEXT(I3,"00")</f>
        <v>5001302</v>
      </c>
      <c r="K3" s="83" t="s">
        <v>198</v>
      </c>
      <c r="L3" s="86" t="s">
        <v>254</v>
      </c>
      <c r="M3" s="108" t="s">
        <v>317</v>
      </c>
      <c r="N3" s="57" t="s">
        <v>199</v>
      </c>
      <c r="O3">
        <f t="shared" ref="O3:O14" si="0">LEN(M3)</f>
        <v>62</v>
      </c>
    </row>
    <row r="4" spans="1:15" ht="56" x14ac:dyDescent="0.15">
      <c r="A4" s="80" t="s">
        <v>197</v>
      </c>
      <c r="B4" s="81">
        <f>floors!$C$2</f>
        <v>50013</v>
      </c>
      <c r="C4" s="82" t="str">
        <f ca="1">VLOOKUP($B4,OFFSET([2]quests!$A$1,0,0,COUNTA([2]quests!$A:$A),MATCH(C$1,[2]quests!$1:$1,0)-MATCH($B$1,[2]quests!$1:$1,0)+1),MATCH(C$1,[2]quests!$1:$1,0)-MATCH($B$1,[2]quests!$1:$1,0)+1,FALSE)</f>
        <v>ロキ襲来！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超降臨12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超降臨12</v>
      </c>
      <c r="H4" s="84">
        <v>3</v>
      </c>
      <c r="I4" s="89">
        <f>ROW()-1</f>
        <v>3</v>
      </c>
      <c r="J4" s="85" t="str">
        <f>B4&amp;TEXT(I4,"00")</f>
        <v>5001303</v>
      </c>
      <c r="K4" s="83" t="s">
        <v>127</v>
      </c>
      <c r="L4" s="86" t="s">
        <v>254</v>
      </c>
      <c r="M4" s="108" t="s">
        <v>318</v>
      </c>
      <c r="N4" s="57" t="s">
        <v>199</v>
      </c>
      <c r="O4">
        <f t="shared" ref="O4:O5" si="1">LEN(M4)</f>
        <v>53</v>
      </c>
    </row>
    <row r="5" spans="1:15" ht="70" x14ac:dyDescent="0.15">
      <c r="A5" s="80" t="s">
        <v>197</v>
      </c>
      <c r="B5" s="81">
        <f>floors!$C$2</f>
        <v>50013</v>
      </c>
      <c r="C5" s="82" t="str">
        <f ca="1">VLOOKUP($B5,OFFSET([2]quests!$A$1,0,0,COUNTA([2]quests!$A:$A),MATCH(C$1,[2]quests!$1:$1,0)-MATCH($B$1,[2]quests!$1:$1,0)+1),MATCH(C$1,[2]quests!$1:$1,0)-MATCH($B$1,[2]quests!$1:$1,0)+1,FALSE)</f>
        <v>ロキ襲来！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超降臨12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超降臨12</v>
      </c>
      <c r="H5" s="84">
        <v>4</v>
      </c>
      <c r="I5" s="89">
        <f t="shared" ref="I5:I14" si="2">ROW()-1</f>
        <v>4</v>
      </c>
      <c r="J5" s="85" t="str">
        <f t="shared" ref="J5" si="3">B5&amp;TEXT(I5,"00")</f>
        <v>5001304</v>
      </c>
      <c r="K5" s="83" t="s">
        <v>127</v>
      </c>
      <c r="L5" s="86" t="s">
        <v>254</v>
      </c>
      <c r="M5" s="108" t="s">
        <v>320</v>
      </c>
      <c r="N5" s="57" t="s">
        <v>199</v>
      </c>
      <c r="O5">
        <f t="shared" si="1"/>
        <v>63</v>
      </c>
    </row>
    <row r="6" spans="1:15" ht="70" x14ac:dyDescent="0.15">
      <c r="A6" s="80" t="s">
        <v>197</v>
      </c>
      <c r="B6" s="81">
        <f>floors!$C$2</f>
        <v>50013</v>
      </c>
      <c r="C6" s="82" t="str">
        <f ca="1">VLOOKUP($B6,OFFSET([2]quests!$A$1,0,0,COUNTA([2]quests!$A:$A),MATCH(C$1,[2]quests!$1:$1,0)-MATCH($B$1,[2]quests!$1:$1,0)+1),MATCH(C$1,[2]quests!$1:$1,0)-MATCH($B$1,[2]quests!$1:$1,0)+1,FALSE)</f>
        <v>ロキ襲来！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超降臨12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超降臨12</v>
      </c>
      <c r="H6" s="84">
        <v>4</v>
      </c>
      <c r="I6" s="89">
        <f t="shared" si="2"/>
        <v>5</v>
      </c>
      <c r="J6" s="85" t="str">
        <f t="shared" ref="J6" si="4">B6&amp;TEXT(I6,"00")</f>
        <v>5001305</v>
      </c>
      <c r="K6" s="83" t="s">
        <v>127</v>
      </c>
      <c r="L6" s="86" t="s">
        <v>254</v>
      </c>
      <c r="M6" s="108" t="s">
        <v>321</v>
      </c>
      <c r="N6" s="57" t="s">
        <v>199</v>
      </c>
      <c r="O6">
        <f t="shared" ref="O6" si="5">LEN(M6)</f>
        <v>63</v>
      </c>
    </row>
    <row r="7" spans="1:15" ht="70" x14ac:dyDescent="0.15">
      <c r="A7" s="80" t="s">
        <v>197</v>
      </c>
      <c r="B7" s="81">
        <f>floors!$C$2</f>
        <v>50013</v>
      </c>
      <c r="C7" s="82" t="str">
        <f ca="1">VLOOKUP($B7,OFFSET([2]quests!$A$1,0,0,COUNTA([2]quests!$A:$A),MATCH(C$1,[2]quests!$1:$1,0)-MATCH($B$1,[2]quests!$1:$1,0)+1),MATCH(C$1,[2]quests!$1:$1,0)-MATCH($B$1,[2]quests!$1:$1,0)+1,FALSE)</f>
        <v>ロキ襲来！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超降臨12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超降臨12</v>
      </c>
      <c r="H7" s="84">
        <v>4</v>
      </c>
      <c r="I7" s="89">
        <f t="shared" si="2"/>
        <v>6</v>
      </c>
      <c r="J7" s="85" t="str">
        <f t="shared" ref="J7:J8" si="6">B7&amp;TEXT(I7,"00")</f>
        <v>5001306</v>
      </c>
      <c r="K7" s="83" t="s">
        <v>198</v>
      </c>
      <c r="L7" s="86" t="s">
        <v>254</v>
      </c>
      <c r="M7" s="108" t="s">
        <v>319</v>
      </c>
      <c r="N7" s="57" t="s">
        <v>199</v>
      </c>
      <c r="O7">
        <f t="shared" si="0"/>
        <v>63</v>
      </c>
    </row>
    <row r="8" spans="1:15" ht="70" x14ac:dyDescent="0.15">
      <c r="A8" s="80" t="s">
        <v>197</v>
      </c>
      <c r="B8" s="81">
        <f>floors!$C$2</f>
        <v>50013</v>
      </c>
      <c r="C8" s="82" t="str">
        <f ca="1">VLOOKUP($B8,OFFSET([2]quests!$A$1,0,0,COUNTA([2]quests!$A:$A),MATCH(C$1,[2]quests!$1:$1,0)-MATCH($B$1,[2]quests!$1:$1,0)+1),MATCH(C$1,[2]quests!$1:$1,0)-MATCH($B$1,[2]quests!$1:$1,0)+1,FALSE)</f>
        <v>ロキ襲来！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超降臨12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超降臨12</v>
      </c>
      <c r="H8" s="84">
        <v>5</v>
      </c>
      <c r="I8" s="89">
        <f t="shared" si="2"/>
        <v>7</v>
      </c>
      <c r="J8" s="85" t="str">
        <f t="shared" si="6"/>
        <v>5001307</v>
      </c>
      <c r="K8" s="83" t="s">
        <v>198</v>
      </c>
      <c r="L8" s="86" t="s">
        <v>254</v>
      </c>
      <c r="M8" s="108" t="s">
        <v>336</v>
      </c>
      <c r="N8" s="57" t="s">
        <v>199</v>
      </c>
      <c r="O8">
        <f t="shared" si="0"/>
        <v>63</v>
      </c>
    </row>
    <row r="9" spans="1:15" ht="70" x14ac:dyDescent="0.15">
      <c r="A9" s="80" t="s">
        <v>197</v>
      </c>
      <c r="B9" s="81">
        <f>floors!$C$2</f>
        <v>50013</v>
      </c>
      <c r="C9" s="82" t="str">
        <f ca="1">VLOOKUP($B9,OFFSET([2]quests!$A$1,0,0,COUNTA([2]quests!$A:$A),MATCH(C$1,[2]quests!$1:$1,0)-MATCH($B$1,[2]quests!$1:$1,0)+1),MATCH(C$1,[2]quests!$1:$1,0)-MATCH($B$1,[2]quests!$1:$1,0)+1,FALSE)</f>
        <v>ロキ襲来！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超降臨12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超降臨12</v>
      </c>
      <c r="H9" s="84">
        <v>5</v>
      </c>
      <c r="I9" s="89">
        <f t="shared" si="2"/>
        <v>8</v>
      </c>
      <c r="J9" s="85" t="str">
        <f t="shared" ref="J9" si="7">B9&amp;TEXT(I9,"00")</f>
        <v>5001308</v>
      </c>
      <c r="K9" s="83" t="s">
        <v>127</v>
      </c>
      <c r="L9" s="86" t="s">
        <v>254</v>
      </c>
      <c r="M9" s="108" t="s">
        <v>354</v>
      </c>
      <c r="N9" s="57" t="s">
        <v>199</v>
      </c>
      <c r="O9">
        <f t="shared" ref="O9" si="8">LEN(M9)</f>
        <v>54</v>
      </c>
    </row>
    <row r="10" spans="1:15" ht="70" x14ac:dyDescent="0.15">
      <c r="A10" s="80" t="s">
        <v>197</v>
      </c>
      <c r="B10" s="81">
        <f>floors!$C$2</f>
        <v>50013</v>
      </c>
      <c r="C10" s="82" t="str">
        <f ca="1">VLOOKUP($B10,OFFSET([2]quests!$A$1,0,0,COUNTA([2]quests!$A:$A),MATCH(C$1,[2]quests!$1:$1,0)-MATCH($B$1,[2]quests!$1:$1,0)+1),MATCH(C$1,[2]quests!$1:$1,0)-MATCH($B$1,[2]quests!$1:$1,0)+1,FALSE)</f>
        <v>ロキ襲来！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超降臨12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超降臨12</v>
      </c>
      <c r="H10" s="84">
        <v>5</v>
      </c>
      <c r="I10" s="89">
        <f t="shared" si="2"/>
        <v>9</v>
      </c>
      <c r="J10" s="85" t="str">
        <f t="shared" ref="J10" si="9">B10&amp;TEXT(I10,"00")</f>
        <v>5001309</v>
      </c>
      <c r="K10" s="83" t="s">
        <v>127</v>
      </c>
      <c r="L10" s="86" t="s">
        <v>254</v>
      </c>
      <c r="M10" s="108" t="s">
        <v>355</v>
      </c>
      <c r="N10" s="57" t="s">
        <v>199</v>
      </c>
      <c r="O10">
        <f t="shared" ref="O10" si="10">LEN(M10)</f>
        <v>61</v>
      </c>
    </row>
    <row r="11" spans="1:15" ht="56" x14ac:dyDescent="0.15">
      <c r="A11" s="80" t="s">
        <v>200</v>
      </c>
      <c r="B11" s="81">
        <f>floors!$C$2</f>
        <v>50013</v>
      </c>
      <c r="C11" s="82" t="str">
        <f ca="1">VLOOKUP($B11,OFFSET([2]quests!$A$1,0,0,COUNTA([2]quests!$A:$A),MATCH(C$1,[2]quests!$1:$1,0)-MATCH($B$1,[2]quests!$1:$1,0)+1),MATCH(C$1,[2]quests!$1:$1,0)-MATCH($B$1,[2]quests!$1:$1,0)+1,FALSE)</f>
        <v>ロキ襲来！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超降臨12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超降臨12</v>
      </c>
      <c r="H11" s="84">
        <v>0</v>
      </c>
      <c r="I11" s="89">
        <f t="shared" si="2"/>
        <v>10</v>
      </c>
      <c r="J11" s="85" t="str">
        <f t="shared" ref="J11" si="11">B11&amp;TEXT(I11,"00")</f>
        <v>5001310</v>
      </c>
      <c r="K11" s="83" t="s">
        <v>198</v>
      </c>
      <c r="L11" s="86" t="s">
        <v>338</v>
      </c>
      <c r="M11" s="108" t="s">
        <v>337</v>
      </c>
      <c r="N11" s="57" t="s">
        <v>199</v>
      </c>
      <c r="O11">
        <f t="shared" si="0"/>
        <v>59</v>
      </c>
    </row>
    <row r="12" spans="1:15" ht="70" x14ac:dyDescent="0.15">
      <c r="A12" s="80" t="s">
        <v>200</v>
      </c>
      <c r="B12" s="81">
        <f>floors!$C$2</f>
        <v>50013</v>
      </c>
      <c r="C12" s="82" t="str">
        <f ca="1">VLOOKUP($B12,OFFSET([2]quests!$A$1,0,0,COUNTA([2]quests!$A:$A),MATCH(C$1,[2]quests!$1:$1,0)-MATCH($B$1,[2]quests!$1:$1,0)+1),MATCH(C$1,[2]quests!$1:$1,0)-MATCH($B$1,[2]quests!$1:$1,0)+1,FALSE)</f>
        <v>ロキ襲来！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超降臨12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超降臨12</v>
      </c>
      <c r="H12" s="84">
        <v>0</v>
      </c>
      <c r="I12" s="89">
        <f t="shared" si="2"/>
        <v>11</v>
      </c>
      <c r="J12" s="85" t="str">
        <f t="shared" ref="J12:J14" si="12">B12&amp;TEXT(I12,"00")</f>
        <v>5001311</v>
      </c>
      <c r="K12" s="83" t="s">
        <v>198</v>
      </c>
      <c r="L12" s="86" t="s">
        <v>339</v>
      </c>
      <c r="M12" s="108" t="s">
        <v>340</v>
      </c>
      <c r="N12" s="57" t="s">
        <v>199</v>
      </c>
      <c r="O12">
        <f t="shared" si="0"/>
        <v>60</v>
      </c>
    </row>
    <row r="13" spans="1:15" ht="56" x14ac:dyDescent="0.15">
      <c r="A13" s="80" t="s">
        <v>200</v>
      </c>
      <c r="B13" s="81">
        <f>floors!$C$2</f>
        <v>50013</v>
      </c>
      <c r="C13" s="82" t="str">
        <f ca="1">VLOOKUP($B13,OFFSET([2]quests!$A$1,0,0,COUNTA([2]quests!$A:$A),MATCH(C$1,[2]quests!$1:$1,0)-MATCH($B$1,[2]quests!$1:$1,0)+1),MATCH(C$1,[2]quests!$1:$1,0)-MATCH($B$1,[2]quests!$1:$1,0)+1,FALSE)</f>
        <v>ロキ襲来！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超降臨12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超降臨12</v>
      </c>
      <c r="H13" s="84">
        <v>0</v>
      </c>
      <c r="I13" s="89">
        <f t="shared" si="2"/>
        <v>12</v>
      </c>
      <c r="J13" s="85" t="str">
        <f t="shared" si="12"/>
        <v>5001312</v>
      </c>
      <c r="K13" s="83" t="s">
        <v>198</v>
      </c>
      <c r="L13" s="86" t="s">
        <v>343</v>
      </c>
      <c r="M13" s="108" t="s">
        <v>342</v>
      </c>
      <c r="N13" s="57" t="s">
        <v>199</v>
      </c>
      <c r="O13">
        <f t="shared" si="0"/>
        <v>57</v>
      </c>
    </row>
    <row r="14" spans="1:15" ht="56" x14ac:dyDescent="0.15">
      <c r="A14" s="80" t="s">
        <v>200</v>
      </c>
      <c r="B14" s="81">
        <f>floors!$C$2</f>
        <v>50013</v>
      </c>
      <c r="C14" s="82" t="str">
        <f ca="1">VLOOKUP($B14,OFFSET([2]quests!$A$1,0,0,COUNTA([2]quests!$A:$A),MATCH(C$1,[2]quests!$1:$1,0)-MATCH($B$1,[2]quests!$1:$1,0)+1),MATCH(C$1,[2]quests!$1:$1,0)-MATCH($B$1,[2]quests!$1:$1,0)+1,FALSE)</f>
        <v>ロキ襲来！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超降臨12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超降臨12</v>
      </c>
      <c r="H14" s="84">
        <v>0</v>
      </c>
      <c r="I14" s="89">
        <f t="shared" si="2"/>
        <v>13</v>
      </c>
      <c r="J14" s="85" t="str">
        <f t="shared" si="12"/>
        <v>5001313</v>
      </c>
      <c r="K14" s="83" t="s">
        <v>198</v>
      </c>
      <c r="L14" s="86" t="s">
        <v>345</v>
      </c>
      <c r="M14" s="108" t="s">
        <v>344</v>
      </c>
      <c r="N14" s="57" t="s">
        <v>199</v>
      </c>
      <c r="O14">
        <f t="shared" si="0"/>
        <v>62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K17" sqref="K1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212</v>
      </c>
      <c r="B1" s="94" t="s">
        <v>213</v>
      </c>
      <c r="C1" s="76" t="s">
        <v>214</v>
      </c>
      <c r="D1" s="76" t="s">
        <v>33</v>
      </c>
      <c r="E1" s="94" t="s">
        <v>215</v>
      </c>
      <c r="F1" s="76" t="s">
        <v>216</v>
      </c>
      <c r="G1" s="76" t="s">
        <v>33</v>
      </c>
      <c r="H1" s="94" t="s">
        <v>217</v>
      </c>
      <c r="I1" s="94" t="s">
        <v>218</v>
      </c>
      <c r="J1" s="94" t="s">
        <v>219</v>
      </c>
      <c r="K1" s="72" t="s">
        <v>220</v>
      </c>
      <c r="L1" s="72" t="s">
        <v>221</v>
      </c>
      <c r="M1" s="72" t="s">
        <v>156</v>
      </c>
      <c r="N1" s="76" t="s">
        <v>16</v>
      </c>
      <c r="O1" s="72" t="s">
        <v>222</v>
      </c>
      <c r="P1" s="72" t="s">
        <v>56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  <row r="2" spans="1:24" x14ac:dyDescent="0.15">
      <c r="A2" s="95" t="str">
        <f>B2&amp;"_"&amp;E2&amp;"_"&amp;H2&amp;"_"&amp;I2&amp;"_"&amp;J2</f>
        <v>50013_1_everyone_full_member_1</v>
      </c>
      <c r="B2" s="81">
        <v>50013</v>
      </c>
      <c r="C2" s="82" t="str">
        <f ca="1">VLOOKUP($B2,OFFSET([2]quests!$A$1,0,0,COUNTA([2]quests!$A:$A),MATCH(C$1,[2]quests!$1:$1,0)-MATCH($B$1,[2]quests!$1:$1,0)+1),MATCH(C$1,[2]quests!$1:$1,0)-MATCH($B$1,[2]quests!$1:$1,0)+1,FALSE)</f>
        <v>ロキ襲来！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超降臨12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【超ウィザード級】ロキ襲来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超降臨12</v>
      </c>
      <c r="H2" s="84" t="s">
        <v>226</v>
      </c>
      <c r="I2" s="83" t="s">
        <v>263</v>
      </c>
      <c r="J2" s="83">
        <v>1</v>
      </c>
      <c r="K2" s="83">
        <v>100</v>
      </c>
      <c r="L2" s="83" t="s">
        <v>227</v>
      </c>
      <c r="M2" s="83">
        <v>1258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ロキ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228</v>
      </c>
      <c r="X2" s="98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2017-05-08T08:12:02Z</dcterms:modified>
</cp:coreProperties>
</file>