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codeName="ThisWorkbook" autoCompressPictures="0"/>
  <bookViews>
    <workbookView xWindow="320" yWindow="1060" windowWidth="28420" windowHeight="14960"/>
  </bookViews>
  <sheets>
    <sheet name="output" sheetId="7" r:id="rId1"/>
    <sheet name="floors" sheetId="2" r:id="rId2"/>
    <sheet name="enemy_habitats" sheetId="1" r:id="rId3"/>
    <sheet name="enemy_habitat_S" sheetId="8" r:id="rId4"/>
    <sheet name="enemy_skill_sets" sheetId="9" r:id="rId5"/>
    <sheet name="enemy_skills" sheetId="10" r:id="rId6"/>
    <sheet name="enemy_skill_triggers" sheetId="11" r:id="rId7"/>
    <sheet name="Sheet1" sheetId="12" r:id="rId8"/>
  </sheets>
  <externalReferences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3" hidden="1">enemy_habitat_S!$B$1:$Y$1</definedName>
    <definedName name="_xlnm._FilterDatabase" localSheetId="2" hidden="1">enemy_habitats!$B$1:$AH$1</definedName>
    <definedName name="_xlnm._FilterDatabase" localSheetId="4" hidden="1">enemy_skill_sets!$A$1:$S$1</definedName>
    <definedName name="_xlnm._FilterDatabase" localSheetId="6" hidden="1">enemy_skill_triggers!$A$1:$G$1</definedName>
    <definedName name="_xlnm._FilterDatabase" localSheetId="5" hidden="1">enemy_skills!$A$1:$I$1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7" l="1"/>
  <c r="C2" i="7"/>
  <c r="C3" i="7"/>
  <c r="C4" i="7"/>
  <c r="C5" i="7"/>
  <c r="C6" i="7"/>
  <c r="C7" i="7"/>
  <c r="C8" i="7"/>
  <c r="G2" i="2"/>
  <c r="A2" i="2"/>
  <c r="G3" i="2"/>
  <c r="A3" i="2"/>
  <c r="G4" i="2"/>
  <c r="A4" i="2"/>
  <c r="G5" i="2"/>
  <c r="A5" i="2"/>
  <c r="G6" i="2"/>
  <c r="A6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O6" i="12"/>
  <c r="N6" i="12"/>
  <c r="M6" i="12"/>
  <c r="O5" i="12"/>
  <c r="O4" i="12"/>
  <c r="O3" i="12"/>
  <c r="O2" i="12"/>
  <c r="N5" i="12"/>
  <c r="M5" i="12"/>
  <c r="N4" i="12"/>
  <c r="M4" i="12"/>
  <c r="N3" i="12"/>
  <c r="M3" i="12"/>
  <c r="N2" i="12"/>
  <c r="M2" i="12"/>
  <c r="AB29" i="1"/>
  <c r="AE29" i="1"/>
  <c r="AD29" i="1"/>
  <c r="AC29" i="1"/>
  <c r="AB28" i="1"/>
  <c r="AE28" i="1"/>
  <c r="AD28" i="1"/>
  <c r="AC28" i="1"/>
  <c r="AB27" i="1"/>
  <c r="AE27" i="1"/>
  <c r="AD27" i="1"/>
  <c r="AC27" i="1"/>
  <c r="AB26" i="1"/>
  <c r="AE26" i="1"/>
  <c r="AD26" i="1"/>
  <c r="AC26" i="1"/>
  <c r="AB25" i="1"/>
  <c r="AE25" i="1"/>
  <c r="AD25" i="1"/>
  <c r="AC25" i="1"/>
  <c r="AB24" i="1"/>
  <c r="AE24" i="1"/>
  <c r="AD24" i="1"/>
  <c r="AC24" i="1"/>
  <c r="AB23" i="1"/>
  <c r="AE23" i="1"/>
  <c r="AD23" i="1"/>
  <c r="AC23" i="1"/>
  <c r="AB22" i="1"/>
  <c r="AE22" i="1"/>
  <c r="AD22" i="1"/>
  <c r="AC22" i="1"/>
  <c r="AB21" i="1"/>
  <c r="AE21" i="1"/>
  <c r="AD21" i="1"/>
  <c r="AC21" i="1"/>
  <c r="AB20" i="1"/>
  <c r="AE20" i="1"/>
  <c r="AD20" i="1"/>
  <c r="AC20" i="1"/>
  <c r="AB19" i="1"/>
  <c r="AE19" i="1"/>
  <c r="AD19" i="1"/>
  <c r="AC19" i="1"/>
  <c r="AB18" i="1"/>
  <c r="AE18" i="1"/>
  <c r="AD18" i="1"/>
  <c r="AC18" i="1"/>
  <c r="AB17" i="1"/>
  <c r="AE17" i="1"/>
  <c r="AD17" i="1"/>
  <c r="AC17" i="1"/>
  <c r="AB16" i="1"/>
  <c r="AE16" i="1"/>
  <c r="AD16" i="1"/>
  <c r="AC16" i="1"/>
  <c r="AB15" i="1"/>
  <c r="AE15" i="1"/>
  <c r="AD15" i="1"/>
  <c r="AC15" i="1"/>
  <c r="AB14" i="1"/>
  <c r="AE14" i="1"/>
  <c r="AD14" i="1"/>
  <c r="AC14" i="1"/>
  <c r="AB13" i="1"/>
  <c r="AE13" i="1"/>
  <c r="AD13" i="1"/>
  <c r="AC13" i="1"/>
  <c r="AB12" i="1"/>
  <c r="AE12" i="1"/>
  <c r="AD12" i="1"/>
  <c r="AC12" i="1"/>
  <c r="AB11" i="1"/>
  <c r="AE11" i="1"/>
  <c r="AD11" i="1"/>
  <c r="AC11" i="1"/>
  <c r="AB10" i="1"/>
  <c r="AE10" i="1"/>
  <c r="AD10" i="1"/>
  <c r="AC10" i="1"/>
  <c r="AB9" i="1"/>
  <c r="AE9" i="1"/>
  <c r="AD9" i="1"/>
  <c r="AC9" i="1"/>
  <c r="AB8" i="1"/>
  <c r="AE8" i="1"/>
  <c r="AD8" i="1"/>
  <c r="AC8" i="1"/>
  <c r="AB7" i="1"/>
  <c r="AE7" i="1"/>
  <c r="AD7" i="1"/>
  <c r="AC7" i="1"/>
  <c r="AB6" i="1"/>
  <c r="AE6" i="1"/>
  <c r="AD6" i="1"/>
  <c r="AC6" i="1"/>
  <c r="AB5" i="1"/>
  <c r="AE5" i="1"/>
  <c r="AD5" i="1"/>
  <c r="AC5" i="1"/>
  <c r="AB4" i="1"/>
  <c r="AE4" i="1"/>
  <c r="AD4" i="1"/>
  <c r="AC4" i="1"/>
  <c r="AB3" i="1"/>
  <c r="AE3" i="1"/>
  <c r="AD3" i="1"/>
  <c r="AC3" i="1"/>
  <c r="AB2" i="1"/>
  <c r="AE2" i="1"/>
  <c r="AD2" i="1"/>
  <c r="AC2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I22" i="1"/>
  <c r="J21" i="1"/>
  <c r="I21" i="1"/>
  <c r="J20" i="1"/>
  <c r="I20" i="1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J4" i="1"/>
  <c r="I4" i="1"/>
  <c r="J3" i="1"/>
  <c r="I3" i="1"/>
  <c r="J2" i="1"/>
  <c r="I2" i="1"/>
  <c r="E8" i="7"/>
  <c r="E7" i="7"/>
  <c r="E6" i="7"/>
  <c r="E5" i="7"/>
  <c r="E4" i="7"/>
  <c r="E3" i="7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W2" i="1"/>
  <c r="Q29" i="1"/>
  <c r="P29" i="1"/>
  <c r="O29" i="1"/>
  <c r="N29" i="1"/>
  <c r="M29" i="1"/>
  <c r="Q28" i="1"/>
  <c r="P28" i="1"/>
  <c r="O28" i="1"/>
  <c r="N28" i="1"/>
  <c r="M28" i="1"/>
  <c r="Q27" i="1"/>
  <c r="P27" i="1"/>
  <c r="O27" i="1"/>
  <c r="N27" i="1"/>
  <c r="M27" i="1"/>
  <c r="Q26" i="1"/>
  <c r="P26" i="1"/>
  <c r="O26" i="1"/>
  <c r="N26" i="1"/>
  <c r="M26" i="1"/>
  <c r="Q25" i="1"/>
  <c r="P25" i="1"/>
  <c r="O25" i="1"/>
  <c r="N25" i="1"/>
  <c r="M25" i="1"/>
  <c r="Q24" i="1"/>
  <c r="P24" i="1"/>
  <c r="O24" i="1"/>
  <c r="N24" i="1"/>
  <c r="M24" i="1"/>
  <c r="Q23" i="1"/>
  <c r="P23" i="1"/>
  <c r="O23" i="1"/>
  <c r="N23" i="1"/>
  <c r="M23" i="1"/>
  <c r="Q22" i="1"/>
  <c r="P22" i="1"/>
  <c r="O22" i="1"/>
  <c r="N22" i="1"/>
  <c r="M22" i="1"/>
  <c r="Q21" i="1"/>
  <c r="P21" i="1"/>
  <c r="O21" i="1"/>
  <c r="N21" i="1"/>
  <c r="M21" i="1"/>
  <c r="Q20" i="1"/>
  <c r="P20" i="1"/>
  <c r="O20" i="1"/>
  <c r="N20" i="1"/>
  <c r="M20" i="1"/>
  <c r="Q19" i="1"/>
  <c r="P19" i="1"/>
  <c r="O19" i="1"/>
  <c r="N19" i="1"/>
  <c r="M19" i="1"/>
  <c r="Q18" i="1"/>
  <c r="P18" i="1"/>
  <c r="O18" i="1"/>
  <c r="N18" i="1"/>
  <c r="M18" i="1"/>
  <c r="Q17" i="1"/>
  <c r="P17" i="1"/>
  <c r="O17" i="1"/>
  <c r="N17" i="1"/>
  <c r="M17" i="1"/>
  <c r="Q16" i="1"/>
  <c r="P16" i="1"/>
  <c r="O16" i="1"/>
  <c r="N16" i="1"/>
  <c r="M16" i="1"/>
  <c r="Q15" i="1"/>
  <c r="P15" i="1"/>
  <c r="O15" i="1"/>
  <c r="N15" i="1"/>
  <c r="M15" i="1"/>
  <c r="Q14" i="1"/>
  <c r="P14" i="1"/>
  <c r="O14" i="1"/>
  <c r="N14" i="1"/>
  <c r="M14" i="1"/>
  <c r="Q13" i="1"/>
  <c r="P13" i="1"/>
  <c r="O13" i="1"/>
  <c r="N13" i="1"/>
  <c r="M13" i="1"/>
  <c r="Q12" i="1"/>
  <c r="P12" i="1"/>
  <c r="O12" i="1"/>
  <c r="N12" i="1"/>
  <c r="M12" i="1"/>
  <c r="Q11" i="1"/>
  <c r="P11" i="1"/>
  <c r="O11" i="1"/>
  <c r="N11" i="1"/>
  <c r="M11" i="1"/>
  <c r="Q10" i="1"/>
  <c r="P10" i="1"/>
  <c r="O10" i="1"/>
  <c r="N10" i="1"/>
  <c r="M10" i="1"/>
  <c r="Q9" i="1"/>
  <c r="P9" i="1"/>
  <c r="O9" i="1"/>
  <c r="N9" i="1"/>
  <c r="M9" i="1"/>
  <c r="Q8" i="1"/>
  <c r="P8" i="1"/>
  <c r="O8" i="1"/>
  <c r="N8" i="1"/>
  <c r="M8" i="1"/>
  <c r="Q7" i="1"/>
  <c r="P7" i="1"/>
  <c r="O7" i="1"/>
  <c r="N7" i="1"/>
  <c r="M7" i="1"/>
  <c r="Q6" i="1"/>
  <c r="P6" i="1"/>
  <c r="O6" i="1"/>
  <c r="N6" i="1"/>
  <c r="M6" i="1"/>
  <c r="Q5" i="1"/>
  <c r="P5" i="1"/>
  <c r="O5" i="1"/>
  <c r="N5" i="1"/>
  <c r="M5" i="1"/>
  <c r="Q4" i="1"/>
  <c r="P4" i="1"/>
  <c r="O4" i="1"/>
  <c r="N4" i="1"/>
  <c r="M4" i="1"/>
  <c r="Q3" i="1"/>
  <c r="P3" i="1"/>
  <c r="O3" i="1"/>
  <c r="N3" i="1"/>
  <c r="M3" i="1"/>
  <c r="Q2" i="1"/>
  <c r="P2" i="1"/>
  <c r="O2" i="1"/>
  <c r="N2" i="1"/>
  <c r="M2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AA2" i="1"/>
  <c r="A29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G6" i="1"/>
  <c r="AG5" i="1"/>
  <c r="AG4" i="1"/>
  <c r="AG3" i="1"/>
  <c r="AG2" i="1"/>
  <c r="V29" i="1"/>
  <c r="D29" i="1"/>
  <c r="F29" i="1"/>
  <c r="E29" i="1"/>
  <c r="V28" i="1"/>
  <c r="D28" i="1"/>
  <c r="F28" i="1"/>
  <c r="E28" i="1"/>
  <c r="V27" i="1"/>
  <c r="D27" i="1"/>
  <c r="F27" i="1"/>
  <c r="E27" i="1"/>
  <c r="V26" i="1"/>
  <c r="D26" i="1"/>
  <c r="F26" i="1"/>
  <c r="E26" i="1"/>
  <c r="V25" i="1"/>
  <c r="D25" i="1"/>
  <c r="F25" i="1"/>
  <c r="E25" i="1"/>
  <c r="V24" i="1"/>
  <c r="D24" i="1"/>
  <c r="F24" i="1"/>
  <c r="E24" i="1"/>
  <c r="V23" i="1"/>
  <c r="D23" i="1"/>
  <c r="F23" i="1"/>
  <c r="E23" i="1"/>
  <c r="V22" i="1"/>
  <c r="D22" i="1"/>
  <c r="F22" i="1"/>
  <c r="E22" i="1"/>
  <c r="V21" i="1"/>
  <c r="D21" i="1"/>
  <c r="F21" i="1"/>
  <c r="E21" i="1"/>
  <c r="V20" i="1"/>
  <c r="D20" i="1"/>
  <c r="F20" i="1"/>
  <c r="E20" i="1"/>
  <c r="V19" i="1"/>
  <c r="D19" i="1"/>
  <c r="F19" i="1"/>
  <c r="E19" i="1"/>
  <c r="V18" i="1"/>
  <c r="D18" i="1"/>
  <c r="F18" i="1"/>
  <c r="E18" i="1"/>
  <c r="V17" i="1"/>
  <c r="D17" i="1"/>
  <c r="F17" i="1"/>
  <c r="E17" i="1"/>
  <c r="V16" i="1"/>
  <c r="D16" i="1"/>
  <c r="F16" i="1"/>
  <c r="E16" i="1"/>
  <c r="V15" i="1"/>
  <c r="D15" i="1"/>
  <c r="F15" i="1"/>
  <c r="E15" i="1"/>
  <c r="V14" i="1"/>
  <c r="D14" i="1"/>
  <c r="F14" i="1"/>
  <c r="E14" i="1"/>
  <c r="V13" i="1"/>
  <c r="D13" i="1"/>
  <c r="F13" i="1"/>
  <c r="E13" i="1"/>
  <c r="V12" i="1"/>
  <c r="D12" i="1"/>
  <c r="F12" i="1"/>
  <c r="E12" i="1"/>
  <c r="V11" i="1"/>
  <c r="D11" i="1"/>
  <c r="F11" i="1"/>
  <c r="E11" i="1"/>
  <c r="V10" i="1"/>
  <c r="D10" i="1"/>
  <c r="F10" i="1"/>
  <c r="E10" i="1"/>
  <c r="V9" i="1"/>
  <c r="D9" i="1"/>
  <c r="F9" i="1"/>
  <c r="E9" i="1"/>
  <c r="V8" i="1"/>
  <c r="D8" i="1"/>
  <c r="F8" i="1"/>
  <c r="E8" i="1"/>
  <c r="V7" i="1"/>
  <c r="D7" i="1"/>
  <c r="F7" i="1"/>
  <c r="E7" i="1"/>
  <c r="V6" i="1"/>
  <c r="D6" i="1"/>
  <c r="F6" i="1"/>
  <c r="E6" i="1"/>
  <c r="V5" i="1"/>
  <c r="D5" i="1"/>
  <c r="F5" i="1"/>
  <c r="E5" i="1"/>
  <c r="V4" i="1"/>
  <c r="D4" i="1"/>
  <c r="F4" i="1"/>
  <c r="E4" i="1"/>
  <c r="V3" i="1"/>
  <c r="D3" i="1"/>
  <c r="F3" i="1"/>
  <c r="E3" i="1"/>
  <c r="V2" i="1"/>
  <c r="D2" i="1"/>
  <c r="F2" i="1"/>
  <c r="E2" i="1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H2" i="2"/>
  <c r="E2" i="2"/>
  <c r="D2" i="2"/>
  <c r="B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P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K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<sst xmlns="http://schemas.openxmlformats.org/spreadsheetml/2006/main" count="255" uniqueCount="158">
  <si>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</si>
  <si>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</si>
  <si>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</si>
  <si>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</si>
  <si>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</si>
  <si>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</si>
  <si>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</si>
  <si>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</si>
  <si>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</si>
  <si>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</si>
  <si>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</si>
  <si>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</si>
  <si>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</si>
  <si>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</si>
  <si>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</si>
  <si>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</si>
  <si>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</si>
  <si>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</si>
  <si>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</si>
  <si>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</si>
  <si>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</si>
  <si>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</si>
  <si>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</si>
  <si>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</si>
  <si>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</si>
  <si>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</si>
  <si>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</si>
  <si>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</si>
  <si>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</si>
  <si>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</si>
  <si>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</si>
  <si>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</si>
  <si>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</si>
  <si>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</si>
  <si>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</si>
  <si>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</si>
  <si>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</si>
  <si>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</si>
  <si>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</si>
  <si>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</si>
  <si>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</si>
  <si>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</si>
  <si>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</si>
  <si>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</si>
  <si>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</si>
  <si>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</si>
  <si>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drop_label</t>
    <phoneticPr fontId="3"/>
  </si>
  <si>
    <t>hp_coefficient</t>
    <phoneticPr fontId="3"/>
  </si>
  <si>
    <t>attack_coefficient</t>
    <phoneticPr fontId="3"/>
  </si>
  <si>
    <t>defense_correction</t>
    <phoneticPr fontId="3"/>
  </si>
  <si>
    <t>hp_coefficient</t>
  </si>
  <si>
    <t>attack_coefficient</t>
  </si>
  <si>
    <t>defense_correction</t>
  </si>
  <si>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</si>
  <si>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</si>
  <si>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</si>
  <si>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</si>
  <si>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</si>
  <si>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</si>
  <si>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</si>
  <si>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old</t>
    <phoneticPr fontId="3"/>
  </si>
  <si>
    <t>floors_</t>
    <phoneticPr fontId="3"/>
  </si>
  <si>
    <t>.tmp</t>
    <phoneticPr fontId="3"/>
  </si>
  <si>
    <t>floors</t>
    <phoneticPr fontId="3"/>
  </si>
  <si>
    <t>enemy_habitats_</t>
    <phoneticPr fontId="3"/>
  </si>
  <si>
    <t>enemy_habitats</t>
    <phoneticPr fontId="3"/>
  </si>
  <si>
    <t>seq_no</t>
    <phoneticPr fontId="3"/>
  </si>
  <si>
    <t>enemy_habitat_S_</t>
    <phoneticPr fontId="3"/>
  </si>
  <si>
    <t>enemy_habitat_S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</si>
  <si>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</si>
  <si>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</si>
  <si>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</si>
  <si>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</si>
  <si>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skill_set_id</t>
    <phoneticPr fontId="3"/>
  </si>
  <si>
    <t>old</t>
    <phoneticPr fontId="3"/>
  </si>
  <si>
    <t>enemy_skill_sets_</t>
    <phoneticPr fontId="3"/>
  </si>
  <si>
    <t>.tmp</t>
    <phoneticPr fontId="3"/>
  </si>
  <si>
    <t>enemy_skill_sets</t>
    <phoneticPr fontId="3"/>
  </si>
  <si>
    <t>skill_id</t>
  </si>
  <si>
    <t>skill_trigger_id</t>
  </si>
  <si>
    <t>old</t>
    <phoneticPr fontId="3"/>
  </si>
  <si>
    <t>enemy_skills_tmp_</t>
    <phoneticPr fontId="3"/>
  </si>
  <si>
    <t>.tmp</t>
    <phoneticPr fontId="3"/>
  </si>
  <si>
    <t>enemy_skills</t>
    <phoneticPr fontId="3"/>
  </si>
  <si>
    <t>enemy_skill_id</t>
  </si>
  <si>
    <t>effect_param</t>
    <phoneticPr fontId="3"/>
  </si>
  <si>
    <t>valid_flg</t>
  </si>
  <si>
    <t>old</t>
    <phoneticPr fontId="3"/>
  </si>
  <si>
    <t>enemy_skills_i18n_</t>
    <phoneticPr fontId="3"/>
  </si>
  <si>
    <t>.tmp</t>
    <phoneticPr fontId="3"/>
  </si>
  <si>
    <t>enemy_skills</t>
    <phoneticPr fontId="3"/>
  </si>
  <si>
    <t>language</t>
  </si>
  <si>
    <t>name</t>
  </si>
  <si>
    <t>comment</t>
  </si>
  <si>
    <t>enemy_skill_triggers_</t>
    <phoneticPr fontId="3"/>
  </si>
  <si>
    <t>.tmp</t>
    <phoneticPr fontId="3"/>
  </si>
  <si>
    <t>enemy_skill_triggers</t>
    <phoneticPr fontId="3"/>
  </si>
  <si>
    <t>first_time</t>
  </si>
  <si>
    <t>invoke_rate</t>
  </si>
  <si>
    <t>hp_threshold</t>
  </si>
  <si>
    <t>hp_termination</t>
    <phoneticPr fontId="3"/>
  </si>
  <si>
    <t>invoke_times</t>
  </si>
  <si>
    <t>invoke_weight</t>
    <phoneticPr fontId="3"/>
  </si>
  <si>
    <t>every_time_count</t>
    <phoneticPr fontId="3"/>
  </si>
  <si>
    <t>neighbor_dead_id</t>
    <phoneticPr fontId="3"/>
  </si>
  <si>
    <t>priority</t>
    <phoneticPr fontId="3"/>
  </si>
  <si>
    <t>temp_habitats</t>
    <phoneticPr fontId="3"/>
  </si>
  <si>
    <t>temp_stage</t>
    <phoneticPr fontId="3"/>
  </si>
  <si>
    <t>name</t>
    <phoneticPr fontId="3"/>
  </si>
  <si>
    <t>name</t>
    <phoneticPr fontId="3"/>
  </si>
  <si>
    <t>floor_id</t>
    <phoneticPr fontId="3"/>
  </si>
  <si>
    <t>temp_floor</t>
    <phoneticPr fontId="3"/>
  </si>
  <si>
    <t>seq_no</t>
    <phoneticPr fontId="3"/>
  </si>
  <si>
    <t>state_no</t>
    <phoneticPr fontId="3"/>
  </si>
  <si>
    <t>color</t>
    <phoneticPr fontId="3"/>
  </si>
  <si>
    <t>drop_label</t>
    <phoneticPr fontId="3"/>
  </si>
  <si>
    <t>character_main_tribe_id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</si>
  <si>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</si>
  <si>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</si>
  <si>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</si>
  <si>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</si>
  <si>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</si>
  <si>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</si>
  <si>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</si>
  <si>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</si>
  <si>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</si>
  <si>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</si>
  <si>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</si>
  <si>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</si>
  <si>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</si>
  <si>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</si>
  <si>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</si>
  <si>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</si>
  <si>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</si>
  <si>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effect_param</t>
    <phoneticPr fontId="3"/>
  </si>
  <si>
    <t>language</t>
    <phoneticPr fontId="3"/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</si>
  <si>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</si>
  <si>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</si>
  <si>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</si>
  <si>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</si>
  <si>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</si>
  <si>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</si>
  <si>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</si>
  <si>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</si>
  <si>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invoke_weight</t>
    <phoneticPr fontId="3"/>
  </si>
  <si>
    <t>重複チェック</t>
    <rPh sb="0" eb="2">
      <t>チョウフク</t>
    </rPh>
    <phoneticPr fontId="3"/>
  </si>
  <si>
    <t>seq_no</t>
    <phoneticPr fontId="3"/>
  </si>
  <si>
    <t>null</t>
    <phoneticPr fontId="3"/>
  </si>
  <si>
    <t>name</t>
    <phoneticPr fontId="3"/>
  </si>
  <si>
    <t>ピヨピヨ</t>
    <phoneticPr fontId="3"/>
  </si>
  <si>
    <t>チック</t>
    <phoneticPr fontId="3"/>
  </si>
  <si>
    <t>ダック</t>
    <phoneticPr fontId="3"/>
  </si>
  <si>
    <t>ジェントル</t>
    <phoneticPr fontId="3"/>
  </si>
  <si>
    <t>Lv.</t>
    <phoneticPr fontId="3"/>
  </si>
  <si>
    <t>HP</t>
    <phoneticPr fontId="3"/>
  </si>
  <si>
    <t>Attack</t>
    <phoneticPr fontId="3"/>
  </si>
  <si>
    <t>Defense</t>
    <phoneticPr fontId="3"/>
  </si>
  <si>
    <t>Speed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</si>
</sst>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2"/>
      <color indexed="52"/>
      <name val="ＭＳ Ｐゴシック"/>
      <family val="3"/>
      <charset val="128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266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" fillId="0" borderId="0">
      <alignment vertical="center"/>
    </xf>
    <xf numFmtId="0" fontId="15" fillId="0" borderId="0"/>
    <xf numFmtId="38" fontId="16" fillId="0" borderId="0" applyFill="0" applyBorder="0" applyAlignment="0" applyProtection="0"/>
    <xf numFmtId="0" fontId="17" fillId="10" borderId="0" applyNumberFormat="0" applyBorder="0" applyAlignment="0" applyProtection="0"/>
    <xf numFmtId="0" fontId="18" fillId="11" borderId="0" applyNumberFormat="0" applyBorder="0" applyAlignment="0" applyProtection="0"/>
    <xf numFmtId="0" fontId="19" fillId="0" borderId="0"/>
    <xf numFmtId="0" fontId="20" fillId="0" borderId="0">
      <alignment vertical="center"/>
    </xf>
    <xf numFmtId="0" fontId="21" fillId="1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5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4" fillId="4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177" fontId="6" fillId="0" borderId="4" xfId="0" applyNumberFormat="1" applyFont="1" applyBorder="1" applyAlignment="1">
      <alignment vertical="center"/>
    </xf>
    <xf numFmtId="0" fontId="11" fillId="8" borderId="7" xfId="530" applyFont="1" applyFill="1" applyBorder="1" applyAlignment="1"/>
    <xf numFmtId="0" fontId="11" fillId="8" borderId="7" xfId="0" applyFont="1" applyFill="1" applyBorder="1"/>
    <xf numFmtId="0" fontId="0" fillId="8" borderId="7" xfId="0" applyFill="1" applyBorder="1"/>
    <xf numFmtId="0" fontId="13" fillId="0" borderId="7" xfId="530" applyBorder="1" applyAlignment="1"/>
    <xf numFmtId="0" fontId="0" fillId="0" borderId="7" xfId="0" applyBorder="1"/>
    <xf numFmtId="0" fontId="0" fillId="6" borderId="7" xfId="0" applyFill="1" applyBorder="1"/>
    <xf numFmtId="0" fontId="14" fillId="9" borderId="7" xfId="0" applyFont="1" applyFill="1" applyBorder="1"/>
    <xf numFmtId="0" fontId="10" fillId="7" borderId="0" xfId="0" applyFont="1" applyFill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2" fillId="7" borderId="0" xfId="0" applyFont="1" applyFill="1" applyAlignment="1">
      <alignment vertical="center"/>
    </xf>
    <xf numFmtId="0" fontId="23" fillId="6" borderId="7" xfId="0" applyFont="1" applyFill="1" applyBorder="1" applyAlignment="1">
      <alignment horizontal="center" vertical="center"/>
    </xf>
    <xf numFmtId="0" fontId="23" fillId="3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Fill="1" applyAlignment="1">
      <alignment vertical="center"/>
    </xf>
    <xf numFmtId="0" fontId="9" fillId="6" borderId="2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</cellXfs>
  <cellStyles count="1266">
    <cellStyle name="Excel Built-in Normal" xfId="531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桁区切り 2" xfId="532"/>
    <cellStyle name="青字強調" xfId="533"/>
    <cellStyle name="赤字強調" xfId="534"/>
    <cellStyle name="標準" xfId="0" builtinId="0"/>
    <cellStyle name="標準 2" xfId="535"/>
    <cellStyle name="標準 2 2" xfId="536"/>
    <cellStyle name="標準 3" xfId="53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無題1" xfId="53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3.xml"/><Relationship Id="rId12" Type="http://schemas.openxmlformats.org/officeDocument/2006/relationships/externalLink" Target="externalLinks/externalLink4.xml"/><Relationship Id="rId13" Type="http://schemas.openxmlformats.org/officeDocument/2006/relationships/externalLink" Target="externalLinks/externalLink5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quest_schedules"/>
      <sheetName val="guerilla_quests"/>
      <sheetName val="noon_guerilla_times"/>
      <sheetName val="night_guerilla_times"/>
      <sheetName val="quest_bonuses"/>
      <sheetName val="automatic_quest_bonuses"/>
      <sheetName val="quests.csv"/>
      <sheetName val="quests_i18n.csv"/>
      <sheetName val="stages.csv"/>
      <sheetName val="stages_i18n.csv"/>
      <sheetName val="weekly_quests.csv"/>
      <sheetName val="rank_quests.csv"/>
      <sheetName val="event_quests.csv"/>
      <sheetName val="quest_schedules.csv"/>
      <sheetName val="guerilla_quests.csv"/>
      <sheetName val="noon_guerilla_times.csv"/>
      <sheetName val="night_guerilla_times.csv"/>
      <sheetName val="quest_bonuses.csv"/>
      <sheetName val="automatic_quest_bonuses.csv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位置付け</v>
          </cell>
          <cell r="H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12001</v>
          </cell>
        </row>
        <row r="70">
          <cell r="A70">
            <v>12002</v>
          </cell>
        </row>
        <row r="71">
          <cell r="A71">
            <v>13001</v>
          </cell>
        </row>
        <row r="72">
          <cell r="A72">
            <v>20001</v>
          </cell>
        </row>
        <row r="73">
          <cell r="A73">
            <v>20002</v>
          </cell>
        </row>
        <row r="74">
          <cell r="A74">
            <v>20003</v>
          </cell>
        </row>
        <row r="75">
          <cell r="A75">
            <v>20004</v>
          </cell>
        </row>
        <row r="76">
          <cell r="A76">
            <v>20005</v>
          </cell>
        </row>
        <row r="77">
          <cell r="A77">
            <v>20006</v>
          </cell>
        </row>
        <row r="78">
          <cell r="A78">
            <v>20007</v>
          </cell>
        </row>
        <row r="79">
          <cell r="A79">
            <v>20008</v>
          </cell>
        </row>
        <row r="80">
          <cell r="A80">
            <v>20009</v>
          </cell>
        </row>
        <row r="81">
          <cell r="A81">
            <v>20010</v>
          </cell>
        </row>
        <row r="82">
          <cell r="A82">
            <v>20011</v>
          </cell>
        </row>
        <row r="83">
          <cell r="A83">
            <v>20012</v>
          </cell>
        </row>
        <row r="84">
          <cell r="A84">
            <v>30001</v>
          </cell>
        </row>
        <row r="85">
          <cell r="A85">
            <v>30002</v>
          </cell>
        </row>
        <row r="86">
          <cell r="A86">
            <v>30003</v>
          </cell>
        </row>
        <row r="87">
          <cell r="A87">
            <v>30004</v>
          </cell>
        </row>
        <row r="88">
          <cell r="A88">
            <v>30005</v>
          </cell>
        </row>
        <row r="89">
          <cell r="A89">
            <v>30006</v>
          </cell>
        </row>
        <row r="90">
          <cell r="A90">
            <v>30007</v>
          </cell>
        </row>
        <row r="91">
          <cell r="A91">
            <v>30008</v>
          </cell>
        </row>
        <row r="92">
          <cell r="A92">
            <v>30009</v>
          </cell>
        </row>
        <row r="93">
          <cell r="A93">
            <v>30010</v>
          </cell>
        </row>
        <row r="94">
          <cell r="A94">
            <v>30011</v>
          </cell>
        </row>
        <row r="95">
          <cell r="A95">
            <v>30012</v>
          </cell>
        </row>
        <row r="96">
          <cell r="A96">
            <v>30013</v>
          </cell>
        </row>
        <row r="97">
          <cell r="A97">
            <v>30014</v>
          </cell>
        </row>
        <row r="98">
          <cell r="A98">
            <v>30015</v>
          </cell>
        </row>
        <row r="99">
          <cell r="A99">
            <v>30016</v>
          </cell>
        </row>
        <row r="100">
          <cell r="A100">
            <v>40001</v>
          </cell>
        </row>
        <row r="101">
          <cell r="A101">
            <v>40002</v>
          </cell>
        </row>
        <row r="102">
          <cell r="A102">
            <v>40003</v>
          </cell>
        </row>
        <row r="103">
          <cell r="A103">
            <v>40004</v>
          </cell>
        </row>
        <row r="104">
          <cell r="A104">
            <v>50001</v>
          </cell>
        </row>
        <row r="105">
          <cell r="A105">
            <v>65535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completable_time</v>
          </cell>
          <cell r="Y2" t="str">
            <v>background</v>
          </cell>
          <cell r="Z2" t="str">
            <v>crash_panel_materials</v>
          </cell>
          <cell r="AA2" t="str">
            <v>stage_target</v>
          </cell>
          <cell r="AB2" t="str">
            <v>bgm</v>
          </cell>
          <cell r="AC2" t="str">
            <v>bgm_boss</v>
          </cell>
          <cell r="AD2" t="str">
            <v>continue_limit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12001_1</v>
          </cell>
        </row>
        <row r="254">
          <cell r="A254" t="str">
            <v>12001_2</v>
          </cell>
        </row>
        <row r="255">
          <cell r="A255" t="str">
            <v>12001_3</v>
          </cell>
        </row>
        <row r="256">
          <cell r="A256" t="str">
            <v>12002_3</v>
          </cell>
        </row>
        <row r="257">
          <cell r="A257" t="str">
            <v>12002_2</v>
          </cell>
        </row>
        <row r="258">
          <cell r="A258" t="str">
            <v>12002_1</v>
          </cell>
        </row>
        <row r="259">
          <cell r="A259" t="str">
            <v>13001_1</v>
          </cell>
        </row>
        <row r="260">
          <cell r="A260" t="str">
            <v>13001_2</v>
          </cell>
        </row>
        <row r="261">
          <cell r="A261" t="str">
            <v>13001_3</v>
          </cell>
        </row>
        <row r="262">
          <cell r="A262" t="str">
            <v>13001_4</v>
          </cell>
        </row>
        <row r="263">
          <cell r="A263" t="str">
            <v>13001_5</v>
          </cell>
        </row>
        <row r="264">
          <cell r="A264" t="str">
            <v>13001_6</v>
          </cell>
        </row>
        <row r="265">
          <cell r="A265" t="str">
            <v>13001_7</v>
          </cell>
        </row>
        <row r="266">
          <cell r="A266" t="str">
            <v>13001_8</v>
          </cell>
        </row>
        <row r="267">
          <cell r="A267" t="str">
            <v>13001_9</v>
          </cell>
        </row>
        <row r="268">
          <cell r="A268" t="str">
            <v>13001_10</v>
          </cell>
        </row>
        <row r="269">
          <cell r="A269" t="str">
            <v>13001_11</v>
          </cell>
        </row>
        <row r="270">
          <cell r="A270" t="str">
            <v>13001_12</v>
          </cell>
        </row>
        <row r="271">
          <cell r="A271" t="str">
            <v>13001_13</v>
          </cell>
        </row>
        <row r="272">
          <cell r="A272" t="str">
            <v>13001_14</v>
          </cell>
        </row>
        <row r="273">
          <cell r="A273" t="str">
            <v>13001_15</v>
          </cell>
        </row>
        <row r="274">
          <cell r="A274" t="str">
            <v>13001_16</v>
          </cell>
        </row>
        <row r="275">
          <cell r="A275" t="str">
            <v>13001_17</v>
          </cell>
        </row>
        <row r="276">
          <cell r="A276" t="str">
            <v>13001_18</v>
          </cell>
        </row>
        <row r="277">
          <cell r="A277" t="str">
            <v>13001_19</v>
          </cell>
        </row>
        <row r="278">
          <cell r="A278" t="str">
            <v>13001_20</v>
          </cell>
        </row>
        <row r="279">
          <cell r="A279" t="str">
            <v>13001_21</v>
          </cell>
        </row>
        <row r="280">
          <cell r="A280" t="str">
            <v>13001_22</v>
          </cell>
        </row>
        <row r="281">
          <cell r="A281" t="str">
            <v>13001_23</v>
          </cell>
        </row>
        <row r="282">
          <cell r="A282" t="str">
            <v>13001_24</v>
          </cell>
        </row>
        <row r="283">
          <cell r="A283" t="str">
            <v>13001_25</v>
          </cell>
        </row>
        <row r="284">
          <cell r="A284" t="str">
            <v>20001_1</v>
          </cell>
        </row>
        <row r="285">
          <cell r="A285" t="str">
            <v>20001_2</v>
          </cell>
        </row>
        <row r="286">
          <cell r="A286" t="str">
            <v>20001_3</v>
          </cell>
        </row>
        <row r="287">
          <cell r="A287" t="str">
            <v>20002_1</v>
          </cell>
        </row>
        <row r="288">
          <cell r="A288" t="str">
            <v>20002_2</v>
          </cell>
        </row>
        <row r="289">
          <cell r="A289" t="str">
            <v>20002_3</v>
          </cell>
        </row>
        <row r="290">
          <cell r="A290" t="str">
            <v>20003_1</v>
          </cell>
        </row>
        <row r="291">
          <cell r="A291" t="str">
            <v>20003_2</v>
          </cell>
        </row>
        <row r="292">
          <cell r="A292" t="str">
            <v>20003_3</v>
          </cell>
        </row>
        <row r="293">
          <cell r="A293" t="str">
            <v>20004_1</v>
          </cell>
        </row>
        <row r="294">
          <cell r="A294" t="str">
            <v>20004_2</v>
          </cell>
        </row>
        <row r="295">
          <cell r="A295" t="str">
            <v>20004_3</v>
          </cell>
        </row>
        <row r="296">
          <cell r="A296" t="str">
            <v>20005_1</v>
          </cell>
        </row>
        <row r="297">
          <cell r="A297" t="str">
            <v>20005_2</v>
          </cell>
        </row>
        <row r="298">
          <cell r="A298" t="str">
            <v>20005_3</v>
          </cell>
        </row>
        <row r="299">
          <cell r="A299" t="str">
            <v>20006_1</v>
          </cell>
        </row>
        <row r="300">
          <cell r="A300" t="str">
            <v>20006_2</v>
          </cell>
        </row>
        <row r="301">
          <cell r="A301" t="str">
            <v>20006_3</v>
          </cell>
        </row>
        <row r="302">
          <cell r="A302" t="str">
            <v>20007_1</v>
          </cell>
        </row>
        <row r="303">
          <cell r="A303" t="str">
            <v>20007_2</v>
          </cell>
        </row>
        <row r="304">
          <cell r="A304" t="str">
            <v>20007_3</v>
          </cell>
        </row>
        <row r="305">
          <cell r="A305" t="str">
            <v>20008_1</v>
          </cell>
        </row>
        <row r="306">
          <cell r="A306" t="str">
            <v>20008_2</v>
          </cell>
        </row>
        <row r="307">
          <cell r="A307" t="str">
            <v>20008_3</v>
          </cell>
        </row>
        <row r="308">
          <cell r="A308" t="str">
            <v>20009_1</v>
          </cell>
        </row>
        <row r="309">
          <cell r="A309" t="str">
            <v>20009_2</v>
          </cell>
        </row>
        <row r="310">
          <cell r="A310" t="str">
            <v>20009_3</v>
          </cell>
        </row>
        <row r="311">
          <cell r="A311" t="str">
            <v>20010_1</v>
          </cell>
        </row>
        <row r="312">
          <cell r="A312" t="str">
            <v>20010_2</v>
          </cell>
        </row>
        <row r="313">
          <cell r="A313" t="str">
            <v>20010_3</v>
          </cell>
        </row>
        <row r="314">
          <cell r="A314" t="str">
            <v>20011_1</v>
          </cell>
        </row>
        <row r="315">
          <cell r="A315" t="str">
            <v>20011_2</v>
          </cell>
        </row>
        <row r="316">
          <cell r="A316" t="str">
            <v>20011_3</v>
          </cell>
        </row>
        <row r="317">
          <cell r="A317" t="str">
            <v>20012_1</v>
          </cell>
        </row>
        <row r="318">
          <cell r="A318" t="str">
            <v>20012_2</v>
          </cell>
        </row>
        <row r="319">
          <cell r="A319" t="str">
            <v>20012_3</v>
          </cell>
        </row>
        <row r="320">
          <cell r="A320" t="str">
            <v>30001_1</v>
          </cell>
        </row>
        <row r="321">
          <cell r="A321" t="str">
            <v>30001_2</v>
          </cell>
        </row>
        <row r="322">
          <cell r="A322" t="str">
            <v>30001_3</v>
          </cell>
        </row>
        <row r="323">
          <cell r="A323" t="str">
            <v>30002_1</v>
          </cell>
        </row>
        <row r="324">
          <cell r="A324" t="str">
            <v>30002_2</v>
          </cell>
        </row>
        <row r="325">
          <cell r="A325" t="str">
            <v>30002_3</v>
          </cell>
        </row>
        <row r="326">
          <cell r="A326" t="str">
            <v>30003_1</v>
          </cell>
        </row>
        <row r="327">
          <cell r="A327" t="str">
            <v>30003_2</v>
          </cell>
        </row>
        <row r="328">
          <cell r="A328" t="str">
            <v>30003_3</v>
          </cell>
        </row>
        <row r="329">
          <cell r="A329" t="str">
            <v>30004_1</v>
          </cell>
        </row>
        <row r="330">
          <cell r="A330" t="str">
            <v>30004_2</v>
          </cell>
        </row>
        <row r="331">
          <cell r="A331" t="str">
            <v>30004_3</v>
          </cell>
        </row>
        <row r="332">
          <cell r="A332" t="str">
            <v>30005_1</v>
          </cell>
        </row>
        <row r="333">
          <cell r="A333" t="str">
            <v>30005_2</v>
          </cell>
        </row>
        <row r="334">
          <cell r="A334" t="str">
            <v>30005_3</v>
          </cell>
        </row>
        <row r="335">
          <cell r="A335" t="str">
            <v>30006_1</v>
          </cell>
        </row>
        <row r="336">
          <cell r="A336" t="str">
            <v>30006_2</v>
          </cell>
        </row>
        <row r="337">
          <cell r="A337" t="str">
            <v>30006_3</v>
          </cell>
        </row>
        <row r="338">
          <cell r="A338" t="str">
            <v>30007_1</v>
          </cell>
        </row>
        <row r="339">
          <cell r="A339" t="str">
            <v>30007_2</v>
          </cell>
        </row>
        <row r="340">
          <cell r="A340" t="str">
            <v>30007_3</v>
          </cell>
        </row>
        <row r="341">
          <cell r="A341" t="str">
            <v>30008_1</v>
          </cell>
        </row>
        <row r="342">
          <cell r="A342" t="str">
            <v>30008_2</v>
          </cell>
        </row>
        <row r="343">
          <cell r="A343" t="str">
            <v>30008_3</v>
          </cell>
        </row>
        <row r="344">
          <cell r="A344" t="str">
            <v>30009_3</v>
          </cell>
        </row>
        <row r="345">
          <cell r="A345" t="str">
            <v>30009_1</v>
          </cell>
        </row>
        <row r="346">
          <cell r="A346" t="str">
            <v>30009_2</v>
          </cell>
        </row>
        <row r="347">
          <cell r="A347" t="str">
            <v>30010_1</v>
          </cell>
        </row>
        <row r="348">
          <cell r="A348" t="str">
            <v>30010_2</v>
          </cell>
        </row>
        <row r="349">
          <cell r="A349" t="str">
            <v>30010_3</v>
          </cell>
        </row>
        <row r="350">
          <cell r="A350" t="str">
            <v>30011_1</v>
          </cell>
        </row>
        <row r="351">
          <cell r="A351" t="str">
            <v>30011_2</v>
          </cell>
        </row>
        <row r="352">
          <cell r="A352" t="str">
            <v>30011_3</v>
          </cell>
        </row>
        <row r="353">
          <cell r="A353" t="str">
            <v>30012_1</v>
          </cell>
        </row>
        <row r="354">
          <cell r="A354" t="str">
            <v>30012_2</v>
          </cell>
        </row>
        <row r="355">
          <cell r="A355" t="str">
            <v>30012_3</v>
          </cell>
        </row>
        <row r="356">
          <cell r="A356" t="str">
            <v>30013_1</v>
          </cell>
        </row>
        <row r="357">
          <cell r="A357" t="str">
            <v>30013_2</v>
          </cell>
        </row>
        <row r="358">
          <cell r="A358" t="str">
            <v>30014_1</v>
          </cell>
        </row>
        <row r="359">
          <cell r="A359" t="str">
            <v>30014_2</v>
          </cell>
        </row>
        <row r="360">
          <cell r="A360" t="str">
            <v>30015_1</v>
          </cell>
        </row>
        <row r="361">
          <cell r="A361" t="str">
            <v>30015_2</v>
          </cell>
        </row>
        <row r="362">
          <cell r="A362" t="str">
            <v>30016_1</v>
          </cell>
        </row>
        <row r="363">
          <cell r="A363" t="str">
            <v>30016_2</v>
          </cell>
        </row>
        <row r="364">
          <cell r="A364" t="str">
            <v>40001_1</v>
          </cell>
        </row>
        <row r="365">
          <cell r="A365" t="str">
            <v>40002_1</v>
          </cell>
        </row>
        <row r="366">
          <cell r="A366" t="str">
            <v>40002_2</v>
          </cell>
        </row>
        <row r="367">
          <cell r="A367" t="str">
            <v>40002_3</v>
          </cell>
        </row>
        <row r="368">
          <cell r="A368" t="str">
            <v>40003_1</v>
          </cell>
        </row>
        <row r="369">
          <cell r="A369" t="str">
            <v>40004_1</v>
          </cell>
        </row>
        <row r="370">
          <cell r="A370" t="str">
            <v>50001_1</v>
          </cell>
        </row>
        <row r="371">
          <cell r="A371" t="str">
            <v>65535_1</v>
          </cell>
        </row>
        <row r="372">
          <cell r="A372" t="str">
            <v>65535_2</v>
          </cell>
        </row>
        <row r="373">
          <cell r="A373" t="str">
            <v>65535_3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</sheetData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8"/>
  <sheetViews>
    <sheetView tabSelected="1" zoomScale="75" zoomScaleNormal="75" zoomScalePageLayoutView="75" workbookViewId="0">
      <selection activeCell="K17" sqref="K17"/>
    </sheetView>
  </sheetViews>
  <sheetFormatPr baseColWidth="12" defaultRowHeight="18" x14ac:dyDescent="0"/>
  <cols>
    <col min="2" max="2" width="18.1640625" bestFit="1" customWidth="1"/>
    <col min="5" max="5" width="17.6640625" bestFit="1" customWidth="1"/>
    <col min="6" max="6" width="22.1640625" bestFit="1" customWidth="1"/>
  </cols>
  <sheetData>
    <row r="1" spans="1:29">
      <c r="A1" s="31" t="s">
        <v>53</v>
      </c>
      <c r="B1" s="32" t="s">
        <v>54</v>
      </c>
      <c r="C1" s="32" t="s">
        <v>55</v>
      </c>
      <c r="D1" s="32" t="s">
        <v>56</v>
      </c>
      <c r="E1" s="32" t="s">
        <v>57</v>
      </c>
      <c r="F1" s="32" t="s">
        <v>58</v>
      </c>
      <c r="G1" s="32" t="s">
        <v>59</v>
      </c>
      <c r="H1" s="32"/>
      <c r="I1" s="32"/>
      <c r="J1" s="32"/>
      <c r="K1" s="32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</row>
    <row r="2" spans="1:29">
      <c r="A2" s="34" t="s">
        <v>60</v>
      </c>
      <c r="B2" s="35" t="s">
        <v>61</v>
      </c>
      <c r="C2" s="35">
        <f>floors!C2</f>
        <v>12002</v>
      </c>
      <c r="D2" s="35" t="s">
        <v>62</v>
      </c>
      <c r="E2" s="33" t="str">
        <f>B2&amp;C2&amp;D2</f>
        <v>floors_12002.tmp</v>
      </c>
      <c r="F2" s="35" t="s">
        <v>63</v>
      </c>
      <c r="G2" s="36" t="s">
        <v>0</v>
      </c>
      <c r="H2" s="36" t="s">
        <v>1</v>
      </c>
      <c r="I2" s="36" t="s">
        <v>13</v>
      </c>
      <c r="J2" s="36" t="s">
        <v>14</v>
      </c>
      <c r="K2" s="36" t="s">
        <v>15</v>
      </c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</row>
    <row r="3" spans="1:29">
      <c r="A3" s="34" t="s">
        <v>60</v>
      </c>
      <c r="B3" s="35" t="s">
        <v>64</v>
      </c>
      <c r="C3" s="35">
        <f>C2</f>
        <v>12002</v>
      </c>
      <c r="D3" s="35" t="s">
        <v>62</v>
      </c>
      <c r="E3" s="33" t="str">
        <f>B3&amp;C3&amp;D3</f>
        <v>enemy_habitats_12002.tmp</v>
      </c>
      <c r="F3" s="35" t="s">
        <v>65</v>
      </c>
      <c r="G3" s="36" t="s">
        <v>0</v>
      </c>
      <c r="H3" s="36" t="s">
        <v>1</v>
      </c>
      <c r="I3" s="36" t="s">
        <v>13</v>
      </c>
      <c r="J3" s="36" t="s">
        <v>2</v>
      </c>
      <c r="K3" s="36" t="s">
        <v>3</v>
      </c>
      <c r="L3" s="36" t="s">
        <v>50</v>
      </c>
      <c r="M3" s="36" t="s">
        <v>51</v>
      </c>
      <c r="N3" s="36" t="s">
        <v>52</v>
      </c>
      <c r="O3" s="36" t="s">
        <v>22</v>
      </c>
      <c r="P3" s="36" t="s">
        <v>5</v>
      </c>
      <c r="Q3" s="36" t="s">
        <v>6</v>
      </c>
      <c r="R3" s="36" t="s">
        <v>7</v>
      </c>
      <c r="S3" s="36" t="s">
        <v>8</v>
      </c>
      <c r="T3" s="36" t="s">
        <v>9</v>
      </c>
      <c r="U3" s="36" t="s">
        <v>10</v>
      </c>
      <c r="V3" s="36" t="s">
        <v>11</v>
      </c>
      <c r="W3" s="36" t="s">
        <v>12</v>
      </c>
      <c r="X3" s="36" t="s">
        <v>36</v>
      </c>
      <c r="Y3" s="36" t="s">
        <v>38</v>
      </c>
      <c r="Z3" s="36" t="s">
        <v>40</v>
      </c>
      <c r="AA3" s="36" t="s">
        <v>42</v>
      </c>
      <c r="AB3" s="36" t="s">
        <v>44</v>
      </c>
      <c r="AC3" s="36" t="s">
        <v>66</v>
      </c>
    </row>
    <row r="4" spans="1:29">
      <c r="A4" s="34" t="s">
        <v>60</v>
      </c>
      <c r="B4" s="35" t="s">
        <v>67</v>
      </c>
      <c r="C4" s="35">
        <f t="shared" ref="C4:C8" si="0">C3</f>
        <v>12002</v>
      </c>
      <c r="D4" s="35" t="s">
        <v>62</v>
      </c>
      <c r="E4" s="33" t="str">
        <f>B4&amp;C4&amp;D4</f>
        <v>enemy_habitat_S_12002.tmp</v>
      </c>
      <c r="F4" s="35" t="s">
        <v>68</v>
      </c>
      <c r="G4" s="36" t="s">
        <v>0</v>
      </c>
      <c r="H4" s="36" t="s">
        <v>1</v>
      </c>
      <c r="I4" s="36" t="s">
        <v>13</v>
      </c>
      <c r="J4" s="36" t="s">
        <v>66</v>
      </c>
      <c r="K4" s="36" t="s">
        <v>69</v>
      </c>
      <c r="L4" s="36" t="s">
        <v>70</v>
      </c>
      <c r="M4" s="36" t="s">
        <v>71</v>
      </c>
      <c r="N4" s="36" t="s">
        <v>72</v>
      </c>
      <c r="O4" s="36" t="s">
        <v>73</v>
      </c>
      <c r="P4" s="36" t="s">
        <v>47</v>
      </c>
      <c r="Q4" s="36" t="s">
        <v>48</v>
      </c>
      <c r="R4" s="36" t="s">
        <v>49</v>
      </c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</row>
    <row r="5" spans="1:29">
      <c r="A5" s="34" t="s">
        <v>74</v>
      </c>
      <c r="B5" s="35" t="s">
        <v>75</v>
      </c>
      <c r="C5" s="35">
        <f t="shared" si="0"/>
        <v>12002</v>
      </c>
      <c r="D5" s="35" t="s">
        <v>76</v>
      </c>
      <c r="E5" s="33" t="str">
        <f>B5&amp;C5&amp;D5</f>
        <v>enemy_skill_sets_12002.tmp</v>
      </c>
      <c r="F5" s="35" t="s">
        <v>77</v>
      </c>
      <c r="G5" s="37" t="s">
        <v>22</v>
      </c>
      <c r="H5" s="37" t="s">
        <v>78</v>
      </c>
      <c r="I5" s="37" t="s">
        <v>79</v>
      </c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</row>
    <row r="6" spans="1:29">
      <c r="A6" s="34" t="s">
        <v>80</v>
      </c>
      <c r="B6" s="35" t="s">
        <v>81</v>
      </c>
      <c r="C6" s="35">
        <f t="shared" si="0"/>
        <v>12002</v>
      </c>
      <c r="D6" s="35" t="s">
        <v>82</v>
      </c>
      <c r="E6" s="33" t="str">
        <f t="shared" ref="E6:E8" si="1">B6&amp;C6&amp;D6</f>
        <v>enemy_skills_tmp_12002.tmp</v>
      </c>
      <c r="F6" s="35" t="s">
        <v>83</v>
      </c>
      <c r="G6" s="36" t="s">
        <v>84</v>
      </c>
      <c r="H6" s="36" t="s">
        <v>85</v>
      </c>
      <c r="I6" s="36" t="s">
        <v>86</v>
      </c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</row>
    <row r="7" spans="1:29">
      <c r="A7" s="34" t="s">
        <v>87</v>
      </c>
      <c r="B7" s="35" t="s">
        <v>88</v>
      </c>
      <c r="C7" s="35">
        <f t="shared" si="0"/>
        <v>12002</v>
      </c>
      <c r="D7" s="35" t="s">
        <v>89</v>
      </c>
      <c r="E7" s="33" t="str">
        <f>B7&amp;C7&amp;D7</f>
        <v>enemy_skills_i18n_12002.tmp</v>
      </c>
      <c r="F7" s="35" t="s">
        <v>90</v>
      </c>
      <c r="G7" s="36" t="s">
        <v>84</v>
      </c>
      <c r="H7" s="36" t="s">
        <v>91</v>
      </c>
      <c r="I7" s="36" t="s">
        <v>92</v>
      </c>
      <c r="J7" s="36" t="s">
        <v>93</v>
      </c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</row>
    <row r="8" spans="1:29">
      <c r="A8" s="34" t="s">
        <v>80</v>
      </c>
      <c r="B8" s="35" t="s">
        <v>94</v>
      </c>
      <c r="C8" s="35">
        <f t="shared" si="0"/>
        <v>12002</v>
      </c>
      <c r="D8" s="35" t="s">
        <v>95</v>
      </c>
      <c r="E8" s="33" t="str">
        <f t="shared" si="1"/>
        <v>enemy_skill_triggers_12002.tmp</v>
      </c>
      <c r="F8" s="35" t="s">
        <v>96</v>
      </c>
      <c r="G8" s="36" t="s">
        <v>79</v>
      </c>
      <c r="H8" s="36" t="s">
        <v>97</v>
      </c>
      <c r="I8" s="36" t="s">
        <v>98</v>
      </c>
      <c r="J8" s="36" t="s">
        <v>99</v>
      </c>
      <c r="K8" s="36" t="s">
        <v>100</v>
      </c>
      <c r="L8" s="36" t="s">
        <v>101</v>
      </c>
      <c r="M8" s="36" t="s">
        <v>102</v>
      </c>
      <c r="N8" s="36" t="s">
        <v>103</v>
      </c>
      <c r="O8" s="36" t="s">
        <v>104</v>
      </c>
      <c r="P8" s="36" t="s">
        <v>105</v>
      </c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zoomScale="75" zoomScaleNormal="75" zoomScalePageLayoutView="75" workbookViewId="0">
      <pane ySplit="1" topLeftCell="A2" activePane="bottomLeft" state="frozen"/>
      <selection activeCell="V2" sqref="V2:X34"/>
      <selection pane="bottomLeft" activeCell="H15" sqref="H15"/>
    </sheetView>
  </sheetViews>
  <sheetFormatPr baseColWidth="12" defaultColWidth="13" defaultRowHeight="21" customHeight="1" outlineLevelCol="1" x14ac:dyDescent="0"/>
  <cols>
    <col min="1" max="1" width="8.83203125" style="23" bestFit="1" customWidth="1"/>
    <col min="2" max="2" width="5" style="23" bestFit="1" customWidth="1"/>
    <col min="3" max="3" width="7.1640625" style="4" bestFit="1" customWidth="1"/>
    <col min="4" max="4" width="21.6640625" style="4" bestFit="1" customWidth="1" outlineLevel="1"/>
    <col min="5" max="5" width="11.33203125" style="4" bestFit="1" customWidth="1" outlineLevel="1"/>
    <col min="6" max="6" width="7" style="4" bestFit="1" customWidth="1"/>
    <col min="7" max="7" width="9.33203125" style="23" bestFit="1" customWidth="1" outlineLevel="1"/>
    <col min="8" max="8" width="34" style="4" bestFit="1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>
      <c r="A1" s="17" t="s">
        <v>29</v>
      </c>
      <c r="B1" s="17" t="s">
        <v>35</v>
      </c>
      <c r="C1" s="1" t="s">
        <v>0</v>
      </c>
      <c r="D1" s="2" t="s">
        <v>18</v>
      </c>
      <c r="E1" s="16" t="s">
        <v>32</v>
      </c>
      <c r="F1" s="1" t="s">
        <v>1</v>
      </c>
      <c r="G1" s="27" t="s">
        <v>31</v>
      </c>
      <c r="H1" s="16" t="s">
        <v>33</v>
      </c>
      <c r="I1" s="1" t="s">
        <v>13</v>
      </c>
      <c r="J1" s="1" t="s">
        <v>14</v>
      </c>
      <c r="K1" s="1" t="s">
        <v>15</v>
      </c>
    </row>
    <row r="2" spans="1:11" ht="21" customHeight="1">
      <c r="A2" s="17" t="str">
        <f t="shared" ref="A2:A6" si="0">G2&amp;"-"&amp;I2</f>
        <v>12002_1-1</v>
      </c>
      <c r="B2" s="17" t="str">
        <f>IF(COUNTIF(enemy_habitats!$H:$H,A2),"OK","NG")</f>
        <v>OK</v>
      </c>
      <c r="C2" s="8">
        <v>12002</v>
      </c>
      <c r="D2" s="12" t="str">
        <f ca="1">VLOOKUP($C2,OFFSET([2]quests!$A$1,0,0,COUNTA([2]quests!$A:$A),MATCH(D$1,[2]quests!$1:$1,0)-MATCH($C$1,[2]quests!$1:$1,0)+1),MATCH(D$1,[2]quests!$1:$1,0)-MATCH($C$1,[2]quests!$1:$1,0)+1,FALSE)</f>
        <v>【緊急！！】 アヒル捕獲作戦</v>
      </c>
      <c r="E2" s="22" t="str">
        <f ca="1">VLOOKUP($C2,OFFSET([2]quests!$A$1,0,0,COUNTA([2]quests!$A:$A),MATCH(E$1,[2]quests!$1:$1,0)-MATCH($C$1,[2]quests!$1:$1,0)+1),MATCH(E$1,[2]quests!$1:$1,0)-MATCH($C$1,[2]quests!$1:$1,0)+1,FALSE)</f>
        <v>ゲリラクエスト</v>
      </c>
      <c r="F2" s="25">
        <v>1</v>
      </c>
      <c r="G2" s="27" t="str">
        <f t="shared" ref="G2:G6" si="1">C2&amp;"_"&amp;F2</f>
        <v>12002_1</v>
      </c>
      <c r="H2" s="16" t="str">
        <f ca="1">VLOOKUP($G2,OFFSET([2]stages!$A$1,0,0,COUNTA([2]stages!$A:$A),MATCH(H$1,[2]stages!$2:$2,0)-MATCH($G$1,[2]stages!$2:$2,0)+1),MATCH(H$1,[2]stages!$2:$2,0)-MATCH($G$1,[2]stages!$2:$2,0)+1,FALSE)</f>
        <v>メタルダックを捕獲せよ！【上級】</v>
      </c>
      <c r="I2" s="25">
        <v>1</v>
      </c>
      <c r="J2" s="13">
        <v>60</v>
      </c>
      <c r="K2" s="13">
        <v>60</v>
      </c>
    </row>
    <row r="3" spans="1:11" ht="21" customHeight="1">
      <c r="A3" s="17" t="str">
        <f t="shared" si="0"/>
        <v>12002_1-2</v>
      </c>
      <c r="B3" s="17" t="str">
        <f>IF(COUNTIF(enemy_habitats!$H:$H,A3),"OK","NG")</f>
        <v>OK</v>
      </c>
      <c r="C3" s="8">
        <v>12002</v>
      </c>
      <c r="D3" s="12" t="str">
        <f ca="1">VLOOKUP($C3,OFFSET([2]quests!$A$1,0,0,COUNTA([2]quests!$A:$A),MATCH(D$1,[2]quests!$1:$1,0)-MATCH($C$1,[2]quests!$1:$1,0)+1),MATCH(D$1,[2]quests!$1:$1,0)-MATCH($C$1,[2]quests!$1:$1,0)+1,FALSE)</f>
        <v>【緊急！！】 アヒル捕獲作戦</v>
      </c>
      <c r="E3" s="22" t="str">
        <f ca="1">VLOOKUP($C3,OFFSET([2]quests!$A$1,0,0,COUNTA([2]quests!$A:$A),MATCH(E$1,[2]quests!$1:$1,0)-MATCH($C$1,[2]quests!$1:$1,0)+1),MATCH(E$1,[2]quests!$1:$1,0)-MATCH($C$1,[2]quests!$1:$1,0)+1,FALSE)</f>
        <v>ゲリラクエスト</v>
      </c>
      <c r="F3" s="25">
        <v>1</v>
      </c>
      <c r="G3" s="27" t="str">
        <f t="shared" si="1"/>
        <v>12002_1</v>
      </c>
      <c r="H3" s="16" t="str">
        <f ca="1">VLOOKUP($G3,OFFSET([2]stages!$A$1,0,0,COUNTA([2]stages!$A:$A),MATCH(H$1,[2]stages!$2:$2,0)-MATCH($G$1,[2]stages!$2:$2,0)+1),MATCH(H$1,[2]stages!$2:$2,0)-MATCH($G$1,[2]stages!$2:$2,0)+1,FALSE)</f>
        <v>メタルダックを捕獲せよ！【上級】</v>
      </c>
      <c r="I3" s="25">
        <v>2</v>
      </c>
      <c r="J3" s="13">
        <v>50</v>
      </c>
      <c r="K3" s="13">
        <v>50</v>
      </c>
    </row>
    <row r="4" spans="1:11" ht="21" customHeight="1">
      <c r="A4" s="17" t="str">
        <f t="shared" si="0"/>
        <v>12002_1-3</v>
      </c>
      <c r="B4" s="17" t="str">
        <f>IF(COUNTIF(enemy_habitats!$H:$H,A4),"OK","NG")</f>
        <v>OK</v>
      </c>
      <c r="C4" s="8">
        <v>12002</v>
      </c>
      <c r="D4" s="12" t="str">
        <f ca="1">VLOOKUP($C4,OFFSET([2]quests!$A$1,0,0,COUNTA([2]quests!$A:$A),MATCH(D$1,[2]quests!$1:$1,0)-MATCH($C$1,[2]quests!$1:$1,0)+1),MATCH(D$1,[2]quests!$1:$1,0)-MATCH($C$1,[2]quests!$1:$1,0)+1,FALSE)</f>
        <v>【緊急！！】 アヒル捕獲作戦</v>
      </c>
      <c r="E4" s="22" t="str">
        <f ca="1">VLOOKUP($C4,OFFSET([2]quests!$A$1,0,0,COUNTA([2]quests!$A:$A),MATCH(E$1,[2]quests!$1:$1,0)-MATCH($C$1,[2]quests!$1:$1,0)+1),MATCH(E$1,[2]quests!$1:$1,0)-MATCH($C$1,[2]quests!$1:$1,0)+1,FALSE)</f>
        <v>ゲリラクエスト</v>
      </c>
      <c r="F4" s="25">
        <v>1</v>
      </c>
      <c r="G4" s="27" t="str">
        <f t="shared" si="1"/>
        <v>12002_1</v>
      </c>
      <c r="H4" s="16" t="str">
        <f ca="1">VLOOKUP($G4,OFFSET([2]stages!$A$1,0,0,COUNTA([2]stages!$A:$A),MATCH(H$1,[2]stages!$2:$2,0)-MATCH($G$1,[2]stages!$2:$2,0)+1),MATCH(H$1,[2]stages!$2:$2,0)-MATCH($G$1,[2]stages!$2:$2,0)+1,FALSE)</f>
        <v>メタルダックを捕獲せよ！【上級】</v>
      </c>
      <c r="I4" s="25">
        <v>3</v>
      </c>
      <c r="J4" s="13">
        <v>50</v>
      </c>
      <c r="K4" s="13">
        <v>50</v>
      </c>
    </row>
    <row r="5" spans="1:11" ht="21" customHeight="1">
      <c r="A5" s="17" t="str">
        <f t="shared" si="0"/>
        <v>12002_1-4</v>
      </c>
      <c r="B5" s="17" t="str">
        <f>IF(COUNTIF(enemy_habitats!$H:$H,A5),"OK","NG")</f>
        <v>OK</v>
      </c>
      <c r="C5" s="8">
        <v>12002</v>
      </c>
      <c r="D5" s="12" t="str">
        <f ca="1">VLOOKUP($C5,OFFSET([2]quests!$A$1,0,0,COUNTA([2]quests!$A:$A),MATCH(D$1,[2]quests!$1:$1,0)-MATCH($C$1,[2]quests!$1:$1,0)+1),MATCH(D$1,[2]quests!$1:$1,0)-MATCH($C$1,[2]quests!$1:$1,0)+1,FALSE)</f>
        <v>【緊急！！】 アヒル捕獲作戦</v>
      </c>
      <c r="E5" s="22" t="str">
        <f ca="1">VLOOKUP($C5,OFFSET([2]quests!$A$1,0,0,COUNTA([2]quests!$A:$A),MATCH(E$1,[2]quests!$1:$1,0)-MATCH($C$1,[2]quests!$1:$1,0)+1),MATCH(E$1,[2]quests!$1:$1,0)-MATCH($C$1,[2]quests!$1:$1,0)+1,FALSE)</f>
        <v>ゲリラクエスト</v>
      </c>
      <c r="F5" s="25">
        <v>1</v>
      </c>
      <c r="G5" s="27" t="str">
        <f t="shared" si="1"/>
        <v>12002_1</v>
      </c>
      <c r="H5" s="16" t="str">
        <f ca="1">VLOOKUP($G5,OFFSET([2]stages!$A$1,0,0,COUNTA([2]stages!$A:$A),MATCH(H$1,[2]stages!$2:$2,0)-MATCH($G$1,[2]stages!$2:$2,0)+1),MATCH(H$1,[2]stages!$2:$2,0)-MATCH($G$1,[2]stages!$2:$2,0)+1,FALSE)</f>
        <v>メタルダックを捕獲せよ！【上級】</v>
      </c>
      <c r="I5" s="25">
        <v>4</v>
      </c>
      <c r="J5" s="13">
        <v>50</v>
      </c>
      <c r="K5" s="13">
        <v>50</v>
      </c>
    </row>
    <row r="6" spans="1:11" ht="21" customHeight="1">
      <c r="A6" s="17" t="str">
        <f t="shared" si="0"/>
        <v>12002_1-5</v>
      </c>
      <c r="B6" s="17" t="str">
        <f>IF(COUNTIF(enemy_habitats!$H:$H,A6),"OK","NG")</f>
        <v>OK</v>
      </c>
      <c r="C6" s="8">
        <v>12002</v>
      </c>
      <c r="D6" s="12" t="str">
        <f ca="1">VLOOKUP($C6,OFFSET([2]quests!$A$1,0,0,COUNTA([2]quests!$A:$A),MATCH(D$1,[2]quests!$1:$1,0)-MATCH($C$1,[2]quests!$1:$1,0)+1),MATCH(D$1,[2]quests!$1:$1,0)-MATCH($C$1,[2]quests!$1:$1,0)+1,FALSE)</f>
        <v>【緊急！！】 アヒル捕獲作戦</v>
      </c>
      <c r="E6" s="22" t="str">
        <f ca="1">VLOOKUP($C6,OFFSET([2]quests!$A$1,0,0,COUNTA([2]quests!$A:$A),MATCH(E$1,[2]quests!$1:$1,0)-MATCH($C$1,[2]quests!$1:$1,0)+1),MATCH(E$1,[2]quests!$1:$1,0)-MATCH($C$1,[2]quests!$1:$1,0)+1,FALSE)</f>
        <v>ゲリラクエスト</v>
      </c>
      <c r="F6" s="25">
        <v>1</v>
      </c>
      <c r="G6" s="27" t="str">
        <f t="shared" si="1"/>
        <v>12002_1</v>
      </c>
      <c r="H6" s="16" t="str">
        <f ca="1">VLOOKUP($G6,OFFSET([2]stages!$A$1,0,0,COUNTA([2]stages!$A:$A),MATCH(H$1,[2]stages!$2:$2,0)-MATCH($G$1,[2]stages!$2:$2,0)+1),MATCH(H$1,[2]stages!$2:$2,0)-MATCH($G$1,[2]stages!$2:$2,0)+1,FALSE)</f>
        <v>メタルダックを捕獲せよ！【上級】</v>
      </c>
      <c r="I6" s="25">
        <v>5</v>
      </c>
      <c r="J6" s="13">
        <v>60</v>
      </c>
      <c r="K6" s="13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29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C15" sqref="C15"/>
    </sheetView>
  </sheetViews>
  <sheetFormatPr baseColWidth="12" defaultColWidth="13" defaultRowHeight="21" customHeight="1" outlineLevelCol="1" x14ac:dyDescent="0"/>
  <cols>
    <col min="1" max="1" width="12.5" style="23" bestFit="1" customWidth="1"/>
    <col min="2" max="2" width="12.5" style="4" bestFit="1" customWidth="1"/>
    <col min="3" max="3" width="12.33203125" style="4" bestFit="1" customWidth="1"/>
    <col min="4" max="4" width="14.6640625" style="15" customWidth="1" outlineLevel="1"/>
    <col min="5" max="6" width="15.6640625" style="4" customWidth="1" outlineLevel="1"/>
    <col min="7" max="7" width="11.83203125" style="4" bestFit="1" customWidth="1"/>
    <col min="8" max="8" width="11.83203125" style="4" customWidth="1" outlineLevel="1"/>
    <col min="9" max="10" width="12.33203125" style="4" customWidth="1" outlineLevel="1"/>
    <col min="11" max="11" width="13" style="4"/>
    <col min="12" max="12" width="15.33203125" style="10" bestFit="1" customWidth="1"/>
    <col min="13" max="13" width="17.6640625" style="4" customWidth="1"/>
    <col min="14" max="14" width="10.33203125" style="4" customWidth="1" outlineLevel="1"/>
    <col min="15" max="15" width="13.6640625" style="4" customWidth="1" outlineLevel="1"/>
    <col min="16" max="16" width="22.83203125" style="4" customWidth="1" outlineLevel="1"/>
    <col min="17" max="17" width="11.6640625" style="4" customWidth="1" outlineLevel="1"/>
    <col min="18" max="18" width="10.1640625" style="4" bestFit="1" customWidth="1"/>
    <col min="19" max="19" width="14.83203125" style="4" bestFit="1" customWidth="1"/>
    <col min="20" max="20" width="17.5" style="4" bestFit="1" customWidth="1"/>
    <col min="21" max="21" width="18.33203125" style="4" bestFit="1" customWidth="1"/>
    <col min="22" max="22" width="14" style="4" customWidth="1"/>
    <col min="23" max="23" width="14" style="4" customWidth="1" outlineLevel="1"/>
    <col min="24" max="24" width="13" style="4" bestFit="1" customWidth="1"/>
    <col min="25" max="25" width="13.5" style="4" bestFit="1" customWidth="1"/>
    <col min="26" max="26" width="12.33203125" style="4" bestFit="1" customWidth="1"/>
    <col min="27" max="27" width="11" style="4" bestFit="1" customWidth="1"/>
    <col min="28" max="28" width="14.83203125" style="4" bestFit="1" customWidth="1"/>
    <col min="29" max="29" width="17.6640625" style="14" customWidth="1" outlineLevel="1"/>
    <col min="30" max="31" width="13.6640625" style="15" customWidth="1" outlineLevel="1"/>
    <col min="32" max="32" width="16.83203125" style="11" bestFit="1" customWidth="1" collapsed="1"/>
    <col min="33" max="34" width="16.5" style="4" bestFit="1" customWidth="1"/>
    <col min="35" max="35" width="15.33203125" style="4" customWidth="1"/>
    <col min="36" max="16384" width="13" style="4"/>
  </cols>
  <sheetData>
    <row r="1" spans="1:39" ht="21" customHeight="1">
      <c r="A1" s="17" t="s">
        <v>28</v>
      </c>
      <c r="B1" s="1" t="s">
        <v>0</v>
      </c>
      <c r="C1" s="1" t="s">
        <v>1</v>
      </c>
      <c r="D1" s="16" t="s">
        <v>27</v>
      </c>
      <c r="E1" s="2" t="s">
        <v>20</v>
      </c>
      <c r="F1" s="2" t="s">
        <v>20</v>
      </c>
      <c r="G1" s="1" t="s">
        <v>19</v>
      </c>
      <c r="H1" s="16" t="s">
        <v>34</v>
      </c>
      <c r="I1" s="39" t="s">
        <v>14</v>
      </c>
      <c r="J1" s="39" t="s">
        <v>15</v>
      </c>
      <c r="K1" s="1" t="s">
        <v>146</v>
      </c>
      <c r="L1" s="1" t="s">
        <v>2</v>
      </c>
      <c r="M1" s="19" t="s">
        <v>21</v>
      </c>
      <c r="N1" s="16" t="s">
        <v>23</v>
      </c>
      <c r="O1" s="16" t="s">
        <v>46</v>
      </c>
      <c r="P1" s="21" t="s">
        <v>25</v>
      </c>
      <c r="Q1" s="2" t="s">
        <v>24</v>
      </c>
      <c r="R1" s="1" t="s">
        <v>3</v>
      </c>
      <c r="S1" s="29" t="s">
        <v>47</v>
      </c>
      <c r="T1" s="29" t="s">
        <v>48</v>
      </c>
      <c r="U1" s="29" t="s">
        <v>49</v>
      </c>
      <c r="V1" s="16" t="s">
        <v>30</v>
      </c>
      <c r="W1" s="1" t="s">
        <v>4</v>
      </c>
      <c r="X1" s="1" t="s">
        <v>5</v>
      </c>
      <c r="Y1" s="1" t="s">
        <v>6</v>
      </c>
      <c r="Z1" s="1" t="s">
        <v>7</v>
      </c>
      <c r="AA1" s="1" t="s">
        <v>8</v>
      </c>
      <c r="AB1" s="3" t="s">
        <v>9</v>
      </c>
      <c r="AC1" s="18" t="s">
        <v>16</v>
      </c>
      <c r="AD1" s="18" t="s">
        <v>17</v>
      </c>
      <c r="AE1" s="18" t="s">
        <v>26</v>
      </c>
      <c r="AF1" s="3" t="s">
        <v>10</v>
      </c>
      <c r="AG1" s="1" t="s">
        <v>11</v>
      </c>
      <c r="AH1" s="1" t="s">
        <v>12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45</v>
      </c>
    </row>
    <row r="2" spans="1:39" ht="21" customHeight="1">
      <c r="A2" s="17" t="str">
        <f t="shared" ref="A2:A9" ca="1" si="0">B2&amp;"_"&amp;C2&amp;"-"&amp;G2&amp;"/"&amp;L2&amp;"&lt;lv"&amp;R2&amp;"&gt;s"&amp;AA2</f>
        <v>12002_1-1/333&lt;lv3&gt;s2</v>
      </c>
      <c r="B2" s="26">
        <v>12002</v>
      </c>
      <c r="C2" s="25">
        <v>1</v>
      </c>
      <c r="D2" s="2" t="str">
        <f t="shared" ref="D2:D25" si="1">B2&amp;"_"&amp;C2</f>
        <v>12002_1</v>
      </c>
      <c r="E2" s="5" t="str">
        <f ca="1">VLOOKUP($B2,OFFSET([2]quests!$A$1,0,0,COUNTA([2]quests!$A:$A),MATCH(E$1,[2]quests!$1:$1,0)-MATCH($B$1,[2]quests!$1:$1,0)+1),MATCH(E$1,[2]quests!$1:$1,0)-MATCH($B$1,[2]quests!$1:$1,0)+1,FALSE)</f>
        <v>【緊急！！】 アヒル捕獲作戦</v>
      </c>
      <c r="F2" s="5" t="str">
        <f ca="1">VLOOKUP($D2,OFFSET([2]stages!$A$1,0,0,COUNTA([2]stages!$A:$A),MATCH(F$1,[2]stages!$2:$2,0)-MATCH($D$1,[2]stages!$2:$2,0)+1),MATCH(F$1,[2]stages!$2:$2,0)-MATCH($D$1,[2]stages!$2:$2,0)+1,FALSE)</f>
        <v>メタルダックを捕獲せよ！【上級】</v>
      </c>
      <c r="G2" s="25">
        <v>1</v>
      </c>
      <c r="H2" s="16" t="str">
        <f t="shared" ref="H2:H10" si="2">B2&amp;"_"&amp;C2&amp;"-"&amp;G2</f>
        <v>12002_1-1</v>
      </c>
      <c r="I2" s="5">
        <f ca="1">VLOOKUP($H2,OFFSET(floors!$A$1,0,0,COUNTA(floors!$A:$A),MATCH(I$1,floors!$1:$1,0)-MATCH($H$1,floors!$1:$1,0)+1),MATCH(I$1,floors!$1:$1,0)-MATCH($H$1,floors!$1:$1,0)+1,FALSE)</f>
        <v>60</v>
      </c>
      <c r="J2" s="5">
        <f ca="1">VLOOKUP($H2,OFFSET(floors!$A$1,0,0,COUNTA(floors!$A:$A),MATCH(J$1,floors!$1:$1,0)-MATCH($H$1,floors!$1:$1,0)+1),MATCH(J$1,floors!$1:$1,0)-MATCH($H$1,floors!$1:$1,0)+1,FALSE)</f>
        <v>60</v>
      </c>
      <c r="K2" s="8" t="s">
        <v>147</v>
      </c>
      <c r="L2" s="24">
        <v>333</v>
      </c>
      <c r="M2" s="20" t="str">
        <f ca="1">VLOOKUP($L2,OFFSET([3]enemies!$A$1,0,0,COUNTA([3]enemies!$A:$A),MATCH(M$1,[3]enemies!$1:$1,0)-MATCH($L$1,[3]enemies!$1:$1,0)+1),MATCH(M$1,[3]enemies!$1:$1,0)-MATCH($L$1,[3]enemies!$1:$1,0)+1,FALSE)</f>
        <v>炎のメタルチック</v>
      </c>
      <c r="N2" s="20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20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20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20">
        <f ca="1">VLOOKUP($L2,OFFSET([3]enemies!$A$1,0,0,COUNTA([3]enemies!$A:$A),MATCH(Q$1,[3]enemies!$1:$1,0)-MATCH($L$1,[3]enemies!$1:$1,0)+1),MATCH(Q$1,[3]enemies!$1:$1,0)-MATCH($L$1,[3]enemies!$1:$1,0)+1,FALSE)</f>
        <v>15</v>
      </c>
      <c r="R2" s="8">
        <v>3</v>
      </c>
      <c r="S2" s="30">
        <v>1</v>
      </c>
      <c r="T2" s="30">
        <v>35</v>
      </c>
      <c r="U2" s="6">
        <v>-2000</v>
      </c>
      <c r="V2" s="5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5">
        <f ca="1">VLOOKUP($L2,OFFSET([3]enemies!$A$1,0,0,COUNTA([3]enemies!$A:$A),MATCH(W$1,[3]enemies!$1:$1,0)-MATCH($L$1,[3]enemies!$1:$1,0)+1),MATCH(W$1,[3]enemies!$1:$1,0)-MATCH($L$1,[3]enemies!$1:$1,0)+1,FALSE)</f>
        <v>0</v>
      </c>
      <c r="X2" s="7">
        <v>1</v>
      </c>
      <c r="Y2" s="7">
        <v>100</v>
      </c>
      <c r="Z2" s="7">
        <v>0</v>
      </c>
      <c r="AA2" s="20">
        <f ca="1">VLOOKUP($L2,OFFSET([3]enemies!$A$1,0,0,COUNTA([3]enemies!$A:$A),MATCH(AA$1,[3]enemies!$1:$1,0)-MATCH($L$1,[3]enemies!$1:$1,0)+1),MATCH(AA$1,[3]enemies!$1:$1,0)-MATCH($L$1,[3]enemies!$1:$1,0)+1,FALSE)</f>
        <v>2</v>
      </c>
      <c r="AB2" s="2">
        <f t="shared" ref="AB2:AB29" si="3">L2</f>
        <v>333</v>
      </c>
      <c r="AC2" s="5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2" s="5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5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8">
        <v>1</v>
      </c>
      <c r="AG2" s="28">
        <f t="shared" ref="AG2:AG25" ca="1" si="4">AD2</f>
        <v>4</v>
      </c>
      <c r="AH2" s="9">
        <v>100</v>
      </c>
      <c r="AI2" s="8">
        <v>0</v>
      </c>
      <c r="AJ2" s="8">
        <v>0</v>
      </c>
      <c r="AK2" s="8">
        <v>0</v>
      </c>
      <c r="AL2" s="8">
        <v>0</v>
      </c>
      <c r="AM2" s="8">
        <v>1</v>
      </c>
    </row>
    <row r="3" spans="1:39" ht="21" customHeight="1">
      <c r="A3" s="17" t="str">
        <f t="shared" ca="1" si="0"/>
        <v>12002_1-1/337&lt;lv3&gt;s2</v>
      </c>
      <c r="B3" s="26">
        <v>12002</v>
      </c>
      <c r="C3" s="25">
        <v>1</v>
      </c>
      <c r="D3" s="2" t="str">
        <f t="shared" si="1"/>
        <v>12002_1</v>
      </c>
      <c r="E3" s="5" t="str">
        <f ca="1">VLOOKUP($B3,OFFSET([2]quests!$A$1,0,0,COUNTA([2]quests!$A:$A),MATCH(E$1,[2]quests!$1:$1,0)-MATCH($B$1,[2]quests!$1:$1,0)+1),MATCH(E$1,[2]quests!$1:$1,0)-MATCH($B$1,[2]quests!$1:$1,0)+1,FALSE)</f>
        <v>【緊急！！】 アヒル捕獲作戦</v>
      </c>
      <c r="F3" s="5" t="str">
        <f ca="1">VLOOKUP($D3,OFFSET([2]stages!$A$1,0,0,COUNTA([2]stages!$A:$A),MATCH(F$1,[2]stages!$2:$2,0)-MATCH($D$1,[2]stages!$2:$2,0)+1),MATCH(F$1,[2]stages!$2:$2,0)-MATCH($D$1,[2]stages!$2:$2,0)+1,FALSE)</f>
        <v>メタルダックを捕獲せよ！【上級】</v>
      </c>
      <c r="G3" s="25">
        <v>1</v>
      </c>
      <c r="H3" s="16" t="str">
        <f t="shared" si="2"/>
        <v>12002_1-1</v>
      </c>
      <c r="I3" s="5">
        <f ca="1">VLOOKUP($H3,OFFSET(floors!$A$1,0,0,COUNTA(floors!$A:$A),MATCH(I$1,floors!$1:$1,0)-MATCH($H$1,floors!$1:$1,0)+1),MATCH(I$1,floors!$1:$1,0)-MATCH($H$1,floors!$1:$1,0)+1,FALSE)</f>
        <v>60</v>
      </c>
      <c r="J3" s="5">
        <f ca="1">VLOOKUP($H3,OFFSET(floors!$A$1,0,0,COUNTA(floors!$A:$A),MATCH(J$1,floors!$1:$1,0)-MATCH($H$1,floors!$1:$1,0)+1),MATCH(J$1,floors!$1:$1,0)-MATCH($H$1,floors!$1:$1,0)+1,FALSE)</f>
        <v>60</v>
      </c>
      <c r="K3" s="8" t="s">
        <v>147</v>
      </c>
      <c r="L3" s="24">
        <v>337</v>
      </c>
      <c r="M3" s="20" t="str">
        <f ca="1">VLOOKUP($L3,OFFSET([3]enemies!$A$1,0,0,COUNTA([3]enemies!$A:$A),MATCH(M$1,[3]enemies!$1:$1,0)-MATCH($L$1,[3]enemies!$1:$1,0)+1),MATCH(M$1,[3]enemies!$1:$1,0)-MATCH($L$1,[3]enemies!$1:$1,0)+1,FALSE)</f>
        <v>森のメタルチック</v>
      </c>
      <c r="N3" s="20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20" t="str">
        <f ca="1">VLOOKUP($L3,OFFSET([4]characters!$A$1,0,0,COUNTA([4]characters!$A:$A),MATCH(O$1,[4]characters!$1:$1,0)-MATCH($L$1,[4]characters!$1:$1,0)+1),MATCH(O$1,[4]characters!$1:$1,0)-MATCH($L$1,[4]characters!$1:$1,0)+1,FALSE)</f>
        <v>Material</v>
      </c>
      <c r="P3" s="20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20">
        <f ca="1">VLOOKUP($L3,OFFSET([3]enemies!$A$1,0,0,COUNTA([3]enemies!$A:$A),MATCH(Q$1,[3]enemies!$1:$1,0)-MATCH($L$1,[3]enemies!$1:$1,0)+1),MATCH(Q$1,[3]enemies!$1:$1,0)-MATCH($L$1,[3]enemies!$1:$1,0)+1,FALSE)</f>
        <v>15</v>
      </c>
      <c r="R3" s="8">
        <v>3</v>
      </c>
      <c r="S3" s="30">
        <v>1</v>
      </c>
      <c r="T3" s="30">
        <v>35</v>
      </c>
      <c r="U3" s="6">
        <v>-2000</v>
      </c>
      <c r="V3" s="5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" s="5">
        <f ca="1">VLOOKUP($L3,OFFSET([3]enemies!$A$1,0,0,COUNTA([3]enemies!$A:$A),MATCH(W$1,[3]enemies!$1:$1,0)-MATCH($L$1,[3]enemies!$1:$1,0)+1),MATCH(W$1,[3]enemies!$1:$1,0)-MATCH($L$1,[3]enemies!$1:$1,0)+1,FALSE)</f>
        <v>0</v>
      </c>
      <c r="X3" s="7">
        <v>1</v>
      </c>
      <c r="Y3" s="7">
        <v>100</v>
      </c>
      <c r="Z3" s="7">
        <v>0</v>
      </c>
      <c r="AA3" s="20">
        <f ca="1">VLOOKUP($L3,OFFSET([3]enemies!$A$1,0,0,COUNTA([3]enemies!$A:$A),MATCH(AA$1,[3]enemies!$1:$1,0)-MATCH($L$1,[3]enemies!$1:$1,0)+1),MATCH(AA$1,[3]enemies!$1:$1,0)-MATCH($L$1,[3]enemies!$1:$1,0)+1,FALSE)</f>
        <v>2</v>
      </c>
      <c r="AB3" s="2">
        <f t="shared" si="3"/>
        <v>337</v>
      </c>
      <c r="AC3" s="5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3" s="5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5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" s="8">
        <v>1</v>
      </c>
      <c r="AG3" s="28">
        <f t="shared" ca="1" si="4"/>
        <v>4</v>
      </c>
      <c r="AH3" s="9">
        <v>100</v>
      </c>
      <c r="AI3" s="8">
        <v>0</v>
      </c>
      <c r="AJ3" s="8">
        <v>0</v>
      </c>
      <c r="AK3" s="8">
        <v>0</v>
      </c>
      <c r="AL3" s="8">
        <v>0</v>
      </c>
      <c r="AM3" s="8">
        <v>1</v>
      </c>
    </row>
    <row r="4" spans="1:39" ht="21" customHeight="1">
      <c r="A4" s="17" t="str">
        <f t="shared" ca="1" si="0"/>
        <v>12002_1-1/341&lt;lv3&gt;s2</v>
      </c>
      <c r="B4" s="26">
        <v>12002</v>
      </c>
      <c r="C4" s="25">
        <v>1</v>
      </c>
      <c r="D4" s="2" t="str">
        <f t="shared" si="1"/>
        <v>12002_1</v>
      </c>
      <c r="E4" s="5" t="str">
        <f ca="1">VLOOKUP($B4,OFFSET([2]quests!$A$1,0,0,COUNTA([2]quests!$A:$A),MATCH(E$1,[2]quests!$1:$1,0)-MATCH($B$1,[2]quests!$1:$1,0)+1),MATCH(E$1,[2]quests!$1:$1,0)-MATCH($B$1,[2]quests!$1:$1,0)+1,FALSE)</f>
        <v>【緊急！！】 アヒル捕獲作戦</v>
      </c>
      <c r="F4" s="5" t="str">
        <f ca="1">VLOOKUP($D4,OFFSET([2]stages!$A$1,0,0,COUNTA([2]stages!$A:$A),MATCH(F$1,[2]stages!$2:$2,0)-MATCH($D$1,[2]stages!$2:$2,0)+1),MATCH(F$1,[2]stages!$2:$2,0)-MATCH($D$1,[2]stages!$2:$2,0)+1,FALSE)</f>
        <v>メタルダックを捕獲せよ！【上級】</v>
      </c>
      <c r="G4" s="25">
        <v>1</v>
      </c>
      <c r="H4" s="16" t="str">
        <f t="shared" si="2"/>
        <v>12002_1-1</v>
      </c>
      <c r="I4" s="5">
        <f ca="1">VLOOKUP($H4,OFFSET(floors!$A$1,0,0,COUNTA(floors!$A:$A),MATCH(I$1,floors!$1:$1,0)-MATCH($H$1,floors!$1:$1,0)+1),MATCH(I$1,floors!$1:$1,0)-MATCH($H$1,floors!$1:$1,0)+1,FALSE)</f>
        <v>60</v>
      </c>
      <c r="J4" s="5">
        <f ca="1">VLOOKUP($H4,OFFSET(floors!$A$1,0,0,COUNTA(floors!$A:$A),MATCH(J$1,floors!$1:$1,0)-MATCH($H$1,floors!$1:$1,0)+1),MATCH(J$1,floors!$1:$1,0)-MATCH($H$1,floors!$1:$1,0)+1,FALSE)</f>
        <v>60</v>
      </c>
      <c r="K4" s="8" t="s">
        <v>147</v>
      </c>
      <c r="L4" s="24">
        <v>341</v>
      </c>
      <c r="M4" s="20" t="str">
        <f ca="1">VLOOKUP($L4,OFFSET([3]enemies!$A$1,0,0,COUNTA([3]enemies!$A:$A),MATCH(M$1,[3]enemies!$1:$1,0)-MATCH($L$1,[3]enemies!$1:$1,0)+1),MATCH(M$1,[3]enemies!$1:$1,0)-MATCH($L$1,[3]enemies!$1:$1,0)+1,FALSE)</f>
        <v>水のメタルチック</v>
      </c>
      <c r="N4" s="20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20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20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20">
        <f ca="1">VLOOKUP($L4,OFFSET([3]enemies!$A$1,0,0,COUNTA([3]enemies!$A:$A),MATCH(Q$1,[3]enemies!$1:$1,0)-MATCH($L$1,[3]enemies!$1:$1,0)+1),MATCH(Q$1,[3]enemies!$1:$1,0)-MATCH($L$1,[3]enemies!$1:$1,0)+1,FALSE)</f>
        <v>15</v>
      </c>
      <c r="R4" s="8">
        <v>3</v>
      </c>
      <c r="S4" s="30">
        <v>1</v>
      </c>
      <c r="T4" s="30">
        <v>35</v>
      </c>
      <c r="U4" s="6">
        <v>-2000</v>
      </c>
      <c r="V4" s="5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5">
        <f ca="1">VLOOKUP($L4,OFFSET([3]enemies!$A$1,0,0,COUNTA([3]enemies!$A:$A),MATCH(W$1,[3]enemies!$1:$1,0)-MATCH($L$1,[3]enemies!$1:$1,0)+1),MATCH(W$1,[3]enemies!$1:$1,0)-MATCH($L$1,[3]enemies!$1:$1,0)+1,FALSE)</f>
        <v>0</v>
      </c>
      <c r="X4" s="7">
        <v>1</v>
      </c>
      <c r="Y4" s="7">
        <v>100</v>
      </c>
      <c r="Z4" s="7">
        <v>0</v>
      </c>
      <c r="AA4" s="20">
        <f ca="1">VLOOKUP($L4,OFFSET([3]enemies!$A$1,0,0,COUNTA([3]enemies!$A:$A),MATCH(AA$1,[3]enemies!$1:$1,0)-MATCH($L$1,[3]enemies!$1:$1,0)+1),MATCH(AA$1,[3]enemies!$1:$1,0)-MATCH($L$1,[3]enemies!$1:$1,0)+1,FALSE)</f>
        <v>2</v>
      </c>
      <c r="AB4" s="2">
        <f t="shared" si="3"/>
        <v>341</v>
      </c>
      <c r="AC4" s="5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4" s="5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5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" s="8">
        <v>1</v>
      </c>
      <c r="AG4" s="28">
        <f t="shared" ca="1" si="4"/>
        <v>4</v>
      </c>
      <c r="AH4" s="9">
        <v>100</v>
      </c>
      <c r="AI4" s="8">
        <v>0</v>
      </c>
      <c r="AJ4" s="8">
        <v>0</v>
      </c>
      <c r="AK4" s="8">
        <v>0</v>
      </c>
      <c r="AL4" s="8">
        <v>0</v>
      </c>
      <c r="AM4" s="8">
        <v>1</v>
      </c>
    </row>
    <row r="5" spans="1:39" ht="21" customHeight="1">
      <c r="A5" s="17" t="str">
        <f t="shared" ca="1" si="0"/>
        <v>12002_1-1/345&lt;lv3&gt;s2</v>
      </c>
      <c r="B5" s="26">
        <v>12002</v>
      </c>
      <c r="C5" s="25">
        <v>1</v>
      </c>
      <c r="D5" s="2" t="str">
        <f t="shared" si="1"/>
        <v>12002_1</v>
      </c>
      <c r="E5" s="5" t="str">
        <f ca="1">VLOOKUP($B5,OFFSET([2]quests!$A$1,0,0,COUNTA([2]quests!$A:$A),MATCH(E$1,[2]quests!$1:$1,0)-MATCH($B$1,[2]quests!$1:$1,0)+1),MATCH(E$1,[2]quests!$1:$1,0)-MATCH($B$1,[2]quests!$1:$1,0)+1,FALSE)</f>
        <v>【緊急！！】 アヒル捕獲作戦</v>
      </c>
      <c r="F5" s="5" t="str">
        <f ca="1">VLOOKUP($D5,OFFSET([2]stages!$A$1,0,0,COUNTA([2]stages!$A:$A),MATCH(F$1,[2]stages!$2:$2,0)-MATCH($D$1,[2]stages!$2:$2,0)+1),MATCH(F$1,[2]stages!$2:$2,0)-MATCH($D$1,[2]stages!$2:$2,0)+1,FALSE)</f>
        <v>メタルダックを捕獲せよ！【上級】</v>
      </c>
      <c r="G5" s="25">
        <v>1</v>
      </c>
      <c r="H5" s="16" t="str">
        <f t="shared" si="2"/>
        <v>12002_1-1</v>
      </c>
      <c r="I5" s="5">
        <f ca="1">VLOOKUP($H5,OFFSET(floors!$A$1,0,0,COUNTA(floors!$A:$A),MATCH(I$1,floors!$1:$1,0)-MATCH($H$1,floors!$1:$1,0)+1),MATCH(I$1,floors!$1:$1,0)-MATCH($H$1,floors!$1:$1,0)+1,FALSE)</f>
        <v>60</v>
      </c>
      <c r="J5" s="5">
        <f ca="1">VLOOKUP($H5,OFFSET(floors!$A$1,0,0,COUNTA(floors!$A:$A),MATCH(J$1,floors!$1:$1,0)-MATCH($H$1,floors!$1:$1,0)+1),MATCH(J$1,floors!$1:$1,0)-MATCH($H$1,floors!$1:$1,0)+1,FALSE)</f>
        <v>60</v>
      </c>
      <c r="K5" s="8" t="s">
        <v>147</v>
      </c>
      <c r="L5" s="24">
        <v>345</v>
      </c>
      <c r="M5" s="20" t="str">
        <f ca="1">VLOOKUP($L5,OFFSET([3]enemies!$A$1,0,0,COUNTA([3]enemies!$A:$A),MATCH(M$1,[3]enemies!$1:$1,0)-MATCH($L$1,[3]enemies!$1:$1,0)+1),MATCH(M$1,[3]enemies!$1:$1,0)-MATCH($L$1,[3]enemies!$1:$1,0)+1,FALSE)</f>
        <v>雷のメタルチック</v>
      </c>
      <c r="N5" s="20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20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20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20">
        <f ca="1">VLOOKUP($L5,OFFSET([3]enemies!$A$1,0,0,COUNTA([3]enemies!$A:$A),MATCH(Q$1,[3]enemies!$1:$1,0)-MATCH($L$1,[3]enemies!$1:$1,0)+1),MATCH(Q$1,[3]enemies!$1:$1,0)-MATCH($L$1,[3]enemies!$1:$1,0)+1,FALSE)</f>
        <v>15</v>
      </c>
      <c r="R5" s="8">
        <v>3</v>
      </c>
      <c r="S5" s="30">
        <v>1</v>
      </c>
      <c r="T5" s="30">
        <v>35</v>
      </c>
      <c r="U5" s="6">
        <v>-2000</v>
      </c>
      <c r="V5" s="5" t="str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" s="5">
        <f ca="1">VLOOKUP($L5,OFFSET([3]enemies!$A$1,0,0,COUNTA([3]enemies!$A:$A),MATCH(W$1,[3]enemies!$1:$1,0)-MATCH($L$1,[3]enemies!$1:$1,0)+1),MATCH(W$1,[3]enemies!$1:$1,0)-MATCH($L$1,[3]enemies!$1:$1,0)+1,FALSE)</f>
        <v>0</v>
      </c>
      <c r="X5" s="7">
        <v>1</v>
      </c>
      <c r="Y5" s="7">
        <v>100</v>
      </c>
      <c r="Z5" s="7">
        <v>0</v>
      </c>
      <c r="AA5" s="20">
        <f ca="1">VLOOKUP($L5,OFFSET([3]enemies!$A$1,0,0,COUNTA([3]enemies!$A:$A),MATCH(AA$1,[3]enemies!$1:$1,0)-MATCH($L$1,[3]enemies!$1:$1,0)+1),MATCH(AA$1,[3]enemies!$1:$1,0)-MATCH($L$1,[3]enemies!$1:$1,0)+1,FALSE)</f>
        <v>2</v>
      </c>
      <c r="AB5" s="2">
        <f t="shared" si="3"/>
        <v>345</v>
      </c>
      <c r="AC5" s="5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5" s="5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5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" s="8">
        <v>1</v>
      </c>
      <c r="AG5" s="28">
        <f t="shared" ca="1" si="4"/>
        <v>4</v>
      </c>
      <c r="AH5" s="9">
        <v>100</v>
      </c>
      <c r="AI5" s="8">
        <v>0</v>
      </c>
      <c r="AJ5" s="8">
        <v>0</v>
      </c>
      <c r="AK5" s="8">
        <v>0</v>
      </c>
      <c r="AL5" s="8">
        <v>0</v>
      </c>
      <c r="AM5" s="8">
        <v>1</v>
      </c>
    </row>
    <row r="6" spans="1:39" ht="21" customHeight="1">
      <c r="A6" s="17" t="str">
        <f t="shared" ca="1" si="0"/>
        <v>12002_1-2/337&lt;lv3&gt;s2</v>
      </c>
      <c r="B6" s="26">
        <v>12002</v>
      </c>
      <c r="C6" s="25">
        <v>1</v>
      </c>
      <c r="D6" s="2" t="str">
        <f t="shared" si="1"/>
        <v>12002_1</v>
      </c>
      <c r="E6" s="5" t="str">
        <f ca="1">VLOOKUP($B6,OFFSET([2]quests!$A$1,0,0,COUNTA([2]quests!$A:$A),MATCH(E$1,[2]quests!$1:$1,0)-MATCH($B$1,[2]quests!$1:$1,0)+1),MATCH(E$1,[2]quests!$1:$1,0)-MATCH($B$1,[2]quests!$1:$1,0)+1,FALSE)</f>
        <v>【緊急！！】 アヒル捕獲作戦</v>
      </c>
      <c r="F6" s="5" t="str">
        <f ca="1">VLOOKUP($D6,OFFSET([2]stages!$A$1,0,0,COUNTA([2]stages!$A:$A),MATCH(F$1,[2]stages!$2:$2,0)-MATCH($D$1,[2]stages!$2:$2,0)+1),MATCH(F$1,[2]stages!$2:$2,0)-MATCH($D$1,[2]stages!$2:$2,0)+1,FALSE)</f>
        <v>メタルダックを捕獲せよ！【上級】</v>
      </c>
      <c r="G6" s="25">
        <v>2</v>
      </c>
      <c r="H6" s="16" t="str">
        <f t="shared" si="2"/>
        <v>12002_1-2</v>
      </c>
      <c r="I6" s="5">
        <f ca="1">VLOOKUP($H6,OFFSET(floors!$A$1,0,0,COUNTA(floors!$A:$A),MATCH(I$1,floors!$1:$1,0)-MATCH($H$1,floors!$1:$1,0)+1),MATCH(I$1,floors!$1:$1,0)-MATCH($H$1,floors!$1:$1,0)+1,FALSE)</f>
        <v>50</v>
      </c>
      <c r="J6" s="5">
        <f ca="1">VLOOKUP($H6,OFFSET(floors!$A$1,0,0,COUNTA(floors!$A:$A),MATCH(J$1,floors!$1:$1,0)-MATCH($H$1,floors!$1:$1,0)+1),MATCH(J$1,floors!$1:$1,0)-MATCH($H$1,floors!$1:$1,0)+1,FALSE)</f>
        <v>50</v>
      </c>
      <c r="K6" s="8" t="s">
        <v>147</v>
      </c>
      <c r="L6" s="24">
        <v>337</v>
      </c>
      <c r="M6" s="20" t="str">
        <f ca="1">VLOOKUP($L6,OFFSET([3]enemies!$A$1,0,0,COUNTA([3]enemies!$A:$A),MATCH(M$1,[3]enemies!$1:$1,0)-MATCH($L$1,[3]enemies!$1:$1,0)+1),MATCH(M$1,[3]enemies!$1:$1,0)-MATCH($L$1,[3]enemies!$1:$1,0)+1,FALSE)</f>
        <v>森のメタルチック</v>
      </c>
      <c r="N6" s="20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20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20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20">
        <f ca="1">VLOOKUP($L6,OFFSET([3]enemies!$A$1,0,0,COUNTA([3]enemies!$A:$A),MATCH(Q$1,[3]enemies!$1:$1,0)-MATCH($L$1,[3]enemies!$1:$1,0)+1),MATCH(Q$1,[3]enemies!$1:$1,0)-MATCH($L$1,[3]enemies!$1:$1,0)+1,FALSE)</f>
        <v>15</v>
      </c>
      <c r="R6" s="8">
        <v>3</v>
      </c>
      <c r="S6" s="30">
        <v>1</v>
      </c>
      <c r="T6" s="30">
        <v>35</v>
      </c>
      <c r="U6" s="6">
        <v>-2000</v>
      </c>
      <c r="V6" s="5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5">
        <f ca="1">VLOOKUP($L6,OFFSET([3]enemies!$A$1,0,0,COUNTA([3]enemies!$A:$A),MATCH(W$1,[3]enemies!$1:$1,0)-MATCH($L$1,[3]enemies!$1:$1,0)+1),MATCH(W$1,[3]enemies!$1:$1,0)-MATCH($L$1,[3]enemies!$1:$1,0)+1,FALSE)</f>
        <v>0</v>
      </c>
      <c r="X6" s="7">
        <v>1</v>
      </c>
      <c r="Y6" s="7">
        <v>0</v>
      </c>
      <c r="Z6" s="7">
        <v>2</v>
      </c>
      <c r="AA6" s="20">
        <f ca="1">VLOOKUP($L6,OFFSET([3]enemies!$A$1,0,0,COUNTA([3]enemies!$A:$A),MATCH(AA$1,[3]enemies!$1:$1,0)-MATCH($L$1,[3]enemies!$1:$1,0)+1),MATCH(AA$1,[3]enemies!$1:$1,0)-MATCH($L$1,[3]enemies!$1:$1,0)+1,FALSE)</f>
        <v>2</v>
      </c>
      <c r="AB6" s="2">
        <f t="shared" si="3"/>
        <v>337</v>
      </c>
      <c r="AC6" s="5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6" s="5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5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" s="8">
        <v>1</v>
      </c>
      <c r="AG6" s="28">
        <f t="shared" ca="1" si="4"/>
        <v>4</v>
      </c>
      <c r="AH6" s="9">
        <v>100</v>
      </c>
      <c r="AI6" s="8">
        <v>0</v>
      </c>
      <c r="AJ6" s="8">
        <v>0</v>
      </c>
      <c r="AK6" s="8">
        <v>0</v>
      </c>
      <c r="AL6" s="8">
        <v>0</v>
      </c>
      <c r="AM6" s="8">
        <v>1</v>
      </c>
    </row>
    <row r="7" spans="1:39" ht="21" customHeight="1">
      <c r="A7" s="17" t="str">
        <f t="shared" ca="1" si="0"/>
        <v>12002_1-2/341&lt;lv3&gt;s2</v>
      </c>
      <c r="B7" s="26">
        <v>12002</v>
      </c>
      <c r="C7" s="25">
        <v>1</v>
      </c>
      <c r="D7" s="2" t="str">
        <f t="shared" si="1"/>
        <v>12002_1</v>
      </c>
      <c r="E7" s="5" t="str">
        <f ca="1">VLOOKUP($B7,OFFSET([2]quests!$A$1,0,0,COUNTA([2]quests!$A:$A),MATCH(E$1,[2]quests!$1:$1,0)-MATCH($B$1,[2]quests!$1:$1,0)+1),MATCH(E$1,[2]quests!$1:$1,0)-MATCH($B$1,[2]quests!$1:$1,0)+1,FALSE)</f>
        <v>【緊急！！】 アヒル捕獲作戦</v>
      </c>
      <c r="F7" s="5" t="str">
        <f ca="1">VLOOKUP($D7,OFFSET([2]stages!$A$1,0,0,COUNTA([2]stages!$A:$A),MATCH(F$1,[2]stages!$2:$2,0)-MATCH($D$1,[2]stages!$2:$2,0)+1),MATCH(F$1,[2]stages!$2:$2,0)-MATCH($D$1,[2]stages!$2:$2,0)+1,FALSE)</f>
        <v>メタルダックを捕獲せよ！【上級】</v>
      </c>
      <c r="G7" s="25">
        <v>2</v>
      </c>
      <c r="H7" s="16" t="str">
        <f t="shared" si="2"/>
        <v>12002_1-2</v>
      </c>
      <c r="I7" s="5">
        <f ca="1">VLOOKUP($H7,OFFSET(floors!$A$1,0,0,COUNTA(floors!$A:$A),MATCH(I$1,floors!$1:$1,0)-MATCH($H$1,floors!$1:$1,0)+1),MATCH(I$1,floors!$1:$1,0)-MATCH($H$1,floors!$1:$1,0)+1,FALSE)</f>
        <v>50</v>
      </c>
      <c r="J7" s="5">
        <f ca="1">VLOOKUP($H7,OFFSET(floors!$A$1,0,0,COUNTA(floors!$A:$A),MATCH(J$1,floors!$1:$1,0)-MATCH($H$1,floors!$1:$1,0)+1),MATCH(J$1,floors!$1:$1,0)-MATCH($H$1,floors!$1:$1,0)+1,FALSE)</f>
        <v>50</v>
      </c>
      <c r="K7" s="8" t="s">
        <v>147</v>
      </c>
      <c r="L7" s="24">
        <v>341</v>
      </c>
      <c r="M7" s="20" t="str">
        <f ca="1">VLOOKUP($L7,OFFSET([3]enemies!$A$1,0,0,COUNTA([3]enemies!$A:$A),MATCH(M$1,[3]enemies!$1:$1,0)-MATCH($L$1,[3]enemies!$1:$1,0)+1),MATCH(M$1,[3]enemies!$1:$1,0)-MATCH($L$1,[3]enemies!$1:$1,0)+1,FALSE)</f>
        <v>水のメタルチック</v>
      </c>
      <c r="N7" s="20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20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20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20">
        <f ca="1">VLOOKUP($L7,OFFSET([3]enemies!$A$1,0,0,COUNTA([3]enemies!$A:$A),MATCH(Q$1,[3]enemies!$1:$1,0)-MATCH($L$1,[3]enemies!$1:$1,0)+1),MATCH(Q$1,[3]enemies!$1:$1,0)-MATCH($L$1,[3]enemies!$1:$1,0)+1,FALSE)</f>
        <v>15</v>
      </c>
      <c r="R7" s="8">
        <v>3</v>
      </c>
      <c r="S7" s="30">
        <v>1</v>
      </c>
      <c r="T7" s="30">
        <v>35</v>
      </c>
      <c r="U7" s="6">
        <v>-2000</v>
      </c>
      <c r="V7" s="5" t="str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" s="5">
        <f ca="1">VLOOKUP($L7,OFFSET([3]enemies!$A$1,0,0,COUNTA([3]enemies!$A:$A),MATCH(W$1,[3]enemies!$1:$1,0)-MATCH($L$1,[3]enemies!$1:$1,0)+1),MATCH(W$1,[3]enemies!$1:$1,0)-MATCH($L$1,[3]enemies!$1:$1,0)+1,FALSE)</f>
        <v>0</v>
      </c>
      <c r="X7" s="7">
        <v>1</v>
      </c>
      <c r="Y7" s="7">
        <v>0</v>
      </c>
      <c r="Z7" s="7">
        <v>2</v>
      </c>
      <c r="AA7" s="20">
        <f ca="1">VLOOKUP($L7,OFFSET([3]enemies!$A$1,0,0,COUNTA([3]enemies!$A:$A),MATCH(AA$1,[3]enemies!$1:$1,0)-MATCH($L$1,[3]enemies!$1:$1,0)+1),MATCH(AA$1,[3]enemies!$1:$1,0)-MATCH($L$1,[3]enemies!$1:$1,0)+1,FALSE)</f>
        <v>2</v>
      </c>
      <c r="AB7" s="2">
        <f t="shared" si="3"/>
        <v>341</v>
      </c>
      <c r="AC7" s="5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7" s="5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5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8">
        <v>1</v>
      </c>
      <c r="AG7" s="28">
        <f t="shared" ca="1" si="4"/>
        <v>4</v>
      </c>
      <c r="AH7" s="9">
        <v>100</v>
      </c>
      <c r="AI7" s="8">
        <v>0</v>
      </c>
      <c r="AJ7" s="8">
        <v>0</v>
      </c>
      <c r="AK7" s="8">
        <v>0</v>
      </c>
      <c r="AL7" s="8">
        <v>0</v>
      </c>
      <c r="AM7" s="8">
        <v>1</v>
      </c>
    </row>
    <row r="8" spans="1:39" ht="21" customHeight="1">
      <c r="A8" s="17" t="str">
        <f t="shared" ca="1" si="0"/>
        <v>12002_1-2/334&lt;lv1&gt;s3</v>
      </c>
      <c r="B8" s="26">
        <v>12002</v>
      </c>
      <c r="C8" s="25">
        <v>1</v>
      </c>
      <c r="D8" s="2" t="str">
        <f t="shared" si="1"/>
        <v>12002_1</v>
      </c>
      <c r="E8" s="5" t="str">
        <f ca="1">VLOOKUP($B8,OFFSET([2]quests!$A$1,0,0,COUNTA([2]quests!$A:$A),MATCH(E$1,[2]quests!$1:$1,0)-MATCH($B$1,[2]quests!$1:$1,0)+1),MATCH(E$1,[2]quests!$1:$1,0)-MATCH($B$1,[2]quests!$1:$1,0)+1,FALSE)</f>
        <v>【緊急！！】 アヒル捕獲作戦</v>
      </c>
      <c r="F8" s="5" t="str">
        <f ca="1">VLOOKUP($D8,OFFSET([2]stages!$A$1,0,0,COUNTA([2]stages!$A:$A),MATCH(F$1,[2]stages!$2:$2,0)-MATCH($D$1,[2]stages!$2:$2,0)+1),MATCH(F$1,[2]stages!$2:$2,0)-MATCH($D$1,[2]stages!$2:$2,0)+1,FALSE)</f>
        <v>メタルダックを捕獲せよ！【上級】</v>
      </c>
      <c r="G8" s="25">
        <v>2</v>
      </c>
      <c r="H8" s="16" t="str">
        <f t="shared" si="2"/>
        <v>12002_1-2</v>
      </c>
      <c r="I8" s="5">
        <f ca="1">VLOOKUP($H8,OFFSET(floors!$A$1,0,0,COUNTA(floors!$A:$A),MATCH(I$1,floors!$1:$1,0)-MATCH($H$1,floors!$1:$1,0)+1),MATCH(I$1,floors!$1:$1,0)-MATCH($H$1,floors!$1:$1,0)+1,FALSE)</f>
        <v>50</v>
      </c>
      <c r="J8" s="5">
        <f ca="1">VLOOKUP($H8,OFFSET(floors!$A$1,0,0,COUNTA(floors!$A:$A),MATCH(J$1,floors!$1:$1,0)-MATCH($H$1,floors!$1:$1,0)+1),MATCH(J$1,floors!$1:$1,0)-MATCH($H$1,floors!$1:$1,0)+1,FALSE)</f>
        <v>50</v>
      </c>
      <c r="K8" s="8" t="s">
        <v>147</v>
      </c>
      <c r="L8" s="24">
        <v>334</v>
      </c>
      <c r="M8" s="20" t="str">
        <f ca="1">VLOOKUP($L8,OFFSET([3]enemies!$A$1,0,0,COUNTA([3]enemies!$A:$A),MATCH(M$1,[3]enemies!$1:$1,0)-MATCH($L$1,[3]enemies!$1:$1,0)+1),MATCH(M$1,[3]enemies!$1:$1,0)-MATCH($L$1,[3]enemies!$1:$1,0)+1,FALSE)</f>
        <v>炎のメタルダック</v>
      </c>
      <c r="N8" s="20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20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20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20">
        <f ca="1">VLOOKUP($L8,OFFSET([3]enemies!$A$1,0,0,COUNTA([3]enemies!$A:$A),MATCH(Q$1,[3]enemies!$1:$1,0)-MATCH($L$1,[3]enemies!$1:$1,0)+1),MATCH(Q$1,[3]enemies!$1:$1,0)-MATCH($L$1,[3]enemies!$1:$1,0)+1,FALSE)</f>
        <v>20</v>
      </c>
      <c r="R8" s="8">
        <v>1</v>
      </c>
      <c r="S8" s="30">
        <v>1</v>
      </c>
      <c r="T8" s="30">
        <v>35</v>
      </c>
      <c r="U8" s="6">
        <v>-5000</v>
      </c>
      <c r="V8" s="5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" s="5">
        <f ca="1">VLOOKUP($L8,OFFSET([3]enemies!$A$1,0,0,COUNTA([3]enemies!$A:$A),MATCH(W$1,[3]enemies!$1:$1,0)-MATCH($L$1,[3]enemies!$1:$1,0)+1),MATCH(W$1,[3]enemies!$1:$1,0)-MATCH($L$1,[3]enemies!$1:$1,0)+1,FALSE)</f>
        <v>0</v>
      </c>
      <c r="X8" s="7">
        <v>0</v>
      </c>
      <c r="Y8" s="7">
        <v>100</v>
      </c>
      <c r="Z8" s="7">
        <v>1</v>
      </c>
      <c r="AA8" s="20">
        <f ca="1">VLOOKUP($L8,OFFSET([3]enemies!$A$1,0,0,COUNTA([3]enemies!$A:$A),MATCH(AA$1,[3]enemies!$1:$1,0)-MATCH($L$1,[3]enemies!$1:$1,0)+1),MATCH(AA$1,[3]enemies!$1:$1,0)-MATCH($L$1,[3]enemies!$1:$1,0)+1,FALSE)</f>
        <v>3</v>
      </c>
      <c r="AB8" s="2">
        <f t="shared" si="3"/>
        <v>334</v>
      </c>
      <c r="AC8" s="5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8" s="5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5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8">
        <v>1</v>
      </c>
      <c r="AG8" s="28">
        <f t="shared" ca="1" si="4"/>
        <v>5</v>
      </c>
      <c r="AH8" s="9">
        <v>30</v>
      </c>
      <c r="AI8" s="8">
        <v>0</v>
      </c>
      <c r="AJ8" s="8">
        <v>0</v>
      </c>
      <c r="AK8" s="8">
        <v>0</v>
      </c>
      <c r="AL8" s="8">
        <v>0</v>
      </c>
      <c r="AM8" s="8">
        <v>1</v>
      </c>
    </row>
    <row r="9" spans="1:39" ht="21" customHeight="1">
      <c r="A9" s="17" t="str">
        <f t="shared" ca="1" si="0"/>
        <v>12002_1-2/338&lt;lv1&gt;s3</v>
      </c>
      <c r="B9" s="26">
        <v>12002</v>
      </c>
      <c r="C9" s="25">
        <v>1</v>
      </c>
      <c r="D9" s="2" t="str">
        <f t="shared" si="1"/>
        <v>12002_1</v>
      </c>
      <c r="E9" s="5" t="str">
        <f ca="1">VLOOKUP($B9,OFFSET([2]quests!$A$1,0,0,COUNTA([2]quests!$A:$A),MATCH(E$1,[2]quests!$1:$1,0)-MATCH($B$1,[2]quests!$1:$1,0)+1),MATCH(E$1,[2]quests!$1:$1,0)-MATCH($B$1,[2]quests!$1:$1,0)+1,FALSE)</f>
        <v>【緊急！！】 アヒル捕獲作戦</v>
      </c>
      <c r="F9" s="5" t="str">
        <f ca="1">VLOOKUP($D9,OFFSET([2]stages!$A$1,0,0,COUNTA([2]stages!$A:$A),MATCH(F$1,[2]stages!$2:$2,0)-MATCH($D$1,[2]stages!$2:$2,0)+1),MATCH(F$1,[2]stages!$2:$2,0)-MATCH($D$1,[2]stages!$2:$2,0)+1,FALSE)</f>
        <v>メタルダックを捕獲せよ！【上級】</v>
      </c>
      <c r="G9" s="25">
        <v>2</v>
      </c>
      <c r="H9" s="16" t="str">
        <f t="shared" si="2"/>
        <v>12002_1-2</v>
      </c>
      <c r="I9" s="5">
        <f ca="1">VLOOKUP($H9,OFFSET(floors!$A$1,0,0,COUNTA(floors!$A:$A),MATCH(I$1,floors!$1:$1,0)-MATCH($H$1,floors!$1:$1,0)+1),MATCH(I$1,floors!$1:$1,0)-MATCH($H$1,floors!$1:$1,0)+1,FALSE)</f>
        <v>50</v>
      </c>
      <c r="J9" s="5">
        <f ca="1">VLOOKUP($H9,OFFSET(floors!$A$1,0,0,COUNTA(floors!$A:$A),MATCH(J$1,floors!$1:$1,0)-MATCH($H$1,floors!$1:$1,0)+1),MATCH(J$1,floors!$1:$1,0)-MATCH($H$1,floors!$1:$1,0)+1,FALSE)</f>
        <v>50</v>
      </c>
      <c r="K9" s="8" t="s">
        <v>147</v>
      </c>
      <c r="L9" s="24">
        <v>338</v>
      </c>
      <c r="M9" s="20" t="str">
        <f ca="1">VLOOKUP($L9,OFFSET([3]enemies!$A$1,0,0,COUNTA([3]enemies!$A:$A),MATCH(M$1,[3]enemies!$1:$1,0)-MATCH($L$1,[3]enemies!$1:$1,0)+1),MATCH(M$1,[3]enemies!$1:$1,0)-MATCH($L$1,[3]enemies!$1:$1,0)+1,FALSE)</f>
        <v>森のメタルダック</v>
      </c>
      <c r="N9" s="20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20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20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20">
        <f ca="1">VLOOKUP($L9,OFFSET([3]enemies!$A$1,0,0,COUNTA([3]enemies!$A:$A),MATCH(Q$1,[3]enemies!$1:$1,0)-MATCH($L$1,[3]enemies!$1:$1,0)+1),MATCH(Q$1,[3]enemies!$1:$1,0)-MATCH($L$1,[3]enemies!$1:$1,0)+1,FALSE)</f>
        <v>20</v>
      </c>
      <c r="R9" s="8">
        <v>1</v>
      </c>
      <c r="S9" s="30">
        <v>1</v>
      </c>
      <c r="T9" s="30">
        <v>35</v>
      </c>
      <c r="U9" s="6">
        <v>-5000</v>
      </c>
      <c r="V9" s="5" t="str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" s="5">
        <f ca="1">VLOOKUP($L9,OFFSET([3]enemies!$A$1,0,0,COUNTA([3]enemies!$A:$A),MATCH(W$1,[3]enemies!$1:$1,0)-MATCH($L$1,[3]enemies!$1:$1,0)+1),MATCH(W$1,[3]enemies!$1:$1,0)-MATCH($L$1,[3]enemies!$1:$1,0)+1,FALSE)</f>
        <v>0</v>
      </c>
      <c r="X9" s="7">
        <v>0</v>
      </c>
      <c r="Y9" s="7">
        <v>100</v>
      </c>
      <c r="Z9" s="7">
        <v>1</v>
      </c>
      <c r="AA9" s="20">
        <f ca="1">VLOOKUP($L9,OFFSET([3]enemies!$A$1,0,0,COUNTA([3]enemies!$A:$A),MATCH(AA$1,[3]enemies!$1:$1,0)-MATCH($L$1,[3]enemies!$1:$1,0)+1),MATCH(AA$1,[3]enemies!$1:$1,0)-MATCH($L$1,[3]enemies!$1:$1,0)+1,FALSE)</f>
        <v>3</v>
      </c>
      <c r="AB9" s="2">
        <f t="shared" si="3"/>
        <v>338</v>
      </c>
      <c r="AC9" s="5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9" s="5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5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8">
        <v>1</v>
      </c>
      <c r="AG9" s="28">
        <f t="shared" ca="1" si="4"/>
        <v>5</v>
      </c>
      <c r="AH9" s="9">
        <v>30</v>
      </c>
      <c r="AI9" s="8">
        <v>0</v>
      </c>
      <c r="AJ9" s="8">
        <v>0</v>
      </c>
      <c r="AK9" s="8">
        <v>0</v>
      </c>
      <c r="AL9" s="8">
        <v>0</v>
      </c>
      <c r="AM9" s="8">
        <v>1</v>
      </c>
    </row>
    <row r="10" spans="1:39" ht="21" customHeight="1">
      <c r="A10" s="17" t="str">
        <f t="shared" ref="A10:A29" ca="1" si="5">B10&amp;"_"&amp;C10&amp;"-"&amp;G10&amp;"/"&amp;L10&amp;"&lt;lv"&amp;R10&amp;"&gt;s"&amp;AA10</f>
        <v>12002_1-2/342&lt;lv1&gt;s3</v>
      </c>
      <c r="B10" s="26">
        <v>12002</v>
      </c>
      <c r="C10" s="25">
        <v>1</v>
      </c>
      <c r="D10" s="2" t="str">
        <f t="shared" si="1"/>
        <v>12002_1</v>
      </c>
      <c r="E10" s="5" t="str">
        <f ca="1">VLOOKUP($B10,OFFSET([2]quests!$A$1,0,0,COUNTA([2]quests!$A:$A),MATCH(E$1,[2]quests!$1:$1,0)-MATCH($B$1,[2]quests!$1:$1,0)+1),MATCH(E$1,[2]quests!$1:$1,0)-MATCH($B$1,[2]quests!$1:$1,0)+1,FALSE)</f>
        <v>【緊急！！】 アヒル捕獲作戦</v>
      </c>
      <c r="F10" s="5" t="str">
        <f ca="1">VLOOKUP($D10,OFFSET([2]stages!$A$1,0,0,COUNTA([2]stages!$A:$A),MATCH(F$1,[2]stages!$2:$2,0)-MATCH($D$1,[2]stages!$2:$2,0)+1),MATCH(F$1,[2]stages!$2:$2,0)-MATCH($D$1,[2]stages!$2:$2,0)+1,FALSE)</f>
        <v>メタルダックを捕獲せよ！【上級】</v>
      </c>
      <c r="G10" s="25">
        <v>2</v>
      </c>
      <c r="H10" s="16" t="str">
        <f t="shared" si="2"/>
        <v>12002_1-2</v>
      </c>
      <c r="I10" s="5">
        <f ca="1">VLOOKUP($H10,OFFSET(floors!$A$1,0,0,COUNTA(floors!$A:$A),MATCH(I$1,floors!$1:$1,0)-MATCH($H$1,floors!$1:$1,0)+1),MATCH(I$1,floors!$1:$1,0)-MATCH($H$1,floors!$1:$1,0)+1,FALSE)</f>
        <v>50</v>
      </c>
      <c r="J10" s="5">
        <f ca="1">VLOOKUP($H10,OFFSET(floors!$A$1,0,0,COUNTA(floors!$A:$A),MATCH(J$1,floors!$1:$1,0)-MATCH($H$1,floors!$1:$1,0)+1),MATCH(J$1,floors!$1:$1,0)-MATCH($H$1,floors!$1:$1,0)+1,FALSE)</f>
        <v>50</v>
      </c>
      <c r="K10" s="8" t="s">
        <v>147</v>
      </c>
      <c r="L10" s="24">
        <v>342</v>
      </c>
      <c r="M10" s="20" t="str">
        <f ca="1">VLOOKUP($L10,OFFSET([3]enemies!$A$1,0,0,COUNTA([3]enemies!$A:$A),MATCH(M$1,[3]enemies!$1:$1,0)-MATCH($L$1,[3]enemies!$1:$1,0)+1),MATCH(M$1,[3]enemies!$1:$1,0)-MATCH($L$1,[3]enemies!$1:$1,0)+1,FALSE)</f>
        <v>水のメタルダック</v>
      </c>
      <c r="N10" s="20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20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20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20">
        <f ca="1">VLOOKUP($L10,OFFSET([3]enemies!$A$1,0,0,COUNTA([3]enemies!$A:$A),MATCH(Q$1,[3]enemies!$1:$1,0)-MATCH($L$1,[3]enemies!$1:$1,0)+1),MATCH(Q$1,[3]enemies!$1:$1,0)-MATCH($L$1,[3]enemies!$1:$1,0)+1,FALSE)</f>
        <v>20</v>
      </c>
      <c r="R10" s="8">
        <v>1</v>
      </c>
      <c r="S10" s="30">
        <v>1</v>
      </c>
      <c r="T10" s="30">
        <v>35</v>
      </c>
      <c r="U10" s="6">
        <v>-5000</v>
      </c>
      <c r="V10" s="5" t="str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" s="5">
        <f ca="1">VLOOKUP($L10,OFFSET([3]enemies!$A$1,0,0,COUNTA([3]enemies!$A:$A),MATCH(W$1,[3]enemies!$1:$1,0)-MATCH($L$1,[3]enemies!$1:$1,0)+1),MATCH(W$1,[3]enemies!$1:$1,0)-MATCH($L$1,[3]enemies!$1:$1,0)+1,FALSE)</f>
        <v>0</v>
      </c>
      <c r="X10" s="7">
        <v>0</v>
      </c>
      <c r="Y10" s="7">
        <v>100</v>
      </c>
      <c r="Z10" s="7">
        <v>1</v>
      </c>
      <c r="AA10" s="20">
        <f ca="1">VLOOKUP($L10,OFFSET([3]enemies!$A$1,0,0,COUNTA([3]enemies!$A:$A),MATCH(AA$1,[3]enemies!$1:$1,0)-MATCH($L$1,[3]enemies!$1:$1,0)+1),MATCH(AA$1,[3]enemies!$1:$1,0)-MATCH($L$1,[3]enemies!$1:$1,0)+1,FALSE)</f>
        <v>3</v>
      </c>
      <c r="AB10" s="2">
        <f t="shared" si="3"/>
        <v>342</v>
      </c>
      <c r="AC10" s="5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10" s="5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5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8">
        <v>1</v>
      </c>
      <c r="AG10" s="28">
        <f t="shared" ca="1" si="4"/>
        <v>5</v>
      </c>
      <c r="AH10" s="9">
        <v>30</v>
      </c>
      <c r="AI10" s="8">
        <v>0</v>
      </c>
      <c r="AJ10" s="8">
        <v>0</v>
      </c>
      <c r="AK10" s="8">
        <v>0</v>
      </c>
      <c r="AL10" s="8">
        <v>0</v>
      </c>
      <c r="AM10" s="8">
        <v>1</v>
      </c>
    </row>
    <row r="11" spans="1:39" ht="21" customHeight="1">
      <c r="A11" s="17" t="str">
        <f t="shared" ca="1" si="5"/>
        <v>12002_1-2/346&lt;lv1&gt;s3</v>
      </c>
      <c r="B11" s="26">
        <v>12002</v>
      </c>
      <c r="C11" s="25">
        <v>1</v>
      </c>
      <c r="D11" s="2" t="str">
        <f t="shared" si="1"/>
        <v>12002_1</v>
      </c>
      <c r="E11" s="5" t="str">
        <f ca="1">VLOOKUP($B11,OFFSET([2]quests!$A$1,0,0,COUNTA([2]quests!$A:$A),MATCH(E$1,[2]quests!$1:$1,0)-MATCH($B$1,[2]quests!$1:$1,0)+1),MATCH(E$1,[2]quests!$1:$1,0)-MATCH($B$1,[2]quests!$1:$1,0)+1,FALSE)</f>
        <v>【緊急！！】 アヒル捕獲作戦</v>
      </c>
      <c r="F11" s="5" t="str">
        <f ca="1">VLOOKUP($D11,OFFSET([2]stages!$A$1,0,0,COUNTA([2]stages!$A:$A),MATCH(F$1,[2]stages!$2:$2,0)-MATCH($D$1,[2]stages!$2:$2,0)+1),MATCH(F$1,[2]stages!$2:$2,0)-MATCH($D$1,[2]stages!$2:$2,0)+1,FALSE)</f>
        <v>メタルダックを捕獲せよ！【上級】</v>
      </c>
      <c r="G11" s="25">
        <v>2</v>
      </c>
      <c r="H11" s="16" t="str">
        <f t="shared" ref="H11:H29" si="6">B11&amp;"_"&amp;C11&amp;"-"&amp;G11</f>
        <v>12002_1-2</v>
      </c>
      <c r="I11" s="5">
        <f ca="1">VLOOKUP($H11,OFFSET(floors!$A$1,0,0,COUNTA(floors!$A:$A),MATCH(I$1,floors!$1:$1,0)-MATCH($H$1,floors!$1:$1,0)+1),MATCH(I$1,floors!$1:$1,0)-MATCH($H$1,floors!$1:$1,0)+1,FALSE)</f>
        <v>50</v>
      </c>
      <c r="J11" s="5">
        <f ca="1">VLOOKUP($H11,OFFSET(floors!$A$1,0,0,COUNTA(floors!$A:$A),MATCH(J$1,floors!$1:$1,0)-MATCH($H$1,floors!$1:$1,0)+1),MATCH(J$1,floors!$1:$1,0)-MATCH($H$1,floors!$1:$1,0)+1,FALSE)</f>
        <v>50</v>
      </c>
      <c r="K11" s="8" t="s">
        <v>147</v>
      </c>
      <c r="L11" s="24">
        <v>346</v>
      </c>
      <c r="M11" s="20" t="str">
        <f ca="1">VLOOKUP($L11,OFFSET([3]enemies!$A$1,0,0,COUNTA([3]enemies!$A:$A),MATCH(M$1,[3]enemies!$1:$1,0)-MATCH($L$1,[3]enemies!$1:$1,0)+1),MATCH(M$1,[3]enemies!$1:$1,0)-MATCH($L$1,[3]enemies!$1:$1,0)+1,FALSE)</f>
        <v>雷のメタルダック</v>
      </c>
      <c r="N11" s="20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20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20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20">
        <f ca="1">VLOOKUP($L11,OFFSET([3]enemies!$A$1,0,0,COUNTA([3]enemies!$A:$A),MATCH(Q$1,[3]enemies!$1:$1,0)-MATCH($L$1,[3]enemies!$1:$1,0)+1),MATCH(Q$1,[3]enemies!$1:$1,0)-MATCH($L$1,[3]enemies!$1:$1,0)+1,FALSE)</f>
        <v>20</v>
      </c>
      <c r="R11" s="8">
        <v>1</v>
      </c>
      <c r="S11" s="30">
        <v>1</v>
      </c>
      <c r="T11" s="30">
        <v>35</v>
      </c>
      <c r="U11" s="6">
        <v>-5000</v>
      </c>
      <c r="V11" s="5" t="str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" s="5">
        <f ca="1">VLOOKUP($L11,OFFSET([3]enemies!$A$1,0,0,COUNTA([3]enemies!$A:$A),MATCH(W$1,[3]enemies!$1:$1,0)-MATCH($L$1,[3]enemies!$1:$1,0)+1),MATCH(W$1,[3]enemies!$1:$1,0)-MATCH($L$1,[3]enemies!$1:$1,0)+1,FALSE)</f>
        <v>0</v>
      </c>
      <c r="X11" s="7">
        <v>0</v>
      </c>
      <c r="Y11" s="7">
        <v>100</v>
      </c>
      <c r="Z11" s="7">
        <v>1</v>
      </c>
      <c r="AA11" s="20">
        <f ca="1">VLOOKUP($L11,OFFSET([3]enemies!$A$1,0,0,COUNTA([3]enemies!$A:$A),MATCH(AA$1,[3]enemies!$1:$1,0)-MATCH($L$1,[3]enemies!$1:$1,0)+1),MATCH(AA$1,[3]enemies!$1:$1,0)-MATCH($L$1,[3]enemies!$1:$1,0)+1,FALSE)</f>
        <v>3</v>
      </c>
      <c r="AB11" s="2">
        <f t="shared" si="3"/>
        <v>346</v>
      </c>
      <c r="AC11" s="5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11" s="5">
        <f ca="1">VLOOKUP($AB11,OFFSET([4]characters!$A$1,0,0,COUNTA([4]characters!$A:$A),MATCH(AD$1,[4]characters!$1:$1,0)-MATCH("character_id",[4]characters!$1:$1,0)+1),MATCH(AD$1,[4]characters!$1:$1,0)-MATCH("character_id",[4]characters!$1:$1,0)+1,FALSE)</f>
        <v>5</v>
      </c>
      <c r="AE11" s="5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1" s="8">
        <v>1</v>
      </c>
      <c r="AG11" s="28">
        <f t="shared" ca="1" si="4"/>
        <v>5</v>
      </c>
      <c r="AH11" s="9">
        <v>30</v>
      </c>
      <c r="AI11" s="8">
        <v>0</v>
      </c>
      <c r="AJ11" s="8">
        <v>0</v>
      </c>
      <c r="AK11" s="8">
        <v>0</v>
      </c>
      <c r="AL11" s="8">
        <v>0</v>
      </c>
      <c r="AM11" s="8">
        <v>1</v>
      </c>
    </row>
    <row r="12" spans="1:39" ht="21" customHeight="1">
      <c r="A12" s="17" t="str">
        <f t="shared" ca="1" si="5"/>
        <v>12002_1-3/333&lt;lv3&gt;s2</v>
      </c>
      <c r="B12" s="26">
        <v>12002</v>
      </c>
      <c r="C12" s="25">
        <v>1</v>
      </c>
      <c r="D12" s="2" t="str">
        <f t="shared" si="1"/>
        <v>12002_1</v>
      </c>
      <c r="E12" s="5" t="str">
        <f ca="1">VLOOKUP($B12,OFFSET([2]quests!$A$1,0,0,COUNTA([2]quests!$A:$A),MATCH(E$1,[2]quests!$1:$1,0)-MATCH($B$1,[2]quests!$1:$1,0)+1),MATCH(E$1,[2]quests!$1:$1,0)-MATCH($B$1,[2]quests!$1:$1,0)+1,FALSE)</f>
        <v>【緊急！！】 アヒル捕獲作戦</v>
      </c>
      <c r="F12" s="5" t="str">
        <f ca="1">VLOOKUP($D12,OFFSET([2]stages!$A$1,0,0,COUNTA([2]stages!$A:$A),MATCH(F$1,[2]stages!$2:$2,0)-MATCH($D$1,[2]stages!$2:$2,0)+1),MATCH(F$1,[2]stages!$2:$2,0)-MATCH($D$1,[2]stages!$2:$2,0)+1,FALSE)</f>
        <v>メタルダックを捕獲せよ！【上級】</v>
      </c>
      <c r="G12" s="25">
        <v>3</v>
      </c>
      <c r="H12" s="16" t="str">
        <f t="shared" si="6"/>
        <v>12002_1-3</v>
      </c>
      <c r="I12" s="5">
        <f ca="1">VLOOKUP($H12,OFFSET(floors!$A$1,0,0,COUNTA(floors!$A:$A),MATCH(I$1,floors!$1:$1,0)-MATCH($H$1,floors!$1:$1,0)+1),MATCH(I$1,floors!$1:$1,0)-MATCH($H$1,floors!$1:$1,0)+1,FALSE)</f>
        <v>50</v>
      </c>
      <c r="J12" s="5">
        <f ca="1">VLOOKUP($H12,OFFSET(floors!$A$1,0,0,COUNTA(floors!$A:$A),MATCH(J$1,floors!$1:$1,0)-MATCH($H$1,floors!$1:$1,0)+1),MATCH(J$1,floors!$1:$1,0)-MATCH($H$1,floors!$1:$1,0)+1,FALSE)</f>
        <v>50</v>
      </c>
      <c r="K12" s="8" t="s">
        <v>147</v>
      </c>
      <c r="L12" s="24">
        <v>333</v>
      </c>
      <c r="M12" s="20" t="str">
        <f ca="1">VLOOKUP($L12,OFFSET([3]enemies!$A$1,0,0,COUNTA([3]enemies!$A:$A),MATCH(M$1,[3]enemies!$1:$1,0)-MATCH($L$1,[3]enemies!$1:$1,0)+1),MATCH(M$1,[3]enemies!$1:$1,0)-MATCH($L$1,[3]enemies!$1:$1,0)+1,FALSE)</f>
        <v>炎のメタルチック</v>
      </c>
      <c r="N12" s="20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20" t="str">
        <f ca="1">VLOOKUP($L12,OFFSET([4]characters!$A$1,0,0,COUNTA([4]characters!$A:$A),MATCH(O$1,[4]characters!$1:$1,0)-MATCH($L$1,[4]characters!$1:$1,0)+1),MATCH(O$1,[4]characters!$1:$1,0)-MATCH($L$1,[4]characters!$1:$1,0)+1,FALSE)</f>
        <v>Material</v>
      </c>
      <c r="P12" s="20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20">
        <f ca="1">VLOOKUP($L12,OFFSET([3]enemies!$A$1,0,0,COUNTA([3]enemies!$A:$A),MATCH(Q$1,[3]enemies!$1:$1,0)-MATCH($L$1,[3]enemies!$1:$1,0)+1),MATCH(Q$1,[3]enemies!$1:$1,0)-MATCH($L$1,[3]enemies!$1:$1,0)+1,FALSE)</f>
        <v>15</v>
      </c>
      <c r="R12" s="8">
        <v>3</v>
      </c>
      <c r="S12" s="30">
        <v>1</v>
      </c>
      <c r="T12" s="30">
        <v>35</v>
      </c>
      <c r="U12" s="6">
        <v>-2000</v>
      </c>
      <c r="V12" s="5" t="str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" s="5">
        <f ca="1">VLOOKUP($L12,OFFSET([3]enemies!$A$1,0,0,COUNTA([3]enemies!$A:$A),MATCH(W$1,[3]enemies!$1:$1,0)-MATCH($L$1,[3]enemies!$1:$1,0)+1),MATCH(W$1,[3]enemies!$1:$1,0)-MATCH($L$1,[3]enemies!$1:$1,0)+1,FALSE)</f>
        <v>0</v>
      </c>
      <c r="X12" s="7">
        <v>1</v>
      </c>
      <c r="Y12" s="7">
        <v>0</v>
      </c>
      <c r="Z12" s="7">
        <v>2</v>
      </c>
      <c r="AA12" s="20">
        <f ca="1">VLOOKUP($L12,OFFSET([3]enemies!$A$1,0,0,COUNTA([3]enemies!$A:$A),MATCH(AA$1,[3]enemies!$1:$1,0)-MATCH($L$1,[3]enemies!$1:$1,0)+1),MATCH(AA$1,[3]enemies!$1:$1,0)-MATCH($L$1,[3]enemies!$1:$1,0)+1,FALSE)</f>
        <v>2</v>
      </c>
      <c r="AB12" s="2">
        <f t="shared" si="3"/>
        <v>333</v>
      </c>
      <c r="AC12" s="5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12" s="5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5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2" s="8">
        <v>1</v>
      </c>
      <c r="AG12" s="28">
        <f t="shared" ca="1" si="4"/>
        <v>4</v>
      </c>
      <c r="AH12" s="9">
        <v>100</v>
      </c>
      <c r="AI12" s="8">
        <v>0</v>
      </c>
      <c r="AJ12" s="8">
        <v>0</v>
      </c>
      <c r="AK12" s="8">
        <v>0</v>
      </c>
      <c r="AL12" s="8">
        <v>0</v>
      </c>
      <c r="AM12" s="8">
        <v>1</v>
      </c>
    </row>
    <row r="13" spans="1:39" ht="21" customHeight="1">
      <c r="A13" s="17" t="str">
        <f t="shared" ca="1" si="5"/>
        <v>12002_1-3/345&lt;lv3&gt;s2</v>
      </c>
      <c r="B13" s="26">
        <v>12002</v>
      </c>
      <c r="C13" s="25">
        <v>1</v>
      </c>
      <c r="D13" s="2" t="str">
        <f t="shared" si="1"/>
        <v>12002_1</v>
      </c>
      <c r="E13" s="5" t="str">
        <f ca="1">VLOOKUP($B13,OFFSET([2]quests!$A$1,0,0,COUNTA([2]quests!$A:$A),MATCH(E$1,[2]quests!$1:$1,0)-MATCH($B$1,[2]quests!$1:$1,0)+1),MATCH(E$1,[2]quests!$1:$1,0)-MATCH($B$1,[2]quests!$1:$1,0)+1,FALSE)</f>
        <v>【緊急！！】 アヒル捕獲作戦</v>
      </c>
      <c r="F13" s="5" t="str">
        <f ca="1">VLOOKUP($D13,OFFSET([2]stages!$A$1,0,0,COUNTA([2]stages!$A:$A),MATCH(F$1,[2]stages!$2:$2,0)-MATCH($D$1,[2]stages!$2:$2,0)+1),MATCH(F$1,[2]stages!$2:$2,0)-MATCH($D$1,[2]stages!$2:$2,0)+1,FALSE)</f>
        <v>メタルダックを捕獲せよ！【上級】</v>
      </c>
      <c r="G13" s="25">
        <v>3</v>
      </c>
      <c r="H13" s="16" t="str">
        <f t="shared" si="6"/>
        <v>12002_1-3</v>
      </c>
      <c r="I13" s="5">
        <f ca="1">VLOOKUP($H13,OFFSET(floors!$A$1,0,0,COUNTA(floors!$A:$A),MATCH(I$1,floors!$1:$1,0)-MATCH($H$1,floors!$1:$1,0)+1),MATCH(I$1,floors!$1:$1,0)-MATCH($H$1,floors!$1:$1,0)+1,FALSE)</f>
        <v>50</v>
      </c>
      <c r="J13" s="5">
        <f ca="1">VLOOKUP($H13,OFFSET(floors!$A$1,0,0,COUNTA(floors!$A:$A),MATCH(J$1,floors!$1:$1,0)-MATCH($H$1,floors!$1:$1,0)+1),MATCH(J$1,floors!$1:$1,0)-MATCH($H$1,floors!$1:$1,0)+1,FALSE)</f>
        <v>50</v>
      </c>
      <c r="K13" s="8" t="s">
        <v>147</v>
      </c>
      <c r="L13" s="24">
        <v>345</v>
      </c>
      <c r="M13" s="20" t="str">
        <f ca="1">VLOOKUP($L13,OFFSET([3]enemies!$A$1,0,0,COUNTA([3]enemies!$A:$A),MATCH(M$1,[3]enemies!$1:$1,0)-MATCH($L$1,[3]enemies!$1:$1,0)+1),MATCH(M$1,[3]enemies!$1:$1,0)-MATCH($L$1,[3]enemies!$1:$1,0)+1,FALSE)</f>
        <v>雷のメタルチック</v>
      </c>
      <c r="N13" s="20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20" t="str">
        <f ca="1">VLOOKUP($L13,OFFSET([4]characters!$A$1,0,0,COUNTA([4]characters!$A:$A),MATCH(O$1,[4]characters!$1:$1,0)-MATCH($L$1,[4]characters!$1:$1,0)+1),MATCH(O$1,[4]characters!$1:$1,0)-MATCH($L$1,[4]characters!$1:$1,0)+1,FALSE)</f>
        <v>Material</v>
      </c>
      <c r="P13" s="20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20">
        <f ca="1">VLOOKUP($L13,OFFSET([3]enemies!$A$1,0,0,COUNTA([3]enemies!$A:$A),MATCH(Q$1,[3]enemies!$1:$1,0)-MATCH($L$1,[3]enemies!$1:$1,0)+1),MATCH(Q$1,[3]enemies!$1:$1,0)-MATCH($L$1,[3]enemies!$1:$1,0)+1,FALSE)</f>
        <v>15</v>
      </c>
      <c r="R13" s="8">
        <v>3</v>
      </c>
      <c r="S13" s="30">
        <v>1</v>
      </c>
      <c r="T13" s="30">
        <v>35</v>
      </c>
      <c r="U13" s="6">
        <v>-2000</v>
      </c>
      <c r="V13" s="5" t="str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" s="5">
        <f ca="1">VLOOKUP($L13,OFFSET([3]enemies!$A$1,0,0,COUNTA([3]enemies!$A:$A),MATCH(W$1,[3]enemies!$1:$1,0)-MATCH($L$1,[3]enemies!$1:$1,0)+1),MATCH(W$1,[3]enemies!$1:$1,0)-MATCH($L$1,[3]enemies!$1:$1,0)+1,FALSE)</f>
        <v>0</v>
      </c>
      <c r="X13" s="7">
        <v>1</v>
      </c>
      <c r="Y13" s="7">
        <v>0</v>
      </c>
      <c r="Z13" s="7">
        <v>2</v>
      </c>
      <c r="AA13" s="20">
        <f ca="1">VLOOKUP($L13,OFFSET([3]enemies!$A$1,0,0,COUNTA([3]enemies!$A:$A),MATCH(AA$1,[3]enemies!$1:$1,0)-MATCH($L$1,[3]enemies!$1:$1,0)+1),MATCH(AA$1,[3]enemies!$1:$1,0)-MATCH($L$1,[3]enemies!$1:$1,0)+1,FALSE)</f>
        <v>2</v>
      </c>
      <c r="AB13" s="2">
        <f t="shared" si="3"/>
        <v>345</v>
      </c>
      <c r="AC13" s="5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13" s="5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5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3" s="8">
        <v>1</v>
      </c>
      <c r="AG13" s="28">
        <f t="shared" ca="1" si="4"/>
        <v>4</v>
      </c>
      <c r="AH13" s="9">
        <v>100</v>
      </c>
      <c r="AI13" s="8">
        <v>0</v>
      </c>
      <c r="AJ13" s="8">
        <v>0</v>
      </c>
      <c r="AK13" s="8">
        <v>0</v>
      </c>
      <c r="AL13" s="8">
        <v>0</v>
      </c>
      <c r="AM13" s="8">
        <v>1</v>
      </c>
    </row>
    <row r="14" spans="1:39" ht="21" customHeight="1">
      <c r="A14" s="17" t="str">
        <f t="shared" ca="1" si="5"/>
        <v>12002_1-3/334&lt;lv1&gt;s3</v>
      </c>
      <c r="B14" s="26">
        <v>12002</v>
      </c>
      <c r="C14" s="25">
        <v>1</v>
      </c>
      <c r="D14" s="2" t="str">
        <f t="shared" si="1"/>
        <v>12002_1</v>
      </c>
      <c r="E14" s="5" t="str">
        <f ca="1">VLOOKUP($B14,OFFSET([2]quests!$A$1,0,0,COUNTA([2]quests!$A:$A),MATCH(E$1,[2]quests!$1:$1,0)-MATCH($B$1,[2]quests!$1:$1,0)+1),MATCH(E$1,[2]quests!$1:$1,0)-MATCH($B$1,[2]quests!$1:$1,0)+1,FALSE)</f>
        <v>【緊急！！】 アヒル捕獲作戦</v>
      </c>
      <c r="F14" s="5" t="str">
        <f ca="1">VLOOKUP($D14,OFFSET([2]stages!$A$1,0,0,COUNTA([2]stages!$A:$A),MATCH(F$1,[2]stages!$2:$2,0)-MATCH($D$1,[2]stages!$2:$2,0)+1),MATCH(F$1,[2]stages!$2:$2,0)-MATCH($D$1,[2]stages!$2:$2,0)+1,FALSE)</f>
        <v>メタルダックを捕獲せよ！【上級】</v>
      </c>
      <c r="G14" s="25">
        <v>3</v>
      </c>
      <c r="H14" s="16" t="str">
        <f t="shared" si="6"/>
        <v>12002_1-3</v>
      </c>
      <c r="I14" s="5">
        <f ca="1">VLOOKUP($H14,OFFSET(floors!$A$1,0,0,COUNTA(floors!$A:$A),MATCH(I$1,floors!$1:$1,0)-MATCH($H$1,floors!$1:$1,0)+1),MATCH(I$1,floors!$1:$1,0)-MATCH($H$1,floors!$1:$1,0)+1,FALSE)</f>
        <v>50</v>
      </c>
      <c r="J14" s="5">
        <f ca="1">VLOOKUP($H14,OFFSET(floors!$A$1,0,0,COUNTA(floors!$A:$A),MATCH(J$1,floors!$1:$1,0)-MATCH($H$1,floors!$1:$1,0)+1),MATCH(J$1,floors!$1:$1,0)-MATCH($H$1,floors!$1:$1,0)+1,FALSE)</f>
        <v>50</v>
      </c>
      <c r="K14" s="8" t="s">
        <v>147</v>
      </c>
      <c r="L14" s="24">
        <v>334</v>
      </c>
      <c r="M14" s="20" t="str">
        <f ca="1">VLOOKUP($L14,OFFSET([3]enemies!$A$1,0,0,COUNTA([3]enemies!$A:$A),MATCH(M$1,[3]enemies!$1:$1,0)-MATCH($L$1,[3]enemies!$1:$1,0)+1),MATCH(M$1,[3]enemies!$1:$1,0)-MATCH($L$1,[3]enemies!$1:$1,0)+1,FALSE)</f>
        <v>炎のメタルダック</v>
      </c>
      <c r="N14" s="20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20" t="str">
        <f ca="1">VLOOKUP($L14,OFFSET([4]characters!$A$1,0,0,COUNTA([4]characters!$A:$A),MATCH(O$1,[4]characters!$1:$1,0)-MATCH($L$1,[4]characters!$1:$1,0)+1),MATCH(O$1,[4]characters!$1:$1,0)-MATCH($L$1,[4]characters!$1:$1,0)+1,FALSE)</f>
        <v>Material</v>
      </c>
      <c r="P14" s="20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20">
        <f ca="1">VLOOKUP($L14,OFFSET([3]enemies!$A$1,0,0,COUNTA([3]enemies!$A:$A),MATCH(Q$1,[3]enemies!$1:$1,0)-MATCH($L$1,[3]enemies!$1:$1,0)+1),MATCH(Q$1,[3]enemies!$1:$1,0)-MATCH($L$1,[3]enemies!$1:$1,0)+1,FALSE)</f>
        <v>20</v>
      </c>
      <c r="R14" s="8">
        <v>1</v>
      </c>
      <c r="S14" s="30">
        <v>1</v>
      </c>
      <c r="T14" s="30">
        <v>35</v>
      </c>
      <c r="U14" s="6">
        <v>-5000</v>
      </c>
      <c r="V14" s="5" t="str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" s="5">
        <f ca="1">VLOOKUP($L14,OFFSET([3]enemies!$A$1,0,0,COUNTA([3]enemies!$A:$A),MATCH(W$1,[3]enemies!$1:$1,0)-MATCH($L$1,[3]enemies!$1:$1,0)+1),MATCH(W$1,[3]enemies!$1:$1,0)-MATCH($L$1,[3]enemies!$1:$1,0)+1,FALSE)</f>
        <v>0</v>
      </c>
      <c r="X14" s="7">
        <v>0</v>
      </c>
      <c r="Y14" s="7">
        <v>100</v>
      </c>
      <c r="Z14" s="7">
        <v>1</v>
      </c>
      <c r="AA14" s="20">
        <f ca="1">VLOOKUP($L14,OFFSET([3]enemies!$A$1,0,0,COUNTA([3]enemies!$A:$A),MATCH(AA$1,[3]enemies!$1:$1,0)-MATCH($L$1,[3]enemies!$1:$1,0)+1),MATCH(AA$1,[3]enemies!$1:$1,0)-MATCH($L$1,[3]enemies!$1:$1,0)+1,FALSE)</f>
        <v>3</v>
      </c>
      <c r="AB14" s="2">
        <f t="shared" si="3"/>
        <v>334</v>
      </c>
      <c r="AC14" s="5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14" s="5">
        <f ca="1">VLOOKUP($AB14,OFFSET([4]characters!$A$1,0,0,COUNTA([4]characters!$A:$A),MATCH(AD$1,[4]characters!$1:$1,0)-MATCH("character_id",[4]characters!$1:$1,0)+1),MATCH(AD$1,[4]characters!$1:$1,0)-MATCH("character_id",[4]characters!$1:$1,0)+1,FALSE)</f>
        <v>5</v>
      </c>
      <c r="AE14" s="5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4" s="8">
        <v>1</v>
      </c>
      <c r="AG14" s="28">
        <f t="shared" ca="1" si="4"/>
        <v>5</v>
      </c>
      <c r="AH14" s="9">
        <v>82</v>
      </c>
      <c r="AI14" s="8">
        <v>0</v>
      </c>
      <c r="AJ14" s="8">
        <v>0</v>
      </c>
      <c r="AK14" s="8">
        <v>0</v>
      </c>
      <c r="AL14" s="8">
        <v>0</v>
      </c>
      <c r="AM14" s="8">
        <v>1</v>
      </c>
    </row>
    <row r="15" spans="1:39" ht="21" customHeight="1">
      <c r="A15" s="17" t="str">
        <f t="shared" ca="1" si="5"/>
        <v>12002_1-3/338&lt;lv1&gt;s3</v>
      </c>
      <c r="B15" s="26">
        <v>12002</v>
      </c>
      <c r="C15" s="25">
        <v>1</v>
      </c>
      <c r="D15" s="2" t="str">
        <f t="shared" si="1"/>
        <v>12002_1</v>
      </c>
      <c r="E15" s="5" t="str">
        <f ca="1">VLOOKUP($B15,OFFSET([2]quests!$A$1,0,0,COUNTA([2]quests!$A:$A),MATCH(E$1,[2]quests!$1:$1,0)-MATCH($B$1,[2]quests!$1:$1,0)+1),MATCH(E$1,[2]quests!$1:$1,0)-MATCH($B$1,[2]quests!$1:$1,0)+1,FALSE)</f>
        <v>【緊急！！】 アヒル捕獲作戦</v>
      </c>
      <c r="F15" s="5" t="str">
        <f ca="1">VLOOKUP($D15,OFFSET([2]stages!$A$1,0,0,COUNTA([2]stages!$A:$A),MATCH(F$1,[2]stages!$2:$2,0)-MATCH($D$1,[2]stages!$2:$2,0)+1),MATCH(F$1,[2]stages!$2:$2,0)-MATCH($D$1,[2]stages!$2:$2,0)+1,FALSE)</f>
        <v>メタルダックを捕獲せよ！【上級】</v>
      </c>
      <c r="G15" s="25">
        <v>3</v>
      </c>
      <c r="H15" s="16" t="str">
        <f t="shared" si="6"/>
        <v>12002_1-3</v>
      </c>
      <c r="I15" s="5">
        <f ca="1">VLOOKUP($H15,OFFSET(floors!$A$1,0,0,COUNTA(floors!$A:$A),MATCH(I$1,floors!$1:$1,0)-MATCH($H$1,floors!$1:$1,0)+1),MATCH(I$1,floors!$1:$1,0)-MATCH($H$1,floors!$1:$1,0)+1,FALSE)</f>
        <v>50</v>
      </c>
      <c r="J15" s="5">
        <f ca="1">VLOOKUP($H15,OFFSET(floors!$A$1,0,0,COUNTA(floors!$A:$A),MATCH(J$1,floors!$1:$1,0)-MATCH($H$1,floors!$1:$1,0)+1),MATCH(J$1,floors!$1:$1,0)-MATCH($H$1,floors!$1:$1,0)+1,FALSE)</f>
        <v>50</v>
      </c>
      <c r="K15" s="8" t="s">
        <v>147</v>
      </c>
      <c r="L15" s="24">
        <v>338</v>
      </c>
      <c r="M15" s="20" t="str">
        <f ca="1">VLOOKUP($L15,OFFSET([3]enemies!$A$1,0,0,COUNTA([3]enemies!$A:$A),MATCH(M$1,[3]enemies!$1:$1,0)-MATCH($L$1,[3]enemies!$1:$1,0)+1),MATCH(M$1,[3]enemies!$1:$1,0)-MATCH($L$1,[3]enemies!$1:$1,0)+1,FALSE)</f>
        <v>森のメタルダック</v>
      </c>
      <c r="N15" s="20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20" t="str">
        <f ca="1">VLOOKUP($L15,OFFSET([4]characters!$A$1,0,0,COUNTA([4]characters!$A:$A),MATCH(O$1,[4]characters!$1:$1,0)-MATCH($L$1,[4]characters!$1:$1,0)+1),MATCH(O$1,[4]characters!$1:$1,0)-MATCH($L$1,[4]characters!$1:$1,0)+1,FALSE)</f>
        <v>Material</v>
      </c>
      <c r="P15" s="20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20">
        <f ca="1">VLOOKUP($L15,OFFSET([3]enemies!$A$1,0,0,COUNTA([3]enemies!$A:$A),MATCH(Q$1,[3]enemies!$1:$1,0)-MATCH($L$1,[3]enemies!$1:$1,0)+1),MATCH(Q$1,[3]enemies!$1:$1,0)-MATCH($L$1,[3]enemies!$1:$1,0)+1,FALSE)</f>
        <v>20</v>
      </c>
      <c r="R15" s="8">
        <v>1</v>
      </c>
      <c r="S15" s="30">
        <v>1</v>
      </c>
      <c r="T15" s="30">
        <v>35</v>
      </c>
      <c r="U15" s="6">
        <v>-5000</v>
      </c>
      <c r="V15" s="5" t="str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" s="5">
        <f ca="1">VLOOKUP($L15,OFFSET([3]enemies!$A$1,0,0,COUNTA([3]enemies!$A:$A),MATCH(W$1,[3]enemies!$1:$1,0)-MATCH($L$1,[3]enemies!$1:$1,0)+1),MATCH(W$1,[3]enemies!$1:$1,0)-MATCH($L$1,[3]enemies!$1:$1,0)+1,FALSE)</f>
        <v>0</v>
      </c>
      <c r="X15" s="7">
        <v>0</v>
      </c>
      <c r="Y15" s="7">
        <v>100</v>
      </c>
      <c r="Z15" s="7">
        <v>1</v>
      </c>
      <c r="AA15" s="20">
        <f ca="1">VLOOKUP($L15,OFFSET([3]enemies!$A$1,0,0,COUNTA([3]enemies!$A:$A),MATCH(AA$1,[3]enemies!$1:$1,0)-MATCH($L$1,[3]enemies!$1:$1,0)+1),MATCH(AA$1,[3]enemies!$1:$1,0)-MATCH($L$1,[3]enemies!$1:$1,0)+1,FALSE)</f>
        <v>3</v>
      </c>
      <c r="AB15" s="2">
        <f t="shared" si="3"/>
        <v>338</v>
      </c>
      <c r="AC15" s="5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15" s="5">
        <f ca="1">VLOOKUP($AB15,OFFSET([4]characters!$A$1,0,0,COUNTA([4]characters!$A:$A),MATCH(AD$1,[4]characters!$1:$1,0)-MATCH("character_id",[4]characters!$1:$1,0)+1),MATCH(AD$1,[4]characters!$1:$1,0)-MATCH("character_id",[4]characters!$1:$1,0)+1,FALSE)</f>
        <v>5</v>
      </c>
      <c r="AE15" s="5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5" s="8">
        <v>1</v>
      </c>
      <c r="AG15" s="28">
        <f t="shared" ca="1" si="4"/>
        <v>5</v>
      </c>
      <c r="AH15" s="9">
        <v>82</v>
      </c>
      <c r="AI15" s="8">
        <v>0</v>
      </c>
      <c r="AJ15" s="8">
        <v>0</v>
      </c>
      <c r="AK15" s="8">
        <v>0</v>
      </c>
      <c r="AL15" s="8">
        <v>0</v>
      </c>
      <c r="AM15" s="8">
        <v>1</v>
      </c>
    </row>
    <row r="16" spans="1:39" ht="21" customHeight="1">
      <c r="A16" s="17" t="str">
        <f t="shared" ca="1" si="5"/>
        <v>12002_1-3/342&lt;lv1&gt;s3</v>
      </c>
      <c r="B16" s="26">
        <v>12002</v>
      </c>
      <c r="C16" s="25">
        <v>1</v>
      </c>
      <c r="D16" s="2" t="str">
        <f t="shared" si="1"/>
        <v>12002_1</v>
      </c>
      <c r="E16" s="5" t="str">
        <f ca="1">VLOOKUP($B16,OFFSET([2]quests!$A$1,0,0,COUNTA([2]quests!$A:$A),MATCH(E$1,[2]quests!$1:$1,0)-MATCH($B$1,[2]quests!$1:$1,0)+1),MATCH(E$1,[2]quests!$1:$1,0)-MATCH($B$1,[2]quests!$1:$1,0)+1,FALSE)</f>
        <v>【緊急！！】 アヒル捕獲作戦</v>
      </c>
      <c r="F16" s="5" t="str">
        <f ca="1">VLOOKUP($D16,OFFSET([2]stages!$A$1,0,0,COUNTA([2]stages!$A:$A),MATCH(F$1,[2]stages!$2:$2,0)-MATCH($D$1,[2]stages!$2:$2,0)+1),MATCH(F$1,[2]stages!$2:$2,0)-MATCH($D$1,[2]stages!$2:$2,0)+1,FALSE)</f>
        <v>メタルダックを捕獲せよ！【上級】</v>
      </c>
      <c r="G16" s="25">
        <v>3</v>
      </c>
      <c r="H16" s="16" t="str">
        <f t="shared" si="6"/>
        <v>12002_1-3</v>
      </c>
      <c r="I16" s="5">
        <f ca="1">VLOOKUP($H16,OFFSET(floors!$A$1,0,0,COUNTA(floors!$A:$A),MATCH(I$1,floors!$1:$1,0)-MATCH($H$1,floors!$1:$1,0)+1),MATCH(I$1,floors!$1:$1,0)-MATCH($H$1,floors!$1:$1,0)+1,FALSE)</f>
        <v>50</v>
      </c>
      <c r="J16" s="5">
        <f ca="1">VLOOKUP($H16,OFFSET(floors!$A$1,0,0,COUNTA(floors!$A:$A),MATCH(J$1,floors!$1:$1,0)-MATCH($H$1,floors!$1:$1,0)+1),MATCH(J$1,floors!$1:$1,0)-MATCH($H$1,floors!$1:$1,0)+1,FALSE)</f>
        <v>50</v>
      </c>
      <c r="K16" s="8" t="s">
        <v>147</v>
      </c>
      <c r="L16" s="24">
        <v>342</v>
      </c>
      <c r="M16" s="20" t="str">
        <f ca="1">VLOOKUP($L16,OFFSET([3]enemies!$A$1,0,0,COUNTA([3]enemies!$A:$A),MATCH(M$1,[3]enemies!$1:$1,0)-MATCH($L$1,[3]enemies!$1:$1,0)+1),MATCH(M$1,[3]enemies!$1:$1,0)-MATCH($L$1,[3]enemies!$1:$1,0)+1,FALSE)</f>
        <v>水のメタルダック</v>
      </c>
      <c r="N16" s="20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20" t="str">
        <f ca="1">VLOOKUP($L16,OFFSET([4]characters!$A$1,0,0,COUNTA([4]characters!$A:$A),MATCH(O$1,[4]characters!$1:$1,0)-MATCH($L$1,[4]characters!$1:$1,0)+1),MATCH(O$1,[4]characters!$1:$1,0)-MATCH($L$1,[4]characters!$1:$1,0)+1,FALSE)</f>
        <v>Material</v>
      </c>
      <c r="P16" s="20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20">
        <f ca="1">VLOOKUP($L16,OFFSET([3]enemies!$A$1,0,0,COUNTA([3]enemies!$A:$A),MATCH(Q$1,[3]enemies!$1:$1,0)-MATCH($L$1,[3]enemies!$1:$1,0)+1),MATCH(Q$1,[3]enemies!$1:$1,0)-MATCH($L$1,[3]enemies!$1:$1,0)+1,FALSE)</f>
        <v>20</v>
      </c>
      <c r="R16" s="8">
        <v>1</v>
      </c>
      <c r="S16" s="30">
        <v>1</v>
      </c>
      <c r="T16" s="30">
        <v>35</v>
      </c>
      <c r="U16" s="6">
        <v>-5000</v>
      </c>
      <c r="V16" s="5" t="str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" s="5">
        <f ca="1">VLOOKUP($L16,OFFSET([3]enemies!$A$1,0,0,COUNTA([3]enemies!$A:$A),MATCH(W$1,[3]enemies!$1:$1,0)-MATCH($L$1,[3]enemies!$1:$1,0)+1),MATCH(W$1,[3]enemies!$1:$1,0)-MATCH($L$1,[3]enemies!$1:$1,0)+1,FALSE)</f>
        <v>0</v>
      </c>
      <c r="X16" s="7">
        <v>0</v>
      </c>
      <c r="Y16" s="7">
        <v>100</v>
      </c>
      <c r="Z16" s="7">
        <v>1</v>
      </c>
      <c r="AA16" s="20">
        <f ca="1">VLOOKUP($L16,OFFSET([3]enemies!$A$1,0,0,COUNTA([3]enemies!$A:$A),MATCH(AA$1,[3]enemies!$1:$1,0)-MATCH($L$1,[3]enemies!$1:$1,0)+1),MATCH(AA$1,[3]enemies!$1:$1,0)-MATCH($L$1,[3]enemies!$1:$1,0)+1,FALSE)</f>
        <v>3</v>
      </c>
      <c r="AB16" s="2">
        <f t="shared" si="3"/>
        <v>342</v>
      </c>
      <c r="AC16" s="5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16" s="5">
        <f ca="1">VLOOKUP($AB16,OFFSET([4]characters!$A$1,0,0,COUNTA([4]characters!$A:$A),MATCH(AD$1,[4]characters!$1:$1,0)-MATCH("character_id",[4]characters!$1:$1,0)+1),MATCH(AD$1,[4]characters!$1:$1,0)-MATCH("character_id",[4]characters!$1:$1,0)+1,FALSE)</f>
        <v>5</v>
      </c>
      <c r="AE16" s="5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6" s="8">
        <v>1</v>
      </c>
      <c r="AG16" s="28">
        <f t="shared" ca="1" si="4"/>
        <v>5</v>
      </c>
      <c r="AH16" s="9">
        <v>82</v>
      </c>
      <c r="AI16" s="8">
        <v>0</v>
      </c>
      <c r="AJ16" s="8">
        <v>0</v>
      </c>
      <c r="AK16" s="8">
        <v>0</v>
      </c>
      <c r="AL16" s="8">
        <v>0</v>
      </c>
      <c r="AM16" s="8">
        <v>1</v>
      </c>
    </row>
    <row r="17" spans="1:39" ht="21" customHeight="1">
      <c r="A17" s="17" t="str">
        <f t="shared" ca="1" si="5"/>
        <v>12002_1-3/346&lt;lv1&gt;s3</v>
      </c>
      <c r="B17" s="26">
        <v>12002</v>
      </c>
      <c r="C17" s="25">
        <v>1</v>
      </c>
      <c r="D17" s="2" t="str">
        <f t="shared" si="1"/>
        <v>12002_1</v>
      </c>
      <c r="E17" s="5" t="str">
        <f ca="1">VLOOKUP($B17,OFFSET([2]quests!$A$1,0,0,COUNTA([2]quests!$A:$A),MATCH(E$1,[2]quests!$1:$1,0)-MATCH($B$1,[2]quests!$1:$1,0)+1),MATCH(E$1,[2]quests!$1:$1,0)-MATCH($B$1,[2]quests!$1:$1,0)+1,FALSE)</f>
        <v>【緊急！！】 アヒル捕獲作戦</v>
      </c>
      <c r="F17" s="5" t="str">
        <f ca="1">VLOOKUP($D17,OFFSET([2]stages!$A$1,0,0,COUNTA([2]stages!$A:$A),MATCH(F$1,[2]stages!$2:$2,0)-MATCH($D$1,[2]stages!$2:$2,0)+1),MATCH(F$1,[2]stages!$2:$2,0)-MATCH($D$1,[2]stages!$2:$2,0)+1,FALSE)</f>
        <v>メタルダックを捕獲せよ！【上級】</v>
      </c>
      <c r="G17" s="25">
        <v>3</v>
      </c>
      <c r="H17" s="16" t="str">
        <f t="shared" si="6"/>
        <v>12002_1-3</v>
      </c>
      <c r="I17" s="5">
        <f ca="1">VLOOKUP($H17,OFFSET(floors!$A$1,0,0,COUNTA(floors!$A:$A),MATCH(I$1,floors!$1:$1,0)-MATCH($H$1,floors!$1:$1,0)+1),MATCH(I$1,floors!$1:$1,0)-MATCH($H$1,floors!$1:$1,0)+1,FALSE)</f>
        <v>50</v>
      </c>
      <c r="J17" s="5">
        <f ca="1">VLOOKUP($H17,OFFSET(floors!$A$1,0,0,COUNTA(floors!$A:$A),MATCH(J$1,floors!$1:$1,0)-MATCH($H$1,floors!$1:$1,0)+1),MATCH(J$1,floors!$1:$1,0)-MATCH($H$1,floors!$1:$1,0)+1,FALSE)</f>
        <v>50</v>
      </c>
      <c r="K17" s="8" t="s">
        <v>147</v>
      </c>
      <c r="L17" s="24">
        <v>346</v>
      </c>
      <c r="M17" s="20" t="str">
        <f ca="1">VLOOKUP($L17,OFFSET([3]enemies!$A$1,0,0,COUNTA([3]enemies!$A:$A),MATCH(M$1,[3]enemies!$1:$1,0)-MATCH($L$1,[3]enemies!$1:$1,0)+1),MATCH(M$1,[3]enemies!$1:$1,0)-MATCH($L$1,[3]enemies!$1:$1,0)+1,FALSE)</f>
        <v>雷のメタルダック</v>
      </c>
      <c r="N17" s="20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20" t="str">
        <f ca="1">VLOOKUP($L17,OFFSET([4]characters!$A$1,0,0,COUNTA([4]characters!$A:$A),MATCH(O$1,[4]characters!$1:$1,0)-MATCH($L$1,[4]characters!$1:$1,0)+1),MATCH(O$1,[4]characters!$1:$1,0)-MATCH($L$1,[4]characters!$1:$1,0)+1,FALSE)</f>
        <v>Material</v>
      </c>
      <c r="P17" s="20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20">
        <f ca="1">VLOOKUP($L17,OFFSET([3]enemies!$A$1,0,0,COUNTA([3]enemies!$A:$A),MATCH(Q$1,[3]enemies!$1:$1,0)-MATCH($L$1,[3]enemies!$1:$1,0)+1),MATCH(Q$1,[3]enemies!$1:$1,0)-MATCH($L$1,[3]enemies!$1:$1,0)+1,FALSE)</f>
        <v>20</v>
      </c>
      <c r="R17" s="8">
        <v>1</v>
      </c>
      <c r="S17" s="30">
        <v>1</v>
      </c>
      <c r="T17" s="30">
        <v>35</v>
      </c>
      <c r="U17" s="6">
        <v>-5000</v>
      </c>
      <c r="V17" s="5" t="str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" s="5">
        <f ca="1">VLOOKUP($L17,OFFSET([3]enemies!$A$1,0,0,COUNTA([3]enemies!$A:$A),MATCH(W$1,[3]enemies!$1:$1,0)-MATCH($L$1,[3]enemies!$1:$1,0)+1),MATCH(W$1,[3]enemies!$1:$1,0)-MATCH($L$1,[3]enemies!$1:$1,0)+1,FALSE)</f>
        <v>0</v>
      </c>
      <c r="X17" s="7">
        <v>0</v>
      </c>
      <c r="Y17" s="7">
        <v>100</v>
      </c>
      <c r="Z17" s="7">
        <v>1</v>
      </c>
      <c r="AA17" s="20">
        <f ca="1">VLOOKUP($L17,OFFSET([3]enemies!$A$1,0,0,COUNTA([3]enemies!$A:$A),MATCH(AA$1,[3]enemies!$1:$1,0)-MATCH($L$1,[3]enemies!$1:$1,0)+1),MATCH(AA$1,[3]enemies!$1:$1,0)-MATCH($L$1,[3]enemies!$1:$1,0)+1,FALSE)</f>
        <v>3</v>
      </c>
      <c r="AB17" s="2">
        <f t="shared" si="3"/>
        <v>346</v>
      </c>
      <c r="AC17" s="5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17" s="5">
        <f ca="1">VLOOKUP($AB17,OFFSET([4]characters!$A$1,0,0,COUNTA([4]characters!$A:$A),MATCH(AD$1,[4]characters!$1:$1,0)-MATCH("character_id",[4]characters!$1:$1,0)+1),MATCH(AD$1,[4]characters!$1:$1,0)-MATCH("character_id",[4]characters!$1:$1,0)+1,FALSE)</f>
        <v>5</v>
      </c>
      <c r="AE17" s="5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7" s="8">
        <v>1</v>
      </c>
      <c r="AG17" s="28">
        <f t="shared" ca="1" si="4"/>
        <v>5</v>
      </c>
      <c r="AH17" s="9">
        <v>82</v>
      </c>
      <c r="AI17" s="8">
        <v>0</v>
      </c>
      <c r="AJ17" s="8">
        <v>0</v>
      </c>
      <c r="AK17" s="8">
        <v>0</v>
      </c>
      <c r="AL17" s="8">
        <v>0</v>
      </c>
      <c r="AM17" s="8">
        <v>1</v>
      </c>
    </row>
    <row r="18" spans="1:39" ht="21" customHeight="1">
      <c r="A18" s="17" t="str">
        <f t="shared" ca="1" si="5"/>
        <v>12002_1-4/333&lt;lv3&gt;s2</v>
      </c>
      <c r="B18" s="26">
        <v>12002</v>
      </c>
      <c r="C18" s="25">
        <v>1</v>
      </c>
      <c r="D18" s="2" t="str">
        <f t="shared" si="1"/>
        <v>12002_1</v>
      </c>
      <c r="E18" s="5" t="str">
        <f ca="1">VLOOKUP($B18,OFFSET([2]quests!$A$1,0,0,COUNTA([2]quests!$A:$A),MATCH(E$1,[2]quests!$1:$1,0)-MATCH($B$1,[2]quests!$1:$1,0)+1),MATCH(E$1,[2]quests!$1:$1,0)-MATCH($B$1,[2]quests!$1:$1,0)+1,FALSE)</f>
        <v>【緊急！！】 アヒル捕獲作戦</v>
      </c>
      <c r="F18" s="5" t="str">
        <f ca="1">VLOOKUP($D18,OFFSET([2]stages!$A$1,0,0,COUNTA([2]stages!$A:$A),MATCH(F$1,[2]stages!$2:$2,0)-MATCH($D$1,[2]stages!$2:$2,0)+1),MATCH(F$1,[2]stages!$2:$2,0)-MATCH($D$1,[2]stages!$2:$2,0)+1,FALSE)</f>
        <v>メタルダックを捕獲せよ！【上級】</v>
      </c>
      <c r="G18" s="25">
        <v>4</v>
      </c>
      <c r="H18" s="16" t="str">
        <f t="shared" si="6"/>
        <v>12002_1-4</v>
      </c>
      <c r="I18" s="5">
        <f ca="1">VLOOKUP($H18,OFFSET(floors!$A$1,0,0,COUNTA(floors!$A:$A),MATCH(I$1,floors!$1:$1,0)-MATCH($H$1,floors!$1:$1,0)+1),MATCH(I$1,floors!$1:$1,0)-MATCH($H$1,floors!$1:$1,0)+1,FALSE)</f>
        <v>50</v>
      </c>
      <c r="J18" s="5">
        <f ca="1">VLOOKUP($H18,OFFSET(floors!$A$1,0,0,COUNTA(floors!$A:$A),MATCH(J$1,floors!$1:$1,0)-MATCH($H$1,floors!$1:$1,0)+1),MATCH(J$1,floors!$1:$1,0)-MATCH($H$1,floors!$1:$1,0)+1,FALSE)</f>
        <v>50</v>
      </c>
      <c r="K18" s="8" t="s">
        <v>147</v>
      </c>
      <c r="L18" s="24">
        <v>333</v>
      </c>
      <c r="M18" s="20" t="str">
        <f ca="1">VLOOKUP($L18,OFFSET([3]enemies!$A$1,0,0,COUNTA([3]enemies!$A:$A),MATCH(M$1,[3]enemies!$1:$1,0)-MATCH($L$1,[3]enemies!$1:$1,0)+1),MATCH(M$1,[3]enemies!$1:$1,0)-MATCH($L$1,[3]enemies!$1:$1,0)+1,FALSE)</f>
        <v>炎のメタルチック</v>
      </c>
      <c r="N18" s="20" t="str">
        <f ca="1">VLOOKUP($L18,OFFSET([3]enemies!$A$1,0,0,COUNTA([3]enemies!$A:$A),MATCH(N$1,[3]enemies!$1:$1,0)-MATCH($L$1,[3]enemies!$1:$1,0)+1),MATCH(N$1,[3]enemies!$1:$1,0)-MATCH($L$1,[3]enemies!$1:$1,0)+1,FALSE)</f>
        <v>red</v>
      </c>
      <c r="O18" s="20" t="str">
        <f ca="1">VLOOKUP($L18,OFFSET([4]characters!$A$1,0,0,COUNTA([4]characters!$A:$A),MATCH(O$1,[4]characters!$1:$1,0)-MATCH($L$1,[4]characters!$1:$1,0)+1),MATCH(O$1,[4]characters!$1:$1,0)-MATCH($L$1,[4]characters!$1:$1,0)+1,FALSE)</f>
        <v>Material</v>
      </c>
      <c r="P18" s="20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20">
        <f ca="1">VLOOKUP($L18,OFFSET([3]enemies!$A$1,0,0,COUNTA([3]enemies!$A:$A),MATCH(Q$1,[3]enemies!$1:$1,0)-MATCH($L$1,[3]enemies!$1:$1,0)+1),MATCH(Q$1,[3]enemies!$1:$1,0)-MATCH($L$1,[3]enemies!$1:$1,0)+1,FALSE)</f>
        <v>15</v>
      </c>
      <c r="R18" s="8">
        <v>3</v>
      </c>
      <c r="S18" s="30">
        <v>1</v>
      </c>
      <c r="T18" s="30">
        <v>35</v>
      </c>
      <c r="U18" s="6">
        <v>-2000</v>
      </c>
      <c r="V18" s="5" t="str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" s="5">
        <f ca="1">VLOOKUP($L18,OFFSET([3]enemies!$A$1,0,0,COUNTA([3]enemies!$A:$A),MATCH(W$1,[3]enemies!$1:$1,0)-MATCH($L$1,[3]enemies!$1:$1,0)+1),MATCH(W$1,[3]enemies!$1:$1,0)-MATCH($L$1,[3]enemies!$1:$1,0)+1,FALSE)</f>
        <v>0</v>
      </c>
      <c r="X18" s="7">
        <v>0</v>
      </c>
      <c r="Y18" s="7">
        <v>100</v>
      </c>
      <c r="Z18" s="7">
        <v>0</v>
      </c>
      <c r="AA18" s="20">
        <f ca="1">VLOOKUP($L18,OFFSET([3]enemies!$A$1,0,0,COUNTA([3]enemies!$A:$A),MATCH(AA$1,[3]enemies!$1:$1,0)-MATCH($L$1,[3]enemies!$1:$1,0)+1),MATCH(AA$1,[3]enemies!$1:$1,0)-MATCH($L$1,[3]enemies!$1:$1,0)+1,FALSE)</f>
        <v>2</v>
      </c>
      <c r="AB18" s="2">
        <f t="shared" si="3"/>
        <v>333</v>
      </c>
      <c r="AC18" s="5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18" s="5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5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8" s="8">
        <v>1</v>
      </c>
      <c r="AG18" s="28">
        <f t="shared" ca="1" si="4"/>
        <v>4</v>
      </c>
      <c r="AH18" s="9">
        <v>63.3</v>
      </c>
      <c r="AI18" s="8">
        <v>0</v>
      </c>
      <c r="AJ18" s="8">
        <v>0</v>
      </c>
      <c r="AK18" s="8">
        <v>0</v>
      </c>
      <c r="AL18" s="8">
        <v>0</v>
      </c>
      <c r="AM18" s="8">
        <v>1</v>
      </c>
    </row>
    <row r="19" spans="1:39" ht="21" customHeight="1">
      <c r="A19" s="17" t="str">
        <f t="shared" ca="1" si="5"/>
        <v>12002_1-4/337&lt;lv3&gt;s2</v>
      </c>
      <c r="B19" s="26">
        <v>12002</v>
      </c>
      <c r="C19" s="25">
        <v>1</v>
      </c>
      <c r="D19" s="2" t="str">
        <f t="shared" si="1"/>
        <v>12002_1</v>
      </c>
      <c r="E19" s="5" t="str">
        <f ca="1">VLOOKUP($B19,OFFSET([2]quests!$A$1,0,0,COUNTA([2]quests!$A:$A),MATCH(E$1,[2]quests!$1:$1,0)-MATCH($B$1,[2]quests!$1:$1,0)+1),MATCH(E$1,[2]quests!$1:$1,0)-MATCH($B$1,[2]quests!$1:$1,0)+1,FALSE)</f>
        <v>【緊急！！】 アヒル捕獲作戦</v>
      </c>
      <c r="F19" s="5" t="str">
        <f ca="1">VLOOKUP($D19,OFFSET([2]stages!$A$1,0,0,COUNTA([2]stages!$A:$A),MATCH(F$1,[2]stages!$2:$2,0)-MATCH($D$1,[2]stages!$2:$2,0)+1),MATCH(F$1,[2]stages!$2:$2,0)-MATCH($D$1,[2]stages!$2:$2,0)+1,FALSE)</f>
        <v>メタルダックを捕獲せよ！【上級】</v>
      </c>
      <c r="G19" s="25">
        <v>4</v>
      </c>
      <c r="H19" s="16" t="str">
        <f t="shared" si="6"/>
        <v>12002_1-4</v>
      </c>
      <c r="I19" s="5">
        <f ca="1">VLOOKUP($H19,OFFSET(floors!$A$1,0,0,COUNTA(floors!$A:$A),MATCH(I$1,floors!$1:$1,0)-MATCH($H$1,floors!$1:$1,0)+1),MATCH(I$1,floors!$1:$1,0)-MATCH($H$1,floors!$1:$1,0)+1,FALSE)</f>
        <v>50</v>
      </c>
      <c r="J19" s="5">
        <f ca="1">VLOOKUP($H19,OFFSET(floors!$A$1,0,0,COUNTA(floors!$A:$A),MATCH(J$1,floors!$1:$1,0)-MATCH($H$1,floors!$1:$1,0)+1),MATCH(J$1,floors!$1:$1,0)-MATCH($H$1,floors!$1:$1,0)+1,FALSE)</f>
        <v>50</v>
      </c>
      <c r="K19" s="8" t="s">
        <v>147</v>
      </c>
      <c r="L19" s="24">
        <v>337</v>
      </c>
      <c r="M19" s="20" t="str">
        <f ca="1">VLOOKUP($L19,OFFSET([3]enemies!$A$1,0,0,COUNTA([3]enemies!$A:$A),MATCH(M$1,[3]enemies!$1:$1,0)-MATCH($L$1,[3]enemies!$1:$1,0)+1),MATCH(M$1,[3]enemies!$1:$1,0)-MATCH($L$1,[3]enemies!$1:$1,0)+1,FALSE)</f>
        <v>森のメタルチック</v>
      </c>
      <c r="N19" s="20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20" t="str">
        <f ca="1">VLOOKUP($L19,OFFSET([4]characters!$A$1,0,0,COUNTA([4]characters!$A:$A),MATCH(O$1,[4]characters!$1:$1,0)-MATCH($L$1,[4]characters!$1:$1,0)+1),MATCH(O$1,[4]characters!$1:$1,0)-MATCH($L$1,[4]characters!$1:$1,0)+1,FALSE)</f>
        <v>Material</v>
      </c>
      <c r="P19" s="20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20">
        <f ca="1">VLOOKUP($L19,OFFSET([3]enemies!$A$1,0,0,COUNTA([3]enemies!$A:$A),MATCH(Q$1,[3]enemies!$1:$1,0)-MATCH($L$1,[3]enemies!$1:$1,0)+1),MATCH(Q$1,[3]enemies!$1:$1,0)-MATCH($L$1,[3]enemies!$1:$1,0)+1,FALSE)</f>
        <v>15</v>
      </c>
      <c r="R19" s="8">
        <v>3</v>
      </c>
      <c r="S19" s="30">
        <v>1</v>
      </c>
      <c r="T19" s="30">
        <v>35</v>
      </c>
      <c r="U19" s="6">
        <v>-2000</v>
      </c>
      <c r="V19" s="5" t="str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" s="5">
        <f ca="1">VLOOKUP($L19,OFFSET([3]enemies!$A$1,0,0,COUNTA([3]enemies!$A:$A),MATCH(W$1,[3]enemies!$1:$1,0)-MATCH($L$1,[3]enemies!$1:$1,0)+1),MATCH(W$1,[3]enemies!$1:$1,0)-MATCH($L$1,[3]enemies!$1:$1,0)+1,FALSE)</f>
        <v>0</v>
      </c>
      <c r="X19" s="7">
        <v>0</v>
      </c>
      <c r="Y19" s="7">
        <v>100</v>
      </c>
      <c r="Z19" s="7">
        <v>0</v>
      </c>
      <c r="AA19" s="20">
        <f ca="1">VLOOKUP($L19,OFFSET([3]enemies!$A$1,0,0,COUNTA([3]enemies!$A:$A),MATCH(AA$1,[3]enemies!$1:$1,0)-MATCH($L$1,[3]enemies!$1:$1,0)+1),MATCH(AA$1,[3]enemies!$1:$1,0)-MATCH($L$1,[3]enemies!$1:$1,0)+1,FALSE)</f>
        <v>2</v>
      </c>
      <c r="AB19" s="2">
        <f t="shared" si="3"/>
        <v>337</v>
      </c>
      <c r="AC19" s="5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19" s="5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5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9" s="8">
        <v>1</v>
      </c>
      <c r="AG19" s="28">
        <f t="shared" ca="1" si="4"/>
        <v>4</v>
      </c>
      <c r="AH19" s="9">
        <v>63.3</v>
      </c>
      <c r="AI19" s="8">
        <v>0</v>
      </c>
      <c r="AJ19" s="8">
        <v>0</v>
      </c>
      <c r="AK19" s="8">
        <v>0</v>
      </c>
      <c r="AL19" s="8">
        <v>0</v>
      </c>
      <c r="AM19" s="8">
        <v>1</v>
      </c>
    </row>
    <row r="20" spans="1:39" ht="21" customHeight="1">
      <c r="A20" s="17" t="str">
        <f t="shared" ca="1" si="5"/>
        <v>12002_1-4/341&lt;lv3&gt;s2</v>
      </c>
      <c r="B20" s="26">
        <v>12002</v>
      </c>
      <c r="C20" s="25">
        <v>1</v>
      </c>
      <c r="D20" s="2" t="str">
        <f t="shared" si="1"/>
        <v>12002_1</v>
      </c>
      <c r="E20" s="5" t="str">
        <f ca="1">VLOOKUP($B20,OFFSET([2]quests!$A$1,0,0,COUNTA([2]quests!$A:$A),MATCH(E$1,[2]quests!$1:$1,0)-MATCH($B$1,[2]quests!$1:$1,0)+1),MATCH(E$1,[2]quests!$1:$1,0)-MATCH($B$1,[2]quests!$1:$1,0)+1,FALSE)</f>
        <v>【緊急！！】 アヒル捕獲作戦</v>
      </c>
      <c r="F20" s="5" t="str">
        <f ca="1">VLOOKUP($D20,OFFSET([2]stages!$A$1,0,0,COUNTA([2]stages!$A:$A),MATCH(F$1,[2]stages!$2:$2,0)-MATCH($D$1,[2]stages!$2:$2,0)+1),MATCH(F$1,[2]stages!$2:$2,0)-MATCH($D$1,[2]stages!$2:$2,0)+1,FALSE)</f>
        <v>メタルダックを捕獲せよ！【上級】</v>
      </c>
      <c r="G20" s="25">
        <v>4</v>
      </c>
      <c r="H20" s="16" t="str">
        <f t="shared" si="6"/>
        <v>12002_1-4</v>
      </c>
      <c r="I20" s="5">
        <f ca="1">VLOOKUP($H20,OFFSET(floors!$A$1,0,0,COUNTA(floors!$A:$A),MATCH(I$1,floors!$1:$1,0)-MATCH($H$1,floors!$1:$1,0)+1),MATCH(I$1,floors!$1:$1,0)-MATCH($H$1,floors!$1:$1,0)+1,FALSE)</f>
        <v>50</v>
      </c>
      <c r="J20" s="5">
        <f ca="1">VLOOKUP($H20,OFFSET(floors!$A$1,0,0,COUNTA(floors!$A:$A),MATCH(J$1,floors!$1:$1,0)-MATCH($H$1,floors!$1:$1,0)+1),MATCH(J$1,floors!$1:$1,0)-MATCH($H$1,floors!$1:$1,0)+1,FALSE)</f>
        <v>50</v>
      </c>
      <c r="K20" s="8" t="s">
        <v>147</v>
      </c>
      <c r="L20" s="24">
        <v>341</v>
      </c>
      <c r="M20" s="20" t="str">
        <f ca="1">VLOOKUP($L20,OFFSET([3]enemies!$A$1,0,0,COUNTA([3]enemies!$A:$A),MATCH(M$1,[3]enemies!$1:$1,0)-MATCH($L$1,[3]enemies!$1:$1,0)+1),MATCH(M$1,[3]enemies!$1:$1,0)-MATCH($L$1,[3]enemies!$1:$1,0)+1,FALSE)</f>
        <v>水のメタルチック</v>
      </c>
      <c r="N20" s="20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20" t="str">
        <f ca="1">VLOOKUP($L20,OFFSET([4]characters!$A$1,0,0,COUNTA([4]characters!$A:$A),MATCH(O$1,[4]characters!$1:$1,0)-MATCH($L$1,[4]characters!$1:$1,0)+1),MATCH(O$1,[4]characters!$1:$1,0)-MATCH($L$1,[4]characters!$1:$1,0)+1,FALSE)</f>
        <v>Material</v>
      </c>
      <c r="P20" s="20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20">
        <f ca="1">VLOOKUP($L20,OFFSET([3]enemies!$A$1,0,0,COUNTA([3]enemies!$A:$A),MATCH(Q$1,[3]enemies!$1:$1,0)-MATCH($L$1,[3]enemies!$1:$1,0)+1),MATCH(Q$1,[3]enemies!$1:$1,0)-MATCH($L$1,[3]enemies!$1:$1,0)+1,FALSE)</f>
        <v>15</v>
      </c>
      <c r="R20" s="8">
        <v>3</v>
      </c>
      <c r="S20" s="30">
        <v>1</v>
      </c>
      <c r="T20" s="30">
        <v>35</v>
      </c>
      <c r="U20" s="6">
        <v>-2000</v>
      </c>
      <c r="V20" s="5" t="str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" s="5">
        <f ca="1">VLOOKUP($L20,OFFSET([3]enemies!$A$1,0,0,COUNTA([3]enemies!$A:$A),MATCH(W$1,[3]enemies!$1:$1,0)-MATCH($L$1,[3]enemies!$1:$1,0)+1),MATCH(W$1,[3]enemies!$1:$1,0)-MATCH($L$1,[3]enemies!$1:$1,0)+1,FALSE)</f>
        <v>0</v>
      </c>
      <c r="X20" s="7">
        <v>0</v>
      </c>
      <c r="Y20" s="7">
        <v>100</v>
      </c>
      <c r="Z20" s="7">
        <v>0</v>
      </c>
      <c r="AA20" s="20">
        <f ca="1">VLOOKUP($L20,OFFSET([3]enemies!$A$1,0,0,COUNTA([3]enemies!$A:$A),MATCH(AA$1,[3]enemies!$1:$1,0)-MATCH($L$1,[3]enemies!$1:$1,0)+1),MATCH(AA$1,[3]enemies!$1:$1,0)-MATCH($L$1,[3]enemies!$1:$1,0)+1,FALSE)</f>
        <v>2</v>
      </c>
      <c r="AB20" s="2">
        <f t="shared" si="3"/>
        <v>341</v>
      </c>
      <c r="AC20" s="5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20" s="5">
        <f ca="1">VLOOKUP($AB20,OFFSET([4]characters!$A$1,0,0,COUNTA([4]characters!$A:$A),MATCH(AD$1,[4]characters!$1:$1,0)-MATCH("character_id",[4]characters!$1:$1,0)+1),MATCH(AD$1,[4]characters!$1:$1,0)-MATCH("character_id",[4]characters!$1:$1,0)+1,FALSE)</f>
        <v>4</v>
      </c>
      <c r="AE20" s="5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0" s="8">
        <v>1</v>
      </c>
      <c r="AG20" s="28">
        <f t="shared" ca="1" si="4"/>
        <v>4</v>
      </c>
      <c r="AH20" s="9">
        <v>63.3</v>
      </c>
      <c r="AI20" s="8">
        <v>0</v>
      </c>
      <c r="AJ20" s="8">
        <v>0</v>
      </c>
      <c r="AK20" s="8">
        <v>0</v>
      </c>
      <c r="AL20" s="8">
        <v>0</v>
      </c>
      <c r="AM20" s="8">
        <v>1</v>
      </c>
    </row>
    <row r="21" spans="1:39" ht="21" customHeight="1">
      <c r="A21" s="17" t="str">
        <f t="shared" ca="1" si="5"/>
        <v>12002_1-4/345&lt;lv3&gt;s2</v>
      </c>
      <c r="B21" s="26">
        <v>12002</v>
      </c>
      <c r="C21" s="25">
        <v>1</v>
      </c>
      <c r="D21" s="2" t="str">
        <f t="shared" si="1"/>
        <v>12002_1</v>
      </c>
      <c r="E21" s="5" t="str">
        <f ca="1">VLOOKUP($B21,OFFSET([2]quests!$A$1,0,0,COUNTA([2]quests!$A:$A),MATCH(E$1,[2]quests!$1:$1,0)-MATCH($B$1,[2]quests!$1:$1,0)+1),MATCH(E$1,[2]quests!$1:$1,0)-MATCH($B$1,[2]quests!$1:$1,0)+1,FALSE)</f>
        <v>【緊急！！】 アヒル捕獲作戦</v>
      </c>
      <c r="F21" s="5" t="str">
        <f ca="1">VLOOKUP($D21,OFFSET([2]stages!$A$1,0,0,COUNTA([2]stages!$A:$A),MATCH(F$1,[2]stages!$2:$2,0)-MATCH($D$1,[2]stages!$2:$2,0)+1),MATCH(F$1,[2]stages!$2:$2,0)-MATCH($D$1,[2]stages!$2:$2,0)+1,FALSE)</f>
        <v>メタルダックを捕獲せよ！【上級】</v>
      </c>
      <c r="G21" s="25">
        <v>4</v>
      </c>
      <c r="H21" s="16" t="str">
        <f t="shared" si="6"/>
        <v>12002_1-4</v>
      </c>
      <c r="I21" s="5">
        <f ca="1">VLOOKUP($H21,OFFSET(floors!$A$1,0,0,COUNTA(floors!$A:$A),MATCH(I$1,floors!$1:$1,0)-MATCH($H$1,floors!$1:$1,0)+1),MATCH(I$1,floors!$1:$1,0)-MATCH($H$1,floors!$1:$1,0)+1,FALSE)</f>
        <v>50</v>
      </c>
      <c r="J21" s="5">
        <f ca="1">VLOOKUP($H21,OFFSET(floors!$A$1,0,0,COUNTA(floors!$A:$A),MATCH(J$1,floors!$1:$1,0)-MATCH($H$1,floors!$1:$1,0)+1),MATCH(J$1,floors!$1:$1,0)-MATCH($H$1,floors!$1:$1,0)+1,FALSE)</f>
        <v>50</v>
      </c>
      <c r="K21" s="8" t="s">
        <v>147</v>
      </c>
      <c r="L21" s="24">
        <v>345</v>
      </c>
      <c r="M21" s="20" t="str">
        <f ca="1">VLOOKUP($L21,OFFSET([3]enemies!$A$1,0,0,COUNTA([3]enemies!$A:$A),MATCH(M$1,[3]enemies!$1:$1,0)-MATCH($L$1,[3]enemies!$1:$1,0)+1),MATCH(M$1,[3]enemies!$1:$1,0)-MATCH($L$1,[3]enemies!$1:$1,0)+1,FALSE)</f>
        <v>雷のメタルチック</v>
      </c>
      <c r="N21" s="20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20" t="str">
        <f ca="1">VLOOKUP($L21,OFFSET([4]characters!$A$1,0,0,COUNTA([4]characters!$A:$A),MATCH(O$1,[4]characters!$1:$1,0)-MATCH($L$1,[4]characters!$1:$1,0)+1),MATCH(O$1,[4]characters!$1:$1,0)-MATCH($L$1,[4]characters!$1:$1,0)+1,FALSE)</f>
        <v>Material</v>
      </c>
      <c r="P21" s="20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20">
        <f ca="1">VLOOKUP($L21,OFFSET([3]enemies!$A$1,0,0,COUNTA([3]enemies!$A:$A),MATCH(Q$1,[3]enemies!$1:$1,0)-MATCH($L$1,[3]enemies!$1:$1,0)+1),MATCH(Q$1,[3]enemies!$1:$1,0)-MATCH($L$1,[3]enemies!$1:$1,0)+1,FALSE)</f>
        <v>15</v>
      </c>
      <c r="R21" s="8">
        <v>3</v>
      </c>
      <c r="S21" s="30">
        <v>1</v>
      </c>
      <c r="T21" s="30">
        <v>35</v>
      </c>
      <c r="U21" s="6">
        <v>-2000</v>
      </c>
      <c r="V21" s="5" t="str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" s="5">
        <f ca="1">VLOOKUP($L21,OFFSET([3]enemies!$A$1,0,0,COUNTA([3]enemies!$A:$A),MATCH(W$1,[3]enemies!$1:$1,0)-MATCH($L$1,[3]enemies!$1:$1,0)+1),MATCH(W$1,[3]enemies!$1:$1,0)-MATCH($L$1,[3]enemies!$1:$1,0)+1,FALSE)</f>
        <v>0</v>
      </c>
      <c r="X21" s="7">
        <v>0</v>
      </c>
      <c r="Y21" s="7">
        <v>100</v>
      </c>
      <c r="Z21" s="7">
        <v>0</v>
      </c>
      <c r="AA21" s="20">
        <f ca="1">VLOOKUP($L21,OFFSET([3]enemies!$A$1,0,0,COUNTA([3]enemies!$A:$A),MATCH(AA$1,[3]enemies!$1:$1,0)-MATCH($L$1,[3]enemies!$1:$1,0)+1),MATCH(AA$1,[3]enemies!$1:$1,0)-MATCH($L$1,[3]enemies!$1:$1,0)+1,FALSE)</f>
        <v>2</v>
      </c>
      <c r="AB21" s="2">
        <f t="shared" si="3"/>
        <v>345</v>
      </c>
      <c r="AC21" s="5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21" s="5">
        <f ca="1">VLOOKUP($AB21,OFFSET([4]characters!$A$1,0,0,COUNTA([4]characters!$A:$A),MATCH(AD$1,[4]characters!$1:$1,0)-MATCH("character_id",[4]characters!$1:$1,0)+1),MATCH(AD$1,[4]characters!$1:$1,0)-MATCH("character_id",[4]characters!$1:$1,0)+1,FALSE)</f>
        <v>4</v>
      </c>
      <c r="AE21" s="5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1" s="8">
        <v>1</v>
      </c>
      <c r="AG21" s="28">
        <f t="shared" ca="1" si="4"/>
        <v>4</v>
      </c>
      <c r="AH21" s="9">
        <v>63.3</v>
      </c>
      <c r="AI21" s="8">
        <v>0</v>
      </c>
      <c r="AJ21" s="8">
        <v>0</v>
      </c>
      <c r="AK21" s="8">
        <v>0</v>
      </c>
      <c r="AL21" s="8">
        <v>0</v>
      </c>
      <c r="AM21" s="8">
        <v>1</v>
      </c>
    </row>
    <row r="22" spans="1:39" ht="21" customHeight="1">
      <c r="A22" s="17" t="str">
        <f t="shared" ca="1" si="5"/>
        <v>12002_1-4/334&lt;lv1&gt;s3</v>
      </c>
      <c r="B22" s="26">
        <v>12002</v>
      </c>
      <c r="C22" s="25">
        <v>1</v>
      </c>
      <c r="D22" s="2" t="str">
        <f t="shared" si="1"/>
        <v>12002_1</v>
      </c>
      <c r="E22" s="5" t="str">
        <f ca="1">VLOOKUP($B22,OFFSET([2]quests!$A$1,0,0,COUNTA([2]quests!$A:$A),MATCH(E$1,[2]quests!$1:$1,0)-MATCH($B$1,[2]quests!$1:$1,0)+1),MATCH(E$1,[2]quests!$1:$1,0)-MATCH($B$1,[2]quests!$1:$1,0)+1,FALSE)</f>
        <v>【緊急！！】 アヒル捕獲作戦</v>
      </c>
      <c r="F22" s="5" t="str">
        <f ca="1">VLOOKUP($D22,OFFSET([2]stages!$A$1,0,0,COUNTA([2]stages!$A:$A),MATCH(F$1,[2]stages!$2:$2,0)-MATCH($D$1,[2]stages!$2:$2,0)+1),MATCH(F$1,[2]stages!$2:$2,0)-MATCH($D$1,[2]stages!$2:$2,0)+1,FALSE)</f>
        <v>メタルダックを捕獲せよ！【上級】</v>
      </c>
      <c r="G22" s="25">
        <v>4</v>
      </c>
      <c r="H22" s="16" t="str">
        <f t="shared" si="6"/>
        <v>12002_1-4</v>
      </c>
      <c r="I22" s="5">
        <f ca="1">VLOOKUP($H22,OFFSET(floors!$A$1,0,0,COUNTA(floors!$A:$A),MATCH(I$1,floors!$1:$1,0)-MATCH($H$1,floors!$1:$1,0)+1),MATCH(I$1,floors!$1:$1,0)-MATCH($H$1,floors!$1:$1,0)+1,FALSE)</f>
        <v>50</v>
      </c>
      <c r="J22" s="5">
        <f ca="1">VLOOKUP($H22,OFFSET(floors!$A$1,0,0,COUNTA(floors!$A:$A),MATCH(J$1,floors!$1:$1,0)-MATCH($H$1,floors!$1:$1,0)+1),MATCH(J$1,floors!$1:$1,0)-MATCH($H$1,floors!$1:$1,0)+1,FALSE)</f>
        <v>50</v>
      </c>
      <c r="K22" s="8" t="s">
        <v>147</v>
      </c>
      <c r="L22" s="24">
        <v>334</v>
      </c>
      <c r="M22" s="20" t="str">
        <f ca="1">VLOOKUP($L22,OFFSET([3]enemies!$A$1,0,0,COUNTA([3]enemies!$A:$A),MATCH(M$1,[3]enemies!$1:$1,0)-MATCH($L$1,[3]enemies!$1:$1,0)+1),MATCH(M$1,[3]enemies!$1:$1,0)-MATCH($L$1,[3]enemies!$1:$1,0)+1,FALSE)</f>
        <v>炎のメタルダック</v>
      </c>
      <c r="N22" s="20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20" t="str">
        <f ca="1">VLOOKUP($L22,OFFSET([4]characters!$A$1,0,0,COUNTA([4]characters!$A:$A),MATCH(O$1,[4]characters!$1:$1,0)-MATCH($L$1,[4]characters!$1:$1,0)+1),MATCH(O$1,[4]characters!$1:$1,0)-MATCH($L$1,[4]characters!$1:$1,0)+1,FALSE)</f>
        <v>Material</v>
      </c>
      <c r="P22" s="20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20">
        <f ca="1">VLOOKUP($L22,OFFSET([3]enemies!$A$1,0,0,COUNTA([3]enemies!$A:$A),MATCH(Q$1,[3]enemies!$1:$1,0)-MATCH($L$1,[3]enemies!$1:$1,0)+1),MATCH(Q$1,[3]enemies!$1:$1,0)-MATCH($L$1,[3]enemies!$1:$1,0)+1,FALSE)</f>
        <v>20</v>
      </c>
      <c r="R22" s="8">
        <v>1</v>
      </c>
      <c r="S22" s="30">
        <v>1</v>
      </c>
      <c r="T22" s="30">
        <v>35</v>
      </c>
      <c r="U22" s="6">
        <v>-5000</v>
      </c>
      <c r="V22" s="5" t="str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" s="5">
        <f ca="1">VLOOKUP($L22,OFFSET([3]enemies!$A$1,0,0,COUNTA([3]enemies!$A:$A),MATCH(W$1,[3]enemies!$1:$1,0)-MATCH($L$1,[3]enemies!$1:$1,0)+1),MATCH(W$1,[3]enemies!$1:$1,0)-MATCH($L$1,[3]enemies!$1:$1,0)+1,FALSE)</f>
        <v>0</v>
      </c>
      <c r="X22" s="7">
        <v>0</v>
      </c>
      <c r="Y22" s="7">
        <v>100</v>
      </c>
      <c r="Z22" s="7">
        <v>2</v>
      </c>
      <c r="AA22" s="20">
        <f ca="1">VLOOKUP($L22,OFFSET([3]enemies!$A$1,0,0,COUNTA([3]enemies!$A:$A),MATCH(AA$1,[3]enemies!$1:$1,0)-MATCH($L$1,[3]enemies!$1:$1,0)+1),MATCH(AA$1,[3]enemies!$1:$1,0)-MATCH($L$1,[3]enemies!$1:$1,0)+1,FALSE)</f>
        <v>3</v>
      </c>
      <c r="AB22" s="2">
        <f t="shared" si="3"/>
        <v>334</v>
      </c>
      <c r="AC22" s="5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22" s="5">
        <f ca="1">VLOOKUP($AB22,OFFSET([4]characters!$A$1,0,0,COUNTA([4]characters!$A:$A),MATCH(AD$1,[4]characters!$1:$1,0)-MATCH("character_id",[4]characters!$1:$1,0)+1),MATCH(AD$1,[4]characters!$1:$1,0)-MATCH("character_id",[4]characters!$1:$1,0)+1,FALSE)</f>
        <v>5</v>
      </c>
      <c r="AE22" s="5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2" s="8">
        <v>1</v>
      </c>
      <c r="AG22" s="28">
        <f t="shared" ca="1" si="4"/>
        <v>5</v>
      </c>
      <c r="AH22" s="9">
        <v>100</v>
      </c>
      <c r="AI22" s="8">
        <v>0</v>
      </c>
      <c r="AJ22" s="8">
        <v>0</v>
      </c>
      <c r="AK22" s="8">
        <v>0</v>
      </c>
      <c r="AL22" s="8">
        <v>0</v>
      </c>
      <c r="AM22" s="8">
        <v>1</v>
      </c>
    </row>
    <row r="23" spans="1:39" ht="21" customHeight="1">
      <c r="A23" s="17" t="str">
        <f t="shared" ca="1" si="5"/>
        <v>12002_1-4/338&lt;lv1&gt;s3</v>
      </c>
      <c r="B23" s="26">
        <v>12002</v>
      </c>
      <c r="C23" s="25">
        <v>1</v>
      </c>
      <c r="D23" s="2" t="str">
        <f t="shared" si="1"/>
        <v>12002_1</v>
      </c>
      <c r="E23" s="5" t="str">
        <f ca="1">VLOOKUP($B23,OFFSET([2]quests!$A$1,0,0,COUNTA([2]quests!$A:$A),MATCH(E$1,[2]quests!$1:$1,0)-MATCH($B$1,[2]quests!$1:$1,0)+1),MATCH(E$1,[2]quests!$1:$1,0)-MATCH($B$1,[2]quests!$1:$1,0)+1,FALSE)</f>
        <v>【緊急！！】 アヒル捕獲作戦</v>
      </c>
      <c r="F23" s="5" t="str">
        <f ca="1">VLOOKUP($D23,OFFSET([2]stages!$A$1,0,0,COUNTA([2]stages!$A:$A),MATCH(F$1,[2]stages!$2:$2,0)-MATCH($D$1,[2]stages!$2:$2,0)+1),MATCH(F$1,[2]stages!$2:$2,0)-MATCH($D$1,[2]stages!$2:$2,0)+1,FALSE)</f>
        <v>メタルダックを捕獲せよ！【上級】</v>
      </c>
      <c r="G23" s="25">
        <v>4</v>
      </c>
      <c r="H23" s="16" t="str">
        <f t="shared" si="6"/>
        <v>12002_1-4</v>
      </c>
      <c r="I23" s="5">
        <f ca="1">VLOOKUP($H23,OFFSET(floors!$A$1,0,0,COUNTA(floors!$A:$A),MATCH(I$1,floors!$1:$1,0)-MATCH($H$1,floors!$1:$1,0)+1),MATCH(I$1,floors!$1:$1,0)-MATCH($H$1,floors!$1:$1,0)+1,FALSE)</f>
        <v>50</v>
      </c>
      <c r="J23" s="5">
        <f ca="1">VLOOKUP($H23,OFFSET(floors!$A$1,0,0,COUNTA(floors!$A:$A),MATCH(J$1,floors!$1:$1,0)-MATCH($H$1,floors!$1:$1,0)+1),MATCH(J$1,floors!$1:$1,0)-MATCH($H$1,floors!$1:$1,0)+1,FALSE)</f>
        <v>50</v>
      </c>
      <c r="K23" s="8" t="s">
        <v>147</v>
      </c>
      <c r="L23" s="24">
        <v>338</v>
      </c>
      <c r="M23" s="20" t="str">
        <f ca="1">VLOOKUP($L23,OFFSET([3]enemies!$A$1,0,0,COUNTA([3]enemies!$A:$A),MATCH(M$1,[3]enemies!$1:$1,0)-MATCH($L$1,[3]enemies!$1:$1,0)+1),MATCH(M$1,[3]enemies!$1:$1,0)-MATCH($L$1,[3]enemies!$1:$1,0)+1,FALSE)</f>
        <v>森のメタルダック</v>
      </c>
      <c r="N23" s="20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20" t="str">
        <f ca="1">VLOOKUP($L23,OFFSET([4]characters!$A$1,0,0,COUNTA([4]characters!$A:$A),MATCH(O$1,[4]characters!$1:$1,0)-MATCH($L$1,[4]characters!$1:$1,0)+1),MATCH(O$1,[4]characters!$1:$1,0)-MATCH($L$1,[4]characters!$1:$1,0)+1,FALSE)</f>
        <v>Material</v>
      </c>
      <c r="P23" s="20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20">
        <f ca="1">VLOOKUP($L23,OFFSET([3]enemies!$A$1,0,0,COUNTA([3]enemies!$A:$A),MATCH(Q$1,[3]enemies!$1:$1,0)-MATCH($L$1,[3]enemies!$1:$1,0)+1),MATCH(Q$1,[3]enemies!$1:$1,0)-MATCH($L$1,[3]enemies!$1:$1,0)+1,FALSE)</f>
        <v>20</v>
      </c>
      <c r="R23" s="8">
        <v>1</v>
      </c>
      <c r="S23" s="30">
        <v>1</v>
      </c>
      <c r="T23" s="30">
        <v>35</v>
      </c>
      <c r="U23" s="6">
        <v>-5000</v>
      </c>
      <c r="V23" s="5" t="str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" s="5">
        <f ca="1">VLOOKUP($L23,OFFSET([3]enemies!$A$1,0,0,COUNTA([3]enemies!$A:$A),MATCH(W$1,[3]enemies!$1:$1,0)-MATCH($L$1,[3]enemies!$1:$1,0)+1),MATCH(W$1,[3]enemies!$1:$1,0)-MATCH($L$1,[3]enemies!$1:$1,0)+1,FALSE)</f>
        <v>0</v>
      </c>
      <c r="X23" s="7">
        <v>0</v>
      </c>
      <c r="Y23" s="7">
        <v>100</v>
      </c>
      <c r="Z23" s="7">
        <v>2</v>
      </c>
      <c r="AA23" s="20">
        <f ca="1">VLOOKUP($L23,OFFSET([3]enemies!$A$1,0,0,COUNTA([3]enemies!$A:$A),MATCH(AA$1,[3]enemies!$1:$1,0)-MATCH($L$1,[3]enemies!$1:$1,0)+1),MATCH(AA$1,[3]enemies!$1:$1,0)-MATCH($L$1,[3]enemies!$1:$1,0)+1,FALSE)</f>
        <v>3</v>
      </c>
      <c r="AB23" s="2">
        <f t="shared" si="3"/>
        <v>338</v>
      </c>
      <c r="AC23" s="5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23" s="5">
        <f ca="1">VLOOKUP($AB23,OFFSET([4]characters!$A$1,0,0,COUNTA([4]characters!$A:$A),MATCH(AD$1,[4]characters!$1:$1,0)-MATCH("character_id",[4]characters!$1:$1,0)+1),MATCH(AD$1,[4]characters!$1:$1,0)-MATCH("character_id",[4]characters!$1:$1,0)+1,FALSE)</f>
        <v>5</v>
      </c>
      <c r="AE23" s="5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3" s="8">
        <v>1</v>
      </c>
      <c r="AG23" s="28">
        <f t="shared" ca="1" si="4"/>
        <v>5</v>
      </c>
      <c r="AH23" s="9">
        <v>100</v>
      </c>
      <c r="AI23" s="8">
        <v>0</v>
      </c>
      <c r="AJ23" s="8">
        <v>0</v>
      </c>
      <c r="AK23" s="8">
        <v>0</v>
      </c>
      <c r="AL23" s="8">
        <v>0</v>
      </c>
      <c r="AM23" s="8">
        <v>1</v>
      </c>
    </row>
    <row r="24" spans="1:39" ht="21" customHeight="1">
      <c r="A24" s="17" t="str">
        <f t="shared" ca="1" si="5"/>
        <v>12002_1-4/342&lt;lv1&gt;s3</v>
      </c>
      <c r="B24" s="26">
        <v>12002</v>
      </c>
      <c r="C24" s="25">
        <v>1</v>
      </c>
      <c r="D24" s="2" t="str">
        <f t="shared" si="1"/>
        <v>12002_1</v>
      </c>
      <c r="E24" s="5" t="str">
        <f ca="1">VLOOKUP($B24,OFFSET([2]quests!$A$1,0,0,COUNTA([2]quests!$A:$A),MATCH(E$1,[2]quests!$1:$1,0)-MATCH($B$1,[2]quests!$1:$1,0)+1),MATCH(E$1,[2]quests!$1:$1,0)-MATCH($B$1,[2]quests!$1:$1,0)+1,FALSE)</f>
        <v>【緊急！！】 アヒル捕獲作戦</v>
      </c>
      <c r="F24" s="5" t="str">
        <f ca="1">VLOOKUP($D24,OFFSET([2]stages!$A$1,0,0,COUNTA([2]stages!$A:$A),MATCH(F$1,[2]stages!$2:$2,0)-MATCH($D$1,[2]stages!$2:$2,0)+1),MATCH(F$1,[2]stages!$2:$2,0)-MATCH($D$1,[2]stages!$2:$2,0)+1,FALSE)</f>
        <v>メタルダックを捕獲せよ！【上級】</v>
      </c>
      <c r="G24" s="25">
        <v>4</v>
      </c>
      <c r="H24" s="16" t="str">
        <f t="shared" si="6"/>
        <v>12002_1-4</v>
      </c>
      <c r="I24" s="5">
        <f ca="1">VLOOKUP($H24,OFFSET(floors!$A$1,0,0,COUNTA(floors!$A:$A),MATCH(I$1,floors!$1:$1,0)-MATCH($H$1,floors!$1:$1,0)+1),MATCH(I$1,floors!$1:$1,0)-MATCH($H$1,floors!$1:$1,0)+1,FALSE)</f>
        <v>50</v>
      </c>
      <c r="J24" s="5">
        <f ca="1">VLOOKUP($H24,OFFSET(floors!$A$1,0,0,COUNTA(floors!$A:$A),MATCH(J$1,floors!$1:$1,0)-MATCH($H$1,floors!$1:$1,0)+1),MATCH(J$1,floors!$1:$1,0)-MATCH($H$1,floors!$1:$1,0)+1,FALSE)</f>
        <v>50</v>
      </c>
      <c r="K24" s="8" t="s">
        <v>147</v>
      </c>
      <c r="L24" s="24">
        <v>342</v>
      </c>
      <c r="M24" s="20" t="str">
        <f ca="1">VLOOKUP($L24,OFFSET([3]enemies!$A$1,0,0,COUNTA([3]enemies!$A:$A),MATCH(M$1,[3]enemies!$1:$1,0)-MATCH($L$1,[3]enemies!$1:$1,0)+1),MATCH(M$1,[3]enemies!$1:$1,0)-MATCH($L$1,[3]enemies!$1:$1,0)+1,FALSE)</f>
        <v>水のメタルダック</v>
      </c>
      <c r="N24" s="20" t="str">
        <f ca="1">VLOOKUP($L24,OFFSET([3]enemies!$A$1,0,0,COUNTA([3]enemies!$A:$A),MATCH(N$1,[3]enemies!$1:$1,0)-MATCH($L$1,[3]enemies!$1:$1,0)+1),MATCH(N$1,[3]enemies!$1:$1,0)-MATCH($L$1,[3]enemies!$1:$1,0)+1,FALSE)</f>
        <v>blue</v>
      </c>
      <c r="O24" s="20" t="str">
        <f ca="1">VLOOKUP($L24,OFFSET([4]characters!$A$1,0,0,COUNTA([4]characters!$A:$A),MATCH(O$1,[4]characters!$1:$1,0)-MATCH($L$1,[4]characters!$1:$1,0)+1),MATCH(O$1,[4]characters!$1:$1,0)-MATCH($L$1,[4]characters!$1:$1,0)+1,FALSE)</f>
        <v>Material</v>
      </c>
      <c r="P24" s="20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20">
        <f ca="1">VLOOKUP($L24,OFFSET([3]enemies!$A$1,0,0,COUNTA([3]enemies!$A:$A),MATCH(Q$1,[3]enemies!$1:$1,0)-MATCH($L$1,[3]enemies!$1:$1,0)+1),MATCH(Q$1,[3]enemies!$1:$1,0)-MATCH($L$1,[3]enemies!$1:$1,0)+1,FALSE)</f>
        <v>20</v>
      </c>
      <c r="R24" s="8">
        <v>1</v>
      </c>
      <c r="S24" s="30">
        <v>1</v>
      </c>
      <c r="T24" s="30">
        <v>35</v>
      </c>
      <c r="U24" s="6">
        <v>-5000</v>
      </c>
      <c r="V24" s="5" t="str">
        <f ca="1">VLOOKUP($W24,OFFSET([5]enemy_skill_sets!$B$1,0,0,COUNTA([5]enemy_skill_sets!$B:$B),MATCH(M$1,[5]enemy_skill_sets!$1:$1,0)-MATCH($W$1,[5]enemy_skill_sets!$1:$1,0)+2),MATCH(M$1,[5]enemy_skill_sets!$1:$1,0)-MATCH($W$1,[5]enemy_skill_sets!$1:$1,0)+2,FALSE)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" s="5">
        <f ca="1">VLOOKUP($L24,OFFSET([3]enemies!$A$1,0,0,COUNTA([3]enemies!$A:$A),MATCH(W$1,[3]enemies!$1:$1,0)-MATCH($L$1,[3]enemies!$1:$1,0)+1),MATCH(W$1,[3]enemies!$1:$1,0)-MATCH($L$1,[3]enemies!$1:$1,0)+1,FALSE)</f>
        <v>0</v>
      </c>
      <c r="X24" s="7">
        <v>0</v>
      </c>
      <c r="Y24" s="7">
        <v>100</v>
      </c>
      <c r="Z24" s="7">
        <v>2</v>
      </c>
      <c r="AA24" s="20">
        <f ca="1">VLOOKUP($L24,OFFSET([3]enemies!$A$1,0,0,COUNTA([3]enemies!$A:$A),MATCH(AA$1,[3]enemies!$1:$1,0)-MATCH($L$1,[3]enemies!$1:$1,0)+1),MATCH(AA$1,[3]enemies!$1:$1,0)-MATCH($L$1,[3]enemies!$1:$1,0)+1,FALSE)</f>
        <v>3</v>
      </c>
      <c r="AB24" s="2">
        <f t="shared" si="3"/>
        <v>342</v>
      </c>
      <c r="AC24" s="5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24" s="5">
        <f ca="1">VLOOKUP($AB24,OFFSET([4]characters!$A$1,0,0,COUNTA([4]characters!$A:$A),MATCH(AD$1,[4]characters!$1:$1,0)-MATCH("character_id",[4]characters!$1:$1,0)+1),MATCH(AD$1,[4]characters!$1:$1,0)-MATCH("character_id",[4]characters!$1:$1,0)+1,FALSE)</f>
        <v>5</v>
      </c>
      <c r="AE24" s="5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4" s="8">
        <v>1</v>
      </c>
      <c r="AG24" s="28">
        <f t="shared" ca="1" si="4"/>
        <v>5</v>
      </c>
      <c r="AH24" s="9">
        <v>100</v>
      </c>
      <c r="AI24" s="8">
        <v>0</v>
      </c>
      <c r="AJ24" s="8">
        <v>0</v>
      </c>
      <c r="AK24" s="8">
        <v>0</v>
      </c>
      <c r="AL24" s="8">
        <v>0</v>
      </c>
      <c r="AM24" s="8">
        <v>1</v>
      </c>
    </row>
    <row r="25" spans="1:39" ht="21" customHeight="1">
      <c r="A25" s="17" t="str">
        <f t="shared" ca="1" si="5"/>
        <v>12002_1-4/346&lt;lv1&gt;s3</v>
      </c>
      <c r="B25" s="26">
        <v>12002</v>
      </c>
      <c r="C25" s="25">
        <v>1</v>
      </c>
      <c r="D25" s="2" t="str">
        <f t="shared" si="1"/>
        <v>12002_1</v>
      </c>
      <c r="E25" s="5" t="str">
        <f ca="1">VLOOKUP($B25,OFFSET([2]quests!$A$1,0,0,COUNTA([2]quests!$A:$A),MATCH(E$1,[2]quests!$1:$1,0)-MATCH($B$1,[2]quests!$1:$1,0)+1),MATCH(E$1,[2]quests!$1:$1,0)-MATCH($B$1,[2]quests!$1:$1,0)+1,FALSE)</f>
        <v>【緊急！！】 アヒル捕獲作戦</v>
      </c>
      <c r="F25" s="5" t="str">
        <f ca="1">VLOOKUP($D25,OFFSET([2]stages!$A$1,0,0,COUNTA([2]stages!$A:$A),MATCH(F$1,[2]stages!$2:$2,0)-MATCH($D$1,[2]stages!$2:$2,0)+1),MATCH(F$1,[2]stages!$2:$2,0)-MATCH($D$1,[2]stages!$2:$2,0)+1,FALSE)</f>
        <v>メタルダックを捕獲せよ！【上級】</v>
      </c>
      <c r="G25" s="25">
        <v>4</v>
      </c>
      <c r="H25" s="16" t="str">
        <f t="shared" si="6"/>
        <v>12002_1-4</v>
      </c>
      <c r="I25" s="5">
        <f ca="1">VLOOKUP($H25,OFFSET(floors!$A$1,0,0,COUNTA(floors!$A:$A),MATCH(I$1,floors!$1:$1,0)-MATCH($H$1,floors!$1:$1,0)+1),MATCH(I$1,floors!$1:$1,0)-MATCH($H$1,floors!$1:$1,0)+1,FALSE)</f>
        <v>50</v>
      </c>
      <c r="J25" s="5">
        <f ca="1">VLOOKUP($H25,OFFSET(floors!$A$1,0,0,COUNTA(floors!$A:$A),MATCH(J$1,floors!$1:$1,0)-MATCH($H$1,floors!$1:$1,0)+1),MATCH(J$1,floors!$1:$1,0)-MATCH($H$1,floors!$1:$1,0)+1,FALSE)</f>
        <v>50</v>
      </c>
      <c r="K25" s="8" t="s">
        <v>147</v>
      </c>
      <c r="L25" s="24">
        <v>346</v>
      </c>
      <c r="M25" s="20" t="str">
        <f ca="1">VLOOKUP($L25,OFFSET([3]enemies!$A$1,0,0,COUNTA([3]enemies!$A:$A),MATCH(M$1,[3]enemies!$1:$1,0)-MATCH($L$1,[3]enemies!$1:$1,0)+1),MATCH(M$1,[3]enemies!$1:$1,0)-MATCH($L$1,[3]enemies!$1:$1,0)+1,FALSE)</f>
        <v>雷のメタルダック</v>
      </c>
      <c r="N25" s="20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20" t="str">
        <f ca="1">VLOOKUP($L25,OFFSET([4]characters!$A$1,0,0,COUNTA([4]characters!$A:$A),MATCH(O$1,[4]characters!$1:$1,0)-MATCH($L$1,[4]characters!$1:$1,0)+1),MATCH(O$1,[4]characters!$1:$1,0)-MATCH($L$1,[4]characters!$1:$1,0)+1,FALSE)</f>
        <v>Material</v>
      </c>
      <c r="P25" s="20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20">
        <f ca="1">VLOOKUP($L25,OFFSET([3]enemies!$A$1,0,0,COUNTA([3]enemies!$A:$A),MATCH(Q$1,[3]enemies!$1:$1,0)-MATCH($L$1,[3]enemies!$1:$1,0)+1),MATCH(Q$1,[3]enemies!$1:$1,0)-MATCH($L$1,[3]enemies!$1:$1,0)+1,FALSE)</f>
        <v>20</v>
      </c>
      <c r="R25" s="8">
        <v>1</v>
      </c>
      <c r="S25" s="30">
        <v>1</v>
      </c>
      <c r="T25" s="30">
        <v>35</v>
      </c>
      <c r="U25" s="6">
        <v>-5000</v>
      </c>
      <c r="V25" s="5" t="str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" s="5">
        <f ca="1">VLOOKUP($L25,OFFSET([3]enemies!$A$1,0,0,COUNTA([3]enemies!$A:$A),MATCH(W$1,[3]enemies!$1:$1,0)-MATCH($L$1,[3]enemies!$1:$1,0)+1),MATCH(W$1,[3]enemies!$1:$1,0)-MATCH($L$1,[3]enemies!$1:$1,0)+1,FALSE)</f>
        <v>0</v>
      </c>
      <c r="X25" s="7">
        <v>0</v>
      </c>
      <c r="Y25" s="7">
        <v>100</v>
      </c>
      <c r="Z25" s="7">
        <v>2</v>
      </c>
      <c r="AA25" s="20">
        <f ca="1">VLOOKUP($L25,OFFSET([3]enemies!$A$1,0,0,COUNTA([3]enemies!$A:$A),MATCH(AA$1,[3]enemies!$1:$1,0)-MATCH($L$1,[3]enemies!$1:$1,0)+1),MATCH(AA$1,[3]enemies!$1:$1,0)-MATCH($L$1,[3]enemies!$1:$1,0)+1,FALSE)</f>
        <v>3</v>
      </c>
      <c r="AB25" s="2">
        <f t="shared" si="3"/>
        <v>346</v>
      </c>
      <c r="AC25" s="5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25" s="5">
        <f ca="1">VLOOKUP($AB25,OFFSET([4]characters!$A$1,0,0,COUNTA([4]characters!$A:$A),MATCH(AD$1,[4]characters!$1:$1,0)-MATCH("character_id",[4]characters!$1:$1,0)+1),MATCH(AD$1,[4]characters!$1:$1,0)-MATCH("character_id",[4]characters!$1:$1,0)+1,FALSE)</f>
        <v>5</v>
      </c>
      <c r="AE25" s="5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5" s="8">
        <v>1</v>
      </c>
      <c r="AG25" s="28">
        <f t="shared" ca="1" si="4"/>
        <v>5</v>
      </c>
      <c r="AH25" s="9">
        <v>100</v>
      </c>
      <c r="AI25" s="8">
        <v>0</v>
      </c>
      <c r="AJ25" s="8">
        <v>0</v>
      </c>
      <c r="AK25" s="8">
        <v>0</v>
      </c>
      <c r="AL25" s="8">
        <v>0</v>
      </c>
      <c r="AM25" s="8">
        <v>1</v>
      </c>
    </row>
    <row r="26" spans="1:39" ht="21" customHeight="1">
      <c r="A26" s="17" t="str">
        <f t="shared" ca="1" si="5"/>
        <v>12002_1-5/334&lt;lv3&gt;s3</v>
      </c>
      <c r="B26" s="26">
        <v>12002</v>
      </c>
      <c r="C26" s="25">
        <v>1</v>
      </c>
      <c r="D26" s="2" t="str">
        <f t="shared" ref="D26:D29" si="7">B26&amp;"_"&amp;C26</f>
        <v>12002_1</v>
      </c>
      <c r="E26" s="5" t="str">
        <f ca="1">VLOOKUP($B26,OFFSET([2]quests!$A$1,0,0,COUNTA([2]quests!$A:$A),MATCH(E$1,[2]quests!$1:$1,0)-MATCH($B$1,[2]quests!$1:$1,0)+1),MATCH(E$1,[2]quests!$1:$1,0)-MATCH($B$1,[2]quests!$1:$1,0)+1,FALSE)</f>
        <v>【緊急！！】 アヒル捕獲作戦</v>
      </c>
      <c r="F26" s="5" t="str">
        <f ca="1">VLOOKUP($D26,OFFSET([2]stages!$A$1,0,0,COUNTA([2]stages!$A:$A),MATCH(F$1,[2]stages!$2:$2,0)-MATCH($D$1,[2]stages!$2:$2,0)+1),MATCH(F$1,[2]stages!$2:$2,0)-MATCH($D$1,[2]stages!$2:$2,0)+1,FALSE)</f>
        <v>メタルダックを捕獲せよ！【上級】</v>
      </c>
      <c r="G26" s="25">
        <v>5</v>
      </c>
      <c r="H26" s="16" t="str">
        <f t="shared" si="6"/>
        <v>12002_1-5</v>
      </c>
      <c r="I26" s="5">
        <f ca="1">VLOOKUP($H26,OFFSET(floors!$A$1,0,0,COUNTA(floors!$A:$A),MATCH(I$1,floors!$1:$1,0)-MATCH($H$1,floors!$1:$1,0)+1),MATCH(I$1,floors!$1:$1,0)-MATCH($H$1,floors!$1:$1,0)+1,FALSE)</f>
        <v>60</v>
      </c>
      <c r="J26" s="5">
        <f ca="1">VLOOKUP($H26,OFFSET(floors!$A$1,0,0,COUNTA(floors!$A:$A),MATCH(J$1,floors!$1:$1,0)-MATCH($H$1,floors!$1:$1,0)+1),MATCH(J$1,floors!$1:$1,0)-MATCH($H$1,floors!$1:$1,0)+1,FALSE)</f>
        <v>60</v>
      </c>
      <c r="K26" s="8" t="s">
        <v>147</v>
      </c>
      <c r="L26" s="24">
        <v>334</v>
      </c>
      <c r="M26" s="20" t="str">
        <f ca="1">VLOOKUP($L26,OFFSET([3]enemies!$A$1,0,0,COUNTA([3]enemies!$A:$A),MATCH(M$1,[3]enemies!$1:$1,0)-MATCH($L$1,[3]enemies!$1:$1,0)+1),MATCH(M$1,[3]enemies!$1:$1,0)-MATCH($L$1,[3]enemies!$1:$1,0)+1,FALSE)</f>
        <v>炎のメタルダック</v>
      </c>
      <c r="N26" s="20" t="str">
        <f ca="1">VLOOKUP($L26,OFFSET([3]enemies!$A$1,0,0,COUNTA([3]enemies!$A:$A),MATCH(N$1,[3]enemies!$1:$1,0)-MATCH($L$1,[3]enemies!$1:$1,0)+1),MATCH(N$1,[3]enemies!$1:$1,0)-MATCH($L$1,[3]enemies!$1:$1,0)+1,FALSE)</f>
        <v>red</v>
      </c>
      <c r="O26" s="20" t="str">
        <f ca="1">VLOOKUP($L26,OFFSET([4]characters!$A$1,0,0,COUNTA([4]characters!$A:$A),MATCH(O$1,[4]characters!$1:$1,0)-MATCH($L$1,[4]characters!$1:$1,0)+1),MATCH(O$1,[4]characters!$1:$1,0)-MATCH($L$1,[4]characters!$1:$1,0)+1,FALSE)</f>
        <v>Material</v>
      </c>
      <c r="P26" s="20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20">
        <f ca="1">VLOOKUP($L26,OFFSET([3]enemies!$A$1,0,0,COUNTA([3]enemies!$A:$A),MATCH(Q$1,[3]enemies!$1:$1,0)-MATCH($L$1,[3]enemies!$1:$1,0)+1),MATCH(Q$1,[3]enemies!$1:$1,0)-MATCH($L$1,[3]enemies!$1:$1,0)+1,FALSE)</f>
        <v>20</v>
      </c>
      <c r="R26" s="8">
        <v>3</v>
      </c>
      <c r="S26" s="30">
        <v>1</v>
      </c>
      <c r="T26" s="30">
        <v>35</v>
      </c>
      <c r="U26" s="6">
        <v>-9000</v>
      </c>
      <c r="V26" s="5" t="str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" s="5">
        <f ca="1">VLOOKUP($L26,OFFSET([3]enemies!$A$1,0,0,COUNTA([3]enemies!$A:$A),MATCH(W$1,[3]enemies!$1:$1,0)-MATCH($L$1,[3]enemies!$1:$1,0)+1),MATCH(W$1,[3]enemies!$1:$1,0)-MATCH($L$1,[3]enemies!$1:$1,0)+1,FALSE)</f>
        <v>0</v>
      </c>
      <c r="X26" s="7">
        <v>0</v>
      </c>
      <c r="Y26" s="7">
        <v>100</v>
      </c>
      <c r="Z26" s="7">
        <v>0</v>
      </c>
      <c r="AA26" s="20">
        <f ca="1">VLOOKUP($L26,OFFSET([3]enemies!$A$1,0,0,COUNTA([3]enemies!$A:$A),MATCH(AA$1,[3]enemies!$1:$1,0)-MATCH($L$1,[3]enemies!$1:$1,0)+1),MATCH(AA$1,[3]enemies!$1:$1,0)-MATCH($L$1,[3]enemies!$1:$1,0)+1,FALSE)</f>
        <v>3</v>
      </c>
      <c r="AB26" s="2">
        <f t="shared" si="3"/>
        <v>334</v>
      </c>
      <c r="AC26" s="5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26" s="5">
        <f ca="1">VLOOKUP($AB26,OFFSET([4]characters!$A$1,0,0,COUNTA([4]characters!$A:$A),MATCH(AD$1,[4]characters!$1:$1,0)-MATCH("character_id",[4]characters!$1:$1,0)+1),MATCH(AD$1,[4]characters!$1:$1,0)-MATCH("character_id",[4]characters!$1:$1,0)+1,FALSE)</f>
        <v>5</v>
      </c>
      <c r="AE26" s="5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6" s="8">
        <v>1</v>
      </c>
      <c r="AG26" s="28">
        <f t="shared" ref="AG26:AG29" ca="1" si="8">AD26</f>
        <v>5</v>
      </c>
      <c r="AH26" s="9">
        <v>100</v>
      </c>
      <c r="AI26" s="8">
        <v>0</v>
      </c>
      <c r="AJ26" s="8">
        <v>0</v>
      </c>
      <c r="AK26" s="8">
        <v>0</v>
      </c>
      <c r="AL26" s="8">
        <v>0</v>
      </c>
      <c r="AM26" s="8">
        <v>1</v>
      </c>
    </row>
    <row r="27" spans="1:39" ht="21" customHeight="1">
      <c r="A27" s="17" t="str">
        <f t="shared" ca="1" si="5"/>
        <v>12002_1-5/338&lt;lv3&gt;s3</v>
      </c>
      <c r="B27" s="26">
        <v>12002</v>
      </c>
      <c r="C27" s="25">
        <v>1</v>
      </c>
      <c r="D27" s="2" t="str">
        <f t="shared" si="7"/>
        <v>12002_1</v>
      </c>
      <c r="E27" s="5" t="str">
        <f ca="1">VLOOKUP($B27,OFFSET([2]quests!$A$1,0,0,COUNTA([2]quests!$A:$A),MATCH(E$1,[2]quests!$1:$1,0)-MATCH($B$1,[2]quests!$1:$1,0)+1),MATCH(E$1,[2]quests!$1:$1,0)-MATCH($B$1,[2]quests!$1:$1,0)+1,FALSE)</f>
        <v>【緊急！！】 アヒル捕獲作戦</v>
      </c>
      <c r="F27" s="5" t="str">
        <f ca="1">VLOOKUP($D27,OFFSET([2]stages!$A$1,0,0,COUNTA([2]stages!$A:$A),MATCH(F$1,[2]stages!$2:$2,0)-MATCH($D$1,[2]stages!$2:$2,0)+1),MATCH(F$1,[2]stages!$2:$2,0)-MATCH($D$1,[2]stages!$2:$2,0)+1,FALSE)</f>
        <v>メタルダックを捕獲せよ！【上級】</v>
      </c>
      <c r="G27" s="25">
        <v>5</v>
      </c>
      <c r="H27" s="16" t="str">
        <f t="shared" si="6"/>
        <v>12002_1-5</v>
      </c>
      <c r="I27" s="5">
        <f ca="1">VLOOKUP($H27,OFFSET(floors!$A$1,0,0,COUNTA(floors!$A:$A),MATCH(I$1,floors!$1:$1,0)-MATCH($H$1,floors!$1:$1,0)+1),MATCH(I$1,floors!$1:$1,0)-MATCH($H$1,floors!$1:$1,0)+1,FALSE)</f>
        <v>60</v>
      </c>
      <c r="J27" s="5">
        <f ca="1">VLOOKUP($H27,OFFSET(floors!$A$1,0,0,COUNTA(floors!$A:$A),MATCH(J$1,floors!$1:$1,0)-MATCH($H$1,floors!$1:$1,0)+1),MATCH(J$1,floors!$1:$1,0)-MATCH($H$1,floors!$1:$1,0)+1,FALSE)</f>
        <v>60</v>
      </c>
      <c r="K27" s="8" t="s">
        <v>147</v>
      </c>
      <c r="L27" s="24">
        <v>338</v>
      </c>
      <c r="M27" s="20" t="str">
        <f ca="1">VLOOKUP($L27,OFFSET([3]enemies!$A$1,0,0,COUNTA([3]enemies!$A:$A),MATCH(M$1,[3]enemies!$1:$1,0)-MATCH($L$1,[3]enemies!$1:$1,0)+1),MATCH(M$1,[3]enemies!$1:$1,0)-MATCH($L$1,[3]enemies!$1:$1,0)+1,FALSE)</f>
        <v>森のメタルダック</v>
      </c>
      <c r="N27" s="20" t="str">
        <f ca="1">VLOOKUP($L27,OFFSET([3]enemies!$A$1,0,0,COUNTA([3]enemies!$A:$A),MATCH(N$1,[3]enemies!$1:$1,0)-MATCH($L$1,[3]enemies!$1:$1,0)+1),MATCH(N$1,[3]enemies!$1:$1,0)-MATCH($L$1,[3]enemies!$1:$1,0)+1,FALSE)</f>
        <v>green</v>
      </c>
      <c r="O27" s="20" t="str">
        <f ca="1">VLOOKUP($L27,OFFSET([4]characters!$A$1,0,0,COUNTA([4]characters!$A:$A),MATCH(O$1,[4]characters!$1:$1,0)-MATCH($L$1,[4]characters!$1:$1,0)+1),MATCH(O$1,[4]characters!$1:$1,0)-MATCH($L$1,[4]characters!$1:$1,0)+1,FALSE)</f>
        <v>Material</v>
      </c>
      <c r="P27" s="20" t="str">
        <f ca="1">VLOOKUP($L27,OFFSET([3]enemies!$A$1,0,0,COUNTA([3]enemies!$A:$A),MATCH(P$1,[3]enemies!$1:$1,0)-MATCH($L$1,[3]enemies!$1:$1,0)+1),MATCH(P$1,[3]enemies!$1:$1,0)-MATCH($L$1,[3]enemies!$1:$1,0)+1,FALSE)</f>
        <v>unknown</v>
      </c>
      <c r="Q27" s="20">
        <f ca="1">VLOOKUP($L27,OFFSET([3]enemies!$A$1,0,0,COUNTA([3]enemies!$A:$A),MATCH(Q$1,[3]enemies!$1:$1,0)-MATCH($L$1,[3]enemies!$1:$1,0)+1),MATCH(Q$1,[3]enemies!$1:$1,0)-MATCH($L$1,[3]enemies!$1:$1,0)+1,FALSE)</f>
        <v>20</v>
      </c>
      <c r="R27" s="8">
        <v>3</v>
      </c>
      <c r="S27" s="30">
        <v>1</v>
      </c>
      <c r="T27" s="30">
        <v>35</v>
      </c>
      <c r="U27" s="6">
        <v>-9000</v>
      </c>
      <c r="V27" s="5" t="str">
        <f ca="1">VLOOKUP($W27,OFFSET([5]enemy_skill_sets!$B$1,0,0,COUNTA([5]enemy_skill_sets!$B:$B),MATCH(M$1,[5]enemy_skill_sets!$1:$1,0)-MATCH($W$1,[5]enemy_skill_sets!$1:$1,0)+2),MATCH(M$1,[5]enemy_skill_sets!$1:$1,0)-MATCH($W$1,[5]enemy_skill_sets!$1:$1,0)+2,FALSE)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" s="5">
        <f ca="1">VLOOKUP($L27,OFFSET([3]enemies!$A$1,0,0,COUNTA([3]enemies!$A:$A),MATCH(W$1,[3]enemies!$1:$1,0)-MATCH($L$1,[3]enemies!$1:$1,0)+1),MATCH(W$1,[3]enemies!$1:$1,0)-MATCH($L$1,[3]enemies!$1:$1,0)+1,FALSE)</f>
        <v>0</v>
      </c>
      <c r="X27" s="7">
        <v>0</v>
      </c>
      <c r="Y27" s="7">
        <v>100</v>
      </c>
      <c r="Z27" s="7">
        <v>0</v>
      </c>
      <c r="AA27" s="20">
        <f ca="1">VLOOKUP($L27,OFFSET([3]enemies!$A$1,0,0,COUNTA([3]enemies!$A:$A),MATCH(AA$1,[3]enemies!$1:$1,0)-MATCH($L$1,[3]enemies!$1:$1,0)+1),MATCH(AA$1,[3]enemies!$1:$1,0)-MATCH($L$1,[3]enemies!$1:$1,0)+1,FALSE)</f>
        <v>3</v>
      </c>
      <c r="AB27" s="2">
        <f t="shared" si="3"/>
        <v>338</v>
      </c>
      <c r="AC27" s="5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27" s="5">
        <f ca="1">VLOOKUP($AB27,OFFSET([4]characters!$A$1,0,0,COUNTA([4]characters!$A:$A),MATCH(AD$1,[4]characters!$1:$1,0)-MATCH("character_id",[4]characters!$1:$1,0)+1),MATCH(AD$1,[4]characters!$1:$1,0)-MATCH("character_id",[4]characters!$1:$1,0)+1,FALSE)</f>
        <v>5</v>
      </c>
      <c r="AE27" s="5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7" s="8">
        <v>1</v>
      </c>
      <c r="AG27" s="28">
        <f t="shared" ca="1" si="8"/>
        <v>5</v>
      </c>
      <c r="AH27" s="9">
        <v>100</v>
      </c>
      <c r="AI27" s="8">
        <v>0</v>
      </c>
      <c r="AJ27" s="8">
        <v>0</v>
      </c>
      <c r="AK27" s="8">
        <v>0</v>
      </c>
      <c r="AL27" s="8">
        <v>0</v>
      </c>
      <c r="AM27" s="8">
        <v>1</v>
      </c>
    </row>
    <row r="28" spans="1:39" ht="21" customHeight="1">
      <c r="A28" s="17" t="str">
        <f t="shared" ca="1" si="5"/>
        <v>12002_1-5/342&lt;lv3&gt;s3</v>
      </c>
      <c r="B28" s="26">
        <v>12002</v>
      </c>
      <c r="C28" s="25">
        <v>1</v>
      </c>
      <c r="D28" s="2" t="str">
        <f t="shared" si="7"/>
        <v>12002_1</v>
      </c>
      <c r="E28" s="5" t="str">
        <f ca="1">VLOOKUP($B28,OFFSET([2]quests!$A$1,0,0,COUNTA([2]quests!$A:$A),MATCH(E$1,[2]quests!$1:$1,0)-MATCH($B$1,[2]quests!$1:$1,0)+1),MATCH(E$1,[2]quests!$1:$1,0)-MATCH($B$1,[2]quests!$1:$1,0)+1,FALSE)</f>
        <v>【緊急！！】 アヒル捕獲作戦</v>
      </c>
      <c r="F28" s="5" t="str">
        <f ca="1">VLOOKUP($D28,OFFSET([2]stages!$A$1,0,0,COUNTA([2]stages!$A:$A),MATCH(F$1,[2]stages!$2:$2,0)-MATCH($D$1,[2]stages!$2:$2,0)+1),MATCH(F$1,[2]stages!$2:$2,0)-MATCH($D$1,[2]stages!$2:$2,0)+1,FALSE)</f>
        <v>メタルダックを捕獲せよ！【上級】</v>
      </c>
      <c r="G28" s="25">
        <v>5</v>
      </c>
      <c r="H28" s="16" t="str">
        <f t="shared" si="6"/>
        <v>12002_1-5</v>
      </c>
      <c r="I28" s="5">
        <f ca="1">VLOOKUP($H28,OFFSET(floors!$A$1,0,0,COUNTA(floors!$A:$A),MATCH(I$1,floors!$1:$1,0)-MATCH($H$1,floors!$1:$1,0)+1),MATCH(I$1,floors!$1:$1,0)-MATCH($H$1,floors!$1:$1,0)+1,FALSE)</f>
        <v>60</v>
      </c>
      <c r="J28" s="5">
        <f ca="1">VLOOKUP($H28,OFFSET(floors!$A$1,0,0,COUNTA(floors!$A:$A),MATCH(J$1,floors!$1:$1,0)-MATCH($H$1,floors!$1:$1,0)+1),MATCH(J$1,floors!$1:$1,0)-MATCH($H$1,floors!$1:$1,0)+1,FALSE)</f>
        <v>60</v>
      </c>
      <c r="K28" s="8" t="s">
        <v>147</v>
      </c>
      <c r="L28" s="24">
        <v>342</v>
      </c>
      <c r="M28" s="20" t="str">
        <f ca="1">VLOOKUP($L28,OFFSET([3]enemies!$A$1,0,0,COUNTA([3]enemies!$A:$A),MATCH(M$1,[3]enemies!$1:$1,0)-MATCH($L$1,[3]enemies!$1:$1,0)+1),MATCH(M$1,[3]enemies!$1:$1,0)-MATCH($L$1,[3]enemies!$1:$1,0)+1,FALSE)</f>
        <v>水のメタルダック</v>
      </c>
      <c r="N28" s="20" t="str">
        <f ca="1">VLOOKUP($L28,OFFSET([3]enemies!$A$1,0,0,COUNTA([3]enemies!$A:$A),MATCH(N$1,[3]enemies!$1:$1,0)-MATCH($L$1,[3]enemies!$1:$1,0)+1),MATCH(N$1,[3]enemies!$1:$1,0)-MATCH($L$1,[3]enemies!$1:$1,0)+1,FALSE)</f>
        <v>blue</v>
      </c>
      <c r="O28" s="20" t="str">
        <f ca="1">VLOOKUP($L28,OFFSET([4]characters!$A$1,0,0,COUNTA([4]characters!$A:$A),MATCH(O$1,[4]characters!$1:$1,0)-MATCH($L$1,[4]characters!$1:$1,0)+1),MATCH(O$1,[4]characters!$1:$1,0)-MATCH($L$1,[4]characters!$1:$1,0)+1,FALSE)</f>
        <v>Material</v>
      </c>
      <c r="P28" s="20" t="str">
        <f ca="1">VLOOKUP($L28,OFFSET([3]enemies!$A$1,0,0,COUNTA([3]enemies!$A:$A),MATCH(P$1,[3]enemies!$1:$1,0)-MATCH($L$1,[3]enemies!$1:$1,0)+1),MATCH(P$1,[3]enemies!$1:$1,0)-MATCH($L$1,[3]enemies!$1:$1,0)+1,FALSE)</f>
        <v>unknown</v>
      </c>
      <c r="Q28" s="20">
        <f ca="1">VLOOKUP($L28,OFFSET([3]enemies!$A$1,0,0,COUNTA([3]enemies!$A:$A),MATCH(Q$1,[3]enemies!$1:$1,0)-MATCH($L$1,[3]enemies!$1:$1,0)+1),MATCH(Q$1,[3]enemies!$1:$1,0)-MATCH($L$1,[3]enemies!$1:$1,0)+1,FALSE)</f>
        <v>20</v>
      </c>
      <c r="R28" s="8">
        <v>3</v>
      </c>
      <c r="S28" s="30">
        <v>1</v>
      </c>
      <c r="T28" s="30">
        <v>35</v>
      </c>
      <c r="U28" s="6">
        <v>-9000</v>
      </c>
      <c r="V28" s="5" t="str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" s="5">
        <f ca="1">VLOOKUP($L28,OFFSET([3]enemies!$A$1,0,0,COUNTA([3]enemies!$A:$A),MATCH(W$1,[3]enemies!$1:$1,0)-MATCH($L$1,[3]enemies!$1:$1,0)+1),MATCH(W$1,[3]enemies!$1:$1,0)-MATCH($L$1,[3]enemies!$1:$1,0)+1,FALSE)</f>
        <v>0</v>
      </c>
      <c r="X28" s="7">
        <v>0</v>
      </c>
      <c r="Y28" s="7">
        <v>100</v>
      </c>
      <c r="Z28" s="7">
        <v>0</v>
      </c>
      <c r="AA28" s="20">
        <f ca="1">VLOOKUP($L28,OFFSET([3]enemies!$A$1,0,0,COUNTA([3]enemies!$A:$A),MATCH(AA$1,[3]enemies!$1:$1,0)-MATCH($L$1,[3]enemies!$1:$1,0)+1),MATCH(AA$1,[3]enemies!$1:$1,0)-MATCH($L$1,[3]enemies!$1:$1,0)+1,FALSE)</f>
        <v>3</v>
      </c>
      <c r="AB28" s="2">
        <f t="shared" si="3"/>
        <v>342</v>
      </c>
      <c r="AC28" s="5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28" s="5">
        <f ca="1">VLOOKUP($AB28,OFFSET([4]characters!$A$1,0,0,COUNTA([4]characters!$A:$A),MATCH(AD$1,[4]characters!$1:$1,0)-MATCH("character_id",[4]characters!$1:$1,0)+1),MATCH(AD$1,[4]characters!$1:$1,0)-MATCH("character_id",[4]characters!$1:$1,0)+1,FALSE)</f>
        <v>5</v>
      </c>
      <c r="AE28" s="5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8" s="8">
        <v>1</v>
      </c>
      <c r="AG28" s="28">
        <f t="shared" ca="1" si="8"/>
        <v>5</v>
      </c>
      <c r="AH28" s="9">
        <v>100</v>
      </c>
      <c r="AI28" s="8">
        <v>0</v>
      </c>
      <c r="AJ28" s="8">
        <v>0</v>
      </c>
      <c r="AK28" s="8">
        <v>0</v>
      </c>
      <c r="AL28" s="8">
        <v>0</v>
      </c>
      <c r="AM28" s="8">
        <v>1</v>
      </c>
    </row>
    <row r="29" spans="1:39" ht="21" customHeight="1">
      <c r="A29" s="17" t="str">
        <f t="shared" ca="1" si="5"/>
        <v>12002_1-5/346&lt;lv3&gt;s3</v>
      </c>
      <c r="B29" s="26">
        <v>12002</v>
      </c>
      <c r="C29" s="25">
        <v>1</v>
      </c>
      <c r="D29" s="2" t="str">
        <f t="shared" si="7"/>
        <v>12002_1</v>
      </c>
      <c r="E29" s="5" t="str">
        <f ca="1">VLOOKUP($B29,OFFSET([2]quests!$A$1,0,0,COUNTA([2]quests!$A:$A),MATCH(E$1,[2]quests!$1:$1,0)-MATCH($B$1,[2]quests!$1:$1,0)+1),MATCH(E$1,[2]quests!$1:$1,0)-MATCH($B$1,[2]quests!$1:$1,0)+1,FALSE)</f>
        <v>【緊急！！】 アヒル捕獲作戦</v>
      </c>
      <c r="F29" s="5" t="str">
        <f ca="1">VLOOKUP($D29,OFFSET([2]stages!$A$1,0,0,COUNTA([2]stages!$A:$A),MATCH(F$1,[2]stages!$2:$2,0)-MATCH($D$1,[2]stages!$2:$2,0)+1),MATCH(F$1,[2]stages!$2:$2,0)-MATCH($D$1,[2]stages!$2:$2,0)+1,FALSE)</f>
        <v>メタルダックを捕獲せよ！【上級】</v>
      </c>
      <c r="G29" s="25">
        <v>5</v>
      </c>
      <c r="H29" s="16" t="str">
        <f t="shared" si="6"/>
        <v>12002_1-5</v>
      </c>
      <c r="I29" s="5">
        <f ca="1">VLOOKUP($H29,OFFSET(floors!$A$1,0,0,COUNTA(floors!$A:$A),MATCH(I$1,floors!$1:$1,0)-MATCH($H$1,floors!$1:$1,0)+1),MATCH(I$1,floors!$1:$1,0)-MATCH($H$1,floors!$1:$1,0)+1,FALSE)</f>
        <v>60</v>
      </c>
      <c r="J29" s="5">
        <f ca="1">VLOOKUP($H29,OFFSET(floors!$A$1,0,0,COUNTA(floors!$A:$A),MATCH(J$1,floors!$1:$1,0)-MATCH($H$1,floors!$1:$1,0)+1),MATCH(J$1,floors!$1:$1,0)-MATCH($H$1,floors!$1:$1,0)+1,FALSE)</f>
        <v>60</v>
      </c>
      <c r="K29" s="8" t="s">
        <v>147</v>
      </c>
      <c r="L29" s="24">
        <v>346</v>
      </c>
      <c r="M29" s="20" t="str">
        <f ca="1">VLOOKUP($L29,OFFSET([3]enemies!$A$1,0,0,COUNTA([3]enemies!$A:$A),MATCH(M$1,[3]enemies!$1:$1,0)-MATCH($L$1,[3]enemies!$1:$1,0)+1),MATCH(M$1,[3]enemies!$1:$1,0)-MATCH($L$1,[3]enemies!$1:$1,0)+1,FALSE)</f>
        <v>雷のメタルダック</v>
      </c>
      <c r="N29" s="20" t="str">
        <f ca="1">VLOOKUP($L29,OFFSET([3]enemies!$A$1,0,0,COUNTA([3]enemies!$A:$A),MATCH(N$1,[3]enemies!$1:$1,0)-MATCH($L$1,[3]enemies!$1:$1,0)+1),MATCH(N$1,[3]enemies!$1:$1,0)-MATCH($L$1,[3]enemies!$1:$1,0)+1,FALSE)</f>
        <v>yellow</v>
      </c>
      <c r="O29" s="20" t="str">
        <f ca="1">VLOOKUP($L29,OFFSET([4]characters!$A$1,0,0,COUNTA([4]characters!$A:$A),MATCH(O$1,[4]characters!$1:$1,0)-MATCH($L$1,[4]characters!$1:$1,0)+1),MATCH(O$1,[4]characters!$1:$1,0)-MATCH($L$1,[4]characters!$1:$1,0)+1,FALSE)</f>
        <v>Material</v>
      </c>
      <c r="P29" s="20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20">
        <f ca="1">VLOOKUP($L29,OFFSET([3]enemies!$A$1,0,0,COUNTA([3]enemies!$A:$A),MATCH(Q$1,[3]enemies!$1:$1,0)-MATCH($L$1,[3]enemies!$1:$1,0)+1),MATCH(Q$1,[3]enemies!$1:$1,0)-MATCH($L$1,[3]enemies!$1:$1,0)+1,FALSE)</f>
        <v>20</v>
      </c>
      <c r="R29" s="8">
        <v>3</v>
      </c>
      <c r="S29" s="30">
        <v>1</v>
      </c>
      <c r="T29" s="30">
        <v>35</v>
      </c>
      <c r="U29" s="6">
        <v>-9000</v>
      </c>
      <c r="V29" s="5" t="str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" s="5">
        <f ca="1">VLOOKUP($L29,OFFSET([3]enemies!$A$1,0,0,COUNTA([3]enemies!$A:$A),MATCH(W$1,[3]enemies!$1:$1,0)-MATCH($L$1,[3]enemies!$1:$1,0)+1),MATCH(W$1,[3]enemies!$1:$1,0)-MATCH($L$1,[3]enemies!$1:$1,0)+1,FALSE)</f>
        <v>0</v>
      </c>
      <c r="X29" s="7">
        <v>0</v>
      </c>
      <c r="Y29" s="7">
        <v>100</v>
      </c>
      <c r="Z29" s="7">
        <v>0</v>
      </c>
      <c r="AA29" s="20">
        <f ca="1">VLOOKUP($L29,OFFSET([3]enemies!$A$1,0,0,COUNTA([3]enemies!$A:$A),MATCH(AA$1,[3]enemies!$1:$1,0)-MATCH($L$1,[3]enemies!$1:$1,0)+1),MATCH(AA$1,[3]enemies!$1:$1,0)-MATCH($L$1,[3]enemies!$1:$1,0)+1,FALSE)</f>
        <v>3</v>
      </c>
      <c r="AB29" s="2">
        <f t="shared" si="3"/>
        <v>346</v>
      </c>
      <c r="AC29" s="5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29" s="5">
        <f ca="1">VLOOKUP($AB29,OFFSET([4]characters!$A$1,0,0,COUNTA([4]characters!$A:$A),MATCH(AD$1,[4]characters!$1:$1,0)-MATCH("character_id",[4]characters!$1:$1,0)+1),MATCH(AD$1,[4]characters!$1:$1,0)-MATCH("character_id",[4]characters!$1:$1,0)+1,FALSE)</f>
        <v>5</v>
      </c>
      <c r="AE29" s="5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9" s="8">
        <v>1</v>
      </c>
      <c r="AG29" s="28">
        <f t="shared" ca="1" si="8"/>
        <v>5</v>
      </c>
      <c r="AH29" s="9">
        <v>100</v>
      </c>
      <c r="AI29" s="8">
        <v>0</v>
      </c>
      <c r="AJ29" s="8">
        <v>0</v>
      </c>
      <c r="AK29" s="8">
        <v>0</v>
      </c>
      <c r="AL29" s="8">
        <v>0</v>
      </c>
      <c r="AM29" s="8">
        <v>1</v>
      </c>
    </row>
  </sheetData>
  <sheetProtection selectLockedCells="1" selectUnlockedCells="1"/>
  <autoFilter ref="B1:AH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A2" sqref="A2:XFD42"/>
    </sheetView>
  </sheetViews>
  <sheetFormatPr baseColWidth="12" defaultColWidth="13" defaultRowHeight="21" customHeight="1" outlineLevelCol="1" x14ac:dyDescent="0"/>
  <cols>
    <col min="1" max="1" width="17" style="23" bestFit="1" customWidth="1"/>
    <col min="2" max="2" width="10.83203125" style="4" bestFit="1" customWidth="1"/>
    <col min="3" max="3" width="10.6640625" style="4" bestFit="1" customWidth="1"/>
    <col min="4" max="4" width="13" style="15" bestFit="1" customWidth="1" outlineLevel="1"/>
    <col min="5" max="5" width="11.6640625" style="4" bestFit="1" customWidth="1" outlineLevel="1"/>
    <col min="6" max="6" width="16.1640625" style="4" bestFit="1" customWidth="1" outlineLevel="1"/>
    <col min="7" max="7" width="10" style="4" bestFit="1" customWidth="1"/>
    <col min="8" max="9" width="12.33203125" style="4" bestFit="1" customWidth="1" outlineLevel="1"/>
    <col min="10" max="10" width="12.33203125" style="4" customWidth="1" outlineLevel="1"/>
    <col min="11" max="11" width="12.33203125" style="4" customWidth="1"/>
    <col min="12" max="12" width="11" style="4" bestFit="1" customWidth="1"/>
    <col min="13" max="13" width="13.5" style="10" bestFit="1" customWidth="1"/>
    <col min="14" max="14" width="12.1640625" style="4" customWidth="1" outlineLevel="1"/>
    <col min="15" max="15" width="8.6640625" style="4" customWidth="1" outlineLevel="1"/>
    <col min="16" max="16" width="12" style="4" customWidth="1" outlineLevel="1"/>
    <col min="17" max="17" width="21" style="4" customWidth="1" outlineLevel="1"/>
    <col min="18" max="18" width="8" style="4" customWidth="1" outlineLevel="1"/>
    <col min="19" max="19" width="8.33203125" style="4" bestFit="1" customWidth="1"/>
    <col min="20" max="20" width="14.83203125" style="4" bestFit="1" customWidth="1"/>
    <col min="21" max="21" width="17.5" style="4" bestFit="1" customWidth="1"/>
    <col min="22" max="22" width="18.33203125" style="4" bestFit="1" customWidth="1"/>
    <col min="23" max="23" width="10" style="4" bestFit="1" customWidth="1"/>
    <col min="24" max="24" width="12.1640625" style="4" bestFit="1" customWidth="1" outlineLevel="1"/>
    <col min="25" max="25" width="9.33203125" style="4" bestFit="1" customWidth="1"/>
    <col min="26" max="16384" width="13" style="4"/>
  </cols>
  <sheetData>
    <row r="1" spans="1:25" s="43" customFormat="1" ht="21" customHeight="1">
      <c r="A1" s="38" t="s">
        <v>106</v>
      </c>
      <c r="B1" s="29" t="s">
        <v>0</v>
      </c>
      <c r="C1" s="29" t="s">
        <v>1</v>
      </c>
      <c r="D1" s="39" t="s">
        <v>107</v>
      </c>
      <c r="E1" s="39" t="s">
        <v>108</v>
      </c>
      <c r="F1" s="39" t="s">
        <v>109</v>
      </c>
      <c r="G1" s="29" t="s">
        <v>110</v>
      </c>
      <c r="H1" s="39" t="s">
        <v>111</v>
      </c>
      <c r="I1" s="39" t="s">
        <v>14</v>
      </c>
      <c r="J1" s="39" t="s">
        <v>15</v>
      </c>
      <c r="K1" s="40" t="s">
        <v>112</v>
      </c>
      <c r="L1" s="40" t="s">
        <v>113</v>
      </c>
      <c r="M1" s="40" t="s">
        <v>2</v>
      </c>
      <c r="N1" s="41" t="s">
        <v>109</v>
      </c>
      <c r="O1" s="39" t="s">
        <v>114</v>
      </c>
      <c r="P1" s="39" t="s">
        <v>115</v>
      </c>
      <c r="Q1" s="42" t="s">
        <v>116</v>
      </c>
      <c r="R1" s="39" t="s">
        <v>24</v>
      </c>
      <c r="S1" s="29" t="s">
        <v>3</v>
      </c>
      <c r="T1" s="29" t="s">
        <v>47</v>
      </c>
      <c r="U1" s="29" t="s">
        <v>48</v>
      </c>
      <c r="V1" s="29" t="s">
        <v>49</v>
      </c>
      <c r="W1" s="29" t="s">
        <v>73</v>
      </c>
      <c r="X1" s="39" t="s">
        <v>30</v>
      </c>
      <c r="Y1" s="29" t="s">
        <v>8</v>
      </c>
    </row>
  </sheetData>
  <sheetProtection selectLockedCells="1" selectUnlockedCells="1"/>
  <autoFilter ref="B1:Y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S1"/>
  <sheetViews>
    <sheetView showGridLines="0" zoomScale="75" zoomScaleNormal="75" zoomScalePageLayoutView="75" workbookViewId="0">
      <pane xSplit="5" ySplit="1" topLeftCell="F2" activePane="bottomRight" state="frozen"/>
      <selection activeCell="E25" sqref="E25"/>
      <selection pane="topRight" activeCell="E25" sqref="E25"/>
      <selection pane="bottomLeft" activeCell="E25" sqref="E25"/>
      <selection pane="bottomRight" activeCell="A2" sqref="A2:XFD71"/>
    </sheetView>
  </sheetViews>
  <sheetFormatPr baseColWidth="12" defaultColWidth="12.83203125" defaultRowHeight="21" customHeight="1" outlineLevelCol="1" x14ac:dyDescent="0"/>
  <cols>
    <col min="1" max="1" width="11.33203125" style="44" bestFit="1" customWidth="1"/>
    <col min="2" max="2" width="14" style="51" bestFit="1" customWidth="1"/>
    <col min="3" max="3" width="11.1640625" style="51" bestFit="1" customWidth="1"/>
    <col min="4" max="4" width="25.6640625" style="51" customWidth="1" outlineLevel="1"/>
    <col min="5" max="5" width="44.1640625" style="51" bestFit="1" customWidth="1" outlineLevel="1"/>
    <col min="6" max="6" width="10.83203125" style="51" bestFit="1" customWidth="1"/>
    <col min="7" max="7" width="9.5" style="51" bestFit="1" customWidth="1" outlineLevel="1"/>
    <col min="8" max="9" width="12.83203125" style="51" outlineLevel="1"/>
    <col min="10" max="10" width="17.6640625" style="51" bestFit="1" customWidth="1" outlineLevel="1"/>
    <col min="11" max="16" width="12.83203125" style="51" outlineLevel="1"/>
    <col min="17" max="18" width="13.6640625" style="50" bestFit="1" customWidth="1"/>
    <col min="19" max="19" width="56.5" style="50" bestFit="1" customWidth="1"/>
    <col min="20" max="16384" width="12.83203125" style="50"/>
  </cols>
  <sheetData>
    <row r="1" spans="1:19" ht="21" customHeight="1">
      <c r="A1" s="44" t="s">
        <v>117</v>
      </c>
      <c r="B1" s="45" t="s">
        <v>118</v>
      </c>
      <c r="C1" s="45" t="s">
        <v>119</v>
      </c>
      <c r="D1" s="46" t="s">
        <v>120</v>
      </c>
      <c r="E1" s="46" t="s">
        <v>121</v>
      </c>
      <c r="F1" s="47" t="s">
        <v>122</v>
      </c>
      <c r="G1" s="48" t="s">
        <v>123</v>
      </c>
      <c r="H1" s="48" t="s">
        <v>105</v>
      </c>
      <c r="I1" s="48" t="s">
        <v>124</v>
      </c>
      <c r="J1" s="48" t="s">
        <v>125</v>
      </c>
      <c r="K1" s="49" t="s">
        <v>126</v>
      </c>
      <c r="L1" s="49" t="s">
        <v>127</v>
      </c>
      <c r="M1" s="48" t="s">
        <v>128</v>
      </c>
      <c r="N1" s="48" t="s">
        <v>129</v>
      </c>
      <c r="O1" s="48" t="s">
        <v>148</v>
      </c>
      <c r="P1" s="48" t="s">
        <v>130</v>
      </c>
      <c r="Q1" s="46" t="s">
        <v>131</v>
      </c>
      <c r="R1" s="46" t="s">
        <v>132</v>
      </c>
      <c r="S1" s="46" t="s">
        <v>133</v>
      </c>
    </row>
  </sheetData>
  <autoFilter ref="A1:S1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1"/>
  <sheetViews>
    <sheetView showGridLines="0" zoomScale="75" zoomScaleNormal="75" zoomScalePageLayoutView="75" workbookViewId="0">
      <pane ySplit="1" topLeftCell="A2" activePane="bottomLeft" state="frozenSplit"/>
      <selection activeCell="E25" sqref="E25"/>
      <selection pane="bottomLeft" activeCell="A2" sqref="A2:XFD69"/>
    </sheetView>
  </sheetViews>
  <sheetFormatPr baseColWidth="12" defaultColWidth="12.83203125" defaultRowHeight="21" customHeight="1" x14ac:dyDescent="0"/>
  <cols>
    <col min="1" max="1" width="12.83203125" style="51"/>
    <col min="2" max="2" width="67.1640625" style="51" customWidth="1"/>
    <col min="3" max="4" width="12.83203125" style="51"/>
    <col min="5" max="5" width="29" style="51" bestFit="1" customWidth="1"/>
    <col min="6" max="6" width="44.1640625" style="51" bestFit="1" customWidth="1"/>
    <col min="7" max="8" width="12.83203125" style="51"/>
    <col min="9" max="9" width="44.5" style="51" customWidth="1"/>
    <col min="10" max="16384" width="12.83203125" style="51"/>
  </cols>
  <sheetData>
    <row r="1" spans="1:9" ht="21" customHeight="1">
      <c r="A1" s="45" t="s">
        <v>84</v>
      </c>
      <c r="B1" s="45" t="s">
        <v>134</v>
      </c>
      <c r="C1" s="45" t="s">
        <v>86</v>
      </c>
      <c r="D1" s="45" t="s">
        <v>135</v>
      </c>
      <c r="E1" s="45" t="s">
        <v>136</v>
      </c>
      <c r="F1" s="45" t="s">
        <v>137</v>
      </c>
      <c r="G1" s="46" t="s">
        <v>131</v>
      </c>
      <c r="H1" s="46" t="s">
        <v>132</v>
      </c>
      <c r="I1" s="46" t="s">
        <v>133</v>
      </c>
    </row>
  </sheetData>
  <autoFilter ref="A1:I1"/>
  <phoneticPr fontId="3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1"/>
  <sheetViews>
    <sheetView showGridLines="0" zoomScale="75" zoomScaleNormal="75" zoomScalePageLayoutView="75" workbookViewId="0">
      <pane ySplit="1" topLeftCell="A2" activePane="bottomLeft" state="frozenSplit"/>
      <selection activeCell="E25" sqref="E25"/>
      <selection pane="bottomLeft" activeCell="A2" sqref="A2:XFD70"/>
    </sheetView>
  </sheetViews>
  <sheetFormatPr baseColWidth="12" defaultColWidth="12.83203125" defaultRowHeight="21" customHeight="1" outlineLevelCol="1" x14ac:dyDescent="0"/>
  <cols>
    <col min="1" max="1" width="16.1640625" style="51" bestFit="1" customWidth="1"/>
    <col min="2" max="2" width="13.33203125" style="51" bestFit="1" customWidth="1"/>
    <col min="3" max="3" width="11.83203125" style="51" bestFit="1" customWidth="1"/>
    <col min="4" max="4" width="14.6640625" style="51" bestFit="1" customWidth="1"/>
    <col min="5" max="5" width="15.6640625" style="51" bestFit="1" customWidth="1"/>
    <col min="6" max="6" width="17" style="51" bestFit="1" customWidth="1"/>
    <col min="7" max="7" width="15.6640625" style="51" bestFit="1" customWidth="1"/>
    <col min="8" max="9" width="14.6640625" style="51" customWidth="1"/>
    <col min="10" max="10" width="16.1640625" style="51" bestFit="1" customWidth="1" outlineLevel="1"/>
    <col min="11" max="11" width="14.6640625" style="51" bestFit="1" customWidth="1"/>
    <col min="12" max="12" width="22.83203125" style="44" bestFit="1" customWidth="1"/>
    <col min="13" max="16384" width="12.83203125" style="50"/>
  </cols>
  <sheetData>
    <row r="1" spans="1:12" ht="21" customHeight="1">
      <c r="A1" s="47" t="s">
        <v>138</v>
      </c>
      <c r="B1" s="47" t="s">
        <v>139</v>
      </c>
      <c r="C1" s="47" t="s">
        <v>105</v>
      </c>
      <c r="D1" s="47" t="s">
        <v>124</v>
      </c>
      <c r="E1" s="47" t="s">
        <v>140</v>
      </c>
      <c r="F1" s="52" t="s">
        <v>141</v>
      </c>
      <c r="G1" s="52" t="s">
        <v>142</v>
      </c>
      <c r="H1" s="47" t="s">
        <v>143</v>
      </c>
      <c r="I1" s="47" t="s">
        <v>104</v>
      </c>
      <c r="J1" s="48" t="s">
        <v>148</v>
      </c>
      <c r="K1" s="47" t="s">
        <v>144</v>
      </c>
      <c r="L1" s="53" t="s">
        <v>145</v>
      </c>
    </row>
  </sheetData>
  <autoFilter ref="A1:G1"/>
  <phoneticPr fontId="3"/>
  <conditionalFormatting sqref="L1:L1048576">
    <cfRule type="duplicateValues" dxfId="0" priority="40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1:P6"/>
  <sheetViews>
    <sheetView workbookViewId="0">
      <selection activeCell="N5" sqref="N5"/>
    </sheetView>
  </sheetViews>
  <sheetFormatPr baseColWidth="12" defaultRowHeight="18" x14ac:dyDescent="0"/>
  <cols>
    <col min="3" max="3" width="4" bestFit="1" customWidth="1"/>
    <col min="4" max="7" width="7.83203125" customWidth="1"/>
    <col min="8" max="8" width="4" customWidth="1"/>
    <col min="9" max="9" width="13" bestFit="1" customWidth="1"/>
    <col min="10" max="10" width="16.1640625" bestFit="1" customWidth="1"/>
    <col min="11" max="11" width="17.33203125" bestFit="1" customWidth="1"/>
    <col min="12" max="12" width="4" customWidth="1"/>
    <col min="13" max="16" width="8.5" customWidth="1"/>
  </cols>
  <sheetData>
    <row r="1" spans="2:16">
      <c r="C1" t="s">
        <v>153</v>
      </c>
      <c r="D1" t="s">
        <v>154</v>
      </c>
      <c r="E1" t="s">
        <v>155</v>
      </c>
      <c r="F1" t="s">
        <v>156</v>
      </c>
      <c r="G1" t="s">
        <v>157</v>
      </c>
      <c r="I1" t="s">
        <v>50</v>
      </c>
      <c r="J1" t="s">
        <v>51</v>
      </c>
      <c r="K1" t="s">
        <v>52</v>
      </c>
      <c r="M1" t="s">
        <v>154</v>
      </c>
      <c r="N1" t="s">
        <v>155</v>
      </c>
      <c r="O1" t="s">
        <v>156</v>
      </c>
      <c r="P1" t="s">
        <v>157</v>
      </c>
    </row>
    <row r="2" spans="2:16">
      <c r="B2" t="s">
        <v>149</v>
      </c>
      <c r="C2">
        <v>10</v>
      </c>
      <c r="D2">
        <v>35</v>
      </c>
      <c r="E2">
        <v>20</v>
      </c>
      <c r="F2">
        <v>2800</v>
      </c>
      <c r="G2">
        <v>1</v>
      </c>
      <c r="I2">
        <v>0.7</v>
      </c>
      <c r="J2">
        <v>66</v>
      </c>
      <c r="K2">
        <v>533</v>
      </c>
      <c r="M2">
        <f t="shared" ref="M2:N6" si="0">D2*I2</f>
        <v>24.5</v>
      </c>
      <c r="N2">
        <f t="shared" si="0"/>
        <v>1320</v>
      </c>
      <c r="O2">
        <f>F2+K2</f>
        <v>3333</v>
      </c>
      <c r="P2">
        <v>1</v>
      </c>
    </row>
    <row r="3" spans="2:16">
      <c r="B3" t="s">
        <v>150</v>
      </c>
      <c r="C3">
        <v>10</v>
      </c>
      <c r="D3">
        <v>69</v>
      </c>
      <c r="E3">
        <v>27</v>
      </c>
      <c r="F3">
        <v>8400</v>
      </c>
      <c r="G3">
        <v>2</v>
      </c>
      <c r="I3">
        <v>0.5</v>
      </c>
      <c r="J3">
        <v>90</v>
      </c>
      <c r="K3">
        <v>-2845</v>
      </c>
      <c r="M3">
        <f t="shared" si="0"/>
        <v>34.5</v>
      </c>
      <c r="N3">
        <f t="shared" si="0"/>
        <v>2430</v>
      </c>
      <c r="O3">
        <f t="shared" ref="O3:O5" si="1">F3+K3</f>
        <v>5555</v>
      </c>
      <c r="P3">
        <v>2</v>
      </c>
    </row>
    <row r="4" spans="2:16">
      <c r="B4" t="s">
        <v>151</v>
      </c>
      <c r="C4">
        <v>10</v>
      </c>
      <c r="D4">
        <v>89</v>
      </c>
      <c r="E4">
        <v>43</v>
      </c>
      <c r="F4">
        <v>28000</v>
      </c>
      <c r="G4">
        <v>2</v>
      </c>
      <c r="I4">
        <v>0.5</v>
      </c>
      <c r="J4">
        <v>99</v>
      </c>
      <c r="K4">
        <v>-16889</v>
      </c>
      <c r="M4">
        <f t="shared" si="0"/>
        <v>44.5</v>
      </c>
      <c r="N4">
        <f t="shared" si="0"/>
        <v>4257</v>
      </c>
      <c r="O4">
        <f t="shared" si="1"/>
        <v>11111</v>
      </c>
      <c r="P4">
        <v>2</v>
      </c>
    </row>
    <row r="5" spans="2:16">
      <c r="B5" t="s">
        <v>152</v>
      </c>
      <c r="C5">
        <v>10</v>
      </c>
      <c r="D5">
        <v>253</v>
      </c>
      <c r="E5">
        <v>51</v>
      </c>
      <c r="F5">
        <v>42000</v>
      </c>
      <c r="G5">
        <v>3</v>
      </c>
      <c r="I5">
        <v>0.2</v>
      </c>
      <c r="J5">
        <v>99</v>
      </c>
      <c r="K5">
        <v>-19778</v>
      </c>
      <c r="M5">
        <f t="shared" si="0"/>
        <v>50.6</v>
      </c>
      <c r="N5">
        <f t="shared" si="0"/>
        <v>5049</v>
      </c>
      <c r="O5">
        <f t="shared" si="1"/>
        <v>22222</v>
      </c>
      <c r="P5">
        <v>3</v>
      </c>
    </row>
    <row r="6" spans="2:16">
      <c r="B6" t="s">
        <v>149</v>
      </c>
      <c r="C6">
        <v>99</v>
      </c>
      <c r="D6">
        <v>302</v>
      </c>
      <c r="E6">
        <v>170</v>
      </c>
      <c r="F6">
        <v>20600</v>
      </c>
      <c r="G6">
        <v>2</v>
      </c>
      <c r="I6">
        <v>0.2</v>
      </c>
      <c r="J6">
        <v>15</v>
      </c>
      <c r="K6">
        <v>1622</v>
      </c>
      <c r="M6">
        <f t="shared" si="0"/>
        <v>60.400000000000006</v>
      </c>
      <c r="N6">
        <f t="shared" si="0"/>
        <v>2550</v>
      </c>
      <c r="O6">
        <f>F6+K6</f>
        <v>22222</v>
      </c>
      <c r="P6">
        <v>1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加藤 雅大</cp:lastModifiedBy>
  <dcterms:created xsi:type="dcterms:W3CDTF">2015-01-30T13:36:44Z</dcterms:created>
  <dcterms:modified xsi:type="dcterms:W3CDTF">2015-11-09T11:33:26Z</dcterms:modified>
</cp:coreProperties>
</file>