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15780" yWindow="2100" windowWidth="18380" windowHeight="10440" tabRatio="740" firstSheet="1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8" l="1"/>
  <c r="A4" i="18"/>
  <c r="A5" i="18"/>
  <c r="A6" i="18"/>
  <c r="A7" i="18"/>
  <c r="A8" i="18"/>
  <c r="A2" i="18"/>
  <c r="B2" i="21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5" i="19"/>
  <c r="J32" i="11"/>
  <c r="J43" i="11"/>
  <c r="B9" i="21"/>
  <c r="B8" i="21"/>
  <c r="B7" i="21"/>
  <c r="B6" i="21"/>
  <c r="B5" i="21"/>
  <c r="B4" i="21"/>
  <c r="B3" i="21"/>
  <c r="J131" i="11"/>
  <c r="O131" i="9"/>
  <c r="N131" i="9"/>
  <c r="M131" i="9"/>
  <c r="L131" i="9"/>
  <c r="K131" i="9"/>
  <c r="J131" i="9"/>
  <c r="I131" i="9"/>
  <c r="H131" i="9"/>
  <c r="G131" i="9"/>
  <c r="E131" i="9"/>
  <c r="D131" i="9"/>
  <c r="O130" i="9"/>
  <c r="N130" i="9"/>
  <c r="M130" i="9"/>
  <c r="L130" i="9"/>
  <c r="K130" i="9"/>
  <c r="J130" i="9"/>
  <c r="I130" i="9"/>
  <c r="H130" i="9"/>
  <c r="G130" i="9"/>
  <c r="E130" i="9"/>
  <c r="D130" i="9"/>
  <c r="O129" i="9"/>
  <c r="N129" i="9"/>
  <c r="M129" i="9"/>
  <c r="L129" i="9"/>
  <c r="K129" i="9"/>
  <c r="J129" i="9"/>
  <c r="I129" i="9"/>
  <c r="H129" i="9"/>
  <c r="G129" i="9"/>
  <c r="E129" i="9"/>
  <c r="D129" i="9"/>
  <c r="J128" i="11"/>
  <c r="O128" i="9"/>
  <c r="N128" i="9"/>
  <c r="M128" i="9"/>
  <c r="L128" i="9"/>
  <c r="K128" i="9"/>
  <c r="J128" i="9"/>
  <c r="I128" i="9"/>
  <c r="H128" i="9"/>
  <c r="G128" i="9"/>
  <c r="E128" i="9"/>
  <c r="D128" i="9"/>
  <c r="J127" i="11"/>
  <c r="O127" i="9"/>
  <c r="N127" i="9"/>
  <c r="M127" i="9"/>
  <c r="L127" i="9"/>
  <c r="K127" i="9"/>
  <c r="J127" i="9"/>
  <c r="I127" i="9"/>
  <c r="H127" i="9"/>
  <c r="G127" i="9"/>
  <c r="E127" i="9"/>
  <c r="D127" i="9"/>
  <c r="J126" i="11"/>
  <c r="O126" i="9"/>
  <c r="N126" i="9"/>
  <c r="M126" i="9"/>
  <c r="L126" i="9"/>
  <c r="K126" i="9"/>
  <c r="J126" i="9"/>
  <c r="I126" i="9"/>
  <c r="H126" i="9"/>
  <c r="G126" i="9"/>
  <c r="E126" i="9"/>
  <c r="D126" i="9"/>
  <c r="J125" i="11"/>
  <c r="O125" i="9"/>
  <c r="N125" i="9"/>
  <c r="M125" i="9"/>
  <c r="L125" i="9"/>
  <c r="K125" i="9"/>
  <c r="J125" i="9"/>
  <c r="I125" i="9"/>
  <c r="H125" i="9"/>
  <c r="G125" i="9"/>
  <c r="E125" i="9"/>
  <c r="D125" i="9"/>
  <c r="J124" i="11"/>
  <c r="O124" i="9"/>
  <c r="N124" i="9"/>
  <c r="M124" i="9"/>
  <c r="L124" i="9"/>
  <c r="K124" i="9"/>
  <c r="J124" i="9"/>
  <c r="I124" i="9"/>
  <c r="H124" i="9"/>
  <c r="G124" i="9"/>
  <c r="E124" i="9"/>
  <c r="D124" i="9"/>
  <c r="J123" i="11"/>
  <c r="O123" i="9"/>
  <c r="N123" i="9"/>
  <c r="M123" i="9"/>
  <c r="L123" i="9"/>
  <c r="K123" i="9"/>
  <c r="J123" i="9"/>
  <c r="I123" i="9"/>
  <c r="H123" i="9"/>
  <c r="G123" i="9"/>
  <c r="E123" i="9"/>
  <c r="D123" i="9"/>
  <c r="J122" i="11"/>
  <c r="O122" i="9"/>
  <c r="N122" i="9"/>
  <c r="M122" i="9"/>
  <c r="L122" i="9"/>
  <c r="K122" i="9"/>
  <c r="J122" i="9"/>
  <c r="I122" i="9"/>
  <c r="H122" i="9"/>
  <c r="G122" i="9"/>
  <c r="E122" i="9"/>
  <c r="D122" i="9"/>
  <c r="O121" i="9"/>
  <c r="N121" i="9"/>
  <c r="M121" i="9"/>
  <c r="L121" i="9"/>
  <c r="K121" i="9"/>
  <c r="J121" i="9"/>
  <c r="I121" i="9"/>
  <c r="H121" i="9"/>
  <c r="G121" i="9"/>
  <c r="E121" i="9"/>
  <c r="D121" i="9"/>
  <c r="O120" i="9"/>
  <c r="N120" i="9"/>
  <c r="M120" i="9"/>
  <c r="L120" i="9"/>
  <c r="K120" i="9"/>
  <c r="J120" i="9"/>
  <c r="I120" i="9"/>
  <c r="H120" i="9"/>
  <c r="G120" i="9"/>
  <c r="E120" i="9"/>
  <c r="D120" i="9"/>
  <c r="J119" i="11"/>
  <c r="O119" i="9"/>
  <c r="N119" i="9"/>
  <c r="M119" i="9"/>
  <c r="L119" i="9"/>
  <c r="K119" i="9"/>
  <c r="J119" i="9"/>
  <c r="I119" i="9"/>
  <c r="H119" i="9"/>
  <c r="G119" i="9"/>
  <c r="E119" i="9"/>
  <c r="D119" i="9"/>
  <c r="J118" i="11"/>
  <c r="O118" i="9"/>
  <c r="N118" i="9"/>
  <c r="M118" i="9"/>
  <c r="L118" i="9"/>
  <c r="K118" i="9"/>
  <c r="J118" i="9"/>
  <c r="I118" i="9"/>
  <c r="H118" i="9"/>
  <c r="G118" i="9"/>
  <c r="E118" i="9"/>
  <c r="D118" i="9"/>
  <c r="J117" i="11"/>
  <c r="O117" i="9"/>
  <c r="N117" i="9"/>
  <c r="M117" i="9"/>
  <c r="L117" i="9"/>
  <c r="K117" i="9"/>
  <c r="J117" i="9"/>
  <c r="I117" i="9"/>
  <c r="H117" i="9"/>
  <c r="G117" i="9"/>
  <c r="E117" i="9"/>
  <c r="D117" i="9"/>
  <c r="J116" i="11"/>
  <c r="O116" i="9"/>
  <c r="N116" i="9"/>
  <c r="M116" i="9"/>
  <c r="L116" i="9"/>
  <c r="K116" i="9"/>
  <c r="J116" i="9"/>
  <c r="I116" i="9"/>
  <c r="H116" i="9"/>
  <c r="G116" i="9"/>
  <c r="E116" i="9"/>
  <c r="D116" i="9"/>
  <c r="J115" i="11"/>
  <c r="O115" i="9"/>
  <c r="N115" i="9"/>
  <c r="M115" i="9"/>
  <c r="L115" i="9"/>
  <c r="K115" i="9"/>
  <c r="J115" i="9"/>
  <c r="I115" i="9"/>
  <c r="H115" i="9"/>
  <c r="G115" i="9"/>
  <c r="E115" i="9"/>
  <c r="D115" i="9"/>
  <c r="J114" i="11"/>
  <c r="O114" i="9"/>
  <c r="N114" i="9"/>
  <c r="M114" i="9"/>
  <c r="L114" i="9"/>
  <c r="K114" i="9"/>
  <c r="J114" i="9"/>
  <c r="I114" i="9"/>
  <c r="H114" i="9"/>
  <c r="G114" i="9"/>
  <c r="E114" i="9"/>
  <c r="D114" i="9"/>
  <c r="O113" i="9"/>
  <c r="N113" i="9"/>
  <c r="M113" i="9"/>
  <c r="L113" i="9"/>
  <c r="K113" i="9"/>
  <c r="J113" i="9"/>
  <c r="I113" i="9"/>
  <c r="H113" i="9"/>
  <c r="G113" i="9"/>
  <c r="E113" i="9"/>
  <c r="D113" i="9"/>
  <c r="O112" i="9"/>
  <c r="N112" i="9"/>
  <c r="M112" i="9"/>
  <c r="L112" i="9"/>
  <c r="K112" i="9"/>
  <c r="J112" i="9"/>
  <c r="I112" i="9"/>
  <c r="H112" i="9"/>
  <c r="G112" i="9"/>
  <c r="E112" i="9"/>
  <c r="D112" i="9"/>
  <c r="J111" i="11"/>
  <c r="O111" i="9"/>
  <c r="N111" i="9"/>
  <c r="M111" i="9"/>
  <c r="L111" i="9"/>
  <c r="K111" i="9"/>
  <c r="J111" i="9"/>
  <c r="I111" i="9"/>
  <c r="H111" i="9"/>
  <c r="G111" i="9"/>
  <c r="E111" i="9"/>
  <c r="D111" i="9"/>
  <c r="J110" i="11"/>
  <c r="O110" i="9"/>
  <c r="N110" i="9"/>
  <c r="M110" i="9"/>
  <c r="L110" i="9"/>
  <c r="K110" i="9"/>
  <c r="J110" i="9"/>
  <c r="I110" i="9"/>
  <c r="H110" i="9"/>
  <c r="G110" i="9"/>
  <c r="E110" i="9"/>
  <c r="D110" i="9"/>
  <c r="J109" i="11"/>
  <c r="O109" i="9"/>
  <c r="N109" i="9"/>
  <c r="M109" i="9"/>
  <c r="L109" i="9"/>
  <c r="K109" i="9"/>
  <c r="J109" i="9"/>
  <c r="I109" i="9"/>
  <c r="H109" i="9"/>
  <c r="G109" i="9"/>
  <c r="E109" i="9"/>
  <c r="D109" i="9"/>
  <c r="J108" i="11"/>
  <c r="O108" i="9"/>
  <c r="N108" i="9"/>
  <c r="M108" i="9"/>
  <c r="L108" i="9"/>
  <c r="K108" i="9"/>
  <c r="J108" i="9"/>
  <c r="I108" i="9"/>
  <c r="H108" i="9"/>
  <c r="G108" i="9"/>
  <c r="E108" i="9"/>
  <c r="D108" i="9"/>
  <c r="J107" i="11"/>
  <c r="O107" i="9"/>
  <c r="N107" i="9"/>
  <c r="M107" i="9"/>
  <c r="L107" i="9"/>
  <c r="K107" i="9"/>
  <c r="J107" i="9"/>
  <c r="I107" i="9"/>
  <c r="H107" i="9"/>
  <c r="G107" i="9"/>
  <c r="E107" i="9"/>
  <c r="D107" i="9"/>
  <c r="J106" i="11"/>
  <c r="O106" i="9"/>
  <c r="N106" i="9"/>
  <c r="M106" i="9"/>
  <c r="L106" i="9"/>
  <c r="K106" i="9"/>
  <c r="J106" i="9"/>
  <c r="I106" i="9"/>
  <c r="H106" i="9"/>
  <c r="G106" i="9"/>
  <c r="E106" i="9"/>
  <c r="D106" i="9"/>
  <c r="J105" i="11"/>
  <c r="O105" i="9"/>
  <c r="N105" i="9"/>
  <c r="M105" i="9"/>
  <c r="L105" i="9"/>
  <c r="K105" i="9"/>
  <c r="J105" i="9"/>
  <c r="I105" i="9"/>
  <c r="H105" i="9"/>
  <c r="G105" i="9"/>
  <c r="E105" i="9"/>
  <c r="D105" i="9"/>
  <c r="J104" i="11"/>
  <c r="O104" i="9"/>
  <c r="N104" i="9"/>
  <c r="M104" i="9"/>
  <c r="L104" i="9"/>
  <c r="K104" i="9"/>
  <c r="J104" i="9"/>
  <c r="I104" i="9"/>
  <c r="H104" i="9"/>
  <c r="G104" i="9"/>
  <c r="E104" i="9"/>
  <c r="D104" i="9"/>
  <c r="J103" i="11"/>
  <c r="O103" i="9"/>
  <c r="N103" i="9"/>
  <c r="M103" i="9"/>
  <c r="L103" i="9"/>
  <c r="K103" i="9"/>
  <c r="J103" i="9"/>
  <c r="I103" i="9"/>
  <c r="H103" i="9"/>
  <c r="G103" i="9"/>
  <c r="E103" i="9"/>
  <c r="D103" i="9"/>
  <c r="J102" i="11"/>
  <c r="O102" i="9"/>
  <c r="N102" i="9"/>
  <c r="M102" i="9"/>
  <c r="L102" i="9"/>
  <c r="K102" i="9"/>
  <c r="J102" i="9"/>
  <c r="I102" i="9"/>
  <c r="H102" i="9"/>
  <c r="G102" i="9"/>
  <c r="E102" i="9"/>
  <c r="D102" i="9"/>
  <c r="J101" i="11"/>
  <c r="O101" i="9"/>
  <c r="N101" i="9"/>
  <c r="M101" i="9"/>
  <c r="L101" i="9"/>
  <c r="K101" i="9"/>
  <c r="J101" i="9"/>
  <c r="I101" i="9"/>
  <c r="H101" i="9"/>
  <c r="G101" i="9"/>
  <c r="E101" i="9"/>
  <c r="D101" i="9"/>
  <c r="J100" i="11"/>
  <c r="O100" i="9"/>
  <c r="N100" i="9"/>
  <c r="M100" i="9"/>
  <c r="L100" i="9"/>
  <c r="K100" i="9"/>
  <c r="J100" i="9"/>
  <c r="I100" i="9"/>
  <c r="H100" i="9"/>
  <c r="G100" i="9"/>
  <c r="E100" i="9"/>
  <c r="D100" i="9"/>
  <c r="J99" i="11"/>
  <c r="O99" i="9"/>
  <c r="N99" i="9"/>
  <c r="M99" i="9"/>
  <c r="L99" i="9"/>
  <c r="K99" i="9"/>
  <c r="J99" i="9"/>
  <c r="I99" i="9"/>
  <c r="H99" i="9"/>
  <c r="G99" i="9"/>
  <c r="E99" i="9"/>
  <c r="D99" i="9"/>
  <c r="J98" i="11"/>
  <c r="O98" i="9"/>
  <c r="N98" i="9"/>
  <c r="M98" i="9"/>
  <c r="L98" i="9"/>
  <c r="K98" i="9"/>
  <c r="J98" i="9"/>
  <c r="I98" i="9"/>
  <c r="H98" i="9"/>
  <c r="G98" i="9"/>
  <c r="E98" i="9"/>
  <c r="D98" i="9"/>
  <c r="J97" i="11"/>
  <c r="O97" i="9"/>
  <c r="N97" i="9"/>
  <c r="M97" i="9"/>
  <c r="L97" i="9"/>
  <c r="K97" i="9"/>
  <c r="J97" i="9"/>
  <c r="I97" i="9"/>
  <c r="H97" i="9"/>
  <c r="G97" i="9"/>
  <c r="E97" i="9"/>
  <c r="D97" i="9"/>
  <c r="J96" i="11"/>
  <c r="O96" i="9"/>
  <c r="N96" i="9"/>
  <c r="M96" i="9"/>
  <c r="L96" i="9"/>
  <c r="K96" i="9"/>
  <c r="J96" i="9"/>
  <c r="I96" i="9"/>
  <c r="H96" i="9"/>
  <c r="G96" i="9"/>
  <c r="E96" i="9"/>
  <c r="D96" i="9"/>
  <c r="J95" i="11"/>
  <c r="O95" i="9"/>
  <c r="N95" i="9"/>
  <c r="M95" i="9"/>
  <c r="L95" i="9"/>
  <c r="K95" i="9"/>
  <c r="J95" i="9"/>
  <c r="I95" i="9"/>
  <c r="H95" i="9"/>
  <c r="G95" i="9"/>
  <c r="E95" i="9"/>
  <c r="D95" i="9"/>
  <c r="J94" i="11"/>
  <c r="O94" i="9"/>
  <c r="N94" i="9"/>
  <c r="M94" i="9"/>
  <c r="L94" i="9"/>
  <c r="K94" i="9"/>
  <c r="J94" i="9"/>
  <c r="I94" i="9"/>
  <c r="H94" i="9"/>
  <c r="G94" i="9"/>
  <c r="E94" i="9"/>
  <c r="D94" i="9"/>
  <c r="J93" i="11"/>
  <c r="O93" i="9"/>
  <c r="N93" i="9"/>
  <c r="M93" i="9"/>
  <c r="L93" i="9"/>
  <c r="K93" i="9"/>
  <c r="J93" i="9"/>
  <c r="I93" i="9"/>
  <c r="H93" i="9"/>
  <c r="G93" i="9"/>
  <c r="E93" i="9"/>
  <c r="D93" i="9"/>
  <c r="J92" i="11"/>
  <c r="O92" i="9"/>
  <c r="N92" i="9"/>
  <c r="M92" i="9"/>
  <c r="L92" i="9"/>
  <c r="K92" i="9"/>
  <c r="J92" i="9"/>
  <c r="I92" i="9"/>
  <c r="H92" i="9"/>
  <c r="G92" i="9"/>
  <c r="E92" i="9"/>
  <c r="D92" i="9"/>
  <c r="J91" i="11"/>
  <c r="O91" i="9"/>
  <c r="N91" i="9"/>
  <c r="M91" i="9"/>
  <c r="L91" i="9"/>
  <c r="K91" i="9"/>
  <c r="J91" i="9"/>
  <c r="I91" i="9"/>
  <c r="H91" i="9"/>
  <c r="G91" i="9"/>
  <c r="E91" i="9"/>
  <c r="D91" i="9"/>
  <c r="J90" i="11"/>
  <c r="O90" i="9"/>
  <c r="N90" i="9"/>
  <c r="M90" i="9"/>
  <c r="L90" i="9"/>
  <c r="K90" i="9"/>
  <c r="J90" i="9"/>
  <c r="I90" i="9"/>
  <c r="H90" i="9"/>
  <c r="G90" i="9"/>
  <c r="E90" i="9"/>
  <c r="D90" i="9"/>
  <c r="J89" i="11"/>
  <c r="O89" i="9"/>
  <c r="N89" i="9"/>
  <c r="M89" i="9"/>
  <c r="L89" i="9"/>
  <c r="K89" i="9"/>
  <c r="J89" i="9"/>
  <c r="I89" i="9"/>
  <c r="H89" i="9"/>
  <c r="G89" i="9"/>
  <c r="E89" i="9"/>
  <c r="D89" i="9"/>
  <c r="J88" i="11"/>
  <c r="O88" i="9"/>
  <c r="N88" i="9"/>
  <c r="M88" i="9"/>
  <c r="L88" i="9"/>
  <c r="K88" i="9"/>
  <c r="J88" i="9"/>
  <c r="I88" i="9"/>
  <c r="H88" i="9"/>
  <c r="G88" i="9"/>
  <c r="E88" i="9"/>
  <c r="D88" i="9"/>
  <c r="J87" i="11"/>
  <c r="O87" i="9"/>
  <c r="N87" i="9"/>
  <c r="M87" i="9"/>
  <c r="L87" i="9"/>
  <c r="K87" i="9"/>
  <c r="J87" i="9"/>
  <c r="I87" i="9"/>
  <c r="H87" i="9"/>
  <c r="G87" i="9"/>
  <c r="E87" i="9"/>
  <c r="D87" i="9"/>
  <c r="J86" i="11"/>
  <c r="O86" i="9"/>
  <c r="N86" i="9"/>
  <c r="M86" i="9"/>
  <c r="L86" i="9"/>
  <c r="K86" i="9"/>
  <c r="J86" i="9"/>
  <c r="I86" i="9"/>
  <c r="H86" i="9"/>
  <c r="G86" i="9"/>
  <c r="E86" i="9"/>
  <c r="D86" i="9"/>
  <c r="O85" i="9"/>
  <c r="N85" i="9"/>
  <c r="M85" i="9"/>
  <c r="L85" i="9"/>
  <c r="K85" i="9"/>
  <c r="J85" i="9"/>
  <c r="I85" i="9"/>
  <c r="H85" i="9"/>
  <c r="G85" i="9"/>
  <c r="E85" i="9"/>
  <c r="D85" i="9"/>
  <c r="O84" i="9"/>
  <c r="N84" i="9"/>
  <c r="M84" i="9"/>
  <c r="L84" i="9"/>
  <c r="K84" i="9"/>
  <c r="J84" i="9"/>
  <c r="I84" i="9"/>
  <c r="H84" i="9"/>
  <c r="G84" i="9"/>
  <c r="E84" i="9"/>
  <c r="D84" i="9"/>
  <c r="J83" i="11"/>
  <c r="O83" i="9"/>
  <c r="N83" i="9"/>
  <c r="M83" i="9"/>
  <c r="L83" i="9"/>
  <c r="K83" i="9"/>
  <c r="J83" i="9"/>
  <c r="I83" i="9"/>
  <c r="H83" i="9"/>
  <c r="G83" i="9"/>
  <c r="E83" i="9"/>
  <c r="D83" i="9"/>
  <c r="J82" i="11"/>
  <c r="O82" i="9"/>
  <c r="N82" i="9"/>
  <c r="M82" i="9"/>
  <c r="L82" i="9"/>
  <c r="K82" i="9"/>
  <c r="J82" i="9"/>
  <c r="I82" i="9"/>
  <c r="H82" i="9"/>
  <c r="G82" i="9"/>
  <c r="E82" i="9"/>
  <c r="D82" i="9"/>
  <c r="J81" i="11"/>
  <c r="O81" i="9"/>
  <c r="N81" i="9"/>
  <c r="M81" i="9"/>
  <c r="L81" i="9"/>
  <c r="K81" i="9"/>
  <c r="J81" i="9"/>
  <c r="I81" i="9"/>
  <c r="H81" i="9"/>
  <c r="G81" i="9"/>
  <c r="E81" i="9"/>
  <c r="D81" i="9"/>
  <c r="J80" i="11"/>
  <c r="O80" i="9"/>
  <c r="N80" i="9"/>
  <c r="M80" i="9"/>
  <c r="L80" i="9"/>
  <c r="K80" i="9"/>
  <c r="J80" i="9"/>
  <c r="I80" i="9"/>
  <c r="H80" i="9"/>
  <c r="G80" i="9"/>
  <c r="E80" i="9"/>
  <c r="D80" i="9"/>
  <c r="J79" i="11"/>
  <c r="O79" i="9"/>
  <c r="N79" i="9"/>
  <c r="M79" i="9"/>
  <c r="L79" i="9"/>
  <c r="K79" i="9"/>
  <c r="J79" i="9"/>
  <c r="I79" i="9"/>
  <c r="H79" i="9"/>
  <c r="G79" i="9"/>
  <c r="E79" i="9"/>
  <c r="D79" i="9"/>
  <c r="J78" i="11"/>
  <c r="O78" i="9"/>
  <c r="N78" i="9"/>
  <c r="M78" i="9"/>
  <c r="L78" i="9"/>
  <c r="K78" i="9"/>
  <c r="J78" i="9"/>
  <c r="I78" i="9"/>
  <c r="H78" i="9"/>
  <c r="G78" i="9"/>
  <c r="E78" i="9"/>
  <c r="D78" i="9"/>
  <c r="J77" i="11"/>
  <c r="O77" i="9"/>
  <c r="N77" i="9"/>
  <c r="M77" i="9"/>
  <c r="L77" i="9"/>
  <c r="K77" i="9"/>
  <c r="J77" i="9"/>
  <c r="I77" i="9"/>
  <c r="H77" i="9"/>
  <c r="G77" i="9"/>
  <c r="E77" i="9"/>
  <c r="D77" i="9"/>
  <c r="J76" i="11"/>
  <c r="O76" i="9"/>
  <c r="N76" i="9"/>
  <c r="M76" i="9"/>
  <c r="L76" i="9"/>
  <c r="K76" i="9"/>
  <c r="J76" i="9"/>
  <c r="I76" i="9"/>
  <c r="H76" i="9"/>
  <c r="G76" i="9"/>
  <c r="E76" i="9"/>
  <c r="D76" i="9"/>
  <c r="J75" i="11"/>
  <c r="O75" i="9"/>
  <c r="N75" i="9"/>
  <c r="M75" i="9"/>
  <c r="L75" i="9"/>
  <c r="K75" i="9"/>
  <c r="J75" i="9"/>
  <c r="I75" i="9"/>
  <c r="H75" i="9"/>
  <c r="G75" i="9"/>
  <c r="E75" i="9"/>
  <c r="D75" i="9"/>
  <c r="J74" i="11"/>
  <c r="O74" i="9"/>
  <c r="N74" i="9"/>
  <c r="M74" i="9"/>
  <c r="L74" i="9"/>
  <c r="K74" i="9"/>
  <c r="J74" i="9"/>
  <c r="I74" i="9"/>
  <c r="H74" i="9"/>
  <c r="G74" i="9"/>
  <c r="E74" i="9"/>
  <c r="D74" i="9"/>
  <c r="J73" i="11"/>
  <c r="O73" i="9"/>
  <c r="N73" i="9"/>
  <c r="M73" i="9"/>
  <c r="L73" i="9"/>
  <c r="K73" i="9"/>
  <c r="J73" i="9"/>
  <c r="I73" i="9"/>
  <c r="H73" i="9"/>
  <c r="G73" i="9"/>
  <c r="E73" i="9"/>
  <c r="D73" i="9"/>
  <c r="J72" i="11"/>
  <c r="O72" i="9"/>
  <c r="N72" i="9"/>
  <c r="M72" i="9"/>
  <c r="L72" i="9"/>
  <c r="K72" i="9"/>
  <c r="J72" i="9"/>
  <c r="I72" i="9"/>
  <c r="H72" i="9"/>
  <c r="G72" i="9"/>
  <c r="E72" i="9"/>
  <c r="D72" i="9"/>
  <c r="J71" i="11"/>
  <c r="O71" i="9"/>
  <c r="N71" i="9"/>
  <c r="M71" i="9"/>
  <c r="L71" i="9"/>
  <c r="K71" i="9"/>
  <c r="J71" i="9"/>
  <c r="I71" i="9"/>
  <c r="H71" i="9"/>
  <c r="G71" i="9"/>
  <c r="E71" i="9"/>
  <c r="D71" i="9"/>
  <c r="J70" i="11"/>
  <c r="O70" i="9"/>
  <c r="N70" i="9"/>
  <c r="M70" i="9"/>
  <c r="L70" i="9"/>
  <c r="K70" i="9"/>
  <c r="J70" i="9"/>
  <c r="I70" i="9"/>
  <c r="H70" i="9"/>
  <c r="G70" i="9"/>
  <c r="E70" i="9"/>
  <c r="D70" i="9"/>
  <c r="J69" i="11"/>
  <c r="O69" i="9"/>
  <c r="N69" i="9"/>
  <c r="M69" i="9"/>
  <c r="L69" i="9"/>
  <c r="K69" i="9"/>
  <c r="J69" i="9"/>
  <c r="I69" i="9"/>
  <c r="H69" i="9"/>
  <c r="G69" i="9"/>
  <c r="E69" i="9"/>
  <c r="D69" i="9"/>
  <c r="J68" i="11"/>
  <c r="O68" i="9"/>
  <c r="N68" i="9"/>
  <c r="M68" i="9"/>
  <c r="L68" i="9"/>
  <c r="K68" i="9"/>
  <c r="J68" i="9"/>
  <c r="I68" i="9"/>
  <c r="H68" i="9"/>
  <c r="G68" i="9"/>
  <c r="E68" i="9"/>
  <c r="D68" i="9"/>
  <c r="J67" i="11"/>
  <c r="O67" i="9"/>
  <c r="N67" i="9"/>
  <c r="M67" i="9"/>
  <c r="L67" i="9"/>
  <c r="K67" i="9"/>
  <c r="J67" i="9"/>
  <c r="I67" i="9"/>
  <c r="H67" i="9"/>
  <c r="G67" i="9"/>
  <c r="E67" i="9"/>
  <c r="D67" i="9"/>
  <c r="J66" i="11"/>
  <c r="O66" i="9"/>
  <c r="N66" i="9"/>
  <c r="M66" i="9"/>
  <c r="L66" i="9"/>
  <c r="K66" i="9"/>
  <c r="J66" i="9"/>
  <c r="I66" i="9"/>
  <c r="H66" i="9"/>
  <c r="G66" i="9"/>
  <c r="E66" i="9"/>
  <c r="D66" i="9"/>
  <c r="J65" i="11"/>
  <c r="O65" i="9"/>
  <c r="N65" i="9"/>
  <c r="M65" i="9"/>
  <c r="L65" i="9"/>
  <c r="K65" i="9"/>
  <c r="J65" i="9"/>
  <c r="I65" i="9"/>
  <c r="H65" i="9"/>
  <c r="G65" i="9"/>
  <c r="E65" i="9"/>
  <c r="D65" i="9"/>
  <c r="J64" i="11"/>
  <c r="O64" i="9"/>
  <c r="N64" i="9"/>
  <c r="M64" i="9"/>
  <c r="L64" i="9"/>
  <c r="K64" i="9"/>
  <c r="J64" i="9"/>
  <c r="I64" i="9"/>
  <c r="H64" i="9"/>
  <c r="G64" i="9"/>
  <c r="E64" i="9"/>
  <c r="D64" i="9"/>
  <c r="J63" i="11"/>
  <c r="O63" i="9"/>
  <c r="N63" i="9"/>
  <c r="M63" i="9"/>
  <c r="L63" i="9"/>
  <c r="K63" i="9"/>
  <c r="J63" i="9"/>
  <c r="I63" i="9"/>
  <c r="H63" i="9"/>
  <c r="G63" i="9"/>
  <c r="E63" i="9"/>
  <c r="D63" i="9"/>
  <c r="J62" i="11"/>
  <c r="O62" i="9"/>
  <c r="N62" i="9"/>
  <c r="M62" i="9"/>
  <c r="L62" i="9"/>
  <c r="K62" i="9"/>
  <c r="J62" i="9"/>
  <c r="I62" i="9"/>
  <c r="H62" i="9"/>
  <c r="G62" i="9"/>
  <c r="E62" i="9"/>
  <c r="D62" i="9"/>
  <c r="J61" i="11"/>
  <c r="O61" i="9"/>
  <c r="N61" i="9"/>
  <c r="M61" i="9"/>
  <c r="L61" i="9"/>
  <c r="K61" i="9"/>
  <c r="J61" i="9"/>
  <c r="I61" i="9"/>
  <c r="H61" i="9"/>
  <c r="G61" i="9"/>
  <c r="E61" i="9"/>
  <c r="D61" i="9"/>
  <c r="J60" i="11"/>
  <c r="O60" i="9"/>
  <c r="N60" i="9"/>
  <c r="M60" i="9"/>
  <c r="L60" i="9"/>
  <c r="K60" i="9"/>
  <c r="J60" i="9"/>
  <c r="I60" i="9"/>
  <c r="H60" i="9"/>
  <c r="G60" i="9"/>
  <c r="E60" i="9"/>
  <c r="D60" i="9"/>
  <c r="J59" i="11"/>
  <c r="O59" i="9"/>
  <c r="N59" i="9"/>
  <c r="M59" i="9"/>
  <c r="L59" i="9"/>
  <c r="K59" i="9"/>
  <c r="J59" i="9"/>
  <c r="I59" i="9"/>
  <c r="H59" i="9"/>
  <c r="G59" i="9"/>
  <c r="E59" i="9"/>
  <c r="D59" i="9"/>
  <c r="J58" i="11"/>
  <c r="O58" i="9"/>
  <c r="N58" i="9"/>
  <c r="M58" i="9"/>
  <c r="L58" i="9"/>
  <c r="K58" i="9"/>
  <c r="J58" i="9"/>
  <c r="I58" i="9"/>
  <c r="H58" i="9"/>
  <c r="G58" i="9"/>
  <c r="E58" i="9"/>
  <c r="D58" i="9"/>
  <c r="J57" i="11"/>
  <c r="O57" i="9"/>
  <c r="N57" i="9"/>
  <c r="M57" i="9"/>
  <c r="L57" i="9"/>
  <c r="K57" i="9"/>
  <c r="J57" i="9"/>
  <c r="I57" i="9"/>
  <c r="H57" i="9"/>
  <c r="G57" i="9"/>
  <c r="E57" i="9"/>
  <c r="D57" i="9"/>
  <c r="J56" i="11"/>
  <c r="O56" i="9"/>
  <c r="N56" i="9"/>
  <c r="M56" i="9"/>
  <c r="L56" i="9"/>
  <c r="K56" i="9"/>
  <c r="J56" i="9"/>
  <c r="I56" i="9"/>
  <c r="H56" i="9"/>
  <c r="G56" i="9"/>
  <c r="E56" i="9"/>
  <c r="D56" i="9"/>
  <c r="J55" i="11"/>
  <c r="O55" i="9"/>
  <c r="N55" i="9"/>
  <c r="M55" i="9"/>
  <c r="L55" i="9"/>
  <c r="K55" i="9"/>
  <c r="J55" i="9"/>
  <c r="I55" i="9"/>
  <c r="H55" i="9"/>
  <c r="G55" i="9"/>
  <c r="E55" i="9"/>
  <c r="D55" i="9"/>
  <c r="J54" i="11"/>
  <c r="O54" i="9"/>
  <c r="N54" i="9"/>
  <c r="M54" i="9"/>
  <c r="L54" i="9"/>
  <c r="K54" i="9"/>
  <c r="J54" i="9"/>
  <c r="I54" i="9"/>
  <c r="H54" i="9"/>
  <c r="G54" i="9"/>
  <c r="E54" i="9"/>
  <c r="D54" i="9"/>
  <c r="J53" i="11"/>
  <c r="O53" i="9"/>
  <c r="N53" i="9"/>
  <c r="M53" i="9"/>
  <c r="L53" i="9"/>
  <c r="K53" i="9"/>
  <c r="J53" i="9"/>
  <c r="I53" i="9"/>
  <c r="H53" i="9"/>
  <c r="G53" i="9"/>
  <c r="E53" i="9"/>
  <c r="D53" i="9"/>
  <c r="O52" i="9"/>
  <c r="N52" i="9"/>
  <c r="M52" i="9"/>
  <c r="L52" i="9"/>
  <c r="K52" i="9"/>
  <c r="J52" i="9"/>
  <c r="I52" i="9"/>
  <c r="H52" i="9"/>
  <c r="G52" i="9"/>
  <c r="E52" i="9"/>
  <c r="D52" i="9"/>
  <c r="O51" i="9"/>
  <c r="N51" i="9"/>
  <c r="M51" i="9"/>
  <c r="L51" i="9"/>
  <c r="K51" i="9"/>
  <c r="J51" i="9"/>
  <c r="I51" i="9"/>
  <c r="H51" i="9"/>
  <c r="G51" i="9"/>
  <c r="E51" i="9"/>
  <c r="D51" i="9"/>
  <c r="J50" i="11"/>
  <c r="O50" i="9"/>
  <c r="N50" i="9"/>
  <c r="M50" i="9"/>
  <c r="L50" i="9"/>
  <c r="K50" i="9"/>
  <c r="J50" i="9"/>
  <c r="I50" i="9"/>
  <c r="H50" i="9"/>
  <c r="G50" i="9"/>
  <c r="E50" i="9"/>
  <c r="D50" i="9"/>
  <c r="J49" i="11"/>
  <c r="O49" i="9"/>
  <c r="N49" i="9"/>
  <c r="M49" i="9"/>
  <c r="L49" i="9"/>
  <c r="K49" i="9"/>
  <c r="J49" i="9"/>
  <c r="I49" i="9"/>
  <c r="H49" i="9"/>
  <c r="G49" i="9"/>
  <c r="E49" i="9"/>
  <c r="D49" i="9"/>
  <c r="J48" i="11"/>
  <c r="O48" i="9"/>
  <c r="N48" i="9"/>
  <c r="M48" i="9"/>
  <c r="L48" i="9"/>
  <c r="K48" i="9"/>
  <c r="J48" i="9"/>
  <c r="I48" i="9"/>
  <c r="H48" i="9"/>
  <c r="G48" i="9"/>
  <c r="E48" i="9"/>
  <c r="D48" i="9"/>
  <c r="J47" i="11"/>
  <c r="O47" i="9"/>
  <c r="N47" i="9"/>
  <c r="M47" i="9"/>
  <c r="L47" i="9"/>
  <c r="K47" i="9"/>
  <c r="J47" i="9"/>
  <c r="I47" i="9"/>
  <c r="H47" i="9"/>
  <c r="G47" i="9"/>
  <c r="E47" i="9"/>
  <c r="D47" i="9"/>
  <c r="J46" i="11"/>
  <c r="O46" i="9"/>
  <c r="N46" i="9"/>
  <c r="M46" i="9"/>
  <c r="L46" i="9"/>
  <c r="K46" i="9"/>
  <c r="J46" i="9"/>
  <c r="I46" i="9"/>
  <c r="H46" i="9"/>
  <c r="G46" i="9"/>
  <c r="E46" i="9"/>
  <c r="D46" i="9"/>
  <c r="J45" i="11"/>
  <c r="O45" i="9"/>
  <c r="N45" i="9"/>
  <c r="M45" i="9"/>
  <c r="L45" i="9"/>
  <c r="K45" i="9"/>
  <c r="J45" i="9"/>
  <c r="I45" i="9"/>
  <c r="H45" i="9"/>
  <c r="G45" i="9"/>
  <c r="E45" i="9"/>
  <c r="D45" i="9"/>
  <c r="J44" i="11"/>
  <c r="O44" i="9"/>
  <c r="N44" i="9"/>
  <c r="M44" i="9"/>
  <c r="L44" i="9"/>
  <c r="K44" i="9"/>
  <c r="J44" i="9"/>
  <c r="I44" i="9"/>
  <c r="H44" i="9"/>
  <c r="G44" i="9"/>
  <c r="E44" i="9"/>
  <c r="D44" i="9"/>
  <c r="O43" i="9"/>
  <c r="N43" i="9"/>
  <c r="M43" i="9"/>
  <c r="L43" i="9"/>
  <c r="K43" i="9"/>
  <c r="J43" i="9"/>
  <c r="I43" i="9"/>
  <c r="H43" i="9"/>
  <c r="G43" i="9"/>
  <c r="E43" i="9"/>
  <c r="D43" i="9"/>
  <c r="J42" i="11"/>
  <c r="O42" i="9"/>
  <c r="N42" i="9"/>
  <c r="M42" i="9"/>
  <c r="L42" i="9"/>
  <c r="K42" i="9"/>
  <c r="J42" i="9"/>
  <c r="I42" i="9"/>
  <c r="H42" i="9"/>
  <c r="G42" i="9"/>
  <c r="E42" i="9"/>
  <c r="D42" i="9"/>
  <c r="J41" i="11"/>
  <c r="O41" i="9"/>
  <c r="N41" i="9"/>
  <c r="M41" i="9"/>
  <c r="L41" i="9"/>
  <c r="K41" i="9"/>
  <c r="J41" i="9"/>
  <c r="I41" i="9"/>
  <c r="H41" i="9"/>
  <c r="G41" i="9"/>
  <c r="E41" i="9"/>
  <c r="D41" i="9"/>
  <c r="J40" i="11"/>
  <c r="O40" i="9"/>
  <c r="N40" i="9"/>
  <c r="M40" i="9"/>
  <c r="L40" i="9"/>
  <c r="K40" i="9"/>
  <c r="J40" i="9"/>
  <c r="I40" i="9"/>
  <c r="H40" i="9"/>
  <c r="G40" i="9"/>
  <c r="E40" i="9"/>
  <c r="D40" i="9"/>
  <c r="J39" i="11"/>
  <c r="O39" i="9"/>
  <c r="N39" i="9"/>
  <c r="M39" i="9"/>
  <c r="L39" i="9"/>
  <c r="K39" i="9"/>
  <c r="J39" i="9"/>
  <c r="I39" i="9"/>
  <c r="H39" i="9"/>
  <c r="G39" i="9"/>
  <c r="E39" i="9"/>
  <c r="D39" i="9"/>
  <c r="J38" i="11"/>
  <c r="O38" i="9"/>
  <c r="N38" i="9"/>
  <c r="M38" i="9"/>
  <c r="L38" i="9"/>
  <c r="K38" i="9"/>
  <c r="J38" i="9"/>
  <c r="I38" i="9"/>
  <c r="H38" i="9"/>
  <c r="G38" i="9"/>
  <c r="E38" i="9"/>
  <c r="D38" i="9"/>
  <c r="J37" i="11"/>
  <c r="O37" i="9"/>
  <c r="N37" i="9"/>
  <c r="M37" i="9"/>
  <c r="L37" i="9"/>
  <c r="K37" i="9"/>
  <c r="J37" i="9"/>
  <c r="I37" i="9"/>
  <c r="H37" i="9"/>
  <c r="G37" i="9"/>
  <c r="E37" i="9"/>
  <c r="D37" i="9"/>
  <c r="J36" i="11"/>
  <c r="O36" i="9"/>
  <c r="N36" i="9"/>
  <c r="M36" i="9"/>
  <c r="L36" i="9"/>
  <c r="K36" i="9"/>
  <c r="J36" i="9"/>
  <c r="I36" i="9"/>
  <c r="H36" i="9"/>
  <c r="G36" i="9"/>
  <c r="E36" i="9"/>
  <c r="D36" i="9"/>
  <c r="J35" i="11"/>
  <c r="O35" i="9"/>
  <c r="N35" i="9"/>
  <c r="M35" i="9"/>
  <c r="L35" i="9"/>
  <c r="K35" i="9"/>
  <c r="J35" i="9"/>
  <c r="I35" i="9"/>
  <c r="H35" i="9"/>
  <c r="G35" i="9"/>
  <c r="E35" i="9"/>
  <c r="D35" i="9"/>
  <c r="J34" i="11"/>
  <c r="O34" i="9"/>
  <c r="N34" i="9"/>
  <c r="M34" i="9"/>
  <c r="L34" i="9"/>
  <c r="K34" i="9"/>
  <c r="J34" i="9"/>
  <c r="I34" i="9"/>
  <c r="H34" i="9"/>
  <c r="G34" i="9"/>
  <c r="E34" i="9"/>
  <c r="D34" i="9"/>
  <c r="J33" i="11"/>
  <c r="O33" i="9"/>
  <c r="N33" i="9"/>
  <c r="M33" i="9"/>
  <c r="L33" i="9"/>
  <c r="K33" i="9"/>
  <c r="J33" i="9"/>
  <c r="I33" i="9"/>
  <c r="H33" i="9"/>
  <c r="G33" i="9"/>
  <c r="E33" i="9"/>
  <c r="D33" i="9"/>
  <c r="J13" i="11"/>
  <c r="O32" i="9"/>
  <c r="N32" i="9"/>
  <c r="M32" i="9"/>
  <c r="L32" i="9"/>
  <c r="K32" i="9"/>
  <c r="J32" i="9"/>
  <c r="I32" i="9"/>
  <c r="H32" i="9"/>
  <c r="G32" i="9"/>
  <c r="E32" i="9"/>
  <c r="D32" i="9"/>
  <c r="J31" i="11"/>
  <c r="O31" i="9"/>
  <c r="N31" i="9"/>
  <c r="M31" i="9"/>
  <c r="L31" i="9"/>
  <c r="K31" i="9"/>
  <c r="J31" i="9"/>
  <c r="I31" i="9"/>
  <c r="H31" i="9"/>
  <c r="G31" i="9"/>
  <c r="E31" i="9"/>
  <c r="D31" i="9"/>
  <c r="J30" i="11"/>
  <c r="O30" i="9"/>
  <c r="N30" i="9"/>
  <c r="M30" i="9"/>
  <c r="L30" i="9"/>
  <c r="K30" i="9"/>
  <c r="J30" i="9"/>
  <c r="I30" i="9"/>
  <c r="H30" i="9"/>
  <c r="G30" i="9"/>
  <c r="E30" i="9"/>
  <c r="D30" i="9"/>
  <c r="J29" i="11"/>
  <c r="O29" i="9"/>
  <c r="N29" i="9"/>
  <c r="M29" i="9"/>
  <c r="L29" i="9"/>
  <c r="K29" i="9"/>
  <c r="J29" i="9"/>
  <c r="I29" i="9"/>
  <c r="H29" i="9"/>
  <c r="G29" i="9"/>
  <c r="E29" i="9"/>
  <c r="D29" i="9"/>
  <c r="J28" i="11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J25" i="11"/>
  <c r="O25" i="9"/>
  <c r="N25" i="9"/>
  <c r="M25" i="9"/>
  <c r="L25" i="9"/>
  <c r="K25" i="9"/>
  <c r="J25" i="9"/>
  <c r="I25" i="9"/>
  <c r="H25" i="9"/>
  <c r="G25" i="9"/>
  <c r="E25" i="9"/>
  <c r="D25" i="9"/>
  <c r="J24" i="11"/>
  <c r="O24" i="9"/>
  <c r="N24" i="9"/>
  <c r="M24" i="9"/>
  <c r="L24" i="9"/>
  <c r="K24" i="9"/>
  <c r="J24" i="9"/>
  <c r="I24" i="9"/>
  <c r="H24" i="9"/>
  <c r="G24" i="9"/>
  <c r="E24" i="9"/>
  <c r="D24" i="9"/>
  <c r="J23" i="11"/>
  <c r="O23" i="9"/>
  <c r="N23" i="9"/>
  <c r="M23" i="9"/>
  <c r="L23" i="9"/>
  <c r="K23" i="9"/>
  <c r="J23" i="9"/>
  <c r="I23" i="9"/>
  <c r="H23" i="9"/>
  <c r="G23" i="9"/>
  <c r="E23" i="9"/>
  <c r="D23" i="9"/>
  <c r="J22" i="11"/>
  <c r="O22" i="9"/>
  <c r="N22" i="9"/>
  <c r="M22" i="9"/>
  <c r="L22" i="9"/>
  <c r="K22" i="9"/>
  <c r="J22" i="9"/>
  <c r="I22" i="9"/>
  <c r="H22" i="9"/>
  <c r="G22" i="9"/>
  <c r="E22" i="9"/>
  <c r="D22" i="9"/>
  <c r="J21" i="11"/>
  <c r="O21" i="9"/>
  <c r="N21" i="9"/>
  <c r="M21" i="9"/>
  <c r="L21" i="9"/>
  <c r="K21" i="9"/>
  <c r="J21" i="9"/>
  <c r="I21" i="9"/>
  <c r="H21" i="9"/>
  <c r="G21" i="9"/>
  <c r="E21" i="9"/>
  <c r="D21" i="9"/>
  <c r="J20" i="11"/>
  <c r="O20" i="9"/>
  <c r="N20" i="9"/>
  <c r="M20" i="9"/>
  <c r="L20" i="9"/>
  <c r="K20" i="9"/>
  <c r="J20" i="9"/>
  <c r="I20" i="9"/>
  <c r="H20" i="9"/>
  <c r="G20" i="9"/>
  <c r="E20" i="9"/>
  <c r="D20" i="9"/>
  <c r="J19" i="11"/>
  <c r="O19" i="9"/>
  <c r="N19" i="9"/>
  <c r="M19" i="9"/>
  <c r="L19" i="9"/>
  <c r="K19" i="9"/>
  <c r="J19" i="9"/>
  <c r="I19" i="9"/>
  <c r="H19" i="9"/>
  <c r="G19" i="9"/>
  <c r="E19" i="9"/>
  <c r="D19" i="9"/>
  <c r="J18" i="11"/>
  <c r="O18" i="9"/>
  <c r="N18" i="9"/>
  <c r="M18" i="9"/>
  <c r="L18" i="9"/>
  <c r="K18" i="9"/>
  <c r="J18" i="9"/>
  <c r="I18" i="9"/>
  <c r="H18" i="9"/>
  <c r="G18" i="9"/>
  <c r="E18" i="9"/>
  <c r="D18" i="9"/>
  <c r="J17" i="11"/>
  <c r="O17" i="9"/>
  <c r="N17" i="9"/>
  <c r="M17" i="9"/>
  <c r="L17" i="9"/>
  <c r="K17" i="9"/>
  <c r="J17" i="9"/>
  <c r="I17" i="9"/>
  <c r="H17" i="9"/>
  <c r="G17" i="9"/>
  <c r="E17" i="9"/>
  <c r="D17" i="9"/>
  <c r="J16" i="11"/>
  <c r="O16" i="9"/>
  <c r="N16" i="9"/>
  <c r="M16" i="9"/>
  <c r="L16" i="9"/>
  <c r="K16" i="9"/>
  <c r="J16" i="9"/>
  <c r="I16" i="9"/>
  <c r="H16" i="9"/>
  <c r="G16" i="9"/>
  <c r="E16" i="9"/>
  <c r="D16" i="9"/>
  <c r="J15" i="11"/>
  <c r="O15" i="9"/>
  <c r="N15" i="9"/>
  <c r="M15" i="9"/>
  <c r="L15" i="9"/>
  <c r="K15" i="9"/>
  <c r="J15" i="9"/>
  <c r="I15" i="9"/>
  <c r="H15" i="9"/>
  <c r="G15" i="9"/>
  <c r="E15" i="9"/>
  <c r="D15" i="9"/>
  <c r="J14" i="11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J12" i="11"/>
  <c r="O12" i="9"/>
  <c r="N12" i="9"/>
  <c r="M12" i="9"/>
  <c r="L12" i="9"/>
  <c r="K12" i="9"/>
  <c r="J12" i="9"/>
  <c r="I12" i="9"/>
  <c r="H12" i="9"/>
  <c r="G12" i="9"/>
  <c r="E12" i="9"/>
  <c r="D12" i="9"/>
  <c r="J11" i="11"/>
  <c r="O11" i="9"/>
  <c r="N11" i="9"/>
  <c r="M11" i="9"/>
  <c r="L11" i="9"/>
  <c r="K11" i="9"/>
  <c r="J11" i="9"/>
  <c r="I11" i="9"/>
  <c r="H11" i="9"/>
  <c r="G11" i="9"/>
  <c r="E11" i="9"/>
  <c r="D11" i="9"/>
  <c r="J10" i="11"/>
  <c r="O10" i="9"/>
  <c r="N10" i="9"/>
  <c r="M10" i="9"/>
  <c r="L10" i="9"/>
  <c r="K10" i="9"/>
  <c r="J10" i="9"/>
  <c r="I10" i="9"/>
  <c r="H10" i="9"/>
  <c r="G10" i="9"/>
  <c r="E10" i="9"/>
  <c r="D10" i="9"/>
  <c r="J9" i="11"/>
  <c r="O9" i="9"/>
  <c r="N9" i="9"/>
  <c r="M9" i="9"/>
  <c r="L9" i="9"/>
  <c r="K9" i="9"/>
  <c r="J9" i="9"/>
  <c r="I9" i="9"/>
  <c r="H9" i="9"/>
  <c r="G9" i="9"/>
  <c r="E9" i="9"/>
  <c r="D9" i="9"/>
  <c r="J8" i="11"/>
  <c r="O8" i="9"/>
  <c r="N8" i="9"/>
  <c r="M8" i="9"/>
  <c r="L8" i="9"/>
  <c r="K8" i="9"/>
  <c r="J8" i="9"/>
  <c r="I8" i="9"/>
  <c r="H8" i="9"/>
  <c r="G8" i="9"/>
  <c r="E8" i="9"/>
  <c r="D8" i="9"/>
  <c r="J7" i="11"/>
  <c r="O7" i="9"/>
  <c r="N7" i="9"/>
  <c r="M7" i="9"/>
  <c r="L7" i="9"/>
  <c r="K7" i="9"/>
  <c r="J7" i="9"/>
  <c r="I7" i="9"/>
  <c r="H7" i="9"/>
  <c r="G7" i="9"/>
  <c r="E7" i="9"/>
  <c r="D7" i="9"/>
  <c r="J6" i="11"/>
  <c r="O6" i="9"/>
  <c r="N6" i="9"/>
  <c r="M6" i="9"/>
  <c r="L6" i="9"/>
  <c r="K6" i="9"/>
  <c r="J6" i="9"/>
  <c r="I6" i="9"/>
  <c r="H6" i="9"/>
  <c r="G6" i="9"/>
  <c r="E6" i="9"/>
  <c r="D6" i="9"/>
  <c r="J5" i="11"/>
  <c r="O5" i="9"/>
  <c r="N5" i="9"/>
  <c r="M5" i="9"/>
  <c r="L5" i="9"/>
  <c r="K5" i="9"/>
  <c r="J5" i="9"/>
  <c r="I5" i="9"/>
  <c r="H5" i="9"/>
  <c r="G5" i="9"/>
  <c r="E5" i="9"/>
  <c r="D5" i="9"/>
  <c r="J4" i="11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G5" i="2"/>
  <c r="A5" i="2"/>
  <c r="H2" i="1"/>
  <c r="H3" i="1"/>
  <c r="H4" i="1"/>
  <c r="H5" i="1"/>
  <c r="B5" i="2"/>
  <c r="G4" i="2"/>
  <c r="A4" i="2"/>
  <c r="B4" i="2"/>
  <c r="G3" i="2"/>
  <c r="A3" i="2"/>
  <c r="B3" i="2"/>
  <c r="G2" i="2"/>
  <c r="A2" i="2"/>
  <c r="B2" i="2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A2" i="22"/>
  <c r="C2" i="22"/>
  <c r="D2" i="22"/>
  <c r="F2" i="22"/>
  <c r="G2" i="22"/>
  <c r="N2" i="22"/>
  <c r="A3" i="22"/>
  <c r="C3" i="22"/>
  <c r="D3" i="22"/>
  <c r="F3" i="22"/>
  <c r="G3" i="22"/>
  <c r="N3" i="22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L74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L67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L52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H5" i="2"/>
  <c r="E5" i="2"/>
  <c r="D5" i="2"/>
  <c r="H4" i="2"/>
  <c r="E4" i="2"/>
  <c r="D4" i="2"/>
  <c r="H3" i="2"/>
  <c r="E3" i="2"/>
  <c r="D3" i="2"/>
  <c r="H2" i="2"/>
  <c r="E2" i="2"/>
  <c r="D2" i="2"/>
  <c r="Y2" i="7"/>
  <c r="X2" i="1"/>
  <c r="W2" i="7"/>
  <c r="U2" i="7"/>
  <c r="V3" i="1"/>
  <c r="V2" i="1"/>
  <c r="T3" i="1"/>
  <c r="T2" i="1"/>
  <c r="E13" i="16"/>
  <c r="B3" i="19"/>
  <c r="C3" i="19"/>
  <c r="D3" i="19"/>
  <c r="F3" i="19"/>
  <c r="G3" i="19"/>
  <c r="B4" i="19"/>
  <c r="C4" i="19"/>
  <c r="D4" i="19"/>
  <c r="F4" i="19"/>
  <c r="G4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E12" i="16"/>
  <c r="E11" i="16"/>
  <c r="E10" i="16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A2" i="7"/>
  <c r="I2" i="7"/>
  <c r="D2" i="7"/>
  <c r="F2" i="7"/>
  <c r="E2" i="7"/>
  <c r="J2" i="1"/>
  <c r="I2" i="1"/>
  <c r="D2" i="1"/>
  <c r="E2" i="1"/>
  <c r="F2" i="1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<sst xmlns="http://schemas.openxmlformats.org/spreadsheetml/2006/main" count="1260" uniqueCount="413">
  <si>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</si>
  <si>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</si>
  <si>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</si>
  <si>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</si>
  <si>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</si>
  <si>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</si>
  <si>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</si>
  <si>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</si>
  <si>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</si>
  <si>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</si>
  <si>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</si>
  <si>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</si>
  <si>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</si>
  <si>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</si>
  <si>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</si>
  <si>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</si>
  <si>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</si>
  <si>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</si>
  <si>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</si>
  <si>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</si>
  <si>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</si>
  <si>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</si>
  <si>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</si>
  <si>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</si>
  <si>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</si>
  <si>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</si>
  <si>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</si>
  <si>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</si>
  <si>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</si>
  <si>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</si>
  <si>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</si>
  <si>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</si>
  <si>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</si>
  <si>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</si>
  <si>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</si>
  <si>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</si>
  <si>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</si>
  <si>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</si>
  <si>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</si>
  <si>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</si>
  <si>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</si>
  <si>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</si>
  <si>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</si>
  <si>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</si>
  <si>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</si>
  <si>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</si>
  <si>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</si>
  <si>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</si>
  <si>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</si>
  <si>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</si>
  <si>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</si>
  <si>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</si>
  <si>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</si>
  <si>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</si>
  <si>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</si>
  <si>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</si>
  <si>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</si>
  <si>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</si>
  <si>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</si>
  <si>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</si>
  <si>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</si>
  <si>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</si>
  <si>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</si>
  <si>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</si>
  <si>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</si>
  <si>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</si>
  <si>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</si>
  <si>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</si>
  <si>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</si>
  <si>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</si>
  <si>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</si>
  <si>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</si>
  <si>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</si>
  <si>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</si>
  <si>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</si>
  <si>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</si>
  <si>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</si>
  <si>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</si>
  <si>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</si>
  <si>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</si>
  <si>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</si>
  <si>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</si>
  <si>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</si>
  <si>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</si>
  <si>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</si>
  <si>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</si>
  <si>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</si>
  <si>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</si>
  <si>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</si>
  <si>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</si>
  <si>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</si>
  <si>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</si>
  <si>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</si>
  <si>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</si>
  <si>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</si>
  <si>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</si>
  <si>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</si>
  <si>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</si>
  <si>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</si>
  <si>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</si>
  <si>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</si>
  <si>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</si>
  <si>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</si>
  <si>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</si>
  <si>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</si>
  <si>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</si>
  <si>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</si>
  <si>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</si>
  <si>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</si>
  <si>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</si>
  <si>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</si>
  <si>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</si>
  <si>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</si>
  <si>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</si>
  <si>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</si>
  <si>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</si>
  <si>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</si>
  <si>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</si>
  <si>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</si>
  <si>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</si>
  <si>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</si>
  <si>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</si>
  <si>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</si>
  <si>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</si>
  <si>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</si>
  <si>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</si>
  <si>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</si>
  <si>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</si>
  <si>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</si>
  <si>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</si>
  <si>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</si>
  <si>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</si>
  <si>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</si>
  <si>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</si>
  <si>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</si>
  <si>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</si>
  <si>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</si>
  <si>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</si>
  <si>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</si>
  <si>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</si>
  <si>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</si>
  <si>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</si>
  <si>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</si>
  <si>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</si>
  <si>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</si>
  <si>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</si>
  <si>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</si>
  <si>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</si>
  <si>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</si>
  <si>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</si>
  <si>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</si>
  <si>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</si>
  <si>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</si>
  <si>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</si>
  <si>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</si>
  <si>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</si>
  <si>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</si>
  <si>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</si>
  <si>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</si>
  <si>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</si>
  <si>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</si>
  <si>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</si>
  <si>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</si>
  <si>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</si>
  <si>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</si>
  <si>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</si>
  <si>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</si>
  <si>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</si>
  <si>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</si>
  <si>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</si>
  <si>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</si>
  <si>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</si>
  <si>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</si>
  <si>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</si>
  <si>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</si>
  <si>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</si>
  <si>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</si>
  <si>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</si>
  <si>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</si>
  <si>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</si>
  <si>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</si>
  <si>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</si>
  <si>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</si>
  <si>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</si>
  <si>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</si>
  <si>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</si>
  <si>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</si>
  <si>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</si>
  <si>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</si>
  <si>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</si>
  <si>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</si>
  <si>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</si>
  <si>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</si>
  <si>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</si>
  <si>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</si>
  <si>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</si>
  <si>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</si>
  <si>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</si>
  <si>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</si>
  <si>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</si>
  <si>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</si>
  <si>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</si>
  <si>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</si>
  <si>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</si>
  <si>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</si>
  <si>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</si>
  <si>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</si>
  <si>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</si>
  <si>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</si>
  <si>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</si>
  <si>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</si>
  <si>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</si>
  <si>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</si>
  <si>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</si>
  <si>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</si>
  <si>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</si>
  <si>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</si>
  <si>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</si>
  <si>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</si>
  <si>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</si>
  <si>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</si>
  <si>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</si>
  <si>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</si>
  <si>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</si>
  <si>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</si>
  <si>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</si>
  <si>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</si>
  <si>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</si>
  <si>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</si>
  <si>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</si>
  <si>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</si>
  <si>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</si>
  <si>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</si>
  <si>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</si>
  <si>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</si>
  <si>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</si>
  <si>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</si>
  <si>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</si>
  <si>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</si>
  <si>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</si>
  <si>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</si>
  <si>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</si>
  <si>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</si>
  <si>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</si>
  <si>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</si>
  <si>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</si>
  <si>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</si>
  <si>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</si>
  <si>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</si>
  <si>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</si>
  <si>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</si>
  <si>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・・・・・・・・・・？</t>
    <phoneticPr fontId="5"/>
  </si>
  <si>
    <t>『影の世界はどうだ？』</t>
    <rPh sb="1" eb="2">
      <t>カゲ</t>
    </rPh>
    <rPh sb="3" eb="5">
      <t>セカイ</t>
    </rPh>
    <phoneticPr fontId="5"/>
  </si>
  <si>
    <t>[effect:dis_heart, turn:1, animation:enemy_dis_heart]</t>
    <phoneticPr fontId="5"/>
  </si>
  <si>
    <t>[effect:dis_panel, target:block_red, turn:1],[effect:dis_panel, target:block_yellow, turn:1]</t>
    <phoneticPr fontId="5"/>
  </si>
  <si>
    <t>『これならどうだ？』</t>
    <phoneticPr fontId="5"/>
  </si>
  <si>
    <t>[effect:dis_panel, target:block_green, turn:1],[effect:dis_panel, target:block_blue, turn:1]</t>
    <phoneticPr fontId="5"/>
  </si>
  <si>
    <t>『さぁ、こうしたらどうする？』</t>
    <phoneticPr fontId="5"/>
  </si>
  <si>
    <t>・・・・・・・・・・！</t>
    <phoneticPr fontId="5"/>
  </si>
  <si>
    <t>『この鎌で全員裂いてやる！』</t>
    <rPh sb="3" eb="4">
      <t>kama</t>
    </rPh>
    <rPh sb="5" eb="7">
      <t>ゼンイン</t>
    </rPh>
    <rPh sb="7" eb="8">
      <t>サ</t>
    </rPh>
    <phoneticPr fontId="5"/>
  </si>
  <si>
    <t>[effect:dark, target:unit_all, turn:1, animation:enemy_dark]</t>
    <phoneticPr fontId="5"/>
  </si>
  <si>
    <t xml:space="preserve">[effect:tolerance, target:myself, turn:-1, tolerance_effect:all, count:-1, animation:enemy_tolerance],[effect:fix_speed, target:myself, turn:2]    </t>
    <phoneticPr fontId="5"/>
  </si>
  <si>
    <t>[effect:rush, count:3, val:0.4]</t>
    <phoneticPr fontId="5"/>
  </si>
  <si>
    <t>[effect:spread, val:0.3]</t>
    <phoneticPr fontId="5"/>
  </si>
  <si>
    <t>全体攻撃</t>
    <rPh sb="0" eb="4">
      <t>ゼンタイコウゲキ</t>
    </rPh>
    <phoneticPr fontId="5"/>
  </si>
  <si>
    <t>クリティカル！</t>
    <phoneticPr fontId="5"/>
  </si>
  <si>
    <t>危険危険危険危険！</t>
    <phoneticPr fontId="5"/>
  </si>
  <si>
    <t>ヘイ！サーモン一丁！</t>
  </si>
  <si>
    <t>サーモンを突き出された！</t>
    <rPh sb="5" eb="6">
      <t>ツ</t>
    </rPh>
    <rPh sb="7" eb="8">
      <t>ダ</t>
    </rPh>
    <phoneticPr fontId="5"/>
  </si>
  <si>
    <t>ヘイ！イクラ一丁！</t>
  </si>
  <si>
    <t>イクラを突き出された！</t>
    <rPh sb="4" eb="5">
      <t>ツ</t>
    </rPh>
    <rPh sb="6" eb="7">
      <t>ダ</t>
    </rPh>
    <phoneticPr fontId="5"/>
  </si>
  <si>
    <t>ヘイ！コハダ一丁！</t>
  </si>
  <si>
    <t>コハダを突き出された！</t>
    <rPh sb="4" eb="5">
      <t>ツ</t>
    </rPh>
    <rPh sb="6" eb="7">
      <t>ダ</t>
    </rPh>
    <phoneticPr fontId="5"/>
  </si>
  <si>
    <t>ヘイ！大トロ一丁！</t>
  </si>
  <si>
    <t>大トロを突き出された！</t>
    <rPh sb="0" eb="1">
      <t>オオ</t>
    </rPh>
    <rPh sb="4" eb="5">
      <t>ツ</t>
    </rPh>
    <rPh sb="6" eb="7">
      <t>ダ</t>
    </rPh>
    <phoneticPr fontId="5"/>
  </si>
  <si>
    <t>ハラショー！！</t>
  </si>
  <si>
    <t>サービスしとくヨ</t>
  </si>
  <si>
    <t>もうイッチョいくヨ！</t>
  </si>
  <si>
    <t>あがりを突き出された！</t>
    <rPh sb="4" eb="5">
      <t>ツ</t>
    </rPh>
    <rPh sb="6" eb="7">
      <t>ダ</t>
    </rPh>
    <phoneticPr fontId="5"/>
  </si>
  <si>
    <t xml:space="preserve">[effect:enhance_enemy, target:enemy_all, turn:-1, status:attack, val:0.2, calc:mul, animation:enemy_enhance_attack],[effect:fix_speed, target:myself, turn:2]    </t>
    <phoneticPr fontId="5"/>
  </si>
  <si>
    <t>お腹空いてるカ？</t>
    <phoneticPr fontId="5"/>
  </si>
  <si>
    <t>お腹一杯ナッタ？</t>
    <phoneticPr fontId="5"/>
  </si>
  <si>
    <t>人、ラブ！！</t>
    <rPh sb="0" eb="1">
      <t>ヒト</t>
    </rPh>
    <phoneticPr fontId="5"/>
  </si>
  <si>
    <t>こんなのでやられないよね？</t>
  </si>
  <si>
    <t>楽しそうだ</t>
    <rPh sb="0" eb="1">
      <t>タノ</t>
    </rPh>
    <phoneticPr fontId="5"/>
  </si>
  <si>
    <t>要らないからあげるよ</t>
  </si>
  <si>
    <t>どーぞお好きに回復すれば？</t>
    <rPh sb="4" eb="5">
      <t>ス</t>
    </rPh>
    <rPh sb="7" eb="9">
      <t>カイフク</t>
    </rPh>
    <phoneticPr fontId="5"/>
  </si>
  <si>
    <t>アハハハハハハハ！！！</t>
    <phoneticPr fontId="5"/>
  </si>
  <si>
    <t>まだあるんだよねぇ</t>
    <phoneticPr fontId="5"/>
  </si>
  <si>
    <t>うーん、微妙！</t>
  </si>
  <si>
    <t>鼻で笑っている！</t>
    <rPh sb="0" eb="1">
      <t>ハナ</t>
    </rPh>
    <rPh sb="2" eb="3">
      <t>ワラ</t>
    </rPh>
    <phoneticPr fontId="5"/>
  </si>
  <si>
    <t>良くないねぇ実に良くない</t>
  </si>
  <si>
    <t>手加減してあげるよ</t>
  </si>
  <si>
    <t>いいねいいねぇ！</t>
  </si>
  <si>
    <t>はいっ王手</t>
    <rPh sb="3" eb="5">
      <t>oute</t>
    </rPh>
    <phoneticPr fontId="5"/>
  </si>
  <si>
    <t>終わると思った？なーんてね</t>
    <phoneticPr fontId="5"/>
  </si>
  <si>
    <t>痛いかな？痛いよね〜</t>
  </si>
  <si>
    <t>嘲笑している！</t>
    <rPh sb="0" eb="2">
      <t>チョウショウ</t>
    </rPh>
    <phoneticPr fontId="5"/>
  </si>
  <si>
    <t>ご苦労様だねぇ</t>
  </si>
  <si>
    <t>まぁ頑張ってよ</t>
  </si>
  <si>
    <t>まったく、やだなぁ</t>
  </si>
  <si>
    <t>はい、パーンッ！！！</t>
  </si>
  <si>
    <t>最高に最高に最高に最っっっ高に</t>
    <rPh sb="0" eb="2">
      <t>サイコウ</t>
    </rPh>
    <rPh sb="3" eb="5">
      <t>サイコウ</t>
    </rPh>
    <rPh sb="6" eb="8">
      <t>サイコウ</t>
    </rPh>
    <rPh sb="9" eb="10">
      <t>サイコウ</t>
    </rPh>
    <rPh sb="13" eb="14">
      <t>コウ</t>
    </rPh>
    <phoneticPr fontId="5"/>
  </si>
  <si>
    <t>君達が大好きだ！！</t>
    <rPh sb="0" eb="2">
      <t>kimitati</t>
    </rPh>
    <rPh sb="3" eb="5">
      <t>ダイス</t>
    </rPh>
    <phoneticPr fontId="5"/>
  </si>
  <si>
    <t>『静雄、お前なぜ私に向かって来るんだ・・・？』</t>
    <rPh sb="1" eb="3">
      <t>シズオ</t>
    </rPh>
    <rPh sb="5" eb="6">
      <t>マエ</t>
    </rPh>
    <rPh sb="8" eb="9">
      <t>ワタシ</t>
    </rPh>
    <rPh sb="10" eb="11">
      <t>ム</t>
    </rPh>
    <rPh sb="14" eb="15">
      <t>ク</t>
    </rPh>
    <phoneticPr fontId="5"/>
  </si>
  <si>
    <t>『私とやり合おうというのか新羅・・・！？』</t>
    <rPh sb="1" eb="2">
      <t>ワタシ</t>
    </rPh>
    <rPh sb="5" eb="6">
      <t>ア</t>
    </rPh>
    <rPh sb="13" eb="15">
      <t>シンラ</t>
    </rPh>
    <phoneticPr fontId="5"/>
  </si>
  <si>
    <t>『臨也、お前また何かするつもりか・・・！』</t>
    <rPh sb="1" eb="2">
      <t>リン</t>
    </rPh>
    <rPh sb="2" eb="3">
      <t>ヤ</t>
    </rPh>
    <rPh sb="5" eb="6">
      <t>マエ</t>
    </rPh>
    <rPh sb="8" eb="9">
      <t>ナニ</t>
    </rPh>
    <phoneticPr fontId="5"/>
  </si>
  <si>
    <t>『杏里ちゃん！？なぜ・・・・・！？』</t>
    <rPh sb="1" eb="3">
      <t>アンリ</t>
    </rPh>
    <phoneticPr fontId="5"/>
  </si>
  <si>
    <t>『茜ちゃん！？なぜ・・・・・！？』</t>
    <rPh sb="1" eb="2">
      <t>アカネ</t>
    </rPh>
    <phoneticPr fontId="5"/>
  </si>
  <si>
    <t>『あの時の女・・・！さすがに危なかったぞ！』</t>
    <rPh sb="3" eb="4">
      <t>トキ</t>
    </rPh>
    <rPh sb="5" eb="6">
      <t>オンナ</t>
    </rPh>
    <phoneticPr fontId="5"/>
  </si>
  <si>
    <t>『私・・・！？また厄介なことが起きたな・・・』</t>
    <rPh sb="1" eb="2">
      <t>ワタシ</t>
    </rPh>
    <rPh sb="9" eb="11">
      <t>ヤッカイ</t>
    </rPh>
    <rPh sb="15" eb="16">
      <t>オ</t>
    </rPh>
    <phoneticPr fontId="5"/>
  </si>
  <si>
    <t>シズオ、カルシウム不足ネ！</t>
    <rPh sb="9" eb="11">
      <t>ブソク</t>
    </rPh>
    <phoneticPr fontId="5"/>
  </si>
  <si>
    <t>ヴァローナ、また稽古するカ？</t>
    <rPh sb="8" eb="10">
      <t>ケイコ</t>
    </rPh>
    <phoneticPr fontId="5"/>
  </si>
  <si>
    <t>異常・・・否！異形！</t>
    <phoneticPr fontId="5"/>
  </si>
  <si>
    <t>あの時の不良少年・・・？</t>
    <rPh sb="2" eb="3">
      <t>トキ</t>
    </rPh>
    <rPh sb="4" eb="8">
      <t>フリョウショウネン</t>
    </rPh>
    <phoneticPr fontId="5"/>
  </si>
  <si>
    <t>今日はどこの取り立てですか？</t>
    <rPh sb="0" eb="2">
      <t>キョウ</t>
    </rPh>
    <rPh sb="6" eb="7">
      <t>ト</t>
    </rPh>
    <rPh sb="8" eb="9">
      <t>タ</t>
    </rPh>
    <phoneticPr fontId="5"/>
  </si>
  <si>
    <t>困ったなぁ、見逃してよシズちゃん</t>
    <rPh sb="0" eb="1">
      <t>コマ</t>
    </rPh>
    <rPh sb="6" eb="8">
      <t>ミノガ</t>
    </rPh>
    <phoneticPr fontId="5"/>
  </si>
  <si>
    <t>君と会ったのは偶然じゃないんだよ
竜ヶ峰帝人君</t>
    <rPh sb="0" eb="1">
      <t>キミ</t>
    </rPh>
    <rPh sb="2" eb="3">
      <t>ア</t>
    </rPh>
    <rPh sb="7" eb="9">
      <t>グウゼン</t>
    </rPh>
    <rPh sb="17" eb="19">
      <t>リュウガミ</t>
    </rPh>
    <rPh sb="19" eb="20">
      <t>ミネ</t>
    </rPh>
    <rPh sb="20" eb="22">
      <t>ミカドヒト</t>
    </rPh>
    <rPh sb="22" eb="23">
      <t>クン</t>
    </rPh>
    <phoneticPr fontId="5"/>
  </si>
  <si>
    <t>全く、化け物は嫌だねぇ</t>
    <rPh sb="0" eb="1">
      <t>マッタ</t>
    </rPh>
    <rPh sb="3" eb="4">
      <t>バ</t>
    </rPh>
    <rPh sb="5" eb="6">
      <t>モノ</t>
    </rPh>
    <rPh sb="7" eb="8">
      <t>イヤ</t>
    </rPh>
    <phoneticPr fontId="5"/>
  </si>
  <si>
    <t>また現実を教えてあげようか？正臣君</t>
    <rPh sb="2" eb="4">
      <t>ゲンジツ</t>
    </rPh>
    <rPh sb="5" eb="6">
      <t>オシ</t>
    </rPh>
    <rPh sb="14" eb="17">
      <t>マサオミクン</t>
    </rPh>
    <phoneticPr fontId="5"/>
  </si>
  <si>
    <t>また何か企んでるのかな？</t>
    <rPh sb="2" eb="3">
      <t>ナニ</t>
    </rPh>
    <rPh sb="4" eb="5">
      <t>タクラ</t>
    </rPh>
    <phoneticPr fontId="5"/>
  </si>
  <si>
    <t>今日は寿司はいいや</t>
    <rPh sb="0" eb="2">
      <t>キョウ</t>
    </rPh>
    <rPh sb="3" eb="5">
      <t>スシ</t>
    </rPh>
    <phoneticPr fontId="5"/>
  </si>
  <si>
    <t>新羅、全く友達甲斐のないやつめ・・・</t>
    <rPh sb="0" eb="2">
      <t>シンラ</t>
    </rPh>
    <rPh sb="3" eb="4">
      <t>マッタ</t>
    </rPh>
    <rPh sb="5" eb="7">
      <t>トモダチ</t>
    </rPh>
    <phoneticPr fontId="5"/>
  </si>
  <si>
    <t>ドタチン、何しに来たの？</t>
    <rPh sb="5" eb="6">
      <t>ナニ</t>
    </rPh>
    <rPh sb="8" eb="9">
      <t>キ</t>
    </rPh>
    <phoneticPr fontId="5"/>
  </si>
  <si>
    <t>あぁ、シズちゃんの後輩か・・・</t>
    <rPh sb="9" eb="11">
      <t>コウハイ</t>
    </rPh>
    <phoneticPr fontId="5"/>
  </si>
  <si>
    <t>へぇ、俺とそっくりだけど・・・誰？</t>
    <rPh sb="3" eb="4">
      <t>オレ</t>
    </rPh>
    <rPh sb="15" eb="16">
      <t>ダレ</t>
    </rPh>
    <phoneticPr fontId="5"/>
  </si>
  <si>
    <t>null</t>
  </si>
  <si>
    <t>セルティによってロックされたパネルでも
Cパネルを作れば攻撃できます
ロックに惑わされずにパネルを繋げましょう</t>
    <rPh sb="25" eb="26">
      <t>ツク</t>
    </rPh>
    <rPh sb="28" eb="30">
      <t>コウゲキ</t>
    </rPh>
    <rPh sb="39" eb="40">
      <t>マド</t>
    </rPh>
    <rPh sb="49" eb="50">
      <t>ツナ</t>
    </rPh>
    <phoneticPr fontId="5"/>
  </si>
  <si>
    <t>ヴァローナはランダムに攻撃をします
どんな攻撃がきても耐えられるように
回復に気をつけながら戦いましょう</t>
    <rPh sb="11" eb="13">
      <t>コウゲキ</t>
    </rPh>
    <rPh sb="21" eb="23">
      <t>コウゲキ</t>
    </rPh>
    <rPh sb="27" eb="32">
      <t>taerareru</t>
    </rPh>
    <rPh sb="36" eb="38">
      <t>カイフク</t>
    </rPh>
    <rPh sb="39" eb="40">
      <t>キ</t>
    </rPh>
    <rPh sb="46" eb="47">
      <t>タタカ</t>
    </rPh>
    <phoneticPr fontId="5"/>
  </si>
  <si>
    <t>サイモンは2ゲージ目から強くなります
1ゲージ目で態勢を整えましょう</t>
    <rPh sb="9" eb="10">
      <t>メ</t>
    </rPh>
    <rPh sb="12" eb="13">
      <t>ツヨ</t>
    </rPh>
    <rPh sb="23" eb="24">
      <t>メ</t>
    </rPh>
    <rPh sb="25" eb="27">
      <t>タイセイ</t>
    </rPh>
    <rPh sb="28" eb="29">
      <t>トトノ</t>
    </rPh>
    <phoneticPr fontId="5"/>
  </si>
  <si>
    <t>サイモンは2ゲージ目のHPが半分になると
とても強力な溜め攻撃をします
溜めている間に倒しましょう</t>
    <rPh sb="9" eb="10">
      <t>メ</t>
    </rPh>
    <rPh sb="14" eb="16">
      <t>ハンブン</t>
    </rPh>
    <rPh sb="24" eb="26">
      <t>キョウリョク</t>
    </rPh>
    <rPh sb="27" eb="28">
      <t>タ</t>
    </rPh>
    <rPh sb="29" eb="31">
      <t>コウゲキ</t>
    </rPh>
    <rPh sb="36" eb="37">
      <t>タ</t>
    </rPh>
    <rPh sb="41" eb="42">
      <t>アイダ</t>
    </rPh>
    <rPh sb="43" eb="44">
      <t>タオ</t>
    </rPh>
    <phoneticPr fontId="5"/>
  </si>
  <si>
    <t>折原臨也は1ゲージ目で先制攻撃をします
余裕を持って突入しましょう</t>
    <rPh sb="0" eb="2">
      <t>オリハラ</t>
    </rPh>
    <rPh sb="2" eb="3">
      <t>リンカイ</t>
    </rPh>
    <rPh sb="3" eb="4">
      <t>ヤ</t>
    </rPh>
    <rPh sb="9" eb="10">
      <t>メ</t>
    </rPh>
    <rPh sb="11" eb="15">
      <t>センセイコウゲキ</t>
    </rPh>
    <rPh sb="20" eb="22">
      <t>ヨユウ</t>
    </rPh>
    <rPh sb="23" eb="24">
      <t>モ</t>
    </rPh>
    <rPh sb="26" eb="28">
      <t>トツニュウ</t>
    </rPh>
    <phoneticPr fontId="5"/>
  </si>
  <si>
    <t>折原臨也は不規則にスキルを使います
どんなスキルにも対応できるように
慎重に戦いましょう</t>
    <rPh sb="0" eb="2">
      <t>オリハラ</t>
    </rPh>
    <rPh sb="2" eb="3">
      <t>リンカイ</t>
    </rPh>
    <rPh sb="3" eb="4">
      <t>ヤ</t>
    </rPh>
    <rPh sb="5" eb="8">
      <t>フキソク</t>
    </rPh>
    <rPh sb="13" eb="14">
      <t>ツカ</t>
    </rPh>
    <rPh sb="26" eb="28">
      <t>タイオウ</t>
    </rPh>
    <rPh sb="35" eb="37">
      <t>シンチョウ</t>
    </rPh>
    <rPh sb="38" eb="39">
      <t>タタカ</t>
    </rPh>
    <phoneticPr fontId="5"/>
  </si>
  <si>
    <t>折原臨也は3ゲージ目に先制攻撃として
フィーバーゲージをゼロにしてしまいます</t>
    <rPh sb="0" eb="2">
      <t>オリハラ</t>
    </rPh>
    <rPh sb="2" eb="3">
      <t>リンカイ</t>
    </rPh>
    <rPh sb="3" eb="4">
      <t>ヤ</t>
    </rPh>
    <rPh sb="9" eb="10">
      <t>メ</t>
    </rPh>
    <rPh sb="11" eb="15">
      <t>センセイコウゲキ</t>
    </rPh>
    <phoneticPr fontId="5"/>
  </si>
  <si>
    <t>・・・・・・・・・・</t>
    <phoneticPr fontId="5"/>
  </si>
  <si>
    <t>ターゲット捕捉しました</t>
    <rPh sb="5" eb="7">
      <t>hosoku</t>
    </rPh>
    <phoneticPr fontId="5"/>
  </si>
  <si>
    <t>退屈です</t>
    <phoneticPr fontId="5"/>
  </si>
  <si>
    <t>全員撃破します</t>
    <rPh sb="0" eb="2">
      <t>ゼンイン</t>
    </rPh>
    <phoneticPr fontId="5"/>
  </si>
  <si>
    <t>弱小すぎです</t>
    <phoneticPr fontId="5"/>
  </si>
  <si>
    <t>あなたの強さを確かめます</t>
    <phoneticPr fontId="5"/>
  </si>
  <si>
    <t>・・・否定します</t>
    <phoneticPr fontId="5"/>
  </si>
  <si>
    <t>沈黙してください</t>
    <phoneticPr fontId="5"/>
  </si>
  <si>
    <t>臨也、お前は本当に・・・</t>
    <rPh sb="0" eb="1">
      <t>リン</t>
    </rPh>
    <rPh sb="1" eb="2">
      <t>ヤ</t>
    </rPh>
    <rPh sb="4" eb="5">
      <t>マエ</t>
    </rPh>
    <rPh sb="6" eb="8">
      <t>ホントウ</t>
    </rPh>
    <phoneticPr fontId="5"/>
  </si>
  <si>
    <t>先輩、私をもっと強くしてください</t>
    <rPh sb="0" eb="2">
      <t>センパイ</t>
    </rPh>
    <rPh sb="3" eb="4">
      <t>ワタシ</t>
    </rPh>
    <rPh sb="8" eb="9">
      <t>ツヨ</t>
    </rPh>
    <phoneticPr fontId="5"/>
  </si>
  <si>
    <t>先輩は私の獲物です</t>
    <rPh sb="0" eb="2">
      <t>センパイ</t>
    </rPh>
    <rPh sb="3" eb="4">
      <t>ワタシ</t>
    </rPh>
    <rPh sb="5" eb="7">
      <t>エモノ</t>
    </rPh>
    <phoneticPr fontId="5"/>
  </si>
  <si>
    <t>少年、あなたはただの少年のようですね</t>
    <rPh sb="10" eb="12">
      <t>ショウネン</t>
    </rPh>
    <phoneticPr fontId="5"/>
  </si>
  <si>
    <t>『お前の心臓を縛ってやる』</t>
    <rPh sb="2" eb="3">
      <t>マエ</t>
    </rPh>
    <rPh sb="4" eb="6">
      <t>シンゾウ</t>
    </rPh>
    <rPh sb="7" eb="8">
      <t>シバ</t>
    </rPh>
    <phoneticPr fontId="5"/>
  </si>
  <si>
    <t>『お前だ』</t>
    <rPh sb="2" eb="3">
      <t>マエ</t>
    </rPh>
    <phoneticPr fontId="5"/>
  </si>
  <si>
    <t>『私の影に呑まれろ』</t>
    <rPh sb="1" eb="2">
      <t>ワタシ</t>
    </rPh>
    <rPh sb="3" eb="4">
      <t>カゲ</t>
    </rPh>
    <rPh sb="5" eb="6">
      <t>ノ</t>
    </rPh>
    <phoneticPr fontId="5"/>
  </si>
  <si>
    <t>3回連続攻撃</t>
    <rPh sb="1" eb="2">
      <t>カイ</t>
    </rPh>
    <rPh sb="2" eb="6">
      <t>レンゾクコウゲキ</t>
    </rPh>
    <phoneticPr fontId="5"/>
  </si>
  <si>
    <t>『帝人君！？なぜこんな所に！？』</t>
    <rPh sb="1" eb="2">
      <t>ミカド</t>
    </rPh>
    <rPh sb="2" eb="3">
      <t>ヒト</t>
    </rPh>
    <rPh sb="3" eb="4">
      <t>クン</t>
    </rPh>
    <rPh sb="11" eb="12">
      <t>トコロ</t>
    </rPh>
    <phoneticPr fontId="5"/>
  </si>
  <si>
    <t>状態異常耐性</t>
    <phoneticPr fontId="5"/>
  </si>
  <si>
    <t>自身の攻撃力UP+全体攻撃</t>
    <rPh sb="0" eb="2">
      <t>ジシン</t>
    </rPh>
    <rPh sb="9" eb="11">
      <t>ゼンタイ</t>
    </rPh>
    <rPh sb="11" eb="13">
      <t>センセイコウゲキ</t>
    </rPh>
    <phoneticPr fontId="5"/>
  </si>
  <si>
    <t xml:space="preserve">[effect:spread, val:0.1],[effect:enhance_enemy, target:enemy_all, turn:-1, status:attack, val:1, calc:mul, animation:enemy_enhance_attack],[effect:fix_speed, target:myself, turn:2]    </t>
    <phoneticPr fontId="5"/>
  </si>
  <si>
    <t>種族ヒューマンのユニット以外に大ダメージの全体攻撃</t>
    <rPh sb="0" eb="2">
      <t>シュゾク</t>
    </rPh>
    <rPh sb="15" eb="16">
      <t>ダイ</t>
    </rPh>
    <phoneticPr fontId="5"/>
  </si>
  <si>
    <t>単体攻撃+
属性パネルをランダムで時限式ダメージパネルに3個変換</t>
    <rPh sb="6" eb="8">
      <t>ゾクセイパネル</t>
    </rPh>
    <phoneticPr fontId="5"/>
  </si>
  <si>
    <t>単体攻撃+赤&amp;緑&amp;黄&amp;青パネルを1個ずつプロテクト</t>
    <rPh sb="17" eb="18">
      <t>コ</t>
    </rPh>
    <phoneticPr fontId="5"/>
  </si>
  <si>
    <t>単体攻撃+
属性パネルをランダムでお邪魔パネルに3個変換</t>
    <rPh sb="6" eb="8">
      <t>ゾクセイパネル</t>
    </rPh>
    <phoneticPr fontId="5"/>
  </si>
  <si>
    <t>クリティカル！</t>
    <phoneticPr fontId="5"/>
  </si>
  <si>
    <t>状態異常耐性+フィーバーゲージ減少</t>
    <rPh sb="15" eb="17">
      <t>geンンsyou</t>
    </rPh>
    <phoneticPr fontId="5"/>
  </si>
  <si>
    <t>単体攻撃+
属性パネルをランダムでお邪魔パネルに5個変換</t>
    <rPh sb="6" eb="8">
      <t>ゾクセイパネル</t>
    </rPh>
    <phoneticPr fontId="5"/>
  </si>
  <si>
    <t>単体攻撃+
属性パネルをランダムで時限式ダメージパネルに5個変換</t>
    <rPh sb="6" eb="8">
      <t>ゾクセイパネル</t>
    </rPh>
    <phoneticPr fontId="5"/>
  </si>
  <si>
    <t>old</t>
    <phoneticPr fontId="5"/>
  </si>
  <si>
    <t>[effect:spread, val:0.25]</t>
    <phoneticPr fontId="5"/>
  </si>
  <si>
    <t>[effect:damage_abnormal, target:unit_one, val:0.8, status:hungup, turn:1, rate:1, animation:hungup01]</t>
    <phoneticPr fontId="5"/>
  </si>
  <si>
    <t>[effect:critical, val:1.3, animation:enemy_critical]</t>
    <phoneticPr fontId="5"/>
  </si>
  <si>
    <t>[effect:critical, val:1.4, animation:enemy_critical]</t>
    <phoneticPr fontId="5"/>
  </si>
  <si>
    <t xml:space="preserve">[effect:critical, val:1.3, animation:enemy_critical],[effect:fix_speed, target:myself, turn:1]    </t>
    <phoneticPr fontId="5"/>
  </si>
  <si>
    <t>[effect:critical, val:1.6, animation:enemy_critical]</t>
    <phoneticPr fontId="5"/>
  </si>
  <si>
    <t>[effect:critical, val:1]</t>
    <phoneticPr fontId="5"/>
  </si>
  <si>
    <t>解除するまでユニット全体の攻撃をカウンター</t>
    <phoneticPr fontId="5"/>
  </si>
  <si>
    <t>折原臨也は2ゲージ目のHPが少なくなると
属性パネルを大量のお邪魔パネルと
時限式ダメージパネルに変換してきます</t>
    <rPh sb="0" eb="2">
      <t>オリハラ</t>
    </rPh>
    <rPh sb="2" eb="3">
      <t>リンカイ</t>
    </rPh>
    <rPh sb="3" eb="4">
      <t>ヤ</t>
    </rPh>
    <rPh sb="9" eb="10">
      <t>メ</t>
    </rPh>
    <rPh sb="14" eb="15">
      <t>スク</t>
    </rPh>
    <rPh sb="21" eb="23">
      <t>ゾクセイパネルw</t>
    </rPh>
    <rPh sb="27" eb="29">
      <t>タイリョウ</t>
    </rPh>
    <rPh sb="31" eb="33">
      <t>ジャマ</t>
    </rPh>
    <rPh sb="38" eb="41">
      <t>ジゲンシキ</t>
    </rPh>
    <rPh sb="49" eb="51">
      <t>ヘンカン</t>
    </rPh>
    <phoneticPr fontId="5"/>
  </si>
  <si>
    <t>赤&amp;黄パネルをお邪魔パネルに変換(最大10個)+
緑&amp;青パネルを時限式ダメージパネルに変換(最大10個)</t>
    <rPh sb="0" eb="1">
      <t>アカ</t>
    </rPh>
    <rPh sb="2" eb="3">
      <t>ki</t>
    </rPh>
    <rPh sb="17" eb="19">
      <t>サイダイ</t>
    </rPh>
    <rPh sb="21" eb="22">
      <t>コ</t>
    </rPh>
    <rPh sb="25" eb="26">
      <t>ミドリ</t>
    </rPh>
    <rPh sb="27" eb="28">
      <t>アオ</t>
    </rPh>
    <phoneticPr fontId="5"/>
  </si>
  <si>
    <t>1ターンユニット全体の攻撃力100%DOWN+
属性パネルをハートパネルに変換(最大20個)</t>
    <rPh sb="24" eb="26">
      <t>ゾクセイ</t>
    </rPh>
    <rPh sb="40" eb="42">
      <t>サイダイ</t>
    </rPh>
    <rPh sb="44" eb="45">
      <t>コ</t>
    </rPh>
    <phoneticPr fontId="5"/>
  </si>
  <si>
    <t>[effect:enemy_message, val1:1, val2:2],[effect:dark, target:unit_all, turn:1, animation:enemy_dark]</t>
    <phoneticPr fontId="5"/>
  </si>
  <si>
    <t>[effect:tolerance, target:myself, turn:-1, tolerance_effect:all, count:-1, animation:enemy_tolerance],[effect:fix_speed, target:myself, turn:2]</t>
    <phoneticPr fontId="5"/>
  </si>
  <si>
    <t>[effect:tolerance, target:myself, turn:-1, tolerance_effect:all, count:-1, animation:enemy_tolerance],[effect:degrade_fever, val:1000, animation:fevergauge_down],[effect:freq_turn, target:myself, turn:-1, val:1, animation:enemy_freq_turn]</t>
    <phoneticPr fontId="5"/>
  </si>
  <si>
    <t>[effect:dark, target:unit_all, turn:1, animation:enemy_dark]</t>
    <phoneticPr fontId="5"/>
  </si>
  <si>
    <t xml:space="preserve">[effect:enemy_message, val1:1.2, val2:1.8],[effect:tolerance, target:myself, turn:-1, tolerance_effect:all, count:-1, animation:enemy_tolerance],[effect:fix_speed, target:myself, turn:2]    </t>
    <phoneticPr fontId="5"/>
  </si>
  <si>
    <t>貴女は人間、化け物、どちらですか</t>
    <phoneticPr fontId="5"/>
  </si>
  <si>
    <t>サーミャの日本語は奇想天外です</t>
    <phoneticPr fontId="5"/>
  </si>
  <si>
    <t>[effect:enemy_message, val1:1, val2:3],[effect:degrade_unit,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t>
    <phoneticPr fontId="5"/>
  </si>
  <si>
    <t>キダ、また喧嘩するカ？</t>
    <rPh sb="5" eb="7">
      <t>ケンカ</t>
    </rPh>
    <phoneticPr fontId="5"/>
  </si>
  <si>
    <t>ヘイ、少年！寿司食うカ？</t>
    <rPh sb="3" eb="5">
      <t>ショウネン</t>
    </rPh>
    <rPh sb="6" eb="8">
      <t>スシ</t>
    </rPh>
    <rPh sb="8" eb="9">
      <t>ク</t>
    </rPh>
    <phoneticPr fontId="5"/>
  </si>
  <si>
    <t>ヘイ、お嬢サン！寿司食うカ？</t>
    <rPh sb="4" eb="5">
      <t>ジョウ</t>
    </rPh>
    <rPh sb="8" eb="10">
      <t>スシ</t>
    </rPh>
    <rPh sb="10" eb="11">
      <t>ク</t>
    </rPh>
    <phoneticPr fontId="5"/>
  </si>
  <si>
    <t>ヘイラッシャイ！寿司食うカ？</t>
    <rPh sb="8" eb="10">
      <t>スシ</t>
    </rPh>
    <rPh sb="10" eb="11">
      <t>ク</t>
    </rPh>
    <phoneticPr fontId="5"/>
  </si>
  <si>
    <t>喧嘩ダメ！寿司食べナ！</t>
    <rPh sb="0" eb="2">
      <t>ケンカ</t>
    </rPh>
    <rPh sb="5" eb="7">
      <t>スシ</t>
    </rPh>
    <rPh sb="7" eb="8">
      <t>タ</t>
    </rPh>
    <phoneticPr fontId="5"/>
  </si>
  <si>
    <t>サービスするヨ門田シャチョー</t>
    <rPh sb="7" eb="9">
      <t>カドタ</t>
    </rPh>
    <phoneticPr fontId="5"/>
  </si>
  <si>
    <t>[effect:enemy_message, val1:1, val2:2],[effect:enemy_counter, target:myself, invoke_condition:unit_all, counter_target:attacker, turn:-1, val:0.1, animation:enemy_counter],[effect:fix_speed, target:myself, turn:1]</t>
    <phoneticPr fontId="5"/>
  </si>
  <si>
    <t>自身の攻撃力UP+次のターン強力な攻撃</t>
    <phoneticPr fontId="5"/>
  </si>
  <si>
    <t xml:space="preserve">[effect:enemy_message, val1:1.2, val2:2.2],[effect:damage_anti_tribe, target:unit_all, tribe:human, val1:0.1, val2:0.9],[effect:fix_speed, target:myself, turn:1]    </t>
    <phoneticPr fontId="5"/>
  </si>
  <si>
    <t xml:space="preserve">[effect:enemy_message, val1:1, val2:2.2],[effect:damage_anti_tribe, target:unit_all, tribe:human, val1:0.1, val2:0.9],[effect:fix_speed, target:myself, turn:1]    </t>
    <phoneticPr fontId="5"/>
  </si>
  <si>
    <t xml:space="preserve">[effect:enemy_message, val1:1.2, val2:2.2],[effect:enemy_message, val1:1, val2:2.2],[effect:damage_anti_tribe, target:unit_all, tribe:human, val1:0.1, val2:0.9],[effect:fix_speed, target:myself, turn:1]    </t>
    <phoneticPr fontId="5"/>
  </si>
  <si>
    <t>[effect:enemy_message, val1:1, val2:2.2],[effect:panel_freeze, target:block_red,count:1, break_count:1],[effect:panel_freeze, target:block_green,count:1, break_count:1],[effect:panel_freeze, target:block_yellow,count:1, break_count:1],[effect:panel_freeze, target:block_blue,count:1, break_count:1],[effect:critical, val:1]</t>
    <phoneticPr fontId="5"/>
  </si>
  <si>
    <t>相変わらず馬鹿力だねぇ〜、シズちゃん</t>
    <phoneticPr fontId="5"/>
  </si>
  <si>
    <t>[effect:enemy_message, val1:1.2, val2:1.8],[effect:tolerance, target:myself, turn:-1, tolerance_effect:all, count:-1, animation:enemy_tolerance],[effect:fix_speed, target:myself, turn:2]</t>
    <phoneticPr fontId="5"/>
  </si>
  <si>
    <t>[effect:enemy_message, val1:1, val2:3.2],[effect:force_change_block, new_block:jammer, target:block_red, ignore01:crash, ignore02:crack_bomb, ignore03:time_bomb, ignore04:jammer, ignore05:damage, count:5, val:0, animation:change_block],[effect:force_change_block, new_block:jammer, target:block_yellow, ignore01:crash, ignore02:crack_bomb, ignore03:time_bomb, ignore04:jammer, ignore05:damage, count:5, val:0, animation:change_block],[effect:force_change_block, new_block:time_bomb, target:block_green, ignore01:crash, ignore02:crack_bomb, ignore03:time_bomb, ignore04:jammer, ignore05:damage, count:5, val:0.2, min_time_count:2, max_time_count:2, animation:change_block],[effect:force_change_block, new_block:time_bomb, target:block_blue, ignore01:crash, ignore02:crack_bomb, ignore03:time_bomb, ignore04:jammer, ignore05:damage, count:5, val:0.2, min_time_count:2, max_time_count:2, animation:change_block]</t>
    <phoneticPr fontId="5"/>
  </si>
  <si>
    <t>君に罪をなすりつけた事、
まだ怒ってるのかな？</t>
    <phoneticPr fontId="5"/>
  </si>
  <si>
    <t>[effect:enemy_message, val1:1.4, val2:1.8],[effect:tolerance, target:myself, turn:-1, tolerance_effect:all, count:-1, animation:enemy_tolerance],[effect:fix_speed, target:myself, turn:2]</t>
    <phoneticPr fontId="5"/>
  </si>
  <si>
    <t>[effect:enemy_message, val1:1, val2:2.2],[effect:damage_anti_tribe, target:unit_all, tribe:human, val1:0.2, val2:1.5]</t>
    <phoneticPr fontId="5"/>
  </si>
  <si>
    <t>いいねぇ実にいい！！！</t>
    <phoneticPr fontId="5"/>
  </si>
  <si>
    <t>まったく・・・単細胞の癖に
どうしてあんなに鋭いんだろうねぇ</t>
    <phoneticPr fontId="5"/>
  </si>
  <si>
    <t>これだから俺は・・・
シズちゃんのこと、大嫌いなんだよ</t>
    <phoneticPr fontId="5"/>
  </si>
  <si>
    <t>[effect:enemy_message, val1:1.8, val2:2.2, dead_type:suicide]</t>
    <phoneticPr fontId="5"/>
  </si>
  <si>
    <t>[effect:enemy_message, val1:1.2, val2:1.8, dead_type:suicide]</t>
    <phoneticPr fontId="5"/>
  </si>
  <si>
    <t>暴力ヨクナイヨ！</t>
    <phoneticPr fontId="5"/>
  </si>
  <si>
    <t>no_continue</t>
    <phoneticPr fontId="5"/>
  </si>
  <si>
    <t>full_member</t>
    <phoneticPr fontId="5"/>
  </si>
  <si>
    <t>[effect:enemy_message, val1:1, val2:2.2],[effect:force_change_block, new_block:jammer, target:block_all, ignore01:crash, ignore02:crack_bomb, ignore03:time_bomb, ignore04:jammer, ignore05:damage, count:3, val:0, animation:change_block],[effect:critical, val:1]</t>
    <phoneticPr fontId="5"/>
  </si>
  <si>
    <t>[effect:enemy_message, val1:1, val2:2.2],[effect:force_change_block, new_block:jammer, target:block_all, ignore01:crash, ignore02:crack_bomb, ignore03:time_bomb, ignore04:jammer, ignore05:damage, count:5, val:0, animation:change_block],[effect:critical, val:1]</t>
    <phoneticPr fontId="5"/>
  </si>
  <si>
    <t>[effect:enemy_message, val1:1, val2:2.4],[effect:force_change_block, new_block:time_bomb, target:block_all, ignore01:crash, ignore02:crack_bomb, ignore03:time_bomb, ignore04:jammer, ignore05:damage, count:3, val:0.2, min_time_count:2, max_time_count:2, animation:change_block],[effect:critical, val:1]</t>
    <phoneticPr fontId="5"/>
  </si>
  <si>
    <t>[effect:enemy_message, val1:1, val2:2.4],[effect:force_change_block, new_block:time_bomb, target:block_all, ignore01:crash, ignore02:crack_bomb, ignore03:time_bomb, ignore04:jammer, ignore05:damage, count:5, val:0.2, min_time_count:2, max_time_count:2, animation:change_block],[effect:critical, val:1]</t>
    <phoneticPr fontId="5"/>
  </si>
  <si>
    <t>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</si>
</sst>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5" applyNumberFormat="0" applyAlignment="0" applyProtection="0"/>
    <xf numFmtId="0" fontId="33" fillId="17" borderId="0" applyNumberFormat="0" applyBorder="0" applyAlignment="0" applyProtection="0"/>
    <xf numFmtId="0" fontId="34" fillId="18" borderId="6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7" applyNumberFormat="0" applyAlignment="0" applyProtection="0"/>
    <xf numFmtId="0" fontId="38" fillId="0" borderId="0" applyNumberFormat="0" applyFill="0" applyBorder="0" applyAlignment="0" applyProtection="0"/>
    <xf numFmtId="0" fontId="39" fillId="0" borderId="8" applyNumberFormat="0" applyFill="0" applyAlignment="0" applyProtection="0"/>
    <xf numFmtId="0" fontId="40" fillId="0" borderId="9" applyNumberFormat="0" applyFill="0" applyAlignment="0" applyProtection="0"/>
    <xf numFmtId="0" fontId="41" fillId="0" borderId="10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1" applyNumberFormat="0" applyFill="0" applyAlignment="0" applyProtection="0"/>
    <xf numFmtId="0" fontId="46" fillId="18" borderId="12" applyNumberFormat="0" applyAlignment="0" applyProtection="0"/>
    <xf numFmtId="0" fontId="46" fillId="29" borderId="12" applyNumberFormat="0" applyAlignment="0" applyProtection="0"/>
    <xf numFmtId="0" fontId="34" fillId="17" borderId="6" applyNumberFormat="0" applyAlignment="0" applyProtection="0"/>
    <xf numFmtId="0" fontId="47" fillId="0" borderId="13" applyNumberFormat="0" applyFill="0" applyAlignment="0" applyProtection="0"/>
    <xf numFmtId="0" fontId="48" fillId="29" borderId="6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4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3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6" fillId="3" borderId="3" xfId="0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6" fillId="0" borderId="3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3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3" xfId="0" applyFont="1" applyFill="1" applyBorder="1" applyAlignment="1">
      <alignment horizontal="left" vertical="center"/>
    </xf>
    <xf numFmtId="0" fontId="16" fillId="0" borderId="3" xfId="0" applyFont="1" applyFill="1" applyBorder="1" applyAlignment="1">
      <alignment vertical="center"/>
    </xf>
    <xf numFmtId="0" fontId="16" fillId="3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3" xfId="0" applyFont="1" applyFill="1" applyBorder="1" applyAlignment="1">
      <alignment horizontal="left" vertical="center"/>
    </xf>
    <xf numFmtId="0" fontId="16" fillId="0" borderId="3" xfId="0" applyFont="1" applyFill="1" applyBorder="1" applyAlignment="1">
      <alignment horizontal="left" vertical="center" wrapText="1"/>
    </xf>
    <xf numFmtId="14" fontId="16" fillId="0" borderId="3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3" xfId="0" applyFont="1" applyFill="1" applyBorder="1"/>
    <xf numFmtId="0" fontId="0" fillId="11" borderId="3" xfId="0" applyFill="1" applyBorder="1"/>
    <xf numFmtId="0" fontId="0" fillId="0" borderId="3" xfId="0" applyBorder="1"/>
    <xf numFmtId="0" fontId="0" fillId="6" borderId="3" xfId="0" applyFill="1" applyBorder="1"/>
    <xf numFmtId="0" fontId="26" fillId="12" borderId="3" xfId="0" applyFont="1" applyFill="1" applyBorder="1"/>
    <xf numFmtId="0" fontId="13" fillId="11" borderId="3" xfId="434" applyFont="1" applyFill="1" applyBorder="1" applyAlignment="1"/>
    <xf numFmtId="0" fontId="24" fillId="0" borderId="3" xfId="434" applyBorder="1" applyAlignment="1"/>
    <xf numFmtId="0" fontId="0" fillId="13" borderId="3" xfId="0" applyFill="1" applyBorder="1"/>
    <xf numFmtId="0" fontId="16" fillId="3" borderId="3" xfId="0" applyFont="1" applyFill="1" applyBorder="1" applyAlignment="1">
      <alignment horizontal="left" vertical="center" wrapText="1"/>
    </xf>
    <xf numFmtId="0" fontId="16" fillId="6" borderId="3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3" xfId="615" applyFont="1" applyFill="1" applyBorder="1"/>
    <xf numFmtId="0" fontId="0" fillId="0" borderId="3" xfId="615" applyFont="1" applyBorder="1"/>
    <xf numFmtId="0" fontId="2" fillId="11" borderId="3" xfId="615" applyFill="1" applyBorder="1"/>
    <xf numFmtId="0" fontId="4" fillId="0" borderId="3" xfId="0" applyFont="1" applyBorder="1" applyAlignment="1">
      <alignment vertical="center"/>
    </xf>
    <xf numFmtId="0" fontId="16" fillId="3" borderId="3" xfId="614" applyFont="1" applyFill="1" applyBorder="1" applyAlignment="1">
      <alignment horizontal="left"/>
    </xf>
    <xf numFmtId="0" fontId="16" fillId="6" borderId="3" xfId="0" applyFont="1" applyFill="1" applyBorder="1" applyAlignment="1">
      <alignment horizontal="center"/>
    </xf>
    <xf numFmtId="56" fontId="16" fillId="6" borderId="3" xfId="0" applyNumberFormat="1" applyFont="1" applyFill="1" applyBorder="1" applyAlignment="1">
      <alignment horizontal="center"/>
    </xf>
    <xf numFmtId="0" fontId="2" fillId="0" borderId="0" xfId="615"/>
    <xf numFmtId="0" fontId="27" fillId="6" borderId="3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5" borderId="3" xfId="0" applyFont="1" applyFill="1" applyBorder="1" applyAlignment="1">
      <alignment horizontal="center"/>
    </xf>
    <xf numFmtId="0" fontId="0" fillId="15" borderId="3" xfId="0" applyFill="1" applyBorder="1"/>
    <xf numFmtId="0" fontId="27" fillId="0" borderId="3" xfId="0" applyFont="1" applyFill="1" applyBorder="1"/>
    <xf numFmtId="0" fontId="28" fillId="0" borderId="3" xfId="0" applyFont="1" applyFill="1" applyBorder="1"/>
    <xf numFmtId="0" fontId="29" fillId="3" borderId="4" xfId="0" applyFont="1" applyFill="1" applyBorder="1" applyAlignment="1">
      <alignment vertical="center"/>
    </xf>
    <xf numFmtId="0" fontId="30" fillId="0" borderId="3" xfId="0" applyFont="1" applyFill="1" applyBorder="1"/>
    <xf numFmtId="0" fontId="29" fillId="0" borderId="4" xfId="0" applyFont="1" applyFill="1" applyBorder="1" applyAlignment="1">
      <alignment vertical="center"/>
    </xf>
    <xf numFmtId="0" fontId="30" fillId="14" borderId="3" xfId="0" applyFont="1" applyFill="1" applyBorder="1"/>
    <xf numFmtId="0" fontId="31" fillId="0" borderId="3" xfId="0" applyFont="1" applyFill="1" applyBorder="1"/>
    <xf numFmtId="0" fontId="27" fillId="0" borderId="0" xfId="0" applyFont="1" applyFill="1"/>
    <xf numFmtId="0" fontId="16" fillId="30" borderId="3" xfId="0" applyFont="1" applyFill="1" applyBorder="1" applyAlignment="1">
      <alignment horizontal="center"/>
    </xf>
    <xf numFmtId="0" fontId="30" fillId="30" borderId="3" xfId="0" applyFont="1" applyFill="1" applyBorder="1"/>
    <xf numFmtId="0" fontId="16" fillId="13" borderId="3" xfId="0" applyFont="1" applyFill="1" applyBorder="1" applyAlignment="1">
      <alignment horizontal="center"/>
    </xf>
    <xf numFmtId="56" fontId="16" fillId="14" borderId="3" xfId="0" applyNumberFormat="1" applyFont="1" applyFill="1" applyBorder="1" applyAlignment="1">
      <alignment horizontal="center"/>
    </xf>
    <xf numFmtId="0" fontId="31" fillId="14" borderId="3" xfId="0" applyFont="1" applyFill="1" applyBorder="1"/>
    <xf numFmtId="38" fontId="16" fillId="14" borderId="3" xfId="628" applyFont="1" applyFill="1" applyBorder="1" applyAlignment="1"/>
    <xf numFmtId="0" fontId="16" fillId="6" borderId="3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3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3" xfId="0" applyFont="1" applyFill="1" applyBorder="1"/>
    <xf numFmtId="22" fontId="30" fillId="0" borderId="3" xfId="0" quotePrefix="1" applyNumberFormat="1" applyFont="1" applyFill="1" applyBorder="1"/>
    <xf numFmtId="0" fontId="30" fillId="0" borderId="3" xfId="0" quotePrefix="1" applyFont="1" applyFill="1" applyBorder="1"/>
    <xf numFmtId="0" fontId="2" fillId="0" borderId="3" xfId="615" applyBorder="1"/>
    <xf numFmtId="0" fontId="2" fillId="6" borderId="3" xfId="615" applyFill="1" applyBorder="1"/>
    <xf numFmtId="1" fontId="32" fillId="31" borderId="3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2" fillId="7" borderId="15" xfId="0" applyFont="1" applyFill="1" applyBorder="1" applyAlignment="1">
      <alignment vertical="center"/>
    </xf>
    <xf numFmtId="0" fontId="12" fillId="7" borderId="16" xfId="0" applyFont="1" applyFill="1" applyBorder="1" applyAlignment="1">
      <alignment vertical="center"/>
    </xf>
    <xf numFmtId="0" fontId="11" fillId="0" borderId="17" xfId="0" applyFont="1" applyBorder="1" applyAlignment="1">
      <alignment vertical="center"/>
    </xf>
    <xf numFmtId="0" fontId="6" fillId="5" borderId="17" xfId="0" applyFont="1" applyFill="1" applyBorder="1" applyAlignment="1">
      <alignment vertical="center"/>
    </xf>
    <xf numFmtId="0" fontId="4" fillId="0" borderId="17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vertical="center"/>
    </xf>
    <xf numFmtId="0" fontId="4" fillId="3" borderId="17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12" fillId="7" borderId="18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12" fillId="7" borderId="19" xfId="0" applyFont="1" applyFill="1" applyBorder="1" applyAlignment="1">
      <alignment vertical="center"/>
    </xf>
    <xf numFmtId="0" fontId="12" fillId="7" borderId="20" xfId="0" applyFont="1" applyFill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6" fillId="5" borderId="21" xfId="0" applyFont="1" applyFill="1" applyBorder="1" applyAlignment="1">
      <alignment vertical="center"/>
    </xf>
    <xf numFmtId="0" fontId="4" fillId="0" borderId="21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vertical="center"/>
    </xf>
    <xf numFmtId="0" fontId="4" fillId="3" borderId="21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2" fillId="7" borderId="3" xfId="0" applyFont="1" applyFill="1" applyBorder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177" fontId="8" fillId="0" borderId="3" xfId="0" applyNumberFormat="1" applyFont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12" fillId="7" borderId="4" xfId="0" applyFont="1" applyFill="1" applyBorder="1" applyAlignment="1">
      <alignment vertical="center"/>
    </xf>
    <xf numFmtId="176" fontId="4" fillId="0" borderId="4" xfId="0" applyNumberFormat="1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1" fontId="32" fillId="31" borderId="4" xfId="0" applyNumberFormat="1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12" fillId="7" borderId="21" xfId="0" applyFont="1" applyFill="1" applyBorder="1" applyAlignment="1">
      <alignment horizontal="left" vertical="center"/>
    </xf>
    <xf numFmtId="0" fontId="4" fillId="2" borderId="2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left" vertical="center"/>
    </xf>
    <xf numFmtId="0" fontId="4" fillId="6" borderId="21" xfId="0" applyFont="1" applyFill="1" applyBorder="1" applyAlignment="1">
      <alignment horizontal="left" vertical="center"/>
    </xf>
    <xf numFmtId="0" fontId="4" fillId="31" borderId="21" xfId="0" applyFont="1" applyFill="1" applyBorder="1" applyAlignment="1">
      <alignment horizontal="left" vertical="center"/>
    </xf>
    <xf numFmtId="0" fontId="6" fillId="4" borderId="21" xfId="0" applyFont="1" applyFill="1" applyBorder="1" applyAlignment="1">
      <alignment horizontal="left" vertical="center"/>
    </xf>
    <xf numFmtId="0" fontId="16" fillId="32" borderId="3" xfId="0" applyFont="1" applyFill="1" applyBorder="1" applyAlignment="1">
      <alignment horizontal="left" vertical="center" wrapText="1"/>
    </xf>
    <xf numFmtId="0" fontId="11" fillId="13" borderId="3" xfId="0" applyFont="1" applyFill="1" applyBorder="1" applyAlignment="1">
      <alignment vertical="center"/>
    </xf>
    <xf numFmtId="0" fontId="11" fillId="0" borderId="3" xfId="0" applyFont="1" applyFill="1" applyBorder="1" applyAlignment="1">
      <alignment vertical="center"/>
    </xf>
    <xf numFmtId="0" fontId="27" fillId="0" borderId="22" xfId="0" applyFont="1" applyFill="1" applyBorder="1"/>
    <xf numFmtId="0" fontId="28" fillId="0" borderId="17" xfId="0" applyFont="1" applyFill="1" applyBorder="1"/>
    <xf numFmtId="0" fontId="29" fillId="3" borderId="17" xfId="0" applyFont="1" applyFill="1" applyBorder="1" applyAlignment="1">
      <alignment vertical="center"/>
    </xf>
    <xf numFmtId="0" fontId="30" fillId="0" borderId="17" xfId="0" applyFont="1" applyFill="1" applyBorder="1"/>
    <xf numFmtId="0" fontId="29" fillId="0" borderId="17" xfId="0" applyFont="1" applyFill="1" applyBorder="1" applyAlignment="1">
      <alignment vertical="center"/>
    </xf>
    <xf numFmtId="0" fontId="30" fillId="30" borderId="17" xfId="0" applyFont="1" applyFill="1" applyBorder="1"/>
    <xf numFmtId="0" fontId="30" fillId="14" borderId="17" xfId="0" applyFont="1" applyFill="1" applyBorder="1"/>
    <xf numFmtId="0" fontId="31" fillId="0" borderId="17" xfId="0" applyFont="1" applyFill="1" applyBorder="1"/>
    <xf numFmtId="38" fontId="16" fillId="0" borderId="17" xfId="628" applyFont="1" applyFill="1" applyBorder="1" applyAlignment="1">
      <alignment wrapText="1"/>
    </xf>
    <xf numFmtId="0" fontId="0" fillId="0" borderId="17" xfId="0" applyBorder="1"/>
    <xf numFmtId="0" fontId="27" fillId="0" borderId="23" xfId="0" applyFont="1" applyFill="1" applyBorder="1"/>
    <xf numFmtId="38" fontId="16" fillId="0" borderId="3" xfId="628" applyFont="1" applyFill="1" applyBorder="1" applyAlignment="1">
      <alignment wrapText="1"/>
    </xf>
    <xf numFmtId="0" fontId="27" fillId="0" borderId="24" xfId="0" applyFont="1" applyFill="1" applyBorder="1"/>
    <xf numFmtId="0" fontId="28" fillId="0" borderId="21" xfId="0" applyFont="1" applyFill="1" applyBorder="1"/>
    <xf numFmtId="0" fontId="29" fillId="3" borderId="25" xfId="0" applyFont="1" applyFill="1" applyBorder="1" applyAlignment="1">
      <alignment vertical="center"/>
    </xf>
    <xf numFmtId="0" fontId="30" fillId="0" borderId="21" xfId="0" applyFont="1" applyFill="1" applyBorder="1"/>
    <xf numFmtId="0" fontId="29" fillId="0" borderId="25" xfId="0" applyFont="1" applyFill="1" applyBorder="1" applyAlignment="1">
      <alignment vertical="center"/>
    </xf>
    <xf numFmtId="0" fontId="30" fillId="30" borderId="21" xfId="0" applyFont="1" applyFill="1" applyBorder="1"/>
    <xf numFmtId="0" fontId="30" fillId="14" borderId="21" xfId="0" applyFont="1" applyFill="1" applyBorder="1"/>
    <xf numFmtId="0" fontId="31" fillId="0" borderId="21" xfId="0" applyFont="1" applyFill="1" applyBorder="1"/>
    <xf numFmtId="38" fontId="16" fillId="0" borderId="21" xfId="628" applyFont="1" applyFill="1" applyBorder="1" applyAlignment="1">
      <alignment wrapText="1"/>
    </xf>
    <xf numFmtId="0" fontId="0" fillId="0" borderId="21" xfId="0" applyBorder="1"/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vertical="center"/>
    </xf>
    <xf numFmtId="0" fontId="24" fillId="0" borderId="3" xfId="615" applyFont="1" applyBorder="1"/>
    <xf numFmtId="0" fontId="16" fillId="32" borderId="3" xfId="0" applyFont="1" applyFill="1" applyBorder="1" applyAlignment="1">
      <alignment vertical="center" wrapText="1"/>
    </xf>
    <xf numFmtId="0" fontId="0" fillId="3" borderId="23" xfId="0" applyFill="1" applyBorder="1"/>
    <xf numFmtId="0" fontId="0" fillId="0" borderId="4" xfId="0" applyBorder="1"/>
    <xf numFmtId="0" fontId="0" fillId="3" borderId="4" xfId="0" applyFill="1" applyBorder="1"/>
    <xf numFmtId="0" fontId="27" fillId="13" borderId="4" xfId="0" applyFont="1" applyFill="1" applyBorder="1"/>
    <xf numFmtId="0" fontId="0" fillId="0" borderId="26" xfId="0" applyBorder="1"/>
    <xf numFmtId="0" fontId="0" fillId="3" borderId="3" xfId="0" applyFill="1" applyBorder="1"/>
    <xf numFmtId="0" fontId="27" fillId="13" borderId="3" xfId="0" applyFont="1" applyFill="1" applyBorder="1"/>
    <xf numFmtId="0" fontId="0" fillId="0" borderId="27" xfId="0" applyBorder="1"/>
    <xf numFmtId="0" fontId="27" fillId="33" borderId="3" xfId="0" applyFont="1" applyFill="1" applyBorder="1"/>
    <xf numFmtId="0" fontId="0" fillId="33" borderId="3" xfId="0" applyFill="1" applyBorder="1"/>
    <xf numFmtId="0" fontId="0" fillId="3" borderId="21" xfId="0" applyFill="1" applyBorder="1"/>
    <xf numFmtId="0" fontId="27" fillId="13" borderId="21" xfId="0" applyFont="1" applyFill="1" applyBorder="1"/>
    <xf numFmtId="0" fontId="0" fillId="0" borderId="28" xfId="0" applyBorder="1"/>
    <xf numFmtId="0" fontId="8" fillId="0" borderId="29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31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30047</v>
          </cell>
        </row>
        <row r="174">
          <cell r="A174">
            <v>39001</v>
          </cell>
        </row>
        <row r="175">
          <cell r="A175">
            <v>39002</v>
          </cell>
        </row>
        <row r="176">
          <cell r="A176">
            <v>39003</v>
          </cell>
        </row>
        <row r="177">
          <cell r="A177">
            <v>39004</v>
          </cell>
        </row>
        <row r="178">
          <cell r="A178">
            <v>39005</v>
          </cell>
        </row>
        <row r="179">
          <cell r="A179">
            <v>39006</v>
          </cell>
        </row>
        <row r="180">
          <cell r="A180">
            <v>39007</v>
          </cell>
        </row>
        <row r="181">
          <cell r="A181">
            <v>39008</v>
          </cell>
        </row>
        <row r="182">
          <cell r="A182">
            <v>39009</v>
          </cell>
        </row>
        <row r="183">
          <cell r="A183">
            <v>39010</v>
          </cell>
        </row>
        <row r="184">
          <cell r="A184">
            <v>39011</v>
          </cell>
        </row>
        <row r="185">
          <cell r="A185">
            <v>40001</v>
          </cell>
        </row>
        <row r="186">
          <cell r="A186">
            <v>40002</v>
          </cell>
        </row>
        <row r="187">
          <cell r="A187">
            <v>40003</v>
          </cell>
        </row>
        <row r="188">
          <cell r="A188">
            <v>40004</v>
          </cell>
        </row>
        <row r="189">
          <cell r="A189">
            <v>40005</v>
          </cell>
        </row>
        <row r="190">
          <cell r="A190">
            <v>40006</v>
          </cell>
        </row>
        <row r="191">
          <cell r="A191">
            <v>40007</v>
          </cell>
        </row>
        <row r="192">
          <cell r="A192">
            <v>40008</v>
          </cell>
        </row>
        <row r="193">
          <cell r="A193">
            <v>40009</v>
          </cell>
        </row>
        <row r="194">
          <cell r="A194">
            <v>40010</v>
          </cell>
        </row>
        <row r="195">
          <cell r="A195">
            <v>40011</v>
          </cell>
        </row>
        <row r="196">
          <cell r="A196">
            <v>40012</v>
          </cell>
        </row>
        <row r="197">
          <cell r="A197">
            <v>40013</v>
          </cell>
        </row>
        <row r="198">
          <cell r="A198">
            <v>40014</v>
          </cell>
        </row>
        <row r="199">
          <cell r="A199">
            <v>40015</v>
          </cell>
        </row>
        <row r="200">
          <cell r="A200">
            <v>40016</v>
          </cell>
        </row>
        <row r="201">
          <cell r="A201">
            <v>40017</v>
          </cell>
        </row>
        <row r="202">
          <cell r="A202">
            <v>40018</v>
          </cell>
        </row>
        <row r="203">
          <cell r="A203">
            <v>40019</v>
          </cell>
        </row>
        <row r="204">
          <cell r="A204">
            <v>40021</v>
          </cell>
        </row>
        <row r="205">
          <cell r="A205">
            <v>40022</v>
          </cell>
        </row>
        <row r="206">
          <cell r="A206">
            <v>40023</v>
          </cell>
        </row>
        <row r="207">
          <cell r="A207">
            <v>40024</v>
          </cell>
        </row>
        <row r="208">
          <cell r="A208">
            <v>40025</v>
          </cell>
        </row>
        <row r="209">
          <cell r="A209">
            <v>40026</v>
          </cell>
        </row>
        <row r="210">
          <cell r="A210">
            <v>40027</v>
          </cell>
        </row>
        <row r="211">
          <cell r="A211">
            <v>40028</v>
          </cell>
        </row>
        <row r="212">
          <cell r="A212">
            <v>40029</v>
          </cell>
        </row>
        <row r="213">
          <cell r="A213">
            <v>40030</v>
          </cell>
        </row>
        <row r="214">
          <cell r="A214">
            <v>40031</v>
          </cell>
        </row>
        <row r="215">
          <cell r="A215">
            <v>40032</v>
          </cell>
        </row>
        <row r="216">
          <cell r="A216">
            <v>40033</v>
          </cell>
        </row>
        <row r="217">
          <cell r="A217">
            <v>40034</v>
          </cell>
        </row>
        <row r="218">
          <cell r="A218">
            <v>40035</v>
          </cell>
        </row>
        <row r="219">
          <cell r="A219">
            <v>40036</v>
          </cell>
        </row>
        <row r="220">
          <cell r="A220">
            <v>40037</v>
          </cell>
        </row>
        <row r="221">
          <cell r="A221">
            <v>40038</v>
          </cell>
        </row>
        <row r="222">
          <cell r="A222">
            <v>40039</v>
          </cell>
        </row>
        <row r="223">
          <cell r="A223">
            <v>40040</v>
          </cell>
        </row>
        <row r="224">
          <cell r="A224">
            <v>40041</v>
          </cell>
        </row>
        <row r="225">
          <cell r="A225">
            <v>40042</v>
          </cell>
        </row>
        <row r="226">
          <cell r="A226">
            <v>48001</v>
          </cell>
        </row>
        <row r="227">
          <cell r="A227">
            <v>48002</v>
          </cell>
        </row>
        <row r="228">
          <cell r="A228">
            <v>48003</v>
          </cell>
        </row>
        <row r="229">
          <cell r="A229">
            <v>48004</v>
          </cell>
        </row>
        <row r="230">
          <cell r="A230">
            <v>48005</v>
          </cell>
        </row>
        <row r="231">
          <cell r="A231">
            <v>48006</v>
          </cell>
        </row>
        <row r="232">
          <cell r="A232">
            <v>48007</v>
          </cell>
        </row>
        <row r="233">
          <cell r="A233">
            <v>48008</v>
          </cell>
        </row>
        <row r="234">
          <cell r="A234">
            <v>48009</v>
          </cell>
        </row>
        <row r="235">
          <cell r="A235">
            <v>48010</v>
          </cell>
        </row>
        <row r="236">
          <cell r="A236">
            <v>48501</v>
          </cell>
        </row>
        <row r="237">
          <cell r="A237">
            <v>41001</v>
          </cell>
        </row>
        <row r="238">
          <cell r="A238">
            <v>41002</v>
          </cell>
        </row>
        <row r="239">
          <cell r="A239">
            <v>41003</v>
          </cell>
        </row>
        <row r="240">
          <cell r="A240">
            <v>41004</v>
          </cell>
        </row>
        <row r="241">
          <cell r="A241">
            <v>41005</v>
          </cell>
        </row>
        <row r="242">
          <cell r="A242">
            <v>41006</v>
          </cell>
        </row>
        <row r="243">
          <cell r="A243">
            <v>41007</v>
          </cell>
        </row>
        <row r="244">
          <cell r="A244">
            <v>41008</v>
          </cell>
        </row>
        <row r="245">
          <cell r="A245">
            <v>41009</v>
          </cell>
        </row>
        <row r="246">
          <cell r="A246">
            <v>41010</v>
          </cell>
        </row>
        <row r="247">
          <cell r="A247">
            <v>41011</v>
          </cell>
        </row>
        <row r="248">
          <cell r="A248">
            <v>41012</v>
          </cell>
        </row>
        <row r="249">
          <cell r="A249">
            <v>41013</v>
          </cell>
        </row>
        <row r="250">
          <cell r="A250">
            <v>41014</v>
          </cell>
        </row>
        <row r="251">
          <cell r="A251">
            <v>41015</v>
          </cell>
        </row>
        <row r="252">
          <cell r="A252">
            <v>47001</v>
          </cell>
        </row>
        <row r="253">
          <cell r="A253">
            <v>47002</v>
          </cell>
        </row>
        <row r="254">
          <cell r="A254">
            <v>47003</v>
          </cell>
        </row>
        <row r="255">
          <cell r="A255">
            <v>47004</v>
          </cell>
        </row>
        <row r="256">
          <cell r="A256">
            <v>47005</v>
          </cell>
        </row>
        <row r="257">
          <cell r="A257">
            <v>47006</v>
          </cell>
        </row>
        <row r="258">
          <cell r="A258">
            <v>49001</v>
          </cell>
        </row>
        <row r="259">
          <cell r="A259">
            <v>49002</v>
          </cell>
        </row>
        <row r="260">
          <cell r="A260">
            <v>49003</v>
          </cell>
        </row>
        <row r="261">
          <cell r="A261">
            <v>49004</v>
          </cell>
        </row>
        <row r="262">
          <cell r="A262">
            <v>49005</v>
          </cell>
        </row>
        <row r="263">
          <cell r="A263">
            <v>49006</v>
          </cell>
        </row>
        <row r="264">
          <cell r="A264">
            <v>49007</v>
          </cell>
        </row>
        <row r="265">
          <cell r="A265">
            <v>49008</v>
          </cell>
        </row>
        <row r="266">
          <cell r="A266">
            <v>49009</v>
          </cell>
        </row>
        <row r="267">
          <cell r="A267">
            <v>49010</v>
          </cell>
        </row>
        <row r="268">
          <cell r="A268">
            <v>49011</v>
          </cell>
        </row>
        <row r="269">
          <cell r="A269">
            <v>49012</v>
          </cell>
        </row>
        <row r="270">
          <cell r="A270">
            <v>49013</v>
          </cell>
        </row>
        <row r="271">
          <cell r="A271">
            <v>50001</v>
          </cell>
        </row>
        <row r="272">
          <cell r="A272">
            <v>50002</v>
          </cell>
        </row>
        <row r="273">
          <cell r="A273">
            <v>50003</v>
          </cell>
        </row>
        <row r="274">
          <cell r="A274">
            <v>50004</v>
          </cell>
        </row>
        <row r="275">
          <cell r="A275">
            <v>50005</v>
          </cell>
        </row>
        <row r="276">
          <cell r="A276">
            <v>50006</v>
          </cell>
        </row>
        <row r="277">
          <cell r="A277">
            <v>50007</v>
          </cell>
        </row>
        <row r="278">
          <cell r="A278">
            <v>50008</v>
          </cell>
        </row>
        <row r="279">
          <cell r="A279">
            <v>50009</v>
          </cell>
        </row>
        <row r="280">
          <cell r="A280">
            <v>50010</v>
          </cell>
        </row>
        <row r="281">
          <cell r="A281">
            <v>50011</v>
          </cell>
        </row>
        <row r="282">
          <cell r="A282">
            <v>50012</v>
          </cell>
        </row>
        <row r="283">
          <cell r="A283">
            <v>50013</v>
          </cell>
        </row>
        <row r="284">
          <cell r="A284">
            <v>51001</v>
          </cell>
        </row>
        <row r="285">
          <cell r="A285">
            <v>51002</v>
          </cell>
        </row>
        <row r="286">
          <cell r="A286">
            <v>59001</v>
          </cell>
        </row>
        <row r="287">
          <cell r="A287">
            <v>60001</v>
          </cell>
        </row>
        <row r="288">
          <cell r="A288">
            <v>60002</v>
          </cell>
        </row>
        <row r="289">
          <cell r="A289">
            <v>60003</v>
          </cell>
        </row>
        <row r="290">
          <cell r="A290">
            <v>60004</v>
          </cell>
        </row>
        <row r="291">
          <cell r="A291">
            <v>60005</v>
          </cell>
        </row>
        <row r="292">
          <cell r="A292">
            <v>60006</v>
          </cell>
        </row>
        <row r="293">
          <cell r="A293">
            <v>60007</v>
          </cell>
        </row>
        <row r="294">
          <cell r="A294">
            <v>60010</v>
          </cell>
        </row>
        <row r="295">
          <cell r="A295">
            <v>60011</v>
          </cell>
        </row>
        <row r="296">
          <cell r="A296">
            <v>61011</v>
          </cell>
        </row>
        <row r="297">
          <cell r="A297">
            <v>60012</v>
          </cell>
        </row>
        <row r="298">
          <cell r="A298">
            <v>60013</v>
          </cell>
        </row>
        <row r="299">
          <cell r="A299">
            <v>60014</v>
          </cell>
        </row>
        <row r="300">
          <cell r="A300">
            <v>60015</v>
          </cell>
        </row>
        <row r="301">
          <cell r="A301">
            <v>60016</v>
          </cell>
        </row>
        <row r="302">
          <cell r="A302">
            <v>60017</v>
          </cell>
        </row>
        <row r="303">
          <cell r="A303">
            <v>60018</v>
          </cell>
        </row>
        <row r="304">
          <cell r="A304">
            <v>60019</v>
          </cell>
        </row>
        <row r="305">
          <cell r="A305">
            <v>60020</v>
          </cell>
        </row>
        <row r="306">
          <cell r="A306">
            <v>60025</v>
          </cell>
        </row>
        <row r="307">
          <cell r="A307">
            <v>60026</v>
          </cell>
        </row>
        <row r="308">
          <cell r="A308">
            <v>60027</v>
          </cell>
        </row>
        <row r="309">
          <cell r="A309">
            <v>65525</v>
          </cell>
        </row>
        <row r="310">
          <cell r="A310">
            <v>65526</v>
          </cell>
        </row>
        <row r="311">
          <cell r="A311">
            <v>65527</v>
          </cell>
        </row>
        <row r="312">
          <cell r="A312">
            <v>65529</v>
          </cell>
        </row>
        <row r="313">
          <cell r="A313">
            <v>65530</v>
          </cell>
        </row>
        <row r="314">
          <cell r="A314">
            <v>65531</v>
          </cell>
        </row>
        <row r="315">
          <cell r="A315">
            <v>65532</v>
          </cell>
        </row>
        <row r="316">
          <cell r="A316">
            <v>65533</v>
          </cell>
        </row>
        <row r="317">
          <cell r="A317">
            <v>65534</v>
          </cell>
        </row>
        <row r="318">
          <cell r="A318">
            <v>65535</v>
          </cell>
        </row>
        <row r="319">
          <cell r="A319">
            <v>60021</v>
          </cell>
        </row>
        <row r="320">
          <cell r="A320">
            <v>60022</v>
          </cell>
        </row>
        <row r="321">
          <cell r="A321">
            <v>60023</v>
          </cell>
        </row>
        <row r="322">
          <cell r="A32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30047_1</v>
          </cell>
        </row>
        <row r="634">
          <cell r="A634" t="str">
            <v>30047_2</v>
          </cell>
        </row>
        <row r="635">
          <cell r="A635" t="str">
            <v>30047_3</v>
          </cell>
        </row>
        <row r="636">
          <cell r="A636" t="str">
            <v>39001_1</v>
          </cell>
        </row>
        <row r="637">
          <cell r="A637" t="str">
            <v>39001_2</v>
          </cell>
        </row>
        <row r="638">
          <cell r="A638" t="str">
            <v>39001_3</v>
          </cell>
        </row>
        <row r="639">
          <cell r="A639" t="str">
            <v>39001_4</v>
          </cell>
        </row>
        <row r="640">
          <cell r="A640" t="str">
            <v>39001_5</v>
          </cell>
        </row>
        <row r="641">
          <cell r="A641" t="str">
            <v>39002_1</v>
          </cell>
        </row>
        <row r="642">
          <cell r="A642" t="str">
            <v>39002_2</v>
          </cell>
        </row>
        <row r="643">
          <cell r="A643" t="str">
            <v>39002_3</v>
          </cell>
        </row>
        <row r="644">
          <cell r="A644" t="str">
            <v>39002_4</v>
          </cell>
        </row>
        <row r="645">
          <cell r="A645" t="str">
            <v>39003_1</v>
          </cell>
        </row>
        <row r="646">
          <cell r="A646" t="str">
            <v>39003_2</v>
          </cell>
        </row>
        <row r="647">
          <cell r="A647" t="str">
            <v>39003_3</v>
          </cell>
        </row>
        <row r="648">
          <cell r="A648" t="str">
            <v>39003_4</v>
          </cell>
        </row>
        <row r="649">
          <cell r="A649" t="str">
            <v>39004_1</v>
          </cell>
        </row>
        <row r="650">
          <cell r="A650" t="str">
            <v>39004_2</v>
          </cell>
        </row>
        <row r="651">
          <cell r="A651" t="str">
            <v>39004_3</v>
          </cell>
        </row>
        <row r="652">
          <cell r="A652" t="str">
            <v>39004_4</v>
          </cell>
        </row>
        <row r="653">
          <cell r="A653" t="str">
            <v>39005_1</v>
          </cell>
        </row>
        <row r="654">
          <cell r="A654" t="str">
            <v>39005_2</v>
          </cell>
        </row>
        <row r="655">
          <cell r="A655" t="str">
            <v>39005_3</v>
          </cell>
        </row>
        <row r="656">
          <cell r="A656" t="str">
            <v>39005_4</v>
          </cell>
        </row>
        <row r="657">
          <cell r="A657" t="str">
            <v>39005_5</v>
          </cell>
        </row>
        <row r="658">
          <cell r="A658" t="str">
            <v>39006_1</v>
          </cell>
        </row>
        <row r="659">
          <cell r="A659" t="str">
            <v>39006_2</v>
          </cell>
        </row>
        <row r="660">
          <cell r="A660" t="str">
            <v>39006_3</v>
          </cell>
        </row>
        <row r="661">
          <cell r="A661" t="str">
            <v>39006_4</v>
          </cell>
        </row>
        <row r="662">
          <cell r="A662" t="str">
            <v>39007_1</v>
          </cell>
        </row>
        <row r="663">
          <cell r="A663" t="str">
            <v>39007_2</v>
          </cell>
        </row>
        <row r="664">
          <cell r="A664" t="str">
            <v>39007_3</v>
          </cell>
        </row>
        <row r="665">
          <cell r="A665" t="str">
            <v>39007_4</v>
          </cell>
        </row>
        <row r="666">
          <cell r="A666" t="str">
            <v>39008_1</v>
          </cell>
        </row>
        <row r="667">
          <cell r="A667" t="str">
            <v>39008_2</v>
          </cell>
        </row>
        <row r="668">
          <cell r="A668" t="str">
            <v>39008_3</v>
          </cell>
        </row>
        <row r="669">
          <cell r="A669" t="str">
            <v>39008_4</v>
          </cell>
        </row>
        <row r="670">
          <cell r="A670" t="str">
            <v>39008_5</v>
          </cell>
        </row>
        <row r="671">
          <cell r="A671" t="str">
            <v>39009_1</v>
          </cell>
        </row>
        <row r="672">
          <cell r="A672" t="str">
            <v>39009_2</v>
          </cell>
        </row>
        <row r="673">
          <cell r="A673" t="str">
            <v>39009_3</v>
          </cell>
        </row>
        <row r="674">
          <cell r="A674" t="str">
            <v>39009_4</v>
          </cell>
        </row>
        <row r="675">
          <cell r="A675" t="str">
            <v>39009_5</v>
          </cell>
        </row>
        <row r="676">
          <cell r="A676" t="str">
            <v>39010_1</v>
          </cell>
        </row>
        <row r="677">
          <cell r="A677" t="str">
            <v>39010_2</v>
          </cell>
        </row>
        <row r="678">
          <cell r="A678" t="str">
            <v>39010_3</v>
          </cell>
        </row>
        <row r="679">
          <cell r="A679" t="str">
            <v>39010_4</v>
          </cell>
        </row>
        <row r="680">
          <cell r="A680" t="str">
            <v>39011_1</v>
          </cell>
        </row>
        <row r="681">
          <cell r="A681" t="str">
            <v>39011_2</v>
          </cell>
        </row>
        <row r="682">
          <cell r="A682" t="str">
            <v>39011_3</v>
          </cell>
        </row>
        <row r="683">
          <cell r="A683" t="str">
            <v>39011_4</v>
          </cell>
        </row>
        <row r="684">
          <cell r="A684" t="str">
            <v>40001_1</v>
          </cell>
        </row>
        <row r="685">
          <cell r="A685" t="str">
            <v>40002_1</v>
          </cell>
        </row>
        <row r="686">
          <cell r="A686" t="str">
            <v>40002_2</v>
          </cell>
        </row>
        <row r="687">
          <cell r="A687" t="str">
            <v>40002_3</v>
          </cell>
        </row>
        <row r="688">
          <cell r="A688" t="str">
            <v>40003_1</v>
          </cell>
        </row>
        <row r="689">
          <cell r="A689" t="str">
            <v>40004_1</v>
          </cell>
        </row>
        <row r="690">
          <cell r="A690" t="str">
            <v>40005_1</v>
          </cell>
        </row>
        <row r="691">
          <cell r="A691" t="str">
            <v>40006_1</v>
          </cell>
        </row>
        <row r="692">
          <cell r="A692" t="str">
            <v>40007_1</v>
          </cell>
        </row>
        <row r="693">
          <cell r="A693" t="str">
            <v>40008_1</v>
          </cell>
        </row>
        <row r="694">
          <cell r="A694" t="str">
            <v>40009_1</v>
          </cell>
        </row>
        <row r="695">
          <cell r="A695" t="str">
            <v>40010_1</v>
          </cell>
        </row>
        <row r="696">
          <cell r="A696" t="str">
            <v>40011_1</v>
          </cell>
        </row>
        <row r="697">
          <cell r="A697" t="str">
            <v>40012_1</v>
          </cell>
        </row>
        <row r="698">
          <cell r="A698" t="str">
            <v>40013_1</v>
          </cell>
        </row>
        <row r="699">
          <cell r="A699" t="str">
            <v>40014_1</v>
          </cell>
        </row>
        <row r="700">
          <cell r="A700" t="str">
            <v>40015_1</v>
          </cell>
        </row>
        <row r="701">
          <cell r="A701" t="str">
            <v>40016_1</v>
          </cell>
        </row>
        <row r="702">
          <cell r="A702" t="str">
            <v>40016_2</v>
          </cell>
        </row>
        <row r="703">
          <cell r="A703" t="str">
            <v>40017_1</v>
          </cell>
        </row>
        <row r="704">
          <cell r="A704" t="str">
            <v>40017_2</v>
          </cell>
        </row>
        <row r="705">
          <cell r="A705" t="str">
            <v>40017_3</v>
          </cell>
        </row>
        <row r="706">
          <cell r="A706" t="str">
            <v>40018_1</v>
          </cell>
        </row>
        <row r="707">
          <cell r="A707" t="str">
            <v>40018_2</v>
          </cell>
        </row>
        <row r="708">
          <cell r="A708" t="str">
            <v>40018_3</v>
          </cell>
        </row>
        <row r="709">
          <cell r="A709" t="str">
            <v>40019_1</v>
          </cell>
        </row>
        <row r="710">
          <cell r="A710" t="str">
            <v>40019_2</v>
          </cell>
        </row>
        <row r="711">
          <cell r="A711" t="str">
            <v>40019_3</v>
          </cell>
        </row>
        <row r="712">
          <cell r="A712" t="str">
            <v>40021_1</v>
          </cell>
        </row>
        <row r="713">
          <cell r="A713" t="str">
            <v>40021_2</v>
          </cell>
        </row>
        <row r="714">
          <cell r="A714" t="str">
            <v>40022_1</v>
          </cell>
        </row>
        <row r="715">
          <cell r="A715" t="str">
            <v>40022_2</v>
          </cell>
        </row>
        <row r="716">
          <cell r="A716" t="str">
            <v>40023_1</v>
          </cell>
        </row>
        <row r="717">
          <cell r="A717" t="str">
            <v>40023_2</v>
          </cell>
        </row>
        <row r="718">
          <cell r="A718" t="str">
            <v>40024_1</v>
          </cell>
        </row>
        <row r="719">
          <cell r="A719" t="str">
            <v>40024_2</v>
          </cell>
        </row>
        <row r="720">
          <cell r="A720" t="str">
            <v>40025_1</v>
          </cell>
        </row>
        <row r="721">
          <cell r="A721" t="str">
            <v>40025_2</v>
          </cell>
        </row>
        <row r="722">
          <cell r="A722" t="str">
            <v>40026_1</v>
          </cell>
        </row>
        <row r="723">
          <cell r="A723" t="str">
            <v>40026_2</v>
          </cell>
        </row>
        <row r="724">
          <cell r="A724" t="str">
            <v>40027_1</v>
          </cell>
        </row>
        <row r="725">
          <cell r="A725" t="str">
            <v>40027_2</v>
          </cell>
        </row>
        <row r="726">
          <cell r="A726" t="str">
            <v>40028_1</v>
          </cell>
        </row>
        <row r="727">
          <cell r="A727" t="str">
            <v>40028_2</v>
          </cell>
        </row>
        <row r="728">
          <cell r="A728" t="str">
            <v>40029_1</v>
          </cell>
        </row>
        <row r="729">
          <cell r="A729" t="str">
            <v>40029_2</v>
          </cell>
        </row>
        <row r="730">
          <cell r="A730" t="str">
            <v>40030_1</v>
          </cell>
        </row>
        <row r="731">
          <cell r="A731" t="str">
            <v>40030_2</v>
          </cell>
        </row>
        <row r="732">
          <cell r="A732" t="str">
            <v>40031_1</v>
          </cell>
        </row>
        <row r="733">
          <cell r="A733" t="str">
            <v>40031_2</v>
          </cell>
        </row>
        <row r="734">
          <cell r="A734" t="str">
            <v>40032_1</v>
          </cell>
        </row>
        <row r="735">
          <cell r="A735" t="str">
            <v>40032_2</v>
          </cell>
        </row>
        <row r="736">
          <cell r="A736" t="str">
            <v>40033_1</v>
          </cell>
        </row>
        <row r="737">
          <cell r="A737" t="str">
            <v>40033_2</v>
          </cell>
        </row>
        <row r="738">
          <cell r="A738" t="str">
            <v>40034_1</v>
          </cell>
        </row>
        <row r="739">
          <cell r="A739" t="str">
            <v>40034_2</v>
          </cell>
        </row>
        <row r="740">
          <cell r="A740" t="str">
            <v>40035_1</v>
          </cell>
        </row>
        <row r="741">
          <cell r="A741" t="str">
            <v>40035_2</v>
          </cell>
        </row>
        <row r="742">
          <cell r="A742" t="str">
            <v>40036_1</v>
          </cell>
        </row>
        <row r="743">
          <cell r="A743" t="str">
            <v>40036_2</v>
          </cell>
        </row>
        <row r="744">
          <cell r="A744" t="str">
            <v>40037_1</v>
          </cell>
        </row>
        <row r="745">
          <cell r="A745" t="str">
            <v>40037_2</v>
          </cell>
        </row>
        <row r="746">
          <cell r="A746" t="str">
            <v>40038_1</v>
          </cell>
        </row>
        <row r="747">
          <cell r="A747" t="str">
            <v>40038_2</v>
          </cell>
        </row>
        <row r="748">
          <cell r="A748" t="str">
            <v>40039_1</v>
          </cell>
        </row>
        <row r="749">
          <cell r="A749" t="str">
            <v>40039_2</v>
          </cell>
        </row>
        <row r="750">
          <cell r="A750" t="str">
            <v>40040_1</v>
          </cell>
        </row>
        <row r="751">
          <cell r="A751" t="str">
            <v>40040_2</v>
          </cell>
        </row>
        <row r="752">
          <cell r="A752" t="str">
            <v>40041_1</v>
          </cell>
        </row>
        <row r="753">
          <cell r="A753" t="str">
            <v>40041_2</v>
          </cell>
        </row>
        <row r="754">
          <cell r="A754" t="str">
            <v>40042_1</v>
          </cell>
        </row>
        <row r="755">
          <cell r="A755" t="str">
            <v>40042_2</v>
          </cell>
        </row>
        <row r="756">
          <cell r="A756" t="str">
            <v>41001_1</v>
          </cell>
        </row>
        <row r="757">
          <cell r="A757" t="str">
            <v>41001_2</v>
          </cell>
        </row>
        <row r="758">
          <cell r="A758" t="str">
            <v>41001_3</v>
          </cell>
        </row>
        <row r="759">
          <cell r="A759" t="str">
            <v>41002_1</v>
          </cell>
        </row>
        <row r="760">
          <cell r="A760" t="str">
            <v>41002_2</v>
          </cell>
        </row>
        <row r="761">
          <cell r="A761" t="str">
            <v>41002_3</v>
          </cell>
        </row>
        <row r="762">
          <cell r="A762" t="str">
            <v>41003_1</v>
          </cell>
        </row>
        <row r="763">
          <cell r="A763" t="str">
            <v>41003_2</v>
          </cell>
        </row>
        <row r="764">
          <cell r="A764" t="str">
            <v>41003_3</v>
          </cell>
        </row>
        <row r="765">
          <cell r="A765" t="str">
            <v>41004_1</v>
          </cell>
        </row>
        <row r="766">
          <cell r="A766" t="str">
            <v>41004_2</v>
          </cell>
        </row>
        <row r="767">
          <cell r="A767" t="str">
            <v>41004_3</v>
          </cell>
        </row>
        <row r="768">
          <cell r="A768" t="str">
            <v>41005_1</v>
          </cell>
        </row>
        <row r="769">
          <cell r="A769" t="str">
            <v>41005_2</v>
          </cell>
        </row>
        <row r="770">
          <cell r="A770" t="str">
            <v>41005_3</v>
          </cell>
        </row>
        <row r="771">
          <cell r="A771" t="str">
            <v>41006_1</v>
          </cell>
        </row>
        <row r="772">
          <cell r="A772" t="str">
            <v>41006_2</v>
          </cell>
        </row>
        <row r="773">
          <cell r="A773" t="str">
            <v>41006_3</v>
          </cell>
        </row>
        <row r="774">
          <cell r="A774" t="str">
            <v>41007_1</v>
          </cell>
        </row>
        <row r="775">
          <cell r="A775" t="str">
            <v>41007_2</v>
          </cell>
        </row>
        <row r="776">
          <cell r="A776" t="str">
            <v>41007_3</v>
          </cell>
        </row>
        <row r="777">
          <cell r="A777" t="str">
            <v>41008_1</v>
          </cell>
        </row>
        <row r="778">
          <cell r="A778" t="str">
            <v>41008_2</v>
          </cell>
        </row>
        <row r="779">
          <cell r="A779" t="str">
            <v>41008_3</v>
          </cell>
        </row>
        <row r="780">
          <cell r="A780" t="str">
            <v>41009_1</v>
          </cell>
        </row>
        <row r="781">
          <cell r="A781" t="str">
            <v>41009_2</v>
          </cell>
        </row>
        <row r="782">
          <cell r="A782" t="str">
            <v>41009_3</v>
          </cell>
        </row>
        <row r="783">
          <cell r="A783" t="str">
            <v>41010_1</v>
          </cell>
        </row>
        <row r="784">
          <cell r="A784" t="str">
            <v>41010_2</v>
          </cell>
        </row>
        <row r="785">
          <cell r="A785" t="str">
            <v>41010_3</v>
          </cell>
        </row>
        <row r="786">
          <cell r="A786" t="str">
            <v>41011_1</v>
          </cell>
        </row>
        <row r="787">
          <cell r="A787" t="str">
            <v>41011_2</v>
          </cell>
        </row>
        <row r="788">
          <cell r="A788" t="str">
            <v>41012_1</v>
          </cell>
        </row>
        <row r="789">
          <cell r="A789" t="str">
            <v>41012_2</v>
          </cell>
        </row>
        <row r="790">
          <cell r="A790" t="str">
            <v>41013_1</v>
          </cell>
        </row>
        <row r="791">
          <cell r="A791" t="str">
            <v>41013_2</v>
          </cell>
        </row>
        <row r="792">
          <cell r="A792" t="str">
            <v>41014_1</v>
          </cell>
        </row>
        <row r="793">
          <cell r="A793" t="str">
            <v>41014_2</v>
          </cell>
        </row>
        <row r="794">
          <cell r="A794" t="str">
            <v>41015_1</v>
          </cell>
        </row>
        <row r="795">
          <cell r="A795" t="str">
            <v>41015_2</v>
          </cell>
        </row>
        <row r="796">
          <cell r="A796" t="str">
            <v>47001_1</v>
          </cell>
        </row>
        <row r="797">
          <cell r="A797" t="str">
            <v>47001_2</v>
          </cell>
        </row>
        <row r="798">
          <cell r="A798" t="str">
            <v>47002_1</v>
          </cell>
        </row>
        <row r="799">
          <cell r="A799" t="str">
            <v>47002_2</v>
          </cell>
        </row>
        <row r="800">
          <cell r="A800" t="str">
            <v>47003_1</v>
          </cell>
        </row>
        <row r="801">
          <cell r="A801" t="str">
            <v>47003_2</v>
          </cell>
        </row>
        <row r="802">
          <cell r="A802" t="str">
            <v>47003_3</v>
          </cell>
        </row>
        <row r="803">
          <cell r="A803" t="str">
            <v>47003_4</v>
          </cell>
        </row>
        <row r="804">
          <cell r="A804" t="str">
            <v>47004_1</v>
          </cell>
        </row>
        <row r="805">
          <cell r="A805" t="str">
            <v>47004_2</v>
          </cell>
        </row>
        <row r="806">
          <cell r="A806" t="str">
            <v>47004_3</v>
          </cell>
        </row>
        <row r="807">
          <cell r="A807" t="str">
            <v>47004_4</v>
          </cell>
        </row>
        <row r="808">
          <cell r="A808" t="str">
            <v>47005_1</v>
          </cell>
        </row>
        <row r="809">
          <cell r="A809" t="str">
            <v>47006_1</v>
          </cell>
        </row>
        <row r="810">
          <cell r="A810" t="str">
            <v>47006_2</v>
          </cell>
        </row>
        <row r="811">
          <cell r="A811" t="str">
            <v>48001_1</v>
          </cell>
        </row>
        <row r="812">
          <cell r="A812" t="str">
            <v>48002_1</v>
          </cell>
        </row>
        <row r="813">
          <cell r="A813" t="str">
            <v>48002_2</v>
          </cell>
        </row>
        <row r="814">
          <cell r="A814" t="str">
            <v>48002_3</v>
          </cell>
        </row>
        <row r="815">
          <cell r="A815" t="str">
            <v>48003_1</v>
          </cell>
        </row>
        <row r="816">
          <cell r="A816" t="str">
            <v>48003_2</v>
          </cell>
        </row>
        <row r="817">
          <cell r="A817" t="str">
            <v>48004_1</v>
          </cell>
        </row>
        <row r="818">
          <cell r="A818" t="str">
            <v>48004_2</v>
          </cell>
        </row>
        <row r="819">
          <cell r="A819" t="str">
            <v>48005_1</v>
          </cell>
        </row>
        <row r="820">
          <cell r="A820" t="str">
            <v>48005_2</v>
          </cell>
        </row>
        <row r="821">
          <cell r="A821" t="str">
            <v>48006_1</v>
          </cell>
        </row>
        <row r="822">
          <cell r="A822" t="str">
            <v>48006_2</v>
          </cell>
        </row>
        <row r="823">
          <cell r="A823" t="str">
            <v>48007_1</v>
          </cell>
        </row>
        <row r="824">
          <cell r="A824" t="str">
            <v>48007_2</v>
          </cell>
        </row>
        <row r="825">
          <cell r="A825" t="str">
            <v>48008_1</v>
          </cell>
        </row>
        <row r="826">
          <cell r="A826" t="str">
            <v>48008_2</v>
          </cell>
        </row>
        <row r="827">
          <cell r="A827" t="str">
            <v>48009_1</v>
          </cell>
        </row>
        <row r="828">
          <cell r="A828" t="str">
            <v>48009_2</v>
          </cell>
        </row>
        <row r="829">
          <cell r="A829" t="str">
            <v>48010_1</v>
          </cell>
        </row>
        <row r="830">
          <cell r="A830" t="str">
            <v>48501_1</v>
          </cell>
        </row>
        <row r="831">
          <cell r="A831" t="str">
            <v>48501_2</v>
          </cell>
        </row>
        <row r="832">
          <cell r="A832" t="str">
            <v>49001_1</v>
          </cell>
        </row>
        <row r="833">
          <cell r="A833" t="str">
            <v>49002_1</v>
          </cell>
        </row>
        <row r="834">
          <cell r="A834" t="str">
            <v>49002_2</v>
          </cell>
        </row>
        <row r="835">
          <cell r="A835" t="str">
            <v>49003_1</v>
          </cell>
        </row>
        <row r="836">
          <cell r="A836" t="str">
            <v>49003_2</v>
          </cell>
        </row>
        <row r="837">
          <cell r="A837" t="str">
            <v>49004_1</v>
          </cell>
        </row>
        <row r="838">
          <cell r="A838" t="str">
            <v>49004_2</v>
          </cell>
        </row>
        <row r="839">
          <cell r="A839" t="str">
            <v>49004_3</v>
          </cell>
        </row>
        <row r="840">
          <cell r="A840" t="str">
            <v>49005_1</v>
          </cell>
        </row>
        <row r="841">
          <cell r="A841" t="str">
            <v>49006_1</v>
          </cell>
        </row>
        <row r="842">
          <cell r="A842" t="str">
            <v>49006_2</v>
          </cell>
        </row>
        <row r="843">
          <cell r="A843" t="str">
            <v>49007_1</v>
          </cell>
        </row>
        <row r="844">
          <cell r="A844" t="str">
            <v>49007_2</v>
          </cell>
        </row>
        <row r="845">
          <cell r="A845" t="str">
            <v>49007_3</v>
          </cell>
        </row>
        <row r="846">
          <cell r="A846" t="str">
            <v>49008_1</v>
          </cell>
        </row>
        <row r="847">
          <cell r="A847" t="str">
            <v>49009_1</v>
          </cell>
        </row>
        <row r="848">
          <cell r="A848" t="str">
            <v>49010_1</v>
          </cell>
        </row>
        <row r="849">
          <cell r="A849" t="str">
            <v>49011_1</v>
          </cell>
        </row>
        <row r="850">
          <cell r="A850" t="str">
            <v>49012_1</v>
          </cell>
        </row>
        <row r="851">
          <cell r="A851" t="str">
            <v>49013_1</v>
          </cell>
        </row>
        <row r="852">
          <cell r="A852" t="str">
            <v>50001_1</v>
          </cell>
        </row>
        <row r="853">
          <cell r="A853" t="str">
            <v>50002_1</v>
          </cell>
        </row>
        <row r="854">
          <cell r="A854" t="str">
            <v>50003_1</v>
          </cell>
        </row>
        <row r="855">
          <cell r="A855" t="str">
            <v>50004_1</v>
          </cell>
        </row>
        <row r="856">
          <cell r="A856" t="str">
            <v>50005_1</v>
          </cell>
        </row>
        <row r="857">
          <cell r="A857" t="str">
            <v>50006_1</v>
          </cell>
        </row>
        <row r="858">
          <cell r="A858" t="str">
            <v>50007_1</v>
          </cell>
        </row>
        <row r="859">
          <cell r="A859" t="str">
            <v>50008_1</v>
          </cell>
        </row>
        <row r="860">
          <cell r="A860" t="str">
            <v>50009_1</v>
          </cell>
        </row>
        <row r="861">
          <cell r="A861" t="str">
            <v>50010_1</v>
          </cell>
        </row>
        <row r="862">
          <cell r="A862" t="str">
            <v>50011_1</v>
          </cell>
        </row>
        <row r="863">
          <cell r="A863" t="str">
            <v>50012_1</v>
          </cell>
        </row>
        <row r="864">
          <cell r="A864" t="str">
            <v>50013_1</v>
          </cell>
        </row>
        <row r="865">
          <cell r="A865" t="str">
            <v>51001_1</v>
          </cell>
        </row>
        <row r="866">
          <cell r="A866" t="str">
            <v>51002_1</v>
          </cell>
        </row>
        <row r="867">
          <cell r="A867" t="str">
            <v>59001_1</v>
          </cell>
        </row>
        <row r="868">
          <cell r="A868" t="str">
            <v>60001_1</v>
          </cell>
        </row>
        <row r="869">
          <cell r="A869" t="str">
            <v>60002_1</v>
          </cell>
        </row>
        <row r="870">
          <cell r="A870" t="str">
            <v>60002_2</v>
          </cell>
        </row>
        <row r="871">
          <cell r="A871" t="str">
            <v>60003_1</v>
          </cell>
        </row>
        <row r="872">
          <cell r="A872" t="str">
            <v>60003_2</v>
          </cell>
        </row>
        <row r="873">
          <cell r="A873" t="str">
            <v>60003_3</v>
          </cell>
        </row>
        <row r="874">
          <cell r="A874" t="str">
            <v>60004_1</v>
          </cell>
        </row>
        <row r="875">
          <cell r="A875" t="str">
            <v>60005_1</v>
          </cell>
        </row>
        <row r="876">
          <cell r="A876" t="str">
            <v>60006_1</v>
          </cell>
        </row>
        <row r="877">
          <cell r="A877" t="str">
            <v>60006_2</v>
          </cell>
        </row>
        <row r="878">
          <cell r="A878" t="str">
            <v>60006_3</v>
          </cell>
        </row>
        <row r="879">
          <cell r="A879" t="str">
            <v>60007_1</v>
          </cell>
        </row>
        <row r="880">
          <cell r="A880" t="str">
            <v>60007_2</v>
          </cell>
        </row>
        <row r="881">
          <cell r="A881" t="str">
            <v>60007_3</v>
          </cell>
        </row>
        <row r="882">
          <cell r="A882" t="str">
            <v>60010_1</v>
          </cell>
        </row>
        <row r="883">
          <cell r="A883" t="str">
            <v>60011_1</v>
          </cell>
        </row>
        <row r="884">
          <cell r="A884" t="str">
            <v>60011_2</v>
          </cell>
        </row>
        <row r="885">
          <cell r="A885" t="str">
            <v>60012_1</v>
          </cell>
        </row>
        <row r="886">
          <cell r="A886" t="str">
            <v>60013_1</v>
          </cell>
        </row>
        <row r="887">
          <cell r="A887" t="str">
            <v>60013_2</v>
          </cell>
        </row>
        <row r="888">
          <cell r="A888" t="str">
            <v>60013_3</v>
          </cell>
        </row>
        <row r="889">
          <cell r="A889" t="str">
            <v>60014_1</v>
          </cell>
        </row>
        <row r="890">
          <cell r="A890" t="str">
            <v>60015_1</v>
          </cell>
        </row>
        <row r="891">
          <cell r="A891" t="str">
            <v>60016_1</v>
          </cell>
        </row>
        <row r="892">
          <cell r="A892" t="str">
            <v>60017_1</v>
          </cell>
        </row>
        <row r="893">
          <cell r="A893" t="str">
            <v>60018_1</v>
          </cell>
        </row>
        <row r="894">
          <cell r="A894" t="str">
            <v>60019_1</v>
          </cell>
        </row>
        <row r="895">
          <cell r="A895" t="str">
            <v>60020_1</v>
          </cell>
        </row>
        <row r="896">
          <cell r="A896" t="str">
            <v>60021_3</v>
          </cell>
        </row>
        <row r="897">
          <cell r="A897" t="str">
            <v>60022_3</v>
          </cell>
        </row>
        <row r="898">
          <cell r="A898" t="str">
            <v>60023_3</v>
          </cell>
        </row>
        <row r="899">
          <cell r="A899" t="str">
            <v>60024_3</v>
          </cell>
        </row>
        <row r="900">
          <cell r="A900" t="str">
            <v>60025_1</v>
          </cell>
        </row>
        <row r="901">
          <cell r="A901" t="str">
            <v>60026_1</v>
          </cell>
        </row>
        <row r="902">
          <cell r="A902" t="str">
            <v>61011_1</v>
          </cell>
        </row>
        <row r="903">
          <cell r="A903" t="str">
            <v>60027_1</v>
          </cell>
        </row>
        <row r="904">
          <cell r="A904" t="str">
            <v>65525_1</v>
          </cell>
        </row>
        <row r="905">
          <cell r="A905" t="str">
            <v>65526_1</v>
          </cell>
        </row>
        <row r="906">
          <cell r="A906" t="str">
            <v>65527_1</v>
          </cell>
        </row>
        <row r="907">
          <cell r="A907" t="str">
            <v>65529_1</v>
          </cell>
        </row>
        <row r="908">
          <cell r="A908" t="str">
            <v>65530_1</v>
          </cell>
        </row>
        <row r="909">
          <cell r="A909" t="str">
            <v>65531_1</v>
          </cell>
        </row>
        <row r="910">
          <cell r="A910" t="str">
            <v>65531_2</v>
          </cell>
        </row>
        <row r="911">
          <cell r="A911" t="str">
            <v>65532_1</v>
          </cell>
        </row>
        <row r="912">
          <cell r="A912" t="str">
            <v>65532_2</v>
          </cell>
        </row>
        <row r="913">
          <cell r="A913" t="str">
            <v>65533_1</v>
          </cell>
        </row>
        <row r="914">
          <cell r="A914" t="str">
            <v>65533_2</v>
          </cell>
        </row>
        <row r="915">
          <cell r="A915" t="str">
            <v>65534_1</v>
          </cell>
        </row>
        <row r="916">
          <cell r="A916" t="str">
            <v>65535_1</v>
          </cell>
        </row>
        <row r="917">
          <cell r="A917" t="str">
            <v>65535_2</v>
          </cell>
        </row>
        <row r="918">
          <cell r="A918" t="str">
            <v>65535_3</v>
          </cell>
        </row>
        <row r="919">
          <cell r="A919" t="str">
            <v>65535_4</v>
          </cell>
        </row>
        <row r="920">
          <cell r="A920" t="str">
            <v>65535_5</v>
          </cell>
        </row>
        <row r="921">
          <cell r="A921" t="str">
            <v>65535_6</v>
          </cell>
        </row>
        <row r="922">
          <cell r="A922" t="str">
            <v>65535_7</v>
          </cell>
        </row>
        <row r="923">
          <cell r="A923" t="str">
            <v>65535_8</v>
          </cell>
        </row>
        <row r="924">
          <cell r="A924" t="str">
            <v>65535_9</v>
          </cell>
        </row>
        <row r="925">
          <cell r="A92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14" sqref="E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35" t="s">
        <v>128</v>
      </c>
      <c r="B1" s="30" t="s">
        <v>99</v>
      </c>
      <c r="C1" s="30" t="s">
        <v>100</v>
      </c>
      <c r="D1" s="30" t="s">
        <v>101</v>
      </c>
      <c r="E1" s="30" t="s">
        <v>102</v>
      </c>
      <c r="F1" s="30" t="s">
        <v>103</v>
      </c>
      <c r="G1" s="30" t="s">
        <v>104</v>
      </c>
      <c r="H1" s="30"/>
      <c r="I1" s="30"/>
      <c r="J1" s="30"/>
      <c r="K1" s="30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</row>
    <row r="2" spans="1:30" x14ac:dyDescent="0.15">
      <c r="A2" s="36" t="s">
        <v>362</v>
      </c>
      <c r="B2" s="32" t="s">
        <v>105</v>
      </c>
      <c r="C2" s="37">
        <v>49013</v>
      </c>
      <c r="D2" s="32" t="s">
        <v>106</v>
      </c>
      <c r="E2" s="31" t="str">
        <f>B2&amp;C2&amp;D2</f>
        <v>floors_49013.tmp</v>
      </c>
      <c r="F2" s="32" t="s">
        <v>107</v>
      </c>
      <c r="G2" s="33" t="s">
        <v>0</v>
      </c>
      <c r="H2" s="33" t="s">
        <v>1</v>
      </c>
      <c r="I2" s="33" t="s">
        <v>13</v>
      </c>
      <c r="J2" s="33" t="s">
        <v>14</v>
      </c>
      <c r="K2" s="33" t="s">
        <v>15</v>
      </c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x14ac:dyDescent="0.15">
      <c r="A3" s="36" t="s">
        <v>362</v>
      </c>
      <c r="B3" s="32" t="s">
        <v>108</v>
      </c>
      <c r="C3" s="37">
        <v>49013</v>
      </c>
      <c r="D3" s="32" t="s">
        <v>106</v>
      </c>
      <c r="E3" s="31" t="str">
        <f>B3&amp;C3&amp;D3</f>
        <v>enemy_habitats_49013.tmp</v>
      </c>
      <c r="F3" s="32" t="s">
        <v>109</v>
      </c>
      <c r="G3" s="33" t="s">
        <v>0</v>
      </c>
      <c r="H3" s="33" t="s">
        <v>1</v>
      </c>
      <c r="I3" s="33" t="s">
        <v>13</v>
      </c>
      <c r="J3" s="33" t="s">
        <v>2</v>
      </c>
      <c r="K3" s="33" t="s">
        <v>3</v>
      </c>
      <c r="L3" s="33" t="s">
        <v>47</v>
      </c>
      <c r="M3" s="33" t="s">
        <v>49</v>
      </c>
      <c r="N3" s="33" t="s">
        <v>51</v>
      </c>
      <c r="O3" s="33" t="s">
        <v>22</v>
      </c>
      <c r="P3" s="33" t="s">
        <v>5</v>
      </c>
      <c r="Q3" s="33" t="s">
        <v>6</v>
      </c>
      <c r="R3" s="33" t="s">
        <v>7</v>
      </c>
      <c r="S3" s="33" t="s">
        <v>8</v>
      </c>
      <c r="T3" s="33" t="s">
        <v>9</v>
      </c>
      <c r="U3" s="33" t="s">
        <v>10</v>
      </c>
      <c r="V3" s="33" t="s">
        <v>11</v>
      </c>
      <c r="W3" s="33" t="s">
        <v>12</v>
      </c>
      <c r="X3" s="33" t="s">
        <v>37</v>
      </c>
      <c r="Y3" s="33" t="s">
        <v>39</v>
      </c>
      <c r="Z3" s="33" t="s">
        <v>41</v>
      </c>
      <c r="AA3" s="33" t="s">
        <v>43</v>
      </c>
      <c r="AB3" s="33" t="s">
        <v>45</v>
      </c>
      <c r="AC3" s="33" t="s">
        <v>54</v>
      </c>
      <c r="AD3" s="33" t="s">
        <v>175</v>
      </c>
    </row>
    <row r="4" spans="1:30" x14ac:dyDescent="0.15">
      <c r="A4" s="36" t="s">
        <v>362</v>
      </c>
      <c r="B4" s="32" t="s">
        <v>110</v>
      </c>
      <c r="C4" s="37">
        <v>49013</v>
      </c>
      <c r="D4" s="32" t="s">
        <v>106</v>
      </c>
      <c r="E4" s="31" t="str">
        <f>B4&amp;C4&amp;D4</f>
        <v>enemy_habitat_S_49013.tmp</v>
      </c>
      <c r="F4" s="32" t="s">
        <v>111</v>
      </c>
      <c r="G4" s="33" t="s">
        <v>0</v>
      </c>
      <c r="H4" s="33" t="s">
        <v>1</v>
      </c>
      <c r="I4" s="33" t="s">
        <v>13</v>
      </c>
      <c r="J4" s="33" t="s">
        <v>54</v>
      </c>
      <c r="K4" s="33" t="s">
        <v>55</v>
      </c>
      <c r="L4" s="33" t="s">
        <v>56</v>
      </c>
      <c r="M4" s="33" t="s">
        <v>57</v>
      </c>
      <c r="N4" s="33" t="s">
        <v>58</v>
      </c>
      <c r="O4" s="33" t="s">
        <v>59</v>
      </c>
      <c r="P4" s="33" t="s">
        <v>48</v>
      </c>
      <c r="Q4" s="33" t="s">
        <v>50</v>
      </c>
      <c r="R4" s="33" t="s">
        <v>52</v>
      </c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x14ac:dyDescent="0.15">
      <c r="A5" s="36" t="s">
        <v>362</v>
      </c>
      <c r="B5" s="32" t="s">
        <v>112</v>
      </c>
      <c r="C5" s="37">
        <v>49013</v>
      </c>
      <c r="D5" s="32" t="s">
        <v>106</v>
      </c>
      <c r="E5" s="31" t="str">
        <f>B5&amp;C5&amp;D5</f>
        <v>enemy_skill_sets_49013.tmp</v>
      </c>
      <c r="F5" s="32" t="s">
        <v>113</v>
      </c>
      <c r="G5" s="34" t="s">
        <v>22</v>
      </c>
      <c r="H5" s="34" t="s">
        <v>98</v>
      </c>
      <c r="I5" s="34" t="s">
        <v>93</v>
      </c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x14ac:dyDescent="0.15">
      <c r="A6" s="36" t="s">
        <v>362</v>
      </c>
      <c r="B6" s="32" t="s">
        <v>114</v>
      </c>
      <c r="C6" s="37">
        <v>49013</v>
      </c>
      <c r="D6" s="32" t="s">
        <v>115</v>
      </c>
      <c r="E6" s="31" t="str">
        <f t="shared" ref="E6:E10" si="0">B6&amp;C6&amp;D6</f>
        <v>enemy_skills_tmp_49013.tmp</v>
      </c>
      <c r="F6" s="32" t="s">
        <v>89</v>
      </c>
      <c r="G6" s="33" t="s">
        <v>79</v>
      </c>
      <c r="H6" s="33" t="s">
        <v>80</v>
      </c>
      <c r="I6" s="33" t="s">
        <v>81</v>
      </c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x14ac:dyDescent="0.15">
      <c r="A7" s="36" t="s">
        <v>362</v>
      </c>
      <c r="B7" s="32" t="s">
        <v>116</v>
      </c>
      <c r="C7" s="37">
        <v>49013</v>
      </c>
      <c r="D7" s="32" t="s">
        <v>106</v>
      </c>
      <c r="E7" s="31" t="str">
        <f>B7&amp;C7&amp;D7</f>
        <v>enemy_skills_i18n_49013.tmp</v>
      </c>
      <c r="F7" s="32" t="s">
        <v>117</v>
      </c>
      <c r="G7" s="33" t="s">
        <v>79</v>
      </c>
      <c r="H7" s="33" t="s">
        <v>90</v>
      </c>
      <c r="I7" s="33" t="s">
        <v>91</v>
      </c>
      <c r="J7" s="33" t="s">
        <v>92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x14ac:dyDescent="0.15">
      <c r="A8" s="36" t="s">
        <v>362</v>
      </c>
      <c r="B8" s="32" t="s">
        <v>118</v>
      </c>
      <c r="C8" s="37">
        <v>49013</v>
      </c>
      <c r="D8" s="32" t="s">
        <v>119</v>
      </c>
      <c r="E8" s="31" t="str">
        <f t="shared" si="0"/>
        <v>enemy_skill_triggers_49013.tmp</v>
      </c>
      <c r="F8" s="32" t="s">
        <v>120</v>
      </c>
      <c r="G8" s="33" t="s">
        <v>93</v>
      </c>
      <c r="H8" s="33" t="s">
        <v>94</v>
      </c>
      <c r="I8" s="33" t="s">
        <v>95</v>
      </c>
      <c r="J8" s="33" t="s">
        <v>96</v>
      </c>
      <c r="K8" s="33" t="s">
        <v>121</v>
      </c>
      <c r="L8" s="33" t="s">
        <v>97</v>
      </c>
      <c r="M8" s="33" t="s">
        <v>122</v>
      </c>
      <c r="N8" s="33" t="s">
        <v>123</v>
      </c>
      <c r="O8" s="33" t="s">
        <v>124</v>
      </c>
      <c r="P8" s="33" t="s">
        <v>67</v>
      </c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x14ac:dyDescent="0.15">
      <c r="A9" s="36" t="s">
        <v>362</v>
      </c>
      <c r="B9" s="42" t="s">
        <v>174</v>
      </c>
      <c r="C9" s="37">
        <v>49013</v>
      </c>
      <c r="D9" s="42" t="s">
        <v>168</v>
      </c>
      <c r="E9" s="43" t="str">
        <f t="shared" si="0"/>
        <v>stage_bug_bonuses_49013.tmp</v>
      </c>
      <c r="F9" s="42" t="s">
        <v>169</v>
      </c>
      <c r="G9" s="39" t="s">
        <v>148</v>
      </c>
      <c r="H9" s="39" t="s">
        <v>170</v>
      </c>
      <c r="I9" s="39" t="s">
        <v>171</v>
      </c>
      <c r="J9" s="41" t="s">
        <v>172</v>
      </c>
      <c r="K9" s="39" t="s">
        <v>173</v>
      </c>
      <c r="L9" s="39" t="s">
        <v>154</v>
      </c>
      <c r="M9" s="39" t="s">
        <v>155</v>
      </c>
      <c r="N9" s="39" t="s">
        <v>156</v>
      </c>
      <c r="O9" s="39" t="s">
        <v>157</v>
      </c>
      <c r="P9" s="39" t="s">
        <v>158</v>
      </c>
      <c r="Q9" s="39" t="s">
        <v>159</v>
      </c>
      <c r="R9" s="39" t="s">
        <v>160</v>
      </c>
      <c r="S9" s="39" t="s">
        <v>161</v>
      </c>
      <c r="T9" s="39" t="s">
        <v>162</v>
      </c>
      <c r="U9" s="39" t="s">
        <v>163</v>
      </c>
      <c r="V9" s="39" t="s">
        <v>164</v>
      </c>
      <c r="W9" s="39" t="s">
        <v>165</v>
      </c>
      <c r="X9" s="32"/>
      <c r="Y9" s="32"/>
      <c r="Z9" s="32"/>
      <c r="AA9" s="32"/>
      <c r="AB9" s="32"/>
      <c r="AC9" s="32"/>
      <c r="AD9" s="32"/>
    </row>
    <row r="10" spans="1:30" s="48" customFormat="1" x14ac:dyDescent="0.15">
      <c r="A10" s="36" t="s">
        <v>362</v>
      </c>
      <c r="B10" s="42" t="s">
        <v>198</v>
      </c>
      <c r="C10" s="37">
        <v>49013</v>
      </c>
      <c r="D10" s="42" t="s">
        <v>177</v>
      </c>
      <c r="E10" s="43" t="str">
        <f t="shared" si="0"/>
        <v>stage_hints_data_c_49013.tmp</v>
      </c>
      <c r="F10" s="42" t="s">
        <v>206</v>
      </c>
      <c r="G10" s="46" t="s">
        <v>178</v>
      </c>
      <c r="H10" s="46" t="s">
        <v>170</v>
      </c>
      <c r="I10" s="47" t="s">
        <v>179</v>
      </c>
      <c r="J10" s="41" t="s">
        <v>180</v>
      </c>
      <c r="K10" s="41" t="s">
        <v>181</v>
      </c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</row>
    <row r="11" spans="1:30" s="48" customFormat="1" x14ac:dyDescent="0.15">
      <c r="A11" s="36" t="s">
        <v>362</v>
      </c>
      <c r="B11" s="42" t="s">
        <v>199</v>
      </c>
      <c r="C11" s="37">
        <v>49013</v>
      </c>
      <c r="D11" s="42" t="s">
        <v>168</v>
      </c>
      <c r="E11" s="43" t="str">
        <f t="shared" ref="E11:E13" si="1">B11&amp;C11&amp;D11</f>
        <v>stage_hints_data_f_49013.tmp</v>
      </c>
      <c r="F11" s="42" t="s">
        <v>208</v>
      </c>
      <c r="G11" s="46" t="s">
        <v>178</v>
      </c>
      <c r="H11" s="46" t="s">
        <v>170</v>
      </c>
      <c r="I11" s="47" t="s">
        <v>179</v>
      </c>
      <c r="J11" s="41" t="s">
        <v>180</v>
      </c>
      <c r="K11" s="41" t="s">
        <v>181</v>
      </c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</row>
    <row r="12" spans="1:30" s="48" customFormat="1" x14ac:dyDescent="0.15">
      <c r="A12" s="154" t="s">
        <v>362</v>
      </c>
      <c r="B12" s="42" t="s">
        <v>200</v>
      </c>
      <c r="C12" s="37">
        <v>49013</v>
      </c>
      <c r="D12" s="42" t="s">
        <v>168</v>
      </c>
      <c r="E12" s="43" t="str">
        <f t="shared" si="1"/>
        <v>stage_hints_i18n_49013.tmp</v>
      </c>
      <c r="F12" s="42" t="s">
        <v>209</v>
      </c>
      <c r="G12" s="47" t="s">
        <v>201</v>
      </c>
      <c r="H12" s="68" t="s">
        <v>202</v>
      </c>
      <c r="I12" s="46" t="s">
        <v>203</v>
      </c>
      <c r="J12" s="76" t="s">
        <v>204</v>
      </c>
      <c r="K12" s="41" t="s">
        <v>205</v>
      </c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</row>
    <row r="13" spans="1:30" s="48" customFormat="1" x14ac:dyDescent="0.15">
      <c r="A13" s="154" t="s">
        <v>362</v>
      </c>
      <c r="B13" s="42" t="s">
        <v>248</v>
      </c>
      <c r="C13" s="37">
        <v>49013</v>
      </c>
      <c r="D13" s="42" t="s">
        <v>229</v>
      </c>
      <c r="E13" s="43" t="str">
        <f t="shared" si="1"/>
        <v>stage_bonuses_49013.tmp</v>
      </c>
      <c r="F13" s="42" t="s">
        <v>228</v>
      </c>
      <c r="G13" s="46" t="s">
        <v>230</v>
      </c>
      <c r="H13" s="46" t="s">
        <v>231</v>
      </c>
      <c r="I13" s="46" t="s">
        <v>232</v>
      </c>
      <c r="J13" s="46" t="s">
        <v>233</v>
      </c>
      <c r="K13" s="46" t="s">
        <v>234</v>
      </c>
      <c r="L13" s="46" t="s">
        <v>235</v>
      </c>
      <c r="M13" s="46" t="s">
        <v>236</v>
      </c>
      <c r="N13" s="46" t="s">
        <v>237</v>
      </c>
      <c r="O13" s="46" t="s">
        <v>238</v>
      </c>
      <c r="P13" s="46" t="s">
        <v>239</v>
      </c>
      <c r="Q13" s="46" t="s">
        <v>240</v>
      </c>
      <c r="R13" s="46" t="s">
        <v>241</v>
      </c>
      <c r="S13" s="46" t="s">
        <v>242</v>
      </c>
      <c r="T13" s="46" t="s">
        <v>243</v>
      </c>
      <c r="U13" s="46" t="s">
        <v>244</v>
      </c>
      <c r="V13" s="46" t="s">
        <v>245</v>
      </c>
      <c r="W13" s="46" t="s">
        <v>246</v>
      </c>
      <c r="X13" s="46" t="s">
        <v>247</v>
      </c>
      <c r="Y13" s="75"/>
      <c r="Z13" s="75"/>
      <c r="AA13" s="75"/>
      <c r="AB13" s="75"/>
      <c r="AC13" s="75"/>
      <c r="AD13" s="75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I2" sqref="I2"/>
    </sheetView>
  </sheetViews>
  <sheetFormatPr baseColWidth="12" defaultColWidth="13" defaultRowHeight="21" customHeight="1" outlineLevelCol="1" x14ac:dyDescent="0.15"/>
  <cols>
    <col min="1" max="1" width="8.83203125" style="11" bestFit="1" customWidth="1"/>
    <col min="2" max="2" width="5" style="11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1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thickBot="1" x14ac:dyDescent="0.2">
      <c r="A1" s="9" t="s">
        <v>30</v>
      </c>
      <c r="B1" s="9" t="s">
        <v>36</v>
      </c>
      <c r="C1" s="1" t="s">
        <v>0</v>
      </c>
      <c r="D1" s="2" t="s">
        <v>18</v>
      </c>
      <c r="E1" s="8" t="s">
        <v>33</v>
      </c>
      <c r="F1" s="1" t="s">
        <v>1</v>
      </c>
      <c r="G1" s="12" t="s">
        <v>32</v>
      </c>
      <c r="H1" s="8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79" t="str">
        <f>G2&amp;"-"&amp;I2</f>
        <v>49013_1-1</v>
      </c>
      <c r="B2" s="80" t="str">
        <f>IF(COUNTIF(enemy_habitats!$H:$H,A2),"OK","NG")</f>
        <v>OK</v>
      </c>
      <c r="C2" s="81">
        <v>49013</v>
      </c>
      <c r="D2" s="82" t="str">
        <f ca="1">VLOOKUP($C2,OFFSET([2]quests!$A$1,0,0,COUNTA([2]quests!$A:$A),MATCH(D$1,[2]quests!$1:$1,0)-MATCH($C$1,[2]quests!$1:$1,0)+1),MATCH(D$1,[2]quests!$1:$1,0)-MATCH($C$1,[2]quests!$1:$1,0)+1,FALSE)</f>
        <v>折原臨也襲来！</v>
      </c>
      <c r="E2" s="82" t="str">
        <f ca="1">VLOOKUP($C2,OFFSET([2]quests!$A$1,0,0,COUNTA([2]quests!$A:$A),MATCH(E$1,[2]quests!$1:$1,0)-MATCH($C$1,[2]quests!$1:$1,0)+1),MATCH(E$1,[2]quests!$1:$1,0)-MATCH($C$1,[2]quests!$1:$1,0)+1,FALSE)</f>
        <v>コラボ降臨3（復刻）</v>
      </c>
      <c r="F2" s="83">
        <v>1</v>
      </c>
      <c r="G2" s="84" t="str">
        <f>C2&amp;"_"&amp;F2</f>
        <v>49013_1</v>
      </c>
      <c r="H2" s="85" t="str">
        <f ca="1">VLOOKUP($G2,OFFSET([2]stages!$A$1,0,0,COUNTA([2]stages!$A:$A),MATCH(H$1,[2]stages!$2:$2,0)-MATCH($G$1,[2]stages!$2:$2,0)+1),MATCH(H$1,[2]stages!$2:$2,0)-MATCH($G$1,[2]stages!$2:$2,0)+1,FALSE)</f>
        <v>【ウィザード級】折原臨也襲来</v>
      </c>
      <c r="I2" s="83">
        <v>1</v>
      </c>
      <c r="J2" s="86">
        <v>60</v>
      </c>
      <c r="K2" s="86">
        <v>60</v>
      </c>
    </row>
    <row r="3" spans="1:11" ht="21" customHeight="1" x14ac:dyDescent="0.15">
      <c r="A3" s="87" t="str">
        <f t="shared" ref="A3:A5" si="0">G3&amp;"-"&amp;I3</f>
        <v>49013_1-2</v>
      </c>
      <c r="B3" s="88" t="str">
        <f>IF(COUNTIF(enemy_habitats!$H:$H,A3),"OK","NG")</f>
        <v>OK</v>
      </c>
      <c r="C3" s="89">
        <v>49013</v>
      </c>
      <c r="D3" s="10" t="str">
        <f ca="1">VLOOKUP($C3,OFFSET([2]quests!$A$1,0,0,COUNTA([2]quests!$A:$A),MATCH(D$1,[2]quests!$1:$1,0)-MATCH($C$1,[2]quests!$1:$1,0)+1),MATCH(D$1,[2]quests!$1:$1,0)-MATCH($C$1,[2]quests!$1:$1,0)+1,FALSE)</f>
        <v>折原臨也襲来！</v>
      </c>
      <c r="E3" s="10" t="str">
        <f ca="1">VLOOKUP($C3,OFFSET([2]quests!$A$1,0,0,COUNTA([2]quests!$A:$A),MATCH(E$1,[2]quests!$1:$1,0)-MATCH($C$1,[2]quests!$1:$1,0)+1),MATCH(E$1,[2]quests!$1:$1,0)-MATCH($C$1,[2]quests!$1:$1,0)+1,FALSE)</f>
        <v>コラボ降臨3（復刻）</v>
      </c>
      <c r="F3" s="90">
        <v>1</v>
      </c>
      <c r="G3" s="12" t="str">
        <f t="shared" ref="G3:G5" si="1">C3&amp;"_"&amp;F3</f>
        <v>49013_1</v>
      </c>
      <c r="H3" s="8" t="str">
        <f ca="1">VLOOKUP($G3,OFFSET([2]stages!$A$1,0,0,COUNTA([2]stages!$A:$A),MATCH(H$1,[2]stages!$2:$2,0)-MATCH($G$1,[2]stages!$2:$2,0)+1),MATCH(H$1,[2]stages!$2:$2,0)-MATCH($G$1,[2]stages!$2:$2,0)+1,FALSE)</f>
        <v>【ウィザード級】折原臨也襲来</v>
      </c>
      <c r="I3" s="90">
        <v>2</v>
      </c>
      <c r="J3" s="14">
        <v>60</v>
      </c>
      <c r="K3" s="14">
        <v>60</v>
      </c>
    </row>
    <row r="4" spans="1:11" ht="21" customHeight="1" x14ac:dyDescent="0.15">
      <c r="A4" s="87" t="str">
        <f t="shared" si="0"/>
        <v>49013_1-3</v>
      </c>
      <c r="B4" s="88" t="str">
        <f>IF(COUNTIF(enemy_habitats!$H:$H,A4),"OK","NG")</f>
        <v>OK</v>
      </c>
      <c r="C4" s="89">
        <v>49013</v>
      </c>
      <c r="D4" s="10" t="str">
        <f ca="1">VLOOKUP($C4,OFFSET([2]quests!$A$1,0,0,COUNTA([2]quests!$A:$A),MATCH(D$1,[2]quests!$1:$1,0)-MATCH($C$1,[2]quests!$1:$1,0)+1),MATCH(D$1,[2]quests!$1:$1,0)-MATCH($C$1,[2]quests!$1:$1,0)+1,FALSE)</f>
        <v>折原臨也襲来！</v>
      </c>
      <c r="E4" s="10" t="str">
        <f ca="1">VLOOKUP($C4,OFFSET([2]quests!$A$1,0,0,COUNTA([2]quests!$A:$A),MATCH(E$1,[2]quests!$1:$1,0)-MATCH($C$1,[2]quests!$1:$1,0)+1),MATCH(E$1,[2]quests!$1:$1,0)-MATCH($C$1,[2]quests!$1:$1,0)+1,FALSE)</f>
        <v>コラボ降臨3（復刻）</v>
      </c>
      <c r="F4" s="90">
        <v>1</v>
      </c>
      <c r="G4" s="12" t="str">
        <f t="shared" si="1"/>
        <v>49013_1</v>
      </c>
      <c r="H4" s="8" t="str">
        <f ca="1">VLOOKUP($G4,OFFSET([2]stages!$A$1,0,0,COUNTA([2]stages!$A:$A),MATCH(H$1,[2]stages!$2:$2,0)-MATCH($G$1,[2]stages!$2:$2,0)+1),MATCH(H$1,[2]stages!$2:$2,0)-MATCH($G$1,[2]stages!$2:$2,0)+1,FALSE)</f>
        <v>【ウィザード級】折原臨也襲来</v>
      </c>
      <c r="I4" s="90">
        <v>3</v>
      </c>
      <c r="J4" s="14">
        <v>60</v>
      </c>
      <c r="K4" s="14">
        <v>60</v>
      </c>
    </row>
    <row r="5" spans="1:11" ht="21" customHeight="1" thickBot="1" x14ac:dyDescent="0.2">
      <c r="A5" s="91" t="str">
        <f t="shared" si="0"/>
        <v>49013_1-4</v>
      </c>
      <c r="B5" s="92" t="str">
        <f>IF(COUNTIF(enemy_habitats!$H:$H,A5),"OK","NG")</f>
        <v>OK</v>
      </c>
      <c r="C5" s="93">
        <v>49013</v>
      </c>
      <c r="D5" s="94" t="str">
        <f ca="1">VLOOKUP($C5,OFFSET([2]quests!$A$1,0,0,COUNTA([2]quests!$A:$A),MATCH(D$1,[2]quests!$1:$1,0)-MATCH($C$1,[2]quests!$1:$1,0)+1),MATCH(D$1,[2]quests!$1:$1,0)-MATCH($C$1,[2]quests!$1:$1,0)+1,FALSE)</f>
        <v>折原臨也襲来！</v>
      </c>
      <c r="E5" s="94" t="str">
        <f ca="1">VLOOKUP($C5,OFFSET([2]quests!$A$1,0,0,COUNTA([2]quests!$A:$A),MATCH(E$1,[2]quests!$1:$1,0)-MATCH($C$1,[2]quests!$1:$1,0)+1),MATCH(E$1,[2]quests!$1:$1,0)-MATCH($C$1,[2]quests!$1:$1,0)+1,FALSE)</f>
        <v>コラボ降臨3（復刻）</v>
      </c>
      <c r="F5" s="95">
        <v>1</v>
      </c>
      <c r="G5" s="96" t="str">
        <f t="shared" si="1"/>
        <v>49013_1</v>
      </c>
      <c r="H5" s="97" t="str">
        <f ca="1">VLOOKUP($G5,OFFSET([2]stages!$A$1,0,0,COUNTA([2]stages!$A:$A),MATCH(H$1,[2]stages!$2:$2,0)-MATCH($G$1,[2]stages!$2:$2,0)+1),MATCH(H$1,[2]stages!$2:$2,0)-MATCH($G$1,[2]stages!$2:$2,0)+1,FALSE)</f>
        <v>【ウィザード級】折原臨也襲来</v>
      </c>
      <c r="I5" s="95">
        <v>4</v>
      </c>
      <c r="J5" s="98">
        <v>60</v>
      </c>
      <c r="K5" s="98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6" sqref="R6"/>
    </sheetView>
  </sheetViews>
  <sheetFormatPr baseColWidth="12" defaultColWidth="13" defaultRowHeight="21" customHeight="1" outlineLevelCol="1" x14ac:dyDescent="0.15"/>
  <cols>
    <col min="1" max="1" width="15.83203125" style="11" bestFit="1" customWidth="1"/>
    <col min="2" max="2" width="10.83203125" style="3" bestFit="1" customWidth="1"/>
    <col min="3" max="3" width="10.6640625" style="3" bestFit="1" customWidth="1" collapsed="1"/>
    <col min="4" max="4" width="13" style="7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4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7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6" bestFit="1" customWidth="1" outlineLevel="1"/>
    <col min="32" max="32" width="8" style="7" bestFit="1" customWidth="1" outlineLevel="1"/>
    <col min="33" max="33" width="12" style="7" bestFit="1" customWidth="1" outlineLevel="1"/>
    <col min="34" max="34" width="15" style="5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13" customFormat="1" ht="21" customHeight="1" thickBot="1" x14ac:dyDescent="0.2">
      <c r="A1" s="120" t="s">
        <v>29</v>
      </c>
      <c r="B1" s="121" t="s">
        <v>0</v>
      </c>
      <c r="C1" s="121" t="s">
        <v>1</v>
      </c>
      <c r="D1" s="122" t="s">
        <v>28</v>
      </c>
      <c r="E1" s="122" t="s">
        <v>20</v>
      </c>
      <c r="F1" s="122" t="s">
        <v>20</v>
      </c>
      <c r="G1" s="121" t="s">
        <v>19</v>
      </c>
      <c r="H1" s="122" t="s">
        <v>35</v>
      </c>
      <c r="I1" s="122" t="s">
        <v>14</v>
      </c>
      <c r="J1" s="122" t="s">
        <v>15</v>
      </c>
      <c r="K1" s="123" t="s">
        <v>54</v>
      </c>
      <c r="L1" s="123" t="s">
        <v>2</v>
      </c>
      <c r="M1" s="122" t="s">
        <v>21</v>
      </c>
      <c r="N1" s="122" t="s">
        <v>24</v>
      </c>
      <c r="O1" s="122" t="s">
        <v>23</v>
      </c>
      <c r="P1" s="122" t="s">
        <v>26</v>
      </c>
      <c r="Q1" s="122" t="s">
        <v>25</v>
      </c>
      <c r="R1" s="121" t="s">
        <v>3</v>
      </c>
      <c r="S1" s="121" t="s">
        <v>48</v>
      </c>
      <c r="T1" s="124" t="s">
        <v>249</v>
      </c>
      <c r="U1" s="121" t="s">
        <v>50</v>
      </c>
      <c r="V1" s="124" t="s">
        <v>250</v>
      </c>
      <c r="W1" s="121" t="s">
        <v>52</v>
      </c>
      <c r="X1" s="122" t="s">
        <v>31</v>
      </c>
      <c r="Y1" s="121" t="s">
        <v>4</v>
      </c>
      <c r="Z1" s="121" t="s">
        <v>5</v>
      </c>
      <c r="AA1" s="121" t="s">
        <v>6</v>
      </c>
      <c r="AB1" s="121" t="s">
        <v>7</v>
      </c>
      <c r="AC1" s="121" t="s">
        <v>8</v>
      </c>
      <c r="AD1" s="121" t="s">
        <v>9</v>
      </c>
      <c r="AE1" s="125" t="s">
        <v>16</v>
      </c>
      <c r="AF1" s="125" t="s">
        <v>17</v>
      </c>
      <c r="AG1" s="125" t="s">
        <v>27</v>
      </c>
      <c r="AH1" s="121" t="s">
        <v>10</v>
      </c>
      <c r="AI1" s="121" t="s">
        <v>11</v>
      </c>
      <c r="AJ1" s="121" t="s">
        <v>12</v>
      </c>
      <c r="AK1" s="121" t="s">
        <v>38</v>
      </c>
      <c r="AL1" s="121" t="s">
        <v>40</v>
      </c>
      <c r="AM1" s="121" t="s">
        <v>42</v>
      </c>
      <c r="AN1" s="121" t="s">
        <v>44</v>
      </c>
      <c r="AO1" s="121" t="s">
        <v>46</v>
      </c>
      <c r="AP1" s="123" t="s">
        <v>176</v>
      </c>
    </row>
    <row r="2" spans="1:42" ht="21" customHeight="1" x14ac:dyDescent="0.15">
      <c r="A2" s="106" t="str">
        <f>B2&amp;"_"&amp;C2&amp;"-"&amp;G2&amp;"/"&amp;L2&amp;"&lt;lv"&amp;R2&amp;"&gt;s"&amp;AC2</f>
        <v>49013_1-1/697&lt;lv75&gt;s1</v>
      </c>
      <c r="B2" s="107">
        <v>49013</v>
      </c>
      <c r="C2" s="108">
        <v>1</v>
      </c>
      <c r="D2" s="109" t="str">
        <f>B2&amp;"_"&amp;C2</f>
        <v>49013_1</v>
      </c>
      <c r="E2" s="110" t="str">
        <f ca="1">VLOOKUP($B2,OFFSET([2]quests!$A$1,0,0,COUNTA([2]quests!$A:$A),MATCH(E$1,[2]quests!$1:$1,0)-MATCH($B$1,[2]quests!$1:$1,0)+1),MATCH(E$1,[2]quests!$1:$1,0)-MATCH($B$1,[2]quests!$1:$1,0)+1,FALSE)</f>
        <v>折原臨也襲来！</v>
      </c>
      <c r="F2" s="110" t="str">
        <f ca="1">VLOOKUP($D2,OFFSET([2]stages!$A$1,0,0,COUNTA([2]stages!$A:$A),MATCH(F$1,[2]stages!$2:$2,0)-MATCH($D$1,[2]stages!$2:$2,0)+1),MATCH(F$1,[2]stages!$2:$2,0)-MATCH($D$1,[2]stages!$2:$2,0)+1,FALSE)</f>
        <v>【ウィザード級】折原臨也襲来</v>
      </c>
      <c r="G2" s="108">
        <v>1</v>
      </c>
      <c r="H2" s="109" t="str">
        <f>B2&amp;"_"&amp;C2&amp;"-"&amp;G2</f>
        <v>49013_1-1</v>
      </c>
      <c r="I2" s="110">
        <f ca="1">VLOOKUP($H2,OFFSET(floors!$A$1,0,0,COUNTA(floors!$A:$A),MATCH(I$1,floors!$1:$1,0)-MATCH($H$1,floors!$1:$1,0)+1),MATCH(I$1,floors!$1:$1,0)-MATCH($H$1,floors!$1:$1,0)+1,FALSE)</f>
        <v>60</v>
      </c>
      <c r="J2" s="110">
        <f ca="1">VLOOKUP($H2,OFFSET(floors!$A$1,0,0,COUNTA(floors!$A:$A),MATCH(J$1,floors!$1:$1,0)-MATCH($H$1,floors!$1:$1,0)+1),MATCH(J$1,floors!$1:$1,0)-MATCH($H$1,floors!$1:$1,0)+1,FALSE)</f>
        <v>60</v>
      </c>
      <c r="K2" s="111" t="s">
        <v>53</v>
      </c>
      <c r="L2" s="112">
        <v>697</v>
      </c>
      <c r="M2" s="110" t="str">
        <f ca="1">VLOOKUP($L2,OFFSET([3]enemies!$A$1,0,0,COUNTA([3]enemies!$A:$A),MATCH(M$1,[3]enemies!$1:$1,0)-MATCH($L$1,[3]enemies!$1:$1,0)+1),MATCH(M$1,[3]enemies!$1:$1,0)-MATCH($L$1,[3]enemies!$1:$1,0)+1,FALSE)</f>
        <v>黒影の首なしライダー　セルティ</v>
      </c>
      <c r="N2" s="110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10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10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10">
        <f ca="1">VLOOKUP($L2,OFFSET([3]enemies!$A$1,0,0,COUNTA([3]enemies!$A:$A),MATCH(Q$1,[3]enemies!$1:$1,0)-MATCH($L$1,[3]enemies!$1:$1,0)+1),MATCH(Q$1,[3]enemies!$1:$1,0)-MATCH($L$1,[3]enemies!$1:$1,0)+1,FALSE)</f>
        <v>60</v>
      </c>
      <c r="R2" s="169">
        <v>75</v>
      </c>
      <c r="S2" s="172">
        <v>1</v>
      </c>
      <c r="T2" s="115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127449</v>
      </c>
      <c r="U2" s="114">
        <v>0.6</v>
      </c>
      <c r="V2" s="115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5062.2</v>
      </c>
      <c r="W2" s="113">
        <v>0</v>
      </c>
      <c r="X2" s="110" t="str">
        <f ca="1">VLOOKUP($Y2,OFFSET(enemy_skill_sets!$B$1,0,0,COUNTA(enemy_skill_sets!$B:$B),MATCH(M$1,enemy_skill_sets!$1:$1,0)-MATCH($Y$1,enemy_skill_sets!$1:$1,0)+2),MATCH(M$1,enemy_skill_sets!$1:$1,0)-MATCH($Y$1,enemy_skill_sets!$1:$1,0)+2,FALSE)</f>
        <v>『静雄、お前なぜ私に向かって来るんだ・・・？』</v>
      </c>
      <c r="Y2" s="116">
        <v>49013001</v>
      </c>
      <c r="Z2" s="117">
        <v>1</v>
      </c>
      <c r="AA2" s="117">
        <v>100</v>
      </c>
      <c r="AB2" s="117">
        <v>1</v>
      </c>
      <c r="AC2" s="111">
        <v>1</v>
      </c>
      <c r="AD2" s="118">
        <f>L2</f>
        <v>697</v>
      </c>
      <c r="AE2" s="110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黒影の首なしライダー　セルティ</v>
      </c>
      <c r="AF2" s="110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110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119">
        <v>1</v>
      </c>
      <c r="AI2" s="118">
        <f ca="1">AF2</f>
        <v>5</v>
      </c>
      <c r="AJ2" s="117">
        <v>0</v>
      </c>
      <c r="AK2" s="119">
        <v>0</v>
      </c>
      <c r="AL2" s="119">
        <v>0</v>
      </c>
      <c r="AM2" s="119">
        <v>0</v>
      </c>
      <c r="AN2" s="119">
        <v>0</v>
      </c>
      <c r="AO2" s="119">
        <v>1</v>
      </c>
      <c r="AP2" s="117">
        <v>1</v>
      </c>
    </row>
    <row r="3" spans="1:42" ht="21" customHeight="1" x14ac:dyDescent="0.15">
      <c r="A3" s="100" t="str">
        <f>B3&amp;"_"&amp;C3&amp;"-"&amp;G3&amp;"/"&amp;L3&amp;"&lt;lv"&amp;R3&amp;"&gt;s"&amp;AC3</f>
        <v>49013_1-2/718&lt;lv75&gt;s2</v>
      </c>
      <c r="B3" s="101">
        <v>49013</v>
      </c>
      <c r="C3" s="90">
        <v>1</v>
      </c>
      <c r="D3" s="8" t="str">
        <f>B3&amp;"_"&amp;C3</f>
        <v>49013_1</v>
      </c>
      <c r="E3" s="10" t="str">
        <f ca="1">VLOOKUP($B3,OFFSET([2]quests!$A$1,0,0,COUNTA([2]quests!$A:$A),MATCH(E$1,[2]quests!$1:$1,0)-MATCH($B$1,[2]quests!$1:$1,0)+1),MATCH(E$1,[2]quests!$1:$1,0)-MATCH($B$1,[2]quests!$1:$1,0)+1,FALSE)</f>
        <v>折原臨也襲来！</v>
      </c>
      <c r="F3" s="10" t="str">
        <f ca="1">VLOOKUP($D3,OFFSET([2]stages!$A$1,0,0,COUNTA([2]stages!$A:$A),MATCH(F$1,[2]stages!$2:$2,0)-MATCH($D$1,[2]stages!$2:$2,0)+1),MATCH(F$1,[2]stages!$2:$2,0)-MATCH($D$1,[2]stages!$2:$2,0)+1,FALSE)</f>
        <v>【ウィザード級】折原臨也襲来</v>
      </c>
      <c r="G3" s="90">
        <v>2</v>
      </c>
      <c r="H3" s="8" t="str">
        <f>B3&amp;"_"&amp;C3&amp;"-"&amp;G3</f>
        <v>49013_1-2</v>
      </c>
      <c r="I3" s="10">
        <f ca="1">VLOOKUP($H3,OFFSET(floors!$A$1,0,0,COUNTA(floors!$A:$A),MATCH(I$1,floors!$1:$1,0)-MATCH($H$1,floors!$1:$1,0)+1),MATCH(I$1,floors!$1:$1,0)-MATCH($H$1,floors!$1:$1,0)+1,FALSE)</f>
        <v>60</v>
      </c>
      <c r="J3" s="10">
        <f ca="1">VLOOKUP($H3,OFFSET(floors!$A$1,0,0,COUNTA(floors!$A:$A),MATCH(J$1,floors!$1:$1,0)-MATCH($H$1,floors!$1:$1,0)+1),MATCH(J$1,floors!$1:$1,0)-MATCH($H$1,floors!$1:$1,0)+1,FALSE)</f>
        <v>60</v>
      </c>
      <c r="K3" s="14">
        <v>1</v>
      </c>
      <c r="L3" s="99">
        <v>718</v>
      </c>
      <c r="M3" s="10" t="str">
        <f ca="1">VLOOKUP($L3,OFFSET([3]enemies!$A$1,0,0,COUNTA([3]enemies!$A:$A),MATCH(M$1,[3]enemies!$1:$1,0)-MATCH($L$1,[3]enemies!$1:$1,0)+1),MATCH(M$1,[3]enemies!$1:$1,0)-MATCH($L$1,[3]enemies!$1:$1,0)+1,FALSE)</f>
        <v>ヴァローナ</v>
      </c>
      <c r="N3" s="10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0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0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0">
        <f ca="1">VLOOKUP($L3,OFFSET([3]enemies!$A$1,0,0,COUNTA([3]enemies!$A:$A),MATCH(Q$1,[3]enemies!$1:$1,0)-MATCH($L$1,[3]enemies!$1:$1,0)+1),MATCH(Q$1,[3]enemies!$1:$1,0)-MATCH($L$1,[3]enemies!$1:$1,0)+1,FALSE)</f>
        <v>30</v>
      </c>
      <c r="R3" s="170">
        <v>75</v>
      </c>
      <c r="S3" s="173">
        <v>1.6</v>
      </c>
      <c r="T3" s="7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146580.80000000002</v>
      </c>
      <c r="U3" s="103">
        <v>0.7</v>
      </c>
      <c r="V3" s="7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5429.2</v>
      </c>
      <c r="W3" s="102">
        <v>0</v>
      </c>
      <c r="X3" s="10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3" s="89">
        <v>49013002</v>
      </c>
      <c r="Z3" s="44">
        <v>1</v>
      </c>
      <c r="AA3" s="44">
        <v>100</v>
      </c>
      <c r="AB3" s="44">
        <v>1</v>
      </c>
      <c r="AC3" s="14">
        <v>2</v>
      </c>
      <c r="AD3" s="104">
        <f>L3</f>
        <v>718</v>
      </c>
      <c r="AE3" s="10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ヴァローナ</v>
      </c>
      <c r="AF3" s="10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10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105">
        <v>1</v>
      </c>
      <c r="AI3" s="104">
        <f ca="1">AF3</f>
        <v>4</v>
      </c>
      <c r="AJ3" s="44">
        <v>0</v>
      </c>
      <c r="AK3" s="105">
        <v>0</v>
      </c>
      <c r="AL3" s="105">
        <v>0</v>
      </c>
      <c r="AM3" s="105">
        <v>0</v>
      </c>
      <c r="AN3" s="105">
        <v>0</v>
      </c>
      <c r="AO3" s="105">
        <v>1</v>
      </c>
      <c r="AP3" s="44">
        <v>1</v>
      </c>
    </row>
    <row r="4" spans="1:42" ht="21" customHeight="1" x14ac:dyDescent="0.15">
      <c r="A4" s="100" t="str">
        <f>B4&amp;"_"&amp;C4&amp;"-"&amp;G4&amp;"/"&amp;L4&amp;"&lt;lv"&amp;R4&amp;"&gt;s"&amp;AC4</f>
        <v>49013_1-3/702&lt;lv75&gt;s2</v>
      </c>
      <c r="B4" s="101">
        <v>49013</v>
      </c>
      <c r="C4" s="90">
        <v>1</v>
      </c>
      <c r="D4" s="8" t="str">
        <f>B4&amp;"_"&amp;C4</f>
        <v>49013_1</v>
      </c>
      <c r="E4" s="10" t="str">
        <f ca="1">VLOOKUP($B4,OFFSET([2]quests!$A$1,0,0,COUNTA([2]quests!$A:$A),MATCH(E$1,[2]quests!$1:$1,0)-MATCH($B$1,[2]quests!$1:$1,0)+1),MATCH(E$1,[2]quests!$1:$1,0)-MATCH($B$1,[2]quests!$1:$1,0)+1,FALSE)</f>
        <v>折原臨也襲来！</v>
      </c>
      <c r="F4" s="10" t="str">
        <f ca="1">VLOOKUP($D4,OFFSET([2]stages!$A$1,0,0,COUNTA([2]stages!$A:$A),MATCH(F$1,[2]stages!$2:$2,0)-MATCH($D$1,[2]stages!$2:$2,0)+1),MATCH(F$1,[2]stages!$2:$2,0)-MATCH($D$1,[2]stages!$2:$2,0)+1,FALSE)</f>
        <v>【ウィザード級】折原臨也襲来</v>
      </c>
      <c r="G4" s="90">
        <v>3</v>
      </c>
      <c r="H4" s="8" t="str">
        <f>B4&amp;"_"&amp;C4&amp;"-"&amp;G4</f>
        <v>49013_1-3</v>
      </c>
      <c r="I4" s="10">
        <f ca="1">VLOOKUP($H4,OFFSET(floors!$A$1,0,0,COUNTA(floors!$A:$A),MATCH(I$1,floors!$1:$1,0)-MATCH($H$1,floors!$1:$1,0)+1),MATCH(I$1,floors!$1:$1,0)-MATCH($H$1,floors!$1:$1,0)+1,FALSE)</f>
        <v>60</v>
      </c>
      <c r="J4" s="10">
        <f ca="1">VLOOKUP($H4,OFFSET(floors!$A$1,0,0,COUNTA(floors!$A:$A),MATCH(J$1,floors!$1:$1,0)-MATCH($H$1,floors!$1:$1,0)+1),MATCH(J$1,floors!$1:$1,0)-MATCH($H$1,floors!$1:$1,0)+1,FALSE)</f>
        <v>60</v>
      </c>
      <c r="K4" s="14">
        <v>2</v>
      </c>
      <c r="L4" s="99">
        <v>702</v>
      </c>
      <c r="M4" s="10" t="str">
        <f ca="1">VLOOKUP($L4,OFFSET([3]enemies!$A$1,0,0,COUNTA([3]enemies!$A:$A),MATCH(M$1,[3]enemies!$1:$1,0)-MATCH($L$1,[3]enemies!$1:$1,0)+1),MATCH(M$1,[3]enemies!$1:$1,0)-MATCH($L$1,[3]enemies!$1:$1,0)+1,FALSE)</f>
        <v>サイモン</v>
      </c>
      <c r="N4" s="10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0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0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0">
        <f ca="1">VLOOKUP($L4,OFFSET([3]enemies!$A$1,0,0,COUNTA([3]enemies!$A:$A),MATCH(Q$1,[3]enemies!$1:$1,0)-MATCH($L$1,[3]enemies!$1:$1,0)+1),MATCH(Q$1,[3]enemies!$1:$1,0)-MATCH($L$1,[3]enemies!$1:$1,0)+1,FALSE)</f>
        <v>30</v>
      </c>
      <c r="R4" s="170">
        <v>75</v>
      </c>
      <c r="S4" s="173">
        <v>1.6</v>
      </c>
      <c r="T4" s="7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149572.80000000002</v>
      </c>
      <c r="U4" s="103">
        <v>0.6</v>
      </c>
      <c r="V4" s="7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4699.8</v>
      </c>
      <c r="W4" s="102">
        <v>0</v>
      </c>
      <c r="X4" s="10" t="str">
        <f ca="1">VLOOKUP($Y4,OFFSET(enemy_skill_sets!$B$1,0,0,COUNTA(enemy_skill_sets!$B:$B),MATCH(M$1,enemy_skill_sets!$1:$1,0)-MATCH($Y$1,enemy_skill_sets!$1:$1,0)+2),MATCH(M$1,enemy_skill_sets!$1:$1,0)-MATCH($Y$1,enemy_skill_sets!$1:$1,0)+2,FALSE)</f>
        <v>1ターンユニット全体の攻撃力100%DOWN+_x000D_属性パネルをハートパネルに変換(最大20個)</v>
      </c>
      <c r="Y4" s="89">
        <v>49013004</v>
      </c>
      <c r="Z4" s="44">
        <v>1</v>
      </c>
      <c r="AA4" s="44">
        <v>100</v>
      </c>
      <c r="AB4" s="44">
        <v>1</v>
      </c>
      <c r="AC4" s="14">
        <v>2</v>
      </c>
      <c r="AD4" s="104">
        <f>L4</f>
        <v>702</v>
      </c>
      <c r="AE4" s="10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サイモン</v>
      </c>
      <c r="AF4" s="10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10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105">
        <v>1</v>
      </c>
      <c r="AI4" s="104">
        <f ca="1">AF4</f>
        <v>4</v>
      </c>
      <c r="AJ4" s="44">
        <v>0</v>
      </c>
      <c r="AK4" s="105">
        <v>0</v>
      </c>
      <c r="AL4" s="105">
        <v>0</v>
      </c>
      <c r="AM4" s="105">
        <v>0</v>
      </c>
      <c r="AN4" s="105">
        <v>0</v>
      </c>
      <c r="AO4" s="105">
        <v>1</v>
      </c>
      <c r="AP4" s="44">
        <v>1</v>
      </c>
    </row>
    <row r="5" spans="1:42" ht="21" customHeight="1" thickBot="1" x14ac:dyDescent="0.2">
      <c r="A5" s="100" t="str">
        <f>B5&amp;"_"&amp;C5&amp;"-"&amp;G5&amp;"/"&amp;L5&amp;"&lt;lv"&amp;R5&amp;"&gt;s"&amp;AC5</f>
        <v>49013_1-4/700&lt;lv75&gt;s1</v>
      </c>
      <c r="B5" s="101">
        <v>49013</v>
      </c>
      <c r="C5" s="90">
        <v>1</v>
      </c>
      <c r="D5" s="8" t="str">
        <f>B5&amp;"_"&amp;C5</f>
        <v>49013_1</v>
      </c>
      <c r="E5" s="10" t="str">
        <f ca="1">VLOOKUP($B5,OFFSET([2]quests!$A$1,0,0,COUNTA([2]quests!$A:$A),MATCH(E$1,[2]quests!$1:$1,0)-MATCH($B$1,[2]quests!$1:$1,0)+1),MATCH(E$1,[2]quests!$1:$1,0)-MATCH($B$1,[2]quests!$1:$1,0)+1,FALSE)</f>
        <v>折原臨也襲来！</v>
      </c>
      <c r="F5" s="10" t="str">
        <f ca="1">VLOOKUP($D5,OFFSET([2]stages!$A$1,0,0,COUNTA([2]stages!$A:$A),MATCH(F$1,[2]stages!$2:$2,0)-MATCH($D$1,[2]stages!$2:$2,0)+1),MATCH(F$1,[2]stages!$2:$2,0)-MATCH($D$1,[2]stages!$2:$2,0)+1,FALSE)</f>
        <v>【ウィザード級】折原臨也襲来</v>
      </c>
      <c r="G5" s="90">
        <v>4</v>
      </c>
      <c r="H5" s="8" t="str">
        <f>B5&amp;"_"&amp;C5&amp;"-"&amp;G5</f>
        <v>49013_1-4</v>
      </c>
      <c r="I5" s="10">
        <f ca="1">VLOOKUP($H5,OFFSET(floors!$A$1,0,0,COUNTA(floors!$A:$A),MATCH(I$1,floors!$1:$1,0)-MATCH($H$1,floors!$1:$1,0)+1),MATCH(I$1,floors!$1:$1,0)-MATCH($H$1,floors!$1:$1,0)+1,FALSE)</f>
        <v>60</v>
      </c>
      <c r="J5" s="10">
        <f ca="1">VLOOKUP($H5,OFFSET(floors!$A$1,0,0,COUNTA(floors!$A:$A),MATCH(J$1,floors!$1:$1,0)-MATCH($H$1,floors!$1:$1,0)+1),MATCH(J$1,floors!$1:$1,0)-MATCH($H$1,floors!$1:$1,0)+1,FALSE)</f>
        <v>60</v>
      </c>
      <c r="K5" s="14">
        <v>3</v>
      </c>
      <c r="L5" s="99">
        <v>700</v>
      </c>
      <c r="M5" s="10" t="str">
        <f ca="1">VLOOKUP($L5,OFFSET([3]enemies!$A$1,0,0,COUNTA([3]enemies!$A:$A),MATCH(M$1,[3]enemies!$1:$1,0)-MATCH($L$1,[3]enemies!$1:$1,0)+1),MATCH(M$1,[3]enemies!$1:$1,0)-MATCH($L$1,[3]enemies!$1:$1,0)+1,FALSE)</f>
        <v>折原臨也</v>
      </c>
      <c r="N5" s="10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0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0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0">
        <f ca="1">VLOOKUP($L5,OFFSET([3]enemies!$A$1,0,0,COUNTA([3]enemies!$A:$A),MATCH(Q$1,[3]enemies!$1:$1,0)-MATCH($L$1,[3]enemies!$1:$1,0)+1),MATCH(Q$1,[3]enemies!$1:$1,0)-MATCH($L$1,[3]enemies!$1:$1,0)+1,FALSE)</f>
        <v>60</v>
      </c>
      <c r="R5" s="171">
        <v>75</v>
      </c>
      <c r="S5" s="174">
        <v>1.6</v>
      </c>
      <c r="T5" s="7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195595.2</v>
      </c>
      <c r="U5" s="103">
        <v>0.6</v>
      </c>
      <c r="V5" s="7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4863</v>
      </c>
      <c r="W5" s="102">
        <v>0</v>
      </c>
      <c r="X5" s="10" t="str">
        <f ca="1">VLOOKUP($Y5,OFFSET(enemy_skill_sets!$B$1,0,0,COUNTA(enemy_skill_sets!$B:$B),MATCH(M$1,enemy_skill_sets!$1:$1,0)-MATCH($Y$1,enemy_skill_sets!$1:$1,0)+2),MATCH(M$1,enemy_skill_sets!$1:$1,0)-MATCH($Y$1,enemy_skill_sets!$1:$1,0)+2,FALSE)</f>
        <v>種族ヒューマンのユニット以外に大ダメージの全体攻撃</v>
      </c>
      <c r="Y5" s="89">
        <v>49013006</v>
      </c>
      <c r="Z5" s="44">
        <v>1</v>
      </c>
      <c r="AA5" s="44">
        <v>100</v>
      </c>
      <c r="AB5" s="44">
        <v>1</v>
      </c>
      <c r="AC5" s="14">
        <v>1</v>
      </c>
      <c r="AD5" s="104">
        <f>L5</f>
        <v>700</v>
      </c>
      <c r="AE5" s="10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折原臨也</v>
      </c>
      <c r="AF5" s="10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10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105">
        <v>1</v>
      </c>
      <c r="AI5" s="104">
        <f ca="1">AF5</f>
        <v>5</v>
      </c>
      <c r="AJ5" s="44">
        <v>30</v>
      </c>
      <c r="AK5" s="105">
        <v>0</v>
      </c>
      <c r="AL5" s="105">
        <v>0</v>
      </c>
      <c r="AM5" s="105">
        <v>0</v>
      </c>
      <c r="AN5" s="105">
        <v>0</v>
      </c>
      <c r="AO5" s="105">
        <v>1</v>
      </c>
      <c r="AP5" s="44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tabSelected="1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G7" sqref="G7"/>
    </sheetView>
  </sheetViews>
  <sheetFormatPr baseColWidth="12" defaultColWidth="13" defaultRowHeight="21" customHeight="1" outlineLevelCol="1" x14ac:dyDescent="0.15"/>
  <cols>
    <col min="1" max="1" width="17" style="11" bestFit="1" customWidth="1"/>
    <col min="2" max="2" width="10.83203125" style="3" bestFit="1" customWidth="1"/>
    <col min="3" max="3" width="10.6640625" style="3" bestFit="1" customWidth="1" collapsed="1"/>
    <col min="4" max="4" width="13" style="7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4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13" customFormat="1" ht="21" customHeight="1" thickBot="1" x14ac:dyDescent="0.2">
      <c r="A1" s="120" t="s">
        <v>29</v>
      </c>
      <c r="B1" s="121" t="s">
        <v>0</v>
      </c>
      <c r="C1" s="121" t="s">
        <v>1</v>
      </c>
      <c r="D1" s="122" t="s">
        <v>28</v>
      </c>
      <c r="E1" s="122" t="s">
        <v>16</v>
      </c>
      <c r="F1" s="122" t="s">
        <v>16</v>
      </c>
      <c r="G1" s="121" t="s">
        <v>19</v>
      </c>
      <c r="H1" s="122" t="s">
        <v>30</v>
      </c>
      <c r="I1" s="122" t="s">
        <v>14</v>
      </c>
      <c r="J1" s="122" t="s">
        <v>15</v>
      </c>
      <c r="K1" s="123" t="s">
        <v>54</v>
      </c>
      <c r="L1" s="123" t="s">
        <v>55</v>
      </c>
      <c r="M1" s="123" t="s">
        <v>2</v>
      </c>
      <c r="N1" s="122" t="s">
        <v>16</v>
      </c>
      <c r="O1" s="122" t="s">
        <v>24</v>
      </c>
      <c r="P1" s="122" t="s">
        <v>23</v>
      </c>
      <c r="Q1" s="122" t="s">
        <v>26</v>
      </c>
      <c r="R1" s="122" t="s">
        <v>25</v>
      </c>
      <c r="S1" s="121" t="s">
        <v>3</v>
      </c>
      <c r="T1" s="121" t="s">
        <v>48</v>
      </c>
      <c r="U1" s="124" t="s">
        <v>249</v>
      </c>
      <c r="V1" s="121" t="s">
        <v>50</v>
      </c>
      <c r="W1" s="124" t="s">
        <v>250</v>
      </c>
      <c r="X1" s="121" t="s">
        <v>52</v>
      </c>
      <c r="Y1" s="121" t="s">
        <v>127</v>
      </c>
      <c r="Z1" s="122" t="s">
        <v>126</v>
      </c>
      <c r="AA1" s="121" t="s">
        <v>8</v>
      </c>
    </row>
    <row r="2" spans="1:27" ht="21" customHeight="1" x14ac:dyDescent="0.15">
      <c r="A2" s="106" t="str">
        <f>B2&amp;"_"&amp;C2&amp;"-"&amp;G2&amp;"/"&amp;M2&amp;"&lt;lv"&amp;S2&amp;"&gt;sq"&amp;K2&amp;"st"&amp;L2</f>
        <v>49013_1-2/719&lt;lv75&gt;sq1st2</v>
      </c>
      <c r="B2" s="107">
        <v>49013</v>
      </c>
      <c r="C2" s="108">
        <v>1</v>
      </c>
      <c r="D2" s="109" t="str">
        <f>B2&amp;"_"&amp;C2</f>
        <v>49013_1</v>
      </c>
      <c r="E2" s="110" t="str">
        <f ca="1">VLOOKUP($B2,OFFSET([2]quests!$A$1,0,0,COUNTA([2]quests!$A:$A),MATCH(E$1,[2]quests!$1:$1,0)-MATCH($B$1,[2]quests!$1:$1,0)+1),MATCH(E$1,[2]quests!$1:$1,0)-MATCH($B$1,[2]quests!$1:$1,0)+1,FALSE)</f>
        <v>折原臨也襲来！</v>
      </c>
      <c r="F2" s="110" t="str">
        <f ca="1">VLOOKUP($D2,OFFSET([2]stages!$A$1,0,0,COUNTA([2]stages!$A:$A),MATCH(F$1,[2]stages!$2:$2,0)-MATCH($D$1,[2]stages!$2:$2,0)+1),MATCH(F$1,[2]stages!$2:$2,0)-MATCH($D$1,[2]stages!$2:$2,0)+1,FALSE)</f>
        <v>【ウィザード級】折原臨也襲来</v>
      </c>
      <c r="G2" s="108">
        <v>2</v>
      </c>
      <c r="H2" s="109" t="str">
        <f>B2&amp;"_"&amp;C2&amp;"-"&amp;G2</f>
        <v>49013_1-2</v>
      </c>
      <c r="I2" s="110">
        <f ca="1">VLOOKUP($H2,OFFSET(floors!$A$1,0,0,COUNTA(floors!$A:$A),MATCH(I$1,floors!$1:$1,0)-MATCH($H$1,floors!$1:$1,0)+1),MATCH(I$1,floors!$1:$1,0)-MATCH($H$1,floors!$1:$1,0)+1,FALSE)</f>
        <v>60</v>
      </c>
      <c r="J2" s="110">
        <f ca="1">VLOOKUP($H2,OFFSET(floors!$A$1,0,0,COUNTA(floors!$A:$A),MATCH(J$1,floors!$1:$1,0)-MATCH($H$1,floors!$1:$1,0)+1),MATCH(J$1,floors!$1:$1,0)-MATCH($H$1,floors!$1:$1,0)+1,FALSE)</f>
        <v>60</v>
      </c>
      <c r="K2" s="111">
        <v>1</v>
      </c>
      <c r="L2" s="111">
        <v>2</v>
      </c>
      <c r="M2" s="112">
        <v>719</v>
      </c>
      <c r="N2" s="110" t="str">
        <f ca="1">VLOOKUP($M2,OFFSET([3]enemies!$A$1,0,0,COUNTA([3]enemies!$A:$A),MATCH(N$1,[3]enemies!$1:$1,0)-MATCH($M$1,[3]enemies!$1:$1,0)+1),MATCH(N$1,[3]enemies!$1:$1,0)-MATCH($M$1,[3]enemies!$1:$1,0)+1,FALSE)</f>
        <v>聡明な戦狂女　ヴァローナ</v>
      </c>
      <c r="O2" s="110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10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10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10">
        <f ca="1">VLOOKUP($M2,OFFSET([3]enemies!$A$1,0,0,COUNTA([3]enemies!$A:$A),MATCH(R$1,[3]enemies!$1:$1,0)-MATCH($M$1,[3]enemies!$1:$1,0)+1),MATCH(R$1,[3]enemies!$1:$1,0)-MATCH($M$1,[3]enemies!$1:$1,0)+1,FALSE)</f>
        <v>60</v>
      </c>
      <c r="S2" s="169">
        <v>75</v>
      </c>
      <c r="T2" s="172">
        <v>1.2</v>
      </c>
      <c r="U2" s="11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143762.4</v>
      </c>
      <c r="V2" s="172">
        <v>0.7</v>
      </c>
      <c r="W2" s="11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5847.0999999999995</v>
      </c>
      <c r="X2" s="113">
        <v>0</v>
      </c>
      <c r="Y2" s="110" t="str">
        <f ca="1">VLOOKUP($Z2,OFFSET(enemy_skill_sets!$B$1,0,0,COUNTA(enemy_skill_sets!$B:$B),MATCH(N$1,enemy_skill_sets!$1:$1,0)-MATCH($Z$1,enemy_skill_sets!$1:$1,0)+2),MATCH(N$1,enemy_skill_sets!$1:$1,0)-MATCH($Z$1,enemy_skill_sets!$1:$1,0)+2,FALSE)</f>
        <v>自身の攻撃力UP+全体攻撃</v>
      </c>
      <c r="Z2" s="116">
        <v>49013003</v>
      </c>
      <c r="AA2" s="111">
        <v>1</v>
      </c>
    </row>
    <row r="3" spans="1:27" ht="21" customHeight="1" x14ac:dyDescent="0.15">
      <c r="A3" s="100" t="str">
        <f>B3&amp;"_"&amp;C3&amp;"-"&amp;G3&amp;"/"&amp;M3&amp;"&lt;lv"&amp;S3&amp;"&gt;sq"&amp;K3&amp;"st"&amp;L3</f>
        <v>49013_1-3/703&lt;lv75&gt;sq2st2</v>
      </c>
      <c r="B3" s="101">
        <v>49013</v>
      </c>
      <c r="C3" s="90">
        <v>1</v>
      </c>
      <c r="D3" s="8" t="str">
        <f>B3&amp;"_"&amp;C3</f>
        <v>49013_1</v>
      </c>
      <c r="E3" s="10" t="str">
        <f ca="1">VLOOKUP($B3,OFFSET([2]quests!$A$1,0,0,COUNTA([2]quests!$A:$A),MATCH(E$1,[2]quests!$1:$1,0)-MATCH($B$1,[2]quests!$1:$1,0)+1),MATCH(E$1,[2]quests!$1:$1,0)-MATCH($B$1,[2]quests!$1:$1,0)+1,FALSE)</f>
        <v>折原臨也襲来！</v>
      </c>
      <c r="F3" s="10" t="str">
        <f ca="1">VLOOKUP($D3,OFFSET([2]stages!$A$1,0,0,COUNTA([2]stages!$A:$A),MATCH(F$1,[2]stages!$2:$2,0)-MATCH($D$1,[2]stages!$2:$2,0)+1),MATCH(F$1,[2]stages!$2:$2,0)-MATCH($D$1,[2]stages!$2:$2,0)+1,FALSE)</f>
        <v>【ウィザード級】折原臨也襲来</v>
      </c>
      <c r="G3" s="90">
        <v>3</v>
      </c>
      <c r="H3" s="8" t="str">
        <f>B3&amp;"_"&amp;C3&amp;"-"&amp;G3</f>
        <v>49013_1-3</v>
      </c>
      <c r="I3" s="10">
        <f ca="1">VLOOKUP($H3,OFFSET(floors!$A$1,0,0,COUNTA(floors!$A:$A),MATCH(I$1,floors!$1:$1,0)-MATCH($H$1,floors!$1:$1,0)+1),MATCH(I$1,floors!$1:$1,0)-MATCH($H$1,floors!$1:$1,0)+1,FALSE)</f>
        <v>60</v>
      </c>
      <c r="J3" s="10">
        <f ca="1">VLOOKUP($H3,OFFSET(floors!$A$1,0,0,COUNTA(floors!$A:$A),MATCH(J$1,floors!$1:$1,0)-MATCH($H$1,floors!$1:$1,0)+1),MATCH(J$1,floors!$1:$1,0)-MATCH($H$1,floors!$1:$1,0)+1,FALSE)</f>
        <v>60</v>
      </c>
      <c r="K3" s="14">
        <v>2</v>
      </c>
      <c r="L3" s="14">
        <v>2</v>
      </c>
      <c r="M3" s="99">
        <v>703</v>
      </c>
      <c r="N3" s="10" t="str">
        <f ca="1">VLOOKUP($M3,OFFSET([3]enemies!$A$1,0,0,COUNTA([3]enemies!$A:$A),MATCH(N$1,[3]enemies!$1:$1,0)-MATCH($M$1,[3]enemies!$1:$1,0)+1),MATCH(N$1,[3]enemies!$1:$1,0)-MATCH($M$1,[3]enemies!$1:$1,0)+1,FALSE)</f>
        <v>豪腕静穏な寿司屋　サイモン</v>
      </c>
      <c r="O3" s="10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0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0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0">
        <f ca="1">VLOOKUP($M3,OFFSET([3]enemies!$A$1,0,0,COUNTA([3]enemies!$A:$A),MATCH(R$1,[3]enemies!$1:$1,0)-MATCH($M$1,[3]enemies!$1:$1,0)+1),MATCH(R$1,[3]enemies!$1:$1,0)-MATCH($M$1,[3]enemies!$1:$1,0)+1,FALSE)</f>
        <v>60</v>
      </c>
      <c r="S3" s="170">
        <v>75</v>
      </c>
      <c r="T3" s="173">
        <v>1.6</v>
      </c>
      <c r="U3" s="7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195595.2</v>
      </c>
      <c r="V3" s="173">
        <v>0.7</v>
      </c>
      <c r="W3" s="7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5905.2</v>
      </c>
      <c r="X3" s="102">
        <v>0</v>
      </c>
      <c r="Y3" s="10" t="str">
        <f ca="1">VLOOKUP($Z3,OFFSET(enemy_skill_sets!$B$1,0,0,COUNTA(enemy_skill_sets!$B:$B),MATCH(N$1,enemy_skill_sets!$1:$1,0)-MATCH($Z$1,enemy_skill_sets!$1:$1,0)+2),MATCH(N$1,enemy_skill_sets!$1:$1,0)-MATCH($Z$1,enemy_skill_sets!$1:$1,0)+2,FALSE)</f>
        <v>解除するまでユニット全体の攻撃をカウンター</v>
      </c>
      <c r="Z3" s="89">
        <v>49013005</v>
      </c>
      <c r="AA3" s="14">
        <v>1</v>
      </c>
    </row>
    <row r="4" spans="1:27" ht="21" customHeight="1" x14ac:dyDescent="0.15">
      <c r="A4" s="100" t="str">
        <f>B4&amp;"_"&amp;C4&amp;"-"&amp;G4&amp;"/"&amp;M4&amp;"&lt;lv"&amp;S4&amp;"&gt;sq"&amp;K4&amp;"st"&amp;L4</f>
        <v>49013_1-4/701&lt;lv75&gt;sq3st2</v>
      </c>
      <c r="B4" s="101">
        <v>49013</v>
      </c>
      <c r="C4" s="90">
        <v>1</v>
      </c>
      <c r="D4" s="8" t="str">
        <f>B4&amp;"_"&amp;C4</f>
        <v>49013_1</v>
      </c>
      <c r="E4" s="10" t="str">
        <f ca="1">VLOOKUP($B4,OFFSET([2]quests!$A$1,0,0,COUNTA([2]quests!$A:$A),MATCH(E$1,[2]quests!$1:$1,0)-MATCH($B$1,[2]quests!$1:$1,0)+1),MATCH(E$1,[2]quests!$1:$1,0)-MATCH($B$1,[2]quests!$1:$1,0)+1,FALSE)</f>
        <v>折原臨也襲来！</v>
      </c>
      <c r="F4" s="10" t="str">
        <f ca="1">VLOOKUP($D4,OFFSET([2]stages!$A$1,0,0,COUNTA([2]stages!$A:$A),MATCH(F$1,[2]stages!$2:$2,0)-MATCH($D$1,[2]stages!$2:$2,0)+1),MATCH(F$1,[2]stages!$2:$2,0)-MATCH($D$1,[2]stages!$2:$2,0)+1,FALSE)</f>
        <v>【ウィザード級】折原臨也襲来</v>
      </c>
      <c r="G4" s="90">
        <v>4</v>
      </c>
      <c r="H4" s="8" t="str">
        <f>B4&amp;"_"&amp;C4&amp;"-"&amp;G4</f>
        <v>49013_1-4</v>
      </c>
      <c r="I4" s="10">
        <f ca="1">VLOOKUP($H4,OFFSET(floors!$A$1,0,0,COUNTA(floors!$A:$A),MATCH(I$1,floors!$1:$1,0)-MATCH($H$1,floors!$1:$1,0)+1),MATCH(I$1,floors!$1:$1,0)-MATCH($H$1,floors!$1:$1,0)+1,FALSE)</f>
        <v>60</v>
      </c>
      <c r="J4" s="10">
        <f ca="1">VLOOKUP($H4,OFFSET(floors!$A$1,0,0,COUNTA(floors!$A:$A),MATCH(J$1,floors!$1:$1,0)-MATCH($H$1,floors!$1:$1,0)+1),MATCH(J$1,floors!$1:$1,0)-MATCH($H$1,floors!$1:$1,0)+1,FALSE)</f>
        <v>60</v>
      </c>
      <c r="K4" s="14">
        <v>3</v>
      </c>
      <c r="L4" s="14">
        <v>2</v>
      </c>
      <c r="M4" s="99">
        <v>701</v>
      </c>
      <c r="N4" s="10" t="str">
        <f ca="1">VLOOKUP($M4,OFFSET([3]enemies!$A$1,0,0,COUNTA([3]enemies!$A:$A),MATCH(N$1,[3]enemies!$1:$1,0)-MATCH($M$1,[3]enemies!$1:$1,0)+1),MATCH(N$1,[3]enemies!$1:$1,0)-MATCH($M$1,[3]enemies!$1:$1,0)+1,FALSE)</f>
        <v>謀略の情報屋 折原臨也</v>
      </c>
      <c r="O4" s="10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0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0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0">
        <f ca="1">VLOOKUP($M4,OFFSET([3]enemies!$A$1,0,0,COUNTA([3]enemies!$A:$A),MATCH(R$1,[3]enemies!$1:$1,0)-MATCH($M$1,[3]enemies!$1:$1,0)+1),MATCH(R$1,[3]enemies!$1:$1,0)-MATCH($M$1,[3]enemies!$1:$1,0)+1,FALSE)</f>
        <v>60</v>
      </c>
      <c r="S4" s="170">
        <v>75</v>
      </c>
      <c r="T4" s="173">
        <v>2.4</v>
      </c>
      <c r="U4" s="7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293392.8</v>
      </c>
      <c r="V4" s="173">
        <v>0.6</v>
      </c>
      <c r="W4" s="7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4863</v>
      </c>
      <c r="X4" s="102">
        <v>0</v>
      </c>
      <c r="Y4" s="10" t="str">
        <f ca="1">VLOOKUP($Z4,OFFSET(enemy_skill_sets!$B$1,0,0,COUNTA(enemy_skill_sets!$B:$B),MATCH(N$1,enemy_skill_sets!$1:$1,0)-MATCH($Z$1,enemy_skill_sets!$1:$1,0)+2),MATCH(N$1,enemy_skill_sets!$1:$1,0)-MATCH($Z$1,enemy_skill_sets!$1:$1,0)+2,FALSE)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4" s="89">
        <v>49013007</v>
      </c>
      <c r="AA4" s="14">
        <v>2</v>
      </c>
    </row>
    <row r="5" spans="1:27" ht="21" customHeight="1" thickBot="1" x14ac:dyDescent="0.2">
      <c r="A5" s="100" t="str">
        <f>B5&amp;"_"&amp;C5&amp;"-"&amp;G5&amp;"/"&amp;M5&amp;"&lt;lv"&amp;S5&amp;"&gt;sq"&amp;K5&amp;"st"&amp;L5</f>
        <v>49013_1-4/701&lt;lv75&gt;sq3st3</v>
      </c>
      <c r="B5" s="101">
        <v>49013</v>
      </c>
      <c r="C5" s="90">
        <v>1</v>
      </c>
      <c r="D5" s="8" t="str">
        <f>B5&amp;"_"&amp;C5</f>
        <v>49013_1</v>
      </c>
      <c r="E5" s="10" t="str">
        <f ca="1">VLOOKUP($B5,OFFSET([2]quests!$A$1,0,0,COUNTA([2]quests!$A:$A),MATCH(E$1,[2]quests!$1:$1,0)-MATCH($B$1,[2]quests!$1:$1,0)+1),MATCH(E$1,[2]quests!$1:$1,0)-MATCH($B$1,[2]quests!$1:$1,0)+1,FALSE)</f>
        <v>折原臨也襲来！</v>
      </c>
      <c r="F5" s="10" t="str">
        <f ca="1">VLOOKUP($D5,OFFSET([2]stages!$A$1,0,0,COUNTA([2]stages!$A:$A),MATCH(F$1,[2]stages!$2:$2,0)-MATCH($D$1,[2]stages!$2:$2,0)+1),MATCH(F$1,[2]stages!$2:$2,0)-MATCH($D$1,[2]stages!$2:$2,0)+1,FALSE)</f>
        <v>【ウィザード級】折原臨也襲来</v>
      </c>
      <c r="G5" s="90">
        <v>4</v>
      </c>
      <c r="H5" s="8" t="str">
        <f>B5&amp;"_"&amp;C5&amp;"-"&amp;G5</f>
        <v>49013_1-4</v>
      </c>
      <c r="I5" s="10">
        <f ca="1">VLOOKUP($H5,OFFSET(floors!$A$1,0,0,COUNTA(floors!$A:$A),MATCH(I$1,floors!$1:$1,0)-MATCH($H$1,floors!$1:$1,0)+1),MATCH(I$1,floors!$1:$1,0)-MATCH($H$1,floors!$1:$1,0)+1,FALSE)</f>
        <v>60</v>
      </c>
      <c r="J5" s="10">
        <f ca="1">VLOOKUP($H5,OFFSET(floors!$A$1,0,0,COUNTA(floors!$A:$A),MATCH(J$1,floors!$1:$1,0)-MATCH($H$1,floors!$1:$1,0)+1),MATCH(J$1,floors!$1:$1,0)-MATCH($H$1,floors!$1:$1,0)+1,FALSE)</f>
        <v>60</v>
      </c>
      <c r="K5" s="14">
        <v>3</v>
      </c>
      <c r="L5" s="14">
        <v>3</v>
      </c>
      <c r="M5" s="99">
        <v>701</v>
      </c>
      <c r="N5" s="10" t="str">
        <f ca="1">VLOOKUP($M5,OFFSET([3]enemies!$A$1,0,0,COUNTA([3]enemies!$A:$A),MATCH(N$1,[3]enemies!$1:$1,0)-MATCH($M$1,[3]enemies!$1:$1,0)+1),MATCH(N$1,[3]enemies!$1:$1,0)-MATCH($M$1,[3]enemies!$1:$1,0)+1,FALSE)</f>
        <v>謀略の情報屋 折原臨也</v>
      </c>
      <c r="O5" s="10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0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0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0">
        <f ca="1">VLOOKUP($M5,OFFSET([3]enemies!$A$1,0,0,COUNTA([3]enemies!$A:$A),MATCH(R$1,[3]enemies!$1:$1,0)-MATCH($M$1,[3]enemies!$1:$1,0)+1),MATCH(R$1,[3]enemies!$1:$1,0)-MATCH($M$1,[3]enemies!$1:$1,0)+1,FALSE)</f>
        <v>60</v>
      </c>
      <c r="S5" s="171">
        <v>75</v>
      </c>
      <c r="T5" s="174">
        <v>2.2000000000000002</v>
      </c>
      <c r="U5" s="77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268943.40000000002</v>
      </c>
      <c r="V5" s="174">
        <v>0.6</v>
      </c>
      <c r="W5" s="77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4863</v>
      </c>
      <c r="X5" s="102">
        <v>0</v>
      </c>
      <c r="Y5" s="10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5" s="89">
        <v>49013008</v>
      </c>
      <c r="AA5" s="14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3"/>
  <sheetViews>
    <sheetView showGridLines="0" zoomScale="75" zoomScaleNormal="75" zoomScalePageLayoutView="75" workbookViewId="0">
      <pane ySplit="1" topLeftCell="A59" activePane="bottomLeft" state="frozenSplit"/>
      <selection pane="bottomLeft" activeCell="E84" sqref="E84:F84"/>
    </sheetView>
  </sheetViews>
  <sheetFormatPr baseColWidth="12" defaultColWidth="12.83203125" defaultRowHeight="21" customHeight="1" outlineLevelCol="1" x14ac:dyDescent="0.15"/>
  <cols>
    <col min="1" max="1" width="12.83203125" style="24"/>
    <col min="2" max="2" width="67.1640625" style="24" customWidth="1"/>
    <col min="3" max="4" width="12.83203125" style="24"/>
    <col min="5" max="5" width="23.6640625" style="24" bestFit="1" customWidth="1"/>
    <col min="6" max="6" width="44.1640625" style="24" bestFit="1" customWidth="1"/>
    <col min="7" max="7" width="52" style="24" hidden="1" customWidth="1" outlineLevel="1"/>
    <col min="8" max="8" width="18.33203125" style="24" hidden="1" customWidth="1" outlineLevel="1"/>
    <col min="9" max="11" width="18.6640625" style="24" hidden="1" customWidth="1" outlineLevel="1"/>
    <col min="12" max="12" width="23.6640625" style="24" customWidth="1" collapsed="1"/>
    <col min="13" max="18" width="23.6640625" style="24" hidden="1" customWidth="1" outlineLevel="1"/>
    <col min="19" max="19" width="23.6640625" style="24" customWidth="1" collapsed="1"/>
    <col min="20" max="24" width="23.6640625" style="24" hidden="1" customWidth="1" outlineLevel="1"/>
    <col min="25" max="25" width="23.6640625" style="24" customWidth="1" collapsed="1"/>
    <col min="26" max="27" width="12.83203125" style="24"/>
    <col min="28" max="28" width="44.5" style="24" customWidth="1"/>
    <col min="29" max="16384" width="12.83203125" style="24"/>
  </cols>
  <sheetData>
    <row r="1" spans="1:28" ht="21" customHeight="1" x14ac:dyDescent="0.15">
      <c r="A1" s="16" t="s">
        <v>79</v>
      </c>
      <c r="B1" s="16" t="s">
        <v>80</v>
      </c>
      <c r="C1" s="16" t="s">
        <v>81</v>
      </c>
      <c r="D1" s="16" t="s">
        <v>125</v>
      </c>
      <c r="E1" s="16" t="s">
        <v>82</v>
      </c>
      <c r="F1" s="16" t="s">
        <v>83</v>
      </c>
      <c r="G1" s="17" t="s">
        <v>130</v>
      </c>
      <c r="H1" s="17" t="s">
        <v>136</v>
      </c>
      <c r="I1" s="17" t="s">
        <v>138</v>
      </c>
      <c r="J1" s="17" t="s">
        <v>137</v>
      </c>
      <c r="K1" s="17" t="s">
        <v>139</v>
      </c>
      <c r="L1" s="17" t="s">
        <v>131</v>
      </c>
      <c r="M1" s="17" t="s">
        <v>129</v>
      </c>
      <c r="N1" s="17" t="s">
        <v>132</v>
      </c>
      <c r="O1" s="17" t="s">
        <v>140</v>
      </c>
      <c r="P1" s="17" t="s">
        <v>141</v>
      </c>
      <c r="Q1" s="17" t="s">
        <v>142</v>
      </c>
      <c r="R1" s="17" t="s">
        <v>143</v>
      </c>
      <c r="S1" s="17" t="s">
        <v>133</v>
      </c>
      <c r="T1" s="17" t="s">
        <v>134</v>
      </c>
      <c r="U1" s="17" t="s">
        <v>144</v>
      </c>
      <c r="V1" s="17" t="s">
        <v>145</v>
      </c>
      <c r="W1" s="17" t="s">
        <v>146</v>
      </c>
      <c r="X1" s="17" t="s">
        <v>147</v>
      </c>
      <c r="Y1" s="17" t="s">
        <v>135</v>
      </c>
      <c r="Z1" s="17" t="s">
        <v>76</v>
      </c>
      <c r="AA1" s="17" t="s">
        <v>77</v>
      </c>
      <c r="AB1" s="17" t="s">
        <v>78</v>
      </c>
    </row>
    <row r="2" spans="1:28" ht="21" customHeight="1" x14ac:dyDescent="0.15">
      <c r="A2" s="127">
        <v>49013001</v>
      </c>
      <c r="B2" s="22" t="s">
        <v>374</v>
      </c>
      <c r="C2" s="25">
        <v>3</v>
      </c>
      <c r="D2" s="25" t="s">
        <v>194</v>
      </c>
      <c r="E2" s="26" t="s">
        <v>251</v>
      </c>
      <c r="F2" s="26" t="s">
        <v>304</v>
      </c>
      <c r="G2" s="38" t="str">
        <f t="shared" ref="G2:G10" si="0">IFERROR(LEFT(B2,FIND("],",B2)),B2)</f>
        <v>[effect:enemy_message, val1:1, val2:2]</v>
      </c>
      <c r="H2" s="38">
        <f t="shared" ref="H2:H10" si="1">FIND("effect:",G2)+7</f>
        <v>9</v>
      </c>
      <c r="I2" s="38">
        <f t="shared" ref="I2:I10" si="2">IFERROR(FIND(",",G2),LEN(G2))</f>
        <v>22</v>
      </c>
      <c r="J2" s="38" t="e">
        <f t="shared" ref="J2:J10" si="3">FIND("target:",G2)+7</f>
        <v>#VALUE!</v>
      </c>
      <c r="K2" s="38">
        <f t="shared" ref="K2:K10" si="4">FIND(",",G2,I2+1)</f>
        <v>30</v>
      </c>
      <c r="L2" s="38" t="str">
        <f>IFERROR(VLOOKUP(MID(G2,J2,K2-J2),[5]skilldef!$C:$D,2,FALSE),"-") &amp; " / " &amp; IFERROR(VLOOKUP(MID(G2,H2,I2-H2),[5]skilldef!$A:$B,2,FALSE),"-")</f>
        <v>- / -</v>
      </c>
      <c r="M2" s="38" t="str">
        <f t="shared" ref="M2:M10" si="5">IFERROR(RIGHT(B2,LEN(B2)-FIND("],",B2)-1),"none")</f>
        <v>[effect:dark, target:unit_all, turn:1, animation:enemy_dark]</v>
      </c>
      <c r="N2" s="23" t="str">
        <f t="shared" ref="N2:N7" si="6">IFERROR(LEFT(M2,FIND("],",M2)+S35),M2)</f>
        <v>[effect:dark, target:unit_all, turn:1, animation:enemy_dark]</v>
      </c>
      <c r="O2" s="38">
        <f t="shared" ref="O2:O10" si="7">FIND("effect:",N2)+7</f>
        <v>9</v>
      </c>
      <c r="P2" s="38">
        <f t="shared" ref="P2:P10" si="8">IFERROR(FIND(",",N2),LEN(N2))</f>
        <v>13</v>
      </c>
      <c r="Q2" s="38">
        <f t="shared" ref="Q2:Q10" si="9">FIND("target:",N2)+7</f>
        <v>22</v>
      </c>
      <c r="R2" s="38">
        <f t="shared" ref="R2:R10" si="10">FIND(",",N2,P2+1)</f>
        <v>30</v>
      </c>
      <c r="S2" s="38" t="str">
        <f>IFERROR(VLOOKUP(MID(N2,Q2,R2-Q2),[5]skilldef!$C:$D,2,FALSE),"-") &amp; " / " &amp; IFERROR(VLOOKUP(MID(N2,O2,P2-O2),[5]skilldef!$A:$B,2,FALSE),"-")</f>
        <v>味方全体に / 暗黒</v>
      </c>
      <c r="T2" s="23" t="str">
        <f t="shared" ref="T2:T10" si="11">IFERROR(RIGHT(M2,LEN(M2)-FIND("],",M2)-1),"none")</f>
        <v>none</v>
      </c>
      <c r="U2" s="38" t="e">
        <f t="shared" ref="U2:U10" si="12">FIND("effect:",T2)+7</f>
        <v>#VALUE!</v>
      </c>
      <c r="V2" s="38">
        <f t="shared" ref="V2:V10" si="13">IFERROR(FIND(",",T2),LEN(T2))</f>
        <v>4</v>
      </c>
      <c r="W2" s="38" t="e">
        <f t="shared" ref="W2:W10" si="14">FIND("target:",T2)+7</f>
        <v>#VALUE!</v>
      </c>
      <c r="X2" s="38" t="e">
        <f t="shared" ref="X2:X10" si="15">FIND(",",T2,V2+1)</f>
        <v>#VALUE!</v>
      </c>
      <c r="Y2" s="38" t="str">
        <f>IFERROR(VLOOKUP(MID(T2,W2,X2-W2),[5]skilldef!$C:$D,2,FALSE),"-") &amp; " / " &amp; IFERROR(VLOOKUP(MID(T2,U2,V2-U2),[5]skilldef!$A:$B,2,FALSE),"-")</f>
        <v>- / -</v>
      </c>
      <c r="Z2" s="25"/>
      <c r="AA2" s="27"/>
      <c r="AB2" s="25"/>
    </row>
    <row r="3" spans="1:28" ht="21" customHeight="1" x14ac:dyDescent="0.15">
      <c r="A3" s="127">
        <v>49013002</v>
      </c>
      <c r="B3" s="22" t="s">
        <v>374</v>
      </c>
      <c r="C3" s="25">
        <v>3</v>
      </c>
      <c r="D3" s="25" t="s">
        <v>194</v>
      </c>
      <c r="E3" s="26" t="s">
        <v>258</v>
      </c>
      <c r="F3" s="155" t="s">
        <v>305</v>
      </c>
      <c r="G3" s="38" t="str">
        <f t="shared" si="0"/>
        <v>[effect:enemy_message, val1:1, val2:2]</v>
      </c>
      <c r="H3" s="38">
        <f t="shared" si="1"/>
        <v>9</v>
      </c>
      <c r="I3" s="38">
        <f t="shared" si="2"/>
        <v>22</v>
      </c>
      <c r="J3" s="38" t="e">
        <f t="shared" si="3"/>
        <v>#VALUE!</v>
      </c>
      <c r="K3" s="38">
        <f t="shared" si="4"/>
        <v>30</v>
      </c>
      <c r="L3" s="38" t="str">
        <f>IFERROR(VLOOKUP(MID(G3,J3,K3-J3),[5]skilldef!$C:$D,2,FALSE),"-") &amp; " / " &amp; IFERROR(VLOOKUP(MID(G3,H3,I3-H3),[5]skilldef!$A:$B,2,FALSE),"-")</f>
        <v>- / -</v>
      </c>
      <c r="M3" s="38" t="str">
        <f t="shared" si="5"/>
        <v>[effect:dark, target:unit_all, turn:1, animation:enemy_dark]</v>
      </c>
      <c r="N3" s="23" t="str">
        <f t="shared" si="6"/>
        <v>[effect:dark, target:unit_all, turn:1, animation:enemy_dark]</v>
      </c>
      <c r="O3" s="38">
        <f t="shared" si="7"/>
        <v>9</v>
      </c>
      <c r="P3" s="38">
        <f t="shared" si="8"/>
        <v>13</v>
      </c>
      <c r="Q3" s="38">
        <f t="shared" si="9"/>
        <v>22</v>
      </c>
      <c r="R3" s="38">
        <f t="shared" si="10"/>
        <v>30</v>
      </c>
      <c r="S3" s="38" t="str">
        <f>IFERROR(VLOOKUP(MID(N3,Q3,R3-Q3),[5]skilldef!$C:$D,2,FALSE),"-") &amp; " / " &amp; IFERROR(VLOOKUP(MID(N3,O3,P3-O3),[5]skilldef!$A:$B,2,FALSE),"-")</f>
        <v>味方全体に / 暗黒</v>
      </c>
      <c r="T3" s="23" t="str">
        <f t="shared" si="11"/>
        <v>none</v>
      </c>
      <c r="U3" s="38" t="e">
        <f t="shared" si="12"/>
        <v>#VALUE!</v>
      </c>
      <c r="V3" s="38">
        <f t="shared" si="13"/>
        <v>4</v>
      </c>
      <c r="W3" s="38" t="e">
        <f t="shared" si="14"/>
        <v>#VALUE!</v>
      </c>
      <c r="X3" s="38" t="e">
        <f t="shared" si="15"/>
        <v>#VALUE!</v>
      </c>
      <c r="Y3" s="38" t="str">
        <f>IFERROR(VLOOKUP(MID(T3,W3,X3-W3),[5]skilldef!$C:$D,2,FALSE),"-") &amp; " / " &amp; IFERROR(VLOOKUP(MID(T3,U3,V3-U3),[5]skilldef!$A:$B,2,FALSE),"-")</f>
        <v>- / -</v>
      </c>
      <c r="Z3" s="25"/>
      <c r="AA3" s="27"/>
      <c r="AB3" s="25"/>
    </row>
    <row r="4" spans="1:28" ht="21" customHeight="1" x14ac:dyDescent="0.15">
      <c r="A4" s="127">
        <v>49013003</v>
      </c>
      <c r="B4" s="22" t="s">
        <v>260</v>
      </c>
      <c r="C4" s="25">
        <v>3</v>
      </c>
      <c r="D4" s="25" t="s">
        <v>194</v>
      </c>
      <c r="E4" s="26" t="s">
        <v>258</v>
      </c>
      <c r="F4" s="155" t="s">
        <v>350</v>
      </c>
      <c r="G4" s="38" t="str">
        <f t="shared" si="0"/>
        <v>[effect:dark, target:unit_all, turn:1, animation:enemy_dark]</v>
      </c>
      <c r="H4" s="38">
        <f t="shared" si="1"/>
        <v>9</v>
      </c>
      <c r="I4" s="38">
        <f t="shared" si="2"/>
        <v>13</v>
      </c>
      <c r="J4" s="38">
        <f t="shared" si="3"/>
        <v>22</v>
      </c>
      <c r="K4" s="38">
        <f t="shared" si="4"/>
        <v>30</v>
      </c>
      <c r="L4" s="38" t="str">
        <f>IFERROR(VLOOKUP(MID(G4,J4,K4-J4),[5]skilldef!$C:$D,2,FALSE),"-") &amp; " / " &amp; IFERROR(VLOOKUP(MID(G4,H4,I4-H4),[5]skilldef!$A:$B,2,FALSE),"-")</f>
        <v>味方全体に / 暗黒</v>
      </c>
      <c r="M4" s="38" t="str">
        <f t="shared" si="5"/>
        <v>none</v>
      </c>
      <c r="N4" s="23" t="str">
        <f t="shared" si="6"/>
        <v>none</v>
      </c>
      <c r="O4" s="38" t="e">
        <f t="shared" si="7"/>
        <v>#VALUE!</v>
      </c>
      <c r="P4" s="38">
        <f t="shared" si="8"/>
        <v>4</v>
      </c>
      <c r="Q4" s="38" t="e">
        <f t="shared" si="9"/>
        <v>#VALUE!</v>
      </c>
      <c r="R4" s="38" t="e">
        <f t="shared" si="10"/>
        <v>#VALUE!</v>
      </c>
      <c r="S4" s="38" t="str">
        <f>IFERROR(VLOOKUP(MID(N4,Q4,R4-Q4),[5]skilldef!$C:$D,2,FALSE),"-") &amp; " / " &amp; IFERROR(VLOOKUP(MID(N4,O4,P4-O4),[5]skilldef!$A:$B,2,FALSE),"-")</f>
        <v>- / -</v>
      </c>
      <c r="T4" s="23" t="str">
        <f t="shared" si="11"/>
        <v>none</v>
      </c>
      <c r="U4" s="38" t="e">
        <f t="shared" si="12"/>
        <v>#VALUE!</v>
      </c>
      <c r="V4" s="38">
        <f t="shared" si="13"/>
        <v>4</v>
      </c>
      <c r="W4" s="38" t="e">
        <f t="shared" si="14"/>
        <v>#VALUE!</v>
      </c>
      <c r="X4" s="38" t="e">
        <f t="shared" si="15"/>
        <v>#VALUE!</v>
      </c>
      <c r="Y4" s="38" t="str">
        <f>IFERROR(VLOOKUP(MID(T4,W4,X4-W4),[5]skilldef!$C:$D,2,FALSE),"-") &amp; " / " &amp; IFERROR(VLOOKUP(MID(T4,U4,V4-U4),[5]skilldef!$A:$B,2,FALSE),"-")</f>
        <v>- / -</v>
      </c>
      <c r="Z4" s="25"/>
      <c r="AA4" s="27"/>
      <c r="AB4" s="25"/>
    </row>
    <row r="5" spans="1:28" ht="21" customHeight="1" x14ac:dyDescent="0.15">
      <c r="A5" s="127">
        <v>49013004</v>
      </c>
      <c r="B5" s="22" t="s">
        <v>374</v>
      </c>
      <c r="C5" s="25">
        <v>3</v>
      </c>
      <c r="D5" s="25" t="s">
        <v>194</v>
      </c>
      <c r="E5" s="26" t="s">
        <v>258</v>
      </c>
      <c r="F5" s="155" t="s">
        <v>306</v>
      </c>
      <c r="G5" s="38" t="str">
        <f t="shared" si="0"/>
        <v>[effect:enemy_message, val1:1, val2:2]</v>
      </c>
      <c r="H5" s="38">
        <f t="shared" si="1"/>
        <v>9</v>
      </c>
      <c r="I5" s="38">
        <f t="shared" si="2"/>
        <v>22</v>
      </c>
      <c r="J5" s="38" t="e">
        <f t="shared" si="3"/>
        <v>#VALUE!</v>
      </c>
      <c r="K5" s="38">
        <f t="shared" si="4"/>
        <v>30</v>
      </c>
      <c r="L5" s="38" t="str">
        <f>IFERROR(VLOOKUP(MID(G5,J5,K5-J5),[5]skilldef!$C:$D,2,FALSE),"-") &amp; " / " &amp; IFERROR(VLOOKUP(MID(G5,H5,I5-H5),[5]skilldef!$A:$B,2,FALSE),"-")</f>
        <v>- / -</v>
      </c>
      <c r="M5" s="38" t="str">
        <f t="shared" si="5"/>
        <v>[effect:dark, target:unit_all, turn:1, animation:enemy_dark]</v>
      </c>
      <c r="N5" s="23" t="str">
        <f t="shared" si="6"/>
        <v>[effect:dark, target:unit_all, turn:1, animation:enemy_dark]</v>
      </c>
      <c r="O5" s="38">
        <f t="shared" si="7"/>
        <v>9</v>
      </c>
      <c r="P5" s="38">
        <f t="shared" si="8"/>
        <v>13</v>
      </c>
      <c r="Q5" s="38">
        <f t="shared" si="9"/>
        <v>22</v>
      </c>
      <c r="R5" s="38">
        <f t="shared" si="10"/>
        <v>30</v>
      </c>
      <c r="S5" s="38" t="str">
        <f>IFERROR(VLOOKUP(MID(N5,Q5,R5-Q5),[5]skilldef!$C:$D,2,FALSE),"-") &amp; " / " &amp; IFERROR(VLOOKUP(MID(N5,O5,P5-O5),[5]skilldef!$A:$B,2,FALSE),"-")</f>
        <v>味方全体に / 暗黒</v>
      </c>
      <c r="T5" s="23" t="str">
        <f t="shared" si="11"/>
        <v>none</v>
      </c>
      <c r="U5" s="38" t="e">
        <f t="shared" si="12"/>
        <v>#VALUE!</v>
      </c>
      <c r="V5" s="38">
        <f t="shared" si="13"/>
        <v>4</v>
      </c>
      <c r="W5" s="38" t="e">
        <f t="shared" si="14"/>
        <v>#VALUE!</v>
      </c>
      <c r="X5" s="38" t="e">
        <f t="shared" si="15"/>
        <v>#VALUE!</v>
      </c>
      <c r="Y5" s="38" t="str">
        <f>IFERROR(VLOOKUP(MID(T5,W5,X5-W5),[5]skilldef!$C:$D,2,FALSE),"-") &amp; " / " &amp; IFERROR(VLOOKUP(MID(T5,U5,V5-U5),[5]skilldef!$A:$B,2,FALSE),"-")</f>
        <v>- / -</v>
      </c>
      <c r="Z5" s="25"/>
      <c r="AA5" s="27"/>
      <c r="AB5" s="25"/>
    </row>
    <row r="6" spans="1:28" ht="21" customHeight="1" x14ac:dyDescent="0.15">
      <c r="A6" s="127">
        <v>49013005</v>
      </c>
      <c r="B6" s="22" t="s">
        <v>260</v>
      </c>
      <c r="C6" s="25">
        <v>3</v>
      </c>
      <c r="D6" s="25" t="s">
        <v>194</v>
      </c>
      <c r="E6" s="26" t="s">
        <v>258</v>
      </c>
      <c r="F6" s="155" t="s">
        <v>307</v>
      </c>
      <c r="G6" s="38" t="str">
        <f t="shared" si="0"/>
        <v>[effect:dark, target:unit_all, turn:1, animation:enemy_dark]</v>
      </c>
      <c r="H6" s="38">
        <f t="shared" si="1"/>
        <v>9</v>
      </c>
      <c r="I6" s="38">
        <f t="shared" si="2"/>
        <v>13</v>
      </c>
      <c r="J6" s="38">
        <f t="shared" si="3"/>
        <v>22</v>
      </c>
      <c r="K6" s="38">
        <f t="shared" si="4"/>
        <v>30</v>
      </c>
      <c r="L6" s="38" t="str">
        <f>IFERROR(VLOOKUP(MID(G6,J6,K6-J6),[5]skilldef!$C:$D,2,FALSE),"-") &amp; " / " &amp; IFERROR(VLOOKUP(MID(G6,H6,I6-H6),[5]skilldef!$A:$B,2,FALSE),"-")</f>
        <v>味方全体に / 暗黒</v>
      </c>
      <c r="M6" s="38" t="str">
        <f t="shared" si="5"/>
        <v>none</v>
      </c>
      <c r="N6" s="23" t="str">
        <f t="shared" si="6"/>
        <v>none</v>
      </c>
      <c r="O6" s="38" t="e">
        <f t="shared" si="7"/>
        <v>#VALUE!</v>
      </c>
      <c r="P6" s="38">
        <f t="shared" si="8"/>
        <v>4</v>
      </c>
      <c r="Q6" s="38" t="e">
        <f t="shared" si="9"/>
        <v>#VALUE!</v>
      </c>
      <c r="R6" s="38" t="e">
        <f t="shared" si="10"/>
        <v>#VALUE!</v>
      </c>
      <c r="S6" s="38" t="str">
        <f>IFERROR(VLOOKUP(MID(N6,Q6,R6-Q6),[5]skilldef!$C:$D,2,FALSE),"-") &amp; " / " &amp; IFERROR(VLOOKUP(MID(N6,O6,P6-O6),[5]skilldef!$A:$B,2,FALSE),"-")</f>
        <v>- / -</v>
      </c>
      <c r="T6" s="23" t="str">
        <f t="shared" si="11"/>
        <v>none</v>
      </c>
      <c r="U6" s="38" t="e">
        <f t="shared" si="12"/>
        <v>#VALUE!</v>
      </c>
      <c r="V6" s="38">
        <f t="shared" si="13"/>
        <v>4</v>
      </c>
      <c r="W6" s="38" t="e">
        <f t="shared" si="14"/>
        <v>#VALUE!</v>
      </c>
      <c r="X6" s="38" t="e">
        <f t="shared" si="15"/>
        <v>#VALUE!</v>
      </c>
      <c r="Y6" s="38" t="str">
        <f>IFERROR(VLOOKUP(MID(T6,W6,X6-W6),[5]skilldef!$C:$D,2,FALSE),"-") &amp; " / " &amp; IFERROR(VLOOKUP(MID(T6,U6,V6-U6),[5]skilldef!$A:$B,2,FALSE),"-")</f>
        <v>- / -</v>
      </c>
      <c r="Z6" s="25"/>
      <c r="AA6" s="27"/>
      <c r="AB6" s="25"/>
    </row>
    <row r="7" spans="1:28" ht="21" customHeight="1" x14ac:dyDescent="0.15">
      <c r="A7" s="127">
        <v>49013006</v>
      </c>
      <c r="B7" s="22" t="s">
        <v>260</v>
      </c>
      <c r="C7" s="25">
        <v>3</v>
      </c>
      <c r="D7" s="25" t="s">
        <v>194</v>
      </c>
      <c r="E7" s="26" t="s">
        <v>258</v>
      </c>
      <c r="F7" s="155" t="s">
        <v>308</v>
      </c>
      <c r="G7" s="38" t="str">
        <f t="shared" si="0"/>
        <v>[effect:dark, target:unit_all, turn:1, animation:enemy_dark]</v>
      </c>
      <c r="H7" s="38">
        <f t="shared" si="1"/>
        <v>9</v>
      </c>
      <c r="I7" s="38">
        <f t="shared" si="2"/>
        <v>13</v>
      </c>
      <c r="J7" s="38">
        <f t="shared" si="3"/>
        <v>22</v>
      </c>
      <c r="K7" s="38">
        <f t="shared" si="4"/>
        <v>30</v>
      </c>
      <c r="L7" s="38" t="str">
        <f>IFERROR(VLOOKUP(MID(G7,J7,K7-J7),[5]skilldef!$C:$D,2,FALSE),"-") &amp; " / " &amp; IFERROR(VLOOKUP(MID(G7,H7,I7-H7),[5]skilldef!$A:$B,2,FALSE),"-")</f>
        <v>味方全体に / 暗黒</v>
      </c>
      <c r="M7" s="38" t="str">
        <f t="shared" si="5"/>
        <v>none</v>
      </c>
      <c r="N7" s="23" t="str">
        <f t="shared" si="6"/>
        <v>none</v>
      </c>
      <c r="O7" s="38" t="e">
        <f t="shared" si="7"/>
        <v>#VALUE!</v>
      </c>
      <c r="P7" s="38">
        <f t="shared" si="8"/>
        <v>4</v>
      </c>
      <c r="Q7" s="38" t="e">
        <f t="shared" si="9"/>
        <v>#VALUE!</v>
      </c>
      <c r="R7" s="38" t="e">
        <f t="shared" si="10"/>
        <v>#VALUE!</v>
      </c>
      <c r="S7" s="38" t="str">
        <f>IFERROR(VLOOKUP(MID(N7,Q7,R7-Q7),[5]skilldef!$C:$D,2,FALSE),"-") &amp; " / " &amp; IFERROR(VLOOKUP(MID(N7,O7,P7-O7),[5]skilldef!$A:$B,2,FALSE),"-")</f>
        <v>- / -</v>
      </c>
      <c r="T7" s="23" t="str">
        <f t="shared" si="11"/>
        <v>none</v>
      </c>
      <c r="U7" s="38" t="e">
        <f t="shared" si="12"/>
        <v>#VALUE!</v>
      </c>
      <c r="V7" s="38">
        <f t="shared" si="13"/>
        <v>4</v>
      </c>
      <c r="W7" s="38" t="e">
        <f t="shared" si="14"/>
        <v>#VALUE!</v>
      </c>
      <c r="X7" s="38" t="e">
        <f t="shared" si="15"/>
        <v>#VALUE!</v>
      </c>
      <c r="Y7" s="38" t="str">
        <f>IFERROR(VLOOKUP(MID(T7,W7,X7-W7),[5]skilldef!$C:$D,2,FALSE),"-") &amp; " / " &amp; IFERROR(VLOOKUP(MID(T7,U7,V7-U7),[5]skilldef!$A:$B,2,FALSE),"-")</f>
        <v>- / -</v>
      </c>
      <c r="Z7" s="25"/>
      <c r="AA7" s="27"/>
      <c r="AB7" s="25"/>
    </row>
    <row r="8" spans="1:28" ht="21" customHeight="1" x14ac:dyDescent="0.15">
      <c r="A8" s="127">
        <v>49013007</v>
      </c>
      <c r="B8" s="22" t="s">
        <v>374</v>
      </c>
      <c r="C8" s="25">
        <v>3</v>
      </c>
      <c r="D8" s="25" t="s">
        <v>194</v>
      </c>
      <c r="E8" s="26" t="s">
        <v>258</v>
      </c>
      <c r="F8" s="155" t="s">
        <v>309</v>
      </c>
      <c r="G8" s="38" t="str">
        <f t="shared" si="0"/>
        <v>[effect:enemy_message, val1:1, val2:2]</v>
      </c>
      <c r="H8" s="38">
        <f t="shared" si="1"/>
        <v>9</v>
      </c>
      <c r="I8" s="38">
        <f t="shared" si="2"/>
        <v>22</v>
      </c>
      <c r="J8" s="38" t="e">
        <f t="shared" si="3"/>
        <v>#VALUE!</v>
      </c>
      <c r="K8" s="38">
        <f t="shared" si="4"/>
        <v>30</v>
      </c>
      <c r="L8" s="38" t="str">
        <f>IFERROR(VLOOKUP(MID(G8,J8,K8-J8),[5]skilldef!$C:$D,2,FALSE),"-") &amp; " / " &amp; IFERROR(VLOOKUP(MID(G8,H8,I8-H8),[5]skilldef!$A:$B,2,FALSE),"-")</f>
        <v>- / -</v>
      </c>
      <c r="M8" s="38" t="str">
        <f t="shared" si="5"/>
        <v>[effect:dark, target:unit_all, turn:1, animation:enemy_dark]</v>
      </c>
      <c r="N8" s="23" t="str">
        <f>IFERROR(LEFT(M8,FIND("],",M8)+S17),M8)</f>
        <v>[effect:dark, target:unit_all, turn:1, animation:enemy_dark]</v>
      </c>
      <c r="O8" s="38">
        <f t="shared" si="7"/>
        <v>9</v>
      </c>
      <c r="P8" s="38">
        <f t="shared" si="8"/>
        <v>13</v>
      </c>
      <c r="Q8" s="38">
        <f t="shared" si="9"/>
        <v>22</v>
      </c>
      <c r="R8" s="38">
        <f t="shared" si="10"/>
        <v>30</v>
      </c>
      <c r="S8" s="38" t="str">
        <f>IFERROR(VLOOKUP(MID(N8,Q8,R8-Q8),[5]skilldef!$C:$D,2,FALSE),"-") &amp; " / " &amp; IFERROR(VLOOKUP(MID(N8,O8,P8-O8),[5]skilldef!$A:$B,2,FALSE),"-")</f>
        <v>味方全体に / 暗黒</v>
      </c>
      <c r="T8" s="23" t="str">
        <f t="shared" si="11"/>
        <v>none</v>
      </c>
      <c r="U8" s="38" t="e">
        <f t="shared" si="12"/>
        <v>#VALUE!</v>
      </c>
      <c r="V8" s="38">
        <f t="shared" si="13"/>
        <v>4</v>
      </c>
      <c r="W8" s="38" t="e">
        <f t="shared" si="14"/>
        <v>#VALUE!</v>
      </c>
      <c r="X8" s="38" t="e">
        <f t="shared" si="15"/>
        <v>#VALUE!</v>
      </c>
      <c r="Y8" s="38" t="str">
        <f>IFERROR(VLOOKUP(MID(T8,W8,X8-W8),[5]skilldef!$C:$D,2,FALSE),"-") &amp; " / " &amp; IFERROR(VLOOKUP(MID(T8,U8,V8-U8),[5]skilldef!$A:$B,2,FALSE),"-")</f>
        <v>- / -</v>
      </c>
      <c r="Z8" s="25"/>
      <c r="AA8" s="27"/>
      <c r="AB8" s="25"/>
    </row>
    <row r="9" spans="1:28" ht="21" customHeight="1" x14ac:dyDescent="0.15">
      <c r="A9" s="127">
        <v>49013008</v>
      </c>
      <c r="B9" s="22" t="s">
        <v>374</v>
      </c>
      <c r="C9" s="25">
        <v>3</v>
      </c>
      <c r="D9" s="25" t="s">
        <v>194</v>
      </c>
      <c r="E9" s="26" t="s">
        <v>258</v>
      </c>
      <c r="F9" s="155" t="s">
        <v>310</v>
      </c>
      <c r="G9" s="38" t="str">
        <f t="shared" si="0"/>
        <v>[effect:enemy_message, val1:1, val2:2]</v>
      </c>
      <c r="H9" s="38">
        <f t="shared" si="1"/>
        <v>9</v>
      </c>
      <c r="I9" s="38">
        <f t="shared" si="2"/>
        <v>22</v>
      </c>
      <c r="J9" s="38" t="e">
        <f t="shared" si="3"/>
        <v>#VALUE!</v>
      </c>
      <c r="K9" s="38">
        <f t="shared" si="4"/>
        <v>30</v>
      </c>
      <c r="L9" s="38" t="str">
        <f>IFERROR(VLOOKUP(MID(G9,J9,K9-J9),[5]skilldef!$C:$D,2,FALSE),"-") &amp; " / " &amp; IFERROR(VLOOKUP(MID(G9,H9,I9-H9),[5]skilldef!$A:$B,2,FALSE),"-")</f>
        <v>- / -</v>
      </c>
      <c r="M9" s="38" t="str">
        <f t="shared" si="5"/>
        <v>[effect:dark, target:unit_all, turn:1, animation:enemy_dark]</v>
      </c>
      <c r="N9" s="23" t="str">
        <f>IFERROR(LEFT(M9,FIND("],",M9)+S18),M9)</f>
        <v>[effect:dark, target:unit_all, turn:1, animation:enemy_dark]</v>
      </c>
      <c r="O9" s="38">
        <f t="shared" si="7"/>
        <v>9</v>
      </c>
      <c r="P9" s="38">
        <f t="shared" si="8"/>
        <v>13</v>
      </c>
      <c r="Q9" s="38">
        <f t="shared" si="9"/>
        <v>22</v>
      </c>
      <c r="R9" s="38">
        <f t="shared" si="10"/>
        <v>30</v>
      </c>
      <c r="S9" s="38" t="str">
        <f>IFERROR(VLOOKUP(MID(N9,Q9,R9-Q9),[5]skilldef!$C:$D,2,FALSE),"-") &amp; " / " &amp; IFERROR(VLOOKUP(MID(N9,O9,P9-O9),[5]skilldef!$A:$B,2,FALSE),"-")</f>
        <v>味方全体に / 暗黒</v>
      </c>
      <c r="T9" s="23" t="str">
        <f t="shared" si="11"/>
        <v>none</v>
      </c>
      <c r="U9" s="38" t="e">
        <f t="shared" si="12"/>
        <v>#VALUE!</v>
      </c>
      <c r="V9" s="38">
        <f t="shared" si="13"/>
        <v>4</v>
      </c>
      <c r="W9" s="38" t="e">
        <f t="shared" si="14"/>
        <v>#VALUE!</v>
      </c>
      <c r="X9" s="38" t="e">
        <f t="shared" si="15"/>
        <v>#VALUE!</v>
      </c>
      <c r="Y9" s="38" t="str">
        <f>IFERROR(VLOOKUP(MID(T9,W9,X9-W9),[5]skilldef!$C:$D,2,FALSE),"-") &amp; " / " &amp; IFERROR(VLOOKUP(MID(T9,U9,V9-U9),[5]skilldef!$A:$B,2,FALSE),"-")</f>
        <v>- / -</v>
      </c>
      <c r="Z9" s="25"/>
      <c r="AA9" s="27"/>
      <c r="AB9" s="25"/>
    </row>
    <row r="10" spans="1:28" ht="21" customHeight="1" x14ac:dyDescent="0.15">
      <c r="A10" s="128">
        <v>49013009</v>
      </c>
      <c r="B10" s="22" t="s">
        <v>377</v>
      </c>
      <c r="C10" s="25">
        <v>3</v>
      </c>
      <c r="D10" s="25" t="s">
        <v>194</v>
      </c>
      <c r="E10" s="26" t="s">
        <v>251</v>
      </c>
      <c r="F10" s="26" t="s">
        <v>252</v>
      </c>
      <c r="G10" s="38" t="str">
        <f t="shared" si="0"/>
        <v>[effect:dark, target:unit_all, turn:1, animation:enemy_dark]</v>
      </c>
      <c r="H10" s="38">
        <f t="shared" si="1"/>
        <v>9</v>
      </c>
      <c r="I10" s="38">
        <f t="shared" si="2"/>
        <v>13</v>
      </c>
      <c r="J10" s="38">
        <f t="shared" si="3"/>
        <v>22</v>
      </c>
      <c r="K10" s="38">
        <f t="shared" si="4"/>
        <v>30</v>
      </c>
      <c r="L10" s="38" t="str">
        <f>IFERROR(VLOOKUP(MID(G10,J10,K10-J10),[5]skilldef!$C:$D,2,FALSE),"-") &amp; " / " &amp; IFERROR(VLOOKUP(MID(G10,H10,I10-H10),[5]skilldef!$A:$B,2,FALSE),"-")</f>
        <v>味方全体に / 暗黒</v>
      </c>
      <c r="M10" s="38" t="str">
        <f t="shared" si="5"/>
        <v>none</v>
      </c>
      <c r="N10" s="23" t="str">
        <f>IFERROR(LEFT(M10,FIND("],",M10)+S26),M10)</f>
        <v>none</v>
      </c>
      <c r="O10" s="38" t="e">
        <f t="shared" si="7"/>
        <v>#VALUE!</v>
      </c>
      <c r="P10" s="38">
        <f t="shared" si="8"/>
        <v>4</v>
      </c>
      <c r="Q10" s="38" t="e">
        <f t="shared" si="9"/>
        <v>#VALUE!</v>
      </c>
      <c r="R10" s="38" t="e">
        <f t="shared" si="10"/>
        <v>#VALUE!</v>
      </c>
      <c r="S10" s="38" t="str">
        <f>IFERROR(VLOOKUP(MID(N10,Q10,R10-Q10),[5]skilldef!$C:$D,2,FALSE),"-") &amp; " / " &amp; IFERROR(VLOOKUP(MID(N10,O10,P10-O10),[5]skilldef!$A:$B,2,FALSE),"-")</f>
        <v>- / -</v>
      </c>
      <c r="T10" s="23" t="str">
        <f t="shared" si="11"/>
        <v>none</v>
      </c>
      <c r="U10" s="38" t="e">
        <f t="shared" si="12"/>
        <v>#VALUE!</v>
      </c>
      <c r="V10" s="38">
        <f t="shared" si="13"/>
        <v>4</v>
      </c>
      <c r="W10" s="38" t="e">
        <f t="shared" si="14"/>
        <v>#VALUE!</v>
      </c>
      <c r="X10" s="38" t="e">
        <f t="shared" si="15"/>
        <v>#VALUE!</v>
      </c>
      <c r="Y10" s="38" t="str">
        <f>IFERROR(VLOOKUP(MID(T10,W10,X10-W10),[5]skilldef!$C:$D,2,FALSE),"-") &amp; " / " &amp; IFERROR(VLOOKUP(MID(T10,U10,V10-U10),[5]skilldef!$A:$B,2,FALSE),"-")</f>
        <v>- / -</v>
      </c>
      <c r="Z10" s="25"/>
      <c r="AA10" s="27"/>
      <c r="AB10" s="25"/>
    </row>
    <row r="11" spans="1:28" ht="21" customHeight="1" x14ac:dyDescent="0.15">
      <c r="A11" s="128">
        <v>49013010</v>
      </c>
      <c r="B11" s="22" t="s">
        <v>253</v>
      </c>
      <c r="C11" s="25">
        <v>3</v>
      </c>
      <c r="D11" s="25" t="s">
        <v>194</v>
      </c>
      <c r="E11" s="26" t="s">
        <v>334</v>
      </c>
      <c r="F11" s="26" t="s">
        <v>346</v>
      </c>
      <c r="G11" s="38" t="str">
        <f t="shared" ref="G11:G82" si="16">IFERROR(LEFT(B11,FIND("],",B11)),B11)</f>
        <v>[effect:dis_heart, turn:1, animation:enemy_dis_heart]</v>
      </c>
      <c r="H11" s="38">
        <f t="shared" ref="H11:H83" si="17">FIND("effect:",G11)+7</f>
        <v>9</v>
      </c>
      <c r="I11" s="38">
        <f t="shared" ref="I11:I83" si="18">IFERROR(FIND(",",G11),LEN(G11))</f>
        <v>18</v>
      </c>
      <c r="J11" s="38" t="e">
        <f t="shared" ref="J11:J83" si="19">FIND("target:",G11)+7</f>
        <v>#VALUE!</v>
      </c>
      <c r="K11" s="38">
        <f t="shared" ref="K11:K83" si="20">FIND(",",G11,I11+1)</f>
        <v>26</v>
      </c>
      <c r="L11" s="38" t="str">
        <f>IFERROR(VLOOKUP(MID(G11,J11,K11-J11),[5]skilldef!$C:$D,2,FALSE),"-") &amp; " / " &amp; IFERROR(VLOOKUP(MID(G11,H11,I11-H11),[5]skilldef!$A:$B,2,FALSE),"-")</f>
        <v>- / ディスハート</v>
      </c>
      <c r="M11" s="38" t="str">
        <f t="shared" ref="M11:M82" si="21">IFERROR(RIGHT(B11,LEN(B11)-FIND("],",B11)-1),"none")</f>
        <v>none</v>
      </c>
      <c r="N11" s="23" t="str">
        <f>IFERROR(LEFT(M11,FIND("],",M11)+S27),M11)</f>
        <v>none</v>
      </c>
      <c r="O11" s="38" t="e">
        <f t="shared" ref="O11:O83" si="22">FIND("effect:",N11)+7</f>
        <v>#VALUE!</v>
      </c>
      <c r="P11" s="38">
        <f t="shared" ref="P11:P83" si="23">IFERROR(FIND(",",N11),LEN(N11))</f>
        <v>4</v>
      </c>
      <c r="Q11" s="38" t="e">
        <f t="shared" ref="Q11:Q83" si="24">FIND("target:",N11)+7</f>
        <v>#VALUE!</v>
      </c>
      <c r="R11" s="38" t="e">
        <f t="shared" ref="R11:R83" si="25">FIND(",",N11,P11+1)</f>
        <v>#VALUE!</v>
      </c>
      <c r="S11" s="38" t="str">
        <f>IFERROR(VLOOKUP(MID(N11,Q11,R11-Q11),[5]skilldef!$C:$D,2,FALSE),"-") &amp; " / " &amp; IFERROR(VLOOKUP(MID(N11,O11,P11-O11),[5]skilldef!$A:$B,2,FALSE),"-")</f>
        <v>- / -</v>
      </c>
      <c r="T11" s="23" t="str">
        <f t="shared" ref="T11:T83" si="26">IFERROR(RIGHT(M11,LEN(M11)-FIND("],",M11)-1),"none")</f>
        <v>none</v>
      </c>
      <c r="U11" s="38" t="e">
        <f t="shared" ref="U11:U83" si="27">FIND("effect:",T11)+7</f>
        <v>#VALUE!</v>
      </c>
      <c r="V11" s="38">
        <f t="shared" ref="V11:V83" si="28">IFERROR(FIND(",",T11),LEN(T11))</f>
        <v>4</v>
      </c>
      <c r="W11" s="38" t="e">
        <f t="shared" ref="W11:W83" si="29">FIND("target:",T11)+7</f>
        <v>#VALUE!</v>
      </c>
      <c r="X11" s="38" t="e">
        <f t="shared" ref="X11:X83" si="30">FIND(",",T11,V11+1)</f>
        <v>#VALUE!</v>
      </c>
      <c r="Y11" s="38" t="str">
        <f>IFERROR(VLOOKUP(MID(T11,W11,X11-W11),[5]skilldef!$C:$D,2,FALSE),"-") &amp; " / " &amp; IFERROR(VLOOKUP(MID(T11,U11,V11-U11),[5]skilldef!$A:$B,2,FALSE),"-")</f>
        <v>- / -</v>
      </c>
      <c r="Z11" s="25"/>
      <c r="AA11" s="27"/>
      <c r="AB11" s="25"/>
    </row>
    <row r="12" spans="1:28" ht="21" customHeight="1" x14ac:dyDescent="0.15">
      <c r="A12" s="128">
        <v>49013011</v>
      </c>
      <c r="B12" s="22" t="s">
        <v>254</v>
      </c>
      <c r="C12" s="25">
        <v>3</v>
      </c>
      <c r="D12" s="25" t="s">
        <v>194</v>
      </c>
      <c r="E12" s="26" t="s">
        <v>251</v>
      </c>
      <c r="F12" s="26" t="s">
        <v>255</v>
      </c>
      <c r="G12" s="38" t="str">
        <f t="shared" si="16"/>
        <v>[effect:dis_panel, target:block_red, turn:1]</v>
      </c>
      <c r="H12" s="38">
        <f t="shared" si="17"/>
        <v>9</v>
      </c>
      <c r="I12" s="38">
        <f t="shared" si="18"/>
        <v>18</v>
      </c>
      <c r="J12" s="38">
        <f t="shared" si="19"/>
        <v>27</v>
      </c>
      <c r="K12" s="38">
        <f t="shared" si="20"/>
        <v>36</v>
      </c>
      <c r="L12" s="38" t="str">
        <f>IFERROR(VLOOKUP(MID(G12,J12,K12-J12),[5]skilldef!$C:$D,2,FALSE),"-") &amp; " / " &amp; IFERROR(VLOOKUP(MID(G12,H12,I12-H12),[5]skilldef!$A:$B,2,FALSE),"-")</f>
        <v>赤パネルを / ディスパネル</v>
      </c>
      <c r="M12" s="38" t="str">
        <f t="shared" si="21"/>
        <v>[effect:dis_panel, target:block_yellow, turn:1]</v>
      </c>
      <c r="N12" s="23" t="str">
        <f>IFERROR(LEFT(M12,FIND("],",M12)+S28),M12)</f>
        <v>[effect:dis_panel, target:block_yellow, turn:1]</v>
      </c>
      <c r="O12" s="38">
        <f t="shared" si="22"/>
        <v>9</v>
      </c>
      <c r="P12" s="38">
        <f t="shared" si="23"/>
        <v>18</v>
      </c>
      <c r="Q12" s="38">
        <f t="shared" si="24"/>
        <v>27</v>
      </c>
      <c r="R12" s="38">
        <f t="shared" si="25"/>
        <v>39</v>
      </c>
      <c r="S12" s="38" t="str">
        <f>IFERROR(VLOOKUP(MID(N12,Q12,R12-Q12),[5]skilldef!$C:$D,2,FALSE),"-") &amp; " / " &amp; IFERROR(VLOOKUP(MID(N12,O12,P12-O12),[5]skilldef!$A:$B,2,FALSE),"-")</f>
        <v>黄色パネルを / ディスパネル</v>
      </c>
      <c r="T12" s="23" t="str">
        <f t="shared" si="26"/>
        <v>none</v>
      </c>
      <c r="U12" s="38" t="e">
        <f t="shared" si="27"/>
        <v>#VALUE!</v>
      </c>
      <c r="V12" s="38">
        <f t="shared" si="28"/>
        <v>4</v>
      </c>
      <c r="W12" s="38" t="e">
        <f t="shared" si="29"/>
        <v>#VALUE!</v>
      </c>
      <c r="X12" s="38" t="e">
        <f t="shared" si="30"/>
        <v>#VALUE!</v>
      </c>
      <c r="Y12" s="38" t="str">
        <f>IFERROR(VLOOKUP(MID(T12,W12,X12-W12),[5]skilldef!$C:$D,2,FALSE),"-") &amp; " / " &amp; IFERROR(VLOOKUP(MID(T12,U12,V12-U12),[5]skilldef!$A:$B,2,FALSE),"-")</f>
        <v>- / -</v>
      </c>
      <c r="Z12" s="25"/>
      <c r="AA12" s="27"/>
      <c r="AB12" s="25"/>
    </row>
    <row r="13" spans="1:28" ht="21" customHeight="1" x14ac:dyDescent="0.15">
      <c r="A13" s="128">
        <v>49013012</v>
      </c>
      <c r="B13" s="22" t="s">
        <v>256</v>
      </c>
      <c r="C13" s="25">
        <v>3</v>
      </c>
      <c r="D13" s="25" t="s">
        <v>194</v>
      </c>
      <c r="E13" s="26" t="s">
        <v>251</v>
      </c>
      <c r="F13" s="26" t="s">
        <v>257</v>
      </c>
      <c r="G13" s="38" t="str">
        <f t="shared" si="16"/>
        <v>[effect:dis_panel, target:block_green, turn:1]</v>
      </c>
      <c r="H13" s="38">
        <f t="shared" si="17"/>
        <v>9</v>
      </c>
      <c r="I13" s="38">
        <f t="shared" si="18"/>
        <v>18</v>
      </c>
      <c r="J13" s="38">
        <f t="shared" si="19"/>
        <v>27</v>
      </c>
      <c r="K13" s="38">
        <f t="shared" si="20"/>
        <v>38</v>
      </c>
      <c r="L13" s="38" t="str">
        <f>IFERROR(VLOOKUP(MID(G13,J13,K13-J13),[5]skilldef!$C:$D,2,FALSE),"-") &amp; " / " &amp; IFERROR(VLOOKUP(MID(G13,H13,I13-H13),[5]skilldef!$A:$B,2,FALSE),"-")</f>
        <v>緑パネルを / ディスパネル</v>
      </c>
      <c r="M13" s="38" t="str">
        <f t="shared" si="21"/>
        <v>[effect:dis_panel, target:block_blue, turn:1]</v>
      </c>
      <c r="N13" s="23" t="str">
        <f>IFERROR(LEFT(M13,FIND("],",M13)+S30),M13)</f>
        <v>[effect:dis_panel, target:block_blue, turn:1]</v>
      </c>
      <c r="O13" s="38">
        <f t="shared" si="22"/>
        <v>9</v>
      </c>
      <c r="P13" s="38">
        <f t="shared" si="23"/>
        <v>18</v>
      </c>
      <c r="Q13" s="38">
        <f t="shared" si="24"/>
        <v>27</v>
      </c>
      <c r="R13" s="38">
        <f t="shared" si="25"/>
        <v>37</v>
      </c>
      <c r="S13" s="38" t="str">
        <f>IFERROR(VLOOKUP(MID(N13,Q13,R13-Q13),[5]skilldef!$C:$D,2,FALSE),"-") &amp; " / " &amp; IFERROR(VLOOKUP(MID(N13,O13,P13-O13),[5]skilldef!$A:$B,2,FALSE),"-")</f>
        <v>青パネルを / ディスパネル</v>
      </c>
      <c r="T13" s="23" t="str">
        <f t="shared" si="26"/>
        <v>none</v>
      </c>
      <c r="U13" s="38" t="e">
        <f t="shared" si="27"/>
        <v>#VALUE!</v>
      </c>
      <c r="V13" s="38">
        <f t="shared" si="28"/>
        <v>4</v>
      </c>
      <c r="W13" s="38" t="e">
        <f t="shared" si="29"/>
        <v>#VALUE!</v>
      </c>
      <c r="X13" s="38" t="e">
        <f t="shared" si="30"/>
        <v>#VALUE!</v>
      </c>
      <c r="Y13" s="38" t="str">
        <f>IFERROR(VLOOKUP(MID(T13,W13,X13-W13),[5]skilldef!$C:$D,2,FALSE),"-") &amp; " / " &amp; IFERROR(VLOOKUP(MID(T13,U13,V13-U13),[5]skilldef!$A:$B,2,FALSE),"-")</f>
        <v>- / -</v>
      </c>
      <c r="Z13" s="25"/>
      <c r="AA13" s="27"/>
      <c r="AB13" s="25"/>
    </row>
    <row r="14" spans="1:28" ht="21" customHeight="1" x14ac:dyDescent="0.15">
      <c r="A14" s="128">
        <v>49013013</v>
      </c>
      <c r="B14" s="22" t="s">
        <v>363</v>
      </c>
      <c r="C14" s="25">
        <v>3</v>
      </c>
      <c r="D14" s="25" t="s">
        <v>194</v>
      </c>
      <c r="E14" s="26" t="s">
        <v>258</v>
      </c>
      <c r="F14" s="126" t="s">
        <v>259</v>
      </c>
      <c r="G14" s="38" t="str">
        <f t="shared" si="16"/>
        <v>[effect:spread, val:0.25]</v>
      </c>
      <c r="H14" s="38">
        <f t="shared" si="17"/>
        <v>9</v>
      </c>
      <c r="I14" s="38">
        <f t="shared" si="18"/>
        <v>15</v>
      </c>
      <c r="J14" s="38" t="e">
        <f t="shared" si="19"/>
        <v>#VALUE!</v>
      </c>
      <c r="K14" s="38" t="e">
        <f t="shared" si="20"/>
        <v>#VALUE!</v>
      </c>
      <c r="L14" s="38" t="str">
        <f>IFERROR(VLOOKUP(MID(G14,J14,K14-J14),[5]skilldef!$C:$D,2,FALSE),"-") &amp; " / " &amp; IFERROR(VLOOKUP(MID(G14,H14,I14-H14),[5]skilldef!$A:$B,2,FALSE),"-")</f>
        <v>- / 全体攻撃</v>
      </c>
      <c r="M14" s="38" t="str">
        <f t="shared" si="21"/>
        <v>none</v>
      </c>
      <c r="N14" s="23" t="str">
        <f>IFERROR(LEFT(M14,FIND("],",M14)+S32),M14)</f>
        <v>none</v>
      </c>
      <c r="O14" s="38" t="e">
        <f t="shared" si="22"/>
        <v>#VALUE!</v>
      </c>
      <c r="P14" s="38">
        <f t="shared" si="23"/>
        <v>4</v>
      </c>
      <c r="Q14" s="38" t="e">
        <f t="shared" si="24"/>
        <v>#VALUE!</v>
      </c>
      <c r="R14" s="38" t="e">
        <f t="shared" si="25"/>
        <v>#VALUE!</v>
      </c>
      <c r="S14" s="38" t="str">
        <f>IFERROR(VLOOKUP(MID(N14,Q14,R14-Q14),[5]skilldef!$C:$D,2,FALSE),"-") &amp; " / " &amp; IFERROR(VLOOKUP(MID(N14,O14,P14-O14),[5]skilldef!$A:$B,2,FALSE),"-")</f>
        <v>- / -</v>
      </c>
      <c r="T14" s="23" t="str">
        <f t="shared" si="26"/>
        <v>none</v>
      </c>
      <c r="U14" s="38" t="e">
        <f t="shared" si="27"/>
        <v>#VALUE!</v>
      </c>
      <c r="V14" s="38">
        <f t="shared" si="28"/>
        <v>4</v>
      </c>
      <c r="W14" s="38" t="e">
        <f t="shared" si="29"/>
        <v>#VALUE!</v>
      </c>
      <c r="X14" s="38" t="e">
        <f t="shared" si="30"/>
        <v>#VALUE!</v>
      </c>
      <c r="Y14" s="38" t="str">
        <f>IFERROR(VLOOKUP(MID(T14,W14,X14-W14),[5]skilldef!$C:$D,2,FALSE),"-") &amp; " / " &amp; IFERROR(VLOOKUP(MID(T14,U14,V14-U14),[5]skilldef!$A:$B,2,FALSE),"-")</f>
        <v>- / -</v>
      </c>
      <c r="Z14" s="25"/>
      <c r="AA14" s="27"/>
      <c r="AB14" s="25"/>
    </row>
    <row r="15" spans="1:28" ht="21" customHeight="1" x14ac:dyDescent="0.15">
      <c r="A15" s="128">
        <v>49013014</v>
      </c>
      <c r="B15" s="22" t="s">
        <v>364</v>
      </c>
      <c r="C15" s="25">
        <v>3</v>
      </c>
      <c r="D15" s="25" t="s">
        <v>194</v>
      </c>
      <c r="E15" s="26" t="s">
        <v>334</v>
      </c>
      <c r="F15" s="26" t="s">
        <v>347</v>
      </c>
      <c r="G15" s="38" t="str">
        <f t="shared" si="16"/>
        <v>[effect:damage_abnormal, target:unit_one, val:0.8, status:hungup, turn:1, rate:1, animation:hungup01]</v>
      </c>
      <c r="H15" s="38">
        <f t="shared" si="17"/>
        <v>9</v>
      </c>
      <c r="I15" s="38">
        <f t="shared" si="18"/>
        <v>24</v>
      </c>
      <c r="J15" s="38">
        <f t="shared" si="19"/>
        <v>33</v>
      </c>
      <c r="K15" s="38">
        <f t="shared" si="20"/>
        <v>41</v>
      </c>
      <c r="L15" s="38" t="str">
        <f>IFERROR(VLOOKUP(MID(G15,J15,K15-J15),[5]skilldef!$C:$D,2,FALSE),"-") &amp; " / " &amp; IFERROR(VLOOKUP(MID(G15,H15,I15-H15),[5]skilldef!$A:$B,2,FALSE),"-")</f>
        <v>味方単体に / -</v>
      </c>
      <c r="M15" s="38" t="str">
        <f t="shared" si="21"/>
        <v>none</v>
      </c>
      <c r="N15" s="23" t="str">
        <f>IFERROR(LEFT(M15,FIND("],",M15)+S41),M15)</f>
        <v>none</v>
      </c>
      <c r="O15" s="38" t="e">
        <f t="shared" si="22"/>
        <v>#VALUE!</v>
      </c>
      <c r="P15" s="38">
        <f t="shared" si="23"/>
        <v>4</v>
      </c>
      <c r="Q15" s="38" t="e">
        <f t="shared" si="24"/>
        <v>#VALUE!</v>
      </c>
      <c r="R15" s="38" t="e">
        <f t="shared" si="25"/>
        <v>#VALUE!</v>
      </c>
      <c r="S15" s="38" t="str">
        <f>IFERROR(VLOOKUP(MID(N15,Q15,R15-Q15),[5]skilldef!$C:$D,2,FALSE),"-") &amp; " / " &amp; IFERROR(VLOOKUP(MID(N15,O15,P15-O15),[5]skilldef!$A:$B,2,FALSE),"-")</f>
        <v>- / -</v>
      </c>
      <c r="T15" s="23" t="str">
        <f t="shared" si="26"/>
        <v>none</v>
      </c>
      <c r="U15" s="38" t="e">
        <f t="shared" si="27"/>
        <v>#VALUE!</v>
      </c>
      <c r="V15" s="38">
        <f t="shared" si="28"/>
        <v>4</v>
      </c>
      <c r="W15" s="38" t="e">
        <f t="shared" si="29"/>
        <v>#VALUE!</v>
      </c>
      <c r="X15" s="38" t="e">
        <f t="shared" si="30"/>
        <v>#VALUE!</v>
      </c>
      <c r="Y15" s="38" t="str">
        <f>IFERROR(VLOOKUP(MID(T15,W15,X15-W15),[5]skilldef!$C:$D,2,FALSE),"-") &amp; " / " &amp; IFERROR(VLOOKUP(MID(T15,U15,V15-U15),[5]skilldef!$A:$B,2,FALSE),"-")</f>
        <v>- / -</v>
      </c>
      <c r="Z15" s="25"/>
      <c r="AA15" s="27"/>
      <c r="AB15" s="25"/>
    </row>
    <row r="16" spans="1:28" ht="21" customHeight="1" x14ac:dyDescent="0.15">
      <c r="A16" s="128">
        <v>49013015</v>
      </c>
      <c r="B16" s="22" t="s">
        <v>260</v>
      </c>
      <c r="C16" s="25">
        <v>3</v>
      </c>
      <c r="D16" s="25" t="s">
        <v>194</v>
      </c>
      <c r="E16" s="26" t="s">
        <v>334</v>
      </c>
      <c r="F16" s="26" t="s">
        <v>348</v>
      </c>
      <c r="G16" s="38" t="str">
        <f t="shared" si="16"/>
        <v>[effect:dark, target:unit_all, turn:1, animation:enemy_dark]</v>
      </c>
      <c r="H16" s="38">
        <f t="shared" si="17"/>
        <v>9</v>
      </c>
      <c r="I16" s="38">
        <f t="shared" si="18"/>
        <v>13</v>
      </c>
      <c r="J16" s="38">
        <f t="shared" si="19"/>
        <v>22</v>
      </c>
      <c r="K16" s="38">
        <f t="shared" si="20"/>
        <v>30</v>
      </c>
      <c r="L16" s="38" t="str">
        <f>IFERROR(VLOOKUP(MID(G16,J16,K16-J16),[5]skilldef!$C:$D,2,FALSE),"-") &amp; " / " &amp; IFERROR(VLOOKUP(MID(G16,H16,I16-H16),[5]skilldef!$A:$B,2,FALSE),"-")</f>
        <v>味方全体に / 暗黒</v>
      </c>
      <c r="M16" s="38" t="str">
        <f t="shared" si="21"/>
        <v>none</v>
      </c>
      <c r="N16" s="23" t="str">
        <f>IFERROR(LEFT(M16,FIND("],",M16)+#REF!),M16)</f>
        <v>none</v>
      </c>
      <c r="O16" s="38" t="e">
        <f t="shared" si="22"/>
        <v>#VALUE!</v>
      </c>
      <c r="P16" s="38">
        <f t="shared" si="23"/>
        <v>4</v>
      </c>
      <c r="Q16" s="38" t="e">
        <f t="shared" si="24"/>
        <v>#VALUE!</v>
      </c>
      <c r="R16" s="38" t="e">
        <f t="shared" si="25"/>
        <v>#VALUE!</v>
      </c>
      <c r="S16" s="38" t="str">
        <f>IFERROR(VLOOKUP(MID(N16,Q16,R16-Q16),[5]skilldef!$C:$D,2,FALSE),"-") &amp; " / " &amp; IFERROR(VLOOKUP(MID(N16,O16,P16-O16),[5]skilldef!$A:$B,2,FALSE),"-")</f>
        <v>- / -</v>
      </c>
      <c r="T16" s="23" t="str">
        <f t="shared" si="26"/>
        <v>none</v>
      </c>
      <c r="U16" s="38" t="e">
        <f t="shared" si="27"/>
        <v>#VALUE!</v>
      </c>
      <c r="V16" s="38">
        <f t="shared" si="28"/>
        <v>4</v>
      </c>
      <c r="W16" s="38" t="e">
        <f t="shared" si="29"/>
        <v>#VALUE!</v>
      </c>
      <c r="X16" s="38" t="e">
        <f t="shared" si="30"/>
        <v>#VALUE!</v>
      </c>
      <c r="Y16" s="38" t="str">
        <f>IFERROR(VLOOKUP(MID(T16,W16,X16-W16),[5]skilldef!$C:$D,2,FALSE),"-") &amp; " / " &amp; IFERROR(VLOOKUP(MID(T16,U16,V16-U16),[5]skilldef!$A:$B,2,FALSE),"-")</f>
        <v>- / -</v>
      </c>
      <c r="Z16" s="25"/>
      <c r="AA16" s="27"/>
      <c r="AB16" s="25"/>
    </row>
    <row r="17" spans="1:28" ht="21" customHeight="1" x14ac:dyDescent="0.15">
      <c r="A17" s="127">
        <v>49013016</v>
      </c>
      <c r="B17" s="22" t="s">
        <v>378</v>
      </c>
      <c r="C17" s="25">
        <v>3</v>
      </c>
      <c r="D17" s="25" t="s">
        <v>194</v>
      </c>
      <c r="E17" s="26" t="s">
        <v>343</v>
      </c>
      <c r="F17" s="26" t="s">
        <v>351</v>
      </c>
      <c r="G17" s="38" t="str">
        <f>IFERROR(LEFT(B17,FIND("],",B17)),B17)</f>
        <v>[effect:enemy_message, val1:1.2, val2:1.8]</v>
      </c>
      <c r="H17" s="38">
        <f>FIND("effect:",G17)+7</f>
        <v>9</v>
      </c>
      <c r="I17" s="38">
        <f>IFERROR(FIND(",",G17),LEN(G17))</f>
        <v>22</v>
      </c>
      <c r="J17" s="38" t="e">
        <f>FIND("target:",G17)+7</f>
        <v>#VALUE!</v>
      </c>
      <c r="K17" s="38">
        <f>FIND(",",G17,I17+1)</f>
        <v>32</v>
      </c>
      <c r="L17" s="38" t="str">
        <f>IFERROR(VLOOKUP(MID(G17,J17,K17-J17),[5]skilldef!$C:$D,2,FALSE),"-") &amp; " / " &amp; IFERROR(VLOOKUP(MID(G17,H17,I17-H17),[5]skilldef!$A:$B,2,FALSE),"-")</f>
        <v>- / -</v>
      </c>
      <c r="M17" s="38" t="str">
        <f t="shared" ref="M17:M24" si="31">IFERROR(RIGHT(B17,LEN(B17)-FIND("],",B17)-1),"none")</f>
        <v xml:space="preserve">[effect:tolerance, target:myself, turn:-1, tolerance_effect:all, count:-1, animation:enemy_tolerance],[effect:fix_speed, target:myself, turn:2]    </v>
      </c>
      <c r="N17" s="23" t="str">
        <f t="shared" ref="N17:N24" si="32">IFERROR(LEFT(M17,FIND("],",M17)+S54),M17)</f>
        <v xml:space="preserve">[effect:tolerance, target:myself, turn:-1, tolerance_effect:all, count:-1, animation:enemy_tolerance],[effect:fix_speed, target:myself, turn:2]    </v>
      </c>
      <c r="O17" s="38">
        <f t="shared" ref="O17:O24" si="33">FIND("effect:",N17)+7</f>
        <v>9</v>
      </c>
      <c r="P17" s="38">
        <f t="shared" ref="P17:P24" si="34">IFERROR(FIND(",",N17),LEN(N17))</f>
        <v>18</v>
      </c>
      <c r="Q17" s="38">
        <f t="shared" ref="Q17:Q24" si="35">FIND("target:",N17)+7</f>
        <v>27</v>
      </c>
      <c r="R17" s="38">
        <f t="shared" ref="R17:R24" si="36">FIND(",",N17,P17+1)</f>
        <v>33</v>
      </c>
      <c r="S17" s="38" t="str">
        <f>IFERROR(VLOOKUP(MID(N17,Q17,R17-Q17),[5]skilldef!$C:$D,2,FALSE),"-") &amp; " / " &amp; IFERROR(VLOOKUP(MID(N17,O17,P17-O17),[5]skilldef!$A:$B,2,FALSE),"-")</f>
        <v>自分自身に / 状態異常耐性</v>
      </c>
      <c r="T17" s="23" t="str">
        <f t="shared" ref="T17:T24" si="37">IFERROR(RIGHT(M17,LEN(M17)-FIND("],",M17)-1),"none")</f>
        <v xml:space="preserve">[effect:fix_speed, target:myself, turn:2]    </v>
      </c>
      <c r="U17" s="38">
        <f t="shared" ref="U17:U24" si="38">FIND("effect:",T17)+7</f>
        <v>9</v>
      </c>
      <c r="V17" s="38">
        <f t="shared" ref="V17:V24" si="39">IFERROR(FIND(",",T17),LEN(T17))</f>
        <v>18</v>
      </c>
      <c r="W17" s="38">
        <f t="shared" ref="W17:W24" si="40">FIND("target:",T17)+7</f>
        <v>27</v>
      </c>
      <c r="X17" s="38">
        <f t="shared" ref="X17:X24" si="41">FIND(",",T17,V17+1)</f>
        <v>33</v>
      </c>
      <c r="Y17" s="38" t="str">
        <f>IFERROR(VLOOKUP(MID(T17,W17,X17-W17),[5]skilldef!$C:$D,2,FALSE),"-") &amp; " / " &amp; IFERROR(VLOOKUP(MID(T17,U17,V17-U17),[5]skilldef!$A:$B,2,FALSE),"-")</f>
        <v>自分自身に / 行動値設定</v>
      </c>
      <c r="Z17" s="25"/>
      <c r="AA17" s="27"/>
      <c r="AB17" s="25"/>
    </row>
    <row r="18" spans="1:28" ht="21" customHeight="1" x14ac:dyDescent="0.15">
      <c r="A18" s="127">
        <v>49013017</v>
      </c>
      <c r="B18" s="22" t="s">
        <v>261</v>
      </c>
      <c r="C18" s="25">
        <v>3</v>
      </c>
      <c r="D18" s="25" t="s">
        <v>194</v>
      </c>
      <c r="E18" s="155" t="s">
        <v>313</v>
      </c>
      <c r="F18" s="26" t="s">
        <v>351</v>
      </c>
      <c r="G18" s="38" t="str">
        <f>IFERROR(LEFT(B18,FIND("],",B18)),B18)</f>
        <v>[effect:tolerance, target:myself, turn:-1, tolerance_effect:all, count:-1, animation:enemy_tolerance]</v>
      </c>
      <c r="H18" s="38">
        <f>FIND("effect:",G18)+7</f>
        <v>9</v>
      </c>
      <c r="I18" s="38">
        <f>IFERROR(FIND(",",G18),LEN(G18))</f>
        <v>18</v>
      </c>
      <c r="J18" s="38">
        <f>FIND("target:",G18)+7</f>
        <v>27</v>
      </c>
      <c r="K18" s="38">
        <f>FIND(",",G18,I18+1)</f>
        <v>33</v>
      </c>
      <c r="L18" s="38" t="str">
        <f>IFERROR(VLOOKUP(MID(G18,J18,K18-J18),[5]skilldef!$C:$D,2,FALSE),"-") &amp; " / " &amp; IFERROR(VLOOKUP(MID(G18,H18,I18-H18),[5]skilldef!$A:$B,2,FALSE),"-")</f>
        <v>自分自身に / 状態異常耐性</v>
      </c>
      <c r="M18" s="38" t="str">
        <f t="shared" si="31"/>
        <v xml:space="preserve">[effect:fix_speed, target:myself, turn:2]    </v>
      </c>
      <c r="N18" s="23" t="str">
        <f t="shared" si="32"/>
        <v xml:space="preserve">[effect:fix_speed, target:myself, turn:2]    </v>
      </c>
      <c r="O18" s="38">
        <f t="shared" si="33"/>
        <v>9</v>
      </c>
      <c r="P18" s="38">
        <f t="shared" si="34"/>
        <v>18</v>
      </c>
      <c r="Q18" s="38">
        <f t="shared" si="35"/>
        <v>27</v>
      </c>
      <c r="R18" s="38">
        <f t="shared" si="36"/>
        <v>33</v>
      </c>
      <c r="S18" s="38" t="str">
        <f>IFERROR(VLOOKUP(MID(N18,Q18,R18-Q18),[5]skilldef!$C:$D,2,FALSE),"-") &amp; " / " &amp; IFERROR(VLOOKUP(MID(N18,O18,P18-O18),[5]skilldef!$A:$B,2,FALSE),"-")</f>
        <v>自分自身に / 行動値設定</v>
      </c>
      <c r="T18" s="23" t="str">
        <f t="shared" si="37"/>
        <v>none</v>
      </c>
      <c r="U18" s="38" t="e">
        <f t="shared" si="38"/>
        <v>#VALUE!</v>
      </c>
      <c r="V18" s="38">
        <f t="shared" si="39"/>
        <v>4</v>
      </c>
      <c r="W18" s="38" t="e">
        <f t="shared" si="40"/>
        <v>#VALUE!</v>
      </c>
      <c r="X18" s="38" t="e">
        <f t="shared" si="41"/>
        <v>#VALUE!</v>
      </c>
      <c r="Y18" s="38" t="str">
        <f>IFERROR(VLOOKUP(MID(T18,W18,X18-W18),[5]skilldef!$C:$D,2,FALSE),"-") &amp; " / " &amp; IFERROR(VLOOKUP(MID(T18,U18,V18-U18),[5]skilldef!$A:$B,2,FALSE),"-")</f>
        <v>- / -</v>
      </c>
      <c r="Z18" s="25"/>
      <c r="AA18" s="27"/>
      <c r="AB18" s="25"/>
    </row>
    <row r="19" spans="1:28" ht="21" customHeight="1" x14ac:dyDescent="0.15">
      <c r="A19" s="127">
        <v>49013018</v>
      </c>
      <c r="B19" s="22" t="s">
        <v>261</v>
      </c>
      <c r="C19" s="25">
        <v>3</v>
      </c>
      <c r="D19" s="25" t="s">
        <v>194</v>
      </c>
      <c r="E19" s="155" t="s">
        <v>344</v>
      </c>
      <c r="F19" s="26" t="s">
        <v>351</v>
      </c>
      <c r="G19" s="22"/>
      <c r="H19" s="22"/>
      <c r="I19" s="22"/>
      <c r="J19" s="22"/>
      <c r="K19" s="22"/>
      <c r="L19" s="38" t="str">
        <f>IFERROR(VLOOKUP(MID(G19,J19,K19-J19),[5]skilldef!$C:$D,2,FALSE),"-") &amp; " / " &amp; IFERROR(VLOOKUP(MID(G19,H19,I19-H19),[5]skilldef!$A:$B,2,FALSE),"-")</f>
        <v>- / -</v>
      </c>
      <c r="M19" s="38" t="str">
        <f t="shared" si="31"/>
        <v xml:space="preserve">[effect:fix_speed, target:myself, turn:2]    </v>
      </c>
      <c r="N19" s="23" t="str">
        <f t="shared" si="32"/>
        <v xml:space="preserve">[effect:fix_speed, target:myself, turn:2]    </v>
      </c>
      <c r="O19" s="38">
        <f t="shared" si="33"/>
        <v>9</v>
      </c>
      <c r="P19" s="38">
        <f t="shared" si="34"/>
        <v>18</v>
      </c>
      <c r="Q19" s="38">
        <f t="shared" si="35"/>
        <v>27</v>
      </c>
      <c r="R19" s="38">
        <f t="shared" si="36"/>
        <v>33</v>
      </c>
      <c r="S19" s="38" t="str">
        <f>IFERROR(VLOOKUP(MID(N19,Q19,R19-Q19),[5]skilldef!$C:$D,2,FALSE),"-") &amp; " / " &amp; IFERROR(VLOOKUP(MID(N19,O19,P19-O19),[5]skilldef!$A:$B,2,FALSE),"-")</f>
        <v>自分自身に / 行動値設定</v>
      </c>
      <c r="T19" s="23" t="str">
        <f t="shared" si="37"/>
        <v>none</v>
      </c>
      <c r="U19" s="38" t="e">
        <f t="shared" si="38"/>
        <v>#VALUE!</v>
      </c>
      <c r="V19" s="38">
        <f t="shared" si="39"/>
        <v>4</v>
      </c>
      <c r="W19" s="38" t="e">
        <f t="shared" si="40"/>
        <v>#VALUE!</v>
      </c>
      <c r="X19" s="38" t="e">
        <f t="shared" si="41"/>
        <v>#VALUE!</v>
      </c>
      <c r="Y19" s="38" t="str">
        <f>IFERROR(VLOOKUP(MID(T19,W19,X19-W19),[5]skilldef!$C:$D,2,FALSE),"-") &amp; " / " &amp; IFERROR(VLOOKUP(MID(T19,U19,V19-U19),[5]skilldef!$A:$B,2,FALSE),"-")</f>
        <v>- / -</v>
      </c>
      <c r="Z19" s="25"/>
      <c r="AA19" s="27"/>
      <c r="AB19" s="25"/>
    </row>
    <row r="20" spans="1:28" ht="21" customHeight="1" x14ac:dyDescent="0.15">
      <c r="A20" s="127">
        <v>49013019</v>
      </c>
      <c r="B20" s="22" t="s">
        <v>261</v>
      </c>
      <c r="C20" s="25">
        <v>3</v>
      </c>
      <c r="D20" s="25" t="s">
        <v>194</v>
      </c>
      <c r="E20" s="155" t="s">
        <v>314</v>
      </c>
      <c r="F20" s="26" t="s">
        <v>351</v>
      </c>
      <c r="G20" s="22"/>
      <c r="H20" s="22"/>
      <c r="I20" s="22"/>
      <c r="J20" s="22"/>
      <c r="K20" s="22"/>
      <c r="L20" s="38" t="str">
        <f>IFERROR(VLOOKUP(MID(G20,J20,K20-J20),[5]skilldef!$C:$D,2,FALSE),"-") &amp; " / " &amp; IFERROR(VLOOKUP(MID(G20,H20,I20-H20),[5]skilldef!$A:$B,2,FALSE),"-")</f>
        <v>- / -</v>
      </c>
      <c r="M20" s="38" t="str">
        <f t="shared" si="31"/>
        <v xml:space="preserve">[effect:fix_speed, target:myself, turn:2]    </v>
      </c>
      <c r="N20" s="23" t="str">
        <f t="shared" si="32"/>
        <v xml:space="preserve">[effect:fix_speed, target:myself, turn:2]    </v>
      </c>
      <c r="O20" s="38">
        <f t="shared" si="33"/>
        <v>9</v>
      </c>
      <c r="P20" s="38">
        <f t="shared" si="34"/>
        <v>18</v>
      </c>
      <c r="Q20" s="38">
        <f t="shared" si="35"/>
        <v>27</v>
      </c>
      <c r="R20" s="38">
        <f t="shared" si="36"/>
        <v>33</v>
      </c>
      <c r="S20" s="38" t="str">
        <f>IFERROR(VLOOKUP(MID(N20,Q20,R20-Q20),[5]skilldef!$C:$D,2,FALSE),"-") &amp; " / " &amp; IFERROR(VLOOKUP(MID(N20,O20,P20-O20),[5]skilldef!$A:$B,2,FALSE),"-")</f>
        <v>自分自身に / 行動値設定</v>
      </c>
      <c r="T20" s="23" t="str">
        <f t="shared" si="37"/>
        <v>none</v>
      </c>
      <c r="U20" s="38" t="e">
        <f t="shared" si="38"/>
        <v>#VALUE!</v>
      </c>
      <c r="V20" s="38">
        <f t="shared" si="39"/>
        <v>4</v>
      </c>
      <c r="W20" s="38" t="e">
        <f t="shared" si="40"/>
        <v>#VALUE!</v>
      </c>
      <c r="X20" s="38" t="e">
        <f t="shared" si="41"/>
        <v>#VALUE!</v>
      </c>
      <c r="Y20" s="38" t="str">
        <f>IFERROR(VLOOKUP(MID(T20,W20,X20-W20),[5]skilldef!$C:$D,2,FALSE),"-") &amp; " / " &amp; IFERROR(VLOOKUP(MID(T20,U20,V20-U20),[5]skilldef!$A:$B,2,FALSE),"-")</f>
        <v>- / -</v>
      </c>
      <c r="Z20" s="25"/>
      <c r="AA20" s="27"/>
      <c r="AB20" s="25"/>
    </row>
    <row r="21" spans="1:28" ht="21" customHeight="1" x14ac:dyDescent="0.15">
      <c r="A21" s="127">
        <v>49013020</v>
      </c>
      <c r="B21" s="22" t="s">
        <v>378</v>
      </c>
      <c r="C21" s="25">
        <v>3</v>
      </c>
      <c r="D21" s="25" t="s">
        <v>194</v>
      </c>
      <c r="E21" s="155" t="s">
        <v>379</v>
      </c>
      <c r="F21" s="26" t="s">
        <v>351</v>
      </c>
      <c r="G21" s="22"/>
      <c r="H21" s="22"/>
      <c r="I21" s="22"/>
      <c r="J21" s="22"/>
      <c r="K21" s="22"/>
      <c r="L21" s="38" t="str">
        <f>IFERROR(VLOOKUP(MID(G21,J21,K21-J21),[5]skilldef!$C:$D,2,FALSE),"-") &amp; " / " &amp; IFERROR(VLOOKUP(MID(G21,H21,I21-H21),[5]skilldef!$A:$B,2,FALSE),"-")</f>
        <v>- / -</v>
      </c>
      <c r="M21" s="38" t="str">
        <f t="shared" si="31"/>
        <v xml:space="preserve">[effect:tolerance, target:myself, turn:-1, tolerance_effect:all, count:-1, animation:enemy_tolerance],[effect:fix_speed, target:myself, turn:2]    </v>
      </c>
      <c r="N21" s="23" t="str">
        <f t="shared" si="32"/>
        <v xml:space="preserve">[effect:tolerance, target:myself, turn:-1, tolerance_effect:all, count:-1, animation:enemy_tolerance],[effect:fix_speed, target:myself, turn:2]    </v>
      </c>
      <c r="O21" s="38">
        <f t="shared" si="33"/>
        <v>9</v>
      </c>
      <c r="P21" s="38">
        <f t="shared" si="34"/>
        <v>18</v>
      </c>
      <c r="Q21" s="38">
        <f t="shared" si="35"/>
        <v>27</v>
      </c>
      <c r="R21" s="38">
        <f t="shared" si="36"/>
        <v>33</v>
      </c>
      <c r="S21" s="38" t="str">
        <f>IFERROR(VLOOKUP(MID(N21,Q21,R21-Q21),[5]skilldef!$C:$D,2,FALSE),"-") &amp; " / " &amp; IFERROR(VLOOKUP(MID(N21,O21,P21-O21),[5]skilldef!$A:$B,2,FALSE),"-")</f>
        <v>自分自身に / 状態異常耐性</v>
      </c>
      <c r="T21" s="23" t="str">
        <f t="shared" si="37"/>
        <v xml:space="preserve">[effect:fix_speed, target:myself, turn:2]    </v>
      </c>
      <c r="U21" s="38">
        <f t="shared" si="38"/>
        <v>9</v>
      </c>
      <c r="V21" s="38">
        <f t="shared" si="39"/>
        <v>18</v>
      </c>
      <c r="W21" s="38">
        <f t="shared" si="40"/>
        <v>27</v>
      </c>
      <c r="X21" s="38">
        <f t="shared" si="41"/>
        <v>33</v>
      </c>
      <c r="Y21" s="38" t="str">
        <f>IFERROR(VLOOKUP(MID(T21,W21,X21-W21),[5]skilldef!$C:$D,2,FALSE),"-") &amp; " / " &amp; IFERROR(VLOOKUP(MID(T21,U21,V21-U21),[5]skilldef!$A:$B,2,FALSE),"-")</f>
        <v>自分自身に / 行動値設定</v>
      </c>
      <c r="Z21" s="25"/>
      <c r="AA21" s="27"/>
      <c r="AB21" s="25"/>
    </row>
    <row r="22" spans="1:28" ht="21" customHeight="1" x14ac:dyDescent="0.15">
      <c r="A22" s="127">
        <v>49013021</v>
      </c>
      <c r="B22" s="22" t="s">
        <v>378</v>
      </c>
      <c r="C22" s="25">
        <v>3</v>
      </c>
      <c r="D22" s="25" t="s">
        <v>194</v>
      </c>
      <c r="E22" s="155" t="s">
        <v>380</v>
      </c>
      <c r="F22" s="26" t="s">
        <v>351</v>
      </c>
      <c r="G22" s="22"/>
      <c r="H22" s="22"/>
      <c r="I22" s="22"/>
      <c r="J22" s="22"/>
      <c r="K22" s="22"/>
      <c r="L22" s="38" t="str">
        <f>IFERROR(VLOOKUP(MID(G22,J22,K22-J22),[5]skilldef!$C:$D,2,FALSE),"-") &amp; " / " &amp; IFERROR(VLOOKUP(MID(G22,H22,I22-H22),[5]skilldef!$A:$B,2,FALSE),"-")</f>
        <v>- / -</v>
      </c>
      <c r="M22" s="38" t="str">
        <f t="shared" si="31"/>
        <v xml:space="preserve">[effect:tolerance, target:myself, turn:-1, tolerance_effect:all, count:-1, animation:enemy_tolerance],[effect:fix_speed, target:myself, turn:2]    </v>
      </c>
      <c r="N22" s="23" t="str">
        <f t="shared" si="32"/>
        <v xml:space="preserve">[effect:tolerance, target:myself, turn:-1, tolerance_effect:all, count:-1, animation:enemy_tolerance],[effect:fix_speed, target:myself, turn:2]    </v>
      </c>
      <c r="O22" s="38">
        <f t="shared" si="33"/>
        <v>9</v>
      </c>
      <c r="P22" s="38">
        <f t="shared" si="34"/>
        <v>18</v>
      </c>
      <c r="Q22" s="38">
        <f t="shared" si="35"/>
        <v>27</v>
      </c>
      <c r="R22" s="38">
        <f t="shared" si="36"/>
        <v>33</v>
      </c>
      <c r="S22" s="38" t="str">
        <f>IFERROR(VLOOKUP(MID(N22,Q22,R22-Q22),[5]skilldef!$C:$D,2,FALSE),"-") &amp; " / " &amp; IFERROR(VLOOKUP(MID(N22,O22,P22-O22),[5]skilldef!$A:$B,2,FALSE),"-")</f>
        <v>自分自身に / 状態異常耐性</v>
      </c>
      <c r="T22" s="23" t="str">
        <f t="shared" si="37"/>
        <v xml:space="preserve">[effect:fix_speed, target:myself, turn:2]    </v>
      </c>
      <c r="U22" s="38">
        <f t="shared" si="38"/>
        <v>9</v>
      </c>
      <c r="V22" s="38">
        <f t="shared" si="39"/>
        <v>18</v>
      </c>
      <c r="W22" s="38">
        <f t="shared" si="40"/>
        <v>27</v>
      </c>
      <c r="X22" s="38">
        <f t="shared" si="41"/>
        <v>33</v>
      </c>
      <c r="Y22" s="38" t="str">
        <f>IFERROR(VLOOKUP(MID(T22,W22,X22-W22),[5]skilldef!$C:$D,2,FALSE),"-") &amp; " / " &amp; IFERROR(VLOOKUP(MID(T22,U22,V22-U22),[5]skilldef!$A:$B,2,FALSE),"-")</f>
        <v>自分自身に / 行動値設定</v>
      </c>
      <c r="Z22" s="25"/>
      <c r="AA22" s="27"/>
      <c r="AB22" s="25"/>
    </row>
    <row r="23" spans="1:28" ht="21" customHeight="1" x14ac:dyDescent="0.15">
      <c r="A23" s="127">
        <v>49013022</v>
      </c>
      <c r="B23" s="22" t="s">
        <v>261</v>
      </c>
      <c r="C23" s="25">
        <v>3</v>
      </c>
      <c r="D23" s="25" t="s">
        <v>194</v>
      </c>
      <c r="E23" s="155" t="s">
        <v>315</v>
      </c>
      <c r="F23" s="26" t="s">
        <v>351</v>
      </c>
      <c r="G23" s="22"/>
      <c r="H23" s="22"/>
      <c r="I23" s="22"/>
      <c r="J23" s="22"/>
      <c r="K23" s="22"/>
      <c r="L23" s="38" t="str">
        <f>IFERROR(VLOOKUP(MID(G23,J23,K23-J23),[5]skilldef!$C:$D,2,FALSE),"-") &amp; " / " &amp; IFERROR(VLOOKUP(MID(G23,H23,I23-H23),[5]skilldef!$A:$B,2,FALSE),"-")</f>
        <v>- / -</v>
      </c>
      <c r="M23" s="38" t="str">
        <f t="shared" si="31"/>
        <v xml:space="preserve">[effect:fix_speed, target:myself, turn:2]    </v>
      </c>
      <c r="N23" s="23" t="str">
        <f t="shared" si="32"/>
        <v xml:space="preserve">[effect:fix_speed, target:myself, turn:2]    </v>
      </c>
      <c r="O23" s="38">
        <f t="shared" si="33"/>
        <v>9</v>
      </c>
      <c r="P23" s="38">
        <f t="shared" si="34"/>
        <v>18</v>
      </c>
      <c r="Q23" s="38">
        <f t="shared" si="35"/>
        <v>27</v>
      </c>
      <c r="R23" s="38">
        <f t="shared" si="36"/>
        <v>33</v>
      </c>
      <c r="S23" s="38" t="str">
        <f>IFERROR(VLOOKUP(MID(N23,Q23,R23-Q23),[5]skilldef!$C:$D,2,FALSE),"-") &amp; " / " &amp; IFERROR(VLOOKUP(MID(N23,O23,P23-O23),[5]skilldef!$A:$B,2,FALSE),"-")</f>
        <v>自分自身に / 行動値設定</v>
      </c>
      <c r="T23" s="23" t="str">
        <f t="shared" si="37"/>
        <v>none</v>
      </c>
      <c r="U23" s="38" t="e">
        <f t="shared" si="38"/>
        <v>#VALUE!</v>
      </c>
      <c r="V23" s="38">
        <f t="shared" si="39"/>
        <v>4</v>
      </c>
      <c r="W23" s="38" t="e">
        <f t="shared" si="40"/>
        <v>#VALUE!</v>
      </c>
      <c r="X23" s="38" t="e">
        <f t="shared" si="41"/>
        <v>#VALUE!</v>
      </c>
      <c r="Y23" s="38" t="str">
        <f>IFERROR(VLOOKUP(MID(T23,W23,X23-W23),[5]skilldef!$C:$D,2,FALSE),"-") &amp; " / " &amp; IFERROR(VLOOKUP(MID(T23,U23,V23-U23),[5]skilldef!$A:$B,2,FALSE),"-")</f>
        <v>- / -</v>
      </c>
      <c r="Z23" s="25"/>
      <c r="AA23" s="27"/>
      <c r="AB23" s="25"/>
    </row>
    <row r="24" spans="1:28" ht="21" customHeight="1" x14ac:dyDescent="0.15">
      <c r="A24" s="127">
        <v>49013023</v>
      </c>
      <c r="B24" s="22" t="s">
        <v>378</v>
      </c>
      <c r="C24" s="25">
        <v>3</v>
      </c>
      <c r="D24" s="25" t="s">
        <v>194</v>
      </c>
      <c r="E24" s="155" t="s">
        <v>345</v>
      </c>
      <c r="F24" s="26" t="s">
        <v>351</v>
      </c>
      <c r="G24" s="22"/>
      <c r="H24" s="22"/>
      <c r="I24" s="22"/>
      <c r="J24" s="22"/>
      <c r="K24" s="22"/>
      <c r="L24" s="38" t="str">
        <f>IFERROR(VLOOKUP(MID(G24,J24,K24-J24),[5]skilldef!$C:$D,2,FALSE),"-") &amp; " / " &amp; IFERROR(VLOOKUP(MID(G24,H24,I24-H24),[5]skilldef!$A:$B,2,FALSE),"-")</f>
        <v>- / -</v>
      </c>
      <c r="M24" s="38" t="str">
        <f t="shared" si="31"/>
        <v xml:space="preserve">[effect:tolerance, target:myself, turn:-1, tolerance_effect:all, count:-1, animation:enemy_tolerance],[effect:fix_speed, target:myself, turn:2]    </v>
      </c>
      <c r="N24" s="23" t="str">
        <f t="shared" si="32"/>
        <v xml:space="preserve">[effect:tolerance, target:myself, turn:-1, tolerance_effect:all, count:-1, animation:enemy_tolerance],[effect:fix_speed, target:myself, turn:2]    </v>
      </c>
      <c r="O24" s="38">
        <f t="shared" si="33"/>
        <v>9</v>
      </c>
      <c r="P24" s="38">
        <f t="shared" si="34"/>
        <v>18</v>
      </c>
      <c r="Q24" s="38">
        <f t="shared" si="35"/>
        <v>27</v>
      </c>
      <c r="R24" s="38">
        <f t="shared" si="36"/>
        <v>33</v>
      </c>
      <c r="S24" s="38" t="str">
        <f>IFERROR(VLOOKUP(MID(N24,Q24,R24-Q24),[5]skilldef!$C:$D,2,FALSE),"-") &amp; " / " &amp; IFERROR(VLOOKUP(MID(N24,O24,P24-O24),[5]skilldef!$A:$B,2,FALSE),"-")</f>
        <v>自分自身に / 状態異常耐性</v>
      </c>
      <c r="T24" s="23" t="str">
        <f t="shared" si="37"/>
        <v xml:space="preserve">[effect:fix_speed, target:myself, turn:2]    </v>
      </c>
      <c r="U24" s="38">
        <f t="shared" si="38"/>
        <v>9</v>
      </c>
      <c r="V24" s="38">
        <f t="shared" si="39"/>
        <v>18</v>
      </c>
      <c r="W24" s="38">
        <f t="shared" si="40"/>
        <v>27</v>
      </c>
      <c r="X24" s="38">
        <f t="shared" si="41"/>
        <v>33</v>
      </c>
      <c r="Y24" s="38" t="str">
        <f>IFERROR(VLOOKUP(MID(T24,W24,X24-W24),[5]skilldef!$C:$D,2,FALSE),"-") &amp; " / " &amp; IFERROR(VLOOKUP(MID(T24,U24,V24-U24),[5]skilldef!$A:$B,2,FALSE),"-")</f>
        <v>自分自身に / 行動値設定</v>
      </c>
      <c r="Z24" s="25"/>
      <c r="AA24" s="27"/>
      <c r="AB24" s="25"/>
    </row>
    <row r="25" spans="1:28" ht="21" customHeight="1" x14ac:dyDescent="0.15">
      <c r="A25" s="128">
        <v>49013024</v>
      </c>
      <c r="B25" s="22" t="s">
        <v>261</v>
      </c>
      <c r="C25" s="25">
        <v>3</v>
      </c>
      <c r="D25" s="25" t="s">
        <v>194</v>
      </c>
      <c r="E25" s="26" t="s">
        <v>335</v>
      </c>
      <c r="F25" s="26" t="s">
        <v>351</v>
      </c>
      <c r="G25" s="38" t="str">
        <f t="shared" si="16"/>
        <v>[effect:tolerance, target:myself, turn:-1, tolerance_effect:all, count:-1, animation:enemy_tolerance]</v>
      </c>
      <c r="H25" s="38">
        <f t="shared" si="17"/>
        <v>9</v>
      </c>
      <c r="I25" s="38">
        <f t="shared" si="18"/>
        <v>18</v>
      </c>
      <c r="J25" s="38">
        <f t="shared" si="19"/>
        <v>27</v>
      </c>
      <c r="K25" s="38">
        <f t="shared" si="20"/>
        <v>33</v>
      </c>
      <c r="L25" s="38" t="str">
        <f>IFERROR(VLOOKUP(MID(G25,J25,K25-J25),[5]skilldef!$C:$D,2,FALSE),"-") &amp; " / " &amp; IFERROR(VLOOKUP(MID(G25,H25,I25-H25),[5]skilldef!$A:$B,2,FALSE),"-")</f>
        <v>自分自身に / 状態異常耐性</v>
      </c>
      <c r="M25" s="38" t="str">
        <f t="shared" si="21"/>
        <v xml:space="preserve">[effect:fix_speed, target:myself, turn:2]    </v>
      </c>
      <c r="N25" s="23" t="str">
        <f t="shared" ref="N25:N31" si="42">IFERROR(LEFT(M25,FIND("],",M25)+S45),M25)</f>
        <v xml:space="preserve">[effect:fix_speed, target:myself, turn:2]    </v>
      </c>
      <c r="O25" s="38">
        <f t="shared" si="22"/>
        <v>9</v>
      </c>
      <c r="P25" s="38">
        <f t="shared" si="23"/>
        <v>18</v>
      </c>
      <c r="Q25" s="38">
        <f t="shared" si="24"/>
        <v>27</v>
      </c>
      <c r="R25" s="38">
        <f t="shared" si="25"/>
        <v>33</v>
      </c>
      <c r="S25" s="38" t="str">
        <f>IFERROR(VLOOKUP(MID(N25,Q25,R25-Q25),[5]skilldef!$C:$D,2,FALSE),"-") &amp; " / " &amp; IFERROR(VLOOKUP(MID(N25,O25,P25-O25),[5]skilldef!$A:$B,2,FALSE),"-")</f>
        <v>自分自身に / 行動値設定</v>
      </c>
      <c r="T25" s="23" t="str">
        <f t="shared" si="26"/>
        <v>none</v>
      </c>
      <c r="U25" s="38" t="e">
        <f t="shared" si="27"/>
        <v>#VALUE!</v>
      </c>
      <c r="V25" s="38">
        <f t="shared" si="28"/>
        <v>4</v>
      </c>
      <c r="W25" s="38" t="e">
        <f t="shared" si="29"/>
        <v>#VALUE!</v>
      </c>
      <c r="X25" s="38" t="e">
        <f t="shared" si="30"/>
        <v>#VALUE!</v>
      </c>
      <c r="Y25" s="38" t="str">
        <f>IFERROR(VLOOKUP(MID(T25,W25,X25-W25),[5]skilldef!$C:$D,2,FALSE),"-") &amp; " / " &amp; IFERROR(VLOOKUP(MID(T25,U25,V25-U25),[5]skilldef!$A:$B,2,FALSE),"-")</f>
        <v>- / -</v>
      </c>
      <c r="Z25" s="25"/>
      <c r="AA25" s="27"/>
      <c r="AB25" s="25"/>
    </row>
    <row r="26" spans="1:28" ht="21" customHeight="1" x14ac:dyDescent="0.15">
      <c r="A26" s="128">
        <v>49013025</v>
      </c>
      <c r="B26" s="22" t="s">
        <v>262</v>
      </c>
      <c r="C26" s="25">
        <v>3</v>
      </c>
      <c r="D26" s="25" t="s">
        <v>194</v>
      </c>
      <c r="E26" s="26" t="s">
        <v>336</v>
      </c>
      <c r="F26" s="26" t="s">
        <v>349</v>
      </c>
      <c r="G26" s="38" t="str">
        <f t="shared" si="16"/>
        <v>[effect:rush, count:3, val:0.4]</v>
      </c>
      <c r="H26" s="38">
        <f t="shared" si="17"/>
        <v>9</v>
      </c>
      <c r="I26" s="38">
        <f t="shared" si="18"/>
        <v>13</v>
      </c>
      <c r="J26" s="38" t="e">
        <f t="shared" si="19"/>
        <v>#VALUE!</v>
      </c>
      <c r="K26" s="38">
        <f t="shared" si="20"/>
        <v>22</v>
      </c>
      <c r="L26" s="38" t="str">
        <f>IFERROR(VLOOKUP(MID(G26,J26,K26-J26),[5]skilldef!$C:$D,2,FALSE),"-") &amp; " / " &amp; IFERROR(VLOOKUP(MID(G26,H26,I26-H26),[5]skilldef!$A:$B,2,FALSE),"-")</f>
        <v>- / 連続攻撃</v>
      </c>
      <c r="M26" s="38" t="str">
        <f t="shared" si="21"/>
        <v>none</v>
      </c>
      <c r="N26" s="23" t="str">
        <f t="shared" si="42"/>
        <v>none</v>
      </c>
      <c r="O26" s="38" t="e">
        <f t="shared" si="22"/>
        <v>#VALUE!</v>
      </c>
      <c r="P26" s="38">
        <f t="shared" si="23"/>
        <v>4</v>
      </c>
      <c r="Q26" s="38" t="e">
        <f t="shared" si="24"/>
        <v>#VALUE!</v>
      </c>
      <c r="R26" s="38" t="e">
        <f t="shared" si="25"/>
        <v>#VALUE!</v>
      </c>
      <c r="S26" s="38" t="str">
        <f>IFERROR(VLOOKUP(MID(N26,Q26,R26-Q26),[5]skilldef!$C:$D,2,FALSE),"-") &amp; " / " &amp; IFERROR(VLOOKUP(MID(N26,O26,P26-O26),[5]skilldef!$A:$B,2,FALSE),"-")</f>
        <v>- / -</v>
      </c>
      <c r="T26" s="23" t="str">
        <f t="shared" si="26"/>
        <v>none</v>
      </c>
      <c r="U26" s="38" t="e">
        <f t="shared" si="27"/>
        <v>#VALUE!</v>
      </c>
      <c r="V26" s="38">
        <f t="shared" si="28"/>
        <v>4</v>
      </c>
      <c r="W26" s="38" t="e">
        <f t="shared" si="29"/>
        <v>#VALUE!</v>
      </c>
      <c r="X26" s="38" t="e">
        <f t="shared" si="30"/>
        <v>#VALUE!</v>
      </c>
      <c r="Y26" s="38" t="str">
        <f>IFERROR(VLOOKUP(MID(T26,W26,X26-W26),[5]skilldef!$C:$D,2,FALSE),"-") &amp; " / " &amp; IFERROR(VLOOKUP(MID(T26,U26,V26-U26),[5]skilldef!$A:$B,2,FALSE),"-")</f>
        <v>- / -</v>
      </c>
      <c r="Z26" s="25"/>
      <c r="AA26" s="27"/>
      <c r="AB26" s="25"/>
    </row>
    <row r="27" spans="1:28" ht="21" customHeight="1" x14ac:dyDescent="0.15">
      <c r="A27" s="128">
        <v>49013026</v>
      </c>
      <c r="B27" s="22" t="s">
        <v>263</v>
      </c>
      <c r="C27" s="25">
        <v>3</v>
      </c>
      <c r="D27" s="25" t="s">
        <v>194</v>
      </c>
      <c r="E27" s="26" t="s">
        <v>337</v>
      </c>
      <c r="F27" s="26" t="s">
        <v>264</v>
      </c>
      <c r="G27" s="38" t="str">
        <f t="shared" si="16"/>
        <v>[effect:spread, val:0.3]</v>
      </c>
      <c r="H27" s="38">
        <f t="shared" si="17"/>
        <v>9</v>
      </c>
      <c r="I27" s="38">
        <f t="shared" si="18"/>
        <v>15</v>
      </c>
      <c r="J27" s="38" t="e">
        <f t="shared" si="19"/>
        <v>#VALUE!</v>
      </c>
      <c r="K27" s="38" t="e">
        <f t="shared" si="20"/>
        <v>#VALUE!</v>
      </c>
      <c r="L27" s="38" t="str">
        <f>IFERROR(VLOOKUP(MID(G27,J27,K27-J27),[5]skilldef!$C:$D,2,FALSE),"-") &amp; " / " &amp; IFERROR(VLOOKUP(MID(G27,H27,I27-H27),[5]skilldef!$A:$B,2,FALSE),"-")</f>
        <v>- / 全体攻撃</v>
      </c>
      <c r="M27" s="38" t="str">
        <f t="shared" si="21"/>
        <v>none</v>
      </c>
      <c r="N27" s="23" t="str">
        <f t="shared" si="42"/>
        <v>none</v>
      </c>
      <c r="O27" s="38" t="e">
        <f t="shared" si="22"/>
        <v>#VALUE!</v>
      </c>
      <c r="P27" s="38">
        <f t="shared" si="23"/>
        <v>4</v>
      </c>
      <c r="Q27" s="38" t="e">
        <f t="shared" si="24"/>
        <v>#VALUE!</v>
      </c>
      <c r="R27" s="38" t="e">
        <f t="shared" si="25"/>
        <v>#VALUE!</v>
      </c>
      <c r="S27" s="38" t="str">
        <f>IFERROR(VLOOKUP(MID(N27,Q27,R27-Q27),[5]skilldef!$C:$D,2,FALSE),"-") &amp; " / " &amp; IFERROR(VLOOKUP(MID(N27,O27,P27-O27),[5]skilldef!$A:$B,2,FALSE),"-")</f>
        <v>- / -</v>
      </c>
      <c r="T27" s="23" t="str">
        <f t="shared" si="26"/>
        <v>none</v>
      </c>
      <c r="U27" s="38" t="e">
        <f t="shared" si="27"/>
        <v>#VALUE!</v>
      </c>
      <c r="V27" s="38">
        <f t="shared" si="28"/>
        <v>4</v>
      </c>
      <c r="W27" s="38" t="e">
        <f t="shared" si="29"/>
        <v>#VALUE!</v>
      </c>
      <c r="X27" s="38" t="e">
        <f t="shared" si="30"/>
        <v>#VALUE!</v>
      </c>
      <c r="Y27" s="38" t="str">
        <f>IFERROR(VLOOKUP(MID(T27,W27,X27-W27),[5]skilldef!$C:$D,2,FALSE),"-") &amp; " / " &amp; IFERROR(VLOOKUP(MID(T27,U27,V27-U27),[5]skilldef!$A:$B,2,FALSE),"-")</f>
        <v>- / -</v>
      </c>
      <c r="Z27" s="25"/>
      <c r="AA27" s="27"/>
      <c r="AB27" s="25"/>
    </row>
    <row r="28" spans="1:28" ht="21" customHeight="1" x14ac:dyDescent="0.15">
      <c r="A28" s="128">
        <v>49013027</v>
      </c>
      <c r="B28" s="22" t="s">
        <v>365</v>
      </c>
      <c r="C28" s="25">
        <v>3</v>
      </c>
      <c r="D28" s="25" t="s">
        <v>194</v>
      </c>
      <c r="E28" s="26" t="s">
        <v>338</v>
      </c>
      <c r="F28" s="26" t="s">
        <v>265</v>
      </c>
      <c r="G28" s="38" t="str">
        <f t="shared" si="16"/>
        <v>[effect:critical, val:1.3, animation:enemy_critical]</v>
      </c>
      <c r="H28" s="38">
        <f t="shared" si="17"/>
        <v>9</v>
      </c>
      <c r="I28" s="38">
        <f t="shared" si="18"/>
        <v>17</v>
      </c>
      <c r="J28" s="38" t="e">
        <f t="shared" si="19"/>
        <v>#VALUE!</v>
      </c>
      <c r="K28" s="38">
        <f t="shared" si="20"/>
        <v>26</v>
      </c>
      <c r="L28" s="38" t="str">
        <f>IFERROR(VLOOKUP(MID(G28,J28,K28-J28),[5]skilldef!$C:$D,2,FALSE),"-") &amp; " / " &amp; IFERROR(VLOOKUP(MID(G28,H28,I28-H28),[5]skilldef!$A:$B,2,FALSE),"-")</f>
        <v>- / 大攻撃</v>
      </c>
      <c r="M28" s="38" t="str">
        <f t="shared" si="21"/>
        <v>none</v>
      </c>
      <c r="N28" s="23" t="str">
        <f t="shared" si="42"/>
        <v>none</v>
      </c>
      <c r="O28" s="38" t="e">
        <f t="shared" si="22"/>
        <v>#VALUE!</v>
      </c>
      <c r="P28" s="38">
        <f t="shared" si="23"/>
        <v>4</v>
      </c>
      <c r="Q28" s="38" t="e">
        <f t="shared" si="24"/>
        <v>#VALUE!</v>
      </c>
      <c r="R28" s="38" t="e">
        <f t="shared" si="25"/>
        <v>#VALUE!</v>
      </c>
      <c r="S28" s="38" t="str">
        <f>IFERROR(VLOOKUP(MID(N28,Q28,R28-Q28),[5]skilldef!$C:$D,2,FALSE),"-") &amp; " / " &amp; IFERROR(VLOOKUP(MID(N28,O28,P28-O28),[5]skilldef!$A:$B,2,FALSE),"-")</f>
        <v>- / -</v>
      </c>
      <c r="T28" s="23" t="str">
        <f t="shared" si="26"/>
        <v>none</v>
      </c>
      <c r="U28" s="38" t="e">
        <f t="shared" si="27"/>
        <v>#VALUE!</v>
      </c>
      <c r="V28" s="38">
        <f t="shared" si="28"/>
        <v>4</v>
      </c>
      <c r="W28" s="38" t="e">
        <f t="shared" si="29"/>
        <v>#VALUE!</v>
      </c>
      <c r="X28" s="38" t="e">
        <f t="shared" si="30"/>
        <v>#VALUE!</v>
      </c>
      <c r="Y28" s="38" t="str">
        <f>IFERROR(VLOOKUP(MID(T28,W28,X28-W28),[5]skilldef!$C:$D,2,FALSE),"-") &amp; " / " &amp; IFERROR(VLOOKUP(MID(T28,U28,V28-U28),[5]skilldef!$A:$B,2,FALSE),"-")</f>
        <v>- / -</v>
      </c>
      <c r="Z28" s="25"/>
      <c r="AA28" s="27"/>
      <c r="AB28" s="25"/>
    </row>
    <row r="29" spans="1:28" ht="21" customHeight="1" x14ac:dyDescent="0.15">
      <c r="A29" s="128">
        <v>49013028</v>
      </c>
      <c r="B29" s="22" t="s">
        <v>353</v>
      </c>
      <c r="C29" s="25">
        <v>3</v>
      </c>
      <c r="D29" s="25" t="s">
        <v>194</v>
      </c>
      <c r="E29" s="26" t="s">
        <v>266</v>
      </c>
      <c r="F29" s="26" t="s">
        <v>352</v>
      </c>
      <c r="G29" s="38" t="str">
        <f t="shared" si="16"/>
        <v>[effect:spread, val:0.1]</v>
      </c>
      <c r="H29" s="38">
        <f t="shared" si="17"/>
        <v>9</v>
      </c>
      <c r="I29" s="38">
        <f t="shared" si="18"/>
        <v>15</v>
      </c>
      <c r="J29" s="38" t="e">
        <f t="shared" si="19"/>
        <v>#VALUE!</v>
      </c>
      <c r="K29" s="38" t="e">
        <f t="shared" si="20"/>
        <v>#VALUE!</v>
      </c>
      <c r="L29" s="38" t="str">
        <f>IFERROR(VLOOKUP(MID(G29,J29,K29-J29),[5]skilldef!$C:$D,2,FALSE),"-") &amp; " / " &amp; IFERROR(VLOOKUP(MID(G29,H29,I29-H29),[5]skilldef!$A:$B,2,FALSE),"-")</f>
        <v>- / 全体攻撃</v>
      </c>
      <c r="M29" s="38" t="str">
        <f t="shared" si="21"/>
        <v xml:space="preserve">[effect:enhance_enemy, target:enemy_all, turn:-1, status:attack, val:1, calc:mul, animation:enemy_enhance_attack],[effect:fix_speed, target:myself, turn:2]    </v>
      </c>
      <c r="N29" s="23" t="str">
        <f t="shared" si="42"/>
        <v xml:space="preserve">[effect:enhance_enemy, target:enemy_all, turn:-1, status:attack, val:1, calc:mul, animation:enemy_enhance_attack],[effect:fix_speed, target:myself, turn:2]    </v>
      </c>
      <c r="O29" s="38">
        <f t="shared" si="22"/>
        <v>9</v>
      </c>
      <c r="P29" s="38">
        <f t="shared" si="23"/>
        <v>22</v>
      </c>
      <c r="Q29" s="38">
        <f t="shared" si="24"/>
        <v>31</v>
      </c>
      <c r="R29" s="38">
        <f t="shared" si="25"/>
        <v>40</v>
      </c>
      <c r="S29" s="38" t="str">
        <f>IFERROR(VLOOKUP(MID(N29,Q29,R29-Q29),[5]skilldef!$C:$D,2,FALSE),"-") &amp; " / " &amp; IFERROR(VLOOKUP(MID(N29,O29,P29-O29),[5]skilldef!$A:$B,2,FALSE),"-")</f>
        <v>敵全体に / ステータス強化</v>
      </c>
      <c r="T29" s="23" t="str">
        <f t="shared" si="26"/>
        <v xml:space="preserve">[effect:fix_speed, target:myself, turn:2]    </v>
      </c>
      <c r="U29" s="38">
        <f t="shared" si="27"/>
        <v>9</v>
      </c>
      <c r="V29" s="38">
        <f t="shared" si="28"/>
        <v>18</v>
      </c>
      <c r="W29" s="38">
        <f t="shared" si="29"/>
        <v>27</v>
      </c>
      <c r="X29" s="38">
        <f t="shared" si="30"/>
        <v>33</v>
      </c>
      <c r="Y29" s="38" t="str">
        <f>IFERROR(VLOOKUP(MID(T29,W29,X29-W29),[5]skilldef!$C:$D,2,FALSE),"-") &amp; " / " &amp; IFERROR(VLOOKUP(MID(T29,U29,V29-U29),[5]skilldef!$A:$B,2,FALSE),"-")</f>
        <v>自分自身に / 行動値設定</v>
      </c>
      <c r="Z29" s="25"/>
      <c r="AA29" s="27"/>
      <c r="AB29" s="25"/>
    </row>
    <row r="30" spans="1:28" ht="21" customHeight="1" x14ac:dyDescent="0.15">
      <c r="A30" s="128">
        <v>49013029</v>
      </c>
      <c r="B30" s="22" t="s">
        <v>262</v>
      </c>
      <c r="C30" s="25">
        <v>3</v>
      </c>
      <c r="D30" s="25" t="s">
        <v>194</v>
      </c>
      <c r="E30" s="26" t="s">
        <v>339</v>
      </c>
      <c r="F30" s="26" t="s">
        <v>349</v>
      </c>
      <c r="G30" s="38" t="str">
        <f t="shared" si="16"/>
        <v>[effect:rush, count:3, val:0.4]</v>
      </c>
      <c r="H30" s="38">
        <f t="shared" si="17"/>
        <v>9</v>
      </c>
      <c r="I30" s="38">
        <f t="shared" si="18"/>
        <v>13</v>
      </c>
      <c r="J30" s="38" t="e">
        <f t="shared" si="19"/>
        <v>#VALUE!</v>
      </c>
      <c r="K30" s="38">
        <f t="shared" si="20"/>
        <v>22</v>
      </c>
      <c r="L30" s="38" t="str">
        <f>IFERROR(VLOOKUP(MID(G30,J30,K30-J30),[5]skilldef!$C:$D,2,FALSE),"-") &amp; " / " &amp; IFERROR(VLOOKUP(MID(G30,H30,I30-H30),[5]skilldef!$A:$B,2,FALSE),"-")</f>
        <v>- / 連続攻撃</v>
      </c>
      <c r="M30" s="38" t="str">
        <f t="shared" si="21"/>
        <v>none</v>
      </c>
      <c r="N30" s="23" t="str">
        <f t="shared" si="42"/>
        <v>none</v>
      </c>
      <c r="O30" s="38" t="e">
        <f t="shared" si="22"/>
        <v>#VALUE!</v>
      </c>
      <c r="P30" s="38">
        <f t="shared" si="23"/>
        <v>4</v>
      </c>
      <c r="Q30" s="38" t="e">
        <f t="shared" si="24"/>
        <v>#VALUE!</v>
      </c>
      <c r="R30" s="38" t="e">
        <f t="shared" si="25"/>
        <v>#VALUE!</v>
      </c>
      <c r="S30" s="38" t="str">
        <f>IFERROR(VLOOKUP(MID(N30,Q30,R30-Q30),[5]skilldef!$C:$D,2,FALSE),"-") &amp; " / " &amp; IFERROR(VLOOKUP(MID(N30,O30,P30-O30),[5]skilldef!$A:$B,2,FALSE),"-")</f>
        <v>- / -</v>
      </c>
      <c r="T30" s="23" t="str">
        <f t="shared" si="26"/>
        <v>none</v>
      </c>
      <c r="U30" s="38" t="e">
        <f t="shared" si="27"/>
        <v>#VALUE!</v>
      </c>
      <c r="V30" s="38">
        <f t="shared" si="28"/>
        <v>4</v>
      </c>
      <c r="W30" s="38" t="e">
        <f t="shared" si="29"/>
        <v>#VALUE!</v>
      </c>
      <c r="X30" s="38" t="e">
        <f t="shared" si="30"/>
        <v>#VALUE!</v>
      </c>
      <c r="Y30" s="38" t="str">
        <f>IFERROR(VLOOKUP(MID(T30,W30,X30-W30),[5]skilldef!$C:$D,2,FALSE),"-") &amp; " / " &amp; IFERROR(VLOOKUP(MID(T30,U30,V30-U30),[5]skilldef!$A:$B,2,FALSE),"-")</f>
        <v>- / -</v>
      </c>
      <c r="Z30" s="25"/>
      <c r="AA30" s="27"/>
      <c r="AB30" s="25"/>
    </row>
    <row r="31" spans="1:28" ht="21" customHeight="1" x14ac:dyDescent="0.15">
      <c r="A31" s="128">
        <v>49013030</v>
      </c>
      <c r="B31" s="22" t="s">
        <v>263</v>
      </c>
      <c r="C31" s="25">
        <v>3</v>
      </c>
      <c r="D31" s="25" t="s">
        <v>194</v>
      </c>
      <c r="E31" s="26" t="s">
        <v>340</v>
      </c>
      <c r="F31" s="26" t="s">
        <v>264</v>
      </c>
      <c r="G31" s="38" t="str">
        <f t="shared" si="16"/>
        <v>[effect:spread, val:0.3]</v>
      </c>
      <c r="H31" s="38">
        <f t="shared" si="17"/>
        <v>9</v>
      </c>
      <c r="I31" s="38">
        <f t="shared" si="18"/>
        <v>15</v>
      </c>
      <c r="J31" s="38" t="e">
        <f t="shared" si="19"/>
        <v>#VALUE!</v>
      </c>
      <c r="K31" s="38" t="e">
        <f t="shared" si="20"/>
        <v>#VALUE!</v>
      </c>
      <c r="L31" s="38" t="str">
        <f>IFERROR(VLOOKUP(MID(G31,J31,K31-J31),[5]skilldef!$C:$D,2,FALSE),"-") &amp; " / " &amp; IFERROR(VLOOKUP(MID(G31,H31,I31-H31),[5]skilldef!$A:$B,2,FALSE),"-")</f>
        <v>- / 全体攻撃</v>
      </c>
      <c r="M31" s="38" t="str">
        <f t="shared" si="21"/>
        <v>none</v>
      </c>
      <c r="N31" s="23" t="str">
        <f t="shared" si="42"/>
        <v>none</v>
      </c>
      <c r="O31" s="38" t="e">
        <f t="shared" si="22"/>
        <v>#VALUE!</v>
      </c>
      <c r="P31" s="38">
        <f t="shared" si="23"/>
        <v>4</v>
      </c>
      <c r="Q31" s="38" t="e">
        <f t="shared" si="24"/>
        <v>#VALUE!</v>
      </c>
      <c r="R31" s="38" t="e">
        <f t="shared" si="25"/>
        <v>#VALUE!</v>
      </c>
      <c r="S31" s="38" t="str">
        <f>IFERROR(VLOOKUP(MID(N31,Q31,R31-Q31),[5]skilldef!$C:$D,2,FALSE),"-") &amp; " / " &amp; IFERROR(VLOOKUP(MID(N31,O31,P31-O31),[5]skilldef!$A:$B,2,FALSE),"-")</f>
        <v>- / -</v>
      </c>
      <c r="T31" s="23" t="str">
        <f t="shared" si="26"/>
        <v>none</v>
      </c>
      <c r="U31" s="38" t="e">
        <f t="shared" si="27"/>
        <v>#VALUE!</v>
      </c>
      <c r="V31" s="38">
        <f t="shared" si="28"/>
        <v>4</v>
      </c>
      <c r="W31" s="38" t="e">
        <f t="shared" si="29"/>
        <v>#VALUE!</v>
      </c>
      <c r="X31" s="38" t="e">
        <f t="shared" si="30"/>
        <v>#VALUE!</v>
      </c>
      <c r="Y31" s="38" t="str">
        <f>IFERROR(VLOOKUP(MID(T31,W31,X31-W31),[5]skilldef!$C:$D,2,FALSE),"-") &amp; " / " &amp; IFERROR(VLOOKUP(MID(T31,U31,V31-U31),[5]skilldef!$A:$B,2,FALSE),"-")</f>
        <v>- / -</v>
      </c>
      <c r="Z31" s="25"/>
      <c r="AA31" s="27"/>
      <c r="AB31" s="25"/>
    </row>
    <row r="32" spans="1:28" ht="21" customHeight="1" x14ac:dyDescent="0.15">
      <c r="A32" s="128">
        <v>49013031</v>
      </c>
      <c r="B32" s="22" t="s">
        <v>365</v>
      </c>
      <c r="C32" s="25">
        <v>3</v>
      </c>
      <c r="D32" s="25" t="s">
        <v>194</v>
      </c>
      <c r="E32" s="26" t="s">
        <v>341</v>
      </c>
      <c r="F32" s="26" t="s">
        <v>265</v>
      </c>
      <c r="G32" s="38" t="str">
        <f t="shared" si="16"/>
        <v>[effect:critical, val:1.3, animation:enemy_critical]</v>
      </c>
      <c r="H32" s="38">
        <f t="shared" si="17"/>
        <v>9</v>
      </c>
      <c r="I32" s="38">
        <f t="shared" si="18"/>
        <v>17</v>
      </c>
      <c r="J32" s="38" t="e">
        <f t="shared" si="19"/>
        <v>#VALUE!</v>
      </c>
      <c r="K32" s="38">
        <f t="shared" si="20"/>
        <v>26</v>
      </c>
      <c r="L32" s="38" t="str">
        <f>IFERROR(VLOOKUP(MID(G32,J32,K32-J32),[5]skilldef!$C:$D,2,FALSE),"-") &amp; " / " &amp; IFERROR(VLOOKUP(MID(G32,H32,I32-H32),[5]skilldef!$A:$B,2,FALSE),"-")</f>
        <v>- / 大攻撃</v>
      </c>
      <c r="M32" s="38" t="str">
        <f t="shared" si="21"/>
        <v>none</v>
      </c>
      <c r="N32" s="23" t="str">
        <f>IFERROR(LEFT(M32,FIND("],",M32)+#REF!),M32)</f>
        <v>none</v>
      </c>
      <c r="O32" s="38" t="e">
        <f t="shared" si="22"/>
        <v>#VALUE!</v>
      </c>
      <c r="P32" s="38">
        <f t="shared" si="23"/>
        <v>4</v>
      </c>
      <c r="Q32" s="38" t="e">
        <f t="shared" si="24"/>
        <v>#VALUE!</v>
      </c>
      <c r="R32" s="38" t="e">
        <f t="shared" si="25"/>
        <v>#VALUE!</v>
      </c>
      <c r="S32" s="38" t="str">
        <f>IFERROR(VLOOKUP(MID(N32,Q32,R32-Q32),[5]skilldef!$C:$D,2,FALSE),"-") &amp; " / " &amp; IFERROR(VLOOKUP(MID(N32,O32,P32-O32),[5]skilldef!$A:$B,2,FALSE),"-")</f>
        <v>- / -</v>
      </c>
      <c r="T32" s="23" t="str">
        <f t="shared" si="26"/>
        <v>none</v>
      </c>
      <c r="U32" s="38" t="e">
        <f t="shared" si="27"/>
        <v>#VALUE!</v>
      </c>
      <c r="V32" s="38">
        <f t="shared" si="28"/>
        <v>4</v>
      </c>
      <c r="W32" s="38" t="e">
        <f t="shared" si="29"/>
        <v>#VALUE!</v>
      </c>
      <c r="X32" s="38" t="e">
        <f t="shared" si="30"/>
        <v>#VALUE!</v>
      </c>
      <c r="Y32" s="38" t="str">
        <f>IFERROR(VLOOKUP(MID(T32,W32,X32-W32),[5]skilldef!$C:$D,2,FALSE),"-") &amp; " / " &amp; IFERROR(VLOOKUP(MID(T32,U32,V32-U32),[5]skilldef!$A:$B,2,FALSE),"-")</f>
        <v>- / -</v>
      </c>
      <c r="Z32" s="25"/>
      <c r="AA32" s="27"/>
      <c r="AB32" s="25"/>
    </row>
    <row r="33" spans="1:28" ht="21" customHeight="1" x14ac:dyDescent="0.15">
      <c r="A33" s="127">
        <v>49013032</v>
      </c>
      <c r="B33" s="22" t="s">
        <v>381</v>
      </c>
      <c r="C33" s="25">
        <v>3</v>
      </c>
      <c r="D33" s="25" t="s">
        <v>194</v>
      </c>
      <c r="E33" s="26" t="s">
        <v>311</v>
      </c>
      <c r="F33" s="26" t="s">
        <v>373</v>
      </c>
      <c r="G33" s="38" t="str">
        <f t="shared" ref="G33:G40" si="43">IFERROR(LEFT(B33,FIND("],",B33)),B33)</f>
        <v>[effect:enemy_message, val1:1, val2:3]</v>
      </c>
      <c r="H33" s="38">
        <f t="shared" ref="H33:H40" si="44">FIND("effect:",G33)+7</f>
        <v>9</v>
      </c>
      <c r="I33" s="38">
        <f t="shared" ref="I33:I40" si="45">IFERROR(FIND(",",G33),LEN(G33))</f>
        <v>22</v>
      </c>
      <c r="J33" s="38" t="e">
        <f t="shared" ref="J33:J40" si="46">FIND("target:",G33)+7</f>
        <v>#VALUE!</v>
      </c>
      <c r="K33" s="38">
        <f t="shared" ref="K33:K40" si="47">FIND(",",G33,I33+1)</f>
        <v>30</v>
      </c>
      <c r="L33" s="38" t="str">
        <f>IFERROR(VLOOKUP(MID(G33,J33,K33-J33),[5]skilldef!$C:$D,2,FALSE),"-") &amp; " / " &amp; IFERROR(VLOOKUP(MID(G33,H33,I33-H33),[5]skilldef!$A:$B,2,FALSE),"-")</f>
        <v>- / -</v>
      </c>
      <c r="M33" s="38" t="str">
        <f t="shared" ref="M33:M40" si="48">IFERROR(RIGHT(B33,LEN(B33)-FIND("],",B33)-1),"none")</f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N33" s="23" t="str">
        <f t="shared" ref="N33:N38" si="49">IFERROR(LEFT(M33,FIND("],",M33)+S19),M33)</f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O33" s="38">
        <f t="shared" ref="O33:O40" si="50">FIND("effect:",N33)+7</f>
        <v>9</v>
      </c>
      <c r="P33" s="38">
        <f t="shared" ref="P33:P40" si="51">IFERROR(FIND(",",N33),LEN(N33))</f>
        <v>21</v>
      </c>
      <c r="Q33" s="38">
        <f t="shared" ref="Q33:Q40" si="52">FIND("target:",N33)+7</f>
        <v>30</v>
      </c>
      <c r="R33" s="38">
        <f t="shared" ref="R33:R40" si="53">FIND(",",N33,P33+1)</f>
        <v>38</v>
      </c>
      <c r="S33" s="38" t="str">
        <f>IFERROR(VLOOKUP(MID(N33,Q33,R33-Q33),[5]skilldef!$C:$D,2,FALSE),"-") &amp; " / " &amp; IFERROR(VLOOKUP(MID(N33,O33,P33-O33),[5]skilldef!$A:$B,2,FALSE),"-")</f>
        <v>味方全体に / ステータスDOWN</v>
      </c>
      <c r="T33" s="23" t="str">
        <f t="shared" ref="T33:T40" si="54">IFERROR(RIGHT(M33,LEN(M33)-FIND("],",M33)-1),"none")</f>
        <v>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U33" s="38">
        <f t="shared" ref="U33:U40" si="55">FIND("effect:",T33)+7</f>
        <v>9</v>
      </c>
      <c r="V33" s="38">
        <f t="shared" ref="V33:V40" si="56">IFERROR(FIND(",",T33),LEN(T33))</f>
        <v>27</v>
      </c>
      <c r="W33" s="38">
        <f t="shared" ref="W33:W40" si="57">FIND("target:",T33)+7</f>
        <v>59</v>
      </c>
      <c r="X33" s="38">
        <f t="shared" ref="X33:X40" si="58">FIND(",",T33,V33+1)</f>
        <v>50</v>
      </c>
      <c r="Y33" s="38" t="str">
        <f>IFERROR(VLOOKUP(MID(T33,W33,X33-W33),[5]skilldef!$C:$D,2,FALSE),"-") &amp; " / " &amp; IFERROR(VLOOKUP(MID(T33,U33,V33-U33),[5]skilldef!$A:$B,2,FALSE),"-")</f>
        <v>- / -</v>
      </c>
      <c r="Z33" s="25"/>
      <c r="AA33" s="27"/>
      <c r="AB33" s="25"/>
    </row>
    <row r="34" spans="1:28" ht="21" customHeight="1" x14ac:dyDescent="0.15">
      <c r="A34" s="127">
        <v>49013033</v>
      </c>
      <c r="B34" s="22" t="s">
        <v>381</v>
      </c>
      <c r="C34" s="25">
        <v>3</v>
      </c>
      <c r="D34" s="25" t="s">
        <v>194</v>
      </c>
      <c r="E34" s="155" t="s">
        <v>312</v>
      </c>
      <c r="F34" s="26" t="s">
        <v>373</v>
      </c>
      <c r="G34" s="38" t="str">
        <f t="shared" si="43"/>
        <v>[effect:enemy_message, val1:1, val2:3]</v>
      </c>
      <c r="H34" s="38">
        <f t="shared" si="44"/>
        <v>9</v>
      </c>
      <c r="I34" s="38">
        <f t="shared" si="45"/>
        <v>22</v>
      </c>
      <c r="J34" s="38" t="e">
        <f t="shared" si="46"/>
        <v>#VALUE!</v>
      </c>
      <c r="K34" s="38">
        <f t="shared" si="47"/>
        <v>30</v>
      </c>
      <c r="L34" s="38" t="str">
        <f>IFERROR(VLOOKUP(MID(G34,J34,K34-J34),[5]skilldef!$C:$D,2,FALSE),"-") &amp; " / " &amp; IFERROR(VLOOKUP(MID(G34,H34,I34-H34),[5]skilldef!$A:$B,2,FALSE),"-")</f>
        <v>- / -</v>
      </c>
      <c r="M34" s="38" t="str">
        <f t="shared" si="48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N34" s="23" t="str">
        <f t="shared" si="49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O34" s="38">
        <f t="shared" si="50"/>
        <v>9</v>
      </c>
      <c r="P34" s="38">
        <f t="shared" si="51"/>
        <v>21</v>
      </c>
      <c r="Q34" s="38">
        <f t="shared" si="52"/>
        <v>30</v>
      </c>
      <c r="R34" s="38">
        <f t="shared" si="53"/>
        <v>38</v>
      </c>
      <c r="S34" s="38" t="str">
        <f>IFERROR(VLOOKUP(MID(N34,Q34,R34-Q34),[5]skilldef!$C:$D,2,FALSE),"-") &amp; " / " &amp; IFERROR(VLOOKUP(MID(N34,O34,P34-O34),[5]skilldef!$A:$B,2,FALSE),"-")</f>
        <v>味方全体に / ステータスDOWN</v>
      </c>
      <c r="T34" s="23" t="str">
        <f t="shared" si="54"/>
        <v>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U34" s="38">
        <f t="shared" si="55"/>
        <v>9</v>
      </c>
      <c r="V34" s="38">
        <f t="shared" si="56"/>
        <v>27</v>
      </c>
      <c r="W34" s="38">
        <f t="shared" si="57"/>
        <v>59</v>
      </c>
      <c r="X34" s="38">
        <f t="shared" si="58"/>
        <v>50</v>
      </c>
      <c r="Y34" s="38" t="str">
        <f>IFERROR(VLOOKUP(MID(T34,W34,X34-W34),[5]skilldef!$C:$D,2,FALSE),"-") &amp; " / " &amp; IFERROR(VLOOKUP(MID(T34,U34,V34-U34),[5]skilldef!$A:$B,2,FALSE),"-")</f>
        <v>- / -</v>
      </c>
      <c r="Z34" s="25"/>
      <c r="AA34" s="27"/>
      <c r="AB34" s="25"/>
    </row>
    <row r="35" spans="1:28" ht="21" customHeight="1" x14ac:dyDescent="0.15">
      <c r="A35" s="127">
        <v>49013034</v>
      </c>
      <c r="B35" s="22" t="s">
        <v>381</v>
      </c>
      <c r="C35" s="25">
        <v>3</v>
      </c>
      <c r="D35" s="25" t="s">
        <v>194</v>
      </c>
      <c r="E35" s="155" t="s">
        <v>382</v>
      </c>
      <c r="F35" s="26" t="s">
        <v>373</v>
      </c>
      <c r="G35" s="38" t="str">
        <f t="shared" si="43"/>
        <v>[effect:enemy_message, val1:1, val2:3]</v>
      </c>
      <c r="H35" s="38">
        <f t="shared" si="44"/>
        <v>9</v>
      </c>
      <c r="I35" s="38">
        <f t="shared" si="45"/>
        <v>22</v>
      </c>
      <c r="J35" s="38" t="e">
        <f t="shared" si="46"/>
        <v>#VALUE!</v>
      </c>
      <c r="K35" s="38">
        <f t="shared" si="47"/>
        <v>30</v>
      </c>
      <c r="L35" s="38" t="str">
        <f>IFERROR(VLOOKUP(MID(G35,J35,K35-J35),[5]skilldef!$C:$D,2,FALSE),"-") &amp; " / " &amp; IFERROR(VLOOKUP(MID(G35,H35,I35-H35),[5]skilldef!$A:$B,2,FALSE),"-")</f>
        <v>- / -</v>
      </c>
      <c r="M35" s="38" t="str">
        <f t="shared" si="48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N35" s="23" t="str">
        <f t="shared" si="49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O35" s="38">
        <f t="shared" si="50"/>
        <v>9</v>
      </c>
      <c r="P35" s="38">
        <f t="shared" si="51"/>
        <v>21</v>
      </c>
      <c r="Q35" s="38">
        <f t="shared" si="52"/>
        <v>30</v>
      </c>
      <c r="R35" s="38">
        <f t="shared" si="53"/>
        <v>38</v>
      </c>
      <c r="S35" s="38" t="str">
        <f>IFERROR(VLOOKUP(MID(N35,Q35,R35-Q35),[5]skilldef!$C:$D,2,FALSE),"-") &amp; " / " &amp; IFERROR(VLOOKUP(MID(N35,O35,P35-O35),[5]skilldef!$A:$B,2,FALSE),"-")</f>
        <v>味方全体に / ステータスDOWN</v>
      </c>
      <c r="T35" s="23" t="str">
        <f t="shared" si="54"/>
        <v>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U35" s="38">
        <f t="shared" si="55"/>
        <v>9</v>
      </c>
      <c r="V35" s="38">
        <f t="shared" si="56"/>
        <v>27</v>
      </c>
      <c r="W35" s="38">
        <f t="shared" si="57"/>
        <v>59</v>
      </c>
      <c r="X35" s="38">
        <f t="shared" si="58"/>
        <v>50</v>
      </c>
      <c r="Y35" s="38" t="str">
        <f>IFERROR(VLOOKUP(MID(T35,W35,X35-W35),[5]skilldef!$C:$D,2,FALSE),"-") &amp; " / " &amp; IFERROR(VLOOKUP(MID(T35,U35,V35-U35),[5]skilldef!$A:$B,2,FALSE),"-")</f>
        <v>- / -</v>
      </c>
      <c r="Z35" s="25"/>
      <c r="AA35" s="27"/>
      <c r="AB35" s="25"/>
    </row>
    <row r="36" spans="1:28" ht="21" customHeight="1" x14ac:dyDescent="0.15">
      <c r="A36" s="127">
        <v>49013035</v>
      </c>
      <c r="B36" s="22" t="s">
        <v>381</v>
      </c>
      <c r="C36" s="25">
        <v>3</v>
      </c>
      <c r="D36" s="25" t="s">
        <v>194</v>
      </c>
      <c r="E36" s="155" t="s">
        <v>383</v>
      </c>
      <c r="F36" s="26" t="s">
        <v>373</v>
      </c>
      <c r="G36" s="38" t="str">
        <f t="shared" si="43"/>
        <v>[effect:enemy_message, val1:1, val2:3]</v>
      </c>
      <c r="H36" s="38">
        <f t="shared" si="44"/>
        <v>9</v>
      </c>
      <c r="I36" s="38">
        <f t="shared" si="45"/>
        <v>22</v>
      </c>
      <c r="J36" s="38" t="e">
        <f t="shared" si="46"/>
        <v>#VALUE!</v>
      </c>
      <c r="K36" s="38">
        <f t="shared" si="47"/>
        <v>30</v>
      </c>
      <c r="L36" s="38" t="str">
        <f>IFERROR(VLOOKUP(MID(G36,J36,K36-J36),[5]skilldef!$C:$D,2,FALSE),"-") &amp; " / " &amp; IFERROR(VLOOKUP(MID(G36,H36,I36-H36),[5]skilldef!$A:$B,2,FALSE),"-")</f>
        <v>- / -</v>
      </c>
      <c r="M36" s="38" t="str">
        <f t="shared" si="48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N36" s="23" t="str">
        <f t="shared" si="49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O36" s="38">
        <f t="shared" si="50"/>
        <v>9</v>
      </c>
      <c r="P36" s="38">
        <f t="shared" si="51"/>
        <v>21</v>
      </c>
      <c r="Q36" s="38">
        <f t="shared" si="52"/>
        <v>30</v>
      </c>
      <c r="R36" s="38">
        <f t="shared" si="53"/>
        <v>38</v>
      </c>
      <c r="S36" s="38" t="str">
        <f>IFERROR(VLOOKUP(MID(N36,Q36,R36-Q36),[5]skilldef!$C:$D,2,FALSE),"-") &amp; " / " &amp; IFERROR(VLOOKUP(MID(N36,O36,P36-O36),[5]skilldef!$A:$B,2,FALSE),"-")</f>
        <v>味方全体に / ステータスDOWN</v>
      </c>
      <c r="T36" s="23" t="str">
        <f t="shared" si="54"/>
        <v>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U36" s="38">
        <f t="shared" si="55"/>
        <v>9</v>
      </c>
      <c r="V36" s="38">
        <f t="shared" si="56"/>
        <v>27</v>
      </c>
      <c r="W36" s="38">
        <f t="shared" si="57"/>
        <v>59</v>
      </c>
      <c r="X36" s="38">
        <f t="shared" si="58"/>
        <v>50</v>
      </c>
      <c r="Y36" s="38" t="str">
        <f>IFERROR(VLOOKUP(MID(T36,W36,X36-W36),[5]skilldef!$C:$D,2,FALSE),"-") &amp; " / " &amp; IFERROR(VLOOKUP(MID(T36,U36,V36-U36),[5]skilldef!$A:$B,2,FALSE),"-")</f>
        <v>- / -</v>
      </c>
      <c r="Z36" s="25"/>
      <c r="AA36" s="27"/>
      <c r="AB36" s="25"/>
    </row>
    <row r="37" spans="1:28" ht="21" customHeight="1" x14ac:dyDescent="0.15">
      <c r="A37" s="127">
        <v>49013036</v>
      </c>
      <c r="B37" s="22" t="s">
        <v>381</v>
      </c>
      <c r="C37" s="25">
        <v>3</v>
      </c>
      <c r="D37" s="25" t="s">
        <v>194</v>
      </c>
      <c r="E37" s="155" t="s">
        <v>342</v>
      </c>
      <c r="F37" s="26" t="s">
        <v>373</v>
      </c>
      <c r="G37" s="38" t="str">
        <f t="shared" si="43"/>
        <v>[effect:enemy_message, val1:1, val2:3]</v>
      </c>
      <c r="H37" s="38">
        <f t="shared" si="44"/>
        <v>9</v>
      </c>
      <c r="I37" s="38">
        <f t="shared" si="45"/>
        <v>22</v>
      </c>
      <c r="J37" s="38" t="e">
        <f t="shared" si="46"/>
        <v>#VALUE!</v>
      </c>
      <c r="K37" s="38">
        <f t="shared" si="47"/>
        <v>30</v>
      </c>
      <c r="L37" s="38" t="str">
        <f>IFERROR(VLOOKUP(MID(G37,J37,K37-J37),[5]skilldef!$C:$D,2,FALSE),"-") &amp; " / " &amp; IFERROR(VLOOKUP(MID(G37,H37,I37-H37),[5]skilldef!$A:$B,2,FALSE),"-")</f>
        <v>- / -</v>
      </c>
      <c r="M37" s="38" t="str">
        <f t="shared" si="48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N37" s="23" t="str">
        <f t="shared" si="49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O37" s="38">
        <f t="shared" si="50"/>
        <v>9</v>
      </c>
      <c r="P37" s="38">
        <f t="shared" si="51"/>
        <v>21</v>
      </c>
      <c r="Q37" s="38">
        <f t="shared" si="52"/>
        <v>30</v>
      </c>
      <c r="R37" s="38">
        <f t="shared" si="53"/>
        <v>38</v>
      </c>
      <c r="S37" s="38" t="str">
        <f>IFERROR(VLOOKUP(MID(N37,Q37,R37-Q37),[5]skilldef!$C:$D,2,FALSE),"-") &amp; " / " &amp; IFERROR(VLOOKUP(MID(N37,O37,P37-O37),[5]skilldef!$A:$B,2,FALSE),"-")</f>
        <v>味方全体に / ステータスDOWN</v>
      </c>
      <c r="T37" s="23" t="str">
        <f t="shared" si="54"/>
        <v>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U37" s="38">
        <f t="shared" si="55"/>
        <v>9</v>
      </c>
      <c r="V37" s="38">
        <f t="shared" si="56"/>
        <v>27</v>
      </c>
      <c r="W37" s="38">
        <f t="shared" si="57"/>
        <v>59</v>
      </c>
      <c r="X37" s="38">
        <f t="shared" si="58"/>
        <v>50</v>
      </c>
      <c r="Y37" s="38" t="str">
        <f>IFERROR(VLOOKUP(MID(T37,W37,X37-W37),[5]skilldef!$C:$D,2,FALSE),"-") &amp; " / " &amp; IFERROR(VLOOKUP(MID(T37,U37,V37-U37),[5]skilldef!$A:$B,2,FALSE),"-")</f>
        <v>- / -</v>
      </c>
      <c r="Z37" s="25"/>
      <c r="AA37" s="27"/>
      <c r="AB37" s="25"/>
    </row>
    <row r="38" spans="1:28" ht="21" customHeight="1" x14ac:dyDescent="0.15">
      <c r="A38" s="127">
        <v>49013037</v>
      </c>
      <c r="B38" s="22" t="s">
        <v>381</v>
      </c>
      <c r="C38" s="25">
        <v>3</v>
      </c>
      <c r="D38" s="25" t="s">
        <v>194</v>
      </c>
      <c r="E38" s="155" t="s">
        <v>384</v>
      </c>
      <c r="F38" s="26" t="s">
        <v>373</v>
      </c>
      <c r="G38" s="38" t="str">
        <f t="shared" si="43"/>
        <v>[effect:enemy_message, val1:1, val2:3]</v>
      </c>
      <c r="H38" s="38">
        <f t="shared" si="44"/>
        <v>9</v>
      </c>
      <c r="I38" s="38">
        <f t="shared" si="45"/>
        <v>22</v>
      </c>
      <c r="J38" s="38" t="e">
        <f t="shared" si="46"/>
        <v>#VALUE!</v>
      </c>
      <c r="K38" s="38">
        <f t="shared" si="47"/>
        <v>30</v>
      </c>
      <c r="L38" s="38" t="str">
        <f>IFERROR(VLOOKUP(MID(G38,J38,K38-J38),[5]skilldef!$C:$D,2,FALSE),"-") &amp; " / " &amp; IFERROR(VLOOKUP(MID(G38,H38,I38-H38),[5]skilldef!$A:$B,2,FALSE),"-")</f>
        <v>- / -</v>
      </c>
      <c r="M38" s="38" t="str">
        <f t="shared" si="48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N38" s="23" t="str">
        <f t="shared" si="49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O38" s="38">
        <f t="shared" si="50"/>
        <v>9</v>
      </c>
      <c r="P38" s="38">
        <f t="shared" si="51"/>
        <v>21</v>
      </c>
      <c r="Q38" s="38">
        <f t="shared" si="52"/>
        <v>30</v>
      </c>
      <c r="R38" s="38">
        <f t="shared" si="53"/>
        <v>38</v>
      </c>
      <c r="S38" s="38" t="str">
        <f>IFERROR(VLOOKUP(MID(N38,Q38,R38-Q38),[5]skilldef!$C:$D,2,FALSE),"-") &amp; " / " &amp; IFERROR(VLOOKUP(MID(N38,O38,P38-O38),[5]skilldef!$A:$B,2,FALSE),"-")</f>
        <v>味方全体に / ステータスDOWN</v>
      </c>
      <c r="T38" s="23" t="str">
        <f t="shared" si="54"/>
        <v>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U38" s="38">
        <f t="shared" si="55"/>
        <v>9</v>
      </c>
      <c r="V38" s="38">
        <f t="shared" si="56"/>
        <v>27</v>
      </c>
      <c r="W38" s="38">
        <f t="shared" si="57"/>
        <v>59</v>
      </c>
      <c r="X38" s="38">
        <f t="shared" si="58"/>
        <v>50</v>
      </c>
      <c r="Y38" s="38" t="str">
        <f>IFERROR(VLOOKUP(MID(T38,W38,X38-W38),[5]skilldef!$C:$D,2,FALSE),"-") &amp; " / " &amp; IFERROR(VLOOKUP(MID(T38,U38,V38-U38),[5]skilldef!$A:$B,2,FALSE),"-")</f>
        <v>- / -</v>
      </c>
      <c r="Z38" s="25"/>
      <c r="AA38" s="27"/>
      <c r="AB38" s="25"/>
    </row>
    <row r="39" spans="1:28" ht="21" customHeight="1" x14ac:dyDescent="0.15">
      <c r="A39" s="127">
        <v>49013038</v>
      </c>
      <c r="B39" s="22" t="s">
        <v>381</v>
      </c>
      <c r="C39" s="25">
        <v>3</v>
      </c>
      <c r="D39" s="25" t="s">
        <v>194</v>
      </c>
      <c r="E39" s="155" t="s">
        <v>387</v>
      </c>
      <c r="F39" s="26" t="s">
        <v>373</v>
      </c>
      <c r="G39" s="38" t="str">
        <f t="shared" si="43"/>
        <v>[effect:enemy_message, val1:1, val2:3]</v>
      </c>
      <c r="H39" s="38">
        <f t="shared" si="44"/>
        <v>9</v>
      </c>
      <c r="I39" s="38">
        <f t="shared" si="45"/>
        <v>22</v>
      </c>
      <c r="J39" s="38" t="e">
        <f t="shared" si="46"/>
        <v>#VALUE!</v>
      </c>
      <c r="K39" s="38">
        <f t="shared" si="47"/>
        <v>30</v>
      </c>
      <c r="L39" s="38" t="str">
        <f>IFERROR(VLOOKUP(MID(G39,J39,K39-J39),[5]skilldef!$C:$D,2,FALSE),"-") &amp; " / " &amp; IFERROR(VLOOKUP(MID(G39,H39,I39-H39),[5]skilldef!$A:$B,2,FALSE),"-")</f>
        <v>- / -</v>
      </c>
      <c r="M39" s="38" t="str">
        <f t="shared" si="48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N39" s="23" t="str">
        <f>IFERROR(LEFT(M39,FIND("],",M39)+S52),M39)</f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O39" s="38">
        <f t="shared" si="50"/>
        <v>9</v>
      </c>
      <c r="P39" s="38">
        <f t="shared" si="51"/>
        <v>21</v>
      </c>
      <c r="Q39" s="38">
        <f t="shared" si="52"/>
        <v>30</v>
      </c>
      <c r="R39" s="38">
        <f t="shared" si="53"/>
        <v>38</v>
      </c>
      <c r="S39" s="38" t="str">
        <f>IFERROR(VLOOKUP(MID(N39,Q39,R39-Q39),[5]skilldef!$C:$D,2,FALSE),"-") &amp; " / " &amp; IFERROR(VLOOKUP(MID(N39,O39,P39-O39),[5]skilldef!$A:$B,2,FALSE),"-")</f>
        <v>味方全体に / ステータスDOWN</v>
      </c>
      <c r="T39" s="23" t="str">
        <f t="shared" si="54"/>
        <v>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U39" s="38">
        <f t="shared" si="55"/>
        <v>9</v>
      </c>
      <c r="V39" s="38">
        <f t="shared" si="56"/>
        <v>27</v>
      </c>
      <c r="W39" s="38">
        <f t="shared" si="57"/>
        <v>59</v>
      </c>
      <c r="X39" s="38">
        <f t="shared" si="58"/>
        <v>50</v>
      </c>
      <c r="Y39" s="38" t="str">
        <f>IFERROR(VLOOKUP(MID(T39,W39,X39-W39),[5]skilldef!$C:$D,2,FALSE),"-") &amp; " / " &amp; IFERROR(VLOOKUP(MID(T39,U39,V39-U39),[5]skilldef!$A:$B,2,FALSE),"-")</f>
        <v>- / -</v>
      </c>
      <c r="Z39" s="25"/>
      <c r="AA39" s="27"/>
      <c r="AB39" s="25"/>
    </row>
    <row r="40" spans="1:28" ht="21" customHeight="1" x14ac:dyDescent="0.15">
      <c r="A40" s="127">
        <v>49013039</v>
      </c>
      <c r="B40" s="22" t="s">
        <v>381</v>
      </c>
      <c r="C40" s="25">
        <v>3</v>
      </c>
      <c r="D40" s="25" t="s">
        <v>194</v>
      </c>
      <c r="E40" s="155" t="s">
        <v>385</v>
      </c>
      <c r="F40" s="26" t="s">
        <v>373</v>
      </c>
      <c r="G40" s="38" t="str">
        <f t="shared" si="43"/>
        <v>[effect:enemy_message, val1:1, val2:3]</v>
      </c>
      <c r="H40" s="38">
        <f t="shared" si="44"/>
        <v>9</v>
      </c>
      <c r="I40" s="38">
        <f t="shared" si="45"/>
        <v>22</v>
      </c>
      <c r="J40" s="38" t="e">
        <f t="shared" si="46"/>
        <v>#VALUE!</v>
      </c>
      <c r="K40" s="38">
        <f t="shared" si="47"/>
        <v>30</v>
      </c>
      <c r="L40" s="38" t="str">
        <f>IFERROR(VLOOKUP(MID(G40,J40,K40-J40),[5]skilldef!$C:$D,2,FALSE),"-") &amp; " / " &amp; IFERROR(VLOOKUP(MID(G40,H40,I40-H40),[5]skilldef!$A:$B,2,FALSE),"-")</f>
        <v>- / -</v>
      </c>
      <c r="M40" s="38" t="str">
        <f t="shared" si="48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N40" s="23" t="str">
        <f>IFERROR(LEFT(M40,FIND("],",M40)+S53),M40)</f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O40" s="38">
        <f t="shared" si="50"/>
        <v>9</v>
      </c>
      <c r="P40" s="38">
        <f t="shared" si="51"/>
        <v>21</v>
      </c>
      <c r="Q40" s="38">
        <f t="shared" si="52"/>
        <v>30</v>
      </c>
      <c r="R40" s="38">
        <f t="shared" si="53"/>
        <v>38</v>
      </c>
      <c r="S40" s="38" t="str">
        <f>IFERROR(VLOOKUP(MID(N40,Q40,R40-Q40),[5]skilldef!$C:$D,2,FALSE),"-") &amp; " / " &amp; IFERROR(VLOOKUP(MID(N40,O40,P40-O40),[5]skilldef!$A:$B,2,FALSE),"-")</f>
        <v>味方全体に / ステータスDOWN</v>
      </c>
      <c r="T40" s="23" t="str">
        <f t="shared" si="54"/>
        <v>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U40" s="38">
        <f t="shared" si="55"/>
        <v>9</v>
      </c>
      <c r="V40" s="38">
        <f t="shared" si="56"/>
        <v>27</v>
      </c>
      <c r="W40" s="38">
        <f t="shared" si="57"/>
        <v>59</v>
      </c>
      <c r="X40" s="38">
        <f t="shared" si="58"/>
        <v>50</v>
      </c>
      <c r="Y40" s="38" t="str">
        <f>IFERROR(VLOOKUP(MID(T40,W40,X40-W40),[5]skilldef!$C:$D,2,FALSE),"-") &amp; " / " &amp; IFERROR(VLOOKUP(MID(T40,U40,V40-U40),[5]skilldef!$A:$B,2,FALSE),"-")</f>
        <v>- / -</v>
      </c>
      <c r="Z40" s="25"/>
      <c r="AA40" s="27"/>
      <c r="AB40" s="25"/>
    </row>
    <row r="41" spans="1:28" ht="21" customHeight="1" x14ac:dyDescent="0.15">
      <c r="A41" s="128">
        <v>49013040</v>
      </c>
      <c r="B41" s="22" t="s">
        <v>381</v>
      </c>
      <c r="C41" s="25">
        <v>3</v>
      </c>
      <c r="D41" s="25" t="s">
        <v>194</v>
      </c>
      <c r="E41" s="26" t="s">
        <v>386</v>
      </c>
      <c r="F41" s="26" t="s">
        <v>373</v>
      </c>
      <c r="G41" s="38" t="str">
        <f t="shared" si="16"/>
        <v>[effect:enemy_message, val1:1, val2:3]</v>
      </c>
      <c r="H41" s="38">
        <f t="shared" si="17"/>
        <v>9</v>
      </c>
      <c r="I41" s="38">
        <f t="shared" si="18"/>
        <v>22</v>
      </c>
      <c r="J41" s="38" t="e">
        <f t="shared" si="19"/>
        <v>#VALUE!</v>
      </c>
      <c r="K41" s="38">
        <f t="shared" si="20"/>
        <v>30</v>
      </c>
      <c r="L41" s="38" t="str">
        <f>IFERROR(VLOOKUP(MID(G41,J41,K41-J41),[5]skilldef!$C:$D,2,FALSE),"-") &amp; " / " &amp; IFERROR(VLOOKUP(MID(G41,H41,I41-H41),[5]skilldef!$A:$B,2,FALSE),"-")</f>
        <v>- / -</v>
      </c>
      <c r="M41" s="38" t="str">
        <f t="shared" si="21"/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N41" s="23" t="str">
        <f>IFERROR(LEFT(M41,FIND("],",M41)+S62),M41)</f>
        <v>[effect:degrade_unit, target:unit_all, turn:1, status:attack, val:1, calc:mul],[effect:force_change_block,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O41" s="38">
        <f t="shared" si="22"/>
        <v>9</v>
      </c>
      <c r="P41" s="38">
        <f t="shared" si="23"/>
        <v>21</v>
      </c>
      <c r="Q41" s="38">
        <f t="shared" si="24"/>
        <v>30</v>
      </c>
      <c r="R41" s="38">
        <f t="shared" si="25"/>
        <v>38</v>
      </c>
      <c r="S41" s="38" t="str">
        <f>IFERROR(VLOOKUP(MID(N41,Q41,R41-Q41),[5]skilldef!$C:$D,2,FALSE),"-") &amp; " / " &amp; IFERROR(VLOOKUP(MID(N41,O41,P41-O41),[5]skilldef!$A:$B,2,FALSE),"-")</f>
        <v>味方全体に / ステータスDOWN</v>
      </c>
      <c r="T41" s="23" t="str">
        <f t="shared" si="26"/>
        <v>[effect:force_change_block, new_block:block_heart, target:block_red, ignore01:crash, ignore02:crack_bomb, ignore03:time_bomb, ignore04:jammer, ignore05:damage, count:5, val:0, animation:change_block],[effect:force_change_block, new_block:block_heart, target:block_blue, ignore01:crash, ignore02:crack_bomb, ignore03:time_bomb, ignore04:jammer, ignore05:damage, count:5, val:0, animation:change_block],[effect:force_change_block, new_block:block_heart, target:block_green, ignore01:crash, ignore02:crack_bomb, ignore03:time_bomb, ignore04:jammer, ignore05:damage, count:5, val:0, animation:change_block],[effect:force_change_block, new_block:block_heart, target:block_yellow, ignore01:crash, ignore02:crack_bomb, ignore03:time_bomb, ignore04:jammer, ignore05:damage, count:5, val:0, animation:change_block]</v>
      </c>
      <c r="U41" s="38">
        <f t="shared" si="27"/>
        <v>9</v>
      </c>
      <c r="V41" s="38">
        <f t="shared" si="28"/>
        <v>27</v>
      </c>
      <c r="W41" s="38">
        <f t="shared" si="29"/>
        <v>59</v>
      </c>
      <c r="X41" s="38">
        <f t="shared" si="30"/>
        <v>50</v>
      </c>
      <c r="Y41" s="38" t="str">
        <f>IFERROR(VLOOKUP(MID(T41,W41,X41-W41),[5]skilldef!$C:$D,2,FALSE),"-") &amp; " / " &amp; IFERROR(VLOOKUP(MID(T41,U41,V41-U41),[5]skilldef!$A:$B,2,FALSE),"-")</f>
        <v>- / -</v>
      </c>
      <c r="Z41" s="25"/>
      <c r="AA41" s="27"/>
      <c r="AB41" s="25"/>
    </row>
    <row r="42" spans="1:28" ht="21" customHeight="1" x14ac:dyDescent="0.15">
      <c r="A42" s="128">
        <v>49013041</v>
      </c>
      <c r="B42" s="22" t="s">
        <v>369</v>
      </c>
      <c r="C42" s="25">
        <v>3</v>
      </c>
      <c r="D42" s="25" t="s">
        <v>194</v>
      </c>
      <c r="E42" s="26" t="s">
        <v>267</v>
      </c>
      <c r="F42" s="26" t="s">
        <v>268</v>
      </c>
      <c r="G42" s="38" t="str">
        <f t="shared" si="16"/>
        <v>[effect:critical, val:1]</v>
      </c>
      <c r="H42" s="38">
        <f t="shared" si="17"/>
        <v>9</v>
      </c>
      <c r="I42" s="38">
        <f t="shared" si="18"/>
        <v>17</v>
      </c>
      <c r="J42" s="38" t="e">
        <f t="shared" si="19"/>
        <v>#VALUE!</v>
      </c>
      <c r="K42" s="38" t="e">
        <f t="shared" si="20"/>
        <v>#VALUE!</v>
      </c>
      <c r="L42" s="38" t="str">
        <f>IFERROR(VLOOKUP(MID(G42,J42,K42-J42),[5]skilldef!$C:$D,2,FALSE),"-") &amp; " / " &amp; IFERROR(VLOOKUP(MID(G42,H42,I42-H42),[5]skilldef!$A:$B,2,FALSE),"-")</f>
        <v>- / 大攻撃</v>
      </c>
      <c r="M42" s="38" t="str">
        <f t="shared" si="21"/>
        <v>none</v>
      </c>
      <c r="N42" s="23" t="str">
        <f>IFERROR(LEFT(M42,FIND("],",M42)+S62),M42)</f>
        <v>none</v>
      </c>
      <c r="O42" s="38" t="e">
        <f t="shared" si="22"/>
        <v>#VALUE!</v>
      </c>
      <c r="P42" s="38">
        <f t="shared" si="23"/>
        <v>4</v>
      </c>
      <c r="Q42" s="38" t="e">
        <f t="shared" si="24"/>
        <v>#VALUE!</v>
      </c>
      <c r="R42" s="38" t="e">
        <f t="shared" si="25"/>
        <v>#VALUE!</v>
      </c>
      <c r="S42" s="38" t="str">
        <f>IFERROR(VLOOKUP(MID(N42,Q42,R42-Q42),[5]skilldef!$C:$D,2,FALSE),"-") &amp; " / " &amp; IFERROR(VLOOKUP(MID(N42,O42,P42-O42),[5]skilldef!$A:$B,2,FALSE),"-")</f>
        <v>- / -</v>
      </c>
      <c r="T42" s="23" t="str">
        <f t="shared" si="26"/>
        <v>none</v>
      </c>
      <c r="U42" s="38" t="e">
        <f t="shared" si="27"/>
        <v>#VALUE!</v>
      </c>
      <c r="V42" s="38">
        <f t="shared" si="28"/>
        <v>4</v>
      </c>
      <c r="W42" s="38" t="e">
        <f t="shared" si="29"/>
        <v>#VALUE!</v>
      </c>
      <c r="X42" s="38" t="e">
        <f t="shared" si="30"/>
        <v>#VALUE!</v>
      </c>
      <c r="Y42" s="38" t="str">
        <f>IFERROR(VLOOKUP(MID(T42,W42,X42-W42),[5]skilldef!$C:$D,2,FALSE),"-") &amp; " / " &amp; IFERROR(VLOOKUP(MID(T42,U42,V42-U42),[5]skilldef!$A:$B,2,FALSE),"-")</f>
        <v>- / -</v>
      </c>
      <c r="Z42" s="25"/>
      <c r="AA42" s="27"/>
      <c r="AB42" s="25"/>
    </row>
    <row r="43" spans="1:28" ht="21" customHeight="1" x14ac:dyDescent="0.15">
      <c r="A43" s="128">
        <v>49013042</v>
      </c>
      <c r="B43" s="22" t="s">
        <v>369</v>
      </c>
      <c r="C43" s="25">
        <v>3</v>
      </c>
      <c r="D43" s="25" t="s">
        <v>194</v>
      </c>
      <c r="E43" s="26" t="s">
        <v>269</v>
      </c>
      <c r="F43" s="26" t="s">
        <v>270</v>
      </c>
      <c r="G43" s="38" t="str">
        <f t="shared" si="16"/>
        <v>[effect:critical, val:1]</v>
      </c>
      <c r="H43" s="38">
        <f t="shared" si="17"/>
        <v>9</v>
      </c>
      <c r="I43" s="38">
        <f t="shared" si="18"/>
        <v>17</v>
      </c>
      <c r="J43" s="38" t="e">
        <f t="shared" si="19"/>
        <v>#VALUE!</v>
      </c>
      <c r="K43" s="38" t="e">
        <f t="shared" si="20"/>
        <v>#VALUE!</v>
      </c>
      <c r="L43" s="38" t="str">
        <f>IFERROR(VLOOKUP(MID(G43,J43,K43-J43),[5]skilldef!$C:$D,2,FALSE),"-") &amp; " / " &amp; IFERROR(VLOOKUP(MID(G43,H43,I43-H43),[5]skilldef!$A:$B,2,FALSE),"-")</f>
        <v>- / 大攻撃</v>
      </c>
      <c r="M43" s="38" t="str">
        <f t="shared" si="21"/>
        <v>none</v>
      </c>
      <c r="N43" s="23" t="str">
        <f>IFERROR(LEFT(M43,FIND("],",M43)+S63),M43)</f>
        <v>none</v>
      </c>
      <c r="O43" s="38" t="e">
        <f t="shared" si="22"/>
        <v>#VALUE!</v>
      </c>
      <c r="P43" s="38">
        <f t="shared" si="23"/>
        <v>4</v>
      </c>
      <c r="Q43" s="38" t="e">
        <f t="shared" si="24"/>
        <v>#VALUE!</v>
      </c>
      <c r="R43" s="38" t="e">
        <f t="shared" si="25"/>
        <v>#VALUE!</v>
      </c>
      <c r="S43" s="38" t="str">
        <f>IFERROR(VLOOKUP(MID(N43,Q43,R43-Q43),[5]skilldef!$C:$D,2,FALSE),"-") &amp; " / " &amp; IFERROR(VLOOKUP(MID(N43,O43,P43-O43),[5]skilldef!$A:$B,2,FALSE),"-")</f>
        <v>- / -</v>
      </c>
      <c r="T43" s="23" t="str">
        <f t="shared" si="26"/>
        <v>none</v>
      </c>
      <c r="U43" s="38" t="e">
        <f t="shared" si="27"/>
        <v>#VALUE!</v>
      </c>
      <c r="V43" s="38">
        <f t="shared" si="28"/>
        <v>4</v>
      </c>
      <c r="W43" s="38" t="e">
        <f t="shared" si="29"/>
        <v>#VALUE!</v>
      </c>
      <c r="X43" s="38" t="e">
        <f t="shared" si="30"/>
        <v>#VALUE!</v>
      </c>
      <c r="Y43" s="38" t="str">
        <f>IFERROR(VLOOKUP(MID(T43,W43,X43-W43),[5]skilldef!$C:$D,2,FALSE),"-") &amp; " / " &amp; IFERROR(VLOOKUP(MID(T43,U43,V43-U43),[5]skilldef!$A:$B,2,FALSE),"-")</f>
        <v>- / -</v>
      </c>
      <c r="Z43" s="25"/>
      <c r="AA43" s="27"/>
      <c r="AB43" s="25"/>
    </row>
    <row r="44" spans="1:28" ht="21" customHeight="1" x14ac:dyDescent="0.15">
      <c r="A44" s="128">
        <v>49013043</v>
      </c>
      <c r="B44" s="22" t="s">
        <v>369</v>
      </c>
      <c r="C44" s="25">
        <v>3</v>
      </c>
      <c r="D44" s="25" t="s">
        <v>194</v>
      </c>
      <c r="E44" s="26" t="s">
        <v>271</v>
      </c>
      <c r="F44" s="26" t="s">
        <v>272</v>
      </c>
      <c r="G44" s="38" t="str">
        <f t="shared" si="16"/>
        <v>[effect:critical, val:1]</v>
      </c>
      <c r="H44" s="38">
        <f t="shared" si="17"/>
        <v>9</v>
      </c>
      <c r="I44" s="38">
        <f t="shared" si="18"/>
        <v>17</v>
      </c>
      <c r="J44" s="38" t="e">
        <f t="shared" si="19"/>
        <v>#VALUE!</v>
      </c>
      <c r="K44" s="38" t="e">
        <f t="shared" si="20"/>
        <v>#VALUE!</v>
      </c>
      <c r="L44" s="38" t="str">
        <f>IFERROR(VLOOKUP(MID(G44,J44,K44-J44),[5]skilldef!$C:$D,2,FALSE),"-") &amp; " / " &amp; IFERROR(VLOOKUP(MID(G44,H44,I44-H44),[5]skilldef!$A:$B,2,FALSE),"-")</f>
        <v>- / 大攻撃</v>
      </c>
      <c r="M44" s="38" t="str">
        <f t="shared" si="21"/>
        <v>none</v>
      </c>
      <c r="N44" s="23" t="str">
        <f>IFERROR(LEFT(M44,FIND("],",M44)+S63),M44)</f>
        <v>none</v>
      </c>
      <c r="O44" s="38" t="e">
        <f t="shared" si="22"/>
        <v>#VALUE!</v>
      </c>
      <c r="P44" s="38">
        <f t="shared" si="23"/>
        <v>4</v>
      </c>
      <c r="Q44" s="38" t="e">
        <f t="shared" si="24"/>
        <v>#VALUE!</v>
      </c>
      <c r="R44" s="38" t="e">
        <f t="shared" si="25"/>
        <v>#VALUE!</v>
      </c>
      <c r="S44" s="38" t="str">
        <f>IFERROR(VLOOKUP(MID(N44,Q44,R44-Q44),[5]skilldef!$C:$D,2,FALSE),"-") &amp; " / " &amp; IFERROR(VLOOKUP(MID(N44,O44,P44-O44),[5]skilldef!$A:$B,2,FALSE),"-")</f>
        <v>- / -</v>
      </c>
      <c r="T44" s="23" t="str">
        <f t="shared" si="26"/>
        <v>none</v>
      </c>
      <c r="U44" s="38" t="e">
        <f t="shared" si="27"/>
        <v>#VALUE!</v>
      </c>
      <c r="V44" s="38">
        <f t="shared" si="28"/>
        <v>4</v>
      </c>
      <c r="W44" s="38" t="e">
        <f t="shared" si="29"/>
        <v>#VALUE!</v>
      </c>
      <c r="X44" s="38" t="e">
        <f t="shared" si="30"/>
        <v>#VALUE!</v>
      </c>
      <c r="Y44" s="38" t="str">
        <f>IFERROR(VLOOKUP(MID(T44,W44,X44-W44),[5]skilldef!$C:$D,2,FALSE),"-") &amp; " / " &amp; IFERROR(VLOOKUP(MID(T44,U44,V44-U44),[5]skilldef!$A:$B,2,FALSE),"-")</f>
        <v>- / -</v>
      </c>
      <c r="Z44" s="25"/>
      <c r="AA44" s="27"/>
      <c r="AB44" s="25"/>
    </row>
    <row r="45" spans="1:28" ht="21" customHeight="1" x14ac:dyDescent="0.15">
      <c r="A45" s="128">
        <v>49013044</v>
      </c>
      <c r="B45" s="22" t="s">
        <v>369</v>
      </c>
      <c r="C45" s="25">
        <v>3</v>
      </c>
      <c r="D45" s="25" t="s">
        <v>194</v>
      </c>
      <c r="E45" s="26" t="s">
        <v>273</v>
      </c>
      <c r="F45" s="26" t="s">
        <v>274</v>
      </c>
      <c r="G45" s="38" t="str">
        <f t="shared" si="16"/>
        <v>[effect:critical, val:1]</v>
      </c>
      <c r="H45" s="38">
        <f t="shared" si="17"/>
        <v>9</v>
      </c>
      <c r="I45" s="38">
        <f t="shared" si="18"/>
        <v>17</v>
      </c>
      <c r="J45" s="38" t="e">
        <f t="shared" si="19"/>
        <v>#VALUE!</v>
      </c>
      <c r="K45" s="38" t="e">
        <f t="shared" si="20"/>
        <v>#VALUE!</v>
      </c>
      <c r="L45" s="38" t="str">
        <f>IFERROR(VLOOKUP(MID(G45,J45,K45-J45),[5]skilldef!$C:$D,2,FALSE),"-") &amp; " / " &amp; IFERROR(VLOOKUP(MID(G45,H45,I45-H45),[5]skilldef!$A:$B,2,FALSE),"-")</f>
        <v>- / 大攻撃</v>
      </c>
      <c r="M45" s="38" t="str">
        <f t="shared" si="21"/>
        <v>none</v>
      </c>
      <c r="N45" s="23" t="str">
        <f>IFERROR(LEFT(M45,FIND("],",M45)+S64),M45)</f>
        <v>none</v>
      </c>
      <c r="O45" s="38" t="e">
        <f t="shared" si="22"/>
        <v>#VALUE!</v>
      </c>
      <c r="P45" s="38">
        <f t="shared" si="23"/>
        <v>4</v>
      </c>
      <c r="Q45" s="38" t="e">
        <f t="shared" si="24"/>
        <v>#VALUE!</v>
      </c>
      <c r="R45" s="38" t="e">
        <f t="shared" si="25"/>
        <v>#VALUE!</v>
      </c>
      <c r="S45" s="38" t="str">
        <f>IFERROR(VLOOKUP(MID(N45,Q45,R45-Q45),[5]skilldef!$C:$D,2,FALSE),"-") &amp; " / " &amp; IFERROR(VLOOKUP(MID(N45,O45,P45-O45),[5]skilldef!$A:$B,2,FALSE),"-")</f>
        <v>- / -</v>
      </c>
      <c r="T45" s="23" t="str">
        <f t="shared" si="26"/>
        <v>none</v>
      </c>
      <c r="U45" s="38" t="e">
        <f t="shared" si="27"/>
        <v>#VALUE!</v>
      </c>
      <c r="V45" s="38">
        <f t="shared" si="28"/>
        <v>4</v>
      </c>
      <c r="W45" s="38" t="e">
        <f t="shared" si="29"/>
        <v>#VALUE!</v>
      </c>
      <c r="X45" s="38" t="e">
        <f t="shared" si="30"/>
        <v>#VALUE!</v>
      </c>
      <c r="Y45" s="38" t="str">
        <f>IFERROR(VLOOKUP(MID(T45,W45,X45-W45),[5]skilldef!$C:$D,2,FALSE),"-") &amp; " / " &amp; IFERROR(VLOOKUP(MID(T45,U45,V45-U45),[5]skilldef!$A:$B,2,FALSE),"-")</f>
        <v>- / -</v>
      </c>
      <c r="Z45" s="25"/>
      <c r="AA45" s="27"/>
      <c r="AB45" s="25"/>
    </row>
    <row r="46" spans="1:28" ht="21" customHeight="1" x14ac:dyDescent="0.15">
      <c r="A46" s="128">
        <v>49013045</v>
      </c>
      <c r="B46" s="22" t="s">
        <v>366</v>
      </c>
      <c r="C46" s="25">
        <v>3</v>
      </c>
      <c r="D46" s="25" t="s">
        <v>194</v>
      </c>
      <c r="E46" s="26" t="s">
        <v>275</v>
      </c>
      <c r="F46" s="26" t="s">
        <v>265</v>
      </c>
      <c r="G46" s="38" t="str">
        <f t="shared" si="16"/>
        <v>[effect:critical, val:1.4, animation:enemy_critical]</v>
      </c>
      <c r="H46" s="38">
        <f t="shared" si="17"/>
        <v>9</v>
      </c>
      <c r="I46" s="38">
        <f t="shared" si="18"/>
        <v>17</v>
      </c>
      <c r="J46" s="38" t="e">
        <f t="shared" si="19"/>
        <v>#VALUE!</v>
      </c>
      <c r="K46" s="38">
        <f t="shared" si="20"/>
        <v>26</v>
      </c>
      <c r="L46" s="38" t="str">
        <f>IFERROR(VLOOKUP(MID(G46,J46,K46-J46),[5]skilldef!$C:$D,2,FALSE),"-") &amp; " / " &amp; IFERROR(VLOOKUP(MID(G46,H46,I46-H46),[5]skilldef!$A:$B,2,FALSE),"-")</f>
        <v>- / 大攻撃</v>
      </c>
      <c r="M46" s="38" t="str">
        <f t="shared" si="21"/>
        <v>none</v>
      </c>
      <c r="N46" s="23" t="str">
        <f>IFERROR(LEFT(M46,FIND("],",M46)+S65),M46)</f>
        <v>none</v>
      </c>
      <c r="O46" s="38" t="e">
        <f t="shared" si="22"/>
        <v>#VALUE!</v>
      </c>
      <c r="P46" s="38">
        <f t="shared" si="23"/>
        <v>4</v>
      </c>
      <c r="Q46" s="38" t="e">
        <f t="shared" si="24"/>
        <v>#VALUE!</v>
      </c>
      <c r="R46" s="38" t="e">
        <f t="shared" si="25"/>
        <v>#VALUE!</v>
      </c>
      <c r="S46" s="38" t="str">
        <f>IFERROR(VLOOKUP(MID(N46,Q46,R46-Q46),[5]skilldef!$C:$D,2,FALSE),"-") &amp; " / " &amp; IFERROR(VLOOKUP(MID(N46,O46,P46-O46),[5]skilldef!$A:$B,2,FALSE),"-")</f>
        <v>- / -</v>
      </c>
      <c r="T46" s="23" t="str">
        <f t="shared" si="26"/>
        <v>none</v>
      </c>
      <c r="U46" s="38" t="e">
        <f t="shared" si="27"/>
        <v>#VALUE!</v>
      </c>
      <c r="V46" s="38">
        <f t="shared" si="28"/>
        <v>4</v>
      </c>
      <c r="W46" s="38" t="e">
        <f t="shared" si="29"/>
        <v>#VALUE!</v>
      </c>
      <c r="X46" s="38" t="e">
        <f t="shared" si="30"/>
        <v>#VALUE!</v>
      </c>
      <c r="Y46" s="38" t="str">
        <f>IFERROR(VLOOKUP(MID(T46,W46,X46-W46),[5]skilldef!$C:$D,2,FALSE),"-") &amp; " / " &amp; IFERROR(VLOOKUP(MID(T46,U46,V46-U46),[5]skilldef!$A:$B,2,FALSE),"-")</f>
        <v>- / -</v>
      </c>
      <c r="Z46" s="25"/>
      <c r="AA46" s="27"/>
      <c r="AB46" s="25"/>
    </row>
    <row r="47" spans="1:28" ht="21" customHeight="1" x14ac:dyDescent="0.15">
      <c r="A47" s="128">
        <v>49013046</v>
      </c>
      <c r="B47" s="22" t="s">
        <v>388</v>
      </c>
      <c r="C47" s="25">
        <v>3</v>
      </c>
      <c r="D47" s="25" t="s">
        <v>194</v>
      </c>
      <c r="E47" s="26" t="s">
        <v>405</v>
      </c>
      <c r="F47" s="26" t="s">
        <v>370</v>
      </c>
      <c r="G47" s="38" t="str">
        <f t="shared" si="16"/>
        <v>[effect:enemy_message, val1:1, val2:2]</v>
      </c>
      <c r="H47" s="38">
        <f t="shared" si="17"/>
        <v>9</v>
      </c>
      <c r="I47" s="38">
        <f t="shared" si="18"/>
        <v>22</v>
      </c>
      <c r="J47" s="38" t="e">
        <f t="shared" si="19"/>
        <v>#VALUE!</v>
      </c>
      <c r="K47" s="38">
        <f t="shared" si="20"/>
        <v>30</v>
      </c>
      <c r="L47" s="38" t="str">
        <f>IFERROR(VLOOKUP(MID(G47,J47,K47-J47),[5]skilldef!$C:$D,2,FALSE),"-") &amp; " / " &amp; IFERROR(VLOOKUP(MID(G47,H47,I47-H47),[5]skilldef!$A:$B,2,FALSE),"-")</f>
        <v>- / -</v>
      </c>
      <c r="M47" s="38" t="str">
        <f t="shared" si="21"/>
        <v>[effect:enemy_counter, target:myself, invoke_condition:unit_all, counter_target:attacker, turn:-1, val:0.1, animation:enemy_counter],[effect:fix_speed, target:myself, turn:1]</v>
      </c>
      <c r="N47" s="23" t="str">
        <f>IFERROR(LEFT(M47,FIND("],",M47)+S66),M47)</f>
        <v>[effect:enemy_counter, target:myself, invoke_condition:unit_all, counter_target:attacker, turn:-1, val:0.1, animation:enemy_counter],[effect:fix_speed, target:myself, turn:1]</v>
      </c>
      <c r="O47" s="38">
        <f t="shared" si="22"/>
        <v>9</v>
      </c>
      <c r="P47" s="38">
        <f t="shared" si="23"/>
        <v>22</v>
      </c>
      <c r="Q47" s="38">
        <f t="shared" si="24"/>
        <v>31</v>
      </c>
      <c r="R47" s="38">
        <f t="shared" si="25"/>
        <v>37</v>
      </c>
      <c r="S47" s="38" t="str">
        <f>IFERROR(VLOOKUP(MID(N47,Q47,R47-Q47),[5]skilldef!$C:$D,2,FALSE),"-") &amp; " / " &amp; IFERROR(VLOOKUP(MID(N47,O47,P47-O47),[5]skilldef!$A:$B,2,FALSE),"-")</f>
        <v>自分自身に / カウンター</v>
      </c>
      <c r="T47" s="23" t="str">
        <f t="shared" si="26"/>
        <v>[effect:fix_speed, target:myself, turn:1]</v>
      </c>
      <c r="U47" s="38">
        <f t="shared" si="27"/>
        <v>9</v>
      </c>
      <c r="V47" s="38">
        <f t="shared" si="28"/>
        <v>18</v>
      </c>
      <c r="W47" s="38">
        <f t="shared" si="29"/>
        <v>27</v>
      </c>
      <c r="X47" s="38">
        <f t="shared" si="30"/>
        <v>33</v>
      </c>
      <c r="Y47" s="38" t="str">
        <f>IFERROR(VLOOKUP(MID(T47,W47,X47-W47),[5]skilldef!$C:$D,2,FALSE),"-") &amp; " / " &amp; IFERROR(VLOOKUP(MID(T47,U47,V47-U47),[5]skilldef!$A:$B,2,FALSE),"-")</f>
        <v>自分自身に / 行動値設定</v>
      </c>
      <c r="Z47" s="25"/>
      <c r="AA47" s="27"/>
      <c r="AB47" s="25"/>
    </row>
    <row r="48" spans="1:28" ht="21" customHeight="1" x14ac:dyDescent="0.15">
      <c r="A48" s="128">
        <v>49013047</v>
      </c>
      <c r="B48" s="22" t="s">
        <v>263</v>
      </c>
      <c r="C48" s="25">
        <v>3</v>
      </c>
      <c r="D48" s="25" t="s">
        <v>194</v>
      </c>
      <c r="E48" s="26" t="s">
        <v>276</v>
      </c>
      <c r="F48" s="26" t="s">
        <v>264</v>
      </c>
      <c r="G48" s="38" t="str">
        <f t="shared" si="16"/>
        <v>[effect:spread, val:0.3]</v>
      </c>
      <c r="H48" s="38">
        <f t="shared" si="17"/>
        <v>9</v>
      </c>
      <c r="I48" s="38">
        <f t="shared" si="18"/>
        <v>15</v>
      </c>
      <c r="J48" s="38" t="e">
        <f t="shared" si="19"/>
        <v>#VALUE!</v>
      </c>
      <c r="K48" s="38" t="e">
        <f t="shared" si="20"/>
        <v>#VALUE!</v>
      </c>
      <c r="L48" s="38" t="str">
        <f>IFERROR(VLOOKUP(MID(G48,J48,K48-J48),[5]skilldef!$C:$D,2,FALSE),"-") &amp; " / " &amp; IFERROR(VLOOKUP(MID(G48,H48,I48-H48),[5]skilldef!$A:$B,2,FALSE),"-")</f>
        <v>- / 全体攻撃</v>
      </c>
      <c r="M48" s="38" t="str">
        <f t="shared" si="21"/>
        <v>none</v>
      </c>
      <c r="N48" s="23" t="str">
        <f>IFERROR(LEFT(M48,FIND("],",M48)+S68),M48)</f>
        <v>none</v>
      </c>
      <c r="O48" s="38" t="e">
        <f t="shared" si="22"/>
        <v>#VALUE!</v>
      </c>
      <c r="P48" s="38">
        <f t="shared" si="23"/>
        <v>4</v>
      </c>
      <c r="Q48" s="38" t="e">
        <f t="shared" si="24"/>
        <v>#VALUE!</v>
      </c>
      <c r="R48" s="38" t="e">
        <f t="shared" si="25"/>
        <v>#VALUE!</v>
      </c>
      <c r="S48" s="38" t="str">
        <f>IFERROR(VLOOKUP(MID(N48,Q48,R48-Q48),[5]skilldef!$C:$D,2,FALSE),"-") &amp; " / " &amp; IFERROR(VLOOKUP(MID(N48,O48,P48-O48),[5]skilldef!$A:$B,2,FALSE),"-")</f>
        <v>- / -</v>
      </c>
      <c r="T48" s="23" t="str">
        <f t="shared" si="26"/>
        <v>none</v>
      </c>
      <c r="U48" s="38" t="e">
        <f t="shared" si="27"/>
        <v>#VALUE!</v>
      </c>
      <c r="V48" s="38">
        <f t="shared" si="28"/>
        <v>4</v>
      </c>
      <c r="W48" s="38" t="e">
        <f t="shared" si="29"/>
        <v>#VALUE!</v>
      </c>
      <c r="X48" s="38" t="e">
        <f t="shared" si="30"/>
        <v>#VALUE!</v>
      </c>
      <c r="Y48" s="38" t="str">
        <f>IFERROR(VLOOKUP(MID(T48,W48,X48-W48),[5]skilldef!$C:$D,2,FALSE),"-") &amp; " / " &amp; IFERROR(VLOOKUP(MID(T48,U48,V48-U48),[5]skilldef!$A:$B,2,FALSE),"-")</f>
        <v>- / -</v>
      </c>
      <c r="Z48" s="25"/>
      <c r="AA48" s="27"/>
      <c r="AB48" s="25"/>
    </row>
    <row r="49" spans="1:28" ht="21" customHeight="1" x14ac:dyDescent="0.15">
      <c r="A49" s="128">
        <v>49013048</v>
      </c>
      <c r="B49" s="22" t="s">
        <v>369</v>
      </c>
      <c r="C49" s="25">
        <v>3</v>
      </c>
      <c r="D49" s="25" t="s">
        <v>194</v>
      </c>
      <c r="E49" s="26" t="s">
        <v>277</v>
      </c>
      <c r="F49" s="26" t="s">
        <v>278</v>
      </c>
      <c r="G49" s="38" t="str">
        <f t="shared" si="16"/>
        <v>[effect:critical, val:1]</v>
      </c>
      <c r="H49" s="38">
        <f t="shared" si="17"/>
        <v>9</v>
      </c>
      <c r="I49" s="38">
        <f t="shared" si="18"/>
        <v>17</v>
      </c>
      <c r="J49" s="38" t="e">
        <f t="shared" si="19"/>
        <v>#VALUE!</v>
      </c>
      <c r="K49" s="38" t="e">
        <f t="shared" si="20"/>
        <v>#VALUE!</v>
      </c>
      <c r="L49" s="38" t="str">
        <f>IFERROR(VLOOKUP(MID(G49,J49,K49-J49),[5]skilldef!$C:$D,2,FALSE),"-") &amp; " / " &amp; IFERROR(VLOOKUP(MID(G49,H49,I49-H49),[5]skilldef!$A:$B,2,FALSE),"-")</f>
        <v>- / 大攻撃</v>
      </c>
      <c r="M49" s="38" t="str">
        <f t="shared" si="21"/>
        <v>none</v>
      </c>
      <c r="N49" s="23" t="str">
        <f>IFERROR(LEFT(M49,FIND("],",M49)+S69),M49)</f>
        <v>none</v>
      </c>
      <c r="O49" s="38" t="e">
        <f t="shared" si="22"/>
        <v>#VALUE!</v>
      </c>
      <c r="P49" s="38">
        <f t="shared" si="23"/>
        <v>4</v>
      </c>
      <c r="Q49" s="38" t="e">
        <f t="shared" si="24"/>
        <v>#VALUE!</v>
      </c>
      <c r="R49" s="38" t="e">
        <f t="shared" si="25"/>
        <v>#VALUE!</v>
      </c>
      <c r="S49" s="38" t="str">
        <f>IFERROR(VLOOKUP(MID(N49,Q49,R49-Q49),[5]skilldef!$C:$D,2,FALSE),"-") &amp; " / " &amp; IFERROR(VLOOKUP(MID(N49,O49,P49-O49),[5]skilldef!$A:$B,2,FALSE),"-")</f>
        <v>- / -</v>
      </c>
      <c r="T49" s="23" t="str">
        <f t="shared" si="26"/>
        <v>none</v>
      </c>
      <c r="U49" s="38" t="e">
        <f t="shared" si="27"/>
        <v>#VALUE!</v>
      </c>
      <c r="V49" s="38">
        <f t="shared" si="28"/>
        <v>4</v>
      </c>
      <c r="W49" s="38" t="e">
        <f t="shared" si="29"/>
        <v>#VALUE!</v>
      </c>
      <c r="X49" s="38" t="e">
        <f t="shared" si="30"/>
        <v>#VALUE!</v>
      </c>
      <c r="Y49" s="38" t="str">
        <f>IFERROR(VLOOKUP(MID(T49,W49,X49-W49),[5]skilldef!$C:$D,2,FALSE),"-") &amp; " / " &amp; IFERROR(VLOOKUP(MID(T49,U49,V49-U49),[5]skilldef!$A:$B,2,FALSE),"-")</f>
        <v>- / -</v>
      </c>
      <c r="Z49" s="25"/>
      <c r="AA49" s="27"/>
      <c r="AB49" s="25"/>
    </row>
    <row r="50" spans="1:28" ht="21" customHeight="1" x14ac:dyDescent="0.15">
      <c r="A50" s="128">
        <v>49013049</v>
      </c>
      <c r="B50" s="22" t="s">
        <v>279</v>
      </c>
      <c r="C50" s="25">
        <v>3</v>
      </c>
      <c r="D50" s="25" t="s">
        <v>194</v>
      </c>
      <c r="E50" s="26" t="s">
        <v>280</v>
      </c>
      <c r="F50" s="26" t="s">
        <v>389</v>
      </c>
      <c r="G50" s="38" t="str">
        <f t="shared" si="16"/>
        <v>[effect:enhance_enemy, target:enemy_all, turn:-1, status:attack, val:0.2, calc:mul, animation:enemy_enhance_attack]</v>
      </c>
      <c r="H50" s="38">
        <f t="shared" si="17"/>
        <v>9</v>
      </c>
      <c r="I50" s="38">
        <f t="shared" si="18"/>
        <v>22</v>
      </c>
      <c r="J50" s="38">
        <f t="shared" si="19"/>
        <v>31</v>
      </c>
      <c r="K50" s="38">
        <f t="shared" si="20"/>
        <v>40</v>
      </c>
      <c r="L50" s="38" t="str">
        <f>IFERROR(VLOOKUP(MID(G50,J50,K50-J50),[5]skilldef!$C:$D,2,FALSE),"-") &amp; " / " &amp; IFERROR(VLOOKUP(MID(G50,H50,I50-H50),[5]skilldef!$A:$B,2,FALSE),"-")</f>
        <v>敵全体に / ステータス強化</v>
      </c>
      <c r="M50" s="38" t="str">
        <f t="shared" si="21"/>
        <v xml:space="preserve">[effect:fix_speed, target:myself, turn:2]    </v>
      </c>
      <c r="N50" s="23" t="str">
        <f>IFERROR(LEFT(M50,FIND("],",M50)+S70),M50)</f>
        <v xml:space="preserve">[effect:fix_speed, target:myself, turn:2]    </v>
      </c>
      <c r="O50" s="38">
        <f t="shared" si="22"/>
        <v>9</v>
      </c>
      <c r="P50" s="38">
        <f t="shared" si="23"/>
        <v>18</v>
      </c>
      <c r="Q50" s="38">
        <f t="shared" si="24"/>
        <v>27</v>
      </c>
      <c r="R50" s="38">
        <f t="shared" si="25"/>
        <v>33</v>
      </c>
      <c r="S50" s="38" t="str">
        <f>IFERROR(VLOOKUP(MID(N50,Q50,R50-Q50),[5]skilldef!$C:$D,2,FALSE),"-") &amp; " / " &amp; IFERROR(VLOOKUP(MID(N50,O50,P50-O50),[5]skilldef!$A:$B,2,FALSE),"-")</f>
        <v>自分自身に / 行動値設定</v>
      </c>
      <c r="T50" s="23" t="str">
        <f t="shared" si="26"/>
        <v>none</v>
      </c>
      <c r="U50" s="38" t="e">
        <f t="shared" si="27"/>
        <v>#VALUE!</v>
      </c>
      <c r="V50" s="38">
        <f t="shared" si="28"/>
        <v>4</v>
      </c>
      <c r="W50" s="38" t="e">
        <f t="shared" si="29"/>
        <v>#VALUE!</v>
      </c>
      <c r="X50" s="38" t="e">
        <f t="shared" si="30"/>
        <v>#VALUE!</v>
      </c>
      <c r="Y50" s="38" t="str">
        <f>IFERROR(VLOOKUP(MID(T50,W50,X50-W50),[5]skilldef!$C:$D,2,FALSE),"-") &amp; " / " &amp; IFERROR(VLOOKUP(MID(T50,U50,V50-U50),[5]skilldef!$A:$B,2,FALSE),"-")</f>
        <v>- / -</v>
      </c>
      <c r="Z50" s="25"/>
      <c r="AA50" s="27"/>
      <c r="AB50" s="25"/>
    </row>
    <row r="51" spans="1:28" ht="21" customHeight="1" x14ac:dyDescent="0.15">
      <c r="A51" s="128">
        <v>49013050</v>
      </c>
      <c r="B51" s="22" t="s">
        <v>367</v>
      </c>
      <c r="C51" s="25">
        <v>3</v>
      </c>
      <c r="D51" s="25" t="s">
        <v>194</v>
      </c>
      <c r="E51" s="26" t="s">
        <v>281</v>
      </c>
      <c r="F51" s="26" t="s">
        <v>265</v>
      </c>
      <c r="G51" s="38" t="str">
        <f t="shared" si="16"/>
        <v>[effect:critical, val:1.3, animation:enemy_critical]</v>
      </c>
      <c r="H51" s="38">
        <f t="shared" si="17"/>
        <v>9</v>
      </c>
      <c r="I51" s="38">
        <f t="shared" si="18"/>
        <v>17</v>
      </c>
      <c r="J51" s="38" t="e">
        <f t="shared" si="19"/>
        <v>#VALUE!</v>
      </c>
      <c r="K51" s="38">
        <f t="shared" si="20"/>
        <v>26</v>
      </c>
      <c r="L51" s="38" t="str">
        <f>IFERROR(VLOOKUP(MID(G51,J51,K51-J51),[5]skilldef!$C:$D,2,FALSE),"-") &amp; " / " &amp; IFERROR(VLOOKUP(MID(G51,H51,I51-H51),[5]skilldef!$A:$B,2,FALSE),"-")</f>
        <v>- / 大攻撃</v>
      </c>
      <c r="M51" s="38" t="str">
        <f t="shared" si="21"/>
        <v xml:space="preserve">[effect:fix_speed, target:myself, turn:1]    </v>
      </c>
      <c r="N51" s="23" t="str">
        <f>IFERROR(LEFT(M51,FIND("],",M51)+S71),M51)</f>
        <v xml:space="preserve">[effect:fix_speed, target:myself, turn:1]    </v>
      </c>
      <c r="O51" s="38">
        <f t="shared" si="22"/>
        <v>9</v>
      </c>
      <c r="P51" s="38">
        <f t="shared" si="23"/>
        <v>18</v>
      </c>
      <c r="Q51" s="38">
        <f t="shared" si="24"/>
        <v>27</v>
      </c>
      <c r="R51" s="38">
        <f t="shared" si="25"/>
        <v>33</v>
      </c>
      <c r="S51" s="38" t="str">
        <f>IFERROR(VLOOKUP(MID(N51,Q51,R51-Q51),[5]skilldef!$C:$D,2,FALSE),"-") &amp; " / " &amp; IFERROR(VLOOKUP(MID(N51,O51,P51-O51),[5]skilldef!$A:$B,2,FALSE),"-")</f>
        <v>自分自身に / 行動値設定</v>
      </c>
      <c r="T51" s="23" t="str">
        <f t="shared" si="26"/>
        <v>none</v>
      </c>
      <c r="U51" s="38" t="e">
        <f t="shared" si="27"/>
        <v>#VALUE!</v>
      </c>
      <c r="V51" s="38">
        <f t="shared" si="28"/>
        <v>4</v>
      </c>
      <c r="W51" s="38" t="e">
        <f t="shared" si="29"/>
        <v>#VALUE!</v>
      </c>
      <c r="X51" s="38" t="e">
        <f t="shared" si="30"/>
        <v>#VALUE!</v>
      </c>
      <c r="Y51" s="38" t="str">
        <f>IFERROR(VLOOKUP(MID(T51,W51,X51-W51),[5]skilldef!$C:$D,2,FALSE),"-") &amp; " / " &amp; IFERROR(VLOOKUP(MID(T51,U51,V51-U51),[5]skilldef!$A:$B,2,FALSE),"-")</f>
        <v>- / -</v>
      </c>
      <c r="Z51" s="25"/>
      <c r="AA51" s="27"/>
      <c r="AB51" s="25"/>
    </row>
    <row r="52" spans="1:28" ht="21" customHeight="1" x14ac:dyDescent="0.15">
      <c r="A52" s="127">
        <v>49013051</v>
      </c>
      <c r="B52" s="22" t="s">
        <v>390</v>
      </c>
      <c r="C52" s="25">
        <v>3</v>
      </c>
      <c r="D52" s="25" t="s">
        <v>194</v>
      </c>
      <c r="E52" s="26" t="s">
        <v>316</v>
      </c>
      <c r="F52" s="26" t="s">
        <v>354</v>
      </c>
      <c r="G52" s="22"/>
      <c r="H52" s="22"/>
      <c r="I52" s="22"/>
      <c r="J52" s="22"/>
      <c r="K52" s="22"/>
      <c r="L52" s="38" t="str">
        <f>IFERROR(VLOOKUP(MID(G52,J52,K52-J52),[5]skilldef!$C:$D,2,FALSE),"-") &amp; " / " &amp; IFERROR(VLOOKUP(MID(G52,H52,I52-H52),[5]skilldef!$A:$B,2,FALSE),"-")</f>
        <v>- / -</v>
      </c>
      <c r="M52" s="38" t="str">
        <f t="shared" ref="M52:M61" si="59">IFERROR(RIGHT(B52,LEN(B52)-FIND("],",B52)-1),"none")</f>
        <v xml:space="preserve">[effect:damage_anti_tribe, target:unit_all, tribe:human, val1:0.1, val2:0.9],[effect:fix_speed, target:myself, turn:1]    </v>
      </c>
      <c r="N52" s="23" t="str">
        <f>IFERROR(LEFT(M52,FIND("],",M52)+S67),M52)</f>
        <v xml:space="preserve">[effect:damage_anti_tribe, target:unit_all, tribe:human, val1:0.1, val2:0.9],[effect:fix_speed, target:myself, turn:1]    </v>
      </c>
      <c r="O52" s="38">
        <f t="shared" ref="O52:O61" si="60">FIND("effect:",N52)+7</f>
        <v>9</v>
      </c>
      <c r="P52" s="38">
        <f t="shared" ref="P52:P61" si="61">IFERROR(FIND(",",N52),LEN(N52))</f>
        <v>26</v>
      </c>
      <c r="Q52" s="38">
        <f t="shared" ref="Q52:Q61" si="62">FIND("target:",N52)+7</f>
        <v>35</v>
      </c>
      <c r="R52" s="38">
        <f t="shared" ref="R52:R61" si="63">FIND(",",N52,P52+1)</f>
        <v>43</v>
      </c>
      <c r="S52" s="38" t="str">
        <f>IFERROR(VLOOKUP(MID(N52,Q52,R52-Q52),[5]skilldef!$C:$D,2,FALSE),"-") &amp; " / " &amp; IFERROR(VLOOKUP(MID(N52,O52,P52-O52),[5]skilldef!$A:$B,2,FALSE),"-")</f>
        <v>味方全体に / 種族キラー</v>
      </c>
      <c r="T52" s="23" t="str">
        <f t="shared" ref="T52:T61" si="64">IFERROR(RIGHT(M52,LEN(M52)-FIND("],",M52)-1),"none")</f>
        <v xml:space="preserve">[effect:fix_speed, target:myself, turn:1]    </v>
      </c>
      <c r="U52" s="38">
        <f t="shared" ref="U52:U61" si="65">FIND("effect:",T52)+7</f>
        <v>9</v>
      </c>
      <c r="V52" s="38">
        <f t="shared" ref="V52:V61" si="66">IFERROR(FIND(",",T52),LEN(T52))</f>
        <v>18</v>
      </c>
      <c r="W52" s="38">
        <f t="shared" ref="W52:W61" si="67">FIND("target:",T52)+7</f>
        <v>27</v>
      </c>
      <c r="X52" s="38">
        <f t="shared" ref="X52:X61" si="68">FIND(",",T52,V52+1)</f>
        <v>33</v>
      </c>
      <c r="Y52" s="38" t="str">
        <f>IFERROR(VLOOKUP(MID(T52,W52,X52-W52),[5]skilldef!$C:$D,2,FALSE),"-") &amp; " / " &amp; IFERROR(VLOOKUP(MID(T52,U52,V52-U52),[5]skilldef!$A:$B,2,FALSE),"-")</f>
        <v>自分自身に / 行動値設定</v>
      </c>
      <c r="Z52" s="25"/>
      <c r="AA52" s="27"/>
      <c r="AB52" s="25"/>
    </row>
    <row r="53" spans="1:28" ht="21" customHeight="1" x14ac:dyDescent="0.15">
      <c r="A53" s="127">
        <v>49013052</v>
      </c>
      <c r="B53" s="22" t="s">
        <v>390</v>
      </c>
      <c r="C53" s="25">
        <v>3</v>
      </c>
      <c r="D53" s="25" t="s">
        <v>194</v>
      </c>
      <c r="E53" s="155" t="s">
        <v>317</v>
      </c>
      <c r="F53" s="26" t="s">
        <v>354</v>
      </c>
      <c r="G53" s="22"/>
      <c r="H53" s="22"/>
      <c r="I53" s="22"/>
      <c r="J53" s="22"/>
      <c r="K53" s="22"/>
      <c r="L53" s="38" t="str">
        <f>IFERROR(VLOOKUP(MID(G53,J53,K53-J53),[5]skilldef!$C:$D,2,FALSE),"-") &amp; " / " &amp; IFERROR(VLOOKUP(MID(G53,H53,I53-H53),[5]skilldef!$A:$B,2,FALSE),"-")</f>
        <v>- / -</v>
      </c>
      <c r="M53" s="38" t="str">
        <f t="shared" si="59"/>
        <v xml:space="preserve">[effect:damage_anti_tribe, target:unit_all, tribe:human, val1:0.1, val2:0.9],[effect:fix_speed, target:myself, turn:1]    </v>
      </c>
      <c r="N53" s="23" t="str">
        <f>IFERROR(LEFT(M53,FIND("],",M53)+#REF!),M53)</f>
        <v xml:space="preserve">[effect:damage_anti_tribe, target:unit_all, tribe:human, val1:0.1, val2:0.9],[effect:fix_speed, target:myself, turn:1]    </v>
      </c>
      <c r="O53" s="38">
        <f t="shared" si="60"/>
        <v>9</v>
      </c>
      <c r="P53" s="38">
        <f t="shared" si="61"/>
        <v>26</v>
      </c>
      <c r="Q53" s="38">
        <f t="shared" si="62"/>
        <v>35</v>
      </c>
      <c r="R53" s="38">
        <f t="shared" si="63"/>
        <v>43</v>
      </c>
      <c r="S53" s="38" t="str">
        <f>IFERROR(VLOOKUP(MID(N53,Q53,R53-Q53),[5]skilldef!$C:$D,2,FALSE),"-") &amp; " / " &amp; IFERROR(VLOOKUP(MID(N53,O53,P53-O53),[5]skilldef!$A:$B,2,FALSE),"-")</f>
        <v>味方全体に / 種族キラー</v>
      </c>
      <c r="T53" s="23" t="str">
        <f t="shared" si="64"/>
        <v xml:space="preserve">[effect:fix_speed, target:myself, turn:1]    </v>
      </c>
      <c r="U53" s="38">
        <f t="shared" si="65"/>
        <v>9</v>
      </c>
      <c r="V53" s="38">
        <f t="shared" si="66"/>
        <v>18</v>
      </c>
      <c r="W53" s="38">
        <f t="shared" si="67"/>
        <v>27</v>
      </c>
      <c r="X53" s="38">
        <f t="shared" si="68"/>
        <v>33</v>
      </c>
      <c r="Y53" s="38" t="str">
        <f>IFERROR(VLOOKUP(MID(T53,W53,X53-W53),[5]skilldef!$C:$D,2,FALSE),"-") &amp; " / " &amp; IFERROR(VLOOKUP(MID(T53,U53,V53-U53),[5]skilldef!$A:$B,2,FALSE),"-")</f>
        <v>自分自身に / 行動値設定</v>
      </c>
      <c r="Z53" s="25"/>
      <c r="AA53" s="27"/>
      <c r="AB53" s="25"/>
    </row>
    <row r="54" spans="1:28" ht="21" customHeight="1" x14ac:dyDescent="0.15">
      <c r="A54" s="127">
        <v>49013053</v>
      </c>
      <c r="B54" s="22" t="s">
        <v>391</v>
      </c>
      <c r="C54" s="25">
        <v>3</v>
      </c>
      <c r="D54" s="25" t="s">
        <v>194</v>
      </c>
      <c r="E54" s="155" t="s">
        <v>318</v>
      </c>
      <c r="F54" s="26" t="s">
        <v>354</v>
      </c>
      <c r="G54" s="22"/>
      <c r="H54" s="22"/>
      <c r="I54" s="22"/>
      <c r="J54" s="22"/>
      <c r="K54" s="22"/>
      <c r="L54" s="38" t="str">
        <f>IFERROR(VLOOKUP(MID(G54,J54,K54-J54),[5]skilldef!$C:$D,2,FALSE),"-") &amp; " / " &amp; IFERROR(VLOOKUP(MID(G54,H54,I54-H54),[5]skilldef!$A:$B,2,FALSE),"-")</f>
        <v>- / -</v>
      </c>
      <c r="M54" s="38" t="str">
        <f t="shared" si="59"/>
        <v xml:space="preserve">[effect:damage_anti_tribe, target:unit_all, tribe:human, val1:0.1, val2:0.9],[effect:fix_speed, target:myself, turn:1]    </v>
      </c>
      <c r="N54" s="23" t="str">
        <f>IFERROR(LEFT(M54,FIND("],",M54)+#REF!),M54)</f>
        <v xml:space="preserve">[effect:damage_anti_tribe, target:unit_all, tribe:human, val1:0.1, val2:0.9],[effect:fix_speed, target:myself, turn:1]    </v>
      </c>
      <c r="O54" s="38">
        <f t="shared" si="60"/>
        <v>9</v>
      </c>
      <c r="P54" s="38">
        <f t="shared" si="61"/>
        <v>26</v>
      </c>
      <c r="Q54" s="38">
        <f t="shared" si="62"/>
        <v>35</v>
      </c>
      <c r="R54" s="38">
        <f t="shared" si="63"/>
        <v>43</v>
      </c>
      <c r="S54" s="38" t="str">
        <f>IFERROR(VLOOKUP(MID(N54,Q54,R54-Q54),[5]skilldef!$C:$D,2,FALSE),"-") &amp; " / " &amp; IFERROR(VLOOKUP(MID(N54,O54,P54-O54),[5]skilldef!$A:$B,2,FALSE),"-")</f>
        <v>味方全体に / 種族キラー</v>
      </c>
      <c r="T54" s="23" t="str">
        <f t="shared" si="64"/>
        <v xml:space="preserve">[effect:fix_speed, target:myself, turn:1]    </v>
      </c>
      <c r="U54" s="38">
        <f t="shared" si="65"/>
        <v>9</v>
      </c>
      <c r="V54" s="38">
        <f t="shared" si="66"/>
        <v>18</v>
      </c>
      <c r="W54" s="38">
        <f t="shared" si="67"/>
        <v>27</v>
      </c>
      <c r="X54" s="38">
        <f t="shared" si="68"/>
        <v>33</v>
      </c>
      <c r="Y54" s="38" t="str">
        <f>IFERROR(VLOOKUP(MID(T54,W54,X54-W54),[5]skilldef!$C:$D,2,FALSE),"-") &amp; " / " &amp; IFERROR(VLOOKUP(MID(T54,U54,V54-U54),[5]skilldef!$A:$B,2,FALSE),"-")</f>
        <v>自分自身に / 行動値設定</v>
      </c>
      <c r="Z54" s="25"/>
      <c r="AA54" s="27"/>
      <c r="AB54" s="25"/>
    </row>
    <row r="55" spans="1:28" ht="21" customHeight="1" x14ac:dyDescent="0.15">
      <c r="A55" s="127">
        <v>49013054</v>
      </c>
      <c r="B55" s="22" t="s">
        <v>390</v>
      </c>
      <c r="C55" s="25">
        <v>3</v>
      </c>
      <c r="D55" s="25" t="s">
        <v>194</v>
      </c>
      <c r="E55" s="155" t="s">
        <v>319</v>
      </c>
      <c r="F55" s="26" t="s">
        <v>354</v>
      </c>
      <c r="G55" s="22"/>
      <c r="H55" s="22"/>
      <c r="I55" s="22"/>
      <c r="J55" s="22"/>
      <c r="K55" s="22"/>
      <c r="L55" s="38" t="str">
        <f>IFERROR(VLOOKUP(MID(G55,J55,K55-J55),[5]skilldef!$C:$D,2,FALSE),"-") &amp; " / " &amp; IFERROR(VLOOKUP(MID(G55,H55,I55-H55),[5]skilldef!$A:$B,2,FALSE),"-")</f>
        <v>- / -</v>
      </c>
      <c r="M55" s="38" t="str">
        <f t="shared" si="59"/>
        <v xml:space="preserve">[effect:damage_anti_tribe, target:unit_all, tribe:human, val1:0.1, val2:0.9],[effect:fix_speed, target:myself, turn:1]    </v>
      </c>
      <c r="N55" s="23" t="str">
        <f>IFERROR(LEFT(M55,FIND("],",M55)+#REF!),M55)</f>
        <v xml:space="preserve">[effect:damage_anti_tribe, target:unit_all, tribe:human, val1:0.1, val2:0.9],[effect:fix_speed, target:myself, turn:1]    </v>
      </c>
      <c r="O55" s="38">
        <f t="shared" si="60"/>
        <v>9</v>
      </c>
      <c r="P55" s="38">
        <f t="shared" si="61"/>
        <v>26</v>
      </c>
      <c r="Q55" s="38">
        <f t="shared" si="62"/>
        <v>35</v>
      </c>
      <c r="R55" s="38">
        <f t="shared" si="63"/>
        <v>43</v>
      </c>
      <c r="S55" s="38" t="str">
        <f>IFERROR(VLOOKUP(MID(N55,Q55,R55-Q55),[5]skilldef!$C:$D,2,FALSE),"-") &amp; " / " &amp; IFERROR(VLOOKUP(MID(N55,O55,P55-O55),[5]skilldef!$A:$B,2,FALSE),"-")</f>
        <v>味方全体に / 種族キラー</v>
      </c>
      <c r="T55" s="23" t="str">
        <f t="shared" si="64"/>
        <v xml:space="preserve">[effect:fix_speed, target:myself, turn:1]    </v>
      </c>
      <c r="U55" s="38">
        <f t="shared" si="65"/>
        <v>9</v>
      </c>
      <c r="V55" s="38">
        <f t="shared" si="66"/>
        <v>18</v>
      </c>
      <c r="W55" s="38">
        <f t="shared" si="67"/>
        <v>27</v>
      </c>
      <c r="X55" s="38">
        <f t="shared" si="68"/>
        <v>33</v>
      </c>
      <c r="Y55" s="38" t="str">
        <f>IFERROR(VLOOKUP(MID(T55,W55,X55-W55),[5]skilldef!$C:$D,2,FALSE),"-") &amp; " / " &amp; IFERROR(VLOOKUP(MID(T55,U55,V55-U55),[5]skilldef!$A:$B,2,FALSE),"-")</f>
        <v>自分自身に / 行動値設定</v>
      </c>
      <c r="Z55" s="25"/>
      <c r="AA55" s="27"/>
      <c r="AB55" s="25"/>
    </row>
    <row r="56" spans="1:28" ht="21" customHeight="1" x14ac:dyDescent="0.15">
      <c r="A56" s="127">
        <v>49013055</v>
      </c>
      <c r="B56" s="22" t="s">
        <v>391</v>
      </c>
      <c r="C56" s="25">
        <v>3</v>
      </c>
      <c r="D56" s="25" t="s">
        <v>194</v>
      </c>
      <c r="E56" s="155" t="s">
        <v>320</v>
      </c>
      <c r="F56" s="26" t="s">
        <v>354</v>
      </c>
      <c r="G56" s="22"/>
      <c r="H56" s="22"/>
      <c r="I56" s="22"/>
      <c r="J56" s="22"/>
      <c r="K56" s="22"/>
      <c r="L56" s="38" t="str">
        <f>IFERROR(VLOOKUP(MID(G56,J56,K56-J56),[5]skilldef!$C:$D,2,FALSE),"-") &amp; " / " &amp; IFERROR(VLOOKUP(MID(G56,H56,I56-H56),[5]skilldef!$A:$B,2,FALSE),"-")</f>
        <v>- / -</v>
      </c>
      <c r="M56" s="38" t="str">
        <f t="shared" si="59"/>
        <v xml:space="preserve">[effect:damage_anti_tribe, target:unit_all, tribe:human, val1:0.1, val2:0.9],[effect:fix_speed, target:myself, turn:1]    </v>
      </c>
      <c r="N56" s="23" t="str">
        <f>IFERROR(LEFT(M56,FIND("],",M56)+#REF!),M56)</f>
        <v xml:space="preserve">[effect:damage_anti_tribe, target:unit_all, tribe:human, val1:0.1, val2:0.9],[effect:fix_speed, target:myself, turn:1]    </v>
      </c>
      <c r="O56" s="38">
        <f t="shared" si="60"/>
        <v>9</v>
      </c>
      <c r="P56" s="38">
        <f t="shared" si="61"/>
        <v>26</v>
      </c>
      <c r="Q56" s="38">
        <f t="shared" si="62"/>
        <v>35</v>
      </c>
      <c r="R56" s="38">
        <f t="shared" si="63"/>
        <v>43</v>
      </c>
      <c r="S56" s="38" t="str">
        <f>IFERROR(VLOOKUP(MID(N56,Q56,R56-Q56),[5]skilldef!$C:$D,2,FALSE),"-") &amp; " / " &amp; IFERROR(VLOOKUP(MID(N56,O56,P56-O56),[5]skilldef!$A:$B,2,FALSE),"-")</f>
        <v>味方全体に / 種族キラー</v>
      </c>
      <c r="T56" s="23" t="str">
        <f t="shared" si="64"/>
        <v xml:space="preserve">[effect:fix_speed, target:myself, turn:1]    </v>
      </c>
      <c r="U56" s="38">
        <f t="shared" si="65"/>
        <v>9</v>
      </c>
      <c r="V56" s="38">
        <f t="shared" si="66"/>
        <v>18</v>
      </c>
      <c r="W56" s="38">
        <f t="shared" si="67"/>
        <v>27</v>
      </c>
      <c r="X56" s="38">
        <f t="shared" si="68"/>
        <v>33</v>
      </c>
      <c r="Y56" s="38" t="str">
        <f>IFERROR(VLOOKUP(MID(T56,W56,X56-W56),[5]skilldef!$C:$D,2,FALSE),"-") &amp; " / " &amp; IFERROR(VLOOKUP(MID(T56,U56,V56-U56),[5]skilldef!$A:$B,2,FALSE),"-")</f>
        <v>自分自身に / 行動値設定</v>
      </c>
      <c r="Z56" s="25"/>
      <c r="AA56" s="27"/>
      <c r="AB56" s="25"/>
    </row>
    <row r="57" spans="1:28" ht="21" customHeight="1" x14ac:dyDescent="0.15">
      <c r="A57" s="127">
        <v>49013056</v>
      </c>
      <c r="B57" s="22" t="s">
        <v>391</v>
      </c>
      <c r="C57" s="25">
        <v>3</v>
      </c>
      <c r="D57" s="25" t="s">
        <v>194</v>
      </c>
      <c r="E57" s="155" t="s">
        <v>321</v>
      </c>
      <c r="F57" s="26" t="s">
        <v>354</v>
      </c>
      <c r="G57" s="22"/>
      <c r="H57" s="22"/>
      <c r="I57" s="22"/>
      <c r="J57" s="22"/>
      <c r="K57" s="22"/>
      <c r="L57" s="38" t="str">
        <f>IFERROR(VLOOKUP(MID(G57,J57,K57-J57),[5]skilldef!$C:$D,2,FALSE),"-") &amp; " / " &amp; IFERROR(VLOOKUP(MID(G57,H57,I57-H57),[5]skilldef!$A:$B,2,FALSE),"-")</f>
        <v>- / -</v>
      </c>
      <c r="M57" s="38" t="str">
        <f t="shared" si="59"/>
        <v xml:space="preserve">[effect:damage_anti_tribe, target:unit_all, tribe:human, val1:0.1, val2:0.9],[effect:fix_speed, target:myself, turn:1]    </v>
      </c>
      <c r="N57" s="23" t="str">
        <f>IFERROR(LEFT(M57,FIND("],",M57)+#REF!),M57)</f>
        <v xml:space="preserve">[effect:damage_anti_tribe, target:unit_all, tribe:human, val1:0.1, val2:0.9],[effect:fix_speed, target:myself, turn:1]    </v>
      </c>
      <c r="O57" s="38">
        <f t="shared" si="60"/>
        <v>9</v>
      </c>
      <c r="P57" s="38">
        <f t="shared" si="61"/>
        <v>26</v>
      </c>
      <c r="Q57" s="38">
        <f t="shared" si="62"/>
        <v>35</v>
      </c>
      <c r="R57" s="38">
        <f t="shared" si="63"/>
        <v>43</v>
      </c>
      <c r="S57" s="38" t="str">
        <f>IFERROR(VLOOKUP(MID(N57,Q57,R57-Q57),[5]skilldef!$C:$D,2,FALSE),"-") &amp; " / " &amp; IFERROR(VLOOKUP(MID(N57,O57,P57-O57),[5]skilldef!$A:$B,2,FALSE),"-")</f>
        <v>味方全体に / 種族キラー</v>
      </c>
      <c r="T57" s="23" t="str">
        <f t="shared" si="64"/>
        <v xml:space="preserve">[effect:fix_speed, target:myself, turn:1]    </v>
      </c>
      <c r="U57" s="38">
        <f t="shared" si="65"/>
        <v>9</v>
      </c>
      <c r="V57" s="38">
        <f t="shared" si="66"/>
        <v>18</v>
      </c>
      <c r="W57" s="38">
        <f t="shared" si="67"/>
        <v>27</v>
      </c>
      <c r="X57" s="38">
        <f t="shared" si="68"/>
        <v>33</v>
      </c>
      <c r="Y57" s="38" t="str">
        <f>IFERROR(VLOOKUP(MID(T57,W57,X57-W57),[5]skilldef!$C:$D,2,FALSE),"-") &amp; " / " &amp; IFERROR(VLOOKUP(MID(T57,U57,V57-U57),[5]skilldef!$A:$B,2,FALSE),"-")</f>
        <v>自分自身に / 行動値設定</v>
      </c>
      <c r="Z57" s="25"/>
      <c r="AA57" s="27"/>
      <c r="AB57" s="25"/>
    </row>
    <row r="58" spans="1:28" ht="21" customHeight="1" x14ac:dyDescent="0.15">
      <c r="A58" s="127">
        <v>49013057</v>
      </c>
      <c r="B58" s="22" t="s">
        <v>390</v>
      </c>
      <c r="C58" s="25">
        <v>3</v>
      </c>
      <c r="D58" s="25" t="s">
        <v>194</v>
      </c>
      <c r="E58" s="155" t="s">
        <v>322</v>
      </c>
      <c r="F58" s="26" t="s">
        <v>354</v>
      </c>
      <c r="G58" s="22"/>
      <c r="H58" s="22"/>
      <c r="I58" s="22"/>
      <c r="J58" s="22"/>
      <c r="K58" s="22"/>
      <c r="L58" s="38" t="str">
        <f>IFERROR(VLOOKUP(MID(G58,J58,K58-J58),[5]skilldef!$C:$D,2,FALSE),"-") &amp; " / " &amp; IFERROR(VLOOKUP(MID(G58,H58,I58-H58),[5]skilldef!$A:$B,2,FALSE),"-")</f>
        <v>- / -</v>
      </c>
      <c r="M58" s="38" t="str">
        <f t="shared" si="59"/>
        <v xml:space="preserve">[effect:damage_anti_tribe, target:unit_all, tribe:human, val1:0.1, val2:0.9],[effect:fix_speed, target:myself, turn:1]    </v>
      </c>
      <c r="N58" s="23" t="str">
        <f>IFERROR(LEFT(M58,FIND("],",M58)+#REF!),M58)</f>
        <v xml:space="preserve">[effect:damage_anti_tribe, target:unit_all, tribe:human, val1:0.1, val2:0.9],[effect:fix_speed, target:myself, turn:1]    </v>
      </c>
      <c r="O58" s="38">
        <f t="shared" si="60"/>
        <v>9</v>
      </c>
      <c r="P58" s="38">
        <f t="shared" si="61"/>
        <v>26</v>
      </c>
      <c r="Q58" s="38">
        <f t="shared" si="62"/>
        <v>35</v>
      </c>
      <c r="R58" s="38">
        <f t="shared" si="63"/>
        <v>43</v>
      </c>
      <c r="S58" s="38" t="str">
        <f>IFERROR(VLOOKUP(MID(N58,Q58,R58-Q58),[5]skilldef!$C:$D,2,FALSE),"-") &amp; " / " &amp; IFERROR(VLOOKUP(MID(N58,O58,P58-O58),[5]skilldef!$A:$B,2,FALSE),"-")</f>
        <v>味方全体に / 種族キラー</v>
      </c>
      <c r="T58" s="23" t="str">
        <f t="shared" si="64"/>
        <v xml:space="preserve">[effect:fix_speed, target:myself, turn:1]    </v>
      </c>
      <c r="U58" s="38">
        <f t="shared" si="65"/>
        <v>9</v>
      </c>
      <c r="V58" s="38">
        <f t="shared" si="66"/>
        <v>18</v>
      </c>
      <c r="W58" s="38">
        <f t="shared" si="67"/>
        <v>27</v>
      </c>
      <c r="X58" s="38">
        <f t="shared" si="68"/>
        <v>33</v>
      </c>
      <c r="Y58" s="38" t="str">
        <f>IFERROR(VLOOKUP(MID(T58,W58,X58-W58),[5]skilldef!$C:$D,2,FALSE),"-") &amp; " / " &amp; IFERROR(VLOOKUP(MID(T58,U58,V58-U58),[5]skilldef!$A:$B,2,FALSE),"-")</f>
        <v>自分自身に / 行動値設定</v>
      </c>
      <c r="Z58" s="25"/>
      <c r="AA58" s="27"/>
      <c r="AB58" s="25"/>
    </row>
    <row r="59" spans="1:28" ht="21" customHeight="1" x14ac:dyDescent="0.15">
      <c r="A59" s="127">
        <v>49013058</v>
      </c>
      <c r="B59" s="22" t="s">
        <v>391</v>
      </c>
      <c r="C59" s="25">
        <v>3</v>
      </c>
      <c r="D59" s="25" t="s">
        <v>194</v>
      </c>
      <c r="E59" s="155" t="s">
        <v>323</v>
      </c>
      <c r="F59" s="26" t="s">
        <v>354</v>
      </c>
      <c r="G59" s="22"/>
      <c r="H59" s="22"/>
      <c r="I59" s="22"/>
      <c r="J59" s="22"/>
      <c r="K59" s="22"/>
      <c r="L59" s="38" t="str">
        <f>IFERROR(VLOOKUP(MID(G59,J59,K59-J59),[5]skilldef!$C:$D,2,FALSE),"-") &amp; " / " &amp; IFERROR(VLOOKUP(MID(G59,H59,I59-H59),[5]skilldef!$A:$B,2,FALSE),"-")</f>
        <v>- / -</v>
      </c>
      <c r="M59" s="38" t="str">
        <f t="shared" si="59"/>
        <v xml:space="preserve">[effect:damage_anti_tribe, target:unit_all, tribe:human, val1:0.1, val2:0.9],[effect:fix_speed, target:myself, turn:1]    </v>
      </c>
      <c r="N59" s="23" t="str">
        <f>IFERROR(LEFT(M59,FIND("],",M59)+#REF!),M59)</f>
        <v xml:space="preserve">[effect:damage_anti_tribe, target:unit_all, tribe:human, val1:0.1, val2:0.9],[effect:fix_speed, target:myself, turn:1]    </v>
      </c>
      <c r="O59" s="38">
        <f t="shared" si="60"/>
        <v>9</v>
      </c>
      <c r="P59" s="38">
        <f t="shared" si="61"/>
        <v>26</v>
      </c>
      <c r="Q59" s="38">
        <f t="shared" si="62"/>
        <v>35</v>
      </c>
      <c r="R59" s="38">
        <f t="shared" si="63"/>
        <v>43</v>
      </c>
      <c r="S59" s="38" t="str">
        <f>IFERROR(VLOOKUP(MID(N59,Q59,R59-Q59),[5]skilldef!$C:$D,2,FALSE),"-") &amp; " / " &amp; IFERROR(VLOOKUP(MID(N59,O59,P59-O59),[5]skilldef!$A:$B,2,FALSE),"-")</f>
        <v>味方全体に / 種族キラー</v>
      </c>
      <c r="T59" s="23" t="str">
        <f t="shared" si="64"/>
        <v xml:space="preserve">[effect:fix_speed, target:myself, turn:1]    </v>
      </c>
      <c r="U59" s="38">
        <f t="shared" si="65"/>
        <v>9</v>
      </c>
      <c r="V59" s="38">
        <f t="shared" si="66"/>
        <v>18</v>
      </c>
      <c r="W59" s="38">
        <f t="shared" si="67"/>
        <v>27</v>
      </c>
      <c r="X59" s="38">
        <f t="shared" si="68"/>
        <v>33</v>
      </c>
      <c r="Y59" s="38" t="str">
        <f>IFERROR(VLOOKUP(MID(T59,W59,X59-W59),[5]skilldef!$C:$D,2,FALSE),"-") &amp; " / " &amp; IFERROR(VLOOKUP(MID(T59,U59,V59-U59),[5]skilldef!$A:$B,2,FALSE),"-")</f>
        <v>自分自身に / 行動値設定</v>
      </c>
      <c r="Z59" s="25"/>
      <c r="AA59" s="27"/>
      <c r="AB59" s="25"/>
    </row>
    <row r="60" spans="1:28" ht="21" customHeight="1" x14ac:dyDescent="0.15">
      <c r="A60" s="127">
        <v>49013059</v>
      </c>
      <c r="B60" s="22" t="s">
        <v>392</v>
      </c>
      <c r="C60" s="25">
        <v>3</v>
      </c>
      <c r="D60" s="25" t="s">
        <v>194</v>
      </c>
      <c r="E60" s="155" t="s">
        <v>324</v>
      </c>
      <c r="F60" s="26" t="s">
        <v>354</v>
      </c>
      <c r="G60" s="22"/>
      <c r="H60" s="22"/>
      <c r="I60" s="22"/>
      <c r="J60" s="22"/>
      <c r="K60" s="22"/>
      <c r="L60" s="38" t="str">
        <f>IFERROR(VLOOKUP(MID(G60,J60,K60-J60),[5]skilldef!$C:$D,2,FALSE),"-") &amp; " / " &amp; IFERROR(VLOOKUP(MID(G60,H60,I60-H60),[5]skilldef!$A:$B,2,FALSE),"-")</f>
        <v>- / -</v>
      </c>
      <c r="M60" s="38" t="str">
        <f t="shared" si="59"/>
        <v xml:space="preserve">[effect:enemy_message, val1:1, val2:2.2],[effect:damage_anti_tribe, target:unit_all, tribe:human, val1:0.1, val2:0.9],[effect:fix_speed, target:myself, turn:1]    </v>
      </c>
      <c r="N60" s="23" t="str">
        <f>IFERROR(LEFT(M60,FIND("],",M60)+#REF!),M60)</f>
        <v xml:space="preserve">[effect:enemy_message, val1:1, val2:2.2],[effect:damage_anti_tribe, target:unit_all, tribe:human, val1:0.1, val2:0.9],[effect:fix_speed, target:myself, turn:1]    </v>
      </c>
      <c r="O60" s="38">
        <f t="shared" si="60"/>
        <v>9</v>
      </c>
      <c r="P60" s="38">
        <f t="shared" si="61"/>
        <v>22</v>
      </c>
      <c r="Q60" s="38">
        <f t="shared" si="62"/>
        <v>76</v>
      </c>
      <c r="R60" s="38">
        <f t="shared" si="63"/>
        <v>30</v>
      </c>
      <c r="S60" s="38" t="str">
        <f>IFERROR(VLOOKUP(MID(N60,Q60,R60-Q60),[5]skilldef!$C:$D,2,FALSE),"-") &amp; " / " &amp; IFERROR(VLOOKUP(MID(N60,O60,P60-O60),[5]skilldef!$A:$B,2,FALSE),"-")</f>
        <v>- / -</v>
      </c>
      <c r="T60" s="23" t="str">
        <f t="shared" si="64"/>
        <v xml:space="preserve">[effect:damage_anti_tribe, target:unit_all, tribe:human, val1:0.1, val2:0.9],[effect:fix_speed, target:myself, turn:1]    </v>
      </c>
      <c r="U60" s="38">
        <f t="shared" si="65"/>
        <v>9</v>
      </c>
      <c r="V60" s="38">
        <f t="shared" si="66"/>
        <v>26</v>
      </c>
      <c r="W60" s="38">
        <f t="shared" si="67"/>
        <v>35</v>
      </c>
      <c r="X60" s="38">
        <f t="shared" si="68"/>
        <v>43</v>
      </c>
      <c r="Y60" s="38" t="str">
        <f>IFERROR(VLOOKUP(MID(T60,W60,X60-W60),[5]skilldef!$C:$D,2,FALSE),"-") &amp; " / " &amp; IFERROR(VLOOKUP(MID(T60,U60,V60-U60),[5]skilldef!$A:$B,2,FALSE),"-")</f>
        <v>味方全体に / 種族キラー</v>
      </c>
      <c r="Z60" s="25"/>
      <c r="AA60" s="27"/>
      <c r="AB60" s="25"/>
    </row>
    <row r="61" spans="1:28" ht="21" customHeight="1" x14ac:dyDescent="0.15">
      <c r="A61" s="127">
        <v>49013060</v>
      </c>
      <c r="B61" s="22" t="s">
        <v>390</v>
      </c>
      <c r="C61" s="25">
        <v>3</v>
      </c>
      <c r="D61" s="25" t="s">
        <v>194</v>
      </c>
      <c r="E61" s="155" t="s">
        <v>325</v>
      </c>
      <c r="F61" s="26" t="s">
        <v>354</v>
      </c>
      <c r="G61" s="22"/>
      <c r="H61" s="22"/>
      <c r="I61" s="22"/>
      <c r="J61" s="22"/>
      <c r="K61" s="22"/>
      <c r="L61" s="38" t="str">
        <f>IFERROR(VLOOKUP(MID(G61,J61,K61-J61),[5]skilldef!$C:$D,2,FALSE),"-") &amp; " / " &amp; IFERROR(VLOOKUP(MID(G61,H61,I61-H61),[5]skilldef!$A:$B,2,FALSE),"-")</f>
        <v>- / -</v>
      </c>
      <c r="M61" s="38" t="str">
        <f t="shared" si="59"/>
        <v xml:space="preserve">[effect:damage_anti_tribe, target:unit_all, tribe:human, val1:0.1, val2:0.9],[effect:fix_speed, target:myself, turn:1]    </v>
      </c>
      <c r="N61" s="23" t="str">
        <f>IFERROR(LEFT(M61,FIND("],",M61)+#REF!),M61)</f>
        <v xml:space="preserve">[effect:damage_anti_tribe, target:unit_all, tribe:human, val1:0.1, val2:0.9],[effect:fix_speed, target:myself, turn:1]    </v>
      </c>
      <c r="O61" s="38">
        <f t="shared" si="60"/>
        <v>9</v>
      </c>
      <c r="P61" s="38">
        <f t="shared" si="61"/>
        <v>26</v>
      </c>
      <c r="Q61" s="38">
        <f t="shared" si="62"/>
        <v>35</v>
      </c>
      <c r="R61" s="38">
        <f t="shared" si="63"/>
        <v>43</v>
      </c>
      <c r="S61" s="38" t="str">
        <f>IFERROR(VLOOKUP(MID(N61,Q61,R61-Q61),[5]skilldef!$C:$D,2,FALSE),"-") &amp; " / " &amp; IFERROR(VLOOKUP(MID(N61,O61,P61-O61),[5]skilldef!$A:$B,2,FALSE),"-")</f>
        <v>味方全体に / 種族キラー</v>
      </c>
      <c r="T61" s="23" t="str">
        <f t="shared" si="64"/>
        <v xml:space="preserve">[effect:fix_speed, target:myself, turn:1]    </v>
      </c>
      <c r="U61" s="38">
        <f t="shared" si="65"/>
        <v>9</v>
      </c>
      <c r="V61" s="38">
        <f t="shared" si="66"/>
        <v>18</v>
      </c>
      <c r="W61" s="38">
        <f t="shared" si="67"/>
        <v>27</v>
      </c>
      <c r="X61" s="38">
        <f t="shared" si="68"/>
        <v>33</v>
      </c>
      <c r="Y61" s="38" t="str">
        <f>IFERROR(VLOOKUP(MID(T61,W61,X61-W61),[5]skilldef!$C:$D,2,FALSE),"-") &amp; " / " &amp; IFERROR(VLOOKUP(MID(T61,U61,V61-U61),[5]skilldef!$A:$B,2,FALSE),"-")</f>
        <v>自分自身に / 行動値設定</v>
      </c>
      <c r="Z61" s="25"/>
      <c r="AA61" s="27"/>
      <c r="AB61" s="25"/>
    </row>
    <row r="62" spans="1:28" ht="21" customHeight="1" x14ac:dyDescent="0.15">
      <c r="A62" s="128">
        <v>49013061</v>
      </c>
      <c r="B62" s="22" t="s">
        <v>391</v>
      </c>
      <c r="C62" s="25">
        <v>3</v>
      </c>
      <c r="D62" s="25" t="s">
        <v>194</v>
      </c>
      <c r="E62" s="26" t="s">
        <v>282</v>
      </c>
      <c r="F62" s="26" t="s">
        <v>354</v>
      </c>
      <c r="G62" s="38" t="str">
        <f t="shared" si="16"/>
        <v>[effect:enemy_message, val1:1, val2:2.2]</v>
      </c>
      <c r="H62" s="38">
        <f t="shared" si="17"/>
        <v>9</v>
      </c>
      <c r="I62" s="38">
        <f t="shared" si="18"/>
        <v>22</v>
      </c>
      <c r="J62" s="38" t="e">
        <f t="shared" si="19"/>
        <v>#VALUE!</v>
      </c>
      <c r="K62" s="38">
        <f t="shared" si="20"/>
        <v>30</v>
      </c>
      <c r="L62" s="38" t="str">
        <f>IFERROR(VLOOKUP(MID(G62,J62,K62-J62),[5]skilldef!$C:$D,2,FALSE),"-") &amp; " / " &amp; IFERROR(VLOOKUP(MID(G62,H62,I62-H62),[5]skilldef!$A:$B,2,FALSE),"-")</f>
        <v>- / -</v>
      </c>
      <c r="M62" s="38" t="str">
        <f t="shared" si="21"/>
        <v xml:space="preserve">[effect:damage_anti_tribe, target:unit_all, tribe:human, val1:0.1, val2:0.9],[effect:fix_speed, target:myself, turn:1]    </v>
      </c>
      <c r="N62" s="23" t="str">
        <f>IFERROR(LEFT(M62,FIND("],",M62)+S73),M62)</f>
        <v xml:space="preserve">[effect:damage_anti_tribe, target:unit_all, tribe:human, val1:0.1, val2:0.9],[effect:fix_speed, target:myself, turn:1]    </v>
      </c>
      <c r="O62" s="38">
        <f t="shared" si="22"/>
        <v>9</v>
      </c>
      <c r="P62" s="38">
        <f t="shared" si="23"/>
        <v>26</v>
      </c>
      <c r="Q62" s="38">
        <f t="shared" si="24"/>
        <v>35</v>
      </c>
      <c r="R62" s="38">
        <f t="shared" si="25"/>
        <v>43</v>
      </c>
      <c r="S62" s="38" t="str">
        <f>IFERROR(VLOOKUP(MID(N62,Q62,R62-Q62),[5]skilldef!$C:$D,2,FALSE),"-") &amp; " / " &amp; IFERROR(VLOOKUP(MID(N62,O62,P62-O62),[5]skilldef!$A:$B,2,FALSE),"-")</f>
        <v>味方全体に / 種族キラー</v>
      </c>
      <c r="T62" s="23" t="str">
        <f t="shared" si="26"/>
        <v xml:space="preserve">[effect:fix_speed, target:myself, turn:1]    </v>
      </c>
      <c r="U62" s="38">
        <f t="shared" si="27"/>
        <v>9</v>
      </c>
      <c r="V62" s="38">
        <f t="shared" si="28"/>
        <v>18</v>
      </c>
      <c r="W62" s="38">
        <f t="shared" si="29"/>
        <v>27</v>
      </c>
      <c r="X62" s="38">
        <f t="shared" si="30"/>
        <v>33</v>
      </c>
      <c r="Y62" s="38" t="str">
        <f>IFERROR(VLOOKUP(MID(T62,W62,X62-W62),[5]skilldef!$C:$D,2,FALSE),"-") &amp; " / " &amp; IFERROR(VLOOKUP(MID(T62,U62,V62-U62),[5]skilldef!$A:$B,2,FALSE),"-")</f>
        <v>自分自身に / 行動値設定</v>
      </c>
      <c r="Z62" s="25"/>
      <c r="AA62" s="27"/>
      <c r="AB62" s="25"/>
    </row>
    <row r="63" spans="1:28" ht="21" customHeight="1" x14ac:dyDescent="0.15">
      <c r="A63" s="128">
        <v>49013062</v>
      </c>
      <c r="B63" s="22" t="s">
        <v>369</v>
      </c>
      <c r="C63" s="25">
        <v>3</v>
      </c>
      <c r="D63" s="25" t="s">
        <v>194</v>
      </c>
      <c r="E63" s="26" t="s">
        <v>283</v>
      </c>
      <c r="F63" s="26" t="s">
        <v>284</v>
      </c>
      <c r="G63" s="38" t="str">
        <f t="shared" si="16"/>
        <v>[effect:critical, val:1]</v>
      </c>
      <c r="H63" s="38">
        <f t="shared" si="17"/>
        <v>9</v>
      </c>
      <c r="I63" s="38">
        <f t="shared" si="18"/>
        <v>17</v>
      </c>
      <c r="J63" s="38" t="e">
        <f t="shared" si="19"/>
        <v>#VALUE!</v>
      </c>
      <c r="K63" s="38" t="e">
        <f t="shared" si="20"/>
        <v>#VALUE!</v>
      </c>
      <c r="L63" s="38" t="str">
        <f>IFERROR(VLOOKUP(MID(G63,J63,K63-J63),[5]skilldef!$C:$D,2,FALSE),"-") &amp; " / " &amp; IFERROR(VLOOKUP(MID(G63,H63,I63-H63),[5]skilldef!$A:$B,2,FALSE),"-")</f>
        <v>- / 大攻撃</v>
      </c>
      <c r="M63" s="38" t="str">
        <f t="shared" si="21"/>
        <v>none</v>
      </c>
      <c r="N63" s="23" t="str">
        <f>IFERROR(LEFT(M63,FIND("],",M63)+S75),M63)</f>
        <v>none</v>
      </c>
      <c r="O63" s="38" t="e">
        <f t="shared" si="22"/>
        <v>#VALUE!</v>
      </c>
      <c r="P63" s="38">
        <f t="shared" si="23"/>
        <v>4</v>
      </c>
      <c r="Q63" s="38" t="e">
        <f t="shared" si="24"/>
        <v>#VALUE!</v>
      </c>
      <c r="R63" s="38" t="e">
        <f t="shared" si="25"/>
        <v>#VALUE!</v>
      </c>
      <c r="S63" s="38" t="str">
        <f>IFERROR(VLOOKUP(MID(N63,Q63,R63-Q63),[5]skilldef!$C:$D,2,FALSE),"-") &amp; " / " &amp; IFERROR(VLOOKUP(MID(N63,O63,P63-O63),[5]skilldef!$A:$B,2,FALSE),"-")</f>
        <v>- / -</v>
      </c>
      <c r="T63" s="23" t="str">
        <f t="shared" si="26"/>
        <v>none</v>
      </c>
      <c r="U63" s="38" t="e">
        <f t="shared" si="27"/>
        <v>#VALUE!</v>
      </c>
      <c r="V63" s="38">
        <f t="shared" si="28"/>
        <v>4</v>
      </c>
      <c r="W63" s="38" t="e">
        <f t="shared" si="29"/>
        <v>#VALUE!</v>
      </c>
      <c r="X63" s="38" t="e">
        <f t="shared" si="30"/>
        <v>#VALUE!</v>
      </c>
      <c r="Y63" s="38" t="str">
        <f>IFERROR(VLOOKUP(MID(T63,W63,X63-W63),[5]skilldef!$C:$D,2,FALSE),"-") &amp; " / " &amp; IFERROR(VLOOKUP(MID(T63,U63,V63-U63),[5]skilldef!$A:$B,2,FALSE),"-")</f>
        <v>- / -</v>
      </c>
      <c r="Z63" s="25"/>
      <c r="AA63" s="27"/>
      <c r="AB63" s="25"/>
    </row>
    <row r="64" spans="1:28" ht="21" customHeight="1" x14ac:dyDescent="0.15">
      <c r="A64" s="128">
        <v>49013063</v>
      </c>
      <c r="B64" s="22" t="s">
        <v>410</v>
      </c>
      <c r="C64" s="25">
        <v>3</v>
      </c>
      <c r="D64" s="25" t="s">
        <v>194</v>
      </c>
      <c r="E64" s="26" t="s">
        <v>285</v>
      </c>
      <c r="F64" s="26" t="s">
        <v>355</v>
      </c>
      <c r="G64" s="38" t="str">
        <f t="shared" si="16"/>
        <v>[effect:enemy_message, val1:1, val2:2.4]</v>
      </c>
      <c r="H64" s="38">
        <f t="shared" si="17"/>
        <v>9</v>
      </c>
      <c r="I64" s="38">
        <f t="shared" si="18"/>
        <v>22</v>
      </c>
      <c r="J64" s="38" t="e">
        <f t="shared" si="19"/>
        <v>#VALUE!</v>
      </c>
      <c r="K64" s="38">
        <f t="shared" si="20"/>
        <v>30</v>
      </c>
      <c r="L64" s="38" t="str">
        <f>IFERROR(VLOOKUP(MID(G64,J64,K64-J64),[5]skilldef!$C:$D,2,FALSE),"-") &amp; " / " &amp; IFERROR(VLOOKUP(MID(G64,H64,I64-H64),[5]skilldef!$A:$B,2,FALSE),"-")</f>
        <v>- / -</v>
      </c>
      <c r="M64" s="38" t="str">
        <f t="shared" si="21"/>
        <v>[effect:force_change_block, new_block:time_bomb, target:block_all, ignore01:crash, ignore02:crack_bomb, ignore03:time_bomb, ignore04:jammer, ignore05:damage, count:3, val:0.2, min_time_count:2, max_time_count:2, animation:change_block],[effect:critical, val:1]</v>
      </c>
      <c r="N64" s="23" t="str">
        <f>IFERROR(LEFT(M64,FIND("],",M64)+S76),M64)</f>
        <v>[effect:force_change_block, new_block:time_bomb, target:block_all, ignore01:crash, ignore02:crack_bomb, ignore03:time_bomb, ignore04:jammer, ignore05:damage, count:3, val:0.2, min_time_count:2, max_time_count:2, animation:change_block],[effect:critical, val:1]</v>
      </c>
      <c r="O64" s="38">
        <f t="shared" si="22"/>
        <v>9</v>
      </c>
      <c r="P64" s="38">
        <f t="shared" si="23"/>
        <v>27</v>
      </c>
      <c r="Q64" s="38">
        <f t="shared" si="24"/>
        <v>57</v>
      </c>
      <c r="R64" s="38">
        <f t="shared" si="25"/>
        <v>48</v>
      </c>
      <c r="S64" s="38" t="str">
        <f>IFERROR(VLOOKUP(MID(N64,Q64,R64-Q64),[5]skilldef!$C:$D,2,FALSE),"-") &amp; " / " &amp; IFERROR(VLOOKUP(MID(N64,O64,P64-O64),[5]skilldef!$A:$B,2,FALSE),"-")</f>
        <v>- / -</v>
      </c>
      <c r="T64" s="23" t="str">
        <f t="shared" si="26"/>
        <v>[effect:critical, val:1]</v>
      </c>
      <c r="U64" s="38">
        <f t="shared" si="27"/>
        <v>9</v>
      </c>
      <c r="V64" s="38">
        <f t="shared" si="28"/>
        <v>17</v>
      </c>
      <c r="W64" s="38" t="e">
        <f t="shared" si="29"/>
        <v>#VALUE!</v>
      </c>
      <c r="X64" s="38" t="e">
        <f t="shared" si="30"/>
        <v>#VALUE!</v>
      </c>
      <c r="Y64" s="38" t="str">
        <f>IFERROR(VLOOKUP(MID(T64,W64,X64-W64),[5]skilldef!$C:$D,2,FALSE),"-") &amp; " / " &amp; IFERROR(VLOOKUP(MID(T64,U64,V64-U64),[5]skilldef!$A:$B,2,FALSE),"-")</f>
        <v>- / 大攻撃</v>
      </c>
      <c r="Z64" s="25"/>
      <c r="AA64" s="27"/>
      <c r="AB64" s="25"/>
    </row>
    <row r="65" spans="1:28" ht="21" customHeight="1" x14ac:dyDescent="0.15">
      <c r="A65" s="128">
        <v>49013064</v>
      </c>
      <c r="B65" s="22" t="s">
        <v>393</v>
      </c>
      <c r="C65" s="25">
        <v>3</v>
      </c>
      <c r="D65" s="25" t="s">
        <v>194</v>
      </c>
      <c r="E65" s="26" t="s">
        <v>286</v>
      </c>
      <c r="F65" s="26" t="s">
        <v>356</v>
      </c>
      <c r="G65" s="38" t="str">
        <f t="shared" si="16"/>
        <v>[effect:enemy_message, val1:1, val2:2.2]</v>
      </c>
      <c r="H65" s="38">
        <f t="shared" si="17"/>
        <v>9</v>
      </c>
      <c r="I65" s="38">
        <f t="shared" si="18"/>
        <v>22</v>
      </c>
      <c r="J65" s="38" t="e">
        <f t="shared" si="19"/>
        <v>#VALUE!</v>
      </c>
      <c r="K65" s="38">
        <f t="shared" si="20"/>
        <v>30</v>
      </c>
      <c r="L65" s="38" t="str">
        <f>IFERROR(VLOOKUP(MID(G65,J65,K65-J65),[5]skilldef!$C:$D,2,FALSE),"-") &amp; " / " &amp; IFERROR(VLOOKUP(MID(G65,H65,I65-H65),[5]skilldef!$A:$B,2,FALSE),"-")</f>
        <v>- / -</v>
      </c>
      <c r="M65" s="38" t="str">
        <f t="shared" si="21"/>
        <v>[effect:panel_freeze, target:block_red,count:1, break_count:1],[effect:panel_freeze, target:block_green,count:1, break_count:1],[effect:panel_freeze, target:block_yellow,count:1, break_count:1],[effect:panel_freeze, target:block_blue,count:1, break_count:1],[effect:critical, val:1]</v>
      </c>
      <c r="N65" s="23" t="str">
        <f>IFERROR(LEFT(M65,FIND("],",M65)+S77),M65)</f>
        <v>[effect:panel_freeze, target:block_red,count:1, break_count:1],[effect:panel_freeze, target:block_green,count:1, break_count:1],[effect:panel_freeze, target:block_yellow,count:1, break_count:1],[effect:panel_freeze, target:block_blue,count:1, break_count:1],[effect:critical, val:1]</v>
      </c>
      <c r="O65" s="38">
        <f t="shared" si="22"/>
        <v>9</v>
      </c>
      <c r="P65" s="38">
        <f t="shared" si="23"/>
        <v>21</v>
      </c>
      <c r="Q65" s="38">
        <f t="shared" si="24"/>
        <v>30</v>
      </c>
      <c r="R65" s="38">
        <f t="shared" si="25"/>
        <v>39</v>
      </c>
      <c r="S65" s="38" t="str">
        <f>IFERROR(VLOOKUP(MID(N65,Q65,R65-Q65),[5]skilldef!$C:$D,2,FALSE),"-") &amp; " / " &amp; IFERROR(VLOOKUP(MID(N65,O65,P65-O65),[5]skilldef!$A:$B,2,FALSE),"-")</f>
        <v>赤パネルを / -</v>
      </c>
      <c r="T65" s="23" t="str">
        <f t="shared" si="26"/>
        <v>[effect:panel_freeze, target:block_green,count:1, break_count:1],[effect:panel_freeze, target:block_yellow,count:1, break_count:1],[effect:panel_freeze, target:block_blue,count:1, break_count:1],[effect:critical, val:1]</v>
      </c>
      <c r="U65" s="38">
        <f t="shared" si="27"/>
        <v>9</v>
      </c>
      <c r="V65" s="38">
        <f t="shared" si="28"/>
        <v>21</v>
      </c>
      <c r="W65" s="38">
        <f t="shared" si="29"/>
        <v>30</v>
      </c>
      <c r="X65" s="38">
        <f t="shared" si="30"/>
        <v>41</v>
      </c>
      <c r="Y65" s="38" t="str">
        <f>IFERROR(VLOOKUP(MID(T65,W65,X65-W65),[5]skilldef!$C:$D,2,FALSE),"-") &amp; " / " &amp; IFERROR(VLOOKUP(MID(T65,U65,V65-U65),[5]skilldef!$A:$B,2,FALSE),"-")</f>
        <v>緑パネルを / -</v>
      </c>
      <c r="Z65" s="25"/>
      <c r="AA65" s="27"/>
      <c r="AB65" s="25"/>
    </row>
    <row r="66" spans="1:28" ht="21" customHeight="1" x14ac:dyDescent="0.15">
      <c r="A66" s="128">
        <v>49013065</v>
      </c>
      <c r="B66" s="89" t="s">
        <v>368</v>
      </c>
      <c r="C66" s="25">
        <v>3</v>
      </c>
      <c r="D66" s="25" t="s">
        <v>194</v>
      </c>
      <c r="E66" s="26" t="s">
        <v>287</v>
      </c>
      <c r="F66" s="26" t="s">
        <v>265</v>
      </c>
      <c r="G66" s="38" t="str">
        <f t="shared" si="16"/>
        <v>[effect:critical, val:1.6, animation:enemy_critical]</v>
      </c>
      <c r="H66" s="38">
        <f t="shared" si="17"/>
        <v>9</v>
      </c>
      <c r="I66" s="38">
        <f t="shared" si="18"/>
        <v>17</v>
      </c>
      <c r="J66" s="38" t="e">
        <f t="shared" si="19"/>
        <v>#VALUE!</v>
      </c>
      <c r="K66" s="38">
        <f t="shared" si="20"/>
        <v>26</v>
      </c>
      <c r="L66" s="38" t="str">
        <f>IFERROR(VLOOKUP(MID(G66,J66,K66-J66),[5]skilldef!$C:$D,2,FALSE),"-") &amp; " / " &amp; IFERROR(VLOOKUP(MID(G66,H66,I66-H66),[5]skilldef!$A:$B,2,FALSE),"-")</f>
        <v>- / 大攻撃</v>
      </c>
      <c r="M66" s="38" t="str">
        <f t="shared" si="21"/>
        <v>none</v>
      </c>
      <c r="N66" s="23" t="str">
        <f>IFERROR(LEFT(M66,FIND("],",M66)+S78),M66)</f>
        <v>none</v>
      </c>
      <c r="O66" s="38" t="e">
        <f t="shared" si="22"/>
        <v>#VALUE!</v>
      </c>
      <c r="P66" s="38">
        <f t="shared" si="23"/>
        <v>4</v>
      </c>
      <c r="Q66" s="38" t="e">
        <f t="shared" si="24"/>
        <v>#VALUE!</v>
      </c>
      <c r="R66" s="38" t="e">
        <f t="shared" si="25"/>
        <v>#VALUE!</v>
      </c>
      <c r="S66" s="38" t="str">
        <f>IFERROR(VLOOKUP(MID(N66,Q66,R66-Q66),[5]skilldef!$C:$D,2,FALSE),"-") &amp; " / " &amp; IFERROR(VLOOKUP(MID(N66,O66,P66-O66),[5]skilldef!$A:$B,2,FALSE),"-")</f>
        <v>- / -</v>
      </c>
      <c r="T66" s="23" t="str">
        <f t="shared" si="26"/>
        <v>none</v>
      </c>
      <c r="U66" s="38" t="e">
        <f t="shared" si="27"/>
        <v>#VALUE!</v>
      </c>
      <c r="V66" s="38">
        <f t="shared" si="28"/>
        <v>4</v>
      </c>
      <c r="W66" s="38" t="e">
        <f t="shared" si="29"/>
        <v>#VALUE!</v>
      </c>
      <c r="X66" s="38" t="e">
        <f t="shared" si="30"/>
        <v>#VALUE!</v>
      </c>
      <c r="Y66" s="38" t="str">
        <f>IFERROR(VLOOKUP(MID(T66,W66,X66-W66),[5]skilldef!$C:$D,2,FALSE),"-") &amp; " / " &amp; IFERROR(VLOOKUP(MID(T66,U66,V66-U66),[5]skilldef!$A:$B,2,FALSE),"-")</f>
        <v>- / -</v>
      </c>
      <c r="Z66" s="25"/>
      <c r="AA66" s="27"/>
      <c r="AB66" s="25"/>
    </row>
    <row r="67" spans="1:28" ht="21" customHeight="1" x14ac:dyDescent="0.15">
      <c r="A67" s="127">
        <v>49013066</v>
      </c>
      <c r="B67" s="22" t="s">
        <v>395</v>
      </c>
      <c r="C67" s="25">
        <v>3</v>
      </c>
      <c r="D67" s="25" t="s">
        <v>194</v>
      </c>
      <c r="E67" s="155" t="s">
        <v>394</v>
      </c>
      <c r="F67" s="26" t="s">
        <v>351</v>
      </c>
      <c r="G67" s="22"/>
      <c r="H67" s="22"/>
      <c r="I67" s="22"/>
      <c r="J67" s="22"/>
      <c r="K67" s="22"/>
      <c r="L67" s="38" t="str">
        <f>IFERROR(VLOOKUP(MID(G67,J67,K67-J67),[5]skilldef!$C:$D,2,FALSE),"-") &amp; " / " &amp; IFERROR(VLOOKUP(MID(G67,H67,I67-H67),[5]skilldef!$A:$B,2,FALSE),"-")</f>
        <v>- / -</v>
      </c>
      <c r="M67" s="38" t="str">
        <f>IFERROR(RIGHT(B67,LEN(B67)-FIND("],",B67)-1),"none")</f>
        <v>[effect:tolerance, target:myself, turn:-1, tolerance_effect:all, count:-1, animation:enemy_tolerance],[effect:fix_speed, target:myself, turn:2]</v>
      </c>
      <c r="N67" s="23" t="str">
        <f>IFERROR(LEFT(M67,FIND("],",M67)+#REF!),M67)</f>
        <v>[effect:tolerance, target:myself, turn:-1, tolerance_effect:all, count:-1, animation:enemy_tolerance],[effect:fix_speed, target:myself, turn:2]</v>
      </c>
      <c r="O67" s="38">
        <f>FIND("effect:",N67)+7</f>
        <v>9</v>
      </c>
      <c r="P67" s="38">
        <f>IFERROR(FIND(",",N67),LEN(N67))</f>
        <v>18</v>
      </c>
      <c r="Q67" s="38">
        <f>FIND("target:",N67)+7</f>
        <v>27</v>
      </c>
      <c r="R67" s="38">
        <f>FIND(",",N67,P67+1)</f>
        <v>33</v>
      </c>
      <c r="S67" s="38" t="str">
        <f>IFERROR(VLOOKUP(MID(N67,Q67,R67-Q67),[5]skilldef!$C:$D,2,FALSE),"-") &amp; " / " &amp; IFERROR(VLOOKUP(MID(N67,O67,P67-O67),[5]skilldef!$A:$B,2,FALSE),"-")</f>
        <v>自分自身に / 状態異常耐性</v>
      </c>
      <c r="T67" s="23" t="str">
        <f>IFERROR(RIGHT(M67,LEN(M67)-FIND("],",M67)-1),"none")</f>
        <v>[effect:fix_speed, target:myself, turn:2]</v>
      </c>
      <c r="U67" s="38">
        <f>FIND("effect:",T67)+7</f>
        <v>9</v>
      </c>
      <c r="V67" s="38">
        <f>IFERROR(FIND(",",T67),LEN(T67))</f>
        <v>18</v>
      </c>
      <c r="W67" s="38">
        <f>FIND("target:",T67)+7</f>
        <v>27</v>
      </c>
      <c r="X67" s="38">
        <f>FIND(",",T67,V67+1)</f>
        <v>33</v>
      </c>
      <c r="Y67" s="38" t="str">
        <f>IFERROR(VLOOKUP(MID(T67,W67,X67-W67),[5]skilldef!$C:$D,2,FALSE),"-") &amp; " / " &amp; IFERROR(VLOOKUP(MID(T67,U67,V67-U67),[5]skilldef!$A:$B,2,FALSE),"-")</f>
        <v>自分自身に / 行動値設定</v>
      </c>
      <c r="Z67" s="25"/>
      <c r="AA67" s="27"/>
      <c r="AB67" s="25"/>
    </row>
    <row r="68" spans="1:28" ht="21" customHeight="1" x14ac:dyDescent="0.15">
      <c r="A68" s="128">
        <v>49013067</v>
      </c>
      <c r="B68" s="22" t="s">
        <v>375</v>
      </c>
      <c r="C68" s="25">
        <v>3</v>
      </c>
      <c r="D68" s="25" t="s">
        <v>194</v>
      </c>
      <c r="E68" s="26" t="s">
        <v>288</v>
      </c>
      <c r="F68" s="26" t="s">
        <v>351</v>
      </c>
      <c r="G68" s="38" t="str">
        <f t="shared" si="16"/>
        <v>[effect:tolerance, target:myself, turn:-1, tolerance_effect:all, count:-1, animation:enemy_tolerance]</v>
      </c>
      <c r="H68" s="38">
        <f t="shared" si="17"/>
        <v>9</v>
      </c>
      <c r="I68" s="38">
        <f t="shared" si="18"/>
        <v>18</v>
      </c>
      <c r="J68" s="38">
        <f t="shared" si="19"/>
        <v>27</v>
      </c>
      <c r="K68" s="38">
        <f t="shared" si="20"/>
        <v>33</v>
      </c>
      <c r="L68" s="38" t="str">
        <f>IFERROR(VLOOKUP(MID(G68,J68,K68-J68),[5]skilldef!$C:$D,2,FALSE),"-") &amp; " / " &amp; IFERROR(VLOOKUP(MID(G68,H68,I68-H68),[5]skilldef!$A:$B,2,FALSE),"-")</f>
        <v>自分自身に / 状態異常耐性</v>
      </c>
      <c r="M68" s="38" t="str">
        <f t="shared" si="21"/>
        <v>[effect:fix_speed, target:myself, turn:2]</v>
      </c>
      <c r="N68" s="23" t="str">
        <f>IFERROR(LEFT(M68,FIND("],",M68)+S79),M68)</f>
        <v>[effect:fix_speed, target:myself, turn:2]</v>
      </c>
      <c r="O68" s="38">
        <f t="shared" si="22"/>
        <v>9</v>
      </c>
      <c r="P68" s="38">
        <f t="shared" si="23"/>
        <v>18</v>
      </c>
      <c r="Q68" s="38">
        <f t="shared" si="24"/>
        <v>27</v>
      </c>
      <c r="R68" s="38">
        <f t="shared" si="25"/>
        <v>33</v>
      </c>
      <c r="S68" s="38" t="str">
        <f>IFERROR(VLOOKUP(MID(N68,Q68,R68-Q68),[5]skilldef!$C:$D,2,FALSE),"-") &amp; " / " &amp; IFERROR(VLOOKUP(MID(N68,O68,P68-O68),[5]skilldef!$A:$B,2,FALSE),"-")</f>
        <v>自分自身に / 行動値設定</v>
      </c>
      <c r="T68" s="23" t="str">
        <f t="shared" si="26"/>
        <v>none</v>
      </c>
      <c r="U68" s="38" t="e">
        <f t="shared" si="27"/>
        <v>#VALUE!</v>
      </c>
      <c r="V68" s="38">
        <f t="shared" si="28"/>
        <v>4</v>
      </c>
      <c r="W68" s="38" t="e">
        <f t="shared" si="29"/>
        <v>#VALUE!</v>
      </c>
      <c r="X68" s="38" t="e">
        <f t="shared" si="30"/>
        <v>#VALUE!</v>
      </c>
      <c r="Y68" s="38" t="str">
        <f>IFERROR(VLOOKUP(MID(T68,W68,X68-W68),[5]skilldef!$C:$D,2,FALSE),"-") &amp; " / " &amp; IFERROR(VLOOKUP(MID(T68,U68,V68-U68),[5]skilldef!$A:$B,2,FALSE),"-")</f>
        <v>- / -</v>
      </c>
      <c r="Z68" s="25"/>
      <c r="AA68" s="27"/>
      <c r="AB68" s="25"/>
    </row>
    <row r="69" spans="1:28" ht="21" customHeight="1" x14ac:dyDescent="0.15">
      <c r="A69" s="128">
        <v>49013068</v>
      </c>
      <c r="B69" s="22" t="s">
        <v>369</v>
      </c>
      <c r="C69" s="25">
        <v>3</v>
      </c>
      <c r="D69" s="25" t="s">
        <v>194</v>
      </c>
      <c r="E69" s="26" t="s">
        <v>289</v>
      </c>
      <c r="F69" s="26" t="s">
        <v>290</v>
      </c>
      <c r="G69" s="38" t="str">
        <f t="shared" si="16"/>
        <v>[effect:critical, val:1]</v>
      </c>
      <c r="H69" s="38">
        <f t="shared" si="17"/>
        <v>9</v>
      </c>
      <c r="I69" s="38">
        <f t="shared" si="18"/>
        <v>17</v>
      </c>
      <c r="J69" s="38" t="e">
        <f t="shared" si="19"/>
        <v>#VALUE!</v>
      </c>
      <c r="K69" s="38" t="e">
        <f t="shared" si="20"/>
        <v>#VALUE!</v>
      </c>
      <c r="L69" s="38" t="str">
        <f>IFERROR(VLOOKUP(MID(G69,J69,K69-J69),[5]skilldef!$C:$D,2,FALSE),"-") &amp; " / " &amp; IFERROR(VLOOKUP(MID(G69,H69,I69-H69),[5]skilldef!$A:$B,2,FALSE),"-")</f>
        <v>- / 大攻撃</v>
      </c>
      <c r="M69" s="38" t="str">
        <f t="shared" si="21"/>
        <v>none</v>
      </c>
      <c r="N69" s="23" t="str">
        <f>IFERROR(LEFT(M69,FIND("],",M69)+S80),M69)</f>
        <v>none</v>
      </c>
      <c r="O69" s="38" t="e">
        <f t="shared" si="22"/>
        <v>#VALUE!</v>
      </c>
      <c r="P69" s="38">
        <f t="shared" si="23"/>
        <v>4</v>
      </c>
      <c r="Q69" s="38" t="e">
        <f t="shared" si="24"/>
        <v>#VALUE!</v>
      </c>
      <c r="R69" s="38" t="e">
        <f t="shared" si="25"/>
        <v>#VALUE!</v>
      </c>
      <c r="S69" s="38" t="str">
        <f>IFERROR(VLOOKUP(MID(N69,Q69,R69-Q69),[5]skilldef!$C:$D,2,FALSE),"-") &amp; " / " &amp; IFERROR(VLOOKUP(MID(N69,O69,P69-O69),[5]skilldef!$A:$B,2,FALSE),"-")</f>
        <v>- / -</v>
      </c>
      <c r="T69" s="23" t="str">
        <f t="shared" si="26"/>
        <v>none</v>
      </c>
      <c r="U69" s="38" t="e">
        <f t="shared" si="27"/>
        <v>#VALUE!</v>
      </c>
      <c r="V69" s="38">
        <f t="shared" si="28"/>
        <v>4</v>
      </c>
      <c r="W69" s="38" t="e">
        <f t="shared" si="29"/>
        <v>#VALUE!</v>
      </c>
      <c r="X69" s="38" t="e">
        <f t="shared" si="30"/>
        <v>#VALUE!</v>
      </c>
      <c r="Y69" s="38" t="str">
        <f>IFERROR(VLOOKUP(MID(T69,W69,X69-W69),[5]skilldef!$C:$D,2,FALSE),"-") &amp; " / " &amp; IFERROR(VLOOKUP(MID(T69,U69,V69-U69),[5]skilldef!$A:$B,2,FALSE),"-")</f>
        <v>- / -</v>
      </c>
      <c r="Z69" s="25"/>
      <c r="AA69" s="27"/>
      <c r="AB69" s="25"/>
    </row>
    <row r="70" spans="1:28" ht="21" customHeight="1" x14ac:dyDescent="0.15">
      <c r="A70" s="128">
        <v>49013069</v>
      </c>
      <c r="B70" s="22" t="s">
        <v>408</v>
      </c>
      <c r="C70" s="25">
        <v>3</v>
      </c>
      <c r="D70" s="25" t="s">
        <v>194</v>
      </c>
      <c r="E70" s="26" t="s">
        <v>291</v>
      </c>
      <c r="F70" s="26" t="s">
        <v>357</v>
      </c>
      <c r="G70" s="38" t="str">
        <f t="shared" si="16"/>
        <v>[effect:enemy_message, val1:1, val2:2.2]</v>
      </c>
      <c r="H70" s="38">
        <f t="shared" si="17"/>
        <v>9</v>
      </c>
      <c r="I70" s="38">
        <f t="shared" si="18"/>
        <v>22</v>
      </c>
      <c r="J70" s="38" t="e">
        <f t="shared" si="19"/>
        <v>#VALUE!</v>
      </c>
      <c r="K70" s="38">
        <f t="shared" si="20"/>
        <v>30</v>
      </c>
      <c r="L70" s="38" t="str">
        <f>IFERROR(VLOOKUP(MID(G70,J70,K70-J70),[5]skilldef!$C:$D,2,FALSE),"-") &amp; " / " &amp; IFERROR(VLOOKUP(MID(G70,H70,I70-H70),[5]skilldef!$A:$B,2,FALSE),"-")</f>
        <v>- / -</v>
      </c>
      <c r="M70" s="38" t="str">
        <f t="shared" si="21"/>
        <v>[effect:force_change_block, new_block:jammer, target:block_all, ignore01:crash, ignore02:crack_bomb, ignore03:time_bomb, ignore04:jammer, ignore05:damage, count:3, val:0, animation:change_block],[effect:critical, val:1]</v>
      </c>
      <c r="N70" s="23" t="str">
        <f>IFERROR(LEFT(M70,FIND("],",M70)+S81),M70)</f>
        <v>[effect:force_change_block, new_block:jammer, target:block_all, ignore01:crash, ignore02:crack_bomb, ignore03:time_bomb, ignore04:jammer, ignore05:damage, count:3, val:0, animation:change_block],[effect:critical, val:1]</v>
      </c>
      <c r="O70" s="38">
        <f t="shared" si="22"/>
        <v>9</v>
      </c>
      <c r="P70" s="38">
        <f t="shared" si="23"/>
        <v>27</v>
      </c>
      <c r="Q70" s="38">
        <f t="shared" si="24"/>
        <v>54</v>
      </c>
      <c r="R70" s="38">
        <f t="shared" si="25"/>
        <v>45</v>
      </c>
      <c r="S70" s="38" t="str">
        <f>IFERROR(VLOOKUP(MID(N70,Q70,R70-Q70),[5]skilldef!$C:$D,2,FALSE),"-") &amp; " / " &amp; IFERROR(VLOOKUP(MID(N70,O70,P70-O70),[5]skilldef!$A:$B,2,FALSE),"-")</f>
        <v>- / -</v>
      </c>
      <c r="T70" s="23" t="str">
        <f t="shared" si="26"/>
        <v>[effect:critical, val:1]</v>
      </c>
      <c r="U70" s="38">
        <f t="shared" si="27"/>
        <v>9</v>
      </c>
      <c r="V70" s="38">
        <f t="shared" si="28"/>
        <v>17</v>
      </c>
      <c r="W70" s="38" t="e">
        <f t="shared" si="29"/>
        <v>#VALUE!</v>
      </c>
      <c r="X70" s="38" t="e">
        <f t="shared" si="30"/>
        <v>#VALUE!</v>
      </c>
      <c r="Y70" s="38" t="str">
        <f>IFERROR(VLOOKUP(MID(T70,W70,X70-W70),[5]skilldef!$C:$D,2,FALSE),"-") &amp; " / " &amp; IFERROR(VLOOKUP(MID(T70,U70,V70-U70),[5]skilldef!$A:$B,2,FALSE),"-")</f>
        <v>- / 大攻撃</v>
      </c>
      <c r="Z70" s="25"/>
      <c r="AA70" s="27"/>
      <c r="AB70" s="25"/>
    </row>
    <row r="71" spans="1:28" ht="21" customHeight="1" x14ac:dyDescent="0.15">
      <c r="A71" s="128">
        <v>49013070</v>
      </c>
      <c r="B71" s="22" t="s">
        <v>393</v>
      </c>
      <c r="C71" s="25">
        <v>3</v>
      </c>
      <c r="D71" s="25" t="s">
        <v>194</v>
      </c>
      <c r="E71" s="26" t="s">
        <v>292</v>
      </c>
      <c r="F71" s="26" t="s">
        <v>356</v>
      </c>
      <c r="G71" s="38" t="str">
        <f t="shared" si="16"/>
        <v>[effect:enemy_message, val1:1, val2:2.2]</v>
      </c>
      <c r="H71" s="38">
        <f t="shared" si="17"/>
        <v>9</v>
      </c>
      <c r="I71" s="38">
        <f t="shared" si="18"/>
        <v>22</v>
      </c>
      <c r="J71" s="38" t="e">
        <f t="shared" si="19"/>
        <v>#VALUE!</v>
      </c>
      <c r="K71" s="38">
        <f t="shared" si="20"/>
        <v>30</v>
      </c>
      <c r="L71" s="38" t="str">
        <f>IFERROR(VLOOKUP(MID(G71,J71,K71-J71),[5]skilldef!$C:$D,2,FALSE),"-") &amp; " / " &amp; IFERROR(VLOOKUP(MID(G71,H71,I71-H71),[5]skilldef!$A:$B,2,FALSE),"-")</f>
        <v>- / -</v>
      </c>
      <c r="M71" s="38" t="str">
        <f t="shared" si="21"/>
        <v>[effect:panel_freeze, target:block_red,count:1, break_count:1],[effect:panel_freeze, target:block_green,count:1, break_count:1],[effect:panel_freeze, target:block_yellow,count:1, break_count:1],[effect:panel_freeze, target:block_blue,count:1, break_count:1],[effect:critical, val:1]</v>
      </c>
      <c r="N71" s="23" t="str">
        <f>IFERROR(LEFT(M71,FIND("],",M71)+S82),M71)</f>
        <v>[effect:panel_freeze, target:block_red,count:1, break_count:1],[effect:panel_freeze, target:block_green,count:1, break_count:1],[effect:panel_freeze, target:block_yellow,count:1, break_count:1],[effect:panel_freeze, target:block_blue,count:1, break_count:1],[effect:critical, val:1]</v>
      </c>
      <c r="O71" s="38">
        <f t="shared" si="22"/>
        <v>9</v>
      </c>
      <c r="P71" s="38">
        <f t="shared" si="23"/>
        <v>21</v>
      </c>
      <c r="Q71" s="38">
        <f t="shared" si="24"/>
        <v>30</v>
      </c>
      <c r="R71" s="38">
        <f t="shared" si="25"/>
        <v>39</v>
      </c>
      <c r="S71" s="38" t="str">
        <f>IFERROR(VLOOKUP(MID(N71,Q71,R71-Q71),[5]skilldef!$C:$D,2,FALSE),"-") &amp; " / " &amp; IFERROR(VLOOKUP(MID(N71,O71,P71-O71),[5]skilldef!$A:$B,2,FALSE),"-")</f>
        <v>赤パネルを / -</v>
      </c>
      <c r="T71" s="23" t="str">
        <f t="shared" si="26"/>
        <v>[effect:panel_freeze, target:block_green,count:1, break_count:1],[effect:panel_freeze, target:block_yellow,count:1, break_count:1],[effect:panel_freeze, target:block_blue,count:1, break_count:1],[effect:critical, val:1]</v>
      </c>
      <c r="U71" s="38">
        <f t="shared" si="27"/>
        <v>9</v>
      </c>
      <c r="V71" s="38">
        <f t="shared" si="28"/>
        <v>21</v>
      </c>
      <c r="W71" s="38">
        <f t="shared" si="29"/>
        <v>30</v>
      </c>
      <c r="X71" s="38">
        <f t="shared" si="30"/>
        <v>41</v>
      </c>
      <c r="Y71" s="38" t="str">
        <f>IFERROR(VLOOKUP(MID(T71,W71,X71-W71),[5]skilldef!$C:$D,2,FALSE),"-") &amp; " / " &amp; IFERROR(VLOOKUP(MID(T71,U71,V71-U71),[5]skilldef!$A:$B,2,FALSE),"-")</f>
        <v>緑パネルを / -</v>
      </c>
      <c r="Z71" s="25"/>
      <c r="AA71" s="27"/>
      <c r="AB71" s="25"/>
    </row>
    <row r="72" spans="1:28" ht="21" customHeight="1" x14ac:dyDescent="0.15">
      <c r="A72" s="128">
        <v>49013071</v>
      </c>
      <c r="B72" s="22" t="s">
        <v>368</v>
      </c>
      <c r="C72" s="25">
        <v>3</v>
      </c>
      <c r="D72" s="25" t="s">
        <v>194</v>
      </c>
      <c r="E72" s="26" t="s">
        <v>293</v>
      </c>
      <c r="F72" s="26" t="s">
        <v>358</v>
      </c>
      <c r="G72" s="38" t="str">
        <f t="shared" si="16"/>
        <v>[effect:critical, val:1.6, animation:enemy_critical]</v>
      </c>
      <c r="H72" s="38">
        <f t="shared" si="17"/>
        <v>9</v>
      </c>
      <c r="I72" s="38">
        <f t="shared" si="18"/>
        <v>17</v>
      </c>
      <c r="J72" s="38" t="e">
        <f t="shared" si="19"/>
        <v>#VALUE!</v>
      </c>
      <c r="K72" s="38">
        <f t="shared" si="20"/>
        <v>26</v>
      </c>
      <c r="L72" s="38" t="str">
        <f>IFERROR(VLOOKUP(MID(G72,J72,K72-J72),[5]skilldef!$C:$D,2,FALSE),"-") &amp; " / " &amp; IFERROR(VLOOKUP(MID(G72,H72,I72-H72),[5]skilldef!$A:$B,2,FALSE),"-")</f>
        <v>- / 大攻撃</v>
      </c>
      <c r="M72" s="38" t="str">
        <f t="shared" si="21"/>
        <v>none</v>
      </c>
      <c r="N72" s="23" t="str">
        <f>IFERROR(LEFT(M72,FIND("],",M72)+S83),M72)</f>
        <v>none</v>
      </c>
      <c r="O72" s="38" t="e">
        <f t="shared" si="22"/>
        <v>#VALUE!</v>
      </c>
      <c r="P72" s="38">
        <f t="shared" si="23"/>
        <v>4</v>
      </c>
      <c r="Q72" s="38" t="e">
        <f t="shared" si="24"/>
        <v>#VALUE!</v>
      </c>
      <c r="R72" s="38" t="e">
        <f t="shared" si="25"/>
        <v>#VALUE!</v>
      </c>
      <c r="S72" s="38" t="str">
        <f>IFERROR(VLOOKUP(MID(N72,Q72,R72-Q72),[5]skilldef!$C:$D,2,FALSE),"-") &amp; " / " &amp; IFERROR(VLOOKUP(MID(N72,O72,P72-O72),[5]skilldef!$A:$B,2,FALSE),"-")</f>
        <v>- / -</v>
      </c>
      <c r="T72" s="23" t="str">
        <f t="shared" si="26"/>
        <v>none</v>
      </c>
      <c r="U72" s="38" t="e">
        <f t="shared" si="27"/>
        <v>#VALUE!</v>
      </c>
      <c r="V72" s="38">
        <f t="shared" si="28"/>
        <v>4</v>
      </c>
      <c r="W72" s="38" t="e">
        <f t="shared" si="29"/>
        <v>#VALUE!</v>
      </c>
      <c r="X72" s="38" t="e">
        <f t="shared" si="30"/>
        <v>#VALUE!</v>
      </c>
      <c r="Y72" s="38" t="str">
        <f>IFERROR(VLOOKUP(MID(T72,W72,X72-W72),[5]skilldef!$C:$D,2,FALSE),"-") &amp; " / " &amp; IFERROR(VLOOKUP(MID(T72,U72,V72-U72),[5]skilldef!$A:$B,2,FALSE),"-")</f>
        <v>- / -</v>
      </c>
      <c r="Z72" s="25"/>
      <c r="AA72" s="27"/>
      <c r="AB72" s="25"/>
    </row>
    <row r="73" spans="1:28" ht="21" customHeight="1" x14ac:dyDescent="0.15">
      <c r="A73" s="128">
        <v>49013072</v>
      </c>
      <c r="B73" s="22" t="s">
        <v>396</v>
      </c>
      <c r="C73" s="25">
        <v>3</v>
      </c>
      <c r="D73" s="25" t="s">
        <v>194</v>
      </c>
      <c r="E73" s="26" t="s">
        <v>294</v>
      </c>
      <c r="F73" s="26" t="s">
        <v>372</v>
      </c>
      <c r="G73" s="38" t="str">
        <f t="shared" si="16"/>
        <v>[effect:enemy_message, val1:1, val2:3.2]</v>
      </c>
      <c r="H73" s="38">
        <f t="shared" si="17"/>
        <v>9</v>
      </c>
      <c r="I73" s="38">
        <f t="shared" si="18"/>
        <v>22</v>
      </c>
      <c r="J73" s="38" t="e">
        <f t="shared" si="19"/>
        <v>#VALUE!</v>
      </c>
      <c r="K73" s="38">
        <f t="shared" si="20"/>
        <v>30</v>
      </c>
      <c r="L73" s="38" t="str">
        <f>IFERROR(VLOOKUP(MID(G73,J73,K73-J73),[5]skilldef!$C:$D,2,FALSE),"-") &amp; " / " &amp; IFERROR(VLOOKUP(MID(G73,H73,I73-H73),[5]skilldef!$A:$B,2,FALSE),"-")</f>
        <v>- / -</v>
      </c>
      <c r="M73" s="38" t="str">
        <f t="shared" si="21"/>
        <v>[effect:force_change_block, new_block:jammer, target:block_red, ignore01:crash, ignore02:crack_bomb, ignore03:time_bomb, ignore04:jammer, ignore05:damage, count:5, val:0, animation:change_block],[effect:force_change_block, new_block:jammer, target:block_yellow, ignore01:crash, ignore02:crack_bomb, ignore03:time_bomb, ignore04:jammer, ignore05:damage, count:5, val:0, animation:change_block],[effect:force_change_block, new_block:time_bomb, target:block_green, ignore01:crash, ignore02:crack_bomb, ignore03:time_bomb, ignore04:jammer, ignore05:damage, count:5, val:0.2, min_time_count:2, max_time_count:2, animation:change_block],[effect:force_change_block, new_block:time_bomb, target:block_blue, ignore01:crash, ignore02:crack_bomb, ignore03:time_bomb, ignore04:jammer, ignore05:damage, count:5, val:0.2, min_time_count:2, max_time_count:2, animation:change_block]</v>
      </c>
      <c r="N73" s="23" t="str">
        <f>IFERROR(LEFT(M73,FIND("],",M73)+S2),M73)</f>
        <v>[effect:force_change_block, new_block:jammer, target:block_red, ignore01:crash, ignore02:crack_bomb, ignore03:time_bomb, ignore04:jammer, ignore05:damage, count:5, val:0, animation:change_block],[effect:force_change_block, new_block:jammer, target:block_yellow, ignore01:crash, ignore02:crack_bomb, ignore03:time_bomb, ignore04:jammer, ignore05:damage, count:5, val:0, animation:change_block],[effect:force_change_block, new_block:time_bomb, target:block_green, ignore01:crash, ignore02:crack_bomb, ignore03:time_bomb, ignore04:jammer, ignore05:damage, count:5, val:0.2, min_time_count:2, max_time_count:2, animation:change_block],[effect:force_change_block, new_block:time_bomb, target:block_blue, ignore01:crash, ignore02:crack_bomb, ignore03:time_bomb, ignore04:jammer, ignore05:damage, count:5, val:0.2, min_time_count:2, max_time_count:2, animation:change_block]</v>
      </c>
      <c r="O73" s="38">
        <f t="shared" si="22"/>
        <v>9</v>
      </c>
      <c r="P73" s="38">
        <f t="shared" si="23"/>
        <v>27</v>
      </c>
      <c r="Q73" s="38">
        <f t="shared" si="24"/>
        <v>54</v>
      </c>
      <c r="R73" s="38">
        <f t="shared" si="25"/>
        <v>45</v>
      </c>
      <c r="S73" s="38" t="str">
        <f>IFERROR(VLOOKUP(MID(N73,Q73,R73-Q73),[5]skilldef!$C:$D,2,FALSE),"-") &amp; " / " &amp; IFERROR(VLOOKUP(MID(N73,O73,P73-O73),[5]skilldef!$A:$B,2,FALSE),"-")</f>
        <v>- / -</v>
      </c>
      <c r="T73" s="23" t="str">
        <f t="shared" si="26"/>
        <v>[effect:force_change_block, new_block:jammer, target:block_yellow, ignore01:crash, ignore02:crack_bomb, ignore03:time_bomb, ignore04:jammer, ignore05:damage, count:5, val:0, animation:change_block],[effect:force_change_block, new_block:time_bomb, target:block_green, ignore01:crash, ignore02:crack_bomb, ignore03:time_bomb, ignore04:jammer, ignore05:damage, count:5, val:0.2, min_time_count:2, max_time_count:2, animation:change_block],[effect:force_change_block, new_block:time_bomb, target:block_blue, ignore01:crash, ignore02:crack_bomb, ignore03:time_bomb, ignore04:jammer, ignore05:damage, count:5, val:0.2, min_time_count:2, max_time_count:2, animation:change_block]</v>
      </c>
      <c r="U73" s="38">
        <f t="shared" si="27"/>
        <v>9</v>
      </c>
      <c r="V73" s="38">
        <f t="shared" si="28"/>
        <v>27</v>
      </c>
      <c r="W73" s="38">
        <f t="shared" si="29"/>
        <v>54</v>
      </c>
      <c r="X73" s="38">
        <f t="shared" si="30"/>
        <v>45</v>
      </c>
      <c r="Y73" s="38" t="str">
        <f>IFERROR(VLOOKUP(MID(T73,W73,X73-W73),[5]skilldef!$C:$D,2,FALSE),"-") &amp; " / " &amp; IFERROR(VLOOKUP(MID(T73,U73,V73-U73),[5]skilldef!$A:$B,2,FALSE),"-")</f>
        <v>- / -</v>
      </c>
      <c r="Z73" s="25"/>
      <c r="AA73" s="27"/>
      <c r="AB73" s="25"/>
    </row>
    <row r="74" spans="1:28" ht="21" customHeight="1" x14ac:dyDescent="0.15">
      <c r="A74" s="127">
        <v>49013073</v>
      </c>
      <c r="B74" s="22" t="s">
        <v>398</v>
      </c>
      <c r="C74" s="25">
        <v>3</v>
      </c>
      <c r="D74" s="25" t="s">
        <v>194</v>
      </c>
      <c r="E74" s="155" t="s">
        <v>397</v>
      </c>
      <c r="F74" s="26" t="s">
        <v>351</v>
      </c>
      <c r="G74" s="22"/>
      <c r="H74" s="22"/>
      <c r="I74" s="22"/>
      <c r="J74" s="22"/>
      <c r="K74" s="22"/>
      <c r="L74" s="38" t="str">
        <f>IFERROR(VLOOKUP(MID(G74,J74,K74-J74),[5]skilldef!$C:$D,2,FALSE),"-") &amp; " / " &amp; IFERROR(VLOOKUP(MID(G74,H74,I74-H74),[5]skilldef!$A:$B,2,FALSE),"-")</f>
        <v>- / -</v>
      </c>
      <c r="M74" s="38" t="str">
        <f t="shared" ref="M74" si="69">IFERROR(RIGHT(B74,LEN(B74)-FIND("],",B74)-1),"none")</f>
        <v>[effect:tolerance, target:myself, turn:-1, tolerance_effect:all, count:-1, animation:enemy_tolerance],[effect:fix_speed, target:myself, turn:2]</v>
      </c>
      <c r="N74" s="23" t="str">
        <f>IFERROR(LEFT(M74,FIND("],",M74)+#REF!),M74)</f>
        <v>[effect:tolerance, target:myself, turn:-1, tolerance_effect:all, count:-1, animation:enemy_tolerance],[effect:fix_speed, target:myself, turn:2]</v>
      </c>
      <c r="O74" s="38">
        <f t="shared" ref="O74" si="70">FIND("effect:",N74)+7</f>
        <v>9</v>
      </c>
      <c r="P74" s="38">
        <f t="shared" ref="P74" si="71">IFERROR(FIND(",",N74),LEN(N74))</f>
        <v>18</v>
      </c>
      <c r="Q74" s="38">
        <f t="shared" ref="Q74" si="72">FIND("target:",N74)+7</f>
        <v>27</v>
      </c>
      <c r="R74" s="38">
        <f t="shared" ref="R74" si="73">FIND(",",N74,P74+1)</f>
        <v>33</v>
      </c>
      <c r="S74" s="38" t="str">
        <f>IFERROR(VLOOKUP(MID(N74,Q74,R74-Q74),[5]skilldef!$C:$D,2,FALSE),"-") &amp; " / " &amp; IFERROR(VLOOKUP(MID(N74,O74,P74-O74),[5]skilldef!$A:$B,2,FALSE),"-")</f>
        <v>自分自身に / 状態異常耐性</v>
      </c>
      <c r="T74" s="23" t="str">
        <f t="shared" ref="T74" si="74">IFERROR(RIGHT(M74,LEN(M74)-FIND("],",M74)-1),"none")</f>
        <v>[effect:fix_speed, target:myself, turn:2]</v>
      </c>
      <c r="U74" s="38">
        <f t="shared" ref="U74" si="75">FIND("effect:",T74)+7</f>
        <v>9</v>
      </c>
      <c r="V74" s="38">
        <f t="shared" ref="V74" si="76">IFERROR(FIND(",",T74),LEN(T74))</f>
        <v>18</v>
      </c>
      <c r="W74" s="38">
        <f t="shared" ref="W74" si="77">FIND("target:",T74)+7</f>
        <v>27</v>
      </c>
      <c r="X74" s="38">
        <f t="shared" ref="X74" si="78">FIND(",",T74,V74+1)</f>
        <v>33</v>
      </c>
      <c r="Y74" s="38" t="str">
        <f>IFERROR(VLOOKUP(MID(T74,W74,X74-W74),[5]skilldef!$C:$D,2,FALSE),"-") &amp; " / " &amp; IFERROR(VLOOKUP(MID(T74,U74,V74-U74),[5]skilldef!$A:$B,2,FALSE),"-")</f>
        <v>自分自身に / 行動値設定</v>
      </c>
      <c r="Z74" s="25"/>
      <c r="AA74" s="27"/>
      <c r="AB74" s="25"/>
    </row>
    <row r="75" spans="1:28" ht="21" customHeight="1" x14ac:dyDescent="0.15">
      <c r="A75" s="128">
        <v>49013074</v>
      </c>
      <c r="B75" s="22" t="s">
        <v>376</v>
      </c>
      <c r="C75" s="25">
        <v>3</v>
      </c>
      <c r="D75" s="25" t="s">
        <v>194</v>
      </c>
      <c r="E75" s="26" t="s">
        <v>295</v>
      </c>
      <c r="F75" s="26" t="s">
        <v>359</v>
      </c>
      <c r="G75" s="38" t="str">
        <f t="shared" si="16"/>
        <v>[effect:tolerance, target:myself, turn:-1, tolerance_effect:all, count:-1, animation:enemy_tolerance]</v>
      </c>
      <c r="H75" s="38">
        <f t="shared" si="17"/>
        <v>9</v>
      </c>
      <c r="I75" s="38">
        <f t="shared" si="18"/>
        <v>18</v>
      </c>
      <c r="J75" s="38">
        <f t="shared" si="19"/>
        <v>27</v>
      </c>
      <c r="K75" s="38">
        <f t="shared" si="20"/>
        <v>33</v>
      </c>
      <c r="L75" s="38" t="str">
        <f>IFERROR(VLOOKUP(MID(G75,J75,K75-J75),[5]skilldef!$C:$D,2,FALSE),"-") &amp; " / " &amp; IFERROR(VLOOKUP(MID(G75,H75,I75-H75),[5]skilldef!$A:$B,2,FALSE),"-")</f>
        <v>自分自身に / 状態異常耐性</v>
      </c>
      <c r="M75" s="38" t="str">
        <f t="shared" si="21"/>
        <v>[effect:degrade_fever, val:1000, animation:fevergauge_down],[effect:freq_turn, target:myself, turn:-1, val:1, animation:enemy_freq_turn]</v>
      </c>
      <c r="N75" s="23" t="str">
        <f t="shared" ref="N75:N81" si="79">IFERROR(LEFT(M75,FIND("],",M75)+S3),M75)</f>
        <v>[effect:degrade_fever, val:1000, animation:fevergauge_down],[effect:freq_turn, target:myself, turn:-1, val:1, animation:enemy_freq_turn]</v>
      </c>
      <c r="O75" s="38">
        <f t="shared" si="22"/>
        <v>9</v>
      </c>
      <c r="P75" s="38">
        <f t="shared" si="23"/>
        <v>22</v>
      </c>
      <c r="Q75" s="38">
        <f t="shared" si="24"/>
        <v>87</v>
      </c>
      <c r="R75" s="38">
        <f t="shared" si="25"/>
        <v>32</v>
      </c>
      <c r="S75" s="38" t="str">
        <f>IFERROR(VLOOKUP(MID(N75,Q75,R75-Q75),[5]skilldef!$C:$D,2,FALSE),"-") &amp; " / " &amp; IFERROR(VLOOKUP(MID(N75,O75,P75-O75),[5]skilldef!$A:$B,2,FALSE),"-")</f>
        <v>- / フィーバーゲージ減少</v>
      </c>
      <c r="T75" s="23" t="str">
        <f t="shared" si="26"/>
        <v>[effect:freq_turn, target:myself, turn:-1, val:1, animation:enemy_freq_turn]</v>
      </c>
      <c r="U75" s="38">
        <f t="shared" si="27"/>
        <v>9</v>
      </c>
      <c r="V75" s="38">
        <f t="shared" si="28"/>
        <v>18</v>
      </c>
      <c r="W75" s="38">
        <f t="shared" si="29"/>
        <v>27</v>
      </c>
      <c r="X75" s="38">
        <f t="shared" si="30"/>
        <v>33</v>
      </c>
      <c r="Y75" s="38" t="str">
        <f>IFERROR(VLOOKUP(MID(T75,W75,X75-W75),[5]skilldef!$C:$D,2,FALSE),"-") &amp; " / " &amp; IFERROR(VLOOKUP(MID(T75,U75,V75-U75),[5]skilldef!$A:$B,2,FALSE),"-")</f>
        <v>自分自身に / 攻撃頻度がUP</v>
      </c>
      <c r="Z75" s="25"/>
      <c r="AA75" s="27"/>
      <c r="AB75" s="25"/>
    </row>
    <row r="76" spans="1:28" ht="21" customHeight="1" x14ac:dyDescent="0.15">
      <c r="A76" s="128">
        <v>49013075</v>
      </c>
      <c r="B76" s="22" t="s">
        <v>369</v>
      </c>
      <c r="C76" s="25">
        <v>3</v>
      </c>
      <c r="D76" s="25" t="s">
        <v>194</v>
      </c>
      <c r="E76" s="26" t="s">
        <v>296</v>
      </c>
      <c r="F76" s="26" t="s">
        <v>297</v>
      </c>
      <c r="G76" s="38" t="str">
        <f t="shared" si="16"/>
        <v>[effect:critical, val:1]</v>
      </c>
      <c r="H76" s="38">
        <f t="shared" si="17"/>
        <v>9</v>
      </c>
      <c r="I76" s="38">
        <f t="shared" si="18"/>
        <v>17</v>
      </c>
      <c r="J76" s="38" t="e">
        <f t="shared" si="19"/>
        <v>#VALUE!</v>
      </c>
      <c r="K76" s="38" t="e">
        <f t="shared" si="20"/>
        <v>#VALUE!</v>
      </c>
      <c r="L76" s="38" t="str">
        <f>IFERROR(VLOOKUP(MID(G76,J76,K76-J76),[5]skilldef!$C:$D,2,FALSE),"-") &amp; " / " &amp; IFERROR(VLOOKUP(MID(G76,H76,I76-H76),[5]skilldef!$A:$B,2,FALSE),"-")</f>
        <v>- / 大攻撃</v>
      </c>
      <c r="M76" s="38" t="str">
        <f t="shared" si="21"/>
        <v>none</v>
      </c>
      <c r="N76" s="23" t="str">
        <f t="shared" si="79"/>
        <v>none</v>
      </c>
      <c r="O76" s="38" t="e">
        <f t="shared" si="22"/>
        <v>#VALUE!</v>
      </c>
      <c r="P76" s="38">
        <f t="shared" si="23"/>
        <v>4</v>
      </c>
      <c r="Q76" s="38" t="e">
        <f t="shared" si="24"/>
        <v>#VALUE!</v>
      </c>
      <c r="R76" s="38" t="e">
        <f t="shared" si="25"/>
        <v>#VALUE!</v>
      </c>
      <c r="S76" s="38" t="str">
        <f>IFERROR(VLOOKUP(MID(N76,Q76,R76-Q76),[5]skilldef!$C:$D,2,FALSE),"-") &amp; " / " &amp; IFERROR(VLOOKUP(MID(N76,O76,P76-O76),[5]skilldef!$A:$B,2,FALSE),"-")</f>
        <v>- / -</v>
      </c>
      <c r="T76" s="23" t="str">
        <f t="shared" si="26"/>
        <v>none</v>
      </c>
      <c r="U76" s="38" t="e">
        <f t="shared" si="27"/>
        <v>#VALUE!</v>
      </c>
      <c r="V76" s="38">
        <f t="shared" si="28"/>
        <v>4</v>
      </c>
      <c r="W76" s="38" t="e">
        <f t="shared" si="29"/>
        <v>#VALUE!</v>
      </c>
      <c r="X76" s="38" t="e">
        <f t="shared" si="30"/>
        <v>#VALUE!</v>
      </c>
      <c r="Y76" s="38" t="str">
        <f>IFERROR(VLOOKUP(MID(T76,W76,X76-W76),[5]skilldef!$C:$D,2,FALSE),"-") &amp; " / " &amp; IFERROR(VLOOKUP(MID(T76,U76,V76-U76),[5]skilldef!$A:$B,2,FALSE),"-")</f>
        <v>- / -</v>
      </c>
      <c r="Z76" s="25"/>
      <c r="AA76" s="27"/>
      <c r="AB76" s="25"/>
    </row>
    <row r="77" spans="1:28" ht="21" customHeight="1" x14ac:dyDescent="0.15">
      <c r="A77" s="128">
        <v>49013076</v>
      </c>
      <c r="B77" s="22" t="s">
        <v>409</v>
      </c>
      <c r="C77" s="25">
        <v>3</v>
      </c>
      <c r="D77" s="25" t="s">
        <v>194</v>
      </c>
      <c r="E77" s="26" t="s">
        <v>298</v>
      </c>
      <c r="F77" s="26" t="s">
        <v>360</v>
      </c>
      <c r="G77" s="38" t="str">
        <f t="shared" si="16"/>
        <v>[effect:enemy_message, val1:1, val2:2.2]</v>
      </c>
      <c r="H77" s="38">
        <f t="shared" si="17"/>
        <v>9</v>
      </c>
      <c r="I77" s="38">
        <f t="shared" si="18"/>
        <v>22</v>
      </c>
      <c r="J77" s="38" t="e">
        <f t="shared" si="19"/>
        <v>#VALUE!</v>
      </c>
      <c r="K77" s="38">
        <f t="shared" si="20"/>
        <v>30</v>
      </c>
      <c r="L77" s="38" t="str">
        <f>IFERROR(VLOOKUP(MID(G77,J77,K77-J77),[5]skilldef!$C:$D,2,FALSE),"-") &amp; " / " &amp; IFERROR(VLOOKUP(MID(G77,H77,I77-H77),[5]skilldef!$A:$B,2,FALSE),"-")</f>
        <v>- / -</v>
      </c>
      <c r="M77" s="38" t="str">
        <f t="shared" si="21"/>
        <v>[effect:force_change_block, new_block:jammer, target:block_all, ignore01:crash, ignore02:crack_bomb, ignore03:time_bomb, ignore04:jammer, ignore05:damage, count:5, val:0, animation:change_block],[effect:critical, val:1]</v>
      </c>
      <c r="N77" s="23" t="str">
        <f t="shared" si="79"/>
        <v>[effect:force_change_block, new_block:jammer, target:block_all, ignore01:crash, ignore02:crack_bomb, ignore03:time_bomb, ignore04:jammer, ignore05:damage, count:5, val:0, animation:change_block],[effect:critical, val:1]</v>
      </c>
      <c r="O77" s="38">
        <f t="shared" si="22"/>
        <v>9</v>
      </c>
      <c r="P77" s="38">
        <f t="shared" si="23"/>
        <v>27</v>
      </c>
      <c r="Q77" s="38">
        <f t="shared" si="24"/>
        <v>54</v>
      </c>
      <c r="R77" s="38">
        <f t="shared" si="25"/>
        <v>45</v>
      </c>
      <c r="S77" s="38" t="str">
        <f>IFERROR(VLOOKUP(MID(N77,Q77,R77-Q77),[5]skilldef!$C:$D,2,FALSE),"-") &amp; " / " &amp; IFERROR(VLOOKUP(MID(N77,O77,P77-O77),[5]skilldef!$A:$B,2,FALSE),"-")</f>
        <v>- / -</v>
      </c>
      <c r="T77" s="23" t="str">
        <f t="shared" si="26"/>
        <v>[effect:critical, val:1]</v>
      </c>
      <c r="U77" s="38">
        <f t="shared" si="27"/>
        <v>9</v>
      </c>
      <c r="V77" s="38">
        <f t="shared" si="28"/>
        <v>17</v>
      </c>
      <c r="W77" s="38" t="e">
        <f t="shared" si="29"/>
        <v>#VALUE!</v>
      </c>
      <c r="X77" s="38" t="e">
        <f t="shared" si="30"/>
        <v>#VALUE!</v>
      </c>
      <c r="Y77" s="38" t="str">
        <f>IFERROR(VLOOKUP(MID(T77,W77,X77-W77),[5]skilldef!$C:$D,2,FALSE),"-") &amp; " / " &amp; IFERROR(VLOOKUP(MID(T77,U77,V77-U77),[5]skilldef!$A:$B,2,FALSE),"-")</f>
        <v>- / 大攻撃</v>
      </c>
      <c r="Z77" s="25"/>
      <c r="AA77" s="27"/>
      <c r="AB77" s="25"/>
    </row>
    <row r="78" spans="1:28" ht="21" customHeight="1" x14ac:dyDescent="0.15">
      <c r="A78" s="128">
        <v>49013077</v>
      </c>
      <c r="B78" s="22" t="s">
        <v>411</v>
      </c>
      <c r="C78" s="25">
        <v>3</v>
      </c>
      <c r="D78" s="25" t="s">
        <v>194</v>
      </c>
      <c r="E78" s="26" t="s">
        <v>299</v>
      </c>
      <c r="F78" s="26" t="s">
        <v>361</v>
      </c>
      <c r="G78" s="38" t="str">
        <f t="shared" si="16"/>
        <v>[effect:enemy_message, val1:1, val2:2.4]</v>
      </c>
      <c r="H78" s="38">
        <f t="shared" si="17"/>
        <v>9</v>
      </c>
      <c r="I78" s="38">
        <f t="shared" si="18"/>
        <v>22</v>
      </c>
      <c r="J78" s="38" t="e">
        <f t="shared" si="19"/>
        <v>#VALUE!</v>
      </c>
      <c r="K78" s="38">
        <f t="shared" si="20"/>
        <v>30</v>
      </c>
      <c r="L78" s="38" t="str">
        <f>IFERROR(VLOOKUP(MID(G78,J78,K78-J78),[5]skilldef!$C:$D,2,FALSE),"-") &amp; " / " &amp; IFERROR(VLOOKUP(MID(G78,H78,I78-H78),[5]skilldef!$A:$B,2,FALSE),"-")</f>
        <v>- / -</v>
      </c>
      <c r="M78" s="38" t="str">
        <f t="shared" si="21"/>
        <v>[effect:force_change_block, new_block:time_bomb, target:block_all, ignore01:crash, ignore02:crack_bomb, ignore03:time_bomb, ignore04:jammer, ignore05:damage, count:5, val:0.2, min_time_count:2, max_time_count:2, animation:change_block],[effect:critical, val:1]</v>
      </c>
      <c r="N78" s="23" t="str">
        <f t="shared" si="79"/>
        <v>[effect:force_change_block, new_block:time_bomb, target:block_all, ignore01:crash, ignore02:crack_bomb, ignore03:time_bomb, ignore04:jammer, ignore05:damage, count:5, val:0.2, min_time_count:2, max_time_count:2, animation:change_block],[effect:critical, val:1]</v>
      </c>
      <c r="O78" s="38">
        <f t="shared" si="22"/>
        <v>9</v>
      </c>
      <c r="P78" s="38">
        <f t="shared" si="23"/>
        <v>27</v>
      </c>
      <c r="Q78" s="38">
        <f t="shared" si="24"/>
        <v>57</v>
      </c>
      <c r="R78" s="38">
        <f t="shared" si="25"/>
        <v>48</v>
      </c>
      <c r="S78" s="38" t="str">
        <f>IFERROR(VLOOKUP(MID(N78,Q78,R78-Q78),[5]skilldef!$C:$D,2,FALSE),"-") &amp; " / " &amp; IFERROR(VLOOKUP(MID(N78,O78,P78-O78),[5]skilldef!$A:$B,2,FALSE),"-")</f>
        <v>- / -</v>
      </c>
      <c r="T78" s="23" t="str">
        <f t="shared" si="26"/>
        <v>[effect:critical, val:1]</v>
      </c>
      <c r="U78" s="38">
        <f t="shared" si="27"/>
        <v>9</v>
      </c>
      <c r="V78" s="38">
        <f t="shared" si="28"/>
        <v>17</v>
      </c>
      <c r="W78" s="38" t="e">
        <f t="shared" si="29"/>
        <v>#VALUE!</v>
      </c>
      <c r="X78" s="38" t="e">
        <f t="shared" si="30"/>
        <v>#VALUE!</v>
      </c>
      <c r="Y78" s="38" t="str">
        <f>IFERROR(VLOOKUP(MID(T78,W78,X78-W78),[5]skilldef!$C:$D,2,FALSE),"-") &amp; " / " &amp; IFERROR(VLOOKUP(MID(T78,U78,V78-U78),[5]skilldef!$A:$B,2,FALSE),"-")</f>
        <v>- / 大攻撃</v>
      </c>
      <c r="Z78" s="25"/>
      <c r="AA78" s="27"/>
      <c r="AB78" s="25"/>
    </row>
    <row r="79" spans="1:28" ht="21" customHeight="1" x14ac:dyDescent="0.15">
      <c r="A79" s="128">
        <v>49013078</v>
      </c>
      <c r="B79" s="22" t="s">
        <v>393</v>
      </c>
      <c r="C79" s="25">
        <v>3</v>
      </c>
      <c r="D79" s="25" t="s">
        <v>194</v>
      </c>
      <c r="E79" s="26" t="s">
        <v>300</v>
      </c>
      <c r="F79" s="26" t="s">
        <v>356</v>
      </c>
      <c r="G79" s="38" t="str">
        <f t="shared" si="16"/>
        <v>[effect:enemy_message, val1:1, val2:2.2]</v>
      </c>
      <c r="H79" s="38">
        <f t="shared" si="17"/>
        <v>9</v>
      </c>
      <c r="I79" s="38">
        <f t="shared" si="18"/>
        <v>22</v>
      </c>
      <c r="J79" s="38" t="e">
        <f t="shared" si="19"/>
        <v>#VALUE!</v>
      </c>
      <c r="K79" s="38">
        <f t="shared" si="20"/>
        <v>30</v>
      </c>
      <c r="L79" s="38" t="str">
        <f>IFERROR(VLOOKUP(MID(G79,J79,K79-J79),[5]skilldef!$C:$D,2,FALSE),"-") &amp; " / " &amp; IFERROR(VLOOKUP(MID(G79,H79,I79-H79),[5]skilldef!$A:$B,2,FALSE),"-")</f>
        <v>- / -</v>
      </c>
      <c r="M79" s="38" t="str">
        <f t="shared" si="21"/>
        <v>[effect:panel_freeze, target:block_red,count:1, break_count:1],[effect:panel_freeze, target:block_green,count:1, break_count:1],[effect:panel_freeze, target:block_yellow,count:1, break_count:1],[effect:panel_freeze, target:block_blue,count:1, break_count:1],[effect:critical, val:1]</v>
      </c>
      <c r="N79" s="23" t="str">
        <f t="shared" si="79"/>
        <v>[effect:panel_freeze, target:block_red,count:1, break_count:1],[effect:panel_freeze, target:block_green,count:1, break_count:1],[effect:panel_freeze, target:block_yellow,count:1, break_count:1],[effect:panel_freeze, target:block_blue,count:1, break_count:1],[effect:critical, val:1]</v>
      </c>
      <c r="O79" s="38">
        <f t="shared" si="22"/>
        <v>9</v>
      </c>
      <c r="P79" s="38">
        <f t="shared" si="23"/>
        <v>21</v>
      </c>
      <c r="Q79" s="38">
        <f t="shared" si="24"/>
        <v>30</v>
      </c>
      <c r="R79" s="38">
        <f t="shared" si="25"/>
        <v>39</v>
      </c>
      <c r="S79" s="38" t="str">
        <f>IFERROR(VLOOKUP(MID(N79,Q79,R79-Q79),[5]skilldef!$C:$D,2,FALSE),"-") &amp; " / " &amp; IFERROR(VLOOKUP(MID(N79,O79,P79-O79),[5]skilldef!$A:$B,2,FALSE),"-")</f>
        <v>赤パネルを / -</v>
      </c>
      <c r="T79" s="23" t="str">
        <f t="shared" si="26"/>
        <v>[effect:panel_freeze, target:block_green,count:1, break_count:1],[effect:panel_freeze, target:block_yellow,count:1, break_count:1],[effect:panel_freeze, target:block_blue,count:1, break_count:1],[effect:critical, val:1]</v>
      </c>
      <c r="U79" s="38">
        <f t="shared" si="27"/>
        <v>9</v>
      </c>
      <c r="V79" s="38">
        <f t="shared" si="28"/>
        <v>21</v>
      </c>
      <c r="W79" s="38">
        <f t="shared" si="29"/>
        <v>30</v>
      </c>
      <c r="X79" s="38">
        <f t="shared" si="30"/>
        <v>41</v>
      </c>
      <c r="Y79" s="38" t="str">
        <f>IFERROR(VLOOKUP(MID(T79,W79,X79-W79),[5]skilldef!$C:$D,2,FALSE),"-") &amp; " / " &amp; IFERROR(VLOOKUP(MID(T79,U79,V79-U79),[5]skilldef!$A:$B,2,FALSE),"-")</f>
        <v>緑パネルを / -</v>
      </c>
      <c r="Z79" s="25"/>
      <c r="AA79" s="27"/>
      <c r="AB79" s="25"/>
    </row>
    <row r="80" spans="1:28" ht="21" customHeight="1" x14ac:dyDescent="0.15">
      <c r="A80" s="128">
        <v>49013079</v>
      </c>
      <c r="B80" s="22" t="s">
        <v>368</v>
      </c>
      <c r="C80" s="25">
        <v>3</v>
      </c>
      <c r="D80" s="25" t="s">
        <v>194</v>
      </c>
      <c r="E80" s="26" t="s">
        <v>301</v>
      </c>
      <c r="F80" s="26" t="s">
        <v>265</v>
      </c>
      <c r="G80" s="38" t="str">
        <f t="shared" si="16"/>
        <v>[effect:critical, val:1.6, animation:enemy_critical]</v>
      </c>
      <c r="H80" s="38">
        <f t="shared" si="17"/>
        <v>9</v>
      </c>
      <c r="I80" s="38">
        <f t="shared" si="18"/>
        <v>17</v>
      </c>
      <c r="J80" s="38" t="e">
        <f t="shared" si="19"/>
        <v>#VALUE!</v>
      </c>
      <c r="K80" s="38">
        <f t="shared" si="20"/>
        <v>26</v>
      </c>
      <c r="L80" s="38" t="str">
        <f>IFERROR(VLOOKUP(MID(G80,J80,K80-J80),[5]skilldef!$C:$D,2,FALSE),"-") &amp; " / " &amp; IFERROR(VLOOKUP(MID(G80,H80,I80-H80),[5]skilldef!$A:$B,2,FALSE),"-")</f>
        <v>- / 大攻撃</v>
      </c>
      <c r="M80" s="38" t="str">
        <f t="shared" si="21"/>
        <v>none</v>
      </c>
      <c r="N80" s="23" t="str">
        <f t="shared" si="79"/>
        <v>none</v>
      </c>
      <c r="O80" s="38" t="e">
        <f t="shared" si="22"/>
        <v>#VALUE!</v>
      </c>
      <c r="P80" s="38">
        <f t="shared" si="23"/>
        <v>4</v>
      </c>
      <c r="Q80" s="38" t="e">
        <f t="shared" si="24"/>
        <v>#VALUE!</v>
      </c>
      <c r="R80" s="38" t="e">
        <f t="shared" si="25"/>
        <v>#VALUE!</v>
      </c>
      <c r="S80" s="38" t="str">
        <f>IFERROR(VLOOKUP(MID(N80,Q80,R80-Q80),[5]skilldef!$C:$D,2,FALSE),"-") &amp; " / " &amp; IFERROR(VLOOKUP(MID(N80,O80,P80-O80),[5]skilldef!$A:$B,2,FALSE),"-")</f>
        <v>- / -</v>
      </c>
      <c r="T80" s="23" t="str">
        <f t="shared" si="26"/>
        <v>none</v>
      </c>
      <c r="U80" s="38" t="e">
        <f t="shared" si="27"/>
        <v>#VALUE!</v>
      </c>
      <c r="V80" s="38">
        <f t="shared" si="28"/>
        <v>4</v>
      </c>
      <c r="W80" s="38" t="e">
        <f t="shared" si="29"/>
        <v>#VALUE!</v>
      </c>
      <c r="X80" s="38" t="e">
        <f t="shared" si="30"/>
        <v>#VALUE!</v>
      </c>
      <c r="Y80" s="38" t="str">
        <f>IFERROR(VLOOKUP(MID(T80,W80,X80-W80),[5]skilldef!$C:$D,2,FALSE),"-") &amp; " / " &amp; IFERROR(VLOOKUP(MID(T80,U80,V80-U80),[5]skilldef!$A:$B,2,FALSE),"-")</f>
        <v>- / -</v>
      </c>
      <c r="Z80" s="25"/>
      <c r="AA80" s="27"/>
      <c r="AB80" s="25"/>
    </row>
    <row r="81" spans="1:28" ht="21" customHeight="1" x14ac:dyDescent="0.15">
      <c r="A81" s="128">
        <v>49013080</v>
      </c>
      <c r="B81" s="22" t="s">
        <v>399</v>
      </c>
      <c r="C81" s="25">
        <v>3</v>
      </c>
      <c r="D81" s="25" t="s">
        <v>194</v>
      </c>
      <c r="E81" s="26" t="s">
        <v>400</v>
      </c>
      <c r="F81" s="26" t="s">
        <v>354</v>
      </c>
      <c r="G81" s="38" t="str">
        <f t="shared" si="16"/>
        <v>[effect:enemy_message, val1:1, val2:2.2]</v>
      </c>
      <c r="H81" s="38">
        <f t="shared" si="17"/>
        <v>9</v>
      </c>
      <c r="I81" s="38">
        <f t="shared" si="18"/>
        <v>22</v>
      </c>
      <c r="J81" s="38" t="e">
        <f t="shared" si="19"/>
        <v>#VALUE!</v>
      </c>
      <c r="K81" s="38">
        <f t="shared" si="20"/>
        <v>30</v>
      </c>
      <c r="L81" s="38" t="str">
        <f>IFERROR(VLOOKUP(MID(G81,J81,K81-J81),[5]skilldef!$C:$D,2,FALSE),"-") &amp; " / " &amp; IFERROR(VLOOKUP(MID(G81,H81,I81-H81),[5]skilldef!$A:$B,2,FALSE),"-")</f>
        <v>- / -</v>
      </c>
      <c r="M81" s="38" t="str">
        <f t="shared" si="21"/>
        <v>[effect:damage_anti_tribe, target:unit_all, tribe:human, val1:0.2, val2:1.5]</v>
      </c>
      <c r="N81" s="23" t="str">
        <f t="shared" si="79"/>
        <v>[effect:damage_anti_tribe, target:unit_all, tribe:human, val1:0.2, val2:1.5]</v>
      </c>
      <c r="O81" s="38">
        <f t="shared" si="22"/>
        <v>9</v>
      </c>
      <c r="P81" s="38">
        <f t="shared" si="23"/>
        <v>26</v>
      </c>
      <c r="Q81" s="38">
        <f t="shared" si="24"/>
        <v>35</v>
      </c>
      <c r="R81" s="38">
        <f t="shared" si="25"/>
        <v>43</v>
      </c>
      <c r="S81" s="38" t="str">
        <f>IFERROR(VLOOKUP(MID(N81,Q81,R81-Q81),[5]skilldef!$C:$D,2,FALSE),"-") &amp; " / " &amp; IFERROR(VLOOKUP(MID(N81,O81,P81-O81),[5]skilldef!$A:$B,2,FALSE),"-")</f>
        <v>味方全体に / 種族キラー</v>
      </c>
      <c r="T81" s="23" t="str">
        <f t="shared" si="26"/>
        <v>none</v>
      </c>
      <c r="U81" s="38" t="e">
        <f t="shared" si="27"/>
        <v>#VALUE!</v>
      </c>
      <c r="V81" s="38">
        <f t="shared" si="28"/>
        <v>4</v>
      </c>
      <c r="W81" s="38" t="e">
        <f t="shared" si="29"/>
        <v>#VALUE!</v>
      </c>
      <c r="X81" s="38" t="e">
        <f t="shared" si="30"/>
        <v>#VALUE!</v>
      </c>
      <c r="Y81" s="38" t="str">
        <f>IFERROR(VLOOKUP(MID(T81,W81,X81-W81),[5]skilldef!$C:$D,2,FALSE),"-") &amp; " / " &amp; IFERROR(VLOOKUP(MID(T81,U81,V81-U81),[5]skilldef!$A:$B,2,FALSE),"-")</f>
        <v>- / -</v>
      </c>
      <c r="Z81" s="25"/>
      <c r="AA81" s="27"/>
      <c r="AB81" s="25"/>
    </row>
    <row r="82" spans="1:28" ht="21" customHeight="1" x14ac:dyDescent="0.15">
      <c r="A82" s="128">
        <v>49013081</v>
      </c>
      <c r="B82" s="22" t="s">
        <v>403</v>
      </c>
      <c r="C82" s="25">
        <v>3</v>
      </c>
      <c r="D82" s="25" t="s">
        <v>194</v>
      </c>
      <c r="E82" s="26" t="s">
        <v>401</v>
      </c>
      <c r="F82" s="26" t="s">
        <v>402</v>
      </c>
      <c r="G82" s="38" t="str">
        <f t="shared" si="16"/>
        <v>[effect:enemy_message, val1:1.8, val2:2.2, dead_type:suicide]</v>
      </c>
      <c r="H82" s="38">
        <f t="shared" si="17"/>
        <v>9</v>
      </c>
      <c r="I82" s="38">
        <f t="shared" si="18"/>
        <v>22</v>
      </c>
      <c r="J82" s="38" t="e">
        <f t="shared" si="19"/>
        <v>#VALUE!</v>
      </c>
      <c r="K82" s="38">
        <f t="shared" si="20"/>
        <v>32</v>
      </c>
      <c r="L82" s="38" t="str">
        <f>IFERROR(VLOOKUP(MID(G82,J82,K82-J82),[5]skilldef!$C:$D,2,FALSE),"-") &amp; " / " &amp; IFERROR(VLOOKUP(MID(G82,H82,I82-H82),[5]skilldef!$A:$B,2,FALSE),"-")</f>
        <v>- / -</v>
      </c>
      <c r="M82" s="38" t="str">
        <f t="shared" si="21"/>
        <v>none</v>
      </c>
      <c r="N82" s="23" t="str">
        <f>IFERROR(LEFT(M82,FIND("],",M82)+S33),M82)</f>
        <v>none</v>
      </c>
      <c r="O82" s="38" t="e">
        <f t="shared" si="22"/>
        <v>#VALUE!</v>
      </c>
      <c r="P82" s="38">
        <f t="shared" si="23"/>
        <v>4</v>
      </c>
      <c r="Q82" s="38" t="e">
        <f t="shared" si="24"/>
        <v>#VALUE!</v>
      </c>
      <c r="R82" s="38" t="e">
        <f t="shared" si="25"/>
        <v>#VALUE!</v>
      </c>
      <c r="S82" s="38" t="str">
        <f>IFERROR(VLOOKUP(MID(N82,Q82,R82-Q82),[5]skilldef!$C:$D,2,FALSE),"-") &amp; " / " &amp; IFERROR(VLOOKUP(MID(N82,O82,P82-O82),[5]skilldef!$A:$B,2,FALSE),"-")</f>
        <v>- / -</v>
      </c>
      <c r="T82" s="23" t="str">
        <f t="shared" si="26"/>
        <v>none</v>
      </c>
      <c r="U82" s="38" t="e">
        <f t="shared" si="27"/>
        <v>#VALUE!</v>
      </c>
      <c r="V82" s="38">
        <f t="shared" si="28"/>
        <v>4</v>
      </c>
      <c r="W82" s="38" t="e">
        <f t="shared" si="29"/>
        <v>#VALUE!</v>
      </c>
      <c r="X82" s="38" t="e">
        <f t="shared" si="30"/>
        <v>#VALUE!</v>
      </c>
      <c r="Y82" s="38" t="str">
        <f>IFERROR(VLOOKUP(MID(T82,W82,X82-W82),[5]skilldef!$C:$D,2,FALSE),"-") &amp; " / " &amp; IFERROR(VLOOKUP(MID(T82,U82,V82-U82),[5]skilldef!$A:$B,2,FALSE),"-")</f>
        <v>- / -</v>
      </c>
      <c r="Z82" s="25"/>
      <c r="AA82" s="27"/>
      <c r="AB82" s="25"/>
    </row>
    <row r="83" spans="1:28" ht="21" customHeight="1" x14ac:dyDescent="0.15">
      <c r="A83" s="128">
        <v>49013082</v>
      </c>
      <c r="B83" s="22" t="s">
        <v>404</v>
      </c>
      <c r="C83" s="25">
        <v>3</v>
      </c>
      <c r="D83" s="25" t="s">
        <v>194</v>
      </c>
      <c r="E83" s="26" t="s">
        <v>302</v>
      </c>
      <c r="F83" s="26" t="s">
        <v>303</v>
      </c>
      <c r="G83" s="38" t="str">
        <f>IFERROR(LEFT(B83,FIND("],",B83)),B83)</f>
        <v>[effect:enemy_message, val1:1.2, val2:1.8, dead_type:suicide]</v>
      </c>
      <c r="H83" s="38">
        <f t="shared" si="17"/>
        <v>9</v>
      </c>
      <c r="I83" s="38">
        <f t="shared" si="18"/>
        <v>22</v>
      </c>
      <c r="J83" s="38" t="e">
        <f t="shared" si="19"/>
        <v>#VALUE!</v>
      </c>
      <c r="K83" s="38">
        <f t="shared" si="20"/>
        <v>32</v>
      </c>
      <c r="L83" s="38" t="str">
        <f>IFERROR(VLOOKUP(MID(G83,J83,K83-J83),[5]skilldef!$C:$D,2,FALSE),"-") &amp; " / " &amp; IFERROR(VLOOKUP(MID(G83,H83,I83-H83),[5]skilldef!$A:$B,2,FALSE),"-")</f>
        <v>- / -</v>
      </c>
      <c r="M83" s="38" t="str">
        <f>IFERROR(RIGHT(B83,LEN(B83)-FIND("],",B83)-1),"none")</f>
        <v>none</v>
      </c>
      <c r="N83" s="23" t="str">
        <f>IFERROR(LEFT(M83,FIND("],",M83)+S34),M83)</f>
        <v>none</v>
      </c>
      <c r="O83" s="38" t="e">
        <f t="shared" si="22"/>
        <v>#VALUE!</v>
      </c>
      <c r="P83" s="38">
        <f t="shared" si="23"/>
        <v>4</v>
      </c>
      <c r="Q83" s="38" t="e">
        <f t="shared" si="24"/>
        <v>#VALUE!</v>
      </c>
      <c r="R83" s="38" t="e">
        <f t="shared" si="25"/>
        <v>#VALUE!</v>
      </c>
      <c r="S83" s="38" t="str">
        <f>IFERROR(VLOOKUP(MID(N83,Q83,R83-Q83),[5]skilldef!$C:$D,2,FALSE),"-") &amp; " / " &amp; IFERROR(VLOOKUP(MID(N83,O83,P83-O83),[5]skilldef!$A:$B,2,FALSE),"-")</f>
        <v>- / -</v>
      </c>
      <c r="T83" s="23" t="str">
        <f t="shared" si="26"/>
        <v>none</v>
      </c>
      <c r="U83" s="38" t="e">
        <f t="shared" si="27"/>
        <v>#VALUE!</v>
      </c>
      <c r="V83" s="38">
        <f t="shared" si="28"/>
        <v>4</v>
      </c>
      <c r="W83" s="38" t="e">
        <f t="shared" si="29"/>
        <v>#VALUE!</v>
      </c>
      <c r="X83" s="38" t="e">
        <f t="shared" si="30"/>
        <v>#VALUE!</v>
      </c>
      <c r="Y83" s="38" t="str">
        <f>IFERROR(VLOOKUP(MID(T83,W83,X83-W83),[5]skilldef!$C:$D,2,FALSE),"-") &amp; " / " &amp; IFERROR(VLOOKUP(MID(T83,U83,V83-U83),[5]skilldef!$A:$B,2,FALSE),"-")</f>
        <v>- / -</v>
      </c>
      <c r="Z83" s="25"/>
      <c r="AA83" s="27"/>
      <c r="AB83" s="25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31"/>
  <sheetViews>
    <sheetView showGridLines="0" zoomScale="86" zoomScaleNormal="86" zoomScalePageLayoutView="86" workbookViewId="0">
      <pane ySplit="1" topLeftCell="A46" activePane="bottomLeft" state="frozenSplit"/>
      <selection pane="bottomLeft" activeCell="A132" sqref="A132"/>
    </sheetView>
  </sheetViews>
  <sheetFormatPr baseColWidth="12" defaultColWidth="12.83203125" defaultRowHeight="21" customHeight="1" x14ac:dyDescent="0.15"/>
  <cols>
    <col min="1" max="1" width="16.1640625" style="24" bestFit="1" customWidth="1"/>
    <col min="2" max="2" width="13.33203125" style="24" bestFit="1" customWidth="1"/>
    <col min="3" max="3" width="11.83203125" style="24" bestFit="1" customWidth="1"/>
    <col min="4" max="4" width="14.6640625" style="24" bestFit="1" customWidth="1"/>
    <col min="5" max="5" width="15.6640625" style="24" bestFit="1" customWidth="1"/>
    <col min="6" max="6" width="17" style="24" bestFit="1" customWidth="1"/>
    <col min="7" max="7" width="15.6640625" style="24" bestFit="1" customWidth="1"/>
    <col min="8" max="9" width="14.6640625" style="24" customWidth="1"/>
    <col min="10" max="10" width="14.6640625" style="24" bestFit="1" customWidth="1"/>
    <col min="11" max="11" width="22.83203125" style="15" bestFit="1" customWidth="1"/>
    <col min="12" max="16384" width="12.83203125" style="20"/>
  </cols>
  <sheetData>
    <row r="1" spans="1:11" ht="21" customHeight="1" x14ac:dyDescent="0.15">
      <c r="A1" s="18" t="s">
        <v>84</v>
      </c>
      <c r="B1" s="18" t="s">
        <v>85</v>
      </c>
      <c r="C1" s="18" t="s">
        <v>86</v>
      </c>
      <c r="D1" s="18" t="s">
        <v>87</v>
      </c>
      <c r="E1" s="18" t="s">
        <v>70</v>
      </c>
      <c r="F1" s="28" t="s">
        <v>71</v>
      </c>
      <c r="G1" s="28" t="s">
        <v>72</v>
      </c>
      <c r="H1" s="18" t="s">
        <v>73</v>
      </c>
      <c r="I1" s="18" t="s">
        <v>74</v>
      </c>
      <c r="J1" s="18" t="s">
        <v>75</v>
      </c>
      <c r="K1" s="29" t="s">
        <v>88</v>
      </c>
    </row>
    <row r="2" spans="1:11" ht="21" customHeight="1" x14ac:dyDescent="0.15">
      <c r="A2" s="127">
        <v>49013001</v>
      </c>
      <c r="B2" s="22">
        <v>1</v>
      </c>
      <c r="C2" s="22">
        <v>130</v>
      </c>
      <c r="D2" s="22">
        <v>100</v>
      </c>
      <c r="E2" s="22" t="s">
        <v>326</v>
      </c>
      <c r="F2" s="22" t="s">
        <v>326</v>
      </c>
      <c r="G2" s="22">
        <v>1</v>
      </c>
      <c r="H2" s="22" t="s">
        <v>326</v>
      </c>
      <c r="I2" s="22">
        <v>716</v>
      </c>
      <c r="J2" s="23">
        <v>120</v>
      </c>
    </row>
    <row r="3" spans="1:11" ht="21" customHeight="1" x14ac:dyDescent="0.15">
      <c r="A3" s="127">
        <v>49013002</v>
      </c>
      <c r="B3" s="128">
        <v>1</v>
      </c>
      <c r="C3" s="128">
        <v>130</v>
      </c>
      <c r="D3" s="128">
        <v>100</v>
      </c>
      <c r="E3" s="128" t="s">
        <v>326</v>
      </c>
      <c r="F3" s="128" t="s">
        <v>326</v>
      </c>
      <c r="G3" s="128">
        <v>1</v>
      </c>
      <c r="H3" s="128" t="s">
        <v>326</v>
      </c>
      <c r="I3" s="128">
        <v>717</v>
      </c>
      <c r="J3" s="23">
        <v>120</v>
      </c>
    </row>
    <row r="4" spans="1:11" ht="21" customHeight="1" x14ac:dyDescent="0.15">
      <c r="A4" s="127">
        <v>49013003</v>
      </c>
      <c r="B4" s="128">
        <v>1</v>
      </c>
      <c r="C4" s="128">
        <v>130</v>
      </c>
      <c r="D4" s="128">
        <v>100</v>
      </c>
      <c r="E4" s="128" t="s">
        <v>326</v>
      </c>
      <c r="F4" s="128" t="s">
        <v>326</v>
      </c>
      <c r="G4" s="128">
        <v>1</v>
      </c>
      <c r="H4" s="128" t="s">
        <v>326</v>
      </c>
      <c r="I4" s="22">
        <v>706</v>
      </c>
      <c r="J4" s="23">
        <f t="shared" ref="J4:J18" si="0">D4</f>
        <v>100</v>
      </c>
    </row>
    <row r="5" spans="1:11" ht="21" customHeight="1" x14ac:dyDescent="0.15">
      <c r="A5" s="127">
        <v>49013004</v>
      </c>
      <c r="B5" s="128">
        <v>1</v>
      </c>
      <c r="C5" s="22">
        <v>99</v>
      </c>
      <c r="D5" s="128">
        <v>100</v>
      </c>
      <c r="E5" s="128" t="s">
        <v>326</v>
      </c>
      <c r="F5" s="128" t="s">
        <v>326</v>
      </c>
      <c r="G5" s="128">
        <v>1</v>
      </c>
      <c r="H5" s="128" t="s">
        <v>326</v>
      </c>
      <c r="I5" s="22">
        <v>707</v>
      </c>
      <c r="J5" s="23">
        <f t="shared" si="0"/>
        <v>100</v>
      </c>
    </row>
    <row r="6" spans="1:11" ht="21" customHeight="1" x14ac:dyDescent="0.15">
      <c r="A6" s="127">
        <v>49013005</v>
      </c>
      <c r="B6" s="128">
        <v>1</v>
      </c>
      <c r="C6" s="22">
        <v>98</v>
      </c>
      <c r="D6" s="128">
        <v>100</v>
      </c>
      <c r="E6" s="128" t="s">
        <v>326</v>
      </c>
      <c r="F6" s="128" t="s">
        <v>326</v>
      </c>
      <c r="G6" s="128">
        <v>1</v>
      </c>
      <c r="H6" s="128" t="s">
        <v>326</v>
      </c>
      <c r="I6" s="22">
        <v>712</v>
      </c>
      <c r="J6" s="23">
        <f t="shared" si="0"/>
        <v>100</v>
      </c>
    </row>
    <row r="7" spans="1:11" ht="21" customHeight="1" x14ac:dyDescent="0.15">
      <c r="A7" s="127">
        <v>49013006</v>
      </c>
      <c r="B7" s="128">
        <v>1</v>
      </c>
      <c r="C7" s="22">
        <v>98</v>
      </c>
      <c r="D7" s="128">
        <v>100</v>
      </c>
      <c r="E7" s="128" t="s">
        <v>326</v>
      </c>
      <c r="F7" s="128" t="s">
        <v>326</v>
      </c>
      <c r="G7" s="128">
        <v>1</v>
      </c>
      <c r="H7" s="128" t="s">
        <v>326</v>
      </c>
      <c r="I7" s="22">
        <v>713</v>
      </c>
      <c r="J7" s="23">
        <f t="shared" si="0"/>
        <v>100</v>
      </c>
    </row>
    <row r="8" spans="1:11" ht="21" customHeight="1" x14ac:dyDescent="0.15">
      <c r="A8" s="127">
        <v>49013007</v>
      </c>
      <c r="B8" s="128">
        <v>1</v>
      </c>
      <c r="C8" s="22">
        <v>97</v>
      </c>
      <c r="D8" s="128">
        <v>100</v>
      </c>
      <c r="E8" s="128" t="s">
        <v>326</v>
      </c>
      <c r="F8" s="128" t="s">
        <v>326</v>
      </c>
      <c r="G8" s="128">
        <v>1</v>
      </c>
      <c r="H8" s="128" t="s">
        <v>326</v>
      </c>
      <c r="I8" s="22">
        <v>700</v>
      </c>
      <c r="J8" s="23">
        <f t="shared" si="0"/>
        <v>100</v>
      </c>
    </row>
    <row r="9" spans="1:11" ht="21" customHeight="1" x14ac:dyDescent="0.15">
      <c r="A9" s="127">
        <v>49013008</v>
      </c>
      <c r="B9" s="128">
        <v>1</v>
      </c>
      <c r="C9" s="22">
        <v>97</v>
      </c>
      <c r="D9" s="128">
        <v>100</v>
      </c>
      <c r="E9" s="128" t="s">
        <v>326</v>
      </c>
      <c r="F9" s="128" t="s">
        <v>326</v>
      </c>
      <c r="G9" s="128">
        <v>1</v>
      </c>
      <c r="H9" s="128" t="s">
        <v>326</v>
      </c>
      <c r="I9" s="22">
        <v>701</v>
      </c>
      <c r="J9" s="23">
        <f t="shared" si="0"/>
        <v>100</v>
      </c>
    </row>
    <row r="10" spans="1:11" ht="21" customHeight="1" x14ac:dyDescent="0.15">
      <c r="A10" s="127">
        <v>49013009</v>
      </c>
      <c r="B10" s="128">
        <v>1</v>
      </c>
      <c r="C10" s="22">
        <v>96</v>
      </c>
      <c r="D10" s="128">
        <v>100</v>
      </c>
      <c r="E10" s="128" t="s">
        <v>326</v>
      </c>
      <c r="F10" s="128" t="s">
        <v>326</v>
      </c>
      <c r="G10" s="128">
        <v>1</v>
      </c>
      <c r="H10" s="128" t="s">
        <v>326</v>
      </c>
      <c r="I10" s="22">
        <v>698</v>
      </c>
      <c r="J10" s="23">
        <f t="shared" si="0"/>
        <v>100</v>
      </c>
    </row>
    <row r="11" spans="1:11" ht="21" customHeight="1" x14ac:dyDescent="0.15">
      <c r="A11" s="127">
        <v>49013010</v>
      </c>
      <c r="B11" s="128">
        <v>1</v>
      </c>
      <c r="C11" s="22">
        <v>96</v>
      </c>
      <c r="D11" s="128">
        <v>100</v>
      </c>
      <c r="E11" s="128" t="s">
        <v>326</v>
      </c>
      <c r="F11" s="128" t="s">
        <v>326</v>
      </c>
      <c r="G11" s="128">
        <v>1</v>
      </c>
      <c r="H11" s="128" t="s">
        <v>326</v>
      </c>
      <c r="I11" s="22">
        <v>699</v>
      </c>
      <c r="J11" s="23">
        <f t="shared" si="0"/>
        <v>100</v>
      </c>
    </row>
    <row r="12" spans="1:11" ht="21" customHeight="1" x14ac:dyDescent="0.15">
      <c r="A12" s="127">
        <v>49013011</v>
      </c>
      <c r="B12" s="128">
        <v>1</v>
      </c>
      <c r="C12" s="128">
        <v>98</v>
      </c>
      <c r="D12" s="128">
        <v>100</v>
      </c>
      <c r="E12" s="128" t="s">
        <v>326</v>
      </c>
      <c r="F12" s="128" t="s">
        <v>326</v>
      </c>
      <c r="G12" s="128">
        <v>1</v>
      </c>
      <c r="H12" s="128" t="s">
        <v>326</v>
      </c>
      <c r="I12" s="128">
        <v>714</v>
      </c>
      <c r="J12" s="23">
        <f t="shared" si="0"/>
        <v>100</v>
      </c>
    </row>
    <row r="13" spans="1:11" ht="21" customHeight="1" x14ac:dyDescent="0.15">
      <c r="A13" s="127">
        <v>49013012</v>
      </c>
      <c r="B13" s="128">
        <v>1</v>
      </c>
      <c r="C13" s="22">
        <v>95</v>
      </c>
      <c r="D13" s="128">
        <v>100</v>
      </c>
      <c r="E13" s="128" t="s">
        <v>326</v>
      </c>
      <c r="F13" s="128" t="s">
        <v>326</v>
      </c>
      <c r="G13" s="128">
        <v>1</v>
      </c>
      <c r="H13" s="128" t="s">
        <v>326</v>
      </c>
      <c r="I13" s="22">
        <v>715</v>
      </c>
      <c r="J13" s="23">
        <f t="shared" si="0"/>
        <v>100</v>
      </c>
    </row>
    <row r="14" spans="1:11" ht="21" customHeight="1" x14ac:dyDescent="0.15">
      <c r="A14" s="127">
        <v>49013013</v>
      </c>
      <c r="B14" s="128">
        <v>1</v>
      </c>
      <c r="C14" s="128">
        <v>97</v>
      </c>
      <c r="D14" s="128">
        <v>100</v>
      </c>
      <c r="E14" s="128" t="s">
        <v>326</v>
      </c>
      <c r="F14" s="128" t="s">
        <v>326</v>
      </c>
      <c r="G14" s="128">
        <v>1</v>
      </c>
      <c r="H14" s="128" t="s">
        <v>326</v>
      </c>
      <c r="I14" s="22">
        <v>718</v>
      </c>
      <c r="J14" s="23">
        <f t="shared" si="0"/>
        <v>100</v>
      </c>
    </row>
    <row r="15" spans="1:11" ht="21" customHeight="1" x14ac:dyDescent="0.15">
      <c r="A15" s="127">
        <v>49013014</v>
      </c>
      <c r="B15" s="128">
        <v>1</v>
      </c>
      <c r="C15" s="22">
        <v>94</v>
      </c>
      <c r="D15" s="128">
        <v>100</v>
      </c>
      <c r="E15" s="128" t="s">
        <v>326</v>
      </c>
      <c r="F15" s="128" t="s">
        <v>326</v>
      </c>
      <c r="G15" s="128">
        <v>1</v>
      </c>
      <c r="H15" s="128" t="s">
        <v>326</v>
      </c>
      <c r="I15" s="22">
        <v>719</v>
      </c>
      <c r="J15" s="23">
        <f t="shared" si="0"/>
        <v>100</v>
      </c>
    </row>
    <row r="16" spans="1:11" ht="21" customHeight="1" x14ac:dyDescent="0.15">
      <c r="A16" s="127">
        <v>49013015</v>
      </c>
      <c r="B16" s="128">
        <v>1</v>
      </c>
      <c r="C16" s="128">
        <v>97</v>
      </c>
      <c r="D16" s="128">
        <v>100</v>
      </c>
      <c r="E16" s="128" t="s">
        <v>326</v>
      </c>
      <c r="F16" s="128" t="s">
        <v>326</v>
      </c>
      <c r="G16" s="128">
        <v>1</v>
      </c>
      <c r="H16" s="128" t="s">
        <v>326</v>
      </c>
      <c r="I16" s="128">
        <v>695</v>
      </c>
      <c r="J16" s="23">
        <f t="shared" si="0"/>
        <v>100</v>
      </c>
    </row>
    <row r="17" spans="1:10" ht="21" customHeight="1" x14ac:dyDescent="0.15">
      <c r="A17" s="127">
        <v>49013016</v>
      </c>
      <c r="B17" s="128">
        <v>1</v>
      </c>
      <c r="C17" s="128">
        <v>90</v>
      </c>
      <c r="D17" s="128">
        <v>100</v>
      </c>
      <c r="E17" s="128" t="s">
        <v>326</v>
      </c>
      <c r="F17" s="128" t="s">
        <v>326</v>
      </c>
      <c r="G17" s="128">
        <v>1</v>
      </c>
      <c r="H17" s="128" t="s">
        <v>326</v>
      </c>
      <c r="I17" s="22">
        <v>696</v>
      </c>
      <c r="J17" s="23">
        <f t="shared" si="0"/>
        <v>100</v>
      </c>
    </row>
    <row r="18" spans="1:10" ht="21" customHeight="1" x14ac:dyDescent="0.15">
      <c r="A18" s="127">
        <v>49013017</v>
      </c>
      <c r="B18" s="128">
        <v>1</v>
      </c>
      <c r="C18" s="22">
        <v>93</v>
      </c>
      <c r="D18" s="128">
        <v>100</v>
      </c>
      <c r="E18" s="128" t="s">
        <v>326</v>
      </c>
      <c r="F18" s="128" t="s">
        <v>326</v>
      </c>
      <c r="G18" s="128">
        <v>1</v>
      </c>
      <c r="H18" s="128" t="s">
        <v>326</v>
      </c>
      <c r="I18" s="22">
        <v>697</v>
      </c>
      <c r="J18" s="23">
        <f t="shared" si="0"/>
        <v>100</v>
      </c>
    </row>
    <row r="19" spans="1:10" ht="21" customHeight="1" x14ac:dyDescent="0.15">
      <c r="A19" s="128">
        <v>49013018</v>
      </c>
      <c r="B19" s="22">
        <v>1</v>
      </c>
      <c r="C19" s="22">
        <v>80</v>
      </c>
      <c r="D19" s="22">
        <v>100</v>
      </c>
      <c r="E19" s="22" t="s">
        <v>326</v>
      </c>
      <c r="F19" s="22" t="s">
        <v>326</v>
      </c>
      <c r="G19" s="22">
        <v>1</v>
      </c>
      <c r="H19" s="22" t="s">
        <v>326</v>
      </c>
      <c r="I19" s="22" t="s">
        <v>326</v>
      </c>
      <c r="J19" s="23">
        <f t="shared" ref="J19:J128" si="1">D19</f>
        <v>100</v>
      </c>
    </row>
    <row r="20" spans="1:10" ht="21" customHeight="1" x14ac:dyDescent="0.15">
      <c r="A20" s="128">
        <v>49013019</v>
      </c>
      <c r="B20" s="22">
        <v>0</v>
      </c>
      <c r="C20" s="22">
        <v>50</v>
      </c>
      <c r="D20" s="22">
        <v>100</v>
      </c>
      <c r="E20" s="22" t="s">
        <v>326</v>
      </c>
      <c r="F20" s="22" t="s">
        <v>326</v>
      </c>
      <c r="G20" s="22">
        <v>1</v>
      </c>
      <c r="H20" s="22">
        <v>1</v>
      </c>
      <c r="I20" s="22" t="s">
        <v>326</v>
      </c>
      <c r="J20" s="23">
        <f t="shared" si="1"/>
        <v>100</v>
      </c>
    </row>
    <row r="21" spans="1:10" ht="21" customHeight="1" x14ac:dyDescent="0.15">
      <c r="A21" s="128">
        <v>49013020</v>
      </c>
      <c r="B21" s="22">
        <v>0</v>
      </c>
      <c r="C21" s="22">
        <v>40</v>
      </c>
      <c r="D21" s="22">
        <v>100</v>
      </c>
      <c r="E21" s="22" t="s">
        <v>326</v>
      </c>
      <c r="F21" s="22" t="s">
        <v>326</v>
      </c>
      <c r="G21" s="22">
        <v>1</v>
      </c>
      <c r="H21" s="22">
        <v>1</v>
      </c>
      <c r="I21" s="22" t="s">
        <v>326</v>
      </c>
      <c r="J21" s="23">
        <f t="shared" si="1"/>
        <v>100</v>
      </c>
    </row>
    <row r="22" spans="1:10" ht="21" customHeight="1" x14ac:dyDescent="0.15">
      <c r="A22" s="128">
        <v>49013021</v>
      </c>
      <c r="B22" s="22">
        <v>0</v>
      </c>
      <c r="C22" s="22">
        <v>20</v>
      </c>
      <c r="D22" s="22">
        <v>100</v>
      </c>
      <c r="E22" s="22" t="s">
        <v>326</v>
      </c>
      <c r="F22" s="22" t="s">
        <v>326</v>
      </c>
      <c r="G22" s="22">
        <v>1</v>
      </c>
      <c r="H22" s="22">
        <v>1</v>
      </c>
      <c r="I22" s="22" t="s">
        <v>326</v>
      </c>
      <c r="J22" s="23">
        <f t="shared" si="1"/>
        <v>100</v>
      </c>
    </row>
    <row r="23" spans="1:10" ht="21" customHeight="1" x14ac:dyDescent="0.15">
      <c r="A23" s="128">
        <v>49013022</v>
      </c>
      <c r="B23" s="22">
        <v>0</v>
      </c>
      <c r="C23" s="22">
        <v>5</v>
      </c>
      <c r="D23" s="22">
        <v>100</v>
      </c>
      <c r="E23" s="22" t="s">
        <v>326</v>
      </c>
      <c r="F23" s="22" t="s">
        <v>326</v>
      </c>
      <c r="G23" s="22" t="s">
        <v>326</v>
      </c>
      <c r="H23" s="22">
        <v>1</v>
      </c>
      <c r="I23" s="22" t="s">
        <v>326</v>
      </c>
      <c r="J23" s="23">
        <f t="shared" si="1"/>
        <v>100</v>
      </c>
    </row>
    <row r="24" spans="1:10" ht="21" customHeight="1" x14ac:dyDescent="0.15">
      <c r="A24" s="128">
        <v>49013023</v>
      </c>
      <c r="B24" s="22">
        <v>0</v>
      </c>
      <c r="C24" s="22">
        <v>8</v>
      </c>
      <c r="D24" s="22">
        <v>60</v>
      </c>
      <c r="E24" s="22" t="s">
        <v>326</v>
      </c>
      <c r="F24" s="22" t="s">
        <v>326</v>
      </c>
      <c r="G24" s="22" t="s">
        <v>326</v>
      </c>
      <c r="H24" s="22">
        <v>1</v>
      </c>
      <c r="I24" s="22" t="s">
        <v>326</v>
      </c>
      <c r="J24" s="23">
        <f t="shared" si="1"/>
        <v>60</v>
      </c>
    </row>
    <row r="25" spans="1:10" ht="21" customHeight="1" x14ac:dyDescent="0.15">
      <c r="A25" s="128">
        <v>49013024</v>
      </c>
      <c r="B25" s="22">
        <v>0</v>
      </c>
      <c r="C25" s="22">
        <v>9</v>
      </c>
      <c r="D25" s="22">
        <v>30</v>
      </c>
      <c r="E25" s="22" t="s">
        <v>326</v>
      </c>
      <c r="F25" s="22" t="s">
        <v>326</v>
      </c>
      <c r="G25" s="22">
        <v>1</v>
      </c>
      <c r="H25" s="22">
        <v>1</v>
      </c>
      <c r="I25" s="22" t="s">
        <v>326</v>
      </c>
      <c r="J25" s="23">
        <f t="shared" si="1"/>
        <v>30</v>
      </c>
    </row>
    <row r="26" spans="1:10" ht="21" customHeight="1" x14ac:dyDescent="0.15">
      <c r="A26" s="127">
        <v>49013025</v>
      </c>
      <c r="B26" s="22">
        <v>1</v>
      </c>
      <c r="C26" s="22">
        <v>130</v>
      </c>
      <c r="D26" s="22">
        <v>100</v>
      </c>
      <c r="E26" s="22" t="s">
        <v>326</v>
      </c>
      <c r="F26" s="22" t="s">
        <v>326</v>
      </c>
      <c r="G26" s="22">
        <v>1</v>
      </c>
      <c r="H26" s="22" t="s">
        <v>326</v>
      </c>
      <c r="I26" s="22">
        <v>716</v>
      </c>
      <c r="J26" s="23">
        <v>120</v>
      </c>
    </row>
    <row r="27" spans="1:10" ht="21" customHeight="1" x14ac:dyDescent="0.15">
      <c r="A27" s="127">
        <v>49013026</v>
      </c>
      <c r="B27" s="128">
        <v>1</v>
      </c>
      <c r="C27" s="128">
        <v>130</v>
      </c>
      <c r="D27" s="128">
        <v>100</v>
      </c>
      <c r="E27" s="128" t="s">
        <v>326</v>
      </c>
      <c r="F27" s="128" t="s">
        <v>326</v>
      </c>
      <c r="G27" s="128">
        <v>1</v>
      </c>
      <c r="H27" s="128" t="s">
        <v>326</v>
      </c>
      <c r="I27" s="128">
        <v>717</v>
      </c>
      <c r="J27" s="23">
        <v>120</v>
      </c>
    </row>
    <row r="28" spans="1:10" ht="21" customHeight="1" x14ac:dyDescent="0.15">
      <c r="A28" s="127">
        <v>49013027</v>
      </c>
      <c r="B28" s="128">
        <v>1</v>
      </c>
      <c r="C28" s="128">
        <v>99</v>
      </c>
      <c r="D28" s="128">
        <v>100</v>
      </c>
      <c r="E28" s="128" t="s">
        <v>326</v>
      </c>
      <c r="F28" s="128" t="s">
        <v>326</v>
      </c>
      <c r="G28" s="128">
        <v>1</v>
      </c>
      <c r="H28" s="128" t="s">
        <v>326</v>
      </c>
      <c r="I28" s="128">
        <v>695</v>
      </c>
      <c r="J28" s="23">
        <f t="shared" ref="J28:J42" si="2">D28</f>
        <v>100</v>
      </c>
    </row>
    <row r="29" spans="1:10" ht="21" customHeight="1" x14ac:dyDescent="0.15">
      <c r="A29" s="127">
        <v>49013028</v>
      </c>
      <c r="B29" s="128">
        <v>1</v>
      </c>
      <c r="C29" s="128">
        <v>99</v>
      </c>
      <c r="D29" s="128">
        <v>100</v>
      </c>
      <c r="E29" s="128" t="s">
        <v>326</v>
      </c>
      <c r="F29" s="128" t="s">
        <v>326</v>
      </c>
      <c r="G29" s="128">
        <v>1</v>
      </c>
      <c r="H29" s="128" t="s">
        <v>326</v>
      </c>
      <c r="I29" s="22">
        <v>696</v>
      </c>
      <c r="J29" s="23">
        <f t="shared" si="2"/>
        <v>100</v>
      </c>
    </row>
    <row r="30" spans="1:10" ht="21" customHeight="1" x14ac:dyDescent="0.15">
      <c r="A30" s="127">
        <v>49013029</v>
      </c>
      <c r="B30" s="128">
        <v>1</v>
      </c>
      <c r="C30" s="128">
        <v>99</v>
      </c>
      <c r="D30" s="128">
        <v>100</v>
      </c>
      <c r="E30" s="128" t="s">
        <v>326</v>
      </c>
      <c r="F30" s="128" t="s">
        <v>326</v>
      </c>
      <c r="G30" s="128">
        <v>1</v>
      </c>
      <c r="H30" s="128" t="s">
        <v>326</v>
      </c>
      <c r="I30" s="22">
        <v>697</v>
      </c>
      <c r="J30" s="23">
        <f t="shared" si="2"/>
        <v>100</v>
      </c>
    </row>
    <row r="31" spans="1:10" ht="21" customHeight="1" x14ac:dyDescent="0.15">
      <c r="A31" s="127">
        <v>49013030</v>
      </c>
      <c r="B31" s="128">
        <v>1</v>
      </c>
      <c r="C31" s="128">
        <v>95</v>
      </c>
      <c r="D31" s="128">
        <v>100</v>
      </c>
      <c r="E31" s="128" t="s">
        <v>326</v>
      </c>
      <c r="F31" s="128" t="s">
        <v>326</v>
      </c>
      <c r="G31" s="128">
        <v>1</v>
      </c>
      <c r="H31" s="128" t="s">
        <v>326</v>
      </c>
      <c r="I31" s="128">
        <v>714</v>
      </c>
      <c r="J31" s="23">
        <f t="shared" si="2"/>
        <v>100</v>
      </c>
    </row>
    <row r="32" spans="1:10" ht="21" customHeight="1" x14ac:dyDescent="0.15">
      <c r="A32" s="127">
        <v>49013031</v>
      </c>
      <c r="B32" s="128">
        <v>1</v>
      </c>
      <c r="C32" s="22">
        <v>95</v>
      </c>
      <c r="D32" s="128">
        <v>100</v>
      </c>
      <c r="E32" s="128" t="s">
        <v>326</v>
      </c>
      <c r="F32" s="128" t="s">
        <v>326</v>
      </c>
      <c r="G32" s="128">
        <v>1</v>
      </c>
      <c r="H32" s="128" t="s">
        <v>326</v>
      </c>
      <c r="I32" s="22">
        <v>715</v>
      </c>
      <c r="J32" s="23">
        <f t="shared" si="2"/>
        <v>100</v>
      </c>
    </row>
    <row r="33" spans="1:10" ht="21" customHeight="1" x14ac:dyDescent="0.15">
      <c r="A33" s="127">
        <v>49013032</v>
      </c>
      <c r="B33" s="128">
        <v>1</v>
      </c>
      <c r="C33" s="128">
        <v>94</v>
      </c>
      <c r="D33" s="128">
        <v>100</v>
      </c>
      <c r="E33" s="128" t="s">
        <v>326</v>
      </c>
      <c r="F33" s="128" t="s">
        <v>326</v>
      </c>
      <c r="G33" s="128">
        <v>1</v>
      </c>
      <c r="H33" s="128" t="s">
        <v>326</v>
      </c>
      <c r="I33" s="22">
        <v>691</v>
      </c>
      <c r="J33" s="23">
        <f t="shared" si="2"/>
        <v>100</v>
      </c>
    </row>
    <row r="34" spans="1:10" ht="21" customHeight="1" x14ac:dyDescent="0.15">
      <c r="A34" s="127">
        <v>49013033</v>
      </c>
      <c r="B34" s="128">
        <v>1</v>
      </c>
      <c r="C34" s="128">
        <v>94</v>
      </c>
      <c r="D34" s="128">
        <v>100</v>
      </c>
      <c r="E34" s="128" t="s">
        <v>326</v>
      </c>
      <c r="F34" s="128" t="s">
        <v>326</v>
      </c>
      <c r="G34" s="128">
        <v>1</v>
      </c>
      <c r="H34" s="128" t="s">
        <v>326</v>
      </c>
      <c r="I34" s="22">
        <v>692</v>
      </c>
      <c r="J34" s="23">
        <f t="shared" si="2"/>
        <v>100</v>
      </c>
    </row>
    <row r="35" spans="1:10" ht="21" customHeight="1" x14ac:dyDescent="0.15">
      <c r="A35" s="127">
        <v>49013034</v>
      </c>
      <c r="B35" s="128">
        <v>1</v>
      </c>
      <c r="C35" s="22">
        <v>93</v>
      </c>
      <c r="D35" s="128">
        <v>100</v>
      </c>
      <c r="E35" s="128" t="s">
        <v>326</v>
      </c>
      <c r="F35" s="128" t="s">
        <v>326</v>
      </c>
      <c r="G35" s="128">
        <v>1</v>
      </c>
      <c r="H35" s="128" t="s">
        <v>326</v>
      </c>
      <c r="I35" s="22">
        <v>698</v>
      </c>
      <c r="J35" s="23">
        <f t="shared" si="2"/>
        <v>100</v>
      </c>
    </row>
    <row r="36" spans="1:10" ht="21" customHeight="1" x14ac:dyDescent="0.15">
      <c r="A36" s="127">
        <v>49013035</v>
      </c>
      <c r="B36" s="128">
        <v>1</v>
      </c>
      <c r="C36" s="22">
        <v>92</v>
      </c>
      <c r="D36" s="128">
        <v>100</v>
      </c>
      <c r="E36" s="128" t="s">
        <v>326</v>
      </c>
      <c r="F36" s="128" t="s">
        <v>326</v>
      </c>
      <c r="G36" s="128">
        <v>1</v>
      </c>
      <c r="H36" s="128" t="s">
        <v>326</v>
      </c>
      <c r="I36" s="22">
        <v>699</v>
      </c>
      <c r="J36" s="23">
        <f t="shared" si="2"/>
        <v>100</v>
      </c>
    </row>
    <row r="37" spans="1:10" ht="21" customHeight="1" x14ac:dyDescent="0.15">
      <c r="A37" s="127">
        <v>49013036</v>
      </c>
      <c r="B37" s="128">
        <v>1</v>
      </c>
      <c r="C37" s="22">
        <v>91</v>
      </c>
      <c r="D37" s="128">
        <v>100</v>
      </c>
      <c r="E37" s="128" t="s">
        <v>326</v>
      </c>
      <c r="F37" s="128" t="s">
        <v>326</v>
      </c>
      <c r="G37" s="128">
        <v>1</v>
      </c>
      <c r="H37" s="128" t="s">
        <v>326</v>
      </c>
      <c r="I37" s="128">
        <v>702</v>
      </c>
      <c r="J37" s="23">
        <f t="shared" si="2"/>
        <v>100</v>
      </c>
    </row>
    <row r="38" spans="1:10" ht="21" customHeight="1" x14ac:dyDescent="0.15">
      <c r="A38" s="127">
        <v>49013037</v>
      </c>
      <c r="B38" s="128">
        <v>1</v>
      </c>
      <c r="C38" s="22">
        <v>91</v>
      </c>
      <c r="D38" s="128">
        <v>100</v>
      </c>
      <c r="E38" s="128" t="s">
        <v>326</v>
      </c>
      <c r="F38" s="128" t="s">
        <v>326</v>
      </c>
      <c r="G38" s="128">
        <v>1</v>
      </c>
      <c r="H38" s="128" t="s">
        <v>326</v>
      </c>
      <c r="I38" s="22">
        <v>703</v>
      </c>
      <c r="J38" s="23">
        <f t="shared" si="2"/>
        <v>100</v>
      </c>
    </row>
    <row r="39" spans="1:10" ht="21" customHeight="1" x14ac:dyDescent="0.15">
      <c r="A39" s="127">
        <v>49013038</v>
      </c>
      <c r="B39" s="128">
        <v>1</v>
      </c>
      <c r="C39" s="22">
        <v>90</v>
      </c>
      <c r="D39" s="128">
        <v>100</v>
      </c>
      <c r="E39" s="128" t="s">
        <v>326</v>
      </c>
      <c r="F39" s="128" t="s">
        <v>326</v>
      </c>
      <c r="G39" s="128">
        <v>1</v>
      </c>
      <c r="H39" s="128" t="s">
        <v>326</v>
      </c>
      <c r="I39" s="22">
        <v>710</v>
      </c>
      <c r="J39" s="23">
        <f t="shared" si="2"/>
        <v>100</v>
      </c>
    </row>
    <row r="40" spans="1:10" ht="21" customHeight="1" x14ac:dyDescent="0.15">
      <c r="A40" s="127">
        <v>49013039</v>
      </c>
      <c r="B40" s="128">
        <v>1</v>
      </c>
      <c r="C40" s="22">
        <v>90</v>
      </c>
      <c r="D40" s="128">
        <v>100</v>
      </c>
      <c r="E40" s="128" t="s">
        <v>326</v>
      </c>
      <c r="F40" s="128" t="s">
        <v>326</v>
      </c>
      <c r="G40" s="128">
        <v>1</v>
      </c>
      <c r="H40" s="128" t="s">
        <v>326</v>
      </c>
      <c r="I40" s="22">
        <v>711</v>
      </c>
      <c r="J40" s="23">
        <f t="shared" si="2"/>
        <v>100</v>
      </c>
    </row>
    <row r="41" spans="1:10" ht="21" customHeight="1" x14ac:dyDescent="0.15">
      <c r="A41" s="127">
        <v>49013040</v>
      </c>
      <c r="B41" s="128">
        <v>1</v>
      </c>
      <c r="C41" s="22">
        <v>89</v>
      </c>
      <c r="D41" s="128">
        <v>100</v>
      </c>
      <c r="E41" s="128" t="s">
        <v>326</v>
      </c>
      <c r="F41" s="128" t="s">
        <v>326</v>
      </c>
      <c r="G41" s="128">
        <v>1</v>
      </c>
      <c r="H41" s="128" t="s">
        <v>326</v>
      </c>
      <c r="I41" s="22">
        <v>712</v>
      </c>
      <c r="J41" s="23">
        <f t="shared" si="2"/>
        <v>100</v>
      </c>
    </row>
    <row r="42" spans="1:10" ht="21" customHeight="1" x14ac:dyDescent="0.15">
      <c r="A42" s="127">
        <v>49013041</v>
      </c>
      <c r="B42" s="128">
        <v>1</v>
      </c>
      <c r="C42" s="22">
        <v>88</v>
      </c>
      <c r="D42" s="128">
        <v>100</v>
      </c>
      <c r="E42" s="128" t="s">
        <v>326</v>
      </c>
      <c r="F42" s="128" t="s">
        <v>326</v>
      </c>
      <c r="G42" s="128">
        <v>1</v>
      </c>
      <c r="H42" s="128" t="s">
        <v>326</v>
      </c>
      <c r="I42" s="22">
        <v>713</v>
      </c>
      <c r="J42" s="23">
        <f t="shared" si="2"/>
        <v>100</v>
      </c>
    </row>
    <row r="43" spans="1:10" ht="21" customHeight="1" x14ac:dyDescent="0.15">
      <c r="A43" s="128">
        <v>49013042</v>
      </c>
      <c r="B43" s="22">
        <v>1</v>
      </c>
      <c r="C43" s="22">
        <v>70</v>
      </c>
      <c r="D43" s="22">
        <v>100</v>
      </c>
      <c r="E43" s="22" t="s">
        <v>326</v>
      </c>
      <c r="F43" s="22" t="s">
        <v>326</v>
      </c>
      <c r="G43" s="22">
        <v>1</v>
      </c>
      <c r="H43" s="22" t="s">
        <v>326</v>
      </c>
      <c r="I43" s="22" t="s">
        <v>326</v>
      </c>
      <c r="J43" s="23">
        <f t="shared" si="1"/>
        <v>100</v>
      </c>
    </row>
    <row r="44" spans="1:10" ht="21" customHeight="1" x14ac:dyDescent="0.15">
      <c r="A44" s="128">
        <v>49013043</v>
      </c>
      <c r="B44" s="22">
        <v>0</v>
      </c>
      <c r="C44" s="22">
        <v>99</v>
      </c>
      <c r="D44" s="22">
        <v>33</v>
      </c>
      <c r="E44" s="22" t="s">
        <v>326</v>
      </c>
      <c r="F44" s="22" t="s">
        <v>326</v>
      </c>
      <c r="G44" s="22" t="s">
        <v>326</v>
      </c>
      <c r="H44" s="22" t="s">
        <v>326</v>
      </c>
      <c r="I44" s="22" t="s">
        <v>326</v>
      </c>
      <c r="J44" s="23">
        <f t="shared" si="1"/>
        <v>33</v>
      </c>
    </row>
    <row r="45" spans="1:10" ht="21" customHeight="1" x14ac:dyDescent="0.15">
      <c r="A45" s="128">
        <v>49013044</v>
      </c>
      <c r="B45" s="22">
        <v>0</v>
      </c>
      <c r="C45" s="22">
        <v>50</v>
      </c>
      <c r="D45" s="22">
        <v>50</v>
      </c>
      <c r="E45" s="22" t="s">
        <v>326</v>
      </c>
      <c r="F45" s="22" t="s">
        <v>326</v>
      </c>
      <c r="G45" s="22" t="s">
        <v>326</v>
      </c>
      <c r="H45" s="22" t="s">
        <v>326</v>
      </c>
      <c r="I45" s="22" t="s">
        <v>326</v>
      </c>
      <c r="J45" s="23">
        <f t="shared" si="1"/>
        <v>50</v>
      </c>
    </row>
    <row r="46" spans="1:10" ht="21" customHeight="1" x14ac:dyDescent="0.15">
      <c r="A46" s="128">
        <v>49013045</v>
      </c>
      <c r="B46" s="22">
        <v>0</v>
      </c>
      <c r="C46" s="22">
        <v>25</v>
      </c>
      <c r="D46" s="22">
        <v>100</v>
      </c>
      <c r="E46" s="22" t="s">
        <v>326</v>
      </c>
      <c r="F46" s="22" t="s">
        <v>326</v>
      </c>
      <c r="G46" s="22" t="s">
        <v>326</v>
      </c>
      <c r="H46" s="22" t="s">
        <v>326</v>
      </c>
      <c r="I46" s="22" t="s">
        <v>326</v>
      </c>
      <c r="J46" s="23">
        <f t="shared" si="1"/>
        <v>100</v>
      </c>
    </row>
    <row r="47" spans="1:10" ht="21" customHeight="1" x14ac:dyDescent="0.15">
      <c r="A47" s="128">
        <v>49013046</v>
      </c>
      <c r="B47" s="22">
        <v>1</v>
      </c>
      <c r="C47" s="22">
        <v>100</v>
      </c>
      <c r="D47" s="22">
        <v>100</v>
      </c>
      <c r="E47" s="22" t="s">
        <v>326</v>
      </c>
      <c r="F47" s="22" t="s">
        <v>326</v>
      </c>
      <c r="G47" s="22">
        <v>1</v>
      </c>
      <c r="H47" s="22" t="s">
        <v>326</v>
      </c>
      <c r="I47" s="22" t="s">
        <v>326</v>
      </c>
      <c r="J47" s="23">
        <f t="shared" si="1"/>
        <v>100</v>
      </c>
    </row>
    <row r="48" spans="1:10" ht="21" customHeight="1" x14ac:dyDescent="0.15">
      <c r="A48" s="128">
        <v>49013047</v>
      </c>
      <c r="B48" s="22">
        <v>0</v>
      </c>
      <c r="C48" s="22">
        <v>99</v>
      </c>
      <c r="D48" s="22">
        <v>33</v>
      </c>
      <c r="E48" s="22" t="s">
        <v>326</v>
      </c>
      <c r="F48" s="22" t="s">
        <v>326</v>
      </c>
      <c r="G48" s="22" t="s">
        <v>326</v>
      </c>
      <c r="H48" s="22" t="s">
        <v>326</v>
      </c>
      <c r="I48" s="22" t="s">
        <v>326</v>
      </c>
      <c r="J48" s="23">
        <f t="shared" si="1"/>
        <v>33</v>
      </c>
    </row>
    <row r="49" spans="1:10" ht="21" customHeight="1" x14ac:dyDescent="0.15">
      <c r="A49" s="128">
        <v>49013048</v>
      </c>
      <c r="B49" s="22">
        <v>0</v>
      </c>
      <c r="C49" s="22">
        <v>50</v>
      </c>
      <c r="D49" s="22">
        <v>50</v>
      </c>
      <c r="E49" s="22" t="s">
        <v>326</v>
      </c>
      <c r="F49" s="22" t="s">
        <v>326</v>
      </c>
      <c r="G49" s="22" t="s">
        <v>326</v>
      </c>
      <c r="H49" s="22" t="s">
        <v>326</v>
      </c>
      <c r="I49" s="22" t="s">
        <v>326</v>
      </c>
      <c r="J49" s="23">
        <f t="shared" si="1"/>
        <v>50</v>
      </c>
    </row>
    <row r="50" spans="1:10" ht="21" customHeight="1" x14ac:dyDescent="0.15">
      <c r="A50" s="128">
        <v>49013049</v>
      </c>
      <c r="B50" s="22">
        <v>0</v>
      </c>
      <c r="C50" s="22">
        <v>25</v>
      </c>
      <c r="D50" s="22">
        <v>100</v>
      </c>
      <c r="E50" s="22" t="s">
        <v>326</v>
      </c>
      <c r="F50" s="22" t="s">
        <v>326</v>
      </c>
      <c r="G50" s="22" t="s">
        <v>326</v>
      </c>
      <c r="H50" s="22" t="s">
        <v>326</v>
      </c>
      <c r="I50" s="22" t="s">
        <v>326</v>
      </c>
      <c r="J50" s="23">
        <f t="shared" si="1"/>
        <v>100</v>
      </c>
    </row>
    <row r="51" spans="1:10" ht="21" customHeight="1" x14ac:dyDescent="0.15">
      <c r="A51" s="127">
        <v>49013050</v>
      </c>
      <c r="B51" s="22">
        <v>1</v>
      </c>
      <c r="C51" s="22">
        <v>130</v>
      </c>
      <c r="D51" s="22">
        <v>100</v>
      </c>
      <c r="E51" s="22" t="s">
        <v>326</v>
      </c>
      <c r="F51" s="22" t="s">
        <v>326</v>
      </c>
      <c r="G51" s="22">
        <v>1</v>
      </c>
      <c r="H51" s="22" t="s">
        <v>326</v>
      </c>
      <c r="I51" s="22">
        <v>716</v>
      </c>
      <c r="J51" s="23">
        <v>120</v>
      </c>
    </row>
    <row r="52" spans="1:10" ht="21" customHeight="1" x14ac:dyDescent="0.15">
      <c r="A52" s="127">
        <v>49013051</v>
      </c>
      <c r="B52" s="128">
        <v>1</v>
      </c>
      <c r="C52" s="128">
        <v>130</v>
      </c>
      <c r="D52" s="128">
        <v>100</v>
      </c>
      <c r="E52" s="128" t="s">
        <v>326</v>
      </c>
      <c r="F52" s="128" t="s">
        <v>326</v>
      </c>
      <c r="G52" s="128">
        <v>1</v>
      </c>
      <c r="H52" s="128" t="s">
        <v>326</v>
      </c>
      <c r="I52" s="128">
        <v>717</v>
      </c>
      <c r="J52" s="23">
        <v>120</v>
      </c>
    </row>
    <row r="53" spans="1:10" ht="21" customHeight="1" x14ac:dyDescent="0.15">
      <c r="A53" s="127">
        <v>49013052</v>
      </c>
      <c r="B53" s="128">
        <v>1</v>
      </c>
      <c r="C53" s="128">
        <v>98</v>
      </c>
      <c r="D53" s="128">
        <v>100</v>
      </c>
      <c r="E53" s="128" t="s">
        <v>326</v>
      </c>
      <c r="F53" s="128" t="s">
        <v>326</v>
      </c>
      <c r="G53" s="128">
        <v>1</v>
      </c>
      <c r="H53" s="128" t="s">
        <v>326</v>
      </c>
      <c r="I53" s="128">
        <v>718</v>
      </c>
      <c r="J53" s="23">
        <f>D53</f>
        <v>100</v>
      </c>
    </row>
    <row r="54" spans="1:10" ht="21" customHeight="1" x14ac:dyDescent="0.15">
      <c r="A54" s="127">
        <v>49013053</v>
      </c>
      <c r="B54" s="128">
        <v>1</v>
      </c>
      <c r="C54" s="128">
        <v>98</v>
      </c>
      <c r="D54" s="128">
        <v>100</v>
      </c>
      <c r="E54" s="128" t="s">
        <v>326</v>
      </c>
      <c r="F54" s="128" t="s">
        <v>326</v>
      </c>
      <c r="G54" s="128">
        <v>1</v>
      </c>
      <c r="H54" s="128" t="s">
        <v>326</v>
      </c>
      <c r="I54" s="128">
        <v>719</v>
      </c>
      <c r="J54" s="23">
        <f>D54</f>
        <v>100</v>
      </c>
    </row>
    <row r="55" spans="1:10" ht="21" customHeight="1" x14ac:dyDescent="0.15">
      <c r="A55" s="127">
        <v>49013054</v>
      </c>
      <c r="B55" s="128">
        <v>1</v>
      </c>
      <c r="C55" s="128">
        <v>97</v>
      </c>
      <c r="D55" s="128">
        <v>100</v>
      </c>
      <c r="E55" s="128" t="s">
        <v>326</v>
      </c>
      <c r="F55" s="128" t="s">
        <v>326</v>
      </c>
      <c r="G55" s="128">
        <v>1</v>
      </c>
      <c r="H55" s="128" t="s">
        <v>326</v>
      </c>
      <c r="I55" s="22">
        <v>693</v>
      </c>
      <c r="J55" s="23">
        <f>D55</f>
        <v>100</v>
      </c>
    </row>
    <row r="56" spans="1:10" ht="21" customHeight="1" x14ac:dyDescent="0.15">
      <c r="A56" s="127">
        <v>49013055</v>
      </c>
      <c r="B56" s="128">
        <v>1</v>
      </c>
      <c r="C56" s="128">
        <v>97</v>
      </c>
      <c r="D56" s="128">
        <v>100</v>
      </c>
      <c r="E56" s="128" t="s">
        <v>326</v>
      </c>
      <c r="F56" s="128" t="s">
        <v>326</v>
      </c>
      <c r="G56" s="128">
        <v>1</v>
      </c>
      <c r="H56" s="128" t="s">
        <v>326</v>
      </c>
      <c r="I56" s="128">
        <v>694</v>
      </c>
      <c r="J56" s="23">
        <f>D56</f>
        <v>100</v>
      </c>
    </row>
    <row r="57" spans="1:10" ht="21" customHeight="1" x14ac:dyDescent="0.15">
      <c r="A57" s="127">
        <v>49013056</v>
      </c>
      <c r="B57" s="128">
        <v>1</v>
      </c>
      <c r="C57" s="128">
        <v>96</v>
      </c>
      <c r="D57" s="128">
        <v>100</v>
      </c>
      <c r="E57" s="128" t="s">
        <v>326</v>
      </c>
      <c r="F57" s="128" t="s">
        <v>326</v>
      </c>
      <c r="G57" s="128">
        <v>1</v>
      </c>
      <c r="H57" s="128" t="s">
        <v>326</v>
      </c>
      <c r="I57" s="128">
        <v>691</v>
      </c>
      <c r="J57" s="23">
        <f>D57</f>
        <v>100</v>
      </c>
    </row>
    <row r="58" spans="1:10" ht="21" customHeight="1" x14ac:dyDescent="0.15">
      <c r="A58" s="127">
        <v>49013057</v>
      </c>
      <c r="B58" s="128">
        <v>1</v>
      </c>
      <c r="C58" s="128">
        <v>96</v>
      </c>
      <c r="D58" s="128">
        <v>100</v>
      </c>
      <c r="E58" s="128" t="s">
        <v>326</v>
      </c>
      <c r="F58" s="128" t="s">
        <v>326</v>
      </c>
      <c r="G58" s="128">
        <v>1</v>
      </c>
      <c r="H58" s="128" t="s">
        <v>326</v>
      </c>
      <c r="I58" s="128">
        <v>692</v>
      </c>
      <c r="J58" s="23">
        <f t="shared" ref="J58" si="3">D58</f>
        <v>100</v>
      </c>
    </row>
    <row r="59" spans="1:10" ht="21" customHeight="1" x14ac:dyDescent="0.15">
      <c r="A59" s="127">
        <v>49013058</v>
      </c>
      <c r="B59" s="128">
        <v>1</v>
      </c>
      <c r="C59" s="128">
        <v>95</v>
      </c>
      <c r="D59" s="128">
        <v>100</v>
      </c>
      <c r="E59" s="128" t="s">
        <v>326</v>
      </c>
      <c r="F59" s="128" t="s">
        <v>326</v>
      </c>
      <c r="G59" s="128">
        <v>1</v>
      </c>
      <c r="H59" s="128" t="s">
        <v>326</v>
      </c>
      <c r="I59" s="128">
        <v>700</v>
      </c>
      <c r="J59" s="23">
        <f t="shared" ref="J59:J72" si="4">D59</f>
        <v>100</v>
      </c>
    </row>
    <row r="60" spans="1:10" ht="21" customHeight="1" x14ac:dyDescent="0.15">
      <c r="A60" s="127">
        <v>49013059</v>
      </c>
      <c r="B60" s="128">
        <v>1</v>
      </c>
      <c r="C60" s="128">
        <v>94</v>
      </c>
      <c r="D60" s="128">
        <v>100</v>
      </c>
      <c r="E60" s="128" t="s">
        <v>326</v>
      </c>
      <c r="F60" s="128" t="s">
        <v>326</v>
      </c>
      <c r="G60" s="128">
        <v>1</v>
      </c>
      <c r="H60" s="128" t="s">
        <v>326</v>
      </c>
      <c r="I60" s="128">
        <v>701</v>
      </c>
      <c r="J60" s="23">
        <f t="shared" si="4"/>
        <v>100</v>
      </c>
    </row>
    <row r="61" spans="1:10" ht="21" customHeight="1" x14ac:dyDescent="0.15">
      <c r="A61" s="127">
        <v>49013060</v>
      </c>
      <c r="B61" s="128">
        <v>1</v>
      </c>
      <c r="C61" s="128">
        <v>93</v>
      </c>
      <c r="D61" s="128">
        <v>100</v>
      </c>
      <c r="E61" s="128" t="s">
        <v>326</v>
      </c>
      <c r="F61" s="128" t="s">
        <v>326</v>
      </c>
      <c r="G61" s="128">
        <v>1</v>
      </c>
      <c r="H61" s="128" t="s">
        <v>326</v>
      </c>
      <c r="I61" s="128">
        <v>698</v>
      </c>
      <c r="J61" s="23">
        <f t="shared" si="4"/>
        <v>100</v>
      </c>
    </row>
    <row r="62" spans="1:10" ht="21" customHeight="1" x14ac:dyDescent="0.15">
      <c r="A62" s="127">
        <v>49013061</v>
      </c>
      <c r="B62" s="128">
        <v>1</v>
      </c>
      <c r="C62" s="128">
        <v>92</v>
      </c>
      <c r="D62" s="128">
        <v>100</v>
      </c>
      <c r="E62" s="128" t="s">
        <v>326</v>
      </c>
      <c r="F62" s="128" t="s">
        <v>326</v>
      </c>
      <c r="G62" s="128">
        <v>1</v>
      </c>
      <c r="H62" s="128" t="s">
        <v>326</v>
      </c>
      <c r="I62" s="128">
        <v>699</v>
      </c>
      <c r="J62" s="23">
        <f t="shared" si="4"/>
        <v>100</v>
      </c>
    </row>
    <row r="63" spans="1:10" ht="21" customHeight="1" x14ac:dyDescent="0.15">
      <c r="A63" s="127">
        <v>49013062</v>
      </c>
      <c r="B63" s="128">
        <v>1</v>
      </c>
      <c r="C63" s="128">
        <v>91</v>
      </c>
      <c r="D63" s="128">
        <v>100</v>
      </c>
      <c r="E63" s="128" t="s">
        <v>326</v>
      </c>
      <c r="F63" s="128" t="s">
        <v>326</v>
      </c>
      <c r="G63" s="128">
        <v>1</v>
      </c>
      <c r="H63" s="128" t="s">
        <v>326</v>
      </c>
      <c r="I63" s="22">
        <v>704</v>
      </c>
      <c r="J63" s="23">
        <f t="shared" si="4"/>
        <v>100</v>
      </c>
    </row>
    <row r="64" spans="1:10" ht="21" customHeight="1" x14ac:dyDescent="0.15">
      <c r="A64" s="127">
        <v>49013063</v>
      </c>
      <c r="B64" s="128">
        <v>1</v>
      </c>
      <c r="C64" s="128">
        <v>91</v>
      </c>
      <c r="D64" s="128">
        <v>100</v>
      </c>
      <c r="E64" s="128" t="s">
        <v>326</v>
      </c>
      <c r="F64" s="128" t="s">
        <v>326</v>
      </c>
      <c r="G64" s="128">
        <v>1</v>
      </c>
      <c r="H64" s="128" t="s">
        <v>326</v>
      </c>
      <c r="I64" s="128">
        <v>705</v>
      </c>
      <c r="J64" s="23">
        <f t="shared" si="4"/>
        <v>100</v>
      </c>
    </row>
    <row r="65" spans="1:10" ht="21" customHeight="1" x14ac:dyDescent="0.15">
      <c r="A65" s="127">
        <v>49013064</v>
      </c>
      <c r="B65" s="128">
        <v>1</v>
      </c>
      <c r="C65" s="128">
        <v>90</v>
      </c>
      <c r="D65" s="128">
        <v>100</v>
      </c>
      <c r="E65" s="128" t="s">
        <v>326</v>
      </c>
      <c r="F65" s="128" t="s">
        <v>326</v>
      </c>
      <c r="G65" s="128">
        <v>1</v>
      </c>
      <c r="H65" s="128" t="s">
        <v>326</v>
      </c>
      <c r="I65" s="128">
        <v>714</v>
      </c>
      <c r="J65" s="23">
        <f t="shared" si="4"/>
        <v>100</v>
      </c>
    </row>
    <row r="66" spans="1:10" ht="21" customHeight="1" x14ac:dyDescent="0.15">
      <c r="A66" s="127">
        <v>49013065</v>
      </c>
      <c r="B66" s="128">
        <v>1</v>
      </c>
      <c r="C66" s="128">
        <v>90</v>
      </c>
      <c r="D66" s="128">
        <v>100</v>
      </c>
      <c r="E66" s="128" t="s">
        <v>326</v>
      </c>
      <c r="F66" s="128" t="s">
        <v>326</v>
      </c>
      <c r="G66" s="128">
        <v>1</v>
      </c>
      <c r="H66" s="128" t="s">
        <v>326</v>
      </c>
      <c r="I66" s="128">
        <v>715</v>
      </c>
      <c r="J66" s="23">
        <f t="shared" si="4"/>
        <v>100</v>
      </c>
    </row>
    <row r="67" spans="1:10" ht="21" customHeight="1" x14ac:dyDescent="0.15">
      <c r="A67" s="127">
        <v>49013066</v>
      </c>
      <c r="B67" s="128">
        <v>1</v>
      </c>
      <c r="C67" s="128">
        <v>89</v>
      </c>
      <c r="D67" s="128">
        <v>100</v>
      </c>
      <c r="E67" s="128" t="s">
        <v>326</v>
      </c>
      <c r="F67" s="128" t="s">
        <v>326</v>
      </c>
      <c r="G67" s="128">
        <v>1</v>
      </c>
      <c r="H67" s="128" t="s">
        <v>326</v>
      </c>
      <c r="I67" s="22">
        <v>708</v>
      </c>
      <c r="J67" s="23">
        <f t="shared" si="4"/>
        <v>100</v>
      </c>
    </row>
    <row r="68" spans="1:10" ht="21" customHeight="1" x14ac:dyDescent="0.15">
      <c r="A68" s="127">
        <v>49013067</v>
      </c>
      <c r="B68" s="128">
        <v>1</v>
      </c>
      <c r="C68" s="128">
        <v>89</v>
      </c>
      <c r="D68" s="128">
        <v>100</v>
      </c>
      <c r="E68" s="128" t="s">
        <v>326</v>
      </c>
      <c r="F68" s="128" t="s">
        <v>326</v>
      </c>
      <c r="G68" s="128">
        <v>1</v>
      </c>
      <c r="H68" s="128" t="s">
        <v>326</v>
      </c>
      <c r="I68" s="128">
        <v>709</v>
      </c>
      <c r="J68" s="23">
        <f t="shared" si="4"/>
        <v>100</v>
      </c>
    </row>
    <row r="69" spans="1:10" ht="21" customHeight="1" x14ac:dyDescent="0.15">
      <c r="A69" s="127">
        <v>49013068</v>
      </c>
      <c r="B69" s="128">
        <v>1</v>
      </c>
      <c r="C69" s="128">
        <v>87</v>
      </c>
      <c r="D69" s="128">
        <v>100</v>
      </c>
      <c r="E69" s="128" t="s">
        <v>326</v>
      </c>
      <c r="F69" s="128" t="s">
        <v>326</v>
      </c>
      <c r="G69" s="128">
        <v>1</v>
      </c>
      <c r="H69" s="128" t="s">
        <v>326</v>
      </c>
      <c r="I69" s="128">
        <v>710</v>
      </c>
      <c r="J69" s="23">
        <f t="shared" si="4"/>
        <v>100</v>
      </c>
    </row>
    <row r="70" spans="1:10" ht="21" customHeight="1" x14ac:dyDescent="0.15">
      <c r="A70" s="127">
        <v>49013069</v>
      </c>
      <c r="B70" s="128">
        <v>1</v>
      </c>
      <c r="C70" s="128">
        <v>87</v>
      </c>
      <c r="D70" s="128">
        <v>100</v>
      </c>
      <c r="E70" s="128" t="s">
        <v>326</v>
      </c>
      <c r="F70" s="128" t="s">
        <v>326</v>
      </c>
      <c r="G70" s="128">
        <v>1</v>
      </c>
      <c r="H70" s="128" t="s">
        <v>326</v>
      </c>
      <c r="I70" s="128">
        <v>711</v>
      </c>
      <c r="J70" s="23">
        <f t="shared" si="4"/>
        <v>100</v>
      </c>
    </row>
    <row r="71" spans="1:10" ht="21" customHeight="1" x14ac:dyDescent="0.15">
      <c r="A71" s="127">
        <v>49013070</v>
      </c>
      <c r="B71" s="128">
        <v>1</v>
      </c>
      <c r="C71" s="128">
        <v>86</v>
      </c>
      <c r="D71" s="128">
        <v>100</v>
      </c>
      <c r="E71" s="128" t="s">
        <v>326</v>
      </c>
      <c r="F71" s="128" t="s">
        <v>326</v>
      </c>
      <c r="G71" s="128">
        <v>1</v>
      </c>
      <c r="H71" s="128" t="s">
        <v>326</v>
      </c>
      <c r="I71" s="128">
        <v>712</v>
      </c>
      <c r="J71" s="23">
        <f t="shared" si="4"/>
        <v>100</v>
      </c>
    </row>
    <row r="72" spans="1:10" ht="21" customHeight="1" x14ac:dyDescent="0.15">
      <c r="A72" s="127">
        <v>49013071</v>
      </c>
      <c r="B72" s="128">
        <v>1</v>
      </c>
      <c r="C72" s="128">
        <v>85</v>
      </c>
      <c r="D72" s="128">
        <v>100</v>
      </c>
      <c r="E72" s="128" t="s">
        <v>326</v>
      </c>
      <c r="F72" s="128" t="s">
        <v>326</v>
      </c>
      <c r="G72" s="128">
        <v>1</v>
      </c>
      <c r="H72" s="128" t="s">
        <v>326</v>
      </c>
      <c r="I72" s="128">
        <v>713</v>
      </c>
      <c r="J72" s="23">
        <f t="shared" si="4"/>
        <v>100</v>
      </c>
    </row>
    <row r="73" spans="1:10" ht="21" customHeight="1" x14ac:dyDescent="0.15">
      <c r="A73" s="128">
        <v>49013072</v>
      </c>
      <c r="B73" s="22">
        <v>1</v>
      </c>
      <c r="C73" s="22">
        <v>80</v>
      </c>
      <c r="D73" s="22">
        <v>100</v>
      </c>
      <c r="E73" s="22" t="s">
        <v>326</v>
      </c>
      <c r="F73" s="22" t="s">
        <v>326</v>
      </c>
      <c r="G73" s="22">
        <v>1</v>
      </c>
      <c r="H73" s="22" t="s">
        <v>326</v>
      </c>
      <c r="I73" s="22" t="s">
        <v>326</v>
      </c>
      <c r="J73" s="23">
        <f t="shared" si="1"/>
        <v>100</v>
      </c>
    </row>
    <row r="74" spans="1:10" ht="21" customHeight="1" x14ac:dyDescent="0.15">
      <c r="A74" s="128">
        <v>49013073</v>
      </c>
      <c r="B74" s="22">
        <v>0</v>
      </c>
      <c r="C74" s="22">
        <v>80</v>
      </c>
      <c r="D74" s="22">
        <v>25</v>
      </c>
      <c r="E74" s="22" t="s">
        <v>53</v>
      </c>
      <c r="F74" s="22" t="s">
        <v>53</v>
      </c>
      <c r="G74" s="22" t="s">
        <v>53</v>
      </c>
      <c r="H74" s="22" t="s">
        <v>53</v>
      </c>
      <c r="I74" s="22" t="s">
        <v>53</v>
      </c>
      <c r="J74" s="23">
        <f>D74</f>
        <v>25</v>
      </c>
    </row>
    <row r="75" spans="1:10" ht="21" customHeight="1" x14ac:dyDescent="0.15">
      <c r="A75" s="128">
        <v>49013074</v>
      </c>
      <c r="B75" s="22">
        <v>0</v>
      </c>
      <c r="C75" s="22">
        <v>70</v>
      </c>
      <c r="D75" s="22">
        <v>33</v>
      </c>
      <c r="E75" s="22" t="s">
        <v>53</v>
      </c>
      <c r="F75" s="22" t="s">
        <v>53</v>
      </c>
      <c r="G75" s="22" t="s">
        <v>53</v>
      </c>
      <c r="H75" s="22" t="s">
        <v>53</v>
      </c>
      <c r="I75" s="22" t="s">
        <v>53</v>
      </c>
      <c r="J75" s="23">
        <f>D75</f>
        <v>33</v>
      </c>
    </row>
    <row r="76" spans="1:10" ht="21" customHeight="1" x14ac:dyDescent="0.15">
      <c r="A76" s="128">
        <v>49013075</v>
      </c>
      <c r="B76" s="22">
        <v>0</v>
      </c>
      <c r="C76" s="22">
        <v>60</v>
      </c>
      <c r="D76" s="22">
        <v>50</v>
      </c>
      <c r="E76" s="22" t="s">
        <v>53</v>
      </c>
      <c r="F76" s="22" t="s">
        <v>53</v>
      </c>
      <c r="G76" s="22" t="s">
        <v>53</v>
      </c>
      <c r="H76" s="22" t="s">
        <v>53</v>
      </c>
      <c r="I76" s="22" t="s">
        <v>53</v>
      </c>
      <c r="J76" s="23">
        <f>D76</f>
        <v>50</v>
      </c>
    </row>
    <row r="77" spans="1:10" ht="21" customHeight="1" x14ac:dyDescent="0.15">
      <c r="A77" s="128">
        <v>49013076</v>
      </c>
      <c r="B77" s="22">
        <v>0</v>
      </c>
      <c r="C77" s="22">
        <v>50</v>
      </c>
      <c r="D77" s="22">
        <v>100</v>
      </c>
      <c r="E77" s="22" t="s">
        <v>53</v>
      </c>
      <c r="F77" s="22" t="s">
        <v>53</v>
      </c>
      <c r="G77" s="22" t="s">
        <v>53</v>
      </c>
      <c r="H77" s="22" t="s">
        <v>53</v>
      </c>
      <c r="I77" s="22" t="s">
        <v>53</v>
      </c>
      <c r="J77" s="23">
        <f t="shared" si="1"/>
        <v>100</v>
      </c>
    </row>
    <row r="78" spans="1:10" ht="21" customHeight="1" x14ac:dyDescent="0.15">
      <c r="A78" s="128">
        <v>49013077</v>
      </c>
      <c r="B78" s="22">
        <v>0</v>
      </c>
      <c r="C78" s="22">
        <v>150</v>
      </c>
      <c r="D78" s="22">
        <v>25</v>
      </c>
      <c r="E78" s="22" t="s">
        <v>53</v>
      </c>
      <c r="F78" s="22" t="s">
        <v>53</v>
      </c>
      <c r="G78" s="22">
        <v>2</v>
      </c>
      <c r="H78" s="22" t="s">
        <v>53</v>
      </c>
      <c r="I78" s="22" t="s">
        <v>53</v>
      </c>
      <c r="J78" s="23">
        <f t="shared" si="1"/>
        <v>25</v>
      </c>
    </row>
    <row r="79" spans="1:10" ht="21" customHeight="1" x14ac:dyDescent="0.15">
      <c r="A79" s="128">
        <v>49013078</v>
      </c>
      <c r="B79" s="22">
        <v>1</v>
      </c>
      <c r="C79" s="22">
        <v>100</v>
      </c>
      <c r="D79" s="22">
        <v>100</v>
      </c>
      <c r="E79" s="22" t="s">
        <v>326</v>
      </c>
      <c r="F79" s="22" t="s">
        <v>326</v>
      </c>
      <c r="G79" s="22">
        <v>1</v>
      </c>
      <c r="H79" s="22" t="s">
        <v>326</v>
      </c>
      <c r="I79" s="22" t="s">
        <v>326</v>
      </c>
      <c r="J79" s="23">
        <f t="shared" si="1"/>
        <v>100</v>
      </c>
    </row>
    <row r="80" spans="1:10" ht="21" customHeight="1" x14ac:dyDescent="0.15">
      <c r="A80" s="128">
        <v>49013079</v>
      </c>
      <c r="B80" s="22">
        <v>0</v>
      </c>
      <c r="C80" s="22">
        <v>50</v>
      </c>
      <c r="D80" s="22">
        <v>50</v>
      </c>
      <c r="E80" s="22" t="s">
        <v>326</v>
      </c>
      <c r="F80" s="22" t="s">
        <v>326</v>
      </c>
      <c r="G80" s="22" t="s">
        <v>326</v>
      </c>
      <c r="H80" s="22" t="s">
        <v>326</v>
      </c>
      <c r="I80" s="22" t="s">
        <v>326</v>
      </c>
      <c r="J80" s="23">
        <f t="shared" si="1"/>
        <v>50</v>
      </c>
    </row>
    <row r="81" spans="1:10" ht="21" customHeight="1" x14ac:dyDescent="0.15">
      <c r="A81" s="128">
        <v>49013080</v>
      </c>
      <c r="B81" s="22">
        <v>0</v>
      </c>
      <c r="C81" s="22">
        <v>25</v>
      </c>
      <c r="D81" s="22">
        <v>100</v>
      </c>
      <c r="E81" s="22" t="s">
        <v>326</v>
      </c>
      <c r="F81" s="22" t="s">
        <v>326</v>
      </c>
      <c r="G81" s="22" t="s">
        <v>326</v>
      </c>
      <c r="H81" s="22" t="s">
        <v>326</v>
      </c>
      <c r="I81" s="22" t="s">
        <v>326</v>
      </c>
      <c r="J81" s="23">
        <f t="shared" si="1"/>
        <v>100</v>
      </c>
    </row>
    <row r="82" spans="1:10" ht="21" customHeight="1" x14ac:dyDescent="0.15">
      <c r="A82" s="128">
        <v>49013081</v>
      </c>
      <c r="B82" s="22">
        <v>0</v>
      </c>
      <c r="C82" s="22">
        <v>150</v>
      </c>
      <c r="D82" s="22">
        <v>100</v>
      </c>
      <c r="E82" s="22">
        <v>50</v>
      </c>
      <c r="F82" s="22" t="s">
        <v>326</v>
      </c>
      <c r="G82" s="22">
        <v>1</v>
      </c>
      <c r="H82" s="22" t="s">
        <v>326</v>
      </c>
      <c r="I82" s="22" t="s">
        <v>326</v>
      </c>
      <c r="J82" s="23">
        <f t="shared" si="1"/>
        <v>100</v>
      </c>
    </row>
    <row r="83" spans="1:10" ht="21" customHeight="1" x14ac:dyDescent="0.15">
      <c r="A83" s="128">
        <v>49013082</v>
      </c>
      <c r="B83" s="128">
        <v>0</v>
      </c>
      <c r="C83" s="128">
        <v>120</v>
      </c>
      <c r="D83" s="128">
        <v>100</v>
      </c>
      <c r="E83" s="128">
        <v>50</v>
      </c>
      <c r="F83" s="128" t="s">
        <v>326</v>
      </c>
      <c r="G83" s="128">
        <v>1</v>
      </c>
      <c r="H83" s="128" t="s">
        <v>326</v>
      </c>
      <c r="I83" s="128" t="s">
        <v>326</v>
      </c>
      <c r="J83" s="23">
        <f t="shared" si="1"/>
        <v>100</v>
      </c>
    </row>
    <row r="84" spans="1:10" ht="21" customHeight="1" x14ac:dyDescent="0.15">
      <c r="A84" s="127">
        <v>49013083</v>
      </c>
      <c r="B84" s="22">
        <v>1</v>
      </c>
      <c r="C84" s="22">
        <v>130</v>
      </c>
      <c r="D84" s="22">
        <v>100</v>
      </c>
      <c r="E84" s="22" t="s">
        <v>326</v>
      </c>
      <c r="F84" s="22" t="s">
        <v>326</v>
      </c>
      <c r="G84" s="22">
        <v>1</v>
      </c>
      <c r="H84" s="22" t="s">
        <v>326</v>
      </c>
      <c r="I84" s="22">
        <v>716</v>
      </c>
      <c r="J84" s="23">
        <v>120</v>
      </c>
    </row>
    <row r="85" spans="1:10" ht="21" customHeight="1" x14ac:dyDescent="0.15">
      <c r="A85" s="127">
        <v>49013084</v>
      </c>
      <c r="B85" s="128">
        <v>1</v>
      </c>
      <c r="C85" s="128">
        <v>130</v>
      </c>
      <c r="D85" s="128">
        <v>100</v>
      </c>
      <c r="E85" s="128" t="s">
        <v>326</v>
      </c>
      <c r="F85" s="128" t="s">
        <v>326</v>
      </c>
      <c r="G85" s="128">
        <v>1</v>
      </c>
      <c r="H85" s="128" t="s">
        <v>326</v>
      </c>
      <c r="I85" s="128">
        <v>717</v>
      </c>
      <c r="J85" s="23">
        <v>120</v>
      </c>
    </row>
    <row r="86" spans="1:10" ht="21" customHeight="1" x14ac:dyDescent="0.15">
      <c r="A86" s="127">
        <v>49013085</v>
      </c>
      <c r="B86" s="128">
        <v>1</v>
      </c>
      <c r="C86" s="22">
        <v>99</v>
      </c>
      <c r="D86" s="128">
        <v>100</v>
      </c>
      <c r="E86" s="128" t="s">
        <v>326</v>
      </c>
      <c r="F86" s="128" t="s">
        <v>326</v>
      </c>
      <c r="G86" s="128">
        <v>1</v>
      </c>
      <c r="H86" s="128" t="s">
        <v>326</v>
      </c>
      <c r="I86" s="22">
        <v>712</v>
      </c>
      <c r="J86" s="23">
        <f t="shared" ref="J86:J106" si="5">D86</f>
        <v>100</v>
      </c>
    </row>
    <row r="87" spans="1:10" ht="21" customHeight="1" x14ac:dyDescent="0.15">
      <c r="A87" s="127">
        <v>49013086</v>
      </c>
      <c r="B87" s="128">
        <v>1</v>
      </c>
      <c r="C87" s="22">
        <v>99</v>
      </c>
      <c r="D87" s="128">
        <v>100</v>
      </c>
      <c r="E87" s="128" t="s">
        <v>326</v>
      </c>
      <c r="F87" s="128" t="s">
        <v>326</v>
      </c>
      <c r="G87" s="128">
        <v>1</v>
      </c>
      <c r="H87" s="128" t="s">
        <v>326</v>
      </c>
      <c r="I87" s="22">
        <v>713</v>
      </c>
      <c r="J87" s="23">
        <f t="shared" si="5"/>
        <v>100</v>
      </c>
    </row>
    <row r="88" spans="1:10" ht="21" customHeight="1" x14ac:dyDescent="0.15">
      <c r="A88" s="127">
        <v>49013087</v>
      </c>
      <c r="B88" s="128">
        <v>1</v>
      </c>
      <c r="C88" s="22">
        <v>98</v>
      </c>
      <c r="D88" s="128">
        <v>100</v>
      </c>
      <c r="E88" s="128" t="s">
        <v>326</v>
      </c>
      <c r="F88" s="128" t="s">
        <v>326</v>
      </c>
      <c r="G88" s="128">
        <v>1</v>
      </c>
      <c r="H88" s="128" t="s">
        <v>326</v>
      </c>
      <c r="I88" s="22">
        <v>695</v>
      </c>
      <c r="J88" s="23">
        <f t="shared" si="5"/>
        <v>100</v>
      </c>
    </row>
    <row r="89" spans="1:10" ht="21" customHeight="1" x14ac:dyDescent="0.15">
      <c r="A89" s="127">
        <v>49013088</v>
      </c>
      <c r="B89" s="128">
        <v>1</v>
      </c>
      <c r="C89" s="22">
        <v>98</v>
      </c>
      <c r="D89" s="128">
        <v>100</v>
      </c>
      <c r="E89" s="128" t="s">
        <v>326</v>
      </c>
      <c r="F89" s="128" t="s">
        <v>326</v>
      </c>
      <c r="G89" s="128">
        <v>1</v>
      </c>
      <c r="H89" s="128" t="s">
        <v>326</v>
      </c>
      <c r="I89" s="128">
        <v>696</v>
      </c>
      <c r="J89" s="23">
        <f t="shared" si="5"/>
        <v>100</v>
      </c>
    </row>
    <row r="90" spans="1:10" ht="21" customHeight="1" x14ac:dyDescent="0.15">
      <c r="A90" s="127">
        <v>49013089</v>
      </c>
      <c r="B90" s="128">
        <v>1</v>
      </c>
      <c r="C90" s="22">
        <v>98</v>
      </c>
      <c r="D90" s="128">
        <v>100</v>
      </c>
      <c r="E90" s="128" t="s">
        <v>326</v>
      </c>
      <c r="F90" s="128" t="s">
        <v>326</v>
      </c>
      <c r="G90" s="128">
        <v>1</v>
      </c>
      <c r="H90" s="128" t="s">
        <v>326</v>
      </c>
      <c r="I90" s="22">
        <v>697</v>
      </c>
      <c r="J90" s="23">
        <f t="shared" si="5"/>
        <v>100</v>
      </c>
    </row>
    <row r="91" spans="1:10" ht="21" customHeight="1" x14ac:dyDescent="0.15">
      <c r="A91" s="127">
        <v>49013090</v>
      </c>
      <c r="B91" s="128">
        <v>1</v>
      </c>
      <c r="C91" s="22">
        <v>97</v>
      </c>
      <c r="D91" s="128">
        <v>100</v>
      </c>
      <c r="E91" s="128" t="s">
        <v>326</v>
      </c>
      <c r="F91" s="128" t="s">
        <v>326</v>
      </c>
      <c r="G91" s="128">
        <v>1</v>
      </c>
      <c r="H91" s="128" t="s">
        <v>326</v>
      </c>
      <c r="I91" s="22">
        <v>693</v>
      </c>
      <c r="J91" s="23">
        <f t="shared" si="5"/>
        <v>100</v>
      </c>
    </row>
    <row r="92" spans="1:10" ht="21" customHeight="1" x14ac:dyDescent="0.15">
      <c r="A92" s="127">
        <v>49013091</v>
      </c>
      <c r="B92" s="128">
        <v>1</v>
      </c>
      <c r="C92" s="22">
        <v>97</v>
      </c>
      <c r="D92" s="128">
        <v>100</v>
      </c>
      <c r="E92" s="128" t="s">
        <v>326</v>
      </c>
      <c r="F92" s="128" t="s">
        <v>326</v>
      </c>
      <c r="G92" s="128">
        <v>1</v>
      </c>
      <c r="H92" s="128" t="s">
        <v>326</v>
      </c>
      <c r="I92" s="22">
        <v>694</v>
      </c>
      <c r="J92" s="23">
        <f t="shared" si="5"/>
        <v>100</v>
      </c>
    </row>
    <row r="93" spans="1:10" ht="21" customHeight="1" x14ac:dyDescent="0.15">
      <c r="A93" s="127">
        <v>49013092</v>
      </c>
      <c r="B93" s="128">
        <v>1</v>
      </c>
      <c r="C93" s="22">
        <v>96</v>
      </c>
      <c r="D93" s="128">
        <v>100</v>
      </c>
      <c r="E93" s="128" t="s">
        <v>326</v>
      </c>
      <c r="F93" s="128" t="s">
        <v>326</v>
      </c>
      <c r="G93" s="128">
        <v>1</v>
      </c>
      <c r="H93" s="128" t="s">
        <v>326</v>
      </c>
      <c r="I93" s="128">
        <v>691</v>
      </c>
      <c r="J93" s="23">
        <f t="shared" si="5"/>
        <v>100</v>
      </c>
    </row>
    <row r="94" spans="1:10" ht="21" customHeight="1" x14ac:dyDescent="0.15">
      <c r="A94" s="127">
        <v>49013093</v>
      </c>
      <c r="B94" s="128">
        <v>1</v>
      </c>
      <c r="C94" s="22">
        <v>96</v>
      </c>
      <c r="D94" s="128">
        <v>100</v>
      </c>
      <c r="E94" s="128" t="s">
        <v>326</v>
      </c>
      <c r="F94" s="128" t="s">
        <v>326</v>
      </c>
      <c r="G94" s="128">
        <v>1</v>
      </c>
      <c r="H94" s="128" t="s">
        <v>326</v>
      </c>
      <c r="I94" s="22">
        <v>692</v>
      </c>
      <c r="J94" s="23">
        <f t="shared" si="5"/>
        <v>100</v>
      </c>
    </row>
    <row r="95" spans="1:10" ht="21" customHeight="1" x14ac:dyDescent="0.15">
      <c r="A95" s="127">
        <v>49013094</v>
      </c>
      <c r="B95" s="128">
        <v>1</v>
      </c>
      <c r="C95" s="22">
        <v>95</v>
      </c>
      <c r="D95" s="128">
        <v>100</v>
      </c>
      <c r="E95" s="128" t="s">
        <v>326</v>
      </c>
      <c r="F95" s="128" t="s">
        <v>326</v>
      </c>
      <c r="G95" s="128">
        <v>1</v>
      </c>
      <c r="H95" s="128" t="s">
        <v>326</v>
      </c>
      <c r="I95" s="22">
        <v>698</v>
      </c>
      <c r="J95" s="23">
        <f t="shared" si="5"/>
        <v>100</v>
      </c>
    </row>
    <row r="96" spans="1:10" ht="21" customHeight="1" x14ac:dyDescent="0.15">
      <c r="A96" s="127">
        <v>49013095</v>
      </c>
      <c r="B96" s="128">
        <v>1</v>
      </c>
      <c r="C96" s="22">
        <v>94</v>
      </c>
      <c r="D96" s="128">
        <v>100</v>
      </c>
      <c r="E96" s="128" t="s">
        <v>326</v>
      </c>
      <c r="F96" s="128" t="s">
        <v>326</v>
      </c>
      <c r="G96" s="128">
        <v>1</v>
      </c>
      <c r="H96" s="128" t="s">
        <v>326</v>
      </c>
      <c r="I96" s="22">
        <v>699</v>
      </c>
      <c r="J96" s="23">
        <f t="shared" si="5"/>
        <v>100</v>
      </c>
    </row>
    <row r="97" spans="1:10" ht="21" customHeight="1" x14ac:dyDescent="0.15">
      <c r="A97" s="127">
        <v>49013096</v>
      </c>
      <c r="B97" s="128">
        <v>1</v>
      </c>
      <c r="C97" s="22">
        <v>93</v>
      </c>
      <c r="D97" s="128">
        <v>100</v>
      </c>
      <c r="E97" s="128" t="s">
        <v>326</v>
      </c>
      <c r="F97" s="128" t="s">
        <v>326</v>
      </c>
      <c r="G97" s="128">
        <v>1</v>
      </c>
      <c r="H97" s="128" t="s">
        <v>326</v>
      </c>
      <c r="I97" s="22">
        <v>702</v>
      </c>
      <c r="J97" s="23">
        <f t="shared" si="5"/>
        <v>100</v>
      </c>
    </row>
    <row r="98" spans="1:10" ht="21" customHeight="1" x14ac:dyDescent="0.15">
      <c r="A98" s="127">
        <v>49013097</v>
      </c>
      <c r="B98" s="128">
        <v>1</v>
      </c>
      <c r="C98" s="22">
        <v>93</v>
      </c>
      <c r="D98" s="128">
        <v>100</v>
      </c>
      <c r="E98" s="128" t="s">
        <v>326</v>
      </c>
      <c r="F98" s="128" t="s">
        <v>326</v>
      </c>
      <c r="G98" s="128">
        <v>1</v>
      </c>
      <c r="H98" s="128" t="s">
        <v>326</v>
      </c>
      <c r="I98" s="22">
        <v>703</v>
      </c>
      <c r="J98" s="23">
        <f t="shared" si="5"/>
        <v>100</v>
      </c>
    </row>
    <row r="99" spans="1:10" ht="21" customHeight="1" x14ac:dyDescent="0.15">
      <c r="A99" s="127">
        <v>49013098</v>
      </c>
      <c r="B99" s="128">
        <v>1</v>
      </c>
      <c r="C99" s="22">
        <v>92</v>
      </c>
      <c r="D99" s="128">
        <v>100</v>
      </c>
      <c r="E99" s="128" t="s">
        <v>326</v>
      </c>
      <c r="F99" s="128" t="s">
        <v>326</v>
      </c>
      <c r="G99" s="128">
        <v>1</v>
      </c>
      <c r="H99" s="128" t="s">
        <v>326</v>
      </c>
      <c r="I99" s="128">
        <v>706</v>
      </c>
      <c r="J99" s="23">
        <f t="shared" si="5"/>
        <v>100</v>
      </c>
    </row>
    <row r="100" spans="1:10" ht="21" customHeight="1" x14ac:dyDescent="0.15">
      <c r="A100" s="127">
        <v>49013099</v>
      </c>
      <c r="B100" s="128">
        <v>1</v>
      </c>
      <c r="C100" s="22">
        <v>92</v>
      </c>
      <c r="D100" s="128">
        <v>100</v>
      </c>
      <c r="E100" s="128" t="s">
        <v>326</v>
      </c>
      <c r="F100" s="128" t="s">
        <v>326</v>
      </c>
      <c r="G100" s="128">
        <v>1</v>
      </c>
      <c r="H100" s="128" t="s">
        <v>326</v>
      </c>
      <c r="I100" s="22">
        <v>707</v>
      </c>
      <c r="J100" s="23">
        <f t="shared" si="5"/>
        <v>100</v>
      </c>
    </row>
    <row r="101" spans="1:10" ht="21" customHeight="1" x14ac:dyDescent="0.15">
      <c r="A101" s="127">
        <v>49013100</v>
      </c>
      <c r="B101" s="128">
        <v>1</v>
      </c>
      <c r="C101" s="22">
        <v>91</v>
      </c>
      <c r="D101" s="128">
        <v>100</v>
      </c>
      <c r="E101" s="128" t="s">
        <v>326</v>
      </c>
      <c r="F101" s="128" t="s">
        <v>326</v>
      </c>
      <c r="G101" s="128">
        <v>1</v>
      </c>
      <c r="H101" s="128" t="s">
        <v>326</v>
      </c>
      <c r="I101" s="22">
        <v>708</v>
      </c>
      <c r="J101" s="23">
        <f t="shared" si="5"/>
        <v>100</v>
      </c>
    </row>
    <row r="102" spans="1:10" ht="21" customHeight="1" x14ac:dyDescent="0.15">
      <c r="A102" s="127">
        <v>49013101</v>
      </c>
      <c r="B102" s="128">
        <v>1</v>
      </c>
      <c r="C102" s="22">
        <v>91</v>
      </c>
      <c r="D102" s="128">
        <v>100</v>
      </c>
      <c r="E102" s="128" t="s">
        <v>326</v>
      </c>
      <c r="F102" s="128" t="s">
        <v>326</v>
      </c>
      <c r="G102" s="128">
        <v>1</v>
      </c>
      <c r="H102" s="128" t="s">
        <v>326</v>
      </c>
      <c r="I102" s="22">
        <v>709</v>
      </c>
      <c r="J102" s="23">
        <f t="shared" si="5"/>
        <v>100</v>
      </c>
    </row>
    <row r="103" spans="1:10" ht="21" customHeight="1" x14ac:dyDescent="0.15">
      <c r="A103" s="127">
        <v>49013102</v>
      </c>
      <c r="B103" s="128">
        <v>1</v>
      </c>
      <c r="C103" s="22">
        <v>90</v>
      </c>
      <c r="D103" s="128">
        <v>100</v>
      </c>
      <c r="E103" s="128" t="s">
        <v>326</v>
      </c>
      <c r="F103" s="128" t="s">
        <v>326</v>
      </c>
      <c r="G103" s="128">
        <v>1</v>
      </c>
      <c r="H103" s="128" t="s">
        <v>326</v>
      </c>
      <c r="I103" s="22">
        <v>719</v>
      </c>
      <c r="J103" s="23">
        <f t="shared" si="5"/>
        <v>100</v>
      </c>
    </row>
    <row r="104" spans="1:10" ht="21" customHeight="1" x14ac:dyDescent="0.15">
      <c r="A104" s="127">
        <v>49013103</v>
      </c>
      <c r="B104" s="128">
        <v>1</v>
      </c>
      <c r="C104" s="22">
        <v>90</v>
      </c>
      <c r="D104" s="128">
        <v>100</v>
      </c>
      <c r="E104" s="128" t="s">
        <v>326</v>
      </c>
      <c r="F104" s="128" t="s">
        <v>326</v>
      </c>
      <c r="G104" s="128">
        <v>1</v>
      </c>
      <c r="H104" s="128" t="s">
        <v>326</v>
      </c>
      <c r="I104" s="22">
        <v>718</v>
      </c>
      <c r="J104" s="23">
        <f t="shared" si="5"/>
        <v>100</v>
      </c>
    </row>
    <row r="105" spans="1:10" ht="21" customHeight="1" x14ac:dyDescent="0.15">
      <c r="A105" s="127">
        <v>49013104</v>
      </c>
      <c r="B105" s="128">
        <v>1</v>
      </c>
      <c r="C105" s="22">
        <v>89</v>
      </c>
      <c r="D105" s="128">
        <v>100</v>
      </c>
      <c r="E105" s="128" t="s">
        <v>326</v>
      </c>
      <c r="F105" s="128" t="s">
        <v>326</v>
      </c>
      <c r="G105" s="128">
        <v>1</v>
      </c>
      <c r="H105" s="128" t="s">
        <v>326</v>
      </c>
      <c r="I105" s="22">
        <v>700</v>
      </c>
      <c r="J105" s="23">
        <f t="shared" si="5"/>
        <v>100</v>
      </c>
    </row>
    <row r="106" spans="1:10" ht="21" customHeight="1" x14ac:dyDescent="0.15">
      <c r="A106" s="127">
        <v>49013105</v>
      </c>
      <c r="B106" s="128">
        <v>1</v>
      </c>
      <c r="C106" s="22">
        <v>88</v>
      </c>
      <c r="D106" s="128">
        <v>100</v>
      </c>
      <c r="E106" s="128" t="s">
        <v>326</v>
      </c>
      <c r="F106" s="128" t="s">
        <v>326</v>
      </c>
      <c r="G106" s="128">
        <v>1</v>
      </c>
      <c r="H106" s="128" t="s">
        <v>326</v>
      </c>
      <c r="I106" s="22">
        <v>701</v>
      </c>
      <c r="J106" s="23">
        <f t="shared" si="5"/>
        <v>100</v>
      </c>
    </row>
    <row r="107" spans="1:10" ht="21" customHeight="1" x14ac:dyDescent="0.15">
      <c r="A107" s="128">
        <v>49013106</v>
      </c>
      <c r="B107" s="128">
        <v>1</v>
      </c>
      <c r="C107" s="128">
        <v>80</v>
      </c>
      <c r="D107" s="128">
        <v>100</v>
      </c>
      <c r="E107" s="128" t="s">
        <v>326</v>
      </c>
      <c r="F107" s="128" t="s">
        <v>326</v>
      </c>
      <c r="G107" s="128">
        <v>1</v>
      </c>
      <c r="H107" s="128" t="s">
        <v>326</v>
      </c>
      <c r="I107" s="128" t="s">
        <v>326</v>
      </c>
      <c r="J107" s="23">
        <f t="shared" si="1"/>
        <v>100</v>
      </c>
    </row>
    <row r="108" spans="1:10" ht="21" customHeight="1" x14ac:dyDescent="0.15">
      <c r="A108" s="128">
        <v>49013107</v>
      </c>
      <c r="B108" s="22">
        <v>0</v>
      </c>
      <c r="C108" s="22">
        <v>60</v>
      </c>
      <c r="D108" s="22">
        <v>100</v>
      </c>
      <c r="E108" s="22" t="s">
        <v>326</v>
      </c>
      <c r="F108" s="22" t="s">
        <v>326</v>
      </c>
      <c r="G108" s="22" t="s">
        <v>326</v>
      </c>
      <c r="H108" s="22" t="s">
        <v>326</v>
      </c>
      <c r="I108" s="22" t="s">
        <v>326</v>
      </c>
      <c r="J108" s="23">
        <f t="shared" si="1"/>
        <v>100</v>
      </c>
    </row>
    <row r="109" spans="1:10" ht="21" customHeight="1" x14ac:dyDescent="0.15">
      <c r="A109" s="128">
        <v>49013108</v>
      </c>
      <c r="B109" s="22">
        <v>0</v>
      </c>
      <c r="C109" s="22">
        <v>70</v>
      </c>
      <c r="D109" s="22">
        <v>50</v>
      </c>
      <c r="E109" s="22" t="s">
        <v>326</v>
      </c>
      <c r="F109" s="22" t="s">
        <v>326</v>
      </c>
      <c r="G109" s="22" t="s">
        <v>326</v>
      </c>
      <c r="H109" s="22" t="s">
        <v>326</v>
      </c>
      <c r="I109" s="22" t="s">
        <v>326</v>
      </c>
      <c r="J109" s="23">
        <f t="shared" si="1"/>
        <v>50</v>
      </c>
    </row>
    <row r="110" spans="1:10" ht="21" customHeight="1" x14ac:dyDescent="0.15">
      <c r="A110" s="128">
        <v>49013109</v>
      </c>
      <c r="B110" s="128">
        <v>0</v>
      </c>
      <c r="C110" s="128">
        <v>80</v>
      </c>
      <c r="D110" s="128">
        <v>33</v>
      </c>
      <c r="E110" s="128" t="s">
        <v>326</v>
      </c>
      <c r="F110" s="128" t="s">
        <v>326</v>
      </c>
      <c r="G110" s="128" t="s">
        <v>326</v>
      </c>
      <c r="H110" s="128" t="s">
        <v>326</v>
      </c>
      <c r="I110" s="128" t="s">
        <v>326</v>
      </c>
      <c r="J110" s="23">
        <f t="shared" si="1"/>
        <v>33</v>
      </c>
    </row>
    <row r="111" spans="1:10" ht="21" customHeight="1" x14ac:dyDescent="0.15">
      <c r="A111" s="128">
        <v>49013110</v>
      </c>
      <c r="B111" s="22">
        <v>0</v>
      </c>
      <c r="C111" s="22">
        <v>90</v>
      </c>
      <c r="D111" s="22">
        <v>25</v>
      </c>
      <c r="E111" s="22" t="s">
        <v>326</v>
      </c>
      <c r="F111" s="22" t="s">
        <v>326</v>
      </c>
      <c r="G111" s="22" t="s">
        <v>326</v>
      </c>
      <c r="H111" s="22" t="s">
        <v>326</v>
      </c>
      <c r="I111" s="22" t="s">
        <v>326</v>
      </c>
      <c r="J111" s="23">
        <f t="shared" si="1"/>
        <v>25</v>
      </c>
    </row>
    <row r="112" spans="1:10" ht="21" customHeight="1" x14ac:dyDescent="0.15">
      <c r="A112" s="127">
        <v>49013111</v>
      </c>
      <c r="B112" s="22">
        <v>1</v>
      </c>
      <c r="C112" s="22">
        <v>130</v>
      </c>
      <c r="D112" s="22">
        <v>100</v>
      </c>
      <c r="E112" s="22" t="s">
        <v>326</v>
      </c>
      <c r="F112" s="22" t="s">
        <v>326</v>
      </c>
      <c r="G112" s="22">
        <v>1</v>
      </c>
      <c r="H112" s="22" t="s">
        <v>326</v>
      </c>
      <c r="I112" s="22">
        <v>716</v>
      </c>
      <c r="J112" s="23">
        <v>120</v>
      </c>
    </row>
    <row r="113" spans="1:10" ht="21" customHeight="1" x14ac:dyDescent="0.15">
      <c r="A113" s="127">
        <v>49013112</v>
      </c>
      <c r="B113" s="128">
        <v>1</v>
      </c>
      <c r="C113" s="128">
        <v>130</v>
      </c>
      <c r="D113" s="128">
        <v>100</v>
      </c>
      <c r="E113" s="128" t="s">
        <v>326</v>
      </c>
      <c r="F113" s="128" t="s">
        <v>326</v>
      </c>
      <c r="G113" s="128">
        <v>1</v>
      </c>
      <c r="H113" s="128" t="s">
        <v>326</v>
      </c>
      <c r="I113" s="128">
        <v>717</v>
      </c>
      <c r="J113" s="23">
        <v>120</v>
      </c>
    </row>
    <row r="114" spans="1:10" ht="21" customHeight="1" x14ac:dyDescent="0.15">
      <c r="A114" s="128">
        <v>49013113</v>
      </c>
      <c r="B114" s="22">
        <v>1</v>
      </c>
      <c r="C114" s="22">
        <v>99</v>
      </c>
      <c r="D114" s="22">
        <v>100</v>
      </c>
      <c r="E114" s="22" t="s">
        <v>326</v>
      </c>
      <c r="F114" s="22" t="s">
        <v>326</v>
      </c>
      <c r="G114" s="22">
        <v>1</v>
      </c>
      <c r="H114" s="22" t="s">
        <v>326</v>
      </c>
      <c r="I114" s="22" t="s">
        <v>326</v>
      </c>
      <c r="J114" s="23">
        <f t="shared" si="1"/>
        <v>100</v>
      </c>
    </row>
    <row r="115" spans="1:10" ht="21" customHeight="1" x14ac:dyDescent="0.15">
      <c r="A115" s="128">
        <v>49013114</v>
      </c>
      <c r="B115" s="22">
        <v>0</v>
      </c>
      <c r="C115" s="22">
        <v>60</v>
      </c>
      <c r="D115" s="22">
        <v>100</v>
      </c>
      <c r="E115" s="22" t="s">
        <v>326</v>
      </c>
      <c r="F115" s="22" t="s">
        <v>326</v>
      </c>
      <c r="G115" s="22" t="s">
        <v>326</v>
      </c>
      <c r="H115" s="22" t="s">
        <v>326</v>
      </c>
      <c r="I115" s="22" t="s">
        <v>326</v>
      </c>
      <c r="J115" s="23">
        <f t="shared" si="1"/>
        <v>100</v>
      </c>
    </row>
    <row r="116" spans="1:10" ht="21" customHeight="1" x14ac:dyDescent="0.15">
      <c r="A116" s="128">
        <v>49013115</v>
      </c>
      <c r="B116" s="22">
        <v>0</v>
      </c>
      <c r="C116" s="22">
        <v>70</v>
      </c>
      <c r="D116" s="22">
        <v>50</v>
      </c>
      <c r="E116" s="22" t="s">
        <v>326</v>
      </c>
      <c r="F116" s="22" t="s">
        <v>326</v>
      </c>
      <c r="G116" s="22" t="s">
        <v>326</v>
      </c>
      <c r="H116" s="22" t="s">
        <v>326</v>
      </c>
      <c r="I116" s="22" t="s">
        <v>326</v>
      </c>
      <c r="J116" s="23">
        <f t="shared" si="1"/>
        <v>50</v>
      </c>
    </row>
    <row r="117" spans="1:10" ht="21" customHeight="1" x14ac:dyDescent="0.15">
      <c r="A117" s="128">
        <v>49013116</v>
      </c>
      <c r="B117" s="128">
        <v>0</v>
      </c>
      <c r="C117" s="128">
        <v>80</v>
      </c>
      <c r="D117" s="128">
        <v>33</v>
      </c>
      <c r="E117" s="128" t="s">
        <v>326</v>
      </c>
      <c r="F117" s="128" t="s">
        <v>326</v>
      </c>
      <c r="G117" s="128" t="s">
        <v>326</v>
      </c>
      <c r="H117" s="128" t="s">
        <v>326</v>
      </c>
      <c r="I117" s="128" t="s">
        <v>326</v>
      </c>
      <c r="J117" s="23">
        <f t="shared" si="1"/>
        <v>33</v>
      </c>
    </row>
    <row r="118" spans="1:10" ht="21" customHeight="1" x14ac:dyDescent="0.15">
      <c r="A118" s="128">
        <v>49013117</v>
      </c>
      <c r="B118" s="22">
        <v>0</v>
      </c>
      <c r="C118" s="22">
        <v>90</v>
      </c>
      <c r="D118" s="22">
        <v>25</v>
      </c>
      <c r="E118" s="22" t="s">
        <v>326</v>
      </c>
      <c r="F118" s="22" t="s">
        <v>326</v>
      </c>
      <c r="G118" s="22" t="s">
        <v>326</v>
      </c>
      <c r="H118" s="22" t="s">
        <v>326</v>
      </c>
      <c r="I118" s="22" t="s">
        <v>326</v>
      </c>
      <c r="J118" s="23">
        <f t="shared" si="1"/>
        <v>25</v>
      </c>
    </row>
    <row r="119" spans="1:10" ht="21" customHeight="1" x14ac:dyDescent="0.15">
      <c r="A119" s="128">
        <v>49013118</v>
      </c>
      <c r="B119" s="22">
        <v>0</v>
      </c>
      <c r="C119" s="22">
        <v>120</v>
      </c>
      <c r="D119" s="22">
        <v>100</v>
      </c>
      <c r="E119" s="22">
        <v>30</v>
      </c>
      <c r="F119" s="22" t="s">
        <v>326</v>
      </c>
      <c r="G119" s="22">
        <v>1</v>
      </c>
      <c r="H119" s="22">
        <v>1</v>
      </c>
      <c r="I119" s="22" t="s">
        <v>326</v>
      </c>
      <c r="J119" s="23">
        <f t="shared" si="1"/>
        <v>100</v>
      </c>
    </row>
    <row r="120" spans="1:10" ht="21" customHeight="1" x14ac:dyDescent="0.15">
      <c r="A120" s="127">
        <v>49013119</v>
      </c>
      <c r="B120" s="22">
        <v>1</v>
      </c>
      <c r="C120" s="22">
        <v>130</v>
      </c>
      <c r="D120" s="22">
        <v>100</v>
      </c>
      <c r="E120" s="22" t="s">
        <v>326</v>
      </c>
      <c r="F120" s="22" t="s">
        <v>326</v>
      </c>
      <c r="G120" s="22">
        <v>1</v>
      </c>
      <c r="H120" s="22" t="s">
        <v>326</v>
      </c>
      <c r="I120" s="22">
        <v>716</v>
      </c>
      <c r="J120" s="23">
        <v>120</v>
      </c>
    </row>
    <row r="121" spans="1:10" ht="21" customHeight="1" x14ac:dyDescent="0.15">
      <c r="A121" s="127">
        <v>49013120</v>
      </c>
      <c r="B121" s="128">
        <v>1</v>
      </c>
      <c r="C121" s="128">
        <v>130</v>
      </c>
      <c r="D121" s="128">
        <v>100</v>
      </c>
      <c r="E121" s="128" t="s">
        <v>326</v>
      </c>
      <c r="F121" s="128" t="s">
        <v>326</v>
      </c>
      <c r="G121" s="128">
        <v>1</v>
      </c>
      <c r="H121" s="128" t="s">
        <v>326</v>
      </c>
      <c r="I121" s="128">
        <v>717</v>
      </c>
      <c r="J121" s="23">
        <v>120</v>
      </c>
    </row>
    <row r="122" spans="1:10" ht="21" customHeight="1" x14ac:dyDescent="0.15">
      <c r="A122" s="128">
        <v>49013121</v>
      </c>
      <c r="B122" s="22">
        <v>1</v>
      </c>
      <c r="C122" s="22">
        <v>100</v>
      </c>
      <c r="D122" s="22">
        <v>100</v>
      </c>
      <c r="E122" s="22" t="s">
        <v>326</v>
      </c>
      <c r="F122" s="22" t="s">
        <v>326</v>
      </c>
      <c r="G122" s="22">
        <v>1</v>
      </c>
      <c r="H122" s="22" t="s">
        <v>326</v>
      </c>
      <c r="I122" s="22" t="s">
        <v>326</v>
      </c>
      <c r="J122" s="23">
        <f t="shared" si="1"/>
        <v>100</v>
      </c>
    </row>
    <row r="123" spans="1:10" ht="21" customHeight="1" x14ac:dyDescent="0.15">
      <c r="A123" s="128">
        <v>49013122</v>
      </c>
      <c r="B123" s="22">
        <v>0</v>
      </c>
      <c r="C123" s="22">
        <v>50</v>
      </c>
      <c r="D123" s="22">
        <v>100</v>
      </c>
      <c r="E123" s="22" t="s">
        <v>326</v>
      </c>
      <c r="F123" s="22" t="s">
        <v>326</v>
      </c>
      <c r="G123" s="22" t="s">
        <v>326</v>
      </c>
      <c r="H123" s="22" t="s">
        <v>326</v>
      </c>
      <c r="I123" s="22" t="s">
        <v>326</v>
      </c>
      <c r="J123" s="23">
        <f t="shared" si="1"/>
        <v>100</v>
      </c>
    </row>
    <row r="124" spans="1:10" ht="21" customHeight="1" x14ac:dyDescent="0.15">
      <c r="A124" s="128">
        <v>49013123</v>
      </c>
      <c r="B124" s="22">
        <v>0</v>
      </c>
      <c r="C124" s="22">
        <v>60</v>
      </c>
      <c r="D124" s="22">
        <v>50</v>
      </c>
      <c r="E124" s="22" t="s">
        <v>326</v>
      </c>
      <c r="F124" s="22" t="s">
        <v>326</v>
      </c>
      <c r="G124" s="22" t="s">
        <v>326</v>
      </c>
      <c r="H124" s="22" t="s">
        <v>326</v>
      </c>
      <c r="I124" s="22" t="s">
        <v>326</v>
      </c>
      <c r="J124" s="23">
        <f t="shared" si="1"/>
        <v>50</v>
      </c>
    </row>
    <row r="125" spans="1:10" ht="21" customHeight="1" x14ac:dyDescent="0.15">
      <c r="A125" s="128">
        <v>49013124</v>
      </c>
      <c r="B125" s="128">
        <v>0</v>
      </c>
      <c r="C125" s="128">
        <v>70</v>
      </c>
      <c r="D125" s="128">
        <v>33</v>
      </c>
      <c r="E125" s="128" t="s">
        <v>326</v>
      </c>
      <c r="F125" s="128" t="s">
        <v>326</v>
      </c>
      <c r="G125" s="128" t="s">
        <v>326</v>
      </c>
      <c r="H125" s="128" t="s">
        <v>326</v>
      </c>
      <c r="I125" s="128" t="s">
        <v>326</v>
      </c>
      <c r="J125" s="23">
        <f t="shared" si="1"/>
        <v>33</v>
      </c>
    </row>
    <row r="126" spans="1:10" ht="21" customHeight="1" x14ac:dyDescent="0.15">
      <c r="A126" s="128">
        <v>49013125</v>
      </c>
      <c r="B126" s="22">
        <v>0</v>
      </c>
      <c r="C126" s="22">
        <v>80</v>
      </c>
      <c r="D126" s="22">
        <v>25</v>
      </c>
      <c r="E126" s="22" t="s">
        <v>326</v>
      </c>
      <c r="F126" s="22" t="s">
        <v>326</v>
      </c>
      <c r="G126" s="22" t="s">
        <v>326</v>
      </c>
      <c r="H126" s="22" t="s">
        <v>326</v>
      </c>
      <c r="I126" s="22" t="s">
        <v>326</v>
      </c>
      <c r="J126" s="23">
        <f t="shared" si="1"/>
        <v>25</v>
      </c>
    </row>
    <row r="127" spans="1:10" ht="21" customHeight="1" x14ac:dyDescent="0.15">
      <c r="A127" s="128">
        <v>49013126</v>
      </c>
      <c r="B127" s="22">
        <v>0</v>
      </c>
      <c r="C127" s="22">
        <v>90</v>
      </c>
      <c r="D127" s="22">
        <v>20</v>
      </c>
      <c r="E127" s="22" t="s">
        <v>326</v>
      </c>
      <c r="F127" s="22" t="s">
        <v>326</v>
      </c>
      <c r="G127" s="22">
        <v>5</v>
      </c>
      <c r="H127" s="22" t="s">
        <v>326</v>
      </c>
      <c r="I127" s="22" t="s">
        <v>326</v>
      </c>
      <c r="J127" s="23">
        <f t="shared" si="1"/>
        <v>20</v>
      </c>
    </row>
    <row r="128" spans="1:10" ht="21" customHeight="1" x14ac:dyDescent="0.15">
      <c r="A128" s="128">
        <v>49013127</v>
      </c>
      <c r="B128" s="22">
        <v>0</v>
      </c>
      <c r="C128" s="22">
        <v>120</v>
      </c>
      <c r="D128" s="22">
        <v>100</v>
      </c>
      <c r="E128" s="22">
        <v>30</v>
      </c>
      <c r="F128" s="22" t="s">
        <v>326</v>
      </c>
      <c r="G128" s="22">
        <v>1</v>
      </c>
      <c r="H128" s="22" t="s">
        <v>326</v>
      </c>
      <c r="I128" s="22" t="s">
        <v>326</v>
      </c>
      <c r="J128" s="23">
        <f t="shared" si="1"/>
        <v>100</v>
      </c>
    </row>
    <row r="129" spans="1:10" ht="21" customHeight="1" x14ac:dyDescent="0.15">
      <c r="A129" s="127">
        <v>49013128</v>
      </c>
      <c r="B129" s="128">
        <v>0</v>
      </c>
      <c r="C129" s="22">
        <v>130</v>
      </c>
      <c r="D129" s="22">
        <v>100</v>
      </c>
      <c r="E129" s="22" t="s">
        <v>326</v>
      </c>
      <c r="F129" s="22" t="s">
        <v>326</v>
      </c>
      <c r="G129" s="22">
        <v>0</v>
      </c>
      <c r="H129" s="22" t="s">
        <v>326</v>
      </c>
      <c r="I129" s="22">
        <v>716</v>
      </c>
      <c r="J129" s="23">
        <v>120</v>
      </c>
    </row>
    <row r="130" spans="1:10" ht="21" customHeight="1" x14ac:dyDescent="0.15">
      <c r="A130" s="127">
        <v>49013129</v>
      </c>
      <c r="B130" s="128">
        <v>0</v>
      </c>
      <c r="C130" s="128">
        <v>130</v>
      </c>
      <c r="D130" s="128">
        <v>100</v>
      </c>
      <c r="E130" s="128" t="s">
        <v>326</v>
      </c>
      <c r="F130" s="128" t="s">
        <v>326</v>
      </c>
      <c r="G130" s="128">
        <v>0</v>
      </c>
      <c r="H130" s="128" t="s">
        <v>326</v>
      </c>
      <c r="I130" s="128">
        <v>717</v>
      </c>
      <c r="J130" s="23">
        <v>120</v>
      </c>
    </row>
    <row r="131" spans="1:10" ht="21" customHeight="1" x14ac:dyDescent="0.15">
      <c r="A131" s="128">
        <v>49013130</v>
      </c>
      <c r="B131" s="22">
        <v>0</v>
      </c>
      <c r="C131" s="22">
        <v>120</v>
      </c>
      <c r="D131" s="22">
        <v>100</v>
      </c>
      <c r="E131" s="22" t="s">
        <v>53</v>
      </c>
      <c r="F131" s="22" t="s">
        <v>326</v>
      </c>
      <c r="G131" s="22">
        <v>0</v>
      </c>
      <c r="H131" s="22" t="s">
        <v>326</v>
      </c>
      <c r="I131" s="22">
        <v>0</v>
      </c>
      <c r="J131" s="23">
        <f>D131</f>
        <v>100</v>
      </c>
    </row>
  </sheetData>
  <autoFilter ref="A1:G1"/>
  <phoneticPr fontId="5"/>
  <conditionalFormatting sqref="K1:K25 K28:K31 K33:K50 K53:K83 K86:K111 K114:K119 K122:K1048576">
    <cfRule type="duplicateValues" dxfId="6" priority="7"/>
  </conditionalFormatting>
  <conditionalFormatting sqref="K26:K27">
    <cfRule type="duplicateValues" dxfId="5" priority="6"/>
  </conditionalFormatting>
  <conditionalFormatting sqref="K32">
    <cfRule type="duplicateValues" dxfId="4" priority="5"/>
  </conditionalFormatting>
  <conditionalFormatting sqref="K51:K52">
    <cfRule type="duplicateValues" dxfId="3" priority="4"/>
  </conditionalFormatting>
  <conditionalFormatting sqref="K84:K85">
    <cfRule type="duplicateValues" dxfId="2" priority="3"/>
  </conditionalFormatting>
  <conditionalFormatting sqref="K112:K113">
    <cfRule type="duplicateValues" dxfId="1" priority="2"/>
  </conditionalFormatting>
  <conditionalFormatting sqref="K120:K12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31"/>
  <sheetViews>
    <sheetView showGridLines="0" workbookViewId="0">
      <pane xSplit="5" ySplit="1" topLeftCell="F117" activePane="bottomRight" state="frozen"/>
      <selection pane="topRight"/>
      <selection pane="bottomLeft"/>
      <selection pane="bottomRight" activeCell="C130" sqref="C130"/>
    </sheetView>
  </sheetViews>
  <sheetFormatPr baseColWidth="12" defaultColWidth="12.83203125" defaultRowHeight="21" customHeight="1" outlineLevelCol="1" x14ac:dyDescent="0.15"/>
  <cols>
    <col min="1" max="1" width="11.33203125" style="15" bestFit="1" customWidth="1"/>
    <col min="2" max="2" width="9.5" style="24" bestFit="1" customWidth="1"/>
    <col min="3" max="3" width="9.6640625" style="24" customWidth="1"/>
    <col min="4" max="4" width="18.5" style="24" customWidth="1" outlineLevel="1"/>
    <col min="5" max="5" width="44.1640625" style="24" bestFit="1" customWidth="1" outlineLevel="1"/>
    <col min="6" max="6" width="10.83203125" style="24" bestFit="1" customWidth="1"/>
    <col min="7" max="7" width="8.33203125" style="24" bestFit="1" customWidth="1" outlineLevel="1"/>
    <col min="8" max="9" width="12.83203125" style="24" outlineLevel="1"/>
    <col min="10" max="10" width="17.6640625" style="24" bestFit="1" customWidth="1" outlineLevel="1"/>
    <col min="11" max="15" width="12.83203125" style="24" outlineLevel="1"/>
    <col min="16" max="16" width="8.33203125" style="20" bestFit="1" customWidth="1"/>
    <col min="17" max="17" width="9.6640625" style="20" customWidth="1"/>
    <col min="18" max="18" width="56.5" style="20" bestFit="1" customWidth="1"/>
    <col min="19" max="16384" width="12.83203125" style="20"/>
  </cols>
  <sheetData>
    <row r="1" spans="1:18" ht="21" customHeight="1" x14ac:dyDescent="0.15">
      <c r="A1" s="15" t="s">
        <v>60</v>
      </c>
      <c r="B1" s="151" t="s">
        <v>61</v>
      </c>
      <c r="C1" s="151" t="s">
        <v>62</v>
      </c>
      <c r="D1" s="152" t="s">
        <v>63</v>
      </c>
      <c r="E1" s="152" t="s">
        <v>64</v>
      </c>
      <c r="F1" s="28" t="s">
        <v>65</v>
      </c>
      <c r="G1" s="19" t="s">
        <v>66</v>
      </c>
      <c r="H1" s="19" t="s">
        <v>68</v>
      </c>
      <c r="I1" s="19" t="s">
        <v>69</v>
      </c>
      <c r="J1" s="19" t="s">
        <v>70</v>
      </c>
      <c r="K1" s="19" t="s">
        <v>71</v>
      </c>
      <c r="L1" s="19" t="s">
        <v>72</v>
      </c>
      <c r="M1" s="19" t="s">
        <v>73</v>
      </c>
      <c r="N1" s="19" t="s">
        <v>74</v>
      </c>
      <c r="O1" s="19" t="s">
        <v>75</v>
      </c>
      <c r="P1" s="152" t="s">
        <v>76</v>
      </c>
      <c r="Q1" s="152" t="s">
        <v>77</v>
      </c>
      <c r="R1" s="152" t="s">
        <v>78</v>
      </c>
    </row>
    <row r="2" spans="1:18" ht="21" customHeight="1" x14ac:dyDescent="0.15">
      <c r="A2" s="153" t="str">
        <f t="shared" ref="A2:A83" si="0">B2&amp;"_"&amp;C2</f>
        <v>49013001_49013001</v>
      </c>
      <c r="B2" s="89">
        <v>49013001</v>
      </c>
      <c r="C2" s="89">
        <v>49013001</v>
      </c>
      <c r="D2" s="21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2" s="21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2" s="89">
        <v>49013001</v>
      </c>
      <c r="G2" s="23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23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" s="23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23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23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23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23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23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2" s="23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2" s="22"/>
      <c r="Q2" s="22"/>
      <c r="R2" s="22"/>
    </row>
    <row r="3" spans="1:18" ht="21" customHeight="1" x14ac:dyDescent="0.15">
      <c r="A3" s="153" t="str">
        <f t="shared" si="0"/>
        <v>49013001_49013001</v>
      </c>
      <c r="B3" s="89">
        <v>49013001</v>
      </c>
      <c r="C3" s="89">
        <v>49013001</v>
      </c>
      <c r="D3" s="21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3" s="21" t="str">
        <f ca="1">VLOOKUP($C3,OFFSET(enemy_skills!$A$1,0,0,COUNTA(enemy_skills!$A:$A),MATCH(E$1,enemy_skills!$1:$1,0)-MATCH("enemy_skill_id",enemy_skills!$1:$1,0)+1),MATCH(E$1,enemy_skills!$1:$1,0)-MATCH("enemy_skill_id",enemy_skills!$1:$1,0)+1,FALSE)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3" s="89">
        <v>49013002</v>
      </c>
      <c r="G3" s="23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23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" s="23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23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23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23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23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23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3" s="23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3" s="22"/>
      <c r="Q3" s="22"/>
      <c r="R3" s="22"/>
    </row>
    <row r="4" spans="1:18" ht="21" customHeight="1" x14ac:dyDescent="0.15">
      <c r="A4" s="153" t="str">
        <f t="shared" si="0"/>
        <v>49013001_49013002</v>
      </c>
      <c r="B4" s="89">
        <v>49013001</v>
      </c>
      <c r="C4" s="89">
        <v>49013002</v>
      </c>
      <c r="D4" s="21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4" s="21" t="str">
        <f ca="1">VLOOKUP($C4,OFFSET(enemy_skills!$A$1,0,0,COUNTA(enemy_skills!$A:$A),MATCH(E$1,enemy_skills!$1:$1,0)-MATCH("enemy_skill_id",enemy_skills!$1:$1,0)+1),MATCH(E$1,enemy_skills!$1:$1,0)-MATCH("enemy_skill_id",enemy_skills!$1:$1,0)+1,FALSE)</f>
        <v>『私とやり合おうというのか新羅・・・！？』</v>
      </c>
      <c r="F4" s="89">
        <v>49013003</v>
      </c>
      <c r="G4" s="23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23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" s="23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23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23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23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23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23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706</v>
      </c>
      <c r="O4" s="23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22"/>
      <c r="Q4" s="22"/>
      <c r="R4" s="22"/>
    </row>
    <row r="5" spans="1:18" ht="21" customHeight="1" x14ac:dyDescent="0.15">
      <c r="A5" s="153" t="str">
        <f t="shared" si="0"/>
        <v>49013001_49013002</v>
      </c>
      <c r="B5" s="89">
        <v>49013001</v>
      </c>
      <c r="C5" s="89">
        <v>49013002</v>
      </c>
      <c r="D5" s="21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5" s="21" t="str">
        <f ca="1">VLOOKUP($C5,OFFSET(enemy_skills!$A$1,0,0,COUNTA(enemy_skills!$A:$A),MATCH(E$1,enemy_skills!$1:$1,0)-MATCH("enemy_skill_id",enemy_skills!$1:$1,0)+1),MATCH(E$1,enemy_skills!$1:$1,0)-MATCH("enemy_skill_id",enemy_skills!$1:$1,0)+1,FALSE)</f>
        <v>『私とやり合おうというのか新羅・・・！？』</v>
      </c>
      <c r="F5" s="89">
        <v>49013004</v>
      </c>
      <c r="G5" s="23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23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" s="23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23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23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23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23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23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707</v>
      </c>
      <c r="O5" s="23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22"/>
      <c r="Q5" s="22"/>
      <c r="R5" s="22"/>
    </row>
    <row r="6" spans="1:18" ht="21" customHeight="1" x14ac:dyDescent="0.15">
      <c r="A6" s="153" t="str">
        <f t="shared" si="0"/>
        <v>49013001_49013003</v>
      </c>
      <c r="B6" s="89">
        <v>49013001</v>
      </c>
      <c r="C6" s="89">
        <v>49013003</v>
      </c>
      <c r="D6" s="21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6" s="21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『帝人君！？なぜこんな所に！？』</v>
      </c>
      <c r="F6" s="89">
        <v>49013005</v>
      </c>
      <c r="G6" s="23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23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" s="23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23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23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23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23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23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6" s="23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22"/>
      <c r="Q6" s="22"/>
      <c r="R6" s="22"/>
    </row>
    <row r="7" spans="1:18" ht="21" customHeight="1" x14ac:dyDescent="0.15">
      <c r="A7" s="153" t="str">
        <f t="shared" si="0"/>
        <v>49013001_49013003</v>
      </c>
      <c r="B7" s="89">
        <v>49013001</v>
      </c>
      <c r="C7" s="89">
        <v>49013003</v>
      </c>
      <c r="D7" s="21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7" s="21" t="str">
        <f ca="1">VLOOKUP($C7,OFFSET(enemy_skills!$A$1,0,0,COUNTA(enemy_skills!$A:$A),MATCH(E$1,enemy_skills!$1:$1,0)-MATCH("enemy_skill_id",enemy_skills!$1:$1,0)+1),MATCH(E$1,enemy_skills!$1:$1,0)-MATCH("enemy_skill_id",enemy_skills!$1:$1,0)+1,FALSE)</f>
        <v>『帝人君！？なぜこんな所に！？』</v>
      </c>
      <c r="F7" s="89">
        <v>49013006</v>
      </c>
      <c r="G7" s="23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23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" s="23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23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23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23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23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23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7" s="23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22"/>
      <c r="Q7" s="22"/>
      <c r="R7" s="22"/>
    </row>
    <row r="8" spans="1:18" ht="21" customHeight="1" x14ac:dyDescent="0.15">
      <c r="A8" s="153" t="str">
        <f t="shared" si="0"/>
        <v>49013001_49013004</v>
      </c>
      <c r="B8" s="89">
        <v>49013001</v>
      </c>
      <c r="C8" s="89">
        <v>49013004</v>
      </c>
      <c r="D8" s="21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8" s="21" t="str">
        <f ca="1">VLOOKUP($C8,OFFSET(enemy_skills!$A$1,0,0,COUNTA(enemy_skills!$A:$A),MATCH(E$1,enemy_skills!$1:$1,0)-MATCH("enemy_skill_id",enemy_skills!$1:$1,0)+1),MATCH(E$1,enemy_skills!$1:$1,0)-MATCH("enemy_skill_id",enemy_skills!$1:$1,0)+1,FALSE)</f>
        <v>『臨也、お前また何かするつもりか・・・！』</v>
      </c>
      <c r="F8" s="89">
        <v>49013007</v>
      </c>
      <c r="G8" s="23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23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8" s="23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23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23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23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23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23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8" s="23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22"/>
      <c r="Q8" s="22"/>
      <c r="R8" s="22"/>
    </row>
    <row r="9" spans="1:18" ht="21" customHeight="1" x14ac:dyDescent="0.15">
      <c r="A9" s="153" t="str">
        <f t="shared" si="0"/>
        <v>49013001_49013004</v>
      </c>
      <c r="B9" s="89">
        <v>49013001</v>
      </c>
      <c r="C9" s="89">
        <v>49013004</v>
      </c>
      <c r="D9" s="21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9" s="21" t="str">
        <f ca="1">VLOOKUP($C9,OFFSET(enemy_skills!$A$1,0,0,COUNTA(enemy_skills!$A:$A),MATCH(E$1,enemy_skills!$1:$1,0)-MATCH("enemy_skill_id",enemy_skills!$1:$1,0)+1),MATCH(E$1,enemy_skills!$1:$1,0)-MATCH("enemy_skill_id",enemy_skills!$1:$1,0)+1,FALSE)</f>
        <v>『臨也、お前また何かするつもりか・・・！』</v>
      </c>
      <c r="F9" s="89">
        <v>49013008</v>
      </c>
      <c r="G9" s="23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23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" s="23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23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23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23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23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23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9" s="23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22"/>
      <c r="Q9" s="22"/>
      <c r="R9" s="22"/>
    </row>
    <row r="10" spans="1:18" ht="21" customHeight="1" x14ac:dyDescent="0.15">
      <c r="A10" s="153" t="str">
        <f t="shared" si="0"/>
        <v>49013001_49013005</v>
      </c>
      <c r="B10" s="89">
        <v>49013001</v>
      </c>
      <c r="C10" s="89">
        <v>49013005</v>
      </c>
      <c r="D10" s="21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0" s="21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『杏里ちゃん！？なぜ・・・・・！？』</v>
      </c>
      <c r="F10" s="89">
        <v>49013009</v>
      </c>
      <c r="G10" s="23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23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0" s="23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23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23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23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23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23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10" s="23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22"/>
      <c r="Q10" s="22"/>
      <c r="R10" s="22"/>
    </row>
    <row r="11" spans="1:18" ht="21" customHeight="1" x14ac:dyDescent="0.15">
      <c r="A11" s="153" t="str">
        <f t="shared" si="0"/>
        <v>49013001_49013005</v>
      </c>
      <c r="B11" s="89">
        <v>49013001</v>
      </c>
      <c r="C11" s="89">
        <v>49013005</v>
      </c>
      <c r="D11" s="21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1" s="21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『杏里ちゃん！？なぜ・・・・・！？』</v>
      </c>
      <c r="F11" s="89">
        <v>49013010</v>
      </c>
      <c r="G11" s="23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23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1" s="23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23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23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23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23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23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11" s="23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22"/>
      <c r="Q11" s="22"/>
      <c r="R11" s="22"/>
    </row>
    <row r="12" spans="1:18" ht="21" customHeight="1" x14ac:dyDescent="0.15">
      <c r="A12" s="153" t="str">
        <f t="shared" si="0"/>
        <v>49013001_49013006</v>
      </c>
      <c r="B12" s="89">
        <v>49013001</v>
      </c>
      <c r="C12" s="89">
        <v>49013006</v>
      </c>
      <c r="D12" s="21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2" s="21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『茜ちゃん！？なぜ・・・・・！？』</v>
      </c>
      <c r="F12" s="89">
        <v>49013011</v>
      </c>
      <c r="G12" s="23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23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2" s="23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23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23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23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23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23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714</v>
      </c>
      <c r="O12" s="23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22"/>
      <c r="Q12" s="22"/>
      <c r="R12" s="22"/>
    </row>
    <row r="13" spans="1:18" ht="21" customHeight="1" x14ac:dyDescent="0.15">
      <c r="A13" s="153" t="str">
        <f t="shared" si="0"/>
        <v>49013001_49013006</v>
      </c>
      <c r="B13" s="89">
        <v>49013001</v>
      </c>
      <c r="C13" s="89">
        <v>49013006</v>
      </c>
      <c r="D13" s="21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3" s="21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『茜ちゃん！？なぜ・・・・・！？』</v>
      </c>
      <c r="F13" s="89">
        <v>49013012</v>
      </c>
      <c r="G13" s="23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23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3" s="23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23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23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23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23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23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715</v>
      </c>
      <c r="O13" s="23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22"/>
      <c r="Q13" s="22"/>
      <c r="R13" s="22"/>
    </row>
    <row r="14" spans="1:18" ht="21" customHeight="1" x14ac:dyDescent="0.15">
      <c r="A14" s="153" t="str">
        <f t="shared" si="0"/>
        <v>49013001_49013007</v>
      </c>
      <c r="B14" s="89">
        <v>49013001</v>
      </c>
      <c r="C14" s="89">
        <v>49013007</v>
      </c>
      <c r="D14" s="21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4" s="21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『あの時の女・・・！さすがに危なかったぞ！』</v>
      </c>
      <c r="F14" s="89">
        <v>49013013</v>
      </c>
      <c r="G14" s="23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23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4" s="23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23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23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23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23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23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718</v>
      </c>
      <c r="O14" s="23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22"/>
      <c r="Q14" s="22"/>
      <c r="R14" s="22"/>
    </row>
    <row r="15" spans="1:18" ht="21" customHeight="1" x14ac:dyDescent="0.15">
      <c r="A15" s="153" t="str">
        <f t="shared" si="0"/>
        <v>49013001_49013007</v>
      </c>
      <c r="B15" s="89">
        <v>49013001</v>
      </c>
      <c r="C15" s="89">
        <v>49013007</v>
      </c>
      <c r="D15" s="21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5" s="21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『あの時の女・・・！さすがに危なかったぞ！』</v>
      </c>
      <c r="F15" s="89">
        <v>49013014</v>
      </c>
      <c r="G15" s="23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23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5" s="23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23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23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23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23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23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719</v>
      </c>
      <c r="O15" s="23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22"/>
      <c r="Q15" s="22"/>
      <c r="R15" s="22"/>
    </row>
    <row r="16" spans="1:18" ht="21" customHeight="1" x14ac:dyDescent="0.15">
      <c r="A16" s="153" t="str">
        <f t="shared" si="0"/>
        <v>49013001_49013008</v>
      </c>
      <c r="B16" s="89">
        <v>49013001</v>
      </c>
      <c r="C16" s="89">
        <v>49013008</v>
      </c>
      <c r="D16" s="21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6" s="21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『私・・・！？また厄介なことが起きたな・・・』</v>
      </c>
      <c r="F16" s="89">
        <v>49013015</v>
      </c>
      <c r="G16" s="23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23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6" s="23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23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23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23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23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23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695</v>
      </c>
      <c r="O16" s="23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22"/>
      <c r="Q16" s="22"/>
      <c r="R16" s="22"/>
    </row>
    <row r="17" spans="1:18" ht="21" customHeight="1" x14ac:dyDescent="0.15">
      <c r="A17" s="153" t="str">
        <f t="shared" si="0"/>
        <v>49013001_49013008</v>
      </c>
      <c r="B17" s="89">
        <v>49013001</v>
      </c>
      <c r="C17" s="89">
        <v>49013008</v>
      </c>
      <c r="D17" s="21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7" s="21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『私・・・！？また厄介なことが起きたな・・・』</v>
      </c>
      <c r="F17" s="89">
        <v>49013016</v>
      </c>
      <c r="G17" s="23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23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" s="23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23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23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23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23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23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696</v>
      </c>
      <c r="O17" s="23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22"/>
      <c r="Q17" s="22"/>
      <c r="R17" s="22"/>
    </row>
    <row r="18" spans="1:18" ht="21" customHeight="1" x14ac:dyDescent="0.15">
      <c r="A18" s="153" t="str">
        <f t="shared" si="0"/>
        <v>49013001_49013008</v>
      </c>
      <c r="B18" s="89">
        <v>49013001</v>
      </c>
      <c r="C18" s="89">
        <v>49013008</v>
      </c>
      <c r="D18" s="21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8" s="21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『私・・・！？また厄介なことが起きたな・・・』</v>
      </c>
      <c r="F18" s="89">
        <v>49013017</v>
      </c>
      <c r="G18" s="23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23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8" s="23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23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23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23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23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23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697</v>
      </c>
      <c r="O18" s="23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22"/>
      <c r="Q18" s="22"/>
      <c r="R18" s="22"/>
    </row>
    <row r="19" spans="1:18" ht="21" customHeight="1" x14ac:dyDescent="0.15">
      <c r="A19" s="153" t="str">
        <f t="shared" si="0"/>
        <v>49013001_49013009</v>
      </c>
      <c r="B19" s="89">
        <v>49013001</v>
      </c>
      <c r="C19" s="89">
        <v>49013009</v>
      </c>
      <c r="D19" s="21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19" s="21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『影の世界はどうだ？』</v>
      </c>
      <c r="F19" s="89">
        <v>49013018</v>
      </c>
      <c r="G19" s="23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23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23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23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23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23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23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23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23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22"/>
      <c r="Q19" s="22"/>
      <c r="R19" s="22"/>
    </row>
    <row r="20" spans="1:18" ht="21" customHeight="1" x14ac:dyDescent="0.15">
      <c r="A20" s="153" t="str">
        <f t="shared" si="0"/>
        <v>49013001_49013010</v>
      </c>
      <c r="B20" s="89">
        <v>49013001</v>
      </c>
      <c r="C20" s="89">
        <v>49013010</v>
      </c>
      <c r="D20" s="21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・・・・・・・・・・</v>
      </c>
      <c r="E20" s="21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『お前の心臓を縛ってやる』</v>
      </c>
      <c r="F20" s="89">
        <v>49013019</v>
      </c>
      <c r="G20" s="23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23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0" s="23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23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23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23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23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23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23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22"/>
      <c r="Q20" s="22"/>
      <c r="R20" s="22"/>
    </row>
    <row r="21" spans="1:18" ht="21" customHeight="1" x14ac:dyDescent="0.15">
      <c r="A21" s="153" t="str">
        <f t="shared" si="0"/>
        <v>49013001_49013011</v>
      </c>
      <c r="B21" s="89">
        <v>49013001</v>
      </c>
      <c r="C21" s="89">
        <v>49013011</v>
      </c>
      <c r="D21" s="21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21" s="21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『これならどうだ？』</v>
      </c>
      <c r="F21" s="89">
        <v>49013020</v>
      </c>
      <c r="G21" s="23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23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1" s="23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23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23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23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23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23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23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22"/>
      <c r="Q21" s="22"/>
      <c r="R21" s="22"/>
    </row>
    <row r="22" spans="1:18" ht="21" customHeight="1" x14ac:dyDescent="0.15">
      <c r="A22" s="153" t="str">
        <f t="shared" si="0"/>
        <v>49013001_49013012</v>
      </c>
      <c r="B22" s="89">
        <v>49013001</v>
      </c>
      <c r="C22" s="89">
        <v>49013012</v>
      </c>
      <c r="D22" s="21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22" s="21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『さぁ、こうしたらどうする？』</v>
      </c>
      <c r="F22" s="89">
        <v>49013021</v>
      </c>
      <c r="G22" s="23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23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2" s="23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23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23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23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23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23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23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22"/>
      <c r="Q22" s="22"/>
      <c r="R22" s="22"/>
    </row>
    <row r="23" spans="1:18" ht="21" customHeight="1" x14ac:dyDescent="0.15">
      <c r="A23" s="153" t="str">
        <f t="shared" si="0"/>
        <v>49013001_49013013</v>
      </c>
      <c r="B23" s="89">
        <v>49013001</v>
      </c>
      <c r="C23" s="89">
        <v>49013013</v>
      </c>
      <c r="D23" s="21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23" s="21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『この鎌で全員裂いてやる！』</v>
      </c>
      <c r="F23" s="89">
        <v>49013022</v>
      </c>
      <c r="G23" s="23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23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3" s="23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23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23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23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23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23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23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22"/>
      <c r="Q23" s="22"/>
      <c r="R23" s="22"/>
    </row>
    <row r="24" spans="1:18" ht="21" customHeight="1" x14ac:dyDescent="0.15">
      <c r="A24" s="153" t="str">
        <f t="shared" si="0"/>
        <v>49013001_49013014</v>
      </c>
      <c r="B24" s="89">
        <v>49013001</v>
      </c>
      <c r="C24" s="89">
        <v>49013014</v>
      </c>
      <c r="D24" s="21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・・・・・・・・・・</v>
      </c>
      <c r="E24" s="21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『お前だ』</v>
      </c>
      <c r="F24" s="89">
        <v>49013023</v>
      </c>
      <c r="G24" s="23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23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4" s="23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4" s="23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23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23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23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23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23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4" s="22"/>
      <c r="Q24" s="22"/>
      <c r="R24" s="22"/>
    </row>
    <row r="25" spans="1:18" ht="21" customHeight="1" x14ac:dyDescent="0.15">
      <c r="A25" s="153" t="str">
        <f t="shared" si="0"/>
        <v>49013001_49013015</v>
      </c>
      <c r="B25" s="89">
        <v>49013001</v>
      </c>
      <c r="C25" s="89">
        <v>49013015</v>
      </c>
      <c r="D25" s="21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・・・・・・・・・・</v>
      </c>
      <c r="E25" s="21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『私の影に呑まれろ』</v>
      </c>
      <c r="F25" s="89">
        <v>49013024</v>
      </c>
      <c r="G25" s="23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23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5" s="23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5" s="23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23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23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23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23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23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5" s="22"/>
      <c r="Q25" s="22"/>
      <c r="R25" s="22"/>
    </row>
    <row r="26" spans="1:18" ht="21" customHeight="1" x14ac:dyDescent="0.15">
      <c r="A26" s="153" t="str">
        <f t="shared" si="0"/>
        <v>49013002_49013016</v>
      </c>
      <c r="B26" s="89">
        <v>49013002</v>
      </c>
      <c r="C26" s="89">
        <v>49013016</v>
      </c>
      <c r="D26" s="21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</v>
      </c>
      <c r="E26" s="21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6" s="89">
        <v>49013025</v>
      </c>
      <c r="G26" s="23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23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6" s="23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23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23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23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23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23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26" s="23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26" s="22"/>
      <c r="Q26" s="22"/>
      <c r="R26" s="22"/>
    </row>
    <row r="27" spans="1:18" ht="21" customHeight="1" x14ac:dyDescent="0.15">
      <c r="A27" s="153" t="str">
        <f t="shared" si="0"/>
        <v>49013002_49013016</v>
      </c>
      <c r="B27" s="89">
        <v>49013002</v>
      </c>
      <c r="C27" s="89">
        <v>49013016</v>
      </c>
      <c r="D27" s="21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</v>
      </c>
      <c r="E27" s="21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7" s="89">
        <v>49013026</v>
      </c>
      <c r="G27" s="23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23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7" s="23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23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23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23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23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23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27" s="23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27" s="22"/>
      <c r="Q27" s="22"/>
      <c r="R27" s="22"/>
    </row>
    <row r="28" spans="1:18" ht="21" customHeight="1" x14ac:dyDescent="0.15">
      <c r="A28" s="153" t="str">
        <f t="shared" si="0"/>
        <v>49013002_49013017</v>
      </c>
      <c r="B28" s="89">
        <v>49013002</v>
      </c>
      <c r="C28" s="89">
        <v>49013017</v>
      </c>
      <c r="D28" s="21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異常・・・否！異形！</v>
      </c>
      <c r="E28" s="21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8" s="89">
        <v>49013027</v>
      </c>
      <c r="G28" s="23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23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8" s="23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23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23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23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23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23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695</v>
      </c>
      <c r="O28" s="23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22"/>
      <c r="Q28" s="22"/>
      <c r="R28" s="22"/>
    </row>
    <row r="29" spans="1:18" ht="21" customHeight="1" x14ac:dyDescent="0.15">
      <c r="A29" s="153" t="str">
        <f t="shared" si="0"/>
        <v>49013002_49013017</v>
      </c>
      <c r="B29" s="89">
        <v>49013002</v>
      </c>
      <c r="C29" s="89">
        <v>49013017</v>
      </c>
      <c r="D29" s="21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異常・・・否！異形！</v>
      </c>
      <c r="E29" s="21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9" s="89">
        <v>49013028</v>
      </c>
      <c r="G29" s="23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23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9" s="23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23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23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23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23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23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696</v>
      </c>
      <c r="O29" s="23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22"/>
      <c r="Q29" s="22"/>
      <c r="R29" s="22"/>
    </row>
    <row r="30" spans="1:18" ht="21" customHeight="1" x14ac:dyDescent="0.15">
      <c r="A30" s="153" t="str">
        <f t="shared" si="0"/>
        <v>49013002_49013017</v>
      </c>
      <c r="B30" s="89">
        <v>49013002</v>
      </c>
      <c r="C30" s="89">
        <v>49013017</v>
      </c>
      <c r="D30" s="21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異常・・・否！異形！</v>
      </c>
      <c r="E30" s="21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0" s="89">
        <v>49013029</v>
      </c>
      <c r="G30" s="23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23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0" s="23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23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23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23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23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23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697</v>
      </c>
      <c r="O30" s="23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22"/>
      <c r="Q30" s="22"/>
      <c r="R30" s="22"/>
    </row>
    <row r="31" spans="1:18" ht="21" customHeight="1" x14ac:dyDescent="0.15">
      <c r="A31" s="153" t="str">
        <f t="shared" si="0"/>
        <v>49013002_49013018</v>
      </c>
      <c r="B31" s="89">
        <v>49013002</v>
      </c>
      <c r="C31" s="89">
        <v>49013018</v>
      </c>
      <c r="D31" s="21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先輩は私の獲物です</v>
      </c>
      <c r="E31" s="21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1" s="89">
        <v>49013030</v>
      </c>
      <c r="G31" s="23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23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1" s="23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23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23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23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23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23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714</v>
      </c>
      <c r="O31" s="23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22"/>
      <c r="Q31" s="22"/>
      <c r="R31" s="22"/>
    </row>
    <row r="32" spans="1:18" ht="21" customHeight="1" x14ac:dyDescent="0.15">
      <c r="A32" s="153" t="str">
        <f t="shared" si="0"/>
        <v>49013002_49013018</v>
      </c>
      <c r="B32" s="89">
        <v>49013002</v>
      </c>
      <c r="C32" s="89">
        <v>49013018</v>
      </c>
      <c r="D32" s="21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先輩は私の獲物です</v>
      </c>
      <c r="E32" s="21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2" s="89">
        <v>49013031</v>
      </c>
      <c r="G32" s="23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23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2" s="23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23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23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23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23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23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715</v>
      </c>
      <c r="O32" s="23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22"/>
      <c r="Q32" s="22"/>
      <c r="R32" s="22"/>
    </row>
    <row r="33" spans="1:18" ht="21" customHeight="1" x14ac:dyDescent="0.15">
      <c r="A33" s="153" t="str">
        <f t="shared" si="0"/>
        <v>49013002_49013019</v>
      </c>
      <c r="B33" s="89">
        <v>49013002</v>
      </c>
      <c r="C33" s="89">
        <v>49013019</v>
      </c>
      <c r="D33" s="21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あの時の不良少年・・・？</v>
      </c>
      <c r="E33" s="21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3" s="89">
        <v>49013032</v>
      </c>
      <c r="G33" s="23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23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33" s="23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23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23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23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23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23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691</v>
      </c>
      <c r="O33" s="23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22"/>
      <c r="Q33" s="22"/>
      <c r="R33" s="22"/>
    </row>
    <row r="34" spans="1:18" ht="21" customHeight="1" x14ac:dyDescent="0.15">
      <c r="A34" s="153" t="str">
        <f t="shared" si="0"/>
        <v>49013002_49013019</v>
      </c>
      <c r="B34" s="89">
        <v>49013002</v>
      </c>
      <c r="C34" s="89">
        <v>49013019</v>
      </c>
      <c r="D34" s="21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あの時の不良少年・・・？</v>
      </c>
      <c r="E34" s="21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4" s="89">
        <v>49013033</v>
      </c>
      <c r="G34" s="23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23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34" s="23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23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23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23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23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23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692</v>
      </c>
      <c r="O34" s="23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22"/>
      <c r="Q34" s="22"/>
      <c r="R34" s="22"/>
    </row>
    <row r="35" spans="1:18" ht="21" customHeight="1" x14ac:dyDescent="0.15">
      <c r="A35" s="153" t="str">
        <f t="shared" si="0"/>
        <v>49013002_49013020</v>
      </c>
      <c r="B35" s="89">
        <v>49013002</v>
      </c>
      <c r="C35" s="89">
        <v>49013020</v>
      </c>
      <c r="D35" s="21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貴女は人間、化け物、どちらですか</v>
      </c>
      <c r="E35" s="21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5" s="89">
        <v>49013034</v>
      </c>
      <c r="G35" s="23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23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35" s="23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23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23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23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23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23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35" s="23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22"/>
      <c r="Q35" s="22"/>
      <c r="R35" s="22"/>
    </row>
    <row r="36" spans="1:18" ht="21" customHeight="1" x14ac:dyDescent="0.15">
      <c r="A36" s="153" t="str">
        <f t="shared" si="0"/>
        <v>49013002_49013020</v>
      </c>
      <c r="B36" s="89">
        <v>49013002</v>
      </c>
      <c r="C36" s="89">
        <v>49013020</v>
      </c>
      <c r="D36" s="21" t="str">
        <f ca="1">VLOOKUP($C36,OFFSET(enemy_skills!$A$1,0,0,COUNTA(enemy_skills!$A:$A),MATCH(D$1,enemy_skills!$1:$1,0)-MATCH("enemy_skill_id",enemy_skills!$1:$1,0)+1),MATCH(D$1,enemy_skills!$1:$1,0)-MATCH("enemy_skill_id",enemy_skills!$1:$1,0)+1,FALSE)</f>
        <v>貴女は人間、化け物、どちらですか</v>
      </c>
      <c r="E36" s="21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6" s="89">
        <v>49013035</v>
      </c>
      <c r="G36" s="23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23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36" s="23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23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23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23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23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23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36" s="23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22"/>
      <c r="Q36" s="22"/>
      <c r="R36" s="22"/>
    </row>
    <row r="37" spans="1:18" ht="21" customHeight="1" x14ac:dyDescent="0.15">
      <c r="A37" s="153" t="str">
        <f t="shared" si="0"/>
        <v>49013002_49013021</v>
      </c>
      <c r="B37" s="89">
        <v>49013002</v>
      </c>
      <c r="C37" s="89">
        <v>49013021</v>
      </c>
      <c r="D37" s="21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サーミャの日本語は奇想天外です</v>
      </c>
      <c r="E37" s="21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7" s="89">
        <v>49013036</v>
      </c>
      <c r="G37" s="23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23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7" s="23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23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23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23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23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23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702</v>
      </c>
      <c r="O37" s="23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22"/>
      <c r="Q37" s="22"/>
      <c r="R37" s="22"/>
    </row>
    <row r="38" spans="1:18" ht="21" customHeight="1" x14ac:dyDescent="0.15">
      <c r="A38" s="153" t="str">
        <f t="shared" si="0"/>
        <v>49013002_49013021</v>
      </c>
      <c r="B38" s="89">
        <v>49013002</v>
      </c>
      <c r="C38" s="89">
        <v>49013021</v>
      </c>
      <c r="D38" s="21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サーミャの日本語は奇想天外です</v>
      </c>
      <c r="E38" s="21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8" s="89">
        <v>49013037</v>
      </c>
      <c r="G38" s="23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23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8" s="23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23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23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23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23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23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703</v>
      </c>
      <c r="O38" s="23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22"/>
      <c r="Q38" s="22"/>
      <c r="R38" s="22"/>
    </row>
    <row r="39" spans="1:18" ht="21" customHeight="1" x14ac:dyDescent="0.15">
      <c r="A39" s="153" t="str">
        <f t="shared" si="0"/>
        <v>49013002_49013022</v>
      </c>
      <c r="B39" s="89">
        <v>49013002</v>
      </c>
      <c r="C39" s="89">
        <v>49013022</v>
      </c>
      <c r="D39" s="21" t="str">
        <f ca="1">VLOOKUP($C39,OFFSET(enemy_skills!$A$1,0,0,COUNTA(enemy_skills!$A:$A),MATCH(D$1,enemy_skills!$1:$1,0)-MATCH("enemy_skill_id",enemy_skills!$1:$1,0)+1),MATCH(D$1,enemy_skills!$1:$1,0)-MATCH("enemy_skill_id",enemy_skills!$1:$1,0)+1,FALSE)</f>
        <v>今日はどこの取り立てですか？</v>
      </c>
      <c r="E39" s="21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9" s="89">
        <v>49013038</v>
      </c>
      <c r="G39" s="23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23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23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23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23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23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23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23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710</v>
      </c>
      <c r="O39" s="23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22"/>
      <c r="Q39" s="22"/>
      <c r="R39" s="22"/>
    </row>
    <row r="40" spans="1:18" ht="21" customHeight="1" x14ac:dyDescent="0.15">
      <c r="A40" s="153" t="str">
        <f t="shared" si="0"/>
        <v>49013002_49013022</v>
      </c>
      <c r="B40" s="89">
        <v>49013002</v>
      </c>
      <c r="C40" s="89">
        <v>49013022</v>
      </c>
      <c r="D40" s="21" t="str">
        <f ca="1">VLOOKUP($C40,OFFSET(enemy_skills!$A$1,0,0,COUNTA(enemy_skills!$A:$A),MATCH(D$1,enemy_skills!$1:$1,0)-MATCH("enemy_skill_id",enemy_skills!$1:$1,0)+1),MATCH(D$1,enemy_skills!$1:$1,0)-MATCH("enemy_skill_id",enemy_skills!$1:$1,0)+1,FALSE)</f>
        <v>今日はどこの取り立てですか？</v>
      </c>
      <c r="E40" s="21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0" s="89">
        <v>49013039</v>
      </c>
      <c r="G40" s="23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23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23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23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23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23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23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23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711</v>
      </c>
      <c r="O40" s="23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22"/>
      <c r="Q40" s="22"/>
      <c r="R40" s="22"/>
    </row>
    <row r="41" spans="1:18" ht="21" customHeight="1" x14ac:dyDescent="0.15">
      <c r="A41" s="153" t="str">
        <f t="shared" si="0"/>
        <v>49013002_49013023</v>
      </c>
      <c r="B41" s="89">
        <v>49013002</v>
      </c>
      <c r="C41" s="89">
        <v>49013023</v>
      </c>
      <c r="D41" s="21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少年、あなたはただの少年のようですね</v>
      </c>
      <c r="E41" s="21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1" s="89">
        <v>49013040</v>
      </c>
      <c r="G41" s="23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23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41" s="23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23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23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23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23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23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41" s="23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22"/>
      <c r="Q41" s="22"/>
      <c r="R41" s="22"/>
    </row>
    <row r="42" spans="1:18" ht="21" customHeight="1" x14ac:dyDescent="0.15">
      <c r="A42" s="153" t="str">
        <f t="shared" si="0"/>
        <v>49013002_49013023</v>
      </c>
      <c r="B42" s="89">
        <v>49013002</v>
      </c>
      <c r="C42" s="89">
        <v>49013023</v>
      </c>
      <c r="D42" s="21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少年、あなたはただの少年のようですね</v>
      </c>
      <c r="E42" s="21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2" s="89">
        <v>49013041</v>
      </c>
      <c r="G42" s="23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23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42" s="23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23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23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23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23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23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42" s="23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22"/>
      <c r="Q42" s="22"/>
      <c r="R42" s="22"/>
    </row>
    <row r="43" spans="1:18" ht="21" customHeight="1" x14ac:dyDescent="0.15">
      <c r="A43" s="153" t="str">
        <f t="shared" si="0"/>
        <v>49013002_49013024</v>
      </c>
      <c r="B43" s="89">
        <v>49013002</v>
      </c>
      <c r="C43" s="89">
        <v>49013024</v>
      </c>
      <c r="D43" s="21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ターゲット捕捉しました</v>
      </c>
      <c r="E43" s="21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3" s="89">
        <v>49013042</v>
      </c>
      <c r="G43" s="23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23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23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23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23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23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23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23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23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22"/>
      <c r="Q43" s="22"/>
      <c r="R43" s="22"/>
    </row>
    <row r="44" spans="1:18" ht="21" customHeight="1" x14ac:dyDescent="0.15">
      <c r="A44" s="153" t="str">
        <f t="shared" si="0"/>
        <v>49013002_49013025</v>
      </c>
      <c r="B44" s="89">
        <v>49013002</v>
      </c>
      <c r="C44" s="89">
        <v>49013025</v>
      </c>
      <c r="D44" s="21" t="str">
        <f ca="1">VLOOKUP($C44,OFFSET(enemy_skills!$A$1,0,0,COUNTA(enemy_skills!$A:$A),MATCH(D$1,enemy_skills!$1:$1,0)-MATCH("enemy_skill_id",enemy_skills!$1:$1,0)+1),MATCH(D$1,enemy_skills!$1:$1,0)-MATCH("enemy_skill_id",enemy_skills!$1:$1,0)+1,FALSE)</f>
        <v>退屈です</v>
      </c>
      <c r="E44" s="21" t="str">
        <f ca="1">VLOOKUP($C44,OFFSET(enemy_skills!$A$1,0,0,COUNTA(enemy_skills!$A:$A),MATCH(E$1,enemy_skills!$1:$1,0)-MATCH("enemy_skill_id",enemy_skills!$1:$1,0)+1),MATCH(E$1,enemy_skills!$1:$1,0)-MATCH("enemy_skill_id",enemy_skills!$1:$1,0)+1,FALSE)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4" s="89">
        <v>49013043</v>
      </c>
      <c r="G44" s="23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23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4" s="23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4" s="23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23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23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23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23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23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4" s="22"/>
      <c r="Q44" s="22"/>
      <c r="R44" s="22"/>
    </row>
    <row r="45" spans="1:18" ht="21" customHeight="1" x14ac:dyDescent="0.15">
      <c r="A45" s="153" t="str">
        <f t="shared" si="0"/>
        <v>49013002_49013026</v>
      </c>
      <c r="B45" s="89">
        <v>49013002</v>
      </c>
      <c r="C45" s="89">
        <v>49013026</v>
      </c>
      <c r="D45" s="21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全員撃破します</v>
      </c>
      <c r="E45" s="21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5" s="89">
        <v>49013044</v>
      </c>
      <c r="G45" s="23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23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23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23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23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23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23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23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23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22"/>
      <c r="Q45" s="22"/>
      <c r="R45" s="22"/>
    </row>
    <row r="46" spans="1:18" ht="21" customHeight="1" x14ac:dyDescent="0.15">
      <c r="A46" s="153" t="str">
        <f t="shared" si="0"/>
        <v>49013002_49013027</v>
      </c>
      <c r="B46" s="89">
        <v>49013002</v>
      </c>
      <c r="C46" s="89">
        <v>49013027</v>
      </c>
      <c r="D46" s="21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弱小すぎです</v>
      </c>
      <c r="E46" s="21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6" s="89">
        <v>49013045</v>
      </c>
      <c r="G46" s="23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23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6" s="23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23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23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23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23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23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23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22"/>
      <c r="Q46" s="22"/>
      <c r="R46" s="22"/>
    </row>
    <row r="47" spans="1:18" ht="21" customHeight="1" x14ac:dyDescent="0.15">
      <c r="A47" s="153" t="str">
        <f t="shared" si="0"/>
        <v>49013003_49013028</v>
      </c>
      <c r="B47" s="89">
        <v>49013003</v>
      </c>
      <c r="C47" s="89">
        <v>49013028</v>
      </c>
      <c r="D47" s="21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危険危険危険危険！</v>
      </c>
      <c r="E47" s="21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自身の攻撃力UP+全体攻撃</v>
      </c>
      <c r="F47" s="89">
        <v>49013046</v>
      </c>
      <c r="G47" s="23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23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23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23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23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23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23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23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23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22"/>
      <c r="Q47" s="22"/>
      <c r="R47" s="22"/>
    </row>
    <row r="48" spans="1:18" ht="21" customHeight="1" x14ac:dyDescent="0.15">
      <c r="A48" s="153" t="str">
        <f t="shared" si="0"/>
        <v>49013003_49013029</v>
      </c>
      <c r="B48" s="89">
        <v>49013003</v>
      </c>
      <c r="C48" s="89">
        <v>49013029</v>
      </c>
      <c r="D48" s="21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あなたの強さを確かめます</v>
      </c>
      <c r="E48" s="21" t="str">
        <f ca="1">VLOOKUP($C48,OFFSET(enemy_skills!$A$1,0,0,COUNTA(enemy_skills!$A:$A),MATCH(E$1,enemy_skills!$1:$1,0)-MATCH("enemy_skill_id",enemy_skills!$1:$1,0)+1),MATCH(E$1,enemy_skills!$1:$1,0)-MATCH("enemy_skill_id",enemy_skills!$1:$1,0)+1,FALSE)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8" s="89">
        <v>49013047</v>
      </c>
      <c r="G48" s="23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23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8" s="23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8" s="23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23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23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23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23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23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8" s="22"/>
      <c r="Q48" s="22"/>
      <c r="R48" s="22"/>
    </row>
    <row r="49" spans="1:18" ht="21" customHeight="1" x14ac:dyDescent="0.15">
      <c r="A49" s="153" t="str">
        <f t="shared" si="0"/>
        <v>49013003_49013030</v>
      </c>
      <c r="B49" s="89">
        <v>49013003</v>
      </c>
      <c r="C49" s="89">
        <v>49013030</v>
      </c>
      <c r="D49" s="21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・・・否定します</v>
      </c>
      <c r="E49" s="21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9" s="89">
        <v>49013048</v>
      </c>
      <c r="G49" s="23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23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9" s="23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9" s="23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23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23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23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23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23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9" s="22"/>
      <c r="Q49" s="22"/>
      <c r="R49" s="22"/>
    </row>
    <row r="50" spans="1:18" ht="21" customHeight="1" x14ac:dyDescent="0.15">
      <c r="A50" s="153" t="str">
        <f t="shared" si="0"/>
        <v>49013003_49013031</v>
      </c>
      <c r="B50" s="89">
        <v>49013003</v>
      </c>
      <c r="C50" s="89">
        <v>49013031</v>
      </c>
      <c r="D50" s="21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沈黙してください</v>
      </c>
      <c r="E50" s="21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0" s="89">
        <v>49013049</v>
      </c>
      <c r="G50" s="23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23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0" s="23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23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23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23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23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23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23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22"/>
      <c r="Q50" s="22"/>
      <c r="R50" s="22"/>
    </row>
    <row r="51" spans="1:18" ht="21" customHeight="1" x14ac:dyDescent="0.15">
      <c r="A51" s="153" t="str">
        <f t="shared" si="0"/>
        <v>49013004_49013032</v>
      </c>
      <c r="B51" s="89">
        <v>49013004</v>
      </c>
      <c r="C51" s="89">
        <v>49013032</v>
      </c>
      <c r="D51" s="21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シズオ、カルシウム不足ネ！</v>
      </c>
      <c r="E51" s="21" t="str">
        <f ca="1">VLOOKUP($C51,OFFSET(enemy_skills!$A$1,0,0,COUNTA(enemy_skills!$A:$A),MATCH(E$1,enemy_skills!$1:$1,0)-MATCH("enemy_skill_id",enemy_skills!$1:$1,0)+1),MATCH(E$1,enemy_skills!$1:$1,0)-MATCH("enemy_skill_id",enemy_skills!$1:$1,0)+1,FALSE)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51" s="89">
        <v>49013050</v>
      </c>
      <c r="G51" s="23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23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1" s="23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23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23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23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23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23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51" s="23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51" s="22"/>
      <c r="Q51" s="22"/>
      <c r="R51" s="22"/>
    </row>
    <row r="52" spans="1:18" ht="21" customHeight="1" x14ac:dyDescent="0.15">
      <c r="A52" s="153" t="str">
        <f t="shared" si="0"/>
        <v>49013004_49013032</v>
      </c>
      <c r="B52" s="89">
        <v>49013004</v>
      </c>
      <c r="C52" s="89">
        <v>49013032</v>
      </c>
      <c r="D52" s="21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シズオ、カルシウム不足ネ！</v>
      </c>
      <c r="E52" s="21" t="str">
        <f ca="1">VLOOKUP($C52,OFFSET(enemy_skills!$A$1,0,0,COUNTA(enemy_skills!$A:$A),MATCH(E$1,enemy_skills!$1:$1,0)-MATCH("enemy_skill_id",enemy_skills!$1:$1,0)+1),MATCH(E$1,enemy_skills!$1:$1,0)-MATCH("enemy_skill_id",enemy_skills!$1:$1,0)+1,FALSE)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52" s="89">
        <v>49013051</v>
      </c>
      <c r="G52" s="23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23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2" s="23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23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23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23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23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23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52" s="23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52" s="22"/>
      <c r="Q52" s="22"/>
      <c r="R52" s="22"/>
    </row>
    <row r="53" spans="1:18" ht="21" customHeight="1" x14ac:dyDescent="0.15">
      <c r="A53" s="153" t="str">
        <f t="shared" si="0"/>
        <v>49013004_49013033</v>
      </c>
      <c r="B53" s="89">
        <v>49013004</v>
      </c>
      <c r="C53" s="89">
        <v>49013033</v>
      </c>
      <c r="D53" s="21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ヴァローナ、また稽古するカ？</v>
      </c>
      <c r="E53" s="21" t="str">
        <f ca="1">VLOOKUP($C53,OFFSET(enemy_skills!$A$1,0,0,COUNTA(enemy_skills!$A:$A),MATCH(E$1,enemy_skills!$1:$1,0)-MATCH("enemy_skill_id",enemy_skills!$1:$1,0)+1),MATCH(E$1,enemy_skills!$1:$1,0)-MATCH("enemy_skill_id",enemy_skills!$1:$1,0)+1,FALSE)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53" s="89">
        <v>49013052</v>
      </c>
      <c r="G53" s="23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23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3" s="23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23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23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23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23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23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718</v>
      </c>
      <c r="O53" s="23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22"/>
      <c r="Q53" s="22"/>
      <c r="R53" s="22"/>
    </row>
    <row r="54" spans="1:18" ht="21" customHeight="1" x14ac:dyDescent="0.15">
      <c r="A54" s="153" t="str">
        <f t="shared" si="0"/>
        <v>49013004_49013033</v>
      </c>
      <c r="B54" s="89">
        <v>49013004</v>
      </c>
      <c r="C54" s="89">
        <v>49013033</v>
      </c>
      <c r="D54" s="21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ヴァローナ、また稽古するカ？</v>
      </c>
      <c r="E54" s="21" t="str">
        <f ca="1">VLOOKUP($C54,OFFSET(enemy_skills!$A$1,0,0,COUNTA(enemy_skills!$A:$A),MATCH(E$1,enemy_skills!$1:$1,0)-MATCH("enemy_skill_id",enemy_skills!$1:$1,0)+1),MATCH(E$1,enemy_skills!$1:$1,0)-MATCH("enemy_skill_id",enemy_skills!$1:$1,0)+1,FALSE)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54" s="89">
        <v>49013053</v>
      </c>
      <c r="G54" s="23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23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4" s="23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23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23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23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23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23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719</v>
      </c>
      <c r="O54" s="23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22"/>
      <c r="Q54" s="22"/>
      <c r="R54" s="22"/>
    </row>
    <row r="55" spans="1:18" ht="21" customHeight="1" x14ac:dyDescent="0.15">
      <c r="A55" s="153" t="str">
        <f t="shared" si="0"/>
        <v>49013004_49013034</v>
      </c>
      <c r="B55" s="89">
        <v>49013004</v>
      </c>
      <c r="C55" s="89">
        <v>49013034</v>
      </c>
      <c r="D55" s="21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キダ、また喧嘩するカ？</v>
      </c>
      <c r="E55" s="21" t="str">
        <f ca="1">VLOOKUP($C55,OFFSET(enemy_skills!$A$1,0,0,COUNTA(enemy_skills!$A:$A),MATCH(E$1,enemy_skills!$1:$1,0)-MATCH("enemy_skill_id",enemy_skills!$1:$1,0)+1),MATCH(E$1,enemy_skills!$1:$1,0)-MATCH("enemy_skill_id",enemy_skills!$1:$1,0)+1,FALSE)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55" s="89">
        <v>49013054</v>
      </c>
      <c r="G55" s="23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23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5" s="23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23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23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23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23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23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693</v>
      </c>
      <c r="O55" s="23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22"/>
      <c r="Q55" s="22"/>
      <c r="R55" s="22"/>
    </row>
    <row r="56" spans="1:18" ht="21" customHeight="1" x14ac:dyDescent="0.15">
      <c r="A56" s="153" t="str">
        <f t="shared" si="0"/>
        <v>49013004_49013034</v>
      </c>
      <c r="B56" s="89">
        <v>49013004</v>
      </c>
      <c r="C56" s="89">
        <v>49013034</v>
      </c>
      <c r="D56" s="21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キダ、また喧嘩するカ？</v>
      </c>
      <c r="E56" s="21" t="str">
        <f ca="1">VLOOKUP($C56,OFFSET(enemy_skills!$A$1,0,0,COUNTA(enemy_skills!$A:$A),MATCH(E$1,enemy_skills!$1:$1,0)-MATCH("enemy_skill_id",enemy_skills!$1:$1,0)+1),MATCH(E$1,enemy_skills!$1:$1,0)-MATCH("enemy_skill_id",enemy_skills!$1:$1,0)+1,FALSE)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56" s="89">
        <v>49013055</v>
      </c>
      <c r="G56" s="23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23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6" s="23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23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23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23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23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23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694</v>
      </c>
      <c r="O56" s="23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22"/>
      <c r="Q56" s="22"/>
      <c r="R56" s="22"/>
    </row>
    <row r="57" spans="1:18" ht="21" customHeight="1" x14ac:dyDescent="0.15">
      <c r="A57" s="153" t="str">
        <f t="shared" si="0"/>
        <v>49013004_49013035</v>
      </c>
      <c r="B57" s="89">
        <v>49013004</v>
      </c>
      <c r="C57" s="89">
        <v>49013035</v>
      </c>
      <c r="D57" s="21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ヘイ、少年！寿司食うカ？</v>
      </c>
      <c r="E57" s="21" t="str">
        <f ca="1">VLOOKUP($C57,OFFSET(enemy_skills!$A$1,0,0,COUNTA(enemy_skills!$A:$A),MATCH(E$1,enemy_skills!$1:$1,0)-MATCH("enemy_skill_id",enemy_skills!$1:$1,0)+1),MATCH(E$1,enemy_skills!$1:$1,0)-MATCH("enemy_skill_id",enemy_skills!$1:$1,0)+1,FALSE)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57" s="89">
        <v>49013056</v>
      </c>
      <c r="G57" s="23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23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7" s="23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23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23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23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23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23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691</v>
      </c>
      <c r="O57" s="23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22"/>
      <c r="Q57" s="22"/>
      <c r="R57" s="22"/>
    </row>
    <row r="58" spans="1:18" ht="21" customHeight="1" x14ac:dyDescent="0.15">
      <c r="A58" s="153" t="str">
        <f t="shared" si="0"/>
        <v>49013004_49013035</v>
      </c>
      <c r="B58" s="89">
        <v>49013004</v>
      </c>
      <c r="C58" s="89">
        <v>49013035</v>
      </c>
      <c r="D58" s="21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ヘイ、少年！寿司食うカ？</v>
      </c>
      <c r="E58" s="21" t="str">
        <f ca="1">VLOOKUP($C58,OFFSET(enemy_skills!$A$1,0,0,COUNTA(enemy_skills!$A:$A),MATCH(E$1,enemy_skills!$1:$1,0)-MATCH("enemy_skill_id",enemy_skills!$1:$1,0)+1),MATCH(E$1,enemy_skills!$1:$1,0)-MATCH("enemy_skill_id",enemy_skills!$1:$1,0)+1,FALSE)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58" s="89">
        <v>49013057</v>
      </c>
      <c r="G58" s="23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23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8" s="23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23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23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23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23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23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692</v>
      </c>
      <c r="O58" s="23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22"/>
      <c r="Q58" s="22"/>
      <c r="R58" s="22"/>
    </row>
    <row r="59" spans="1:18" ht="21" customHeight="1" x14ac:dyDescent="0.15">
      <c r="A59" s="153" t="str">
        <f t="shared" si="0"/>
        <v>49013004_49013036</v>
      </c>
      <c r="B59" s="89">
        <v>49013004</v>
      </c>
      <c r="C59" s="89">
        <v>49013036</v>
      </c>
      <c r="D59" s="21" t="str">
        <f ca="1">VLOOKUP($C59,OFFSET(enemy_skills!$A$1,0,0,COUNTA(enemy_skills!$A:$A),MATCH(D$1,enemy_skills!$1:$1,0)-MATCH("enemy_skill_id",enemy_skills!$1:$1,0)+1),MATCH(D$1,enemy_skills!$1:$1,0)-MATCH("enemy_skill_id",enemy_skills!$1:$1,0)+1,FALSE)</f>
        <v>臨也、お前は本当に・・・</v>
      </c>
      <c r="E59" s="21" t="str">
        <f ca="1">VLOOKUP($C59,OFFSET(enemy_skills!$A$1,0,0,COUNTA(enemy_skills!$A:$A),MATCH(E$1,enemy_skills!$1:$1,0)-MATCH("enemy_skill_id",enemy_skills!$1:$1,0)+1),MATCH(E$1,enemy_skills!$1:$1,0)-MATCH("enemy_skill_id",enemy_skills!$1:$1,0)+1,FALSE)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59" s="89">
        <v>49013058</v>
      </c>
      <c r="G59" s="23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23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59" s="23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23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23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23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23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23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59" s="23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22"/>
      <c r="Q59" s="22"/>
      <c r="R59" s="22"/>
    </row>
    <row r="60" spans="1:18" ht="21" customHeight="1" x14ac:dyDescent="0.15">
      <c r="A60" s="153" t="str">
        <f t="shared" si="0"/>
        <v>49013004_49013036</v>
      </c>
      <c r="B60" s="89">
        <v>49013004</v>
      </c>
      <c r="C60" s="89">
        <v>49013036</v>
      </c>
      <c r="D60" s="21" t="str">
        <f ca="1">VLOOKUP($C60,OFFSET(enemy_skills!$A$1,0,0,COUNTA(enemy_skills!$A:$A),MATCH(D$1,enemy_skills!$1:$1,0)-MATCH("enemy_skill_id",enemy_skills!$1:$1,0)+1),MATCH(D$1,enemy_skills!$1:$1,0)-MATCH("enemy_skill_id",enemy_skills!$1:$1,0)+1,FALSE)</f>
        <v>臨也、お前は本当に・・・</v>
      </c>
      <c r="E60" s="21" t="str">
        <f ca="1">VLOOKUP($C60,OFFSET(enemy_skills!$A$1,0,0,COUNTA(enemy_skills!$A:$A),MATCH(E$1,enemy_skills!$1:$1,0)-MATCH("enemy_skill_id",enemy_skills!$1:$1,0)+1),MATCH(E$1,enemy_skills!$1:$1,0)-MATCH("enemy_skill_id",enemy_skills!$1:$1,0)+1,FALSE)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0" s="89">
        <v>49013059</v>
      </c>
      <c r="G60" s="23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23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60" s="23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23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23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23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23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23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60" s="23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22"/>
      <c r="Q60" s="22"/>
      <c r="R60" s="22"/>
    </row>
    <row r="61" spans="1:18" ht="21" customHeight="1" x14ac:dyDescent="0.15">
      <c r="A61" s="153" t="str">
        <f t="shared" si="0"/>
        <v>49013004_49013037</v>
      </c>
      <c r="B61" s="89">
        <v>49013004</v>
      </c>
      <c r="C61" s="89">
        <v>49013037</v>
      </c>
      <c r="D61" s="21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ヘイ、お嬢サン！寿司食うカ？</v>
      </c>
      <c r="E61" s="21" t="str">
        <f ca="1">VLOOKUP($C61,OFFSET(enemy_skills!$A$1,0,0,COUNTA(enemy_skills!$A:$A),MATCH(E$1,enemy_skills!$1:$1,0)-MATCH("enemy_skill_id",enemy_skills!$1:$1,0)+1),MATCH(E$1,enemy_skills!$1:$1,0)-MATCH("enemy_skill_id",enemy_skills!$1:$1,0)+1,FALSE)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1" s="89">
        <v>49013060</v>
      </c>
      <c r="G61" s="23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23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61" s="23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23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23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23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23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23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61" s="23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22"/>
      <c r="Q61" s="22"/>
      <c r="R61" s="22"/>
    </row>
    <row r="62" spans="1:18" ht="21" customHeight="1" x14ac:dyDescent="0.15">
      <c r="A62" s="153" t="str">
        <f t="shared" si="0"/>
        <v>49013004_49013037</v>
      </c>
      <c r="B62" s="89">
        <v>49013004</v>
      </c>
      <c r="C62" s="89">
        <v>49013037</v>
      </c>
      <c r="D62" s="21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ヘイ、お嬢サン！寿司食うカ？</v>
      </c>
      <c r="E62" s="21" t="str">
        <f ca="1">VLOOKUP($C62,OFFSET(enemy_skills!$A$1,0,0,COUNTA(enemy_skills!$A:$A),MATCH(E$1,enemy_skills!$1:$1,0)-MATCH("enemy_skill_id",enemy_skills!$1:$1,0)+1),MATCH(E$1,enemy_skills!$1:$1,0)-MATCH("enemy_skill_id",enemy_skills!$1:$1,0)+1,FALSE)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2" s="89">
        <v>49013061</v>
      </c>
      <c r="G62" s="23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23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62" s="23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23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23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23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23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23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62" s="23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22"/>
      <c r="Q62" s="22"/>
      <c r="R62" s="22"/>
    </row>
    <row r="63" spans="1:18" ht="21" customHeight="1" x14ac:dyDescent="0.15">
      <c r="A63" s="153" t="str">
        <f t="shared" si="0"/>
        <v>49013004_49013037</v>
      </c>
      <c r="B63" s="89">
        <v>49013004</v>
      </c>
      <c r="C63" s="89">
        <v>49013037</v>
      </c>
      <c r="D63" s="21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ヘイ、お嬢サン！寿司食うカ？</v>
      </c>
      <c r="E63" s="21" t="str">
        <f ca="1">VLOOKUP($C63,OFFSET(enemy_skills!$A$1,0,0,COUNTA(enemy_skills!$A:$A),MATCH(E$1,enemy_skills!$1:$1,0)-MATCH("enemy_skill_id",enemy_skills!$1:$1,0)+1),MATCH(E$1,enemy_skills!$1:$1,0)-MATCH("enemy_skill_id",enemy_skills!$1:$1,0)+1,FALSE)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3" s="89">
        <v>49013062</v>
      </c>
      <c r="G63" s="23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23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63" s="23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23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23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23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23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23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704</v>
      </c>
      <c r="O63" s="23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22"/>
      <c r="Q63" s="22"/>
      <c r="R63" s="22"/>
    </row>
    <row r="64" spans="1:18" ht="21" customHeight="1" x14ac:dyDescent="0.15">
      <c r="A64" s="153" t="str">
        <f t="shared" si="0"/>
        <v>49013004_49013037</v>
      </c>
      <c r="B64" s="89">
        <v>49013004</v>
      </c>
      <c r="C64" s="89">
        <v>49013037</v>
      </c>
      <c r="D64" s="21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ヘイ、お嬢サン！寿司食うカ？</v>
      </c>
      <c r="E64" s="21" t="str">
        <f ca="1">VLOOKUP($C64,OFFSET(enemy_skills!$A$1,0,0,COUNTA(enemy_skills!$A:$A),MATCH(E$1,enemy_skills!$1:$1,0)-MATCH("enemy_skill_id",enemy_skills!$1:$1,0)+1),MATCH(E$1,enemy_skills!$1:$1,0)-MATCH("enemy_skill_id",enemy_skills!$1:$1,0)+1,FALSE)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4" s="89">
        <v>49013063</v>
      </c>
      <c r="G64" s="23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23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64" s="23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23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23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23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23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23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705</v>
      </c>
      <c r="O64" s="23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22"/>
      <c r="Q64" s="22"/>
      <c r="R64" s="22"/>
    </row>
    <row r="65" spans="1:18" ht="21" customHeight="1" x14ac:dyDescent="0.15">
      <c r="A65" s="153" t="str">
        <f t="shared" si="0"/>
        <v>49013004_49013037</v>
      </c>
      <c r="B65" s="89">
        <v>49013004</v>
      </c>
      <c r="C65" s="89">
        <v>49013037</v>
      </c>
      <c r="D65" s="21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ヘイ、お嬢サン！寿司食うカ？</v>
      </c>
      <c r="E65" s="21" t="str">
        <f ca="1">VLOOKUP($C65,OFFSET(enemy_skills!$A$1,0,0,COUNTA(enemy_skills!$A:$A),MATCH(E$1,enemy_skills!$1:$1,0)-MATCH("enemy_skill_id",enemy_skills!$1:$1,0)+1),MATCH(E$1,enemy_skills!$1:$1,0)-MATCH("enemy_skill_id",enemy_skills!$1:$1,0)+1,FALSE)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5" s="89">
        <v>49013064</v>
      </c>
      <c r="G65" s="23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23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5" s="23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23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23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23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23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23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714</v>
      </c>
      <c r="O65" s="23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22"/>
      <c r="Q65" s="22"/>
      <c r="R65" s="22"/>
    </row>
    <row r="66" spans="1:18" ht="21" customHeight="1" x14ac:dyDescent="0.15">
      <c r="A66" s="153" t="str">
        <f t="shared" si="0"/>
        <v>49013004_49013037</v>
      </c>
      <c r="B66" s="89">
        <v>49013004</v>
      </c>
      <c r="C66" s="89">
        <v>49013037</v>
      </c>
      <c r="D66" s="21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ヘイ、お嬢サン！寿司食うカ？</v>
      </c>
      <c r="E66" s="21" t="str">
        <f ca="1">VLOOKUP($C66,OFFSET(enemy_skills!$A$1,0,0,COUNTA(enemy_skills!$A:$A),MATCH(E$1,enemy_skills!$1:$1,0)-MATCH("enemy_skill_id",enemy_skills!$1:$1,0)+1),MATCH(E$1,enemy_skills!$1:$1,0)-MATCH("enemy_skill_id",enemy_skills!$1:$1,0)+1,FALSE)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6" s="89">
        <v>49013065</v>
      </c>
      <c r="G66" s="23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23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6" s="23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23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23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23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23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23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715</v>
      </c>
      <c r="O66" s="23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22"/>
      <c r="Q66" s="22"/>
      <c r="R66" s="22"/>
    </row>
    <row r="67" spans="1:18" ht="21" customHeight="1" x14ac:dyDescent="0.15">
      <c r="A67" s="153" t="str">
        <f t="shared" si="0"/>
        <v>49013004_49013038</v>
      </c>
      <c r="B67" s="89">
        <v>49013004</v>
      </c>
      <c r="C67" s="89">
        <v>49013038</v>
      </c>
      <c r="D67" s="21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サービスするヨ門田シャチョー</v>
      </c>
      <c r="E67" s="21" t="str">
        <f ca="1">VLOOKUP($C67,OFFSET(enemy_skills!$A$1,0,0,COUNTA(enemy_skills!$A:$A),MATCH(E$1,enemy_skills!$1:$1,0)-MATCH("enemy_skill_id",enemy_skills!$1:$1,0)+1),MATCH(E$1,enemy_skills!$1:$1,0)-MATCH("enemy_skill_id",enemy_skills!$1:$1,0)+1,FALSE)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7" s="89">
        <v>49013066</v>
      </c>
      <c r="G67" s="23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23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67" s="23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23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23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23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23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23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708</v>
      </c>
      <c r="O67" s="23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22"/>
      <c r="Q67" s="22"/>
      <c r="R67" s="22"/>
    </row>
    <row r="68" spans="1:18" ht="21" customHeight="1" x14ac:dyDescent="0.15">
      <c r="A68" s="153" t="str">
        <f t="shared" si="0"/>
        <v>49013004_49013038</v>
      </c>
      <c r="B68" s="89">
        <v>49013004</v>
      </c>
      <c r="C68" s="89">
        <v>49013038</v>
      </c>
      <c r="D68" s="21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サービスするヨ門田シャチョー</v>
      </c>
      <c r="E68" s="21" t="str">
        <f ca="1">VLOOKUP($C68,OFFSET(enemy_skills!$A$1,0,0,COUNTA(enemy_skills!$A:$A),MATCH(E$1,enemy_skills!$1:$1,0)-MATCH("enemy_skill_id",enemy_skills!$1:$1,0)+1),MATCH(E$1,enemy_skills!$1:$1,0)-MATCH("enemy_skill_id",enemy_skills!$1:$1,0)+1,FALSE)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8" s="89">
        <v>49013067</v>
      </c>
      <c r="G68" s="23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23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68" s="23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23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23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23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23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23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709</v>
      </c>
      <c r="O68" s="23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22"/>
      <c r="Q68" s="22"/>
      <c r="R68" s="22"/>
    </row>
    <row r="69" spans="1:18" ht="21" customHeight="1" x14ac:dyDescent="0.15">
      <c r="A69" s="153" t="str">
        <f t="shared" si="0"/>
        <v>49013004_49013039</v>
      </c>
      <c r="B69" s="89">
        <v>49013004</v>
      </c>
      <c r="C69" s="89">
        <v>49013039</v>
      </c>
      <c r="D69" s="21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ヘイラッシャイ！寿司食うカ？</v>
      </c>
      <c r="E69" s="21" t="str">
        <f ca="1">VLOOKUP($C69,OFFSET(enemy_skills!$A$1,0,0,COUNTA(enemy_skills!$A:$A),MATCH(E$1,enemy_skills!$1:$1,0)-MATCH("enemy_skill_id",enemy_skills!$1:$1,0)+1),MATCH(E$1,enemy_skills!$1:$1,0)-MATCH("enemy_skill_id",enemy_skills!$1:$1,0)+1,FALSE)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69" s="89">
        <v>49013068</v>
      </c>
      <c r="G69" s="23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23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69" s="23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23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23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23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23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23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710</v>
      </c>
      <c r="O69" s="23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22"/>
      <c r="Q69" s="22"/>
      <c r="R69" s="22"/>
    </row>
    <row r="70" spans="1:18" ht="21" customHeight="1" x14ac:dyDescent="0.15">
      <c r="A70" s="153" t="str">
        <f t="shared" si="0"/>
        <v>49013004_49013039</v>
      </c>
      <c r="B70" s="89">
        <v>49013004</v>
      </c>
      <c r="C70" s="89">
        <v>49013039</v>
      </c>
      <c r="D70" s="21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ヘイラッシャイ！寿司食うカ？</v>
      </c>
      <c r="E70" s="21" t="str">
        <f ca="1">VLOOKUP($C70,OFFSET(enemy_skills!$A$1,0,0,COUNTA(enemy_skills!$A:$A),MATCH(E$1,enemy_skills!$1:$1,0)-MATCH("enemy_skill_id",enemy_skills!$1:$1,0)+1),MATCH(E$1,enemy_skills!$1:$1,0)-MATCH("enemy_skill_id",enemy_skills!$1:$1,0)+1,FALSE)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70" s="89">
        <v>49013069</v>
      </c>
      <c r="G70" s="23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23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70" s="23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23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23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23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23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23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711</v>
      </c>
      <c r="O70" s="23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22"/>
      <c r="Q70" s="22"/>
      <c r="R70" s="22"/>
    </row>
    <row r="71" spans="1:18" ht="21" customHeight="1" x14ac:dyDescent="0.15">
      <c r="A71" s="153" t="str">
        <f t="shared" si="0"/>
        <v>49013004_49013035</v>
      </c>
      <c r="B71" s="89">
        <v>49013004</v>
      </c>
      <c r="C71" s="89">
        <v>49013035</v>
      </c>
      <c r="D71" s="21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ヘイ、少年！寿司食うカ？</v>
      </c>
      <c r="E71" s="21" t="str">
        <f ca="1">VLOOKUP($C71,OFFSET(enemy_skills!$A$1,0,0,COUNTA(enemy_skills!$A:$A),MATCH(E$1,enemy_skills!$1:$1,0)-MATCH("enemy_skill_id",enemy_skills!$1:$1,0)+1),MATCH(E$1,enemy_skills!$1:$1,0)-MATCH("enemy_skill_id",enemy_skills!$1:$1,0)+1,FALSE)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71" s="89">
        <v>49013070</v>
      </c>
      <c r="G71" s="23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23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71" s="23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23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23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23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23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23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71" s="23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22"/>
      <c r="Q71" s="22"/>
      <c r="R71" s="22"/>
    </row>
    <row r="72" spans="1:18" ht="21" customHeight="1" x14ac:dyDescent="0.15">
      <c r="A72" s="153" t="str">
        <f t="shared" si="0"/>
        <v>49013004_49013035</v>
      </c>
      <c r="B72" s="89">
        <v>49013004</v>
      </c>
      <c r="C72" s="89">
        <v>49013035</v>
      </c>
      <c r="D72" s="21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ヘイ、少年！寿司食うカ？</v>
      </c>
      <c r="E72" s="21" t="str">
        <f ca="1">VLOOKUP($C72,OFFSET(enemy_skills!$A$1,0,0,COUNTA(enemy_skills!$A:$A),MATCH(E$1,enemy_skills!$1:$1,0)-MATCH("enemy_skill_id",enemy_skills!$1:$1,0)+1),MATCH(E$1,enemy_skills!$1:$1,0)-MATCH("enemy_skill_id",enemy_skills!$1:$1,0)+1,FALSE)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72" s="89">
        <v>49013071</v>
      </c>
      <c r="G72" s="23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23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72" s="23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23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23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23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23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23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72" s="23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22"/>
      <c r="Q72" s="22"/>
      <c r="R72" s="22"/>
    </row>
    <row r="73" spans="1:18" ht="21" customHeight="1" x14ac:dyDescent="0.15">
      <c r="A73" s="153" t="str">
        <f t="shared" si="0"/>
        <v>49013004_49013040</v>
      </c>
      <c r="B73" s="89">
        <v>49013004</v>
      </c>
      <c r="C73" s="89">
        <v>49013040</v>
      </c>
      <c r="D73" s="21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喧嘩ダメ！寿司食べナ！</v>
      </c>
      <c r="E73" s="21" t="str">
        <f ca="1">VLOOKUP($C73,OFFSET(enemy_skills!$A$1,0,0,COUNTA(enemy_skills!$A:$A),MATCH(E$1,enemy_skills!$1:$1,0)-MATCH("enemy_skill_id",enemy_skills!$1:$1,0)+1),MATCH(E$1,enemy_skills!$1:$1,0)-MATCH("enemy_skill_id",enemy_skills!$1:$1,0)+1,FALSE)</f>
        <v>1ターンユニット全体の攻撃力100%DOWN+_x000D_属性パネルをハートパネルに変換(最大20個)</v>
      </c>
      <c r="F73" s="89">
        <v>49013072</v>
      </c>
      <c r="G73" s="23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23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3" s="23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23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23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23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23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23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23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22"/>
      <c r="Q73" s="22"/>
      <c r="R73" s="22"/>
    </row>
    <row r="74" spans="1:18" ht="21" customHeight="1" x14ac:dyDescent="0.15">
      <c r="A74" s="153" t="str">
        <f t="shared" si="0"/>
        <v>49013004_49013041</v>
      </c>
      <c r="B74" s="89">
        <v>49013004</v>
      </c>
      <c r="C74" s="89">
        <v>49013041</v>
      </c>
      <c r="D74" s="21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ヘイ！サーモン一丁！</v>
      </c>
      <c r="E74" s="21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サーモンを突き出された！</v>
      </c>
      <c r="F74" s="89">
        <v>49013073</v>
      </c>
      <c r="G74" s="23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23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4" s="23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4" s="23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23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23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23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23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23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4" s="22"/>
      <c r="Q74" s="22"/>
      <c r="R74" s="22"/>
    </row>
    <row r="75" spans="1:18" ht="21" customHeight="1" x14ac:dyDescent="0.15">
      <c r="A75" s="153" t="str">
        <f t="shared" si="0"/>
        <v>49013004_49013042</v>
      </c>
      <c r="B75" s="89">
        <v>49013004</v>
      </c>
      <c r="C75" s="89">
        <v>49013042</v>
      </c>
      <c r="D75" s="21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ヘイ！イクラ一丁！</v>
      </c>
      <c r="E75" s="21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イクラを突き出された！</v>
      </c>
      <c r="F75" s="89">
        <v>49013074</v>
      </c>
      <c r="G75" s="23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23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5" s="23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5" s="23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23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23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23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23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23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5" s="22"/>
      <c r="Q75" s="22"/>
      <c r="R75" s="22"/>
    </row>
    <row r="76" spans="1:18" ht="21" customHeight="1" x14ac:dyDescent="0.15">
      <c r="A76" s="153" t="str">
        <f t="shared" si="0"/>
        <v>49013004_49013043</v>
      </c>
      <c r="B76" s="89">
        <v>49013004</v>
      </c>
      <c r="C76" s="89">
        <v>49013043</v>
      </c>
      <c r="D76" s="21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ヘイ！コハダ一丁！</v>
      </c>
      <c r="E76" s="21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コハダを突き出された！</v>
      </c>
      <c r="F76" s="89">
        <v>49013075</v>
      </c>
      <c r="G76" s="23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23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6" s="23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6" s="23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23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23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23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23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23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6" s="22"/>
      <c r="Q76" s="22"/>
      <c r="R76" s="22"/>
    </row>
    <row r="77" spans="1:18" ht="21" customHeight="1" x14ac:dyDescent="0.15">
      <c r="A77" s="153" t="str">
        <f t="shared" si="0"/>
        <v>49013004_49013044</v>
      </c>
      <c r="B77" s="89">
        <v>49013004</v>
      </c>
      <c r="C77" s="89">
        <v>49013044</v>
      </c>
      <c r="D77" s="21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ヘイ！大トロ一丁！</v>
      </c>
      <c r="E77" s="21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大トロを突き出された！</v>
      </c>
      <c r="F77" s="89">
        <v>49013076</v>
      </c>
      <c r="G77" s="23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23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7" s="23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23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23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23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23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23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23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22"/>
      <c r="Q77" s="22"/>
      <c r="R77" s="22"/>
    </row>
    <row r="78" spans="1:18" ht="21" customHeight="1" x14ac:dyDescent="0.15">
      <c r="A78" s="153" t="str">
        <f t="shared" si="0"/>
        <v>49013004_49013045</v>
      </c>
      <c r="B78" s="89">
        <v>49013004</v>
      </c>
      <c r="C78" s="89">
        <v>49013045</v>
      </c>
      <c r="D78" s="21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ハラショー！！</v>
      </c>
      <c r="E78" s="21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8" s="89">
        <v>49013077</v>
      </c>
      <c r="G78" s="23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23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8" s="23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8" s="23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23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23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8" s="23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23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23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8" s="22"/>
      <c r="Q78" s="22"/>
      <c r="R78" s="22"/>
    </row>
    <row r="79" spans="1:18" ht="21" customHeight="1" x14ac:dyDescent="0.15">
      <c r="A79" s="153" t="str">
        <f t="shared" si="0"/>
        <v>49013005_49013046</v>
      </c>
      <c r="B79" s="89">
        <v>49013005</v>
      </c>
      <c r="C79" s="89">
        <v>49013046</v>
      </c>
      <c r="D79" s="21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暴力ヨクナイヨ！</v>
      </c>
      <c r="E79" s="21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解除するまでユニット全体の攻撃をカウンター</v>
      </c>
      <c r="F79" s="89">
        <v>49013078</v>
      </c>
      <c r="G79" s="23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23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9" s="23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23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23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23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23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23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23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22"/>
      <c r="Q79" s="22"/>
      <c r="R79" s="22"/>
    </row>
    <row r="80" spans="1:18" ht="21" customHeight="1" x14ac:dyDescent="0.15">
      <c r="A80" s="153" t="str">
        <f t="shared" si="0"/>
        <v>49013005_49013047</v>
      </c>
      <c r="B80" s="89">
        <v>49013005</v>
      </c>
      <c r="C80" s="89">
        <v>49013047</v>
      </c>
      <c r="D80" s="21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サービスしとくヨ</v>
      </c>
      <c r="E80" s="21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0" s="89">
        <v>49013079</v>
      </c>
      <c r="G80" s="23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23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0" s="23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0" s="23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23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23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23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23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23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0" s="22"/>
      <c r="Q80" s="22"/>
      <c r="R80" s="22"/>
    </row>
    <row r="81" spans="1:18" ht="21" customHeight="1" x14ac:dyDescent="0.15">
      <c r="A81" s="153" t="str">
        <f t="shared" si="0"/>
        <v>49013005_49013048</v>
      </c>
      <c r="B81" s="89">
        <v>49013005</v>
      </c>
      <c r="C81" s="89">
        <v>49013048</v>
      </c>
      <c r="D81" s="21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もうイッチョいくヨ！</v>
      </c>
      <c r="E81" s="21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あがりを突き出された！</v>
      </c>
      <c r="F81" s="89">
        <v>49013080</v>
      </c>
      <c r="G81" s="23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23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1" s="23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23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23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23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23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23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23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22"/>
      <c r="Q81" s="22"/>
      <c r="R81" s="22"/>
    </row>
    <row r="82" spans="1:18" ht="21" customHeight="1" x14ac:dyDescent="0.15">
      <c r="A82" s="153" t="str">
        <f t="shared" si="0"/>
        <v>49013005_49013049</v>
      </c>
      <c r="B82" s="89">
        <v>49013005</v>
      </c>
      <c r="C82" s="89">
        <v>49013049</v>
      </c>
      <c r="D82" s="21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お腹空いてるカ？</v>
      </c>
      <c r="E82" s="21" t="str">
        <f ca="1">VLOOKUP($C82,OFFSET(enemy_skills!$A$1,0,0,COUNTA(enemy_skills!$A:$A),MATCH(E$1,enemy_skills!$1:$1,0)-MATCH("enemy_skill_id",enemy_skills!$1:$1,0)+1),MATCH(E$1,enemy_skills!$1:$1,0)-MATCH("enemy_skill_id",enemy_skills!$1:$1,0)+1,FALSE)</f>
        <v>自身の攻撃力UP+次のターン強力な攻撃</v>
      </c>
      <c r="F82" s="89">
        <v>49013081</v>
      </c>
      <c r="G82" s="23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23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82" s="23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23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2" s="23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23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23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23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23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22"/>
      <c r="Q82" s="22"/>
      <c r="R82" s="22"/>
    </row>
    <row r="83" spans="1:18" ht="21" customHeight="1" x14ac:dyDescent="0.15">
      <c r="A83" s="153" t="str">
        <f t="shared" si="0"/>
        <v>49013005_49013050</v>
      </c>
      <c r="B83" s="89">
        <v>49013005</v>
      </c>
      <c r="C83" s="89">
        <v>49013050</v>
      </c>
      <c r="D83" s="21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お腹一杯ナッタ？</v>
      </c>
      <c r="E83" s="21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3" s="89">
        <v>49013082</v>
      </c>
      <c r="G83" s="23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23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3" s="23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23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3" s="23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23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23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23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23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22"/>
      <c r="Q83" s="22"/>
      <c r="R83" s="22"/>
    </row>
    <row r="84" spans="1:18" ht="21" customHeight="1" x14ac:dyDescent="0.15">
      <c r="A84" s="153" t="str">
        <f t="shared" ref="A84:A131" si="1">B84&amp;"_"&amp;C84</f>
        <v>49013006_49013051</v>
      </c>
      <c r="B84" s="89">
        <v>49013006</v>
      </c>
      <c r="C84" s="89">
        <v>49013051</v>
      </c>
      <c r="D84" s="21" t="str">
        <f ca="1">VLOOKUP($C84,OFFSET(enemy_skills!$A$1,0,0,COUNTA(enemy_skills!$A:$A),MATCH(D$1,enemy_skills!$1:$1,0)-MATCH("enemy_skill_id",enemy_skills!$1:$1,0)+1),MATCH(D$1,enemy_skills!$1:$1,0)-MATCH("enemy_skill_id",enemy_skills!$1:$1,0)+1,FALSE)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84" s="21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84" s="89">
        <v>49013083</v>
      </c>
      <c r="G84" s="23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23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84" s="23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23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23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23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23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23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84" s="23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84" s="22"/>
      <c r="Q84" s="22"/>
      <c r="R84" s="22"/>
    </row>
    <row r="85" spans="1:18" ht="21" customHeight="1" x14ac:dyDescent="0.15">
      <c r="A85" s="153" t="str">
        <f t="shared" si="1"/>
        <v>49013006_49013051</v>
      </c>
      <c r="B85" s="89">
        <v>49013006</v>
      </c>
      <c r="C85" s="89">
        <v>49013051</v>
      </c>
      <c r="D85" s="21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85" s="21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85" s="89">
        <v>49013084</v>
      </c>
      <c r="G85" s="23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23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85" s="23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23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23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23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23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23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85" s="23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85" s="22"/>
      <c r="Q85" s="22"/>
      <c r="R85" s="22"/>
    </row>
    <row r="86" spans="1:18" ht="21" customHeight="1" x14ac:dyDescent="0.15">
      <c r="A86" s="153" t="str">
        <f t="shared" si="1"/>
        <v>49013006_49013052</v>
      </c>
      <c r="B86" s="89">
        <v>49013006</v>
      </c>
      <c r="C86" s="89">
        <v>49013052</v>
      </c>
      <c r="D86" s="21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君と会ったのは偶然じゃないんだよ_x000D_竜ヶ峰帝人君</v>
      </c>
      <c r="E86" s="21" t="str">
        <f ca="1">VLOOKUP($C86,OFFSET(enemy_skills!$A$1,0,0,COUNTA(enemy_skills!$A:$A),MATCH(E$1,enemy_skills!$1:$1,0)-MATCH("enemy_skill_id",enemy_skills!$1:$1,0)+1),MATCH(E$1,enemy_skills!$1:$1,0)-MATCH("enemy_skill_id",enemy_skills!$1:$1,0)+1,FALSE)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86" s="89">
        <v>49013085</v>
      </c>
      <c r="G86" s="23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23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6" s="23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23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23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23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23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23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86" s="23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22"/>
      <c r="Q86" s="22"/>
      <c r="R86" s="22"/>
    </row>
    <row r="87" spans="1:18" ht="21" customHeight="1" x14ac:dyDescent="0.15">
      <c r="A87" s="153" t="str">
        <f t="shared" si="1"/>
        <v>49013006_49013052</v>
      </c>
      <c r="B87" s="89">
        <v>49013006</v>
      </c>
      <c r="C87" s="89">
        <v>49013052</v>
      </c>
      <c r="D87" s="21" t="str">
        <f ca="1">VLOOKUP($C87,OFFSET(enemy_skills!$A$1,0,0,COUNTA(enemy_skills!$A:$A),MATCH(D$1,enemy_skills!$1:$1,0)-MATCH("enemy_skill_id",enemy_skills!$1:$1,0)+1),MATCH(D$1,enemy_skills!$1:$1,0)-MATCH("enemy_skill_id",enemy_skills!$1:$1,0)+1,FALSE)</f>
        <v>君と会ったのは偶然じゃないんだよ_x000D_竜ヶ峰帝人君</v>
      </c>
      <c r="E87" s="21" t="str">
        <f ca="1">VLOOKUP($C87,OFFSET(enemy_skills!$A$1,0,0,COUNTA(enemy_skills!$A:$A),MATCH(E$1,enemy_skills!$1:$1,0)-MATCH("enemy_skill_id",enemy_skills!$1:$1,0)+1),MATCH(E$1,enemy_skills!$1:$1,0)-MATCH("enemy_skill_id",enemy_skills!$1:$1,0)+1,FALSE)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87" s="89">
        <v>49013086</v>
      </c>
      <c r="G87" s="23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23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7" s="23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23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23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23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23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23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87" s="23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22"/>
      <c r="Q87" s="22"/>
      <c r="R87" s="22"/>
    </row>
    <row r="88" spans="1:18" ht="21" customHeight="1" x14ac:dyDescent="0.15">
      <c r="A88" s="153" t="str">
        <f t="shared" si="1"/>
        <v>49013006_49013053</v>
      </c>
      <c r="B88" s="89">
        <v>49013006</v>
      </c>
      <c r="C88" s="89">
        <v>49013053</v>
      </c>
      <c r="D88" s="21" t="str">
        <f ca="1">VLOOKUP($C88,OFFSET(enemy_skills!$A$1,0,0,COUNTA(enemy_skills!$A:$A),MATCH(D$1,enemy_skills!$1:$1,0)-MATCH("enemy_skill_id",enemy_skills!$1:$1,0)+1),MATCH(D$1,enemy_skills!$1:$1,0)-MATCH("enemy_skill_id",enemy_skills!$1:$1,0)+1,FALSE)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88" s="21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88" s="89">
        <v>49013087</v>
      </c>
      <c r="G88" s="23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23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8" s="23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23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23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23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23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23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695</v>
      </c>
      <c r="O88" s="23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22"/>
      <c r="Q88" s="22"/>
      <c r="R88" s="22"/>
    </row>
    <row r="89" spans="1:18" ht="21" customHeight="1" x14ac:dyDescent="0.15">
      <c r="A89" s="153" t="str">
        <f t="shared" si="1"/>
        <v>49013006_49013053</v>
      </c>
      <c r="B89" s="89">
        <v>49013006</v>
      </c>
      <c r="C89" s="89">
        <v>49013053</v>
      </c>
      <c r="D89" s="21" t="str">
        <f ca="1">VLOOKUP($C89,OFFSET(enemy_skills!$A$1,0,0,COUNTA(enemy_skills!$A:$A),MATCH(D$1,enemy_skills!$1:$1,0)-MATCH("enemy_skill_id",enemy_skills!$1:$1,0)+1),MATCH(D$1,enemy_skills!$1:$1,0)-MATCH("enemy_skill_id",enemy_skills!$1:$1,0)+1,FALSE)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89" s="21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89" s="89">
        <v>49013088</v>
      </c>
      <c r="G89" s="23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23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9" s="23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23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23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23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23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23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696</v>
      </c>
      <c r="O89" s="23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22"/>
      <c r="Q89" s="22"/>
      <c r="R89" s="22"/>
    </row>
    <row r="90" spans="1:18" ht="21" customHeight="1" x14ac:dyDescent="0.15">
      <c r="A90" s="153" t="str">
        <f t="shared" si="1"/>
        <v>49013006_49013053</v>
      </c>
      <c r="B90" s="89">
        <v>49013006</v>
      </c>
      <c r="C90" s="89">
        <v>49013053</v>
      </c>
      <c r="D90" s="21" t="str">
        <f ca="1">VLOOKUP($C90,OFFSET(enemy_skills!$A$1,0,0,COUNTA(enemy_skills!$A:$A),MATCH(D$1,enemy_skills!$1:$1,0)-MATCH("enemy_skill_id",enemy_skills!$1:$1,0)+1),MATCH(D$1,enemy_skills!$1:$1,0)-MATCH("enemy_skill_id",enemy_skills!$1:$1,0)+1,FALSE)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90" s="21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0" s="89">
        <v>49013089</v>
      </c>
      <c r="G90" s="23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23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0" s="23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23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23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23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23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23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697</v>
      </c>
      <c r="O90" s="23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22"/>
      <c r="Q90" s="22"/>
      <c r="R90" s="22"/>
    </row>
    <row r="91" spans="1:18" ht="21" customHeight="1" x14ac:dyDescent="0.15">
      <c r="A91" s="153" t="str">
        <f t="shared" si="1"/>
        <v>49013006_49013054</v>
      </c>
      <c r="B91" s="89">
        <v>49013006</v>
      </c>
      <c r="C91" s="89">
        <v>49013054</v>
      </c>
      <c r="D91" s="21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また現実を教えてあげようか？正臣君</v>
      </c>
      <c r="E91" s="21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1" s="89">
        <v>49013090</v>
      </c>
      <c r="G91" s="23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23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1" s="23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23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23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23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23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23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693</v>
      </c>
      <c r="O91" s="23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22"/>
      <c r="Q91" s="22"/>
      <c r="R91" s="22"/>
    </row>
    <row r="92" spans="1:18" ht="21" customHeight="1" x14ac:dyDescent="0.15">
      <c r="A92" s="153" t="str">
        <f t="shared" si="1"/>
        <v>49013006_49013054</v>
      </c>
      <c r="B92" s="89">
        <v>49013006</v>
      </c>
      <c r="C92" s="89">
        <v>49013054</v>
      </c>
      <c r="D92" s="21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また現実を教えてあげようか？正臣君</v>
      </c>
      <c r="E92" s="21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2" s="89">
        <v>49013091</v>
      </c>
      <c r="G92" s="23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23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2" s="23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23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23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23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23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23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694</v>
      </c>
      <c r="O92" s="23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22"/>
      <c r="Q92" s="22"/>
      <c r="R92" s="22"/>
    </row>
    <row r="93" spans="1:18" ht="21" customHeight="1" x14ac:dyDescent="0.15">
      <c r="A93" s="153" t="str">
        <f t="shared" si="1"/>
        <v>49013006_49013055</v>
      </c>
      <c r="B93" s="89">
        <v>49013006</v>
      </c>
      <c r="C93" s="89">
        <v>49013055</v>
      </c>
      <c r="D93" s="21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また何か企んでるのかな？</v>
      </c>
      <c r="E93" s="21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3" s="89">
        <v>49013092</v>
      </c>
      <c r="G93" s="23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23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3" s="23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23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23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23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23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23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691</v>
      </c>
      <c r="O93" s="23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22"/>
      <c r="Q93" s="22"/>
      <c r="R93" s="22"/>
    </row>
    <row r="94" spans="1:18" ht="21" customHeight="1" x14ac:dyDescent="0.15">
      <c r="A94" s="153" t="str">
        <f t="shared" si="1"/>
        <v>49013006_49013055</v>
      </c>
      <c r="B94" s="89">
        <v>49013006</v>
      </c>
      <c r="C94" s="89">
        <v>49013055</v>
      </c>
      <c r="D94" s="21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また何か企んでるのかな？</v>
      </c>
      <c r="E94" s="21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4" s="89">
        <v>49013093</v>
      </c>
      <c r="G94" s="23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23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4" s="23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23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23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23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23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23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692</v>
      </c>
      <c r="O94" s="23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22"/>
      <c r="Q94" s="22"/>
      <c r="R94" s="22"/>
    </row>
    <row r="95" spans="1:18" ht="21" customHeight="1" x14ac:dyDescent="0.15">
      <c r="A95" s="153" t="str">
        <f t="shared" si="1"/>
        <v>49013006_49013053</v>
      </c>
      <c r="B95" s="89">
        <v>49013006</v>
      </c>
      <c r="C95" s="89">
        <v>49013053</v>
      </c>
      <c r="D95" s="21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95" s="21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5" s="89">
        <v>49013094</v>
      </c>
      <c r="G95" s="23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23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5" s="23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23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23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23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23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23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95" s="23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22"/>
      <c r="Q95" s="22"/>
      <c r="R95" s="22"/>
    </row>
    <row r="96" spans="1:18" ht="21" customHeight="1" x14ac:dyDescent="0.15">
      <c r="A96" s="153" t="str">
        <f t="shared" si="1"/>
        <v>49013006_49013053</v>
      </c>
      <c r="B96" s="89">
        <v>49013006</v>
      </c>
      <c r="C96" s="89">
        <v>49013053</v>
      </c>
      <c r="D96" s="21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96" s="21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6" s="89">
        <v>49013095</v>
      </c>
      <c r="G96" s="23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23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96" s="23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23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23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23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23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23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96" s="23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22"/>
      <c r="Q96" s="22"/>
      <c r="R96" s="22"/>
    </row>
    <row r="97" spans="1:18" ht="21" customHeight="1" x14ac:dyDescent="0.15">
      <c r="A97" s="153" t="str">
        <f t="shared" si="1"/>
        <v>49013006_49013056</v>
      </c>
      <c r="B97" s="89">
        <v>49013006</v>
      </c>
      <c r="C97" s="89">
        <v>49013056</v>
      </c>
      <c r="D97" s="21" t="str">
        <f ca="1">VLOOKUP($C97,OFFSET(enemy_skills!$A$1,0,0,COUNTA(enemy_skills!$A:$A),MATCH(D$1,enemy_skills!$1:$1,0)-MATCH("enemy_skill_id",enemy_skills!$1:$1,0)+1),MATCH(D$1,enemy_skills!$1:$1,0)-MATCH("enemy_skill_id",enemy_skills!$1:$1,0)+1,FALSE)</f>
        <v>今日は寿司はいいや</v>
      </c>
      <c r="E97" s="21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7" s="89">
        <v>49013096</v>
      </c>
      <c r="G97" s="23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23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97" s="23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23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23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23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23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23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702</v>
      </c>
      <c r="O97" s="23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22"/>
      <c r="Q97" s="22"/>
      <c r="R97" s="22"/>
    </row>
    <row r="98" spans="1:18" ht="21" customHeight="1" x14ac:dyDescent="0.15">
      <c r="A98" s="153" t="str">
        <f t="shared" si="1"/>
        <v>49013006_49013056</v>
      </c>
      <c r="B98" s="89">
        <v>49013006</v>
      </c>
      <c r="C98" s="89">
        <v>49013056</v>
      </c>
      <c r="D98" s="21" t="str">
        <f ca="1">VLOOKUP($C98,OFFSET(enemy_skills!$A$1,0,0,COUNTA(enemy_skills!$A:$A),MATCH(D$1,enemy_skills!$1:$1,0)-MATCH("enemy_skill_id",enemy_skills!$1:$1,0)+1),MATCH(D$1,enemy_skills!$1:$1,0)-MATCH("enemy_skill_id",enemy_skills!$1:$1,0)+1,FALSE)</f>
        <v>今日は寿司はいいや</v>
      </c>
      <c r="E98" s="21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8" s="89">
        <v>49013097</v>
      </c>
      <c r="G98" s="23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23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98" s="23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23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23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23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23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23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703</v>
      </c>
      <c r="O98" s="23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22"/>
      <c r="Q98" s="22"/>
      <c r="R98" s="22"/>
    </row>
    <row r="99" spans="1:18" ht="21" customHeight="1" x14ac:dyDescent="0.15">
      <c r="A99" s="153" t="str">
        <f t="shared" si="1"/>
        <v>49013006_49013057</v>
      </c>
      <c r="B99" s="89">
        <v>49013006</v>
      </c>
      <c r="C99" s="89">
        <v>49013057</v>
      </c>
      <c r="D99" s="21" t="str">
        <f ca="1">VLOOKUP($C99,OFFSET(enemy_skills!$A$1,0,0,COUNTA(enemy_skills!$A:$A),MATCH(D$1,enemy_skills!$1:$1,0)-MATCH("enemy_skill_id",enemy_skills!$1:$1,0)+1),MATCH(D$1,enemy_skills!$1:$1,0)-MATCH("enemy_skill_id",enemy_skills!$1:$1,0)+1,FALSE)</f>
        <v>新羅、全く友達甲斐のないやつめ・・・</v>
      </c>
      <c r="E99" s="21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99" s="89">
        <v>49013098</v>
      </c>
      <c r="G99" s="23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23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99" s="23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23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23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23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23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23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706</v>
      </c>
      <c r="O99" s="23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22"/>
      <c r="Q99" s="22"/>
      <c r="R99" s="22"/>
    </row>
    <row r="100" spans="1:18" ht="21" customHeight="1" x14ac:dyDescent="0.15">
      <c r="A100" s="153" t="str">
        <f t="shared" si="1"/>
        <v>49013006_49013057</v>
      </c>
      <c r="B100" s="89">
        <v>49013006</v>
      </c>
      <c r="C100" s="89">
        <v>49013057</v>
      </c>
      <c r="D100" s="21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新羅、全く友達甲斐のないやつめ・・・</v>
      </c>
      <c r="E100" s="21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100" s="89">
        <v>49013099</v>
      </c>
      <c r="G100" s="23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23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100" s="23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23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23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23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23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23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707</v>
      </c>
      <c r="O100" s="23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22"/>
      <c r="Q100" s="22"/>
      <c r="R100" s="22"/>
    </row>
    <row r="101" spans="1:18" ht="21" customHeight="1" x14ac:dyDescent="0.15">
      <c r="A101" s="153" t="str">
        <f t="shared" si="1"/>
        <v>49013006_49013058</v>
      </c>
      <c r="B101" s="89">
        <v>49013006</v>
      </c>
      <c r="C101" s="89">
        <v>49013058</v>
      </c>
      <c r="D101" s="21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ドタチン、何しに来たの？</v>
      </c>
      <c r="E101" s="21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101" s="89">
        <v>49013100</v>
      </c>
      <c r="G101" s="23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23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01" s="23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23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23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23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23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23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708</v>
      </c>
      <c r="O101" s="23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22"/>
      <c r="Q101" s="22"/>
      <c r="R101" s="22"/>
    </row>
    <row r="102" spans="1:18" ht="21" customHeight="1" x14ac:dyDescent="0.15">
      <c r="A102" s="153" t="str">
        <f t="shared" si="1"/>
        <v>49013006_49013058</v>
      </c>
      <c r="B102" s="89">
        <v>49013006</v>
      </c>
      <c r="C102" s="89">
        <v>49013058</v>
      </c>
      <c r="D102" s="21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ドタチン、何しに来たの？</v>
      </c>
      <c r="E102" s="21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102" s="89">
        <v>49013101</v>
      </c>
      <c r="G102" s="23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23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02" s="23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23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23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23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23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23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709</v>
      </c>
      <c r="O102" s="23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22"/>
      <c r="Q102" s="22"/>
      <c r="R102" s="22"/>
    </row>
    <row r="103" spans="1:18" ht="21" customHeight="1" x14ac:dyDescent="0.15">
      <c r="A103" s="153" t="str">
        <f t="shared" si="1"/>
        <v>49013006_49013059</v>
      </c>
      <c r="B103" s="89">
        <v>49013006</v>
      </c>
      <c r="C103" s="89">
        <v>49013059</v>
      </c>
      <c r="D103" s="21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あぁ、シズちゃんの後輩か・・・</v>
      </c>
      <c r="E103" s="21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103" s="89">
        <v>49013102</v>
      </c>
      <c r="G103" s="23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23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3" s="23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23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23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23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23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23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719</v>
      </c>
      <c r="O103" s="23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22"/>
      <c r="Q103" s="22"/>
      <c r="R103" s="22"/>
    </row>
    <row r="104" spans="1:18" ht="21" customHeight="1" x14ac:dyDescent="0.15">
      <c r="A104" s="153" t="str">
        <f t="shared" si="1"/>
        <v>49013006_49013059</v>
      </c>
      <c r="B104" s="89">
        <v>49013006</v>
      </c>
      <c r="C104" s="89">
        <v>49013059</v>
      </c>
      <c r="D104" s="21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あぁ、シズちゃんの後輩か・・・</v>
      </c>
      <c r="E104" s="21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104" s="89">
        <v>49013103</v>
      </c>
      <c r="G104" s="23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23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4" s="23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23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23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23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23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23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718</v>
      </c>
      <c r="O104" s="23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22"/>
      <c r="Q104" s="22"/>
      <c r="R104" s="22"/>
    </row>
    <row r="105" spans="1:18" ht="21" customHeight="1" x14ac:dyDescent="0.15">
      <c r="A105" s="153" t="str">
        <f t="shared" si="1"/>
        <v>49013006_49013060</v>
      </c>
      <c r="B105" s="89">
        <v>49013006</v>
      </c>
      <c r="C105" s="89">
        <v>49013060</v>
      </c>
      <c r="D105" s="21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へぇ、俺とそっくりだけど・・・誰？</v>
      </c>
      <c r="E105" s="21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105" s="89">
        <v>49013104</v>
      </c>
      <c r="G105" s="23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23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105" s="23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23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23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23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23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23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105" s="23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22"/>
      <c r="Q105" s="22"/>
      <c r="R105" s="22"/>
    </row>
    <row r="106" spans="1:18" ht="21" customHeight="1" x14ac:dyDescent="0.15">
      <c r="A106" s="153" t="str">
        <f t="shared" si="1"/>
        <v>49013006_49013060</v>
      </c>
      <c r="B106" s="89">
        <v>49013006</v>
      </c>
      <c r="C106" s="89">
        <v>49013060</v>
      </c>
      <c r="D106" s="21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へぇ、俺とそっくりだけど・・・誰？</v>
      </c>
      <c r="E106" s="21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106" s="89">
        <v>49013105</v>
      </c>
      <c r="G106" s="23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23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106" s="23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23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23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23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23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23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106" s="23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22"/>
      <c r="Q106" s="22"/>
      <c r="R106" s="22"/>
    </row>
    <row r="107" spans="1:18" ht="21" customHeight="1" x14ac:dyDescent="0.15">
      <c r="A107" s="153" t="str">
        <f t="shared" si="1"/>
        <v>49013006_49013061</v>
      </c>
      <c r="B107" s="89">
        <v>49013006</v>
      </c>
      <c r="C107" s="89">
        <v>49013061</v>
      </c>
      <c r="D107" s="21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人、ラブ！！</v>
      </c>
      <c r="E107" s="21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107" s="89">
        <v>49013106</v>
      </c>
      <c r="G107" s="23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23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7" s="23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23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23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23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23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23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23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22"/>
      <c r="Q107" s="22"/>
      <c r="R107" s="22"/>
    </row>
    <row r="108" spans="1:18" ht="21" customHeight="1" x14ac:dyDescent="0.15">
      <c r="A108" s="153" t="str">
        <f t="shared" si="1"/>
        <v>49013006_49013062</v>
      </c>
      <c r="B108" s="89">
        <v>49013006</v>
      </c>
      <c r="C108" s="89">
        <v>49013062</v>
      </c>
      <c r="D108" s="21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こんなのでやられないよね？</v>
      </c>
      <c r="E108" s="21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楽しそうだ</v>
      </c>
      <c r="F108" s="89">
        <v>49013107</v>
      </c>
      <c r="G108" s="23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23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08" s="23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23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23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23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23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23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23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22"/>
      <c r="Q108" s="22"/>
      <c r="R108" s="22"/>
    </row>
    <row r="109" spans="1:18" ht="21" customHeight="1" x14ac:dyDescent="0.15">
      <c r="A109" s="153" t="str">
        <f t="shared" si="1"/>
        <v>49013006_49013063</v>
      </c>
      <c r="B109" s="89">
        <v>49013006</v>
      </c>
      <c r="C109" s="89">
        <v>49013063</v>
      </c>
      <c r="D109" s="21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要らないからあげるよ</v>
      </c>
      <c r="E109" s="21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単体攻撃+_x000D_属性パネルをランダムで時限式ダメージパネルに3個変換</v>
      </c>
      <c r="F109" s="89">
        <v>49013108</v>
      </c>
      <c r="G109" s="23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23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09" s="23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9" s="23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23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23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23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23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23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9" s="22"/>
      <c r="Q109" s="22"/>
      <c r="R109" s="22"/>
    </row>
    <row r="110" spans="1:18" ht="21" customHeight="1" x14ac:dyDescent="0.15">
      <c r="A110" s="153" t="str">
        <f t="shared" si="1"/>
        <v>49013006_49013064</v>
      </c>
      <c r="B110" s="89">
        <v>49013006</v>
      </c>
      <c r="C110" s="89">
        <v>49013064</v>
      </c>
      <c r="D110" s="21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どーぞお好きに回復すれば？</v>
      </c>
      <c r="E110" s="21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単体攻撃+赤&amp;緑&amp;黄&amp;青パネルを1個ずつプロテクト</v>
      </c>
      <c r="F110" s="89">
        <v>49013109</v>
      </c>
      <c r="G110" s="23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23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0" s="23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10" s="23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23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23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23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23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23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10" s="22"/>
      <c r="Q110" s="22"/>
      <c r="R110" s="22"/>
    </row>
    <row r="111" spans="1:18" ht="21" customHeight="1" x14ac:dyDescent="0.15">
      <c r="A111" s="153" t="str">
        <f t="shared" si="1"/>
        <v>49013006_49013065</v>
      </c>
      <c r="B111" s="89">
        <v>49013006</v>
      </c>
      <c r="C111" s="89">
        <v>49013065</v>
      </c>
      <c r="D111" s="21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アハハハハハハハ！！！</v>
      </c>
      <c r="E111" s="21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1" s="89">
        <v>49013110</v>
      </c>
      <c r="G111" s="23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23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1" s="23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1" s="23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23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23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23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23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23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1" s="22"/>
      <c r="Q111" s="22"/>
      <c r="R111" s="22"/>
    </row>
    <row r="112" spans="1:18" ht="21" customHeight="1" x14ac:dyDescent="0.15">
      <c r="A112" s="153" t="str">
        <f t="shared" si="1"/>
        <v>49013007_49013066</v>
      </c>
      <c r="B112" s="89">
        <v>49013007</v>
      </c>
      <c r="C112" s="89">
        <v>49013066</v>
      </c>
      <c r="D112" s="21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相変わらず馬鹿力だねぇ〜、シズちゃん</v>
      </c>
      <c r="E112" s="21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2" s="89">
        <v>49013111</v>
      </c>
      <c r="G112" s="23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23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2" s="23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23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23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23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23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23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112" s="23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12" s="22"/>
      <c r="Q112" s="22"/>
      <c r="R112" s="22"/>
    </row>
    <row r="113" spans="1:18" ht="21" customHeight="1" x14ac:dyDescent="0.15">
      <c r="A113" s="153" t="str">
        <f t="shared" si="1"/>
        <v>49013007_49013066</v>
      </c>
      <c r="B113" s="89">
        <v>49013007</v>
      </c>
      <c r="C113" s="89">
        <v>49013066</v>
      </c>
      <c r="D113" s="21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相変わらず馬鹿力だねぇ〜、シズちゃん</v>
      </c>
      <c r="E113" s="21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3" s="89">
        <v>49013112</v>
      </c>
      <c r="G113" s="23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23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3" s="23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23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23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23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23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23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113" s="23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13" s="22"/>
      <c r="Q113" s="22"/>
      <c r="R113" s="22"/>
    </row>
    <row r="114" spans="1:18" ht="21" customHeight="1" x14ac:dyDescent="0.15">
      <c r="A114" s="153" t="str">
        <f t="shared" si="1"/>
        <v>49013007_49013067</v>
      </c>
      <c r="B114" s="89">
        <v>49013007</v>
      </c>
      <c r="C114" s="89">
        <v>49013067</v>
      </c>
      <c r="D114" s="21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まだあるんだよねぇ</v>
      </c>
      <c r="E114" s="21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4" s="89">
        <v>49013113</v>
      </c>
      <c r="G114" s="23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23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14" s="23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23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23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23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23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23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23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22"/>
      <c r="Q114" s="22"/>
      <c r="R114" s="22"/>
    </row>
    <row r="115" spans="1:18" ht="21" customHeight="1" x14ac:dyDescent="0.15">
      <c r="A115" s="153" t="str">
        <f t="shared" si="1"/>
        <v>49013007_49013068</v>
      </c>
      <c r="B115" s="89">
        <v>49013007</v>
      </c>
      <c r="C115" s="89">
        <v>49013068</v>
      </c>
      <c r="D115" s="21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うーん、微妙！</v>
      </c>
      <c r="E115" s="21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鼻で笑っている！</v>
      </c>
      <c r="F115" s="89">
        <v>49013114</v>
      </c>
      <c r="G115" s="23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23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5" s="23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23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23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23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23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23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23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22"/>
      <c r="Q115" s="22"/>
      <c r="R115" s="22"/>
    </row>
    <row r="116" spans="1:18" ht="21" customHeight="1" x14ac:dyDescent="0.15">
      <c r="A116" s="153" t="str">
        <f t="shared" si="1"/>
        <v>49013007_49013069</v>
      </c>
      <c r="B116" s="89">
        <v>49013007</v>
      </c>
      <c r="C116" s="89">
        <v>49013069</v>
      </c>
      <c r="D116" s="21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良くないねぇ実に良くない</v>
      </c>
      <c r="E116" s="21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単体攻撃+_x000D_属性パネルをランダムでお邪魔パネルに3個変換</v>
      </c>
      <c r="F116" s="89">
        <v>49013115</v>
      </c>
      <c r="G116" s="23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23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6" s="23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6" s="23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23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23" t="str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6" s="23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23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23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6" s="22"/>
      <c r="Q116" s="22"/>
      <c r="R116" s="22"/>
    </row>
    <row r="117" spans="1:18" ht="21" customHeight="1" x14ac:dyDescent="0.15">
      <c r="A117" s="153" t="str">
        <f t="shared" si="1"/>
        <v>49013007_49013070</v>
      </c>
      <c r="B117" s="89">
        <v>49013007</v>
      </c>
      <c r="C117" s="89">
        <v>49013070</v>
      </c>
      <c r="D117" s="21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手加減してあげるよ</v>
      </c>
      <c r="E117" s="21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単体攻撃+赤&amp;緑&amp;黄&amp;青パネルを1個ずつプロテクト</v>
      </c>
      <c r="F117" s="89">
        <v>49013116</v>
      </c>
      <c r="G117" s="23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23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7" s="23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17" s="23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23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23" t="str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7" s="23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23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23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17" s="22"/>
      <c r="Q117" s="22"/>
      <c r="R117" s="22"/>
    </row>
    <row r="118" spans="1:18" ht="21" customHeight="1" x14ac:dyDescent="0.15">
      <c r="A118" s="153" t="str">
        <f t="shared" si="1"/>
        <v>49013007_49013071</v>
      </c>
      <c r="B118" s="89">
        <v>49013007</v>
      </c>
      <c r="C118" s="89">
        <v>49013071</v>
      </c>
      <c r="D118" s="21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いいねいいねぇ！</v>
      </c>
      <c r="E118" s="21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8" s="89">
        <v>49013117</v>
      </c>
      <c r="G118" s="23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23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8" s="23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8" s="23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23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23" t="str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8" s="23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23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23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8" s="22"/>
      <c r="Q118" s="22"/>
      <c r="R118" s="22"/>
    </row>
    <row r="119" spans="1:18" ht="21" customHeight="1" x14ac:dyDescent="0.15">
      <c r="A119" s="153" t="str">
        <f t="shared" si="1"/>
        <v>49013007_49013072</v>
      </c>
      <c r="B119" s="89">
        <v>49013007</v>
      </c>
      <c r="C119" s="89">
        <v>49013072</v>
      </c>
      <c r="D119" s="21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はいっ王手</v>
      </c>
      <c r="E119" s="21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赤&amp;黄パネルをお邪魔パネルに変換(最大10個)+_x000D_緑&amp;青パネルを時限式ダメージパネルに変換(最大10個)</v>
      </c>
      <c r="F119" s="89">
        <v>49013118</v>
      </c>
      <c r="G119" s="23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23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9" s="23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23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19" s="23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23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23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23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23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22"/>
      <c r="Q119" s="22"/>
      <c r="R119" s="22"/>
    </row>
    <row r="120" spans="1:18" ht="21" customHeight="1" x14ac:dyDescent="0.15">
      <c r="A120" s="153" t="str">
        <f t="shared" si="1"/>
        <v>49013008_49013073</v>
      </c>
      <c r="B120" s="89">
        <v>49013008</v>
      </c>
      <c r="C120" s="89">
        <v>49013073</v>
      </c>
      <c r="D120" s="21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君に罪をなすりつけた事、_x000D_まだ怒ってるのかな？</v>
      </c>
      <c r="E120" s="21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0" s="89">
        <v>49013119</v>
      </c>
      <c r="G120" s="23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23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0" s="23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23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23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23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23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23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120" s="23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20" s="22"/>
      <c r="Q120" s="22"/>
      <c r="R120" s="22"/>
    </row>
    <row r="121" spans="1:18" ht="21" customHeight="1" x14ac:dyDescent="0.15">
      <c r="A121" s="153" t="str">
        <f t="shared" si="1"/>
        <v>49013008_49013073</v>
      </c>
      <c r="B121" s="89">
        <v>49013008</v>
      </c>
      <c r="C121" s="89">
        <v>49013073</v>
      </c>
      <c r="D121" s="21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君に罪をなすりつけた事、_x000D_まだ怒ってるのかな？</v>
      </c>
      <c r="E121" s="21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1" s="89">
        <v>49013120</v>
      </c>
      <c r="G121" s="23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23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1" s="23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23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23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23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23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23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121" s="23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21" s="22"/>
      <c r="Q121" s="22"/>
      <c r="R121" s="22"/>
    </row>
    <row r="122" spans="1:18" ht="21" customHeight="1" x14ac:dyDescent="0.15">
      <c r="A122" s="153" t="str">
        <f t="shared" si="1"/>
        <v>49013008_49013074</v>
      </c>
      <c r="B122" s="89">
        <v>49013008</v>
      </c>
      <c r="C122" s="89">
        <v>49013074</v>
      </c>
      <c r="D122" s="21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終わると思った？なーんてね</v>
      </c>
      <c r="E122" s="21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状態異常耐性+フィーバーゲージ減少</v>
      </c>
      <c r="F122" s="89">
        <v>49013121</v>
      </c>
      <c r="G122" s="23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2" s="23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2" s="23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23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23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23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23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23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23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22"/>
      <c r="Q122" s="22"/>
      <c r="R122" s="22"/>
    </row>
    <row r="123" spans="1:18" ht="21" customHeight="1" x14ac:dyDescent="0.15">
      <c r="A123" s="153" t="str">
        <f t="shared" si="1"/>
        <v>49013008_49013075</v>
      </c>
      <c r="B123" s="89">
        <v>49013008</v>
      </c>
      <c r="C123" s="89">
        <v>49013075</v>
      </c>
      <c r="D123" s="21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痛いかな？痛いよね〜</v>
      </c>
      <c r="E123" s="21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嘲笑している！</v>
      </c>
      <c r="F123" s="89">
        <v>49013122</v>
      </c>
      <c r="G123" s="23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23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3" s="23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23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23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23" t="str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3" s="23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23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23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22"/>
      <c r="Q123" s="22"/>
      <c r="R123" s="22"/>
    </row>
    <row r="124" spans="1:18" ht="21" customHeight="1" x14ac:dyDescent="0.15">
      <c r="A124" s="153" t="str">
        <f t="shared" si="1"/>
        <v>49013008_49013076</v>
      </c>
      <c r="B124" s="89">
        <v>49013008</v>
      </c>
      <c r="C124" s="89">
        <v>49013076</v>
      </c>
      <c r="D124" s="21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ご苦労様だねぇ</v>
      </c>
      <c r="E124" s="21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単体攻撃+_x000D_属性パネルをランダムでお邪魔パネルに5個変換</v>
      </c>
      <c r="F124" s="89">
        <v>49013123</v>
      </c>
      <c r="G124" s="23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23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24" s="23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4" s="23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23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23" t="str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4" s="23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23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23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4" s="22"/>
      <c r="Q124" s="22"/>
      <c r="R124" s="22"/>
    </row>
    <row r="125" spans="1:18" ht="21" customHeight="1" x14ac:dyDescent="0.15">
      <c r="A125" s="153" t="str">
        <f t="shared" si="1"/>
        <v>49013008_49013077</v>
      </c>
      <c r="B125" s="89">
        <v>49013008</v>
      </c>
      <c r="C125" s="89">
        <v>49013077</v>
      </c>
      <c r="D125" s="21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まぁ頑張ってよ</v>
      </c>
      <c r="E125" s="21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単体攻撃+_x000D_属性パネルをランダムで時限式ダメージパネルに5個変換</v>
      </c>
      <c r="F125" s="89">
        <v>49013124</v>
      </c>
      <c r="G125" s="23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23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5" s="23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25" s="23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23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23" t="str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5" s="23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23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23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25" s="22"/>
      <c r="Q125" s="22"/>
      <c r="R125" s="22"/>
    </row>
    <row r="126" spans="1:18" ht="21" customHeight="1" x14ac:dyDescent="0.15">
      <c r="A126" s="153" t="str">
        <f t="shared" si="1"/>
        <v>49013008_49013078</v>
      </c>
      <c r="B126" s="89">
        <v>49013008</v>
      </c>
      <c r="C126" s="89">
        <v>49013078</v>
      </c>
      <c r="D126" s="21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まったく、やだなぁ</v>
      </c>
      <c r="E126" s="21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単体攻撃+赤&amp;緑&amp;黄&amp;青パネルを1個ずつプロテクト</v>
      </c>
      <c r="F126" s="89">
        <v>49013125</v>
      </c>
      <c r="G126" s="23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23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6" s="23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26" s="23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23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23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23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23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23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26" s="22"/>
      <c r="Q126" s="22"/>
      <c r="R126" s="22"/>
    </row>
    <row r="127" spans="1:18" ht="21" customHeight="1" x14ac:dyDescent="0.15">
      <c r="A127" s="153" t="str">
        <f t="shared" si="1"/>
        <v>49013008_49013079</v>
      </c>
      <c r="B127" s="89">
        <v>49013008</v>
      </c>
      <c r="C127" s="89">
        <v>49013079</v>
      </c>
      <c r="D127" s="21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はい、パーンッ！！！</v>
      </c>
      <c r="E127" s="21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27" s="89">
        <v>49013126</v>
      </c>
      <c r="G127" s="23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23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7" s="23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27" s="23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23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23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27" s="23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23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23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27" s="22"/>
      <c r="Q127" s="22"/>
      <c r="R127" s="22"/>
    </row>
    <row r="128" spans="1:18" ht="21" customHeight="1" x14ac:dyDescent="0.15">
      <c r="A128" s="153" t="str">
        <f t="shared" si="1"/>
        <v>49013008_49013080</v>
      </c>
      <c r="B128" s="89">
        <v>49013008</v>
      </c>
      <c r="C128" s="89">
        <v>49013080</v>
      </c>
      <c r="D128" s="21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いいねぇ実にいい！！！</v>
      </c>
      <c r="E128" s="21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種族ヒューマンのユニット以外に大ダメージの全体攻撃</v>
      </c>
      <c r="F128" s="89">
        <v>49013127</v>
      </c>
      <c r="G128" s="23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23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8" s="23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23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28" s="23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23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8" s="23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23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23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22"/>
      <c r="Q128" s="22"/>
      <c r="R128" s="22"/>
    </row>
    <row r="129" spans="1:18" ht="21" customHeight="1" x14ac:dyDescent="0.15">
      <c r="A129" s="153" t="str">
        <f t="shared" si="1"/>
        <v>49013008_49013081</v>
      </c>
      <c r="B129" s="89">
        <v>49013008</v>
      </c>
      <c r="C129" s="89">
        <v>49013081</v>
      </c>
      <c r="D129" s="21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まったく・・・単細胞の癖に_x000D_どうしてあんなに鋭いんだろうねぇ</v>
      </c>
      <c r="E129" s="21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これだから俺は・・・_x000D_シズちゃんのこと、大嫌いなんだよ</v>
      </c>
      <c r="F129" s="89">
        <v>49013128</v>
      </c>
      <c r="G129" s="23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23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9" s="23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23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23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23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23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23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129" s="23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29" s="22"/>
      <c r="Q129" s="22"/>
      <c r="R129" s="22"/>
    </row>
    <row r="130" spans="1:18" ht="21" customHeight="1" x14ac:dyDescent="0.15">
      <c r="A130" s="153" t="str">
        <f t="shared" si="1"/>
        <v>49013008_49013081</v>
      </c>
      <c r="B130" s="89">
        <v>49013008</v>
      </c>
      <c r="C130" s="89">
        <v>49013081</v>
      </c>
      <c r="D130" s="21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まったく・・・単細胞の癖に_x000D_どうしてあんなに鋭いんだろうねぇ</v>
      </c>
      <c r="E130" s="21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これだから俺は・・・_x000D_シズちゃんのこと、大嫌いなんだよ</v>
      </c>
      <c r="F130" s="89">
        <v>49013129</v>
      </c>
      <c r="G130" s="23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23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30" s="23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23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23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23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23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23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130" s="23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30" s="22"/>
      <c r="Q130" s="22"/>
      <c r="R130" s="22"/>
    </row>
    <row r="131" spans="1:18" ht="21" customHeight="1" x14ac:dyDescent="0.15">
      <c r="A131" s="153" t="str">
        <f t="shared" si="1"/>
        <v>49013008_49013082</v>
      </c>
      <c r="B131" s="89">
        <v>49013008</v>
      </c>
      <c r="C131" s="89">
        <v>49013082</v>
      </c>
      <c r="D131" s="21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最高に最高に最高に最っっっ高に</v>
      </c>
      <c r="E131" s="21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君達が大好きだ！！</v>
      </c>
      <c r="F131" s="89">
        <v>49013130</v>
      </c>
      <c r="G131" s="23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23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31" s="23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23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23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23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23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23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1" s="23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22"/>
      <c r="Q131" s="22"/>
      <c r="R131" s="22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>
      <selection activeCell="C3" sqref="C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39" t="s">
        <v>148</v>
      </c>
      <c r="B1" s="39" t="s">
        <v>149</v>
      </c>
      <c r="C1" s="40" t="s">
        <v>150</v>
      </c>
      <c r="D1" s="45" t="s">
        <v>151</v>
      </c>
      <c r="E1" s="41" t="s">
        <v>152</v>
      </c>
      <c r="F1" s="39" t="s">
        <v>153</v>
      </c>
      <c r="G1" s="39" t="s">
        <v>154</v>
      </c>
      <c r="H1" s="39" t="s">
        <v>155</v>
      </c>
      <c r="I1" s="39" t="s">
        <v>156</v>
      </c>
      <c r="J1" s="39" t="s">
        <v>157</v>
      </c>
      <c r="K1" s="39" t="s">
        <v>158</v>
      </c>
      <c r="L1" s="39" t="s">
        <v>159</v>
      </c>
      <c r="M1" s="39" t="s">
        <v>160</v>
      </c>
      <c r="N1" s="39" t="s">
        <v>161</v>
      </c>
      <c r="O1" s="39" t="s">
        <v>162</v>
      </c>
      <c r="P1" s="39" t="s">
        <v>163</v>
      </c>
      <c r="Q1" s="39" t="s">
        <v>164</v>
      </c>
      <c r="R1" s="39" t="s">
        <v>165</v>
      </c>
    </row>
    <row r="2" spans="1:18" x14ac:dyDescent="0.15">
      <c r="A2" s="156">
        <f>floors!$C$2</f>
        <v>49013</v>
      </c>
      <c r="B2" s="157">
        <v>1</v>
      </c>
      <c r="C2" s="158" t="str">
        <f t="shared" ref="C2:C8" si="0">A2&amp; "_"&amp;B2</f>
        <v>49013_1</v>
      </c>
      <c r="D2" s="110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57">
        <v>1</v>
      </c>
      <c r="F2" s="157" t="s">
        <v>412</v>
      </c>
      <c r="G2" s="159">
        <v>342</v>
      </c>
      <c r="H2" s="157">
        <v>1</v>
      </c>
      <c r="I2" s="157">
        <v>1</v>
      </c>
      <c r="J2" s="157">
        <v>1</v>
      </c>
      <c r="K2" s="157">
        <v>0</v>
      </c>
      <c r="L2" s="157">
        <v>0</v>
      </c>
      <c r="M2" s="157">
        <v>0</v>
      </c>
      <c r="N2" s="157">
        <v>0</v>
      </c>
      <c r="O2" s="157">
        <v>1</v>
      </c>
      <c r="P2" s="157">
        <v>50</v>
      </c>
      <c r="Q2" s="157" t="s">
        <v>166</v>
      </c>
      <c r="R2" s="160" t="s">
        <v>167</v>
      </c>
    </row>
    <row r="3" spans="1:18" x14ac:dyDescent="0.15">
      <c r="A3" s="156">
        <f>floors!$C$2</f>
        <v>49013</v>
      </c>
      <c r="B3" s="32">
        <v>1</v>
      </c>
      <c r="C3" s="161" t="str">
        <f t="shared" si="0"/>
        <v>49013_1</v>
      </c>
      <c r="D3" s="110" t="str">
        <f ca="1">VLOOKUP($C3,OFFSET([2]stages!$A$1,0,0,COUNTA([2]stages!$A:$A),MATCH(D$1,[2]stages!$2:$2,0)-MATCH($C$1,[2]stages!$2:$2,0)+1),MATCH(D$1,[2]stages!$2:$2,0)-MATCH($C$1,[2]stages!$2:$2,0)+1,FALSE)</f>
        <v>everyone</v>
      </c>
      <c r="E3" s="32">
        <v>2</v>
      </c>
      <c r="F3" s="32" t="s">
        <v>412</v>
      </c>
      <c r="G3" s="162">
        <v>607</v>
      </c>
      <c r="H3" s="32">
        <v>1</v>
      </c>
      <c r="I3" s="32">
        <v>1</v>
      </c>
      <c r="J3" s="32">
        <v>1</v>
      </c>
      <c r="K3" s="32">
        <v>0</v>
      </c>
      <c r="L3" s="32">
        <v>0</v>
      </c>
      <c r="M3" s="32">
        <v>0</v>
      </c>
      <c r="N3" s="32">
        <v>0</v>
      </c>
      <c r="O3" s="32">
        <v>1</v>
      </c>
      <c r="P3" s="32">
        <v>100</v>
      </c>
      <c r="Q3" s="32" t="s">
        <v>166</v>
      </c>
      <c r="R3" s="163" t="s">
        <v>167</v>
      </c>
    </row>
    <row r="4" spans="1:18" x14ac:dyDescent="0.15">
      <c r="A4" s="156">
        <f>floors!$C$2</f>
        <v>49013</v>
      </c>
      <c r="B4" s="32">
        <v>1</v>
      </c>
      <c r="C4" s="161" t="str">
        <f t="shared" si="0"/>
        <v>49013_1</v>
      </c>
      <c r="D4" s="110" t="str">
        <f ca="1">VLOOKUP($C4,OFFSET([2]stages!$A$1,0,0,COUNTA([2]stages!$A:$A),MATCH(D$1,[2]stages!$2:$2,0)-MATCH($C$1,[2]stages!$2:$2,0)+1),MATCH(D$1,[2]stages!$2:$2,0)-MATCH($C$1,[2]stages!$2:$2,0)+1,FALSE)</f>
        <v>everyone</v>
      </c>
      <c r="E4" s="32">
        <v>3</v>
      </c>
      <c r="F4" s="32" t="s">
        <v>412</v>
      </c>
      <c r="G4" s="162">
        <v>608</v>
      </c>
      <c r="H4" s="32">
        <v>1</v>
      </c>
      <c r="I4" s="32">
        <v>1</v>
      </c>
      <c r="J4" s="32">
        <v>1</v>
      </c>
      <c r="K4" s="32">
        <v>0</v>
      </c>
      <c r="L4" s="32">
        <v>0</v>
      </c>
      <c r="M4" s="32">
        <v>0</v>
      </c>
      <c r="N4" s="32">
        <v>0</v>
      </c>
      <c r="O4" s="32">
        <v>1</v>
      </c>
      <c r="P4" s="32">
        <v>100</v>
      </c>
      <c r="Q4" s="32" t="s">
        <v>166</v>
      </c>
      <c r="R4" s="163" t="s">
        <v>167</v>
      </c>
    </row>
    <row r="5" spans="1:18" x14ac:dyDescent="0.15">
      <c r="A5" s="156">
        <f>floors!$C$2</f>
        <v>49013</v>
      </c>
      <c r="B5" s="32">
        <v>1</v>
      </c>
      <c r="C5" s="161" t="str">
        <f t="shared" si="0"/>
        <v>49013_1</v>
      </c>
      <c r="D5" s="110" t="str">
        <f ca="1">VLOOKUP($C5,OFFSET([2]stages!$A$1,0,0,COUNTA([2]stages!$A:$A),MATCH(D$1,[2]stages!$2:$2,0)-MATCH($C$1,[2]stages!$2:$2,0)+1),MATCH(D$1,[2]stages!$2:$2,0)-MATCH($C$1,[2]stages!$2:$2,0)+1,FALSE)</f>
        <v>everyone</v>
      </c>
      <c r="E5" s="32">
        <v>4</v>
      </c>
      <c r="F5" s="32" t="s">
        <v>412</v>
      </c>
      <c r="G5" s="162">
        <v>609</v>
      </c>
      <c r="H5" s="32">
        <v>1</v>
      </c>
      <c r="I5" s="32">
        <v>1</v>
      </c>
      <c r="J5" s="32">
        <v>1</v>
      </c>
      <c r="K5" s="32">
        <v>0</v>
      </c>
      <c r="L5" s="32">
        <v>0</v>
      </c>
      <c r="M5" s="32">
        <v>0</v>
      </c>
      <c r="N5" s="32">
        <v>0</v>
      </c>
      <c r="O5" s="32">
        <v>1</v>
      </c>
      <c r="P5" s="32">
        <v>100</v>
      </c>
      <c r="Q5" s="32" t="s">
        <v>166</v>
      </c>
      <c r="R5" s="163" t="s">
        <v>167</v>
      </c>
    </row>
    <row r="6" spans="1:18" x14ac:dyDescent="0.15">
      <c r="A6" s="156">
        <f>floors!$C$2</f>
        <v>49013</v>
      </c>
      <c r="B6" s="32">
        <v>1</v>
      </c>
      <c r="C6" s="161" t="str">
        <f t="shared" si="0"/>
        <v>49013_1</v>
      </c>
      <c r="D6" s="110" t="str">
        <f ca="1">VLOOKUP($C6,OFFSET([2]stages!$A$1,0,0,COUNTA([2]stages!$A:$A),MATCH(D$1,[2]stages!$2:$2,0)-MATCH($C$1,[2]stages!$2:$2,0)+1),MATCH(D$1,[2]stages!$2:$2,0)-MATCH($C$1,[2]stages!$2:$2,0)+1,FALSE)</f>
        <v>everyone</v>
      </c>
      <c r="E6" s="32">
        <v>5</v>
      </c>
      <c r="F6" s="32" t="s">
        <v>412</v>
      </c>
      <c r="G6" s="162">
        <v>125</v>
      </c>
      <c r="H6" s="32">
        <v>1</v>
      </c>
      <c r="I6" s="32">
        <v>1</v>
      </c>
      <c r="J6" s="32">
        <v>1</v>
      </c>
      <c r="K6" s="32">
        <v>0</v>
      </c>
      <c r="L6" s="32">
        <v>0</v>
      </c>
      <c r="M6" s="32">
        <v>0</v>
      </c>
      <c r="N6" s="32">
        <v>0</v>
      </c>
      <c r="O6" s="32">
        <v>1</v>
      </c>
      <c r="P6" s="32">
        <v>30</v>
      </c>
      <c r="Q6" s="32" t="s">
        <v>166</v>
      </c>
      <c r="R6" s="163" t="s">
        <v>167</v>
      </c>
    </row>
    <row r="7" spans="1:18" x14ac:dyDescent="0.15">
      <c r="A7" s="156">
        <f>floors!$C$2</f>
        <v>49013</v>
      </c>
      <c r="B7" s="32">
        <v>1</v>
      </c>
      <c r="C7" s="161" t="str">
        <f t="shared" si="0"/>
        <v>49013_1</v>
      </c>
      <c r="D7" s="110" t="str">
        <f ca="1">VLOOKUP($C7,OFFSET([2]stages!$A$1,0,0,COUNTA([2]stages!$A:$A),MATCH(D$1,[2]stages!$2:$2,0)-MATCH($C$1,[2]stages!$2:$2,0)+1),MATCH(D$1,[2]stages!$2:$2,0)-MATCH($C$1,[2]stages!$2:$2,0)+1,FALSE)</f>
        <v>everyone</v>
      </c>
      <c r="E7" s="32">
        <v>6</v>
      </c>
      <c r="F7" s="32" t="s">
        <v>412</v>
      </c>
      <c r="G7" s="164">
        <v>700</v>
      </c>
      <c r="H7" s="165">
        <v>1</v>
      </c>
      <c r="I7" s="165">
        <v>1</v>
      </c>
      <c r="J7" s="165">
        <v>1</v>
      </c>
      <c r="K7" s="165">
        <v>0</v>
      </c>
      <c r="L7" s="165">
        <v>0</v>
      </c>
      <c r="M7" s="165">
        <v>0</v>
      </c>
      <c r="N7" s="165">
        <v>0</v>
      </c>
      <c r="O7" s="165">
        <v>1</v>
      </c>
      <c r="P7" s="165">
        <v>500</v>
      </c>
      <c r="Q7" s="32" t="s">
        <v>166</v>
      </c>
      <c r="R7" s="163" t="s">
        <v>167</v>
      </c>
    </row>
    <row r="8" spans="1:18" ht="16" thickBot="1" x14ac:dyDescent="0.2">
      <c r="A8" s="156">
        <f>floors!$C$2</f>
        <v>49013</v>
      </c>
      <c r="B8" s="150">
        <v>1</v>
      </c>
      <c r="C8" s="166" t="str">
        <f t="shared" si="0"/>
        <v>49013_1</v>
      </c>
      <c r="D8" s="110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50">
        <v>7</v>
      </c>
      <c r="F8" s="150" t="s">
        <v>412</v>
      </c>
      <c r="G8" s="167">
        <v>352</v>
      </c>
      <c r="H8" s="150">
        <v>1</v>
      </c>
      <c r="I8" s="150">
        <v>1</v>
      </c>
      <c r="J8" s="150">
        <v>1</v>
      </c>
      <c r="K8" s="150">
        <v>0</v>
      </c>
      <c r="L8" s="150">
        <v>0</v>
      </c>
      <c r="M8" s="150">
        <v>0</v>
      </c>
      <c r="N8" s="150">
        <v>0</v>
      </c>
      <c r="O8" s="150">
        <v>1</v>
      </c>
      <c r="P8" s="150">
        <v>120</v>
      </c>
      <c r="Q8" s="150" t="s">
        <v>166</v>
      </c>
      <c r="R8" s="168" t="s">
        <v>167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B5" sqref="B5"/>
    </sheetView>
  </sheetViews>
  <sheetFormatPr baseColWidth="12" defaultColWidth="13" defaultRowHeight="15" outlineLevelCol="1" x14ac:dyDescent="0.15"/>
  <cols>
    <col min="1" max="1" width="13" style="6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49" t="s">
        <v>184</v>
      </c>
      <c r="B1" s="46" t="s">
        <v>185</v>
      </c>
      <c r="C1" s="50" t="s">
        <v>186</v>
      </c>
      <c r="D1" s="50" t="s">
        <v>33</v>
      </c>
      <c r="E1" s="46" t="s">
        <v>187</v>
      </c>
      <c r="F1" s="50" t="s">
        <v>188</v>
      </c>
      <c r="G1" s="50" t="s">
        <v>33</v>
      </c>
      <c r="H1" s="46" t="s">
        <v>189</v>
      </c>
      <c r="I1" s="64" t="s">
        <v>191</v>
      </c>
      <c r="J1" s="52" t="s">
        <v>125</v>
      </c>
      <c r="K1" s="51" t="s">
        <v>183</v>
      </c>
      <c r="L1" s="65" t="s">
        <v>182</v>
      </c>
      <c r="M1" s="53" t="s">
        <v>192</v>
      </c>
    </row>
    <row r="2" spans="1:13" x14ac:dyDescent="0.15">
      <c r="A2" s="54" t="s">
        <v>197</v>
      </c>
      <c r="B2" s="55">
        <f>floors!$C$2</f>
        <v>49013</v>
      </c>
      <c r="C2" s="56" t="str">
        <f ca="1">VLOOKUP($B2,OFFSET([2]quests!$A$1,0,0,COUNTA([2]quests!$A:$A),MATCH(C$1,[2]quests!$1:$1,0)-MATCH($B$1,[2]quests!$1:$1,0)+1),MATCH(C$1,[2]quests!$1:$1,0)-MATCH($B$1,[2]quests!$1:$1,0)+1,FALSE)</f>
        <v>折原臨也襲来！</v>
      </c>
      <c r="D2" s="56" t="str">
        <f ca="1">VLOOKUP($B2,OFFSET([2]quests!$A$1,0,0,COUNTA([2]quests!$A:$A),MATCH(D$1,[2]quests!$1:$1,0)-MATCH($B$1,[2]quests!$1:$1,0)+1),MATCH(D$1,[2]quests!$1:$1,0)-MATCH($B$1,[2]quests!$1:$1,0)+1,FALSE)</f>
        <v>コラボ降臨3（復刻）</v>
      </c>
      <c r="E2" s="60">
        <v>1</v>
      </c>
      <c r="F2" s="56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2" s="56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コラボ降臨3（復刻）</v>
      </c>
      <c r="H2" s="58">
        <v>0</v>
      </c>
      <c r="I2">
        <v>12</v>
      </c>
      <c r="J2" s="57" t="s">
        <v>194</v>
      </c>
      <c r="K2" s="66" t="str">
        <f>VLOOKUP(I2,[6]stage_hints!$A:$C,3,FALSE)</f>
        <v>ユニットのお気に入り登録</v>
      </c>
      <c r="L2" s="67" t="str">
        <f>VLOOKUP(I2,[6]stage_hints!$A:$D,4,FALSE)</f>
        <v>大事なユニットを誤って消さないように_x000D_フォルダから「お気に入り登録」しましょう</v>
      </c>
      <c r="M2" s="32" t="s">
        <v>207</v>
      </c>
    </row>
    <row r="3" spans="1:13" x14ac:dyDescent="0.15">
      <c r="A3" s="54" t="s">
        <v>197</v>
      </c>
      <c r="B3" s="55">
        <f>floors!$C$2</f>
        <v>49013</v>
      </c>
      <c r="C3" s="56" t="str">
        <f ca="1">VLOOKUP($B3,OFFSET([2]quests!$A$1,0,0,COUNTA([2]quests!$A:$A),MATCH(C$1,[2]quests!$1:$1,0)-MATCH($B$1,[2]quests!$1:$1,0)+1),MATCH(C$1,[2]quests!$1:$1,0)-MATCH($B$1,[2]quests!$1:$1,0)+1,FALSE)</f>
        <v>折原臨也襲来！</v>
      </c>
      <c r="D3" s="56" t="str">
        <f ca="1">VLOOKUP($B3,OFFSET([2]quests!$A$1,0,0,COUNTA([2]quests!$A:$A),MATCH(D$1,[2]quests!$1:$1,0)-MATCH($B$1,[2]quests!$1:$1,0)+1),MATCH(D$1,[2]quests!$1:$1,0)-MATCH($B$1,[2]quests!$1:$1,0)+1,FALSE)</f>
        <v>コラボ降臨3（復刻）</v>
      </c>
      <c r="E3" s="60">
        <v>1</v>
      </c>
      <c r="F3" s="56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3" s="56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コラボ降臨3（復刻）</v>
      </c>
      <c r="H3" s="58">
        <v>0</v>
      </c>
      <c r="I3">
        <v>17</v>
      </c>
      <c r="J3" s="57" t="s">
        <v>194</v>
      </c>
      <c r="K3" s="66" t="str">
        <f>VLOOKUP(I3,[6]stage_hints!$A:$C,3,FALSE)</f>
        <v>リンクガチャ</v>
      </c>
      <c r="L3" s="67" t="str">
        <f>VLOOKUP(I3,[6]stage_hints!$A:$D,4,FALSE)</f>
        <v>無料のリンクガチャを回して_x000D_経験値素材や売却素材を獲得しましょう</v>
      </c>
      <c r="M3" s="32" t="s">
        <v>207</v>
      </c>
    </row>
    <row r="4" spans="1:13" x14ac:dyDescent="0.15">
      <c r="A4" s="54" t="s">
        <v>197</v>
      </c>
      <c r="B4" s="55">
        <f>floors!$C$2</f>
        <v>49013</v>
      </c>
      <c r="C4" s="56" t="str">
        <f ca="1">VLOOKUP($B4,OFFSET([2]quests!$A$1,0,0,COUNTA([2]quests!$A:$A),MATCH(C$1,[2]quests!$1:$1,0)-MATCH($B$1,[2]quests!$1:$1,0)+1),MATCH(C$1,[2]quests!$1:$1,0)-MATCH($B$1,[2]quests!$1:$1,0)+1,FALSE)</f>
        <v>折原臨也襲来！</v>
      </c>
      <c r="D4" s="56" t="str">
        <f ca="1">VLOOKUP($B4,OFFSET([2]quests!$A$1,0,0,COUNTA([2]quests!$A:$A),MATCH(D$1,[2]quests!$1:$1,0)-MATCH($B$1,[2]quests!$1:$1,0)+1),MATCH(D$1,[2]quests!$1:$1,0)-MATCH($B$1,[2]quests!$1:$1,0)+1,FALSE)</f>
        <v>コラボ降臨3（復刻）</v>
      </c>
      <c r="E4" s="60">
        <v>1</v>
      </c>
      <c r="F4" s="56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4" s="56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コラボ降臨3（復刻）</v>
      </c>
      <c r="H4" s="58">
        <v>0</v>
      </c>
      <c r="I4">
        <v>19</v>
      </c>
      <c r="J4" s="57" t="s">
        <v>194</v>
      </c>
      <c r="K4" s="66" t="str">
        <f>VLOOKUP(I4,[6]stage_hints!$A:$C,3,FALSE)</f>
        <v>ソロ専用チャレンジタワー</v>
      </c>
      <c r="L4" s="67" t="str">
        <f>VLOOKUP(I4,[6]stage_hints!$A:$D,4,FALSE)</f>
        <v>ソロ専用の「チャレンジタワー」では_x000D_各フロアごとにクリア報酬がもらえます</v>
      </c>
      <c r="M4" s="32" t="s">
        <v>207</v>
      </c>
    </row>
    <row r="5" spans="1:13" x14ac:dyDescent="0.15">
      <c r="A5" s="54" t="s">
        <v>197</v>
      </c>
      <c r="B5" s="55">
        <f>floors!$C$2</f>
        <v>49013</v>
      </c>
      <c r="C5" s="56" t="str">
        <f ca="1">VLOOKUP($B5,OFFSET([2]quests!$A$1,0,0,COUNTA([2]quests!$A:$A),MATCH(C$1,[2]quests!$1:$1,0)-MATCH($B$1,[2]quests!$1:$1,0)+1),MATCH(C$1,[2]quests!$1:$1,0)-MATCH($B$1,[2]quests!$1:$1,0)+1,FALSE)</f>
        <v>折原臨也襲来！</v>
      </c>
      <c r="D5" s="56" t="str">
        <f ca="1">VLOOKUP($B5,OFFSET([2]quests!$A$1,0,0,COUNTA([2]quests!$A:$A),MATCH(D$1,[2]quests!$1:$1,0)-MATCH($B$1,[2]quests!$1:$1,0)+1),MATCH(D$1,[2]quests!$1:$1,0)-MATCH($B$1,[2]quests!$1:$1,0)+1,FALSE)</f>
        <v>コラボ降臨3（復刻）</v>
      </c>
      <c r="E5" s="60">
        <v>1</v>
      </c>
      <c r="F5" s="56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5" s="56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コラボ降臨3（復刻）</v>
      </c>
      <c r="H5" s="58">
        <v>0</v>
      </c>
      <c r="I5">
        <v>21</v>
      </c>
      <c r="J5" s="57" t="s">
        <v>194</v>
      </c>
      <c r="K5" s="66" t="str">
        <f>VLOOKUP(I5,[6]stage_hints!$A:$C,3,FALSE)</f>
        <v>スキルを有効に</v>
      </c>
      <c r="L5" s="67" t="str">
        <f>VLOOKUP(I5,[6]stage_hints!$A:$D,4,FALSE)</f>
        <v>ターン経過でユニットのスキルが使えます_x000D_強力スキルでバトルを有利に進めましょう</v>
      </c>
      <c r="M5" s="32" t="s">
        <v>207</v>
      </c>
    </row>
    <row r="6" spans="1:13" x14ac:dyDescent="0.15">
      <c r="A6" s="54" t="s">
        <v>197</v>
      </c>
      <c r="B6" s="55">
        <f>floors!$C$2</f>
        <v>49013</v>
      </c>
      <c r="C6" s="56" t="str">
        <f ca="1">VLOOKUP($B6,OFFSET([2]quests!$A$1,0,0,COUNTA([2]quests!$A:$A),MATCH(C$1,[2]quests!$1:$1,0)-MATCH($B$1,[2]quests!$1:$1,0)+1),MATCH(C$1,[2]quests!$1:$1,0)-MATCH($B$1,[2]quests!$1:$1,0)+1,FALSE)</f>
        <v>折原臨也襲来！</v>
      </c>
      <c r="D6" s="56" t="str">
        <f ca="1">VLOOKUP($B6,OFFSET([2]quests!$A$1,0,0,COUNTA([2]quests!$A:$A),MATCH(D$1,[2]quests!$1:$1,0)-MATCH($B$1,[2]quests!$1:$1,0)+1),MATCH(D$1,[2]quests!$1:$1,0)-MATCH($B$1,[2]quests!$1:$1,0)+1,FALSE)</f>
        <v>コラボ降臨3（復刻）</v>
      </c>
      <c r="E6" s="60">
        <v>1</v>
      </c>
      <c r="F6" s="56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6" s="56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コラボ降臨3（復刻）</v>
      </c>
      <c r="H6" s="58">
        <v>0</v>
      </c>
      <c r="I6">
        <v>29</v>
      </c>
      <c r="J6" s="57" t="s">
        <v>194</v>
      </c>
      <c r="K6" s="66" t="str">
        <f>VLOOKUP(I6,[6]stage_hints!$A:$C,3,FALSE)</f>
        <v>「バグ」のメリット</v>
      </c>
      <c r="L6" s="67" t="str">
        <f>VLOOKUP(I6,[6]stage_hints!$A:$D,4,FALSE)</f>
        <v>ユニットの「バグ」を増やすと_x000D_報酬をもらえる確率がアップします</v>
      </c>
      <c r="M6" s="32" t="s">
        <v>207</v>
      </c>
    </row>
    <row r="7" spans="1:13" x14ac:dyDescent="0.15">
      <c r="A7" s="54" t="s">
        <v>197</v>
      </c>
      <c r="B7" s="55">
        <f>floors!$C$2</f>
        <v>49013</v>
      </c>
      <c r="C7" s="56" t="str">
        <f ca="1">VLOOKUP($B7,OFFSET([2]quests!$A$1,0,0,COUNTA([2]quests!$A:$A),MATCH(C$1,[2]quests!$1:$1,0)-MATCH($B$1,[2]quests!$1:$1,0)+1),MATCH(C$1,[2]quests!$1:$1,0)-MATCH($B$1,[2]quests!$1:$1,0)+1,FALSE)</f>
        <v>折原臨也襲来！</v>
      </c>
      <c r="D7" s="56" t="str">
        <f ca="1">VLOOKUP($B7,OFFSET([2]quests!$A$1,0,0,COUNTA([2]quests!$A:$A),MATCH(D$1,[2]quests!$1:$1,0)-MATCH($B$1,[2]quests!$1:$1,0)+1),MATCH(D$1,[2]quests!$1:$1,0)-MATCH($B$1,[2]quests!$1:$1,0)+1,FALSE)</f>
        <v>コラボ降臨3（復刻）</v>
      </c>
      <c r="E7" s="60">
        <v>1</v>
      </c>
      <c r="F7" s="56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7" s="56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コラボ降臨3（復刻）</v>
      </c>
      <c r="H7" s="58">
        <v>0</v>
      </c>
      <c r="I7">
        <v>30</v>
      </c>
      <c r="J7" s="57" t="s">
        <v>194</v>
      </c>
      <c r="K7" s="66" t="str">
        <f>VLOOKUP(I7,[6]stage_hints!$A:$C,3,FALSE)</f>
        <v>「バグ」の増やし方</v>
      </c>
      <c r="L7" s="67" t="str">
        <f>VLOOKUP(I7,[6]stage_hints!$A:$D,4,FALSE)</f>
        <v>同じユニット同士を強化で合成すると_x000D_「バグ」を増やすことができます</v>
      </c>
      <c r="M7" s="32" t="s">
        <v>207</v>
      </c>
    </row>
    <row r="8" spans="1:13" x14ac:dyDescent="0.15">
      <c r="A8" s="54" t="s">
        <v>197</v>
      </c>
      <c r="B8" s="55">
        <f>floors!$C$2</f>
        <v>49013</v>
      </c>
      <c r="C8" s="56" t="str">
        <f ca="1">VLOOKUP($B8,OFFSET([2]quests!$A$1,0,0,COUNTA([2]quests!$A:$A),MATCH(C$1,[2]quests!$1:$1,0)-MATCH($B$1,[2]quests!$1:$1,0)+1),MATCH(C$1,[2]quests!$1:$1,0)-MATCH($B$1,[2]quests!$1:$1,0)+1,FALSE)</f>
        <v>折原臨也襲来！</v>
      </c>
      <c r="D8" s="56" t="str">
        <f ca="1">VLOOKUP($B8,OFFSET([2]quests!$A$1,0,0,COUNTA([2]quests!$A:$A),MATCH(D$1,[2]quests!$1:$1,0)-MATCH($B$1,[2]quests!$1:$1,0)+1),MATCH(D$1,[2]quests!$1:$1,0)-MATCH($B$1,[2]quests!$1:$1,0)+1,FALSE)</f>
        <v>コラボ降臨3（復刻）</v>
      </c>
      <c r="E8" s="60">
        <v>1</v>
      </c>
      <c r="F8" s="56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8" s="56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コラボ降臨3（復刻）</v>
      </c>
      <c r="H8" s="58">
        <v>0</v>
      </c>
      <c r="I8">
        <v>32</v>
      </c>
      <c r="J8" s="57" t="s">
        <v>194</v>
      </c>
      <c r="K8" s="66" t="str">
        <f>VLOOKUP(I8,[6]stage_hints!$A:$C,3,FALSE)</f>
        <v>敵の連続攻撃には</v>
      </c>
      <c r="L8" s="67" t="str">
        <f>VLOOKUP(I8,[6]stage_hints!$A:$D,4,FALSE)</f>
        <v>カウンタースキルを持つユニットがいれば_x000D_ダメージ回数分の反撃ができます</v>
      </c>
      <c r="M8" s="32" t="s">
        <v>207</v>
      </c>
    </row>
    <row r="9" spans="1:13" x14ac:dyDescent="0.15">
      <c r="A9" s="54" t="s">
        <v>197</v>
      </c>
      <c r="B9" s="55">
        <f>floors!$C$2</f>
        <v>49013</v>
      </c>
      <c r="C9" s="56" t="str">
        <f ca="1">VLOOKUP($B9,OFFSET([2]quests!$A$1,0,0,COUNTA([2]quests!$A:$A),MATCH(C$1,[2]quests!$1:$1,0)-MATCH($B$1,[2]quests!$1:$1,0)+1),MATCH(C$1,[2]quests!$1:$1,0)-MATCH($B$1,[2]quests!$1:$1,0)+1,FALSE)</f>
        <v>折原臨也襲来！</v>
      </c>
      <c r="D9" s="56" t="str">
        <f ca="1">VLOOKUP($B9,OFFSET([2]quests!$A$1,0,0,COUNTA([2]quests!$A:$A),MATCH(D$1,[2]quests!$1:$1,0)-MATCH($B$1,[2]quests!$1:$1,0)+1),MATCH(D$1,[2]quests!$1:$1,0)-MATCH($B$1,[2]quests!$1:$1,0)+1,FALSE)</f>
        <v>コラボ降臨3（復刻）</v>
      </c>
      <c r="E9" s="60">
        <v>1</v>
      </c>
      <c r="F9" s="56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9" s="56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コラボ降臨3（復刻）</v>
      </c>
      <c r="H9" s="58">
        <v>0</v>
      </c>
      <c r="I9">
        <v>33</v>
      </c>
      <c r="J9" s="57" t="s">
        <v>194</v>
      </c>
      <c r="K9" s="66" t="str">
        <f>VLOOKUP(I9,[6]stage_hints!$A:$C,3,FALSE)</f>
        <v>敵のカウンター攻撃には</v>
      </c>
      <c r="L9" s="67" t="str">
        <f>VLOOKUP(I9,[6]stage_hints!$A:$D,4,FALSE)</f>
        <v>カウンターブレイクスキルを持っていれば_x000D_敵のカウンターを解除して攻撃ができます</v>
      </c>
      <c r="M9" s="32" t="s">
        <v>207</v>
      </c>
    </row>
    <row r="10" spans="1:13" x14ac:dyDescent="0.15">
      <c r="A10" s="54" t="s">
        <v>197</v>
      </c>
      <c r="B10" s="55">
        <f>floors!$C$2</f>
        <v>49013</v>
      </c>
      <c r="C10" s="56" t="str">
        <f ca="1">VLOOKUP($B10,OFFSET([2]quests!$A$1,0,0,COUNTA([2]quests!$A:$A),MATCH(C$1,[2]quests!$1:$1,0)-MATCH($B$1,[2]quests!$1:$1,0)+1),MATCH(C$1,[2]quests!$1:$1,0)-MATCH($B$1,[2]quests!$1:$1,0)+1,FALSE)</f>
        <v>折原臨也襲来！</v>
      </c>
      <c r="D10" s="56" t="str">
        <f ca="1">VLOOKUP($B10,OFFSET([2]quests!$A$1,0,0,COUNTA([2]quests!$A:$A),MATCH(D$1,[2]quests!$1:$1,0)-MATCH($B$1,[2]quests!$1:$1,0)+1),MATCH(D$1,[2]quests!$1:$1,0)-MATCH($B$1,[2]quests!$1:$1,0)+1,FALSE)</f>
        <v>コラボ降臨3（復刻）</v>
      </c>
      <c r="E10" s="60">
        <v>1</v>
      </c>
      <c r="F10" s="56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0" s="56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コラボ降臨3（復刻）</v>
      </c>
      <c r="H10" s="58">
        <v>0</v>
      </c>
      <c r="I10">
        <v>34</v>
      </c>
      <c r="J10" s="57" t="s">
        <v>194</v>
      </c>
      <c r="K10" s="66" t="str">
        <f>VLOOKUP(I10,[6]stage_hints!$A:$C,3,FALSE)</f>
        <v>ステータスをスキルで下げられたら</v>
      </c>
      <c r="L10" s="67" t="str">
        <f>VLOOKUP(I10,[6]stage_hints!$A:$D,4,FALSE)</f>
        <v>ステータスダウンのスキルを受けたら_x000D_ステータスアップスキルで上書きしましょう</v>
      </c>
      <c r="M10" s="32" t="s">
        <v>207</v>
      </c>
    </row>
    <row r="11" spans="1:13" x14ac:dyDescent="0.15">
      <c r="A11" s="54" t="s">
        <v>197</v>
      </c>
      <c r="B11" s="55">
        <f>floors!$C$2</f>
        <v>49013</v>
      </c>
      <c r="C11" s="56" t="str">
        <f ca="1">VLOOKUP($B11,OFFSET([2]quests!$A$1,0,0,COUNTA([2]quests!$A:$A),MATCH(C$1,[2]quests!$1:$1,0)-MATCH($B$1,[2]quests!$1:$1,0)+1),MATCH(C$1,[2]quests!$1:$1,0)-MATCH($B$1,[2]quests!$1:$1,0)+1,FALSE)</f>
        <v>折原臨也襲来！</v>
      </c>
      <c r="D11" s="56" t="str">
        <f ca="1">VLOOKUP($B11,OFFSET([2]quests!$A$1,0,0,COUNTA([2]quests!$A:$A),MATCH(D$1,[2]quests!$1:$1,0)-MATCH($B$1,[2]quests!$1:$1,0)+1),MATCH(D$1,[2]quests!$1:$1,0)-MATCH($B$1,[2]quests!$1:$1,0)+1,FALSE)</f>
        <v>コラボ降臨3（復刻）</v>
      </c>
      <c r="E11" s="60">
        <v>1</v>
      </c>
      <c r="F11" s="56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1" s="56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コラボ降臨3（復刻）</v>
      </c>
      <c r="H11" s="58">
        <v>0</v>
      </c>
      <c r="I11">
        <v>35</v>
      </c>
      <c r="J11" s="57" t="s">
        <v>194</v>
      </c>
      <c r="K11" s="66" t="str">
        <f>VLOOKUP(I11,[6]stage_hints!$A:$C,3,FALSE)</f>
        <v>敵のステータスがスキルで上がったら</v>
      </c>
      <c r="L11" s="67" t="str">
        <f>VLOOKUP(I11,[6]stage_hints!$A:$D,4,FALSE)</f>
        <v>敵のステータスがスキルでアップしたときは_x000D_ステータスダウンスキルで上書きしましょう</v>
      </c>
      <c r="M11" s="32" t="s">
        <v>207</v>
      </c>
    </row>
    <row r="12" spans="1:13" x14ac:dyDescent="0.15">
      <c r="A12" s="54" t="s">
        <v>197</v>
      </c>
      <c r="B12" s="55">
        <f>floors!$C$2</f>
        <v>49013</v>
      </c>
      <c r="C12" s="56" t="str">
        <f ca="1">VLOOKUP($B12,OFFSET([2]quests!$A$1,0,0,COUNTA([2]quests!$A:$A),MATCH(C$1,[2]quests!$1:$1,0)-MATCH($B$1,[2]quests!$1:$1,0)+1),MATCH(C$1,[2]quests!$1:$1,0)-MATCH($B$1,[2]quests!$1:$1,0)+1,FALSE)</f>
        <v>折原臨也襲来！</v>
      </c>
      <c r="D12" s="56" t="str">
        <f ca="1">VLOOKUP($B12,OFFSET([2]quests!$A$1,0,0,COUNTA([2]quests!$A:$A),MATCH(D$1,[2]quests!$1:$1,0)-MATCH($B$1,[2]quests!$1:$1,0)+1),MATCH(D$1,[2]quests!$1:$1,0)-MATCH($B$1,[2]quests!$1:$1,0)+1,FALSE)</f>
        <v>コラボ降臨3（復刻）</v>
      </c>
      <c r="E12" s="60">
        <v>1</v>
      </c>
      <c r="F12" s="56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2" s="56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コラボ降臨3（復刻）</v>
      </c>
      <c r="H12" s="58">
        <v>0</v>
      </c>
      <c r="I12">
        <v>36</v>
      </c>
      <c r="J12" s="57" t="s">
        <v>194</v>
      </c>
      <c r="K12" s="66" t="str">
        <f>VLOOKUP(I12,[6]stage_hints!$A:$C,3,FALSE)</f>
        <v>チャレンジタワーのボス</v>
      </c>
      <c r="L12" s="67" t="str">
        <f>VLOOKUP(I12,[6]stage_hints!$A:$D,4,FALSE)</f>
        <v>チャレンジタワーでのみ登場するボスは_x000D_一定確率で獲得することができます</v>
      </c>
      <c r="M12" s="32" t="s">
        <v>207</v>
      </c>
    </row>
    <row r="13" spans="1:13" x14ac:dyDescent="0.15">
      <c r="A13" s="54" t="s">
        <v>197</v>
      </c>
      <c r="B13" s="55">
        <f>floors!$C$2</f>
        <v>49013</v>
      </c>
      <c r="C13" s="56" t="str">
        <f ca="1">VLOOKUP($B13,OFFSET([2]quests!$A$1,0,0,COUNTA([2]quests!$A:$A),MATCH(C$1,[2]quests!$1:$1,0)-MATCH($B$1,[2]quests!$1:$1,0)+1),MATCH(C$1,[2]quests!$1:$1,0)-MATCH($B$1,[2]quests!$1:$1,0)+1,FALSE)</f>
        <v>折原臨也襲来！</v>
      </c>
      <c r="D13" s="56" t="str">
        <f ca="1">VLOOKUP($B13,OFFSET([2]quests!$A$1,0,0,COUNTA([2]quests!$A:$A),MATCH(D$1,[2]quests!$1:$1,0)-MATCH($B$1,[2]quests!$1:$1,0)+1),MATCH(D$1,[2]quests!$1:$1,0)-MATCH($B$1,[2]quests!$1:$1,0)+1,FALSE)</f>
        <v>コラボ降臨3（復刻）</v>
      </c>
      <c r="E13" s="60">
        <v>1</v>
      </c>
      <c r="F13" s="56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3" s="56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コラボ降臨3（復刻）</v>
      </c>
      <c r="H13" s="58">
        <v>0</v>
      </c>
      <c r="I13">
        <v>37</v>
      </c>
      <c r="J13" s="57" t="s">
        <v>194</v>
      </c>
      <c r="K13" s="66" t="str">
        <f>VLOOKUP(I13,[6]stage_hints!$A:$C,3,FALSE)</f>
        <v>限界突破値の引き継ぎ</v>
      </c>
      <c r="L13" s="67" t="str">
        <f>VLOOKUP(I13,[6]stage_hints!$A:$D,4,FALSE)</f>
        <v>同じユニットを強化で合成すると_x000D_限界突破値を引き継げます（覚醒前後も可）</v>
      </c>
      <c r="M13" s="32" t="s">
        <v>207</v>
      </c>
    </row>
    <row r="14" spans="1:13" x14ac:dyDescent="0.15">
      <c r="A14" s="54" t="s">
        <v>197</v>
      </c>
      <c r="B14" s="55">
        <f>floors!$C$2</f>
        <v>49013</v>
      </c>
      <c r="C14" s="56" t="str">
        <f ca="1">VLOOKUP($B14,OFFSET([2]quests!$A$1,0,0,COUNTA([2]quests!$A:$A),MATCH(C$1,[2]quests!$1:$1,0)-MATCH($B$1,[2]quests!$1:$1,0)+1),MATCH(C$1,[2]quests!$1:$1,0)-MATCH($B$1,[2]quests!$1:$1,0)+1,FALSE)</f>
        <v>折原臨也襲来！</v>
      </c>
      <c r="D14" s="56" t="str">
        <f ca="1">VLOOKUP($B14,OFFSET([2]quests!$A$1,0,0,COUNTA([2]quests!$A:$A),MATCH(D$1,[2]quests!$1:$1,0)-MATCH($B$1,[2]quests!$1:$1,0)+1),MATCH(D$1,[2]quests!$1:$1,0)-MATCH($B$1,[2]quests!$1:$1,0)+1,FALSE)</f>
        <v>コラボ降臨3（復刻）</v>
      </c>
      <c r="E14" s="60">
        <v>1</v>
      </c>
      <c r="F14" s="56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4" s="56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コラボ降臨3（復刻）</v>
      </c>
      <c r="H14" s="58">
        <v>0</v>
      </c>
      <c r="I14">
        <v>39</v>
      </c>
      <c r="J14" s="57" t="s">
        <v>194</v>
      </c>
      <c r="K14" s="66" t="str">
        <f>VLOOKUP(I14,[6]stage_hints!$A:$C,3,FALSE)</f>
        <v>システム適合者を確認</v>
      </c>
      <c r="L14" s="67" t="str">
        <f>VLOOKUP(I14,[6]stage_hints!$A:$D,4,FALSE)</f>
        <v>ALICEが「アナタ」を呼んでいます</v>
      </c>
      <c r="M14" s="32" t="s">
        <v>207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9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12" defaultColWidth="13" defaultRowHeight="15" outlineLevelCol="1" x14ac:dyDescent="0.15"/>
  <cols>
    <col min="1" max="1" width="13" style="6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ht="16" thickBot="1" x14ac:dyDescent="0.2">
      <c r="A1" s="49" t="s">
        <v>184</v>
      </c>
      <c r="B1" s="46" t="s">
        <v>148</v>
      </c>
      <c r="C1" s="50" t="s">
        <v>186</v>
      </c>
      <c r="D1" s="50" t="s">
        <v>33</v>
      </c>
      <c r="E1" s="46" t="s">
        <v>187</v>
      </c>
      <c r="F1" s="50" t="s">
        <v>18</v>
      </c>
      <c r="G1" s="50" t="s">
        <v>33</v>
      </c>
      <c r="H1" s="46" t="s">
        <v>189</v>
      </c>
      <c r="I1" s="62" t="s">
        <v>190</v>
      </c>
      <c r="J1" s="64" t="s">
        <v>191</v>
      </c>
      <c r="K1" s="52" t="s">
        <v>125</v>
      </c>
      <c r="L1" s="51" t="s">
        <v>183</v>
      </c>
      <c r="M1" s="65" t="s">
        <v>182</v>
      </c>
      <c r="N1" s="53" t="s">
        <v>192</v>
      </c>
    </row>
    <row r="2" spans="1:14" ht="42" x14ac:dyDescent="0.15">
      <c r="A2" s="129" t="s">
        <v>193</v>
      </c>
      <c r="B2" s="130">
        <f>floors!$C$2</f>
        <v>49013</v>
      </c>
      <c r="C2" s="131" t="str">
        <f ca="1">VLOOKUP($B2,OFFSET([2]quests!$A$1,0,0,COUNTA([2]quests!$A:$A),MATCH(C$1,[2]quests!$1:$1,0)-MATCH($B$1,[2]quests!$1:$1,0)+1),MATCH(C$1,[2]quests!$1:$1,0)-MATCH($B$1,[2]quests!$1:$1,0)+1,FALSE)</f>
        <v>折原臨也襲来！</v>
      </c>
      <c r="D2" s="131" t="str">
        <f ca="1">VLOOKUP($B2,OFFSET([2]quests!$A$1,0,0,COUNTA([2]quests!$A:$A),MATCH(D$1,[2]quests!$1:$1,0)-MATCH($B$1,[2]quests!$1:$1,0)+1),MATCH(D$1,[2]quests!$1:$1,0)-MATCH($B$1,[2]quests!$1:$1,0)+1,FALSE)</f>
        <v>コラボ降臨3（復刻）</v>
      </c>
      <c r="E2" s="132">
        <v>1</v>
      </c>
      <c r="F2" s="13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2" s="13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コラボ降臨3（復刻）</v>
      </c>
      <c r="H2" s="133">
        <v>1</v>
      </c>
      <c r="I2" s="134">
        <f>ROW()-1</f>
        <v>1</v>
      </c>
      <c r="J2" s="135" t="str">
        <f>B2&amp;TEXT(I2,"00")</f>
        <v>4901301</v>
      </c>
      <c r="K2" s="132" t="s">
        <v>194</v>
      </c>
      <c r="L2" s="136" t="s">
        <v>195</v>
      </c>
      <c r="M2" s="137" t="s">
        <v>327</v>
      </c>
      <c r="N2" s="138" t="s">
        <v>196</v>
      </c>
    </row>
    <row r="3" spans="1:14" ht="42" x14ac:dyDescent="0.15">
      <c r="A3" s="139" t="s">
        <v>193</v>
      </c>
      <c r="B3" s="55">
        <f>floors!$C$2</f>
        <v>49013</v>
      </c>
      <c r="C3" s="56" t="str">
        <f ca="1">VLOOKUP($B3,OFFSET([2]quests!$A$1,0,0,COUNTA([2]quests!$A:$A),MATCH(C$1,[2]quests!$1:$1,0)-MATCH($B$1,[2]quests!$1:$1,0)+1),MATCH(C$1,[2]quests!$1:$1,0)-MATCH($B$1,[2]quests!$1:$1,0)+1,FALSE)</f>
        <v>折原臨也襲来！</v>
      </c>
      <c r="D3" s="56" t="str">
        <f ca="1">VLOOKUP($B3,OFFSET([2]quests!$A$1,0,0,COUNTA([2]quests!$A:$A),MATCH(D$1,[2]quests!$1:$1,0)-MATCH($B$1,[2]quests!$1:$1,0)+1),MATCH(D$1,[2]quests!$1:$1,0)-MATCH($B$1,[2]quests!$1:$1,0)+1,FALSE)</f>
        <v>コラボ降臨3（復刻）</v>
      </c>
      <c r="E3" s="57">
        <v>1</v>
      </c>
      <c r="F3" s="56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3" s="56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コラボ降臨3（復刻）</v>
      </c>
      <c r="H3" s="58">
        <v>2</v>
      </c>
      <c r="I3" s="63">
        <f t="shared" ref="I3:I9" si="0">ROW()-1</f>
        <v>2</v>
      </c>
      <c r="J3" s="59" t="str">
        <f t="shared" ref="J3:J9" si="1">B3&amp;TEXT(I3,"00")</f>
        <v>4901302</v>
      </c>
      <c r="K3" s="57" t="s">
        <v>194</v>
      </c>
      <c r="L3" s="60" t="s">
        <v>195</v>
      </c>
      <c r="M3" s="140" t="s">
        <v>328</v>
      </c>
      <c r="N3" s="32" t="s">
        <v>196</v>
      </c>
    </row>
    <row r="4" spans="1:14" ht="28" x14ac:dyDescent="0.15">
      <c r="A4" s="139" t="s">
        <v>193</v>
      </c>
      <c r="B4" s="55">
        <f>floors!$C$2</f>
        <v>49013</v>
      </c>
      <c r="C4" s="56" t="str">
        <f ca="1">VLOOKUP($B4,OFFSET([2]quests!$A$1,0,0,COUNTA([2]quests!$A:$A),MATCH(C$1,[2]quests!$1:$1,0)-MATCH($B$1,[2]quests!$1:$1,0)+1),MATCH(C$1,[2]quests!$1:$1,0)-MATCH($B$1,[2]quests!$1:$1,0)+1,FALSE)</f>
        <v>折原臨也襲来！</v>
      </c>
      <c r="D4" s="56" t="str">
        <f ca="1">VLOOKUP($B4,OFFSET([2]quests!$A$1,0,0,COUNTA([2]quests!$A:$A),MATCH(D$1,[2]quests!$1:$1,0)-MATCH($B$1,[2]quests!$1:$1,0)+1),MATCH(D$1,[2]quests!$1:$1,0)-MATCH($B$1,[2]quests!$1:$1,0)+1,FALSE)</f>
        <v>コラボ降臨3（復刻）</v>
      </c>
      <c r="E4" s="57">
        <v>1</v>
      </c>
      <c r="F4" s="56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4" s="56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コラボ降臨3（復刻）</v>
      </c>
      <c r="H4" s="58">
        <v>3</v>
      </c>
      <c r="I4" s="63">
        <f t="shared" si="0"/>
        <v>3</v>
      </c>
      <c r="J4" s="59" t="str">
        <f t="shared" si="1"/>
        <v>4901303</v>
      </c>
      <c r="K4" s="57" t="s">
        <v>194</v>
      </c>
      <c r="L4" s="60" t="s">
        <v>195</v>
      </c>
      <c r="M4" s="140" t="s">
        <v>329</v>
      </c>
      <c r="N4" s="32" t="s">
        <v>196</v>
      </c>
    </row>
    <row r="5" spans="1:14" ht="42" x14ac:dyDescent="0.15">
      <c r="A5" s="139" t="s">
        <v>193</v>
      </c>
      <c r="B5" s="55">
        <f>floors!$C$2</f>
        <v>49013</v>
      </c>
      <c r="C5" s="56" t="str">
        <f ca="1">VLOOKUP($B5,OFFSET([2]quests!$A$1,0,0,COUNTA([2]quests!$A:$A),MATCH(C$1,[2]quests!$1:$1,0)-MATCH($B$1,[2]quests!$1:$1,0)+1),MATCH(C$1,[2]quests!$1:$1,0)-MATCH($B$1,[2]quests!$1:$1,0)+1,FALSE)</f>
        <v>折原臨也襲来！</v>
      </c>
      <c r="D5" s="56" t="str">
        <f ca="1">VLOOKUP($B5,OFFSET([2]quests!$A$1,0,0,COUNTA([2]quests!$A:$A),MATCH(D$1,[2]quests!$1:$1,0)-MATCH($B$1,[2]quests!$1:$1,0)+1),MATCH(D$1,[2]quests!$1:$1,0)-MATCH($B$1,[2]quests!$1:$1,0)+1,FALSE)</f>
        <v>コラボ降臨3（復刻）</v>
      </c>
      <c r="E5" s="57">
        <v>1</v>
      </c>
      <c r="F5" s="56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5" s="56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コラボ降臨3（復刻）</v>
      </c>
      <c r="H5" s="58">
        <v>3</v>
      </c>
      <c r="I5" s="63">
        <f t="shared" si="0"/>
        <v>4</v>
      </c>
      <c r="J5" s="59" t="str">
        <f t="shared" si="1"/>
        <v>4901304</v>
      </c>
      <c r="K5" s="57" t="s">
        <v>194</v>
      </c>
      <c r="L5" s="60" t="s">
        <v>195</v>
      </c>
      <c r="M5" s="140" t="s">
        <v>330</v>
      </c>
      <c r="N5" s="32" t="s">
        <v>196</v>
      </c>
    </row>
    <row r="6" spans="1:14" ht="28" x14ac:dyDescent="0.15">
      <c r="A6" s="139" t="s">
        <v>193</v>
      </c>
      <c r="B6" s="55">
        <f>floors!$C$2</f>
        <v>49013</v>
      </c>
      <c r="C6" s="56" t="str">
        <f ca="1">VLOOKUP($B6,OFFSET([2]quests!$A$1,0,0,COUNTA([2]quests!$A:$A),MATCH(C$1,[2]quests!$1:$1,0)-MATCH($B$1,[2]quests!$1:$1,0)+1),MATCH(C$1,[2]quests!$1:$1,0)-MATCH($B$1,[2]quests!$1:$1,0)+1,FALSE)</f>
        <v>折原臨也襲来！</v>
      </c>
      <c r="D6" s="56" t="str">
        <f ca="1">VLOOKUP($B6,OFFSET([2]quests!$A$1,0,0,COUNTA([2]quests!$A:$A),MATCH(D$1,[2]quests!$1:$1,0)-MATCH($B$1,[2]quests!$1:$1,0)+1),MATCH(D$1,[2]quests!$1:$1,0)-MATCH($B$1,[2]quests!$1:$1,0)+1,FALSE)</f>
        <v>コラボ降臨3（復刻）</v>
      </c>
      <c r="E6" s="57">
        <v>1</v>
      </c>
      <c r="F6" s="56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6" s="56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コラボ降臨3（復刻）</v>
      </c>
      <c r="H6" s="58">
        <v>4</v>
      </c>
      <c r="I6" s="63">
        <f t="shared" si="0"/>
        <v>5</v>
      </c>
      <c r="J6" s="59" t="str">
        <f t="shared" si="1"/>
        <v>4901305</v>
      </c>
      <c r="K6" s="57" t="s">
        <v>194</v>
      </c>
      <c r="L6" s="60" t="s">
        <v>195</v>
      </c>
      <c r="M6" s="140" t="s">
        <v>331</v>
      </c>
      <c r="N6" s="32" t="s">
        <v>196</v>
      </c>
    </row>
    <row r="7" spans="1:14" ht="42" x14ac:dyDescent="0.15">
      <c r="A7" s="139" t="s">
        <v>193</v>
      </c>
      <c r="B7" s="55">
        <f>floors!$C$2</f>
        <v>49013</v>
      </c>
      <c r="C7" s="56" t="str">
        <f ca="1">VLOOKUP($B7,OFFSET([2]quests!$A$1,0,0,COUNTA([2]quests!$A:$A),MATCH(C$1,[2]quests!$1:$1,0)-MATCH($B$1,[2]quests!$1:$1,0)+1),MATCH(C$1,[2]quests!$1:$1,0)-MATCH($B$1,[2]quests!$1:$1,0)+1,FALSE)</f>
        <v>折原臨也襲来！</v>
      </c>
      <c r="D7" s="56" t="str">
        <f ca="1">VLOOKUP($B7,OFFSET([2]quests!$A$1,0,0,COUNTA([2]quests!$A:$A),MATCH(D$1,[2]quests!$1:$1,0)-MATCH($B$1,[2]quests!$1:$1,0)+1),MATCH(D$1,[2]quests!$1:$1,0)-MATCH($B$1,[2]quests!$1:$1,0)+1,FALSE)</f>
        <v>コラボ降臨3（復刻）</v>
      </c>
      <c r="E7" s="57">
        <v>1</v>
      </c>
      <c r="F7" s="56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7" s="56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コラボ降臨3（復刻）</v>
      </c>
      <c r="H7" s="58">
        <v>4</v>
      </c>
      <c r="I7" s="63">
        <f t="shared" si="0"/>
        <v>6</v>
      </c>
      <c r="J7" s="59" t="str">
        <f t="shared" si="1"/>
        <v>4901306</v>
      </c>
      <c r="K7" s="57" t="s">
        <v>194</v>
      </c>
      <c r="L7" s="60" t="s">
        <v>195</v>
      </c>
      <c r="M7" s="140" t="s">
        <v>332</v>
      </c>
      <c r="N7" s="32" t="s">
        <v>196</v>
      </c>
    </row>
    <row r="8" spans="1:14" ht="42" x14ac:dyDescent="0.15">
      <c r="A8" s="139" t="s">
        <v>193</v>
      </c>
      <c r="B8" s="55">
        <f>floors!$C$2</f>
        <v>49013</v>
      </c>
      <c r="C8" s="56" t="str">
        <f ca="1">VLOOKUP($B8,OFFSET([2]quests!$A$1,0,0,COUNTA([2]quests!$A:$A),MATCH(C$1,[2]quests!$1:$1,0)-MATCH($B$1,[2]quests!$1:$1,0)+1),MATCH(C$1,[2]quests!$1:$1,0)-MATCH($B$1,[2]quests!$1:$1,0)+1,FALSE)</f>
        <v>折原臨也襲来！</v>
      </c>
      <c r="D8" s="56" t="str">
        <f ca="1">VLOOKUP($B8,OFFSET([2]quests!$A$1,0,0,COUNTA([2]quests!$A:$A),MATCH(D$1,[2]quests!$1:$1,0)-MATCH($B$1,[2]quests!$1:$1,0)+1),MATCH(D$1,[2]quests!$1:$1,0)-MATCH($B$1,[2]quests!$1:$1,0)+1,FALSE)</f>
        <v>コラボ降臨3（復刻）</v>
      </c>
      <c r="E8" s="57">
        <v>1</v>
      </c>
      <c r="F8" s="56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8" s="56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コラボ降臨3（復刻）</v>
      </c>
      <c r="H8" s="58">
        <v>5</v>
      </c>
      <c r="I8" s="63">
        <f t="shared" si="0"/>
        <v>7</v>
      </c>
      <c r="J8" s="59" t="str">
        <f t="shared" si="1"/>
        <v>4901307</v>
      </c>
      <c r="K8" s="57" t="s">
        <v>194</v>
      </c>
      <c r="L8" s="60" t="s">
        <v>195</v>
      </c>
      <c r="M8" s="140" t="s">
        <v>371</v>
      </c>
      <c r="N8" s="32" t="s">
        <v>196</v>
      </c>
    </row>
    <row r="9" spans="1:14" ht="29" thickBot="1" x14ac:dyDescent="0.2">
      <c r="A9" s="141" t="s">
        <v>193</v>
      </c>
      <c r="B9" s="142">
        <f>floors!$C$2</f>
        <v>49013</v>
      </c>
      <c r="C9" s="143" t="str">
        <f ca="1">VLOOKUP($B9,OFFSET([2]quests!$A$1,0,0,COUNTA([2]quests!$A:$A),MATCH(C$1,[2]quests!$1:$1,0)-MATCH($B$1,[2]quests!$1:$1,0)+1),MATCH(C$1,[2]quests!$1:$1,0)-MATCH($B$1,[2]quests!$1:$1,0)+1,FALSE)</f>
        <v>折原臨也襲来！</v>
      </c>
      <c r="D9" s="143" t="str">
        <f ca="1">VLOOKUP($B9,OFFSET([2]quests!$A$1,0,0,COUNTA([2]quests!$A:$A),MATCH(D$1,[2]quests!$1:$1,0)-MATCH($B$1,[2]quests!$1:$1,0)+1),MATCH(D$1,[2]quests!$1:$1,0)-MATCH($B$1,[2]quests!$1:$1,0)+1,FALSE)</f>
        <v>コラボ降臨3（復刻）</v>
      </c>
      <c r="E9" s="144">
        <v>1</v>
      </c>
      <c r="F9" s="14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9" s="143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コラボ降臨3（復刻）</v>
      </c>
      <c r="H9" s="145">
        <v>5</v>
      </c>
      <c r="I9" s="146">
        <f t="shared" si="0"/>
        <v>8</v>
      </c>
      <c r="J9" s="147" t="str">
        <f t="shared" si="1"/>
        <v>4901308</v>
      </c>
      <c r="K9" s="144" t="s">
        <v>194</v>
      </c>
      <c r="L9" s="148" t="s">
        <v>195</v>
      </c>
      <c r="M9" s="149" t="s">
        <v>333</v>
      </c>
      <c r="N9" s="150" t="s">
        <v>196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I13" sqref="I1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69" t="s">
        <v>210</v>
      </c>
      <c r="B1" s="70" t="s">
        <v>211</v>
      </c>
      <c r="C1" s="50" t="s">
        <v>212</v>
      </c>
      <c r="D1" s="50" t="s">
        <v>33</v>
      </c>
      <c r="E1" s="70" t="s">
        <v>213</v>
      </c>
      <c r="F1" s="50" t="s">
        <v>214</v>
      </c>
      <c r="G1" s="50" t="s">
        <v>33</v>
      </c>
      <c r="H1" s="70" t="s">
        <v>215</v>
      </c>
      <c r="I1" s="70" t="s">
        <v>216</v>
      </c>
      <c r="J1" s="70" t="s">
        <v>217</v>
      </c>
      <c r="K1" s="46" t="s">
        <v>218</v>
      </c>
      <c r="L1" s="46" t="s">
        <v>219</v>
      </c>
      <c r="M1" s="46" t="s">
        <v>154</v>
      </c>
      <c r="N1" s="50" t="s">
        <v>16</v>
      </c>
      <c r="O1" s="46" t="s">
        <v>220</v>
      </c>
      <c r="P1" s="46" t="s">
        <v>57</v>
      </c>
      <c r="Q1" s="46" t="s">
        <v>221</v>
      </c>
      <c r="R1" s="46" t="s">
        <v>38</v>
      </c>
      <c r="S1" s="46" t="s">
        <v>40</v>
      </c>
      <c r="T1" s="46" t="s">
        <v>42</v>
      </c>
      <c r="U1" s="46" t="s">
        <v>44</v>
      </c>
      <c r="V1" s="46" t="s">
        <v>46</v>
      </c>
      <c r="W1" s="46" t="s">
        <v>222</v>
      </c>
      <c r="X1" s="46" t="s">
        <v>223</v>
      </c>
    </row>
    <row r="2" spans="1:24" x14ac:dyDescent="0.15">
      <c r="A2" s="71" t="str">
        <f>B2&amp;"_"&amp;E2&amp;"_"&amp;H2&amp;"_"&amp;I2&amp;"_"&amp;J2</f>
        <v>49013_1_everyone_no_continue_1</v>
      </c>
      <c r="B2" s="55">
        <v>49013</v>
      </c>
      <c r="C2" s="56" t="str">
        <f ca="1">VLOOKUP($B2,OFFSET([2]quests!$A$1,0,0,COUNTA([2]quests!$A:$A),MATCH(C$1,[2]quests!$1:$1,0)-MATCH($B$1,[2]quests!$1:$1,0)+1),MATCH(C$1,[2]quests!$1:$1,0)-MATCH($B$1,[2]quests!$1:$1,0)+1,FALSE)</f>
        <v>折原臨也襲来！</v>
      </c>
      <c r="D2" s="56" t="str">
        <f ca="1">VLOOKUP($B2,OFFSET([2]quests!$A$1,0,0,COUNTA([2]quests!$A:$A),MATCH(D$1,[2]quests!$1:$1,0)-MATCH($B$1,[2]quests!$1:$1,0)+1),MATCH(D$1,[2]quests!$1:$1,0)-MATCH($B$1,[2]quests!$1:$1,0)+1,FALSE)</f>
        <v>コラボ降臨3（復刻）</v>
      </c>
      <c r="E2" s="57">
        <v>1</v>
      </c>
      <c r="F2" s="56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2" s="56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コラボ降臨3（復刻）</v>
      </c>
      <c r="H2" s="58" t="s">
        <v>224</v>
      </c>
      <c r="I2" s="57" t="s">
        <v>406</v>
      </c>
      <c r="J2" s="57">
        <v>1</v>
      </c>
      <c r="K2" s="57">
        <v>100</v>
      </c>
      <c r="L2" s="57" t="s">
        <v>225</v>
      </c>
      <c r="M2" s="57">
        <v>700</v>
      </c>
      <c r="N2" s="72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折原臨也</v>
      </c>
      <c r="O2" s="57">
        <v>1</v>
      </c>
      <c r="P2" s="57">
        <v>1</v>
      </c>
      <c r="Q2" s="57">
        <v>1</v>
      </c>
      <c r="R2" s="57">
        <v>0</v>
      </c>
      <c r="S2" s="57">
        <v>0</v>
      </c>
      <c r="T2" s="57">
        <v>0</v>
      </c>
      <c r="U2" s="57">
        <v>0</v>
      </c>
      <c r="V2" s="57">
        <v>1</v>
      </c>
      <c r="W2" s="73" t="s">
        <v>226</v>
      </c>
      <c r="X2" s="74" t="s">
        <v>227</v>
      </c>
    </row>
    <row r="3" spans="1:24" x14ac:dyDescent="0.15">
      <c r="A3" s="71" t="str">
        <f>B3&amp;"_"&amp;E3&amp;"_"&amp;H3&amp;"_"&amp;I3&amp;"_"&amp;J3</f>
        <v>49013_1_everyone_full_member_1</v>
      </c>
      <c r="B3" s="55">
        <v>49013</v>
      </c>
      <c r="C3" s="56" t="str">
        <f ca="1">VLOOKUP($B3,OFFSET([2]quests!$A$1,0,0,COUNTA([2]quests!$A:$A),MATCH(C$1,[2]quests!$1:$1,0)-MATCH($B$1,[2]quests!$1:$1,0)+1),MATCH(C$1,[2]quests!$1:$1,0)-MATCH($B$1,[2]quests!$1:$1,0)+1,FALSE)</f>
        <v>折原臨也襲来！</v>
      </c>
      <c r="D3" s="56" t="str">
        <f ca="1">VLOOKUP($B3,OFFSET([2]quests!$A$1,0,0,COUNTA([2]quests!$A:$A),MATCH(D$1,[2]quests!$1:$1,0)-MATCH($B$1,[2]quests!$1:$1,0)+1),MATCH(D$1,[2]quests!$1:$1,0)-MATCH($B$1,[2]quests!$1:$1,0)+1,FALSE)</f>
        <v>コラボ降臨3（復刻）</v>
      </c>
      <c r="E3" s="57">
        <v>1</v>
      </c>
      <c r="F3" s="56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3" s="56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コラボ降臨3（復刻）</v>
      </c>
      <c r="H3" s="58" t="s">
        <v>224</v>
      </c>
      <c r="I3" s="57" t="s">
        <v>407</v>
      </c>
      <c r="J3" s="57">
        <v>1</v>
      </c>
      <c r="K3" s="57">
        <v>100</v>
      </c>
      <c r="L3" s="57" t="s">
        <v>225</v>
      </c>
      <c r="M3" s="57">
        <v>700</v>
      </c>
      <c r="N3" s="72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折原臨也</v>
      </c>
      <c r="O3" s="57">
        <v>1</v>
      </c>
      <c r="P3" s="57">
        <v>1</v>
      </c>
      <c r="Q3" s="57">
        <v>1</v>
      </c>
      <c r="R3" s="57">
        <v>0</v>
      </c>
      <c r="S3" s="57">
        <v>0</v>
      </c>
      <c r="T3" s="57">
        <v>0</v>
      </c>
      <c r="U3" s="57">
        <v>0</v>
      </c>
      <c r="V3" s="57">
        <v>1</v>
      </c>
      <c r="W3" s="73" t="s">
        <v>226</v>
      </c>
      <c r="X3" s="74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2016-12-21T13:19:04Z</dcterms:modified>
</cp:coreProperties>
</file>