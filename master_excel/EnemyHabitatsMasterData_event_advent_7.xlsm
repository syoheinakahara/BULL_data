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codeName="ThisWorkbook" autoCompressPictures="0"/>
  <bookViews>
    <workbookView xWindow="700" yWindow="360" windowWidth="25280" windowHeight="13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failur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9" hidden="1">stage_hints_complete!$B$1:$M$2</definedName>
    <definedName name="_xlnm._FilterDatabase" localSheetId="8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9" l="1"/>
  <c r="J7" i="19"/>
  <c r="G7" i="19"/>
  <c r="F7" i="19"/>
  <c r="D7" i="19"/>
  <c r="C7" i="19"/>
  <c r="I6" i="19"/>
  <c r="J6" i="19"/>
  <c r="G6" i="19"/>
  <c r="F6" i="19"/>
  <c r="D6" i="19"/>
  <c r="C6" i="19"/>
  <c r="I5" i="19"/>
  <c r="J5" i="19"/>
  <c r="G5" i="19"/>
  <c r="F5" i="19"/>
  <c r="D5" i="19"/>
  <c r="C5" i="19"/>
  <c r="I4" i="19"/>
  <c r="J4" i="19"/>
  <c r="G4" i="19"/>
  <c r="F4" i="19"/>
  <c r="D4" i="19"/>
  <c r="C4" i="19"/>
  <c r="I3" i="19"/>
  <c r="J3" i="19"/>
  <c r="G3" i="19"/>
  <c r="F3" i="19"/>
  <c r="D3" i="19"/>
  <c r="C3" i="19"/>
  <c r="M15" i="20"/>
  <c r="L15" i="20"/>
  <c r="I15" i="20"/>
  <c r="G15" i="20"/>
  <c r="F15" i="20"/>
  <c r="D15" i="20"/>
  <c r="C15" i="20"/>
  <c r="M14" i="20"/>
  <c r="L14" i="20"/>
  <c r="I14" i="20"/>
  <c r="G14" i="20"/>
  <c r="F14" i="20"/>
  <c r="D14" i="20"/>
  <c r="C14" i="20"/>
  <c r="M13" i="20"/>
  <c r="L13" i="20"/>
  <c r="I13" i="20"/>
  <c r="G13" i="20"/>
  <c r="F13" i="20"/>
  <c r="D13" i="20"/>
  <c r="C13" i="20"/>
  <c r="M12" i="20"/>
  <c r="L12" i="20"/>
  <c r="I12" i="20"/>
  <c r="G12" i="20"/>
  <c r="F12" i="20"/>
  <c r="D12" i="20"/>
  <c r="C12" i="20"/>
  <c r="M11" i="20"/>
  <c r="L11" i="20"/>
  <c r="I11" i="20"/>
  <c r="G11" i="20"/>
  <c r="F11" i="20"/>
  <c r="D11" i="20"/>
  <c r="C11" i="20"/>
  <c r="M10" i="20"/>
  <c r="L10" i="20"/>
  <c r="I10" i="20"/>
  <c r="G10" i="20"/>
  <c r="F10" i="20"/>
  <c r="D10" i="20"/>
  <c r="C10" i="20"/>
  <c r="M9" i="20"/>
  <c r="L9" i="20"/>
  <c r="I9" i="20"/>
  <c r="G9" i="20"/>
  <c r="F9" i="20"/>
  <c r="D9" i="20"/>
  <c r="C9" i="20"/>
  <c r="M8" i="20"/>
  <c r="L8" i="20"/>
  <c r="I8" i="20"/>
  <c r="G8" i="20"/>
  <c r="F8" i="20"/>
  <c r="D8" i="20"/>
  <c r="C8" i="20"/>
  <c r="M7" i="20"/>
  <c r="L7" i="20"/>
  <c r="I7" i="20"/>
  <c r="G7" i="20"/>
  <c r="F7" i="20"/>
  <c r="D7" i="20"/>
  <c r="C7" i="20"/>
  <c r="M6" i="20"/>
  <c r="L6" i="20"/>
  <c r="I6" i="20"/>
  <c r="G6" i="20"/>
  <c r="F6" i="20"/>
  <c r="D6" i="20"/>
  <c r="C6" i="20"/>
  <c r="M5" i="20"/>
  <c r="L5" i="20"/>
  <c r="I5" i="20"/>
  <c r="G5" i="20"/>
  <c r="F5" i="20"/>
  <c r="D5" i="20"/>
  <c r="C5" i="20"/>
  <c r="M4" i="20"/>
  <c r="L4" i="20"/>
  <c r="I4" i="20"/>
  <c r="G4" i="20"/>
  <c r="F4" i="20"/>
  <c r="D4" i="20"/>
  <c r="C4" i="20"/>
  <c r="M3" i="20"/>
  <c r="L3" i="20"/>
  <c r="I3" i="20"/>
  <c r="G3" i="20"/>
  <c r="F3" i="20"/>
  <c r="D3" i="20"/>
  <c r="C3" i="20"/>
  <c r="O47" i="9"/>
  <c r="N47" i="9"/>
  <c r="M47" i="9"/>
  <c r="L47" i="9"/>
  <c r="K47" i="9"/>
  <c r="J47" i="9"/>
  <c r="I47" i="9"/>
  <c r="H47" i="9"/>
  <c r="G47" i="9"/>
  <c r="E47" i="9"/>
  <c r="D47" i="9"/>
  <c r="A47" i="9"/>
  <c r="M2" i="20"/>
  <c r="L2" i="20"/>
  <c r="I2" i="20"/>
  <c r="G2" i="20"/>
  <c r="F2" i="20"/>
  <c r="D2" i="20"/>
  <c r="C2" i="20"/>
  <c r="C11" i="16"/>
  <c r="C12" i="16"/>
  <c r="E12" i="16"/>
  <c r="E11" i="16"/>
  <c r="C10" i="16"/>
  <c r="E10" i="16"/>
  <c r="E9" i="16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AB9" i="1"/>
  <c r="AD9" i="1"/>
  <c r="AG9" i="1"/>
  <c r="AE9" i="1"/>
  <c r="AC9" i="1"/>
  <c r="AA9" i="1"/>
  <c r="V9" i="1"/>
  <c r="Q9" i="1"/>
  <c r="P9" i="1"/>
  <c r="O9" i="1"/>
  <c r="N9" i="1"/>
  <c r="M9" i="1"/>
  <c r="H9" i="1"/>
  <c r="G2" i="2"/>
  <c r="A2" i="2"/>
  <c r="G3" i="2"/>
  <c r="A3" i="2"/>
  <c r="G4" i="2"/>
  <c r="A4" i="2"/>
  <c r="G5" i="2"/>
  <c r="A5" i="2"/>
  <c r="G6" i="2"/>
  <c r="A6" i="2"/>
  <c r="J9" i="1"/>
  <c r="I9" i="1"/>
  <c r="D9" i="1"/>
  <c r="F9" i="1"/>
  <c r="E9" i="1"/>
  <c r="A9" i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O66" i="9"/>
  <c r="N66" i="9"/>
  <c r="M66" i="9"/>
  <c r="L66" i="9"/>
  <c r="K66" i="9"/>
  <c r="J66" i="9"/>
  <c r="I66" i="9"/>
  <c r="H66" i="9"/>
  <c r="G66" i="9"/>
  <c r="E66" i="9"/>
  <c r="D66" i="9"/>
  <c r="O65" i="9"/>
  <c r="N65" i="9"/>
  <c r="M65" i="9"/>
  <c r="L65" i="9"/>
  <c r="K65" i="9"/>
  <c r="J65" i="9"/>
  <c r="I65" i="9"/>
  <c r="H65" i="9"/>
  <c r="G65" i="9"/>
  <c r="E65" i="9"/>
  <c r="D65" i="9"/>
  <c r="O64" i="9"/>
  <c r="N64" i="9"/>
  <c r="M64" i="9"/>
  <c r="L64" i="9"/>
  <c r="K64" i="9"/>
  <c r="J64" i="9"/>
  <c r="I64" i="9"/>
  <c r="H64" i="9"/>
  <c r="G64" i="9"/>
  <c r="E64" i="9"/>
  <c r="D64" i="9"/>
  <c r="O63" i="9"/>
  <c r="N63" i="9"/>
  <c r="M63" i="9"/>
  <c r="L63" i="9"/>
  <c r="K63" i="9"/>
  <c r="J63" i="9"/>
  <c r="I63" i="9"/>
  <c r="H63" i="9"/>
  <c r="G63" i="9"/>
  <c r="E63" i="9"/>
  <c r="D63" i="9"/>
  <c r="O62" i="9"/>
  <c r="N62" i="9"/>
  <c r="M62" i="9"/>
  <c r="L62" i="9"/>
  <c r="K62" i="9"/>
  <c r="J62" i="9"/>
  <c r="I62" i="9"/>
  <c r="H62" i="9"/>
  <c r="G62" i="9"/>
  <c r="E62" i="9"/>
  <c r="D62" i="9"/>
  <c r="J83" i="11"/>
  <c r="O61" i="9"/>
  <c r="N61" i="9"/>
  <c r="M61" i="9"/>
  <c r="L61" i="9"/>
  <c r="K61" i="9"/>
  <c r="J61" i="9"/>
  <c r="I61" i="9"/>
  <c r="H61" i="9"/>
  <c r="G61" i="9"/>
  <c r="E61" i="9"/>
  <c r="D61" i="9"/>
  <c r="J82" i="11"/>
  <c r="O60" i="9"/>
  <c r="N60" i="9"/>
  <c r="M60" i="9"/>
  <c r="L60" i="9"/>
  <c r="K60" i="9"/>
  <c r="J60" i="9"/>
  <c r="I60" i="9"/>
  <c r="H60" i="9"/>
  <c r="G60" i="9"/>
  <c r="E60" i="9"/>
  <c r="D60" i="9"/>
  <c r="J81" i="11"/>
  <c r="O59" i="9"/>
  <c r="N59" i="9"/>
  <c r="M59" i="9"/>
  <c r="L59" i="9"/>
  <c r="K59" i="9"/>
  <c r="J59" i="9"/>
  <c r="I59" i="9"/>
  <c r="H59" i="9"/>
  <c r="G59" i="9"/>
  <c r="E59" i="9"/>
  <c r="D59" i="9"/>
  <c r="J80" i="11"/>
  <c r="O58" i="9"/>
  <c r="N58" i="9"/>
  <c r="M58" i="9"/>
  <c r="L58" i="9"/>
  <c r="K58" i="9"/>
  <c r="J58" i="9"/>
  <c r="I58" i="9"/>
  <c r="H58" i="9"/>
  <c r="G58" i="9"/>
  <c r="E58" i="9"/>
  <c r="D58" i="9"/>
  <c r="J79" i="11"/>
  <c r="O57" i="9"/>
  <c r="N57" i="9"/>
  <c r="M57" i="9"/>
  <c r="L57" i="9"/>
  <c r="K57" i="9"/>
  <c r="J57" i="9"/>
  <c r="I57" i="9"/>
  <c r="H57" i="9"/>
  <c r="G57" i="9"/>
  <c r="E57" i="9"/>
  <c r="D57" i="9"/>
  <c r="J78" i="11"/>
  <c r="O56" i="9"/>
  <c r="N56" i="9"/>
  <c r="M56" i="9"/>
  <c r="L56" i="9"/>
  <c r="K56" i="9"/>
  <c r="J56" i="9"/>
  <c r="I56" i="9"/>
  <c r="H56" i="9"/>
  <c r="G56" i="9"/>
  <c r="E56" i="9"/>
  <c r="D56" i="9"/>
  <c r="O55" i="9"/>
  <c r="N55" i="9"/>
  <c r="M55" i="9"/>
  <c r="L55" i="9"/>
  <c r="K55" i="9"/>
  <c r="J55" i="9"/>
  <c r="I55" i="9"/>
  <c r="H55" i="9"/>
  <c r="G55" i="9"/>
  <c r="E55" i="9"/>
  <c r="D55" i="9"/>
  <c r="J74" i="11"/>
  <c r="O54" i="9"/>
  <c r="N54" i="9"/>
  <c r="M54" i="9"/>
  <c r="L54" i="9"/>
  <c r="K54" i="9"/>
  <c r="J54" i="9"/>
  <c r="I54" i="9"/>
  <c r="H54" i="9"/>
  <c r="G54" i="9"/>
  <c r="E54" i="9"/>
  <c r="D54" i="9"/>
  <c r="J73" i="11"/>
  <c r="O53" i="9"/>
  <c r="N53" i="9"/>
  <c r="M53" i="9"/>
  <c r="L53" i="9"/>
  <c r="K53" i="9"/>
  <c r="J53" i="9"/>
  <c r="I53" i="9"/>
  <c r="H53" i="9"/>
  <c r="G53" i="9"/>
  <c r="E53" i="9"/>
  <c r="D53" i="9"/>
  <c r="J72" i="11"/>
  <c r="O52" i="9"/>
  <c r="N52" i="9"/>
  <c r="M52" i="9"/>
  <c r="L52" i="9"/>
  <c r="K52" i="9"/>
  <c r="J52" i="9"/>
  <c r="I52" i="9"/>
  <c r="H52" i="9"/>
  <c r="G52" i="9"/>
  <c r="E52" i="9"/>
  <c r="D52" i="9"/>
  <c r="J71" i="11"/>
  <c r="O51" i="9"/>
  <c r="N51" i="9"/>
  <c r="M51" i="9"/>
  <c r="L51" i="9"/>
  <c r="K51" i="9"/>
  <c r="J51" i="9"/>
  <c r="I51" i="9"/>
  <c r="H51" i="9"/>
  <c r="G51" i="9"/>
  <c r="E51" i="9"/>
  <c r="D51" i="9"/>
  <c r="O50" i="9"/>
  <c r="N50" i="9"/>
  <c r="M50" i="9"/>
  <c r="L50" i="9"/>
  <c r="K50" i="9"/>
  <c r="J50" i="9"/>
  <c r="I50" i="9"/>
  <c r="H50" i="9"/>
  <c r="G50" i="9"/>
  <c r="E50" i="9"/>
  <c r="D50" i="9"/>
  <c r="J66" i="11"/>
  <c r="O46" i="9"/>
  <c r="N46" i="9"/>
  <c r="M46" i="9"/>
  <c r="L46" i="9"/>
  <c r="K46" i="9"/>
  <c r="J46" i="9"/>
  <c r="I46" i="9"/>
  <c r="H46" i="9"/>
  <c r="G46" i="9"/>
  <c r="E46" i="9"/>
  <c r="D46" i="9"/>
  <c r="O45" i="9"/>
  <c r="N45" i="9"/>
  <c r="M45" i="9"/>
  <c r="L45" i="9"/>
  <c r="K45" i="9"/>
  <c r="J45" i="9"/>
  <c r="I45" i="9"/>
  <c r="H45" i="9"/>
  <c r="G45" i="9"/>
  <c r="E45" i="9"/>
  <c r="D45" i="9"/>
  <c r="O44" i="9"/>
  <c r="N44" i="9"/>
  <c r="M44" i="9"/>
  <c r="L44" i="9"/>
  <c r="K44" i="9"/>
  <c r="J44" i="9"/>
  <c r="I44" i="9"/>
  <c r="H44" i="9"/>
  <c r="G44" i="9"/>
  <c r="E44" i="9"/>
  <c r="D44" i="9"/>
  <c r="O43" i="9"/>
  <c r="N43" i="9"/>
  <c r="M43" i="9"/>
  <c r="L43" i="9"/>
  <c r="K43" i="9"/>
  <c r="J43" i="9"/>
  <c r="I43" i="9"/>
  <c r="H43" i="9"/>
  <c r="G43" i="9"/>
  <c r="E43" i="9"/>
  <c r="D43" i="9"/>
  <c r="J57" i="11"/>
  <c r="O42" i="9"/>
  <c r="N42" i="9"/>
  <c r="M42" i="9"/>
  <c r="L42" i="9"/>
  <c r="K42" i="9"/>
  <c r="J42" i="9"/>
  <c r="I42" i="9"/>
  <c r="H42" i="9"/>
  <c r="G42" i="9"/>
  <c r="E42" i="9"/>
  <c r="D42" i="9"/>
  <c r="J56" i="11"/>
  <c r="O41" i="9"/>
  <c r="N41" i="9"/>
  <c r="M41" i="9"/>
  <c r="L41" i="9"/>
  <c r="K41" i="9"/>
  <c r="J41" i="9"/>
  <c r="I41" i="9"/>
  <c r="H41" i="9"/>
  <c r="G41" i="9"/>
  <c r="E41" i="9"/>
  <c r="D41" i="9"/>
  <c r="O40" i="9"/>
  <c r="N40" i="9"/>
  <c r="M40" i="9"/>
  <c r="L40" i="9"/>
  <c r="K40" i="9"/>
  <c r="J40" i="9"/>
  <c r="I40" i="9"/>
  <c r="H40" i="9"/>
  <c r="G40" i="9"/>
  <c r="E40" i="9"/>
  <c r="D40" i="9"/>
  <c r="O39" i="9"/>
  <c r="N39" i="9"/>
  <c r="M39" i="9"/>
  <c r="L39" i="9"/>
  <c r="K39" i="9"/>
  <c r="J39" i="9"/>
  <c r="I39" i="9"/>
  <c r="H39" i="9"/>
  <c r="G39" i="9"/>
  <c r="E39" i="9"/>
  <c r="D39" i="9"/>
  <c r="J51" i="11"/>
  <c r="O38" i="9"/>
  <c r="N38" i="9"/>
  <c r="M38" i="9"/>
  <c r="L38" i="9"/>
  <c r="K38" i="9"/>
  <c r="J38" i="9"/>
  <c r="I38" i="9"/>
  <c r="H38" i="9"/>
  <c r="G38" i="9"/>
  <c r="E38" i="9"/>
  <c r="D38" i="9"/>
  <c r="J50" i="11"/>
  <c r="O37" i="9"/>
  <c r="N37" i="9"/>
  <c r="M37" i="9"/>
  <c r="L37" i="9"/>
  <c r="K37" i="9"/>
  <c r="J37" i="9"/>
  <c r="I37" i="9"/>
  <c r="H37" i="9"/>
  <c r="G37" i="9"/>
  <c r="E37" i="9"/>
  <c r="D37" i="9"/>
  <c r="J49" i="11"/>
  <c r="O36" i="9"/>
  <c r="N36" i="9"/>
  <c r="M36" i="9"/>
  <c r="L36" i="9"/>
  <c r="K36" i="9"/>
  <c r="J36" i="9"/>
  <c r="I36" i="9"/>
  <c r="H36" i="9"/>
  <c r="G36" i="9"/>
  <c r="E36" i="9"/>
  <c r="D36" i="9"/>
  <c r="J48" i="11"/>
  <c r="O35" i="9"/>
  <c r="N35" i="9"/>
  <c r="M35" i="9"/>
  <c r="L35" i="9"/>
  <c r="K35" i="9"/>
  <c r="J35" i="9"/>
  <c r="I35" i="9"/>
  <c r="H35" i="9"/>
  <c r="G35" i="9"/>
  <c r="E35" i="9"/>
  <c r="D35" i="9"/>
  <c r="O34" i="9"/>
  <c r="N34" i="9"/>
  <c r="M34" i="9"/>
  <c r="L34" i="9"/>
  <c r="K34" i="9"/>
  <c r="J34" i="9"/>
  <c r="I34" i="9"/>
  <c r="H34" i="9"/>
  <c r="G34" i="9"/>
  <c r="E34" i="9"/>
  <c r="D34" i="9"/>
  <c r="J45" i="11"/>
  <c r="O33" i="9"/>
  <c r="N33" i="9"/>
  <c r="M33" i="9"/>
  <c r="L33" i="9"/>
  <c r="K33" i="9"/>
  <c r="J33" i="9"/>
  <c r="I33" i="9"/>
  <c r="H33" i="9"/>
  <c r="G33" i="9"/>
  <c r="E33" i="9"/>
  <c r="D33" i="9"/>
  <c r="J44" i="11"/>
  <c r="O32" i="9"/>
  <c r="N32" i="9"/>
  <c r="M32" i="9"/>
  <c r="L32" i="9"/>
  <c r="K32" i="9"/>
  <c r="J32" i="9"/>
  <c r="I32" i="9"/>
  <c r="H32" i="9"/>
  <c r="G32" i="9"/>
  <c r="E32" i="9"/>
  <c r="D32" i="9"/>
  <c r="J43" i="11"/>
  <c r="O31" i="9"/>
  <c r="N31" i="9"/>
  <c r="M31" i="9"/>
  <c r="L31" i="9"/>
  <c r="K31" i="9"/>
  <c r="J31" i="9"/>
  <c r="I31" i="9"/>
  <c r="H31" i="9"/>
  <c r="G31" i="9"/>
  <c r="E31" i="9"/>
  <c r="D31" i="9"/>
  <c r="J40" i="11"/>
  <c r="O30" i="9"/>
  <c r="N30" i="9"/>
  <c r="M30" i="9"/>
  <c r="L30" i="9"/>
  <c r="K30" i="9"/>
  <c r="J30" i="9"/>
  <c r="I30" i="9"/>
  <c r="H30" i="9"/>
  <c r="G30" i="9"/>
  <c r="E30" i="9"/>
  <c r="D30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J37" i="11"/>
  <c r="O27" i="9"/>
  <c r="N27" i="9"/>
  <c r="M27" i="9"/>
  <c r="L27" i="9"/>
  <c r="K27" i="9"/>
  <c r="J27" i="9"/>
  <c r="I27" i="9"/>
  <c r="H27" i="9"/>
  <c r="G27" i="9"/>
  <c r="E27" i="9"/>
  <c r="D27" i="9"/>
  <c r="J36" i="11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J33" i="11"/>
  <c r="O24" i="9"/>
  <c r="N24" i="9"/>
  <c r="M24" i="9"/>
  <c r="L24" i="9"/>
  <c r="K24" i="9"/>
  <c r="J24" i="9"/>
  <c r="I24" i="9"/>
  <c r="H24" i="9"/>
  <c r="G24" i="9"/>
  <c r="E24" i="9"/>
  <c r="D24" i="9"/>
  <c r="J32" i="11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J21" i="11"/>
  <c r="O16" i="9"/>
  <c r="N16" i="9"/>
  <c r="M16" i="9"/>
  <c r="L16" i="9"/>
  <c r="K16" i="9"/>
  <c r="J16" i="9"/>
  <c r="I16" i="9"/>
  <c r="H16" i="9"/>
  <c r="G16" i="9"/>
  <c r="E16" i="9"/>
  <c r="D16" i="9"/>
  <c r="J20" i="11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J15" i="11"/>
  <c r="O13" i="9"/>
  <c r="N13" i="9"/>
  <c r="M13" i="9"/>
  <c r="L13" i="9"/>
  <c r="K13" i="9"/>
  <c r="J13" i="9"/>
  <c r="I13" i="9"/>
  <c r="H13" i="9"/>
  <c r="G13" i="9"/>
  <c r="E13" i="9"/>
  <c r="D13" i="9"/>
  <c r="J14" i="11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J10" i="11"/>
  <c r="O9" i="9"/>
  <c r="N9" i="9"/>
  <c r="M9" i="9"/>
  <c r="L9" i="9"/>
  <c r="K9" i="9"/>
  <c r="J9" i="9"/>
  <c r="I9" i="9"/>
  <c r="H9" i="9"/>
  <c r="G9" i="9"/>
  <c r="E9" i="9"/>
  <c r="D9" i="9"/>
  <c r="J9" i="11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J7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90" i="11"/>
  <c r="J89" i="11"/>
  <c r="J88" i="11"/>
  <c r="J87" i="11"/>
  <c r="J86" i="11"/>
  <c r="J85" i="11"/>
  <c r="J84" i="11"/>
  <c r="J77" i="11"/>
  <c r="J76" i="11"/>
  <c r="J75" i="11"/>
  <c r="J70" i="11"/>
  <c r="J65" i="11"/>
  <c r="J64" i="11"/>
  <c r="J63" i="11"/>
  <c r="J62" i="11"/>
  <c r="J61" i="11"/>
  <c r="J60" i="11"/>
  <c r="J59" i="11"/>
  <c r="J58" i="11"/>
  <c r="J55" i="11"/>
  <c r="J54" i="11"/>
  <c r="J53" i="11"/>
  <c r="J52" i="11"/>
  <c r="J47" i="11"/>
  <c r="J46" i="11"/>
  <c r="J42" i="11"/>
  <c r="J41" i="11"/>
  <c r="J39" i="11"/>
  <c r="J38" i="11"/>
  <c r="J35" i="11"/>
  <c r="J34" i="11"/>
  <c r="J31" i="11"/>
  <c r="J30" i="11"/>
  <c r="J29" i="11"/>
  <c r="J28" i="11"/>
  <c r="J27" i="11"/>
  <c r="J26" i="11"/>
  <c r="J25" i="11"/>
  <c r="J24" i="11"/>
  <c r="J23" i="11"/>
  <c r="J22" i="11"/>
  <c r="J19" i="11"/>
  <c r="J18" i="11"/>
  <c r="J17" i="11"/>
  <c r="J16" i="11"/>
  <c r="J13" i="11"/>
  <c r="J12" i="11"/>
  <c r="J11" i="11"/>
  <c r="J8" i="11"/>
  <c r="J6" i="11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Y3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6" i="1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I2" i="19"/>
  <c r="J2" i="19"/>
  <c r="G2" i="19"/>
  <c r="F2" i="19"/>
  <c r="D2" i="19"/>
  <c r="C2" i="19"/>
  <c r="O2" i="9"/>
  <c r="N2" i="9"/>
  <c r="M2" i="9"/>
  <c r="L2" i="9"/>
  <c r="K2" i="9"/>
  <c r="J2" i="9"/>
  <c r="I2" i="9"/>
  <c r="H2" i="9"/>
  <c r="G2" i="9"/>
  <c r="E2" i="9"/>
  <c r="D2" i="9"/>
  <c r="W2" i="7"/>
  <c r="V2" i="1"/>
  <c r="R2" i="7"/>
  <c r="Q2" i="7"/>
  <c r="P2" i="7"/>
  <c r="O2" i="7"/>
  <c r="N2" i="7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J2" i="1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<sst xmlns="http://schemas.openxmlformats.org/spreadsheetml/2006/main" count="1239" uniqueCount="408">
  <si>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</si>
  <si>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</si>
  <si>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</si>
  <si>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</si>
  <si>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</si>
  <si>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</si>
  <si>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</si>
  <si>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</si>
  <si>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</si>
  <si>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</si>
  <si>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</si>
  <si>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</si>
  <si>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</si>
  <si>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</si>
  <si>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</si>
  <si>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</si>
  <si>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</si>
  <si>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</si>
  <si>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</si>
  <si>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</si>
  <si>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</si>
  <si>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</si>
  <si>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</si>
  <si>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</si>
  <si>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</si>
  <si>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</si>
  <si>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</si>
  <si>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</si>
  <si>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</si>
  <si>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</si>
  <si>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</si>
  <si>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</si>
  <si>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</si>
  <si>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</si>
  <si>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</si>
  <si>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</si>
  <si>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</si>
  <si>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</si>
  <si>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</si>
  <si>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</si>
  <si>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</si>
  <si>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</si>
  <si>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</si>
  <si>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</si>
  <si>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</si>
  <si>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</si>
  <si>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</si>
  <si>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</si>
  <si>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</si>
  <si>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</si>
  <si>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</si>
  <si>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</si>
  <si>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</si>
  <si>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</si>
  <si>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</si>
  <si>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</si>
  <si>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</si>
  <si>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</si>
  <si>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</si>
  <si>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</si>
  <si>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</si>
  <si>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</si>
  <si>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</si>
  <si>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</si>
  <si>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</si>
  <si>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</si>
  <si>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</si>
  <si>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</si>
  <si>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</si>
  <si>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</si>
  <si>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</si>
  <si>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</si>
  <si>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</si>
  <si>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</si>
  <si>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</si>
  <si>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</si>
  <si>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</si>
  <si>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</si>
  <si>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</si>
  <si>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</si>
  <si>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</si>
  <si>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</si>
  <si>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</si>
  <si>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</si>
  <si>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</si>
  <si>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</si>
  <si>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</si>
  <si>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</si>
  <si>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</si>
  <si>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</si>
  <si>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</si>
  <si>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</si>
  <si>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</si>
  <si>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</si>
  <si>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</si>
  <si>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</si>
  <si>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</si>
  <si>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</si>
  <si>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</si>
  <si>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</si>
  <si>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</si>
  <si>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</si>
  <si>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</si>
  <si>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</si>
  <si>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</si>
  <si>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</si>
  <si>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</si>
  <si>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</si>
  <si>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</si>
  <si>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</si>
  <si>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</si>
  <si>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</si>
  <si>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</si>
  <si>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</si>
  <si>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</si>
  <si>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</si>
  <si>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</si>
  <si>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</si>
  <si>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</si>
  <si>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</si>
  <si>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</si>
  <si>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</si>
  <si>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</si>
  <si>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</si>
  <si>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</si>
  <si>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</si>
  <si>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</si>
  <si>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</si>
  <si>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</si>
  <si>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</si>
  <si>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</si>
  <si>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</si>
  <si>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</si>
  <si>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</si>
  <si>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</si>
  <si>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</si>
  <si>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</si>
  <si>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</si>
  <si>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</si>
  <si>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</si>
  <si>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</si>
  <si>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</si>
  <si>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</si>
  <si>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</si>
  <si>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</si>
  <si>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</si>
  <si>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</si>
  <si>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</si>
  <si>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</si>
  <si>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</si>
  <si>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</si>
  <si>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</si>
  <si>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</si>
  <si>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</si>
  <si>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</si>
  <si>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</si>
  <si>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</si>
  <si>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</si>
  <si>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</si>
  <si>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</si>
  <si>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</si>
  <si>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</si>
  <si>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</si>
  <si>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</si>
  <si>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</si>
  <si>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</si>
  <si>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</si>
  <si>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</si>
  <si>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</si>
  <si>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</si>
  <si>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</si>
  <si>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</si>
  <si>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</si>
  <si>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</si>
  <si>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</si>
  <si>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</si>
  <si>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</si>
  <si>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</si>
  <si>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</si>
  <si>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</si>
  <si>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</si>
  <si>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</si>
  <si>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</si>
  <si>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</si>
  <si>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</si>
  <si>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</si>
  <si>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</si>
  <si>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</si>
  <si>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</si>
  <si>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</si>
  <si>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</si>
  <si>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</si>
  <si>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</si>
  <si>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</si>
  <si>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</si>
  <si>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</si>
  <si>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</si>
  <si>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old</t>
  </si>
  <si>
    <t>old</t>
    <phoneticPr fontId="5"/>
  </si>
  <si>
    <t>old</t>
    <phoneticPr fontId="5"/>
  </si>
  <si>
    <t>赤ずきん</t>
    <rPh sb="0" eb="4">
      <t>アk</t>
    </rPh>
    <phoneticPr fontId="5"/>
  </si>
  <si>
    <t>予備枠</t>
    <rPh sb="0" eb="3">
      <t>ヨb</t>
    </rPh>
    <phoneticPr fontId="5"/>
  </si>
  <si>
    <t>連続攻撃</t>
    <rPh sb="0" eb="4">
      <t>レンゾk</t>
    </rPh>
    <phoneticPr fontId="5"/>
  </si>
  <si>
    <t>ウルフ</t>
    <phoneticPr fontId="5"/>
  </si>
  <si>
    <t>攻撃力アップ</t>
    <rPh sb="0" eb="6">
      <t>コウゲキ</t>
    </rPh>
    <phoneticPr fontId="5"/>
  </si>
  <si>
    <t>アナスタシア</t>
    <phoneticPr fontId="5"/>
  </si>
  <si>
    <t>攻撃頻度アップ</t>
    <rPh sb="0" eb="4">
      <t>コウゲk</t>
    </rPh>
    <phoneticPr fontId="5"/>
  </si>
  <si>
    <t>予備枠</t>
    <rPh sb="0" eb="3">
      <t>ヨb</t>
    </rPh>
    <phoneticPr fontId="5"/>
  </si>
  <si>
    <t>シンデレラ</t>
    <phoneticPr fontId="5"/>
  </si>
  <si>
    <t>攻撃頻度アップ</t>
    <rPh sb="0" eb="7">
      <t>コウゲk</t>
    </rPh>
    <phoneticPr fontId="5"/>
  </si>
  <si>
    <t>シュガフル1ゲージ目</t>
    <rPh sb="9" eb="10">
      <t>メ</t>
    </rPh>
    <phoneticPr fontId="5"/>
  </si>
  <si>
    <t>シュガフル2ゲージ目</t>
    <rPh sb="9" eb="10">
      <t>メ</t>
    </rPh>
    <phoneticPr fontId="5"/>
  </si>
  <si>
    <t>予備枠</t>
    <phoneticPr fontId="5"/>
  </si>
  <si>
    <t>ヘンゼル1ゲージ目</t>
    <rPh sb="8" eb="9">
      <t>m</t>
    </rPh>
    <phoneticPr fontId="5"/>
  </si>
  <si>
    <t>Cパネル生成延長</t>
    <rPh sb="4" eb="6">
      <t>セ</t>
    </rPh>
    <rPh sb="6" eb="8">
      <t>エンチョ</t>
    </rPh>
    <phoneticPr fontId="5"/>
  </si>
  <si>
    <t>ヘンゼル2ゲージ目</t>
    <rPh sb="8" eb="9">
      <t>m</t>
    </rPh>
    <phoneticPr fontId="5"/>
  </si>
  <si>
    <t>ボスジェリー1ゲージ目</t>
    <rPh sb="10" eb="11">
      <t>m</t>
    </rPh>
    <phoneticPr fontId="5"/>
  </si>
  <si>
    <t>ボスジェリー2ゲージ目</t>
    <rPh sb="10" eb="11">
      <t>m</t>
    </rPh>
    <phoneticPr fontId="5"/>
  </si>
  <si>
    <t>ボスジョー1ゲージ目</t>
    <rPh sb="9" eb="10">
      <t>m</t>
    </rPh>
    <phoneticPr fontId="5"/>
  </si>
  <si>
    <t>ボスジョー2ゲージ目</t>
    <rPh sb="9" eb="10">
      <t>m</t>
    </rPh>
    <phoneticPr fontId="5"/>
  </si>
  <si>
    <t>グリム2ゲージ目</t>
    <phoneticPr fontId="5"/>
  </si>
  <si>
    <t>グリム3ゲージ目</t>
    <phoneticPr fontId="5"/>
  </si>
  <si>
    <t>フィーバーゲージ吸収</t>
    <rPh sb="8" eb="10">
      <t>キュウシュ</t>
    </rPh>
    <phoneticPr fontId="5"/>
  </si>
  <si>
    <t>[effect:nothing]</t>
  </si>
  <si>
    <t>[effect:nothing]</t>
    <phoneticPr fontId="5"/>
  </si>
  <si>
    <t>[effect:tolerance, target:myself, turn:-1, tolerance_effect:hungup, count:-1, animation:enemy_tolerance]</t>
    <phoneticPr fontId="5"/>
  </si>
  <si>
    <t>[effect:change_block, new_block:time_bomb, target:block_blue, count:3, val:0.1, min_time_count:1, max_time_count:1, animation:change_block]</t>
    <phoneticPr fontId="5"/>
  </si>
  <si>
    <t xml:space="preserve">[effect:enhance_enemy, target:myself, turn:4, status:defense, val:4000, calc:add, animation:enemy_enhance_defense]    </t>
    <phoneticPr fontId="5"/>
  </si>
  <si>
    <t>[effect:break_attack, val:0.3, lowest_val:333, count:-1, block:block_heart, target:unit_one]</t>
    <phoneticPr fontId="5"/>
  </si>
  <si>
    <t xml:space="preserve">[effect:degrade_fever, val:1000, animation:fevergauge_down]    </t>
    <phoneticPr fontId="5"/>
  </si>
  <si>
    <t>[effect:critical, val:1.8]</t>
    <phoneticPr fontId="5"/>
  </si>
  <si>
    <t>[effect:critical, val:2.0]</t>
    <phoneticPr fontId="5"/>
  </si>
  <si>
    <t>[effect:critical, val:2.5]</t>
    <phoneticPr fontId="5"/>
  </si>
  <si>
    <t>[effect:critical, val:3.0]</t>
    <phoneticPr fontId="5"/>
  </si>
  <si>
    <t>null</t>
    <phoneticPr fontId="5"/>
  </si>
  <si>
    <t>null</t>
    <phoneticPr fontId="5"/>
  </si>
  <si>
    <t>[effect:damage_anti_tribe, target:unit_all, tribe:animal, val1:1.3, val2:0.1]</t>
    <phoneticPr fontId="5"/>
  </si>
  <si>
    <t>[effect:nothing]</t>
    <phoneticPr fontId="5"/>
  </si>
  <si>
    <t>[effect:damage_anti_tribe, target:unit_all, tribe:dragon, val1:1.3, val2:0.1]</t>
    <phoneticPr fontId="5"/>
  </si>
  <si>
    <t>[effect:damage_anti_tribe, target:unit_all, tribe:god, val1:1.3, val2:0.1]</t>
    <phoneticPr fontId="5"/>
  </si>
  <si>
    <t>[effect:enemy_counter, target:myself, invoke_condition:unit_all, counter_target:attacker, turn:1, val:1.5, animation:enemy_counter]</t>
    <phoneticPr fontId="5"/>
  </si>
  <si>
    <t>[effect:enemy_counter, target:myself, invoke_condition:unit_all, counter_target:attacker, turn:3, val:1, animation:enemy_counter]</t>
    <phoneticPr fontId="5"/>
  </si>
  <si>
    <t>[effect:critical, val:1.6]</t>
    <phoneticPr fontId="5"/>
  </si>
  <si>
    <t>[effect:critical, val:1.5]</t>
    <phoneticPr fontId="5"/>
  </si>
  <si>
    <t>全体攻撃</t>
    <rPh sb="0" eb="4">
      <t>ゼン</t>
    </rPh>
    <phoneticPr fontId="5"/>
  </si>
  <si>
    <t>[effect:rush, count:4, val:0.3]</t>
    <phoneticPr fontId="5"/>
  </si>
  <si>
    <t>グリム様の敵…</t>
    <rPh sb="3" eb="4">
      <t>サm</t>
    </rPh>
    <rPh sb="5" eb="6">
      <t>テk</t>
    </rPh>
    <phoneticPr fontId="5"/>
  </si>
  <si>
    <t>グリム様の敵…</t>
    <rPh sb="3" eb="5">
      <t>サm</t>
    </rPh>
    <rPh sb="5" eb="6">
      <t>テk</t>
    </rPh>
    <phoneticPr fontId="5"/>
  </si>
  <si>
    <t>虚ろな瞳で襲いかかってくる！</t>
    <rPh sb="0" eb="3">
      <t>ウt</t>
    </rPh>
    <rPh sb="3" eb="5">
      <t>ヒt</t>
    </rPh>
    <rPh sb="5" eb="13">
      <t>オソ</t>
    </rPh>
    <phoneticPr fontId="5"/>
  </si>
  <si>
    <t>状態異常耐性</t>
    <rPh sb="0" eb="6">
      <t>ジョ</t>
    </rPh>
    <phoneticPr fontId="5"/>
  </si>
  <si>
    <t>虚ろな瞳で襲いかかってくる！</t>
    <rPh sb="0" eb="3">
      <t>ウツr</t>
    </rPh>
    <rPh sb="3" eb="5">
      <t>ヒトミ</t>
    </rPh>
    <rPh sb="5" eb="14">
      <t>オソ</t>
    </rPh>
    <phoneticPr fontId="5"/>
  </si>
  <si>
    <t>虚ろな瞳で襲いかかってくる！</t>
    <phoneticPr fontId="5"/>
  </si>
  <si>
    <t>虚ろな瞳で襲いかかってくる！</t>
    <phoneticPr fontId="5"/>
  </si>
  <si>
    <t>予備枠</t>
    <phoneticPr fontId="5"/>
  </si>
  <si>
    <t>こんなこと…したくない</t>
    <phoneticPr fontId="5"/>
  </si>
  <si>
    <t>シンデレラ</t>
    <phoneticPr fontId="5"/>
  </si>
  <si>
    <t>[effect:spread, val:0.4]</t>
    <phoneticPr fontId="5"/>
  </si>
  <si>
    <t>全体攻撃</t>
    <rPh sb="0" eb="4">
      <t>ゼンタ</t>
    </rPh>
    <phoneticPr fontId="5"/>
  </si>
  <si>
    <t>[effect:nothing]</t>
    <phoneticPr fontId="5"/>
  </si>
  <si>
    <t xml:space="preserve">[effect:enhance_enemy, target:myself, turn:-1, status:attack, val:1.2, calc:mul, animation:enemy_enhance_attack]    </t>
    <phoneticPr fontId="5"/>
  </si>
  <si>
    <t>種族アニマルに大ダメージの全体攻撃</t>
    <rPh sb="0" eb="2">
      <t>sy</t>
    </rPh>
    <rPh sb="7" eb="12">
      <t>ダ</t>
    </rPh>
    <rPh sb="13" eb="17">
      <t>ゼン</t>
    </rPh>
    <phoneticPr fontId="5"/>
  </si>
  <si>
    <t>敵全体に防御アップ</t>
    <rPh sb="0" eb="1">
      <t>テk</t>
    </rPh>
    <rPh sb="1" eb="3">
      <t>ゼンタ</t>
    </rPh>
    <rPh sb="4" eb="9">
      <t>ボウgy</t>
    </rPh>
    <phoneticPr fontId="5"/>
  </si>
  <si>
    <t>1ターンの間カウンター</t>
    <rPh sb="5" eb="6">
      <t>ア</t>
    </rPh>
    <phoneticPr fontId="5"/>
  </si>
  <si>
    <t>3ターンの間カウンター</t>
    <rPh sb="5" eb="6">
      <t>ア</t>
    </rPh>
    <phoneticPr fontId="5"/>
  </si>
  <si>
    <t>&lt;危険分子排除&gt;</t>
    <rPh sb="1" eb="3">
      <t>キk</t>
    </rPh>
    <rPh sb="3" eb="5">
      <t>ブン</t>
    </rPh>
    <rPh sb="5" eb="7">
      <t>ハイjy</t>
    </rPh>
    <phoneticPr fontId="5"/>
  </si>
  <si>
    <t>&lt;スタンバイ&gt;</t>
    <phoneticPr fontId="5"/>
  </si>
  <si>
    <t>&lt;迎撃体勢&gt;</t>
    <rPh sb="1" eb="3">
      <t>ゲイゲk</t>
    </rPh>
    <rPh sb="3" eb="5">
      <t>taisei</t>
    </rPh>
    <phoneticPr fontId="5"/>
  </si>
  <si>
    <t>&lt;クロックアップ&gt;</t>
    <phoneticPr fontId="5"/>
  </si>
  <si>
    <t>&lt;オーバードライブ&gt;</t>
    <phoneticPr fontId="5"/>
  </si>
  <si>
    <t>お邪魔パネルを破壊して攻撃</t>
    <rPh sb="1" eb="6">
      <t>ジャm</t>
    </rPh>
    <rPh sb="7" eb="9">
      <t>ハカ</t>
    </rPh>
    <rPh sb="11" eb="13">
      <t>コウゲk</t>
    </rPh>
    <phoneticPr fontId="5"/>
  </si>
  <si>
    <t>攻撃力アップ</t>
    <rPh sb="0" eb="3">
      <t>コウゲk</t>
    </rPh>
    <phoneticPr fontId="5"/>
  </si>
  <si>
    <t>……助け…て…</t>
    <rPh sb="2" eb="6">
      <t>タスk</t>
    </rPh>
    <phoneticPr fontId="5"/>
  </si>
  <si>
    <t>&lt;ハンターズバレット&gt;</t>
    <phoneticPr fontId="5"/>
  </si>
  <si>
    <t>&lt;果てしなき食欲&gt;</t>
    <rPh sb="1" eb="6">
      <t>ハテs</t>
    </rPh>
    <rPh sb="6" eb="8">
      <t>ショクヨk</t>
    </rPh>
    <phoneticPr fontId="5"/>
  </si>
  <si>
    <t>&lt;邪気蒼黒掌&gt;</t>
    <phoneticPr fontId="5"/>
  </si>
  <si>
    <t>&lt;秘技・邪烈蒼打拳&gt;</t>
    <phoneticPr fontId="5"/>
  </si>
  <si>
    <t>&lt;破壊電光脚&gt;</t>
    <rPh sb="1" eb="3">
      <t>ハk</t>
    </rPh>
    <rPh sb="5" eb="6">
      <t>キャk</t>
    </rPh>
    <phoneticPr fontId="5"/>
  </si>
  <si>
    <t>&lt;魔解閃光脚&gt;</t>
    <rPh sb="1" eb="2">
      <t>マカ</t>
    </rPh>
    <rPh sb="2" eb="3">
      <t>カ</t>
    </rPh>
    <rPh sb="3" eb="6">
      <t>セン</t>
    </rPh>
    <phoneticPr fontId="5"/>
  </si>
  <si>
    <t>&lt;放電&gt;</t>
    <rPh sb="1" eb="3">
      <t>ホ</t>
    </rPh>
    <phoneticPr fontId="5"/>
  </si>
  <si>
    <t>&lt;警報&gt;</t>
    <rPh sb="1" eb="3">
      <t>ケイホ</t>
    </rPh>
    <phoneticPr fontId="5"/>
  </si>
  <si>
    <t>&lt;ショットガン&gt;</t>
    <phoneticPr fontId="5"/>
  </si>
  <si>
    <t>&lt;噛みつき&gt;</t>
    <rPh sb="1" eb="5">
      <t>カm</t>
    </rPh>
    <phoneticPr fontId="5"/>
  </si>
  <si>
    <t>&lt;パチパチキャンディ&gt;</t>
    <phoneticPr fontId="5"/>
  </si>
  <si>
    <t>&lt;緊急措置&gt;</t>
    <rPh sb="1" eb="5">
      <t>キンキュ</t>
    </rPh>
    <phoneticPr fontId="5"/>
  </si>
  <si>
    <t>防御力アップ</t>
    <rPh sb="0" eb="3">
      <t>ボ</t>
    </rPh>
    <phoneticPr fontId="5"/>
  </si>
  <si>
    <t>&lt;呪文詠唱中…&gt;</t>
    <rPh sb="1" eb="3">
      <t>ジュモン</t>
    </rPh>
    <rPh sb="3" eb="6">
      <t>エイショ</t>
    </rPh>
    <phoneticPr fontId="5"/>
  </si>
  <si>
    <t>侵入者…感知…</t>
    <rPh sb="0" eb="3">
      <t>シン</t>
    </rPh>
    <rPh sb="4" eb="6">
      <t>カン</t>
    </rPh>
    <phoneticPr fontId="5"/>
  </si>
  <si>
    <t>青パネルを時限爆弾パネルに変換</t>
  </si>
  <si>
    <t>青パネルを時限爆弾パネルに変換</t>
    <rPh sb="0" eb="5">
      <t>アオパネr</t>
    </rPh>
    <rPh sb="5" eb="9">
      <t>ジゲン</t>
    </rPh>
    <rPh sb="13" eb="15">
      <t>ヘン</t>
    </rPh>
    <phoneticPr fontId="5"/>
  </si>
  <si>
    <t>&lt;侵入者撃退&gt;</t>
    <rPh sb="1" eb="4">
      <t>シン</t>
    </rPh>
    <rPh sb="4" eb="6">
      <t>ゲキタ</t>
    </rPh>
    <phoneticPr fontId="5"/>
  </si>
  <si>
    <t>&lt;侵入者撃退&gt;</t>
    <phoneticPr fontId="5"/>
  </si>
  <si>
    <t>状態異常耐性</t>
    <rPh sb="0" eb="4">
      <t>カイマk</t>
    </rPh>
    <rPh sb="4" eb="6">
      <t>タイセ</t>
    </rPh>
    <phoneticPr fontId="5"/>
  </si>
  <si>
    <t>&lt;パネル生成妨害&gt;</t>
    <rPh sb="4" eb="6">
      <t>セ</t>
    </rPh>
    <rPh sb="6" eb="8">
      <t>ボ</t>
    </rPh>
    <phoneticPr fontId="5"/>
  </si>
  <si>
    <t>屈辱を味わわせてやる！</t>
    <rPh sb="0" eb="3">
      <t>クt</t>
    </rPh>
    <rPh sb="3" eb="10">
      <t>アj</t>
    </rPh>
    <phoneticPr fontId="5"/>
  </si>
  <si>
    <t>君たちも僕のコレクションに加えてあげよう</t>
    <rPh sb="0" eb="4">
      <t>キm</t>
    </rPh>
    <rPh sb="4" eb="6">
      <t>ボk</t>
    </rPh>
    <rPh sb="13" eb="20">
      <t>クワ</t>
    </rPh>
    <phoneticPr fontId="5"/>
  </si>
  <si>
    <t>防御力ダウン</t>
    <phoneticPr fontId="5"/>
  </si>
  <si>
    <t>防御力ダウン</t>
    <phoneticPr fontId="5"/>
  </si>
  <si>
    <t>種族ドラゴンに大ダメージの全体攻撃</t>
    <phoneticPr fontId="5"/>
  </si>
  <si>
    <t>種族ゴッドに大ダメージの全体攻撃</t>
    <phoneticPr fontId="5"/>
  </si>
  <si>
    <t>竜とて所詮おとぎ話さ…</t>
    <rPh sb="0" eb="1">
      <t>リュウ</t>
    </rPh>
    <rPh sb="3" eb="5">
      <t>ショセン</t>
    </rPh>
    <rPh sb="8" eb="10">
      <t>バナs</t>
    </rPh>
    <phoneticPr fontId="5"/>
  </si>
  <si>
    <t>この力でALICEを支配してみせる！</t>
    <rPh sb="2" eb="4">
      <t>チカr</t>
    </rPh>
    <rPh sb="10" eb="18">
      <t>シハ</t>
    </rPh>
    <phoneticPr fontId="5"/>
  </si>
  <si>
    <t>神さえも支配してみせるさ</t>
    <rPh sb="0" eb="4">
      <t>カm</t>
    </rPh>
    <rPh sb="4" eb="11">
      <t>シハ</t>
    </rPh>
    <phoneticPr fontId="5"/>
  </si>
  <si>
    <t>勝てるとでも思ったかい？</t>
    <rPh sb="0" eb="6">
      <t>カt</t>
    </rPh>
    <rPh sb="6" eb="12">
      <t>オモtt</t>
    </rPh>
    <phoneticPr fontId="5"/>
  </si>
  <si>
    <t>ターンごとに強力になる攻撃！</t>
    <rPh sb="6" eb="8">
      <t>キョウリョk</t>
    </rPh>
    <rPh sb="11" eb="14">
      <t>コウゲk</t>
    </rPh>
    <phoneticPr fontId="5"/>
  </si>
  <si>
    <t>支配の銃弾</t>
    <rPh sb="0" eb="3">
      <t>シh</t>
    </rPh>
    <rPh sb="3" eb="5">
      <t>10ダン</t>
    </rPh>
    <phoneticPr fontId="5"/>
  </si>
  <si>
    <t>[effect:change_block, new_block:jammer, target:block_all, count:3, val:0, animation:change_block],[effect:critical, val:1.0]</t>
    <phoneticPr fontId="5"/>
  </si>
  <si>
    <t>[effect:change_block, new_block:jammer, target:block_all, count:6, val:0, animation:change_block],[effect:critical, val:1.3]</t>
    <phoneticPr fontId="5"/>
  </si>
  <si>
    <t>お邪魔パネル生成</t>
    <rPh sb="1" eb="6">
      <t>ジャマパネr</t>
    </rPh>
    <rPh sb="6" eb="8">
      <t>セ</t>
    </rPh>
    <phoneticPr fontId="5"/>
  </si>
  <si>
    <t>お邪魔パネル大量生成</t>
    <rPh sb="6" eb="8">
      <t>タイリョ</t>
    </rPh>
    <rPh sb="8" eb="10">
      <t>セ</t>
    </rPh>
    <phoneticPr fontId="5"/>
  </si>
  <si>
    <t>[effect:freq_turn, target:enemy_all, turn:3, val:1, animation:enemy_freq_turn]</t>
    <phoneticPr fontId="5"/>
  </si>
  <si>
    <t>[effect:freq_turn, target:myself, turn:3, val:1, animation:enemy_freq_turn]</t>
    <phoneticPr fontId="5"/>
  </si>
  <si>
    <t>[effect:freq_turn, target:myself, turn:-1, val:1, animation:enemy_freq_turn]</t>
    <phoneticPr fontId="5"/>
  </si>
  <si>
    <t>大ダメージの攻撃</t>
    <rPh sb="0" eb="5">
      <t>ダ</t>
    </rPh>
    <rPh sb="6" eb="8">
      <t>コウゲk</t>
    </rPh>
    <phoneticPr fontId="5"/>
  </si>
  <si>
    <t>クリティカル攻撃</t>
    <rPh sb="6" eb="8">
      <t>バ</t>
    </rPh>
    <phoneticPr fontId="5"/>
  </si>
  <si>
    <t>3ターンの間攻撃頻度アップ</t>
    <rPh sb="5" eb="6">
      <t>ア</t>
    </rPh>
    <rPh sb="6" eb="13">
      <t>コウゲk</t>
    </rPh>
    <phoneticPr fontId="5"/>
  </si>
  <si>
    <t>[effect:break_attack_fix, val:1250, lowest_val:666, count:-1, block:jammer, target:unit_one]</t>
    <phoneticPr fontId="5"/>
  </si>
  <si>
    <t>[effect:spread, val:0.3]</t>
    <phoneticPr fontId="5"/>
  </si>
  <si>
    <t>自分自身の防御アップ</t>
    <rPh sb="0" eb="2">
      <t>ジブン</t>
    </rPh>
    <rPh sb="2" eb="4">
      <t>ジシン</t>
    </rPh>
    <rPh sb="4" eb="5">
      <t>ジシン</t>
    </rPh>
    <rPh sb="5" eb="10">
      <t>ボウgy</t>
    </rPh>
    <phoneticPr fontId="5"/>
  </si>
  <si>
    <t xml:space="preserve">[effect:rush, count:6, val:0.2]    </t>
    <phoneticPr fontId="5"/>
  </si>
  <si>
    <t>&lt;………！？&gt;</t>
    <phoneticPr fontId="5"/>
  </si>
  <si>
    <t>&lt;ショットガン&gt;</t>
    <phoneticPr fontId="5"/>
  </si>
  <si>
    <t>&lt;………！&gt;</t>
    <phoneticPr fontId="5"/>
  </si>
  <si>
    <t>君たちか…僕の玩具を壊したのは…</t>
    <rPh sb="0" eb="4">
      <t>キm</t>
    </rPh>
    <rPh sb="5" eb="7">
      <t>ボk</t>
    </rPh>
    <rPh sb="7" eb="9">
      <t>オモチャ</t>
    </rPh>
    <rPh sb="10" eb="15">
      <t>コワs</t>
    </rPh>
    <phoneticPr fontId="5"/>
  </si>
  <si>
    <t>[effect:guard_break, target:enemy_red, turn:-1, val:0, calc:mul, animation:guard_break01]</t>
    <phoneticPr fontId="5"/>
  </si>
  <si>
    <t>[effect:rush, count:6, val:0.2]</t>
    <phoneticPr fontId="5"/>
  </si>
  <si>
    <t>&lt;臨戦体勢&gt;</t>
    <rPh sb="1" eb="5">
      <t>リンセンタ</t>
    </rPh>
    <phoneticPr fontId="5"/>
  </si>
  <si>
    <t>[effect:freq_turn, target:myself, turn:-1, val:1, animation:enemy_freq_turn]</t>
    <phoneticPr fontId="5"/>
  </si>
  <si>
    <t>次のターンに大ダメージ攻撃</t>
    <rPh sb="0" eb="6">
      <t>ツg</t>
    </rPh>
    <rPh sb="6" eb="11">
      <t>ダ</t>
    </rPh>
    <rPh sb="11" eb="13">
      <t>コウゲk</t>
    </rPh>
    <phoneticPr fontId="5"/>
  </si>
  <si>
    <t>[effect:critical, val:3]</t>
    <phoneticPr fontId="5"/>
  </si>
  <si>
    <t>[effect:guard_break, target:myself, turn:-1, val:0, calc:mul, animation:guard_break01]</t>
    <phoneticPr fontId="5"/>
  </si>
  <si>
    <t>null</t>
    <phoneticPr fontId="5"/>
  </si>
  <si>
    <t>defense_correction</t>
    <phoneticPr fontId="5"/>
  </si>
  <si>
    <t>&lt;シュガフルマジック&gt;</t>
    <phoneticPr fontId="5"/>
  </si>
  <si>
    <t>種族ヒューマンに大ダメージの全体攻撃</t>
    <phoneticPr fontId="5"/>
  </si>
  <si>
    <t>[effect:damage_anti_tribe, target:unit_all, tribe:human, val1:1.3, val2:0.1]</t>
    <phoneticPr fontId="5"/>
  </si>
  <si>
    <t>[effect:damage_anti_tribe, target:unit_all, tribe:machine, val1:1.3, val2:0.1]</t>
    <phoneticPr fontId="5"/>
  </si>
  <si>
    <t>種族マシンに大ダメージの全体攻撃</t>
    <phoneticPr fontId="5"/>
  </si>
  <si>
    <t>&lt;強制分解&gt;</t>
    <rPh sb="1" eb="5">
      <t>キョ</t>
    </rPh>
    <phoneticPr fontId="5"/>
  </si>
  <si>
    <t>[effect:damage_anti_tribe, target:unit_all, tribe:machine, val1:1.5, val2:0.3]</t>
    <phoneticPr fontId="5"/>
  </si>
  <si>
    <t>種族マシンに大ダメージの全体攻撃</t>
    <phoneticPr fontId="5"/>
  </si>
  <si>
    <t>&lt;スイートハウス&gt;</t>
    <phoneticPr fontId="5"/>
  </si>
  <si>
    <t>&lt;スイートハウス&gt;</t>
    <phoneticPr fontId="5"/>
  </si>
  <si>
    <t>&lt;パネル生成妨害&gt;</t>
    <rPh sb="4" eb="8">
      <t>セイセ</t>
    </rPh>
    <phoneticPr fontId="5"/>
  </si>
  <si>
    <t>&lt;カウンターショット&gt;</t>
    <phoneticPr fontId="5"/>
  </si>
  <si>
    <t>&lt;侵入者排除&gt;</t>
    <rPh sb="1" eb="4">
      <t>シン</t>
    </rPh>
    <rPh sb="4" eb="6">
      <t>ハイjy</t>
    </rPh>
    <phoneticPr fontId="5"/>
  </si>
  <si>
    <t>&lt;クロックアップ&gt;</t>
    <phoneticPr fontId="5"/>
  </si>
  <si>
    <t xml:space="preserve">[effect:enhance_enemy, target:myself, turn:5, status:defense, val:3000, calc:add, animation:enemy_enhance_defense]    </t>
    <phoneticPr fontId="5"/>
  </si>
  <si>
    <t>[effect:rush, count:20, val:0.1]</t>
    <phoneticPr fontId="5"/>
  </si>
  <si>
    <t>ja</t>
    <phoneticPr fontId="5"/>
  </si>
  <si>
    <t>[effect:tolerance, target:myself, turn:-1, tolerance_effect:hungup, count:-1, animation:enemy_tolerance],[effect:enhance_enemy, target:myself, turn:5, status:defense, val:3000, calc:add, animation:enemy_enhance_defense]</t>
    <phoneticPr fontId="5"/>
  </si>
  <si>
    <t>状態異常耐性＆防御アップ</t>
    <rPh sb="7" eb="9">
      <t>ボ</t>
    </rPh>
    <phoneticPr fontId="5"/>
  </si>
  <si>
    <t xml:space="preserve">[effect:rush, count:20, val:0.05]    </t>
    <phoneticPr fontId="5"/>
  </si>
  <si>
    <t xml:space="preserve">[effect:enhance_enemy, target:myself, turn:-1, status:attack, val:1.2, calc:mul, animation:enemy_enhance_attack]    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</si>
  <si>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</si>
  <si>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</si>
  <si>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</si>
  <si>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</si>
  <si>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 xml:space="preserve">[effect:enhance_enemy, target:enemy_all, turn:4, status:defense, val:4000, calc:add, animation:enemy_enhance_defense]    </t>
    <phoneticPr fontId="5"/>
  </si>
  <si>
    <t>[effect:enhance_enemy, target:enemy_all, turn:4, status:defense, val:4000, calc:add, animation:enemy_enhance_defense]</t>
    <phoneticPr fontId="5"/>
  </si>
  <si>
    <t>[effect:invalidate_change_block, target:unit_all, block_type:crash, turn:-1, animation:panel_conversion_off]</t>
    <phoneticPr fontId="5"/>
  </si>
  <si>
    <t>old</t>
    <phoneticPr fontId="5"/>
  </si>
  <si>
    <t>stage_hints_data_c_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</si>
  <si>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</si>
  <si>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</si>
  <si>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hint_id</t>
    <phoneticPr fontId="5"/>
  </si>
  <si>
    <t>hint_type</t>
    <phoneticPr fontId="5"/>
  </si>
  <si>
    <t>stage_hints_data_f_</t>
    <phoneticPr fontId="5"/>
  </si>
  <si>
    <t>stage_hints_failure</t>
    <phoneticPr fontId="5"/>
  </si>
  <si>
    <t>stage_hints_i18n_f_</t>
    <phoneticPr fontId="5"/>
  </si>
  <si>
    <t>hint</t>
    <phoneticPr fontId="5"/>
  </si>
  <si>
    <t>filename</t>
  </si>
  <si>
    <t>title</t>
    <phoneticPr fontId="5"/>
  </si>
  <si>
    <t>NULL</t>
    <phoneticPr fontId="5"/>
  </si>
  <si>
    <t>[effect:tolerance, target:myself, turn:-1, tolerance_effect:hungup, count:-1, animation:enemy_tolerance],[effect:fix_speed, target:myself, turn:1]</t>
    <phoneticPr fontId="5"/>
  </si>
  <si>
    <t>連続攻撃</t>
    <rPh sb="0" eb="4">
      <t>レンゾk</t>
    </rPh>
    <phoneticPr fontId="5"/>
  </si>
  <si>
    <t>[effect:rush, count:4, val:0.3]</t>
    <phoneticPr fontId="5"/>
  </si>
  <si>
    <t>[effect:spread, val:0.3],[effect:hungup, target:unit_all, turn:1, rate:0.2, animation:hungup01]</t>
    <phoneticPr fontId="5"/>
  </si>
  <si>
    <t>[effect:break_attack, val:0.3, lowest_val:333, count:-1, block:block_heart, target:unit_one],[effect:fix_speed, target:myself, turn:2]</t>
    <phoneticPr fontId="5"/>
  </si>
  <si>
    <t>[effect:tolerance, target:myself, turn:-1, tolerance_effect:hungup, count:-1, animation:enemy_tolerance],[effect:invalidate_change_block, target:unit_all, block_type:crash, turn:-1, animation:panel_conversion_off]</t>
    <phoneticPr fontId="5"/>
  </si>
  <si>
    <t>状態異常耐性+Cパネル変換不可</t>
    <rPh sb="11" eb="13">
      <t>ヘンカン</t>
    </rPh>
    <rPh sb="13" eb="15">
      <t>フk</t>
    </rPh>
    <phoneticPr fontId="5"/>
  </si>
  <si>
    <t>[effect:hungup, target:unit_all, turn:2, rate:1, animation:hungup01]</t>
    <phoneticPr fontId="5"/>
  </si>
  <si>
    <t>null</t>
    <phoneticPr fontId="5"/>
  </si>
  <si>
    <t>null</t>
    <phoneticPr fontId="5"/>
  </si>
  <si>
    <t>null</t>
    <phoneticPr fontId="5"/>
  </si>
  <si>
    <t>お人形にしてやるよ！</t>
    <rPh sb="1" eb="4">
      <t>ン</t>
    </rPh>
    <phoneticPr fontId="5"/>
  </si>
  <si>
    <t>連続攻撃</t>
    <phoneticPr fontId="5"/>
  </si>
  <si>
    <t>全体にスキルバインド</t>
    <rPh sb="0" eb="3">
      <t>ゼン</t>
    </rPh>
    <phoneticPr fontId="5"/>
  </si>
  <si>
    <t>Cパネル変換不可</t>
    <rPh sb="4" eb="8">
      <t>ヘンカン</t>
    </rPh>
    <phoneticPr fontId="5"/>
  </si>
  <si>
    <t>次で終わりにしてあげるよ！</t>
    <rPh sb="0" eb="2">
      <t>ツg</t>
    </rPh>
    <rPh sb="2" eb="6">
      <t>オワr</t>
    </rPh>
    <phoneticPr fontId="5"/>
  </si>
  <si>
    <t>さあ、そろそろエピローグだ</t>
    <phoneticPr fontId="5"/>
  </si>
  <si>
    <t>これで屈服させてやる！</t>
    <rPh sb="3" eb="5">
      <t>クップk</t>
    </rPh>
    <phoneticPr fontId="5"/>
  </si>
  <si>
    <t>[effect:rush, count:6, val:0.2]</t>
    <phoneticPr fontId="5"/>
  </si>
  <si>
    <t>[effect:rush, count:6, val:0.2]</t>
    <phoneticPr fontId="5"/>
  </si>
  <si>
    <t>バインド・バレット</t>
    <phoneticPr fontId="5"/>
  </si>
  <si>
    <t>リニア・バレット</t>
    <phoneticPr fontId="5"/>
  </si>
  <si>
    <t>バインド・バレット</t>
    <phoneticPr fontId="5"/>
  </si>
  <si>
    <t>次のターン強力な攻撃！</t>
    <rPh sb="0" eb="5">
      <t>ツg</t>
    </rPh>
    <rPh sb="5" eb="8">
      <t>キョウリョk</t>
    </rPh>
    <rPh sb="8" eb="10">
      <t>コウゲk</t>
    </rPh>
    <phoneticPr fontId="5"/>
  </si>
  <si>
    <t>ハートパネルを吸収して強力な攻撃</t>
    <rPh sb="7" eb="16">
      <t>キュウシュ</t>
    </rPh>
    <phoneticPr fontId="5"/>
  </si>
  <si>
    <t>困った時は編成を工夫しましょう
エネミーの種族キラーには要注意です</t>
    <phoneticPr fontId="5"/>
  </si>
  <si>
    <t>どちらかのエネミーが倒れた時に
発動するスキルに気をつけましょう
手強い時は倒す順番を変えるのも有効です</t>
    <phoneticPr fontId="5"/>
  </si>
  <si>
    <t>シンデレラはお邪魔パネルを破壊して
強力な攻撃をしてきます
アナスタシアのスキルに注意しましょう</t>
    <phoneticPr fontId="5"/>
  </si>
  <si>
    <t>シュガフルはHPが低くなると
強力な攻撃をしてきます
狙いを絞って一気に倒してしまいましょう</t>
    <phoneticPr fontId="5"/>
  </si>
  <si>
    <t>グリムはCパネル変換を妨害してきます
手強いと感じたら編成を見直しましょう</t>
    <phoneticPr fontId="5"/>
  </si>
  <si>
    <t>全体攻撃+低確率でスキルバインド</t>
    <rPh sb="0" eb="4">
      <t>ゼン</t>
    </rPh>
    <rPh sb="5" eb="9">
      <t>テイカクリt</t>
    </rPh>
    <phoneticPr fontId="5"/>
  </si>
  <si>
    <t>グリムはハートパネルを破壊して
強力な攻撃をしてきます
攻撃の予告が出たら注意しましょう</t>
    <phoneticPr fontId="5"/>
  </si>
  <si>
    <t>&lt;パチパチキャンディ&gt;</t>
    <phoneticPr fontId="5"/>
  </si>
  <si>
    <t>&lt;串刺しナイフ&gt;</t>
    <rPh sb="1" eb="2">
      <t>クシ</t>
    </rPh>
    <rPh sb="2" eb="7">
      <t>ザs</t>
    </rPh>
    <phoneticPr fontId="5"/>
  </si>
  <si>
    <t>[effect:crash_condition, target:unit_all, val:1, turn:5, animation:enemy_crash_extend]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</si>
</sst>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21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0" fillId="0" borderId="0" xfId="0" applyFill="1"/>
    <xf numFmtId="0" fontId="4" fillId="15" borderId="7" xfId="0" applyFont="1" applyFill="1" applyBorder="1" applyAlignment="1">
      <alignment horizontal="right" vertic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38" fontId="16" fillId="0" borderId="7" xfId="628" applyFont="1" applyFill="1" applyBorder="1" applyAlignment="1">
      <alignment wrapText="1"/>
    </xf>
  </cellXfs>
  <cellStyles count="1210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無題1" xfId="43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40011</v>
          </cell>
        </row>
        <row r="138">
          <cell r="A138">
            <v>49001</v>
          </cell>
        </row>
        <row r="139">
          <cell r="A139">
            <v>50001</v>
          </cell>
        </row>
        <row r="140">
          <cell r="A140">
            <v>50002</v>
          </cell>
        </row>
        <row r="141">
          <cell r="A141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1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ミリオンダックより愛をこめて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12001_1</v>
          </cell>
          <cell r="B262">
            <v>3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1</v>
          </cell>
          <cell r="G262" t="str">
            <v>ja</v>
          </cell>
          <cell r="H262" t="str">
            <v xml:space="preserve">【初級】メタルダックを捕獲せよ！ </v>
          </cell>
          <cell r="I262" t="str">
            <v>経験値ゲリラ</v>
          </cell>
          <cell r="J262">
            <v>334</v>
          </cell>
          <cell r="K262">
            <v>8</v>
          </cell>
          <cell r="L262">
            <v>140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12001_2</v>
          </cell>
          <cell r="B263">
            <v>3</v>
          </cell>
          <cell r="C263">
            <v>12001</v>
          </cell>
          <cell r="D263" t="str">
            <v>【緊急！！】 アヒル捕獲作戦</v>
          </cell>
          <cell r="E263" t="str">
            <v>ゲリラクエスト</v>
          </cell>
          <cell r="F263">
            <v>2</v>
          </cell>
          <cell r="G263" t="str">
            <v>ja</v>
          </cell>
          <cell r="H263" t="str">
            <v xml:space="preserve">【上級】メタルダックを捕獲せよ！ </v>
          </cell>
          <cell r="I263" t="str">
            <v>経験値ゲリラ</v>
          </cell>
          <cell r="J263">
            <v>334</v>
          </cell>
          <cell r="K263">
            <v>20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12001_3</v>
          </cell>
          <cell r="B264">
            <v>0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3</v>
          </cell>
          <cell r="G264" t="str">
            <v>ja</v>
          </cell>
          <cell r="H264" t="str">
            <v>★100DL記念 マルチ専用★_x000D_【上級】メタルダックを捕獲せよ！</v>
          </cell>
          <cell r="I264" t="str">
            <v>経験値ゲリラ</v>
          </cell>
          <cell r="J264">
            <v>334</v>
          </cell>
          <cell r="K264">
            <v>10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multionly</v>
          </cell>
        </row>
        <row r="265">
          <cell r="A265" t="str">
            <v>12002_3</v>
          </cell>
          <cell r="B265">
            <v>0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3</v>
          </cell>
          <cell r="G265" t="str">
            <v>ja</v>
          </cell>
          <cell r="H265" t="str">
            <v xml:space="preserve">【初級】メタルダックを捕獲せよ！ </v>
          </cell>
          <cell r="I265" t="str">
            <v>経験値ゲリラ</v>
          </cell>
          <cell r="J265">
            <v>334</v>
          </cell>
          <cell r="K265">
            <v>8</v>
          </cell>
          <cell r="L265">
            <v>140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12002_2</v>
          </cell>
          <cell r="B266">
            <v>0</v>
          </cell>
          <cell r="C266">
            <v>12002</v>
          </cell>
          <cell r="D266" t="str">
            <v>【マルチ専用1/2】 アヒル捕獲作戦</v>
          </cell>
          <cell r="E266" t="str">
            <v>ゲリラクエスト</v>
          </cell>
          <cell r="F266">
            <v>2</v>
          </cell>
          <cell r="G266" t="str">
            <v>ja</v>
          </cell>
          <cell r="H266" t="str">
            <v xml:space="preserve">【上級】メタルダックを捕獲せよ！ </v>
          </cell>
          <cell r="I266" t="str">
            <v>経験値ゲリラ</v>
          </cell>
          <cell r="J266">
            <v>334</v>
          </cell>
          <cell r="K266">
            <v>20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everyone</v>
          </cell>
        </row>
        <row r="267">
          <cell r="A267" t="str">
            <v>12002_1</v>
          </cell>
          <cell r="B267">
            <v>3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1</v>
          </cell>
          <cell r="G267" t="str">
            <v>ja</v>
          </cell>
          <cell r="H267" t="str">
            <v>【上級】メタルダックを捕獲せよ！</v>
          </cell>
          <cell r="I267" t="str">
            <v>経験値ゲリラ</v>
          </cell>
          <cell r="J267">
            <v>334</v>
          </cell>
          <cell r="K267">
            <v>10</v>
          </cell>
          <cell r="L267">
            <v>350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multionly</v>
          </cell>
        </row>
        <row r="268">
          <cell r="A268" t="str">
            <v>12003_1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1</v>
          </cell>
          <cell r="G268" t="str">
            <v>ja</v>
          </cell>
          <cell r="H268" t="str">
            <v>【超級】雷のジェントルを追え！</v>
          </cell>
          <cell r="I268" t="str">
            <v>超級ゲリラ</v>
          </cell>
          <cell r="J268">
            <v>347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12</v>
          </cell>
          <cell r="AD268">
            <v>6</v>
          </cell>
          <cell r="AE268" t="str">
            <v>singleonly</v>
          </cell>
        </row>
        <row r="269">
          <cell r="A269" t="str">
            <v>12003_2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2</v>
          </cell>
          <cell r="G269" t="str">
            <v>ja</v>
          </cell>
          <cell r="H269" t="str">
            <v>【超級】水のジェントルを追え！</v>
          </cell>
          <cell r="I269" t="str">
            <v>超級ゲリラ</v>
          </cell>
          <cell r="J269">
            <v>343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5</v>
          </cell>
          <cell r="AD269">
            <v>6</v>
          </cell>
          <cell r="AE269" t="str">
            <v>singleonly</v>
          </cell>
        </row>
        <row r="270">
          <cell r="A270" t="str">
            <v>12003_3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3</v>
          </cell>
          <cell r="G270" t="str">
            <v>ja</v>
          </cell>
          <cell r="H270" t="str">
            <v>【超級】森のジェントルを追え！</v>
          </cell>
          <cell r="I270" t="str">
            <v>超級ゲリラ</v>
          </cell>
          <cell r="J270">
            <v>339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7</v>
          </cell>
          <cell r="AD270">
            <v>6</v>
          </cell>
          <cell r="AE270" t="str">
            <v>singleonly</v>
          </cell>
        </row>
        <row r="271">
          <cell r="A271" t="str">
            <v>12003_4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4</v>
          </cell>
          <cell r="G271" t="str">
            <v>ja</v>
          </cell>
          <cell r="H271" t="str">
            <v>【超級】炎のジェントルを追え！</v>
          </cell>
          <cell r="I271" t="str">
            <v>超級ゲリラ</v>
          </cell>
          <cell r="J271">
            <v>335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</v>
          </cell>
          <cell r="AD271">
            <v>6</v>
          </cell>
          <cell r="AE271" t="str">
            <v>singleonly</v>
          </cell>
        </row>
        <row r="272">
          <cell r="A272" t="str">
            <v>12004_1</v>
          </cell>
          <cell r="B272">
            <v>1</v>
          </cell>
          <cell r="C272">
            <v>12004</v>
          </cell>
          <cell r="D272" t="str">
            <v>【緊急！！】メタルフロッグをもとめて</v>
          </cell>
          <cell r="E272" t="str">
            <v>イベントクエスト</v>
          </cell>
          <cell r="F272">
            <v>1</v>
          </cell>
          <cell r="G272" t="str">
            <v>ja</v>
          </cell>
          <cell r="H272" t="str">
            <v>【上級】メタルフロッグをもとめて</v>
          </cell>
          <cell r="I272" t="str">
            <v>経験値イベント</v>
          </cell>
          <cell r="J272">
            <v>351</v>
          </cell>
          <cell r="K272">
            <v>20</v>
          </cell>
          <cell r="L272">
            <v>100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201</v>
          </cell>
          <cell r="AD272">
            <v>6</v>
          </cell>
          <cell r="AE272" t="str">
            <v>everyone</v>
          </cell>
        </row>
        <row r="273">
          <cell r="A273" t="str">
            <v>13001_1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1</v>
          </cell>
          <cell r="G273" t="str">
            <v>ja</v>
          </cell>
          <cell r="H273" t="str">
            <v>チャレンジタワー 1F</v>
          </cell>
          <cell r="I273" t="str">
            <v>試練の塔</v>
          </cell>
          <cell r="J273">
            <v>345</v>
          </cell>
          <cell r="K273">
            <v>3</v>
          </cell>
          <cell r="L273">
            <v>120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345,345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13001_2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2</v>
          </cell>
          <cell r="G274" t="str">
            <v>ja</v>
          </cell>
          <cell r="H274" t="str">
            <v>チャレンジタワー 2F</v>
          </cell>
          <cell r="I274" t="str">
            <v>試練の塔</v>
          </cell>
          <cell r="J274">
            <v>333</v>
          </cell>
          <cell r="K274">
            <v>4</v>
          </cell>
          <cell r="L274">
            <v>176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333,333</v>
          </cell>
          <cell r="U274">
            <v>13001</v>
          </cell>
          <cell r="V274">
            <v>1</v>
          </cell>
          <cell r="W274" t="str">
            <v>チャレンジタワー 1F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13001_3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3</v>
          </cell>
          <cell r="G275" t="str">
            <v>ja</v>
          </cell>
          <cell r="H275" t="str">
            <v>チャレンジタワー 3F</v>
          </cell>
          <cell r="I275" t="str">
            <v>試練の塔</v>
          </cell>
          <cell r="J275">
            <v>337</v>
          </cell>
          <cell r="K275">
            <v>5</v>
          </cell>
          <cell r="L275">
            <v>242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337,337</v>
          </cell>
          <cell r="U275">
            <v>13001</v>
          </cell>
          <cell r="V275">
            <v>2</v>
          </cell>
          <cell r="W275" t="str">
            <v>チャレンジタワー 2F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13001_4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4</v>
          </cell>
          <cell r="G276" t="str">
            <v>ja</v>
          </cell>
          <cell r="H276" t="str">
            <v>チャレンジタワー 4F</v>
          </cell>
          <cell r="I276" t="str">
            <v>試練の塔</v>
          </cell>
          <cell r="J276">
            <v>341</v>
          </cell>
          <cell r="K276">
            <v>7</v>
          </cell>
          <cell r="L276">
            <v>508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341,341</v>
          </cell>
          <cell r="U276">
            <v>13001</v>
          </cell>
          <cell r="V276">
            <v>3</v>
          </cell>
          <cell r="W276" t="str">
            <v>チャレンジタワー 3F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13001_5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5</v>
          </cell>
          <cell r="G277" t="str">
            <v>ja</v>
          </cell>
          <cell r="H277" t="str">
            <v>チャレンジタワー 5F</v>
          </cell>
          <cell r="I277" t="str">
            <v>試練の塔</v>
          </cell>
          <cell r="J277">
            <v>333</v>
          </cell>
          <cell r="K277">
            <v>7</v>
          </cell>
          <cell r="L277">
            <v>280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333,337,341,345</v>
          </cell>
          <cell r="U277">
            <v>13001</v>
          </cell>
          <cell r="V277">
            <v>4</v>
          </cell>
          <cell r="W277" t="str">
            <v>チャレンジタワー 4F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13001_6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6</v>
          </cell>
          <cell r="G278" t="str">
            <v>ja</v>
          </cell>
          <cell r="H278" t="str">
            <v>チャレンジタワー 6F</v>
          </cell>
          <cell r="I278" t="str">
            <v>試練の塔</v>
          </cell>
          <cell r="J278">
            <v>346</v>
          </cell>
          <cell r="K278">
            <v>8</v>
          </cell>
          <cell r="L278">
            <v>474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346,345</v>
          </cell>
          <cell r="U278">
            <v>13001</v>
          </cell>
          <cell r="V278">
            <v>5</v>
          </cell>
          <cell r="W278" t="str">
            <v>チャレンジタワー 5F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13001_7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7</v>
          </cell>
          <cell r="G279" t="str">
            <v>ja</v>
          </cell>
          <cell r="H279" t="str">
            <v>チャレンジタワー 7F</v>
          </cell>
          <cell r="I279" t="str">
            <v>試練の塔</v>
          </cell>
          <cell r="J279">
            <v>342</v>
          </cell>
          <cell r="K279">
            <v>8</v>
          </cell>
          <cell r="L279">
            <v>486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342,341</v>
          </cell>
          <cell r="U279">
            <v>13001</v>
          </cell>
          <cell r="V279">
            <v>6</v>
          </cell>
          <cell r="W279" t="str">
            <v>チャレンジタワー 6F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13001_8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8</v>
          </cell>
          <cell r="G280" t="str">
            <v>ja</v>
          </cell>
          <cell r="H280" t="str">
            <v>チャレンジタワー 8F</v>
          </cell>
          <cell r="I280" t="str">
            <v>試練の塔</v>
          </cell>
          <cell r="J280">
            <v>334</v>
          </cell>
          <cell r="K280">
            <v>10</v>
          </cell>
          <cell r="L280">
            <v>1006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334,333</v>
          </cell>
          <cell r="U280">
            <v>13001</v>
          </cell>
          <cell r="V280">
            <v>7</v>
          </cell>
          <cell r="W280" t="str">
            <v>チャレンジタワー 7F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13001_9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9</v>
          </cell>
          <cell r="G281" t="str">
            <v>ja</v>
          </cell>
          <cell r="H281" t="str">
            <v>チャレンジタワー 9F</v>
          </cell>
          <cell r="I281" t="str">
            <v>試練の塔</v>
          </cell>
          <cell r="J281">
            <v>338</v>
          </cell>
          <cell r="K281">
            <v>10</v>
          </cell>
          <cell r="L281">
            <v>702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337,337,338</v>
          </cell>
          <cell r="U281">
            <v>13001</v>
          </cell>
          <cell r="V281">
            <v>8</v>
          </cell>
          <cell r="W281" t="str">
            <v>チャレンジタワー 8F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13001_10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10</v>
          </cell>
          <cell r="G282" t="str">
            <v>ja</v>
          </cell>
          <cell r="H282" t="str">
            <v>チャレンジタワー 10F</v>
          </cell>
          <cell r="I282" t="str">
            <v>試練の塔</v>
          </cell>
          <cell r="J282">
            <v>346</v>
          </cell>
          <cell r="K282">
            <v>11</v>
          </cell>
          <cell r="L282">
            <v>788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346,333,337,341</v>
          </cell>
          <cell r="U282">
            <v>13001</v>
          </cell>
          <cell r="V282">
            <v>9</v>
          </cell>
          <cell r="W282" t="str">
            <v>チャレンジタワー 9F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13001_11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11</v>
          </cell>
          <cell r="G283" t="str">
            <v>ja</v>
          </cell>
          <cell r="H283" t="str">
            <v>チャレンジタワー 11F</v>
          </cell>
          <cell r="I283" t="str">
            <v>試練の塔</v>
          </cell>
          <cell r="J283">
            <v>346</v>
          </cell>
          <cell r="K283">
            <v>12</v>
          </cell>
          <cell r="L283">
            <v>936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346,346</v>
          </cell>
          <cell r="U283">
            <v>13001</v>
          </cell>
          <cell r="V283">
            <v>10</v>
          </cell>
          <cell r="W283" t="str">
            <v>チャレンジタワー 10F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13001_12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12</v>
          </cell>
          <cell r="G284" t="str">
            <v>ja</v>
          </cell>
          <cell r="H284" t="str">
            <v>チャレンジタワー 12F</v>
          </cell>
          <cell r="I284" t="str">
            <v>試練の塔</v>
          </cell>
          <cell r="J284">
            <v>342</v>
          </cell>
          <cell r="K284">
            <v>13</v>
          </cell>
          <cell r="L284">
            <v>1601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342,342</v>
          </cell>
          <cell r="U284">
            <v>13001</v>
          </cell>
          <cell r="V284">
            <v>11</v>
          </cell>
          <cell r="W284" t="str">
            <v>チャレンジタワー 11F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13001_13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13</v>
          </cell>
          <cell r="G285" t="str">
            <v>ja</v>
          </cell>
          <cell r="H285" t="str">
            <v>チャレンジタワー 13F</v>
          </cell>
          <cell r="I285" t="str">
            <v>試練の塔</v>
          </cell>
          <cell r="J285">
            <v>338</v>
          </cell>
          <cell r="K285">
            <v>14</v>
          </cell>
          <cell r="L285">
            <v>945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338,338</v>
          </cell>
          <cell r="U285">
            <v>13001</v>
          </cell>
          <cell r="V285">
            <v>12</v>
          </cell>
          <cell r="W285" t="str">
            <v>チャレンジタワー 12F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13001_14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14</v>
          </cell>
          <cell r="G286" t="str">
            <v>ja</v>
          </cell>
          <cell r="H286" t="str">
            <v>チャレンジタワー 14F</v>
          </cell>
          <cell r="I286" t="str">
            <v>試練の塔</v>
          </cell>
          <cell r="J286">
            <v>334</v>
          </cell>
          <cell r="K286">
            <v>14</v>
          </cell>
          <cell r="L286">
            <v>1188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334,334</v>
          </cell>
          <cell r="U286">
            <v>13001</v>
          </cell>
          <cell r="V286">
            <v>13</v>
          </cell>
          <cell r="W286" t="str">
            <v>チャレンジタワー 13F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13001_15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15</v>
          </cell>
          <cell r="G287" t="str">
            <v>ja</v>
          </cell>
          <cell r="H287" t="str">
            <v>チャレンジタワー 15F</v>
          </cell>
          <cell r="I287" t="str">
            <v>試練の塔</v>
          </cell>
          <cell r="J287">
            <v>316</v>
          </cell>
          <cell r="K287">
            <v>14</v>
          </cell>
          <cell r="L287">
            <v>1008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316</v>
          </cell>
          <cell r="U287">
            <v>13001</v>
          </cell>
          <cell r="V287">
            <v>14</v>
          </cell>
          <cell r="W287" t="str">
            <v>チャレンジタワー 14F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13001_16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16</v>
          </cell>
          <cell r="G288" t="str">
            <v>ja</v>
          </cell>
          <cell r="H288" t="str">
            <v>チャレンジタワー 16F</v>
          </cell>
          <cell r="I288" t="str">
            <v>試練の塔</v>
          </cell>
          <cell r="J288">
            <v>338</v>
          </cell>
          <cell r="K288">
            <v>16</v>
          </cell>
          <cell r="L288">
            <v>2573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338,338,337</v>
          </cell>
          <cell r="U288">
            <v>13001</v>
          </cell>
          <cell r="V288">
            <v>15</v>
          </cell>
          <cell r="W288" t="str">
            <v>チャレンジタワー 15F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13001_17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17</v>
          </cell>
          <cell r="G289" t="str">
            <v>ja</v>
          </cell>
          <cell r="H289" t="str">
            <v>チャレンジタワー 17F</v>
          </cell>
          <cell r="I289" t="str">
            <v>試練の塔</v>
          </cell>
          <cell r="J289">
            <v>346</v>
          </cell>
          <cell r="K289">
            <v>16</v>
          </cell>
          <cell r="L289">
            <v>1568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346,346,345</v>
          </cell>
          <cell r="U289">
            <v>13001</v>
          </cell>
          <cell r="V289">
            <v>16</v>
          </cell>
          <cell r="W289" t="str">
            <v>チャレンジタワー 16F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13001_18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18</v>
          </cell>
          <cell r="G290" t="str">
            <v>ja</v>
          </cell>
          <cell r="H290" t="str">
            <v>チャレンジタワー 18F</v>
          </cell>
          <cell r="I290" t="str">
            <v>試練の塔</v>
          </cell>
          <cell r="J290">
            <v>334</v>
          </cell>
          <cell r="K290">
            <v>17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334,334,333</v>
          </cell>
          <cell r="U290">
            <v>13001</v>
          </cell>
          <cell r="V290">
            <v>17</v>
          </cell>
          <cell r="W290" t="str">
            <v>チャレンジタワー 17F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13001_19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19</v>
          </cell>
          <cell r="G291" t="str">
            <v>ja</v>
          </cell>
          <cell r="H291" t="str">
            <v>チャレンジタワー 19F</v>
          </cell>
          <cell r="I291" t="str">
            <v>試練の塔</v>
          </cell>
          <cell r="J291">
            <v>342</v>
          </cell>
          <cell r="K291">
            <v>18</v>
          </cell>
          <cell r="L291">
            <v>2108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342,342,341</v>
          </cell>
          <cell r="U291">
            <v>13001</v>
          </cell>
          <cell r="V291">
            <v>18</v>
          </cell>
          <cell r="W291" t="str">
            <v>チャレンジタワー 18F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13001_20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20</v>
          </cell>
          <cell r="G292" t="str">
            <v>ja</v>
          </cell>
          <cell r="H292" t="str">
            <v>チャレンジタワー 20F</v>
          </cell>
          <cell r="I292" t="str">
            <v>試練の塔</v>
          </cell>
          <cell r="J292">
            <v>318</v>
          </cell>
          <cell r="K292">
            <v>18</v>
          </cell>
          <cell r="L292">
            <v>1620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318</v>
          </cell>
          <cell r="U292">
            <v>13001</v>
          </cell>
          <cell r="V292">
            <v>19</v>
          </cell>
          <cell r="W292" t="str">
            <v>チャレンジタワー 19F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13001_21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21</v>
          </cell>
          <cell r="G293" t="str">
            <v>ja</v>
          </cell>
          <cell r="H293" t="str">
            <v>チャレンジタワー 21F</v>
          </cell>
          <cell r="I293" t="str">
            <v>試練の塔</v>
          </cell>
          <cell r="J293" t="str">
            <v>335</v>
          </cell>
          <cell r="K293">
            <v>18</v>
          </cell>
          <cell r="L293">
            <v>1620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334,335,335</v>
          </cell>
          <cell r="U293">
            <v>13001</v>
          </cell>
          <cell r="V293">
            <v>20</v>
          </cell>
          <cell r="W293" t="str">
            <v>チャレンジタワー 20F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13001_22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22</v>
          </cell>
          <cell r="G294" t="str">
            <v>ja</v>
          </cell>
          <cell r="H294" t="str">
            <v>チャレンジタワー 22F</v>
          </cell>
          <cell r="I294" t="str">
            <v>試練の塔</v>
          </cell>
          <cell r="J294" t="str">
            <v>339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338,339,339</v>
          </cell>
          <cell r="U294">
            <v>13001</v>
          </cell>
          <cell r="V294">
            <v>21</v>
          </cell>
          <cell r="W294" t="str">
            <v>チャレンジタワー 21F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13001_23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23</v>
          </cell>
          <cell r="G295" t="str">
            <v>ja</v>
          </cell>
          <cell r="H295" t="str">
            <v>チャレンジタワー 23F</v>
          </cell>
          <cell r="I295" t="str">
            <v>試練の塔</v>
          </cell>
          <cell r="J295" t="str">
            <v>347</v>
          </cell>
          <cell r="K295">
            <v>20</v>
          </cell>
          <cell r="L295">
            <v>1821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346,347,347</v>
          </cell>
          <cell r="U295">
            <v>13001</v>
          </cell>
          <cell r="V295">
            <v>22</v>
          </cell>
          <cell r="W295" t="str">
            <v>チャレンジタワー 22F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13001_24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24</v>
          </cell>
          <cell r="G296" t="str">
            <v>ja</v>
          </cell>
          <cell r="H296" t="str">
            <v>チャレンジタワー 24F</v>
          </cell>
          <cell r="I296" t="str">
            <v>試練の塔</v>
          </cell>
          <cell r="J296" t="str">
            <v>343</v>
          </cell>
          <cell r="K296">
            <v>20</v>
          </cell>
          <cell r="L296">
            <v>2871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342,343,343</v>
          </cell>
          <cell r="U296">
            <v>13001</v>
          </cell>
          <cell r="V296">
            <v>23</v>
          </cell>
          <cell r="W296" t="str">
            <v>チャレンジタワー 23F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13001_25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25</v>
          </cell>
          <cell r="G297" t="str">
            <v>ja</v>
          </cell>
          <cell r="H297" t="str">
            <v>チャレンジタワー 25F</v>
          </cell>
          <cell r="I297" t="str">
            <v>試練の塔</v>
          </cell>
          <cell r="J297" t="str">
            <v>368</v>
          </cell>
          <cell r="K297">
            <v>22</v>
          </cell>
          <cell r="L297">
            <v>3740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368</v>
          </cell>
          <cell r="U297">
            <v>13001</v>
          </cell>
          <cell r="V297">
            <v>24</v>
          </cell>
          <cell r="W297" t="str">
            <v>チャレンジタワー 24F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14001_1</v>
          </cell>
          <cell r="B298">
            <v>3</v>
          </cell>
          <cell r="C298">
            <v>14001</v>
          </cell>
          <cell r="D298" t="str">
            <v>【ロック】経験値/ソロ</v>
          </cell>
          <cell r="E298" t="str">
            <v>【ロック】経験値/ソロ</v>
          </cell>
          <cell r="F298">
            <v>1</v>
          </cell>
          <cell r="G298" t="str">
            <v>ja</v>
          </cell>
          <cell r="H298" t="str">
            <v>【超級】雷ファミリー（ハートなし）</v>
          </cell>
          <cell r="I298" t="str">
            <v>【ロッククエスト】経験値</v>
          </cell>
          <cell r="J298">
            <v>347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singleonly</v>
          </cell>
        </row>
        <row r="299">
          <cell r="A299" t="str">
            <v>14001_2</v>
          </cell>
          <cell r="B299">
            <v>3</v>
          </cell>
          <cell r="C299">
            <v>14001</v>
          </cell>
          <cell r="D299" t="str">
            <v>【ロック】経験値/ソロ</v>
          </cell>
          <cell r="E299" t="str">
            <v>【ロック】経験値/ソロ</v>
          </cell>
          <cell r="F299">
            <v>2</v>
          </cell>
          <cell r="G299" t="str">
            <v>ja</v>
          </cell>
          <cell r="H299" t="str">
            <v>【超級】水ファミリー（ハートなし）</v>
          </cell>
          <cell r="I299" t="str">
            <v>【ロッククエスト】経験値</v>
          </cell>
          <cell r="J299">
            <v>343</v>
          </cell>
          <cell r="K299">
            <v>1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5</v>
          </cell>
          <cell r="AD299">
            <v>6</v>
          </cell>
          <cell r="AE299" t="str">
            <v>singleonly</v>
          </cell>
        </row>
        <row r="300">
          <cell r="A300" t="str">
            <v>14001_3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3</v>
          </cell>
          <cell r="G300" t="str">
            <v>ja</v>
          </cell>
          <cell r="H300" t="str">
            <v>【超級】森ファミリー（ハートなし）</v>
          </cell>
          <cell r="I300" t="str">
            <v>【ロッククエスト】経験値</v>
          </cell>
          <cell r="J300">
            <v>339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7</v>
          </cell>
          <cell r="AD300">
            <v>6</v>
          </cell>
          <cell r="AE300" t="str">
            <v>singleonly</v>
          </cell>
        </row>
        <row r="301">
          <cell r="A301" t="str">
            <v>14001_4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4</v>
          </cell>
          <cell r="G301" t="str">
            <v>ja</v>
          </cell>
          <cell r="H301" t="str">
            <v>【超級】炎ファミリー（ハートなし）</v>
          </cell>
          <cell r="I301" t="str">
            <v>【ロッククエスト】経験値</v>
          </cell>
          <cell r="J301">
            <v>335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</v>
          </cell>
          <cell r="AD301">
            <v>6</v>
          </cell>
          <cell r="AE301" t="str">
            <v>singleonly</v>
          </cell>
        </row>
        <row r="302">
          <cell r="A302" t="str">
            <v>14002_1</v>
          </cell>
          <cell r="B302">
            <v>3</v>
          </cell>
          <cell r="C302">
            <v>14002</v>
          </cell>
          <cell r="D302" t="str">
            <v>【ロック】ビット/ソロ</v>
          </cell>
          <cell r="E302" t="str">
            <v>【ロック】ビット/ソロ</v>
          </cell>
          <cell r="F302">
            <v>1</v>
          </cell>
          <cell r="G302" t="str">
            <v>ja</v>
          </cell>
          <cell r="H302" t="str">
            <v>【超級】ハイローラー（ハートなし）</v>
          </cell>
          <cell r="I302" t="str">
            <v>【ロッククエスト】ビット</v>
          </cell>
          <cell r="J302">
            <v>119</v>
          </cell>
          <cell r="K302">
            <v>1</v>
          </cell>
          <cell r="L302">
            <v>777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105</v>
          </cell>
          <cell r="AD302">
            <v>6</v>
          </cell>
          <cell r="AE302" t="str">
            <v>singleonly</v>
          </cell>
        </row>
        <row r="303">
          <cell r="A303" t="str">
            <v>14003_1</v>
          </cell>
          <cell r="B303">
            <v>3</v>
          </cell>
          <cell r="C303">
            <v>14003</v>
          </cell>
          <cell r="D303" t="str">
            <v>【ロック】限界突破/ソロ</v>
          </cell>
          <cell r="E303" t="str">
            <v>【ロック】限界突破/ソロ</v>
          </cell>
          <cell r="F303">
            <v>1</v>
          </cell>
          <cell r="G303" t="str">
            <v>ja</v>
          </cell>
          <cell r="H303" t="str">
            <v>【超級】果実の楽園（ハートなし）</v>
          </cell>
          <cell r="I303" t="str">
            <v>【ロッククエスト】限界突破</v>
          </cell>
          <cell r="J303">
            <v>125</v>
          </cell>
          <cell r="K303">
            <v>1</v>
          </cell>
          <cell r="L303">
            <v>860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singleonly</v>
          </cell>
        </row>
        <row r="304">
          <cell r="A304" t="str">
            <v>14004_1</v>
          </cell>
          <cell r="B304">
            <v>3</v>
          </cell>
          <cell r="C304">
            <v>14004</v>
          </cell>
          <cell r="D304" t="str">
            <v>【ロック】経験値/LINEマルチ</v>
          </cell>
          <cell r="E304" t="str">
            <v>【ロック】経験値/LINEマルチ</v>
          </cell>
          <cell r="F304">
            <v>1</v>
          </cell>
          <cell r="G304" t="str">
            <v>ja</v>
          </cell>
          <cell r="H304" t="str">
            <v>【超級】雷ファミリー（ハートなし）</v>
          </cell>
          <cell r="I304" t="str">
            <v>【ロッククエスト】経験値</v>
          </cell>
          <cell r="J304">
            <v>347</v>
          </cell>
          <cell r="K304">
            <v>1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lineonly</v>
          </cell>
        </row>
        <row r="305">
          <cell r="A305" t="str">
            <v>14004_2</v>
          </cell>
          <cell r="B305">
            <v>3</v>
          </cell>
          <cell r="C305">
            <v>14004</v>
          </cell>
          <cell r="D305" t="str">
            <v>【ロック】経験値/LINEマルチ</v>
          </cell>
          <cell r="E305" t="str">
            <v>【ロック】経験値/LINEマルチ</v>
          </cell>
          <cell r="F305">
            <v>2</v>
          </cell>
          <cell r="G305" t="str">
            <v>ja</v>
          </cell>
          <cell r="H305" t="str">
            <v>【超級】水ファミリー（ハートなし）</v>
          </cell>
          <cell r="I305" t="str">
            <v>【ロッククエスト】経験値</v>
          </cell>
          <cell r="J305">
            <v>343</v>
          </cell>
          <cell r="K305">
            <v>1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lineonly</v>
          </cell>
        </row>
        <row r="306">
          <cell r="A306" t="str">
            <v>14004_3</v>
          </cell>
          <cell r="B306">
            <v>3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3</v>
          </cell>
          <cell r="G306" t="str">
            <v>ja</v>
          </cell>
          <cell r="H306" t="str">
            <v>【超級】森ファミリー（ハートなし）</v>
          </cell>
          <cell r="I306" t="str">
            <v>【ロッククエスト】経験値</v>
          </cell>
          <cell r="J306">
            <v>339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lineonly</v>
          </cell>
        </row>
        <row r="307">
          <cell r="A307" t="str">
            <v>14004_4</v>
          </cell>
          <cell r="B307">
            <v>3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4</v>
          </cell>
          <cell r="G307" t="str">
            <v>ja</v>
          </cell>
          <cell r="H307" t="str">
            <v>【超級】炎ファミリー（ハートなし）</v>
          </cell>
          <cell r="I307" t="str">
            <v>【ロッククエスト】経験値</v>
          </cell>
          <cell r="J307">
            <v>335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lineonly</v>
          </cell>
        </row>
        <row r="308">
          <cell r="A308" t="str">
            <v>14005_1</v>
          </cell>
          <cell r="B308">
            <v>3</v>
          </cell>
          <cell r="C308">
            <v>14005</v>
          </cell>
          <cell r="D308" t="str">
            <v>【ロック】ビット/LINEマルチ</v>
          </cell>
          <cell r="E308" t="str">
            <v>【ロック】ビット/LINEマルチ</v>
          </cell>
          <cell r="F308">
            <v>1</v>
          </cell>
          <cell r="G308" t="str">
            <v>ja</v>
          </cell>
          <cell r="H308" t="str">
            <v>【超級】ハイローラー（ハートなし）</v>
          </cell>
          <cell r="I308" t="str">
            <v>【ロッククエスト】ビット</v>
          </cell>
          <cell r="J308">
            <v>119</v>
          </cell>
          <cell r="K308">
            <v>1</v>
          </cell>
          <cell r="L308">
            <v>777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105</v>
          </cell>
          <cell r="AD308">
            <v>6</v>
          </cell>
          <cell r="AE308" t="str">
            <v>lineonly</v>
          </cell>
        </row>
        <row r="309">
          <cell r="A309" t="str">
            <v>14006_1</v>
          </cell>
          <cell r="B309">
            <v>3</v>
          </cell>
          <cell r="C309">
            <v>14006</v>
          </cell>
          <cell r="D309" t="str">
            <v>【ロック】限界突破/LINEマルチ</v>
          </cell>
          <cell r="E309" t="str">
            <v>【ロック】限界突破/LINEマルチ</v>
          </cell>
          <cell r="F309">
            <v>1</v>
          </cell>
          <cell r="G309" t="str">
            <v>ja</v>
          </cell>
          <cell r="H309" t="str">
            <v>【超級】果実の楽園（ハートなし）</v>
          </cell>
          <cell r="I309" t="str">
            <v>【ロッククエスト】限界突破</v>
          </cell>
          <cell r="J309">
            <v>125</v>
          </cell>
          <cell r="K309">
            <v>1</v>
          </cell>
          <cell r="L309">
            <v>860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7</v>
          </cell>
          <cell r="AD309">
            <v>6</v>
          </cell>
          <cell r="AE309" t="str">
            <v>lineonly</v>
          </cell>
        </row>
        <row r="310">
          <cell r="A310" t="str">
            <v>20001_1</v>
          </cell>
          <cell r="B310">
            <v>3</v>
          </cell>
          <cell r="C310">
            <v>20001</v>
          </cell>
          <cell r="D310" t="str">
            <v>紅き執行者</v>
          </cell>
          <cell r="E310" t="str">
            <v>ドロップイベント1-1</v>
          </cell>
          <cell r="F310">
            <v>1</v>
          </cell>
          <cell r="G310" t="str">
            <v>ja</v>
          </cell>
          <cell r="H310" t="str">
            <v xml:space="preserve">【初級】紅き執行者 </v>
          </cell>
          <cell r="I310" t="str">
            <v>初級</v>
          </cell>
          <cell r="J310">
            <v>262</v>
          </cell>
          <cell r="K310">
            <v>8</v>
          </cell>
          <cell r="L310">
            <v>384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14</v>
          </cell>
          <cell r="AD310">
            <v>6</v>
          </cell>
          <cell r="AE310" t="str">
            <v>everyone</v>
          </cell>
        </row>
        <row r="311">
          <cell r="A311" t="str">
            <v>20001_2</v>
          </cell>
          <cell r="B311">
            <v>3</v>
          </cell>
          <cell r="C311">
            <v>20001</v>
          </cell>
          <cell r="D311" t="str">
            <v>紅き執行者</v>
          </cell>
          <cell r="E311" t="str">
            <v>ドロップイベント1-1</v>
          </cell>
          <cell r="F311">
            <v>2</v>
          </cell>
          <cell r="G311" t="str">
            <v>ja</v>
          </cell>
          <cell r="H311" t="str">
            <v>【中級】紅き執行者</v>
          </cell>
          <cell r="I311" t="str">
            <v>中級</v>
          </cell>
          <cell r="J311">
            <v>262</v>
          </cell>
          <cell r="K311">
            <v>15</v>
          </cell>
          <cell r="L311">
            <v>1200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14</v>
          </cell>
          <cell r="AD311">
            <v>6</v>
          </cell>
          <cell r="AE311" t="str">
            <v>everyone</v>
          </cell>
        </row>
        <row r="312">
          <cell r="A312" t="str">
            <v>20001_3</v>
          </cell>
          <cell r="B312">
            <v>3</v>
          </cell>
          <cell r="C312">
            <v>20001</v>
          </cell>
          <cell r="D312" t="str">
            <v>紅き執行者</v>
          </cell>
          <cell r="E312" t="str">
            <v>ドロップイベント1-1</v>
          </cell>
          <cell r="F312">
            <v>3</v>
          </cell>
          <cell r="G312" t="str">
            <v>ja</v>
          </cell>
          <cell r="H312" t="str">
            <v xml:space="preserve">【上級】紅き執行者 </v>
          </cell>
          <cell r="I312" t="str">
            <v>上級</v>
          </cell>
          <cell r="J312">
            <v>263</v>
          </cell>
          <cell r="K312">
            <v>20</v>
          </cell>
          <cell r="L312">
            <v>2000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polygon</v>
          </cell>
          <cell r="T312">
            <v>1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14</v>
          </cell>
          <cell r="AD312">
            <v>6</v>
          </cell>
          <cell r="AE312" t="str">
            <v>everyone</v>
          </cell>
        </row>
        <row r="313">
          <cell r="A313" t="str">
            <v>20002_1</v>
          </cell>
          <cell r="B313">
            <v>3</v>
          </cell>
          <cell r="C313">
            <v>20002</v>
          </cell>
          <cell r="D313" t="str">
            <v>孤高の一角獣</v>
          </cell>
          <cell r="E313" t="str">
            <v>ドロップイベント1-2</v>
          </cell>
          <cell r="F313">
            <v>1</v>
          </cell>
          <cell r="G313" t="str">
            <v>ja</v>
          </cell>
          <cell r="H313" t="str">
            <v>【初級】孤高の一角獣(ハートなし)</v>
          </cell>
          <cell r="I313" t="str">
            <v>初級</v>
          </cell>
          <cell r="J313">
            <v>264</v>
          </cell>
          <cell r="K313">
            <v>8</v>
          </cell>
          <cell r="L313">
            <v>384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19</v>
          </cell>
          <cell r="AD313">
            <v>6</v>
          </cell>
          <cell r="AE313" t="str">
            <v>everyone</v>
          </cell>
        </row>
        <row r="314">
          <cell r="A314" t="str">
            <v>20002_2</v>
          </cell>
          <cell r="B314">
            <v>3</v>
          </cell>
          <cell r="C314">
            <v>20002</v>
          </cell>
          <cell r="D314" t="str">
            <v>孤高の一角獣</v>
          </cell>
          <cell r="E314" t="str">
            <v>ドロップイベント1-2</v>
          </cell>
          <cell r="F314">
            <v>2</v>
          </cell>
          <cell r="G314" t="str">
            <v>ja</v>
          </cell>
          <cell r="H314" t="str">
            <v>【中級】孤高の一角獣(ハートなし)</v>
          </cell>
          <cell r="I314" t="str">
            <v>中級</v>
          </cell>
          <cell r="J314">
            <v>264</v>
          </cell>
          <cell r="K314">
            <v>15</v>
          </cell>
          <cell r="L314">
            <v>1200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19</v>
          </cell>
          <cell r="AD314">
            <v>6</v>
          </cell>
          <cell r="AE314" t="str">
            <v>everyone</v>
          </cell>
        </row>
        <row r="315">
          <cell r="A315" t="str">
            <v>20002_3</v>
          </cell>
          <cell r="B315">
            <v>3</v>
          </cell>
          <cell r="C315">
            <v>20002</v>
          </cell>
          <cell r="D315" t="str">
            <v>孤高の一角獣</v>
          </cell>
          <cell r="E315" t="str">
            <v>ドロップイベント1-2</v>
          </cell>
          <cell r="F315">
            <v>3</v>
          </cell>
          <cell r="G315" t="str">
            <v>ja</v>
          </cell>
          <cell r="H315" t="str">
            <v>【上級】孤高の一角獣(ハートなし)</v>
          </cell>
          <cell r="I315" t="str">
            <v>上級</v>
          </cell>
          <cell r="J315">
            <v>265</v>
          </cell>
          <cell r="K315">
            <v>20</v>
          </cell>
          <cell r="L315">
            <v>2000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polygon</v>
          </cell>
          <cell r="T315">
            <v>1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19</v>
          </cell>
          <cell r="AD315">
            <v>6</v>
          </cell>
          <cell r="AE315" t="str">
            <v>everyone</v>
          </cell>
        </row>
        <row r="316">
          <cell r="A316" t="str">
            <v>20003_1</v>
          </cell>
          <cell r="B316">
            <v>3</v>
          </cell>
          <cell r="C316">
            <v>20003</v>
          </cell>
          <cell r="D316" t="str">
            <v>忍び寄る短剣</v>
          </cell>
          <cell r="E316" t="str">
            <v>ドロップイベント1-3</v>
          </cell>
          <cell r="F316">
            <v>1</v>
          </cell>
          <cell r="G316" t="str">
            <v>ja</v>
          </cell>
          <cell r="H316" t="str">
            <v xml:space="preserve">【初級】忍び寄る短剣 </v>
          </cell>
          <cell r="I316" t="str">
            <v>初級</v>
          </cell>
          <cell r="J316">
            <v>266</v>
          </cell>
          <cell r="K316">
            <v>8</v>
          </cell>
          <cell r="L316">
            <v>384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11</v>
          </cell>
          <cell r="AD316">
            <v>6</v>
          </cell>
          <cell r="AE316" t="str">
            <v>everyone</v>
          </cell>
        </row>
        <row r="317">
          <cell r="A317" t="str">
            <v>20003_2</v>
          </cell>
          <cell r="B317">
            <v>3</v>
          </cell>
          <cell r="C317">
            <v>20003</v>
          </cell>
          <cell r="D317" t="str">
            <v>忍び寄る短剣</v>
          </cell>
          <cell r="E317" t="str">
            <v>ドロップイベント1-3</v>
          </cell>
          <cell r="F317">
            <v>2</v>
          </cell>
          <cell r="G317" t="str">
            <v>ja</v>
          </cell>
          <cell r="H317" t="str">
            <v xml:space="preserve">【中級】忍び寄る短剣 </v>
          </cell>
          <cell r="I317" t="str">
            <v>中級</v>
          </cell>
          <cell r="J317">
            <v>266</v>
          </cell>
          <cell r="K317">
            <v>15</v>
          </cell>
          <cell r="L317">
            <v>1200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11</v>
          </cell>
          <cell r="AD317">
            <v>6</v>
          </cell>
          <cell r="AE317" t="str">
            <v>everyone</v>
          </cell>
        </row>
        <row r="318">
          <cell r="A318" t="str">
            <v>20003_3</v>
          </cell>
          <cell r="B318">
            <v>3</v>
          </cell>
          <cell r="C318">
            <v>20003</v>
          </cell>
          <cell r="D318" t="str">
            <v>忍び寄る短剣</v>
          </cell>
          <cell r="E318" t="str">
            <v>ドロップイベント1-3</v>
          </cell>
          <cell r="F318">
            <v>3</v>
          </cell>
          <cell r="G318" t="str">
            <v>ja</v>
          </cell>
          <cell r="H318" t="str">
            <v xml:space="preserve">【上級】忍び寄る短剣 </v>
          </cell>
          <cell r="I318" t="str">
            <v>上級</v>
          </cell>
          <cell r="J318">
            <v>267</v>
          </cell>
          <cell r="K318">
            <v>20</v>
          </cell>
          <cell r="L318">
            <v>2000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polygon</v>
          </cell>
          <cell r="T318">
            <v>1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11</v>
          </cell>
          <cell r="AD318">
            <v>6</v>
          </cell>
          <cell r="AE318" t="str">
            <v>everyone</v>
          </cell>
        </row>
        <row r="319">
          <cell r="A319" t="str">
            <v>20004_1</v>
          </cell>
          <cell r="B319">
            <v>3</v>
          </cell>
          <cell r="C319">
            <v>20004</v>
          </cell>
          <cell r="D319" t="str">
            <v>雷雲からの刺客</v>
          </cell>
          <cell r="E319" t="str">
            <v>ドロップイベント1-4</v>
          </cell>
          <cell r="F319">
            <v>1</v>
          </cell>
          <cell r="G319" t="str">
            <v>ja</v>
          </cell>
          <cell r="H319" t="str">
            <v>【初級】雷雲からの刺客(ハートなし)</v>
          </cell>
          <cell r="I319" t="str">
            <v>初級</v>
          </cell>
          <cell r="J319">
            <v>268</v>
          </cell>
          <cell r="K319">
            <v>8</v>
          </cell>
          <cell r="L319">
            <v>384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4</v>
          </cell>
          <cell r="AD319">
            <v>6</v>
          </cell>
          <cell r="AE319" t="str">
            <v>everyone</v>
          </cell>
        </row>
        <row r="320">
          <cell r="A320" t="str">
            <v>20004_2</v>
          </cell>
          <cell r="B320">
            <v>3</v>
          </cell>
          <cell r="C320">
            <v>20004</v>
          </cell>
          <cell r="D320" t="str">
            <v>雷雲からの刺客</v>
          </cell>
          <cell r="E320" t="str">
            <v>ドロップイベント1-4</v>
          </cell>
          <cell r="F320">
            <v>2</v>
          </cell>
          <cell r="G320" t="str">
            <v>ja</v>
          </cell>
          <cell r="H320" t="str">
            <v>【中級】雷雲からの刺客(ハートなし)</v>
          </cell>
          <cell r="I320" t="str">
            <v>中級</v>
          </cell>
          <cell r="J320">
            <v>268</v>
          </cell>
          <cell r="K320">
            <v>15</v>
          </cell>
          <cell r="L320">
            <v>1200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4</v>
          </cell>
          <cell r="AD320">
            <v>6</v>
          </cell>
          <cell r="AE320" t="str">
            <v>everyone</v>
          </cell>
        </row>
        <row r="321">
          <cell r="A321" t="str">
            <v>20004_3</v>
          </cell>
          <cell r="B321">
            <v>3</v>
          </cell>
          <cell r="C321">
            <v>20004</v>
          </cell>
          <cell r="D321" t="str">
            <v>雷雲からの刺客</v>
          </cell>
          <cell r="E321" t="str">
            <v>ドロップイベント1-4</v>
          </cell>
          <cell r="F321">
            <v>3</v>
          </cell>
          <cell r="G321" t="str">
            <v>ja</v>
          </cell>
          <cell r="H321" t="str">
            <v>【上級】雷雲からの刺客(ハートなし)</v>
          </cell>
          <cell r="I321" t="str">
            <v>上級</v>
          </cell>
          <cell r="J321">
            <v>269</v>
          </cell>
          <cell r="K321">
            <v>20</v>
          </cell>
          <cell r="L321">
            <v>2000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polygon</v>
          </cell>
          <cell r="T321">
            <v>1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4</v>
          </cell>
          <cell r="AD321">
            <v>6</v>
          </cell>
          <cell r="AE321" t="str">
            <v>everyone</v>
          </cell>
        </row>
        <row r="322">
          <cell r="A322" t="str">
            <v>20005_1</v>
          </cell>
          <cell r="B322">
            <v>3</v>
          </cell>
          <cell r="C322">
            <v>20005</v>
          </cell>
          <cell r="D322" t="str">
            <v>ザ・キャノン</v>
          </cell>
          <cell r="E322" t="str">
            <v>ドロップイベント2-2</v>
          </cell>
          <cell r="F322">
            <v>1</v>
          </cell>
          <cell r="G322" t="str">
            <v>ja</v>
          </cell>
          <cell r="H322" t="str">
            <v>【初級】ザ・キャノン(4タップ）</v>
          </cell>
          <cell r="I322" t="str">
            <v>初級</v>
          </cell>
          <cell r="J322">
            <v>286</v>
          </cell>
          <cell r="K322">
            <v>8</v>
          </cell>
          <cell r="L322">
            <v>384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14</v>
          </cell>
          <cell r="AD322">
            <v>6</v>
          </cell>
          <cell r="AE322" t="str">
            <v>everyone</v>
          </cell>
        </row>
        <row r="323">
          <cell r="A323" t="str">
            <v>20005_2</v>
          </cell>
          <cell r="B323">
            <v>3</v>
          </cell>
          <cell r="C323">
            <v>20005</v>
          </cell>
          <cell r="D323" t="str">
            <v>ザ・キャノン</v>
          </cell>
          <cell r="E323" t="str">
            <v>ドロップイベント2-2</v>
          </cell>
          <cell r="F323">
            <v>2</v>
          </cell>
          <cell r="G323" t="str">
            <v>ja</v>
          </cell>
          <cell r="H323" t="str">
            <v>【中級】ザ・キャノン(4タップ)</v>
          </cell>
          <cell r="I323" t="str">
            <v>中級</v>
          </cell>
          <cell r="J323">
            <v>286</v>
          </cell>
          <cell r="K323">
            <v>15</v>
          </cell>
          <cell r="L323">
            <v>1200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4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14</v>
          </cell>
          <cell r="AD323">
            <v>6</v>
          </cell>
          <cell r="AE323" t="str">
            <v>everyone</v>
          </cell>
        </row>
        <row r="324">
          <cell r="A324" t="str">
            <v>20005_3</v>
          </cell>
          <cell r="B324">
            <v>3</v>
          </cell>
          <cell r="C324">
            <v>20005</v>
          </cell>
          <cell r="D324" t="str">
            <v>ザ・キャノン</v>
          </cell>
          <cell r="E324" t="str">
            <v>ドロップイベント2-2</v>
          </cell>
          <cell r="F324">
            <v>3</v>
          </cell>
          <cell r="G324" t="str">
            <v>ja</v>
          </cell>
          <cell r="H324" t="str">
            <v>【上級】ザ・キャノン(4タップ)</v>
          </cell>
          <cell r="I324" t="str">
            <v>上級</v>
          </cell>
          <cell r="J324">
            <v>287</v>
          </cell>
          <cell r="K324">
            <v>20</v>
          </cell>
          <cell r="L324">
            <v>2000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4</v>
          </cell>
          <cell r="S324" t="str">
            <v>polygon</v>
          </cell>
          <cell r="T324">
            <v>1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14</v>
          </cell>
          <cell r="AD324">
            <v>6</v>
          </cell>
          <cell r="AE324" t="str">
            <v>everyone</v>
          </cell>
        </row>
        <row r="325">
          <cell r="A325" t="str">
            <v>20006_1</v>
          </cell>
          <cell r="B325">
            <v>3</v>
          </cell>
          <cell r="C325">
            <v>20006</v>
          </cell>
          <cell r="D325" t="str">
            <v>スチール・プレデター</v>
          </cell>
          <cell r="E325" t="str">
            <v>ドロップイベント2-3</v>
          </cell>
          <cell r="F325">
            <v>1</v>
          </cell>
          <cell r="G325" t="str">
            <v>ja</v>
          </cell>
          <cell r="H325" t="str">
            <v>【初級】スチール・プレデター</v>
          </cell>
          <cell r="I325" t="str">
            <v>初級</v>
          </cell>
          <cell r="J325">
            <v>280</v>
          </cell>
          <cell r="K325">
            <v>8</v>
          </cell>
          <cell r="L325">
            <v>384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2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19</v>
          </cell>
          <cell r="AD325">
            <v>6</v>
          </cell>
          <cell r="AE325" t="str">
            <v>everyone</v>
          </cell>
        </row>
        <row r="326">
          <cell r="A326" t="str">
            <v>20006_2</v>
          </cell>
          <cell r="B326">
            <v>3</v>
          </cell>
          <cell r="C326">
            <v>20006</v>
          </cell>
          <cell r="D326" t="str">
            <v>スチール・プレデター</v>
          </cell>
          <cell r="E326" t="str">
            <v>ドロップイベント2-3</v>
          </cell>
          <cell r="F326">
            <v>2</v>
          </cell>
          <cell r="G326" t="str">
            <v>ja</v>
          </cell>
          <cell r="H326" t="str">
            <v>【中級】スチール・プレデター</v>
          </cell>
          <cell r="I326" t="str">
            <v>中級</v>
          </cell>
          <cell r="J326">
            <v>280</v>
          </cell>
          <cell r="K326">
            <v>15</v>
          </cell>
          <cell r="L326">
            <v>1200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2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20006_3</v>
          </cell>
          <cell r="B327">
            <v>3</v>
          </cell>
          <cell r="C327">
            <v>20006</v>
          </cell>
          <cell r="D327" t="str">
            <v>スチール・プレデター</v>
          </cell>
          <cell r="E327" t="str">
            <v>ドロップイベント2-3</v>
          </cell>
          <cell r="F327">
            <v>3</v>
          </cell>
          <cell r="G327" t="str">
            <v>ja</v>
          </cell>
          <cell r="H327" t="str">
            <v>【上級】スチール・プレデター</v>
          </cell>
          <cell r="I327" t="str">
            <v>上級</v>
          </cell>
          <cell r="J327">
            <v>281</v>
          </cell>
          <cell r="K327">
            <v>20</v>
          </cell>
          <cell r="L327">
            <v>2000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2</v>
          </cell>
          <cell r="S327" t="str">
            <v>polygon</v>
          </cell>
          <cell r="T327">
            <v>1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20007_1</v>
          </cell>
          <cell r="B328">
            <v>3</v>
          </cell>
          <cell r="C328">
            <v>20007</v>
          </cell>
          <cell r="D328" t="str">
            <v>女王陛下の処刑龍</v>
          </cell>
          <cell r="E328" t="str">
            <v>ドロップイベント2-1</v>
          </cell>
          <cell r="F328">
            <v>1</v>
          </cell>
          <cell r="G328" t="str">
            <v>ja</v>
          </cell>
          <cell r="H328" t="str">
            <v>【初級】女王陛下の処刑龍(4タップ)</v>
          </cell>
          <cell r="I328" t="str">
            <v>初級</v>
          </cell>
          <cell r="J328">
            <v>282</v>
          </cell>
          <cell r="K328">
            <v>8</v>
          </cell>
          <cell r="L328">
            <v>384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4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17</v>
          </cell>
          <cell r="AD328">
            <v>6</v>
          </cell>
          <cell r="AE328" t="str">
            <v>everyone</v>
          </cell>
        </row>
        <row r="329">
          <cell r="A329" t="str">
            <v>20007_2</v>
          </cell>
          <cell r="B329">
            <v>3</v>
          </cell>
          <cell r="C329">
            <v>20007</v>
          </cell>
          <cell r="D329" t="str">
            <v>女王陛下の処刑龍</v>
          </cell>
          <cell r="E329" t="str">
            <v>ドロップイベント2-1</v>
          </cell>
          <cell r="F329">
            <v>2</v>
          </cell>
          <cell r="G329" t="str">
            <v>ja</v>
          </cell>
          <cell r="H329" t="str">
            <v>【中級】女王陛下の処刑龍(4タップ)</v>
          </cell>
          <cell r="I329" t="str">
            <v>中級</v>
          </cell>
          <cell r="J329">
            <v>282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4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17</v>
          </cell>
          <cell r="AD329">
            <v>6</v>
          </cell>
          <cell r="AE329" t="str">
            <v>everyone</v>
          </cell>
        </row>
        <row r="330">
          <cell r="A330" t="str">
            <v>20007_3</v>
          </cell>
          <cell r="B330">
            <v>3</v>
          </cell>
          <cell r="C330">
            <v>20007</v>
          </cell>
          <cell r="D330" t="str">
            <v>女王陛下の処刑龍</v>
          </cell>
          <cell r="E330" t="str">
            <v>ドロップイベント2-1</v>
          </cell>
          <cell r="F330">
            <v>3</v>
          </cell>
          <cell r="G330" t="str">
            <v>ja</v>
          </cell>
          <cell r="H330" t="str">
            <v>【上級】女王陛下の処刑龍(4タップ)</v>
          </cell>
          <cell r="I330" t="str">
            <v>上級</v>
          </cell>
          <cell r="J330">
            <v>283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4</v>
          </cell>
          <cell r="S330" t="str">
            <v>polygon</v>
          </cell>
          <cell r="T330">
            <v>1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17</v>
          </cell>
          <cell r="AD330">
            <v>6</v>
          </cell>
          <cell r="AE330" t="str">
            <v>everyone</v>
          </cell>
        </row>
        <row r="331">
          <cell r="A331" t="str">
            <v>20008_1</v>
          </cell>
          <cell r="B331">
            <v>3</v>
          </cell>
          <cell r="C331">
            <v>20008</v>
          </cell>
          <cell r="D331" t="str">
            <v>天翔ける金轟機龍</v>
          </cell>
          <cell r="E331" t="str">
            <v>ドロップイベント2-4</v>
          </cell>
          <cell r="F331">
            <v>1</v>
          </cell>
          <cell r="G331" t="str">
            <v>ja</v>
          </cell>
          <cell r="H331" t="str">
            <v>【初級】天翔ける金轟機龍</v>
          </cell>
          <cell r="I331" t="str">
            <v>初級</v>
          </cell>
          <cell r="J331">
            <v>284</v>
          </cell>
          <cell r="K331">
            <v>8</v>
          </cell>
          <cell r="L331">
            <v>384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8</v>
          </cell>
          <cell r="AD331">
            <v>6</v>
          </cell>
          <cell r="AE331" t="str">
            <v>everyone</v>
          </cell>
        </row>
        <row r="332">
          <cell r="A332" t="str">
            <v>20008_2</v>
          </cell>
          <cell r="B332">
            <v>3</v>
          </cell>
          <cell r="C332">
            <v>20008</v>
          </cell>
          <cell r="D332" t="str">
            <v>天翔ける金轟機龍</v>
          </cell>
          <cell r="E332" t="str">
            <v>ドロップイベント2-4</v>
          </cell>
          <cell r="F332">
            <v>2</v>
          </cell>
          <cell r="G332" t="str">
            <v>ja</v>
          </cell>
          <cell r="H332" t="str">
            <v>【中級】天翔ける金轟機龍</v>
          </cell>
          <cell r="I332" t="str">
            <v>中級</v>
          </cell>
          <cell r="J332">
            <v>284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8</v>
          </cell>
          <cell r="AD332">
            <v>6</v>
          </cell>
          <cell r="AE332" t="str">
            <v>everyone</v>
          </cell>
        </row>
        <row r="333">
          <cell r="A333" t="str">
            <v>20008_3</v>
          </cell>
          <cell r="B333">
            <v>3</v>
          </cell>
          <cell r="C333">
            <v>20008</v>
          </cell>
          <cell r="D333" t="str">
            <v>天翔ける金轟機龍</v>
          </cell>
          <cell r="E333" t="str">
            <v>ドロップイベント2-4</v>
          </cell>
          <cell r="F333">
            <v>3</v>
          </cell>
          <cell r="G333" t="str">
            <v>ja</v>
          </cell>
          <cell r="H333" t="str">
            <v>【上級】天翔ける金轟機龍</v>
          </cell>
          <cell r="I333" t="str">
            <v>上級</v>
          </cell>
          <cell r="J333">
            <v>285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polygon</v>
          </cell>
          <cell r="T333">
            <v>1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8</v>
          </cell>
          <cell r="AD333">
            <v>6</v>
          </cell>
          <cell r="AE333" t="str">
            <v>everyone</v>
          </cell>
        </row>
        <row r="334">
          <cell r="A334" t="str">
            <v>20009_1</v>
          </cell>
          <cell r="B334">
            <v>0</v>
          </cell>
          <cell r="C334">
            <v>20009</v>
          </cell>
          <cell r="D334" t="str">
            <v>迫り来る窒息</v>
          </cell>
          <cell r="E334" t="str">
            <v>ドロップイベント3</v>
          </cell>
          <cell r="F334">
            <v>1</v>
          </cell>
          <cell r="G334" t="str">
            <v>ja</v>
          </cell>
          <cell r="H334" t="str">
            <v>【初級】迫り来る窒息</v>
          </cell>
          <cell r="I334" t="str">
            <v>初級</v>
          </cell>
          <cell r="J334" t="str">
            <v>NULL</v>
          </cell>
          <cell r="K334">
            <v>8</v>
          </cell>
          <cell r="L334">
            <v>384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25</v>
          </cell>
          <cell r="AD334">
            <v>5</v>
          </cell>
          <cell r="AE334" t="str">
            <v>everyone</v>
          </cell>
        </row>
        <row r="335">
          <cell r="A335" t="str">
            <v>20009_2</v>
          </cell>
          <cell r="B335">
            <v>3</v>
          </cell>
          <cell r="C335">
            <v>20009</v>
          </cell>
          <cell r="D335" t="str">
            <v>迫り来る窒息</v>
          </cell>
          <cell r="E335" t="str">
            <v>ドロップイベント3</v>
          </cell>
          <cell r="F335">
            <v>2</v>
          </cell>
          <cell r="G335" t="str">
            <v>ja</v>
          </cell>
          <cell r="H335" t="str">
            <v>【中級】迫り来る窒息</v>
          </cell>
          <cell r="I335" t="str">
            <v>中級</v>
          </cell>
          <cell r="J335">
            <v>302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25</v>
          </cell>
          <cell r="AD335">
            <v>5</v>
          </cell>
          <cell r="AE335" t="str">
            <v>everyone</v>
          </cell>
        </row>
        <row r="336">
          <cell r="A336" t="str">
            <v>20009_3</v>
          </cell>
          <cell r="B336">
            <v>3</v>
          </cell>
          <cell r="C336">
            <v>20009</v>
          </cell>
          <cell r="D336" t="str">
            <v>迫り来る窒息</v>
          </cell>
          <cell r="E336" t="str">
            <v>ドロップイベント3</v>
          </cell>
          <cell r="F336">
            <v>3</v>
          </cell>
          <cell r="G336" t="str">
            <v>ja</v>
          </cell>
          <cell r="H336" t="str">
            <v>【上級】迫り来る窒息</v>
          </cell>
          <cell r="I336" t="str">
            <v>上級</v>
          </cell>
          <cell r="J336">
            <v>303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polygon</v>
          </cell>
          <cell r="T336">
            <v>1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25</v>
          </cell>
          <cell r="AD336">
            <v>5</v>
          </cell>
          <cell r="AE336" t="str">
            <v>everyone</v>
          </cell>
        </row>
        <row r="337">
          <cell r="A337" t="str">
            <v>20010_1</v>
          </cell>
          <cell r="B337">
            <v>3</v>
          </cell>
          <cell r="C337">
            <v>20010</v>
          </cell>
          <cell r="D337" t="str">
            <v>悪夢の一目惚れ</v>
          </cell>
          <cell r="E337" t="str">
            <v>ドロップイベント3</v>
          </cell>
          <cell r="F337">
            <v>1</v>
          </cell>
          <cell r="G337" t="str">
            <v>ja</v>
          </cell>
          <cell r="H337" t="str">
            <v>【初級】悪夢の一目惚れ</v>
          </cell>
          <cell r="I337" t="str">
            <v>初級</v>
          </cell>
          <cell r="J337">
            <v>304</v>
          </cell>
          <cell r="K337">
            <v>8</v>
          </cell>
          <cell r="L337">
            <v>384</v>
          </cell>
          <cell r="M337">
            <v>1</v>
          </cell>
          <cell r="N337">
            <v>1</v>
          </cell>
          <cell r="O337">
            <v>0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2601</v>
          </cell>
          <cell r="AD337">
            <v>6</v>
          </cell>
          <cell r="AE337" t="str">
            <v>everyone</v>
          </cell>
        </row>
        <row r="338">
          <cell r="A338" t="str">
            <v>20010_2</v>
          </cell>
          <cell r="B338">
            <v>3</v>
          </cell>
          <cell r="C338">
            <v>20010</v>
          </cell>
          <cell r="D338" t="str">
            <v>悪夢の一目惚れ</v>
          </cell>
          <cell r="E338" t="str">
            <v>ドロップイベント3</v>
          </cell>
          <cell r="F338">
            <v>2</v>
          </cell>
          <cell r="G338" t="str">
            <v>ja</v>
          </cell>
          <cell r="H338" t="str">
            <v>【中級】悪夢の一目惚れ</v>
          </cell>
          <cell r="I338" t="str">
            <v>中級</v>
          </cell>
          <cell r="J338">
            <v>304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0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2601</v>
          </cell>
          <cell r="AD338">
            <v>6</v>
          </cell>
          <cell r="AE338" t="str">
            <v>everyone</v>
          </cell>
        </row>
        <row r="339">
          <cell r="A339" t="str">
            <v>20010_3</v>
          </cell>
          <cell r="B339">
            <v>3</v>
          </cell>
          <cell r="C339">
            <v>20010</v>
          </cell>
          <cell r="D339" t="str">
            <v>悪夢の一目惚れ</v>
          </cell>
          <cell r="E339" t="str">
            <v>ドロップイベント3</v>
          </cell>
          <cell r="F339">
            <v>3</v>
          </cell>
          <cell r="G339" t="str">
            <v>ja</v>
          </cell>
          <cell r="H339" t="str">
            <v>【上級】悪夢の一目惚れ</v>
          </cell>
          <cell r="I339" t="str">
            <v>上級</v>
          </cell>
          <cell r="J339">
            <v>305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0</v>
          </cell>
          <cell r="P339">
            <v>1</v>
          </cell>
          <cell r="Q339">
            <v>1</v>
          </cell>
          <cell r="R339">
            <v>3</v>
          </cell>
          <cell r="S339" t="str">
            <v>polygon</v>
          </cell>
          <cell r="T339">
            <v>1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2601</v>
          </cell>
          <cell r="AD339">
            <v>6</v>
          </cell>
          <cell r="AE339" t="str">
            <v>everyone</v>
          </cell>
        </row>
        <row r="340">
          <cell r="A340" t="str">
            <v>20011_1</v>
          </cell>
          <cell r="B340">
            <v>3</v>
          </cell>
          <cell r="C340">
            <v>20011</v>
          </cell>
          <cell r="D340" t="str">
            <v>すべてが灰になる</v>
          </cell>
          <cell r="E340" t="str">
            <v>ドロップイベント3</v>
          </cell>
          <cell r="F340">
            <v>1</v>
          </cell>
          <cell r="G340" t="str">
            <v>ja</v>
          </cell>
          <cell r="H340" t="str">
            <v>【初級】すべてが灰になる</v>
          </cell>
          <cell r="I340" t="str">
            <v>初級</v>
          </cell>
          <cell r="J340">
            <v>298</v>
          </cell>
          <cell r="K340">
            <v>8</v>
          </cell>
          <cell r="L340">
            <v>384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10</v>
          </cell>
          <cell r="AD340">
            <v>5</v>
          </cell>
          <cell r="AE340" t="str">
            <v>everyone</v>
          </cell>
        </row>
        <row r="341">
          <cell r="A341" t="str">
            <v>20011_2</v>
          </cell>
          <cell r="B341">
            <v>3</v>
          </cell>
          <cell r="C341">
            <v>20011</v>
          </cell>
          <cell r="D341" t="str">
            <v>すべてが灰になる</v>
          </cell>
          <cell r="E341" t="str">
            <v>ドロップイベント3</v>
          </cell>
          <cell r="F341">
            <v>2</v>
          </cell>
          <cell r="G341" t="str">
            <v>ja</v>
          </cell>
          <cell r="H341" t="str">
            <v>【中級】すべてが灰になる</v>
          </cell>
          <cell r="I341" t="str">
            <v>中級</v>
          </cell>
          <cell r="J341">
            <v>298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10</v>
          </cell>
          <cell r="AD341">
            <v>5</v>
          </cell>
          <cell r="AE341" t="str">
            <v>everyone</v>
          </cell>
        </row>
        <row r="342">
          <cell r="A342" t="str">
            <v>20011_3</v>
          </cell>
          <cell r="B342">
            <v>3</v>
          </cell>
          <cell r="C342">
            <v>20011</v>
          </cell>
          <cell r="D342" t="str">
            <v>すべてが灰になる</v>
          </cell>
          <cell r="E342" t="str">
            <v>ドロップイベント3</v>
          </cell>
          <cell r="F342">
            <v>3</v>
          </cell>
          <cell r="G342" t="str">
            <v>ja</v>
          </cell>
          <cell r="H342" t="str">
            <v>【上級】すべてが灰になる</v>
          </cell>
          <cell r="I342" t="str">
            <v>上級</v>
          </cell>
          <cell r="J342">
            <v>299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polygon</v>
          </cell>
          <cell r="T342">
            <v>1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10</v>
          </cell>
          <cell r="AD342">
            <v>5</v>
          </cell>
          <cell r="AE342" t="str">
            <v>everyone</v>
          </cell>
        </row>
        <row r="343">
          <cell r="A343" t="str">
            <v>20012_1</v>
          </cell>
          <cell r="B343">
            <v>3</v>
          </cell>
          <cell r="C343">
            <v>20012</v>
          </cell>
          <cell r="D343" t="str">
            <v>罪と劇薬</v>
          </cell>
          <cell r="E343" t="str">
            <v>ドロップイベント3</v>
          </cell>
          <cell r="F343">
            <v>1</v>
          </cell>
          <cell r="G343" t="str">
            <v>ja</v>
          </cell>
          <cell r="H343" t="str">
            <v>【初級】罪と劇薬</v>
          </cell>
          <cell r="I343" t="str">
            <v>初級</v>
          </cell>
          <cell r="J343">
            <v>300</v>
          </cell>
          <cell r="K343">
            <v>8</v>
          </cell>
          <cell r="L343">
            <v>384</v>
          </cell>
          <cell r="M343">
            <v>0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19</v>
          </cell>
          <cell r="AD343">
            <v>6</v>
          </cell>
          <cell r="AE343" t="str">
            <v>everyone</v>
          </cell>
        </row>
        <row r="344">
          <cell r="A344" t="str">
            <v>20012_2</v>
          </cell>
          <cell r="B344">
            <v>3</v>
          </cell>
          <cell r="C344">
            <v>20012</v>
          </cell>
          <cell r="D344" t="str">
            <v>罪と劇薬</v>
          </cell>
          <cell r="E344" t="str">
            <v>ドロップイベント3</v>
          </cell>
          <cell r="F344">
            <v>2</v>
          </cell>
          <cell r="G344" t="str">
            <v>ja</v>
          </cell>
          <cell r="H344" t="str">
            <v>【中級】罪と劇薬</v>
          </cell>
          <cell r="I344" t="str">
            <v>中級</v>
          </cell>
          <cell r="J344">
            <v>300</v>
          </cell>
          <cell r="K344">
            <v>15</v>
          </cell>
          <cell r="L344">
            <v>1200</v>
          </cell>
          <cell r="M344">
            <v>0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19</v>
          </cell>
          <cell r="AD344">
            <v>6</v>
          </cell>
          <cell r="AE344" t="str">
            <v>everyone</v>
          </cell>
        </row>
        <row r="345">
          <cell r="A345" t="str">
            <v>20012_3</v>
          </cell>
          <cell r="B345">
            <v>3</v>
          </cell>
          <cell r="C345">
            <v>20012</v>
          </cell>
          <cell r="D345" t="str">
            <v>罪と劇薬</v>
          </cell>
          <cell r="E345" t="str">
            <v>ドロップイベント3</v>
          </cell>
          <cell r="F345">
            <v>3</v>
          </cell>
          <cell r="G345" t="str">
            <v>ja</v>
          </cell>
          <cell r="H345" t="str">
            <v>【上級】罪と劇薬</v>
          </cell>
          <cell r="I345" t="str">
            <v>上級</v>
          </cell>
          <cell r="J345">
            <v>301</v>
          </cell>
          <cell r="K345">
            <v>20</v>
          </cell>
          <cell r="L345">
            <v>2000</v>
          </cell>
          <cell r="M345">
            <v>0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19</v>
          </cell>
          <cell r="AD345">
            <v>6</v>
          </cell>
          <cell r="AE345" t="str">
            <v>everyone</v>
          </cell>
        </row>
        <row r="346">
          <cell r="A346" t="str">
            <v>30001_1</v>
          </cell>
          <cell r="B346">
            <v>3</v>
          </cell>
          <cell r="C346">
            <v>30001</v>
          </cell>
          <cell r="D346" t="str">
            <v>ハンター・オブ・ハンター</v>
          </cell>
          <cell r="E346" t="str">
            <v>ドロップイベント1-1（マルチ専用）</v>
          </cell>
          <cell r="F346">
            <v>1</v>
          </cell>
          <cell r="G346" t="str">
            <v>ja</v>
          </cell>
          <cell r="H346" t="str">
            <v xml:space="preserve">【中級】ハンター・オブ・ハンター </v>
          </cell>
          <cell r="I346" t="str">
            <v>中級</v>
          </cell>
          <cell r="J346">
            <v>270</v>
          </cell>
          <cell r="K346">
            <v>15</v>
          </cell>
          <cell r="L346">
            <v>1200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30001_2</v>
          </cell>
          <cell r="B347">
            <v>3</v>
          </cell>
          <cell r="C347">
            <v>30001</v>
          </cell>
          <cell r="D347" t="str">
            <v>ハンター・オブ・ハンター</v>
          </cell>
          <cell r="E347" t="str">
            <v>ドロップイベント1-1（マルチ専用）</v>
          </cell>
          <cell r="F347">
            <v>2</v>
          </cell>
          <cell r="G347" t="str">
            <v>ja</v>
          </cell>
          <cell r="H347" t="str">
            <v xml:space="preserve">【上級】ハンター・オブ・ハンター </v>
          </cell>
          <cell r="I347" t="str">
            <v>上級</v>
          </cell>
          <cell r="J347">
            <v>270</v>
          </cell>
          <cell r="K347">
            <v>20</v>
          </cell>
          <cell r="L347">
            <v>2000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7</v>
          </cell>
          <cell r="AD347">
            <v>6</v>
          </cell>
          <cell r="AE347" t="str">
            <v>everyone</v>
          </cell>
        </row>
        <row r="348">
          <cell r="A348" t="str">
            <v>30001_3</v>
          </cell>
          <cell r="B348">
            <v>3</v>
          </cell>
          <cell r="C348">
            <v>30001</v>
          </cell>
          <cell r="D348" t="str">
            <v>ハンター・オブ・ハンター</v>
          </cell>
          <cell r="E348" t="str">
            <v>ドロップイベント1-1（マルチ専用）</v>
          </cell>
          <cell r="F348">
            <v>3</v>
          </cell>
          <cell r="G348" t="str">
            <v>ja</v>
          </cell>
          <cell r="H348" t="str">
            <v xml:space="preserve">【超級】ハンター・オブ・ハンター </v>
          </cell>
          <cell r="I348" t="str">
            <v>超級</v>
          </cell>
          <cell r="J348">
            <v>271</v>
          </cell>
          <cell r="K348">
            <v>30</v>
          </cell>
          <cell r="L348">
            <v>3300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7</v>
          </cell>
          <cell r="AD348">
            <v>6</v>
          </cell>
          <cell r="AE348" t="str">
            <v>everyone</v>
          </cell>
        </row>
        <row r="349">
          <cell r="A349" t="str">
            <v>30002_1</v>
          </cell>
          <cell r="B349">
            <v>3</v>
          </cell>
          <cell r="C349">
            <v>30002</v>
          </cell>
          <cell r="D349" t="str">
            <v>トリックスター</v>
          </cell>
          <cell r="E349" t="str">
            <v>ドロップイベント1-2（マルチ専用）</v>
          </cell>
          <cell r="F349">
            <v>1</v>
          </cell>
          <cell r="G349" t="str">
            <v>ja</v>
          </cell>
          <cell r="H349" t="str">
            <v xml:space="preserve">【中級】トリックスター </v>
          </cell>
          <cell r="I349" t="str">
            <v>中級</v>
          </cell>
          <cell r="J349">
            <v>272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17</v>
          </cell>
          <cell r="AD349">
            <v>6</v>
          </cell>
          <cell r="AE349" t="str">
            <v>everyone</v>
          </cell>
        </row>
        <row r="350">
          <cell r="A350" t="str">
            <v>30002_2</v>
          </cell>
          <cell r="B350">
            <v>3</v>
          </cell>
          <cell r="C350">
            <v>30002</v>
          </cell>
          <cell r="D350" t="str">
            <v>トリックスター</v>
          </cell>
          <cell r="E350" t="str">
            <v>ドロップイベント1-2（マルチ専用）</v>
          </cell>
          <cell r="F350">
            <v>2</v>
          </cell>
          <cell r="G350" t="str">
            <v>ja</v>
          </cell>
          <cell r="H350" t="str">
            <v xml:space="preserve">【上級】トリックスター </v>
          </cell>
          <cell r="I350" t="str">
            <v>上級</v>
          </cell>
          <cell r="J350">
            <v>272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30002_3</v>
          </cell>
          <cell r="B351">
            <v>3</v>
          </cell>
          <cell r="C351">
            <v>30002</v>
          </cell>
          <cell r="D351" t="str">
            <v>トリックスター</v>
          </cell>
          <cell r="E351" t="str">
            <v>ドロップイベント1-2（マルチ専用）</v>
          </cell>
          <cell r="F351">
            <v>3</v>
          </cell>
          <cell r="G351" t="str">
            <v>ja</v>
          </cell>
          <cell r="H351" t="str">
            <v xml:space="preserve">【超級】トリックスター </v>
          </cell>
          <cell r="I351" t="str">
            <v>超級</v>
          </cell>
          <cell r="J351">
            <v>273</v>
          </cell>
          <cell r="K351">
            <v>30</v>
          </cell>
          <cell r="L351">
            <v>3300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30003_1</v>
          </cell>
          <cell r="B352">
            <v>3</v>
          </cell>
          <cell r="C352">
            <v>30003</v>
          </cell>
          <cell r="D352" t="str">
            <v>打ち下ろされる砕棒</v>
          </cell>
          <cell r="E352" t="str">
            <v>ドロップイベント1-3（マルチ専用）</v>
          </cell>
          <cell r="F352">
            <v>1</v>
          </cell>
          <cell r="G352" t="str">
            <v>ja</v>
          </cell>
          <cell r="H352" t="str">
            <v xml:space="preserve">【中級】打ち下ろされる砕棒 </v>
          </cell>
          <cell r="I352" t="str">
            <v>中級</v>
          </cell>
          <cell r="J352">
            <v>274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20</v>
          </cell>
          <cell r="AD352">
            <v>6</v>
          </cell>
          <cell r="AE352" t="str">
            <v>everyone</v>
          </cell>
        </row>
        <row r="353">
          <cell r="A353" t="str">
            <v>30003_2</v>
          </cell>
          <cell r="B353">
            <v>3</v>
          </cell>
          <cell r="C353">
            <v>30003</v>
          </cell>
          <cell r="D353" t="str">
            <v>打ち下ろされる砕棒</v>
          </cell>
          <cell r="E353" t="str">
            <v>ドロップイベント1-3（マルチ専用）</v>
          </cell>
          <cell r="F353">
            <v>2</v>
          </cell>
          <cell r="G353" t="str">
            <v>ja</v>
          </cell>
          <cell r="H353" t="str">
            <v>【上級】打ち下ろされる砕棒</v>
          </cell>
          <cell r="I353" t="str">
            <v>上級</v>
          </cell>
          <cell r="J353">
            <v>274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20</v>
          </cell>
          <cell r="AD353">
            <v>6</v>
          </cell>
          <cell r="AE353" t="str">
            <v>everyone</v>
          </cell>
        </row>
        <row r="354">
          <cell r="A354" t="str">
            <v>30003_3</v>
          </cell>
          <cell r="B354">
            <v>3</v>
          </cell>
          <cell r="C354">
            <v>30003</v>
          </cell>
          <cell r="D354" t="str">
            <v>打ち下ろされる砕棒</v>
          </cell>
          <cell r="E354" t="str">
            <v>ドロップイベント1-3（マルチ専用）</v>
          </cell>
          <cell r="F354">
            <v>3</v>
          </cell>
          <cell r="G354" t="str">
            <v>ja</v>
          </cell>
          <cell r="H354" t="str">
            <v xml:space="preserve">【超級】打ち下ろされる砕棒 </v>
          </cell>
          <cell r="I354" t="str">
            <v>超級</v>
          </cell>
          <cell r="J354">
            <v>275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20</v>
          </cell>
          <cell r="AD354">
            <v>6</v>
          </cell>
          <cell r="AE354" t="str">
            <v>everyone</v>
          </cell>
        </row>
        <row r="355">
          <cell r="A355" t="str">
            <v>30004_1</v>
          </cell>
          <cell r="B355">
            <v>3</v>
          </cell>
          <cell r="C355">
            <v>30004</v>
          </cell>
          <cell r="D355" t="str">
            <v>危険な仲裁者</v>
          </cell>
          <cell r="E355" t="str">
            <v>ドロップイベント1-4（マルチ専用）</v>
          </cell>
          <cell r="F355">
            <v>1</v>
          </cell>
          <cell r="G355" t="str">
            <v>ja</v>
          </cell>
          <cell r="H355" t="str">
            <v xml:space="preserve">【中級】危険な仲裁者 </v>
          </cell>
          <cell r="I355" t="str">
            <v>中級</v>
          </cell>
          <cell r="J355">
            <v>276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14</v>
          </cell>
          <cell r="AD355">
            <v>6</v>
          </cell>
          <cell r="AE355" t="str">
            <v>everyone</v>
          </cell>
        </row>
        <row r="356">
          <cell r="A356" t="str">
            <v>30004_2</v>
          </cell>
          <cell r="B356">
            <v>3</v>
          </cell>
          <cell r="C356">
            <v>30004</v>
          </cell>
          <cell r="D356" t="str">
            <v>危険な仲裁者</v>
          </cell>
          <cell r="E356" t="str">
            <v>ドロップイベント1-4（マルチ専用）</v>
          </cell>
          <cell r="F356">
            <v>2</v>
          </cell>
          <cell r="G356" t="str">
            <v>ja</v>
          </cell>
          <cell r="H356" t="str">
            <v xml:space="preserve">【上級】危険な仲裁者 </v>
          </cell>
          <cell r="I356" t="str">
            <v>上級</v>
          </cell>
          <cell r="J356">
            <v>276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14</v>
          </cell>
          <cell r="AD356">
            <v>6</v>
          </cell>
          <cell r="AE356" t="str">
            <v>everyone</v>
          </cell>
        </row>
        <row r="357">
          <cell r="A357" t="str">
            <v>30004_3</v>
          </cell>
          <cell r="B357">
            <v>3</v>
          </cell>
          <cell r="C357">
            <v>30004</v>
          </cell>
          <cell r="D357" t="str">
            <v>危険な仲裁者</v>
          </cell>
          <cell r="E357" t="str">
            <v>ドロップイベント1-4（マルチ専用）</v>
          </cell>
          <cell r="F357">
            <v>3</v>
          </cell>
          <cell r="G357" t="str">
            <v>ja</v>
          </cell>
          <cell r="H357" t="str">
            <v xml:space="preserve">【超級】危険な仲裁者 </v>
          </cell>
          <cell r="I357" t="str">
            <v>超級</v>
          </cell>
          <cell r="J357">
            <v>277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14</v>
          </cell>
          <cell r="AD357">
            <v>6</v>
          </cell>
          <cell r="AE357" t="str">
            <v>everyone</v>
          </cell>
        </row>
        <row r="358">
          <cell r="A358" t="str">
            <v>30005_1</v>
          </cell>
          <cell r="B358">
            <v>3</v>
          </cell>
          <cell r="C358">
            <v>30005</v>
          </cell>
          <cell r="D358" t="str">
            <v>ニンゲンにしてあげる☆</v>
          </cell>
          <cell r="E358" t="str">
            <v>ドロップイベント2-1（マルチ専用）</v>
          </cell>
          <cell r="F358">
            <v>1</v>
          </cell>
          <cell r="G358" t="str">
            <v>ja</v>
          </cell>
          <cell r="H358" t="str">
            <v xml:space="preserve">【中級】ニンゲンにしてあげる </v>
          </cell>
          <cell r="I358" t="str">
            <v>中級</v>
          </cell>
          <cell r="J358">
            <v>290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11</v>
          </cell>
          <cell r="AD358">
            <v>6</v>
          </cell>
          <cell r="AE358" t="str">
            <v>everyone</v>
          </cell>
        </row>
        <row r="359">
          <cell r="A359" t="str">
            <v>30005_2</v>
          </cell>
          <cell r="B359">
            <v>3</v>
          </cell>
          <cell r="C359">
            <v>30005</v>
          </cell>
          <cell r="D359" t="str">
            <v>ニンゲンにしてあげる☆</v>
          </cell>
          <cell r="E359" t="str">
            <v>ドロップイベント2-1（マルチ専用）</v>
          </cell>
          <cell r="F359">
            <v>2</v>
          </cell>
          <cell r="G359" t="str">
            <v>ja</v>
          </cell>
          <cell r="H359" t="str">
            <v xml:space="preserve">【上級】ニンゲンにしてあげる </v>
          </cell>
          <cell r="I359" t="str">
            <v>上級</v>
          </cell>
          <cell r="J359">
            <v>290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11</v>
          </cell>
          <cell r="AD359">
            <v>6</v>
          </cell>
          <cell r="AE359" t="str">
            <v>everyone</v>
          </cell>
        </row>
        <row r="360">
          <cell r="A360" t="str">
            <v>30005_3</v>
          </cell>
          <cell r="B360">
            <v>3</v>
          </cell>
          <cell r="C360">
            <v>30005</v>
          </cell>
          <cell r="D360" t="str">
            <v>ニンゲンにしてあげる☆</v>
          </cell>
          <cell r="E360" t="str">
            <v>ドロップイベント2-1（マルチ専用）</v>
          </cell>
          <cell r="F360">
            <v>3</v>
          </cell>
          <cell r="G360" t="str">
            <v>ja</v>
          </cell>
          <cell r="H360" t="str">
            <v>【超級】ニンゲンにしてあげる</v>
          </cell>
          <cell r="I360" t="str">
            <v>超級</v>
          </cell>
          <cell r="J360">
            <v>291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11</v>
          </cell>
          <cell r="AD360">
            <v>6</v>
          </cell>
          <cell r="AE360" t="str">
            <v>everyone</v>
          </cell>
        </row>
        <row r="361">
          <cell r="A361" t="str">
            <v>30006_1</v>
          </cell>
          <cell r="B361">
            <v>3</v>
          </cell>
          <cell r="C361">
            <v>30006</v>
          </cell>
          <cell r="D361" t="str">
            <v>それはお前を食べるためさ</v>
          </cell>
          <cell r="E361" t="str">
            <v>ドロップイベント2-3（マルチ専用）</v>
          </cell>
          <cell r="F361">
            <v>1</v>
          </cell>
          <cell r="G361" t="str">
            <v>ja</v>
          </cell>
          <cell r="H361" t="str">
            <v>【中級】それはお前を食べるためさ</v>
          </cell>
          <cell r="I361" t="str">
            <v>中級</v>
          </cell>
          <cell r="J361">
            <v>294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7</v>
          </cell>
          <cell r="AD361">
            <v>6</v>
          </cell>
          <cell r="AE361" t="str">
            <v>everyone</v>
          </cell>
        </row>
        <row r="362">
          <cell r="A362" t="str">
            <v>30006_2</v>
          </cell>
          <cell r="B362">
            <v>3</v>
          </cell>
          <cell r="C362">
            <v>30006</v>
          </cell>
          <cell r="D362" t="str">
            <v>それはお前を食べるためさ</v>
          </cell>
          <cell r="E362" t="str">
            <v>ドロップイベント2-3（マルチ専用）</v>
          </cell>
          <cell r="F362">
            <v>2</v>
          </cell>
          <cell r="G362" t="str">
            <v>ja</v>
          </cell>
          <cell r="H362" t="str">
            <v>【上級】それはお前を食べるためさ</v>
          </cell>
          <cell r="I362" t="str">
            <v>上級</v>
          </cell>
          <cell r="J362">
            <v>294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7</v>
          </cell>
          <cell r="AD362">
            <v>6</v>
          </cell>
          <cell r="AE362" t="str">
            <v>everyone</v>
          </cell>
        </row>
        <row r="363">
          <cell r="A363" t="str">
            <v>30006_3</v>
          </cell>
          <cell r="B363">
            <v>3</v>
          </cell>
          <cell r="C363">
            <v>30006</v>
          </cell>
          <cell r="D363" t="str">
            <v>それはお前を食べるためさ</v>
          </cell>
          <cell r="E363" t="str">
            <v>ドロップイベント2-3（マルチ専用）</v>
          </cell>
          <cell r="F363">
            <v>3</v>
          </cell>
          <cell r="G363" t="str">
            <v>ja</v>
          </cell>
          <cell r="H363" t="str">
            <v>【超級】それはお前を食べるためさ</v>
          </cell>
          <cell r="I363" t="str">
            <v>超級</v>
          </cell>
          <cell r="J363">
            <v>295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7</v>
          </cell>
          <cell r="AD363">
            <v>6</v>
          </cell>
          <cell r="AE363" t="str">
            <v>everyone</v>
          </cell>
        </row>
        <row r="364">
          <cell r="A364" t="str">
            <v>30007_1</v>
          </cell>
          <cell r="B364">
            <v>3</v>
          </cell>
          <cell r="C364">
            <v>30007</v>
          </cell>
          <cell r="D364" t="str">
            <v>ガラスの靴は私のもの</v>
          </cell>
          <cell r="E364" t="str">
            <v>ドロップイベント2-2（マルチ専用）</v>
          </cell>
          <cell r="F364">
            <v>1</v>
          </cell>
          <cell r="G364" t="str">
            <v>ja</v>
          </cell>
          <cell r="H364" t="str">
            <v xml:space="preserve">【中級】ガラスの靴は私のもの </v>
          </cell>
          <cell r="I364" t="str">
            <v>中級</v>
          </cell>
          <cell r="J364">
            <v>292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</v>
          </cell>
          <cell r="AD364">
            <v>6</v>
          </cell>
          <cell r="AE364" t="str">
            <v>everyone</v>
          </cell>
        </row>
        <row r="365">
          <cell r="A365" t="str">
            <v>30007_2</v>
          </cell>
          <cell r="B365">
            <v>3</v>
          </cell>
          <cell r="C365">
            <v>30007</v>
          </cell>
          <cell r="D365" t="str">
            <v>ガラスの靴は私のもの</v>
          </cell>
          <cell r="E365" t="str">
            <v>ドロップイベント2-2（マルチ専用）</v>
          </cell>
          <cell r="F365">
            <v>2</v>
          </cell>
          <cell r="G365" t="str">
            <v>ja</v>
          </cell>
          <cell r="H365" t="str">
            <v>【上級】ガラスの靴は私のもの</v>
          </cell>
          <cell r="I365" t="str">
            <v>上級</v>
          </cell>
          <cell r="J365">
            <v>292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</v>
          </cell>
          <cell r="AD365">
            <v>6</v>
          </cell>
          <cell r="AE365" t="str">
            <v>everyone</v>
          </cell>
        </row>
        <row r="366">
          <cell r="A366" t="str">
            <v>30007_3</v>
          </cell>
          <cell r="B366">
            <v>3</v>
          </cell>
          <cell r="C366">
            <v>30007</v>
          </cell>
          <cell r="D366" t="str">
            <v>ガラスの靴は私のもの</v>
          </cell>
          <cell r="E366" t="str">
            <v>ドロップイベント2-2（マルチ専用）</v>
          </cell>
          <cell r="F366">
            <v>3</v>
          </cell>
          <cell r="G366" t="str">
            <v>ja</v>
          </cell>
          <cell r="H366" t="str">
            <v xml:space="preserve">【超級】ガラスの靴は私のもの </v>
          </cell>
          <cell r="I366" t="str">
            <v>超級</v>
          </cell>
          <cell r="J366">
            <v>293</v>
          </cell>
          <cell r="K366">
            <v>30</v>
          </cell>
          <cell r="L366">
            <v>3300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</v>
          </cell>
          <cell r="AD366">
            <v>6</v>
          </cell>
          <cell r="AE366" t="str">
            <v>everyone</v>
          </cell>
        </row>
        <row r="367">
          <cell r="A367" t="str">
            <v>30008_1</v>
          </cell>
          <cell r="B367">
            <v>3</v>
          </cell>
          <cell r="C367">
            <v>30008</v>
          </cell>
          <cell r="D367" t="str">
            <v>わたしの嫁を返してもらおう</v>
          </cell>
          <cell r="E367" t="str">
            <v>ドロップイベント2-4（マルチ専用）</v>
          </cell>
          <cell r="F367">
            <v>1</v>
          </cell>
          <cell r="G367" t="str">
            <v>ja</v>
          </cell>
          <cell r="H367" t="str">
            <v>【中級】わたしの嫁を返してもらおう</v>
          </cell>
          <cell r="I367" t="str">
            <v>中級</v>
          </cell>
          <cell r="J367">
            <v>288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22</v>
          </cell>
          <cell r="AD367">
            <v>6</v>
          </cell>
          <cell r="AE367" t="str">
            <v>everyone</v>
          </cell>
        </row>
        <row r="368">
          <cell r="A368" t="str">
            <v>30008_2</v>
          </cell>
          <cell r="B368">
            <v>3</v>
          </cell>
          <cell r="C368">
            <v>30008</v>
          </cell>
          <cell r="D368" t="str">
            <v>わたしの嫁を返してもらおう</v>
          </cell>
          <cell r="E368" t="str">
            <v>ドロップイベント2-4（マルチ専用）</v>
          </cell>
          <cell r="F368">
            <v>2</v>
          </cell>
          <cell r="G368" t="str">
            <v>ja</v>
          </cell>
          <cell r="H368" t="str">
            <v>【上級】わたしの嫁を返してもらおう</v>
          </cell>
          <cell r="I368" t="str">
            <v>上級</v>
          </cell>
          <cell r="J368">
            <v>288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22</v>
          </cell>
          <cell r="AD368">
            <v>6</v>
          </cell>
          <cell r="AE368" t="str">
            <v>everyone</v>
          </cell>
        </row>
        <row r="369">
          <cell r="A369" t="str">
            <v>30008_3</v>
          </cell>
          <cell r="B369">
            <v>3</v>
          </cell>
          <cell r="C369">
            <v>30008</v>
          </cell>
          <cell r="D369" t="str">
            <v>わたしの嫁を返してもらおう</v>
          </cell>
          <cell r="E369" t="str">
            <v>ドロップイベント2-4（マルチ専用）</v>
          </cell>
          <cell r="F369">
            <v>3</v>
          </cell>
          <cell r="G369" t="str">
            <v>ja</v>
          </cell>
          <cell r="H369" t="str">
            <v>【超級】わたしの嫁を返してもらおう</v>
          </cell>
          <cell r="I369" t="str">
            <v>超級</v>
          </cell>
          <cell r="J369">
            <v>289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22</v>
          </cell>
          <cell r="AD369">
            <v>6</v>
          </cell>
          <cell r="AE369" t="str">
            <v>everyone</v>
          </cell>
        </row>
        <row r="370">
          <cell r="A370" t="str">
            <v>30009_3</v>
          </cell>
          <cell r="B370">
            <v>0</v>
          </cell>
          <cell r="C370">
            <v>30009</v>
          </cell>
          <cell r="D370" t="str">
            <v>復活の捕食者</v>
          </cell>
          <cell r="E370" t="str">
            <v>ドロップイベント3（マルチ専用）</v>
          </cell>
          <cell r="F370">
            <v>3</v>
          </cell>
          <cell r="G370" t="str">
            <v>ja</v>
          </cell>
          <cell r="H370" t="str">
            <v>【上級】復活の捕食者</v>
          </cell>
          <cell r="I370" t="str">
            <v>上級</v>
          </cell>
          <cell r="J370">
            <v>312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2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30009_1</v>
          </cell>
          <cell r="B371">
            <v>3</v>
          </cell>
          <cell r="C371">
            <v>30009</v>
          </cell>
          <cell r="D371" t="str">
            <v>復活の捕食者</v>
          </cell>
          <cell r="E371" t="str">
            <v>ドロップイベント3（マルチ専用）</v>
          </cell>
          <cell r="F371">
            <v>1</v>
          </cell>
          <cell r="G371" t="str">
            <v>ja</v>
          </cell>
          <cell r="H371" t="str">
            <v>【超級】復活の捕食者</v>
          </cell>
          <cell r="I371" t="str">
            <v>超級</v>
          </cell>
          <cell r="J371">
            <v>312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2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30009_2</v>
          </cell>
          <cell r="B372">
            <v>3</v>
          </cell>
          <cell r="C372">
            <v>30009</v>
          </cell>
          <cell r="D372" t="str">
            <v>復活の捕食者</v>
          </cell>
          <cell r="E372" t="str">
            <v>ドロップイベント3（マルチ専用）</v>
          </cell>
          <cell r="F372">
            <v>2</v>
          </cell>
          <cell r="G372" t="str">
            <v>ja</v>
          </cell>
          <cell r="H372" t="str">
            <v>【超絶級】復活の捕食者</v>
          </cell>
          <cell r="I372" t="str">
            <v>超絶級</v>
          </cell>
          <cell r="J372">
            <v>312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2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30010_1</v>
          </cell>
          <cell r="B373">
            <v>3</v>
          </cell>
          <cell r="C373">
            <v>30010</v>
          </cell>
          <cell r="D373" t="str">
            <v>最大最凶</v>
          </cell>
          <cell r="E373" t="str">
            <v>ドロップイベント3（マルチ専用）</v>
          </cell>
          <cell r="F373">
            <v>1</v>
          </cell>
          <cell r="G373" t="str">
            <v>ja</v>
          </cell>
          <cell r="H373" t="str">
            <v>【上級】最大最凶</v>
          </cell>
          <cell r="I373" t="str">
            <v>上級</v>
          </cell>
          <cell r="J373">
            <v>306</v>
          </cell>
          <cell r="K373">
            <v>20</v>
          </cell>
          <cell r="L373">
            <v>2000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</v>
          </cell>
          <cell r="AD373">
            <v>7</v>
          </cell>
          <cell r="AE373" t="str">
            <v>everyone</v>
          </cell>
        </row>
        <row r="374">
          <cell r="A374" t="str">
            <v>30010_2</v>
          </cell>
          <cell r="B374">
            <v>3</v>
          </cell>
          <cell r="C374">
            <v>30010</v>
          </cell>
          <cell r="D374" t="str">
            <v>最大最凶</v>
          </cell>
          <cell r="E374" t="str">
            <v>ドロップイベント3（マルチ専用）</v>
          </cell>
          <cell r="F374">
            <v>2</v>
          </cell>
          <cell r="G374" t="str">
            <v>ja</v>
          </cell>
          <cell r="H374" t="str">
            <v>【超級】最大最凶</v>
          </cell>
          <cell r="I374" t="str">
            <v>超級</v>
          </cell>
          <cell r="J374">
            <v>306</v>
          </cell>
          <cell r="K374">
            <v>30</v>
          </cell>
          <cell r="L374">
            <v>3300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</v>
          </cell>
          <cell r="AD374">
            <v>7</v>
          </cell>
          <cell r="AE374" t="str">
            <v>everyone</v>
          </cell>
        </row>
        <row r="375">
          <cell r="A375" t="str">
            <v>30010_3</v>
          </cell>
          <cell r="B375">
            <v>3</v>
          </cell>
          <cell r="C375">
            <v>30010</v>
          </cell>
          <cell r="D375" t="str">
            <v>最大最凶</v>
          </cell>
          <cell r="E375" t="str">
            <v>ドロップイベント3（マルチ専用）</v>
          </cell>
          <cell r="F375">
            <v>3</v>
          </cell>
          <cell r="G375" t="str">
            <v>ja</v>
          </cell>
          <cell r="H375" t="str">
            <v>【超絶級】最大最凶</v>
          </cell>
          <cell r="I375" t="str">
            <v>超絶級</v>
          </cell>
          <cell r="J375">
            <v>306</v>
          </cell>
          <cell r="K375">
            <v>35</v>
          </cell>
          <cell r="L375">
            <v>4200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</v>
          </cell>
          <cell r="AD375">
            <v>7</v>
          </cell>
          <cell r="AE375" t="str">
            <v>everyone</v>
          </cell>
        </row>
        <row r="376">
          <cell r="A376" t="str">
            <v>30011_1</v>
          </cell>
          <cell r="B376">
            <v>3</v>
          </cell>
          <cell r="C376">
            <v>30011</v>
          </cell>
          <cell r="D376" t="str">
            <v>気怠い巨読者</v>
          </cell>
          <cell r="E376" t="str">
            <v>ドロップイベント3（マルチ専用）</v>
          </cell>
          <cell r="F376">
            <v>1</v>
          </cell>
          <cell r="G376" t="str">
            <v>ja</v>
          </cell>
          <cell r="H376" t="str">
            <v>【上級】気怠い巨読者</v>
          </cell>
          <cell r="I376" t="str">
            <v>上級</v>
          </cell>
          <cell r="J376">
            <v>308</v>
          </cell>
          <cell r="K376">
            <v>20</v>
          </cell>
          <cell r="L376">
            <v>2000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2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19</v>
          </cell>
          <cell r="AD376">
            <v>6</v>
          </cell>
          <cell r="AE376" t="str">
            <v>everyone</v>
          </cell>
        </row>
        <row r="377">
          <cell r="A377" t="str">
            <v>30011_2</v>
          </cell>
          <cell r="B377">
            <v>3</v>
          </cell>
          <cell r="C377">
            <v>30011</v>
          </cell>
          <cell r="D377" t="str">
            <v>気怠い巨読者</v>
          </cell>
          <cell r="E377" t="str">
            <v>ドロップイベント3（マルチ専用）</v>
          </cell>
          <cell r="F377">
            <v>2</v>
          </cell>
          <cell r="G377" t="str">
            <v>ja</v>
          </cell>
          <cell r="H377" t="str">
            <v>【超級】気怠い巨読者</v>
          </cell>
          <cell r="I377" t="str">
            <v>超級</v>
          </cell>
          <cell r="J377">
            <v>308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2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19</v>
          </cell>
          <cell r="AD377">
            <v>6</v>
          </cell>
          <cell r="AE377" t="str">
            <v>everyone</v>
          </cell>
        </row>
        <row r="378">
          <cell r="A378" t="str">
            <v>30011_3</v>
          </cell>
          <cell r="B378">
            <v>3</v>
          </cell>
          <cell r="C378">
            <v>30011</v>
          </cell>
          <cell r="D378" t="str">
            <v>気怠い巨読者</v>
          </cell>
          <cell r="E378" t="str">
            <v>ドロップイベント3（マルチ専用）</v>
          </cell>
          <cell r="F378">
            <v>3</v>
          </cell>
          <cell r="G378" t="str">
            <v>ja</v>
          </cell>
          <cell r="H378" t="str">
            <v>【超絶級】気怠い巨読者</v>
          </cell>
          <cell r="I378" t="str">
            <v>超絶級</v>
          </cell>
          <cell r="J378">
            <v>309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2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19</v>
          </cell>
          <cell r="AD378">
            <v>6</v>
          </cell>
          <cell r="AE378" t="str">
            <v>everyone</v>
          </cell>
        </row>
        <row r="379">
          <cell r="A379" t="str">
            <v>30012_1</v>
          </cell>
          <cell r="B379">
            <v>3</v>
          </cell>
          <cell r="C379">
            <v>30012</v>
          </cell>
          <cell r="D379" t="str">
            <v>底なしの胃袋</v>
          </cell>
          <cell r="E379" t="str">
            <v>ドロップイベント3（マルチ専用）</v>
          </cell>
          <cell r="F379">
            <v>1</v>
          </cell>
          <cell r="G379" t="str">
            <v>ja</v>
          </cell>
          <cell r="H379" t="str">
            <v>【上級】底なしの胃袋</v>
          </cell>
          <cell r="I379" t="str">
            <v>上級</v>
          </cell>
          <cell r="J379">
            <v>310</v>
          </cell>
          <cell r="K379">
            <v>20</v>
          </cell>
          <cell r="L379">
            <v>2000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0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5</v>
          </cell>
          <cell r="AD379">
            <v>6</v>
          </cell>
          <cell r="AE379" t="str">
            <v>everyone</v>
          </cell>
        </row>
        <row r="380">
          <cell r="A380" t="str">
            <v>30012_2</v>
          </cell>
          <cell r="B380">
            <v>3</v>
          </cell>
          <cell r="C380">
            <v>30012</v>
          </cell>
          <cell r="D380" t="str">
            <v>底なしの胃袋</v>
          </cell>
          <cell r="E380" t="str">
            <v>ドロップイベント3（マルチ専用）</v>
          </cell>
          <cell r="F380">
            <v>2</v>
          </cell>
          <cell r="G380" t="str">
            <v>ja</v>
          </cell>
          <cell r="H380" t="str">
            <v>【超級】底なしの胃袋</v>
          </cell>
          <cell r="I380" t="str">
            <v>超級</v>
          </cell>
          <cell r="J380">
            <v>310</v>
          </cell>
          <cell r="K380">
            <v>30</v>
          </cell>
          <cell r="L380">
            <v>3300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0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5</v>
          </cell>
          <cell r="AD380">
            <v>6</v>
          </cell>
          <cell r="AE380" t="str">
            <v>everyone</v>
          </cell>
        </row>
        <row r="381">
          <cell r="A381" t="str">
            <v>30012_3</v>
          </cell>
          <cell r="B381">
            <v>3</v>
          </cell>
          <cell r="C381">
            <v>30012</v>
          </cell>
          <cell r="D381" t="str">
            <v>底なしの胃袋</v>
          </cell>
          <cell r="E381" t="str">
            <v>ドロップイベント3（マルチ専用）</v>
          </cell>
          <cell r="F381">
            <v>3</v>
          </cell>
          <cell r="G381" t="str">
            <v>ja</v>
          </cell>
          <cell r="H381" t="str">
            <v>【超絶級】底なしの胃袋</v>
          </cell>
          <cell r="I381" t="str">
            <v>超絶級</v>
          </cell>
          <cell r="J381">
            <v>310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0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5</v>
          </cell>
          <cell r="AD381">
            <v>6</v>
          </cell>
          <cell r="AE381" t="str">
            <v>everyone</v>
          </cell>
        </row>
        <row r="382">
          <cell r="A382" t="str">
            <v>30013_1</v>
          </cell>
          <cell r="B382">
            <v>3</v>
          </cell>
          <cell r="C382">
            <v>30013</v>
          </cell>
          <cell r="D382" t="str">
            <v>決戦・竜宮城</v>
          </cell>
          <cell r="E382" t="str">
            <v>ドロップイベント4（マルチ専用）</v>
          </cell>
          <cell r="F382">
            <v>1</v>
          </cell>
          <cell r="G382" t="str">
            <v>ja</v>
          </cell>
          <cell r="H382" t="str">
            <v>【超級】決戦・竜宮城</v>
          </cell>
          <cell r="I382" t="str">
            <v>超級</v>
          </cell>
          <cell r="J382">
            <v>418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17</v>
          </cell>
          <cell r="AD382">
            <v>6</v>
          </cell>
          <cell r="AE382" t="str">
            <v>everyone</v>
          </cell>
        </row>
        <row r="383">
          <cell r="A383" t="str">
            <v>30013_2</v>
          </cell>
          <cell r="B383">
            <v>3</v>
          </cell>
          <cell r="C383">
            <v>30013</v>
          </cell>
          <cell r="D383" t="str">
            <v>決戦・竜宮城</v>
          </cell>
          <cell r="E383" t="str">
            <v>ドロップイベント4（マルチ専用）</v>
          </cell>
          <cell r="F383">
            <v>2</v>
          </cell>
          <cell r="G383" t="str">
            <v>ja</v>
          </cell>
          <cell r="H383" t="str">
            <v>【超絶級】決戦・竜宮城</v>
          </cell>
          <cell r="I383" t="str">
            <v>超絶級</v>
          </cell>
          <cell r="J383">
            <v>419</v>
          </cell>
          <cell r="K383">
            <v>35</v>
          </cell>
          <cell r="L383">
            <v>4200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17</v>
          </cell>
          <cell r="AD383">
            <v>6</v>
          </cell>
          <cell r="AE383" t="str">
            <v>everyone</v>
          </cell>
        </row>
        <row r="384">
          <cell r="A384" t="str">
            <v>30014_1</v>
          </cell>
          <cell r="B384">
            <v>3</v>
          </cell>
          <cell r="C384">
            <v>30014</v>
          </cell>
          <cell r="D384" t="str">
            <v>親指を突き立てろ！</v>
          </cell>
          <cell r="E384" t="str">
            <v>ドロップイベント4（マルチ専用）</v>
          </cell>
          <cell r="F384">
            <v>1</v>
          </cell>
          <cell r="G384" t="str">
            <v>ja</v>
          </cell>
          <cell r="H384" t="str">
            <v>【超級】親指を突き立てろ！</v>
          </cell>
          <cell r="I384" t="str">
            <v>超級</v>
          </cell>
          <cell r="J384">
            <v>420</v>
          </cell>
          <cell r="K384">
            <v>30</v>
          </cell>
          <cell r="L384">
            <v>3300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23</v>
          </cell>
          <cell r="AD384">
            <v>5</v>
          </cell>
          <cell r="AE384" t="str">
            <v>everyone</v>
          </cell>
        </row>
        <row r="385">
          <cell r="A385" t="str">
            <v>30014_2</v>
          </cell>
          <cell r="B385">
            <v>3</v>
          </cell>
          <cell r="C385">
            <v>30014</v>
          </cell>
          <cell r="D385" t="str">
            <v>親指を突き立てろ！</v>
          </cell>
          <cell r="E385" t="str">
            <v>ドロップイベント4（マルチ専用）</v>
          </cell>
          <cell r="F385">
            <v>2</v>
          </cell>
          <cell r="G385" t="str">
            <v>ja</v>
          </cell>
          <cell r="H385" t="str">
            <v>【超絶級】親指を突き立てろ！</v>
          </cell>
          <cell r="I385" t="str">
            <v>超絶級</v>
          </cell>
          <cell r="J385">
            <v>421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23</v>
          </cell>
          <cell r="AD385">
            <v>5</v>
          </cell>
          <cell r="AE385" t="str">
            <v>everyone</v>
          </cell>
        </row>
        <row r="386">
          <cell r="A386" t="str">
            <v>30015_1</v>
          </cell>
          <cell r="B386">
            <v>3</v>
          </cell>
          <cell r="C386">
            <v>30015</v>
          </cell>
          <cell r="D386" t="str">
            <v>兄妹の大冒険</v>
          </cell>
          <cell r="E386" t="str">
            <v>ドロップイベント4（マルチ専用）</v>
          </cell>
          <cell r="F386">
            <v>1</v>
          </cell>
          <cell r="G386" t="str">
            <v>ja</v>
          </cell>
          <cell r="H386" t="str">
            <v>【超級】兄妹の大冒険</v>
          </cell>
          <cell r="I386" t="str">
            <v>超級</v>
          </cell>
          <cell r="J386">
            <v>422</v>
          </cell>
          <cell r="K386">
            <v>30</v>
          </cell>
          <cell r="L386">
            <v>3300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16</v>
          </cell>
          <cell r="AD386">
            <v>6</v>
          </cell>
          <cell r="AE386" t="str">
            <v>everyone</v>
          </cell>
        </row>
        <row r="387">
          <cell r="A387" t="str">
            <v>30015_2</v>
          </cell>
          <cell r="B387">
            <v>3</v>
          </cell>
          <cell r="C387">
            <v>30015</v>
          </cell>
          <cell r="D387" t="str">
            <v>兄妹の大冒険</v>
          </cell>
          <cell r="E387" t="str">
            <v>ドロップイベント4（マルチ専用）</v>
          </cell>
          <cell r="F387">
            <v>2</v>
          </cell>
          <cell r="G387" t="str">
            <v>ja</v>
          </cell>
          <cell r="H387" t="str">
            <v>【超絶級】兄妹の大冒険</v>
          </cell>
          <cell r="I387" t="str">
            <v>超絶級</v>
          </cell>
          <cell r="J387">
            <v>423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16</v>
          </cell>
          <cell r="AD387">
            <v>6</v>
          </cell>
          <cell r="AE387" t="str">
            <v>everyone</v>
          </cell>
        </row>
        <row r="388">
          <cell r="A388" t="str">
            <v>30016_1</v>
          </cell>
          <cell r="B388">
            <v>3</v>
          </cell>
          <cell r="C388">
            <v>30016</v>
          </cell>
          <cell r="D388" t="str">
            <v>私がワニの天敵よ？</v>
          </cell>
          <cell r="E388" t="str">
            <v>ドロップイベント4（マルチ専用）</v>
          </cell>
          <cell r="F388">
            <v>1</v>
          </cell>
          <cell r="G388" t="str">
            <v>ja</v>
          </cell>
          <cell r="H388" t="str">
            <v>【超級】私がワニの天敵よ？</v>
          </cell>
          <cell r="I388" t="str">
            <v>超級</v>
          </cell>
          <cell r="J388">
            <v>424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4</v>
          </cell>
          <cell r="AD388">
            <v>6</v>
          </cell>
          <cell r="AE388" t="str">
            <v>everyone</v>
          </cell>
        </row>
        <row r="389">
          <cell r="A389" t="str">
            <v>30016_2</v>
          </cell>
          <cell r="B389">
            <v>3</v>
          </cell>
          <cell r="C389">
            <v>30016</v>
          </cell>
          <cell r="D389" t="str">
            <v>私がワニの天敵よ？</v>
          </cell>
          <cell r="E389" t="str">
            <v>ドロップイベント4（マルチ専用）</v>
          </cell>
          <cell r="F389">
            <v>2</v>
          </cell>
          <cell r="G389" t="str">
            <v>ja</v>
          </cell>
          <cell r="H389" t="str">
            <v>【超絶級】私がワニの天敵よ？</v>
          </cell>
          <cell r="I389" t="str">
            <v>超絶級</v>
          </cell>
          <cell r="J389">
            <v>425</v>
          </cell>
          <cell r="K389">
            <v>35</v>
          </cell>
          <cell r="L389">
            <v>4200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4</v>
          </cell>
          <cell r="AD389">
            <v>6</v>
          </cell>
          <cell r="AE389" t="str">
            <v>everyone</v>
          </cell>
        </row>
        <row r="390">
          <cell r="A390" t="str">
            <v>30017_1</v>
          </cell>
          <cell r="B390">
            <v>3</v>
          </cell>
          <cell r="C390">
            <v>30017</v>
          </cell>
          <cell r="D390" t="str">
            <v>狩人の挽歌</v>
          </cell>
          <cell r="E390" t="str">
            <v>ドロップイベント5（マルチ専用）</v>
          </cell>
          <cell r="F390">
            <v>1</v>
          </cell>
          <cell r="G390" t="str">
            <v>ja</v>
          </cell>
          <cell r="H390" t="str">
            <v>【超級】狩人の挽歌</v>
          </cell>
          <cell r="I390" t="str">
            <v>超級</v>
          </cell>
          <cell r="J390">
            <v>452</v>
          </cell>
          <cell r="K390">
            <v>30</v>
          </cell>
          <cell r="L390">
            <v>3300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20</v>
          </cell>
          <cell r="AD390">
            <v>6</v>
          </cell>
          <cell r="AE390" t="str">
            <v>multionly</v>
          </cell>
        </row>
        <row r="391">
          <cell r="A391" t="str">
            <v>30017_2</v>
          </cell>
          <cell r="B391">
            <v>3</v>
          </cell>
          <cell r="C391">
            <v>30017</v>
          </cell>
          <cell r="D391" t="str">
            <v>狩人の挽歌</v>
          </cell>
          <cell r="E391" t="str">
            <v>ドロップイベント5（マルチ専用）</v>
          </cell>
          <cell r="F391">
            <v>2</v>
          </cell>
          <cell r="G391" t="str">
            <v>ja</v>
          </cell>
          <cell r="H391" t="str">
            <v>【超絶級】狩人の挽歌</v>
          </cell>
          <cell r="I391" t="str">
            <v>超絶級</v>
          </cell>
          <cell r="J391">
            <v>453</v>
          </cell>
          <cell r="K391">
            <v>35</v>
          </cell>
          <cell r="L391">
            <v>4200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20</v>
          </cell>
          <cell r="AD391">
            <v>6</v>
          </cell>
          <cell r="AE391" t="str">
            <v>multionly</v>
          </cell>
        </row>
        <row r="392">
          <cell r="A392" t="str">
            <v>30018_1</v>
          </cell>
          <cell r="B392">
            <v>3</v>
          </cell>
          <cell r="C392">
            <v>30018</v>
          </cell>
          <cell r="D392" t="str">
            <v>バックストリートファイト</v>
          </cell>
          <cell r="E392" t="str">
            <v>ドロップイベント5（マルチ専用）</v>
          </cell>
          <cell r="F392">
            <v>1</v>
          </cell>
          <cell r="G392" t="str">
            <v>ja</v>
          </cell>
          <cell r="H392" t="str">
            <v>【超級】バックストリートファイト</v>
          </cell>
          <cell r="I392" t="str">
            <v>超級</v>
          </cell>
          <cell r="J392">
            <v>454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0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14</v>
          </cell>
          <cell r="AD392">
            <v>6</v>
          </cell>
          <cell r="AE392" t="str">
            <v>everyone</v>
          </cell>
        </row>
        <row r="393">
          <cell r="A393" t="str">
            <v>30018_2</v>
          </cell>
          <cell r="B393">
            <v>3</v>
          </cell>
          <cell r="C393">
            <v>30018</v>
          </cell>
          <cell r="D393" t="str">
            <v>バックストリートファイト</v>
          </cell>
          <cell r="E393" t="str">
            <v>ドロップイベント5（マルチ専用）</v>
          </cell>
          <cell r="F393">
            <v>2</v>
          </cell>
          <cell r="G393" t="str">
            <v>ja</v>
          </cell>
          <cell r="H393" t="str">
            <v>【超絶級】バックストリートファイト</v>
          </cell>
          <cell r="I393" t="str">
            <v>超絶級</v>
          </cell>
          <cell r="J393">
            <v>455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0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14</v>
          </cell>
          <cell r="AD393">
            <v>6</v>
          </cell>
          <cell r="AE393" t="str">
            <v>everyone</v>
          </cell>
        </row>
        <row r="394">
          <cell r="A394" t="str">
            <v>30019_1</v>
          </cell>
          <cell r="B394">
            <v>3</v>
          </cell>
          <cell r="C394">
            <v>30019</v>
          </cell>
          <cell r="D394" t="str">
            <v>狙撃は終わらない</v>
          </cell>
          <cell r="E394" t="str">
            <v>ドロップイベント5（マルチ専用）</v>
          </cell>
          <cell r="F394">
            <v>1</v>
          </cell>
          <cell r="G394" t="str">
            <v>ja</v>
          </cell>
          <cell r="H394" t="str">
            <v>【超級】狙撃は終わらない</v>
          </cell>
          <cell r="I394" t="str">
            <v>超級</v>
          </cell>
          <cell r="J394">
            <v>456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24</v>
          </cell>
          <cell r="AD394">
            <v>6</v>
          </cell>
          <cell r="AE394" t="str">
            <v>multionly</v>
          </cell>
        </row>
        <row r="395">
          <cell r="A395" t="str">
            <v>30019_2</v>
          </cell>
          <cell r="B395">
            <v>3</v>
          </cell>
          <cell r="C395">
            <v>30019</v>
          </cell>
          <cell r="D395" t="str">
            <v>狙撃は終わらない</v>
          </cell>
          <cell r="E395" t="str">
            <v>ドロップイベント5（マルチ専用）</v>
          </cell>
          <cell r="F395">
            <v>2</v>
          </cell>
          <cell r="G395" t="str">
            <v>ja</v>
          </cell>
          <cell r="H395" t="str">
            <v>【超絶級】狙撃は終わらない</v>
          </cell>
          <cell r="I395" t="str">
            <v>超絶級</v>
          </cell>
          <cell r="J395">
            <v>457</v>
          </cell>
          <cell r="K395">
            <v>35</v>
          </cell>
          <cell r="L395">
            <v>4200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24</v>
          </cell>
          <cell r="AD395">
            <v>6</v>
          </cell>
          <cell r="AE395" t="str">
            <v>multionly</v>
          </cell>
        </row>
        <row r="396">
          <cell r="A396" t="str">
            <v>30020_1</v>
          </cell>
          <cell r="B396">
            <v>3</v>
          </cell>
          <cell r="C396">
            <v>30020</v>
          </cell>
          <cell r="D396" t="str">
            <v>若造よ、身の程を知れ</v>
          </cell>
          <cell r="E396" t="str">
            <v>ドロップイベント5（マルチ専用）</v>
          </cell>
          <cell r="F396">
            <v>1</v>
          </cell>
          <cell r="G396" t="str">
            <v>ja</v>
          </cell>
          <cell r="H396" t="str">
            <v>【超級】若造よ、身の程を知れ</v>
          </cell>
          <cell r="I396" t="str">
            <v>超級</v>
          </cell>
          <cell r="J396">
            <v>458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13</v>
          </cell>
          <cell r="AD396">
            <v>6</v>
          </cell>
          <cell r="AE396" t="str">
            <v>everyone</v>
          </cell>
        </row>
        <row r="397">
          <cell r="A397" t="str">
            <v>30020_2</v>
          </cell>
          <cell r="B397">
            <v>3</v>
          </cell>
          <cell r="C397">
            <v>30020</v>
          </cell>
          <cell r="D397" t="str">
            <v>若造よ、身の程を知れ</v>
          </cell>
          <cell r="E397" t="str">
            <v>ドロップイベント5（マルチ専用）</v>
          </cell>
          <cell r="F397">
            <v>2</v>
          </cell>
          <cell r="G397" t="str">
            <v>ja</v>
          </cell>
          <cell r="H397" t="str">
            <v>【超絶級】若造よ、身の程を知れ</v>
          </cell>
          <cell r="I397" t="str">
            <v>超絶級</v>
          </cell>
          <cell r="J397">
            <v>459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13</v>
          </cell>
          <cell r="AD397">
            <v>6</v>
          </cell>
          <cell r="AE397" t="str">
            <v>everyone</v>
          </cell>
        </row>
        <row r="398">
          <cell r="A398" t="str">
            <v>30021_1</v>
          </cell>
          <cell r="B398">
            <v>3</v>
          </cell>
          <cell r="C398">
            <v>30021</v>
          </cell>
          <cell r="D398" t="str">
            <v>野獣死すべしっ！</v>
          </cell>
          <cell r="E398" t="str">
            <v>ドロップイベント6（マルチ専用）</v>
          </cell>
          <cell r="F398">
            <v>1</v>
          </cell>
          <cell r="G398" t="str">
            <v>ja</v>
          </cell>
          <cell r="H398" t="str">
            <v>【中級】野獣死すべしっ！</v>
          </cell>
          <cell r="I398" t="str">
            <v>中級</v>
          </cell>
          <cell r="J398">
            <v>502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0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30021_2</v>
          </cell>
          <cell r="B399">
            <v>3</v>
          </cell>
          <cell r="C399">
            <v>30021</v>
          </cell>
          <cell r="D399" t="str">
            <v>野獣死すべしっ！</v>
          </cell>
          <cell r="E399" t="str">
            <v>ドロップイベント6（マルチ専用）</v>
          </cell>
          <cell r="F399">
            <v>2</v>
          </cell>
          <cell r="G399" t="str">
            <v>ja</v>
          </cell>
          <cell r="H399" t="str">
            <v>【上級】野獣死すべしっ！</v>
          </cell>
          <cell r="I399" t="str">
            <v>上級</v>
          </cell>
          <cell r="J399">
            <v>502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0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14</v>
          </cell>
          <cell r="AD399">
            <v>6</v>
          </cell>
          <cell r="AE399" t="str">
            <v>everyone</v>
          </cell>
        </row>
        <row r="400">
          <cell r="A400" t="str">
            <v>30021_3</v>
          </cell>
          <cell r="B400">
            <v>3</v>
          </cell>
          <cell r="C400">
            <v>30021</v>
          </cell>
          <cell r="D400" t="str">
            <v>野獣死すべしっ！</v>
          </cell>
          <cell r="E400" t="str">
            <v>ドロップイベント6（マルチ専用）</v>
          </cell>
          <cell r="F400">
            <v>3</v>
          </cell>
          <cell r="G400" t="str">
            <v>ja</v>
          </cell>
          <cell r="H400" t="str">
            <v>【超級】野獣死すべしっ！</v>
          </cell>
          <cell r="I400" t="str">
            <v>超級</v>
          </cell>
          <cell r="J400">
            <v>503</v>
          </cell>
          <cell r="K400">
            <v>30</v>
          </cell>
          <cell r="L400">
            <v>3300</v>
          </cell>
          <cell r="M400">
            <v>1</v>
          </cell>
          <cell r="N400">
            <v>1</v>
          </cell>
          <cell r="O400">
            <v>0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30022_1</v>
          </cell>
          <cell r="B401">
            <v>3</v>
          </cell>
          <cell r="C401">
            <v>30022</v>
          </cell>
          <cell r="D401" t="str">
            <v>凶鼠ネコを咬む</v>
          </cell>
          <cell r="E401" t="str">
            <v>ドロップイベント6（マルチ専用）</v>
          </cell>
          <cell r="F401">
            <v>1</v>
          </cell>
          <cell r="G401" t="str">
            <v>ja</v>
          </cell>
          <cell r="H401" t="str">
            <v>【超級】凶鼠ネコを咬む</v>
          </cell>
          <cell r="I401" t="str">
            <v>超級</v>
          </cell>
          <cell r="J401">
            <v>504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6</v>
          </cell>
          <cell r="AD401">
            <v>6</v>
          </cell>
          <cell r="AE401" t="str">
            <v>everyone</v>
          </cell>
        </row>
        <row r="402">
          <cell r="A402" t="str">
            <v>30022_2</v>
          </cell>
          <cell r="B402">
            <v>3</v>
          </cell>
          <cell r="C402">
            <v>30022</v>
          </cell>
          <cell r="D402" t="str">
            <v>凶鼠ネコを咬む</v>
          </cell>
          <cell r="E402" t="str">
            <v>ドロップイベント6（マルチ専用）</v>
          </cell>
          <cell r="F402">
            <v>2</v>
          </cell>
          <cell r="G402" t="str">
            <v>ja</v>
          </cell>
          <cell r="H402" t="str">
            <v>【超絶級】凶鼠ネコを咬む</v>
          </cell>
          <cell r="I402" t="str">
            <v>超絶級</v>
          </cell>
          <cell r="J402">
            <v>505</v>
          </cell>
          <cell r="K402">
            <v>35</v>
          </cell>
          <cell r="L402">
            <v>4200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6</v>
          </cell>
          <cell r="AD402">
            <v>6</v>
          </cell>
          <cell r="AE402" t="str">
            <v>everyone</v>
          </cell>
        </row>
        <row r="403">
          <cell r="A403" t="str">
            <v>30023_1</v>
          </cell>
          <cell r="B403">
            <v>3</v>
          </cell>
          <cell r="C403">
            <v>30023</v>
          </cell>
          <cell r="D403" t="str">
            <v>隔離からのエスケイプ</v>
          </cell>
          <cell r="E403" t="str">
            <v>ドロップイベント6（マルチ専用）</v>
          </cell>
          <cell r="F403">
            <v>1</v>
          </cell>
          <cell r="G403" t="str">
            <v>ja</v>
          </cell>
          <cell r="H403" t="str">
            <v>【中級】隔離からのエスケイプ</v>
          </cell>
          <cell r="I403" t="str">
            <v>中級</v>
          </cell>
          <cell r="J403">
            <v>506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25</v>
          </cell>
          <cell r="AD403">
            <v>6</v>
          </cell>
          <cell r="AE403" t="str">
            <v>everyone</v>
          </cell>
        </row>
        <row r="404">
          <cell r="A404" t="str">
            <v>30023_2</v>
          </cell>
          <cell r="B404">
            <v>3</v>
          </cell>
          <cell r="C404">
            <v>30023</v>
          </cell>
          <cell r="D404" t="str">
            <v>隔離からのエスケイプ</v>
          </cell>
          <cell r="E404" t="str">
            <v>ドロップイベント6（マルチ専用）</v>
          </cell>
          <cell r="F404">
            <v>2</v>
          </cell>
          <cell r="G404" t="str">
            <v>ja</v>
          </cell>
          <cell r="H404" t="str">
            <v>【上級】隔離からのエスケイプ</v>
          </cell>
          <cell r="I404" t="str">
            <v>上級</v>
          </cell>
          <cell r="J404">
            <v>506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25</v>
          </cell>
          <cell r="AD404">
            <v>6</v>
          </cell>
          <cell r="AE404" t="str">
            <v>everyone</v>
          </cell>
        </row>
        <row r="405">
          <cell r="A405" t="str">
            <v>30023_3</v>
          </cell>
          <cell r="B405">
            <v>3</v>
          </cell>
          <cell r="C405">
            <v>30023</v>
          </cell>
          <cell r="D405" t="str">
            <v>隔離からのエスケイプ</v>
          </cell>
          <cell r="E405" t="str">
            <v>ドロップイベント6（マルチ専用）</v>
          </cell>
          <cell r="F405">
            <v>3</v>
          </cell>
          <cell r="G405" t="str">
            <v>ja</v>
          </cell>
          <cell r="H405" t="str">
            <v>【超級】隔離からのエスケイプ</v>
          </cell>
          <cell r="I405" t="str">
            <v>超級</v>
          </cell>
          <cell r="J405">
            <v>507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25</v>
          </cell>
          <cell r="AD405">
            <v>6</v>
          </cell>
          <cell r="AE405" t="str">
            <v>everyone</v>
          </cell>
        </row>
        <row r="406">
          <cell r="A406" t="str">
            <v>30024_1</v>
          </cell>
          <cell r="B406">
            <v>3</v>
          </cell>
          <cell r="C406">
            <v>30024</v>
          </cell>
          <cell r="D406" t="str">
            <v>雷鎚の選定</v>
          </cell>
          <cell r="E406" t="str">
            <v>ドロップイベント7（マルチ専用）</v>
          </cell>
          <cell r="F406">
            <v>1</v>
          </cell>
          <cell r="G406" t="str">
            <v>ja</v>
          </cell>
          <cell r="H406" t="str">
            <v>【中級】雷鎚の選定</v>
          </cell>
          <cell r="I406" t="str">
            <v>中級</v>
          </cell>
          <cell r="J406">
            <v>583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20</v>
          </cell>
          <cell r="AD406">
            <v>6</v>
          </cell>
          <cell r="AE406" t="str">
            <v>multionly</v>
          </cell>
        </row>
        <row r="407">
          <cell r="A407" t="str">
            <v>30024_2</v>
          </cell>
          <cell r="B407">
            <v>3</v>
          </cell>
          <cell r="C407">
            <v>30024</v>
          </cell>
          <cell r="D407" t="str">
            <v>雷鎚の選定</v>
          </cell>
          <cell r="E407" t="str">
            <v>ドロップイベント7（マルチ専用）</v>
          </cell>
          <cell r="F407">
            <v>2</v>
          </cell>
          <cell r="G407" t="str">
            <v>ja</v>
          </cell>
          <cell r="H407" t="str">
            <v>【上級】雷鎚の選定</v>
          </cell>
          <cell r="I407" t="str">
            <v>上級</v>
          </cell>
          <cell r="J407">
            <v>583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20</v>
          </cell>
          <cell r="AD407">
            <v>6</v>
          </cell>
          <cell r="AE407" t="str">
            <v>multionly</v>
          </cell>
        </row>
        <row r="408">
          <cell r="A408" t="str">
            <v>30024_3</v>
          </cell>
          <cell r="B408">
            <v>3</v>
          </cell>
          <cell r="C408">
            <v>30024</v>
          </cell>
          <cell r="D408" t="str">
            <v>雷鎚の選定</v>
          </cell>
          <cell r="E408" t="str">
            <v>ドロップイベント7（マルチ専用）</v>
          </cell>
          <cell r="F408">
            <v>3</v>
          </cell>
          <cell r="G408" t="str">
            <v>ja</v>
          </cell>
          <cell r="H408" t="str">
            <v>【超級】雷鎚の選定</v>
          </cell>
          <cell r="I408" t="str">
            <v>超級</v>
          </cell>
          <cell r="J408">
            <v>584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20</v>
          </cell>
          <cell r="AD408">
            <v>6</v>
          </cell>
          <cell r="AE408" t="str">
            <v>multionly</v>
          </cell>
        </row>
        <row r="409">
          <cell r="A409" t="str">
            <v>30025_1</v>
          </cell>
          <cell r="B409">
            <v>3</v>
          </cell>
          <cell r="C409">
            <v>30025</v>
          </cell>
          <cell r="D409" t="str">
            <v>真実の探求者</v>
          </cell>
          <cell r="E409" t="str">
            <v>ドロップイベント7（マルチ専用）</v>
          </cell>
          <cell r="F409">
            <v>1</v>
          </cell>
          <cell r="G409" t="str">
            <v>ja</v>
          </cell>
          <cell r="H409" t="str">
            <v>【中級】真実の探求者</v>
          </cell>
          <cell r="I409" t="str">
            <v>中級</v>
          </cell>
          <cell r="J409">
            <v>579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7</v>
          </cell>
          <cell r="AD409">
            <v>6</v>
          </cell>
          <cell r="AE409" t="str">
            <v>everyone</v>
          </cell>
        </row>
        <row r="410">
          <cell r="A410" t="str">
            <v>30025_2</v>
          </cell>
          <cell r="B410">
            <v>3</v>
          </cell>
          <cell r="C410">
            <v>30025</v>
          </cell>
          <cell r="D410" t="str">
            <v>真実の探求者</v>
          </cell>
          <cell r="E410" t="str">
            <v>ドロップイベント7（マルチ専用）</v>
          </cell>
          <cell r="F410">
            <v>2</v>
          </cell>
          <cell r="G410" t="str">
            <v>ja</v>
          </cell>
          <cell r="H410" t="str">
            <v>【上級】真実の探求者</v>
          </cell>
          <cell r="I410" t="str">
            <v>上級</v>
          </cell>
          <cell r="J410">
            <v>579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7</v>
          </cell>
          <cell r="AD410">
            <v>6</v>
          </cell>
          <cell r="AE410" t="str">
            <v>everyone</v>
          </cell>
        </row>
        <row r="411">
          <cell r="A411" t="str">
            <v>30025_3</v>
          </cell>
          <cell r="B411">
            <v>3</v>
          </cell>
          <cell r="C411">
            <v>30025</v>
          </cell>
          <cell r="D411" t="str">
            <v>真実の探求者</v>
          </cell>
          <cell r="E411" t="str">
            <v>ドロップイベント7（マルチ専用）</v>
          </cell>
          <cell r="F411">
            <v>3</v>
          </cell>
          <cell r="G411" t="str">
            <v>ja</v>
          </cell>
          <cell r="H411" t="str">
            <v>【超級】真実の探求者</v>
          </cell>
          <cell r="I411" t="str">
            <v>超級</v>
          </cell>
          <cell r="J411">
            <v>580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30026_1</v>
          </cell>
          <cell r="B412">
            <v>1</v>
          </cell>
          <cell r="C412">
            <v>30026</v>
          </cell>
          <cell r="D412" t="str">
            <v>道を阻む妖精夫婦</v>
          </cell>
          <cell r="E412" t="str">
            <v>ドロップイベント7（マルチ専用）</v>
          </cell>
          <cell r="F412">
            <v>1</v>
          </cell>
          <cell r="G412" t="str">
            <v>ja</v>
          </cell>
          <cell r="H412" t="str">
            <v>【中級】道を阻む妖精夫婦</v>
          </cell>
          <cell r="I412" t="str">
            <v>中級</v>
          </cell>
          <cell r="J412">
            <v>577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21</v>
          </cell>
          <cell r="AD412">
            <v>6</v>
          </cell>
          <cell r="AE412" t="str">
            <v>everyone</v>
          </cell>
        </row>
        <row r="413">
          <cell r="A413" t="str">
            <v>30026_2</v>
          </cell>
          <cell r="B413">
            <v>1</v>
          </cell>
          <cell r="C413">
            <v>30026</v>
          </cell>
          <cell r="D413" t="str">
            <v>道を阻む妖精夫婦</v>
          </cell>
          <cell r="E413" t="str">
            <v>ドロップイベント7（マルチ専用）</v>
          </cell>
          <cell r="F413">
            <v>2</v>
          </cell>
          <cell r="G413" t="str">
            <v>ja</v>
          </cell>
          <cell r="H413" t="str">
            <v>【上級】道を阻む妖精夫婦</v>
          </cell>
          <cell r="I413" t="str">
            <v>上級</v>
          </cell>
          <cell r="J413">
            <v>577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21</v>
          </cell>
          <cell r="AD413">
            <v>6</v>
          </cell>
          <cell r="AE413" t="str">
            <v>everyone</v>
          </cell>
        </row>
        <row r="414">
          <cell r="A414" t="str">
            <v>30026_3</v>
          </cell>
          <cell r="B414">
            <v>1</v>
          </cell>
          <cell r="C414">
            <v>30026</v>
          </cell>
          <cell r="D414" t="str">
            <v>道を阻む妖精夫婦</v>
          </cell>
          <cell r="E414" t="str">
            <v>ドロップイベント7（マルチ専用）</v>
          </cell>
          <cell r="F414">
            <v>3</v>
          </cell>
          <cell r="G414" t="str">
            <v>ja</v>
          </cell>
          <cell r="H414" t="str">
            <v>【超級】道を阻む妖精夫婦</v>
          </cell>
          <cell r="I414" t="str">
            <v>超級</v>
          </cell>
          <cell r="J414">
            <v>578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21</v>
          </cell>
          <cell r="AD414">
            <v>6</v>
          </cell>
          <cell r="AE414" t="str">
            <v>everyone</v>
          </cell>
        </row>
        <row r="415">
          <cell r="A415" t="str">
            <v>30027_1</v>
          </cell>
          <cell r="B415">
            <v>1</v>
          </cell>
          <cell r="C415">
            <v>30027</v>
          </cell>
          <cell r="D415" t="str">
            <v>雪女クエスト</v>
          </cell>
          <cell r="E415" t="str">
            <v>ドロップイベント7（マルチ専用）</v>
          </cell>
          <cell r="F415">
            <v>1</v>
          </cell>
          <cell r="G415" t="str">
            <v>ja</v>
          </cell>
          <cell r="H415" t="str">
            <v>【中級】雪女クエスト</v>
          </cell>
          <cell r="I415" t="str">
            <v>中級</v>
          </cell>
          <cell r="J415">
            <v>1</v>
          </cell>
          <cell r="K415">
            <v>15</v>
          </cell>
          <cell r="L415">
            <v>1200</v>
          </cell>
          <cell r="M415">
            <v>0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7</v>
          </cell>
          <cell r="AD415">
            <v>6</v>
          </cell>
          <cell r="AE415" t="str">
            <v>everyone</v>
          </cell>
        </row>
        <row r="416">
          <cell r="A416" t="str">
            <v>30027_2</v>
          </cell>
          <cell r="B416">
            <v>1</v>
          </cell>
          <cell r="C416">
            <v>30027</v>
          </cell>
          <cell r="D416" t="str">
            <v>雪女クエスト</v>
          </cell>
          <cell r="E416" t="str">
            <v>ドロップイベント7（マルチ専用）</v>
          </cell>
          <cell r="F416">
            <v>2</v>
          </cell>
          <cell r="G416" t="str">
            <v>ja</v>
          </cell>
          <cell r="H416" t="str">
            <v>【上級】雪女クエスト</v>
          </cell>
          <cell r="I416" t="str">
            <v>上級</v>
          </cell>
          <cell r="J416">
            <v>2</v>
          </cell>
          <cell r="K416">
            <v>20</v>
          </cell>
          <cell r="L416">
            <v>2000</v>
          </cell>
          <cell r="M416">
            <v>0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7</v>
          </cell>
          <cell r="AD416">
            <v>6</v>
          </cell>
          <cell r="AE416" t="str">
            <v>everyone</v>
          </cell>
        </row>
        <row r="417">
          <cell r="A417" t="str">
            <v>30027_3</v>
          </cell>
          <cell r="B417">
            <v>1</v>
          </cell>
          <cell r="C417">
            <v>30027</v>
          </cell>
          <cell r="D417" t="str">
            <v>雪女クエスト</v>
          </cell>
          <cell r="E417" t="str">
            <v>ドロップイベント7（マルチ専用）</v>
          </cell>
          <cell r="F417">
            <v>3</v>
          </cell>
          <cell r="G417" t="str">
            <v>ja</v>
          </cell>
          <cell r="H417" t="str">
            <v>【超級】雪女クエスト</v>
          </cell>
          <cell r="I417" t="str">
            <v>超級</v>
          </cell>
          <cell r="J417">
            <v>3</v>
          </cell>
          <cell r="K417">
            <v>30</v>
          </cell>
          <cell r="L417">
            <v>3300</v>
          </cell>
          <cell r="M417">
            <v>0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7</v>
          </cell>
          <cell r="AD417">
            <v>6</v>
          </cell>
          <cell r="AE417" t="str">
            <v>everyone</v>
          </cell>
        </row>
        <row r="418">
          <cell r="A418" t="str">
            <v>39001_1</v>
          </cell>
          <cell r="B418">
            <v>3</v>
          </cell>
          <cell r="C418">
            <v>39001</v>
          </cell>
          <cell r="D418" t="str">
            <v>雪の歌姫</v>
          </cell>
          <cell r="E418" t="str">
            <v>コラボクエスト</v>
          </cell>
          <cell r="F418">
            <v>1</v>
          </cell>
          <cell r="G418" t="str">
            <v>ja</v>
          </cell>
          <cell r="H418" t="str">
            <v>【初級】雪の歌姫</v>
          </cell>
          <cell r="I418" t="str">
            <v>初級</v>
          </cell>
          <cell r="J418">
            <v>525</v>
          </cell>
          <cell r="K418">
            <v>8</v>
          </cell>
          <cell r="L418">
            <v>384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909</v>
          </cell>
          <cell r="AD418">
            <v>6</v>
          </cell>
          <cell r="AE418" t="str">
            <v>everyone</v>
          </cell>
        </row>
        <row r="419">
          <cell r="A419" t="str">
            <v>39001_2</v>
          </cell>
          <cell r="B419">
            <v>3</v>
          </cell>
          <cell r="C419">
            <v>39001</v>
          </cell>
          <cell r="D419" t="str">
            <v>雪の歌姫</v>
          </cell>
          <cell r="E419" t="str">
            <v>コラボクエスト</v>
          </cell>
          <cell r="F419">
            <v>2</v>
          </cell>
          <cell r="G419" t="str">
            <v>ja</v>
          </cell>
          <cell r="H419" t="str">
            <v>【中級】雪の歌姫</v>
          </cell>
          <cell r="I419" t="str">
            <v>中級</v>
          </cell>
          <cell r="J419">
            <v>525</v>
          </cell>
          <cell r="K419">
            <v>15</v>
          </cell>
          <cell r="L419">
            <v>1200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909</v>
          </cell>
          <cell r="AD419">
            <v>6</v>
          </cell>
          <cell r="AE419" t="str">
            <v>everyone</v>
          </cell>
        </row>
        <row r="420">
          <cell r="A420" t="str">
            <v>39001_3</v>
          </cell>
          <cell r="B420">
            <v>3</v>
          </cell>
          <cell r="C420">
            <v>39001</v>
          </cell>
          <cell r="D420" t="str">
            <v>雪の歌姫</v>
          </cell>
          <cell r="E420" t="str">
            <v>コラボクエスト</v>
          </cell>
          <cell r="F420">
            <v>3</v>
          </cell>
          <cell r="G420" t="str">
            <v>ja</v>
          </cell>
          <cell r="H420" t="str">
            <v>【上級】雪の歌姫</v>
          </cell>
          <cell r="I420" t="str">
            <v>上級</v>
          </cell>
          <cell r="J420">
            <v>525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909</v>
          </cell>
          <cell r="AD420">
            <v>6</v>
          </cell>
          <cell r="AE420" t="str">
            <v>everyone</v>
          </cell>
        </row>
        <row r="421">
          <cell r="A421" t="str">
            <v>39001_4</v>
          </cell>
          <cell r="B421">
            <v>3</v>
          </cell>
          <cell r="C421">
            <v>39001</v>
          </cell>
          <cell r="D421" t="str">
            <v>雪の歌姫</v>
          </cell>
          <cell r="E421" t="str">
            <v>コラボクエスト</v>
          </cell>
          <cell r="F421">
            <v>4</v>
          </cell>
          <cell r="G421" t="str">
            <v>ja</v>
          </cell>
          <cell r="H421" t="str">
            <v>【超級】雪の歌姫</v>
          </cell>
          <cell r="I421" t="str">
            <v>超級</v>
          </cell>
          <cell r="J421">
            <v>526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909</v>
          </cell>
          <cell r="AD421">
            <v>6</v>
          </cell>
          <cell r="AE421" t="str">
            <v>everyone</v>
          </cell>
        </row>
        <row r="422">
          <cell r="A422" t="str">
            <v>39001_5</v>
          </cell>
          <cell r="B422">
            <v>3</v>
          </cell>
          <cell r="C422">
            <v>39001</v>
          </cell>
          <cell r="D422" t="str">
            <v>雪の歌姫</v>
          </cell>
          <cell r="E422" t="str">
            <v>コラボクエスト</v>
          </cell>
          <cell r="F422">
            <v>5</v>
          </cell>
          <cell r="G422" t="str">
            <v>ja</v>
          </cell>
          <cell r="H422" t="str">
            <v>【超絶級】雪の歌姫</v>
          </cell>
          <cell r="I422" t="str">
            <v>超絶級</v>
          </cell>
          <cell r="J422">
            <v>526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909</v>
          </cell>
          <cell r="AD422">
            <v>6</v>
          </cell>
          <cell r="AE422" t="str">
            <v>everyone</v>
          </cell>
        </row>
        <row r="423">
          <cell r="A423" t="str">
            <v>40001_1</v>
          </cell>
          <cell r="B423">
            <v>3</v>
          </cell>
          <cell r="C423">
            <v>40001</v>
          </cell>
          <cell r="D423" t="str">
            <v>アマテラス襲来！</v>
          </cell>
          <cell r="E423" t="str">
            <v>降臨1</v>
          </cell>
          <cell r="F423">
            <v>1</v>
          </cell>
          <cell r="G423" t="str">
            <v>ja</v>
          </cell>
          <cell r="H423" t="str">
            <v xml:space="preserve">【ウィザード級】アマテラス襲来 </v>
          </cell>
          <cell r="I423" t="str">
            <v>地獄級</v>
          </cell>
          <cell r="J423">
            <v>278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901</v>
          </cell>
          <cell r="AD423">
            <v>6</v>
          </cell>
          <cell r="AE423" t="str">
            <v>everyone</v>
          </cell>
        </row>
        <row r="424">
          <cell r="A424" t="str">
            <v>40002_1</v>
          </cell>
          <cell r="B424">
            <v>3</v>
          </cell>
          <cell r="C424">
            <v>40002</v>
          </cell>
          <cell r="D424" t="str">
            <v>アザゼル襲来！</v>
          </cell>
          <cell r="E424" t="str">
            <v>降臨2</v>
          </cell>
          <cell r="F424">
            <v>1</v>
          </cell>
          <cell r="G424" t="str">
            <v>ja</v>
          </cell>
          <cell r="H424" t="str">
            <v xml:space="preserve">【超級】アザゼル襲来 </v>
          </cell>
          <cell r="I424" t="str">
            <v>超級</v>
          </cell>
          <cell r="J424">
            <v>296</v>
          </cell>
          <cell r="K424">
            <v>25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902</v>
          </cell>
          <cell r="AD424">
            <v>6</v>
          </cell>
          <cell r="AE424" t="str">
            <v>everyone</v>
          </cell>
        </row>
        <row r="425">
          <cell r="A425" t="str">
            <v>40002_2</v>
          </cell>
          <cell r="B425">
            <v>3</v>
          </cell>
          <cell r="C425">
            <v>40002</v>
          </cell>
          <cell r="D425" t="str">
            <v>アザゼル襲来！</v>
          </cell>
          <cell r="E425" t="str">
            <v>降臨2</v>
          </cell>
          <cell r="F425">
            <v>2</v>
          </cell>
          <cell r="G425" t="str">
            <v>ja</v>
          </cell>
          <cell r="H425" t="str">
            <v>【超絶級】アザゼル襲来</v>
          </cell>
          <cell r="I425" t="str">
            <v>超絶級</v>
          </cell>
          <cell r="J425">
            <v>297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902</v>
          </cell>
          <cell r="AD425">
            <v>6</v>
          </cell>
          <cell r="AE425" t="str">
            <v>everyone</v>
          </cell>
        </row>
        <row r="426">
          <cell r="A426" t="str">
            <v>40002_3</v>
          </cell>
          <cell r="B426">
            <v>3</v>
          </cell>
          <cell r="C426">
            <v>40002</v>
          </cell>
          <cell r="D426" t="str">
            <v>アザゼル襲来！</v>
          </cell>
          <cell r="E426" t="str">
            <v>降臨2</v>
          </cell>
          <cell r="F426">
            <v>3</v>
          </cell>
          <cell r="G426" t="str">
            <v>ja</v>
          </cell>
          <cell r="H426" t="str">
            <v xml:space="preserve">【ウィザード級】アザゼル襲来 </v>
          </cell>
          <cell r="I426" t="str">
            <v>地獄級</v>
          </cell>
          <cell r="J426">
            <v>297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character</v>
          </cell>
          <cell r="T426">
            <v>296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902</v>
          </cell>
          <cell r="AD426">
            <v>6</v>
          </cell>
          <cell r="AE426" t="str">
            <v>everyone</v>
          </cell>
        </row>
        <row r="427">
          <cell r="A427" t="str">
            <v>40003_1</v>
          </cell>
          <cell r="B427">
            <v>3</v>
          </cell>
          <cell r="C427">
            <v>40003</v>
          </cell>
          <cell r="D427" t="str">
            <v>ジャンヌ襲来！</v>
          </cell>
          <cell r="E427" t="str">
            <v>降臨3</v>
          </cell>
          <cell r="F427">
            <v>1</v>
          </cell>
          <cell r="G427" t="str">
            <v>ja</v>
          </cell>
          <cell r="H427" t="str">
            <v xml:space="preserve">【ウィザード級】ジャンヌ襲来 </v>
          </cell>
          <cell r="I427" t="str">
            <v>地獄級</v>
          </cell>
          <cell r="J427">
            <v>315</v>
          </cell>
          <cell r="K427">
            <v>35</v>
          </cell>
          <cell r="L427">
            <v>4200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character</v>
          </cell>
          <cell r="T427">
            <v>314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903</v>
          </cell>
          <cell r="AD427">
            <v>6</v>
          </cell>
          <cell r="AE427" t="str">
            <v>everyone</v>
          </cell>
        </row>
        <row r="428">
          <cell r="A428" t="str">
            <v>40004_1</v>
          </cell>
          <cell r="B428">
            <v>3</v>
          </cell>
          <cell r="C428">
            <v>40004</v>
          </cell>
          <cell r="D428" t="str">
            <v>宮本武蔵襲来！</v>
          </cell>
          <cell r="E428" t="str">
            <v>降臨4</v>
          </cell>
          <cell r="F428">
            <v>1</v>
          </cell>
          <cell r="G428" t="str">
            <v>ja</v>
          </cell>
          <cell r="H428" t="str">
            <v xml:space="preserve">【ウィザード級】宮本武蔵襲来 </v>
          </cell>
          <cell r="I428" t="str">
            <v>地獄級</v>
          </cell>
          <cell r="J428">
            <v>427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character</v>
          </cell>
          <cell r="T428">
            <v>426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904</v>
          </cell>
          <cell r="AD428">
            <v>6</v>
          </cell>
          <cell r="AE428" t="str">
            <v>everyone</v>
          </cell>
        </row>
        <row r="429">
          <cell r="A429" t="str">
            <v>40005_1</v>
          </cell>
          <cell r="B429">
            <v>3</v>
          </cell>
          <cell r="C429">
            <v>40005</v>
          </cell>
          <cell r="D429" t="str">
            <v>オズ襲来！</v>
          </cell>
          <cell r="E429" t="str">
            <v>降臨5</v>
          </cell>
          <cell r="F429">
            <v>1</v>
          </cell>
          <cell r="G429" t="str">
            <v>ja</v>
          </cell>
          <cell r="H429" t="str">
            <v xml:space="preserve">【ウィザード級】オズ襲来 </v>
          </cell>
          <cell r="I429" t="str">
            <v>地獄級</v>
          </cell>
          <cell r="J429">
            <v>461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character</v>
          </cell>
          <cell r="T429">
            <v>460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906</v>
          </cell>
          <cell r="AD429">
            <v>6</v>
          </cell>
          <cell r="AE429" t="str">
            <v>everyone</v>
          </cell>
        </row>
        <row r="430">
          <cell r="A430" t="str">
            <v>40006_1</v>
          </cell>
          <cell r="B430">
            <v>3</v>
          </cell>
          <cell r="C430">
            <v>40006</v>
          </cell>
          <cell r="D430" t="str">
            <v>アーサー襲来！</v>
          </cell>
          <cell r="E430" t="str">
            <v>降臨6</v>
          </cell>
          <cell r="F430">
            <v>1</v>
          </cell>
          <cell r="G430" t="str">
            <v>ja</v>
          </cell>
          <cell r="H430" t="str">
            <v xml:space="preserve">【ウィザード級】アーサー襲来 </v>
          </cell>
          <cell r="I430" t="str">
            <v>地獄級</v>
          </cell>
          <cell r="J430">
            <v>473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character</v>
          </cell>
          <cell r="T430">
            <v>472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907</v>
          </cell>
          <cell r="AD430">
            <v>6</v>
          </cell>
          <cell r="AE430" t="str">
            <v>everyone</v>
          </cell>
        </row>
        <row r="431">
          <cell r="A431" t="str">
            <v>40007_1</v>
          </cell>
          <cell r="B431">
            <v>3</v>
          </cell>
          <cell r="C431">
            <v>40007</v>
          </cell>
          <cell r="D431" t="str">
            <v>グリム襲来！</v>
          </cell>
          <cell r="E431" t="str">
            <v>降臨7</v>
          </cell>
          <cell r="F431">
            <v>1</v>
          </cell>
          <cell r="G431" t="str">
            <v>ja</v>
          </cell>
          <cell r="H431" t="str">
            <v xml:space="preserve">【ウィザード級】グリム襲来 </v>
          </cell>
          <cell r="I431" t="str">
            <v>地獄級</v>
          </cell>
          <cell r="J431">
            <v>491</v>
          </cell>
          <cell r="K431">
            <v>35</v>
          </cell>
          <cell r="L431">
            <v>4200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character</v>
          </cell>
          <cell r="T431">
            <v>490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908</v>
          </cell>
          <cell r="AD431">
            <v>6</v>
          </cell>
          <cell r="AE431" t="str">
            <v>everyone</v>
          </cell>
        </row>
        <row r="432">
          <cell r="A432" t="str">
            <v>40008_1</v>
          </cell>
          <cell r="B432">
            <v>3</v>
          </cell>
          <cell r="C432">
            <v>40008</v>
          </cell>
          <cell r="D432" t="str">
            <v>Gスター襲来！</v>
          </cell>
          <cell r="E432" t="str">
            <v>降臨8</v>
          </cell>
          <cell r="F432">
            <v>1</v>
          </cell>
          <cell r="G432" t="str">
            <v>ja</v>
          </cell>
          <cell r="H432" t="str">
            <v xml:space="preserve">【ウィザード級】Gスター襲来 </v>
          </cell>
          <cell r="I432" t="str">
            <v>地獄級</v>
          </cell>
          <cell r="J432">
            <v>509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character</v>
          </cell>
          <cell r="T432">
            <v>508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2601</v>
          </cell>
          <cell r="AD432">
            <v>6</v>
          </cell>
          <cell r="AE432" t="str">
            <v>everyone</v>
          </cell>
        </row>
        <row r="433">
          <cell r="A433" t="str">
            <v>40009_1</v>
          </cell>
          <cell r="B433">
            <v>3</v>
          </cell>
          <cell r="C433">
            <v>40009</v>
          </cell>
          <cell r="D433" t="str">
            <v>フギンとムニン襲来！</v>
          </cell>
          <cell r="E433" t="str">
            <v>降臨9</v>
          </cell>
          <cell r="F433">
            <v>1</v>
          </cell>
          <cell r="G433" t="str">
            <v>ja</v>
          </cell>
          <cell r="H433" t="str">
            <v xml:space="preserve">【ウィザード級】フギンとムニン襲来 </v>
          </cell>
          <cell r="I433" t="str">
            <v>地獄級</v>
          </cell>
          <cell r="J433">
            <v>582</v>
          </cell>
          <cell r="K433">
            <v>35</v>
          </cell>
          <cell r="L433">
            <v>4200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character</v>
          </cell>
          <cell r="T433">
            <v>581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25</v>
          </cell>
          <cell r="AD433">
            <v>6</v>
          </cell>
          <cell r="AE433" t="str">
            <v>everyone</v>
          </cell>
        </row>
        <row r="434">
          <cell r="A434" t="str">
            <v>40010_1</v>
          </cell>
          <cell r="B434">
            <v>1</v>
          </cell>
          <cell r="C434">
            <v>40010</v>
          </cell>
          <cell r="D434" t="str">
            <v>フレイ襲来！</v>
          </cell>
          <cell r="E434" t="str">
            <v>降臨10</v>
          </cell>
          <cell r="F434">
            <v>1</v>
          </cell>
          <cell r="G434" t="str">
            <v>ja</v>
          </cell>
          <cell r="H434" t="str">
            <v xml:space="preserve">【ウィザード級】フレイ襲来 </v>
          </cell>
          <cell r="I434" t="str">
            <v>地獄級</v>
          </cell>
          <cell r="J434">
            <v>582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0</v>
          </cell>
          <cell r="Q434">
            <v>1</v>
          </cell>
          <cell r="R434">
            <v>3</v>
          </cell>
          <cell r="S434" t="str">
            <v>character</v>
          </cell>
          <cell r="T434">
            <v>581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907</v>
          </cell>
          <cell r="AD434">
            <v>6</v>
          </cell>
          <cell r="AE434" t="str">
            <v>everyone</v>
          </cell>
        </row>
        <row r="435">
          <cell r="A435" t="str">
            <v>40011_1</v>
          </cell>
          <cell r="B435">
            <v>1</v>
          </cell>
          <cell r="C435">
            <v>40011</v>
          </cell>
          <cell r="D435" t="str">
            <v>鬼襲来！</v>
          </cell>
          <cell r="E435" t="str">
            <v>降臨11</v>
          </cell>
          <cell r="F435">
            <v>1</v>
          </cell>
          <cell r="G435" t="str">
            <v>ja</v>
          </cell>
          <cell r="H435" t="str">
            <v xml:space="preserve">【ウィザード級】鬼襲来 </v>
          </cell>
          <cell r="I435" t="str">
            <v>地獄級</v>
          </cell>
          <cell r="J435">
            <v>1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character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</v>
          </cell>
          <cell r="AD435">
            <v>6</v>
          </cell>
          <cell r="AE435" t="str">
            <v>everyone</v>
          </cell>
        </row>
        <row r="436">
          <cell r="A436" t="str">
            <v>49001_1</v>
          </cell>
          <cell r="B436">
            <v>3</v>
          </cell>
          <cell r="C436">
            <v>49001</v>
          </cell>
          <cell r="D436" t="str">
            <v>熱唱！初音ミクV3</v>
          </cell>
          <cell r="E436" t="str">
            <v>コラボ降臨1</v>
          </cell>
          <cell r="F436">
            <v>1</v>
          </cell>
          <cell r="G436" t="str">
            <v>ja</v>
          </cell>
          <cell r="H436" t="str">
            <v>【ウィザード級】熱唱！初音ミクV3</v>
          </cell>
          <cell r="I436" t="str">
            <v>地獄級</v>
          </cell>
          <cell r="J436">
            <v>528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910</v>
          </cell>
          <cell r="AD436">
            <v>6</v>
          </cell>
          <cell r="AE436" t="str">
            <v>everyone</v>
          </cell>
        </row>
        <row r="437">
          <cell r="A437" t="str">
            <v>50001_1</v>
          </cell>
          <cell r="B437">
            <v>3</v>
          </cell>
          <cell r="C437">
            <v>50001</v>
          </cell>
          <cell r="D437" t="str">
            <v>麒麟襲来！</v>
          </cell>
          <cell r="E437" t="str">
            <v>超降臨1</v>
          </cell>
          <cell r="F437">
            <v>1</v>
          </cell>
          <cell r="G437" t="str">
            <v>ja</v>
          </cell>
          <cell r="H437" t="str">
            <v xml:space="preserve">【超ウィザード級】麒麟襲来 </v>
          </cell>
          <cell r="I437" t="str">
            <v>超地獄級</v>
          </cell>
          <cell r="J437">
            <v>328</v>
          </cell>
          <cell r="K437">
            <v>40</v>
          </cell>
          <cell r="L437">
            <v>5200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character</v>
          </cell>
          <cell r="T437">
            <v>432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905</v>
          </cell>
          <cell r="AD437">
            <v>6</v>
          </cell>
          <cell r="AE437" t="str">
            <v>everyone</v>
          </cell>
        </row>
        <row r="438">
          <cell r="A438" t="str">
            <v>50002_1</v>
          </cell>
          <cell r="B438">
            <v>3</v>
          </cell>
          <cell r="C438">
            <v>50002</v>
          </cell>
          <cell r="D438" t="str">
            <v>オーディン襲来！</v>
          </cell>
          <cell r="E438" t="str">
            <v>超降臨2</v>
          </cell>
          <cell r="F438">
            <v>1</v>
          </cell>
          <cell r="G438" t="str">
            <v>ja</v>
          </cell>
          <cell r="H438" t="str">
            <v xml:space="preserve">【超ウィザード級】オーディン襲来 </v>
          </cell>
          <cell r="I438" t="str">
            <v>超地獄級</v>
          </cell>
          <cell r="J438">
            <v>451</v>
          </cell>
          <cell r="K438">
            <v>40</v>
          </cell>
          <cell r="L438">
            <v>5200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character</v>
          </cell>
          <cell r="T438">
            <v>573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911</v>
          </cell>
          <cell r="AD438">
            <v>6</v>
          </cell>
          <cell r="AE438" t="str">
            <v>everyone</v>
          </cell>
        </row>
        <row r="439">
          <cell r="A439" t="str">
            <v>65535_1</v>
          </cell>
          <cell r="B439">
            <v>1</v>
          </cell>
          <cell r="C439">
            <v>65535</v>
          </cell>
          <cell r="D439" t="str">
            <v>★検証専用クエスト★</v>
          </cell>
          <cell r="E439" t="str">
            <v>検証</v>
          </cell>
          <cell r="F439">
            <v>1</v>
          </cell>
          <cell r="G439" t="str">
            <v>ja</v>
          </cell>
          <cell r="H439" t="str">
            <v>テンプレート</v>
          </cell>
          <cell r="I439" t="str">
            <v>検証</v>
          </cell>
          <cell r="J439" t="str">
            <v>NULL</v>
          </cell>
          <cell r="K439">
            <v>1</v>
          </cell>
          <cell r="L439">
            <v>1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903</v>
          </cell>
          <cell r="AD439">
            <v>6</v>
          </cell>
          <cell r="AE439" t="str">
            <v>everyone</v>
          </cell>
        </row>
        <row r="440">
          <cell r="A440" t="str">
            <v>65535_2</v>
          </cell>
          <cell r="B440">
            <v>1</v>
          </cell>
          <cell r="C440">
            <v>65535</v>
          </cell>
          <cell r="D440" t="str">
            <v>★検証専用クエスト★</v>
          </cell>
          <cell r="E440" t="str">
            <v>検証</v>
          </cell>
          <cell r="F440">
            <v>2</v>
          </cell>
          <cell r="G440" t="str">
            <v>ja</v>
          </cell>
          <cell r="H440" t="str">
            <v>ランクアップクエスト</v>
          </cell>
          <cell r="I440" t="str">
            <v>検証</v>
          </cell>
          <cell r="J440" t="str">
            <v>NULL</v>
          </cell>
          <cell r="K440">
            <v>1</v>
          </cell>
          <cell r="L440">
            <v>65535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903</v>
          </cell>
          <cell r="AD440">
            <v>6</v>
          </cell>
          <cell r="AE440" t="str">
            <v>everyone</v>
          </cell>
        </row>
        <row r="441">
          <cell r="A441" t="str">
            <v>65535_3</v>
          </cell>
          <cell r="B441">
            <v>1</v>
          </cell>
          <cell r="C441">
            <v>65535</v>
          </cell>
          <cell r="D441" t="str">
            <v>★検証専用クエスト★</v>
          </cell>
          <cell r="E441" t="str">
            <v>検証</v>
          </cell>
          <cell r="F441">
            <v>3</v>
          </cell>
          <cell r="G441" t="str">
            <v>ja</v>
          </cell>
          <cell r="H441" t="str">
            <v>サンドボックス</v>
          </cell>
          <cell r="I441" t="str">
            <v>検証</v>
          </cell>
          <cell r="J441" t="str">
            <v>NULL</v>
          </cell>
          <cell r="K441">
            <v>1</v>
          </cell>
          <cell r="L441">
            <v>1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105</v>
          </cell>
          <cell r="AD441">
            <v>6</v>
          </cell>
          <cell r="AE44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  <row r="42">
          <cell r="A42">
            <v>50002001</v>
          </cell>
          <cell r="B42" t="str">
            <v>ja</v>
          </cell>
          <cell r="C42" t="str">
            <v>オーディン事件の真相</v>
          </cell>
          <cell r="D42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12" sqref="F12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197</v>
      </c>
      <c r="B2" s="57" t="s">
        <v>107</v>
      </c>
      <c r="C2" s="62">
        <v>40007</v>
      </c>
      <c r="D2" s="57" t="s">
        <v>108</v>
      </c>
      <c r="E2" s="56" t="str">
        <f>B2&amp;C2&amp;D2</f>
        <v>floors_40007.tmp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197</v>
      </c>
      <c r="B3" s="57" t="s">
        <v>110</v>
      </c>
      <c r="C3" s="62">
        <v>40007</v>
      </c>
      <c r="D3" s="57" t="s">
        <v>108</v>
      </c>
      <c r="E3" s="56" t="str">
        <f>B3&amp;C3&amp;D3</f>
        <v>enemy_habitats_40007.tmp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198</v>
      </c>
      <c r="B4" s="57" t="s">
        <v>112</v>
      </c>
      <c r="C4" s="62">
        <v>40007</v>
      </c>
      <c r="D4" s="57" t="s">
        <v>108</v>
      </c>
      <c r="E4" s="56" t="str">
        <f>B4&amp;C4&amp;D4</f>
        <v>enemy_habitat_S_40007.tmp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198</v>
      </c>
      <c r="B5" s="57" t="s">
        <v>114</v>
      </c>
      <c r="C5" s="62">
        <v>40007</v>
      </c>
      <c r="D5" s="57" t="s">
        <v>108</v>
      </c>
      <c r="E5" s="56" t="str">
        <f>B5&amp;C5&amp;D5</f>
        <v>enemy_skill_sets_40007.tmp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198</v>
      </c>
      <c r="B6" s="57" t="s">
        <v>116</v>
      </c>
      <c r="C6" s="62">
        <v>40007</v>
      </c>
      <c r="D6" s="57" t="s">
        <v>117</v>
      </c>
      <c r="E6" s="56" t="str">
        <f t="shared" ref="E6:E12" si="0">B6&amp;C6&amp;D6</f>
        <v>enemy_skills_tmp_40007.tmp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199</v>
      </c>
      <c r="B7" s="57" t="s">
        <v>118</v>
      </c>
      <c r="C7" s="62">
        <v>40007</v>
      </c>
      <c r="D7" s="57" t="s">
        <v>108</v>
      </c>
      <c r="E7" s="56" t="str">
        <f>B7&amp;C7&amp;D7</f>
        <v>enemy_skills_i18n_40007.tmp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199</v>
      </c>
      <c r="B8" s="57" t="s">
        <v>120</v>
      </c>
      <c r="C8" s="62">
        <v>40007</v>
      </c>
      <c r="D8" s="57" t="s">
        <v>121</v>
      </c>
      <c r="E8" s="56" t="str">
        <f t="shared" si="0"/>
        <v>enemy_skill_triggers_40007.tmp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198</v>
      </c>
      <c r="B9" s="67" t="s">
        <v>178</v>
      </c>
      <c r="C9" s="62">
        <v>40007</v>
      </c>
      <c r="D9" s="67" t="s">
        <v>172</v>
      </c>
      <c r="E9" s="68" t="str">
        <f t="shared" si="0"/>
        <v>stage_bug_bonuses_40007.tmp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>
      <c r="A10" s="61" t="s">
        <v>360</v>
      </c>
      <c r="B10" s="67" t="s">
        <v>361</v>
      </c>
      <c r="C10" s="62">
        <f>C8</f>
        <v>40007</v>
      </c>
      <c r="D10" s="67" t="s">
        <v>362</v>
      </c>
      <c r="E10" s="68" t="str">
        <f t="shared" si="0"/>
        <v>stage_hints_data_c_40007.tmp</v>
      </c>
      <c r="F10" s="67" t="s">
        <v>363</v>
      </c>
      <c r="G10" s="72" t="s">
        <v>151</v>
      </c>
      <c r="H10" s="72" t="s">
        <v>152</v>
      </c>
      <c r="I10" s="73" t="s">
        <v>364</v>
      </c>
      <c r="J10" s="66" t="s">
        <v>19</v>
      </c>
      <c r="K10" s="74" t="s">
        <v>365</v>
      </c>
    </row>
    <row r="11" spans="1:30" s="75" customFormat="1">
      <c r="A11" s="61" t="s">
        <v>360</v>
      </c>
      <c r="B11" s="67" t="s">
        <v>366</v>
      </c>
      <c r="C11" s="62">
        <f>C9</f>
        <v>40007</v>
      </c>
      <c r="D11" s="67" t="s">
        <v>362</v>
      </c>
      <c r="E11" s="68" t="str">
        <f t="shared" si="0"/>
        <v>stage_hints_data_f_40007.tmp</v>
      </c>
      <c r="F11" s="67" t="s">
        <v>367</v>
      </c>
      <c r="G11" s="72" t="s">
        <v>151</v>
      </c>
      <c r="H11" s="72" t="s">
        <v>152</v>
      </c>
      <c r="I11" s="73" t="s">
        <v>364</v>
      </c>
      <c r="J11" s="66" t="s">
        <v>19</v>
      </c>
      <c r="K11" s="74" t="s">
        <v>365</v>
      </c>
    </row>
    <row r="12" spans="1:30" s="75" customFormat="1">
      <c r="A12" s="61" t="s">
        <v>360</v>
      </c>
      <c r="B12" s="67" t="s">
        <v>368</v>
      </c>
      <c r="C12" s="62">
        <f t="shared" ref="C12" si="1">C11</f>
        <v>40007</v>
      </c>
      <c r="D12" s="67" t="s">
        <v>362</v>
      </c>
      <c r="E12" s="68" t="str">
        <f t="shared" si="0"/>
        <v>stage_hints_i18n_f_40007.tmp</v>
      </c>
      <c r="F12" s="67" t="s">
        <v>367</v>
      </c>
      <c r="G12" s="73" t="s">
        <v>364</v>
      </c>
      <c r="H12" s="100" t="s">
        <v>127</v>
      </c>
      <c r="I12" s="72" t="s">
        <v>369</v>
      </c>
      <c r="J12" s="101" t="s">
        <v>370</v>
      </c>
      <c r="K12" s="74" t="s">
        <v>371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F22" sqref="F2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40007_1-1</v>
      </c>
      <c r="B2" s="16" t="str">
        <f>IF(COUNTIF(enemy_habitats!$H:$H,A2),"OK","NG")</f>
        <v>OK</v>
      </c>
      <c r="C2" s="7">
        <v>40007</v>
      </c>
      <c r="D2" s="11" t="str">
        <f ca="1">VLOOKUP($C2,OFFSET([2]quests!$A$1,0,0,COUNTA([2]quests!$A:$A),MATCH(D$1,[2]quests!$1:$1,0)-MATCH($C$1,[2]quests!$1:$1,0)+1),MATCH(D$1,[2]quests!$1:$1,0)-MATCH($C$1,[2]quests!$1:$1,0)+1,FALSE)</f>
        <v>グリム襲来！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降臨7</v>
      </c>
      <c r="F2" s="21">
        <v>1</v>
      </c>
      <c r="G2" s="23" t="str">
        <f>C2&amp;"_"&amp;F2</f>
        <v>40007_1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【ウィザード級】グリム襲来 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 t="shared" ref="A3:A6" si="0">G3&amp;"-"&amp;I3</f>
        <v>40007_1-2</v>
      </c>
      <c r="B3" s="16" t="str">
        <f>IF(COUNTIF(enemy_habitats!$H:$H,A3),"OK","NG")</f>
        <v>OK</v>
      </c>
      <c r="C3" s="7">
        <v>40007</v>
      </c>
      <c r="D3" s="11" t="str">
        <f ca="1">VLOOKUP($C3,OFFSET([2]quests!$A$1,0,0,COUNTA([2]quests!$A:$A),MATCH(D$1,[2]quests!$1:$1,0)-MATCH($C$1,[2]quests!$1:$1,0)+1),MATCH(D$1,[2]quests!$1:$1,0)-MATCH($C$1,[2]quests!$1:$1,0)+1,FALSE)</f>
        <v>グリム襲来！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降臨7</v>
      </c>
      <c r="F3" s="21">
        <v>1</v>
      </c>
      <c r="G3" s="23" t="str">
        <f t="shared" ref="G3:G6" si="1">C3&amp;"_"&amp;F3</f>
        <v>40007_1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【ウィザード級】グリム襲来 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40007_1-3</v>
      </c>
      <c r="B4" s="16" t="str">
        <f>IF(COUNTIF(enemy_habitats!$H:$H,A4),"OK","NG")</f>
        <v>OK</v>
      </c>
      <c r="C4" s="7">
        <v>40007</v>
      </c>
      <c r="D4" s="11" t="str">
        <f ca="1">VLOOKUP($C4,OFFSET([2]quests!$A$1,0,0,COUNTA([2]quests!$A:$A),MATCH(D$1,[2]quests!$1:$1,0)-MATCH($C$1,[2]quests!$1:$1,0)+1),MATCH(D$1,[2]quests!$1:$1,0)-MATCH($C$1,[2]quests!$1:$1,0)+1,FALSE)</f>
        <v>グリム襲来！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降臨7</v>
      </c>
      <c r="F4" s="21">
        <v>1</v>
      </c>
      <c r="G4" s="23" t="str">
        <f t="shared" si="1"/>
        <v>40007_1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【ウィザード級】グリム襲来 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40007_1-4</v>
      </c>
      <c r="B5" s="16" t="str">
        <f>IF(COUNTIF(enemy_habitats!$H:$H,A5),"OK","NG")</f>
        <v>OK</v>
      </c>
      <c r="C5" s="7">
        <v>40007</v>
      </c>
      <c r="D5" s="11" t="str">
        <f ca="1">VLOOKUP($C5,OFFSET([2]quests!$A$1,0,0,COUNTA([2]quests!$A:$A),MATCH(D$1,[2]quests!$1:$1,0)-MATCH($C$1,[2]quests!$1:$1,0)+1),MATCH(D$1,[2]quests!$1:$1,0)-MATCH($C$1,[2]quests!$1:$1,0)+1,FALSE)</f>
        <v>グリム襲来！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降臨7</v>
      </c>
      <c r="F5" s="21">
        <v>1</v>
      </c>
      <c r="G5" s="23" t="str">
        <f t="shared" si="1"/>
        <v>40007_1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【ウィザード級】グリム襲来 </v>
      </c>
      <c r="I5" s="21">
        <v>4</v>
      </c>
      <c r="J5" s="12">
        <v>60</v>
      </c>
      <c r="K5" s="12">
        <v>60</v>
      </c>
    </row>
    <row r="6" spans="1:11" ht="21" customHeight="1">
      <c r="A6" s="16" t="str">
        <f t="shared" si="0"/>
        <v>40007_1-5</v>
      </c>
      <c r="B6" s="16" t="str">
        <f>IF(COUNTIF(enemy_habitats!$H:$H,A6),"OK","NG")</f>
        <v>OK</v>
      </c>
      <c r="C6" s="7">
        <v>40007</v>
      </c>
      <c r="D6" s="11" t="str">
        <f ca="1">VLOOKUP($C6,OFFSET([2]quests!$A$1,0,0,COUNTA([2]quests!$A:$A),MATCH(D$1,[2]quests!$1:$1,0)-MATCH($C$1,[2]quests!$1:$1,0)+1),MATCH(D$1,[2]quests!$1:$1,0)-MATCH($C$1,[2]quests!$1:$1,0)+1,FALSE)</f>
        <v>グリム襲来！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降臨7</v>
      </c>
      <c r="F6" s="21">
        <v>1</v>
      </c>
      <c r="G6" s="23" t="str">
        <f t="shared" si="1"/>
        <v>40007_1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【ウィザード級】グリム襲来 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2"/>
  <sheetViews>
    <sheetView showGridLines="0" zoomScale="75" zoomScaleNormal="75" zoomScalePageLayoutView="7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G40" sqref="G40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331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str">
        <f ca="1">B2&amp;"_"&amp;C2&amp;"-"&amp;G2&amp;"/"&amp;L2&amp;"&lt;lv"&amp;R2&amp;"&gt;s"&amp;AA2</f>
        <v>40007_1-1/143&lt;lv48&gt;s2</v>
      </c>
      <c r="B2" s="22">
        <v>40007</v>
      </c>
      <c r="C2" s="21">
        <v>1</v>
      </c>
      <c r="D2" s="2" t="str">
        <f>B2&amp;"_"&amp;C2</f>
        <v>40007_1</v>
      </c>
      <c r="E2" s="4" t="str">
        <f ca="1">VLOOKUP($B2,OFFSET([2]quests!$A$1,0,0,COUNTA([2]quests!$A:$A),MATCH(E$1,[2]quests!$1:$1,0)-MATCH($B$1,[2]quests!$1:$1,0)+1),MATCH(E$1,[2]quests!$1:$1,0)-MATCH($B$1,[2]quests!$1:$1,0)+1,FALSE)</f>
        <v>グリム襲来！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2" s="21">
        <v>1</v>
      </c>
      <c r="H2" s="15" t="str">
        <f>B2&amp;"_"&amp;C2&amp;"-"&amp;G2</f>
        <v>40007_1-1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143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深紅の死神 赤ずきん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48</v>
      </c>
      <c r="S2" s="25">
        <v>2</v>
      </c>
      <c r="T2" s="25">
        <v>1.2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4">
        <v>40007001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v>142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7">
        <v>1</v>
      </c>
      <c r="AG2" s="24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ca="1">B3&amp;"_"&amp;C3&amp;"-"&amp;G3&amp;"/"&amp;L3&amp;"&lt;lv"&amp;R3&amp;"&gt;s"&amp;AA3</f>
        <v>40007_1-1/294&lt;lv50&gt;s2</v>
      </c>
      <c r="B3" s="22">
        <v>40007</v>
      </c>
      <c r="C3" s="21">
        <v>1</v>
      </c>
      <c r="D3" s="2" t="str">
        <f>B3&amp;"_"&amp;C3</f>
        <v>40007_1</v>
      </c>
      <c r="E3" s="4" t="str">
        <f ca="1">VLOOKUP($B3,OFFSET([2]quests!$A$1,0,0,COUNTA([2]quests!$A:$A),MATCH(E$1,[2]quests!$1:$1,0)-MATCH($B$1,[2]quests!$1:$1,0)+1),MATCH(E$1,[2]quests!$1:$1,0)-MATCH($B$1,[2]quests!$1:$1,0)+1,FALSE)</f>
        <v>グリム襲来！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3" s="21">
        <v>1</v>
      </c>
      <c r="H3" s="15" t="str">
        <f>B3&amp;"_"&amp;C3&amp;"-"&amp;G3</f>
        <v>40007_1-1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294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ウルフ・ザ・レッドイーター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5">
        <v>1.6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" s="4">
        <v>40007002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>L3</f>
        <v>294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ウルフ・ザ・レッドイーター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4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ref="A4:A10" ca="1" si="0">B4&amp;"_"&amp;C4&amp;"-"&amp;G4&amp;"/"&amp;L4&amp;"&lt;lv"&amp;R4&amp;"&gt;s"&amp;AA4</f>
        <v>40007_1-2/292&lt;lv43&gt;s2</v>
      </c>
      <c r="B4" s="22">
        <v>40007</v>
      </c>
      <c r="C4" s="21">
        <v>1</v>
      </c>
      <c r="D4" s="2" t="str">
        <f t="shared" ref="D4:D10" si="1">B4&amp;"_"&amp;C4</f>
        <v>40007_1</v>
      </c>
      <c r="E4" s="4" t="str">
        <f ca="1">VLOOKUP($B4,OFFSET([2]quests!$A$1,0,0,COUNTA([2]quests!$A:$A),MATCH(E$1,[2]quests!$1:$1,0)-MATCH($B$1,[2]quests!$1:$1,0)+1),MATCH(E$1,[2]quests!$1:$1,0)-MATCH($B$1,[2]quests!$1:$1,0)+1,FALSE)</f>
        <v>グリム襲来！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4" s="21">
        <v>2</v>
      </c>
      <c r="H4" s="15" t="str">
        <f t="shared" ref="H4:H10" si="2">B4&amp;"_"&amp;C4&amp;"-"&amp;G4</f>
        <v>40007_1-2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アナスタシア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43</v>
      </c>
      <c r="S4" s="25">
        <v>2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" s="4">
        <v>40007003</v>
      </c>
      <c r="X4" s="6">
        <v>1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ref="AB4:AB10" si="3">L4</f>
        <v>292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アナスタシア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ref="AG4:AG10" ca="1" si="4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ref="A5" ca="1" si="5">B5&amp;"_"&amp;C5&amp;"-"&amp;G5&amp;"/"&amp;L5&amp;"&lt;lv"&amp;R5&amp;"&gt;s"&amp;AA5</f>
        <v>40007_1-2/149&lt;lv50&gt;s1</v>
      </c>
      <c r="B5" s="22">
        <v>40007</v>
      </c>
      <c r="C5" s="21">
        <v>1</v>
      </c>
      <c r="D5" s="2" t="str">
        <f t="shared" ref="D5" si="6">B5&amp;"_"&amp;C5</f>
        <v>40007_1</v>
      </c>
      <c r="E5" s="4" t="str">
        <f ca="1">VLOOKUP($B5,OFFSET([2]quests!$A$1,0,0,COUNTA([2]quests!$A:$A),MATCH(E$1,[2]quests!$1:$1,0)-MATCH($B$1,[2]quests!$1:$1,0)+1),MATCH(E$1,[2]quests!$1:$1,0)-MATCH($B$1,[2]quests!$1:$1,0)+1,FALSE)</f>
        <v>グリム襲来！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5" s="21">
        <v>2</v>
      </c>
      <c r="H5" s="15" t="str">
        <f t="shared" ref="H5" si="7">B5&amp;"_"&amp;C5&amp;"-"&amp;G5</f>
        <v>40007_1-2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149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雷撃蹴技を極めし者 シンデレラ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25">
        <v>1.5</v>
      </c>
      <c r="T5" s="25">
        <v>1.5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" s="4">
        <v>40007004</v>
      </c>
      <c r="X5" s="6">
        <v>1</v>
      </c>
      <c r="Y5" s="6">
        <v>100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1</v>
      </c>
      <c r="AB5" s="24">
        <f t="shared" ref="AB5" si="8">L5</f>
        <v>149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雷撃蹴技を極めし者 シンデレラ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7">
        <v>1</v>
      </c>
      <c r="AG5" s="24">
        <f t="shared" ref="AG5" ca="1" si="9">AD5</f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40007_1-3/2&lt;lv50&gt;s1</v>
      </c>
      <c r="B6" s="22">
        <v>40007</v>
      </c>
      <c r="C6" s="21">
        <v>1</v>
      </c>
      <c r="D6" s="2" t="str">
        <f t="shared" si="1"/>
        <v>40007_1</v>
      </c>
      <c r="E6" s="4" t="str">
        <f ca="1">VLOOKUP($B6,OFFSET([2]quests!$A$1,0,0,COUNTA([2]quests!$A:$A),MATCH(E$1,[2]quests!$1:$1,0)-MATCH($B$1,[2]quests!$1:$1,0)+1),MATCH(E$1,[2]quests!$1:$1,0)-MATCH($B$1,[2]quests!$1:$1,0)+1,FALSE)</f>
        <v>グリム襲来！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6" s="21">
        <v>3</v>
      </c>
      <c r="H6" s="15" t="str">
        <f t="shared" si="2"/>
        <v>40007_1-3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イレギュラー・ジェリー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25">
        <v>2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4">
        <v>40007005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f t="shared" si="3"/>
        <v>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7">
        <v>1</v>
      </c>
      <c r="AG6" s="24">
        <f t="shared" ca="1" si="4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40007_1-3/4&lt;lv50&gt;s2</v>
      </c>
      <c r="B7" s="22">
        <v>40007</v>
      </c>
      <c r="C7" s="21">
        <v>1</v>
      </c>
      <c r="D7" s="2" t="str">
        <f t="shared" si="1"/>
        <v>40007_1</v>
      </c>
      <c r="E7" s="4" t="str">
        <f ca="1">VLOOKUP($B7,OFFSET([2]quests!$A$1,0,0,COUNTA([2]quests!$A:$A),MATCH(E$1,[2]quests!$1:$1,0)-MATCH($B$1,[2]quests!$1:$1,0)+1),MATCH(E$1,[2]quests!$1:$1,0)-MATCH($B$1,[2]quests!$1:$1,0)+1,FALSE)</f>
        <v>グリム襲来！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7" s="21">
        <v>3</v>
      </c>
      <c r="H7" s="15" t="str">
        <f t="shared" si="2"/>
        <v>40007_1-3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エースエージェント ジョー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50</v>
      </c>
      <c r="S7" s="25">
        <v>2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4">
        <v>40007006</v>
      </c>
      <c r="X7" s="6">
        <v>1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ref="A8" ca="1" si="10">B8&amp;"_"&amp;C8&amp;"-"&amp;G8&amp;"/"&amp;L8&amp;"&lt;lv"&amp;R8&amp;"&gt;s"&amp;AA8</f>
        <v>40007_1-3/6&lt;lv50&gt;s3</v>
      </c>
      <c r="B8" s="22">
        <v>40007</v>
      </c>
      <c r="C8" s="21">
        <v>1</v>
      </c>
      <c r="D8" s="2" t="str">
        <f t="shared" ref="D8" si="11">B8&amp;"_"&amp;C8</f>
        <v>40007_1</v>
      </c>
      <c r="E8" s="4" t="str">
        <f ca="1">VLOOKUP($B8,OFFSET([2]quests!$A$1,0,0,COUNTA([2]quests!$A:$A),MATCH(E$1,[2]quests!$1:$1,0)-MATCH($B$1,[2]quests!$1:$1,0)+1),MATCH(E$1,[2]quests!$1:$1,0)-MATCH($B$1,[2]quests!$1:$1,0)+1,FALSE)</f>
        <v>グリム襲来！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8" s="21">
        <v>3</v>
      </c>
      <c r="H8" s="15" t="str">
        <f t="shared" ref="H8" si="12">B8&amp;"_"&amp;C8&amp;"-"&amp;G8</f>
        <v>40007_1-3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パトドッグリーダー ポチ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50</v>
      </c>
      <c r="S8" s="25">
        <v>2</v>
      </c>
      <c r="T8" s="25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4">
        <v>40007007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ref="AB8" si="13">L8</f>
        <v>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7">
        <v>1</v>
      </c>
      <c r="AG8" s="24">
        <f t="shared" ref="AG8" ca="1" si="14">AD8</f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ref="A9" ca="1" si="15">B9&amp;"_"&amp;C9&amp;"-"&amp;G9&amp;"/"&amp;L9&amp;"&lt;lv"&amp;R9&amp;"&gt;s"&amp;AA9</f>
        <v>40007_1-3/8&lt;lv50&gt;s2</v>
      </c>
      <c r="B9" s="22">
        <v>40007</v>
      </c>
      <c r="C9" s="21">
        <v>1</v>
      </c>
      <c r="D9" s="2" t="str">
        <f t="shared" ref="D9" si="16">B9&amp;"_"&amp;C9</f>
        <v>40007_1</v>
      </c>
      <c r="E9" s="4" t="str">
        <f ca="1">VLOOKUP($B9,OFFSET([2]quests!$A$1,0,0,COUNTA([2]quests!$A:$A),MATCH(E$1,[2]quests!$1:$1,0)-MATCH($B$1,[2]quests!$1:$1,0)+1),MATCH(E$1,[2]quests!$1:$1,0)-MATCH($B$1,[2]quests!$1:$1,0)+1,FALSE)</f>
        <v>グリム襲来！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9" s="21">
        <v>3</v>
      </c>
      <c r="H9" s="15" t="str">
        <f t="shared" ref="H9" si="17">B9&amp;"_"&amp;C9&amp;"-"&amp;G9</f>
        <v>40007_1-3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ハイボルテージ エレキポット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50</v>
      </c>
      <c r="S9" s="25">
        <v>2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9" s="4">
        <v>40007008</v>
      </c>
      <c r="X9" s="6">
        <v>1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ref="AB9" si="18">L9</f>
        <v>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Drop1T</v>
      </c>
      <c r="AF9" s="7">
        <v>1</v>
      </c>
      <c r="AG9" s="24">
        <f t="shared" ref="AG9" ca="1" si="19">AD9</f>
        <v>2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 t="str">
        <f t="shared" si="0"/>
        <v>40007_1-4/422&lt;lv50&gt;s2</v>
      </c>
      <c r="B10" s="22">
        <v>40007</v>
      </c>
      <c r="C10" s="21">
        <v>1</v>
      </c>
      <c r="D10" s="2" t="str">
        <f t="shared" si="1"/>
        <v>40007_1</v>
      </c>
      <c r="E10" s="4" t="str">
        <f ca="1">VLOOKUP($B10,OFFSET([2]quests!$A$1,0,0,COUNTA([2]quests!$A:$A),MATCH(E$1,[2]quests!$1:$1,0)-MATCH($B$1,[2]quests!$1:$1,0)+1),MATCH(E$1,[2]quests!$1:$1,0)-MATCH($B$1,[2]quests!$1:$1,0)+1,FALSE)</f>
        <v>グリム襲来！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10" s="21">
        <v>4</v>
      </c>
      <c r="H10" s="15" t="str">
        <f t="shared" si="2"/>
        <v>40007_1-4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422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シュガフル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50</v>
      </c>
      <c r="S10" s="25">
        <v>1.3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0" s="4">
        <v>40007009</v>
      </c>
      <c r="X10" s="6">
        <v>1</v>
      </c>
      <c r="Y10" s="6">
        <v>100</v>
      </c>
      <c r="Z10" s="6">
        <v>1</v>
      </c>
      <c r="AA10" s="17">
        <v>2</v>
      </c>
      <c r="AB10" s="24">
        <f t="shared" si="3"/>
        <v>422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シュガフル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>
      <c r="A11" s="16" t="str">
        <f t="shared" ref="A11" ca="1" si="20">B11&amp;"_"&amp;C11&amp;"-"&amp;G11&amp;"/"&amp;L11&amp;"&lt;lv"&amp;R11&amp;"&gt;s"&amp;AA11</f>
        <v>40007_1-4/398&lt;lv55&gt;s3</v>
      </c>
      <c r="B11" s="22">
        <v>40007</v>
      </c>
      <c r="C11" s="21">
        <v>1</v>
      </c>
      <c r="D11" s="2" t="str">
        <f t="shared" ref="D11" si="21">B11&amp;"_"&amp;C11</f>
        <v>40007_1</v>
      </c>
      <c r="E11" s="4" t="str">
        <f ca="1">VLOOKUP($B11,OFFSET([2]quests!$A$1,0,0,COUNTA([2]quests!$A:$A),MATCH(E$1,[2]quests!$1:$1,0)-MATCH($B$1,[2]quests!$1:$1,0)+1),MATCH(E$1,[2]quests!$1:$1,0)-MATCH($B$1,[2]quests!$1:$1,0)+1,FALSE)</f>
        <v>グリム襲来！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11" s="21">
        <v>4</v>
      </c>
      <c r="H11" s="15" t="str">
        <f t="shared" ref="H11" si="22">B11&amp;"_"&amp;C11&amp;"-"&amp;G11</f>
        <v>40007_1-4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2</v>
      </c>
      <c r="L11" s="20">
        <v>398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ヘンゼル＆グレーテル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55</v>
      </c>
      <c r="S11" s="25">
        <v>1.3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1" s="4">
        <v>40007011</v>
      </c>
      <c r="X11" s="6">
        <v>1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 t="shared" ref="AB11" si="23">L11</f>
        <v>398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ヘンゼル＆グレーテル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1" s="7">
        <v>1</v>
      </c>
      <c r="AG11" s="24">
        <f t="shared" ref="AG11" ca="1" si="24">AD11</f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>
      <c r="A12" s="16" t="str">
        <f t="shared" ref="A12" si="25">B12&amp;"_"&amp;C12&amp;"-"&amp;G12&amp;"/"&amp;L12&amp;"&lt;lv"&amp;R12&amp;"&gt;s"&amp;AA12</f>
        <v>40007_1-5/490&lt;lv70&gt;s2</v>
      </c>
      <c r="B12" s="22">
        <v>40007</v>
      </c>
      <c r="C12" s="21">
        <v>1</v>
      </c>
      <c r="D12" s="2" t="str">
        <f t="shared" ref="D12" si="26">B12&amp;"_"&amp;C12</f>
        <v>40007_1</v>
      </c>
      <c r="E12" s="4" t="str">
        <f ca="1">VLOOKUP($B12,OFFSET([2]quests!$A$1,0,0,COUNTA([2]quests!$A:$A),MATCH(E$1,[2]quests!$1:$1,0)-MATCH($B$1,[2]quests!$1:$1,0)+1),MATCH(E$1,[2]quests!$1:$1,0)-MATCH($B$1,[2]quests!$1:$1,0)+1,FALSE)</f>
        <v>グリム襲来！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12" s="21">
        <v>5</v>
      </c>
      <c r="H12" s="15" t="str">
        <f t="shared" ref="H12" si="27">B12&amp;"_"&amp;C12&amp;"-"&amp;G12</f>
        <v>40007_1-5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5</v>
      </c>
      <c r="L12" s="20">
        <v>490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グリム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70</v>
      </c>
      <c r="S12" s="25">
        <v>2</v>
      </c>
      <c r="T12" s="25">
        <v>1.3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2" s="4">
        <v>40007017</v>
      </c>
      <c r="X12" s="6">
        <v>1</v>
      </c>
      <c r="Y12" s="6">
        <v>100</v>
      </c>
      <c r="Z12" s="6">
        <v>1</v>
      </c>
      <c r="AA12" s="17">
        <v>2</v>
      </c>
      <c r="AB12" s="24">
        <f t="shared" ref="AB12" si="28">L12</f>
        <v>490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グリム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7">
        <v>1</v>
      </c>
      <c r="AG12" s="24">
        <f t="shared" ref="AG12" ca="1" si="29">AD12</f>
        <v>4</v>
      </c>
      <c r="AH12" s="8">
        <v>30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C15" sqref="C15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40007_1-4/422&lt;lv50&gt;sq1st2</v>
      </c>
      <c r="B2" s="22">
        <v>40007</v>
      </c>
      <c r="C2" s="21">
        <v>1</v>
      </c>
      <c r="D2" s="2" t="str">
        <f>B2&amp;"_"&amp;C2</f>
        <v>40007_1</v>
      </c>
      <c r="E2" s="4" t="str">
        <f ca="1">VLOOKUP($B2,OFFSET([2]quests!$A$1,0,0,COUNTA([2]quests!$A:$A),MATCH(E$1,[2]quests!$1:$1,0)-MATCH($B$1,[2]quests!$1:$1,0)+1),MATCH(E$1,[2]quests!$1:$1,0)-MATCH($B$1,[2]quests!$1:$1,0)+1,FALSE)</f>
        <v>グリム襲来！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2" s="21">
        <v>4</v>
      </c>
      <c r="H2" s="15" t="str">
        <f>B2&amp;"_"&amp;C2&amp;"-"&amp;G2</f>
        <v>40007_1-4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422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シュガフル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50</v>
      </c>
      <c r="T2" s="25">
        <v>1.3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">
        <v>40007010</v>
      </c>
      <c r="Y2" s="70">
        <v>2</v>
      </c>
    </row>
    <row r="3" spans="1:25" ht="21" customHeight="1">
      <c r="A3" s="16" t="str">
        <f t="shared" ref="A3" si="0">B3&amp;"_"&amp;C3&amp;"-"&amp;G3&amp;"/"&amp;M3&amp;"&lt;lv"&amp;S3&amp;"&gt;sq"&amp;K3&amp;"st"&amp;L3</f>
        <v>40007_1-4/398&lt;lv55&gt;sq2st2</v>
      </c>
      <c r="B3" s="22">
        <v>40007</v>
      </c>
      <c r="C3" s="21">
        <v>1</v>
      </c>
      <c r="D3" s="2" t="str">
        <f t="shared" ref="D3" si="1">B3&amp;"_"&amp;C3</f>
        <v>40007_1</v>
      </c>
      <c r="E3" s="4" t="str">
        <f ca="1">VLOOKUP($B3,OFFSET([2]quests!$A$1,0,0,COUNTA([2]quests!$A:$A),MATCH(E$1,[2]quests!$1:$1,0)-MATCH($B$1,[2]quests!$1:$1,0)+1),MATCH(E$1,[2]quests!$1:$1,0)-MATCH($B$1,[2]quests!$1:$1,0)+1,FALSE)</f>
        <v>グリム襲来！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3" s="21">
        <v>4</v>
      </c>
      <c r="H3" s="15" t="str">
        <f t="shared" ref="H3" si="2">B3&amp;"_"&amp;C3&amp;"-"&amp;G3</f>
        <v>40007_1-4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398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ヘンゼル＆グレーテル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55</v>
      </c>
      <c r="T3" s="25">
        <v>1.3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">
        <v>40007012</v>
      </c>
      <c r="Y3" s="70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>
      <c r="A4" s="16" t="str">
        <f t="shared" ref="A4:A5" si="3">B4&amp;"_"&amp;C4&amp;"-"&amp;G4&amp;"/"&amp;M4&amp;"&lt;lv"&amp;S4&amp;"&gt;sq"&amp;K4&amp;"st"&amp;L4</f>
        <v>40007_1-5/491&lt;lv75&gt;sq5st2</v>
      </c>
      <c r="B4" s="22">
        <v>40007</v>
      </c>
      <c r="C4" s="21">
        <v>1</v>
      </c>
      <c r="D4" s="2" t="str">
        <f t="shared" ref="D4:D5" si="4">B4&amp;"_"&amp;C4</f>
        <v>40007_1</v>
      </c>
      <c r="E4" s="4" t="str">
        <f ca="1">VLOOKUP($B4,OFFSET([2]quests!$A$1,0,0,COUNTA([2]quests!$A:$A),MATCH(E$1,[2]quests!$1:$1,0)-MATCH($B$1,[2]quests!$1:$1,0)+1),MATCH(E$1,[2]quests!$1:$1,0)-MATCH($B$1,[2]quests!$1:$1,0)+1,FALSE)</f>
        <v>グリム襲来！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4" s="21">
        <v>5</v>
      </c>
      <c r="H4" s="15" t="str">
        <f t="shared" ref="H4:H5" si="5">B4&amp;"_"&amp;C4&amp;"-"&amp;G4</f>
        <v>40007_1-5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5</v>
      </c>
      <c r="L4" s="38">
        <v>2</v>
      </c>
      <c r="M4" s="20">
        <v>491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収魂の群影 グリム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5">
        <v>2</v>
      </c>
      <c r="U4" s="25">
        <v>1.3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4">
        <v>40007018</v>
      </c>
      <c r="Y4" s="70">
        <v>2</v>
      </c>
    </row>
    <row r="5" spans="1:25" ht="21" customHeight="1">
      <c r="A5" s="16" t="str">
        <f t="shared" si="3"/>
        <v>40007_1-5/491&lt;lv75&gt;sq5st3</v>
      </c>
      <c r="B5" s="22">
        <v>40007</v>
      </c>
      <c r="C5" s="21">
        <v>1</v>
      </c>
      <c r="D5" s="2" t="str">
        <f t="shared" si="4"/>
        <v>40007_1</v>
      </c>
      <c r="E5" s="4" t="str">
        <f ca="1">VLOOKUP($B5,OFFSET([2]quests!$A$1,0,0,COUNTA([2]quests!$A:$A),MATCH(E$1,[2]quests!$1:$1,0)-MATCH($B$1,[2]quests!$1:$1,0)+1),MATCH(E$1,[2]quests!$1:$1,0)-MATCH($B$1,[2]quests!$1:$1,0)+1,FALSE)</f>
        <v>グリム襲来！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【ウィザード級】グリム襲来 </v>
      </c>
      <c r="G5" s="21">
        <v>5</v>
      </c>
      <c r="H5" s="15" t="str">
        <f t="shared" si="5"/>
        <v>40007_1-5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5</v>
      </c>
      <c r="L5" s="38">
        <v>3</v>
      </c>
      <c r="M5" s="20">
        <v>491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収魂の群影 グリム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75</v>
      </c>
      <c r="T5" s="25">
        <v>2</v>
      </c>
      <c r="U5" s="25">
        <v>1.3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4">
        <v>40007019</v>
      </c>
      <c r="Y5" s="7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6"/>
  <sheetViews>
    <sheetView showGridLines="0" workbookViewId="0">
      <pane xSplit="5" ySplit="1" topLeftCell="F44" activePane="bottomRight" state="frozen"/>
      <selection pane="topRight"/>
      <selection pane="bottomLeft"/>
      <selection pane="bottomRight" activeCell="E42" sqref="E4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:A45" si="0">B2&amp;"_"&amp;C2</f>
        <v>40007001_40007001</v>
      </c>
      <c r="B2" s="47">
        <v>40007001</v>
      </c>
      <c r="C2" s="47">
        <v>40007001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2" s="95">
        <v>40007001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si="0"/>
        <v>40007001_40007002</v>
      </c>
      <c r="B3" s="47">
        <v>40007001</v>
      </c>
      <c r="C3" s="47">
        <v>40007002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&lt;臨戦体勢&gt;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自分自身の防御アップ</v>
      </c>
      <c r="F3" s="96">
        <v>40007002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si="0"/>
        <v>40007001_40007003</v>
      </c>
      <c r="B4" s="47">
        <v>40007001</v>
      </c>
      <c r="C4" s="47">
        <v>40007003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&lt;カウンターショット&gt;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1ターンの間カウンター</v>
      </c>
      <c r="F4" s="96">
        <v>40007003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si="0"/>
        <v>40007001_40007004</v>
      </c>
      <c r="B5" s="47">
        <v>40007001</v>
      </c>
      <c r="C5" s="47">
        <v>40007004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&lt;ハンターズバレット&gt;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種族アニマルに大ダメージの全体攻撃</v>
      </c>
      <c r="F5" s="96">
        <v>40007004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si="0"/>
        <v>40007001_40007005</v>
      </c>
      <c r="B6" s="47">
        <v>40007001</v>
      </c>
      <c r="C6" s="47">
        <v>40007005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&lt;危険分子排除&gt;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6" s="96">
        <v>40007005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si="0"/>
        <v>40007002_40007007</v>
      </c>
      <c r="B7" s="47">
        <v>40007002</v>
      </c>
      <c r="C7" s="47">
        <v>40007007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&lt;スタンバイ&gt;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" s="96">
        <v>40007007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si="0"/>
        <v>40007002_40007008</v>
      </c>
      <c r="B8" s="47">
        <v>40007002</v>
      </c>
      <c r="C8" s="47">
        <v>40007008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&lt;侵入者排除&gt;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8" s="96">
        <v>40007008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si="0"/>
        <v>40007002_40007009</v>
      </c>
      <c r="B9" s="47">
        <v>40007002</v>
      </c>
      <c r="C9" s="47">
        <v>40007009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&lt;果てしなき食欲&gt;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9" s="96">
        <v>40007009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>
      <c r="A10" s="39" t="str">
        <f t="shared" si="0"/>
        <v>40007002_40007010</v>
      </c>
      <c r="B10" s="47">
        <v>40007002</v>
      </c>
      <c r="C10" s="47">
        <v>40007010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&lt;迎撃体勢&gt;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3ターンの間カウンター</v>
      </c>
      <c r="F10" s="96">
        <v>40007010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si="0"/>
        <v>40007003_40007012</v>
      </c>
      <c r="B11" s="47">
        <v>40007003</v>
      </c>
      <c r="C11" s="47">
        <v>40007012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11" s="96">
        <v>40007012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0"/>
        <v>40007003_40007013</v>
      </c>
      <c r="B12" s="47">
        <v>40007003</v>
      </c>
      <c r="C12" s="47">
        <v>40007013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&lt;邪気蒼黒掌&gt;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12" s="96">
        <v>40007013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2" s="47"/>
      <c r="Q12" s="47"/>
      <c r="R12" s="47"/>
    </row>
    <row r="13" spans="1:18" ht="21" customHeight="1">
      <c r="A13" s="39" t="str">
        <f t="shared" si="0"/>
        <v>40007003_40007014</v>
      </c>
      <c r="B13" s="47">
        <v>40007003</v>
      </c>
      <c r="C13" s="47">
        <v>40007014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&lt;秘技・邪烈蒼打拳&gt;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お邪魔パネル大量生成</v>
      </c>
      <c r="F13" s="96">
        <v>40007014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si="0"/>
        <v>40007003_40007015</v>
      </c>
      <c r="B14" s="47">
        <v>40007003</v>
      </c>
      <c r="C14" s="47">
        <v>40007015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&lt;クロックアップ&gt;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攻撃頻度アップ</v>
      </c>
      <c r="F14" s="96">
        <v>40007015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149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si="0"/>
        <v>40007004_40007019</v>
      </c>
      <c r="B15" s="47">
        <v>40007004</v>
      </c>
      <c r="C15" s="47">
        <v>40007019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&lt;魔解閃光脚&gt;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お邪魔パネルを破壊して攻撃</v>
      </c>
      <c r="F15" s="96">
        <v>40007019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si="0"/>
        <v>40007004_40007020</v>
      </c>
      <c r="B16" s="47">
        <v>40007004</v>
      </c>
      <c r="C16" s="47">
        <v>40007020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&lt;破壊電光脚&gt;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種族ヒューマンに大ダメージの全体攻撃</v>
      </c>
      <c r="F16" s="96">
        <v>40007020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" s="47"/>
      <c r="Q16" s="47"/>
      <c r="R16" s="47"/>
    </row>
    <row r="17" spans="1:18" ht="21" customHeight="1">
      <c r="A17" s="39" t="str">
        <f t="shared" si="0"/>
        <v>40007004_40007022</v>
      </c>
      <c r="B17" s="47">
        <v>40007004</v>
      </c>
      <c r="C17" s="47">
        <v>40007022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&lt;オーバードライブ&gt;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攻撃力アップ</v>
      </c>
      <c r="F17" s="96">
        <v>40007022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292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0"/>
        <v>40007005_40007024</v>
      </c>
      <c r="B18" s="47">
        <v>40007005</v>
      </c>
      <c r="C18" s="47">
        <v>40007024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&lt;噛みつき&gt;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8" s="96">
        <v>40007024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0"/>
        <v>40007006_40007025</v>
      </c>
      <c r="B19" s="47">
        <v>40007006</v>
      </c>
      <c r="C19" s="47">
        <v>40007025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&lt;ショットガン&gt;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96">
        <v>40007025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si="0"/>
        <v>40007007_40007026</v>
      </c>
      <c r="B20" s="47">
        <v>40007007</v>
      </c>
      <c r="C20" s="47">
        <v>40007026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&lt;警報&gt;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3ターンの間攻撃頻度アップ</v>
      </c>
      <c r="F20" s="96">
        <v>40007026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0"/>
        <v>40007008_40007027</v>
      </c>
      <c r="B21" s="47">
        <v>40007008</v>
      </c>
      <c r="C21" s="47">
        <v>40007027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&lt;放電&gt;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1" s="96">
        <v>40007027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si="0"/>
        <v>40007009_40007030</v>
      </c>
      <c r="B22" s="47">
        <v>40007009</v>
      </c>
      <c r="C22" s="47">
        <v>40007030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……助け…て…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22" s="96">
        <v>40007030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si="0"/>
        <v>40007009_40007031</v>
      </c>
      <c r="B23" s="47">
        <v>40007009</v>
      </c>
      <c r="C23" s="47">
        <v>40007031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青パネルを時限爆弾パネルに変換</v>
      </c>
      <c r="F23" s="96">
        <v>40007031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7"/>
      <c r="Q23" s="47"/>
      <c r="R23" s="47"/>
    </row>
    <row r="24" spans="1:18" ht="21" customHeight="1">
      <c r="A24" s="39" t="str">
        <f t="shared" si="0"/>
        <v>40007009_40007032</v>
      </c>
      <c r="B24" s="47">
        <v>40007009</v>
      </c>
      <c r="C24" s="47">
        <v>40007032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4" s="96">
        <v>40007032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7"/>
      <c r="Q24" s="47"/>
      <c r="R24" s="47"/>
    </row>
    <row r="25" spans="1:18" ht="21" customHeight="1">
      <c r="A25" s="39" t="str">
        <f t="shared" si="0"/>
        <v>40007009_40007033</v>
      </c>
      <c r="B25" s="47">
        <v>40007009</v>
      </c>
      <c r="C25" s="47">
        <v>40007033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防御力アップ</v>
      </c>
      <c r="F25" s="96">
        <v>40007033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si="0"/>
        <v>40007010_40007035</v>
      </c>
      <c r="B26" s="47">
        <v>40007010</v>
      </c>
      <c r="C26" s="47">
        <v>40007035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青パネルを時限爆弾パネルに変換</v>
      </c>
      <c r="F26" s="96">
        <v>40007035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7"/>
      <c r="Q26" s="47"/>
      <c r="R26" s="47"/>
    </row>
    <row r="27" spans="1:18" ht="21" customHeight="1">
      <c r="A27" s="39" t="str">
        <f t="shared" si="0"/>
        <v>40007010_40007036</v>
      </c>
      <c r="B27" s="47">
        <v>40007010</v>
      </c>
      <c r="C27" s="47">
        <v>40007036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7" s="96">
        <v>40007036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7"/>
      <c r="Q27" s="47"/>
      <c r="R27" s="47"/>
    </row>
    <row r="28" spans="1:18" ht="21" customHeight="1">
      <c r="A28" s="39" t="str">
        <f t="shared" si="0"/>
        <v>40007010_40007037</v>
      </c>
      <c r="B28" s="47">
        <v>40007010</v>
      </c>
      <c r="C28" s="47">
        <v>40007037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&lt;呪文詠唱中…&gt;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次のターンに大ダメージ攻撃</v>
      </c>
      <c r="F28" s="96">
        <v>40007037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si="0"/>
        <v>40007010_40007038</v>
      </c>
      <c r="B29" s="47">
        <v>40007010</v>
      </c>
      <c r="C29" s="47">
        <v>40007038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&lt;シュガフルマジック&gt;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大ダメージの攻撃</v>
      </c>
      <c r="F29" s="96">
        <v>40007038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>
      <c r="A30" s="39" t="str">
        <f t="shared" si="0"/>
        <v>40007010_40007039</v>
      </c>
      <c r="B30" s="47">
        <v>40007010</v>
      </c>
      <c r="C30" s="47">
        <v>40007039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防御力アップ</v>
      </c>
      <c r="F30" s="96">
        <v>40007039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si="0"/>
        <v>40007011_40007042</v>
      </c>
      <c r="B31" s="47">
        <v>40007011</v>
      </c>
      <c r="C31" s="47">
        <v>40007042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種族マシンに大ダメージの全体攻撃</v>
      </c>
      <c r="F31" s="96">
        <v>40007042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>
      <c r="A32" s="39" t="str">
        <f t="shared" si="0"/>
        <v>40007011_40007043</v>
      </c>
      <c r="B32" s="47">
        <v>40007011</v>
      </c>
      <c r="C32" s="47">
        <v>40007043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Cパネル生成延長</v>
      </c>
      <c r="F32" s="96">
        <v>40007043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>
      <c r="A33" s="39" t="str">
        <f t="shared" si="0"/>
        <v>40007011_40007044</v>
      </c>
      <c r="B33" s="47">
        <v>40007011</v>
      </c>
      <c r="C33" s="47">
        <v>40007044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敵全体に防御アップ</v>
      </c>
      <c r="F33" s="96">
        <v>40007044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3" s="47"/>
      <c r="Q33" s="47"/>
      <c r="R33" s="47"/>
    </row>
    <row r="34" spans="1:18" ht="21" customHeight="1">
      <c r="A34" s="39" t="str">
        <f t="shared" si="0"/>
        <v>40007011_40007045</v>
      </c>
      <c r="B34" s="47">
        <v>40007011</v>
      </c>
      <c r="C34" s="47">
        <v>40007045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青パネルを時限爆弾パネルに変換</v>
      </c>
      <c r="F34" s="96">
        <v>40007045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>
      <c r="A35" s="39" t="str">
        <f t="shared" si="0"/>
        <v>40007012_40007047</v>
      </c>
      <c r="B35" s="47">
        <v>40007012</v>
      </c>
      <c r="C35" s="47">
        <v>40007047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Cパネル生成延長</v>
      </c>
      <c r="F35" s="96">
        <v>40007047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47"/>
      <c r="Q35" s="47"/>
      <c r="R35" s="47"/>
    </row>
    <row r="36" spans="1:18" ht="21" customHeight="1">
      <c r="A36" s="39" t="str">
        <f t="shared" si="0"/>
        <v>40007012_40007048</v>
      </c>
      <c r="B36" s="47">
        <v>40007012</v>
      </c>
      <c r="C36" s="47">
        <v>40007048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種族マシンに大ダメージの全体攻撃</v>
      </c>
      <c r="F36" s="96">
        <v>40007048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7"/>
      <c r="Q36" s="47"/>
      <c r="R36" s="47"/>
    </row>
    <row r="37" spans="1:18" ht="21" customHeight="1">
      <c r="A37" s="39" t="str">
        <f t="shared" si="0"/>
        <v>40007012_40007049</v>
      </c>
      <c r="B37" s="47">
        <v>40007012</v>
      </c>
      <c r="C37" s="47">
        <v>40007049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敵全体に防御アップ</v>
      </c>
      <c r="F37" s="96">
        <v>40007049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47"/>
      <c r="Q37" s="47"/>
      <c r="R37" s="47"/>
    </row>
    <row r="38" spans="1:18" ht="21" customHeight="1">
      <c r="A38" s="39" t="str">
        <f t="shared" si="0"/>
        <v>40007012_40007050</v>
      </c>
      <c r="B38" s="47">
        <v>40007012</v>
      </c>
      <c r="C38" s="47">
        <v>40007050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青パネルを時限爆弾パネルに変換</v>
      </c>
      <c r="F38" s="96">
        <v>40007050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>
      <c r="A39" s="39" t="str">
        <f t="shared" si="0"/>
        <v>40007013_40007052</v>
      </c>
      <c r="B39" s="47">
        <v>40007013</v>
      </c>
      <c r="C39" s="47">
        <v>40007052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&lt;………！&gt;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96">
        <v>40007052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>
      <c r="A40" s="39" t="str">
        <f t="shared" si="0"/>
        <v>40007013_40007053</v>
      </c>
      <c r="B40" s="47">
        <v>40007013</v>
      </c>
      <c r="C40" s="47">
        <v>40007053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&lt;………！？&gt;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防御力ダウン</v>
      </c>
      <c r="F40" s="96">
        <v>40007053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>
      <c r="A41" s="39" t="str">
        <f t="shared" si="0"/>
        <v>40007014_40007055</v>
      </c>
      <c r="B41" s="47">
        <v>40007014</v>
      </c>
      <c r="C41" s="47">
        <v>40007055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&lt;………！&gt;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96">
        <v>40007055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>
      <c r="A42" s="39" t="str">
        <f t="shared" si="0"/>
        <v>40007014_40007056</v>
      </c>
      <c r="B42" s="47">
        <v>40007014</v>
      </c>
      <c r="C42" s="47">
        <v>40007056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&lt;………！？&gt;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防御力ダウン</v>
      </c>
      <c r="F42" s="96">
        <v>40007056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>
      <c r="A43" s="39" t="str">
        <f t="shared" si="0"/>
        <v>40007015_40007058</v>
      </c>
      <c r="B43" s="47">
        <v>40007015</v>
      </c>
      <c r="C43" s="47">
        <v>40007058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&lt;ショットガン&gt;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96">
        <v>40007058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>
      <c r="A44" s="39" t="str">
        <f t="shared" si="0"/>
        <v>40007016_40007061</v>
      </c>
      <c r="B44" s="47">
        <v>40007016</v>
      </c>
      <c r="C44" s="47">
        <v>40007061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&lt;ショットガン&gt;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" s="96">
        <v>40007061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>
      <c r="A45" s="39" t="str">
        <f t="shared" si="0"/>
        <v>40007017_40007064</v>
      </c>
      <c r="B45" s="47">
        <v>40007017</v>
      </c>
      <c r="C45" s="47">
        <v>40007064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君たちか…僕の玩具を壊したのは…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次のターン強力な攻撃！</v>
      </c>
      <c r="F45" s="96">
        <v>40007064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>
      <c r="A46" s="39" t="str">
        <f t="shared" ref="A46:A66" si="1">B46&amp;"_"&amp;C46</f>
        <v>40007017_40007065</v>
      </c>
      <c r="B46" s="47">
        <v>40007017</v>
      </c>
      <c r="C46" s="47">
        <v>40007065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屈辱を味わわせてやる！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ハートパネルを吸収して強力な攻撃</v>
      </c>
      <c r="F46" s="96">
        <v>40007065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>
      <c r="A47" s="39" t="str">
        <f t="shared" ref="A47" si="2">B47&amp;"_"&amp;C47</f>
        <v>40007017_40007066</v>
      </c>
      <c r="B47" s="47">
        <v>40007017</v>
      </c>
      <c r="C47" s="47">
        <v>40007066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全体攻撃+低確率でスキルバインド</v>
      </c>
      <c r="F47" s="47">
        <v>40007066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" s="47"/>
      <c r="Q47" s="47"/>
      <c r="R47" s="47"/>
    </row>
    <row r="48" spans="1:18" ht="21" customHeight="1">
      <c r="A48" s="39" t="str">
        <f t="shared" ref="A48:A49" si="3">B48&amp;"_"&amp;C48</f>
        <v>40007017_40007067</v>
      </c>
      <c r="B48" s="47">
        <v>40007017</v>
      </c>
      <c r="C48" s="47">
        <v>40007067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竜とて所詮おとぎ話さ…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種族ドラゴンに大ダメージの全体攻撃</v>
      </c>
      <c r="F48" s="47">
        <v>40007067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" s="47"/>
      <c r="Q48" s="47"/>
      <c r="R48" s="47"/>
    </row>
    <row r="49" spans="1:18" ht="21" customHeight="1">
      <c r="A49" s="39" t="str">
        <f t="shared" si="3"/>
        <v>40007017_40007068</v>
      </c>
      <c r="B49" s="47">
        <v>40007017</v>
      </c>
      <c r="C49" s="47">
        <v>40007068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49" s="47">
        <v>40007068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9" s="47"/>
      <c r="Q49" s="47"/>
      <c r="R49" s="47"/>
    </row>
    <row r="50" spans="1:18" ht="21" customHeight="1">
      <c r="A50" s="39" t="str">
        <f t="shared" si="1"/>
        <v>40007018_40007069</v>
      </c>
      <c r="B50" s="47">
        <v>40007018</v>
      </c>
      <c r="C50" s="47">
        <v>40007069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君たちも僕のコレクションに加えてあげよう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状態異常耐性+Cパネル変換不可</v>
      </c>
      <c r="F50" s="96">
        <v>40007069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>
      <c r="A51" s="39" t="str">
        <f t="shared" si="1"/>
        <v>40007018_40007070</v>
      </c>
      <c r="B51" s="47">
        <v>40007018</v>
      </c>
      <c r="C51" s="47">
        <v>40007070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全体攻撃+低確率でスキルバインド</v>
      </c>
      <c r="F51" s="96">
        <v>40007070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1" s="47"/>
      <c r="Q51" s="47"/>
      <c r="R51" s="47"/>
    </row>
    <row r="52" spans="1:18" ht="21" customHeight="1">
      <c r="A52" s="39" t="str">
        <f t="shared" si="1"/>
        <v>40007018_40007071</v>
      </c>
      <c r="B52" s="47">
        <v>40007018</v>
      </c>
      <c r="C52" s="47">
        <v>40007071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2" s="96">
        <v>40007071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2" s="47"/>
      <c r="Q52" s="47"/>
      <c r="R52" s="47"/>
    </row>
    <row r="53" spans="1:18" ht="21" customHeight="1">
      <c r="A53" s="39" t="str">
        <f t="shared" si="1"/>
        <v>40007018_40007072</v>
      </c>
      <c r="B53" s="47">
        <v>40007018</v>
      </c>
      <c r="C53" s="47">
        <v>40007072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お人形にしてやるよ！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全体にスキルバインド</v>
      </c>
      <c r="F53" s="96">
        <v>40007072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>
      <c r="A54" s="39" t="str">
        <f t="shared" si="1"/>
        <v>40007018_40007073</v>
      </c>
      <c r="B54" s="47">
        <v>40007018</v>
      </c>
      <c r="C54" s="47">
        <v>40007073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神さえも支配してみせるさ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種族ゴッドに大ダメージの全体攻撃</v>
      </c>
      <c r="F54" s="96">
        <v>40007073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4" s="47"/>
      <c r="Q54" s="47"/>
      <c r="R54" s="47"/>
    </row>
    <row r="55" spans="1:18" ht="21" customHeight="1">
      <c r="A55" s="39" t="str">
        <f t="shared" si="1"/>
        <v>40007019_40007076</v>
      </c>
      <c r="B55" s="47">
        <v>40007019</v>
      </c>
      <c r="C55" s="47">
        <v>40007076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この力でALICEを支配してみせる！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状態異常耐性＆防御アップ</v>
      </c>
      <c r="F55" s="96">
        <v>40007076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>
      <c r="A56" s="39" t="str">
        <f t="shared" si="1"/>
        <v>40007019_40007077</v>
      </c>
      <c r="B56" s="47">
        <v>40007019</v>
      </c>
      <c r="C56" s="47">
        <v>40007077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次で終わりにしてあげるよ！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Cパネル変換不可</v>
      </c>
      <c r="F56" s="96">
        <v>40007077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>
      <c r="A57" s="39" t="str">
        <f t="shared" si="1"/>
        <v>40007019_40007078</v>
      </c>
      <c r="B57" s="47">
        <v>40007019</v>
      </c>
      <c r="C57" s="47">
        <v>40007078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これで屈服させてやる！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ハートパネルを吸収して強力な攻撃</v>
      </c>
      <c r="F57" s="96">
        <v>40007078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>
      <c r="A58" s="39" t="str">
        <f t="shared" si="1"/>
        <v>40007019_40007079</v>
      </c>
      <c r="B58" s="47">
        <v>40007019</v>
      </c>
      <c r="C58" s="47">
        <v>40007079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全体攻撃+低確率でスキルバインド</v>
      </c>
      <c r="F58" s="96">
        <v>40007079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8" s="47"/>
      <c r="Q58" s="47"/>
      <c r="R58" s="47"/>
    </row>
    <row r="59" spans="1:18" ht="21" customHeight="1">
      <c r="A59" s="39" t="str">
        <f t="shared" si="1"/>
        <v>40007019_40007080</v>
      </c>
      <c r="B59" s="47">
        <v>40007019</v>
      </c>
      <c r="C59" s="47">
        <v>40007080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9" s="96">
        <v>40007080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9" s="47"/>
      <c r="Q59" s="47"/>
      <c r="R59" s="47"/>
    </row>
    <row r="60" spans="1:18" ht="21" customHeight="1">
      <c r="A60" s="39" t="str">
        <f t="shared" si="1"/>
        <v>40007019_40007081</v>
      </c>
      <c r="B60" s="47">
        <v>40007019</v>
      </c>
      <c r="C60" s="47">
        <v>40007081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勝てるとでも思ったかい？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フィーバーゲージ吸収</v>
      </c>
      <c r="F60" s="96">
        <v>40007081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0" s="47"/>
      <c r="Q60" s="47"/>
      <c r="R60" s="47"/>
    </row>
    <row r="61" spans="1:18" ht="21" customHeight="1">
      <c r="A61" s="39" t="str">
        <f t="shared" si="1"/>
        <v>40007019_40007082</v>
      </c>
      <c r="B61" s="47">
        <v>40007019</v>
      </c>
      <c r="C61" s="47">
        <v>40007082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さあ、そろそろエピローグだ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攻撃頻度アップ</v>
      </c>
      <c r="F61" s="96">
        <v>40007082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>
      <c r="A62" s="39" t="str">
        <f t="shared" si="1"/>
        <v>40007019_40007083</v>
      </c>
      <c r="B62" s="47">
        <v>40007019</v>
      </c>
      <c r="C62" s="47">
        <v>40007083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ターンごとに強力になる攻撃！</v>
      </c>
      <c r="F62" s="96">
        <v>40007083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>
      <c r="A63" s="39" t="str">
        <f t="shared" si="1"/>
        <v>40007019_40007084</v>
      </c>
      <c r="B63" s="47">
        <v>40007019</v>
      </c>
      <c r="C63" s="47">
        <v>40007084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ターンごとに強力になる攻撃！</v>
      </c>
      <c r="F63" s="96">
        <v>40007084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>
      <c r="A64" s="39" t="str">
        <f t="shared" si="1"/>
        <v>40007019_40007085</v>
      </c>
      <c r="B64" s="47">
        <v>40007019</v>
      </c>
      <c r="C64" s="47">
        <v>40007085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ターンごとに強力になる攻撃！</v>
      </c>
      <c r="F64" s="96">
        <v>40007085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>
      <c r="A65" s="39" t="str">
        <f t="shared" si="1"/>
        <v>40007019_40007086</v>
      </c>
      <c r="B65" s="47">
        <v>40007019</v>
      </c>
      <c r="C65" s="47">
        <v>40007086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ターンごとに強力になる攻撃！</v>
      </c>
      <c r="F65" s="96">
        <v>40007086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>
      <c r="A66" s="39" t="str">
        <f t="shared" si="1"/>
        <v>40007019_40007087</v>
      </c>
      <c r="B66" s="47">
        <v>40007019</v>
      </c>
      <c r="C66" s="47">
        <v>40007087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ターンごとに強力になる攻撃！</v>
      </c>
      <c r="F66" s="96">
        <v>40007087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0"/>
  <sheetViews>
    <sheetView showGridLines="0" tabSelected="1" workbookViewId="0">
      <pane ySplit="1" topLeftCell="A31" activePane="bottomLeft" state="frozenSplit"/>
      <selection pane="bottomLeft" activeCell="B48" sqref="B48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40007001</v>
      </c>
      <c r="B2" s="47" t="s">
        <v>224</v>
      </c>
      <c r="C2" s="50">
        <v>3</v>
      </c>
      <c r="D2" s="50" t="s">
        <v>128</v>
      </c>
      <c r="E2" s="51" t="s">
        <v>246</v>
      </c>
      <c r="F2" s="51" t="s">
        <v>248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47">
        <v>40007002</v>
      </c>
      <c r="B3" s="47" t="s">
        <v>346</v>
      </c>
      <c r="C3" s="50">
        <v>3</v>
      </c>
      <c r="D3" s="50" t="s">
        <v>128</v>
      </c>
      <c r="E3" s="51" t="s">
        <v>325</v>
      </c>
      <c r="F3" s="51" t="s">
        <v>317</v>
      </c>
      <c r="G3" s="63" t="str">
        <f t="shared" ref="G3:G62" si="0">IFERROR(LEFT(B3,FIND("],",B3)),B3)</f>
        <v xml:space="preserve">[effect:enhance_enemy, target:myself, turn:5, status:defense, val:3000, calc:add, animation:enemy_enhance_defense]    </v>
      </c>
      <c r="H3" s="63">
        <f t="shared" ref="H3:H66" si="1">FIND("effect:",G3)+7</f>
        <v>9</v>
      </c>
      <c r="I3" s="63">
        <f t="shared" ref="I3:I62" si="2">IFERROR(FIND(",",G3),LEN(G3))</f>
        <v>22</v>
      </c>
      <c r="J3" s="63">
        <f t="shared" ref="J3:J62" si="3">FIND("target:",G3)+7</f>
        <v>31</v>
      </c>
      <c r="K3" s="63">
        <f t="shared" ref="K3:K62" si="4">FIND(",",G3,I3+1)</f>
        <v>37</v>
      </c>
      <c r="L3" s="63" t="str">
        <f>IFERROR(VLOOKUP(MID(G3,J3,K3-J3),[6]skilldef!$C:$D,2,FALSE),"-") &amp; " / " &amp; IFERROR(VLOOKUP(MID(G3,H3,I3-H3),[6]skilldef!$A:$B,2,FALSE),"-")</f>
        <v>自分自身に / ステータス強化</v>
      </c>
      <c r="M3" s="63" t="str">
        <f t="shared" ref="M3:M62" si="5">IFERROR(RIGHT(B3,LEN(B3)-FIND("],",B3)-1),"none")</f>
        <v>none</v>
      </c>
      <c r="N3" s="48" t="str">
        <f t="shared" ref="N3:N62" si="6">IFERROR(LEFT(M3,FIND("],",M3)+S13),M3)</f>
        <v>none</v>
      </c>
      <c r="O3" s="63" t="e">
        <f t="shared" ref="O3:O66" si="7">FIND("effect:",N3)+7</f>
        <v>#VALUE!</v>
      </c>
      <c r="P3" s="63">
        <f t="shared" ref="P3:P62" si="8">IFERROR(FIND(",",N3),LEN(N3))</f>
        <v>4</v>
      </c>
      <c r="Q3" s="63" t="e">
        <f t="shared" ref="Q3:Q62" si="9">FIND("target:",N3)+7</f>
        <v>#VALUE!</v>
      </c>
      <c r="R3" s="63" t="e">
        <f t="shared" ref="R3:R62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62" si="11">IFERROR(RIGHT(M3,LEN(M3)-FIND("],",M3)-1),"none")</f>
        <v>none</v>
      </c>
      <c r="U3" s="63" t="e">
        <f t="shared" ref="U3:U66" si="12">FIND("effect:",T3)+7</f>
        <v>#VALUE!</v>
      </c>
      <c r="V3" s="63">
        <f t="shared" ref="V3:V62" si="13">IFERROR(FIND(",",T3),LEN(T3))</f>
        <v>4</v>
      </c>
      <c r="W3" s="63" t="e">
        <f t="shared" ref="W3:W62" si="14">FIND("target:",T3)+7</f>
        <v>#VALUE!</v>
      </c>
      <c r="X3" s="63" t="e">
        <f t="shared" ref="X3:X62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47">
        <v>40007003</v>
      </c>
      <c r="B4" s="47" t="s">
        <v>240</v>
      </c>
      <c r="C4" s="50">
        <v>3</v>
      </c>
      <c r="D4" s="50" t="s">
        <v>128</v>
      </c>
      <c r="E4" s="51" t="s">
        <v>343</v>
      </c>
      <c r="F4" s="51" t="s">
        <v>262</v>
      </c>
      <c r="G4" s="63" t="str">
        <f t="shared" si="0"/>
        <v>[effect:enemy_counter, target:myself, invoke_condition:unit_all, counter_target:attacker, turn:1, val:1.5, animation:enemy_counter]</v>
      </c>
      <c r="H4" s="63">
        <f t="shared" si="1"/>
        <v>9</v>
      </c>
      <c r="I4" s="63">
        <f t="shared" si="2"/>
        <v>22</v>
      </c>
      <c r="J4" s="63">
        <f t="shared" si="3"/>
        <v>31</v>
      </c>
      <c r="K4" s="63">
        <f t="shared" si="4"/>
        <v>37</v>
      </c>
      <c r="L4" s="63" t="str">
        <f>IFERROR(VLOOKUP(MID(G4,J4,K4-J4),[6]skilldef!$C:$D,2,FALSE),"-") &amp; " / " &amp; IFERROR(VLOOKUP(MID(G4,H4,I4-H4),[6]skilldef!$A:$B,2,FALSE),"-")</f>
        <v>自分自身に / カウンター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47">
        <v>40007004</v>
      </c>
      <c r="B5" s="47" t="s">
        <v>236</v>
      </c>
      <c r="C5" s="50">
        <v>3</v>
      </c>
      <c r="D5" s="50" t="s">
        <v>128</v>
      </c>
      <c r="E5" s="51" t="s">
        <v>272</v>
      </c>
      <c r="F5" s="51" t="s">
        <v>260</v>
      </c>
      <c r="G5" s="63" t="str">
        <f t="shared" si="0"/>
        <v>[effect:damage_anti_tribe, target:unit_all, tribe:animal, val1:1.3, val2:0.1]</v>
      </c>
      <c r="H5" s="63">
        <f t="shared" si="1"/>
        <v>9</v>
      </c>
      <c r="I5" s="63">
        <f t="shared" si="2"/>
        <v>26</v>
      </c>
      <c r="J5" s="63">
        <f t="shared" si="3"/>
        <v>35</v>
      </c>
      <c r="K5" s="63">
        <f t="shared" si="4"/>
        <v>43</v>
      </c>
      <c r="L5" s="63" t="str">
        <f>IFERROR(VLOOKUP(MID(G5,J5,K5-J5),[6]skilldef!$C:$D,2,FALSE),"-") &amp; " / " &amp; IFERROR(VLOOKUP(MID(G5,H5,I5-H5),[6]skilldef!$A:$B,2,FALSE),"-")</f>
        <v>味方全体に / 種族キラー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47">
        <v>40007005</v>
      </c>
      <c r="B6" s="47" t="s">
        <v>351</v>
      </c>
      <c r="C6" s="50">
        <v>3</v>
      </c>
      <c r="D6" s="50" t="s">
        <v>128</v>
      </c>
      <c r="E6" s="51" t="s">
        <v>264</v>
      </c>
      <c r="F6" s="51" t="s">
        <v>202</v>
      </c>
      <c r="G6" s="63" t="str">
        <f t="shared" si="0"/>
        <v xml:space="preserve">[effect:rush, count:20, val:0.05]    </v>
      </c>
      <c r="H6" s="63">
        <f t="shared" si="1"/>
        <v>9</v>
      </c>
      <c r="I6" s="63">
        <f t="shared" si="2"/>
        <v>13</v>
      </c>
      <c r="J6" s="63" t="e">
        <f t="shared" si="3"/>
        <v>#VALUE!</v>
      </c>
      <c r="K6" s="63">
        <f t="shared" si="4"/>
        <v>23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47">
        <v>40007006</v>
      </c>
      <c r="B7" s="47" t="s">
        <v>224</v>
      </c>
      <c r="C7" s="50">
        <v>3</v>
      </c>
      <c r="D7" s="50" t="s">
        <v>128</v>
      </c>
      <c r="E7" s="51" t="s">
        <v>200</v>
      </c>
      <c r="F7" s="51" t="s">
        <v>201</v>
      </c>
      <c r="G7" s="63" t="str">
        <f t="shared" si="0"/>
        <v>[effect:nothing]</v>
      </c>
      <c r="H7" s="63">
        <f t="shared" si="1"/>
        <v>9</v>
      </c>
      <c r="I7" s="63">
        <f t="shared" si="2"/>
        <v>16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IFERROR(VLOOKUP(MID(G7,J7,K7-J7),[6]skilldef!$C:$D,2,FALSE),"-") &amp; " / " &amp; IFERROR(VLOOKUP(MID(G7,H7,I7-H7),[6]skilldef!$A:$B,2,FALSE),"-")</f>
        <v>- / 何もしない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47">
        <v>40007007</v>
      </c>
      <c r="B8" s="47" t="s">
        <v>225</v>
      </c>
      <c r="C8" s="50">
        <v>3</v>
      </c>
      <c r="D8" s="50" t="s">
        <v>128</v>
      </c>
      <c r="E8" s="51" t="s">
        <v>265</v>
      </c>
      <c r="F8" s="51" t="s">
        <v>249</v>
      </c>
      <c r="G8" s="63" t="str">
        <f t="shared" si="0"/>
        <v>[effect:tolerance, target:myself, turn:-1, tolerance_effect:hungup, count:-1, animation:enemy_tolerance]</v>
      </c>
      <c r="H8" s="63">
        <f t="shared" si="1"/>
        <v>9</v>
      </c>
      <c r="I8" s="63">
        <f t="shared" si="2"/>
        <v>18</v>
      </c>
      <c r="J8" s="63">
        <f t="shared" si="3"/>
        <v>27</v>
      </c>
      <c r="K8" s="63">
        <f t="shared" si="4"/>
        <v>33</v>
      </c>
      <c r="L8" s="63" t="str">
        <f>IFERROR(VLOOKUP(MID(G8,J8,K8-J8),[6]skilldef!$C:$D,2,FALSE),"-") &amp; " / " &amp; IFERROR(VLOOKUP(MID(G8,H8,I8-H8),[6]skilldef!$A:$B,2,FALSE),"-")</f>
        <v>自分自身に / 状態異常耐性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40007008</v>
      </c>
      <c r="B9" s="47" t="s">
        <v>259</v>
      </c>
      <c r="C9" s="50">
        <v>3</v>
      </c>
      <c r="D9" s="50" t="s">
        <v>128</v>
      </c>
      <c r="E9" s="51" t="s">
        <v>344</v>
      </c>
      <c r="F9" s="51" t="s">
        <v>204</v>
      </c>
      <c r="G9" s="63" t="str">
        <f t="shared" si="0"/>
        <v xml:space="preserve">[effect:enhance_enemy, target:myself, turn:-1, status:attack, val:1.2, calc:mul, animation:enemy_enhance_attack]    </v>
      </c>
      <c r="H9" s="63">
        <f t="shared" si="1"/>
        <v>9</v>
      </c>
      <c r="I9" s="63">
        <f t="shared" si="2"/>
        <v>22</v>
      </c>
      <c r="J9" s="63">
        <f t="shared" si="3"/>
        <v>31</v>
      </c>
      <c r="K9" s="63">
        <f t="shared" si="4"/>
        <v>37</v>
      </c>
      <c r="L9" s="63" t="str">
        <f>IFERROR(VLOOKUP(MID(G9,J9,K9-J9),[6]skilldef!$C:$D,2,FALSE),"-") &amp; " / " &amp; IFERROR(VLOOKUP(MID(G9,H9,I9-H9),[6]skilldef!$A:$B,2,FALSE),"-")</f>
        <v>自分自身に / ステータス強化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40007009</v>
      </c>
      <c r="B10" s="47" t="s">
        <v>347</v>
      </c>
      <c r="C10" s="50">
        <v>3</v>
      </c>
      <c r="D10" s="50" t="s">
        <v>128</v>
      </c>
      <c r="E10" s="51" t="s">
        <v>273</v>
      </c>
      <c r="F10" s="51" t="s">
        <v>202</v>
      </c>
      <c r="G10" s="63" t="str">
        <f t="shared" si="0"/>
        <v>[effect:rush, count:20, val:0.1]</v>
      </c>
      <c r="H10" s="63">
        <f t="shared" si="1"/>
        <v>9</v>
      </c>
      <c r="I10" s="63">
        <f t="shared" si="2"/>
        <v>13</v>
      </c>
      <c r="J10" s="63" t="e">
        <f t="shared" si="3"/>
        <v>#VALUE!</v>
      </c>
      <c r="K10" s="63">
        <f t="shared" si="4"/>
        <v>23</v>
      </c>
      <c r="L10" s="63" t="str">
        <f>IFERROR(VLOOKUP(MID(G10,J10,K10-J10),[6]skilldef!$C:$D,2,FALSE),"-") &amp; " / " &amp; IFERROR(VLOOKUP(MID(G10,H10,I10-H10),[6]skilldef!$A:$B,2,FALSE),"-")</f>
        <v>- / 連続攻撃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47">
        <v>40007010</v>
      </c>
      <c r="B11" s="47" t="s">
        <v>241</v>
      </c>
      <c r="C11" s="50">
        <v>3</v>
      </c>
      <c r="D11" s="50" t="s">
        <v>128</v>
      </c>
      <c r="E11" s="51" t="s">
        <v>266</v>
      </c>
      <c r="F11" s="51" t="s">
        <v>263</v>
      </c>
      <c r="G11" s="63" t="str">
        <f t="shared" si="0"/>
        <v>[effect:enemy_counter, target:myself, invoke_condition:unit_all, counter_target:attacker, turn:3, val:1, animation:enemy_counter]</v>
      </c>
      <c r="H11" s="63">
        <f t="shared" si="1"/>
        <v>9</v>
      </c>
      <c r="I11" s="63">
        <f t="shared" si="2"/>
        <v>22</v>
      </c>
      <c r="J11" s="63">
        <f t="shared" si="3"/>
        <v>31</v>
      </c>
      <c r="K11" s="63">
        <f t="shared" si="4"/>
        <v>37</v>
      </c>
      <c r="L11" s="63" t="str">
        <f>IFERROR(VLOOKUP(MID(G11,J11,K11-J11),[6]skilldef!$C:$D,2,FALSE),"-") &amp; " / " &amp; IFERROR(VLOOKUP(MID(G11,H11,I11-H11),[6]skilldef!$A:$B,2,FALSE),"-")</f>
        <v>自分自身に / カウンター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47">
        <v>40007011</v>
      </c>
      <c r="B12" s="47" t="s">
        <v>224</v>
      </c>
      <c r="C12" s="50">
        <v>3</v>
      </c>
      <c r="D12" s="50" t="s">
        <v>348</v>
      </c>
      <c r="E12" s="51" t="s">
        <v>203</v>
      </c>
      <c r="F12" s="51" t="s">
        <v>201</v>
      </c>
      <c r="G12" s="63" t="str">
        <f t="shared" si="0"/>
        <v>[effect:nothing]</v>
      </c>
      <c r="H12" s="63">
        <f t="shared" si="1"/>
        <v>9</v>
      </c>
      <c r="I12" s="63">
        <f t="shared" si="2"/>
        <v>16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何もしない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47">
        <v>40007012</v>
      </c>
      <c r="B13" s="47" t="s">
        <v>258</v>
      </c>
      <c r="C13" s="50">
        <v>3</v>
      </c>
      <c r="D13" s="50" t="s">
        <v>128</v>
      </c>
      <c r="E13" s="51" t="s">
        <v>247</v>
      </c>
      <c r="F13" s="51" t="s">
        <v>250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47">
        <v>40007013</v>
      </c>
      <c r="B14" s="47" t="s">
        <v>305</v>
      </c>
      <c r="C14" s="50">
        <v>3</v>
      </c>
      <c r="D14" s="50" t="s">
        <v>128</v>
      </c>
      <c r="E14" s="51" t="s">
        <v>274</v>
      </c>
      <c r="F14" s="51" t="s">
        <v>307</v>
      </c>
      <c r="G14" s="63" t="str">
        <f t="shared" si="0"/>
        <v>[effect:change_block, new_block:jammer, target:block_all, count:3, val:0, animation:change_block]</v>
      </c>
      <c r="H14" s="63">
        <f t="shared" si="1"/>
        <v>9</v>
      </c>
      <c r="I14" s="63">
        <f t="shared" si="2"/>
        <v>21</v>
      </c>
      <c r="J14" s="63">
        <f t="shared" si="3"/>
        <v>48</v>
      </c>
      <c r="K14" s="63">
        <f t="shared" si="4"/>
        <v>39</v>
      </c>
      <c r="L14" s="63" t="str">
        <f>IFERROR(VLOOKUP(MID(G14,J14,K14-J14),[6]skilldef!$C:$D,2,FALSE),"-") &amp; " / " &amp; IFERROR(VLOOKUP(MID(G14,H14,I14-H14),[6]skilldef!$A:$B,2,FALSE),"-")</f>
        <v>- / ブロック変換</v>
      </c>
      <c r="M14" s="63" t="str">
        <f t="shared" si="5"/>
        <v>[effect:critical, val:1.0]</v>
      </c>
      <c r="N14" s="48" t="str">
        <f t="shared" si="6"/>
        <v>[effect:critical, val:1.0]</v>
      </c>
      <c r="O14" s="63">
        <f t="shared" si="7"/>
        <v>9</v>
      </c>
      <c r="P14" s="63">
        <f t="shared" si="8"/>
        <v>17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大攻撃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40007014</v>
      </c>
      <c r="B15" s="47" t="s">
        <v>306</v>
      </c>
      <c r="C15" s="50">
        <v>3</v>
      </c>
      <c r="D15" s="50" t="s">
        <v>128</v>
      </c>
      <c r="E15" s="51" t="s">
        <v>275</v>
      </c>
      <c r="F15" s="51" t="s">
        <v>308</v>
      </c>
      <c r="G15" s="63" t="str">
        <f t="shared" si="0"/>
        <v>[effect:change_block, new_block:jammer, target:block_all, count:6, val:0, animation:change_block]</v>
      </c>
      <c r="H15" s="63">
        <f t="shared" si="1"/>
        <v>9</v>
      </c>
      <c r="I15" s="63">
        <f t="shared" si="2"/>
        <v>21</v>
      </c>
      <c r="J15" s="63">
        <f t="shared" si="3"/>
        <v>48</v>
      </c>
      <c r="K15" s="63">
        <f t="shared" si="4"/>
        <v>39</v>
      </c>
      <c r="L15" s="63" t="str">
        <f>IFERROR(VLOOKUP(MID(G15,J15,K15-J15),[6]skilldef!$C:$D,2,FALSE),"-") &amp; " / " &amp; IFERROR(VLOOKUP(MID(G15,H15,I15-H15),[6]skilldef!$A:$B,2,FALSE),"-")</f>
        <v>- / ブロック変換</v>
      </c>
      <c r="M15" s="63" t="str">
        <f t="shared" si="5"/>
        <v>[effect:critical, val:1.3]</v>
      </c>
      <c r="N15" s="48" t="str">
        <f t="shared" si="6"/>
        <v>[effect:critical, val:1.3]</v>
      </c>
      <c r="O15" s="63">
        <f t="shared" si="7"/>
        <v>9</v>
      </c>
      <c r="P15" s="63">
        <f t="shared" si="8"/>
        <v>17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大攻撃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40007015</v>
      </c>
      <c r="B16" s="47" t="s">
        <v>311</v>
      </c>
      <c r="C16" s="50">
        <v>3</v>
      </c>
      <c r="D16" s="50" t="s">
        <v>128</v>
      </c>
      <c r="E16" s="51" t="s">
        <v>345</v>
      </c>
      <c r="F16" s="51" t="s">
        <v>206</v>
      </c>
      <c r="G16" s="63" t="str">
        <f t="shared" si="0"/>
        <v>[effect:freq_turn, target:myself, turn:-1, val:1, animation:enemy_freq_turn]</v>
      </c>
      <c r="H16" s="63">
        <f t="shared" si="1"/>
        <v>9</v>
      </c>
      <c r="I16" s="63">
        <f t="shared" si="2"/>
        <v>18</v>
      </c>
      <c r="J16" s="63">
        <f t="shared" si="3"/>
        <v>27</v>
      </c>
      <c r="K16" s="63">
        <f t="shared" si="4"/>
        <v>33</v>
      </c>
      <c r="L16" s="63" t="str">
        <f>IFERROR(VLOOKUP(MID(G16,J16,K16-J16),[6]skilldef!$C:$D,2,FALSE),"-") &amp; " / " &amp; IFERROR(VLOOKUP(MID(G16,H16,I16-H16),[6]skilldef!$A:$B,2,FALSE),"-")</f>
        <v>自分自身に / 攻撃頻度がUP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40007016</v>
      </c>
      <c r="B17" s="47" t="s">
        <v>224</v>
      </c>
      <c r="C17" s="50">
        <v>3</v>
      </c>
      <c r="D17" s="50" t="s">
        <v>128</v>
      </c>
      <c r="E17" s="51" t="s">
        <v>205</v>
      </c>
      <c r="F17" s="51" t="s">
        <v>207</v>
      </c>
      <c r="G17" s="63" t="str">
        <f t="shared" si="0"/>
        <v>[effect:nothing]</v>
      </c>
      <c r="H17" s="63">
        <f t="shared" si="1"/>
        <v>9</v>
      </c>
      <c r="I17" s="63">
        <f t="shared" si="2"/>
        <v>16</v>
      </c>
      <c r="J17" s="63" t="e">
        <f t="shared" si="3"/>
        <v>#VALUE!</v>
      </c>
      <c r="K17" s="63" t="e">
        <f t="shared" si="4"/>
        <v>#VALUE!</v>
      </c>
      <c r="L17" s="63" t="str">
        <f>IFERROR(VLOOKUP(MID(G17,J17,K17-J17),[6]skilldef!$C:$D,2,FALSE),"-") &amp; " / " &amp; IFERROR(VLOOKUP(MID(G17,H17,I17-H17),[6]skilldef!$A:$B,2,FALSE),"-")</f>
        <v>- / 何もしない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40007017</v>
      </c>
      <c r="B18" s="47" t="s">
        <v>224</v>
      </c>
      <c r="C18" s="50">
        <v>3</v>
      </c>
      <c r="D18" s="50" t="s">
        <v>128</v>
      </c>
      <c r="E18" s="51" t="s">
        <v>254</v>
      </c>
      <c r="F18" s="51" t="s">
        <v>250</v>
      </c>
      <c r="G18" s="63" t="str">
        <f t="shared" si="0"/>
        <v>[effect:nothing]</v>
      </c>
      <c r="H18" s="63">
        <f t="shared" si="1"/>
        <v>9</v>
      </c>
      <c r="I18" s="63">
        <f t="shared" si="2"/>
        <v>16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何もしない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40007018</v>
      </c>
      <c r="B19" s="47" t="s">
        <v>224</v>
      </c>
      <c r="C19" s="50">
        <v>3</v>
      </c>
      <c r="D19" s="50" t="s">
        <v>128</v>
      </c>
      <c r="E19" s="51" t="s">
        <v>255</v>
      </c>
      <c r="F19" s="51" t="s">
        <v>201</v>
      </c>
      <c r="G19" s="63" t="str">
        <f t="shared" si="0"/>
        <v>[effect:nothing]</v>
      </c>
      <c r="H19" s="63">
        <f t="shared" si="1"/>
        <v>9</v>
      </c>
      <c r="I19" s="63">
        <f t="shared" si="2"/>
        <v>16</v>
      </c>
      <c r="J19" s="63" t="e">
        <f t="shared" si="3"/>
        <v>#VALUE!</v>
      </c>
      <c r="K19" s="63" t="e">
        <f t="shared" si="4"/>
        <v>#VALUE!</v>
      </c>
      <c r="L19" s="63" t="str">
        <f>IFERROR(VLOOKUP(MID(G19,J19,K19-J19),[6]skilldef!$C:$D,2,FALSE),"-") &amp; " / " &amp; IFERROR(VLOOKUP(MID(G19,H19,I19-H19),[6]skilldef!$A:$B,2,FALSE),"-")</f>
        <v>- / 何もしない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47">
        <v>40007019</v>
      </c>
      <c r="B20" s="47" t="s">
        <v>315</v>
      </c>
      <c r="C20" s="50">
        <v>3</v>
      </c>
      <c r="D20" s="50" t="s">
        <v>128</v>
      </c>
      <c r="E20" s="51" t="s">
        <v>277</v>
      </c>
      <c r="F20" s="51" t="s">
        <v>269</v>
      </c>
      <c r="G20" s="63" t="str">
        <f t="shared" si="0"/>
        <v>[effect:break_attack_fix, val:1250, lowest_val:666, count:-1, block:jammer, target:unit_one]</v>
      </c>
      <c r="H20" s="63">
        <f t="shared" si="1"/>
        <v>9</v>
      </c>
      <c r="I20" s="63">
        <f t="shared" si="2"/>
        <v>25</v>
      </c>
      <c r="J20" s="63">
        <f t="shared" si="3"/>
        <v>84</v>
      </c>
      <c r="K20" s="63">
        <f t="shared" si="4"/>
        <v>35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40007020</v>
      </c>
      <c r="B21" s="47" t="s">
        <v>334</v>
      </c>
      <c r="C21" s="50">
        <v>3</v>
      </c>
      <c r="D21" s="50" t="s">
        <v>128</v>
      </c>
      <c r="E21" s="51" t="s">
        <v>276</v>
      </c>
      <c r="F21" s="51" t="s">
        <v>333</v>
      </c>
      <c r="G21" s="63" t="str">
        <f t="shared" si="0"/>
        <v>[effect:damage_anti_tribe, target:unit_all, tribe:human, val1:1.3, val2:0.1]</v>
      </c>
      <c r="H21" s="63">
        <f t="shared" si="1"/>
        <v>9</v>
      </c>
      <c r="I21" s="63">
        <f t="shared" si="2"/>
        <v>26</v>
      </c>
      <c r="J21" s="63">
        <f t="shared" si="3"/>
        <v>35</v>
      </c>
      <c r="K21" s="63">
        <f t="shared" si="4"/>
        <v>43</v>
      </c>
      <c r="L21" s="63" t="str">
        <f>IFERROR(VLOOKUP(MID(G21,J21,K21-J21),[6]skilldef!$C:$D,2,FALSE),"-") &amp; " / " &amp; IFERROR(VLOOKUP(MID(G21,H21,I21-H21),[6]skilldef!$A:$B,2,FALSE),"-")</f>
        <v>味方全体に / 種族キラー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40007021</v>
      </c>
      <c r="B22" s="47" t="s">
        <v>310</v>
      </c>
      <c r="C22" s="50">
        <v>3</v>
      </c>
      <c r="D22" s="50" t="s">
        <v>128</v>
      </c>
      <c r="E22" s="51" t="s">
        <v>267</v>
      </c>
      <c r="F22" s="51" t="s">
        <v>209</v>
      </c>
      <c r="G22" s="63" t="str">
        <f t="shared" si="0"/>
        <v>[effect:freq_turn, target:myself, turn:3, val:1, animation:enemy_freq_turn]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33</v>
      </c>
      <c r="L22" s="63" t="str">
        <f>IFERROR(VLOOKUP(MID(G22,J22,K22-J22),[6]skilldef!$C:$D,2,FALSE),"-") &amp; " / " &amp; IFERROR(VLOOKUP(MID(G22,H22,I22-H22),[6]skilldef!$A:$B,2,FALSE),"-")</f>
        <v>自分自身に / 攻撃頻度がUP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>
      <c r="A23" s="47">
        <v>40007022</v>
      </c>
      <c r="B23" s="47" t="s">
        <v>352</v>
      </c>
      <c r="C23" s="50">
        <v>3</v>
      </c>
      <c r="D23" s="50" t="s">
        <v>128</v>
      </c>
      <c r="E23" s="51" t="s">
        <v>268</v>
      </c>
      <c r="F23" s="51" t="s">
        <v>270</v>
      </c>
      <c r="G23" s="63" t="str">
        <f t="shared" si="0"/>
        <v xml:space="preserve">[effect:enhance_enemy, target:myself, turn:-1, status:attack, val:1.2, calc:mul, animation:enemy_enhance_attack]    </v>
      </c>
      <c r="H23" s="63">
        <f t="shared" si="1"/>
        <v>9</v>
      </c>
      <c r="I23" s="63">
        <f t="shared" si="2"/>
        <v>22</v>
      </c>
      <c r="J23" s="63">
        <f t="shared" si="3"/>
        <v>31</v>
      </c>
      <c r="K23" s="63">
        <f t="shared" si="4"/>
        <v>37</v>
      </c>
      <c r="L23" s="63" t="str">
        <f>IFERROR(VLOOKUP(MID(G23,J23,K23-J23),[6]skilldef!$C:$D,2,FALSE),"-") &amp; " / " &amp; IFERROR(VLOOKUP(MID(G23,H23,I23-H23),[6]skilldef!$A:$B,2,FALSE),"-")</f>
        <v>自分自身に / ステータス強化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47">
        <v>40007023</v>
      </c>
      <c r="B24" s="47" t="s">
        <v>224</v>
      </c>
      <c r="C24" s="50">
        <v>3</v>
      </c>
      <c r="D24" s="50" t="s">
        <v>128</v>
      </c>
      <c r="E24" s="51" t="s">
        <v>208</v>
      </c>
      <c r="F24" s="51" t="s">
        <v>201</v>
      </c>
      <c r="G24" s="63" t="str">
        <f t="shared" si="0"/>
        <v>[effect:nothing]</v>
      </c>
      <c r="H24" s="63">
        <f t="shared" si="1"/>
        <v>9</v>
      </c>
      <c r="I24" s="63">
        <f t="shared" si="2"/>
        <v>16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何もしない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47">
        <v>40007024</v>
      </c>
      <c r="B25" s="47" t="s">
        <v>243</v>
      </c>
      <c r="C25" s="50">
        <v>3</v>
      </c>
      <c r="D25" s="50" t="s">
        <v>128</v>
      </c>
      <c r="E25" s="51" t="s">
        <v>281</v>
      </c>
      <c r="F25" s="51" t="s">
        <v>313</v>
      </c>
      <c r="G25" s="63" t="str">
        <f t="shared" si="0"/>
        <v>[effect:critical, val:1.5]</v>
      </c>
      <c r="H25" s="63">
        <f t="shared" si="1"/>
        <v>9</v>
      </c>
      <c r="I25" s="63">
        <f t="shared" si="2"/>
        <v>17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大攻撃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47">
        <v>40007025</v>
      </c>
      <c r="B26" s="47" t="s">
        <v>256</v>
      </c>
      <c r="C26" s="50">
        <v>3</v>
      </c>
      <c r="D26" s="50" t="s">
        <v>128</v>
      </c>
      <c r="E26" s="51" t="s">
        <v>280</v>
      </c>
      <c r="F26" s="51" t="s">
        <v>244</v>
      </c>
      <c r="G26" s="63" t="str">
        <f t="shared" si="0"/>
        <v>[effect:spread, val:0.4]</v>
      </c>
      <c r="H26" s="63">
        <f t="shared" si="1"/>
        <v>9</v>
      </c>
      <c r="I26" s="63">
        <f t="shared" si="2"/>
        <v>15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47">
        <v>40007026</v>
      </c>
      <c r="B27" s="47" t="s">
        <v>309</v>
      </c>
      <c r="C27" s="50">
        <v>3</v>
      </c>
      <c r="D27" s="50" t="s">
        <v>128</v>
      </c>
      <c r="E27" s="51" t="s">
        <v>279</v>
      </c>
      <c r="F27" s="51" t="s">
        <v>314</v>
      </c>
      <c r="G27" s="63" t="str">
        <f t="shared" si="0"/>
        <v>[effect:freq_turn, target:enemy_all, turn:3, val:1, animation:enemy_freq_turn]</v>
      </c>
      <c r="H27" s="63">
        <f t="shared" si="1"/>
        <v>9</v>
      </c>
      <c r="I27" s="63">
        <f t="shared" si="2"/>
        <v>18</v>
      </c>
      <c r="J27" s="63">
        <f t="shared" si="3"/>
        <v>27</v>
      </c>
      <c r="K27" s="63">
        <f t="shared" si="4"/>
        <v>36</v>
      </c>
      <c r="L27" s="63" t="str">
        <f>IFERROR(VLOOKUP(MID(G27,J27,K27-J27),[6]skilldef!$C:$D,2,FALSE),"-") &amp; " / " &amp; IFERROR(VLOOKUP(MID(G27,H27,I27-H27),[6]skilldef!$A:$B,2,FALSE),"-")</f>
        <v>敵全体に / 攻撃頻度がUP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A28" s="47">
        <v>40007027</v>
      </c>
      <c r="B28" s="47" t="s">
        <v>245</v>
      </c>
      <c r="C28" s="50">
        <v>3</v>
      </c>
      <c r="D28" s="50" t="s">
        <v>128</v>
      </c>
      <c r="E28" s="51" t="s">
        <v>278</v>
      </c>
      <c r="F28" s="51" t="s">
        <v>202</v>
      </c>
      <c r="G28" s="63" t="str">
        <f t="shared" si="0"/>
        <v>[effect:rush, count:4, val:0.3]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47">
        <v>40007028</v>
      </c>
      <c r="B29" s="47" t="s">
        <v>224</v>
      </c>
      <c r="C29" s="50">
        <v>3</v>
      </c>
      <c r="D29" s="50" t="s">
        <v>128</v>
      </c>
      <c r="E29" s="51" t="s">
        <v>201</v>
      </c>
      <c r="F29" s="51" t="s">
        <v>201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47">
        <v>40007029</v>
      </c>
      <c r="B30" s="47" t="s">
        <v>224</v>
      </c>
      <c r="C30" s="50">
        <v>3</v>
      </c>
      <c r="D30" s="50" t="s">
        <v>128</v>
      </c>
      <c r="E30" s="51" t="s">
        <v>201</v>
      </c>
      <c r="F30" s="51" t="s">
        <v>207</v>
      </c>
      <c r="G30" s="63" t="str">
        <f t="shared" si="0"/>
        <v>[effect:nothing]</v>
      </c>
      <c r="H30" s="63">
        <f t="shared" si="1"/>
        <v>9</v>
      </c>
      <c r="I30" s="63">
        <f t="shared" si="2"/>
        <v>16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47">
        <v>40007030</v>
      </c>
      <c r="B31" s="47" t="s">
        <v>224</v>
      </c>
      <c r="C31" s="50">
        <v>3</v>
      </c>
      <c r="D31" s="50" t="s">
        <v>128</v>
      </c>
      <c r="E31" s="51" t="s">
        <v>271</v>
      </c>
      <c r="F31" s="51" t="s">
        <v>251</v>
      </c>
      <c r="G31" s="63" t="str">
        <f t="shared" si="0"/>
        <v>[effect:nothing]</v>
      </c>
      <c r="H31" s="63">
        <f t="shared" si="1"/>
        <v>9</v>
      </c>
      <c r="I31" s="63">
        <f t="shared" si="2"/>
        <v>16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何もしない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>
      <c r="A32" s="47">
        <v>40007031</v>
      </c>
      <c r="B32" s="47" t="s">
        <v>226</v>
      </c>
      <c r="C32" s="50">
        <v>3</v>
      </c>
      <c r="D32" s="50" t="s">
        <v>128</v>
      </c>
      <c r="E32" s="51" t="s">
        <v>282</v>
      </c>
      <c r="F32" s="97" t="s">
        <v>287</v>
      </c>
      <c r="G32" s="63" t="str">
        <f t="shared" si="0"/>
        <v>[effect:change_block, new_block:time_bomb, target:block_blue, count:3, val:0.1, min_time_count:1, max_time_count:1, animation:change_block]</v>
      </c>
      <c r="H32" s="63">
        <f t="shared" si="1"/>
        <v>9</v>
      </c>
      <c r="I32" s="63">
        <f t="shared" si="2"/>
        <v>21</v>
      </c>
      <c r="J32" s="63">
        <f t="shared" si="3"/>
        <v>51</v>
      </c>
      <c r="K32" s="63">
        <f t="shared" si="4"/>
        <v>42</v>
      </c>
      <c r="L32" s="63" t="str">
        <f>IFERROR(VLOOKUP(MID(G32,J32,K32-J32),[6]skilldef!$C:$D,2,FALSE),"-") &amp; " / " &amp; IFERROR(VLOOKUP(MID(G32,H32,I32-H32),[6]skilldef!$A:$B,2,FALSE),"-")</f>
        <v>- / ブロック変換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>
      <c r="A33" s="47">
        <v>40007032</v>
      </c>
      <c r="B33" s="47" t="s">
        <v>318</v>
      </c>
      <c r="C33" s="50">
        <v>3</v>
      </c>
      <c r="D33" s="50" t="s">
        <v>128</v>
      </c>
      <c r="E33" s="51" t="s">
        <v>406</v>
      </c>
      <c r="F33" s="51" t="s">
        <v>202</v>
      </c>
      <c r="G33" s="63" t="str">
        <f t="shared" si="0"/>
        <v xml:space="preserve">[effect:rush, count:6, val:0.2]    </v>
      </c>
      <c r="H33" s="63">
        <f t="shared" si="1"/>
        <v>9</v>
      </c>
      <c r="I33" s="63">
        <f t="shared" si="2"/>
        <v>13</v>
      </c>
      <c r="J33" s="63" t="e">
        <f t="shared" si="3"/>
        <v>#VALUE!</v>
      </c>
      <c r="K33" s="63">
        <f t="shared" si="4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>
      <c r="A34" s="47">
        <v>40007033</v>
      </c>
      <c r="B34" s="47" t="s">
        <v>227</v>
      </c>
      <c r="C34" s="50">
        <v>3</v>
      </c>
      <c r="D34" s="50" t="s">
        <v>128</v>
      </c>
      <c r="E34" s="51" t="s">
        <v>283</v>
      </c>
      <c r="F34" s="51" t="s">
        <v>284</v>
      </c>
      <c r="G34" s="63" t="str">
        <f t="shared" si="0"/>
        <v xml:space="preserve">[effect:enhance_enemy, target:myself, turn:4, status:defense, val:4000, calc:add, animation:enemy_enhance_defense]    </v>
      </c>
      <c r="H34" s="63">
        <f t="shared" si="1"/>
        <v>9</v>
      </c>
      <c r="I34" s="63">
        <f t="shared" si="2"/>
        <v>22</v>
      </c>
      <c r="J34" s="63">
        <f t="shared" si="3"/>
        <v>31</v>
      </c>
      <c r="K34" s="63">
        <f t="shared" si="4"/>
        <v>37</v>
      </c>
      <c r="L34" s="63" t="str">
        <f>IFERROR(VLOOKUP(MID(G34,J34,K34-J34),[6]skilldef!$C:$D,2,FALSE),"-") &amp; " / " &amp; IFERROR(VLOOKUP(MID(G34,H34,I34-H34),[6]skilldef!$A:$B,2,FALSE),"-")</f>
        <v>自分自身に / ステータス強化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>
      <c r="A35" s="47">
        <v>40007034</v>
      </c>
      <c r="B35" s="95" t="s">
        <v>223</v>
      </c>
      <c r="C35" s="50">
        <v>3</v>
      </c>
      <c r="D35" s="50" t="s">
        <v>128</v>
      </c>
      <c r="E35" s="51" t="s">
        <v>210</v>
      </c>
      <c r="F35" s="51" t="s">
        <v>201</v>
      </c>
      <c r="G35" s="63" t="str">
        <f t="shared" si="0"/>
        <v>[effect:nothing]</v>
      </c>
      <c r="H35" s="63">
        <f t="shared" si="1"/>
        <v>9</v>
      </c>
      <c r="I35" s="63">
        <f t="shared" si="2"/>
        <v>16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>
      <c r="A36" s="47">
        <v>40007035</v>
      </c>
      <c r="B36" s="47" t="s">
        <v>226</v>
      </c>
      <c r="C36" s="50">
        <v>3</v>
      </c>
      <c r="D36" s="50" t="s">
        <v>128</v>
      </c>
      <c r="E36" s="51" t="s">
        <v>405</v>
      </c>
      <c r="F36" s="51" t="s">
        <v>288</v>
      </c>
      <c r="G36" s="63" t="str">
        <f t="shared" si="0"/>
        <v>[effect:change_block, new_block:time_bomb, target:block_blue, count:3, val:0.1, min_time_count:1, max_time_count:1, animation:change_block]</v>
      </c>
      <c r="H36" s="63">
        <f t="shared" si="1"/>
        <v>9</v>
      </c>
      <c r="I36" s="63">
        <f t="shared" si="2"/>
        <v>21</v>
      </c>
      <c r="J36" s="63">
        <f t="shared" si="3"/>
        <v>51</v>
      </c>
      <c r="K36" s="63">
        <f t="shared" si="4"/>
        <v>42</v>
      </c>
      <c r="L36" s="63" t="str">
        <f>IFERROR(VLOOKUP(MID(G36,J36,K36-J36),[6]skilldef!$C:$D,2,FALSE),"-") &amp; " / " &amp; IFERROR(VLOOKUP(MID(G36,H36,I36-H36),[6]skilldef!$A:$B,2,FALSE),"-")</f>
        <v>- / ブロック変換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>
      <c r="A37" s="47">
        <v>40007036</v>
      </c>
      <c r="B37" s="47" t="s">
        <v>324</v>
      </c>
      <c r="C37" s="50">
        <v>3</v>
      </c>
      <c r="D37" s="50" t="s">
        <v>128</v>
      </c>
      <c r="E37" s="51" t="s">
        <v>406</v>
      </c>
      <c r="F37" s="51" t="s">
        <v>202</v>
      </c>
      <c r="G37" s="63" t="str">
        <f t="shared" si="0"/>
        <v>[effect:rush, count:6, val:0.2]</v>
      </c>
      <c r="H37" s="63">
        <f t="shared" si="1"/>
        <v>9</v>
      </c>
      <c r="I37" s="63">
        <f t="shared" si="2"/>
        <v>13</v>
      </c>
      <c r="J37" s="63" t="e">
        <f t="shared" si="3"/>
        <v>#VALUE!</v>
      </c>
      <c r="K37" s="63">
        <f t="shared" si="4"/>
        <v>22</v>
      </c>
      <c r="L37" s="63" t="str">
        <f>IFERROR(VLOOKUP(MID(G37,J37,K37-J37),[6]skilldef!$C:$D,2,FALSE),"-") &amp; " / " &amp; IFERROR(VLOOKUP(MID(G37,H37,I37-H37),[6]skilldef!$A:$B,2,FALSE),"-")</f>
        <v>- / 連続攻撃</v>
      </c>
      <c r="M37" s="63" t="str">
        <f t="shared" si="5"/>
        <v>none</v>
      </c>
      <c r="N37" s="48" t="str">
        <f t="shared" si="6"/>
        <v>none</v>
      </c>
      <c r="O37" s="63" t="e">
        <f t="shared" si="7"/>
        <v>#VALUE!</v>
      </c>
      <c r="P37" s="63">
        <f t="shared" si="8"/>
        <v>4</v>
      </c>
      <c r="Q37" s="63" t="e">
        <f t="shared" si="9"/>
        <v>#VALUE!</v>
      </c>
      <c r="R37" s="63" t="e">
        <f t="shared" si="1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>
      <c r="A38" s="47">
        <v>40007037</v>
      </c>
      <c r="B38" s="95" t="s">
        <v>223</v>
      </c>
      <c r="C38" s="50">
        <v>3</v>
      </c>
      <c r="D38" s="50" t="s">
        <v>128</v>
      </c>
      <c r="E38" s="51" t="s">
        <v>285</v>
      </c>
      <c r="F38" s="51" t="s">
        <v>327</v>
      </c>
      <c r="G38" s="63" t="str">
        <f t="shared" si="0"/>
        <v>[effect:nothing]</v>
      </c>
      <c r="H38" s="63">
        <f t="shared" si="1"/>
        <v>9</v>
      </c>
      <c r="I38" s="63">
        <f t="shared" si="2"/>
        <v>16</v>
      </c>
      <c r="J38" s="63" t="e">
        <f t="shared" si="3"/>
        <v>#VALUE!</v>
      </c>
      <c r="K38" s="63" t="e">
        <f t="shared" si="4"/>
        <v>#VALUE!</v>
      </c>
      <c r="L38" s="63" t="str">
        <f>IFERROR(VLOOKUP(MID(G38,J38,K38-J38),[6]skilldef!$C:$D,2,FALSE),"-") &amp; " / " &amp; IFERROR(VLOOKUP(MID(G38,H38,I38-H38),[6]skilldef!$A:$B,2,FALSE),"-")</f>
        <v>- / 何もしない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>
      <c r="A39" s="47">
        <v>40007038</v>
      </c>
      <c r="B39" s="47" t="s">
        <v>328</v>
      </c>
      <c r="C39" s="50">
        <v>3</v>
      </c>
      <c r="D39" s="50" t="s">
        <v>128</v>
      </c>
      <c r="E39" s="51" t="s">
        <v>332</v>
      </c>
      <c r="F39" s="51" t="s">
        <v>312</v>
      </c>
      <c r="G39" s="63" t="str">
        <f t="shared" si="0"/>
        <v>[effect:critical, val:3]</v>
      </c>
      <c r="H39" s="63">
        <f t="shared" si="1"/>
        <v>9</v>
      </c>
      <c r="I39" s="63">
        <f t="shared" si="2"/>
        <v>17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大攻撃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>
      <c r="A40" s="47">
        <v>40007039</v>
      </c>
      <c r="B40" s="47" t="s">
        <v>227</v>
      </c>
      <c r="C40" s="50">
        <v>3</v>
      </c>
      <c r="D40" s="50" t="s">
        <v>128</v>
      </c>
      <c r="E40" s="51" t="s">
        <v>283</v>
      </c>
      <c r="F40" s="51" t="s">
        <v>284</v>
      </c>
      <c r="G40" s="63" t="str">
        <f t="shared" si="0"/>
        <v xml:space="preserve">[effect:enhance_enemy, target:myself, turn:4, status:defense, val:4000, calc:add, animation:enemy_enhance_defense]    </v>
      </c>
      <c r="H40" s="63">
        <f t="shared" si="1"/>
        <v>9</v>
      </c>
      <c r="I40" s="63">
        <f t="shared" si="2"/>
        <v>22</v>
      </c>
      <c r="J40" s="63">
        <f t="shared" si="3"/>
        <v>31</v>
      </c>
      <c r="K40" s="63">
        <f t="shared" si="4"/>
        <v>37</v>
      </c>
      <c r="L40" s="63" t="str">
        <f>IFERROR(VLOOKUP(MID(G40,J40,K40-J40),[6]skilldef!$C:$D,2,FALSE),"-") &amp; " / " &amp; IFERROR(VLOOKUP(MID(G40,H40,I40-H40),[6]skilldef!$A:$B,2,FALSE),"-")</f>
        <v>自分自身に / ステータス強化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>
      <c r="A41" s="47">
        <v>40007040</v>
      </c>
      <c r="B41" s="95" t="s">
        <v>223</v>
      </c>
      <c r="C41" s="50">
        <v>3</v>
      </c>
      <c r="D41" s="50" t="s">
        <v>128</v>
      </c>
      <c r="E41" s="51" t="s">
        <v>211</v>
      </c>
      <c r="F41" s="51" t="s">
        <v>253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>
      <c r="A42" s="47">
        <v>40007041</v>
      </c>
      <c r="B42" s="47" t="s">
        <v>224</v>
      </c>
      <c r="C42" s="50">
        <v>3</v>
      </c>
      <c r="D42" s="50" t="s">
        <v>128</v>
      </c>
      <c r="E42" s="51" t="s">
        <v>286</v>
      </c>
      <c r="F42" s="51" t="s">
        <v>252</v>
      </c>
      <c r="G42" s="63" t="str">
        <f t="shared" si="0"/>
        <v>[effect:nothing]</v>
      </c>
      <c r="H42" s="63">
        <f t="shared" si="1"/>
        <v>9</v>
      </c>
      <c r="I42" s="63">
        <f t="shared" si="2"/>
        <v>16</v>
      </c>
      <c r="J42" s="63" t="e">
        <f t="shared" si="3"/>
        <v>#VALUE!</v>
      </c>
      <c r="K42" s="63" t="e">
        <f t="shared" si="4"/>
        <v>#VALUE!</v>
      </c>
      <c r="L42" s="63" t="str">
        <f>IFERROR(VLOOKUP(MID(G42,J42,K42-J42),[6]skilldef!$C:$D,2,FALSE),"-") &amp; " / " &amp; IFERROR(VLOOKUP(MID(G42,H42,I42-H42),[6]skilldef!$A:$B,2,FALSE),"-")</f>
        <v>- / 何もしない</v>
      </c>
      <c r="M42" s="63" t="str">
        <f t="shared" si="5"/>
        <v>none</v>
      </c>
      <c r="N42" s="48" t="str">
        <f t="shared" si="6"/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>
      <c r="A43" s="47">
        <v>40007042</v>
      </c>
      <c r="B43" s="47" t="s">
        <v>335</v>
      </c>
      <c r="C43" s="50">
        <v>3</v>
      </c>
      <c r="D43" s="50" t="s">
        <v>128</v>
      </c>
      <c r="E43" s="51" t="s">
        <v>337</v>
      </c>
      <c r="F43" s="51" t="s">
        <v>336</v>
      </c>
      <c r="G43" s="63" t="str">
        <f t="shared" si="0"/>
        <v>[effect:damage_anti_tribe, target:unit_all, tribe:machine, val1:1.3, val2:0.1]</v>
      </c>
      <c r="H43" s="63">
        <f t="shared" si="1"/>
        <v>9</v>
      </c>
      <c r="I43" s="63">
        <f t="shared" si="2"/>
        <v>26</v>
      </c>
      <c r="J43" s="63">
        <f t="shared" si="3"/>
        <v>35</v>
      </c>
      <c r="K43" s="63">
        <f t="shared" si="4"/>
        <v>43</v>
      </c>
      <c r="L43" s="63" t="str">
        <f>IFERROR(VLOOKUP(MID(G43,J43,K43-J43),[6]skilldef!$C:$D,2,FALSE),"-") &amp; " / " &amp; IFERROR(VLOOKUP(MID(G43,H43,I43-H43),[6]skilldef!$A:$B,2,FALSE),"-")</f>
        <v>味方全体に / 種族キラー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>
      <c r="A44" s="47">
        <v>40007043</v>
      </c>
      <c r="B44" s="47" t="s">
        <v>407</v>
      </c>
      <c r="C44" s="50">
        <v>3</v>
      </c>
      <c r="D44" s="50" t="s">
        <v>128</v>
      </c>
      <c r="E44" s="51" t="s">
        <v>342</v>
      </c>
      <c r="F44" s="51" t="s">
        <v>214</v>
      </c>
      <c r="G44" s="63" t="str">
        <f t="shared" si="0"/>
        <v>[effect:crash_condition, target:unit_all, val:1, turn:5, animation:enemy_crash_extend]</v>
      </c>
      <c r="H44" s="63">
        <f t="shared" si="1"/>
        <v>9</v>
      </c>
      <c r="I44" s="63">
        <f t="shared" si="2"/>
        <v>24</v>
      </c>
      <c r="J44" s="63">
        <f t="shared" si="3"/>
        <v>33</v>
      </c>
      <c r="K44" s="63">
        <f t="shared" si="4"/>
        <v>41</v>
      </c>
      <c r="L44" s="63" t="str">
        <f>IFERROR(VLOOKUP(MID(G44,J44,K44-J44),[6]skilldef!$C:$D,2,FALSE),"-") &amp; " / " &amp; IFERROR(VLOOKUP(MID(G44,H44,I44-H44),[6]skilldef!$A:$B,2,FALSE),"-")</f>
        <v>味方全体に / -</v>
      </c>
      <c r="M44" s="63" t="str">
        <f t="shared" si="5"/>
        <v>none</v>
      </c>
      <c r="N44" s="48" t="str">
        <f t="shared" si="6"/>
        <v>none</v>
      </c>
      <c r="O44" s="63" t="e">
        <f t="shared" si="7"/>
        <v>#VALUE!</v>
      </c>
      <c r="P44" s="63">
        <f t="shared" si="8"/>
        <v>4</v>
      </c>
      <c r="Q44" s="63" t="e">
        <f t="shared" si="9"/>
        <v>#VALUE!</v>
      </c>
      <c r="R44" s="63" t="e">
        <f t="shared" si="10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>
      <c r="A45" s="47">
        <v>40007044</v>
      </c>
      <c r="B45" s="47" t="s">
        <v>357</v>
      </c>
      <c r="C45" s="50">
        <v>3</v>
      </c>
      <c r="D45" s="50" t="s">
        <v>128</v>
      </c>
      <c r="E45" s="51" t="s">
        <v>341</v>
      </c>
      <c r="F45" s="51" t="s">
        <v>261</v>
      </c>
      <c r="G45" s="63" t="str">
        <f t="shared" si="0"/>
        <v xml:space="preserve">[effect:enhance_enemy, target:enemy_all, turn:4, status:defense, val:4000, calc:add, animation:enemy_enhance_defense]    </v>
      </c>
      <c r="H45" s="63">
        <f t="shared" si="1"/>
        <v>9</v>
      </c>
      <c r="I45" s="63">
        <f t="shared" si="2"/>
        <v>22</v>
      </c>
      <c r="J45" s="63">
        <f t="shared" si="3"/>
        <v>31</v>
      </c>
      <c r="K45" s="63">
        <f t="shared" si="4"/>
        <v>40</v>
      </c>
      <c r="L45" s="63" t="str">
        <f>IFERROR(VLOOKUP(MID(G45,J45,K45-J45),[6]skilldef!$C:$D,2,FALSE),"-") &amp; " / " &amp; IFERROR(VLOOKUP(MID(G45,H45,I45-H45),[6]skilldef!$A:$B,2,FALSE),"-")</f>
        <v>敵全体に / ステータス強化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>
      <c r="A46" s="47">
        <v>40007045</v>
      </c>
      <c r="B46" s="47" t="s">
        <v>226</v>
      </c>
      <c r="C46" s="50">
        <v>3</v>
      </c>
      <c r="D46" s="50" t="s">
        <v>128</v>
      </c>
      <c r="E46" s="51" t="s">
        <v>289</v>
      </c>
      <c r="F46" s="51" t="s">
        <v>288</v>
      </c>
      <c r="G46" s="63" t="str">
        <f t="shared" si="0"/>
        <v>[effect:change_block, new_block:time_bomb, target:block_blue, count:3, val:0.1, min_time_count:1, max_time_count:1, animation:change_block]</v>
      </c>
      <c r="H46" s="63">
        <f t="shared" si="1"/>
        <v>9</v>
      </c>
      <c r="I46" s="63">
        <f t="shared" si="2"/>
        <v>21</v>
      </c>
      <c r="J46" s="63">
        <f t="shared" si="3"/>
        <v>51</v>
      </c>
      <c r="K46" s="63">
        <f t="shared" si="4"/>
        <v>42</v>
      </c>
      <c r="L46" s="63" t="str">
        <f>IFERROR(VLOOKUP(MID(G46,J46,K46-J46),[6]skilldef!$C:$D,2,FALSE),"-") &amp; " / " &amp; IFERROR(VLOOKUP(MID(G46,H46,I46-H46),[6]skilldef!$A:$B,2,FALSE),"-")</f>
        <v>- / ブロック変換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>
      <c r="A47" s="47">
        <v>40007046</v>
      </c>
      <c r="B47" s="95" t="s">
        <v>223</v>
      </c>
      <c r="C47" s="50">
        <v>3</v>
      </c>
      <c r="D47" s="50" t="s">
        <v>128</v>
      </c>
      <c r="E47" s="51" t="s">
        <v>213</v>
      </c>
      <c r="F47" s="51" t="s">
        <v>201</v>
      </c>
      <c r="G47" s="63" t="str">
        <f t="shared" si="0"/>
        <v>[effect:nothing]</v>
      </c>
      <c r="H47" s="63">
        <f t="shared" si="1"/>
        <v>9</v>
      </c>
      <c r="I47" s="63">
        <f t="shared" si="2"/>
        <v>16</v>
      </c>
      <c r="J47" s="63" t="e">
        <f t="shared" si="3"/>
        <v>#VALUE!</v>
      </c>
      <c r="K47" s="63" t="e">
        <f t="shared" si="4"/>
        <v>#VALUE!</v>
      </c>
      <c r="L47" s="63" t="str">
        <f>IFERROR(VLOOKUP(MID(G47,J47,K47-J47),[6]skilldef!$C:$D,2,FALSE),"-") &amp; " / " &amp; IFERROR(VLOOKUP(MID(G47,H47,I47-H47),[6]skilldef!$A:$B,2,FALSE),"-")</f>
        <v>- / 何もしない</v>
      </c>
      <c r="M47" s="63" t="str">
        <f t="shared" si="5"/>
        <v>none</v>
      </c>
      <c r="N47" s="48" t="str">
        <f t="shared" si="6"/>
        <v>none</v>
      </c>
      <c r="O47" s="63" t="e">
        <f t="shared" si="7"/>
        <v>#VALUE!</v>
      </c>
      <c r="P47" s="63">
        <f t="shared" si="8"/>
        <v>4</v>
      </c>
      <c r="Q47" s="63" t="e">
        <f t="shared" si="9"/>
        <v>#VALUE!</v>
      </c>
      <c r="R47" s="63" t="e">
        <f t="shared" si="10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3" t="e">
        <f t="shared" si="12"/>
        <v>#VALUE!</v>
      </c>
      <c r="V47" s="63">
        <f t="shared" si="13"/>
        <v>4</v>
      </c>
      <c r="W47" s="63" t="e">
        <f t="shared" si="14"/>
        <v>#VALUE!</v>
      </c>
      <c r="X47" s="63" t="e">
        <f t="shared" si="15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>
      <c r="A48" s="47">
        <v>40007047</v>
      </c>
      <c r="B48" s="47" t="s">
        <v>407</v>
      </c>
      <c r="C48" s="50">
        <v>3</v>
      </c>
      <c r="D48" s="50" t="s">
        <v>128</v>
      </c>
      <c r="E48" s="51" t="s">
        <v>292</v>
      </c>
      <c r="F48" s="51" t="s">
        <v>214</v>
      </c>
      <c r="G48" s="63" t="str">
        <f t="shared" si="0"/>
        <v>[effect:crash_condition, target:unit_all, val:1, turn:5, animation:enemy_crash_extend]</v>
      </c>
      <c r="H48" s="63">
        <f t="shared" si="1"/>
        <v>9</v>
      </c>
      <c r="I48" s="63">
        <f t="shared" si="2"/>
        <v>24</v>
      </c>
      <c r="J48" s="63">
        <f t="shared" si="3"/>
        <v>33</v>
      </c>
      <c r="K48" s="63">
        <f t="shared" si="4"/>
        <v>41</v>
      </c>
      <c r="L48" s="63" t="str">
        <f>IFERROR(VLOOKUP(MID(G48,J48,K48-J48),[6]skilldef!$C:$D,2,FALSE),"-") &amp; " / " &amp; IFERROR(VLOOKUP(MID(G48,H48,I48-H48),[6]skilldef!$A:$B,2,FALSE),"-")</f>
        <v>味方全体に / -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>
      <c r="A49" s="47">
        <v>40007048</v>
      </c>
      <c r="B49" s="47" t="s">
        <v>338</v>
      </c>
      <c r="C49" s="50">
        <v>3</v>
      </c>
      <c r="D49" s="50" t="s">
        <v>128</v>
      </c>
      <c r="E49" s="51" t="s">
        <v>337</v>
      </c>
      <c r="F49" s="51" t="s">
        <v>339</v>
      </c>
      <c r="G49" s="63" t="str">
        <f t="shared" si="0"/>
        <v>[effect:damage_anti_tribe, target:unit_all, tribe:machine, val1:1.5, val2:0.3]</v>
      </c>
      <c r="H49" s="63">
        <f t="shared" si="1"/>
        <v>9</v>
      </c>
      <c r="I49" s="63">
        <f t="shared" si="2"/>
        <v>26</v>
      </c>
      <c r="J49" s="63">
        <f t="shared" si="3"/>
        <v>35</v>
      </c>
      <c r="K49" s="63">
        <f t="shared" si="4"/>
        <v>43</v>
      </c>
      <c r="L49" s="63" t="str">
        <f>IFERROR(VLOOKUP(MID(G49,J49,K49-J49),[6]skilldef!$C:$D,2,FALSE),"-") &amp; " / " &amp; IFERROR(VLOOKUP(MID(G49,H49,I49-H49),[6]skilldef!$A:$B,2,FALSE),"-")</f>
        <v>味方全体に / 種族キラー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>
      <c r="A50" s="47">
        <v>40007049</v>
      </c>
      <c r="B50" s="47" t="s">
        <v>358</v>
      </c>
      <c r="C50" s="50">
        <v>3</v>
      </c>
      <c r="D50" s="50" t="s">
        <v>128</v>
      </c>
      <c r="E50" s="51" t="s">
        <v>340</v>
      </c>
      <c r="F50" s="51" t="s">
        <v>261</v>
      </c>
      <c r="G50" s="63" t="str">
        <f t="shared" si="0"/>
        <v>[effect:enhance_enemy, target:enemy_all, turn:4, status:defense, val:4000, calc:add, animation:enemy_enhance_defense]</v>
      </c>
      <c r="H50" s="63">
        <f t="shared" si="1"/>
        <v>9</v>
      </c>
      <c r="I50" s="63">
        <f t="shared" si="2"/>
        <v>22</v>
      </c>
      <c r="J50" s="63">
        <f t="shared" si="3"/>
        <v>31</v>
      </c>
      <c r="K50" s="63">
        <f t="shared" si="4"/>
        <v>40</v>
      </c>
      <c r="L50" s="63" t="str">
        <f>IFERROR(VLOOKUP(MID(G50,J50,K50-J50),[6]skilldef!$C:$D,2,FALSE),"-") &amp; " / " &amp; IFERROR(VLOOKUP(MID(G50,H50,I50-H50),[6]skilldef!$A:$B,2,FALSE),"-")</f>
        <v>敵全体に / ステータス強化</v>
      </c>
      <c r="M50" s="63" t="str">
        <f t="shared" si="5"/>
        <v>none</v>
      </c>
      <c r="N50" s="48" t="str">
        <f t="shared" si="6"/>
        <v>none</v>
      </c>
      <c r="O50" s="63" t="e">
        <f t="shared" si="7"/>
        <v>#VALUE!</v>
      </c>
      <c r="P50" s="63">
        <f t="shared" si="8"/>
        <v>4</v>
      </c>
      <c r="Q50" s="63" t="e">
        <f t="shared" si="9"/>
        <v>#VALUE!</v>
      </c>
      <c r="R50" s="63" t="e">
        <f t="shared" si="10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>
      <c r="A51" s="47">
        <v>40007050</v>
      </c>
      <c r="B51" s="47" t="s">
        <v>226</v>
      </c>
      <c r="C51" s="50">
        <v>3</v>
      </c>
      <c r="D51" s="50" t="s">
        <v>128</v>
      </c>
      <c r="E51" s="51" t="s">
        <v>290</v>
      </c>
      <c r="F51" s="51" t="s">
        <v>288</v>
      </c>
      <c r="G51" s="63" t="str">
        <f t="shared" si="0"/>
        <v>[effect:change_block, new_block:time_bomb, target:block_blue, count:3, val:0.1, min_time_count:1, max_time_count:1, animation:change_block]</v>
      </c>
      <c r="H51" s="63">
        <f t="shared" si="1"/>
        <v>9</v>
      </c>
      <c r="I51" s="63">
        <f t="shared" si="2"/>
        <v>21</v>
      </c>
      <c r="J51" s="63">
        <f t="shared" si="3"/>
        <v>51</v>
      </c>
      <c r="K51" s="63">
        <f t="shared" si="4"/>
        <v>42</v>
      </c>
      <c r="L51" s="63" t="str">
        <f>IFERROR(VLOOKUP(MID(G51,J51,K51-J51),[6]skilldef!$C:$D,2,FALSE),"-") &amp; " / " &amp; IFERROR(VLOOKUP(MID(G51,H51,I51-H51),[6]skilldef!$A:$B,2,FALSE),"-")</f>
        <v>- / ブロック変換</v>
      </c>
      <c r="M51" s="63" t="str">
        <f t="shared" si="5"/>
        <v>none</v>
      </c>
      <c r="N51" s="48" t="str">
        <f t="shared" si="6"/>
        <v>none</v>
      </c>
      <c r="O51" s="63" t="e">
        <f t="shared" si="7"/>
        <v>#VALUE!</v>
      </c>
      <c r="P51" s="63">
        <f t="shared" si="8"/>
        <v>4</v>
      </c>
      <c r="Q51" s="63" t="e">
        <f t="shared" si="9"/>
        <v>#VALUE!</v>
      </c>
      <c r="R51" s="63" t="e">
        <f t="shared" si="10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3" t="e">
        <f t="shared" si="12"/>
        <v>#VALUE!</v>
      </c>
      <c r="V51" s="63">
        <f t="shared" si="13"/>
        <v>4</v>
      </c>
      <c r="W51" s="63" t="e">
        <f t="shared" si="14"/>
        <v>#VALUE!</v>
      </c>
      <c r="X51" s="63" t="e">
        <f t="shared" si="15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>
      <c r="A52" s="47">
        <v>40007051</v>
      </c>
      <c r="B52" s="95" t="s">
        <v>223</v>
      </c>
      <c r="C52" s="50">
        <v>3</v>
      </c>
      <c r="D52" s="50" t="s">
        <v>128</v>
      </c>
      <c r="E52" s="51" t="s">
        <v>215</v>
      </c>
      <c r="F52" s="51" t="s">
        <v>253</v>
      </c>
      <c r="G52" s="63" t="str">
        <f t="shared" si="0"/>
        <v>[effect:nothing]</v>
      </c>
      <c r="H52" s="63">
        <f t="shared" si="1"/>
        <v>9</v>
      </c>
      <c r="I52" s="63">
        <f t="shared" si="2"/>
        <v>16</v>
      </c>
      <c r="J52" s="63" t="e">
        <f t="shared" si="3"/>
        <v>#VALUE!</v>
      </c>
      <c r="K52" s="63" t="e">
        <f t="shared" si="4"/>
        <v>#VALUE!</v>
      </c>
      <c r="L52" s="63" t="str">
        <f>IFERROR(VLOOKUP(MID(G52,J52,K52-J52),[6]skilldef!$C:$D,2,FALSE),"-") &amp; " / " &amp; IFERROR(VLOOKUP(MID(G52,H52,I52-H52),[6]skilldef!$A:$B,2,FALSE),"-")</f>
        <v>- / 何もしない</v>
      </c>
      <c r="M52" s="63" t="str">
        <f t="shared" si="5"/>
        <v>none</v>
      </c>
      <c r="N52" s="48" t="str">
        <f t="shared" si="6"/>
        <v>none</v>
      </c>
      <c r="O52" s="63" t="e">
        <f t="shared" si="7"/>
        <v>#VALUE!</v>
      </c>
      <c r="P52" s="63">
        <f t="shared" si="8"/>
        <v>4</v>
      </c>
      <c r="Q52" s="63" t="e">
        <f t="shared" si="9"/>
        <v>#VALUE!</v>
      </c>
      <c r="R52" s="63" t="e">
        <f t="shared" si="10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11"/>
        <v>none</v>
      </c>
      <c r="U52" s="63" t="e">
        <f t="shared" si="12"/>
        <v>#VALUE!</v>
      </c>
      <c r="V52" s="63">
        <f t="shared" si="13"/>
        <v>4</v>
      </c>
      <c r="W52" s="63" t="e">
        <f t="shared" si="14"/>
        <v>#VALUE!</v>
      </c>
      <c r="X52" s="63" t="e">
        <f t="shared" si="15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>
      <c r="A53" s="47">
        <v>40007052</v>
      </c>
      <c r="B53" s="47" t="s">
        <v>225</v>
      </c>
      <c r="C53" s="50">
        <v>3</v>
      </c>
      <c r="D53" s="50" t="s">
        <v>128</v>
      </c>
      <c r="E53" s="51" t="s">
        <v>321</v>
      </c>
      <c r="F53" s="51" t="s">
        <v>291</v>
      </c>
      <c r="G53" s="63" t="str">
        <f t="shared" si="0"/>
        <v>[effect:tolerance, target:myself, turn:-1, tolerance_effect:hungup, count:-1, animation:enemy_tolerance]</v>
      </c>
      <c r="H53" s="63">
        <f t="shared" si="1"/>
        <v>9</v>
      </c>
      <c r="I53" s="63">
        <f t="shared" si="2"/>
        <v>18</v>
      </c>
      <c r="J53" s="63">
        <f t="shared" si="3"/>
        <v>27</v>
      </c>
      <c r="K53" s="63">
        <f t="shared" si="4"/>
        <v>33</v>
      </c>
      <c r="L53" s="63" t="str">
        <f>IFERROR(VLOOKUP(MID(G53,J53,K53-J53),[6]skilldef!$C:$D,2,FALSE),"-") &amp; " / " &amp; IFERROR(VLOOKUP(MID(G53,H53,I53-H53),[6]skilldef!$A:$B,2,FALSE),"-")</f>
        <v>自分自身に / 状態異常耐性</v>
      </c>
      <c r="M53" s="63" t="str">
        <f t="shared" si="5"/>
        <v>none</v>
      </c>
      <c r="N53" s="48" t="str">
        <f t="shared" si="6"/>
        <v>none</v>
      </c>
      <c r="O53" s="63" t="e">
        <f t="shared" si="7"/>
        <v>#VALUE!</v>
      </c>
      <c r="P53" s="63">
        <f t="shared" si="8"/>
        <v>4</v>
      </c>
      <c r="Q53" s="63" t="e">
        <f t="shared" si="9"/>
        <v>#VALUE!</v>
      </c>
      <c r="R53" s="63" t="e">
        <f t="shared" si="10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3" t="e">
        <f t="shared" si="12"/>
        <v>#VALUE!</v>
      </c>
      <c r="V53" s="63">
        <f t="shared" si="13"/>
        <v>4</v>
      </c>
      <c r="W53" s="63" t="e">
        <f t="shared" si="14"/>
        <v>#VALUE!</v>
      </c>
      <c r="X53" s="63" t="e">
        <f t="shared" si="1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>
      <c r="A54" s="47">
        <v>40007053</v>
      </c>
      <c r="B54" s="47" t="s">
        <v>323</v>
      </c>
      <c r="C54" s="50">
        <v>3</v>
      </c>
      <c r="D54" s="50" t="s">
        <v>128</v>
      </c>
      <c r="E54" s="51" t="s">
        <v>319</v>
      </c>
      <c r="F54" s="51" t="s">
        <v>295</v>
      </c>
      <c r="G54" s="63" t="str">
        <f t="shared" si="0"/>
        <v>[effect:guard_break, target:enemy_red, turn:-1, val:0, calc:mul, animation:guard_break01]</v>
      </c>
      <c r="H54" s="63">
        <f t="shared" si="1"/>
        <v>9</v>
      </c>
      <c r="I54" s="63">
        <f t="shared" si="2"/>
        <v>20</v>
      </c>
      <c r="J54" s="63">
        <f t="shared" si="3"/>
        <v>29</v>
      </c>
      <c r="K54" s="63">
        <f t="shared" si="4"/>
        <v>38</v>
      </c>
      <c r="L54" s="63" t="str">
        <f>IFERROR(VLOOKUP(MID(G54,J54,K54-J54),[6]skilldef!$C:$D,2,FALSE),"-") &amp; " / " &amp; IFERROR(VLOOKUP(MID(G54,H54,I54-H54),[6]skilldef!$A:$B,2,FALSE),"-")</f>
        <v>赤の敵に / -</v>
      </c>
      <c r="M54" s="63" t="str">
        <f t="shared" si="5"/>
        <v>none</v>
      </c>
      <c r="N54" s="48" t="str">
        <f t="shared" si="6"/>
        <v>none</v>
      </c>
      <c r="O54" s="63" t="e">
        <f t="shared" si="7"/>
        <v>#VALUE!</v>
      </c>
      <c r="P54" s="63">
        <f t="shared" si="8"/>
        <v>4</v>
      </c>
      <c r="Q54" s="63" t="e">
        <f t="shared" si="9"/>
        <v>#VALUE!</v>
      </c>
      <c r="R54" s="63" t="e">
        <f t="shared" si="10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1"/>
        <v>none</v>
      </c>
      <c r="U54" s="63" t="e">
        <f t="shared" si="12"/>
        <v>#VALUE!</v>
      </c>
      <c r="V54" s="63">
        <f t="shared" si="13"/>
        <v>4</v>
      </c>
      <c r="W54" s="63" t="e">
        <f t="shared" si="14"/>
        <v>#VALUE!</v>
      </c>
      <c r="X54" s="63" t="e">
        <f t="shared" si="15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>
      <c r="A55" s="47">
        <v>40007054</v>
      </c>
      <c r="B55" s="95" t="s">
        <v>223</v>
      </c>
      <c r="C55" s="50">
        <v>3</v>
      </c>
      <c r="D55" s="50" t="s">
        <v>128</v>
      </c>
      <c r="E55" s="51" t="s">
        <v>216</v>
      </c>
      <c r="F55" s="51" t="s">
        <v>201</v>
      </c>
      <c r="G55" s="63" t="str">
        <f t="shared" si="0"/>
        <v>[effect:nothing]</v>
      </c>
      <c r="H55" s="63">
        <f t="shared" si="1"/>
        <v>9</v>
      </c>
      <c r="I55" s="63">
        <f t="shared" si="2"/>
        <v>16</v>
      </c>
      <c r="J55" s="63" t="e">
        <f t="shared" si="3"/>
        <v>#VALUE!</v>
      </c>
      <c r="K55" s="63" t="e">
        <f t="shared" si="4"/>
        <v>#VALUE!</v>
      </c>
      <c r="L55" s="63" t="str">
        <f>IFERROR(VLOOKUP(MID(G55,J55,K55-J55),[6]skilldef!$C:$D,2,FALSE),"-") &amp; " / " &amp; IFERROR(VLOOKUP(MID(G55,H55,I55-H55),[6]skilldef!$A:$B,2,FALSE),"-")</f>
        <v>- / 何もしない</v>
      </c>
      <c r="M55" s="63" t="str">
        <f t="shared" si="5"/>
        <v>none</v>
      </c>
      <c r="N55" s="48" t="str">
        <f t="shared" si="6"/>
        <v>none</v>
      </c>
      <c r="O55" s="63" t="e">
        <f t="shared" si="7"/>
        <v>#VALUE!</v>
      </c>
      <c r="P55" s="63">
        <f t="shared" si="8"/>
        <v>4</v>
      </c>
      <c r="Q55" s="63" t="e">
        <f t="shared" si="9"/>
        <v>#VALUE!</v>
      </c>
      <c r="R55" s="63" t="e">
        <f t="shared" si="10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11"/>
        <v>none</v>
      </c>
      <c r="U55" s="63" t="e">
        <f t="shared" si="12"/>
        <v>#VALUE!</v>
      </c>
      <c r="V55" s="63">
        <f t="shared" si="13"/>
        <v>4</v>
      </c>
      <c r="W55" s="63" t="e">
        <f t="shared" si="14"/>
        <v>#VALUE!</v>
      </c>
      <c r="X55" s="63" t="e">
        <f t="shared" si="15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>
      <c r="A56" s="47">
        <v>40007055</v>
      </c>
      <c r="B56" s="47" t="s">
        <v>225</v>
      </c>
      <c r="C56" s="50">
        <v>3</v>
      </c>
      <c r="D56" s="50" t="s">
        <v>193</v>
      </c>
      <c r="E56" s="51" t="s">
        <v>321</v>
      </c>
      <c r="F56" s="51" t="s">
        <v>291</v>
      </c>
      <c r="G56" s="63" t="str">
        <f t="shared" si="0"/>
        <v>[effect:tolerance, target:myself, turn:-1, tolerance_effect:hungup, count:-1, animation:enemy_tolerance]</v>
      </c>
      <c r="H56" s="63">
        <f t="shared" si="1"/>
        <v>9</v>
      </c>
      <c r="I56" s="63">
        <f t="shared" si="2"/>
        <v>18</v>
      </c>
      <c r="J56" s="63">
        <f t="shared" si="3"/>
        <v>27</v>
      </c>
      <c r="K56" s="63">
        <f t="shared" si="4"/>
        <v>33</v>
      </c>
      <c r="L56" s="63" t="str">
        <f>IFERROR(VLOOKUP(MID(G56,J56,K56-J56),[6]skilldef!$C:$D,2,FALSE),"-") &amp; " / " &amp; IFERROR(VLOOKUP(MID(G56,H56,I56-H56),[6]skilldef!$A:$B,2,FALSE),"-")</f>
        <v>自分自身に / 状態異常耐性</v>
      </c>
      <c r="M56" s="63" t="str">
        <f t="shared" si="5"/>
        <v>none</v>
      </c>
      <c r="N56" s="48" t="str">
        <f t="shared" si="6"/>
        <v>none</v>
      </c>
      <c r="O56" s="63" t="e">
        <f t="shared" si="7"/>
        <v>#VALUE!</v>
      </c>
      <c r="P56" s="63">
        <f t="shared" si="8"/>
        <v>4</v>
      </c>
      <c r="Q56" s="63" t="e">
        <f t="shared" si="9"/>
        <v>#VALUE!</v>
      </c>
      <c r="R56" s="63" t="e">
        <f t="shared" si="1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3" t="e">
        <f t="shared" si="12"/>
        <v>#VALUE!</v>
      </c>
      <c r="V56" s="63">
        <f t="shared" si="13"/>
        <v>4</v>
      </c>
      <c r="W56" s="63" t="e">
        <f t="shared" si="14"/>
        <v>#VALUE!</v>
      </c>
      <c r="X56" s="63" t="e">
        <f t="shared" si="15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>
      <c r="A57" s="47">
        <v>40007056</v>
      </c>
      <c r="B57" s="47" t="s">
        <v>329</v>
      </c>
      <c r="C57" s="50">
        <v>3</v>
      </c>
      <c r="D57" s="50" t="s">
        <v>128</v>
      </c>
      <c r="E57" s="51" t="s">
        <v>319</v>
      </c>
      <c r="F57" s="51" t="s">
        <v>296</v>
      </c>
      <c r="G57" s="63" t="str">
        <f t="shared" si="0"/>
        <v>[effect:guard_break, target:myself, turn:-1, val:0, calc:mul, animation:guard_break01]</v>
      </c>
      <c r="H57" s="63">
        <f t="shared" si="1"/>
        <v>9</v>
      </c>
      <c r="I57" s="63">
        <f t="shared" si="2"/>
        <v>20</v>
      </c>
      <c r="J57" s="63">
        <f t="shared" si="3"/>
        <v>29</v>
      </c>
      <c r="K57" s="63">
        <f t="shared" si="4"/>
        <v>35</v>
      </c>
      <c r="L57" s="63" t="str">
        <f>IFERROR(VLOOKUP(MID(G57,J57,K57-J57),[6]skilldef!$C:$D,2,FALSE),"-") &amp; " / " &amp; IFERROR(VLOOKUP(MID(G57,H57,I57-H57),[6]skilldef!$A:$B,2,FALSE),"-")</f>
        <v>自分自身に / -</v>
      </c>
      <c r="M57" s="63" t="str">
        <f t="shared" si="5"/>
        <v>none</v>
      </c>
      <c r="N57" s="48" t="str">
        <f t="shared" si="6"/>
        <v>none</v>
      </c>
      <c r="O57" s="63" t="e">
        <f t="shared" si="7"/>
        <v>#VALUE!</v>
      </c>
      <c r="P57" s="63">
        <f t="shared" si="8"/>
        <v>4</v>
      </c>
      <c r="Q57" s="63" t="e">
        <f t="shared" si="9"/>
        <v>#VALUE!</v>
      </c>
      <c r="R57" s="63" t="e">
        <f t="shared" si="10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3" t="e">
        <f t="shared" si="12"/>
        <v>#VALUE!</v>
      </c>
      <c r="V57" s="63">
        <f t="shared" si="13"/>
        <v>4</v>
      </c>
      <c r="W57" s="63" t="e">
        <f t="shared" si="14"/>
        <v>#VALUE!</v>
      </c>
      <c r="X57" s="63" t="e">
        <f t="shared" si="15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>
      <c r="A58" s="47">
        <v>40007057</v>
      </c>
      <c r="B58" s="95" t="s">
        <v>223</v>
      </c>
      <c r="C58" s="50">
        <v>3</v>
      </c>
      <c r="D58" s="50" t="s">
        <v>128</v>
      </c>
      <c r="E58" s="51" t="s">
        <v>217</v>
      </c>
      <c r="F58" s="51" t="s">
        <v>201</v>
      </c>
      <c r="G58" s="63" t="str">
        <f t="shared" si="0"/>
        <v>[effect:nothing]</v>
      </c>
      <c r="H58" s="63">
        <f t="shared" si="1"/>
        <v>9</v>
      </c>
      <c r="I58" s="63">
        <f t="shared" si="2"/>
        <v>16</v>
      </c>
      <c r="J58" s="63" t="e">
        <f t="shared" si="3"/>
        <v>#VALUE!</v>
      </c>
      <c r="K58" s="63" t="e">
        <f t="shared" si="4"/>
        <v>#VALUE!</v>
      </c>
      <c r="L58" s="63" t="str">
        <f>IFERROR(VLOOKUP(MID(G58,J58,K58-J58),[6]skilldef!$C:$D,2,FALSE),"-") &amp; " / " &amp; IFERROR(VLOOKUP(MID(G58,H58,I58-H58),[6]skilldef!$A:$B,2,FALSE),"-")</f>
        <v>- / 何もしない</v>
      </c>
      <c r="M58" s="63" t="str">
        <f t="shared" si="5"/>
        <v>none</v>
      </c>
      <c r="N58" s="48" t="str">
        <f t="shared" si="6"/>
        <v>none</v>
      </c>
      <c r="O58" s="63" t="e">
        <f t="shared" si="7"/>
        <v>#VALUE!</v>
      </c>
      <c r="P58" s="63">
        <f t="shared" si="8"/>
        <v>4</v>
      </c>
      <c r="Q58" s="63" t="e">
        <f t="shared" si="9"/>
        <v>#VALUE!</v>
      </c>
      <c r="R58" s="63" t="e">
        <f t="shared" si="1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3" t="e">
        <f t="shared" si="12"/>
        <v>#VALUE!</v>
      </c>
      <c r="V58" s="63">
        <f t="shared" si="13"/>
        <v>4</v>
      </c>
      <c r="W58" s="63" t="e">
        <f t="shared" si="14"/>
        <v>#VALUE!</v>
      </c>
      <c r="X58" s="63" t="e">
        <f t="shared" si="15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>
      <c r="A59" s="47">
        <v>40007058</v>
      </c>
      <c r="B59" s="95" t="s">
        <v>316</v>
      </c>
      <c r="C59" s="50">
        <v>3</v>
      </c>
      <c r="D59" s="50" t="s">
        <v>128</v>
      </c>
      <c r="E59" s="51" t="s">
        <v>320</v>
      </c>
      <c r="F59" s="51" t="s">
        <v>257</v>
      </c>
      <c r="G59" s="63" t="str">
        <f t="shared" si="0"/>
        <v>[effect:spread, val:0.3]</v>
      </c>
      <c r="H59" s="63">
        <f t="shared" si="1"/>
        <v>9</v>
      </c>
      <c r="I59" s="63">
        <f t="shared" si="2"/>
        <v>15</v>
      </c>
      <c r="J59" s="63" t="e">
        <f t="shared" si="3"/>
        <v>#VALUE!</v>
      </c>
      <c r="K59" s="63" t="e">
        <f t="shared" si="4"/>
        <v>#VALUE!</v>
      </c>
      <c r="L59" s="63" t="str">
        <f>IFERROR(VLOOKUP(MID(G59,J59,K59-J59),[6]skilldef!$C:$D,2,FALSE),"-") &amp; " / " &amp; IFERROR(VLOOKUP(MID(G59,H59,I59-H59),[6]skilldef!$A:$B,2,FALSE),"-")</f>
        <v>- / 全体攻撃</v>
      </c>
      <c r="M59" s="63" t="str">
        <f t="shared" si="5"/>
        <v>none</v>
      </c>
      <c r="N59" s="48" t="str">
        <f t="shared" si="6"/>
        <v>none</v>
      </c>
      <c r="O59" s="63" t="e">
        <f t="shared" si="7"/>
        <v>#VALUE!</v>
      </c>
      <c r="P59" s="63">
        <f t="shared" si="8"/>
        <v>4</v>
      </c>
      <c r="Q59" s="63" t="e">
        <f t="shared" si="9"/>
        <v>#VALUE!</v>
      </c>
      <c r="R59" s="63" t="e">
        <f t="shared" si="1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3" t="e">
        <f t="shared" si="12"/>
        <v>#VALUE!</v>
      </c>
      <c r="V59" s="63">
        <f t="shared" si="13"/>
        <v>4</v>
      </c>
      <c r="W59" s="63" t="e">
        <f t="shared" si="14"/>
        <v>#VALUE!</v>
      </c>
      <c r="X59" s="63" t="e">
        <f t="shared" si="15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>
      <c r="A60" s="47">
        <v>40007059</v>
      </c>
      <c r="B60" s="95" t="s">
        <v>223</v>
      </c>
      <c r="C60" s="50">
        <v>3</v>
      </c>
      <c r="D60" s="50" t="s">
        <v>128</v>
      </c>
      <c r="E60" s="51" t="s">
        <v>218</v>
      </c>
      <c r="F60" s="51" t="s">
        <v>201</v>
      </c>
      <c r="G60" s="63" t="str">
        <f t="shared" si="0"/>
        <v>[effect:nothing]</v>
      </c>
      <c r="H60" s="63">
        <f t="shared" si="1"/>
        <v>9</v>
      </c>
      <c r="I60" s="63">
        <f t="shared" si="2"/>
        <v>16</v>
      </c>
      <c r="J60" s="63" t="e">
        <f t="shared" si="3"/>
        <v>#VALUE!</v>
      </c>
      <c r="K60" s="63" t="e">
        <f t="shared" si="4"/>
        <v>#VALUE!</v>
      </c>
      <c r="L60" s="63" t="str">
        <f>IFERROR(VLOOKUP(MID(G60,J60,K60-J60),[6]skilldef!$C:$D,2,FALSE),"-") &amp; " / " &amp; IFERROR(VLOOKUP(MID(G60,H60,I60-H60),[6]skilldef!$A:$B,2,FALSE),"-")</f>
        <v>- / 何もしない</v>
      </c>
      <c r="M60" s="63" t="str">
        <f t="shared" si="5"/>
        <v>none</v>
      </c>
      <c r="N60" s="48" t="str">
        <f t="shared" si="6"/>
        <v>none</v>
      </c>
      <c r="O60" s="63" t="e">
        <f t="shared" si="7"/>
        <v>#VALUE!</v>
      </c>
      <c r="P60" s="63">
        <f t="shared" si="8"/>
        <v>4</v>
      </c>
      <c r="Q60" s="63" t="e">
        <f t="shared" si="9"/>
        <v>#VALUE!</v>
      </c>
      <c r="R60" s="63" t="e">
        <f t="shared" si="1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3" t="e">
        <f t="shared" si="12"/>
        <v>#VALUE!</v>
      </c>
      <c r="V60" s="63">
        <f t="shared" si="13"/>
        <v>4</v>
      </c>
      <c r="W60" s="63" t="e">
        <f t="shared" si="14"/>
        <v>#VALUE!</v>
      </c>
      <c r="X60" s="63" t="e">
        <f t="shared" si="15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>
      <c r="A61" s="47">
        <v>40007060</v>
      </c>
      <c r="B61" s="95" t="s">
        <v>223</v>
      </c>
      <c r="C61" s="50">
        <v>3</v>
      </c>
      <c r="D61" s="50" t="s">
        <v>128</v>
      </c>
      <c r="E61" s="51" t="s">
        <v>218</v>
      </c>
      <c r="F61" s="51" t="s">
        <v>201</v>
      </c>
      <c r="G61" s="63" t="str">
        <f t="shared" si="0"/>
        <v>[effect:nothing]</v>
      </c>
      <c r="H61" s="63">
        <f t="shared" si="1"/>
        <v>9</v>
      </c>
      <c r="I61" s="63">
        <f t="shared" si="2"/>
        <v>16</v>
      </c>
      <c r="J61" s="63" t="e">
        <f t="shared" si="3"/>
        <v>#VALUE!</v>
      </c>
      <c r="K61" s="63" t="e">
        <f t="shared" si="4"/>
        <v>#VALUE!</v>
      </c>
      <c r="L61" s="63" t="str">
        <f>IFERROR(VLOOKUP(MID(G61,J61,K61-J61),[6]skilldef!$C:$D,2,FALSE),"-") &amp; " / " &amp; IFERROR(VLOOKUP(MID(G61,H61,I61-H61),[6]skilldef!$A:$B,2,FALSE),"-")</f>
        <v>- / 何もしない</v>
      </c>
      <c r="M61" s="63" t="str">
        <f t="shared" si="5"/>
        <v>none</v>
      </c>
      <c r="N61" s="48" t="str">
        <f t="shared" si="6"/>
        <v>none</v>
      </c>
      <c r="O61" s="63" t="e">
        <f t="shared" si="7"/>
        <v>#VALUE!</v>
      </c>
      <c r="P61" s="63">
        <f t="shared" si="8"/>
        <v>4</v>
      </c>
      <c r="Q61" s="63" t="e">
        <f t="shared" si="9"/>
        <v>#VALUE!</v>
      </c>
      <c r="R61" s="63" t="e">
        <f t="shared" si="10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11"/>
        <v>none</v>
      </c>
      <c r="U61" s="63" t="e">
        <f t="shared" si="12"/>
        <v>#VALUE!</v>
      </c>
      <c r="V61" s="63">
        <f t="shared" si="13"/>
        <v>4</v>
      </c>
      <c r="W61" s="63" t="e">
        <f t="shared" si="14"/>
        <v>#VALUE!</v>
      </c>
      <c r="X61" s="63" t="e">
        <f t="shared" si="15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>
      <c r="A62" s="47">
        <v>40007061</v>
      </c>
      <c r="B62" s="95" t="s">
        <v>316</v>
      </c>
      <c r="C62" s="50">
        <v>3</v>
      </c>
      <c r="D62" s="50" t="s">
        <v>128</v>
      </c>
      <c r="E62" s="51" t="s">
        <v>320</v>
      </c>
      <c r="F62" s="51" t="s">
        <v>257</v>
      </c>
      <c r="G62" s="63" t="str">
        <f t="shared" si="0"/>
        <v>[effect:spread, val:0.3]</v>
      </c>
      <c r="H62" s="63">
        <f t="shared" si="1"/>
        <v>9</v>
      </c>
      <c r="I62" s="63">
        <f t="shared" si="2"/>
        <v>15</v>
      </c>
      <c r="J62" s="63" t="e">
        <f t="shared" si="3"/>
        <v>#VALUE!</v>
      </c>
      <c r="K62" s="63" t="e">
        <f t="shared" si="4"/>
        <v>#VALUE!</v>
      </c>
      <c r="L62" s="63" t="str">
        <f>IFERROR(VLOOKUP(MID(G62,J62,K62-J62),[6]skilldef!$C:$D,2,FALSE),"-") &amp; " / " &amp; IFERROR(VLOOKUP(MID(G62,H62,I62-H62),[6]skilldef!$A:$B,2,FALSE),"-")</f>
        <v>- / 全体攻撃</v>
      </c>
      <c r="M62" s="63" t="str">
        <f t="shared" si="5"/>
        <v>none</v>
      </c>
      <c r="N62" s="48" t="str">
        <f t="shared" si="6"/>
        <v>none</v>
      </c>
      <c r="O62" s="63" t="e">
        <f t="shared" si="7"/>
        <v>#VALUE!</v>
      </c>
      <c r="P62" s="63">
        <f t="shared" si="8"/>
        <v>4</v>
      </c>
      <c r="Q62" s="63" t="e">
        <f t="shared" si="9"/>
        <v>#VALUE!</v>
      </c>
      <c r="R62" s="63" t="e">
        <f t="shared" si="10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11"/>
        <v>none</v>
      </c>
      <c r="U62" s="63" t="e">
        <f t="shared" si="12"/>
        <v>#VALUE!</v>
      </c>
      <c r="V62" s="63">
        <f t="shared" si="13"/>
        <v>4</v>
      </c>
      <c r="W62" s="63" t="e">
        <f t="shared" si="14"/>
        <v>#VALUE!</v>
      </c>
      <c r="X62" s="63" t="e">
        <f t="shared" si="15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>
      <c r="A63" s="47">
        <v>40007062</v>
      </c>
      <c r="B63" s="95" t="s">
        <v>223</v>
      </c>
      <c r="C63" s="50">
        <v>3</v>
      </c>
      <c r="D63" s="50" t="s">
        <v>128</v>
      </c>
      <c r="E63" s="51" t="s">
        <v>219</v>
      </c>
      <c r="F63" s="51" t="s">
        <v>201</v>
      </c>
      <c r="G63" s="63" t="str">
        <f t="shared" ref="G63:G76" si="16">IFERROR(LEFT(B63,FIND("],",B63)),B63)</f>
        <v>[effect:nothing]</v>
      </c>
      <c r="H63" s="63">
        <f t="shared" si="1"/>
        <v>9</v>
      </c>
      <c r="I63" s="63">
        <f t="shared" ref="I63:I76" si="17">IFERROR(FIND(",",G63),LEN(G63))</f>
        <v>16</v>
      </c>
      <c r="J63" s="63" t="e">
        <f t="shared" ref="J63:J76" si="18">FIND("target:",G63)+7</f>
        <v>#VALUE!</v>
      </c>
      <c r="K63" s="63" t="e">
        <f t="shared" ref="K63:K76" si="19">FIND(",",G63,I63+1)</f>
        <v>#VALUE!</v>
      </c>
      <c r="L63" s="63" t="str">
        <f>IFERROR(VLOOKUP(MID(G63,J63,K63-J63),[6]skilldef!$C:$D,2,FALSE),"-") &amp; " / " &amp; IFERROR(VLOOKUP(MID(G63,H63,I63-H63),[6]skilldef!$A:$B,2,FALSE),"-")</f>
        <v>- / 何もしない</v>
      </c>
      <c r="M63" s="63" t="str">
        <f t="shared" ref="M63:M76" si="20">IFERROR(RIGHT(B63,LEN(B63)-FIND("],",B63)-1),"none")</f>
        <v>none</v>
      </c>
      <c r="N63" s="48" t="str">
        <f t="shared" ref="N63:N72" si="21">IFERROR(LEFT(M63,FIND("],",M63)+S73),M63)</f>
        <v>none</v>
      </c>
      <c r="O63" s="63" t="e">
        <f t="shared" si="7"/>
        <v>#VALUE!</v>
      </c>
      <c r="P63" s="63">
        <f t="shared" ref="P63:P76" si="22">IFERROR(FIND(",",N63),LEN(N63))</f>
        <v>4</v>
      </c>
      <c r="Q63" s="63" t="e">
        <f t="shared" ref="Q63:Q76" si="23">FIND("target:",N63)+7</f>
        <v>#VALUE!</v>
      </c>
      <c r="R63" s="63" t="e">
        <f t="shared" ref="R63:R76" si="24">FIND(",",N63,P63+1)</f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ref="T63:T76" si="25">IFERROR(RIGHT(M63,LEN(M63)-FIND("],",M63)-1),"none")</f>
        <v>none</v>
      </c>
      <c r="U63" s="63" t="e">
        <f t="shared" si="12"/>
        <v>#VALUE!</v>
      </c>
      <c r="V63" s="63">
        <f t="shared" ref="V63:V76" si="26">IFERROR(FIND(",",T63),LEN(T63))</f>
        <v>4</v>
      </c>
      <c r="W63" s="63" t="e">
        <f t="shared" ref="W63:W76" si="27">FIND("target:",T63)+7</f>
        <v>#VALUE!</v>
      </c>
      <c r="X63" s="63" t="e">
        <f t="shared" ref="X63:X76" si="28">FIND(",",T63,V63+1)</f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>
      <c r="A64" s="47">
        <v>40007063</v>
      </c>
      <c r="B64" s="95" t="s">
        <v>223</v>
      </c>
      <c r="C64" s="50">
        <v>3</v>
      </c>
      <c r="D64" s="50" t="s">
        <v>128</v>
      </c>
      <c r="E64" s="51" t="s">
        <v>219</v>
      </c>
      <c r="F64" s="51" t="s">
        <v>201</v>
      </c>
      <c r="G64" s="63" t="str">
        <f t="shared" si="16"/>
        <v>[effect:nothing]</v>
      </c>
      <c r="H64" s="63">
        <f t="shared" si="1"/>
        <v>9</v>
      </c>
      <c r="I64" s="63">
        <f t="shared" si="17"/>
        <v>16</v>
      </c>
      <c r="J64" s="63" t="e">
        <f t="shared" si="18"/>
        <v>#VALUE!</v>
      </c>
      <c r="K64" s="63" t="e">
        <f t="shared" si="19"/>
        <v>#VALUE!</v>
      </c>
      <c r="L64" s="63" t="str">
        <f>IFERROR(VLOOKUP(MID(G64,J64,K64-J64),[6]skilldef!$C:$D,2,FALSE),"-") &amp; " / " &amp; IFERROR(VLOOKUP(MID(G64,H64,I64-H64),[6]skilldef!$A:$B,2,FALSE),"-")</f>
        <v>- / 何もしない</v>
      </c>
      <c r="M64" s="63" t="str">
        <f t="shared" si="20"/>
        <v>none</v>
      </c>
      <c r="N64" s="48" t="str">
        <f t="shared" si="21"/>
        <v>none</v>
      </c>
      <c r="O64" s="63" t="e">
        <f t="shared" si="7"/>
        <v>#VALUE!</v>
      </c>
      <c r="P64" s="63">
        <f t="shared" si="22"/>
        <v>4</v>
      </c>
      <c r="Q64" s="63" t="e">
        <f t="shared" si="23"/>
        <v>#VALUE!</v>
      </c>
      <c r="R64" s="63" t="e">
        <f t="shared" si="24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25"/>
        <v>none</v>
      </c>
      <c r="U64" s="63" t="e">
        <f t="shared" si="12"/>
        <v>#VALUE!</v>
      </c>
      <c r="V64" s="63">
        <f t="shared" si="26"/>
        <v>4</v>
      </c>
      <c r="W64" s="63" t="e">
        <f t="shared" si="27"/>
        <v>#VALUE!</v>
      </c>
      <c r="X64" s="63" t="e">
        <f t="shared" si="28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>
      <c r="A65" s="47">
        <v>40007064</v>
      </c>
      <c r="B65" s="47" t="s">
        <v>373</v>
      </c>
      <c r="C65" s="50">
        <v>3</v>
      </c>
      <c r="D65" s="50" t="s">
        <v>128</v>
      </c>
      <c r="E65" s="51" t="s">
        <v>322</v>
      </c>
      <c r="F65" s="51" t="s">
        <v>396</v>
      </c>
      <c r="G65" s="63" t="str">
        <f t="shared" si="16"/>
        <v>[effect:tolerance, target:myself, turn:-1, tolerance_effect:hungup, count:-1, animation:enemy_tolerance]</v>
      </c>
      <c r="H65" s="63">
        <f t="shared" si="1"/>
        <v>9</v>
      </c>
      <c r="I65" s="63">
        <f t="shared" si="17"/>
        <v>18</v>
      </c>
      <c r="J65" s="63">
        <f t="shared" si="18"/>
        <v>27</v>
      </c>
      <c r="K65" s="63">
        <f t="shared" si="19"/>
        <v>33</v>
      </c>
      <c r="L65" s="63" t="str">
        <f>IFERROR(VLOOKUP(MID(G65,J65,K65-J65),[6]skilldef!$C:$D,2,FALSE),"-") &amp; " / " &amp; IFERROR(VLOOKUP(MID(G65,H65,I65-H65),[6]skilldef!$A:$B,2,FALSE),"-")</f>
        <v>自分自身に / 状態異常耐性</v>
      </c>
      <c r="M65" s="63" t="str">
        <f t="shared" si="20"/>
        <v>[effect:fix_speed, target:myself, turn:1]</v>
      </c>
      <c r="N65" s="48" t="str">
        <f t="shared" si="21"/>
        <v>[effect:fix_speed, target:myself, turn:1]</v>
      </c>
      <c r="O65" s="63">
        <f t="shared" si="7"/>
        <v>9</v>
      </c>
      <c r="P65" s="63">
        <f t="shared" si="22"/>
        <v>18</v>
      </c>
      <c r="Q65" s="63">
        <f t="shared" si="23"/>
        <v>27</v>
      </c>
      <c r="R65" s="63">
        <f t="shared" si="24"/>
        <v>33</v>
      </c>
      <c r="S65" s="63" t="str">
        <f>IFERROR(VLOOKUP(MID(N65,Q65,R65-Q65),[6]skilldef!$C:$D,2,FALSE),"-") &amp; " / " &amp; IFERROR(VLOOKUP(MID(N65,O65,P65-O65),[6]skilldef!$A:$B,2,FALSE),"-")</f>
        <v>自分自身に / 行動値設定</v>
      </c>
      <c r="T65" s="48" t="str">
        <f t="shared" si="25"/>
        <v>none</v>
      </c>
      <c r="U65" s="63" t="e">
        <f t="shared" si="12"/>
        <v>#VALUE!</v>
      </c>
      <c r="V65" s="63">
        <f t="shared" si="26"/>
        <v>4</v>
      </c>
      <c r="W65" s="63" t="e">
        <f t="shared" si="27"/>
        <v>#VALUE!</v>
      </c>
      <c r="X65" s="63" t="e">
        <f t="shared" si="28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>
      <c r="A66" s="47">
        <v>40007065</v>
      </c>
      <c r="B66" s="47" t="s">
        <v>377</v>
      </c>
      <c r="C66" s="50">
        <v>3</v>
      </c>
      <c r="D66" s="50" t="s">
        <v>128</v>
      </c>
      <c r="E66" s="51" t="s">
        <v>293</v>
      </c>
      <c r="F66" s="51" t="s">
        <v>397</v>
      </c>
      <c r="G66" s="63" t="str">
        <f t="shared" si="16"/>
        <v>[effect:break_attack, val:0.3, lowest_val:333, count:-1, block:block_heart, target:unit_one]</v>
      </c>
      <c r="H66" s="63">
        <f t="shared" si="1"/>
        <v>9</v>
      </c>
      <c r="I66" s="63">
        <f t="shared" si="17"/>
        <v>21</v>
      </c>
      <c r="J66" s="63">
        <f t="shared" si="18"/>
        <v>84</v>
      </c>
      <c r="K66" s="63">
        <f t="shared" si="19"/>
        <v>30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si="20"/>
        <v>[effect:fix_speed, target:myself, turn:2]</v>
      </c>
      <c r="N66" s="48" t="str">
        <f t="shared" si="21"/>
        <v>[effect:fix_speed, target:myself, turn:2]</v>
      </c>
      <c r="O66" s="63">
        <f t="shared" si="7"/>
        <v>9</v>
      </c>
      <c r="P66" s="63">
        <f t="shared" si="22"/>
        <v>18</v>
      </c>
      <c r="Q66" s="63">
        <f t="shared" si="23"/>
        <v>27</v>
      </c>
      <c r="R66" s="63">
        <f t="shared" si="24"/>
        <v>33</v>
      </c>
      <c r="S66" s="63" t="str">
        <f>IFERROR(VLOOKUP(MID(N66,Q66,R66-Q66),[6]skilldef!$C:$D,2,FALSE),"-") &amp; " / " &amp; IFERROR(VLOOKUP(MID(N66,O66,P66-O66),[6]skilldef!$A:$B,2,FALSE),"-")</f>
        <v>自分自身に / 行動値設定</v>
      </c>
      <c r="T66" s="48" t="str">
        <f t="shared" si="25"/>
        <v>none</v>
      </c>
      <c r="U66" s="63" t="e">
        <f t="shared" si="12"/>
        <v>#VALUE!</v>
      </c>
      <c r="V66" s="63">
        <f t="shared" si="26"/>
        <v>4</v>
      </c>
      <c r="W66" s="63" t="e">
        <f t="shared" si="27"/>
        <v>#VALUE!</v>
      </c>
      <c r="X66" s="63" t="e">
        <f t="shared" si="28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>
      <c r="A67" s="47">
        <v>40007066</v>
      </c>
      <c r="B67" s="95" t="s">
        <v>376</v>
      </c>
      <c r="C67" s="50">
        <v>3</v>
      </c>
      <c r="D67" s="50" t="s">
        <v>128</v>
      </c>
      <c r="E67" s="51" t="s">
        <v>393</v>
      </c>
      <c r="F67" s="51" t="s">
        <v>403</v>
      </c>
      <c r="G67" s="63" t="str">
        <f t="shared" si="16"/>
        <v>[effect:spread, val:0.3]</v>
      </c>
      <c r="H67" s="63">
        <f t="shared" ref="H67:H90" si="29">FIND("effect:",G67)+7</f>
        <v>9</v>
      </c>
      <c r="I67" s="63">
        <f t="shared" si="17"/>
        <v>15</v>
      </c>
      <c r="J67" s="63" t="e">
        <f t="shared" si="18"/>
        <v>#VALUE!</v>
      </c>
      <c r="K67" s="63" t="e">
        <f t="shared" si="19"/>
        <v>#VALUE!</v>
      </c>
      <c r="L67" s="63" t="str">
        <f>IFERROR(VLOOKUP(MID(G67,J67,K67-J67),[6]skilldef!$C:$D,2,FALSE),"-") &amp; " / " &amp; IFERROR(VLOOKUP(MID(G67,H67,I67-H67),[6]skilldef!$A:$B,2,FALSE),"-")</f>
        <v>- / 全体攻撃</v>
      </c>
      <c r="M67" s="63" t="str">
        <f t="shared" si="20"/>
        <v>[effect:hungup, target:unit_all, turn:1, rate:0.2, animation:hungup01]</v>
      </c>
      <c r="N67" s="48" t="str">
        <f t="shared" si="21"/>
        <v>[effect:hungup, target:unit_all, turn:1, rate:0.2, animation:hungup01]</v>
      </c>
      <c r="O67" s="63">
        <f t="shared" ref="O67:O90" si="30">FIND("effect:",N67)+7</f>
        <v>9</v>
      </c>
      <c r="P67" s="63">
        <f t="shared" si="22"/>
        <v>15</v>
      </c>
      <c r="Q67" s="63">
        <f t="shared" si="23"/>
        <v>24</v>
      </c>
      <c r="R67" s="63">
        <f t="shared" si="24"/>
        <v>32</v>
      </c>
      <c r="S67" s="63" t="str">
        <f>IFERROR(VLOOKUP(MID(N67,Q67,R67-Q67),[6]skilldef!$C:$D,2,FALSE),"-") &amp; " / " &amp; IFERROR(VLOOKUP(MID(N67,O67,P67-O67),[6]skilldef!$A:$B,2,FALSE),"-")</f>
        <v>味方全体に / ハングアップ</v>
      </c>
      <c r="T67" s="48" t="str">
        <f t="shared" si="25"/>
        <v>none</v>
      </c>
      <c r="U67" s="63" t="e">
        <f t="shared" ref="U67:U90" si="31">FIND("effect:",T67)+7</f>
        <v>#VALUE!</v>
      </c>
      <c r="V67" s="63">
        <f t="shared" si="26"/>
        <v>4</v>
      </c>
      <c r="W67" s="63" t="e">
        <f t="shared" si="27"/>
        <v>#VALUE!</v>
      </c>
      <c r="X67" s="63" t="e">
        <f t="shared" si="28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>
      <c r="A68" s="47">
        <v>40007067</v>
      </c>
      <c r="B68" s="47" t="s">
        <v>238</v>
      </c>
      <c r="C68" s="50">
        <v>3</v>
      </c>
      <c r="D68" s="50" t="s">
        <v>128</v>
      </c>
      <c r="E68" s="51" t="s">
        <v>299</v>
      </c>
      <c r="F68" s="51" t="s">
        <v>297</v>
      </c>
      <c r="G68" s="63" t="str">
        <f t="shared" si="16"/>
        <v>[effect:damage_anti_tribe, target:unit_all, tribe:dragon, val1:1.3, val2:0.1]</v>
      </c>
      <c r="H68" s="63">
        <f t="shared" si="29"/>
        <v>9</v>
      </c>
      <c r="I68" s="63">
        <f t="shared" si="17"/>
        <v>26</v>
      </c>
      <c r="J68" s="63">
        <f t="shared" si="18"/>
        <v>35</v>
      </c>
      <c r="K68" s="63">
        <f t="shared" si="19"/>
        <v>43</v>
      </c>
      <c r="L68" s="63" t="str">
        <f>IFERROR(VLOOKUP(MID(G68,J68,K68-J68),[6]skilldef!$C:$D,2,FALSE),"-") &amp; " / " &amp; IFERROR(VLOOKUP(MID(G68,H68,I68-H68),[6]skilldef!$A:$B,2,FALSE),"-")</f>
        <v>味方全体に / 種族キラー</v>
      </c>
      <c r="M68" s="63" t="str">
        <f t="shared" si="20"/>
        <v>none</v>
      </c>
      <c r="N68" s="48" t="str">
        <f t="shared" si="21"/>
        <v>none</v>
      </c>
      <c r="O68" s="63" t="e">
        <f t="shared" si="30"/>
        <v>#VALUE!</v>
      </c>
      <c r="P68" s="63">
        <f t="shared" si="22"/>
        <v>4</v>
      </c>
      <c r="Q68" s="63" t="e">
        <f t="shared" si="23"/>
        <v>#VALUE!</v>
      </c>
      <c r="R68" s="63" t="e">
        <f t="shared" si="24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25"/>
        <v>none</v>
      </c>
      <c r="U68" s="63" t="e">
        <f t="shared" si="31"/>
        <v>#VALUE!</v>
      </c>
      <c r="V68" s="63">
        <f t="shared" si="26"/>
        <v>4</v>
      </c>
      <c r="W68" s="63" t="e">
        <f t="shared" si="27"/>
        <v>#VALUE!</v>
      </c>
      <c r="X68" s="63" t="e">
        <f t="shared" si="28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>
      <c r="A69" s="47">
        <v>40007068</v>
      </c>
      <c r="B69" s="47" t="s">
        <v>375</v>
      </c>
      <c r="C69" s="50">
        <v>3</v>
      </c>
      <c r="D69" s="50" t="s">
        <v>128</v>
      </c>
      <c r="E69" s="51" t="s">
        <v>394</v>
      </c>
      <c r="F69" s="51" t="s">
        <v>385</v>
      </c>
      <c r="G69" s="63" t="str">
        <f t="shared" si="16"/>
        <v>[effect:rush, count:4, val:0.3]</v>
      </c>
      <c r="H69" s="63">
        <f t="shared" si="29"/>
        <v>9</v>
      </c>
      <c r="I69" s="63">
        <f t="shared" si="17"/>
        <v>13</v>
      </c>
      <c r="J69" s="63" t="e">
        <f t="shared" si="18"/>
        <v>#VALUE!</v>
      </c>
      <c r="K69" s="63">
        <f t="shared" si="19"/>
        <v>22</v>
      </c>
      <c r="L69" s="63" t="str">
        <f>IFERROR(VLOOKUP(MID(G69,J69,K69-J69),[6]skilldef!$C:$D,2,FALSE),"-") &amp; " / " &amp; IFERROR(VLOOKUP(MID(G69,H69,I69-H69),[6]skilldef!$A:$B,2,FALSE),"-")</f>
        <v>- / 連続攻撃</v>
      </c>
      <c r="M69" s="63" t="str">
        <f t="shared" si="20"/>
        <v>none</v>
      </c>
      <c r="N69" s="48" t="str">
        <f t="shared" si="21"/>
        <v>none</v>
      </c>
      <c r="O69" s="63" t="e">
        <f t="shared" si="30"/>
        <v>#VALUE!</v>
      </c>
      <c r="P69" s="63">
        <f t="shared" si="22"/>
        <v>4</v>
      </c>
      <c r="Q69" s="63" t="e">
        <f t="shared" si="23"/>
        <v>#VALUE!</v>
      </c>
      <c r="R69" s="63" t="e">
        <f t="shared" si="24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25"/>
        <v>none</v>
      </c>
      <c r="U69" s="63" t="e">
        <f t="shared" si="31"/>
        <v>#VALUE!</v>
      </c>
      <c r="V69" s="63">
        <f t="shared" si="26"/>
        <v>4</v>
      </c>
      <c r="W69" s="63" t="e">
        <f t="shared" si="27"/>
        <v>#VALUE!</v>
      </c>
      <c r="X69" s="63" t="e">
        <f t="shared" si="28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>
      <c r="A70" s="47">
        <v>40007069</v>
      </c>
      <c r="B70" s="47" t="s">
        <v>378</v>
      </c>
      <c r="C70" s="50">
        <v>3</v>
      </c>
      <c r="D70" s="50" t="s">
        <v>128</v>
      </c>
      <c r="E70" s="51" t="s">
        <v>294</v>
      </c>
      <c r="F70" s="51" t="s">
        <v>379</v>
      </c>
      <c r="G70" s="63" t="str">
        <f t="shared" si="16"/>
        <v>[effect:tolerance, target:myself, turn:-1, tolerance_effect:hungup, count:-1, animation:enemy_tolerance]</v>
      </c>
      <c r="H70" s="63">
        <f t="shared" si="29"/>
        <v>9</v>
      </c>
      <c r="I70" s="63">
        <f t="shared" si="17"/>
        <v>18</v>
      </c>
      <c r="J70" s="63">
        <f t="shared" si="18"/>
        <v>27</v>
      </c>
      <c r="K70" s="63">
        <f t="shared" si="19"/>
        <v>33</v>
      </c>
      <c r="L70" s="63" t="str">
        <f>IFERROR(VLOOKUP(MID(G70,J70,K70-J70),[6]skilldef!$C:$D,2,FALSE),"-") &amp; " / " &amp; IFERROR(VLOOKUP(MID(G70,H70,I70-H70),[6]skilldef!$A:$B,2,FALSE),"-")</f>
        <v>自分自身に / 状態異常耐性</v>
      </c>
      <c r="M70" s="63" t="str">
        <f t="shared" si="20"/>
        <v>[effect:invalidate_change_block, target:unit_all, block_type:crash, turn:-1, animation:panel_conversion_off]</v>
      </c>
      <c r="N70" s="48" t="str">
        <f t="shared" si="21"/>
        <v>[effect:invalidate_change_block, target:unit_all, block_type:crash, turn:-1, animation:panel_conversion_off]</v>
      </c>
      <c r="O70" s="63">
        <f t="shared" si="30"/>
        <v>9</v>
      </c>
      <c r="P70" s="63">
        <f t="shared" si="22"/>
        <v>32</v>
      </c>
      <c r="Q70" s="63">
        <f t="shared" si="23"/>
        <v>41</v>
      </c>
      <c r="R70" s="63">
        <f t="shared" si="24"/>
        <v>49</v>
      </c>
      <c r="S70" s="63" t="str">
        <f>IFERROR(VLOOKUP(MID(N70,Q70,R70-Q70),[6]skilldef!$C:$D,2,FALSE),"-") &amp; " / " &amp; IFERROR(VLOOKUP(MID(N70,O70,P70-O70),[6]skilldef!$A:$B,2,FALSE),"-")</f>
        <v>味方全体に / -</v>
      </c>
      <c r="T70" s="48" t="str">
        <f t="shared" si="25"/>
        <v>none</v>
      </c>
      <c r="U70" s="63" t="e">
        <f t="shared" si="31"/>
        <v>#VALUE!</v>
      </c>
      <c r="V70" s="63">
        <f t="shared" si="26"/>
        <v>4</v>
      </c>
      <c r="W70" s="63" t="e">
        <f t="shared" si="27"/>
        <v>#VALUE!</v>
      </c>
      <c r="X70" s="63" t="e">
        <f t="shared" si="28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21" customHeight="1">
      <c r="A71" s="47">
        <v>40007070</v>
      </c>
      <c r="B71" s="95" t="s">
        <v>376</v>
      </c>
      <c r="C71" s="50">
        <v>3</v>
      </c>
      <c r="D71" s="50" t="s">
        <v>128</v>
      </c>
      <c r="E71" s="51" t="s">
        <v>393</v>
      </c>
      <c r="F71" s="51" t="s">
        <v>403</v>
      </c>
      <c r="G71" s="63" t="str">
        <f t="shared" si="16"/>
        <v>[effect:spread, val:0.3]</v>
      </c>
      <c r="H71" s="63">
        <f t="shared" si="29"/>
        <v>9</v>
      </c>
      <c r="I71" s="63">
        <f t="shared" si="17"/>
        <v>15</v>
      </c>
      <c r="J71" s="63" t="e">
        <f t="shared" si="18"/>
        <v>#VALUE!</v>
      </c>
      <c r="K71" s="63" t="e">
        <f t="shared" si="19"/>
        <v>#VALUE!</v>
      </c>
      <c r="L71" s="63" t="str">
        <f>IFERROR(VLOOKUP(MID(G71,J71,K71-J71),[6]skilldef!$C:$D,2,FALSE),"-") &amp; " / " &amp; IFERROR(VLOOKUP(MID(G71,H71,I71-H71),[6]skilldef!$A:$B,2,FALSE),"-")</f>
        <v>- / 全体攻撃</v>
      </c>
      <c r="M71" s="63" t="str">
        <f t="shared" si="20"/>
        <v>[effect:hungup, target:unit_all, turn:1, rate:0.2, animation:hungup01]</v>
      </c>
      <c r="N71" s="48" t="str">
        <f t="shared" si="21"/>
        <v>[effect:hungup, target:unit_all, turn:1, rate:0.2, animation:hungup01]</v>
      </c>
      <c r="O71" s="63">
        <f t="shared" si="30"/>
        <v>9</v>
      </c>
      <c r="P71" s="63">
        <f t="shared" si="22"/>
        <v>15</v>
      </c>
      <c r="Q71" s="63">
        <f t="shared" si="23"/>
        <v>24</v>
      </c>
      <c r="R71" s="63">
        <f t="shared" si="24"/>
        <v>32</v>
      </c>
      <c r="S71" s="63" t="str">
        <f>IFERROR(VLOOKUP(MID(N71,Q71,R71-Q71),[6]skilldef!$C:$D,2,FALSE),"-") &amp; " / " &amp; IFERROR(VLOOKUP(MID(N71,O71,P71-O71),[6]skilldef!$A:$B,2,FALSE),"-")</f>
        <v>味方全体に / ハングアップ</v>
      </c>
      <c r="T71" s="48" t="str">
        <f t="shared" si="25"/>
        <v>none</v>
      </c>
      <c r="U71" s="63" t="e">
        <f t="shared" si="31"/>
        <v>#VALUE!</v>
      </c>
      <c r="V71" s="63">
        <f t="shared" si="26"/>
        <v>4</v>
      </c>
      <c r="W71" s="63" t="e">
        <f t="shared" si="27"/>
        <v>#VALUE!</v>
      </c>
      <c r="X71" s="63" t="e">
        <f t="shared" si="28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8" ht="21" customHeight="1">
      <c r="A72" s="47">
        <v>40007071</v>
      </c>
      <c r="B72" s="47" t="s">
        <v>392</v>
      </c>
      <c r="C72" s="50">
        <v>3</v>
      </c>
      <c r="D72" s="50" t="s">
        <v>128</v>
      </c>
      <c r="E72" s="51" t="s">
        <v>394</v>
      </c>
      <c r="F72" s="51" t="s">
        <v>374</v>
      </c>
      <c r="G72" s="63" t="str">
        <f t="shared" si="16"/>
        <v>[effect:rush, count:6, val:0.2]</v>
      </c>
      <c r="H72" s="63">
        <f t="shared" si="29"/>
        <v>9</v>
      </c>
      <c r="I72" s="63">
        <f t="shared" si="17"/>
        <v>13</v>
      </c>
      <c r="J72" s="63" t="e">
        <f t="shared" si="18"/>
        <v>#VALUE!</v>
      </c>
      <c r="K72" s="63">
        <f t="shared" si="19"/>
        <v>22</v>
      </c>
      <c r="L72" s="63" t="str">
        <f>IFERROR(VLOOKUP(MID(G72,J72,K72-J72),[6]skilldef!$C:$D,2,FALSE),"-") &amp; " / " &amp; IFERROR(VLOOKUP(MID(G72,H72,I72-H72),[6]skilldef!$A:$B,2,FALSE),"-")</f>
        <v>- / 連続攻撃</v>
      </c>
      <c r="M72" s="63" t="str">
        <f t="shared" si="20"/>
        <v>none</v>
      </c>
      <c r="N72" s="48" t="str">
        <f t="shared" si="21"/>
        <v>none</v>
      </c>
      <c r="O72" s="63" t="e">
        <f t="shared" si="30"/>
        <v>#VALUE!</v>
      </c>
      <c r="P72" s="63">
        <f t="shared" si="22"/>
        <v>4</v>
      </c>
      <c r="Q72" s="63" t="e">
        <f t="shared" si="23"/>
        <v>#VALUE!</v>
      </c>
      <c r="R72" s="63" t="e">
        <f t="shared" si="24"/>
        <v>#VALUE!</v>
      </c>
      <c r="S72" s="63" t="str">
        <f>IFERROR(VLOOKUP(MID(N72,Q72,R72-Q72),[6]skilldef!$C:$D,2,FALSE),"-") &amp; " / " &amp; IFERROR(VLOOKUP(MID(N72,O72,P72-O72),[6]skilldef!$A:$B,2,FALSE),"-")</f>
        <v>- / -</v>
      </c>
      <c r="T72" s="48" t="str">
        <f t="shared" si="25"/>
        <v>none</v>
      </c>
      <c r="U72" s="63" t="e">
        <f t="shared" si="31"/>
        <v>#VALUE!</v>
      </c>
      <c r="V72" s="63">
        <f t="shared" si="26"/>
        <v>4</v>
      </c>
      <c r="W72" s="63" t="e">
        <f t="shared" si="27"/>
        <v>#VALUE!</v>
      </c>
      <c r="X72" s="63" t="e">
        <f t="shared" si="28"/>
        <v>#VALUE!</v>
      </c>
      <c r="Y72" s="63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8" ht="21" customHeight="1">
      <c r="A73" s="47">
        <v>40007072</v>
      </c>
      <c r="B73" s="95" t="s">
        <v>380</v>
      </c>
      <c r="C73" s="50">
        <v>3</v>
      </c>
      <c r="D73" s="50" t="s">
        <v>128</v>
      </c>
      <c r="E73" s="51" t="s">
        <v>384</v>
      </c>
      <c r="F73" s="51" t="s">
        <v>386</v>
      </c>
      <c r="G73" s="63" t="str">
        <f t="shared" si="16"/>
        <v>[effect:hungup, target:unit_all, turn:2, rate:1, animation:hungup01]</v>
      </c>
      <c r="H73" s="63">
        <f t="shared" si="29"/>
        <v>9</v>
      </c>
      <c r="I73" s="63">
        <f t="shared" si="17"/>
        <v>15</v>
      </c>
      <c r="J73" s="63">
        <f t="shared" si="18"/>
        <v>24</v>
      </c>
      <c r="K73" s="63">
        <f t="shared" si="19"/>
        <v>32</v>
      </c>
      <c r="L73" s="63" t="str">
        <f>IFERROR(VLOOKUP(MID(G73,J73,K73-J73),[6]skilldef!$C:$D,2,FALSE),"-") &amp; " / " &amp; IFERROR(VLOOKUP(MID(G73,H73,I73-H73),[6]skilldef!$A:$B,2,FALSE),"-")</f>
        <v>味方全体に / ハングアップ</v>
      </c>
      <c r="M73" s="63" t="str">
        <f t="shared" si="20"/>
        <v>none</v>
      </c>
      <c r="N73" s="48" t="str">
        <f t="shared" ref="N73:N83" si="32">IFERROR(LEFT(M73,FIND("],",M73)+S84),M73)</f>
        <v>none</v>
      </c>
      <c r="O73" s="63" t="e">
        <f t="shared" si="30"/>
        <v>#VALUE!</v>
      </c>
      <c r="P73" s="63">
        <f t="shared" si="22"/>
        <v>4</v>
      </c>
      <c r="Q73" s="63" t="e">
        <f t="shared" si="23"/>
        <v>#VALUE!</v>
      </c>
      <c r="R73" s="63" t="e">
        <f t="shared" si="24"/>
        <v>#VALUE!</v>
      </c>
      <c r="S73" s="63" t="str">
        <f>IFERROR(VLOOKUP(MID(N73,Q73,R73-Q73),[6]skilldef!$C:$D,2,FALSE),"-") &amp; " / " &amp; IFERROR(VLOOKUP(MID(N73,O73,P73-O73),[6]skilldef!$A:$B,2,FALSE),"-")</f>
        <v>- / -</v>
      </c>
      <c r="T73" s="48" t="str">
        <f t="shared" si="25"/>
        <v>none</v>
      </c>
      <c r="U73" s="63" t="e">
        <f t="shared" si="31"/>
        <v>#VALUE!</v>
      </c>
      <c r="V73" s="63">
        <f t="shared" si="26"/>
        <v>4</v>
      </c>
      <c r="W73" s="63" t="e">
        <f t="shared" si="27"/>
        <v>#VALUE!</v>
      </c>
      <c r="X73" s="63" t="e">
        <f t="shared" si="28"/>
        <v>#VALUE!</v>
      </c>
      <c r="Y73" s="63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8" ht="21" customHeight="1">
      <c r="A74" s="47">
        <v>40007073</v>
      </c>
      <c r="B74" s="47" t="s">
        <v>239</v>
      </c>
      <c r="C74" s="50">
        <v>3</v>
      </c>
      <c r="D74" s="50" t="s">
        <v>128</v>
      </c>
      <c r="E74" s="51" t="s">
        <v>301</v>
      </c>
      <c r="F74" s="51" t="s">
        <v>298</v>
      </c>
      <c r="G74" s="63" t="str">
        <f t="shared" si="16"/>
        <v>[effect:damage_anti_tribe, target:unit_all, tribe:god, val1:1.3, val2:0.1]</v>
      </c>
      <c r="H74" s="63">
        <f t="shared" si="29"/>
        <v>9</v>
      </c>
      <c r="I74" s="63">
        <f t="shared" si="17"/>
        <v>26</v>
      </c>
      <c r="J74" s="63">
        <f t="shared" si="18"/>
        <v>35</v>
      </c>
      <c r="K74" s="63">
        <f t="shared" si="19"/>
        <v>43</v>
      </c>
      <c r="L74" s="63" t="str">
        <f>IFERROR(VLOOKUP(MID(G74,J74,K74-J74),[6]skilldef!$C:$D,2,FALSE),"-") &amp; " / " &amp; IFERROR(VLOOKUP(MID(G74,H74,I74-H74),[6]skilldef!$A:$B,2,FALSE),"-")</f>
        <v>味方全体に / 種族キラー</v>
      </c>
      <c r="M74" s="63" t="str">
        <f t="shared" si="20"/>
        <v>none</v>
      </c>
      <c r="N74" s="48" t="str">
        <f t="shared" si="32"/>
        <v>none</v>
      </c>
      <c r="O74" s="63" t="e">
        <f t="shared" si="30"/>
        <v>#VALUE!</v>
      </c>
      <c r="P74" s="63">
        <f t="shared" si="22"/>
        <v>4</v>
      </c>
      <c r="Q74" s="63" t="e">
        <f t="shared" si="23"/>
        <v>#VALUE!</v>
      </c>
      <c r="R74" s="63" t="e">
        <f t="shared" si="24"/>
        <v>#VALUE!</v>
      </c>
      <c r="S74" s="63" t="str">
        <f>IFERROR(VLOOKUP(MID(N74,Q74,R74-Q74),[6]skilldef!$C:$D,2,FALSE),"-") &amp; " / " &amp; IFERROR(VLOOKUP(MID(N74,O74,P74-O74),[6]skilldef!$A:$B,2,FALSE),"-")</f>
        <v>- / -</v>
      </c>
      <c r="T74" s="48" t="str">
        <f t="shared" si="25"/>
        <v>none</v>
      </c>
      <c r="U74" s="63" t="e">
        <f t="shared" si="31"/>
        <v>#VALUE!</v>
      </c>
      <c r="V74" s="63">
        <f t="shared" si="26"/>
        <v>4</v>
      </c>
      <c r="W74" s="63" t="e">
        <f t="shared" si="27"/>
        <v>#VALUE!</v>
      </c>
      <c r="X74" s="63" t="e">
        <f t="shared" si="28"/>
        <v>#VALUE!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8" ht="21" customHeight="1">
      <c r="A75" s="47">
        <v>40007074</v>
      </c>
      <c r="B75" s="95" t="s">
        <v>223</v>
      </c>
      <c r="C75" s="50">
        <v>3</v>
      </c>
      <c r="D75" s="50" t="s">
        <v>128</v>
      </c>
      <c r="E75" s="51" t="s">
        <v>220</v>
      </c>
      <c r="F75" s="51" t="s">
        <v>212</v>
      </c>
      <c r="G75" s="63" t="str">
        <f t="shared" si="16"/>
        <v>[effect:nothing]</v>
      </c>
      <c r="H75" s="63">
        <f t="shared" si="29"/>
        <v>9</v>
      </c>
      <c r="I75" s="63">
        <f t="shared" si="17"/>
        <v>16</v>
      </c>
      <c r="J75" s="63" t="e">
        <f t="shared" si="18"/>
        <v>#VALUE!</v>
      </c>
      <c r="K75" s="63" t="e">
        <f t="shared" si="19"/>
        <v>#VALUE!</v>
      </c>
      <c r="L75" s="63" t="str">
        <f>IFERROR(VLOOKUP(MID(G75,J75,K75-J75),[6]skilldef!$C:$D,2,FALSE),"-") &amp; " / " &amp; IFERROR(VLOOKUP(MID(G75,H75,I75-H75),[6]skilldef!$A:$B,2,FALSE),"-")</f>
        <v>- / 何もしない</v>
      </c>
      <c r="M75" s="63" t="str">
        <f t="shared" si="20"/>
        <v>none</v>
      </c>
      <c r="N75" s="48" t="str">
        <f t="shared" si="32"/>
        <v>none</v>
      </c>
      <c r="O75" s="63" t="e">
        <f t="shared" si="30"/>
        <v>#VALUE!</v>
      </c>
      <c r="P75" s="63">
        <f t="shared" si="22"/>
        <v>4</v>
      </c>
      <c r="Q75" s="63" t="e">
        <f t="shared" si="23"/>
        <v>#VALUE!</v>
      </c>
      <c r="R75" s="63" t="e">
        <f t="shared" si="24"/>
        <v>#VALUE!</v>
      </c>
      <c r="S75" s="63" t="str">
        <f>IFERROR(VLOOKUP(MID(N75,Q75,R75-Q75),[6]skilldef!$C:$D,2,FALSE),"-") &amp; " / " &amp; IFERROR(VLOOKUP(MID(N75,O75,P75-O75),[6]skilldef!$A:$B,2,FALSE),"-")</f>
        <v>- / -</v>
      </c>
      <c r="T75" s="48" t="str">
        <f t="shared" si="25"/>
        <v>none</v>
      </c>
      <c r="U75" s="63" t="e">
        <f t="shared" si="31"/>
        <v>#VALUE!</v>
      </c>
      <c r="V75" s="63">
        <f t="shared" si="26"/>
        <v>4</v>
      </c>
      <c r="W75" s="63" t="e">
        <f t="shared" si="27"/>
        <v>#VALUE!</v>
      </c>
      <c r="X75" s="63" t="e">
        <f t="shared" si="28"/>
        <v>#VALUE!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8" ht="21" customHeight="1">
      <c r="A76" s="47">
        <v>40007075</v>
      </c>
      <c r="B76" s="95" t="s">
        <v>237</v>
      </c>
      <c r="C76" s="50">
        <v>3</v>
      </c>
      <c r="D76" s="50" t="s">
        <v>128</v>
      </c>
      <c r="E76" s="51" t="s">
        <v>220</v>
      </c>
      <c r="F76" s="51" t="s">
        <v>212</v>
      </c>
      <c r="G76" s="63" t="str">
        <f t="shared" si="16"/>
        <v>[effect:nothing]</v>
      </c>
      <c r="H76" s="63">
        <f t="shared" si="29"/>
        <v>9</v>
      </c>
      <c r="I76" s="63">
        <f t="shared" si="17"/>
        <v>16</v>
      </c>
      <c r="J76" s="63" t="e">
        <f t="shared" si="18"/>
        <v>#VALUE!</v>
      </c>
      <c r="K76" s="63" t="e">
        <f t="shared" si="19"/>
        <v>#VALUE!</v>
      </c>
      <c r="L76" s="63" t="str">
        <f>IFERROR(VLOOKUP(MID(G76,J76,K76-J76),[6]skilldef!$C:$D,2,FALSE),"-") &amp; " / " &amp; IFERROR(VLOOKUP(MID(G76,H76,I76-H76),[6]skilldef!$A:$B,2,FALSE),"-")</f>
        <v>- / 何もしない</v>
      </c>
      <c r="M76" s="63" t="str">
        <f t="shared" si="20"/>
        <v>none</v>
      </c>
      <c r="N76" s="48" t="str">
        <f t="shared" si="32"/>
        <v>none</v>
      </c>
      <c r="O76" s="63" t="e">
        <f t="shared" si="30"/>
        <v>#VALUE!</v>
      </c>
      <c r="P76" s="63">
        <f t="shared" si="22"/>
        <v>4</v>
      </c>
      <c r="Q76" s="63" t="e">
        <f t="shared" si="23"/>
        <v>#VALUE!</v>
      </c>
      <c r="R76" s="63" t="e">
        <f t="shared" si="24"/>
        <v>#VALUE!</v>
      </c>
      <c r="S76" s="63" t="str">
        <f>IFERROR(VLOOKUP(MID(N76,Q76,R76-Q76),[6]skilldef!$C:$D,2,FALSE),"-") &amp; " / " &amp; IFERROR(VLOOKUP(MID(N76,O76,P76-O76),[6]skilldef!$A:$B,2,FALSE),"-")</f>
        <v>- / -</v>
      </c>
      <c r="T76" s="48" t="str">
        <f t="shared" si="25"/>
        <v>none</v>
      </c>
      <c r="U76" s="63" t="e">
        <f t="shared" si="31"/>
        <v>#VALUE!</v>
      </c>
      <c r="V76" s="63">
        <f t="shared" si="26"/>
        <v>4</v>
      </c>
      <c r="W76" s="63" t="e">
        <f t="shared" si="27"/>
        <v>#VALUE!</v>
      </c>
      <c r="X76" s="63" t="e">
        <f t="shared" si="28"/>
        <v>#VALUE!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>
      <c r="A77" s="47">
        <v>40007076</v>
      </c>
      <c r="B77" s="47" t="s">
        <v>349</v>
      </c>
      <c r="C77" s="50">
        <v>3</v>
      </c>
      <c r="D77" s="50" t="s">
        <v>128</v>
      </c>
      <c r="E77" s="51" t="s">
        <v>300</v>
      </c>
      <c r="F77" s="51" t="s">
        <v>350</v>
      </c>
      <c r="G77" s="63" t="str">
        <f t="shared" ref="G77:G84" si="33">IFERROR(LEFT(B77,FIND("],",B77)),B77)</f>
        <v>[effect:tolerance, target:myself, turn:-1, tolerance_effect:hungup, count:-1, animation:enemy_tolerance]</v>
      </c>
      <c r="H77" s="63">
        <f t="shared" si="29"/>
        <v>9</v>
      </c>
      <c r="I77" s="63">
        <f t="shared" ref="I77:I84" si="34">IFERROR(FIND(",",G77),LEN(G77))</f>
        <v>18</v>
      </c>
      <c r="J77" s="63">
        <f t="shared" ref="J77:J84" si="35">FIND("target:",G77)+7</f>
        <v>27</v>
      </c>
      <c r="K77" s="63">
        <f t="shared" ref="K77:K84" si="36">FIND(",",G77,I77+1)</f>
        <v>33</v>
      </c>
      <c r="L77" s="63" t="str">
        <f>IFERROR(VLOOKUP(MID(G77,J77,K77-J77),[6]skilldef!$C:$D,2,FALSE),"-") &amp; " / " &amp; IFERROR(VLOOKUP(MID(G77,H77,I77-H77),[6]skilldef!$A:$B,2,FALSE),"-")</f>
        <v>自分自身に / 状態異常耐性</v>
      </c>
      <c r="M77" s="63" t="str">
        <f t="shared" ref="M77:M84" si="37">IFERROR(RIGHT(B77,LEN(B77)-FIND("],",B77)-1),"none")</f>
        <v>[effect:enhance_enemy, target:myself, turn:5, status:defense, val:3000, calc:add, animation:enemy_enhance_defense]</v>
      </c>
      <c r="N77" s="48" t="str">
        <f t="shared" si="32"/>
        <v>[effect:enhance_enemy, target:myself, turn:5, status:defense, val:3000, calc:add, animation:enemy_enhance_defense]</v>
      </c>
      <c r="O77" s="63">
        <f t="shared" si="30"/>
        <v>9</v>
      </c>
      <c r="P77" s="63">
        <f t="shared" ref="P77:P84" si="38">IFERROR(FIND(",",N77),LEN(N77))</f>
        <v>22</v>
      </c>
      <c r="Q77" s="63">
        <f t="shared" ref="Q77:Q84" si="39">FIND("target:",N77)+7</f>
        <v>31</v>
      </c>
      <c r="R77" s="63">
        <f t="shared" ref="R77:R84" si="40">FIND(",",N77,P77+1)</f>
        <v>37</v>
      </c>
      <c r="S77" s="63" t="str">
        <f>IFERROR(VLOOKUP(MID(N77,Q77,R77-Q77),[6]skilldef!$C:$D,2,FALSE),"-") &amp; " / " &amp; IFERROR(VLOOKUP(MID(N77,O77,P77-O77),[6]skilldef!$A:$B,2,FALSE),"-")</f>
        <v>自分自身に / ステータス強化</v>
      </c>
      <c r="T77" s="48" t="str">
        <f t="shared" ref="T77:T84" si="41">IFERROR(RIGHT(M77,LEN(M77)-FIND("],",M77)-1),"none")</f>
        <v>none</v>
      </c>
      <c r="U77" s="63" t="e">
        <f t="shared" si="31"/>
        <v>#VALUE!</v>
      </c>
      <c r="V77" s="63">
        <f t="shared" ref="V77:V84" si="42">IFERROR(FIND(",",T77),LEN(T77))</f>
        <v>4</v>
      </c>
      <c r="W77" s="63" t="e">
        <f t="shared" ref="W77:W84" si="43">FIND("target:",T77)+7</f>
        <v>#VALUE!</v>
      </c>
      <c r="X77" s="63" t="e">
        <f t="shared" ref="X77:X84" si="44">FIND(",",T77,V77+1)</f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>
      <c r="A78" s="47">
        <v>40007077</v>
      </c>
      <c r="B78" s="47" t="s">
        <v>359</v>
      </c>
      <c r="C78" s="50">
        <v>3</v>
      </c>
      <c r="D78" s="50" t="s">
        <v>128</v>
      </c>
      <c r="E78" s="51" t="s">
        <v>388</v>
      </c>
      <c r="F78" s="51" t="s">
        <v>387</v>
      </c>
      <c r="G78" s="63" t="str">
        <f t="shared" si="33"/>
        <v>[effect:invalidate_change_block, target:unit_all, block_type:crash, turn:-1, animation:panel_conversion_off]</v>
      </c>
      <c r="H78" s="63">
        <f t="shared" si="29"/>
        <v>9</v>
      </c>
      <c r="I78" s="63">
        <f t="shared" si="34"/>
        <v>32</v>
      </c>
      <c r="J78" s="63">
        <f t="shared" si="35"/>
        <v>41</v>
      </c>
      <c r="K78" s="63">
        <f t="shared" si="36"/>
        <v>49</v>
      </c>
      <c r="L78" s="63" t="str">
        <f>IFERROR(VLOOKUP(MID(G78,J78,K78-J78),[6]skilldef!$C:$D,2,FALSE),"-") &amp; " / " &amp; IFERROR(VLOOKUP(MID(G78,H78,I78-H78),[6]skilldef!$A:$B,2,FALSE),"-")</f>
        <v>味方全体に / -</v>
      </c>
      <c r="M78" s="63" t="str">
        <f t="shared" si="37"/>
        <v>none</v>
      </c>
      <c r="N78" s="48" t="str">
        <f t="shared" si="32"/>
        <v>none</v>
      </c>
      <c r="O78" s="63" t="e">
        <f t="shared" si="30"/>
        <v>#VALUE!</v>
      </c>
      <c r="P78" s="63">
        <f t="shared" si="38"/>
        <v>4</v>
      </c>
      <c r="Q78" s="63" t="e">
        <f t="shared" si="39"/>
        <v>#VALUE!</v>
      </c>
      <c r="R78" s="63" t="e">
        <f t="shared" si="40"/>
        <v>#VALUE!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si="41"/>
        <v>none</v>
      </c>
      <c r="U78" s="63" t="e">
        <f t="shared" si="31"/>
        <v>#VALUE!</v>
      </c>
      <c r="V78" s="63">
        <f t="shared" si="42"/>
        <v>4</v>
      </c>
      <c r="W78" s="63" t="e">
        <f t="shared" si="43"/>
        <v>#VALUE!</v>
      </c>
      <c r="X78" s="63" t="e">
        <f t="shared" si="44"/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>
      <c r="A79" s="47">
        <v>40007078</v>
      </c>
      <c r="B79" s="47" t="s">
        <v>228</v>
      </c>
      <c r="C79" s="50">
        <v>3</v>
      </c>
      <c r="D79" s="50" t="s">
        <v>128</v>
      </c>
      <c r="E79" s="51" t="s">
        <v>390</v>
      </c>
      <c r="F79" s="51" t="s">
        <v>397</v>
      </c>
      <c r="G79" s="63" t="str">
        <f t="shared" si="33"/>
        <v>[effect:break_attack, val:0.3, lowest_val:333, count:-1, block:block_heart, target:unit_one]</v>
      </c>
      <c r="H79" s="63">
        <f t="shared" si="29"/>
        <v>9</v>
      </c>
      <c r="I79" s="63">
        <f t="shared" si="34"/>
        <v>21</v>
      </c>
      <c r="J79" s="63">
        <f t="shared" si="35"/>
        <v>84</v>
      </c>
      <c r="K79" s="63">
        <f t="shared" si="36"/>
        <v>30</v>
      </c>
      <c r="L79" s="63" t="str">
        <f>IFERROR(VLOOKUP(MID(G79,J79,K79-J79),[6]skilldef!$C:$D,2,FALSE),"-") &amp; " / " &amp; IFERROR(VLOOKUP(MID(G79,H79,I79-H79),[6]skilldef!$A:$B,2,FALSE),"-")</f>
        <v>- / -</v>
      </c>
      <c r="M79" s="63" t="str">
        <f t="shared" si="37"/>
        <v>none</v>
      </c>
      <c r="N79" s="48" t="str">
        <f t="shared" si="32"/>
        <v>none</v>
      </c>
      <c r="O79" s="63" t="e">
        <f t="shared" si="30"/>
        <v>#VALUE!</v>
      </c>
      <c r="P79" s="63">
        <f t="shared" si="38"/>
        <v>4</v>
      </c>
      <c r="Q79" s="63" t="e">
        <f t="shared" si="39"/>
        <v>#VALUE!</v>
      </c>
      <c r="R79" s="63" t="e">
        <f t="shared" si="40"/>
        <v>#VALUE!</v>
      </c>
      <c r="S79" s="63" t="str">
        <f>IFERROR(VLOOKUP(MID(N79,Q79,R79-Q79),[6]skilldef!$C:$D,2,FALSE),"-") &amp; " / " &amp; IFERROR(VLOOKUP(MID(N79,O79,P79-O79),[6]skilldef!$A:$B,2,FALSE),"-")</f>
        <v>- / -</v>
      </c>
      <c r="T79" s="48" t="str">
        <f t="shared" si="41"/>
        <v>none</v>
      </c>
      <c r="U79" s="63" t="e">
        <f t="shared" si="31"/>
        <v>#VALUE!</v>
      </c>
      <c r="V79" s="63">
        <f t="shared" si="42"/>
        <v>4</v>
      </c>
      <c r="W79" s="63" t="e">
        <f t="shared" si="43"/>
        <v>#VALUE!</v>
      </c>
      <c r="X79" s="63" t="e">
        <f t="shared" si="44"/>
        <v>#VALUE!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2"/>
      <c r="AB79" s="50"/>
    </row>
    <row r="80" spans="1:28" ht="21" customHeight="1">
      <c r="A80" s="47">
        <v>40007079</v>
      </c>
      <c r="B80" s="95" t="s">
        <v>376</v>
      </c>
      <c r="C80" s="50">
        <v>3</v>
      </c>
      <c r="D80" s="50" t="s">
        <v>128</v>
      </c>
      <c r="E80" s="51" t="s">
        <v>395</v>
      </c>
      <c r="F80" s="51" t="s">
        <v>403</v>
      </c>
      <c r="G80" s="63" t="str">
        <f t="shared" si="33"/>
        <v>[effect:spread, val:0.3]</v>
      </c>
      <c r="H80" s="63">
        <f t="shared" si="29"/>
        <v>9</v>
      </c>
      <c r="I80" s="63">
        <f t="shared" si="34"/>
        <v>15</v>
      </c>
      <c r="J80" s="63" t="e">
        <f t="shared" si="35"/>
        <v>#VALUE!</v>
      </c>
      <c r="K80" s="63" t="e">
        <f t="shared" si="36"/>
        <v>#VALUE!</v>
      </c>
      <c r="L80" s="63" t="str">
        <f>IFERROR(VLOOKUP(MID(G80,J80,K80-J80),[6]skilldef!$C:$D,2,FALSE),"-") &amp; " / " &amp; IFERROR(VLOOKUP(MID(G80,H80,I80-H80),[6]skilldef!$A:$B,2,FALSE),"-")</f>
        <v>- / 全体攻撃</v>
      </c>
      <c r="M80" s="63" t="str">
        <f t="shared" si="37"/>
        <v>[effect:hungup, target:unit_all, turn:1, rate:0.2, animation:hungup01]</v>
      </c>
      <c r="N80" s="48" t="str">
        <f t="shared" si="32"/>
        <v>[effect:hungup, target:unit_all, turn:1, rate:0.2, animation:hungup01]</v>
      </c>
      <c r="O80" s="63">
        <f t="shared" si="30"/>
        <v>9</v>
      </c>
      <c r="P80" s="63">
        <f t="shared" si="38"/>
        <v>15</v>
      </c>
      <c r="Q80" s="63">
        <f t="shared" si="39"/>
        <v>24</v>
      </c>
      <c r="R80" s="63">
        <f t="shared" si="40"/>
        <v>32</v>
      </c>
      <c r="S80" s="63" t="str">
        <f>IFERROR(VLOOKUP(MID(N80,Q80,R80-Q80),[6]skilldef!$C:$D,2,FALSE),"-") &amp; " / " &amp; IFERROR(VLOOKUP(MID(N80,O80,P80-O80),[6]skilldef!$A:$B,2,FALSE),"-")</f>
        <v>味方全体に / ハングアップ</v>
      </c>
      <c r="T80" s="48" t="str">
        <f t="shared" si="41"/>
        <v>none</v>
      </c>
      <c r="U80" s="63" t="e">
        <f t="shared" si="31"/>
        <v>#VALUE!</v>
      </c>
      <c r="V80" s="63">
        <f t="shared" si="42"/>
        <v>4</v>
      </c>
      <c r="W80" s="63" t="e">
        <f t="shared" si="43"/>
        <v>#VALUE!</v>
      </c>
      <c r="X80" s="63" t="e">
        <f t="shared" si="44"/>
        <v>#VALUE!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2"/>
      <c r="AB80" s="50"/>
    </row>
    <row r="81" spans="1:28" ht="21" customHeight="1">
      <c r="A81" s="47">
        <v>40007080</v>
      </c>
      <c r="B81" s="47" t="s">
        <v>391</v>
      </c>
      <c r="C81" s="50">
        <v>3</v>
      </c>
      <c r="D81" s="50" t="s">
        <v>128</v>
      </c>
      <c r="E81" s="51" t="s">
        <v>394</v>
      </c>
      <c r="F81" s="51" t="s">
        <v>374</v>
      </c>
      <c r="G81" s="63" t="str">
        <f t="shared" si="33"/>
        <v>[effect:rush, count:6, val:0.2]</v>
      </c>
      <c r="H81" s="63">
        <f t="shared" si="29"/>
        <v>9</v>
      </c>
      <c r="I81" s="63">
        <f t="shared" si="34"/>
        <v>13</v>
      </c>
      <c r="J81" s="63" t="e">
        <f t="shared" si="35"/>
        <v>#VALUE!</v>
      </c>
      <c r="K81" s="63">
        <f t="shared" si="36"/>
        <v>22</v>
      </c>
      <c r="L81" s="63" t="str">
        <f>IFERROR(VLOOKUP(MID(G81,J81,K81-J81),[6]skilldef!$C:$D,2,FALSE),"-") &amp; " / " &amp; IFERROR(VLOOKUP(MID(G81,H81,I81-H81),[6]skilldef!$A:$B,2,FALSE),"-")</f>
        <v>- / 連続攻撃</v>
      </c>
      <c r="M81" s="63" t="str">
        <f t="shared" si="37"/>
        <v>none</v>
      </c>
      <c r="N81" s="48" t="str">
        <f t="shared" si="32"/>
        <v>none</v>
      </c>
      <c r="O81" s="63" t="e">
        <f t="shared" si="30"/>
        <v>#VALUE!</v>
      </c>
      <c r="P81" s="63">
        <f t="shared" si="38"/>
        <v>4</v>
      </c>
      <c r="Q81" s="63" t="e">
        <f t="shared" si="39"/>
        <v>#VALUE!</v>
      </c>
      <c r="R81" s="63" t="e">
        <f t="shared" si="40"/>
        <v>#VALUE!</v>
      </c>
      <c r="S81" s="63" t="str">
        <f>IFERROR(VLOOKUP(MID(N81,Q81,R81-Q81),[6]skilldef!$C:$D,2,FALSE),"-") &amp; " / " &amp; IFERROR(VLOOKUP(MID(N81,O81,P81-O81),[6]skilldef!$A:$B,2,FALSE),"-")</f>
        <v>- / -</v>
      </c>
      <c r="T81" s="48" t="str">
        <f t="shared" si="41"/>
        <v>none</v>
      </c>
      <c r="U81" s="63" t="e">
        <f t="shared" si="31"/>
        <v>#VALUE!</v>
      </c>
      <c r="V81" s="63">
        <f t="shared" si="42"/>
        <v>4</v>
      </c>
      <c r="W81" s="63" t="e">
        <f t="shared" si="43"/>
        <v>#VALUE!</v>
      </c>
      <c r="X81" s="63" t="e">
        <f t="shared" si="44"/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>
      <c r="A82" s="47">
        <v>40007081</v>
      </c>
      <c r="B82" s="47" t="s">
        <v>229</v>
      </c>
      <c r="C82" s="50">
        <v>3</v>
      </c>
      <c r="D82" s="50" t="s">
        <v>128</v>
      </c>
      <c r="E82" s="51" t="s">
        <v>302</v>
      </c>
      <c r="F82" s="51" t="s">
        <v>222</v>
      </c>
      <c r="G82" s="63" t="str">
        <f t="shared" si="33"/>
        <v xml:space="preserve">[effect:degrade_fever, val:1000, animation:fevergauge_down]    </v>
      </c>
      <c r="H82" s="63">
        <f t="shared" si="29"/>
        <v>9</v>
      </c>
      <c r="I82" s="63">
        <f t="shared" si="34"/>
        <v>22</v>
      </c>
      <c r="J82" s="63" t="e">
        <f t="shared" si="35"/>
        <v>#VALUE!</v>
      </c>
      <c r="K82" s="63">
        <f t="shared" si="36"/>
        <v>32</v>
      </c>
      <c r="L82" s="63" t="str">
        <f>IFERROR(VLOOKUP(MID(G82,J82,K82-J82),[6]skilldef!$C:$D,2,FALSE),"-") &amp; " / " &amp; IFERROR(VLOOKUP(MID(G82,H82,I82-H82),[6]skilldef!$A:$B,2,FALSE),"-")</f>
        <v>- / フィーバーゲージ減少</v>
      </c>
      <c r="M82" s="63" t="str">
        <f t="shared" si="37"/>
        <v>none</v>
      </c>
      <c r="N82" s="48" t="str">
        <f t="shared" si="32"/>
        <v>none</v>
      </c>
      <c r="O82" s="63" t="e">
        <f t="shared" si="30"/>
        <v>#VALUE!</v>
      </c>
      <c r="P82" s="63">
        <f t="shared" si="38"/>
        <v>4</v>
      </c>
      <c r="Q82" s="63" t="e">
        <f t="shared" si="39"/>
        <v>#VALUE!</v>
      </c>
      <c r="R82" s="63" t="e">
        <f t="shared" si="40"/>
        <v>#VALUE!</v>
      </c>
      <c r="S82" s="63" t="str">
        <f>IFERROR(VLOOKUP(MID(N82,Q82,R82-Q82),[6]skilldef!$C:$D,2,FALSE),"-") &amp; " / " &amp; IFERROR(VLOOKUP(MID(N82,O82,P82-O82),[6]skilldef!$A:$B,2,FALSE),"-")</f>
        <v>- / -</v>
      </c>
      <c r="T82" s="48" t="str">
        <f t="shared" si="41"/>
        <v>none</v>
      </c>
      <c r="U82" s="63" t="e">
        <f t="shared" si="31"/>
        <v>#VALUE!</v>
      </c>
      <c r="V82" s="63">
        <f t="shared" si="42"/>
        <v>4</v>
      </c>
      <c r="W82" s="63" t="e">
        <f t="shared" si="43"/>
        <v>#VALUE!</v>
      </c>
      <c r="X82" s="63" t="e">
        <f t="shared" si="44"/>
        <v>#VALUE!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>
      <c r="A83" s="47">
        <v>40007082</v>
      </c>
      <c r="B83" s="47" t="s">
        <v>326</v>
      </c>
      <c r="C83" s="50">
        <v>3</v>
      </c>
      <c r="D83" s="50" t="s">
        <v>128</v>
      </c>
      <c r="E83" s="51" t="s">
        <v>389</v>
      </c>
      <c r="F83" s="51" t="s">
        <v>206</v>
      </c>
      <c r="G83" s="63" t="str">
        <f t="shared" ref="G83" si="45">IFERROR(LEFT(B83,FIND("],",B83)),B83)</f>
        <v>[effect:freq_turn, target:myself, turn:-1, val:1, animation:enemy_freq_turn]</v>
      </c>
      <c r="H83" s="63">
        <f t="shared" si="29"/>
        <v>9</v>
      </c>
      <c r="I83" s="63">
        <f t="shared" ref="I83" si="46">IFERROR(FIND(",",G83),LEN(G83))</f>
        <v>18</v>
      </c>
      <c r="J83" s="63">
        <f t="shared" ref="J83" si="47">FIND("target:",G83)+7</f>
        <v>27</v>
      </c>
      <c r="K83" s="63">
        <f t="shared" ref="K83" si="48">FIND(",",G83,I83+1)</f>
        <v>33</v>
      </c>
      <c r="L83" s="63" t="str">
        <f>IFERROR(VLOOKUP(MID(G83,J83,K83-J83),[6]skilldef!$C:$D,2,FALSE),"-") &amp; " / " &amp; IFERROR(VLOOKUP(MID(G83,H83,I83-H83),[6]skilldef!$A:$B,2,FALSE),"-")</f>
        <v>自分自身に / 攻撃頻度がUP</v>
      </c>
      <c r="M83" s="63" t="str">
        <f t="shared" ref="M83" si="49">IFERROR(RIGHT(B83,LEN(B83)-FIND("],",B83)-1),"none")</f>
        <v>none</v>
      </c>
      <c r="N83" s="48" t="str">
        <f t="shared" si="32"/>
        <v>none</v>
      </c>
      <c r="O83" s="63" t="e">
        <f t="shared" si="30"/>
        <v>#VALUE!</v>
      </c>
      <c r="P83" s="63">
        <f t="shared" ref="P83" si="50">IFERROR(FIND(",",N83),LEN(N83))</f>
        <v>4</v>
      </c>
      <c r="Q83" s="63" t="e">
        <f t="shared" ref="Q83" si="51">FIND("target:",N83)+7</f>
        <v>#VALUE!</v>
      </c>
      <c r="R83" s="63" t="e">
        <f t="shared" ref="R83" si="52">FIND(",",N83,P83+1)</f>
        <v>#VALUE!</v>
      </c>
      <c r="S83" s="63" t="str">
        <f>IFERROR(VLOOKUP(MID(N83,Q83,R83-Q83),[6]skilldef!$C:$D,2,FALSE),"-") &amp; " / " &amp; IFERROR(VLOOKUP(MID(N83,O83,P83-O83),[6]skilldef!$A:$B,2,FALSE),"-")</f>
        <v>- / -</v>
      </c>
      <c r="T83" s="48" t="str">
        <f t="shared" ref="T83" si="53">IFERROR(RIGHT(M83,LEN(M83)-FIND("],",M83)-1),"none")</f>
        <v>none</v>
      </c>
      <c r="U83" s="63" t="e">
        <f t="shared" si="31"/>
        <v>#VALUE!</v>
      </c>
      <c r="V83" s="63">
        <f t="shared" ref="V83" si="54">IFERROR(FIND(",",T83),LEN(T83))</f>
        <v>4</v>
      </c>
      <c r="W83" s="63" t="e">
        <f t="shared" ref="W83" si="55">FIND("target:",T83)+7</f>
        <v>#VALUE!</v>
      </c>
      <c r="X83" s="63" t="e">
        <f t="shared" ref="X83" si="56">FIND(",",T83,V83+1)</f>
        <v>#VALUE!</v>
      </c>
      <c r="Y83" s="63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>
      <c r="A84" s="47">
        <v>40007083</v>
      </c>
      <c r="B84" s="47" t="s">
        <v>242</v>
      </c>
      <c r="C84" s="50">
        <v>3</v>
      </c>
      <c r="D84" s="50" t="s">
        <v>128</v>
      </c>
      <c r="E84" s="51" t="s">
        <v>304</v>
      </c>
      <c r="F84" s="51" t="s">
        <v>303</v>
      </c>
      <c r="G84" s="63" t="str">
        <f t="shared" si="33"/>
        <v>[effect:critical, val:1.6]</v>
      </c>
      <c r="H84" s="63">
        <f t="shared" si="29"/>
        <v>9</v>
      </c>
      <c r="I84" s="63">
        <f t="shared" si="34"/>
        <v>17</v>
      </c>
      <c r="J84" s="63" t="e">
        <f t="shared" si="35"/>
        <v>#VALUE!</v>
      </c>
      <c r="K84" s="63" t="e">
        <f t="shared" si="36"/>
        <v>#VALUE!</v>
      </c>
      <c r="L84" s="63" t="str">
        <f>IFERROR(VLOOKUP(MID(G84,J84,K84-J84),[6]skilldef!$C:$D,2,FALSE),"-") &amp; " / " &amp; IFERROR(VLOOKUP(MID(G84,H84,I84-H84),[6]skilldef!$A:$B,2,FALSE),"-")</f>
        <v>- / 大攻撃</v>
      </c>
      <c r="M84" s="63" t="str">
        <f t="shared" si="37"/>
        <v>none</v>
      </c>
      <c r="N84" s="48" t="str">
        <f t="shared" ref="N84" si="57">IFERROR(LEFT(M84,FIND("],",M84)+S94),M84)</f>
        <v>none</v>
      </c>
      <c r="O84" s="63" t="e">
        <f t="shared" si="30"/>
        <v>#VALUE!</v>
      </c>
      <c r="P84" s="63">
        <f t="shared" si="38"/>
        <v>4</v>
      </c>
      <c r="Q84" s="63" t="e">
        <f t="shared" si="39"/>
        <v>#VALUE!</v>
      </c>
      <c r="R84" s="63" t="e">
        <f t="shared" si="40"/>
        <v>#VALUE!</v>
      </c>
      <c r="S84" s="63" t="str">
        <f>IFERROR(VLOOKUP(MID(N84,Q84,R84-Q84),[6]skilldef!$C:$D,2,FALSE),"-") &amp; " / " &amp; IFERROR(VLOOKUP(MID(N84,O84,P84-O84),[6]skilldef!$A:$B,2,FALSE),"-")</f>
        <v>- / -</v>
      </c>
      <c r="T84" s="48" t="str">
        <f t="shared" si="41"/>
        <v>none</v>
      </c>
      <c r="U84" s="63" t="e">
        <f t="shared" si="31"/>
        <v>#VALUE!</v>
      </c>
      <c r="V84" s="63">
        <f t="shared" si="42"/>
        <v>4</v>
      </c>
      <c r="W84" s="63" t="e">
        <f t="shared" si="43"/>
        <v>#VALUE!</v>
      </c>
      <c r="X84" s="63" t="e">
        <f t="shared" si="44"/>
        <v>#VALUE!</v>
      </c>
      <c r="Y84" s="63" t="str">
        <f>IFERROR(VLOOKUP(MID(T84,W84,X84-W84),[6]skilldef!$C:$D,2,FALSE),"-") &amp; " / " &amp; IFERROR(VLOOKUP(MID(T84,U84,V84-U84),[6]skilldef!$A:$B,2,FALSE),"-")</f>
        <v>- / -</v>
      </c>
      <c r="Z84" s="50"/>
      <c r="AA84" s="52"/>
      <c r="AB84" s="50"/>
    </row>
    <row r="85" spans="1:28" ht="21" customHeight="1">
      <c r="A85" s="47">
        <v>40007084</v>
      </c>
      <c r="B85" s="47" t="s">
        <v>230</v>
      </c>
      <c r="C85" s="50">
        <v>3</v>
      </c>
      <c r="D85" s="50" t="s">
        <v>128</v>
      </c>
      <c r="E85" s="51" t="s">
        <v>304</v>
      </c>
      <c r="F85" s="51" t="s">
        <v>303</v>
      </c>
      <c r="G85" s="63" t="str">
        <f t="shared" ref="G85:G89" si="58">IFERROR(LEFT(B85,FIND("],",B85)),B85)</f>
        <v>[effect:critical, val:1.8]</v>
      </c>
      <c r="H85" s="63">
        <f t="shared" si="29"/>
        <v>9</v>
      </c>
      <c r="I85" s="63">
        <f t="shared" ref="I85:I89" si="59">IFERROR(FIND(",",G85),LEN(G85))</f>
        <v>17</v>
      </c>
      <c r="J85" s="63" t="e">
        <f t="shared" ref="J85:J89" si="60">FIND("target:",G85)+7</f>
        <v>#VALUE!</v>
      </c>
      <c r="K85" s="63" t="e">
        <f t="shared" ref="K85:K89" si="61">FIND(",",G85,I85+1)</f>
        <v>#VALUE!</v>
      </c>
      <c r="L85" s="63" t="str">
        <f>IFERROR(VLOOKUP(MID(G85,J85,K85-J85),[6]skilldef!$C:$D,2,FALSE),"-") &amp; " / " &amp; IFERROR(VLOOKUP(MID(G85,H85,I85-H85),[6]skilldef!$A:$B,2,FALSE),"-")</f>
        <v>- / 大攻撃</v>
      </c>
      <c r="M85" s="63" t="str">
        <f t="shared" ref="M85:M89" si="62">IFERROR(RIGHT(B85,LEN(B85)-FIND("],",B85)-1),"none")</f>
        <v>none</v>
      </c>
      <c r="N85" s="48" t="str">
        <f t="shared" ref="N85:N89" si="63">IFERROR(LEFT(M85,FIND("],",M85)+S95),M85)</f>
        <v>none</v>
      </c>
      <c r="O85" s="63" t="e">
        <f t="shared" si="30"/>
        <v>#VALUE!</v>
      </c>
      <c r="P85" s="63">
        <f t="shared" ref="P85:P89" si="64">IFERROR(FIND(",",N85),LEN(N85))</f>
        <v>4</v>
      </c>
      <c r="Q85" s="63" t="e">
        <f t="shared" ref="Q85:Q89" si="65">FIND("target:",N85)+7</f>
        <v>#VALUE!</v>
      </c>
      <c r="R85" s="63" t="e">
        <f t="shared" ref="R85:R89" si="66">FIND(",",N85,P85+1)</f>
        <v>#VALUE!</v>
      </c>
      <c r="S85" s="63" t="str">
        <f>IFERROR(VLOOKUP(MID(N85,Q85,R85-Q85),[6]skilldef!$C:$D,2,FALSE),"-") &amp; " / " &amp; IFERROR(VLOOKUP(MID(N85,O85,P85-O85),[6]skilldef!$A:$B,2,FALSE),"-")</f>
        <v>- / -</v>
      </c>
      <c r="T85" s="48" t="str">
        <f t="shared" ref="T85:T89" si="67">IFERROR(RIGHT(M85,LEN(M85)-FIND("],",M85)-1),"none")</f>
        <v>none</v>
      </c>
      <c r="U85" s="63" t="e">
        <f t="shared" si="31"/>
        <v>#VALUE!</v>
      </c>
      <c r="V85" s="63">
        <f t="shared" ref="V85:V89" si="68">IFERROR(FIND(",",T85),LEN(T85))</f>
        <v>4</v>
      </c>
      <c r="W85" s="63" t="e">
        <f t="shared" ref="W85:W89" si="69">FIND("target:",T85)+7</f>
        <v>#VALUE!</v>
      </c>
      <c r="X85" s="63" t="e">
        <f t="shared" ref="X85:X89" si="70">FIND(",",T85,V85+1)</f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2"/>
      <c r="AB85" s="50"/>
    </row>
    <row r="86" spans="1:28" ht="21" customHeight="1">
      <c r="A86" s="47">
        <v>40007085</v>
      </c>
      <c r="B86" s="47" t="s">
        <v>231</v>
      </c>
      <c r="C86" s="50">
        <v>3</v>
      </c>
      <c r="D86" s="50" t="s">
        <v>128</v>
      </c>
      <c r="E86" s="51" t="s">
        <v>304</v>
      </c>
      <c r="F86" s="51" t="s">
        <v>303</v>
      </c>
      <c r="G86" s="63" t="str">
        <f t="shared" si="58"/>
        <v>[effect:critical, val:2.0]</v>
      </c>
      <c r="H86" s="63">
        <f t="shared" si="29"/>
        <v>9</v>
      </c>
      <c r="I86" s="63">
        <f t="shared" si="59"/>
        <v>17</v>
      </c>
      <c r="J86" s="63" t="e">
        <f t="shared" si="60"/>
        <v>#VALUE!</v>
      </c>
      <c r="K86" s="63" t="e">
        <f t="shared" si="61"/>
        <v>#VALUE!</v>
      </c>
      <c r="L86" s="63" t="str">
        <f>IFERROR(VLOOKUP(MID(G86,J86,K86-J86),[6]skilldef!$C:$D,2,FALSE),"-") &amp; " / " &amp; IFERROR(VLOOKUP(MID(G86,H86,I86-H86),[6]skilldef!$A:$B,2,FALSE),"-")</f>
        <v>- / 大攻撃</v>
      </c>
      <c r="M86" s="63" t="str">
        <f t="shared" si="62"/>
        <v>none</v>
      </c>
      <c r="N86" s="48" t="str">
        <f t="shared" si="63"/>
        <v>none</v>
      </c>
      <c r="O86" s="63" t="e">
        <f t="shared" si="30"/>
        <v>#VALUE!</v>
      </c>
      <c r="P86" s="63">
        <f t="shared" si="64"/>
        <v>4</v>
      </c>
      <c r="Q86" s="63" t="e">
        <f t="shared" si="65"/>
        <v>#VALUE!</v>
      </c>
      <c r="R86" s="63" t="e">
        <f t="shared" si="66"/>
        <v>#VALUE!</v>
      </c>
      <c r="S86" s="63" t="str">
        <f>IFERROR(VLOOKUP(MID(N86,Q86,R86-Q86),[6]skilldef!$C:$D,2,FALSE),"-") &amp; " / " &amp; IFERROR(VLOOKUP(MID(N86,O86,P86-O86),[6]skilldef!$A:$B,2,FALSE),"-")</f>
        <v>- / -</v>
      </c>
      <c r="T86" s="48" t="str">
        <f t="shared" si="67"/>
        <v>none</v>
      </c>
      <c r="U86" s="63" t="e">
        <f t="shared" si="31"/>
        <v>#VALUE!</v>
      </c>
      <c r="V86" s="63">
        <f t="shared" si="68"/>
        <v>4</v>
      </c>
      <c r="W86" s="63" t="e">
        <f t="shared" si="69"/>
        <v>#VALUE!</v>
      </c>
      <c r="X86" s="63" t="e">
        <f t="shared" si="70"/>
        <v>#VALUE!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>
      <c r="A87" s="47">
        <v>40007086</v>
      </c>
      <c r="B87" s="47" t="s">
        <v>232</v>
      </c>
      <c r="C87" s="50">
        <v>3</v>
      </c>
      <c r="D87" s="50" t="s">
        <v>128</v>
      </c>
      <c r="E87" s="51" t="s">
        <v>304</v>
      </c>
      <c r="F87" s="51" t="s">
        <v>303</v>
      </c>
      <c r="G87" s="63" t="str">
        <f t="shared" si="58"/>
        <v>[effect:critical, val:2.5]</v>
      </c>
      <c r="H87" s="63">
        <f t="shared" si="29"/>
        <v>9</v>
      </c>
      <c r="I87" s="63">
        <f t="shared" si="59"/>
        <v>17</v>
      </c>
      <c r="J87" s="63" t="e">
        <f t="shared" si="60"/>
        <v>#VALUE!</v>
      </c>
      <c r="K87" s="63" t="e">
        <f t="shared" si="61"/>
        <v>#VALUE!</v>
      </c>
      <c r="L87" s="63" t="str">
        <f>IFERROR(VLOOKUP(MID(G87,J87,K87-J87),[6]skilldef!$C:$D,2,FALSE),"-") &amp; " / " &amp; IFERROR(VLOOKUP(MID(G87,H87,I87-H87),[6]skilldef!$A:$B,2,FALSE),"-")</f>
        <v>- / 大攻撃</v>
      </c>
      <c r="M87" s="63" t="str">
        <f t="shared" si="62"/>
        <v>none</v>
      </c>
      <c r="N87" s="48" t="str">
        <f t="shared" si="63"/>
        <v>none</v>
      </c>
      <c r="O87" s="63" t="e">
        <f t="shared" si="30"/>
        <v>#VALUE!</v>
      </c>
      <c r="P87" s="63">
        <f t="shared" si="64"/>
        <v>4</v>
      </c>
      <c r="Q87" s="63" t="e">
        <f t="shared" si="65"/>
        <v>#VALUE!</v>
      </c>
      <c r="R87" s="63" t="e">
        <f t="shared" si="66"/>
        <v>#VALUE!</v>
      </c>
      <c r="S87" s="63" t="str">
        <f>IFERROR(VLOOKUP(MID(N87,Q87,R87-Q87),[6]skilldef!$C:$D,2,FALSE),"-") &amp; " / " &amp; IFERROR(VLOOKUP(MID(N87,O87,P87-O87),[6]skilldef!$A:$B,2,FALSE),"-")</f>
        <v>- / -</v>
      </c>
      <c r="T87" s="48" t="str">
        <f t="shared" si="67"/>
        <v>none</v>
      </c>
      <c r="U87" s="63" t="e">
        <f t="shared" si="31"/>
        <v>#VALUE!</v>
      </c>
      <c r="V87" s="63">
        <f t="shared" si="68"/>
        <v>4</v>
      </c>
      <c r="W87" s="63" t="e">
        <f t="shared" si="69"/>
        <v>#VALUE!</v>
      </c>
      <c r="X87" s="63" t="e">
        <f t="shared" si="70"/>
        <v>#VALUE!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2"/>
      <c r="AB87" s="50"/>
    </row>
    <row r="88" spans="1:28" ht="21" customHeight="1">
      <c r="A88" s="47">
        <v>40007087</v>
      </c>
      <c r="B88" s="47" t="s">
        <v>233</v>
      </c>
      <c r="C88" s="50">
        <v>3</v>
      </c>
      <c r="D88" s="50" t="s">
        <v>128</v>
      </c>
      <c r="E88" s="51" t="s">
        <v>304</v>
      </c>
      <c r="F88" s="51" t="s">
        <v>303</v>
      </c>
      <c r="G88" s="63" t="str">
        <f t="shared" si="58"/>
        <v>[effect:critical, val:3.0]</v>
      </c>
      <c r="H88" s="63">
        <f t="shared" si="29"/>
        <v>9</v>
      </c>
      <c r="I88" s="63">
        <f t="shared" si="59"/>
        <v>17</v>
      </c>
      <c r="J88" s="63" t="e">
        <f t="shared" si="60"/>
        <v>#VALUE!</v>
      </c>
      <c r="K88" s="63" t="e">
        <f t="shared" si="61"/>
        <v>#VALUE!</v>
      </c>
      <c r="L88" s="63" t="str">
        <f>IFERROR(VLOOKUP(MID(G88,J88,K88-J88),[6]skilldef!$C:$D,2,FALSE),"-") &amp; " / " &amp; IFERROR(VLOOKUP(MID(G88,H88,I88-H88),[6]skilldef!$A:$B,2,FALSE),"-")</f>
        <v>- / 大攻撃</v>
      </c>
      <c r="M88" s="63" t="str">
        <f t="shared" si="62"/>
        <v>none</v>
      </c>
      <c r="N88" s="48" t="str">
        <f t="shared" si="63"/>
        <v>none</v>
      </c>
      <c r="O88" s="63" t="e">
        <f t="shared" si="30"/>
        <v>#VALUE!</v>
      </c>
      <c r="P88" s="63">
        <f t="shared" si="64"/>
        <v>4</v>
      </c>
      <c r="Q88" s="63" t="e">
        <f t="shared" si="65"/>
        <v>#VALUE!</v>
      </c>
      <c r="R88" s="63" t="e">
        <f t="shared" si="66"/>
        <v>#VALUE!</v>
      </c>
      <c r="S88" s="63" t="str">
        <f>IFERROR(VLOOKUP(MID(N88,Q88,R88-Q88),[6]skilldef!$C:$D,2,FALSE),"-") &amp; " / " &amp; IFERROR(VLOOKUP(MID(N88,O88,P88-O88),[6]skilldef!$A:$B,2,FALSE),"-")</f>
        <v>- / -</v>
      </c>
      <c r="T88" s="48" t="str">
        <f t="shared" si="67"/>
        <v>none</v>
      </c>
      <c r="U88" s="63" t="e">
        <f t="shared" si="31"/>
        <v>#VALUE!</v>
      </c>
      <c r="V88" s="63">
        <f t="shared" si="68"/>
        <v>4</v>
      </c>
      <c r="W88" s="63" t="e">
        <f t="shared" si="69"/>
        <v>#VALUE!</v>
      </c>
      <c r="X88" s="63" t="e">
        <f t="shared" si="70"/>
        <v>#VALUE!</v>
      </c>
      <c r="Y88" s="63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</row>
    <row r="89" spans="1:28" ht="21" customHeight="1">
      <c r="A89" s="47">
        <v>40007088</v>
      </c>
      <c r="B89" s="95" t="s">
        <v>223</v>
      </c>
      <c r="C89" s="50">
        <v>3</v>
      </c>
      <c r="D89" s="50" t="s">
        <v>128</v>
      </c>
      <c r="E89" s="51" t="s">
        <v>221</v>
      </c>
      <c r="F89" s="51" t="s">
        <v>212</v>
      </c>
      <c r="G89" s="63" t="str">
        <f t="shared" si="58"/>
        <v>[effect:nothing]</v>
      </c>
      <c r="H89" s="63">
        <f t="shared" si="29"/>
        <v>9</v>
      </c>
      <c r="I89" s="63">
        <f t="shared" si="59"/>
        <v>16</v>
      </c>
      <c r="J89" s="63" t="e">
        <f t="shared" si="60"/>
        <v>#VALUE!</v>
      </c>
      <c r="K89" s="63" t="e">
        <f t="shared" si="61"/>
        <v>#VALUE!</v>
      </c>
      <c r="L89" s="63" t="str">
        <f>IFERROR(VLOOKUP(MID(G89,J89,K89-J89),[6]skilldef!$C:$D,2,FALSE),"-") &amp; " / " &amp; IFERROR(VLOOKUP(MID(G89,H89,I89-H89),[6]skilldef!$A:$B,2,FALSE),"-")</f>
        <v>- / 何もしない</v>
      </c>
      <c r="M89" s="63" t="str">
        <f t="shared" si="62"/>
        <v>none</v>
      </c>
      <c r="N89" s="48" t="str">
        <f t="shared" si="63"/>
        <v>none</v>
      </c>
      <c r="O89" s="63" t="e">
        <f t="shared" si="30"/>
        <v>#VALUE!</v>
      </c>
      <c r="P89" s="63">
        <f t="shared" si="64"/>
        <v>4</v>
      </c>
      <c r="Q89" s="63" t="e">
        <f t="shared" si="65"/>
        <v>#VALUE!</v>
      </c>
      <c r="R89" s="63" t="e">
        <f t="shared" si="66"/>
        <v>#VALUE!</v>
      </c>
      <c r="S89" s="63" t="str">
        <f>IFERROR(VLOOKUP(MID(N89,Q89,R89-Q89),[6]skilldef!$C:$D,2,FALSE),"-") &amp; " / " &amp; IFERROR(VLOOKUP(MID(N89,O89,P89-O89),[6]skilldef!$A:$B,2,FALSE),"-")</f>
        <v>- / -</v>
      </c>
      <c r="T89" s="48" t="str">
        <f t="shared" si="67"/>
        <v>none</v>
      </c>
      <c r="U89" s="63" t="e">
        <f t="shared" si="31"/>
        <v>#VALUE!</v>
      </c>
      <c r="V89" s="63">
        <f t="shared" si="68"/>
        <v>4</v>
      </c>
      <c r="W89" s="63" t="e">
        <f t="shared" si="69"/>
        <v>#VALUE!</v>
      </c>
      <c r="X89" s="63" t="e">
        <f t="shared" si="70"/>
        <v>#VALUE!</v>
      </c>
      <c r="Y89" s="63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21" customHeight="1">
      <c r="A90" s="47">
        <v>40007089</v>
      </c>
      <c r="B90" s="95" t="s">
        <v>223</v>
      </c>
      <c r="C90" s="50">
        <v>3</v>
      </c>
      <c r="D90" s="50" t="s">
        <v>128</v>
      </c>
      <c r="E90" s="51" t="s">
        <v>221</v>
      </c>
      <c r="F90" s="51" t="s">
        <v>212</v>
      </c>
      <c r="G90" s="63" t="str">
        <f t="shared" ref="G90" si="71">IFERROR(LEFT(B90,FIND("],",B90)),B90)</f>
        <v>[effect:nothing]</v>
      </c>
      <c r="H90" s="63">
        <f t="shared" si="29"/>
        <v>9</v>
      </c>
      <c r="I90" s="63">
        <f t="shared" ref="I90" si="72">IFERROR(FIND(",",G90),LEN(G90))</f>
        <v>16</v>
      </c>
      <c r="J90" s="63" t="e">
        <f t="shared" ref="J90" si="73">FIND("target:",G90)+7</f>
        <v>#VALUE!</v>
      </c>
      <c r="K90" s="63" t="e">
        <f t="shared" ref="K90" si="74">FIND(",",G90,I90+1)</f>
        <v>#VALUE!</v>
      </c>
      <c r="L90" s="63" t="str">
        <f>IFERROR(VLOOKUP(MID(G90,J90,K90-J90),[6]skilldef!$C:$D,2,FALSE),"-") &amp; " / " &amp; IFERROR(VLOOKUP(MID(G90,H90,I90-H90),[6]skilldef!$A:$B,2,FALSE),"-")</f>
        <v>- / 何もしない</v>
      </c>
      <c r="M90" s="63" t="str">
        <f t="shared" ref="M90" si="75">IFERROR(RIGHT(B90,LEN(B90)-FIND("],",B90)-1),"none")</f>
        <v>none</v>
      </c>
      <c r="N90" s="48" t="str">
        <f t="shared" ref="N90" si="76">IFERROR(LEFT(M90,FIND("],",M90)+S100),M90)</f>
        <v>none</v>
      </c>
      <c r="O90" s="63" t="e">
        <f t="shared" si="30"/>
        <v>#VALUE!</v>
      </c>
      <c r="P90" s="63">
        <f t="shared" ref="P90" si="77">IFERROR(FIND(",",N90),LEN(N90))</f>
        <v>4</v>
      </c>
      <c r="Q90" s="63" t="e">
        <f t="shared" ref="Q90" si="78">FIND("target:",N90)+7</f>
        <v>#VALUE!</v>
      </c>
      <c r="R90" s="63" t="e">
        <f t="shared" ref="R90" si="79">FIND(",",N90,P90+1)</f>
        <v>#VALUE!</v>
      </c>
      <c r="S90" s="63" t="str">
        <f>IFERROR(VLOOKUP(MID(N90,Q90,R90-Q90),[6]skilldef!$C:$D,2,FALSE),"-") &amp; " / " &amp; IFERROR(VLOOKUP(MID(N90,O90,P90-O90),[6]skilldef!$A:$B,2,FALSE),"-")</f>
        <v>- / -</v>
      </c>
      <c r="T90" s="48" t="str">
        <f t="shared" ref="T90" si="80">IFERROR(RIGHT(M90,LEN(M90)-FIND("],",M90)-1),"none")</f>
        <v>none</v>
      </c>
      <c r="U90" s="63" t="e">
        <f t="shared" si="31"/>
        <v>#VALUE!</v>
      </c>
      <c r="V90" s="63">
        <f t="shared" ref="V90" si="81">IFERROR(FIND(",",T90),LEN(T90))</f>
        <v>4</v>
      </c>
      <c r="W90" s="63" t="e">
        <f t="shared" ref="W90" si="82">FIND("target:",T90)+7</f>
        <v>#VALUE!</v>
      </c>
      <c r="X90" s="63" t="e">
        <f t="shared" ref="X90" si="83">FIND(",",T90,V90+1)</f>
        <v>#VALUE!</v>
      </c>
      <c r="Y90" s="63" t="str">
        <f>IFERROR(VLOOKUP(MID(T90,W90,X90-W90),[6]skilldef!$C:$D,2,FALSE),"-") &amp; " / " &amp; IFERROR(VLOOKUP(MID(T90,U90,V90-U90),[6]skilldef!$A:$B,2,FALSE),"-")</f>
        <v>- / -</v>
      </c>
      <c r="Z90" s="50"/>
      <c r="AA90" s="52"/>
      <c r="AB9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0"/>
  <sheetViews>
    <sheetView showGridLines="0" workbookViewId="0">
      <pane ySplit="1" topLeftCell="A6" activePane="bottomLeft" state="frozenSplit"/>
      <selection pane="bottomLeft" activeCell="H21" sqref="H21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40007001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47">
        <v>40007002</v>
      </c>
      <c r="B3" s="47">
        <v>0</v>
      </c>
      <c r="C3" s="47">
        <v>5</v>
      </c>
      <c r="D3" s="47">
        <v>100</v>
      </c>
      <c r="E3" s="47" t="s">
        <v>89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66" si="1">D3</f>
        <v>100</v>
      </c>
    </row>
    <row r="4" spans="1:11" ht="21" customHeight="1">
      <c r="A4" s="47">
        <v>40007003</v>
      </c>
      <c r="B4" s="47">
        <v>0</v>
      </c>
      <c r="C4" s="47" t="s">
        <v>89</v>
      </c>
      <c r="D4" s="47">
        <v>100</v>
      </c>
      <c r="E4" s="47" t="s">
        <v>89</v>
      </c>
      <c r="F4" s="47" t="s">
        <v>90</v>
      </c>
      <c r="G4" s="47" t="s">
        <v>234</v>
      </c>
      <c r="H4" s="47">
        <v>3</v>
      </c>
      <c r="I4" s="47" t="s">
        <v>90</v>
      </c>
      <c r="J4" s="48">
        <f t="shared" si="1"/>
        <v>100</v>
      </c>
    </row>
    <row r="5" spans="1:11" ht="21" customHeight="1">
      <c r="A5" s="47">
        <v>40007004</v>
      </c>
      <c r="B5" s="47">
        <v>0</v>
      </c>
      <c r="C5" s="47" t="s">
        <v>89</v>
      </c>
      <c r="D5" s="47">
        <v>100</v>
      </c>
      <c r="E5" s="47" t="s">
        <v>89</v>
      </c>
      <c r="F5" s="47" t="s">
        <v>90</v>
      </c>
      <c r="G5" s="47" t="s">
        <v>89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>
      <c r="A6" s="47">
        <v>40007005</v>
      </c>
      <c r="B6" s="47">
        <v>0</v>
      </c>
      <c r="C6" s="47" t="s">
        <v>89</v>
      </c>
      <c r="D6" s="47">
        <v>100</v>
      </c>
      <c r="E6" s="47" t="s">
        <v>89</v>
      </c>
      <c r="F6" s="47" t="s">
        <v>90</v>
      </c>
      <c r="G6" s="47">
        <v>1</v>
      </c>
      <c r="H6" s="47" t="s">
        <v>90</v>
      </c>
      <c r="I6" s="47">
        <v>294</v>
      </c>
      <c r="J6" s="48">
        <f t="shared" si="1"/>
        <v>100</v>
      </c>
    </row>
    <row r="7" spans="1:11" ht="21" customHeight="1">
      <c r="A7" s="47">
        <v>40007006</v>
      </c>
      <c r="B7" s="47">
        <v>0</v>
      </c>
      <c r="C7" s="47" t="s">
        <v>89</v>
      </c>
      <c r="D7" s="47">
        <v>100</v>
      </c>
      <c r="E7" s="47" t="s">
        <v>89</v>
      </c>
      <c r="F7" s="47" t="s">
        <v>90</v>
      </c>
      <c r="G7" s="47" t="s">
        <v>89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>
      <c r="A8" s="47">
        <v>40007007</v>
      </c>
      <c r="B8" s="47">
        <v>1</v>
      </c>
      <c r="C8" s="47" t="s">
        <v>89</v>
      </c>
      <c r="D8" s="47">
        <v>100</v>
      </c>
      <c r="E8" s="47" t="s">
        <v>89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1"/>
        <v>100</v>
      </c>
    </row>
    <row r="9" spans="1:11" ht="21" customHeight="1">
      <c r="A9" s="47">
        <v>40007008</v>
      </c>
      <c r="B9" s="47">
        <v>0</v>
      </c>
      <c r="C9" s="47">
        <v>5</v>
      </c>
      <c r="D9" s="47">
        <v>100</v>
      </c>
      <c r="E9" s="47">
        <v>50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>
      <c r="A10" s="47">
        <v>40007009</v>
      </c>
      <c r="B10" s="47">
        <v>0</v>
      </c>
      <c r="C10" s="47" t="s">
        <v>89</v>
      </c>
      <c r="D10" s="47">
        <v>30</v>
      </c>
      <c r="E10" s="47" t="s">
        <v>89</v>
      </c>
      <c r="F10" s="47" t="s">
        <v>90</v>
      </c>
      <c r="G10" s="47" t="s">
        <v>89</v>
      </c>
      <c r="H10" s="47" t="s">
        <v>90</v>
      </c>
      <c r="I10" s="47" t="s">
        <v>90</v>
      </c>
      <c r="J10" s="48">
        <f t="shared" si="1"/>
        <v>30</v>
      </c>
    </row>
    <row r="11" spans="1:11" ht="21" customHeight="1">
      <c r="A11" s="47">
        <v>40007010</v>
      </c>
      <c r="B11" s="47">
        <v>0</v>
      </c>
      <c r="C11" s="47" t="s">
        <v>89</v>
      </c>
      <c r="D11" s="47">
        <v>100</v>
      </c>
      <c r="E11" s="47" t="s">
        <v>89</v>
      </c>
      <c r="F11" s="47" t="s">
        <v>90</v>
      </c>
      <c r="G11" s="47">
        <v>1</v>
      </c>
      <c r="H11" s="47" t="s">
        <v>90</v>
      </c>
      <c r="I11" s="47">
        <v>143</v>
      </c>
      <c r="J11" s="48">
        <f t="shared" si="1"/>
        <v>100</v>
      </c>
    </row>
    <row r="12" spans="1:11" ht="21" customHeight="1">
      <c r="A12" s="47">
        <v>40007011</v>
      </c>
      <c r="B12" s="47">
        <v>0</v>
      </c>
      <c r="C12" s="47" t="s">
        <v>89</v>
      </c>
      <c r="D12" s="47">
        <v>100</v>
      </c>
      <c r="E12" s="47" t="s">
        <v>89</v>
      </c>
      <c r="F12" s="47" t="s">
        <v>90</v>
      </c>
      <c r="G12" s="47" t="s">
        <v>89</v>
      </c>
      <c r="H12" s="47" t="s">
        <v>90</v>
      </c>
      <c r="I12" s="47" t="s">
        <v>90</v>
      </c>
      <c r="J12" s="48">
        <f t="shared" si="1"/>
        <v>100</v>
      </c>
    </row>
    <row r="13" spans="1:11" ht="21" customHeight="1">
      <c r="A13" s="47">
        <v>40007012</v>
      </c>
      <c r="B13" s="47">
        <v>1</v>
      </c>
      <c r="C13" s="47" t="s">
        <v>89</v>
      </c>
      <c r="D13" s="47">
        <v>100</v>
      </c>
      <c r="E13" s="47" t="s">
        <v>89</v>
      </c>
      <c r="F13" s="47" t="s">
        <v>90</v>
      </c>
      <c r="G13" s="47">
        <v>1</v>
      </c>
      <c r="H13" s="47" t="s">
        <v>90</v>
      </c>
      <c r="I13" s="47" t="s">
        <v>90</v>
      </c>
      <c r="J13" s="48">
        <f t="shared" si="1"/>
        <v>100</v>
      </c>
    </row>
    <row r="14" spans="1:11" ht="21" customHeight="1">
      <c r="A14" s="47">
        <v>40007013</v>
      </c>
      <c r="B14" s="47">
        <v>0</v>
      </c>
      <c r="C14" s="47">
        <v>5</v>
      </c>
      <c r="D14" s="47">
        <v>80</v>
      </c>
      <c r="E14" s="47" t="s">
        <v>89</v>
      </c>
      <c r="F14" s="47" t="s">
        <v>90</v>
      </c>
      <c r="G14" s="47" t="s">
        <v>89</v>
      </c>
      <c r="H14" s="47" t="s">
        <v>90</v>
      </c>
      <c r="I14" s="47" t="s">
        <v>90</v>
      </c>
      <c r="J14" s="48">
        <f t="shared" si="1"/>
        <v>80</v>
      </c>
    </row>
    <row r="15" spans="1:11" ht="21" customHeight="1">
      <c r="A15" s="47">
        <v>40007014</v>
      </c>
      <c r="B15" s="47">
        <v>0</v>
      </c>
      <c r="C15" s="47">
        <v>10</v>
      </c>
      <c r="D15" s="47">
        <v>100</v>
      </c>
      <c r="E15" s="47">
        <v>70</v>
      </c>
      <c r="F15" s="47" t="s">
        <v>90</v>
      </c>
      <c r="G15" s="47" t="s">
        <v>89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>
      <c r="A16" s="47">
        <v>40007015</v>
      </c>
      <c r="B16" s="47">
        <v>0</v>
      </c>
      <c r="C16" s="47" t="s">
        <v>89</v>
      </c>
      <c r="D16" s="47">
        <v>100</v>
      </c>
      <c r="E16" s="47" t="s">
        <v>89</v>
      </c>
      <c r="F16" s="47" t="s">
        <v>90</v>
      </c>
      <c r="G16" s="47">
        <v>1</v>
      </c>
      <c r="H16" s="47" t="s">
        <v>90</v>
      </c>
      <c r="I16" s="47">
        <v>149</v>
      </c>
      <c r="J16" s="48">
        <f t="shared" si="1"/>
        <v>100</v>
      </c>
    </row>
    <row r="17" spans="1:10" ht="21" customHeight="1">
      <c r="A17" s="47">
        <v>40007016</v>
      </c>
      <c r="B17" s="47">
        <v>0</v>
      </c>
      <c r="C17" s="47" t="s">
        <v>89</v>
      </c>
      <c r="D17" s="47">
        <v>100</v>
      </c>
      <c r="E17" s="47" t="s">
        <v>89</v>
      </c>
      <c r="F17" s="47" t="s">
        <v>90</v>
      </c>
      <c r="G17" s="47" t="s">
        <v>89</v>
      </c>
      <c r="H17" s="47" t="s">
        <v>90</v>
      </c>
      <c r="I17" s="47" t="s">
        <v>90</v>
      </c>
      <c r="J17" s="48">
        <f t="shared" si="1"/>
        <v>100</v>
      </c>
    </row>
    <row r="18" spans="1:10" ht="21" customHeight="1">
      <c r="A18" s="47">
        <v>40007017</v>
      </c>
      <c r="B18" s="47">
        <v>1</v>
      </c>
      <c r="C18" s="47" t="s">
        <v>89</v>
      </c>
      <c r="D18" s="47">
        <v>100</v>
      </c>
      <c r="E18" s="47" t="s">
        <v>89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>
      <c r="A19" s="47">
        <v>40007018</v>
      </c>
      <c r="B19" s="47">
        <v>0</v>
      </c>
      <c r="C19" s="47" t="s">
        <v>89</v>
      </c>
      <c r="D19" s="47">
        <v>100</v>
      </c>
      <c r="E19" s="47" t="s">
        <v>89</v>
      </c>
      <c r="F19" s="47" t="s">
        <v>90</v>
      </c>
      <c r="G19" s="47" t="s">
        <v>89</v>
      </c>
      <c r="H19" s="47" t="s">
        <v>90</v>
      </c>
      <c r="I19" s="47" t="s">
        <v>90</v>
      </c>
      <c r="J19" s="48">
        <f t="shared" si="1"/>
        <v>100</v>
      </c>
    </row>
    <row r="20" spans="1:10" ht="21" customHeight="1">
      <c r="A20" s="47">
        <v>40007019</v>
      </c>
      <c r="B20" s="47">
        <v>0</v>
      </c>
      <c r="C20" s="47" t="s">
        <v>89</v>
      </c>
      <c r="D20" s="47">
        <v>100</v>
      </c>
      <c r="E20" s="47" t="s">
        <v>235</v>
      </c>
      <c r="F20" s="47" t="s">
        <v>90</v>
      </c>
      <c r="G20" s="47" t="s">
        <v>89</v>
      </c>
      <c r="H20" s="47">
        <v>4</v>
      </c>
      <c r="I20" s="47" t="s">
        <v>90</v>
      </c>
      <c r="J20" s="48">
        <f t="shared" si="1"/>
        <v>100</v>
      </c>
    </row>
    <row r="21" spans="1:10" ht="21" customHeight="1">
      <c r="A21" s="47">
        <v>40007020</v>
      </c>
      <c r="B21" s="47">
        <v>0</v>
      </c>
      <c r="C21" s="47" t="s">
        <v>89</v>
      </c>
      <c r="D21" s="47">
        <v>60</v>
      </c>
      <c r="E21" s="47" t="s">
        <v>89</v>
      </c>
      <c r="F21" s="47" t="s">
        <v>90</v>
      </c>
      <c r="G21" s="47" t="s">
        <v>89</v>
      </c>
      <c r="H21" s="47" t="s">
        <v>90</v>
      </c>
      <c r="I21" s="47" t="s">
        <v>90</v>
      </c>
      <c r="J21" s="48">
        <f t="shared" si="1"/>
        <v>60</v>
      </c>
    </row>
    <row r="22" spans="1:10" ht="21" customHeight="1">
      <c r="A22" s="47">
        <v>40007021</v>
      </c>
      <c r="B22" s="47">
        <v>0</v>
      </c>
      <c r="C22" s="47" t="s">
        <v>89</v>
      </c>
      <c r="D22" s="47">
        <v>100</v>
      </c>
      <c r="E22" s="47">
        <v>70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>
      <c r="A23" s="47">
        <v>40007022</v>
      </c>
      <c r="B23" s="47">
        <v>0</v>
      </c>
      <c r="C23" s="47" t="s">
        <v>89</v>
      </c>
      <c r="D23" s="47">
        <v>100</v>
      </c>
      <c r="E23" s="47" t="s">
        <v>89</v>
      </c>
      <c r="F23" s="47" t="s">
        <v>90</v>
      </c>
      <c r="G23" s="47">
        <v>1</v>
      </c>
      <c r="H23" s="47" t="s">
        <v>90</v>
      </c>
      <c r="I23" s="47">
        <v>292</v>
      </c>
      <c r="J23" s="48">
        <f t="shared" si="1"/>
        <v>100</v>
      </c>
    </row>
    <row r="24" spans="1:10" ht="21" customHeight="1">
      <c r="A24" s="47">
        <v>40007023</v>
      </c>
      <c r="B24" s="47">
        <v>0</v>
      </c>
      <c r="C24" s="47" t="s">
        <v>89</v>
      </c>
      <c r="D24" s="47">
        <v>100</v>
      </c>
      <c r="E24" s="47" t="s">
        <v>89</v>
      </c>
      <c r="F24" s="47" t="s">
        <v>90</v>
      </c>
      <c r="G24" s="47" t="s">
        <v>89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>
      <c r="A25" s="47">
        <v>40007024</v>
      </c>
      <c r="B25" s="47">
        <v>0</v>
      </c>
      <c r="C25" s="47" t="s">
        <v>89</v>
      </c>
      <c r="D25" s="47">
        <v>100</v>
      </c>
      <c r="E25" s="47" t="s">
        <v>89</v>
      </c>
      <c r="F25" s="47" t="s">
        <v>90</v>
      </c>
      <c r="G25" s="47" t="s">
        <v>89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>
      <c r="A26" s="47">
        <v>40007025</v>
      </c>
      <c r="B26" s="47">
        <v>0</v>
      </c>
      <c r="C26" s="47" t="s">
        <v>89</v>
      </c>
      <c r="D26" s="47">
        <v>100</v>
      </c>
      <c r="E26" s="47" t="s">
        <v>89</v>
      </c>
      <c r="F26" s="47" t="s">
        <v>90</v>
      </c>
      <c r="G26" s="47" t="s">
        <v>89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>
      <c r="A27" s="47">
        <v>40007026</v>
      </c>
      <c r="B27" s="47">
        <v>0</v>
      </c>
      <c r="C27" s="47" t="s">
        <v>89</v>
      </c>
      <c r="D27" s="47">
        <v>100</v>
      </c>
      <c r="E27" s="47" t="s">
        <v>89</v>
      </c>
      <c r="F27" s="47" t="s">
        <v>90</v>
      </c>
      <c r="G27" s="47" t="s">
        <v>89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>
      <c r="A28" s="47">
        <v>40007027</v>
      </c>
      <c r="B28" s="47">
        <v>0</v>
      </c>
      <c r="C28" s="47" t="s">
        <v>89</v>
      </c>
      <c r="D28" s="47">
        <v>100</v>
      </c>
      <c r="E28" s="47" t="s">
        <v>89</v>
      </c>
      <c r="F28" s="47" t="s">
        <v>90</v>
      </c>
      <c r="G28" s="47" t="s">
        <v>89</v>
      </c>
      <c r="H28" s="47" t="s">
        <v>90</v>
      </c>
      <c r="I28" s="47" t="s">
        <v>90</v>
      </c>
      <c r="J28" s="48">
        <f t="shared" si="1"/>
        <v>100</v>
      </c>
    </row>
    <row r="29" spans="1:10" ht="21" customHeight="1">
      <c r="A29" s="47">
        <v>40007028</v>
      </c>
      <c r="B29" s="47">
        <v>0</v>
      </c>
      <c r="C29" s="47" t="s">
        <v>89</v>
      </c>
      <c r="D29" s="47">
        <v>100</v>
      </c>
      <c r="E29" s="47" t="s">
        <v>89</v>
      </c>
      <c r="F29" s="47" t="s">
        <v>90</v>
      </c>
      <c r="G29" s="47" t="s">
        <v>89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>
      <c r="A30" s="47">
        <v>40007029</v>
      </c>
      <c r="B30" s="47">
        <v>0</v>
      </c>
      <c r="C30" s="47" t="s">
        <v>89</v>
      </c>
      <c r="D30" s="47">
        <v>100</v>
      </c>
      <c r="E30" s="47" t="s">
        <v>89</v>
      </c>
      <c r="F30" s="47" t="s">
        <v>90</v>
      </c>
      <c r="G30" s="47" t="s">
        <v>89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>
      <c r="A31" s="47">
        <v>40007030</v>
      </c>
      <c r="B31" s="47">
        <v>1</v>
      </c>
      <c r="C31" s="47" t="s">
        <v>89</v>
      </c>
      <c r="D31" s="47">
        <v>100</v>
      </c>
      <c r="E31" s="47" t="s">
        <v>89</v>
      </c>
      <c r="F31" s="47" t="s">
        <v>90</v>
      </c>
      <c r="G31" s="47">
        <v>1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>
      <c r="A32" s="47">
        <v>40007031</v>
      </c>
      <c r="B32" s="47">
        <v>0</v>
      </c>
      <c r="C32" s="47" t="s">
        <v>89</v>
      </c>
      <c r="D32" s="47">
        <v>30</v>
      </c>
      <c r="E32" s="47" t="s">
        <v>89</v>
      </c>
      <c r="F32" s="47" t="s">
        <v>90</v>
      </c>
      <c r="G32" s="47">
        <v>3</v>
      </c>
      <c r="H32" s="47" t="s">
        <v>90</v>
      </c>
      <c r="I32" s="47" t="s">
        <v>90</v>
      </c>
      <c r="J32" s="48">
        <f t="shared" si="1"/>
        <v>30</v>
      </c>
    </row>
    <row r="33" spans="1:10" ht="21" customHeight="1">
      <c r="A33" s="47">
        <v>40007032</v>
      </c>
      <c r="B33" s="47">
        <v>0</v>
      </c>
      <c r="C33" s="47" t="s">
        <v>89</v>
      </c>
      <c r="D33" s="47">
        <v>40</v>
      </c>
      <c r="E33" s="47" t="s">
        <v>89</v>
      </c>
      <c r="F33" s="47" t="s">
        <v>90</v>
      </c>
      <c r="G33" s="47" t="s">
        <v>235</v>
      </c>
      <c r="H33" s="47" t="s">
        <v>90</v>
      </c>
      <c r="I33" s="47" t="s">
        <v>90</v>
      </c>
      <c r="J33" s="48">
        <f t="shared" si="1"/>
        <v>40</v>
      </c>
    </row>
    <row r="34" spans="1:10" ht="21" customHeight="1">
      <c r="A34" s="47">
        <v>40007033</v>
      </c>
      <c r="B34" s="47">
        <v>0</v>
      </c>
      <c r="C34" s="47" t="s">
        <v>89</v>
      </c>
      <c r="D34" s="47">
        <v>100</v>
      </c>
      <c r="E34" s="47" t="s">
        <v>89</v>
      </c>
      <c r="F34" s="47" t="s">
        <v>90</v>
      </c>
      <c r="G34" s="47">
        <v>1</v>
      </c>
      <c r="H34" s="47" t="s">
        <v>90</v>
      </c>
      <c r="I34" s="47">
        <v>398</v>
      </c>
      <c r="J34" s="48">
        <f t="shared" si="1"/>
        <v>100</v>
      </c>
    </row>
    <row r="35" spans="1:10" ht="21" customHeight="1">
      <c r="A35" s="47">
        <v>40007034</v>
      </c>
      <c r="B35" s="47">
        <v>0</v>
      </c>
      <c r="C35" s="47" t="s">
        <v>89</v>
      </c>
      <c r="D35" s="47">
        <v>100</v>
      </c>
      <c r="E35" s="47" t="s">
        <v>89</v>
      </c>
      <c r="F35" s="47" t="s">
        <v>90</v>
      </c>
      <c r="G35" s="47" t="s">
        <v>89</v>
      </c>
      <c r="H35" s="47" t="s">
        <v>90</v>
      </c>
      <c r="I35" s="47" t="s">
        <v>90</v>
      </c>
      <c r="J35" s="48">
        <f t="shared" si="1"/>
        <v>100</v>
      </c>
    </row>
    <row r="36" spans="1:10" ht="21" customHeight="1">
      <c r="A36" s="47">
        <v>40007035</v>
      </c>
      <c r="B36" s="47">
        <v>1</v>
      </c>
      <c r="C36" s="47" t="s">
        <v>89</v>
      </c>
      <c r="D36" s="47">
        <v>40</v>
      </c>
      <c r="E36" s="47" t="s">
        <v>89</v>
      </c>
      <c r="F36" s="47" t="s">
        <v>90</v>
      </c>
      <c r="G36" s="47">
        <v>4</v>
      </c>
      <c r="H36" s="47" t="s">
        <v>90</v>
      </c>
      <c r="I36" s="47" t="s">
        <v>90</v>
      </c>
      <c r="J36" s="48">
        <f t="shared" si="1"/>
        <v>40</v>
      </c>
    </row>
    <row r="37" spans="1:10" ht="21" customHeight="1">
      <c r="A37" s="47">
        <v>40007036</v>
      </c>
      <c r="B37" s="47">
        <v>0</v>
      </c>
      <c r="C37" s="47" t="s">
        <v>89</v>
      </c>
      <c r="D37" s="47">
        <v>40</v>
      </c>
      <c r="E37" s="47" t="s">
        <v>89</v>
      </c>
      <c r="F37" s="47" t="s">
        <v>90</v>
      </c>
      <c r="G37" s="47" t="s">
        <v>89</v>
      </c>
      <c r="H37" s="47" t="s">
        <v>90</v>
      </c>
      <c r="I37" s="47" t="s">
        <v>90</v>
      </c>
      <c r="J37" s="48">
        <f t="shared" si="1"/>
        <v>40</v>
      </c>
    </row>
    <row r="38" spans="1:10" ht="21" customHeight="1">
      <c r="A38" s="47">
        <v>40007037</v>
      </c>
      <c r="B38" s="47">
        <v>0</v>
      </c>
      <c r="C38" s="47">
        <v>10</v>
      </c>
      <c r="D38" s="47">
        <v>100</v>
      </c>
      <c r="E38" s="47">
        <v>20</v>
      </c>
      <c r="F38" s="47" t="s">
        <v>90</v>
      </c>
      <c r="G38" s="47">
        <v>1</v>
      </c>
      <c r="H38" s="47" t="s">
        <v>90</v>
      </c>
      <c r="I38" s="47" t="s">
        <v>90</v>
      </c>
      <c r="J38" s="48">
        <f t="shared" si="1"/>
        <v>100</v>
      </c>
    </row>
    <row r="39" spans="1:10" ht="21" customHeight="1">
      <c r="A39" s="47">
        <v>40007038</v>
      </c>
      <c r="B39" s="47">
        <v>0</v>
      </c>
      <c r="C39" s="47">
        <v>5</v>
      </c>
      <c r="D39" s="47">
        <v>100</v>
      </c>
      <c r="E39" s="47">
        <v>20</v>
      </c>
      <c r="F39" s="47" t="s">
        <v>90</v>
      </c>
      <c r="G39" s="47">
        <v>1</v>
      </c>
      <c r="H39" s="47" t="s">
        <v>90</v>
      </c>
      <c r="I39" s="47" t="s">
        <v>90</v>
      </c>
      <c r="J39" s="48">
        <f t="shared" si="1"/>
        <v>100</v>
      </c>
    </row>
    <row r="40" spans="1:10" ht="21" customHeight="1">
      <c r="A40" s="47">
        <v>40007039</v>
      </c>
      <c r="B40" s="47">
        <v>0</v>
      </c>
      <c r="C40" s="47" t="s">
        <v>89</v>
      </c>
      <c r="D40" s="47">
        <v>100</v>
      </c>
      <c r="E40" s="47" t="s">
        <v>89</v>
      </c>
      <c r="F40" s="47" t="s">
        <v>53</v>
      </c>
      <c r="G40" s="47">
        <v>1</v>
      </c>
      <c r="H40" s="47" t="s">
        <v>53</v>
      </c>
      <c r="I40" s="47">
        <v>398</v>
      </c>
      <c r="J40" s="48">
        <f t="shared" si="1"/>
        <v>100</v>
      </c>
    </row>
    <row r="41" spans="1:10" ht="21" customHeight="1">
      <c r="A41" s="47">
        <v>40007040</v>
      </c>
      <c r="B41" s="47">
        <v>0</v>
      </c>
      <c r="C41" s="47" t="s">
        <v>89</v>
      </c>
      <c r="D41" s="47">
        <v>100</v>
      </c>
      <c r="E41" s="47" t="s">
        <v>89</v>
      </c>
      <c r="F41" s="47" t="s">
        <v>90</v>
      </c>
      <c r="G41" s="47" t="s">
        <v>89</v>
      </c>
      <c r="H41" s="47" t="s">
        <v>90</v>
      </c>
      <c r="I41" s="47" t="s">
        <v>90</v>
      </c>
      <c r="J41" s="48">
        <f t="shared" si="1"/>
        <v>100</v>
      </c>
    </row>
    <row r="42" spans="1:10" ht="21" customHeight="1">
      <c r="A42" s="47">
        <v>40007041</v>
      </c>
      <c r="B42" s="47">
        <v>1</v>
      </c>
      <c r="C42" s="47" t="s">
        <v>89</v>
      </c>
      <c r="D42" s="47">
        <v>100</v>
      </c>
      <c r="E42" s="47" t="s">
        <v>89</v>
      </c>
      <c r="F42" s="47" t="s">
        <v>90</v>
      </c>
      <c r="G42" s="47">
        <v>1</v>
      </c>
      <c r="H42" s="47" t="s">
        <v>90</v>
      </c>
      <c r="I42" s="47" t="s">
        <v>90</v>
      </c>
      <c r="J42" s="48">
        <f t="shared" si="1"/>
        <v>100</v>
      </c>
    </row>
    <row r="43" spans="1:10" ht="21" customHeight="1">
      <c r="A43" s="47">
        <v>40007042</v>
      </c>
      <c r="B43" s="47">
        <v>0</v>
      </c>
      <c r="C43" s="47" t="s">
        <v>89</v>
      </c>
      <c r="D43" s="47">
        <v>50</v>
      </c>
      <c r="E43" s="47" t="s">
        <v>89</v>
      </c>
      <c r="F43" s="47" t="s">
        <v>90</v>
      </c>
      <c r="G43" s="47" t="s">
        <v>89</v>
      </c>
      <c r="H43" s="47" t="s">
        <v>90</v>
      </c>
      <c r="I43" s="47" t="s">
        <v>90</v>
      </c>
      <c r="J43" s="48">
        <f t="shared" si="1"/>
        <v>50</v>
      </c>
    </row>
    <row r="44" spans="1:10" ht="21" customHeight="1">
      <c r="A44" s="47">
        <v>40007043</v>
      </c>
      <c r="B44" s="47">
        <v>0</v>
      </c>
      <c r="C44" s="47" t="s">
        <v>89</v>
      </c>
      <c r="D44" s="47">
        <v>30</v>
      </c>
      <c r="E44" s="47" t="s">
        <v>89</v>
      </c>
      <c r="F44" s="47" t="s">
        <v>90</v>
      </c>
      <c r="G44" s="47">
        <v>3</v>
      </c>
      <c r="H44" s="47">
        <v>4</v>
      </c>
      <c r="I44" s="47" t="s">
        <v>90</v>
      </c>
      <c r="J44" s="48">
        <f t="shared" si="1"/>
        <v>30</v>
      </c>
    </row>
    <row r="45" spans="1:10" ht="21" customHeight="1">
      <c r="A45" s="47">
        <v>40007044</v>
      </c>
      <c r="B45" s="47">
        <v>0</v>
      </c>
      <c r="C45" s="47" t="s">
        <v>89</v>
      </c>
      <c r="D45" s="47">
        <v>40</v>
      </c>
      <c r="E45" s="47" t="s">
        <v>89</v>
      </c>
      <c r="F45" s="47" t="s">
        <v>90</v>
      </c>
      <c r="G45" s="47">
        <v>3</v>
      </c>
      <c r="H45" s="47">
        <v>3</v>
      </c>
      <c r="I45" s="47" t="s">
        <v>90</v>
      </c>
      <c r="J45" s="48">
        <f t="shared" si="1"/>
        <v>40</v>
      </c>
    </row>
    <row r="46" spans="1:10" ht="21" customHeight="1">
      <c r="A46" s="47">
        <v>40007045</v>
      </c>
      <c r="B46" s="47">
        <v>0</v>
      </c>
      <c r="C46" s="47" t="s">
        <v>89</v>
      </c>
      <c r="D46" s="47">
        <v>100</v>
      </c>
      <c r="E46" s="47" t="s">
        <v>89</v>
      </c>
      <c r="F46" s="47" t="s">
        <v>90</v>
      </c>
      <c r="G46" s="47" t="s">
        <v>89</v>
      </c>
      <c r="H46" s="47" t="s">
        <v>90</v>
      </c>
      <c r="I46" s="47">
        <v>422</v>
      </c>
      <c r="J46" s="48">
        <f t="shared" si="1"/>
        <v>100</v>
      </c>
    </row>
    <row r="47" spans="1:10" ht="21" customHeight="1">
      <c r="A47" s="47">
        <v>40007046</v>
      </c>
      <c r="B47" s="47">
        <v>0</v>
      </c>
      <c r="C47" s="47" t="s">
        <v>89</v>
      </c>
      <c r="D47" s="47">
        <v>100</v>
      </c>
      <c r="E47" s="47" t="s">
        <v>89</v>
      </c>
      <c r="F47" s="47" t="s">
        <v>90</v>
      </c>
      <c r="G47" s="47" t="s">
        <v>89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>
      <c r="A48" s="47">
        <v>40007047</v>
      </c>
      <c r="B48" s="47">
        <v>0</v>
      </c>
      <c r="C48" s="47" t="s">
        <v>89</v>
      </c>
      <c r="D48" s="47">
        <v>30</v>
      </c>
      <c r="E48" s="47" t="s">
        <v>89</v>
      </c>
      <c r="F48" s="47" t="s">
        <v>53</v>
      </c>
      <c r="G48" s="47">
        <v>3</v>
      </c>
      <c r="H48" s="47">
        <v>4</v>
      </c>
      <c r="I48" s="47" t="s">
        <v>53</v>
      </c>
      <c r="J48" s="48">
        <f t="shared" si="1"/>
        <v>30</v>
      </c>
    </row>
    <row r="49" spans="1:10" ht="21" customHeight="1">
      <c r="A49" s="47">
        <v>40007048</v>
      </c>
      <c r="B49" s="47">
        <v>0</v>
      </c>
      <c r="C49" s="47" t="s">
        <v>89</v>
      </c>
      <c r="D49" s="47">
        <v>50</v>
      </c>
      <c r="E49" s="47" t="s">
        <v>89</v>
      </c>
      <c r="F49" s="47" t="s">
        <v>53</v>
      </c>
      <c r="G49" s="47" t="s">
        <v>89</v>
      </c>
      <c r="H49" s="47" t="s">
        <v>53</v>
      </c>
      <c r="I49" s="47" t="s">
        <v>53</v>
      </c>
      <c r="J49" s="48">
        <f t="shared" si="1"/>
        <v>50</v>
      </c>
    </row>
    <row r="50" spans="1:10" ht="21" customHeight="1">
      <c r="A50" s="47">
        <v>40007049</v>
      </c>
      <c r="B50" s="47">
        <v>0</v>
      </c>
      <c r="C50" s="47" t="s">
        <v>89</v>
      </c>
      <c r="D50" s="47">
        <v>40</v>
      </c>
      <c r="E50" s="47" t="s">
        <v>89</v>
      </c>
      <c r="F50" s="47" t="s">
        <v>53</v>
      </c>
      <c r="G50" s="47">
        <v>3</v>
      </c>
      <c r="H50" s="47">
        <v>3</v>
      </c>
      <c r="I50" s="47" t="s">
        <v>53</v>
      </c>
      <c r="J50" s="48">
        <f t="shared" si="1"/>
        <v>40</v>
      </c>
    </row>
    <row r="51" spans="1:10" ht="21" customHeight="1">
      <c r="A51" s="47">
        <v>40007050</v>
      </c>
      <c r="B51" s="47">
        <v>0</v>
      </c>
      <c r="C51" s="47" t="s">
        <v>89</v>
      </c>
      <c r="D51" s="47">
        <v>100</v>
      </c>
      <c r="E51" s="47" t="s">
        <v>89</v>
      </c>
      <c r="F51" s="47" t="s">
        <v>53</v>
      </c>
      <c r="G51" s="47" t="s">
        <v>89</v>
      </c>
      <c r="H51" s="47" t="s">
        <v>53</v>
      </c>
      <c r="I51" s="47">
        <v>422</v>
      </c>
      <c r="J51" s="48">
        <f t="shared" si="1"/>
        <v>100</v>
      </c>
    </row>
    <row r="52" spans="1:10" ht="21" customHeight="1">
      <c r="A52" s="47">
        <v>40007051</v>
      </c>
      <c r="B52" s="47">
        <v>0</v>
      </c>
      <c r="C52" s="47" t="s">
        <v>89</v>
      </c>
      <c r="D52" s="47">
        <v>100</v>
      </c>
      <c r="E52" s="47" t="s">
        <v>89</v>
      </c>
      <c r="F52" s="47" t="s">
        <v>90</v>
      </c>
      <c r="G52" s="47" t="s">
        <v>89</v>
      </c>
      <c r="H52" s="47" t="s">
        <v>90</v>
      </c>
      <c r="I52" s="47" t="s">
        <v>90</v>
      </c>
      <c r="J52" s="48">
        <f t="shared" si="1"/>
        <v>100</v>
      </c>
    </row>
    <row r="53" spans="1:10" ht="21" customHeight="1">
      <c r="A53" s="47">
        <v>40007052</v>
      </c>
      <c r="B53" s="47">
        <v>1</v>
      </c>
      <c r="C53" s="47" t="s">
        <v>89</v>
      </c>
      <c r="D53" s="47">
        <v>100</v>
      </c>
      <c r="E53" s="47" t="s">
        <v>89</v>
      </c>
      <c r="F53" s="47" t="s">
        <v>90</v>
      </c>
      <c r="G53" s="47">
        <v>1</v>
      </c>
      <c r="H53" s="47" t="s">
        <v>90</v>
      </c>
      <c r="I53" s="47" t="s">
        <v>90</v>
      </c>
      <c r="J53" s="48">
        <f t="shared" si="1"/>
        <v>100</v>
      </c>
    </row>
    <row r="54" spans="1:10" ht="21" customHeight="1">
      <c r="A54" s="47">
        <v>40007053</v>
      </c>
      <c r="B54" s="47">
        <v>0</v>
      </c>
      <c r="C54" s="47" t="s">
        <v>89</v>
      </c>
      <c r="D54" s="47">
        <v>100</v>
      </c>
      <c r="E54" s="47" t="s">
        <v>89</v>
      </c>
      <c r="F54" s="47" t="s">
        <v>90</v>
      </c>
      <c r="G54" s="47">
        <v>1</v>
      </c>
      <c r="H54" s="47" t="s">
        <v>90</v>
      </c>
      <c r="I54" s="47">
        <v>4</v>
      </c>
      <c r="J54" s="48">
        <f t="shared" si="1"/>
        <v>100</v>
      </c>
    </row>
    <row r="55" spans="1:10" ht="21" customHeight="1">
      <c r="A55" s="47">
        <v>40007054</v>
      </c>
      <c r="B55" s="47">
        <v>0</v>
      </c>
      <c r="C55" s="47" t="s">
        <v>89</v>
      </c>
      <c r="D55" s="47">
        <v>100</v>
      </c>
      <c r="E55" s="47" t="s">
        <v>89</v>
      </c>
      <c r="F55" s="47" t="s">
        <v>90</v>
      </c>
      <c r="G55" s="47" t="s">
        <v>89</v>
      </c>
      <c r="H55" s="47" t="s">
        <v>90</v>
      </c>
      <c r="I55" s="47" t="s">
        <v>90</v>
      </c>
      <c r="J55" s="48">
        <f t="shared" si="1"/>
        <v>100</v>
      </c>
    </row>
    <row r="56" spans="1:10" ht="21" customHeight="1">
      <c r="A56" s="47">
        <v>40007055</v>
      </c>
      <c r="B56" s="47">
        <v>1</v>
      </c>
      <c r="C56" s="47" t="s">
        <v>89</v>
      </c>
      <c r="D56" s="47">
        <v>100</v>
      </c>
      <c r="E56" s="47" t="s">
        <v>89</v>
      </c>
      <c r="F56" s="47" t="s">
        <v>53</v>
      </c>
      <c r="G56" s="47">
        <v>1</v>
      </c>
      <c r="H56" s="47" t="s">
        <v>53</v>
      </c>
      <c r="I56" s="47" t="s">
        <v>53</v>
      </c>
      <c r="J56" s="48">
        <f t="shared" si="1"/>
        <v>100</v>
      </c>
    </row>
    <row r="57" spans="1:10" ht="21" customHeight="1">
      <c r="A57" s="47">
        <v>40007056</v>
      </c>
      <c r="B57" s="47">
        <v>0</v>
      </c>
      <c r="C57" s="47" t="s">
        <v>89</v>
      </c>
      <c r="D57" s="47">
        <v>100</v>
      </c>
      <c r="E57" s="47" t="s">
        <v>89</v>
      </c>
      <c r="F57" s="47" t="s">
        <v>53</v>
      </c>
      <c r="G57" s="47">
        <v>1</v>
      </c>
      <c r="H57" s="47" t="s">
        <v>53</v>
      </c>
      <c r="I57" s="47">
        <v>4</v>
      </c>
      <c r="J57" s="48">
        <f t="shared" si="1"/>
        <v>100</v>
      </c>
    </row>
    <row r="58" spans="1:10" ht="21" customHeight="1">
      <c r="A58" s="47">
        <v>40007057</v>
      </c>
      <c r="B58" s="47">
        <v>0</v>
      </c>
      <c r="C58" s="47" t="s">
        <v>89</v>
      </c>
      <c r="D58" s="47">
        <v>100</v>
      </c>
      <c r="E58" s="47" t="s">
        <v>89</v>
      </c>
      <c r="F58" s="47" t="s">
        <v>90</v>
      </c>
      <c r="G58" s="47" t="s">
        <v>89</v>
      </c>
      <c r="H58" s="47" t="s">
        <v>90</v>
      </c>
      <c r="I58" s="47" t="s">
        <v>90</v>
      </c>
      <c r="J58" s="48">
        <f t="shared" si="1"/>
        <v>100</v>
      </c>
    </row>
    <row r="59" spans="1:10" ht="21" customHeight="1">
      <c r="A59" s="47">
        <v>40007058</v>
      </c>
      <c r="B59" s="47">
        <v>0</v>
      </c>
      <c r="C59" s="47" t="s">
        <v>89</v>
      </c>
      <c r="D59" s="47">
        <v>100</v>
      </c>
      <c r="E59" s="47" t="s">
        <v>89</v>
      </c>
      <c r="F59" s="47" t="s">
        <v>90</v>
      </c>
      <c r="G59" s="47" t="s">
        <v>89</v>
      </c>
      <c r="H59" s="47" t="s">
        <v>90</v>
      </c>
      <c r="I59" s="47" t="s">
        <v>90</v>
      </c>
      <c r="J59" s="48">
        <f t="shared" si="1"/>
        <v>100</v>
      </c>
    </row>
    <row r="60" spans="1:10" ht="21" customHeight="1">
      <c r="A60" s="47">
        <v>40007059</v>
      </c>
      <c r="B60" s="47">
        <v>0</v>
      </c>
      <c r="C60" s="47" t="s">
        <v>89</v>
      </c>
      <c r="D60" s="47">
        <v>100</v>
      </c>
      <c r="E60" s="47" t="s">
        <v>89</v>
      </c>
      <c r="F60" s="47" t="s">
        <v>90</v>
      </c>
      <c r="G60" s="47" t="s">
        <v>89</v>
      </c>
      <c r="H60" s="47" t="s">
        <v>90</v>
      </c>
      <c r="I60" s="47" t="s">
        <v>90</v>
      </c>
      <c r="J60" s="48">
        <f t="shared" si="1"/>
        <v>100</v>
      </c>
    </row>
    <row r="61" spans="1:10" ht="21" customHeight="1">
      <c r="A61" s="47">
        <v>40007060</v>
      </c>
      <c r="B61" s="47">
        <v>0</v>
      </c>
      <c r="C61" s="47" t="s">
        <v>89</v>
      </c>
      <c r="D61" s="47">
        <v>100</v>
      </c>
      <c r="E61" s="47" t="s">
        <v>89</v>
      </c>
      <c r="F61" s="47" t="s">
        <v>90</v>
      </c>
      <c r="G61" s="47" t="s">
        <v>89</v>
      </c>
      <c r="H61" s="47" t="s">
        <v>90</v>
      </c>
      <c r="I61" s="47" t="s">
        <v>90</v>
      </c>
      <c r="J61" s="48">
        <f t="shared" si="1"/>
        <v>100</v>
      </c>
    </row>
    <row r="62" spans="1:10" ht="21" customHeight="1">
      <c r="A62" s="47">
        <v>40007061</v>
      </c>
      <c r="B62" s="47">
        <v>0</v>
      </c>
      <c r="C62" s="47" t="s">
        <v>89</v>
      </c>
      <c r="D62" s="47">
        <v>100</v>
      </c>
      <c r="E62" s="47" t="s">
        <v>89</v>
      </c>
      <c r="F62" s="47" t="s">
        <v>90</v>
      </c>
      <c r="G62" s="47" t="s">
        <v>89</v>
      </c>
      <c r="H62" s="47" t="s">
        <v>90</v>
      </c>
      <c r="I62" s="47" t="s">
        <v>90</v>
      </c>
      <c r="J62" s="48">
        <f t="shared" si="1"/>
        <v>100</v>
      </c>
    </row>
    <row r="63" spans="1:10" ht="21" customHeight="1">
      <c r="A63" s="47">
        <v>40007062</v>
      </c>
      <c r="B63" s="47">
        <v>0</v>
      </c>
      <c r="C63" s="47" t="s">
        <v>89</v>
      </c>
      <c r="D63" s="47">
        <v>100</v>
      </c>
      <c r="E63" s="47" t="s">
        <v>89</v>
      </c>
      <c r="F63" s="47" t="s">
        <v>90</v>
      </c>
      <c r="G63" s="47" t="s">
        <v>89</v>
      </c>
      <c r="H63" s="47" t="s">
        <v>90</v>
      </c>
      <c r="I63" s="47" t="s">
        <v>90</v>
      </c>
      <c r="J63" s="48">
        <f t="shared" si="1"/>
        <v>100</v>
      </c>
    </row>
    <row r="64" spans="1:10" ht="21" customHeight="1">
      <c r="A64" s="47">
        <v>40007063</v>
      </c>
      <c r="B64" s="47">
        <v>0</v>
      </c>
      <c r="C64" s="47" t="s">
        <v>89</v>
      </c>
      <c r="D64" s="47">
        <v>100</v>
      </c>
      <c r="E64" s="47" t="s">
        <v>89</v>
      </c>
      <c r="F64" s="47" t="s">
        <v>90</v>
      </c>
      <c r="G64" s="47" t="s">
        <v>89</v>
      </c>
      <c r="H64" s="47" t="s">
        <v>90</v>
      </c>
      <c r="I64" s="47" t="s">
        <v>90</v>
      </c>
      <c r="J64" s="48">
        <f t="shared" si="1"/>
        <v>100</v>
      </c>
    </row>
    <row r="65" spans="1:10" ht="21" customHeight="1">
      <c r="A65" s="47">
        <v>40007064</v>
      </c>
      <c r="B65" s="47">
        <v>1</v>
      </c>
      <c r="C65" s="47">
        <v>5</v>
      </c>
      <c r="D65" s="47">
        <v>100</v>
      </c>
      <c r="E65" s="47" t="s">
        <v>89</v>
      </c>
      <c r="F65" s="47" t="s">
        <v>90</v>
      </c>
      <c r="G65" s="47">
        <v>1</v>
      </c>
      <c r="H65" s="47" t="s">
        <v>90</v>
      </c>
      <c r="I65" s="47" t="s">
        <v>90</v>
      </c>
      <c r="J65" s="48">
        <f t="shared" si="1"/>
        <v>100</v>
      </c>
    </row>
    <row r="66" spans="1:10" ht="21" customHeight="1">
      <c r="A66" s="47">
        <v>40007065</v>
      </c>
      <c r="B66" s="47">
        <v>0</v>
      </c>
      <c r="C66" s="47">
        <v>5</v>
      </c>
      <c r="D66" s="47">
        <v>100</v>
      </c>
      <c r="E66" s="47" t="s">
        <v>89</v>
      </c>
      <c r="F66" s="47" t="s">
        <v>90</v>
      </c>
      <c r="G66" s="47">
        <v>1</v>
      </c>
      <c r="H66" s="47" t="s">
        <v>90</v>
      </c>
      <c r="I66" s="47" t="s">
        <v>90</v>
      </c>
      <c r="J66" s="48">
        <f t="shared" si="1"/>
        <v>100</v>
      </c>
    </row>
    <row r="67" spans="1:10" ht="21" customHeight="1">
      <c r="A67" s="47">
        <v>40007066</v>
      </c>
      <c r="B67" s="47">
        <v>0</v>
      </c>
      <c r="C67" s="47">
        <v>1</v>
      </c>
      <c r="D67" s="47">
        <v>30</v>
      </c>
      <c r="E67" s="47" t="s">
        <v>89</v>
      </c>
      <c r="F67" s="47" t="s">
        <v>90</v>
      </c>
      <c r="G67" s="47" t="s">
        <v>53</v>
      </c>
      <c r="H67" s="47" t="s">
        <v>381</v>
      </c>
      <c r="I67" s="47" t="s">
        <v>90</v>
      </c>
      <c r="J67" s="48">
        <v>30</v>
      </c>
    </row>
    <row r="68" spans="1:10" ht="21" customHeight="1">
      <c r="A68" s="47">
        <v>40007067</v>
      </c>
      <c r="B68" s="47">
        <v>0</v>
      </c>
      <c r="C68" s="47">
        <v>1</v>
      </c>
      <c r="D68" s="47">
        <v>30</v>
      </c>
      <c r="E68" s="47" t="s">
        <v>89</v>
      </c>
      <c r="F68" s="47" t="s">
        <v>90</v>
      </c>
      <c r="G68" s="47" t="s">
        <v>89</v>
      </c>
      <c r="H68" s="47" t="s">
        <v>90</v>
      </c>
      <c r="I68" s="47" t="s">
        <v>90</v>
      </c>
      <c r="J68" s="48">
        <v>30</v>
      </c>
    </row>
    <row r="69" spans="1:10" ht="21" customHeight="1">
      <c r="A69" s="47">
        <v>40007068</v>
      </c>
      <c r="B69" s="47">
        <v>0</v>
      </c>
      <c r="C69" s="47">
        <v>1</v>
      </c>
      <c r="D69" s="47">
        <v>30</v>
      </c>
      <c r="E69" s="47" t="s">
        <v>89</v>
      </c>
      <c r="F69" s="47" t="s">
        <v>90</v>
      </c>
      <c r="G69" s="47" t="s">
        <v>381</v>
      </c>
      <c r="H69" s="47" t="s">
        <v>90</v>
      </c>
      <c r="I69" s="47" t="s">
        <v>90</v>
      </c>
      <c r="J69" s="48">
        <v>30</v>
      </c>
    </row>
    <row r="70" spans="1:10" ht="21" customHeight="1">
      <c r="A70" s="47">
        <v>40007069</v>
      </c>
      <c r="B70" s="47">
        <v>1</v>
      </c>
      <c r="C70" s="47" t="s">
        <v>89</v>
      </c>
      <c r="D70" s="47">
        <v>100</v>
      </c>
      <c r="E70" s="47" t="s">
        <v>89</v>
      </c>
      <c r="F70" s="47" t="s">
        <v>90</v>
      </c>
      <c r="G70" s="47">
        <v>1</v>
      </c>
      <c r="H70" s="47" t="s">
        <v>90</v>
      </c>
      <c r="I70" s="47" t="s">
        <v>90</v>
      </c>
      <c r="J70" s="48">
        <f t="shared" ref="J70:J80" si="2">D70</f>
        <v>100</v>
      </c>
    </row>
    <row r="71" spans="1:10" ht="21" customHeight="1">
      <c r="A71" s="47">
        <v>40007070</v>
      </c>
      <c r="B71" s="47">
        <v>0</v>
      </c>
      <c r="C71" s="47" t="s">
        <v>381</v>
      </c>
      <c r="D71" s="47">
        <v>30</v>
      </c>
      <c r="E71" s="47" t="s">
        <v>53</v>
      </c>
      <c r="F71" s="47" t="s">
        <v>90</v>
      </c>
      <c r="G71" s="47" t="s">
        <v>382</v>
      </c>
      <c r="H71" s="47" t="s">
        <v>90</v>
      </c>
      <c r="I71" s="47" t="s">
        <v>90</v>
      </c>
      <c r="J71" s="48">
        <f t="shared" si="2"/>
        <v>30</v>
      </c>
    </row>
    <row r="72" spans="1:10" ht="21" customHeight="1">
      <c r="A72" s="47">
        <v>40007071</v>
      </c>
      <c r="B72" s="47">
        <v>0</v>
      </c>
      <c r="C72" s="47" t="s">
        <v>53</v>
      </c>
      <c r="D72" s="47">
        <v>30</v>
      </c>
      <c r="E72" s="47" t="s">
        <v>382</v>
      </c>
      <c r="F72" s="47" t="s">
        <v>382</v>
      </c>
      <c r="G72" s="47" t="s">
        <v>382</v>
      </c>
      <c r="H72" s="47" t="s">
        <v>90</v>
      </c>
      <c r="I72" s="47" t="s">
        <v>90</v>
      </c>
      <c r="J72" s="48">
        <f t="shared" si="2"/>
        <v>30</v>
      </c>
    </row>
    <row r="73" spans="1:10" ht="21" customHeight="1">
      <c r="A73" s="47">
        <v>40007072</v>
      </c>
      <c r="B73" s="47">
        <v>0</v>
      </c>
      <c r="C73" s="47">
        <v>1</v>
      </c>
      <c r="D73" s="47">
        <v>100</v>
      </c>
      <c r="E73" s="47">
        <v>50</v>
      </c>
      <c r="F73" s="47" t="s">
        <v>90</v>
      </c>
      <c r="G73" s="47">
        <v>1</v>
      </c>
      <c r="H73" s="47" t="s">
        <v>90</v>
      </c>
      <c r="I73" s="47" t="s">
        <v>90</v>
      </c>
      <c r="J73" s="48">
        <f t="shared" si="2"/>
        <v>100</v>
      </c>
    </row>
    <row r="74" spans="1:10" ht="21" customHeight="1">
      <c r="A74" s="47">
        <v>40007073</v>
      </c>
      <c r="B74" s="47">
        <v>0</v>
      </c>
      <c r="C74" s="47" t="s">
        <v>381</v>
      </c>
      <c r="D74" s="47">
        <v>30</v>
      </c>
      <c r="E74" s="47" t="s">
        <v>89</v>
      </c>
      <c r="F74" s="47" t="s">
        <v>90</v>
      </c>
      <c r="G74" s="47" t="s">
        <v>89</v>
      </c>
      <c r="H74" s="47" t="s">
        <v>90</v>
      </c>
      <c r="I74" s="47" t="s">
        <v>90</v>
      </c>
      <c r="J74" s="48">
        <f t="shared" si="2"/>
        <v>30</v>
      </c>
    </row>
    <row r="75" spans="1:10" ht="21" customHeight="1">
      <c r="A75" s="47">
        <v>40007074</v>
      </c>
      <c r="B75" s="47">
        <v>0</v>
      </c>
      <c r="C75" s="47" t="s">
        <v>89</v>
      </c>
      <c r="D75" s="47">
        <v>100</v>
      </c>
      <c r="E75" s="47" t="s">
        <v>89</v>
      </c>
      <c r="F75" s="47" t="s">
        <v>90</v>
      </c>
      <c r="G75" s="47" t="s">
        <v>89</v>
      </c>
      <c r="H75" s="47" t="s">
        <v>90</v>
      </c>
      <c r="I75" s="47" t="s">
        <v>90</v>
      </c>
      <c r="J75" s="48">
        <f t="shared" si="2"/>
        <v>100</v>
      </c>
    </row>
    <row r="76" spans="1:10" ht="21" customHeight="1">
      <c r="A76" s="47">
        <v>40007075</v>
      </c>
      <c r="B76" s="47">
        <v>0</v>
      </c>
      <c r="C76" s="47" t="s">
        <v>89</v>
      </c>
      <c r="D76" s="47">
        <v>100</v>
      </c>
      <c r="E76" s="47" t="s">
        <v>89</v>
      </c>
      <c r="F76" s="47" t="s">
        <v>90</v>
      </c>
      <c r="G76" s="47" t="s">
        <v>89</v>
      </c>
      <c r="H76" s="47" t="s">
        <v>90</v>
      </c>
      <c r="I76" s="47" t="s">
        <v>90</v>
      </c>
      <c r="J76" s="48">
        <f t="shared" si="2"/>
        <v>100</v>
      </c>
    </row>
    <row r="77" spans="1:10" ht="21" customHeight="1">
      <c r="A77" s="47">
        <v>40007076</v>
      </c>
      <c r="B77" s="47">
        <v>1</v>
      </c>
      <c r="C77" s="47" t="s">
        <v>89</v>
      </c>
      <c r="D77" s="47">
        <v>100</v>
      </c>
      <c r="E77" s="47" t="s">
        <v>89</v>
      </c>
      <c r="F77" s="47" t="s">
        <v>90</v>
      </c>
      <c r="G77" s="47">
        <v>1</v>
      </c>
      <c r="H77" s="47" t="s">
        <v>90</v>
      </c>
      <c r="I77" s="47" t="s">
        <v>90</v>
      </c>
      <c r="J77" s="48">
        <f t="shared" si="2"/>
        <v>100</v>
      </c>
    </row>
    <row r="78" spans="1:10" ht="21" customHeight="1">
      <c r="A78" s="47">
        <v>40007077</v>
      </c>
      <c r="B78" s="47">
        <v>0</v>
      </c>
      <c r="C78" s="47">
        <v>100</v>
      </c>
      <c r="D78" s="47">
        <v>100</v>
      </c>
      <c r="E78" s="47" t="s">
        <v>89</v>
      </c>
      <c r="F78" s="47" t="s">
        <v>90</v>
      </c>
      <c r="G78" s="47">
        <v>1</v>
      </c>
      <c r="H78" s="47" t="s">
        <v>90</v>
      </c>
      <c r="I78" s="47" t="s">
        <v>90</v>
      </c>
      <c r="J78" s="48">
        <f t="shared" si="2"/>
        <v>100</v>
      </c>
    </row>
    <row r="79" spans="1:10" ht="21" customHeight="1">
      <c r="A79" s="47">
        <v>40007078</v>
      </c>
      <c r="B79" s="47">
        <v>0</v>
      </c>
      <c r="C79" s="47">
        <v>99</v>
      </c>
      <c r="D79" s="47">
        <v>100</v>
      </c>
      <c r="E79" s="47" t="s">
        <v>89</v>
      </c>
      <c r="F79" s="47" t="s">
        <v>90</v>
      </c>
      <c r="G79" s="47">
        <v>1</v>
      </c>
      <c r="H79" s="47" t="s">
        <v>90</v>
      </c>
      <c r="I79" s="47" t="s">
        <v>90</v>
      </c>
      <c r="J79" s="48">
        <f t="shared" si="2"/>
        <v>100</v>
      </c>
    </row>
    <row r="80" spans="1:10" ht="21" customHeight="1">
      <c r="A80" s="47">
        <v>40007079</v>
      </c>
      <c r="B80" s="47">
        <v>0</v>
      </c>
      <c r="C80" s="47" t="s">
        <v>53</v>
      </c>
      <c r="D80" s="47">
        <v>30</v>
      </c>
      <c r="E80" s="47" t="s">
        <v>89</v>
      </c>
      <c r="F80" s="47" t="s">
        <v>90</v>
      </c>
      <c r="G80" s="47" t="s">
        <v>53</v>
      </c>
      <c r="H80" s="47" t="s">
        <v>90</v>
      </c>
      <c r="I80" s="47" t="s">
        <v>90</v>
      </c>
      <c r="J80" s="48">
        <f t="shared" si="2"/>
        <v>30</v>
      </c>
    </row>
    <row r="81" spans="1:10" ht="21" customHeight="1">
      <c r="A81" s="47">
        <v>40007080</v>
      </c>
      <c r="B81" s="47">
        <v>0</v>
      </c>
      <c r="C81" s="47" t="s">
        <v>53</v>
      </c>
      <c r="D81" s="47">
        <v>30</v>
      </c>
      <c r="E81" s="47" t="s">
        <v>89</v>
      </c>
      <c r="F81" s="47" t="s">
        <v>90</v>
      </c>
      <c r="G81" s="47" t="s">
        <v>89</v>
      </c>
      <c r="H81" s="47" t="s">
        <v>90</v>
      </c>
      <c r="I81" s="47" t="s">
        <v>90</v>
      </c>
      <c r="J81" s="48">
        <f t="shared" ref="J81:J90" si="3">D81</f>
        <v>30</v>
      </c>
    </row>
    <row r="82" spans="1:10" ht="21" customHeight="1">
      <c r="A82" s="47">
        <v>40007081</v>
      </c>
      <c r="B82" s="47">
        <v>0</v>
      </c>
      <c r="C82" s="47" t="s">
        <v>89</v>
      </c>
      <c r="D82" s="47">
        <v>30</v>
      </c>
      <c r="E82" s="47" t="s">
        <v>89</v>
      </c>
      <c r="F82" s="47" t="s">
        <v>90</v>
      </c>
      <c r="G82" s="47" t="s">
        <v>383</v>
      </c>
      <c r="H82" s="47" t="s">
        <v>90</v>
      </c>
      <c r="I82" s="47" t="s">
        <v>90</v>
      </c>
      <c r="J82" s="48">
        <f t="shared" si="3"/>
        <v>30</v>
      </c>
    </row>
    <row r="83" spans="1:10" ht="21" customHeight="1">
      <c r="A83" s="47">
        <v>40007082</v>
      </c>
      <c r="B83" s="47">
        <v>0</v>
      </c>
      <c r="C83" s="47">
        <v>150</v>
      </c>
      <c r="D83" s="47">
        <v>100</v>
      </c>
      <c r="E83" s="47" t="s">
        <v>330</v>
      </c>
      <c r="F83" s="47" t="s">
        <v>90</v>
      </c>
      <c r="G83" s="47">
        <v>1</v>
      </c>
      <c r="H83" s="47" t="s">
        <v>90</v>
      </c>
      <c r="I83" s="47" t="s">
        <v>90</v>
      </c>
      <c r="J83" s="48">
        <f t="shared" si="3"/>
        <v>100</v>
      </c>
    </row>
    <row r="84" spans="1:10" ht="21" customHeight="1">
      <c r="A84" s="47">
        <v>40007083</v>
      </c>
      <c r="B84" s="47">
        <v>0</v>
      </c>
      <c r="C84" s="47">
        <v>80</v>
      </c>
      <c r="D84" s="47">
        <v>100</v>
      </c>
      <c r="E84" s="47">
        <v>60</v>
      </c>
      <c r="F84" s="47" t="s">
        <v>90</v>
      </c>
      <c r="G84" s="47">
        <v>1</v>
      </c>
      <c r="H84" s="47" t="s">
        <v>90</v>
      </c>
      <c r="I84" s="47" t="s">
        <v>90</v>
      </c>
      <c r="J84" s="48">
        <f t="shared" si="3"/>
        <v>100</v>
      </c>
    </row>
    <row r="85" spans="1:10" ht="21" customHeight="1">
      <c r="A85" s="47">
        <v>40007084</v>
      </c>
      <c r="B85" s="47">
        <v>0</v>
      </c>
      <c r="C85" s="47">
        <v>70</v>
      </c>
      <c r="D85" s="47">
        <v>100</v>
      </c>
      <c r="E85" s="47">
        <v>60</v>
      </c>
      <c r="F85" s="47" t="s">
        <v>90</v>
      </c>
      <c r="G85" s="47">
        <v>1</v>
      </c>
      <c r="H85" s="47" t="s">
        <v>90</v>
      </c>
      <c r="I85" s="47" t="s">
        <v>90</v>
      </c>
      <c r="J85" s="48">
        <f t="shared" si="3"/>
        <v>100</v>
      </c>
    </row>
    <row r="86" spans="1:10" ht="21" customHeight="1">
      <c r="A86" s="47">
        <v>40007085</v>
      </c>
      <c r="B86" s="47">
        <v>0</v>
      </c>
      <c r="C86" s="47">
        <v>60</v>
      </c>
      <c r="D86" s="47">
        <v>100</v>
      </c>
      <c r="E86" s="47">
        <v>60</v>
      </c>
      <c r="F86" s="47" t="s">
        <v>90</v>
      </c>
      <c r="G86" s="47">
        <v>1</v>
      </c>
      <c r="H86" s="47" t="s">
        <v>90</v>
      </c>
      <c r="I86" s="47" t="s">
        <v>90</v>
      </c>
      <c r="J86" s="48">
        <f t="shared" si="3"/>
        <v>100</v>
      </c>
    </row>
    <row r="87" spans="1:10" ht="21" customHeight="1">
      <c r="A87" s="47">
        <v>40007086</v>
      </c>
      <c r="B87" s="47">
        <v>0</v>
      </c>
      <c r="C87" s="47">
        <v>50</v>
      </c>
      <c r="D87" s="47">
        <v>100</v>
      </c>
      <c r="E87" s="47">
        <v>60</v>
      </c>
      <c r="F87" s="47" t="s">
        <v>90</v>
      </c>
      <c r="G87" s="47">
        <v>1</v>
      </c>
      <c r="H87" s="47" t="s">
        <v>90</v>
      </c>
      <c r="I87" s="47" t="s">
        <v>90</v>
      </c>
      <c r="J87" s="48">
        <f t="shared" si="3"/>
        <v>100</v>
      </c>
    </row>
    <row r="88" spans="1:10" ht="21" customHeight="1">
      <c r="A88" s="47">
        <v>40007087</v>
      </c>
      <c r="B88" s="47">
        <v>0</v>
      </c>
      <c r="C88" s="47">
        <v>40</v>
      </c>
      <c r="D88" s="47">
        <v>100</v>
      </c>
      <c r="E88" s="47">
        <v>60</v>
      </c>
      <c r="F88" s="47" t="s">
        <v>90</v>
      </c>
      <c r="G88" s="47" t="s">
        <v>89</v>
      </c>
      <c r="H88" s="47" t="s">
        <v>90</v>
      </c>
      <c r="I88" s="47" t="s">
        <v>90</v>
      </c>
      <c r="J88" s="48">
        <f t="shared" si="3"/>
        <v>100</v>
      </c>
    </row>
    <row r="89" spans="1:10" ht="21" customHeight="1">
      <c r="A89" s="47">
        <v>40007088</v>
      </c>
      <c r="B89" s="47">
        <v>0</v>
      </c>
      <c r="C89" s="47" t="s">
        <v>89</v>
      </c>
      <c r="D89" s="47">
        <v>100</v>
      </c>
      <c r="E89" s="47" t="s">
        <v>89</v>
      </c>
      <c r="F89" s="47" t="s">
        <v>90</v>
      </c>
      <c r="G89" s="47" t="s">
        <v>89</v>
      </c>
      <c r="H89" s="47" t="s">
        <v>90</v>
      </c>
      <c r="I89" s="47" t="s">
        <v>90</v>
      </c>
      <c r="J89" s="48">
        <f t="shared" si="3"/>
        <v>100</v>
      </c>
    </row>
    <row r="90" spans="1:10" ht="21" customHeight="1">
      <c r="A90" s="47">
        <v>40007089</v>
      </c>
      <c r="B90" s="47">
        <v>0</v>
      </c>
      <c r="C90" s="47" t="s">
        <v>89</v>
      </c>
      <c r="D90" s="47">
        <v>100</v>
      </c>
      <c r="E90" s="47" t="s">
        <v>89</v>
      </c>
      <c r="F90" s="47" t="s">
        <v>90</v>
      </c>
      <c r="G90" s="47" t="s">
        <v>89</v>
      </c>
      <c r="H90" s="47" t="s">
        <v>90</v>
      </c>
      <c r="I90" s="47" t="s">
        <v>90</v>
      </c>
      <c r="J90" s="48">
        <f t="shared" si="3"/>
        <v>100</v>
      </c>
    </row>
  </sheetData>
  <autoFilter ref="A1:G1"/>
  <phoneticPr fontId="5"/>
  <conditionalFormatting sqref="K1:K2 K91:K1048576">
    <cfRule type="duplicateValues" dxfId="2" priority="3"/>
  </conditionalFormatting>
  <conditionalFormatting sqref="K3:K80">
    <cfRule type="duplicateValues" dxfId="1" priority="2"/>
  </conditionalFormatting>
  <conditionalFormatting sqref="K81:K9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0" sqref="G10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s="98" customFormat="1">
      <c r="A2" s="81">
        <v>40007</v>
      </c>
      <c r="B2" s="81">
        <v>1</v>
      </c>
      <c r="C2" s="81" t="str">
        <f t="shared" ref="C2:C11" si="0">A2&amp; "_"&amp;B2</f>
        <v>40007_1</v>
      </c>
      <c r="D2" s="81" t="str">
        <f>VLOOKUP(C2,[2]stages!$A:$AE,31,FALSE)</f>
        <v>everyone</v>
      </c>
      <c r="E2" s="81">
        <v>1</v>
      </c>
      <c r="F2" s="81" t="s">
        <v>169</v>
      </c>
      <c r="G2" s="81">
        <v>40000</v>
      </c>
      <c r="H2" s="81" t="s">
        <v>353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170</v>
      </c>
      <c r="R2" s="81" t="s">
        <v>171</v>
      </c>
    </row>
    <row r="3" spans="1:18" s="98" customFormat="1">
      <c r="A3" s="81">
        <v>40007</v>
      </c>
      <c r="B3" s="81">
        <v>1</v>
      </c>
      <c r="C3" s="81" t="str">
        <f t="shared" si="0"/>
        <v>40007_1</v>
      </c>
      <c r="D3" s="81" t="str">
        <f>VLOOKUP(C3,[2]stages!$A:$AE,31,FALSE)</f>
        <v>everyone</v>
      </c>
      <c r="E3" s="81">
        <v>2</v>
      </c>
      <c r="F3" s="81" t="s">
        <v>354</v>
      </c>
      <c r="G3" s="81">
        <v>30</v>
      </c>
      <c r="H3" s="81" t="s">
        <v>355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170</v>
      </c>
      <c r="R3" s="81" t="s">
        <v>171</v>
      </c>
    </row>
    <row r="4" spans="1:18" s="98" customFormat="1">
      <c r="A4" s="81">
        <v>40007</v>
      </c>
      <c r="B4" s="81">
        <v>1</v>
      </c>
      <c r="C4" s="81" t="str">
        <f t="shared" si="0"/>
        <v>40007_1</v>
      </c>
      <c r="D4" s="81" t="str">
        <f>VLOOKUP(C4,[2]stages!$A:$AE,31,FALSE)</f>
        <v>everyone</v>
      </c>
      <c r="E4" s="81">
        <v>3</v>
      </c>
      <c r="F4" s="81" t="s">
        <v>356</v>
      </c>
      <c r="G4" s="99">
        <v>337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28</v>
      </c>
      <c r="Q4" s="81" t="s">
        <v>170</v>
      </c>
      <c r="R4" s="81" t="s">
        <v>171</v>
      </c>
    </row>
    <row r="5" spans="1:18" s="98" customFormat="1">
      <c r="A5" s="81">
        <v>40007</v>
      </c>
      <c r="B5" s="81">
        <v>1</v>
      </c>
      <c r="C5" s="81" t="str">
        <f t="shared" si="0"/>
        <v>40007_1</v>
      </c>
      <c r="D5" s="81" t="str">
        <f>VLOOKUP(C5,[2]stages!$A:$AE,31,FALSE)</f>
        <v>everyone</v>
      </c>
      <c r="E5" s="81">
        <v>4</v>
      </c>
      <c r="F5" s="81" t="s">
        <v>356</v>
      </c>
      <c r="G5" s="99">
        <v>338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112</v>
      </c>
      <c r="Q5" s="81" t="s">
        <v>170</v>
      </c>
      <c r="R5" s="81" t="s">
        <v>171</v>
      </c>
    </row>
    <row r="6" spans="1:18" s="98" customFormat="1">
      <c r="A6" s="81">
        <v>40007</v>
      </c>
      <c r="B6" s="81">
        <v>1</v>
      </c>
      <c r="C6" s="81" t="str">
        <f t="shared" si="0"/>
        <v>40007_1</v>
      </c>
      <c r="D6" s="81" t="str">
        <f>VLOOKUP(C6,[2]stages!$A:$AE,31,FALSE)</f>
        <v>everyone</v>
      </c>
      <c r="E6" s="81">
        <v>5</v>
      </c>
      <c r="F6" s="81" t="s">
        <v>356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50</v>
      </c>
      <c r="Q6" s="81" t="s">
        <v>170</v>
      </c>
      <c r="R6" s="81" t="s">
        <v>171</v>
      </c>
    </row>
    <row r="7" spans="1:18" s="98" customFormat="1">
      <c r="A7" s="81">
        <v>40007</v>
      </c>
      <c r="B7" s="81">
        <v>1</v>
      </c>
      <c r="C7" s="81" t="str">
        <f t="shared" si="0"/>
        <v>40007_1</v>
      </c>
      <c r="D7" s="81" t="str">
        <f>VLOOKUP(C7,[2]stages!$A:$AE,31,FALSE)</f>
        <v>everyone</v>
      </c>
      <c r="E7" s="81">
        <v>6</v>
      </c>
      <c r="F7" s="81" t="s">
        <v>356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50</v>
      </c>
      <c r="Q7" s="81" t="s">
        <v>170</v>
      </c>
      <c r="R7" s="81" t="s">
        <v>171</v>
      </c>
    </row>
    <row r="8" spans="1:18" s="98" customFormat="1">
      <c r="A8" s="81">
        <v>40007</v>
      </c>
      <c r="B8" s="81">
        <v>1</v>
      </c>
      <c r="C8" s="81" t="str">
        <f t="shared" si="0"/>
        <v>40007_1</v>
      </c>
      <c r="D8" s="81" t="str">
        <f>VLOOKUP(C8,[2]stages!$A:$AE,31,FALSE)</f>
        <v>everyone</v>
      </c>
      <c r="E8" s="81">
        <v>7</v>
      </c>
      <c r="F8" s="81" t="s">
        <v>356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50</v>
      </c>
      <c r="Q8" s="81" t="s">
        <v>170</v>
      </c>
      <c r="R8" s="81" t="s">
        <v>171</v>
      </c>
    </row>
    <row r="9" spans="1:18" s="98" customFormat="1">
      <c r="A9" s="81">
        <v>40007</v>
      </c>
      <c r="B9" s="81">
        <v>1</v>
      </c>
      <c r="C9" s="81" t="str">
        <f t="shared" si="0"/>
        <v>40007_1</v>
      </c>
      <c r="D9" s="81" t="str">
        <f>VLOOKUP(C9,[2]stages!$A:$AE,31,FALSE)</f>
        <v>everyone</v>
      </c>
      <c r="E9" s="81">
        <v>8</v>
      </c>
      <c r="F9" s="81" t="s">
        <v>356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170</v>
      </c>
      <c r="R9" s="81" t="s">
        <v>171</v>
      </c>
    </row>
    <row r="10" spans="1:18" s="98" customFormat="1">
      <c r="A10" s="81">
        <v>40007</v>
      </c>
      <c r="B10" s="81">
        <v>1</v>
      </c>
      <c r="C10" s="81" t="str">
        <f t="shared" si="0"/>
        <v>40007_1</v>
      </c>
      <c r="D10" s="81" t="str">
        <f>VLOOKUP(C10,[2]stages!$A:$AE,31,FALSE)</f>
        <v>everyone</v>
      </c>
      <c r="E10" s="81">
        <v>9</v>
      </c>
      <c r="F10" s="81" t="s">
        <v>356</v>
      </c>
      <c r="G10" s="81">
        <v>490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250</v>
      </c>
      <c r="Q10" s="81" t="s">
        <v>170</v>
      </c>
      <c r="R10" s="81" t="s">
        <v>171</v>
      </c>
    </row>
    <row r="11" spans="1:18" s="98" customFormat="1">
      <c r="A11" s="81">
        <v>40007</v>
      </c>
      <c r="B11" s="81">
        <v>1</v>
      </c>
      <c r="C11" s="81" t="str">
        <f t="shared" si="0"/>
        <v>40007_1</v>
      </c>
      <c r="D11" s="81" t="str">
        <f>VLOOKUP(C11,[2]stages!$A:$AE,31,FALSE)</f>
        <v>everyone</v>
      </c>
      <c r="E11" s="81">
        <v>10</v>
      </c>
      <c r="F11" s="81" t="s">
        <v>356</v>
      </c>
      <c r="G11" s="81">
        <v>350</v>
      </c>
      <c r="H11" s="81">
        <v>1</v>
      </c>
      <c r="I11" s="81">
        <v>1</v>
      </c>
      <c r="J11" s="81">
        <v>1</v>
      </c>
      <c r="K11" s="81">
        <v>0</v>
      </c>
      <c r="L11" s="81">
        <v>0</v>
      </c>
      <c r="M11" s="81">
        <v>0</v>
      </c>
      <c r="N11" s="81">
        <v>0</v>
      </c>
      <c r="O11" s="81">
        <v>1</v>
      </c>
      <c r="P11" s="81">
        <v>150</v>
      </c>
      <c r="Q11" s="81" t="s">
        <v>170</v>
      </c>
      <c r="R11" s="81" t="s">
        <v>171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8" outlineLevelCol="1" x14ac:dyDescent="0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6" t="s">
        <v>183</v>
      </c>
      <c r="B1" s="72" t="s">
        <v>184</v>
      </c>
      <c r="C1" s="77" t="s">
        <v>185</v>
      </c>
      <c r="D1" s="77" t="s">
        <v>33</v>
      </c>
      <c r="E1" s="72" t="s">
        <v>186</v>
      </c>
      <c r="F1" s="77" t="s">
        <v>187</v>
      </c>
      <c r="G1" s="77" t="s">
        <v>33</v>
      </c>
      <c r="H1" s="72" t="s">
        <v>188</v>
      </c>
      <c r="I1" s="89" t="s">
        <v>189</v>
      </c>
      <c r="J1" s="91" t="s">
        <v>190</v>
      </c>
      <c r="K1" s="79" t="s">
        <v>127</v>
      </c>
      <c r="L1" s="78" t="s">
        <v>182</v>
      </c>
      <c r="M1" s="92" t="s">
        <v>181</v>
      </c>
      <c r="N1" s="80" t="s">
        <v>191</v>
      </c>
    </row>
    <row r="2" spans="1:14" ht="29">
      <c r="A2" s="81" t="s">
        <v>192</v>
      </c>
      <c r="B2" s="82">
        <v>40007</v>
      </c>
      <c r="C2" s="83" t="str">
        <f ca="1">VLOOKUP($B2,OFFSET([2]quests!$A$1,0,0,COUNTA([2]quests!$A:$A),MATCH(C$1,[2]quests!$1:$1,0)-MATCH($B$1,[2]quests!$1:$1,0)+1),MATCH(C$1,[2]quests!$1:$1,0)-MATCH($B$1,[2]quests!$1:$1,0)+1,FALSE)</f>
        <v>グリム襲来！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降臨7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降臨7</v>
      </c>
      <c r="H2" s="85">
        <v>0</v>
      </c>
      <c r="I2" s="90">
        <f>ROW()-1</f>
        <v>1</v>
      </c>
      <c r="J2" s="86" t="str">
        <f>B2&amp;TEXT(I2,"00")</f>
        <v>4000701</v>
      </c>
      <c r="K2" s="84" t="s">
        <v>193</v>
      </c>
      <c r="L2" s="87" t="s">
        <v>194</v>
      </c>
      <c r="M2" s="102" t="s">
        <v>398</v>
      </c>
      <c r="N2" s="57" t="s">
        <v>195</v>
      </c>
    </row>
    <row r="3" spans="1:14" ht="42">
      <c r="A3" s="81" t="s">
        <v>192</v>
      </c>
      <c r="B3" s="82">
        <v>40007</v>
      </c>
      <c r="C3" s="83" t="str">
        <f ca="1">VLOOKUP($B3,OFFSET([2]quests!$A$1,0,0,COUNTA([2]quests!$A:$A),MATCH(C$1,[2]quests!$1:$1,0)-MATCH($B$1,[2]quests!$1:$1,0)+1),MATCH(C$1,[2]quests!$1:$1,0)-MATCH($B$1,[2]quests!$1:$1,0)+1,FALSE)</f>
        <v>グリム襲来！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降臨7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降臨7</v>
      </c>
      <c r="H3" s="85">
        <v>1</v>
      </c>
      <c r="I3" s="90">
        <f t="shared" ref="I3:I7" si="0">ROW()-1</f>
        <v>2</v>
      </c>
      <c r="J3" s="86" t="str">
        <f t="shared" ref="J3:J6" si="1">B3&amp;TEXT(I3,"00")</f>
        <v>4000702</v>
      </c>
      <c r="K3" s="84" t="s">
        <v>193</v>
      </c>
      <c r="L3" s="87" t="s">
        <v>194</v>
      </c>
      <c r="M3" s="102" t="s">
        <v>399</v>
      </c>
      <c r="N3" s="57" t="s">
        <v>195</v>
      </c>
    </row>
    <row r="4" spans="1:14" ht="42">
      <c r="A4" s="81" t="s">
        <v>192</v>
      </c>
      <c r="B4" s="82">
        <v>40007</v>
      </c>
      <c r="C4" s="83" t="str">
        <f ca="1">VLOOKUP($B4,OFFSET([2]quests!$A$1,0,0,COUNTA([2]quests!$A:$A),MATCH(C$1,[2]quests!$1:$1,0)-MATCH($B$1,[2]quests!$1:$1,0)+1),MATCH(C$1,[2]quests!$1:$1,0)-MATCH($B$1,[2]quests!$1:$1,0)+1,FALSE)</f>
        <v>グリム襲来！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降臨7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降臨7</v>
      </c>
      <c r="H4" s="85">
        <v>2</v>
      </c>
      <c r="I4" s="90">
        <f t="shared" si="0"/>
        <v>3</v>
      </c>
      <c r="J4" s="86" t="str">
        <f t="shared" si="1"/>
        <v>4000703</v>
      </c>
      <c r="K4" s="84" t="s">
        <v>193</v>
      </c>
      <c r="L4" s="87" t="s">
        <v>194</v>
      </c>
      <c r="M4" s="102" t="s">
        <v>400</v>
      </c>
      <c r="N4" s="57" t="s">
        <v>195</v>
      </c>
    </row>
    <row r="5" spans="1:14" ht="42">
      <c r="A5" s="81" t="s">
        <v>192</v>
      </c>
      <c r="B5" s="82">
        <v>40007</v>
      </c>
      <c r="C5" s="83" t="str">
        <f ca="1">VLOOKUP($B5,OFFSET([2]quests!$A$1,0,0,COUNTA([2]quests!$A:$A),MATCH(C$1,[2]quests!$1:$1,0)-MATCH($B$1,[2]quests!$1:$1,0)+1),MATCH(C$1,[2]quests!$1:$1,0)-MATCH($B$1,[2]quests!$1:$1,0)+1,FALSE)</f>
        <v>グリム襲来！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降臨7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降臨7</v>
      </c>
      <c r="H5" s="85">
        <v>4</v>
      </c>
      <c r="I5" s="90">
        <f t="shared" si="0"/>
        <v>4</v>
      </c>
      <c r="J5" s="86" t="str">
        <f t="shared" si="1"/>
        <v>4000704</v>
      </c>
      <c r="K5" s="84" t="s">
        <v>193</v>
      </c>
      <c r="L5" s="87" t="s">
        <v>194</v>
      </c>
      <c r="M5" s="102" t="s">
        <v>401</v>
      </c>
      <c r="N5" s="57" t="s">
        <v>195</v>
      </c>
    </row>
    <row r="6" spans="1:14" ht="29">
      <c r="A6" s="81" t="s">
        <v>192</v>
      </c>
      <c r="B6" s="82">
        <v>40007</v>
      </c>
      <c r="C6" s="83" t="str">
        <f ca="1">VLOOKUP($B6,OFFSET([2]quests!$A$1,0,0,COUNTA([2]quests!$A:$A),MATCH(C$1,[2]quests!$1:$1,0)-MATCH($B$1,[2]quests!$1:$1,0)+1),MATCH(C$1,[2]quests!$1:$1,0)-MATCH($B$1,[2]quests!$1:$1,0)+1,FALSE)</f>
        <v>グリム襲来！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降臨7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降臨7</v>
      </c>
      <c r="H6" s="85">
        <v>5</v>
      </c>
      <c r="I6" s="90">
        <f t="shared" si="0"/>
        <v>5</v>
      </c>
      <c r="J6" s="86" t="str">
        <f t="shared" si="1"/>
        <v>4000705</v>
      </c>
      <c r="K6" s="84" t="s">
        <v>193</v>
      </c>
      <c r="L6" s="87" t="s">
        <v>194</v>
      </c>
      <c r="M6" s="102" t="s">
        <v>402</v>
      </c>
      <c r="N6" s="57" t="s">
        <v>195</v>
      </c>
    </row>
    <row r="7" spans="1:14" ht="42">
      <c r="A7" s="81" t="s">
        <v>192</v>
      </c>
      <c r="B7" s="82">
        <v>40007</v>
      </c>
      <c r="C7" s="83" t="str">
        <f ca="1">VLOOKUP($B7,OFFSET([2]quests!$A$1,0,0,COUNTA([2]quests!$A:$A),MATCH(C$1,[2]quests!$1:$1,0)-MATCH($B$1,[2]quests!$1:$1,0)+1),MATCH(C$1,[2]quests!$1:$1,0)-MATCH($B$1,[2]quests!$1:$1,0)+1,FALSE)</f>
        <v>グリム襲来！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降臨7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降臨7</v>
      </c>
      <c r="H7" s="85">
        <v>5</v>
      </c>
      <c r="I7" s="90">
        <f t="shared" si="0"/>
        <v>6</v>
      </c>
      <c r="J7" s="86" t="str">
        <f t="shared" ref="J7" si="2">B7&amp;TEXT(I7,"00")</f>
        <v>4000706</v>
      </c>
      <c r="K7" s="84" t="s">
        <v>193</v>
      </c>
      <c r="L7" s="87" t="s">
        <v>194</v>
      </c>
      <c r="M7" s="102" t="s">
        <v>404</v>
      </c>
      <c r="N7" s="57" t="s">
        <v>195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workbookViewId="0">
      <pane ySplit="1" topLeftCell="A2" activePane="bottomLeft" state="frozen"/>
      <selection pane="bottomLeft" activeCell="M18" sqref="M18"/>
    </sheetView>
  </sheetViews>
  <sheetFormatPr baseColWidth="12" defaultColWidth="13" defaultRowHeight="18" outlineLevelCol="1" x14ac:dyDescent="0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6" t="s">
        <v>183</v>
      </c>
      <c r="B1" s="72" t="s">
        <v>184</v>
      </c>
      <c r="C1" s="77" t="s">
        <v>185</v>
      </c>
      <c r="D1" s="77" t="s">
        <v>33</v>
      </c>
      <c r="E1" s="72" t="s">
        <v>186</v>
      </c>
      <c r="F1" s="77" t="s">
        <v>185</v>
      </c>
      <c r="G1" s="77" t="s">
        <v>33</v>
      </c>
      <c r="H1" s="72" t="s">
        <v>188</v>
      </c>
      <c r="I1" s="89" t="s">
        <v>189</v>
      </c>
      <c r="J1" s="91" t="s">
        <v>190</v>
      </c>
      <c r="K1" s="79" t="s">
        <v>127</v>
      </c>
      <c r="L1" s="78" t="s">
        <v>182</v>
      </c>
      <c r="M1" s="92" t="s">
        <v>181</v>
      </c>
      <c r="N1" s="80" t="s">
        <v>191</v>
      </c>
    </row>
    <row r="2" spans="1:14">
      <c r="A2" s="81" t="s">
        <v>196</v>
      </c>
      <c r="B2" s="82">
        <v>40007</v>
      </c>
      <c r="C2" s="83" t="str">
        <f ca="1">VLOOKUP($B2,OFFSET([2]quests!$A$1,0,0,COUNTA([2]quests!$A:$A),MATCH(C$1,[2]quests!$1:$1,0)-MATCH($B$1,[2]quests!$1:$1,0)+1),MATCH(C$1,[2]quests!$1:$1,0)-MATCH($B$1,[2]quests!$1:$1,0)+1,FALSE)</f>
        <v>グリム襲来！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降臨7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降臨7</v>
      </c>
      <c r="H2" s="85">
        <v>0</v>
      </c>
      <c r="I2" s="90">
        <f t="shared" ref="I2:I15" si="0">ROW()-1</f>
        <v>1</v>
      </c>
      <c r="J2">
        <v>12</v>
      </c>
      <c r="K2" s="84" t="s">
        <v>193</v>
      </c>
      <c r="L2" s="93" t="str">
        <f>VLOOKUP(J2,[7]stage_hints!$A:$C,3,FALSE)</f>
        <v>ユニットのお気に入り登録</v>
      </c>
      <c r="M2" s="94" t="str">
        <f>VLOOKUP(J2,[7]stage_hints!$A:$D,4,FALSE)</f>
        <v>大事なユニットを誤って消さないように_x000D_フォルダから「お気に入り登録」しましょう</v>
      </c>
      <c r="N2" s="57" t="s">
        <v>372</v>
      </c>
    </row>
    <row r="3" spans="1:14">
      <c r="A3" s="81" t="s">
        <v>196</v>
      </c>
      <c r="B3" s="82">
        <v>40007</v>
      </c>
      <c r="C3" s="83" t="str">
        <f ca="1">VLOOKUP($B3,OFFSET([2]quests!$A$1,0,0,COUNTA([2]quests!$A:$A),MATCH(C$1,[2]quests!$1:$1,0)-MATCH($B$1,[2]quests!$1:$1,0)+1),MATCH(C$1,[2]quests!$1:$1,0)-MATCH($B$1,[2]quests!$1:$1,0)+1,FALSE)</f>
        <v>グリム襲来！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降臨7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降臨7</v>
      </c>
      <c r="H3" s="85">
        <v>0</v>
      </c>
      <c r="I3" s="90">
        <f t="shared" si="0"/>
        <v>2</v>
      </c>
      <c r="J3">
        <v>17</v>
      </c>
      <c r="K3" s="84" t="s">
        <v>193</v>
      </c>
      <c r="L3" s="93" t="str">
        <f>VLOOKUP(J3,[7]stage_hints!$A:$C,3,FALSE)</f>
        <v>リンクガチャ</v>
      </c>
      <c r="M3" s="94" t="str">
        <f>VLOOKUP(J3,[7]stage_hints!$A:$D,4,FALSE)</f>
        <v>無料のリンクガチャを回して_x000D_経験値素材や売却素材を獲得しましょう</v>
      </c>
      <c r="N3" s="57" t="s">
        <v>372</v>
      </c>
    </row>
    <row r="4" spans="1:14">
      <c r="A4" s="81" t="s">
        <v>196</v>
      </c>
      <c r="B4" s="82">
        <v>40007</v>
      </c>
      <c r="C4" s="83" t="str">
        <f ca="1">VLOOKUP($B4,OFFSET([2]quests!$A$1,0,0,COUNTA([2]quests!$A:$A),MATCH(C$1,[2]quests!$1:$1,0)-MATCH($B$1,[2]quests!$1:$1,0)+1),MATCH(C$1,[2]quests!$1:$1,0)-MATCH($B$1,[2]quests!$1:$1,0)+1,FALSE)</f>
        <v>グリム襲来！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降臨7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降臨7</v>
      </c>
      <c r="H4" s="85">
        <v>0</v>
      </c>
      <c r="I4" s="90">
        <f t="shared" si="0"/>
        <v>3</v>
      </c>
      <c r="J4">
        <v>19</v>
      </c>
      <c r="K4" s="84" t="s">
        <v>193</v>
      </c>
      <c r="L4" s="93" t="str">
        <f>VLOOKUP(J4,[7]stage_hints!$A:$C,3,FALSE)</f>
        <v>ソロ専用チャレンジタワー</v>
      </c>
      <c r="M4" s="94" t="str">
        <f>VLOOKUP(J4,[7]stage_hints!$A:$D,4,FALSE)</f>
        <v>ソロ専用の「チャレンジタワー」では_x000D_各フロアごとにクリア報酬がもらえます</v>
      </c>
      <c r="N4" s="57" t="s">
        <v>372</v>
      </c>
    </row>
    <row r="5" spans="1:14">
      <c r="A5" s="81" t="s">
        <v>196</v>
      </c>
      <c r="B5" s="82">
        <v>40007</v>
      </c>
      <c r="C5" s="83" t="str">
        <f ca="1">VLOOKUP($B5,OFFSET([2]quests!$A$1,0,0,COUNTA([2]quests!$A:$A),MATCH(C$1,[2]quests!$1:$1,0)-MATCH($B$1,[2]quests!$1:$1,0)+1),MATCH(C$1,[2]quests!$1:$1,0)-MATCH($B$1,[2]quests!$1:$1,0)+1,FALSE)</f>
        <v>グリム襲来！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降臨7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降臨7</v>
      </c>
      <c r="H5" s="85">
        <v>0</v>
      </c>
      <c r="I5" s="90">
        <f t="shared" si="0"/>
        <v>4</v>
      </c>
      <c r="J5">
        <v>21</v>
      </c>
      <c r="K5" s="84" t="s">
        <v>193</v>
      </c>
      <c r="L5" s="93" t="str">
        <f>VLOOKUP(J5,[7]stage_hints!$A:$C,3,FALSE)</f>
        <v>スキルを有効に</v>
      </c>
      <c r="M5" s="94" t="str">
        <f>VLOOKUP(J5,[7]stage_hints!$A:$D,4,FALSE)</f>
        <v>ターン経過でユニットのスキルが使えます_x000D_強力スキルでバトルを有利に進めましょう</v>
      </c>
      <c r="N5" s="57" t="s">
        <v>372</v>
      </c>
    </row>
    <row r="6" spans="1:14">
      <c r="A6" s="81" t="s">
        <v>196</v>
      </c>
      <c r="B6" s="82">
        <v>40007</v>
      </c>
      <c r="C6" s="83" t="str">
        <f ca="1">VLOOKUP($B6,OFFSET([2]quests!$A$1,0,0,COUNTA([2]quests!$A:$A),MATCH(C$1,[2]quests!$1:$1,0)-MATCH($B$1,[2]quests!$1:$1,0)+1),MATCH(C$1,[2]quests!$1:$1,0)-MATCH($B$1,[2]quests!$1:$1,0)+1,FALSE)</f>
        <v>グリム襲来！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降臨7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降臨7</v>
      </c>
      <c r="H6" s="85">
        <v>0</v>
      </c>
      <c r="I6" s="90">
        <f t="shared" si="0"/>
        <v>5</v>
      </c>
      <c r="J6">
        <v>27</v>
      </c>
      <c r="K6" s="84" t="s">
        <v>193</v>
      </c>
      <c r="L6" s="93" t="str">
        <f>VLOOKUP(J6,[7]stage_hints!$A:$C,3,FALSE)</f>
        <v>ホーム画面からデッキを編成</v>
      </c>
      <c r="M6" s="94" t="str">
        <f>VLOOKUP(J6,[7]stage_hints!$A:$D,4,FALSE)</f>
        <v>ホーム画面でユニットを長押しすると_x000D_すぐにパーティ編成に移動できます</v>
      </c>
      <c r="N6" s="57" t="s">
        <v>372</v>
      </c>
    </row>
    <row r="7" spans="1:14">
      <c r="A7" s="81" t="s">
        <v>196</v>
      </c>
      <c r="B7" s="82">
        <v>40007</v>
      </c>
      <c r="C7" s="83" t="str">
        <f ca="1">VLOOKUP($B7,OFFSET([2]quests!$A$1,0,0,COUNTA([2]quests!$A:$A),MATCH(C$1,[2]quests!$1:$1,0)-MATCH($B$1,[2]quests!$1:$1,0)+1),MATCH(C$1,[2]quests!$1:$1,0)-MATCH($B$1,[2]quests!$1:$1,0)+1,FALSE)</f>
        <v>グリム襲来！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降臨7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降臨7</v>
      </c>
      <c r="H7" s="85">
        <v>0</v>
      </c>
      <c r="I7" s="90">
        <f t="shared" si="0"/>
        <v>6</v>
      </c>
      <c r="J7">
        <v>28</v>
      </c>
      <c r="K7" s="84" t="s">
        <v>193</v>
      </c>
      <c r="L7" s="93" t="str">
        <f>VLOOKUP(J7,[7]stage_hints!$A:$C,3,FALSE)</f>
        <v>ステータス情報は長押しで</v>
      </c>
      <c r="M7" s="94" t="str">
        <f>VLOOKUP(J7,[7]stage_hints!$A:$D,4,FALSE)</f>
        <v>ユニットのアイコンを長押しすると_x000D_ステータス情報を確認することができます</v>
      </c>
      <c r="N7" s="57" t="s">
        <v>372</v>
      </c>
    </row>
    <row r="8" spans="1:14">
      <c r="A8" s="81" t="s">
        <v>196</v>
      </c>
      <c r="B8" s="82">
        <v>40007</v>
      </c>
      <c r="C8" s="83" t="str">
        <f ca="1">VLOOKUP($B8,OFFSET([2]quests!$A$1,0,0,COUNTA([2]quests!$A:$A),MATCH(C$1,[2]quests!$1:$1,0)-MATCH($B$1,[2]quests!$1:$1,0)+1),MATCH(C$1,[2]quests!$1:$1,0)-MATCH($B$1,[2]quests!$1:$1,0)+1,FALSE)</f>
        <v>グリム襲来！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降臨7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降臨7</v>
      </c>
      <c r="H8" s="85">
        <v>0</v>
      </c>
      <c r="I8" s="90">
        <f t="shared" si="0"/>
        <v>7</v>
      </c>
      <c r="J8">
        <v>29</v>
      </c>
      <c r="K8" s="84" t="s">
        <v>193</v>
      </c>
      <c r="L8" s="93" t="str">
        <f>VLOOKUP(J8,[7]stage_hints!$A:$C,3,FALSE)</f>
        <v>「バグ」のメリット</v>
      </c>
      <c r="M8" s="94" t="str">
        <f>VLOOKUP(J8,[7]stage_hints!$A:$D,4,FALSE)</f>
        <v>ユニットの「バグ」を増やすと_x000D_報酬をもらえる確率がアップします</v>
      </c>
      <c r="N8" s="57" t="s">
        <v>372</v>
      </c>
    </row>
    <row r="9" spans="1:14">
      <c r="A9" s="81" t="s">
        <v>196</v>
      </c>
      <c r="B9" s="82">
        <v>40007</v>
      </c>
      <c r="C9" s="83" t="str">
        <f ca="1">VLOOKUP($B9,OFFSET([2]quests!$A$1,0,0,COUNTA([2]quests!$A:$A),MATCH(C$1,[2]quests!$1:$1,0)-MATCH($B$1,[2]quests!$1:$1,0)+1),MATCH(C$1,[2]quests!$1:$1,0)-MATCH($B$1,[2]quests!$1:$1,0)+1,FALSE)</f>
        <v>グリム襲来！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降臨7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降臨7</v>
      </c>
      <c r="H9" s="85">
        <v>0</v>
      </c>
      <c r="I9" s="90">
        <f t="shared" si="0"/>
        <v>8</v>
      </c>
      <c r="J9">
        <v>30</v>
      </c>
      <c r="K9" s="84" t="s">
        <v>193</v>
      </c>
      <c r="L9" s="93" t="str">
        <f>VLOOKUP(J9,[7]stage_hints!$A:$C,3,FALSE)</f>
        <v>「バグ」の増やし方</v>
      </c>
      <c r="M9" s="94" t="str">
        <f>VLOOKUP(J9,[7]stage_hints!$A:$D,4,FALSE)</f>
        <v>同じユニット同士を強化で合成すると_x000D_「バグ」を増やすことができます</v>
      </c>
      <c r="N9" s="57" t="s">
        <v>372</v>
      </c>
    </row>
    <row r="10" spans="1:14">
      <c r="A10" s="81" t="s">
        <v>196</v>
      </c>
      <c r="B10" s="82">
        <v>40007</v>
      </c>
      <c r="C10" s="83" t="str">
        <f ca="1">VLOOKUP($B10,OFFSET([2]quests!$A$1,0,0,COUNTA([2]quests!$A:$A),MATCH(C$1,[2]quests!$1:$1,0)-MATCH($B$1,[2]quests!$1:$1,0)+1),MATCH(C$1,[2]quests!$1:$1,0)-MATCH($B$1,[2]quests!$1:$1,0)+1,FALSE)</f>
        <v>グリム襲来！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降臨7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降臨7</v>
      </c>
      <c r="H10" s="85">
        <v>0</v>
      </c>
      <c r="I10" s="90">
        <f t="shared" si="0"/>
        <v>9</v>
      </c>
      <c r="J10">
        <v>32</v>
      </c>
      <c r="K10" s="84" t="s">
        <v>193</v>
      </c>
      <c r="L10" s="93" t="str">
        <f>VLOOKUP(J10,[7]stage_hints!$A:$C,3,FALSE)</f>
        <v>敵の連続攻撃には</v>
      </c>
      <c r="M10" s="94" t="str">
        <f>VLOOKUP(J10,[7]stage_hints!$A:$D,4,FALSE)</f>
        <v>カウンタースキルを持つユニットがいれば_x000D_ダメージ回数分の反撃ができます</v>
      </c>
      <c r="N10" s="57" t="s">
        <v>372</v>
      </c>
    </row>
    <row r="11" spans="1:14">
      <c r="A11" s="81" t="s">
        <v>196</v>
      </c>
      <c r="B11" s="82">
        <v>40007</v>
      </c>
      <c r="C11" s="83" t="str">
        <f ca="1">VLOOKUP($B11,OFFSET([2]quests!$A$1,0,0,COUNTA([2]quests!$A:$A),MATCH(C$1,[2]quests!$1:$1,0)-MATCH($B$1,[2]quests!$1:$1,0)+1),MATCH(C$1,[2]quests!$1:$1,0)-MATCH($B$1,[2]quests!$1:$1,0)+1,FALSE)</f>
        <v>グリム襲来！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降臨7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降臨7</v>
      </c>
      <c r="H11" s="85">
        <v>0</v>
      </c>
      <c r="I11" s="90">
        <f t="shared" si="0"/>
        <v>10</v>
      </c>
      <c r="J11">
        <v>33</v>
      </c>
      <c r="K11" s="84" t="s">
        <v>193</v>
      </c>
      <c r="L11" s="93" t="str">
        <f>VLOOKUP(J11,[7]stage_hints!$A:$C,3,FALSE)</f>
        <v>敵のカウンター攻撃には</v>
      </c>
      <c r="M11" s="94" t="str">
        <f>VLOOKUP(J11,[7]stage_hints!$A:$D,4,FALSE)</f>
        <v>カウンターブレイクスキルを持っていれば_x000D_敵のカウンターを解除して攻撃ができます</v>
      </c>
      <c r="N11" s="57" t="s">
        <v>372</v>
      </c>
    </row>
    <row r="12" spans="1:14">
      <c r="A12" s="81" t="s">
        <v>196</v>
      </c>
      <c r="B12" s="82">
        <v>40007</v>
      </c>
      <c r="C12" s="83" t="str">
        <f ca="1">VLOOKUP($B12,OFFSET([2]quests!$A$1,0,0,COUNTA([2]quests!$A:$A),MATCH(C$1,[2]quests!$1:$1,0)-MATCH($B$1,[2]quests!$1:$1,0)+1),MATCH(C$1,[2]quests!$1:$1,0)-MATCH($B$1,[2]quests!$1:$1,0)+1,FALSE)</f>
        <v>グリム襲来！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降臨7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降臨7</v>
      </c>
      <c r="H12" s="85">
        <v>0</v>
      </c>
      <c r="I12" s="90">
        <f t="shared" si="0"/>
        <v>11</v>
      </c>
      <c r="J12">
        <v>34</v>
      </c>
      <c r="K12" s="84" t="s">
        <v>193</v>
      </c>
      <c r="L12" s="93" t="str">
        <f>VLOOKUP(J12,[7]stage_hints!$A:$C,3,FALSE)</f>
        <v>ステータスをスキルで下げられたら</v>
      </c>
      <c r="M12" s="94" t="str">
        <f>VLOOKUP(J12,[7]stage_hints!$A:$D,4,FALSE)</f>
        <v>ステータスダウンのスキルを受けたら_x000D_ステータスアップスキルで上書きしましょう</v>
      </c>
      <c r="N12" s="57" t="s">
        <v>372</v>
      </c>
    </row>
    <row r="13" spans="1:14">
      <c r="A13" s="81" t="s">
        <v>196</v>
      </c>
      <c r="B13" s="82">
        <v>40007</v>
      </c>
      <c r="C13" s="83" t="str">
        <f ca="1">VLOOKUP($B13,OFFSET([2]quests!$A$1,0,0,COUNTA([2]quests!$A:$A),MATCH(C$1,[2]quests!$1:$1,0)-MATCH($B$1,[2]quests!$1:$1,0)+1),MATCH(C$1,[2]quests!$1:$1,0)-MATCH($B$1,[2]quests!$1:$1,0)+1,FALSE)</f>
        <v>グリム襲来！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降臨7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降臨7</v>
      </c>
      <c r="H13" s="85">
        <v>0</v>
      </c>
      <c r="I13" s="90">
        <f t="shared" si="0"/>
        <v>12</v>
      </c>
      <c r="J13">
        <v>35</v>
      </c>
      <c r="K13" s="84" t="s">
        <v>193</v>
      </c>
      <c r="L13" s="93" t="str">
        <f>VLOOKUP(J13,[7]stage_hints!$A:$C,3,FALSE)</f>
        <v>敵のステータスがスキルで上がったら</v>
      </c>
      <c r="M13" s="94" t="str">
        <f>VLOOKUP(J13,[7]stage_hints!$A:$D,4,FALSE)</f>
        <v>敵のステータスがスキルでアップしたときは_x000D_ステータスダウンスキルで上書きしましょう</v>
      </c>
      <c r="N13" s="57" t="s">
        <v>372</v>
      </c>
    </row>
    <row r="14" spans="1:14">
      <c r="A14" s="81" t="s">
        <v>196</v>
      </c>
      <c r="B14" s="82">
        <v>40007</v>
      </c>
      <c r="C14" s="83" t="str">
        <f ca="1">VLOOKUP($B14,OFFSET([2]quests!$A$1,0,0,COUNTA([2]quests!$A:$A),MATCH(C$1,[2]quests!$1:$1,0)-MATCH($B$1,[2]quests!$1:$1,0)+1),MATCH(C$1,[2]quests!$1:$1,0)-MATCH($B$1,[2]quests!$1:$1,0)+1,FALSE)</f>
        <v>グリム襲来！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降臨7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降臨7</v>
      </c>
      <c r="H14" s="85">
        <v>0</v>
      </c>
      <c r="I14" s="90">
        <f t="shared" si="0"/>
        <v>13</v>
      </c>
      <c r="J14">
        <v>36</v>
      </c>
      <c r="K14" s="84" t="s">
        <v>193</v>
      </c>
      <c r="L14" s="93" t="str">
        <f>VLOOKUP(J14,[7]stage_hints!$A:$C,3,FALSE)</f>
        <v>チャレンジタワーのボス</v>
      </c>
      <c r="M14" s="94" t="str">
        <f>VLOOKUP(J14,[7]stage_hints!$A:$D,4,FALSE)</f>
        <v>チャレンジタワーでのみ登場するボスは_x000D_一定確率で獲得することができます</v>
      </c>
      <c r="N14" s="57" t="s">
        <v>372</v>
      </c>
    </row>
    <row r="15" spans="1:14">
      <c r="A15" s="81" t="s">
        <v>196</v>
      </c>
      <c r="B15" s="82">
        <v>40007</v>
      </c>
      <c r="C15" s="83" t="str">
        <f ca="1">VLOOKUP($B15,OFFSET([2]quests!$A$1,0,0,COUNTA([2]quests!$A:$A),MATCH(C$1,[2]quests!$1:$1,0)-MATCH($B$1,[2]quests!$1:$1,0)+1),MATCH(C$1,[2]quests!$1:$1,0)-MATCH($B$1,[2]quests!$1:$1,0)+1,FALSE)</f>
        <v>グリム襲来！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降臨7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 xml:space="preserve">【ウィザード級】グリム襲来 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降臨7</v>
      </c>
      <c r="H15" s="85">
        <v>0</v>
      </c>
      <c r="I15" s="90">
        <f t="shared" si="0"/>
        <v>14</v>
      </c>
      <c r="J15">
        <v>37</v>
      </c>
      <c r="K15" s="84" t="s">
        <v>193</v>
      </c>
      <c r="L15" s="93" t="str">
        <f>VLOOKUP(J15,[7]stage_hints!$A:$C,3,FALSE)</f>
        <v>限界突破値の引き継ぎ</v>
      </c>
      <c r="M15" s="94" t="str">
        <f>VLOOKUP(J15,[7]stage_hints!$A:$D,4,FALSE)</f>
        <v>同じユニットを強化で合成すると_x000D_限界突破値を引き継げます（覚醒前後も可）</v>
      </c>
      <c r="N15" s="57" t="s">
        <v>372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stage_hints_failure</vt:lpstr>
      <vt:lpstr>stage_hints_complete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2016-02-19T14:10:30Z</dcterms:modified>
</cp:coreProperties>
</file>