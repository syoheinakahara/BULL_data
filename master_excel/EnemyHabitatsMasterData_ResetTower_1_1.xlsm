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62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enemy_habitats!$B$1:$AJ$4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G18" i="10"/>
  <c r="J18" i="10"/>
  <c r="I18" i="10"/>
  <c r="K18" i="10"/>
  <c r="H18" i="10"/>
  <c r="L18" i="10"/>
  <c r="T5" i="1"/>
  <c r="G8" i="10"/>
  <c r="J8" i="10"/>
  <c r="I8" i="10"/>
  <c r="K8" i="10"/>
  <c r="H8" i="10"/>
  <c r="L8" i="10"/>
  <c r="G17" i="10"/>
  <c r="J17" i="10"/>
  <c r="I17" i="10"/>
  <c r="K17" i="10"/>
  <c r="H17" i="10"/>
  <c r="L17" i="10"/>
  <c r="M7" i="1"/>
  <c r="M3" i="1"/>
  <c r="M4" i="1"/>
  <c r="G2" i="9"/>
  <c r="H2" i="9"/>
  <c r="I2" i="9"/>
  <c r="J2" i="9"/>
  <c r="K2" i="9"/>
  <c r="L2" i="9"/>
  <c r="M2" i="9"/>
  <c r="N2" i="9"/>
  <c r="J2" i="11"/>
  <c r="O2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D2" i="9"/>
  <c r="E2" i="9"/>
  <c r="D3" i="9"/>
  <c r="E3" i="9"/>
  <c r="D4" i="9"/>
  <c r="E4" i="9"/>
  <c r="D5" i="9"/>
  <c r="E5" i="9"/>
  <c r="D6" i="9"/>
  <c r="E6" i="9"/>
  <c r="D7" i="9"/>
  <c r="E7" i="9"/>
  <c r="A2" i="9"/>
  <c r="A3" i="9"/>
  <c r="A4" i="9"/>
  <c r="A5" i="9"/>
  <c r="A6" i="9"/>
  <c r="A7" i="9"/>
  <c r="A8" i="9"/>
  <c r="A9" i="9"/>
  <c r="A10" i="9"/>
  <c r="AC2" i="1"/>
  <c r="A2" i="1"/>
  <c r="G4" i="2"/>
  <c r="H4" i="2"/>
  <c r="E4" i="2"/>
  <c r="D4" i="2"/>
  <c r="A4" i="2"/>
  <c r="H2" i="1"/>
  <c r="H3" i="1"/>
  <c r="H4" i="1"/>
  <c r="H5" i="1"/>
  <c r="H6" i="1"/>
  <c r="H7" i="1"/>
  <c r="B4" i="2"/>
  <c r="X2" i="1"/>
  <c r="E8" i="9"/>
  <c r="X4" i="1"/>
  <c r="E9" i="9"/>
  <c r="X5" i="1"/>
  <c r="E16" i="9"/>
  <c r="X6" i="1"/>
  <c r="E17" i="9"/>
  <c r="X7" i="1"/>
  <c r="X3" i="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D3" i="1"/>
  <c r="AF3" i="1"/>
  <c r="AI3" i="1"/>
  <c r="AG3" i="1"/>
  <c r="AE3" i="1"/>
  <c r="AC3" i="1"/>
  <c r="V3" i="1"/>
  <c r="T3" i="1"/>
  <c r="Q3" i="1"/>
  <c r="P3" i="1"/>
  <c r="O3" i="1"/>
  <c r="N3" i="1"/>
  <c r="J3" i="1"/>
  <c r="I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J2" i="1"/>
  <c r="I2" i="1"/>
  <c r="D2" i="1"/>
  <c r="F2" i="1"/>
  <c r="E2" i="1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C6" i="18"/>
  <c r="D6" i="18"/>
  <c r="G2" i="21"/>
  <c r="F2" i="21"/>
  <c r="D2" i="21"/>
  <c r="C2" i="21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G9" i="10"/>
  <c r="J9" i="10"/>
  <c r="I9" i="10"/>
  <c r="K9" i="10"/>
  <c r="H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J10" i="10"/>
  <c r="I10" i="10"/>
  <c r="K10" i="10"/>
  <c r="H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J11" i="10"/>
  <c r="I11" i="10"/>
  <c r="K11" i="10"/>
  <c r="H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J12" i="10"/>
  <c r="I12" i="10"/>
  <c r="K12" i="10"/>
  <c r="H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J13" i="10"/>
  <c r="I13" i="10"/>
  <c r="K13" i="10"/>
  <c r="H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J15" i="10"/>
  <c r="I15" i="10"/>
  <c r="K15" i="10"/>
  <c r="H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J16" i="10"/>
  <c r="I16" i="10"/>
  <c r="K16" i="10"/>
  <c r="H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J19" i="10"/>
  <c r="I19" i="10"/>
  <c r="K19" i="10"/>
  <c r="H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J20" i="10"/>
  <c r="I20" i="10"/>
  <c r="K20" i="10"/>
  <c r="H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J21" i="10"/>
  <c r="I21" i="10"/>
  <c r="K21" i="10"/>
  <c r="H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J22" i="10"/>
  <c r="I22" i="10"/>
  <c r="K22" i="10"/>
  <c r="H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J23" i="10"/>
  <c r="I23" i="10"/>
  <c r="K23" i="10"/>
  <c r="H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J24" i="10"/>
  <c r="I24" i="10"/>
  <c r="K24" i="10"/>
  <c r="H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A17" i="9"/>
  <c r="D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C5" i="18"/>
  <c r="D5" i="18"/>
  <c r="C4" i="18"/>
  <c r="D4" i="18"/>
  <c r="C3" i="18"/>
  <c r="D3" i="18"/>
  <c r="C2" i="18"/>
  <c r="D2" i="18"/>
  <c r="N3" i="22"/>
  <c r="N2" i="22"/>
  <c r="A2" i="22"/>
  <c r="J16" i="11"/>
  <c r="O16" i="9"/>
  <c r="N16" i="9"/>
  <c r="M16" i="9"/>
  <c r="L16" i="9"/>
  <c r="K16" i="9"/>
  <c r="J16" i="9"/>
  <c r="I16" i="9"/>
  <c r="H16" i="9"/>
  <c r="G16" i="9"/>
  <c r="D16" i="9"/>
  <c r="J15" i="11"/>
  <c r="O15" i="9"/>
  <c r="N15" i="9"/>
  <c r="M15" i="9"/>
  <c r="L15" i="9"/>
  <c r="K15" i="9"/>
  <c r="J15" i="9"/>
  <c r="I15" i="9"/>
  <c r="H15" i="9"/>
  <c r="G15" i="9"/>
  <c r="E15" i="9"/>
  <c r="D15" i="9"/>
  <c r="J14" i="11"/>
  <c r="O14" i="9"/>
  <c r="N14" i="9"/>
  <c r="M14" i="9"/>
  <c r="L14" i="9"/>
  <c r="K14" i="9"/>
  <c r="J14" i="9"/>
  <c r="I14" i="9"/>
  <c r="H14" i="9"/>
  <c r="G14" i="9"/>
  <c r="E14" i="9"/>
  <c r="D14" i="9"/>
  <c r="J13" i="11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E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J9" i="11"/>
  <c r="O9" i="9"/>
  <c r="N9" i="9"/>
  <c r="M9" i="9"/>
  <c r="L9" i="9"/>
  <c r="K9" i="9"/>
  <c r="J9" i="9"/>
  <c r="I9" i="9"/>
  <c r="H9" i="9"/>
  <c r="G9" i="9"/>
  <c r="D9" i="9"/>
  <c r="D8" i="9"/>
  <c r="A16" i="9"/>
  <c r="A15" i="9"/>
  <c r="A14" i="9"/>
  <c r="A13" i="9"/>
  <c r="A12" i="9"/>
  <c r="A11" i="9"/>
  <c r="G3" i="2"/>
  <c r="H3" i="2"/>
  <c r="E3" i="2"/>
  <c r="D3" i="2"/>
  <c r="A3" i="2"/>
  <c r="B3" i="2"/>
  <c r="AD7" i="1"/>
  <c r="AF7" i="1"/>
  <c r="AI7" i="1"/>
  <c r="AG7" i="1"/>
  <c r="AE7" i="1"/>
  <c r="V7" i="1"/>
  <c r="T7" i="1"/>
  <c r="Q7" i="1"/>
  <c r="P7" i="1"/>
  <c r="O7" i="1"/>
  <c r="N7" i="1"/>
  <c r="G2" i="2"/>
  <c r="A2" i="2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J6" i="1"/>
  <c r="I6" i="1"/>
  <c r="D6" i="1"/>
  <c r="F6" i="1"/>
  <c r="E6" i="1"/>
  <c r="A6" i="1"/>
  <c r="V5" i="1"/>
  <c r="V4" i="1"/>
  <c r="T4" i="1"/>
  <c r="G3" i="22"/>
  <c r="F3" i="22"/>
  <c r="D3" i="22"/>
  <c r="C3" i="22"/>
  <c r="A3" i="22"/>
  <c r="E13" i="16"/>
  <c r="G2" i="22"/>
  <c r="F2" i="22"/>
  <c r="D2" i="22"/>
  <c r="C2" i="22"/>
  <c r="E12" i="16"/>
  <c r="E11" i="16"/>
  <c r="E10" i="16"/>
  <c r="E9" i="16"/>
  <c r="AD5" i="1"/>
  <c r="AG5" i="1"/>
  <c r="AF5" i="1"/>
  <c r="AE5" i="1"/>
  <c r="AD4" i="1"/>
  <c r="AG4" i="1"/>
  <c r="AF4" i="1"/>
  <c r="AE4" i="1"/>
  <c r="Q5" i="1"/>
  <c r="P5" i="1"/>
  <c r="O5" i="1"/>
  <c r="N5" i="1"/>
  <c r="M5" i="1"/>
  <c r="Q4" i="1"/>
  <c r="P4" i="1"/>
  <c r="O4" i="1"/>
  <c r="N4" i="1"/>
  <c r="M8" i="10"/>
  <c r="T8" i="10"/>
  <c r="V8" i="10"/>
  <c r="N8" i="10"/>
  <c r="P8" i="10"/>
  <c r="X8" i="10"/>
  <c r="W8" i="10"/>
  <c r="U8" i="10"/>
  <c r="Y8" i="10"/>
  <c r="R8" i="10"/>
  <c r="Q8" i="10"/>
  <c r="O8" i="10"/>
  <c r="S8" i="10"/>
  <c r="AI4" i="1"/>
  <c r="E8" i="16"/>
  <c r="E7" i="16"/>
  <c r="E6" i="16"/>
  <c r="E5" i="16"/>
  <c r="E4" i="16"/>
  <c r="E3" i="16"/>
  <c r="E2" i="16"/>
  <c r="A5" i="1"/>
  <c r="A4" i="1"/>
  <c r="AI5" i="1"/>
  <c r="J5" i="1"/>
  <c r="I5" i="1"/>
  <c r="D5" i="1"/>
  <c r="F5" i="1"/>
  <c r="E5" i="1"/>
  <c r="J4" i="1"/>
  <c r="I4" i="1"/>
  <c r="D2" i="2"/>
  <c r="E2" i="2"/>
  <c r="H2" i="2"/>
  <c r="D4" i="1"/>
  <c r="E4" i="1"/>
  <c r="F4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<sst xmlns="http://schemas.openxmlformats.org/spreadsheetml/2006/main" count="747" uniqueCount="372">
  <si>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</si>
  <si>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</si>
  <si>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</si>
  <si>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</si>
  <si>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</si>
  <si>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</si>
  <si>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</si>
  <si>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</si>
  <si>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</si>
  <si>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</si>
  <si>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</si>
  <si>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</si>
  <si>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</si>
  <si>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</si>
  <si>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</si>
  <si>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</si>
  <si>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</si>
  <si>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</si>
  <si>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</si>
  <si>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</si>
  <si>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</si>
  <si>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</si>
  <si>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</si>
  <si>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</si>
  <si>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</si>
  <si>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</si>
  <si>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</si>
  <si>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</si>
  <si>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</si>
  <si>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</si>
  <si>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</si>
  <si>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</si>
  <si>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</si>
  <si>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</si>
  <si>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</si>
  <si>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</si>
  <si>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</si>
  <si>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</si>
  <si>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</si>
  <si>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</si>
  <si>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</si>
  <si>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</si>
  <si>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</si>
  <si>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</si>
  <si>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</si>
  <si>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</si>
  <si>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</si>
  <si>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</si>
  <si>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</si>
  <si>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</si>
  <si>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</si>
  <si>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</si>
  <si>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</si>
  <si>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</si>
  <si>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</si>
  <si>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</si>
  <si>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</si>
  <si>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</si>
  <si>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</si>
  <si>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</si>
  <si>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</si>
  <si>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</si>
  <si>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</si>
  <si>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</si>
  <si>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</si>
  <si>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</si>
  <si>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</si>
  <si>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</si>
  <si>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</si>
  <si>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</si>
  <si>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</si>
  <si>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</si>
  <si>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</si>
  <si>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</si>
  <si>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</si>
  <si>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</si>
  <si>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</si>
  <si>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</si>
  <si>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</si>
  <si>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</si>
  <si>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</si>
  <si>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</si>
  <si>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</si>
  <si>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</si>
  <si>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</si>
  <si>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</si>
  <si>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</si>
  <si>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</si>
  <si>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</si>
  <si>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</si>
  <si>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</si>
  <si>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</si>
  <si>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</si>
  <si>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</si>
  <si>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</si>
  <si>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</si>
  <si>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</si>
  <si>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</si>
  <si>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</si>
  <si>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</si>
  <si>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</si>
  <si>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</si>
  <si>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</si>
  <si>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</si>
  <si>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</si>
  <si>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</si>
  <si>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</si>
  <si>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</si>
  <si>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</si>
  <si>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</si>
  <si>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</si>
  <si>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</si>
  <si>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</si>
  <si>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</si>
  <si>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</si>
  <si>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</si>
  <si>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</si>
  <si>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</si>
  <si>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</si>
  <si>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</si>
  <si>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</si>
  <si>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</si>
  <si>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</si>
  <si>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</si>
  <si>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</si>
  <si>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</si>
  <si>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</si>
  <si>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</si>
  <si>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</si>
  <si>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</si>
  <si>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</si>
  <si>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</si>
  <si>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</si>
  <si>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</si>
  <si>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</si>
  <si>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</si>
  <si>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</si>
  <si>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</si>
  <si>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</si>
  <si>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</si>
  <si>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</si>
  <si>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</si>
  <si>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</si>
  <si>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</si>
  <si>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</si>
  <si>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</si>
  <si>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</si>
  <si>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</si>
  <si>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</si>
  <si>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</si>
  <si>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</si>
  <si>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</si>
  <si>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</si>
  <si>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</si>
  <si>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</si>
  <si>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</si>
  <si>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</si>
  <si>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</si>
  <si>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</si>
  <si>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</si>
  <si>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</si>
  <si>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</si>
  <si>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</si>
  <si>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</si>
  <si>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</si>
  <si>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</si>
  <si>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</si>
  <si>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</si>
  <si>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</si>
  <si>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</si>
  <si>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</si>
  <si>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</si>
  <si>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</si>
  <si>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</si>
  <si>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</si>
  <si>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</si>
  <si>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</si>
  <si>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</si>
  <si>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</si>
  <si>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</si>
  <si>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</si>
  <si>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</si>
  <si>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</si>
  <si>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</si>
  <si>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</si>
  <si>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</si>
  <si>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</si>
  <si>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</si>
  <si>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</si>
  <si>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</si>
  <si>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</si>
  <si>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</si>
  <si>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</si>
  <si>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</si>
  <si>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</si>
  <si>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</si>
  <si>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</si>
  <si>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</si>
  <si>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</si>
  <si>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</si>
  <si>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</si>
  <si>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</si>
  <si>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</si>
  <si>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</si>
  <si>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</si>
  <si>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</si>
  <si>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</si>
  <si>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</si>
  <si>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</si>
  <si>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</si>
  <si>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</si>
  <si>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</si>
  <si>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</si>
  <si>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</si>
  <si>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</si>
  <si>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</si>
  <si>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</si>
  <si>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</si>
  <si>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</si>
  <si>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</si>
  <si>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</si>
  <si>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</si>
  <si>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</si>
  <si>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</si>
  <si>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</si>
  <si>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</si>
  <si>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</si>
  <si>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</si>
  <si>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</si>
  <si>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</si>
  <si>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</si>
  <si>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</si>
  <si>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</si>
  <si>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</si>
  <si>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</si>
  <si>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</si>
  <si>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</si>
  <si>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</si>
  <si>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</si>
  <si>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</si>
  <si>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</si>
  <si>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</si>
  <si>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</si>
  <si>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</si>
  <si>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</si>
  <si>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</si>
  <si>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</si>
  <si>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</si>
  <si>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</si>
  <si>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</si>
  <si>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old</t>
  </si>
  <si>
    <t>singleonly</t>
    <phoneticPr fontId="5"/>
  </si>
  <si>
    <t>bit</t>
    <phoneticPr fontId="5"/>
  </si>
  <si>
    <t>null</t>
    <phoneticPr fontId="5"/>
  </si>
  <si>
    <t>テスラ</t>
    <phoneticPr fontId="5"/>
  </si>
  <si>
    <t>ゴーテル</t>
    <phoneticPr fontId="5"/>
  </si>
  <si>
    <t>ゴーテル</t>
    <phoneticPr fontId="5"/>
  </si>
  <si>
    <t>テスラ</t>
    <phoneticPr fontId="5"/>
  </si>
  <si>
    <t>アナス</t>
    <phoneticPr fontId="5"/>
  </si>
  <si>
    <t>森蘭丸</t>
    <phoneticPr fontId="5"/>
  </si>
  <si>
    <t>アナス</t>
    <phoneticPr fontId="5"/>
  </si>
  <si>
    <t>森蘭丸</t>
    <phoneticPr fontId="5"/>
  </si>
  <si>
    <t>森蘭丸</t>
    <phoneticPr fontId="5"/>
  </si>
  <si>
    <t>赤パネルを赤時限式ダメージパネルに変換</t>
    <phoneticPr fontId="5"/>
  </si>
  <si>
    <t>青パネルを青時限式ダメージパネルに変換</t>
    <phoneticPr fontId="5"/>
  </si>
  <si>
    <t>緑パネルを緑時限式ダメージパネルに変換</t>
    <phoneticPr fontId="5"/>
  </si>
  <si>
    <t>即死攻撃</t>
    <phoneticPr fontId="5"/>
  </si>
  <si>
    <t>アナス</t>
    <phoneticPr fontId="5"/>
  </si>
  <si>
    <t>時間だな！</t>
    <phoneticPr fontId="5"/>
  </si>
  <si>
    <t>封印・赤</t>
    <phoneticPr fontId="5"/>
  </si>
  <si>
    <t>封印・緑</t>
    <phoneticPr fontId="5"/>
  </si>
  <si>
    <t>封印・黄</t>
    <phoneticPr fontId="5"/>
  </si>
  <si>
    <t>テスラ</t>
    <phoneticPr fontId="5"/>
  </si>
  <si>
    <t>アナス</t>
    <phoneticPr fontId="5"/>
  </si>
  <si>
    <t>電磁力・赤</t>
    <phoneticPr fontId="5"/>
  </si>
  <si>
    <t>電磁力・緑</t>
    <phoneticPr fontId="5"/>
  </si>
  <si>
    <t>電磁力・青</t>
    <phoneticPr fontId="5"/>
  </si>
  <si>
    <t>アナス</t>
    <phoneticPr fontId="5"/>
  </si>
  <si>
    <t>NULL</t>
    <phoneticPr fontId="5"/>
  </si>
  <si>
    <t>お邪魔パネルや
時限式ダメージパネルは
フィーバーを使えば
一気に消せます</t>
    <phoneticPr fontId="5"/>
  </si>
  <si>
    <t>お邪魔パネルや
時限式ダメージパネルは
フィーバーを使えば
一気に消せます</t>
    <phoneticPr fontId="5"/>
  </si>
  <si>
    <t>お邪魔パネルに対抗できる
スキルやアビリティをもつユニットで
挑むと攻略しやすいでしょう</t>
    <phoneticPr fontId="5"/>
  </si>
  <si>
    <t>時限式ダメージパネルに対抗できる
スキルやアビリティをもつユニットで
挑むと攻略しやすいでしょう</t>
    <phoneticPr fontId="5"/>
  </si>
  <si>
    <t>ja</t>
    <phoneticPr fontId="5"/>
  </si>
  <si>
    <t>ウィッチオクトパスは
緑と赤属性に大ダメージの
全体攻撃を行います
パーティ編成に注意しましょう</t>
    <phoneticPr fontId="5"/>
  </si>
  <si>
    <t>null</t>
    <phoneticPr fontId="5"/>
  </si>
  <si>
    <t>大渦巻き</t>
    <phoneticPr fontId="5"/>
  </si>
  <si>
    <t>モーターパンチ</t>
    <phoneticPr fontId="5"/>
  </si>
  <si>
    <t>単体攻撃</t>
    <phoneticPr fontId="5"/>
  </si>
  <si>
    <t>ネルソン</t>
    <phoneticPr fontId="5"/>
  </si>
  <si>
    <t>オクト</t>
    <phoneticPr fontId="5"/>
  </si>
  <si>
    <t>ja</t>
    <phoneticPr fontId="5"/>
  </si>
  <si>
    <t>赤属性に大ダメージの全体攻撃</t>
    <phoneticPr fontId="5"/>
  </si>
  <si>
    <t>真っ赤な触手</t>
    <phoneticPr fontId="5"/>
  </si>
  <si>
    <t>緑属性に大ダメージの全体攻撃</t>
    <phoneticPr fontId="5"/>
  </si>
  <si>
    <t>5ターンの間攻撃頻度アップ</t>
    <phoneticPr fontId="5"/>
  </si>
  <si>
    <t>ネルソン</t>
    <phoneticPr fontId="5"/>
  </si>
  <si>
    <t>状態異常耐性</t>
    <phoneticPr fontId="5"/>
  </si>
  <si>
    <t>状態異常耐性</t>
    <phoneticPr fontId="5"/>
  </si>
  <si>
    <t>みっ、みなぎる力が止まらない</t>
    <phoneticPr fontId="5"/>
  </si>
  <si>
    <t>なんだか面白くなってきたぁ！</t>
    <phoneticPr fontId="5"/>
  </si>
  <si>
    <t>時間だな！</t>
    <phoneticPr fontId="5"/>
  </si>
  <si>
    <t>分解されちゃえ！</t>
    <phoneticPr fontId="5"/>
  </si>
  <si>
    <t>オクト</t>
    <phoneticPr fontId="5"/>
  </si>
  <si>
    <t>オクト</t>
    <phoneticPr fontId="5"/>
  </si>
  <si>
    <t>ネルソン</t>
    <phoneticPr fontId="5"/>
  </si>
  <si>
    <t>なんだか様子がおかしい…</t>
    <phoneticPr fontId="5"/>
  </si>
  <si>
    <t>たましいが抜けているようだ…</t>
    <phoneticPr fontId="5"/>
  </si>
  <si>
    <t>封印・青</t>
    <phoneticPr fontId="5"/>
  </si>
  <si>
    <t>加速ブースター</t>
    <phoneticPr fontId="5"/>
  </si>
  <si>
    <t>スキルゲージMAX！</t>
    <phoneticPr fontId="5"/>
  </si>
  <si>
    <t>スキルゲージMAX！</t>
    <phoneticPr fontId="5"/>
  </si>
  <si>
    <t>[effect:enemy_message, val1:0, val2:2.2]</t>
    <phoneticPr fontId="5"/>
  </si>
  <si>
    <t>[effect:enemy_message, val1:0, val2:2.2]</t>
    <phoneticPr fontId="5"/>
  </si>
  <si>
    <t>[effect:sp_boost, target:unit_all, val:99, animation:sp_boost_one03],[effect:enemy_message, val1:1.8, val2:2.2]</t>
    <phoneticPr fontId="5"/>
  </si>
  <si>
    <t>フフフッ</t>
    <phoneticPr fontId="5"/>
  </si>
  <si>
    <t>力の放出が止まらない！</t>
    <phoneticPr fontId="5"/>
  </si>
  <si>
    <t>…もう、時間ですって</t>
    <phoneticPr fontId="5"/>
  </si>
  <si>
    <t>新しい技、思い付いたわ</t>
    <phoneticPr fontId="5"/>
  </si>
  <si>
    <t>くっ…！頭が…！</t>
    <phoneticPr fontId="5"/>
  </si>
  <si>
    <t>[effect:tolerance, target:enemy_all, turn:-1, count:-1, tolerance_effect:all, animation:enemy_tolerance],[effect:fix_speed, target:myself, turn:2],[effect:enemy_message, val1:2.2, val2:1.6]</t>
    <phoneticPr fontId="5"/>
  </si>
  <si>
    <t>カ、カ、カラダが…
(ボナンザに操られている)</t>
    <phoneticPr fontId="5"/>
  </si>
  <si>
    <t>くっ、カラダが…
(ボナンザに操られている)</t>
    <phoneticPr fontId="5"/>
  </si>
  <si>
    <t>…なんか変な気分だ
(ボナンザに操られている)</t>
    <phoneticPr fontId="5"/>
  </si>
  <si>
    <t>時限式ダメージパネルを最大4個生成
+単体攻撃</t>
    <phoneticPr fontId="5"/>
  </si>
  <si>
    <t>お邪魔パネルを1個生成+2回連続攻撃</t>
    <phoneticPr fontId="5"/>
  </si>
  <si>
    <t>即死攻撃</t>
    <phoneticPr fontId="5"/>
  </si>
  <si>
    <t>恐ろしいエネルギーが集まってきている…
&lt;10ターン以内に2人を倒せ&gt;</t>
    <phoneticPr fontId="5"/>
  </si>
  <si>
    <t>恐ろしいエネルギーが集まってきている…
&lt;10ターン以内に2人を倒せ&gt;</t>
    <phoneticPr fontId="5"/>
  </si>
  <si>
    <t>[effect:force_change_block, new_block:jammer, target:block_green, ignore01:color_break, ignore02:crash, ignore03:crack_bomb, ignore04:time_bomb, count:2, val:0, animation:change_block],[effect:enemy_message, val1:1.2, val2:2.2]</t>
    <phoneticPr fontId="5"/>
  </si>
  <si>
    <t>[effect:force_change_block, new_block:jammer, target:block_yellow, ignore01:color_break, ignore02:crash, ignore03:crack_bomb, ignore04:time_bomb, count:2, val:0, animation:change_block],[effect:enemy_message, val1:1.2, val2:2.2]</t>
    <phoneticPr fontId="5"/>
  </si>
  <si>
    <t>[effect:force_change_block, new_block:jammer, target:block_blue, ignore01:color_break, ignore02:crash, ignore03:crack_bomb, ignore04:time_bomb, count:2, val:0, animation:change_block],[effect:enemy_message, val1:1.2, val2:2.2]</t>
    <phoneticPr fontId="5"/>
  </si>
  <si>
    <t>赤パネルを最大2個お邪魔パネルに変換</t>
    <phoneticPr fontId="5"/>
  </si>
  <si>
    <t>緑パネルを最大2個お邪魔パネルに変換</t>
    <phoneticPr fontId="5"/>
  </si>
  <si>
    <t>黄パネルを最大2個お邪魔パネルに変換</t>
    <phoneticPr fontId="5"/>
  </si>
  <si>
    <t>青パネルを最大2個お邪魔パネルに変換</t>
    <phoneticPr fontId="5"/>
  </si>
  <si>
    <t>なんか面白くなってきたぁ！</t>
    <phoneticPr fontId="5"/>
  </si>
  <si>
    <t>みなぎる力が止まらない</t>
    <phoneticPr fontId="5"/>
  </si>
  <si>
    <t>全ての効果を解除+即死攻撃</t>
    <phoneticPr fontId="5"/>
  </si>
  <si>
    <t>全ての効果を解除+即死攻撃</t>
    <phoneticPr fontId="5"/>
  </si>
  <si>
    <t>[effect:rush, count:1, val:1.55],[effect:enemy_message, val1:1.35, val2:1.8]</t>
    <phoneticPr fontId="5"/>
  </si>
  <si>
    <t>…なんか変な気分だ</t>
    <phoneticPr fontId="5"/>
  </si>
  <si>
    <t>大渦巻き</t>
    <phoneticPr fontId="5"/>
  </si>
  <si>
    <t>まるで操られているようだ…</t>
    <phoneticPr fontId="5"/>
  </si>
  <si>
    <t>彼女の声が頭に入って
くる……くっ、カラダが…</t>
    <phoneticPr fontId="5"/>
  </si>
  <si>
    <t>彼女の声が聞こえる…
カ、カ、カラダが…</t>
    <phoneticPr fontId="5"/>
  </si>
  <si>
    <t>[effect:freq_turn, target:myself, turn:5, val:1, animation:enemy_freq_turn],[effect:enemy_message, val1:1.4, val2:1.8]</t>
    <phoneticPr fontId="5"/>
  </si>
  <si>
    <t>[effect:fix_speed, target:myself, turn:2],[effect:enemy_message, val1:2.2, val2:2.7]</t>
    <phoneticPr fontId="5"/>
  </si>
  <si>
    <t>[effect:rush, count:2, val:0.85],[effect:force_change_block, new_block:jammer, target:block_all, ignore01:color_break, ignore02:crash, ignore03:crack_bomb, ignore04:time_bomb, count:1, val:0, animation:change_block],[effect:enemy_message, val1:1.4, val2:2.2]</t>
    <phoneticPr fontId="5"/>
  </si>
  <si>
    <t>[effect:remove_enhancement, target:unit_all, target_effect:all, animation:frozen_wave],[effect:enemy_message, val1:1.6, val2:2.4],[effect:rush, count:20, val:99.99]</t>
    <phoneticPr fontId="5"/>
  </si>
  <si>
    <t>[effect:remove_enhancement, target:unit_all, target_effect:all, animation:frozen_wave],[effect:enemy_message, val1:1.6, val2:2.4],[effect:rush, count:20, val:99.99]</t>
    <phoneticPr fontId="5"/>
  </si>
  <si>
    <t>[effect:remove_enhancement, target:unit_all, target_effect:all, animation:frozen_wave],[effect:enemy_message, val1:1.6, val2:2.4],[effect:rush, count:20, val:99.99]</t>
    <phoneticPr fontId="5"/>
  </si>
  <si>
    <t>[effect:tolerance, target:enemy_all, turn:-1, count:-1, tolerance_effect:all, animation:enemy_tolerance],[effect:fix_speed, target:myself, turn:1],[effect:enemy_message, val1:2.2, val2:1.6]</t>
    <phoneticPr fontId="5"/>
  </si>
  <si>
    <t>[effect:rush, count:1, val:1.8],[effect:force_change_block, new_block:time_bomb, target:block_all, ignore01:color_break, ignore02:crash, ignore03:crack_bomb, ignore04:jammer, color:block_random, count:4, val:0.23, min_time_count:2, max_time_count:3, animation:change_block],[effect:enemy_message, val1:1.4, val2:2.3]</t>
    <phoneticPr fontId="5"/>
  </si>
  <si>
    <t>[effect:force_change_block, new_block:jammer, target:block_red, ignore01:color_break, ignore02:crash, ignore03:crack_bomb, ignore04:time_bomb, count:2, val:0, animation:change_block],[effect:enemy_message, val1:1.2, val2:2.2]</t>
    <phoneticPr fontId="5"/>
  </si>
  <si>
    <t>[effect:remove_enhancement, target:unit_all, target_effect:all, animation:frozen_wave],[effect:enemy_message, val1:1.6, val2:2.4],[effect:rush, count:20, val:99.99]</t>
    <phoneticPr fontId="5"/>
  </si>
  <si>
    <t>時限式ダメージパネルを最大4個生成+
単体攻撃</t>
    <phoneticPr fontId="5"/>
  </si>
  <si>
    <t>表示しない</t>
    <phoneticPr fontId="5"/>
  </si>
  <si>
    <t>5ターンの間攻撃頻度UP</t>
    <phoneticPr fontId="5"/>
  </si>
  <si>
    <t>赤パネルをお邪魔パネルに変換(最大2個)</t>
    <phoneticPr fontId="5"/>
  </si>
  <si>
    <t>緑パネルをお邪魔パネルに変換(最大2個)</t>
    <phoneticPr fontId="5"/>
  </si>
  <si>
    <t>黄パネルをお邪魔パネルに変換(最大2個)</t>
    <phoneticPr fontId="5"/>
  </si>
  <si>
    <t>青パネルをお邪魔パネルに変換(最大2個)</t>
    <phoneticPr fontId="5"/>
  </si>
  <si>
    <t>[effect:damage_anti_color, target:unit_all, color:red, val1:0.44, val2:0.22],[effect:enemy_message, val1:1.4, val2:1.8]</t>
    <phoneticPr fontId="5"/>
  </si>
  <si>
    <t>[effect:damage_anti_color, target:unit_all, color:green, val1:0.44, val2:0.22],[effect:enemy_message, val1:1.4, val2:1.8]</t>
    <phoneticPr fontId="5"/>
  </si>
  <si>
    <t>[effect:force_change_block, new_block:time_bomb, target:block_red, ignore01:color_break, ignore02:crash, ignore03:crack_bomb, ignore04:jammer, color:block_red, count:5, val:0.18, min_time_count:3, max_time_count:4, animation:change_block],[effect:enemy_message, val1:1.4, val2:2.3]</t>
    <phoneticPr fontId="5"/>
  </si>
  <si>
    <t>[effect:force_change_block, new_block:time_bomb, target:block_green, ignore01:color_break, ignore02:crash, ignore03:crack_bomb, ignore04:jammer, color:block_green, count:5, val:0.18, min_time_count:3, max_time_count:4, animation:change_block],[effect:enemy_message, val1:1.4, val2:2.3]</t>
    <phoneticPr fontId="5"/>
  </si>
  <si>
    <t>[effect:force_change_block, new_block:time_bomb, target:block_blue, ignore01:color_break, ignore02:crash, ignore03:crack_bomb, ignore04:jammer, color:block_blue, count:5, val:0.18, min_time_count:3, max_time_count:4, animation:change_block],[effect:enemy_message, val1:1.4, val2:2.3]</t>
    <phoneticPr fontId="5"/>
  </si>
  <si>
    <t>青パネルを青の時限式ダメージパネルに変換
(最大5個)</t>
    <phoneticPr fontId="5"/>
  </si>
  <si>
    <t>緑パネルを緑の時限式ダメージパネルに変換
(最大5個)</t>
    <phoneticPr fontId="5"/>
  </si>
  <si>
    <t>赤パネルを赤の時限式ダメージパネルに変換
(最大5個)</t>
    <phoneticPr fontId="5"/>
  </si>
  <si>
    <t>13301_1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</si>
</sst>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dotsuka-Kashin/Documents/BULL_data/master_excel/EnemyHabitatsMasterData_ResetTower_1_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13300_2-1</v>
          </cell>
        </row>
        <row r="3">
          <cell r="A3" t="str">
            <v>13300_2-2</v>
          </cell>
        </row>
      </sheetData>
      <sheetData sheetId="2" refreshError="1"/>
      <sheetData sheetId="3" refreshError="1"/>
      <sheetData sheetId="4" refreshError="1"/>
      <sheetData sheetId="5">
        <row r="10">
          <cell r="S10" t="str">
            <v>- / -</v>
          </cell>
        </row>
        <row r="11">
          <cell r="S11" t="str">
            <v>- / -</v>
          </cell>
        </row>
        <row r="12">
          <cell r="S12" t="str">
            <v>- / -</v>
          </cell>
        </row>
      </sheetData>
      <sheetData sheetId="6" refreshError="1"/>
      <sheetData sheetId="7" refreshError="1"/>
      <sheetData sheetId="8" refreshError="1"/>
      <sheetData sheetId="9">
        <row r="1">
          <cell r="B1" t="str">
            <v>quest_id</v>
          </cell>
          <cell r="C1" t="str">
            <v>name</v>
          </cell>
          <cell r="D1" t="str">
            <v>位置付け</v>
          </cell>
          <cell r="F1" t="str">
            <v>name</v>
          </cell>
          <cell r="G1" t="str">
            <v>位置付け</v>
          </cell>
        </row>
      </sheetData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>
      <selection activeCell="C31" sqref="C3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250</v>
      </c>
      <c r="B2" s="57" t="s">
        <v>105</v>
      </c>
      <c r="C2" s="63" t="s">
        <v>371</v>
      </c>
      <c r="D2" s="57" t="s">
        <v>106</v>
      </c>
      <c r="E2" s="56" t="str">
        <f>B2&amp;C2&amp;D2</f>
        <v>floors_13301_1.tmp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250</v>
      </c>
      <c r="B3" s="57" t="s">
        <v>108</v>
      </c>
      <c r="C3" s="63" t="str">
        <f t="shared" ref="C3:C13" si="0">C$2</f>
        <v>13301_1</v>
      </c>
      <c r="D3" s="57" t="s">
        <v>106</v>
      </c>
      <c r="E3" s="56" t="str">
        <f>B3&amp;C3&amp;D3</f>
        <v>enemy_habitats_13301_1.tmp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176</v>
      </c>
    </row>
    <row r="4" spans="1:30" x14ac:dyDescent="0.15">
      <c r="A4" s="61" t="s">
        <v>250</v>
      </c>
      <c r="B4" s="57" t="s">
        <v>110</v>
      </c>
      <c r="C4" s="63" t="str">
        <f t="shared" si="0"/>
        <v>13301_1</v>
      </c>
      <c r="D4" s="57" t="s">
        <v>106</v>
      </c>
      <c r="E4" s="56" t="str">
        <f>B4&amp;C4&amp;D4</f>
        <v>enemy_habitat_S_13301_1.tmp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250</v>
      </c>
      <c r="B5" s="57" t="s">
        <v>112</v>
      </c>
      <c r="C5" s="63" t="str">
        <f t="shared" si="0"/>
        <v>13301_1</v>
      </c>
      <c r="D5" s="57" t="s">
        <v>106</v>
      </c>
      <c r="E5" s="56" t="str">
        <f>B5&amp;C5&amp;D5</f>
        <v>enemy_skill_sets_13301_1.tmp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250</v>
      </c>
      <c r="B6" s="57" t="s">
        <v>114</v>
      </c>
      <c r="C6" s="63" t="str">
        <f t="shared" si="0"/>
        <v>13301_1</v>
      </c>
      <c r="D6" s="57" t="s">
        <v>115</v>
      </c>
      <c r="E6" s="56" t="str">
        <f t="shared" ref="E6:E10" si="1">B6&amp;C6&amp;D6</f>
        <v>enemy_skills_tmp_13301_1.tmp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250</v>
      </c>
      <c r="B7" s="57" t="s">
        <v>116</v>
      </c>
      <c r="C7" s="63" t="str">
        <f t="shared" si="0"/>
        <v>13301_1</v>
      </c>
      <c r="D7" s="57" t="s">
        <v>106</v>
      </c>
      <c r="E7" s="56" t="str">
        <f>B7&amp;C7&amp;D7</f>
        <v>enemy_skills_i18n_13301_1.tmp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250</v>
      </c>
      <c r="B8" s="57" t="s">
        <v>118</v>
      </c>
      <c r="C8" s="63" t="str">
        <f t="shared" si="0"/>
        <v>13301_1</v>
      </c>
      <c r="D8" s="57" t="s">
        <v>119</v>
      </c>
      <c r="E8" s="56" t="str">
        <f t="shared" si="1"/>
        <v>enemy_skill_triggers_13301_1.tmp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250</v>
      </c>
      <c r="B9" s="68" t="s">
        <v>175</v>
      </c>
      <c r="C9" s="63" t="str">
        <f t="shared" si="0"/>
        <v>13301_1</v>
      </c>
      <c r="D9" s="68" t="s">
        <v>169</v>
      </c>
      <c r="E9" s="69" t="str">
        <f t="shared" si="1"/>
        <v>stage_bug_bonuses_13301_1.tmp</v>
      </c>
      <c r="F9" s="68" t="s">
        <v>170</v>
      </c>
      <c r="G9" s="65" t="s">
        <v>149</v>
      </c>
      <c r="H9" s="65" t="s">
        <v>171</v>
      </c>
      <c r="I9" s="65" t="s">
        <v>172</v>
      </c>
      <c r="J9" s="67" t="s">
        <v>173</v>
      </c>
      <c r="K9" s="65" t="s">
        <v>174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185</v>
      </c>
      <c r="B10" s="68" t="s">
        <v>197</v>
      </c>
      <c r="C10" s="63" t="str">
        <f t="shared" si="0"/>
        <v>13301_1</v>
      </c>
      <c r="D10" s="68" t="s">
        <v>178</v>
      </c>
      <c r="E10" s="69" t="str">
        <f t="shared" si="1"/>
        <v>stage_hints_data_c_13301_1.tmp</v>
      </c>
      <c r="F10" s="68" t="s">
        <v>205</v>
      </c>
      <c r="G10" s="73" t="s">
        <v>179</v>
      </c>
      <c r="H10" s="73" t="s">
        <v>171</v>
      </c>
      <c r="I10" s="74" t="s">
        <v>180</v>
      </c>
      <c r="J10" s="67" t="s">
        <v>181</v>
      </c>
      <c r="K10" s="67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250</v>
      </c>
      <c r="B11" s="68" t="s">
        <v>198</v>
      </c>
      <c r="C11" s="63" t="str">
        <f t="shared" si="0"/>
        <v>13301_1</v>
      </c>
      <c r="D11" s="68" t="s">
        <v>169</v>
      </c>
      <c r="E11" s="69" t="str">
        <f t="shared" ref="E11:E13" si="2">B11&amp;C11&amp;D11</f>
        <v>stage_hints_data_f_13301_1.tmp</v>
      </c>
      <c r="F11" s="68" t="s">
        <v>206</v>
      </c>
      <c r="G11" s="73" t="s">
        <v>179</v>
      </c>
      <c r="H11" s="73" t="s">
        <v>171</v>
      </c>
      <c r="I11" s="74" t="s">
        <v>180</v>
      </c>
      <c r="J11" s="67" t="s">
        <v>181</v>
      </c>
      <c r="K11" s="67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250</v>
      </c>
      <c r="B12" s="68" t="s">
        <v>199</v>
      </c>
      <c r="C12" s="63" t="str">
        <f t="shared" si="0"/>
        <v>13301_1</v>
      </c>
      <c r="D12" s="68" t="s">
        <v>169</v>
      </c>
      <c r="E12" s="69" t="str">
        <f t="shared" si="2"/>
        <v>stage_hints_i18n_13301_1.tmp</v>
      </c>
      <c r="F12" s="68" t="s">
        <v>207</v>
      </c>
      <c r="G12" s="74" t="s">
        <v>200</v>
      </c>
      <c r="H12" s="92" t="s">
        <v>201</v>
      </c>
      <c r="I12" s="73" t="s">
        <v>202</v>
      </c>
      <c r="J12" s="100" t="s">
        <v>203</v>
      </c>
      <c r="K12" s="67" t="s">
        <v>204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1" t="s">
        <v>250</v>
      </c>
      <c r="B13" s="68" t="s">
        <v>246</v>
      </c>
      <c r="C13" s="63" t="str">
        <f t="shared" si="0"/>
        <v>13301_1</v>
      </c>
      <c r="D13" s="68" t="s">
        <v>227</v>
      </c>
      <c r="E13" s="69" t="str">
        <f t="shared" si="2"/>
        <v>stage_bonuses_13301_1.tmp</v>
      </c>
      <c r="F13" s="68" t="s">
        <v>226</v>
      </c>
      <c r="G13" s="73" t="s">
        <v>228</v>
      </c>
      <c r="H13" s="73" t="s">
        <v>229</v>
      </c>
      <c r="I13" s="73" t="s">
        <v>230</v>
      </c>
      <c r="J13" s="73" t="s">
        <v>231</v>
      </c>
      <c r="K13" s="73" t="s">
        <v>232</v>
      </c>
      <c r="L13" s="73" t="s">
        <v>233</v>
      </c>
      <c r="M13" s="73" t="s">
        <v>234</v>
      </c>
      <c r="N13" s="73" t="s">
        <v>235</v>
      </c>
      <c r="O13" s="73" t="s">
        <v>236</v>
      </c>
      <c r="P13" s="73" t="s">
        <v>237</v>
      </c>
      <c r="Q13" s="73" t="s">
        <v>238</v>
      </c>
      <c r="R13" s="73" t="s">
        <v>239</v>
      </c>
      <c r="S13" s="73" t="s">
        <v>240</v>
      </c>
      <c r="T13" s="73" t="s">
        <v>241</v>
      </c>
      <c r="U13" s="73" t="s">
        <v>242</v>
      </c>
      <c r="V13" s="73" t="s">
        <v>243</v>
      </c>
      <c r="W13" s="73" t="s">
        <v>244</v>
      </c>
      <c r="X13" s="73" t="s">
        <v>245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zoomScale="120" zoomScaleNormal="120" zoomScalePageLayoutView="120" workbookViewId="0">
      <pane ySplit="1" topLeftCell="A2" activePane="bottomLeft" state="frozen"/>
      <selection activeCell="V2" sqref="V2:X34"/>
      <selection pane="bottomLeft" activeCell="F13" sqref="F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13301_1-1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</v>
      </c>
      <c r="G2" s="23" t="str">
        <f>C2&amp;"_"&amp;F2</f>
        <v>13301_1</v>
      </c>
      <c r="H2" s="15" t="str">
        <f ca="1">VLOOKUP($G2,OFFSET([2]stages!$A$1,0,0,COUNTA([2]stages!$A:$A),MATCH(H$1,[2]stages!$2:$2,0)-MATCH($G$1,[2]stages!$2:$2,0)+1),MATCH(H$1,[2]stages!$2:$2,0)-MATCH($G$1,[2]stages!$2:$2,0)+1,FALSE)</f>
        <v>1階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13301_1-2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</v>
      </c>
      <c r="G3" s="23" t="str">
        <f>C3&amp;"_"&amp;F3</f>
        <v>13301_1</v>
      </c>
      <c r="H3" s="15" t="str">
        <f ca="1">VLOOKUP($G3,OFFSET([2]stages!$A$1,0,0,COUNTA([2]stages!$A:$A),MATCH(H$1,[2]stages!$2:$2,0)-MATCH($G$1,[2]stages!$2:$2,0)+1),MATCH(H$1,[2]stages!$2:$2,0)-MATCH($G$1,[2]stages!$2:$2,0)+1,FALSE)</f>
        <v>1階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13301_1-3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1</v>
      </c>
      <c r="G4" s="23" t="str">
        <f>C4&amp;"_"&amp;F4</f>
        <v>13301_1</v>
      </c>
      <c r="H4" s="15" t="str">
        <f ca="1">VLOOKUP($G4,OFFSET([2]stages!$A$1,0,0,COUNTA([2]stages!$A:$A),MATCH(H$1,[2]stages!$2:$2,0)-MATCH($G$1,[2]stages!$2:$2,0)+1),MATCH(H$1,[2]stages!$2:$2,0)-MATCH($G$1,[2]stages!$2:$2,0)+1,FALSE)</f>
        <v>1階 コスト制限なし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10" zoomScaleNormal="110" zoomScalePageLayoutView="110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Z8" sqref="Z8"/>
    </sheetView>
  </sheetViews>
  <sheetFormatPr baseColWidth="12" defaultColWidth="13" defaultRowHeight="21" customHeight="1" outlineLevelCol="1" x14ac:dyDescent="0.15"/>
  <cols>
    <col min="1" max="1" width="18.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7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247</v>
      </c>
      <c r="U1" s="26" t="s">
        <v>50</v>
      </c>
      <c r="V1" s="101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 ca="1">B2&amp;"_"&amp;C2&amp;"-"&amp;G2&amp;"/"&amp;L2&amp;"&lt;lv"&amp;R2&amp;"&gt;s"&amp;AC2</f>
        <v>13301_1-1/290&lt;lv1&gt;s2</v>
      </c>
      <c r="B2" s="22">
        <v>13301</v>
      </c>
      <c r="C2" s="109">
        <v>1</v>
      </c>
      <c r="D2" s="15" t="str">
        <f t="shared" ref="D2:D7" si="0">B2&amp;"_"&amp;C2</f>
        <v>13301_1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1階 コスト制限なし</v>
      </c>
      <c r="G2" s="109">
        <v>1</v>
      </c>
      <c r="H2" s="15" t="str">
        <f t="shared" ref="H2:H7" si="1">B2&amp;"_"&amp;C2&amp;"-"&amp;G2</f>
        <v>13301_1-1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8">
        <v>1</v>
      </c>
      <c r="L2" s="110">
        <v>290</v>
      </c>
      <c r="M2" s="17" t="str">
        <f ca="1">VLOOKUP($L2,OFFSET([4]enemies!$A$1,0,0,COUNTA([4]enemies!$A:$A),MATCH(M$1,[4]enemies!$1:$1,0)-MATCH($L$1,[4]enemies!$1:$1,0)+1),MATCH(M$1,[4]enemies!$1:$1,0)-MATCH($L$1,[4]enemies!$1:$1,0)+1,FALSE)</f>
        <v>ウィッチ・オクトパス</v>
      </c>
      <c r="N2" s="17" t="str">
        <f ca="1">VLOOKUP($L2,OFFSET([4]enemies!$A$1,0,0,COUNTA([4]enemies!$A:$A),MATCH(N$1,[4]enemies!$1:$1,0)-MATCH($L$1,[4]enemies!$1:$1,0)+1),MATCH(N$1,[4]enemies!$1:$1,0)-MATCH($L$1,[4]enemies!$1:$1,0)+1,FALSE)</f>
        <v>red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1</v>
      </c>
      <c r="S2" s="25">
        <v>4.2</v>
      </c>
      <c r="T2" s="102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11550</v>
      </c>
      <c r="U2" s="25">
        <v>8</v>
      </c>
      <c r="V2" s="102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1840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なんだか様子がおかしい…</v>
      </c>
      <c r="Y2" s="62">
        <v>13301282</v>
      </c>
      <c r="Z2" s="6">
        <v>1</v>
      </c>
      <c r="AA2" s="6">
        <v>100</v>
      </c>
      <c r="AB2" s="6">
        <v>2</v>
      </c>
      <c r="AC2" s="17">
        <f ca="1">VLOOKUP($L2,OFFSET([4]enemies!$A$1,0,0,COUNTA([4]enemies!$A:$A),MATCH(AC$1,[4]enemies!$1:$1,0)-MATCH($L$1,[4]enemies!$1:$1,0)+1),MATCH(AC$1,[4]enemies!$1:$1,0)-MATCH($L$1,[4]enemies!$1:$1,0)+1,FALSE)</f>
        <v>2</v>
      </c>
      <c r="AD2" s="111">
        <f t="shared" ref="AD2:AD7" si="2">L2</f>
        <v>290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ウィッチ・オクトパス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12">
        <v>1</v>
      </c>
      <c r="AI2" s="111">
        <f t="shared" ref="AI2:AI7" ca="1" si="3">AF2</f>
        <v>4</v>
      </c>
      <c r="AJ2" s="8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1</v>
      </c>
      <c r="AP2" s="70">
        <v>1</v>
      </c>
    </row>
    <row r="3" spans="1:42" ht="21" customHeight="1" x14ac:dyDescent="0.15">
      <c r="A3" s="16" t="str">
        <f t="shared" ref="A3:A7" ca="1" si="4">B3&amp;"_"&amp;C3&amp;"-"&amp;G3&amp;"/"&amp;L3&amp;"&lt;lv"&amp;R3&amp;"&gt;s"&amp;AC3</f>
        <v>13301_1-1/931&lt;lv1&gt;s3</v>
      </c>
      <c r="B3" s="22">
        <v>13301</v>
      </c>
      <c r="C3" s="109">
        <v>1</v>
      </c>
      <c r="D3" s="15" t="str">
        <f t="shared" si="0"/>
        <v>13301_1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1階 コスト制限なし</v>
      </c>
      <c r="G3" s="109">
        <v>1</v>
      </c>
      <c r="H3" s="15" t="str">
        <f t="shared" si="1"/>
        <v>13301_1-1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8">
        <v>2</v>
      </c>
      <c r="L3" s="110">
        <v>931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ネルソン</v>
      </c>
      <c r="N3" s="17" t="str">
        <f ca="1">VLOOKUP($L3,OFFSET([4]enemies!$A$1,0,0,COUNTA([4]enemies!$A:$A),MATCH(N$1,[4]enemies!$1:$1,0)-MATCH($L$1,[4]enemies!$1:$1,0)+1),MATCH(N$1,[4]enemies!$1:$1,0)-MATCH($L$1,[4]enemies!$1:$1,0)+1,FALSE)</f>
        <v>green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1</v>
      </c>
      <c r="S3" s="25">
        <v>3.5</v>
      </c>
      <c r="T3" s="102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9814</v>
      </c>
      <c r="U3" s="25">
        <v>5</v>
      </c>
      <c r="V3" s="102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1105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まるで操られているようだ…</v>
      </c>
      <c r="Y3" s="62">
        <v>13301283</v>
      </c>
      <c r="Z3" s="6">
        <v>1</v>
      </c>
      <c r="AA3" s="6">
        <v>100</v>
      </c>
      <c r="AB3" s="6">
        <v>1</v>
      </c>
      <c r="AC3" s="17">
        <f ca="1">VLOOKUP($L3,OFFSET([4]enemies!$A$1,0,0,COUNTA([4]enemies!$A:$A),MATCH(AC$1,[4]enemies!$1:$1,0)-MATCH($L$1,[4]enemies!$1:$1,0)+1),MATCH(AC$1,[4]enemies!$1:$1,0)-MATCH($L$1,[4]enemies!$1:$1,0)+1,FALSE)</f>
        <v>3</v>
      </c>
      <c r="AD3" s="111">
        <f t="shared" si="2"/>
        <v>931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ネルソン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4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Drop2N</v>
      </c>
      <c r="AH3" s="112">
        <v>1</v>
      </c>
      <c r="AI3" s="111">
        <f t="shared" ca="1" si="3"/>
        <v>4</v>
      </c>
      <c r="AJ3" s="8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1</v>
      </c>
      <c r="AP3" s="70">
        <v>1</v>
      </c>
    </row>
    <row r="4" spans="1:42" ht="21" customHeight="1" x14ac:dyDescent="0.15">
      <c r="A4" s="16" t="str">
        <f t="shared" si="4"/>
        <v>13301_1-2/506&lt;lv1&gt;s2</v>
      </c>
      <c r="B4" s="22">
        <v>13301</v>
      </c>
      <c r="C4" s="21">
        <v>1</v>
      </c>
      <c r="D4" s="2" t="str">
        <f t="shared" si="0"/>
        <v>13301_1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1階 コスト制限なし</v>
      </c>
      <c r="G4" s="21">
        <v>2</v>
      </c>
      <c r="H4" s="15" t="str">
        <f t="shared" si="1"/>
        <v>13301_1-2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506</v>
      </c>
      <c r="M4" s="17" t="str">
        <f ca="1">VLOOKUP($L4,OFFSET([4]enemies!$A$1,0,0,COUNTA([4]enemies!$A:$A),MATCH(M$1,[4]enemies!$1:$1,0)-MATCH($L$1,[4]enemies!$1:$1,0)+1),MATCH(M$1,[4]enemies!$1:$1,0)-MATCH($L$1,[4]enemies!$1:$1,0)+1,FALSE)</f>
        <v>ゴーテル</v>
      </c>
      <c r="N4" s="17" t="str">
        <f ca="1">VLOOKUP($L4,OFFSET([4]enemies!$A$1,0,0,COUNTA([4]enemies!$A:$A),MATCH(N$1,[4]enemies!$1:$1,0)-MATCH($L$1,[4]enemies!$1:$1,0)+1),MATCH(N$1,[4]enemies!$1:$1,0)-MATCH($L$1,[4]enemies!$1:$1,0)+1,FALSE)</f>
        <v>blue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1</v>
      </c>
      <c r="S4" s="25">
        <v>7.2</v>
      </c>
      <c r="T4" s="102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21996</v>
      </c>
      <c r="U4" s="25">
        <v>7</v>
      </c>
      <c r="V4" s="102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2289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62">
        <v>13301275</v>
      </c>
      <c r="Z4" s="6">
        <v>1</v>
      </c>
      <c r="AA4" s="6">
        <v>100</v>
      </c>
      <c r="AB4" s="6">
        <v>2</v>
      </c>
      <c r="AC4" s="17">
        <v>2</v>
      </c>
      <c r="AD4" s="24">
        <f t="shared" si="2"/>
        <v>506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ゴーテル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4"/>
        <v>13301_1-2/316&lt;lv1&gt;s2</v>
      </c>
      <c r="B5" s="22">
        <v>13301</v>
      </c>
      <c r="C5" s="21">
        <v>1</v>
      </c>
      <c r="D5" s="2" t="str">
        <f t="shared" si="0"/>
        <v>13301_1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1階 コスト制限なし</v>
      </c>
      <c r="G5" s="21">
        <v>2</v>
      </c>
      <c r="H5" s="15" t="str">
        <f t="shared" si="1"/>
        <v>13301_1-2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316</v>
      </c>
      <c r="M5" s="17" t="str">
        <f ca="1">VLOOKUP($L5,OFFSET([4]enemies!$A$1,0,0,COUNTA([4]enemies!$A:$A),MATCH(M$1,[4]enemies!$1:$1,0)-MATCH($L$1,[4]enemies!$1:$1,0)+1),MATCH(M$1,[4]enemies!$1:$1,0)-MATCH($L$1,[4]enemies!$1:$1,0)+1,FALSE)</f>
        <v>テスラ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DropWizN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1</v>
      </c>
      <c r="S5" s="25">
        <v>9.1</v>
      </c>
      <c r="T5" s="102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27245.399999999998</v>
      </c>
      <c r="U5" s="25">
        <v>7</v>
      </c>
      <c r="V5" s="102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1771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恐ろしいエネルギーが集まってきている…_x000D_&lt;10ターン以内に2人を倒せ&gt;</v>
      </c>
      <c r="Y5" s="62">
        <v>13301276</v>
      </c>
      <c r="Z5" s="6">
        <v>1</v>
      </c>
      <c r="AA5" s="6">
        <v>100</v>
      </c>
      <c r="AB5" s="6">
        <v>1</v>
      </c>
      <c r="AC5" s="17">
        <v>2</v>
      </c>
      <c r="AD5" s="24">
        <f t="shared" si="2"/>
        <v>316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テスラ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DropWizN</v>
      </c>
      <c r="AH5" s="7">
        <v>1</v>
      </c>
      <c r="AI5" s="24">
        <f t="shared" ca="1" si="3"/>
        <v>4</v>
      </c>
      <c r="AJ5" s="8">
        <v>100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4"/>
        <v>13301_1-3/292&lt;lv1&gt;s2</v>
      </c>
      <c r="B6" s="22">
        <v>13301</v>
      </c>
      <c r="C6" s="21">
        <v>1</v>
      </c>
      <c r="D6" s="2" t="str">
        <f t="shared" si="0"/>
        <v>13301_1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1階 コスト制限なし</v>
      </c>
      <c r="G6" s="21">
        <v>3</v>
      </c>
      <c r="H6" s="15" t="str">
        <f t="shared" si="1"/>
        <v>13301_1-3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292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アナスタシア</v>
      </c>
      <c r="N6" s="17" t="str">
        <f ca="1">VLOOKUP($L6,OFFSET([4]enemies!$A$1,0,0,COUNTA([4]enemies!$A:$A),MATCH(N$1,[4]enemies!$1:$1,0)-MATCH($L$1,[4]enemies!$1:$1,0)+1),MATCH(N$1,[4]enemies!$1:$1,0)-MATCH($L$1,[4]enemies!$1:$1,0)+1,FALSE)</f>
        <v>blue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Drop2N</v>
      </c>
      <c r="P6" s="17" t="str">
        <f ca="1">VLOOKUP($L6,OFFSET([4]enemies!$A$1,0,0,COUNTA([4]enemies!$A:$A),MATCH(P$1,[4]enemies!$1:$1,0)-MATCH($L$1,[4]enemies!$1:$1,0)+1),MATCH(P$1,[4]enemies!$1:$1,0)-MATCH($L$1,[4]enemies!$1:$1,0)+1,FALSE)</f>
        <v>human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1</v>
      </c>
      <c r="S6" s="25">
        <v>11</v>
      </c>
      <c r="T6" s="102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33605</v>
      </c>
      <c r="U6" s="25">
        <v>8</v>
      </c>
      <c r="V6" s="102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1968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2">
        <v>13301277</v>
      </c>
      <c r="Z6" s="6">
        <v>1</v>
      </c>
      <c r="AA6" s="6">
        <v>100</v>
      </c>
      <c r="AB6" s="6">
        <v>2</v>
      </c>
      <c r="AC6" s="17">
        <v>2</v>
      </c>
      <c r="AD6" s="24">
        <f t="shared" si="2"/>
        <v>292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アナスタシア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Drop2N</v>
      </c>
      <c r="AH6" s="7">
        <v>1</v>
      </c>
      <c r="AI6" s="24">
        <f t="shared" ca="1" si="3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4"/>
        <v>13301_1-3/722&lt;lv1&gt;s2</v>
      </c>
      <c r="B7" s="22">
        <v>13301</v>
      </c>
      <c r="C7" s="21">
        <v>1</v>
      </c>
      <c r="D7" s="2" t="str">
        <f t="shared" si="0"/>
        <v>13301_1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1階 コスト制限なし</v>
      </c>
      <c r="G7" s="21">
        <v>3</v>
      </c>
      <c r="H7" s="15" t="str">
        <f t="shared" si="1"/>
        <v>13301_1-3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722</v>
      </c>
      <c r="M7" s="17" t="str">
        <f ca="1">VLOOKUP($L7,OFFSET([4]enemies!$A$1,0,0,COUNTA([4]enemies!$A:$A),MATCH(M$1,[4]enemies!$1:$1,0)-MATCH($L$1,[4]enemies!$1:$1,0)+1),MATCH(M$1,[4]enemies!$1:$1,0)-MATCH($L$1,[4]enemies!$1:$1,0)+1,FALSE)</f>
        <v>森蘭丸</v>
      </c>
      <c r="N7" s="17" t="str">
        <f ca="1">VLOOKUP($L7,OFFSET([4]enemies!$A$1,0,0,COUNTA([4]enemies!$A:$A),MATCH(N$1,[4]enemies!$1:$1,0)-MATCH($L$1,[4]enemies!$1:$1,0)+1),MATCH(N$1,[4]enemies!$1:$1,0)-MATCH($L$1,[4]enemies!$1:$1,0)+1,FALSE)</f>
        <v>yellow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Drop2N</v>
      </c>
      <c r="P7" s="17" t="str">
        <f ca="1">VLOOKUP($L7,OFFSET([4]enemies!$A$1,0,0,COUNTA([4]enemies!$A:$A),MATCH(P$1,[4]enemies!$1:$1,0)-MATCH($L$1,[4]enemies!$1:$1,0)+1),MATCH(P$1,[4]enemies!$1:$1,0)-MATCH($L$1,[4]enemies!$1:$1,0)+1,FALSE)</f>
        <v>human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1</v>
      </c>
      <c r="S7" s="25">
        <v>10</v>
      </c>
      <c r="T7" s="102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29940</v>
      </c>
      <c r="U7" s="25">
        <v>10</v>
      </c>
      <c r="V7" s="102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2530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恐ろしいエネルギーが集まってきている…_x000D_&lt;10ターン以内に2人を倒せ&gt;</v>
      </c>
      <c r="Y7" s="62">
        <v>13301278</v>
      </c>
      <c r="Z7" s="6">
        <v>1</v>
      </c>
      <c r="AA7" s="6">
        <v>100</v>
      </c>
      <c r="AB7" s="6">
        <v>1</v>
      </c>
      <c r="AC7" s="17">
        <v>2</v>
      </c>
      <c r="AD7" s="24">
        <f t="shared" si="2"/>
        <v>722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森蘭丸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Drop2N</v>
      </c>
      <c r="AH7" s="7">
        <v>1</v>
      </c>
      <c r="AI7" s="24">
        <f t="shared" ca="1" si="3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</sheetData>
  <sheetProtection selectLockedCells="1" selectUnlockedCells="1"/>
  <autoFilter ref="B1:AJ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120" zoomScaleNormal="120" zoomScalePageLayoutView="12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8" sqref="M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247</v>
      </c>
      <c r="V1" s="26" t="s">
        <v>50</v>
      </c>
      <c r="W1" s="101" t="s">
        <v>248</v>
      </c>
      <c r="X1" s="26" t="s">
        <v>52</v>
      </c>
      <c r="Y1" s="28" t="s">
        <v>128</v>
      </c>
      <c r="Z1" s="29" t="s">
        <v>127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26"/>
  <sheetViews>
    <sheetView showGridLines="0" zoomScale="130" zoomScaleNormal="130" zoomScalePageLayoutView="130" workbookViewId="0">
      <pane xSplit="5" ySplit="1" topLeftCell="I2" activePane="bottomRight" state="frozen"/>
      <selection pane="topRight"/>
      <selection pane="bottomLeft"/>
      <selection pane="bottomRight" activeCell="C29" sqref="C29"/>
    </sheetView>
  </sheetViews>
  <sheetFormatPr baseColWidth="12" defaultColWidth="12.83203125" defaultRowHeight="21" customHeight="1" outlineLevelCol="1" x14ac:dyDescent="0.15"/>
  <cols>
    <col min="1" max="1" width="18" style="39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8.5" style="45" customWidth="1"/>
    <col min="19" max="19" width="13.1640625" style="49" bestFit="1" customWidth="1"/>
    <col min="20" max="16384" width="12.83203125" style="45"/>
  </cols>
  <sheetData>
    <row r="1" spans="1:19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  <c r="S1" s="41" t="s">
        <v>77</v>
      </c>
    </row>
    <row r="2" spans="1:19" ht="21" customHeight="1" x14ac:dyDescent="0.15">
      <c r="A2" s="39" t="str">
        <f t="shared" ref="A2:A9" si="0">B2&amp;"_"&amp;C2</f>
        <v>13301282_13301375</v>
      </c>
      <c r="B2" s="47">
        <v>13301282</v>
      </c>
      <c r="C2" s="47">
        <v>13301375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なんだか様子がおかしい…</v>
      </c>
      <c r="F2" s="47">
        <v>13301375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  <c r="S2" s="50" t="s">
        <v>303</v>
      </c>
    </row>
    <row r="3" spans="1:19" ht="21" customHeight="1" x14ac:dyDescent="0.15">
      <c r="A3" s="39" t="str">
        <f t="shared" si="0"/>
        <v>13301283_13301376</v>
      </c>
      <c r="B3" s="47">
        <v>13301283</v>
      </c>
      <c r="C3" s="47">
        <v>13301376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まるで操られているようだ…</v>
      </c>
      <c r="F3" s="47">
        <v>13301376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  <c r="S3" s="50" t="s">
        <v>290</v>
      </c>
    </row>
    <row r="4" spans="1:19" ht="21" customHeight="1" x14ac:dyDescent="0.15">
      <c r="A4" s="39" t="str">
        <f t="shared" si="0"/>
        <v>13301282_13301227</v>
      </c>
      <c r="B4" s="47">
        <v>13301282</v>
      </c>
      <c r="C4" s="47">
        <v>13301227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大渦巻き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赤属性に大ダメージの全体攻撃</v>
      </c>
      <c r="F4" s="47">
        <v>13301227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  <c r="S4" s="50" t="s">
        <v>290</v>
      </c>
    </row>
    <row r="5" spans="1:19" ht="21" customHeight="1" x14ac:dyDescent="0.15">
      <c r="A5" s="39" t="str">
        <f t="shared" si="0"/>
        <v>13301282_13301228</v>
      </c>
      <c r="B5" s="47">
        <v>13301282</v>
      </c>
      <c r="C5" s="47">
        <v>13301228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真っ赤な触手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緑属性に大ダメージの全体攻撃</v>
      </c>
      <c r="F5" s="47">
        <v>13301228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  <c r="S5" s="50" t="s">
        <v>304</v>
      </c>
    </row>
    <row r="6" spans="1:19" ht="21" customHeight="1" x14ac:dyDescent="0.15">
      <c r="A6" s="39" t="str">
        <f t="shared" si="0"/>
        <v>13301283_13301229</v>
      </c>
      <c r="B6" s="47">
        <v>13301283</v>
      </c>
      <c r="C6" s="47">
        <v>13301229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加速ブースター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5ターンの間攻撃頻度UP</v>
      </c>
      <c r="F6" s="47">
        <v>13301229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  <c r="S6" s="50" t="s">
        <v>289</v>
      </c>
    </row>
    <row r="7" spans="1:19" ht="21" customHeight="1" x14ac:dyDescent="0.15">
      <c r="A7" s="39" t="str">
        <f t="shared" si="0"/>
        <v>13301283_13301230</v>
      </c>
      <c r="B7" s="47">
        <v>13301283</v>
      </c>
      <c r="C7" s="47">
        <v>13301230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モーターパンチ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</v>
      </c>
      <c r="F7" s="47">
        <v>13301230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" s="47"/>
      <c r="Q7" s="47"/>
      <c r="R7" s="47"/>
      <c r="S7" s="50" t="s">
        <v>305</v>
      </c>
    </row>
    <row r="8" spans="1:19" ht="21" customHeight="1" x14ac:dyDescent="0.15">
      <c r="A8" s="39" t="str">
        <f t="shared" si="0"/>
        <v>13301275_13301200</v>
      </c>
      <c r="B8" s="47">
        <v>13301275</v>
      </c>
      <c r="C8" s="47">
        <v>13301200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彼女の声が聞こえる…_x000D_カ、カ、カラダが…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47">
        <v>13301200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  <c r="S8" s="50" t="s">
        <v>255</v>
      </c>
    </row>
    <row r="9" spans="1:19" ht="21" customHeight="1" x14ac:dyDescent="0.15">
      <c r="A9" s="39" t="str">
        <f t="shared" si="0"/>
        <v>13301276_13301201</v>
      </c>
      <c r="B9" s="47">
        <v>13301276</v>
      </c>
      <c r="C9" s="47">
        <v>13301201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フフフッ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恐ろしいエネルギーが集まってきている…_x000D_&lt;10ターン以内に2人を倒せ&gt;</v>
      </c>
      <c r="F9" s="47">
        <v>13301201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  <c r="S9" s="50" t="s">
        <v>254</v>
      </c>
    </row>
    <row r="10" spans="1:19" ht="21" customHeight="1" x14ac:dyDescent="0.15">
      <c r="A10" s="39" t="str">
        <f t="shared" ref="A10:A16" si="1">B10&amp;"_"&amp;C10</f>
        <v>13301275_13301202</v>
      </c>
      <c r="B10" s="47">
        <v>13301275</v>
      </c>
      <c r="C10" s="47">
        <v>13301202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力の放出が止まらない！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スキルゲージMAX！</v>
      </c>
      <c r="F10" s="47">
        <v>13301202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7"/>
      <c r="Q10" s="47"/>
      <c r="R10" s="47"/>
      <c r="S10" s="50" t="s">
        <v>255</v>
      </c>
    </row>
    <row r="11" spans="1:19" ht="21" customHeight="1" x14ac:dyDescent="0.15">
      <c r="A11" s="39" t="str">
        <f t="shared" si="1"/>
        <v>13301275_13301203</v>
      </c>
      <c r="B11" s="47">
        <v>13301275</v>
      </c>
      <c r="C11" s="47">
        <v>13301203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くっ…！頭が…！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お邪魔パネルを1個生成+2回連続攻撃</v>
      </c>
      <c r="F11" s="47">
        <v>13301203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6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  <c r="S11" s="50" t="s">
        <v>255</v>
      </c>
    </row>
    <row r="12" spans="1:19" ht="21" customHeight="1" x14ac:dyDescent="0.15">
      <c r="A12" s="39" t="str">
        <f t="shared" si="1"/>
        <v>13301275_13301204</v>
      </c>
      <c r="B12" s="47">
        <v>13301275</v>
      </c>
      <c r="C12" s="47">
        <v>13301204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…もう、時間ですって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12" s="47">
        <v>13301204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  <c r="S12" s="50" t="s">
        <v>256</v>
      </c>
    </row>
    <row r="13" spans="1:19" ht="21" customHeight="1" x14ac:dyDescent="0.15">
      <c r="A13" s="39" t="str">
        <f t="shared" si="1"/>
        <v>13301276_13301205</v>
      </c>
      <c r="B13" s="47">
        <v>13301276</v>
      </c>
      <c r="C13" s="47">
        <v>13301205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電磁力・赤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赤パネルを赤の時限式ダメージパネルに変換_x000D_(最大5個)</v>
      </c>
      <c r="F13" s="47">
        <v>13301205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  <c r="S13" s="50" t="s">
        <v>257</v>
      </c>
    </row>
    <row r="14" spans="1:19" ht="21" customHeight="1" x14ac:dyDescent="0.15">
      <c r="A14" s="39" t="str">
        <f t="shared" si="1"/>
        <v>13301276_13301206</v>
      </c>
      <c r="B14" s="47">
        <v>13301276</v>
      </c>
      <c r="C14" s="47">
        <v>13301206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電磁力・緑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緑パネルを緑の時限式ダメージパネルに変換_x000D_(最大5個)</v>
      </c>
      <c r="F14" s="47">
        <v>13301206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  <c r="S14" s="50" t="s">
        <v>254</v>
      </c>
    </row>
    <row r="15" spans="1:19" ht="21" customHeight="1" x14ac:dyDescent="0.15">
      <c r="A15" s="39" t="str">
        <f t="shared" si="1"/>
        <v>13301276_13301208</v>
      </c>
      <c r="B15" s="47">
        <v>13301276</v>
      </c>
      <c r="C15" s="47">
        <v>13301208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電磁力・青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青パネルを青の時限式ダメージパネルに変換_x000D_(最大5個)</v>
      </c>
      <c r="F15" s="47">
        <v>13301208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  <c r="S15" s="50" t="s">
        <v>257</v>
      </c>
    </row>
    <row r="16" spans="1:19" ht="21" customHeight="1" x14ac:dyDescent="0.15">
      <c r="A16" s="39" t="str">
        <f t="shared" si="1"/>
        <v>13301277_13301209</v>
      </c>
      <c r="B16" s="47">
        <v>13301277</v>
      </c>
      <c r="C16" s="47">
        <v>13301209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彼女の声が頭に入って_x000D_くる……くっ、カラダが…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13301209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  <c r="S16" s="50" t="s">
        <v>258</v>
      </c>
    </row>
    <row r="17" spans="1:19" ht="21" customHeight="1" x14ac:dyDescent="0.15">
      <c r="A17" s="39" t="str">
        <f t="shared" ref="A17:A24" si="2">B17&amp;"_"&amp;C17</f>
        <v>13301278_13301210</v>
      </c>
      <c r="B17" s="47">
        <v>13301278</v>
      </c>
      <c r="C17" s="47">
        <v>13301210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…なんか変な気分だ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恐ろしいエネルギーが集まってきている…_x000D_&lt;10ターン以内に2人を倒せ&gt;</v>
      </c>
      <c r="F17" s="47">
        <v>13301210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  <c r="S17" s="50" t="s">
        <v>259</v>
      </c>
    </row>
    <row r="18" spans="1:19" ht="21" customHeight="1" x14ac:dyDescent="0.15">
      <c r="A18" s="39" t="str">
        <f t="shared" si="2"/>
        <v>13301278_13301211</v>
      </c>
      <c r="B18" s="47">
        <v>13301278</v>
      </c>
      <c r="C18" s="47">
        <v>13301211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みなぎる力が止まらない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スキルゲージMAX！</v>
      </c>
      <c r="F18" s="47">
        <v>13301211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7"/>
      <c r="Q18" s="47"/>
      <c r="R18" s="47"/>
      <c r="S18" s="50" t="s">
        <v>262</v>
      </c>
    </row>
    <row r="19" spans="1:19" ht="21" customHeight="1" x14ac:dyDescent="0.15">
      <c r="A19" s="39" t="str">
        <f t="shared" si="2"/>
        <v>13301278_13301212</v>
      </c>
      <c r="B19" s="47">
        <v>13301278</v>
      </c>
      <c r="C19" s="47">
        <v>13301212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なんか面白くなってきたぁ！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時限式ダメージパネルを最大4個生成+_x000D_単体攻撃</v>
      </c>
      <c r="F19" s="47">
        <v>13301212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6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  <c r="S19" s="50" t="s">
        <v>261</v>
      </c>
    </row>
    <row r="20" spans="1:19" ht="21" customHeight="1" x14ac:dyDescent="0.15">
      <c r="A20" s="39" t="str">
        <f t="shared" si="2"/>
        <v>13301278_13301213</v>
      </c>
      <c r="B20" s="47">
        <v>13301278</v>
      </c>
      <c r="C20" s="47">
        <v>13301213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時間だな！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20" s="47">
        <v>13301213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  <c r="S20" s="50" t="s">
        <v>261</v>
      </c>
    </row>
    <row r="21" spans="1:19" ht="21" customHeight="1" x14ac:dyDescent="0.15">
      <c r="A21" s="39" t="str">
        <f t="shared" si="2"/>
        <v>13301277_13301214</v>
      </c>
      <c r="B21" s="47">
        <v>13301277</v>
      </c>
      <c r="C21" s="47">
        <v>13301214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封印・赤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赤パネルをお邪魔パネルに変換(最大2個)</v>
      </c>
      <c r="F21" s="47">
        <v>13301214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  <c r="S21" s="50" t="s">
        <v>267</v>
      </c>
    </row>
    <row r="22" spans="1:19" ht="21" customHeight="1" x14ac:dyDescent="0.15">
      <c r="A22" s="39" t="str">
        <f t="shared" si="2"/>
        <v>13301277_13301215</v>
      </c>
      <c r="B22" s="47">
        <v>13301277</v>
      </c>
      <c r="C22" s="47">
        <v>13301215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封印・緑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緑パネルをお邪魔パネルに変換(最大2個)</v>
      </c>
      <c r="F22" s="47">
        <v>13301215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  <c r="S22" s="50" t="s">
        <v>260</v>
      </c>
    </row>
    <row r="23" spans="1:19" ht="21" customHeight="1" x14ac:dyDescent="0.15">
      <c r="A23" s="39" t="str">
        <f t="shared" si="2"/>
        <v>13301277_13301216</v>
      </c>
      <c r="B23" s="47">
        <v>13301277</v>
      </c>
      <c r="C23" s="47">
        <v>13301216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封印・黄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黄パネルをお邪魔パネルに変換(最大2個)</v>
      </c>
      <c r="F23" s="47">
        <v>13301216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  <c r="S23" s="50" t="s">
        <v>260</v>
      </c>
    </row>
    <row r="24" spans="1:19" ht="21" customHeight="1" x14ac:dyDescent="0.15">
      <c r="A24" s="39" t="str">
        <f t="shared" si="2"/>
        <v>13301277_13301217</v>
      </c>
      <c r="B24" s="47">
        <v>13301277</v>
      </c>
      <c r="C24" s="47">
        <v>13301217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封印・青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青パネルをお邪魔パネルに変換(最大2個)</v>
      </c>
      <c r="F24" s="47">
        <v>13301217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  <c r="S24" s="50" t="s">
        <v>260</v>
      </c>
    </row>
    <row r="25" spans="1:19" ht="21" customHeight="1" x14ac:dyDescent="0.15">
      <c r="A25" s="39" t="str">
        <f t="shared" ref="A25:A26" si="3">B25&amp;"_"&amp;C25</f>
        <v>13301276_13301218</v>
      </c>
      <c r="B25" s="47">
        <v>13301276</v>
      </c>
      <c r="C25" s="47">
        <v>13301218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分解されちゃえ！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25" s="47">
        <v>13301218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  <c r="S25" s="50" t="s">
        <v>258</v>
      </c>
    </row>
    <row r="26" spans="1:19" ht="21" customHeight="1" x14ac:dyDescent="0.15">
      <c r="A26" s="39" t="str">
        <f t="shared" si="3"/>
        <v>13301277_13301219</v>
      </c>
      <c r="B26" s="47">
        <v>13301277</v>
      </c>
      <c r="C26" s="47">
        <v>13301219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新しい技、思い付いたわ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26" s="47">
        <v>13301219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  <c r="S26" s="50" t="s">
        <v>258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:A2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1.1640625" style="49" customWidth="1"/>
    <col min="3" max="4" width="4.33203125" style="49" customWidth="1"/>
    <col min="5" max="5" width="29.1640625" style="49" bestFit="1" customWidth="1"/>
    <col min="6" max="6" width="42.8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1.83203125" style="49" customWidth="1" collapsed="1"/>
    <col min="13" max="18" width="23.6640625" style="49" hidden="1" customWidth="1" outlineLevel="1"/>
    <col min="19" max="19" width="4.5" style="49" customWidth="1" collapsed="1"/>
    <col min="20" max="24" width="23.6640625" style="49" hidden="1" customWidth="1" outlineLevel="1"/>
    <col min="25" max="25" width="4.1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13301375</v>
      </c>
      <c r="B2" s="47" t="s">
        <v>312</v>
      </c>
      <c r="C2" s="50">
        <v>3</v>
      </c>
      <c r="D2" s="50" t="s">
        <v>291</v>
      </c>
      <c r="E2" s="51" t="s">
        <v>357</v>
      </c>
      <c r="F2" s="51" t="s">
        <v>306</v>
      </c>
      <c r="G2" s="64" t="str">
        <f t="shared" ref="G2:G7" si="0">IFERROR(LEFT(B2,FIND("],",B2)),B2)</f>
        <v>[effect:enemy_message, val1:0, val2:2.2]</v>
      </c>
      <c r="H2" s="64">
        <f t="shared" ref="H2:H7" si="1">FIND("effect:",G2)+7</f>
        <v>9</v>
      </c>
      <c r="I2" s="64">
        <f t="shared" ref="I2:I7" si="2">IFERROR(FIND(",",G2),LEN(G2))</f>
        <v>22</v>
      </c>
      <c r="J2" s="64" t="e">
        <f t="shared" ref="J2:J7" si="3">FIND("target:",G2)+7</f>
        <v>#VALUE!</v>
      </c>
      <c r="K2" s="64">
        <f t="shared" ref="K2:K7" si="4">FIND(",",G2,I2+1)</f>
        <v>30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7" si="5">IFERROR(RIGHT(B2,LEN(B2)-FIND("],",B2)-1),"none")</f>
        <v>none</v>
      </c>
      <c r="N2" s="48" t="str">
        <f>IFERROR(LEFT(M2,FIND("],",M2)+[3]enemy_skills!S10),M2)</f>
        <v>none</v>
      </c>
      <c r="O2" s="64" t="e">
        <f t="shared" ref="O2:O7" si="6">FIND("effect:",N2)+7</f>
        <v>#VALUE!</v>
      </c>
      <c r="P2" s="64">
        <f t="shared" ref="P2:P7" si="7">IFERROR(FIND(",",N2),LEN(N2))</f>
        <v>4</v>
      </c>
      <c r="Q2" s="64" t="e">
        <f t="shared" ref="Q2:Q7" si="8">FIND("target:",N2)+7</f>
        <v>#VALUE!</v>
      </c>
      <c r="R2" s="64" t="e">
        <f t="shared" ref="R2:R7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7" si="10">IFERROR(RIGHT(M2,LEN(M2)-FIND("],",M2)-1),"none")</f>
        <v>none</v>
      </c>
      <c r="U2" s="64" t="e">
        <f t="shared" ref="U2:U7" si="11">FIND("effect:",T2)+7</f>
        <v>#VALUE!</v>
      </c>
      <c r="V2" s="64">
        <f t="shared" ref="V2:V7" si="12">IFERROR(FIND(",",T2),LEN(T2))</f>
        <v>4</v>
      </c>
      <c r="W2" s="64" t="e">
        <f t="shared" ref="W2:W7" si="13">FIND("target:",T2)+7</f>
        <v>#VALUE!</v>
      </c>
      <c r="X2" s="64" t="e">
        <f t="shared" ref="X2:X7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 t="s">
        <v>290</v>
      </c>
    </row>
    <row r="3" spans="1:28" ht="21" customHeight="1" x14ac:dyDescent="0.15">
      <c r="A3" s="47">
        <v>13301376</v>
      </c>
      <c r="B3" s="47" t="s">
        <v>313</v>
      </c>
      <c r="C3" s="50">
        <v>3</v>
      </c>
      <c r="D3" s="50" t="s">
        <v>291</v>
      </c>
      <c r="E3" s="51" t="s">
        <v>357</v>
      </c>
      <c r="F3" s="51" t="s">
        <v>343</v>
      </c>
      <c r="G3" s="64" t="str">
        <f t="shared" si="0"/>
        <v>[effect:enemy_message, val1:0, val2:2.2]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30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>none</v>
      </c>
      <c r="N3" s="48" t="str">
        <f>IFERROR(LEFT(M3,FIND("],",M3)+[3]enemy_skills!S11),M3)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 t="s">
        <v>290</v>
      </c>
    </row>
    <row r="4" spans="1:28" ht="21" customHeight="1" x14ac:dyDescent="0.15">
      <c r="A4" s="47">
        <v>13301227</v>
      </c>
      <c r="B4" s="47" t="s">
        <v>363</v>
      </c>
      <c r="C4" s="50">
        <v>3</v>
      </c>
      <c r="D4" s="50" t="s">
        <v>291</v>
      </c>
      <c r="E4" s="51" t="s">
        <v>342</v>
      </c>
      <c r="F4" s="51" t="s">
        <v>292</v>
      </c>
      <c r="G4" s="64" t="str">
        <f t="shared" si="0"/>
        <v>[effect:damage_anti_color, target:unit_all, color:red, val1:0.44, val2:0.22]</v>
      </c>
      <c r="H4" s="64">
        <f t="shared" si="1"/>
        <v>9</v>
      </c>
      <c r="I4" s="64">
        <f t="shared" si="2"/>
        <v>26</v>
      </c>
      <c r="J4" s="64">
        <f t="shared" si="3"/>
        <v>35</v>
      </c>
      <c r="K4" s="64">
        <f t="shared" si="4"/>
        <v>43</v>
      </c>
      <c r="L4" s="64" t="str">
        <f>IFERROR(VLOOKUP(MID(G4,J4,K4-J4),[6]skilldef!$C:$D,2,FALSE),"-") &amp; " / " &amp; IFERROR(VLOOKUP(MID(G4,H4,I4-H4),[6]skilldef!$A:$B,2,FALSE),"-")</f>
        <v>味方全体に / 属性キラー</v>
      </c>
      <c r="M4" s="64" t="str">
        <f t="shared" si="5"/>
        <v>[effect:enemy_message, val1:1.4, val2:1.8]</v>
      </c>
      <c r="N4" s="48" t="str">
        <f>IFERROR(LEFT(M4,FIND("],",M4)+[3]enemy_skills!S12),M4)</f>
        <v>[effect:enemy_message, val1:1.4, val2:1.8]</v>
      </c>
      <c r="O4" s="64">
        <f t="shared" si="6"/>
        <v>9</v>
      </c>
      <c r="P4" s="64">
        <f t="shared" si="7"/>
        <v>22</v>
      </c>
      <c r="Q4" s="64" t="e">
        <f t="shared" si="8"/>
        <v>#VALUE!</v>
      </c>
      <c r="R4" s="64">
        <f t="shared" si="9"/>
        <v>32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 t="s">
        <v>290</v>
      </c>
    </row>
    <row r="5" spans="1:28" ht="21" customHeight="1" x14ac:dyDescent="0.15">
      <c r="A5" s="47">
        <v>13301228</v>
      </c>
      <c r="B5" s="47" t="s">
        <v>364</v>
      </c>
      <c r="C5" s="50">
        <v>3</v>
      </c>
      <c r="D5" s="50" t="s">
        <v>291</v>
      </c>
      <c r="E5" s="51" t="s">
        <v>293</v>
      </c>
      <c r="F5" s="51" t="s">
        <v>294</v>
      </c>
      <c r="G5" s="64" t="str">
        <f t="shared" si="0"/>
        <v>[effect:damage_anti_color, target:unit_all, color:green, val1:0.44, val2:0.22]</v>
      </c>
      <c r="H5" s="64">
        <f t="shared" si="1"/>
        <v>9</v>
      </c>
      <c r="I5" s="64">
        <f t="shared" si="2"/>
        <v>26</v>
      </c>
      <c r="J5" s="64">
        <f t="shared" si="3"/>
        <v>35</v>
      </c>
      <c r="K5" s="64">
        <f t="shared" si="4"/>
        <v>43</v>
      </c>
      <c r="L5" s="64" t="str">
        <f>IFERROR(VLOOKUP(MID(G5,J5,K5-J5),[6]skilldef!$C:$D,2,FALSE),"-") &amp; " / " &amp; IFERROR(VLOOKUP(MID(G5,H5,I5-H5),[6]skilldef!$A:$B,2,FALSE),"-")</f>
        <v>味方全体に / 属性キラー</v>
      </c>
      <c r="M5" s="64" t="str">
        <f t="shared" si="5"/>
        <v>[effect:enemy_message, val1:1.4, val2:1.8]</v>
      </c>
      <c r="N5" s="48" t="str">
        <f>IFERROR(LEFT(M5,FIND("],",M5)+[3]enemy_skills!S13),M5)</f>
        <v>[effect:enemy_message, val1:1.4, val2:1.8]</v>
      </c>
      <c r="O5" s="64">
        <f t="shared" si="6"/>
        <v>9</v>
      </c>
      <c r="P5" s="64">
        <f t="shared" si="7"/>
        <v>22</v>
      </c>
      <c r="Q5" s="64" t="e">
        <f t="shared" si="8"/>
        <v>#VALUE!</v>
      </c>
      <c r="R5" s="64">
        <f t="shared" si="9"/>
        <v>32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 t="s">
        <v>290</v>
      </c>
    </row>
    <row r="6" spans="1:28" ht="21" customHeight="1" x14ac:dyDescent="0.15">
      <c r="A6" s="47">
        <v>13301229</v>
      </c>
      <c r="B6" s="47" t="s">
        <v>346</v>
      </c>
      <c r="C6" s="50">
        <v>3</v>
      </c>
      <c r="D6" s="50" t="s">
        <v>291</v>
      </c>
      <c r="E6" s="51" t="s">
        <v>309</v>
      </c>
      <c r="F6" s="51" t="s">
        <v>358</v>
      </c>
      <c r="G6" s="64" t="str">
        <f t="shared" si="0"/>
        <v>[effect:freq_turn, target:myself, turn:5, val:1, animation:enemy_freq_turn]</v>
      </c>
      <c r="H6" s="64">
        <f t="shared" si="1"/>
        <v>9</v>
      </c>
      <c r="I6" s="64">
        <f t="shared" si="2"/>
        <v>18</v>
      </c>
      <c r="J6" s="64">
        <f t="shared" si="3"/>
        <v>27</v>
      </c>
      <c r="K6" s="64">
        <f t="shared" si="4"/>
        <v>33</v>
      </c>
      <c r="L6" s="64" t="str">
        <f>IFERROR(VLOOKUP(MID(G6,J6,K6-J6),[6]skilldef!$C:$D,2,FALSE),"-") &amp; " / " &amp; IFERROR(VLOOKUP(MID(G6,H6,I6-H6),[6]skilldef!$A:$B,2,FALSE),"-")</f>
        <v>自分自身に / 攻撃頻度がUP</v>
      </c>
      <c r="M6" s="64" t="str">
        <f t="shared" si="5"/>
        <v>[effect:enemy_message, val1:1.4, val2:1.8]</v>
      </c>
      <c r="N6" s="48" t="str">
        <f>IFERROR(LEFT(M6,FIND("],",M6)+[3]enemy_skills!S14),M6)</f>
        <v>[effect:enemy_message, val1:1.4, val2:1.8]</v>
      </c>
      <c r="O6" s="64">
        <f t="shared" si="6"/>
        <v>9</v>
      </c>
      <c r="P6" s="64">
        <f t="shared" si="7"/>
        <v>22</v>
      </c>
      <c r="Q6" s="64" t="e">
        <f t="shared" si="8"/>
        <v>#VALUE!</v>
      </c>
      <c r="R6" s="64">
        <f t="shared" si="9"/>
        <v>32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 t="s">
        <v>289</v>
      </c>
    </row>
    <row r="7" spans="1:28" ht="21" customHeight="1" x14ac:dyDescent="0.15">
      <c r="A7" s="47">
        <v>13301230</v>
      </c>
      <c r="B7" s="47" t="s">
        <v>340</v>
      </c>
      <c r="C7" s="50">
        <v>3</v>
      </c>
      <c r="D7" s="50" t="s">
        <v>291</v>
      </c>
      <c r="E7" s="51" t="s">
        <v>287</v>
      </c>
      <c r="F7" s="51" t="s">
        <v>288</v>
      </c>
      <c r="G7" s="64" t="str">
        <f t="shared" si="0"/>
        <v>[effect:rush, count:1, val:1.55]</v>
      </c>
      <c r="H7" s="64">
        <f t="shared" si="1"/>
        <v>9</v>
      </c>
      <c r="I7" s="64">
        <f t="shared" si="2"/>
        <v>13</v>
      </c>
      <c r="J7" s="64" t="e">
        <f t="shared" si="3"/>
        <v>#VALUE!</v>
      </c>
      <c r="K7" s="64">
        <f t="shared" si="4"/>
        <v>22</v>
      </c>
      <c r="L7" s="64" t="str">
        <f>IFERROR(VLOOKUP(MID(G7,J7,K7-J7),[6]skilldef!$C:$D,2,FALSE),"-") &amp; " / " &amp; IFERROR(VLOOKUP(MID(G7,H7,I7-H7),[6]skilldef!$A:$B,2,FALSE),"-")</f>
        <v>- / 連続攻撃</v>
      </c>
      <c r="M7" s="64" t="str">
        <f t="shared" si="5"/>
        <v>[effect:enemy_message, val1:1.35, val2:1.8]</v>
      </c>
      <c r="N7" s="48" t="str">
        <f>IFERROR(LEFT(M7,FIND("],",M7)+[3]enemy_skills!S15),M7)</f>
        <v>[effect:enemy_message, val1:1.35, val2:1.8]</v>
      </c>
      <c r="O7" s="64">
        <f t="shared" si="6"/>
        <v>9</v>
      </c>
      <c r="P7" s="64">
        <f t="shared" si="7"/>
        <v>22</v>
      </c>
      <c r="Q7" s="64" t="e">
        <f t="shared" si="8"/>
        <v>#VALUE!</v>
      </c>
      <c r="R7" s="64">
        <f t="shared" si="9"/>
        <v>33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 t="s">
        <v>296</v>
      </c>
    </row>
    <row r="8" spans="1:28" ht="38" customHeight="1" x14ac:dyDescent="0.15">
      <c r="A8" s="47">
        <v>13301200</v>
      </c>
      <c r="B8" s="47" t="s">
        <v>320</v>
      </c>
      <c r="C8" s="50">
        <v>3</v>
      </c>
      <c r="D8" s="50" t="s">
        <v>126</v>
      </c>
      <c r="E8" s="51" t="s">
        <v>345</v>
      </c>
      <c r="F8" s="51" t="s">
        <v>297</v>
      </c>
      <c r="G8" s="64" t="str">
        <f t="shared" ref="G8:G17" si="15">IFERROR(LEFT(B8,FIND("],",B8)),B8)</f>
        <v>[effect:tolerance, target:enemy_all, turn:-1, count:-1, tolerance_effect:all, animation:enemy_tolerance]</v>
      </c>
      <c r="H8" s="64">
        <f t="shared" ref="H8:H17" si="16">FIND("effect:",G8)+7</f>
        <v>9</v>
      </c>
      <c r="I8" s="64">
        <f t="shared" ref="I8:I17" si="17">IFERROR(FIND(",",G8),LEN(G8))</f>
        <v>18</v>
      </c>
      <c r="J8" s="64">
        <f t="shared" ref="J8:J17" si="18">FIND("target:",G8)+7</f>
        <v>27</v>
      </c>
      <c r="K8" s="64">
        <f t="shared" ref="K8:K17" si="19">FIND(",",G8,I8+1)</f>
        <v>36</v>
      </c>
      <c r="L8" s="64" t="str">
        <f>IFERROR(VLOOKUP(MID(G8,J8,K8-J8),[6]skilldef!$C:$D,2,FALSE),"-") &amp; " / " &amp; IFERROR(VLOOKUP(MID(G8,H8,I8-H8),[6]skilldef!$A:$B,2,FALSE),"-")</f>
        <v>敵全体に / 状態異常耐性</v>
      </c>
      <c r="M8" s="64" t="str">
        <f t="shared" ref="M8" si="20">IFERROR(RIGHT(B8,LEN(B8)-FIND("],",B8)-1),"none")</f>
        <v>[effect:fix_speed, target:myself, turn:2],[effect:enemy_message, val1:2.2, val2:1.6]</v>
      </c>
      <c r="N8" s="48" t="str">
        <f>IFERROR(LEFT(M8,FIND("],",M8)+#REF!),M8)</f>
        <v>[effect:fix_speed, target:myself, turn:2],[effect:enemy_message, val1:2.2, val2:1.6]</v>
      </c>
      <c r="O8" s="64">
        <f t="shared" ref="O8" si="21">FIND("effect:",N8)+7</f>
        <v>9</v>
      </c>
      <c r="P8" s="64">
        <f t="shared" ref="P8" si="22">IFERROR(FIND(",",N8),LEN(N8))</f>
        <v>18</v>
      </c>
      <c r="Q8" s="64">
        <f t="shared" ref="Q8" si="23">FIND("target:",N8)+7</f>
        <v>27</v>
      </c>
      <c r="R8" s="64">
        <f t="shared" ref="R8" si="24">FIND(",",N8,P8+1)</f>
        <v>33</v>
      </c>
      <c r="S8" s="64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ref="T8" si="25">IFERROR(RIGHT(M8,LEN(M8)-FIND("],",M8)-1),"none")</f>
        <v>[effect:enemy_message, val1:2.2, val2:1.6]</v>
      </c>
      <c r="U8" s="64">
        <f t="shared" ref="U8" si="26">FIND("effect:",T8)+7</f>
        <v>9</v>
      </c>
      <c r="V8" s="64">
        <f t="shared" ref="V8" si="27">IFERROR(FIND(",",T8),LEN(T8))</f>
        <v>22</v>
      </c>
      <c r="W8" s="64" t="e">
        <f t="shared" ref="W8" si="28">FIND("target:",T8)+7</f>
        <v>#VALUE!</v>
      </c>
      <c r="X8" s="64">
        <f t="shared" ref="X8" si="29">FIND(",",T8,V8+1)</f>
        <v>32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 t="s">
        <v>255</v>
      </c>
    </row>
    <row r="9" spans="1:28" ht="35" customHeight="1" x14ac:dyDescent="0.15">
      <c r="A9" s="47">
        <v>13301201</v>
      </c>
      <c r="B9" s="47" t="s">
        <v>347</v>
      </c>
      <c r="C9" s="50">
        <v>3</v>
      </c>
      <c r="D9" s="50" t="s">
        <v>126</v>
      </c>
      <c r="E9" s="51" t="s">
        <v>315</v>
      </c>
      <c r="F9" s="51" t="s">
        <v>327</v>
      </c>
      <c r="G9" s="64" t="str">
        <f t="shared" si="15"/>
        <v>[effect:fix_speed, target:myself, turn:2]</v>
      </c>
      <c r="H9" s="64">
        <f t="shared" si="16"/>
        <v>9</v>
      </c>
      <c r="I9" s="64">
        <f t="shared" si="17"/>
        <v>18</v>
      </c>
      <c r="J9" s="64">
        <f t="shared" si="18"/>
        <v>27</v>
      </c>
      <c r="K9" s="64">
        <f t="shared" si="19"/>
        <v>33</v>
      </c>
      <c r="L9" s="64" t="str">
        <f>IFERROR(VLOOKUP(MID(G9,J9,K9-J9),[6]skilldef!$C:$D,2,FALSE),"-") &amp; " / " &amp; IFERROR(VLOOKUP(MID(G9,H9,I9-H9),[6]skilldef!$A:$B,2,FALSE),"-")</f>
        <v>自分自身に / 行動値設定</v>
      </c>
      <c r="M9" s="64" t="str">
        <f t="shared" ref="M9:M24" si="30">IFERROR(RIGHT(B9,LEN(B9)-FIND("],",B9)-1),"none")</f>
        <v>[effect:enemy_message, val1:2.2, val2:2.7]</v>
      </c>
      <c r="N9" s="48" t="str">
        <f>IFERROR(LEFT(M9,FIND("],",M9)+#REF!),M9)</f>
        <v>[effect:enemy_message, val1:2.2, val2:2.7]</v>
      </c>
      <c r="O9" s="64">
        <f t="shared" ref="O9:O24" si="31">FIND("effect:",N9)+7</f>
        <v>9</v>
      </c>
      <c r="P9" s="64">
        <f t="shared" ref="P9:P24" si="32">IFERROR(FIND(",",N9),LEN(N9))</f>
        <v>22</v>
      </c>
      <c r="Q9" s="64" t="e">
        <f t="shared" ref="Q9:Q24" si="33">FIND("target:",N9)+7</f>
        <v>#VALUE!</v>
      </c>
      <c r="R9" s="64">
        <f t="shared" ref="R9:R24" si="34">FIND(",",N9,P9+1)</f>
        <v>32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ref="T9:T24" si="35">IFERROR(RIGHT(M9,LEN(M9)-FIND("],",M9)-1),"none")</f>
        <v>none</v>
      </c>
      <c r="U9" s="64" t="e">
        <f t="shared" ref="U9:U24" si="36">FIND("effect:",T9)+7</f>
        <v>#VALUE!</v>
      </c>
      <c r="V9" s="64">
        <f t="shared" ref="V9:V24" si="37">IFERROR(FIND(",",T9),LEN(T9))</f>
        <v>4</v>
      </c>
      <c r="W9" s="64" t="e">
        <f t="shared" ref="W9:W24" si="38">FIND("target:",T9)+7</f>
        <v>#VALUE!</v>
      </c>
      <c r="X9" s="64" t="e">
        <f t="shared" ref="X9:X24" si="39">FIND(",",T9,V9+1)</f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 t="s">
        <v>254</v>
      </c>
    </row>
    <row r="10" spans="1:28" ht="21" customHeight="1" x14ac:dyDescent="0.15">
      <c r="A10" s="47">
        <v>13301202</v>
      </c>
      <c r="B10" s="104" t="s">
        <v>314</v>
      </c>
      <c r="C10" s="105">
        <v>3</v>
      </c>
      <c r="D10" s="105" t="s">
        <v>126</v>
      </c>
      <c r="E10" s="106" t="s">
        <v>316</v>
      </c>
      <c r="F10" s="106" t="s">
        <v>310</v>
      </c>
      <c r="G10" s="64" t="str">
        <f t="shared" si="15"/>
        <v>[effect:sp_boost, target:unit_all, val:99, animation:sp_boost_one03]</v>
      </c>
      <c r="H10" s="64">
        <f t="shared" si="16"/>
        <v>9</v>
      </c>
      <c r="I10" s="64">
        <f t="shared" si="17"/>
        <v>17</v>
      </c>
      <c r="J10" s="64">
        <f t="shared" si="18"/>
        <v>26</v>
      </c>
      <c r="K10" s="64">
        <f t="shared" si="19"/>
        <v>34</v>
      </c>
      <c r="L10" s="64" t="str">
        <f>IFERROR(VLOOKUP(MID(G10,J10,K10-J10),[6]skilldef!$C:$D,2,FALSE),"-") &amp; " / " &amp; IFERROR(VLOOKUP(MID(G10,H10,I10-H10),[6]skilldef!$A:$B,2,FALSE),"-")</f>
        <v>味方全体に / -</v>
      </c>
      <c r="M10" s="64" t="str">
        <f t="shared" si="30"/>
        <v>[effect:enemy_message, val1:1.8, val2:2.2]</v>
      </c>
      <c r="N10" s="48" t="str">
        <f>IFERROR(LEFT(M10,FIND("],",M10)+#REF!),M10)</f>
        <v>[effect:enemy_message, val1:1.8, val2:2.2]</v>
      </c>
      <c r="O10" s="64">
        <f t="shared" si="31"/>
        <v>9</v>
      </c>
      <c r="P10" s="64">
        <f t="shared" si="32"/>
        <v>22</v>
      </c>
      <c r="Q10" s="64" t="e">
        <f t="shared" si="33"/>
        <v>#VALUE!</v>
      </c>
      <c r="R10" s="64">
        <f t="shared" si="34"/>
        <v>32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35"/>
        <v>none</v>
      </c>
      <c r="U10" s="64" t="e">
        <f t="shared" si="36"/>
        <v>#VALUE!</v>
      </c>
      <c r="V10" s="64">
        <f t="shared" si="37"/>
        <v>4</v>
      </c>
      <c r="W10" s="64" t="e">
        <f t="shared" si="38"/>
        <v>#VALUE!</v>
      </c>
      <c r="X10" s="64" t="e">
        <f t="shared" si="39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 t="s">
        <v>255</v>
      </c>
    </row>
    <row r="11" spans="1:28" ht="21" customHeight="1" x14ac:dyDescent="0.15">
      <c r="A11" s="47">
        <v>13301203</v>
      </c>
      <c r="B11" s="47" t="s">
        <v>348</v>
      </c>
      <c r="C11" s="50">
        <v>3</v>
      </c>
      <c r="D11" s="50" t="s">
        <v>126</v>
      </c>
      <c r="E11" s="51" t="s">
        <v>319</v>
      </c>
      <c r="F11" s="51" t="s">
        <v>325</v>
      </c>
      <c r="G11" s="64" t="str">
        <f t="shared" si="15"/>
        <v>[effect:rush, count:2, val:0.85]</v>
      </c>
      <c r="H11" s="64">
        <f t="shared" si="16"/>
        <v>9</v>
      </c>
      <c r="I11" s="64">
        <f t="shared" si="17"/>
        <v>13</v>
      </c>
      <c r="J11" s="64" t="e">
        <f t="shared" si="18"/>
        <v>#VALUE!</v>
      </c>
      <c r="K11" s="64">
        <f t="shared" si="19"/>
        <v>22</v>
      </c>
      <c r="L11" s="64" t="str">
        <f>IFERROR(VLOOKUP(MID(G11,J11,K11-J11),[6]skilldef!$C:$D,2,FALSE),"-") &amp; " / " &amp; IFERROR(VLOOKUP(MID(G11,H11,I11-H11),[6]skilldef!$A:$B,2,FALSE),"-")</f>
        <v>- / 連続攻撃</v>
      </c>
      <c r="M11" s="64" t="str">
        <f t="shared" si="30"/>
        <v>[effect:force_change_block, new_block:jammer, target:block_all, ignore01:color_break, ignore02:crash, ignore03:crack_bomb, ignore04:time_bomb, count:1, val:0, animation:change_block],[effect:enemy_message, val1:1.4, val2:2.2]</v>
      </c>
      <c r="N11" s="48" t="str">
        <f>IFERROR(LEFT(M11,FIND("],",M11)+#REF!),M11)</f>
        <v>[effect:force_change_block, new_block:jammer, target:block_all, ignore01:color_break, ignore02:crash, ignore03:crack_bomb, ignore04:time_bomb, count:1, val:0, animation:change_block],[effect:enemy_message, val1:1.4, val2:2.2]</v>
      </c>
      <c r="O11" s="64">
        <f t="shared" si="31"/>
        <v>9</v>
      </c>
      <c r="P11" s="64">
        <f t="shared" si="32"/>
        <v>27</v>
      </c>
      <c r="Q11" s="64">
        <f t="shared" si="33"/>
        <v>54</v>
      </c>
      <c r="R11" s="64">
        <f t="shared" si="34"/>
        <v>45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35"/>
        <v>[effect:enemy_message, val1:1.4, val2:2.2]</v>
      </c>
      <c r="U11" s="64">
        <f t="shared" si="36"/>
        <v>9</v>
      </c>
      <c r="V11" s="64">
        <f t="shared" si="37"/>
        <v>22</v>
      </c>
      <c r="W11" s="64" t="e">
        <f t="shared" si="38"/>
        <v>#VALUE!</v>
      </c>
      <c r="X11" s="64">
        <f t="shared" si="39"/>
        <v>32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 t="s">
        <v>255</v>
      </c>
    </row>
    <row r="12" spans="1:28" ht="21" customHeight="1" x14ac:dyDescent="0.15">
      <c r="A12" s="47">
        <v>13301204</v>
      </c>
      <c r="B12" s="47" t="s">
        <v>349</v>
      </c>
      <c r="C12" s="50">
        <v>3</v>
      </c>
      <c r="D12" s="50" t="s">
        <v>126</v>
      </c>
      <c r="E12" s="51" t="s">
        <v>317</v>
      </c>
      <c r="F12" s="51" t="s">
        <v>339</v>
      </c>
      <c r="G12" s="64" t="str">
        <f t="shared" si="15"/>
        <v>[effect:remove_enhancement, target:unit_all, target_effect:all, animation:frozen_wave]</v>
      </c>
      <c r="H12" s="64">
        <f t="shared" si="16"/>
        <v>9</v>
      </c>
      <c r="I12" s="64">
        <f t="shared" si="17"/>
        <v>27</v>
      </c>
      <c r="J12" s="64">
        <f t="shared" si="18"/>
        <v>36</v>
      </c>
      <c r="K12" s="64">
        <f t="shared" si="19"/>
        <v>44</v>
      </c>
      <c r="L12" s="64" t="str">
        <f>IFERROR(VLOOKUP(MID(G12,J12,K12-J12),[6]skilldef!$C:$D,2,FALSE),"-") &amp; " / " &amp; IFERROR(VLOOKUP(MID(G12,H12,I12-H12),[6]skilldef!$A:$B,2,FALSE),"-")</f>
        <v>味方全体に / -</v>
      </c>
      <c r="M12" s="64" t="str">
        <f t="shared" si="30"/>
        <v>[effect:enemy_message, val1:1.6, val2:2.4],[effect:rush, count:20, val:99.99]</v>
      </c>
      <c r="N12" s="48" t="str">
        <f>IFERROR(LEFT(M12,FIND("],",M12)+#REF!),M12)</f>
        <v>[effect:enemy_message, val1:1.6, val2:2.4],[effect:rush, count:20, val:99.99]</v>
      </c>
      <c r="O12" s="64">
        <f t="shared" si="31"/>
        <v>9</v>
      </c>
      <c r="P12" s="64">
        <f t="shared" si="32"/>
        <v>22</v>
      </c>
      <c r="Q12" s="64" t="e">
        <f t="shared" si="33"/>
        <v>#VALUE!</v>
      </c>
      <c r="R12" s="64">
        <f t="shared" si="34"/>
        <v>32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35"/>
        <v>[effect:rush, count:20, val:99.99]</v>
      </c>
      <c r="U12" s="64">
        <f t="shared" si="36"/>
        <v>9</v>
      </c>
      <c r="V12" s="64">
        <f t="shared" si="37"/>
        <v>13</v>
      </c>
      <c r="W12" s="64" t="e">
        <f t="shared" si="38"/>
        <v>#VALUE!</v>
      </c>
      <c r="X12" s="64">
        <f t="shared" si="39"/>
        <v>23</v>
      </c>
      <c r="Y12" s="64" t="str">
        <f>IFERROR(VLOOKUP(MID(T12,W12,X12-W12),[6]skilldef!$C:$D,2,FALSE),"-") &amp; " / " &amp; IFERROR(VLOOKUP(MID(T12,U12,V12-U12),[6]skilldef!$A:$B,2,FALSE),"-")</f>
        <v>- / 連続攻撃</v>
      </c>
      <c r="Z12" s="50"/>
      <c r="AA12" s="52"/>
      <c r="AB12" s="50" t="s">
        <v>256</v>
      </c>
    </row>
    <row r="13" spans="1:28" ht="31" customHeight="1" x14ac:dyDescent="0.15">
      <c r="A13" s="47">
        <v>13301205</v>
      </c>
      <c r="B13" s="104" t="s">
        <v>365</v>
      </c>
      <c r="C13" s="105">
        <v>3</v>
      </c>
      <c r="D13" s="105" t="s">
        <v>126</v>
      </c>
      <c r="E13" s="106" t="s">
        <v>274</v>
      </c>
      <c r="F13" s="106" t="s">
        <v>370</v>
      </c>
      <c r="G13" s="64" t="str">
        <f t="shared" si="15"/>
        <v>[effect:force_change_block, new_block:time_bomb, target:block_red, ignore01:color_break, ignore02:crash, ignore03:crack_bomb, ignore04:jammer, color:block_red, count:5, val:0.18, min_time_count:3, max_time_count:4, animation:change_block]</v>
      </c>
      <c r="H13" s="64">
        <f t="shared" si="16"/>
        <v>9</v>
      </c>
      <c r="I13" s="64">
        <f t="shared" si="17"/>
        <v>27</v>
      </c>
      <c r="J13" s="64">
        <f t="shared" si="18"/>
        <v>57</v>
      </c>
      <c r="K13" s="64">
        <f t="shared" si="19"/>
        <v>48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30"/>
        <v>[effect:enemy_message, val1:1.4, val2:2.3]</v>
      </c>
      <c r="N13" s="48" t="str">
        <f>IFERROR(LEFT(M13,FIND("],",M13)+#REF!),M13)</f>
        <v>[effect:enemy_message, val1:1.4, val2:2.3]</v>
      </c>
      <c r="O13" s="64">
        <f t="shared" si="31"/>
        <v>9</v>
      </c>
      <c r="P13" s="64">
        <f t="shared" si="32"/>
        <v>22</v>
      </c>
      <c r="Q13" s="64" t="e">
        <f t="shared" si="33"/>
        <v>#VALUE!</v>
      </c>
      <c r="R13" s="64">
        <f t="shared" si="34"/>
        <v>32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35"/>
        <v>none</v>
      </c>
      <c r="U13" s="64" t="e">
        <f t="shared" si="36"/>
        <v>#VALUE!</v>
      </c>
      <c r="V13" s="64">
        <f t="shared" si="37"/>
        <v>4</v>
      </c>
      <c r="W13" s="64" t="e">
        <f t="shared" si="38"/>
        <v>#VALUE!</v>
      </c>
      <c r="X13" s="64" t="e">
        <f t="shared" si="39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 t="s">
        <v>257</v>
      </c>
    </row>
    <row r="14" spans="1:28" ht="33" customHeight="1" x14ac:dyDescent="0.15">
      <c r="A14" s="47">
        <v>13301206</v>
      </c>
      <c r="B14" s="104" t="s">
        <v>366</v>
      </c>
      <c r="C14" s="105">
        <v>3</v>
      </c>
      <c r="D14" s="105" t="s">
        <v>126</v>
      </c>
      <c r="E14" s="106" t="s">
        <v>275</v>
      </c>
      <c r="F14" s="106" t="s">
        <v>369</v>
      </c>
      <c r="G14" s="64" t="str">
        <f t="shared" si="15"/>
        <v>[effect:force_change_block, new_block:time_bomb, target:block_green, ignore01:color_break, ignore02:crash, ignore03:crack_bomb, ignore04:jammer, color:block_green, count:5, val:0.18, min_time_count:3, max_time_count:4, animation:change_block]</v>
      </c>
      <c r="H14" s="64">
        <f t="shared" si="16"/>
        <v>9</v>
      </c>
      <c r="I14" s="64">
        <f t="shared" si="17"/>
        <v>27</v>
      </c>
      <c r="J14" s="64">
        <f t="shared" si="18"/>
        <v>57</v>
      </c>
      <c r="K14" s="64">
        <f t="shared" si="19"/>
        <v>48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30"/>
        <v>[effect:enemy_message, val1:1.4, val2:2.3]</v>
      </c>
      <c r="N14" s="48" t="str">
        <f>IFERROR(LEFT(M14,FIND("],",M14)+#REF!),M14)</f>
        <v>[effect:enemy_message, val1:1.4, val2:2.3]</v>
      </c>
      <c r="O14" s="64">
        <f t="shared" si="31"/>
        <v>9</v>
      </c>
      <c r="P14" s="64">
        <f t="shared" si="32"/>
        <v>22</v>
      </c>
      <c r="Q14" s="64" t="e">
        <f t="shared" si="33"/>
        <v>#VALUE!</v>
      </c>
      <c r="R14" s="64">
        <f t="shared" si="34"/>
        <v>32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35"/>
        <v>none</v>
      </c>
      <c r="U14" s="64" t="e">
        <f t="shared" si="36"/>
        <v>#VALUE!</v>
      </c>
      <c r="V14" s="64">
        <f t="shared" si="37"/>
        <v>4</v>
      </c>
      <c r="W14" s="64" t="e">
        <f t="shared" si="38"/>
        <v>#VALUE!</v>
      </c>
      <c r="X14" s="64" t="e">
        <f t="shared" si="39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 t="s">
        <v>254</v>
      </c>
    </row>
    <row r="15" spans="1:28" ht="40" customHeight="1" x14ac:dyDescent="0.15">
      <c r="A15" s="47">
        <v>13301208</v>
      </c>
      <c r="B15" s="104" t="s">
        <v>367</v>
      </c>
      <c r="C15" s="105">
        <v>3</v>
      </c>
      <c r="D15" s="105" t="s">
        <v>126</v>
      </c>
      <c r="E15" s="106" t="s">
        <v>276</v>
      </c>
      <c r="F15" s="106" t="s">
        <v>368</v>
      </c>
      <c r="G15" s="64" t="str">
        <f t="shared" ref="G15" si="40">IFERROR(LEFT(B15,FIND("],",B15)),B15)</f>
        <v>[effect:force_change_block, new_block:time_bomb, target:block_blue, ignore01:color_break, ignore02:crash, ignore03:crack_bomb, ignore04:jammer, color:block_blue, count:5, val:0.18, min_time_count:3, max_time_count:4, animation:change_block]</v>
      </c>
      <c r="H15" s="64">
        <f t="shared" ref="H15" si="41">FIND("effect:",G15)+7</f>
        <v>9</v>
      </c>
      <c r="I15" s="64">
        <f t="shared" ref="I15" si="42">IFERROR(FIND(",",G15),LEN(G15))</f>
        <v>27</v>
      </c>
      <c r="J15" s="64">
        <f t="shared" ref="J15" si="43">FIND("target:",G15)+7</f>
        <v>57</v>
      </c>
      <c r="K15" s="64">
        <f t="shared" ref="K15" si="44">FIND(",",G15,I15+1)</f>
        <v>48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30"/>
        <v>[effect:enemy_message, val1:1.4, val2:2.3]</v>
      </c>
      <c r="N15" s="48" t="str">
        <f>IFERROR(LEFT(M15,FIND("],",M15)+#REF!),M15)</f>
        <v>[effect:enemy_message, val1:1.4, val2:2.3]</v>
      </c>
      <c r="O15" s="64">
        <f t="shared" si="31"/>
        <v>9</v>
      </c>
      <c r="P15" s="64">
        <f t="shared" si="32"/>
        <v>22</v>
      </c>
      <c r="Q15" s="64" t="e">
        <f t="shared" si="33"/>
        <v>#VALUE!</v>
      </c>
      <c r="R15" s="64">
        <f t="shared" si="34"/>
        <v>32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35"/>
        <v>none</v>
      </c>
      <c r="U15" s="64" t="e">
        <f t="shared" si="36"/>
        <v>#VALUE!</v>
      </c>
      <c r="V15" s="64">
        <f t="shared" si="37"/>
        <v>4</v>
      </c>
      <c r="W15" s="64" t="e">
        <f t="shared" si="38"/>
        <v>#VALUE!</v>
      </c>
      <c r="X15" s="64" t="e">
        <f t="shared" si="39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 t="s">
        <v>257</v>
      </c>
    </row>
    <row r="16" spans="1:28" ht="44" customHeight="1" x14ac:dyDescent="0.15">
      <c r="A16" s="47">
        <v>13301209</v>
      </c>
      <c r="B16" s="47" t="s">
        <v>352</v>
      </c>
      <c r="C16" s="50">
        <v>3</v>
      </c>
      <c r="D16" s="50" t="s">
        <v>126</v>
      </c>
      <c r="E16" s="51" t="s">
        <v>344</v>
      </c>
      <c r="F16" s="51" t="s">
        <v>298</v>
      </c>
      <c r="G16" s="64" t="str">
        <f t="shared" si="15"/>
        <v>[effect:tolerance, target:enemy_all, turn:-1, count:-1, tolerance_effect:all, animation:enemy_tolerance]</v>
      </c>
      <c r="H16" s="64">
        <f t="shared" si="16"/>
        <v>9</v>
      </c>
      <c r="I16" s="64">
        <f t="shared" si="17"/>
        <v>18</v>
      </c>
      <c r="J16" s="64">
        <f t="shared" si="18"/>
        <v>27</v>
      </c>
      <c r="K16" s="64">
        <f t="shared" si="19"/>
        <v>36</v>
      </c>
      <c r="L16" s="64" t="str">
        <f>IFERROR(VLOOKUP(MID(G16,J16,K16-J16),[6]skilldef!$C:$D,2,FALSE),"-") &amp; " / " &amp; IFERROR(VLOOKUP(MID(G16,H16,I16-H16),[6]skilldef!$A:$B,2,FALSE),"-")</f>
        <v>敵全体に / 状態異常耐性</v>
      </c>
      <c r="M16" s="64" t="str">
        <f t="shared" si="30"/>
        <v>[effect:fix_speed, target:myself, turn:1],[effect:enemy_message, val1:2.2, val2:1.6]</v>
      </c>
      <c r="N16" s="48" t="str">
        <f>IFERROR(LEFT(M16,FIND("],",M16)+#REF!),M16)</f>
        <v>[effect:fix_speed, target:myself, turn:1],[effect:enemy_message, val1:2.2, val2:1.6]</v>
      </c>
      <c r="O16" s="64">
        <f t="shared" si="31"/>
        <v>9</v>
      </c>
      <c r="P16" s="64">
        <f t="shared" si="32"/>
        <v>18</v>
      </c>
      <c r="Q16" s="64">
        <f t="shared" si="33"/>
        <v>27</v>
      </c>
      <c r="R16" s="64">
        <f t="shared" si="34"/>
        <v>33</v>
      </c>
      <c r="S16" s="64" t="str">
        <f>IFERROR(VLOOKUP(MID(N16,Q16,R16-Q16),[6]skilldef!$C:$D,2,FALSE),"-") &amp; " / " &amp; IFERROR(VLOOKUP(MID(N16,O16,P16-O16),[6]skilldef!$A:$B,2,FALSE),"-")</f>
        <v>自分自身に / 行動値設定</v>
      </c>
      <c r="T16" s="48" t="str">
        <f t="shared" si="35"/>
        <v>[effect:enemy_message, val1:2.2, val2:1.6]</v>
      </c>
      <c r="U16" s="64">
        <f t="shared" si="36"/>
        <v>9</v>
      </c>
      <c r="V16" s="64">
        <f t="shared" si="37"/>
        <v>22</v>
      </c>
      <c r="W16" s="64" t="e">
        <f t="shared" si="38"/>
        <v>#VALUE!</v>
      </c>
      <c r="X16" s="64">
        <f t="shared" si="39"/>
        <v>32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 t="s">
        <v>258</v>
      </c>
    </row>
    <row r="17" spans="1:28" ht="45" customHeight="1" x14ac:dyDescent="0.15">
      <c r="A17" s="47">
        <v>13301210</v>
      </c>
      <c r="B17" s="47" t="s">
        <v>347</v>
      </c>
      <c r="C17" s="50">
        <v>3</v>
      </c>
      <c r="D17" s="50" t="s">
        <v>126</v>
      </c>
      <c r="E17" s="51" t="s">
        <v>341</v>
      </c>
      <c r="F17" s="51" t="s">
        <v>328</v>
      </c>
      <c r="G17" s="64" t="str">
        <f t="shared" si="15"/>
        <v>[effect:fix_speed, target:myself, turn:2]</v>
      </c>
      <c r="H17" s="64">
        <f t="shared" si="16"/>
        <v>9</v>
      </c>
      <c r="I17" s="64">
        <f t="shared" si="17"/>
        <v>18</v>
      </c>
      <c r="J17" s="64">
        <f t="shared" si="18"/>
        <v>27</v>
      </c>
      <c r="K17" s="64">
        <f t="shared" si="19"/>
        <v>33</v>
      </c>
      <c r="L17" s="64" t="str">
        <f>IFERROR(VLOOKUP(MID(G17,J17,K17-J17),[6]skilldef!$C:$D,2,FALSE),"-") &amp; " / " &amp; IFERROR(VLOOKUP(MID(G17,H17,I17-H17),[6]skilldef!$A:$B,2,FALSE),"-")</f>
        <v>自分自身に / 行動値設定</v>
      </c>
      <c r="M17" s="64" t="str">
        <f t="shared" si="30"/>
        <v>[effect:enemy_message, val1:2.2, val2:2.7]</v>
      </c>
      <c r="N17" s="48" t="str">
        <f>IFERROR(LEFT(M17,FIND("],",M17)+#REF!),M17)</f>
        <v>[effect:enemy_message, val1:2.2, val2:2.7]</v>
      </c>
      <c r="O17" s="64">
        <f t="shared" si="31"/>
        <v>9</v>
      </c>
      <c r="P17" s="64">
        <f t="shared" si="32"/>
        <v>22</v>
      </c>
      <c r="Q17" s="64" t="e">
        <f t="shared" si="33"/>
        <v>#VALUE!</v>
      </c>
      <c r="R17" s="64">
        <f t="shared" si="34"/>
        <v>32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35"/>
        <v>none</v>
      </c>
      <c r="U17" s="64" t="e">
        <f t="shared" si="36"/>
        <v>#VALUE!</v>
      </c>
      <c r="V17" s="64">
        <f t="shared" si="37"/>
        <v>4</v>
      </c>
      <c r="W17" s="64" t="e">
        <f t="shared" si="38"/>
        <v>#VALUE!</v>
      </c>
      <c r="X17" s="64" t="e">
        <f t="shared" si="39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 t="s">
        <v>259</v>
      </c>
    </row>
    <row r="18" spans="1:28" ht="38" customHeight="1" x14ac:dyDescent="0.15">
      <c r="A18" s="47">
        <v>13301211</v>
      </c>
      <c r="B18" s="104" t="s">
        <v>314</v>
      </c>
      <c r="C18" s="105">
        <v>3</v>
      </c>
      <c r="D18" s="105" t="s">
        <v>126</v>
      </c>
      <c r="E18" s="106" t="s">
        <v>337</v>
      </c>
      <c r="F18" s="106" t="s">
        <v>311</v>
      </c>
      <c r="G18" s="64" t="str">
        <f t="shared" ref="G18:G23" si="45">IFERROR(LEFT(B18,FIND("],",B18)),B18)</f>
        <v>[effect:sp_boost, target:unit_all, val:99, animation:sp_boost_one03]</v>
      </c>
      <c r="H18" s="64">
        <f t="shared" ref="H18:H23" si="46">FIND("effect:",G18)+7</f>
        <v>9</v>
      </c>
      <c r="I18" s="64">
        <f t="shared" ref="I18:I23" si="47">IFERROR(FIND(",",G18),LEN(G18))</f>
        <v>17</v>
      </c>
      <c r="J18" s="64">
        <f t="shared" ref="J18:J23" si="48">FIND("target:",G18)+7</f>
        <v>26</v>
      </c>
      <c r="K18" s="64">
        <f t="shared" ref="K18:K23" si="49">FIND(",",G18,I18+1)</f>
        <v>34</v>
      </c>
      <c r="L18" s="64" t="str">
        <f>IFERROR(VLOOKUP(MID(G18,J18,K18-J18),[6]skilldef!$C:$D,2,FALSE),"-") &amp; " / " &amp; IFERROR(VLOOKUP(MID(G18,H18,I18-H18),[6]skilldef!$A:$B,2,FALSE),"-")</f>
        <v>味方全体に / -</v>
      </c>
      <c r="M18" s="64" t="str">
        <f t="shared" si="30"/>
        <v>[effect:enemy_message, val1:1.8, val2:2.2]</v>
      </c>
      <c r="N18" s="48" t="str">
        <f>IFERROR(LEFT(M18,FIND("],",M18)+#REF!),M18)</f>
        <v>[effect:enemy_message, val1:1.8, val2:2.2]</v>
      </c>
      <c r="O18" s="64">
        <f t="shared" si="31"/>
        <v>9</v>
      </c>
      <c r="P18" s="64">
        <f t="shared" si="32"/>
        <v>22</v>
      </c>
      <c r="Q18" s="64" t="e">
        <f t="shared" si="33"/>
        <v>#VALUE!</v>
      </c>
      <c r="R18" s="64">
        <f t="shared" si="34"/>
        <v>32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35"/>
        <v>none</v>
      </c>
      <c r="U18" s="64" t="e">
        <f t="shared" si="36"/>
        <v>#VALUE!</v>
      </c>
      <c r="V18" s="64">
        <f t="shared" si="37"/>
        <v>4</v>
      </c>
      <c r="W18" s="64" t="e">
        <f t="shared" si="38"/>
        <v>#VALUE!</v>
      </c>
      <c r="X18" s="64" t="e">
        <f t="shared" si="39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 t="s">
        <v>262</v>
      </c>
    </row>
    <row r="19" spans="1:28" ht="45" customHeight="1" x14ac:dyDescent="0.15">
      <c r="A19" s="47">
        <v>13301212</v>
      </c>
      <c r="B19" s="47" t="s">
        <v>353</v>
      </c>
      <c r="C19" s="50">
        <v>3</v>
      </c>
      <c r="D19" s="50" t="s">
        <v>126</v>
      </c>
      <c r="E19" s="51" t="s">
        <v>336</v>
      </c>
      <c r="F19" s="51" t="s">
        <v>356</v>
      </c>
      <c r="G19" s="64" t="str">
        <f t="shared" si="45"/>
        <v>[effect:rush, count:1, val:1.8]</v>
      </c>
      <c r="H19" s="64">
        <f t="shared" si="46"/>
        <v>9</v>
      </c>
      <c r="I19" s="64">
        <f t="shared" si="47"/>
        <v>13</v>
      </c>
      <c r="J19" s="64" t="e">
        <f t="shared" si="48"/>
        <v>#VALUE!</v>
      </c>
      <c r="K19" s="64">
        <f t="shared" si="49"/>
        <v>22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30"/>
        <v>[effect:force_change_block, new_block:time_bomb, target:block_all, ignore01:color_break, ignore02:crash, ignore03:crack_bomb, ignore04:jammer, color:block_random, count:4, val:0.23, min_time_count:2, max_time_count:3, animation:change_block],[effect:enemy_message, val1:1.4, val2:2.3]</v>
      </c>
      <c r="N19" s="48" t="str">
        <f>IFERROR(LEFT(M19,FIND("],",M19)+#REF!),M19)</f>
        <v>[effect:force_change_block, new_block:time_bomb, target:block_all, ignore01:color_break, ignore02:crash, ignore03:crack_bomb, ignore04:jammer, color:block_random, count:4, val:0.23, min_time_count:2, max_time_count:3, animation:change_block],[effect:enemy_message, val1:1.4, val2:2.3]</v>
      </c>
      <c r="O19" s="64">
        <f t="shared" si="31"/>
        <v>9</v>
      </c>
      <c r="P19" s="64">
        <f t="shared" si="32"/>
        <v>27</v>
      </c>
      <c r="Q19" s="64">
        <f t="shared" si="33"/>
        <v>57</v>
      </c>
      <c r="R19" s="64">
        <f t="shared" si="34"/>
        <v>48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35"/>
        <v>[effect:enemy_message, val1:1.4, val2:2.3]</v>
      </c>
      <c r="U19" s="64">
        <f t="shared" si="36"/>
        <v>9</v>
      </c>
      <c r="V19" s="64">
        <f t="shared" si="37"/>
        <v>22</v>
      </c>
      <c r="W19" s="64" t="e">
        <f t="shared" si="38"/>
        <v>#VALUE!</v>
      </c>
      <c r="X19" s="64">
        <f t="shared" si="39"/>
        <v>32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 t="s">
        <v>261</v>
      </c>
    </row>
    <row r="20" spans="1:28" ht="21" customHeight="1" x14ac:dyDescent="0.15">
      <c r="A20" s="47">
        <v>13301213</v>
      </c>
      <c r="B20" s="47" t="s">
        <v>351</v>
      </c>
      <c r="C20" s="50">
        <v>3</v>
      </c>
      <c r="D20" s="50" t="s">
        <v>126</v>
      </c>
      <c r="E20" s="51" t="s">
        <v>301</v>
      </c>
      <c r="F20" s="51" t="s">
        <v>339</v>
      </c>
      <c r="G20" s="64" t="str">
        <f t="shared" si="45"/>
        <v>[effect:remove_enhancement, target:unit_all, target_effect:all, animation:frozen_wave]</v>
      </c>
      <c r="H20" s="64">
        <f t="shared" si="46"/>
        <v>9</v>
      </c>
      <c r="I20" s="64">
        <f t="shared" si="47"/>
        <v>27</v>
      </c>
      <c r="J20" s="64">
        <f t="shared" si="48"/>
        <v>36</v>
      </c>
      <c r="K20" s="64">
        <f t="shared" si="49"/>
        <v>44</v>
      </c>
      <c r="L20" s="64" t="str">
        <f>IFERROR(VLOOKUP(MID(G20,J20,K20-J20),[6]skilldef!$C:$D,2,FALSE),"-") &amp; " / " &amp; IFERROR(VLOOKUP(MID(G20,H20,I20-H20),[6]skilldef!$A:$B,2,FALSE),"-")</f>
        <v>味方全体に / -</v>
      </c>
      <c r="M20" s="64" t="str">
        <f t="shared" si="30"/>
        <v>[effect:enemy_message, val1:1.6, val2:2.4],[effect:rush, count:20, val:99.99]</v>
      </c>
      <c r="N20" s="48" t="str">
        <f>IFERROR(LEFT(M20,FIND("],",M20)+#REF!),M20)</f>
        <v>[effect:enemy_message, val1:1.6, val2:2.4],[effect:rush, count:20, val:99.99]</v>
      </c>
      <c r="O20" s="64">
        <f t="shared" si="31"/>
        <v>9</v>
      </c>
      <c r="P20" s="64">
        <f t="shared" si="32"/>
        <v>22</v>
      </c>
      <c r="Q20" s="64" t="e">
        <f t="shared" si="33"/>
        <v>#VALUE!</v>
      </c>
      <c r="R20" s="64">
        <f t="shared" si="34"/>
        <v>32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35"/>
        <v>[effect:rush, count:20, val:99.99]</v>
      </c>
      <c r="U20" s="64">
        <f t="shared" si="36"/>
        <v>9</v>
      </c>
      <c r="V20" s="64">
        <f t="shared" si="37"/>
        <v>13</v>
      </c>
      <c r="W20" s="64" t="e">
        <f t="shared" si="38"/>
        <v>#VALUE!</v>
      </c>
      <c r="X20" s="64">
        <f t="shared" si="39"/>
        <v>23</v>
      </c>
      <c r="Y20" s="64" t="str">
        <f>IFERROR(VLOOKUP(MID(T20,W20,X20-W20),[6]skilldef!$C:$D,2,FALSE),"-") &amp; " / " &amp; IFERROR(VLOOKUP(MID(T20,U20,V20-U20),[6]skilldef!$A:$B,2,FALSE),"-")</f>
        <v>- / 連続攻撃</v>
      </c>
      <c r="Z20" s="50"/>
      <c r="AA20" s="52"/>
      <c r="AB20" s="50" t="s">
        <v>261</v>
      </c>
    </row>
    <row r="21" spans="1:28" ht="21" customHeight="1" x14ac:dyDescent="0.15">
      <c r="A21" s="47">
        <v>13301214</v>
      </c>
      <c r="B21" s="104" t="s">
        <v>354</v>
      </c>
      <c r="C21" s="105">
        <v>3</v>
      </c>
      <c r="D21" s="105" t="s">
        <v>126</v>
      </c>
      <c r="E21" s="106" t="s">
        <v>269</v>
      </c>
      <c r="F21" s="106" t="s">
        <v>359</v>
      </c>
      <c r="G21" s="64" t="str">
        <f t="shared" si="45"/>
        <v>[effect:force_change_block, new_block:jammer, target:block_red, ignore01:color_break, ignore02:crash, ignore03:crack_bomb, ignore04:time_bomb, count:2, val:0, animation:change_block]</v>
      </c>
      <c r="H21" s="64">
        <f t="shared" si="46"/>
        <v>9</v>
      </c>
      <c r="I21" s="64">
        <f t="shared" si="47"/>
        <v>27</v>
      </c>
      <c r="J21" s="64">
        <f t="shared" si="48"/>
        <v>54</v>
      </c>
      <c r="K21" s="64">
        <f t="shared" si="49"/>
        <v>45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30"/>
        <v>[effect:enemy_message, val1:1.2, val2:2.2]</v>
      </c>
      <c r="N21" s="48" t="str">
        <f>IFERROR(LEFT(M21,FIND("],",M21)+#REF!),M21)</f>
        <v>[effect:enemy_message, val1:1.2, val2:2.2]</v>
      </c>
      <c r="O21" s="64">
        <f t="shared" si="31"/>
        <v>9</v>
      </c>
      <c r="P21" s="64">
        <f t="shared" si="32"/>
        <v>22</v>
      </c>
      <c r="Q21" s="64" t="e">
        <f t="shared" si="33"/>
        <v>#VALUE!</v>
      </c>
      <c r="R21" s="64">
        <f t="shared" si="34"/>
        <v>32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35"/>
        <v>none</v>
      </c>
      <c r="U21" s="64" t="e">
        <f t="shared" si="36"/>
        <v>#VALUE!</v>
      </c>
      <c r="V21" s="64">
        <f t="shared" si="37"/>
        <v>4</v>
      </c>
      <c r="W21" s="64" t="e">
        <f t="shared" si="38"/>
        <v>#VALUE!</v>
      </c>
      <c r="X21" s="64" t="e">
        <f t="shared" si="39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 t="s">
        <v>267</v>
      </c>
    </row>
    <row r="22" spans="1:28" ht="21" customHeight="1" x14ac:dyDescent="0.15">
      <c r="A22" s="47">
        <v>13301215</v>
      </c>
      <c r="B22" s="104" t="s">
        <v>329</v>
      </c>
      <c r="C22" s="105">
        <v>3</v>
      </c>
      <c r="D22" s="105" t="s">
        <v>126</v>
      </c>
      <c r="E22" s="106" t="s">
        <v>270</v>
      </c>
      <c r="F22" s="106" t="s">
        <v>360</v>
      </c>
      <c r="G22" s="64" t="str">
        <f t="shared" si="45"/>
        <v>[effect:force_change_block, new_block:jammer, target:block_green, ignore01:color_break, ignore02:crash, ignore03:crack_bomb, ignore04:time_bomb, count:2, val:0, animation:change_block]</v>
      </c>
      <c r="H22" s="64">
        <f t="shared" si="46"/>
        <v>9</v>
      </c>
      <c r="I22" s="64">
        <f t="shared" si="47"/>
        <v>27</v>
      </c>
      <c r="J22" s="64">
        <f t="shared" si="48"/>
        <v>54</v>
      </c>
      <c r="K22" s="64">
        <f t="shared" si="49"/>
        <v>45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30"/>
        <v>[effect:enemy_message, val1:1.2, val2:2.2]</v>
      </c>
      <c r="N22" s="48" t="str">
        <f>IFERROR(LEFT(M22,FIND("],",M22)+#REF!),M22)</f>
        <v>[effect:enemy_message, val1:1.2, val2:2.2]</v>
      </c>
      <c r="O22" s="64">
        <f t="shared" si="31"/>
        <v>9</v>
      </c>
      <c r="P22" s="64">
        <f t="shared" si="32"/>
        <v>22</v>
      </c>
      <c r="Q22" s="64" t="e">
        <f t="shared" si="33"/>
        <v>#VALUE!</v>
      </c>
      <c r="R22" s="64">
        <f t="shared" si="34"/>
        <v>32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35"/>
        <v>none</v>
      </c>
      <c r="U22" s="64" t="e">
        <f t="shared" si="36"/>
        <v>#VALUE!</v>
      </c>
      <c r="V22" s="64">
        <f t="shared" si="37"/>
        <v>4</v>
      </c>
      <c r="W22" s="64" t="e">
        <f t="shared" si="38"/>
        <v>#VALUE!</v>
      </c>
      <c r="X22" s="64" t="e">
        <f t="shared" si="39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 t="s">
        <v>260</v>
      </c>
    </row>
    <row r="23" spans="1:28" ht="21" customHeight="1" x14ac:dyDescent="0.15">
      <c r="A23" s="47">
        <v>13301216</v>
      </c>
      <c r="B23" s="104" t="s">
        <v>330</v>
      </c>
      <c r="C23" s="105">
        <v>3</v>
      </c>
      <c r="D23" s="105" t="s">
        <v>126</v>
      </c>
      <c r="E23" s="106" t="s">
        <v>271</v>
      </c>
      <c r="F23" s="106" t="s">
        <v>361</v>
      </c>
      <c r="G23" s="64" t="str">
        <f t="shared" si="45"/>
        <v>[effect:force_change_block, new_block:jammer, target:block_yellow, ignore01:color_break, ignore02:crash, ignore03:crack_bomb, ignore04:time_bomb, count:2, val:0, animation:change_block]</v>
      </c>
      <c r="H23" s="64">
        <f t="shared" si="46"/>
        <v>9</v>
      </c>
      <c r="I23" s="64">
        <f t="shared" si="47"/>
        <v>27</v>
      </c>
      <c r="J23" s="64">
        <f t="shared" si="48"/>
        <v>54</v>
      </c>
      <c r="K23" s="64">
        <f t="shared" si="49"/>
        <v>45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30"/>
        <v>[effect:enemy_message, val1:1.2, val2:2.2]</v>
      </c>
      <c r="N23" s="48" t="str">
        <f>IFERROR(LEFT(M23,FIND("],",M23)+#REF!),M23)</f>
        <v>[effect:enemy_message, val1:1.2, val2:2.2]</v>
      </c>
      <c r="O23" s="64">
        <f t="shared" si="31"/>
        <v>9</v>
      </c>
      <c r="P23" s="64">
        <f t="shared" si="32"/>
        <v>22</v>
      </c>
      <c r="Q23" s="64" t="e">
        <f t="shared" si="33"/>
        <v>#VALUE!</v>
      </c>
      <c r="R23" s="64">
        <f t="shared" si="34"/>
        <v>32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35"/>
        <v>none</v>
      </c>
      <c r="U23" s="64" t="e">
        <f t="shared" si="36"/>
        <v>#VALUE!</v>
      </c>
      <c r="V23" s="64">
        <f t="shared" si="37"/>
        <v>4</v>
      </c>
      <c r="W23" s="64" t="e">
        <f t="shared" si="38"/>
        <v>#VALUE!</v>
      </c>
      <c r="X23" s="64" t="e">
        <f t="shared" si="39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 t="s">
        <v>260</v>
      </c>
    </row>
    <row r="24" spans="1:28" ht="21" customHeight="1" x14ac:dyDescent="0.15">
      <c r="A24" s="47">
        <v>13301217</v>
      </c>
      <c r="B24" s="104" t="s">
        <v>331</v>
      </c>
      <c r="C24" s="105">
        <v>3</v>
      </c>
      <c r="D24" s="105" t="s">
        <v>126</v>
      </c>
      <c r="E24" s="106" t="s">
        <v>308</v>
      </c>
      <c r="F24" s="106" t="s">
        <v>362</v>
      </c>
      <c r="G24" s="64" t="str">
        <f t="shared" ref="G24:G26" si="50">IFERROR(LEFT(B24,FIND("],",B24)),B24)</f>
        <v>[effect:force_change_block, new_block:jammer, target:block_blue, ignore01:color_break, ignore02:crash, ignore03:crack_bomb, ignore04:time_bomb, count:2, val:0, animation:change_block]</v>
      </c>
      <c r="H24" s="64">
        <f t="shared" ref="H24:H26" si="51">FIND("effect:",G24)+7</f>
        <v>9</v>
      </c>
      <c r="I24" s="64">
        <f t="shared" ref="I24:I26" si="52">IFERROR(FIND(",",G24),LEN(G24))</f>
        <v>27</v>
      </c>
      <c r="J24" s="64">
        <f t="shared" ref="J24:J26" si="53">FIND("target:",G24)+7</f>
        <v>54</v>
      </c>
      <c r="K24" s="64">
        <f t="shared" ref="K24:K26" si="54">FIND(",",G24,I24+1)</f>
        <v>45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30"/>
        <v>[effect:enemy_message, val1:1.2, val2:2.2]</v>
      </c>
      <c r="N24" s="48" t="str">
        <f>IFERROR(LEFT(M24,FIND("],",M24)+#REF!),M24)</f>
        <v>[effect:enemy_message, val1:1.2, val2:2.2]</v>
      </c>
      <c r="O24" s="64">
        <f t="shared" si="31"/>
        <v>9</v>
      </c>
      <c r="P24" s="64">
        <f t="shared" si="32"/>
        <v>22</v>
      </c>
      <c r="Q24" s="64" t="e">
        <f t="shared" si="33"/>
        <v>#VALUE!</v>
      </c>
      <c r="R24" s="64">
        <f t="shared" si="34"/>
        <v>32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35"/>
        <v>none</v>
      </c>
      <c r="U24" s="64" t="e">
        <f t="shared" si="36"/>
        <v>#VALUE!</v>
      </c>
      <c r="V24" s="64">
        <f t="shared" si="37"/>
        <v>4</v>
      </c>
      <c r="W24" s="64" t="e">
        <f t="shared" si="38"/>
        <v>#VALUE!</v>
      </c>
      <c r="X24" s="64" t="e">
        <f t="shared" si="39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 t="s">
        <v>260</v>
      </c>
    </row>
    <row r="25" spans="1:28" ht="21" customHeight="1" x14ac:dyDescent="0.15">
      <c r="A25" s="47">
        <v>13301218</v>
      </c>
      <c r="B25" s="47" t="s">
        <v>350</v>
      </c>
      <c r="C25" s="50">
        <v>3</v>
      </c>
      <c r="D25" s="50" t="s">
        <v>126</v>
      </c>
      <c r="E25" s="51" t="s">
        <v>302</v>
      </c>
      <c r="F25" s="51" t="s">
        <v>338</v>
      </c>
      <c r="G25" s="64" t="str">
        <f t="shared" si="50"/>
        <v>[effect:remove_enhancement, target:unit_all, target_effect:all, animation:frozen_wave]</v>
      </c>
      <c r="H25" s="64">
        <f t="shared" si="51"/>
        <v>9</v>
      </c>
      <c r="I25" s="64">
        <f t="shared" si="52"/>
        <v>27</v>
      </c>
      <c r="J25" s="64">
        <f t="shared" si="53"/>
        <v>36</v>
      </c>
      <c r="K25" s="64">
        <f t="shared" si="54"/>
        <v>44</v>
      </c>
      <c r="L25" s="64" t="str">
        <f>IFERROR(VLOOKUP(MID(G25,J25,K25-J25),[6]skilldef!$C:$D,2,FALSE),"-") &amp; " / " &amp; IFERROR(VLOOKUP(MID(G25,H25,I25-H25),[6]skilldef!$A:$B,2,FALSE),"-")</f>
        <v>味方全体に / -</v>
      </c>
      <c r="M25" s="64" t="str">
        <f t="shared" ref="M25:M26" si="55">IFERROR(RIGHT(B25,LEN(B25)-FIND("],",B25)-1),"none")</f>
        <v>[effect:enemy_message, val1:1.6, val2:2.4],[effect:rush, count:20, val:99.99]</v>
      </c>
      <c r="N25" s="48" t="str">
        <f>IFERROR(LEFT(M25,FIND("],",M25)+#REF!),M25)</f>
        <v>[effect:enemy_message, val1:1.6, val2:2.4],[effect:rush, count:20, val:99.99]</v>
      </c>
      <c r="O25" s="64">
        <f t="shared" ref="O25:O26" si="56">FIND("effect:",N25)+7</f>
        <v>9</v>
      </c>
      <c r="P25" s="64">
        <f t="shared" ref="P25:P26" si="57">IFERROR(FIND(",",N25),LEN(N25))</f>
        <v>22</v>
      </c>
      <c r="Q25" s="64" t="e">
        <f t="shared" ref="Q25:Q26" si="58">FIND("target:",N25)+7</f>
        <v>#VALUE!</v>
      </c>
      <c r="R25" s="64">
        <f t="shared" ref="R25:R26" si="59">FIND(",",N25,P25+1)</f>
        <v>32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ref="T25:T26" si="60">IFERROR(RIGHT(M25,LEN(M25)-FIND("],",M25)-1),"none")</f>
        <v>[effect:rush, count:20, val:99.99]</v>
      </c>
      <c r="U25" s="64">
        <f t="shared" ref="U25:U26" si="61">FIND("effect:",T25)+7</f>
        <v>9</v>
      </c>
      <c r="V25" s="64">
        <f t="shared" ref="V25:V26" si="62">IFERROR(FIND(",",T25),LEN(T25))</f>
        <v>13</v>
      </c>
      <c r="W25" s="64" t="e">
        <f t="shared" ref="W25:W26" si="63">FIND("target:",T25)+7</f>
        <v>#VALUE!</v>
      </c>
      <c r="X25" s="64">
        <f t="shared" ref="X25:X26" si="64">FIND(",",T25,V25+1)</f>
        <v>23</v>
      </c>
      <c r="Y25" s="64" t="str">
        <f>IFERROR(VLOOKUP(MID(T25,W25,X25-W25),[6]skilldef!$C:$D,2,FALSE),"-") &amp; " / " &amp; IFERROR(VLOOKUP(MID(T25,U25,V25-U25),[6]skilldef!$A:$B,2,FALSE),"-")</f>
        <v>- / 連続攻撃</v>
      </c>
      <c r="Z25" s="50"/>
      <c r="AA25" s="52"/>
      <c r="AB25" s="50" t="s">
        <v>272</v>
      </c>
    </row>
    <row r="26" spans="1:28" ht="21" customHeight="1" x14ac:dyDescent="0.15">
      <c r="A26" s="47">
        <v>13301219</v>
      </c>
      <c r="B26" s="47" t="s">
        <v>355</v>
      </c>
      <c r="C26" s="50">
        <v>3</v>
      </c>
      <c r="D26" s="50" t="s">
        <v>126</v>
      </c>
      <c r="E26" s="51" t="s">
        <v>318</v>
      </c>
      <c r="F26" s="51" t="s">
        <v>339</v>
      </c>
      <c r="G26" s="64" t="str">
        <f t="shared" si="50"/>
        <v>[effect:remove_enhancement, target:unit_all, target_effect:all, animation:frozen_wave]</v>
      </c>
      <c r="H26" s="64">
        <f t="shared" si="51"/>
        <v>9</v>
      </c>
      <c r="I26" s="64">
        <f t="shared" si="52"/>
        <v>27</v>
      </c>
      <c r="J26" s="64">
        <f t="shared" si="53"/>
        <v>36</v>
      </c>
      <c r="K26" s="64">
        <f t="shared" si="54"/>
        <v>44</v>
      </c>
      <c r="L26" s="64" t="str">
        <f>IFERROR(VLOOKUP(MID(G26,J26,K26-J26),[6]skilldef!$C:$D,2,FALSE),"-") &amp; " / " &amp; IFERROR(VLOOKUP(MID(G26,H26,I26-H26),[6]skilldef!$A:$B,2,FALSE),"-")</f>
        <v>味方全体に / -</v>
      </c>
      <c r="M26" s="64" t="str">
        <f t="shared" si="55"/>
        <v>[effect:enemy_message, val1:1.6, val2:2.4],[effect:rush, count:20, val:99.99]</v>
      </c>
      <c r="N26" s="48" t="str">
        <f>IFERROR(LEFT(M26,FIND("],",M26)+#REF!),M26)</f>
        <v>[effect:enemy_message, val1:1.6, val2:2.4],[effect:rush, count:20, val:99.99]</v>
      </c>
      <c r="O26" s="64">
        <f t="shared" si="56"/>
        <v>9</v>
      </c>
      <c r="P26" s="64">
        <f t="shared" si="57"/>
        <v>22</v>
      </c>
      <c r="Q26" s="64" t="e">
        <f t="shared" si="58"/>
        <v>#VALUE!</v>
      </c>
      <c r="R26" s="64">
        <f t="shared" si="59"/>
        <v>32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60"/>
        <v>[effect:rush, count:20, val:99.99]</v>
      </c>
      <c r="U26" s="64">
        <f t="shared" si="61"/>
        <v>9</v>
      </c>
      <c r="V26" s="64">
        <f t="shared" si="62"/>
        <v>13</v>
      </c>
      <c r="W26" s="64" t="e">
        <f t="shared" si="63"/>
        <v>#VALUE!</v>
      </c>
      <c r="X26" s="64">
        <f t="shared" si="64"/>
        <v>23</v>
      </c>
      <c r="Y26" s="64" t="str">
        <f>IFERROR(VLOOKUP(MID(T26,W26,X26-W26),[6]skilldef!$C:$D,2,FALSE),"-") &amp; " / " &amp; IFERROR(VLOOKUP(MID(T26,U26,V26-U26),[6]skilldef!$A:$B,2,FALSE),"-")</f>
        <v>- / 連続攻撃</v>
      </c>
      <c r="Z26" s="50"/>
      <c r="AA26" s="52"/>
      <c r="AB26" s="50" t="s">
        <v>273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34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:A2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0.83203125" style="49" customWidth="1"/>
    <col min="6" max="6" width="5.1640625" style="49" customWidth="1"/>
    <col min="7" max="7" width="10.83203125" style="49" customWidth="1"/>
    <col min="8" max="8" width="7.83203125" style="49" customWidth="1"/>
    <col min="9" max="9" width="6" style="49" customWidth="1"/>
    <col min="10" max="10" width="4.5" style="49" customWidth="1"/>
    <col min="11" max="11" width="7" style="39" customWidth="1"/>
    <col min="12" max="12" width="7.6640625" style="45" bestFit="1" customWidth="1"/>
    <col min="13" max="13" width="24" style="45" bestFit="1" customWidth="1"/>
    <col min="14" max="14" width="31.83203125" style="45" bestFit="1" customWidth="1"/>
    <col min="15" max="16384" width="12.83203125" style="45"/>
  </cols>
  <sheetData>
    <row r="1" spans="1:14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4" ht="21" customHeight="1" x14ac:dyDescent="0.15">
      <c r="A2" s="47">
        <v>13301375</v>
      </c>
      <c r="B2" s="47">
        <v>1</v>
      </c>
      <c r="C2" s="47" t="s">
        <v>88</v>
      </c>
      <c r="D2" s="47">
        <v>100</v>
      </c>
      <c r="E2" s="47" t="s">
        <v>285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7" si="0">D2</f>
        <v>100</v>
      </c>
      <c r="L2" s="51"/>
      <c r="M2" s="51"/>
      <c r="N2" s="51" t="s">
        <v>306</v>
      </c>
    </row>
    <row r="3" spans="1:14" ht="21" customHeight="1" x14ac:dyDescent="0.15">
      <c r="A3" s="47">
        <v>13301376</v>
      </c>
      <c r="B3" s="47">
        <v>1</v>
      </c>
      <c r="C3" s="47" t="s">
        <v>249</v>
      </c>
      <c r="D3" s="47">
        <v>100</v>
      </c>
      <c r="E3" s="47" t="s">
        <v>285</v>
      </c>
      <c r="F3" s="47" t="s">
        <v>285</v>
      </c>
      <c r="G3" s="47">
        <v>1</v>
      </c>
      <c r="H3" s="47" t="s">
        <v>285</v>
      </c>
      <c r="I3" s="47" t="s">
        <v>285</v>
      </c>
      <c r="J3" s="48">
        <f t="shared" si="0"/>
        <v>100</v>
      </c>
      <c r="L3" s="51"/>
      <c r="M3" s="51"/>
      <c r="N3" s="51" t="s">
        <v>307</v>
      </c>
    </row>
    <row r="4" spans="1:14" ht="21" customHeight="1" x14ac:dyDescent="0.15">
      <c r="A4" s="47">
        <v>13301227</v>
      </c>
      <c r="B4" s="47">
        <v>0</v>
      </c>
      <c r="C4" s="47">
        <v>3</v>
      </c>
      <c r="D4" s="47">
        <v>50</v>
      </c>
      <c r="E4" s="47" t="s">
        <v>285</v>
      </c>
      <c r="F4" s="47" t="s">
        <v>88</v>
      </c>
      <c r="G4" s="47" t="s">
        <v>88</v>
      </c>
      <c r="H4" s="47" t="s">
        <v>88</v>
      </c>
      <c r="I4" s="47" t="s">
        <v>88</v>
      </c>
      <c r="J4" s="48">
        <f t="shared" si="0"/>
        <v>50</v>
      </c>
      <c r="L4" s="51"/>
      <c r="M4" s="51" t="s">
        <v>286</v>
      </c>
      <c r="N4" s="51" t="s">
        <v>292</v>
      </c>
    </row>
    <row r="5" spans="1:14" ht="21" customHeight="1" x14ac:dyDescent="0.15">
      <c r="A5" s="47">
        <v>13301228</v>
      </c>
      <c r="B5" s="47">
        <v>0</v>
      </c>
      <c r="C5" s="47">
        <v>3</v>
      </c>
      <c r="D5" s="47">
        <v>50</v>
      </c>
      <c r="E5" s="47" t="s">
        <v>285</v>
      </c>
      <c r="F5" s="47" t="s">
        <v>285</v>
      </c>
      <c r="G5" s="47" t="s">
        <v>285</v>
      </c>
      <c r="H5" s="47" t="s">
        <v>285</v>
      </c>
      <c r="I5" s="47" t="s">
        <v>285</v>
      </c>
      <c r="J5" s="48">
        <f t="shared" si="0"/>
        <v>50</v>
      </c>
      <c r="L5" s="51"/>
      <c r="M5" s="51" t="s">
        <v>293</v>
      </c>
      <c r="N5" s="51" t="s">
        <v>294</v>
      </c>
    </row>
    <row r="6" spans="1:14" ht="21" customHeight="1" x14ac:dyDescent="0.15">
      <c r="A6" s="47">
        <v>13301229</v>
      </c>
      <c r="B6" s="47">
        <v>0</v>
      </c>
      <c r="C6" s="47">
        <v>4</v>
      </c>
      <c r="D6" s="47">
        <v>100</v>
      </c>
      <c r="E6" s="47">
        <v>80</v>
      </c>
      <c r="F6" s="47" t="s">
        <v>285</v>
      </c>
      <c r="G6" s="47">
        <v>1</v>
      </c>
      <c r="H6" s="47" t="s">
        <v>285</v>
      </c>
      <c r="I6" s="47" t="s">
        <v>285</v>
      </c>
      <c r="J6" s="48">
        <f t="shared" si="0"/>
        <v>100</v>
      </c>
      <c r="L6" s="51"/>
      <c r="M6" s="51" t="s">
        <v>309</v>
      </c>
      <c r="N6" s="51" t="s">
        <v>295</v>
      </c>
    </row>
    <row r="7" spans="1:14" ht="21" customHeight="1" x14ac:dyDescent="0.15">
      <c r="A7" s="47">
        <v>13301230</v>
      </c>
      <c r="B7" s="47">
        <v>0</v>
      </c>
      <c r="C7" s="47">
        <v>3</v>
      </c>
      <c r="D7" s="47">
        <v>60</v>
      </c>
      <c r="E7" s="47" t="s">
        <v>285</v>
      </c>
      <c r="F7" s="47" t="s">
        <v>285</v>
      </c>
      <c r="G7" s="47" t="s">
        <v>285</v>
      </c>
      <c r="H7" s="47" t="s">
        <v>285</v>
      </c>
      <c r="I7" s="47" t="s">
        <v>285</v>
      </c>
      <c r="J7" s="48">
        <f t="shared" si="0"/>
        <v>60</v>
      </c>
      <c r="L7" s="51"/>
      <c r="M7" s="51" t="s">
        <v>287</v>
      </c>
      <c r="N7" s="51" t="s">
        <v>288</v>
      </c>
    </row>
    <row r="8" spans="1:14" ht="21" customHeight="1" x14ac:dyDescent="0.15">
      <c r="A8" s="47">
        <v>13301200</v>
      </c>
      <c r="B8" s="47">
        <v>1</v>
      </c>
      <c r="C8" s="47" t="s">
        <v>88</v>
      </c>
      <c r="D8" s="47">
        <v>100</v>
      </c>
      <c r="E8" s="47" t="s">
        <v>88</v>
      </c>
      <c r="F8" s="47" t="s">
        <v>88</v>
      </c>
      <c r="G8" s="47">
        <v>1</v>
      </c>
      <c r="H8" s="47" t="s">
        <v>88</v>
      </c>
      <c r="I8" s="47" t="s">
        <v>88</v>
      </c>
      <c r="J8" s="48">
        <f t="shared" ref="J8:J16" si="1">D8</f>
        <v>100</v>
      </c>
      <c r="L8" s="50" t="s">
        <v>255</v>
      </c>
      <c r="M8" s="51" t="s">
        <v>321</v>
      </c>
      <c r="N8" s="51" t="s">
        <v>297</v>
      </c>
    </row>
    <row r="9" spans="1:14" ht="28" x14ac:dyDescent="0.15">
      <c r="A9" s="47">
        <v>13301201</v>
      </c>
      <c r="B9" s="47">
        <v>1</v>
      </c>
      <c r="C9" s="47" t="s">
        <v>249</v>
      </c>
      <c r="D9" s="47">
        <v>100</v>
      </c>
      <c r="E9" s="47" t="s">
        <v>249</v>
      </c>
      <c r="F9" s="47" t="s">
        <v>249</v>
      </c>
      <c r="G9" s="47">
        <v>1</v>
      </c>
      <c r="H9" s="47" t="s">
        <v>249</v>
      </c>
      <c r="I9" s="47" t="s">
        <v>249</v>
      </c>
      <c r="J9" s="48">
        <f t="shared" si="1"/>
        <v>100</v>
      </c>
      <c r="L9" s="50" t="s">
        <v>254</v>
      </c>
      <c r="M9" s="51" t="s">
        <v>315</v>
      </c>
      <c r="N9" s="51" t="s">
        <v>327</v>
      </c>
    </row>
    <row r="10" spans="1:14" ht="21" customHeight="1" x14ac:dyDescent="0.15">
      <c r="A10" s="47">
        <v>13301202</v>
      </c>
      <c r="B10" s="47">
        <v>0</v>
      </c>
      <c r="C10" s="47">
        <v>4</v>
      </c>
      <c r="D10" s="47">
        <v>20</v>
      </c>
      <c r="E10" s="47" t="s">
        <v>88</v>
      </c>
      <c r="F10" s="47" t="s">
        <v>88</v>
      </c>
      <c r="G10" s="47">
        <v>1</v>
      </c>
      <c r="H10" s="47" t="s">
        <v>88</v>
      </c>
      <c r="I10" s="47" t="s">
        <v>88</v>
      </c>
      <c r="J10" s="48">
        <f t="shared" si="1"/>
        <v>20</v>
      </c>
      <c r="L10" s="50" t="s">
        <v>255</v>
      </c>
      <c r="M10" s="106" t="s">
        <v>316</v>
      </c>
      <c r="N10" s="106" t="s">
        <v>310</v>
      </c>
    </row>
    <row r="11" spans="1:14" ht="21" customHeight="1" x14ac:dyDescent="0.15">
      <c r="A11" s="47">
        <v>13301203</v>
      </c>
      <c r="B11" s="47">
        <v>0</v>
      </c>
      <c r="C11" s="47">
        <v>3</v>
      </c>
      <c r="D11" s="47">
        <v>100</v>
      </c>
      <c r="E11" s="47" t="s">
        <v>88</v>
      </c>
      <c r="F11" s="47" t="s">
        <v>88</v>
      </c>
      <c r="G11" s="47">
        <v>6</v>
      </c>
      <c r="H11" s="47" t="s">
        <v>88</v>
      </c>
      <c r="I11" s="47" t="s">
        <v>88</v>
      </c>
      <c r="J11" s="48">
        <f t="shared" si="1"/>
        <v>100</v>
      </c>
      <c r="L11" s="50" t="s">
        <v>255</v>
      </c>
      <c r="M11" s="51" t="s">
        <v>319</v>
      </c>
      <c r="N11" s="51" t="s">
        <v>325</v>
      </c>
    </row>
    <row r="12" spans="1:14" ht="21" customHeight="1" x14ac:dyDescent="0.15">
      <c r="A12" s="47">
        <v>13301204</v>
      </c>
      <c r="B12" s="47">
        <v>0</v>
      </c>
      <c r="C12" s="47">
        <v>5</v>
      </c>
      <c r="D12" s="47">
        <v>100</v>
      </c>
      <c r="E12" s="47" t="s">
        <v>88</v>
      </c>
      <c r="F12" s="47" t="s">
        <v>88</v>
      </c>
      <c r="G12" s="47">
        <v>2</v>
      </c>
      <c r="H12" s="47">
        <v>5</v>
      </c>
      <c r="I12" s="47" t="s">
        <v>88</v>
      </c>
      <c r="J12" s="48">
        <f t="shared" si="1"/>
        <v>100</v>
      </c>
      <c r="L12" s="50" t="s">
        <v>256</v>
      </c>
      <c r="M12" s="51" t="s">
        <v>317</v>
      </c>
      <c r="N12" s="51" t="s">
        <v>266</v>
      </c>
    </row>
    <row r="13" spans="1:14" ht="21" customHeight="1" x14ac:dyDescent="0.15">
      <c r="A13" s="47">
        <v>13301205</v>
      </c>
      <c r="B13" s="47">
        <v>0</v>
      </c>
      <c r="C13" s="47">
        <v>3</v>
      </c>
      <c r="D13" s="47">
        <v>100</v>
      </c>
      <c r="E13" s="47" t="s">
        <v>88</v>
      </c>
      <c r="F13" s="47" t="s">
        <v>88</v>
      </c>
      <c r="G13" s="47">
        <v>3</v>
      </c>
      <c r="H13" s="47" t="s">
        <v>88</v>
      </c>
      <c r="I13" s="47" t="s">
        <v>88</v>
      </c>
      <c r="J13" s="48">
        <f t="shared" si="1"/>
        <v>100</v>
      </c>
      <c r="L13" s="50" t="s">
        <v>257</v>
      </c>
      <c r="M13" s="106" t="s">
        <v>274</v>
      </c>
      <c r="N13" s="106" t="s">
        <v>263</v>
      </c>
    </row>
    <row r="14" spans="1:14" ht="21" customHeight="1" x14ac:dyDescent="0.15">
      <c r="A14" s="47">
        <v>13301206</v>
      </c>
      <c r="B14" s="47">
        <v>0</v>
      </c>
      <c r="C14" s="47">
        <v>3</v>
      </c>
      <c r="D14" s="47">
        <v>100</v>
      </c>
      <c r="E14" s="47" t="s">
        <v>88</v>
      </c>
      <c r="F14" s="47" t="s">
        <v>88</v>
      </c>
      <c r="G14" s="47">
        <v>3</v>
      </c>
      <c r="H14" s="47" t="s">
        <v>88</v>
      </c>
      <c r="I14" s="47" t="s">
        <v>88</v>
      </c>
      <c r="J14" s="48">
        <f t="shared" si="1"/>
        <v>100</v>
      </c>
      <c r="L14" s="50" t="s">
        <v>254</v>
      </c>
      <c r="M14" s="106" t="s">
        <v>275</v>
      </c>
      <c r="N14" s="106" t="s">
        <v>265</v>
      </c>
    </row>
    <row r="15" spans="1:14" ht="21" customHeight="1" x14ac:dyDescent="0.15">
      <c r="A15" s="47">
        <v>13301208</v>
      </c>
      <c r="B15" s="47">
        <v>0</v>
      </c>
      <c r="C15" s="47">
        <v>3</v>
      </c>
      <c r="D15" s="47">
        <v>100</v>
      </c>
      <c r="E15" s="47" t="s">
        <v>88</v>
      </c>
      <c r="F15" s="47" t="s">
        <v>88</v>
      </c>
      <c r="G15" s="47">
        <v>3</v>
      </c>
      <c r="H15" s="47" t="s">
        <v>88</v>
      </c>
      <c r="I15" s="47" t="s">
        <v>88</v>
      </c>
      <c r="J15" s="48">
        <f t="shared" si="1"/>
        <v>100</v>
      </c>
      <c r="L15" s="50" t="s">
        <v>257</v>
      </c>
      <c r="M15" s="106" t="s">
        <v>276</v>
      </c>
      <c r="N15" s="106" t="s">
        <v>264</v>
      </c>
    </row>
    <row r="16" spans="1:14" ht="28" x14ac:dyDescent="0.15">
      <c r="A16" s="47">
        <v>13301209</v>
      </c>
      <c r="B16" s="47">
        <v>1</v>
      </c>
      <c r="C16" s="47" t="s">
        <v>88</v>
      </c>
      <c r="D16" s="47">
        <v>100</v>
      </c>
      <c r="E16" s="47" t="s">
        <v>88</v>
      </c>
      <c r="F16" s="47" t="s">
        <v>88</v>
      </c>
      <c r="G16" s="47">
        <v>1</v>
      </c>
      <c r="H16" s="47" t="s">
        <v>88</v>
      </c>
      <c r="I16" s="47" t="s">
        <v>88</v>
      </c>
      <c r="J16" s="48">
        <f t="shared" si="1"/>
        <v>100</v>
      </c>
      <c r="L16" s="50" t="s">
        <v>258</v>
      </c>
      <c r="M16" s="51" t="s">
        <v>322</v>
      </c>
      <c r="N16" s="51" t="s">
        <v>298</v>
      </c>
    </row>
    <row r="17" spans="1:14" ht="28" x14ac:dyDescent="0.15">
      <c r="A17" s="47">
        <v>13301210</v>
      </c>
      <c r="B17" s="47">
        <v>1</v>
      </c>
      <c r="C17" s="47" t="s">
        <v>88</v>
      </c>
      <c r="D17" s="47">
        <v>100</v>
      </c>
      <c r="E17" s="47" t="s">
        <v>88</v>
      </c>
      <c r="F17" s="47" t="s">
        <v>88</v>
      </c>
      <c r="G17" s="47">
        <v>1</v>
      </c>
      <c r="H17" s="47" t="s">
        <v>88</v>
      </c>
      <c r="I17" s="47" t="s">
        <v>88</v>
      </c>
      <c r="J17" s="48">
        <f t="shared" ref="J17:J22" si="2">D17</f>
        <v>100</v>
      </c>
      <c r="L17" s="50" t="s">
        <v>259</v>
      </c>
      <c r="M17" s="51" t="s">
        <v>323</v>
      </c>
      <c r="N17" s="51" t="s">
        <v>328</v>
      </c>
    </row>
    <row r="18" spans="1:14" ht="21" customHeight="1" x14ac:dyDescent="0.15">
      <c r="A18" s="47">
        <v>13301211</v>
      </c>
      <c r="B18" s="47">
        <v>0</v>
      </c>
      <c r="C18" s="47">
        <v>4</v>
      </c>
      <c r="D18" s="47">
        <v>20</v>
      </c>
      <c r="E18" s="47" t="s">
        <v>88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si="2"/>
        <v>20</v>
      </c>
      <c r="L18" s="50" t="s">
        <v>262</v>
      </c>
      <c r="M18" s="106" t="s">
        <v>299</v>
      </c>
      <c r="N18" s="106" t="s">
        <v>311</v>
      </c>
    </row>
    <row r="19" spans="1:14" ht="28" x14ac:dyDescent="0.15">
      <c r="A19" s="47">
        <v>13301212</v>
      </c>
      <c r="B19" s="47">
        <v>0</v>
      </c>
      <c r="C19" s="47">
        <v>3</v>
      </c>
      <c r="D19" s="47">
        <v>100</v>
      </c>
      <c r="E19" s="47" t="s">
        <v>88</v>
      </c>
      <c r="F19" s="47" t="s">
        <v>88</v>
      </c>
      <c r="G19" s="47">
        <v>6</v>
      </c>
      <c r="H19" s="47" t="s">
        <v>88</v>
      </c>
      <c r="I19" s="47" t="s">
        <v>88</v>
      </c>
      <c r="J19" s="48">
        <f t="shared" si="2"/>
        <v>100</v>
      </c>
      <c r="L19" s="50" t="s">
        <v>261</v>
      </c>
      <c r="M19" s="51" t="s">
        <v>300</v>
      </c>
      <c r="N19" s="51" t="s">
        <v>324</v>
      </c>
    </row>
    <row r="20" spans="1:14" ht="21" customHeight="1" x14ac:dyDescent="0.15">
      <c r="A20" s="47">
        <v>13301213</v>
      </c>
      <c r="B20" s="47">
        <v>0</v>
      </c>
      <c r="C20" s="47">
        <v>5</v>
      </c>
      <c r="D20" s="47">
        <v>100</v>
      </c>
      <c r="E20" s="47" t="s">
        <v>88</v>
      </c>
      <c r="F20" s="47" t="s">
        <v>88</v>
      </c>
      <c r="G20" s="47">
        <v>2</v>
      </c>
      <c r="H20" s="47">
        <v>5</v>
      </c>
      <c r="I20" s="47" t="s">
        <v>88</v>
      </c>
      <c r="J20" s="48">
        <f t="shared" si="2"/>
        <v>100</v>
      </c>
      <c r="L20" s="50" t="s">
        <v>261</v>
      </c>
      <c r="M20" s="51" t="s">
        <v>268</v>
      </c>
      <c r="N20" s="51" t="s">
        <v>266</v>
      </c>
    </row>
    <row r="21" spans="1:14" ht="21" customHeight="1" x14ac:dyDescent="0.15">
      <c r="A21" s="47">
        <v>13301214</v>
      </c>
      <c r="B21" s="47">
        <v>0</v>
      </c>
      <c r="C21" s="47">
        <v>3</v>
      </c>
      <c r="D21" s="47">
        <v>100</v>
      </c>
      <c r="E21" s="47" t="s">
        <v>88</v>
      </c>
      <c r="F21" s="47" t="s">
        <v>88</v>
      </c>
      <c r="G21" s="47">
        <v>3</v>
      </c>
      <c r="H21" s="47" t="s">
        <v>88</v>
      </c>
      <c r="I21" s="47" t="s">
        <v>88</v>
      </c>
      <c r="J21" s="48">
        <f t="shared" si="2"/>
        <v>100</v>
      </c>
      <c r="L21" s="50" t="s">
        <v>267</v>
      </c>
      <c r="M21" s="106" t="s">
        <v>269</v>
      </c>
      <c r="N21" s="106" t="s">
        <v>332</v>
      </c>
    </row>
    <row r="22" spans="1:14" ht="21" customHeight="1" x14ac:dyDescent="0.15">
      <c r="A22" s="47">
        <v>13301215</v>
      </c>
      <c r="B22" s="47">
        <v>0</v>
      </c>
      <c r="C22" s="47">
        <v>3</v>
      </c>
      <c r="D22" s="47">
        <v>100</v>
      </c>
      <c r="E22" s="47" t="s">
        <v>88</v>
      </c>
      <c r="F22" s="47" t="s">
        <v>88</v>
      </c>
      <c r="G22" s="47">
        <v>3</v>
      </c>
      <c r="H22" s="47" t="s">
        <v>88</v>
      </c>
      <c r="I22" s="47" t="s">
        <v>88</v>
      </c>
      <c r="J22" s="48">
        <f t="shared" si="2"/>
        <v>100</v>
      </c>
      <c r="L22" s="50" t="s">
        <v>260</v>
      </c>
      <c r="M22" s="106" t="s">
        <v>270</v>
      </c>
      <c r="N22" s="106" t="s">
        <v>333</v>
      </c>
    </row>
    <row r="23" spans="1:14" ht="21" customHeight="1" x14ac:dyDescent="0.15">
      <c r="A23" s="47">
        <v>13301216</v>
      </c>
      <c r="B23" s="47">
        <v>0</v>
      </c>
      <c r="C23" s="47">
        <v>3</v>
      </c>
      <c r="D23" s="47">
        <v>100</v>
      </c>
      <c r="E23" s="47" t="s">
        <v>88</v>
      </c>
      <c r="F23" s="47" t="s">
        <v>88</v>
      </c>
      <c r="G23" s="47">
        <v>3</v>
      </c>
      <c r="H23" s="47" t="s">
        <v>88</v>
      </c>
      <c r="I23" s="47" t="s">
        <v>88</v>
      </c>
      <c r="J23" s="48">
        <f t="shared" ref="J23:J26" si="3">D23</f>
        <v>100</v>
      </c>
      <c r="L23" s="50" t="s">
        <v>260</v>
      </c>
      <c r="M23" s="106" t="s">
        <v>271</v>
      </c>
      <c r="N23" s="106" t="s">
        <v>334</v>
      </c>
    </row>
    <row r="24" spans="1:14" ht="21" customHeight="1" x14ac:dyDescent="0.15">
      <c r="A24" s="47">
        <v>13301217</v>
      </c>
      <c r="B24" s="47">
        <v>0</v>
      </c>
      <c r="C24" s="47">
        <v>3</v>
      </c>
      <c r="D24" s="47">
        <v>100</v>
      </c>
      <c r="E24" s="47" t="s">
        <v>88</v>
      </c>
      <c r="F24" s="47" t="s">
        <v>88</v>
      </c>
      <c r="G24" s="47">
        <v>3</v>
      </c>
      <c r="H24" s="47" t="s">
        <v>88</v>
      </c>
      <c r="I24" s="47" t="s">
        <v>88</v>
      </c>
      <c r="J24" s="48">
        <f t="shared" si="3"/>
        <v>100</v>
      </c>
      <c r="L24" s="50" t="s">
        <v>260</v>
      </c>
      <c r="M24" s="106" t="s">
        <v>308</v>
      </c>
      <c r="N24" s="106" t="s">
        <v>335</v>
      </c>
    </row>
    <row r="25" spans="1:14" ht="21" customHeight="1" x14ac:dyDescent="0.15">
      <c r="A25" s="47">
        <v>13301218</v>
      </c>
      <c r="B25" s="47">
        <v>0</v>
      </c>
      <c r="C25" s="47">
        <v>4</v>
      </c>
      <c r="D25" s="47">
        <v>100</v>
      </c>
      <c r="E25" s="47" t="s">
        <v>88</v>
      </c>
      <c r="F25" s="47" t="s">
        <v>88</v>
      </c>
      <c r="G25" s="47">
        <v>2</v>
      </c>
      <c r="H25" s="47">
        <v>5</v>
      </c>
      <c r="I25" s="47" t="s">
        <v>88</v>
      </c>
      <c r="J25" s="48">
        <f t="shared" si="3"/>
        <v>100</v>
      </c>
      <c r="L25" s="50" t="s">
        <v>254</v>
      </c>
      <c r="M25" s="51" t="s">
        <v>302</v>
      </c>
      <c r="N25" s="51" t="s">
        <v>266</v>
      </c>
    </row>
    <row r="26" spans="1:14" ht="21" customHeight="1" x14ac:dyDescent="0.15">
      <c r="A26" s="47">
        <v>13301219</v>
      </c>
      <c r="B26" s="47">
        <v>0</v>
      </c>
      <c r="C26" s="47">
        <v>4</v>
      </c>
      <c r="D26" s="47">
        <v>100</v>
      </c>
      <c r="E26" s="47" t="s">
        <v>88</v>
      </c>
      <c r="F26" s="47" t="s">
        <v>88</v>
      </c>
      <c r="G26" s="47">
        <v>2</v>
      </c>
      <c r="H26" s="47">
        <v>10</v>
      </c>
      <c r="I26" s="47" t="s">
        <v>88</v>
      </c>
      <c r="J26" s="48">
        <f t="shared" si="3"/>
        <v>100</v>
      </c>
      <c r="L26" s="50" t="s">
        <v>277</v>
      </c>
      <c r="M26" s="51" t="s">
        <v>318</v>
      </c>
      <c r="N26" s="51" t="s">
        <v>326</v>
      </c>
    </row>
    <row r="27" spans="1:14" ht="21" customHeight="1" x14ac:dyDescent="0.15">
      <c r="M27" s="49"/>
      <c r="N27" s="49"/>
    </row>
    <row r="28" spans="1:14" ht="21" customHeight="1" x14ac:dyDescent="0.15">
      <c r="M28" s="49"/>
      <c r="N28" s="49"/>
    </row>
    <row r="29" spans="1:14" ht="21" customHeight="1" x14ac:dyDescent="0.15">
      <c r="M29" s="49"/>
      <c r="N29" s="49"/>
    </row>
    <row r="30" spans="1:14" ht="21" customHeight="1" x14ac:dyDescent="0.15">
      <c r="M30" s="49"/>
      <c r="N30" s="49"/>
    </row>
    <row r="31" spans="1:14" ht="21" customHeight="1" x14ac:dyDescent="0.15">
      <c r="M31" s="49"/>
      <c r="N31" s="49"/>
    </row>
    <row r="32" spans="1:14" ht="21" customHeight="1" x14ac:dyDescent="0.15">
      <c r="M32" s="49"/>
      <c r="N32" s="49"/>
    </row>
    <row r="33" spans="13:14" ht="21" customHeight="1" x14ac:dyDescent="0.15">
      <c r="M33" s="49"/>
      <c r="N33" s="49"/>
    </row>
    <row r="34" spans="13:14" ht="21" customHeight="1" x14ac:dyDescent="0.15">
      <c r="M34" s="49"/>
      <c r="N34" s="49"/>
    </row>
  </sheetData>
  <autoFilter ref="A1:G1"/>
  <phoneticPr fontId="5"/>
  <conditionalFormatting sqref="K9">
    <cfRule type="duplicateValues" dxfId="16" priority="22"/>
  </conditionalFormatting>
  <conditionalFormatting sqref="K10">
    <cfRule type="duplicateValues" dxfId="15" priority="21"/>
  </conditionalFormatting>
  <conditionalFormatting sqref="K11">
    <cfRule type="duplicateValues" dxfId="14" priority="20"/>
  </conditionalFormatting>
  <conditionalFormatting sqref="K12">
    <cfRule type="duplicateValues" dxfId="13" priority="19"/>
  </conditionalFormatting>
  <conditionalFormatting sqref="K13">
    <cfRule type="duplicateValues" dxfId="12" priority="18"/>
  </conditionalFormatting>
  <conditionalFormatting sqref="K14">
    <cfRule type="duplicateValues" dxfId="11" priority="17"/>
  </conditionalFormatting>
  <conditionalFormatting sqref="K15">
    <cfRule type="duplicateValues" dxfId="10" priority="15"/>
  </conditionalFormatting>
  <conditionalFormatting sqref="K16">
    <cfRule type="duplicateValues" dxfId="9" priority="14"/>
  </conditionalFormatting>
  <conditionalFormatting sqref="K17:K24 K1 K27:K1048576 K8">
    <cfRule type="duplicateValues" dxfId="8" priority="24"/>
  </conditionalFormatting>
  <conditionalFormatting sqref="K25">
    <cfRule type="duplicateValues" dxfId="7" priority="8"/>
  </conditionalFormatting>
  <conditionalFormatting sqref="K26">
    <cfRule type="duplicateValues" dxfId="6" priority="7"/>
  </conditionalFormatting>
  <conditionalFormatting sqref="K4">
    <cfRule type="duplicateValues" dxfId="5" priority="6"/>
  </conditionalFormatting>
  <conditionalFormatting sqref="K5">
    <cfRule type="duplicateValues" dxfId="4" priority="5"/>
  </conditionalFormatting>
  <conditionalFormatting sqref="K6">
    <cfRule type="duplicateValues" dxfId="3" priority="4"/>
  </conditionalFormatting>
  <conditionalFormatting sqref="K7">
    <cfRule type="duplicateValues" dxfId="2" priority="3"/>
  </conditionalFormatting>
  <conditionalFormatting sqref="K2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B10" sqref="B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2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13301</v>
      </c>
      <c r="B2" s="57">
        <v>1</v>
      </c>
      <c r="C2" s="71" t="str">
        <f>A2&amp; "_"&amp;B2</f>
        <v>13301_1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223</v>
      </c>
      <c r="G2" s="57">
        <v>122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167</v>
      </c>
      <c r="R2" s="57" t="s">
        <v>168</v>
      </c>
    </row>
    <row r="3" spans="1:18" x14ac:dyDescent="0.15">
      <c r="A3" s="57">
        <v>13301</v>
      </c>
      <c r="B3" s="57">
        <v>1</v>
      </c>
      <c r="C3" s="71" t="str">
        <f t="shared" ref="C3:C5" si="0">A3&amp; "_"&amp;B3</f>
        <v>13301_1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223</v>
      </c>
      <c r="G3" s="57">
        <v>608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50</v>
      </c>
      <c r="Q3" s="57" t="s">
        <v>167</v>
      </c>
      <c r="R3" s="57" t="s">
        <v>168</v>
      </c>
    </row>
    <row r="4" spans="1:18" x14ac:dyDescent="0.15">
      <c r="A4" s="57">
        <v>13301</v>
      </c>
      <c r="B4" s="57">
        <v>1</v>
      </c>
      <c r="C4" s="71" t="str">
        <f t="shared" si="0"/>
        <v>13301_1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223</v>
      </c>
      <c r="G4" s="57">
        <v>125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20</v>
      </c>
      <c r="Q4" s="57" t="s">
        <v>167</v>
      </c>
      <c r="R4" s="57" t="s">
        <v>168</v>
      </c>
    </row>
    <row r="5" spans="1:18" x14ac:dyDescent="0.15">
      <c r="A5" s="57">
        <v>13301</v>
      </c>
      <c r="B5" s="57">
        <v>1</v>
      </c>
      <c r="C5" s="71" t="str">
        <f t="shared" si="0"/>
        <v>13301_1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223</v>
      </c>
      <c r="G5" s="57">
        <v>346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580</v>
      </c>
      <c r="Q5" s="57" t="s">
        <v>167</v>
      </c>
      <c r="R5" s="57" t="s">
        <v>168</v>
      </c>
    </row>
    <row r="6" spans="1:18" x14ac:dyDescent="0.15">
      <c r="A6" s="57">
        <v>13301</v>
      </c>
      <c r="B6" s="57">
        <v>1</v>
      </c>
      <c r="C6" s="71" t="str">
        <f t="shared" ref="C6" si="1">A6&amp; "_"&amp;B6</f>
        <v>13301_1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223</v>
      </c>
      <c r="G6" s="57">
        <v>347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150</v>
      </c>
      <c r="Q6" s="57" t="s">
        <v>167</v>
      </c>
      <c r="R6" s="57" t="s">
        <v>168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20" sqref="L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186</v>
      </c>
      <c r="B1" s="73" t="s">
        <v>187</v>
      </c>
      <c r="C1" s="77" t="s">
        <v>188</v>
      </c>
      <c r="D1" s="77" t="s">
        <v>33</v>
      </c>
      <c r="E1" s="73" t="s">
        <v>189</v>
      </c>
      <c r="F1" s="77" t="s">
        <v>190</v>
      </c>
      <c r="G1" s="77" t="s">
        <v>33</v>
      </c>
      <c r="H1" s="73" t="s">
        <v>191</v>
      </c>
      <c r="I1" s="90" t="s">
        <v>193</v>
      </c>
      <c r="J1" s="79" t="s">
        <v>125</v>
      </c>
      <c r="K1" s="78" t="s">
        <v>184</v>
      </c>
      <c r="L1" s="91" t="s">
        <v>183</v>
      </c>
      <c r="M1" s="80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L10" sqref="L1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186</v>
      </c>
      <c r="B1" s="73" t="s">
        <v>149</v>
      </c>
      <c r="C1" s="77" t="s">
        <v>188</v>
      </c>
      <c r="D1" s="77" t="s">
        <v>33</v>
      </c>
      <c r="E1" s="73" t="s">
        <v>189</v>
      </c>
      <c r="F1" s="77" t="s">
        <v>18</v>
      </c>
      <c r="G1" s="77" t="s">
        <v>33</v>
      </c>
      <c r="H1" s="73" t="s">
        <v>191</v>
      </c>
      <c r="I1" s="88" t="s">
        <v>192</v>
      </c>
      <c r="J1" s="90" t="s">
        <v>193</v>
      </c>
      <c r="K1" s="79" t="s">
        <v>125</v>
      </c>
      <c r="L1" s="78" t="s">
        <v>184</v>
      </c>
      <c r="M1" s="91" t="s">
        <v>183</v>
      </c>
      <c r="N1" s="80" t="s">
        <v>194</v>
      </c>
    </row>
    <row r="2" spans="1:14" ht="70" x14ac:dyDescent="0.15">
      <c r="A2" s="81" t="s">
        <v>195</v>
      </c>
      <c r="B2" s="82">
        <v>13301</v>
      </c>
      <c r="C2" s="83" t="str">
        <f ca="1">VLOOKUP($B2,OFFSET([2]quests!$A$1,0,0,COUNTA([2]quests!$A:$A),MATCH([3]stage_hints_failure!C$1,[2]quests!$1:$1,0)-MATCH([3]stage_hints_failure!$B$1,[2]quests!$1:$1,0)+1),MATCH([3]stage_hints_failure!C$1,[2]quests!$1:$1,0)-MATCH([3]stage_hints_failure!$B$1,[2]quests!$1:$1,0)+1,FALSE)</f>
        <v>タワーオブザクイーン -アヴァルシア-</v>
      </c>
      <c r="D2" s="83" t="str">
        <f ca="1">VLOOKUP($B2,OFFSET([2]quests!$A$1,0,0,COUNTA([2]quests!$A:$A),MATCH([3]stage_hints_failure!D$1,[2]quests!$1:$1,0)-MATCH([3]stage_hints_failure!$B$1,[2]quests!$1:$1,0)+1),MATCH([3]stage_hints_failure!D$1,[2]quests!$1:$1,0)-MATCH([3]stage_hints_failure!$B$1,[2]quests!$1:$1,0)+1,FALSE)</f>
        <v>タワーオブザクイーン1本目</v>
      </c>
      <c r="E2" s="84">
        <v>1</v>
      </c>
      <c r="F2" s="83" t="str">
        <f ca="1">VLOOKUP($B2&amp;"_"&amp;$E2,OFFSET([2]stages!$A$1,0,0,COUNTA([2]stages!$A:$A),MATCH([3]stage_hints_failure!F$1,[2]stages!$2:$2,0)-MATCH("temp_stage",[2]stages!$2:$2,0)+1),MATCH([3]stage_hints_failure!F$1,[2]stages!$2:$2,0)-MATCH("temp_stage",[2]stages!$2:$2,0)+1,FALSE)</f>
        <v>1階 コスト制限なし</v>
      </c>
      <c r="G2" s="83" t="str">
        <f ca="1">VLOOKUP($B2&amp;"_"&amp;$E2,OFFSET([2]stages!$A$1,0,0,COUNTA([2]stages!$A:$A),MATCH([3]stage_hints_failure!G$1,[2]stages!$2:$2,0)-MATCH("temp_stage",[2]stages!$2:$2,0)+1),MATCH([3]stage_hints_failure!G$1,[2]stages!$2:$2,0)-MATCH("temp_stage",[2]stages!$2:$2,0)+1,FALSE)</f>
        <v>タワーオブザクイーン1本目</v>
      </c>
      <c r="H2" s="85">
        <v>1</v>
      </c>
      <c r="I2" s="89">
        <v>4</v>
      </c>
      <c r="J2" s="107">
        <v>13301343</v>
      </c>
      <c r="K2" s="84" t="s">
        <v>283</v>
      </c>
      <c r="L2" s="86" t="s">
        <v>196</v>
      </c>
      <c r="M2" s="108" t="s">
        <v>284</v>
      </c>
      <c r="N2" s="57" t="s">
        <v>278</v>
      </c>
    </row>
    <row r="3" spans="1:14" ht="42" x14ac:dyDescent="0.15">
      <c r="A3" s="81" t="s">
        <v>195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2</v>
      </c>
      <c r="I3" s="89">
        <f>ROW()-1</f>
        <v>2</v>
      </c>
      <c r="J3" s="107">
        <v>13301334</v>
      </c>
      <c r="K3" s="84" t="s">
        <v>126</v>
      </c>
      <c r="L3" s="86" t="s">
        <v>196</v>
      </c>
      <c r="M3" s="108" t="s">
        <v>282</v>
      </c>
      <c r="N3" s="57" t="s">
        <v>278</v>
      </c>
    </row>
    <row r="4" spans="1:14" ht="56" x14ac:dyDescent="0.15">
      <c r="A4" s="81" t="s">
        <v>195</v>
      </c>
      <c r="B4" s="82">
        <v>13301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1階 コスト制限なし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2</v>
      </c>
      <c r="I4" s="89">
        <f>ROW()-1</f>
        <v>3</v>
      </c>
      <c r="J4" s="107">
        <v>13301335</v>
      </c>
      <c r="K4" s="84" t="s">
        <v>126</v>
      </c>
      <c r="L4" s="86" t="s">
        <v>196</v>
      </c>
      <c r="M4" s="108" t="s">
        <v>280</v>
      </c>
      <c r="N4" s="57" t="s">
        <v>278</v>
      </c>
    </row>
    <row r="5" spans="1:14" ht="42" x14ac:dyDescent="0.15">
      <c r="A5" s="81" t="s">
        <v>195</v>
      </c>
      <c r="B5" s="82">
        <v>13301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1階 コスト制限なし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3</v>
      </c>
      <c r="I5" s="89">
        <f>ROW()-1</f>
        <v>4</v>
      </c>
      <c r="J5" s="107">
        <v>13301336</v>
      </c>
      <c r="K5" s="84" t="s">
        <v>126</v>
      </c>
      <c r="L5" s="86" t="s">
        <v>196</v>
      </c>
      <c r="M5" s="108" t="s">
        <v>281</v>
      </c>
      <c r="N5" s="57" t="s">
        <v>278</v>
      </c>
    </row>
    <row r="6" spans="1:14" ht="56" x14ac:dyDescent="0.15">
      <c r="A6" s="81" t="s">
        <v>195</v>
      </c>
      <c r="B6" s="82">
        <v>13301</v>
      </c>
      <c r="C6" s="83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3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1階 コスト制限なし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5">
        <v>3</v>
      </c>
      <c r="I6" s="89">
        <v>4</v>
      </c>
      <c r="J6" s="107">
        <v>13301337</v>
      </c>
      <c r="K6" s="84" t="s">
        <v>126</v>
      </c>
      <c r="L6" s="86" t="s">
        <v>196</v>
      </c>
      <c r="M6" s="108" t="s">
        <v>279</v>
      </c>
      <c r="N6" s="57" t="s">
        <v>278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F15" sqref="F1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208</v>
      </c>
      <c r="B1" s="94" t="s">
        <v>209</v>
      </c>
      <c r="C1" s="77" t="s">
        <v>210</v>
      </c>
      <c r="D1" s="77" t="s">
        <v>33</v>
      </c>
      <c r="E1" s="94" t="s">
        <v>211</v>
      </c>
      <c r="F1" s="77" t="s">
        <v>212</v>
      </c>
      <c r="G1" s="77" t="s">
        <v>33</v>
      </c>
      <c r="H1" s="94" t="s">
        <v>213</v>
      </c>
      <c r="I1" s="94" t="s">
        <v>214</v>
      </c>
      <c r="J1" s="94" t="s">
        <v>215</v>
      </c>
      <c r="K1" s="73" t="s">
        <v>216</v>
      </c>
      <c r="L1" s="73" t="s">
        <v>217</v>
      </c>
      <c r="M1" s="73" t="s">
        <v>155</v>
      </c>
      <c r="N1" s="77" t="s">
        <v>16</v>
      </c>
      <c r="O1" s="73" t="s">
        <v>218</v>
      </c>
      <c r="P1" s="73" t="s">
        <v>56</v>
      </c>
      <c r="Q1" s="73" t="s">
        <v>219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220</v>
      </c>
      <c r="X1" s="73" t="s">
        <v>221</v>
      </c>
    </row>
    <row r="2" spans="1:24" x14ac:dyDescent="0.15">
      <c r="A2" s="95" t="str">
        <f>B2&amp;"_"&amp;E2&amp;"_"&amp;H2&amp;"_"&amp;I2&amp;"_"&amp;J2</f>
        <v>13301_1_singleonly_clear_1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1階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251</v>
      </c>
      <c r="I2" s="84" t="s">
        <v>222</v>
      </c>
      <c r="J2" s="84">
        <v>1</v>
      </c>
      <c r="K2" s="84">
        <v>850</v>
      </c>
      <c r="L2" s="84" t="s">
        <v>252</v>
      </c>
      <c r="M2" s="84">
        <v>8000</v>
      </c>
      <c r="N2" s="96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4" t="s">
        <v>253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224</v>
      </c>
      <c r="X2" s="98" t="s">
        <v>225</v>
      </c>
    </row>
    <row r="3" spans="1:24" x14ac:dyDescent="0.15">
      <c r="A3" s="95" t="str">
        <f>B3&amp;"_"&amp;E3&amp;"_"&amp;H3&amp;"_"&amp;I3&amp;"_"&amp;J3</f>
        <v>13301_1_singleonly_clear_2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251</v>
      </c>
      <c r="I3" s="84" t="s">
        <v>222</v>
      </c>
      <c r="J3" s="84">
        <v>2</v>
      </c>
      <c r="K3" s="84">
        <v>150</v>
      </c>
      <c r="L3" s="84" t="s">
        <v>252</v>
      </c>
      <c r="M3" s="84">
        <v>44000</v>
      </c>
      <c r="N3" s="96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4" t="s">
        <v>253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224</v>
      </c>
      <c r="X3" s="98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2016-11-11T13:54:30Z</dcterms:modified>
</cp:coreProperties>
</file>