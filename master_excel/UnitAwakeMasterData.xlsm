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itani.k/BULL_data/master_excel/"/>
    </mc:Choice>
  </mc:AlternateContent>
  <bookViews>
    <workbookView xWindow="0" yWindow="460" windowWidth="28800" windowHeight="15940" tabRatio="963" activeTab="2"/>
  </bookViews>
  <sheets>
    <sheet name="output" sheetId="49" r:id="rId1"/>
    <sheet name="ステータス理論値幅" sheetId="48" r:id="rId2"/>
    <sheet name="fork_awake_units" sheetId="23" r:id="rId3"/>
    <sheet name="fork_awake_materials" sheetId="56" r:id="rId4"/>
    <sheet name="awake_material_habitats" sheetId="33" r:id="rId5"/>
    <sheet name="awake_material_habitats_manual" sheetId="52" r:id="rId6"/>
    <sheet name="ビット" sheetId="15" r:id="rId7"/>
  </sheets>
  <externalReferences>
    <externalReference r:id="rId8"/>
    <externalReference r:id="rId9"/>
  </externalReferences>
  <definedNames>
    <definedName name="_xlnm._FilterDatabase" localSheetId="3" hidden="1">fork_awake_materials!$A$1:$I$1</definedName>
    <definedName name="_xlnm._FilterDatabase" localSheetId="2" hidden="1">fork_awake_units!$A$1:$U$430</definedName>
    <definedName name="base_character_id">#REF!</definedName>
    <definedName name="character_id">fork_awake_units!$A$1</definedName>
    <definedName name="Excel_BuiltIn__FilterDatabase_3_1_1" localSheetId="4">awake_material_habitats!$A$1:$D$1</definedName>
    <definedName name="Excel_BuiltIn__FilterDatabase_6_1" localSheetId="4">[1]unit_skills!#REF!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21" i="23" l="1"/>
  <c r="U421" i="23"/>
  <c r="F1172" i="56"/>
  <c r="A431" i="23"/>
  <c r="A432" i="23"/>
  <c r="A433" i="23"/>
  <c r="A434" i="23"/>
  <c r="A435" i="23"/>
  <c r="A436" i="23"/>
  <c r="A437" i="23"/>
  <c r="A438" i="23"/>
  <c r="A439" i="23"/>
  <c r="A440" i="23"/>
  <c r="A441" i="23"/>
  <c r="A442" i="23"/>
  <c r="A443" i="23"/>
  <c r="A444" i="23"/>
  <c r="C1172" i="56"/>
  <c r="D1172" i="56"/>
  <c r="B1172" i="56"/>
  <c r="F1171" i="56"/>
  <c r="C1171" i="56"/>
  <c r="D1171" i="56"/>
  <c r="B1171" i="56"/>
  <c r="F1170" i="56"/>
  <c r="C1170" i="56"/>
  <c r="D1170" i="56"/>
  <c r="B1170" i="56"/>
  <c r="G422" i="23"/>
  <c r="W422" i="23"/>
  <c r="S421" i="23"/>
  <c r="S422" i="23"/>
  <c r="T422" i="23"/>
  <c r="R422" i="23"/>
  <c r="O422" i="23"/>
  <c r="N422" i="23"/>
  <c r="M422" i="23"/>
  <c r="L422" i="23"/>
  <c r="J422" i="23"/>
  <c r="K422" i="23"/>
  <c r="I422" i="23"/>
  <c r="H422" i="23"/>
  <c r="F422" i="23"/>
  <c r="E422" i="23"/>
  <c r="D422" i="23"/>
  <c r="C422" i="23"/>
  <c r="B422" i="23"/>
  <c r="W421" i="23"/>
  <c r="T421" i="23"/>
  <c r="R421" i="23"/>
  <c r="O421" i="23"/>
  <c r="N421" i="23"/>
  <c r="M421" i="23"/>
  <c r="L421" i="23"/>
  <c r="J421" i="23"/>
  <c r="K421" i="23"/>
  <c r="I421" i="23"/>
  <c r="H421" i="23"/>
  <c r="F421" i="23"/>
  <c r="E421" i="23"/>
  <c r="D421" i="23"/>
  <c r="C421" i="23"/>
  <c r="B421" i="23"/>
  <c r="F461" i="56"/>
  <c r="C461" i="56"/>
  <c r="D461" i="56"/>
  <c r="B461" i="56"/>
  <c r="F460" i="56"/>
  <c r="C460" i="56"/>
  <c r="D460" i="56"/>
  <c r="B460" i="56"/>
  <c r="F459" i="56"/>
  <c r="C459" i="56"/>
  <c r="D459" i="56"/>
  <c r="B459" i="56"/>
  <c r="F458" i="56"/>
  <c r="C458" i="56"/>
  <c r="D458" i="56"/>
  <c r="B458" i="56"/>
  <c r="F457" i="56"/>
  <c r="C457" i="56"/>
  <c r="D457" i="56"/>
  <c r="B457" i="56"/>
  <c r="F456" i="56"/>
  <c r="C456" i="56"/>
  <c r="D456" i="56"/>
  <c r="B456" i="56"/>
  <c r="F455" i="56"/>
  <c r="C455" i="56"/>
  <c r="D455" i="56"/>
  <c r="B455" i="56"/>
  <c r="F454" i="56"/>
  <c r="C454" i="56"/>
  <c r="D454" i="56"/>
  <c r="B454" i="56"/>
  <c r="G196" i="23"/>
  <c r="S195" i="23"/>
  <c r="S196" i="23"/>
  <c r="T196" i="23"/>
  <c r="R196" i="23"/>
  <c r="O196" i="23"/>
  <c r="N196" i="23"/>
  <c r="M196" i="23"/>
  <c r="L196" i="23"/>
  <c r="J196" i="23"/>
  <c r="K196" i="23"/>
  <c r="I196" i="23"/>
  <c r="H196" i="23"/>
  <c r="F196" i="23"/>
  <c r="E196" i="23"/>
  <c r="D196" i="23"/>
  <c r="C196" i="23"/>
  <c r="B196" i="23"/>
  <c r="G195" i="23"/>
  <c r="T195" i="23"/>
  <c r="R195" i="23"/>
  <c r="O195" i="23"/>
  <c r="N195" i="23"/>
  <c r="M195" i="23"/>
  <c r="L195" i="23"/>
  <c r="J195" i="23"/>
  <c r="K195" i="23"/>
  <c r="I195" i="23"/>
  <c r="H195" i="23"/>
  <c r="F195" i="23"/>
  <c r="E195" i="23"/>
  <c r="D195" i="23"/>
  <c r="C195" i="23"/>
  <c r="B195" i="23"/>
  <c r="G194" i="23"/>
  <c r="S193" i="23"/>
  <c r="S194" i="23"/>
  <c r="T194" i="23"/>
  <c r="R194" i="23"/>
  <c r="O194" i="23"/>
  <c r="N194" i="23"/>
  <c r="M194" i="23"/>
  <c r="L194" i="23"/>
  <c r="J194" i="23"/>
  <c r="K194" i="23"/>
  <c r="I194" i="23"/>
  <c r="H194" i="23"/>
  <c r="F194" i="23"/>
  <c r="E194" i="23"/>
  <c r="D194" i="23"/>
  <c r="C194" i="23"/>
  <c r="B194" i="23"/>
  <c r="G193" i="23"/>
  <c r="T193" i="23"/>
  <c r="R193" i="23"/>
  <c r="O193" i="23"/>
  <c r="N193" i="23"/>
  <c r="M193" i="23"/>
  <c r="L193" i="23"/>
  <c r="J193" i="23"/>
  <c r="K193" i="23"/>
  <c r="I193" i="23"/>
  <c r="H193" i="23"/>
  <c r="F193" i="23"/>
  <c r="E193" i="23"/>
  <c r="D193" i="23"/>
  <c r="C193" i="23"/>
  <c r="B193" i="23"/>
  <c r="G192" i="23"/>
  <c r="S191" i="23"/>
  <c r="S192" i="23"/>
  <c r="T192" i="23"/>
  <c r="R192" i="23"/>
  <c r="O192" i="23"/>
  <c r="N192" i="23"/>
  <c r="M192" i="23"/>
  <c r="L192" i="23"/>
  <c r="J192" i="23"/>
  <c r="K192" i="23"/>
  <c r="I192" i="23"/>
  <c r="H192" i="23"/>
  <c r="F192" i="23"/>
  <c r="E192" i="23"/>
  <c r="D192" i="23"/>
  <c r="C192" i="23"/>
  <c r="B192" i="23"/>
  <c r="G191" i="23"/>
  <c r="T191" i="23"/>
  <c r="R191" i="23"/>
  <c r="O191" i="23"/>
  <c r="N191" i="23"/>
  <c r="M191" i="23"/>
  <c r="L191" i="23"/>
  <c r="J191" i="23"/>
  <c r="K191" i="23"/>
  <c r="I191" i="23"/>
  <c r="H191" i="23"/>
  <c r="F191" i="23"/>
  <c r="E191" i="23"/>
  <c r="D191" i="23"/>
  <c r="C191" i="23"/>
  <c r="B191" i="23"/>
  <c r="G190" i="23"/>
  <c r="S189" i="23"/>
  <c r="S190" i="23"/>
  <c r="T190" i="23"/>
  <c r="R190" i="23"/>
  <c r="O190" i="23"/>
  <c r="N190" i="23"/>
  <c r="M190" i="23"/>
  <c r="L190" i="23"/>
  <c r="J190" i="23"/>
  <c r="K190" i="23"/>
  <c r="I190" i="23"/>
  <c r="H190" i="23"/>
  <c r="F190" i="23"/>
  <c r="E190" i="23"/>
  <c r="D190" i="23"/>
  <c r="C190" i="23"/>
  <c r="B190" i="23"/>
  <c r="G189" i="23"/>
  <c r="T189" i="23"/>
  <c r="R189" i="23"/>
  <c r="O189" i="23"/>
  <c r="N189" i="23"/>
  <c r="M189" i="23"/>
  <c r="L189" i="23"/>
  <c r="J189" i="23"/>
  <c r="K189" i="23"/>
  <c r="I189" i="23"/>
  <c r="H189" i="23"/>
  <c r="F189" i="23"/>
  <c r="E189" i="23"/>
  <c r="D189" i="23"/>
  <c r="C189" i="23"/>
  <c r="B189" i="23"/>
  <c r="A1228" i="56"/>
  <c r="B1228" i="56"/>
  <c r="A1235" i="56"/>
  <c r="B1235" i="56"/>
  <c r="A1211" i="56"/>
  <c r="A1212" i="56"/>
  <c r="A1213" i="56"/>
  <c r="A1214" i="56"/>
  <c r="A1215" i="56"/>
  <c r="A1216" i="56"/>
  <c r="A1217" i="56"/>
  <c r="A1218" i="56"/>
  <c r="A1219" i="56"/>
  <c r="A1220" i="56"/>
  <c r="A1221" i="56"/>
  <c r="A1222" i="56"/>
  <c r="A1223" i="56"/>
  <c r="A1224" i="56"/>
  <c r="A1225" i="56"/>
  <c r="A1226" i="56"/>
  <c r="A1227" i="56"/>
  <c r="A1229" i="56"/>
  <c r="A1230" i="56"/>
  <c r="A1231" i="56"/>
  <c r="A1232" i="56"/>
  <c r="A1233" i="56"/>
  <c r="A1234" i="56"/>
  <c r="A1236" i="56"/>
  <c r="A1237" i="56"/>
  <c r="A1238" i="56"/>
  <c r="A1239" i="56"/>
  <c r="A1240" i="56"/>
  <c r="A1241" i="56"/>
  <c r="A1242" i="56"/>
  <c r="A1243" i="56"/>
  <c r="A1244" i="56"/>
  <c r="A1245" i="56"/>
  <c r="A1246" i="56"/>
  <c r="A1247" i="56"/>
  <c r="A1248" i="56"/>
  <c r="A1249" i="56"/>
  <c r="A1250" i="56"/>
  <c r="A1251" i="56"/>
  <c r="A1252" i="56"/>
  <c r="A1253" i="56"/>
  <c r="A1254" i="56"/>
  <c r="A1210" i="56"/>
  <c r="F1254" i="56"/>
  <c r="C1254" i="56"/>
  <c r="D1254" i="56"/>
  <c r="B1254" i="56"/>
  <c r="F1253" i="56"/>
  <c r="C1253" i="56"/>
  <c r="D1253" i="56"/>
  <c r="B1253" i="56"/>
  <c r="F1252" i="56"/>
  <c r="C1252" i="56"/>
  <c r="D1252" i="56"/>
  <c r="B1252" i="56"/>
  <c r="F1251" i="56"/>
  <c r="C1251" i="56"/>
  <c r="D1251" i="56"/>
  <c r="B1251" i="56"/>
  <c r="F1250" i="56"/>
  <c r="C1250" i="56"/>
  <c r="D1250" i="56"/>
  <c r="B1250" i="56"/>
  <c r="F1249" i="56"/>
  <c r="C1249" i="56"/>
  <c r="D1249" i="56"/>
  <c r="B1249" i="56"/>
  <c r="F1248" i="56"/>
  <c r="C1248" i="56"/>
  <c r="D1248" i="56"/>
  <c r="B1248" i="56"/>
  <c r="F1247" i="56"/>
  <c r="C1247" i="56"/>
  <c r="D1247" i="56"/>
  <c r="B1247" i="56"/>
  <c r="F1246" i="56"/>
  <c r="C1246" i="56"/>
  <c r="D1246" i="56"/>
  <c r="B1246" i="56"/>
  <c r="F1245" i="56"/>
  <c r="C1245" i="56"/>
  <c r="D1245" i="56"/>
  <c r="B1245" i="56"/>
  <c r="F1244" i="56"/>
  <c r="C1244" i="56"/>
  <c r="D1244" i="56"/>
  <c r="B1244" i="56"/>
  <c r="F1243" i="56"/>
  <c r="C1243" i="56"/>
  <c r="D1243" i="56"/>
  <c r="B1243" i="56"/>
  <c r="F1242" i="56"/>
  <c r="C1242" i="56"/>
  <c r="D1242" i="56"/>
  <c r="B1242" i="56"/>
  <c r="F1241" i="56"/>
  <c r="C1241" i="56"/>
  <c r="D1241" i="56"/>
  <c r="B1241" i="56"/>
  <c r="F1240" i="56"/>
  <c r="C1240" i="56"/>
  <c r="D1240" i="56"/>
  <c r="B1240" i="56"/>
  <c r="F1239" i="56"/>
  <c r="C1239" i="56"/>
  <c r="D1239" i="56"/>
  <c r="B1239" i="56"/>
  <c r="F1238" i="56"/>
  <c r="C1238" i="56"/>
  <c r="D1238" i="56"/>
  <c r="B1238" i="56"/>
  <c r="F1237" i="56"/>
  <c r="C1237" i="56"/>
  <c r="D1237" i="56"/>
  <c r="B1237" i="56"/>
  <c r="F1236" i="56"/>
  <c r="C1236" i="56"/>
  <c r="D1236" i="56"/>
  <c r="B1236" i="56"/>
  <c r="F1235" i="56"/>
  <c r="C1235" i="56"/>
  <c r="D1235" i="56"/>
  <c r="F1234" i="56"/>
  <c r="C1234" i="56"/>
  <c r="D1234" i="56"/>
  <c r="B1234" i="56"/>
  <c r="F1233" i="56"/>
  <c r="C1233" i="56"/>
  <c r="D1233" i="56"/>
  <c r="B1233" i="56"/>
  <c r="F1232" i="56"/>
  <c r="C1232" i="56"/>
  <c r="D1232" i="56"/>
  <c r="B1232" i="56"/>
  <c r="F1231" i="56"/>
  <c r="C1231" i="56"/>
  <c r="D1231" i="56"/>
  <c r="B1231" i="56"/>
  <c r="F1230" i="56"/>
  <c r="C1230" i="56"/>
  <c r="D1230" i="56"/>
  <c r="B1230" i="56"/>
  <c r="F1229" i="56"/>
  <c r="C1229" i="56"/>
  <c r="D1229" i="56"/>
  <c r="B1229" i="56"/>
  <c r="F1228" i="56"/>
  <c r="C1228" i="56"/>
  <c r="D1228" i="56"/>
  <c r="F1227" i="56"/>
  <c r="C1227" i="56"/>
  <c r="D1227" i="56"/>
  <c r="B1227" i="56"/>
  <c r="F1226" i="56"/>
  <c r="C1226" i="56"/>
  <c r="D1226" i="56"/>
  <c r="B1226" i="56"/>
  <c r="F1225" i="56"/>
  <c r="C1225" i="56"/>
  <c r="D1225" i="56"/>
  <c r="B1225" i="56"/>
  <c r="F1224" i="56"/>
  <c r="C1224" i="56"/>
  <c r="D1224" i="56"/>
  <c r="B1224" i="56"/>
  <c r="F1223" i="56"/>
  <c r="C1223" i="56"/>
  <c r="D1223" i="56"/>
  <c r="B1223" i="56"/>
  <c r="F1222" i="56"/>
  <c r="C1222" i="56"/>
  <c r="D1222" i="56"/>
  <c r="B1222" i="56"/>
  <c r="F1221" i="56"/>
  <c r="C1221" i="56"/>
  <c r="D1221" i="56"/>
  <c r="B1221" i="56"/>
  <c r="F1220" i="56"/>
  <c r="C1220" i="56"/>
  <c r="D1220" i="56"/>
  <c r="B1220" i="56"/>
  <c r="F1219" i="56"/>
  <c r="C1219" i="56"/>
  <c r="D1219" i="56"/>
  <c r="B1219" i="56"/>
  <c r="F1218" i="56"/>
  <c r="C1218" i="56"/>
  <c r="D1218" i="56"/>
  <c r="B1218" i="56"/>
  <c r="F1217" i="56"/>
  <c r="C1217" i="56"/>
  <c r="D1217" i="56"/>
  <c r="B1217" i="56"/>
  <c r="F1216" i="56"/>
  <c r="C1216" i="56"/>
  <c r="D1216" i="56"/>
  <c r="B1216" i="56"/>
  <c r="F1215" i="56"/>
  <c r="C1215" i="56"/>
  <c r="D1215" i="56"/>
  <c r="B1215" i="56"/>
  <c r="F1214" i="56"/>
  <c r="C1214" i="56"/>
  <c r="D1214" i="56"/>
  <c r="B1214" i="56"/>
  <c r="F1213" i="56"/>
  <c r="C1213" i="56"/>
  <c r="D1213" i="56"/>
  <c r="B1213" i="56"/>
  <c r="F1212" i="56"/>
  <c r="C1212" i="56"/>
  <c r="D1212" i="56"/>
  <c r="B1212" i="56"/>
  <c r="F1211" i="56"/>
  <c r="C1211" i="56"/>
  <c r="D1211" i="56"/>
  <c r="B1211" i="56"/>
  <c r="F1210" i="56"/>
  <c r="C1210" i="56"/>
  <c r="D1210" i="56"/>
  <c r="B1210" i="56"/>
  <c r="G444" i="23"/>
  <c r="U444" i="23"/>
  <c r="W444" i="23"/>
  <c r="S444" i="23"/>
  <c r="T444" i="23"/>
  <c r="R444" i="23"/>
  <c r="O444" i="23"/>
  <c r="N444" i="23"/>
  <c r="M444" i="23"/>
  <c r="L444" i="23"/>
  <c r="J444" i="23"/>
  <c r="K444" i="23"/>
  <c r="I444" i="23"/>
  <c r="H444" i="23"/>
  <c r="F444" i="23"/>
  <c r="E444" i="23"/>
  <c r="D444" i="23"/>
  <c r="C444" i="23"/>
  <c r="B444" i="23"/>
  <c r="G443" i="23"/>
  <c r="U443" i="23"/>
  <c r="W443" i="23"/>
  <c r="S443" i="23"/>
  <c r="T443" i="23"/>
  <c r="R443" i="23"/>
  <c r="O443" i="23"/>
  <c r="N443" i="23"/>
  <c r="M443" i="23"/>
  <c r="L443" i="23"/>
  <c r="J443" i="23"/>
  <c r="K443" i="23"/>
  <c r="I443" i="23"/>
  <c r="H443" i="23"/>
  <c r="F443" i="23"/>
  <c r="E443" i="23"/>
  <c r="D443" i="23"/>
  <c r="C443" i="23"/>
  <c r="B443" i="23"/>
  <c r="G442" i="23"/>
  <c r="U442" i="23"/>
  <c r="W442" i="23"/>
  <c r="S442" i="23"/>
  <c r="T442" i="23"/>
  <c r="R442" i="23"/>
  <c r="O442" i="23"/>
  <c r="N442" i="23"/>
  <c r="M442" i="23"/>
  <c r="L442" i="23"/>
  <c r="J442" i="23"/>
  <c r="K442" i="23"/>
  <c r="I442" i="23"/>
  <c r="H442" i="23"/>
  <c r="F442" i="23"/>
  <c r="E442" i="23"/>
  <c r="D442" i="23"/>
  <c r="C442" i="23"/>
  <c r="B442" i="23"/>
  <c r="G441" i="23"/>
  <c r="U441" i="23"/>
  <c r="W441" i="23"/>
  <c r="S441" i="23"/>
  <c r="T441" i="23"/>
  <c r="R441" i="23"/>
  <c r="O441" i="23"/>
  <c r="N441" i="23"/>
  <c r="M441" i="23"/>
  <c r="L441" i="23"/>
  <c r="J441" i="23"/>
  <c r="K441" i="23"/>
  <c r="I441" i="23"/>
  <c r="H441" i="23"/>
  <c r="F441" i="23"/>
  <c r="E441" i="23"/>
  <c r="D441" i="23"/>
  <c r="C441" i="23"/>
  <c r="B441" i="23"/>
  <c r="G440" i="23"/>
  <c r="U440" i="23"/>
  <c r="W440" i="23"/>
  <c r="S440" i="23"/>
  <c r="T440" i="23"/>
  <c r="R440" i="23"/>
  <c r="O440" i="23"/>
  <c r="N440" i="23"/>
  <c r="M440" i="23"/>
  <c r="L440" i="23"/>
  <c r="J440" i="23"/>
  <c r="K440" i="23"/>
  <c r="I440" i="23"/>
  <c r="H440" i="23"/>
  <c r="F440" i="23"/>
  <c r="E440" i="23"/>
  <c r="D440" i="23"/>
  <c r="C440" i="23"/>
  <c r="B440" i="23"/>
  <c r="G439" i="23"/>
  <c r="U439" i="23"/>
  <c r="W439" i="23"/>
  <c r="S439" i="23"/>
  <c r="T439" i="23"/>
  <c r="R439" i="23"/>
  <c r="O439" i="23"/>
  <c r="N439" i="23"/>
  <c r="M439" i="23"/>
  <c r="L439" i="23"/>
  <c r="J439" i="23"/>
  <c r="K439" i="23"/>
  <c r="I439" i="23"/>
  <c r="H439" i="23"/>
  <c r="F439" i="23"/>
  <c r="E439" i="23"/>
  <c r="D439" i="23"/>
  <c r="C439" i="23"/>
  <c r="B439" i="23"/>
  <c r="G438" i="23"/>
  <c r="U438" i="23"/>
  <c r="W438" i="23"/>
  <c r="S438" i="23"/>
  <c r="T438" i="23"/>
  <c r="R438" i="23"/>
  <c r="O438" i="23"/>
  <c r="N438" i="23"/>
  <c r="M438" i="23"/>
  <c r="L438" i="23"/>
  <c r="J438" i="23"/>
  <c r="K438" i="23"/>
  <c r="I438" i="23"/>
  <c r="H438" i="23"/>
  <c r="F438" i="23"/>
  <c r="E438" i="23"/>
  <c r="D438" i="23"/>
  <c r="C438" i="23"/>
  <c r="B438" i="23"/>
  <c r="G437" i="23"/>
  <c r="U437" i="23"/>
  <c r="W437" i="23"/>
  <c r="S437" i="23"/>
  <c r="T437" i="23"/>
  <c r="R437" i="23"/>
  <c r="O437" i="23"/>
  <c r="N437" i="23"/>
  <c r="M437" i="23"/>
  <c r="L437" i="23"/>
  <c r="J437" i="23"/>
  <c r="K437" i="23"/>
  <c r="I437" i="23"/>
  <c r="H437" i="23"/>
  <c r="F437" i="23"/>
  <c r="E437" i="23"/>
  <c r="D437" i="23"/>
  <c r="C437" i="23"/>
  <c r="B437" i="23"/>
  <c r="G436" i="23"/>
  <c r="U436" i="23"/>
  <c r="W436" i="23"/>
  <c r="S436" i="23"/>
  <c r="T436" i="23"/>
  <c r="R436" i="23"/>
  <c r="O436" i="23"/>
  <c r="N436" i="23"/>
  <c r="M436" i="23"/>
  <c r="L436" i="23"/>
  <c r="J436" i="23"/>
  <c r="K436" i="23"/>
  <c r="I436" i="23"/>
  <c r="H436" i="23"/>
  <c r="F436" i="23"/>
  <c r="E436" i="23"/>
  <c r="D436" i="23"/>
  <c r="C436" i="23"/>
  <c r="B436" i="23"/>
  <c r="G435" i="23"/>
  <c r="U435" i="23"/>
  <c r="W435" i="23"/>
  <c r="S435" i="23"/>
  <c r="T435" i="23"/>
  <c r="R435" i="23"/>
  <c r="O435" i="23"/>
  <c r="N435" i="23"/>
  <c r="M435" i="23"/>
  <c r="L435" i="23"/>
  <c r="J435" i="23"/>
  <c r="K435" i="23"/>
  <c r="I435" i="23"/>
  <c r="H435" i="23"/>
  <c r="F435" i="23"/>
  <c r="E435" i="23"/>
  <c r="D435" i="23"/>
  <c r="C435" i="23"/>
  <c r="B435" i="23"/>
  <c r="G434" i="23"/>
  <c r="U434" i="23"/>
  <c r="W434" i="23"/>
  <c r="S434" i="23"/>
  <c r="T434" i="23"/>
  <c r="R434" i="23"/>
  <c r="O434" i="23"/>
  <c r="N434" i="23"/>
  <c r="M434" i="23"/>
  <c r="L434" i="23"/>
  <c r="J434" i="23"/>
  <c r="K434" i="23"/>
  <c r="I434" i="23"/>
  <c r="H434" i="23"/>
  <c r="F434" i="23"/>
  <c r="E434" i="23"/>
  <c r="D434" i="23"/>
  <c r="C434" i="23"/>
  <c r="B434" i="23"/>
  <c r="G433" i="23"/>
  <c r="U433" i="23"/>
  <c r="W433" i="23"/>
  <c r="S433" i="23"/>
  <c r="T433" i="23"/>
  <c r="R433" i="23"/>
  <c r="O433" i="23"/>
  <c r="N433" i="23"/>
  <c r="M433" i="23"/>
  <c r="L433" i="23"/>
  <c r="J433" i="23"/>
  <c r="K433" i="23"/>
  <c r="I433" i="23"/>
  <c r="H433" i="23"/>
  <c r="F433" i="23"/>
  <c r="E433" i="23"/>
  <c r="D433" i="23"/>
  <c r="C433" i="23"/>
  <c r="B433" i="23"/>
  <c r="G432" i="23"/>
  <c r="U432" i="23"/>
  <c r="W432" i="23"/>
  <c r="S432" i="23"/>
  <c r="T432" i="23"/>
  <c r="R432" i="23"/>
  <c r="O432" i="23"/>
  <c r="N432" i="23"/>
  <c r="M432" i="23"/>
  <c r="L432" i="23"/>
  <c r="J432" i="23"/>
  <c r="K432" i="23"/>
  <c r="I432" i="23"/>
  <c r="H432" i="23"/>
  <c r="F432" i="23"/>
  <c r="E432" i="23"/>
  <c r="D432" i="23"/>
  <c r="C432" i="23"/>
  <c r="B432" i="23"/>
  <c r="G431" i="23"/>
  <c r="U431" i="23"/>
  <c r="W431" i="23"/>
  <c r="S431" i="23"/>
  <c r="T431" i="23"/>
  <c r="R431" i="23"/>
  <c r="O431" i="23"/>
  <c r="N431" i="23"/>
  <c r="M431" i="23"/>
  <c r="L431" i="23"/>
  <c r="J431" i="23"/>
  <c r="K431" i="23"/>
  <c r="I431" i="23"/>
  <c r="H431" i="23"/>
  <c r="F431" i="23"/>
  <c r="E431" i="23"/>
  <c r="D431" i="23"/>
  <c r="C431" i="23"/>
  <c r="B431" i="23"/>
  <c r="G420" i="23"/>
  <c r="U420" i="23"/>
  <c r="W420" i="23"/>
  <c r="S420" i="23"/>
  <c r="T420" i="23"/>
  <c r="R420" i="23"/>
  <c r="O420" i="23"/>
  <c r="N420" i="23"/>
  <c r="M420" i="23"/>
  <c r="L420" i="23"/>
  <c r="J420" i="23"/>
  <c r="K420" i="23"/>
  <c r="I420" i="23"/>
  <c r="H420" i="23"/>
  <c r="F420" i="23"/>
  <c r="E420" i="23"/>
  <c r="D420" i="23"/>
  <c r="C420" i="23"/>
  <c r="B420" i="23"/>
  <c r="C1206" i="56"/>
  <c r="F1207" i="56"/>
  <c r="B1209" i="56"/>
  <c r="B1208" i="56"/>
  <c r="B1207" i="56"/>
  <c r="B1206" i="56"/>
  <c r="F1209" i="56"/>
  <c r="C1209" i="56"/>
  <c r="D1209" i="56"/>
  <c r="F1208" i="56"/>
  <c r="C1208" i="56"/>
  <c r="D1208" i="56"/>
  <c r="C1207" i="56"/>
  <c r="D1207" i="56"/>
  <c r="F1206" i="56"/>
  <c r="D1206" i="56"/>
  <c r="B1204" i="56"/>
  <c r="C1204" i="56"/>
  <c r="D1204" i="56"/>
  <c r="F1204" i="56"/>
  <c r="B1205" i="56"/>
  <c r="C1205" i="56"/>
  <c r="D1205" i="56"/>
  <c r="F1205" i="56"/>
  <c r="F1203" i="56"/>
  <c r="C1203" i="56"/>
  <c r="D1203" i="56"/>
  <c r="B1203" i="56"/>
  <c r="F1202" i="56"/>
  <c r="C1202" i="56"/>
  <c r="D1202" i="56"/>
  <c r="B1202" i="56"/>
  <c r="F1201" i="56"/>
  <c r="C1201" i="56"/>
  <c r="D1201" i="56"/>
  <c r="B1201" i="56"/>
  <c r="F1169" i="56"/>
  <c r="C1169" i="56"/>
  <c r="D1169" i="56"/>
  <c r="B1169" i="56"/>
  <c r="F1168" i="56"/>
  <c r="C1168" i="56"/>
  <c r="D1168" i="56"/>
  <c r="B1168" i="56"/>
  <c r="F1167" i="56"/>
  <c r="C1167" i="56"/>
  <c r="D1167" i="56"/>
  <c r="B1167" i="56"/>
  <c r="F1166" i="56"/>
  <c r="C1166" i="56"/>
  <c r="D1166" i="56"/>
  <c r="B1166" i="56"/>
  <c r="F1165" i="56"/>
  <c r="C1165" i="56"/>
  <c r="D1165" i="56"/>
  <c r="B1165" i="56"/>
  <c r="F1164" i="56"/>
  <c r="C1164" i="56"/>
  <c r="D1164" i="56"/>
  <c r="B1164" i="56"/>
  <c r="F1163" i="56"/>
  <c r="C1163" i="56"/>
  <c r="D1163" i="56"/>
  <c r="B1163" i="56"/>
  <c r="F1162" i="56"/>
  <c r="C1162" i="56"/>
  <c r="D1162" i="56"/>
  <c r="B1162" i="56"/>
  <c r="G419" i="23"/>
  <c r="U419" i="23"/>
  <c r="W419" i="23"/>
  <c r="S419" i="23"/>
  <c r="T419" i="23"/>
  <c r="R419" i="23"/>
  <c r="O419" i="23"/>
  <c r="N419" i="23"/>
  <c r="M419" i="23"/>
  <c r="L419" i="23"/>
  <c r="J419" i="23"/>
  <c r="K419" i="23"/>
  <c r="I419" i="23"/>
  <c r="H419" i="23"/>
  <c r="F419" i="23"/>
  <c r="E419" i="23"/>
  <c r="D419" i="23"/>
  <c r="C419" i="23"/>
  <c r="B419" i="23"/>
  <c r="G418" i="23"/>
  <c r="U418" i="23"/>
  <c r="W418" i="23"/>
  <c r="S418" i="23"/>
  <c r="T418" i="23"/>
  <c r="R418" i="23"/>
  <c r="O418" i="23"/>
  <c r="N418" i="23"/>
  <c r="M418" i="23"/>
  <c r="L418" i="23"/>
  <c r="J418" i="23"/>
  <c r="K418" i="23"/>
  <c r="I418" i="23"/>
  <c r="H418" i="23"/>
  <c r="F418" i="23"/>
  <c r="E418" i="23"/>
  <c r="D418" i="23"/>
  <c r="C418" i="23"/>
  <c r="B418" i="23"/>
  <c r="F1200" i="56"/>
  <c r="F1199" i="56"/>
  <c r="F1198" i="56"/>
  <c r="F1197" i="56"/>
  <c r="F1196" i="56"/>
  <c r="F1195" i="56"/>
  <c r="F1194" i="56"/>
  <c r="F1193" i="56"/>
  <c r="F1192" i="56"/>
  <c r="F1191" i="56"/>
  <c r="F1190" i="56"/>
  <c r="F1189" i="56"/>
  <c r="F1188" i="56"/>
  <c r="F1187" i="56"/>
  <c r="F1186" i="56"/>
  <c r="F1185" i="56"/>
  <c r="F1184" i="56"/>
  <c r="F1183" i="56"/>
  <c r="F1182" i="56"/>
  <c r="F1181" i="56"/>
  <c r="F1180" i="56"/>
  <c r="F1179" i="56"/>
  <c r="F1178" i="56"/>
  <c r="F1177" i="56"/>
  <c r="F1176" i="56"/>
  <c r="F1175" i="56"/>
  <c r="F1174" i="56"/>
  <c r="F1173" i="56"/>
  <c r="F1161" i="56"/>
  <c r="F1160" i="56"/>
  <c r="F1159" i="56"/>
  <c r="F1158" i="56"/>
  <c r="F1157" i="56"/>
  <c r="F1156" i="56"/>
  <c r="F1155" i="56"/>
  <c r="F1154" i="56"/>
  <c r="F1153" i="56"/>
  <c r="F1152" i="56"/>
  <c r="F1151" i="56"/>
  <c r="F1150" i="56"/>
  <c r="F1149" i="56"/>
  <c r="F1148" i="56"/>
  <c r="F1147" i="56"/>
  <c r="F1146" i="56"/>
  <c r="F1145" i="56"/>
  <c r="F1144" i="56"/>
  <c r="F1143" i="56"/>
  <c r="F1142" i="56"/>
  <c r="F1141" i="56"/>
  <c r="F1140" i="56"/>
  <c r="F1139" i="56"/>
  <c r="F1138" i="56"/>
  <c r="F1137" i="56"/>
  <c r="F1136" i="56"/>
  <c r="F1135" i="56"/>
  <c r="F1134" i="56"/>
  <c r="F1133" i="56"/>
  <c r="F1132" i="56"/>
  <c r="F1131" i="56"/>
  <c r="F1130" i="56"/>
  <c r="F1129" i="56"/>
  <c r="F1128" i="56"/>
  <c r="F1127" i="56"/>
  <c r="F1126" i="56"/>
  <c r="F1125" i="56"/>
  <c r="F1124" i="56"/>
  <c r="F1123" i="56"/>
  <c r="F1122" i="56"/>
  <c r="F1121" i="56"/>
  <c r="F1120" i="56"/>
  <c r="F1119" i="56"/>
  <c r="F1118" i="56"/>
  <c r="F1117" i="56"/>
  <c r="F1116" i="56"/>
  <c r="F1115" i="56"/>
  <c r="F1114" i="56"/>
  <c r="F1113" i="56"/>
  <c r="F1112" i="56"/>
  <c r="F1111" i="56"/>
  <c r="F1110" i="56"/>
  <c r="F1109" i="56"/>
  <c r="F1108" i="56"/>
  <c r="F1107" i="56"/>
  <c r="F1106" i="56"/>
  <c r="F1105" i="56"/>
  <c r="F1104" i="56"/>
  <c r="F1103" i="56"/>
  <c r="F1102" i="56"/>
  <c r="F1101" i="56"/>
  <c r="F1100" i="56"/>
  <c r="F1099" i="56"/>
  <c r="F1098" i="56"/>
  <c r="F1097" i="56"/>
  <c r="F1096" i="56"/>
  <c r="F1095" i="56"/>
  <c r="F1094" i="56"/>
  <c r="F1093" i="56"/>
  <c r="F1092" i="56"/>
  <c r="F1091" i="56"/>
  <c r="F1090" i="56"/>
  <c r="F1089" i="56"/>
  <c r="F1088" i="56"/>
  <c r="F1087" i="56"/>
  <c r="F1086" i="56"/>
  <c r="F1085" i="56"/>
  <c r="F1084" i="56"/>
  <c r="F1083" i="56"/>
  <c r="F1082" i="56"/>
  <c r="F1081" i="56"/>
  <c r="F1080" i="56"/>
  <c r="F1079" i="56"/>
  <c r="F1078" i="56"/>
  <c r="F1077" i="56"/>
  <c r="F1076" i="56"/>
  <c r="F1075" i="56"/>
  <c r="F1074" i="56"/>
  <c r="F1073" i="56"/>
  <c r="F1072" i="56"/>
  <c r="F1071" i="56"/>
  <c r="F1070" i="56"/>
  <c r="F1069" i="56"/>
  <c r="F1068" i="56"/>
  <c r="F1067" i="56"/>
  <c r="F1066" i="56"/>
  <c r="F1065" i="56"/>
  <c r="F1064" i="56"/>
  <c r="F1063" i="56"/>
  <c r="F1062" i="56"/>
  <c r="F1061" i="56"/>
  <c r="F1060" i="56"/>
  <c r="F1059" i="56"/>
  <c r="F1058" i="56"/>
  <c r="F1057" i="56"/>
  <c r="F1056" i="56"/>
  <c r="F1055" i="56"/>
  <c r="F1054" i="56"/>
  <c r="F1053" i="56"/>
  <c r="F1052" i="56"/>
  <c r="F1051" i="56"/>
  <c r="F1050" i="56"/>
  <c r="F1049" i="56"/>
  <c r="F1048" i="56"/>
  <c r="F1047" i="56"/>
  <c r="F1046" i="56"/>
  <c r="F1045" i="56"/>
  <c r="F1044" i="56"/>
  <c r="F1043" i="56"/>
  <c r="F1042" i="56"/>
  <c r="F1041" i="56"/>
  <c r="F1040" i="56"/>
  <c r="F1039" i="56"/>
  <c r="F1038" i="56"/>
  <c r="F1037" i="56"/>
  <c r="F1036" i="56"/>
  <c r="F1035" i="56"/>
  <c r="F1034" i="56"/>
  <c r="F1033" i="56"/>
  <c r="F1032" i="56"/>
  <c r="F1031" i="56"/>
  <c r="F1030" i="56"/>
  <c r="F1029" i="56"/>
  <c r="F1028" i="56"/>
  <c r="F1027" i="56"/>
  <c r="F1026" i="56"/>
  <c r="F1025" i="56"/>
  <c r="F1024" i="56"/>
  <c r="F1023" i="56"/>
  <c r="F1022" i="56"/>
  <c r="F1021" i="56"/>
  <c r="F1020" i="56"/>
  <c r="F1019" i="56"/>
  <c r="F1018" i="56"/>
  <c r="F1017" i="56"/>
  <c r="F1016" i="56"/>
  <c r="F1015" i="56"/>
  <c r="F1014" i="56"/>
  <c r="F1013" i="56"/>
  <c r="F1012" i="56"/>
  <c r="F1011" i="56"/>
  <c r="F1010" i="56"/>
  <c r="F1009" i="56"/>
  <c r="F1008" i="56"/>
  <c r="F1007" i="56"/>
  <c r="F1006" i="56"/>
  <c r="F1005" i="56"/>
  <c r="F1004" i="56"/>
  <c r="F1003" i="56"/>
  <c r="F1002" i="56"/>
  <c r="F1001" i="56"/>
  <c r="F1000" i="56"/>
  <c r="F999" i="56"/>
  <c r="F998" i="56"/>
  <c r="F997" i="56"/>
  <c r="F996" i="56"/>
  <c r="F995" i="56"/>
  <c r="F994" i="56"/>
  <c r="F993" i="56"/>
  <c r="F992" i="56"/>
  <c r="F991" i="56"/>
  <c r="F990" i="56"/>
  <c r="F989" i="56"/>
  <c r="F988" i="56"/>
  <c r="F987" i="56"/>
  <c r="F986" i="56"/>
  <c r="F985" i="56"/>
  <c r="F984" i="56"/>
  <c r="F983" i="56"/>
  <c r="F982" i="56"/>
  <c r="F981" i="56"/>
  <c r="F980" i="56"/>
  <c r="F979" i="56"/>
  <c r="F978" i="56"/>
  <c r="F977" i="56"/>
  <c r="F976" i="56"/>
  <c r="F975" i="56"/>
  <c r="F974" i="56"/>
  <c r="F973" i="56"/>
  <c r="F972" i="56"/>
  <c r="F971" i="56"/>
  <c r="F970" i="56"/>
  <c r="F969" i="56"/>
  <c r="F968" i="56"/>
  <c r="F967" i="56"/>
  <c r="F966" i="56"/>
  <c r="F965" i="56"/>
  <c r="F964" i="56"/>
  <c r="F963" i="56"/>
  <c r="F962" i="56"/>
  <c r="F961" i="56"/>
  <c r="F960" i="56"/>
  <c r="F959" i="56"/>
  <c r="F958" i="56"/>
  <c r="F957" i="56"/>
  <c r="F956" i="56"/>
  <c r="F955" i="56"/>
  <c r="F954" i="56"/>
  <c r="F953" i="56"/>
  <c r="F952" i="56"/>
  <c r="F951" i="56"/>
  <c r="F950" i="56"/>
  <c r="F949" i="56"/>
  <c r="F948" i="56"/>
  <c r="F947" i="56"/>
  <c r="F946" i="56"/>
  <c r="F945" i="56"/>
  <c r="F944" i="56"/>
  <c r="F943" i="56"/>
  <c r="F942" i="56"/>
  <c r="F941" i="56"/>
  <c r="F940" i="56"/>
  <c r="F939" i="56"/>
  <c r="F938" i="56"/>
  <c r="F937" i="56"/>
  <c r="F936" i="56"/>
  <c r="F935" i="56"/>
  <c r="F934" i="56"/>
  <c r="F933" i="56"/>
  <c r="F932" i="56"/>
  <c r="F931" i="56"/>
  <c r="F930" i="56"/>
  <c r="F929" i="56"/>
  <c r="F928" i="56"/>
  <c r="F927" i="56"/>
  <c r="F926" i="56"/>
  <c r="F925" i="56"/>
  <c r="F924" i="56"/>
  <c r="F923" i="56"/>
  <c r="F922" i="56"/>
  <c r="F921" i="56"/>
  <c r="F920" i="56"/>
  <c r="F919" i="56"/>
  <c r="F918" i="56"/>
  <c r="F917" i="56"/>
  <c r="F916" i="56"/>
  <c r="F915" i="56"/>
  <c r="F914" i="56"/>
  <c r="F913" i="56"/>
  <c r="F912" i="56"/>
  <c r="F911" i="56"/>
  <c r="F910" i="56"/>
  <c r="F909" i="56"/>
  <c r="F908" i="56"/>
  <c r="F907" i="56"/>
  <c r="F906" i="56"/>
  <c r="F905" i="56"/>
  <c r="F904" i="56"/>
  <c r="F903" i="56"/>
  <c r="F902" i="56"/>
  <c r="F901" i="56"/>
  <c r="F900" i="56"/>
  <c r="F899" i="56"/>
  <c r="F898" i="56"/>
  <c r="F897" i="56"/>
  <c r="F896" i="56"/>
  <c r="F895" i="56"/>
  <c r="F894" i="56"/>
  <c r="F893" i="56"/>
  <c r="F892" i="56"/>
  <c r="F891" i="56"/>
  <c r="F890" i="56"/>
  <c r="F889" i="56"/>
  <c r="F888" i="56"/>
  <c r="F887" i="56"/>
  <c r="F886" i="56"/>
  <c r="F885" i="56"/>
  <c r="F884" i="56"/>
  <c r="F883" i="56"/>
  <c r="F882" i="56"/>
  <c r="F881" i="56"/>
  <c r="F880" i="56"/>
  <c r="F879" i="56"/>
  <c r="F878" i="56"/>
  <c r="F877" i="56"/>
  <c r="F876" i="56"/>
  <c r="F875" i="56"/>
  <c r="F874" i="56"/>
  <c r="F873" i="56"/>
  <c r="F872" i="56"/>
  <c r="F871" i="56"/>
  <c r="F870" i="56"/>
  <c r="F869" i="56"/>
  <c r="F868" i="56"/>
  <c r="F867" i="56"/>
  <c r="F866" i="56"/>
  <c r="F865" i="56"/>
  <c r="F864" i="56"/>
  <c r="F863" i="56"/>
  <c r="F862" i="56"/>
  <c r="F861" i="56"/>
  <c r="F860" i="56"/>
  <c r="F859" i="56"/>
  <c r="F858" i="56"/>
  <c r="F857" i="56"/>
  <c r="F856" i="56"/>
  <c r="F855" i="56"/>
  <c r="F854" i="56"/>
  <c r="F853" i="56"/>
  <c r="F852" i="56"/>
  <c r="F851" i="56"/>
  <c r="F850" i="56"/>
  <c r="F849" i="56"/>
  <c r="F848" i="56"/>
  <c r="F847" i="56"/>
  <c r="F846" i="56"/>
  <c r="F845" i="56"/>
  <c r="F844" i="56"/>
  <c r="F843" i="56"/>
  <c r="F842" i="56"/>
  <c r="F841" i="56"/>
  <c r="F840" i="56"/>
  <c r="F839" i="56"/>
  <c r="F838" i="56"/>
  <c r="F837" i="56"/>
  <c r="F836" i="56"/>
  <c r="F835" i="56"/>
  <c r="F834" i="56"/>
  <c r="F833" i="56"/>
  <c r="F832" i="56"/>
  <c r="F831" i="56"/>
  <c r="F830" i="56"/>
  <c r="F829" i="56"/>
  <c r="F828" i="56"/>
  <c r="F827" i="56"/>
  <c r="F826" i="56"/>
  <c r="F825" i="56"/>
  <c r="F824" i="56"/>
  <c r="F823" i="56"/>
  <c r="F822" i="56"/>
  <c r="F821" i="56"/>
  <c r="F820" i="56"/>
  <c r="F819" i="56"/>
  <c r="F818" i="56"/>
  <c r="F817" i="56"/>
  <c r="F816" i="56"/>
  <c r="F815" i="56"/>
  <c r="F814" i="56"/>
  <c r="F813" i="56"/>
  <c r="F812" i="56"/>
  <c r="F811" i="56"/>
  <c r="F810" i="56"/>
  <c r="F809" i="56"/>
  <c r="F808" i="56"/>
  <c r="F807" i="56"/>
  <c r="F806" i="56"/>
  <c r="F805" i="56"/>
  <c r="F804" i="56"/>
  <c r="F803" i="56"/>
  <c r="F802" i="56"/>
  <c r="F801" i="56"/>
  <c r="F800" i="56"/>
  <c r="F799" i="56"/>
  <c r="F798" i="56"/>
  <c r="F797" i="56"/>
  <c r="F796" i="56"/>
  <c r="F795" i="56"/>
  <c r="F794" i="56"/>
  <c r="F793" i="56"/>
  <c r="F792" i="56"/>
  <c r="F791" i="56"/>
  <c r="F790" i="56"/>
  <c r="F789" i="56"/>
  <c r="F788" i="56"/>
  <c r="F787" i="56"/>
  <c r="F786" i="56"/>
  <c r="F785" i="56"/>
  <c r="F784" i="56"/>
  <c r="F783" i="56"/>
  <c r="F782" i="56"/>
  <c r="F781" i="56"/>
  <c r="F780" i="56"/>
  <c r="F779" i="56"/>
  <c r="F778" i="56"/>
  <c r="F777" i="56"/>
  <c r="F776" i="56"/>
  <c r="F775" i="56"/>
  <c r="F774" i="56"/>
  <c r="F773" i="56"/>
  <c r="F772" i="56"/>
  <c r="F771" i="56"/>
  <c r="F770" i="56"/>
  <c r="F769" i="56"/>
  <c r="F768" i="56"/>
  <c r="F767" i="56"/>
  <c r="F766" i="56"/>
  <c r="F765" i="56"/>
  <c r="F764" i="56"/>
  <c r="F763" i="56"/>
  <c r="F762" i="56"/>
  <c r="F761" i="56"/>
  <c r="F760" i="56"/>
  <c r="F759" i="56"/>
  <c r="F758" i="56"/>
  <c r="F757" i="56"/>
  <c r="F756" i="56"/>
  <c r="F755" i="56"/>
  <c r="F754" i="56"/>
  <c r="F753" i="56"/>
  <c r="F752" i="56"/>
  <c r="F751" i="56"/>
  <c r="F750" i="56"/>
  <c r="F749" i="56"/>
  <c r="F748" i="56"/>
  <c r="F747" i="56"/>
  <c r="F746" i="56"/>
  <c r="F745" i="56"/>
  <c r="F744" i="56"/>
  <c r="F743" i="56"/>
  <c r="F742" i="56"/>
  <c r="F741" i="56"/>
  <c r="F740" i="56"/>
  <c r="F739" i="56"/>
  <c r="F738" i="56"/>
  <c r="F737" i="56"/>
  <c r="F736" i="56"/>
  <c r="F735" i="56"/>
  <c r="F734" i="56"/>
  <c r="F733" i="56"/>
  <c r="F732" i="56"/>
  <c r="F731" i="56"/>
  <c r="F730" i="56"/>
  <c r="F729" i="56"/>
  <c r="F728" i="56"/>
  <c r="F727" i="56"/>
  <c r="F726" i="56"/>
  <c r="F725" i="56"/>
  <c r="F724" i="56"/>
  <c r="F723" i="56"/>
  <c r="F722" i="56"/>
  <c r="F721" i="56"/>
  <c r="F720" i="56"/>
  <c r="F719" i="56"/>
  <c r="F718" i="56"/>
  <c r="F717" i="56"/>
  <c r="F716" i="56"/>
  <c r="F715" i="56"/>
  <c r="F714" i="56"/>
  <c r="F713" i="56"/>
  <c r="F712" i="56"/>
  <c r="F711" i="56"/>
  <c r="F710" i="56"/>
  <c r="F709" i="56"/>
  <c r="F708" i="56"/>
  <c r="F707" i="56"/>
  <c r="F706" i="56"/>
  <c r="F705" i="56"/>
  <c r="F704" i="56"/>
  <c r="F703" i="56"/>
  <c r="F702" i="56"/>
  <c r="F701" i="56"/>
  <c r="F700" i="56"/>
  <c r="F699" i="56"/>
  <c r="F698" i="56"/>
  <c r="F697" i="56"/>
  <c r="F696" i="56"/>
  <c r="F695" i="56"/>
  <c r="F694" i="56"/>
  <c r="F693" i="56"/>
  <c r="F692" i="56"/>
  <c r="F691" i="56"/>
  <c r="F690" i="56"/>
  <c r="F689" i="56"/>
  <c r="F688" i="56"/>
  <c r="F687" i="56"/>
  <c r="F686" i="56"/>
  <c r="F685" i="56"/>
  <c r="F684" i="56"/>
  <c r="F683" i="56"/>
  <c r="F682" i="56"/>
  <c r="F681" i="56"/>
  <c r="F680" i="56"/>
  <c r="F679" i="56"/>
  <c r="F678" i="56"/>
  <c r="F677" i="56"/>
  <c r="F676" i="56"/>
  <c r="F675" i="56"/>
  <c r="F674" i="56"/>
  <c r="F673" i="56"/>
  <c r="F672" i="56"/>
  <c r="F671" i="56"/>
  <c r="F670" i="56"/>
  <c r="F669" i="56"/>
  <c r="F668" i="56"/>
  <c r="F667" i="56"/>
  <c r="F666" i="56"/>
  <c r="F665" i="56"/>
  <c r="F664" i="56"/>
  <c r="F663" i="56"/>
  <c r="F662" i="56"/>
  <c r="F661" i="56"/>
  <c r="F660" i="56"/>
  <c r="F659" i="56"/>
  <c r="F658" i="56"/>
  <c r="F657" i="56"/>
  <c r="F656" i="56"/>
  <c r="F655" i="56"/>
  <c r="F654" i="56"/>
  <c r="F653" i="56"/>
  <c r="F652" i="56"/>
  <c r="F651" i="56"/>
  <c r="F650" i="56"/>
  <c r="F649" i="56"/>
  <c r="F648" i="56"/>
  <c r="F647" i="56"/>
  <c r="F646" i="56"/>
  <c r="F645" i="56"/>
  <c r="F644" i="56"/>
  <c r="F643" i="56"/>
  <c r="F642" i="56"/>
  <c r="F641" i="56"/>
  <c r="F640" i="56"/>
  <c r="F639" i="56"/>
  <c r="F638" i="56"/>
  <c r="F637" i="56"/>
  <c r="F636" i="56"/>
  <c r="F635" i="56"/>
  <c r="F634" i="56"/>
  <c r="F633" i="56"/>
  <c r="F632" i="56"/>
  <c r="F631" i="56"/>
  <c r="F630" i="56"/>
  <c r="F629" i="56"/>
  <c r="F628" i="56"/>
  <c r="F627" i="56"/>
  <c r="F626" i="56"/>
  <c r="F625" i="56"/>
  <c r="F624" i="56"/>
  <c r="F623" i="56"/>
  <c r="F622" i="56"/>
  <c r="F621" i="56"/>
  <c r="F620" i="56"/>
  <c r="F619" i="56"/>
  <c r="F618" i="56"/>
  <c r="F617" i="56"/>
  <c r="F616" i="56"/>
  <c r="F615" i="56"/>
  <c r="F614" i="56"/>
  <c r="F613" i="56"/>
  <c r="F612" i="56"/>
  <c r="F611" i="56"/>
  <c r="F610" i="56"/>
  <c r="F609" i="56"/>
  <c r="F608" i="56"/>
  <c r="F607" i="56"/>
  <c r="F606" i="56"/>
  <c r="F605" i="56"/>
  <c r="F604" i="56"/>
  <c r="F603" i="56"/>
  <c r="F602" i="56"/>
  <c r="F601" i="56"/>
  <c r="F600" i="56"/>
  <c r="F599" i="56"/>
  <c r="F598" i="56"/>
  <c r="F597" i="56"/>
  <c r="F596" i="56"/>
  <c r="F595" i="56"/>
  <c r="F594" i="56"/>
  <c r="F593" i="56"/>
  <c r="F592" i="56"/>
  <c r="F591" i="56"/>
  <c r="F590" i="56"/>
  <c r="F589" i="56"/>
  <c r="F588" i="56"/>
  <c r="F587" i="56"/>
  <c r="F586" i="56"/>
  <c r="F585" i="56"/>
  <c r="F584" i="56"/>
  <c r="F583" i="56"/>
  <c r="F582" i="56"/>
  <c r="F581" i="56"/>
  <c r="F580" i="56"/>
  <c r="F579" i="56"/>
  <c r="F578" i="56"/>
  <c r="F577" i="56"/>
  <c r="F576" i="56"/>
  <c r="F575" i="56"/>
  <c r="F574" i="56"/>
  <c r="F573" i="56"/>
  <c r="F572" i="56"/>
  <c r="F571" i="56"/>
  <c r="F570" i="56"/>
  <c r="F569" i="56"/>
  <c r="F568" i="56"/>
  <c r="F567" i="56"/>
  <c r="F566" i="56"/>
  <c r="F565" i="56"/>
  <c r="F564" i="56"/>
  <c r="F563" i="56"/>
  <c r="F562" i="56"/>
  <c r="F561" i="56"/>
  <c r="F560" i="56"/>
  <c r="F559" i="56"/>
  <c r="F558" i="56"/>
  <c r="F557" i="56"/>
  <c r="F556" i="56"/>
  <c r="F555" i="56"/>
  <c r="F554" i="56"/>
  <c r="F553" i="56"/>
  <c r="F552" i="56"/>
  <c r="F551" i="56"/>
  <c r="F550" i="56"/>
  <c r="F549" i="56"/>
  <c r="F548" i="56"/>
  <c r="F547" i="56"/>
  <c r="F546" i="56"/>
  <c r="F545" i="56"/>
  <c r="F544" i="56"/>
  <c r="F543" i="56"/>
  <c r="F542" i="56"/>
  <c r="F541" i="56"/>
  <c r="F540" i="56"/>
  <c r="F539" i="56"/>
  <c r="F538" i="56"/>
  <c r="F537" i="56"/>
  <c r="F536" i="56"/>
  <c r="F535" i="56"/>
  <c r="F534" i="56"/>
  <c r="F533" i="56"/>
  <c r="F532" i="56"/>
  <c r="F531" i="56"/>
  <c r="F530" i="56"/>
  <c r="F529" i="56"/>
  <c r="F528" i="56"/>
  <c r="F527" i="56"/>
  <c r="F526" i="56"/>
  <c r="F525" i="56"/>
  <c r="F524" i="56"/>
  <c r="F523" i="56"/>
  <c r="F522" i="56"/>
  <c r="F521" i="56"/>
  <c r="F520" i="56"/>
  <c r="F519" i="56"/>
  <c r="F518" i="56"/>
  <c r="F517" i="56"/>
  <c r="F516" i="56"/>
  <c r="F515" i="56"/>
  <c r="F514" i="56"/>
  <c r="F513" i="56"/>
  <c r="F512" i="56"/>
  <c r="F511" i="56"/>
  <c r="F510" i="56"/>
  <c r="F509" i="56"/>
  <c r="F508" i="56"/>
  <c r="F507" i="56"/>
  <c r="F506" i="56"/>
  <c r="F505" i="56"/>
  <c r="F504" i="56"/>
  <c r="F503" i="56"/>
  <c r="F502" i="56"/>
  <c r="F501" i="56"/>
  <c r="F500" i="56"/>
  <c r="F499" i="56"/>
  <c r="F498" i="56"/>
  <c r="F497" i="56"/>
  <c r="F496" i="56"/>
  <c r="F495" i="56"/>
  <c r="F494" i="56"/>
  <c r="F493" i="56"/>
  <c r="F492" i="56"/>
  <c r="F491" i="56"/>
  <c r="F490" i="56"/>
  <c r="F489" i="56"/>
  <c r="F488" i="56"/>
  <c r="F487" i="56"/>
  <c r="F486" i="56"/>
  <c r="F485" i="56"/>
  <c r="F484" i="56"/>
  <c r="F483" i="56"/>
  <c r="F482" i="56"/>
  <c r="F481" i="56"/>
  <c r="F480" i="56"/>
  <c r="F479" i="56"/>
  <c r="F478" i="56"/>
  <c r="F477" i="56"/>
  <c r="F476" i="56"/>
  <c r="F475" i="56"/>
  <c r="F474" i="56"/>
  <c r="F473" i="56"/>
  <c r="F472" i="56"/>
  <c r="F471" i="56"/>
  <c r="F470" i="56"/>
  <c r="F469" i="56"/>
  <c r="F468" i="56"/>
  <c r="F467" i="56"/>
  <c r="F466" i="56"/>
  <c r="F465" i="56"/>
  <c r="F464" i="56"/>
  <c r="F463" i="56"/>
  <c r="F462" i="56"/>
  <c r="F453" i="56"/>
  <c r="F452" i="56"/>
  <c r="F451" i="56"/>
  <c r="F450" i="56"/>
  <c r="F449" i="56"/>
  <c r="F448" i="56"/>
  <c r="F447" i="56"/>
  <c r="F446" i="56"/>
  <c r="F445" i="56"/>
  <c r="F444" i="56"/>
  <c r="F443" i="56"/>
  <c r="F442" i="56"/>
  <c r="F441" i="56"/>
  <c r="F440" i="56"/>
  <c r="F439" i="56"/>
  <c r="F438" i="56"/>
  <c r="F437" i="56"/>
  <c r="F436" i="56"/>
  <c r="F435" i="56"/>
  <c r="F434" i="56"/>
  <c r="F433" i="56"/>
  <c r="F432" i="56"/>
  <c r="F431" i="56"/>
  <c r="F430" i="56"/>
  <c r="F429" i="56"/>
  <c r="F428" i="56"/>
  <c r="F427" i="56"/>
  <c r="F426" i="56"/>
  <c r="F425" i="56"/>
  <c r="F424" i="56"/>
  <c r="F423" i="56"/>
  <c r="F422" i="56"/>
  <c r="F421" i="56"/>
  <c r="F420" i="56"/>
  <c r="F419" i="56"/>
  <c r="F418" i="56"/>
  <c r="F417" i="56"/>
  <c r="F416" i="56"/>
  <c r="F415" i="56"/>
  <c r="F414" i="56"/>
  <c r="F413" i="56"/>
  <c r="F412" i="56"/>
  <c r="F411" i="56"/>
  <c r="F410" i="56"/>
  <c r="F409" i="56"/>
  <c r="F408" i="56"/>
  <c r="F407" i="56"/>
  <c r="F406" i="56"/>
  <c r="F405" i="56"/>
  <c r="F404" i="56"/>
  <c r="F403" i="56"/>
  <c r="F402" i="56"/>
  <c r="F401" i="56"/>
  <c r="F400" i="56"/>
  <c r="F399" i="56"/>
  <c r="F398" i="56"/>
  <c r="F397" i="56"/>
  <c r="F396" i="56"/>
  <c r="F395" i="56"/>
  <c r="F394" i="56"/>
  <c r="F393" i="56"/>
  <c r="F392" i="56"/>
  <c r="F391" i="56"/>
  <c r="F390" i="56"/>
  <c r="F389" i="56"/>
  <c r="F388" i="56"/>
  <c r="F387" i="56"/>
  <c r="F386" i="56"/>
  <c r="F385" i="56"/>
  <c r="F384" i="56"/>
  <c r="F383" i="56"/>
  <c r="F382" i="56"/>
  <c r="F381" i="56"/>
  <c r="F380" i="56"/>
  <c r="F379" i="56"/>
  <c r="F378" i="56"/>
  <c r="F377" i="56"/>
  <c r="F376" i="56"/>
  <c r="F375" i="56"/>
  <c r="F374" i="56"/>
  <c r="F373" i="56"/>
  <c r="F372" i="56"/>
  <c r="F371" i="56"/>
  <c r="F370" i="56"/>
  <c r="F369" i="56"/>
  <c r="F368" i="56"/>
  <c r="F367" i="56"/>
  <c r="F366" i="56"/>
  <c r="F365" i="56"/>
  <c r="F364" i="56"/>
  <c r="F363" i="56"/>
  <c r="F362" i="56"/>
  <c r="F361" i="56"/>
  <c r="F360" i="56"/>
  <c r="F359" i="56"/>
  <c r="F358" i="56"/>
  <c r="F357" i="56"/>
  <c r="F356" i="56"/>
  <c r="F355" i="56"/>
  <c r="F354" i="56"/>
  <c r="F353" i="56"/>
  <c r="F352" i="56"/>
  <c r="F351" i="56"/>
  <c r="F350" i="56"/>
  <c r="F349" i="56"/>
  <c r="F348" i="56"/>
  <c r="F347" i="56"/>
  <c r="F346" i="56"/>
  <c r="F345" i="56"/>
  <c r="F344" i="56"/>
  <c r="F343" i="56"/>
  <c r="F342" i="56"/>
  <c r="F341" i="56"/>
  <c r="F340" i="56"/>
  <c r="F339" i="56"/>
  <c r="F338" i="56"/>
  <c r="F337" i="56"/>
  <c r="F336" i="56"/>
  <c r="F335" i="56"/>
  <c r="F334" i="56"/>
  <c r="F333" i="56"/>
  <c r="F332" i="56"/>
  <c r="F331" i="56"/>
  <c r="F330" i="56"/>
  <c r="F329" i="56"/>
  <c r="F328" i="56"/>
  <c r="F327" i="56"/>
  <c r="F326" i="56"/>
  <c r="F325" i="56"/>
  <c r="F324" i="56"/>
  <c r="F323" i="56"/>
  <c r="F322" i="56"/>
  <c r="F321" i="56"/>
  <c r="F320" i="56"/>
  <c r="F319" i="56"/>
  <c r="F318" i="56"/>
  <c r="F317" i="56"/>
  <c r="F316" i="56"/>
  <c r="F315" i="56"/>
  <c r="F314" i="56"/>
  <c r="F313" i="56"/>
  <c r="F312" i="56"/>
  <c r="F311" i="56"/>
  <c r="F310" i="56"/>
  <c r="F309" i="56"/>
  <c r="F308" i="56"/>
  <c r="F307" i="56"/>
  <c r="F306" i="56"/>
  <c r="F305" i="56"/>
  <c r="F304" i="56"/>
  <c r="F303" i="56"/>
  <c r="F302" i="56"/>
  <c r="F301" i="56"/>
  <c r="F300" i="56"/>
  <c r="F299" i="56"/>
  <c r="F298" i="56"/>
  <c r="F297" i="56"/>
  <c r="F296" i="56"/>
  <c r="F295" i="56"/>
  <c r="F294" i="56"/>
  <c r="F293" i="56"/>
  <c r="F292" i="56"/>
  <c r="F291" i="56"/>
  <c r="F290" i="56"/>
  <c r="F289" i="56"/>
  <c r="F288" i="56"/>
  <c r="F287" i="56"/>
  <c r="F286" i="56"/>
  <c r="F285" i="56"/>
  <c r="F284" i="56"/>
  <c r="F283" i="56"/>
  <c r="F282" i="56"/>
  <c r="F281" i="56"/>
  <c r="F280" i="56"/>
  <c r="F279" i="56"/>
  <c r="F278" i="56"/>
  <c r="F277" i="56"/>
  <c r="F276" i="56"/>
  <c r="F275" i="56"/>
  <c r="F274" i="56"/>
  <c r="F273" i="56"/>
  <c r="F272" i="56"/>
  <c r="F271" i="56"/>
  <c r="F270" i="56"/>
  <c r="F269" i="56"/>
  <c r="F268" i="56"/>
  <c r="F267" i="56"/>
  <c r="F266" i="56"/>
  <c r="F265" i="56"/>
  <c r="F264" i="56"/>
  <c r="F263" i="56"/>
  <c r="F262" i="56"/>
  <c r="F261" i="56"/>
  <c r="F260" i="56"/>
  <c r="F259" i="56"/>
  <c r="F258" i="56"/>
  <c r="F257" i="56"/>
  <c r="F256" i="56"/>
  <c r="F255" i="56"/>
  <c r="F254" i="56"/>
  <c r="F253" i="56"/>
  <c r="F252" i="56"/>
  <c r="F251" i="56"/>
  <c r="F250" i="56"/>
  <c r="F249" i="56"/>
  <c r="F248" i="56"/>
  <c r="F247" i="56"/>
  <c r="F246" i="56"/>
  <c r="F245" i="56"/>
  <c r="F244" i="56"/>
  <c r="F243" i="56"/>
  <c r="F242" i="56"/>
  <c r="F241" i="56"/>
  <c r="F240" i="56"/>
  <c r="F239" i="56"/>
  <c r="F238" i="56"/>
  <c r="F237" i="56"/>
  <c r="F236" i="56"/>
  <c r="F235" i="56"/>
  <c r="F234" i="56"/>
  <c r="F233" i="56"/>
  <c r="F232" i="56"/>
  <c r="F231" i="56"/>
  <c r="F230" i="56"/>
  <c r="F229" i="56"/>
  <c r="F228" i="56"/>
  <c r="F227" i="56"/>
  <c r="F226" i="56"/>
  <c r="F225" i="56"/>
  <c r="F224" i="56"/>
  <c r="F223" i="56"/>
  <c r="F222" i="56"/>
  <c r="F221" i="56"/>
  <c r="F220" i="56"/>
  <c r="F219" i="56"/>
  <c r="F218" i="56"/>
  <c r="F217" i="56"/>
  <c r="F216" i="56"/>
  <c r="F215" i="56"/>
  <c r="F214" i="56"/>
  <c r="F213" i="56"/>
  <c r="F212" i="56"/>
  <c r="F211" i="56"/>
  <c r="F210" i="56"/>
  <c r="F209" i="56"/>
  <c r="F208" i="56"/>
  <c r="F207" i="56"/>
  <c r="F206" i="56"/>
  <c r="F205" i="56"/>
  <c r="F204" i="56"/>
  <c r="F203" i="56"/>
  <c r="F202" i="56"/>
  <c r="F201" i="56"/>
  <c r="F200" i="56"/>
  <c r="F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F172" i="56"/>
  <c r="F171" i="56"/>
  <c r="F170" i="56"/>
  <c r="F169" i="56"/>
  <c r="F168" i="56"/>
  <c r="F167" i="56"/>
  <c r="F166" i="56"/>
  <c r="F165" i="56"/>
  <c r="F164" i="56"/>
  <c r="F163" i="56"/>
  <c r="F162" i="56"/>
  <c r="F161" i="56"/>
  <c r="F160" i="56"/>
  <c r="F159" i="56"/>
  <c r="F158" i="56"/>
  <c r="F157" i="56"/>
  <c r="F156" i="56"/>
  <c r="F155" i="56"/>
  <c r="F154" i="56"/>
  <c r="F153" i="56"/>
  <c r="F152" i="56"/>
  <c r="F151" i="56"/>
  <c r="F150" i="56"/>
  <c r="F149" i="56"/>
  <c r="F148" i="56"/>
  <c r="F147" i="56"/>
  <c r="F146" i="56"/>
  <c r="F145" i="56"/>
  <c r="F144" i="56"/>
  <c r="F143" i="56"/>
  <c r="F142" i="56"/>
  <c r="F141" i="56"/>
  <c r="F140" i="56"/>
  <c r="F139" i="56"/>
  <c r="F138" i="56"/>
  <c r="F137" i="56"/>
  <c r="F136" i="56"/>
  <c r="F135" i="56"/>
  <c r="F134" i="56"/>
  <c r="F133" i="56"/>
  <c r="F132" i="56"/>
  <c r="F131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F117" i="56"/>
  <c r="F116" i="56"/>
  <c r="F115" i="56"/>
  <c r="F114" i="56"/>
  <c r="F113" i="56"/>
  <c r="F112" i="56"/>
  <c r="F111" i="56"/>
  <c r="F110" i="56"/>
  <c r="F109" i="56"/>
  <c r="F108" i="56"/>
  <c r="F107" i="56"/>
  <c r="F106" i="56"/>
  <c r="F105" i="56"/>
  <c r="F104" i="56"/>
  <c r="F103" i="56"/>
  <c r="F102" i="56"/>
  <c r="F101" i="56"/>
  <c r="F100" i="56"/>
  <c r="F99" i="56"/>
  <c r="F98" i="56"/>
  <c r="F97" i="56"/>
  <c r="F96" i="56"/>
  <c r="F95" i="56"/>
  <c r="F94" i="56"/>
  <c r="F93" i="56"/>
  <c r="F92" i="56"/>
  <c r="F91" i="56"/>
  <c r="F90" i="56"/>
  <c r="F89" i="56"/>
  <c r="F88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F19" i="56"/>
  <c r="F18" i="56"/>
  <c r="F17" i="56"/>
  <c r="F16" i="56"/>
  <c r="F15" i="56"/>
  <c r="F14" i="56"/>
  <c r="F13" i="56"/>
  <c r="F12" i="56"/>
  <c r="F11" i="56"/>
  <c r="F10" i="56"/>
  <c r="F9" i="56"/>
  <c r="F8" i="56"/>
  <c r="F7" i="56"/>
  <c r="F6" i="56"/>
  <c r="F5" i="56"/>
  <c r="F4" i="56"/>
  <c r="F3" i="56"/>
  <c r="F2" i="56"/>
  <c r="C1200" i="56"/>
  <c r="D1200" i="56"/>
  <c r="C1199" i="56"/>
  <c r="D1199" i="56"/>
  <c r="C1198" i="56"/>
  <c r="D1198" i="56"/>
  <c r="C1197" i="56"/>
  <c r="D1197" i="56"/>
  <c r="C1196" i="56"/>
  <c r="D1196" i="56"/>
  <c r="C1195" i="56"/>
  <c r="D1195" i="56"/>
  <c r="C1194" i="56"/>
  <c r="D1194" i="56"/>
  <c r="C1193" i="56"/>
  <c r="D1193" i="56"/>
  <c r="C1192" i="56"/>
  <c r="D1192" i="56"/>
  <c r="C1191" i="56"/>
  <c r="D1191" i="56"/>
  <c r="C1190" i="56"/>
  <c r="D1190" i="56"/>
  <c r="C1189" i="56"/>
  <c r="D1189" i="56"/>
  <c r="C1188" i="56"/>
  <c r="D1188" i="56"/>
  <c r="C1187" i="56"/>
  <c r="D1187" i="56"/>
  <c r="C1186" i="56"/>
  <c r="D1186" i="56"/>
  <c r="C1185" i="56"/>
  <c r="D1185" i="56"/>
  <c r="C1184" i="56"/>
  <c r="D1184" i="56"/>
  <c r="C1183" i="56"/>
  <c r="D1183" i="56"/>
  <c r="C1182" i="56"/>
  <c r="D1182" i="56"/>
  <c r="C1181" i="56"/>
  <c r="D1181" i="56"/>
  <c r="C1180" i="56"/>
  <c r="D1180" i="56"/>
  <c r="C1179" i="56"/>
  <c r="D1179" i="56"/>
  <c r="C1178" i="56"/>
  <c r="D1178" i="56"/>
  <c r="C1177" i="56"/>
  <c r="D1177" i="56"/>
  <c r="C1176" i="56"/>
  <c r="D1176" i="56"/>
  <c r="C1175" i="56"/>
  <c r="D1175" i="56"/>
  <c r="C1174" i="56"/>
  <c r="D1174" i="56"/>
  <c r="C1173" i="56"/>
  <c r="D1173" i="56"/>
  <c r="C1161" i="56"/>
  <c r="D1161" i="56"/>
  <c r="C1160" i="56"/>
  <c r="D1160" i="56"/>
  <c r="C1159" i="56"/>
  <c r="D1159" i="56"/>
  <c r="C1158" i="56"/>
  <c r="D1158" i="56"/>
  <c r="C1157" i="56"/>
  <c r="D1157" i="56"/>
  <c r="C1156" i="56"/>
  <c r="D1156" i="56"/>
  <c r="C1155" i="56"/>
  <c r="D1155" i="56"/>
  <c r="C1154" i="56"/>
  <c r="D1154" i="56"/>
  <c r="C1153" i="56"/>
  <c r="D1153" i="56"/>
  <c r="C1152" i="56"/>
  <c r="D1152" i="56"/>
  <c r="C1151" i="56"/>
  <c r="D1151" i="56"/>
  <c r="C1150" i="56"/>
  <c r="D1150" i="56"/>
  <c r="C1149" i="56"/>
  <c r="D1149" i="56"/>
  <c r="C1148" i="56"/>
  <c r="D1148" i="56"/>
  <c r="C1147" i="56"/>
  <c r="D1147" i="56"/>
  <c r="C1146" i="56"/>
  <c r="D1146" i="56"/>
  <c r="C1145" i="56"/>
  <c r="D1145" i="56"/>
  <c r="C1144" i="56"/>
  <c r="D1144" i="56"/>
  <c r="C1143" i="56"/>
  <c r="D1143" i="56"/>
  <c r="C1142" i="56"/>
  <c r="D1142" i="56"/>
  <c r="C1141" i="56"/>
  <c r="D1141" i="56"/>
  <c r="C1140" i="56"/>
  <c r="D1140" i="56"/>
  <c r="C1139" i="56"/>
  <c r="D1139" i="56"/>
  <c r="C1138" i="56"/>
  <c r="D1138" i="56"/>
  <c r="C1137" i="56"/>
  <c r="D1137" i="56"/>
  <c r="C1136" i="56"/>
  <c r="D1136" i="56"/>
  <c r="C1135" i="56"/>
  <c r="D1135" i="56"/>
  <c r="C1134" i="56"/>
  <c r="D1134" i="56"/>
  <c r="C1133" i="56"/>
  <c r="D1133" i="56"/>
  <c r="C1132" i="56"/>
  <c r="D1132" i="56"/>
  <c r="C1131" i="56"/>
  <c r="D1131" i="56"/>
  <c r="C1130" i="56"/>
  <c r="D1130" i="56"/>
  <c r="C1129" i="56"/>
  <c r="D1129" i="56"/>
  <c r="C1128" i="56"/>
  <c r="D1128" i="56"/>
  <c r="C1127" i="56"/>
  <c r="D1127" i="56"/>
  <c r="C1126" i="56"/>
  <c r="D1126" i="56"/>
  <c r="C1125" i="56"/>
  <c r="D1125" i="56"/>
  <c r="C1124" i="56"/>
  <c r="D1124" i="56"/>
  <c r="C1123" i="56"/>
  <c r="D1123" i="56"/>
  <c r="C1122" i="56"/>
  <c r="D1122" i="56"/>
  <c r="C1121" i="56"/>
  <c r="D1121" i="56"/>
  <c r="C1120" i="56"/>
  <c r="D1120" i="56"/>
  <c r="C1119" i="56"/>
  <c r="D1119" i="56"/>
  <c r="C1118" i="56"/>
  <c r="D1118" i="56"/>
  <c r="C1117" i="56"/>
  <c r="D1117" i="56"/>
  <c r="C1116" i="56"/>
  <c r="D1116" i="56"/>
  <c r="C1115" i="56"/>
  <c r="D1115" i="56"/>
  <c r="C1114" i="56"/>
  <c r="D1114" i="56"/>
  <c r="C1113" i="56"/>
  <c r="D1113" i="56"/>
  <c r="C1112" i="56"/>
  <c r="D1112" i="56"/>
  <c r="C1111" i="56"/>
  <c r="D1111" i="56"/>
  <c r="C1110" i="56"/>
  <c r="D1110" i="56"/>
  <c r="C1109" i="56"/>
  <c r="D1109" i="56"/>
  <c r="C1108" i="56"/>
  <c r="D1108" i="56"/>
  <c r="C1107" i="56"/>
  <c r="D1107" i="56"/>
  <c r="C1106" i="56"/>
  <c r="D1106" i="56"/>
  <c r="C1105" i="56"/>
  <c r="D1105" i="56"/>
  <c r="C1104" i="56"/>
  <c r="D1104" i="56"/>
  <c r="C1103" i="56"/>
  <c r="D1103" i="56"/>
  <c r="C1102" i="56"/>
  <c r="D1102" i="56"/>
  <c r="C1101" i="56"/>
  <c r="D1101" i="56"/>
  <c r="C1100" i="56"/>
  <c r="D1100" i="56"/>
  <c r="C1099" i="56"/>
  <c r="D1099" i="56"/>
  <c r="C1098" i="56"/>
  <c r="D1098" i="56"/>
  <c r="C1097" i="56"/>
  <c r="D1097" i="56"/>
  <c r="C1096" i="56"/>
  <c r="D1096" i="56"/>
  <c r="C1095" i="56"/>
  <c r="D1095" i="56"/>
  <c r="C1094" i="56"/>
  <c r="D1094" i="56"/>
  <c r="C1093" i="56"/>
  <c r="D1093" i="56"/>
  <c r="C1092" i="56"/>
  <c r="D1092" i="56"/>
  <c r="C1091" i="56"/>
  <c r="D1091" i="56"/>
  <c r="C1090" i="56"/>
  <c r="D1090" i="56"/>
  <c r="C1089" i="56"/>
  <c r="D1089" i="56"/>
  <c r="C1088" i="56"/>
  <c r="D1088" i="56"/>
  <c r="C1087" i="56"/>
  <c r="D1087" i="56"/>
  <c r="C1086" i="56"/>
  <c r="D1086" i="56"/>
  <c r="C1085" i="56"/>
  <c r="D1085" i="56"/>
  <c r="C1084" i="56"/>
  <c r="D1084" i="56"/>
  <c r="C1083" i="56"/>
  <c r="D1083" i="56"/>
  <c r="C1082" i="56"/>
  <c r="D1082" i="56"/>
  <c r="C1081" i="56"/>
  <c r="D1081" i="56"/>
  <c r="C1080" i="56"/>
  <c r="D1080" i="56"/>
  <c r="C1079" i="56"/>
  <c r="D1079" i="56"/>
  <c r="C1078" i="56"/>
  <c r="D1078" i="56"/>
  <c r="C1077" i="56"/>
  <c r="D1077" i="56"/>
  <c r="C1076" i="56"/>
  <c r="D1076" i="56"/>
  <c r="C1075" i="56"/>
  <c r="D1075" i="56"/>
  <c r="C1074" i="56"/>
  <c r="D1074" i="56"/>
  <c r="C1073" i="56"/>
  <c r="D1073" i="56"/>
  <c r="C1072" i="56"/>
  <c r="D1072" i="56"/>
  <c r="C1071" i="56"/>
  <c r="D1071" i="56"/>
  <c r="C1070" i="56"/>
  <c r="D1070" i="56"/>
  <c r="C1069" i="56"/>
  <c r="D1069" i="56"/>
  <c r="C1068" i="56"/>
  <c r="D1068" i="56"/>
  <c r="C1067" i="56"/>
  <c r="D1067" i="56"/>
  <c r="C1066" i="56"/>
  <c r="D1066" i="56"/>
  <c r="C1065" i="56"/>
  <c r="D1065" i="56"/>
  <c r="C1064" i="56"/>
  <c r="D1064" i="56"/>
  <c r="C1063" i="56"/>
  <c r="D1063" i="56"/>
  <c r="C1062" i="56"/>
  <c r="D1062" i="56"/>
  <c r="C1061" i="56"/>
  <c r="D1061" i="56"/>
  <c r="C1060" i="56"/>
  <c r="D1060" i="56"/>
  <c r="C1059" i="56"/>
  <c r="D1059" i="56"/>
  <c r="C1058" i="56"/>
  <c r="D1058" i="56"/>
  <c r="C1057" i="56"/>
  <c r="D1057" i="56"/>
  <c r="C1056" i="56"/>
  <c r="D1056" i="56"/>
  <c r="C1055" i="56"/>
  <c r="D1055" i="56"/>
  <c r="C1054" i="56"/>
  <c r="D1054" i="56"/>
  <c r="C1053" i="56"/>
  <c r="D1053" i="56"/>
  <c r="C1052" i="56"/>
  <c r="D1052" i="56"/>
  <c r="C1051" i="56"/>
  <c r="D1051" i="56"/>
  <c r="C1050" i="56"/>
  <c r="D1050" i="56"/>
  <c r="C1049" i="56"/>
  <c r="D1049" i="56"/>
  <c r="C1048" i="56"/>
  <c r="D1048" i="56"/>
  <c r="C1047" i="56"/>
  <c r="D1047" i="56"/>
  <c r="C1046" i="56"/>
  <c r="D1046" i="56"/>
  <c r="C1045" i="56"/>
  <c r="D1045" i="56"/>
  <c r="C1044" i="56"/>
  <c r="D1044" i="56"/>
  <c r="C1043" i="56"/>
  <c r="D1043" i="56"/>
  <c r="C1042" i="56"/>
  <c r="D1042" i="56"/>
  <c r="C1041" i="56"/>
  <c r="D1041" i="56"/>
  <c r="C1040" i="56"/>
  <c r="D1040" i="56"/>
  <c r="C1039" i="56"/>
  <c r="D1039" i="56"/>
  <c r="C1038" i="56"/>
  <c r="D1038" i="56"/>
  <c r="C1037" i="56"/>
  <c r="D1037" i="56"/>
  <c r="C1036" i="56"/>
  <c r="D1036" i="56"/>
  <c r="C1035" i="56"/>
  <c r="D1035" i="56"/>
  <c r="C1034" i="56"/>
  <c r="D1034" i="56"/>
  <c r="C1033" i="56"/>
  <c r="D1033" i="56"/>
  <c r="C1032" i="56"/>
  <c r="D1032" i="56"/>
  <c r="C1031" i="56"/>
  <c r="D1031" i="56"/>
  <c r="C1030" i="56"/>
  <c r="D1030" i="56"/>
  <c r="C1029" i="56"/>
  <c r="D1029" i="56"/>
  <c r="C1028" i="56"/>
  <c r="D1028" i="56"/>
  <c r="C1027" i="56"/>
  <c r="D1027" i="56"/>
  <c r="C1026" i="56"/>
  <c r="D1026" i="56"/>
  <c r="C1025" i="56"/>
  <c r="D1025" i="56"/>
  <c r="C1024" i="56"/>
  <c r="D1024" i="56"/>
  <c r="C1023" i="56"/>
  <c r="D1023" i="56"/>
  <c r="C1022" i="56"/>
  <c r="D1022" i="56"/>
  <c r="C1021" i="56"/>
  <c r="D1021" i="56"/>
  <c r="C1020" i="56"/>
  <c r="D1020" i="56"/>
  <c r="C1019" i="56"/>
  <c r="D1019" i="56"/>
  <c r="C1018" i="56"/>
  <c r="D1018" i="56"/>
  <c r="C1017" i="56"/>
  <c r="D1017" i="56"/>
  <c r="C1016" i="56"/>
  <c r="D1016" i="56"/>
  <c r="C1015" i="56"/>
  <c r="D1015" i="56"/>
  <c r="C1014" i="56"/>
  <c r="D1014" i="56"/>
  <c r="C1013" i="56"/>
  <c r="D1013" i="56"/>
  <c r="C1012" i="56"/>
  <c r="D1012" i="56"/>
  <c r="C1011" i="56"/>
  <c r="D1011" i="56"/>
  <c r="C1010" i="56"/>
  <c r="D1010" i="56"/>
  <c r="C1009" i="56"/>
  <c r="D1009" i="56"/>
  <c r="C1008" i="56"/>
  <c r="D1008" i="56"/>
  <c r="C1007" i="56"/>
  <c r="D1007" i="56"/>
  <c r="C1006" i="56"/>
  <c r="D1006" i="56"/>
  <c r="C1005" i="56"/>
  <c r="D1005" i="56"/>
  <c r="C1004" i="56"/>
  <c r="D1004" i="56"/>
  <c r="C1003" i="56"/>
  <c r="D1003" i="56"/>
  <c r="C1002" i="56"/>
  <c r="D1002" i="56"/>
  <c r="C1001" i="56"/>
  <c r="D1001" i="56"/>
  <c r="C1000" i="56"/>
  <c r="D1000" i="56"/>
  <c r="C999" i="56"/>
  <c r="D999" i="56"/>
  <c r="C998" i="56"/>
  <c r="D998" i="56"/>
  <c r="C997" i="56"/>
  <c r="D997" i="56"/>
  <c r="C996" i="56"/>
  <c r="D996" i="56"/>
  <c r="C995" i="56"/>
  <c r="D995" i="56"/>
  <c r="C994" i="56"/>
  <c r="D994" i="56"/>
  <c r="C993" i="56"/>
  <c r="D993" i="56"/>
  <c r="C992" i="56"/>
  <c r="D992" i="56"/>
  <c r="C991" i="56"/>
  <c r="D991" i="56"/>
  <c r="C990" i="56"/>
  <c r="D990" i="56"/>
  <c r="C989" i="56"/>
  <c r="D989" i="56"/>
  <c r="C988" i="56"/>
  <c r="D988" i="56"/>
  <c r="C987" i="56"/>
  <c r="D987" i="56"/>
  <c r="C986" i="56"/>
  <c r="D986" i="56"/>
  <c r="C985" i="56"/>
  <c r="D985" i="56"/>
  <c r="C984" i="56"/>
  <c r="D984" i="56"/>
  <c r="C983" i="56"/>
  <c r="D983" i="56"/>
  <c r="C982" i="56"/>
  <c r="D982" i="56"/>
  <c r="C981" i="56"/>
  <c r="D981" i="56"/>
  <c r="C980" i="56"/>
  <c r="D980" i="56"/>
  <c r="C979" i="56"/>
  <c r="D979" i="56"/>
  <c r="C978" i="56"/>
  <c r="D978" i="56"/>
  <c r="C977" i="56"/>
  <c r="D977" i="56"/>
  <c r="C976" i="56"/>
  <c r="D976" i="56"/>
  <c r="C975" i="56"/>
  <c r="D975" i="56"/>
  <c r="C974" i="56"/>
  <c r="D974" i="56"/>
  <c r="C973" i="56"/>
  <c r="D973" i="56"/>
  <c r="C972" i="56"/>
  <c r="D972" i="56"/>
  <c r="C971" i="56"/>
  <c r="D971" i="56"/>
  <c r="C970" i="56"/>
  <c r="D970" i="56"/>
  <c r="C969" i="56"/>
  <c r="D969" i="56"/>
  <c r="C968" i="56"/>
  <c r="D968" i="56"/>
  <c r="C967" i="56"/>
  <c r="D967" i="56"/>
  <c r="C966" i="56"/>
  <c r="D966" i="56"/>
  <c r="C965" i="56"/>
  <c r="D965" i="56"/>
  <c r="C964" i="56"/>
  <c r="D964" i="56"/>
  <c r="C963" i="56"/>
  <c r="D963" i="56"/>
  <c r="C962" i="56"/>
  <c r="D962" i="56"/>
  <c r="C961" i="56"/>
  <c r="D961" i="56"/>
  <c r="C960" i="56"/>
  <c r="D960" i="56"/>
  <c r="C959" i="56"/>
  <c r="D959" i="56"/>
  <c r="C958" i="56"/>
  <c r="D958" i="56"/>
  <c r="C957" i="56"/>
  <c r="D957" i="56"/>
  <c r="C956" i="56"/>
  <c r="D956" i="56"/>
  <c r="C955" i="56"/>
  <c r="D955" i="56"/>
  <c r="C954" i="56"/>
  <c r="D954" i="56"/>
  <c r="C953" i="56"/>
  <c r="D953" i="56"/>
  <c r="C952" i="56"/>
  <c r="D952" i="56"/>
  <c r="C951" i="56"/>
  <c r="D951" i="56"/>
  <c r="C950" i="56"/>
  <c r="D950" i="56"/>
  <c r="C949" i="56"/>
  <c r="D949" i="56"/>
  <c r="C948" i="56"/>
  <c r="D948" i="56"/>
  <c r="C947" i="56"/>
  <c r="D947" i="56"/>
  <c r="C946" i="56"/>
  <c r="D946" i="56"/>
  <c r="C945" i="56"/>
  <c r="D945" i="56"/>
  <c r="C944" i="56"/>
  <c r="D944" i="56"/>
  <c r="C943" i="56"/>
  <c r="D943" i="56"/>
  <c r="C942" i="56"/>
  <c r="D942" i="56"/>
  <c r="C941" i="56"/>
  <c r="D941" i="56"/>
  <c r="C940" i="56"/>
  <c r="D940" i="56"/>
  <c r="C939" i="56"/>
  <c r="D939" i="56"/>
  <c r="C938" i="56"/>
  <c r="D938" i="56"/>
  <c r="C937" i="56"/>
  <c r="D937" i="56"/>
  <c r="C936" i="56"/>
  <c r="D936" i="56"/>
  <c r="C935" i="56"/>
  <c r="D935" i="56"/>
  <c r="C934" i="56"/>
  <c r="D934" i="56"/>
  <c r="C933" i="56"/>
  <c r="D933" i="56"/>
  <c r="C932" i="56"/>
  <c r="D932" i="56"/>
  <c r="C931" i="56"/>
  <c r="D931" i="56"/>
  <c r="C930" i="56"/>
  <c r="D930" i="56"/>
  <c r="C929" i="56"/>
  <c r="D929" i="56"/>
  <c r="C928" i="56"/>
  <c r="D928" i="56"/>
  <c r="C927" i="56"/>
  <c r="D927" i="56"/>
  <c r="C926" i="56"/>
  <c r="D926" i="56"/>
  <c r="C925" i="56"/>
  <c r="D925" i="56"/>
  <c r="C924" i="56"/>
  <c r="D924" i="56"/>
  <c r="C923" i="56"/>
  <c r="D923" i="56"/>
  <c r="C922" i="56"/>
  <c r="D922" i="56"/>
  <c r="C921" i="56"/>
  <c r="D921" i="56"/>
  <c r="C920" i="56"/>
  <c r="D920" i="56"/>
  <c r="C919" i="56"/>
  <c r="D919" i="56"/>
  <c r="C918" i="56"/>
  <c r="D918" i="56"/>
  <c r="C917" i="56"/>
  <c r="D917" i="56"/>
  <c r="C916" i="56"/>
  <c r="D916" i="56"/>
  <c r="C915" i="56"/>
  <c r="D915" i="56"/>
  <c r="C914" i="56"/>
  <c r="D914" i="56"/>
  <c r="C913" i="56"/>
  <c r="D913" i="56"/>
  <c r="C912" i="56"/>
  <c r="D912" i="56"/>
  <c r="C911" i="56"/>
  <c r="D911" i="56"/>
  <c r="C910" i="56"/>
  <c r="D910" i="56"/>
  <c r="C909" i="56"/>
  <c r="D909" i="56"/>
  <c r="C908" i="56"/>
  <c r="D908" i="56"/>
  <c r="C907" i="56"/>
  <c r="D907" i="56"/>
  <c r="C906" i="56"/>
  <c r="D906" i="56"/>
  <c r="C905" i="56"/>
  <c r="D905" i="56"/>
  <c r="C904" i="56"/>
  <c r="D904" i="56"/>
  <c r="C903" i="56"/>
  <c r="D903" i="56"/>
  <c r="C902" i="56"/>
  <c r="D902" i="56"/>
  <c r="C901" i="56"/>
  <c r="D901" i="56"/>
  <c r="C900" i="56"/>
  <c r="D900" i="56"/>
  <c r="C899" i="56"/>
  <c r="D899" i="56"/>
  <c r="C898" i="56"/>
  <c r="D898" i="56"/>
  <c r="C897" i="56"/>
  <c r="D897" i="56"/>
  <c r="C896" i="56"/>
  <c r="D896" i="56"/>
  <c r="C895" i="56"/>
  <c r="D895" i="56"/>
  <c r="C894" i="56"/>
  <c r="D894" i="56"/>
  <c r="C893" i="56"/>
  <c r="D893" i="56"/>
  <c r="C892" i="56"/>
  <c r="D892" i="56"/>
  <c r="C891" i="56"/>
  <c r="D891" i="56"/>
  <c r="C890" i="56"/>
  <c r="D890" i="56"/>
  <c r="C889" i="56"/>
  <c r="D889" i="56"/>
  <c r="C888" i="56"/>
  <c r="D888" i="56"/>
  <c r="C887" i="56"/>
  <c r="D887" i="56"/>
  <c r="C886" i="56"/>
  <c r="D886" i="56"/>
  <c r="C885" i="56"/>
  <c r="D885" i="56"/>
  <c r="C884" i="56"/>
  <c r="D884" i="56"/>
  <c r="C883" i="56"/>
  <c r="D883" i="56"/>
  <c r="C882" i="56"/>
  <c r="D882" i="56"/>
  <c r="C881" i="56"/>
  <c r="D881" i="56"/>
  <c r="C880" i="56"/>
  <c r="D880" i="56"/>
  <c r="C879" i="56"/>
  <c r="D879" i="56"/>
  <c r="C878" i="56"/>
  <c r="D878" i="56"/>
  <c r="C877" i="56"/>
  <c r="D877" i="56"/>
  <c r="C876" i="56"/>
  <c r="D876" i="56"/>
  <c r="C875" i="56"/>
  <c r="D875" i="56"/>
  <c r="C874" i="56"/>
  <c r="D874" i="56"/>
  <c r="C873" i="56"/>
  <c r="D873" i="56"/>
  <c r="C872" i="56"/>
  <c r="D872" i="56"/>
  <c r="C871" i="56"/>
  <c r="D871" i="56"/>
  <c r="C870" i="56"/>
  <c r="D870" i="56"/>
  <c r="C869" i="56"/>
  <c r="D869" i="56"/>
  <c r="C868" i="56"/>
  <c r="D868" i="56"/>
  <c r="C867" i="56"/>
  <c r="D867" i="56"/>
  <c r="C866" i="56"/>
  <c r="D866" i="56"/>
  <c r="C865" i="56"/>
  <c r="D865" i="56"/>
  <c r="C864" i="56"/>
  <c r="D864" i="56"/>
  <c r="C863" i="56"/>
  <c r="D863" i="56"/>
  <c r="C862" i="56"/>
  <c r="D862" i="56"/>
  <c r="C861" i="56"/>
  <c r="D861" i="56"/>
  <c r="C860" i="56"/>
  <c r="D860" i="56"/>
  <c r="C859" i="56"/>
  <c r="D859" i="56"/>
  <c r="C858" i="56"/>
  <c r="D858" i="56"/>
  <c r="C857" i="56"/>
  <c r="D857" i="56"/>
  <c r="C856" i="56"/>
  <c r="D856" i="56"/>
  <c r="C855" i="56"/>
  <c r="D855" i="56"/>
  <c r="C854" i="56"/>
  <c r="D854" i="56"/>
  <c r="C853" i="56"/>
  <c r="D853" i="56"/>
  <c r="C852" i="56"/>
  <c r="D852" i="56"/>
  <c r="C851" i="56"/>
  <c r="D851" i="56"/>
  <c r="C850" i="56"/>
  <c r="D850" i="56"/>
  <c r="C849" i="56"/>
  <c r="D849" i="56"/>
  <c r="C848" i="56"/>
  <c r="D848" i="56"/>
  <c r="C847" i="56"/>
  <c r="D847" i="56"/>
  <c r="C846" i="56"/>
  <c r="D846" i="56"/>
  <c r="C845" i="56"/>
  <c r="D845" i="56"/>
  <c r="C844" i="56"/>
  <c r="D844" i="56"/>
  <c r="C843" i="56"/>
  <c r="D843" i="56"/>
  <c r="C842" i="56"/>
  <c r="D842" i="56"/>
  <c r="C841" i="56"/>
  <c r="D841" i="56"/>
  <c r="C840" i="56"/>
  <c r="D840" i="56"/>
  <c r="C839" i="56"/>
  <c r="D839" i="56"/>
  <c r="C838" i="56"/>
  <c r="D838" i="56"/>
  <c r="C837" i="56"/>
  <c r="D837" i="56"/>
  <c r="C836" i="56"/>
  <c r="D836" i="56"/>
  <c r="C835" i="56"/>
  <c r="D835" i="56"/>
  <c r="C834" i="56"/>
  <c r="D834" i="56"/>
  <c r="C833" i="56"/>
  <c r="D833" i="56"/>
  <c r="C832" i="56"/>
  <c r="D832" i="56"/>
  <c r="C831" i="56"/>
  <c r="D831" i="56"/>
  <c r="C830" i="56"/>
  <c r="D830" i="56"/>
  <c r="C829" i="56"/>
  <c r="D829" i="56"/>
  <c r="C828" i="56"/>
  <c r="D828" i="56"/>
  <c r="C827" i="56"/>
  <c r="D827" i="56"/>
  <c r="C826" i="56"/>
  <c r="D826" i="56"/>
  <c r="C825" i="56"/>
  <c r="D825" i="56"/>
  <c r="C824" i="56"/>
  <c r="D824" i="56"/>
  <c r="C823" i="56"/>
  <c r="D823" i="56"/>
  <c r="C822" i="56"/>
  <c r="D822" i="56"/>
  <c r="C821" i="56"/>
  <c r="D821" i="56"/>
  <c r="C820" i="56"/>
  <c r="D820" i="56"/>
  <c r="C819" i="56"/>
  <c r="D819" i="56"/>
  <c r="C818" i="56"/>
  <c r="D818" i="56"/>
  <c r="C817" i="56"/>
  <c r="D817" i="56"/>
  <c r="C816" i="56"/>
  <c r="D816" i="56"/>
  <c r="C815" i="56"/>
  <c r="D815" i="56"/>
  <c r="C814" i="56"/>
  <c r="D814" i="56"/>
  <c r="C813" i="56"/>
  <c r="D813" i="56"/>
  <c r="C812" i="56"/>
  <c r="D812" i="56"/>
  <c r="C811" i="56"/>
  <c r="D811" i="56"/>
  <c r="C810" i="56"/>
  <c r="D810" i="56"/>
  <c r="C809" i="56"/>
  <c r="D809" i="56"/>
  <c r="C808" i="56"/>
  <c r="D808" i="56"/>
  <c r="C807" i="56"/>
  <c r="D807" i="56"/>
  <c r="C806" i="56"/>
  <c r="D806" i="56"/>
  <c r="C805" i="56"/>
  <c r="D805" i="56"/>
  <c r="C804" i="56"/>
  <c r="D804" i="56"/>
  <c r="C803" i="56"/>
  <c r="D803" i="56"/>
  <c r="C802" i="56"/>
  <c r="D802" i="56"/>
  <c r="C801" i="56"/>
  <c r="D801" i="56"/>
  <c r="C800" i="56"/>
  <c r="D800" i="56"/>
  <c r="C799" i="56"/>
  <c r="D799" i="56"/>
  <c r="C798" i="56"/>
  <c r="D798" i="56"/>
  <c r="C797" i="56"/>
  <c r="D797" i="56"/>
  <c r="C796" i="56"/>
  <c r="D796" i="56"/>
  <c r="C795" i="56"/>
  <c r="D795" i="56"/>
  <c r="C794" i="56"/>
  <c r="D794" i="56"/>
  <c r="C793" i="56"/>
  <c r="D793" i="56"/>
  <c r="C792" i="56"/>
  <c r="D792" i="56"/>
  <c r="C791" i="56"/>
  <c r="D791" i="56"/>
  <c r="C790" i="56"/>
  <c r="D790" i="56"/>
  <c r="C789" i="56"/>
  <c r="D789" i="56"/>
  <c r="C788" i="56"/>
  <c r="D788" i="56"/>
  <c r="C787" i="56"/>
  <c r="D787" i="56"/>
  <c r="C786" i="56"/>
  <c r="D786" i="56"/>
  <c r="C785" i="56"/>
  <c r="D785" i="56"/>
  <c r="C784" i="56"/>
  <c r="D784" i="56"/>
  <c r="C783" i="56"/>
  <c r="D783" i="56"/>
  <c r="C782" i="56"/>
  <c r="D782" i="56"/>
  <c r="C781" i="56"/>
  <c r="D781" i="56"/>
  <c r="C780" i="56"/>
  <c r="D780" i="56"/>
  <c r="C779" i="56"/>
  <c r="D779" i="56"/>
  <c r="C778" i="56"/>
  <c r="D778" i="56"/>
  <c r="C777" i="56"/>
  <c r="D777" i="56"/>
  <c r="C776" i="56"/>
  <c r="D776" i="56"/>
  <c r="C775" i="56"/>
  <c r="D775" i="56"/>
  <c r="C774" i="56"/>
  <c r="D774" i="56"/>
  <c r="C773" i="56"/>
  <c r="D773" i="56"/>
  <c r="C772" i="56"/>
  <c r="D772" i="56"/>
  <c r="C771" i="56"/>
  <c r="D771" i="56"/>
  <c r="C770" i="56"/>
  <c r="D770" i="56"/>
  <c r="C769" i="56"/>
  <c r="D769" i="56"/>
  <c r="C768" i="56"/>
  <c r="D768" i="56"/>
  <c r="C767" i="56"/>
  <c r="D767" i="56"/>
  <c r="C766" i="56"/>
  <c r="D766" i="56"/>
  <c r="C765" i="56"/>
  <c r="D765" i="56"/>
  <c r="C764" i="56"/>
  <c r="D764" i="56"/>
  <c r="C763" i="56"/>
  <c r="D763" i="56"/>
  <c r="C762" i="56"/>
  <c r="D762" i="56"/>
  <c r="C761" i="56"/>
  <c r="D761" i="56"/>
  <c r="C760" i="56"/>
  <c r="D760" i="56"/>
  <c r="C759" i="56"/>
  <c r="D759" i="56"/>
  <c r="C758" i="56"/>
  <c r="D758" i="56"/>
  <c r="C757" i="56"/>
  <c r="D757" i="56"/>
  <c r="C756" i="56"/>
  <c r="D756" i="56"/>
  <c r="C755" i="56"/>
  <c r="D755" i="56"/>
  <c r="C754" i="56"/>
  <c r="D754" i="56"/>
  <c r="C753" i="56"/>
  <c r="D753" i="56"/>
  <c r="C752" i="56"/>
  <c r="D752" i="56"/>
  <c r="C751" i="56"/>
  <c r="D751" i="56"/>
  <c r="C750" i="56"/>
  <c r="D750" i="56"/>
  <c r="C749" i="56"/>
  <c r="D749" i="56"/>
  <c r="C748" i="56"/>
  <c r="D748" i="56"/>
  <c r="C747" i="56"/>
  <c r="D747" i="56"/>
  <c r="C746" i="56"/>
  <c r="D746" i="56"/>
  <c r="C745" i="56"/>
  <c r="D745" i="56"/>
  <c r="C744" i="56"/>
  <c r="D744" i="56"/>
  <c r="C743" i="56"/>
  <c r="D743" i="56"/>
  <c r="C742" i="56"/>
  <c r="D742" i="56"/>
  <c r="C741" i="56"/>
  <c r="D741" i="56"/>
  <c r="C740" i="56"/>
  <c r="D740" i="56"/>
  <c r="C739" i="56"/>
  <c r="D739" i="56"/>
  <c r="C738" i="56"/>
  <c r="D738" i="56"/>
  <c r="C737" i="56"/>
  <c r="D737" i="56"/>
  <c r="C736" i="56"/>
  <c r="D736" i="56"/>
  <c r="C735" i="56"/>
  <c r="D735" i="56"/>
  <c r="C734" i="56"/>
  <c r="D734" i="56"/>
  <c r="C733" i="56"/>
  <c r="D733" i="56"/>
  <c r="C732" i="56"/>
  <c r="D732" i="56"/>
  <c r="C731" i="56"/>
  <c r="D731" i="56"/>
  <c r="C730" i="56"/>
  <c r="D730" i="56"/>
  <c r="C729" i="56"/>
  <c r="D729" i="56"/>
  <c r="C728" i="56"/>
  <c r="D728" i="56"/>
  <c r="C727" i="56"/>
  <c r="D727" i="56"/>
  <c r="C726" i="56"/>
  <c r="D726" i="56"/>
  <c r="C725" i="56"/>
  <c r="D725" i="56"/>
  <c r="C724" i="56"/>
  <c r="D724" i="56"/>
  <c r="C723" i="56"/>
  <c r="D723" i="56"/>
  <c r="C722" i="56"/>
  <c r="D722" i="56"/>
  <c r="C721" i="56"/>
  <c r="D721" i="56"/>
  <c r="C720" i="56"/>
  <c r="D720" i="56"/>
  <c r="C719" i="56"/>
  <c r="D719" i="56"/>
  <c r="C718" i="56"/>
  <c r="D718" i="56"/>
  <c r="C717" i="56"/>
  <c r="D717" i="56"/>
  <c r="C716" i="56"/>
  <c r="D716" i="56"/>
  <c r="C715" i="56"/>
  <c r="D715" i="56"/>
  <c r="C714" i="56"/>
  <c r="D714" i="56"/>
  <c r="C713" i="56"/>
  <c r="D713" i="56"/>
  <c r="C712" i="56"/>
  <c r="D712" i="56"/>
  <c r="C711" i="56"/>
  <c r="D711" i="56"/>
  <c r="C710" i="56"/>
  <c r="D710" i="56"/>
  <c r="C709" i="56"/>
  <c r="D709" i="56"/>
  <c r="C708" i="56"/>
  <c r="D708" i="56"/>
  <c r="C707" i="56"/>
  <c r="D707" i="56"/>
  <c r="C706" i="56"/>
  <c r="D706" i="56"/>
  <c r="C705" i="56"/>
  <c r="D705" i="56"/>
  <c r="C704" i="56"/>
  <c r="D704" i="56"/>
  <c r="C703" i="56"/>
  <c r="D703" i="56"/>
  <c r="C702" i="56"/>
  <c r="D702" i="56"/>
  <c r="C701" i="56"/>
  <c r="D701" i="56"/>
  <c r="C700" i="56"/>
  <c r="D700" i="56"/>
  <c r="C699" i="56"/>
  <c r="D699" i="56"/>
  <c r="C698" i="56"/>
  <c r="D698" i="56"/>
  <c r="C697" i="56"/>
  <c r="D697" i="56"/>
  <c r="C696" i="56"/>
  <c r="D696" i="56"/>
  <c r="C695" i="56"/>
  <c r="D695" i="56"/>
  <c r="C694" i="56"/>
  <c r="D694" i="56"/>
  <c r="C693" i="56"/>
  <c r="D693" i="56"/>
  <c r="C692" i="56"/>
  <c r="D692" i="56"/>
  <c r="C691" i="56"/>
  <c r="D691" i="56"/>
  <c r="C690" i="56"/>
  <c r="D690" i="56"/>
  <c r="C689" i="56"/>
  <c r="D689" i="56"/>
  <c r="C688" i="56"/>
  <c r="D688" i="56"/>
  <c r="C687" i="56"/>
  <c r="D687" i="56"/>
  <c r="C686" i="56"/>
  <c r="D686" i="56"/>
  <c r="C685" i="56"/>
  <c r="D685" i="56"/>
  <c r="C684" i="56"/>
  <c r="D684" i="56"/>
  <c r="C683" i="56"/>
  <c r="D683" i="56"/>
  <c r="C682" i="56"/>
  <c r="D682" i="56"/>
  <c r="C681" i="56"/>
  <c r="D681" i="56"/>
  <c r="C680" i="56"/>
  <c r="D680" i="56"/>
  <c r="C679" i="56"/>
  <c r="D679" i="56"/>
  <c r="C678" i="56"/>
  <c r="D678" i="56"/>
  <c r="C677" i="56"/>
  <c r="D677" i="56"/>
  <c r="C676" i="56"/>
  <c r="D676" i="56"/>
  <c r="C675" i="56"/>
  <c r="D675" i="56"/>
  <c r="C674" i="56"/>
  <c r="D674" i="56"/>
  <c r="C673" i="56"/>
  <c r="D673" i="56"/>
  <c r="C672" i="56"/>
  <c r="D672" i="56"/>
  <c r="C671" i="56"/>
  <c r="D671" i="56"/>
  <c r="C670" i="56"/>
  <c r="D670" i="56"/>
  <c r="C669" i="56"/>
  <c r="D669" i="56"/>
  <c r="C668" i="56"/>
  <c r="D668" i="56"/>
  <c r="C667" i="56"/>
  <c r="D667" i="56"/>
  <c r="C666" i="56"/>
  <c r="D666" i="56"/>
  <c r="C665" i="56"/>
  <c r="D665" i="56"/>
  <c r="C664" i="56"/>
  <c r="D664" i="56"/>
  <c r="C663" i="56"/>
  <c r="D663" i="56"/>
  <c r="C662" i="56"/>
  <c r="D662" i="56"/>
  <c r="C661" i="56"/>
  <c r="D661" i="56"/>
  <c r="C660" i="56"/>
  <c r="D660" i="56"/>
  <c r="C659" i="56"/>
  <c r="D659" i="56"/>
  <c r="C658" i="56"/>
  <c r="D658" i="56"/>
  <c r="C657" i="56"/>
  <c r="D657" i="56"/>
  <c r="C656" i="56"/>
  <c r="D656" i="56"/>
  <c r="C655" i="56"/>
  <c r="D655" i="56"/>
  <c r="C654" i="56"/>
  <c r="D654" i="56"/>
  <c r="C653" i="56"/>
  <c r="D653" i="56"/>
  <c r="C652" i="56"/>
  <c r="D652" i="56"/>
  <c r="C651" i="56"/>
  <c r="D651" i="56"/>
  <c r="C650" i="56"/>
  <c r="D650" i="56"/>
  <c r="C649" i="56"/>
  <c r="D649" i="56"/>
  <c r="C648" i="56"/>
  <c r="D648" i="56"/>
  <c r="C647" i="56"/>
  <c r="D647" i="56"/>
  <c r="C646" i="56"/>
  <c r="D646" i="56"/>
  <c r="C645" i="56"/>
  <c r="D645" i="56"/>
  <c r="C644" i="56"/>
  <c r="D644" i="56"/>
  <c r="C643" i="56"/>
  <c r="D643" i="56"/>
  <c r="C642" i="56"/>
  <c r="D642" i="56"/>
  <c r="C641" i="56"/>
  <c r="D641" i="56"/>
  <c r="C640" i="56"/>
  <c r="D640" i="56"/>
  <c r="C639" i="56"/>
  <c r="D639" i="56"/>
  <c r="C638" i="56"/>
  <c r="D638" i="56"/>
  <c r="C637" i="56"/>
  <c r="D637" i="56"/>
  <c r="C636" i="56"/>
  <c r="D636" i="56"/>
  <c r="C635" i="56"/>
  <c r="D635" i="56"/>
  <c r="C634" i="56"/>
  <c r="D634" i="56"/>
  <c r="C633" i="56"/>
  <c r="D633" i="56"/>
  <c r="C632" i="56"/>
  <c r="D632" i="56"/>
  <c r="C631" i="56"/>
  <c r="D631" i="56"/>
  <c r="C630" i="56"/>
  <c r="D630" i="56"/>
  <c r="C629" i="56"/>
  <c r="D629" i="56"/>
  <c r="C628" i="56"/>
  <c r="D628" i="56"/>
  <c r="C627" i="56"/>
  <c r="D627" i="56"/>
  <c r="C626" i="56"/>
  <c r="D626" i="56"/>
  <c r="C625" i="56"/>
  <c r="D625" i="56"/>
  <c r="C624" i="56"/>
  <c r="D624" i="56"/>
  <c r="C623" i="56"/>
  <c r="D623" i="56"/>
  <c r="C622" i="56"/>
  <c r="D622" i="56"/>
  <c r="C621" i="56"/>
  <c r="D621" i="56"/>
  <c r="C620" i="56"/>
  <c r="D620" i="56"/>
  <c r="C619" i="56"/>
  <c r="D619" i="56"/>
  <c r="C618" i="56"/>
  <c r="D618" i="56"/>
  <c r="C617" i="56"/>
  <c r="D617" i="56"/>
  <c r="C616" i="56"/>
  <c r="D616" i="56"/>
  <c r="C615" i="56"/>
  <c r="D615" i="56"/>
  <c r="C614" i="56"/>
  <c r="D614" i="56"/>
  <c r="C613" i="56"/>
  <c r="D613" i="56"/>
  <c r="C612" i="56"/>
  <c r="D612" i="56"/>
  <c r="C611" i="56"/>
  <c r="D611" i="56"/>
  <c r="C610" i="56"/>
  <c r="D610" i="56"/>
  <c r="C609" i="56"/>
  <c r="D609" i="56"/>
  <c r="C608" i="56"/>
  <c r="D608" i="56"/>
  <c r="C607" i="56"/>
  <c r="D607" i="56"/>
  <c r="C606" i="56"/>
  <c r="D606" i="56"/>
  <c r="C605" i="56"/>
  <c r="D605" i="56"/>
  <c r="C604" i="56"/>
  <c r="D604" i="56"/>
  <c r="C603" i="56"/>
  <c r="D603" i="56"/>
  <c r="C602" i="56"/>
  <c r="D602" i="56"/>
  <c r="C601" i="56"/>
  <c r="D601" i="56"/>
  <c r="C600" i="56"/>
  <c r="D600" i="56"/>
  <c r="C599" i="56"/>
  <c r="D599" i="56"/>
  <c r="C598" i="56"/>
  <c r="D598" i="56"/>
  <c r="C597" i="56"/>
  <c r="D597" i="56"/>
  <c r="C596" i="56"/>
  <c r="D596" i="56"/>
  <c r="C595" i="56"/>
  <c r="D595" i="56"/>
  <c r="C594" i="56"/>
  <c r="D594" i="56"/>
  <c r="C593" i="56"/>
  <c r="D593" i="56"/>
  <c r="C592" i="56"/>
  <c r="D592" i="56"/>
  <c r="C591" i="56"/>
  <c r="D591" i="56"/>
  <c r="C590" i="56"/>
  <c r="D590" i="56"/>
  <c r="C589" i="56"/>
  <c r="D589" i="56"/>
  <c r="C588" i="56"/>
  <c r="D588" i="56"/>
  <c r="C587" i="56"/>
  <c r="D587" i="56"/>
  <c r="C586" i="56"/>
  <c r="D586" i="56"/>
  <c r="C585" i="56"/>
  <c r="D585" i="56"/>
  <c r="C584" i="56"/>
  <c r="D584" i="56"/>
  <c r="C583" i="56"/>
  <c r="D583" i="56"/>
  <c r="C582" i="56"/>
  <c r="D582" i="56"/>
  <c r="C581" i="56"/>
  <c r="D581" i="56"/>
  <c r="C580" i="56"/>
  <c r="D580" i="56"/>
  <c r="C579" i="56"/>
  <c r="D579" i="56"/>
  <c r="C578" i="56"/>
  <c r="D578" i="56"/>
  <c r="C577" i="56"/>
  <c r="D577" i="56"/>
  <c r="C576" i="56"/>
  <c r="D576" i="56"/>
  <c r="C575" i="56"/>
  <c r="D575" i="56"/>
  <c r="C574" i="56"/>
  <c r="D574" i="56"/>
  <c r="C573" i="56"/>
  <c r="D573" i="56"/>
  <c r="C572" i="56"/>
  <c r="D572" i="56"/>
  <c r="C571" i="56"/>
  <c r="D571" i="56"/>
  <c r="C570" i="56"/>
  <c r="D570" i="56"/>
  <c r="C569" i="56"/>
  <c r="D569" i="56"/>
  <c r="C568" i="56"/>
  <c r="D568" i="56"/>
  <c r="C567" i="56"/>
  <c r="D567" i="56"/>
  <c r="C566" i="56"/>
  <c r="D566" i="56"/>
  <c r="C565" i="56"/>
  <c r="D565" i="56"/>
  <c r="C564" i="56"/>
  <c r="D564" i="56"/>
  <c r="C563" i="56"/>
  <c r="D563" i="56"/>
  <c r="C562" i="56"/>
  <c r="D562" i="56"/>
  <c r="C561" i="56"/>
  <c r="D561" i="56"/>
  <c r="C560" i="56"/>
  <c r="D560" i="56"/>
  <c r="C559" i="56"/>
  <c r="D559" i="56"/>
  <c r="C558" i="56"/>
  <c r="D558" i="56"/>
  <c r="C557" i="56"/>
  <c r="D557" i="56"/>
  <c r="C556" i="56"/>
  <c r="D556" i="56"/>
  <c r="C555" i="56"/>
  <c r="D555" i="56"/>
  <c r="C554" i="56"/>
  <c r="D554" i="56"/>
  <c r="C553" i="56"/>
  <c r="D553" i="56"/>
  <c r="C552" i="56"/>
  <c r="D552" i="56"/>
  <c r="C551" i="56"/>
  <c r="D551" i="56"/>
  <c r="C550" i="56"/>
  <c r="D550" i="56"/>
  <c r="C549" i="56"/>
  <c r="D549" i="56"/>
  <c r="C548" i="56"/>
  <c r="D548" i="56"/>
  <c r="C547" i="56"/>
  <c r="D547" i="56"/>
  <c r="C546" i="56"/>
  <c r="D546" i="56"/>
  <c r="C545" i="56"/>
  <c r="D545" i="56"/>
  <c r="C544" i="56"/>
  <c r="D544" i="56"/>
  <c r="C543" i="56"/>
  <c r="D543" i="56"/>
  <c r="C542" i="56"/>
  <c r="D542" i="56"/>
  <c r="C541" i="56"/>
  <c r="D541" i="56"/>
  <c r="C540" i="56"/>
  <c r="D540" i="56"/>
  <c r="C539" i="56"/>
  <c r="D539" i="56"/>
  <c r="C538" i="56"/>
  <c r="D538" i="56"/>
  <c r="C537" i="56"/>
  <c r="D537" i="56"/>
  <c r="C536" i="56"/>
  <c r="D536" i="56"/>
  <c r="C535" i="56"/>
  <c r="D535" i="56"/>
  <c r="C534" i="56"/>
  <c r="D534" i="56"/>
  <c r="C533" i="56"/>
  <c r="D533" i="56"/>
  <c r="C532" i="56"/>
  <c r="D532" i="56"/>
  <c r="C531" i="56"/>
  <c r="D531" i="56"/>
  <c r="C530" i="56"/>
  <c r="D530" i="56"/>
  <c r="C529" i="56"/>
  <c r="D529" i="56"/>
  <c r="C528" i="56"/>
  <c r="D528" i="56"/>
  <c r="C527" i="56"/>
  <c r="D527" i="56"/>
  <c r="C526" i="56"/>
  <c r="D526" i="56"/>
  <c r="C525" i="56"/>
  <c r="D525" i="56"/>
  <c r="C524" i="56"/>
  <c r="D524" i="56"/>
  <c r="C523" i="56"/>
  <c r="D523" i="56"/>
  <c r="C522" i="56"/>
  <c r="D522" i="56"/>
  <c r="C521" i="56"/>
  <c r="D521" i="56"/>
  <c r="C520" i="56"/>
  <c r="D520" i="56"/>
  <c r="C519" i="56"/>
  <c r="D519" i="56"/>
  <c r="C518" i="56"/>
  <c r="D518" i="56"/>
  <c r="C517" i="56"/>
  <c r="D517" i="56"/>
  <c r="C516" i="56"/>
  <c r="D516" i="56"/>
  <c r="C515" i="56"/>
  <c r="D515" i="56"/>
  <c r="C514" i="56"/>
  <c r="D514" i="56"/>
  <c r="C513" i="56"/>
  <c r="D513" i="56"/>
  <c r="C512" i="56"/>
  <c r="D512" i="56"/>
  <c r="C511" i="56"/>
  <c r="D511" i="56"/>
  <c r="C510" i="56"/>
  <c r="D510" i="56"/>
  <c r="C509" i="56"/>
  <c r="D509" i="56"/>
  <c r="C508" i="56"/>
  <c r="D508" i="56"/>
  <c r="C507" i="56"/>
  <c r="D507" i="56"/>
  <c r="C506" i="56"/>
  <c r="D506" i="56"/>
  <c r="C505" i="56"/>
  <c r="D505" i="56"/>
  <c r="C504" i="56"/>
  <c r="D504" i="56"/>
  <c r="C503" i="56"/>
  <c r="D503" i="56"/>
  <c r="C502" i="56"/>
  <c r="D502" i="56"/>
  <c r="C501" i="56"/>
  <c r="D501" i="56"/>
  <c r="C500" i="56"/>
  <c r="D500" i="56"/>
  <c r="C499" i="56"/>
  <c r="D499" i="56"/>
  <c r="C498" i="56"/>
  <c r="D498" i="56"/>
  <c r="C497" i="56"/>
  <c r="D497" i="56"/>
  <c r="C496" i="56"/>
  <c r="D496" i="56"/>
  <c r="C495" i="56"/>
  <c r="D495" i="56"/>
  <c r="C494" i="56"/>
  <c r="D494" i="56"/>
  <c r="C493" i="56"/>
  <c r="D493" i="56"/>
  <c r="C492" i="56"/>
  <c r="D492" i="56"/>
  <c r="C491" i="56"/>
  <c r="D491" i="56"/>
  <c r="C490" i="56"/>
  <c r="D490" i="56"/>
  <c r="C489" i="56"/>
  <c r="D489" i="56"/>
  <c r="C488" i="56"/>
  <c r="D488" i="56"/>
  <c r="C487" i="56"/>
  <c r="D487" i="56"/>
  <c r="C486" i="56"/>
  <c r="D486" i="56"/>
  <c r="C485" i="56"/>
  <c r="D485" i="56"/>
  <c r="C484" i="56"/>
  <c r="D484" i="56"/>
  <c r="C483" i="56"/>
  <c r="D483" i="56"/>
  <c r="C482" i="56"/>
  <c r="D482" i="56"/>
  <c r="C481" i="56"/>
  <c r="D481" i="56"/>
  <c r="C480" i="56"/>
  <c r="D480" i="56"/>
  <c r="C479" i="56"/>
  <c r="D479" i="56"/>
  <c r="C478" i="56"/>
  <c r="D478" i="56"/>
  <c r="C477" i="56"/>
  <c r="D477" i="56"/>
  <c r="C476" i="56"/>
  <c r="D476" i="56"/>
  <c r="C475" i="56"/>
  <c r="D475" i="56"/>
  <c r="C474" i="56"/>
  <c r="D474" i="56"/>
  <c r="C473" i="56"/>
  <c r="D473" i="56"/>
  <c r="C472" i="56"/>
  <c r="D472" i="56"/>
  <c r="C471" i="56"/>
  <c r="D471" i="56"/>
  <c r="C470" i="56"/>
  <c r="D470" i="56"/>
  <c r="C469" i="56"/>
  <c r="D469" i="56"/>
  <c r="C468" i="56"/>
  <c r="D468" i="56"/>
  <c r="C467" i="56"/>
  <c r="D467" i="56"/>
  <c r="C466" i="56"/>
  <c r="D466" i="56"/>
  <c r="C465" i="56"/>
  <c r="D465" i="56"/>
  <c r="C464" i="56"/>
  <c r="D464" i="56"/>
  <c r="C463" i="56"/>
  <c r="D463" i="56"/>
  <c r="C462" i="56"/>
  <c r="D462" i="56"/>
  <c r="C453" i="56"/>
  <c r="D453" i="56"/>
  <c r="C452" i="56"/>
  <c r="D452" i="56"/>
  <c r="C451" i="56"/>
  <c r="D451" i="56"/>
  <c r="C450" i="56"/>
  <c r="D450" i="56"/>
  <c r="C449" i="56"/>
  <c r="D449" i="56"/>
  <c r="C448" i="56"/>
  <c r="D448" i="56"/>
  <c r="C447" i="56"/>
  <c r="D447" i="56"/>
  <c r="C446" i="56"/>
  <c r="D446" i="56"/>
  <c r="C445" i="56"/>
  <c r="D445" i="56"/>
  <c r="C444" i="56"/>
  <c r="D444" i="56"/>
  <c r="C443" i="56"/>
  <c r="D443" i="56"/>
  <c r="C442" i="56"/>
  <c r="D442" i="56"/>
  <c r="C441" i="56"/>
  <c r="D441" i="56"/>
  <c r="C440" i="56"/>
  <c r="D440" i="56"/>
  <c r="C439" i="56"/>
  <c r="D439" i="56"/>
  <c r="C438" i="56"/>
  <c r="D438" i="56"/>
  <c r="C437" i="56"/>
  <c r="D437" i="56"/>
  <c r="C436" i="56"/>
  <c r="D436" i="56"/>
  <c r="C435" i="56"/>
  <c r="D435" i="56"/>
  <c r="C434" i="56"/>
  <c r="D434" i="56"/>
  <c r="C433" i="56"/>
  <c r="D433" i="56"/>
  <c r="C432" i="56"/>
  <c r="D432" i="56"/>
  <c r="C431" i="56"/>
  <c r="D431" i="56"/>
  <c r="C430" i="56"/>
  <c r="D430" i="56"/>
  <c r="C429" i="56"/>
  <c r="D429" i="56"/>
  <c r="C428" i="56"/>
  <c r="D428" i="56"/>
  <c r="C427" i="56"/>
  <c r="D427" i="56"/>
  <c r="C426" i="56"/>
  <c r="D426" i="56"/>
  <c r="C425" i="56"/>
  <c r="D425" i="56"/>
  <c r="C424" i="56"/>
  <c r="D424" i="56"/>
  <c r="C423" i="56"/>
  <c r="D423" i="56"/>
  <c r="C422" i="56"/>
  <c r="D422" i="56"/>
  <c r="C421" i="56"/>
  <c r="D421" i="56"/>
  <c r="C420" i="56"/>
  <c r="D420" i="56"/>
  <c r="C419" i="56"/>
  <c r="D419" i="56"/>
  <c r="C418" i="56"/>
  <c r="D418" i="56"/>
  <c r="C417" i="56"/>
  <c r="D417" i="56"/>
  <c r="C416" i="56"/>
  <c r="D416" i="56"/>
  <c r="C415" i="56"/>
  <c r="D415" i="56"/>
  <c r="C414" i="56"/>
  <c r="D414" i="56"/>
  <c r="C413" i="56"/>
  <c r="D413" i="56"/>
  <c r="C412" i="56"/>
  <c r="D412" i="56"/>
  <c r="C411" i="56"/>
  <c r="D411" i="56"/>
  <c r="C410" i="56"/>
  <c r="D410" i="56"/>
  <c r="C409" i="56"/>
  <c r="D409" i="56"/>
  <c r="C408" i="56"/>
  <c r="D408" i="56"/>
  <c r="C407" i="56"/>
  <c r="D407" i="56"/>
  <c r="C406" i="56"/>
  <c r="D406" i="56"/>
  <c r="C405" i="56"/>
  <c r="D405" i="56"/>
  <c r="C404" i="56"/>
  <c r="D404" i="56"/>
  <c r="C403" i="56"/>
  <c r="D403" i="56"/>
  <c r="C402" i="56"/>
  <c r="D402" i="56"/>
  <c r="C401" i="56"/>
  <c r="D401" i="56"/>
  <c r="C400" i="56"/>
  <c r="D400" i="56"/>
  <c r="C399" i="56"/>
  <c r="D399" i="56"/>
  <c r="C398" i="56"/>
  <c r="D398" i="56"/>
  <c r="C397" i="56"/>
  <c r="D397" i="56"/>
  <c r="C396" i="56"/>
  <c r="D396" i="56"/>
  <c r="C395" i="56"/>
  <c r="D395" i="56"/>
  <c r="C394" i="56"/>
  <c r="D394" i="56"/>
  <c r="C393" i="56"/>
  <c r="D393" i="56"/>
  <c r="C392" i="56"/>
  <c r="D392" i="56"/>
  <c r="C391" i="56"/>
  <c r="D391" i="56"/>
  <c r="C390" i="56"/>
  <c r="D390" i="56"/>
  <c r="C389" i="56"/>
  <c r="D389" i="56"/>
  <c r="C388" i="56"/>
  <c r="D388" i="56"/>
  <c r="C387" i="56"/>
  <c r="D387" i="56"/>
  <c r="C386" i="56"/>
  <c r="D386" i="56"/>
  <c r="C385" i="56"/>
  <c r="D385" i="56"/>
  <c r="C384" i="56"/>
  <c r="D384" i="56"/>
  <c r="C383" i="56"/>
  <c r="D383" i="56"/>
  <c r="C382" i="56"/>
  <c r="D382" i="56"/>
  <c r="C381" i="56"/>
  <c r="D381" i="56"/>
  <c r="C380" i="56"/>
  <c r="D380" i="56"/>
  <c r="C379" i="56"/>
  <c r="D379" i="56"/>
  <c r="C378" i="56"/>
  <c r="D378" i="56"/>
  <c r="C377" i="56"/>
  <c r="D377" i="56"/>
  <c r="C376" i="56"/>
  <c r="D376" i="56"/>
  <c r="C375" i="56"/>
  <c r="D375" i="56"/>
  <c r="C374" i="56"/>
  <c r="D374" i="56"/>
  <c r="C373" i="56"/>
  <c r="D373" i="56"/>
  <c r="C372" i="56"/>
  <c r="D372" i="56"/>
  <c r="C371" i="56"/>
  <c r="D371" i="56"/>
  <c r="C370" i="56"/>
  <c r="D370" i="56"/>
  <c r="C369" i="56"/>
  <c r="D369" i="56"/>
  <c r="C368" i="56"/>
  <c r="D368" i="56"/>
  <c r="C367" i="56"/>
  <c r="D367" i="56"/>
  <c r="C366" i="56"/>
  <c r="D366" i="56"/>
  <c r="C365" i="56"/>
  <c r="D365" i="56"/>
  <c r="C364" i="56"/>
  <c r="D364" i="56"/>
  <c r="C363" i="56"/>
  <c r="D363" i="56"/>
  <c r="C362" i="56"/>
  <c r="D362" i="56"/>
  <c r="C361" i="56"/>
  <c r="D361" i="56"/>
  <c r="C360" i="56"/>
  <c r="D360" i="56"/>
  <c r="C359" i="56"/>
  <c r="D359" i="56"/>
  <c r="C358" i="56"/>
  <c r="D358" i="56"/>
  <c r="C357" i="56"/>
  <c r="D357" i="56"/>
  <c r="C356" i="56"/>
  <c r="D356" i="56"/>
  <c r="C355" i="56"/>
  <c r="D355" i="56"/>
  <c r="C354" i="56"/>
  <c r="D354" i="56"/>
  <c r="C353" i="56"/>
  <c r="D353" i="56"/>
  <c r="C352" i="56"/>
  <c r="D352" i="56"/>
  <c r="C351" i="56"/>
  <c r="D351" i="56"/>
  <c r="C350" i="56"/>
  <c r="D350" i="56"/>
  <c r="C349" i="56"/>
  <c r="D349" i="56"/>
  <c r="C348" i="56"/>
  <c r="D348" i="56"/>
  <c r="C347" i="56"/>
  <c r="D347" i="56"/>
  <c r="C346" i="56"/>
  <c r="D346" i="56"/>
  <c r="C345" i="56"/>
  <c r="D345" i="56"/>
  <c r="C344" i="56"/>
  <c r="D344" i="56"/>
  <c r="C343" i="56"/>
  <c r="D343" i="56"/>
  <c r="C342" i="56"/>
  <c r="D342" i="56"/>
  <c r="C341" i="56"/>
  <c r="D341" i="56"/>
  <c r="C340" i="56"/>
  <c r="D340" i="56"/>
  <c r="C339" i="56"/>
  <c r="D339" i="56"/>
  <c r="C338" i="56"/>
  <c r="D338" i="56"/>
  <c r="C337" i="56"/>
  <c r="D337" i="56"/>
  <c r="C336" i="56"/>
  <c r="D336" i="56"/>
  <c r="C335" i="56"/>
  <c r="D335" i="56"/>
  <c r="C334" i="56"/>
  <c r="D334" i="56"/>
  <c r="C333" i="56"/>
  <c r="D333" i="56"/>
  <c r="C332" i="56"/>
  <c r="D332" i="56"/>
  <c r="C331" i="56"/>
  <c r="D331" i="56"/>
  <c r="C330" i="56"/>
  <c r="D330" i="56"/>
  <c r="C329" i="56"/>
  <c r="D329" i="56"/>
  <c r="C328" i="56"/>
  <c r="D328" i="56"/>
  <c r="C327" i="56"/>
  <c r="D327" i="56"/>
  <c r="C326" i="56"/>
  <c r="D326" i="56"/>
  <c r="C325" i="56"/>
  <c r="D325" i="56"/>
  <c r="C324" i="56"/>
  <c r="D324" i="56"/>
  <c r="C323" i="56"/>
  <c r="D323" i="56"/>
  <c r="C322" i="56"/>
  <c r="D322" i="56"/>
  <c r="C321" i="56"/>
  <c r="D321" i="56"/>
  <c r="C320" i="56"/>
  <c r="D320" i="56"/>
  <c r="C319" i="56"/>
  <c r="D319" i="56"/>
  <c r="C318" i="56"/>
  <c r="D318" i="56"/>
  <c r="C317" i="56"/>
  <c r="D317" i="56"/>
  <c r="C316" i="56"/>
  <c r="D316" i="56"/>
  <c r="C315" i="56"/>
  <c r="D315" i="56"/>
  <c r="C314" i="56"/>
  <c r="D314" i="56"/>
  <c r="C313" i="56"/>
  <c r="D313" i="56"/>
  <c r="C312" i="56"/>
  <c r="D312" i="56"/>
  <c r="C311" i="56"/>
  <c r="D311" i="56"/>
  <c r="C310" i="56"/>
  <c r="D310" i="56"/>
  <c r="C309" i="56"/>
  <c r="D309" i="56"/>
  <c r="C308" i="56"/>
  <c r="D308" i="56"/>
  <c r="C307" i="56"/>
  <c r="D307" i="56"/>
  <c r="C306" i="56"/>
  <c r="D306" i="56"/>
  <c r="C305" i="56"/>
  <c r="D305" i="56"/>
  <c r="C304" i="56"/>
  <c r="D304" i="56"/>
  <c r="C303" i="56"/>
  <c r="D303" i="56"/>
  <c r="C302" i="56"/>
  <c r="D302" i="56"/>
  <c r="C301" i="56"/>
  <c r="D301" i="56"/>
  <c r="C300" i="56"/>
  <c r="D300" i="56"/>
  <c r="C299" i="56"/>
  <c r="D299" i="56"/>
  <c r="C298" i="56"/>
  <c r="D298" i="56"/>
  <c r="C297" i="56"/>
  <c r="D297" i="56"/>
  <c r="C296" i="56"/>
  <c r="D296" i="56"/>
  <c r="C295" i="56"/>
  <c r="D295" i="56"/>
  <c r="C294" i="56"/>
  <c r="D294" i="56"/>
  <c r="C293" i="56"/>
  <c r="D293" i="56"/>
  <c r="C292" i="56"/>
  <c r="D292" i="56"/>
  <c r="C291" i="56"/>
  <c r="D291" i="56"/>
  <c r="C290" i="56"/>
  <c r="D290" i="56"/>
  <c r="C289" i="56"/>
  <c r="D289" i="56"/>
  <c r="C288" i="56"/>
  <c r="D288" i="56"/>
  <c r="C287" i="56"/>
  <c r="D287" i="56"/>
  <c r="C286" i="56"/>
  <c r="D286" i="56"/>
  <c r="C285" i="56"/>
  <c r="D285" i="56"/>
  <c r="C284" i="56"/>
  <c r="D284" i="56"/>
  <c r="C283" i="56"/>
  <c r="D283" i="56"/>
  <c r="C282" i="56"/>
  <c r="D282" i="56"/>
  <c r="C281" i="56"/>
  <c r="D281" i="56"/>
  <c r="C280" i="56"/>
  <c r="D280" i="56"/>
  <c r="C279" i="56"/>
  <c r="D279" i="56"/>
  <c r="C278" i="56"/>
  <c r="D278" i="56"/>
  <c r="C277" i="56"/>
  <c r="D277" i="56"/>
  <c r="C276" i="56"/>
  <c r="D276" i="56"/>
  <c r="C275" i="56"/>
  <c r="D275" i="56"/>
  <c r="C274" i="56"/>
  <c r="D274" i="56"/>
  <c r="C273" i="56"/>
  <c r="D273" i="56"/>
  <c r="C272" i="56"/>
  <c r="D272" i="56"/>
  <c r="C271" i="56"/>
  <c r="D271" i="56"/>
  <c r="C270" i="56"/>
  <c r="D270" i="56"/>
  <c r="C269" i="56"/>
  <c r="D269" i="56"/>
  <c r="C268" i="56"/>
  <c r="D268" i="56"/>
  <c r="C267" i="56"/>
  <c r="D267" i="56"/>
  <c r="C266" i="56"/>
  <c r="D266" i="56"/>
  <c r="C265" i="56"/>
  <c r="D265" i="56"/>
  <c r="C264" i="56"/>
  <c r="D264" i="56"/>
  <c r="C263" i="56"/>
  <c r="D263" i="56"/>
  <c r="C262" i="56"/>
  <c r="D262" i="56"/>
  <c r="C261" i="56"/>
  <c r="D261" i="56"/>
  <c r="C260" i="56"/>
  <c r="D260" i="56"/>
  <c r="C259" i="56"/>
  <c r="D259" i="56"/>
  <c r="C258" i="56"/>
  <c r="D258" i="56"/>
  <c r="C257" i="56"/>
  <c r="D257" i="56"/>
  <c r="C256" i="56"/>
  <c r="D256" i="56"/>
  <c r="C255" i="56"/>
  <c r="D255" i="56"/>
  <c r="C254" i="56"/>
  <c r="D254" i="56"/>
  <c r="C253" i="56"/>
  <c r="D253" i="56"/>
  <c r="C252" i="56"/>
  <c r="D252" i="56"/>
  <c r="C251" i="56"/>
  <c r="D251" i="56"/>
  <c r="C250" i="56"/>
  <c r="D250" i="56"/>
  <c r="C249" i="56"/>
  <c r="D249" i="56"/>
  <c r="C248" i="56"/>
  <c r="D248" i="56"/>
  <c r="C247" i="56"/>
  <c r="D247" i="56"/>
  <c r="C246" i="56"/>
  <c r="D246" i="56"/>
  <c r="C245" i="56"/>
  <c r="D245" i="56"/>
  <c r="C244" i="56"/>
  <c r="D244" i="56"/>
  <c r="C243" i="56"/>
  <c r="D243" i="56"/>
  <c r="C242" i="56"/>
  <c r="D242" i="56"/>
  <c r="C241" i="56"/>
  <c r="D241" i="56"/>
  <c r="C240" i="56"/>
  <c r="D240" i="56"/>
  <c r="C239" i="56"/>
  <c r="D239" i="56"/>
  <c r="C238" i="56"/>
  <c r="D238" i="56"/>
  <c r="C237" i="56"/>
  <c r="D237" i="56"/>
  <c r="C236" i="56"/>
  <c r="D236" i="56"/>
  <c r="C235" i="56"/>
  <c r="D235" i="56"/>
  <c r="C234" i="56"/>
  <c r="D234" i="56"/>
  <c r="C233" i="56"/>
  <c r="D233" i="56"/>
  <c r="C232" i="56"/>
  <c r="D232" i="56"/>
  <c r="C231" i="56"/>
  <c r="D231" i="56"/>
  <c r="C230" i="56"/>
  <c r="D230" i="56"/>
  <c r="C229" i="56"/>
  <c r="D229" i="56"/>
  <c r="C228" i="56"/>
  <c r="D228" i="56"/>
  <c r="C227" i="56"/>
  <c r="D227" i="56"/>
  <c r="C226" i="56"/>
  <c r="D226" i="56"/>
  <c r="C225" i="56"/>
  <c r="D225" i="56"/>
  <c r="C224" i="56"/>
  <c r="D224" i="56"/>
  <c r="C223" i="56"/>
  <c r="D223" i="56"/>
  <c r="C222" i="56"/>
  <c r="D222" i="56"/>
  <c r="C221" i="56"/>
  <c r="D221" i="56"/>
  <c r="C220" i="56"/>
  <c r="D220" i="56"/>
  <c r="C219" i="56"/>
  <c r="D219" i="56"/>
  <c r="C218" i="56"/>
  <c r="D218" i="56"/>
  <c r="C217" i="56"/>
  <c r="D217" i="56"/>
  <c r="C216" i="56"/>
  <c r="D216" i="56"/>
  <c r="C215" i="56"/>
  <c r="D215" i="56"/>
  <c r="C214" i="56"/>
  <c r="D214" i="56"/>
  <c r="C213" i="56"/>
  <c r="D213" i="56"/>
  <c r="C212" i="56"/>
  <c r="D212" i="56"/>
  <c r="C211" i="56"/>
  <c r="D211" i="56"/>
  <c r="C210" i="56"/>
  <c r="D210" i="56"/>
  <c r="C209" i="56"/>
  <c r="D209" i="56"/>
  <c r="C208" i="56"/>
  <c r="D208" i="56"/>
  <c r="C207" i="56"/>
  <c r="D207" i="56"/>
  <c r="C206" i="56"/>
  <c r="D206" i="56"/>
  <c r="C205" i="56"/>
  <c r="D205" i="56"/>
  <c r="C204" i="56"/>
  <c r="D204" i="56"/>
  <c r="C203" i="56"/>
  <c r="D203" i="56"/>
  <c r="C202" i="56"/>
  <c r="D202" i="56"/>
  <c r="C201" i="56"/>
  <c r="D201" i="56"/>
  <c r="C200" i="56"/>
  <c r="D200" i="56"/>
  <c r="C199" i="56"/>
  <c r="D199" i="56"/>
  <c r="C198" i="56"/>
  <c r="D198" i="56"/>
  <c r="C197" i="56"/>
  <c r="D197" i="56"/>
  <c r="C196" i="56"/>
  <c r="D196" i="56"/>
  <c r="C195" i="56"/>
  <c r="D195" i="56"/>
  <c r="C194" i="56"/>
  <c r="D194" i="56"/>
  <c r="C193" i="56"/>
  <c r="D193" i="56"/>
  <c r="C192" i="56"/>
  <c r="D192" i="56"/>
  <c r="C191" i="56"/>
  <c r="D191" i="56"/>
  <c r="C190" i="56"/>
  <c r="D190" i="56"/>
  <c r="C189" i="56"/>
  <c r="D189" i="56"/>
  <c r="C188" i="56"/>
  <c r="D188" i="56"/>
  <c r="C187" i="56"/>
  <c r="D187" i="56"/>
  <c r="C186" i="56"/>
  <c r="D186" i="56"/>
  <c r="C185" i="56"/>
  <c r="D185" i="56"/>
  <c r="C184" i="56"/>
  <c r="D184" i="56"/>
  <c r="C183" i="56"/>
  <c r="D183" i="56"/>
  <c r="C182" i="56"/>
  <c r="D182" i="56"/>
  <c r="C181" i="56"/>
  <c r="D181" i="56"/>
  <c r="C180" i="56"/>
  <c r="D180" i="56"/>
  <c r="C179" i="56"/>
  <c r="D179" i="56"/>
  <c r="C178" i="56"/>
  <c r="D178" i="56"/>
  <c r="C177" i="56"/>
  <c r="D177" i="56"/>
  <c r="C176" i="56"/>
  <c r="D176" i="56"/>
  <c r="C175" i="56"/>
  <c r="D175" i="56"/>
  <c r="C174" i="56"/>
  <c r="D174" i="56"/>
  <c r="C173" i="56"/>
  <c r="D173" i="56"/>
  <c r="C172" i="56"/>
  <c r="D172" i="56"/>
  <c r="C171" i="56"/>
  <c r="D171" i="56"/>
  <c r="C170" i="56"/>
  <c r="D170" i="56"/>
  <c r="C169" i="56"/>
  <c r="D169" i="56"/>
  <c r="C168" i="56"/>
  <c r="D168" i="56"/>
  <c r="C167" i="56"/>
  <c r="D167" i="56"/>
  <c r="C166" i="56"/>
  <c r="D166" i="56"/>
  <c r="C165" i="56"/>
  <c r="D165" i="56"/>
  <c r="C164" i="56"/>
  <c r="D164" i="56"/>
  <c r="C163" i="56"/>
  <c r="D163" i="56"/>
  <c r="C162" i="56"/>
  <c r="D162" i="56"/>
  <c r="C161" i="56"/>
  <c r="D161" i="56"/>
  <c r="C160" i="56"/>
  <c r="D160" i="56"/>
  <c r="C159" i="56"/>
  <c r="D159" i="56"/>
  <c r="C158" i="56"/>
  <c r="D158" i="56"/>
  <c r="C157" i="56"/>
  <c r="D157" i="56"/>
  <c r="C156" i="56"/>
  <c r="D156" i="56"/>
  <c r="C155" i="56"/>
  <c r="D155" i="56"/>
  <c r="C154" i="56"/>
  <c r="D154" i="56"/>
  <c r="C153" i="56"/>
  <c r="D153" i="56"/>
  <c r="C152" i="56"/>
  <c r="D152" i="56"/>
  <c r="C151" i="56"/>
  <c r="D151" i="56"/>
  <c r="C150" i="56"/>
  <c r="D150" i="56"/>
  <c r="C149" i="56"/>
  <c r="D149" i="56"/>
  <c r="C148" i="56"/>
  <c r="D148" i="56"/>
  <c r="C147" i="56"/>
  <c r="D147" i="56"/>
  <c r="C146" i="56"/>
  <c r="D146" i="56"/>
  <c r="C145" i="56"/>
  <c r="D145" i="56"/>
  <c r="C144" i="56"/>
  <c r="D144" i="56"/>
  <c r="C143" i="56"/>
  <c r="D143" i="56"/>
  <c r="C142" i="56"/>
  <c r="D142" i="56"/>
  <c r="C141" i="56"/>
  <c r="D141" i="56"/>
  <c r="C140" i="56"/>
  <c r="D140" i="56"/>
  <c r="C139" i="56"/>
  <c r="D139" i="56"/>
  <c r="C138" i="56"/>
  <c r="D138" i="56"/>
  <c r="C137" i="56"/>
  <c r="D137" i="56"/>
  <c r="C136" i="56"/>
  <c r="D136" i="56"/>
  <c r="C135" i="56"/>
  <c r="D135" i="56"/>
  <c r="C134" i="56"/>
  <c r="D134" i="56"/>
  <c r="C133" i="56"/>
  <c r="D133" i="56"/>
  <c r="C132" i="56"/>
  <c r="D132" i="56"/>
  <c r="C131" i="56"/>
  <c r="D131" i="56"/>
  <c r="C130" i="56"/>
  <c r="D130" i="56"/>
  <c r="C129" i="56"/>
  <c r="D129" i="56"/>
  <c r="C128" i="56"/>
  <c r="D128" i="56"/>
  <c r="C127" i="56"/>
  <c r="D127" i="56"/>
  <c r="C126" i="56"/>
  <c r="D126" i="56"/>
  <c r="C125" i="56"/>
  <c r="D125" i="56"/>
  <c r="C124" i="56"/>
  <c r="D124" i="56"/>
  <c r="C123" i="56"/>
  <c r="D123" i="56"/>
  <c r="C122" i="56"/>
  <c r="D122" i="56"/>
  <c r="C121" i="56"/>
  <c r="D121" i="56"/>
  <c r="C120" i="56"/>
  <c r="D120" i="56"/>
  <c r="C119" i="56"/>
  <c r="D119" i="56"/>
  <c r="C118" i="56"/>
  <c r="D118" i="56"/>
  <c r="C117" i="56"/>
  <c r="D117" i="56"/>
  <c r="C116" i="56"/>
  <c r="D116" i="56"/>
  <c r="C115" i="56"/>
  <c r="D115" i="56"/>
  <c r="C114" i="56"/>
  <c r="D114" i="56"/>
  <c r="C113" i="56"/>
  <c r="D113" i="56"/>
  <c r="C112" i="56"/>
  <c r="D112" i="56"/>
  <c r="C111" i="56"/>
  <c r="D111" i="56"/>
  <c r="C110" i="56"/>
  <c r="D110" i="56"/>
  <c r="C109" i="56"/>
  <c r="D109" i="56"/>
  <c r="C108" i="56"/>
  <c r="D108" i="56"/>
  <c r="C107" i="56"/>
  <c r="D107" i="56"/>
  <c r="C106" i="56"/>
  <c r="D106" i="56"/>
  <c r="C105" i="56"/>
  <c r="D105" i="56"/>
  <c r="C104" i="56"/>
  <c r="D104" i="56"/>
  <c r="C103" i="56"/>
  <c r="D103" i="56"/>
  <c r="C102" i="56"/>
  <c r="D102" i="56"/>
  <c r="C101" i="56"/>
  <c r="D101" i="56"/>
  <c r="C100" i="56"/>
  <c r="D100" i="56"/>
  <c r="C99" i="56"/>
  <c r="D99" i="56"/>
  <c r="C98" i="56"/>
  <c r="D98" i="56"/>
  <c r="C97" i="56"/>
  <c r="D97" i="56"/>
  <c r="C96" i="56"/>
  <c r="D96" i="56"/>
  <c r="C95" i="56"/>
  <c r="D95" i="56"/>
  <c r="C94" i="56"/>
  <c r="D94" i="56"/>
  <c r="C93" i="56"/>
  <c r="D93" i="56"/>
  <c r="C92" i="56"/>
  <c r="D92" i="56"/>
  <c r="C91" i="56"/>
  <c r="D91" i="56"/>
  <c r="C90" i="56"/>
  <c r="D90" i="56"/>
  <c r="C89" i="56"/>
  <c r="D89" i="56"/>
  <c r="C88" i="56"/>
  <c r="D88" i="56"/>
  <c r="C87" i="56"/>
  <c r="D87" i="56"/>
  <c r="C86" i="56"/>
  <c r="D86" i="56"/>
  <c r="C85" i="56"/>
  <c r="D85" i="56"/>
  <c r="C84" i="56"/>
  <c r="D84" i="56"/>
  <c r="C83" i="56"/>
  <c r="D83" i="56"/>
  <c r="C82" i="56"/>
  <c r="D82" i="56"/>
  <c r="C81" i="56"/>
  <c r="D81" i="56"/>
  <c r="C80" i="56"/>
  <c r="D80" i="56"/>
  <c r="C79" i="56"/>
  <c r="D79" i="56"/>
  <c r="C78" i="56"/>
  <c r="D78" i="56"/>
  <c r="C77" i="56"/>
  <c r="D77" i="56"/>
  <c r="C76" i="56"/>
  <c r="D76" i="56"/>
  <c r="C75" i="56"/>
  <c r="D75" i="56"/>
  <c r="C74" i="56"/>
  <c r="D74" i="56"/>
  <c r="C73" i="56"/>
  <c r="D73" i="56"/>
  <c r="C72" i="56"/>
  <c r="D72" i="56"/>
  <c r="C71" i="56"/>
  <c r="D71" i="56"/>
  <c r="C70" i="56"/>
  <c r="D70" i="56"/>
  <c r="C69" i="56"/>
  <c r="D69" i="56"/>
  <c r="C68" i="56"/>
  <c r="D68" i="56"/>
  <c r="C67" i="56"/>
  <c r="D67" i="56"/>
  <c r="C66" i="56"/>
  <c r="D66" i="56"/>
  <c r="C65" i="56"/>
  <c r="D65" i="56"/>
  <c r="C64" i="56"/>
  <c r="D64" i="56"/>
  <c r="C63" i="56"/>
  <c r="D63" i="56"/>
  <c r="C62" i="56"/>
  <c r="D62" i="56"/>
  <c r="C61" i="56"/>
  <c r="D61" i="56"/>
  <c r="C60" i="56"/>
  <c r="D60" i="56"/>
  <c r="C59" i="56"/>
  <c r="D59" i="56"/>
  <c r="C58" i="56"/>
  <c r="D58" i="56"/>
  <c r="C57" i="56"/>
  <c r="D57" i="56"/>
  <c r="C56" i="56"/>
  <c r="D56" i="56"/>
  <c r="C55" i="56"/>
  <c r="D55" i="56"/>
  <c r="C54" i="56"/>
  <c r="D54" i="56"/>
  <c r="C53" i="56"/>
  <c r="D53" i="56"/>
  <c r="C52" i="56"/>
  <c r="D52" i="56"/>
  <c r="C51" i="56"/>
  <c r="D51" i="56"/>
  <c r="C50" i="56"/>
  <c r="D50" i="56"/>
  <c r="C49" i="56"/>
  <c r="D49" i="56"/>
  <c r="C48" i="56"/>
  <c r="D48" i="56"/>
  <c r="C47" i="56"/>
  <c r="D47" i="56"/>
  <c r="C46" i="56"/>
  <c r="D46" i="56"/>
  <c r="C45" i="56"/>
  <c r="D45" i="56"/>
  <c r="C44" i="56"/>
  <c r="D44" i="56"/>
  <c r="C43" i="56"/>
  <c r="D43" i="56"/>
  <c r="C42" i="56"/>
  <c r="D42" i="56"/>
  <c r="C41" i="56"/>
  <c r="D41" i="56"/>
  <c r="C40" i="56"/>
  <c r="D40" i="56"/>
  <c r="C39" i="56"/>
  <c r="D39" i="56"/>
  <c r="C38" i="56"/>
  <c r="D38" i="56"/>
  <c r="C37" i="56"/>
  <c r="D37" i="56"/>
  <c r="C36" i="56"/>
  <c r="D36" i="56"/>
  <c r="C35" i="56"/>
  <c r="D35" i="56"/>
  <c r="C34" i="56"/>
  <c r="D34" i="56"/>
  <c r="C33" i="56"/>
  <c r="D33" i="56"/>
  <c r="C32" i="56"/>
  <c r="D32" i="56"/>
  <c r="C31" i="56"/>
  <c r="D31" i="56"/>
  <c r="C30" i="56"/>
  <c r="D30" i="56"/>
  <c r="C29" i="56"/>
  <c r="D29" i="56"/>
  <c r="C28" i="56"/>
  <c r="D28" i="56"/>
  <c r="C27" i="56"/>
  <c r="D27" i="56"/>
  <c r="C26" i="56"/>
  <c r="D26" i="56"/>
  <c r="C25" i="56"/>
  <c r="D25" i="56"/>
  <c r="C24" i="56"/>
  <c r="D24" i="56"/>
  <c r="C23" i="56"/>
  <c r="D23" i="56"/>
  <c r="C22" i="56"/>
  <c r="D22" i="56"/>
  <c r="C21" i="56"/>
  <c r="D21" i="56"/>
  <c r="C20" i="56"/>
  <c r="D20" i="56"/>
  <c r="C19" i="56"/>
  <c r="D19" i="56"/>
  <c r="C18" i="56"/>
  <c r="D18" i="56"/>
  <c r="C17" i="56"/>
  <c r="D17" i="56"/>
  <c r="C16" i="56"/>
  <c r="D16" i="56"/>
  <c r="C15" i="56"/>
  <c r="D15" i="56"/>
  <c r="C14" i="56"/>
  <c r="D14" i="56"/>
  <c r="C13" i="56"/>
  <c r="D13" i="56"/>
  <c r="C12" i="56"/>
  <c r="D12" i="56"/>
  <c r="C11" i="56"/>
  <c r="D11" i="56"/>
  <c r="C10" i="56"/>
  <c r="D10" i="56"/>
  <c r="C9" i="56"/>
  <c r="D9" i="56"/>
  <c r="C8" i="56"/>
  <c r="D8" i="56"/>
  <c r="C7" i="56"/>
  <c r="D7" i="56"/>
  <c r="C6" i="56"/>
  <c r="D6" i="56"/>
  <c r="C5" i="56"/>
  <c r="D5" i="56"/>
  <c r="C4" i="56"/>
  <c r="D4" i="56"/>
  <c r="C3" i="56"/>
  <c r="D3" i="56"/>
  <c r="C2" i="56"/>
  <c r="D2" i="56"/>
  <c r="B1200" i="56"/>
  <c r="B1199" i="56"/>
  <c r="B1198" i="56"/>
  <c r="B1197" i="56"/>
  <c r="B1196" i="56"/>
  <c r="B1195" i="56"/>
  <c r="B1194" i="56"/>
  <c r="B1193" i="56"/>
  <c r="B1192" i="56"/>
  <c r="B1191" i="56"/>
  <c r="B1190" i="56"/>
  <c r="B1189" i="56"/>
  <c r="B1188" i="56"/>
  <c r="B1187" i="56"/>
  <c r="B1186" i="56"/>
  <c r="B1185" i="56"/>
  <c r="B1184" i="56"/>
  <c r="B1183" i="56"/>
  <c r="B1182" i="56"/>
  <c r="B1181" i="56"/>
  <c r="B1180" i="56"/>
  <c r="B1179" i="56"/>
  <c r="B1178" i="56"/>
  <c r="B1177" i="56"/>
  <c r="B1176" i="56"/>
  <c r="B1175" i="56"/>
  <c r="B1174" i="56"/>
  <c r="B1173" i="56"/>
  <c r="B1161" i="56"/>
  <c r="B1160" i="56"/>
  <c r="B1159" i="56"/>
  <c r="B1158" i="56"/>
  <c r="B1157" i="56"/>
  <c r="B1156" i="56"/>
  <c r="B1155" i="56"/>
  <c r="B1154" i="56"/>
  <c r="B1153" i="56"/>
  <c r="B1152" i="56"/>
  <c r="B1151" i="56"/>
  <c r="B1150" i="56"/>
  <c r="B1149" i="56"/>
  <c r="B1148" i="56"/>
  <c r="B1147" i="56"/>
  <c r="B1146" i="56"/>
  <c r="B1145" i="56"/>
  <c r="B1144" i="56"/>
  <c r="B1143" i="56"/>
  <c r="B1142" i="56"/>
  <c r="B1141" i="56"/>
  <c r="B1140" i="56"/>
  <c r="B1139" i="56"/>
  <c r="B1138" i="56"/>
  <c r="B1137" i="56"/>
  <c r="B1136" i="56"/>
  <c r="B1135" i="56"/>
  <c r="B1134" i="56"/>
  <c r="B1133" i="56"/>
  <c r="B1132" i="56"/>
  <c r="B1131" i="56"/>
  <c r="B1130" i="56"/>
  <c r="B1129" i="56"/>
  <c r="B1128" i="56"/>
  <c r="B1127" i="56"/>
  <c r="B1126" i="56"/>
  <c r="B1125" i="56"/>
  <c r="B1124" i="56"/>
  <c r="B1123" i="56"/>
  <c r="B1122" i="56"/>
  <c r="B1121" i="56"/>
  <c r="B1120" i="56"/>
  <c r="B1119" i="56"/>
  <c r="B1118" i="56"/>
  <c r="B1117" i="56"/>
  <c r="B1116" i="56"/>
  <c r="B1115" i="56"/>
  <c r="B1114" i="56"/>
  <c r="B1113" i="56"/>
  <c r="B1112" i="56"/>
  <c r="B1111" i="56"/>
  <c r="B1110" i="56"/>
  <c r="B1109" i="56"/>
  <c r="B1108" i="56"/>
  <c r="B1107" i="56"/>
  <c r="B1106" i="56"/>
  <c r="B1105" i="56"/>
  <c r="B1104" i="56"/>
  <c r="B1103" i="56"/>
  <c r="B1102" i="56"/>
  <c r="B1101" i="56"/>
  <c r="B1100" i="56"/>
  <c r="B1099" i="56"/>
  <c r="B1098" i="56"/>
  <c r="B1097" i="56"/>
  <c r="B1096" i="56"/>
  <c r="B1095" i="56"/>
  <c r="B1094" i="56"/>
  <c r="B1093" i="56"/>
  <c r="B1092" i="56"/>
  <c r="B1091" i="56"/>
  <c r="B1090" i="56"/>
  <c r="B1089" i="56"/>
  <c r="B1088" i="56"/>
  <c r="B1087" i="56"/>
  <c r="B1086" i="56"/>
  <c r="B1085" i="56"/>
  <c r="B1084" i="56"/>
  <c r="B1083" i="56"/>
  <c r="B1082" i="56"/>
  <c r="B1081" i="56"/>
  <c r="B1080" i="56"/>
  <c r="B1079" i="56"/>
  <c r="B1078" i="56"/>
  <c r="B1077" i="56"/>
  <c r="B1076" i="56"/>
  <c r="B1075" i="56"/>
  <c r="B1074" i="56"/>
  <c r="B1073" i="56"/>
  <c r="B1072" i="56"/>
  <c r="B1071" i="56"/>
  <c r="B1070" i="56"/>
  <c r="B1069" i="56"/>
  <c r="B1068" i="56"/>
  <c r="B1067" i="56"/>
  <c r="B1066" i="56"/>
  <c r="B1065" i="56"/>
  <c r="B1064" i="56"/>
  <c r="B1063" i="56"/>
  <c r="B1062" i="56"/>
  <c r="B1061" i="56"/>
  <c r="B1060" i="56"/>
  <c r="B1059" i="56"/>
  <c r="B1058" i="56"/>
  <c r="B1057" i="56"/>
  <c r="B1056" i="56"/>
  <c r="B1055" i="56"/>
  <c r="B1054" i="56"/>
  <c r="B1053" i="56"/>
  <c r="B1052" i="56"/>
  <c r="B1051" i="56"/>
  <c r="B1050" i="56"/>
  <c r="B1049" i="56"/>
  <c r="B1048" i="56"/>
  <c r="B1047" i="56"/>
  <c r="B1046" i="56"/>
  <c r="B1045" i="56"/>
  <c r="B1044" i="56"/>
  <c r="B1043" i="56"/>
  <c r="B1042" i="56"/>
  <c r="B1041" i="56"/>
  <c r="B1040" i="56"/>
  <c r="B1039" i="56"/>
  <c r="B1038" i="56"/>
  <c r="B1037" i="56"/>
  <c r="B1036" i="56"/>
  <c r="B1035" i="56"/>
  <c r="B1034" i="56"/>
  <c r="B1033" i="56"/>
  <c r="B1032" i="56"/>
  <c r="B1031" i="56"/>
  <c r="B1030" i="56"/>
  <c r="B1029" i="56"/>
  <c r="B1028" i="56"/>
  <c r="B1027" i="56"/>
  <c r="B1026" i="56"/>
  <c r="B1025" i="56"/>
  <c r="B1024" i="56"/>
  <c r="B1023" i="56"/>
  <c r="B1022" i="56"/>
  <c r="B1021" i="56"/>
  <c r="B1020" i="56"/>
  <c r="B1019" i="56"/>
  <c r="B1018" i="56"/>
  <c r="B1017" i="56"/>
  <c r="B1016" i="56"/>
  <c r="B1015" i="56"/>
  <c r="B1014" i="56"/>
  <c r="B1013" i="56"/>
  <c r="B1012" i="56"/>
  <c r="B1011" i="56"/>
  <c r="B1010" i="56"/>
  <c r="B1009" i="56"/>
  <c r="B1008" i="56"/>
  <c r="B1007" i="56"/>
  <c r="B1006" i="56"/>
  <c r="B1005" i="56"/>
  <c r="B1004" i="56"/>
  <c r="B1003" i="56"/>
  <c r="B1002" i="56"/>
  <c r="B1001" i="56"/>
  <c r="B1000" i="56"/>
  <c r="B999" i="56"/>
  <c r="B998" i="56"/>
  <c r="B997" i="56"/>
  <c r="B996" i="56"/>
  <c r="B995" i="56"/>
  <c r="B994" i="56"/>
  <c r="B993" i="56"/>
  <c r="B992" i="56"/>
  <c r="B991" i="56"/>
  <c r="B990" i="56"/>
  <c r="B989" i="56"/>
  <c r="B988" i="56"/>
  <c r="B987" i="56"/>
  <c r="B986" i="56"/>
  <c r="B985" i="56"/>
  <c r="B984" i="56"/>
  <c r="B983" i="56"/>
  <c r="B982" i="56"/>
  <c r="B981" i="56"/>
  <c r="B980" i="56"/>
  <c r="B979" i="56"/>
  <c r="B978" i="56"/>
  <c r="B977" i="56"/>
  <c r="B976" i="56"/>
  <c r="B975" i="56"/>
  <c r="B974" i="56"/>
  <c r="B973" i="56"/>
  <c r="B972" i="56"/>
  <c r="B971" i="56"/>
  <c r="B970" i="56"/>
  <c r="B969" i="56"/>
  <c r="B968" i="56"/>
  <c r="B967" i="56"/>
  <c r="B966" i="56"/>
  <c r="B965" i="56"/>
  <c r="B964" i="56"/>
  <c r="B963" i="56"/>
  <c r="B962" i="56"/>
  <c r="B961" i="56"/>
  <c r="B960" i="56"/>
  <c r="B959" i="56"/>
  <c r="B958" i="56"/>
  <c r="B957" i="56"/>
  <c r="B956" i="56"/>
  <c r="B955" i="56"/>
  <c r="B954" i="56"/>
  <c r="B953" i="56"/>
  <c r="B952" i="56"/>
  <c r="B951" i="56"/>
  <c r="B950" i="56"/>
  <c r="B949" i="56"/>
  <c r="B948" i="56"/>
  <c r="B947" i="56"/>
  <c r="B946" i="56"/>
  <c r="B945" i="56"/>
  <c r="B944" i="56"/>
  <c r="B943" i="56"/>
  <c r="B942" i="56"/>
  <c r="B941" i="56"/>
  <c r="B940" i="56"/>
  <c r="B939" i="56"/>
  <c r="B938" i="56"/>
  <c r="B937" i="56"/>
  <c r="B936" i="56"/>
  <c r="B935" i="56"/>
  <c r="B934" i="56"/>
  <c r="B933" i="56"/>
  <c r="B932" i="56"/>
  <c r="B931" i="56"/>
  <c r="B930" i="56"/>
  <c r="B929" i="56"/>
  <c r="B928" i="56"/>
  <c r="B927" i="56"/>
  <c r="B926" i="56"/>
  <c r="B925" i="56"/>
  <c r="B924" i="56"/>
  <c r="B923" i="56"/>
  <c r="B922" i="56"/>
  <c r="B921" i="56"/>
  <c r="B920" i="56"/>
  <c r="B919" i="56"/>
  <c r="B918" i="56"/>
  <c r="B917" i="56"/>
  <c r="B916" i="56"/>
  <c r="B915" i="56"/>
  <c r="B914" i="56"/>
  <c r="B913" i="56"/>
  <c r="B912" i="56"/>
  <c r="B911" i="56"/>
  <c r="B910" i="56"/>
  <c r="B909" i="56"/>
  <c r="B908" i="56"/>
  <c r="B907" i="56"/>
  <c r="B906" i="56"/>
  <c r="B905" i="56"/>
  <c r="B904" i="56"/>
  <c r="B903" i="56"/>
  <c r="B902" i="56"/>
  <c r="B901" i="56"/>
  <c r="B900" i="56"/>
  <c r="B899" i="56"/>
  <c r="B898" i="56"/>
  <c r="B897" i="56"/>
  <c r="B896" i="56"/>
  <c r="B895" i="56"/>
  <c r="B894" i="56"/>
  <c r="B893" i="56"/>
  <c r="B892" i="56"/>
  <c r="B891" i="56"/>
  <c r="B890" i="56"/>
  <c r="B889" i="56"/>
  <c r="B888" i="56"/>
  <c r="B887" i="56"/>
  <c r="B886" i="56"/>
  <c r="B885" i="56"/>
  <c r="B884" i="56"/>
  <c r="B883" i="56"/>
  <c r="B882" i="56"/>
  <c r="B881" i="56"/>
  <c r="B880" i="56"/>
  <c r="B879" i="56"/>
  <c r="B878" i="56"/>
  <c r="B877" i="56"/>
  <c r="B876" i="56"/>
  <c r="B875" i="56"/>
  <c r="B874" i="56"/>
  <c r="B873" i="56"/>
  <c r="B872" i="56"/>
  <c r="B871" i="56"/>
  <c r="B870" i="56"/>
  <c r="B869" i="56"/>
  <c r="B868" i="56"/>
  <c r="B867" i="56"/>
  <c r="B866" i="56"/>
  <c r="B865" i="56"/>
  <c r="B864" i="56"/>
  <c r="B863" i="56"/>
  <c r="B862" i="56"/>
  <c r="B861" i="56"/>
  <c r="B860" i="56"/>
  <c r="B859" i="56"/>
  <c r="B858" i="56"/>
  <c r="B857" i="56"/>
  <c r="B856" i="56"/>
  <c r="B855" i="56"/>
  <c r="B854" i="56"/>
  <c r="B853" i="56"/>
  <c r="B852" i="56"/>
  <c r="B851" i="56"/>
  <c r="B850" i="56"/>
  <c r="B849" i="56"/>
  <c r="B848" i="56"/>
  <c r="B847" i="56"/>
  <c r="B846" i="56"/>
  <c r="B845" i="56"/>
  <c r="B844" i="56"/>
  <c r="B843" i="56"/>
  <c r="B842" i="56"/>
  <c r="B841" i="56"/>
  <c r="B840" i="56"/>
  <c r="B839" i="56"/>
  <c r="B838" i="56"/>
  <c r="B837" i="56"/>
  <c r="B836" i="56"/>
  <c r="B835" i="56"/>
  <c r="B834" i="56"/>
  <c r="B833" i="56"/>
  <c r="B832" i="56"/>
  <c r="B831" i="56"/>
  <c r="B830" i="56"/>
  <c r="B829" i="56"/>
  <c r="B828" i="56"/>
  <c r="B827" i="56"/>
  <c r="B826" i="56"/>
  <c r="B825" i="56"/>
  <c r="B824" i="56"/>
  <c r="B823" i="56"/>
  <c r="B822" i="56"/>
  <c r="B821" i="56"/>
  <c r="B820" i="56"/>
  <c r="B819" i="56"/>
  <c r="B818" i="56"/>
  <c r="B817" i="56"/>
  <c r="B816" i="56"/>
  <c r="B815" i="56"/>
  <c r="B814" i="56"/>
  <c r="B813" i="56"/>
  <c r="B812" i="56"/>
  <c r="B811" i="56"/>
  <c r="B810" i="56"/>
  <c r="B809" i="56"/>
  <c r="B808" i="56"/>
  <c r="B807" i="56"/>
  <c r="B806" i="56"/>
  <c r="B805" i="56"/>
  <c r="B804" i="56"/>
  <c r="B803" i="56"/>
  <c r="B802" i="56"/>
  <c r="B801" i="56"/>
  <c r="B800" i="56"/>
  <c r="B799" i="56"/>
  <c r="B798" i="56"/>
  <c r="B797" i="56"/>
  <c r="B796" i="56"/>
  <c r="B795" i="56"/>
  <c r="B794" i="56"/>
  <c r="B793" i="56"/>
  <c r="B792" i="56"/>
  <c r="B791" i="56"/>
  <c r="B790" i="56"/>
  <c r="B789" i="56"/>
  <c r="B788" i="56"/>
  <c r="B787" i="56"/>
  <c r="B786" i="56"/>
  <c r="B785" i="56"/>
  <c r="B784" i="56"/>
  <c r="B783" i="56"/>
  <c r="B782" i="56"/>
  <c r="B781" i="56"/>
  <c r="B780" i="56"/>
  <c r="B779" i="56"/>
  <c r="B778" i="56"/>
  <c r="B777" i="56"/>
  <c r="B776" i="56"/>
  <c r="B775" i="56"/>
  <c r="B774" i="56"/>
  <c r="B773" i="56"/>
  <c r="B772" i="56"/>
  <c r="B771" i="56"/>
  <c r="B770" i="56"/>
  <c r="B769" i="56"/>
  <c r="B768" i="56"/>
  <c r="B767" i="56"/>
  <c r="B766" i="56"/>
  <c r="B765" i="56"/>
  <c r="B764" i="56"/>
  <c r="B763" i="56"/>
  <c r="B762" i="56"/>
  <c r="B761" i="56"/>
  <c r="B760" i="56"/>
  <c r="B759" i="56"/>
  <c r="B758" i="56"/>
  <c r="B757" i="56"/>
  <c r="B756" i="56"/>
  <c r="B755" i="56"/>
  <c r="B754" i="56"/>
  <c r="B753" i="56"/>
  <c r="B752" i="56"/>
  <c r="B751" i="56"/>
  <c r="B750" i="56"/>
  <c r="B749" i="56"/>
  <c r="B748" i="56"/>
  <c r="B747" i="56"/>
  <c r="B746" i="56"/>
  <c r="B745" i="56"/>
  <c r="B744" i="56"/>
  <c r="B743" i="56"/>
  <c r="B742" i="56"/>
  <c r="B741" i="56"/>
  <c r="B740" i="56"/>
  <c r="B739" i="56"/>
  <c r="B738" i="56"/>
  <c r="B737" i="56"/>
  <c r="B736" i="56"/>
  <c r="B735" i="56"/>
  <c r="B734" i="56"/>
  <c r="B733" i="56"/>
  <c r="B732" i="56"/>
  <c r="B731" i="56"/>
  <c r="B730" i="56"/>
  <c r="B729" i="56"/>
  <c r="B728" i="56"/>
  <c r="B727" i="56"/>
  <c r="B726" i="56"/>
  <c r="B725" i="56"/>
  <c r="B724" i="56"/>
  <c r="B723" i="56"/>
  <c r="B722" i="56"/>
  <c r="B721" i="56"/>
  <c r="B720" i="56"/>
  <c r="B719" i="56"/>
  <c r="B718" i="56"/>
  <c r="B717" i="56"/>
  <c r="B716" i="56"/>
  <c r="B715" i="56"/>
  <c r="B714" i="56"/>
  <c r="B713" i="56"/>
  <c r="B712" i="56"/>
  <c r="B711" i="56"/>
  <c r="B710" i="56"/>
  <c r="B709" i="56"/>
  <c r="B708" i="56"/>
  <c r="B707" i="56"/>
  <c r="B706" i="56"/>
  <c r="B705" i="56"/>
  <c r="B704" i="56"/>
  <c r="B703" i="56"/>
  <c r="B702" i="56"/>
  <c r="B701" i="56"/>
  <c r="B700" i="56"/>
  <c r="B699" i="56"/>
  <c r="B698" i="56"/>
  <c r="B697" i="56"/>
  <c r="B696" i="56"/>
  <c r="B695" i="56"/>
  <c r="B694" i="56"/>
  <c r="B693" i="56"/>
  <c r="B692" i="56"/>
  <c r="B691" i="56"/>
  <c r="B690" i="56"/>
  <c r="B689" i="56"/>
  <c r="B688" i="56"/>
  <c r="B687" i="56"/>
  <c r="B686" i="56"/>
  <c r="B685" i="56"/>
  <c r="B684" i="56"/>
  <c r="B683" i="56"/>
  <c r="B682" i="56"/>
  <c r="B681" i="56"/>
  <c r="B680" i="56"/>
  <c r="B679" i="56"/>
  <c r="B678" i="56"/>
  <c r="B677" i="56"/>
  <c r="B676" i="56"/>
  <c r="B675" i="56"/>
  <c r="B674" i="56"/>
  <c r="B673" i="56"/>
  <c r="B672" i="56"/>
  <c r="B671" i="56"/>
  <c r="B670" i="56"/>
  <c r="B669" i="56"/>
  <c r="B668" i="56"/>
  <c r="B667" i="56"/>
  <c r="B666" i="56"/>
  <c r="B665" i="56"/>
  <c r="B664" i="56"/>
  <c r="B663" i="56"/>
  <c r="B662" i="56"/>
  <c r="B661" i="56"/>
  <c r="B660" i="56"/>
  <c r="B659" i="56"/>
  <c r="B658" i="56"/>
  <c r="B657" i="56"/>
  <c r="B656" i="56"/>
  <c r="B655" i="56"/>
  <c r="B654" i="56"/>
  <c r="B653" i="56"/>
  <c r="B652" i="56"/>
  <c r="B651" i="56"/>
  <c r="B650" i="56"/>
  <c r="B649" i="56"/>
  <c r="B648" i="56"/>
  <c r="B647" i="56"/>
  <c r="B646" i="56"/>
  <c r="B645" i="56"/>
  <c r="B644" i="56"/>
  <c r="B643" i="56"/>
  <c r="B642" i="56"/>
  <c r="B641" i="56"/>
  <c r="B640" i="56"/>
  <c r="B639" i="56"/>
  <c r="B638" i="56"/>
  <c r="B637" i="56"/>
  <c r="B636" i="56"/>
  <c r="B635" i="56"/>
  <c r="B634" i="56"/>
  <c r="B633" i="56"/>
  <c r="B632" i="56"/>
  <c r="B631" i="56"/>
  <c r="B630" i="56"/>
  <c r="B629" i="56"/>
  <c r="B628" i="56"/>
  <c r="B627" i="56"/>
  <c r="B626" i="56"/>
  <c r="B625" i="56"/>
  <c r="B624" i="56"/>
  <c r="B623" i="56"/>
  <c r="B622" i="56"/>
  <c r="B621" i="56"/>
  <c r="B620" i="56"/>
  <c r="B619" i="56"/>
  <c r="B618" i="56"/>
  <c r="B617" i="56"/>
  <c r="B616" i="56"/>
  <c r="B615" i="56"/>
  <c r="B614" i="56"/>
  <c r="B613" i="56"/>
  <c r="B612" i="56"/>
  <c r="B611" i="56"/>
  <c r="B610" i="56"/>
  <c r="B609" i="56"/>
  <c r="B608" i="56"/>
  <c r="B607" i="56"/>
  <c r="B606" i="56"/>
  <c r="B605" i="56"/>
  <c r="B604" i="56"/>
  <c r="B603" i="56"/>
  <c r="B602" i="56"/>
  <c r="B601" i="56"/>
  <c r="B600" i="56"/>
  <c r="B599" i="56"/>
  <c r="B598" i="56"/>
  <c r="B597" i="56"/>
  <c r="B596" i="56"/>
  <c r="B595" i="56"/>
  <c r="B594" i="56"/>
  <c r="B593" i="56"/>
  <c r="B592" i="56"/>
  <c r="B591" i="56"/>
  <c r="B590" i="56"/>
  <c r="B589" i="56"/>
  <c r="B588" i="56"/>
  <c r="B587" i="56"/>
  <c r="B586" i="56"/>
  <c r="B585" i="56"/>
  <c r="B584" i="56"/>
  <c r="B583" i="56"/>
  <c r="B582" i="56"/>
  <c r="B581" i="56"/>
  <c r="B580" i="56"/>
  <c r="B579" i="56"/>
  <c r="B578" i="56"/>
  <c r="B577" i="56"/>
  <c r="B576" i="56"/>
  <c r="B575" i="56"/>
  <c r="B574" i="56"/>
  <c r="B573" i="56"/>
  <c r="B572" i="56"/>
  <c r="B571" i="56"/>
  <c r="B570" i="56"/>
  <c r="B569" i="56"/>
  <c r="B568" i="56"/>
  <c r="B567" i="56"/>
  <c r="B566" i="56"/>
  <c r="B565" i="56"/>
  <c r="B564" i="56"/>
  <c r="B563" i="56"/>
  <c r="B562" i="56"/>
  <c r="B561" i="56"/>
  <c r="B560" i="56"/>
  <c r="B559" i="56"/>
  <c r="B558" i="56"/>
  <c r="B557" i="56"/>
  <c r="B556" i="56"/>
  <c r="B555" i="56"/>
  <c r="B554" i="56"/>
  <c r="B553" i="56"/>
  <c r="B552" i="56"/>
  <c r="B551" i="56"/>
  <c r="B550" i="56"/>
  <c r="B549" i="56"/>
  <c r="B548" i="56"/>
  <c r="B547" i="56"/>
  <c r="B546" i="56"/>
  <c r="B545" i="56"/>
  <c r="B544" i="56"/>
  <c r="B543" i="56"/>
  <c r="B542" i="56"/>
  <c r="B541" i="56"/>
  <c r="B540" i="56"/>
  <c r="B539" i="56"/>
  <c r="B538" i="56"/>
  <c r="B537" i="56"/>
  <c r="B536" i="56"/>
  <c r="B535" i="56"/>
  <c r="B534" i="56"/>
  <c r="B533" i="56"/>
  <c r="B532" i="56"/>
  <c r="B531" i="56"/>
  <c r="B530" i="56"/>
  <c r="B529" i="56"/>
  <c r="B528" i="56"/>
  <c r="B527" i="56"/>
  <c r="B526" i="56"/>
  <c r="B525" i="56"/>
  <c r="B524" i="56"/>
  <c r="B523" i="56"/>
  <c r="B522" i="56"/>
  <c r="B521" i="56"/>
  <c r="B520" i="56"/>
  <c r="B519" i="56"/>
  <c r="B518" i="56"/>
  <c r="B517" i="56"/>
  <c r="B516" i="56"/>
  <c r="B515" i="56"/>
  <c r="B514" i="56"/>
  <c r="B513" i="56"/>
  <c r="B512" i="56"/>
  <c r="B511" i="56"/>
  <c r="B510" i="56"/>
  <c r="B509" i="56"/>
  <c r="B508" i="56"/>
  <c r="B507" i="56"/>
  <c r="B506" i="56"/>
  <c r="B505" i="56"/>
  <c r="B504" i="56"/>
  <c r="B503" i="56"/>
  <c r="B502" i="56"/>
  <c r="B501" i="56"/>
  <c r="B500" i="56"/>
  <c r="B499" i="56"/>
  <c r="B498" i="56"/>
  <c r="B497" i="56"/>
  <c r="B496" i="56"/>
  <c r="B495" i="56"/>
  <c r="B494" i="56"/>
  <c r="B493" i="56"/>
  <c r="B492" i="56"/>
  <c r="B491" i="56"/>
  <c r="B490" i="56"/>
  <c r="B489" i="56"/>
  <c r="B488" i="56"/>
  <c r="B487" i="56"/>
  <c r="B486" i="56"/>
  <c r="B485" i="56"/>
  <c r="B484" i="56"/>
  <c r="B483" i="56"/>
  <c r="B482" i="56"/>
  <c r="B481" i="56"/>
  <c r="B480" i="56"/>
  <c r="B479" i="56"/>
  <c r="B478" i="56"/>
  <c r="B477" i="56"/>
  <c r="B476" i="56"/>
  <c r="B475" i="56"/>
  <c r="B474" i="56"/>
  <c r="B473" i="56"/>
  <c r="B472" i="56"/>
  <c r="B471" i="56"/>
  <c r="B470" i="56"/>
  <c r="B469" i="56"/>
  <c r="B468" i="56"/>
  <c r="B467" i="56"/>
  <c r="B466" i="56"/>
  <c r="B465" i="56"/>
  <c r="B464" i="56"/>
  <c r="B463" i="56"/>
  <c r="B462" i="56"/>
  <c r="B453" i="56"/>
  <c r="B452" i="56"/>
  <c r="B451" i="56"/>
  <c r="B450" i="56"/>
  <c r="B449" i="56"/>
  <c r="B448" i="56"/>
  <c r="B447" i="56"/>
  <c r="B446" i="56"/>
  <c r="B445" i="56"/>
  <c r="B444" i="56"/>
  <c r="B443" i="56"/>
  <c r="B442" i="56"/>
  <c r="B441" i="56"/>
  <c r="B440" i="56"/>
  <c r="B439" i="56"/>
  <c r="B438" i="56"/>
  <c r="B437" i="56"/>
  <c r="B436" i="56"/>
  <c r="B435" i="56"/>
  <c r="B434" i="56"/>
  <c r="B433" i="56"/>
  <c r="B432" i="56"/>
  <c r="B431" i="56"/>
  <c r="B430" i="56"/>
  <c r="B429" i="56"/>
  <c r="B428" i="56"/>
  <c r="B427" i="56"/>
  <c r="B426" i="56"/>
  <c r="B425" i="56"/>
  <c r="B424" i="56"/>
  <c r="B423" i="56"/>
  <c r="B422" i="56"/>
  <c r="B421" i="56"/>
  <c r="B420" i="56"/>
  <c r="B419" i="56"/>
  <c r="B418" i="56"/>
  <c r="B417" i="56"/>
  <c r="B416" i="56"/>
  <c r="B415" i="56"/>
  <c r="B414" i="56"/>
  <c r="B413" i="56"/>
  <c r="B412" i="56"/>
  <c r="B411" i="56"/>
  <c r="B410" i="56"/>
  <c r="B409" i="56"/>
  <c r="B408" i="56"/>
  <c r="B407" i="56"/>
  <c r="B406" i="56"/>
  <c r="B405" i="56"/>
  <c r="B404" i="56"/>
  <c r="B403" i="56"/>
  <c r="B402" i="56"/>
  <c r="B401" i="56"/>
  <c r="B400" i="56"/>
  <c r="B399" i="56"/>
  <c r="B398" i="56"/>
  <c r="B397" i="56"/>
  <c r="B396" i="56"/>
  <c r="B395" i="56"/>
  <c r="B394" i="56"/>
  <c r="B393" i="56"/>
  <c r="B392" i="56"/>
  <c r="B391" i="56"/>
  <c r="B390" i="56"/>
  <c r="B389" i="56"/>
  <c r="B388" i="56"/>
  <c r="B387" i="56"/>
  <c r="B386" i="56"/>
  <c r="B385" i="56"/>
  <c r="B384" i="56"/>
  <c r="B383" i="56"/>
  <c r="B382" i="56"/>
  <c r="B381" i="56"/>
  <c r="B380" i="56"/>
  <c r="B379" i="56"/>
  <c r="B378" i="56"/>
  <c r="B377" i="56"/>
  <c r="B376" i="56"/>
  <c r="B375" i="56"/>
  <c r="B374" i="56"/>
  <c r="B373" i="56"/>
  <c r="B372" i="56"/>
  <c r="B371" i="56"/>
  <c r="B370" i="56"/>
  <c r="B369" i="56"/>
  <c r="B368" i="56"/>
  <c r="B367" i="56"/>
  <c r="B366" i="56"/>
  <c r="B365" i="56"/>
  <c r="B364" i="56"/>
  <c r="B363" i="56"/>
  <c r="B362" i="56"/>
  <c r="B361" i="56"/>
  <c r="B360" i="56"/>
  <c r="B359" i="56"/>
  <c r="B358" i="56"/>
  <c r="B357" i="56"/>
  <c r="B356" i="56"/>
  <c r="B355" i="56"/>
  <c r="B354" i="56"/>
  <c r="B353" i="56"/>
  <c r="B352" i="56"/>
  <c r="B351" i="56"/>
  <c r="B350" i="56"/>
  <c r="B349" i="56"/>
  <c r="B348" i="56"/>
  <c r="B347" i="56"/>
  <c r="B346" i="56"/>
  <c r="B345" i="56"/>
  <c r="B344" i="56"/>
  <c r="B343" i="56"/>
  <c r="B342" i="56"/>
  <c r="B341" i="56"/>
  <c r="B340" i="56"/>
  <c r="B339" i="56"/>
  <c r="B338" i="56"/>
  <c r="B337" i="56"/>
  <c r="B336" i="56"/>
  <c r="B335" i="56"/>
  <c r="B334" i="56"/>
  <c r="B333" i="56"/>
  <c r="B332" i="56"/>
  <c r="B331" i="56"/>
  <c r="B330" i="56"/>
  <c r="B329" i="56"/>
  <c r="B328" i="56"/>
  <c r="B327" i="56"/>
  <c r="B326" i="56"/>
  <c r="B325" i="56"/>
  <c r="B324" i="56"/>
  <c r="B323" i="56"/>
  <c r="B322" i="56"/>
  <c r="B321" i="56"/>
  <c r="B320" i="56"/>
  <c r="B319" i="56"/>
  <c r="B318" i="56"/>
  <c r="B317" i="56"/>
  <c r="B316" i="56"/>
  <c r="B315" i="56"/>
  <c r="B314" i="56"/>
  <c r="B313" i="56"/>
  <c r="B312" i="56"/>
  <c r="B311" i="56"/>
  <c r="B310" i="56"/>
  <c r="B309" i="56"/>
  <c r="B308" i="56"/>
  <c r="B307" i="56"/>
  <c r="B306" i="56"/>
  <c r="B305" i="56"/>
  <c r="B304" i="56"/>
  <c r="B303" i="56"/>
  <c r="B302" i="56"/>
  <c r="B301" i="56"/>
  <c r="B300" i="56"/>
  <c r="B299" i="56"/>
  <c r="B298" i="56"/>
  <c r="B297" i="56"/>
  <c r="B296" i="56"/>
  <c r="B295" i="56"/>
  <c r="B294" i="56"/>
  <c r="B293" i="56"/>
  <c r="B292" i="56"/>
  <c r="B291" i="56"/>
  <c r="B290" i="56"/>
  <c r="B289" i="56"/>
  <c r="B288" i="56"/>
  <c r="B287" i="56"/>
  <c r="B286" i="56"/>
  <c r="B285" i="56"/>
  <c r="B284" i="56"/>
  <c r="B283" i="56"/>
  <c r="B282" i="56"/>
  <c r="B281" i="56"/>
  <c r="B280" i="56"/>
  <c r="B279" i="56"/>
  <c r="B278" i="56"/>
  <c r="B277" i="56"/>
  <c r="B276" i="56"/>
  <c r="B275" i="56"/>
  <c r="B274" i="56"/>
  <c r="B273" i="56"/>
  <c r="B272" i="56"/>
  <c r="B271" i="56"/>
  <c r="B270" i="56"/>
  <c r="B269" i="56"/>
  <c r="B268" i="56"/>
  <c r="B267" i="56"/>
  <c r="B266" i="56"/>
  <c r="B265" i="56"/>
  <c r="B264" i="56"/>
  <c r="B263" i="56"/>
  <c r="B262" i="56"/>
  <c r="B261" i="56"/>
  <c r="B260" i="56"/>
  <c r="B259" i="56"/>
  <c r="B258" i="56"/>
  <c r="B257" i="56"/>
  <c r="B256" i="56"/>
  <c r="B255" i="56"/>
  <c r="B254" i="56"/>
  <c r="B253" i="56"/>
  <c r="B252" i="56"/>
  <c r="B251" i="56"/>
  <c r="B250" i="56"/>
  <c r="B249" i="56"/>
  <c r="B248" i="56"/>
  <c r="B247" i="56"/>
  <c r="B246" i="56"/>
  <c r="B245" i="56"/>
  <c r="B244" i="56"/>
  <c r="B243" i="56"/>
  <c r="B242" i="56"/>
  <c r="B241" i="56"/>
  <c r="B240" i="56"/>
  <c r="B239" i="56"/>
  <c r="B238" i="56"/>
  <c r="B237" i="56"/>
  <c r="B236" i="56"/>
  <c r="B235" i="56"/>
  <c r="B234" i="56"/>
  <c r="B233" i="56"/>
  <c r="B232" i="56"/>
  <c r="B231" i="56"/>
  <c r="B230" i="56"/>
  <c r="B229" i="56"/>
  <c r="B228" i="56"/>
  <c r="B227" i="56"/>
  <c r="B226" i="56"/>
  <c r="B225" i="56"/>
  <c r="B224" i="56"/>
  <c r="B223" i="56"/>
  <c r="B222" i="56"/>
  <c r="B221" i="56"/>
  <c r="B220" i="56"/>
  <c r="B219" i="56"/>
  <c r="B218" i="56"/>
  <c r="B217" i="56"/>
  <c r="B216" i="56"/>
  <c r="B215" i="56"/>
  <c r="B214" i="56"/>
  <c r="B213" i="56"/>
  <c r="B212" i="56"/>
  <c r="B211" i="56"/>
  <c r="B210" i="56"/>
  <c r="B209" i="56"/>
  <c r="B208" i="56"/>
  <c r="B207" i="56"/>
  <c r="B206" i="56"/>
  <c r="B205" i="56"/>
  <c r="B204" i="56"/>
  <c r="B203" i="56"/>
  <c r="B202" i="56"/>
  <c r="B201" i="56"/>
  <c r="B200" i="56"/>
  <c r="B199" i="56"/>
  <c r="B198" i="56"/>
  <c r="B197" i="56"/>
  <c r="B196" i="56"/>
  <c r="B195" i="56"/>
  <c r="B194" i="56"/>
  <c r="B193" i="56"/>
  <c r="B192" i="56"/>
  <c r="B191" i="56"/>
  <c r="B190" i="56"/>
  <c r="B189" i="56"/>
  <c r="B188" i="56"/>
  <c r="B187" i="56"/>
  <c r="B186" i="56"/>
  <c r="B185" i="56"/>
  <c r="B184" i="56"/>
  <c r="B183" i="56"/>
  <c r="B182" i="56"/>
  <c r="B181" i="56"/>
  <c r="B180" i="56"/>
  <c r="B179" i="56"/>
  <c r="B178" i="56"/>
  <c r="B177" i="56"/>
  <c r="B176" i="56"/>
  <c r="B175" i="56"/>
  <c r="B174" i="56"/>
  <c r="B173" i="56"/>
  <c r="B172" i="56"/>
  <c r="B171" i="56"/>
  <c r="B170" i="56"/>
  <c r="B169" i="56"/>
  <c r="B168" i="56"/>
  <c r="B167" i="56"/>
  <c r="B166" i="56"/>
  <c r="B165" i="56"/>
  <c r="B164" i="56"/>
  <c r="B163" i="56"/>
  <c r="B162" i="56"/>
  <c r="B161" i="56"/>
  <c r="B160" i="56"/>
  <c r="B159" i="56"/>
  <c r="B158" i="56"/>
  <c r="B157" i="56"/>
  <c r="B156" i="56"/>
  <c r="B155" i="56"/>
  <c r="B154" i="56"/>
  <c r="B153" i="56"/>
  <c r="B152" i="56"/>
  <c r="B151" i="56"/>
  <c r="B150" i="56"/>
  <c r="B149" i="56"/>
  <c r="B148" i="56"/>
  <c r="B147" i="56"/>
  <c r="B146" i="56"/>
  <c r="B145" i="56"/>
  <c r="B144" i="56"/>
  <c r="B143" i="56"/>
  <c r="B142" i="56"/>
  <c r="B141" i="56"/>
  <c r="B140" i="56"/>
  <c r="B139" i="56"/>
  <c r="B138" i="56"/>
  <c r="B137" i="56"/>
  <c r="B136" i="56"/>
  <c r="B135" i="56"/>
  <c r="B134" i="56"/>
  <c r="B133" i="56"/>
  <c r="B132" i="56"/>
  <c r="B131" i="56"/>
  <c r="B130" i="56"/>
  <c r="B129" i="56"/>
  <c r="B128" i="56"/>
  <c r="B127" i="56"/>
  <c r="B126" i="56"/>
  <c r="B125" i="56"/>
  <c r="B124" i="56"/>
  <c r="B123" i="56"/>
  <c r="B122" i="56"/>
  <c r="B121" i="56"/>
  <c r="B120" i="56"/>
  <c r="B119" i="56"/>
  <c r="B118" i="56"/>
  <c r="B117" i="56"/>
  <c r="B116" i="56"/>
  <c r="B115" i="56"/>
  <c r="B114" i="56"/>
  <c r="B113" i="56"/>
  <c r="B112" i="56"/>
  <c r="B111" i="56"/>
  <c r="B110" i="56"/>
  <c r="B109" i="56"/>
  <c r="B108" i="56"/>
  <c r="B107" i="56"/>
  <c r="B106" i="56"/>
  <c r="B105" i="56"/>
  <c r="B104" i="56"/>
  <c r="B103" i="56"/>
  <c r="B102" i="56"/>
  <c r="B101" i="56"/>
  <c r="B100" i="56"/>
  <c r="B99" i="56"/>
  <c r="B98" i="56"/>
  <c r="B97" i="56"/>
  <c r="B96" i="56"/>
  <c r="B95" i="56"/>
  <c r="B94" i="56"/>
  <c r="B93" i="56"/>
  <c r="B92" i="56"/>
  <c r="B91" i="56"/>
  <c r="B90" i="56"/>
  <c r="B89" i="56"/>
  <c r="B88" i="56"/>
  <c r="B87" i="56"/>
  <c r="B86" i="56"/>
  <c r="B85" i="56"/>
  <c r="B84" i="56"/>
  <c r="B83" i="56"/>
  <c r="B82" i="56"/>
  <c r="B81" i="56"/>
  <c r="B80" i="56"/>
  <c r="B79" i="56"/>
  <c r="B78" i="56"/>
  <c r="B77" i="56"/>
  <c r="B76" i="56"/>
  <c r="B75" i="56"/>
  <c r="B74" i="56"/>
  <c r="B73" i="56"/>
  <c r="B72" i="56"/>
  <c r="B71" i="56"/>
  <c r="B70" i="56"/>
  <c r="B69" i="56"/>
  <c r="B68" i="56"/>
  <c r="B67" i="56"/>
  <c r="B66" i="56"/>
  <c r="B65" i="56"/>
  <c r="B64" i="56"/>
  <c r="B63" i="56"/>
  <c r="B62" i="56"/>
  <c r="B61" i="56"/>
  <c r="B60" i="56"/>
  <c r="B59" i="56"/>
  <c r="B58" i="56"/>
  <c r="B57" i="56"/>
  <c r="B56" i="56"/>
  <c r="B55" i="56"/>
  <c r="B54" i="56"/>
  <c r="B53" i="56"/>
  <c r="B52" i="56"/>
  <c r="B51" i="56"/>
  <c r="B50" i="56"/>
  <c r="B49" i="56"/>
  <c r="B48" i="56"/>
  <c r="B47" i="56"/>
  <c r="B46" i="56"/>
  <c r="B45" i="56"/>
  <c r="B44" i="56"/>
  <c r="B43" i="56"/>
  <c r="B42" i="56"/>
  <c r="B41" i="56"/>
  <c r="B40" i="56"/>
  <c r="B39" i="56"/>
  <c r="B38" i="56"/>
  <c r="B37" i="56"/>
  <c r="B36" i="56"/>
  <c r="B35" i="56"/>
  <c r="B34" i="56"/>
  <c r="B33" i="56"/>
  <c r="B32" i="56"/>
  <c r="B31" i="56"/>
  <c r="B30" i="56"/>
  <c r="B29" i="56"/>
  <c r="B28" i="56"/>
  <c r="B27" i="56"/>
  <c r="B26" i="56"/>
  <c r="B25" i="56"/>
  <c r="B24" i="56"/>
  <c r="B23" i="56"/>
  <c r="B22" i="56"/>
  <c r="B21" i="56"/>
  <c r="B20" i="56"/>
  <c r="B19" i="56"/>
  <c r="B18" i="56"/>
  <c r="B17" i="56"/>
  <c r="B16" i="56"/>
  <c r="B15" i="56"/>
  <c r="B14" i="56"/>
  <c r="B13" i="56"/>
  <c r="B12" i="56"/>
  <c r="B11" i="56"/>
  <c r="B10" i="56"/>
  <c r="B9" i="56"/>
  <c r="B8" i="56"/>
  <c r="B7" i="56"/>
  <c r="B6" i="56"/>
  <c r="B5" i="56"/>
  <c r="B4" i="56"/>
  <c r="B3" i="56"/>
  <c r="B2" i="56"/>
  <c r="E3" i="49"/>
  <c r="I2" i="23"/>
  <c r="B11" i="23"/>
  <c r="E2" i="49"/>
  <c r="W323" i="23"/>
  <c r="W322" i="23"/>
  <c r="W321" i="23"/>
  <c r="B271" i="23"/>
  <c r="G271" i="23"/>
  <c r="U271" i="23"/>
  <c r="W271" i="23"/>
  <c r="G233" i="23"/>
  <c r="U233" i="23"/>
  <c r="W233" i="23"/>
  <c r="G234" i="23"/>
  <c r="U234" i="23"/>
  <c r="W234" i="23"/>
  <c r="G235" i="23"/>
  <c r="U235" i="23"/>
  <c r="W235" i="23"/>
  <c r="G236" i="23"/>
  <c r="U236" i="23"/>
  <c r="W236" i="23"/>
  <c r="G237" i="23"/>
  <c r="U237" i="23"/>
  <c r="W237" i="23"/>
  <c r="G238" i="23"/>
  <c r="U238" i="23"/>
  <c r="W238" i="23"/>
  <c r="G239" i="23"/>
  <c r="U239" i="23"/>
  <c r="W239" i="23"/>
  <c r="G240" i="23"/>
  <c r="U240" i="23"/>
  <c r="W240" i="23"/>
  <c r="G241" i="23"/>
  <c r="U241" i="23"/>
  <c r="W241" i="23"/>
  <c r="G242" i="23"/>
  <c r="U242" i="23"/>
  <c r="W242" i="23"/>
  <c r="G243" i="23"/>
  <c r="U243" i="23"/>
  <c r="W243" i="23"/>
  <c r="G244" i="23"/>
  <c r="U244" i="23"/>
  <c r="W244" i="23"/>
  <c r="G245" i="23"/>
  <c r="U245" i="23"/>
  <c r="W245" i="23"/>
  <c r="G246" i="23"/>
  <c r="U246" i="23"/>
  <c r="W246" i="23"/>
  <c r="G247" i="23"/>
  <c r="U247" i="23"/>
  <c r="W247" i="23"/>
  <c r="G248" i="23"/>
  <c r="U248" i="23"/>
  <c r="W248" i="23"/>
  <c r="G249" i="23"/>
  <c r="U249" i="23"/>
  <c r="W249" i="23"/>
  <c r="G250" i="23"/>
  <c r="U250" i="23"/>
  <c r="W250" i="23"/>
  <c r="G251" i="23"/>
  <c r="U251" i="23"/>
  <c r="W251" i="23"/>
  <c r="G252" i="23"/>
  <c r="U252" i="23"/>
  <c r="W252" i="23"/>
  <c r="G253" i="23"/>
  <c r="U253" i="23"/>
  <c r="W253" i="23"/>
  <c r="G254" i="23"/>
  <c r="U254" i="23"/>
  <c r="W254" i="23"/>
  <c r="G255" i="23"/>
  <c r="U255" i="23"/>
  <c r="W255" i="23"/>
  <c r="G256" i="23"/>
  <c r="U256" i="23"/>
  <c r="W256" i="23"/>
  <c r="G257" i="23"/>
  <c r="U257" i="23"/>
  <c r="W257" i="23"/>
  <c r="G258" i="23"/>
  <c r="U258" i="23"/>
  <c r="W258" i="23"/>
  <c r="G259" i="23"/>
  <c r="U259" i="23"/>
  <c r="W259" i="23"/>
  <c r="G260" i="23"/>
  <c r="U260" i="23"/>
  <c r="W260" i="23"/>
  <c r="G261" i="23"/>
  <c r="U261" i="23"/>
  <c r="W261" i="23"/>
  <c r="G262" i="23"/>
  <c r="U262" i="23"/>
  <c r="W262" i="23"/>
  <c r="G263" i="23"/>
  <c r="U263" i="23"/>
  <c r="W263" i="23"/>
  <c r="G264" i="23"/>
  <c r="U264" i="23"/>
  <c r="W264" i="23"/>
  <c r="G265" i="23"/>
  <c r="U265" i="23"/>
  <c r="W265" i="23"/>
  <c r="G266" i="23"/>
  <c r="U266" i="23"/>
  <c r="W266" i="23"/>
  <c r="G267" i="23"/>
  <c r="U267" i="23"/>
  <c r="W267" i="23"/>
  <c r="G268" i="23"/>
  <c r="U268" i="23"/>
  <c r="W268" i="23"/>
  <c r="G269" i="23"/>
  <c r="U269" i="23"/>
  <c r="W269" i="23"/>
  <c r="G270" i="23"/>
  <c r="U270" i="23"/>
  <c r="W270" i="23"/>
  <c r="G272" i="23"/>
  <c r="U272" i="23"/>
  <c r="W272" i="23"/>
  <c r="G273" i="23"/>
  <c r="U273" i="23"/>
  <c r="W273" i="23"/>
  <c r="G274" i="23"/>
  <c r="U274" i="23"/>
  <c r="W274" i="23"/>
  <c r="G275" i="23"/>
  <c r="U275" i="23"/>
  <c r="W275" i="23"/>
  <c r="G276" i="23"/>
  <c r="U276" i="23"/>
  <c r="W276" i="23"/>
  <c r="G277" i="23"/>
  <c r="U277" i="23"/>
  <c r="W277" i="23"/>
  <c r="G278" i="23"/>
  <c r="U278" i="23"/>
  <c r="W278" i="23"/>
  <c r="G279" i="23"/>
  <c r="U279" i="23"/>
  <c r="W279" i="23"/>
  <c r="G280" i="23"/>
  <c r="U280" i="23"/>
  <c r="W280" i="23"/>
  <c r="G281" i="23"/>
  <c r="U281" i="23"/>
  <c r="W281" i="23"/>
  <c r="G282" i="23"/>
  <c r="U282" i="23"/>
  <c r="W282" i="23"/>
  <c r="G283" i="23"/>
  <c r="U283" i="23"/>
  <c r="W283" i="23"/>
  <c r="G284" i="23"/>
  <c r="U284" i="23"/>
  <c r="W284" i="23"/>
  <c r="G285" i="23"/>
  <c r="U285" i="23"/>
  <c r="W285" i="23"/>
  <c r="G286" i="23"/>
  <c r="U286" i="23"/>
  <c r="W286" i="23"/>
  <c r="G287" i="23"/>
  <c r="U287" i="23"/>
  <c r="W287" i="23"/>
  <c r="G288" i="23"/>
  <c r="U288" i="23"/>
  <c r="W288" i="23"/>
  <c r="G289" i="23"/>
  <c r="U289" i="23"/>
  <c r="W289" i="23"/>
  <c r="G290" i="23"/>
  <c r="U290" i="23"/>
  <c r="W290" i="23"/>
  <c r="G291" i="23"/>
  <c r="U291" i="23"/>
  <c r="W291" i="23"/>
  <c r="G292" i="23"/>
  <c r="U292" i="23"/>
  <c r="W292" i="23"/>
  <c r="G293" i="23"/>
  <c r="U293" i="23"/>
  <c r="W293" i="23"/>
  <c r="G294" i="23"/>
  <c r="U294" i="23"/>
  <c r="W294" i="23"/>
  <c r="G295" i="23"/>
  <c r="U295" i="23"/>
  <c r="W295" i="23"/>
  <c r="G296" i="23"/>
  <c r="U296" i="23"/>
  <c r="W296" i="23"/>
  <c r="G297" i="23"/>
  <c r="U297" i="23"/>
  <c r="W297" i="23"/>
  <c r="G298" i="23"/>
  <c r="U298" i="23"/>
  <c r="W298" i="23"/>
  <c r="G299" i="23"/>
  <c r="U299" i="23"/>
  <c r="W299" i="23"/>
  <c r="G300" i="23"/>
  <c r="U300" i="23"/>
  <c r="W300" i="23"/>
  <c r="G301" i="23"/>
  <c r="U301" i="23"/>
  <c r="W301" i="23"/>
  <c r="G302" i="23"/>
  <c r="U302" i="23"/>
  <c r="W302" i="23"/>
  <c r="G303" i="23"/>
  <c r="U303" i="23"/>
  <c r="W303" i="23"/>
  <c r="G304" i="23"/>
  <c r="U304" i="23"/>
  <c r="W304" i="23"/>
  <c r="G305" i="23"/>
  <c r="U305" i="23"/>
  <c r="W305" i="23"/>
  <c r="G306" i="23"/>
  <c r="U306" i="23"/>
  <c r="W306" i="23"/>
  <c r="G307" i="23"/>
  <c r="U307" i="23"/>
  <c r="W307" i="23"/>
  <c r="G308" i="23"/>
  <c r="U308" i="23"/>
  <c r="W308" i="23"/>
  <c r="G309" i="23"/>
  <c r="U309" i="23"/>
  <c r="W309" i="23"/>
  <c r="G310" i="23"/>
  <c r="U310" i="23"/>
  <c r="W310" i="23"/>
  <c r="G311" i="23"/>
  <c r="U311" i="23"/>
  <c r="W311" i="23"/>
  <c r="G312" i="23"/>
  <c r="U312" i="23"/>
  <c r="W312" i="23"/>
  <c r="G313" i="23"/>
  <c r="U313" i="23"/>
  <c r="W313" i="23"/>
  <c r="G314" i="23"/>
  <c r="U314" i="23"/>
  <c r="W314" i="23"/>
  <c r="G315" i="23"/>
  <c r="U315" i="23"/>
  <c r="W315" i="23"/>
  <c r="G316" i="23"/>
  <c r="U316" i="23"/>
  <c r="W316" i="23"/>
  <c r="G317" i="23"/>
  <c r="U317" i="23"/>
  <c r="W317" i="23"/>
  <c r="G318" i="23"/>
  <c r="U318" i="23"/>
  <c r="W318" i="23"/>
  <c r="G319" i="23"/>
  <c r="U319" i="23"/>
  <c r="W319" i="23"/>
  <c r="G320" i="23"/>
  <c r="U320" i="23"/>
  <c r="W320" i="23"/>
  <c r="G321" i="23"/>
  <c r="G322" i="23"/>
  <c r="G323" i="23"/>
  <c r="G324" i="23"/>
  <c r="U324" i="23"/>
  <c r="W324" i="23"/>
  <c r="G325" i="23"/>
  <c r="U325" i="23"/>
  <c r="W325" i="23"/>
  <c r="G326" i="23"/>
  <c r="U326" i="23"/>
  <c r="W326" i="23"/>
  <c r="G327" i="23"/>
  <c r="U327" i="23"/>
  <c r="W327" i="23"/>
  <c r="G328" i="23"/>
  <c r="U328" i="23"/>
  <c r="W328" i="23"/>
  <c r="G329" i="23"/>
  <c r="U329" i="23"/>
  <c r="W329" i="23"/>
  <c r="G330" i="23"/>
  <c r="U330" i="23"/>
  <c r="W330" i="23"/>
  <c r="G331" i="23"/>
  <c r="U331" i="23"/>
  <c r="W331" i="23"/>
  <c r="G332" i="23"/>
  <c r="U332" i="23"/>
  <c r="W332" i="23"/>
  <c r="G333" i="23"/>
  <c r="U333" i="23"/>
  <c r="W333" i="23"/>
  <c r="G334" i="23"/>
  <c r="U334" i="23"/>
  <c r="W334" i="23"/>
  <c r="G335" i="23"/>
  <c r="U335" i="23"/>
  <c r="W335" i="23"/>
  <c r="G336" i="23"/>
  <c r="U336" i="23"/>
  <c r="W336" i="23"/>
  <c r="G337" i="23"/>
  <c r="U337" i="23"/>
  <c r="W337" i="23"/>
  <c r="G338" i="23"/>
  <c r="U338" i="23"/>
  <c r="W338" i="23"/>
  <c r="G339" i="23"/>
  <c r="U339" i="23"/>
  <c r="W339" i="23"/>
  <c r="G340" i="23"/>
  <c r="U340" i="23"/>
  <c r="W340" i="23"/>
  <c r="G341" i="23"/>
  <c r="U341" i="23"/>
  <c r="W341" i="23"/>
  <c r="G342" i="23"/>
  <c r="U342" i="23"/>
  <c r="W342" i="23"/>
  <c r="G343" i="23"/>
  <c r="U343" i="23"/>
  <c r="W343" i="23"/>
  <c r="G344" i="23"/>
  <c r="U344" i="23"/>
  <c r="W344" i="23"/>
  <c r="G345" i="23"/>
  <c r="W345" i="23"/>
  <c r="G346" i="23"/>
  <c r="W346" i="23"/>
  <c r="G347" i="23"/>
  <c r="W347" i="23"/>
  <c r="G348" i="23"/>
  <c r="W348" i="23"/>
  <c r="G349" i="23"/>
  <c r="U349" i="23"/>
  <c r="W349" i="23"/>
  <c r="G350" i="23"/>
  <c r="U350" i="23"/>
  <c r="W350" i="23"/>
  <c r="G351" i="23"/>
  <c r="U351" i="23"/>
  <c r="W351" i="23"/>
  <c r="G352" i="23"/>
  <c r="U352" i="23"/>
  <c r="W352" i="23"/>
  <c r="G353" i="23"/>
  <c r="U353" i="23"/>
  <c r="W353" i="23"/>
  <c r="G354" i="23"/>
  <c r="U354" i="23"/>
  <c r="W354" i="23"/>
  <c r="G355" i="23"/>
  <c r="U355" i="23"/>
  <c r="W355" i="23"/>
  <c r="G356" i="23"/>
  <c r="U356" i="23"/>
  <c r="W356" i="23"/>
  <c r="G357" i="23"/>
  <c r="U357" i="23"/>
  <c r="W357" i="23"/>
  <c r="G358" i="23"/>
  <c r="U358" i="23"/>
  <c r="W358" i="23"/>
  <c r="G359" i="23"/>
  <c r="U359" i="23"/>
  <c r="W359" i="23"/>
  <c r="G360" i="23"/>
  <c r="U360" i="23"/>
  <c r="W360" i="23"/>
  <c r="G361" i="23"/>
  <c r="U361" i="23"/>
  <c r="W361" i="23"/>
  <c r="G362" i="23"/>
  <c r="U362" i="23"/>
  <c r="W362" i="23"/>
  <c r="G363" i="23"/>
  <c r="U363" i="23"/>
  <c r="W363" i="23"/>
  <c r="G364" i="23"/>
  <c r="U364" i="23"/>
  <c r="W364" i="23"/>
  <c r="G365" i="23"/>
  <c r="U365" i="23"/>
  <c r="W365" i="23"/>
  <c r="G366" i="23"/>
  <c r="U366" i="23"/>
  <c r="W366" i="23"/>
  <c r="G367" i="23"/>
  <c r="U367" i="23"/>
  <c r="W367" i="23"/>
  <c r="G368" i="23"/>
  <c r="U368" i="23"/>
  <c r="W368" i="23"/>
  <c r="G369" i="23"/>
  <c r="U369" i="23"/>
  <c r="W369" i="23"/>
  <c r="G370" i="23"/>
  <c r="U370" i="23"/>
  <c r="W370" i="23"/>
  <c r="G371" i="23"/>
  <c r="U371" i="23"/>
  <c r="W371" i="23"/>
  <c r="G372" i="23"/>
  <c r="U372" i="23"/>
  <c r="W372" i="23"/>
  <c r="G373" i="23"/>
  <c r="U373" i="23"/>
  <c r="W373" i="23"/>
  <c r="G374" i="23"/>
  <c r="U374" i="23"/>
  <c r="W374" i="23"/>
  <c r="G375" i="23"/>
  <c r="U375" i="23"/>
  <c r="W375" i="23"/>
  <c r="G376" i="23"/>
  <c r="U376" i="23"/>
  <c r="W376" i="23"/>
  <c r="G377" i="23"/>
  <c r="U377" i="23"/>
  <c r="W377" i="23"/>
  <c r="G378" i="23"/>
  <c r="U378" i="23"/>
  <c r="W378" i="23"/>
  <c r="G379" i="23"/>
  <c r="U379" i="23"/>
  <c r="W379" i="23"/>
  <c r="G380" i="23"/>
  <c r="U380" i="23"/>
  <c r="W380" i="23"/>
  <c r="G381" i="23"/>
  <c r="U381" i="23"/>
  <c r="W381" i="23"/>
  <c r="G382" i="23"/>
  <c r="U382" i="23"/>
  <c r="W382" i="23"/>
  <c r="G383" i="23"/>
  <c r="U383" i="23"/>
  <c r="W383" i="23"/>
  <c r="G384" i="23"/>
  <c r="U384" i="23"/>
  <c r="W384" i="23"/>
  <c r="G385" i="23"/>
  <c r="U385" i="23"/>
  <c r="W385" i="23"/>
  <c r="G386" i="23"/>
  <c r="U386" i="23"/>
  <c r="W386" i="23"/>
  <c r="G387" i="23"/>
  <c r="U387" i="23"/>
  <c r="W387" i="23"/>
  <c r="G388" i="23"/>
  <c r="U388" i="23"/>
  <c r="W388" i="23"/>
  <c r="G389" i="23"/>
  <c r="U389" i="23"/>
  <c r="W389" i="23"/>
  <c r="G390" i="23"/>
  <c r="U390" i="23"/>
  <c r="W390" i="23"/>
  <c r="G391" i="23"/>
  <c r="U391" i="23"/>
  <c r="W391" i="23"/>
  <c r="G392" i="23"/>
  <c r="U392" i="23"/>
  <c r="W392" i="23"/>
  <c r="G393" i="23"/>
  <c r="U393" i="23"/>
  <c r="W393" i="23"/>
  <c r="G394" i="23"/>
  <c r="U394" i="23"/>
  <c r="W394" i="23"/>
  <c r="G395" i="23"/>
  <c r="U395" i="23"/>
  <c r="W395" i="23"/>
  <c r="G396" i="23"/>
  <c r="U396" i="23"/>
  <c r="W396" i="23"/>
  <c r="G397" i="23"/>
  <c r="U397" i="23"/>
  <c r="W397" i="23"/>
  <c r="G398" i="23"/>
  <c r="U398" i="23"/>
  <c r="W398" i="23"/>
  <c r="G399" i="23"/>
  <c r="U399" i="23"/>
  <c r="W399" i="23"/>
  <c r="G400" i="23"/>
  <c r="U400" i="23"/>
  <c r="W400" i="23"/>
  <c r="G401" i="23"/>
  <c r="U401" i="23"/>
  <c r="W401" i="23"/>
  <c r="G402" i="23"/>
  <c r="U402" i="23"/>
  <c r="W402" i="23"/>
  <c r="G403" i="23"/>
  <c r="U403" i="23"/>
  <c r="W403" i="23"/>
  <c r="G404" i="23"/>
  <c r="U404" i="23"/>
  <c r="W404" i="23"/>
  <c r="G405" i="23"/>
  <c r="U405" i="23"/>
  <c r="W405" i="23"/>
  <c r="G406" i="23"/>
  <c r="U406" i="23"/>
  <c r="W406" i="23"/>
  <c r="G407" i="23"/>
  <c r="U407" i="23"/>
  <c r="W407" i="23"/>
  <c r="G408" i="23"/>
  <c r="U408" i="23"/>
  <c r="W408" i="23"/>
  <c r="G409" i="23"/>
  <c r="U409" i="23"/>
  <c r="W409" i="23"/>
  <c r="G410" i="23"/>
  <c r="U410" i="23"/>
  <c r="W410" i="23"/>
  <c r="G411" i="23"/>
  <c r="U411" i="23"/>
  <c r="W411" i="23"/>
  <c r="G412" i="23"/>
  <c r="U412" i="23"/>
  <c r="W412" i="23"/>
  <c r="G413" i="23"/>
  <c r="U413" i="23"/>
  <c r="W413" i="23"/>
  <c r="G414" i="23"/>
  <c r="U414" i="23"/>
  <c r="W414" i="23"/>
  <c r="G415" i="23"/>
  <c r="U415" i="23"/>
  <c r="W415" i="23"/>
  <c r="G416" i="23"/>
  <c r="U416" i="23"/>
  <c r="W416" i="23"/>
  <c r="G417" i="23"/>
  <c r="U417" i="23"/>
  <c r="W417" i="23"/>
  <c r="G423" i="23"/>
  <c r="U423" i="23"/>
  <c r="W423" i="23"/>
  <c r="G424" i="23"/>
  <c r="U424" i="23"/>
  <c r="W424" i="23"/>
  <c r="G425" i="23"/>
  <c r="U425" i="23"/>
  <c r="W425" i="23"/>
  <c r="G426" i="23"/>
  <c r="U426" i="23"/>
  <c r="W426" i="23"/>
  <c r="G427" i="23"/>
  <c r="U427" i="23"/>
  <c r="W427" i="23"/>
  <c r="G428" i="23"/>
  <c r="U428" i="23"/>
  <c r="W428" i="23"/>
  <c r="G429" i="23"/>
  <c r="U429" i="23"/>
  <c r="W429" i="23"/>
  <c r="G430" i="23"/>
  <c r="U430" i="23"/>
  <c r="W430" i="23"/>
  <c r="S168" i="23"/>
  <c r="S169" i="23"/>
  <c r="S406" i="23"/>
  <c r="S154" i="23"/>
  <c r="S155" i="23"/>
  <c r="S405" i="23"/>
  <c r="S127" i="23"/>
  <c r="S128" i="23"/>
  <c r="S129" i="23"/>
  <c r="S404" i="23"/>
  <c r="S81" i="23"/>
  <c r="S82" i="23"/>
  <c r="S83" i="23"/>
  <c r="S403" i="23"/>
  <c r="S240" i="23"/>
  <c r="S241" i="23"/>
  <c r="S258" i="23"/>
  <c r="S268" i="23"/>
  <c r="S269" i="23"/>
  <c r="S262" i="23"/>
  <c r="S263" i="23"/>
  <c r="S257" i="23"/>
  <c r="S267" i="23"/>
  <c r="S399" i="23"/>
  <c r="S255" i="23"/>
  <c r="S256" i="23"/>
  <c r="S265" i="23"/>
  <c r="S266" i="23"/>
  <c r="S339" i="23"/>
  <c r="S340" i="23"/>
  <c r="S373" i="23"/>
  <c r="S372" i="23"/>
  <c r="S178" i="23"/>
  <c r="S179" i="23"/>
  <c r="S401" i="23"/>
  <c r="S397" i="23"/>
  <c r="S253" i="23"/>
  <c r="S254" i="23"/>
  <c r="S228" i="23"/>
  <c r="S229" i="23"/>
  <c r="S224" i="23"/>
  <c r="S225" i="23"/>
  <c r="S393" i="23"/>
  <c r="S414" i="23"/>
  <c r="S413" i="23"/>
  <c r="S416" i="23"/>
  <c r="S395" i="23"/>
  <c r="S218" i="23"/>
  <c r="S219" i="23"/>
  <c r="S184" i="23"/>
  <c r="S185" i="23"/>
  <c r="S391" i="23"/>
  <c r="S350" i="23"/>
  <c r="S377" i="23"/>
  <c r="S84" i="23"/>
  <c r="S85" i="23"/>
  <c r="S86" i="23"/>
  <c r="S78" i="23"/>
  <c r="S79" i="23"/>
  <c r="S80" i="23"/>
  <c r="S389" i="23"/>
  <c r="S210" i="23"/>
  <c r="S211" i="23"/>
  <c r="S270" i="23"/>
  <c r="S271" i="23"/>
  <c r="S293" i="23"/>
  <c r="S400" i="23"/>
  <c r="S238" i="23"/>
  <c r="S239" i="23"/>
  <c r="S402" i="23"/>
  <c r="S398" i="23"/>
  <c r="S394" i="23"/>
  <c r="S415" i="23"/>
  <c r="S396" i="23"/>
  <c r="S390" i="23"/>
  <c r="S388" i="23"/>
  <c r="S417" i="23"/>
  <c r="S282" i="23"/>
  <c r="S283" i="23"/>
  <c r="S412" i="23"/>
  <c r="S430" i="23"/>
  <c r="T430" i="23"/>
  <c r="R430" i="23"/>
  <c r="O430" i="23"/>
  <c r="N430" i="23"/>
  <c r="M430" i="23"/>
  <c r="L430" i="23"/>
  <c r="J430" i="23"/>
  <c r="K430" i="23"/>
  <c r="I430" i="23"/>
  <c r="H430" i="23"/>
  <c r="F430" i="23"/>
  <c r="E430" i="23"/>
  <c r="D430" i="23"/>
  <c r="C430" i="23"/>
  <c r="B430" i="23"/>
  <c r="S429" i="23"/>
  <c r="T429" i="23"/>
  <c r="R429" i="23"/>
  <c r="O429" i="23"/>
  <c r="N429" i="23"/>
  <c r="M429" i="23"/>
  <c r="L429" i="23"/>
  <c r="J429" i="23"/>
  <c r="K429" i="23"/>
  <c r="I429" i="23"/>
  <c r="H429" i="23"/>
  <c r="F429" i="23"/>
  <c r="E429" i="23"/>
  <c r="D429" i="23"/>
  <c r="C429" i="23"/>
  <c r="B429" i="23"/>
  <c r="S428" i="23"/>
  <c r="T428" i="23"/>
  <c r="R428" i="23"/>
  <c r="O428" i="23"/>
  <c r="N428" i="23"/>
  <c r="M428" i="23"/>
  <c r="L428" i="23"/>
  <c r="J428" i="23"/>
  <c r="K428" i="23"/>
  <c r="I428" i="23"/>
  <c r="H428" i="23"/>
  <c r="F428" i="23"/>
  <c r="E428" i="23"/>
  <c r="D428" i="23"/>
  <c r="C428" i="23"/>
  <c r="B428" i="23"/>
  <c r="S427" i="23"/>
  <c r="T427" i="23"/>
  <c r="R427" i="23"/>
  <c r="O427" i="23"/>
  <c r="N427" i="23"/>
  <c r="M427" i="23"/>
  <c r="L427" i="23"/>
  <c r="J427" i="23"/>
  <c r="K427" i="23"/>
  <c r="I427" i="23"/>
  <c r="H427" i="23"/>
  <c r="F427" i="23"/>
  <c r="E427" i="23"/>
  <c r="D427" i="23"/>
  <c r="C427" i="23"/>
  <c r="B427" i="23"/>
  <c r="S426" i="23"/>
  <c r="T426" i="23"/>
  <c r="R426" i="23"/>
  <c r="O426" i="23"/>
  <c r="N426" i="23"/>
  <c r="M426" i="23"/>
  <c r="L426" i="23"/>
  <c r="J426" i="23"/>
  <c r="K426" i="23"/>
  <c r="I426" i="23"/>
  <c r="H426" i="23"/>
  <c r="F426" i="23"/>
  <c r="E426" i="23"/>
  <c r="D426" i="23"/>
  <c r="C426" i="23"/>
  <c r="B426" i="23"/>
  <c r="S425" i="23"/>
  <c r="T425" i="23"/>
  <c r="R425" i="23"/>
  <c r="O425" i="23"/>
  <c r="N425" i="23"/>
  <c r="M425" i="23"/>
  <c r="L425" i="23"/>
  <c r="J425" i="23"/>
  <c r="K425" i="23"/>
  <c r="I425" i="23"/>
  <c r="H425" i="23"/>
  <c r="F425" i="23"/>
  <c r="E425" i="23"/>
  <c r="D425" i="23"/>
  <c r="C425" i="23"/>
  <c r="B425" i="23"/>
  <c r="S424" i="23"/>
  <c r="T424" i="23"/>
  <c r="R424" i="23"/>
  <c r="O424" i="23"/>
  <c r="N424" i="23"/>
  <c r="M424" i="23"/>
  <c r="L424" i="23"/>
  <c r="J424" i="23"/>
  <c r="K424" i="23"/>
  <c r="I424" i="23"/>
  <c r="H424" i="23"/>
  <c r="F424" i="23"/>
  <c r="E424" i="23"/>
  <c r="D424" i="23"/>
  <c r="C424" i="23"/>
  <c r="B424" i="23"/>
  <c r="S423" i="23"/>
  <c r="T423" i="23"/>
  <c r="R423" i="23"/>
  <c r="O423" i="23"/>
  <c r="N423" i="23"/>
  <c r="M423" i="23"/>
  <c r="L423" i="23"/>
  <c r="J423" i="23"/>
  <c r="K423" i="23"/>
  <c r="I423" i="23"/>
  <c r="H423" i="23"/>
  <c r="F423" i="23"/>
  <c r="E423" i="23"/>
  <c r="D423" i="23"/>
  <c r="C423" i="23"/>
  <c r="B423" i="23"/>
  <c r="S244" i="23"/>
  <c r="S264" i="23"/>
  <c r="S279" i="23"/>
  <c r="S250" i="23"/>
  <c r="S260" i="23"/>
  <c r="S252" i="23"/>
  <c r="T417" i="23"/>
  <c r="R417" i="23"/>
  <c r="O417" i="23"/>
  <c r="N417" i="23"/>
  <c r="M417" i="23"/>
  <c r="L417" i="23"/>
  <c r="J417" i="23"/>
  <c r="K417" i="23"/>
  <c r="I417" i="23"/>
  <c r="H417" i="23"/>
  <c r="F417" i="23"/>
  <c r="E417" i="23"/>
  <c r="D417" i="23"/>
  <c r="C417" i="23"/>
  <c r="B417" i="23"/>
  <c r="T416" i="23"/>
  <c r="R416" i="23"/>
  <c r="O416" i="23"/>
  <c r="N416" i="23"/>
  <c r="M416" i="23"/>
  <c r="L416" i="23"/>
  <c r="J416" i="23"/>
  <c r="K416" i="23"/>
  <c r="I416" i="23"/>
  <c r="H416" i="23"/>
  <c r="F416" i="23"/>
  <c r="E416" i="23"/>
  <c r="D416" i="23"/>
  <c r="C416" i="23"/>
  <c r="B416" i="23"/>
  <c r="T415" i="23"/>
  <c r="R415" i="23"/>
  <c r="O415" i="23"/>
  <c r="N415" i="23"/>
  <c r="M415" i="23"/>
  <c r="L415" i="23"/>
  <c r="J415" i="23"/>
  <c r="K415" i="23"/>
  <c r="I415" i="23"/>
  <c r="H415" i="23"/>
  <c r="F415" i="23"/>
  <c r="E415" i="23"/>
  <c r="D415" i="23"/>
  <c r="C415" i="23"/>
  <c r="B415" i="23"/>
  <c r="T414" i="23"/>
  <c r="R414" i="23"/>
  <c r="O414" i="23"/>
  <c r="N414" i="23"/>
  <c r="M414" i="23"/>
  <c r="L414" i="23"/>
  <c r="J414" i="23"/>
  <c r="K414" i="23"/>
  <c r="I414" i="23"/>
  <c r="H414" i="23"/>
  <c r="F414" i="23"/>
  <c r="E414" i="23"/>
  <c r="D414" i="23"/>
  <c r="C414" i="23"/>
  <c r="B414" i="23"/>
  <c r="T413" i="23"/>
  <c r="R413" i="23"/>
  <c r="O413" i="23"/>
  <c r="N413" i="23"/>
  <c r="M413" i="23"/>
  <c r="L413" i="23"/>
  <c r="J413" i="23"/>
  <c r="K413" i="23"/>
  <c r="I413" i="23"/>
  <c r="H413" i="23"/>
  <c r="F413" i="23"/>
  <c r="E413" i="23"/>
  <c r="D413" i="23"/>
  <c r="C413" i="23"/>
  <c r="B413" i="23"/>
  <c r="T412" i="23"/>
  <c r="R412" i="23"/>
  <c r="O412" i="23"/>
  <c r="N412" i="23"/>
  <c r="M412" i="23"/>
  <c r="L412" i="23"/>
  <c r="J412" i="23"/>
  <c r="K412" i="23"/>
  <c r="I412" i="23"/>
  <c r="H412" i="23"/>
  <c r="F412" i="23"/>
  <c r="E412" i="23"/>
  <c r="D412" i="23"/>
  <c r="C412" i="23"/>
  <c r="B412" i="23"/>
  <c r="S411" i="23"/>
  <c r="T411" i="23"/>
  <c r="R411" i="23"/>
  <c r="O411" i="23"/>
  <c r="N411" i="23"/>
  <c r="M411" i="23"/>
  <c r="L411" i="23"/>
  <c r="J411" i="23"/>
  <c r="K411" i="23"/>
  <c r="I411" i="23"/>
  <c r="H411" i="23"/>
  <c r="F411" i="23"/>
  <c r="E411" i="23"/>
  <c r="D411" i="23"/>
  <c r="C411" i="23"/>
  <c r="B411" i="23"/>
  <c r="S410" i="23"/>
  <c r="T410" i="23"/>
  <c r="R410" i="23"/>
  <c r="O410" i="23"/>
  <c r="N410" i="23"/>
  <c r="M410" i="23"/>
  <c r="L410" i="23"/>
  <c r="J410" i="23"/>
  <c r="K410" i="23"/>
  <c r="I410" i="23"/>
  <c r="H410" i="23"/>
  <c r="F410" i="23"/>
  <c r="E410" i="23"/>
  <c r="D410" i="23"/>
  <c r="C410" i="23"/>
  <c r="B410" i="23"/>
  <c r="S409" i="23"/>
  <c r="T409" i="23"/>
  <c r="R409" i="23"/>
  <c r="O409" i="23"/>
  <c r="N409" i="23"/>
  <c r="M409" i="23"/>
  <c r="L409" i="23"/>
  <c r="J409" i="23"/>
  <c r="K409" i="23"/>
  <c r="I409" i="23"/>
  <c r="H409" i="23"/>
  <c r="F409" i="23"/>
  <c r="E409" i="23"/>
  <c r="D409" i="23"/>
  <c r="C409" i="23"/>
  <c r="B409" i="23"/>
  <c r="S408" i="23"/>
  <c r="T408" i="23"/>
  <c r="R408" i="23"/>
  <c r="O408" i="23"/>
  <c r="N408" i="23"/>
  <c r="M408" i="23"/>
  <c r="L408" i="23"/>
  <c r="J408" i="23"/>
  <c r="K408" i="23"/>
  <c r="I408" i="23"/>
  <c r="H408" i="23"/>
  <c r="F408" i="23"/>
  <c r="E408" i="23"/>
  <c r="D408" i="23"/>
  <c r="C408" i="23"/>
  <c r="B408" i="23"/>
  <c r="S407" i="23"/>
  <c r="T407" i="23"/>
  <c r="R407" i="23"/>
  <c r="O407" i="23"/>
  <c r="N407" i="23"/>
  <c r="M407" i="23"/>
  <c r="L407" i="23"/>
  <c r="J407" i="23"/>
  <c r="K407" i="23"/>
  <c r="I407" i="23"/>
  <c r="H407" i="23"/>
  <c r="F407" i="23"/>
  <c r="E407" i="23"/>
  <c r="D407" i="23"/>
  <c r="C407" i="23"/>
  <c r="B407" i="23"/>
  <c r="T406" i="23"/>
  <c r="R406" i="23"/>
  <c r="O406" i="23"/>
  <c r="N406" i="23"/>
  <c r="M406" i="23"/>
  <c r="L406" i="23"/>
  <c r="J406" i="23"/>
  <c r="K406" i="23"/>
  <c r="I406" i="23"/>
  <c r="H406" i="23"/>
  <c r="F406" i="23"/>
  <c r="E406" i="23"/>
  <c r="D406" i="23"/>
  <c r="C406" i="23"/>
  <c r="B406" i="23"/>
  <c r="T405" i="23"/>
  <c r="R405" i="23"/>
  <c r="O405" i="23"/>
  <c r="N405" i="23"/>
  <c r="M405" i="23"/>
  <c r="L405" i="23"/>
  <c r="J405" i="23"/>
  <c r="K405" i="23"/>
  <c r="I405" i="23"/>
  <c r="H405" i="23"/>
  <c r="F405" i="23"/>
  <c r="E405" i="23"/>
  <c r="D405" i="23"/>
  <c r="C405" i="23"/>
  <c r="B405" i="23"/>
  <c r="T404" i="23"/>
  <c r="R404" i="23"/>
  <c r="O404" i="23"/>
  <c r="N404" i="23"/>
  <c r="M404" i="23"/>
  <c r="L404" i="23"/>
  <c r="J404" i="23"/>
  <c r="K404" i="23"/>
  <c r="I404" i="23"/>
  <c r="H404" i="23"/>
  <c r="F404" i="23"/>
  <c r="E404" i="23"/>
  <c r="D404" i="23"/>
  <c r="C404" i="23"/>
  <c r="B404" i="23"/>
  <c r="T403" i="23"/>
  <c r="R403" i="23"/>
  <c r="O403" i="23"/>
  <c r="N403" i="23"/>
  <c r="M403" i="23"/>
  <c r="L403" i="23"/>
  <c r="J403" i="23"/>
  <c r="K403" i="23"/>
  <c r="I403" i="23"/>
  <c r="H403" i="23"/>
  <c r="F403" i="23"/>
  <c r="E403" i="23"/>
  <c r="D403" i="23"/>
  <c r="C403" i="23"/>
  <c r="B403" i="23"/>
  <c r="T402" i="23"/>
  <c r="R402" i="23"/>
  <c r="O402" i="23"/>
  <c r="N402" i="23"/>
  <c r="M402" i="23"/>
  <c r="L402" i="23"/>
  <c r="J402" i="23"/>
  <c r="K402" i="23"/>
  <c r="I402" i="23"/>
  <c r="H402" i="23"/>
  <c r="F402" i="23"/>
  <c r="E402" i="23"/>
  <c r="D402" i="23"/>
  <c r="C402" i="23"/>
  <c r="B402" i="23"/>
  <c r="T401" i="23"/>
  <c r="R401" i="23"/>
  <c r="O401" i="23"/>
  <c r="N401" i="23"/>
  <c r="M401" i="23"/>
  <c r="L401" i="23"/>
  <c r="J401" i="23"/>
  <c r="K401" i="23"/>
  <c r="I401" i="23"/>
  <c r="H401" i="23"/>
  <c r="F401" i="23"/>
  <c r="E401" i="23"/>
  <c r="D401" i="23"/>
  <c r="C401" i="23"/>
  <c r="B401" i="23"/>
  <c r="T400" i="23"/>
  <c r="R400" i="23"/>
  <c r="O400" i="23"/>
  <c r="N400" i="23"/>
  <c r="M400" i="23"/>
  <c r="L400" i="23"/>
  <c r="J400" i="23"/>
  <c r="K400" i="23"/>
  <c r="I400" i="23"/>
  <c r="H400" i="23"/>
  <c r="F400" i="23"/>
  <c r="E400" i="23"/>
  <c r="D400" i="23"/>
  <c r="C400" i="23"/>
  <c r="B400" i="23"/>
  <c r="T399" i="23"/>
  <c r="R399" i="23"/>
  <c r="O399" i="23"/>
  <c r="N399" i="23"/>
  <c r="M399" i="23"/>
  <c r="L399" i="23"/>
  <c r="J399" i="23"/>
  <c r="K399" i="23"/>
  <c r="I399" i="23"/>
  <c r="H399" i="23"/>
  <c r="F399" i="23"/>
  <c r="E399" i="23"/>
  <c r="D399" i="23"/>
  <c r="C399" i="23"/>
  <c r="B399" i="23"/>
  <c r="T398" i="23"/>
  <c r="R398" i="23"/>
  <c r="O398" i="23"/>
  <c r="N398" i="23"/>
  <c r="M398" i="23"/>
  <c r="L398" i="23"/>
  <c r="J398" i="23"/>
  <c r="K398" i="23"/>
  <c r="I398" i="23"/>
  <c r="H398" i="23"/>
  <c r="F398" i="23"/>
  <c r="E398" i="23"/>
  <c r="D398" i="23"/>
  <c r="C398" i="23"/>
  <c r="B398" i="23"/>
  <c r="T397" i="23"/>
  <c r="R397" i="23"/>
  <c r="O397" i="23"/>
  <c r="N397" i="23"/>
  <c r="M397" i="23"/>
  <c r="L397" i="23"/>
  <c r="J397" i="23"/>
  <c r="K397" i="23"/>
  <c r="I397" i="23"/>
  <c r="H397" i="23"/>
  <c r="F397" i="23"/>
  <c r="E397" i="23"/>
  <c r="D397" i="23"/>
  <c r="C397" i="23"/>
  <c r="B397" i="23"/>
  <c r="T396" i="23"/>
  <c r="R396" i="23"/>
  <c r="O396" i="23"/>
  <c r="N396" i="23"/>
  <c r="M396" i="23"/>
  <c r="L396" i="23"/>
  <c r="J396" i="23"/>
  <c r="K396" i="23"/>
  <c r="I396" i="23"/>
  <c r="H396" i="23"/>
  <c r="F396" i="23"/>
  <c r="E396" i="23"/>
  <c r="D396" i="23"/>
  <c r="C396" i="23"/>
  <c r="B396" i="23"/>
  <c r="T395" i="23"/>
  <c r="R395" i="23"/>
  <c r="O395" i="23"/>
  <c r="N395" i="23"/>
  <c r="M395" i="23"/>
  <c r="L395" i="23"/>
  <c r="J395" i="23"/>
  <c r="K395" i="23"/>
  <c r="I395" i="23"/>
  <c r="H395" i="23"/>
  <c r="F395" i="23"/>
  <c r="E395" i="23"/>
  <c r="D395" i="23"/>
  <c r="C395" i="23"/>
  <c r="B395" i="23"/>
  <c r="T394" i="23"/>
  <c r="R394" i="23"/>
  <c r="O394" i="23"/>
  <c r="N394" i="23"/>
  <c r="M394" i="23"/>
  <c r="L394" i="23"/>
  <c r="J394" i="23"/>
  <c r="K394" i="23"/>
  <c r="I394" i="23"/>
  <c r="H394" i="23"/>
  <c r="F394" i="23"/>
  <c r="E394" i="23"/>
  <c r="D394" i="23"/>
  <c r="C394" i="23"/>
  <c r="B394" i="23"/>
  <c r="T393" i="23"/>
  <c r="R393" i="23"/>
  <c r="O393" i="23"/>
  <c r="N393" i="23"/>
  <c r="M393" i="23"/>
  <c r="L393" i="23"/>
  <c r="J393" i="23"/>
  <c r="K393" i="23"/>
  <c r="I393" i="23"/>
  <c r="H393" i="23"/>
  <c r="F393" i="23"/>
  <c r="E393" i="23"/>
  <c r="D393" i="23"/>
  <c r="C393" i="23"/>
  <c r="B393" i="23"/>
  <c r="S392" i="23"/>
  <c r="T392" i="23"/>
  <c r="R392" i="23"/>
  <c r="O392" i="23"/>
  <c r="N392" i="23"/>
  <c r="M392" i="23"/>
  <c r="L392" i="23"/>
  <c r="J392" i="23"/>
  <c r="K392" i="23"/>
  <c r="I392" i="23"/>
  <c r="H392" i="23"/>
  <c r="F392" i="23"/>
  <c r="E392" i="23"/>
  <c r="D392" i="23"/>
  <c r="C392" i="23"/>
  <c r="B392" i="23"/>
  <c r="T391" i="23"/>
  <c r="R391" i="23"/>
  <c r="O391" i="23"/>
  <c r="N391" i="23"/>
  <c r="M391" i="23"/>
  <c r="L391" i="23"/>
  <c r="J391" i="23"/>
  <c r="K391" i="23"/>
  <c r="I391" i="23"/>
  <c r="H391" i="23"/>
  <c r="F391" i="23"/>
  <c r="E391" i="23"/>
  <c r="D391" i="23"/>
  <c r="C391" i="23"/>
  <c r="B391" i="23"/>
  <c r="T390" i="23"/>
  <c r="R390" i="23"/>
  <c r="O390" i="23"/>
  <c r="N390" i="23"/>
  <c r="M390" i="23"/>
  <c r="L390" i="23"/>
  <c r="J390" i="23"/>
  <c r="K390" i="23"/>
  <c r="I390" i="23"/>
  <c r="H390" i="23"/>
  <c r="F390" i="23"/>
  <c r="E390" i="23"/>
  <c r="D390" i="23"/>
  <c r="C390" i="23"/>
  <c r="B390" i="23"/>
  <c r="T389" i="23"/>
  <c r="R389" i="23"/>
  <c r="O389" i="23"/>
  <c r="N389" i="23"/>
  <c r="M389" i="23"/>
  <c r="L389" i="23"/>
  <c r="J389" i="23"/>
  <c r="K389" i="23"/>
  <c r="I389" i="23"/>
  <c r="H389" i="23"/>
  <c r="F389" i="23"/>
  <c r="E389" i="23"/>
  <c r="D389" i="23"/>
  <c r="C389" i="23"/>
  <c r="B389" i="23"/>
  <c r="T388" i="23"/>
  <c r="R388" i="23"/>
  <c r="O388" i="23"/>
  <c r="N388" i="23"/>
  <c r="M388" i="23"/>
  <c r="L388" i="23"/>
  <c r="J388" i="23"/>
  <c r="K388" i="23"/>
  <c r="I388" i="23"/>
  <c r="H388" i="23"/>
  <c r="F388" i="23"/>
  <c r="E388" i="23"/>
  <c r="D388" i="23"/>
  <c r="C388" i="23"/>
  <c r="B388" i="23"/>
  <c r="S245" i="23"/>
  <c r="S274" i="23"/>
  <c r="S275" i="23"/>
  <c r="S249" i="23"/>
  <c r="S272" i="23"/>
  <c r="S273" i="23"/>
  <c r="S259" i="23"/>
  <c r="S374" i="23"/>
  <c r="S242" i="23"/>
  <c r="S243" i="23"/>
  <c r="S371" i="23"/>
  <c r="S370" i="23"/>
  <c r="S261" i="23"/>
  <c r="S369" i="23"/>
  <c r="S333" i="23"/>
  <c r="S368" i="23"/>
  <c r="S332" i="23"/>
  <c r="S367" i="23"/>
  <c r="S366" i="23"/>
  <c r="S301" i="23"/>
  <c r="S302" i="23"/>
  <c r="S365" i="23"/>
  <c r="S160" i="23"/>
  <c r="S161" i="23"/>
  <c r="S329" i="23"/>
  <c r="S355" i="23"/>
  <c r="S316" i="23"/>
  <c r="S317" i="23"/>
  <c r="S330" i="23"/>
  <c r="S309" i="23"/>
  <c r="S310" i="23"/>
  <c r="S325" i="23"/>
  <c r="S162" i="23"/>
  <c r="S163" i="23"/>
  <c r="S56" i="23"/>
  <c r="S55" i="23"/>
  <c r="S57" i="23"/>
  <c r="S323" i="23"/>
  <c r="S337" i="23"/>
  <c r="S338" i="23"/>
  <c r="S307" i="23"/>
  <c r="S158" i="23"/>
  <c r="S159" i="23"/>
  <c r="S335" i="23"/>
  <c r="S357" i="23"/>
  <c r="S348" i="23"/>
  <c r="S328" i="23"/>
  <c r="S347" i="23"/>
  <c r="S364" i="23"/>
  <c r="S327" i="23"/>
  <c r="S346" i="23"/>
  <c r="S363" i="23"/>
  <c r="S306" i="23"/>
  <c r="S321" i="23"/>
  <c r="S326" i="23"/>
  <c r="S351" i="23"/>
  <c r="S352" i="23"/>
  <c r="S345" i="23"/>
  <c r="S362" i="23"/>
  <c r="S361" i="23"/>
  <c r="S303" i="23"/>
  <c r="S311" i="23"/>
  <c r="S308" i="23"/>
  <c r="S334" i="23"/>
  <c r="S354" i="23"/>
  <c r="S349" i="23"/>
  <c r="S324" i="23"/>
  <c r="S344" i="23"/>
  <c r="S360" i="23"/>
  <c r="S331" i="23"/>
  <c r="S343" i="23"/>
  <c r="S359" i="23"/>
  <c r="S341" i="23"/>
  <c r="S342" i="23"/>
  <c r="S358" i="23"/>
  <c r="S386" i="23"/>
  <c r="S387" i="23"/>
  <c r="S319" i="23"/>
  <c r="S320" i="23"/>
  <c r="T387" i="23"/>
  <c r="R387" i="23"/>
  <c r="O387" i="23"/>
  <c r="N387" i="23"/>
  <c r="M387" i="23"/>
  <c r="L387" i="23"/>
  <c r="J387" i="23"/>
  <c r="K387" i="23"/>
  <c r="I387" i="23"/>
  <c r="H387" i="23"/>
  <c r="F387" i="23"/>
  <c r="E387" i="23"/>
  <c r="D387" i="23"/>
  <c r="C387" i="23"/>
  <c r="B387" i="23"/>
  <c r="T386" i="23"/>
  <c r="R386" i="23"/>
  <c r="O386" i="23"/>
  <c r="N386" i="23"/>
  <c r="M386" i="23"/>
  <c r="L386" i="23"/>
  <c r="J386" i="23"/>
  <c r="K386" i="23"/>
  <c r="I386" i="23"/>
  <c r="H386" i="23"/>
  <c r="F386" i="23"/>
  <c r="E386" i="23"/>
  <c r="D386" i="23"/>
  <c r="C386" i="23"/>
  <c r="B386" i="23"/>
  <c r="S304" i="23"/>
  <c r="S384" i="23"/>
  <c r="S385" i="23"/>
  <c r="S356" i="23"/>
  <c r="T385" i="23"/>
  <c r="R385" i="23"/>
  <c r="O385" i="23"/>
  <c r="N385" i="23"/>
  <c r="M385" i="23"/>
  <c r="L385" i="23"/>
  <c r="J385" i="23"/>
  <c r="K385" i="23"/>
  <c r="I385" i="23"/>
  <c r="H385" i="23"/>
  <c r="F385" i="23"/>
  <c r="E385" i="23"/>
  <c r="D385" i="23"/>
  <c r="C385" i="23"/>
  <c r="B385" i="23"/>
  <c r="S336" i="23"/>
  <c r="S318" i="23"/>
  <c r="T384" i="23"/>
  <c r="R384" i="23"/>
  <c r="O384" i="23"/>
  <c r="N384" i="23"/>
  <c r="M384" i="23"/>
  <c r="L384" i="23"/>
  <c r="J384" i="23"/>
  <c r="K384" i="23"/>
  <c r="I384" i="23"/>
  <c r="H384" i="23"/>
  <c r="F384" i="23"/>
  <c r="E384" i="23"/>
  <c r="D384" i="23"/>
  <c r="C384" i="23"/>
  <c r="B384" i="23"/>
  <c r="S383" i="23"/>
  <c r="T383" i="23"/>
  <c r="R383" i="23"/>
  <c r="O383" i="23"/>
  <c r="N383" i="23"/>
  <c r="M383" i="23"/>
  <c r="L383" i="23"/>
  <c r="J383" i="23"/>
  <c r="K383" i="23"/>
  <c r="I383" i="23"/>
  <c r="H383" i="23"/>
  <c r="F383" i="23"/>
  <c r="E383" i="23"/>
  <c r="D383" i="23"/>
  <c r="C383" i="23"/>
  <c r="B383" i="23"/>
  <c r="S382" i="23"/>
  <c r="T382" i="23"/>
  <c r="R382" i="23"/>
  <c r="O382" i="23"/>
  <c r="N382" i="23"/>
  <c r="M382" i="23"/>
  <c r="L382" i="23"/>
  <c r="J382" i="23"/>
  <c r="K382" i="23"/>
  <c r="I382" i="23"/>
  <c r="H382" i="23"/>
  <c r="F382" i="23"/>
  <c r="E382" i="23"/>
  <c r="D382" i="23"/>
  <c r="C382" i="23"/>
  <c r="B382" i="23"/>
  <c r="S353" i="23"/>
  <c r="S381" i="23"/>
  <c r="T381" i="23"/>
  <c r="R381" i="23"/>
  <c r="O381" i="23"/>
  <c r="N381" i="23"/>
  <c r="M381" i="23"/>
  <c r="L381" i="23"/>
  <c r="J381" i="23"/>
  <c r="K381" i="23"/>
  <c r="I381" i="23"/>
  <c r="H381" i="23"/>
  <c r="F381" i="23"/>
  <c r="E381" i="23"/>
  <c r="D381" i="23"/>
  <c r="C381" i="23"/>
  <c r="B381" i="23"/>
  <c r="S380" i="23"/>
  <c r="T380" i="23"/>
  <c r="R380" i="23"/>
  <c r="O380" i="23"/>
  <c r="N380" i="23"/>
  <c r="M380" i="23"/>
  <c r="L380" i="23"/>
  <c r="J380" i="23"/>
  <c r="K380" i="23"/>
  <c r="I380" i="23"/>
  <c r="H380" i="23"/>
  <c r="F380" i="23"/>
  <c r="E380" i="23"/>
  <c r="D380" i="23"/>
  <c r="C380" i="23"/>
  <c r="B380" i="23"/>
  <c r="S379" i="23"/>
  <c r="S156" i="23"/>
  <c r="S157" i="23"/>
  <c r="T379" i="23"/>
  <c r="R379" i="23"/>
  <c r="O379" i="23"/>
  <c r="N379" i="23"/>
  <c r="M379" i="23"/>
  <c r="L379" i="23"/>
  <c r="J379" i="23"/>
  <c r="K379" i="23"/>
  <c r="I379" i="23"/>
  <c r="H379" i="23"/>
  <c r="F379" i="23"/>
  <c r="E379" i="23"/>
  <c r="D379" i="23"/>
  <c r="C379" i="23"/>
  <c r="B379" i="23"/>
  <c r="S378" i="23"/>
  <c r="T378" i="23"/>
  <c r="R378" i="23"/>
  <c r="O378" i="23"/>
  <c r="N378" i="23"/>
  <c r="M378" i="23"/>
  <c r="L378" i="23"/>
  <c r="J378" i="23"/>
  <c r="K378" i="23"/>
  <c r="I378" i="23"/>
  <c r="H378" i="23"/>
  <c r="F378" i="23"/>
  <c r="E378" i="23"/>
  <c r="D378" i="23"/>
  <c r="C378" i="23"/>
  <c r="B378" i="23"/>
  <c r="T377" i="23"/>
  <c r="R377" i="23"/>
  <c r="O377" i="23"/>
  <c r="N377" i="23"/>
  <c r="M377" i="23"/>
  <c r="L377" i="23"/>
  <c r="J377" i="23"/>
  <c r="K377" i="23"/>
  <c r="I377" i="23"/>
  <c r="H377" i="23"/>
  <c r="F377" i="23"/>
  <c r="E377" i="23"/>
  <c r="D377" i="23"/>
  <c r="C377" i="23"/>
  <c r="B377" i="23"/>
  <c r="S376" i="23"/>
  <c r="T376" i="23"/>
  <c r="R376" i="23"/>
  <c r="O376" i="23"/>
  <c r="N376" i="23"/>
  <c r="M376" i="23"/>
  <c r="L376" i="23"/>
  <c r="J376" i="23"/>
  <c r="K376" i="23"/>
  <c r="I376" i="23"/>
  <c r="H376" i="23"/>
  <c r="F376" i="23"/>
  <c r="E376" i="23"/>
  <c r="D376" i="23"/>
  <c r="C376" i="23"/>
  <c r="B376" i="23"/>
  <c r="S375" i="23"/>
  <c r="T375" i="23"/>
  <c r="R375" i="23"/>
  <c r="O375" i="23"/>
  <c r="N375" i="23"/>
  <c r="M375" i="23"/>
  <c r="L375" i="23"/>
  <c r="J375" i="23"/>
  <c r="K375" i="23"/>
  <c r="I375" i="23"/>
  <c r="H375" i="23"/>
  <c r="F375" i="23"/>
  <c r="E375" i="23"/>
  <c r="D375" i="23"/>
  <c r="C375" i="23"/>
  <c r="B375" i="23"/>
  <c r="T374" i="23"/>
  <c r="R374" i="23"/>
  <c r="O374" i="23"/>
  <c r="N374" i="23"/>
  <c r="M374" i="23"/>
  <c r="L374" i="23"/>
  <c r="J374" i="23"/>
  <c r="K374" i="23"/>
  <c r="I374" i="23"/>
  <c r="H374" i="23"/>
  <c r="F374" i="23"/>
  <c r="E374" i="23"/>
  <c r="D374" i="23"/>
  <c r="C374" i="23"/>
  <c r="B374" i="23"/>
  <c r="T373" i="23"/>
  <c r="R373" i="23"/>
  <c r="O373" i="23"/>
  <c r="N373" i="23"/>
  <c r="M373" i="23"/>
  <c r="L373" i="23"/>
  <c r="J373" i="23"/>
  <c r="K373" i="23"/>
  <c r="I373" i="23"/>
  <c r="H373" i="23"/>
  <c r="F373" i="23"/>
  <c r="E373" i="23"/>
  <c r="D373" i="23"/>
  <c r="C373" i="23"/>
  <c r="B373" i="23"/>
  <c r="T372" i="23"/>
  <c r="R372" i="23"/>
  <c r="O372" i="23"/>
  <c r="N372" i="23"/>
  <c r="M372" i="23"/>
  <c r="L372" i="23"/>
  <c r="J372" i="23"/>
  <c r="K372" i="23"/>
  <c r="I372" i="23"/>
  <c r="H372" i="23"/>
  <c r="F372" i="23"/>
  <c r="E372" i="23"/>
  <c r="D372" i="23"/>
  <c r="C372" i="23"/>
  <c r="B372" i="23"/>
  <c r="T371" i="23"/>
  <c r="R371" i="23"/>
  <c r="O371" i="23"/>
  <c r="N371" i="23"/>
  <c r="M371" i="23"/>
  <c r="L371" i="23"/>
  <c r="J371" i="23"/>
  <c r="K371" i="23"/>
  <c r="I371" i="23"/>
  <c r="H371" i="23"/>
  <c r="F371" i="23"/>
  <c r="E371" i="23"/>
  <c r="D371" i="23"/>
  <c r="C371" i="23"/>
  <c r="B371" i="23"/>
  <c r="T370" i="23"/>
  <c r="R370" i="23"/>
  <c r="O370" i="23"/>
  <c r="N370" i="23"/>
  <c r="M370" i="23"/>
  <c r="L370" i="23"/>
  <c r="J370" i="23"/>
  <c r="K370" i="23"/>
  <c r="I370" i="23"/>
  <c r="H370" i="23"/>
  <c r="F370" i="23"/>
  <c r="E370" i="23"/>
  <c r="D370" i="23"/>
  <c r="C370" i="23"/>
  <c r="B370" i="23"/>
  <c r="T369" i="23"/>
  <c r="R369" i="23"/>
  <c r="O369" i="23"/>
  <c r="N369" i="23"/>
  <c r="M369" i="23"/>
  <c r="L369" i="23"/>
  <c r="J369" i="23"/>
  <c r="K369" i="23"/>
  <c r="I369" i="23"/>
  <c r="H369" i="23"/>
  <c r="F369" i="23"/>
  <c r="E369" i="23"/>
  <c r="D369" i="23"/>
  <c r="C369" i="23"/>
  <c r="B369" i="23"/>
  <c r="T368" i="23"/>
  <c r="R368" i="23"/>
  <c r="O368" i="23"/>
  <c r="N368" i="23"/>
  <c r="M368" i="23"/>
  <c r="L368" i="23"/>
  <c r="J368" i="23"/>
  <c r="K368" i="23"/>
  <c r="I368" i="23"/>
  <c r="H368" i="23"/>
  <c r="F368" i="23"/>
  <c r="E368" i="23"/>
  <c r="D368" i="23"/>
  <c r="C368" i="23"/>
  <c r="B368" i="23"/>
  <c r="T367" i="23"/>
  <c r="R367" i="23"/>
  <c r="O367" i="23"/>
  <c r="N367" i="23"/>
  <c r="M367" i="23"/>
  <c r="L367" i="23"/>
  <c r="J367" i="23"/>
  <c r="K367" i="23"/>
  <c r="I367" i="23"/>
  <c r="H367" i="23"/>
  <c r="F367" i="23"/>
  <c r="E367" i="23"/>
  <c r="D367" i="23"/>
  <c r="C367" i="23"/>
  <c r="B367" i="23"/>
  <c r="T366" i="23"/>
  <c r="R366" i="23"/>
  <c r="O366" i="23"/>
  <c r="N366" i="23"/>
  <c r="M366" i="23"/>
  <c r="L366" i="23"/>
  <c r="J366" i="23"/>
  <c r="K366" i="23"/>
  <c r="I366" i="23"/>
  <c r="H366" i="23"/>
  <c r="F366" i="23"/>
  <c r="E366" i="23"/>
  <c r="D366" i="23"/>
  <c r="C366" i="23"/>
  <c r="B366" i="23"/>
  <c r="T365" i="23"/>
  <c r="R365" i="23"/>
  <c r="O365" i="23"/>
  <c r="N365" i="23"/>
  <c r="M365" i="23"/>
  <c r="L365" i="23"/>
  <c r="J365" i="23"/>
  <c r="K365" i="23"/>
  <c r="I365" i="23"/>
  <c r="H365" i="23"/>
  <c r="F365" i="23"/>
  <c r="E365" i="23"/>
  <c r="D365" i="23"/>
  <c r="C365" i="23"/>
  <c r="B365" i="23"/>
  <c r="T364" i="23"/>
  <c r="R364" i="23"/>
  <c r="O364" i="23"/>
  <c r="N364" i="23"/>
  <c r="M364" i="23"/>
  <c r="L364" i="23"/>
  <c r="J364" i="23"/>
  <c r="K364" i="23"/>
  <c r="I364" i="23"/>
  <c r="H364" i="23"/>
  <c r="F364" i="23"/>
  <c r="E364" i="23"/>
  <c r="D364" i="23"/>
  <c r="C364" i="23"/>
  <c r="B364" i="23"/>
  <c r="T363" i="23"/>
  <c r="R363" i="23"/>
  <c r="O363" i="23"/>
  <c r="N363" i="23"/>
  <c r="M363" i="23"/>
  <c r="L363" i="23"/>
  <c r="J363" i="23"/>
  <c r="K363" i="23"/>
  <c r="I363" i="23"/>
  <c r="H363" i="23"/>
  <c r="F363" i="23"/>
  <c r="E363" i="23"/>
  <c r="D363" i="23"/>
  <c r="C363" i="23"/>
  <c r="B363" i="23"/>
  <c r="T362" i="23"/>
  <c r="R362" i="23"/>
  <c r="O362" i="23"/>
  <c r="N362" i="23"/>
  <c r="M362" i="23"/>
  <c r="L362" i="23"/>
  <c r="J362" i="23"/>
  <c r="K362" i="23"/>
  <c r="I362" i="23"/>
  <c r="H362" i="23"/>
  <c r="F362" i="23"/>
  <c r="E362" i="23"/>
  <c r="D362" i="23"/>
  <c r="C362" i="23"/>
  <c r="B362" i="23"/>
  <c r="T361" i="23"/>
  <c r="R361" i="23"/>
  <c r="O361" i="23"/>
  <c r="N361" i="23"/>
  <c r="M361" i="23"/>
  <c r="L361" i="23"/>
  <c r="J361" i="23"/>
  <c r="K361" i="23"/>
  <c r="I361" i="23"/>
  <c r="H361" i="23"/>
  <c r="F361" i="23"/>
  <c r="E361" i="23"/>
  <c r="D361" i="23"/>
  <c r="C361" i="23"/>
  <c r="B361" i="23"/>
  <c r="T360" i="23"/>
  <c r="R360" i="23"/>
  <c r="O360" i="23"/>
  <c r="N360" i="23"/>
  <c r="M360" i="23"/>
  <c r="L360" i="23"/>
  <c r="J360" i="23"/>
  <c r="K360" i="23"/>
  <c r="I360" i="23"/>
  <c r="H360" i="23"/>
  <c r="F360" i="23"/>
  <c r="E360" i="23"/>
  <c r="D360" i="23"/>
  <c r="C360" i="23"/>
  <c r="B360" i="23"/>
  <c r="T359" i="23"/>
  <c r="R359" i="23"/>
  <c r="O359" i="23"/>
  <c r="N359" i="23"/>
  <c r="M359" i="23"/>
  <c r="L359" i="23"/>
  <c r="J359" i="23"/>
  <c r="K359" i="23"/>
  <c r="I359" i="23"/>
  <c r="H359" i="23"/>
  <c r="F359" i="23"/>
  <c r="E359" i="23"/>
  <c r="D359" i="23"/>
  <c r="C359" i="23"/>
  <c r="B359" i="23"/>
  <c r="T358" i="23"/>
  <c r="R358" i="23"/>
  <c r="O358" i="23"/>
  <c r="N358" i="23"/>
  <c r="M358" i="23"/>
  <c r="L358" i="23"/>
  <c r="J358" i="23"/>
  <c r="K358" i="23"/>
  <c r="I358" i="23"/>
  <c r="H358" i="23"/>
  <c r="F358" i="23"/>
  <c r="E358" i="23"/>
  <c r="D358" i="23"/>
  <c r="C358" i="23"/>
  <c r="B358" i="23"/>
  <c r="T357" i="23"/>
  <c r="R357" i="23"/>
  <c r="O357" i="23"/>
  <c r="N357" i="23"/>
  <c r="M357" i="23"/>
  <c r="L357" i="23"/>
  <c r="J357" i="23"/>
  <c r="K357" i="23"/>
  <c r="I357" i="23"/>
  <c r="H357" i="23"/>
  <c r="F357" i="23"/>
  <c r="E357" i="23"/>
  <c r="D357" i="23"/>
  <c r="C357" i="23"/>
  <c r="B357" i="23"/>
  <c r="T356" i="23"/>
  <c r="R356" i="23"/>
  <c r="O356" i="23"/>
  <c r="N356" i="23"/>
  <c r="M356" i="23"/>
  <c r="L356" i="23"/>
  <c r="J356" i="23"/>
  <c r="K356" i="23"/>
  <c r="I356" i="23"/>
  <c r="H356" i="23"/>
  <c r="F356" i="23"/>
  <c r="E356" i="23"/>
  <c r="D356" i="23"/>
  <c r="C356" i="23"/>
  <c r="B356" i="23"/>
  <c r="T355" i="23"/>
  <c r="R355" i="23"/>
  <c r="O355" i="23"/>
  <c r="N355" i="23"/>
  <c r="M355" i="23"/>
  <c r="L355" i="23"/>
  <c r="J355" i="23"/>
  <c r="K355" i="23"/>
  <c r="I355" i="23"/>
  <c r="H355" i="23"/>
  <c r="F355" i="23"/>
  <c r="E355" i="23"/>
  <c r="D355" i="23"/>
  <c r="C355" i="23"/>
  <c r="B355" i="23"/>
  <c r="T354" i="23"/>
  <c r="R354" i="23"/>
  <c r="O354" i="23"/>
  <c r="N354" i="23"/>
  <c r="M354" i="23"/>
  <c r="L354" i="23"/>
  <c r="J354" i="23"/>
  <c r="K354" i="23"/>
  <c r="I354" i="23"/>
  <c r="H354" i="23"/>
  <c r="F354" i="23"/>
  <c r="E354" i="23"/>
  <c r="D354" i="23"/>
  <c r="C354" i="23"/>
  <c r="B354" i="23"/>
  <c r="T353" i="23"/>
  <c r="R353" i="23"/>
  <c r="O353" i="23"/>
  <c r="N353" i="23"/>
  <c r="M353" i="23"/>
  <c r="L353" i="23"/>
  <c r="J353" i="23"/>
  <c r="K353" i="23"/>
  <c r="I353" i="23"/>
  <c r="H353" i="23"/>
  <c r="F353" i="23"/>
  <c r="E353" i="23"/>
  <c r="D353" i="23"/>
  <c r="C353" i="23"/>
  <c r="B353" i="23"/>
  <c r="T352" i="23"/>
  <c r="R352" i="23"/>
  <c r="O352" i="23"/>
  <c r="N352" i="23"/>
  <c r="M352" i="23"/>
  <c r="L352" i="23"/>
  <c r="J352" i="23"/>
  <c r="K352" i="23"/>
  <c r="I352" i="23"/>
  <c r="H352" i="23"/>
  <c r="F352" i="23"/>
  <c r="E352" i="23"/>
  <c r="D352" i="23"/>
  <c r="C352" i="23"/>
  <c r="B352" i="23"/>
  <c r="T351" i="23"/>
  <c r="R351" i="23"/>
  <c r="O351" i="23"/>
  <c r="N351" i="23"/>
  <c r="M351" i="23"/>
  <c r="L351" i="23"/>
  <c r="J351" i="23"/>
  <c r="K351" i="23"/>
  <c r="I351" i="23"/>
  <c r="H351" i="23"/>
  <c r="F351" i="23"/>
  <c r="E351" i="23"/>
  <c r="D351" i="23"/>
  <c r="C351" i="23"/>
  <c r="B351" i="23"/>
  <c r="T350" i="23"/>
  <c r="R350" i="23"/>
  <c r="O350" i="23"/>
  <c r="N350" i="23"/>
  <c r="M350" i="23"/>
  <c r="L350" i="23"/>
  <c r="J350" i="23"/>
  <c r="K350" i="23"/>
  <c r="I350" i="23"/>
  <c r="H350" i="23"/>
  <c r="F350" i="23"/>
  <c r="E350" i="23"/>
  <c r="D350" i="23"/>
  <c r="C350" i="23"/>
  <c r="B350" i="23"/>
  <c r="T349" i="23"/>
  <c r="R349" i="23"/>
  <c r="O349" i="23"/>
  <c r="N349" i="23"/>
  <c r="M349" i="23"/>
  <c r="L349" i="23"/>
  <c r="J349" i="23"/>
  <c r="K349" i="23"/>
  <c r="I349" i="23"/>
  <c r="H349" i="23"/>
  <c r="F349" i="23"/>
  <c r="E349" i="23"/>
  <c r="D349" i="23"/>
  <c r="C349" i="23"/>
  <c r="B349" i="23"/>
  <c r="T348" i="23"/>
  <c r="R348" i="23"/>
  <c r="O348" i="23"/>
  <c r="N348" i="23"/>
  <c r="M348" i="23"/>
  <c r="L348" i="23"/>
  <c r="J348" i="23"/>
  <c r="K348" i="23"/>
  <c r="I348" i="23"/>
  <c r="H348" i="23"/>
  <c r="F348" i="23"/>
  <c r="E348" i="23"/>
  <c r="D348" i="23"/>
  <c r="C348" i="23"/>
  <c r="B348" i="23"/>
  <c r="T347" i="23"/>
  <c r="R347" i="23"/>
  <c r="O347" i="23"/>
  <c r="N347" i="23"/>
  <c r="M347" i="23"/>
  <c r="L347" i="23"/>
  <c r="J347" i="23"/>
  <c r="K347" i="23"/>
  <c r="I347" i="23"/>
  <c r="H347" i="23"/>
  <c r="F347" i="23"/>
  <c r="E347" i="23"/>
  <c r="D347" i="23"/>
  <c r="C347" i="23"/>
  <c r="B347" i="23"/>
  <c r="T346" i="23"/>
  <c r="R346" i="23"/>
  <c r="O346" i="23"/>
  <c r="N346" i="23"/>
  <c r="M346" i="23"/>
  <c r="L346" i="23"/>
  <c r="J346" i="23"/>
  <c r="K346" i="23"/>
  <c r="I346" i="23"/>
  <c r="H346" i="23"/>
  <c r="F346" i="23"/>
  <c r="E346" i="23"/>
  <c r="D346" i="23"/>
  <c r="C346" i="23"/>
  <c r="B346" i="23"/>
  <c r="T345" i="23"/>
  <c r="R345" i="23"/>
  <c r="O345" i="23"/>
  <c r="N345" i="23"/>
  <c r="M345" i="23"/>
  <c r="L345" i="23"/>
  <c r="J345" i="23"/>
  <c r="K345" i="23"/>
  <c r="I345" i="23"/>
  <c r="H345" i="23"/>
  <c r="F345" i="23"/>
  <c r="E345" i="23"/>
  <c r="D345" i="23"/>
  <c r="C345" i="23"/>
  <c r="B345" i="23"/>
  <c r="T344" i="23"/>
  <c r="R344" i="23"/>
  <c r="O344" i="23"/>
  <c r="N344" i="23"/>
  <c r="M344" i="23"/>
  <c r="L344" i="23"/>
  <c r="J344" i="23"/>
  <c r="K344" i="23"/>
  <c r="I344" i="23"/>
  <c r="H344" i="23"/>
  <c r="F344" i="23"/>
  <c r="E344" i="23"/>
  <c r="D344" i="23"/>
  <c r="C344" i="23"/>
  <c r="B344" i="23"/>
  <c r="T343" i="23"/>
  <c r="R343" i="23"/>
  <c r="O343" i="23"/>
  <c r="N343" i="23"/>
  <c r="M343" i="23"/>
  <c r="L343" i="23"/>
  <c r="J343" i="23"/>
  <c r="K343" i="23"/>
  <c r="I343" i="23"/>
  <c r="H343" i="23"/>
  <c r="F343" i="23"/>
  <c r="E343" i="23"/>
  <c r="D343" i="23"/>
  <c r="C343" i="23"/>
  <c r="B343" i="23"/>
  <c r="T342" i="23"/>
  <c r="R342" i="23"/>
  <c r="O342" i="23"/>
  <c r="N342" i="23"/>
  <c r="M342" i="23"/>
  <c r="L342" i="23"/>
  <c r="J342" i="23"/>
  <c r="K342" i="23"/>
  <c r="I342" i="23"/>
  <c r="H342" i="23"/>
  <c r="F342" i="23"/>
  <c r="E342" i="23"/>
  <c r="D342" i="23"/>
  <c r="C342" i="23"/>
  <c r="B342" i="23"/>
  <c r="T341" i="23"/>
  <c r="R341" i="23"/>
  <c r="O341" i="23"/>
  <c r="N341" i="23"/>
  <c r="M341" i="23"/>
  <c r="L341" i="23"/>
  <c r="J341" i="23"/>
  <c r="K341" i="23"/>
  <c r="I341" i="23"/>
  <c r="H341" i="23"/>
  <c r="F341" i="23"/>
  <c r="E341" i="23"/>
  <c r="D341" i="23"/>
  <c r="C341" i="23"/>
  <c r="B341" i="23"/>
  <c r="T340" i="23"/>
  <c r="R340" i="23"/>
  <c r="O340" i="23"/>
  <c r="N340" i="23"/>
  <c r="M340" i="23"/>
  <c r="L340" i="23"/>
  <c r="J340" i="23"/>
  <c r="K340" i="23"/>
  <c r="I340" i="23"/>
  <c r="H340" i="23"/>
  <c r="F340" i="23"/>
  <c r="E340" i="23"/>
  <c r="D340" i="23"/>
  <c r="C340" i="23"/>
  <c r="B340" i="23"/>
  <c r="T339" i="23"/>
  <c r="R339" i="23"/>
  <c r="O339" i="23"/>
  <c r="N339" i="23"/>
  <c r="M339" i="23"/>
  <c r="L339" i="23"/>
  <c r="J339" i="23"/>
  <c r="K339" i="23"/>
  <c r="I339" i="23"/>
  <c r="H339" i="23"/>
  <c r="F339" i="23"/>
  <c r="E339" i="23"/>
  <c r="D339" i="23"/>
  <c r="C339" i="23"/>
  <c r="B339" i="23"/>
  <c r="T338" i="23"/>
  <c r="R338" i="23"/>
  <c r="O338" i="23"/>
  <c r="N338" i="23"/>
  <c r="M338" i="23"/>
  <c r="L338" i="23"/>
  <c r="J338" i="23"/>
  <c r="K338" i="23"/>
  <c r="I338" i="23"/>
  <c r="H338" i="23"/>
  <c r="F338" i="23"/>
  <c r="E338" i="23"/>
  <c r="D338" i="23"/>
  <c r="C338" i="23"/>
  <c r="B338" i="23"/>
  <c r="S305" i="23"/>
  <c r="T337" i="23"/>
  <c r="R337" i="23"/>
  <c r="O337" i="23"/>
  <c r="N337" i="23"/>
  <c r="M337" i="23"/>
  <c r="L337" i="23"/>
  <c r="J337" i="23"/>
  <c r="K337" i="23"/>
  <c r="I337" i="23"/>
  <c r="H337" i="23"/>
  <c r="F337" i="23"/>
  <c r="E337" i="23"/>
  <c r="D337" i="23"/>
  <c r="C337" i="23"/>
  <c r="B337" i="23"/>
  <c r="T336" i="23"/>
  <c r="R336" i="23"/>
  <c r="O336" i="23"/>
  <c r="N336" i="23"/>
  <c r="M336" i="23"/>
  <c r="L336" i="23"/>
  <c r="J336" i="23"/>
  <c r="K336" i="23"/>
  <c r="I336" i="23"/>
  <c r="H336" i="23"/>
  <c r="F336" i="23"/>
  <c r="E336" i="23"/>
  <c r="D336" i="23"/>
  <c r="C336" i="23"/>
  <c r="B336" i="23"/>
  <c r="T335" i="23"/>
  <c r="R335" i="23"/>
  <c r="O335" i="23"/>
  <c r="N335" i="23"/>
  <c r="M335" i="23"/>
  <c r="L335" i="23"/>
  <c r="J335" i="23"/>
  <c r="K335" i="23"/>
  <c r="I335" i="23"/>
  <c r="H335" i="23"/>
  <c r="F335" i="23"/>
  <c r="E335" i="23"/>
  <c r="D335" i="23"/>
  <c r="C335" i="23"/>
  <c r="B335" i="23"/>
  <c r="T334" i="23"/>
  <c r="R334" i="23"/>
  <c r="O334" i="23"/>
  <c r="N334" i="23"/>
  <c r="M334" i="23"/>
  <c r="L334" i="23"/>
  <c r="J334" i="23"/>
  <c r="K334" i="23"/>
  <c r="I334" i="23"/>
  <c r="H334" i="23"/>
  <c r="F334" i="23"/>
  <c r="E334" i="23"/>
  <c r="D334" i="23"/>
  <c r="C334" i="23"/>
  <c r="B334" i="23"/>
  <c r="T333" i="23"/>
  <c r="R333" i="23"/>
  <c r="O333" i="23"/>
  <c r="N333" i="23"/>
  <c r="M333" i="23"/>
  <c r="L333" i="23"/>
  <c r="J333" i="23"/>
  <c r="K333" i="23"/>
  <c r="I333" i="23"/>
  <c r="H333" i="23"/>
  <c r="F333" i="23"/>
  <c r="E333" i="23"/>
  <c r="D333" i="23"/>
  <c r="C333" i="23"/>
  <c r="B333" i="23"/>
  <c r="S296" i="23"/>
  <c r="T332" i="23"/>
  <c r="R332" i="23"/>
  <c r="O332" i="23"/>
  <c r="N332" i="23"/>
  <c r="M332" i="23"/>
  <c r="L332" i="23"/>
  <c r="J332" i="23"/>
  <c r="K332" i="23"/>
  <c r="I332" i="23"/>
  <c r="H332" i="23"/>
  <c r="F332" i="23"/>
  <c r="E332" i="23"/>
  <c r="D332" i="23"/>
  <c r="C332" i="23"/>
  <c r="B332" i="23"/>
  <c r="T331" i="23"/>
  <c r="R331" i="23"/>
  <c r="O331" i="23"/>
  <c r="N331" i="23"/>
  <c r="M331" i="23"/>
  <c r="L331" i="23"/>
  <c r="J331" i="23"/>
  <c r="K331" i="23"/>
  <c r="I331" i="23"/>
  <c r="H331" i="23"/>
  <c r="F331" i="23"/>
  <c r="E331" i="23"/>
  <c r="D331" i="23"/>
  <c r="C331" i="23"/>
  <c r="B331" i="23"/>
  <c r="T330" i="23"/>
  <c r="R330" i="23"/>
  <c r="O330" i="23"/>
  <c r="N330" i="23"/>
  <c r="M330" i="23"/>
  <c r="L330" i="23"/>
  <c r="J330" i="23"/>
  <c r="K330" i="23"/>
  <c r="I330" i="23"/>
  <c r="H330" i="23"/>
  <c r="F330" i="23"/>
  <c r="E330" i="23"/>
  <c r="D330" i="23"/>
  <c r="C330" i="23"/>
  <c r="B330" i="23"/>
  <c r="T329" i="23"/>
  <c r="R329" i="23"/>
  <c r="O329" i="23"/>
  <c r="N329" i="23"/>
  <c r="M329" i="23"/>
  <c r="L329" i="23"/>
  <c r="J329" i="23"/>
  <c r="K329" i="23"/>
  <c r="I329" i="23"/>
  <c r="H329" i="23"/>
  <c r="F329" i="23"/>
  <c r="E329" i="23"/>
  <c r="D329" i="23"/>
  <c r="C329" i="23"/>
  <c r="B329" i="23"/>
  <c r="T328" i="23"/>
  <c r="R328" i="23"/>
  <c r="O328" i="23"/>
  <c r="N328" i="23"/>
  <c r="M328" i="23"/>
  <c r="L328" i="23"/>
  <c r="J328" i="23"/>
  <c r="K328" i="23"/>
  <c r="I328" i="23"/>
  <c r="H328" i="23"/>
  <c r="F328" i="23"/>
  <c r="E328" i="23"/>
  <c r="D328" i="23"/>
  <c r="C328" i="23"/>
  <c r="B328" i="23"/>
  <c r="T327" i="23"/>
  <c r="R327" i="23"/>
  <c r="O327" i="23"/>
  <c r="N327" i="23"/>
  <c r="M327" i="23"/>
  <c r="L327" i="23"/>
  <c r="J327" i="23"/>
  <c r="K327" i="23"/>
  <c r="I327" i="23"/>
  <c r="H327" i="23"/>
  <c r="F327" i="23"/>
  <c r="E327" i="23"/>
  <c r="D327" i="23"/>
  <c r="C327" i="23"/>
  <c r="B327" i="23"/>
  <c r="T326" i="23"/>
  <c r="R326" i="23"/>
  <c r="O326" i="23"/>
  <c r="N326" i="23"/>
  <c r="M326" i="23"/>
  <c r="L326" i="23"/>
  <c r="J326" i="23"/>
  <c r="K326" i="23"/>
  <c r="I326" i="23"/>
  <c r="H326" i="23"/>
  <c r="F326" i="23"/>
  <c r="E326" i="23"/>
  <c r="D326" i="23"/>
  <c r="C326" i="23"/>
  <c r="B326" i="23"/>
  <c r="T325" i="23"/>
  <c r="R325" i="23"/>
  <c r="O325" i="23"/>
  <c r="N325" i="23"/>
  <c r="M325" i="23"/>
  <c r="L325" i="23"/>
  <c r="J325" i="23"/>
  <c r="K325" i="23"/>
  <c r="I325" i="23"/>
  <c r="H325" i="23"/>
  <c r="F325" i="23"/>
  <c r="E325" i="23"/>
  <c r="D325" i="23"/>
  <c r="C325" i="23"/>
  <c r="B325" i="23"/>
  <c r="T324" i="23"/>
  <c r="R324" i="23"/>
  <c r="O324" i="23"/>
  <c r="N324" i="23"/>
  <c r="M324" i="23"/>
  <c r="L324" i="23"/>
  <c r="J324" i="23"/>
  <c r="K324" i="23"/>
  <c r="I324" i="23"/>
  <c r="H324" i="23"/>
  <c r="F324" i="23"/>
  <c r="E324" i="23"/>
  <c r="D324" i="23"/>
  <c r="C324" i="23"/>
  <c r="B324" i="23"/>
  <c r="S322" i="23"/>
  <c r="T323" i="23"/>
  <c r="R323" i="23"/>
  <c r="O323" i="23"/>
  <c r="N323" i="23"/>
  <c r="M323" i="23"/>
  <c r="L323" i="23"/>
  <c r="J323" i="23"/>
  <c r="K323" i="23"/>
  <c r="I323" i="23"/>
  <c r="H323" i="23"/>
  <c r="F323" i="23"/>
  <c r="E323" i="23"/>
  <c r="D323" i="23"/>
  <c r="C323" i="23"/>
  <c r="B323" i="23"/>
  <c r="S295" i="23"/>
  <c r="T322" i="23"/>
  <c r="R322" i="23"/>
  <c r="O322" i="23"/>
  <c r="N322" i="23"/>
  <c r="M322" i="23"/>
  <c r="L322" i="23"/>
  <c r="J322" i="23"/>
  <c r="K322" i="23"/>
  <c r="I322" i="23"/>
  <c r="H322" i="23"/>
  <c r="F322" i="23"/>
  <c r="E322" i="23"/>
  <c r="D322" i="23"/>
  <c r="C322" i="23"/>
  <c r="B322" i="23"/>
  <c r="T321" i="23"/>
  <c r="R321" i="23"/>
  <c r="O321" i="23"/>
  <c r="N321" i="23"/>
  <c r="M321" i="23"/>
  <c r="L321" i="23"/>
  <c r="J321" i="23"/>
  <c r="K321" i="23"/>
  <c r="I321" i="23"/>
  <c r="H321" i="23"/>
  <c r="F321" i="23"/>
  <c r="E321" i="23"/>
  <c r="D321" i="23"/>
  <c r="C321" i="23"/>
  <c r="B321" i="23"/>
  <c r="S294" i="23"/>
  <c r="T320" i="23"/>
  <c r="R320" i="23"/>
  <c r="O320" i="23"/>
  <c r="N320" i="23"/>
  <c r="M320" i="23"/>
  <c r="L320" i="23"/>
  <c r="J320" i="23"/>
  <c r="K320" i="23"/>
  <c r="I320" i="23"/>
  <c r="H320" i="23"/>
  <c r="F320" i="23"/>
  <c r="E320" i="23"/>
  <c r="D320" i="23"/>
  <c r="C320" i="23"/>
  <c r="B320" i="23"/>
  <c r="T319" i="23"/>
  <c r="R319" i="23"/>
  <c r="O319" i="23"/>
  <c r="N319" i="23"/>
  <c r="M319" i="23"/>
  <c r="L319" i="23"/>
  <c r="J319" i="23"/>
  <c r="K319" i="23"/>
  <c r="I319" i="23"/>
  <c r="H319" i="23"/>
  <c r="F319" i="23"/>
  <c r="E319" i="23"/>
  <c r="D319" i="23"/>
  <c r="C319" i="23"/>
  <c r="B319" i="23"/>
  <c r="T318" i="23"/>
  <c r="R318" i="23"/>
  <c r="O318" i="23"/>
  <c r="N318" i="23"/>
  <c r="M318" i="23"/>
  <c r="L318" i="23"/>
  <c r="J318" i="23"/>
  <c r="K318" i="23"/>
  <c r="I318" i="23"/>
  <c r="H318" i="23"/>
  <c r="F318" i="23"/>
  <c r="E318" i="23"/>
  <c r="D318" i="23"/>
  <c r="C318" i="23"/>
  <c r="B318" i="23"/>
  <c r="T317" i="23"/>
  <c r="R317" i="23"/>
  <c r="O317" i="23"/>
  <c r="N317" i="23"/>
  <c r="M317" i="23"/>
  <c r="L317" i="23"/>
  <c r="J317" i="23"/>
  <c r="K317" i="23"/>
  <c r="I317" i="23"/>
  <c r="H317" i="23"/>
  <c r="F317" i="23"/>
  <c r="E317" i="23"/>
  <c r="D317" i="23"/>
  <c r="C317" i="23"/>
  <c r="B317" i="23"/>
  <c r="T316" i="23"/>
  <c r="R316" i="23"/>
  <c r="O316" i="23"/>
  <c r="N316" i="23"/>
  <c r="M316" i="23"/>
  <c r="L316" i="23"/>
  <c r="J316" i="23"/>
  <c r="K316" i="23"/>
  <c r="I316" i="23"/>
  <c r="H316" i="23"/>
  <c r="F316" i="23"/>
  <c r="E316" i="23"/>
  <c r="D316" i="23"/>
  <c r="C316" i="23"/>
  <c r="B316" i="23"/>
  <c r="S314" i="23"/>
  <c r="S315" i="23"/>
  <c r="T315" i="23"/>
  <c r="R315" i="23"/>
  <c r="O315" i="23"/>
  <c r="N315" i="23"/>
  <c r="M315" i="23"/>
  <c r="L315" i="23"/>
  <c r="J315" i="23"/>
  <c r="K315" i="23"/>
  <c r="I315" i="23"/>
  <c r="H315" i="23"/>
  <c r="F315" i="23"/>
  <c r="E315" i="23"/>
  <c r="D315" i="23"/>
  <c r="C315" i="23"/>
  <c r="B315" i="23"/>
  <c r="T314" i="23"/>
  <c r="R314" i="23"/>
  <c r="O314" i="23"/>
  <c r="N314" i="23"/>
  <c r="M314" i="23"/>
  <c r="L314" i="23"/>
  <c r="J314" i="23"/>
  <c r="K314" i="23"/>
  <c r="I314" i="23"/>
  <c r="H314" i="23"/>
  <c r="F314" i="23"/>
  <c r="E314" i="23"/>
  <c r="D314" i="23"/>
  <c r="C314" i="23"/>
  <c r="B314" i="23"/>
  <c r="S313" i="23"/>
  <c r="T313" i="23"/>
  <c r="R313" i="23"/>
  <c r="O313" i="23"/>
  <c r="N313" i="23"/>
  <c r="M313" i="23"/>
  <c r="L313" i="23"/>
  <c r="J313" i="23"/>
  <c r="K313" i="23"/>
  <c r="I313" i="23"/>
  <c r="H313" i="23"/>
  <c r="F313" i="23"/>
  <c r="E313" i="23"/>
  <c r="D313" i="23"/>
  <c r="C313" i="23"/>
  <c r="B313" i="23"/>
  <c r="S312" i="23"/>
  <c r="T312" i="23"/>
  <c r="R312" i="23"/>
  <c r="O312" i="23"/>
  <c r="N312" i="23"/>
  <c r="M312" i="23"/>
  <c r="L312" i="23"/>
  <c r="J312" i="23"/>
  <c r="K312" i="23"/>
  <c r="I312" i="23"/>
  <c r="H312" i="23"/>
  <c r="F312" i="23"/>
  <c r="E312" i="23"/>
  <c r="D312" i="23"/>
  <c r="C312" i="23"/>
  <c r="B312" i="23"/>
  <c r="T311" i="23"/>
  <c r="R311" i="23"/>
  <c r="O311" i="23"/>
  <c r="N311" i="23"/>
  <c r="M311" i="23"/>
  <c r="L311" i="23"/>
  <c r="J311" i="23"/>
  <c r="K311" i="23"/>
  <c r="I311" i="23"/>
  <c r="H311" i="23"/>
  <c r="F311" i="23"/>
  <c r="E311" i="23"/>
  <c r="D311" i="23"/>
  <c r="C311" i="23"/>
  <c r="B311" i="23"/>
  <c r="T310" i="23"/>
  <c r="R310" i="23"/>
  <c r="O310" i="23"/>
  <c r="N310" i="23"/>
  <c r="M310" i="23"/>
  <c r="L310" i="23"/>
  <c r="J310" i="23"/>
  <c r="K310" i="23"/>
  <c r="I310" i="23"/>
  <c r="H310" i="23"/>
  <c r="F310" i="23"/>
  <c r="E310" i="23"/>
  <c r="D310" i="23"/>
  <c r="C310" i="23"/>
  <c r="B310" i="23"/>
  <c r="T309" i="23"/>
  <c r="R309" i="23"/>
  <c r="O309" i="23"/>
  <c r="N309" i="23"/>
  <c r="M309" i="23"/>
  <c r="L309" i="23"/>
  <c r="J309" i="23"/>
  <c r="K309" i="23"/>
  <c r="I309" i="23"/>
  <c r="H309" i="23"/>
  <c r="F309" i="23"/>
  <c r="E309" i="23"/>
  <c r="D309" i="23"/>
  <c r="C309" i="23"/>
  <c r="B309" i="23"/>
  <c r="T308" i="23"/>
  <c r="R308" i="23"/>
  <c r="O308" i="23"/>
  <c r="N308" i="23"/>
  <c r="M308" i="23"/>
  <c r="L308" i="23"/>
  <c r="J308" i="23"/>
  <c r="K308" i="23"/>
  <c r="I308" i="23"/>
  <c r="H308" i="23"/>
  <c r="F308" i="23"/>
  <c r="E308" i="23"/>
  <c r="D308" i="23"/>
  <c r="C308" i="23"/>
  <c r="B308" i="23"/>
  <c r="T307" i="23"/>
  <c r="R307" i="23"/>
  <c r="O307" i="23"/>
  <c r="N307" i="23"/>
  <c r="M307" i="23"/>
  <c r="L307" i="23"/>
  <c r="J307" i="23"/>
  <c r="K307" i="23"/>
  <c r="I307" i="23"/>
  <c r="H307" i="23"/>
  <c r="F307" i="23"/>
  <c r="E307" i="23"/>
  <c r="D307" i="23"/>
  <c r="C307" i="23"/>
  <c r="B307" i="23"/>
  <c r="T306" i="23"/>
  <c r="R306" i="23"/>
  <c r="O306" i="23"/>
  <c r="N306" i="23"/>
  <c r="M306" i="23"/>
  <c r="L306" i="23"/>
  <c r="J306" i="23"/>
  <c r="K306" i="23"/>
  <c r="I306" i="23"/>
  <c r="H306" i="23"/>
  <c r="F306" i="23"/>
  <c r="E306" i="23"/>
  <c r="D306" i="23"/>
  <c r="C306" i="23"/>
  <c r="B306" i="23"/>
  <c r="T305" i="23"/>
  <c r="R305" i="23"/>
  <c r="O305" i="23"/>
  <c r="N305" i="23"/>
  <c r="M305" i="23"/>
  <c r="L305" i="23"/>
  <c r="J305" i="23"/>
  <c r="K305" i="23"/>
  <c r="I305" i="23"/>
  <c r="H305" i="23"/>
  <c r="F305" i="23"/>
  <c r="E305" i="23"/>
  <c r="D305" i="23"/>
  <c r="C305" i="23"/>
  <c r="B305" i="23"/>
  <c r="T304" i="23"/>
  <c r="R304" i="23"/>
  <c r="O304" i="23"/>
  <c r="N304" i="23"/>
  <c r="M304" i="23"/>
  <c r="L304" i="23"/>
  <c r="J304" i="23"/>
  <c r="K304" i="23"/>
  <c r="I304" i="23"/>
  <c r="H304" i="23"/>
  <c r="F304" i="23"/>
  <c r="E304" i="23"/>
  <c r="D304" i="23"/>
  <c r="C304" i="23"/>
  <c r="B304" i="23"/>
  <c r="T303" i="23"/>
  <c r="R303" i="23"/>
  <c r="O303" i="23"/>
  <c r="N303" i="23"/>
  <c r="M303" i="23"/>
  <c r="L303" i="23"/>
  <c r="J303" i="23"/>
  <c r="K303" i="23"/>
  <c r="I303" i="23"/>
  <c r="H303" i="23"/>
  <c r="F303" i="23"/>
  <c r="E303" i="23"/>
  <c r="D303" i="23"/>
  <c r="C303" i="23"/>
  <c r="B303" i="23"/>
  <c r="T302" i="23"/>
  <c r="R302" i="23"/>
  <c r="O302" i="23"/>
  <c r="N302" i="23"/>
  <c r="M302" i="23"/>
  <c r="L302" i="23"/>
  <c r="J302" i="23"/>
  <c r="K302" i="23"/>
  <c r="I302" i="23"/>
  <c r="H302" i="23"/>
  <c r="F302" i="23"/>
  <c r="E302" i="23"/>
  <c r="D302" i="23"/>
  <c r="C302" i="23"/>
  <c r="B302" i="23"/>
  <c r="S292" i="23"/>
  <c r="S299" i="23"/>
  <c r="S300" i="23"/>
  <c r="S291" i="23"/>
  <c r="T300" i="23"/>
  <c r="R300" i="23"/>
  <c r="O300" i="23"/>
  <c r="N300" i="23"/>
  <c r="M300" i="23"/>
  <c r="L300" i="23"/>
  <c r="J300" i="23"/>
  <c r="K300" i="23"/>
  <c r="I300" i="23"/>
  <c r="H300" i="23"/>
  <c r="F300" i="23"/>
  <c r="E300" i="23"/>
  <c r="D300" i="23"/>
  <c r="C300" i="23"/>
  <c r="B300" i="23"/>
  <c r="T299" i="23"/>
  <c r="R299" i="23"/>
  <c r="O299" i="23"/>
  <c r="N299" i="23"/>
  <c r="M299" i="23"/>
  <c r="L299" i="23"/>
  <c r="J299" i="23"/>
  <c r="K299" i="23"/>
  <c r="I299" i="23"/>
  <c r="H299" i="23"/>
  <c r="F299" i="23"/>
  <c r="E299" i="23"/>
  <c r="D299" i="23"/>
  <c r="C299" i="23"/>
  <c r="B299" i="23"/>
  <c r="S280" i="23"/>
  <c r="S290" i="23"/>
  <c r="S298" i="23"/>
  <c r="T298" i="23"/>
  <c r="R298" i="23"/>
  <c r="O298" i="23"/>
  <c r="N298" i="23"/>
  <c r="M298" i="23"/>
  <c r="L298" i="23"/>
  <c r="J298" i="23"/>
  <c r="K298" i="23"/>
  <c r="I298" i="23"/>
  <c r="H298" i="23"/>
  <c r="F298" i="23"/>
  <c r="E298" i="23"/>
  <c r="D298" i="23"/>
  <c r="C298" i="23"/>
  <c r="B298" i="23"/>
  <c r="S297" i="23"/>
  <c r="T297" i="23"/>
  <c r="R297" i="23"/>
  <c r="O297" i="23"/>
  <c r="N297" i="23"/>
  <c r="M297" i="23"/>
  <c r="L297" i="23"/>
  <c r="J297" i="23"/>
  <c r="K297" i="23"/>
  <c r="I297" i="23"/>
  <c r="H297" i="23"/>
  <c r="F297" i="23"/>
  <c r="E297" i="23"/>
  <c r="D297" i="23"/>
  <c r="C297" i="23"/>
  <c r="B297" i="23"/>
  <c r="T296" i="23"/>
  <c r="R296" i="23"/>
  <c r="O296" i="23"/>
  <c r="N296" i="23"/>
  <c r="M296" i="23"/>
  <c r="L296" i="23"/>
  <c r="J296" i="23"/>
  <c r="K296" i="23"/>
  <c r="I296" i="23"/>
  <c r="H296" i="23"/>
  <c r="F296" i="23"/>
  <c r="E296" i="23"/>
  <c r="D296" i="23"/>
  <c r="C296" i="23"/>
  <c r="B296" i="23"/>
  <c r="T295" i="23"/>
  <c r="R295" i="23"/>
  <c r="O295" i="23"/>
  <c r="N295" i="23"/>
  <c r="M295" i="23"/>
  <c r="L295" i="23"/>
  <c r="J295" i="23"/>
  <c r="K295" i="23"/>
  <c r="I295" i="23"/>
  <c r="H295" i="23"/>
  <c r="F295" i="23"/>
  <c r="E295" i="23"/>
  <c r="D295" i="23"/>
  <c r="C295" i="23"/>
  <c r="B295" i="23"/>
  <c r="T294" i="23"/>
  <c r="R294" i="23"/>
  <c r="O294" i="23"/>
  <c r="N294" i="23"/>
  <c r="M294" i="23"/>
  <c r="L294" i="23"/>
  <c r="J294" i="23"/>
  <c r="K294" i="23"/>
  <c r="I294" i="23"/>
  <c r="H294" i="23"/>
  <c r="F294" i="23"/>
  <c r="E294" i="23"/>
  <c r="D294" i="23"/>
  <c r="C294" i="23"/>
  <c r="B294" i="23"/>
  <c r="T293" i="23"/>
  <c r="R293" i="23"/>
  <c r="O293" i="23"/>
  <c r="N293" i="23"/>
  <c r="M293" i="23"/>
  <c r="L293" i="23"/>
  <c r="J293" i="23"/>
  <c r="K293" i="23"/>
  <c r="I293" i="23"/>
  <c r="H293" i="23"/>
  <c r="F293" i="23"/>
  <c r="E293" i="23"/>
  <c r="D293" i="23"/>
  <c r="C293" i="23"/>
  <c r="B293" i="23"/>
  <c r="T292" i="23"/>
  <c r="R292" i="23"/>
  <c r="O292" i="23"/>
  <c r="N292" i="23"/>
  <c r="M292" i="23"/>
  <c r="L292" i="23"/>
  <c r="J292" i="23"/>
  <c r="K292" i="23"/>
  <c r="I292" i="23"/>
  <c r="H292" i="23"/>
  <c r="F292" i="23"/>
  <c r="E292" i="23"/>
  <c r="D292" i="23"/>
  <c r="C292" i="23"/>
  <c r="B292" i="23"/>
  <c r="T291" i="23"/>
  <c r="R291" i="23"/>
  <c r="O291" i="23"/>
  <c r="N291" i="23"/>
  <c r="M291" i="23"/>
  <c r="L291" i="23"/>
  <c r="J291" i="23"/>
  <c r="K291" i="23"/>
  <c r="I291" i="23"/>
  <c r="H291" i="23"/>
  <c r="F291" i="23"/>
  <c r="E291" i="23"/>
  <c r="D291" i="23"/>
  <c r="C291" i="23"/>
  <c r="B291" i="23"/>
  <c r="T290" i="23"/>
  <c r="R290" i="23"/>
  <c r="O290" i="23"/>
  <c r="N290" i="23"/>
  <c r="M290" i="23"/>
  <c r="L290" i="23"/>
  <c r="J290" i="23"/>
  <c r="K290" i="23"/>
  <c r="I290" i="23"/>
  <c r="H290" i="23"/>
  <c r="F290" i="23"/>
  <c r="E290" i="23"/>
  <c r="D290" i="23"/>
  <c r="C290" i="23"/>
  <c r="B290" i="23"/>
  <c r="S289" i="23"/>
  <c r="T289" i="23"/>
  <c r="R289" i="23"/>
  <c r="O289" i="23"/>
  <c r="N289" i="23"/>
  <c r="M289" i="23"/>
  <c r="L289" i="23"/>
  <c r="J289" i="23"/>
  <c r="K289" i="23"/>
  <c r="I289" i="23"/>
  <c r="H289" i="23"/>
  <c r="F289" i="23"/>
  <c r="E289" i="23"/>
  <c r="D289" i="23"/>
  <c r="C289" i="23"/>
  <c r="B289" i="23"/>
  <c r="S22" i="23"/>
  <c r="S23" i="23"/>
  <c r="S284" i="23"/>
  <c r="S278" i="23"/>
  <c r="S281" i="23"/>
  <c r="S276" i="23"/>
  <c r="S277" i="23"/>
  <c r="S288" i="23"/>
  <c r="T288" i="23"/>
  <c r="R288" i="23"/>
  <c r="O288" i="23"/>
  <c r="N288" i="23"/>
  <c r="M288" i="23"/>
  <c r="L288" i="23"/>
  <c r="J288" i="23"/>
  <c r="K288" i="23"/>
  <c r="I288" i="23"/>
  <c r="H288" i="23"/>
  <c r="F288" i="23"/>
  <c r="E288" i="23"/>
  <c r="D288" i="23"/>
  <c r="C288" i="23"/>
  <c r="B288" i="23"/>
  <c r="S287" i="23"/>
  <c r="T287" i="23"/>
  <c r="R287" i="23"/>
  <c r="O287" i="23"/>
  <c r="N287" i="23"/>
  <c r="M287" i="23"/>
  <c r="L287" i="23"/>
  <c r="J287" i="23"/>
  <c r="K287" i="23"/>
  <c r="I287" i="23"/>
  <c r="H287" i="23"/>
  <c r="F287" i="23"/>
  <c r="E287" i="23"/>
  <c r="D287" i="23"/>
  <c r="C287" i="23"/>
  <c r="B287" i="23"/>
  <c r="S286" i="23"/>
  <c r="T286" i="23"/>
  <c r="R286" i="23"/>
  <c r="O286" i="23"/>
  <c r="N286" i="23"/>
  <c r="M286" i="23"/>
  <c r="L286" i="23"/>
  <c r="J286" i="23"/>
  <c r="K286" i="23"/>
  <c r="I286" i="23"/>
  <c r="H286" i="23"/>
  <c r="F286" i="23"/>
  <c r="E286" i="23"/>
  <c r="D286" i="23"/>
  <c r="C286" i="23"/>
  <c r="B286" i="23"/>
  <c r="S285" i="23"/>
  <c r="T285" i="23"/>
  <c r="R285" i="23"/>
  <c r="O285" i="23"/>
  <c r="N285" i="23"/>
  <c r="M285" i="23"/>
  <c r="L285" i="23"/>
  <c r="J285" i="23"/>
  <c r="K285" i="23"/>
  <c r="I285" i="23"/>
  <c r="H285" i="23"/>
  <c r="F285" i="23"/>
  <c r="E285" i="23"/>
  <c r="D285" i="23"/>
  <c r="C285" i="23"/>
  <c r="B285" i="23"/>
  <c r="T284" i="23"/>
  <c r="R284" i="23"/>
  <c r="O284" i="23"/>
  <c r="N284" i="23"/>
  <c r="M284" i="23"/>
  <c r="L284" i="23"/>
  <c r="J284" i="23"/>
  <c r="K284" i="23"/>
  <c r="I284" i="23"/>
  <c r="H284" i="23"/>
  <c r="F284" i="23"/>
  <c r="E284" i="23"/>
  <c r="D284" i="23"/>
  <c r="C284" i="23"/>
  <c r="B284" i="23"/>
  <c r="T283" i="23"/>
  <c r="R283" i="23"/>
  <c r="O283" i="23"/>
  <c r="N283" i="23"/>
  <c r="M283" i="23"/>
  <c r="L283" i="23"/>
  <c r="J283" i="23"/>
  <c r="K283" i="23"/>
  <c r="I283" i="23"/>
  <c r="H283" i="23"/>
  <c r="F283" i="23"/>
  <c r="E283" i="23"/>
  <c r="D283" i="23"/>
  <c r="C283" i="23"/>
  <c r="B283" i="23"/>
  <c r="T282" i="23"/>
  <c r="R282" i="23"/>
  <c r="O282" i="23"/>
  <c r="N282" i="23"/>
  <c r="M282" i="23"/>
  <c r="L282" i="23"/>
  <c r="J282" i="23"/>
  <c r="K282" i="23"/>
  <c r="I282" i="23"/>
  <c r="H282" i="23"/>
  <c r="F282" i="23"/>
  <c r="E282" i="23"/>
  <c r="D282" i="23"/>
  <c r="C282" i="23"/>
  <c r="B282" i="23"/>
  <c r="T281" i="23"/>
  <c r="R281" i="23"/>
  <c r="O281" i="23"/>
  <c r="N281" i="23"/>
  <c r="M281" i="23"/>
  <c r="L281" i="23"/>
  <c r="J281" i="23"/>
  <c r="K281" i="23"/>
  <c r="I281" i="23"/>
  <c r="H281" i="23"/>
  <c r="F281" i="23"/>
  <c r="E281" i="23"/>
  <c r="D281" i="23"/>
  <c r="C281" i="23"/>
  <c r="B281" i="23"/>
  <c r="T280" i="23"/>
  <c r="R280" i="23"/>
  <c r="O280" i="23"/>
  <c r="N280" i="23"/>
  <c r="M280" i="23"/>
  <c r="L280" i="23"/>
  <c r="J280" i="23"/>
  <c r="K280" i="23"/>
  <c r="I280" i="23"/>
  <c r="H280" i="23"/>
  <c r="F280" i="23"/>
  <c r="E280" i="23"/>
  <c r="D280" i="23"/>
  <c r="C280" i="23"/>
  <c r="B280" i="23"/>
  <c r="T279" i="23"/>
  <c r="R279" i="23"/>
  <c r="O279" i="23"/>
  <c r="N279" i="23"/>
  <c r="M279" i="23"/>
  <c r="L279" i="23"/>
  <c r="J279" i="23"/>
  <c r="K279" i="23"/>
  <c r="I279" i="23"/>
  <c r="H279" i="23"/>
  <c r="F279" i="23"/>
  <c r="E279" i="23"/>
  <c r="D279" i="23"/>
  <c r="C279" i="23"/>
  <c r="B279" i="23"/>
  <c r="T278" i="23"/>
  <c r="R278" i="23"/>
  <c r="O278" i="23"/>
  <c r="N278" i="23"/>
  <c r="M278" i="23"/>
  <c r="L278" i="23"/>
  <c r="J278" i="23"/>
  <c r="K278" i="23"/>
  <c r="I278" i="23"/>
  <c r="H278" i="23"/>
  <c r="F278" i="23"/>
  <c r="E278" i="23"/>
  <c r="D278" i="23"/>
  <c r="C278" i="23"/>
  <c r="B278" i="23"/>
  <c r="T277" i="23"/>
  <c r="R277" i="23"/>
  <c r="O277" i="23"/>
  <c r="N277" i="23"/>
  <c r="M277" i="23"/>
  <c r="L277" i="23"/>
  <c r="J277" i="23"/>
  <c r="K277" i="23"/>
  <c r="I277" i="23"/>
  <c r="H277" i="23"/>
  <c r="F277" i="23"/>
  <c r="E277" i="23"/>
  <c r="D277" i="23"/>
  <c r="C277" i="23"/>
  <c r="B277" i="23"/>
  <c r="T276" i="23"/>
  <c r="R276" i="23"/>
  <c r="O276" i="23"/>
  <c r="N276" i="23"/>
  <c r="M276" i="23"/>
  <c r="L276" i="23"/>
  <c r="J276" i="23"/>
  <c r="K276" i="23"/>
  <c r="I276" i="23"/>
  <c r="H276" i="23"/>
  <c r="F276" i="23"/>
  <c r="E276" i="23"/>
  <c r="D276" i="23"/>
  <c r="C276" i="23"/>
  <c r="B276" i="23"/>
  <c r="T275" i="23"/>
  <c r="R275" i="23"/>
  <c r="O275" i="23"/>
  <c r="N275" i="23"/>
  <c r="M275" i="23"/>
  <c r="L275" i="23"/>
  <c r="J275" i="23"/>
  <c r="K275" i="23"/>
  <c r="I275" i="23"/>
  <c r="H275" i="23"/>
  <c r="F275" i="23"/>
  <c r="E275" i="23"/>
  <c r="D275" i="23"/>
  <c r="C275" i="23"/>
  <c r="B275" i="23"/>
  <c r="T274" i="23"/>
  <c r="R274" i="23"/>
  <c r="O274" i="23"/>
  <c r="N274" i="23"/>
  <c r="M274" i="23"/>
  <c r="L274" i="23"/>
  <c r="J274" i="23"/>
  <c r="K274" i="23"/>
  <c r="I274" i="23"/>
  <c r="H274" i="23"/>
  <c r="F274" i="23"/>
  <c r="E274" i="23"/>
  <c r="D274" i="23"/>
  <c r="C274" i="23"/>
  <c r="B274" i="23"/>
  <c r="T273" i="23"/>
  <c r="R273" i="23"/>
  <c r="O273" i="23"/>
  <c r="N273" i="23"/>
  <c r="M273" i="23"/>
  <c r="L273" i="23"/>
  <c r="J273" i="23"/>
  <c r="K273" i="23"/>
  <c r="I273" i="23"/>
  <c r="H273" i="23"/>
  <c r="F273" i="23"/>
  <c r="E273" i="23"/>
  <c r="D273" i="23"/>
  <c r="C273" i="23"/>
  <c r="B273" i="23"/>
  <c r="T272" i="23"/>
  <c r="R272" i="23"/>
  <c r="O272" i="23"/>
  <c r="N272" i="23"/>
  <c r="M272" i="23"/>
  <c r="L272" i="23"/>
  <c r="J272" i="23"/>
  <c r="K272" i="23"/>
  <c r="I272" i="23"/>
  <c r="H272" i="23"/>
  <c r="F272" i="23"/>
  <c r="E272" i="23"/>
  <c r="D272" i="23"/>
  <c r="C272" i="23"/>
  <c r="B272" i="23"/>
  <c r="T271" i="23"/>
  <c r="R271" i="23"/>
  <c r="O271" i="23"/>
  <c r="N271" i="23"/>
  <c r="M271" i="23"/>
  <c r="L271" i="23"/>
  <c r="J271" i="23"/>
  <c r="K271" i="23"/>
  <c r="I271" i="23"/>
  <c r="H271" i="23"/>
  <c r="F271" i="23"/>
  <c r="E271" i="23"/>
  <c r="D271" i="23"/>
  <c r="C271" i="23"/>
  <c r="T270" i="23"/>
  <c r="R270" i="23"/>
  <c r="O270" i="23"/>
  <c r="N270" i="23"/>
  <c r="M270" i="23"/>
  <c r="L270" i="23"/>
  <c r="J270" i="23"/>
  <c r="K270" i="23"/>
  <c r="I270" i="23"/>
  <c r="H270" i="23"/>
  <c r="F270" i="23"/>
  <c r="E270" i="23"/>
  <c r="D270" i="23"/>
  <c r="C270" i="23"/>
  <c r="B270" i="23"/>
  <c r="T269" i="23"/>
  <c r="R269" i="23"/>
  <c r="O269" i="23"/>
  <c r="N269" i="23"/>
  <c r="M269" i="23"/>
  <c r="L269" i="23"/>
  <c r="J269" i="23"/>
  <c r="K269" i="23"/>
  <c r="I269" i="23"/>
  <c r="H269" i="23"/>
  <c r="F269" i="23"/>
  <c r="E269" i="23"/>
  <c r="D269" i="23"/>
  <c r="C269" i="23"/>
  <c r="B269" i="23"/>
  <c r="T268" i="23"/>
  <c r="R268" i="23"/>
  <c r="O268" i="23"/>
  <c r="N268" i="23"/>
  <c r="M268" i="23"/>
  <c r="L268" i="23"/>
  <c r="J268" i="23"/>
  <c r="K268" i="23"/>
  <c r="I268" i="23"/>
  <c r="H268" i="23"/>
  <c r="F268" i="23"/>
  <c r="E268" i="23"/>
  <c r="D268" i="23"/>
  <c r="C268" i="23"/>
  <c r="B268" i="23"/>
  <c r="T267" i="23"/>
  <c r="R267" i="23"/>
  <c r="O267" i="23"/>
  <c r="N267" i="23"/>
  <c r="M267" i="23"/>
  <c r="L267" i="23"/>
  <c r="J267" i="23"/>
  <c r="K267" i="23"/>
  <c r="I267" i="23"/>
  <c r="H267" i="23"/>
  <c r="F267" i="23"/>
  <c r="E267" i="23"/>
  <c r="D267" i="23"/>
  <c r="C267" i="23"/>
  <c r="B267" i="23"/>
  <c r="T266" i="23"/>
  <c r="R266" i="23"/>
  <c r="O266" i="23"/>
  <c r="N266" i="23"/>
  <c r="M266" i="23"/>
  <c r="L266" i="23"/>
  <c r="J266" i="23"/>
  <c r="K266" i="23"/>
  <c r="I266" i="23"/>
  <c r="H266" i="23"/>
  <c r="F266" i="23"/>
  <c r="E266" i="23"/>
  <c r="D266" i="23"/>
  <c r="C266" i="23"/>
  <c r="B266" i="23"/>
  <c r="T265" i="23"/>
  <c r="R265" i="23"/>
  <c r="O265" i="23"/>
  <c r="N265" i="23"/>
  <c r="M265" i="23"/>
  <c r="L265" i="23"/>
  <c r="J265" i="23"/>
  <c r="K265" i="23"/>
  <c r="I265" i="23"/>
  <c r="H265" i="23"/>
  <c r="F265" i="23"/>
  <c r="E265" i="23"/>
  <c r="D265" i="23"/>
  <c r="C265" i="23"/>
  <c r="B265" i="23"/>
  <c r="T264" i="23"/>
  <c r="R264" i="23"/>
  <c r="O264" i="23"/>
  <c r="N264" i="23"/>
  <c r="M264" i="23"/>
  <c r="L264" i="23"/>
  <c r="J264" i="23"/>
  <c r="K264" i="23"/>
  <c r="I264" i="23"/>
  <c r="H264" i="23"/>
  <c r="F264" i="23"/>
  <c r="E264" i="23"/>
  <c r="D264" i="23"/>
  <c r="C264" i="23"/>
  <c r="B264" i="23"/>
  <c r="T263" i="23"/>
  <c r="R263" i="23"/>
  <c r="O263" i="23"/>
  <c r="N263" i="23"/>
  <c r="M263" i="23"/>
  <c r="L263" i="23"/>
  <c r="J263" i="23"/>
  <c r="K263" i="23"/>
  <c r="I263" i="23"/>
  <c r="H263" i="23"/>
  <c r="F263" i="23"/>
  <c r="E263" i="23"/>
  <c r="D263" i="23"/>
  <c r="C263" i="23"/>
  <c r="B263" i="23"/>
  <c r="T262" i="23"/>
  <c r="R262" i="23"/>
  <c r="O262" i="23"/>
  <c r="N262" i="23"/>
  <c r="M262" i="23"/>
  <c r="L262" i="23"/>
  <c r="J262" i="23"/>
  <c r="K262" i="23"/>
  <c r="I262" i="23"/>
  <c r="H262" i="23"/>
  <c r="F262" i="23"/>
  <c r="E262" i="23"/>
  <c r="D262" i="23"/>
  <c r="C262" i="23"/>
  <c r="B262" i="23"/>
  <c r="S251" i="23"/>
  <c r="T261" i="23"/>
  <c r="R261" i="23"/>
  <c r="O261" i="23"/>
  <c r="N261" i="23"/>
  <c r="M261" i="23"/>
  <c r="L261" i="23"/>
  <c r="J261" i="23"/>
  <c r="K261" i="23"/>
  <c r="I261" i="23"/>
  <c r="H261" i="23"/>
  <c r="F261" i="23"/>
  <c r="E261" i="23"/>
  <c r="D261" i="23"/>
  <c r="C261" i="23"/>
  <c r="B261" i="23"/>
  <c r="T260" i="23"/>
  <c r="R260" i="23"/>
  <c r="O260" i="23"/>
  <c r="N260" i="23"/>
  <c r="M260" i="23"/>
  <c r="L260" i="23"/>
  <c r="J260" i="23"/>
  <c r="K260" i="23"/>
  <c r="I260" i="23"/>
  <c r="H260" i="23"/>
  <c r="F260" i="23"/>
  <c r="E260" i="23"/>
  <c r="D260" i="23"/>
  <c r="C260" i="23"/>
  <c r="B260" i="23"/>
  <c r="T259" i="23"/>
  <c r="R259" i="23"/>
  <c r="O259" i="23"/>
  <c r="N259" i="23"/>
  <c r="M259" i="23"/>
  <c r="L259" i="23"/>
  <c r="J259" i="23"/>
  <c r="K259" i="23"/>
  <c r="I259" i="23"/>
  <c r="H259" i="23"/>
  <c r="F259" i="23"/>
  <c r="E259" i="23"/>
  <c r="D259" i="23"/>
  <c r="C259" i="23"/>
  <c r="B259" i="23"/>
  <c r="T258" i="23"/>
  <c r="R258" i="23"/>
  <c r="O258" i="23"/>
  <c r="N258" i="23"/>
  <c r="M258" i="23"/>
  <c r="L258" i="23"/>
  <c r="J258" i="23"/>
  <c r="K258" i="23"/>
  <c r="I258" i="23"/>
  <c r="H258" i="23"/>
  <c r="F258" i="23"/>
  <c r="E258" i="23"/>
  <c r="D258" i="23"/>
  <c r="C258" i="23"/>
  <c r="B258" i="23"/>
  <c r="T257" i="23"/>
  <c r="R257" i="23"/>
  <c r="O257" i="23"/>
  <c r="N257" i="23"/>
  <c r="M257" i="23"/>
  <c r="L257" i="23"/>
  <c r="J257" i="23"/>
  <c r="K257" i="23"/>
  <c r="I257" i="23"/>
  <c r="H257" i="23"/>
  <c r="F257" i="23"/>
  <c r="E257" i="23"/>
  <c r="D257" i="23"/>
  <c r="C257" i="23"/>
  <c r="B257" i="23"/>
  <c r="T256" i="23"/>
  <c r="R256" i="23"/>
  <c r="O256" i="23"/>
  <c r="N256" i="23"/>
  <c r="M256" i="23"/>
  <c r="L256" i="23"/>
  <c r="J256" i="23"/>
  <c r="K256" i="23"/>
  <c r="I256" i="23"/>
  <c r="H256" i="23"/>
  <c r="F256" i="23"/>
  <c r="E256" i="23"/>
  <c r="D256" i="23"/>
  <c r="C256" i="23"/>
  <c r="B256" i="23"/>
  <c r="T255" i="23"/>
  <c r="R255" i="23"/>
  <c r="O255" i="23"/>
  <c r="N255" i="23"/>
  <c r="M255" i="23"/>
  <c r="L255" i="23"/>
  <c r="J255" i="23"/>
  <c r="K255" i="23"/>
  <c r="I255" i="23"/>
  <c r="H255" i="23"/>
  <c r="F255" i="23"/>
  <c r="E255" i="23"/>
  <c r="D255" i="23"/>
  <c r="C255" i="23"/>
  <c r="B255" i="23"/>
  <c r="T254" i="23"/>
  <c r="R254" i="23"/>
  <c r="O254" i="23"/>
  <c r="N254" i="23"/>
  <c r="M254" i="23"/>
  <c r="L254" i="23"/>
  <c r="J254" i="23"/>
  <c r="K254" i="23"/>
  <c r="I254" i="23"/>
  <c r="H254" i="23"/>
  <c r="F254" i="23"/>
  <c r="E254" i="23"/>
  <c r="D254" i="23"/>
  <c r="C254" i="23"/>
  <c r="B254" i="23"/>
  <c r="T253" i="23"/>
  <c r="R253" i="23"/>
  <c r="O253" i="23"/>
  <c r="N253" i="23"/>
  <c r="M253" i="23"/>
  <c r="L253" i="23"/>
  <c r="J253" i="23"/>
  <c r="K253" i="23"/>
  <c r="I253" i="23"/>
  <c r="H253" i="23"/>
  <c r="F253" i="23"/>
  <c r="E253" i="23"/>
  <c r="D253" i="23"/>
  <c r="C253" i="23"/>
  <c r="B253" i="23"/>
  <c r="T252" i="23"/>
  <c r="R252" i="23"/>
  <c r="O252" i="23"/>
  <c r="N252" i="23"/>
  <c r="M252" i="23"/>
  <c r="L252" i="23"/>
  <c r="J252" i="23"/>
  <c r="K252" i="23"/>
  <c r="I252" i="23"/>
  <c r="H252" i="23"/>
  <c r="F252" i="23"/>
  <c r="E252" i="23"/>
  <c r="D252" i="23"/>
  <c r="C252" i="23"/>
  <c r="B252" i="23"/>
  <c r="T251" i="23"/>
  <c r="R251" i="23"/>
  <c r="O251" i="23"/>
  <c r="N251" i="23"/>
  <c r="M251" i="23"/>
  <c r="L251" i="23"/>
  <c r="J251" i="23"/>
  <c r="K251" i="23"/>
  <c r="I251" i="23"/>
  <c r="H251" i="23"/>
  <c r="F251" i="23"/>
  <c r="E251" i="23"/>
  <c r="D251" i="23"/>
  <c r="C251" i="23"/>
  <c r="B251" i="23"/>
  <c r="T249" i="23"/>
  <c r="R249" i="23"/>
  <c r="O249" i="23"/>
  <c r="N249" i="23"/>
  <c r="M249" i="23"/>
  <c r="L249" i="23"/>
  <c r="J249" i="23"/>
  <c r="K249" i="23"/>
  <c r="I249" i="23"/>
  <c r="H249" i="23"/>
  <c r="F249" i="23"/>
  <c r="E249" i="23"/>
  <c r="D249" i="23"/>
  <c r="C249" i="23"/>
  <c r="B249" i="23"/>
  <c r="E173" i="33"/>
  <c r="B173" i="33"/>
  <c r="E172" i="33"/>
  <c r="B172" i="33"/>
  <c r="E171" i="33"/>
  <c r="B171" i="33"/>
  <c r="E170" i="33"/>
  <c r="B170" i="33"/>
  <c r="E169" i="33"/>
  <c r="E168" i="33"/>
  <c r="B169" i="33"/>
  <c r="B168" i="33"/>
  <c r="E167" i="33"/>
  <c r="E166" i="33"/>
  <c r="B166" i="33"/>
  <c r="B167" i="33"/>
  <c r="E160" i="33"/>
  <c r="E161" i="33"/>
  <c r="B160" i="33"/>
  <c r="B161" i="33"/>
  <c r="E59" i="33"/>
  <c r="G209" i="23"/>
  <c r="B209" i="23"/>
  <c r="B248" i="23"/>
  <c r="B242" i="23"/>
  <c r="B246" i="23"/>
  <c r="B236" i="23"/>
  <c r="B240" i="23"/>
  <c r="B241" i="23"/>
  <c r="B244" i="23"/>
  <c r="B235" i="23"/>
  <c r="B238" i="23"/>
  <c r="B234" i="23"/>
  <c r="G176" i="23"/>
  <c r="B176" i="23"/>
  <c r="B210" i="23"/>
  <c r="G210" i="23"/>
  <c r="B178" i="23"/>
  <c r="G178" i="23"/>
  <c r="B187" i="23"/>
  <c r="G187" i="23"/>
  <c r="B6" i="23"/>
  <c r="G6" i="23"/>
  <c r="B78" i="23"/>
  <c r="G78" i="23"/>
  <c r="B79" i="23"/>
  <c r="G79" i="23"/>
  <c r="B80" i="23"/>
  <c r="G80" i="23"/>
  <c r="B15" i="23"/>
  <c r="G15" i="23"/>
  <c r="B84" i="23"/>
  <c r="G84" i="23"/>
  <c r="B85" i="23"/>
  <c r="G85" i="23"/>
  <c r="B86" i="23"/>
  <c r="G86" i="23"/>
  <c r="B166" i="23"/>
  <c r="G166" i="23"/>
  <c r="B5" i="23"/>
  <c r="G5" i="23"/>
  <c r="B136" i="23"/>
  <c r="G136" i="23"/>
  <c r="B87" i="23"/>
  <c r="G87" i="23"/>
  <c r="B2" i="23"/>
  <c r="G2" i="23"/>
  <c r="B174" i="23"/>
  <c r="G174" i="23"/>
  <c r="B22" i="23"/>
  <c r="G22" i="23"/>
  <c r="B23" i="23"/>
  <c r="G23" i="23"/>
  <c r="B24" i="23"/>
  <c r="G24" i="23"/>
  <c r="B25" i="23"/>
  <c r="G25" i="23"/>
  <c r="B26" i="23"/>
  <c r="G26" i="23"/>
  <c r="B183" i="23"/>
  <c r="G183" i="23"/>
  <c r="B12" i="23"/>
  <c r="G12" i="23"/>
  <c r="B13" i="23"/>
  <c r="G13" i="23"/>
  <c r="B14" i="23"/>
  <c r="G14" i="23"/>
  <c r="B21" i="23"/>
  <c r="G21" i="23"/>
  <c r="B237" i="23"/>
  <c r="B156" i="23"/>
  <c r="G156" i="23"/>
  <c r="B157" i="23"/>
  <c r="G157" i="23"/>
  <c r="B232" i="23"/>
  <c r="G232" i="23"/>
  <c r="B142" i="23"/>
  <c r="G142" i="23"/>
  <c r="B143" i="23"/>
  <c r="G143" i="23"/>
  <c r="B220" i="23"/>
  <c r="G220" i="23"/>
  <c r="B138" i="23"/>
  <c r="G138" i="23"/>
  <c r="B19" i="23"/>
  <c r="G19" i="23"/>
  <c r="B33" i="23"/>
  <c r="G33" i="23"/>
  <c r="B44" i="23"/>
  <c r="G44" i="23"/>
  <c r="B72" i="23"/>
  <c r="G72" i="23"/>
  <c r="B4" i="23"/>
  <c r="G4" i="23"/>
  <c r="B218" i="23"/>
  <c r="G218" i="23"/>
  <c r="B45" i="23"/>
  <c r="G45" i="23"/>
  <c r="B32" i="23"/>
  <c r="G32" i="23"/>
  <c r="B184" i="23"/>
  <c r="G184" i="23"/>
  <c r="B185" i="23"/>
  <c r="G185" i="23"/>
  <c r="B164" i="23"/>
  <c r="G164" i="23"/>
  <c r="B205" i="23"/>
  <c r="G205" i="23"/>
  <c r="B201" i="23"/>
  <c r="G201" i="23"/>
  <c r="B202" i="23"/>
  <c r="G202" i="23"/>
  <c r="B173" i="23"/>
  <c r="G173" i="23"/>
  <c r="B222" i="23"/>
  <c r="G222" i="23"/>
  <c r="B7" i="23"/>
  <c r="G7" i="23"/>
  <c r="B71" i="23"/>
  <c r="G71" i="23"/>
  <c r="B3" i="23"/>
  <c r="G3" i="23"/>
  <c r="G11" i="23"/>
  <c r="B10" i="23"/>
  <c r="G10" i="23"/>
  <c r="B30" i="23"/>
  <c r="G30" i="23"/>
  <c r="B35" i="23"/>
  <c r="G35" i="23"/>
  <c r="B9" i="23"/>
  <c r="G9" i="23"/>
  <c r="B27" i="23"/>
  <c r="G27" i="23"/>
  <c r="B58" i="23"/>
  <c r="G58" i="23"/>
  <c r="B97" i="23"/>
  <c r="G97" i="23"/>
  <c r="B98" i="23"/>
  <c r="G98" i="23"/>
  <c r="B154" i="23"/>
  <c r="G154" i="23"/>
  <c r="B59" i="23"/>
  <c r="G59" i="23"/>
  <c r="B75" i="23"/>
  <c r="G75" i="23"/>
  <c r="B99" i="23"/>
  <c r="G99" i="23"/>
  <c r="B100" i="23"/>
  <c r="G100" i="23"/>
  <c r="B167" i="23"/>
  <c r="G167" i="23"/>
  <c r="B60" i="23"/>
  <c r="G60" i="23"/>
  <c r="B103" i="23"/>
  <c r="G103" i="23"/>
  <c r="B104" i="23"/>
  <c r="G104" i="23"/>
  <c r="B61" i="23"/>
  <c r="G61" i="23"/>
  <c r="B101" i="23"/>
  <c r="G101" i="23"/>
  <c r="B102" i="23"/>
  <c r="G102" i="23"/>
  <c r="B151" i="23"/>
  <c r="G151" i="23"/>
  <c r="B119" i="23"/>
  <c r="G119" i="23"/>
  <c r="B120" i="23"/>
  <c r="G120" i="23"/>
  <c r="B150" i="23"/>
  <c r="G150" i="23"/>
  <c r="B152" i="23"/>
  <c r="G152" i="23"/>
  <c r="B115" i="23"/>
  <c r="G115" i="23"/>
  <c r="B116" i="23"/>
  <c r="G116" i="23"/>
  <c r="B144" i="23"/>
  <c r="G144" i="23"/>
  <c r="B145" i="23"/>
  <c r="G145" i="23"/>
  <c r="B153" i="23"/>
  <c r="G153" i="23"/>
  <c r="B113" i="23"/>
  <c r="G113" i="23"/>
  <c r="B114" i="23"/>
  <c r="G114" i="23"/>
  <c r="B134" i="23"/>
  <c r="G134" i="23"/>
  <c r="B135" i="23"/>
  <c r="G135" i="23"/>
  <c r="B95" i="23"/>
  <c r="G95" i="23"/>
  <c r="B96" i="23"/>
  <c r="G96" i="23"/>
  <c r="B89" i="23"/>
  <c r="G89" i="23"/>
  <c r="B90" i="23"/>
  <c r="G90" i="23"/>
  <c r="B91" i="23"/>
  <c r="G91" i="23"/>
  <c r="B92" i="23"/>
  <c r="G92" i="23"/>
  <c r="B93" i="23"/>
  <c r="G93" i="23"/>
  <c r="B94" i="23"/>
  <c r="G94" i="23"/>
  <c r="B46" i="23"/>
  <c r="G46" i="23"/>
  <c r="B67" i="23"/>
  <c r="G67" i="23"/>
  <c r="B160" i="23"/>
  <c r="G160" i="23"/>
  <c r="B161" i="23"/>
  <c r="G161" i="23"/>
  <c r="B49" i="23"/>
  <c r="G49" i="23"/>
  <c r="B39" i="23"/>
  <c r="G39" i="23"/>
  <c r="B40" i="23"/>
  <c r="G40" i="23"/>
  <c r="B76" i="23"/>
  <c r="G76" i="23"/>
  <c r="B47" i="23"/>
  <c r="G47" i="23"/>
  <c r="B48" i="23"/>
  <c r="G48" i="23"/>
  <c r="B43" i="23"/>
  <c r="G43" i="23"/>
  <c r="B171" i="23"/>
  <c r="G171" i="23"/>
  <c r="B70" i="23"/>
  <c r="G70" i="23"/>
  <c r="B165" i="23"/>
  <c r="G165" i="23"/>
  <c r="B77" i="23"/>
  <c r="G77" i="23"/>
  <c r="B125" i="23"/>
  <c r="G125" i="23"/>
  <c r="B140" i="23"/>
  <c r="G140" i="23"/>
  <c r="B51" i="23"/>
  <c r="G51" i="23"/>
  <c r="B158" i="23"/>
  <c r="G158" i="23"/>
  <c r="B17" i="23"/>
  <c r="G17" i="23"/>
  <c r="B73" i="23"/>
  <c r="G73" i="23"/>
  <c r="B53" i="23"/>
  <c r="G53" i="23"/>
  <c r="B68" i="23"/>
  <c r="G68" i="23"/>
  <c r="B130" i="23"/>
  <c r="G130" i="23"/>
  <c r="B62" i="23"/>
  <c r="G62" i="23"/>
  <c r="B63" i="23"/>
  <c r="G63" i="23"/>
  <c r="B64" i="23"/>
  <c r="G64" i="23"/>
  <c r="B149" i="23"/>
  <c r="G149" i="23"/>
  <c r="B65" i="23"/>
  <c r="G65" i="23"/>
  <c r="B186" i="23"/>
  <c r="G186" i="23"/>
  <c r="B168" i="23"/>
  <c r="G168" i="23"/>
  <c r="B203" i="23"/>
  <c r="G203" i="23"/>
  <c r="B226" i="23"/>
  <c r="G226" i="23"/>
  <c r="B20" i="23"/>
  <c r="G20" i="23"/>
  <c r="B29" i="23"/>
  <c r="G29" i="23"/>
  <c r="B66" i="23"/>
  <c r="G66" i="23"/>
  <c r="B214" i="23"/>
  <c r="G214" i="23"/>
  <c r="B175" i="23"/>
  <c r="G175" i="23"/>
  <c r="B228" i="23"/>
  <c r="G228" i="23"/>
  <c r="B41" i="23"/>
  <c r="G41" i="23"/>
  <c r="B180" i="23"/>
  <c r="G180" i="23"/>
  <c r="B204" i="23"/>
  <c r="G204" i="23"/>
  <c r="B177" i="23"/>
  <c r="G177" i="23"/>
  <c r="B147" i="23"/>
  <c r="G147" i="23"/>
  <c r="B170" i="23"/>
  <c r="G170" i="23"/>
  <c r="B28" i="23"/>
  <c r="G28" i="23"/>
  <c r="B81" i="23"/>
  <c r="G81" i="23"/>
  <c r="B127" i="23"/>
  <c r="G127" i="23"/>
  <c r="B146" i="23"/>
  <c r="G146" i="23"/>
  <c r="B123" i="23"/>
  <c r="G123" i="23"/>
  <c r="B124" i="23"/>
  <c r="G124" i="23"/>
  <c r="B182" i="23"/>
  <c r="G182" i="23"/>
  <c r="B215" i="23"/>
  <c r="G215" i="23"/>
  <c r="B148" i="23"/>
  <c r="G148" i="23"/>
  <c r="B162" i="23"/>
  <c r="G162" i="23"/>
  <c r="B212" i="23"/>
  <c r="G212" i="23"/>
  <c r="B74" i="23"/>
  <c r="G74" i="23"/>
  <c r="B111" i="23"/>
  <c r="G111" i="23"/>
  <c r="B112" i="23"/>
  <c r="G112" i="23"/>
  <c r="B117" i="23"/>
  <c r="G117" i="23"/>
  <c r="B118" i="23"/>
  <c r="G118" i="23"/>
  <c r="B31" i="23"/>
  <c r="G31" i="23"/>
  <c r="B121" i="23"/>
  <c r="G121" i="23"/>
  <c r="B122" i="23"/>
  <c r="G122" i="23"/>
  <c r="B172" i="23"/>
  <c r="G172" i="23"/>
  <c r="B107" i="23"/>
  <c r="G107" i="23"/>
  <c r="B109" i="23"/>
  <c r="G109" i="23"/>
  <c r="B34" i="23"/>
  <c r="G34" i="23"/>
  <c r="B216" i="23"/>
  <c r="G216" i="23"/>
  <c r="B105" i="23"/>
  <c r="G105" i="23"/>
  <c r="B132" i="23"/>
  <c r="G132" i="23"/>
  <c r="B133" i="23"/>
  <c r="G133" i="23"/>
  <c r="B224" i="23"/>
  <c r="G224" i="23"/>
  <c r="B230" i="23"/>
  <c r="G230" i="23"/>
  <c r="B37" i="23"/>
  <c r="G37" i="23"/>
  <c r="B38" i="23"/>
  <c r="G38" i="23"/>
  <c r="B18" i="23"/>
  <c r="G18" i="23"/>
  <c r="B181" i="23"/>
  <c r="G181" i="23"/>
  <c r="B69" i="23"/>
  <c r="G69" i="23"/>
  <c r="B55" i="23"/>
  <c r="G55" i="23"/>
  <c r="B56" i="23"/>
  <c r="G56" i="23"/>
  <c r="B57" i="23"/>
  <c r="G57" i="23"/>
  <c r="B197" i="23"/>
  <c r="G197" i="23"/>
  <c r="B219" i="23"/>
  <c r="G219" i="23"/>
  <c r="B163" i="23"/>
  <c r="G163" i="23"/>
  <c r="B83" i="23"/>
  <c r="G83" i="23"/>
  <c r="B129" i="23"/>
  <c r="G129" i="23"/>
  <c r="B8" i="23"/>
  <c r="G8" i="23"/>
  <c r="B16" i="23"/>
  <c r="G16" i="23"/>
  <c r="B106" i="23"/>
  <c r="G106" i="23"/>
  <c r="B108" i="23"/>
  <c r="G108" i="23"/>
  <c r="B110" i="23"/>
  <c r="G110" i="23"/>
  <c r="B36" i="23"/>
  <c r="G36" i="23"/>
  <c r="B155" i="23"/>
  <c r="G155" i="23"/>
  <c r="B159" i="23"/>
  <c r="G159" i="23"/>
  <c r="B225" i="23"/>
  <c r="G225" i="23"/>
  <c r="B42" i="23"/>
  <c r="G42" i="23"/>
  <c r="E165" i="33"/>
  <c r="E164" i="33"/>
  <c r="E163" i="33"/>
  <c r="E162" i="33"/>
  <c r="B165" i="33"/>
  <c r="B164" i="33"/>
  <c r="B163" i="33"/>
  <c r="B162" i="33"/>
  <c r="R241" i="23"/>
  <c r="H2" i="23"/>
  <c r="L2" i="23"/>
  <c r="M2" i="23"/>
  <c r="N2" i="23"/>
  <c r="O2" i="23"/>
  <c r="H3" i="23"/>
  <c r="L3" i="23"/>
  <c r="I3" i="23"/>
  <c r="M3" i="23"/>
  <c r="N3" i="23"/>
  <c r="O3" i="23"/>
  <c r="H4" i="23"/>
  <c r="L4" i="23"/>
  <c r="I4" i="23"/>
  <c r="M4" i="23"/>
  <c r="N4" i="23"/>
  <c r="O4" i="23"/>
  <c r="H5" i="23"/>
  <c r="L5" i="23"/>
  <c r="I5" i="23"/>
  <c r="M5" i="23"/>
  <c r="N5" i="23"/>
  <c r="O5" i="23"/>
  <c r="H6" i="23"/>
  <c r="L6" i="23"/>
  <c r="I6" i="23"/>
  <c r="M6" i="23"/>
  <c r="N6" i="23"/>
  <c r="O6" i="23"/>
  <c r="H7" i="23"/>
  <c r="L7" i="23"/>
  <c r="I7" i="23"/>
  <c r="M7" i="23"/>
  <c r="N7" i="23"/>
  <c r="O7" i="23"/>
  <c r="H8" i="23"/>
  <c r="L8" i="23"/>
  <c r="I8" i="23"/>
  <c r="M8" i="23"/>
  <c r="N8" i="23"/>
  <c r="O8" i="23"/>
  <c r="H9" i="23"/>
  <c r="L9" i="23"/>
  <c r="I9" i="23"/>
  <c r="M9" i="23"/>
  <c r="N9" i="23"/>
  <c r="O9" i="23"/>
  <c r="H10" i="23"/>
  <c r="L10" i="23"/>
  <c r="I10" i="23"/>
  <c r="M10" i="23"/>
  <c r="N10" i="23"/>
  <c r="O10" i="23"/>
  <c r="H11" i="23"/>
  <c r="L11" i="23"/>
  <c r="I11" i="23"/>
  <c r="M11" i="23"/>
  <c r="N11" i="23"/>
  <c r="O11" i="23"/>
  <c r="H12" i="23"/>
  <c r="L12" i="23"/>
  <c r="I12" i="23"/>
  <c r="M12" i="23"/>
  <c r="N12" i="23"/>
  <c r="O12" i="23"/>
  <c r="H13" i="23"/>
  <c r="L13" i="23"/>
  <c r="I13" i="23"/>
  <c r="M13" i="23"/>
  <c r="N13" i="23"/>
  <c r="O13" i="23"/>
  <c r="H14" i="23"/>
  <c r="L14" i="23"/>
  <c r="I14" i="23"/>
  <c r="M14" i="23"/>
  <c r="N14" i="23"/>
  <c r="O14" i="23"/>
  <c r="H15" i="23"/>
  <c r="L15" i="23"/>
  <c r="I15" i="23"/>
  <c r="M15" i="23"/>
  <c r="N15" i="23"/>
  <c r="O15" i="23"/>
  <c r="H16" i="23"/>
  <c r="L16" i="23"/>
  <c r="I16" i="23"/>
  <c r="M16" i="23"/>
  <c r="N16" i="23"/>
  <c r="O16" i="23"/>
  <c r="H17" i="23"/>
  <c r="L17" i="23"/>
  <c r="I17" i="23"/>
  <c r="M17" i="23"/>
  <c r="N17" i="23"/>
  <c r="O17" i="23"/>
  <c r="H18" i="23"/>
  <c r="L18" i="23"/>
  <c r="I18" i="23"/>
  <c r="M18" i="23"/>
  <c r="N18" i="23"/>
  <c r="O18" i="23"/>
  <c r="H19" i="23"/>
  <c r="L19" i="23"/>
  <c r="I19" i="23"/>
  <c r="M19" i="23"/>
  <c r="N19" i="23"/>
  <c r="O19" i="23"/>
  <c r="H20" i="23"/>
  <c r="L20" i="23"/>
  <c r="I20" i="23"/>
  <c r="M20" i="23"/>
  <c r="N20" i="23"/>
  <c r="O20" i="23"/>
  <c r="H21" i="23"/>
  <c r="L21" i="23"/>
  <c r="I21" i="23"/>
  <c r="M21" i="23"/>
  <c r="N21" i="23"/>
  <c r="O21" i="23"/>
  <c r="H22" i="23"/>
  <c r="L22" i="23"/>
  <c r="I22" i="23"/>
  <c r="M22" i="23"/>
  <c r="N22" i="23"/>
  <c r="O22" i="23"/>
  <c r="L23" i="23"/>
  <c r="I23" i="23"/>
  <c r="M23" i="23"/>
  <c r="N23" i="23"/>
  <c r="O23" i="23"/>
  <c r="H23" i="23"/>
  <c r="H24" i="23"/>
  <c r="L24" i="23"/>
  <c r="I24" i="23"/>
  <c r="M24" i="23"/>
  <c r="N24" i="23"/>
  <c r="O24" i="23"/>
  <c r="H25" i="23"/>
  <c r="L25" i="23"/>
  <c r="I25" i="23"/>
  <c r="M25" i="23"/>
  <c r="N25" i="23"/>
  <c r="O25" i="23"/>
  <c r="H26" i="23"/>
  <c r="L26" i="23"/>
  <c r="I26" i="23"/>
  <c r="M26" i="23"/>
  <c r="N26" i="23"/>
  <c r="O26" i="23"/>
  <c r="H27" i="23"/>
  <c r="L27" i="23"/>
  <c r="I27" i="23"/>
  <c r="M27" i="23"/>
  <c r="N27" i="23"/>
  <c r="O27" i="23"/>
  <c r="H28" i="23"/>
  <c r="L28" i="23"/>
  <c r="I28" i="23"/>
  <c r="M28" i="23"/>
  <c r="N28" i="23"/>
  <c r="O28" i="23"/>
  <c r="H29" i="23"/>
  <c r="L29" i="23"/>
  <c r="I29" i="23"/>
  <c r="M29" i="23"/>
  <c r="N29" i="23"/>
  <c r="O29" i="23"/>
  <c r="H30" i="23"/>
  <c r="L30" i="23"/>
  <c r="I30" i="23"/>
  <c r="M30" i="23"/>
  <c r="N30" i="23"/>
  <c r="O30" i="23"/>
  <c r="H31" i="23"/>
  <c r="L31" i="23"/>
  <c r="I31" i="23"/>
  <c r="M31" i="23"/>
  <c r="N31" i="23"/>
  <c r="O31" i="23"/>
  <c r="H32" i="23"/>
  <c r="L32" i="23"/>
  <c r="I32" i="23"/>
  <c r="M32" i="23"/>
  <c r="N32" i="23"/>
  <c r="O32" i="23"/>
  <c r="H33" i="23"/>
  <c r="L33" i="23"/>
  <c r="I33" i="23"/>
  <c r="M33" i="23"/>
  <c r="N33" i="23"/>
  <c r="O33" i="23"/>
  <c r="H34" i="23"/>
  <c r="L34" i="23"/>
  <c r="I34" i="23"/>
  <c r="M34" i="23"/>
  <c r="N34" i="23"/>
  <c r="O34" i="23"/>
  <c r="H35" i="23"/>
  <c r="L35" i="23"/>
  <c r="I35" i="23"/>
  <c r="M35" i="23"/>
  <c r="N35" i="23"/>
  <c r="O35" i="23"/>
  <c r="L36" i="23"/>
  <c r="I36" i="23"/>
  <c r="M36" i="23"/>
  <c r="N36" i="23"/>
  <c r="O36" i="23"/>
  <c r="H36" i="23"/>
  <c r="H37" i="23"/>
  <c r="L37" i="23"/>
  <c r="I37" i="23"/>
  <c r="M37" i="23"/>
  <c r="N37" i="23"/>
  <c r="O37" i="23"/>
  <c r="L38" i="23"/>
  <c r="I38" i="23"/>
  <c r="M38" i="23"/>
  <c r="N38" i="23"/>
  <c r="O38" i="23"/>
  <c r="H38" i="23"/>
  <c r="H39" i="23"/>
  <c r="L39" i="23"/>
  <c r="I39" i="23"/>
  <c r="M39" i="23"/>
  <c r="N39" i="23"/>
  <c r="O39" i="23"/>
  <c r="L40" i="23"/>
  <c r="I40" i="23"/>
  <c r="M40" i="23"/>
  <c r="N40" i="23"/>
  <c r="O40" i="23"/>
  <c r="H40" i="23"/>
  <c r="H41" i="23"/>
  <c r="L41" i="23"/>
  <c r="I41" i="23"/>
  <c r="M41" i="23"/>
  <c r="N41" i="23"/>
  <c r="O41" i="23"/>
  <c r="L42" i="23"/>
  <c r="I42" i="23"/>
  <c r="M42" i="23"/>
  <c r="N42" i="23"/>
  <c r="O42" i="23"/>
  <c r="H42" i="23"/>
  <c r="H43" i="23"/>
  <c r="L43" i="23"/>
  <c r="I43" i="23"/>
  <c r="M43" i="23"/>
  <c r="N43" i="23"/>
  <c r="O43" i="23"/>
  <c r="H44" i="23"/>
  <c r="L44" i="23"/>
  <c r="I44" i="23"/>
  <c r="M44" i="23"/>
  <c r="N44" i="23"/>
  <c r="O44" i="23"/>
  <c r="H45" i="23"/>
  <c r="L45" i="23"/>
  <c r="I45" i="23"/>
  <c r="M45" i="23"/>
  <c r="N45" i="23"/>
  <c r="O45" i="23"/>
  <c r="H46" i="23"/>
  <c r="L46" i="23"/>
  <c r="I46" i="23"/>
  <c r="M46" i="23"/>
  <c r="N46" i="23"/>
  <c r="O46" i="23"/>
  <c r="H47" i="23"/>
  <c r="L47" i="23"/>
  <c r="I47" i="23"/>
  <c r="M47" i="23"/>
  <c r="N47" i="23"/>
  <c r="O47" i="23"/>
  <c r="L48" i="23"/>
  <c r="I48" i="23"/>
  <c r="M48" i="23"/>
  <c r="N48" i="23"/>
  <c r="O48" i="23"/>
  <c r="H48" i="23"/>
  <c r="H49" i="23"/>
  <c r="L49" i="23"/>
  <c r="I49" i="23"/>
  <c r="M49" i="23"/>
  <c r="N49" i="23"/>
  <c r="O49" i="23"/>
  <c r="B50" i="23"/>
  <c r="L50" i="23"/>
  <c r="I50" i="23"/>
  <c r="M50" i="23"/>
  <c r="N50" i="23"/>
  <c r="O50" i="23"/>
  <c r="H50" i="23"/>
  <c r="G50" i="23"/>
  <c r="H51" i="23"/>
  <c r="L51" i="23"/>
  <c r="I51" i="23"/>
  <c r="M51" i="23"/>
  <c r="N51" i="23"/>
  <c r="O51" i="23"/>
  <c r="B52" i="23"/>
  <c r="L52" i="23"/>
  <c r="I52" i="23"/>
  <c r="M52" i="23"/>
  <c r="N52" i="23"/>
  <c r="O52" i="23"/>
  <c r="H52" i="23"/>
  <c r="G52" i="23"/>
  <c r="H53" i="23"/>
  <c r="L53" i="23"/>
  <c r="I53" i="23"/>
  <c r="M53" i="23"/>
  <c r="N53" i="23"/>
  <c r="O53" i="23"/>
  <c r="B54" i="23"/>
  <c r="L54" i="23"/>
  <c r="I54" i="23"/>
  <c r="M54" i="23"/>
  <c r="N54" i="23"/>
  <c r="O54" i="23"/>
  <c r="H54" i="23"/>
  <c r="G54" i="23"/>
  <c r="H55" i="23"/>
  <c r="L55" i="23"/>
  <c r="I55" i="23"/>
  <c r="M55" i="23"/>
  <c r="N55" i="23"/>
  <c r="O55" i="23"/>
  <c r="H56" i="23"/>
  <c r="L56" i="23"/>
  <c r="I56" i="23"/>
  <c r="M56" i="23"/>
  <c r="N56" i="23"/>
  <c r="O56" i="23"/>
  <c r="H57" i="23"/>
  <c r="L57" i="23"/>
  <c r="I57" i="23"/>
  <c r="M57" i="23"/>
  <c r="N57" i="23"/>
  <c r="O57" i="23"/>
  <c r="H58" i="23"/>
  <c r="L58" i="23"/>
  <c r="I58" i="23"/>
  <c r="M58" i="23"/>
  <c r="N58" i="23"/>
  <c r="O58" i="23"/>
  <c r="H59" i="23"/>
  <c r="L59" i="23"/>
  <c r="I59" i="23"/>
  <c r="M59" i="23"/>
  <c r="N59" i="23"/>
  <c r="O59" i="23"/>
  <c r="H60" i="23"/>
  <c r="L60" i="23"/>
  <c r="I60" i="23"/>
  <c r="M60" i="23"/>
  <c r="N60" i="23"/>
  <c r="O60" i="23"/>
  <c r="H61" i="23"/>
  <c r="L61" i="23"/>
  <c r="I61" i="23"/>
  <c r="M61" i="23"/>
  <c r="N61" i="23"/>
  <c r="O61" i="23"/>
  <c r="H62" i="23"/>
  <c r="L62" i="23"/>
  <c r="I62" i="23"/>
  <c r="M62" i="23"/>
  <c r="N62" i="23"/>
  <c r="O62" i="23"/>
  <c r="H63" i="23"/>
  <c r="L63" i="23"/>
  <c r="I63" i="23"/>
  <c r="M63" i="23"/>
  <c r="N63" i="23"/>
  <c r="O63" i="23"/>
  <c r="H64" i="23"/>
  <c r="L64" i="23"/>
  <c r="I64" i="23"/>
  <c r="M64" i="23"/>
  <c r="N64" i="23"/>
  <c r="O64" i="23"/>
  <c r="H65" i="23"/>
  <c r="L65" i="23"/>
  <c r="I65" i="23"/>
  <c r="M65" i="23"/>
  <c r="N65" i="23"/>
  <c r="O65" i="23"/>
  <c r="H66" i="23"/>
  <c r="L66" i="23"/>
  <c r="I66" i="23"/>
  <c r="M66" i="23"/>
  <c r="N66" i="23"/>
  <c r="O66" i="23"/>
  <c r="H67" i="23"/>
  <c r="L67" i="23"/>
  <c r="I67" i="23"/>
  <c r="M67" i="23"/>
  <c r="N67" i="23"/>
  <c r="O67" i="23"/>
  <c r="H68" i="23"/>
  <c r="L68" i="23"/>
  <c r="I68" i="23"/>
  <c r="M68" i="23"/>
  <c r="N68" i="23"/>
  <c r="O68" i="23"/>
  <c r="H69" i="23"/>
  <c r="L69" i="23"/>
  <c r="I69" i="23"/>
  <c r="M69" i="23"/>
  <c r="N69" i="23"/>
  <c r="O69" i="23"/>
  <c r="H70" i="23"/>
  <c r="L70" i="23"/>
  <c r="I70" i="23"/>
  <c r="M70" i="23"/>
  <c r="N70" i="23"/>
  <c r="O70" i="23"/>
  <c r="H71" i="23"/>
  <c r="L71" i="23"/>
  <c r="I71" i="23"/>
  <c r="M71" i="23"/>
  <c r="N71" i="23"/>
  <c r="O71" i="23"/>
  <c r="H72" i="23"/>
  <c r="L72" i="23"/>
  <c r="I72" i="23"/>
  <c r="M72" i="23"/>
  <c r="N72" i="23"/>
  <c r="O72" i="23"/>
  <c r="H73" i="23"/>
  <c r="L73" i="23"/>
  <c r="I73" i="23"/>
  <c r="M73" i="23"/>
  <c r="N73" i="23"/>
  <c r="O73" i="23"/>
  <c r="H74" i="23"/>
  <c r="L74" i="23"/>
  <c r="I74" i="23"/>
  <c r="M74" i="23"/>
  <c r="N74" i="23"/>
  <c r="O74" i="23"/>
  <c r="H75" i="23"/>
  <c r="L75" i="23"/>
  <c r="I75" i="23"/>
  <c r="M75" i="23"/>
  <c r="N75" i="23"/>
  <c r="O75" i="23"/>
  <c r="H76" i="23"/>
  <c r="L76" i="23"/>
  <c r="I76" i="23"/>
  <c r="M76" i="23"/>
  <c r="N76" i="23"/>
  <c r="O76" i="23"/>
  <c r="H77" i="23"/>
  <c r="L77" i="23"/>
  <c r="I77" i="23"/>
  <c r="M77" i="23"/>
  <c r="N77" i="23"/>
  <c r="O77" i="23"/>
  <c r="H78" i="23"/>
  <c r="L78" i="23"/>
  <c r="I78" i="23"/>
  <c r="M78" i="23"/>
  <c r="N78" i="23"/>
  <c r="O78" i="23"/>
  <c r="L79" i="23"/>
  <c r="I79" i="23"/>
  <c r="M79" i="23"/>
  <c r="N79" i="23"/>
  <c r="O79" i="23"/>
  <c r="H79" i="23"/>
  <c r="L80" i="23"/>
  <c r="I80" i="23"/>
  <c r="M80" i="23"/>
  <c r="N80" i="23"/>
  <c r="O80" i="23"/>
  <c r="H80" i="23"/>
  <c r="H81" i="23"/>
  <c r="L81" i="23"/>
  <c r="I81" i="23"/>
  <c r="M81" i="23"/>
  <c r="N81" i="23"/>
  <c r="O81" i="23"/>
  <c r="B82" i="23"/>
  <c r="L82" i="23"/>
  <c r="I82" i="23"/>
  <c r="M82" i="23"/>
  <c r="N82" i="23"/>
  <c r="O82" i="23"/>
  <c r="H82" i="23"/>
  <c r="G82" i="23"/>
  <c r="L83" i="23"/>
  <c r="I83" i="23"/>
  <c r="M83" i="23"/>
  <c r="N83" i="23"/>
  <c r="O83" i="23"/>
  <c r="H83" i="23"/>
  <c r="H84" i="23"/>
  <c r="L84" i="23"/>
  <c r="I84" i="23"/>
  <c r="M84" i="23"/>
  <c r="N84" i="23"/>
  <c r="O84" i="23"/>
  <c r="L85" i="23"/>
  <c r="I85" i="23"/>
  <c r="M85" i="23"/>
  <c r="N85" i="23"/>
  <c r="O85" i="23"/>
  <c r="H85" i="23"/>
  <c r="L86" i="23"/>
  <c r="I86" i="23"/>
  <c r="M86" i="23"/>
  <c r="N86" i="23"/>
  <c r="O86" i="23"/>
  <c r="H86" i="23"/>
  <c r="H87" i="23"/>
  <c r="L87" i="23"/>
  <c r="I87" i="23"/>
  <c r="M87" i="23"/>
  <c r="N87" i="23"/>
  <c r="O87" i="23"/>
  <c r="B88" i="23"/>
  <c r="L88" i="23"/>
  <c r="I88" i="23"/>
  <c r="M88" i="23"/>
  <c r="N88" i="23"/>
  <c r="O88" i="23"/>
  <c r="H88" i="23"/>
  <c r="G88" i="23"/>
  <c r="H89" i="23"/>
  <c r="L89" i="23"/>
  <c r="I89" i="23"/>
  <c r="M89" i="23"/>
  <c r="N89" i="23"/>
  <c r="O89" i="23"/>
  <c r="L90" i="23"/>
  <c r="I90" i="23"/>
  <c r="M90" i="23"/>
  <c r="N90" i="23"/>
  <c r="O90" i="23"/>
  <c r="H90" i="23"/>
  <c r="H91" i="23"/>
  <c r="L91" i="23"/>
  <c r="I91" i="23"/>
  <c r="M91" i="23"/>
  <c r="N91" i="23"/>
  <c r="O91" i="23"/>
  <c r="L92" i="23"/>
  <c r="I92" i="23"/>
  <c r="M92" i="23"/>
  <c r="N92" i="23"/>
  <c r="O92" i="23"/>
  <c r="H92" i="23"/>
  <c r="H93" i="23"/>
  <c r="L93" i="23"/>
  <c r="I93" i="23"/>
  <c r="M93" i="23"/>
  <c r="N93" i="23"/>
  <c r="O93" i="23"/>
  <c r="L94" i="23"/>
  <c r="I94" i="23"/>
  <c r="M94" i="23"/>
  <c r="N94" i="23"/>
  <c r="O94" i="23"/>
  <c r="H94" i="23"/>
  <c r="H95" i="23"/>
  <c r="L95" i="23"/>
  <c r="I95" i="23"/>
  <c r="M95" i="23"/>
  <c r="N95" i="23"/>
  <c r="O95" i="23"/>
  <c r="L96" i="23"/>
  <c r="I96" i="23"/>
  <c r="M96" i="23"/>
  <c r="N96" i="23"/>
  <c r="O96" i="23"/>
  <c r="H96" i="23"/>
  <c r="H97" i="23"/>
  <c r="L97" i="23"/>
  <c r="I97" i="23"/>
  <c r="M97" i="23"/>
  <c r="N97" i="23"/>
  <c r="O97" i="23"/>
  <c r="L98" i="23"/>
  <c r="I98" i="23"/>
  <c r="M98" i="23"/>
  <c r="N98" i="23"/>
  <c r="O98" i="23"/>
  <c r="H98" i="23"/>
  <c r="H99" i="23"/>
  <c r="L99" i="23"/>
  <c r="I99" i="23"/>
  <c r="M99" i="23"/>
  <c r="N99" i="23"/>
  <c r="O99" i="23"/>
  <c r="L100" i="23"/>
  <c r="I100" i="23"/>
  <c r="M100" i="23"/>
  <c r="N100" i="23"/>
  <c r="O100" i="23"/>
  <c r="H100" i="23"/>
  <c r="H101" i="23"/>
  <c r="L101" i="23"/>
  <c r="I101" i="23"/>
  <c r="M101" i="23"/>
  <c r="N101" i="23"/>
  <c r="O101" i="23"/>
  <c r="L102" i="23"/>
  <c r="I102" i="23"/>
  <c r="M102" i="23"/>
  <c r="N102" i="23"/>
  <c r="O102" i="23"/>
  <c r="H102" i="23"/>
  <c r="H103" i="23"/>
  <c r="L103" i="23"/>
  <c r="I103" i="23"/>
  <c r="M103" i="23"/>
  <c r="N103" i="23"/>
  <c r="O103" i="23"/>
  <c r="L104" i="23"/>
  <c r="I104" i="23"/>
  <c r="M104" i="23"/>
  <c r="N104" i="23"/>
  <c r="O104" i="23"/>
  <c r="H104" i="23"/>
  <c r="H105" i="23"/>
  <c r="L105" i="23"/>
  <c r="I105" i="23"/>
  <c r="M105" i="23"/>
  <c r="N105" i="23"/>
  <c r="O105" i="23"/>
  <c r="L106" i="23"/>
  <c r="I106" i="23"/>
  <c r="M106" i="23"/>
  <c r="N106" i="23"/>
  <c r="O106" i="23"/>
  <c r="H106" i="23"/>
  <c r="H107" i="23"/>
  <c r="L107" i="23"/>
  <c r="I107" i="23"/>
  <c r="M107" i="23"/>
  <c r="N107" i="23"/>
  <c r="O107" i="23"/>
  <c r="L108" i="23"/>
  <c r="I108" i="23"/>
  <c r="M108" i="23"/>
  <c r="N108" i="23"/>
  <c r="O108" i="23"/>
  <c r="H108" i="23"/>
  <c r="H109" i="23"/>
  <c r="L109" i="23"/>
  <c r="I109" i="23"/>
  <c r="M109" i="23"/>
  <c r="N109" i="23"/>
  <c r="O109" i="23"/>
  <c r="L110" i="23"/>
  <c r="I110" i="23"/>
  <c r="M110" i="23"/>
  <c r="N110" i="23"/>
  <c r="O110" i="23"/>
  <c r="H110" i="23"/>
  <c r="H111" i="23"/>
  <c r="L111" i="23"/>
  <c r="I111" i="23"/>
  <c r="M111" i="23"/>
  <c r="N111" i="23"/>
  <c r="O111" i="23"/>
  <c r="L112" i="23"/>
  <c r="I112" i="23"/>
  <c r="M112" i="23"/>
  <c r="N112" i="23"/>
  <c r="O112" i="23"/>
  <c r="H112" i="23"/>
  <c r="H113" i="23"/>
  <c r="L113" i="23"/>
  <c r="I113" i="23"/>
  <c r="M113" i="23"/>
  <c r="N113" i="23"/>
  <c r="O113" i="23"/>
  <c r="L114" i="23"/>
  <c r="I114" i="23"/>
  <c r="M114" i="23"/>
  <c r="N114" i="23"/>
  <c r="O114" i="23"/>
  <c r="H114" i="23"/>
  <c r="H115" i="23"/>
  <c r="L115" i="23"/>
  <c r="I115" i="23"/>
  <c r="M115" i="23"/>
  <c r="N115" i="23"/>
  <c r="O115" i="23"/>
  <c r="L116" i="23"/>
  <c r="I116" i="23"/>
  <c r="M116" i="23"/>
  <c r="N116" i="23"/>
  <c r="O116" i="23"/>
  <c r="H116" i="23"/>
  <c r="H117" i="23"/>
  <c r="L117" i="23"/>
  <c r="I117" i="23"/>
  <c r="M117" i="23"/>
  <c r="N117" i="23"/>
  <c r="O117" i="23"/>
  <c r="L118" i="23"/>
  <c r="I118" i="23"/>
  <c r="M118" i="23"/>
  <c r="N118" i="23"/>
  <c r="O118" i="23"/>
  <c r="H118" i="23"/>
  <c r="H119" i="23"/>
  <c r="L119" i="23"/>
  <c r="I119" i="23"/>
  <c r="M119" i="23"/>
  <c r="N119" i="23"/>
  <c r="O119" i="23"/>
  <c r="L120" i="23"/>
  <c r="I120" i="23"/>
  <c r="M120" i="23"/>
  <c r="N120" i="23"/>
  <c r="O120" i="23"/>
  <c r="H120" i="23"/>
  <c r="H121" i="23"/>
  <c r="L121" i="23"/>
  <c r="I121" i="23"/>
  <c r="M121" i="23"/>
  <c r="N121" i="23"/>
  <c r="O121" i="23"/>
  <c r="L122" i="23"/>
  <c r="I122" i="23"/>
  <c r="M122" i="23"/>
  <c r="N122" i="23"/>
  <c r="O122" i="23"/>
  <c r="H122" i="23"/>
  <c r="H123" i="23"/>
  <c r="L123" i="23"/>
  <c r="I123" i="23"/>
  <c r="M123" i="23"/>
  <c r="N123" i="23"/>
  <c r="O123" i="23"/>
  <c r="L124" i="23"/>
  <c r="I124" i="23"/>
  <c r="M124" i="23"/>
  <c r="N124" i="23"/>
  <c r="O124" i="23"/>
  <c r="H124" i="23"/>
  <c r="H125" i="23"/>
  <c r="L125" i="23"/>
  <c r="I125" i="23"/>
  <c r="M125" i="23"/>
  <c r="N125" i="23"/>
  <c r="O125" i="23"/>
  <c r="B126" i="23"/>
  <c r="L126" i="23"/>
  <c r="I126" i="23"/>
  <c r="M126" i="23"/>
  <c r="N126" i="23"/>
  <c r="O126" i="23"/>
  <c r="H126" i="23"/>
  <c r="G126" i="23"/>
  <c r="H127" i="23"/>
  <c r="L127" i="23"/>
  <c r="I127" i="23"/>
  <c r="M127" i="23"/>
  <c r="N127" i="23"/>
  <c r="O127" i="23"/>
  <c r="B128" i="23"/>
  <c r="L128" i="23"/>
  <c r="I128" i="23"/>
  <c r="M128" i="23"/>
  <c r="N128" i="23"/>
  <c r="O128" i="23"/>
  <c r="H128" i="23"/>
  <c r="G128" i="23"/>
  <c r="L129" i="23"/>
  <c r="I129" i="23"/>
  <c r="M129" i="23"/>
  <c r="N129" i="23"/>
  <c r="O129" i="23"/>
  <c r="H129" i="23"/>
  <c r="H130" i="23"/>
  <c r="L130" i="23"/>
  <c r="I130" i="23"/>
  <c r="M130" i="23"/>
  <c r="N130" i="23"/>
  <c r="O130" i="23"/>
  <c r="B131" i="23"/>
  <c r="L131" i="23"/>
  <c r="I131" i="23"/>
  <c r="M131" i="23"/>
  <c r="N131" i="23"/>
  <c r="O131" i="23"/>
  <c r="H131" i="23"/>
  <c r="G131" i="23"/>
  <c r="H132" i="23"/>
  <c r="L132" i="23"/>
  <c r="I132" i="23"/>
  <c r="M132" i="23"/>
  <c r="N132" i="23"/>
  <c r="O132" i="23"/>
  <c r="L133" i="23"/>
  <c r="I133" i="23"/>
  <c r="M133" i="23"/>
  <c r="N133" i="23"/>
  <c r="O133" i="23"/>
  <c r="H133" i="23"/>
  <c r="H134" i="23"/>
  <c r="L134" i="23"/>
  <c r="I134" i="23"/>
  <c r="M134" i="23"/>
  <c r="N134" i="23"/>
  <c r="O134" i="23"/>
  <c r="L135" i="23"/>
  <c r="I135" i="23"/>
  <c r="M135" i="23"/>
  <c r="N135" i="23"/>
  <c r="O135" i="23"/>
  <c r="H135" i="23"/>
  <c r="H136" i="23"/>
  <c r="L136" i="23"/>
  <c r="I136" i="23"/>
  <c r="M136" i="23"/>
  <c r="N136" i="23"/>
  <c r="O136" i="23"/>
  <c r="B137" i="23"/>
  <c r="L137" i="23"/>
  <c r="I137" i="23"/>
  <c r="M137" i="23"/>
  <c r="N137" i="23"/>
  <c r="O137" i="23"/>
  <c r="H137" i="23"/>
  <c r="G137" i="23"/>
  <c r="H138" i="23"/>
  <c r="L138" i="23"/>
  <c r="I138" i="23"/>
  <c r="M138" i="23"/>
  <c r="N138" i="23"/>
  <c r="O138" i="23"/>
  <c r="B139" i="23"/>
  <c r="L139" i="23"/>
  <c r="I139" i="23"/>
  <c r="M139" i="23"/>
  <c r="N139" i="23"/>
  <c r="O139" i="23"/>
  <c r="H139" i="23"/>
  <c r="G139" i="23"/>
  <c r="H140" i="23"/>
  <c r="L140" i="23"/>
  <c r="I140" i="23"/>
  <c r="M140" i="23"/>
  <c r="N140" i="23"/>
  <c r="O140" i="23"/>
  <c r="B141" i="23"/>
  <c r="L141" i="23"/>
  <c r="I141" i="23"/>
  <c r="M141" i="23"/>
  <c r="N141" i="23"/>
  <c r="O141" i="23"/>
  <c r="H141" i="23"/>
  <c r="G141" i="23"/>
  <c r="H142" i="23"/>
  <c r="L142" i="23"/>
  <c r="I142" i="23"/>
  <c r="M142" i="23"/>
  <c r="N142" i="23"/>
  <c r="O142" i="23"/>
  <c r="L143" i="23"/>
  <c r="I143" i="23"/>
  <c r="M143" i="23"/>
  <c r="N143" i="23"/>
  <c r="O143" i="23"/>
  <c r="H143" i="23"/>
  <c r="H144" i="23"/>
  <c r="L144" i="23"/>
  <c r="I144" i="23"/>
  <c r="M144" i="23"/>
  <c r="N144" i="23"/>
  <c r="O144" i="23"/>
  <c r="L145" i="23"/>
  <c r="I145" i="23"/>
  <c r="M145" i="23"/>
  <c r="N145" i="23"/>
  <c r="O145" i="23"/>
  <c r="H145" i="23"/>
  <c r="H146" i="23"/>
  <c r="L146" i="23"/>
  <c r="I146" i="23"/>
  <c r="M146" i="23"/>
  <c r="N146" i="23"/>
  <c r="O146" i="23"/>
  <c r="H147" i="23"/>
  <c r="L147" i="23"/>
  <c r="I147" i="23"/>
  <c r="M147" i="23"/>
  <c r="N147" i="23"/>
  <c r="O147" i="23"/>
  <c r="H148" i="23"/>
  <c r="L148" i="23"/>
  <c r="I148" i="23"/>
  <c r="M148" i="23"/>
  <c r="N148" i="23"/>
  <c r="O148" i="23"/>
  <c r="H149" i="23"/>
  <c r="L149" i="23"/>
  <c r="I149" i="23"/>
  <c r="M149" i="23"/>
  <c r="N149" i="23"/>
  <c r="O149" i="23"/>
  <c r="H150" i="23"/>
  <c r="L150" i="23"/>
  <c r="I150" i="23"/>
  <c r="M150" i="23"/>
  <c r="N150" i="23"/>
  <c r="O150" i="23"/>
  <c r="H151" i="23"/>
  <c r="L151" i="23"/>
  <c r="I151" i="23"/>
  <c r="M151" i="23"/>
  <c r="N151" i="23"/>
  <c r="O151" i="23"/>
  <c r="H152" i="23"/>
  <c r="L152" i="23"/>
  <c r="I152" i="23"/>
  <c r="M152" i="23"/>
  <c r="N152" i="23"/>
  <c r="O152" i="23"/>
  <c r="H153" i="23"/>
  <c r="L153" i="23"/>
  <c r="I153" i="23"/>
  <c r="M153" i="23"/>
  <c r="N153" i="23"/>
  <c r="O153" i="23"/>
  <c r="H154" i="23"/>
  <c r="L154" i="23"/>
  <c r="I154" i="23"/>
  <c r="M154" i="23"/>
  <c r="N154" i="23"/>
  <c r="O154" i="23"/>
  <c r="L155" i="23"/>
  <c r="I155" i="23"/>
  <c r="M155" i="23"/>
  <c r="N155" i="23"/>
  <c r="O155" i="23"/>
  <c r="H155" i="23"/>
  <c r="H156" i="23"/>
  <c r="L156" i="23"/>
  <c r="I156" i="23"/>
  <c r="M156" i="23"/>
  <c r="N156" i="23"/>
  <c r="O156" i="23"/>
  <c r="L157" i="23"/>
  <c r="I157" i="23"/>
  <c r="M157" i="23"/>
  <c r="N157" i="23"/>
  <c r="O157" i="23"/>
  <c r="H157" i="23"/>
  <c r="H158" i="23"/>
  <c r="L158" i="23"/>
  <c r="I158" i="23"/>
  <c r="M158" i="23"/>
  <c r="N158" i="23"/>
  <c r="O158" i="23"/>
  <c r="L159" i="23"/>
  <c r="I159" i="23"/>
  <c r="M159" i="23"/>
  <c r="N159" i="23"/>
  <c r="O159" i="23"/>
  <c r="H159" i="23"/>
  <c r="H160" i="23"/>
  <c r="L160" i="23"/>
  <c r="I160" i="23"/>
  <c r="M160" i="23"/>
  <c r="N160" i="23"/>
  <c r="O160" i="23"/>
  <c r="L161" i="23"/>
  <c r="I161" i="23"/>
  <c r="M161" i="23"/>
  <c r="N161" i="23"/>
  <c r="O161" i="23"/>
  <c r="H161" i="23"/>
  <c r="H162" i="23"/>
  <c r="L162" i="23"/>
  <c r="I162" i="23"/>
  <c r="M162" i="23"/>
  <c r="N162" i="23"/>
  <c r="O162" i="23"/>
  <c r="L163" i="23"/>
  <c r="I163" i="23"/>
  <c r="M163" i="23"/>
  <c r="N163" i="23"/>
  <c r="O163" i="23"/>
  <c r="H163" i="23"/>
  <c r="H164" i="23"/>
  <c r="L164" i="23"/>
  <c r="I164" i="23"/>
  <c r="M164" i="23"/>
  <c r="N164" i="23"/>
  <c r="O164" i="23"/>
  <c r="H165" i="23"/>
  <c r="L165" i="23"/>
  <c r="I165" i="23"/>
  <c r="M165" i="23"/>
  <c r="N165" i="23"/>
  <c r="O165" i="23"/>
  <c r="H166" i="23"/>
  <c r="L166" i="23"/>
  <c r="I166" i="23"/>
  <c r="M166" i="23"/>
  <c r="N166" i="23"/>
  <c r="O166" i="23"/>
  <c r="H167" i="23"/>
  <c r="L167" i="23"/>
  <c r="I167" i="23"/>
  <c r="M167" i="23"/>
  <c r="N167" i="23"/>
  <c r="O167" i="23"/>
  <c r="H168" i="23"/>
  <c r="L168" i="23"/>
  <c r="I168" i="23"/>
  <c r="M168" i="23"/>
  <c r="N168" i="23"/>
  <c r="O168" i="23"/>
  <c r="B169" i="23"/>
  <c r="L169" i="23"/>
  <c r="I169" i="23"/>
  <c r="M169" i="23"/>
  <c r="N169" i="23"/>
  <c r="O169" i="23"/>
  <c r="H169" i="23"/>
  <c r="G169" i="23"/>
  <c r="H170" i="23"/>
  <c r="L170" i="23"/>
  <c r="I170" i="23"/>
  <c r="M170" i="23"/>
  <c r="N170" i="23"/>
  <c r="O170" i="23"/>
  <c r="H171" i="23"/>
  <c r="L171" i="23"/>
  <c r="I171" i="23"/>
  <c r="M171" i="23"/>
  <c r="N171" i="23"/>
  <c r="O171" i="23"/>
  <c r="H172" i="23"/>
  <c r="L172" i="23"/>
  <c r="I172" i="23"/>
  <c r="M172" i="23"/>
  <c r="N172" i="23"/>
  <c r="O172" i="23"/>
  <c r="H173" i="23"/>
  <c r="L173" i="23"/>
  <c r="I173" i="23"/>
  <c r="M173" i="23"/>
  <c r="N173" i="23"/>
  <c r="O173" i="23"/>
  <c r="H174" i="23"/>
  <c r="L174" i="23"/>
  <c r="I174" i="23"/>
  <c r="M174" i="23"/>
  <c r="N174" i="23"/>
  <c r="O174" i="23"/>
  <c r="H175" i="23"/>
  <c r="L175" i="23"/>
  <c r="I175" i="23"/>
  <c r="M175" i="23"/>
  <c r="N175" i="23"/>
  <c r="O175" i="23"/>
  <c r="H176" i="23"/>
  <c r="L176" i="23"/>
  <c r="I176" i="23"/>
  <c r="M176" i="23"/>
  <c r="N176" i="23"/>
  <c r="O176" i="23"/>
  <c r="H177" i="23"/>
  <c r="L177" i="23"/>
  <c r="I177" i="23"/>
  <c r="M177" i="23"/>
  <c r="N177" i="23"/>
  <c r="O177" i="23"/>
  <c r="H178" i="23"/>
  <c r="L178" i="23"/>
  <c r="I178" i="23"/>
  <c r="M178" i="23"/>
  <c r="N178" i="23"/>
  <c r="O178" i="23"/>
  <c r="B179" i="23"/>
  <c r="L179" i="23"/>
  <c r="I179" i="23"/>
  <c r="M179" i="23"/>
  <c r="N179" i="23"/>
  <c r="O179" i="23"/>
  <c r="H179" i="23"/>
  <c r="G179" i="23"/>
  <c r="H180" i="23"/>
  <c r="L180" i="23"/>
  <c r="I180" i="23"/>
  <c r="M180" i="23"/>
  <c r="N180" i="23"/>
  <c r="O180" i="23"/>
  <c r="H181" i="23"/>
  <c r="L181" i="23"/>
  <c r="I181" i="23"/>
  <c r="M181" i="23"/>
  <c r="N181" i="23"/>
  <c r="O181" i="23"/>
  <c r="H182" i="23"/>
  <c r="L182" i="23"/>
  <c r="I182" i="23"/>
  <c r="M182" i="23"/>
  <c r="N182" i="23"/>
  <c r="O182" i="23"/>
  <c r="H183" i="23"/>
  <c r="L183" i="23"/>
  <c r="I183" i="23"/>
  <c r="M183" i="23"/>
  <c r="N183" i="23"/>
  <c r="O183" i="23"/>
  <c r="H184" i="23"/>
  <c r="L184" i="23"/>
  <c r="I184" i="23"/>
  <c r="M184" i="23"/>
  <c r="N184" i="23"/>
  <c r="O184" i="23"/>
  <c r="L185" i="23"/>
  <c r="I185" i="23"/>
  <c r="M185" i="23"/>
  <c r="N185" i="23"/>
  <c r="O185" i="23"/>
  <c r="H185" i="23"/>
  <c r="H186" i="23"/>
  <c r="L186" i="23"/>
  <c r="I186" i="23"/>
  <c r="M186" i="23"/>
  <c r="N186" i="23"/>
  <c r="O186" i="23"/>
  <c r="H187" i="23"/>
  <c r="L187" i="23"/>
  <c r="I187" i="23"/>
  <c r="M187" i="23"/>
  <c r="N187" i="23"/>
  <c r="O187" i="23"/>
  <c r="B188" i="23"/>
  <c r="H188" i="23"/>
  <c r="G188" i="23"/>
  <c r="L188" i="23"/>
  <c r="I188" i="23"/>
  <c r="M188" i="23"/>
  <c r="N188" i="23"/>
  <c r="O188" i="23"/>
  <c r="H197" i="23"/>
  <c r="L197" i="23"/>
  <c r="I197" i="23"/>
  <c r="M197" i="23"/>
  <c r="N197" i="23"/>
  <c r="O197" i="23"/>
  <c r="B198" i="23"/>
  <c r="H198" i="23"/>
  <c r="G198" i="23"/>
  <c r="L198" i="23"/>
  <c r="I198" i="23"/>
  <c r="M198" i="23"/>
  <c r="N198" i="23"/>
  <c r="O198" i="23"/>
  <c r="B199" i="23"/>
  <c r="H199" i="23"/>
  <c r="G199" i="23"/>
  <c r="L199" i="23"/>
  <c r="I199" i="23"/>
  <c r="M199" i="23"/>
  <c r="N199" i="23"/>
  <c r="O199" i="23"/>
  <c r="B200" i="23"/>
  <c r="H200" i="23"/>
  <c r="G200" i="23"/>
  <c r="L200" i="23"/>
  <c r="I200" i="23"/>
  <c r="M200" i="23"/>
  <c r="N200" i="23"/>
  <c r="O200" i="23"/>
  <c r="H201" i="23"/>
  <c r="L201" i="23"/>
  <c r="I201" i="23"/>
  <c r="M201" i="23"/>
  <c r="N201" i="23"/>
  <c r="O201" i="23"/>
  <c r="H202" i="23"/>
  <c r="L202" i="23"/>
  <c r="I202" i="23"/>
  <c r="M202" i="23"/>
  <c r="N202" i="23"/>
  <c r="O202" i="23"/>
  <c r="H203" i="23"/>
  <c r="L203" i="23"/>
  <c r="I203" i="23"/>
  <c r="M203" i="23"/>
  <c r="N203" i="23"/>
  <c r="O203" i="23"/>
  <c r="H204" i="23"/>
  <c r="L204" i="23"/>
  <c r="I204" i="23"/>
  <c r="M204" i="23"/>
  <c r="N204" i="23"/>
  <c r="O204" i="23"/>
  <c r="H205" i="23"/>
  <c r="L205" i="23"/>
  <c r="I205" i="23"/>
  <c r="M205" i="23"/>
  <c r="N205" i="23"/>
  <c r="O205" i="23"/>
  <c r="B206" i="23"/>
  <c r="H206" i="23"/>
  <c r="G206" i="23"/>
  <c r="L206" i="23"/>
  <c r="I206" i="23"/>
  <c r="M206" i="23"/>
  <c r="N206" i="23"/>
  <c r="O206" i="23"/>
  <c r="B207" i="23"/>
  <c r="H207" i="23"/>
  <c r="G207" i="23"/>
  <c r="L207" i="23"/>
  <c r="I207" i="23"/>
  <c r="M207" i="23"/>
  <c r="N207" i="23"/>
  <c r="O207" i="23"/>
  <c r="B208" i="23"/>
  <c r="H208" i="23"/>
  <c r="G208" i="23"/>
  <c r="L208" i="23"/>
  <c r="I208" i="23"/>
  <c r="M208" i="23"/>
  <c r="N208" i="23"/>
  <c r="O208" i="23"/>
  <c r="H209" i="23"/>
  <c r="L209" i="23"/>
  <c r="I209" i="23"/>
  <c r="M209" i="23"/>
  <c r="N209" i="23"/>
  <c r="O209" i="23"/>
  <c r="H210" i="23"/>
  <c r="L210" i="23"/>
  <c r="I210" i="23"/>
  <c r="M210" i="23"/>
  <c r="N210" i="23"/>
  <c r="O210" i="23"/>
  <c r="B211" i="23"/>
  <c r="L211" i="23"/>
  <c r="I211" i="23"/>
  <c r="M211" i="23"/>
  <c r="N211" i="23"/>
  <c r="O211" i="23"/>
  <c r="H211" i="23"/>
  <c r="G211" i="23"/>
  <c r="H212" i="23"/>
  <c r="L212" i="23"/>
  <c r="I212" i="23"/>
  <c r="M212" i="23"/>
  <c r="N212" i="23"/>
  <c r="O212" i="23"/>
  <c r="B213" i="23"/>
  <c r="L213" i="23"/>
  <c r="I213" i="23"/>
  <c r="M213" i="23"/>
  <c r="N213" i="23"/>
  <c r="O213" i="23"/>
  <c r="H213" i="23"/>
  <c r="G213" i="23"/>
  <c r="H214" i="23"/>
  <c r="L214" i="23"/>
  <c r="I214" i="23"/>
  <c r="M214" i="23"/>
  <c r="N214" i="23"/>
  <c r="O214" i="23"/>
  <c r="H215" i="23"/>
  <c r="L215" i="23"/>
  <c r="I215" i="23"/>
  <c r="M215" i="23"/>
  <c r="N215" i="23"/>
  <c r="O215" i="23"/>
  <c r="H216" i="23"/>
  <c r="L216" i="23"/>
  <c r="I216" i="23"/>
  <c r="M216" i="23"/>
  <c r="N216" i="23"/>
  <c r="O216" i="23"/>
  <c r="B217" i="23"/>
  <c r="L217" i="23"/>
  <c r="I217" i="23"/>
  <c r="M217" i="23"/>
  <c r="N217" i="23"/>
  <c r="O217" i="23"/>
  <c r="H217" i="23"/>
  <c r="G217" i="23"/>
  <c r="H218" i="23"/>
  <c r="L218" i="23"/>
  <c r="I218" i="23"/>
  <c r="M218" i="23"/>
  <c r="N218" i="23"/>
  <c r="O218" i="23"/>
  <c r="L219" i="23"/>
  <c r="I219" i="23"/>
  <c r="M219" i="23"/>
  <c r="N219" i="23"/>
  <c r="O219" i="23"/>
  <c r="H219" i="23"/>
  <c r="H220" i="23"/>
  <c r="L220" i="23"/>
  <c r="I220" i="23"/>
  <c r="M220" i="23"/>
  <c r="N220" i="23"/>
  <c r="O220" i="23"/>
  <c r="B221" i="23"/>
  <c r="L221" i="23"/>
  <c r="I221" i="23"/>
  <c r="M221" i="23"/>
  <c r="N221" i="23"/>
  <c r="O221" i="23"/>
  <c r="H221" i="23"/>
  <c r="G221" i="23"/>
  <c r="H222" i="23"/>
  <c r="L222" i="23"/>
  <c r="I222" i="23"/>
  <c r="M222" i="23"/>
  <c r="N222" i="23"/>
  <c r="O222" i="23"/>
  <c r="B223" i="23"/>
  <c r="L223" i="23"/>
  <c r="I223" i="23"/>
  <c r="M223" i="23"/>
  <c r="N223" i="23"/>
  <c r="O223" i="23"/>
  <c r="H223" i="23"/>
  <c r="G223" i="23"/>
  <c r="H224" i="23"/>
  <c r="L224" i="23"/>
  <c r="I224" i="23"/>
  <c r="M224" i="23"/>
  <c r="N224" i="23"/>
  <c r="O224" i="23"/>
  <c r="L225" i="23"/>
  <c r="I225" i="23"/>
  <c r="M225" i="23"/>
  <c r="N225" i="23"/>
  <c r="O225" i="23"/>
  <c r="H225" i="23"/>
  <c r="H226" i="23"/>
  <c r="L226" i="23"/>
  <c r="I226" i="23"/>
  <c r="M226" i="23"/>
  <c r="N226" i="23"/>
  <c r="O226" i="23"/>
  <c r="B227" i="23"/>
  <c r="L227" i="23"/>
  <c r="I227" i="23"/>
  <c r="M227" i="23"/>
  <c r="N227" i="23"/>
  <c r="O227" i="23"/>
  <c r="H227" i="23"/>
  <c r="G227" i="23"/>
  <c r="H228" i="23"/>
  <c r="L228" i="23"/>
  <c r="I228" i="23"/>
  <c r="M228" i="23"/>
  <c r="N228" i="23"/>
  <c r="O228" i="23"/>
  <c r="B229" i="23"/>
  <c r="L229" i="23"/>
  <c r="I229" i="23"/>
  <c r="M229" i="23"/>
  <c r="N229" i="23"/>
  <c r="O229" i="23"/>
  <c r="H229" i="23"/>
  <c r="G229" i="23"/>
  <c r="H230" i="23"/>
  <c r="L230" i="23"/>
  <c r="I230" i="23"/>
  <c r="M230" i="23"/>
  <c r="N230" i="23"/>
  <c r="O230" i="23"/>
  <c r="B231" i="23"/>
  <c r="L231" i="23"/>
  <c r="I231" i="23"/>
  <c r="M231" i="23"/>
  <c r="N231" i="23"/>
  <c r="O231" i="23"/>
  <c r="H231" i="23"/>
  <c r="G231" i="23"/>
  <c r="H232" i="23"/>
  <c r="L232" i="23"/>
  <c r="I232" i="23"/>
  <c r="M232" i="23"/>
  <c r="N232" i="23"/>
  <c r="O232" i="23"/>
  <c r="H234" i="23"/>
  <c r="L234" i="23"/>
  <c r="I234" i="23"/>
  <c r="M234" i="23"/>
  <c r="N234" i="23"/>
  <c r="O234" i="23"/>
  <c r="H235" i="23"/>
  <c r="L235" i="23"/>
  <c r="I235" i="23"/>
  <c r="M235" i="23"/>
  <c r="N235" i="23"/>
  <c r="O235" i="23"/>
  <c r="H236" i="23"/>
  <c r="L236" i="23"/>
  <c r="I236" i="23"/>
  <c r="M236" i="23"/>
  <c r="N236" i="23"/>
  <c r="O236" i="23"/>
  <c r="H237" i="23"/>
  <c r="L237" i="23"/>
  <c r="I237" i="23"/>
  <c r="M237" i="23"/>
  <c r="N237" i="23"/>
  <c r="O237" i="23"/>
  <c r="H238" i="23"/>
  <c r="L238" i="23"/>
  <c r="I238" i="23"/>
  <c r="M238" i="23"/>
  <c r="N238" i="23"/>
  <c r="O238" i="23"/>
  <c r="B239" i="23"/>
  <c r="L239" i="23"/>
  <c r="I239" i="23"/>
  <c r="M239" i="23"/>
  <c r="N239" i="23"/>
  <c r="O239" i="23"/>
  <c r="H239" i="23"/>
  <c r="H240" i="23"/>
  <c r="L240" i="23"/>
  <c r="I240" i="23"/>
  <c r="M240" i="23"/>
  <c r="N240" i="23"/>
  <c r="O240" i="23"/>
  <c r="L241" i="23"/>
  <c r="I241" i="23"/>
  <c r="M241" i="23"/>
  <c r="N241" i="23"/>
  <c r="O241" i="23"/>
  <c r="H241" i="23"/>
  <c r="H242" i="23"/>
  <c r="L242" i="23"/>
  <c r="I242" i="23"/>
  <c r="M242" i="23"/>
  <c r="N242" i="23"/>
  <c r="O242" i="23"/>
  <c r="B243" i="23"/>
  <c r="L243" i="23"/>
  <c r="I243" i="23"/>
  <c r="M243" i="23"/>
  <c r="N243" i="23"/>
  <c r="O243" i="23"/>
  <c r="H243" i="23"/>
  <c r="H244" i="23"/>
  <c r="L244" i="23"/>
  <c r="I244" i="23"/>
  <c r="M244" i="23"/>
  <c r="N244" i="23"/>
  <c r="O244" i="23"/>
  <c r="B245" i="23"/>
  <c r="L245" i="23"/>
  <c r="I245" i="23"/>
  <c r="M245" i="23"/>
  <c r="N245" i="23"/>
  <c r="O245" i="23"/>
  <c r="H245" i="23"/>
  <c r="H246" i="23"/>
  <c r="L246" i="23"/>
  <c r="I246" i="23"/>
  <c r="M246" i="23"/>
  <c r="N246" i="23"/>
  <c r="O246" i="23"/>
  <c r="B247" i="23"/>
  <c r="L247" i="23"/>
  <c r="I247" i="23"/>
  <c r="M247" i="23"/>
  <c r="N247" i="23"/>
  <c r="O247" i="23"/>
  <c r="H247" i="23"/>
  <c r="H248" i="23"/>
  <c r="L248" i="23"/>
  <c r="I248" i="23"/>
  <c r="M248" i="23"/>
  <c r="N248" i="23"/>
  <c r="O248" i="23"/>
  <c r="B250" i="23"/>
  <c r="H250" i="23"/>
  <c r="L250" i="23"/>
  <c r="I250" i="23"/>
  <c r="M250" i="23"/>
  <c r="N250" i="23"/>
  <c r="O250" i="23"/>
  <c r="B233" i="23"/>
  <c r="H233" i="23"/>
  <c r="L233" i="23"/>
  <c r="I233" i="23"/>
  <c r="M233" i="23"/>
  <c r="N233" i="23"/>
  <c r="O233" i="23"/>
  <c r="B301" i="23"/>
  <c r="H301" i="23"/>
  <c r="L301" i="23"/>
  <c r="I301" i="23"/>
  <c r="M301" i="23"/>
  <c r="N301" i="23"/>
  <c r="O301" i="23"/>
  <c r="R211" i="23"/>
  <c r="R239" i="23"/>
  <c r="R179" i="23"/>
  <c r="B3" i="52"/>
  <c r="B4" i="52"/>
  <c r="B5" i="52"/>
  <c r="B6" i="52"/>
  <c r="B7" i="52"/>
  <c r="B8" i="52"/>
  <c r="B9" i="52"/>
  <c r="B10" i="52"/>
  <c r="B11" i="52"/>
  <c r="B12" i="52"/>
  <c r="B13" i="52"/>
  <c r="B14" i="52"/>
  <c r="B15" i="52"/>
  <c r="B16" i="52"/>
  <c r="B17" i="52"/>
  <c r="B18" i="52"/>
  <c r="B19" i="52"/>
  <c r="B2" i="52"/>
  <c r="E159" i="33"/>
  <c r="E158" i="33"/>
  <c r="E157" i="33"/>
  <c r="E156" i="33"/>
  <c r="B159" i="33"/>
  <c r="B158" i="33"/>
  <c r="B157" i="33"/>
  <c r="B156" i="33"/>
  <c r="E153" i="33"/>
  <c r="E154" i="33"/>
  <c r="E155" i="33"/>
  <c r="B153" i="33"/>
  <c r="B154" i="33"/>
  <c r="B155" i="33"/>
  <c r="E150" i="33"/>
  <c r="E151" i="33"/>
  <c r="E152" i="33"/>
  <c r="B150" i="33"/>
  <c r="B151" i="33"/>
  <c r="B152" i="33"/>
  <c r="U57" i="23"/>
  <c r="U56" i="23"/>
  <c r="U55" i="23"/>
  <c r="T301" i="23"/>
  <c r="R301" i="23"/>
  <c r="J301" i="23"/>
  <c r="K301" i="23"/>
  <c r="F301" i="23"/>
  <c r="E301" i="23"/>
  <c r="D301" i="23"/>
  <c r="C301" i="23"/>
  <c r="E149" i="33"/>
  <c r="B149" i="33"/>
  <c r="E148" i="33"/>
  <c r="B148" i="33"/>
  <c r="E147" i="33"/>
  <c r="B147" i="33"/>
  <c r="E146" i="33"/>
  <c r="B146" i="33"/>
  <c r="E145" i="33"/>
  <c r="B145" i="33"/>
  <c r="E144" i="33"/>
  <c r="B144" i="33"/>
  <c r="E143" i="33"/>
  <c r="B143" i="33"/>
  <c r="E142" i="33"/>
  <c r="B142" i="33"/>
  <c r="E141" i="33"/>
  <c r="B141" i="33"/>
  <c r="E140" i="33"/>
  <c r="B140" i="33"/>
  <c r="E139" i="33"/>
  <c r="B139" i="33"/>
  <c r="E138" i="33"/>
  <c r="B138" i="33"/>
  <c r="E137" i="33"/>
  <c r="B137" i="33"/>
  <c r="E136" i="33"/>
  <c r="B136" i="33"/>
  <c r="E24" i="33"/>
  <c r="B25" i="33"/>
  <c r="B24" i="33"/>
  <c r="B23" i="33"/>
  <c r="B22" i="33"/>
  <c r="E25" i="33"/>
  <c r="E23" i="33"/>
  <c r="E22" i="33"/>
  <c r="B134" i="33"/>
  <c r="E134" i="33"/>
  <c r="B135" i="33"/>
  <c r="E135" i="33"/>
  <c r="E133" i="33"/>
  <c r="B133" i="33"/>
  <c r="E132" i="33"/>
  <c r="B132" i="33"/>
  <c r="B130" i="33"/>
  <c r="E130" i="33"/>
  <c r="B131" i="33"/>
  <c r="E131" i="33"/>
  <c r="E36" i="33"/>
  <c r="B36" i="33"/>
  <c r="E32" i="33"/>
  <c r="E33" i="33"/>
  <c r="E34" i="33"/>
  <c r="E35" i="33"/>
  <c r="E37" i="33"/>
  <c r="E38" i="33"/>
  <c r="E39" i="33"/>
  <c r="E40" i="33"/>
  <c r="B34" i="33"/>
  <c r="B32" i="33"/>
  <c r="B30" i="33"/>
  <c r="E30" i="33"/>
  <c r="S233" i="23"/>
  <c r="T233" i="23"/>
  <c r="R233" i="23"/>
  <c r="J233" i="23"/>
  <c r="K233" i="23"/>
  <c r="F233" i="23"/>
  <c r="E233" i="23"/>
  <c r="D233" i="23"/>
  <c r="C233" i="23"/>
  <c r="E129" i="33"/>
  <c r="B129" i="33"/>
  <c r="E128" i="33"/>
  <c r="B128" i="33"/>
  <c r="E127" i="33"/>
  <c r="B127" i="33"/>
  <c r="E126" i="33"/>
  <c r="B126" i="33"/>
  <c r="E125" i="33"/>
  <c r="B125" i="33"/>
  <c r="E124" i="33"/>
  <c r="B124" i="33"/>
  <c r="C250" i="23"/>
  <c r="D250" i="23"/>
  <c r="E250" i="23"/>
  <c r="F250" i="23"/>
  <c r="J250" i="23"/>
  <c r="K250" i="23"/>
  <c r="R250" i="23"/>
  <c r="R23" i="23"/>
  <c r="E123" i="33"/>
  <c r="B123" i="33"/>
  <c r="E122" i="33"/>
  <c r="B122" i="33"/>
  <c r="E121" i="33"/>
  <c r="B121" i="33"/>
  <c r="E120" i="33"/>
  <c r="B120" i="33"/>
  <c r="E119" i="33"/>
  <c r="B119" i="33"/>
  <c r="E118" i="33"/>
  <c r="B118" i="33"/>
  <c r="B117" i="33"/>
  <c r="E117" i="33"/>
  <c r="B108" i="33"/>
  <c r="E108" i="33"/>
  <c r="B109" i="33"/>
  <c r="E109" i="33"/>
  <c r="B110" i="33"/>
  <c r="E110" i="33"/>
  <c r="B111" i="33"/>
  <c r="E111" i="33"/>
  <c r="B112" i="33"/>
  <c r="E112" i="33"/>
  <c r="B113" i="33"/>
  <c r="E113" i="33"/>
  <c r="B114" i="33"/>
  <c r="E114" i="33"/>
  <c r="B115" i="33"/>
  <c r="E115" i="33"/>
  <c r="B116" i="33"/>
  <c r="E116" i="33"/>
  <c r="B106" i="33"/>
  <c r="E106" i="33"/>
  <c r="B107" i="33"/>
  <c r="E107" i="33"/>
  <c r="B103" i="33"/>
  <c r="E103" i="33"/>
  <c r="B104" i="33"/>
  <c r="E104" i="33"/>
  <c r="B105" i="33"/>
  <c r="E105" i="33"/>
  <c r="B71" i="33"/>
  <c r="E71" i="33"/>
  <c r="B72" i="33"/>
  <c r="E72" i="33"/>
  <c r="B73" i="33"/>
  <c r="E73" i="33"/>
  <c r="B74" i="33"/>
  <c r="E74" i="33"/>
  <c r="B75" i="33"/>
  <c r="E75" i="33"/>
  <c r="B76" i="33"/>
  <c r="E76" i="33"/>
  <c r="B77" i="33"/>
  <c r="E77" i="33"/>
  <c r="B78" i="33"/>
  <c r="E78" i="33"/>
  <c r="B79" i="33"/>
  <c r="E79" i="33"/>
  <c r="B80" i="33"/>
  <c r="E80" i="33"/>
  <c r="B81" i="33"/>
  <c r="E81" i="33"/>
  <c r="B82" i="33"/>
  <c r="E82" i="33"/>
  <c r="B83" i="33"/>
  <c r="E83" i="33"/>
  <c r="B84" i="33"/>
  <c r="E84" i="33"/>
  <c r="B85" i="33"/>
  <c r="E85" i="33"/>
  <c r="B86" i="33"/>
  <c r="E86" i="33"/>
  <c r="B87" i="33"/>
  <c r="E87" i="33"/>
  <c r="B88" i="33"/>
  <c r="E88" i="33"/>
  <c r="B89" i="33"/>
  <c r="E89" i="33"/>
  <c r="B90" i="33"/>
  <c r="E90" i="33"/>
  <c r="B91" i="33"/>
  <c r="E91" i="33"/>
  <c r="B92" i="33"/>
  <c r="E92" i="33"/>
  <c r="B93" i="33"/>
  <c r="E93" i="33"/>
  <c r="B94" i="33"/>
  <c r="E94" i="33"/>
  <c r="B95" i="33"/>
  <c r="E95" i="33"/>
  <c r="B96" i="33"/>
  <c r="E96" i="33"/>
  <c r="B97" i="33"/>
  <c r="E97" i="33"/>
  <c r="B98" i="33"/>
  <c r="E98" i="33"/>
  <c r="B99" i="33"/>
  <c r="E99" i="33"/>
  <c r="B100" i="33"/>
  <c r="E100" i="33"/>
  <c r="B101" i="33"/>
  <c r="E101" i="33"/>
  <c r="B102" i="33"/>
  <c r="E102" i="33"/>
  <c r="B67" i="33"/>
  <c r="E67" i="33"/>
  <c r="B68" i="33"/>
  <c r="E68" i="33"/>
  <c r="B69" i="33"/>
  <c r="E69" i="33"/>
  <c r="B70" i="33"/>
  <c r="E70" i="33"/>
  <c r="E3" i="33"/>
  <c r="E4" i="33"/>
  <c r="E5" i="33"/>
  <c r="E6" i="33"/>
  <c r="E7" i="33"/>
  <c r="E8" i="33"/>
  <c r="E9" i="33"/>
  <c r="E10" i="33"/>
  <c r="E11" i="33"/>
  <c r="E12" i="33"/>
  <c r="E13" i="33"/>
  <c r="E14" i="33"/>
  <c r="E15" i="33"/>
  <c r="E16" i="33"/>
  <c r="E17" i="33"/>
  <c r="E18" i="33"/>
  <c r="E19" i="33"/>
  <c r="E20" i="33"/>
  <c r="E21" i="33"/>
  <c r="E26" i="33"/>
  <c r="E27" i="33"/>
  <c r="E28" i="33"/>
  <c r="E29" i="33"/>
  <c r="E31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60" i="33"/>
  <c r="E61" i="33"/>
  <c r="E62" i="33"/>
  <c r="E63" i="33"/>
  <c r="E64" i="33"/>
  <c r="E65" i="33"/>
  <c r="E66" i="33"/>
  <c r="E2" i="33"/>
  <c r="B62" i="33"/>
  <c r="B63" i="33"/>
  <c r="B64" i="33"/>
  <c r="B66" i="33"/>
  <c r="B61" i="33"/>
  <c r="B65" i="33"/>
  <c r="B60" i="33"/>
  <c r="B56" i="33"/>
  <c r="B57" i="33"/>
  <c r="B58" i="33"/>
  <c r="B59" i="33"/>
  <c r="C2" i="23"/>
  <c r="D2" i="23"/>
  <c r="E2" i="23"/>
  <c r="F2" i="23"/>
  <c r="J2" i="23"/>
  <c r="K2" i="23"/>
  <c r="R2" i="23"/>
  <c r="S2" i="23"/>
  <c r="T2" i="23"/>
  <c r="U2" i="23"/>
  <c r="C3" i="23"/>
  <c r="D3" i="23"/>
  <c r="E3" i="23"/>
  <c r="F3" i="23"/>
  <c r="J3" i="23"/>
  <c r="K3" i="23"/>
  <c r="R3" i="23"/>
  <c r="S3" i="23"/>
  <c r="T3" i="23"/>
  <c r="U3" i="23"/>
  <c r="C4" i="23"/>
  <c r="D4" i="23"/>
  <c r="E4" i="23"/>
  <c r="F4" i="23"/>
  <c r="J4" i="23"/>
  <c r="K4" i="23"/>
  <c r="R4" i="23"/>
  <c r="S4" i="23"/>
  <c r="T4" i="23"/>
  <c r="U4" i="23"/>
  <c r="C5" i="23"/>
  <c r="D5" i="23"/>
  <c r="E5" i="23"/>
  <c r="F5" i="23"/>
  <c r="J5" i="23"/>
  <c r="K5" i="23"/>
  <c r="R5" i="23"/>
  <c r="S5" i="23"/>
  <c r="T5" i="23"/>
  <c r="U5" i="23"/>
  <c r="C6" i="23"/>
  <c r="D6" i="23"/>
  <c r="E6" i="23"/>
  <c r="F6" i="23"/>
  <c r="J6" i="23"/>
  <c r="K6" i="23"/>
  <c r="R6" i="23"/>
  <c r="S6" i="23"/>
  <c r="T6" i="23"/>
  <c r="U6" i="23"/>
  <c r="C7" i="23"/>
  <c r="D7" i="23"/>
  <c r="E7" i="23"/>
  <c r="F7" i="23"/>
  <c r="J7" i="23"/>
  <c r="K7" i="23"/>
  <c r="R7" i="23"/>
  <c r="S7" i="23"/>
  <c r="T7" i="23"/>
  <c r="U7" i="23"/>
  <c r="C8" i="23"/>
  <c r="D8" i="23"/>
  <c r="E8" i="23"/>
  <c r="F8" i="23"/>
  <c r="J8" i="23"/>
  <c r="K8" i="23"/>
  <c r="R8" i="23"/>
  <c r="S8" i="23"/>
  <c r="T8" i="23"/>
  <c r="U8" i="23"/>
  <c r="C9" i="23"/>
  <c r="D9" i="23"/>
  <c r="E9" i="23"/>
  <c r="F9" i="23"/>
  <c r="J9" i="23"/>
  <c r="K9" i="23"/>
  <c r="R9" i="23"/>
  <c r="S9" i="23"/>
  <c r="T9" i="23"/>
  <c r="U9" i="23"/>
  <c r="C10" i="23"/>
  <c r="D10" i="23"/>
  <c r="E10" i="23"/>
  <c r="F10" i="23"/>
  <c r="J10" i="23"/>
  <c r="K10" i="23"/>
  <c r="R10" i="23"/>
  <c r="S10" i="23"/>
  <c r="T10" i="23"/>
  <c r="U10" i="23"/>
  <c r="C11" i="23"/>
  <c r="D11" i="23"/>
  <c r="E11" i="23"/>
  <c r="F11" i="23"/>
  <c r="J11" i="23"/>
  <c r="K11" i="23"/>
  <c r="R11" i="23"/>
  <c r="S11" i="23"/>
  <c r="T11" i="23"/>
  <c r="U11" i="23"/>
  <c r="C12" i="23"/>
  <c r="D12" i="23"/>
  <c r="E12" i="23"/>
  <c r="F12" i="23"/>
  <c r="J12" i="23"/>
  <c r="K12" i="23"/>
  <c r="R12" i="23"/>
  <c r="S12" i="23"/>
  <c r="T12" i="23"/>
  <c r="U12" i="23"/>
  <c r="C13" i="23"/>
  <c r="D13" i="23"/>
  <c r="E13" i="23"/>
  <c r="F13" i="23"/>
  <c r="J13" i="23"/>
  <c r="K13" i="23"/>
  <c r="R13" i="23"/>
  <c r="S13" i="23"/>
  <c r="T13" i="23"/>
  <c r="U13" i="23"/>
  <c r="C14" i="23"/>
  <c r="D14" i="23"/>
  <c r="E14" i="23"/>
  <c r="F14" i="23"/>
  <c r="J14" i="23"/>
  <c r="K14" i="23"/>
  <c r="R14" i="23"/>
  <c r="S14" i="23"/>
  <c r="T14" i="23"/>
  <c r="U14" i="23"/>
  <c r="C15" i="23"/>
  <c r="D15" i="23"/>
  <c r="E15" i="23"/>
  <c r="F15" i="23"/>
  <c r="J15" i="23"/>
  <c r="K15" i="23"/>
  <c r="R15" i="23"/>
  <c r="S15" i="23"/>
  <c r="T15" i="23"/>
  <c r="U15" i="23"/>
  <c r="C16" i="23"/>
  <c r="D16" i="23"/>
  <c r="E16" i="23"/>
  <c r="F16" i="23"/>
  <c r="J16" i="23"/>
  <c r="K16" i="23"/>
  <c r="R16" i="23"/>
  <c r="S16" i="23"/>
  <c r="T16" i="23"/>
  <c r="U16" i="23"/>
  <c r="C17" i="23"/>
  <c r="D17" i="23"/>
  <c r="E17" i="23"/>
  <c r="F17" i="23"/>
  <c r="J17" i="23"/>
  <c r="K17" i="23"/>
  <c r="R17" i="23"/>
  <c r="S17" i="23"/>
  <c r="T17" i="23"/>
  <c r="U17" i="23"/>
  <c r="C18" i="23"/>
  <c r="D18" i="23"/>
  <c r="E18" i="23"/>
  <c r="F18" i="23"/>
  <c r="J18" i="23"/>
  <c r="K18" i="23"/>
  <c r="R18" i="23"/>
  <c r="S18" i="23"/>
  <c r="T18" i="23"/>
  <c r="U18" i="23"/>
  <c r="C19" i="23"/>
  <c r="D19" i="23"/>
  <c r="E19" i="23"/>
  <c r="F19" i="23"/>
  <c r="J19" i="23"/>
  <c r="K19" i="23"/>
  <c r="R19" i="23"/>
  <c r="S19" i="23"/>
  <c r="T19" i="23"/>
  <c r="U19" i="23"/>
  <c r="C20" i="23"/>
  <c r="D20" i="23"/>
  <c r="E20" i="23"/>
  <c r="F20" i="23"/>
  <c r="J20" i="23"/>
  <c r="K20" i="23"/>
  <c r="R20" i="23"/>
  <c r="S20" i="23"/>
  <c r="T20" i="23"/>
  <c r="U20" i="23"/>
  <c r="C21" i="23"/>
  <c r="D21" i="23"/>
  <c r="E21" i="23"/>
  <c r="F21" i="23"/>
  <c r="J21" i="23"/>
  <c r="K21" i="23"/>
  <c r="R21" i="23"/>
  <c r="S21" i="23"/>
  <c r="T21" i="23"/>
  <c r="U21" i="23"/>
  <c r="C22" i="23"/>
  <c r="D22" i="23"/>
  <c r="E22" i="23"/>
  <c r="F22" i="23"/>
  <c r="J22" i="23"/>
  <c r="K22" i="23"/>
  <c r="R22" i="23"/>
  <c r="T22" i="23"/>
  <c r="U22" i="23"/>
  <c r="C23" i="23"/>
  <c r="D23" i="23"/>
  <c r="E23" i="23"/>
  <c r="F23" i="23"/>
  <c r="J23" i="23"/>
  <c r="K23" i="23"/>
  <c r="T23" i="23"/>
  <c r="C24" i="23"/>
  <c r="D24" i="23"/>
  <c r="E24" i="23"/>
  <c r="F24" i="23"/>
  <c r="J24" i="23"/>
  <c r="K24" i="23"/>
  <c r="R24" i="23"/>
  <c r="S24" i="23"/>
  <c r="T24" i="23"/>
  <c r="U24" i="23"/>
  <c r="C25" i="23"/>
  <c r="D25" i="23"/>
  <c r="E25" i="23"/>
  <c r="F25" i="23"/>
  <c r="J25" i="23"/>
  <c r="K25" i="23"/>
  <c r="R25" i="23"/>
  <c r="S25" i="23"/>
  <c r="T25" i="23"/>
  <c r="U25" i="23"/>
  <c r="C26" i="23"/>
  <c r="D26" i="23"/>
  <c r="E26" i="23"/>
  <c r="F26" i="23"/>
  <c r="J26" i="23"/>
  <c r="K26" i="23"/>
  <c r="R26" i="23"/>
  <c r="S26" i="23"/>
  <c r="T26" i="23"/>
  <c r="U26" i="23"/>
  <c r="C27" i="23"/>
  <c r="D27" i="23"/>
  <c r="E27" i="23"/>
  <c r="F27" i="23"/>
  <c r="J27" i="23"/>
  <c r="K27" i="23"/>
  <c r="R27" i="23"/>
  <c r="S27" i="23"/>
  <c r="T27" i="23"/>
  <c r="U27" i="23"/>
  <c r="C28" i="23"/>
  <c r="D28" i="23"/>
  <c r="E28" i="23"/>
  <c r="F28" i="23"/>
  <c r="J28" i="23"/>
  <c r="K28" i="23"/>
  <c r="R28" i="23"/>
  <c r="S28" i="23"/>
  <c r="T28" i="23"/>
  <c r="U28" i="23"/>
  <c r="C29" i="23"/>
  <c r="D29" i="23"/>
  <c r="E29" i="23"/>
  <c r="F29" i="23"/>
  <c r="J29" i="23"/>
  <c r="K29" i="23"/>
  <c r="R29" i="23"/>
  <c r="S29" i="23"/>
  <c r="T29" i="23"/>
  <c r="U29" i="23"/>
  <c r="C30" i="23"/>
  <c r="D30" i="23"/>
  <c r="E30" i="23"/>
  <c r="F30" i="23"/>
  <c r="J30" i="23"/>
  <c r="K30" i="23"/>
  <c r="R30" i="23"/>
  <c r="S30" i="23"/>
  <c r="T30" i="23"/>
  <c r="U30" i="23"/>
  <c r="C31" i="23"/>
  <c r="D31" i="23"/>
  <c r="E31" i="23"/>
  <c r="F31" i="23"/>
  <c r="J31" i="23"/>
  <c r="K31" i="23"/>
  <c r="R31" i="23"/>
  <c r="S31" i="23"/>
  <c r="T31" i="23"/>
  <c r="U31" i="23"/>
  <c r="C32" i="23"/>
  <c r="D32" i="23"/>
  <c r="E32" i="23"/>
  <c r="F32" i="23"/>
  <c r="J32" i="23"/>
  <c r="K32" i="23"/>
  <c r="R32" i="23"/>
  <c r="S32" i="23"/>
  <c r="T32" i="23"/>
  <c r="U32" i="23"/>
  <c r="C33" i="23"/>
  <c r="D33" i="23"/>
  <c r="E33" i="23"/>
  <c r="F33" i="23"/>
  <c r="J33" i="23"/>
  <c r="K33" i="23"/>
  <c r="R33" i="23"/>
  <c r="S33" i="23"/>
  <c r="T33" i="23"/>
  <c r="U33" i="23"/>
  <c r="C34" i="23"/>
  <c r="D34" i="23"/>
  <c r="E34" i="23"/>
  <c r="F34" i="23"/>
  <c r="J34" i="23"/>
  <c r="K34" i="23"/>
  <c r="R34" i="23"/>
  <c r="S34" i="23"/>
  <c r="T34" i="23"/>
  <c r="U34" i="23"/>
  <c r="C35" i="23"/>
  <c r="D35" i="23"/>
  <c r="E35" i="23"/>
  <c r="F35" i="23"/>
  <c r="J35" i="23"/>
  <c r="K35" i="23"/>
  <c r="R35" i="23"/>
  <c r="S35" i="23"/>
  <c r="T35" i="23"/>
  <c r="U35" i="23"/>
  <c r="C36" i="23"/>
  <c r="D36" i="23"/>
  <c r="E36" i="23"/>
  <c r="F36" i="23"/>
  <c r="J36" i="23"/>
  <c r="K36" i="23"/>
  <c r="R36" i="23"/>
  <c r="S36" i="23"/>
  <c r="T36" i="23"/>
  <c r="U36" i="23"/>
  <c r="C37" i="23"/>
  <c r="D37" i="23"/>
  <c r="E37" i="23"/>
  <c r="F37" i="23"/>
  <c r="J37" i="23"/>
  <c r="K37" i="23"/>
  <c r="R37" i="23"/>
  <c r="S37" i="23"/>
  <c r="T37" i="23"/>
  <c r="U37" i="23"/>
  <c r="C38" i="23"/>
  <c r="D38" i="23"/>
  <c r="E38" i="23"/>
  <c r="F38" i="23"/>
  <c r="J38" i="23"/>
  <c r="K38" i="23"/>
  <c r="R38" i="23"/>
  <c r="S38" i="23"/>
  <c r="T38" i="23"/>
  <c r="U38" i="23"/>
  <c r="C39" i="23"/>
  <c r="D39" i="23"/>
  <c r="E39" i="23"/>
  <c r="F39" i="23"/>
  <c r="J39" i="23"/>
  <c r="K39" i="23"/>
  <c r="R39" i="23"/>
  <c r="S39" i="23"/>
  <c r="T39" i="23"/>
  <c r="U39" i="23"/>
  <c r="C40" i="23"/>
  <c r="D40" i="23"/>
  <c r="E40" i="23"/>
  <c r="F40" i="23"/>
  <c r="J40" i="23"/>
  <c r="K40" i="23"/>
  <c r="R40" i="23"/>
  <c r="S40" i="23"/>
  <c r="T40" i="23"/>
  <c r="U40" i="23"/>
  <c r="C41" i="23"/>
  <c r="D41" i="23"/>
  <c r="E41" i="23"/>
  <c r="F41" i="23"/>
  <c r="J41" i="23"/>
  <c r="K41" i="23"/>
  <c r="R41" i="23"/>
  <c r="S41" i="23"/>
  <c r="T41" i="23"/>
  <c r="U41" i="23"/>
  <c r="C42" i="23"/>
  <c r="D42" i="23"/>
  <c r="E42" i="23"/>
  <c r="F42" i="23"/>
  <c r="J42" i="23"/>
  <c r="K42" i="23"/>
  <c r="R42" i="23"/>
  <c r="S42" i="23"/>
  <c r="T42" i="23"/>
  <c r="U42" i="23"/>
  <c r="C43" i="23"/>
  <c r="D43" i="23"/>
  <c r="E43" i="23"/>
  <c r="F43" i="23"/>
  <c r="J43" i="23"/>
  <c r="K43" i="23"/>
  <c r="R43" i="23"/>
  <c r="S43" i="23"/>
  <c r="T43" i="23"/>
  <c r="C44" i="23"/>
  <c r="D44" i="23"/>
  <c r="E44" i="23"/>
  <c r="F44" i="23"/>
  <c r="J44" i="23"/>
  <c r="K44" i="23"/>
  <c r="R44" i="23"/>
  <c r="S44" i="23"/>
  <c r="T44" i="23"/>
  <c r="C45" i="23"/>
  <c r="D45" i="23"/>
  <c r="E45" i="23"/>
  <c r="F45" i="23"/>
  <c r="J45" i="23"/>
  <c r="K45" i="23"/>
  <c r="R45" i="23"/>
  <c r="S45" i="23"/>
  <c r="T45" i="23"/>
  <c r="C46" i="23"/>
  <c r="D46" i="23"/>
  <c r="E46" i="23"/>
  <c r="F46" i="23"/>
  <c r="J46" i="23"/>
  <c r="K46" i="23"/>
  <c r="R46" i="23"/>
  <c r="S46" i="23"/>
  <c r="T46" i="23"/>
  <c r="C47" i="23"/>
  <c r="D47" i="23"/>
  <c r="E47" i="23"/>
  <c r="F47" i="23"/>
  <c r="J47" i="23"/>
  <c r="K47" i="23"/>
  <c r="R47" i="23"/>
  <c r="S47" i="23"/>
  <c r="T47" i="23"/>
  <c r="U47" i="23"/>
  <c r="C48" i="23"/>
  <c r="D48" i="23"/>
  <c r="E48" i="23"/>
  <c r="F48" i="23"/>
  <c r="J48" i="23"/>
  <c r="K48" i="23"/>
  <c r="R48" i="23"/>
  <c r="S48" i="23"/>
  <c r="T48" i="23"/>
  <c r="U48" i="23"/>
  <c r="C49" i="23"/>
  <c r="D49" i="23"/>
  <c r="E49" i="23"/>
  <c r="F49" i="23"/>
  <c r="J49" i="23"/>
  <c r="K49" i="23"/>
  <c r="R49" i="23"/>
  <c r="S49" i="23"/>
  <c r="T49" i="23"/>
  <c r="U49" i="23"/>
  <c r="C50" i="23"/>
  <c r="D50" i="23"/>
  <c r="E50" i="23"/>
  <c r="F50" i="23"/>
  <c r="J50" i="23"/>
  <c r="K50" i="23"/>
  <c r="R50" i="23"/>
  <c r="S50" i="23"/>
  <c r="T50" i="23"/>
  <c r="U50" i="23"/>
  <c r="C51" i="23"/>
  <c r="D51" i="23"/>
  <c r="E51" i="23"/>
  <c r="F51" i="23"/>
  <c r="J51" i="23"/>
  <c r="K51" i="23"/>
  <c r="R51" i="23"/>
  <c r="S51" i="23"/>
  <c r="T51" i="23"/>
  <c r="U51" i="23"/>
  <c r="C52" i="23"/>
  <c r="D52" i="23"/>
  <c r="E52" i="23"/>
  <c r="F52" i="23"/>
  <c r="J52" i="23"/>
  <c r="K52" i="23"/>
  <c r="R52" i="23"/>
  <c r="S52" i="23"/>
  <c r="T52" i="23"/>
  <c r="U52" i="23"/>
  <c r="C53" i="23"/>
  <c r="D53" i="23"/>
  <c r="E53" i="23"/>
  <c r="F53" i="23"/>
  <c r="J53" i="23"/>
  <c r="K53" i="23"/>
  <c r="R53" i="23"/>
  <c r="S53" i="23"/>
  <c r="T53" i="23"/>
  <c r="U53" i="23"/>
  <c r="C54" i="23"/>
  <c r="D54" i="23"/>
  <c r="E54" i="23"/>
  <c r="F54" i="23"/>
  <c r="J54" i="23"/>
  <c r="K54" i="23"/>
  <c r="R54" i="23"/>
  <c r="S54" i="23"/>
  <c r="T54" i="23"/>
  <c r="U54" i="23"/>
  <c r="C55" i="23"/>
  <c r="D55" i="23"/>
  <c r="E55" i="23"/>
  <c r="F55" i="23"/>
  <c r="J55" i="23"/>
  <c r="K55" i="23"/>
  <c r="R55" i="23"/>
  <c r="T55" i="23"/>
  <c r="C56" i="23"/>
  <c r="D56" i="23"/>
  <c r="E56" i="23"/>
  <c r="F56" i="23"/>
  <c r="J56" i="23"/>
  <c r="K56" i="23"/>
  <c r="R56" i="23"/>
  <c r="T56" i="23"/>
  <c r="C57" i="23"/>
  <c r="D57" i="23"/>
  <c r="E57" i="23"/>
  <c r="F57" i="23"/>
  <c r="J57" i="23"/>
  <c r="K57" i="23"/>
  <c r="R57" i="23"/>
  <c r="T57" i="23"/>
  <c r="C58" i="23"/>
  <c r="D58" i="23"/>
  <c r="E58" i="23"/>
  <c r="F58" i="23"/>
  <c r="J58" i="23"/>
  <c r="K58" i="23"/>
  <c r="R58" i="23"/>
  <c r="S58" i="23"/>
  <c r="T58" i="23"/>
  <c r="U58" i="23"/>
  <c r="C59" i="23"/>
  <c r="D59" i="23"/>
  <c r="E59" i="23"/>
  <c r="F59" i="23"/>
  <c r="J59" i="23"/>
  <c r="K59" i="23"/>
  <c r="R59" i="23"/>
  <c r="S59" i="23"/>
  <c r="T59" i="23"/>
  <c r="U59" i="23"/>
  <c r="C60" i="23"/>
  <c r="D60" i="23"/>
  <c r="E60" i="23"/>
  <c r="F60" i="23"/>
  <c r="J60" i="23"/>
  <c r="K60" i="23"/>
  <c r="R60" i="23"/>
  <c r="S60" i="23"/>
  <c r="T60" i="23"/>
  <c r="U60" i="23"/>
  <c r="C61" i="23"/>
  <c r="D61" i="23"/>
  <c r="E61" i="23"/>
  <c r="F61" i="23"/>
  <c r="J61" i="23"/>
  <c r="K61" i="23"/>
  <c r="R61" i="23"/>
  <c r="S61" i="23"/>
  <c r="T61" i="23"/>
  <c r="U61" i="23"/>
  <c r="C62" i="23"/>
  <c r="D62" i="23"/>
  <c r="E62" i="23"/>
  <c r="F62" i="23"/>
  <c r="J62" i="23"/>
  <c r="K62" i="23"/>
  <c r="R62" i="23"/>
  <c r="S62" i="23"/>
  <c r="T62" i="23"/>
  <c r="U62" i="23"/>
  <c r="C63" i="23"/>
  <c r="D63" i="23"/>
  <c r="E63" i="23"/>
  <c r="F63" i="23"/>
  <c r="J63" i="23"/>
  <c r="K63" i="23"/>
  <c r="R63" i="23"/>
  <c r="S63" i="23"/>
  <c r="T63" i="23"/>
  <c r="U63" i="23"/>
  <c r="C64" i="23"/>
  <c r="D64" i="23"/>
  <c r="E64" i="23"/>
  <c r="F64" i="23"/>
  <c r="J64" i="23"/>
  <c r="K64" i="23"/>
  <c r="R64" i="23"/>
  <c r="S64" i="23"/>
  <c r="T64" i="23"/>
  <c r="U64" i="23"/>
  <c r="C65" i="23"/>
  <c r="D65" i="23"/>
  <c r="E65" i="23"/>
  <c r="F65" i="23"/>
  <c r="J65" i="23"/>
  <c r="K65" i="23"/>
  <c r="R65" i="23"/>
  <c r="S65" i="23"/>
  <c r="T65" i="23"/>
  <c r="U65" i="23"/>
  <c r="C66" i="23"/>
  <c r="D66" i="23"/>
  <c r="E66" i="23"/>
  <c r="F66" i="23"/>
  <c r="J66" i="23"/>
  <c r="K66" i="23"/>
  <c r="R66" i="23"/>
  <c r="S66" i="23"/>
  <c r="T66" i="23"/>
  <c r="U66" i="23"/>
  <c r="C67" i="23"/>
  <c r="D67" i="23"/>
  <c r="E67" i="23"/>
  <c r="F67" i="23"/>
  <c r="J67" i="23"/>
  <c r="K67" i="23"/>
  <c r="R67" i="23"/>
  <c r="S67" i="23"/>
  <c r="T67" i="23"/>
  <c r="U67" i="23"/>
  <c r="C68" i="23"/>
  <c r="D68" i="23"/>
  <c r="E68" i="23"/>
  <c r="F68" i="23"/>
  <c r="J68" i="23"/>
  <c r="K68" i="23"/>
  <c r="R68" i="23"/>
  <c r="S68" i="23"/>
  <c r="T68" i="23"/>
  <c r="U68" i="23"/>
  <c r="C69" i="23"/>
  <c r="D69" i="23"/>
  <c r="E69" i="23"/>
  <c r="F69" i="23"/>
  <c r="J69" i="23"/>
  <c r="K69" i="23"/>
  <c r="R69" i="23"/>
  <c r="S69" i="23"/>
  <c r="T69" i="23"/>
  <c r="U69" i="23"/>
  <c r="C70" i="23"/>
  <c r="D70" i="23"/>
  <c r="E70" i="23"/>
  <c r="F70" i="23"/>
  <c r="J70" i="23"/>
  <c r="K70" i="23"/>
  <c r="R70" i="23"/>
  <c r="S70" i="23"/>
  <c r="T70" i="23"/>
  <c r="U70" i="23"/>
  <c r="C71" i="23"/>
  <c r="D71" i="23"/>
  <c r="E71" i="23"/>
  <c r="F71" i="23"/>
  <c r="J71" i="23"/>
  <c r="K71" i="23"/>
  <c r="R71" i="23"/>
  <c r="S71" i="23"/>
  <c r="T71" i="23"/>
  <c r="U71" i="23"/>
  <c r="C72" i="23"/>
  <c r="D72" i="23"/>
  <c r="E72" i="23"/>
  <c r="F72" i="23"/>
  <c r="J72" i="23"/>
  <c r="K72" i="23"/>
  <c r="R72" i="23"/>
  <c r="S72" i="23"/>
  <c r="T72" i="23"/>
  <c r="U72" i="23"/>
  <c r="C73" i="23"/>
  <c r="D73" i="23"/>
  <c r="E73" i="23"/>
  <c r="F73" i="23"/>
  <c r="J73" i="23"/>
  <c r="K73" i="23"/>
  <c r="R73" i="23"/>
  <c r="S73" i="23"/>
  <c r="T73" i="23"/>
  <c r="U73" i="23"/>
  <c r="C74" i="23"/>
  <c r="D74" i="23"/>
  <c r="E74" i="23"/>
  <c r="F74" i="23"/>
  <c r="J74" i="23"/>
  <c r="K74" i="23"/>
  <c r="R74" i="23"/>
  <c r="S74" i="23"/>
  <c r="T74" i="23"/>
  <c r="U74" i="23"/>
  <c r="C75" i="23"/>
  <c r="D75" i="23"/>
  <c r="E75" i="23"/>
  <c r="F75" i="23"/>
  <c r="J75" i="23"/>
  <c r="K75" i="23"/>
  <c r="R75" i="23"/>
  <c r="S75" i="23"/>
  <c r="T75" i="23"/>
  <c r="U75" i="23"/>
  <c r="C76" i="23"/>
  <c r="D76" i="23"/>
  <c r="E76" i="23"/>
  <c r="F76" i="23"/>
  <c r="J76" i="23"/>
  <c r="K76" i="23"/>
  <c r="R76" i="23"/>
  <c r="S76" i="23"/>
  <c r="T76" i="23"/>
  <c r="U76" i="23"/>
  <c r="C77" i="23"/>
  <c r="D77" i="23"/>
  <c r="E77" i="23"/>
  <c r="F77" i="23"/>
  <c r="J77" i="23"/>
  <c r="K77" i="23"/>
  <c r="R77" i="23"/>
  <c r="S77" i="23"/>
  <c r="T77" i="23"/>
  <c r="U77" i="23"/>
  <c r="C78" i="23"/>
  <c r="D78" i="23"/>
  <c r="E78" i="23"/>
  <c r="F78" i="23"/>
  <c r="J78" i="23"/>
  <c r="K78" i="23"/>
  <c r="R78" i="23"/>
  <c r="T78" i="23"/>
  <c r="U78" i="23"/>
  <c r="C79" i="23"/>
  <c r="D79" i="23"/>
  <c r="E79" i="23"/>
  <c r="F79" i="23"/>
  <c r="J79" i="23"/>
  <c r="K79" i="23"/>
  <c r="R79" i="23"/>
  <c r="T79" i="23"/>
  <c r="U79" i="23"/>
  <c r="C80" i="23"/>
  <c r="D80" i="23"/>
  <c r="E80" i="23"/>
  <c r="F80" i="23"/>
  <c r="J80" i="23"/>
  <c r="K80" i="23"/>
  <c r="R80" i="23"/>
  <c r="T80" i="23"/>
  <c r="C81" i="23"/>
  <c r="D81" i="23"/>
  <c r="E81" i="23"/>
  <c r="F81" i="23"/>
  <c r="J81" i="23"/>
  <c r="K81" i="23"/>
  <c r="R81" i="23"/>
  <c r="T81" i="23"/>
  <c r="U81" i="23"/>
  <c r="C82" i="23"/>
  <c r="D82" i="23"/>
  <c r="E82" i="23"/>
  <c r="F82" i="23"/>
  <c r="J82" i="23"/>
  <c r="K82" i="23"/>
  <c r="R82" i="23"/>
  <c r="T82" i="23"/>
  <c r="U82" i="23"/>
  <c r="C83" i="23"/>
  <c r="D83" i="23"/>
  <c r="E83" i="23"/>
  <c r="F83" i="23"/>
  <c r="J83" i="23"/>
  <c r="K83" i="23"/>
  <c r="R83" i="23"/>
  <c r="T83" i="23"/>
  <c r="C84" i="23"/>
  <c r="D84" i="23"/>
  <c r="E84" i="23"/>
  <c r="F84" i="23"/>
  <c r="J84" i="23"/>
  <c r="K84" i="23"/>
  <c r="R84" i="23"/>
  <c r="T84" i="23"/>
  <c r="U84" i="23"/>
  <c r="C85" i="23"/>
  <c r="D85" i="23"/>
  <c r="E85" i="23"/>
  <c r="F85" i="23"/>
  <c r="J85" i="23"/>
  <c r="K85" i="23"/>
  <c r="R85" i="23"/>
  <c r="T85" i="23"/>
  <c r="U85" i="23"/>
  <c r="C86" i="23"/>
  <c r="D86" i="23"/>
  <c r="E86" i="23"/>
  <c r="F86" i="23"/>
  <c r="J86" i="23"/>
  <c r="K86" i="23"/>
  <c r="R86" i="23"/>
  <c r="T86" i="23"/>
  <c r="C87" i="23"/>
  <c r="D87" i="23"/>
  <c r="E87" i="23"/>
  <c r="F87" i="23"/>
  <c r="J87" i="23"/>
  <c r="K87" i="23"/>
  <c r="R87" i="23"/>
  <c r="S87" i="23"/>
  <c r="T87" i="23"/>
  <c r="U87" i="23"/>
  <c r="C88" i="23"/>
  <c r="D88" i="23"/>
  <c r="E88" i="23"/>
  <c r="F88" i="23"/>
  <c r="J88" i="23"/>
  <c r="K88" i="23"/>
  <c r="R88" i="23"/>
  <c r="S88" i="23"/>
  <c r="T88" i="23"/>
  <c r="U88" i="23"/>
  <c r="C89" i="23"/>
  <c r="D89" i="23"/>
  <c r="E89" i="23"/>
  <c r="F89" i="23"/>
  <c r="J89" i="23"/>
  <c r="K89" i="23"/>
  <c r="R89" i="23"/>
  <c r="S89" i="23"/>
  <c r="T89" i="23"/>
  <c r="U89" i="23"/>
  <c r="C90" i="23"/>
  <c r="D90" i="23"/>
  <c r="E90" i="23"/>
  <c r="F90" i="23"/>
  <c r="J90" i="23"/>
  <c r="K90" i="23"/>
  <c r="R90" i="23"/>
  <c r="S90" i="23"/>
  <c r="T90" i="23"/>
  <c r="U90" i="23"/>
  <c r="C91" i="23"/>
  <c r="D91" i="23"/>
  <c r="E91" i="23"/>
  <c r="F91" i="23"/>
  <c r="J91" i="23"/>
  <c r="K91" i="23"/>
  <c r="R91" i="23"/>
  <c r="S91" i="23"/>
  <c r="T91" i="23"/>
  <c r="U91" i="23"/>
  <c r="C92" i="23"/>
  <c r="D92" i="23"/>
  <c r="E92" i="23"/>
  <c r="F92" i="23"/>
  <c r="J92" i="23"/>
  <c r="K92" i="23"/>
  <c r="R92" i="23"/>
  <c r="S92" i="23"/>
  <c r="T92" i="23"/>
  <c r="U92" i="23"/>
  <c r="C93" i="23"/>
  <c r="D93" i="23"/>
  <c r="E93" i="23"/>
  <c r="F93" i="23"/>
  <c r="J93" i="23"/>
  <c r="K93" i="23"/>
  <c r="R93" i="23"/>
  <c r="S93" i="23"/>
  <c r="T93" i="23"/>
  <c r="U93" i="23"/>
  <c r="C94" i="23"/>
  <c r="D94" i="23"/>
  <c r="E94" i="23"/>
  <c r="F94" i="23"/>
  <c r="J94" i="23"/>
  <c r="K94" i="23"/>
  <c r="R94" i="23"/>
  <c r="S94" i="23"/>
  <c r="T94" i="23"/>
  <c r="U94" i="23"/>
  <c r="C95" i="23"/>
  <c r="D95" i="23"/>
  <c r="E95" i="23"/>
  <c r="F95" i="23"/>
  <c r="J95" i="23"/>
  <c r="K95" i="23"/>
  <c r="R95" i="23"/>
  <c r="S95" i="23"/>
  <c r="T95" i="23"/>
  <c r="U95" i="23"/>
  <c r="C96" i="23"/>
  <c r="D96" i="23"/>
  <c r="E96" i="23"/>
  <c r="F96" i="23"/>
  <c r="J96" i="23"/>
  <c r="K96" i="23"/>
  <c r="R96" i="23"/>
  <c r="S96" i="23"/>
  <c r="T96" i="23"/>
  <c r="U96" i="23"/>
  <c r="C97" i="23"/>
  <c r="D97" i="23"/>
  <c r="E97" i="23"/>
  <c r="F97" i="23"/>
  <c r="J97" i="23"/>
  <c r="K97" i="23"/>
  <c r="R97" i="23"/>
  <c r="S97" i="23"/>
  <c r="T97" i="23"/>
  <c r="U97" i="23"/>
  <c r="C98" i="23"/>
  <c r="D98" i="23"/>
  <c r="E98" i="23"/>
  <c r="F98" i="23"/>
  <c r="J98" i="23"/>
  <c r="K98" i="23"/>
  <c r="R98" i="23"/>
  <c r="S98" i="23"/>
  <c r="T98" i="23"/>
  <c r="U98" i="23"/>
  <c r="C99" i="23"/>
  <c r="D99" i="23"/>
  <c r="E99" i="23"/>
  <c r="F99" i="23"/>
  <c r="J99" i="23"/>
  <c r="K99" i="23"/>
  <c r="R99" i="23"/>
  <c r="S99" i="23"/>
  <c r="T99" i="23"/>
  <c r="U99" i="23"/>
  <c r="C100" i="23"/>
  <c r="D100" i="23"/>
  <c r="E100" i="23"/>
  <c r="F100" i="23"/>
  <c r="J100" i="23"/>
  <c r="K100" i="23"/>
  <c r="R100" i="23"/>
  <c r="S100" i="23"/>
  <c r="T100" i="23"/>
  <c r="U100" i="23"/>
  <c r="C101" i="23"/>
  <c r="D101" i="23"/>
  <c r="E101" i="23"/>
  <c r="F101" i="23"/>
  <c r="J101" i="23"/>
  <c r="K101" i="23"/>
  <c r="R101" i="23"/>
  <c r="S101" i="23"/>
  <c r="T101" i="23"/>
  <c r="U101" i="23"/>
  <c r="C102" i="23"/>
  <c r="D102" i="23"/>
  <c r="E102" i="23"/>
  <c r="F102" i="23"/>
  <c r="J102" i="23"/>
  <c r="K102" i="23"/>
  <c r="R102" i="23"/>
  <c r="S102" i="23"/>
  <c r="T102" i="23"/>
  <c r="U102" i="23"/>
  <c r="C103" i="23"/>
  <c r="D103" i="23"/>
  <c r="E103" i="23"/>
  <c r="F103" i="23"/>
  <c r="J103" i="23"/>
  <c r="K103" i="23"/>
  <c r="R103" i="23"/>
  <c r="S103" i="23"/>
  <c r="T103" i="23"/>
  <c r="U103" i="23"/>
  <c r="C104" i="23"/>
  <c r="D104" i="23"/>
  <c r="E104" i="23"/>
  <c r="F104" i="23"/>
  <c r="J104" i="23"/>
  <c r="K104" i="23"/>
  <c r="R104" i="23"/>
  <c r="S104" i="23"/>
  <c r="T104" i="23"/>
  <c r="U104" i="23"/>
  <c r="C105" i="23"/>
  <c r="D105" i="23"/>
  <c r="E105" i="23"/>
  <c r="F105" i="23"/>
  <c r="J105" i="23"/>
  <c r="K105" i="23"/>
  <c r="R105" i="23"/>
  <c r="S105" i="23"/>
  <c r="T105" i="23"/>
  <c r="U105" i="23"/>
  <c r="C106" i="23"/>
  <c r="D106" i="23"/>
  <c r="E106" i="23"/>
  <c r="F106" i="23"/>
  <c r="J106" i="23"/>
  <c r="K106" i="23"/>
  <c r="R106" i="23"/>
  <c r="S106" i="23"/>
  <c r="T106" i="23"/>
  <c r="U106" i="23"/>
  <c r="C107" i="23"/>
  <c r="D107" i="23"/>
  <c r="E107" i="23"/>
  <c r="F107" i="23"/>
  <c r="J107" i="23"/>
  <c r="K107" i="23"/>
  <c r="R107" i="23"/>
  <c r="S107" i="23"/>
  <c r="T107" i="23"/>
  <c r="U107" i="23"/>
  <c r="C108" i="23"/>
  <c r="D108" i="23"/>
  <c r="E108" i="23"/>
  <c r="F108" i="23"/>
  <c r="J108" i="23"/>
  <c r="K108" i="23"/>
  <c r="R108" i="23"/>
  <c r="S108" i="23"/>
  <c r="T108" i="23"/>
  <c r="U108" i="23"/>
  <c r="C109" i="23"/>
  <c r="D109" i="23"/>
  <c r="E109" i="23"/>
  <c r="F109" i="23"/>
  <c r="J109" i="23"/>
  <c r="K109" i="23"/>
  <c r="R109" i="23"/>
  <c r="S109" i="23"/>
  <c r="T109" i="23"/>
  <c r="U109" i="23"/>
  <c r="C110" i="23"/>
  <c r="D110" i="23"/>
  <c r="E110" i="23"/>
  <c r="F110" i="23"/>
  <c r="J110" i="23"/>
  <c r="K110" i="23"/>
  <c r="R110" i="23"/>
  <c r="S110" i="23"/>
  <c r="T110" i="23"/>
  <c r="U110" i="23"/>
  <c r="C111" i="23"/>
  <c r="D111" i="23"/>
  <c r="E111" i="23"/>
  <c r="F111" i="23"/>
  <c r="J111" i="23"/>
  <c r="K111" i="23"/>
  <c r="R111" i="23"/>
  <c r="S111" i="23"/>
  <c r="T111" i="23"/>
  <c r="U111" i="23"/>
  <c r="C112" i="23"/>
  <c r="D112" i="23"/>
  <c r="E112" i="23"/>
  <c r="F112" i="23"/>
  <c r="J112" i="23"/>
  <c r="K112" i="23"/>
  <c r="R112" i="23"/>
  <c r="S112" i="23"/>
  <c r="T112" i="23"/>
  <c r="U112" i="23"/>
  <c r="C113" i="23"/>
  <c r="D113" i="23"/>
  <c r="E113" i="23"/>
  <c r="F113" i="23"/>
  <c r="J113" i="23"/>
  <c r="K113" i="23"/>
  <c r="R113" i="23"/>
  <c r="S113" i="23"/>
  <c r="T113" i="23"/>
  <c r="U113" i="23"/>
  <c r="C114" i="23"/>
  <c r="D114" i="23"/>
  <c r="E114" i="23"/>
  <c r="F114" i="23"/>
  <c r="J114" i="23"/>
  <c r="K114" i="23"/>
  <c r="R114" i="23"/>
  <c r="S114" i="23"/>
  <c r="T114" i="23"/>
  <c r="U114" i="23"/>
  <c r="C115" i="23"/>
  <c r="D115" i="23"/>
  <c r="E115" i="23"/>
  <c r="F115" i="23"/>
  <c r="J115" i="23"/>
  <c r="K115" i="23"/>
  <c r="R115" i="23"/>
  <c r="S115" i="23"/>
  <c r="T115" i="23"/>
  <c r="U115" i="23"/>
  <c r="C116" i="23"/>
  <c r="D116" i="23"/>
  <c r="E116" i="23"/>
  <c r="F116" i="23"/>
  <c r="J116" i="23"/>
  <c r="K116" i="23"/>
  <c r="R116" i="23"/>
  <c r="S116" i="23"/>
  <c r="T116" i="23"/>
  <c r="U116" i="23"/>
  <c r="C117" i="23"/>
  <c r="D117" i="23"/>
  <c r="E117" i="23"/>
  <c r="F117" i="23"/>
  <c r="J117" i="23"/>
  <c r="K117" i="23"/>
  <c r="R117" i="23"/>
  <c r="S117" i="23"/>
  <c r="T117" i="23"/>
  <c r="U117" i="23"/>
  <c r="C118" i="23"/>
  <c r="D118" i="23"/>
  <c r="E118" i="23"/>
  <c r="F118" i="23"/>
  <c r="J118" i="23"/>
  <c r="K118" i="23"/>
  <c r="R118" i="23"/>
  <c r="S118" i="23"/>
  <c r="T118" i="23"/>
  <c r="U118" i="23"/>
  <c r="C119" i="23"/>
  <c r="D119" i="23"/>
  <c r="E119" i="23"/>
  <c r="F119" i="23"/>
  <c r="J119" i="23"/>
  <c r="K119" i="23"/>
  <c r="R119" i="23"/>
  <c r="S119" i="23"/>
  <c r="T119" i="23"/>
  <c r="U119" i="23"/>
  <c r="C120" i="23"/>
  <c r="D120" i="23"/>
  <c r="E120" i="23"/>
  <c r="F120" i="23"/>
  <c r="J120" i="23"/>
  <c r="K120" i="23"/>
  <c r="R120" i="23"/>
  <c r="S120" i="23"/>
  <c r="T120" i="23"/>
  <c r="U120" i="23"/>
  <c r="C121" i="23"/>
  <c r="D121" i="23"/>
  <c r="E121" i="23"/>
  <c r="F121" i="23"/>
  <c r="J121" i="23"/>
  <c r="K121" i="23"/>
  <c r="R121" i="23"/>
  <c r="S121" i="23"/>
  <c r="T121" i="23"/>
  <c r="U121" i="23"/>
  <c r="C122" i="23"/>
  <c r="D122" i="23"/>
  <c r="E122" i="23"/>
  <c r="F122" i="23"/>
  <c r="J122" i="23"/>
  <c r="K122" i="23"/>
  <c r="R122" i="23"/>
  <c r="S122" i="23"/>
  <c r="T122" i="23"/>
  <c r="U122" i="23"/>
  <c r="C123" i="23"/>
  <c r="D123" i="23"/>
  <c r="E123" i="23"/>
  <c r="F123" i="23"/>
  <c r="J123" i="23"/>
  <c r="K123" i="23"/>
  <c r="R123" i="23"/>
  <c r="S123" i="23"/>
  <c r="T123" i="23"/>
  <c r="U123" i="23"/>
  <c r="C124" i="23"/>
  <c r="D124" i="23"/>
  <c r="E124" i="23"/>
  <c r="F124" i="23"/>
  <c r="J124" i="23"/>
  <c r="K124" i="23"/>
  <c r="R124" i="23"/>
  <c r="S124" i="23"/>
  <c r="T124" i="23"/>
  <c r="U124" i="23"/>
  <c r="C125" i="23"/>
  <c r="D125" i="23"/>
  <c r="E125" i="23"/>
  <c r="F125" i="23"/>
  <c r="J125" i="23"/>
  <c r="K125" i="23"/>
  <c r="R125" i="23"/>
  <c r="S125" i="23"/>
  <c r="T125" i="23"/>
  <c r="U125" i="23"/>
  <c r="C126" i="23"/>
  <c r="D126" i="23"/>
  <c r="E126" i="23"/>
  <c r="F126" i="23"/>
  <c r="J126" i="23"/>
  <c r="K126" i="23"/>
  <c r="R126" i="23"/>
  <c r="S126" i="23"/>
  <c r="T126" i="23"/>
  <c r="U126" i="23"/>
  <c r="C127" i="23"/>
  <c r="D127" i="23"/>
  <c r="E127" i="23"/>
  <c r="F127" i="23"/>
  <c r="J127" i="23"/>
  <c r="K127" i="23"/>
  <c r="R127" i="23"/>
  <c r="T127" i="23"/>
  <c r="U127" i="23"/>
  <c r="C128" i="23"/>
  <c r="D128" i="23"/>
  <c r="E128" i="23"/>
  <c r="F128" i="23"/>
  <c r="J128" i="23"/>
  <c r="K128" i="23"/>
  <c r="R128" i="23"/>
  <c r="T128" i="23"/>
  <c r="U128" i="23"/>
  <c r="C129" i="23"/>
  <c r="D129" i="23"/>
  <c r="E129" i="23"/>
  <c r="F129" i="23"/>
  <c r="J129" i="23"/>
  <c r="K129" i="23"/>
  <c r="R129" i="23"/>
  <c r="T129" i="23"/>
  <c r="C130" i="23"/>
  <c r="D130" i="23"/>
  <c r="E130" i="23"/>
  <c r="F130" i="23"/>
  <c r="J130" i="23"/>
  <c r="K130" i="23"/>
  <c r="R130" i="23"/>
  <c r="S130" i="23"/>
  <c r="T130" i="23"/>
  <c r="U130" i="23"/>
  <c r="C131" i="23"/>
  <c r="D131" i="23"/>
  <c r="E131" i="23"/>
  <c r="F131" i="23"/>
  <c r="J131" i="23"/>
  <c r="K131" i="23"/>
  <c r="R131" i="23"/>
  <c r="S131" i="23"/>
  <c r="T131" i="23"/>
  <c r="U131" i="23"/>
  <c r="C132" i="23"/>
  <c r="D132" i="23"/>
  <c r="E132" i="23"/>
  <c r="F132" i="23"/>
  <c r="J132" i="23"/>
  <c r="K132" i="23"/>
  <c r="R132" i="23"/>
  <c r="S132" i="23"/>
  <c r="T132" i="23"/>
  <c r="U132" i="23"/>
  <c r="C133" i="23"/>
  <c r="D133" i="23"/>
  <c r="E133" i="23"/>
  <c r="F133" i="23"/>
  <c r="J133" i="23"/>
  <c r="K133" i="23"/>
  <c r="R133" i="23"/>
  <c r="S133" i="23"/>
  <c r="T133" i="23"/>
  <c r="U133" i="23"/>
  <c r="C134" i="23"/>
  <c r="D134" i="23"/>
  <c r="E134" i="23"/>
  <c r="F134" i="23"/>
  <c r="J134" i="23"/>
  <c r="K134" i="23"/>
  <c r="R134" i="23"/>
  <c r="S134" i="23"/>
  <c r="T134" i="23"/>
  <c r="U134" i="23"/>
  <c r="C135" i="23"/>
  <c r="D135" i="23"/>
  <c r="E135" i="23"/>
  <c r="F135" i="23"/>
  <c r="J135" i="23"/>
  <c r="K135" i="23"/>
  <c r="R135" i="23"/>
  <c r="S135" i="23"/>
  <c r="T135" i="23"/>
  <c r="U135" i="23"/>
  <c r="C136" i="23"/>
  <c r="D136" i="23"/>
  <c r="E136" i="23"/>
  <c r="F136" i="23"/>
  <c r="J136" i="23"/>
  <c r="K136" i="23"/>
  <c r="R136" i="23"/>
  <c r="S136" i="23"/>
  <c r="T136" i="23"/>
  <c r="U136" i="23"/>
  <c r="C137" i="23"/>
  <c r="D137" i="23"/>
  <c r="E137" i="23"/>
  <c r="F137" i="23"/>
  <c r="J137" i="23"/>
  <c r="K137" i="23"/>
  <c r="R137" i="23"/>
  <c r="S137" i="23"/>
  <c r="T137" i="23"/>
  <c r="U137" i="23"/>
  <c r="C138" i="23"/>
  <c r="D138" i="23"/>
  <c r="E138" i="23"/>
  <c r="F138" i="23"/>
  <c r="J138" i="23"/>
  <c r="K138" i="23"/>
  <c r="R138" i="23"/>
  <c r="S138" i="23"/>
  <c r="T138" i="23"/>
  <c r="U138" i="23"/>
  <c r="C139" i="23"/>
  <c r="D139" i="23"/>
  <c r="E139" i="23"/>
  <c r="F139" i="23"/>
  <c r="J139" i="23"/>
  <c r="K139" i="23"/>
  <c r="R139" i="23"/>
  <c r="S139" i="23"/>
  <c r="T139" i="23"/>
  <c r="U139" i="23"/>
  <c r="C140" i="23"/>
  <c r="D140" i="23"/>
  <c r="E140" i="23"/>
  <c r="F140" i="23"/>
  <c r="J140" i="23"/>
  <c r="K140" i="23"/>
  <c r="R140" i="23"/>
  <c r="S140" i="23"/>
  <c r="T140" i="23"/>
  <c r="U140" i="23"/>
  <c r="C141" i="23"/>
  <c r="D141" i="23"/>
  <c r="E141" i="23"/>
  <c r="F141" i="23"/>
  <c r="J141" i="23"/>
  <c r="K141" i="23"/>
  <c r="R141" i="23"/>
  <c r="S141" i="23"/>
  <c r="T141" i="23"/>
  <c r="U141" i="23"/>
  <c r="C142" i="23"/>
  <c r="D142" i="23"/>
  <c r="E142" i="23"/>
  <c r="F142" i="23"/>
  <c r="J142" i="23"/>
  <c r="K142" i="23"/>
  <c r="R142" i="23"/>
  <c r="S142" i="23"/>
  <c r="T142" i="23"/>
  <c r="U142" i="23"/>
  <c r="C143" i="23"/>
  <c r="D143" i="23"/>
  <c r="E143" i="23"/>
  <c r="F143" i="23"/>
  <c r="J143" i="23"/>
  <c r="K143" i="23"/>
  <c r="R143" i="23"/>
  <c r="S143" i="23"/>
  <c r="T143" i="23"/>
  <c r="U143" i="23"/>
  <c r="C144" i="23"/>
  <c r="D144" i="23"/>
  <c r="E144" i="23"/>
  <c r="F144" i="23"/>
  <c r="J144" i="23"/>
  <c r="K144" i="23"/>
  <c r="R144" i="23"/>
  <c r="S144" i="23"/>
  <c r="T144" i="23"/>
  <c r="U144" i="23"/>
  <c r="C145" i="23"/>
  <c r="D145" i="23"/>
  <c r="E145" i="23"/>
  <c r="F145" i="23"/>
  <c r="J145" i="23"/>
  <c r="K145" i="23"/>
  <c r="R145" i="23"/>
  <c r="S145" i="23"/>
  <c r="T145" i="23"/>
  <c r="U145" i="23"/>
  <c r="C146" i="23"/>
  <c r="D146" i="23"/>
  <c r="E146" i="23"/>
  <c r="F146" i="23"/>
  <c r="J146" i="23"/>
  <c r="K146" i="23"/>
  <c r="R146" i="23"/>
  <c r="S146" i="23"/>
  <c r="T146" i="23"/>
  <c r="U146" i="23"/>
  <c r="C147" i="23"/>
  <c r="D147" i="23"/>
  <c r="E147" i="23"/>
  <c r="F147" i="23"/>
  <c r="J147" i="23"/>
  <c r="K147" i="23"/>
  <c r="R147" i="23"/>
  <c r="S147" i="23"/>
  <c r="T147" i="23"/>
  <c r="U147" i="23"/>
  <c r="C148" i="23"/>
  <c r="D148" i="23"/>
  <c r="E148" i="23"/>
  <c r="F148" i="23"/>
  <c r="J148" i="23"/>
  <c r="K148" i="23"/>
  <c r="R148" i="23"/>
  <c r="S148" i="23"/>
  <c r="T148" i="23"/>
  <c r="U148" i="23"/>
  <c r="C149" i="23"/>
  <c r="D149" i="23"/>
  <c r="E149" i="23"/>
  <c r="F149" i="23"/>
  <c r="J149" i="23"/>
  <c r="K149" i="23"/>
  <c r="R149" i="23"/>
  <c r="S149" i="23"/>
  <c r="T149" i="23"/>
  <c r="U149" i="23"/>
  <c r="C150" i="23"/>
  <c r="D150" i="23"/>
  <c r="E150" i="23"/>
  <c r="F150" i="23"/>
  <c r="J150" i="23"/>
  <c r="K150" i="23"/>
  <c r="R150" i="23"/>
  <c r="S150" i="23"/>
  <c r="T150" i="23"/>
  <c r="U150" i="23"/>
  <c r="C151" i="23"/>
  <c r="D151" i="23"/>
  <c r="E151" i="23"/>
  <c r="F151" i="23"/>
  <c r="J151" i="23"/>
  <c r="K151" i="23"/>
  <c r="R151" i="23"/>
  <c r="S151" i="23"/>
  <c r="T151" i="23"/>
  <c r="U151" i="23"/>
  <c r="C152" i="23"/>
  <c r="D152" i="23"/>
  <c r="E152" i="23"/>
  <c r="F152" i="23"/>
  <c r="J152" i="23"/>
  <c r="K152" i="23"/>
  <c r="R152" i="23"/>
  <c r="S152" i="23"/>
  <c r="T152" i="23"/>
  <c r="U152" i="23"/>
  <c r="C153" i="23"/>
  <c r="D153" i="23"/>
  <c r="E153" i="23"/>
  <c r="F153" i="23"/>
  <c r="J153" i="23"/>
  <c r="K153" i="23"/>
  <c r="R153" i="23"/>
  <c r="S153" i="23"/>
  <c r="T153" i="23"/>
  <c r="U153" i="23"/>
  <c r="C154" i="23"/>
  <c r="D154" i="23"/>
  <c r="E154" i="23"/>
  <c r="F154" i="23"/>
  <c r="J154" i="23"/>
  <c r="K154" i="23"/>
  <c r="R154" i="23"/>
  <c r="T154" i="23"/>
  <c r="U154" i="23"/>
  <c r="C155" i="23"/>
  <c r="D155" i="23"/>
  <c r="E155" i="23"/>
  <c r="F155" i="23"/>
  <c r="J155" i="23"/>
  <c r="K155" i="23"/>
  <c r="R155" i="23"/>
  <c r="T155" i="23"/>
  <c r="C156" i="23"/>
  <c r="D156" i="23"/>
  <c r="E156" i="23"/>
  <c r="F156" i="23"/>
  <c r="J156" i="23"/>
  <c r="K156" i="23"/>
  <c r="R156" i="23"/>
  <c r="T156" i="23"/>
  <c r="U156" i="23"/>
  <c r="C157" i="23"/>
  <c r="D157" i="23"/>
  <c r="E157" i="23"/>
  <c r="F157" i="23"/>
  <c r="J157" i="23"/>
  <c r="K157" i="23"/>
  <c r="R157" i="23"/>
  <c r="T157" i="23"/>
  <c r="C158" i="23"/>
  <c r="D158" i="23"/>
  <c r="E158" i="23"/>
  <c r="F158" i="23"/>
  <c r="J158" i="23"/>
  <c r="K158" i="23"/>
  <c r="R158" i="23"/>
  <c r="T158" i="23"/>
  <c r="U158" i="23"/>
  <c r="C159" i="23"/>
  <c r="D159" i="23"/>
  <c r="E159" i="23"/>
  <c r="F159" i="23"/>
  <c r="J159" i="23"/>
  <c r="K159" i="23"/>
  <c r="R159" i="23"/>
  <c r="T159" i="23"/>
  <c r="C160" i="23"/>
  <c r="D160" i="23"/>
  <c r="E160" i="23"/>
  <c r="F160" i="23"/>
  <c r="J160" i="23"/>
  <c r="K160" i="23"/>
  <c r="R160" i="23"/>
  <c r="T160" i="23"/>
  <c r="U160" i="23"/>
  <c r="C161" i="23"/>
  <c r="D161" i="23"/>
  <c r="E161" i="23"/>
  <c r="F161" i="23"/>
  <c r="J161" i="23"/>
  <c r="K161" i="23"/>
  <c r="R161" i="23"/>
  <c r="T161" i="23"/>
  <c r="C162" i="23"/>
  <c r="D162" i="23"/>
  <c r="E162" i="23"/>
  <c r="F162" i="23"/>
  <c r="J162" i="23"/>
  <c r="K162" i="23"/>
  <c r="R162" i="23"/>
  <c r="T162" i="23"/>
  <c r="U162" i="23"/>
  <c r="C163" i="23"/>
  <c r="D163" i="23"/>
  <c r="E163" i="23"/>
  <c r="F163" i="23"/>
  <c r="J163" i="23"/>
  <c r="K163" i="23"/>
  <c r="R163" i="23"/>
  <c r="T163" i="23"/>
  <c r="C164" i="23"/>
  <c r="D164" i="23"/>
  <c r="E164" i="23"/>
  <c r="F164" i="23"/>
  <c r="J164" i="23"/>
  <c r="K164" i="23"/>
  <c r="R164" i="23"/>
  <c r="S164" i="23"/>
  <c r="T164" i="23"/>
  <c r="U164" i="23"/>
  <c r="C165" i="23"/>
  <c r="D165" i="23"/>
  <c r="E165" i="23"/>
  <c r="F165" i="23"/>
  <c r="J165" i="23"/>
  <c r="K165" i="23"/>
  <c r="R165" i="23"/>
  <c r="S165" i="23"/>
  <c r="T165" i="23"/>
  <c r="U165" i="23"/>
  <c r="C166" i="23"/>
  <c r="D166" i="23"/>
  <c r="E166" i="23"/>
  <c r="F166" i="23"/>
  <c r="J166" i="23"/>
  <c r="K166" i="23"/>
  <c r="R166" i="23"/>
  <c r="S166" i="23"/>
  <c r="T166" i="23"/>
  <c r="U166" i="23"/>
  <c r="C167" i="23"/>
  <c r="D167" i="23"/>
  <c r="E167" i="23"/>
  <c r="F167" i="23"/>
  <c r="J167" i="23"/>
  <c r="K167" i="23"/>
  <c r="R167" i="23"/>
  <c r="S167" i="23"/>
  <c r="T167" i="23"/>
  <c r="U167" i="23"/>
  <c r="C168" i="23"/>
  <c r="D168" i="23"/>
  <c r="E168" i="23"/>
  <c r="F168" i="23"/>
  <c r="J168" i="23"/>
  <c r="K168" i="23"/>
  <c r="R168" i="23"/>
  <c r="T168" i="23"/>
  <c r="U168" i="23"/>
  <c r="C169" i="23"/>
  <c r="D169" i="23"/>
  <c r="E169" i="23"/>
  <c r="F169" i="23"/>
  <c r="J169" i="23"/>
  <c r="K169" i="23"/>
  <c r="R169" i="23"/>
  <c r="T169" i="23"/>
  <c r="C170" i="23"/>
  <c r="D170" i="23"/>
  <c r="E170" i="23"/>
  <c r="F170" i="23"/>
  <c r="J170" i="23"/>
  <c r="K170" i="23"/>
  <c r="R170" i="23"/>
  <c r="S170" i="23"/>
  <c r="T170" i="23"/>
  <c r="U170" i="23"/>
  <c r="C171" i="23"/>
  <c r="D171" i="23"/>
  <c r="E171" i="23"/>
  <c r="F171" i="23"/>
  <c r="J171" i="23"/>
  <c r="K171" i="23"/>
  <c r="R171" i="23"/>
  <c r="S171" i="23"/>
  <c r="T171" i="23"/>
  <c r="U171" i="23"/>
  <c r="C172" i="23"/>
  <c r="D172" i="23"/>
  <c r="E172" i="23"/>
  <c r="F172" i="23"/>
  <c r="J172" i="23"/>
  <c r="K172" i="23"/>
  <c r="R172" i="23"/>
  <c r="S172" i="23"/>
  <c r="T172" i="23"/>
  <c r="U172" i="23"/>
  <c r="C173" i="23"/>
  <c r="D173" i="23"/>
  <c r="E173" i="23"/>
  <c r="F173" i="23"/>
  <c r="J173" i="23"/>
  <c r="K173" i="23"/>
  <c r="R173" i="23"/>
  <c r="S173" i="23"/>
  <c r="T173" i="23"/>
  <c r="U173" i="23"/>
  <c r="C174" i="23"/>
  <c r="D174" i="23"/>
  <c r="E174" i="23"/>
  <c r="F174" i="23"/>
  <c r="J174" i="23"/>
  <c r="K174" i="23"/>
  <c r="R174" i="23"/>
  <c r="S174" i="23"/>
  <c r="T174" i="23"/>
  <c r="U174" i="23"/>
  <c r="C175" i="23"/>
  <c r="D175" i="23"/>
  <c r="E175" i="23"/>
  <c r="F175" i="23"/>
  <c r="J175" i="23"/>
  <c r="K175" i="23"/>
  <c r="R175" i="23"/>
  <c r="S175" i="23"/>
  <c r="T175" i="23"/>
  <c r="U175" i="23"/>
  <c r="C176" i="23"/>
  <c r="D176" i="23"/>
  <c r="E176" i="23"/>
  <c r="F176" i="23"/>
  <c r="J176" i="23"/>
  <c r="K176" i="23"/>
  <c r="R176" i="23"/>
  <c r="S176" i="23"/>
  <c r="T176" i="23"/>
  <c r="U176" i="23"/>
  <c r="C177" i="23"/>
  <c r="D177" i="23"/>
  <c r="E177" i="23"/>
  <c r="F177" i="23"/>
  <c r="J177" i="23"/>
  <c r="K177" i="23"/>
  <c r="R177" i="23"/>
  <c r="S177" i="23"/>
  <c r="T177" i="23"/>
  <c r="U177" i="23"/>
  <c r="C178" i="23"/>
  <c r="D178" i="23"/>
  <c r="E178" i="23"/>
  <c r="F178" i="23"/>
  <c r="J178" i="23"/>
  <c r="K178" i="23"/>
  <c r="R178" i="23"/>
  <c r="T178" i="23"/>
  <c r="U178" i="23"/>
  <c r="C179" i="23"/>
  <c r="D179" i="23"/>
  <c r="E179" i="23"/>
  <c r="F179" i="23"/>
  <c r="J179" i="23"/>
  <c r="K179" i="23"/>
  <c r="T179" i="23"/>
  <c r="C180" i="23"/>
  <c r="D180" i="23"/>
  <c r="E180" i="23"/>
  <c r="F180" i="23"/>
  <c r="J180" i="23"/>
  <c r="K180" i="23"/>
  <c r="R180" i="23"/>
  <c r="S180" i="23"/>
  <c r="T180" i="23"/>
  <c r="U180" i="23"/>
  <c r="C181" i="23"/>
  <c r="D181" i="23"/>
  <c r="E181" i="23"/>
  <c r="F181" i="23"/>
  <c r="J181" i="23"/>
  <c r="K181" i="23"/>
  <c r="R181" i="23"/>
  <c r="S181" i="23"/>
  <c r="T181" i="23"/>
  <c r="U181" i="23"/>
  <c r="C182" i="23"/>
  <c r="D182" i="23"/>
  <c r="E182" i="23"/>
  <c r="F182" i="23"/>
  <c r="J182" i="23"/>
  <c r="K182" i="23"/>
  <c r="R182" i="23"/>
  <c r="S182" i="23"/>
  <c r="T182" i="23"/>
  <c r="U182" i="23"/>
  <c r="C183" i="23"/>
  <c r="D183" i="23"/>
  <c r="E183" i="23"/>
  <c r="F183" i="23"/>
  <c r="J183" i="23"/>
  <c r="K183" i="23"/>
  <c r="R183" i="23"/>
  <c r="S183" i="23"/>
  <c r="T183" i="23"/>
  <c r="U183" i="23"/>
  <c r="C184" i="23"/>
  <c r="D184" i="23"/>
  <c r="E184" i="23"/>
  <c r="F184" i="23"/>
  <c r="J184" i="23"/>
  <c r="K184" i="23"/>
  <c r="R184" i="23"/>
  <c r="T184" i="23"/>
  <c r="U184" i="23"/>
  <c r="C185" i="23"/>
  <c r="D185" i="23"/>
  <c r="E185" i="23"/>
  <c r="F185" i="23"/>
  <c r="J185" i="23"/>
  <c r="K185" i="23"/>
  <c r="R185" i="23"/>
  <c r="T185" i="23"/>
  <c r="C186" i="23"/>
  <c r="D186" i="23"/>
  <c r="E186" i="23"/>
  <c r="F186" i="23"/>
  <c r="J186" i="23"/>
  <c r="K186" i="23"/>
  <c r="R186" i="23"/>
  <c r="S186" i="23"/>
  <c r="T186" i="23"/>
  <c r="U186" i="23"/>
  <c r="C187" i="23"/>
  <c r="D187" i="23"/>
  <c r="E187" i="23"/>
  <c r="F187" i="23"/>
  <c r="J187" i="23"/>
  <c r="K187" i="23"/>
  <c r="R187" i="23"/>
  <c r="S187" i="23"/>
  <c r="T187" i="23"/>
  <c r="U187" i="23"/>
  <c r="C188" i="23"/>
  <c r="D188" i="23"/>
  <c r="E188" i="23"/>
  <c r="F188" i="23"/>
  <c r="J188" i="23"/>
  <c r="K188" i="23"/>
  <c r="R188" i="23"/>
  <c r="S188" i="23"/>
  <c r="T188" i="23"/>
  <c r="U188" i="23"/>
  <c r="C197" i="23"/>
  <c r="D197" i="23"/>
  <c r="E197" i="23"/>
  <c r="F197" i="23"/>
  <c r="J197" i="23"/>
  <c r="K197" i="23"/>
  <c r="R197" i="23"/>
  <c r="S197" i="23"/>
  <c r="T197" i="23"/>
  <c r="C198" i="23"/>
  <c r="D198" i="23"/>
  <c r="E198" i="23"/>
  <c r="F198" i="23"/>
  <c r="J198" i="23"/>
  <c r="K198" i="23"/>
  <c r="R198" i="23"/>
  <c r="S198" i="23"/>
  <c r="T198" i="23"/>
  <c r="C199" i="23"/>
  <c r="D199" i="23"/>
  <c r="E199" i="23"/>
  <c r="F199" i="23"/>
  <c r="J199" i="23"/>
  <c r="K199" i="23"/>
  <c r="R199" i="23"/>
  <c r="S199" i="23"/>
  <c r="T199" i="23"/>
  <c r="C200" i="23"/>
  <c r="D200" i="23"/>
  <c r="E200" i="23"/>
  <c r="F200" i="23"/>
  <c r="J200" i="23"/>
  <c r="K200" i="23"/>
  <c r="R200" i="23"/>
  <c r="S200" i="23"/>
  <c r="T200" i="23"/>
  <c r="C201" i="23"/>
  <c r="D201" i="23"/>
  <c r="E201" i="23"/>
  <c r="F201" i="23"/>
  <c r="J201" i="23"/>
  <c r="K201" i="23"/>
  <c r="R201" i="23"/>
  <c r="S201" i="23"/>
  <c r="T201" i="23"/>
  <c r="U201" i="23"/>
  <c r="C202" i="23"/>
  <c r="D202" i="23"/>
  <c r="E202" i="23"/>
  <c r="F202" i="23"/>
  <c r="J202" i="23"/>
  <c r="K202" i="23"/>
  <c r="R202" i="23"/>
  <c r="S202" i="23"/>
  <c r="T202" i="23"/>
  <c r="U202" i="23"/>
  <c r="C203" i="23"/>
  <c r="D203" i="23"/>
  <c r="E203" i="23"/>
  <c r="F203" i="23"/>
  <c r="J203" i="23"/>
  <c r="K203" i="23"/>
  <c r="R203" i="23"/>
  <c r="S203" i="23"/>
  <c r="T203" i="23"/>
  <c r="U203" i="23"/>
  <c r="C204" i="23"/>
  <c r="D204" i="23"/>
  <c r="E204" i="23"/>
  <c r="F204" i="23"/>
  <c r="J204" i="23"/>
  <c r="K204" i="23"/>
  <c r="R204" i="23"/>
  <c r="S204" i="23"/>
  <c r="T204" i="23"/>
  <c r="U204" i="23"/>
  <c r="C205" i="23"/>
  <c r="D205" i="23"/>
  <c r="E205" i="23"/>
  <c r="F205" i="23"/>
  <c r="J205" i="23"/>
  <c r="K205" i="23"/>
  <c r="R205" i="23"/>
  <c r="S205" i="23"/>
  <c r="T205" i="23"/>
  <c r="U205" i="23"/>
  <c r="C206" i="23"/>
  <c r="D206" i="23"/>
  <c r="E206" i="23"/>
  <c r="F206" i="23"/>
  <c r="J206" i="23"/>
  <c r="K206" i="23"/>
  <c r="R206" i="23"/>
  <c r="S206" i="23"/>
  <c r="T206" i="23"/>
  <c r="C207" i="23"/>
  <c r="D207" i="23"/>
  <c r="E207" i="23"/>
  <c r="F207" i="23"/>
  <c r="J207" i="23"/>
  <c r="K207" i="23"/>
  <c r="R207" i="23"/>
  <c r="S207" i="23"/>
  <c r="T207" i="23"/>
  <c r="C208" i="23"/>
  <c r="D208" i="23"/>
  <c r="E208" i="23"/>
  <c r="F208" i="23"/>
  <c r="J208" i="23"/>
  <c r="K208" i="23"/>
  <c r="R208" i="23"/>
  <c r="S208" i="23"/>
  <c r="T208" i="23"/>
  <c r="C209" i="23"/>
  <c r="D209" i="23"/>
  <c r="E209" i="23"/>
  <c r="F209" i="23"/>
  <c r="J209" i="23"/>
  <c r="K209" i="23"/>
  <c r="R209" i="23"/>
  <c r="S209" i="23"/>
  <c r="T209" i="23"/>
  <c r="C210" i="23"/>
  <c r="D210" i="23"/>
  <c r="E210" i="23"/>
  <c r="F210" i="23"/>
  <c r="J210" i="23"/>
  <c r="K210" i="23"/>
  <c r="R210" i="23"/>
  <c r="T210" i="23"/>
  <c r="U210" i="23"/>
  <c r="C211" i="23"/>
  <c r="D211" i="23"/>
  <c r="E211" i="23"/>
  <c r="F211" i="23"/>
  <c r="J211" i="23"/>
  <c r="K211" i="23"/>
  <c r="T211" i="23"/>
  <c r="C212" i="23"/>
  <c r="D212" i="23"/>
  <c r="E212" i="23"/>
  <c r="F212" i="23"/>
  <c r="J212" i="23"/>
  <c r="K212" i="23"/>
  <c r="R212" i="23"/>
  <c r="S212" i="23"/>
  <c r="T212" i="23"/>
  <c r="U212" i="23"/>
  <c r="C213" i="23"/>
  <c r="D213" i="23"/>
  <c r="E213" i="23"/>
  <c r="F213" i="23"/>
  <c r="J213" i="23"/>
  <c r="K213" i="23"/>
  <c r="R213" i="23"/>
  <c r="S213" i="23"/>
  <c r="T213" i="23"/>
  <c r="U213" i="23"/>
  <c r="C214" i="23"/>
  <c r="D214" i="23"/>
  <c r="E214" i="23"/>
  <c r="F214" i="23"/>
  <c r="J214" i="23"/>
  <c r="K214" i="23"/>
  <c r="R214" i="23"/>
  <c r="S214" i="23"/>
  <c r="T214" i="23"/>
  <c r="U214" i="23"/>
  <c r="C215" i="23"/>
  <c r="D215" i="23"/>
  <c r="E215" i="23"/>
  <c r="F215" i="23"/>
  <c r="J215" i="23"/>
  <c r="K215" i="23"/>
  <c r="R215" i="23"/>
  <c r="S215" i="23"/>
  <c r="T215" i="23"/>
  <c r="U215" i="23"/>
  <c r="C216" i="23"/>
  <c r="D216" i="23"/>
  <c r="E216" i="23"/>
  <c r="F216" i="23"/>
  <c r="J216" i="23"/>
  <c r="K216" i="23"/>
  <c r="R216" i="23"/>
  <c r="S216" i="23"/>
  <c r="T216" i="23"/>
  <c r="U216" i="23"/>
  <c r="C217" i="23"/>
  <c r="D217" i="23"/>
  <c r="E217" i="23"/>
  <c r="F217" i="23"/>
  <c r="J217" i="23"/>
  <c r="K217" i="23"/>
  <c r="R217" i="23"/>
  <c r="S217" i="23"/>
  <c r="T217" i="23"/>
  <c r="U217" i="23"/>
  <c r="C218" i="23"/>
  <c r="D218" i="23"/>
  <c r="E218" i="23"/>
  <c r="F218" i="23"/>
  <c r="J218" i="23"/>
  <c r="K218" i="23"/>
  <c r="R218" i="23"/>
  <c r="T218" i="23"/>
  <c r="U218" i="23"/>
  <c r="C219" i="23"/>
  <c r="D219" i="23"/>
  <c r="E219" i="23"/>
  <c r="F219" i="23"/>
  <c r="J219" i="23"/>
  <c r="K219" i="23"/>
  <c r="R219" i="23"/>
  <c r="T219" i="23"/>
  <c r="C220" i="23"/>
  <c r="D220" i="23"/>
  <c r="E220" i="23"/>
  <c r="F220" i="23"/>
  <c r="J220" i="23"/>
  <c r="K220" i="23"/>
  <c r="R220" i="23"/>
  <c r="S220" i="23"/>
  <c r="T220" i="23"/>
  <c r="U220" i="23"/>
  <c r="C221" i="23"/>
  <c r="D221" i="23"/>
  <c r="E221" i="23"/>
  <c r="F221" i="23"/>
  <c r="J221" i="23"/>
  <c r="K221" i="23"/>
  <c r="R221" i="23"/>
  <c r="S221" i="23"/>
  <c r="T221" i="23"/>
  <c r="U221" i="23"/>
  <c r="C222" i="23"/>
  <c r="D222" i="23"/>
  <c r="E222" i="23"/>
  <c r="F222" i="23"/>
  <c r="J222" i="23"/>
  <c r="K222" i="23"/>
  <c r="R222" i="23"/>
  <c r="S222" i="23"/>
  <c r="T222" i="23"/>
  <c r="U222" i="23"/>
  <c r="C223" i="23"/>
  <c r="D223" i="23"/>
  <c r="E223" i="23"/>
  <c r="F223" i="23"/>
  <c r="J223" i="23"/>
  <c r="K223" i="23"/>
  <c r="R223" i="23"/>
  <c r="S223" i="23"/>
  <c r="T223" i="23"/>
  <c r="U223" i="23"/>
  <c r="C224" i="23"/>
  <c r="D224" i="23"/>
  <c r="E224" i="23"/>
  <c r="F224" i="23"/>
  <c r="J224" i="23"/>
  <c r="K224" i="23"/>
  <c r="R224" i="23"/>
  <c r="T224" i="23"/>
  <c r="U224" i="23"/>
  <c r="C225" i="23"/>
  <c r="D225" i="23"/>
  <c r="E225" i="23"/>
  <c r="F225" i="23"/>
  <c r="J225" i="23"/>
  <c r="K225" i="23"/>
  <c r="R225" i="23"/>
  <c r="T225" i="23"/>
  <c r="C226" i="23"/>
  <c r="D226" i="23"/>
  <c r="E226" i="23"/>
  <c r="F226" i="23"/>
  <c r="J226" i="23"/>
  <c r="K226" i="23"/>
  <c r="R226" i="23"/>
  <c r="S226" i="23"/>
  <c r="T226" i="23"/>
  <c r="U226" i="23"/>
  <c r="C227" i="23"/>
  <c r="D227" i="23"/>
  <c r="E227" i="23"/>
  <c r="F227" i="23"/>
  <c r="J227" i="23"/>
  <c r="K227" i="23"/>
  <c r="R227" i="23"/>
  <c r="S227" i="23"/>
  <c r="T227" i="23"/>
  <c r="U227" i="23"/>
  <c r="C228" i="23"/>
  <c r="D228" i="23"/>
  <c r="E228" i="23"/>
  <c r="F228" i="23"/>
  <c r="J228" i="23"/>
  <c r="K228" i="23"/>
  <c r="R228" i="23"/>
  <c r="T228" i="23"/>
  <c r="U228" i="23"/>
  <c r="C229" i="23"/>
  <c r="D229" i="23"/>
  <c r="E229" i="23"/>
  <c r="F229" i="23"/>
  <c r="J229" i="23"/>
  <c r="K229" i="23"/>
  <c r="R229" i="23"/>
  <c r="T229" i="23"/>
  <c r="C230" i="23"/>
  <c r="D230" i="23"/>
  <c r="E230" i="23"/>
  <c r="F230" i="23"/>
  <c r="J230" i="23"/>
  <c r="K230" i="23"/>
  <c r="R230" i="23"/>
  <c r="S230" i="23"/>
  <c r="T230" i="23"/>
  <c r="U230" i="23"/>
  <c r="C231" i="23"/>
  <c r="D231" i="23"/>
  <c r="E231" i="23"/>
  <c r="F231" i="23"/>
  <c r="J231" i="23"/>
  <c r="K231" i="23"/>
  <c r="R231" i="23"/>
  <c r="S231" i="23"/>
  <c r="T231" i="23"/>
  <c r="U231" i="23"/>
  <c r="C232" i="23"/>
  <c r="D232" i="23"/>
  <c r="E232" i="23"/>
  <c r="F232" i="23"/>
  <c r="J232" i="23"/>
  <c r="K232" i="23"/>
  <c r="R232" i="23"/>
  <c r="S232" i="23"/>
  <c r="T232" i="23"/>
  <c r="U232" i="23"/>
  <c r="C234" i="23"/>
  <c r="D234" i="23"/>
  <c r="E234" i="23"/>
  <c r="F234" i="23"/>
  <c r="J234" i="23"/>
  <c r="K234" i="23"/>
  <c r="R234" i="23"/>
  <c r="S234" i="23"/>
  <c r="T234" i="23"/>
  <c r="C235" i="23"/>
  <c r="D235" i="23"/>
  <c r="E235" i="23"/>
  <c r="F235" i="23"/>
  <c r="J235" i="23"/>
  <c r="K235" i="23"/>
  <c r="R235" i="23"/>
  <c r="S235" i="23"/>
  <c r="T235" i="23"/>
  <c r="C236" i="23"/>
  <c r="D236" i="23"/>
  <c r="E236" i="23"/>
  <c r="F236" i="23"/>
  <c r="J236" i="23"/>
  <c r="K236" i="23"/>
  <c r="R236" i="23"/>
  <c r="S236" i="23"/>
  <c r="T236" i="23"/>
  <c r="C237" i="23"/>
  <c r="D237" i="23"/>
  <c r="E237" i="23"/>
  <c r="F237" i="23"/>
  <c r="J237" i="23"/>
  <c r="K237" i="23"/>
  <c r="R237" i="23"/>
  <c r="S237" i="23"/>
  <c r="T237" i="23"/>
  <c r="C238" i="23"/>
  <c r="D238" i="23"/>
  <c r="E238" i="23"/>
  <c r="F238" i="23"/>
  <c r="J238" i="23"/>
  <c r="K238" i="23"/>
  <c r="R238" i="23"/>
  <c r="T238" i="23"/>
  <c r="C239" i="23"/>
  <c r="D239" i="23"/>
  <c r="E239" i="23"/>
  <c r="F239" i="23"/>
  <c r="J239" i="23"/>
  <c r="K239" i="23"/>
  <c r="T239" i="23"/>
  <c r="C240" i="23"/>
  <c r="D240" i="23"/>
  <c r="E240" i="23"/>
  <c r="F240" i="23"/>
  <c r="J240" i="23"/>
  <c r="K240" i="23"/>
  <c r="R240" i="23"/>
  <c r="T240" i="23"/>
  <c r="C241" i="23"/>
  <c r="D241" i="23"/>
  <c r="E241" i="23"/>
  <c r="F241" i="23"/>
  <c r="J241" i="23"/>
  <c r="K241" i="23"/>
  <c r="T241" i="23"/>
  <c r="C242" i="23"/>
  <c r="D242" i="23"/>
  <c r="E242" i="23"/>
  <c r="F242" i="23"/>
  <c r="J242" i="23"/>
  <c r="K242" i="23"/>
  <c r="R242" i="23"/>
  <c r="T242" i="23"/>
  <c r="C243" i="23"/>
  <c r="D243" i="23"/>
  <c r="E243" i="23"/>
  <c r="F243" i="23"/>
  <c r="J243" i="23"/>
  <c r="K243" i="23"/>
  <c r="R243" i="23"/>
  <c r="T243" i="23"/>
  <c r="C244" i="23"/>
  <c r="D244" i="23"/>
  <c r="E244" i="23"/>
  <c r="F244" i="23"/>
  <c r="J244" i="23"/>
  <c r="K244" i="23"/>
  <c r="R244" i="23"/>
  <c r="T244" i="23"/>
  <c r="C245" i="23"/>
  <c r="D245" i="23"/>
  <c r="E245" i="23"/>
  <c r="F245" i="23"/>
  <c r="J245" i="23"/>
  <c r="K245" i="23"/>
  <c r="R245" i="23"/>
  <c r="T245" i="23"/>
  <c r="C246" i="23"/>
  <c r="D246" i="23"/>
  <c r="E246" i="23"/>
  <c r="F246" i="23"/>
  <c r="J246" i="23"/>
  <c r="K246" i="23"/>
  <c r="R246" i="23"/>
  <c r="S246" i="23"/>
  <c r="T246" i="23"/>
  <c r="C247" i="23"/>
  <c r="D247" i="23"/>
  <c r="E247" i="23"/>
  <c r="F247" i="23"/>
  <c r="J247" i="23"/>
  <c r="K247" i="23"/>
  <c r="R247" i="23"/>
  <c r="S247" i="23"/>
  <c r="T247" i="23"/>
  <c r="C248" i="23"/>
  <c r="D248" i="23"/>
  <c r="E248" i="23"/>
  <c r="F248" i="23"/>
  <c r="J248" i="23"/>
  <c r="K248" i="23"/>
  <c r="R248" i="23"/>
  <c r="S248" i="23"/>
  <c r="T248" i="23"/>
  <c r="U23" i="23"/>
  <c r="U80" i="23"/>
  <c r="U83" i="23"/>
  <c r="U86" i="23"/>
  <c r="U129" i="23"/>
  <c r="U155" i="23"/>
  <c r="U157" i="23"/>
  <c r="U159" i="23"/>
  <c r="U161" i="23"/>
  <c r="U163" i="23"/>
  <c r="U169" i="23"/>
  <c r="U179" i="23"/>
  <c r="U185" i="23"/>
  <c r="U206" i="23"/>
  <c r="U207" i="23"/>
  <c r="U208" i="23"/>
  <c r="U209" i="23"/>
  <c r="U211" i="23"/>
  <c r="U219" i="23"/>
  <c r="U225" i="23"/>
  <c r="U229" i="23"/>
  <c r="B53" i="33"/>
  <c r="B54" i="33"/>
  <c r="B55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35" i="33"/>
  <c r="B33" i="33"/>
  <c r="B31" i="33"/>
  <c r="B29" i="33"/>
  <c r="B28" i="33"/>
  <c r="B27" i="33"/>
  <c r="B26" i="33"/>
  <c r="B21" i="33"/>
  <c r="B20" i="33"/>
  <c r="B19" i="33"/>
  <c r="B18" i="33"/>
  <c r="F14" i="48"/>
  <c r="F18" i="48"/>
  <c r="D12" i="48"/>
  <c r="F20" i="48"/>
  <c r="F16" i="48"/>
  <c r="F12" i="48"/>
  <c r="G18" i="48"/>
  <c r="G14" i="48"/>
  <c r="G20" i="48"/>
  <c r="G16" i="48"/>
  <c r="G12" i="48"/>
  <c r="E18" i="48"/>
  <c r="E20" i="48"/>
  <c r="E14" i="48"/>
  <c r="E16" i="48"/>
  <c r="E12" i="48"/>
  <c r="G17" i="48"/>
  <c r="D11" i="48"/>
  <c r="G19" i="48"/>
  <c r="G15" i="48"/>
  <c r="G11" i="48"/>
  <c r="F17" i="48"/>
  <c r="F19" i="48"/>
  <c r="F15" i="48"/>
  <c r="F11" i="48"/>
  <c r="E17" i="48"/>
  <c r="E19" i="48"/>
  <c r="E15" i="48"/>
  <c r="E11" i="48"/>
  <c r="D10" i="48"/>
  <c r="G10" i="48"/>
  <c r="F10" i="48"/>
  <c r="E10" i="48"/>
  <c r="D9" i="48"/>
  <c r="G9" i="48"/>
  <c r="F9" i="48"/>
  <c r="E9" i="48"/>
  <c r="D8" i="48"/>
  <c r="G8" i="48"/>
  <c r="F8" i="48"/>
  <c r="E8" i="48"/>
  <c r="D7" i="48"/>
  <c r="G7" i="48"/>
  <c r="F7" i="48"/>
  <c r="E7" i="48"/>
  <c r="D6" i="48"/>
  <c r="G6" i="48"/>
  <c r="F6" i="48"/>
  <c r="E6" i="48"/>
  <c r="D5" i="48"/>
  <c r="G5" i="48"/>
  <c r="F5" i="48"/>
  <c r="E5" i="48"/>
  <c r="D4" i="48"/>
  <c r="G4" i="48"/>
  <c r="F4" i="48"/>
  <c r="E4" i="48"/>
  <c r="D3" i="48"/>
  <c r="G3" i="48"/>
  <c r="F3" i="48"/>
  <c r="E3" i="48"/>
  <c r="G22" i="48"/>
  <c r="F22" i="48"/>
  <c r="E22" i="48"/>
  <c r="G21" i="48"/>
  <c r="F21" i="48"/>
  <c r="E21" i="48"/>
  <c r="G23" i="48"/>
  <c r="F23" i="48"/>
  <c r="E23" i="48"/>
  <c r="B17" i="33"/>
  <c r="B16" i="33"/>
  <c r="B15" i="33"/>
  <c r="B14" i="33"/>
  <c r="B13" i="33"/>
  <c r="B12" i="33"/>
  <c r="B11" i="33"/>
  <c r="B10" i="33"/>
  <c r="B9" i="33"/>
  <c r="B8" i="33"/>
  <c r="B7" i="33"/>
  <c r="B6" i="33"/>
  <c r="B5" i="33"/>
  <c r="B4" i="33"/>
  <c r="B3" i="33"/>
  <c r="B2" i="33"/>
  <c r="T250" i="23"/>
</calcChain>
</file>

<file path=xl/sharedStrings.xml><?xml version="1.0" encoding="utf-8"?>
<sst xmlns="http://schemas.openxmlformats.org/spreadsheetml/2006/main" count="755" uniqueCount="180">
  <si>
    <t>color</t>
  </si>
  <si>
    <t>rare</t>
  </si>
  <si>
    <t>レアレリティ</t>
  </si>
  <si>
    <t>金額</t>
  </si>
  <si>
    <t>character_id</t>
  </si>
  <si>
    <t>drop_label</t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</si>
  <si>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</si>
  <si>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</si>
  <si>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</si>
  <si>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character_id</t>
    <phoneticPr fontId="9"/>
  </si>
  <si>
    <t>quest_id</t>
    <phoneticPr fontId="9"/>
  </si>
  <si>
    <t>stage_id</t>
    <phoneticPr fontId="13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</si>
  <si>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</si>
  <si>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</si>
  <si>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</si>
  <si>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</si>
  <si>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</si>
  <si>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character_sub_tribe_id</t>
    <phoneticPr fontId="10"/>
  </si>
  <si>
    <t>material_character_id</t>
  </si>
  <si>
    <t>material_count</t>
  </si>
  <si>
    <t>name</t>
    <phoneticPr fontId="13"/>
  </si>
  <si>
    <t>name</t>
    <phoneticPr fontId="10"/>
  </si>
  <si>
    <t>name</t>
    <phoneticPr fontId="10"/>
  </si>
  <si>
    <t>NULL</t>
  </si>
  <si>
    <t>name</t>
    <phoneticPr fontId="10"/>
  </si>
  <si>
    <t>base_character_id</t>
    <phoneticPr fontId="10"/>
  </si>
  <si>
    <t>awake_character_id</t>
    <phoneticPr fontId="10"/>
  </si>
  <si>
    <t>awake_character_id</t>
    <phoneticPr fontId="11"/>
  </si>
  <si>
    <t>rare</t>
    <phoneticPr fontId="19"/>
  </si>
  <si>
    <t>min</t>
    <phoneticPr fontId="19"/>
  </si>
  <si>
    <t>max</t>
    <phoneticPr fontId="19"/>
  </si>
  <si>
    <t>HP</t>
    <phoneticPr fontId="19"/>
  </si>
  <si>
    <t>ATTACK</t>
    <phoneticPr fontId="19"/>
  </si>
  <si>
    <t>HEAL</t>
    <phoneticPr fontId="19"/>
  </si>
  <si>
    <t>type</t>
    <phoneticPr fontId="19"/>
  </si>
  <si>
    <t>color</t>
    <phoneticPr fontId="19"/>
  </si>
  <si>
    <t>tribe</t>
    <phoneticPr fontId="19"/>
  </si>
  <si>
    <t>RC6SV</t>
    <phoneticPr fontId="19"/>
  </si>
  <si>
    <t>max</t>
    <phoneticPr fontId="19"/>
  </si>
  <si>
    <t>係数</t>
    <rPh sb="0" eb="2">
      <t>ケイスウ</t>
    </rPh>
    <phoneticPr fontId="19"/>
  </si>
  <si>
    <t>ratio
subtotal</t>
    <phoneticPr fontId="19"/>
  </si>
  <si>
    <t>diff</t>
    <phoneticPr fontId="19"/>
  </si>
  <si>
    <t>status</t>
    <phoneticPr fontId="19"/>
  </si>
  <si>
    <t>default</t>
    <phoneticPr fontId="19"/>
  </si>
  <si>
    <t>character_id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</si>
  <si>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</si>
  <si>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</si>
  <si>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接頭語</t>
    <rPh sb="0" eb="3">
      <t>セットウゴ</t>
    </rPh>
    <phoneticPr fontId="19"/>
  </si>
  <si>
    <t>識別子</t>
    <rPh sb="0" eb="3">
      <t>シキベツシ</t>
    </rPh>
    <phoneticPr fontId="19"/>
  </si>
  <si>
    <t>形式</t>
    <rPh sb="0" eb="2">
      <t>ケイシキ</t>
    </rPh>
    <phoneticPr fontId="19"/>
  </si>
  <si>
    <t>出力ファイル名</t>
    <rPh sb="0" eb="2">
      <t>シュツリョク</t>
    </rPh>
    <rPh sb="6" eb="7">
      <t>メイ</t>
    </rPh>
    <phoneticPr fontId="19"/>
  </si>
  <si>
    <t>入力シート名</t>
    <rPh sb="0" eb="2">
      <t>ニュウリョク</t>
    </rPh>
    <rPh sb="5" eb="6">
      <t>メイ</t>
    </rPh>
    <phoneticPr fontId="19"/>
  </si>
  <si>
    <t>出力データ</t>
    <rPh sb="0" eb="2">
      <t>シュツリョク</t>
    </rPh>
    <phoneticPr fontId="19"/>
  </si>
  <si>
    <t>出力flg</t>
    <rPh sb="0" eb="2">
      <t>シュツリョク</t>
    </rPh>
    <phoneticPr fontId="19"/>
  </si>
  <si>
    <t>temp_stage</t>
    <phoneticPr fontId="9"/>
  </si>
  <si>
    <t>stage</t>
    <phoneticPr fontId="13"/>
  </si>
  <si>
    <t>language</t>
    <phoneticPr fontId="19"/>
  </si>
  <si>
    <t>comment</t>
    <phoneticPr fontId="9"/>
  </si>
  <si>
    <t>ja</t>
    <phoneticPr fontId="19"/>
  </si>
  <si>
    <t>CM記念ミッションを達成して、
イグニスを手に入れよう！</t>
    <phoneticPr fontId="19"/>
  </si>
  <si>
    <t>【ロック】限界突破/ソロ
【超級】果実の楽園(ハートなし)</t>
    <rPh sb="5" eb="9">
      <t>ゲンカ</t>
    </rPh>
    <rPh sb="14" eb="16">
      <t>チョ</t>
    </rPh>
    <rPh sb="17" eb="19">
      <t>カJ</t>
    </rPh>
    <phoneticPr fontId="19"/>
  </si>
  <si>
    <t>リンクガチャで手に入れよう！</t>
    <rPh sb="7" eb="8">
      <t>テ</t>
    </rPh>
    <phoneticPr fontId="19"/>
  </si>
  <si>
    <t>【月〜木曜日限定】素材クエスト
上級ステージで稀に出現！</t>
    <rPh sb="1" eb="2">
      <t>ゲt</t>
    </rPh>
    <rPh sb="3" eb="4">
      <t>モk</t>
    </rPh>
    <rPh sb="4" eb="6">
      <t>ヨウb</t>
    </rPh>
    <rPh sb="6" eb="8">
      <t>ゲn</t>
    </rPh>
    <rPh sb="9" eb="11">
      <t>ソザ</t>
    </rPh>
    <rPh sb="16" eb="18">
      <t>ジョ</t>
    </rPh>
    <rPh sb="23" eb="24">
      <t>マr</t>
    </rPh>
    <rPh sb="25" eb="27">
      <t>sy</t>
    </rPh>
    <phoneticPr fontId="19"/>
  </si>
  <si>
    <t xml:space="preserve">【初級】火のチェシャ猫 </t>
  </si>
  <si>
    <t xml:space="preserve">【中級】火のウサギ </t>
  </si>
  <si>
    <t xml:space="preserve">【上級】火のイモムシ </t>
  </si>
  <si>
    <t xml:space="preserve">【超級】火の帽子屋 </t>
  </si>
  <si>
    <t xml:space="preserve">【初級】樹のチェシャ猫 </t>
  </si>
  <si>
    <t>【中級】樹のウサギ</t>
  </si>
  <si>
    <t xml:space="preserve">【上級】樹のイモムシ </t>
  </si>
  <si>
    <t xml:space="preserve">【超級】樹の帽子屋 </t>
  </si>
  <si>
    <t>【初級】水のチェシャ猫</t>
  </si>
  <si>
    <t xml:space="preserve">【中級】水のウサギ </t>
  </si>
  <si>
    <t>【上級】水のイモムシ</t>
  </si>
  <si>
    <t xml:space="preserve">【超級】水の帽子屋 </t>
  </si>
  <si>
    <t>【初級】雷のチェシャ猫</t>
  </si>
  <si>
    <t>【中級】雷のウサギ</t>
  </si>
  <si>
    <t>【上級】雷のイモムシ</t>
  </si>
  <si>
    <t>【超級】雷の帽子屋</t>
  </si>
  <si>
    <t>【上級】スチール・プレデター</t>
  </si>
  <si>
    <t>【上級】女王陛下の処刑龍</t>
  </si>
  <si>
    <t>【上級】天翔ける金轟機龍</t>
  </si>
  <si>
    <t>【上級】ザ・キャノン(4タップ)</t>
  </si>
  <si>
    <t>【超絶級】炎上のドードー</t>
  </si>
  <si>
    <t>【超絶級】千風のグリフォン</t>
  </si>
  <si>
    <t>【超絶級】深淵の代用ウミガメ</t>
  </si>
  <si>
    <t>【超絶級】醒電の眠りネズミ</t>
  </si>
  <si>
    <t xml:space="preserve">【超級】ハンター・オブ・ハンター </t>
  </si>
  <si>
    <t xml:space="preserve">【上級】紅き執行者 </t>
  </si>
  <si>
    <t>【超級】それはお前を食べるためさ</t>
  </si>
  <si>
    <t xml:space="preserve">【上級】メタルダックを捕獲せよ！ </t>
  </si>
  <si>
    <t xml:space="preserve">【超級】トリックスター </t>
  </si>
  <si>
    <t>【上級】孤高の一角獣</t>
  </si>
  <si>
    <t xml:space="preserve">【上級】忍び寄る短剣 </t>
  </si>
  <si>
    <t>【超絶級】最大最凶</t>
  </si>
  <si>
    <t>【超絶級】気怠い巨読者</t>
  </si>
  <si>
    <t>【超絶級】底なしの胃袋</t>
  </si>
  <si>
    <t>【超絶級】復活の捕食者</t>
  </si>
  <si>
    <t>【上級】すべてが灰になる</t>
  </si>
  <si>
    <t>【上級】罪と劇薬</t>
  </si>
  <si>
    <t>【上級】迫り来る窒息</t>
  </si>
  <si>
    <t>【上級】悪夢の一目惚れ</t>
  </si>
  <si>
    <t xml:space="preserve">【超級】ガラスの靴は私のもの </t>
  </si>
  <si>
    <t>【超級】ニンゲンにしてあげる</t>
  </si>
  <si>
    <t>【超級】わたしの嫁を返してもらおう</t>
  </si>
  <si>
    <t>【超絶級】決戦・竜宮城</t>
  </si>
  <si>
    <t>【超絶級】親指を突き立てろ！</t>
  </si>
  <si>
    <t>【上級】雷雲からの刺客</t>
  </si>
  <si>
    <t xml:space="preserve">【超級】打ち下ろされる砕棒 </t>
  </si>
  <si>
    <t xml:space="preserve">【超級】危険な仲裁者 </t>
  </si>
  <si>
    <t>【ウィザード級】アマテラス襲来</t>
  </si>
  <si>
    <t>【ウィザード級】アザゼル襲来</t>
  </si>
  <si>
    <t>【ウィザード級】ジャンヌ襲来</t>
  </si>
  <si>
    <t>【ウィザード級】宮本武蔵襲来</t>
  </si>
  <si>
    <t>【超絶級】兄妹の大冒険</t>
  </si>
  <si>
    <t>【超絶級】私がワニの天敵よ？</t>
  </si>
  <si>
    <t>【超絶級】狩人の挽歌</t>
  </si>
  <si>
    <t>【超絶級】バックストリートファイト</t>
  </si>
  <si>
    <t>【超絶級】狙撃は終わらない</t>
  </si>
  <si>
    <t>【上級】年を越える宴（ハートなし）</t>
  </si>
  <si>
    <t>【超絶級】若造よ、身の程を知れ</t>
  </si>
  <si>
    <t>【超級】野獣死すべしっ！</t>
  </si>
  <si>
    <t>【超絶級】凶鼠ネコを咬む</t>
  </si>
  <si>
    <t>【超級】隔離からのエスケイプ</t>
  </si>
  <si>
    <t xml:space="preserve">【ウィザード級】Gスター襲来 </t>
  </si>
  <si>
    <t>【上級】雪の歌姫</t>
  </si>
  <si>
    <t>【超絶級】雪の歌姫</t>
  </si>
  <si>
    <t>【ウィザード級】熱唱！初音ミクV3</t>
  </si>
  <si>
    <t xml:space="preserve">【超ウィザード級】オーディン襲来 </t>
  </si>
  <si>
    <t xml:space="preserve">【ウィザード級】フレイ襲来 </t>
  </si>
  <si>
    <t>【超級】道を阻む妖精夫婦</t>
  </si>
  <si>
    <t>【超級】真実の探求者</t>
  </si>
  <si>
    <t xml:space="preserve">【ウィザード級】フギンとムニン襲来 </t>
  </si>
  <si>
    <t>【超級】雷鎚の選定</t>
  </si>
  <si>
    <t xml:space="preserve">【ウィザード級】オズ襲来 </t>
  </si>
  <si>
    <t xml:space="preserve">【ウィザード級】アーサー襲来 </t>
  </si>
  <si>
    <t xml:space="preserve">【ウィザード級】グリム襲来 </t>
  </si>
  <si>
    <t xml:space="preserve">【ウィザード級】ヨミ襲来 </t>
  </si>
  <si>
    <t>【超級】凍りつくまで愛してあげる</t>
  </si>
  <si>
    <t>【超級】最悪の刺客</t>
  </si>
  <si>
    <t>【超級】全ては主のために</t>
  </si>
  <si>
    <t>【超級】ここは誰の箱庭じゃ？</t>
  </si>
  <si>
    <t>【超級】力への羨望</t>
  </si>
  <si>
    <t>【超級】赤き竜の制裁</t>
  </si>
  <si>
    <t>【上級】天の時、地の利、人の和</t>
  </si>
  <si>
    <t>【超級】御館様の懐刀</t>
  </si>
  <si>
    <t xml:space="preserve">【ウィザード級】ショウキ襲来 </t>
  </si>
  <si>
    <t xml:space="preserve">【ウィザード級】カーマ襲来 </t>
  </si>
  <si>
    <t xml:space="preserve">【ウィザード級】シヴァ襲来 </t>
  </si>
  <si>
    <t xml:space="preserve">【ウィザード級】ガレス襲来 </t>
  </si>
  <si>
    <t xml:space="preserve">【ウィザード級】武田信玄襲来 </t>
  </si>
  <si>
    <t>【超級】黄巾賊の暴走を止めろ</t>
  </si>
  <si>
    <t>【超級】ブルースクウェアを追え！</t>
  </si>
  <si>
    <t>【超級】果実達の大宴会</t>
  </si>
  <si>
    <t>【超級】果実の楽園（ハートなし）</t>
  </si>
  <si>
    <t>【超級】孤高の焔翼</t>
  </si>
  <si>
    <t>【上級】魅了する歌声</t>
  </si>
  <si>
    <t>【ウィザード級】ベルゼブブ襲来</t>
  </si>
  <si>
    <t>【上級】妄執とり憑く美貌の妃</t>
  </si>
  <si>
    <t>【超級】大鯨の呼び声</t>
  </si>
  <si>
    <t xml:space="preserve">【超級】ニムダのおきにいり♪ </t>
  </si>
  <si>
    <t>【上級】ポ</t>
  </si>
  <si>
    <t>【超絶級】ポ</t>
  </si>
  <si>
    <t>【超級】猛然たる炎獣使い</t>
  </si>
  <si>
    <t>【上級】寡黙な翼竜の侵攻</t>
  </si>
  <si>
    <t>awake_cost</t>
    <phoneticPr fontId="10"/>
  </si>
  <si>
    <t>fork_awake_units</t>
    <phoneticPr fontId="19"/>
  </si>
  <si>
    <t>awake_cost</t>
    <phoneticPr fontId="11"/>
  </si>
  <si>
    <t>awake_type</t>
    <phoneticPr fontId="11"/>
  </si>
  <si>
    <t>awake_type</t>
    <phoneticPr fontId="10"/>
  </si>
  <si>
    <t>normal</t>
    <phoneticPr fontId="10"/>
  </si>
  <si>
    <t>old</t>
    <phoneticPr fontId="19"/>
  </si>
  <si>
    <t>material_bug</t>
  </si>
  <si>
    <t>awake_character_id</t>
    <phoneticPr fontId="19"/>
  </si>
  <si>
    <t>character_id</t>
    <phoneticPr fontId="19"/>
  </si>
  <si>
    <t>priority</t>
    <phoneticPr fontId="19"/>
  </si>
  <si>
    <t>fork_awake_materials</t>
    <phoneticPr fontId="19"/>
  </si>
  <si>
    <t>.tmp</t>
    <phoneticPr fontId="19"/>
  </si>
  <si>
    <t>fork_awake_units_</t>
    <phoneticPr fontId="19"/>
  </si>
  <si>
    <t>fork_awake_materials_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</si>
</sst>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55"/>
      </patternFill>
    </fill>
    <fill>
      <patternFill patternType="solid">
        <fgColor theme="0" tint="-0.249977111117893"/>
        <bgColor indexed="27"/>
      </patternFill>
    </fill>
    <fill>
      <patternFill patternType="solid">
        <fgColor theme="4" tint="0.79998168889431442"/>
        <bgColor indexed="59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778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>
      <alignment vertical="center"/>
    </xf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Font="1" applyFill="1"/>
    <xf numFmtId="0" fontId="0" fillId="0" borderId="0" xfId="0" applyFont="1"/>
    <xf numFmtId="0" fontId="16" fillId="5" borderId="3" xfId="0" applyFont="1" applyFill="1" applyBorder="1" applyAlignment="1">
      <alignment horizontal="left" vertical="center"/>
    </xf>
    <xf numFmtId="0" fontId="16" fillId="0" borderId="1" xfId="0" applyFont="1" applyBorder="1" applyAlignment="1">
      <alignment vertical="center"/>
    </xf>
    <xf numFmtId="0" fontId="16" fillId="5" borderId="3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6" fillId="0" borderId="3" xfId="0" applyFont="1" applyFill="1" applyBorder="1" applyAlignment="1">
      <alignment horizontal="right" vertical="center" wrapText="1"/>
    </xf>
    <xf numFmtId="0" fontId="16" fillId="0" borderId="3" xfId="0" applyFont="1" applyBorder="1" applyAlignment="1">
      <alignment horizontal="right" vertical="center" wrapText="1"/>
    </xf>
    <xf numFmtId="0" fontId="16" fillId="0" borderId="3" xfId="0" applyFont="1" applyBorder="1"/>
    <xf numFmtId="0" fontId="16" fillId="9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/>
    </xf>
    <xf numFmtId="0" fontId="16" fillId="10" borderId="3" xfId="0" applyFont="1" applyFill="1" applyBorder="1"/>
    <xf numFmtId="0" fontId="16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3" xfId="0" applyFont="1" applyFill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4" fillId="0" borderId="3" xfId="0" applyFont="1" applyBorder="1" applyAlignment="1">
      <alignment horizontal="right" vertical="center" wrapText="1"/>
    </xf>
    <xf numFmtId="0" fontId="16" fillId="0" borderId="3" xfId="0" applyFont="1" applyFill="1" applyBorder="1"/>
    <xf numFmtId="0" fontId="16" fillId="5" borderId="1" xfId="0" applyFont="1" applyFill="1" applyBorder="1" applyAlignment="1">
      <alignment horizontal="left" vertical="center"/>
    </xf>
    <xf numFmtId="0" fontId="16" fillId="5" borderId="2" xfId="0" applyFont="1" applyFill="1" applyBorder="1" applyAlignment="1">
      <alignment horizontal="left" vertical="center"/>
    </xf>
    <xf numFmtId="0" fontId="15" fillId="6" borderId="0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16" fillId="11" borderId="3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0" fillId="12" borderId="0" xfId="0" applyFill="1" applyAlignment="1">
      <alignment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vertical="center"/>
    </xf>
    <xf numFmtId="0" fontId="20" fillId="1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13" borderId="17" xfId="0" applyFill="1" applyBorder="1" applyAlignment="1">
      <alignment horizontal="center" vertical="center"/>
    </xf>
    <xf numFmtId="0" fontId="0" fillId="13" borderId="17" xfId="0" applyFill="1" applyBorder="1" applyAlignment="1">
      <alignment vertical="center"/>
    </xf>
    <xf numFmtId="0" fontId="0" fillId="11" borderId="7" xfId="0" applyFill="1" applyBorder="1" applyAlignment="1">
      <alignment horizontal="center" vertical="center"/>
    </xf>
    <xf numFmtId="0" fontId="0" fillId="11" borderId="7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vertical="center"/>
    </xf>
    <xf numFmtId="2" fontId="0" fillId="11" borderId="0" xfId="0" applyNumberFormat="1" applyFill="1" applyAlignment="1">
      <alignment vertical="center"/>
    </xf>
    <xf numFmtId="2" fontId="0" fillId="6" borderId="0" xfId="0" applyNumberFormat="1" applyFill="1" applyAlignment="1">
      <alignment vertical="center"/>
    </xf>
    <xf numFmtId="2" fontId="0" fillId="13" borderId="0" xfId="0" applyNumberFormat="1" applyFill="1" applyAlignment="1">
      <alignment vertical="center"/>
    </xf>
    <xf numFmtId="2" fontId="0" fillId="6" borderId="9" xfId="0" applyNumberFormat="1" applyFill="1" applyBorder="1" applyAlignment="1">
      <alignment vertical="center"/>
    </xf>
    <xf numFmtId="2" fontId="0" fillId="6" borderId="10" xfId="0" applyNumberFormat="1" applyFill="1" applyBorder="1" applyAlignment="1">
      <alignment vertical="center"/>
    </xf>
    <xf numFmtId="2" fontId="0" fillId="13" borderId="17" xfId="0" applyNumberFormat="1" applyFill="1" applyBorder="1" applyAlignment="1">
      <alignment vertical="center"/>
    </xf>
    <xf numFmtId="2" fontId="0" fillId="13" borderId="16" xfId="0" applyNumberFormat="1" applyFill="1" applyBorder="1" applyAlignment="1">
      <alignment vertical="center"/>
    </xf>
    <xf numFmtId="2" fontId="0" fillId="11" borderId="7" xfId="0" applyNumberFormat="1" applyFill="1" applyBorder="1" applyAlignment="1">
      <alignment vertical="center"/>
    </xf>
    <xf numFmtId="2" fontId="0" fillId="11" borderId="8" xfId="0" applyNumberFormat="1" applyFill="1" applyBorder="1" applyAlignment="1">
      <alignment vertical="center"/>
    </xf>
    <xf numFmtId="0" fontId="15" fillId="5" borderId="3" xfId="0" applyFont="1" applyFill="1" applyBorder="1" applyAlignment="1">
      <alignment horizontal="left" vertical="center"/>
    </xf>
    <xf numFmtId="0" fontId="15" fillId="6" borderId="5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5" fillId="5" borderId="5" xfId="0" applyFont="1" applyFill="1" applyBorder="1" applyAlignment="1">
      <alignment horizontal="left" vertical="center"/>
    </xf>
    <xf numFmtId="0" fontId="12" fillId="7" borderId="6" xfId="0" applyFont="1" applyFill="1" applyBorder="1" applyAlignment="1">
      <alignment horizontal="left" vertical="center"/>
    </xf>
    <xf numFmtId="0" fontId="15" fillId="6" borderId="3" xfId="0" applyFont="1" applyFill="1" applyBorder="1" applyAlignment="1">
      <alignment horizontal="left" vertical="center"/>
    </xf>
    <xf numFmtId="0" fontId="15" fillId="6" borderId="4" xfId="0" applyFont="1" applyFill="1" applyBorder="1" applyAlignment="1">
      <alignment horizontal="left" vertical="center"/>
    </xf>
    <xf numFmtId="0" fontId="20" fillId="15" borderId="3" xfId="0" applyFont="1" applyFill="1" applyBorder="1"/>
    <xf numFmtId="0" fontId="0" fillId="15" borderId="3" xfId="0" applyFill="1" applyBorder="1"/>
    <xf numFmtId="0" fontId="0" fillId="0" borderId="3" xfId="0" applyBorder="1"/>
    <xf numFmtId="0" fontId="16" fillId="17" borderId="3" xfId="0" applyFont="1" applyFill="1" applyBorder="1"/>
    <xf numFmtId="0" fontId="22" fillId="16" borderId="3" xfId="7" applyFont="1" applyFill="1" applyBorder="1" applyAlignment="1">
      <alignment horizontal="center" vertical="center"/>
    </xf>
    <xf numFmtId="0" fontId="16" fillId="18" borderId="3" xfId="0" applyFont="1" applyFill="1" applyBorder="1" applyAlignment="1">
      <alignment horizontal="center" vertical="center" wrapText="1"/>
    </xf>
    <xf numFmtId="0" fontId="0" fillId="16" borderId="3" xfId="0" applyFont="1" applyFill="1" applyBorder="1"/>
    <xf numFmtId="0" fontId="16" fillId="14" borderId="3" xfId="0" applyFont="1" applyFill="1" applyBorder="1" applyAlignment="1">
      <alignment horizontal="right" vertical="center"/>
    </xf>
    <xf numFmtId="0" fontId="16" fillId="6" borderId="3" xfId="0" applyFont="1" applyFill="1" applyBorder="1" applyAlignment="1">
      <alignment horizontal="right" vertical="center"/>
    </xf>
    <xf numFmtId="0" fontId="16" fillId="14" borderId="3" xfId="0" applyFont="1" applyFill="1" applyBorder="1" applyAlignment="1">
      <alignment horizontal="left" vertical="center"/>
    </xf>
    <xf numFmtId="0" fontId="12" fillId="19" borderId="3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3" xfId="0" applyBorder="1" applyAlignment="1">
      <alignment wrapText="1"/>
    </xf>
    <xf numFmtId="0" fontId="16" fillId="0" borderId="18" xfId="0" applyFont="1" applyBorder="1" applyAlignment="1">
      <alignment vertical="center"/>
    </xf>
    <xf numFmtId="0" fontId="16" fillId="11" borderId="1" xfId="0" applyFont="1" applyFill="1" applyBorder="1" applyAlignment="1">
      <alignment horizontal="left" vertical="center"/>
    </xf>
    <xf numFmtId="0" fontId="16" fillId="11" borderId="3" xfId="0" applyFont="1" applyFill="1" applyBorder="1" applyAlignment="1">
      <alignment horizontal="left" vertical="center"/>
    </xf>
    <xf numFmtId="0" fontId="16" fillId="11" borderId="2" xfId="0" applyFont="1" applyFill="1" applyBorder="1" applyAlignment="1">
      <alignment horizontal="left" vertical="center"/>
    </xf>
    <xf numFmtId="0" fontId="16" fillId="11" borderId="0" xfId="0" applyFont="1" applyFill="1" applyAlignment="1">
      <alignment horizontal="left" vertical="center"/>
    </xf>
    <xf numFmtId="0" fontId="16" fillId="0" borderId="3" xfId="0" applyFont="1" applyFill="1" applyBorder="1" applyAlignment="1">
      <alignment horizontal="right" vertical="center"/>
    </xf>
    <xf numFmtId="0" fontId="0" fillId="0" borderId="0" xfId="0" applyFill="1"/>
    <xf numFmtId="0" fontId="0" fillId="11" borderId="19" xfId="0" applyFill="1" applyBorder="1"/>
    <xf numFmtId="0" fontId="0" fillId="11" borderId="18" xfId="0" applyFill="1" applyBorder="1"/>
    <xf numFmtId="0" fontId="0" fillId="11" borderId="5" xfId="0" applyFill="1" applyBorder="1"/>
    <xf numFmtId="0" fontId="0" fillId="11" borderId="3" xfId="0" applyFill="1" applyBorder="1"/>
    <xf numFmtId="0" fontId="21" fillId="6" borderId="0" xfId="0" applyFont="1" applyFill="1" applyAlignment="1">
      <alignment horizontal="center"/>
    </xf>
    <xf numFmtId="0" fontId="15" fillId="5" borderId="7" xfId="0" applyFont="1" applyFill="1" applyBorder="1" applyAlignment="1">
      <alignment horizontal="left" vertical="center"/>
    </xf>
    <xf numFmtId="0" fontId="12" fillId="5" borderId="5" xfId="0" applyFont="1" applyFill="1" applyBorder="1" applyAlignment="1">
      <alignment horizontal="left" vertical="center"/>
    </xf>
    <xf numFmtId="0" fontId="0" fillId="6" borderId="3" xfId="0" applyFill="1" applyBorder="1"/>
    <xf numFmtId="0" fontId="0" fillId="5" borderId="3" xfId="0" applyFill="1" applyBorder="1"/>
    <xf numFmtId="0" fontId="0" fillId="0" borderId="3" xfId="0" applyFont="1" applyBorder="1"/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4778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赤字強調" xfId="4"/>
    <cellStyle name="青字強調" xfId="3"/>
  </cellStyles>
  <dxfs count="15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6D65E5"/>
      <color rgb="FF7F78E5"/>
      <color rgb="FF8D85F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tSkill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ユニットスキル仕様"/>
      <sheetName val="unit_skills"/>
      <sheetName val="unit_skill_up_patterns"/>
      <sheetName val="クラッシュスキル仕様"/>
      <sheetName val="crash_skills"/>
      <sheetName val="スキルラベル"/>
    </sheetNames>
    <sheetDataSet>
      <sheetData sheetId="0"/>
      <sheetData sheetId="1"/>
      <sheetData sheetId="2">
        <row r="1">
          <cell r="A1" t="str">
            <v>unit_skill_id</v>
          </cell>
        </row>
      </sheetData>
      <sheetData sheetId="3"/>
      <sheetData sheetId="4"/>
      <sheetData sheetId="5">
        <row r="1">
          <cell r="A1" t="str">
            <v>crash_skill_id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E2">
            <v>0.25</v>
          </cell>
        </row>
      </sheetData>
      <sheetData sheetId="2">
        <row r="2">
          <cell r="B2">
            <v>1</v>
          </cell>
          <cell r="C2">
            <v>1.02</v>
          </cell>
          <cell r="E2">
            <v>0.98</v>
          </cell>
        </row>
        <row r="3">
          <cell r="B3">
            <v>1.02</v>
          </cell>
          <cell r="C3">
            <v>0.98</v>
          </cell>
          <cell r="E3">
            <v>1</v>
          </cell>
        </row>
        <row r="4">
          <cell r="B4">
            <v>1</v>
          </cell>
          <cell r="C4">
            <v>0.98</v>
          </cell>
          <cell r="E4">
            <v>1.02</v>
          </cell>
        </row>
        <row r="5">
          <cell r="B5">
            <v>0.98</v>
          </cell>
          <cell r="C5">
            <v>1.01</v>
          </cell>
          <cell r="E5">
            <v>1.01</v>
          </cell>
        </row>
        <row r="6">
          <cell r="B6">
            <v>1</v>
          </cell>
          <cell r="C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シャルルR6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</row>
        <row r="1405">
          <cell r="A1405">
            <v>1452</v>
          </cell>
          <cell r="B1405" t="str">
            <v>ja</v>
          </cell>
          <cell r="C1405" t="str">
            <v>メルセンヌ</v>
          </cell>
        </row>
        <row r="1406">
          <cell r="A1406">
            <v>1453</v>
          </cell>
          <cell r="B1406" t="str">
            <v>ja</v>
          </cell>
          <cell r="C1406" t="str">
            <v>数解の自鳴琴 メルセンヌ</v>
          </cell>
        </row>
        <row r="1407">
          <cell r="A1407">
            <v>1454</v>
          </cell>
          <cell r="B1407" t="str">
            <v>ja</v>
          </cell>
          <cell r="C1407" t="str">
            <v>ストレングス</v>
          </cell>
        </row>
        <row r="1408">
          <cell r="A1408">
            <v>1455</v>
          </cell>
          <cell r="B1408" t="str">
            <v>ja</v>
          </cell>
          <cell r="C1408" t="str">
            <v>豪毅なる征獣師 ストレングス</v>
          </cell>
        </row>
        <row r="1409">
          <cell r="A1409">
            <v>1456</v>
          </cell>
          <cell r="B1409" t="str">
            <v>ja</v>
          </cell>
          <cell r="C1409" t="str">
            <v>ネセバル</v>
          </cell>
        </row>
        <row r="1410">
          <cell r="A1410">
            <v>1457</v>
          </cell>
          <cell r="B1410" t="str">
            <v>ja</v>
          </cell>
          <cell r="C1410" t="str">
            <v>碧影の聖跡 ネセバル</v>
          </cell>
        </row>
        <row r="1411">
          <cell r="A1411">
            <v>1458</v>
          </cell>
          <cell r="B1411" t="str">
            <v>ja</v>
          </cell>
          <cell r="C1411" t="str">
            <v>diamond01</v>
          </cell>
        </row>
        <row r="1412">
          <cell r="A1412">
            <v>1459</v>
          </cell>
          <cell r="B1412" t="str">
            <v>ja</v>
          </cell>
          <cell r="C1412" t="str">
            <v>diamond02</v>
          </cell>
        </row>
        <row r="1413">
          <cell r="A1413">
            <v>1460</v>
          </cell>
          <cell r="B1413" t="str">
            <v>ja</v>
          </cell>
          <cell r="C1413" t="str">
            <v>opal01</v>
          </cell>
        </row>
        <row r="1414">
          <cell r="A1414">
            <v>1461</v>
          </cell>
          <cell r="B1414" t="str">
            <v>ja</v>
          </cell>
          <cell r="C1414" t="str">
            <v>opal02</v>
          </cell>
        </row>
        <row r="1415">
          <cell r="A1415">
            <v>1462</v>
          </cell>
          <cell r="B1415" t="str">
            <v>ja</v>
          </cell>
          <cell r="C1415" t="str">
            <v>ruby01</v>
          </cell>
        </row>
        <row r="1416">
          <cell r="A1416">
            <v>1463</v>
          </cell>
          <cell r="B1416" t="str">
            <v>ja</v>
          </cell>
          <cell r="C1416" t="str">
            <v>ruby02</v>
          </cell>
        </row>
        <row r="1417">
          <cell r="A1417">
            <v>1464</v>
          </cell>
          <cell r="B1417" t="str">
            <v>ja</v>
          </cell>
          <cell r="C1417" t="str">
            <v>garnet01</v>
          </cell>
        </row>
        <row r="1418">
          <cell r="A1418">
            <v>1465</v>
          </cell>
          <cell r="B1418" t="str">
            <v>ja</v>
          </cell>
          <cell r="C1418" t="str">
            <v>garnet02</v>
          </cell>
        </row>
        <row r="1419">
          <cell r="A1419">
            <v>1466</v>
          </cell>
          <cell r="B1419" t="str">
            <v>ja</v>
          </cell>
          <cell r="C1419" t="str">
            <v>sapphire01</v>
          </cell>
        </row>
        <row r="1420">
          <cell r="A1420">
            <v>1467</v>
          </cell>
          <cell r="B1420" t="str">
            <v>ja</v>
          </cell>
          <cell r="C1420" t="str">
            <v>sapphire02</v>
          </cell>
        </row>
        <row r="1421">
          <cell r="A1421">
            <v>1468</v>
          </cell>
          <cell r="B1421" t="str">
            <v>ja</v>
          </cell>
          <cell r="C1421" t="str">
            <v>emerald01</v>
          </cell>
        </row>
        <row r="1422">
          <cell r="A1422">
            <v>1469</v>
          </cell>
          <cell r="B1422" t="str">
            <v>ja</v>
          </cell>
          <cell r="C1422" t="str">
            <v>aquamarine01</v>
          </cell>
        </row>
        <row r="1423">
          <cell r="A1423">
            <v>1470</v>
          </cell>
          <cell r="B1423" t="str">
            <v>ja</v>
          </cell>
          <cell r="C1423" t="str">
            <v>amethyst01</v>
          </cell>
        </row>
        <row r="1424">
          <cell r="A1424">
            <v>1488</v>
          </cell>
          <cell r="B1424" t="str">
            <v>ja</v>
          </cell>
          <cell r="C1424" t="str">
            <v>バクR5</v>
          </cell>
        </row>
        <row r="1425">
          <cell r="A1425">
            <v>1489</v>
          </cell>
          <cell r="B1425" t="str">
            <v>ja</v>
          </cell>
          <cell r="C1425" t="str">
            <v>バクR6</v>
          </cell>
        </row>
        <row r="1426">
          <cell r="A1426">
            <v>1497</v>
          </cell>
          <cell r="B1426" t="str">
            <v>ja</v>
          </cell>
          <cell r="C1426" t="str">
            <v>ヨシノ</v>
          </cell>
        </row>
        <row r="1427">
          <cell r="A1427">
            <v>1498</v>
          </cell>
          <cell r="B1427" t="str">
            <v>ja</v>
          </cell>
          <cell r="C1427" t="str">
            <v>咲誇る夢見草 ヨシノ</v>
          </cell>
        </row>
        <row r="1428">
          <cell r="A1428">
            <v>1499</v>
          </cell>
          <cell r="B1428" t="str">
            <v>ja</v>
          </cell>
          <cell r="C1428" t="str">
            <v>コノハナサクヤ</v>
          </cell>
        </row>
        <row r="1429">
          <cell r="A1429">
            <v>1500</v>
          </cell>
          <cell r="B1429" t="str">
            <v>ja</v>
          </cell>
          <cell r="C1429" t="str">
            <v>櫻歌する開華 コノハナサクヤ</v>
          </cell>
        </row>
        <row r="1430">
          <cell r="A1430">
            <v>1504</v>
          </cell>
          <cell r="B1430" t="str">
            <v>ja</v>
          </cell>
          <cell r="C1430" t="str">
            <v>ネコ</v>
          </cell>
        </row>
        <row r="1431">
          <cell r="A1431">
            <v>1505</v>
          </cell>
          <cell r="B1431" t="str">
            <v>ja</v>
          </cell>
          <cell r="C1431" t="str">
            <v>タンクネコ</v>
          </cell>
        </row>
        <row r="1432">
          <cell r="A1432">
            <v>1506</v>
          </cell>
          <cell r="B1432" t="str">
            <v>ja</v>
          </cell>
          <cell r="C1432" t="str">
            <v>バトルネコ</v>
          </cell>
        </row>
        <row r="1433">
          <cell r="A1433">
            <v>1507</v>
          </cell>
          <cell r="B1433" t="str">
            <v>ja</v>
          </cell>
          <cell r="C1433" t="str">
            <v>キモネコ</v>
          </cell>
        </row>
        <row r="1434">
          <cell r="A1434">
            <v>1508</v>
          </cell>
          <cell r="B1434" t="str">
            <v>ja</v>
          </cell>
          <cell r="C1434" t="str">
            <v>ネコノトリ</v>
          </cell>
        </row>
        <row r="1435">
          <cell r="A1435">
            <v>1509</v>
          </cell>
          <cell r="B1435" t="str">
            <v>ja</v>
          </cell>
          <cell r="C1435" t="str">
            <v>巨神ネコ</v>
          </cell>
        </row>
        <row r="1436">
          <cell r="A1436">
            <v>1510</v>
          </cell>
          <cell r="B1436" t="str">
            <v>ja</v>
          </cell>
          <cell r="C1436" t="str">
            <v>ネコヴァルキリー</v>
          </cell>
        </row>
        <row r="1437">
          <cell r="A1437">
            <v>1511</v>
          </cell>
          <cell r="B1437" t="str">
            <v>ja</v>
          </cell>
          <cell r="C1437" t="str">
            <v>ネコヴァルキリー･真</v>
          </cell>
        </row>
        <row r="1438">
          <cell r="A1438">
            <v>1512</v>
          </cell>
          <cell r="B1438" t="str">
            <v>ja</v>
          </cell>
          <cell r="C1438" t="str">
            <v>ネコヴァルキリー･聖</v>
          </cell>
        </row>
        <row r="1439">
          <cell r="A1439">
            <v>1513</v>
          </cell>
          <cell r="B1439" t="str">
            <v>ja</v>
          </cell>
          <cell r="C1439" t="str">
            <v>金ネコ</v>
          </cell>
        </row>
        <row r="1440">
          <cell r="A1440">
            <v>1514</v>
          </cell>
          <cell r="B1440" t="str">
            <v>ja</v>
          </cell>
          <cell r="C1440" t="str">
            <v>金ネコビルダー</v>
          </cell>
        </row>
        <row r="1441">
          <cell r="A1441">
            <v>1515</v>
          </cell>
          <cell r="B1441" t="str">
            <v>ja</v>
          </cell>
          <cell r="C1441" t="str">
            <v>赤メタルネコ</v>
          </cell>
        </row>
        <row r="1442">
          <cell r="A1442">
            <v>1516</v>
          </cell>
          <cell r="B1442" t="str">
            <v>ja</v>
          </cell>
          <cell r="C1442" t="str">
            <v>赤メタルネコビルダー</v>
          </cell>
        </row>
        <row r="1443">
          <cell r="A1443">
            <v>1517</v>
          </cell>
          <cell r="B1443" t="str">
            <v>ja</v>
          </cell>
          <cell r="C1443" t="str">
            <v>青メタルネコ</v>
          </cell>
        </row>
        <row r="1444">
          <cell r="A1444">
            <v>1518</v>
          </cell>
          <cell r="B1444" t="str">
            <v>ja</v>
          </cell>
          <cell r="C1444" t="str">
            <v>青メタルネコビルダー</v>
          </cell>
        </row>
        <row r="1445">
          <cell r="A1445">
            <v>1519</v>
          </cell>
          <cell r="B1445" t="str">
            <v>ja</v>
          </cell>
          <cell r="C1445" t="str">
            <v>緑メタルネコ</v>
          </cell>
        </row>
        <row r="1446">
          <cell r="A1446">
            <v>1520</v>
          </cell>
          <cell r="B1446" t="str">
            <v>ja</v>
          </cell>
          <cell r="C1446" t="str">
            <v>緑メタルネコビルダー</v>
          </cell>
        </row>
        <row r="1447">
          <cell r="A1447">
            <v>1521</v>
          </cell>
          <cell r="B1447" t="str">
            <v>ja</v>
          </cell>
          <cell r="C1447" t="str">
            <v>黄メタルネコ</v>
          </cell>
        </row>
        <row r="1448">
          <cell r="A1448">
            <v>1522</v>
          </cell>
          <cell r="B1448" t="str">
            <v>ja</v>
          </cell>
          <cell r="C1448" t="str">
            <v>黄メタルネコビルダー</v>
          </cell>
        </row>
        <row r="1449">
          <cell r="A1449">
            <v>1523</v>
          </cell>
          <cell r="B1449" t="str">
            <v>ja</v>
          </cell>
          <cell r="C1449" t="str">
            <v>ネコムート</v>
          </cell>
        </row>
        <row r="1450">
          <cell r="A1450">
            <v>1524</v>
          </cell>
          <cell r="B1450" t="str">
            <v>ja</v>
          </cell>
          <cell r="C1450" t="str">
            <v>狂乱のネコムート</v>
          </cell>
        </row>
        <row r="1451">
          <cell r="A1451">
            <v>1525</v>
          </cell>
          <cell r="B1451" t="str">
            <v>ja</v>
          </cell>
          <cell r="C1451" t="str">
            <v>狂乱のネコ</v>
          </cell>
        </row>
        <row r="1452">
          <cell r="A1452">
            <v>1526</v>
          </cell>
          <cell r="B1452" t="str">
            <v>ja</v>
          </cell>
          <cell r="C1452" t="str">
            <v>狂乱のネコビルダー</v>
          </cell>
        </row>
        <row r="1453">
          <cell r="A1453">
            <v>1527</v>
          </cell>
          <cell r="B1453" t="str">
            <v>ja</v>
          </cell>
          <cell r="C1453" t="str">
            <v>ネコ魔剣士</v>
          </cell>
        </row>
        <row r="1454">
          <cell r="A1454">
            <v>1528</v>
          </cell>
          <cell r="B1454" t="str">
            <v>ja</v>
          </cell>
          <cell r="C1454" t="str">
            <v>双剣ネコ魔剣士</v>
          </cell>
        </row>
        <row r="1455">
          <cell r="A1455">
            <v>1529</v>
          </cell>
          <cell r="B1455" t="str">
            <v>ja</v>
          </cell>
          <cell r="C1455" t="str">
            <v>ねこ海賊</v>
          </cell>
        </row>
        <row r="1456">
          <cell r="A1456">
            <v>1530</v>
          </cell>
          <cell r="B1456" t="str">
            <v>ja</v>
          </cell>
          <cell r="C1456" t="str">
            <v>ニャーコック船長</v>
          </cell>
        </row>
        <row r="1457">
          <cell r="A1457">
            <v>1531</v>
          </cell>
          <cell r="B1457" t="str">
            <v>ja</v>
          </cell>
          <cell r="C1457" t="str">
            <v>ねこジュラ</v>
          </cell>
        </row>
        <row r="1458">
          <cell r="A1458">
            <v>1532</v>
          </cell>
          <cell r="B1458" t="str">
            <v>ja</v>
          </cell>
          <cell r="C1458" t="str">
            <v>ねこジュラシッター</v>
          </cell>
        </row>
        <row r="1459">
          <cell r="A1459">
            <v>1533</v>
          </cell>
          <cell r="B1459" t="str">
            <v>ja</v>
          </cell>
          <cell r="C1459" t="str">
            <v>ネコエステ</v>
          </cell>
        </row>
        <row r="1460">
          <cell r="A1460">
            <v>1534</v>
          </cell>
          <cell r="B1460" t="str">
            <v>ja</v>
          </cell>
          <cell r="C1460" t="str">
            <v>ネコジェンヌ</v>
          </cell>
        </row>
        <row r="1461">
          <cell r="A1461">
            <v>1535</v>
          </cell>
          <cell r="B1461" t="str">
            <v>ja</v>
          </cell>
          <cell r="C1461" t="str">
            <v>ねこナース</v>
          </cell>
        </row>
        <row r="1462">
          <cell r="A1462">
            <v>1536</v>
          </cell>
          <cell r="B1462" t="str">
            <v>ja</v>
          </cell>
          <cell r="C1462" t="str">
            <v>ハートフルねこナース</v>
          </cell>
        </row>
        <row r="1463">
          <cell r="A1463">
            <v>1537</v>
          </cell>
          <cell r="B1463" t="str">
            <v>ja</v>
          </cell>
          <cell r="C1463" t="str">
            <v>キャットマンダディ</v>
          </cell>
        </row>
        <row r="1464">
          <cell r="A1464">
            <v>1538</v>
          </cell>
          <cell r="B1464" t="str">
            <v>ja</v>
          </cell>
          <cell r="C1464" t="str">
            <v>キャットマンダーク</v>
          </cell>
        </row>
        <row r="1465">
          <cell r="A1465">
            <v>1539</v>
          </cell>
          <cell r="B1465" t="str">
            <v>ja</v>
          </cell>
          <cell r="C1465" t="str">
            <v>雷神のサンディア</v>
          </cell>
        </row>
        <row r="1466">
          <cell r="A1466">
            <v>1540</v>
          </cell>
          <cell r="B1466" t="str">
            <v>ja</v>
          </cell>
          <cell r="C1466" t="str">
            <v>雷神のサンディアβ</v>
          </cell>
        </row>
        <row r="1467">
          <cell r="A1467">
            <v>1541</v>
          </cell>
          <cell r="B1467" t="str">
            <v>ja</v>
          </cell>
          <cell r="C1467" t="str">
            <v>美女神アフロディーテ</v>
          </cell>
        </row>
        <row r="1468">
          <cell r="A1468">
            <v>1542</v>
          </cell>
          <cell r="B1468" t="str">
            <v>ja</v>
          </cell>
          <cell r="C1468" t="str">
            <v>メガロディーテ</v>
          </cell>
        </row>
        <row r="1469">
          <cell r="A1469">
            <v>1543</v>
          </cell>
          <cell r="B1469" t="str">
            <v>ja</v>
          </cell>
          <cell r="C1469" t="str">
            <v>ツルの恩返し</v>
          </cell>
        </row>
        <row r="1470">
          <cell r="A1470">
            <v>1544</v>
          </cell>
          <cell r="B1470" t="str">
            <v>ja</v>
          </cell>
          <cell r="C1470" t="str">
            <v>銀河戦士コスモ</v>
          </cell>
        </row>
        <row r="1471">
          <cell r="A1471">
            <v>1545</v>
          </cell>
          <cell r="B1471" t="str">
            <v>ja</v>
          </cell>
          <cell r="C1471" t="str">
            <v>ネコルガ</v>
          </cell>
        </row>
        <row r="1472">
          <cell r="A1472">
            <v>1546</v>
          </cell>
          <cell r="B1472" t="str">
            <v>ja</v>
          </cell>
          <cell r="C1472" t="str">
            <v>ケサランパサラン</v>
          </cell>
        </row>
        <row r="1473">
          <cell r="A1473">
            <v>1547</v>
          </cell>
          <cell r="B1473" t="str">
            <v>ja</v>
          </cell>
          <cell r="C1473" t="str">
            <v>ネコフラワー</v>
          </cell>
        </row>
        <row r="1474">
          <cell r="A1474">
            <v>1548</v>
          </cell>
          <cell r="B1474" t="str">
            <v>ja</v>
          </cell>
          <cell r="C1474" t="str">
            <v>にゃんこ扇風</v>
          </cell>
        </row>
        <row r="1475">
          <cell r="A1475">
            <v>1549</v>
          </cell>
          <cell r="B1475" t="str">
            <v>ja</v>
          </cell>
          <cell r="C1475" t="str">
            <v>ネコリンゴ</v>
          </cell>
        </row>
        <row r="1476">
          <cell r="A1476">
            <v>1550</v>
          </cell>
          <cell r="B1476" t="str">
            <v>ja</v>
          </cell>
          <cell r="C1476" t="str">
            <v>カオルくん</v>
          </cell>
        </row>
        <row r="1477">
          <cell r="A1477">
            <v>5001</v>
          </cell>
          <cell r="B1477" t="str">
            <v>ja</v>
          </cell>
          <cell r="C1477" t="str">
            <v>ガルーダ</v>
          </cell>
        </row>
        <row r="1478">
          <cell r="A1478">
            <v>5002</v>
          </cell>
          <cell r="B1478" t="str">
            <v>ja</v>
          </cell>
          <cell r="C1478" t="str">
            <v>ガルーダ★６</v>
          </cell>
        </row>
        <row r="1479">
          <cell r="A1479">
            <v>5003</v>
          </cell>
          <cell r="B1479" t="str">
            <v>ja</v>
          </cell>
          <cell r="C1479" t="str">
            <v>ナーガ</v>
          </cell>
        </row>
        <row r="1480">
          <cell r="A1480">
            <v>5004</v>
          </cell>
          <cell r="B1480" t="str">
            <v>ja</v>
          </cell>
          <cell r="C1480" t="str">
            <v>ナーガ★６</v>
          </cell>
        </row>
        <row r="1481">
          <cell r="A1481">
            <v>5005</v>
          </cell>
          <cell r="B1481" t="str">
            <v>ja</v>
          </cell>
          <cell r="C1481" t="str">
            <v>カーミラ</v>
          </cell>
        </row>
        <row r="1482">
          <cell r="A1482">
            <v>5006</v>
          </cell>
          <cell r="B1482" t="str">
            <v>ja</v>
          </cell>
          <cell r="C1482" t="str">
            <v>カーミラ★６</v>
          </cell>
        </row>
        <row r="1483">
          <cell r="A1483">
            <v>5007</v>
          </cell>
          <cell r="B1483" t="str">
            <v>ja</v>
          </cell>
          <cell r="C1483" t="str">
            <v>ヘルシング</v>
          </cell>
        </row>
        <row r="1484">
          <cell r="A1484">
            <v>5008</v>
          </cell>
          <cell r="B1484" t="str">
            <v>ja</v>
          </cell>
          <cell r="C1484" t="str">
            <v>ヘルシング★６</v>
          </cell>
        </row>
        <row r="1485">
          <cell r="A1485">
            <v>6001</v>
          </cell>
          <cell r="B1485" t="str">
            <v>ja</v>
          </cell>
          <cell r="C1485" t="str">
            <v>ジェリー</v>
          </cell>
        </row>
        <row r="1486">
          <cell r="A1486">
            <v>6002</v>
          </cell>
          <cell r="B1486" t="str">
            <v>ja</v>
          </cell>
          <cell r="C1486" t="str">
            <v>ヨシタカ</v>
          </cell>
        </row>
        <row r="1487">
          <cell r="A1487">
            <v>6003</v>
          </cell>
          <cell r="B1487" t="str">
            <v>ja</v>
          </cell>
          <cell r="C1487" t="str">
            <v>朱雀</v>
          </cell>
        </row>
        <row r="1488">
          <cell r="A1488">
            <v>6004</v>
          </cell>
          <cell r="B1488" t="str">
            <v>ja</v>
          </cell>
          <cell r="C1488" t="str">
            <v>ブレット</v>
          </cell>
        </row>
        <row r="1489">
          <cell r="A1489">
            <v>6005</v>
          </cell>
          <cell r="B1489" t="str">
            <v>ja</v>
          </cell>
          <cell r="C1489" t="str">
            <v>孤神 テティス</v>
          </cell>
        </row>
        <row r="1490">
          <cell r="A1490">
            <v>6006</v>
          </cell>
          <cell r="B1490" t="str">
            <v>ja</v>
          </cell>
          <cell r="C1490" t="str">
            <v>海底の孤高神 テティス</v>
          </cell>
        </row>
        <row r="1491">
          <cell r="A1491">
            <v>6007</v>
          </cell>
          <cell r="B1491" t="str">
            <v>ja</v>
          </cell>
          <cell r="C1491" t="str">
            <v>番犬 ケルベロス</v>
          </cell>
        </row>
        <row r="1492">
          <cell r="A1492">
            <v>6008</v>
          </cell>
          <cell r="B1492" t="str">
            <v>ja</v>
          </cell>
          <cell r="C1492" t="str">
            <v>焔神 プロメテウス</v>
          </cell>
        </row>
        <row r="1493">
          <cell r="A1493">
            <v>6009</v>
          </cell>
          <cell r="B1493" t="str">
            <v>ja</v>
          </cell>
          <cell r="C1493" t="str">
            <v>超越自我 ラグランジュ</v>
          </cell>
        </row>
        <row r="1494">
          <cell r="A1494">
            <v>6010</v>
          </cell>
          <cell r="B1494" t="str">
            <v>ja</v>
          </cell>
          <cell r="C1494" t="str">
            <v>超越凌駕 ラグランジュ</v>
          </cell>
        </row>
        <row r="1495">
          <cell r="A1495">
            <v>6011</v>
          </cell>
          <cell r="B1495" t="str">
            <v>ja</v>
          </cell>
          <cell r="C1495" t="str">
            <v>パトドッグリーダー ポチ</v>
          </cell>
        </row>
        <row r="1496">
          <cell r="A1496">
            <v>6012</v>
          </cell>
          <cell r="B1496" t="str">
            <v>ja</v>
          </cell>
          <cell r="C1496" t="str">
            <v>ミミ</v>
          </cell>
        </row>
        <row r="1497">
          <cell r="A1497">
            <v>6013</v>
          </cell>
          <cell r="B1497" t="str">
            <v>ja</v>
          </cell>
          <cell r="C1497" t="str">
            <v>護衛機人 スケアクロウ</v>
          </cell>
        </row>
        <row r="1498">
          <cell r="A1498">
            <v>6014</v>
          </cell>
          <cell r="B1498" t="str">
            <v>ja</v>
          </cell>
          <cell r="C1498" t="str">
            <v>月下の人狼 ローレンス</v>
          </cell>
        </row>
        <row r="1499">
          <cell r="A1499">
            <v>6015</v>
          </cell>
          <cell r="B1499" t="str">
            <v>ja</v>
          </cell>
          <cell r="C1499" t="str">
            <v>フレイヤ</v>
          </cell>
        </row>
        <row r="1500">
          <cell r="A1500">
            <v>6016</v>
          </cell>
          <cell r="B1500" t="str">
            <v>ja</v>
          </cell>
          <cell r="C1500" t="str">
            <v>根原論理 ユークリッド</v>
          </cell>
        </row>
        <row r="1501">
          <cell r="A1501">
            <v>6017</v>
          </cell>
          <cell r="B1501" t="str">
            <v>ja</v>
          </cell>
          <cell r="C1501" t="str">
            <v>不朽の極論 ユークリッド</v>
          </cell>
        </row>
        <row r="1502">
          <cell r="A1502">
            <v>6018</v>
          </cell>
          <cell r="B1502" t="str">
            <v>ja</v>
          </cell>
          <cell r="C1502" t="str">
            <v>ハヅル</v>
          </cell>
        </row>
        <row r="1503">
          <cell r="A1503">
            <v>6019</v>
          </cell>
          <cell r="B1503" t="str">
            <v>ja</v>
          </cell>
          <cell r="C1503" t="str">
            <v>天織羽鶴 ハヅル</v>
          </cell>
        </row>
        <row r="1504">
          <cell r="A1504">
            <v>6020</v>
          </cell>
          <cell r="B1504" t="str">
            <v>ja</v>
          </cell>
          <cell r="C1504" t="str">
            <v>ミズチ</v>
          </cell>
        </row>
        <row r="1505">
          <cell r="A1505">
            <v>8001</v>
          </cell>
          <cell r="B1505" t="str">
            <v>ja</v>
          </cell>
          <cell r="C1505" t="str">
            <v>媽祖</v>
          </cell>
        </row>
        <row r="1506">
          <cell r="A1506">
            <v>8002</v>
          </cell>
          <cell r="B1506" t="str">
            <v>ja</v>
          </cell>
          <cell r="C1506" t="str">
            <v>宣導する天海妃 媽祖</v>
          </cell>
        </row>
        <row r="1507">
          <cell r="A1507">
            <v>8003</v>
          </cell>
          <cell r="B1507" t="str">
            <v>ja</v>
          </cell>
          <cell r="C1507" t="str">
            <v>蛟龍</v>
          </cell>
        </row>
        <row r="1508">
          <cell r="A1508">
            <v>8004</v>
          </cell>
          <cell r="B1508" t="str">
            <v>ja</v>
          </cell>
          <cell r="C1508" t="str">
            <v>呼嵐の蒼棲龍 蛟龍</v>
          </cell>
        </row>
        <row r="1509">
          <cell r="A1509">
            <v>8005</v>
          </cell>
          <cell r="B1509" t="str">
            <v>ja</v>
          </cell>
          <cell r="C1509" t="str">
            <v>三蔵法師</v>
          </cell>
        </row>
        <row r="1510">
          <cell r="A1510">
            <v>8006</v>
          </cell>
          <cell r="B1510" t="str">
            <v>ja</v>
          </cell>
          <cell r="C1510" t="str">
            <v>慈戒の呪封使 三蔵法師</v>
          </cell>
        </row>
        <row r="1511">
          <cell r="A1511">
            <v>8007</v>
          </cell>
          <cell r="B1511" t="str">
            <v>ja</v>
          </cell>
          <cell r="C1511" t="str">
            <v>孫悟空</v>
          </cell>
        </row>
        <row r="1512">
          <cell r="A1512">
            <v>8008</v>
          </cell>
          <cell r="B1512" t="str">
            <v>ja</v>
          </cell>
          <cell r="C1512" t="str">
            <v>花果の天猿仙人 孫悟空</v>
          </cell>
        </row>
        <row r="1513">
          <cell r="A1513">
            <v>8009</v>
          </cell>
          <cell r="B1513" t="str">
            <v>ja</v>
          </cell>
          <cell r="C1513" t="str">
            <v>西王娘娘</v>
          </cell>
        </row>
        <row r="1514">
          <cell r="A1514">
            <v>8010</v>
          </cell>
          <cell r="B1514" t="str">
            <v>ja</v>
          </cell>
          <cell r="C1514" t="str">
            <v>極楽瑶池の聖母 西王娘娘</v>
          </cell>
        </row>
        <row r="1515">
          <cell r="A1515">
            <v>8011</v>
          </cell>
          <cell r="B1515" t="str">
            <v>ja</v>
          </cell>
          <cell r="C1515" t="str">
            <v>月下老人</v>
          </cell>
        </row>
        <row r="1516">
          <cell r="A1516">
            <v>8012</v>
          </cell>
          <cell r="B1516" t="str">
            <v>ja</v>
          </cell>
          <cell r="C1516" t="str">
            <v>破戀斬る縁剣 月下老人</v>
          </cell>
        </row>
        <row r="1517">
          <cell r="A1517">
            <v>8013</v>
          </cell>
          <cell r="B1517" t="str">
            <v>ja</v>
          </cell>
          <cell r="C1517" t="str">
            <v>初音ミクV3</v>
          </cell>
        </row>
        <row r="1518">
          <cell r="A1518">
            <v>8014</v>
          </cell>
          <cell r="B1518" t="str">
            <v>ja</v>
          </cell>
          <cell r="C1518" t="str">
            <v>初音ミクV3</v>
          </cell>
        </row>
        <row r="1519">
          <cell r="A1519">
            <v>8015</v>
          </cell>
          <cell r="B1519" t="str">
            <v>ja</v>
          </cell>
          <cell r="C1519" t="str">
            <v>初音ミク・アペンド</v>
          </cell>
        </row>
        <row r="1520">
          <cell r="A1520">
            <v>8016</v>
          </cell>
          <cell r="B1520" t="str">
            <v>ja</v>
          </cell>
          <cell r="C1520" t="str">
            <v>初音ミク・アペンド</v>
          </cell>
        </row>
        <row r="1521">
          <cell r="A1521">
            <v>8017</v>
          </cell>
          <cell r="B1521" t="str">
            <v>ja</v>
          </cell>
          <cell r="C1521" t="str">
            <v>初音ミク</v>
          </cell>
        </row>
        <row r="1522">
          <cell r="A1522">
            <v>8018</v>
          </cell>
          <cell r="B1522" t="str">
            <v>ja</v>
          </cell>
          <cell r="C1522" t="str">
            <v>初音ミク</v>
          </cell>
        </row>
        <row r="1523">
          <cell r="A1523">
            <v>8019</v>
          </cell>
          <cell r="B1523" t="str">
            <v>ja</v>
          </cell>
          <cell r="C1523" t="str">
            <v>鏡音リン</v>
          </cell>
        </row>
        <row r="1524">
          <cell r="A1524">
            <v>8020</v>
          </cell>
          <cell r="B1524" t="str">
            <v>ja</v>
          </cell>
          <cell r="C1524" t="str">
            <v>鏡音リン</v>
          </cell>
        </row>
        <row r="1525">
          <cell r="A1525">
            <v>8021</v>
          </cell>
          <cell r="B1525" t="str">
            <v>ja</v>
          </cell>
          <cell r="C1525" t="str">
            <v>鏡音レン</v>
          </cell>
        </row>
        <row r="1526">
          <cell r="A1526">
            <v>8022</v>
          </cell>
          <cell r="B1526" t="str">
            <v>ja</v>
          </cell>
          <cell r="C1526" t="str">
            <v>鏡音レン</v>
          </cell>
        </row>
        <row r="1527">
          <cell r="A1527">
            <v>8023</v>
          </cell>
          <cell r="B1527" t="str">
            <v>ja</v>
          </cell>
          <cell r="C1527" t="str">
            <v>巡音ルカ</v>
          </cell>
        </row>
        <row r="1528">
          <cell r="A1528">
            <v>8024</v>
          </cell>
          <cell r="B1528" t="str">
            <v>ja</v>
          </cell>
          <cell r="C1528" t="str">
            <v>巡音ルカ</v>
          </cell>
        </row>
        <row r="1529">
          <cell r="A1529">
            <v>8025</v>
          </cell>
          <cell r="B1529" t="str">
            <v>ja</v>
          </cell>
          <cell r="C1529" t="str">
            <v>MEIKO</v>
          </cell>
        </row>
        <row r="1530">
          <cell r="A1530">
            <v>8026</v>
          </cell>
          <cell r="B1530" t="str">
            <v>ja</v>
          </cell>
          <cell r="C1530" t="str">
            <v>MEIKO</v>
          </cell>
        </row>
        <row r="1531">
          <cell r="A1531">
            <v>8027</v>
          </cell>
          <cell r="B1531" t="str">
            <v>ja</v>
          </cell>
          <cell r="C1531" t="str">
            <v>KAITO</v>
          </cell>
        </row>
        <row r="1532">
          <cell r="A1532">
            <v>8028</v>
          </cell>
          <cell r="B1532" t="str">
            <v>ja</v>
          </cell>
          <cell r="C1532" t="str">
            <v>KAITO</v>
          </cell>
        </row>
        <row r="1533">
          <cell r="A1533">
            <v>8029</v>
          </cell>
          <cell r="B1533" t="str">
            <v>ja</v>
          </cell>
          <cell r="C1533" t="str">
            <v>Expoミク</v>
          </cell>
        </row>
        <row r="1534">
          <cell r="A1534">
            <v>8030</v>
          </cell>
          <cell r="B1534" t="str">
            <v>ja</v>
          </cell>
          <cell r="C1534" t="str">
            <v>Expoミク</v>
          </cell>
        </row>
        <row r="1535">
          <cell r="A1535">
            <v>8031</v>
          </cell>
          <cell r="B1535" t="str">
            <v>ja</v>
          </cell>
          <cell r="C1535" t="str">
            <v>閻羅王</v>
          </cell>
        </row>
        <row r="1536">
          <cell r="A1536">
            <v>8032</v>
          </cell>
          <cell r="B1536" t="str">
            <v>ja</v>
          </cell>
          <cell r="C1536" t="str">
            <v>六道輪廻の絶獄 閻羅王</v>
          </cell>
        </row>
        <row r="1537">
          <cell r="A1537">
            <v>8033</v>
          </cell>
          <cell r="B1537" t="str">
            <v>ja</v>
          </cell>
          <cell r="C1537" t="str">
            <v>牛頭馬面</v>
          </cell>
        </row>
        <row r="1538">
          <cell r="A1538">
            <v>8034</v>
          </cell>
          <cell r="B1538" t="str">
            <v>ja</v>
          </cell>
          <cell r="C1538" t="str">
            <v>冥府狩る魂使 牛頭馬面</v>
          </cell>
        </row>
        <row r="1539">
          <cell r="A1539">
            <v>8035</v>
          </cell>
          <cell r="B1539" t="str">
            <v>ja</v>
          </cell>
          <cell r="C1539" t="str">
            <v>飛衛</v>
          </cell>
        </row>
        <row r="1540">
          <cell r="A1540">
            <v>8036</v>
          </cell>
          <cell r="B1540" t="str">
            <v>ja</v>
          </cell>
          <cell r="C1540" t="str">
            <v>レア６飛衛</v>
          </cell>
        </row>
        <row r="1541">
          <cell r="A1541">
            <v>8037</v>
          </cell>
          <cell r="B1541" t="str">
            <v>ja</v>
          </cell>
          <cell r="C1541" t="str">
            <v>紀昌</v>
          </cell>
        </row>
        <row r="1542">
          <cell r="A1542">
            <v>8038</v>
          </cell>
          <cell r="B1542" t="str">
            <v>ja</v>
          </cell>
          <cell r="C1542" t="str">
            <v>レア６紀昌</v>
          </cell>
        </row>
        <row r="1543">
          <cell r="A1543">
            <v>8039</v>
          </cell>
          <cell r="B1543" t="str">
            <v>ja</v>
          </cell>
          <cell r="C1543" t="str">
            <v>何仙姑</v>
          </cell>
        </row>
        <row r="1544">
          <cell r="A1544">
            <v>8040</v>
          </cell>
          <cell r="B1544" t="str">
            <v>ja</v>
          </cell>
          <cell r="C1544" t="str">
            <v>レア６何仙姑</v>
          </cell>
        </row>
        <row r="1545">
          <cell r="A1545">
            <v>8041</v>
          </cell>
          <cell r="B1545" t="str">
            <v>ja</v>
          </cell>
          <cell r="C1545" t="str">
            <v>藍采和</v>
          </cell>
        </row>
        <row r="1546">
          <cell r="A1546">
            <v>8042</v>
          </cell>
          <cell r="B1546" t="str">
            <v>ja</v>
          </cell>
          <cell r="C1546" t="str">
            <v>レア６藍采和</v>
          </cell>
        </row>
        <row r="1547">
          <cell r="A1547">
            <v>8043</v>
          </cell>
          <cell r="B1547" t="str">
            <v>ja</v>
          </cell>
          <cell r="C1547" t="str">
            <v>サンリオキャラ大集合+アザゼル</v>
          </cell>
        </row>
        <row r="1548">
          <cell r="A1548">
            <v>8044</v>
          </cell>
          <cell r="B1548" t="str">
            <v>ja</v>
          </cell>
          <cell r="C1548" t="str">
            <v>サンリオキャラ大集合+アザゼル</v>
          </cell>
        </row>
        <row r="1549">
          <cell r="A1549">
            <v>8045</v>
          </cell>
          <cell r="B1549" t="str">
            <v>ja</v>
          </cell>
          <cell r="C1549" t="str">
            <v>ニムダ_サンリオキャラ混じり</v>
          </cell>
        </row>
        <row r="1550">
          <cell r="A1550">
            <v>8046</v>
          </cell>
          <cell r="B1550" t="str">
            <v>ja</v>
          </cell>
          <cell r="C1550" t="str">
            <v>ニムダ_サンリオキャラ混じり</v>
          </cell>
        </row>
        <row r="1551">
          <cell r="A1551">
            <v>8047</v>
          </cell>
          <cell r="B1551" t="str">
            <v>ja</v>
          </cell>
          <cell r="C1551" t="str">
            <v>ハローキティ</v>
          </cell>
        </row>
        <row r="1552">
          <cell r="A1552">
            <v>8048</v>
          </cell>
          <cell r="B1552" t="str">
            <v>ja</v>
          </cell>
          <cell r="C1552" t="str">
            <v>ハローキティ</v>
          </cell>
        </row>
        <row r="1553">
          <cell r="A1553">
            <v>8049</v>
          </cell>
          <cell r="B1553" t="str">
            <v>ja</v>
          </cell>
          <cell r="C1553" t="str">
            <v>KIRIMIちゃん</v>
          </cell>
        </row>
        <row r="1554">
          <cell r="A1554">
            <v>8050</v>
          </cell>
          <cell r="B1554" t="str">
            <v>ja</v>
          </cell>
          <cell r="C1554" t="str">
            <v>KIRIMIちゃん</v>
          </cell>
        </row>
        <row r="1555">
          <cell r="A1555">
            <v>8051</v>
          </cell>
          <cell r="B1555" t="str">
            <v>ja</v>
          </cell>
          <cell r="C1555" t="str">
            <v>ハローキティのリボン</v>
          </cell>
        </row>
        <row r="1556">
          <cell r="A1556">
            <v>8052</v>
          </cell>
          <cell r="B1556" t="str">
            <v>ja</v>
          </cell>
          <cell r="C1556" t="str">
            <v>ママの作ったアップルパイ</v>
          </cell>
        </row>
        <row r="1557">
          <cell r="A1557">
            <v>8053</v>
          </cell>
          <cell r="B1557" t="str">
            <v>ja</v>
          </cell>
          <cell r="C1557" t="str">
            <v>D.R.T.H__キティコスプレ</v>
          </cell>
        </row>
        <row r="1558">
          <cell r="A1558">
            <v>8054</v>
          </cell>
          <cell r="B1558" t="str">
            <v>ja</v>
          </cell>
          <cell r="C1558" t="str">
            <v>D.R.T.H__キティコスプレ</v>
          </cell>
        </row>
        <row r="1559">
          <cell r="A1559">
            <v>8055</v>
          </cell>
          <cell r="B1559" t="str">
            <v>ja</v>
          </cell>
          <cell r="C1559" t="str">
            <v>マイメロディ</v>
          </cell>
        </row>
        <row r="1560">
          <cell r="A1560">
            <v>8056</v>
          </cell>
          <cell r="B1560" t="str">
            <v>ja</v>
          </cell>
          <cell r="C1560" t="str">
            <v>マイメロディ</v>
          </cell>
        </row>
        <row r="1561">
          <cell r="A1561">
            <v>8057</v>
          </cell>
          <cell r="B1561" t="str">
            <v>ja</v>
          </cell>
          <cell r="C1561" t="str">
            <v>ニーベルゲン_シナモロールコスプレ</v>
          </cell>
        </row>
        <row r="1562">
          <cell r="A1562">
            <v>8058</v>
          </cell>
          <cell r="B1562" t="str">
            <v>ja</v>
          </cell>
          <cell r="C1562" t="str">
            <v>ニーベルゲン_シナモロールコスプレ</v>
          </cell>
        </row>
        <row r="1563">
          <cell r="A1563">
            <v>8059</v>
          </cell>
          <cell r="B1563" t="str">
            <v>ja</v>
          </cell>
          <cell r="C1563" t="str">
            <v>カカシ_マイメロディコスプレ</v>
          </cell>
        </row>
        <row r="1564">
          <cell r="A1564">
            <v>8060</v>
          </cell>
          <cell r="B1564" t="str">
            <v>ja</v>
          </cell>
          <cell r="C1564" t="str">
            <v>カカシ_マイメロディコスプレ</v>
          </cell>
        </row>
        <row r="1565">
          <cell r="A1565">
            <v>8061</v>
          </cell>
          <cell r="B1565" t="str">
            <v>ja</v>
          </cell>
          <cell r="C1565" t="str">
            <v>ケロケロけろっぴ</v>
          </cell>
        </row>
        <row r="1566">
          <cell r="A1566">
            <v>8062</v>
          </cell>
          <cell r="B1566" t="str">
            <v>ja</v>
          </cell>
          <cell r="C1566" t="str">
            <v>ケロケロけろっぴ</v>
          </cell>
        </row>
        <row r="1567">
          <cell r="A1567">
            <v>8063</v>
          </cell>
          <cell r="B1567" t="str">
            <v>ja</v>
          </cell>
          <cell r="C1567" t="str">
            <v>モルドレッド_ポムポムプリンコスプレ</v>
          </cell>
        </row>
        <row r="1568">
          <cell r="A1568">
            <v>8064</v>
          </cell>
          <cell r="B1568" t="str">
            <v>ja</v>
          </cell>
          <cell r="C1568" t="str">
            <v>モルドレッド_ポムポムプリンコスプレ</v>
          </cell>
        </row>
        <row r="1569">
          <cell r="A1569">
            <v>8065</v>
          </cell>
          <cell r="B1569" t="str">
            <v>ja</v>
          </cell>
          <cell r="C1569" t="str">
            <v>クロミ</v>
          </cell>
        </row>
        <row r="1570">
          <cell r="A1570">
            <v>8066</v>
          </cell>
          <cell r="B1570" t="str">
            <v>ja</v>
          </cell>
          <cell r="C1570" t="str">
            <v>クロミ</v>
          </cell>
        </row>
        <row r="1571">
          <cell r="A1571">
            <v>8067</v>
          </cell>
          <cell r="B1571" t="str">
            <v>ja</v>
          </cell>
          <cell r="C1571" t="str">
            <v>バッドばつ丸</v>
          </cell>
        </row>
        <row r="1572">
          <cell r="A1572">
            <v>8068</v>
          </cell>
          <cell r="B1572" t="str">
            <v>ja</v>
          </cell>
          <cell r="C1572" t="str">
            <v>バッドばつ丸</v>
          </cell>
        </row>
        <row r="1573">
          <cell r="A1573">
            <v>8069</v>
          </cell>
          <cell r="B1573" t="str">
            <v>ja</v>
          </cell>
          <cell r="C1573" t="str">
            <v>シナモロール</v>
          </cell>
        </row>
        <row r="1574">
          <cell r="A1574">
            <v>8070</v>
          </cell>
          <cell r="B1574" t="str">
            <v>ja</v>
          </cell>
          <cell r="C1574" t="str">
            <v>シナモロール</v>
          </cell>
        </row>
        <row r="1575">
          <cell r="A1575">
            <v>8071</v>
          </cell>
          <cell r="B1575" t="str">
            <v>ja</v>
          </cell>
          <cell r="C1575" t="str">
            <v>ポムポムプリン</v>
          </cell>
        </row>
        <row r="1576">
          <cell r="A1576">
            <v>8072</v>
          </cell>
          <cell r="B1576" t="str">
            <v>ja</v>
          </cell>
          <cell r="C1576" t="str">
            <v>ポムポムプリン</v>
          </cell>
        </row>
        <row r="1577">
          <cell r="A1577">
            <v>8073</v>
          </cell>
          <cell r="B1577" t="str">
            <v>ja</v>
          </cell>
          <cell r="C1577" t="str">
            <v>星海祈る天光妃 媽祖</v>
          </cell>
        </row>
        <row r="1578">
          <cell r="A1578">
            <v>8074</v>
          </cell>
          <cell r="B1578" t="str">
            <v>ja</v>
          </cell>
          <cell r="C1578" t="str">
            <v>海戀の絶龍姫 蛟龍</v>
          </cell>
        </row>
        <row r="1579">
          <cell r="A1579">
            <v>8075</v>
          </cell>
          <cell r="B1579" t="str">
            <v>ja</v>
          </cell>
          <cell r="C1579" t="str">
            <v>三蔵法師_超覚醒</v>
          </cell>
        </row>
        <row r="1580">
          <cell r="A1580">
            <v>8076</v>
          </cell>
          <cell r="B1580" t="str">
            <v>ja</v>
          </cell>
          <cell r="C1580" t="str">
            <v>孫悟空_超覚醒</v>
          </cell>
        </row>
        <row r="1581">
          <cell r="A1581">
            <v>8077</v>
          </cell>
          <cell r="B1581" t="str">
            <v>ja</v>
          </cell>
          <cell r="C1581" t="str">
            <v>鄭成功</v>
          </cell>
        </row>
        <row r="1582">
          <cell r="A1582">
            <v>8078</v>
          </cell>
          <cell r="B1582" t="str">
            <v>ja</v>
          </cell>
          <cell r="C1582" t="str">
            <v>レア６鄭成功</v>
          </cell>
        </row>
        <row r="1583">
          <cell r="A1583">
            <v>8079</v>
          </cell>
          <cell r="B1583" t="str">
            <v>ja</v>
          </cell>
          <cell r="C1583" t="str">
            <v>赤鬼</v>
          </cell>
        </row>
        <row r="1584">
          <cell r="A1584">
            <v>8080</v>
          </cell>
          <cell r="B1584" t="str">
            <v>ja</v>
          </cell>
          <cell r="C1584" t="str">
            <v>レア６赤鬼</v>
          </cell>
        </row>
        <row r="1585">
          <cell r="A1585">
            <v>8081</v>
          </cell>
          <cell r="B1585" t="str">
            <v>ja</v>
          </cell>
          <cell r="C1585" t="str">
            <v>関羽</v>
          </cell>
        </row>
        <row r="1586">
          <cell r="A1586">
            <v>8082</v>
          </cell>
          <cell r="B1586" t="str">
            <v>ja</v>
          </cell>
          <cell r="C1586" t="str">
            <v>★６関羽</v>
          </cell>
        </row>
        <row r="1587">
          <cell r="A1587">
            <v>8083</v>
          </cell>
          <cell r="B1587" t="str">
            <v>ja</v>
          </cell>
          <cell r="C1587" t="str">
            <v>曹操</v>
          </cell>
        </row>
        <row r="1588">
          <cell r="A1588">
            <v>8084</v>
          </cell>
          <cell r="B1588" t="str">
            <v>ja</v>
          </cell>
          <cell r="C1588" t="str">
            <v>★６曹操</v>
          </cell>
        </row>
        <row r="1589">
          <cell r="A1589">
            <v>8087</v>
          </cell>
          <cell r="B1589" t="str">
            <v>ja</v>
          </cell>
          <cell r="C1589" t="str">
            <v>財神</v>
          </cell>
        </row>
        <row r="1590">
          <cell r="A1590">
            <v>8088</v>
          </cell>
          <cell r="B1590" t="str">
            <v>ja</v>
          </cell>
          <cell r="C1590" t="str">
            <v>★６財神</v>
          </cell>
        </row>
        <row r="1591">
          <cell r="A1591">
            <v>8089</v>
          </cell>
          <cell r="B1591" t="str">
            <v>ja</v>
          </cell>
          <cell r="C1591" t="str">
            <v>年獣</v>
          </cell>
        </row>
        <row r="1592">
          <cell r="A1592">
            <v>8090</v>
          </cell>
          <cell r="B1592" t="str">
            <v>ja</v>
          </cell>
          <cell r="C1592" t="str">
            <v>★６年獣</v>
          </cell>
        </row>
        <row r="1593">
          <cell r="A1593">
            <v>8095</v>
          </cell>
          <cell r="B1593" t="str">
            <v>ja</v>
          </cell>
          <cell r="C1593" t="str">
            <v>バハムートダック赤</v>
          </cell>
        </row>
        <row r="1594">
          <cell r="A1594">
            <v>8096</v>
          </cell>
          <cell r="B1594" t="str">
            <v>ja</v>
          </cell>
          <cell r="C1594" t="str">
            <v>バハムートダック緑</v>
          </cell>
        </row>
        <row r="1595">
          <cell r="A1595">
            <v>8097</v>
          </cell>
          <cell r="B1595" t="str">
            <v>ja</v>
          </cell>
          <cell r="C1595" t="str">
            <v>バハムートダック青</v>
          </cell>
        </row>
        <row r="1596">
          <cell r="A1596">
            <v>8098</v>
          </cell>
          <cell r="B1596" t="str">
            <v>ja</v>
          </cell>
          <cell r="C1596" t="str">
            <v>バハムートダック黄</v>
          </cell>
        </row>
        <row r="1597">
          <cell r="A1597">
            <v>8099</v>
          </cell>
          <cell r="B1597" t="str">
            <v>ja</v>
          </cell>
          <cell r="C1597" t="str">
            <v>リトルハンプティ</v>
          </cell>
        </row>
        <row r="1598">
          <cell r="A1598">
            <v>9001</v>
          </cell>
          <cell r="B1598" t="str">
            <v>ja</v>
          </cell>
          <cell r="C1598" t="str">
            <v>春香</v>
          </cell>
        </row>
        <row r="1599">
          <cell r="A1599">
            <v>9002</v>
          </cell>
          <cell r="B1599" t="str">
            <v>ja</v>
          </cell>
          <cell r="C1599" t="str">
            <v>春香★６</v>
          </cell>
        </row>
        <row r="1600">
          <cell r="A1600">
            <v>9003</v>
          </cell>
          <cell r="B1600" t="str">
            <v>ja</v>
          </cell>
          <cell r="C1600" t="str">
            <v>夢龍</v>
          </cell>
        </row>
        <row r="1601">
          <cell r="A1601">
            <v>9004</v>
          </cell>
          <cell r="B1601" t="str">
            <v>ja</v>
          </cell>
          <cell r="C1601" t="str">
            <v>夢龍★６</v>
          </cell>
        </row>
        <row r="1602">
          <cell r="A1602">
            <v>10001</v>
          </cell>
          <cell r="B1602" t="str">
            <v>ja</v>
          </cell>
          <cell r="C1602" t="str">
            <v>テストユニット黄</v>
          </cell>
        </row>
        <row r="1603">
          <cell r="A1603">
            <v>10002</v>
          </cell>
          <cell r="B1603" t="str">
            <v>ja</v>
          </cell>
          <cell r="C1603" t="str">
            <v>テストユニット02</v>
          </cell>
        </row>
        <row r="1604">
          <cell r="A1604">
            <v>10003</v>
          </cell>
          <cell r="B1604" t="str">
            <v>ja</v>
          </cell>
          <cell r="C1604" t="str">
            <v>テストユニット03</v>
          </cell>
        </row>
        <row r="1605">
          <cell r="A1605">
            <v>10004</v>
          </cell>
          <cell r="B1605" t="str">
            <v>ja</v>
          </cell>
          <cell r="C1605" t="str">
            <v>テストユニット04</v>
          </cell>
        </row>
        <row r="1606">
          <cell r="A1606">
            <v>10005</v>
          </cell>
          <cell r="B1606" t="str">
            <v>ja</v>
          </cell>
          <cell r="C1606" t="str">
            <v>テストユニット05</v>
          </cell>
        </row>
        <row r="1607">
          <cell r="A1607">
            <v>10006</v>
          </cell>
          <cell r="B1607" t="str">
            <v>ja</v>
          </cell>
          <cell r="C1607" t="str">
            <v>テストユニット06</v>
          </cell>
        </row>
        <row r="1608">
          <cell r="A1608">
            <v>10007</v>
          </cell>
          <cell r="B1608" t="str">
            <v>ja</v>
          </cell>
          <cell r="C1608" t="str">
            <v>テストユニット07</v>
          </cell>
        </row>
        <row r="1609">
          <cell r="A1609">
            <v>10008</v>
          </cell>
          <cell r="B1609" t="str">
            <v>ja</v>
          </cell>
          <cell r="C1609" t="str">
            <v>テストユニット08</v>
          </cell>
        </row>
        <row r="1610">
          <cell r="A1610">
            <v>10009</v>
          </cell>
          <cell r="B1610" t="str">
            <v>ja</v>
          </cell>
          <cell r="C1610" t="str">
            <v>青テスト01</v>
          </cell>
        </row>
        <row r="1611">
          <cell r="A1611">
            <v>10010</v>
          </cell>
          <cell r="B1611" t="str">
            <v>ja</v>
          </cell>
          <cell r="C1611" t="str">
            <v>赤テスト01</v>
          </cell>
        </row>
        <row r="1612">
          <cell r="A1612">
            <v>10011</v>
          </cell>
          <cell r="B1612" t="str">
            <v>ja</v>
          </cell>
          <cell r="C1612" t="str">
            <v>テストユニット11</v>
          </cell>
        </row>
        <row r="1613">
          <cell r="A1613">
            <v>10012</v>
          </cell>
          <cell r="B1613" t="str">
            <v>ja</v>
          </cell>
          <cell r="C1613" t="str">
            <v>テストユニット12</v>
          </cell>
        </row>
      </sheetData>
      <sheetData sheetId="4">
        <row r="4">
          <cell r="D4">
            <v>1</v>
          </cell>
          <cell r="E4">
            <v>1</v>
          </cell>
          <cell r="G4">
            <v>1</v>
          </cell>
        </row>
        <row r="5">
          <cell r="D5">
            <v>1.45</v>
          </cell>
          <cell r="E5">
            <v>0.85</v>
          </cell>
          <cell r="G5">
            <v>0.7</v>
          </cell>
        </row>
        <row r="6">
          <cell r="D6">
            <v>0.9</v>
          </cell>
          <cell r="E6">
            <v>0.9</v>
          </cell>
          <cell r="G6">
            <v>0.9</v>
          </cell>
        </row>
        <row r="7">
          <cell r="D7">
            <v>0.8</v>
          </cell>
          <cell r="E7">
            <v>0.78</v>
          </cell>
          <cell r="G7">
            <v>1.42</v>
          </cell>
        </row>
        <row r="8">
          <cell r="D8">
            <v>0.1</v>
          </cell>
          <cell r="E8">
            <v>0.05</v>
          </cell>
          <cell r="G8">
            <v>0.05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P3"/>
  <sheetViews>
    <sheetView workbookViewId="0">
      <selection activeCell="B14" sqref="B14"/>
    </sheetView>
  </sheetViews>
  <sheetFormatPr baseColWidth="12" defaultRowHeight="15" x14ac:dyDescent="0.15"/>
  <cols>
    <col min="2" max="2" width="18.83203125" customWidth="1"/>
    <col min="5" max="5" width="25.1640625" bestFit="1" customWidth="1"/>
    <col min="6" max="6" width="22.1640625" bestFit="1" customWidth="1"/>
    <col min="7" max="7" width="16" customWidth="1"/>
    <col min="8" max="8" width="17.5" customWidth="1"/>
    <col min="9" max="11" width="16" customWidth="1"/>
  </cols>
  <sheetData>
    <row r="1" spans="1:16" x14ac:dyDescent="0.15">
      <c r="A1" s="64" t="s">
        <v>53</v>
      </c>
      <c r="B1" s="64" t="s">
        <v>47</v>
      </c>
      <c r="C1" s="64" t="s">
        <v>48</v>
      </c>
      <c r="D1" s="64" t="s">
        <v>49</v>
      </c>
      <c r="E1" s="64" t="s">
        <v>50</v>
      </c>
      <c r="F1" s="64" t="s">
        <v>51</v>
      </c>
      <c r="G1" s="64" t="s">
        <v>52</v>
      </c>
      <c r="H1" s="65"/>
      <c r="I1" s="65"/>
      <c r="J1" s="65"/>
      <c r="K1" s="65"/>
      <c r="L1" s="65"/>
      <c r="M1" s="65"/>
      <c r="N1" s="65"/>
      <c r="O1" s="65"/>
      <c r="P1" s="65"/>
    </row>
    <row r="2" spans="1:16" x14ac:dyDescent="0.15">
      <c r="A2" s="66" t="s">
        <v>171</v>
      </c>
      <c r="B2" s="66" t="s">
        <v>178</v>
      </c>
      <c r="C2" s="66" t="s">
        <v>171</v>
      </c>
      <c r="D2" s="66" t="s">
        <v>177</v>
      </c>
      <c r="E2" s="65" t="str">
        <f>B2&amp;C2&amp;D2</f>
        <v>fork_awake_units_old.tmp</v>
      </c>
      <c r="F2" s="66" t="s">
        <v>166</v>
      </c>
      <c r="G2" s="26" t="s">
        <v>4</v>
      </c>
      <c r="H2" s="27" t="s">
        <v>27</v>
      </c>
      <c r="I2" s="27" t="s">
        <v>167</v>
      </c>
      <c r="J2" s="27" t="s">
        <v>168</v>
      </c>
      <c r="K2" s="66"/>
      <c r="L2" s="66"/>
      <c r="M2" s="66"/>
      <c r="N2" s="66"/>
      <c r="O2" s="66"/>
      <c r="P2" s="66"/>
    </row>
    <row r="3" spans="1:16" x14ac:dyDescent="0.15">
      <c r="A3" s="66" t="s">
        <v>171</v>
      </c>
      <c r="B3" s="66" t="s">
        <v>179</v>
      </c>
      <c r="C3" s="66" t="s">
        <v>171</v>
      </c>
      <c r="D3" s="66" t="s">
        <v>177</v>
      </c>
      <c r="E3" s="65" t="str">
        <f>B3&amp;C3&amp;D3</f>
        <v>fork_awake_materials_old.tmp</v>
      </c>
      <c r="F3" s="66" t="s">
        <v>176</v>
      </c>
      <c r="G3" s="89" t="s">
        <v>174</v>
      </c>
      <c r="H3" s="89" t="s">
        <v>173</v>
      </c>
      <c r="I3" s="89" t="s">
        <v>18</v>
      </c>
      <c r="J3" s="89" t="s">
        <v>19</v>
      </c>
      <c r="K3" s="89" t="s">
        <v>172</v>
      </c>
      <c r="L3" s="89" t="s">
        <v>175</v>
      </c>
      <c r="M3" s="66"/>
      <c r="N3" s="66"/>
      <c r="O3" s="66"/>
      <c r="P3" s="66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I23"/>
  <sheetViews>
    <sheetView workbookViewId="0">
      <selection activeCell="B31" sqref="B31"/>
    </sheetView>
  </sheetViews>
  <sheetFormatPr baseColWidth="12" defaultRowHeight="15" x14ac:dyDescent="0.15"/>
  <cols>
    <col min="1" max="1" width="3.5" style="29" customWidth="1"/>
    <col min="2" max="2" width="12.83203125" style="29"/>
    <col min="3" max="3" width="7.33203125" style="30" bestFit="1" customWidth="1"/>
    <col min="4" max="4" width="7.6640625" style="29" bestFit="1" customWidth="1"/>
    <col min="5" max="16384" width="12.83203125" style="29"/>
  </cols>
  <sheetData>
    <row r="2" spans="2:9" s="30" customFormat="1" x14ac:dyDescent="0.15">
      <c r="B2" s="32" t="s">
        <v>28</v>
      </c>
      <c r="C2" s="32"/>
      <c r="D2" s="32" t="s">
        <v>37</v>
      </c>
      <c r="E2" s="32" t="s">
        <v>31</v>
      </c>
      <c r="F2" s="32" t="s">
        <v>32</v>
      </c>
      <c r="G2" s="32" t="s">
        <v>33</v>
      </c>
    </row>
    <row r="3" spans="2:9" x14ac:dyDescent="0.15">
      <c r="B3" s="98">
        <v>1</v>
      </c>
      <c r="C3" s="34" t="s">
        <v>29</v>
      </c>
      <c r="D3" s="35" t="e">
        <f>MIN(#REF!)</f>
        <v>#REF!</v>
      </c>
      <c r="E3" s="35" t="e">
        <f>ROUND($D3*E$14*E$15*E$17*E$19,0)</f>
        <v>#REF!</v>
      </c>
      <c r="F3" s="35" t="e">
        <f>ROUND($D3*F$14*F$15*F$17*F$19,0)</f>
        <v>#REF!</v>
      </c>
      <c r="G3" s="35" t="e">
        <f>ROUND($D3*G$14*G$15*G$17*G$19,0)</f>
        <v>#REF!</v>
      </c>
    </row>
    <row r="4" spans="2:9" x14ac:dyDescent="0.15">
      <c r="B4" s="98"/>
      <c r="C4" s="36" t="s">
        <v>30</v>
      </c>
      <c r="D4" s="37" t="e">
        <f>MAX(#REF!)</f>
        <v>#REF!</v>
      </c>
      <c r="E4" s="37" t="e">
        <f>ROUND($D4*E$14*E$16*E$18*E$20,0)</f>
        <v>#REF!</v>
      </c>
      <c r="F4" s="37" t="e">
        <f>ROUND($D4*F$14*F$16*F$18*F$20,0)</f>
        <v>#REF!</v>
      </c>
      <c r="G4" s="37" t="e">
        <f>ROUND($D4*G$14*G$16*G$18*G$20,0)</f>
        <v>#REF!</v>
      </c>
    </row>
    <row r="5" spans="2:9" x14ac:dyDescent="0.15">
      <c r="B5" s="98">
        <v>2</v>
      </c>
      <c r="C5" s="34" t="s">
        <v>29</v>
      </c>
      <c r="D5" s="35" t="e">
        <f>MIN(#REF!)</f>
        <v>#REF!</v>
      </c>
      <c r="E5" s="35" t="e">
        <f>ROUND($D5*E$14*E$15*E$17*E$19,0)</f>
        <v>#REF!</v>
      </c>
      <c r="F5" s="35" t="e">
        <f>ROUND($D5*F$14*F$15*F$17*F$19,0)</f>
        <v>#REF!</v>
      </c>
      <c r="G5" s="35" t="e">
        <f>ROUND($D5*G$14*G$15*G$17*G$19,0)</f>
        <v>#REF!</v>
      </c>
    </row>
    <row r="6" spans="2:9" x14ac:dyDescent="0.15">
      <c r="B6" s="98"/>
      <c r="C6" s="36" t="s">
        <v>38</v>
      </c>
      <c r="D6" s="37" t="e">
        <f>MAX(#REF!)</f>
        <v>#REF!</v>
      </c>
      <c r="E6" s="37" t="e">
        <f>ROUND($D6*E$14*E$16*E$18*E$20,0)</f>
        <v>#REF!</v>
      </c>
      <c r="F6" s="37" t="e">
        <f>ROUND($D6*F$14*F$16*F$18*F$20,0)</f>
        <v>#REF!</v>
      </c>
      <c r="G6" s="37" t="e">
        <f>ROUND($D6*G$14*G$16*G$18*G$20,0)</f>
        <v>#REF!</v>
      </c>
    </row>
    <row r="7" spans="2:9" x14ac:dyDescent="0.15">
      <c r="B7" s="98">
        <v>3</v>
      </c>
      <c r="C7" s="34" t="s">
        <v>29</v>
      </c>
      <c r="D7" s="35" t="e">
        <f>MIN(#REF!)</f>
        <v>#REF!</v>
      </c>
      <c r="E7" s="35" t="e">
        <f>ROUND($D7*E$14*E$15*E$17*E$19,0)</f>
        <v>#REF!</v>
      </c>
      <c r="F7" s="35" t="e">
        <f>ROUND($D7*F$14*F$15*F$17*F$19,0)</f>
        <v>#REF!</v>
      </c>
      <c r="G7" s="35" t="e">
        <f>ROUND($D7*G$14*G$15*G$17*G$19,0)</f>
        <v>#REF!</v>
      </c>
    </row>
    <row r="8" spans="2:9" x14ac:dyDescent="0.15">
      <c r="B8" s="98"/>
      <c r="C8" s="36" t="s">
        <v>38</v>
      </c>
      <c r="D8" s="37" t="e">
        <f>MAX(#REF!)</f>
        <v>#REF!</v>
      </c>
      <c r="E8" s="37" t="e">
        <f>ROUND($D8*E$14*E$16*E$18*E$20,0)</f>
        <v>#REF!</v>
      </c>
      <c r="F8" s="37" t="e">
        <f>ROUND($D8*F$14*F$16*F$18*F$20,0)</f>
        <v>#REF!</v>
      </c>
      <c r="G8" s="37" t="e">
        <f>ROUND($D8*G$14*G$16*G$18*G$20,0)</f>
        <v>#REF!</v>
      </c>
    </row>
    <row r="9" spans="2:9" x14ac:dyDescent="0.15">
      <c r="B9" s="98">
        <v>4</v>
      </c>
      <c r="C9" s="34" t="s">
        <v>29</v>
      </c>
      <c r="D9" s="35" t="e">
        <f>MIN(#REF!)</f>
        <v>#REF!</v>
      </c>
      <c r="E9" s="35" t="e">
        <f>ROUND($D9*E$14*E$15*E$17*E$19,0)</f>
        <v>#REF!</v>
      </c>
      <c r="F9" s="35" t="e">
        <f>ROUND($D9*F$14*F$15*F$17*F$19,0)</f>
        <v>#REF!</v>
      </c>
      <c r="G9" s="35" t="e">
        <f>ROUND($D9*G$14*G$15*G$17*G$19,0)</f>
        <v>#REF!</v>
      </c>
      <c r="I9"/>
    </row>
    <row r="10" spans="2:9" x14ac:dyDescent="0.15">
      <c r="B10" s="98"/>
      <c r="C10" s="36" t="s">
        <v>38</v>
      </c>
      <c r="D10" s="37" t="e">
        <f>MAX(#REF!)</f>
        <v>#REF!</v>
      </c>
      <c r="E10" s="37" t="e">
        <f>ROUND($D10*E$14*E$16*E$18*E$20,0)</f>
        <v>#REF!</v>
      </c>
      <c r="F10" s="37" t="e">
        <f>ROUND($D10*F$14*F$16*F$18*F$20,0)</f>
        <v>#REF!</v>
      </c>
      <c r="G10" s="37" t="e">
        <f>ROUND($D10*G$14*G$16*G$18*G$20,0)</f>
        <v>#REF!</v>
      </c>
      <c r="I10"/>
    </row>
    <row r="11" spans="2:9" x14ac:dyDescent="0.15">
      <c r="B11" s="98">
        <v>5</v>
      </c>
      <c r="C11" s="34" t="s">
        <v>29</v>
      </c>
      <c r="D11" s="35" t="e">
        <f>MIN(#REF!)</f>
        <v>#REF!</v>
      </c>
      <c r="E11" s="35" t="e">
        <f>ROUND($D11*E$14*E$15*E$17*E$19,0)</f>
        <v>#REF!</v>
      </c>
      <c r="F11" s="35" t="e">
        <f>ROUND($D11*F$14*F$15*F$17*F$19,0)</f>
        <v>#REF!</v>
      </c>
      <c r="G11" s="35" t="e">
        <f>ROUND($D11*G$14*G$15*G$17*G$19,0)</f>
        <v>#REF!</v>
      </c>
    </row>
    <row r="12" spans="2:9" x14ac:dyDescent="0.15">
      <c r="B12" s="98"/>
      <c r="C12" s="36" t="s">
        <v>38</v>
      </c>
      <c r="D12" s="37" t="e">
        <f>MAX(#REF!)</f>
        <v>#REF!</v>
      </c>
      <c r="E12" s="37" t="e">
        <f>ROUND($D12*E$14*E$16*E$18*E$20,0)</f>
        <v>#REF!</v>
      </c>
      <c r="F12" s="37" t="e">
        <f>ROUND($D12*F$14*F$16*F$18*F$20,0)</f>
        <v>#REF!</v>
      </c>
      <c r="G12" s="37" t="e">
        <f>ROUND($D12*G$14*G$16*G$18*G$20,0)</f>
        <v>#REF!</v>
      </c>
    </row>
    <row r="13" spans="2:9" x14ac:dyDescent="0.15">
      <c r="B13" s="40" t="s">
        <v>39</v>
      </c>
      <c r="C13" s="31"/>
      <c r="D13" s="33"/>
      <c r="E13" s="33"/>
      <c r="F13" s="33"/>
      <c r="G13" s="33"/>
    </row>
    <row r="14" spans="2:9" x14ac:dyDescent="0.15">
      <c r="B14" s="41" t="s">
        <v>42</v>
      </c>
      <c r="C14" s="46" t="s">
        <v>43</v>
      </c>
      <c r="D14" s="47"/>
      <c r="E14" s="48">
        <f>[2]ステータス!$B$2</f>
        <v>0.5</v>
      </c>
      <c r="F14" s="48">
        <f>[2]ステータス!$C$2</f>
        <v>0.3</v>
      </c>
      <c r="G14" s="48">
        <f>[2]ステータス!$E$2</f>
        <v>0.25</v>
      </c>
    </row>
    <row r="15" spans="2:9" x14ac:dyDescent="0.15">
      <c r="B15" s="98" t="s">
        <v>35</v>
      </c>
      <c r="C15" s="34" t="s">
        <v>29</v>
      </c>
      <c r="D15" s="35"/>
      <c r="E15" s="49">
        <f>MIN([2]属性!B$2:B$6)</f>
        <v>0.98</v>
      </c>
      <c r="F15" s="49">
        <f>MIN([2]属性!C$2:C$6)</f>
        <v>0.98</v>
      </c>
      <c r="G15" s="49">
        <f>MIN([2]属性!E$2:E$6)</f>
        <v>0.98</v>
      </c>
    </row>
    <row r="16" spans="2:9" x14ac:dyDescent="0.15">
      <c r="B16" s="98"/>
      <c r="C16" s="36" t="s">
        <v>38</v>
      </c>
      <c r="D16" s="37"/>
      <c r="E16" s="50">
        <f>MAX([2]属性!B$2:B$6)</f>
        <v>1.02</v>
      </c>
      <c r="F16" s="50">
        <f>MAX([2]属性!C$2:C$6)</f>
        <v>1.02</v>
      </c>
      <c r="G16" s="50">
        <f>MAX([2]属性!E$2:E$6)</f>
        <v>1.02</v>
      </c>
    </row>
    <row r="17" spans="2:7" x14ac:dyDescent="0.15">
      <c r="B17" s="98" t="s">
        <v>34</v>
      </c>
      <c r="C17" s="34" t="s">
        <v>29</v>
      </c>
      <c r="D17" s="35"/>
      <c r="E17" s="49">
        <f>MIN([2]character_type_i18n!D$4:D$8)</f>
        <v>0.1</v>
      </c>
      <c r="F17" s="49">
        <f>MIN([2]character_type_i18n!E$4:E$8)</f>
        <v>0.05</v>
      </c>
      <c r="G17" s="49">
        <f>MIN([2]character_type_i18n!G$4:G$8)</f>
        <v>0.05</v>
      </c>
    </row>
    <row r="18" spans="2:7" x14ac:dyDescent="0.15">
      <c r="B18" s="98"/>
      <c r="C18" s="36" t="s">
        <v>38</v>
      </c>
      <c r="D18" s="37"/>
      <c r="E18" s="50">
        <f>MAX([2]character_type_i18n!D$4:D$8)</f>
        <v>1.45</v>
      </c>
      <c r="F18" s="50">
        <f>MAX([2]character_type_i18n!E$4:E$8)</f>
        <v>1</v>
      </c>
      <c r="G18" s="50">
        <f>MAX([2]character_type_i18n!G$4:G$8)</f>
        <v>1.42</v>
      </c>
    </row>
    <row r="19" spans="2:7" x14ac:dyDescent="0.15">
      <c r="B19" s="98" t="s">
        <v>36</v>
      </c>
      <c r="C19" s="34" t="s">
        <v>29</v>
      </c>
      <c r="D19" s="35"/>
      <c r="E19" s="49">
        <f>MIN([2]character_tribe_i18n!D$4:D$9)</f>
        <v>0.96</v>
      </c>
      <c r="F19" s="49">
        <f>MIN([2]character_tribe_i18n!E$4:E$9)</f>
        <v>1</v>
      </c>
      <c r="G19" s="49">
        <f>MIN([2]character_tribe_i18n!G$4:G$9)</f>
        <v>0.75</v>
      </c>
    </row>
    <row r="20" spans="2:7" x14ac:dyDescent="0.15">
      <c r="B20" s="98"/>
      <c r="C20" s="36" t="s">
        <v>38</v>
      </c>
      <c r="D20" s="37"/>
      <c r="E20" s="50">
        <f>MAX([2]character_tribe_i18n!D$4:D$9)</f>
        <v>1.1499999999999999</v>
      </c>
      <c r="F20" s="50">
        <f>MAX([2]character_tribe_i18n!E$4:E$9)</f>
        <v>1.1000000000000001</v>
      </c>
      <c r="G20" s="50">
        <f>MAX([2]character_tribe_i18n!G$4:G$9)</f>
        <v>1.02</v>
      </c>
    </row>
    <row r="21" spans="2:7" ht="18" customHeight="1" x14ac:dyDescent="0.15">
      <c r="B21" s="95" t="s">
        <v>40</v>
      </c>
      <c r="C21" s="38" t="s">
        <v>29</v>
      </c>
      <c r="D21" s="39"/>
      <c r="E21" s="51">
        <f>E14*E15*E17*E19</f>
        <v>4.7039999999999998E-2</v>
      </c>
      <c r="F21" s="51">
        <f t="shared" ref="F21:G21" si="0">F14*F15*F17*F19</f>
        <v>1.47E-2</v>
      </c>
      <c r="G21" s="52">
        <f t="shared" si="0"/>
        <v>9.1875000000000012E-3</v>
      </c>
    </row>
    <row r="22" spans="2:7" x14ac:dyDescent="0.15">
      <c r="B22" s="96"/>
      <c r="C22" s="42" t="s">
        <v>38</v>
      </c>
      <c r="D22" s="43"/>
      <c r="E22" s="53">
        <f>E14*E16*E18*E20</f>
        <v>0.85042499999999988</v>
      </c>
      <c r="F22" s="53">
        <f t="shared" ref="F22:G22" si="1">F14*F16*F18*F20</f>
        <v>0.33660000000000001</v>
      </c>
      <c r="G22" s="54">
        <f t="shared" si="1"/>
        <v>0.369342</v>
      </c>
    </row>
    <row r="23" spans="2:7" x14ac:dyDescent="0.15">
      <c r="B23" s="97"/>
      <c r="C23" s="44" t="s">
        <v>41</v>
      </c>
      <c r="D23" s="45"/>
      <c r="E23" s="55">
        <f>E22/E21</f>
        <v>18.078762755102037</v>
      </c>
      <c r="F23" s="55">
        <f t="shared" ref="F23:G23" si="2">F22/F21</f>
        <v>22.897959183673471</v>
      </c>
      <c r="G23" s="56">
        <f t="shared" si="2"/>
        <v>40.200489795918365</v>
      </c>
    </row>
  </sheetData>
  <mergeCells count="9">
    <mergeCell ref="B21:B23"/>
    <mergeCell ref="B15:B16"/>
    <mergeCell ref="B17:B18"/>
    <mergeCell ref="B19:B20"/>
    <mergeCell ref="B3:B4"/>
    <mergeCell ref="B5:B6"/>
    <mergeCell ref="B7:B8"/>
    <mergeCell ref="B9:B10"/>
    <mergeCell ref="B11:B12"/>
  </mergeCells>
  <phoneticPr fontId="19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W444"/>
  <sheetViews>
    <sheetView showGridLines="0" tabSelected="1" workbookViewId="0">
      <pane xSplit="9" ySplit="1" topLeftCell="P406" activePane="bottomRight" state="frozen"/>
      <selection pane="topRight" activeCell="J1" sqref="J1"/>
      <selection pane="bottomLeft" activeCell="A3" sqref="A3"/>
      <selection pane="bottomRight" activeCell="B417" sqref="B417"/>
    </sheetView>
  </sheetViews>
  <sheetFormatPr baseColWidth="12" defaultColWidth="8.83203125" defaultRowHeight="21" customHeight="1" outlineLevelCol="1" x14ac:dyDescent="0.15"/>
  <cols>
    <col min="1" max="1" width="12.83203125" style="6" customWidth="1"/>
    <col min="2" max="2" width="21.5" style="7" bestFit="1" customWidth="1" collapsed="1"/>
    <col min="3" max="3" width="23.6640625" style="7" hidden="1" customWidth="1" outlineLevel="1"/>
    <col min="4" max="4" width="8.6640625" style="7" hidden="1" customWidth="1" outlineLevel="1"/>
    <col min="5" max="5" width="8" style="7" hidden="1" customWidth="1" outlineLevel="1"/>
    <col min="6" max="6" width="7.1640625" style="7" hidden="1" customWidth="1" outlineLevel="1"/>
    <col min="7" max="7" width="9.6640625" style="7" bestFit="1" customWidth="1"/>
    <col min="8" max="8" width="13.6640625" style="7" bestFit="1" customWidth="1"/>
    <col min="9" max="9" width="10.5" style="7" bestFit="1" customWidth="1" collapsed="1"/>
    <col min="10" max="10" width="22" style="7" hidden="1" customWidth="1" outlineLevel="1"/>
    <col min="11" max="11" width="14.1640625" style="7" hidden="1" customWidth="1" outlineLevel="1"/>
    <col min="12" max="12" width="12.33203125" style="7" hidden="1" customWidth="1" outlineLevel="1"/>
    <col min="13" max="15" width="13.6640625" style="7" hidden="1" customWidth="1" outlineLevel="1"/>
    <col min="16" max="16" width="15.1640625" style="7" customWidth="1"/>
    <col min="17" max="17" width="20.1640625" style="6" bestFit="1" customWidth="1"/>
    <col min="18" max="18" width="18.83203125" style="7" bestFit="1" customWidth="1"/>
    <col min="19" max="20" width="18.83203125" style="7" customWidth="1"/>
    <col min="21" max="21" width="15.1640625" style="7" customWidth="1"/>
    <col min="22" max="16384" width="8.83203125" style="6"/>
  </cols>
  <sheetData>
    <row r="1" spans="1:21" ht="21" customHeight="1" x14ac:dyDescent="0.15">
      <c r="A1" s="58" t="s">
        <v>44</v>
      </c>
      <c r="B1" s="90" t="s">
        <v>21</v>
      </c>
      <c r="C1" s="60" t="s">
        <v>13</v>
      </c>
      <c r="D1" s="60" t="s">
        <v>16</v>
      </c>
      <c r="E1" s="60" t="s">
        <v>14</v>
      </c>
      <c r="F1" s="60" t="s">
        <v>15</v>
      </c>
      <c r="G1" s="60" t="s">
        <v>1</v>
      </c>
      <c r="H1" s="91" t="s">
        <v>5</v>
      </c>
      <c r="I1" s="60" t="s">
        <v>0</v>
      </c>
      <c r="J1" s="59" t="s">
        <v>17</v>
      </c>
      <c r="K1" s="60" t="s">
        <v>24</v>
      </c>
      <c r="L1" s="61" t="s">
        <v>6</v>
      </c>
      <c r="M1" s="61" t="s">
        <v>7</v>
      </c>
      <c r="N1" s="61" t="s">
        <v>12</v>
      </c>
      <c r="O1" s="61" t="s">
        <v>8</v>
      </c>
      <c r="P1" s="63" t="s">
        <v>169</v>
      </c>
      <c r="Q1" s="62" t="s">
        <v>26</v>
      </c>
      <c r="R1" s="57" t="s">
        <v>22</v>
      </c>
      <c r="S1" s="63" t="s">
        <v>25</v>
      </c>
      <c r="T1" s="57" t="s">
        <v>22</v>
      </c>
      <c r="U1" s="63" t="s">
        <v>165</v>
      </c>
    </row>
    <row r="2" spans="1:21" ht="21" customHeight="1" x14ac:dyDescent="0.15">
      <c r="A2" s="83">
        <v>1</v>
      </c>
      <c r="B2" s="24" t="str">
        <f ca="1">VLOOKUP($A2,OFFSET([2]characters!$A$1,0,0,COUNTA([2]characters!$A:$A),MATCH(B$1,[2]characters!$1:$1,0)-MATCH($A$1,[2]characters!$1:$1,0)+1),MATCH(B$1,[2]characters!$1:$1,0)-MATCH($A$1,[2]characters!$1:$1,0)+1,FALSE)</f>
        <v>ジェリー</v>
      </c>
      <c r="C2" s="24" t="str">
        <f ca="1">VLOOKUP($A2,OFFSET([2]characters!$A$1,0,0,COUNTA([2]characters!$A:$A),MATCH(C$1,[2]characters!$1:$1,0)-MATCH($A$1,[2]characters!$1:$1,0)+1),MATCH(C$1,[2]characters!$1:$1,0)-MATCH($A$1,[2]characters!$1:$1,0)+1,FALSE)</f>
        <v>ノーマルクエスト</v>
      </c>
      <c r="D2" s="24" t="str">
        <f ca="1">VLOOKUP($A2,OFFSET([2]characters!$A$1,0,0,COUNTA([2]characters!$A:$A),MATCH(D$1,[2]characters!$1:$1,0)-MATCH($A$1,[2]characters!$1:$1,0)+1),MATCH(D$1,[2]characters!$1:$1,0)-MATCH($A$1,[2]characters!$1:$1,0)+1,FALSE)</f>
        <v>QoH</v>
      </c>
      <c r="E2" s="24" t="str">
        <f ca="1">VLOOKUP($A2,OFFSET([2]characters!$A$1,0,0,COUNTA([2]characters!$A:$A),MATCH(E$1,[2]characters!$1:$1,0)-MATCH($A$1,[2]characters!$1:$1,0)+1),MATCH(E$1,[2]characters!$1:$1,0)-MATCH($A$1,[2]characters!$1:$1,0)+1,FALSE)</f>
        <v>世界観</v>
      </c>
      <c r="F2" s="24" t="str">
        <f ca="1">VLOOKUP($A2,OFFSET([2]characters!$A$1,0,0,COUNTA([2]characters!$A:$A),MATCH(F$1,[2]characters!$1:$1,0)-MATCH($A$1,[2]characters!$1:$1,0)+1),MATCH(F$1,[2]characters!$1:$1,0)-MATCH($A$1,[2]characters!$1:$1,0)+1,FALSE)</f>
        <v>不明</v>
      </c>
      <c r="G2" s="24">
        <f ca="1">VLOOKUP($A2,OFFSET([2]characters!$A$1,0,0,COUNTA([2]characters!$A:$A),MATCH(G$1,[2]characters!$1:$1,0)-MATCH($A$1,[2]characters!$1:$1,0)+1),MATCH(G$1,[2]characters!$1:$1,0)-MATCH($A$1,[2]characters!$1:$1,0)+1,FALSE)</f>
        <v>1</v>
      </c>
      <c r="H2" s="24" t="str">
        <f ca="1">VLOOKUP($A2,OFFSET([2]characters!$A$1,0,0,COUNTA([2]characters!$A:$A),MATCH(H$1,[2]characters!$1:$1,0)-MATCH($A$1,[2]characters!$1:$1,0)+1),MATCH(H$1,[2]characters!$1:$1,0)-MATCH($A$1,[2]characters!$1:$1,0)+1,FALSE)</f>
        <v>Drop1T</v>
      </c>
      <c r="I2" s="24" t="str">
        <f ca="1">VLOOKUP($A2,OFFSET([2]characters!$A$1,0,0,COUNTA([2]characters!$A:$A),MATCH(I$1,[2]characters!$1:$1,0)-MATCH($A$1,[2]characters!$1:$1,0)+1),MATCH(I$1,[2]characters!$1:$1,0)-MATCH($A$1,[2]characters!$1:$1,0)+1,FALSE)</f>
        <v>red</v>
      </c>
      <c r="J2" s="24" t="str">
        <f ca="1">VLOOKUP($A2,OFFSET([2]characters!$A$1,0,0,COUNTA([2]characters!$A:$A),MATCH(J$1,[2]characters!$1:$1,0)-MATCH($A$1,[2]characters!$1:$1,0)+1),MATCH(J$1,[2]characters!$1:$1,0)-MATCH($A$1,[2]characters!$1:$1,0)+1,FALSE)</f>
        <v>none</v>
      </c>
      <c r="K2" s="3" t="str">
        <f ca="1">VLOOKUP(J2,[2]character_tribe_i18n!$A:$H,3,FALSE)</f>
        <v>種族なし</v>
      </c>
      <c r="L2" s="5" t="e">
        <f>VLOOKUP(#REF!,[2]character_tribe_i18n!$A:$H,4,FALSE)</f>
        <v>#REF!</v>
      </c>
      <c r="M2" s="5" t="e">
        <f>VLOOKUP(#REF!,[2]character_tribe_i18n!$A:$H,5,FALSE)</f>
        <v>#REF!</v>
      </c>
      <c r="N2" s="5" t="e">
        <f>VLOOKUP(#REF!,[2]character_tribe_i18n!$A:$H,6,FALSE)</f>
        <v>#REF!</v>
      </c>
      <c r="O2" s="5" t="e">
        <f>VLOOKUP(#REF!,[2]character_tribe_i18n!$A:$H,7,FALSE)</f>
        <v>#REF!</v>
      </c>
      <c r="P2" s="83" t="s">
        <v>170</v>
      </c>
      <c r="Q2" s="4">
        <v>2</v>
      </c>
      <c r="R2" s="25" t="str">
        <f ca="1">IF(Q2="NULL","",VLOOKUP($Q2,OFFSET([2]characters!$A$1,0,0,COUNTA([2]characters!$A:$A),MATCH(R$1,[2]characters!$1:$1,0)-MATCH($A$1,[2]characters!$1:$1,0)+1),MATCH(R$1,[2]characters!$1:$1,0)-MATCH($A$1,[2]characters!$1:$1,0)+1,FALSE))</f>
        <v>イレギュラー・ジェリー</v>
      </c>
      <c r="S2" s="3">
        <f t="shared" ref="S2:S65" ca="1" si="0">IF(ISNA(MATCH(A2,Q:Q,0)),A2,INDIRECT(ADDRESS(MATCH(A2,Q:Q,0),COLUMN())))</f>
        <v>1</v>
      </c>
      <c r="T2" s="25" t="str">
        <f ca="1">VLOOKUP($S2,OFFSET([2]characters!$A$1,0,0,COUNTA([2]characters!$A:$A),MATCH(T$1,[2]characters!$1:$1,0)-MATCH($A$1,[2]characters!$1:$1,0)+1),MATCH(T$1,[2]characters!$1:$1,0)-MATCH($A$1,[2]characters!$1:$1,0)+1,FALSE)</f>
        <v>ジェリー</v>
      </c>
      <c r="U2" s="5">
        <f ca="1">IF(Q2="NULL","NULL",VLOOKUP(G2,ビット!$A$2:$B$7,2))</f>
        <v>5000</v>
      </c>
    </row>
    <row r="3" spans="1:21" ht="21" customHeight="1" x14ac:dyDescent="0.15">
      <c r="A3" s="83">
        <v>3</v>
      </c>
      <c r="B3" s="24" t="str">
        <f ca="1">VLOOKUP($A3,OFFSET([2]characters!$A$1,0,0,COUNTA([2]characters!$A:$A),MATCH(B$1,[2]characters!$1:$1,0)-MATCH($A$1,[2]characters!$1:$1,0)+1),MATCH(B$1,[2]characters!$1:$1,0)-MATCH($A$1,[2]characters!$1:$1,0)+1,FALSE)</f>
        <v>エージェント ジョー</v>
      </c>
      <c r="C3" s="24" t="str">
        <f ca="1">VLOOKUP($A3,OFFSET([2]characters!$A$1,0,0,COUNTA([2]characters!$A:$A),MATCH(C$1,[2]characters!$1:$1,0)-MATCH($A$1,[2]characters!$1:$1,0)+1),MATCH(C$1,[2]characters!$1:$1,0)-MATCH($A$1,[2]characters!$1:$1,0)+1,FALSE)</f>
        <v>ノーマルクエスト</v>
      </c>
      <c r="D3" s="24" t="str">
        <f ca="1">VLOOKUP($A3,OFFSET([2]characters!$A$1,0,0,COUNTA([2]characters!$A:$A),MATCH(D$1,[2]characters!$1:$1,0)-MATCH($A$1,[2]characters!$1:$1,0)+1),MATCH(D$1,[2]characters!$1:$1,0)-MATCH($A$1,[2]characters!$1:$1,0)+1,FALSE)</f>
        <v>QoH</v>
      </c>
      <c r="E3" s="24" t="str">
        <f ca="1">VLOOKUP($A3,OFFSET([2]characters!$A$1,0,0,COUNTA([2]characters!$A:$A),MATCH(E$1,[2]characters!$1:$1,0)-MATCH($A$1,[2]characters!$1:$1,0)+1),MATCH(E$1,[2]characters!$1:$1,0)-MATCH($A$1,[2]characters!$1:$1,0)+1,FALSE)</f>
        <v>世界観</v>
      </c>
      <c r="F3" s="24" t="str">
        <f ca="1">VLOOKUP($A3,OFFSET([2]characters!$A$1,0,0,COUNTA([2]characters!$A:$A),MATCH(F$1,[2]characters!$1:$1,0)-MATCH($A$1,[2]characters!$1:$1,0)+1),MATCH(F$1,[2]characters!$1:$1,0)-MATCH($A$1,[2]characters!$1:$1,0)+1,FALSE)</f>
        <v>不明</v>
      </c>
      <c r="G3" s="24">
        <f ca="1">VLOOKUP($A3,OFFSET([2]characters!$A$1,0,0,COUNTA([2]characters!$A:$A),MATCH(G$1,[2]characters!$1:$1,0)-MATCH($A$1,[2]characters!$1:$1,0)+1),MATCH(G$1,[2]characters!$1:$1,0)-MATCH($A$1,[2]characters!$1:$1,0)+1,FALSE)</f>
        <v>1</v>
      </c>
      <c r="H3" s="24" t="str">
        <f ca="1">VLOOKUP($A3,OFFSET([2]characters!$A$1,0,0,COUNTA([2]characters!$A:$A),MATCH(H$1,[2]characters!$1:$1,0)-MATCH($A$1,[2]characters!$1:$1,0)+1),MATCH(H$1,[2]characters!$1:$1,0)-MATCH($A$1,[2]characters!$1:$1,0)+1,FALSE)</f>
        <v>Drop1T</v>
      </c>
      <c r="I3" s="24" t="str">
        <f ca="1">VLOOKUP($A3,OFFSET([2]characters!$A$1,0,0,COUNTA([2]characters!$A:$A),MATCH(I$1,[2]characters!$1:$1,0)-MATCH($A$1,[2]characters!$1:$1,0)+1),MATCH(I$1,[2]characters!$1:$1,0)-MATCH($A$1,[2]characters!$1:$1,0)+1,FALSE)</f>
        <v>green</v>
      </c>
      <c r="J3" s="24" t="str">
        <f ca="1">VLOOKUP($A3,OFFSET([2]characters!$A$1,0,0,COUNTA([2]characters!$A:$A),MATCH(J$1,[2]characters!$1:$1,0)-MATCH($A$1,[2]characters!$1:$1,0)+1),MATCH(J$1,[2]characters!$1:$1,0)-MATCH($A$1,[2]characters!$1:$1,0)+1,FALSE)</f>
        <v>none</v>
      </c>
      <c r="K3" s="3" t="str">
        <f ca="1">VLOOKUP(J3,[2]character_tribe_i18n!$A:$H,3,FALSE)</f>
        <v>種族なし</v>
      </c>
      <c r="L3" s="5" t="e">
        <f>VLOOKUP(#REF!,[2]character_tribe_i18n!$A:$H,4,FALSE)</f>
        <v>#REF!</v>
      </c>
      <c r="M3" s="5" t="e">
        <f>VLOOKUP(#REF!,[2]character_tribe_i18n!$A:$H,5,FALSE)</f>
        <v>#REF!</v>
      </c>
      <c r="N3" s="5" t="e">
        <f>VLOOKUP(#REF!,[2]character_tribe_i18n!$A:$H,6,FALSE)</f>
        <v>#REF!</v>
      </c>
      <c r="O3" s="5" t="e">
        <f>VLOOKUP(#REF!,[2]character_tribe_i18n!$A:$H,7,FALSE)</f>
        <v>#REF!</v>
      </c>
      <c r="P3" s="83" t="s">
        <v>170</v>
      </c>
      <c r="Q3" s="4">
        <v>4</v>
      </c>
      <c r="R3" s="25" t="str">
        <f ca="1">IF(Q3="NULL","",VLOOKUP($Q3,OFFSET([2]characters!$A$1,0,0,COUNTA([2]characters!$A:$A),MATCH(R$1,[2]characters!$1:$1,0)-MATCH($A$1,[2]characters!$1:$1,0)+1),MATCH(R$1,[2]characters!$1:$1,0)-MATCH($A$1,[2]characters!$1:$1,0)+1,FALSE))</f>
        <v>エースエージェント ジョー</v>
      </c>
      <c r="S3" s="3">
        <f t="shared" ca="1" si="0"/>
        <v>3</v>
      </c>
      <c r="T3" s="25" t="str">
        <f ca="1">VLOOKUP($S3,OFFSET([2]characters!$A$1,0,0,COUNTA([2]characters!$A:$A),MATCH(T$1,[2]characters!$1:$1,0)-MATCH($A$1,[2]characters!$1:$1,0)+1),MATCH(T$1,[2]characters!$1:$1,0)-MATCH($A$1,[2]characters!$1:$1,0)+1,FALSE)</f>
        <v>エージェント ジョー</v>
      </c>
      <c r="U3" s="5">
        <f ca="1">IF(Q3="NULL","NULL",VLOOKUP(G3,ビット!$A$2:$B$7,2))</f>
        <v>5000</v>
      </c>
    </row>
    <row r="4" spans="1:21" ht="21" customHeight="1" x14ac:dyDescent="0.15">
      <c r="A4" s="83">
        <v>5</v>
      </c>
      <c r="B4" s="24" t="str">
        <f ca="1">VLOOKUP($A4,OFFSET([2]characters!$A$1,0,0,COUNTA([2]characters!$A:$A),MATCH(B$1,[2]characters!$1:$1,0)-MATCH($A$1,[2]characters!$1:$1,0)+1),MATCH(B$1,[2]characters!$1:$1,0)-MATCH($A$1,[2]characters!$1:$1,0)+1,FALSE)</f>
        <v>パトドッグ ポチ</v>
      </c>
      <c r="C4" s="24" t="str">
        <f ca="1">VLOOKUP($A4,OFFSET([2]characters!$A$1,0,0,COUNTA([2]characters!$A:$A),MATCH(C$1,[2]characters!$1:$1,0)-MATCH($A$1,[2]characters!$1:$1,0)+1),MATCH(C$1,[2]characters!$1:$1,0)-MATCH($A$1,[2]characters!$1:$1,0)+1,FALSE)</f>
        <v>ノーマルクエスト</v>
      </c>
      <c r="D4" s="24" t="str">
        <f ca="1">VLOOKUP($A4,OFFSET([2]characters!$A$1,0,0,COUNTA([2]characters!$A:$A),MATCH(D$1,[2]characters!$1:$1,0)-MATCH($A$1,[2]characters!$1:$1,0)+1),MATCH(D$1,[2]characters!$1:$1,0)-MATCH($A$1,[2]characters!$1:$1,0)+1,FALSE)</f>
        <v>QoH</v>
      </c>
      <c r="E4" s="24" t="str">
        <f ca="1">VLOOKUP($A4,OFFSET([2]characters!$A$1,0,0,COUNTA([2]characters!$A:$A),MATCH(E$1,[2]characters!$1:$1,0)-MATCH($A$1,[2]characters!$1:$1,0)+1),MATCH(E$1,[2]characters!$1:$1,0)-MATCH($A$1,[2]characters!$1:$1,0)+1,FALSE)</f>
        <v>世界観</v>
      </c>
      <c r="F4" s="24" t="str">
        <f ca="1">VLOOKUP($A4,OFFSET([2]characters!$A$1,0,0,COUNTA([2]characters!$A:$A),MATCH(F$1,[2]characters!$1:$1,0)-MATCH($A$1,[2]characters!$1:$1,0)+1),MATCH(F$1,[2]characters!$1:$1,0)-MATCH($A$1,[2]characters!$1:$1,0)+1,FALSE)</f>
        <v>不明</v>
      </c>
      <c r="G4" s="24">
        <f ca="1">VLOOKUP($A4,OFFSET([2]characters!$A$1,0,0,COUNTA([2]characters!$A:$A),MATCH(G$1,[2]characters!$1:$1,0)-MATCH($A$1,[2]characters!$1:$1,0)+1),MATCH(G$1,[2]characters!$1:$1,0)-MATCH($A$1,[2]characters!$1:$1,0)+1,FALSE)</f>
        <v>1</v>
      </c>
      <c r="H4" s="24" t="str">
        <f ca="1">VLOOKUP($A4,OFFSET([2]characters!$A$1,0,0,COUNTA([2]characters!$A:$A),MATCH(H$1,[2]characters!$1:$1,0)-MATCH($A$1,[2]characters!$1:$1,0)+1),MATCH(H$1,[2]characters!$1:$1,0)-MATCH($A$1,[2]characters!$1:$1,0)+1,FALSE)</f>
        <v>Drop1T</v>
      </c>
      <c r="I4" s="24" t="str">
        <f ca="1">VLOOKUP($A4,OFFSET([2]characters!$A$1,0,0,COUNTA([2]characters!$A:$A),MATCH(I$1,[2]characters!$1:$1,0)-MATCH($A$1,[2]characters!$1:$1,0)+1),MATCH(I$1,[2]characters!$1:$1,0)-MATCH($A$1,[2]characters!$1:$1,0)+1,FALSE)</f>
        <v>blue</v>
      </c>
      <c r="J4" s="24" t="str">
        <f ca="1">VLOOKUP($A4,OFFSET([2]characters!$A$1,0,0,COUNTA([2]characters!$A:$A),MATCH(J$1,[2]characters!$1:$1,0)-MATCH($A$1,[2]characters!$1:$1,0)+1),MATCH(J$1,[2]characters!$1:$1,0)-MATCH($A$1,[2]characters!$1:$1,0)+1,FALSE)</f>
        <v>none</v>
      </c>
      <c r="K4" s="3" t="str">
        <f ca="1">VLOOKUP(J4,[2]character_tribe_i18n!$A:$H,3,FALSE)</f>
        <v>種族なし</v>
      </c>
      <c r="L4" s="5" t="e">
        <f>VLOOKUP(#REF!,[2]character_tribe_i18n!$A:$H,4,FALSE)</f>
        <v>#REF!</v>
      </c>
      <c r="M4" s="5" t="e">
        <f>VLOOKUP(#REF!,[2]character_tribe_i18n!$A:$H,5,FALSE)</f>
        <v>#REF!</v>
      </c>
      <c r="N4" s="5" t="e">
        <f>VLOOKUP(#REF!,[2]character_tribe_i18n!$A:$H,6,FALSE)</f>
        <v>#REF!</v>
      </c>
      <c r="O4" s="5" t="e">
        <f>VLOOKUP(#REF!,[2]character_tribe_i18n!$A:$H,7,FALSE)</f>
        <v>#REF!</v>
      </c>
      <c r="P4" s="83" t="s">
        <v>170</v>
      </c>
      <c r="Q4" s="4">
        <v>6</v>
      </c>
      <c r="R4" s="25" t="str">
        <f ca="1">IF(Q4="NULL","",VLOOKUP($Q4,OFFSET([2]characters!$A$1,0,0,COUNTA([2]characters!$A:$A),MATCH(R$1,[2]characters!$1:$1,0)-MATCH($A$1,[2]characters!$1:$1,0)+1),MATCH(R$1,[2]characters!$1:$1,0)-MATCH($A$1,[2]characters!$1:$1,0)+1,FALSE))</f>
        <v>パトドッグリーダー ポチ</v>
      </c>
      <c r="S4" s="3">
        <f t="shared" ca="1" si="0"/>
        <v>5</v>
      </c>
      <c r="T4" s="25" t="str">
        <f ca="1">VLOOKUP($S4,OFFSET([2]characters!$A$1,0,0,COUNTA([2]characters!$A:$A),MATCH(T$1,[2]characters!$1:$1,0)-MATCH($A$1,[2]characters!$1:$1,0)+1),MATCH(T$1,[2]characters!$1:$1,0)-MATCH($A$1,[2]characters!$1:$1,0)+1,FALSE)</f>
        <v>パトドッグ ポチ</v>
      </c>
      <c r="U4" s="5">
        <f ca="1">IF(Q4="NULL","NULL",VLOOKUP(G4,ビット!$A$2:$B$7,2))</f>
        <v>5000</v>
      </c>
    </row>
    <row r="5" spans="1:21" ht="21" customHeight="1" x14ac:dyDescent="0.15">
      <c r="A5" s="83">
        <v>7</v>
      </c>
      <c r="B5" s="24" t="str">
        <f ca="1">VLOOKUP($A5,OFFSET([2]characters!$A$1,0,0,COUNTA([2]characters!$A:$A),MATCH(B$1,[2]characters!$1:$1,0)-MATCH($A$1,[2]characters!$1:$1,0)+1),MATCH(B$1,[2]characters!$1:$1,0)-MATCH($A$1,[2]characters!$1:$1,0)+1,FALSE)</f>
        <v>エレキポット</v>
      </c>
      <c r="C5" s="24" t="str">
        <f ca="1">VLOOKUP($A5,OFFSET([2]characters!$A$1,0,0,COUNTA([2]characters!$A:$A),MATCH(C$1,[2]characters!$1:$1,0)-MATCH($A$1,[2]characters!$1:$1,0)+1),MATCH(C$1,[2]characters!$1:$1,0)-MATCH($A$1,[2]characters!$1:$1,0)+1,FALSE)</f>
        <v>ノーマルクエスト</v>
      </c>
      <c r="D5" s="24" t="str">
        <f ca="1">VLOOKUP($A5,OFFSET([2]characters!$A$1,0,0,COUNTA([2]characters!$A:$A),MATCH(D$1,[2]characters!$1:$1,0)-MATCH($A$1,[2]characters!$1:$1,0)+1),MATCH(D$1,[2]characters!$1:$1,0)-MATCH($A$1,[2]characters!$1:$1,0)+1,FALSE)</f>
        <v>QoH</v>
      </c>
      <c r="E5" s="24" t="str">
        <f ca="1">VLOOKUP($A5,OFFSET([2]characters!$A$1,0,0,COUNTA([2]characters!$A:$A),MATCH(E$1,[2]characters!$1:$1,0)-MATCH($A$1,[2]characters!$1:$1,0)+1),MATCH(E$1,[2]characters!$1:$1,0)-MATCH($A$1,[2]characters!$1:$1,0)+1,FALSE)</f>
        <v>世界観</v>
      </c>
      <c r="F5" s="24" t="str">
        <f ca="1">VLOOKUP($A5,OFFSET([2]characters!$A$1,0,0,COUNTA([2]characters!$A:$A),MATCH(F$1,[2]characters!$1:$1,0)-MATCH($A$1,[2]characters!$1:$1,0)+1),MATCH(F$1,[2]characters!$1:$1,0)-MATCH($A$1,[2]characters!$1:$1,0)+1,FALSE)</f>
        <v>不明</v>
      </c>
      <c r="G5" s="24">
        <f ca="1">VLOOKUP($A5,OFFSET([2]characters!$A$1,0,0,COUNTA([2]characters!$A:$A),MATCH(G$1,[2]characters!$1:$1,0)-MATCH($A$1,[2]characters!$1:$1,0)+1),MATCH(G$1,[2]characters!$1:$1,0)-MATCH($A$1,[2]characters!$1:$1,0)+1,FALSE)</f>
        <v>1</v>
      </c>
      <c r="H5" s="24" t="str">
        <f ca="1">VLOOKUP($A5,OFFSET([2]characters!$A$1,0,0,COUNTA([2]characters!$A:$A),MATCH(H$1,[2]characters!$1:$1,0)-MATCH($A$1,[2]characters!$1:$1,0)+1),MATCH(H$1,[2]characters!$1:$1,0)-MATCH($A$1,[2]characters!$1:$1,0)+1,FALSE)</f>
        <v>Drop1T</v>
      </c>
      <c r="I5" s="24" t="str">
        <f ca="1">VLOOKUP($A5,OFFSET([2]characters!$A$1,0,0,COUNTA([2]characters!$A:$A),MATCH(I$1,[2]characters!$1:$1,0)-MATCH($A$1,[2]characters!$1:$1,0)+1),MATCH(I$1,[2]characters!$1:$1,0)-MATCH($A$1,[2]characters!$1:$1,0)+1,FALSE)</f>
        <v>yellow</v>
      </c>
      <c r="J5" s="24" t="str">
        <f ca="1">VLOOKUP($A5,OFFSET([2]characters!$A$1,0,0,COUNTA([2]characters!$A:$A),MATCH(J$1,[2]characters!$1:$1,0)-MATCH($A$1,[2]characters!$1:$1,0)+1),MATCH(J$1,[2]characters!$1:$1,0)-MATCH($A$1,[2]characters!$1:$1,0)+1,FALSE)</f>
        <v>none</v>
      </c>
      <c r="K5" s="3" t="str">
        <f ca="1">VLOOKUP(J5,[2]character_tribe_i18n!$A:$H,3,FALSE)</f>
        <v>種族なし</v>
      </c>
      <c r="L5" s="5" t="e">
        <f>VLOOKUP(#REF!,[2]character_tribe_i18n!$A:$H,4,FALSE)</f>
        <v>#REF!</v>
      </c>
      <c r="M5" s="5" t="e">
        <f>VLOOKUP(#REF!,[2]character_tribe_i18n!$A:$H,5,FALSE)</f>
        <v>#REF!</v>
      </c>
      <c r="N5" s="5" t="e">
        <f>VLOOKUP(#REF!,[2]character_tribe_i18n!$A:$H,6,FALSE)</f>
        <v>#REF!</v>
      </c>
      <c r="O5" s="5" t="e">
        <f>VLOOKUP(#REF!,[2]character_tribe_i18n!$A:$H,7,FALSE)</f>
        <v>#REF!</v>
      </c>
      <c r="P5" s="83" t="s">
        <v>170</v>
      </c>
      <c r="Q5" s="4">
        <v>8</v>
      </c>
      <c r="R5" s="25" t="str">
        <f ca="1">IF(Q5="NULL","",VLOOKUP($Q5,OFFSET([2]characters!$A$1,0,0,COUNTA([2]characters!$A:$A),MATCH(R$1,[2]characters!$1:$1,0)-MATCH($A$1,[2]characters!$1:$1,0)+1),MATCH(R$1,[2]characters!$1:$1,0)-MATCH($A$1,[2]characters!$1:$1,0)+1,FALSE))</f>
        <v>ハイボルテージ エレキポット</v>
      </c>
      <c r="S5" s="3">
        <f t="shared" ca="1" si="0"/>
        <v>7</v>
      </c>
      <c r="T5" s="25" t="str">
        <f ca="1">VLOOKUP($S5,OFFSET([2]characters!$A$1,0,0,COUNTA([2]characters!$A:$A),MATCH(T$1,[2]characters!$1:$1,0)-MATCH($A$1,[2]characters!$1:$1,0)+1),MATCH(T$1,[2]characters!$1:$1,0)-MATCH($A$1,[2]characters!$1:$1,0)+1,FALSE)</f>
        <v>エレキポット</v>
      </c>
      <c r="U5" s="5">
        <f ca="1">IF(Q5="NULL","NULL",VLOOKUP(G5,ビット!$A$2:$B$7,2))</f>
        <v>5000</v>
      </c>
    </row>
    <row r="6" spans="1:21" ht="21" customHeight="1" x14ac:dyDescent="0.15">
      <c r="A6" s="83">
        <v>9</v>
      </c>
      <c r="B6" s="24" t="str">
        <f ca="1">VLOOKUP($A6,OFFSET([2]characters!$A$1,0,0,COUNTA([2]characters!$A:$A),MATCH(B$1,[2]characters!$1:$1,0)-MATCH($A$1,[2]characters!$1:$1,0)+1),MATCH(B$1,[2]characters!$1:$1,0)-MATCH($A$1,[2]characters!$1:$1,0)+1,FALSE)</f>
        <v>ブレット</v>
      </c>
      <c r="C6" s="24" t="str">
        <f ca="1">VLOOKUP($A6,OFFSET([2]characters!$A$1,0,0,COUNTA([2]characters!$A:$A),MATCH(C$1,[2]characters!$1:$1,0)-MATCH($A$1,[2]characters!$1:$1,0)+1),MATCH(C$1,[2]characters!$1:$1,0)-MATCH($A$1,[2]characters!$1:$1,0)+1,FALSE)</f>
        <v>ノーマルクエスト</v>
      </c>
      <c r="D6" s="24" t="str">
        <f ca="1">VLOOKUP($A6,OFFSET([2]characters!$A$1,0,0,COUNTA([2]characters!$A:$A),MATCH(D$1,[2]characters!$1:$1,0)-MATCH($A$1,[2]characters!$1:$1,0)+1),MATCH(D$1,[2]characters!$1:$1,0)-MATCH($A$1,[2]characters!$1:$1,0)+1,FALSE)</f>
        <v>アバター</v>
      </c>
      <c r="E6" s="24" t="str">
        <f ca="1">VLOOKUP($A6,OFFSET([2]characters!$A$1,0,0,COUNTA([2]characters!$A:$A),MATCH(E$1,[2]characters!$1:$1,0)-MATCH($A$1,[2]characters!$1:$1,0)+1),MATCH(E$1,[2]characters!$1:$1,0)-MATCH($A$1,[2]characters!$1:$1,0)+1,FALSE)</f>
        <v>世界観</v>
      </c>
      <c r="F6" s="24" t="str">
        <f ca="1">VLOOKUP($A6,OFFSET([2]characters!$A$1,0,0,COUNTA([2]characters!$A:$A),MATCH(F$1,[2]characters!$1:$1,0)-MATCH($A$1,[2]characters!$1:$1,0)+1),MATCH(F$1,[2]characters!$1:$1,0)-MATCH($A$1,[2]characters!$1:$1,0)+1,FALSE)</f>
        <v>不明</v>
      </c>
      <c r="G6" s="24">
        <f ca="1">VLOOKUP($A6,OFFSET([2]characters!$A$1,0,0,COUNTA([2]characters!$A:$A),MATCH(G$1,[2]characters!$1:$1,0)-MATCH($A$1,[2]characters!$1:$1,0)+1),MATCH(G$1,[2]characters!$1:$1,0)-MATCH($A$1,[2]characters!$1:$1,0)+1,FALSE)</f>
        <v>1</v>
      </c>
      <c r="H6" s="24" t="str">
        <f ca="1">VLOOKUP($A6,OFFSET([2]characters!$A$1,0,0,COUNTA([2]characters!$A:$A),MATCH(H$1,[2]characters!$1:$1,0)-MATCH($A$1,[2]characters!$1:$1,0)+1),MATCH(H$1,[2]characters!$1:$1,0)-MATCH($A$1,[2]characters!$1:$1,0)+1,FALSE)</f>
        <v>Drop1W</v>
      </c>
      <c r="I6" s="24" t="str">
        <f ca="1">VLOOKUP($A6,OFFSET([2]characters!$A$1,0,0,COUNTA([2]characters!$A:$A),MATCH(I$1,[2]characters!$1:$1,0)-MATCH($A$1,[2]characters!$1:$1,0)+1),MATCH(I$1,[2]characters!$1:$1,0)-MATCH($A$1,[2]characters!$1:$1,0)+1,FALSE)</f>
        <v>red</v>
      </c>
      <c r="J6" s="24" t="str">
        <f ca="1">VLOOKUP($A6,OFFSET([2]characters!$A$1,0,0,COUNTA([2]characters!$A:$A),MATCH(J$1,[2]characters!$1:$1,0)-MATCH($A$1,[2]characters!$1:$1,0)+1),MATCH(J$1,[2]characters!$1:$1,0)-MATCH($A$1,[2]characters!$1:$1,0)+1,FALSE)</f>
        <v>none</v>
      </c>
      <c r="K6" s="3" t="str">
        <f ca="1">VLOOKUP(J6,[2]character_tribe_i18n!$A:$H,3,FALSE)</f>
        <v>種族なし</v>
      </c>
      <c r="L6" s="5" t="e">
        <f>VLOOKUP(#REF!,[2]character_tribe_i18n!$A:$H,4,FALSE)</f>
        <v>#REF!</v>
      </c>
      <c r="M6" s="5" t="e">
        <f>VLOOKUP(#REF!,[2]character_tribe_i18n!$A:$H,5,FALSE)</f>
        <v>#REF!</v>
      </c>
      <c r="N6" s="5" t="e">
        <f>VLOOKUP(#REF!,[2]character_tribe_i18n!$A:$H,6,FALSE)</f>
        <v>#REF!</v>
      </c>
      <c r="O6" s="5" t="e">
        <f>VLOOKUP(#REF!,[2]character_tribe_i18n!$A:$H,7,FALSE)</f>
        <v>#REF!</v>
      </c>
      <c r="P6" s="83" t="s">
        <v>170</v>
      </c>
      <c r="Q6" s="4">
        <v>10</v>
      </c>
      <c r="R6" s="25" t="str">
        <f ca="1">IF(Q6="NULL","",VLOOKUP($Q6,OFFSET([2]characters!$A$1,0,0,COUNTA([2]characters!$A:$A),MATCH(R$1,[2]characters!$1:$1,0)-MATCH($A$1,[2]characters!$1:$1,0)+1),MATCH(R$1,[2]characters!$1:$1,0)-MATCH($A$1,[2]characters!$1:$1,0)+1,FALSE))</f>
        <v>燃える悪戯魂 ブレット</v>
      </c>
      <c r="S6" s="3">
        <f t="shared" ca="1" si="0"/>
        <v>9</v>
      </c>
      <c r="T6" s="25" t="str">
        <f ca="1">VLOOKUP($S6,OFFSET([2]characters!$A$1,0,0,COUNTA([2]characters!$A:$A),MATCH(T$1,[2]characters!$1:$1,0)-MATCH($A$1,[2]characters!$1:$1,0)+1),MATCH(T$1,[2]characters!$1:$1,0)-MATCH($A$1,[2]characters!$1:$1,0)+1,FALSE)</f>
        <v>ブレット</v>
      </c>
      <c r="U6" s="5">
        <f ca="1">IF(Q6="NULL","NULL",VLOOKUP(G6,ビット!$A$2:$B$7,2))</f>
        <v>5000</v>
      </c>
    </row>
    <row r="7" spans="1:21" ht="21" customHeight="1" x14ac:dyDescent="0.15">
      <c r="A7" s="83">
        <v>11</v>
      </c>
      <c r="B7" s="24" t="str">
        <f ca="1">VLOOKUP($A7,OFFSET([2]characters!$A$1,0,0,COUNTA([2]characters!$A:$A),MATCH(B$1,[2]characters!$1:$1,0)-MATCH($A$1,[2]characters!$1:$1,0)+1),MATCH(B$1,[2]characters!$1:$1,0)-MATCH($A$1,[2]characters!$1:$1,0)+1,FALSE)</f>
        <v>マグリット</v>
      </c>
      <c r="C7" s="24" t="str">
        <f ca="1">VLOOKUP($A7,OFFSET([2]characters!$A$1,0,0,COUNTA([2]characters!$A:$A),MATCH(C$1,[2]characters!$1:$1,0)-MATCH($A$1,[2]characters!$1:$1,0)+1),MATCH(C$1,[2]characters!$1:$1,0)-MATCH($A$1,[2]characters!$1:$1,0)+1,FALSE)</f>
        <v>ノーマルクエスト</v>
      </c>
      <c r="D7" s="24" t="str">
        <f ca="1">VLOOKUP($A7,OFFSET([2]characters!$A$1,0,0,COUNTA([2]characters!$A:$A),MATCH(D$1,[2]characters!$1:$1,0)-MATCH($A$1,[2]characters!$1:$1,0)+1),MATCH(D$1,[2]characters!$1:$1,0)-MATCH($A$1,[2]characters!$1:$1,0)+1,FALSE)</f>
        <v>アバター</v>
      </c>
      <c r="E7" s="24" t="str">
        <f ca="1">VLOOKUP($A7,OFFSET([2]characters!$A$1,0,0,COUNTA([2]characters!$A:$A),MATCH(E$1,[2]characters!$1:$1,0)-MATCH($A$1,[2]characters!$1:$1,0)+1),MATCH(E$1,[2]characters!$1:$1,0)-MATCH($A$1,[2]characters!$1:$1,0)+1,FALSE)</f>
        <v>世界観</v>
      </c>
      <c r="F7" s="24" t="str">
        <f ca="1">VLOOKUP($A7,OFFSET([2]characters!$A$1,0,0,COUNTA([2]characters!$A:$A),MATCH(F$1,[2]characters!$1:$1,0)-MATCH($A$1,[2]characters!$1:$1,0)+1),MATCH(F$1,[2]characters!$1:$1,0)-MATCH($A$1,[2]characters!$1:$1,0)+1,FALSE)</f>
        <v>不明</v>
      </c>
      <c r="G7" s="24">
        <f ca="1">VLOOKUP($A7,OFFSET([2]characters!$A$1,0,0,COUNTA([2]characters!$A:$A),MATCH(G$1,[2]characters!$1:$1,0)-MATCH($A$1,[2]characters!$1:$1,0)+1),MATCH(G$1,[2]characters!$1:$1,0)-MATCH($A$1,[2]characters!$1:$1,0)+1,FALSE)</f>
        <v>1</v>
      </c>
      <c r="H7" s="24" t="str">
        <f ca="1">VLOOKUP($A7,OFFSET([2]characters!$A$1,0,0,COUNTA([2]characters!$A:$A),MATCH(H$1,[2]characters!$1:$1,0)-MATCH($A$1,[2]characters!$1:$1,0)+1),MATCH(H$1,[2]characters!$1:$1,0)-MATCH($A$1,[2]characters!$1:$1,0)+1,FALSE)</f>
        <v>Drop1W</v>
      </c>
      <c r="I7" s="24" t="str">
        <f ca="1">VLOOKUP($A7,OFFSET([2]characters!$A$1,0,0,COUNTA([2]characters!$A:$A),MATCH(I$1,[2]characters!$1:$1,0)-MATCH($A$1,[2]characters!$1:$1,0)+1),MATCH(I$1,[2]characters!$1:$1,0)-MATCH($A$1,[2]characters!$1:$1,0)+1,FALSE)</f>
        <v>green</v>
      </c>
      <c r="J7" s="24" t="str">
        <f ca="1">VLOOKUP($A7,OFFSET([2]characters!$A$1,0,0,COUNTA([2]characters!$A:$A),MATCH(J$1,[2]characters!$1:$1,0)-MATCH($A$1,[2]characters!$1:$1,0)+1),MATCH(J$1,[2]characters!$1:$1,0)-MATCH($A$1,[2]characters!$1:$1,0)+1,FALSE)</f>
        <v>none</v>
      </c>
      <c r="K7" s="3" t="str">
        <f ca="1">VLOOKUP(J7,[2]character_tribe_i18n!$A:$H,3,FALSE)</f>
        <v>種族なし</v>
      </c>
      <c r="L7" s="5" t="e">
        <f>VLOOKUP(#REF!,[2]character_tribe_i18n!$A:$H,4,FALSE)</f>
        <v>#REF!</v>
      </c>
      <c r="M7" s="5" t="e">
        <f>VLOOKUP(#REF!,[2]character_tribe_i18n!$A:$H,5,FALSE)</f>
        <v>#REF!</v>
      </c>
      <c r="N7" s="5" t="e">
        <f>VLOOKUP(#REF!,[2]character_tribe_i18n!$A:$H,6,FALSE)</f>
        <v>#REF!</v>
      </c>
      <c r="O7" s="5" t="e">
        <f>VLOOKUP(#REF!,[2]character_tribe_i18n!$A:$H,7,FALSE)</f>
        <v>#REF!</v>
      </c>
      <c r="P7" s="83" t="s">
        <v>170</v>
      </c>
      <c r="Q7" s="4">
        <v>12</v>
      </c>
      <c r="R7" s="25" t="str">
        <f ca="1">IF(Q7="NULL","",VLOOKUP($Q7,OFFSET([2]characters!$A$1,0,0,COUNTA([2]characters!$A:$A),MATCH(R$1,[2]characters!$1:$1,0)-MATCH($A$1,[2]characters!$1:$1,0)+1),MATCH(R$1,[2]characters!$1:$1,0)-MATCH($A$1,[2]characters!$1:$1,0)+1,FALSE))</f>
        <v>癒しのグラフィティ マグリット</v>
      </c>
      <c r="S7" s="3">
        <f t="shared" ca="1" si="0"/>
        <v>11</v>
      </c>
      <c r="T7" s="25" t="str">
        <f ca="1">VLOOKUP($S7,OFFSET([2]characters!$A$1,0,0,COUNTA([2]characters!$A:$A),MATCH(T$1,[2]characters!$1:$1,0)-MATCH($A$1,[2]characters!$1:$1,0)+1),MATCH(T$1,[2]characters!$1:$1,0)-MATCH($A$1,[2]characters!$1:$1,0)+1,FALSE)</f>
        <v>マグリット</v>
      </c>
      <c r="U7" s="5">
        <f ca="1">IF(Q7="NULL","NULL",VLOOKUP(G7,ビット!$A$2:$B$7,2))</f>
        <v>5000</v>
      </c>
    </row>
    <row r="8" spans="1:21" ht="21" customHeight="1" x14ac:dyDescent="0.15">
      <c r="A8" s="83">
        <v>13</v>
      </c>
      <c r="B8" s="24" t="str">
        <f ca="1">VLOOKUP($A8,OFFSET([2]characters!$A$1,0,0,COUNTA([2]characters!$A:$A),MATCH(B$1,[2]characters!$1:$1,0)-MATCH($A$1,[2]characters!$1:$1,0)+1),MATCH(B$1,[2]characters!$1:$1,0)-MATCH($A$1,[2]characters!$1:$1,0)+1,FALSE)</f>
        <v>ミミ</v>
      </c>
      <c r="C8" s="24" t="str">
        <f ca="1">VLOOKUP($A8,OFFSET([2]characters!$A$1,0,0,COUNTA([2]characters!$A:$A),MATCH(C$1,[2]characters!$1:$1,0)-MATCH($A$1,[2]characters!$1:$1,0)+1),MATCH(C$1,[2]characters!$1:$1,0)-MATCH($A$1,[2]characters!$1:$1,0)+1,FALSE)</f>
        <v>ノーマルクエスト</v>
      </c>
      <c r="D8" s="24" t="str">
        <f ca="1">VLOOKUP($A8,OFFSET([2]characters!$A$1,0,0,COUNTA([2]characters!$A:$A),MATCH(D$1,[2]characters!$1:$1,0)-MATCH($A$1,[2]characters!$1:$1,0)+1),MATCH(D$1,[2]characters!$1:$1,0)-MATCH($A$1,[2]characters!$1:$1,0)+1,FALSE)</f>
        <v>アバター</v>
      </c>
      <c r="E8" s="24" t="str">
        <f ca="1">VLOOKUP($A8,OFFSET([2]characters!$A$1,0,0,COUNTA([2]characters!$A:$A),MATCH(E$1,[2]characters!$1:$1,0)-MATCH($A$1,[2]characters!$1:$1,0)+1),MATCH(E$1,[2]characters!$1:$1,0)-MATCH($A$1,[2]characters!$1:$1,0)+1,FALSE)</f>
        <v>世界観</v>
      </c>
      <c r="F8" s="24" t="str">
        <f ca="1">VLOOKUP($A8,OFFSET([2]characters!$A$1,0,0,COUNTA([2]characters!$A:$A),MATCH(F$1,[2]characters!$1:$1,0)-MATCH($A$1,[2]characters!$1:$1,0)+1),MATCH(F$1,[2]characters!$1:$1,0)-MATCH($A$1,[2]characters!$1:$1,0)+1,FALSE)</f>
        <v>不明</v>
      </c>
      <c r="G8" s="24">
        <f ca="1">VLOOKUP($A8,OFFSET([2]characters!$A$1,0,0,COUNTA([2]characters!$A:$A),MATCH(G$1,[2]characters!$1:$1,0)-MATCH($A$1,[2]characters!$1:$1,0)+1),MATCH(G$1,[2]characters!$1:$1,0)-MATCH($A$1,[2]characters!$1:$1,0)+1,FALSE)</f>
        <v>1</v>
      </c>
      <c r="H8" s="24" t="str">
        <f ca="1">VLOOKUP($A8,OFFSET([2]characters!$A$1,0,0,COUNTA([2]characters!$A:$A),MATCH(H$1,[2]characters!$1:$1,0)-MATCH($A$1,[2]characters!$1:$1,0)+1),MATCH(H$1,[2]characters!$1:$1,0)-MATCH($A$1,[2]characters!$1:$1,0)+1,FALSE)</f>
        <v>Drop1W</v>
      </c>
      <c r="I8" s="24" t="str">
        <f ca="1">VLOOKUP($A8,OFFSET([2]characters!$A$1,0,0,COUNTA([2]characters!$A:$A),MATCH(I$1,[2]characters!$1:$1,0)-MATCH($A$1,[2]characters!$1:$1,0)+1),MATCH(I$1,[2]characters!$1:$1,0)-MATCH($A$1,[2]characters!$1:$1,0)+1,FALSE)</f>
        <v>yellow</v>
      </c>
      <c r="J8" s="24" t="str">
        <f ca="1">VLOOKUP($A8,OFFSET([2]characters!$A$1,0,0,COUNTA([2]characters!$A:$A),MATCH(J$1,[2]characters!$1:$1,0)-MATCH($A$1,[2]characters!$1:$1,0)+1),MATCH(J$1,[2]characters!$1:$1,0)-MATCH($A$1,[2]characters!$1:$1,0)+1,FALSE)</f>
        <v>none</v>
      </c>
      <c r="K8" s="3" t="str">
        <f ca="1">VLOOKUP(J8,[2]character_tribe_i18n!$A:$H,3,FALSE)</f>
        <v>種族なし</v>
      </c>
      <c r="L8" s="5" t="e">
        <f>VLOOKUP(#REF!,[2]character_tribe_i18n!$A:$H,4,FALSE)</f>
        <v>#REF!</v>
      </c>
      <c r="M8" s="5" t="e">
        <f>VLOOKUP(#REF!,[2]character_tribe_i18n!$A:$H,5,FALSE)</f>
        <v>#REF!</v>
      </c>
      <c r="N8" s="5" t="e">
        <f>VLOOKUP(#REF!,[2]character_tribe_i18n!$A:$H,6,FALSE)</f>
        <v>#REF!</v>
      </c>
      <c r="O8" s="5" t="e">
        <f>VLOOKUP(#REF!,[2]character_tribe_i18n!$A:$H,7,FALSE)</f>
        <v>#REF!</v>
      </c>
      <c r="P8" s="83" t="s">
        <v>170</v>
      </c>
      <c r="Q8" s="4">
        <v>14</v>
      </c>
      <c r="R8" s="25" t="str">
        <f ca="1">IF(Q8="NULL","",VLOOKUP($Q8,OFFSET([2]characters!$A$1,0,0,COUNTA([2]characters!$A:$A),MATCH(R$1,[2]characters!$1:$1,0)-MATCH($A$1,[2]characters!$1:$1,0)+1),MATCH(R$1,[2]characters!$1:$1,0)-MATCH($A$1,[2]characters!$1:$1,0)+1,FALSE))</f>
        <v>ミミ・ザ・ガンマンキャット</v>
      </c>
      <c r="S8" s="3">
        <f t="shared" ca="1" si="0"/>
        <v>13</v>
      </c>
      <c r="T8" s="25" t="str">
        <f ca="1">VLOOKUP($S8,OFFSET([2]characters!$A$1,0,0,COUNTA([2]characters!$A:$A),MATCH(T$1,[2]characters!$1:$1,0)-MATCH($A$1,[2]characters!$1:$1,0)+1),MATCH(T$1,[2]characters!$1:$1,0)-MATCH($A$1,[2]characters!$1:$1,0)+1,FALSE)</f>
        <v>ミミ</v>
      </c>
      <c r="U8" s="5">
        <f ca="1">IF(Q8="NULL","NULL",VLOOKUP(G8,ビット!$A$2:$B$7,2))</f>
        <v>5000</v>
      </c>
    </row>
    <row r="9" spans="1:21" ht="21" customHeight="1" x14ac:dyDescent="0.15">
      <c r="A9" s="83">
        <v>15</v>
      </c>
      <c r="B9" s="24" t="str">
        <f ca="1">VLOOKUP($A9,OFFSET([2]characters!$A$1,0,0,COUNTA([2]characters!$A:$A),MATCH(B$1,[2]characters!$1:$1,0)-MATCH($A$1,[2]characters!$1:$1,0)+1),MATCH(B$1,[2]characters!$1:$1,0)-MATCH($A$1,[2]characters!$1:$1,0)+1,FALSE)</f>
        <v>アカネ</v>
      </c>
      <c r="C9" s="24" t="str">
        <f ca="1">VLOOKUP($A9,OFFSET([2]characters!$A$1,0,0,COUNTA([2]characters!$A:$A),MATCH(C$1,[2]characters!$1:$1,0)-MATCH($A$1,[2]characters!$1:$1,0)+1),MATCH(C$1,[2]characters!$1:$1,0)-MATCH($A$1,[2]characters!$1:$1,0)+1,FALSE)</f>
        <v>ノーマルクエスト</v>
      </c>
      <c r="D9" s="24" t="str">
        <f ca="1">VLOOKUP($A9,OFFSET([2]characters!$A$1,0,0,COUNTA([2]characters!$A:$A),MATCH(D$1,[2]characters!$1:$1,0)-MATCH($A$1,[2]characters!$1:$1,0)+1),MATCH(D$1,[2]characters!$1:$1,0)-MATCH($A$1,[2]characters!$1:$1,0)+1,FALSE)</f>
        <v>アバター</v>
      </c>
      <c r="E9" s="24" t="str">
        <f ca="1">VLOOKUP($A9,OFFSET([2]characters!$A$1,0,0,COUNTA([2]characters!$A:$A),MATCH(E$1,[2]characters!$1:$1,0)-MATCH($A$1,[2]characters!$1:$1,0)+1),MATCH(E$1,[2]characters!$1:$1,0)-MATCH($A$1,[2]characters!$1:$1,0)+1,FALSE)</f>
        <v>世界観</v>
      </c>
      <c r="F9" s="24" t="str">
        <f ca="1">VLOOKUP($A9,OFFSET([2]characters!$A$1,0,0,COUNTA([2]characters!$A:$A),MATCH(F$1,[2]characters!$1:$1,0)-MATCH($A$1,[2]characters!$1:$1,0)+1),MATCH(F$1,[2]characters!$1:$1,0)-MATCH($A$1,[2]characters!$1:$1,0)+1,FALSE)</f>
        <v>女性</v>
      </c>
      <c r="G9" s="24">
        <f ca="1">VLOOKUP($A9,OFFSET([2]characters!$A$1,0,0,COUNTA([2]characters!$A:$A),MATCH(G$1,[2]characters!$1:$1,0)-MATCH($A$1,[2]characters!$1:$1,0)+1),MATCH(G$1,[2]characters!$1:$1,0)-MATCH($A$1,[2]characters!$1:$1,0)+1,FALSE)</f>
        <v>1</v>
      </c>
      <c r="H9" s="24" t="str">
        <f ca="1">VLOOKUP($A9,OFFSET([2]characters!$A$1,0,0,COUNTA([2]characters!$A:$A),MATCH(H$1,[2]characters!$1:$1,0)-MATCH($A$1,[2]characters!$1:$1,0)+1),MATCH(H$1,[2]characters!$1:$1,0)-MATCH($A$1,[2]characters!$1:$1,0)+1,FALSE)</f>
        <v>Drop1W</v>
      </c>
      <c r="I9" s="24" t="str">
        <f ca="1">VLOOKUP($A9,OFFSET([2]characters!$A$1,0,0,COUNTA([2]characters!$A:$A),MATCH(I$1,[2]characters!$1:$1,0)-MATCH($A$1,[2]characters!$1:$1,0)+1),MATCH(I$1,[2]characters!$1:$1,0)-MATCH($A$1,[2]characters!$1:$1,0)+1,FALSE)</f>
        <v>red</v>
      </c>
      <c r="J9" s="24" t="str">
        <f ca="1">VLOOKUP($A9,OFFSET([2]characters!$A$1,0,0,COUNTA([2]characters!$A:$A),MATCH(J$1,[2]characters!$1:$1,0)-MATCH($A$1,[2]characters!$1:$1,0)+1),MATCH(J$1,[2]characters!$1:$1,0)-MATCH($A$1,[2]characters!$1:$1,0)+1,FALSE)</f>
        <v>none</v>
      </c>
      <c r="K9" s="3" t="str">
        <f ca="1">VLOOKUP(J9,[2]character_tribe_i18n!$A:$H,3,FALSE)</f>
        <v>種族なし</v>
      </c>
      <c r="L9" s="5" t="e">
        <f>VLOOKUP(#REF!,[2]character_tribe_i18n!$A:$H,4,FALSE)</f>
        <v>#REF!</v>
      </c>
      <c r="M9" s="5" t="e">
        <f>VLOOKUP(#REF!,[2]character_tribe_i18n!$A:$H,5,FALSE)</f>
        <v>#REF!</v>
      </c>
      <c r="N9" s="5" t="e">
        <f>VLOOKUP(#REF!,[2]character_tribe_i18n!$A:$H,6,FALSE)</f>
        <v>#REF!</v>
      </c>
      <c r="O9" s="5" t="e">
        <f>VLOOKUP(#REF!,[2]character_tribe_i18n!$A:$H,7,FALSE)</f>
        <v>#REF!</v>
      </c>
      <c r="P9" s="83" t="s">
        <v>170</v>
      </c>
      <c r="Q9" s="4">
        <v>16</v>
      </c>
      <c r="R9" s="25" t="str">
        <f ca="1">IF(Q9="NULL","",VLOOKUP($Q9,OFFSET([2]characters!$A$1,0,0,COUNTA([2]characters!$A:$A),MATCH(R$1,[2]characters!$1:$1,0)-MATCH($A$1,[2]characters!$1:$1,0)+1),MATCH(R$1,[2]characters!$1:$1,0)-MATCH($A$1,[2]characters!$1:$1,0)+1,FALSE))</f>
        <v>炎戦少女 アカネ</v>
      </c>
      <c r="S9" s="3">
        <f t="shared" ca="1" si="0"/>
        <v>15</v>
      </c>
      <c r="T9" s="25" t="str">
        <f ca="1">VLOOKUP($S9,OFFSET([2]characters!$A$1,0,0,COUNTA([2]characters!$A:$A),MATCH(T$1,[2]characters!$1:$1,0)-MATCH($A$1,[2]characters!$1:$1,0)+1),MATCH(T$1,[2]characters!$1:$1,0)-MATCH($A$1,[2]characters!$1:$1,0)+1,FALSE)</f>
        <v>アカネ</v>
      </c>
      <c r="U9" s="5">
        <f ca="1">IF(Q9="NULL","NULL",VLOOKUP(G9,ビット!$A$2:$B$7,2))</f>
        <v>5000</v>
      </c>
    </row>
    <row r="10" spans="1:21" ht="21" customHeight="1" x14ac:dyDescent="0.15">
      <c r="A10" s="83">
        <v>17</v>
      </c>
      <c r="B10" s="24" t="str">
        <f ca="1">VLOOKUP($A10,OFFSET([2]characters!$A$1,0,0,COUNTA([2]characters!$A:$A),MATCH(B$1,[2]characters!$1:$1,0)-MATCH($A$1,[2]characters!$1:$1,0)+1),MATCH(B$1,[2]characters!$1:$1,0)-MATCH($A$1,[2]characters!$1:$1,0)+1,FALSE)</f>
        <v>リム</v>
      </c>
      <c r="C10" s="24" t="str">
        <f ca="1">VLOOKUP($A10,OFFSET([2]characters!$A$1,0,0,COUNTA([2]characters!$A:$A),MATCH(C$1,[2]characters!$1:$1,0)-MATCH($A$1,[2]characters!$1:$1,0)+1),MATCH(C$1,[2]characters!$1:$1,0)-MATCH($A$1,[2]characters!$1:$1,0)+1,FALSE)</f>
        <v>ノーマルクエスト</v>
      </c>
      <c r="D10" s="24" t="str">
        <f ca="1">VLOOKUP($A10,OFFSET([2]characters!$A$1,0,0,COUNTA([2]characters!$A:$A),MATCH(D$1,[2]characters!$1:$1,0)-MATCH($A$1,[2]characters!$1:$1,0)+1),MATCH(D$1,[2]characters!$1:$1,0)-MATCH($A$1,[2]characters!$1:$1,0)+1,FALSE)</f>
        <v>アバター</v>
      </c>
      <c r="E10" s="24" t="str">
        <f ca="1">VLOOKUP($A10,OFFSET([2]characters!$A$1,0,0,COUNTA([2]characters!$A:$A),MATCH(E$1,[2]characters!$1:$1,0)-MATCH($A$1,[2]characters!$1:$1,0)+1),MATCH(E$1,[2]characters!$1:$1,0)-MATCH($A$1,[2]characters!$1:$1,0)+1,FALSE)</f>
        <v>世界観</v>
      </c>
      <c r="F10" s="24" t="str">
        <f ca="1">VLOOKUP($A10,OFFSET([2]characters!$A$1,0,0,COUNTA([2]characters!$A:$A),MATCH(F$1,[2]characters!$1:$1,0)-MATCH($A$1,[2]characters!$1:$1,0)+1),MATCH(F$1,[2]characters!$1:$1,0)-MATCH($A$1,[2]characters!$1:$1,0)+1,FALSE)</f>
        <v>女性</v>
      </c>
      <c r="G10" s="24">
        <f ca="1">VLOOKUP($A10,OFFSET([2]characters!$A$1,0,0,COUNTA([2]characters!$A:$A),MATCH(G$1,[2]characters!$1:$1,0)-MATCH($A$1,[2]characters!$1:$1,0)+1),MATCH(G$1,[2]characters!$1:$1,0)-MATCH($A$1,[2]characters!$1:$1,0)+1,FALSE)</f>
        <v>1</v>
      </c>
      <c r="H10" s="24" t="str">
        <f ca="1">VLOOKUP($A10,OFFSET([2]characters!$A$1,0,0,COUNTA([2]characters!$A:$A),MATCH(H$1,[2]characters!$1:$1,0)-MATCH($A$1,[2]characters!$1:$1,0)+1),MATCH(H$1,[2]characters!$1:$1,0)-MATCH($A$1,[2]characters!$1:$1,0)+1,FALSE)</f>
        <v>Drop1W</v>
      </c>
      <c r="I10" s="24" t="str">
        <f ca="1">VLOOKUP($A10,OFFSET([2]characters!$A$1,0,0,COUNTA([2]characters!$A:$A),MATCH(I$1,[2]characters!$1:$1,0)-MATCH($A$1,[2]characters!$1:$1,0)+1),MATCH(I$1,[2]characters!$1:$1,0)-MATCH($A$1,[2]characters!$1:$1,0)+1,FALSE)</f>
        <v>blue</v>
      </c>
      <c r="J10" s="24" t="str">
        <f ca="1">VLOOKUP($A10,OFFSET([2]characters!$A$1,0,0,COUNTA([2]characters!$A:$A),MATCH(J$1,[2]characters!$1:$1,0)-MATCH($A$1,[2]characters!$1:$1,0)+1),MATCH(J$1,[2]characters!$1:$1,0)-MATCH($A$1,[2]characters!$1:$1,0)+1,FALSE)</f>
        <v>machine</v>
      </c>
      <c r="K10" s="3" t="str">
        <f ca="1">VLOOKUP(J10,[2]character_tribe_i18n!$A:$H,3,FALSE)</f>
        <v>マシン</v>
      </c>
      <c r="L10" s="5" t="e">
        <f>VLOOKUP(#REF!,[2]character_tribe_i18n!$A:$H,4,FALSE)</f>
        <v>#REF!</v>
      </c>
      <c r="M10" s="5" t="e">
        <f>VLOOKUP(#REF!,[2]character_tribe_i18n!$A:$H,5,FALSE)</f>
        <v>#REF!</v>
      </c>
      <c r="N10" s="5" t="e">
        <f>VLOOKUP(#REF!,[2]character_tribe_i18n!$A:$H,6,FALSE)</f>
        <v>#REF!</v>
      </c>
      <c r="O10" s="5" t="e">
        <f>VLOOKUP(#REF!,[2]character_tribe_i18n!$A:$H,7,FALSE)</f>
        <v>#REF!</v>
      </c>
      <c r="P10" s="83" t="s">
        <v>170</v>
      </c>
      <c r="Q10" s="4">
        <v>18</v>
      </c>
      <c r="R10" s="25" t="str">
        <f ca="1">IF(Q10="NULL","",VLOOKUP($Q10,OFFSET([2]characters!$A$1,0,0,COUNTA([2]characters!$A:$A),MATCH(R$1,[2]characters!$1:$1,0)-MATCH($A$1,[2]characters!$1:$1,0)+1),MATCH(R$1,[2]characters!$1:$1,0)-MATCH($A$1,[2]characters!$1:$1,0)+1,FALSE))</f>
        <v>戦闘案内人 リム</v>
      </c>
      <c r="S10" s="3">
        <f t="shared" ca="1" si="0"/>
        <v>17</v>
      </c>
      <c r="T10" s="25" t="str">
        <f ca="1">VLOOKUP($S10,OFFSET([2]characters!$A$1,0,0,COUNTA([2]characters!$A:$A),MATCH(T$1,[2]characters!$1:$1,0)-MATCH($A$1,[2]characters!$1:$1,0)+1),MATCH(T$1,[2]characters!$1:$1,0)-MATCH($A$1,[2]characters!$1:$1,0)+1,FALSE)</f>
        <v>リム</v>
      </c>
      <c r="U10" s="5">
        <f ca="1">IF(Q10="NULL","NULL",VLOOKUP(G10,ビット!$A$2:$B$7,2))</f>
        <v>5000</v>
      </c>
    </row>
    <row r="11" spans="1:21" ht="21" customHeight="1" x14ac:dyDescent="0.15">
      <c r="A11" s="83">
        <v>19</v>
      </c>
      <c r="B11" s="24" t="str">
        <f ca="1">VLOOKUP($A11,OFFSET([2]characters!$A$1,0,0,COUNTA([2]characters!$A:$A),MATCH(B$1,[2]characters!$1:$1,0)-MATCH($A$1,[2]characters!$1:$1,0)+1),MATCH(B$1,[2]characters!$1:$1,0)-MATCH($A$1,[2]characters!$1:$1,0)+1,FALSE)</f>
        <v>ティンク</v>
      </c>
      <c r="C11" s="24" t="str">
        <f ca="1">VLOOKUP($A11,OFFSET([2]characters!$A$1,0,0,COUNTA([2]characters!$A:$A),MATCH(C$1,[2]characters!$1:$1,0)-MATCH($A$1,[2]characters!$1:$1,0)+1),MATCH(C$1,[2]characters!$1:$1,0)-MATCH($A$1,[2]characters!$1:$1,0)+1,FALSE)</f>
        <v>ノーマルクエスト</v>
      </c>
      <c r="D11" s="24" t="str">
        <f ca="1">VLOOKUP($A11,OFFSET([2]characters!$A$1,0,0,COUNTA([2]characters!$A:$A),MATCH(D$1,[2]characters!$1:$1,0)-MATCH($A$1,[2]characters!$1:$1,0)+1),MATCH(D$1,[2]characters!$1:$1,0)-MATCH($A$1,[2]characters!$1:$1,0)+1,FALSE)</f>
        <v>アバター</v>
      </c>
      <c r="E11" s="24" t="str">
        <f ca="1">VLOOKUP($A11,OFFSET([2]characters!$A$1,0,0,COUNTA([2]characters!$A:$A),MATCH(E$1,[2]characters!$1:$1,0)-MATCH($A$1,[2]characters!$1:$1,0)+1),MATCH(E$1,[2]characters!$1:$1,0)-MATCH($A$1,[2]characters!$1:$1,0)+1,FALSE)</f>
        <v>世界観</v>
      </c>
      <c r="F11" s="24" t="str">
        <f ca="1">VLOOKUP($A11,OFFSET([2]characters!$A$1,0,0,COUNTA([2]characters!$A:$A),MATCH(F$1,[2]characters!$1:$1,0)-MATCH($A$1,[2]characters!$1:$1,0)+1),MATCH(F$1,[2]characters!$1:$1,0)-MATCH($A$1,[2]characters!$1:$1,0)+1,FALSE)</f>
        <v>女性</v>
      </c>
      <c r="G11" s="24">
        <f ca="1">VLOOKUP($A11,OFFSET([2]characters!$A$1,0,0,COUNTA([2]characters!$A:$A),MATCH(G$1,[2]characters!$1:$1,0)-MATCH($A$1,[2]characters!$1:$1,0)+1),MATCH(G$1,[2]characters!$1:$1,0)-MATCH($A$1,[2]characters!$1:$1,0)+1,FALSE)</f>
        <v>1</v>
      </c>
      <c r="H11" s="24" t="str">
        <f ca="1">VLOOKUP($A11,OFFSET([2]characters!$A$1,0,0,COUNTA([2]characters!$A:$A),MATCH(H$1,[2]characters!$1:$1,0)-MATCH($A$1,[2]characters!$1:$1,0)+1),MATCH(H$1,[2]characters!$1:$1,0)-MATCH($A$1,[2]characters!$1:$1,0)+1,FALSE)</f>
        <v>Drop1W</v>
      </c>
      <c r="I11" s="24" t="str">
        <f ca="1">VLOOKUP($A11,OFFSET([2]characters!$A$1,0,0,COUNTA([2]characters!$A:$A),MATCH(I$1,[2]characters!$1:$1,0)-MATCH($A$1,[2]characters!$1:$1,0)+1),MATCH(I$1,[2]characters!$1:$1,0)-MATCH($A$1,[2]characters!$1:$1,0)+1,FALSE)</f>
        <v>yellow</v>
      </c>
      <c r="J11" s="24" t="str">
        <f ca="1">VLOOKUP($A11,OFFSET([2]characters!$A$1,0,0,COUNTA([2]characters!$A:$A),MATCH(J$1,[2]characters!$1:$1,0)-MATCH($A$1,[2]characters!$1:$1,0)+1),MATCH(J$1,[2]characters!$1:$1,0)-MATCH($A$1,[2]characters!$1:$1,0)+1,FALSE)</f>
        <v>none</v>
      </c>
      <c r="K11" s="3" t="str">
        <f ca="1">VLOOKUP(J11,[2]character_tribe_i18n!$A:$H,3,FALSE)</f>
        <v>種族なし</v>
      </c>
      <c r="L11" s="5" t="e">
        <f>VLOOKUP(#REF!,[2]character_tribe_i18n!$A:$H,4,FALSE)</f>
        <v>#REF!</v>
      </c>
      <c r="M11" s="5" t="e">
        <f>VLOOKUP(#REF!,[2]character_tribe_i18n!$A:$H,5,FALSE)</f>
        <v>#REF!</v>
      </c>
      <c r="N11" s="5" t="e">
        <f>VLOOKUP(#REF!,[2]character_tribe_i18n!$A:$H,6,FALSE)</f>
        <v>#REF!</v>
      </c>
      <c r="O11" s="5" t="e">
        <f>VLOOKUP(#REF!,[2]character_tribe_i18n!$A:$H,7,FALSE)</f>
        <v>#REF!</v>
      </c>
      <c r="P11" s="83" t="s">
        <v>170</v>
      </c>
      <c r="Q11" s="4">
        <v>20</v>
      </c>
      <c r="R11" s="25" t="str">
        <f ca="1">IF(Q11="NULL","",VLOOKUP($Q11,OFFSET([2]characters!$A$1,0,0,COUNTA([2]characters!$A:$A),MATCH(R$1,[2]characters!$1:$1,0)-MATCH($A$1,[2]characters!$1:$1,0)+1),MATCH(R$1,[2]characters!$1:$1,0)-MATCH($A$1,[2]characters!$1:$1,0)+1,FALSE))</f>
        <v>電子妖精 ティンク</v>
      </c>
      <c r="S11" s="3">
        <f t="shared" ca="1" si="0"/>
        <v>19</v>
      </c>
      <c r="T11" s="25" t="str">
        <f ca="1">VLOOKUP($S11,OFFSET([2]characters!$A$1,0,0,COUNTA([2]characters!$A:$A),MATCH(T$1,[2]characters!$1:$1,0)-MATCH($A$1,[2]characters!$1:$1,0)+1),MATCH(T$1,[2]characters!$1:$1,0)-MATCH($A$1,[2]characters!$1:$1,0)+1,FALSE)</f>
        <v>ティンク</v>
      </c>
      <c r="U11" s="5">
        <f ca="1">IF(Q11="NULL","NULL",VLOOKUP(G11,ビット!$A$2:$B$7,2))</f>
        <v>5000</v>
      </c>
    </row>
    <row r="12" spans="1:21" ht="21" customHeight="1" x14ac:dyDescent="0.15">
      <c r="A12" s="83">
        <v>21</v>
      </c>
      <c r="B12" s="24" t="str">
        <f ca="1">VLOOKUP($A12,OFFSET([2]characters!$A$1,0,0,COUNTA([2]characters!$A:$A),MATCH(B$1,[2]characters!$1:$1,0)-MATCH($A$1,[2]characters!$1:$1,0)+1),MATCH(B$1,[2]characters!$1:$1,0)-MATCH($A$1,[2]characters!$1:$1,0)+1,FALSE)</f>
        <v>ヴェロキー</v>
      </c>
      <c r="C12" s="24" t="str">
        <f ca="1">VLOOKUP($A12,OFFSET([2]characters!$A$1,0,0,COUNTA([2]characters!$A:$A),MATCH(C$1,[2]characters!$1:$1,0)-MATCH($A$1,[2]characters!$1:$1,0)+1),MATCH(C$1,[2]characters!$1:$1,0)-MATCH($A$1,[2]characters!$1:$1,0)+1,FALSE)</f>
        <v>ノーマルクエスト</v>
      </c>
      <c r="D12" s="24" t="str">
        <f ca="1">VLOOKUP($A12,OFFSET([2]characters!$A$1,0,0,COUNTA([2]characters!$A:$A),MATCH(D$1,[2]characters!$1:$1,0)-MATCH($A$1,[2]characters!$1:$1,0)+1),MATCH(D$1,[2]characters!$1:$1,0)-MATCH($A$1,[2]characters!$1:$1,0)+1,FALSE)</f>
        <v>アバター</v>
      </c>
      <c r="E12" s="24" t="str">
        <f ca="1">VLOOKUP($A12,OFFSET([2]characters!$A$1,0,0,COUNTA([2]characters!$A:$A),MATCH(E$1,[2]characters!$1:$1,0)-MATCH($A$1,[2]characters!$1:$1,0)+1),MATCH(E$1,[2]characters!$1:$1,0)-MATCH($A$1,[2]characters!$1:$1,0)+1,FALSE)</f>
        <v>世界観</v>
      </c>
      <c r="F12" s="24" t="str">
        <f ca="1">VLOOKUP($A12,OFFSET([2]characters!$A$1,0,0,COUNTA([2]characters!$A:$A),MATCH(F$1,[2]characters!$1:$1,0)-MATCH($A$1,[2]characters!$1:$1,0)+1),MATCH(F$1,[2]characters!$1:$1,0)-MATCH($A$1,[2]characters!$1:$1,0)+1,FALSE)</f>
        <v>不明</v>
      </c>
      <c r="G12" s="24">
        <f ca="1">VLOOKUP($A12,OFFSET([2]characters!$A$1,0,0,COUNTA([2]characters!$A:$A),MATCH(G$1,[2]characters!$1:$1,0)-MATCH($A$1,[2]characters!$1:$1,0)+1),MATCH(G$1,[2]characters!$1:$1,0)-MATCH($A$1,[2]characters!$1:$1,0)+1,FALSE)</f>
        <v>1</v>
      </c>
      <c r="H12" s="24" t="str">
        <f ca="1">VLOOKUP($A12,OFFSET([2]characters!$A$1,0,0,COUNTA([2]characters!$A:$A),MATCH(H$1,[2]characters!$1:$1,0)-MATCH($A$1,[2]characters!$1:$1,0)+1),MATCH(H$1,[2]characters!$1:$1,0)-MATCH($A$1,[2]characters!$1:$1,0)+1,FALSE)</f>
        <v>Drop1N</v>
      </c>
      <c r="I12" s="24" t="str">
        <f ca="1">VLOOKUP($A12,OFFSET([2]characters!$A$1,0,0,COUNTA([2]characters!$A:$A),MATCH(I$1,[2]characters!$1:$1,0)-MATCH($A$1,[2]characters!$1:$1,0)+1),MATCH(I$1,[2]characters!$1:$1,0)-MATCH($A$1,[2]characters!$1:$1,0)+1,FALSE)</f>
        <v>red</v>
      </c>
      <c r="J12" s="24" t="str">
        <f ca="1">VLOOKUP($A12,OFFSET([2]characters!$A$1,0,0,COUNTA([2]characters!$A:$A),MATCH(J$1,[2]characters!$1:$1,0)-MATCH($A$1,[2]characters!$1:$1,0)+1),MATCH(J$1,[2]characters!$1:$1,0)-MATCH($A$1,[2]characters!$1:$1,0)+1,FALSE)</f>
        <v>none</v>
      </c>
      <c r="K12" s="3" t="str">
        <f ca="1">VLOOKUP(J12,[2]character_tribe_i18n!$A:$H,3,FALSE)</f>
        <v>種族なし</v>
      </c>
      <c r="L12" s="5" t="e">
        <f>VLOOKUP(#REF!,[2]character_tribe_i18n!$A:$H,4,FALSE)</f>
        <v>#REF!</v>
      </c>
      <c r="M12" s="5" t="e">
        <f>VLOOKUP(#REF!,[2]character_tribe_i18n!$A:$H,5,FALSE)</f>
        <v>#REF!</v>
      </c>
      <c r="N12" s="5" t="e">
        <f>VLOOKUP(#REF!,[2]character_tribe_i18n!$A:$H,6,FALSE)</f>
        <v>#REF!</v>
      </c>
      <c r="O12" s="5" t="e">
        <f>VLOOKUP(#REF!,[2]character_tribe_i18n!$A:$H,7,FALSE)</f>
        <v>#REF!</v>
      </c>
      <c r="P12" s="83" t="s">
        <v>170</v>
      </c>
      <c r="Q12" s="4">
        <v>22</v>
      </c>
      <c r="R12" s="25" t="str">
        <f ca="1">IF(Q12="NULL","",VLOOKUP($Q12,OFFSET([2]characters!$A$1,0,0,COUNTA([2]characters!$A:$A),MATCH(R$1,[2]characters!$1:$1,0)-MATCH($A$1,[2]characters!$1:$1,0)+1),MATCH(R$1,[2]characters!$1:$1,0)-MATCH($A$1,[2]characters!$1:$1,0)+1,FALSE))</f>
        <v>突然変異ヴェロキー</v>
      </c>
      <c r="S12" s="3">
        <f t="shared" ca="1" si="0"/>
        <v>21</v>
      </c>
      <c r="T12" s="25" t="str">
        <f ca="1">VLOOKUP($S12,OFFSET([2]characters!$A$1,0,0,COUNTA([2]characters!$A:$A),MATCH(T$1,[2]characters!$1:$1,0)-MATCH($A$1,[2]characters!$1:$1,0)+1),MATCH(T$1,[2]characters!$1:$1,0)-MATCH($A$1,[2]characters!$1:$1,0)+1,FALSE)</f>
        <v>ヴェロキー</v>
      </c>
      <c r="U12" s="5">
        <f ca="1">IF(Q12="NULL","NULL",VLOOKUP(G12,ビット!$A$2:$B$7,2))</f>
        <v>5000</v>
      </c>
    </row>
    <row r="13" spans="1:21" ht="21" customHeight="1" x14ac:dyDescent="0.15">
      <c r="A13" s="83">
        <v>23</v>
      </c>
      <c r="B13" s="24" t="str">
        <f ca="1">VLOOKUP($A13,OFFSET([2]characters!$A$1,0,0,COUNTA([2]characters!$A:$A),MATCH(B$1,[2]characters!$1:$1,0)-MATCH($A$1,[2]characters!$1:$1,0)+1),MATCH(B$1,[2]characters!$1:$1,0)-MATCH($A$1,[2]characters!$1:$1,0)+1,FALSE)</f>
        <v>ミール</v>
      </c>
      <c r="C13" s="24" t="str">
        <f ca="1">VLOOKUP($A13,OFFSET([2]characters!$A$1,0,0,COUNTA([2]characters!$A:$A),MATCH(C$1,[2]characters!$1:$1,0)-MATCH($A$1,[2]characters!$1:$1,0)+1),MATCH(C$1,[2]characters!$1:$1,0)-MATCH($A$1,[2]characters!$1:$1,0)+1,FALSE)</f>
        <v>ノーマルクエスト</v>
      </c>
      <c r="D13" s="24" t="str">
        <f ca="1">VLOOKUP($A13,OFFSET([2]characters!$A$1,0,0,COUNTA([2]characters!$A:$A),MATCH(D$1,[2]characters!$1:$1,0)-MATCH($A$1,[2]characters!$1:$1,0)+1),MATCH(D$1,[2]characters!$1:$1,0)-MATCH($A$1,[2]characters!$1:$1,0)+1,FALSE)</f>
        <v>アバター</v>
      </c>
      <c r="E13" s="24" t="str">
        <f ca="1">VLOOKUP($A13,OFFSET([2]characters!$A$1,0,0,COUNTA([2]characters!$A:$A),MATCH(E$1,[2]characters!$1:$1,0)-MATCH($A$1,[2]characters!$1:$1,0)+1),MATCH(E$1,[2]characters!$1:$1,0)-MATCH($A$1,[2]characters!$1:$1,0)+1,FALSE)</f>
        <v>世界観</v>
      </c>
      <c r="F13" s="24" t="str">
        <f ca="1">VLOOKUP($A13,OFFSET([2]characters!$A$1,0,0,COUNTA([2]characters!$A:$A),MATCH(F$1,[2]characters!$1:$1,0)-MATCH($A$1,[2]characters!$1:$1,0)+1),MATCH(F$1,[2]characters!$1:$1,0)-MATCH($A$1,[2]characters!$1:$1,0)+1,FALSE)</f>
        <v>不明</v>
      </c>
      <c r="G13" s="24">
        <f ca="1">VLOOKUP($A13,OFFSET([2]characters!$A$1,0,0,COUNTA([2]characters!$A:$A),MATCH(G$1,[2]characters!$1:$1,0)-MATCH($A$1,[2]characters!$1:$1,0)+1),MATCH(G$1,[2]characters!$1:$1,0)-MATCH($A$1,[2]characters!$1:$1,0)+1,FALSE)</f>
        <v>1</v>
      </c>
      <c r="H13" s="24" t="str">
        <f ca="1">VLOOKUP($A13,OFFSET([2]characters!$A$1,0,0,COUNTA([2]characters!$A:$A),MATCH(H$1,[2]characters!$1:$1,0)-MATCH($A$1,[2]characters!$1:$1,0)+1),MATCH(H$1,[2]characters!$1:$1,0)-MATCH($A$1,[2]characters!$1:$1,0)+1,FALSE)</f>
        <v>Drop1N</v>
      </c>
      <c r="I13" s="24" t="str">
        <f ca="1">VLOOKUP($A13,OFFSET([2]characters!$A$1,0,0,COUNTA([2]characters!$A:$A),MATCH(I$1,[2]characters!$1:$1,0)-MATCH($A$1,[2]characters!$1:$1,0)+1),MATCH(I$1,[2]characters!$1:$1,0)-MATCH($A$1,[2]characters!$1:$1,0)+1,FALSE)</f>
        <v>green</v>
      </c>
      <c r="J13" s="24" t="str">
        <f ca="1">VLOOKUP($A13,OFFSET([2]characters!$A$1,0,0,COUNTA([2]characters!$A:$A),MATCH(J$1,[2]characters!$1:$1,0)-MATCH($A$1,[2]characters!$1:$1,0)+1),MATCH(J$1,[2]characters!$1:$1,0)-MATCH($A$1,[2]characters!$1:$1,0)+1,FALSE)</f>
        <v>none</v>
      </c>
      <c r="K13" s="3" t="str">
        <f ca="1">VLOOKUP(J13,[2]character_tribe_i18n!$A:$H,3,FALSE)</f>
        <v>種族なし</v>
      </c>
      <c r="L13" s="5" t="e">
        <f>VLOOKUP(#REF!,[2]character_tribe_i18n!$A:$H,4,FALSE)</f>
        <v>#REF!</v>
      </c>
      <c r="M13" s="5" t="e">
        <f>VLOOKUP(#REF!,[2]character_tribe_i18n!$A:$H,5,FALSE)</f>
        <v>#REF!</v>
      </c>
      <c r="N13" s="5" t="e">
        <f>VLOOKUP(#REF!,[2]character_tribe_i18n!$A:$H,6,FALSE)</f>
        <v>#REF!</v>
      </c>
      <c r="O13" s="5" t="e">
        <f>VLOOKUP(#REF!,[2]character_tribe_i18n!$A:$H,7,FALSE)</f>
        <v>#REF!</v>
      </c>
      <c r="P13" s="83" t="s">
        <v>170</v>
      </c>
      <c r="Q13" s="4">
        <v>24</v>
      </c>
      <c r="R13" s="25" t="str">
        <f ca="1">IF(Q13="NULL","",VLOOKUP($Q13,OFFSET([2]characters!$A$1,0,0,COUNTA([2]characters!$A:$A),MATCH(R$1,[2]characters!$1:$1,0)-MATCH($A$1,[2]characters!$1:$1,0)+1),MATCH(R$1,[2]characters!$1:$1,0)-MATCH($A$1,[2]characters!$1:$1,0)+1,FALSE))</f>
        <v>天翔のミール</v>
      </c>
      <c r="S13" s="3">
        <f t="shared" ca="1" si="0"/>
        <v>23</v>
      </c>
      <c r="T13" s="25" t="str">
        <f ca="1">VLOOKUP($S13,OFFSET([2]characters!$A$1,0,0,COUNTA([2]characters!$A:$A),MATCH(T$1,[2]characters!$1:$1,0)-MATCH($A$1,[2]characters!$1:$1,0)+1),MATCH(T$1,[2]characters!$1:$1,0)-MATCH($A$1,[2]characters!$1:$1,0)+1,FALSE)</f>
        <v>ミール</v>
      </c>
      <c r="U13" s="5">
        <f ca="1">IF(Q13="NULL","NULL",VLOOKUP(G13,ビット!$A$2:$B$7,2))</f>
        <v>5000</v>
      </c>
    </row>
    <row r="14" spans="1:21" ht="21" customHeight="1" x14ac:dyDescent="0.15">
      <c r="A14" s="83">
        <v>25</v>
      </c>
      <c r="B14" s="24" t="str">
        <f ca="1">VLOOKUP($A14,OFFSET([2]characters!$A$1,0,0,COUNTA([2]characters!$A:$A),MATCH(B$1,[2]characters!$1:$1,0)-MATCH($A$1,[2]characters!$1:$1,0)+1),MATCH(B$1,[2]characters!$1:$1,0)-MATCH($A$1,[2]characters!$1:$1,0)+1,FALSE)</f>
        <v>ハチ</v>
      </c>
      <c r="C14" s="24" t="str">
        <f ca="1">VLOOKUP($A14,OFFSET([2]characters!$A$1,0,0,COUNTA([2]characters!$A:$A),MATCH(C$1,[2]characters!$1:$1,0)-MATCH($A$1,[2]characters!$1:$1,0)+1),MATCH(C$1,[2]characters!$1:$1,0)-MATCH($A$1,[2]characters!$1:$1,0)+1,FALSE)</f>
        <v>ノーマルクエスト</v>
      </c>
      <c r="D14" s="24" t="str">
        <f ca="1">VLOOKUP($A14,OFFSET([2]characters!$A$1,0,0,COUNTA([2]characters!$A:$A),MATCH(D$1,[2]characters!$1:$1,0)-MATCH($A$1,[2]characters!$1:$1,0)+1),MATCH(D$1,[2]characters!$1:$1,0)-MATCH($A$1,[2]characters!$1:$1,0)+1,FALSE)</f>
        <v>アバター</v>
      </c>
      <c r="E14" s="24" t="str">
        <f ca="1">VLOOKUP($A14,OFFSET([2]characters!$A$1,0,0,COUNTA([2]characters!$A:$A),MATCH(E$1,[2]characters!$1:$1,0)-MATCH($A$1,[2]characters!$1:$1,0)+1),MATCH(E$1,[2]characters!$1:$1,0)-MATCH($A$1,[2]characters!$1:$1,0)+1,FALSE)</f>
        <v>世界観</v>
      </c>
      <c r="F14" s="24" t="str">
        <f ca="1">VLOOKUP($A14,OFFSET([2]characters!$A$1,0,0,COUNTA([2]characters!$A:$A),MATCH(F$1,[2]characters!$1:$1,0)-MATCH($A$1,[2]characters!$1:$1,0)+1),MATCH(F$1,[2]characters!$1:$1,0)-MATCH($A$1,[2]characters!$1:$1,0)+1,FALSE)</f>
        <v>不明</v>
      </c>
      <c r="G14" s="24">
        <f ca="1">VLOOKUP($A14,OFFSET([2]characters!$A$1,0,0,COUNTA([2]characters!$A:$A),MATCH(G$1,[2]characters!$1:$1,0)-MATCH($A$1,[2]characters!$1:$1,0)+1),MATCH(G$1,[2]characters!$1:$1,0)-MATCH($A$1,[2]characters!$1:$1,0)+1,FALSE)</f>
        <v>1</v>
      </c>
      <c r="H14" s="24" t="str">
        <f ca="1">VLOOKUP($A14,OFFSET([2]characters!$A$1,0,0,COUNTA([2]characters!$A:$A),MATCH(H$1,[2]characters!$1:$1,0)-MATCH($A$1,[2]characters!$1:$1,0)+1),MATCH(H$1,[2]characters!$1:$1,0)-MATCH($A$1,[2]characters!$1:$1,0)+1,FALSE)</f>
        <v>Drop1N</v>
      </c>
      <c r="I14" s="24" t="str">
        <f ca="1">VLOOKUP($A14,OFFSET([2]characters!$A$1,0,0,COUNTA([2]characters!$A:$A),MATCH(I$1,[2]characters!$1:$1,0)-MATCH($A$1,[2]characters!$1:$1,0)+1),MATCH(I$1,[2]characters!$1:$1,0)-MATCH($A$1,[2]characters!$1:$1,0)+1,FALSE)</f>
        <v>blue</v>
      </c>
      <c r="J14" s="24" t="str">
        <f ca="1">VLOOKUP($A14,OFFSET([2]characters!$A$1,0,0,COUNTA([2]characters!$A:$A),MATCH(J$1,[2]characters!$1:$1,0)-MATCH($A$1,[2]characters!$1:$1,0)+1),MATCH(J$1,[2]characters!$1:$1,0)-MATCH($A$1,[2]characters!$1:$1,0)+1,FALSE)</f>
        <v>none</v>
      </c>
      <c r="K14" s="3" t="str">
        <f ca="1">VLOOKUP(J14,[2]character_tribe_i18n!$A:$H,3,FALSE)</f>
        <v>種族なし</v>
      </c>
      <c r="L14" s="5" t="e">
        <f>VLOOKUP(#REF!,[2]character_tribe_i18n!$A:$H,4,FALSE)</f>
        <v>#REF!</v>
      </c>
      <c r="M14" s="5" t="e">
        <f>VLOOKUP(#REF!,[2]character_tribe_i18n!$A:$H,5,FALSE)</f>
        <v>#REF!</v>
      </c>
      <c r="N14" s="5" t="e">
        <f>VLOOKUP(#REF!,[2]character_tribe_i18n!$A:$H,6,FALSE)</f>
        <v>#REF!</v>
      </c>
      <c r="O14" s="5" t="e">
        <f>VLOOKUP(#REF!,[2]character_tribe_i18n!$A:$H,7,FALSE)</f>
        <v>#REF!</v>
      </c>
      <c r="P14" s="83" t="s">
        <v>170</v>
      </c>
      <c r="Q14" s="4">
        <v>26</v>
      </c>
      <c r="R14" s="25" t="str">
        <f ca="1">IF(Q14="NULL","",VLOOKUP($Q14,OFFSET([2]characters!$A$1,0,0,COUNTA([2]characters!$A:$A),MATCH(R$1,[2]characters!$1:$1,0)-MATCH($A$1,[2]characters!$1:$1,0)+1),MATCH(R$1,[2]characters!$1:$1,0)-MATCH($A$1,[2]characters!$1:$1,0)+1,FALSE))</f>
        <v>勇犬 ハチ</v>
      </c>
      <c r="S14" s="3">
        <f t="shared" ca="1" si="0"/>
        <v>25</v>
      </c>
      <c r="T14" s="25" t="str">
        <f ca="1">VLOOKUP($S14,OFFSET([2]characters!$A$1,0,0,COUNTA([2]characters!$A:$A),MATCH(T$1,[2]characters!$1:$1,0)-MATCH($A$1,[2]characters!$1:$1,0)+1),MATCH(T$1,[2]characters!$1:$1,0)-MATCH($A$1,[2]characters!$1:$1,0)+1,FALSE)</f>
        <v>ハチ</v>
      </c>
      <c r="U14" s="5">
        <f ca="1">IF(Q14="NULL","NULL",VLOOKUP(G14,ビット!$A$2:$B$7,2))</f>
        <v>5000</v>
      </c>
    </row>
    <row r="15" spans="1:21" ht="21" customHeight="1" x14ac:dyDescent="0.15">
      <c r="A15" s="83">
        <v>27</v>
      </c>
      <c r="B15" s="24" t="str">
        <f ca="1">VLOOKUP($A15,OFFSET([2]characters!$A$1,0,0,COUNTA([2]characters!$A:$A),MATCH(B$1,[2]characters!$1:$1,0)-MATCH($A$1,[2]characters!$1:$1,0)+1),MATCH(B$1,[2]characters!$1:$1,0)-MATCH($A$1,[2]characters!$1:$1,0)+1,FALSE)</f>
        <v>パトライン</v>
      </c>
      <c r="C15" s="24" t="str">
        <f ca="1">VLOOKUP($A15,OFFSET([2]characters!$A$1,0,0,COUNTA([2]characters!$A:$A),MATCH(C$1,[2]characters!$1:$1,0)-MATCH($A$1,[2]characters!$1:$1,0)+1),MATCH(C$1,[2]characters!$1:$1,0)-MATCH($A$1,[2]characters!$1:$1,0)+1,FALSE)</f>
        <v>ノーマルクエスト</v>
      </c>
      <c r="D15" s="24" t="str">
        <f ca="1">VLOOKUP($A15,OFFSET([2]characters!$A$1,0,0,COUNTA([2]characters!$A:$A),MATCH(D$1,[2]characters!$1:$1,0)-MATCH($A$1,[2]characters!$1:$1,0)+1),MATCH(D$1,[2]characters!$1:$1,0)-MATCH($A$1,[2]characters!$1:$1,0)+1,FALSE)</f>
        <v>アバター</v>
      </c>
      <c r="E15" s="24" t="str">
        <f ca="1">VLOOKUP($A15,OFFSET([2]characters!$A$1,0,0,COUNTA([2]characters!$A:$A),MATCH(E$1,[2]characters!$1:$1,0)-MATCH($A$1,[2]characters!$1:$1,0)+1),MATCH(E$1,[2]characters!$1:$1,0)-MATCH($A$1,[2]characters!$1:$1,0)+1,FALSE)</f>
        <v>世界観</v>
      </c>
      <c r="F15" s="24" t="str">
        <f ca="1">VLOOKUP($A15,OFFSET([2]characters!$A$1,0,0,COUNTA([2]characters!$A:$A),MATCH(F$1,[2]characters!$1:$1,0)-MATCH($A$1,[2]characters!$1:$1,0)+1),MATCH(F$1,[2]characters!$1:$1,0)-MATCH($A$1,[2]characters!$1:$1,0)+1,FALSE)</f>
        <v>不明</v>
      </c>
      <c r="G15" s="24">
        <f ca="1">VLOOKUP($A15,OFFSET([2]characters!$A$1,0,0,COUNTA([2]characters!$A:$A),MATCH(G$1,[2]characters!$1:$1,0)-MATCH($A$1,[2]characters!$1:$1,0)+1),MATCH(G$1,[2]characters!$1:$1,0)-MATCH($A$1,[2]characters!$1:$1,0)+1,FALSE)</f>
        <v>1</v>
      </c>
      <c r="H15" s="24" t="str">
        <f ca="1">VLOOKUP($A15,OFFSET([2]characters!$A$1,0,0,COUNTA([2]characters!$A:$A),MATCH(H$1,[2]characters!$1:$1,0)-MATCH($A$1,[2]characters!$1:$1,0)+1),MATCH(H$1,[2]characters!$1:$1,0)-MATCH($A$1,[2]characters!$1:$1,0)+1,FALSE)</f>
        <v>Drop1N</v>
      </c>
      <c r="I15" s="24" t="str">
        <f ca="1">VLOOKUP($A15,OFFSET([2]characters!$A$1,0,0,COUNTA([2]characters!$A:$A),MATCH(I$1,[2]characters!$1:$1,0)-MATCH($A$1,[2]characters!$1:$1,0)+1),MATCH(I$1,[2]characters!$1:$1,0)-MATCH($A$1,[2]characters!$1:$1,0)+1,FALSE)</f>
        <v>green</v>
      </c>
      <c r="J15" s="24" t="str">
        <f ca="1">VLOOKUP($A15,OFFSET([2]characters!$A$1,0,0,COUNTA([2]characters!$A:$A),MATCH(J$1,[2]characters!$1:$1,0)-MATCH($A$1,[2]characters!$1:$1,0)+1),MATCH(J$1,[2]characters!$1:$1,0)-MATCH($A$1,[2]characters!$1:$1,0)+1,FALSE)</f>
        <v>none</v>
      </c>
      <c r="K15" s="3" t="str">
        <f ca="1">VLOOKUP(J15,[2]character_tribe_i18n!$A:$H,3,FALSE)</f>
        <v>種族なし</v>
      </c>
      <c r="L15" s="5" t="e">
        <f>VLOOKUP(#REF!,[2]character_tribe_i18n!$A:$H,4,FALSE)</f>
        <v>#REF!</v>
      </c>
      <c r="M15" s="5" t="e">
        <f>VLOOKUP(#REF!,[2]character_tribe_i18n!$A:$H,5,FALSE)</f>
        <v>#REF!</v>
      </c>
      <c r="N15" s="5" t="e">
        <f>VLOOKUP(#REF!,[2]character_tribe_i18n!$A:$H,6,FALSE)</f>
        <v>#REF!</v>
      </c>
      <c r="O15" s="5" t="e">
        <f>VLOOKUP(#REF!,[2]character_tribe_i18n!$A:$H,7,FALSE)</f>
        <v>#REF!</v>
      </c>
      <c r="P15" s="83" t="s">
        <v>170</v>
      </c>
      <c r="Q15" s="4">
        <v>28</v>
      </c>
      <c r="R15" s="25" t="str">
        <f ca="1">IF(Q15="NULL","",VLOOKUP($Q15,OFFSET([2]characters!$A$1,0,0,COUNTA([2]characters!$A:$A),MATCH(R$1,[2]characters!$1:$1,0)-MATCH($A$1,[2]characters!$1:$1,0)+1),MATCH(R$1,[2]characters!$1:$1,0)-MATCH($A$1,[2]characters!$1:$1,0)+1,FALSE))</f>
        <v>現場急行 パトラインカスタム</v>
      </c>
      <c r="S15" s="3">
        <f t="shared" ca="1" si="0"/>
        <v>27</v>
      </c>
      <c r="T15" s="25" t="str">
        <f ca="1">VLOOKUP($S15,OFFSET([2]characters!$A$1,0,0,COUNTA([2]characters!$A:$A),MATCH(T$1,[2]characters!$1:$1,0)-MATCH($A$1,[2]characters!$1:$1,0)+1),MATCH(T$1,[2]characters!$1:$1,0)-MATCH($A$1,[2]characters!$1:$1,0)+1,FALSE)</f>
        <v>パトライン</v>
      </c>
      <c r="U15" s="5">
        <f ca="1">IF(Q15="NULL","NULL",VLOOKUP(G15,ビット!$A$2:$B$7,2))</f>
        <v>5000</v>
      </c>
    </row>
    <row r="16" spans="1:21" ht="21" customHeight="1" x14ac:dyDescent="0.15">
      <c r="A16" s="83">
        <v>29</v>
      </c>
      <c r="B16" s="24" t="str">
        <f ca="1">VLOOKUP($A16,OFFSET([2]characters!$A$1,0,0,COUNTA([2]characters!$A:$A),MATCH(B$1,[2]characters!$1:$1,0)-MATCH($A$1,[2]characters!$1:$1,0)+1),MATCH(B$1,[2]characters!$1:$1,0)-MATCH($A$1,[2]characters!$1:$1,0)+1,FALSE)</f>
        <v>スケアクロウ</v>
      </c>
      <c r="C16" s="24" t="str">
        <f ca="1">VLOOKUP($A16,OFFSET([2]characters!$A$1,0,0,COUNTA([2]characters!$A:$A),MATCH(C$1,[2]characters!$1:$1,0)-MATCH($A$1,[2]characters!$1:$1,0)+1),MATCH(C$1,[2]characters!$1:$1,0)-MATCH($A$1,[2]characters!$1:$1,0)+1,FALSE)</f>
        <v>ノーマルクエスト</v>
      </c>
      <c r="D16" s="24" t="str">
        <f ca="1">VLOOKUP($A16,OFFSET([2]characters!$A$1,0,0,COUNTA([2]characters!$A:$A),MATCH(D$1,[2]characters!$1:$1,0)-MATCH($A$1,[2]characters!$1:$1,0)+1),MATCH(D$1,[2]characters!$1:$1,0)-MATCH($A$1,[2]characters!$1:$1,0)+1,FALSE)</f>
        <v>アバター</v>
      </c>
      <c r="E16" s="24" t="str">
        <f ca="1">VLOOKUP($A16,OFFSET([2]characters!$A$1,0,0,COUNTA([2]characters!$A:$A),MATCH(E$1,[2]characters!$1:$1,0)-MATCH($A$1,[2]characters!$1:$1,0)+1),MATCH(E$1,[2]characters!$1:$1,0)-MATCH($A$1,[2]characters!$1:$1,0)+1,FALSE)</f>
        <v>世界観</v>
      </c>
      <c r="F16" s="24" t="str">
        <f ca="1">VLOOKUP($A16,OFFSET([2]characters!$A$1,0,0,COUNTA([2]characters!$A:$A),MATCH(F$1,[2]characters!$1:$1,0)-MATCH($A$1,[2]characters!$1:$1,0)+1),MATCH(F$1,[2]characters!$1:$1,0)-MATCH($A$1,[2]characters!$1:$1,0)+1,FALSE)</f>
        <v>不明</v>
      </c>
      <c r="G16" s="24">
        <f ca="1">VLOOKUP($A16,OFFSET([2]characters!$A$1,0,0,COUNTA([2]characters!$A:$A),MATCH(G$1,[2]characters!$1:$1,0)-MATCH($A$1,[2]characters!$1:$1,0)+1),MATCH(G$1,[2]characters!$1:$1,0)-MATCH($A$1,[2]characters!$1:$1,0)+1,FALSE)</f>
        <v>1</v>
      </c>
      <c r="H16" s="24" t="str">
        <f ca="1">VLOOKUP($A16,OFFSET([2]characters!$A$1,0,0,COUNTA([2]characters!$A:$A),MATCH(H$1,[2]characters!$1:$1,0)-MATCH($A$1,[2]characters!$1:$1,0)+1),MATCH(H$1,[2]characters!$1:$1,0)-MATCH($A$1,[2]characters!$1:$1,0)+1,FALSE)</f>
        <v>Drop1N</v>
      </c>
      <c r="I16" s="24" t="str">
        <f ca="1">VLOOKUP($A16,OFFSET([2]characters!$A$1,0,0,COUNTA([2]characters!$A:$A),MATCH(I$1,[2]characters!$1:$1,0)-MATCH($A$1,[2]characters!$1:$1,0)+1),MATCH(I$1,[2]characters!$1:$1,0)-MATCH($A$1,[2]characters!$1:$1,0)+1,FALSE)</f>
        <v>blue</v>
      </c>
      <c r="J16" s="24" t="str">
        <f ca="1">VLOOKUP($A16,OFFSET([2]characters!$A$1,0,0,COUNTA([2]characters!$A:$A),MATCH(J$1,[2]characters!$1:$1,0)-MATCH($A$1,[2]characters!$1:$1,0)+1),MATCH(J$1,[2]characters!$1:$1,0)-MATCH($A$1,[2]characters!$1:$1,0)+1,FALSE)</f>
        <v>none</v>
      </c>
      <c r="K16" s="3" t="str">
        <f ca="1">VLOOKUP(J16,[2]character_tribe_i18n!$A:$H,3,FALSE)</f>
        <v>種族なし</v>
      </c>
      <c r="L16" s="5" t="e">
        <f>VLOOKUP(#REF!,[2]character_tribe_i18n!$A:$H,4,FALSE)</f>
        <v>#REF!</v>
      </c>
      <c r="M16" s="5" t="e">
        <f>VLOOKUP(#REF!,[2]character_tribe_i18n!$A:$H,5,FALSE)</f>
        <v>#REF!</v>
      </c>
      <c r="N16" s="5" t="e">
        <f>VLOOKUP(#REF!,[2]character_tribe_i18n!$A:$H,6,FALSE)</f>
        <v>#REF!</v>
      </c>
      <c r="O16" s="5" t="e">
        <f>VLOOKUP(#REF!,[2]character_tribe_i18n!$A:$H,7,FALSE)</f>
        <v>#REF!</v>
      </c>
      <c r="P16" s="83" t="s">
        <v>170</v>
      </c>
      <c r="Q16" s="4">
        <v>30</v>
      </c>
      <c r="R16" s="25" t="str">
        <f ca="1">IF(Q16="NULL","",VLOOKUP($Q16,OFFSET([2]characters!$A$1,0,0,COUNTA([2]characters!$A:$A),MATCH(R$1,[2]characters!$1:$1,0)-MATCH($A$1,[2]characters!$1:$1,0)+1),MATCH(R$1,[2]characters!$1:$1,0)-MATCH($A$1,[2]characters!$1:$1,0)+1,FALSE))</f>
        <v>護衛機人 スケアクロウ</v>
      </c>
      <c r="S16" s="3">
        <f t="shared" ca="1" si="0"/>
        <v>29</v>
      </c>
      <c r="T16" s="25" t="str">
        <f ca="1">VLOOKUP($S16,OFFSET([2]characters!$A$1,0,0,COUNTA([2]characters!$A:$A),MATCH(T$1,[2]characters!$1:$1,0)-MATCH($A$1,[2]characters!$1:$1,0)+1),MATCH(T$1,[2]characters!$1:$1,0)-MATCH($A$1,[2]characters!$1:$1,0)+1,FALSE)</f>
        <v>スケアクロウ</v>
      </c>
      <c r="U16" s="5">
        <f ca="1">IF(Q16="NULL","NULL",VLOOKUP(G16,ビット!$A$2:$B$7,2))</f>
        <v>5000</v>
      </c>
    </row>
    <row r="17" spans="1:21" ht="21" customHeight="1" x14ac:dyDescent="0.15">
      <c r="A17" s="83">
        <v>31</v>
      </c>
      <c r="B17" s="24" t="str">
        <f ca="1">VLOOKUP($A17,OFFSET([2]characters!$A$1,0,0,COUNTA([2]characters!$A:$A),MATCH(B$1,[2]characters!$1:$1,0)-MATCH($A$1,[2]characters!$1:$1,0)+1),MATCH(B$1,[2]characters!$1:$1,0)-MATCH($A$1,[2]characters!$1:$1,0)+1,FALSE)</f>
        <v>マービー</v>
      </c>
      <c r="C17" s="24" t="str">
        <f ca="1">VLOOKUP($A17,OFFSET([2]characters!$A$1,0,0,COUNTA([2]characters!$A:$A),MATCH(C$1,[2]characters!$1:$1,0)-MATCH($A$1,[2]characters!$1:$1,0)+1),MATCH(C$1,[2]characters!$1:$1,0)-MATCH($A$1,[2]characters!$1:$1,0)+1,FALSE)</f>
        <v>ノーマルクエスト</v>
      </c>
      <c r="D17" s="24" t="str">
        <f ca="1">VLOOKUP($A17,OFFSET([2]characters!$A$1,0,0,COUNTA([2]characters!$A:$A),MATCH(D$1,[2]characters!$1:$1,0)-MATCH($A$1,[2]characters!$1:$1,0)+1),MATCH(D$1,[2]characters!$1:$1,0)-MATCH($A$1,[2]characters!$1:$1,0)+1,FALSE)</f>
        <v>アバター</v>
      </c>
      <c r="E17" s="24" t="str">
        <f ca="1">VLOOKUP($A17,OFFSET([2]characters!$A$1,0,0,COUNTA([2]characters!$A:$A),MATCH(E$1,[2]characters!$1:$1,0)-MATCH($A$1,[2]characters!$1:$1,0)+1),MATCH(E$1,[2]characters!$1:$1,0)-MATCH($A$1,[2]characters!$1:$1,0)+1,FALSE)</f>
        <v>世界観</v>
      </c>
      <c r="F17" s="24" t="str">
        <f ca="1">VLOOKUP($A17,OFFSET([2]characters!$A$1,0,0,COUNTA([2]characters!$A:$A),MATCH(F$1,[2]characters!$1:$1,0)-MATCH($A$1,[2]characters!$1:$1,0)+1),MATCH(F$1,[2]characters!$1:$1,0)-MATCH($A$1,[2]characters!$1:$1,0)+1,FALSE)</f>
        <v>不明</v>
      </c>
      <c r="G17" s="24">
        <f ca="1">VLOOKUP($A17,OFFSET([2]characters!$A$1,0,0,COUNTA([2]characters!$A:$A),MATCH(G$1,[2]characters!$1:$1,0)-MATCH($A$1,[2]characters!$1:$1,0)+1),MATCH(G$1,[2]characters!$1:$1,0)-MATCH($A$1,[2]characters!$1:$1,0)+1,FALSE)</f>
        <v>1</v>
      </c>
      <c r="H17" s="24" t="str">
        <f ca="1">VLOOKUP($A17,OFFSET([2]characters!$A$1,0,0,COUNTA([2]characters!$A:$A),MATCH(H$1,[2]characters!$1:$1,0)-MATCH($A$1,[2]characters!$1:$1,0)+1),MATCH(H$1,[2]characters!$1:$1,0)-MATCH($A$1,[2]characters!$1:$1,0)+1,FALSE)</f>
        <v>Drop1N</v>
      </c>
      <c r="I17" s="24" t="str">
        <f ca="1">VLOOKUP($A17,OFFSET([2]characters!$A$1,0,0,COUNTA([2]characters!$A:$A),MATCH(I$1,[2]characters!$1:$1,0)-MATCH($A$1,[2]characters!$1:$1,0)+1),MATCH(I$1,[2]characters!$1:$1,0)-MATCH($A$1,[2]characters!$1:$1,0)+1,FALSE)</f>
        <v>yellow</v>
      </c>
      <c r="J17" s="24" t="str">
        <f ca="1">VLOOKUP($A17,OFFSET([2]characters!$A$1,0,0,COUNTA([2]characters!$A:$A),MATCH(J$1,[2]characters!$1:$1,0)-MATCH($A$1,[2]characters!$1:$1,0)+1),MATCH(J$1,[2]characters!$1:$1,0)-MATCH($A$1,[2]characters!$1:$1,0)+1,FALSE)</f>
        <v>none</v>
      </c>
      <c r="K17" s="3" t="str">
        <f ca="1">VLOOKUP(J17,[2]character_tribe_i18n!$A:$H,3,FALSE)</f>
        <v>種族なし</v>
      </c>
      <c r="L17" s="5" t="e">
        <f>VLOOKUP(#REF!,[2]character_tribe_i18n!$A:$H,4,FALSE)</f>
        <v>#REF!</v>
      </c>
      <c r="M17" s="5" t="e">
        <f>VLOOKUP(#REF!,[2]character_tribe_i18n!$A:$H,5,FALSE)</f>
        <v>#REF!</v>
      </c>
      <c r="N17" s="5" t="e">
        <f>VLOOKUP(#REF!,[2]character_tribe_i18n!$A:$H,6,FALSE)</f>
        <v>#REF!</v>
      </c>
      <c r="O17" s="5" t="e">
        <f>VLOOKUP(#REF!,[2]character_tribe_i18n!$A:$H,7,FALSE)</f>
        <v>#REF!</v>
      </c>
      <c r="P17" s="83" t="s">
        <v>170</v>
      </c>
      <c r="Q17" s="4">
        <v>32</v>
      </c>
      <c r="R17" s="25" t="str">
        <f ca="1">IF(Q17="NULL","",VLOOKUP($Q17,OFFSET([2]characters!$A$1,0,0,COUNTA([2]characters!$A:$A),MATCH(R$1,[2]characters!$1:$1,0)-MATCH($A$1,[2]characters!$1:$1,0)+1),MATCH(R$1,[2]characters!$1:$1,0)-MATCH($A$1,[2]characters!$1:$1,0)+1,FALSE))</f>
        <v>沈黙のジャミング マービー</v>
      </c>
      <c r="S17" s="3">
        <f t="shared" ca="1" si="0"/>
        <v>31</v>
      </c>
      <c r="T17" s="25" t="str">
        <f ca="1">VLOOKUP($S17,OFFSET([2]characters!$A$1,0,0,COUNTA([2]characters!$A:$A),MATCH(T$1,[2]characters!$1:$1,0)-MATCH($A$1,[2]characters!$1:$1,0)+1),MATCH(T$1,[2]characters!$1:$1,0)-MATCH($A$1,[2]characters!$1:$1,0)+1,FALSE)</f>
        <v>マービー</v>
      </c>
      <c r="U17" s="5">
        <f ca="1">IF(Q17="NULL","NULL",VLOOKUP(G17,ビット!$A$2:$B$7,2))</f>
        <v>5000</v>
      </c>
    </row>
    <row r="18" spans="1:21" ht="21" customHeight="1" x14ac:dyDescent="0.15">
      <c r="A18" s="83">
        <v>33</v>
      </c>
      <c r="B18" s="24" t="str">
        <f ca="1">VLOOKUP($A18,OFFSET([2]characters!$A$1,0,0,COUNTA([2]characters!$A:$A),MATCH(B$1,[2]characters!$1:$1,0)-MATCH($A$1,[2]characters!$1:$1,0)+1),MATCH(B$1,[2]characters!$1:$1,0)-MATCH($A$1,[2]characters!$1:$1,0)+1,FALSE)</f>
        <v>ゴクウ</v>
      </c>
      <c r="C18" s="24" t="str">
        <f ca="1">VLOOKUP($A18,OFFSET([2]characters!$A$1,0,0,COUNTA([2]characters!$A:$A),MATCH(C$1,[2]characters!$1:$1,0)-MATCH($A$1,[2]characters!$1:$1,0)+1),MATCH(C$1,[2]characters!$1:$1,0)-MATCH($A$1,[2]characters!$1:$1,0)+1,FALSE)</f>
        <v>ノーマルクエスト</v>
      </c>
      <c r="D18" s="24" t="str">
        <f ca="1">VLOOKUP($A18,OFFSET([2]characters!$A$1,0,0,COUNTA([2]characters!$A:$A),MATCH(D$1,[2]characters!$1:$1,0)-MATCH($A$1,[2]characters!$1:$1,0)+1),MATCH(D$1,[2]characters!$1:$1,0)-MATCH($A$1,[2]characters!$1:$1,0)+1,FALSE)</f>
        <v>アバター</v>
      </c>
      <c r="E18" s="24" t="str">
        <f ca="1">VLOOKUP($A18,OFFSET([2]characters!$A$1,0,0,COUNTA([2]characters!$A:$A),MATCH(E$1,[2]characters!$1:$1,0)-MATCH($A$1,[2]characters!$1:$1,0)+1),MATCH(E$1,[2]characters!$1:$1,0)-MATCH($A$1,[2]characters!$1:$1,0)+1,FALSE)</f>
        <v>世界観</v>
      </c>
      <c r="F18" s="24" t="str">
        <f ca="1">VLOOKUP($A18,OFFSET([2]characters!$A$1,0,0,COUNTA([2]characters!$A:$A),MATCH(F$1,[2]characters!$1:$1,0)-MATCH($A$1,[2]characters!$1:$1,0)+1),MATCH(F$1,[2]characters!$1:$1,0)-MATCH($A$1,[2]characters!$1:$1,0)+1,FALSE)</f>
        <v>男性</v>
      </c>
      <c r="G18" s="24">
        <f ca="1">VLOOKUP($A18,OFFSET([2]characters!$A$1,0,0,COUNTA([2]characters!$A:$A),MATCH(G$1,[2]characters!$1:$1,0)-MATCH($A$1,[2]characters!$1:$1,0)+1),MATCH(G$1,[2]characters!$1:$1,0)-MATCH($A$1,[2]characters!$1:$1,0)+1,FALSE)</f>
        <v>2</v>
      </c>
      <c r="H18" s="24" t="str">
        <f ca="1">VLOOKUP($A18,OFFSET([2]characters!$A$1,0,0,COUNTA([2]characters!$A:$A),MATCH(H$1,[2]characters!$1:$1,0)-MATCH($A$1,[2]characters!$1:$1,0)+1),MATCH(H$1,[2]characters!$1:$1,0)-MATCH($A$1,[2]characters!$1:$1,0)+1,FALSE)</f>
        <v>Drop1S</v>
      </c>
      <c r="I18" s="24" t="str">
        <f ca="1">VLOOKUP($A18,OFFSET([2]characters!$A$1,0,0,COUNTA([2]characters!$A:$A),MATCH(I$1,[2]characters!$1:$1,0)-MATCH($A$1,[2]characters!$1:$1,0)+1),MATCH(I$1,[2]characters!$1:$1,0)-MATCH($A$1,[2]characters!$1:$1,0)+1,FALSE)</f>
        <v>red</v>
      </c>
      <c r="J18" s="24" t="str">
        <f ca="1">VLOOKUP($A18,OFFSET([2]characters!$A$1,0,0,COUNTA([2]characters!$A:$A),MATCH(J$1,[2]characters!$1:$1,0)-MATCH($A$1,[2]characters!$1:$1,0)+1),MATCH(J$1,[2]characters!$1:$1,0)-MATCH($A$1,[2]characters!$1:$1,0)+1,FALSE)</f>
        <v>none</v>
      </c>
      <c r="K18" s="3" t="str">
        <f ca="1">VLOOKUP(J18,[2]character_tribe_i18n!$A:$H,3,FALSE)</f>
        <v>種族なし</v>
      </c>
      <c r="L18" s="5" t="e">
        <f>VLOOKUP(#REF!,[2]character_tribe_i18n!$A:$H,4,FALSE)</f>
        <v>#REF!</v>
      </c>
      <c r="M18" s="5" t="e">
        <f>VLOOKUP(#REF!,[2]character_tribe_i18n!$A:$H,5,FALSE)</f>
        <v>#REF!</v>
      </c>
      <c r="N18" s="5" t="e">
        <f>VLOOKUP(#REF!,[2]character_tribe_i18n!$A:$H,6,FALSE)</f>
        <v>#REF!</v>
      </c>
      <c r="O18" s="5" t="e">
        <f>VLOOKUP(#REF!,[2]character_tribe_i18n!$A:$H,7,FALSE)</f>
        <v>#REF!</v>
      </c>
      <c r="P18" s="83" t="s">
        <v>170</v>
      </c>
      <c r="Q18" s="4">
        <v>34</v>
      </c>
      <c r="R18" s="25" t="str">
        <f ca="1">IF(Q18="NULL","",VLOOKUP($Q18,OFFSET([2]characters!$A$1,0,0,COUNTA([2]characters!$A:$A),MATCH(R$1,[2]characters!$1:$1,0)-MATCH($A$1,[2]characters!$1:$1,0)+1),MATCH(R$1,[2]characters!$1:$1,0)-MATCH($A$1,[2]characters!$1:$1,0)+1,FALSE))</f>
        <v>斉天大聖 ゴクウ</v>
      </c>
      <c r="S18" s="3">
        <f t="shared" ca="1" si="0"/>
        <v>33</v>
      </c>
      <c r="T18" s="25" t="str">
        <f ca="1">VLOOKUP($S18,OFFSET([2]characters!$A$1,0,0,COUNTA([2]characters!$A:$A),MATCH(T$1,[2]characters!$1:$1,0)-MATCH($A$1,[2]characters!$1:$1,0)+1),MATCH(T$1,[2]characters!$1:$1,0)-MATCH($A$1,[2]characters!$1:$1,0)+1,FALSE)</f>
        <v>ゴクウ</v>
      </c>
      <c r="U18" s="5">
        <f ca="1">IF(Q18="NULL","NULL",VLOOKUP(G18,ビット!$A$2:$B$7,2))</f>
        <v>10000</v>
      </c>
    </row>
    <row r="19" spans="1:21" ht="21" customHeight="1" x14ac:dyDescent="0.15">
      <c r="A19" s="83">
        <v>35</v>
      </c>
      <c r="B19" s="24" t="str">
        <f ca="1">VLOOKUP($A19,OFFSET([2]characters!$A$1,0,0,COUNTA([2]characters!$A:$A),MATCH(B$1,[2]characters!$1:$1,0)-MATCH($A$1,[2]characters!$1:$1,0)+1),MATCH(B$1,[2]characters!$1:$1,0)-MATCH($A$1,[2]characters!$1:$1,0)+1,FALSE)</f>
        <v>F2</v>
      </c>
      <c r="C19" s="24" t="str">
        <f ca="1">VLOOKUP($A19,OFFSET([2]characters!$A$1,0,0,COUNTA([2]characters!$A:$A),MATCH(C$1,[2]characters!$1:$1,0)-MATCH($A$1,[2]characters!$1:$1,0)+1),MATCH(C$1,[2]characters!$1:$1,0)-MATCH($A$1,[2]characters!$1:$1,0)+1,FALSE)</f>
        <v>ノーマルクエスト</v>
      </c>
      <c r="D19" s="24" t="str">
        <f ca="1">VLOOKUP($A19,OFFSET([2]characters!$A$1,0,0,COUNTA([2]characters!$A:$A),MATCH(D$1,[2]characters!$1:$1,0)-MATCH($A$1,[2]characters!$1:$1,0)+1),MATCH(D$1,[2]characters!$1:$1,0)-MATCH($A$1,[2]characters!$1:$1,0)+1,FALSE)</f>
        <v>アバター</v>
      </c>
      <c r="E19" s="24" t="str">
        <f ca="1">VLOOKUP($A19,OFFSET([2]characters!$A$1,0,0,COUNTA([2]characters!$A:$A),MATCH(E$1,[2]characters!$1:$1,0)-MATCH($A$1,[2]characters!$1:$1,0)+1),MATCH(E$1,[2]characters!$1:$1,0)-MATCH($A$1,[2]characters!$1:$1,0)+1,FALSE)</f>
        <v>世界観</v>
      </c>
      <c r="F19" s="24" t="str">
        <f ca="1">VLOOKUP($A19,OFFSET([2]characters!$A$1,0,0,COUNTA([2]characters!$A:$A),MATCH(F$1,[2]characters!$1:$1,0)-MATCH($A$1,[2]characters!$1:$1,0)+1),MATCH(F$1,[2]characters!$1:$1,0)-MATCH($A$1,[2]characters!$1:$1,0)+1,FALSE)</f>
        <v>不明</v>
      </c>
      <c r="G19" s="24">
        <f ca="1">VLOOKUP($A19,OFFSET([2]characters!$A$1,0,0,COUNTA([2]characters!$A:$A),MATCH(G$1,[2]characters!$1:$1,0)-MATCH($A$1,[2]characters!$1:$1,0)+1),MATCH(G$1,[2]characters!$1:$1,0)-MATCH($A$1,[2]characters!$1:$1,0)+1,FALSE)</f>
        <v>2</v>
      </c>
      <c r="H19" s="24" t="str">
        <f ca="1">VLOOKUP($A19,OFFSET([2]characters!$A$1,0,0,COUNTA([2]characters!$A:$A),MATCH(H$1,[2]characters!$1:$1,0)-MATCH($A$1,[2]characters!$1:$1,0)+1),MATCH(H$1,[2]characters!$1:$1,0)-MATCH($A$1,[2]characters!$1:$1,0)+1,FALSE)</f>
        <v>Drop1S</v>
      </c>
      <c r="I19" s="24" t="str">
        <f ca="1">VLOOKUP($A19,OFFSET([2]characters!$A$1,0,0,COUNTA([2]characters!$A:$A),MATCH(I$1,[2]characters!$1:$1,0)-MATCH($A$1,[2]characters!$1:$1,0)+1),MATCH(I$1,[2]characters!$1:$1,0)-MATCH($A$1,[2]characters!$1:$1,0)+1,FALSE)</f>
        <v>green</v>
      </c>
      <c r="J19" s="24" t="str">
        <f ca="1">VLOOKUP($A19,OFFSET([2]characters!$A$1,0,0,COUNTA([2]characters!$A:$A),MATCH(J$1,[2]characters!$1:$1,0)-MATCH($A$1,[2]characters!$1:$1,0)+1),MATCH(J$1,[2]characters!$1:$1,0)-MATCH($A$1,[2]characters!$1:$1,0)+1,FALSE)</f>
        <v>none</v>
      </c>
      <c r="K19" s="3" t="str">
        <f ca="1">VLOOKUP(J19,[2]character_tribe_i18n!$A:$H,3,FALSE)</f>
        <v>種族なし</v>
      </c>
      <c r="L19" s="5" t="e">
        <f>VLOOKUP(#REF!,[2]character_tribe_i18n!$A:$H,4,FALSE)</f>
        <v>#REF!</v>
      </c>
      <c r="M19" s="5" t="e">
        <f>VLOOKUP(#REF!,[2]character_tribe_i18n!$A:$H,5,FALSE)</f>
        <v>#REF!</v>
      </c>
      <c r="N19" s="5" t="e">
        <f>VLOOKUP(#REF!,[2]character_tribe_i18n!$A:$H,6,FALSE)</f>
        <v>#REF!</v>
      </c>
      <c r="O19" s="5" t="e">
        <f>VLOOKUP(#REF!,[2]character_tribe_i18n!$A:$H,7,FALSE)</f>
        <v>#REF!</v>
      </c>
      <c r="P19" s="83" t="s">
        <v>170</v>
      </c>
      <c r="Q19" s="4">
        <v>36</v>
      </c>
      <c r="R19" s="25" t="str">
        <f ca="1">IF(Q19="NULL","",VLOOKUP($Q19,OFFSET([2]characters!$A$1,0,0,COUNTA([2]characters!$A:$A),MATCH(R$1,[2]characters!$1:$1,0)-MATCH($A$1,[2]characters!$1:$1,0)+1),MATCH(R$1,[2]characters!$1:$1,0)-MATCH($A$1,[2]characters!$1:$1,0)+1,FALSE))</f>
        <v>オフィス追尾型移動地雷F3</v>
      </c>
      <c r="S19" s="3">
        <f t="shared" ca="1" si="0"/>
        <v>35</v>
      </c>
      <c r="T19" s="25" t="str">
        <f ca="1">VLOOKUP($S19,OFFSET([2]characters!$A$1,0,0,COUNTA([2]characters!$A:$A),MATCH(T$1,[2]characters!$1:$1,0)-MATCH($A$1,[2]characters!$1:$1,0)+1),MATCH(T$1,[2]characters!$1:$1,0)-MATCH($A$1,[2]characters!$1:$1,0)+1,FALSE)</f>
        <v>F2</v>
      </c>
      <c r="U19" s="5">
        <f ca="1">IF(Q19="NULL","NULL",VLOOKUP(G19,ビット!$A$2:$B$7,2))</f>
        <v>10000</v>
      </c>
    </row>
    <row r="20" spans="1:21" ht="21" customHeight="1" x14ac:dyDescent="0.15">
      <c r="A20" s="83">
        <v>37</v>
      </c>
      <c r="B20" s="24" t="str">
        <f ca="1">VLOOKUP($A20,OFFSET([2]characters!$A$1,0,0,COUNTA([2]characters!$A:$A),MATCH(B$1,[2]characters!$1:$1,0)-MATCH($A$1,[2]characters!$1:$1,0)+1),MATCH(B$1,[2]characters!$1:$1,0)-MATCH($A$1,[2]characters!$1:$1,0)+1,FALSE)</f>
        <v>ガイル</v>
      </c>
      <c r="C20" s="24" t="str">
        <f ca="1">VLOOKUP($A20,OFFSET([2]characters!$A$1,0,0,COUNTA([2]characters!$A:$A),MATCH(C$1,[2]characters!$1:$1,0)-MATCH($A$1,[2]characters!$1:$1,0)+1),MATCH(C$1,[2]characters!$1:$1,0)-MATCH($A$1,[2]characters!$1:$1,0)+1,FALSE)</f>
        <v>ノーマルクエスト</v>
      </c>
      <c r="D20" s="24" t="str">
        <f ca="1">VLOOKUP($A20,OFFSET([2]characters!$A$1,0,0,COUNTA([2]characters!$A:$A),MATCH(D$1,[2]characters!$1:$1,0)-MATCH($A$1,[2]characters!$1:$1,0)+1),MATCH(D$1,[2]characters!$1:$1,0)-MATCH($A$1,[2]characters!$1:$1,0)+1,FALSE)</f>
        <v>アバター</v>
      </c>
      <c r="E20" s="24" t="str">
        <f ca="1">VLOOKUP($A20,OFFSET([2]characters!$A$1,0,0,COUNTA([2]characters!$A:$A),MATCH(E$1,[2]characters!$1:$1,0)-MATCH($A$1,[2]characters!$1:$1,0)+1),MATCH(E$1,[2]characters!$1:$1,0)-MATCH($A$1,[2]characters!$1:$1,0)+1,FALSE)</f>
        <v>世界観</v>
      </c>
      <c r="F20" s="24" t="str">
        <f ca="1">VLOOKUP($A20,OFFSET([2]characters!$A$1,0,0,COUNTA([2]characters!$A:$A),MATCH(F$1,[2]characters!$1:$1,0)-MATCH($A$1,[2]characters!$1:$1,0)+1),MATCH(F$1,[2]characters!$1:$1,0)-MATCH($A$1,[2]characters!$1:$1,0)+1,FALSE)</f>
        <v>男性</v>
      </c>
      <c r="G20" s="24">
        <f ca="1">VLOOKUP($A20,OFFSET([2]characters!$A$1,0,0,COUNTA([2]characters!$A:$A),MATCH(G$1,[2]characters!$1:$1,0)-MATCH($A$1,[2]characters!$1:$1,0)+1),MATCH(G$1,[2]characters!$1:$1,0)-MATCH($A$1,[2]characters!$1:$1,0)+1,FALSE)</f>
        <v>2</v>
      </c>
      <c r="H20" s="24" t="str">
        <f ca="1">VLOOKUP($A20,OFFSET([2]characters!$A$1,0,0,COUNTA([2]characters!$A:$A),MATCH(H$1,[2]characters!$1:$1,0)-MATCH($A$1,[2]characters!$1:$1,0)+1),MATCH(H$1,[2]characters!$1:$1,0)-MATCH($A$1,[2]characters!$1:$1,0)+1,FALSE)</f>
        <v>Drop1S</v>
      </c>
      <c r="I20" s="24" t="str">
        <f ca="1">VLOOKUP($A20,OFFSET([2]characters!$A$1,0,0,COUNTA([2]characters!$A:$A),MATCH(I$1,[2]characters!$1:$1,0)-MATCH($A$1,[2]characters!$1:$1,0)+1),MATCH(I$1,[2]characters!$1:$1,0)-MATCH($A$1,[2]characters!$1:$1,0)+1,FALSE)</f>
        <v>blue</v>
      </c>
      <c r="J20" s="24" t="str">
        <f ca="1">VLOOKUP($A20,OFFSET([2]characters!$A$1,0,0,COUNTA([2]characters!$A:$A),MATCH(J$1,[2]characters!$1:$1,0)-MATCH($A$1,[2]characters!$1:$1,0)+1),MATCH(J$1,[2]characters!$1:$1,0)-MATCH($A$1,[2]characters!$1:$1,0)+1,FALSE)</f>
        <v>none</v>
      </c>
      <c r="K20" s="3" t="str">
        <f ca="1">VLOOKUP(J20,[2]character_tribe_i18n!$A:$H,3,FALSE)</f>
        <v>種族なし</v>
      </c>
      <c r="L20" s="5" t="e">
        <f>VLOOKUP(#REF!,[2]character_tribe_i18n!$A:$H,4,FALSE)</f>
        <v>#REF!</v>
      </c>
      <c r="M20" s="5" t="e">
        <f>VLOOKUP(#REF!,[2]character_tribe_i18n!$A:$H,5,FALSE)</f>
        <v>#REF!</v>
      </c>
      <c r="N20" s="5" t="e">
        <f>VLOOKUP(#REF!,[2]character_tribe_i18n!$A:$H,6,FALSE)</f>
        <v>#REF!</v>
      </c>
      <c r="O20" s="5" t="e">
        <f>VLOOKUP(#REF!,[2]character_tribe_i18n!$A:$H,7,FALSE)</f>
        <v>#REF!</v>
      </c>
      <c r="P20" s="83" t="s">
        <v>170</v>
      </c>
      <c r="Q20" s="4">
        <v>38</v>
      </c>
      <c r="R20" s="25" t="str">
        <f ca="1">IF(Q20="NULL","",VLOOKUP($Q20,OFFSET([2]characters!$A$1,0,0,COUNTA([2]characters!$A:$A),MATCH(R$1,[2]characters!$1:$1,0)-MATCH($A$1,[2]characters!$1:$1,0)+1),MATCH(R$1,[2]characters!$1:$1,0)-MATCH($A$1,[2]characters!$1:$1,0)+1,FALSE))</f>
        <v>通話対応型 ガイル</v>
      </c>
      <c r="S20" s="3">
        <f t="shared" ca="1" si="0"/>
        <v>37</v>
      </c>
      <c r="T20" s="25" t="str">
        <f ca="1">VLOOKUP($S20,OFFSET([2]characters!$A$1,0,0,COUNTA([2]characters!$A:$A),MATCH(T$1,[2]characters!$1:$1,0)-MATCH($A$1,[2]characters!$1:$1,0)+1),MATCH(T$1,[2]characters!$1:$1,0)-MATCH($A$1,[2]characters!$1:$1,0)+1,FALSE)</f>
        <v>ガイル</v>
      </c>
      <c r="U20" s="5">
        <f ca="1">IF(Q20="NULL","NULL",VLOOKUP(G20,ビット!$A$2:$B$7,2))</f>
        <v>10000</v>
      </c>
    </row>
    <row r="21" spans="1:21" ht="21" customHeight="1" x14ac:dyDescent="0.15">
      <c r="A21" s="83">
        <v>39</v>
      </c>
      <c r="B21" s="24" t="str">
        <f ca="1">VLOOKUP($A21,OFFSET([2]characters!$A$1,0,0,COUNTA([2]characters!$A:$A),MATCH(B$1,[2]characters!$1:$1,0)-MATCH($A$1,[2]characters!$1:$1,0)+1),MATCH(B$1,[2]characters!$1:$1,0)-MATCH($A$1,[2]characters!$1:$1,0)+1,FALSE)</f>
        <v>マーロン</v>
      </c>
      <c r="C21" s="24" t="str">
        <f ca="1">VLOOKUP($A21,OFFSET([2]characters!$A$1,0,0,COUNTA([2]characters!$A:$A),MATCH(C$1,[2]characters!$1:$1,0)-MATCH($A$1,[2]characters!$1:$1,0)+1),MATCH(C$1,[2]characters!$1:$1,0)-MATCH($A$1,[2]characters!$1:$1,0)+1,FALSE)</f>
        <v>ノーマルクエスト</v>
      </c>
      <c r="D21" s="24" t="str">
        <f ca="1">VLOOKUP($A21,OFFSET([2]characters!$A$1,0,0,COUNTA([2]characters!$A:$A),MATCH(D$1,[2]characters!$1:$1,0)-MATCH($A$1,[2]characters!$1:$1,0)+1),MATCH(D$1,[2]characters!$1:$1,0)-MATCH($A$1,[2]characters!$1:$1,0)+1,FALSE)</f>
        <v>アバター</v>
      </c>
      <c r="E21" s="24" t="str">
        <f ca="1">VLOOKUP($A21,OFFSET([2]characters!$A$1,0,0,COUNTA([2]characters!$A:$A),MATCH(E$1,[2]characters!$1:$1,0)-MATCH($A$1,[2]characters!$1:$1,0)+1),MATCH(E$1,[2]characters!$1:$1,0)-MATCH($A$1,[2]characters!$1:$1,0)+1,FALSE)</f>
        <v>世界観</v>
      </c>
      <c r="F21" s="24" t="str">
        <f ca="1">VLOOKUP($A21,OFFSET([2]characters!$A$1,0,0,COUNTA([2]characters!$A:$A),MATCH(F$1,[2]characters!$1:$1,0)-MATCH($A$1,[2]characters!$1:$1,0)+1),MATCH(F$1,[2]characters!$1:$1,0)-MATCH($A$1,[2]characters!$1:$1,0)+1,FALSE)</f>
        <v>男性</v>
      </c>
      <c r="G21" s="24">
        <f ca="1">VLOOKUP($A21,OFFSET([2]characters!$A$1,0,0,COUNTA([2]characters!$A:$A),MATCH(G$1,[2]characters!$1:$1,0)-MATCH($A$1,[2]characters!$1:$1,0)+1),MATCH(G$1,[2]characters!$1:$1,0)-MATCH($A$1,[2]characters!$1:$1,0)+1,FALSE)</f>
        <v>2</v>
      </c>
      <c r="H21" s="24" t="str">
        <f ca="1">VLOOKUP($A21,OFFSET([2]characters!$A$1,0,0,COUNTA([2]characters!$A:$A),MATCH(H$1,[2]characters!$1:$1,0)-MATCH($A$1,[2]characters!$1:$1,0)+1),MATCH(H$1,[2]characters!$1:$1,0)-MATCH($A$1,[2]characters!$1:$1,0)+1,FALSE)</f>
        <v>Drop1S</v>
      </c>
      <c r="I21" s="24" t="str">
        <f ca="1">VLOOKUP($A21,OFFSET([2]characters!$A$1,0,0,COUNTA([2]characters!$A:$A),MATCH(I$1,[2]characters!$1:$1,0)-MATCH($A$1,[2]characters!$1:$1,0)+1),MATCH(I$1,[2]characters!$1:$1,0)-MATCH($A$1,[2]characters!$1:$1,0)+1,FALSE)</f>
        <v>yellow</v>
      </c>
      <c r="J21" s="24" t="str">
        <f ca="1">VLOOKUP($A21,OFFSET([2]characters!$A$1,0,0,COUNTA([2]characters!$A:$A),MATCH(J$1,[2]characters!$1:$1,0)-MATCH($A$1,[2]characters!$1:$1,0)+1),MATCH(J$1,[2]characters!$1:$1,0)-MATCH($A$1,[2]characters!$1:$1,0)+1,FALSE)</f>
        <v>none</v>
      </c>
      <c r="K21" s="3" t="str">
        <f ca="1">VLOOKUP(J21,[2]character_tribe_i18n!$A:$H,3,FALSE)</f>
        <v>種族なし</v>
      </c>
      <c r="L21" s="5" t="e">
        <f>VLOOKUP(#REF!,[2]character_tribe_i18n!$A:$H,4,FALSE)</f>
        <v>#REF!</v>
      </c>
      <c r="M21" s="5" t="e">
        <f>VLOOKUP(#REF!,[2]character_tribe_i18n!$A:$H,5,FALSE)</f>
        <v>#REF!</v>
      </c>
      <c r="N21" s="5" t="e">
        <f>VLOOKUP(#REF!,[2]character_tribe_i18n!$A:$H,6,FALSE)</f>
        <v>#REF!</v>
      </c>
      <c r="O21" s="5" t="e">
        <f>VLOOKUP(#REF!,[2]character_tribe_i18n!$A:$H,7,FALSE)</f>
        <v>#REF!</v>
      </c>
      <c r="P21" s="83" t="s">
        <v>170</v>
      </c>
      <c r="Q21" s="4">
        <v>40</v>
      </c>
      <c r="R21" s="25" t="str">
        <f ca="1">IF(Q21="NULL","",VLOOKUP($Q21,OFFSET([2]characters!$A$1,0,0,COUNTA([2]characters!$A:$A),MATCH(R$1,[2]characters!$1:$1,0)-MATCH($A$1,[2]characters!$1:$1,0)+1),MATCH(R$1,[2]characters!$1:$1,0)-MATCH($A$1,[2]characters!$1:$1,0)+1,FALSE))</f>
        <v>デジタルマジシャン マーロン</v>
      </c>
      <c r="S21" s="3">
        <f t="shared" ca="1" si="0"/>
        <v>39</v>
      </c>
      <c r="T21" s="25" t="str">
        <f ca="1">VLOOKUP($S21,OFFSET([2]characters!$A$1,0,0,COUNTA([2]characters!$A:$A),MATCH(T$1,[2]characters!$1:$1,0)-MATCH($A$1,[2]characters!$1:$1,0)+1),MATCH(T$1,[2]characters!$1:$1,0)-MATCH($A$1,[2]characters!$1:$1,0)+1,FALSE)</f>
        <v>マーロン</v>
      </c>
      <c r="U21" s="5">
        <f ca="1">IF(Q21="NULL","NULL",VLOOKUP(G21,ビット!$A$2:$B$7,2))</f>
        <v>10000</v>
      </c>
    </row>
    <row r="22" spans="1:21" ht="21" customHeight="1" x14ac:dyDescent="0.15">
      <c r="A22" s="83">
        <v>41</v>
      </c>
      <c r="B22" s="24" t="str">
        <f ca="1">VLOOKUP($A22,OFFSET([2]characters!$A$1,0,0,COUNTA([2]characters!$A:$A),MATCH(B$1,[2]characters!$1:$1,0)-MATCH($A$1,[2]characters!$1:$1,0)+1),MATCH(B$1,[2]characters!$1:$1,0)-MATCH($A$1,[2]characters!$1:$1,0)+1,FALSE)</f>
        <v>ヒュウガ</v>
      </c>
      <c r="C22" s="24" t="str">
        <f ca="1">VLOOKUP($A22,OFFSET([2]characters!$A$1,0,0,COUNTA([2]characters!$A:$A),MATCH(C$1,[2]characters!$1:$1,0)-MATCH($A$1,[2]characters!$1:$1,0)+1),MATCH(C$1,[2]characters!$1:$1,0)-MATCH($A$1,[2]characters!$1:$1,0)+1,FALSE)</f>
        <v>ノーマルクエスト</v>
      </c>
      <c r="D22" s="24" t="str">
        <f ca="1">VLOOKUP($A22,OFFSET([2]characters!$A$1,0,0,COUNTA([2]characters!$A:$A),MATCH(D$1,[2]characters!$1:$1,0)-MATCH($A$1,[2]characters!$1:$1,0)+1),MATCH(D$1,[2]characters!$1:$1,0)-MATCH($A$1,[2]characters!$1:$1,0)+1,FALSE)</f>
        <v>アバター</v>
      </c>
      <c r="E22" s="24" t="str">
        <f ca="1">VLOOKUP($A22,OFFSET([2]characters!$A$1,0,0,COUNTA([2]characters!$A:$A),MATCH(E$1,[2]characters!$1:$1,0)-MATCH($A$1,[2]characters!$1:$1,0)+1),MATCH(E$1,[2]characters!$1:$1,0)-MATCH($A$1,[2]characters!$1:$1,0)+1,FALSE)</f>
        <v>世界観</v>
      </c>
      <c r="F22" s="24" t="str">
        <f ca="1">VLOOKUP($A22,OFFSET([2]characters!$A$1,0,0,COUNTA([2]characters!$A:$A),MATCH(F$1,[2]characters!$1:$1,0)-MATCH($A$1,[2]characters!$1:$1,0)+1),MATCH(F$1,[2]characters!$1:$1,0)-MATCH($A$1,[2]characters!$1:$1,0)+1,FALSE)</f>
        <v>不明</v>
      </c>
      <c r="G22" s="24">
        <f ca="1">VLOOKUP($A22,OFFSET([2]characters!$A$1,0,0,COUNTA([2]characters!$A:$A),MATCH(G$1,[2]characters!$1:$1,0)-MATCH($A$1,[2]characters!$1:$1,0)+1),MATCH(G$1,[2]characters!$1:$1,0)-MATCH($A$1,[2]characters!$1:$1,0)+1,FALSE)</f>
        <v>2</v>
      </c>
      <c r="H22" s="24" t="str">
        <f ca="1">VLOOKUP($A22,OFFSET([2]characters!$A$1,0,0,COUNTA([2]characters!$A:$A),MATCH(H$1,[2]characters!$1:$1,0)-MATCH($A$1,[2]characters!$1:$1,0)+1),MATCH(H$1,[2]characters!$1:$1,0)-MATCH($A$1,[2]characters!$1:$1,0)+1,FALSE)</f>
        <v>Drop1N</v>
      </c>
      <c r="I22" s="24" t="str">
        <f ca="1">VLOOKUP($A22,OFFSET([2]characters!$A$1,0,0,COUNTA([2]characters!$A:$A),MATCH(I$1,[2]characters!$1:$1,0)-MATCH($A$1,[2]characters!$1:$1,0)+1),MATCH(I$1,[2]characters!$1:$1,0)-MATCH($A$1,[2]characters!$1:$1,0)+1,FALSE)</f>
        <v>red</v>
      </c>
      <c r="J22" s="24" t="str">
        <f ca="1">VLOOKUP($A22,OFFSET([2]characters!$A$1,0,0,COUNTA([2]characters!$A:$A),MATCH(J$1,[2]characters!$1:$1,0)-MATCH($A$1,[2]characters!$1:$1,0)+1),MATCH(J$1,[2]characters!$1:$1,0)-MATCH($A$1,[2]characters!$1:$1,0)+1,FALSE)</f>
        <v>none</v>
      </c>
      <c r="K22" s="3" t="str">
        <f ca="1">VLOOKUP(J22,[2]character_tribe_i18n!$A:$H,3,FALSE)</f>
        <v>種族なし</v>
      </c>
      <c r="L22" s="5" t="e">
        <f>VLOOKUP(#REF!,[2]character_tribe_i18n!$A:$H,4,FALSE)</f>
        <v>#REF!</v>
      </c>
      <c r="M22" s="5" t="e">
        <f>VLOOKUP(#REF!,[2]character_tribe_i18n!$A:$H,5,FALSE)</f>
        <v>#REF!</v>
      </c>
      <c r="N22" s="5" t="e">
        <f>VLOOKUP(#REF!,[2]character_tribe_i18n!$A:$H,6,FALSE)</f>
        <v>#REF!</v>
      </c>
      <c r="O22" s="5" t="e">
        <f>VLOOKUP(#REF!,[2]character_tribe_i18n!$A:$H,7,FALSE)</f>
        <v>#REF!</v>
      </c>
      <c r="P22" s="83" t="s">
        <v>170</v>
      </c>
      <c r="Q22" s="4">
        <v>42</v>
      </c>
      <c r="R22" s="25" t="str">
        <f ca="1">IF(Q22="NULL","",VLOOKUP($Q22,OFFSET([2]characters!$A$1,0,0,COUNTA([2]characters!$A:$A),MATCH(R$1,[2]characters!$1:$1,0)-MATCH($A$1,[2]characters!$1:$1,0)+1),MATCH(R$1,[2]characters!$1:$1,0)-MATCH($A$1,[2]characters!$1:$1,0)+1,FALSE))</f>
        <v>燃えゆる吐息 ヒュウガ</v>
      </c>
      <c r="S22" s="3">
        <f t="shared" ca="1" si="0"/>
        <v>41</v>
      </c>
      <c r="T22" s="25" t="str">
        <f ca="1">VLOOKUP($S22,OFFSET([2]characters!$A$1,0,0,COUNTA([2]characters!$A:$A),MATCH(T$1,[2]characters!$1:$1,0)-MATCH($A$1,[2]characters!$1:$1,0)+1),MATCH(T$1,[2]characters!$1:$1,0)-MATCH($A$1,[2]characters!$1:$1,0)+1,FALSE)</f>
        <v>ヒュウガ</v>
      </c>
      <c r="U22" s="5">
        <f ca="1">IF(Q22="NULL","NULL",VLOOKUP(G22,ビット!$A$2:$B$7,2))</f>
        <v>10000</v>
      </c>
    </row>
    <row r="23" spans="1:21" ht="21" customHeight="1" x14ac:dyDescent="0.15">
      <c r="A23" s="83">
        <v>42</v>
      </c>
      <c r="B23" s="24" t="str">
        <f ca="1">VLOOKUP($A23,OFFSET([2]characters!$A$1,0,0,COUNTA([2]characters!$A:$A),MATCH(B$1,[2]characters!$1:$1,0)-MATCH($A$1,[2]characters!$1:$1,0)+1),MATCH(B$1,[2]characters!$1:$1,0)-MATCH($A$1,[2]characters!$1:$1,0)+1,FALSE)</f>
        <v>燃えゆる吐息 ヒュウガ</v>
      </c>
      <c r="C23" s="24" t="str">
        <f ca="1">VLOOKUP($A23,OFFSET([2]characters!$A$1,0,0,COUNTA([2]characters!$A:$A),MATCH(C$1,[2]characters!$1:$1,0)-MATCH($A$1,[2]characters!$1:$1,0)+1),MATCH(C$1,[2]characters!$1:$1,0)-MATCH($A$1,[2]characters!$1:$1,0)+1,FALSE)</f>
        <v>ノーマルクエスト</v>
      </c>
      <c r="D23" s="24" t="str">
        <f ca="1">VLOOKUP($A23,OFFSET([2]characters!$A$1,0,0,COUNTA([2]characters!$A:$A),MATCH(D$1,[2]characters!$1:$1,0)-MATCH($A$1,[2]characters!$1:$1,0)+1),MATCH(D$1,[2]characters!$1:$1,0)-MATCH($A$1,[2]characters!$1:$1,0)+1,FALSE)</f>
        <v>アバター</v>
      </c>
      <c r="E23" s="24" t="str">
        <f ca="1">VLOOKUP($A23,OFFSET([2]characters!$A$1,0,0,COUNTA([2]characters!$A:$A),MATCH(E$1,[2]characters!$1:$1,0)-MATCH($A$1,[2]characters!$1:$1,0)+1),MATCH(E$1,[2]characters!$1:$1,0)-MATCH($A$1,[2]characters!$1:$1,0)+1,FALSE)</f>
        <v>世界観</v>
      </c>
      <c r="F23" s="24" t="str">
        <f ca="1">VLOOKUP($A23,OFFSET([2]characters!$A$1,0,0,COUNTA([2]characters!$A:$A),MATCH(F$1,[2]characters!$1:$1,0)-MATCH($A$1,[2]characters!$1:$1,0)+1),MATCH(F$1,[2]characters!$1:$1,0)-MATCH($A$1,[2]characters!$1:$1,0)+1,FALSE)</f>
        <v>不明</v>
      </c>
      <c r="G23" s="24">
        <f ca="1">VLOOKUP($A23,OFFSET([2]characters!$A$1,0,0,COUNTA([2]characters!$A:$A),MATCH(G$1,[2]characters!$1:$1,0)-MATCH($A$1,[2]characters!$1:$1,0)+1),MATCH(G$1,[2]characters!$1:$1,0)-MATCH($A$1,[2]characters!$1:$1,0)+1,FALSE)</f>
        <v>3</v>
      </c>
      <c r="H23" s="24" t="str">
        <f ca="1">VLOOKUP($A23,OFFSET([2]characters!$A$1,0,0,COUNTA([2]characters!$A:$A),MATCH(H$1,[2]characters!$1:$1,0)-MATCH($A$1,[2]characters!$1:$1,0)+1),MATCH(H$1,[2]characters!$1:$1,0)-MATCH($A$1,[2]characters!$1:$1,0)+1,FALSE)</f>
        <v>Drop1N</v>
      </c>
      <c r="I23" s="24" t="str">
        <f ca="1">VLOOKUP($A23,OFFSET([2]characters!$A$1,0,0,COUNTA([2]characters!$A:$A),MATCH(I$1,[2]characters!$1:$1,0)-MATCH($A$1,[2]characters!$1:$1,0)+1),MATCH(I$1,[2]characters!$1:$1,0)-MATCH($A$1,[2]characters!$1:$1,0)+1,FALSE)</f>
        <v>red</v>
      </c>
      <c r="J23" s="24" t="str">
        <f ca="1">VLOOKUP($A23,OFFSET([2]characters!$A$1,0,0,COUNTA([2]characters!$A:$A),MATCH(J$1,[2]characters!$1:$1,0)-MATCH($A$1,[2]characters!$1:$1,0)+1),MATCH(J$1,[2]characters!$1:$1,0)-MATCH($A$1,[2]characters!$1:$1,0)+1,FALSE)</f>
        <v>none</v>
      </c>
      <c r="K23" s="3" t="str">
        <f ca="1">VLOOKUP(J23,[2]character_tribe_i18n!$A:$H,3,FALSE)</f>
        <v>種族なし</v>
      </c>
      <c r="L23" s="5" t="e">
        <f>VLOOKUP(#REF!,[2]character_tribe_i18n!$A:$H,4,FALSE)</f>
        <v>#REF!</v>
      </c>
      <c r="M23" s="5" t="e">
        <f>VLOOKUP(#REF!,[2]character_tribe_i18n!$A:$H,5,FALSE)</f>
        <v>#REF!</v>
      </c>
      <c r="N23" s="5" t="e">
        <f>VLOOKUP(#REF!,[2]character_tribe_i18n!$A:$H,6,FALSE)</f>
        <v>#REF!</v>
      </c>
      <c r="O23" s="5" t="e">
        <f>VLOOKUP(#REF!,[2]character_tribe_i18n!$A:$H,7,FALSE)</f>
        <v>#REF!</v>
      </c>
      <c r="P23" s="83" t="s">
        <v>170</v>
      </c>
      <c r="Q23" s="4">
        <v>510</v>
      </c>
      <c r="R23" s="25" t="str">
        <f ca="1">IF(Q23="NULL","",VLOOKUP($Q23,OFFSET([2]characters!$A$1,0,0,COUNTA([2]characters!$A:$A),MATCH(R$1,[2]characters!$1:$1,0)-MATCH($A$1,[2]characters!$1:$1,0)+1),MATCH(R$1,[2]characters!$1:$1,0)-MATCH($A$1,[2]characters!$1:$1,0)+1,FALSE))</f>
        <v>燃えさかる豪息 ヒュウガ</v>
      </c>
      <c r="S23" s="3">
        <f t="shared" ca="1" si="0"/>
        <v>41</v>
      </c>
      <c r="T23" s="25" t="str">
        <f ca="1">VLOOKUP($S23,OFFSET([2]characters!$A$1,0,0,COUNTA([2]characters!$A:$A),MATCH(T$1,[2]characters!$1:$1,0)-MATCH($A$1,[2]characters!$1:$1,0)+1),MATCH(T$1,[2]characters!$1:$1,0)-MATCH($A$1,[2]characters!$1:$1,0)+1,FALSE)</f>
        <v>ヒュウガ</v>
      </c>
      <c r="U23" s="5">
        <f ca="1">IF(Q23="NULL","NULL",VLOOKUP(G23,ビット!$A$2:$B$7,2))</f>
        <v>20000</v>
      </c>
    </row>
    <row r="24" spans="1:21" ht="21" customHeight="1" x14ac:dyDescent="0.15">
      <c r="A24" s="83">
        <v>43</v>
      </c>
      <c r="B24" s="24" t="str">
        <f ca="1">VLOOKUP($A24,OFFSET([2]characters!$A$1,0,0,COUNTA([2]characters!$A:$A),MATCH(B$1,[2]characters!$1:$1,0)-MATCH($A$1,[2]characters!$1:$1,0)+1),MATCH(B$1,[2]characters!$1:$1,0)-MATCH($A$1,[2]characters!$1:$1,0)+1,FALSE)</f>
        <v>ムゥ</v>
      </c>
      <c r="C24" s="24" t="str">
        <f ca="1">VLOOKUP($A24,OFFSET([2]characters!$A$1,0,0,COUNTA([2]characters!$A:$A),MATCH(C$1,[2]characters!$1:$1,0)-MATCH($A$1,[2]characters!$1:$1,0)+1),MATCH(C$1,[2]characters!$1:$1,0)-MATCH($A$1,[2]characters!$1:$1,0)+1,FALSE)</f>
        <v>ノーマルクエスト</v>
      </c>
      <c r="D24" s="24" t="str">
        <f ca="1">VLOOKUP($A24,OFFSET([2]characters!$A$1,0,0,COUNTA([2]characters!$A:$A),MATCH(D$1,[2]characters!$1:$1,0)-MATCH($A$1,[2]characters!$1:$1,0)+1),MATCH(D$1,[2]characters!$1:$1,0)-MATCH($A$1,[2]characters!$1:$1,0)+1,FALSE)</f>
        <v>アバター</v>
      </c>
      <c r="E24" s="24" t="str">
        <f ca="1">VLOOKUP($A24,OFFSET([2]characters!$A$1,0,0,COUNTA([2]characters!$A:$A),MATCH(E$1,[2]characters!$1:$1,0)-MATCH($A$1,[2]characters!$1:$1,0)+1),MATCH(E$1,[2]characters!$1:$1,0)-MATCH($A$1,[2]characters!$1:$1,0)+1,FALSE)</f>
        <v>世界観</v>
      </c>
      <c r="F24" s="24" t="str">
        <f ca="1">VLOOKUP($A24,OFFSET([2]characters!$A$1,0,0,COUNTA([2]characters!$A:$A),MATCH(F$1,[2]characters!$1:$1,0)-MATCH($A$1,[2]characters!$1:$1,0)+1),MATCH(F$1,[2]characters!$1:$1,0)-MATCH($A$1,[2]characters!$1:$1,0)+1,FALSE)</f>
        <v>女性</v>
      </c>
      <c r="G24" s="24">
        <f ca="1">VLOOKUP($A24,OFFSET([2]characters!$A$1,0,0,COUNTA([2]characters!$A:$A),MATCH(G$1,[2]characters!$1:$1,0)-MATCH($A$1,[2]characters!$1:$1,0)+1),MATCH(G$1,[2]characters!$1:$1,0)-MATCH($A$1,[2]characters!$1:$1,0)+1,FALSE)</f>
        <v>2</v>
      </c>
      <c r="H24" s="24" t="str">
        <f ca="1">VLOOKUP($A24,OFFSET([2]characters!$A$1,0,0,COUNTA([2]characters!$A:$A),MATCH(H$1,[2]characters!$1:$1,0)-MATCH($A$1,[2]characters!$1:$1,0)+1),MATCH(H$1,[2]characters!$1:$1,0)-MATCH($A$1,[2]characters!$1:$1,0)+1,FALSE)</f>
        <v>Drop1N</v>
      </c>
      <c r="I24" s="24" t="str">
        <f ca="1">VLOOKUP($A24,OFFSET([2]characters!$A$1,0,0,COUNTA([2]characters!$A:$A),MATCH(I$1,[2]characters!$1:$1,0)-MATCH($A$1,[2]characters!$1:$1,0)+1),MATCH(I$1,[2]characters!$1:$1,0)-MATCH($A$1,[2]characters!$1:$1,0)+1,FALSE)</f>
        <v>green</v>
      </c>
      <c r="J24" s="24" t="str">
        <f ca="1">VLOOKUP($A24,OFFSET([2]characters!$A$1,0,0,COUNTA([2]characters!$A:$A),MATCH(J$1,[2]characters!$1:$1,0)-MATCH($A$1,[2]characters!$1:$1,0)+1),MATCH(J$1,[2]characters!$1:$1,0)-MATCH($A$1,[2]characters!$1:$1,0)+1,FALSE)</f>
        <v>human</v>
      </c>
      <c r="K24" s="3" t="str">
        <f ca="1">VLOOKUP(J24,[2]character_tribe_i18n!$A:$H,3,FALSE)</f>
        <v>ヒューマン</v>
      </c>
      <c r="L24" s="5" t="e">
        <f>VLOOKUP(#REF!,[2]character_tribe_i18n!$A:$H,4,FALSE)</f>
        <v>#REF!</v>
      </c>
      <c r="M24" s="5" t="e">
        <f>VLOOKUP(#REF!,[2]character_tribe_i18n!$A:$H,5,FALSE)</f>
        <v>#REF!</v>
      </c>
      <c r="N24" s="5" t="e">
        <f>VLOOKUP(#REF!,[2]character_tribe_i18n!$A:$H,6,FALSE)</f>
        <v>#REF!</v>
      </c>
      <c r="O24" s="5" t="e">
        <f>VLOOKUP(#REF!,[2]character_tribe_i18n!$A:$H,7,FALSE)</f>
        <v>#REF!</v>
      </c>
      <c r="P24" s="83" t="s">
        <v>170</v>
      </c>
      <c r="Q24" s="4">
        <v>44</v>
      </c>
      <c r="R24" s="25" t="str">
        <f ca="1">IF(Q24="NULL","",VLOOKUP($Q24,OFFSET([2]characters!$A$1,0,0,COUNTA([2]characters!$A:$A),MATCH(R$1,[2]characters!$1:$1,0)-MATCH($A$1,[2]characters!$1:$1,0)+1),MATCH(R$1,[2]characters!$1:$1,0)-MATCH($A$1,[2]characters!$1:$1,0)+1,FALSE))</f>
        <v>遠い星からやってきたムゥ</v>
      </c>
      <c r="S24" s="3">
        <f t="shared" ca="1" si="0"/>
        <v>43</v>
      </c>
      <c r="T24" s="25" t="str">
        <f ca="1">VLOOKUP($S24,OFFSET([2]characters!$A$1,0,0,COUNTA([2]characters!$A:$A),MATCH(T$1,[2]characters!$1:$1,0)-MATCH($A$1,[2]characters!$1:$1,0)+1),MATCH(T$1,[2]characters!$1:$1,0)-MATCH($A$1,[2]characters!$1:$1,0)+1,FALSE)</f>
        <v>ムゥ</v>
      </c>
      <c r="U24" s="5">
        <f ca="1">IF(Q24="NULL","NULL",VLOOKUP(G24,ビット!$A$2:$B$7,2))</f>
        <v>10000</v>
      </c>
    </row>
    <row r="25" spans="1:21" ht="21" customHeight="1" x14ac:dyDescent="0.15">
      <c r="A25" s="83">
        <v>45</v>
      </c>
      <c r="B25" s="24" t="str">
        <f ca="1">VLOOKUP($A25,OFFSET([2]characters!$A$1,0,0,COUNTA([2]characters!$A:$A),MATCH(B$1,[2]characters!$1:$1,0)-MATCH($A$1,[2]characters!$1:$1,0)+1),MATCH(B$1,[2]characters!$1:$1,0)-MATCH($A$1,[2]characters!$1:$1,0)+1,FALSE)</f>
        <v>ショウイン</v>
      </c>
      <c r="C25" s="24" t="str">
        <f ca="1">VLOOKUP($A25,OFFSET([2]characters!$A$1,0,0,COUNTA([2]characters!$A:$A),MATCH(C$1,[2]characters!$1:$1,0)-MATCH($A$1,[2]characters!$1:$1,0)+1),MATCH(C$1,[2]characters!$1:$1,0)-MATCH($A$1,[2]characters!$1:$1,0)+1,FALSE)</f>
        <v>ノーマルクエスト</v>
      </c>
      <c r="D25" s="24" t="str">
        <f ca="1">VLOOKUP($A25,OFFSET([2]characters!$A$1,0,0,COUNTA([2]characters!$A:$A),MATCH(D$1,[2]characters!$1:$1,0)-MATCH($A$1,[2]characters!$1:$1,0)+1),MATCH(D$1,[2]characters!$1:$1,0)-MATCH($A$1,[2]characters!$1:$1,0)+1,FALSE)</f>
        <v>アバター</v>
      </c>
      <c r="E25" s="24" t="str">
        <f ca="1">VLOOKUP($A25,OFFSET([2]characters!$A$1,0,0,COUNTA([2]characters!$A:$A),MATCH(E$1,[2]characters!$1:$1,0)-MATCH($A$1,[2]characters!$1:$1,0)+1),MATCH(E$1,[2]characters!$1:$1,0)-MATCH($A$1,[2]characters!$1:$1,0)+1,FALSE)</f>
        <v>世界観</v>
      </c>
      <c r="F25" s="24" t="str">
        <f ca="1">VLOOKUP($A25,OFFSET([2]characters!$A$1,0,0,COUNTA([2]characters!$A:$A),MATCH(F$1,[2]characters!$1:$1,0)-MATCH($A$1,[2]characters!$1:$1,0)+1),MATCH(F$1,[2]characters!$1:$1,0)-MATCH($A$1,[2]characters!$1:$1,0)+1,FALSE)</f>
        <v>不明</v>
      </c>
      <c r="G25" s="24">
        <f ca="1">VLOOKUP($A25,OFFSET([2]characters!$A$1,0,0,COUNTA([2]characters!$A:$A),MATCH(G$1,[2]characters!$1:$1,0)-MATCH($A$1,[2]characters!$1:$1,0)+1),MATCH(G$1,[2]characters!$1:$1,0)-MATCH($A$1,[2]characters!$1:$1,0)+1,FALSE)</f>
        <v>2</v>
      </c>
      <c r="H25" s="24" t="str">
        <f ca="1">VLOOKUP($A25,OFFSET([2]characters!$A$1,0,0,COUNTA([2]characters!$A:$A),MATCH(H$1,[2]characters!$1:$1,0)-MATCH($A$1,[2]characters!$1:$1,0)+1),MATCH(H$1,[2]characters!$1:$1,0)-MATCH($A$1,[2]characters!$1:$1,0)+1,FALSE)</f>
        <v>Drop1N</v>
      </c>
      <c r="I25" s="24" t="str">
        <f ca="1">VLOOKUP($A25,OFFSET([2]characters!$A$1,0,0,COUNTA([2]characters!$A:$A),MATCH(I$1,[2]characters!$1:$1,0)-MATCH($A$1,[2]characters!$1:$1,0)+1),MATCH(I$1,[2]characters!$1:$1,0)-MATCH($A$1,[2]characters!$1:$1,0)+1,FALSE)</f>
        <v>blue</v>
      </c>
      <c r="J25" s="24" t="str">
        <f ca="1">VLOOKUP($A25,OFFSET([2]characters!$A$1,0,0,COUNTA([2]characters!$A:$A),MATCH(J$1,[2]characters!$1:$1,0)-MATCH($A$1,[2]characters!$1:$1,0)+1),MATCH(J$1,[2]characters!$1:$1,0)-MATCH($A$1,[2]characters!$1:$1,0)+1,FALSE)</f>
        <v>none</v>
      </c>
      <c r="K25" s="3" t="str">
        <f ca="1">VLOOKUP(J25,[2]character_tribe_i18n!$A:$H,3,FALSE)</f>
        <v>種族なし</v>
      </c>
      <c r="L25" s="5" t="e">
        <f>VLOOKUP(#REF!,[2]character_tribe_i18n!$A:$H,4,FALSE)</f>
        <v>#REF!</v>
      </c>
      <c r="M25" s="5" t="e">
        <f>VLOOKUP(#REF!,[2]character_tribe_i18n!$A:$H,5,FALSE)</f>
        <v>#REF!</v>
      </c>
      <c r="N25" s="5" t="e">
        <f>VLOOKUP(#REF!,[2]character_tribe_i18n!$A:$H,6,FALSE)</f>
        <v>#REF!</v>
      </c>
      <c r="O25" s="5" t="e">
        <f>VLOOKUP(#REF!,[2]character_tribe_i18n!$A:$H,7,FALSE)</f>
        <v>#REF!</v>
      </c>
      <c r="P25" s="83" t="s">
        <v>170</v>
      </c>
      <c r="Q25" s="4">
        <v>46</v>
      </c>
      <c r="R25" s="25" t="str">
        <f ca="1">IF(Q25="NULL","",VLOOKUP($Q25,OFFSET([2]characters!$A$1,0,0,COUNTA([2]characters!$A:$A),MATCH(R$1,[2]characters!$1:$1,0)-MATCH($A$1,[2]characters!$1:$1,0)+1),MATCH(R$1,[2]characters!$1:$1,0)-MATCH($A$1,[2]characters!$1:$1,0)+1,FALSE))</f>
        <v>微笑みの筆跡 ショウイン</v>
      </c>
      <c r="S25" s="3">
        <f t="shared" ca="1" si="0"/>
        <v>45</v>
      </c>
      <c r="T25" s="25" t="str">
        <f ca="1">VLOOKUP($S25,OFFSET([2]characters!$A$1,0,0,COUNTA([2]characters!$A:$A),MATCH(T$1,[2]characters!$1:$1,0)-MATCH($A$1,[2]characters!$1:$1,0)+1),MATCH(T$1,[2]characters!$1:$1,0)-MATCH($A$1,[2]characters!$1:$1,0)+1,FALSE)</f>
        <v>ショウイン</v>
      </c>
      <c r="U25" s="5">
        <f ca="1">IF(Q25="NULL","NULL",VLOOKUP(G25,ビット!$A$2:$B$7,2))</f>
        <v>10000</v>
      </c>
    </row>
    <row r="26" spans="1:21" ht="21" customHeight="1" x14ac:dyDescent="0.15">
      <c r="A26" s="83">
        <v>47</v>
      </c>
      <c r="B26" s="24" t="str">
        <f ca="1">VLOOKUP($A26,OFFSET([2]characters!$A$1,0,0,COUNTA([2]characters!$A:$A),MATCH(B$1,[2]characters!$1:$1,0)-MATCH($A$1,[2]characters!$1:$1,0)+1),MATCH(B$1,[2]characters!$1:$1,0)-MATCH($A$1,[2]characters!$1:$1,0)+1,FALSE)</f>
        <v>ヒロ</v>
      </c>
      <c r="C26" s="24" t="str">
        <f ca="1">VLOOKUP($A26,OFFSET([2]characters!$A$1,0,0,COUNTA([2]characters!$A:$A),MATCH(C$1,[2]characters!$1:$1,0)-MATCH($A$1,[2]characters!$1:$1,0)+1),MATCH(C$1,[2]characters!$1:$1,0)-MATCH($A$1,[2]characters!$1:$1,0)+1,FALSE)</f>
        <v>ノーマルクエスト</v>
      </c>
      <c r="D26" s="24" t="str">
        <f ca="1">VLOOKUP($A26,OFFSET([2]characters!$A$1,0,0,COUNTA([2]characters!$A:$A),MATCH(D$1,[2]characters!$1:$1,0)-MATCH($A$1,[2]characters!$1:$1,0)+1),MATCH(D$1,[2]characters!$1:$1,0)-MATCH($A$1,[2]characters!$1:$1,0)+1,FALSE)</f>
        <v>アバター</v>
      </c>
      <c r="E26" s="24" t="str">
        <f ca="1">VLOOKUP($A26,OFFSET([2]characters!$A$1,0,0,COUNTA([2]characters!$A:$A),MATCH(E$1,[2]characters!$1:$1,0)-MATCH($A$1,[2]characters!$1:$1,0)+1),MATCH(E$1,[2]characters!$1:$1,0)-MATCH($A$1,[2]characters!$1:$1,0)+1,FALSE)</f>
        <v>世界観</v>
      </c>
      <c r="F26" s="24" t="str">
        <f ca="1">VLOOKUP($A26,OFFSET([2]characters!$A$1,0,0,COUNTA([2]characters!$A:$A),MATCH(F$1,[2]characters!$1:$1,0)-MATCH($A$1,[2]characters!$1:$1,0)+1),MATCH(F$1,[2]characters!$1:$1,0)-MATCH($A$1,[2]characters!$1:$1,0)+1,FALSE)</f>
        <v>不明</v>
      </c>
      <c r="G26" s="24">
        <f ca="1">VLOOKUP($A26,OFFSET([2]characters!$A$1,0,0,COUNTA([2]characters!$A:$A),MATCH(G$1,[2]characters!$1:$1,0)-MATCH($A$1,[2]characters!$1:$1,0)+1),MATCH(G$1,[2]characters!$1:$1,0)-MATCH($A$1,[2]characters!$1:$1,0)+1,FALSE)</f>
        <v>2</v>
      </c>
      <c r="H26" s="24" t="str">
        <f ca="1">VLOOKUP($A26,OFFSET([2]characters!$A$1,0,0,COUNTA([2]characters!$A:$A),MATCH(H$1,[2]characters!$1:$1,0)-MATCH($A$1,[2]characters!$1:$1,0)+1),MATCH(H$1,[2]characters!$1:$1,0)-MATCH($A$1,[2]characters!$1:$1,0)+1,FALSE)</f>
        <v>Drop1N</v>
      </c>
      <c r="I26" s="24" t="str">
        <f ca="1">VLOOKUP($A26,OFFSET([2]characters!$A$1,0,0,COUNTA([2]characters!$A:$A),MATCH(I$1,[2]characters!$1:$1,0)-MATCH($A$1,[2]characters!$1:$1,0)+1),MATCH(I$1,[2]characters!$1:$1,0)-MATCH($A$1,[2]characters!$1:$1,0)+1,FALSE)</f>
        <v>yellow</v>
      </c>
      <c r="J26" s="24" t="str">
        <f ca="1">VLOOKUP($A26,OFFSET([2]characters!$A$1,0,0,COUNTA([2]characters!$A:$A),MATCH(J$1,[2]characters!$1:$1,0)-MATCH($A$1,[2]characters!$1:$1,0)+1),MATCH(J$1,[2]characters!$1:$1,0)-MATCH($A$1,[2]characters!$1:$1,0)+1,FALSE)</f>
        <v>none</v>
      </c>
      <c r="K26" s="3" t="str">
        <f ca="1">VLOOKUP(J26,[2]character_tribe_i18n!$A:$H,3,FALSE)</f>
        <v>種族なし</v>
      </c>
      <c r="L26" s="5" t="e">
        <f>VLOOKUP(#REF!,[2]character_tribe_i18n!$A:$H,4,FALSE)</f>
        <v>#REF!</v>
      </c>
      <c r="M26" s="5" t="e">
        <f>VLOOKUP(#REF!,[2]character_tribe_i18n!$A:$H,5,FALSE)</f>
        <v>#REF!</v>
      </c>
      <c r="N26" s="5" t="e">
        <f>VLOOKUP(#REF!,[2]character_tribe_i18n!$A:$H,6,FALSE)</f>
        <v>#REF!</v>
      </c>
      <c r="O26" s="5" t="e">
        <f>VLOOKUP(#REF!,[2]character_tribe_i18n!$A:$H,7,FALSE)</f>
        <v>#REF!</v>
      </c>
      <c r="P26" s="83" t="s">
        <v>170</v>
      </c>
      <c r="Q26" s="4">
        <v>48</v>
      </c>
      <c r="R26" s="25" t="str">
        <f ca="1">IF(Q26="NULL","",VLOOKUP($Q26,OFFSET([2]characters!$A$1,0,0,COUNTA([2]characters!$A:$A),MATCH(R$1,[2]characters!$1:$1,0)-MATCH($A$1,[2]characters!$1:$1,0)+1),MATCH(R$1,[2]characters!$1:$1,0)-MATCH($A$1,[2]characters!$1:$1,0)+1,FALSE))</f>
        <v>サンダーステップのヒロ</v>
      </c>
      <c r="S26" s="3">
        <f t="shared" ca="1" si="0"/>
        <v>47</v>
      </c>
      <c r="T26" s="25" t="str">
        <f ca="1">VLOOKUP($S26,OFFSET([2]characters!$A$1,0,0,COUNTA([2]characters!$A:$A),MATCH(T$1,[2]characters!$1:$1,0)-MATCH($A$1,[2]characters!$1:$1,0)+1),MATCH(T$1,[2]characters!$1:$1,0)-MATCH($A$1,[2]characters!$1:$1,0)+1,FALSE)</f>
        <v>ヒロ</v>
      </c>
      <c r="U26" s="5">
        <f ca="1">IF(Q26="NULL","NULL",VLOOKUP(G26,ビット!$A$2:$B$7,2))</f>
        <v>10000</v>
      </c>
    </row>
    <row r="27" spans="1:21" ht="21" customHeight="1" x14ac:dyDescent="0.15">
      <c r="A27" s="83">
        <v>49</v>
      </c>
      <c r="B27" s="24" t="str">
        <f ca="1">VLOOKUP($A27,OFFSET([2]characters!$A$1,0,0,COUNTA([2]characters!$A:$A),MATCH(B$1,[2]characters!$1:$1,0)-MATCH($A$1,[2]characters!$1:$1,0)+1),MATCH(B$1,[2]characters!$1:$1,0)-MATCH($A$1,[2]characters!$1:$1,0)+1,FALSE)</f>
        <v>ヨシタカ</v>
      </c>
      <c r="C27" s="24" t="str">
        <f ca="1">VLOOKUP($A27,OFFSET([2]characters!$A$1,0,0,COUNTA([2]characters!$A:$A),MATCH(C$1,[2]characters!$1:$1,0)-MATCH($A$1,[2]characters!$1:$1,0)+1),MATCH(C$1,[2]characters!$1:$1,0)-MATCH($A$1,[2]characters!$1:$1,0)+1,FALSE)</f>
        <v>ノーマルクエスト</v>
      </c>
      <c r="D27" s="24" t="str">
        <f ca="1">VLOOKUP($A27,OFFSET([2]characters!$A$1,0,0,COUNTA([2]characters!$A:$A),MATCH(D$1,[2]characters!$1:$1,0)-MATCH($A$1,[2]characters!$1:$1,0)+1),MATCH(D$1,[2]characters!$1:$1,0)-MATCH($A$1,[2]characters!$1:$1,0)+1,FALSE)</f>
        <v>アバター</v>
      </c>
      <c r="E27" s="24" t="str">
        <f ca="1">VLOOKUP($A27,OFFSET([2]characters!$A$1,0,0,COUNTA([2]characters!$A:$A),MATCH(E$1,[2]characters!$1:$1,0)-MATCH($A$1,[2]characters!$1:$1,0)+1),MATCH(E$1,[2]characters!$1:$1,0)-MATCH($A$1,[2]characters!$1:$1,0)+1,FALSE)</f>
        <v>世界観</v>
      </c>
      <c r="F27" s="24" t="str">
        <f ca="1">VLOOKUP($A27,OFFSET([2]characters!$A$1,0,0,COUNTA([2]characters!$A:$A),MATCH(F$1,[2]characters!$1:$1,0)-MATCH($A$1,[2]characters!$1:$1,0)+1),MATCH(F$1,[2]characters!$1:$1,0)-MATCH($A$1,[2]characters!$1:$1,0)+1,FALSE)</f>
        <v>男性</v>
      </c>
      <c r="G27" s="24">
        <f ca="1">VLOOKUP($A27,OFFSET([2]characters!$A$1,0,0,COUNTA([2]characters!$A:$A),MATCH(G$1,[2]characters!$1:$1,0)-MATCH($A$1,[2]characters!$1:$1,0)+1),MATCH(G$1,[2]characters!$1:$1,0)-MATCH($A$1,[2]characters!$1:$1,0)+1,FALSE)</f>
        <v>2</v>
      </c>
      <c r="H27" s="24" t="str">
        <f ca="1">VLOOKUP($A27,OFFSET([2]characters!$A$1,0,0,COUNTA([2]characters!$A:$A),MATCH(H$1,[2]characters!$1:$1,0)-MATCH($A$1,[2]characters!$1:$1,0)+1),MATCH(H$1,[2]characters!$1:$1,0)-MATCH($A$1,[2]characters!$1:$1,0)+1,FALSE)</f>
        <v>Drop1N</v>
      </c>
      <c r="I27" s="24" t="str">
        <f ca="1">VLOOKUP($A27,OFFSET([2]characters!$A$1,0,0,COUNTA([2]characters!$A:$A),MATCH(I$1,[2]characters!$1:$1,0)-MATCH($A$1,[2]characters!$1:$1,0)+1),MATCH(I$1,[2]characters!$1:$1,0)-MATCH($A$1,[2]characters!$1:$1,0)+1,FALSE)</f>
        <v>red</v>
      </c>
      <c r="J27" s="24" t="str">
        <f ca="1">VLOOKUP($A27,OFFSET([2]characters!$A$1,0,0,COUNTA([2]characters!$A:$A),MATCH(J$1,[2]characters!$1:$1,0)-MATCH($A$1,[2]characters!$1:$1,0)+1),MATCH(J$1,[2]characters!$1:$1,0)-MATCH($A$1,[2]characters!$1:$1,0)+1,FALSE)</f>
        <v>none</v>
      </c>
      <c r="K27" s="3" t="str">
        <f ca="1">VLOOKUP(J27,[2]character_tribe_i18n!$A:$H,3,FALSE)</f>
        <v>種族なし</v>
      </c>
      <c r="L27" s="5" t="e">
        <f>VLOOKUP(#REF!,[2]character_tribe_i18n!$A:$H,4,FALSE)</f>
        <v>#REF!</v>
      </c>
      <c r="M27" s="5" t="e">
        <f>VLOOKUP(#REF!,[2]character_tribe_i18n!$A:$H,5,FALSE)</f>
        <v>#REF!</v>
      </c>
      <c r="N27" s="5" t="e">
        <f>VLOOKUP(#REF!,[2]character_tribe_i18n!$A:$H,6,FALSE)</f>
        <v>#REF!</v>
      </c>
      <c r="O27" s="5" t="e">
        <f>VLOOKUP(#REF!,[2]character_tribe_i18n!$A:$H,7,FALSE)</f>
        <v>#REF!</v>
      </c>
      <c r="P27" s="83" t="s">
        <v>170</v>
      </c>
      <c r="Q27" s="4">
        <v>50</v>
      </c>
      <c r="R27" s="25" t="str">
        <f ca="1">IF(Q27="NULL","",VLOOKUP($Q27,OFFSET([2]characters!$A$1,0,0,COUNTA([2]characters!$A:$A),MATCH(R$1,[2]characters!$1:$1,0)-MATCH($A$1,[2]characters!$1:$1,0)+1),MATCH(R$1,[2]characters!$1:$1,0)-MATCH($A$1,[2]characters!$1:$1,0)+1,FALSE))</f>
        <v>炎銃のレジスタンス ヨシタカ</v>
      </c>
      <c r="S27" s="3">
        <f t="shared" ca="1" si="0"/>
        <v>49</v>
      </c>
      <c r="T27" s="25" t="str">
        <f ca="1">VLOOKUP($S27,OFFSET([2]characters!$A$1,0,0,COUNTA([2]characters!$A:$A),MATCH(T$1,[2]characters!$1:$1,0)-MATCH($A$1,[2]characters!$1:$1,0)+1),MATCH(T$1,[2]characters!$1:$1,0)-MATCH($A$1,[2]characters!$1:$1,0)+1,FALSE)</f>
        <v>ヨシタカ</v>
      </c>
      <c r="U27" s="5">
        <f ca="1">IF(Q27="NULL","NULL",VLOOKUP(G27,ビット!$A$2:$B$7,2))</f>
        <v>10000</v>
      </c>
    </row>
    <row r="28" spans="1:21" ht="21" customHeight="1" x14ac:dyDescent="0.15">
      <c r="A28" s="83">
        <v>51</v>
      </c>
      <c r="B28" s="24" t="str">
        <f ca="1">VLOOKUP($A28,OFFSET([2]characters!$A$1,0,0,COUNTA([2]characters!$A:$A),MATCH(B$1,[2]characters!$1:$1,0)-MATCH($A$1,[2]characters!$1:$1,0)+1),MATCH(B$1,[2]characters!$1:$1,0)-MATCH($A$1,[2]characters!$1:$1,0)+1,FALSE)</f>
        <v>マイ</v>
      </c>
      <c r="C28" s="24" t="str">
        <f ca="1">VLOOKUP($A28,OFFSET([2]characters!$A$1,0,0,COUNTA([2]characters!$A:$A),MATCH(C$1,[2]characters!$1:$1,0)-MATCH($A$1,[2]characters!$1:$1,0)+1),MATCH(C$1,[2]characters!$1:$1,0)-MATCH($A$1,[2]characters!$1:$1,0)+1,FALSE)</f>
        <v>ノーマルクエスト</v>
      </c>
      <c r="D28" s="24" t="str">
        <f ca="1">VLOOKUP($A28,OFFSET([2]characters!$A$1,0,0,COUNTA([2]characters!$A:$A),MATCH(D$1,[2]characters!$1:$1,0)-MATCH($A$1,[2]characters!$1:$1,0)+1),MATCH(D$1,[2]characters!$1:$1,0)-MATCH($A$1,[2]characters!$1:$1,0)+1,FALSE)</f>
        <v>アバター</v>
      </c>
      <c r="E28" s="24" t="str">
        <f ca="1">VLOOKUP($A28,OFFSET([2]characters!$A$1,0,0,COUNTA([2]characters!$A:$A),MATCH(E$1,[2]characters!$1:$1,0)-MATCH($A$1,[2]characters!$1:$1,0)+1),MATCH(E$1,[2]characters!$1:$1,0)-MATCH($A$1,[2]characters!$1:$1,0)+1,FALSE)</f>
        <v>世界観</v>
      </c>
      <c r="F28" s="24" t="str">
        <f ca="1">VLOOKUP($A28,OFFSET([2]characters!$A$1,0,0,COUNTA([2]characters!$A:$A),MATCH(F$1,[2]characters!$1:$1,0)-MATCH($A$1,[2]characters!$1:$1,0)+1),MATCH(F$1,[2]characters!$1:$1,0)-MATCH($A$1,[2]characters!$1:$1,0)+1,FALSE)</f>
        <v>女性</v>
      </c>
      <c r="G28" s="24">
        <f ca="1">VLOOKUP($A28,OFFSET([2]characters!$A$1,0,0,COUNTA([2]characters!$A:$A),MATCH(G$1,[2]characters!$1:$1,0)-MATCH($A$1,[2]characters!$1:$1,0)+1),MATCH(G$1,[2]characters!$1:$1,0)-MATCH($A$1,[2]characters!$1:$1,0)+1,FALSE)</f>
        <v>2</v>
      </c>
      <c r="H28" s="24" t="str">
        <f ca="1">VLOOKUP($A28,OFFSET([2]characters!$A$1,0,0,COUNTA([2]characters!$A:$A),MATCH(H$1,[2]characters!$1:$1,0)-MATCH($A$1,[2]characters!$1:$1,0)+1),MATCH(H$1,[2]characters!$1:$1,0)-MATCH($A$1,[2]characters!$1:$1,0)+1,FALSE)</f>
        <v>Drop1N</v>
      </c>
      <c r="I28" s="24" t="str">
        <f ca="1">VLOOKUP($A28,OFFSET([2]characters!$A$1,0,0,COUNTA([2]characters!$A:$A),MATCH(I$1,[2]characters!$1:$1,0)-MATCH($A$1,[2]characters!$1:$1,0)+1),MATCH(I$1,[2]characters!$1:$1,0)-MATCH($A$1,[2]characters!$1:$1,0)+1,FALSE)</f>
        <v>green</v>
      </c>
      <c r="J28" s="24" t="str">
        <f ca="1">VLOOKUP($A28,OFFSET([2]characters!$A$1,0,0,COUNTA([2]characters!$A:$A),MATCH(J$1,[2]characters!$1:$1,0)-MATCH($A$1,[2]characters!$1:$1,0)+1),MATCH(J$1,[2]characters!$1:$1,0)-MATCH($A$1,[2]characters!$1:$1,0)+1,FALSE)</f>
        <v>none</v>
      </c>
      <c r="K28" s="3" t="str">
        <f ca="1">VLOOKUP(J28,[2]character_tribe_i18n!$A:$H,3,FALSE)</f>
        <v>種族なし</v>
      </c>
      <c r="L28" s="5" t="e">
        <f>VLOOKUP(#REF!,[2]character_tribe_i18n!$A:$H,4,FALSE)</f>
        <v>#REF!</v>
      </c>
      <c r="M28" s="5" t="e">
        <f>VLOOKUP(#REF!,[2]character_tribe_i18n!$A:$H,5,FALSE)</f>
        <v>#REF!</v>
      </c>
      <c r="N28" s="5" t="e">
        <f>VLOOKUP(#REF!,[2]character_tribe_i18n!$A:$H,6,FALSE)</f>
        <v>#REF!</v>
      </c>
      <c r="O28" s="5" t="e">
        <f>VLOOKUP(#REF!,[2]character_tribe_i18n!$A:$H,7,FALSE)</f>
        <v>#REF!</v>
      </c>
      <c r="P28" s="83" t="s">
        <v>170</v>
      </c>
      <c r="Q28" s="4">
        <v>52</v>
      </c>
      <c r="R28" s="25" t="str">
        <f ca="1">IF(Q28="NULL","",VLOOKUP($Q28,OFFSET([2]characters!$A$1,0,0,COUNTA([2]characters!$A:$A),MATCH(R$1,[2]characters!$1:$1,0)-MATCH($A$1,[2]characters!$1:$1,0)+1),MATCH(R$1,[2]characters!$1:$1,0)-MATCH($A$1,[2]characters!$1:$1,0)+1,FALSE))</f>
        <v>翠槍のレジスタンス マイ</v>
      </c>
      <c r="S28" s="3">
        <f t="shared" ca="1" si="0"/>
        <v>51</v>
      </c>
      <c r="T28" s="25" t="str">
        <f ca="1">VLOOKUP($S28,OFFSET([2]characters!$A$1,0,0,COUNTA([2]characters!$A:$A),MATCH(T$1,[2]characters!$1:$1,0)-MATCH($A$1,[2]characters!$1:$1,0)+1),MATCH(T$1,[2]characters!$1:$1,0)-MATCH($A$1,[2]characters!$1:$1,0)+1,FALSE)</f>
        <v>マイ</v>
      </c>
      <c r="U28" s="5">
        <f ca="1">IF(Q28="NULL","NULL",VLOOKUP(G28,ビット!$A$2:$B$7,2))</f>
        <v>10000</v>
      </c>
    </row>
    <row r="29" spans="1:21" ht="21" customHeight="1" x14ac:dyDescent="0.15">
      <c r="A29" s="83">
        <v>53</v>
      </c>
      <c r="B29" s="24" t="str">
        <f ca="1">VLOOKUP($A29,OFFSET([2]characters!$A$1,0,0,COUNTA([2]characters!$A:$A),MATCH(B$1,[2]characters!$1:$1,0)-MATCH($A$1,[2]characters!$1:$1,0)+1),MATCH(B$1,[2]characters!$1:$1,0)-MATCH($A$1,[2]characters!$1:$1,0)+1,FALSE)</f>
        <v>ケンジ</v>
      </c>
      <c r="C29" s="24" t="str">
        <f ca="1">VLOOKUP($A29,OFFSET([2]characters!$A$1,0,0,COUNTA([2]characters!$A:$A),MATCH(C$1,[2]characters!$1:$1,0)-MATCH($A$1,[2]characters!$1:$1,0)+1),MATCH(C$1,[2]characters!$1:$1,0)-MATCH($A$1,[2]characters!$1:$1,0)+1,FALSE)</f>
        <v>ノーマルクエスト</v>
      </c>
      <c r="D29" s="24" t="str">
        <f ca="1">VLOOKUP($A29,OFFSET([2]characters!$A$1,0,0,COUNTA([2]characters!$A:$A),MATCH(D$1,[2]characters!$1:$1,0)-MATCH($A$1,[2]characters!$1:$1,0)+1),MATCH(D$1,[2]characters!$1:$1,0)-MATCH($A$1,[2]characters!$1:$1,0)+1,FALSE)</f>
        <v>アバター</v>
      </c>
      <c r="E29" s="24" t="str">
        <f ca="1">VLOOKUP($A29,OFFSET([2]characters!$A$1,0,0,COUNTA([2]characters!$A:$A),MATCH(E$1,[2]characters!$1:$1,0)-MATCH($A$1,[2]characters!$1:$1,0)+1),MATCH(E$1,[2]characters!$1:$1,0)-MATCH($A$1,[2]characters!$1:$1,0)+1,FALSE)</f>
        <v>世界観</v>
      </c>
      <c r="F29" s="24" t="str">
        <f ca="1">VLOOKUP($A29,OFFSET([2]characters!$A$1,0,0,COUNTA([2]characters!$A:$A),MATCH(F$1,[2]characters!$1:$1,0)-MATCH($A$1,[2]characters!$1:$1,0)+1),MATCH(F$1,[2]characters!$1:$1,0)-MATCH($A$1,[2]characters!$1:$1,0)+1,FALSE)</f>
        <v>男性</v>
      </c>
      <c r="G29" s="24">
        <f ca="1">VLOOKUP($A29,OFFSET([2]characters!$A$1,0,0,COUNTA([2]characters!$A:$A),MATCH(G$1,[2]characters!$1:$1,0)-MATCH($A$1,[2]characters!$1:$1,0)+1),MATCH(G$1,[2]characters!$1:$1,0)-MATCH($A$1,[2]characters!$1:$1,0)+1,FALSE)</f>
        <v>2</v>
      </c>
      <c r="H29" s="24" t="str">
        <f ca="1">VLOOKUP($A29,OFFSET([2]characters!$A$1,0,0,COUNTA([2]characters!$A:$A),MATCH(H$1,[2]characters!$1:$1,0)-MATCH($A$1,[2]characters!$1:$1,0)+1),MATCH(H$1,[2]characters!$1:$1,0)-MATCH($A$1,[2]characters!$1:$1,0)+1,FALSE)</f>
        <v>Drop1N</v>
      </c>
      <c r="I29" s="24" t="str">
        <f ca="1">VLOOKUP($A29,OFFSET([2]characters!$A$1,0,0,COUNTA([2]characters!$A:$A),MATCH(I$1,[2]characters!$1:$1,0)-MATCH($A$1,[2]characters!$1:$1,0)+1),MATCH(I$1,[2]characters!$1:$1,0)-MATCH($A$1,[2]characters!$1:$1,0)+1,FALSE)</f>
        <v>blue</v>
      </c>
      <c r="J29" s="24" t="str">
        <f ca="1">VLOOKUP($A29,OFFSET([2]characters!$A$1,0,0,COUNTA([2]characters!$A:$A),MATCH(J$1,[2]characters!$1:$1,0)-MATCH($A$1,[2]characters!$1:$1,0)+1),MATCH(J$1,[2]characters!$1:$1,0)-MATCH($A$1,[2]characters!$1:$1,0)+1,FALSE)</f>
        <v>none</v>
      </c>
      <c r="K29" s="3" t="str">
        <f ca="1">VLOOKUP(J29,[2]character_tribe_i18n!$A:$H,3,FALSE)</f>
        <v>種族なし</v>
      </c>
      <c r="L29" s="5" t="e">
        <f>VLOOKUP(#REF!,[2]character_tribe_i18n!$A:$H,4,FALSE)</f>
        <v>#REF!</v>
      </c>
      <c r="M29" s="5" t="e">
        <f>VLOOKUP(#REF!,[2]character_tribe_i18n!$A:$H,5,FALSE)</f>
        <v>#REF!</v>
      </c>
      <c r="N29" s="5" t="e">
        <f>VLOOKUP(#REF!,[2]character_tribe_i18n!$A:$H,6,FALSE)</f>
        <v>#REF!</v>
      </c>
      <c r="O29" s="5" t="e">
        <f>VLOOKUP(#REF!,[2]character_tribe_i18n!$A:$H,7,FALSE)</f>
        <v>#REF!</v>
      </c>
      <c r="P29" s="83" t="s">
        <v>170</v>
      </c>
      <c r="Q29" s="4">
        <v>54</v>
      </c>
      <c r="R29" s="25" t="str">
        <f ca="1">IF(Q29="NULL","",VLOOKUP($Q29,OFFSET([2]characters!$A$1,0,0,COUNTA([2]characters!$A:$A),MATCH(R$1,[2]characters!$1:$1,0)-MATCH($A$1,[2]characters!$1:$1,0)+1),MATCH(R$1,[2]characters!$1:$1,0)-MATCH($A$1,[2]characters!$1:$1,0)+1,FALSE))</f>
        <v>蒼斬のレジスタンス ケンジ</v>
      </c>
      <c r="S29" s="3">
        <f t="shared" ca="1" si="0"/>
        <v>53</v>
      </c>
      <c r="T29" s="25" t="str">
        <f ca="1">VLOOKUP($S29,OFFSET([2]characters!$A$1,0,0,COUNTA([2]characters!$A:$A),MATCH(T$1,[2]characters!$1:$1,0)-MATCH($A$1,[2]characters!$1:$1,0)+1),MATCH(T$1,[2]characters!$1:$1,0)-MATCH($A$1,[2]characters!$1:$1,0)+1,FALSE)</f>
        <v>ケンジ</v>
      </c>
      <c r="U29" s="5">
        <f ca="1">IF(Q29="NULL","NULL",VLOOKUP(G29,ビット!$A$2:$B$7,2))</f>
        <v>10000</v>
      </c>
    </row>
    <row r="30" spans="1:21" ht="21" customHeight="1" x14ac:dyDescent="0.15">
      <c r="A30" s="83">
        <v>55</v>
      </c>
      <c r="B30" s="24" t="str">
        <f ca="1">VLOOKUP($A30,OFFSET([2]characters!$A$1,0,0,COUNTA([2]characters!$A:$A),MATCH(B$1,[2]characters!$1:$1,0)-MATCH($A$1,[2]characters!$1:$1,0)+1),MATCH(B$1,[2]characters!$1:$1,0)-MATCH($A$1,[2]characters!$1:$1,0)+1,FALSE)</f>
        <v>マミコ</v>
      </c>
      <c r="C30" s="24" t="str">
        <f ca="1">VLOOKUP($A30,OFFSET([2]characters!$A$1,0,0,COUNTA([2]characters!$A:$A),MATCH(C$1,[2]characters!$1:$1,0)-MATCH($A$1,[2]characters!$1:$1,0)+1),MATCH(C$1,[2]characters!$1:$1,0)-MATCH($A$1,[2]characters!$1:$1,0)+1,FALSE)</f>
        <v>ノーマルクエスト</v>
      </c>
      <c r="D30" s="24" t="str">
        <f ca="1">VLOOKUP($A30,OFFSET([2]characters!$A$1,0,0,COUNTA([2]characters!$A:$A),MATCH(D$1,[2]characters!$1:$1,0)-MATCH($A$1,[2]characters!$1:$1,0)+1),MATCH(D$1,[2]characters!$1:$1,0)-MATCH($A$1,[2]characters!$1:$1,0)+1,FALSE)</f>
        <v>アバター</v>
      </c>
      <c r="E30" s="24" t="str">
        <f ca="1">VLOOKUP($A30,OFFSET([2]characters!$A$1,0,0,COUNTA([2]characters!$A:$A),MATCH(E$1,[2]characters!$1:$1,0)-MATCH($A$1,[2]characters!$1:$1,0)+1),MATCH(E$1,[2]characters!$1:$1,0)-MATCH($A$1,[2]characters!$1:$1,0)+1,FALSE)</f>
        <v>世界観</v>
      </c>
      <c r="F30" s="24" t="str">
        <f ca="1">VLOOKUP($A30,OFFSET([2]characters!$A$1,0,0,COUNTA([2]characters!$A:$A),MATCH(F$1,[2]characters!$1:$1,0)-MATCH($A$1,[2]characters!$1:$1,0)+1),MATCH(F$1,[2]characters!$1:$1,0)-MATCH($A$1,[2]characters!$1:$1,0)+1,FALSE)</f>
        <v>女性</v>
      </c>
      <c r="G30" s="24">
        <f ca="1">VLOOKUP($A30,OFFSET([2]characters!$A$1,0,0,COUNTA([2]characters!$A:$A),MATCH(G$1,[2]characters!$1:$1,0)-MATCH($A$1,[2]characters!$1:$1,0)+1),MATCH(G$1,[2]characters!$1:$1,0)-MATCH($A$1,[2]characters!$1:$1,0)+1,FALSE)</f>
        <v>2</v>
      </c>
      <c r="H30" s="24" t="str">
        <f ca="1">VLOOKUP($A30,OFFSET([2]characters!$A$1,0,0,COUNTA([2]characters!$A:$A),MATCH(H$1,[2]characters!$1:$1,0)-MATCH($A$1,[2]characters!$1:$1,0)+1),MATCH(H$1,[2]characters!$1:$1,0)-MATCH($A$1,[2]characters!$1:$1,0)+1,FALSE)</f>
        <v>Drop1N</v>
      </c>
      <c r="I30" s="24" t="str">
        <f ca="1">VLOOKUP($A30,OFFSET([2]characters!$A$1,0,0,COUNTA([2]characters!$A:$A),MATCH(I$1,[2]characters!$1:$1,0)-MATCH($A$1,[2]characters!$1:$1,0)+1),MATCH(I$1,[2]characters!$1:$1,0)-MATCH($A$1,[2]characters!$1:$1,0)+1,FALSE)</f>
        <v>yellow</v>
      </c>
      <c r="J30" s="24" t="str">
        <f ca="1">VLOOKUP($A30,OFFSET([2]characters!$A$1,0,0,COUNTA([2]characters!$A:$A),MATCH(J$1,[2]characters!$1:$1,0)-MATCH($A$1,[2]characters!$1:$1,0)+1),MATCH(J$1,[2]characters!$1:$1,0)-MATCH($A$1,[2]characters!$1:$1,0)+1,FALSE)</f>
        <v>none</v>
      </c>
      <c r="K30" s="3" t="str">
        <f ca="1">VLOOKUP(J30,[2]character_tribe_i18n!$A:$H,3,FALSE)</f>
        <v>種族なし</v>
      </c>
      <c r="L30" s="5" t="e">
        <f>VLOOKUP(#REF!,[2]character_tribe_i18n!$A:$H,4,FALSE)</f>
        <v>#REF!</v>
      </c>
      <c r="M30" s="5" t="e">
        <f>VLOOKUP(#REF!,[2]character_tribe_i18n!$A:$H,5,FALSE)</f>
        <v>#REF!</v>
      </c>
      <c r="N30" s="5" t="e">
        <f>VLOOKUP(#REF!,[2]character_tribe_i18n!$A:$H,6,FALSE)</f>
        <v>#REF!</v>
      </c>
      <c r="O30" s="5" t="e">
        <f>VLOOKUP(#REF!,[2]character_tribe_i18n!$A:$H,7,FALSE)</f>
        <v>#REF!</v>
      </c>
      <c r="P30" s="83" t="s">
        <v>170</v>
      </c>
      <c r="Q30" s="4">
        <v>56</v>
      </c>
      <c r="R30" s="25" t="str">
        <f ca="1">IF(Q30="NULL","",VLOOKUP($Q30,OFFSET([2]characters!$A$1,0,0,COUNTA([2]characters!$A:$A),MATCH(R$1,[2]characters!$1:$1,0)-MATCH($A$1,[2]characters!$1:$1,0)+1),MATCH(R$1,[2]characters!$1:$1,0)-MATCH($A$1,[2]characters!$1:$1,0)+1,FALSE))</f>
        <v>黄槌のレジスタンス マミコ</v>
      </c>
      <c r="S30" s="3">
        <f t="shared" ca="1" si="0"/>
        <v>55</v>
      </c>
      <c r="T30" s="25" t="str">
        <f ca="1">VLOOKUP($S30,OFFSET([2]characters!$A$1,0,0,COUNTA([2]characters!$A:$A),MATCH(T$1,[2]characters!$1:$1,0)-MATCH($A$1,[2]characters!$1:$1,0)+1),MATCH(T$1,[2]characters!$1:$1,0)-MATCH($A$1,[2]characters!$1:$1,0)+1,FALSE)</f>
        <v>マミコ</v>
      </c>
      <c r="U30" s="5">
        <f ca="1">IF(Q30="NULL","NULL",VLOOKUP(G30,ビット!$A$2:$B$7,2))</f>
        <v>10000</v>
      </c>
    </row>
    <row r="31" spans="1:21" ht="21" customHeight="1" x14ac:dyDescent="0.15">
      <c r="A31" s="83">
        <v>57</v>
      </c>
      <c r="B31" s="24" t="str">
        <f ca="1">VLOOKUP($A31,OFFSET([2]characters!$A$1,0,0,COUNTA([2]characters!$A:$A),MATCH(B$1,[2]characters!$1:$1,0)-MATCH($A$1,[2]characters!$1:$1,0)+1),MATCH(B$1,[2]characters!$1:$1,0)-MATCH($A$1,[2]characters!$1:$1,0)+1,FALSE)</f>
        <v>チェン・リー</v>
      </c>
      <c r="C31" s="24" t="str">
        <f ca="1">VLOOKUP($A31,OFFSET([2]characters!$A$1,0,0,COUNTA([2]characters!$A:$A),MATCH(C$1,[2]characters!$1:$1,0)-MATCH($A$1,[2]characters!$1:$1,0)+1),MATCH(C$1,[2]characters!$1:$1,0)-MATCH($A$1,[2]characters!$1:$1,0)+1,FALSE)</f>
        <v>ノーマルクエスト</v>
      </c>
      <c r="D31" s="24" t="str">
        <f ca="1">VLOOKUP($A31,OFFSET([2]characters!$A$1,0,0,COUNTA([2]characters!$A:$A),MATCH(D$1,[2]characters!$1:$1,0)-MATCH($A$1,[2]characters!$1:$1,0)+1),MATCH(D$1,[2]characters!$1:$1,0)-MATCH($A$1,[2]characters!$1:$1,0)+1,FALSE)</f>
        <v>アバター</v>
      </c>
      <c r="E31" s="24" t="str">
        <f ca="1">VLOOKUP($A31,OFFSET([2]characters!$A$1,0,0,COUNTA([2]characters!$A:$A),MATCH(E$1,[2]characters!$1:$1,0)-MATCH($A$1,[2]characters!$1:$1,0)+1),MATCH(E$1,[2]characters!$1:$1,0)-MATCH($A$1,[2]characters!$1:$1,0)+1,FALSE)</f>
        <v>世界観</v>
      </c>
      <c r="F31" s="24" t="str">
        <f ca="1">VLOOKUP($A31,OFFSET([2]characters!$A$1,0,0,COUNTA([2]characters!$A:$A),MATCH(F$1,[2]characters!$1:$1,0)-MATCH($A$1,[2]characters!$1:$1,0)+1),MATCH(F$1,[2]characters!$1:$1,0)-MATCH($A$1,[2]characters!$1:$1,0)+1,FALSE)</f>
        <v>男性</v>
      </c>
      <c r="G31" s="24">
        <f ca="1">VLOOKUP($A31,OFFSET([2]characters!$A$1,0,0,COUNTA([2]characters!$A:$A),MATCH(G$1,[2]characters!$1:$1,0)-MATCH($A$1,[2]characters!$1:$1,0)+1),MATCH(G$1,[2]characters!$1:$1,0)-MATCH($A$1,[2]characters!$1:$1,0)+1,FALSE)</f>
        <v>2</v>
      </c>
      <c r="H31" s="24" t="str">
        <f ca="1">VLOOKUP($A31,OFFSET([2]characters!$A$1,0,0,COUNTA([2]characters!$A:$A),MATCH(H$1,[2]characters!$1:$1,0)-MATCH($A$1,[2]characters!$1:$1,0)+1),MATCH(H$1,[2]characters!$1:$1,0)-MATCH($A$1,[2]characters!$1:$1,0)+1,FALSE)</f>
        <v>Drop1N</v>
      </c>
      <c r="I31" s="24" t="str">
        <f ca="1">VLOOKUP($A31,OFFSET([2]characters!$A$1,0,0,COUNTA([2]characters!$A:$A),MATCH(I$1,[2]characters!$1:$1,0)-MATCH($A$1,[2]characters!$1:$1,0)+1),MATCH(I$1,[2]characters!$1:$1,0)-MATCH($A$1,[2]characters!$1:$1,0)+1,FALSE)</f>
        <v>red</v>
      </c>
      <c r="J31" s="24" t="str">
        <f ca="1">VLOOKUP($A31,OFFSET([2]characters!$A$1,0,0,COUNTA([2]characters!$A:$A),MATCH(J$1,[2]characters!$1:$1,0)-MATCH($A$1,[2]characters!$1:$1,0)+1),MATCH(J$1,[2]characters!$1:$1,0)-MATCH($A$1,[2]characters!$1:$1,0)+1,FALSE)</f>
        <v>none</v>
      </c>
      <c r="K31" s="3" t="str">
        <f ca="1">VLOOKUP(J31,[2]character_tribe_i18n!$A:$H,3,FALSE)</f>
        <v>種族なし</v>
      </c>
      <c r="L31" s="5" t="e">
        <f>VLOOKUP(#REF!,[2]character_tribe_i18n!$A:$H,4,FALSE)</f>
        <v>#REF!</v>
      </c>
      <c r="M31" s="5" t="e">
        <f>VLOOKUP(#REF!,[2]character_tribe_i18n!$A:$H,5,FALSE)</f>
        <v>#REF!</v>
      </c>
      <c r="N31" s="5" t="e">
        <f>VLOOKUP(#REF!,[2]character_tribe_i18n!$A:$H,6,FALSE)</f>
        <v>#REF!</v>
      </c>
      <c r="O31" s="5" t="e">
        <f>VLOOKUP(#REF!,[2]character_tribe_i18n!$A:$H,7,FALSE)</f>
        <v>#REF!</v>
      </c>
      <c r="P31" s="83" t="s">
        <v>170</v>
      </c>
      <c r="Q31" s="4">
        <v>58</v>
      </c>
      <c r="R31" s="25" t="str">
        <f ca="1">IF(Q31="NULL","",VLOOKUP($Q31,OFFSET([2]characters!$A$1,0,0,COUNTA([2]characters!$A:$A),MATCH(R$1,[2]characters!$1:$1,0)-MATCH($A$1,[2]characters!$1:$1,0)+1),MATCH(R$1,[2]characters!$1:$1,0)-MATCH($A$1,[2]characters!$1:$1,0)+1,FALSE))</f>
        <v>ドランクマスター チェン・リー</v>
      </c>
      <c r="S31" s="3">
        <f t="shared" ca="1" si="0"/>
        <v>57</v>
      </c>
      <c r="T31" s="25" t="str">
        <f ca="1">VLOOKUP($S31,OFFSET([2]characters!$A$1,0,0,COUNTA([2]characters!$A:$A),MATCH(T$1,[2]characters!$1:$1,0)-MATCH($A$1,[2]characters!$1:$1,0)+1),MATCH(T$1,[2]characters!$1:$1,0)-MATCH($A$1,[2]characters!$1:$1,0)+1,FALSE)</f>
        <v>チェン・リー</v>
      </c>
      <c r="U31" s="5">
        <f ca="1">IF(Q31="NULL","NULL",VLOOKUP(G31,ビット!$A$2:$B$7,2))</f>
        <v>10000</v>
      </c>
    </row>
    <row r="32" spans="1:21" ht="21" customHeight="1" x14ac:dyDescent="0.15">
      <c r="A32" s="83">
        <v>59</v>
      </c>
      <c r="B32" s="24" t="str">
        <f ca="1">VLOOKUP($A32,OFFSET([2]characters!$A$1,0,0,COUNTA([2]characters!$A:$A),MATCH(B$1,[2]characters!$1:$1,0)-MATCH($A$1,[2]characters!$1:$1,0)+1),MATCH(B$1,[2]characters!$1:$1,0)-MATCH($A$1,[2]characters!$1:$1,0)+1,FALSE)</f>
        <v>マーチ</v>
      </c>
      <c r="C32" s="24" t="str">
        <f ca="1">VLOOKUP($A32,OFFSET([2]characters!$A$1,0,0,COUNTA([2]characters!$A:$A),MATCH(C$1,[2]characters!$1:$1,0)-MATCH($A$1,[2]characters!$1:$1,0)+1),MATCH(C$1,[2]characters!$1:$1,0)-MATCH($A$1,[2]characters!$1:$1,0)+1,FALSE)</f>
        <v>ノーマルクエスト</v>
      </c>
      <c r="D32" s="24" t="str">
        <f ca="1">VLOOKUP($A32,OFFSET([2]characters!$A$1,0,0,COUNTA([2]characters!$A:$A),MATCH(D$1,[2]characters!$1:$1,0)-MATCH($A$1,[2]characters!$1:$1,0)+1),MATCH(D$1,[2]characters!$1:$1,0)-MATCH($A$1,[2]characters!$1:$1,0)+1,FALSE)</f>
        <v>アバター</v>
      </c>
      <c r="E32" s="24" t="str">
        <f ca="1">VLOOKUP($A32,OFFSET([2]characters!$A$1,0,0,COUNTA([2]characters!$A:$A),MATCH(E$1,[2]characters!$1:$1,0)-MATCH($A$1,[2]characters!$1:$1,0)+1),MATCH(E$1,[2]characters!$1:$1,0)-MATCH($A$1,[2]characters!$1:$1,0)+1,FALSE)</f>
        <v>世界観</v>
      </c>
      <c r="F32" s="24" t="str">
        <f ca="1">VLOOKUP($A32,OFFSET([2]characters!$A$1,0,0,COUNTA([2]characters!$A:$A),MATCH(F$1,[2]characters!$1:$1,0)-MATCH($A$1,[2]characters!$1:$1,0)+1),MATCH(F$1,[2]characters!$1:$1,0)-MATCH($A$1,[2]characters!$1:$1,0)+1,FALSE)</f>
        <v>男性</v>
      </c>
      <c r="G32" s="24">
        <f ca="1">VLOOKUP($A32,OFFSET([2]characters!$A$1,0,0,COUNTA([2]characters!$A:$A),MATCH(G$1,[2]characters!$1:$1,0)-MATCH($A$1,[2]characters!$1:$1,0)+1),MATCH(G$1,[2]characters!$1:$1,0)-MATCH($A$1,[2]characters!$1:$1,0)+1,FALSE)</f>
        <v>2</v>
      </c>
      <c r="H32" s="24" t="str">
        <f ca="1">VLOOKUP($A32,OFFSET([2]characters!$A$1,0,0,COUNTA([2]characters!$A:$A),MATCH(H$1,[2]characters!$1:$1,0)-MATCH($A$1,[2]characters!$1:$1,0)+1),MATCH(H$1,[2]characters!$1:$1,0)-MATCH($A$1,[2]characters!$1:$1,0)+1,FALSE)</f>
        <v>Drop1N</v>
      </c>
      <c r="I32" s="24" t="str">
        <f ca="1">VLOOKUP($A32,OFFSET([2]characters!$A$1,0,0,COUNTA([2]characters!$A:$A),MATCH(I$1,[2]characters!$1:$1,0)-MATCH($A$1,[2]characters!$1:$1,0)+1),MATCH(I$1,[2]characters!$1:$1,0)-MATCH($A$1,[2]characters!$1:$1,0)+1,FALSE)</f>
        <v>green</v>
      </c>
      <c r="J32" s="24" t="str">
        <f ca="1">VLOOKUP($A32,OFFSET([2]characters!$A$1,0,0,COUNTA([2]characters!$A:$A),MATCH(J$1,[2]characters!$1:$1,0)-MATCH($A$1,[2]characters!$1:$1,0)+1),MATCH(J$1,[2]characters!$1:$1,0)-MATCH($A$1,[2]characters!$1:$1,0)+1,FALSE)</f>
        <v>none</v>
      </c>
      <c r="K32" s="3" t="str">
        <f ca="1">VLOOKUP(J32,[2]character_tribe_i18n!$A:$H,3,FALSE)</f>
        <v>種族なし</v>
      </c>
      <c r="L32" s="5" t="e">
        <f>VLOOKUP(#REF!,[2]character_tribe_i18n!$A:$H,4,FALSE)</f>
        <v>#REF!</v>
      </c>
      <c r="M32" s="5" t="e">
        <f>VLOOKUP(#REF!,[2]character_tribe_i18n!$A:$H,5,FALSE)</f>
        <v>#REF!</v>
      </c>
      <c r="N32" s="5" t="e">
        <f>VLOOKUP(#REF!,[2]character_tribe_i18n!$A:$H,6,FALSE)</f>
        <v>#REF!</v>
      </c>
      <c r="O32" s="5" t="e">
        <f>VLOOKUP(#REF!,[2]character_tribe_i18n!$A:$H,7,FALSE)</f>
        <v>#REF!</v>
      </c>
      <c r="P32" s="83" t="s">
        <v>170</v>
      </c>
      <c r="Q32" s="4">
        <v>60</v>
      </c>
      <c r="R32" s="25" t="str">
        <f ca="1">IF(Q32="NULL","",VLOOKUP($Q32,OFFSET([2]characters!$A$1,0,0,COUNTA([2]characters!$A:$A),MATCH(R$1,[2]characters!$1:$1,0)-MATCH($A$1,[2]characters!$1:$1,0)+1),MATCH(R$1,[2]characters!$1:$1,0)-MATCH($A$1,[2]characters!$1:$1,0)+1,FALSE))</f>
        <v>おでかけマーチ</v>
      </c>
      <c r="S32" s="3">
        <f t="shared" ca="1" si="0"/>
        <v>59</v>
      </c>
      <c r="T32" s="25" t="str">
        <f ca="1">VLOOKUP($S32,OFFSET([2]characters!$A$1,0,0,COUNTA([2]characters!$A:$A),MATCH(T$1,[2]characters!$1:$1,0)-MATCH($A$1,[2]characters!$1:$1,0)+1),MATCH(T$1,[2]characters!$1:$1,0)-MATCH($A$1,[2]characters!$1:$1,0)+1,FALSE)</f>
        <v>マーチ</v>
      </c>
      <c r="U32" s="5">
        <f ca="1">IF(Q32="NULL","NULL",VLOOKUP(G32,ビット!$A$2:$B$7,2))</f>
        <v>10000</v>
      </c>
    </row>
    <row r="33" spans="1:21" ht="21" customHeight="1" x14ac:dyDescent="0.15">
      <c r="A33" s="83">
        <v>61</v>
      </c>
      <c r="B33" s="24" t="str">
        <f ca="1">VLOOKUP($A33,OFFSET([2]characters!$A$1,0,0,COUNTA([2]characters!$A:$A),MATCH(B$1,[2]characters!$1:$1,0)-MATCH($A$1,[2]characters!$1:$1,0)+1),MATCH(B$1,[2]characters!$1:$1,0)-MATCH($A$1,[2]characters!$1:$1,0)+1,FALSE)</f>
        <v>クロウ</v>
      </c>
      <c r="C33" s="24" t="str">
        <f ca="1">VLOOKUP($A33,OFFSET([2]characters!$A$1,0,0,COUNTA([2]characters!$A:$A),MATCH(C$1,[2]characters!$1:$1,0)-MATCH($A$1,[2]characters!$1:$1,0)+1),MATCH(C$1,[2]characters!$1:$1,0)-MATCH($A$1,[2]characters!$1:$1,0)+1,FALSE)</f>
        <v>ノーマルクエスト</v>
      </c>
      <c r="D33" s="24" t="str">
        <f ca="1">VLOOKUP($A33,OFFSET([2]characters!$A$1,0,0,COUNTA([2]characters!$A:$A),MATCH(D$1,[2]characters!$1:$1,0)-MATCH($A$1,[2]characters!$1:$1,0)+1),MATCH(D$1,[2]characters!$1:$1,0)-MATCH($A$1,[2]characters!$1:$1,0)+1,FALSE)</f>
        <v>アバター</v>
      </c>
      <c r="E33" s="24" t="str">
        <f ca="1">VLOOKUP($A33,OFFSET([2]characters!$A$1,0,0,COUNTA([2]characters!$A:$A),MATCH(E$1,[2]characters!$1:$1,0)-MATCH($A$1,[2]characters!$1:$1,0)+1),MATCH(E$1,[2]characters!$1:$1,0)-MATCH($A$1,[2]characters!$1:$1,0)+1,FALSE)</f>
        <v>世界観</v>
      </c>
      <c r="F33" s="24" t="str">
        <f ca="1">VLOOKUP($A33,OFFSET([2]characters!$A$1,0,0,COUNTA([2]characters!$A:$A),MATCH(F$1,[2]characters!$1:$1,0)-MATCH($A$1,[2]characters!$1:$1,0)+1),MATCH(F$1,[2]characters!$1:$1,0)-MATCH($A$1,[2]characters!$1:$1,0)+1,FALSE)</f>
        <v>男性</v>
      </c>
      <c r="G33" s="24">
        <f ca="1">VLOOKUP($A33,OFFSET([2]characters!$A$1,0,0,COUNTA([2]characters!$A:$A),MATCH(G$1,[2]characters!$1:$1,0)-MATCH($A$1,[2]characters!$1:$1,0)+1),MATCH(G$1,[2]characters!$1:$1,0)-MATCH($A$1,[2]characters!$1:$1,0)+1,FALSE)</f>
        <v>2</v>
      </c>
      <c r="H33" s="24" t="str">
        <f ca="1">VLOOKUP($A33,OFFSET([2]characters!$A$1,0,0,COUNTA([2]characters!$A:$A),MATCH(H$1,[2]characters!$1:$1,0)-MATCH($A$1,[2]characters!$1:$1,0)+1),MATCH(H$1,[2]characters!$1:$1,0)-MATCH($A$1,[2]characters!$1:$1,0)+1,FALSE)</f>
        <v>Drop1N</v>
      </c>
      <c r="I33" s="24" t="str">
        <f ca="1">VLOOKUP($A33,OFFSET([2]characters!$A$1,0,0,COUNTA([2]characters!$A:$A),MATCH(I$1,[2]characters!$1:$1,0)-MATCH($A$1,[2]characters!$1:$1,0)+1),MATCH(I$1,[2]characters!$1:$1,0)-MATCH($A$1,[2]characters!$1:$1,0)+1,FALSE)</f>
        <v>blue</v>
      </c>
      <c r="J33" s="24" t="str">
        <f ca="1">VLOOKUP($A33,OFFSET([2]characters!$A$1,0,0,COUNTA([2]characters!$A:$A),MATCH(J$1,[2]characters!$1:$1,0)-MATCH($A$1,[2]characters!$1:$1,0)+1),MATCH(J$1,[2]characters!$1:$1,0)-MATCH($A$1,[2]characters!$1:$1,0)+1,FALSE)</f>
        <v>none</v>
      </c>
      <c r="K33" s="3" t="str">
        <f ca="1">VLOOKUP(J33,[2]character_tribe_i18n!$A:$H,3,FALSE)</f>
        <v>種族なし</v>
      </c>
      <c r="L33" s="5" t="e">
        <f>VLOOKUP(#REF!,[2]character_tribe_i18n!$A:$H,4,FALSE)</f>
        <v>#REF!</v>
      </c>
      <c r="M33" s="5" t="e">
        <f>VLOOKUP(#REF!,[2]character_tribe_i18n!$A:$H,5,FALSE)</f>
        <v>#REF!</v>
      </c>
      <c r="N33" s="5" t="e">
        <f>VLOOKUP(#REF!,[2]character_tribe_i18n!$A:$H,6,FALSE)</f>
        <v>#REF!</v>
      </c>
      <c r="O33" s="5" t="e">
        <f>VLOOKUP(#REF!,[2]character_tribe_i18n!$A:$H,7,FALSE)</f>
        <v>#REF!</v>
      </c>
      <c r="P33" s="83" t="s">
        <v>170</v>
      </c>
      <c r="Q33" s="4">
        <v>62</v>
      </c>
      <c r="R33" s="25" t="str">
        <f ca="1">IF(Q33="NULL","",VLOOKUP($Q33,OFFSET([2]characters!$A$1,0,0,COUNTA([2]characters!$A:$A),MATCH(R$1,[2]characters!$1:$1,0)-MATCH($A$1,[2]characters!$1:$1,0)+1),MATCH(R$1,[2]characters!$1:$1,0)-MATCH($A$1,[2]characters!$1:$1,0)+1,FALSE))</f>
        <v>脈動旋律のクロウ</v>
      </c>
      <c r="S33" s="3">
        <f t="shared" ca="1" si="0"/>
        <v>61</v>
      </c>
      <c r="T33" s="25" t="str">
        <f ca="1">VLOOKUP($S33,OFFSET([2]characters!$A$1,0,0,COUNTA([2]characters!$A:$A),MATCH(T$1,[2]characters!$1:$1,0)-MATCH($A$1,[2]characters!$1:$1,0)+1),MATCH(T$1,[2]characters!$1:$1,0)-MATCH($A$1,[2]characters!$1:$1,0)+1,FALSE)</f>
        <v>クロウ</v>
      </c>
      <c r="U33" s="5">
        <f ca="1">IF(Q33="NULL","NULL",VLOOKUP(G33,ビット!$A$2:$B$7,2))</f>
        <v>10000</v>
      </c>
    </row>
    <row r="34" spans="1:21" ht="21" customHeight="1" x14ac:dyDescent="0.15">
      <c r="A34" s="83">
        <v>63</v>
      </c>
      <c r="B34" s="24" t="str">
        <f ca="1">VLOOKUP($A34,OFFSET([2]characters!$A$1,0,0,COUNTA([2]characters!$A:$A),MATCH(B$1,[2]characters!$1:$1,0)-MATCH($A$1,[2]characters!$1:$1,0)+1),MATCH(B$1,[2]characters!$1:$1,0)-MATCH($A$1,[2]characters!$1:$1,0)+1,FALSE)</f>
        <v>トニー</v>
      </c>
      <c r="C34" s="24" t="str">
        <f ca="1">VLOOKUP($A34,OFFSET([2]characters!$A$1,0,0,COUNTA([2]characters!$A:$A),MATCH(C$1,[2]characters!$1:$1,0)-MATCH($A$1,[2]characters!$1:$1,0)+1),MATCH(C$1,[2]characters!$1:$1,0)-MATCH($A$1,[2]characters!$1:$1,0)+1,FALSE)</f>
        <v>ノーマルクエスト</v>
      </c>
      <c r="D34" s="24" t="str">
        <f ca="1">VLOOKUP($A34,OFFSET([2]characters!$A$1,0,0,COUNTA([2]characters!$A:$A),MATCH(D$1,[2]characters!$1:$1,0)-MATCH($A$1,[2]characters!$1:$1,0)+1),MATCH(D$1,[2]characters!$1:$1,0)-MATCH($A$1,[2]characters!$1:$1,0)+1,FALSE)</f>
        <v>アバター</v>
      </c>
      <c r="E34" s="24" t="str">
        <f ca="1">VLOOKUP($A34,OFFSET([2]characters!$A$1,0,0,COUNTA([2]characters!$A:$A),MATCH(E$1,[2]characters!$1:$1,0)-MATCH($A$1,[2]characters!$1:$1,0)+1),MATCH(E$1,[2]characters!$1:$1,0)-MATCH($A$1,[2]characters!$1:$1,0)+1,FALSE)</f>
        <v>世界観</v>
      </c>
      <c r="F34" s="24" t="str">
        <f ca="1">VLOOKUP($A34,OFFSET([2]characters!$A$1,0,0,COUNTA([2]characters!$A:$A),MATCH(F$1,[2]characters!$1:$1,0)-MATCH($A$1,[2]characters!$1:$1,0)+1),MATCH(F$1,[2]characters!$1:$1,0)-MATCH($A$1,[2]characters!$1:$1,0)+1,FALSE)</f>
        <v>男性</v>
      </c>
      <c r="G34" s="24">
        <f ca="1">VLOOKUP($A34,OFFSET([2]characters!$A$1,0,0,COUNTA([2]characters!$A:$A),MATCH(G$1,[2]characters!$1:$1,0)-MATCH($A$1,[2]characters!$1:$1,0)+1),MATCH(G$1,[2]characters!$1:$1,0)-MATCH($A$1,[2]characters!$1:$1,0)+1,FALSE)</f>
        <v>2</v>
      </c>
      <c r="H34" s="24" t="str">
        <f ca="1">VLOOKUP($A34,OFFSET([2]characters!$A$1,0,0,COUNTA([2]characters!$A:$A),MATCH(H$1,[2]characters!$1:$1,0)-MATCH($A$1,[2]characters!$1:$1,0)+1),MATCH(H$1,[2]characters!$1:$1,0)-MATCH($A$1,[2]characters!$1:$1,0)+1,FALSE)</f>
        <v>Drop1N</v>
      </c>
      <c r="I34" s="24" t="str">
        <f ca="1">VLOOKUP($A34,OFFSET([2]characters!$A$1,0,0,COUNTA([2]characters!$A:$A),MATCH(I$1,[2]characters!$1:$1,0)-MATCH($A$1,[2]characters!$1:$1,0)+1),MATCH(I$1,[2]characters!$1:$1,0)-MATCH($A$1,[2]characters!$1:$1,0)+1,FALSE)</f>
        <v>yellow</v>
      </c>
      <c r="J34" s="24" t="str">
        <f ca="1">VLOOKUP($A34,OFFSET([2]characters!$A$1,0,0,COUNTA([2]characters!$A:$A),MATCH(J$1,[2]characters!$1:$1,0)-MATCH($A$1,[2]characters!$1:$1,0)+1),MATCH(J$1,[2]characters!$1:$1,0)-MATCH($A$1,[2]characters!$1:$1,0)+1,FALSE)</f>
        <v>none</v>
      </c>
      <c r="K34" s="3" t="str">
        <f ca="1">VLOOKUP(J34,[2]character_tribe_i18n!$A:$H,3,FALSE)</f>
        <v>種族なし</v>
      </c>
      <c r="L34" s="5" t="e">
        <f>VLOOKUP(#REF!,[2]character_tribe_i18n!$A:$H,4,FALSE)</f>
        <v>#REF!</v>
      </c>
      <c r="M34" s="5" t="e">
        <f>VLOOKUP(#REF!,[2]character_tribe_i18n!$A:$H,5,FALSE)</f>
        <v>#REF!</v>
      </c>
      <c r="N34" s="5" t="e">
        <f>VLOOKUP(#REF!,[2]character_tribe_i18n!$A:$H,6,FALSE)</f>
        <v>#REF!</v>
      </c>
      <c r="O34" s="5" t="e">
        <f>VLOOKUP(#REF!,[2]character_tribe_i18n!$A:$H,7,FALSE)</f>
        <v>#REF!</v>
      </c>
      <c r="P34" s="83" t="s">
        <v>170</v>
      </c>
      <c r="Q34" s="4">
        <v>64</v>
      </c>
      <c r="R34" s="25" t="str">
        <f ca="1">IF(Q34="NULL","",VLOOKUP($Q34,OFFSET([2]characters!$A$1,0,0,COUNTA([2]characters!$A:$A),MATCH(R$1,[2]characters!$1:$1,0)-MATCH($A$1,[2]characters!$1:$1,0)+1),MATCH(R$1,[2]characters!$1:$1,0)-MATCH($A$1,[2]characters!$1:$1,0)+1,FALSE))</f>
        <v>フレイムエッジ トニー</v>
      </c>
      <c r="S34" s="3">
        <f t="shared" ca="1" si="0"/>
        <v>63</v>
      </c>
      <c r="T34" s="25" t="str">
        <f ca="1">VLOOKUP($S34,OFFSET([2]characters!$A$1,0,0,COUNTA([2]characters!$A:$A),MATCH(T$1,[2]characters!$1:$1,0)-MATCH($A$1,[2]characters!$1:$1,0)+1),MATCH(T$1,[2]characters!$1:$1,0)-MATCH($A$1,[2]characters!$1:$1,0)+1,FALSE)</f>
        <v>トニー</v>
      </c>
      <c r="U34" s="5">
        <f ca="1">IF(Q34="NULL","NULL",VLOOKUP(G34,ビット!$A$2:$B$7,2))</f>
        <v>10000</v>
      </c>
    </row>
    <row r="35" spans="1:21" ht="21" customHeight="1" x14ac:dyDescent="0.15">
      <c r="A35" s="83">
        <v>65</v>
      </c>
      <c r="B35" s="24" t="str">
        <f ca="1">VLOOKUP($A35,OFFSET([2]characters!$A$1,0,0,COUNTA([2]characters!$A:$A),MATCH(B$1,[2]characters!$1:$1,0)-MATCH($A$1,[2]characters!$1:$1,0)+1),MATCH(B$1,[2]characters!$1:$1,0)-MATCH($A$1,[2]characters!$1:$1,0)+1,FALSE)</f>
        <v>ファイアフォックス</v>
      </c>
      <c r="C35" s="24" t="str">
        <f ca="1">VLOOKUP($A35,OFFSET([2]characters!$A$1,0,0,COUNTA([2]characters!$A:$A),MATCH(C$1,[2]characters!$1:$1,0)-MATCH($A$1,[2]characters!$1:$1,0)+1),MATCH(C$1,[2]characters!$1:$1,0)-MATCH($A$1,[2]characters!$1:$1,0)+1,FALSE)</f>
        <v>ノーマルクエスト</v>
      </c>
      <c r="D35" s="24" t="str">
        <f ca="1">VLOOKUP($A35,OFFSET([2]characters!$A$1,0,0,COUNTA([2]characters!$A:$A),MATCH(D$1,[2]characters!$1:$1,0)-MATCH($A$1,[2]characters!$1:$1,0)+1),MATCH(D$1,[2]characters!$1:$1,0)-MATCH($A$1,[2]characters!$1:$1,0)+1,FALSE)</f>
        <v>アバター</v>
      </c>
      <c r="E35" s="24" t="str">
        <f ca="1">VLOOKUP($A35,OFFSET([2]characters!$A$1,0,0,COUNTA([2]characters!$A:$A),MATCH(E$1,[2]characters!$1:$1,0)-MATCH($A$1,[2]characters!$1:$1,0)+1),MATCH(E$1,[2]characters!$1:$1,0)-MATCH($A$1,[2]characters!$1:$1,0)+1,FALSE)</f>
        <v>世界観</v>
      </c>
      <c r="F35" s="24" t="str">
        <f ca="1">VLOOKUP($A35,OFFSET([2]characters!$A$1,0,0,COUNTA([2]characters!$A:$A),MATCH(F$1,[2]characters!$1:$1,0)-MATCH($A$1,[2]characters!$1:$1,0)+1),MATCH(F$1,[2]characters!$1:$1,0)-MATCH($A$1,[2]characters!$1:$1,0)+1,FALSE)</f>
        <v>男性</v>
      </c>
      <c r="G35" s="24">
        <f ca="1">VLOOKUP($A35,OFFSET([2]characters!$A$1,0,0,COUNTA([2]characters!$A:$A),MATCH(G$1,[2]characters!$1:$1,0)-MATCH($A$1,[2]characters!$1:$1,0)+1),MATCH(G$1,[2]characters!$1:$1,0)-MATCH($A$1,[2]characters!$1:$1,0)+1,FALSE)</f>
        <v>2</v>
      </c>
      <c r="H35" s="24" t="str">
        <f ca="1">VLOOKUP($A35,OFFSET([2]characters!$A$1,0,0,COUNTA([2]characters!$A:$A),MATCH(H$1,[2]characters!$1:$1,0)-MATCH($A$1,[2]characters!$1:$1,0)+1),MATCH(H$1,[2]characters!$1:$1,0)-MATCH($A$1,[2]characters!$1:$1,0)+1,FALSE)</f>
        <v>Drop1S</v>
      </c>
      <c r="I35" s="24" t="str">
        <f ca="1">VLOOKUP($A35,OFFSET([2]characters!$A$1,0,0,COUNTA([2]characters!$A:$A),MATCH(I$1,[2]characters!$1:$1,0)-MATCH($A$1,[2]characters!$1:$1,0)+1),MATCH(I$1,[2]characters!$1:$1,0)-MATCH($A$1,[2]characters!$1:$1,0)+1,FALSE)</f>
        <v>red</v>
      </c>
      <c r="J35" s="24" t="str">
        <f ca="1">VLOOKUP($A35,OFFSET([2]characters!$A$1,0,0,COUNTA([2]characters!$A:$A),MATCH(J$1,[2]characters!$1:$1,0)-MATCH($A$1,[2]characters!$1:$1,0)+1),MATCH(J$1,[2]characters!$1:$1,0)-MATCH($A$1,[2]characters!$1:$1,0)+1,FALSE)</f>
        <v>none</v>
      </c>
      <c r="K35" s="3" t="str">
        <f ca="1">VLOOKUP(J35,[2]character_tribe_i18n!$A:$H,3,FALSE)</f>
        <v>種族なし</v>
      </c>
      <c r="L35" s="5" t="e">
        <f>VLOOKUP(#REF!,[2]character_tribe_i18n!$A:$H,4,FALSE)</f>
        <v>#REF!</v>
      </c>
      <c r="M35" s="5" t="e">
        <f>VLOOKUP(#REF!,[2]character_tribe_i18n!$A:$H,5,FALSE)</f>
        <v>#REF!</v>
      </c>
      <c r="N35" s="5" t="e">
        <f>VLOOKUP(#REF!,[2]character_tribe_i18n!$A:$H,6,FALSE)</f>
        <v>#REF!</v>
      </c>
      <c r="O35" s="5" t="e">
        <f>VLOOKUP(#REF!,[2]character_tribe_i18n!$A:$H,7,FALSE)</f>
        <v>#REF!</v>
      </c>
      <c r="P35" s="83" t="s">
        <v>170</v>
      </c>
      <c r="Q35" s="4">
        <v>66</v>
      </c>
      <c r="R35" s="25" t="str">
        <f ca="1">IF(Q35="NULL","",VLOOKUP($Q35,OFFSET([2]characters!$A$1,0,0,COUNTA([2]characters!$A:$A),MATCH(R$1,[2]characters!$1:$1,0)-MATCH($A$1,[2]characters!$1:$1,0)+1),MATCH(R$1,[2]characters!$1:$1,0)-MATCH($A$1,[2]characters!$1:$1,0)+1,FALSE))</f>
        <v>探索者 ファイアフォックス</v>
      </c>
      <c r="S35" s="3">
        <f t="shared" ca="1" si="0"/>
        <v>65</v>
      </c>
      <c r="T35" s="25" t="str">
        <f ca="1">VLOOKUP($S35,OFFSET([2]characters!$A$1,0,0,COUNTA([2]characters!$A:$A),MATCH(T$1,[2]characters!$1:$1,0)-MATCH($A$1,[2]characters!$1:$1,0)+1),MATCH(T$1,[2]characters!$1:$1,0)-MATCH($A$1,[2]characters!$1:$1,0)+1,FALSE)</f>
        <v>ファイアフォックス</v>
      </c>
      <c r="U35" s="5">
        <f ca="1">IF(Q35="NULL","NULL",VLOOKUP(G35,ビット!$A$2:$B$7,2))</f>
        <v>10000</v>
      </c>
    </row>
    <row r="36" spans="1:21" ht="21" customHeight="1" x14ac:dyDescent="0.15">
      <c r="A36" s="83">
        <v>66</v>
      </c>
      <c r="B36" s="24" t="str">
        <f ca="1">VLOOKUP($A36,OFFSET([2]characters!$A$1,0,0,COUNTA([2]characters!$A:$A),MATCH(B$1,[2]characters!$1:$1,0)-MATCH($A$1,[2]characters!$1:$1,0)+1),MATCH(B$1,[2]characters!$1:$1,0)-MATCH($A$1,[2]characters!$1:$1,0)+1,FALSE)</f>
        <v>探索者 ファイアフォックス</v>
      </c>
      <c r="C36" s="24" t="str">
        <f ca="1">VLOOKUP($A36,OFFSET([2]characters!$A$1,0,0,COUNTA([2]characters!$A:$A),MATCH(C$1,[2]characters!$1:$1,0)-MATCH($A$1,[2]characters!$1:$1,0)+1),MATCH(C$1,[2]characters!$1:$1,0)-MATCH($A$1,[2]characters!$1:$1,0)+1,FALSE)</f>
        <v>ノーマルクエスト</v>
      </c>
      <c r="D36" s="24" t="str">
        <f ca="1">VLOOKUP($A36,OFFSET([2]characters!$A$1,0,0,COUNTA([2]characters!$A:$A),MATCH(D$1,[2]characters!$1:$1,0)-MATCH($A$1,[2]characters!$1:$1,0)+1),MATCH(D$1,[2]characters!$1:$1,0)-MATCH($A$1,[2]characters!$1:$1,0)+1,FALSE)</f>
        <v>アバター</v>
      </c>
      <c r="E36" s="24" t="str">
        <f ca="1">VLOOKUP($A36,OFFSET([2]characters!$A$1,0,0,COUNTA([2]characters!$A:$A),MATCH(E$1,[2]characters!$1:$1,0)-MATCH($A$1,[2]characters!$1:$1,0)+1),MATCH(E$1,[2]characters!$1:$1,0)-MATCH($A$1,[2]characters!$1:$1,0)+1,FALSE)</f>
        <v>世界観</v>
      </c>
      <c r="F36" s="24" t="str">
        <f ca="1">VLOOKUP($A36,OFFSET([2]characters!$A$1,0,0,COUNTA([2]characters!$A:$A),MATCH(F$1,[2]characters!$1:$1,0)-MATCH($A$1,[2]characters!$1:$1,0)+1),MATCH(F$1,[2]characters!$1:$1,0)-MATCH($A$1,[2]characters!$1:$1,0)+1,FALSE)</f>
        <v>男性</v>
      </c>
      <c r="G36" s="24">
        <f ca="1">VLOOKUP($A36,OFFSET([2]characters!$A$1,0,0,COUNTA([2]characters!$A:$A),MATCH(G$1,[2]characters!$1:$1,0)-MATCH($A$1,[2]characters!$1:$1,0)+1),MATCH(G$1,[2]characters!$1:$1,0)-MATCH($A$1,[2]characters!$1:$1,0)+1,FALSE)</f>
        <v>3</v>
      </c>
      <c r="H36" s="24" t="str">
        <f ca="1">VLOOKUP($A36,OFFSET([2]characters!$A$1,0,0,COUNTA([2]characters!$A:$A),MATCH(H$1,[2]characters!$1:$1,0)-MATCH($A$1,[2]characters!$1:$1,0)+1),MATCH(H$1,[2]characters!$1:$1,0)-MATCH($A$1,[2]characters!$1:$1,0)+1,FALSE)</f>
        <v>Drop1S</v>
      </c>
      <c r="I36" s="24" t="str">
        <f ca="1">VLOOKUP($A36,OFFSET([2]characters!$A$1,0,0,COUNTA([2]characters!$A:$A),MATCH(I$1,[2]characters!$1:$1,0)-MATCH($A$1,[2]characters!$1:$1,0)+1),MATCH(I$1,[2]characters!$1:$1,0)-MATCH($A$1,[2]characters!$1:$1,0)+1,FALSE)</f>
        <v>red</v>
      </c>
      <c r="J36" s="24" t="str">
        <f ca="1">VLOOKUP($A36,OFFSET([2]characters!$A$1,0,0,COUNTA([2]characters!$A:$A),MATCH(J$1,[2]characters!$1:$1,0)-MATCH($A$1,[2]characters!$1:$1,0)+1),MATCH(J$1,[2]characters!$1:$1,0)-MATCH($A$1,[2]characters!$1:$1,0)+1,FALSE)</f>
        <v>none</v>
      </c>
      <c r="K36" s="3" t="str">
        <f ca="1">VLOOKUP(J36,[2]character_tribe_i18n!$A:$H,3,FALSE)</f>
        <v>種族なし</v>
      </c>
      <c r="L36" s="5" t="e">
        <f>VLOOKUP(#REF!,[2]character_tribe_i18n!$A:$H,4,FALSE)</f>
        <v>#REF!</v>
      </c>
      <c r="M36" s="5" t="e">
        <f>VLOOKUP(#REF!,[2]character_tribe_i18n!$A:$H,5,FALSE)</f>
        <v>#REF!</v>
      </c>
      <c r="N36" s="5" t="e">
        <f>VLOOKUP(#REF!,[2]character_tribe_i18n!$A:$H,6,FALSE)</f>
        <v>#REF!</v>
      </c>
      <c r="O36" s="5" t="e">
        <f>VLOOKUP(#REF!,[2]character_tribe_i18n!$A:$H,7,FALSE)</f>
        <v>#REF!</v>
      </c>
      <c r="P36" s="83" t="s">
        <v>170</v>
      </c>
      <c r="Q36" s="4">
        <v>67</v>
      </c>
      <c r="R36" s="25" t="str">
        <f ca="1">IF(Q36="NULL","",VLOOKUP($Q36,OFFSET([2]characters!$A$1,0,0,COUNTA([2]characters!$A:$A),MATCH(R$1,[2]characters!$1:$1,0)-MATCH($A$1,[2]characters!$1:$1,0)+1),MATCH(R$1,[2]characters!$1:$1,0)-MATCH($A$1,[2]characters!$1:$1,0)+1,FALSE))</f>
        <v>双炎の探索者 ファイアフォックス</v>
      </c>
      <c r="S36" s="3">
        <f t="shared" ca="1" si="0"/>
        <v>65</v>
      </c>
      <c r="T36" s="25" t="str">
        <f ca="1">VLOOKUP($S36,OFFSET([2]characters!$A$1,0,0,COUNTA([2]characters!$A:$A),MATCH(T$1,[2]characters!$1:$1,0)-MATCH($A$1,[2]characters!$1:$1,0)+1),MATCH(T$1,[2]characters!$1:$1,0)-MATCH($A$1,[2]characters!$1:$1,0)+1,FALSE)</f>
        <v>ファイアフォックス</v>
      </c>
      <c r="U36" s="5">
        <f ca="1">IF(Q36="NULL","NULL",VLOOKUP(G36,ビット!$A$2:$B$7,2))</f>
        <v>20000</v>
      </c>
    </row>
    <row r="37" spans="1:21" ht="21" customHeight="1" x14ac:dyDescent="0.15">
      <c r="A37" s="83">
        <v>68</v>
      </c>
      <c r="B37" s="24" t="str">
        <f ca="1">VLOOKUP($A37,OFFSET([2]characters!$A$1,0,0,COUNTA([2]characters!$A:$A),MATCH(B$1,[2]characters!$1:$1,0)-MATCH($A$1,[2]characters!$1:$1,0)+1),MATCH(B$1,[2]characters!$1:$1,0)-MATCH($A$1,[2]characters!$1:$1,0)+1,FALSE)</f>
        <v>ストール</v>
      </c>
      <c r="C37" s="24" t="str">
        <f ca="1">VLOOKUP($A37,OFFSET([2]characters!$A$1,0,0,COUNTA([2]characters!$A:$A),MATCH(C$1,[2]characters!$1:$1,0)-MATCH($A$1,[2]characters!$1:$1,0)+1),MATCH(C$1,[2]characters!$1:$1,0)-MATCH($A$1,[2]characters!$1:$1,0)+1,FALSE)</f>
        <v>ノーマルクエスト</v>
      </c>
      <c r="D37" s="24" t="str">
        <f ca="1">VLOOKUP($A37,OFFSET([2]characters!$A$1,0,0,COUNTA([2]characters!$A:$A),MATCH(D$1,[2]characters!$1:$1,0)-MATCH($A$1,[2]characters!$1:$1,0)+1),MATCH(D$1,[2]characters!$1:$1,0)-MATCH($A$1,[2]characters!$1:$1,0)+1,FALSE)</f>
        <v>アバター</v>
      </c>
      <c r="E37" s="24" t="str">
        <f ca="1">VLOOKUP($A37,OFFSET([2]characters!$A$1,0,0,COUNTA([2]characters!$A:$A),MATCH(E$1,[2]characters!$1:$1,0)-MATCH($A$1,[2]characters!$1:$1,0)+1),MATCH(E$1,[2]characters!$1:$1,0)-MATCH($A$1,[2]characters!$1:$1,0)+1,FALSE)</f>
        <v>世界観</v>
      </c>
      <c r="F37" s="24" t="str">
        <f ca="1">VLOOKUP($A37,OFFSET([2]characters!$A$1,0,0,COUNTA([2]characters!$A:$A),MATCH(F$1,[2]characters!$1:$1,0)-MATCH($A$1,[2]characters!$1:$1,0)+1),MATCH(F$1,[2]characters!$1:$1,0)-MATCH($A$1,[2]characters!$1:$1,0)+1,FALSE)</f>
        <v>男性</v>
      </c>
      <c r="G37" s="24">
        <f ca="1">VLOOKUP($A37,OFFSET([2]characters!$A$1,0,0,COUNTA([2]characters!$A:$A),MATCH(G$1,[2]characters!$1:$1,0)-MATCH($A$1,[2]characters!$1:$1,0)+1),MATCH(G$1,[2]characters!$1:$1,0)-MATCH($A$1,[2]characters!$1:$1,0)+1,FALSE)</f>
        <v>2</v>
      </c>
      <c r="H37" s="24" t="str">
        <f ca="1">VLOOKUP($A37,OFFSET([2]characters!$A$1,0,0,COUNTA([2]characters!$A:$A),MATCH(H$1,[2]characters!$1:$1,0)-MATCH($A$1,[2]characters!$1:$1,0)+1),MATCH(H$1,[2]characters!$1:$1,0)-MATCH($A$1,[2]characters!$1:$1,0)+1,FALSE)</f>
        <v>Drop1S</v>
      </c>
      <c r="I37" s="24" t="str">
        <f ca="1">VLOOKUP($A37,OFFSET([2]characters!$A$1,0,0,COUNTA([2]characters!$A:$A),MATCH(I$1,[2]characters!$1:$1,0)-MATCH($A$1,[2]characters!$1:$1,0)+1),MATCH(I$1,[2]characters!$1:$1,0)-MATCH($A$1,[2]characters!$1:$1,0)+1,FALSE)</f>
        <v>green</v>
      </c>
      <c r="J37" s="24" t="str">
        <f ca="1">VLOOKUP($A37,OFFSET([2]characters!$A$1,0,0,COUNTA([2]characters!$A:$A),MATCH(J$1,[2]characters!$1:$1,0)-MATCH($A$1,[2]characters!$1:$1,0)+1),MATCH(J$1,[2]characters!$1:$1,0)-MATCH($A$1,[2]characters!$1:$1,0)+1,FALSE)</f>
        <v>none</v>
      </c>
      <c r="K37" s="3" t="str">
        <f ca="1">VLOOKUP(J37,[2]character_tribe_i18n!$A:$H,3,FALSE)</f>
        <v>種族なし</v>
      </c>
      <c r="L37" s="5" t="e">
        <f>VLOOKUP(#REF!,[2]character_tribe_i18n!$A:$H,4,FALSE)</f>
        <v>#REF!</v>
      </c>
      <c r="M37" s="5" t="e">
        <f>VLOOKUP(#REF!,[2]character_tribe_i18n!$A:$H,5,FALSE)</f>
        <v>#REF!</v>
      </c>
      <c r="N37" s="5" t="e">
        <f>VLOOKUP(#REF!,[2]character_tribe_i18n!$A:$H,6,FALSE)</f>
        <v>#REF!</v>
      </c>
      <c r="O37" s="5" t="e">
        <f>VLOOKUP(#REF!,[2]character_tribe_i18n!$A:$H,7,FALSE)</f>
        <v>#REF!</v>
      </c>
      <c r="P37" s="83" t="s">
        <v>170</v>
      </c>
      <c r="Q37" s="4">
        <v>69</v>
      </c>
      <c r="R37" s="25" t="str">
        <f ca="1">IF(Q37="NULL","",VLOOKUP($Q37,OFFSET([2]characters!$A$1,0,0,COUNTA([2]characters!$A:$A),MATCH(R$1,[2]characters!$1:$1,0)-MATCH($A$1,[2]characters!$1:$1,0)+1),MATCH(R$1,[2]characters!$1:$1,0)-MATCH($A$1,[2]characters!$1:$1,0)+1,FALSE))</f>
        <v>思想家 ストール</v>
      </c>
      <c r="S37" s="3">
        <f t="shared" ca="1" si="0"/>
        <v>68</v>
      </c>
      <c r="T37" s="25" t="str">
        <f ca="1">VLOOKUP($S37,OFFSET([2]characters!$A$1,0,0,COUNTA([2]characters!$A:$A),MATCH(T$1,[2]characters!$1:$1,0)-MATCH($A$1,[2]characters!$1:$1,0)+1),MATCH(T$1,[2]characters!$1:$1,0)-MATCH($A$1,[2]characters!$1:$1,0)+1,FALSE)</f>
        <v>ストール</v>
      </c>
      <c r="U37" s="5">
        <f ca="1">IF(Q37="NULL","NULL",VLOOKUP(G37,ビット!$A$2:$B$7,2))</f>
        <v>10000</v>
      </c>
    </row>
    <row r="38" spans="1:21" ht="21" customHeight="1" x14ac:dyDescent="0.15">
      <c r="A38" s="83">
        <v>69</v>
      </c>
      <c r="B38" s="24" t="str">
        <f ca="1">VLOOKUP($A38,OFFSET([2]characters!$A$1,0,0,COUNTA([2]characters!$A:$A),MATCH(B$1,[2]characters!$1:$1,0)-MATCH($A$1,[2]characters!$1:$1,0)+1),MATCH(B$1,[2]characters!$1:$1,0)-MATCH($A$1,[2]characters!$1:$1,0)+1,FALSE)</f>
        <v>思想家 ストール</v>
      </c>
      <c r="C38" s="24" t="str">
        <f ca="1">VLOOKUP($A38,OFFSET([2]characters!$A$1,0,0,COUNTA([2]characters!$A:$A),MATCH(C$1,[2]characters!$1:$1,0)-MATCH($A$1,[2]characters!$1:$1,0)+1),MATCH(C$1,[2]characters!$1:$1,0)-MATCH($A$1,[2]characters!$1:$1,0)+1,FALSE)</f>
        <v>ノーマルクエスト</v>
      </c>
      <c r="D38" s="24" t="str">
        <f ca="1">VLOOKUP($A38,OFFSET([2]characters!$A$1,0,0,COUNTA([2]characters!$A:$A),MATCH(D$1,[2]characters!$1:$1,0)-MATCH($A$1,[2]characters!$1:$1,0)+1),MATCH(D$1,[2]characters!$1:$1,0)-MATCH($A$1,[2]characters!$1:$1,0)+1,FALSE)</f>
        <v>アバター</v>
      </c>
      <c r="E38" s="24" t="str">
        <f ca="1">VLOOKUP($A38,OFFSET([2]characters!$A$1,0,0,COUNTA([2]characters!$A:$A),MATCH(E$1,[2]characters!$1:$1,0)-MATCH($A$1,[2]characters!$1:$1,0)+1),MATCH(E$1,[2]characters!$1:$1,0)-MATCH($A$1,[2]characters!$1:$1,0)+1,FALSE)</f>
        <v>世界観</v>
      </c>
      <c r="F38" s="24" t="str">
        <f ca="1">VLOOKUP($A38,OFFSET([2]characters!$A$1,0,0,COUNTA([2]characters!$A:$A),MATCH(F$1,[2]characters!$1:$1,0)-MATCH($A$1,[2]characters!$1:$1,0)+1),MATCH(F$1,[2]characters!$1:$1,0)-MATCH($A$1,[2]characters!$1:$1,0)+1,FALSE)</f>
        <v>男性</v>
      </c>
      <c r="G38" s="24">
        <f ca="1">VLOOKUP($A38,OFFSET([2]characters!$A$1,0,0,COUNTA([2]characters!$A:$A),MATCH(G$1,[2]characters!$1:$1,0)-MATCH($A$1,[2]characters!$1:$1,0)+1),MATCH(G$1,[2]characters!$1:$1,0)-MATCH($A$1,[2]characters!$1:$1,0)+1,FALSE)</f>
        <v>3</v>
      </c>
      <c r="H38" s="24" t="str">
        <f ca="1">VLOOKUP($A38,OFFSET([2]characters!$A$1,0,0,COUNTA([2]characters!$A:$A),MATCH(H$1,[2]characters!$1:$1,0)-MATCH($A$1,[2]characters!$1:$1,0)+1),MATCH(H$1,[2]characters!$1:$1,0)-MATCH($A$1,[2]characters!$1:$1,0)+1,FALSE)</f>
        <v>Drop1S</v>
      </c>
      <c r="I38" s="24" t="str">
        <f ca="1">VLOOKUP($A38,OFFSET([2]characters!$A$1,0,0,COUNTA([2]characters!$A:$A),MATCH(I$1,[2]characters!$1:$1,0)-MATCH($A$1,[2]characters!$1:$1,0)+1),MATCH(I$1,[2]characters!$1:$1,0)-MATCH($A$1,[2]characters!$1:$1,0)+1,FALSE)</f>
        <v>green</v>
      </c>
      <c r="J38" s="24" t="str">
        <f ca="1">VLOOKUP($A38,OFFSET([2]characters!$A$1,0,0,COUNTA([2]characters!$A:$A),MATCH(J$1,[2]characters!$1:$1,0)-MATCH($A$1,[2]characters!$1:$1,0)+1),MATCH(J$1,[2]characters!$1:$1,0)-MATCH($A$1,[2]characters!$1:$1,0)+1,FALSE)</f>
        <v>none</v>
      </c>
      <c r="K38" s="3" t="str">
        <f ca="1">VLOOKUP(J38,[2]character_tribe_i18n!$A:$H,3,FALSE)</f>
        <v>種族なし</v>
      </c>
      <c r="L38" s="5" t="e">
        <f>VLOOKUP(#REF!,[2]character_tribe_i18n!$A:$H,4,FALSE)</f>
        <v>#REF!</v>
      </c>
      <c r="M38" s="5" t="e">
        <f>VLOOKUP(#REF!,[2]character_tribe_i18n!$A:$H,5,FALSE)</f>
        <v>#REF!</v>
      </c>
      <c r="N38" s="5" t="e">
        <f>VLOOKUP(#REF!,[2]character_tribe_i18n!$A:$H,6,FALSE)</f>
        <v>#REF!</v>
      </c>
      <c r="O38" s="5" t="e">
        <f>VLOOKUP(#REF!,[2]character_tribe_i18n!$A:$H,7,FALSE)</f>
        <v>#REF!</v>
      </c>
      <c r="P38" s="83" t="s">
        <v>170</v>
      </c>
      <c r="Q38" s="4">
        <v>70</v>
      </c>
      <c r="R38" s="25" t="str">
        <f ca="1">IF(Q38="NULL","",VLOOKUP($Q38,OFFSET([2]characters!$A$1,0,0,COUNTA([2]characters!$A:$A),MATCH(R$1,[2]characters!$1:$1,0)-MATCH($A$1,[2]characters!$1:$1,0)+1),MATCH(R$1,[2]characters!$1:$1,0)-MATCH($A$1,[2]characters!$1:$1,0)+1,FALSE))</f>
        <v>自由の思想家 ストール</v>
      </c>
      <c r="S38" s="3">
        <f t="shared" ca="1" si="0"/>
        <v>68</v>
      </c>
      <c r="T38" s="25" t="str">
        <f ca="1">VLOOKUP($S38,OFFSET([2]characters!$A$1,0,0,COUNTA([2]characters!$A:$A),MATCH(T$1,[2]characters!$1:$1,0)-MATCH($A$1,[2]characters!$1:$1,0)+1),MATCH(T$1,[2]characters!$1:$1,0)-MATCH($A$1,[2]characters!$1:$1,0)+1,FALSE)</f>
        <v>ストール</v>
      </c>
      <c r="U38" s="5">
        <f ca="1">IF(Q38="NULL","NULL",VLOOKUP(G38,ビット!$A$2:$B$7,2))</f>
        <v>20000</v>
      </c>
    </row>
    <row r="39" spans="1:21" ht="21" customHeight="1" x14ac:dyDescent="0.15">
      <c r="A39" s="83">
        <v>71</v>
      </c>
      <c r="B39" s="24" t="str">
        <f ca="1">VLOOKUP($A39,OFFSET([2]characters!$A$1,0,0,COUNTA([2]characters!$A:$A),MATCH(B$1,[2]characters!$1:$1,0)-MATCH($A$1,[2]characters!$1:$1,0)+1),MATCH(B$1,[2]characters!$1:$1,0)-MATCH($A$1,[2]characters!$1:$1,0)+1,FALSE)</f>
        <v>ダックス</v>
      </c>
      <c r="C39" s="24" t="str">
        <f ca="1">VLOOKUP($A39,OFFSET([2]characters!$A$1,0,0,COUNTA([2]characters!$A:$A),MATCH(C$1,[2]characters!$1:$1,0)-MATCH($A$1,[2]characters!$1:$1,0)+1),MATCH(C$1,[2]characters!$1:$1,0)-MATCH($A$1,[2]characters!$1:$1,0)+1,FALSE)</f>
        <v>ノーマルクエスト</v>
      </c>
      <c r="D39" s="24" t="str">
        <f ca="1">VLOOKUP($A39,OFFSET([2]characters!$A$1,0,0,COUNTA([2]characters!$A:$A),MATCH(D$1,[2]characters!$1:$1,0)-MATCH($A$1,[2]characters!$1:$1,0)+1),MATCH(D$1,[2]characters!$1:$1,0)-MATCH($A$1,[2]characters!$1:$1,0)+1,FALSE)</f>
        <v>アバター</v>
      </c>
      <c r="E39" s="24" t="str">
        <f ca="1">VLOOKUP($A39,OFFSET([2]characters!$A$1,0,0,COUNTA([2]characters!$A:$A),MATCH(E$1,[2]characters!$1:$1,0)-MATCH($A$1,[2]characters!$1:$1,0)+1),MATCH(E$1,[2]characters!$1:$1,0)-MATCH($A$1,[2]characters!$1:$1,0)+1,FALSE)</f>
        <v>世界観</v>
      </c>
      <c r="F39" s="24" t="str">
        <f ca="1">VLOOKUP($A39,OFFSET([2]characters!$A$1,0,0,COUNTA([2]characters!$A:$A),MATCH(F$1,[2]characters!$1:$1,0)-MATCH($A$1,[2]characters!$1:$1,0)+1),MATCH(F$1,[2]characters!$1:$1,0)-MATCH($A$1,[2]characters!$1:$1,0)+1,FALSE)</f>
        <v>男性</v>
      </c>
      <c r="G39" s="24">
        <f ca="1">VLOOKUP($A39,OFFSET([2]characters!$A$1,0,0,COUNTA([2]characters!$A:$A),MATCH(G$1,[2]characters!$1:$1,0)-MATCH($A$1,[2]characters!$1:$1,0)+1),MATCH(G$1,[2]characters!$1:$1,0)-MATCH($A$1,[2]characters!$1:$1,0)+1,FALSE)</f>
        <v>2</v>
      </c>
      <c r="H39" s="24" t="str">
        <f ca="1">VLOOKUP($A39,OFFSET([2]characters!$A$1,0,0,COUNTA([2]characters!$A:$A),MATCH(H$1,[2]characters!$1:$1,0)-MATCH($A$1,[2]characters!$1:$1,0)+1),MATCH(H$1,[2]characters!$1:$1,0)-MATCH($A$1,[2]characters!$1:$1,0)+1,FALSE)</f>
        <v>Drop1S</v>
      </c>
      <c r="I39" s="24" t="str">
        <f ca="1">VLOOKUP($A39,OFFSET([2]characters!$A$1,0,0,COUNTA([2]characters!$A:$A),MATCH(I$1,[2]characters!$1:$1,0)-MATCH($A$1,[2]characters!$1:$1,0)+1),MATCH(I$1,[2]characters!$1:$1,0)-MATCH($A$1,[2]characters!$1:$1,0)+1,FALSE)</f>
        <v>blue</v>
      </c>
      <c r="J39" s="24" t="str">
        <f ca="1">VLOOKUP($A39,OFFSET([2]characters!$A$1,0,0,COUNTA([2]characters!$A:$A),MATCH(J$1,[2]characters!$1:$1,0)-MATCH($A$1,[2]characters!$1:$1,0)+1),MATCH(J$1,[2]characters!$1:$1,0)-MATCH($A$1,[2]characters!$1:$1,0)+1,FALSE)</f>
        <v>none</v>
      </c>
      <c r="K39" s="3" t="str">
        <f ca="1">VLOOKUP(J39,[2]character_tribe_i18n!$A:$H,3,FALSE)</f>
        <v>種族なし</v>
      </c>
      <c r="L39" s="5" t="e">
        <f>VLOOKUP(#REF!,[2]character_tribe_i18n!$A:$H,4,FALSE)</f>
        <v>#REF!</v>
      </c>
      <c r="M39" s="5" t="e">
        <f>VLOOKUP(#REF!,[2]character_tribe_i18n!$A:$H,5,FALSE)</f>
        <v>#REF!</v>
      </c>
      <c r="N39" s="5" t="e">
        <f>VLOOKUP(#REF!,[2]character_tribe_i18n!$A:$H,6,FALSE)</f>
        <v>#REF!</v>
      </c>
      <c r="O39" s="5" t="e">
        <f>VLOOKUP(#REF!,[2]character_tribe_i18n!$A:$H,7,FALSE)</f>
        <v>#REF!</v>
      </c>
      <c r="P39" s="83" t="s">
        <v>170</v>
      </c>
      <c r="Q39" s="4">
        <v>72</v>
      </c>
      <c r="R39" s="25" t="str">
        <f ca="1">IF(Q39="NULL","",VLOOKUP($Q39,OFFSET([2]characters!$A$1,0,0,COUNTA([2]characters!$A:$A),MATCH(R$1,[2]characters!$1:$1,0)-MATCH($A$1,[2]characters!$1:$1,0)+1),MATCH(R$1,[2]characters!$1:$1,0)-MATCH($A$1,[2]characters!$1:$1,0)+1,FALSE))</f>
        <v>探求者 ダックス</v>
      </c>
      <c r="S39" s="3">
        <f t="shared" ca="1" si="0"/>
        <v>71</v>
      </c>
      <c r="T39" s="25" t="str">
        <f ca="1">VLOOKUP($S39,OFFSET([2]characters!$A$1,0,0,COUNTA([2]characters!$A:$A),MATCH(T$1,[2]characters!$1:$1,0)-MATCH($A$1,[2]characters!$1:$1,0)+1),MATCH(T$1,[2]characters!$1:$1,0)-MATCH($A$1,[2]characters!$1:$1,0)+1,FALSE)</f>
        <v>ダックス</v>
      </c>
      <c r="U39" s="5">
        <f ca="1">IF(Q39="NULL","NULL",VLOOKUP(G39,ビット!$A$2:$B$7,2))</f>
        <v>10000</v>
      </c>
    </row>
    <row r="40" spans="1:21" ht="21" customHeight="1" x14ac:dyDescent="0.15">
      <c r="A40" s="83">
        <v>72</v>
      </c>
      <c r="B40" s="24" t="str">
        <f ca="1">VLOOKUP($A40,OFFSET([2]characters!$A$1,0,0,COUNTA([2]characters!$A:$A),MATCH(B$1,[2]characters!$1:$1,0)-MATCH($A$1,[2]characters!$1:$1,0)+1),MATCH(B$1,[2]characters!$1:$1,0)-MATCH($A$1,[2]characters!$1:$1,0)+1,FALSE)</f>
        <v>探求者 ダックス</v>
      </c>
      <c r="C40" s="24" t="str">
        <f ca="1">VLOOKUP($A40,OFFSET([2]characters!$A$1,0,0,COUNTA([2]characters!$A:$A),MATCH(C$1,[2]characters!$1:$1,0)-MATCH($A$1,[2]characters!$1:$1,0)+1),MATCH(C$1,[2]characters!$1:$1,0)-MATCH($A$1,[2]characters!$1:$1,0)+1,FALSE)</f>
        <v>ノーマルクエスト</v>
      </c>
      <c r="D40" s="24" t="str">
        <f ca="1">VLOOKUP($A40,OFFSET([2]characters!$A$1,0,0,COUNTA([2]characters!$A:$A),MATCH(D$1,[2]characters!$1:$1,0)-MATCH($A$1,[2]characters!$1:$1,0)+1),MATCH(D$1,[2]characters!$1:$1,0)-MATCH($A$1,[2]characters!$1:$1,0)+1,FALSE)</f>
        <v>アバター</v>
      </c>
      <c r="E40" s="24" t="str">
        <f ca="1">VLOOKUP($A40,OFFSET([2]characters!$A$1,0,0,COUNTA([2]characters!$A:$A),MATCH(E$1,[2]characters!$1:$1,0)-MATCH($A$1,[2]characters!$1:$1,0)+1),MATCH(E$1,[2]characters!$1:$1,0)-MATCH($A$1,[2]characters!$1:$1,0)+1,FALSE)</f>
        <v>世界観</v>
      </c>
      <c r="F40" s="24" t="str">
        <f ca="1">VLOOKUP($A40,OFFSET([2]characters!$A$1,0,0,COUNTA([2]characters!$A:$A),MATCH(F$1,[2]characters!$1:$1,0)-MATCH($A$1,[2]characters!$1:$1,0)+1),MATCH(F$1,[2]characters!$1:$1,0)-MATCH($A$1,[2]characters!$1:$1,0)+1,FALSE)</f>
        <v>男性</v>
      </c>
      <c r="G40" s="24">
        <f ca="1">VLOOKUP($A40,OFFSET([2]characters!$A$1,0,0,COUNTA([2]characters!$A:$A),MATCH(G$1,[2]characters!$1:$1,0)-MATCH($A$1,[2]characters!$1:$1,0)+1),MATCH(G$1,[2]characters!$1:$1,0)-MATCH($A$1,[2]characters!$1:$1,0)+1,FALSE)</f>
        <v>3</v>
      </c>
      <c r="H40" s="24" t="str">
        <f ca="1">VLOOKUP($A40,OFFSET([2]characters!$A$1,0,0,COUNTA([2]characters!$A:$A),MATCH(H$1,[2]characters!$1:$1,0)-MATCH($A$1,[2]characters!$1:$1,0)+1),MATCH(H$1,[2]characters!$1:$1,0)-MATCH($A$1,[2]characters!$1:$1,0)+1,FALSE)</f>
        <v>Drop1S</v>
      </c>
      <c r="I40" s="24" t="str">
        <f ca="1">VLOOKUP($A40,OFFSET([2]characters!$A$1,0,0,COUNTA([2]characters!$A:$A),MATCH(I$1,[2]characters!$1:$1,0)-MATCH($A$1,[2]characters!$1:$1,0)+1),MATCH(I$1,[2]characters!$1:$1,0)-MATCH($A$1,[2]characters!$1:$1,0)+1,FALSE)</f>
        <v>blue</v>
      </c>
      <c r="J40" s="24" t="str">
        <f ca="1">VLOOKUP($A40,OFFSET([2]characters!$A$1,0,0,COUNTA([2]characters!$A:$A),MATCH(J$1,[2]characters!$1:$1,0)-MATCH($A$1,[2]characters!$1:$1,0)+1),MATCH(J$1,[2]characters!$1:$1,0)-MATCH($A$1,[2]characters!$1:$1,0)+1,FALSE)</f>
        <v>none</v>
      </c>
      <c r="K40" s="3" t="str">
        <f ca="1">VLOOKUP(J40,[2]character_tribe_i18n!$A:$H,3,FALSE)</f>
        <v>種族なし</v>
      </c>
      <c r="L40" s="5" t="e">
        <f>VLOOKUP(#REF!,[2]character_tribe_i18n!$A:$H,4,FALSE)</f>
        <v>#REF!</v>
      </c>
      <c r="M40" s="5" t="e">
        <f>VLOOKUP(#REF!,[2]character_tribe_i18n!$A:$H,5,FALSE)</f>
        <v>#REF!</v>
      </c>
      <c r="N40" s="5" t="e">
        <f>VLOOKUP(#REF!,[2]character_tribe_i18n!$A:$H,6,FALSE)</f>
        <v>#REF!</v>
      </c>
      <c r="O40" s="5" t="e">
        <f>VLOOKUP(#REF!,[2]character_tribe_i18n!$A:$H,7,FALSE)</f>
        <v>#REF!</v>
      </c>
      <c r="P40" s="83" t="s">
        <v>170</v>
      </c>
      <c r="Q40" s="4">
        <v>73</v>
      </c>
      <c r="R40" s="25" t="str">
        <f ca="1">IF(Q40="NULL","",VLOOKUP($Q40,OFFSET([2]characters!$A$1,0,0,COUNTA([2]characters!$A:$A),MATCH(R$1,[2]characters!$1:$1,0)-MATCH($A$1,[2]characters!$1:$1,0)+1),MATCH(R$1,[2]characters!$1:$1,0)-MATCH($A$1,[2]characters!$1:$1,0)+1,FALSE))</f>
        <v>自由の探求者 ダックス</v>
      </c>
      <c r="S40" s="3">
        <f t="shared" ca="1" si="0"/>
        <v>71</v>
      </c>
      <c r="T40" s="25" t="str">
        <f ca="1">VLOOKUP($S40,OFFSET([2]characters!$A$1,0,0,COUNTA([2]characters!$A:$A),MATCH(T$1,[2]characters!$1:$1,0)-MATCH($A$1,[2]characters!$1:$1,0)+1),MATCH(T$1,[2]characters!$1:$1,0)-MATCH($A$1,[2]characters!$1:$1,0)+1,FALSE)</f>
        <v>ダックス</v>
      </c>
      <c r="U40" s="5">
        <f ca="1">IF(Q40="NULL","NULL",VLOOKUP(G40,ビット!$A$2:$B$7,2))</f>
        <v>20000</v>
      </c>
    </row>
    <row r="41" spans="1:21" ht="21" customHeight="1" x14ac:dyDescent="0.15">
      <c r="A41" s="83">
        <v>74</v>
      </c>
      <c r="B41" s="24" t="str">
        <f ca="1">VLOOKUP($A41,OFFSET([2]characters!$A$1,0,0,COUNTA([2]characters!$A:$A),MATCH(B$1,[2]characters!$1:$1,0)-MATCH($A$1,[2]characters!$1:$1,0)+1),MATCH(B$1,[2]characters!$1:$1,0)-MATCH($A$1,[2]characters!$1:$1,0)+1,FALSE)</f>
        <v>サンダーバード</v>
      </c>
      <c r="C41" s="24" t="str">
        <f ca="1">VLOOKUP($A41,OFFSET([2]characters!$A$1,0,0,COUNTA([2]characters!$A:$A),MATCH(C$1,[2]characters!$1:$1,0)-MATCH($A$1,[2]characters!$1:$1,0)+1),MATCH(C$1,[2]characters!$1:$1,0)-MATCH($A$1,[2]characters!$1:$1,0)+1,FALSE)</f>
        <v>ノーマルクエスト</v>
      </c>
      <c r="D41" s="24" t="str">
        <f ca="1">VLOOKUP($A41,OFFSET([2]characters!$A$1,0,0,COUNTA([2]characters!$A:$A),MATCH(D$1,[2]characters!$1:$1,0)-MATCH($A$1,[2]characters!$1:$1,0)+1),MATCH(D$1,[2]characters!$1:$1,0)-MATCH($A$1,[2]characters!$1:$1,0)+1,FALSE)</f>
        <v>アバター</v>
      </c>
      <c r="E41" s="24" t="str">
        <f ca="1">VLOOKUP($A41,OFFSET([2]characters!$A$1,0,0,COUNTA([2]characters!$A:$A),MATCH(E$1,[2]characters!$1:$1,0)-MATCH($A$1,[2]characters!$1:$1,0)+1),MATCH(E$1,[2]characters!$1:$1,0)-MATCH($A$1,[2]characters!$1:$1,0)+1,FALSE)</f>
        <v>世界観</v>
      </c>
      <c r="F41" s="24" t="str">
        <f ca="1">VLOOKUP($A41,OFFSET([2]characters!$A$1,0,0,COUNTA([2]characters!$A:$A),MATCH(F$1,[2]characters!$1:$1,0)-MATCH($A$1,[2]characters!$1:$1,0)+1),MATCH(F$1,[2]characters!$1:$1,0)-MATCH($A$1,[2]characters!$1:$1,0)+1,FALSE)</f>
        <v>男性</v>
      </c>
      <c r="G41" s="24">
        <f ca="1">VLOOKUP($A41,OFFSET([2]characters!$A$1,0,0,COUNTA([2]characters!$A:$A),MATCH(G$1,[2]characters!$1:$1,0)-MATCH($A$1,[2]characters!$1:$1,0)+1),MATCH(G$1,[2]characters!$1:$1,0)-MATCH($A$1,[2]characters!$1:$1,0)+1,FALSE)</f>
        <v>2</v>
      </c>
      <c r="H41" s="24" t="str">
        <f ca="1">VLOOKUP($A41,OFFSET([2]characters!$A$1,0,0,COUNTA([2]characters!$A:$A),MATCH(H$1,[2]characters!$1:$1,0)-MATCH($A$1,[2]characters!$1:$1,0)+1),MATCH(H$1,[2]characters!$1:$1,0)-MATCH($A$1,[2]characters!$1:$1,0)+1,FALSE)</f>
        <v>Drop1S</v>
      </c>
      <c r="I41" s="24" t="str">
        <f ca="1">VLOOKUP($A41,OFFSET([2]characters!$A$1,0,0,COUNTA([2]characters!$A:$A),MATCH(I$1,[2]characters!$1:$1,0)-MATCH($A$1,[2]characters!$1:$1,0)+1),MATCH(I$1,[2]characters!$1:$1,0)-MATCH($A$1,[2]characters!$1:$1,0)+1,FALSE)</f>
        <v>yellow</v>
      </c>
      <c r="J41" s="24" t="str">
        <f ca="1">VLOOKUP($A41,OFFSET([2]characters!$A$1,0,0,COUNTA([2]characters!$A:$A),MATCH(J$1,[2]characters!$1:$1,0)-MATCH($A$1,[2]characters!$1:$1,0)+1),MATCH(J$1,[2]characters!$1:$1,0)-MATCH($A$1,[2]characters!$1:$1,0)+1,FALSE)</f>
        <v>none</v>
      </c>
      <c r="K41" s="3" t="str">
        <f ca="1">VLOOKUP(J41,[2]character_tribe_i18n!$A:$H,3,FALSE)</f>
        <v>種族なし</v>
      </c>
      <c r="L41" s="5" t="e">
        <f>VLOOKUP(#REF!,[2]character_tribe_i18n!$A:$H,4,FALSE)</f>
        <v>#REF!</v>
      </c>
      <c r="M41" s="5" t="e">
        <f>VLOOKUP(#REF!,[2]character_tribe_i18n!$A:$H,5,FALSE)</f>
        <v>#REF!</v>
      </c>
      <c r="N41" s="5" t="e">
        <f>VLOOKUP(#REF!,[2]character_tribe_i18n!$A:$H,6,FALSE)</f>
        <v>#REF!</v>
      </c>
      <c r="O41" s="5" t="e">
        <f>VLOOKUP(#REF!,[2]character_tribe_i18n!$A:$H,7,FALSE)</f>
        <v>#REF!</v>
      </c>
      <c r="P41" s="83" t="s">
        <v>170</v>
      </c>
      <c r="Q41" s="4">
        <v>75</v>
      </c>
      <c r="R41" s="25" t="str">
        <f ca="1">IF(Q41="NULL","",VLOOKUP($Q41,OFFSET([2]characters!$A$1,0,0,COUNTA([2]characters!$A:$A),MATCH(R$1,[2]characters!$1:$1,0)-MATCH($A$1,[2]characters!$1:$1,0)+1),MATCH(R$1,[2]characters!$1:$1,0)-MATCH($A$1,[2]characters!$1:$1,0)+1,FALSE))</f>
        <v>伝令者 サンダーバード</v>
      </c>
      <c r="S41" s="3">
        <f t="shared" ca="1" si="0"/>
        <v>74</v>
      </c>
      <c r="T41" s="25" t="str">
        <f ca="1">VLOOKUP($S41,OFFSET([2]characters!$A$1,0,0,COUNTA([2]characters!$A:$A),MATCH(T$1,[2]characters!$1:$1,0)-MATCH($A$1,[2]characters!$1:$1,0)+1),MATCH(T$1,[2]characters!$1:$1,0)-MATCH($A$1,[2]characters!$1:$1,0)+1,FALSE)</f>
        <v>サンダーバード</v>
      </c>
      <c r="U41" s="5">
        <f ca="1">IF(Q41="NULL","NULL",VLOOKUP(G41,ビット!$A$2:$B$7,2))</f>
        <v>10000</v>
      </c>
    </row>
    <row r="42" spans="1:21" ht="21" customHeight="1" x14ac:dyDescent="0.15">
      <c r="A42" s="83">
        <v>75</v>
      </c>
      <c r="B42" s="24" t="str">
        <f ca="1">VLOOKUP($A42,OFFSET([2]characters!$A$1,0,0,COUNTA([2]characters!$A:$A),MATCH(B$1,[2]characters!$1:$1,0)-MATCH($A$1,[2]characters!$1:$1,0)+1),MATCH(B$1,[2]characters!$1:$1,0)-MATCH($A$1,[2]characters!$1:$1,0)+1,FALSE)</f>
        <v>伝令者 サンダーバード</v>
      </c>
      <c r="C42" s="24" t="str">
        <f ca="1">VLOOKUP($A42,OFFSET([2]characters!$A$1,0,0,COUNTA([2]characters!$A:$A),MATCH(C$1,[2]characters!$1:$1,0)-MATCH($A$1,[2]characters!$1:$1,0)+1),MATCH(C$1,[2]characters!$1:$1,0)-MATCH($A$1,[2]characters!$1:$1,0)+1,FALSE)</f>
        <v>ノーマルクエスト</v>
      </c>
      <c r="D42" s="24" t="str">
        <f ca="1">VLOOKUP($A42,OFFSET([2]characters!$A$1,0,0,COUNTA([2]characters!$A:$A),MATCH(D$1,[2]characters!$1:$1,0)-MATCH($A$1,[2]characters!$1:$1,0)+1),MATCH(D$1,[2]characters!$1:$1,0)-MATCH($A$1,[2]characters!$1:$1,0)+1,FALSE)</f>
        <v>アバター</v>
      </c>
      <c r="E42" s="24" t="str">
        <f ca="1">VLOOKUP($A42,OFFSET([2]characters!$A$1,0,0,COUNTA([2]characters!$A:$A),MATCH(E$1,[2]characters!$1:$1,0)-MATCH($A$1,[2]characters!$1:$1,0)+1),MATCH(E$1,[2]characters!$1:$1,0)-MATCH($A$1,[2]characters!$1:$1,0)+1,FALSE)</f>
        <v>世界観</v>
      </c>
      <c r="F42" s="24" t="str">
        <f ca="1">VLOOKUP($A42,OFFSET([2]characters!$A$1,0,0,COUNTA([2]characters!$A:$A),MATCH(F$1,[2]characters!$1:$1,0)-MATCH($A$1,[2]characters!$1:$1,0)+1),MATCH(F$1,[2]characters!$1:$1,0)-MATCH($A$1,[2]characters!$1:$1,0)+1,FALSE)</f>
        <v>男性</v>
      </c>
      <c r="G42" s="24">
        <f ca="1">VLOOKUP($A42,OFFSET([2]characters!$A$1,0,0,COUNTA([2]characters!$A:$A),MATCH(G$1,[2]characters!$1:$1,0)-MATCH($A$1,[2]characters!$1:$1,0)+1),MATCH(G$1,[2]characters!$1:$1,0)-MATCH($A$1,[2]characters!$1:$1,0)+1,FALSE)</f>
        <v>3</v>
      </c>
      <c r="H42" s="24" t="str">
        <f ca="1">VLOOKUP($A42,OFFSET([2]characters!$A$1,0,0,COUNTA([2]characters!$A:$A),MATCH(H$1,[2]characters!$1:$1,0)-MATCH($A$1,[2]characters!$1:$1,0)+1),MATCH(H$1,[2]characters!$1:$1,0)-MATCH($A$1,[2]characters!$1:$1,0)+1,FALSE)</f>
        <v>Drop1S</v>
      </c>
      <c r="I42" s="24" t="str">
        <f ca="1">VLOOKUP($A42,OFFSET([2]characters!$A$1,0,0,COUNTA([2]characters!$A:$A),MATCH(I$1,[2]characters!$1:$1,0)-MATCH($A$1,[2]characters!$1:$1,0)+1),MATCH(I$1,[2]characters!$1:$1,0)-MATCH($A$1,[2]characters!$1:$1,0)+1,FALSE)</f>
        <v>yellow</v>
      </c>
      <c r="J42" s="24" t="str">
        <f ca="1">VLOOKUP($A42,OFFSET([2]characters!$A$1,0,0,COUNTA([2]characters!$A:$A),MATCH(J$1,[2]characters!$1:$1,0)-MATCH($A$1,[2]characters!$1:$1,0)+1),MATCH(J$1,[2]characters!$1:$1,0)-MATCH($A$1,[2]characters!$1:$1,0)+1,FALSE)</f>
        <v>none</v>
      </c>
      <c r="K42" s="3" t="str">
        <f ca="1">VLOOKUP(J42,[2]character_tribe_i18n!$A:$H,3,FALSE)</f>
        <v>種族なし</v>
      </c>
      <c r="L42" s="5" t="e">
        <f>VLOOKUP(#REF!,[2]character_tribe_i18n!$A:$H,4,FALSE)</f>
        <v>#REF!</v>
      </c>
      <c r="M42" s="5" t="e">
        <f>VLOOKUP(#REF!,[2]character_tribe_i18n!$A:$H,5,FALSE)</f>
        <v>#REF!</v>
      </c>
      <c r="N42" s="5" t="e">
        <f>VLOOKUP(#REF!,[2]character_tribe_i18n!$A:$H,6,FALSE)</f>
        <v>#REF!</v>
      </c>
      <c r="O42" s="5" t="e">
        <f>VLOOKUP(#REF!,[2]character_tribe_i18n!$A:$H,7,FALSE)</f>
        <v>#REF!</v>
      </c>
      <c r="P42" s="83" t="s">
        <v>170</v>
      </c>
      <c r="Q42" s="4">
        <v>76</v>
      </c>
      <c r="R42" s="25" t="str">
        <f ca="1">IF(Q42="NULL","",VLOOKUP($Q42,OFFSET([2]characters!$A$1,0,0,COUNTA([2]characters!$A:$A),MATCH(R$1,[2]characters!$1:$1,0)-MATCH($A$1,[2]characters!$1:$1,0)+1),MATCH(R$1,[2]characters!$1:$1,0)-MATCH($A$1,[2]characters!$1:$1,0)+1,FALSE))</f>
        <v>閃速の伝令者 サンダーバード</v>
      </c>
      <c r="S42" s="3">
        <f t="shared" ca="1" si="0"/>
        <v>74</v>
      </c>
      <c r="T42" s="25" t="str">
        <f ca="1">VLOOKUP($S42,OFFSET([2]characters!$A$1,0,0,COUNTA([2]characters!$A:$A),MATCH(T$1,[2]characters!$1:$1,0)-MATCH($A$1,[2]characters!$1:$1,0)+1),MATCH(T$1,[2]characters!$1:$1,0)-MATCH($A$1,[2]characters!$1:$1,0)+1,FALSE)</f>
        <v>サンダーバード</v>
      </c>
      <c r="U42" s="5">
        <f ca="1">IF(Q42="NULL","NULL",VLOOKUP(G42,ビット!$A$2:$B$7,2))</f>
        <v>20000</v>
      </c>
    </row>
    <row r="43" spans="1:21" ht="21" customHeight="1" x14ac:dyDescent="0.15">
      <c r="A43" s="83">
        <v>77</v>
      </c>
      <c r="B43" s="24" t="str">
        <f ca="1">VLOOKUP($A43,OFFSET([2]characters!$A$1,0,0,COUNTA([2]characters!$A:$A),MATCH(B$1,[2]characters!$1:$1,0)-MATCH($A$1,[2]characters!$1:$1,0)+1),MATCH(B$1,[2]characters!$1:$1,0)-MATCH($A$1,[2]characters!$1:$1,0)+1,FALSE)</f>
        <v>潜伏型メリッサ</v>
      </c>
      <c r="C43" s="24" t="str">
        <f ca="1">VLOOKUP($A43,OFFSET([2]characters!$A$1,0,0,COUNTA([2]characters!$A:$A),MATCH(C$1,[2]characters!$1:$1,0)-MATCH($A$1,[2]characters!$1:$1,0)+1),MATCH(C$1,[2]characters!$1:$1,0)-MATCH($A$1,[2]characters!$1:$1,0)+1,FALSE)</f>
        <v>イベント:ウィルス01</v>
      </c>
      <c r="D43" s="24" t="str">
        <f ca="1">VLOOKUP($A43,OFFSET([2]characters!$A$1,0,0,COUNTA([2]characters!$A:$A),MATCH(D$1,[2]characters!$1:$1,0)-MATCH($A$1,[2]characters!$1:$1,0)+1),MATCH(D$1,[2]characters!$1:$1,0)-MATCH($A$1,[2]characters!$1:$1,0)+1,FALSE)</f>
        <v>ウィルス</v>
      </c>
      <c r="E43" s="24" t="str">
        <f ca="1">VLOOKUP($A43,OFFSET([2]characters!$A$1,0,0,COUNTA([2]characters!$A:$A),MATCH(E$1,[2]characters!$1:$1,0)-MATCH($A$1,[2]characters!$1:$1,0)+1),MATCH(E$1,[2]characters!$1:$1,0)-MATCH($A$1,[2]characters!$1:$1,0)+1,FALSE)</f>
        <v>世界観</v>
      </c>
      <c r="F43" s="24" t="str">
        <f ca="1">VLOOKUP($A43,OFFSET([2]characters!$A$1,0,0,COUNTA([2]characters!$A:$A),MATCH(F$1,[2]characters!$1:$1,0)-MATCH($A$1,[2]characters!$1:$1,0)+1),MATCH(F$1,[2]characters!$1:$1,0)-MATCH($A$1,[2]characters!$1:$1,0)+1,FALSE)</f>
        <v>女性</v>
      </c>
      <c r="G43" s="24">
        <f ca="1">VLOOKUP($A43,OFFSET([2]characters!$A$1,0,0,COUNTA([2]characters!$A:$A),MATCH(G$1,[2]characters!$1:$1,0)-MATCH($A$1,[2]characters!$1:$1,0)+1),MATCH(G$1,[2]characters!$1:$1,0)-MATCH($A$1,[2]characters!$1:$1,0)+1,FALSE)</f>
        <v>3</v>
      </c>
      <c r="H43" s="24" t="str">
        <f ca="1">VLOOKUP($A43,OFFSET([2]characters!$A$1,0,0,COUNTA([2]characters!$A:$A),MATCH(H$1,[2]characters!$1:$1,0)-MATCH($A$1,[2]characters!$1:$1,0)+1),MATCH(H$1,[2]characters!$1:$1,0)-MATCH($A$1,[2]characters!$1:$1,0)+1,FALSE)</f>
        <v>DropWizW</v>
      </c>
      <c r="I43" s="24" t="str">
        <f ca="1">VLOOKUP($A43,OFFSET([2]characters!$A$1,0,0,COUNTA([2]characters!$A:$A),MATCH(I$1,[2]characters!$1:$1,0)-MATCH($A$1,[2]characters!$1:$1,0)+1),MATCH(I$1,[2]characters!$1:$1,0)-MATCH($A$1,[2]characters!$1:$1,0)+1,FALSE)</f>
        <v>red</v>
      </c>
      <c r="J43" s="24" t="str">
        <f ca="1">VLOOKUP($A43,OFFSET([2]characters!$A$1,0,0,COUNTA([2]characters!$A:$A),MATCH(J$1,[2]characters!$1:$1,0)-MATCH($A$1,[2]characters!$1:$1,0)+1),MATCH(J$1,[2]characters!$1:$1,0)-MATCH($A$1,[2]characters!$1:$1,0)+1,FALSE)</f>
        <v>none</v>
      </c>
      <c r="K43" s="3" t="str">
        <f ca="1">VLOOKUP(J43,[2]character_tribe_i18n!$A:$H,3,FALSE)</f>
        <v>種族なし</v>
      </c>
      <c r="L43" s="5" t="e">
        <f>VLOOKUP(#REF!,[2]character_tribe_i18n!$A:$H,4,FALSE)</f>
        <v>#REF!</v>
      </c>
      <c r="M43" s="5" t="e">
        <f>VLOOKUP(#REF!,[2]character_tribe_i18n!$A:$H,5,FALSE)</f>
        <v>#REF!</v>
      </c>
      <c r="N43" s="5" t="e">
        <f>VLOOKUP(#REF!,[2]character_tribe_i18n!$A:$H,6,FALSE)</f>
        <v>#REF!</v>
      </c>
      <c r="O43" s="5" t="e">
        <f>VLOOKUP(#REF!,[2]character_tribe_i18n!$A:$H,7,FALSE)</f>
        <v>#REF!</v>
      </c>
      <c r="P43" s="83" t="s">
        <v>170</v>
      </c>
      <c r="Q43" s="4">
        <v>78</v>
      </c>
      <c r="R43" s="25" t="str">
        <f ca="1">IF(Q43="NULL","",VLOOKUP($Q43,OFFSET([2]characters!$A$1,0,0,COUNTA([2]characters!$A:$A),MATCH(R$1,[2]characters!$1:$1,0)-MATCH($A$1,[2]characters!$1:$1,0)+1),MATCH(R$1,[2]characters!$1:$1,0)-MATCH($A$1,[2]characters!$1:$1,0)+1,FALSE))</f>
        <v>擬態潜伏型メリッサ2.0</v>
      </c>
      <c r="S43" s="3">
        <f t="shared" ca="1" si="0"/>
        <v>77</v>
      </c>
      <c r="T43" s="25" t="str">
        <f ca="1">VLOOKUP($S43,OFFSET([2]characters!$A$1,0,0,COUNTA([2]characters!$A:$A),MATCH(T$1,[2]characters!$1:$1,0)-MATCH($A$1,[2]characters!$1:$1,0)+1),MATCH(T$1,[2]characters!$1:$1,0)-MATCH($A$1,[2]characters!$1:$1,0)+1,FALSE)</f>
        <v>潜伏型メリッサ</v>
      </c>
      <c r="U43" s="28">
        <v>10000</v>
      </c>
    </row>
    <row r="44" spans="1:21" ht="21" customHeight="1" x14ac:dyDescent="0.15">
      <c r="A44" s="83">
        <v>79</v>
      </c>
      <c r="B44" s="24" t="str">
        <f ca="1">VLOOKUP($A44,OFFSET([2]characters!$A$1,0,0,COUNTA([2]characters!$A:$A),MATCH(B$1,[2]characters!$1:$1,0)-MATCH($A$1,[2]characters!$1:$1,0)+1),MATCH(B$1,[2]characters!$1:$1,0)-MATCH($A$1,[2]characters!$1:$1,0)+1,FALSE)</f>
        <v>ハッピー100</v>
      </c>
      <c r="C44" s="24" t="str">
        <f ca="1">VLOOKUP($A44,OFFSET([2]characters!$A$1,0,0,COUNTA([2]characters!$A:$A),MATCH(C$1,[2]characters!$1:$1,0)-MATCH($A$1,[2]characters!$1:$1,0)+1),MATCH(C$1,[2]characters!$1:$1,0)-MATCH($A$1,[2]characters!$1:$1,0)+1,FALSE)</f>
        <v>イベント:ウィルス01</v>
      </c>
      <c r="D44" s="24" t="str">
        <f ca="1">VLOOKUP($A44,OFFSET([2]characters!$A$1,0,0,COUNTA([2]characters!$A:$A),MATCH(D$1,[2]characters!$1:$1,0)-MATCH($A$1,[2]characters!$1:$1,0)+1),MATCH(D$1,[2]characters!$1:$1,0)-MATCH($A$1,[2]characters!$1:$1,0)+1,FALSE)</f>
        <v>ウィルス</v>
      </c>
      <c r="E44" s="24" t="str">
        <f ca="1">VLOOKUP($A44,OFFSET([2]characters!$A$1,0,0,COUNTA([2]characters!$A:$A),MATCH(E$1,[2]characters!$1:$1,0)-MATCH($A$1,[2]characters!$1:$1,0)+1),MATCH(E$1,[2]characters!$1:$1,0)-MATCH($A$1,[2]characters!$1:$1,0)+1,FALSE)</f>
        <v>世界観</v>
      </c>
      <c r="F44" s="24" t="str">
        <f ca="1">VLOOKUP($A44,OFFSET([2]characters!$A$1,0,0,COUNTA([2]characters!$A:$A),MATCH(F$1,[2]characters!$1:$1,0)-MATCH($A$1,[2]characters!$1:$1,0)+1),MATCH(F$1,[2]characters!$1:$1,0)-MATCH($A$1,[2]characters!$1:$1,0)+1,FALSE)</f>
        <v>女性</v>
      </c>
      <c r="G44" s="24">
        <f ca="1">VLOOKUP($A44,OFFSET([2]characters!$A$1,0,0,COUNTA([2]characters!$A:$A),MATCH(G$1,[2]characters!$1:$1,0)-MATCH($A$1,[2]characters!$1:$1,0)+1),MATCH(G$1,[2]characters!$1:$1,0)-MATCH($A$1,[2]characters!$1:$1,0)+1,FALSE)</f>
        <v>3</v>
      </c>
      <c r="H44" s="24" t="str">
        <f ca="1">VLOOKUP($A44,OFFSET([2]characters!$A$1,0,0,COUNTA([2]characters!$A:$A),MATCH(H$1,[2]characters!$1:$1,0)-MATCH($A$1,[2]characters!$1:$1,0)+1),MATCH(H$1,[2]characters!$1:$1,0)-MATCH($A$1,[2]characters!$1:$1,0)+1,FALSE)</f>
        <v>DropWizW</v>
      </c>
      <c r="I44" s="24" t="str">
        <f ca="1">VLOOKUP($A44,OFFSET([2]characters!$A$1,0,0,COUNTA([2]characters!$A:$A),MATCH(I$1,[2]characters!$1:$1,0)-MATCH($A$1,[2]characters!$1:$1,0)+1),MATCH(I$1,[2]characters!$1:$1,0)-MATCH($A$1,[2]characters!$1:$1,0)+1,FALSE)</f>
        <v>green</v>
      </c>
      <c r="J44" s="24" t="str">
        <f ca="1">VLOOKUP($A44,OFFSET([2]characters!$A$1,0,0,COUNTA([2]characters!$A:$A),MATCH(J$1,[2]characters!$1:$1,0)-MATCH($A$1,[2]characters!$1:$1,0)+1),MATCH(J$1,[2]characters!$1:$1,0)-MATCH($A$1,[2]characters!$1:$1,0)+1,FALSE)</f>
        <v>none</v>
      </c>
      <c r="K44" s="3" t="str">
        <f ca="1">VLOOKUP(J44,[2]character_tribe_i18n!$A:$H,3,FALSE)</f>
        <v>種族なし</v>
      </c>
      <c r="L44" s="5" t="e">
        <f>VLOOKUP(#REF!,[2]character_tribe_i18n!$A:$H,4,FALSE)</f>
        <v>#REF!</v>
      </c>
      <c r="M44" s="5" t="e">
        <f>VLOOKUP(#REF!,[2]character_tribe_i18n!$A:$H,5,FALSE)</f>
        <v>#REF!</v>
      </c>
      <c r="N44" s="5" t="e">
        <f>VLOOKUP(#REF!,[2]character_tribe_i18n!$A:$H,6,FALSE)</f>
        <v>#REF!</v>
      </c>
      <c r="O44" s="5" t="e">
        <f>VLOOKUP(#REF!,[2]character_tribe_i18n!$A:$H,7,FALSE)</f>
        <v>#REF!</v>
      </c>
      <c r="P44" s="83" t="s">
        <v>170</v>
      </c>
      <c r="Q44" s="4">
        <v>80</v>
      </c>
      <c r="R44" s="25" t="str">
        <f ca="1">IF(Q44="NULL","",VLOOKUP($Q44,OFFSET([2]characters!$A$1,0,0,COUNTA([2]characters!$A:$A),MATCH(R$1,[2]characters!$1:$1,0)-MATCH($A$1,[2]characters!$1:$1,0)+1),MATCH(R$1,[2]characters!$1:$1,0)-MATCH($A$1,[2]characters!$1:$1,0)+1,FALSE))</f>
        <v>ハッピー101</v>
      </c>
      <c r="S44" s="3">
        <f t="shared" ca="1" si="0"/>
        <v>79</v>
      </c>
      <c r="T44" s="25" t="str">
        <f ca="1">VLOOKUP($S44,OFFSET([2]characters!$A$1,0,0,COUNTA([2]characters!$A:$A),MATCH(T$1,[2]characters!$1:$1,0)-MATCH($A$1,[2]characters!$1:$1,0)+1),MATCH(T$1,[2]characters!$1:$1,0)-MATCH($A$1,[2]characters!$1:$1,0)+1,FALSE)</f>
        <v>ハッピー100</v>
      </c>
      <c r="U44" s="28">
        <v>2000</v>
      </c>
    </row>
    <row r="45" spans="1:21" ht="21" customHeight="1" x14ac:dyDescent="0.15">
      <c r="A45" s="83">
        <v>81</v>
      </c>
      <c r="B45" s="24" t="str">
        <f ca="1">VLOOKUP($A45,OFFSET([2]characters!$A$1,0,0,COUNTA([2]characters!$A:$A),MATCH(B$1,[2]characters!$1:$1,0)-MATCH($A$1,[2]characters!$1:$1,0)+1),MATCH(B$1,[2]characters!$1:$1,0)-MATCH($A$1,[2]characters!$1:$1,0)+1,FALSE)</f>
        <v>増幅型モリス</v>
      </c>
      <c r="C45" s="24" t="str">
        <f ca="1">VLOOKUP($A45,OFFSET([2]characters!$A$1,0,0,COUNTA([2]characters!$A:$A),MATCH(C$1,[2]characters!$1:$1,0)-MATCH($A$1,[2]characters!$1:$1,0)+1),MATCH(C$1,[2]characters!$1:$1,0)-MATCH($A$1,[2]characters!$1:$1,0)+1,FALSE)</f>
        <v>イベント:ウィルス01</v>
      </c>
      <c r="D45" s="24" t="str">
        <f ca="1">VLOOKUP($A45,OFFSET([2]characters!$A$1,0,0,COUNTA([2]characters!$A:$A),MATCH(D$1,[2]characters!$1:$1,0)-MATCH($A$1,[2]characters!$1:$1,0)+1),MATCH(D$1,[2]characters!$1:$1,0)-MATCH($A$1,[2]characters!$1:$1,0)+1,FALSE)</f>
        <v>ウィルス</v>
      </c>
      <c r="E45" s="24" t="str">
        <f ca="1">VLOOKUP($A45,OFFSET([2]characters!$A$1,0,0,COUNTA([2]characters!$A:$A),MATCH(E$1,[2]characters!$1:$1,0)-MATCH($A$1,[2]characters!$1:$1,0)+1),MATCH(E$1,[2]characters!$1:$1,0)-MATCH($A$1,[2]characters!$1:$1,0)+1,FALSE)</f>
        <v>世界観</v>
      </c>
      <c r="F45" s="24" t="str">
        <f ca="1">VLOOKUP($A45,OFFSET([2]characters!$A$1,0,0,COUNTA([2]characters!$A:$A),MATCH(F$1,[2]characters!$1:$1,0)-MATCH($A$1,[2]characters!$1:$1,0)+1),MATCH(F$1,[2]characters!$1:$1,0)-MATCH($A$1,[2]characters!$1:$1,0)+1,FALSE)</f>
        <v>男性</v>
      </c>
      <c r="G45" s="24">
        <f ca="1">VLOOKUP($A45,OFFSET([2]characters!$A$1,0,0,COUNTA([2]characters!$A:$A),MATCH(G$1,[2]characters!$1:$1,0)-MATCH($A$1,[2]characters!$1:$1,0)+1),MATCH(G$1,[2]characters!$1:$1,0)-MATCH($A$1,[2]characters!$1:$1,0)+1,FALSE)</f>
        <v>3</v>
      </c>
      <c r="H45" s="24" t="str">
        <f ca="1">VLOOKUP($A45,OFFSET([2]characters!$A$1,0,0,COUNTA([2]characters!$A:$A),MATCH(H$1,[2]characters!$1:$1,0)-MATCH($A$1,[2]characters!$1:$1,0)+1),MATCH(H$1,[2]characters!$1:$1,0)-MATCH($A$1,[2]characters!$1:$1,0)+1,FALSE)</f>
        <v>DropWizW</v>
      </c>
      <c r="I45" s="24" t="str">
        <f ca="1">VLOOKUP($A45,OFFSET([2]characters!$A$1,0,0,COUNTA([2]characters!$A:$A),MATCH(I$1,[2]characters!$1:$1,0)-MATCH($A$1,[2]characters!$1:$1,0)+1),MATCH(I$1,[2]characters!$1:$1,0)-MATCH($A$1,[2]characters!$1:$1,0)+1,FALSE)</f>
        <v>blue</v>
      </c>
      <c r="J45" s="24" t="str">
        <f ca="1">VLOOKUP($A45,OFFSET([2]characters!$A$1,0,0,COUNTA([2]characters!$A:$A),MATCH(J$1,[2]characters!$1:$1,0)-MATCH($A$1,[2]characters!$1:$1,0)+1),MATCH(J$1,[2]characters!$1:$1,0)-MATCH($A$1,[2]characters!$1:$1,0)+1,FALSE)</f>
        <v>none</v>
      </c>
      <c r="K45" s="3" t="str">
        <f ca="1">VLOOKUP(J45,[2]character_tribe_i18n!$A:$H,3,FALSE)</f>
        <v>種族なし</v>
      </c>
      <c r="L45" s="5" t="e">
        <f>VLOOKUP(#REF!,[2]character_tribe_i18n!$A:$H,4,FALSE)</f>
        <v>#REF!</v>
      </c>
      <c r="M45" s="5" t="e">
        <f>VLOOKUP(#REF!,[2]character_tribe_i18n!$A:$H,5,FALSE)</f>
        <v>#REF!</v>
      </c>
      <c r="N45" s="5" t="e">
        <f>VLOOKUP(#REF!,[2]character_tribe_i18n!$A:$H,6,FALSE)</f>
        <v>#REF!</v>
      </c>
      <c r="O45" s="5" t="e">
        <f>VLOOKUP(#REF!,[2]character_tribe_i18n!$A:$H,7,FALSE)</f>
        <v>#REF!</v>
      </c>
      <c r="P45" s="83" t="s">
        <v>170</v>
      </c>
      <c r="Q45" s="4">
        <v>82</v>
      </c>
      <c r="R45" s="25" t="str">
        <f ca="1">IF(Q45="NULL","",VLOOKUP($Q45,OFFSET([2]characters!$A$1,0,0,COUNTA([2]characters!$A:$A),MATCH(R$1,[2]characters!$1:$1,0)-MATCH($A$1,[2]characters!$1:$1,0)+1),MATCH(R$1,[2]characters!$1:$1,0)-MATCH($A$1,[2]characters!$1:$1,0)+1,FALSE))</f>
        <v>偽装増幅型G・モリス</v>
      </c>
      <c r="S45" s="3">
        <f t="shared" ca="1" si="0"/>
        <v>81</v>
      </c>
      <c r="T45" s="25" t="str">
        <f ca="1">VLOOKUP($S45,OFFSET([2]characters!$A$1,0,0,COUNTA([2]characters!$A:$A),MATCH(T$1,[2]characters!$1:$1,0)-MATCH($A$1,[2]characters!$1:$1,0)+1),MATCH(T$1,[2]characters!$1:$1,0)-MATCH($A$1,[2]characters!$1:$1,0)+1,FALSE)</f>
        <v>増幅型モリス</v>
      </c>
      <c r="U45" s="28">
        <v>10000</v>
      </c>
    </row>
    <row r="46" spans="1:21" ht="21" customHeight="1" x14ac:dyDescent="0.15">
      <c r="A46" s="83">
        <v>83</v>
      </c>
      <c r="B46" s="24" t="str">
        <f ca="1">VLOOKUP($A46,OFFSET([2]characters!$A$1,0,0,COUNTA([2]characters!$A:$A),MATCH(B$1,[2]characters!$1:$1,0)-MATCH($A$1,[2]characters!$1:$1,0)+1),MATCH(B$1,[2]characters!$1:$1,0)-MATCH($A$1,[2]characters!$1:$1,0)+1,FALSE)</f>
        <v>拡散性ニムダ</v>
      </c>
      <c r="C46" s="24" t="str">
        <f ca="1">VLOOKUP($A46,OFFSET([2]characters!$A$1,0,0,COUNTA([2]characters!$A:$A),MATCH(C$1,[2]characters!$1:$1,0)-MATCH($A$1,[2]characters!$1:$1,0)+1),MATCH(C$1,[2]characters!$1:$1,0)-MATCH($A$1,[2]characters!$1:$1,0)+1,FALSE)</f>
        <v>イベント:ウィルス01</v>
      </c>
      <c r="D46" s="24" t="str">
        <f ca="1">VLOOKUP($A46,OFFSET([2]characters!$A$1,0,0,COUNTA([2]characters!$A:$A),MATCH(D$1,[2]characters!$1:$1,0)-MATCH($A$1,[2]characters!$1:$1,0)+1),MATCH(D$1,[2]characters!$1:$1,0)-MATCH($A$1,[2]characters!$1:$1,0)+1,FALSE)</f>
        <v>ウィルス</v>
      </c>
      <c r="E46" s="24" t="str">
        <f ca="1">VLOOKUP($A46,OFFSET([2]characters!$A$1,0,0,COUNTA([2]characters!$A:$A),MATCH(E$1,[2]characters!$1:$1,0)-MATCH($A$1,[2]characters!$1:$1,0)+1),MATCH(E$1,[2]characters!$1:$1,0)-MATCH($A$1,[2]characters!$1:$1,0)+1,FALSE)</f>
        <v>世界観</v>
      </c>
      <c r="F46" s="24" t="str">
        <f ca="1">VLOOKUP($A46,OFFSET([2]characters!$A$1,0,0,COUNTA([2]characters!$A:$A),MATCH(F$1,[2]characters!$1:$1,0)-MATCH($A$1,[2]characters!$1:$1,0)+1),MATCH(F$1,[2]characters!$1:$1,0)-MATCH($A$1,[2]characters!$1:$1,0)+1,FALSE)</f>
        <v>不明</v>
      </c>
      <c r="G46" s="24">
        <f ca="1">VLOOKUP($A46,OFFSET([2]characters!$A$1,0,0,COUNTA([2]characters!$A:$A),MATCH(G$1,[2]characters!$1:$1,0)-MATCH($A$1,[2]characters!$1:$1,0)+1),MATCH(G$1,[2]characters!$1:$1,0)-MATCH($A$1,[2]characters!$1:$1,0)+1,FALSE)</f>
        <v>3</v>
      </c>
      <c r="H46" s="24" t="str">
        <f ca="1">VLOOKUP($A46,OFFSET([2]characters!$A$1,0,0,COUNTA([2]characters!$A:$A),MATCH(H$1,[2]characters!$1:$1,0)-MATCH($A$1,[2]characters!$1:$1,0)+1),MATCH(H$1,[2]characters!$1:$1,0)-MATCH($A$1,[2]characters!$1:$1,0)+1,FALSE)</f>
        <v>DropWizW</v>
      </c>
      <c r="I46" s="24" t="str">
        <f ca="1">VLOOKUP($A46,OFFSET([2]characters!$A$1,0,0,COUNTA([2]characters!$A:$A),MATCH(I$1,[2]characters!$1:$1,0)-MATCH($A$1,[2]characters!$1:$1,0)+1),MATCH(I$1,[2]characters!$1:$1,0)-MATCH($A$1,[2]characters!$1:$1,0)+1,FALSE)</f>
        <v>yellow</v>
      </c>
      <c r="J46" s="24" t="str">
        <f ca="1">VLOOKUP($A46,OFFSET([2]characters!$A$1,0,0,COUNTA([2]characters!$A:$A),MATCH(J$1,[2]characters!$1:$1,0)-MATCH($A$1,[2]characters!$1:$1,0)+1),MATCH(J$1,[2]characters!$1:$1,0)-MATCH($A$1,[2]characters!$1:$1,0)+1,FALSE)</f>
        <v>none</v>
      </c>
      <c r="K46" s="3" t="str">
        <f ca="1">VLOOKUP(J46,[2]character_tribe_i18n!$A:$H,3,FALSE)</f>
        <v>種族なし</v>
      </c>
      <c r="L46" s="5" t="e">
        <f>VLOOKUP(#REF!,[2]character_tribe_i18n!$A:$H,4,FALSE)</f>
        <v>#REF!</v>
      </c>
      <c r="M46" s="5" t="e">
        <f>VLOOKUP(#REF!,[2]character_tribe_i18n!$A:$H,5,FALSE)</f>
        <v>#REF!</v>
      </c>
      <c r="N46" s="5" t="e">
        <f>VLOOKUP(#REF!,[2]character_tribe_i18n!$A:$H,6,FALSE)</f>
        <v>#REF!</v>
      </c>
      <c r="O46" s="5" t="e">
        <f>VLOOKUP(#REF!,[2]character_tribe_i18n!$A:$H,7,FALSE)</f>
        <v>#REF!</v>
      </c>
      <c r="P46" s="83" t="s">
        <v>170</v>
      </c>
      <c r="Q46" s="4">
        <v>84</v>
      </c>
      <c r="R46" s="25" t="str">
        <f ca="1">IF(Q46="NULL","",VLOOKUP($Q46,OFFSET([2]characters!$A$1,0,0,COUNTA([2]characters!$A:$A),MATCH(R$1,[2]characters!$1:$1,0)-MATCH($A$1,[2]characters!$1:$1,0)+1),MATCH(R$1,[2]characters!$1:$1,0)-MATCH($A$1,[2]characters!$1:$1,0)+1,FALSE))</f>
        <v>高速拡散性ニムダE</v>
      </c>
      <c r="S46" s="3">
        <f t="shared" ca="1" si="0"/>
        <v>83</v>
      </c>
      <c r="T46" s="25" t="str">
        <f ca="1">VLOOKUP($S46,OFFSET([2]characters!$A$1,0,0,COUNTA([2]characters!$A:$A),MATCH(T$1,[2]characters!$1:$1,0)-MATCH($A$1,[2]characters!$1:$1,0)+1),MATCH(T$1,[2]characters!$1:$1,0)-MATCH($A$1,[2]characters!$1:$1,0)+1,FALSE)</f>
        <v>拡散性ニムダ</v>
      </c>
      <c r="U46" s="28">
        <v>5000</v>
      </c>
    </row>
    <row r="47" spans="1:21" ht="21" customHeight="1" x14ac:dyDescent="0.15">
      <c r="A47" s="83">
        <v>85</v>
      </c>
      <c r="B47" s="24" t="str">
        <f ca="1">VLOOKUP($A47,OFFSET([2]characters!$A$1,0,0,COUNTA([2]characters!$A:$A),MATCH(B$1,[2]characters!$1:$1,0)-MATCH($A$1,[2]characters!$1:$1,0)+1),MATCH(B$1,[2]characters!$1:$1,0)-MATCH($A$1,[2]characters!$1:$1,0)+1,FALSE)</f>
        <v>朱雀</v>
      </c>
      <c r="C47" s="24" t="str">
        <f ca="1">VLOOKUP($A47,OFFSET([2]characters!$A$1,0,0,COUNTA([2]characters!$A:$A),MATCH(C$1,[2]characters!$1:$1,0)-MATCH($A$1,[2]characters!$1:$1,0)+1),MATCH(C$1,[2]characters!$1:$1,0)-MATCH($A$1,[2]characters!$1:$1,0)+1,FALSE)</f>
        <v>リンクガチャ:4神</v>
      </c>
      <c r="D47" s="24" t="str">
        <f ca="1">VLOOKUP($A47,OFFSET([2]characters!$A$1,0,0,COUNTA([2]characters!$A:$A),MATCH(D$1,[2]characters!$1:$1,0)-MATCH($A$1,[2]characters!$1:$1,0)+1),MATCH(D$1,[2]characters!$1:$1,0)-MATCH($A$1,[2]characters!$1:$1,0)+1,FALSE)</f>
        <v>守護神</v>
      </c>
      <c r="E47" s="24" t="str">
        <f ca="1">VLOOKUP($A47,OFFSET([2]characters!$A$1,0,0,COUNTA([2]characters!$A:$A),MATCH(E$1,[2]characters!$1:$1,0)-MATCH($A$1,[2]characters!$1:$1,0)+1),MATCH(E$1,[2]characters!$1:$1,0)-MATCH($A$1,[2]characters!$1:$1,0)+1,FALSE)</f>
        <v>格好いい</v>
      </c>
      <c r="F47" s="24" t="str">
        <f ca="1">VLOOKUP($A47,OFFSET([2]characters!$A$1,0,0,COUNTA([2]characters!$A:$A),MATCH(F$1,[2]characters!$1:$1,0)-MATCH($A$1,[2]characters!$1:$1,0)+1),MATCH(F$1,[2]characters!$1:$1,0)-MATCH($A$1,[2]characters!$1:$1,0)+1,FALSE)</f>
        <v>不明</v>
      </c>
      <c r="G47" s="24">
        <f ca="1">VLOOKUP($A47,OFFSET([2]characters!$A$1,0,0,COUNTA([2]characters!$A:$A),MATCH(G$1,[2]characters!$1:$1,0)-MATCH($A$1,[2]characters!$1:$1,0)+1),MATCH(G$1,[2]characters!$1:$1,0)-MATCH($A$1,[2]characters!$1:$1,0)+1,FALSE)</f>
        <v>3</v>
      </c>
      <c r="H47" s="24" t="str">
        <f ca="1">VLOOKUP($A47,OFFSET([2]characters!$A$1,0,0,COUNTA([2]characters!$A:$A),MATCH(H$1,[2]characters!$1:$1,0)-MATCH($A$1,[2]characters!$1:$1,0)+1),MATCH(H$1,[2]characters!$1:$1,0)-MATCH($A$1,[2]characters!$1:$1,0)+1,FALSE)</f>
        <v>Drop2N</v>
      </c>
      <c r="I47" s="24" t="str">
        <f ca="1">VLOOKUP($A47,OFFSET([2]characters!$A$1,0,0,COUNTA([2]characters!$A:$A),MATCH(I$1,[2]characters!$1:$1,0)-MATCH($A$1,[2]characters!$1:$1,0)+1),MATCH(I$1,[2]characters!$1:$1,0)-MATCH($A$1,[2]characters!$1:$1,0)+1,FALSE)</f>
        <v>red</v>
      </c>
      <c r="J47" s="24" t="str">
        <f ca="1">VLOOKUP($A47,OFFSET([2]characters!$A$1,0,0,COUNTA([2]characters!$A:$A),MATCH(J$1,[2]characters!$1:$1,0)-MATCH($A$1,[2]characters!$1:$1,0)+1),MATCH(J$1,[2]characters!$1:$1,0)-MATCH($A$1,[2]characters!$1:$1,0)+1,FALSE)</f>
        <v>god</v>
      </c>
      <c r="K47" s="3" t="str">
        <f ca="1">VLOOKUP(J47,[2]character_tribe_i18n!$A:$H,3,FALSE)</f>
        <v>ゴッド</v>
      </c>
      <c r="L47" s="5" t="e">
        <f>VLOOKUP(#REF!,[2]character_tribe_i18n!$A:$H,4,FALSE)</f>
        <v>#REF!</v>
      </c>
      <c r="M47" s="5" t="e">
        <f>VLOOKUP(#REF!,[2]character_tribe_i18n!$A:$H,5,FALSE)</f>
        <v>#REF!</v>
      </c>
      <c r="N47" s="5" t="e">
        <f>VLOOKUP(#REF!,[2]character_tribe_i18n!$A:$H,6,FALSE)</f>
        <v>#REF!</v>
      </c>
      <c r="O47" s="5" t="e">
        <f>VLOOKUP(#REF!,[2]character_tribe_i18n!$A:$H,7,FALSE)</f>
        <v>#REF!</v>
      </c>
      <c r="P47" s="83" t="s">
        <v>170</v>
      </c>
      <c r="Q47" s="4">
        <v>86</v>
      </c>
      <c r="R47" s="25" t="str">
        <f ca="1">IF(Q47="NULL","",VLOOKUP($Q47,OFFSET([2]characters!$A$1,0,0,COUNTA([2]characters!$A:$A),MATCH(R$1,[2]characters!$1:$1,0)-MATCH($A$1,[2]characters!$1:$1,0)+1),MATCH(R$1,[2]characters!$1:$1,0)-MATCH($A$1,[2]characters!$1:$1,0)+1,FALSE))</f>
        <v>守護者 朱雀</v>
      </c>
      <c r="S47" s="3">
        <f t="shared" ca="1" si="0"/>
        <v>85</v>
      </c>
      <c r="T47" s="25" t="str">
        <f ca="1">VLOOKUP($S47,OFFSET([2]characters!$A$1,0,0,COUNTA([2]characters!$A:$A),MATCH(T$1,[2]characters!$1:$1,0)-MATCH($A$1,[2]characters!$1:$1,0)+1),MATCH(T$1,[2]characters!$1:$1,0)-MATCH($A$1,[2]characters!$1:$1,0)+1,FALSE)</f>
        <v>朱雀</v>
      </c>
      <c r="U47" s="5">
        <f ca="1">IF(Q47="NULL","NULL",VLOOKUP(G47,ビット!$A$2:$B$7,2))</f>
        <v>20000</v>
      </c>
    </row>
    <row r="48" spans="1:21" ht="21" customHeight="1" x14ac:dyDescent="0.15">
      <c r="A48" s="83">
        <v>86</v>
      </c>
      <c r="B48" s="24" t="str">
        <f ca="1">VLOOKUP($A48,OFFSET([2]characters!$A$1,0,0,COUNTA([2]characters!$A:$A),MATCH(B$1,[2]characters!$1:$1,0)-MATCH($A$1,[2]characters!$1:$1,0)+1),MATCH(B$1,[2]characters!$1:$1,0)-MATCH($A$1,[2]characters!$1:$1,0)+1,FALSE)</f>
        <v>守護者 朱雀</v>
      </c>
      <c r="C48" s="24" t="str">
        <f ca="1">VLOOKUP($A48,OFFSET([2]characters!$A$1,0,0,COUNTA([2]characters!$A:$A),MATCH(C$1,[2]characters!$1:$1,0)-MATCH($A$1,[2]characters!$1:$1,0)+1),MATCH(C$1,[2]characters!$1:$1,0)-MATCH($A$1,[2]characters!$1:$1,0)+1,FALSE)</f>
        <v>リンクガチャ:4神</v>
      </c>
      <c r="D48" s="24" t="str">
        <f ca="1">VLOOKUP($A48,OFFSET([2]characters!$A$1,0,0,COUNTA([2]characters!$A:$A),MATCH(D$1,[2]characters!$1:$1,0)-MATCH($A$1,[2]characters!$1:$1,0)+1),MATCH(D$1,[2]characters!$1:$1,0)-MATCH($A$1,[2]characters!$1:$1,0)+1,FALSE)</f>
        <v>守護神</v>
      </c>
      <c r="E48" s="24" t="str">
        <f ca="1">VLOOKUP($A48,OFFSET([2]characters!$A$1,0,0,COUNTA([2]characters!$A:$A),MATCH(E$1,[2]characters!$1:$1,0)-MATCH($A$1,[2]characters!$1:$1,0)+1),MATCH(E$1,[2]characters!$1:$1,0)-MATCH($A$1,[2]characters!$1:$1,0)+1,FALSE)</f>
        <v>格好いい</v>
      </c>
      <c r="F48" s="24" t="str">
        <f ca="1">VLOOKUP($A48,OFFSET([2]characters!$A$1,0,0,COUNTA([2]characters!$A:$A),MATCH(F$1,[2]characters!$1:$1,0)-MATCH($A$1,[2]characters!$1:$1,0)+1),MATCH(F$1,[2]characters!$1:$1,0)-MATCH($A$1,[2]characters!$1:$1,0)+1,FALSE)</f>
        <v>不明</v>
      </c>
      <c r="G48" s="24">
        <f ca="1">VLOOKUP($A48,OFFSET([2]characters!$A$1,0,0,COUNTA([2]characters!$A:$A),MATCH(G$1,[2]characters!$1:$1,0)-MATCH($A$1,[2]characters!$1:$1,0)+1),MATCH(G$1,[2]characters!$1:$1,0)-MATCH($A$1,[2]characters!$1:$1,0)+1,FALSE)</f>
        <v>4</v>
      </c>
      <c r="H48" s="24" t="str">
        <f ca="1">VLOOKUP($A48,OFFSET([2]characters!$A$1,0,0,COUNTA([2]characters!$A:$A),MATCH(H$1,[2]characters!$1:$1,0)-MATCH($A$1,[2]characters!$1:$1,0)+1),MATCH(H$1,[2]characters!$1:$1,0)-MATCH($A$1,[2]characters!$1:$1,0)+1,FALSE)</f>
        <v>Drop2N</v>
      </c>
      <c r="I48" s="24" t="str">
        <f ca="1">VLOOKUP($A48,OFFSET([2]characters!$A$1,0,0,COUNTA([2]characters!$A:$A),MATCH(I$1,[2]characters!$1:$1,0)-MATCH($A$1,[2]characters!$1:$1,0)+1),MATCH(I$1,[2]characters!$1:$1,0)-MATCH($A$1,[2]characters!$1:$1,0)+1,FALSE)</f>
        <v>red</v>
      </c>
      <c r="J48" s="24" t="str">
        <f ca="1">VLOOKUP($A48,OFFSET([2]characters!$A$1,0,0,COUNTA([2]characters!$A:$A),MATCH(J$1,[2]characters!$1:$1,0)-MATCH($A$1,[2]characters!$1:$1,0)+1),MATCH(J$1,[2]characters!$1:$1,0)-MATCH($A$1,[2]characters!$1:$1,0)+1,FALSE)</f>
        <v>god</v>
      </c>
      <c r="K48" s="3" t="str">
        <f ca="1">VLOOKUP(J48,[2]character_tribe_i18n!$A:$H,3,FALSE)</f>
        <v>ゴッド</v>
      </c>
      <c r="L48" s="5" t="e">
        <f>VLOOKUP(#REF!,[2]character_tribe_i18n!$A:$H,4,FALSE)</f>
        <v>#REF!</v>
      </c>
      <c r="M48" s="5" t="e">
        <f>VLOOKUP(#REF!,[2]character_tribe_i18n!$A:$H,5,FALSE)</f>
        <v>#REF!</v>
      </c>
      <c r="N48" s="5" t="e">
        <f>VLOOKUP(#REF!,[2]character_tribe_i18n!$A:$H,6,FALSE)</f>
        <v>#REF!</v>
      </c>
      <c r="O48" s="5" t="e">
        <f>VLOOKUP(#REF!,[2]character_tribe_i18n!$A:$H,7,FALSE)</f>
        <v>#REF!</v>
      </c>
      <c r="P48" s="83" t="s">
        <v>170</v>
      </c>
      <c r="Q48" s="4">
        <v>87</v>
      </c>
      <c r="R48" s="25" t="str">
        <f ca="1">IF(Q48="NULL","",VLOOKUP($Q48,OFFSET([2]characters!$A$1,0,0,COUNTA([2]characters!$A:$A),MATCH(R$1,[2]characters!$1:$1,0)-MATCH($A$1,[2]characters!$1:$1,0)+1),MATCH(R$1,[2]characters!$1:$1,0)-MATCH($A$1,[2]characters!$1:$1,0)+1,FALSE))</f>
        <v>朱南の守護神 朱雀</v>
      </c>
      <c r="S48" s="3">
        <f t="shared" ca="1" si="0"/>
        <v>85</v>
      </c>
      <c r="T48" s="25" t="str">
        <f ca="1">VLOOKUP($S48,OFFSET([2]characters!$A$1,0,0,COUNTA([2]characters!$A:$A),MATCH(T$1,[2]characters!$1:$1,0)-MATCH($A$1,[2]characters!$1:$1,0)+1),MATCH(T$1,[2]characters!$1:$1,0)-MATCH($A$1,[2]characters!$1:$1,0)+1,FALSE)</f>
        <v>朱雀</v>
      </c>
      <c r="U48" s="5">
        <f ca="1">IF(Q48="NULL","NULL",VLOOKUP(G48,ビット!$A$2:$B$7,2))</f>
        <v>50000</v>
      </c>
    </row>
    <row r="49" spans="1:21" ht="21" customHeight="1" x14ac:dyDescent="0.15">
      <c r="A49" s="83">
        <v>88</v>
      </c>
      <c r="B49" s="24" t="str">
        <f ca="1">VLOOKUP($A49,OFFSET([2]characters!$A$1,0,0,COUNTA([2]characters!$A:$A),MATCH(B$1,[2]characters!$1:$1,0)-MATCH($A$1,[2]characters!$1:$1,0)+1),MATCH(B$1,[2]characters!$1:$1,0)-MATCH($A$1,[2]characters!$1:$1,0)+1,FALSE)</f>
        <v>玄武</v>
      </c>
      <c r="C49" s="24" t="str">
        <f ca="1">VLOOKUP($A49,OFFSET([2]characters!$A$1,0,0,COUNTA([2]characters!$A:$A),MATCH(C$1,[2]characters!$1:$1,0)-MATCH($A$1,[2]characters!$1:$1,0)+1),MATCH(C$1,[2]characters!$1:$1,0)-MATCH($A$1,[2]characters!$1:$1,0)+1,FALSE)</f>
        <v>リンクガチャ:4神</v>
      </c>
      <c r="D49" s="24" t="str">
        <f ca="1">VLOOKUP($A49,OFFSET([2]characters!$A$1,0,0,COUNTA([2]characters!$A:$A),MATCH(D$1,[2]characters!$1:$1,0)-MATCH($A$1,[2]characters!$1:$1,0)+1),MATCH(D$1,[2]characters!$1:$1,0)-MATCH($A$1,[2]characters!$1:$1,0)+1,FALSE)</f>
        <v>守護神</v>
      </c>
      <c r="E49" s="24" t="str">
        <f ca="1">VLOOKUP($A49,OFFSET([2]characters!$A$1,0,0,COUNTA([2]characters!$A:$A),MATCH(E$1,[2]characters!$1:$1,0)-MATCH($A$1,[2]characters!$1:$1,0)+1),MATCH(E$1,[2]characters!$1:$1,0)-MATCH($A$1,[2]characters!$1:$1,0)+1,FALSE)</f>
        <v>格好いい</v>
      </c>
      <c r="F49" s="24" t="str">
        <f ca="1">VLOOKUP($A49,OFFSET([2]characters!$A$1,0,0,COUNTA([2]characters!$A:$A),MATCH(F$1,[2]characters!$1:$1,0)-MATCH($A$1,[2]characters!$1:$1,0)+1),MATCH(F$1,[2]characters!$1:$1,0)-MATCH($A$1,[2]characters!$1:$1,0)+1,FALSE)</f>
        <v>不明</v>
      </c>
      <c r="G49" s="24">
        <f ca="1">VLOOKUP($A49,OFFSET([2]characters!$A$1,0,0,COUNTA([2]characters!$A:$A),MATCH(G$1,[2]characters!$1:$1,0)-MATCH($A$1,[2]characters!$1:$1,0)+1),MATCH(G$1,[2]characters!$1:$1,0)-MATCH($A$1,[2]characters!$1:$1,0)+1,FALSE)</f>
        <v>3</v>
      </c>
      <c r="H49" s="24" t="str">
        <f ca="1">VLOOKUP($A49,OFFSET([2]characters!$A$1,0,0,COUNTA([2]characters!$A:$A),MATCH(H$1,[2]characters!$1:$1,0)-MATCH($A$1,[2]characters!$1:$1,0)+1),MATCH(H$1,[2]characters!$1:$1,0)-MATCH($A$1,[2]characters!$1:$1,0)+1,FALSE)</f>
        <v>Drop2N</v>
      </c>
      <c r="I49" s="24" t="str">
        <f ca="1">VLOOKUP($A49,OFFSET([2]characters!$A$1,0,0,COUNTA([2]characters!$A:$A),MATCH(I$1,[2]characters!$1:$1,0)-MATCH($A$1,[2]characters!$1:$1,0)+1),MATCH(I$1,[2]characters!$1:$1,0)-MATCH($A$1,[2]characters!$1:$1,0)+1,FALSE)</f>
        <v>green</v>
      </c>
      <c r="J49" s="24" t="str">
        <f ca="1">VLOOKUP($A49,OFFSET([2]characters!$A$1,0,0,COUNTA([2]characters!$A:$A),MATCH(J$1,[2]characters!$1:$1,0)-MATCH($A$1,[2]characters!$1:$1,0)+1),MATCH(J$1,[2]characters!$1:$1,0)-MATCH($A$1,[2]characters!$1:$1,0)+1,FALSE)</f>
        <v>god</v>
      </c>
      <c r="K49" s="3" t="str">
        <f ca="1">VLOOKUP(J49,[2]character_tribe_i18n!$A:$H,3,FALSE)</f>
        <v>ゴッド</v>
      </c>
      <c r="L49" s="5" t="e">
        <f>VLOOKUP(#REF!,[2]character_tribe_i18n!$A:$H,4,FALSE)</f>
        <v>#REF!</v>
      </c>
      <c r="M49" s="5" t="e">
        <f>VLOOKUP(#REF!,[2]character_tribe_i18n!$A:$H,5,FALSE)</f>
        <v>#REF!</v>
      </c>
      <c r="N49" s="5" t="e">
        <f>VLOOKUP(#REF!,[2]character_tribe_i18n!$A:$H,6,FALSE)</f>
        <v>#REF!</v>
      </c>
      <c r="O49" s="5" t="e">
        <f>VLOOKUP(#REF!,[2]character_tribe_i18n!$A:$H,7,FALSE)</f>
        <v>#REF!</v>
      </c>
      <c r="P49" s="83" t="s">
        <v>170</v>
      </c>
      <c r="Q49" s="4">
        <v>89</v>
      </c>
      <c r="R49" s="25" t="str">
        <f ca="1">IF(Q49="NULL","",VLOOKUP($Q49,OFFSET([2]characters!$A$1,0,0,COUNTA([2]characters!$A:$A),MATCH(R$1,[2]characters!$1:$1,0)-MATCH($A$1,[2]characters!$1:$1,0)+1),MATCH(R$1,[2]characters!$1:$1,0)-MATCH($A$1,[2]characters!$1:$1,0)+1,FALSE))</f>
        <v>守護者 玄武</v>
      </c>
      <c r="S49" s="3">
        <f t="shared" ca="1" si="0"/>
        <v>88</v>
      </c>
      <c r="T49" s="25" t="str">
        <f ca="1">VLOOKUP($S49,OFFSET([2]characters!$A$1,0,0,COUNTA([2]characters!$A:$A),MATCH(T$1,[2]characters!$1:$1,0)-MATCH($A$1,[2]characters!$1:$1,0)+1),MATCH(T$1,[2]characters!$1:$1,0)-MATCH($A$1,[2]characters!$1:$1,0)+1,FALSE)</f>
        <v>玄武</v>
      </c>
      <c r="U49" s="5">
        <f ca="1">IF(Q49="NULL","NULL",VLOOKUP(G49,ビット!$A$2:$B$7,2))</f>
        <v>20000</v>
      </c>
    </row>
    <row r="50" spans="1:21" ht="21" customHeight="1" x14ac:dyDescent="0.15">
      <c r="A50" s="83">
        <v>89</v>
      </c>
      <c r="B50" s="24" t="str">
        <f ca="1">VLOOKUP($A50,OFFSET([2]characters!$A$1,0,0,COUNTA([2]characters!$A:$A),MATCH(B$1,[2]characters!$1:$1,0)-MATCH($A$1,[2]characters!$1:$1,0)+1),MATCH(B$1,[2]characters!$1:$1,0)-MATCH($A$1,[2]characters!$1:$1,0)+1,FALSE)</f>
        <v>守護者 玄武</v>
      </c>
      <c r="C50" s="24" t="str">
        <f ca="1">VLOOKUP($A50,OFFSET([2]characters!$A$1,0,0,COUNTA([2]characters!$A:$A),MATCH(C$1,[2]characters!$1:$1,0)-MATCH($A$1,[2]characters!$1:$1,0)+1),MATCH(C$1,[2]characters!$1:$1,0)-MATCH($A$1,[2]characters!$1:$1,0)+1,FALSE)</f>
        <v>リンクガチャ:4神</v>
      </c>
      <c r="D50" s="24" t="str">
        <f ca="1">VLOOKUP($A50,OFFSET([2]characters!$A$1,0,0,COUNTA([2]characters!$A:$A),MATCH(D$1,[2]characters!$1:$1,0)-MATCH($A$1,[2]characters!$1:$1,0)+1),MATCH(D$1,[2]characters!$1:$1,0)-MATCH($A$1,[2]characters!$1:$1,0)+1,FALSE)</f>
        <v>守護神</v>
      </c>
      <c r="E50" s="24" t="str">
        <f ca="1">VLOOKUP($A50,OFFSET([2]characters!$A$1,0,0,COUNTA([2]characters!$A:$A),MATCH(E$1,[2]characters!$1:$1,0)-MATCH($A$1,[2]characters!$1:$1,0)+1),MATCH(E$1,[2]characters!$1:$1,0)-MATCH($A$1,[2]characters!$1:$1,0)+1,FALSE)</f>
        <v>格好いい</v>
      </c>
      <c r="F50" s="24" t="str">
        <f ca="1">VLOOKUP($A50,OFFSET([2]characters!$A$1,0,0,COUNTA([2]characters!$A:$A),MATCH(F$1,[2]characters!$1:$1,0)-MATCH($A$1,[2]characters!$1:$1,0)+1),MATCH(F$1,[2]characters!$1:$1,0)-MATCH($A$1,[2]characters!$1:$1,0)+1,FALSE)</f>
        <v>不明</v>
      </c>
      <c r="G50" s="24">
        <f ca="1">VLOOKUP($A50,OFFSET([2]characters!$A$1,0,0,COUNTA([2]characters!$A:$A),MATCH(G$1,[2]characters!$1:$1,0)-MATCH($A$1,[2]characters!$1:$1,0)+1),MATCH(G$1,[2]characters!$1:$1,0)-MATCH($A$1,[2]characters!$1:$1,0)+1,FALSE)</f>
        <v>4</v>
      </c>
      <c r="H50" s="24" t="str">
        <f ca="1">VLOOKUP($A50,OFFSET([2]characters!$A$1,0,0,COUNTA([2]characters!$A:$A),MATCH(H$1,[2]characters!$1:$1,0)-MATCH($A$1,[2]characters!$1:$1,0)+1),MATCH(H$1,[2]characters!$1:$1,0)-MATCH($A$1,[2]characters!$1:$1,0)+1,FALSE)</f>
        <v>Drop2N</v>
      </c>
      <c r="I50" s="24" t="str">
        <f ca="1">VLOOKUP($A50,OFFSET([2]characters!$A$1,0,0,COUNTA([2]characters!$A:$A),MATCH(I$1,[2]characters!$1:$1,0)-MATCH($A$1,[2]characters!$1:$1,0)+1),MATCH(I$1,[2]characters!$1:$1,0)-MATCH($A$1,[2]characters!$1:$1,0)+1,FALSE)</f>
        <v>green</v>
      </c>
      <c r="J50" s="24" t="str">
        <f ca="1">VLOOKUP($A50,OFFSET([2]characters!$A$1,0,0,COUNTA([2]characters!$A:$A),MATCH(J$1,[2]characters!$1:$1,0)-MATCH($A$1,[2]characters!$1:$1,0)+1),MATCH(J$1,[2]characters!$1:$1,0)-MATCH($A$1,[2]characters!$1:$1,0)+1,FALSE)</f>
        <v>god</v>
      </c>
      <c r="K50" s="3" t="str">
        <f ca="1">VLOOKUP(J50,[2]character_tribe_i18n!$A:$H,3,FALSE)</f>
        <v>ゴッド</v>
      </c>
      <c r="L50" s="5" t="e">
        <f>VLOOKUP(#REF!,[2]character_tribe_i18n!$A:$H,4,FALSE)</f>
        <v>#REF!</v>
      </c>
      <c r="M50" s="5" t="e">
        <f>VLOOKUP(#REF!,[2]character_tribe_i18n!$A:$H,5,FALSE)</f>
        <v>#REF!</v>
      </c>
      <c r="N50" s="5" t="e">
        <f>VLOOKUP(#REF!,[2]character_tribe_i18n!$A:$H,6,FALSE)</f>
        <v>#REF!</v>
      </c>
      <c r="O50" s="5" t="e">
        <f>VLOOKUP(#REF!,[2]character_tribe_i18n!$A:$H,7,FALSE)</f>
        <v>#REF!</v>
      </c>
      <c r="P50" s="83" t="s">
        <v>170</v>
      </c>
      <c r="Q50" s="4">
        <v>90</v>
      </c>
      <c r="R50" s="25" t="str">
        <f ca="1">IF(Q50="NULL","",VLOOKUP($Q50,OFFSET([2]characters!$A$1,0,0,COUNTA([2]characters!$A:$A),MATCH(R$1,[2]characters!$1:$1,0)-MATCH($A$1,[2]characters!$1:$1,0)+1),MATCH(R$1,[2]characters!$1:$1,0)-MATCH($A$1,[2]characters!$1:$1,0)+1,FALSE))</f>
        <v>翠北の守護神 玄武</v>
      </c>
      <c r="S50" s="3">
        <f t="shared" ca="1" si="0"/>
        <v>88</v>
      </c>
      <c r="T50" s="25" t="str">
        <f ca="1">VLOOKUP($S50,OFFSET([2]characters!$A$1,0,0,COUNTA([2]characters!$A:$A),MATCH(T$1,[2]characters!$1:$1,0)-MATCH($A$1,[2]characters!$1:$1,0)+1),MATCH(T$1,[2]characters!$1:$1,0)-MATCH($A$1,[2]characters!$1:$1,0)+1,FALSE)</f>
        <v>玄武</v>
      </c>
      <c r="U50" s="5">
        <f ca="1">IF(Q50="NULL","NULL",VLOOKUP(G50,ビット!$A$2:$B$7,2))</f>
        <v>50000</v>
      </c>
    </row>
    <row r="51" spans="1:21" ht="21" customHeight="1" x14ac:dyDescent="0.15">
      <c r="A51" s="83">
        <v>91</v>
      </c>
      <c r="B51" s="24" t="str">
        <f ca="1">VLOOKUP($A51,OFFSET([2]characters!$A$1,0,0,COUNTA([2]characters!$A:$A),MATCH(B$1,[2]characters!$1:$1,0)-MATCH($A$1,[2]characters!$1:$1,0)+1),MATCH(B$1,[2]characters!$1:$1,0)-MATCH($A$1,[2]characters!$1:$1,0)+1,FALSE)</f>
        <v>青龍</v>
      </c>
      <c r="C51" s="24" t="str">
        <f ca="1">VLOOKUP($A51,OFFSET([2]characters!$A$1,0,0,COUNTA([2]characters!$A:$A),MATCH(C$1,[2]characters!$1:$1,0)-MATCH($A$1,[2]characters!$1:$1,0)+1),MATCH(C$1,[2]characters!$1:$1,0)-MATCH($A$1,[2]characters!$1:$1,0)+1,FALSE)</f>
        <v>リンクガチャ:4神</v>
      </c>
      <c r="D51" s="24" t="str">
        <f ca="1">VLOOKUP($A51,OFFSET([2]characters!$A$1,0,0,COUNTA([2]characters!$A:$A),MATCH(D$1,[2]characters!$1:$1,0)-MATCH($A$1,[2]characters!$1:$1,0)+1),MATCH(D$1,[2]characters!$1:$1,0)-MATCH($A$1,[2]characters!$1:$1,0)+1,FALSE)</f>
        <v>守護神</v>
      </c>
      <c r="E51" s="24" t="str">
        <f ca="1">VLOOKUP($A51,OFFSET([2]characters!$A$1,0,0,COUNTA([2]characters!$A:$A),MATCH(E$1,[2]characters!$1:$1,0)-MATCH($A$1,[2]characters!$1:$1,0)+1),MATCH(E$1,[2]characters!$1:$1,0)-MATCH($A$1,[2]characters!$1:$1,0)+1,FALSE)</f>
        <v>格好いい</v>
      </c>
      <c r="F51" s="24" t="str">
        <f ca="1">VLOOKUP($A51,OFFSET([2]characters!$A$1,0,0,COUNTA([2]characters!$A:$A),MATCH(F$1,[2]characters!$1:$1,0)-MATCH($A$1,[2]characters!$1:$1,0)+1),MATCH(F$1,[2]characters!$1:$1,0)-MATCH($A$1,[2]characters!$1:$1,0)+1,FALSE)</f>
        <v>不明</v>
      </c>
      <c r="G51" s="24">
        <f ca="1">VLOOKUP($A51,OFFSET([2]characters!$A$1,0,0,COUNTA([2]characters!$A:$A),MATCH(G$1,[2]characters!$1:$1,0)-MATCH($A$1,[2]characters!$1:$1,0)+1),MATCH(G$1,[2]characters!$1:$1,0)-MATCH($A$1,[2]characters!$1:$1,0)+1,FALSE)</f>
        <v>3</v>
      </c>
      <c r="H51" s="24" t="str">
        <f ca="1">VLOOKUP($A51,OFFSET([2]characters!$A$1,0,0,COUNTA([2]characters!$A:$A),MATCH(H$1,[2]characters!$1:$1,0)-MATCH($A$1,[2]characters!$1:$1,0)+1),MATCH(H$1,[2]characters!$1:$1,0)-MATCH($A$1,[2]characters!$1:$1,0)+1,FALSE)</f>
        <v>Drop2N</v>
      </c>
      <c r="I51" s="24" t="str">
        <f ca="1">VLOOKUP($A51,OFFSET([2]characters!$A$1,0,0,COUNTA([2]characters!$A:$A),MATCH(I$1,[2]characters!$1:$1,0)-MATCH($A$1,[2]characters!$1:$1,0)+1),MATCH(I$1,[2]characters!$1:$1,0)-MATCH($A$1,[2]characters!$1:$1,0)+1,FALSE)</f>
        <v>blue</v>
      </c>
      <c r="J51" s="24" t="str">
        <f ca="1">VLOOKUP($A51,OFFSET([2]characters!$A$1,0,0,COUNTA([2]characters!$A:$A),MATCH(J$1,[2]characters!$1:$1,0)-MATCH($A$1,[2]characters!$1:$1,0)+1),MATCH(J$1,[2]characters!$1:$1,0)-MATCH($A$1,[2]characters!$1:$1,0)+1,FALSE)</f>
        <v>god</v>
      </c>
      <c r="K51" s="3" t="str">
        <f ca="1">VLOOKUP(J51,[2]character_tribe_i18n!$A:$H,3,FALSE)</f>
        <v>ゴッド</v>
      </c>
      <c r="L51" s="5" t="e">
        <f>VLOOKUP(#REF!,[2]character_tribe_i18n!$A:$H,4,FALSE)</f>
        <v>#REF!</v>
      </c>
      <c r="M51" s="5" t="e">
        <f>VLOOKUP(#REF!,[2]character_tribe_i18n!$A:$H,5,FALSE)</f>
        <v>#REF!</v>
      </c>
      <c r="N51" s="5" t="e">
        <f>VLOOKUP(#REF!,[2]character_tribe_i18n!$A:$H,6,FALSE)</f>
        <v>#REF!</v>
      </c>
      <c r="O51" s="5" t="e">
        <f>VLOOKUP(#REF!,[2]character_tribe_i18n!$A:$H,7,FALSE)</f>
        <v>#REF!</v>
      </c>
      <c r="P51" s="83" t="s">
        <v>170</v>
      </c>
      <c r="Q51" s="4">
        <v>92</v>
      </c>
      <c r="R51" s="25" t="str">
        <f ca="1">IF(Q51="NULL","",VLOOKUP($Q51,OFFSET([2]characters!$A$1,0,0,COUNTA([2]characters!$A:$A),MATCH(R$1,[2]characters!$1:$1,0)-MATCH($A$1,[2]characters!$1:$1,0)+1),MATCH(R$1,[2]characters!$1:$1,0)-MATCH($A$1,[2]characters!$1:$1,0)+1,FALSE))</f>
        <v>守護者 青龍</v>
      </c>
      <c r="S51" s="3">
        <f t="shared" ca="1" si="0"/>
        <v>91</v>
      </c>
      <c r="T51" s="25" t="str">
        <f ca="1">VLOOKUP($S51,OFFSET([2]characters!$A$1,0,0,COUNTA([2]characters!$A:$A),MATCH(T$1,[2]characters!$1:$1,0)-MATCH($A$1,[2]characters!$1:$1,0)+1),MATCH(T$1,[2]characters!$1:$1,0)-MATCH($A$1,[2]characters!$1:$1,0)+1,FALSE)</f>
        <v>青龍</v>
      </c>
      <c r="U51" s="5">
        <f ca="1">IF(Q51="NULL","NULL",VLOOKUP(G51,ビット!$A$2:$B$7,2))</f>
        <v>20000</v>
      </c>
    </row>
    <row r="52" spans="1:21" ht="21" customHeight="1" x14ac:dyDescent="0.15">
      <c r="A52" s="83">
        <v>92</v>
      </c>
      <c r="B52" s="24" t="str">
        <f ca="1">VLOOKUP($A52,OFFSET([2]characters!$A$1,0,0,COUNTA([2]characters!$A:$A),MATCH(B$1,[2]characters!$1:$1,0)-MATCH($A$1,[2]characters!$1:$1,0)+1),MATCH(B$1,[2]characters!$1:$1,0)-MATCH($A$1,[2]characters!$1:$1,0)+1,FALSE)</f>
        <v>守護者 青龍</v>
      </c>
      <c r="C52" s="24" t="str">
        <f ca="1">VLOOKUP($A52,OFFSET([2]characters!$A$1,0,0,COUNTA([2]characters!$A:$A),MATCH(C$1,[2]characters!$1:$1,0)-MATCH($A$1,[2]characters!$1:$1,0)+1),MATCH(C$1,[2]characters!$1:$1,0)-MATCH($A$1,[2]characters!$1:$1,0)+1,FALSE)</f>
        <v>リンクガチャ:4神</v>
      </c>
      <c r="D52" s="24" t="str">
        <f ca="1">VLOOKUP($A52,OFFSET([2]characters!$A$1,0,0,COUNTA([2]characters!$A:$A),MATCH(D$1,[2]characters!$1:$1,0)-MATCH($A$1,[2]characters!$1:$1,0)+1),MATCH(D$1,[2]characters!$1:$1,0)-MATCH($A$1,[2]characters!$1:$1,0)+1,FALSE)</f>
        <v>守護神</v>
      </c>
      <c r="E52" s="24" t="str">
        <f ca="1">VLOOKUP($A52,OFFSET([2]characters!$A$1,0,0,COUNTA([2]characters!$A:$A),MATCH(E$1,[2]characters!$1:$1,0)-MATCH($A$1,[2]characters!$1:$1,0)+1),MATCH(E$1,[2]characters!$1:$1,0)-MATCH($A$1,[2]characters!$1:$1,0)+1,FALSE)</f>
        <v>格好いい</v>
      </c>
      <c r="F52" s="24" t="str">
        <f ca="1">VLOOKUP($A52,OFFSET([2]characters!$A$1,0,0,COUNTA([2]characters!$A:$A),MATCH(F$1,[2]characters!$1:$1,0)-MATCH($A$1,[2]characters!$1:$1,0)+1),MATCH(F$1,[2]characters!$1:$1,0)-MATCH($A$1,[2]characters!$1:$1,0)+1,FALSE)</f>
        <v>不明</v>
      </c>
      <c r="G52" s="24">
        <f ca="1">VLOOKUP($A52,OFFSET([2]characters!$A$1,0,0,COUNTA([2]characters!$A:$A),MATCH(G$1,[2]characters!$1:$1,0)-MATCH($A$1,[2]characters!$1:$1,0)+1),MATCH(G$1,[2]characters!$1:$1,0)-MATCH($A$1,[2]characters!$1:$1,0)+1,FALSE)</f>
        <v>4</v>
      </c>
      <c r="H52" s="24" t="str">
        <f ca="1">VLOOKUP($A52,OFFSET([2]characters!$A$1,0,0,COUNTA([2]characters!$A:$A),MATCH(H$1,[2]characters!$1:$1,0)-MATCH($A$1,[2]characters!$1:$1,0)+1),MATCH(H$1,[2]characters!$1:$1,0)-MATCH($A$1,[2]characters!$1:$1,0)+1,FALSE)</f>
        <v>Drop2N</v>
      </c>
      <c r="I52" s="24" t="str">
        <f ca="1">VLOOKUP($A52,OFFSET([2]characters!$A$1,0,0,COUNTA([2]characters!$A:$A),MATCH(I$1,[2]characters!$1:$1,0)-MATCH($A$1,[2]characters!$1:$1,0)+1),MATCH(I$1,[2]characters!$1:$1,0)-MATCH($A$1,[2]characters!$1:$1,0)+1,FALSE)</f>
        <v>blue</v>
      </c>
      <c r="J52" s="24" t="str">
        <f ca="1">VLOOKUP($A52,OFFSET([2]characters!$A$1,0,0,COUNTA([2]characters!$A:$A),MATCH(J$1,[2]characters!$1:$1,0)-MATCH($A$1,[2]characters!$1:$1,0)+1),MATCH(J$1,[2]characters!$1:$1,0)-MATCH($A$1,[2]characters!$1:$1,0)+1,FALSE)</f>
        <v>god</v>
      </c>
      <c r="K52" s="3" t="str">
        <f ca="1">VLOOKUP(J52,[2]character_tribe_i18n!$A:$H,3,FALSE)</f>
        <v>ゴッド</v>
      </c>
      <c r="L52" s="5" t="e">
        <f>VLOOKUP(#REF!,[2]character_tribe_i18n!$A:$H,4,FALSE)</f>
        <v>#REF!</v>
      </c>
      <c r="M52" s="5" t="e">
        <f>VLOOKUP(#REF!,[2]character_tribe_i18n!$A:$H,5,FALSE)</f>
        <v>#REF!</v>
      </c>
      <c r="N52" s="5" t="e">
        <f>VLOOKUP(#REF!,[2]character_tribe_i18n!$A:$H,6,FALSE)</f>
        <v>#REF!</v>
      </c>
      <c r="O52" s="5" t="e">
        <f>VLOOKUP(#REF!,[2]character_tribe_i18n!$A:$H,7,FALSE)</f>
        <v>#REF!</v>
      </c>
      <c r="P52" s="83" t="s">
        <v>170</v>
      </c>
      <c r="Q52" s="4">
        <v>93</v>
      </c>
      <c r="R52" s="25" t="str">
        <f ca="1">IF(Q52="NULL","",VLOOKUP($Q52,OFFSET([2]characters!$A$1,0,0,COUNTA([2]characters!$A:$A),MATCH(R$1,[2]characters!$1:$1,0)-MATCH($A$1,[2]characters!$1:$1,0)+1),MATCH(R$1,[2]characters!$1:$1,0)-MATCH($A$1,[2]characters!$1:$1,0)+1,FALSE))</f>
        <v>碧東の守護神 青龍</v>
      </c>
      <c r="S52" s="3">
        <f t="shared" ca="1" si="0"/>
        <v>91</v>
      </c>
      <c r="T52" s="25" t="str">
        <f ca="1">VLOOKUP($S52,OFFSET([2]characters!$A$1,0,0,COUNTA([2]characters!$A:$A),MATCH(T$1,[2]characters!$1:$1,0)-MATCH($A$1,[2]characters!$1:$1,0)+1),MATCH(T$1,[2]characters!$1:$1,0)-MATCH($A$1,[2]characters!$1:$1,0)+1,FALSE)</f>
        <v>青龍</v>
      </c>
      <c r="U52" s="5">
        <f ca="1">IF(Q52="NULL","NULL",VLOOKUP(G52,ビット!$A$2:$B$7,2))</f>
        <v>50000</v>
      </c>
    </row>
    <row r="53" spans="1:21" ht="21" customHeight="1" x14ac:dyDescent="0.15">
      <c r="A53" s="83">
        <v>94</v>
      </c>
      <c r="B53" s="24" t="str">
        <f ca="1">VLOOKUP($A53,OFFSET([2]characters!$A$1,0,0,COUNTA([2]characters!$A:$A),MATCH(B$1,[2]characters!$1:$1,0)-MATCH($A$1,[2]characters!$1:$1,0)+1),MATCH(B$1,[2]characters!$1:$1,0)-MATCH($A$1,[2]characters!$1:$1,0)+1,FALSE)</f>
        <v>白虎</v>
      </c>
      <c r="C53" s="24" t="str">
        <f ca="1">VLOOKUP($A53,OFFSET([2]characters!$A$1,0,0,COUNTA([2]characters!$A:$A),MATCH(C$1,[2]characters!$1:$1,0)-MATCH($A$1,[2]characters!$1:$1,0)+1),MATCH(C$1,[2]characters!$1:$1,0)-MATCH($A$1,[2]characters!$1:$1,0)+1,FALSE)</f>
        <v>リンクガチャ:4神</v>
      </c>
      <c r="D53" s="24" t="str">
        <f ca="1">VLOOKUP($A53,OFFSET([2]characters!$A$1,0,0,COUNTA([2]characters!$A:$A),MATCH(D$1,[2]characters!$1:$1,0)-MATCH($A$1,[2]characters!$1:$1,0)+1),MATCH(D$1,[2]characters!$1:$1,0)-MATCH($A$1,[2]characters!$1:$1,0)+1,FALSE)</f>
        <v>守護神</v>
      </c>
      <c r="E53" s="24" t="str">
        <f ca="1">VLOOKUP($A53,OFFSET([2]characters!$A$1,0,0,COUNTA([2]characters!$A:$A),MATCH(E$1,[2]characters!$1:$1,0)-MATCH($A$1,[2]characters!$1:$1,0)+1),MATCH(E$1,[2]characters!$1:$1,0)-MATCH($A$1,[2]characters!$1:$1,0)+1,FALSE)</f>
        <v>格好いい</v>
      </c>
      <c r="F53" s="24" t="str">
        <f ca="1">VLOOKUP($A53,OFFSET([2]characters!$A$1,0,0,COUNTA([2]characters!$A:$A),MATCH(F$1,[2]characters!$1:$1,0)-MATCH($A$1,[2]characters!$1:$1,0)+1),MATCH(F$1,[2]characters!$1:$1,0)-MATCH($A$1,[2]characters!$1:$1,0)+1,FALSE)</f>
        <v>不明</v>
      </c>
      <c r="G53" s="24">
        <f ca="1">VLOOKUP($A53,OFFSET([2]characters!$A$1,0,0,COUNTA([2]characters!$A:$A),MATCH(G$1,[2]characters!$1:$1,0)-MATCH($A$1,[2]characters!$1:$1,0)+1),MATCH(G$1,[2]characters!$1:$1,0)-MATCH($A$1,[2]characters!$1:$1,0)+1,FALSE)</f>
        <v>3</v>
      </c>
      <c r="H53" s="24" t="str">
        <f ca="1">VLOOKUP($A53,OFFSET([2]characters!$A$1,0,0,COUNTA([2]characters!$A:$A),MATCH(H$1,[2]characters!$1:$1,0)-MATCH($A$1,[2]characters!$1:$1,0)+1),MATCH(H$1,[2]characters!$1:$1,0)-MATCH($A$1,[2]characters!$1:$1,0)+1,FALSE)</f>
        <v>Drop2N</v>
      </c>
      <c r="I53" s="24" t="str">
        <f ca="1">VLOOKUP($A53,OFFSET([2]characters!$A$1,0,0,COUNTA([2]characters!$A:$A),MATCH(I$1,[2]characters!$1:$1,0)-MATCH($A$1,[2]characters!$1:$1,0)+1),MATCH(I$1,[2]characters!$1:$1,0)-MATCH($A$1,[2]characters!$1:$1,0)+1,FALSE)</f>
        <v>yellow</v>
      </c>
      <c r="J53" s="24" t="str">
        <f ca="1">VLOOKUP($A53,OFFSET([2]characters!$A$1,0,0,COUNTA([2]characters!$A:$A),MATCH(J$1,[2]characters!$1:$1,0)-MATCH($A$1,[2]characters!$1:$1,0)+1),MATCH(J$1,[2]characters!$1:$1,0)-MATCH($A$1,[2]characters!$1:$1,0)+1,FALSE)</f>
        <v>god</v>
      </c>
      <c r="K53" s="3" t="str">
        <f ca="1">VLOOKUP(J53,[2]character_tribe_i18n!$A:$H,3,FALSE)</f>
        <v>ゴッド</v>
      </c>
      <c r="L53" s="5" t="e">
        <f>VLOOKUP(#REF!,[2]character_tribe_i18n!$A:$H,4,FALSE)</f>
        <v>#REF!</v>
      </c>
      <c r="M53" s="5" t="e">
        <f>VLOOKUP(#REF!,[2]character_tribe_i18n!$A:$H,5,FALSE)</f>
        <v>#REF!</v>
      </c>
      <c r="N53" s="5" t="e">
        <f>VLOOKUP(#REF!,[2]character_tribe_i18n!$A:$H,6,FALSE)</f>
        <v>#REF!</v>
      </c>
      <c r="O53" s="5" t="e">
        <f>VLOOKUP(#REF!,[2]character_tribe_i18n!$A:$H,7,FALSE)</f>
        <v>#REF!</v>
      </c>
      <c r="P53" s="83" t="s">
        <v>170</v>
      </c>
      <c r="Q53" s="4">
        <v>95</v>
      </c>
      <c r="R53" s="25" t="str">
        <f ca="1">IF(Q53="NULL","",VLOOKUP($Q53,OFFSET([2]characters!$A$1,0,0,COUNTA([2]characters!$A:$A),MATCH(R$1,[2]characters!$1:$1,0)-MATCH($A$1,[2]characters!$1:$1,0)+1),MATCH(R$1,[2]characters!$1:$1,0)-MATCH($A$1,[2]characters!$1:$1,0)+1,FALSE))</f>
        <v>守護者 白虎</v>
      </c>
      <c r="S53" s="3">
        <f t="shared" ca="1" si="0"/>
        <v>94</v>
      </c>
      <c r="T53" s="25" t="str">
        <f ca="1">VLOOKUP($S53,OFFSET([2]characters!$A$1,0,0,COUNTA([2]characters!$A:$A),MATCH(T$1,[2]characters!$1:$1,0)-MATCH($A$1,[2]characters!$1:$1,0)+1),MATCH(T$1,[2]characters!$1:$1,0)-MATCH($A$1,[2]characters!$1:$1,0)+1,FALSE)</f>
        <v>白虎</v>
      </c>
      <c r="U53" s="5">
        <f ca="1">IF(Q53="NULL","NULL",VLOOKUP(G53,ビット!$A$2:$B$7,2))</f>
        <v>20000</v>
      </c>
    </row>
    <row r="54" spans="1:21" ht="21" customHeight="1" x14ac:dyDescent="0.15">
      <c r="A54" s="83">
        <v>95</v>
      </c>
      <c r="B54" s="24" t="str">
        <f ca="1">VLOOKUP($A54,OFFSET([2]characters!$A$1,0,0,COUNTA([2]characters!$A:$A),MATCH(B$1,[2]characters!$1:$1,0)-MATCH($A$1,[2]characters!$1:$1,0)+1),MATCH(B$1,[2]characters!$1:$1,0)-MATCH($A$1,[2]characters!$1:$1,0)+1,FALSE)</f>
        <v>守護者 白虎</v>
      </c>
      <c r="C54" s="24" t="str">
        <f ca="1">VLOOKUP($A54,OFFSET([2]characters!$A$1,0,0,COUNTA([2]characters!$A:$A),MATCH(C$1,[2]characters!$1:$1,0)-MATCH($A$1,[2]characters!$1:$1,0)+1),MATCH(C$1,[2]characters!$1:$1,0)-MATCH($A$1,[2]characters!$1:$1,0)+1,FALSE)</f>
        <v>リンクガチャ:4神</v>
      </c>
      <c r="D54" s="24" t="str">
        <f ca="1">VLOOKUP($A54,OFFSET([2]characters!$A$1,0,0,COUNTA([2]characters!$A:$A),MATCH(D$1,[2]characters!$1:$1,0)-MATCH($A$1,[2]characters!$1:$1,0)+1),MATCH(D$1,[2]characters!$1:$1,0)-MATCH($A$1,[2]characters!$1:$1,0)+1,FALSE)</f>
        <v>守護神</v>
      </c>
      <c r="E54" s="24" t="str">
        <f ca="1">VLOOKUP($A54,OFFSET([2]characters!$A$1,0,0,COUNTA([2]characters!$A:$A),MATCH(E$1,[2]characters!$1:$1,0)-MATCH($A$1,[2]characters!$1:$1,0)+1),MATCH(E$1,[2]characters!$1:$1,0)-MATCH($A$1,[2]characters!$1:$1,0)+1,FALSE)</f>
        <v>格好いい</v>
      </c>
      <c r="F54" s="24" t="str">
        <f ca="1">VLOOKUP($A54,OFFSET([2]characters!$A$1,0,0,COUNTA([2]characters!$A:$A),MATCH(F$1,[2]characters!$1:$1,0)-MATCH($A$1,[2]characters!$1:$1,0)+1),MATCH(F$1,[2]characters!$1:$1,0)-MATCH($A$1,[2]characters!$1:$1,0)+1,FALSE)</f>
        <v>不明</v>
      </c>
      <c r="G54" s="24">
        <f ca="1">VLOOKUP($A54,OFFSET([2]characters!$A$1,0,0,COUNTA([2]characters!$A:$A),MATCH(G$1,[2]characters!$1:$1,0)-MATCH($A$1,[2]characters!$1:$1,0)+1),MATCH(G$1,[2]characters!$1:$1,0)-MATCH($A$1,[2]characters!$1:$1,0)+1,FALSE)</f>
        <v>4</v>
      </c>
      <c r="H54" s="24" t="str">
        <f ca="1">VLOOKUP($A54,OFFSET([2]characters!$A$1,0,0,COUNTA([2]characters!$A:$A),MATCH(H$1,[2]characters!$1:$1,0)-MATCH($A$1,[2]characters!$1:$1,0)+1),MATCH(H$1,[2]characters!$1:$1,0)-MATCH($A$1,[2]characters!$1:$1,0)+1,FALSE)</f>
        <v>Drop2N</v>
      </c>
      <c r="I54" s="24" t="str">
        <f ca="1">VLOOKUP($A54,OFFSET([2]characters!$A$1,0,0,COUNTA([2]characters!$A:$A),MATCH(I$1,[2]characters!$1:$1,0)-MATCH($A$1,[2]characters!$1:$1,0)+1),MATCH(I$1,[2]characters!$1:$1,0)-MATCH($A$1,[2]characters!$1:$1,0)+1,FALSE)</f>
        <v>yellow</v>
      </c>
      <c r="J54" s="24" t="str">
        <f ca="1">VLOOKUP($A54,OFFSET([2]characters!$A$1,0,0,COUNTA([2]characters!$A:$A),MATCH(J$1,[2]characters!$1:$1,0)-MATCH($A$1,[2]characters!$1:$1,0)+1),MATCH(J$1,[2]characters!$1:$1,0)-MATCH($A$1,[2]characters!$1:$1,0)+1,FALSE)</f>
        <v>god</v>
      </c>
      <c r="K54" s="3" t="str">
        <f ca="1">VLOOKUP(J54,[2]character_tribe_i18n!$A:$H,3,FALSE)</f>
        <v>ゴッド</v>
      </c>
      <c r="L54" s="5" t="e">
        <f>VLOOKUP(#REF!,[2]character_tribe_i18n!$A:$H,4,FALSE)</f>
        <v>#REF!</v>
      </c>
      <c r="M54" s="5" t="e">
        <f>VLOOKUP(#REF!,[2]character_tribe_i18n!$A:$H,5,FALSE)</f>
        <v>#REF!</v>
      </c>
      <c r="N54" s="5" t="e">
        <f>VLOOKUP(#REF!,[2]character_tribe_i18n!$A:$H,6,FALSE)</f>
        <v>#REF!</v>
      </c>
      <c r="O54" s="5" t="e">
        <f>VLOOKUP(#REF!,[2]character_tribe_i18n!$A:$H,7,FALSE)</f>
        <v>#REF!</v>
      </c>
      <c r="P54" s="83" t="s">
        <v>170</v>
      </c>
      <c r="Q54" s="4">
        <v>96</v>
      </c>
      <c r="R54" s="25" t="str">
        <f ca="1">IF(Q54="NULL","",VLOOKUP($Q54,OFFSET([2]characters!$A$1,0,0,COUNTA([2]characters!$A:$A),MATCH(R$1,[2]characters!$1:$1,0)-MATCH($A$1,[2]characters!$1:$1,0)+1),MATCH(R$1,[2]characters!$1:$1,0)-MATCH($A$1,[2]characters!$1:$1,0)+1,FALSE))</f>
        <v>金西の守護神 白虎</v>
      </c>
      <c r="S54" s="3">
        <f t="shared" ca="1" si="0"/>
        <v>94</v>
      </c>
      <c r="T54" s="25" t="str">
        <f ca="1">VLOOKUP($S54,OFFSET([2]characters!$A$1,0,0,COUNTA([2]characters!$A:$A),MATCH(T$1,[2]characters!$1:$1,0)-MATCH($A$1,[2]characters!$1:$1,0)+1),MATCH(T$1,[2]characters!$1:$1,0)-MATCH($A$1,[2]characters!$1:$1,0)+1,FALSE)</f>
        <v>白虎</v>
      </c>
      <c r="U54" s="5">
        <f ca="1">IF(Q54="NULL","NULL",VLOOKUP(G54,ビット!$A$2:$B$7,2))</f>
        <v>50000</v>
      </c>
    </row>
    <row r="55" spans="1:21" ht="21" customHeight="1" x14ac:dyDescent="0.15">
      <c r="A55" s="83">
        <v>121</v>
      </c>
      <c r="B55" s="24" t="str">
        <f ca="1">VLOOKUP($A55,OFFSET([2]characters!$A$1,0,0,COUNTA([2]characters!$A:$A),MATCH(B$1,[2]characters!$1:$1,0)-MATCH($A$1,[2]characters!$1:$1,0)+1),MATCH(B$1,[2]characters!$1:$1,0)-MATCH($A$1,[2]characters!$1:$1,0)+1,FALSE)</f>
        <v>攻めの果実</v>
      </c>
      <c r="C55" s="24" t="str">
        <f ca="1">VLOOKUP($A55,OFFSET([2]characters!$A$1,0,0,COUNTA([2]characters!$A:$A),MATCH(C$1,[2]characters!$1:$1,0)-MATCH($A$1,[2]characters!$1:$1,0)+1),MATCH(C$1,[2]characters!$1:$1,0)-MATCH($A$1,[2]characters!$1:$1,0)+1,FALSE)</f>
        <v>限界突破素材・攻撃・赤</v>
      </c>
      <c r="D55" s="24" t="str">
        <f ca="1">VLOOKUP($A55,OFFSET([2]characters!$A$1,0,0,COUNTA([2]characters!$A:$A),MATCH(D$1,[2]characters!$1:$1,0)-MATCH($A$1,[2]characters!$1:$1,0)+1),MATCH(D$1,[2]characters!$1:$1,0)-MATCH($A$1,[2]characters!$1:$1,0)+1,FALSE)</f>
        <v>アリス</v>
      </c>
      <c r="E55" s="24" t="str">
        <f ca="1">VLOOKUP($A55,OFFSET([2]characters!$A$1,0,0,COUNTA([2]characters!$A:$A),MATCH(E$1,[2]characters!$1:$1,0)-MATCH($A$1,[2]characters!$1:$1,0)+1),MATCH(E$1,[2]characters!$1:$1,0)-MATCH($A$1,[2]characters!$1:$1,0)+1,FALSE)</f>
        <v>世界観</v>
      </c>
      <c r="F55" s="24" t="str">
        <f ca="1">VLOOKUP($A55,OFFSET([2]characters!$A$1,0,0,COUNTA([2]characters!$A:$A),MATCH(F$1,[2]characters!$1:$1,0)-MATCH($A$1,[2]characters!$1:$1,0)+1),MATCH(F$1,[2]characters!$1:$1,0)-MATCH($A$1,[2]characters!$1:$1,0)+1,FALSE)</f>
        <v>不明</v>
      </c>
      <c r="G55" s="24">
        <f ca="1">VLOOKUP($A55,OFFSET([2]characters!$A$1,0,0,COUNTA([2]characters!$A:$A),MATCH(G$1,[2]characters!$1:$1,0)-MATCH($A$1,[2]characters!$1:$1,0)+1),MATCH(G$1,[2]characters!$1:$1,0)-MATCH($A$1,[2]characters!$1:$1,0)+1,FALSE)</f>
        <v>3</v>
      </c>
      <c r="H55" s="24" t="str">
        <f ca="1">VLOOKUP($A55,OFFSET([2]characters!$A$1,0,0,COUNTA([2]characters!$A:$A),MATCH(H$1,[2]characters!$1:$1,0)-MATCH($A$1,[2]characters!$1:$1,0)+1),MATCH(H$1,[2]characters!$1:$1,0)-MATCH($A$1,[2]characters!$1:$1,0)+1,FALSE)</f>
        <v>Material</v>
      </c>
      <c r="I55" s="24" t="str">
        <f ca="1">VLOOKUP($A55,OFFSET([2]characters!$A$1,0,0,COUNTA([2]characters!$A:$A),MATCH(I$1,[2]characters!$1:$1,0)-MATCH($A$1,[2]characters!$1:$1,0)+1),MATCH(I$1,[2]characters!$1:$1,0)-MATCH($A$1,[2]characters!$1:$1,0)+1,FALSE)</f>
        <v>red</v>
      </c>
      <c r="J55" s="24" t="str">
        <f ca="1">VLOOKUP($A55,OFFSET([2]characters!$A$1,0,0,COUNTA([2]characters!$A:$A),MATCH(J$1,[2]characters!$1:$1,0)-MATCH($A$1,[2]characters!$1:$1,0)+1),MATCH(J$1,[2]characters!$1:$1,0)-MATCH($A$1,[2]characters!$1:$1,0)+1,FALSE)</f>
        <v>none</v>
      </c>
      <c r="K55" s="3" t="str">
        <f ca="1">VLOOKUP(J55,[2]character_tribe_i18n!$A:$H,3,FALSE)</f>
        <v>種族なし</v>
      </c>
      <c r="L55" s="5" t="e">
        <f>VLOOKUP(#REF!,[2]character_tribe_i18n!$A:$H,4,FALSE)</f>
        <v>#REF!</v>
      </c>
      <c r="M55" s="5" t="e">
        <f>VLOOKUP(#REF!,[2]character_tribe_i18n!$A:$H,5,FALSE)</f>
        <v>#REF!</v>
      </c>
      <c r="N55" s="5" t="e">
        <f>VLOOKUP(#REF!,[2]character_tribe_i18n!$A:$H,6,FALSE)</f>
        <v>#REF!</v>
      </c>
      <c r="O55" s="5" t="e">
        <f>VLOOKUP(#REF!,[2]character_tribe_i18n!$A:$H,7,FALSE)</f>
        <v>#REF!</v>
      </c>
      <c r="P55" s="83" t="s">
        <v>170</v>
      </c>
      <c r="Q55" s="73">
        <v>607</v>
      </c>
      <c r="R55" s="25" t="str">
        <f ca="1">IF(Q55="NULL","",VLOOKUP($Q55,OFFSET([2]characters!$A$1,0,0,COUNTA([2]characters!$A:$A),MATCH(R$1,[2]characters!$1:$1,0)-MATCH($A$1,[2]characters!$1:$1,0)+1),MATCH(R$1,[2]characters!$1:$1,0)-MATCH($A$1,[2]characters!$1:$1,0)+1,FALSE))</f>
        <v>メガ攻めの果実</v>
      </c>
      <c r="S55" s="3">
        <f t="shared" ca="1" si="0"/>
        <v>121</v>
      </c>
      <c r="T55" s="25" t="str">
        <f ca="1">VLOOKUP($S55,OFFSET([2]characters!$A$1,0,0,COUNTA([2]characters!$A:$A),MATCH(T$1,[2]characters!$1:$1,0)-MATCH($A$1,[2]characters!$1:$1,0)+1),MATCH(T$1,[2]characters!$1:$1,0)-MATCH($A$1,[2]characters!$1:$1,0)+1,FALSE)</f>
        <v>攻めの果実</v>
      </c>
      <c r="U55" s="28">
        <f ca="1">IF(Q55="NULL","NULL",VLOOKUP(G55,ビット!$A$2:$B$7,2)/5)</f>
        <v>4000</v>
      </c>
    </row>
    <row r="56" spans="1:21" ht="21" customHeight="1" x14ac:dyDescent="0.15">
      <c r="A56" s="83">
        <v>122</v>
      </c>
      <c r="B56" s="24" t="str">
        <f ca="1">VLOOKUP($A56,OFFSET([2]characters!$A$1,0,0,COUNTA([2]characters!$A:$A),MATCH(B$1,[2]characters!$1:$1,0)-MATCH($A$1,[2]characters!$1:$1,0)+1),MATCH(B$1,[2]characters!$1:$1,0)-MATCH($A$1,[2]characters!$1:$1,0)+1,FALSE)</f>
        <v>生命の果実</v>
      </c>
      <c r="C56" s="24" t="str">
        <f ca="1">VLOOKUP($A56,OFFSET([2]characters!$A$1,0,0,COUNTA([2]characters!$A:$A),MATCH(C$1,[2]characters!$1:$1,0)-MATCH($A$1,[2]characters!$1:$1,0)+1),MATCH(C$1,[2]characters!$1:$1,0)-MATCH($A$1,[2]characters!$1:$1,0)+1,FALSE)</f>
        <v>限界突破素材・体力・緑</v>
      </c>
      <c r="D56" s="24" t="str">
        <f ca="1">VLOOKUP($A56,OFFSET([2]characters!$A$1,0,0,COUNTA([2]characters!$A:$A),MATCH(D$1,[2]characters!$1:$1,0)-MATCH($A$1,[2]characters!$1:$1,0)+1),MATCH(D$1,[2]characters!$1:$1,0)-MATCH($A$1,[2]characters!$1:$1,0)+1,FALSE)</f>
        <v>アリス</v>
      </c>
      <c r="E56" s="24" t="str">
        <f ca="1">VLOOKUP($A56,OFFSET([2]characters!$A$1,0,0,COUNTA([2]characters!$A:$A),MATCH(E$1,[2]characters!$1:$1,0)-MATCH($A$1,[2]characters!$1:$1,0)+1),MATCH(E$1,[2]characters!$1:$1,0)-MATCH($A$1,[2]characters!$1:$1,0)+1,FALSE)</f>
        <v>世界観</v>
      </c>
      <c r="F56" s="24" t="str">
        <f ca="1">VLOOKUP($A56,OFFSET([2]characters!$A$1,0,0,COUNTA([2]characters!$A:$A),MATCH(F$1,[2]characters!$1:$1,0)-MATCH($A$1,[2]characters!$1:$1,0)+1),MATCH(F$1,[2]characters!$1:$1,0)-MATCH($A$1,[2]characters!$1:$1,0)+1,FALSE)</f>
        <v>不明</v>
      </c>
      <c r="G56" s="24">
        <f ca="1">VLOOKUP($A56,OFFSET([2]characters!$A$1,0,0,COUNTA([2]characters!$A:$A),MATCH(G$1,[2]characters!$1:$1,0)-MATCH($A$1,[2]characters!$1:$1,0)+1),MATCH(G$1,[2]characters!$1:$1,0)-MATCH($A$1,[2]characters!$1:$1,0)+1,FALSE)</f>
        <v>3</v>
      </c>
      <c r="H56" s="24" t="str">
        <f ca="1">VLOOKUP($A56,OFFSET([2]characters!$A$1,0,0,COUNTA([2]characters!$A:$A),MATCH(H$1,[2]characters!$1:$1,0)-MATCH($A$1,[2]characters!$1:$1,0)+1),MATCH(H$1,[2]characters!$1:$1,0)-MATCH($A$1,[2]characters!$1:$1,0)+1,FALSE)</f>
        <v>Material</v>
      </c>
      <c r="I56" s="24" t="str">
        <f ca="1">VLOOKUP($A56,OFFSET([2]characters!$A$1,0,0,COUNTA([2]characters!$A:$A),MATCH(I$1,[2]characters!$1:$1,0)-MATCH($A$1,[2]characters!$1:$1,0)+1),MATCH(I$1,[2]characters!$1:$1,0)-MATCH($A$1,[2]characters!$1:$1,0)+1,FALSE)</f>
        <v>green</v>
      </c>
      <c r="J56" s="24" t="str">
        <f ca="1">VLOOKUP($A56,OFFSET([2]characters!$A$1,0,0,COUNTA([2]characters!$A:$A),MATCH(J$1,[2]characters!$1:$1,0)-MATCH($A$1,[2]characters!$1:$1,0)+1),MATCH(J$1,[2]characters!$1:$1,0)-MATCH($A$1,[2]characters!$1:$1,0)+1,FALSE)</f>
        <v>none</v>
      </c>
      <c r="K56" s="3" t="str">
        <f ca="1">VLOOKUP(J56,[2]character_tribe_i18n!$A:$H,3,FALSE)</f>
        <v>種族なし</v>
      </c>
      <c r="L56" s="5" t="e">
        <f>VLOOKUP(#REF!,[2]character_tribe_i18n!$A:$H,4,FALSE)</f>
        <v>#REF!</v>
      </c>
      <c r="M56" s="5" t="e">
        <f>VLOOKUP(#REF!,[2]character_tribe_i18n!$A:$H,5,FALSE)</f>
        <v>#REF!</v>
      </c>
      <c r="N56" s="5" t="e">
        <f>VLOOKUP(#REF!,[2]character_tribe_i18n!$A:$H,6,FALSE)</f>
        <v>#REF!</v>
      </c>
      <c r="O56" s="5" t="e">
        <f>VLOOKUP(#REF!,[2]character_tribe_i18n!$A:$H,7,FALSE)</f>
        <v>#REF!</v>
      </c>
      <c r="P56" s="83" t="s">
        <v>170</v>
      </c>
      <c r="Q56" s="73">
        <v>608</v>
      </c>
      <c r="R56" s="25" t="str">
        <f ca="1">IF(Q56="NULL","",VLOOKUP($Q56,OFFSET([2]characters!$A$1,0,0,COUNTA([2]characters!$A:$A),MATCH(R$1,[2]characters!$1:$1,0)-MATCH($A$1,[2]characters!$1:$1,0)+1),MATCH(R$1,[2]characters!$1:$1,0)-MATCH($A$1,[2]characters!$1:$1,0)+1,FALSE))</f>
        <v>メガ生命の果実</v>
      </c>
      <c r="S56" s="3">
        <f t="shared" ca="1" si="0"/>
        <v>122</v>
      </c>
      <c r="T56" s="25" t="str">
        <f ca="1">VLOOKUP($S56,OFFSET([2]characters!$A$1,0,0,COUNTA([2]characters!$A:$A),MATCH(T$1,[2]characters!$1:$1,0)-MATCH($A$1,[2]characters!$1:$1,0)+1),MATCH(T$1,[2]characters!$1:$1,0)-MATCH($A$1,[2]characters!$1:$1,0)+1,FALSE)</f>
        <v>生命の果実</v>
      </c>
      <c r="U56" s="28">
        <f ca="1">IF(Q56="NULL","NULL",VLOOKUP(G56,ビット!$A$2:$B$7,2)/5)</f>
        <v>4000</v>
      </c>
    </row>
    <row r="57" spans="1:21" ht="21" customHeight="1" x14ac:dyDescent="0.15">
      <c r="A57" s="83">
        <v>123</v>
      </c>
      <c r="B57" s="24" t="str">
        <f ca="1">VLOOKUP($A57,OFFSET([2]characters!$A$1,0,0,COUNTA([2]characters!$A:$A),MATCH(B$1,[2]characters!$1:$1,0)-MATCH($A$1,[2]characters!$1:$1,0)+1),MATCH(B$1,[2]characters!$1:$1,0)-MATCH($A$1,[2]characters!$1:$1,0)+1,FALSE)</f>
        <v>癒しの果実</v>
      </c>
      <c r="C57" s="24" t="str">
        <f ca="1">VLOOKUP($A57,OFFSET([2]characters!$A$1,0,0,COUNTA([2]characters!$A:$A),MATCH(C$1,[2]characters!$1:$1,0)-MATCH($A$1,[2]characters!$1:$1,0)+1),MATCH(C$1,[2]characters!$1:$1,0)-MATCH($A$1,[2]characters!$1:$1,0)+1,FALSE)</f>
        <v>限界突破素材・回復・青</v>
      </c>
      <c r="D57" s="24" t="str">
        <f ca="1">VLOOKUP($A57,OFFSET([2]characters!$A$1,0,0,COUNTA([2]characters!$A:$A),MATCH(D$1,[2]characters!$1:$1,0)-MATCH($A$1,[2]characters!$1:$1,0)+1),MATCH(D$1,[2]characters!$1:$1,0)-MATCH($A$1,[2]characters!$1:$1,0)+1,FALSE)</f>
        <v>アリス</v>
      </c>
      <c r="E57" s="24" t="str">
        <f ca="1">VLOOKUP($A57,OFFSET([2]characters!$A$1,0,0,COUNTA([2]characters!$A:$A),MATCH(E$1,[2]characters!$1:$1,0)-MATCH($A$1,[2]characters!$1:$1,0)+1),MATCH(E$1,[2]characters!$1:$1,0)-MATCH($A$1,[2]characters!$1:$1,0)+1,FALSE)</f>
        <v>世界観</v>
      </c>
      <c r="F57" s="24" t="str">
        <f ca="1">VLOOKUP($A57,OFFSET([2]characters!$A$1,0,0,COUNTA([2]characters!$A:$A),MATCH(F$1,[2]characters!$1:$1,0)-MATCH($A$1,[2]characters!$1:$1,0)+1),MATCH(F$1,[2]characters!$1:$1,0)-MATCH($A$1,[2]characters!$1:$1,0)+1,FALSE)</f>
        <v>不明</v>
      </c>
      <c r="G57" s="24">
        <f ca="1">VLOOKUP($A57,OFFSET([2]characters!$A$1,0,0,COUNTA([2]characters!$A:$A),MATCH(G$1,[2]characters!$1:$1,0)-MATCH($A$1,[2]characters!$1:$1,0)+1),MATCH(G$1,[2]characters!$1:$1,0)-MATCH($A$1,[2]characters!$1:$1,0)+1,FALSE)</f>
        <v>3</v>
      </c>
      <c r="H57" s="24" t="str">
        <f ca="1">VLOOKUP($A57,OFFSET([2]characters!$A$1,0,0,COUNTA([2]characters!$A:$A),MATCH(H$1,[2]characters!$1:$1,0)-MATCH($A$1,[2]characters!$1:$1,0)+1),MATCH(H$1,[2]characters!$1:$1,0)-MATCH($A$1,[2]characters!$1:$1,0)+1,FALSE)</f>
        <v>Material</v>
      </c>
      <c r="I57" s="24" t="str">
        <f ca="1">VLOOKUP($A57,OFFSET([2]characters!$A$1,0,0,COUNTA([2]characters!$A:$A),MATCH(I$1,[2]characters!$1:$1,0)-MATCH($A$1,[2]characters!$1:$1,0)+1),MATCH(I$1,[2]characters!$1:$1,0)-MATCH($A$1,[2]characters!$1:$1,0)+1,FALSE)</f>
        <v>blue</v>
      </c>
      <c r="J57" s="24" t="str">
        <f ca="1">VLOOKUP($A57,OFFSET([2]characters!$A$1,0,0,COUNTA([2]characters!$A:$A),MATCH(J$1,[2]characters!$1:$1,0)-MATCH($A$1,[2]characters!$1:$1,0)+1),MATCH(J$1,[2]characters!$1:$1,0)-MATCH($A$1,[2]characters!$1:$1,0)+1,FALSE)</f>
        <v>none</v>
      </c>
      <c r="K57" s="3" t="str">
        <f ca="1">VLOOKUP(J57,[2]character_tribe_i18n!$A:$H,3,FALSE)</f>
        <v>種族なし</v>
      </c>
      <c r="L57" s="5" t="e">
        <f>VLOOKUP(#REF!,[2]character_tribe_i18n!$A:$H,4,FALSE)</f>
        <v>#REF!</v>
      </c>
      <c r="M57" s="5" t="e">
        <f>VLOOKUP(#REF!,[2]character_tribe_i18n!$A:$H,5,FALSE)</f>
        <v>#REF!</v>
      </c>
      <c r="N57" s="5" t="e">
        <f>VLOOKUP(#REF!,[2]character_tribe_i18n!$A:$H,6,FALSE)</f>
        <v>#REF!</v>
      </c>
      <c r="O57" s="5" t="e">
        <f>VLOOKUP(#REF!,[2]character_tribe_i18n!$A:$H,7,FALSE)</f>
        <v>#REF!</v>
      </c>
      <c r="P57" s="83" t="s">
        <v>170</v>
      </c>
      <c r="Q57" s="73">
        <v>609</v>
      </c>
      <c r="R57" s="25" t="str">
        <f ca="1">IF(Q57="NULL","",VLOOKUP($Q57,OFFSET([2]characters!$A$1,0,0,COUNTA([2]characters!$A:$A),MATCH(R$1,[2]characters!$1:$1,0)-MATCH($A$1,[2]characters!$1:$1,0)+1),MATCH(R$1,[2]characters!$1:$1,0)-MATCH($A$1,[2]characters!$1:$1,0)+1,FALSE))</f>
        <v>メガ癒しの果実</v>
      </c>
      <c r="S57" s="3">
        <f t="shared" ca="1" si="0"/>
        <v>123</v>
      </c>
      <c r="T57" s="25" t="str">
        <f ca="1">VLOOKUP($S57,OFFSET([2]characters!$A$1,0,0,COUNTA([2]characters!$A:$A),MATCH(T$1,[2]characters!$1:$1,0)-MATCH($A$1,[2]characters!$1:$1,0)+1),MATCH(T$1,[2]characters!$1:$1,0)-MATCH($A$1,[2]characters!$1:$1,0)+1,FALSE)</f>
        <v>癒しの果実</v>
      </c>
      <c r="U57" s="28">
        <f ca="1">IF(Q57="NULL","NULL",VLOOKUP(G57,ビット!$A$2:$B$7,2)/5)</f>
        <v>4000</v>
      </c>
    </row>
    <row r="58" spans="1:21" ht="21" customHeight="1" x14ac:dyDescent="0.15">
      <c r="A58" s="83">
        <v>126</v>
      </c>
      <c r="B58" s="24" t="str">
        <f ca="1">VLOOKUP($A58,OFFSET([2]characters!$A$1,0,0,COUNTA([2]characters!$A:$A),MATCH(B$1,[2]characters!$1:$1,0)-MATCH($A$1,[2]characters!$1:$1,0)+1),MATCH(B$1,[2]characters!$1:$1,0)-MATCH($A$1,[2]characters!$1:$1,0)+1,FALSE)</f>
        <v>骨器使い ユノ</v>
      </c>
      <c r="C58" s="24" t="str">
        <f ca="1">VLOOKUP($A58,OFFSET([2]characters!$A$1,0,0,COUNTA([2]characters!$A:$A),MATCH(C$1,[2]characters!$1:$1,0)-MATCH($A$1,[2]characters!$1:$1,0)+1),MATCH(C$1,[2]characters!$1:$1,0)-MATCH($A$1,[2]characters!$1:$1,0)+1,FALSE)</f>
        <v>初期ガチャ</v>
      </c>
      <c r="D58" s="24" t="str">
        <f ca="1">VLOOKUP($A58,OFFSET([2]characters!$A$1,0,0,COUNTA([2]characters!$A:$A),MATCH(D$1,[2]characters!$1:$1,0)-MATCH($A$1,[2]characters!$1:$1,0)+1),MATCH(D$1,[2]characters!$1:$1,0)-MATCH($A$1,[2]characters!$1:$1,0)+1,FALSE)</f>
        <v>アバター</v>
      </c>
      <c r="E58" s="24" t="str">
        <f ca="1">VLOOKUP($A58,OFFSET([2]characters!$A$1,0,0,COUNTA([2]characters!$A:$A),MATCH(E$1,[2]characters!$1:$1,0)-MATCH($A$1,[2]characters!$1:$1,0)+1),MATCH(E$1,[2]characters!$1:$1,0)-MATCH($A$1,[2]characters!$1:$1,0)+1,FALSE)</f>
        <v>美しい</v>
      </c>
      <c r="F58" s="24" t="str">
        <f ca="1">VLOOKUP($A58,OFFSET([2]characters!$A$1,0,0,COUNTA([2]characters!$A:$A),MATCH(F$1,[2]characters!$1:$1,0)-MATCH($A$1,[2]characters!$1:$1,0)+1),MATCH(F$1,[2]characters!$1:$1,0)-MATCH($A$1,[2]characters!$1:$1,0)+1,FALSE)</f>
        <v>女性</v>
      </c>
      <c r="G58" s="24">
        <f ca="1">VLOOKUP($A58,OFFSET([2]characters!$A$1,0,0,COUNTA([2]characters!$A:$A),MATCH(G$1,[2]characters!$1:$1,0)-MATCH($A$1,[2]characters!$1:$1,0)+1),MATCH(G$1,[2]characters!$1:$1,0)-MATCH($A$1,[2]characters!$1:$1,0)+1,FALSE)</f>
        <v>3</v>
      </c>
      <c r="H58" s="24" t="str">
        <f ca="1">VLOOKUP($A58,OFFSET([2]characters!$A$1,0,0,COUNTA([2]characters!$A:$A),MATCH(H$1,[2]characters!$1:$1,0)-MATCH($A$1,[2]characters!$1:$1,0)+1),MATCH(H$1,[2]characters!$1:$1,0)-MATCH($A$1,[2]characters!$1:$1,0)+1,FALSE)</f>
        <v>PremiumW</v>
      </c>
      <c r="I58" s="24" t="str">
        <f ca="1">VLOOKUP($A58,OFFSET([2]characters!$A$1,0,0,COUNTA([2]characters!$A:$A),MATCH(I$1,[2]characters!$1:$1,0)-MATCH($A$1,[2]characters!$1:$1,0)+1),MATCH(I$1,[2]characters!$1:$1,0)-MATCH($A$1,[2]characters!$1:$1,0)+1,FALSE)</f>
        <v>red</v>
      </c>
      <c r="J58" s="24" t="str">
        <f ca="1">VLOOKUP($A58,OFFSET([2]characters!$A$1,0,0,COUNTA([2]characters!$A:$A),MATCH(J$1,[2]characters!$1:$1,0)-MATCH($A$1,[2]characters!$1:$1,0)+1),MATCH(J$1,[2]characters!$1:$1,0)-MATCH($A$1,[2]characters!$1:$1,0)+1,FALSE)</f>
        <v>animal</v>
      </c>
      <c r="K58" s="3" t="str">
        <f ca="1">VLOOKUP(J58,[2]character_tribe_i18n!$A:$H,3,FALSE)</f>
        <v>アニマル</v>
      </c>
      <c r="L58" s="5" t="e">
        <f>VLOOKUP(#REF!,[2]character_tribe_i18n!$A:$H,4,FALSE)</f>
        <v>#REF!</v>
      </c>
      <c r="M58" s="5" t="e">
        <f>VLOOKUP(#REF!,[2]character_tribe_i18n!$A:$H,5,FALSE)</f>
        <v>#REF!</v>
      </c>
      <c r="N58" s="5" t="e">
        <f>VLOOKUP(#REF!,[2]character_tribe_i18n!$A:$H,6,FALSE)</f>
        <v>#REF!</v>
      </c>
      <c r="O58" s="5" t="e">
        <f>VLOOKUP(#REF!,[2]character_tribe_i18n!$A:$H,7,FALSE)</f>
        <v>#REF!</v>
      </c>
      <c r="P58" s="83" t="s">
        <v>170</v>
      </c>
      <c r="Q58" s="4">
        <v>127</v>
      </c>
      <c r="R58" s="25" t="str">
        <f ca="1">IF(Q58="NULL","",VLOOKUP($Q58,OFFSET([2]characters!$A$1,0,0,COUNTA([2]characters!$A:$A),MATCH(R$1,[2]characters!$1:$1,0)-MATCH($A$1,[2]characters!$1:$1,0)+1),MATCH(R$1,[2]characters!$1:$1,0)-MATCH($A$1,[2]characters!$1:$1,0)+1,FALSE))</f>
        <v>狂喜の賢者 ユノ</v>
      </c>
      <c r="S58" s="3">
        <f t="shared" ca="1" si="0"/>
        <v>126</v>
      </c>
      <c r="T58" s="25" t="str">
        <f ca="1">VLOOKUP($S58,OFFSET([2]characters!$A$1,0,0,COUNTA([2]characters!$A:$A),MATCH(T$1,[2]characters!$1:$1,0)-MATCH($A$1,[2]characters!$1:$1,0)+1),MATCH(T$1,[2]characters!$1:$1,0)-MATCH($A$1,[2]characters!$1:$1,0)+1,FALSE)</f>
        <v>骨器使い ユノ</v>
      </c>
      <c r="U58" s="5">
        <f ca="1">IF(Q58="NULL","NULL",VLOOKUP(G58,ビット!$A$2:$B$7,2))</f>
        <v>20000</v>
      </c>
    </row>
    <row r="59" spans="1:21" ht="21" customHeight="1" x14ac:dyDescent="0.15">
      <c r="A59" s="83">
        <v>128</v>
      </c>
      <c r="B59" s="24" t="str">
        <f ca="1">VLOOKUP($A59,OFFSET([2]characters!$A$1,0,0,COUNTA([2]characters!$A:$A),MATCH(B$1,[2]characters!$1:$1,0)-MATCH($A$1,[2]characters!$1:$1,0)+1),MATCH(B$1,[2]characters!$1:$1,0)-MATCH($A$1,[2]characters!$1:$1,0)+1,FALSE)</f>
        <v>野生児 アマラ</v>
      </c>
      <c r="C59" s="24" t="str">
        <f ca="1">VLOOKUP($A59,OFFSET([2]characters!$A$1,0,0,COUNTA([2]characters!$A:$A),MATCH(C$1,[2]characters!$1:$1,0)-MATCH($A$1,[2]characters!$1:$1,0)+1),MATCH(C$1,[2]characters!$1:$1,0)-MATCH($A$1,[2]characters!$1:$1,0)+1,FALSE)</f>
        <v>初期ガチャ</v>
      </c>
      <c r="D59" s="24" t="str">
        <f ca="1">VLOOKUP($A59,OFFSET([2]characters!$A$1,0,0,COUNTA([2]characters!$A:$A),MATCH(D$1,[2]characters!$1:$1,0)-MATCH($A$1,[2]characters!$1:$1,0)+1),MATCH(D$1,[2]characters!$1:$1,0)-MATCH($A$1,[2]characters!$1:$1,0)+1,FALSE)</f>
        <v>アバター</v>
      </c>
      <c r="E59" s="24" t="str">
        <f ca="1">VLOOKUP($A59,OFFSET([2]characters!$A$1,0,0,COUNTA([2]characters!$A:$A),MATCH(E$1,[2]characters!$1:$1,0)-MATCH($A$1,[2]characters!$1:$1,0)+1),MATCH(E$1,[2]characters!$1:$1,0)-MATCH($A$1,[2]characters!$1:$1,0)+1,FALSE)</f>
        <v>格好いい</v>
      </c>
      <c r="F59" s="24" t="str">
        <f ca="1">VLOOKUP($A59,OFFSET([2]characters!$A$1,0,0,COUNTA([2]characters!$A:$A),MATCH(F$1,[2]characters!$1:$1,0)-MATCH($A$1,[2]characters!$1:$1,0)+1),MATCH(F$1,[2]characters!$1:$1,0)-MATCH($A$1,[2]characters!$1:$1,0)+1,FALSE)</f>
        <v>女性</v>
      </c>
      <c r="G59" s="24">
        <f ca="1">VLOOKUP($A59,OFFSET([2]characters!$A$1,0,0,COUNTA([2]characters!$A:$A),MATCH(G$1,[2]characters!$1:$1,0)-MATCH($A$1,[2]characters!$1:$1,0)+1),MATCH(G$1,[2]characters!$1:$1,0)-MATCH($A$1,[2]characters!$1:$1,0)+1,FALSE)</f>
        <v>3</v>
      </c>
      <c r="H59" s="24" t="str">
        <f ca="1">VLOOKUP($A59,OFFSET([2]characters!$A$1,0,0,COUNTA([2]characters!$A:$A),MATCH(H$1,[2]characters!$1:$1,0)-MATCH($A$1,[2]characters!$1:$1,0)+1),MATCH(H$1,[2]characters!$1:$1,0)-MATCH($A$1,[2]characters!$1:$1,0)+1,FALSE)</f>
        <v>PremiumW</v>
      </c>
      <c r="I59" s="24" t="str">
        <f ca="1">VLOOKUP($A59,OFFSET([2]characters!$A$1,0,0,COUNTA([2]characters!$A:$A),MATCH(I$1,[2]characters!$1:$1,0)-MATCH($A$1,[2]characters!$1:$1,0)+1),MATCH(I$1,[2]characters!$1:$1,0)-MATCH($A$1,[2]characters!$1:$1,0)+1,FALSE)</f>
        <v>green</v>
      </c>
      <c r="J59" s="24" t="str">
        <f ca="1">VLOOKUP($A59,OFFSET([2]characters!$A$1,0,0,COUNTA([2]characters!$A:$A),MATCH(J$1,[2]characters!$1:$1,0)-MATCH($A$1,[2]characters!$1:$1,0)+1),MATCH(J$1,[2]characters!$1:$1,0)-MATCH($A$1,[2]characters!$1:$1,0)+1,FALSE)</f>
        <v>animal</v>
      </c>
      <c r="K59" s="3" t="str">
        <f ca="1">VLOOKUP(J59,[2]character_tribe_i18n!$A:$H,3,FALSE)</f>
        <v>アニマル</v>
      </c>
      <c r="L59" s="5" t="e">
        <f>VLOOKUP(#REF!,[2]character_tribe_i18n!$A:$H,4,FALSE)</f>
        <v>#REF!</v>
      </c>
      <c r="M59" s="5" t="e">
        <f>VLOOKUP(#REF!,[2]character_tribe_i18n!$A:$H,5,FALSE)</f>
        <v>#REF!</v>
      </c>
      <c r="N59" s="5" t="e">
        <f>VLOOKUP(#REF!,[2]character_tribe_i18n!$A:$H,6,FALSE)</f>
        <v>#REF!</v>
      </c>
      <c r="O59" s="5" t="e">
        <f>VLOOKUP(#REF!,[2]character_tribe_i18n!$A:$H,7,FALSE)</f>
        <v>#REF!</v>
      </c>
      <c r="P59" s="83" t="s">
        <v>170</v>
      </c>
      <c r="Q59" s="4">
        <v>129</v>
      </c>
      <c r="R59" s="25" t="str">
        <f ca="1">IF(Q59="NULL","",VLOOKUP($Q59,OFFSET([2]characters!$A$1,0,0,COUNTA([2]characters!$A:$A),MATCH(R$1,[2]characters!$1:$1,0)-MATCH($A$1,[2]characters!$1:$1,0)+1),MATCH(R$1,[2]characters!$1:$1,0)-MATCH($A$1,[2]characters!$1:$1,0)+1,FALSE))</f>
        <v>孤高の狼憑き アマラ</v>
      </c>
      <c r="S59" s="3">
        <f t="shared" ca="1" si="0"/>
        <v>128</v>
      </c>
      <c r="T59" s="25" t="str">
        <f ca="1">VLOOKUP($S59,OFFSET([2]characters!$A$1,0,0,COUNTA([2]characters!$A:$A),MATCH(T$1,[2]characters!$1:$1,0)-MATCH($A$1,[2]characters!$1:$1,0)+1),MATCH(T$1,[2]characters!$1:$1,0)-MATCH($A$1,[2]characters!$1:$1,0)+1,FALSE)</f>
        <v>野生児 アマラ</v>
      </c>
      <c r="U59" s="5">
        <f ca="1">IF(Q59="NULL","NULL",VLOOKUP(G59,ビット!$A$2:$B$7,2))</f>
        <v>20000</v>
      </c>
    </row>
    <row r="60" spans="1:21" ht="21" customHeight="1" x14ac:dyDescent="0.15">
      <c r="A60" s="83">
        <v>130</v>
      </c>
      <c r="B60" s="24" t="str">
        <f ca="1">VLOOKUP($A60,OFFSET([2]characters!$A$1,0,0,COUNTA([2]characters!$A:$A),MATCH(B$1,[2]characters!$1:$1,0)-MATCH($A$1,[2]characters!$1:$1,0)+1),MATCH(B$1,[2]characters!$1:$1,0)-MATCH($A$1,[2]characters!$1:$1,0)+1,FALSE)</f>
        <v>狼男 ローレンス</v>
      </c>
      <c r="C60" s="24" t="str">
        <f ca="1">VLOOKUP($A60,OFFSET([2]characters!$A$1,0,0,COUNTA([2]characters!$A:$A),MATCH(C$1,[2]characters!$1:$1,0)-MATCH($A$1,[2]characters!$1:$1,0)+1),MATCH(C$1,[2]characters!$1:$1,0)-MATCH($A$1,[2]characters!$1:$1,0)+1,FALSE)</f>
        <v>初期ガチャ</v>
      </c>
      <c r="D60" s="24" t="str">
        <f ca="1">VLOOKUP($A60,OFFSET([2]characters!$A$1,0,0,COUNTA([2]characters!$A:$A),MATCH(D$1,[2]characters!$1:$1,0)-MATCH($A$1,[2]characters!$1:$1,0)+1),MATCH(D$1,[2]characters!$1:$1,0)-MATCH($A$1,[2]characters!$1:$1,0)+1,FALSE)</f>
        <v>アバター</v>
      </c>
      <c r="E60" s="24" t="str">
        <f ca="1">VLOOKUP($A60,OFFSET([2]characters!$A$1,0,0,COUNTA([2]characters!$A:$A),MATCH(E$1,[2]characters!$1:$1,0)-MATCH($A$1,[2]characters!$1:$1,0)+1),MATCH(E$1,[2]characters!$1:$1,0)-MATCH($A$1,[2]characters!$1:$1,0)+1,FALSE)</f>
        <v>格好いい</v>
      </c>
      <c r="F60" s="24" t="str">
        <f ca="1">VLOOKUP($A60,OFFSET([2]characters!$A$1,0,0,COUNTA([2]characters!$A:$A),MATCH(F$1,[2]characters!$1:$1,0)-MATCH($A$1,[2]characters!$1:$1,0)+1),MATCH(F$1,[2]characters!$1:$1,0)-MATCH($A$1,[2]characters!$1:$1,0)+1,FALSE)</f>
        <v>不明</v>
      </c>
      <c r="G60" s="24">
        <f ca="1">VLOOKUP($A60,OFFSET([2]characters!$A$1,0,0,COUNTA([2]characters!$A:$A),MATCH(G$1,[2]characters!$1:$1,0)-MATCH($A$1,[2]characters!$1:$1,0)+1),MATCH(G$1,[2]characters!$1:$1,0)-MATCH($A$1,[2]characters!$1:$1,0)+1,FALSE)</f>
        <v>3</v>
      </c>
      <c r="H60" s="24" t="str">
        <f ca="1">VLOOKUP($A60,OFFSET([2]characters!$A$1,0,0,COUNTA([2]characters!$A:$A),MATCH(H$1,[2]characters!$1:$1,0)-MATCH($A$1,[2]characters!$1:$1,0)+1),MATCH(H$1,[2]characters!$1:$1,0)-MATCH($A$1,[2]characters!$1:$1,0)+1,FALSE)</f>
        <v>PremiumW</v>
      </c>
      <c r="I60" s="24" t="str">
        <f ca="1">VLOOKUP($A60,OFFSET([2]characters!$A$1,0,0,COUNTA([2]characters!$A:$A),MATCH(I$1,[2]characters!$1:$1,0)-MATCH($A$1,[2]characters!$1:$1,0)+1),MATCH(I$1,[2]characters!$1:$1,0)-MATCH($A$1,[2]characters!$1:$1,0)+1,FALSE)</f>
        <v>blue</v>
      </c>
      <c r="J60" s="24" t="str">
        <f ca="1">VLOOKUP($A60,OFFSET([2]characters!$A$1,0,0,COUNTA([2]characters!$A:$A),MATCH(J$1,[2]characters!$1:$1,0)-MATCH($A$1,[2]characters!$1:$1,0)+1),MATCH(J$1,[2]characters!$1:$1,0)-MATCH($A$1,[2]characters!$1:$1,0)+1,FALSE)</f>
        <v>none</v>
      </c>
      <c r="K60" s="3" t="str">
        <f ca="1">VLOOKUP(J60,[2]character_tribe_i18n!$A:$H,3,FALSE)</f>
        <v>種族なし</v>
      </c>
      <c r="L60" s="5" t="e">
        <f>VLOOKUP(#REF!,[2]character_tribe_i18n!$A:$H,4,FALSE)</f>
        <v>#REF!</v>
      </c>
      <c r="M60" s="5" t="e">
        <f>VLOOKUP(#REF!,[2]character_tribe_i18n!$A:$H,5,FALSE)</f>
        <v>#REF!</v>
      </c>
      <c r="N60" s="5" t="e">
        <f>VLOOKUP(#REF!,[2]character_tribe_i18n!$A:$H,6,FALSE)</f>
        <v>#REF!</v>
      </c>
      <c r="O60" s="5" t="e">
        <f>VLOOKUP(#REF!,[2]character_tribe_i18n!$A:$H,7,FALSE)</f>
        <v>#REF!</v>
      </c>
      <c r="P60" s="83" t="s">
        <v>170</v>
      </c>
      <c r="Q60" s="4">
        <v>131</v>
      </c>
      <c r="R60" s="25" t="str">
        <f ca="1">IF(Q60="NULL","",VLOOKUP($Q60,OFFSET([2]characters!$A$1,0,0,COUNTA([2]characters!$A:$A),MATCH(R$1,[2]characters!$1:$1,0)-MATCH($A$1,[2]characters!$1:$1,0)+1),MATCH(R$1,[2]characters!$1:$1,0)-MATCH($A$1,[2]characters!$1:$1,0)+1,FALSE))</f>
        <v>月下の人狼 ローレンス</v>
      </c>
      <c r="S60" s="3">
        <f t="shared" ca="1" si="0"/>
        <v>130</v>
      </c>
      <c r="T60" s="25" t="str">
        <f ca="1">VLOOKUP($S60,OFFSET([2]characters!$A$1,0,0,COUNTA([2]characters!$A:$A),MATCH(T$1,[2]characters!$1:$1,0)-MATCH($A$1,[2]characters!$1:$1,0)+1),MATCH(T$1,[2]characters!$1:$1,0)-MATCH($A$1,[2]characters!$1:$1,0)+1,FALSE)</f>
        <v>狼男 ローレンス</v>
      </c>
      <c r="U60" s="5">
        <f ca="1">IF(Q60="NULL","NULL",VLOOKUP(G60,ビット!$A$2:$B$7,2))</f>
        <v>20000</v>
      </c>
    </row>
    <row r="61" spans="1:21" ht="21" customHeight="1" x14ac:dyDescent="0.15">
      <c r="A61" s="83">
        <v>132</v>
      </c>
      <c r="B61" s="24" t="str">
        <f ca="1">VLOOKUP($A61,OFFSET([2]characters!$A$1,0,0,COUNTA([2]characters!$A:$A),MATCH(B$1,[2]characters!$1:$1,0)-MATCH($A$1,[2]characters!$1:$1,0)+1),MATCH(B$1,[2]characters!$1:$1,0)-MATCH($A$1,[2]characters!$1:$1,0)+1,FALSE)</f>
        <v>鳥人ハヤト</v>
      </c>
      <c r="C61" s="24" t="str">
        <f ca="1">VLOOKUP($A61,OFFSET([2]characters!$A$1,0,0,COUNTA([2]characters!$A:$A),MATCH(C$1,[2]characters!$1:$1,0)-MATCH($A$1,[2]characters!$1:$1,0)+1),MATCH(C$1,[2]characters!$1:$1,0)-MATCH($A$1,[2]characters!$1:$1,0)+1,FALSE)</f>
        <v>初期ガチャ</v>
      </c>
      <c r="D61" s="24" t="str">
        <f ca="1">VLOOKUP($A61,OFFSET([2]characters!$A$1,0,0,COUNTA([2]characters!$A:$A),MATCH(D$1,[2]characters!$1:$1,0)-MATCH($A$1,[2]characters!$1:$1,0)+1),MATCH(D$1,[2]characters!$1:$1,0)-MATCH($A$1,[2]characters!$1:$1,0)+1,FALSE)</f>
        <v>アバター</v>
      </c>
      <c r="E61" s="24" t="str">
        <f ca="1">VLOOKUP($A61,OFFSET([2]characters!$A$1,0,0,COUNTA([2]characters!$A:$A),MATCH(E$1,[2]characters!$1:$1,0)-MATCH($A$1,[2]characters!$1:$1,0)+1),MATCH(E$1,[2]characters!$1:$1,0)-MATCH($A$1,[2]characters!$1:$1,0)+1,FALSE)</f>
        <v>格好いい</v>
      </c>
      <c r="F61" s="24" t="str">
        <f ca="1">VLOOKUP($A61,OFFSET([2]characters!$A$1,0,0,COUNTA([2]characters!$A:$A),MATCH(F$1,[2]characters!$1:$1,0)-MATCH($A$1,[2]characters!$1:$1,0)+1),MATCH(F$1,[2]characters!$1:$1,0)-MATCH($A$1,[2]characters!$1:$1,0)+1,FALSE)</f>
        <v>男性</v>
      </c>
      <c r="G61" s="24">
        <f ca="1">VLOOKUP($A61,OFFSET([2]characters!$A$1,0,0,COUNTA([2]characters!$A:$A),MATCH(G$1,[2]characters!$1:$1,0)-MATCH($A$1,[2]characters!$1:$1,0)+1),MATCH(G$1,[2]characters!$1:$1,0)-MATCH($A$1,[2]characters!$1:$1,0)+1,FALSE)</f>
        <v>3</v>
      </c>
      <c r="H61" s="24" t="str">
        <f ca="1">VLOOKUP($A61,OFFSET([2]characters!$A$1,0,0,COUNTA([2]characters!$A:$A),MATCH(H$1,[2]characters!$1:$1,0)-MATCH($A$1,[2]characters!$1:$1,0)+1),MATCH(H$1,[2]characters!$1:$1,0)-MATCH($A$1,[2]characters!$1:$1,0)+1,FALSE)</f>
        <v>PremiumW</v>
      </c>
      <c r="I61" s="24" t="str">
        <f ca="1">VLOOKUP($A61,OFFSET([2]characters!$A$1,0,0,COUNTA([2]characters!$A:$A),MATCH(I$1,[2]characters!$1:$1,0)-MATCH($A$1,[2]characters!$1:$1,0)+1),MATCH(I$1,[2]characters!$1:$1,0)-MATCH($A$1,[2]characters!$1:$1,0)+1,FALSE)</f>
        <v>yellow</v>
      </c>
      <c r="J61" s="24" t="str">
        <f ca="1">VLOOKUP($A61,OFFSET([2]characters!$A$1,0,0,COUNTA([2]characters!$A:$A),MATCH(J$1,[2]characters!$1:$1,0)-MATCH($A$1,[2]characters!$1:$1,0)+1),MATCH(J$1,[2]characters!$1:$1,0)-MATCH($A$1,[2]characters!$1:$1,0)+1,FALSE)</f>
        <v>animal</v>
      </c>
      <c r="K61" s="3" t="str">
        <f ca="1">VLOOKUP(J61,[2]character_tribe_i18n!$A:$H,3,FALSE)</f>
        <v>アニマル</v>
      </c>
      <c r="L61" s="5" t="e">
        <f>VLOOKUP(#REF!,[2]character_tribe_i18n!$A:$H,4,FALSE)</f>
        <v>#REF!</v>
      </c>
      <c r="M61" s="5" t="e">
        <f>VLOOKUP(#REF!,[2]character_tribe_i18n!$A:$H,5,FALSE)</f>
        <v>#REF!</v>
      </c>
      <c r="N61" s="5" t="e">
        <f>VLOOKUP(#REF!,[2]character_tribe_i18n!$A:$H,6,FALSE)</f>
        <v>#REF!</v>
      </c>
      <c r="O61" s="5" t="e">
        <f>VLOOKUP(#REF!,[2]character_tribe_i18n!$A:$H,7,FALSE)</f>
        <v>#REF!</v>
      </c>
      <c r="P61" s="83" t="s">
        <v>170</v>
      </c>
      <c r="Q61" s="4">
        <v>133</v>
      </c>
      <c r="R61" s="25" t="str">
        <f ca="1">IF(Q61="NULL","",VLOOKUP($Q61,OFFSET([2]characters!$A$1,0,0,COUNTA([2]characters!$A:$A),MATCH(R$1,[2]characters!$1:$1,0)-MATCH($A$1,[2]characters!$1:$1,0)+1),MATCH(R$1,[2]characters!$1:$1,0)-MATCH($A$1,[2]characters!$1:$1,0)+1,FALSE))</f>
        <v>迅雷の刀剣 ハヤト</v>
      </c>
      <c r="S61" s="3">
        <f t="shared" ca="1" si="0"/>
        <v>132</v>
      </c>
      <c r="T61" s="25" t="str">
        <f ca="1">VLOOKUP($S61,OFFSET([2]characters!$A$1,0,0,COUNTA([2]characters!$A:$A),MATCH(T$1,[2]characters!$1:$1,0)-MATCH($A$1,[2]characters!$1:$1,0)+1),MATCH(T$1,[2]characters!$1:$1,0)-MATCH($A$1,[2]characters!$1:$1,0)+1,FALSE)</f>
        <v>鳥人ハヤト</v>
      </c>
      <c r="U61" s="5">
        <f ca="1">IF(Q61="NULL","NULL",VLOOKUP(G61,ビット!$A$2:$B$7,2))</f>
        <v>20000</v>
      </c>
    </row>
    <row r="62" spans="1:21" ht="21" customHeight="1" x14ac:dyDescent="0.15">
      <c r="A62" s="83">
        <v>134</v>
      </c>
      <c r="B62" s="24" t="str">
        <f ca="1">VLOOKUP($A62,OFFSET([2]characters!$A$1,0,0,COUNTA([2]characters!$A:$A),MATCH(B$1,[2]characters!$1:$1,0)-MATCH($A$1,[2]characters!$1:$1,0)+1),MATCH(B$1,[2]characters!$1:$1,0)-MATCH($A$1,[2]characters!$1:$1,0)+1,FALSE)</f>
        <v>妖炎の夕霧</v>
      </c>
      <c r="C62" s="24" t="str">
        <f ca="1">VLOOKUP($A62,OFFSET([2]characters!$A$1,0,0,COUNTA([2]characters!$A:$A),MATCH(C$1,[2]characters!$1:$1,0)-MATCH($A$1,[2]characters!$1:$1,0)+1),MATCH(C$1,[2]characters!$1:$1,0)-MATCH($A$1,[2]characters!$1:$1,0)+1,FALSE)</f>
        <v>初期ガチャ</v>
      </c>
      <c r="D62" s="24" t="str">
        <f ca="1">VLOOKUP($A62,OFFSET([2]characters!$A$1,0,0,COUNTA([2]characters!$A:$A),MATCH(D$1,[2]characters!$1:$1,0)-MATCH($A$1,[2]characters!$1:$1,0)+1),MATCH(D$1,[2]characters!$1:$1,0)-MATCH($A$1,[2]characters!$1:$1,0)+1,FALSE)</f>
        <v>アバター</v>
      </c>
      <c r="E62" s="24" t="str">
        <f ca="1">VLOOKUP($A62,OFFSET([2]characters!$A$1,0,0,COUNTA([2]characters!$A:$A),MATCH(E$1,[2]characters!$1:$1,0)-MATCH($A$1,[2]characters!$1:$1,0)+1),MATCH(E$1,[2]characters!$1:$1,0)-MATCH($A$1,[2]characters!$1:$1,0)+1,FALSE)</f>
        <v>美しい</v>
      </c>
      <c r="F62" s="24" t="str">
        <f ca="1">VLOOKUP($A62,OFFSET([2]characters!$A$1,0,0,COUNTA([2]characters!$A:$A),MATCH(F$1,[2]characters!$1:$1,0)-MATCH($A$1,[2]characters!$1:$1,0)+1),MATCH(F$1,[2]characters!$1:$1,0)-MATCH($A$1,[2]characters!$1:$1,0)+1,FALSE)</f>
        <v>女性</v>
      </c>
      <c r="G62" s="24">
        <f ca="1">VLOOKUP($A62,OFFSET([2]characters!$A$1,0,0,COUNTA([2]characters!$A:$A),MATCH(G$1,[2]characters!$1:$1,0)-MATCH($A$1,[2]characters!$1:$1,0)+1),MATCH(G$1,[2]characters!$1:$1,0)-MATCH($A$1,[2]characters!$1:$1,0)+1,FALSE)</f>
        <v>3</v>
      </c>
      <c r="H62" s="24" t="str">
        <f ca="1">VLOOKUP($A62,OFFSET([2]characters!$A$1,0,0,COUNTA([2]characters!$A:$A),MATCH(H$1,[2]characters!$1:$1,0)-MATCH($A$1,[2]characters!$1:$1,0)+1),MATCH(H$1,[2]characters!$1:$1,0)-MATCH($A$1,[2]characters!$1:$1,0)+1,FALSE)</f>
        <v>PremiumW</v>
      </c>
      <c r="I62" s="24" t="str">
        <f ca="1">VLOOKUP($A62,OFFSET([2]characters!$A$1,0,0,COUNTA([2]characters!$A:$A),MATCH(I$1,[2]characters!$1:$1,0)-MATCH($A$1,[2]characters!$1:$1,0)+1),MATCH(I$1,[2]characters!$1:$1,0)-MATCH($A$1,[2]characters!$1:$1,0)+1,FALSE)</f>
        <v>red</v>
      </c>
      <c r="J62" s="24" t="str">
        <f ca="1">VLOOKUP($A62,OFFSET([2]characters!$A$1,0,0,COUNTA([2]characters!$A:$A),MATCH(J$1,[2]characters!$1:$1,0)-MATCH($A$1,[2]characters!$1:$1,0)+1),MATCH(J$1,[2]characters!$1:$1,0)-MATCH($A$1,[2]characters!$1:$1,0)+1,FALSE)</f>
        <v>none</v>
      </c>
      <c r="K62" s="3" t="str">
        <f ca="1">VLOOKUP(J62,[2]character_tribe_i18n!$A:$H,3,FALSE)</f>
        <v>種族なし</v>
      </c>
      <c r="L62" s="5" t="e">
        <f>VLOOKUP(#REF!,[2]character_tribe_i18n!$A:$H,4,FALSE)</f>
        <v>#REF!</v>
      </c>
      <c r="M62" s="5" t="e">
        <f>VLOOKUP(#REF!,[2]character_tribe_i18n!$A:$H,5,FALSE)</f>
        <v>#REF!</v>
      </c>
      <c r="N62" s="5" t="e">
        <f>VLOOKUP(#REF!,[2]character_tribe_i18n!$A:$H,6,FALSE)</f>
        <v>#REF!</v>
      </c>
      <c r="O62" s="5" t="e">
        <f>VLOOKUP(#REF!,[2]character_tribe_i18n!$A:$H,7,FALSE)</f>
        <v>#REF!</v>
      </c>
      <c r="P62" s="83" t="s">
        <v>170</v>
      </c>
      <c r="Q62" s="4">
        <v>135</v>
      </c>
      <c r="R62" s="25" t="str">
        <f ca="1">IF(Q62="NULL","",VLOOKUP($Q62,OFFSET([2]characters!$A$1,0,0,COUNTA([2]characters!$A:$A),MATCH(R$1,[2]characters!$1:$1,0)-MATCH($A$1,[2]characters!$1:$1,0)+1),MATCH(R$1,[2]characters!$1:$1,0)-MATCH($A$1,[2]characters!$1:$1,0)+1,FALSE))</f>
        <v>京の炎華夕霧</v>
      </c>
      <c r="S62" s="3">
        <f t="shared" ca="1" si="0"/>
        <v>134</v>
      </c>
      <c r="T62" s="25" t="str">
        <f ca="1">VLOOKUP($S62,OFFSET([2]characters!$A$1,0,0,COUNTA([2]characters!$A:$A),MATCH(T$1,[2]characters!$1:$1,0)-MATCH($A$1,[2]characters!$1:$1,0)+1),MATCH(T$1,[2]characters!$1:$1,0)-MATCH($A$1,[2]characters!$1:$1,0)+1,FALSE)</f>
        <v>妖炎の夕霧</v>
      </c>
      <c r="U62" s="5">
        <f ca="1">IF(Q62="NULL","NULL",VLOOKUP(G62,ビット!$A$2:$B$7,2))</f>
        <v>20000</v>
      </c>
    </row>
    <row r="63" spans="1:21" ht="21" customHeight="1" x14ac:dyDescent="0.15">
      <c r="A63" s="83">
        <v>136</v>
      </c>
      <c r="B63" s="24" t="str">
        <f ca="1">VLOOKUP($A63,OFFSET([2]characters!$A$1,0,0,COUNTA([2]characters!$A:$A),MATCH(B$1,[2]characters!$1:$1,0)-MATCH($A$1,[2]characters!$1:$1,0)+1),MATCH(B$1,[2]characters!$1:$1,0)-MATCH($A$1,[2]characters!$1:$1,0)+1,FALSE)</f>
        <v>お針子チハヤ</v>
      </c>
      <c r="C63" s="24" t="str">
        <f ca="1">VLOOKUP($A63,OFFSET([2]characters!$A$1,0,0,COUNTA([2]characters!$A:$A),MATCH(C$1,[2]characters!$1:$1,0)-MATCH($A$1,[2]characters!$1:$1,0)+1),MATCH(C$1,[2]characters!$1:$1,0)-MATCH($A$1,[2]characters!$1:$1,0)+1,FALSE)</f>
        <v>初期ガチャ</v>
      </c>
      <c r="D63" s="24" t="str">
        <f ca="1">VLOOKUP($A63,OFFSET([2]characters!$A$1,0,0,COUNTA([2]characters!$A:$A),MATCH(D$1,[2]characters!$1:$1,0)-MATCH($A$1,[2]characters!$1:$1,0)+1),MATCH(D$1,[2]characters!$1:$1,0)-MATCH($A$1,[2]characters!$1:$1,0)+1,FALSE)</f>
        <v>アバター</v>
      </c>
      <c r="E63" s="24" t="str">
        <f ca="1">VLOOKUP($A63,OFFSET([2]characters!$A$1,0,0,COUNTA([2]characters!$A:$A),MATCH(E$1,[2]characters!$1:$1,0)-MATCH($A$1,[2]characters!$1:$1,0)+1),MATCH(E$1,[2]characters!$1:$1,0)-MATCH($A$1,[2]characters!$1:$1,0)+1,FALSE)</f>
        <v>可愛い</v>
      </c>
      <c r="F63" s="24" t="str">
        <f ca="1">VLOOKUP($A63,OFFSET([2]characters!$A$1,0,0,COUNTA([2]characters!$A:$A),MATCH(F$1,[2]characters!$1:$1,0)-MATCH($A$1,[2]characters!$1:$1,0)+1),MATCH(F$1,[2]characters!$1:$1,0)-MATCH($A$1,[2]characters!$1:$1,0)+1,FALSE)</f>
        <v>女性</v>
      </c>
      <c r="G63" s="24">
        <f ca="1">VLOOKUP($A63,OFFSET([2]characters!$A$1,0,0,COUNTA([2]characters!$A:$A),MATCH(G$1,[2]characters!$1:$1,0)-MATCH($A$1,[2]characters!$1:$1,0)+1),MATCH(G$1,[2]characters!$1:$1,0)-MATCH($A$1,[2]characters!$1:$1,0)+1,FALSE)</f>
        <v>3</v>
      </c>
      <c r="H63" s="24" t="str">
        <f ca="1">VLOOKUP($A63,OFFSET([2]characters!$A$1,0,0,COUNTA([2]characters!$A:$A),MATCH(H$1,[2]characters!$1:$1,0)-MATCH($A$1,[2]characters!$1:$1,0)+1),MATCH(H$1,[2]characters!$1:$1,0)-MATCH($A$1,[2]characters!$1:$1,0)+1,FALSE)</f>
        <v>PremiumW</v>
      </c>
      <c r="I63" s="24" t="str">
        <f ca="1">VLOOKUP($A63,OFFSET([2]characters!$A$1,0,0,COUNTA([2]characters!$A:$A),MATCH(I$1,[2]characters!$1:$1,0)-MATCH($A$1,[2]characters!$1:$1,0)+1),MATCH(I$1,[2]characters!$1:$1,0)-MATCH($A$1,[2]characters!$1:$1,0)+1,FALSE)</f>
        <v>green</v>
      </c>
      <c r="J63" s="24" t="str">
        <f ca="1">VLOOKUP($A63,OFFSET([2]characters!$A$1,0,0,COUNTA([2]characters!$A:$A),MATCH(J$1,[2]characters!$1:$1,0)-MATCH($A$1,[2]characters!$1:$1,0)+1),MATCH(J$1,[2]characters!$1:$1,0)-MATCH($A$1,[2]characters!$1:$1,0)+1,FALSE)</f>
        <v>none</v>
      </c>
      <c r="K63" s="3" t="str">
        <f ca="1">VLOOKUP(J63,[2]character_tribe_i18n!$A:$H,3,FALSE)</f>
        <v>種族なし</v>
      </c>
      <c r="L63" s="5" t="e">
        <f>VLOOKUP(#REF!,[2]character_tribe_i18n!$A:$H,4,FALSE)</f>
        <v>#REF!</v>
      </c>
      <c r="M63" s="5" t="e">
        <f>VLOOKUP(#REF!,[2]character_tribe_i18n!$A:$H,5,FALSE)</f>
        <v>#REF!</v>
      </c>
      <c r="N63" s="5" t="e">
        <f>VLOOKUP(#REF!,[2]character_tribe_i18n!$A:$H,6,FALSE)</f>
        <v>#REF!</v>
      </c>
      <c r="O63" s="5" t="e">
        <f>VLOOKUP(#REF!,[2]character_tribe_i18n!$A:$H,7,FALSE)</f>
        <v>#REF!</v>
      </c>
      <c r="P63" s="83" t="s">
        <v>170</v>
      </c>
      <c r="Q63" s="4">
        <v>137</v>
      </c>
      <c r="R63" s="25" t="str">
        <f ca="1">IF(Q63="NULL","",VLOOKUP($Q63,OFFSET([2]characters!$A$1,0,0,COUNTA([2]characters!$A:$A),MATCH(R$1,[2]characters!$1:$1,0)-MATCH($A$1,[2]characters!$1:$1,0)+1),MATCH(R$1,[2]characters!$1:$1,0)-MATCH($A$1,[2]characters!$1:$1,0)+1,FALSE))</f>
        <v>清福の仕立屋 チハヤ</v>
      </c>
      <c r="S63" s="3">
        <f t="shared" ca="1" si="0"/>
        <v>136</v>
      </c>
      <c r="T63" s="25" t="str">
        <f ca="1">VLOOKUP($S63,OFFSET([2]characters!$A$1,0,0,COUNTA([2]characters!$A:$A),MATCH(T$1,[2]characters!$1:$1,0)-MATCH($A$1,[2]characters!$1:$1,0)+1),MATCH(T$1,[2]characters!$1:$1,0)-MATCH($A$1,[2]characters!$1:$1,0)+1,FALSE)</f>
        <v>お針子チハヤ</v>
      </c>
      <c r="U63" s="5">
        <f ca="1">IF(Q63="NULL","NULL",VLOOKUP(G63,ビット!$A$2:$B$7,2))</f>
        <v>20000</v>
      </c>
    </row>
    <row r="64" spans="1:21" ht="21" customHeight="1" x14ac:dyDescent="0.15">
      <c r="A64" s="83">
        <v>138</v>
      </c>
      <c r="B64" s="24" t="str">
        <f ca="1">VLOOKUP($A64,OFFSET([2]characters!$A$1,0,0,COUNTA([2]characters!$A:$A),MATCH(B$1,[2]characters!$1:$1,0)-MATCH($A$1,[2]characters!$1:$1,0)+1),MATCH(B$1,[2]characters!$1:$1,0)-MATCH($A$1,[2]characters!$1:$1,0)+1,FALSE)</f>
        <v>蒼薙のトモエ</v>
      </c>
      <c r="C64" s="24" t="str">
        <f ca="1">VLOOKUP($A64,OFFSET([2]characters!$A$1,0,0,COUNTA([2]characters!$A:$A),MATCH(C$1,[2]characters!$1:$1,0)-MATCH($A$1,[2]characters!$1:$1,0)+1),MATCH(C$1,[2]characters!$1:$1,0)-MATCH($A$1,[2]characters!$1:$1,0)+1,FALSE)</f>
        <v>初期ガチャ</v>
      </c>
      <c r="D64" s="24" t="str">
        <f ca="1">VLOOKUP($A64,OFFSET([2]characters!$A$1,0,0,COUNTA([2]characters!$A:$A),MATCH(D$1,[2]characters!$1:$1,0)-MATCH($A$1,[2]characters!$1:$1,0)+1),MATCH(D$1,[2]characters!$1:$1,0)-MATCH($A$1,[2]characters!$1:$1,0)+1,FALSE)</f>
        <v>アバター</v>
      </c>
      <c r="E64" s="24" t="str">
        <f ca="1">VLOOKUP($A64,OFFSET([2]characters!$A$1,0,0,COUNTA([2]characters!$A:$A),MATCH(E$1,[2]characters!$1:$1,0)-MATCH($A$1,[2]characters!$1:$1,0)+1),MATCH(E$1,[2]characters!$1:$1,0)-MATCH($A$1,[2]characters!$1:$1,0)+1,FALSE)</f>
        <v>美しい</v>
      </c>
      <c r="F64" s="24" t="str">
        <f ca="1">VLOOKUP($A64,OFFSET([2]characters!$A$1,0,0,COUNTA([2]characters!$A:$A),MATCH(F$1,[2]characters!$1:$1,0)-MATCH($A$1,[2]characters!$1:$1,0)+1),MATCH(F$1,[2]characters!$1:$1,0)-MATCH($A$1,[2]characters!$1:$1,0)+1,FALSE)</f>
        <v>女性</v>
      </c>
      <c r="G64" s="24">
        <f ca="1">VLOOKUP($A64,OFFSET([2]characters!$A$1,0,0,COUNTA([2]characters!$A:$A),MATCH(G$1,[2]characters!$1:$1,0)-MATCH($A$1,[2]characters!$1:$1,0)+1),MATCH(G$1,[2]characters!$1:$1,0)-MATCH($A$1,[2]characters!$1:$1,0)+1,FALSE)</f>
        <v>3</v>
      </c>
      <c r="H64" s="24" t="str">
        <f ca="1">VLOOKUP($A64,OFFSET([2]characters!$A$1,0,0,COUNTA([2]characters!$A:$A),MATCH(H$1,[2]characters!$1:$1,0)-MATCH($A$1,[2]characters!$1:$1,0)+1),MATCH(H$1,[2]characters!$1:$1,0)-MATCH($A$1,[2]characters!$1:$1,0)+1,FALSE)</f>
        <v>PremiumW</v>
      </c>
      <c r="I64" s="24" t="str">
        <f ca="1">VLOOKUP($A64,OFFSET([2]characters!$A$1,0,0,COUNTA([2]characters!$A:$A),MATCH(I$1,[2]characters!$1:$1,0)-MATCH($A$1,[2]characters!$1:$1,0)+1),MATCH(I$1,[2]characters!$1:$1,0)-MATCH($A$1,[2]characters!$1:$1,0)+1,FALSE)</f>
        <v>blue</v>
      </c>
      <c r="J64" s="24" t="str">
        <f ca="1">VLOOKUP($A64,OFFSET([2]characters!$A$1,0,0,COUNTA([2]characters!$A:$A),MATCH(J$1,[2]characters!$1:$1,0)-MATCH($A$1,[2]characters!$1:$1,0)+1),MATCH(J$1,[2]characters!$1:$1,0)-MATCH($A$1,[2]characters!$1:$1,0)+1,FALSE)</f>
        <v>none</v>
      </c>
      <c r="K64" s="3" t="str">
        <f ca="1">VLOOKUP(J64,[2]character_tribe_i18n!$A:$H,3,FALSE)</f>
        <v>種族なし</v>
      </c>
      <c r="L64" s="5" t="e">
        <f>VLOOKUP(#REF!,[2]character_tribe_i18n!$A:$H,4,FALSE)</f>
        <v>#REF!</v>
      </c>
      <c r="M64" s="5" t="e">
        <f>VLOOKUP(#REF!,[2]character_tribe_i18n!$A:$H,5,FALSE)</f>
        <v>#REF!</v>
      </c>
      <c r="N64" s="5" t="e">
        <f>VLOOKUP(#REF!,[2]character_tribe_i18n!$A:$H,6,FALSE)</f>
        <v>#REF!</v>
      </c>
      <c r="O64" s="5" t="e">
        <f>VLOOKUP(#REF!,[2]character_tribe_i18n!$A:$H,7,FALSE)</f>
        <v>#REF!</v>
      </c>
      <c r="P64" s="83" t="s">
        <v>170</v>
      </c>
      <c r="Q64" s="4">
        <v>139</v>
      </c>
      <c r="R64" s="25" t="str">
        <f ca="1">IF(Q64="NULL","",VLOOKUP($Q64,OFFSET([2]characters!$A$1,0,0,COUNTA([2]characters!$A:$A),MATCH(R$1,[2]characters!$1:$1,0)-MATCH($A$1,[2]characters!$1:$1,0)+1),MATCH(R$1,[2]characters!$1:$1,0)-MATCH($A$1,[2]characters!$1:$1,0)+1,FALSE))</f>
        <v>蒼昇刃姫 トモエ</v>
      </c>
      <c r="S64" s="3">
        <f t="shared" ca="1" si="0"/>
        <v>138</v>
      </c>
      <c r="T64" s="25" t="str">
        <f ca="1">VLOOKUP($S64,OFFSET([2]characters!$A$1,0,0,COUNTA([2]characters!$A:$A),MATCH(T$1,[2]characters!$1:$1,0)-MATCH($A$1,[2]characters!$1:$1,0)+1),MATCH(T$1,[2]characters!$1:$1,0)-MATCH($A$1,[2]characters!$1:$1,0)+1,FALSE)</f>
        <v>蒼薙のトモエ</v>
      </c>
      <c r="U64" s="5">
        <f ca="1">IF(Q64="NULL","NULL",VLOOKUP(G64,ビット!$A$2:$B$7,2))</f>
        <v>20000</v>
      </c>
    </row>
    <row r="65" spans="1:21" ht="21" customHeight="1" x14ac:dyDescent="0.15">
      <c r="A65" s="83">
        <v>140</v>
      </c>
      <c r="B65" s="24" t="str">
        <f ca="1">VLOOKUP($A65,OFFSET([2]characters!$A$1,0,0,COUNTA([2]characters!$A:$A),MATCH(B$1,[2]characters!$1:$1,0)-MATCH($A$1,[2]characters!$1:$1,0)+1),MATCH(B$1,[2]characters!$1:$1,0)-MATCH($A$1,[2]characters!$1:$1,0)+1,FALSE)</f>
        <v>秋祭のタマモ</v>
      </c>
      <c r="C65" s="24" t="str">
        <f ca="1">VLOOKUP($A65,OFFSET([2]characters!$A$1,0,0,COUNTA([2]characters!$A:$A),MATCH(C$1,[2]characters!$1:$1,0)-MATCH($A$1,[2]characters!$1:$1,0)+1),MATCH(C$1,[2]characters!$1:$1,0)-MATCH($A$1,[2]characters!$1:$1,0)+1,FALSE)</f>
        <v>初期ガチャ</v>
      </c>
      <c r="D65" s="24" t="str">
        <f ca="1">VLOOKUP($A65,OFFSET([2]characters!$A$1,0,0,COUNTA([2]characters!$A:$A),MATCH(D$1,[2]characters!$1:$1,0)-MATCH($A$1,[2]characters!$1:$1,0)+1),MATCH(D$1,[2]characters!$1:$1,0)-MATCH($A$1,[2]characters!$1:$1,0)+1,FALSE)</f>
        <v>アバター</v>
      </c>
      <c r="E65" s="24" t="str">
        <f ca="1">VLOOKUP($A65,OFFSET([2]characters!$A$1,0,0,COUNTA([2]characters!$A:$A),MATCH(E$1,[2]characters!$1:$1,0)-MATCH($A$1,[2]characters!$1:$1,0)+1),MATCH(E$1,[2]characters!$1:$1,0)-MATCH($A$1,[2]characters!$1:$1,0)+1,FALSE)</f>
        <v>可愛い</v>
      </c>
      <c r="F65" s="24" t="str">
        <f ca="1">VLOOKUP($A65,OFFSET([2]characters!$A$1,0,0,COUNTA([2]characters!$A:$A),MATCH(F$1,[2]characters!$1:$1,0)-MATCH($A$1,[2]characters!$1:$1,0)+1),MATCH(F$1,[2]characters!$1:$1,0)-MATCH($A$1,[2]characters!$1:$1,0)+1,FALSE)</f>
        <v>女性</v>
      </c>
      <c r="G65" s="24">
        <f ca="1">VLOOKUP($A65,OFFSET([2]characters!$A$1,0,0,COUNTA([2]characters!$A:$A),MATCH(G$1,[2]characters!$1:$1,0)-MATCH($A$1,[2]characters!$1:$1,0)+1),MATCH(G$1,[2]characters!$1:$1,0)-MATCH($A$1,[2]characters!$1:$1,0)+1,FALSE)</f>
        <v>3</v>
      </c>
      <c r="H65" s="24" t="str">
        <f ca="1">VLOOKUP($A65,OFFSET([2]characters!$A$1,0,0,COUNTA([2]characters!$A:$A),MATCH(H$1,[2]characters!$1:$1,0)-MATCH($A$1,[2]characters!$1:$1,0)+1),MATCH(H$1,[2]characters!$1:$1,0)-MATCH($A$1,[2]characters!$1:$1,0)+1,FALSE)</f>
        <v>PremiumW</v>
      </c>
      <c r="I65" s="24" t="str">
        <f ca="1">VLOOKUP($A65,OFFSET([2]characters!$A$1,0,0,COUNTA([2]characters!$A:$A),MATCH(I$1,[2]characters!$1:$1,0)-MATCH($A$1,[2]characters!$1:$1,0)+1),MATCH(I$1,[2]characters!$1:$1,0)-MATCH($A$1,[2]characters!$1:$1,0)+1,FALSE)</f>
        <v>yellow</v>
      </c>
      <c r="J65" s="24" t="str">
        <f ca="1">VLOOKUP($A65,OFFSET([2]characters!$A$1,0,0,COUNTA([2]characters!$A:$A),MATCH(J$1,[2]characters!$1:$1,0)-MATCH($A$1,[2]characters!$1:$1,0)+1),MATCH(J$1,[2]characters!$1:$1,0)-MATCH($A$1,[2]characters!$1:$1,0)+1,FALSE)</f>
        <v>none</v>
      </c>
      <c r="K65" s="3" t="str">
        <f ca="1">VLOOKUP(J65,[2]character_tribe_i18n!$A:$H,3,FALSE)</f>
        <v>種族なし</v>
      </c>
      <c r="L65" s="5" t="e">
        <f>VLOOKUP(#REF!,[2]character_tribe_i18n!$A:$H,4,FALSE)</f>
        <v>#REF!</v>
      </c>
      <c r="M65" s="5" t="e">
        <f>VLOOKUP(#REF!,[2]character_tribe_i18n!$A:$H,5,FALSE)</f>
        <v>#REF!</v>
      </c>
      <c r="N65" s="5" t="e">
        <f>VLOOKUP(#REF!,[2]character_tribe_i18n!$A:$H,6,FALSE)</f>
        <v>#REF!</v>
      </c>
      <c r="O65" s="5" t="e">
        <f>VLOOKUP(#REF!,[2]character_tribe_i18n!$A:$H,7,FALSE)</f>
        <v>#REF!</v>
      </c>
      <c r="P65" s="83" t="s">
        <v>170</v>
      </c>
      <c r="Q65" s="4">
        <v>141</v>
      </c>
      <c r="R65" s="25" t="str">
        <f ca="1">IF(Q65="NULL","",VLOOKUP($Q65,OFFSET([2]characters!$A$1,0,0,COUNTA([2]characters!$A:$A),MATCH(R$1,[2]characters!$1:$1,0)-MATCH($A$1,[2]characters!$1:$1,0)+1),MATCH(R$1,[2]characters!$1:$1,0)-MATCH($A$1,[2]characters!$1:$1,0)+1,FALSE))</f>
        <v>妖狐演舞 タマモ</v>
      </c>
      <c r="S65" s="3">
        <f t="shared" ca="1" si="0"/>
        <v>140</v>
      </c>
      <c r="T65" s="25" t="str">
        <f ca="1">VLOOKUP($S65,OFFSET([2]characters!$A$1,0,0,COUNTA([2]characters!$A:$A),MATCH(T$1,[2]characters!$1:$1,0)-MATCH($A$1,[2]characters!$1:$1,0)+1),MATCH(T$1,[2]characters!$1:$1,0)-MATCH($A$1,[2]characters!$1:$1,0)+1,FALSE)</f>
        <v>秋祭のタマモ</v>
      </c>
      <c r="U65" s="5">
        <f ca="1">IF(Q65="NULL","NULL",VLOOKUP(G65,ビット!$A$2:$B$7,2))</f>
        <v>20000</v>
      </c>
    </row>
    <row r="66" spans="1:21" ht="21" customHeight="1" x14ac:dyDescent="0.15">
      <c r="A66" s="83">
        <v>142</v>
      </c>
      <c r="B66" s="24" t="str">
        <f ca="1">VLOOKUP($A66,OFFSET([2]characters!$A$1,0,0,COUNTA([2]characters!$A:$A),MATCH(B$1,[2]characters!$1:$1,0)-MATCH($A$1,[2]characters!$1:$1,0)+1),MATCH(B$1,[2]characters!$1:$1,0)-MATCH($A$1,[2]characters!$1:$1,0)+1,FALSE)</f>
        <v>赤ずきん</v>
      </c>
      <c r="C66" s="24" t="str">
        <f ca="1">VLOOKUP($A66,OFFSET([2]characters!$A$1,0,0,COUNTA([2]characters!$A:$A),MATCH(C$1,[2]characters!$1:$1,0)-MATCH($A$1,[2]characters!$1:$1,0)+1),MATCH(C$1,[2]characters!$1:$1,0)-MATCH($A$1,[2]characters!$1:$1,0)+1,FALSE)</f>
        <v>初期ガチャ</v>
      </c>
      <c r="D66" s="24" t="str">
        <f ca="1">VLOOKUP($A66,OFFSET([2]characters!$A$1,0,0,COUNTA([2]characters!$A:$A),MATCH(D$1,[2]characters!$1:$1,0)-MATCH($A$1,[2]characters!$1:$1,0)+1),MATCH(D$1,[2]characters!$1:$1,0)-MATCH($A$1,[2]characters!$1:$1,0)+1,FALSE)</f>
        <v>アバター</v>
      </c>
      <c r="E66" s="24" t="str">
        <f ca="1">VLOOKUP($A66,OFFSET([2]characters!$A$1,0,0,COUNTA([2]characters!$A:$A),MATCH(E$1,[2]characters!$1:$1,0)-MATCH($A$1,[2]characters!$1:$1,0)+1),MATCH(E$1,[2]characters!$1:$1,0)-MATCH($A$1,[2]characters!$1:$1,0)+1,FALSE)</f>
        <v>可愛い</v>
      </c>
      <c r="F66" s="24" t="str">
        <f ca="1">VLOOKUP($A66,OFFSET([2]characters!$A$1,0,0,COUNTA([2]characters!$A:$A),MATCH(F$1,[2]characters!$1:$1,0)-MATCH($A$1,[2]characters!$1:$1,0)+1),MATCH(F$1,[2]characters!$1:$1,0)-MATCH($A$1,[2]characters!$1:$1,0)+1,FALSE)</f>
        <v>女性</v>
      </c>
      <c r="G66" s="24">
        <f ca="1">VLOOKUP($A66,OFFSET([2]characters!$A$1,0,0,COUNTA([2]characters!$A:$A),MATCH(G$1,[2]characters!$1:$1,0)-MATCH($A$1,[2]characters!$1:$1,0)+1),MATCH(G$1,[2]characters!$1:$1,0)-MATCH($A$1,[2]characters!$1:$1,0)+1,FALSE)</f>
        <v>3</v>
      </c>
      <c r="H66" s="24" t="str">
        <f ca="1">VLOOKUP($A66,OFFSET([2]characters!$A$1,0,0,COUNTA([2]characters!$A:$A),MATCH(H$1,[2]characters!$1:$1,0)-MATCH($A$1,[2]characters!$1:$1,0)+1),MATCH(H$1,[2]characters!$1:$1,0)-MATCH($A$1,[2]characters!$1:$1,0)+1,FALSE)</f>
        <v>PremiumW</v>
      </c>
      <c r="I66" s="24" t="str">
        <f ca="1">VLOOKUP($A66,OFFSET([2]characters!$A$1,0,0,COUNTA([2]characters!$A:$A),MATCH(I$1,[2]characters!$1:$1,0)-MATCH($A$1,[2]characters!$1:$1,0)+1),MATCH(I$1,[2]characters!$1:$1,0)-MATCH($A$1,[2]characters!$1:$1,0)+1,FALSE)</f>
        <v>red</v>
      </c>
      <c r="J66" s="24" t="str">
        <f ca="1">VLOOKUP($A66,OFFSET([2]characters!$A$1,0,0,COUNTA([2]characters!$A:$A),MATCH(J$1,[2]characters!$1:$1,0)-MATCH($A$1,[2]characters!$1:$1,0)+1),MATCH(J$1,[2]characters!$1:$1,0)-MATCH($A$1,[2]characters!$1:$1,0)+1,FALSE)</f>
        <v>none</v>
      </c>
      <c r="K66" s="3" t="str">
        <f ca="1">VLOOKUP(J66,[2]character_tribe_i18n!$A:$H,3,FALSE)</f>
        <v>種族なし</v>
      </c>
      <c r="L66" s="5" t="e">
        <f>VLOOKUP(#REF!,[2]character_tribe_i18n!$A:$H,4,FALSE)</f>
        <v>#REF!</v>
      </c>
      <c r="M66" s="5" t="e">
        <f>VLOOKUP(#REF!,[2]character_tribe_i18n!$A:$H,5,FALSE)</f>
        <v>#REF!</v>
      </c>
      <c r="N66" s="5" t="e">
        <f>VLOOKUP(#REF!,[2]character_tribe_i18n!$A:$H,6,FALSE)</f>
        <v>#REF!</v>
      </c>
      <c r="O66" s="5" t="e">
        <f>VLOOKUP(#REF!,[2]character_tribe_i18n!$A:$H,7,FALSE)</f>
        <v>#REF!</v>
      </c>
      <c r="P66" s="83" t="s">
        <v>170</v>
      </c>
      <c r="Q66" s="4">
        <v>143</v>
      </c>
      <c r="R66" s="25" t="str">
        <f ca="1">IF(Q66="NULL","",VLOOKUP($Q66,OFFSET([2]characters!$A$1,0,0,COUNTA([2]characters!$A:$A),MATCH(R$1,[2]characters!$1:$1,0)-MATCH($A$1,[2]characters!$1:$1,0)+1),MATCH(R$1,[2]characters!$1:$1,0)-MATCH($A$1,[2]characters!$1:$1,0)+1,FALSE))</f>
        <v>深紅の死神 赤ずきん</v>
      </c>
      <c r="S66" s="3">
        <f t="shared" ref="S66:S129" ca="1" si="1">IF(ISNA(MATCH(A66,Q:Q,0)),A66,INDIRECT(ADDRESS(MATCH(A66,Q:Q,0),COLUMN())))</f>
        <v>142</v>
      </c>
      <c r="T66" s="25" t="str">
        <f ca="1">VLOOKUP($S66,OFFSET([2]characters!$A$1,0,0,COUNTA([2]characters!$A:$A),MATCH(T$1,[2]characters!$1:$1,0)-MATCH($A$1,[2]characters!$1:$1,0)+1),MATCH(T$1,[2]characters!$1:$1,0)-MATCH($A$1,[2]characters!$1:$1,0)+1,FALSE)</f>
        <v>赤ずきん</v>
      </c>
      <c r="U66" s="5">
        <f ca="1">IF(Q66="NULL","NULL",VLOOKUP(G66,ビット!$A$2:$B$7,2))</f>
        <v>20000</v>
      </c>
    </row>
    <row r="67" spans="1:21" ht="21" customHeight="1" x14ac:dyDescent="0.15">
      <c r="A67" s="83">
        <v>144</v>
      </c>
      <c r="B67" s="24" t="str">
        <f ca="1">VLOOKUP($A67,OFFSET([2]characters!$A$1,0,0,COUNTA([2]characters!$A:$A),MATCH(B$1,[2]characters!$1:$1,0)-MATCH($A$1,[2]characters!$1:$1,0)+1),MATCH(B$1,[2]characters!$1:$1,0)-MATCH($A$1,[2]characters!$1:$1,0)+1,FALSE)</f>
        <v>かぐや</v>
      </c>
      <c r="C67" s="24" t="str">
        <f ca="1">VLOOKUP($A67,OFFSET([2]characters!$A$1,0,0,COUNTA([2]characters!$A:$A),MATCH(C$1,[2]characters!$1:$1,0)-MATCH($A$1,[2]characters!$1:$1,0)+1),MATCH(C$1,[2]characters!$1:$1,0)-MATCH($A$1,[2]characters!$1:$1,0)+1,FALSE)</f>
        <v>初期ガチャ</v>
      </c>
      <c r="D67" s="24" t="str">
        <f ca="1">VLOOKUP($A67,OFFSET([2]characters!$A$1,0,0,COUNTA([2]characters!$A:$A),MATCH(D$1,[2]characters!$1:$1,0)-MATCH($A$1,[2]characters!$1:$1,0)+1),MATCH(D$1,[2]characters!$1:$1,0)-MATCH($A$1,[2]characters!$1:$1,0)+1,FALSE)</f>
        <v>アバター</v>
      </c>
      <c r="E67" s="24" t="str">
        <f ca="1">VLOOKUP($A67,OFFSET([2]characters!$A$1,0,0,COUNTA([2]characters!$A:$A),MATCH(E$1,[2]characters!$1:$1,0)-MATCH($A$1,[2]characters!$1:$1,0)+1),MATCH(E$1,[2]characters!$1:$1,0)-MATCH($A$1,[2]characters!$1:$1,0)+1,FALSE)</f>
        <v>美しい</v>
      </c>
      <c r="F67" s="24" t="str">
        <f ca="1">VLOOKUP($A67,OFFSET([2]characters!$A$1,0,0,COUNTA([2]characters!$A:$A),MATCH(F$1,[2]characters!$1:$1,0)-MATCH($A$1,[2]characters!$1:$1,0)+1),MATCH(F$1,[2]characters!$1:$1,0)-MATCH($A$1,[2]characters!$1:$1,0)+1,FALSE)</f>
        <v>女性</v>
      </c>
      <c r="G67" s="24">
        <f ca="1">VLOOKUP($A67,OFFSET([2]characters!$A$1,0,0,COUNTA([2]characters!$A:$A),MATCH(G$1,[2]characters!$1:$1,0)-MATCH($A$1,[2]characters!$1:$1,0)+1),MATCH(G$1,[2]characters!$1:$1,0)-MATCH($A$1,[2]characters!$1:$1,0)+1,FALSE)</f>
        <v>3</v>
      </c>
      <c r="H67" s="24" t="str">
        <f ca="1">VLOOKUP($A67,OFFSET([2]characters!$A$1,0,0,COUNTA([2]characters!$A:$A),MATCH(H$1,[2]characters!$1:$1,0)-MATCH($A$1,[2]characters!$1:$1,0)+1),MATCH(H$1,[2]characters!$1:$1,0)-MATCH($A$1,[2]characters!$1:$1,0)+1,FALSE)</f>
        <v>PremiumW</v>
      </c>
      <c r="I67" s="24" t="str">
        <f ca="1">VLOOKUP($A67,OFFSET([2]characters!$A$1,0,0,COUNTA([2]characters!$A:$A),MATCH(I$1,[2]characters!$1:$1,0)-MATCH($A$1,[2]characters!$1:$1,0)+1),MATCH(I$1,[2]characters!$1:$1,0)-MATCH($A$1,[2]characters!$1:$1,0)+1,FALSE)</f>
        <v>green</v>
      </c>
      <c r="J67" s="24" t="str">
        <f ca="1">VLOOKUP($A67,OFFSET([2]characters!$A$1,0,0,COUNTA([2]characters!$A:$A),MATCH(J$1,[2]characters!$1:$1,0)-MATCH($A$1,[2]characters!$1:$1,0)+1),MATCH(J$1,[2]characters!$1:$1,0)-MATCH($A$1,[2]characters!$1:$1,0)+1,FALSE)</f>
        <v>none</v>
      </c>
      <c r="K67" s="3" t="str">
        <f ca="1">VLOOKUP(J67,[2]character_tribe_i18n!$A:$H,3,FALSE)</f>
        <v>種族なし</v>
      </c>
      <c r="L67" s="5" t="e">
        <f>VLOOKUP(#REF!,[2]character_tribe_i18n!$A:$H,4,FALSE)</f>
        <v>#REF!</v>
      </c>
      <c r="M67" s="5" t="e">
        <f>VLOOKUP(#REF!,[2]character_tribe_i18n!$A:$H,5,FALSE)</f>
        <v>#REF!</v>
      </c>
      <c r="N67" s="5" t="e">
        <f>VLOOKUP(#REF!,[2]character_tribe_i18n!$A:$H,6,FALSE)</f>
        <v>#REF!</v>
      </c>
      <c r="O67" s="5" t="e">
        <f>VLOOKUP(#REF!,[2]character_tribe_i18n!$A:$H,7,FALSE)</f>
        <v>#REF!</v>
      </c>
      <c r="P67" s="83" t="s">
        <v>170</v>
      </c>
      <c r="Q67" s="4">
        <v>145</v>
      </c>
      <c r="R67" s="25" t="str">
        <f ca="1">IF(Q67="NULL","",VLOOKUP($Q67,OFFSET([2]characters!$A$1,0,0,COUNTA([2]characters!$A:$A),MATCH(R$1,[2]characters!$1:$1,0)-MATCH($A$1,[2]characters!$1:$1,0)+1),MATCH(R$1,[2]characters!$1:$1,0)-MATCH($A$1,[2]characters!$1:$1,0)+1,FALSE))</f>
        <v>魔性妖艶 かぐや</v>
      </c>
      <c r="S67" s="3">
        <f t="shared" ca="1" si="1"/>
        <v>144</v>
      </c>
      <c r="T67" s="25" t="str">
        <f ca="1">VLOOKUP($S67,OFFSET([2]characters!$A$1,0,0,COUNTA([2]characters!$A:$A),MATCH(T$1,[2]characters!$1:$1,0)-MATCH($A$1,[2]characters!$1:$1,0)+1),MATCH(T$1,[2]characters!$1:$1,0)-MATCH($A$1,[2]characters!$1:$1,0)+1,FALSE)</f>
        <v>かぐや</v>
      </c>
      <c r="U67" s="5">
        <f ca="1">IF(Q67="NULL","NULL",VLOOKUP(G67,ビット!$A$2:$B$7,2))</f>
        <v>20000</v>
      </c>
    </row>
    <row r="68" spans="1:21" ht="21" customHeight="1" x14ac:dyDescent="0.15">
      <c r="A68" s="83">
        <v>146</v>
      </c>
      <c r="B68" s="24" t="str">
        <f ca="1">VLOOKUP($A68,OFFSET([2]characters!$A$1,0,0,COUNTA([2]characters!$A:$A),MATCH(B$1,[2]characters!$1:$1,0)-MATCH($A$1,[2]characters!$1:$1,0)+1),MATCH(B$1,[2]characters!$1:$1,0)-MATCH($A$1,[2]characters!$1:$1,0)+1,FALSE)</f>
        <v>マーメイド</v>
      </c>
      <c r="C68" s="24" t="str">
        <f ca="1">VLOOKUP($A68,OFFSET([2]characters!$A$1,0,0,COUNTA([2]characters!$A:$A),MATCH(C$1,[2]characters!$1:$1,0)-MATCH($A$1,[2]characters!$1:$1,0)+1),MATCH(C$1,[2]characters!$1:$1,0)-MATCH($A$1,[2]characters!$1:$1,0)+1,FALSE)</f>
        <v>初期ガチャ</v>
      </c>
      <c r="D68" s="24" t="str">
        <f ca="1">VLOOKUP($A68,OFFSET([2]characters!$A$1,0,0,COUNTA([2]characters!$A:$A),MATCH(D$1,[2]characters!$1:$1,0)-MATCH($A$1,[2]characters!$1:$1,0)+1),MATCH(D$1,[2]characters!$1:$1,0)-MATCH($A$1,[2]characters!$1:$1,0)+1,FALSE)</f>
        <v>アバター</v>
      </c>
      <c r="E68" s="24" t="str">
        <f ca="1">VLOOKUP($A68,OFFSET([2]characters!$A$1,0,0,COUNTA([2]characters!$A:$A),MATCH(E$1,[2]characters!$1:$1,0)-MATCH($A$1,[2]characters!$1:$1,0)+1),MATCH(E$1,[2]characters!$1:$1,0)-MATCH($A$1,[2]characters!$1:$1,0)+1,FALSE)</f>
        <v>可愛い</v>
      </c>
      <c r="F68" s="24" t="str">
        <f ca="1">VLOOKUP($A68,OFFSET([2]characters!$A$1,0,0,COUNTA([2]characters!$A:$A),MATCH(F$1,[2]characters!$1:$1,0)-MATCH($A$1,[2]characters!$1:$1,0)+1),MATCH(F$1,[2]characters!$1:$1,0)-MATCH($A$1,[2]characters!$1:$1,0)+1,FALSE)</f>
        <v>女性</v>
      </c>
      <c r="G68" s="24">
        <f ca="1">VLOOKUP($A68,OFFSET([2]characters!$A$1,0,0,COUNTA([2]characters!$A:$A),MATCH(G$1,[2]characters!$1:$1,0)-MATCH($A$1,[2]characters!$1:$1,0)+1),MATCH(G$1,[2]characters!$1:$1,0)-MATCH($A$1,[2]characters!$1:$1,0)+1,FALSE)</f>
        <v>3</v>
      </c>
      <c r="H68" s="24" t="str">
        <f ca="1">VLOOKUP($A68,OFFSET([2]characters!$A$1,0,0,COUNTA([2]characters!$A:$A),MATCH(H$1,[2]characters!$1:$1,0)-MATCH($A$1,[2]characters!$1:$1,0)+1),MATCH(H$1,[2]characters!$1:$1,0)-MATCH($A$1,[2]characters!$1:$1,0)+1,FALSE)</f>
        <v>PremiumW</v>
      </c>
      <c r="I68" s="24" t="str">
        <f ca="1">VLOOKUP($A68,OFFSET([2]characters!$A$1,0,0,COUNTA([2]characters!$A:$A),MATCH(I$1,[2]characters!$1:$1,0)-MATCH($A$1,[2]characters!$1:$1,0)+1),MATCH(I$1,[2]characters!$1:$1,0)-MATCH($A$1,[2]characters!$1:$1,0)+1,FALSE)</f>
        <v>blue</v>
      </c>
      <c r="J68" s="24" t="str">
        <f ca="1">VLOOKUP($A68,OFFSET([2]characters!$A$1,0,0,COUNTA([2]characters!$A:$A),MATCH(J$1,[2]characters!$1:$1,0)-MATCH($A$1,[2]characters!$1:$1,0)+1),MATCH(J$1,[2]characters!$1:$1,0)-MATCH($A$1,[2]characters!$1:$1,0)+1,FALSE)</f>
        <v>none</v>
      </c>
      <c r="K68" s="3" t="str">
        <f ca="1">VLOOKUP(J68,[2]character_tribe_i18n!$A:$H,3,FALSE)</f>
        <v>種族なし</v>
      </c>
      <c r="L68" s="5" t="e">
        <f>VLOOKUP(#REF!,[2]character_tribe_i18n!$A:$H,4,FALSE)</f>
        <v>#REF!</v>
      </c>
      <c r="M68" s="5" t="e">
        <f>VLOOKUP(#REF!,[2]character_tribe_i18n!$A:$H,5,FALSE)</f>
        <v>#REF!</v>
      </c>
      <c r="N68" s="5" t="e">
        <f>VLOOKUP(#REF!,[2]character_tribe_i18n!$A:$H,6,FALSE)</f>
        <v>#REF!</v>
      </c>
      <c r="O68" s="5" t="e">
        <f>VLOOKUP(#REF!,[2]character_tribe_i18n!$A:$H,7,FALSE)</f>
        <v>#REF!</v>
      </c>
      <c r="P68" s="83" t="s">
        <v>170</v>
      </c>
      <c r="Q68" s="4">
        <v>147</v>
      </c>
      <c r="R68" s="25" t="str">
        <f ca="1">IF(Q68="NULL","",VLOOKUP($Q68,OFFSET([2]characters!$A$1,0,0,COUNTA([2]characters!$A:$A),MATCH(R$1,[2]characters!$1:$1,0)-MATCH($A$1,[2]characters!$1:$1,0)+1),MATCH(R$1,[2]characters!$1:$1,0)-MATCH($A$1,[2]characters!$1:$1,0)+1,FALSE))</f>
        <v>蒼き閃光 元マーメイド</v>
      </c>
      <c r="S68" s="3">
        <f t="shared" ca="1" si="1"/>
        <v>146</v>
      </c>
      <c r="T68" s="25" t="str">
        <f ca="1">VLOOKUP($S68,OFFSET([2]characters!$A$1,0,0,COUNTA([2]characters!$A:$A),MATCH(T$1,[2]characters!$1:$1,0)-MATCH($A$1,[2]characters!$1:$1,0)+1),MATCH(T$1,[2]characters!$1:$1,0)-MATCH($A$1,[2]characters!$1:$1,0)+1,FALSE)</f>
        <v>マーメイド</v>
      </c>
      <c r="U68" s="5">
        <f ca="1">IF(Q68="NULL","NULL",VLOOKUP(G68,ビット!$A$2:$B$7,2))</f>
        <v>20000</v>
      </c>
    </row>
    <row r="69" spans="1:21" ht="21" customHeight="1" x14ac:dyDescent="0.15">
      <c r="A69" s="83">
        <v>148</v>
      </c>
      <c r="B69" s="24" t="str">
        <f ca="1">VLOOKUP($A69,OFFSET([2]characters!$A$1,0,0,COUNTA([2]characters!$A:$A),MATCH(B$1,[2]characters!$1:$1,0)-MATCH($A$1,[2]characters!$1:$1,0)+1),MATCH(B$1,[2]characters!$1:$1,0)-MATCH($A$1,[2]characters!$1:$1,0)+1,FALSE)</f>
        <v>シンデレラ</v>
      </c>
      <c r="C69" s="24" t="str">
        <f ca="1">VLOOKUP($A69,OFFSET([2]characters!$A$1,0,0,COUNTA([2]characters!$A:$A),MATCH(C$1,[2]characters!$1:$1,0)-MATCH($A$1,[2]characters!$1:$1,0)+1),MATCH(C$1,[2]characters!$1:$1,0)-MATCH($A$1,[2]characters!$1:$1,0)+1,FALSE)</f>
        <v>初期ガチャ</v>
      </c>
      <c r="D69" s="24" t="str">
        <f ca="1">VLOOKUP($A69,OFFSET([2]characters!$A$1,0,0,COUNTA([2]characters!$A:$A),MATCH(D$1,[2]characters!$1:$1,0)-MATCH($A$1,[2]characters!$1:$1,0)+1),MATCH(D$1,[2]characters!$1:$1,0)-MATCH($A$1,[2]characters!$1:$1,0)+1,FALSE)</f>
        <v>アバター</v>
      </c>
      <c r="E69" s="24" t="str">
        <f ca="1">VLOOKUP($A69,OFFSET([2]characters!$A$1,0,0,COUNTA([2]characters!$A:$A),MATCH(E$1,[2]characters!$1:$1,0)-MATCH($A$1,[2]characters!$1:$1,0)+1),MATCH(E$1,[2]characters!$1:$1,0)-MATCH($A$1,[2]characters!$1:$1,0)+1,FALSE)</f>
        <v>美しい</v>
      </c>
      <c r="F69" s="24" t="str">
        <f ca="1">VLOOKUP($A69,OFFSET([2]characters!$A$1,0,0,COUNTA([2]characters!$A:$A),MATCH(F$1,[2]characters!$1:$1,0)-MATCH($A$1,[2]characters!$1:$1,0)+1),MATCH(F$1,[2]characters!$1:$1,0)-MATCH($A$1,[2]characters!$1:$1,0)+1,FALSE)</f>
        <v>女性</v>
      </c>
      <c r="G69" s="24">
        <f ca="1">VLOOKUP($A69,OFFSET([2]characters!$A$1,0,0,COUNTA([2]characters!$A:$A),MATCH(G$1,[2]characters!$1:$1,0)-MATCH($A$1,[2]characters!$1:$1,0)+1),MATCH(G$1,[2]characters!$1:$1,0)-MATCH($A$1,[2]characters!$1:$1,0)+1,FALSE)</f>
        <v>3</v>
      </c>
      <c r="H69" s="24" t="str">
        <f ca="1">VLOOKUP($A69,OFFSET([2]characters!$A$1,0,0,COUNTA([2]characters!$A:$A),MATCH(H$1,[2]characters!$1:$1,0)-MATCH($A$1,[2]characters!$1:$1,0)+1),MATCH(H$1,[2]characters!$1:$1,0)-MATCH($A$1,[2]characters!$1:$1,0)+1,FALSE)</f>
        <v>PremiumW</v>
      </c>
      <c r="I69" s="24" t="str">
        <f ca="1">VLOOKUP($A69,OFFSET([2]characters!$A$1,0,0,COUNTA([2]characters!$A:$A),MATCH(I$1,[2]characters!$1:$1,0)-MATCH($A$1,[2]characters!$1:$1,0)+1),MATCH(I$1,[2]characters!$1:$1,0)-MATCH($A$1,[2]characters!$1:$1,0)+1,FALSE)</f>
        <v>yellow</v>
      </c>
      <c r="J69" s="24" t="str">
        <f ca="1">VLOOKUP($A69,OFFSET([2]characters!$A$1,0,0,COUNTA([2]characters!$A:$A),MATCH(J$1,[2]characters!$1:$1,0)-MATCH($A$1,[2]characters!$1:$1,0)+1),MATCH(J$1,[2]characters!$1:$1,0)-MATCH($A$1,[2]characters!$1:$1,0)+1,FALSE)</f>
        <v>none</v>
      </c>
      <c r="K69" s="3" t="str">
        <f ca="1">VLOOKUP(J69,[2]character_tribe_i18n!$A:$H,3,FALSE)</f>
        <v>種族なし</v>
      </c>
      <c r="L69" s="5" t="e">
        <f>VLOOKUP(#REF!,[2]character_tribe_i18n!$A:$H,4,FALSE)</f>
        <v>#REF!</v>
      </c>
      <c r="M69" s="5" t="e">
        <f>VLOOKUP(#REF!,[2]character_tribe_i18n!$A:$H,5,FALSE)</f>
        <v>#REF!</v>
      </c>
      <c r="N69" s="5" t="e">
        <f>VLOOKUP(#REF!,[2]character_tribe_i18n!$A:$H,6,FALSE)</f>
        <v>#REF!</v>
      </c>
      <c r="O69" s="5" t="e">
        <f>VLOOKUP(#REF!,[2]character_tribe_i18n!$A:$H,7,FALSE)</f>
        <v>#REF!</v>
      </c>
      <c r="P69" s="83" t="s">
        <v>170</v>
      </c>
      <c r="Q69" s="4">
        <v>149</v>
      </c>
      <c r="R69" s="25" t="str">
        <f ca="1">IF(Q69="NULL","",VLOOKUP($Q69,OFFSET([2]characters!$A$1,0,0,COUNTA([2]characters!$A:$A),MATCH(R$1,[2]characters!$1:$1,0)-MATCH($A$1,[2]characters!$1:$1,0)+1),MATCH(R$1,[2]characters!$1:$1,0)-MATCH($A$1,[2]characters!$1:$1,0)+1,FALSE))</f>
        <v>雷撃蹴技を極めし者 シンデレラ</v>
      </c>
      <c r="S69" s="3">
        <f t="shared" ca="1" si="1"/>
        <v>148</v>
      </c>
      <c r="T69" s="25" t="str">
        <f ca="1">VLOOKUP($S69,OFFSET([2]characters!$A$1,0,0,COUNTA([2]characters!$A:$A),MATCH(T$1,[2]characters!$1:$1,0)-MATCH($A$1,[2]characters!$1:$1,0)+1),MATCH(T$1,[2]characters!$1:$1,0)-MATCH($A$1,[2]characters!$1:$1,0)+1,FALSE)</f>
        <v>シンデレラ</v>
      </c>
      <c r="U69" s="5">
        <f ca="1">IF(Q69="NULL","NULL",VLOOKUP(G69,ビット!$A$2:$B$7,2))</f>
        <v>20000</v>
      </c>
    </row>
    <row r="70" spans="1:21" ht="21" customHeight="1" x14ac:dyDescent="0.15">
      <c r="A70" s="83">
        <v>150</v>
      </c>
      <c r="B70" s="24" t="str">
        <f ca="1">VLOOKUP($A70,OFFSET([2]characters!$A$1,0,0,COUNTA([2]characters!$A:$A),MATCH(B$1,[2]characters!$1:$1,0)-MATCH($A$1,[2]characters!$1:$1,0)+1),MATCH(B$1,[2]characters!$1:$1,0)-MATCH($A$1,[2]characters!$1:$1,0)+1,FALSE)</f>
        <v>ポイズンマスターサキ</v>
      </c>
      <c r="C70" s="24" t="str">
        <f ca="1">VLOOKUP($A70,OFFSET([2]characters!$A$1,0,0,COUNTA([2]characters!$A:$A),MATCH(C$1,[2]characters!$1:$1,0)-MATCH($A$1,[2]characters!$1:$1,0)+1),MATCH(C$1,[2]characters!$1:$1,0)-MATCH($A$1,[2]characters!$1:$1,0)+1,FALSE)</f>
        <v>初期ガチャ</v>
      </c>
      <c r="D70" s="24" t="str">
        <f ca="1">VLOOKUP($A70,OFFSET([2]characters!$A$1,0,0,COUNTA([2]characters!$A:$A),MATCH(D$1,[2]characters!$1:$1,0)-MATCH($A$1,[2]characters!$1:$1,0)+1),MATCH(D$1,[2]characters!$1:$1,0)-MATCH($A$1,[2]characters!$1:$1,0)+1,FALSE)</f>
        <v>アバター</v>
      </c>
      <c r="E70" s="24" t="str">
        <f ca="1">VLOOKUP($A70,OFFSET([2]characters!$A$1,0,0,COUNTA([2]characters!$A:$A),MATCH(E$1,[2]characters!$1:$1,0)-MATCH($A$1,[2]characters!$1:$1,0)+1),MATCH(E$1,[2]characters!$1:$1,0)-MATCH($A$1,[2]characters!$1:$1,0)+1,FALSE)</f>
        <v>格好いい</v>
      </c>
      <c r="F70" s="24" t="str">
        <f ca="1">VLOOKUP($A70,OFFSET([2]characters!$A$1,0,0,COUNTA([2]characters!$A:$A),MATCH(F$1,[2]characters!$1:$1,0)-MATCH($A$1,[2]characters!$1:$1,0)+1),MATCH(F$1,[2]characters!$1:$1,0)-MATCH($A$1,[2]characters!$1:$1,0)+1,FALSE)</f>
        <v>女性</v>
      </c>
      <c r="G70" s="24">
        <f ca="1">VLOOKUP($A70,OFFSET([2]characters!$A$1,0,0,COUNTA([2]characters!$A:$A),MATCH(G$1,[2]characters!$1:$1,0)-MATCH($A$1,[2]characters!$1:$1,0)+1),MATCH(G$1,[2]characters!$1:$1,0)-MATCH($A$1,[2]characters!$1:$1,0)+1,FALSE)</f>
        <v>3</v>
      </c>
      <c r="H70" s="24" t="str">
        <f ca="1">VLOOKUP($A70,OFFSET([2]characters!$A$1,0,0,COUNTA([2]characters!$A:$A),MATCH(H$1,[2]characters!$1:$1,0)-MATCH($A$1,[2]characters!$1:$1,0)+1),MATCH(H$1,[2]characters!$1:$1,0)-MATCH($A$1,[2]characters!$1:$1,0)+1,FALSE)</f>
        <v>PremiumW</v>
      </c>
      <c r="I70" s="24" t="str">
        <f ca="1">VLOOKUP($A70,OFFSET([2]characters!$A$1,0,0,COUNTA([2]characters!$A:$A),MATCH(I$1,[2]characters!$1:$1,0)-MATCH($A$1,[2]characters!$1:$1,0)+1),MATCH(I$1,[2]characters!$1:$1,0)-MATCH($A$1,[2]characters!$1:$1,0)+1,FALSE)</f>
        <v>red</v>
      </c>
      <c r="J70" s="24" t="str">
        <f ca="1">VLOOKUP($A70,OFFSET([2]characters!$A$1,0,0,COUNTA([2]characters!$A:$A),MATCH(J$1,[2]characters!$1:$1,0)-MATCH($A$1,[2]characters!$1:$1,0)+1),MATCH(J$1,[2]characters!$1:$1,0)-MATCH($A$1,[2]characters!$1:$1,0)+1,FALSE)</f>
        <v>none</v>
      </c>
      <c r="K70" s="3" t="str">
        <f ca="1">VLOOKUP(J70,[2]character_tribe_i18n!$A:$H,3,FALSE)</f>
        <v>種族なし</v>
      </c>
      <c r="L70" s="5" t="e">
        <f>VLOOKUP(#REF!,[2]character_tribe_i18n!$A:$H,4,FALSE)</f>
        <v>#REF!</v>
      </c>
      <c r="M70" s="5" t="e">
        <f>VLOOKUP(#REF!,[2]character_tribe_i18n!$A:$H,5,FALSE)</f>
        <v>#REF!</v>
      </c>
      <c r="N70" s="5" t="e">
        <f>VLOOKUP(#REF!,[2]character_tribe_i18n!$A:$H,6,FALSE)</f>
        <v>#REF!</v>
      </c>
      <c r="O70" s="5" t="e">
        <f>VLOOKUP(#REF!,[2]character_tribe_i18n!$A:$H,7,FALSE)</f>
        <v>#REF!</v>
      </c>
      <c r="P70" s="83" t="s">
        <v>170</v>
      </c>
      <c r="Q70" s="4">
        <v>151</v>
      </c>
      <c r="R70" s="25" t="str">
        <f ca="1">IF(Q70="NULL","",VLOOKUP($Q70,OFFSET([2]characters!$A$1,0,0,COUNTA([2]characters!$A:$A),MATCH(R$1,[2]characters!$1:$1,0)-MATCH($A$1,[2]characters!$1:$1,0)+1),MATCH(R$1,[2]characters!$1:$1,0)-MATCH($A$1,[2]characters!$1:$1,0)+1,FALSE))</f>
        <v>毒煙の処刑人サキ</v>
      </c>
      <c r="S70" s="3">
        <f t="shared" ca="1" si="1"/>
        <v>150</v>
      </c>
      <c r="T70" s="25" t="str">
        <f ca="1">VLOOKUP($S70,OFFSET([2]characters!$A$1,0,0,COUNTA([2]characters!$A:$A),MATCH(T$1,[2]characters!$1:$1,0)-MATCH($A$1,[2]characters!$1:$1,0)+1),MATCH(T$1,[2]characters!$1:$1,0)-MATCH($A$1,[2]characters!$1:$1,0)+1,FALSE)</f>
        <v>ポイズンマスターサキ</v>
      </c>
      <c r="U70" s="5">
        <f ca="1">IF(Q70="NULL","NULL",VLOOKUP(G70,ビット!$A$2:$B$7,2))</f>
        <v>20000</v>
      </c>
    </row>
    <row r="71" spans="1:21" ht="21" customHeight="1" x14ac:dyDescent="0.15">
      <c r="A71" s="83">
        <v>152</v>
      </c>
      <c r="B71" s="24" t="str">
        <f ca="1">VLOOKUP($A71,OFFSET([2]characters!$A$1,0,0,COUNTA([2]characters!$A:$A),MATCH(B$1,[2]characters!$1:$1,0)-MATCH($A$1,[2]characters!$1:$1,0)+1),MATCH(B$1,[2]characters!$1:$1,0)-MATCH($A$1,[2]characters!$1:$1,0)+1,FALSE)</f>
        <v>功夫少女ランラン</v>
      </c>
      <c r="C71" s="24" t="str">
        <f ca="1">VLOOKUP($A71,OFFSET([2]characters!$A$1,0,0,COUNTA([2]characters!$A:$A),MATCH(C$1,[2]characters!$1:$1,0)-MATCH($A$1,[2]characters!$1:$1,0)+1),MATCH(C$1,[2]characters!$1:$1,0)-MATCH($A$1,[2]characters!$1:$1,0)+1,FALSE)</f>
        <v>初期ガチャ</v>
      </c>
      <c r="D71" s="24" t="str">
        <f ca="1">VLOOKUP($A71,OFFSET([2]characters!$A$1,0,0,COUNTA([2]characters!$A:$A),MATCH(D$1,[2]characters!$1:$1,0)-MATCH($A$1,[2]characters!$1:$1,0)+1),MATCH(D$1,[2]characters!$1:$1,0)-MATCH($A$1,[2]characters!$1:$1,0)+1,FALSE)</f>
        <v>アバター</v>
      </c>
      <c r="E71" s="24" t="str">
        <f ca="1">VLOOKUP($A71,OFFSET([2]characters!$A$1,0,0,COUNTA([2]characters!$A:$A),MATCH(E$1,[2]characters!$1:$1,0)-MATCH($A$1,[2]characters!$1:$1,0)+1),MATCH(E$1,[2]characters!$1:$1,0)-MATCH($A$1,[2]characters!$1:$1,0)+1,FALSE)</f>
        <v>可愛い</v>
      </c>
      <c r="F71" s="24" t="str">
        <f ca="1">VLOOKUP($A71,OFFSET([2]characters!$A$1,0,0,COUNTA([2]characters!$A:$A),MATCH(F$1,[2]characters!$1:$1,0)-MATCH($A$1,[2]characters!$1:$1,0)+1),MATCH(F$1,[2]characters!$1:$1,0)-MATCH($A$1,[2]characters!$1:$1,0)+1,FALSE)</f>
        <v>女性</v>
      </c>
      <c r="G71" s="24">
        <f ca="1">VLOOKUP($A71,OFFSET([2]characters!$A$1,0,0,COUNTA([2]characters!$A:$A),MATCH(G$1,[2]characters!$1:$1,0)-MATCH($A$1,[2]characters!$1:$1,0)+1),MATCH(G$1,[2]characters!$1:$1,0)-MATCH($A$1,[2]characters!$1:$1,0)+1,FALSE)</f>
        <v>3</v>
      </c>
      <c r="H71" s="24" t="str">
        <f ca="1">VLOOKUP($A71,OFFSET([2]characters!$A$1,0,0,COUNTA([2]characters!$A:$A),MATCH(H$1,[2]characters!$1:$1,0)-MATCH($A$1,[2]characters!$1:$1,0)+1),MATCH(H$1,[2]characters!$1:$1,0)-MATCH($A$1,[2]characters!$1:$1,0)+1,FALSE)</f>
        <v>PremiumW</v>
      </c>
      <c r="I71" s="24" t="str">
        <f ca="1">VLOOKUP($A71,OFFSET([2]characters!$A$1,0,0,COUNTA([2]characters!$A:$A),MATCH(I$1,[2]characters!$1:$1,0)-MATCH($A$1,[2]characters!$1:$1,0)+1),MATCH(I$1,[2]characters!$1:$1,0)-MATCH($A$1,[2]characters!$1:$1,0)+1,FALSE)</f>
        <v>green</v>
      </c>
      <c r="J71" s="24" t="str">
        <f ca="1">VLOOKUP($A71,OFFSET([2]characters!$A$1,0,0,COUNTA([2]characters!$A:$A),MATCH(J$1,[2]characters!$1:$1,0)-MATCH($A$1,[2]characters!$1:$1,0)+1),MATCH(J$1,[2]characters!$1:$1,0)-MATCH($A$1,[2]characters!$1:$1,0)+1,FALSE)</f>
        <v>none</v>
      </c>
      <c r="K71" s="3" t="str">
        <f ca="1">VLOOKUP(J71,[2]character_tribe_i18n!$A:$H,3,FALSE)</f>
        <v>種族なし</v>
      </c>
      <c r="L71" s="5" t="e">
        <f>VLOOKUP(#REF!,[2]character_tribe_i18n!$A:$H,4,FALSE)</f>
        <v>#REF!</v>
      </c>
      <c r="M71" s="5" t="e">
        <f>VLOOKUP(#REF!,[2]character_tribe_i18n!$A:$H,5,FALSE)</f>
        <v>#REF!</v>
      </c>
      <c r="N71" s="5" t="e">
        <f>VLOOKUP(#REF!,[2]character_tribe_i18n!$A:$H,6,FALSE)</f>
        <v>#REF!</v>
      </c>
      <c r="O71" s="5" t="e">
        <f>VLOOKUP(#REF!,[2]character_tribe_i18n!$A:$H,7,FALSE)</f>
        <v>#REF!</v>
      </c>
      <c r="P71" s="83" t="s">
        <v>170</v>
      </c>
      <c r="Q71" s="4">
        <v>153</v>
      </c>
      <c r="R71" s="25" t="str">
        <f ca="1">IF(Q71="NULL","",VLOOKUP($Q71,OFFSET([2]characters!$A$1,0,0,COUNTA([2]characters!$A:$A),MATCH(R$1,[2]characters!$1:$1,0)-MATCH($A$1,[2]characters!$1:$1,0)+1),MATCH(R$1,[2]characters!$1:$1,0)-MATCH($A$1,[2]characters!$1:$1,0)+1,FALSE))</f>
        <v>拳聖ランラン</v>
      </c>
      <c r="S71" s="3">
        <f t="shared" ca="1" si="1"/>
        <v>152</v>
      </c>
      <c r="T71" s="25" t="str">
        <f ca="1">VLOOKUP($S71,OFFSET([2]characters!$A$1,0,0,COUNTA([2]characters!$A:$A),MATCH(T$1,[2]characters!$1:$1,0)-MATCH($A$1,[2]characters!$1:$1,0)+1),MATCH(T$1,[2]characters!$1:$1,0)-MATCH($A$1,[2]characters!$1:$1,0)+1,FALSE)</f>
        <v>功夫少女ランラン</v>
      </c>
      <c r="U71" s="5">
        <f ca="1">IF(Q71="NULL","NULL",VLOOKUP(G71,ビット!$A$2:$B$7,2))</f>
        <v>20000</v>
      </c>
    </row>
    <row r="72" spans="1:21" ht="21" customHeight="1" x14ac:dyDescent="0.15">
      <c r="A72" s="83">
        <v>154</v>
      </c>
      <c r="B72" s="24" t="str">
        <f ca="1">VLOOKUP($A72,OFFSET([2]characters!$A$1,0,0,COUNTA([2]characters!$A:$A),MATCH(B$1,[2]characters!$1:$1,0)-MATCH($A$1,[2]characters!$1:$1,0)+1),MATCH(B$1,[2]characters!$1:$1,0)-MATCH($A$1,[2]characters!$1:$1,0)+1,FALSE)</f>
        <v>始末屋 ハンナ</v>
      </c>
      <c r="C72" s="24" t="str">
        <f ca="1">VLOOKUP($A72,OFFSET([2]characters!$A$1,0,0,COUNTA([2]characters!$A:$A),MATCH(C$1,[2]characters!$1:$1,0)-MATCH($A$1,[2]characters!$1:$1,0)+1),MATCH(C$1,[2]characters!$1:$1,0)-MATCH($A$1,[2]characters!$1:$1,0)+1,FALSE)</f>
        <v>初期ガチャ</v>
      </c>
      <c r="D72" s="24" t="str">
        <f ca="1">VLOOKUP($A72,OFFSET([2]characters!$A$1,0,0,COUNTA([2]characters!$A:$A),MATCH(D$1,[2]characters!$1:$1,0)-MATCH($A$1,[2]characters!$1:$1,0)+1),MATCH(D$1,[2]characters!$1:$1,0)-MATCH($A$1,[2]characters!$1:$1,0)+1,FALSE)</f>
        <v>アバター</v>
      </c>
      <c r="E72" s="24" t="str">
        <f ca="1">VLOOKUP($A72,OFFSET([2]characters!$A$1,0,0,COUNTA([2]characters!$A:$A),MATCH(E$1,[2]characters!$1:$1,0)-MATCH($A$1,[2]characters!$1:$1,0)+1),MATCH(E$1,[2]characters!$1:$1,0)-MATCH($A$1,[2]characters!$1:$1,0)+1,FALSE)</f>
        <v>美しい</v>
      </c>
      <c r="F72" s="24" t="str">
        <f ca="1">VLOOKUP($A72,OFFSET([2]characters!$A$1,0,0,COUNTA([2]characters!$A:$A),MATCH(F$1,[2]characters!$1:$1,0)-MATCH($A$1,[2]characters!$1:$1,0)+1),MATCH(F$1,[2]characters!$1:$1,0)-MATCH($A$1,[2]characters!$1:$1,0)+1,FALSE)</f>
        <v>女性</v>
      </c>
      <c r="G72" s="24">
        <f ca="1">VLOOKUP($A72,OFFSET([2]characters!$A$1,0,0,COUNTA([2]characters!$A:$A),MATCH(G$1,[2]characters!$1:$1,0)-MATCH($A$1,[2]characters!$1:$1,0)+1),MATCH(G$1,[2]characters!$1:$1,0)-MATCH($A$1,[2]characters!$1:$1,0)+1,FALSE)</f>
        <v>3</v>
      </c>
      <c r="H72" s="24" t="str">
        <f ca="1">VLOOKUP($A72,OFFSET([2]characters!$A$1,0,0,COUNTA([2]characters!$A:$A),MATCH(H$1,[2]characters!$1:$1,0)-MATCH($A$1,[2]characters!$1:$1,0)+1),MATCH(H$1,[2]characters!$1:$1,0)-MATCH($A$1,[2]characters!$1:$1,0)+1,FALSE)</f>
        <v>PremiumW</v>
      </c>
      <c r="I72" s="24" t="str">
        <f ca="1">VLOOKUP($A72,OFFSET([2]characters!$A$1,0,0,COUNTA([2]characters!$A:$A),MATCH(I$1,[2]characters!$1:$1,0)-MATCH($A$1,[2]characters!$1:$1,0)+1),MATCH(I$1,[2]characters!$1:$1,0)-MATCH($A$1,[2]characters!$1:$1,0)+1,FALSE)</f>
        <v>blue</v>
      </c>
      <c r="J72" s="24" t="str">
        <f ca="1">VLOOKUP($A72,OFFSET([2]characters!$A$1,0,0,COUNTA([2]characters!$A:$A),MATCH(J$1,[2]characters!$1:$1,0)-MATCH($A$1,[2]characters!$1:$1,0)+1),MATCH(J$1,[2]characters!$1:$1,0)-MATCH($A$1,[2]characters!$1:$1,0)+1,FALSE)</f>
        <v>none</v>
      </c>
      <c r="K72" s="3" t="str">
        <f ca="1">VLOOKUP(J72,[2]character_tribe_i18n!$A:$H,3,FALSE)</f>
        <v>種族なし</v>
      </c>
      <c r="L72" s="5" t="e">
        <f>VLOOKUP(#REF!,[2]character_tribe_i18n!$A:$H,4,FALSE)</f>
        <v>#REF!</v>
      </c>
      <c r="M72" s="5" t="e">
        <f>VLOOKUP(#REF!,[2]character_tribe_i18n!$A:$H,5,FALSE)</f>
        <v>#REF!</v>
      </c>
      <c r="N72" s="5" t="e">
        <f>VLOOKUP(#REF!,[2]character_tribe_i18n!$A:$H,6,FALSE)</f>
        <v>#REF!</v>
      </c>
      <c r="O72" s="5" t="e">
        <f>VLOOKUP(#REF!,[2]character_tribe_i18n!$A:$H,7,FALSE)</f>
        <v>#REF!</v>
      </c>
      <c r="P72" s="83" t="s">
        <v>170</v>
      </c>
      <c r="Q72" s="4">
        <v>155</v>
      </c>
      <c r="R72" s="25" t="str">
        <f ca="1">IF(Q72="NULL","",VLOOKUP($Q72,OFFSET([2]characters!$A$1,0,0,COUNTA([2]characters!$A:$A),MATCH(R$1,[2]characters!$1:$1,0)-MATCH($A$1,[2]characters!$1:$1,0)+1),MATCH(R$1,[2]characters!$1:$1,0)-MATCH($A$1,[2]characters!$1:$1,0)+1,FALSE))</f>
        <v>隻眼の掃除屋 ハンナ</v>
      </c>
      <c r="S72" s="3">
        <f t="shared" ca="1" si="1"/>
        <v>154</v>
      </c>
      <c r="T72" s="25" t="str">
        <f ca="1">VLOOKUP($S72,OFFSET([2]characters!$A$1,0,0,COUNTA([2]characters!$A:$A),MATCH(T$1,[2]characters!$1:$1,0)-MATCH($A$1,[2]characters!$1:$1,0)+1),MATCH(T$1,[2]characters!$1:$1,0)-MATCH($A$1,[2]characters!$1:$1,0)+1,FALSE)</f>
        <v>始末屋 ハンナ</v>
      </c>
      <c r="U72" s="5">
        <f ca="1">IF(Q72="NULL","NULL",VLOOKUP(G72,ビット!$A$2:$B$7,2))</f>
        <v>20000</v>
      </c>
    </row>
    <row r="73" spans="1:21" ht="21" customHeight="1" x14ac:dyDescent="0.15">
      <c r="A73" s="83">
        <v>156</v>
      </c>
      <c r="B73" s="24" t="str">
        <f ca="1">VLOOKUP($A73,OFFSET([2]characters!$A$1,0,0,COUNTA([2]characters!$A:$A),MATCH(B$1,[2]characters!$1:$1,0)-MATCH($A$1,[2]characters!$1:$1,0)+1),MATCH(B$1,[2]characters!$1:$1,0)-MATCH($A$1,[2]characters!$1:$1,0)+1,FALSE)</f>
        <v>踊り子 エレナ</v>
      </c>
      <c r="C73" s="24" t="str">
        <f ca="1">VLOOKUP($A73,OFFSET([2]characters!$A$1,0,0,COUNTA([2]characters!$A:$A),MATCH(C$1,[2]characters!$1:$1,0)-MATCH($A$1,[2]characters!$1:$1,0)+1),MATCH(C$1,[2]characters!$1:$1,0)-MATCH($A$1,[2]characters!$1:$1,0)+1,FALSE)</f>
        <v>初期ガチャ</v>
      </c>
      <c r="D73" s="24" t="str">
        <f ca="1">VLOOKUP($A73,OFFSET([2]characters!$A$1,0,0,COUNTA([2]characters!$A:$A),MATCH(D$1,[2]characters!$1:$1,0)-MATCH($A$1,[2]characters!$1:$1,0)+1),MATCH(D$1,[2]characters!$1:$1,0)-MATCH($A$1,[2]characters!$1:$1,0)+1,FALSE)</f>
        <v>アバター</v>
      </c>
      <c r="E73" s="24" t="str">
        <f ca="1">VLOOKUP($A73,OFFSET([2]characters!$A$1,0,0,COUNTA([2]characters!$A:$A),MATCH(E$1,[2]characters!$1:$1,0)-MATCH($A$1,[2]characters!$1:$1,0)+1),MATCH(E$1,[2]characters!$1:$1,0)-MATCH($A$1,[2]characters!$1:$1,0)+1,FALSE)</f>
        <v>可愛い</v>
      </c>
      <c r="F73" s="24" t="str">
        <f ca="1">VLOOKUP($A73,OFFSET([2]characters!$A$1,0,0,COUNTA([2]characters!$A:$A),MATCH(F$1,[2]characters!$1:$1,0)-MATCH($A$1,[2]characters!$1:$1,0)+1),MATCH(F$1,[2]characters!$1:$1,0)-MATCH($A$1,[2]characters!$1:$1,0)+1,FALSE)</f>
        <v>女性</v>
      </c>
      <c r="G73" s="24">
        <f ca="1">VLOOKUP($A73,OFFSET([2]characters!$A$1,0,0,COUNTA([2]characters!$A:$A),MATCH(G$1,[2]characters!$1:$1,0)-MATCH($A$1,[2]characters!$1:$1,0)+1),MATCH(G$1,[2]characters!$1:$1,0)-MATCH($A$1,[2]characters!$1:$1,0)+1,FALSE)</f>
        <v>3</v>
      </c>
      <c r="H73" s="24" t="str">
        <f ca="1">VLOOKUP($A73,OFFSET([2]characters!$A$1,0,0,COUNTA([2]characters!$A:$A),MATCH(H$1,[2]characters!$1:$1,0)-MATCH($A$1,[2]characters!$1:$1,0)+1),MATCH(H$1,[2]characters!$1:$1,0)-MATCH($A$1,[2]characters!$1:$1,0)+1,FALSE)</f>
        <v>PremiumW</v>
      </c>
      <c r="I73" s="24" t="str">
        <f ca="1">VLOOKUP($A73,OFFSET([2]characters!$A$1,0,0,COUNTA([2]characters!$A:$A),MATCH(I$1,[2]characters!$1:$1,0)-MATCH($A$1,[2]characters!$1:$1,0)+1),MATCH(I$1,[2]characters!$1:$1,0)-MATCH($A$1,[2]characters!$1:$1,0)+1,FALSE)</f>
        <v>yellow</v>
      </c>
      <c r="J73" s="24" t="str">
        <f ca="1">VLOOKUP($A73,OFFSET([2]characters!$A$1,0,0,COUNTA([2]characters!$A:$A),MATCH(J$1,[2]characters!$1:$1,0)-MATCH($A$1,[2]characters!$1:$1,0)+1),MATCH(J$1,[2]characters!$1:$1,0)-MATCH($A$1,[2]characters!$1:$1,0)+1,FALSE)</f>
        <v>none</v>
      </c>
      <c r="K73" s="3" t="str">
        <f ca="1">VLOOKUP(J73,[2]character_tribe_i18n!$A:$H,3,FALSE)</f>
        <v>種族なし</v>
      </c>
      <c r="L73" s="5" t="e">
        <f>VLOOKUP(#REF!,[2]character_tribe_i18n!$A:$H,4,FALSE)</f>
        <v>#REF!</v>
      </c>
      <c r="M73" s="5" t="e">
        <f>VLOOKUP(#REF!,[2]character_tribe_i18n!$A:$H,5,FALSE)</f>
        <v>#REF!</v>
      </c>
      <c r="N73" s="5" t="e">
        <f>VLOOKUP(#REF!,[2]character_tribe_i18n!$A:$H,6,FALSE)</f>
        <v>#REF!</v>
      </c>
      <c r="O73" s="5" t="e">
        <f>VLOOKUP(#REF!,[2]character_tribe_i18n!$A:$H,7,FALSE)</f>
        <v>#REF!</v>
      </c>
      <c r="P73" s="83" t="s">
        <v>170</v>
      </c>
      <c r="Q73" s="4">
        <v>157</v>
      </c>
      <c r="R73" s="25" t="str">
        <f ca="1">IF(Q73="NULL","",VLOOKUP($Q73,OFFSET([2]characters!$A$1,0,0,COUNTA([2]characters!$A:$A),MATCH(R$1,[2]characters!$1:$1,0)-MATCH($A$1,[2]characters!$1:$1,0)+1),MATCH(R$1,[2]characters!$1:$1,0)-MATCH($A$1,[2]characters!$1:$1,0)+1,FALSE))</f>
        <v>雷光舞姫 エレナ</v>
      </c>
      <c r="S73" s="3">
        <f t="shared" ca="1" si="1"/>
        <v>156</v>
      </c>
      <c r="T73" s="25" t="str">
        <f ca="1">VLOOKUP($S73,OFFSET([2]characters!$A$1,0,0,COUNTA([2]characters!$A:$A),MATCH(T$1,[2]characters!$1:$1,0)-MATCH($A$1,[2]characters!$1:$1,0)+1),MATCH(T$1,[2]characters!$1:$1,0)-MATCH($A$1,[2]characters!$1:$1,0)+1,FALSE)</f>
        <v>踊り子 エレナ</v>
      </c>
      <c r="U73" s="5">
        <f ca="1">IF(Q73="NULL","NULL",VLOOKUP(G73,ビット!$A$2:$B$7,2))</f>
        <v>20000</v>
      </c>
    </row>
    <row r="74" spans="1:21" ht="21" customHeight="1" x14ac:dyDescent="0.15">
      <c r="A74" s="83">
        <v>158</v>
      </c>
      <c r="B74" s="24" t="str">
        <f ca="1">VLOOKUP($A74,OFFSET([2]characters!$A$1,0,0,COUNTA([2]characters!$A:$A),MATCH(B$1,[2]characters!$1:$1,0)-MATCH($A$1,[2]characters!$1:$1,0)+1),MATCH(B$1,[2]characters!$1:$1,0)-MATCH($A$1,[2]characters!$1:$1,0)+1,FALSE)</f>
        <v>シスター シャルロッテ</v>
      </c>
      <c r="C74" s="24" t="str">
        <f ca="1">VLOOKUP($A74,OFFSET([2]characters!$A$1,0,0,COUNTA([2]characters!$A:$A),MATCH(C$1,[2]characters!$1:$1,0)-MATCH($A$1,[2]characters!$1:$1,0)+1),MATCH(C$1,[2]characters!$1:$1,0)-MATCH($A$1,[2]characters!$1:$1,0)+1,FALSE)</f>
        <v>初期ガチャ</v>
      </c>
      <c r="D74" s="24" t="str">
        <f ca="1">VLOOKUP($A74,OFFSET([2]characters!$A$1,0,0,COUNTA([2]characters!$A:$A),MATCH(D$1,[2]characters!$1:$1,0)-MATCH($A$1,[2]characters!$1:$1,0)+1),MATCH(D$1,[2]characters!$1:$1,0)-MATCH($A$1,[2]characters!$1:$1,0)+1,FALSE)</f>
        <v>アバター</v>
      </c>
      <c r="E74" s="24" t="str">
        <f ca="1">VLOOKUP($A74,OFFSET([2]characters!$A$1,0,0,COUNTA([2]characters!$A:$A),MATCH(E$1,[2]characters!$1:$1,0)-MATCH($A$1,[2]characters!$1:$1,0)+1),MATCH(E$1,[2]characters!$1:$1,0)-MATCH($A$1,[2]characters!$1:$1,0)+1,FALSE)</f>
        <v>美しい</v>
      </c>
      <c r="F74" s="24" t="str">
        <f ca="1">VLOOKUP($A74,OFFSET([2]characters!$A$1,0,0,COUNTA([2]characters!$A:$A),MATCH(F$1,[2]characters!$1:$1,0)-MATCH($A$1,[2]characters!$1:$1,0)+1),MATCH(F$1,[2]characters!$1:$1,0)-MATCH($A$1,[2]characters!$1:$1,0)+1,FALSE)</f>
        <v>女性</v>
      </c>
      <c r="G74" s="24">
        <f ca="1">VLOOKUP($A74,OFFSET([2]characters!$A$1,0,0,COUNTA([2]characters!$A:$A),MATCH(G$1,[2]characters!$1:$1,0)-MATCH($A$1,[2]characters!$1:$1,0)+1),MATCH(G$1,[2]characters!$1:$1,0)-MATCH($A$1,[2]characters!$1:$1,0)+1,FALSE)</f>
        <v>3</v>
      </c>
      <c r="H74" s="24" t="str">
        <f ca="1">VLOOKUP($A74,OFFSET([2]characters!$A$1,0,0,COUNTA([2]characters!$A:$A),MATCH(H$1,[2]characters!$1:$1,0)-MATCH($A$1,[2]characters!$1:$1,0)+1),MATCH(H$1,[2]characters!$1:$1,0)-MATCH($A$1,[2]characters!$1:$1,0)+1,FALSE)</f>
        <v>PremiumW</v>
      </c>
      <c r="I74" s="24" t="str">
        <f ca="1">VLOOKUP($A74,OFFSET([2]characters!$A$1,0,0,COUNTA([2]characters!$A:$A),MATCH(I$1,[2]characters!$1:$1,0)-MATCH($A$1,[2]characters!$1:$1,0)+1),MATCH(I$1,[2]characters!$1:$1,0)-MATCH($A$1,[2]characters!$1:$1,0)+1,FALSE)</f>
        <v>red</v>
      </c>
      <c r="J74" s="24" t="str">
        <f ca="1">VLOOKUP($A74,OFFSET([2]characters!$A$1,0,0,COUNTA([2]characters!$A:$A),MATCH(J$1,[2]characters!$1:$1,0)-MATCH($A$1,[2]characters!$1:$1,0)+1),MATCH(J$1,[2]characters!$1:$1,0)-MATCH($A$1,[2]characters!$1:$1,0)+1,FALSE)</f>
        <v>none</v>
      </c>
      <c r="K74" s="3" t="str">
        <f ca="1">VLOOKUP(J74,[2]character_tribe_i18n!$A:$H,3,FALSE)</f>
        <v>種族なし</v>
      </c>
      <c r="L74" s="5" t="e">
        <f>VLOOKUP(#REF!,[2]character_tribe_i18n!$A:$H,4,FALSE)</f>
        <v>#REF!</v>
      </c>
      <c r="M74" s="5" t="e">
        <f>VLOOKUP(#REF!,[2]character_tribe_i18n!$A:$H,5,FALSE)</f>
        <v>#REF!</v>
      </c>
      <c r="N74" s="5" t="e">
        <f>VLOOKUP(#REF!,[2]character_tribe_i18n!$A:$H,6,FALSE)</f>
        <v>#REF!</v>
      </c>
      <c r="O74" s="5" t="e">
        <f>VLOOKUP(#REF!,[2]character_tribe_i18n!$A:$H,7,FALSE)</f>
        <v>#REF!</v>
      </c>
      <c r="P74" s="83" t="s">
        <v>170</v>
      </c>
      <c r="Q74" s="4">
        <v>159</v>
      </c>
      <c r="R74" s="25" t="str">
        <f ca="1">IF(Q74="NULL","",VLOOKUP($Q74,OFFSET([2]characters!$A$1,0,0,COUNTA([2]characters!$A:$A),MATCH(R$1,[2]characters!$1:$1,0)-MATCH($A$1,[2]characters!$1:$1,0)+1),MATCH(R$1,[2]characters!$1:$1,0)-MATCH($A$1,[2]characters!$1:$1,0)+1,FALSE))</f>
        <v>邪を狩りし者 シャルロッテ</v>
      </c>
      <c r="S74" s="3">
        <f t="shared" ca="1" si="1"/>
        <v>158</v>
      </c>
      <c r="T74" s="25" t="str">
        <f ca="1">VLOOKUP($S74,OFFSET([2]characters!$A$1,0,0,COUNTA([2]characters!$A:$A),MATCH(T$1,[2]characters!$1:$1,0)-MATCH($A$1,[2]characters!$1:$1,0)+1),MATCH(T$1,[2]characters!$1:$1,0)-MATCH($A$1,[2]characters!$1:$1,0)+1,FALSE)</f>
        <v>シスター シャルロッテ</v>
      </c>
      <c r="U74" s="5">
        <f ca="1">IF(Q74="NULL","NULL",VLOOKUP(G74,ビット!$A$2:$B$7,2))</f>
        <v>20000</v>
      </c>
    </row>
    <row r="75" spans="1:21" ht="21" customHeight="1" x14ac:dyDescent="0.15">
      <c r="A75" s="83">
        <v>160</v>
      </c>
      <c r="B75" s="24" t="str">
        <f ca="1">VLOOKUP($A75,OFFSET([2]characters!$A$1,0,0,COUNTA([2]characters!$A:$A),MATCH(B$1,[2]characters!$1:$1,0)-MATCH($A$1,[2]characters!$1:$1,0)+1),MATCH(B$1,[2]characters!$1:$1,0)-MATCH($A$1,[2]characters!$1:$1,0)+1,FALSE)</f>
        <v>反逆者 クリエ</v>
      </c>
      <c r="C75" s="24" t="str">
        <f ca="1">VLOOKUP($A75,OFFSET([2]characters!$A$1,0,0,COUNTA([2]characters!$A:$A),MATCH(C$1,[2]characters!$1:$1,0)-MATCH($A$1,[2]characters!$1:$1,0)+1),MATCH(C$1,[2]characters!$1:$1,0)-MATCH($A$1,[2]characters!$1:$1,0)+1,FALSE)</f>
        <v>初期ガチャ</v>
      </c>
      <c r="D75" s="24" t="str">
        <f ca="1">VLOOKUP($A75,OFFSET([2]characters!$A$1,0,0,COUNTA([2]characters!$A:$A),MATCH(D$1,[2]characters!$1:$1,0)-MATCH($A$1,[2]characters!$1:$1,0)+1),MATCH(D$1,[2]characters!$1:$1,0)-MATCH($A$1,[2]characters!$1:$1,0)+1,FALSE)</f>
        <v>アバター</v>
      </c>
      <c r="E75" s="24" t="str">
        <f ca="1">VLOOKUP($A75,OFFSET([2]characters!$A$1,0,0,COUNTA([2]characters!$A:$A),MATCH(E$1,[2]characters!$1:$1,0)-MATCH($A$1,[2]characters!$1:$1,0)+1),MATCH(E$1,[2]characters!$1:$1,0)-MATCH($A$1,[2]characters!$1:$1,0)+1,FALSE)</f>
        <v>格好いい</v>
      </c>
      <c r="F75" s="24" t="str">
        <f ca="1">VLOOKUP($A75,OFFSET([2]characters!$A$1,0,0,COUNTA([2]characters!$A:$A),MATCH(F$1,[2]characters!$1:$1,0)-MATCH($A$1,[2]characters!$1:$1,0)+1),MATCH(F$1,[2]characters!$1:$1,0)-MATCH($A$1,[2]characters!$1:$1,0)+1,FALSE)</f>
        <v>女性</v>
      </c>
      <c r="G75" s="24">
        <f ca="1">VLOOKUP($A75,OFFSET([2]characters!$A$1,0,0,COUNTA([2]characters!$A:$A),MATCH(G$1,[2]characters!$1:$1,0)-MATCH($A$1,[2]characters!$1:$1,0)+1),MATCH(G$1,[2]characters!$1:$1,0)-MATCH($A$1,[2]characters!$1:$1,0)+1,FALSE)</f>
        <v>3</v>
      </c>
      <c r="H75" s="24" t="str">
        <f ca="1">VLOOKUP($A75,OFFSET([2]characters!$A$1,0,0,COUNTA([2]characters!$A:$A),MATCH(H$1,[2]characters!$1:$1,0)-MATCH($A$1,[2]characters!$1:$1,0)+1),MATCH(H$1,[2]characters!$1:$1,0)-MATCH($A$1,[2]characters!$1:$1,0)+1,FALSE)</f>
        <v>PremiumW</v>
      </c>
      <c r="I75" s="24" t="str">
        <f ca="1">VLOOKUP($A75,OFFSET([2]characters!$A$1,0,0,COUNTA([2]characters!$A:$A),MATCH(I$1,[2]characters!$1:$1,0)-MATCH($A$1,[2]characters!$1:$1,0)+1),MATCH(I$1,[2]characters!$1:$1,0)-MATCH($A$1,[2]characters!$1:$1,0)+1,FALSE)</f>
        <v>green</v>
      </c>
      <c r="J75" s="24" t="str">
        <f ca="1">VLOOKUP($A75,OFFSET([2]characters!$A$1,0,0,COUNTA([2]characters!$A:$A),MATCH(J$1,[2]characters!$1:$1,0)-MATCH($A$1,[2]characters!$1:$1,0)+1),MATCH(J$1,[2]characters!$1:$1,0)-MATCH($A$1,[2]characters!$1:$1,0)+1,FALSE)</f>
        <v>none</v>
      </c>
      <c r="K75" s="3" t="str">
        <f ca="1">VLOOKUP(J75,[2]character_tribe_i18n!$A:$H,3,FALSE)</f>
        <v>種族なし</v>
      </c>
      <c r="L75" s="5" t="e">
        <f>VLOOKUP(#REF!,[2]character_tribe_i18n!$A:$H,4,FALSE)</f>
        <v>#REF!</v>
      </c>
      <c r="M75" s="5" t="e">
        <f>VLOOKUP(#REF!,[2]character_tribe_i18n!$A:$H,5,FALSE)</f>
        <v>#REF!</v>
      </c>
      <c r="N75" s="5" t="e">
        <f>VLOOKUP(#REF!,[2]character_tribe_i18n!$A:$H,6,FALSE)</f>
        <v>#REF!</v>
      </c>
      <c r="O75" s="5" t="e">
        <f>VLOOKUP(#REF!,[2]character_tribe_i18n!$A:$H,7,FALSE)</f>
        <v>#REF!</v>
      </c>
      <c r="P75" s="83" t="s">
        <v>170</v>
      </c>
      <c r="Q75" s="4">
        <v>161</v>
      </c>
      <c r="R75" s="25" t="str">
        <f ca="1">IF(Q75="NULL","",VLOOKUP($Q75,OFFSET([2]characters!$A$1,0,0,COUNTA([2]characters!$A:$A),MATCH(R$1,[2]characters!$1:$1,0)-MATCH($A$1,[2]characters!$1:$1,0)+1),MATCH(R$1,[2]characters!$1:$1,0)-MATCH($A$1,[2]characters!$1:$1,0)+1,FALSE))</f>
        <v>咆哮の先導者 クリエ</v>
      </c>
      <c r="S75" s="3">
        <f t="shared" ca="1" si="1"/>
        <v>160</v>
      </c>
      <c r="T75" s="25" t="str">
        <f ca="1">VLOOKUP($S75,OFFSET([2]characters!$A$1,0,0,COUNTA([2]characters!$A:$A),MATCH(T$1,[2]characters!$1:$1,0)-MATCH($A$1,[2]characters!$1:$1,0)+1),MATCH(T$1,[2]characters!$1:$1,0)-MATCH($A$1,[2]characters!$1:$1,0)+1,FALSE)</f>
        <v>反逆者 クリエ</v>
      </c>
      <c r="U75" s="5">
        <f ca="1">IF(Q75="NULL","NULL",VLOOKUP(G75,ビット!$A$2:$B$7,2))</f>
        <v>20000</v>
      </c>
    </row>
    <row r="76" spans="1:21" ht="21" customHeight="1" x14ac:dyDescent="0.15">
      <c r="A76" s="83">
        <v>162</v>
      </c>
      <c r="B76" s="24" t="str">
        <f ca="1">VLOOKUP($A76,OFFSET([2]characters!$A$1,0,0,COUNTA([2]characters!$A:$A),MATCH(B$1,[2]characters!$1:$1,0)-MATCH($A$1,[2]characters!$1:$1,0)+1),MATCH(B$1,[2]characters!$1:$1,0)-MATCH($A$1,[2]characters!$1:$1,0)+1,FALSE)</f>
        <v>狂女 クララ</v>
      </c>
      <c r="C76" s="24" t="str">
        <f ca="1">VLOOKUP($A76,OFFSET([2]characters!$A$1,0,0,COUNTA([2]characters!$A:$A),MATCH(C$1,[2]characters!$1:$1,0)-MATCH($A$1,[2]characters!$1:$1,0)+1),MATCH(C$1,[2]characters!$1:$1,0)-MATCH($A$1,[2]characters!$1:$1,0)+1,FALSE)</f>
        <v>初期ガチャ</v>
      </c>
      <c r="D76" s="24" t="str">
        <f ca="1">VLOOKUP($A76,OFFSET([2]characters!$A$1,0,0,COUNTA([2]characters!$A:$A),MATCH(D$1,[2]characters!$1:$1,0)-MATCH($A$1,[2]characters!$1:$1,0)+1),MATCH(D$1,[2]characters!$1:$1,0)-MATCH($A$1,[2]characters!$1:$1,0)+1,FALSE)</f>
        <v>アバター</v>
      </c>
      <c r="E76" s="24" t="str">
        <f ca="1">VLOOKUP($A76,OFFSET([2]characters!$A$1,0,0,COUNTA([2]characters!$A:$A),MATCH(E$1,[2]characters!$1:$1,0)-MATCH($A$1,[2]characters!$1:$1,0)+1),MATCH(E$1,[2]characters!$1:$1,0)-MATCH($A$1,[2]characters!$1:$1,0)+1,FALSE)</f>
        <v>美しい</v>
      </c>
      <c r="F76" s="24" t="str">
        <f ca="1">VLOOKUP($A76,OFFSET([2]characters!$A$1,0,0,COUNTA([2]characters!$A:$A),MATCH(F$1,[2]characters!$1:$1,0)-MATCH($A$1,[2]characters!$1:$1,0)+1),MATCH(F$1,[2]characters!$1:$1,0)-MATCH($A$1,[2]characters!$1:$1,0)+1,FALSE)</f>
        <v>女性</v>
      </c>
      <c r="G76" s="24">
        <f ca="1">VLOOKUP($A76,OFFSET([2]characters!$A$1,0,0,COUNTA([2]characters!$A:$A),MATCH(G$1,[2]characters!$1:$1,0)-MATCH($A$1,[2]characters!$1:$1,0)+1),MATCH(G$1,[2]characters!$1:$1,0)-MATCH($A$1,[2]characters!$1:$1,0)+1,FALSE)</f>
        <v>3</v>
      </c>
      <c r="H76" s="24" t="str">
        <f ca="1">VLOOKUP($A76,OFFSET([2]characters!$A$1,0,0,COUNTA([2]characters!$A:$A),MATCH(H$1,[2]characters!$1:$1,0)-MATCH($A$1,[2]characters!$1:$1,0)+1),MATCH(H$1,[2]characters!$1:$1,0)-MATCH($A$1,[2]characters!$1:$1,0)+1,FALSE)</f>
        <v>PremiumW</v>
      </c>
      <c r="I76" s="24" t="str">
        <f ca="1">VLOOKUP($A76,OFFSET([2]characters!$A$1,0,0,COUNTA([2]characters!$A:$A),MATCH(I$1,[2]characters!$1:$1,0)-MATCH($A$1,[2]characters!$1:$1,0)+1),MATCH(I$1,[2]characters!$1:$1,0)-MATCH($A$1,[2]characters!$1:$1,0)+1,FALSE)</f>
        <v>blue</v>
      </c>
      <c r="J76" s="24" t="str">
        <f ca="1">VLOOKUP($A76,OFFSET([2]characters!$A$1,0,0,COUNTA([2]characters!$A:$A),MATCH(J$1,[2]characters!$1:$1,0)-MATCH($A$1,[2]characters!$1:$1,0)+1),MATCH(J$1,[2]characters!$1:$1,0)-MATCH($A$1,[2]characters!$1:$1,0)+1,FALSE)</f>
        <v>none</v>
      </c>
      <c r="K76" s="3" t="str">
        <f ca="1">VLOOKUP(J76,[2]character_tribe_i18n!$A:$H,3,FALSE)</f>
        <v>種族なし</v>
      </c>
      <c r="L76" s="5" t="e">
        <f>VLOOKUP(#REF!,[2]character_tribe_i18n!$A:$H,4,FALSE)</f>
        <v>#REF!</v>
      </c>
      <c r="M76" s="5" t="e">
        <f>VLOOKUP(#REF!,[2]character_tribe_i18n!$A:$H,5,FALSE)</f>
        <v>#REF!</v>
      </c>
      <c r="N76" s="5" t="e">
        <f>VLOOKUP(#REF!,[2]character_tribe_i18n!$A:$H,6,FALSE)</f>
        <v>#REF!</v>
      </c>
      <c r="O76" s="5" t="e">
        <f>VLOOKUP(#REF!,[2]character_tribe_i18n!$A:$H,7,FALSE)</f>
        <v>#REF!</v>
      </c>
      <c r="P76" s="83" t="s">
        <v>170</v>
      </c>
      <c r="Q76" s="4">
        <v>163</v>
      </c>
      <c r="R76" s="25" t="str">
        <f ca="1">IF(Q76="NULL","",VLOOKUP($Q76,OFFSET([2]characters!$A$1,0,0,COUNTA([2]characters!$A:$A),MATCH(R$1,[2]characters!$1:$1,0)-MATCH($A$1,[2]characters!$1:$1,0)+1),MATCH(R$1,[2]characters!$1:$1,0)-MATCH($A$1,[2]characters!$1:$1,0)+1,FALSE))</f>
        <v>冷酷な狂嬢 クララ</v>
      </c>
      <c r="S76" s="3">
        <f t="shared" ca="1" si="1"/>
        <v>162</v>
      </c>
      <c r="T76" s="25" t="str">
        <f ca="1">VLOOKUP($S76,OFFSET([2]characters!$A$1,0,0,COUNTA([2]characters!$A:$A),MATCH(T$1,[2]characters!$1:$1,0)-MATCH($A$1,[2]characters!$1:$1,0)+1),MATCH(T$1,[2]characters!$1:$1,0)-MATCH($A$1,[2]characters!$1:$1,0)+1,FALSE)</f>
        <v>狂女 クララ</v>
      </c>
      <c r="U76" s="5">
        <f ca="1">IF(Q76="NULL","NULL",VLOOKUP(G76,ビット!$A$2:$B$7,2))</f>
        <v>20000</v>
      </c>
    </row>
    <row r="77" spans="1:21" ht="21" customHeight="1" x14ac:dyDescent="0.15">
      <c r="A77" s="83">
        <v>164</v>
      </c>
      <c r="B77" s="24" t="str">
        <f ca="1">VLOOKUP($A77,OFFSET([2]characters!$A$1,0,0,COUNTA([2]characters!$A:$A),MATCH(B$1,[2]characters!$1:$1,0)-MATCH($A$1,[2]characters!$1:$1,0)+1),MATCH(B$1,[2]characters!$1:$1,0)-MATCH($A$1,[2]characters!$1:$1,0)+1,FALSE)</f>
        <v>イブとトモダチ</v>
      </c>
      <c r="C77" s="24" t="str">
        <f ca="1">VLOOKUP($A77,OFFSET([2]characters!$A$1,0,0,COUNTA([2]characters!$A:$A),MATCH(C$1,[2]characters!$1:$1,0)-MATCH($A$1,[2]characters!$1:$1,0)+1),MATCH(C$1,[2]characters!$1:$1,0)-MATCH($A$1,[2]characters!$1:$1,0)+1,FALSE)</f>
        <v>初期ガチャ</v>
      </c>
      <c r="D77" s="24" t="str">
        <f ca="1">VLOOKUP($A77,OFFSET([2]characters!$A$1,0,0,COUNTA([2]characters!$A:$A),MATCH(D$1,[2]characters!$1:$1,0)-MATCH($A$1,[2]characters!$1:$1,0)+1),MATCH(D$1,[2]characters!$1:$1,0)-MATCH($A$1,[2]characters!$1:$1,0)+1,FALSE)</f>
        <v>アバター</v>
      </c>
      <c r="E77" s="24" t="str">
        <f ca="1">VLOOKUP($A77,OFFSET([2]characters!$A$1,0,0,COUNTA([2]characters!$A:$A),MATCH(E$1,[2]characters!$1:$1,0)-MATCH($A$1,[2]characters!$1:$1,0)+1),MATCH(E$1,[2]characters!$1:$1,0)-MATCH($A$1,[2]characters!$1:$1,0)+1,FALSE)</f>
        <v>可愛い</v>
      </c>
      <c r="F77" s="24" t="str">
        <f ca="1">VLOOKUP($A77,OFFSET([2]characters!$A$1,0,0,COUNTA([2]characters!$A:$A),MATCH(F$1,[2]characters!$1:$1,0)-MATCH($A$1,[2]characters!$1:$1,0)+1),MATCH(F$1,[2]characters!$1:$1,0)-MATCH($A$1,[2]characters!$1:$1,0)+1,FALSE)</f>
        <v>女性</v>
      </c>
      <c r="G77" s="24">
        <f ca="1">VLOOKUP($A77,OFFSET([2]characters!$A$1,0,0,COUNTA([2]characters!$A:$A),MATCH(G$1,[2]characters!$1:$1,0)-MATCH($A$1,[2]characters!$1:$1,0)+1),MATCH(G$1,[2]characters!$1:$1,0)-MATCH($A$1,[2]characters!$1:$1,0)+1,FALSE)</f>
        <v>3</v>
      </c>
      <c r="H77" s="24" t="str">
        <f ca="1">VLOOKUP($A77,OFFSET([2]characters!$A$1,0,0,COUNTA([2]characters!$A:$A),MATCH(H$1,[2]characters!$1:$1,0)-MATCH($A$1,[2]characters!$1:$1,0)+1),MATCH(H$1,[2]characters!$1:$1,0)-MATCH($A$1,[2]characters!$1:$1,0)+1,FALSE)</f>
        <v>PremiumW</v>
      </c>
      <c r="I77" s="24" t="str">
        <f ca="1">VLOOKUP($A77,OFFSET([2]characters!$A$1,0,0,COUNTA([2]characters!$A:$A),MATCH(I$1,[2]characters!$1:$1,0)-MATCH($A$1,[2]characters!$1:$1,0)+1),MATCH(I$1,[2]characters!$1:$1,0)-MATCH($A$1,[2]characters!$1:$1,0)+1,FALSE)</f>
        <v>yellow</v>
      </c>
      <c r="J77" s="24" t="str">
        <f ca="1">VLOOKUP($A77,OFFSET([2]characters!$A$1,0,0,COUNTA([2]characters!$A:$A),MATCH(J$1,[2]characters!$1:$1,0)-MATCH($A$1,[2]characters!$1:$1,0)+1),MATCH(J$1,[2]characters!$1:$1,0)-MATCH($A$1,[2]characters!$1:$1,0)+1,FALSE)</f>
        <v>unknown</v>
      </c>
      <c r="K77" s="3" t="str">
        <f ca="1">VLOOKUP(J77,[2]character_tribe_i18n!$A:$H,3,FALSE)</f>
        <v>Unknown</v>
      </c>
      <c r="L77" s="5" t="e">
        <f>VLOOKUP(#REF!,[2]character_tribe_i18n!$A:$H,4,FALSE)</f>
        <v>#REF!</v>
      </c>
      <c r="M77" s="5" t="e">
        <f>VLOOKUP(#REF!,[2]character_tribe_i18n!$A:$H,5,FALSE)</f>
        <v>#REF!</v>
      </c>
      <c r="N77" s="5" t="e">
        <f>VLOOKUP(#REF!,[2]character_tribe_i18n!$A:$H,6,FALSE)</f>
        <v>#REF!</v>
      </c>
      <c r="O77" s="5" t="e">
        <f>VLOOKUP(#REF!,[2]character_tribe_i18n!$A:$H,7,FALSE)</f>
        <v>#REF!</v>
      </c>
      <c r="P77" s="83" t="s">
        <v>170</v>
      </c>
      <c r="Q77" s="4">
        <v>165</v>
      </c>
      <c r="R77" s="25" t="str">
        <f ca="1">IF(Q77="NULL","",VLOOKUP($Q77,OFFSET([2]characters!$A$1,0,0,COUNTA([2]characters!$A:$A),MATCH(R$1,[2]characters!$1:$1,0)-MATCH($A$1,[2]characters!$1:$1,0)+1),MATCH(R$1,[2]characters!$1:$1,0)-MATCH($A$1,[2]characters!$1:$1,0)+1,FALSE))</f>
        <v>イブとたったひとりのトモダチ</v>
      </c>
      <c r="S77" s="3">
        <f t="shared" ca="1" si="1"/>
        <v>164</v>
      </c>
      <c r="T77" s="25" t="str">
        <f ca="1">VLOOKUP($S77,OFFSET([2]characters!$A$1,0,0,COUNTA([2]characters!$A:$A),MATCH(T$1,[2]characters!$1:$1,0)-MATCH($A$1,[2]characters!$1:$1,0)+1),MATCH(T$1,[2]characters!$1:$1,0)-MATCH($A$1,[2]characters!$1:$1,0)+1,FALSE)</f>
        <v>イブとトモダチ</v>
      </c>
      <c r="U77" s="5">
        <f ca="1">IF(Q77="NULL","NULL",VLOOKUP(G77,ビット!$A$2:$B$7,2))</f>
        <v>20000</v>
      </c>
    </row>
    <row r="78" spans="1:21" ht="21" customHeight="1" x14ac:dyDescent="0.15">
      <c r="A78" s="83">
        <v>166</v>
      </c>
      <c r="B78" s="24" t="str">
        <f ca="1">VLOOKUP($A78,OFFSET([2]characters!$A$1,0,0,COUNTA([2]characters!$A:$A),MATCH(B$1,[2]characters!$1:$1,0)-MATCH($A$1,[2]characters!$1:$1,0)+1),MATCH(B$1,[2]characters!$1:$1,0)-MATCH($A$1,[2]characters!$1:$1,0)+1,FALSE)</f>
        <v>ベリアル</v>
      </c>
      <c r="C78" s="24" t="str">
        <f ca="1">VLOOKUP($A78,OFFSET([2]characters!$A$1,0,0,COUNTA([2]characters!$A:$A),MATCH(C$1,[2]characters!$1:$1,0)-MATCH($A$1,[2]characters!$1:$1,0)+1),MATCH(C$1,[2]characters!$1:$1,0)-MATCH($A$1,[2]characters!$1:$1,0)+1,FALSE)</f>
        <v>初期ガチャ</v>
      </c>
      <c r="D78" s="24" t="str">
        <f ca="1">VLOOKUP($A78,OFFSET([2]characters!$A$1,0,0,COUNTA([2]characters!$A:$A),MATCH(D$1,[2]characters!$1:$1,0)-MATCH($A$1,[2]characters!$1:$1,0)+1),MATCH(D$1,[2]characters!$1:$1,0)-MATCH($A$1,[2]characters!$1:$1,0)+1,FALSE)</f>
        <v>執行者</v>
      </c>
      <c r="E78" s="24" t="str">
        <f ca="1">VLOOKUP($A78,OFFSET([2]characters!$A$1,0,0,COUNTA([2]characters!$A:$A),MATCH(E$1,[2]characters!$1:$1,0)-MATCH($A$1,[2]characters!$1:$1,0)+1),MATCH(E$1,[2]characters!$1:$1,0)-MATCH($A$1,[2]characters!$1:$1,0)+1,FALSE)</f>
        <v>格好いい</v>
      </c>
      <c r="F78" s="24" t="str">
        <f ca="1">VLOOKUP($A78,OFFSET([2]characters!$A$1,0,0,COUNTA([2]characters!$A:$A),MATCH(F$1,[2]characters!$1:$1,0)-MATCH($A$1,[2]characters!$1:$1,0)+1),MATCH(F$1,[2]characters!$1:$1,0)-MATCH($A$1,[2]characters!$1:$1,0)+1,FALSE)</f>
        <v>男性</v>
      </c>
      <c r="G78" s="24">
        <f ca="1">VLOOKUP($A78,OFFSET([2]characters!$A$1,0,0,COUNTA([2]characters!$A:$A),MATCH(G$1,[2]characters!$1:$1,0)-MATCH($A$1,[2]characters!$1:$1,0)+1),MATCH(G$1,[2]characters!$1:$1,0)-MATCH($A$1,[2]characters!$1:$1,0)+1,FALSE)</f>
        <v>3</v>
      </c>
      <c r="H78" s="24" t="str">
        <f ca="1">VLOOKUP($A78,OFFSET([2]characters!$A$1,0,0,COUNTA([2]characters!$A:$A),MATCH(H$1,[2]characters!$1:$1,0)-MATCH($A$1,[2]characters!$1:$1,0)+1),MATCH(H$1,[2]characters!$1:$1,0)-MATCH($A$1,[2]characters!$1:$1,0)+1,FALSE)</f>
        <v>PremiumN</v>
      </c>
      <c r="I78" s="24" t="str">
        <f ca="1">VLOOKUP($A78,OFFSET([2]characters!$A$1,0,0,COUNTA([2]characters!$A:$A),MATCH(I$1,[2]characters!$1:$1,0)-MATCH($A$1,[2]characters!$1:$1,0)+1),MATCH(I$1,[2]characters!$1:$1,0)-MATCH($A$1,[2]characters!$1:$1,0)+1,FALSE)</f>
        <v>red</v>
      </c>
      <c r="J78" s="24" t="str">
        <f ca="1">VLOOKUP($A78,OFFSET([2]characters!$A$1,0,0,COUNTA([2]characters!$A:$A),MATCH(J$1,[2]characters!$1:$1,0)-MATCH($A$1,[2]characters!$1:$1,0)+1),MATCH(J$1,[2]characters!$1:$1,0)-MATCH($A$1,[2]characters!$1:$1,0)+1,FALSE)</f>
        <v>none</v>
      </c>
      <c r="K78" s="3" t="str">
        <f ca="1">VLOOKUP(J78,[2]character_tribe_i18n!$A:$H,3,FALSE)</f>
        <v>種族なし</v>
      </c>
      <c r="L78" s="5" t="e">
        <f>VLOOKUP(#REF!,[2]character_tribe_i18n!$A:$H,4,FALSE)</f>
        <v>#REF!</v>
      </c>
      <c r="M78" s="5" t="e">
        <f>VLOOKUP(#REF!,[2]character_tribe_i18n!$A:$H,5,FALSE)</f>
        <v>#REF!</v>
      </c>
      <c r="N78" s="5" t="e">
        <f>VLOOKUP(#REF!,[2]character_tribe_i18n!$A:$H,6,FALSE)</f>
        <v>#REF!</v>
      </c>
      <c r="O78" s="5" t="e">
        <f>VLOOKUP(#REF!,[2]character_tribe_i18n!$A:$H,7,FALSE)</f>
        <v>#REF!</v>
      </c>
      <c r="P78" s="83" t="s">
        <v>170</v>
      </c>
      <c r="Q78" s="4">
        <v>167</v>
      </c>
      <c r="R78" s="25" t="str">
        <f ca="1">IF(Q78="NULL","",VLOOKUP($Q78,OFFSET([2]characters!$A$1,0,0,COUNTA([2]characters!$A:$A),MATCH(R$1,[2]characters!$1:$1,0)-MATCH($A$1,[2]characters!$1:$1,0)+1),MATCH(R$1,[2]characters!$1:$1,0)-MATCH($A$1,[2]characters!$1:$1,0)+1,FALSE))</f>
        <v>逆徒 ベリアル</v>
      </c>
      <c r="S78" s="3">
        <f t="shared" ca="1" si="1"/>
        <v>166</v>
      </c>
      <c r="T78" s="25" t="str">
        <f ca="1">VLOOKUP($S78,OFFSET([2]characters!$A$1,0,0,COUNTA([2]characters!$A:$A),MATCH(T$1,[2]characters!$1:$1,0)-MATCH($A$1,[2]characters!$1:$1,0)+1),MATCH(T$1,[2]characters!$1:$1,0)-MATCH($A$1,[2]characters!$1:$1,0)+1,FALSE)</f>
        <v>ベリアル</v>
      </c>
      <c r="U78" s="5">
        <f ca="1">IF(Q78="NULL","NULL",VLOOKUP(G78,ビット!$A$2:$B$7,2))</f>
        <v>20000</v>
      </c>
    </row>
    <row r="79" spans="1:21" ht="21" customHeight="1" x14ac:dyDescent="0.15">
      <c r="A79" s="83">
        <v>167</v>
      </c>
      <c r="B79" s="24" t="str">
        <f ca="1">VLOOKUP($A79,OFFSET([2]characters!$A$1,0,0,COUNTA([2]characters!$A:$A),MATCH(B$1,[2]characters!$1:$1,0)-MATCH($A$1,[2]characters!$1:$1,0)+1),MATCH(B$1,[2]characters!$1:$1,0)-MATCH($A$1,[2]characters!$1:$1,0)+1,FALSE)</f>
        <v>逆徒 ベリアル</v>
      </c>
      <c r="C79" s="24" t="str">
        <f ca="1">VLOOKUP($A79,OFFSET([2]characters!$A$1,0,0,COUNTA([2]characters!$A:$A),MATCH(C$1,[2]characters!$1:$1,0)-MATCH($A$1,[2]characters!$1:$1,0)+1),MATCH(C$1,[2]characters!$1:$1,0)-MATCH($A$1,[2]characters!$1:$1,0)+1,FALSE)</f>
        <v>初期ガチャ</v>
      </c>
      <c r="D79" s="24" t="str">
        <f ca="1">VLOOKUP($A79,OFFSET([2]characters!$A$1,0,0,COUNTA([2]characters!$A:$A),MATCH(D$1,[2]characters!$1:$1,0)-MATCH($A$1,[2]characters!$1:$1,0)+1),MATCH(D$1,[2]characters!$1:$1,0)-MATCH($A$1,[2]characters!$1:$1,0)+1,FALSE)</f>
        <v>執行者</v>
      </c>
      <c r="E79" s="24" t="str">
        <f ca="1">VLOOKUP($A79,OFFSET([2]characters!$A$1,0,0,COUNTA([2]characters!$A:$A),MATCH(E$1,[2]characters!$1:$1,0)-MATCH($A$1,[2]characters!$1:$1,0)+1),MATCH(E$1,[2]characters!$1:$1,0)-MATCH($A$1,[2]characters!$1:$1,0)+1,FALSE)</f>
        <v>格好いい</v>
      </c>
      <c r="F79" s="24" t="str">
        <f ca="1">VLOOKUP($A79,OFFSET([2]characters!$A$1,0,0,COUNTA([2]characters!$A:$A),MATCH(F$1,[2]characters!$1:$1,0)-MATCH($A$1,[2]characters!$1:$1,0)+1),MATCH(F$1,[2]characters!$1:$1,0)-MATCH($A$1,[2]characters!$1:$1,0)+1,FALSE)</f>
        <v>男性</v>
      </c>
      <c r="G79" s="24">
        <f ca="1">VLOOKUP($A79,OFFSET([2]characters!$A$1,0,0,COUNTA([2]characters!$A:$A),MATCH(G$1,[2]characters!$1:$1,0)-MATCH($A$1,[2]characters!$1:$1,0)+1),MATCH(G$1,[2]characters!$1:$1,0)-MATCH($A$1,[2]characters!$1:$1,0)+1,FALSE)</f>
        <v>4</v>
      </c>
      <c r="H79" s="24" t="str">
        <f ca="1">VLOOKUP($A79,OFFSET([2]characters!$A$1,0,0,COUNTA([2]characters!$A:$A),MATCH(H$1,[2]characters!$1:$1,0)-MATCH($A$1,[2]characters!$1:$1,0)+1),MATCH(H$1,[2]characters!$1:$1,0)-MATCH($A$1,[2]characters!$1:$1,0)+1,FALSE)</f>
        <v>PremiumN</v>
      </c>
      <c r="I79" s="24" t="str">
        <f ca="1">VLOOKUP($A79,OFFSET([2]characters!$A$1,0,0,COUNTA([2]characters!$A:$A),MATCH(I$1,[2]characters!$1:$1,0)-MATCH($A$1,[2]characters!$1:$1,0)+1),MATCH(I$1,[2]characters!$1:$1,0)-MATCH($A$1,[2]characters!$1:$1,0)+1,FALSE)</f>
        <v>red</v>
      </c>
      <c r="J79" s="24" t="str">
        <f ca="1">VLOOKUP($A79,OFFSET([2]characters!$A$1,0,0,COUNTA([2]characters!$A:$A),MATCH(J$1,[2]characters!$1:$1,0)-MATCH($A$1,[2]characters!$1:$1,0)+1),MATCH(J$1,[2]characters!$1:$1,0)-MATCH($A$1,[2]characters!$1:$1,0)+1,FALSE)</f>
        <v>none</v>
      </c>
      <c r="K79" s="3" t="str">
        <f ca="1">VLOOKUP(J79,[2]character_tribe_i18n!$A:$H,3,FALSE)</f>
        <v>種族なし</v>
      </c>
      <c r="L79" s="5" t="e">
        <f>VLOOKUP(#REF!,[2]character_tribe_i18n!$A:$H,4,FALSE)</f>
        <v>#REF!</v>
      </c>
      <c r="M79" s="5" t="e">
        <f>VLOOKUP(#REF!,[2]character_tribe_i18n!$A:$H,5,FALSE)</f>
        <v>#REF!</v>
      </c>
      <c r="N79" s="5" t="e">
        <f>VLOOKUP(#REF!,[2]character_tribe_i18n!$A:$H,6,FALSE)</f>
        <v>#REF!</v>
      </c>
      <c r="O79" s="5" t="e">
        <f>VLOOKUP(#REF!,[2]character_tribe_i18n!$A:$H,7,FALSE)</f>
        <v>#REF!</v>
      </c>
      <c r="P79" s="83" t="s">
        <v>170</v>
      </c>
      <c r="Q79" s="4">
        <v>168</v>
      </c>
      <c r="R79" s="25" t="str">
        <f ca="1">IF(Q79="NULL","",VLOOKUP($Q79,OFFSET([2]characters!$A$1,0,0,COUNTA([2]characters!$A:$A),MATCH(R$1,[2]characters!$1:$1,0)-MATCH($A$1,[2]characters!$1:$1,0)+1),MATCH(R$1,[2]characters!$1:$1,0)-MATCH($A$1,[2]characters!$1:$1,0)+1,FALSE))</f>
        <v>猛進の大逆者 ベリアル</v>
      </c>
      <c r="S79" s="3">
        <f t="shared" ca="1" si="1"/>
        <v>166</v>
      </c>
      <c r="T79" s="25" t="str">
        <f ca="1">VLOOKUP($S79,OFFSET([2]characters!$A$1,0,0,COUNTA([2]characters!$A:$A),MATCH(T$1,[2]characters!$1:$1,0)-MATCH($A$1,[2]characters!$1:$1,0)+1),MATCH(T$1,[2]characters!$1:$1,0)-MATCH($A$1,[2]characters!$1:$1,0)+1,FALSE)</f>
        <v>ベリアル</v>
      </c>
      <c r="U79" s="5">
        <f ca="1">IF(Q79="NULL","NULL",VLOOKUP(G79,ビット!$A$2:$B$7,2))</f>
        <v>50000</v>
      </c>
    </row>
    <row r="80" spans="1:21" ht="21" customHeight="1" x14ac:dyDescent="0.15">
      <c r="A80" s="83">
        <v>168</v>
      </c>
      <c r="B80" s="24" t="str">
        <f ca="1">VLOOKUP($A80,OFFSET([2]characters!$A$1,0,0,COUNTA([2]characters!$A:$A),MATCH(B$1,[2]characters!$1:$1,0)-MATCH($A$1,[2]characters!$1:$1,0)+1),MATCH(B$1,[2]characters!$1:$1,0)-MATCH($A$1,[2]characters!$1:$1,0)+1,FALSE)</f>
        <v>猛進の大逆者 ベリアル</v>
      </c>
      <c r="C80" s="24" t="str">
        <f ca="1">VLOOKUP($A80,OFFSET([2]characters!$A$1,0,0,COUNTA([2]characters!$A:$A),MATCH(C$1,[2]characters!$1:$1,0)-MATCH($A$1,[2]characters!$1:$1,0)+1),MATCH(C$1,[2]characters!$1:$1,0)-MATCH($A$1,[2]characters!$1:$1,0)+1,FALSE)</f>
        <v>初期ガチャ</v>
      </c>
      <c r="D80" s="24" t="str">
        <f ca="1">VLOOKUP($A80,OFFSET([2]characters!$A$1,0,0,COUNTA([2]characters!$A:$A),MATCH(D$1,[2]characters!$1:$1,0)-MATCH($A$1,[2]characters!$1:$1,0)+1),MATCH(D$1,[2]characters!$1:$1,0)-MATCH($A$1,[2]characters!$1:$1,0)+1,FALSE)</f>
        <v>執行者</v>
      </c>
      <c r="E80" s="24" t="str">
        <f ca="1">VLOOKUP($A80,OFFSET([2]characters!$A$1,0,0,COUNTA([2]characters!$A:$A),MATCH(E$1,[2]characters!$1:$1,0)-MATCH($A$1,[2]characters!$1:$1,0)+1),MATCH(E$1,[2]characters!$1:$1,0)-MATCH($A$1,[2]characters!$1:$1,0)+1,FALSE)</f>
        <v>格好いい</v>
      </c>
      <c r="F80" s="24" t="str">
        <f ca="1">VLOOKUP($A80,OFFSET([2]characters!$A$1,0,0,COUNTA([2]characters!$A:$A),MATCH(F$1,[2]characters!$1:$1,0)-MATCH($A$1,[2]characters!$1:$1,0)+1),MATCH(F$1,[2]characters!$1:$1,0)-MATCH($A$1,[2]characters!$1:$1,0)+1,FALSE)</f>
        <v>男性</v>
      </c>
      <c r="G80" s="24">
        <f ca="1">VLOOKUP($A80,OFFSET([2]characters!$A$1,0,0,COUNTA([2]characters!$A:$A),MATCH(G$1,[2]characters!$1:$1,0)-MATCH($A$1,[2]characters!$1:$1,0)+1),MATCH(G$1,[2]characters!$1:$1,0)-MATCH($A$1,[2]characters!$1:$1,0)+1,FALSE)</f>
        <v>5</v>
      </c>
      <c r="H80" s="24" t="str">
        <f ca="1">VLOOKUP($A80,OFFSET([2]characters!$A$1,0,0,COUNTA([2]characters!$A:$A),MATCH(H$1,[2]characters!$1:$1,0)-MATCH($A$1,[2]characters!$1:$1,0)+1),MATCH(H$1,[2]characters!$1:$1,0)-MATCH($A$1,[2]characters!$1:$1,0)+1,FALSE)</f>
        <v>PremiumN</v>
      </c>
      <c r="I80" s="24" t="str">
        <f ca="1">VLOOKUP($A80,OFFSET([2]characters!$A$1,0,0,COUNTA([2]characters!$A:$A),MATCH(I$1,[2]characters!$1:$1,0)-MATCH($A$1,[2]characters!$1:$1,0)+1),MATCH(I$1,[2]characters!$1:$1,0)-MATCH($A$1,[2]characters!$1:$1,0)+1,FALSE)</f>
        <v>red</v>
      </c>
      <c r="J80" s="24" t="str">
        <f ca="1">VLOOKUP($A80,OFFSET([2]characters!$A$1,0,0,COUNTA([2]characters!$A:$A),MATCH(J$1,[2]characters!$1:$1,0)-MATCH($A$1,[2]characters!$1:$1,0)+1),MATCH(J$1,[2]characters!$1:$1,0)-MATCH($A$1,[2]characters!$1:$1,0)+1,FALSE)</f>
        <v>none</v>
      </c>
      <c r="K80" s="3" t="str">
        <f ca="1">VLOOKUP(J80,[2]character_tribe_i18n!$A:$H,3,FALSE)</f>
        <v>種族なし</v>
      </c>
      <c r="L80" s="5" t="e">
        <f>VLOOKUP(#REF!,[2]character_tribe_i18n!$A:$H,4,FALSE)</f>
        <v>#REF!</v>
      </c>
      <c r="M80" s="5" t="e">
        <f>VLOOKUP(#REF!,[2]character_tribe_i18n!$A:$H,5,FALSE)</f>
        <v>#REF!</v>
      </c>
      <c r="N80" s="5" t="e">
        <f>VLOOKUP(#REF!,[2]character_tribe_i18n!$A:$H,6,FALSE)</f>
        <v>#REF!</v>
      </c>
      <c r="O80" s="5" t="e">
        <f>VLOOKUP(#REF!,[2]character_tribe_i18n!$A:$H,7,FALSE)</f>
        <v>#REF!</v>
      </c>
      <c r="P80" s="83" t="s">
        <v>170</v>
      </c>
      <c r="Q80" s="4">
        <v>805</v>
      </c>
      <c r="R80" s="25" t="str">
        <f ca="1">IF(Q80="NULL","",VLOOKUP($Q80,OFFSET([2]characters!$A$1,0,0,COUNTA([2]characters!$A:$A),MATCH(R$1,[2]characters!$1:$1,0)-MATCH($A$1,[2]characters!$1:$1,0)+1),MATCH(R$1,[2]characters!$1:$1,0)-MATCH($A$1,[2]characters!$1:$1,0)+1,FALSE))</f>
        <v>熱環の大逆聖 ベリアル</v>
      </c>
      <c r="S80" s="3">
        <f t="shared" ca="1" si="1"/>
        <v>166</v>
      </c>
      <c r="T80" s="25" t="str">
        <f ca="1">VLOOKUP($S80,OFFSET([2]characters!$A$1,0,0,COUNTA([2]characters!$A:$A),MATCH(T$1,[2]characters!$1:$1,0)-MATCH($A$1,[2]characters!$1:$1,0)+1),MATCH(T$1,[2]characters!$1:$1,0)-MATCH($A$1,[2]characters!$1:$1,0)+1,FALSE)</f>
        <v>ベリアル</v>
      </c>
      <c r="U80" s="5">
        <f ca="1">IF(Q80="NULL","NULL",VLOOKUP(G80,ビット!$A$2:$B$7,2))</f>
        <v>200000</v>
      </c>
    </row>
    <row r="81" spans="1:21" ht="21" customHeight="1" x14ac:dyDescent="0.15">
      <c r="A81" s="83">
        <v>169</v>
      </c>
      <c r="B81" s="24" t="str">
        <f ca="1">VLOOKUP($A81,OFFSET([2]characters!$A$1,0,0,COUNTA([2]characters!$A:$A),MATCH(B$1,[2]characters!$1:$1,0)-MATCH($A$1,[2]characters!$1:$1,0)+1),MATCH(B$1,[2]characters!$1:$1,0)-MATCH($A$1,[2]characters!$1:$1,0)+1,FALSE)</f>
        <v>オセ</v>
      </c>
      <c r="C81" s="24" t="str">
        <f ca="1">VLOOKUP($A81,OFFSET([2]characters!$A$1,0,0,COUNTA([2]characters!$A:$A),MATCH(C$1,[2]characters!$1:$1,0)-MATCH($A$1,[2]characters!$1:$1,0)+1),MATCH(C$1,[2]characters!$1:$1,0)-MATCH($A$1,[2]characters!$1:$1,0)+1,FALSE)</f>
        <v>初期ガチャ</v>
      </c>
      <c r="D81" s="24" t="str">
        <f ca="1">VLOOKUP($A81,OFFSET([2]characters!$A$1,0,0,COUNTA([2]characters!$A:$A),MATCH(D$1,[2]characters!$1:$1,0)-MATCH($A$1,[2]characters!$1:$1,0)+1),MATCH(D$1,[2]characters!$1:$1,0)-MATCH($A$1,[2]characters!$1:$1,0)+1,FALSE)</f>
        <v>執行者</v>
      </c>
      <c r="E81" s="24" t="str">
        <f ca="1">VLOOKUP($A81,OFFSET([2]characters!$A$1,0,0,COUNTA([2]characters!$A:$A),MATCH(E$1,[2]characters!$1:$1,0)-MATCH($A$1,[2]characters!$1:$1,0)+1),MATCH(E$1,[2]characters!$1:$1,0)-MATCH($A$1,[2]characters!$1:$1,0)+1,FALSE)</f>
        <v>美しい</v>
      </c>
      <c r="F81" s="24" t="str">
        <f ca="1">VLOOKUP($A81,OFFSET([2]characters!$A$1,0,0,COUNTA([2]characters!$A:$A),MATCH(F$1,[2]characters!$1:$1,0)-MATCH($A$1,[2]characters!$1:$1,0)+1),MATCH(F$1,[2]characters!$1:$1,0)-MATCH($A$1,[2]characters!$1:$1,0)+1,FALSE)</f>
        <v>女性</v>
      </c>
      <c r="G81" s="24">
        <f ca="1">VLOOKUP($A81,OFFSET([2]characters!$A$1,0,0,COUNTA([2]characters!$A:$A),MATCH(G$1,[2]characters!$1:$1,0)-MATCH($A$1,[2]characters!$1:$1,0)+1),MATCH(G$1,[2]characters!$1:$1,0)-MATCH($A$1,[2]characters!$1:$1,0)+1,FALSE)</f>
        <v>3</v>
      </c>
      <c r="H81" s="24" t="str">
        <f ca="1">VLOOKUP($A81,OFFSET([2]characters!$A$1,0,0,COUNTA([2]characters!$A:$A),MATCH(H$1,[2]characters!$1:$1,0)-MATCH($A$1,[2]characters!$1:$1,0)+1),MATCH(H$1,[2]characters!$1:$1,0)-MATCH($A$1,[2]characters!$1:$1,0)+1,FALSE)</f>
        <v>PremiumN</v>
      </c>
      <c r="I81" s="24" t="str">
        <f ca="1">VLOOKUP($A81,OFFSET([2]characters!$A$1,0,0,COUNTA([2]characters!$A:$A),MATCH(I$1,[2]characters!$1:$1,0)-MATCH($A$1,[2]characters!$1:$1,0)+1),MATCH(I$1,[2]characters!$1:$1,0)-MATCH($A$1,[2]characters!$1:$1,0)+1,FALSE)</f>
        <v>green</v>
      </c>
      <c r="J81" s="24" t="str">
        <f ca="1">VLOOKUP($A81,OFFSET([2]characters!$A$1,0,0,COUNTA([2]characters!$A:$A),MATCH(J$1,[2]characters!$1:$1,0)-MATCH($A$1,[2]characters!$1:$1,0)+1),MATCH(J$1,[2]characters!$1:$1,0)-MATCH($A$1,[2]characters!$1:$1,0)+1,FALSE)</f>
        <v>none</v>
      </c>
      <c r="K81" s="3" t="str">
        <f ca="1">VLOOKUP(J81,[2]character_tribe_i18n!$A:$H,3,FALSE)</f>
        <v>種族なし</v>
      </c>
      <c r="L81" s="5" t="e">
        <f>VLOOKUP(#REF!,[2]character_tribe_i18n!$A:$H,4,FALSE)</f>
        <v>#REF!</v>
      </c>
      <c r="M81" s="5" t="e">
        <f>VLOOKUP(#REF!,[2]character_tribe_i18n!$A:$H,5,FALSE)</f>
        <v>#REF!</v>
      </c>
      <c r="N81" s="5" t="e">
        <f>VLOOKUP(#REF!,[2]character_tribe_i18n!$A:$H,6,FALSE)</f>
        <v>#REF!</v>
      </c>
      <c r="O81" s="5" t="e">
        <f>VLOOKUP(#REF!,[2]character_tribe_i18n!$A:$H,7,FALSE)</f>
        <v>#REF!</v>
      </c>
      <c r="P81" s="83" t="s">
        <v>170</v>
      </c>
      <c r="Q81" s="4">
        <v>170</v>
      </c>
      <c r="R81" s="25" t="str">
        <f ca="1">IF(Q81="NULL","",VLOOKUP($Q81,OFFSET([2]characters!$A$1,0,0,COUNTA([2]characters!$A:$A),MATCH(R$1,[2]characters!$1:$1,0)-MATCH($A$1,[2]characters!$1:$1,0)+1),MATCH(R$1,[2]characters!$1:$1,0)-MATCH($A$1,[2]characters!$1:$1,0)+1,FALSE))</f>
        <v>識徒 オセ</v>
      </c>
      <c r="S81" s="3">
        <f t="shared" ca="1" si="1"/>
        <v>169</v>
      </c>
      <c r="T81" s="25" t="str">
        <f ca="1">VLOOKUP($S81,OFFSET([2]characters!$A$1,0,0,COUNTA([2]characters!$A:$A),MATCH(T$1,[2]characters!$1:$1,0)-MATCH($A$1,[2]characters!$1:$1,0)+1),MATCH(T$1,[2]characters!$1:$1,0)-MATCH($A$1,[2]characters!$1:$1,0)+1,FALSE)</f>
        <v>オセ</v>
      </c>
      <c r="U81" s="5">
        <f ca="1">IF(Q81="NULL","NULL",VLOOKUP(G81,ビット!$A$2:$B$7,2))</f>
        <v>20000</v>
      </c>
    </row>
    <row r="82" spans="1:21" ht="21" customHeight="1" x14ac:dyDescent="0.15">
      <c r="A82" s="83">
        <v>170</v>
      </c>
      <c r="B82" s="24" t="str">
        <f ca="1">VLOOKUP($A82,OFFSET([2]characters!$A$1,0,0,COUNTA([2]characters!$A:$A),MATCH(B$1,[2]characters!$1:$1,0)-MATCH($A$1,[2]characters!$1:$1,0)+1),MATCH(B$1,[2]characters!$1:$1,0)-MATCH($A$1,[2]characters!$1:$1,0)+1,FALSE)</f>
        <v>識徒 オセ</v>
      </c>
      <c r="C82" s="24" t="str">
        <f ca="1">VLOOKUP($A82,OFFSET([2]characters!$A$1,0,0,COUNTA([2]characters!$A:$A),MATCH(C$1,[2]characters!$1:$1,0)-MATCH($A$1,[2]characters!$1:$1,0)+1),MATCH(C$1,[2]characters!$1:$1,0)-MATCH($A$1,[2]characters!$1:$1,0)+1,FALSE)</f>
        <v>初期ガチャ</v>
      </c>
      <c r="D82" s="24" t="str">
        <f ca="1">VLOOKUP($A82,OFFSET([2]characters!$A$1,0,0,COUNTA([2]characters!$A:$A),MATCH(D$1,[2]characters!$1:$1,0)-MATCH($A$1,[2]characters!$1:$1,0)+1),MATCH(D$1,[2]characters!$1:$1,0)-MATCH($A$1,[2]characters!$1:$1,0)+1,FALSE)</f>
        <v>執行者</v>
      </c>
      <c r="E82" s="24" t="str">
        <f ca="1">VLOOKUP($A82,OFFSET([2]characters!$A$1,0,0,COUNTA([2]characters!$A:$A),MATCH(E$1,[2]characters!$1:$1,0)-MATCH($A$1,[2]characters!$1:$1,0)+1),MATCH(E$1,[2]characters!$1:$1,0)-MATCH($A$1,[2]characters!$1:$1,0)+1,FALSE)</f>
        <v>美しい</v>
      </c>
      <c r="F82" s="24" t="str">
        <f ca="1">VLOOKUP($A82,OFFSET([2]characters!$A$1,0,0,COUNTA([2]characters!$A:$A),MATCH(F$1,[2]characters!$1:$1,0)-MATCH($A$1,[2]characters!$1:$1,0)+1),MATCH(F$1,[2]characters!$1:$1,0)-MATCH($A$1,[2]characters!$1:$1,0)+1,FALSE)</f>
        <v>女性</v>
      </c>
      <c r="G82" s="24">
        <f ca="1">VLOOKUP($A82,OFFSET([2]characters!$A$1,0,0,COUNTA([2]characters!$A:$A),MATCH(G$1,[2]characters!$1:$1,0)-MATCH($A$1,[2]characters!$1:$1,0)+1),MATCH(G$1,[2]characters!$1:$1,0)-MATCH($A$1,[2]characters!$1:$1,0)+1,FALSE)</f>
        <v>4</v>
      </c>
      <c r="H82" s="24" t="str">
        <f ca="1">VLOOKUP($A82,OFFSET([2]characters!$A$1,0,0,COUNTA([2]characters!$A:$A),MATCH(H$1,[2]characters!$1:$1,0)-MATCH($A$1,[2]characters!$1:$1,0)+1),MATCH(H$1,[2]characters!$1:$1,0)-MATCH($A$1,[2]characters!$1:$1,0)+1,FALSE)</f>
        <v>PremiumN</v>
      </c>
      <c r="I82" s="24" t="str">
        <f ca="1">VLOOKUP($A82,OFFSET([2]characters!$A$1,0,0,COUNTA([2]characters!$A:$A),MATCH(I$1,[2]characters!$1:$1,0)-MATCH($A$1,[2]characters!$1:$1,0)+1),MATCH(I$1,[2]characters!$1:$1,0)-MATCH($A$1,[2]characters!$1:$1,0)+1,FALSE)</f>
        <v>green</v>
      </c>
      <c r="J82" s="24" t="str">
        <f ca="1">VLOOKUP($A82,OFFSET([2]characters!$A$1,0,0,COUNTA([2]characters!$A:$A),MATCH(J$1,[2]characters!$1:$1,0)-MATCH($A$1,[2]characters!$1:$1,0)+1),MATCH(J$1,[2]characters!$1:$1,0)-MATCH($A$1,[2]characters!$1:$1,0)+1,FALSE)</f>
        <v>none</v>
      </c>
      <c r="K82" s="3" t="str">
        <f ca="1">VLOOKUP(J82,[2]character_tribe_i18n!$A:$H,3,FALSE)</f>
        <v>種族なし</v>
      </c>
      <c r="L82" s="5" t="e">
        <f>VLOOKUP(#REF!,[2]character_tribe_i18n!$A:$H,4,FALSE)</f>
        <v>#REF!</v>
      </c>
      <c r="M82" s="5" t="e">
        <f>VLOOKUP(#REF!,[2]character_tribe_i18n!$A:$H,5,FALSE)</f>
        <v>#REF!</v>
      </c>
      <c r="N82" s="5" t="e">
        <f>VLOOKUP(#REF!,[2]character_tribe_i18n!$A:$H,6,FALSE)</f>
        <v>#REF!</v>
      </c>
      <c r="O82" s="5" t="e">
        <f>VLOOKUP(#REF!,[2]character_tribe_i18n!$A:$H,7,FALSE)</f>
        <v>#REF!</v>
      </c>
      <c r="P82" s="83" t="s">
        <v>170</v>
      </c>
      <c r="Q82" s="4">
        <v>171</v>
      </c>
      <c r="R82" s="25" t="str">
        <f ca="1">IF(Q82="NULL","",VLOOKUP($Q82,OFFSET([2]characters!$A$1,0,0,COUNTA([2]characters!$A:$A),MATCH(R$1,[2]characters!$1:$1,0)-MATCH($A$1,[2]characters!$1:$1,0)+1),MATCH(R$1,[2]characters!$1:$1,0)-MATCH($A$1,[2]characters!$1:$1,0)+1,FALSE))</f>
        <v>精解の預知者 オセ</v>
      </c>
      <c r="S82" s="3">
        <f t="shared" ca="1" si="1"/>
        <v>169</v>
      </c>
      <c r="T82" s="25" t="str">
        <f ca="1">VLOOKUP($S82,OFFSET([2]characters!$A$1,0,0,COUNTA([2]characters!$A:$A),MATCH(T$1,[2]characters!$1:$1,0)-MATCH($A$1,[2]characters!$1:$1,0)+1),MATCH(T$1,[2]characters!$1:$1,0)-MATCH($A$1,[2]characters!$1:$1,0)+1,FALSE)</f>
        <v>オセ</v>
      </c>
      <c r="U82" s="5">
        <f ca="1">IF(Q82="NULL","NULL",VLOOKUP(G82,ビット!$A$2:$B$7,2))</f>
        <v>50000</v>
      </c>
    </row>
    <row r="83" spans="1:21" ht="21" customHeight="1" x14ac:dyDescent="0.15">
      <c r="A83" s="83">
        <v>171</v>
      </c>
      <c r="B83" s="24" t="str">
        <f ca="1">VLOOKUP($A83,OFFSET([2]characters!$A$1,0,0,COUNTA([2]characters!$A:$A),MATCH(B$1,[2]characters!$1:$1,0)-MATCH($A$1,[2]characters!$1:$1,0)+1),MATCH(B$1,[2]characters!$1:$1,0)-MATCH($A$1,[2]characters!$1:$1,0)+1,FALSE)</f>
        <v>精解の預知者 オセ</v>
      </c>
      <c r="C83" s="24" t="str">
        <f ca="1">VLOOKUP($A83,OFFSET([2]characters!$A$1,0,0,COUNTA([2]characters!$A:$A),MATCH(C$1,[2]characters!$1:$1,0)-MATCH($A$1,[2]characters!$1:$1,0)+1),MATCH(C$1,[2]characters!$1:$1,0)-MATCH($A$1,[2]characters!$1:$1,0)+1,FALSE)</f>
        <v>初期ガチャ</v>
      </c>
      <c r="D83" s="24" t="str">
        <f ca="1">VLOOKUP($A83,OFFSET([2]characters!$A$1,0,0,COUNTA([2]characters!$A:$A),MATCH(D$1,[2]characters!$1:$1,0)-MATCH($A$1,[2]characters!$1:$1,0)+1),MATCH(D$1,[2]characters!$1:$1,0)-MATCH($A$1,[2]characters!$1:$1,0)+1,FALSE)</f>
        <v>執行者</v>
      </c>
      <c r="E83" s="24" t="str">
        <f ca="1">VLOOKUP($A83,OFFSET([2]characters!$A$1,0,0,COUNTA([2]characters!$A:$A),MATCH(E$1,[2]characters!$1:$1,0)-MATCH($A$1,[2]characters!$1:$1,0)+1),MATCH(E$1,[2]characters!$1:$1,0)-MATCH($A$1,[2]characters!$1:$1,0)+1,FALSE)</f>
        <v>美しい</v>
      </c>
      <c r="F83" s="24" t="str">
        <f ca="1">VLOOKUP($A83,OFFSET([2]characters!$A$1,0,0,COUNTA([2]characters!$A:$A),MATCH(F$1,[2]characters!$1:$1,0)-MATCH($A$1,[2]characters!$1:$1,0)+1),MATCH(F$1,[2]characters!$1:$1,0)-MATCH($A$1,[2]characters!$1:$1,0)+1,FALSE)</f>
        <v>女性</v>
      </c>
      <c r="G83" s="24">
        <f ca="1">VLOOKUP($A83,OFFSET([2]characters!$A$1,0,0,COUNTA([2]characters!$A:$A),MATCH(G$1,[2]characters!$1:$1,0)-MATCH($A$1,[2]characters!$1:$1,0)+1),MATCH(G$1,[2]characters!$1:$1,0)-MATCH($A$1,[2]characters!$1:$1,0)+1,FALSE)</f>
        <v>5</v>
      </c>
      <c r="H83" s="24" t="str">
        <f ca="1">VLOOKUP($A83,OFFSET([2]characters!$A$1,0,0,COUNTA([2]characters!$A:$A),MATCH(H$1,[2]characters!$1:$1,0)-MATCH($A$1,[2]characters!$1:$1,0)+1),MATCH(H$1,[2]characters!$1:$1,0)-MATCH($A$1,[2]characters!$1:$1,0)+1,FALSE)</f>
        <v>PremiumN</v>
      </c>
      <c r="I83" s="24" t="str">
        <f ca="1">VLOOKUP($A83,OFFSET([2]characters!$A$1,0,0,COUNTA([2]characters!$A:$A),MATCH(I$1,[2]characters!$1:$1,0)-MATCH($A$1,[2]characters!$1:$1,0)+1),MATCH(I$1,[2]characters!$1:$1,0)-MATCH($A$1,[2]characters!$1:$1,0)+1,FALSE)</f>
        <v>green</v>
      </c>
      <c r="J83" s="24" t="str">
        <f ca="1">VLOOKUP($A83,OFFSET([2]characters!$A$1,0,0,COUNTA([2]characters!$A:$A),MATCH(J$1,[2]characters!$1:$1,0)-MATCH($A$1,[2]characters!$1:$1,0)+1),MATCH(J$1,[2]characters!$1:$1,0)-MATCH($A$1,[2]characters!$1:$1,0)+1,FALSE)</f>
        <v>none</v>
      </c>
      <c r="K83" s="3" t="str">
        <f ca="1">VLOOKUP(J83,[2]character_tribe_i18n!$A:$H,3,FALSE)</f>
        <v>種族なし</v>
      </c>
      <c r="L83" s="5" t="e">
        <f>VLOOKUP(#REF!,[2]character_tribe_i18n!$A:$H,4,FALSE)</f>
        <v>#REF!</v>
      </c>
      <c r="M83" s="5" t="e">
        <f>VLOOKUP(#REF!,[2]character_tribe_i18n!$A:$H,5,FALSE)</f>
        <v>#REF!</v>
      </c>
      <c r="N83" s="5" t="e">
        <f>VLOOKUP(#REF!,[2]character_tribe_i18n!$A:$H,6,FALSE)</f>
        <v>#REF!</v>
      </c>
      <c r="O83" s="5" t="e">
        <f>VLOOKUP(#REF!,[2]character_tribe_i18n!$A:$H,7,FALSE)</f>
        <v>#REF!</v>
      </c>
      <c r="P83" s="83" t="s">
        <v>170</v>
      </c>
      <c r="Q83" s="4">
        <v>806</v>
      </c>
      <c r="R83" s="25" t="str">
        <f ca="1">IF(Q83="NULL","",VLOOKUP($Q83,OFFSET([2]characters!$A$1,0,0,COUNTA([2]characters!$A:$A),MATCH(R$1,[2]characters!$1:$1,0)-MATCH($A$1,[2]characters!$1:$1,0)+1),MATCH(R$1,[2]characters!$1:$1,0)-MATCH($A$1,[2]characters!$1:$1,0)+1,FALSE))</f>
        <v>全解の預智聖 オセ</v>
      </c>
      <c r="S83" s="3">
        <f t="shared" ca="1" si="1"/>
        <v>169</v>
      </c>
      <c r="T83" s="25" t="str">
        <f ca="1">VLOOKUP($S83,OFFSET([2]characters!$A$1,0,0,COUNTA([2]characters!$A:$A),MATCH(T$1,[2]characters!$1:$1,0)-MATCH($A$1,[2]characters!$1:$1,0)+1),MATCH(T$1,[2]characters!$1:$1,0)-MATCH($A$1,[2]characters!$1:$1,0)+1,FALSE)</f>
        <v>オセ</v>
      </c>
      <c r="U83" s="5">
        <f ca="1">IF(Q83="NULL","NULL",VLOOKUP(G83,ビット!$A$2:$B$7,2))</f>
        <v>200000</v>
      </c>
    </row>
    <row r="84" spans="1:21" ht="21" customHeight="1" x14ac:dyDescent="0.15">
      <c r="A84" s="83">
        <v>172</v>
      </c>
      <c r="B84" s="24" t="str">
        <f ca="1">VLOOKUP($A84,OFFSET([2]characters!$A$1,0,0,COUNTA([2]characters!$A:$A),MATCH(B$1,[2]characters!$1:$1,0)-MATCH($A$1,[2]characters!$1:$1,0)+1),MATCH(B$1,[2]characters!$1:$1,0)-MATCH($A$1,[2]characters!$1:$1,0)+1,FALSE)</f>
        <v>フォルネウス</v>
      </c>
      <c r="C84" s="24" t="str">
        <f ca="1">VLOOKUP($A84,OFFSET([2]characters!$A$1,0,0,COUNTA([2]characters!$A:$A),MATCH(C$1,[2]characters!$1:$1,0)-MATCH($A$1,[2]characters!$1:$1,0)+1),MATCH(C$1,[2]characters!$1:$1,0)-MATCH($A$1,[2]characters!$1:$1,0)+1,FALSE)</f>
        <v>初期ガチャ</v>
      </c>
      <c r="D84" s="24" t="str">
        <f ca="1">VLOOKUP($A84,OFFSET([2]characters!$A$1,0,0,COUNTA([2]characters!$A:$A),MATCH(D$1,[2]characters!$1:$1,0)-MATCH($A$1,[2]characters!$1:$1,0)+1),MATCH(D$1,[2]characters!$1:$1,0)-MATCH($A$1,[2]characters!$1:$1,0)+1,FALSE)</f>
        <v>執行者</v>
      </c>
      <c r="E84" s="24" t="str">
        <f ca="1">VLOOKUP($A84,OFFSET([2]characters!$A$1,0,0,COUNTA([2]characters!$A:$A),MATCH(E$1,[2]characters!$1:$1,0)-MATCH($A$1,[2]characters!$1:$1,0)+1),MATCH(E$1,[2]characters!$1:$1,0)-MATCH($A$1,[2]characters!$1:$1,0)+1,FALSE)</f>
        <v>可愛い</v>
      </c>
      <c r="F84" s="24" t="str">
        <f ca="1">VLOOKUP($A84,OFFSET([2]characters!$A$1,0,0,COUNTA([2]characters!$A:$A),MATCH(F$1,[2]characters!$1:$1,0)-MATCH($A$1,[2]characters!$1:$1,0)+1),MATCH(F$1,[2]characters!$1:$1,0)-MATCH($A$1,[2]characters!$1:$1,0)+1,FALSE)</f>
        <v>女性</v>
      </c>
      <c r="G84" s="24">
        <f ca="1">VLOOKUP($A84,OFFSET([2]characters!$A$1,0,0,COUNTA([2]characters!$A:$A),MATCH(G$1,[2]characters!$1:$1,0)-MATCH($A$1,[2]characters!$1:$1,0)+1),MATCH(G$1,[2]characters!$1:$1,0)-MATCH($A$1,[2]characters!$1:$1,0)+1,FALSE)</f>
        <v>3</v>
      </c>
      <c r="H84" s="24" t="str">
        <f ca="1">VLOOKUP($A84,OFFSET([2]characters!$A$1,0,0,COUNTA([2]characters!$A:$A),MATCH(H$1,[2]characters!$1:$1,0)-MATCH($A$1,[2]characters!$1:$1,0)+1),MATCH(H$1,[2]characters!$1:$1,0)-MATCH($A$1,[2]characters!$1:$1,0)+1,FALSE)</f>
        <v>PremiumN</v>
      </c>
      <c r="I84" s="24" t="str">
        <f ca="1">VLOOKUP($A84,OFFSET([2]characters!$A$1,0,0,COUNTA([2]characters!$A:$A),MATCH(I$1,[2]characters!$1:$1,0)-MATCH($A$1,[2]characters!$1:$1,0)+1),MATCH(I$1,[2]characters!$1:$1,0)-MATCH($A$1,[2]characters!$1:$1,0)+1,FALSE)</f>
        <v>blue</v>
      </c>
      <c r="J84" s="24" t="str">
        <f ca="1">VLOOKUP($A84,OFFSET([2]characters!$A$1,0,0,COUNTA([2]characters!$A:$A),MATCH(J$1,[2]characters!$1:$1,0)-MATCH($A$1,[2]characters!$1:$1,0)+1),MATCH(J$1,[2]characters!$1:$1,0)-MATCH($A$1,[2]characters!$1:$1,0)+1,FALSE)</f>
        <v>none</v>
      </c>
      <c r="K84" s="3" t="str">
        <f ca="1">VLOOKUP(J84,[2]character_tribe_i18n!$A:$H,3,FALSE)</f>
        <v>種族なし</v>
      </c>
      <c r="L84" s="5" t="e">
        <f>VLOOKUP(#REF!,[2]character_tribe_i18n!$A:$H,4,FALSE)</f>
        <v>#REF!</v>
      </c>
      <c r="M84" s="5" t="e">
        <f>VLOOKUP(#REF!,[2]character_tribe_i18n!$A:$H,5,FALSE)</f>
        <v>#REF!</v>
      </c>
      <c r="N84" s="5" t="e">
        <f>VLOOKUP(#REF!,[2]character_tribe_i18n!$A:$H,6,FALSE)</f>
        <v>#REF!</v>
      </c>
      <c r="O84" s="5" t="e">
        <f>VLOOKUP(#REF!,[2]character_tribe_i18n!$A:$H,7,FALSE)</f>
        <v>#REF!</v>
      </c>
      <c r="P84" s="83" t="s">
        <v>170</v>
      </c>
      <c r="Q84" s="4">
        <v>173</v>
      </c>
      <c r="R84" s="25" t="str">
        <f ca="1">IF(Q84="NULL","",VLOOKUP($Q84,OFFSET([2]characters!$A$1,0,0,COUNTA([2]characters!$A:$A),MATCH(R$1,[2]characters!$1:$1,0)-MATCH($A$1,[2]characters!$1:$1,0)+1),MATCH(R$1,[2]characters!$1:$1,0)-MATCH($A$1,[2]characters!$1:$1,0)+1,FALSE))</f>
        <v>公爵 フォルネウス</v>
      </c>
      <c r="S84" s="3">
        <f t="shared" ca="1" si="1"/>
        <v>172</v>
      </c>
      <c r="T84" s="25" t="str">
        <f ca="1">VLOOKUP($S84,OFFSET([2]characters!$A$1,0,0,COUNTA([2]characters!$A:$A),MATCH(T$1,[2]characters!$1:$1,0)-MATCH($A$1,[2]characters!$1:$1,0)+1),MATCH(T$1,[2]characters!$1:$1,0)-MATCH($A$1,[2]characters!$1:$1,0)+1,FALSE)</f>
        <v>フォルネウス</v>
      </c>
      <c r="U84" s="5">
        <f ca="1">IF(Q84="NULL","NULL",VLOOKUP(G84,ビット!$A$2:$B$7,2))</f>
        <v>20000</v>
      </c>
    </row>
    <row r="85" spans="1:21" ht="21" customHeight="1" x14ac:dyDescent="0.15">
      <c r="A85" s="83">
        <v>173</v>
      </c>
      <c r="B85" s="24" t="str">
        <f ca="1">VLOOKUP($A85,OFFSET([2]characters!$A$1,0,0,COUNTA([2]characters!$A:$A),MATCH(B$1,[2]characters!$1:$1,0)-MATCH($A$1,[2]characters!$1:$1,0)+1),MATCH(B$1,[2]characters!$1:$1,0)-MATCH($A$1,[2]characters!$1:$1,0)+1,FALSE)</f>
        <v>公爵 フォルネウス</v>
      </c>
      <c r="C85" s="24" t="str">
        <f ca="1">VLOOKUP($A85,OFFSET([2]characters!$A$1,0,0,COUNTA([2]characters!$A:$A),MATCH(C$1,[2]characters!$1:$1,0)-MATCH($A$1,[2]characters!$1:$1,0)+1),MATCH(C$1,[2]characters!$1:$1,0)-MATCH($A$1,[2]characters!$1:$1,0)+1,FALSE)</f>
        <v>初期ガチャ</v>
      </c>
      <c r="D85" s="24" t="str">
        <f ca="1">VLOOKUP($A85,OFFSET([2]characters!$A$1,0,0,COUNTA([2]characters!$A:$A),MATCH(D$1,[2]characters!$1:$1,0)-MATCH($A$1,[2]characters!$1:$1,0)+1),MATCH(D$1,[2]characters!$1:$1,0)-MATCH($A$1,[2]characters!$1:$1,0)+1,FALSE)</f>
        <v>執行者</v>
      </c>
      <c r="E85" s="24" t="str">
        <f ca="1">VLOOKUP($A85,OFFSET([2]characters!$A$1,0,0,COUNTA([2]characters!$A:$A),MATCH(E$1,[2]characters!$1:$1,0)-MATCH($A$1,[2]characters!$1:$1,0)+1),MATCH(E$1,[2]characters!$1:$1,0)-MATCH($A$1,[2]characters!$1:$1,0)+1,FALSE)</f>
        <v>可愛い</v>
      </c>
      <c r="F85" s="24" t="str">
        <f ca="1">VLOOKUP($A85,OFFSET([2]characters!$A$1,0,0,COUNTA([2]characters!$A:$A),MATCH(F$1,[2]characters!$1:$1,0)-MATCH($A$1,[2]characters!$1:$1,0)+1),MATCH(F$1,[2]characters!$1:$1,0)-MATCH($A$1,[2]characters!$1:$1,0)+1,FALSE)</f>
        <v>女性</v>
      </c>
      <c r="G85" s="24">
        <f ca="1">VLOOKUP($A85,OFFSET([2]characters!$A$1,0,0,COUNTA([2]characters!$A:$A),MATCH(G$1,[2]characters!$1:$1,0)-MATCH($A$1,[2]characters!$1:$1,0)+1),MATCH(G$1,[2]characters!$1:$1,0)-MATCH($A$1,[2]characters!$1:$1,0)+1,FALSE)</f>
        <v>4</v>
      </c>
      <c r="H85" s="24" t="str">
        <f ca="1">VLOOKUP($A85,OFFSET([2]characters!$A$1,0,0,COUNTA([2]characters!$A:$A),MATCH(H$1,[2]characters!$1:$1,0)-MATCH($A$1,[2]characters!$1:$1,0)+1),MATCH(H$1,[2]characters!$1:$1,0)-MATCH($A$1,[2]characters!$1:$1,0)+1,FALSE)</f>
        <v>PremiumN</v>
      </c>
      <c r="I85" s="24" t="str">
        <f ca="1">VLOOKUP($A85,OFFSET([2]characters!$A$1,0,0,COUNTA([2]characters!$A:$A),MATCH(I$1,[2]characters!$1:$1,0)-MATCH($A$1,[2]characters!$1:$1,0)+1),MATCH(I$1,[2]characters!$1:$1,0)-MATCH($A$1,[2]characters!$1:$1,0)+1,FALSE)</f>
        <v>blue</v>
      </c>
      <c r="J85" s="24" t="str">
        <f ca="1">VLOOKUP($A85,OFFSET([2]characters!$A$1,0,0,COUNTA([2]characters!$A:$A),MATCH(J$1,[2]characters!$1:$1,0)-MATCH($A$1,[2]characters!$1:$1,0)+1),MATCH(J$1,[2]characters!$1:$1,0)-MATCH($A$1,[2]characters!$1:$1,0)+1,FALSE)</f>
        <v>none</v>
      </c>
      <c r="K85" s="3" t="str">
        <f ca="1">VLOOKUP(J85,[2]character_tribe_i18n!$A:$H,3,FALSE)</f>
        <v>種族なし</v>
      </c>
      <c r="L85" s="5" t="e">
        <f>VLOOKUP(#REF!,[2]character_tribe_i18n!$A:$H,4,FALSE)</f>
        <v>#REF!</v>
      </c>
      <c r="M85" s="5" t="e">
        <f>VLOOKUP(#REF!,[2]character_tribe_i18n!$A:$H,5,FALSE)</f>
        <v>#REF!</v>
      </c>
      <c r="N85" s="5" t="e">
        <f>VLOOKUP(#REF!,[2]character_tribe_i18n!$A:$H,6,FALSE)</f>
        <v>#REF!</v>
      </c>
      <c r="O85" s="5" t="e">
        <f>VLOOKUP(#REF!,[2]character_tribe_i18n!$A:$H,7,FALSE)</f>
        <v>#REF!</v>
      </c>
      <c r="P85" s="83" t="s">
        <v>170</v>
      </c>
      <c r="Q85" s="4">
        <v>174</v>
      </c>
      <c r="R85" s="25" t="str">
        <f ca="1">IF(Q85="NULL","",VLOOKUP($Q85,OFFSET([2]characters!$A$1,0,0,COUNTA([2]characters!$A:$A),MATCH(R$1,[2]characters!$1:$1,0)-MATCH($A$1,[2]characters!$1:$1,0)+1),MATCH(R$1,[2]characters!$1:$1,0)-MATCH($A$1,[2]characters!$1:$1,0)+1,FALSE))</f>
        <v>偽愛の大公爵 フォルネウス</v>
      </c>
      <c r="S85" s="3">
        <f t="shared" ca="1" si="1"/>
        <v>172</v>
      </c>
      <c r="T85" s="25" t="str">
        <f ca="1">VLOOKUP($S85,OFFSET([2]characters!$A$1,0,0,COUNTA([2]characters!$A:$A),MATCH(T$1,[2]characters!$1:$1,0)-MATCH($A$1,[2]characters!$1:$1,0)+1),MATCH(T$1,[2]characters!$1:$1,0)-MATCH($A$1,[2]characters!$1:$1,0)+1,FALSE)</f>
        <v>フォルネウス</v>
      </c>
      <c r="U85" s="5">
        <f ca="1">IF(Q85="NULL","NULL",VLOOKUP(G85,ビット!$A$2:$B$7,2))</f>
        <v>50000</v>
      </c>
    </row>
    <row r="86" spans="1:21" ht="21" customHeight="1" x14ac:dyDescent="0.15">
      <c r="A86" s="83">
        <v>174</v>
      </c>
      <c r="B86" s="24" t="str">
        <f ca="1">VLOOKUP($A86,OFFSET([2]characters!$A$1,0,0,COUNTA([2]characters!$A:$A),MATCH(B$1,[2]characters!$1:$1,0)-MATCH($A$1,[2]characters!$1:$1,0)+1),MATCH(B$1,[2]characters!$1:$1,0)-MATCH($A$1,[2]characters!$1:$1,0)+1,FALSE)</f>
        <v>偽愛の大公爵 フォルネウス</v>
      </c>
      <c r="C86" s="24" t="str">
        <f ca="1">VLOOKUP($A86,OFFSET([2]characters!$A$1,0,0,COUNTA([2]characters!$A:$A),MATCH(C$1,[2]characters!$1:$1,0)-MATCH($A$1,[2]characters!$1:$1,0)+1),MATCH(C$1,[2]characters!$1:$1,0)-MATCH($A$1,[2]characters!$1:$1,0)+1,FALSE)</f>
        <v>初期ガチャ</v>
      </c>
      <c r="D86" s="24" t="str">
        <f ca="1">VLOOKUP($A86,OFFSET([2]characters!$A$1,0,0,COUNTA([2]characters!$A:$A),MATCH(D$1,[2]characters!$1:$1,0)-MATCH($A$1,[2]characters!$1:$1,0)+1),MATCH(D$1,[2]characters!$1:$1,0)-MATCH($A$1,[2]characters!$1:$1,0)+1,FALSE)</f>
        <v>執行者</v>
      </c>
      <c r="E86" s="24" t="str">
        <f ca="1">VLOOKUP($A86,OFFSET([2]characters!$A$1,0,0,COUNTA([2]characters!$A:$A),MATCH(E$1,[2]characters!$1:$1,0)-MATCH($A$1,[2]characters!$1:$1,0)+1),MATCH(E$1,[2]characters!$1:$1,0)-MATCH($A$1,[2]characters!$1:$1,0)+1,FALSE)</f>
        <v>可愛い</v>
      </c>
      <c r="F86" s="24" t="str">
        <f ca="1">VLOOKUP($A86,OFFSET([2]characters!$A$1,0,0,COUNTA([2]characters!$A:$A),MATCH(F$1,[2]characters!$1:$1,0)-MATCH($A$1,[2]characters!$1:$1,0)+1),MATCH(F$1,[2]characters!$1:$1,0)-MATCH($A$1,[2]characters!$1:$1,0)+1,FALSE)</f>
        <v>女性</v>
      </c>
      <c r="G86" s="24">
        <f ca="1">VLOOKUP($A86,OFFSET([2]characters!$A$1,0,0,COUNTA([2]characters!$A:$A),MATCH(G$1,[2]characters!$1:$1,0)-MATCH($A$1,[2]characters!$1:$1,0)+1),MATCH(G$1,[2]characters!$1:$1,0)-MATCH($A$1,[2]characters!$1:$1,0)+1,FALSE)</f>
        <v>5</v>
      </c>
      <c r="H86" s="24" t="str">
        <f ca="1">VLOOKUP($A86,OFFSET([2]characters!$A$1,0,0,COUNTA([2]characters!$A:$A),MATCH(H$1,[2]characters!$1:$1,0)-MATCH($A$1,[2]characters!$1:$1,0)+1),MATCH(H$1,[2]characters!$1:$1,0)-MATCH($A$1,[2]characters!$1:$1,0)+1,FALSE)</f>
        <v>PremiumN</v>
      </c>
      <c r="I86" s="24" t="str">
        <f ca="1">VLOOKUP($A86,OFFSET([2]characters!$A$1,0,0,COUNTA([2]characters!$A:$A),MATCH(I$1,[2]characters!$1:$1,0)-MATCH($A$1,[2]characters!$1:$1,0)+1),MATCH(I$1,[2]characters!$1:$1,0)-MATCH($A$1,[2]characters!$1:$1,0)+1,FALSE)</f>
        <v>blue</v>
      </c>
      <c r="J86" s="24" t="str">
        <f ca="1">VLOOKUP($A86,OFFSET([2]characters!$A$1,0,0,COUNTA([2]characters!$A:$A),MATCH(J$1,[2]characters!$1:$1,0)-MATCH($A$1,[2]characters!$1:$1,0)+1),MATCH(J$1,[2]characters!$1:$1,0)-MATCH($A$1,[2]characters!$1:$1,0)+1,FALSE)</f>
        <v>none</v>
      </c>
      <c r="K86" s="3" t="str">
        <f ca="1">VLOOKUP(J86,[2]character_tribe_i18n!$A:$H,3,FALSE)</f>
        <v>種族なし</v>
      </c>
      <c r="L86" s="5" t="e">
        <f>VLOOKUP(#REF!,[2]character_tribe_i18n!$A:$H,4,FALSE)</f>
        <v>#REF!</v>
      </c>
      <c r="M86" s="5" t="e">
        <f>VLOOKUP(#REF!,[2]character_tribe_i18n!$A:$H,5,FALSE)</f>
        <v>#REF!</v>
      </c>
      <c r="N86" s="5" t="e">
        <f>VLOOKUP(#REF!,[2]character_tribe_i18n!$A:$H,6,FALSE)</f>
        <v>#REF!</v>
      </c>
      <c r="O86" s="5" t="e">
        <f>VLOOKUP(#REF!,[2]character_tribe_i18n!$A:$H,7,FALSE)</f>
        <v>#REF!</v>
      </c>
      <c r="P86" s="83" t="s">
        <v>170</v>
      </c>
      <c r="Q86" s="4">
        <v>807</v>
      </c>
      <c r="R86" s="25" t="str">
        <f ca="1">IF(Q86="NULL","",VLOOKUP($Q86,OFFSET([2]characters!$A$1,0,0,COUNTA([2]characters!$A:$A),MATCH(R$1,[2]characters!$1:$1,0)-MATCH($A$1,[2]characters!$1:$1,0)+1),MATCH(R$1,[2]characters!$1:$1,0)-MATCH($A$1,[2]characters!$1:$1,0)+1,FALSE))</f>
        <v>襲愛の真公爵 フォルネウス</v>
      </c>
      <c r="S86" s="3">
        <f t="shared" ca="1" si="1"/>
        <v>172</v>
      </c>
      <c r="T86" s="25" t="str">
        <f ca="1">VLOOKUP($S86,OFFSET([2]characters!$A$1,0,0,COUNTA([2]characters!$A:$A),MATCH(T$1,[2]characters!$1:$1,0)-MATCH($A$1,[2]characters!$1:$1,0)+1),MATCH(T$1,[2]characters!$1:$1,0)-MATCH($A$1,[2]characters!$1:$1,0)+1,FALSE)</f>
        <v>フォルネウス</v>
      </c>
      <c r="U86" s="5">
        <f ca="1">IF(Q86="NULL","NULL",VLOOKUP(G86,ビット!$A$2:$B$7,2))</f>
        <v>200000</v>
      </c>
    </row>
    <row r="87" spans="1:21" ht="21" customHeight="1" x14ac:dyDescent="0.15">
      <c r="A87" s="83">
        <v>175</v>
      </c>
      <c r="B87" s="24" t="str">
        <f ca="1">VLOOKUP($A87,OFFSET([2]characters!$A$1,0,0,COUNTA([2]characters!$A:$A),MATCH(B$1,[2]characters!$1:$1,0)-MATCH($A$1,[2]characters!$1:$1,0)+1),MATCH(B$1,[2]characters!$1:$1,0)-MATCH($A$1,[2]characters!$1:$1,0)+1,FALSE)</f>
        <v>バフォメット</v>
      </c>
      <c r="C87" s="24" t="str">
        <f ca="1">VLOOKUP($A87,OFFSET([2]characters!$A$1,0,0,COUNTA([2]characters!$A:$A),MATCH(C$1,[2]characters!$1:$1,0)-MATCH($A$1,[2]characters!$1:$1,0)+1),MATCH(C$1,[2]characters!$1:$1,0)-MATCH($A$1,[2]characters!$1:$1,0)+1,FALSE)</f>
        <v>初期ガチャ</v>
      </c>
      <c r="D87" s="24" t="str">
        <f ca="1">VLOOKUP($A87,OFFSET([2]characters!$A$1,0,0,COUNTA([2]characters!$A:$A),MATCH(D$1,[2]characters!$1:$1,0)-MATCH($A$1,[2]characters!$1:$1,0)+1),MATCH(D$1,[2]characters!$1:$1,0)-MATCH($A$1,[2]characters!$1:$1,0)+1,FALSE)</f>
        <v>執行者</v>
      </c>
      <c r="E87" s="24" t="str">
        <f ca="1">VLOOKUP($A87,OFFSET([2]characters!$A$1,0,0,COUNTA([2]characters!$A:$A),MATCH(E$1,[2]characters!$1:$1,0)-MATCH($A$1,[2]characters!$1:$1,0)+1),MATCH(E$1,[2]characters!$1:$1,0)-MATCH($A$1,[2]characters!$1:$1,0)+1,FALSE)</f>
        <v>美しい</v>
      </c>
      <c r="F87" s="24" t="str">
        <f ca="1">VLOOKUP($A87,OFFSET([2]characters!$A$1,0,0,COUNTA([2]characters!$A:$A),MATCH(F$1,[2]characters!$1:$1,0)-MATCH($A$1,[2]characters!$1:$1,0)+1),MATCH(F$1,[2]characters!$1:$1,0)-MATCH($A$1,[2]characters!$1:$1,0)+1,FALSE)</f>
        <v>女性</v>
      </c>
      <c r="G87" s="24">
        <f ca="1">VLOOKUP($A87,OFFSET([2]characters!$A$1,0,0,COUNTA([2]characters!$A:$A),MATCH(G$1,[2]characters!$1:$1,0)-MATCH($A$1,[2]characters!$1:$1,0)+1),MATCH(G$1,[2]characters!$1:$1,0)-MATCH($A$1,[2]characters!$1:$1,0)+1,FALSE)</f>
        <v>3</v>
      </c>
      <c r="H87" s="24" t="str">
        <f ca="1">VLOOKUP($A87,OFFSET([2]characters!$A$1,0,0,COUNTA([2]characters!$A:$A),MATCH(H$1,[2]characters!$1:$1,0)-MATCH($A$1,[2]characters!$1:$1,0)+1),MATCH(H$1,[2]characters!$1:$1,0)-MATCH($A$1,[2]characters!$1:$1,0)+1,FALSE)</f>
        <v>PremiumN</v>
      </c>
      <c r="I87" s="24" t="str">
        <f ca="1">VLOOKUP($A87,OFFSET([2]characters!$A$1,0,0,COUNTA([2]characters!$A:$A),MATCH(I$1,[2]characters!$1:$1,0)-MATCH($A$1,[2]characters!$1:$1,0)+1),MATCH(I$1,[2]characters!$1:$1,0)-MATCH($A$1,[2]characters!$1:$1,0)+1,FALSE)</f>
        <v>yellow</v>
      </c>
      <c r="J87" s="24" t="str">
        <f ca="1">VLOOKUP($A87,OFFSET([2]characters!$A$1,0,0,COUNTA([2]characters!$A:$A),MATCH(J$1,[2]characters!$1:$1,0)-MATCH($A$1,[2]characters!$1:$1,0)+1),MATCH(J$1,[2]characters!$1:$1,0)-MATCH($A$1,[2]characters!$1:$1,0)+1,FALSE)</f>
        <v>none</v>
      </c>
      <c r="K87" s="3" t="str">
        <f ca="1">VLOOKUP(J87,[2]character_tribe_i18n!$A:$H,3,FALSE)</f>
        <v>種族なし</v>
      </c>
      <c r="L87" s="5" t="e">
        <f>VLOOKUP(#REF!,[2]character_tribe_i18n!$A:$H,4,FALSE)</f>
        <v>#REF!</v>
      </c>
      <c r="M87" s="5" t="e">
        <f>VLOOKUP(#REF!,[2]character_tribe_i18n!$A:$H,5,FALSE)</f>
        <v>#REF!</v>
      </c>
      <c r="N87" s="5" t="e">
        <f>VLOOKUP(#REF!,[2]character_tribe_i18n!$A:$H,6,FALSE)</f>
        <v>#REF!</v>
      </c>
      <c r="O87" s="5" t="e">
        <f>VLOOKUP(#REF!,[2]character_tribe_i18n!$A:$H,7,FALSE)</f>
        <v>#REF!</v>
      </c>
      <c r="P87" s="83" t="s">
        <v>170</v>
      </c>
      <c r="Q87" s="4">
        <v>176</v>
      </c>
      <c r="R87" s="25" t="str">
        <f ca="1">IF(Q87="NULL","",VLOOKUP($Q87,OFFSET([2]characters!$A$1,0,0,COUNTA([2]characters!$A:$A),MATCH(R$1,[2]characters!$1:$1,0)-MATCH($A$1,[2]characters!$1:$1,0)+1),MATCH(R$1,[2]characters!$1:$1,0)-MATCH($A$1,[2]characters!$1:$1,0)+1,FALSE))</f>
        <v>異教徒 バフォメット</v>
      </c>
      <c r="S87" s="3">
        <f t="shared" ca="1" si="1"/>
        <v>175</v>
      </c>
      <c r="T87" s="25" t="str">
        <f ca="1">VLOOKUP($S87,OFFSET([2]characters!$A$1,0,0,COUNTA([2]characters!$A:$A),MATCH(T$1,[2]characters!$1:$1,0)-MATCH($A$1,[2]characters!$1:$1,0)+1),MATCH(T$1,[2]characters!$1:$1,0)-MATCH($A$1,[2]characters!$1:$1,0)+1,FALSE)</f>
        <v>バフォメット</v>
      </c>
      <c r="U87" s="5">
        <f ca="1">IF(Q87="NULL","NULL",VLOOKUP(G87,ビット!$A$2:$B$7,2))</f>
        <v>20000</v>
      </c>
    </row>
    <row r="88" spans="1:21" ht="21" customHeight="1" x14ac:dyDescent="0.15">
      <c r="A88" s="83">
        <v>176</v>
      </c>
      <c r="B88" s="24" t="str">
        <f ca="1">VLOOKUP($A88,OFFSET([2]characters!$A$1,0,0,COUNTA([2]characters!$A:$A),MATCH(B$1,[2]characters!$1:$1,0)-MATCH($A$1,[2]characters!$1:$1,0)+1),MATCH(B$1,[2]characters!$1:$1,0)-MATCH($A$1,[2]characters!$1:$1,0)+1,FALSE)</f>
        <v>異教徒 バフォメット</v>
      </c>
      <c r="C88" s="24" t="str">
        <f ca="1">VLOOKUP($A88,OFFSET([2]characters!$A$1,0,0,COUNTA([2]characters!$A:$A),MATCH(C$1,[2]characters!$1:$1,0)-MATCH($A$1,[2]characters!$1:$1,0)+1),MATCH(C$1,[2]characters!$1:$1,0)-MATCH($A$1,[2]characters!$1:$1,0)+1,FALSE)</f>
        <v>初期ガチャ</v>
      </c>
      <c r="D88" s="24" t="str">
        <f ca="1">VLOOKUP($A88,OFFSET([2]characters!$A$1,0,0,COUNTA([2]characters!$A:$A),MATCH(D$1,[2]characters!$1:$1,0)-MATCH($A$1,[2]characters!$1:$1,0)+1),MATCH(D$1,[2]characters!$1:$1,0)-MATCH($A$1,[2]characters!$1:$1,0)+1,FALSE)</f>
        <v>執行者</v>
      </c>
      <c r="E88" s="24" t="str">
        <f ca="1">VLOOKUP($A88,OFFSET([2]characters!$A$1,0,0,COUNTA([2]characters!$A:$A),MATCH(E$1,[2]characters!$1:$1,0)-MATCH($A$1,[2]characters!$1:$1,0)+1),MATCH(E$1,[2]characters!$1:$1,0)-MATCH($A$1,[2]characters!$1:$1,0)+1,FALSE)</f>
        <v>美しい</v>
      </c>
      <c r="F88" s="24" t="str">
        <f ca="1">VLOOKUP($A88,OFFSET([2]characters!$A$1,0,0,COUNTA([2]characters!$A:$A),MATCH(F$1,[2]characters!$1:$1,0)-MATCH($A$1,[2]characters!$1:$1,0)+1),MATCH(F$1,[2]characters!$1:$1,0)-MATCH($A$1,[2]characters!$1:$1,0)+1,FALSE)</f>
        <v>女性</v>
      </c>
      <c r="G88" s="24">
        <f ca="1">VLOOKUP($A88,OFFSET([2]characters!$A$1,0,0,COUNTA([2]characters!$A:$A),MATCH(G$1,[2]characters!$1:$1,0)-MATCH($A$1,[2]characters!$1:$1,0)+1),MATCH(G$1,[2]characters!$1:$1,0)-MATCH($A$1,[2]characters!$1:$1,0)+1,FALSE)</f>
        <v>4</v>
      </c>
      <c r="H88" s="24" t="str">
        <f ca="1">VLOOKUP($A88,OFFSET([2]characters!$A$1,0,0,COUNTA([2]characters!$A:$A),MATCH(H$1,[2]characters!$1:$1,0)-MATCH($A$1,[2]characters!$1:$1,0)+1),MATCH(H$1,[2]characters!$1:$1,0)-MATCH($A$1,[2]characters!$1:$1,0)+1,FALSE)</f>
        <v>PremiumN</v>
      </c>
      <c r="I88" s="24" t="str">
        <f ca="1">VLOOKUP($A88,OFFSET([2]characters!$A$1,0,0,COUNTA([2]characters!$A:$A),MATCH(I$1,[2]characters!$1:$1,0)-MATCH($A$1,[2]characters!$1:$1,0)+1),MATCH(I$1,[2]characters!$1:$1,0)-MATCH($A$1,[2]characters!$1:$1,0)+1,FALSE)</f>
        <v>yellow</v>
      </c>
      <c r="J88" s="24" t="str">
        <f ca="1">VLOOKUP($A88,OFFSET([2]characters!$A$1,0,0,COUNTA([2]characters!$A:$A),MATCH(J$1,[2]characters!$1:$1,0)-MATCH($A$1,[2]characters!$1:$1,0)+1),MATCH(J$1,[2]characters!$1:$1,0)-MATCH($A$1,[2]characters!$1:$1,0)+1,FALSE)</f>
        <v>none</v>
      </c>
      <c r="K88" s="3" t="str">
        <f ca="1">VLOOKUP(J88,[2]character_tribe_i18n!$A:$H,3,FALSE)</f>
        <v>種族なし</v>
      </c>
      <c r="L88" s="5" t="e">
        <f>VLOOKUP(#REF!,[2]character_tribe_i18n!$A:$H,4,FALSE)</f>
        <v>#REF!</v>
      </c>
      <c r="M88" s="5" t="e">
        <f>VLOOKUP(#REF!,[2]character_tribe_i18n!$A:$H,5,FALSE)</f>
        <v>#REF!</v>
      </c>
      <c r="N88" s="5" t="e">
        <f>VLOOKUP(#REF!,[2]character_tribe_i18n!$A:$H,6,FALSE)</f>
        <v>#REF!</v>
      </c>
      <c r="O88" s="5" t="e">
        <f>VLOOKUP(#REF!,[2]character_tribe_i18n!$A:$H,7,FALSE)</f>
        <v>#REF!</v>
      </c>
      <c r="P88" s="83" t="s">
        <v>170</v>
      </c>
      <c r="Q88" s="4">
        <v>177</v>
      </c>
      <c r="R88" s="25" t="str">
        <f ca="1">IF(Q88="NULL","",VLOOKUP($Q88,OFFSET([2]characters!$A$1,0,0,COUNTA([2]characters!$A:$A),MATCH(R$1,[2]characters!$1:$1,0)-MATCH($A$1,[2]characters!$1:$1,0)+1),MATCH(R$1,[2]characters!$1:$1,0)-MATCH($A$1,[2]characters!$1:$1,0)+1,FALSE))</f>
        <v>黒魔の異端師 バフォメット</v>
      </c>
      <c r="S88" s="3">
        <f t="shared" ca="1" si="1"/>
        <v>175</v>
      </c>
      <c r="T88" s="25" t="str">
        <f ca="1">VLOOKUP($S88,OFFSET([2]characters!$A$1,0,0,COUNTA([2]characters!$A:$A),MATCH(T$1,[2]characters!$1:$1,0)-MATCH($A$1,[2]characters!$1:$1,0)+1),MATCH(T$1,[2]characters!$1:$1,0)-MATCH($A$1,[2]characters!$1:$1,0)+1,FALSE)</f>
        <v>バフォメット</v>
      </c>
      <c r="U88" s="5">
        <f ca="1">IF(Q88="NULL","NULL",VLOOKUP(G88,ビット!$A$2:$B$7,2))</f>
        <v>50000</v>
      </c>
    </row>
    <row r="89" spans="1:21" ht="21" customHeight="1" x14ac:dyDescent="0.15">
      <c r="A89" s="83">
        <v>178</v>
      </c>
      <c r="B89" s="24" t="str">
        <f ca="1">VLOOKUP($A89,OFFSET([2]characters!$A$1,0,0,COUNTA([2]characters!$A:$A),MATCH(B$1,[2]characters!$1:$1,0)-MATCH($A$1,[2]characters!$1:$1,0)+1),MATCH(B$1,[2]characters!$1:$1,0)-MATCH($A$1,[2]characters!$1:$1,0)+1,FALSE)</f>
        <v>ケルベロス</v>
      </c>
      <c r="C89" s="24" t="str">
        <f ca="1">VLOOKUP($A89,OFFSET([2]characters!$A$1,0,0,COUNTA([2]characters!$A:$A),MATCH(C$1,[2]characters!$1:$1,0)-MATCH($A$1,[2]characters!$1:$1,0)+1),MATCH(C$1,[2]characters!$1:$1,0)-MATCH($A$1,[2]characters!$1:$1,0)+1,FALSE)</f>
        <v>初期ガチャ</v>
      </c>
      <c r="D89" s="24" t="str">
        <f ca="1">VLOOKUP($A89,OFFSET([2]characters!$A$1,0,0,COUNTA([2]characters!$A:$A),MATCH(D$1,[2]characters!$1:$1,0)-MATCH($A$1,[2]characters!$1:$1,0)+1),MATCH(D$1,[2]characters!$1:$1,0)-MATCH($A$1,[2]characters!$1:$1,0)+1,FALSE)</f>
        <v>破界者</v>
      </c>
      <c r="E89" s="24" t="str">
        <f ca="1">VLOOKUP($A89,OFFSET([2]characters!$A$1,0,0,COUNTA([2]characters!$A:$A),MATCH(E$1,[2]characters!$1:$1,0)-MATCH($A$1,[2]characters!$1:$1,0)+1),MATCH(E$1,[2]characters!$1:$1,0)-MATCH($A$1,[2]characters!$1:$1,0)+1,FALSE)</f>
        <v>可愛い</v>
      </c>
      <c r="F89" s="24" t="str">
        <f ca="1">VLOOKUP($A89,OFFSET([2]characters!$A$1,0,0,COUNTA([2]characters!$A:$A),MATCH(F$1,[2]characters!$1:$1,0)-MATCH($A$1,[2]characters!$1:$1,0)+1),MATCH(F$1,[2]characters!$1:$1,0)-MATCH($A$1,[2]characters!$1:$1,0)+1,FALSE)</f>
        <v>女性</v>
      </c>
      <c r="G89" s="24">
        <f ca="1">VLOOKUP($A89,OFFSET([2]characters!$A$1,0,0,COUNTA([2]characters!$A:$A),MATCH(G$1,[2]characters!$1:$1,0)-MATCH($A$1,[2]characters!$1:$1,0)+1),MATCH(G$1,[2]characters!$1:$1,0)-MATCH($A$1,[2]characters!$1:$1,0)+1,FALSE)</f>
        <v>3</v>
      </c>
      <c r="H89" s="24" t="str">
        <f ca="1">VLOOKUP($A89,OFFSET([2]characters!$A$1,0,0,COUNTA([2]characters!$A:$A),MATCH(H$1,[2]characters!$1:$1,0)-MATCH($A$1,[2]characters!$1:$1,0)+1),MATCH(H$1,[2]characters!$1:$1,0)-MATCH($A$1,[2]characters!$1:$1,0)+1,FALSE)</f>
        <v>PremiumN</v>
      </c>
      <c r="I89" s="24" t="str">
        <f ca="1">VLOOKUP($A89,OFFSET([2]characters!$A$1,0,0,COUNTA([2]characters!$A:$A),MATCH(I$1,[2]characters!$1:$1,0)-MATCH($A$1,[2]characters!$1:$1,0)+1),MATCH(I$1,[2]characters!$1:$1,0)-MATCH($A$1,[2]characters!$1:$1,0)+1,FALSE)</f>
        <v>red</v>
      </c>
      <c r="J89" s="24" t="str">
        <f ca="1">VLOOKUP($A89,OFFSET([2]characters!$A$1,0,0,COUNTA([2]characters!$A:$A),MATCH(J$1,[2]characters!$1:$1,0)-MATCH($A$1,[2]characters!$1:$1,0)+1),MATCH(J$1,[2]characters!$1:$1,0)-MATCH($A$1,[2]characters!$1:$1,0)+1,FALSE)</f>
        <v>none</v>
      </c>
      <c r="K89" s="3" t="str">
        <f ca="1">VLOOKUP(J89,[2]character_tribe_i18n!$A:$H,3,FALSE)</f>
        <v>種族なし</v>
      </c>
      <c r="L89" s="5" t="e">
        <f>VLOOKUP(#REF!,[2]character_tribe_i18n!$A:$H,4,FALSE)</f>
        <v>#REF!</v>
      </c>
      <c r="M89" s="5" t="e">
        <f>VLOOKUP(#REF!,[2]character_tribe_i18n!$A:$H,5,FALSE)</f>
        <v>#REF!</v>
      </c>
      <c r="N89" s="5" t="e">
        <f>VLOOKUP(#REF!,[2]character_tribe_i18n!$A:$H,6,FALSE)</f>
        <v>#REF!</v>
      </c>
      <c r="O89" s="5" t="e">
        <f>VLOOKUP(#REF!,[2]character_tribe_i18n!$A:$H,7,FALSE)</f>
        <v>#REF!</v>
      </c>
      <c r="P89" s="83" t="s">
        <v>170</v>
      </c>
      <c r="Q89" s="4">
        <v>179</v>
      </c>
      <c r="R89" s="25" t="str">
        <f ca="1">IF(Q89="NULL","",VLOOKUP($Q89,OFFSET([2]characters!$A$1,0,0,COUNTA([2]characters!$A:$A),MATCH(R$1,[2]characters!$1:$1,0)-MATCH($A$1,[2]characters!$1:$1,0)+1),MATCH(R$1,[2]characters!$1:$1,0)-MATCH($A$1,[2]characters!$1:$1,0)+1,FALSE))</f>
        <v>番犬 ケルベロス</v>
      </c>
      <c r="S89" s="3">
        <f t="shared" ca="1" si="1"/>
        <v>178</v>
      </c>
      <c r="T89" s="25" t="str">
        <f ca="1">VLOOKUP($S89,OFFSET([2]characters!$A$1,0,0,COUNTA([2]characters!$A:$A),MATCH(T$1,[2]characters!$1:$1,0)-MATCH($A$1,[2]characters!$1:$1,0)+1),MATCH(T$1,[2]characters!$1:$1,0)-MATCH($A$1,[2]characters!$1:$1,0)+1,FALSE)</f>
        <v>ケルベロス</v>
      </c>
      <c r="U89" s="5">
        <f ca="1">IF(Q89="NULL","NULL",VLOOKUP(G89,ビット!$A$2:$B$7,2))</f>
        <v>20000</v>
      </c>
    </row>
    <row r="90" spans="1:21" ht="21" customHeight="1" x14ac:dyDescent="0.15">
      <c r="A90" s="83">
        <v>179</v>
      </c>
      <c r="B90" s="24" t="str">
        <f ca="1">VLOOKUP($A90,OFFSET([2]characters!$A$1,0,0,COUNTA([2]characters!$A:$A),MATCH(B$1,[2]characters!$1:$1,0)-MATCH($A$1,[2]characters!$1:$1,0)+1),MATCH(B$1,[2]characters!$1:$1,0)-MATCH($A$1,[2]characters!$1:$1,0)+1,FALSE)</f>
        <v>番犬 ケルベロス</v>
      </c>
      <c r="C90" s="24" t="str">
        <f ca="1">VLOOKUP($A90,OFFSET([2]characters!$A$1,0,0,COUNTA([2]characters!$A:$A),MATCH(C$1,[2]characters!$1:$1,0)-MATCH($A$1,[2]characters!$1:$1,0)+1),MATCH(C$1,[2]characters!$1:$1,0)-MATCH($A$1,[2]characters!$1:$1,0)+1,FALSE)</f>
        <v>初期ガチャ</v>
      </c>
      <c r="D90" s="24" t="str">
        <f ca="1">VLOOKUP($A90,OFFSET([2]characters!$A$1,0,0,COUNTA([2]characters!$A:$A),MATCH(D$1,[2]characters!$1:$1,0)-MATCH($A$1,[2]characters!$1:$1,0)+1),MATCH(D$1,[2]characters!$1:$1,0)-MATCH($A$1,[2]characters!$1:$1,0)+1,FALSE)</f>
        <v>破界者</v>
      </c>
      <c r="E90" s="24" t="str">
        <f ca="1">VLOOKUP($A90,OFFSET([2]characters!$A$1,0,0,COUNTA([2]characters!$A:$A),MATCH(E$1,[2]characters!$1:$1,0)-MATCH($A$1,[2]characters!$1:$1,0)+1),MATCH(E$1,[2]characters!$1:$1,0)-MATCH($A$1,[2]characters!$1:$1,0)+1,FALSE)</f>
        <v>可愛い</v>
      </c>
      <c r="F90" s="24" t="str">
        <f ca="1">VLOOKUP($A90,OFFSET([2]characters!$A$1,0,0,COUNTA([2]characters!$A:$A),MATCH(F$1,[2]characters!$1:$1,0)-MATCH($A$1,[2]characters!$1:$1,0)+1),MATCH(F$1,[2]characters!$1:$1,0)-MATCH($A$1,[2]characters!$1:$1,0)+1,FALSE)</f>
        <v>女性</v>
      </c>
      <c r="G90" s="24">
        <f ca="1">VLOOKUP($A90,OFFSET([2]characters!$A$1,0,0,COUNTA([2]characters!$A:$A),MATCH(G$1,[2]characters!$1:$1,0)-MATCH($A$1,[2]characters!$1:$1,0)+1),MATCH(G$1,[2]characters!$1:$1,0)-MATCH($A$1,[2]characters!$1:$1,0)+1,FALSE)</f>
        <v>4</v>
      </c>
      <c r="H90" s="24" t="str">
        <f ca="1">VLOOKUP($A90,OFFSET([2]characters!$A$1,0,0,COUNTA([2]characters!$A:$A),MATCH(H$1,[2]characters!$1:$1,0)-MATCH($A$1,[2]characters!$1:$1,0)+1),MATCH(H$1,[2]characters!$1:$1,0)-MATCH($A$1,[2]characters!$1:$1,0)+1,FALSE)</f>
        <v>PremiumN</v>
      </c>
      <c r="I90" s="24" t="str">
        <f ca="1">VLOOKUP($A90,OFFSET([2]characters!$A$1,0,0,COUNTA([2]characters!$A:$A),MATCH(I$1,[2]characters!$1:$1,0)-MATCH($A$1,[2]characters!$1:$1,0)+1),MATCH(I$1,[2]characters!$1:$1,0)-MATCH($A$1,[2]characters!$1:$1,0)+1,FALSE)</f>
        <v>red</v>
      </c>
      <c r="J90" s="24" t="str">
        <f ca="1">VLOOKUP($A90,OFFSET([2]characters!$A$1,0,0,COUNTA([2]characters!$A:$A),MATCH(J$1,[2]characters!$1:$1,0)-MATCH($A$1,[2]characters!$1:$1,0)+1),MATCH(J$1,[2]characters!$1:$1,0)-MATCH($A$1,[2]characters!$1:$1,0)+1,FALSE)</f>
        <v>none</v>
      </c>
      <c r="K90" s="3" t="str">
        <f ca="1">VLOOKUP(J90,[2]character_tribe_i18n!$A:$H,3,FALSE)</f>
        <v>種族なし</v>
      </c>
      <c r="L90" s="5" t="e">
        <f>VLOOKUP(#REF!,[2]character_tribe_i18n!$A:$H,4,FALSE)</f>
        <v>#REF!</v>
      </c>
      <c r="M90" s="5" t="e">
        <f>VLOOKUP(#REF!,[2]character_tribe_i18n!$A:$H,5,FALSE)</f>
        <v>#REF!</v>
      </c>
      <c r="N90" s="5" t="e">
        <f>VLOOKUP(#REF!,[2]character_tribe_i18n!$A:$H,6,FALSE)</f>
        <v>#REF!</v>
      </c>
      <c r="O90" s="5" t="e">
        <f>VLOOKUP(#REF!,[2]character_tribe_i18n!$A:$H,7,FALSE)</f>
        <v>#REF!</v>
      </c>
      <c r="P90" s="83" t="s">
        <v>170</v>
      </c>
      <c r="Q90" s="4">
        <v>180</v>
      </c>
      <c r="R90" s="25" t="str">
        <f ca="1">IF(Q90="NULL","",VLOOKUP($Q90,OFFSET([2]characters!$A$1,0,0,COUNTA([2]characters!$A:$A),MATCH(R$1,[2]characters!$1:$1,0)-MATCH($A$1,[2]characters!$1:$1,0)+1),MATCH(R$1,[2]characters!$1:$1,0)-MATCH($A$1,[2]characters!$1:$1,0)+1,FALSE))</f>
        <v>地獄の大門番 ケルベロス</v>
      </c>
      <c r="S90" s="3">
        <f t="shared" ca="1" si="1"/>
        <v>178</v>
      </c>
      <c r="T90" s="25" t="str">
        <f ca="1">VLOOKUP($S90,OFFSET([2]characters!$A$1,0,0,COUNTA([2]characters!$A:$A),MATCH(T$1,[2]characters!$1:$1,0)-MATCH($A$1,[2]characters!$1:$1,0)+1),MATCH(T$1,[2]characters!$1:$1,0)-MATCH($A$1,[2]characters!$1:$1,0)+1,FALSE)</f>
        <v>ケルベロス</v>
      </c>
      <c r="U90" s="5">
        <f ca="1">IF(Q90="NULL","NULL",VLOOKUP(G90,ビット!$A$2:$B$7,2))</f>
        <v>50000</v>
      </c>
    </row>
    <row r="91" spans="1:21" ht="21" customHeight="1" x14ac:dyDescent="0.15">
      <c r="A91" s="83">
        <v>181</v>
      </c>
      <c r="B91" s="24" t="str">
        <f ca="1">VLOOKUP($A91,OFFSET([2]characters!$A$1,0,0,COUNTA([2]characters!$A:$A),MATCH(B$1,[2]characters!$1:$1,0)-MATCH($A$1,[2]characters!$1:$1,0)+1),MATCH(B$1,[2]characters!$1:$1,0)-MATCH($A$1,[2]characters!$1:$1,0)+1,FALSE)</f>
        <v>ベヒモス</v>
      </c>
      <c r="C91" s="24" t="str">
        <f ca="1">VLOOKUP($A91,OFFSET([2]characters!$A$1,0,0,COUNTA([2]characters!$A:$A),MATCH(C$1,[2]characters!$1:$1,0)-MATCH($A$1,[2]characters!$1:$1,0)+1),MATCH(C$1,[2]characters!$1:$1,0)-MATCH($A$1,[2]characters!$1:$1,0)+1,FALSE)</f>
        <v>初期ガチャ</v>
      </c>
      <c r="D91" s="24" t="str">
        <f ca="1">VLOOKUP($A91,OFFSET([2]characters!$A$1,0,0,COUNTA([2]characters!$A:$A),MATCH(D$1,[2]characters!$1:$1,0)-MATCH($A$1,[2]characters!$1:$1,0)+1),MATCH(D$1,[2]characters!$1:$1,0)-MATCH($A$1,[2]characters!$1:$1,0)+1,FALSE)</f>
        <v>破界者</v>
      </c>
      <c r="E91" s="24" t="str">
        <f ca="1">VLOOKUP($A91,OFFSET([2]characters!$A$1,0,0,COUNTA([2]characters!$A:$A),MATCH(E$1,[2]characters!$1:$1,0)-MATCH($A$1,[2]characters!$1:$1,0)+1),MATCH(E$1,[2]characters!$1:$1,0)-MATCH($A$1,[2]characters!$1:$1,0)+1,FALSE)</f>
        <v>可愛い</v>
      </c>
      <c r="F91" s="24" t="str">
        <f ca="1">VLOOKUP($A91,OFFSET([2]characters!$A$1,0,0,COUNTA([2]characters!$A:$A),MATCH(F$1,[2]characters!$1:$1,0)-MATCH($A$1,[2]characters!$1:$1,0)+1),MATCH(F$1,[2]characters!$1:$1,0)-MATCH($A$1,[2]characters!$1:$1,0)+1,FALSE)</f>
        <v>女性</v>
      </c>
      <c r="G91" s="24">
        <f ca="1">VLOOKUP($A91,OFFSET([2]characters!$A$1,0,0,COUNTA([2]characters!$A:$A),MATCH(G$1,[2]characters!$1:$1,0)-MATCH($A$1,[2]characters!$1:$1,0)+1),MATCH(G$1,[2]characters!$1:$1,0)-MATCH($A$1,[2]characters!$1:$1,0)+1,FALSE)</f>
        <v>3</v>
      </c>
      <c r="H91" s="24" t="str">
        <f ca="1">VLOOKUP($A91,OFFSET([2]characters!$A$1,0,0,COUNTA([2]characters!$A:$A),MATCH(H$1,[2]characters!$1:$1,0)-MATCH($A$1,[2]characters!$1:$1,0)+1),MATCH(H$1,[2]characters!$1:$1,0)-MATCH($A$1,[2]characters!$1:$1,0)+1,FALSE)</f>
        <v>PremiumN</v>
      </c>
      <c r="I91" s="24" t="str">
        <f ca="1">VLOOKUP($A91,OFFSET([2]characters!$A$1,0,0,COUNTA([2]characters!$A:$A),MATCH(I$1,[2]characters!$1:$1,0)-MATCH($A$1,[2]characters!$1:$1,0)+1),MATCH(I$1,[2]characters!$1:$1,0)-MATCH($A$1,[2]characters!$1:$1,0)+1,FALSE)</f>
        <v>green</v>
      </c>
      <c r="J91" s="24" t="str">
        <f ca="1">VLOOKUP($A91,OFFSET([2]characters!$A$1,0,0,COUNTA([2]characters!$A:$A),MATCH(J$1,[2]characters!$1:$1,0)-MATCH($A$1,[2]characters!$1:$1,0)+1),MATCH(J$1,[2]characters!$1:$1,0)-MATCH($A$1,[2]characters!$1:$1,0)+1,FALSE)</f>
        <v>none</v>
      </c>
      <c r="K91" s="3" t="str">
        <f ca="1">VLOOKUP(J91,[2]character_tribe_i18n!$A:$H,3,FALSE)</f>
        <v>種族なし</v>
      </c>
      <c r="L91" s="5" t="e">
        <f>VLOOKUP(#REF!,[2]character_tribe_i18n!$A:$H,4,FALSE)</f>
        <v>#REF!</v>
      </c>
      <c r="M91" s="5" t="e">
        <f>VLOOKUP(#REF!,[2]character_tribe_i18n!$A:$H,5,FALSE)</f>
        <v>#REF!</v>
      </c>
      <c r="N91" s="5" t="e">
        <f>VLOOKUP(#REF!,[2]character_tribe_i18n!$A:$H,6,FALSE)</f>
        <v>#REF!</v>
      </c>
      <c r="O91" s="5" t="e">
        <f>VLOOKUP(#REF!,[2]character_tribe_i18n!$A:$H,7,FALSE)</f>
        <v>#REF!</v>
      </c>
      <c r="P91" s="83" t="s">
        <v>170</v>
      </c>
      <c r="Q91" s="4">
        <v>182</v>
      </c>
      <c r="R91" s="25" t="str">
        <f ca="1">IF(Q91="NULL","",VLOOKUP($Q91,OFFSET([2]characters!$A$1,0,0,COUNTA([2]characters!$A:$A),MATCH(R$1,[2]characters!$1:$1,0)-MATCH($A$1,[2]characters!$1:$1,0)+1),MATCH(R$1,[2]characters!$1:$1,0)-MATCH($A$1,[2]characters!$1:$1,0)+1,FALSE))</f>
        <v>放蕩者 ベヒモス</v>
      </c>
      <c r="S91" s="3">
        <f t="shared" ca="1" si="1"/>
        <v>181</v>
      </c>
      <c r="T91" s="25" t="str">
        <f ca="1">VLOOKUP($S91,OFFSET([2]characters!$A$1,0,0,COUNTA([2]characters!$A:$A),MATCH(T$1,[2]characters!$1:$1,0)-MATCH($A$1,[2]characters!$1:$1,0)+1),MATCH(T$1,[2]characters!$1:$1,0)-MATCH($A$1,[2]characters!$1:$1,0)+1,FALSE)</f>
        <v>ベヒモス</v>
      </c>
      <c r="U91" s="5">
        <f ca="1">IF(Q91="NULL","NULL",VLOOKUP(G91,ビット!$A$2:$B$7,2))</f>
        <v>20000</v>
      </c>
    </row>
    <row r="92" spans="1:21" ht="21" customHeight="1" x14ac:dyDescent="0.15">
      <c r="A92" s="83">
        <v>182</v>
      </c>
      <c r="B92" s="24" t="str">
        <f ca="1">VLOOKUP($A92,OFFSET([2]characters!$A$1,0,0,COUNTA([2]characters!$A:$A),MATCH(B$1,[2]characters!$1:$1,0)-MATCH($A$1,[2]characters!$1:$1,0)+1),MATCH(B$1,[2]characters!$1:$1,0)-MATCH($A$1,[2]characters!$1:$1,0)+1,FALSE)</f>
        <v>放蕩者 ベヒモス</v>
      </c>
      <c r="C92" s="24" t="str">
        <f ca="1">VLOOKUP($A92,OFFSET([2]characters!$A$1,0,0,COUNTA([2]characters!$A:$A),MATCH(C$1,[2]characters!$1:$1,0)-MATCH($A$1,[2]characters!$1:$1,0)+1),MATCH(C$1,[2]characters!$1:$1,0)-MATCH($A$1,[2]characters!$1:$1,0)+1,FALSE)</f>
        <v>初期ガチャ</v>
      </c>
      <c r="D92" s="24" t="str">
        <f ca="1">VLOOKUP($A92,OFFSET([2]characters!$A$1,0,0,COUNTA([2]characters!$A:$A),MATCH(D$1,[2]characters!$1:$1,0)-MATCH($A$1,[2]characters!$1:$1,0)+1),MATCH(D$1,[2]characters!$1:$1,0)-MATCH($A$1,[2]characters!$1:$1,0)+1,FALSE)</f>
        <v>破界者</v>
      </c>
      <c r="E92" s="24" t="str">
        <f ca="1">VLOOKUP($A92,OFFSET([2]characters!$A$1,0,0,COUNTA([2]characters!$A:$A),MATCH(E$1,[2]characters!$1:$1,0)-MATCH($A$1,[2]characters!$1:$1,0)+1),MATCH(E$1,[2]characters!$1:$1,0)-MATCH($A$1,[2]characters!$1:$1,0)+1,FALSE)</f>
        <v>可愛い</v>
      </c>
      <c r="F92" s="24" t="str">
        <f ca="1">VLOOKUP($A92,OFFSET([2]characters!$A$1,0,0,COUNTA([2]characters!$A:$A),MATCH(F$1,[2]characters!$1:$1,0)-MATCH($A$1,[2]characters!$1:$1,0)+1),MATCH(F$1,[2]characters!$1:$1,0)-MATCH($A$1,[2]characters!$1:$1,0)+1,FALSE)</f>
        <v>女性</v>
      </c>
      <c r="G92" s="24">
        <f ca="1">VLOOKUP($A92,OFFSET([2]characters!$A$1,0,0,COUNTA([2]characters!$A:$A),MATCH(G$1,[2]characters!$1:$1,0)-MATCH($A$1,[2]characters!$1:$1,0)+1),MATCH(G$1,[2]characters!$1:$1,0)-MATCH($A$1,[2]characters!$1:$1,0)+1,FALSE)</f>
        <v>4</v>
      </c>
      <c r="H92" s="24" t="str">
        <f ca="1">VLOOKUP($A92,OFFSET([2]characters!$A$1,0,0,COUNTA([2]characters!$A:$A),MATCH(H$1,[2]characters!$1:$1,0)-MATCH($A$1,[2]characters!$1:$1,0)+1),MATCH(H$1,[2]characters!$1:$1,0)-MATCH($A$1,[2]characters!$1:$1,0)+1,FALSE)</f>
        <v>PremiumN</v>
      </c>
      <c r="I92" s="24" t="str">
        <f ca="1">VLOOKUP($A92,OFFSET([2]characters!$A$1,0,0,COUNTA([2]characters!$A:$A),MATCH(I$1,[2]characters!$1:$1,0)-MATCH($A$1,[2]characters!$1:$1,0)+1),MATCH(I$1,[2]characters!$1:$1,0)-MATCH($A$1,[2]characters!$1:$1,0)+1,FALSE)</f>
        <v>green</v>
      </c>
      <c r="J92" s="24" t="str">
        <f ca="1">VLOOKUP($A92,OFFSET([2]characters!$A$1,0,0,COUNTA([2]characters!$A:$A),MATCH(J$1,[2]characters!$1:$1,0)-MATCH($A$1,[2]characters!$1:$1,0)+1),MATCH(J$1,[2]characters!$1:$1,0)-MATCH($A$1,[2]characters!$1:$1,0)+1,FALSE)</f>
        <v>none</v>
      </c>
      <c r="K92" s="3" t="str">
        <f ca="1">VLOOKUP(J92,[2]character_tribe_i18n!$A:$H,3,FALSE)</f>
        <v>種族なし</v>
      </c>
      <c r="L92" s="5" t="e">
        <f>VLOOKUP(#REF!,[2]character_tribe_i18n!$A:$H,4,FALSE)</f>
        <v>#REF!</v>
      </c>
      <c r="M92" s="5" t="e">
        <f>VLOOKUP(#REF!,[2]character_tribe_i18n!$A:$H,5,FALSE)</f>
        <v>#REF!</v>
      </c>
      <c r="N92" s="5" t="e">
        <f>VLOOKUP(#REF!,[2]character_tribe_i18n!$A:$H,6,FALSE)</f>
        <v>#REF!</v>
      </c>
      <c r="O92" s="5" t="e">
        <f>VLOOKUP(#REF!,[2]character_tribe_i18n!$A:$H,7,FALSE)</f>
        <v>#REF!</v>
      </c>
      <c r="P92" s="83" t="s">
        <v>170</v>
      </c>
      <c r="Q92" s="4">
        <v>183</v>
      </c>
      <c r="R92" s="25" t="str">
        <f ca="1">IF(Q92="NULL","",VLOOKUP($Q92,OFFSET([2]characters!$A$1,0,0,COUNTA([2]characters!$A:$A),MATCH(R$1,[2]characters!$1:$1,0)-MATCH($A$1,[2]characters!$1:$1,0)+1),MATCH(R$1,[2]characters!$1:$1,0)-MATCH($A$1,[2]characters!$1:$1,0)+1,FALSE))</f>
        <v>鈍重な彷徨者 ベヒモス</v>
      </c>
      <c r="S92" s="3">
        <f t="shared" ca="1" si="1"/>
        <v>181</v>
      </c>
      <c r="T92" s="25" t="str">
        <f ca="1">VLOOKUP($S92,OFFSET([2]characters!$A$1,0,0,COUNTA([2]characters!$A:$A),MATCH(T$1,[2]characters!$1:$1,0)-MATCH($A$1,[2]characters!$1:$1,0)+1),MATCH(T$1,[2]characters!$1:$1,0)-MATCH($A$1,[2]characters!$1:$1,0)+1,FALSE)</f>
        <v>ベヒモス</v>
      </c>
      <c r="U92" s="5">
        <f ca="1">IF(Q92="NULL","NULL",VLOOKUP(G92,ビット!$A$2:$B$7,2))</f>
        <v>50000</v>
      </c>
    </row>
    <row r="93" spans="1:21" ht="21" customHeight="1" x14ac:dyDescent="0.15">
      <c r="A93" s="83">
        <v>184</v>
      </c>
      <c r="B93" s="24" t="str">
        <f ca="1">VLOOKUP($A93,OFFSET([2]characters!$A$1,0,0,COUNTA([2]characters!$A:$A),MATCH(B$1,[2]characters!$1:$1,0)-MATCH($A$1,[2]characters!$1:$1,0)+1),MATCH(B$1,[2]characters!$1:$1,0)-MATCH($A$1,[2]characters!$1:$1,0)+1,FALSE)</f>
        <v>クラーケン</v>
      </c>
      <c r="C93" s="24" t="str">
        <f ca="1">VLOOKUP($A93,OFFSET([2]characters!$A$1,0,0,COUNTA([2]characters!$A:$A),MATCH(C$1,[2]characters!$1:$1,0)-MATCH($A$1,[2]characters!$1:$1,0)+1),MATCH(C$1,[2]characters!$1:$1,0)-MATCH($A$1,[2]characters!$1:$1,0)+1,FALSE)</f>
        <v>初期ガチャ</v>
      </c>
      <c r="D93" s="24" t="str">
        <f ca="1">VLOOKUP($A93,OFFSET([2]characters!$A$1,0,0,COUNTA([2]characters!$A:$A),MATCH(D$1,[2]characters!$1:$1,0)-MATCH($A$1,[2]characters!$1:$1,0)+1),MATCH(D$1,[2]characters!$1:$1,0)-MATCH($A$1,[2]characters!$1:$1,0)+1,FALSE)</f>
        <v>破界者</v>
      </c>
      <c r="E93" s="24" t="str">
        <f ca="1">VLOOKUP($A93,OFFSET([2]characters!$A$1,0,0,COUNTA([2]characters!$A:$A),MATCH(E$1,[2]characters!$1:$1,0)-MATCH($A$1,[2]characters!$1:$1,0)+1),MATCH(E$1,[2]characters!$1:$1,0)-MATCH($A$1,[2]characters!$1:$1,0)+1,FALSE)</f>
        <v>美しい</v>
      </c>
      <c r="F93" s="24" t="str">
        <f ca="1">VLOOKUP($A93,OFFSET([2]characters!$A$1,0,0,COUNTA([2]characters!$A:$A),MATCH(F$1,[2]characters!$1:$1,0)-MATCH($A$1,[2]characters!$1:$1,0)+1),MATCH(F$1,[2]characters!$1:$1,0)-MATCH($A$1,[2]characters!$1:$1,0)+1,FALSE)</f>
        <v>女性</v>
      </c>
      <c r="G93" s="24">
        <f ca="1">VLOOKUP($A93,OFFSET([2]characters!$A$1,0,0,COUNTA([2]characters!$A:$A),MATCH(G$1,[2]characters!$1:$1,0)-MATCH($A$1,[2]characters!$1:$1,0)+1),MATCH(G$1,[2]characters!$1:$1,0)-MATCH($A$1,[2]characters!$1:$1,0)+1,FALSE)</f>
        <v>3</v>
      </c>
      <c r="H93" s="24" t="str">
        <f ca="1">VLOOKUP($A93,OFFSET([2]characters!$A$1,0,0,COUNTA([2]characters!$A:$A),MATCH(H$1,[2]characters!$1:$1,0)-MATCH($A$1,[2]characters!$1:$1,0)+1),MATCH(H$1,[2]characters!$1:$1,0)-MATCH($A$1,[2]characters!$1:$1,0)+1,FALSE)</f>
        <v>PremiumN</v>
      </c>
      <c r="I93" s="24" t="str">
        <f ca="1">VLOOKUP($A93,OFFSET([2]characters!$A$1,0,0,COUNTA([2]characters!$A:$A),MATCH(I$1,[2]characters!$1:$1,0)-MATCH($A$1,[2]characters!$1:$1,0)+1),MATCH(I$1,[2]characters!$1:$1,0)-MATCH($A$1,[2]characters!$1:$1,0)+1,FALSE)</f>
        <v>blue</v>
      </c>
      <c r="J93" s="24" t="str">
        <f ca="1">VLOOKUP($A93,OFFSET([2]characters!$A$1,0,0,COUNTA([2]characters!$A:$A),MATCH(J$1,[2]characters!$1:$1,0)-MATCH($A$1,[2]characters!$1:$1,0)+1),MATCH(J$1,[2]characters!$1:$1,0)-MATCH($A$1,[2]characters!$1:$1,0)+1,FALSE)</f>
        <v>none</v>
      </c>
      <c r="K93" s="3" t="str">
        <f ca="1">VLOOKUP(J93,[2]character_tribe_i18n!$A:$H,3,FALSE)</f>
        <v>種族なし</v>
      </c>
      <c r="L93" s="5" t="e">
        <f>VLOOKUP(#REF!,[2]character_tribe_i18n!$A:$H,4,FALSE)</f>
        <v>#REF!</v>
      </c>
      <c r="M93" s="5" t="e">
        <f>VLOOKUP(#REF!,[2]character_tribe_i18n!$A:$H,5,FALSE)</f>
        <v>#REF!</v>
      </c>
      <c r="N93" s="5" t="e">
        <f>VLOOKUP(#REF!,[2]character_tribe_i18n!$A:$H,6,FALSE)</f>
        <v>#REF!</v>
      </c>
      <c r="O93" s="5" t="e">
        <f>VLOOKUP(#REF!,[2]character_tribe_i18n!$A:$H,7,FALSE)</f>
        <v>#REF!</v>
      </c>
      <c r="P93" s="83" t="s">
        <v>170</v>
      </c>
      <c r="Q93" s="4">
        <v>185</v>
      </c>
      <c r="R93" s="25" t="str">
        <f ca="1">IF(Q93="NULL","",VLOOKUP($Q93,OFFSET([2]characters!$A$1,0,0,COUNTA([2]characters!$A:$A),MATCH(R$1,[2]characters!$1:$1,0)-MATCH($A$1,[2]characters!$1:$1,0)+1),MATCH(R$1,[2]characters!$1:$1,0)-MATCH($A$1,[2]characters!$1:$1,0)+1,FALSE))</f>
        <v>海姫 クラーケン</v>
      </c>
      <c r="S93" s="3">
        <f t="shared" ca="1" si="1"/>
        <v>184</v>
      </c>
      <c r="T93" s="25" t="str">
        <f ca="1">VLOOKUP($S93,OFFSET([2]characters!$A$1,0,0,COUNTA([2]characters!$A:$A),MATCH(T$1,[2]characters!$1:$1,0)-MATCH($A$1,[2]characters!$1:$1,0)+1),MATCH(T$1,[2]characters!$1:$1,0)-MATCH($A$1,[2]characters!$1:$1,0)+1,FALSE)</f>
        <v>クラーケン</v>
      </c>
      <c r="U93" s="5">
        <f ca="1">IF(Q93="NULL","NULL",VLOOKUP(G93,ビット!$A$2:$B$7,2))</f>
        <v>20000</v>
      </c>
    </row>
    <row r="94" spans="1:21" ht="21" customHeight="1" x14ac:dyDescent="0.15">
      <c r="A94" s="83">
        <v>185</v>
      </c>
      <c r="B94" s="24" t="str">
        <f ca="1">VLOOKUP($A94,OFFSET([2]characters!$A$1,0,0,COUNTA([2]characters!$A:$A),MATCH(B$1,[2]characters!$1:$1,0)-MATCH($A$1,[2]characters!$1:$1,0)+1),MATCH(B$1,[2]characters!$1:$1,0)-MATCH($A$1,[2]characters!$1:$1,0)+1,FALSE)</f>
        <v>海姫 クラーケン</v>
      </c>
      <c r="C94" s="24" t="str">
        <f ca="1">VLOOKUP($A94,OFFSET([2]characters!$A$1,0,0,COUNTA([2]characters!$A:$A),MATCH(C$1,[2]characters!$1:$1,0)-MATCH($A$1,[2]characters!$1:$1,0)+1),MATCH(C$1,[2]characters!$1:$1,0)-MATCH($A$1,[2]characters!$1:$1,0)+1,FALSE)</f>
        <v>初期ガチャ</v>
      </c>
      <c r="D94" s="24" t="str">
        <f ca="1">VLOOKUP($A94,OFFSET([2]characters!$A$1,0,0,COUNTA([2]characters!$A:$A),MATCH(D$1,[2]characters!$1:$1,0)-MATCH($A$1,[2]characters!$1:$1,0)+1),MATCH(D$1,[2]characters!$1:$1,0)-MATCH($A$1,[2]characters!$1:$1,0)+1,FALSE)</f>
        <v>破界者</v>
      </c>
      <c r="E94" s="24" t="str">
        <f ca="1">VLOOKUP($A94,OFFSET([2]characters!$A$1,0,0,COUNTA([2]characters!$A:$A),MATCH(E$1,[2]characters!$1:$1,0)-MATCH($A$1,[2]characters!$1:$1,0)+1),MATCH(E$1,[2]characters!$1:$1,0)-MATCH($A$1,[2]characters!$1:$1,0)+1,FALSE)</f>
        <v>美しい</v>
      </c>
      <c r="F94" s="24" t="str">
        <f ca="1">VLOOKUP($A94,OFFSET([2]characters!$A$1,0,0,COUNTA([2]characters!$A:$A),MATCH(F$1,[2]characters!$1:$1,0)-MATCH($A$1,[2]characters!$1:$1,0)+1),MATCH(F$1,[2]characters!$1:$1,0)-MATCH($A$1,[2]characters!$1:$1,0)+1,FALSE)</f>
        <v>女性</v>
      </c>
      <c r="G94" s="24">
        <f ca="1">VLOOKUP($A94,OFFSET([2]characters!$A$1,0,0,COUNTA([2]characters!$A:$A),MATCH(G$1,[2]characters!$1:$1,0)-MATCH($A$1,[2]characters!$1:$1,0)+1),MATCH(G$1,[2]characters!$1:$1,0)-MATCH($A$1,[2]characters!$1:$1,0)+1,FALSE)</f>
        <v>4</v>
      </c>
      <c r="H94" s="24" t="str">
        <f ca="1">VLOOKUP($A94,OFFSET([2]characters!$A$1,0,0,COUNTA([2]characters!$A:$A),MATCH(H$1,[2]characters!$1:$1,0)-MATCH($A$1,[2]characters!$1:$1,0)+1),MATCH(H$1,[2]characters!$1:$1,0)-MATCH($A$1,[2]characters!$1:$1,0)+1,FALSE)</f>
        <v>PremiumN</v>
      </c>
      <c r="I94" s="24" t="str">
        <f ca="1">VLOOKUP($A94,OFFSET([2]characters!$A$1,0,0,COUNTA([2]characters!$A:$A),MATCH(I$1,[2]characters!$1:$1,0)-MATCH($A$1,[2]characters!$1:$1,0)+1),MATCH(I$1,[2]characters!$1:$1,0)-MATCH($A$1,[2]characters!$1:$1,0)+1,FALSE)</f>
        <v>blue</v>
      </c>
      <c r="J94" s="24" t="str">
        <f ca="1">VLOOKUP($A94,OFFSET([2]characters!$A$1,0,0,COUNTA([2]characters!$A:$A),MATCH(J$1,[2]characters!$1:$1,0)-MATCH($A$1,[2]characters!$1:$1,0)+1),MATCH(J$1,[2]characters!$1:$1,0)-MATCH($A$1,[2]characters!$1:$1,0)+1,FALSE)</f>
        <v>none</v>
      </c>
      <c r="K94" s="3" t="str">
        <f ca="1">VLOOKUP(J94,[2]character_tribe_i18n!$A:$H,3,FALSE)</f>
        <v>種族なし</v>
      </c>
      <c r="L94" s="5" t="e">
        <f>VLOOKUP(#REF!,[2]character_tribe_i18n!$A:$H,4,FALSE)</f>
        <v>#REF!</v>
      </c>
      <c r="M94" s="5" t="e">
        <f>VLOOKUP(#REF!,[2]character_tribe_i18n!$A:$H,5,FALSE)</f>
        <v>#REF!</v>
      </c>
      <c r="N94" s="5" t="e">
        <f>VLOOKUP(#REF!,[2]character_tribe_i18n!$A:$H,6,FALSE)</f>
        <v>#REF!</v>
      </c>
      <c r="O94" s="5" t="e">
        <f>VLOOKUP(#REF!,[2]character_tribe_i18n!$A:$H,7,FALSE)</f>
        <v>#REF!</v>
      </c>
      <c r="P94" s="83" t="s">
        <v>170</v>
      </c>
      <c r="Q94" s="4">
        <v>186</v>
      </c>
      <c r="R94" s="25" t="str">
        <f ca="1">IF(Q94="NULL","",VLOOKUP($Q94,OFFSET([2]characters!$A$1,0,0,COUNTA([2]characters!$A:$A),MATCH(R$1,[2]characters!$1:$1,0)-MATCH($A$1,[2]characters!$1:$1,0)+1),MATCH(R$1,[2]characters!$1:$1,0)-MATCH($A$1,[2]characters!$1:$1,0)+1,FALSE))</f>
        <v>誇り高き多触姫・クラーケン</v>
      </c>
      <c r="S94" s="3">
        <f t="shared" ca="1" si="1"/>
        <v>184</v>
      </c>
      <c r="T94" s="25" t="str">
        <f ca="1">VLOOKUP($S94,OFFSET([2]characters!$A$1,0,0,COUNTA([2]characters!$A:$A),MATCH(T$1,[2]characters!$1:$1,0)-MATCH($A$1,[2]characters!$1:$1,0)+1),MATCH(T$1,[2]characters!$1:$1,0)-MATCH($A$1,[2]characters!$1:$1,0)+1,FALSE)</f>
        <v>クラーケン</v>
      </c>
      <c r="U94" s="5">
        <f ca="1">IF(Q94="NULL","NULL",VLOOKUP(G94,ビット!$A$2:$B$7,2))</f>
        <v>50000</v>
      </c>
    </row>
    <row r="95" spans="1:21" ht="21" customHeight="1" x14ac:dyDescent="0.15">
      <c r="A95" s="83">
        <v>187</v>
      </c>
      <c r="B95" s="24" t="str">
        <f ca="1">VLOOKUP($A95,OFFSET([2]characters!$A$1,0,0,COUNTA([2]characters!$A:$A),MATCH(B$1,[2]characters!$1:$1,0)-MATCH($A$1,[2]characters!$1:$1,0)+1),MATCH(B$1,[2]characters!$1:$1,0)-MATCH($A$1,[2]characters!$1:$1,0)+1,FALSE)</f>
        <v>ホルス</v>
      </c>
      <c r="C95" s="24" t="str">
        <f ca="1">VLOOKUP($A95,OFFSET([2]characters!$A$1,0,0,COUNTA([2]characters!$A:$A),MATCH(C$1,[2]characters!$1:$1,0)-MATCH($A$1,[2]characters!$1:$1,0)+1),MATCH(C$1,[2]characters!$1:$1,0)-MATCH($A$1,[2]characters!$1:$1,0)+1,FALSE)</f>
        <v>初期ガチャ</v>
      </c>
      <c r="D95" s="24" t="str">
        <f ca="1">VLOOKUP($A95,OFFSET([2]characters!$A$1,0,0,COUNTA([2]characters!$A:$A),MATCH(D$1,[2]characters!$1:$1,0)-MATCH($A$1,[2]characters!$1:$1,0)+1),MATCH(D$1,[2]characters!$1:$1,0)-MATCH($A$1,[2]characters!$1:$1,0)+1,FALSE)</f>
        <v>破界者</v>
      </c>
      <c r="E95" s="24" t="str">
        <f ca="1">VLOOKUP($A95,OFFSET([2]characters!$A$1,0,0,COUNTA([2]characters!$A:$A),MATCH(E$1,[2]characters!$1:$1,0)-MATCH($A$1,[2]characters!$1:$1,0)+1),MATCH(E$1,[2]characters!$1:$1,0)-MATCH($A$1,[2]characters!$1:$1,0)+1,FALSE)</f>
        <v>美しい</v>
      </c>
      <c r="F95" s="24" t="str">
        <f ca="1">VLOOKUP($A95,OFFSET([2]characters!$A$1,0,0,COUNTA([2]characters!$A:$A),MATCH(F$1,[2]characters!$1:$1,0)-MATCH($A$1,[2]characters!$1:$1,0)+1),MATCH(F$1,[2]characters!$1:$1,0)-MATCH($A$1,[2]characters!$1:$1,0)+1,FALSE)</f>
        <v>女性</v>
      </c>
      <c r="G95" s="24">
        <f ca="1">VLOOKUP($A95,OFFSET([2]characters!$A$1,0,0,COUNTA([2]characters!$A:$A),MATCH(G$1,[2]characters!$1:$1,0)-MATCH($A$1,[2]characters!$1:$1,0)+1),MATCH(G$1,[2]characters!$1:$1,0)-MATCH($A$1,[2]characters!$1:$1,0)+1,FALSE)</f>
        <v>3</v>
      </c>
      <c r="H95" s="24" t="str">
        <f ca="1">VLOOKUP($A95,OFFSET([2]characters!$A$1,0,0,COUNTA([2]characters!$A:$A),MATCH(H$1,[2]characters!$1:$1,0)-MATCH($A$1,[2]characters!$1:$1,0)+1),MATCH(H$1,[2]characters!$1:$1,0)-MATCH($A$1,[2]characters!$1:$1,0)+1,FALSE)</f>
        <v>PremiumN</v>
      </c>
      <c r="I95" s="24" t="str">
        <f ca="1">VLOOKUP($A95,OFFSET([2]characters!$A$1,0,0,COUNTA([2]characters!$A:$A),MATCH(I$1,[2]characters!$1:$1,0)-MATCH($A$1,[2]characters!$1:$1,0)+1),MATCH(I$1,[2]characters!$1:$1,0)-MATCH($A$1,[2]characters!$1:$1,0)+1,FALSE)</f>
        <v>yellow</v>
      </c>
      <c r="J95" s="24" t="str">
        <f ca="1">VLOOKUP($A95,OFFSET([2]characters!$A$1,0,0,COUNTA([2]characters!$A:$A),MATCH(J$1,[2]characters!$1:$1,0)-MATCH($A$1,[2]characters!$1:$1,0)+1),MATCH(J$1,[2]characters!$1:$1,0)-MATCH($A$1,[2]characters!$1:$1,0)+1,FALSE)</f>
        <v>none</v>
      </c>
      <c r="K95" s="3" t="str">
        <f ca="1">VLOOKUP(J95,[2]character_tribe_i18n!$A:$H,3,FALSE)</f>
        <v>種族なし</v>
      </c>
      <c r="L95" s="5" t="e">
        <f>VLOOKUP(#REF!,[2]character_tribe_i18n!$A:$H,4,FALSE)</f>
        <v>#REF!</v>
      </c>
      <c r="M95" s="5" t="e">
        <f>VLOOKUP(#REF!,[2]character_tribe_i18n!$A:$H,5,FALSE)</f>
        <v>#REF!</v>
      </c>
      <c r="N95" s="5" t="e">
        <f>VLOOKUP(#REF!,[2]character_tribe_i18n!$A:$H,6,FALSE)</f>
        <v>#REF!</v>
      </c>
      <c r="O95" s="5" t="e">
        <f>VLOOKUP(#REF!,[2]character_tribe_i18n!$A:$H,7,FALSE)</f>
        <v>#REF!</v>
      </c>
      <c r="P95" s="83" t="s">
        <v>170</v>
      </c>
      <c r="Q95" s="4">
        <v>188</v>
      </c>
      <c r="R95" s="25" t="str">
        <f ca="1">IF(Q95="NULL","",VLOOKUP($Q95,OFFSET([2]characters!$A$1,0,0,COUNTA([2]characters!$A:$A),MATCH(R$1,[2]characters!$1:$1,0)-MATCH($A$1,[2]characters!$1:$1,0)+1),MATCH(R$1,[2]characters!$1:$1,0)-MATCH($A$1,[2]characters!$1:$1,0)+1,FALSE))</f>
        <v>猛禽 ホルス</v>
      </c>
      <c r="S95" s="3">
        <f t="shared" ca="1" si="1"/>
        <v>187</v>
      </c>
      <c r="T95" s="25" t="str">
        <f ca="1">VLOOKUP($S95,OFFSET([2]characters!$A$1,0,0,COUNTA([2]characters!$A:$A),MATCH(T$1,[2]characters!$1:$1,0)-MATCH($A$1,[2]characters!$1:$1,0)+1),MATCH(T$1,[2]characters!$1:$1,0)-MATCH($A$1,[2]characters!$1:$1,0)+1,FALSE)</f>
        <v>ホルス</v>
      </c>
      <c r="U95" s="5">
        <f ca="1">IF(Q95="NULL","NULL",VLOOKUP(G95,ビット!$A$2:$B$7,2))</f>
        <v>20000</v>
      </c>
    </row>
    <row r="96" spans="1:21" ht="21" customHeight="1" x14ac:dyDescent="0.15">
      <c r="A96" s="83">
        <v>188</v>
      </c>
      <c r="B96" s="24" t="str">
        <f ca="1">VLOOKUP($A96,OFFSET([2]characters!$A$1,0,0,COUNTA([2]characters!$A:$A),MATCH(B$1,[2]characters!$1:$1,0)-MATCH($A$1,[2]characters!$1:$1,0)+1),MATCH(B$1,[2]characters!$1:$1,0)-MATCH($A$1,[2]characters!$1:$1,0)+1,FALSE)</f>
        <v>猛禽 ホルス</v>
      </c>
      <c r="C96" s="24" t="str">
        <f ca="1">VLOOKUP($A96,OFFSET([2]characters!$A$1,0,0,COUNTA([2]characters!$A:$A),MATCH(C$1,[2]characters!$1:$1,0)-MATCH($A$1,[2]characters!$1:$1,0)+1),MATCH(C$1,[2]characters!$1:$1,0)-MATCH($A$1,[2]characters!$1:$1,0)+1,FALSE)</f>
        <v>初期ガチャ</v>
      </c>
      <c r="D96" s="24" t="str">
        <f ca="1">VLOOKUP($A96,OFFSET([2]characters!$A$1,0,0,COUNTA([2]characters!$A:$A),MATCH(D$1,[2]characters!$1:$1,0)-MATCH($A$1,[2]characters!$1:$1,0)+1),MATCH(D$1,[2]characters!$1:$1,0)-MATCH($A$1,[2]characters!$1:$1,0)+1,FALSE)</f>
        <v>破界者</v>
      </c>
      <c r="E96" s="24" t="str">
        <f ca="1">VLOOKUP($A96,OFFSET([2]characters!$A$1,0,0,COUNTA([2]characters!$A:$A),MATCH(E$1,[2]characters!$1:$1,0)-MATCH($A$1,[2]characters!$1:$1,0)+1),MATCH(E$1,[2]characters!$1:$1,0)-MATCH($A$1,[2]characters!$1:$1,0)+1,FALSE)</f>
        <v>美しい</v>
      </c>
      <c r="F96" s="24" t="str">
        <f ca="1">VLOOKUP($A96,OFFSET([2]characters!$A$1,0,0,COUNTA([2]characters!$A:$A),MATCH(F$1,[2]characters!$1:$1,0)-MATCH($A$1,[2]characters!$1:$1,0)+1),MATCH(F$1,[2]characters!$1:$1,0)-MATCH($A$1,[2]characters!$1:$1,0)+1,FALSE)</f>
        <v>女性</v>
      </c>
      <c r="G96" s="24">
        <f ca="1">VLOOKUP($A96,OFFSET([2]characters!$A$1,0,0,COUNTA([2]characters!$A:$A),MATCH(G$1,[2]characters!$1:$1,0)-MATCH($A$1,[2]characters!$1:$1,0)+1),MATCH(G$1,[2]characters!$1:$1,0)-MATCH($A$1,[2]characters!$1:$1,0)+1,FALSE)</f>
        <v>4</v>
      </c>
      <c r="H96" s="24" t="str">
        <f ca="1">VLOOKUP($A96,OFFSET([2]characters!$A$1,0,0,COUNTA([2]characters!$A:$A),MATCH(H$1,[2]characters!$1:$1,0)-MATCH($A$1,[2]characters!$1:$1,0)+1),MATCH(H$1,[2]characters!$1:$1,0)-MATCH($A$1,[2]characters!$1:$1,0)+1,FALSE)</f>
        <v>PremiumN</v>
      </c>
      <c r="I96" s="24" t="str">
        <f ca="1">VLOOKUP($A96,OFFSET([2]characters!$A$1,0,0,COUNTA([2]characters!$A:$A),MATCH(I$1,[2]characters!$1:$1,0)-MATCH($A$1,[2]characters!$1:$1,0)+1),MATCH(I$1,[2]characters!$1:$1,0)-MATCH($A$1,[2]characters!$1:$1,0)+1,FALSE)</f>
        <v>yellow</v>
      </c>
      <c r="J96" s="24" t="str">
        <f ca="1">VLOOKUP($A96,OFFSET([2]characters!$A$1,0,0,COUNTA([2]characters!$A:$A),MATCH(J$1,[2]characters!$1:$1,0)-MATCH($A$1,[2]characters!$1:$1,0)+1),MATCH(J$1,[2]characters!$1:$1,0)-MATCH($A$1,[2]characters!$1:$1,0)+1,FALSE)</f>
        <v>none</v>
      </c>
      <c r="K96" s="3" t="str">
        <f ca="1">VLOOKUP(J96,[2]character_tribe_i18n!$A:$H,3,FALSE)</f>
        <v>種族なし</v>
      </c>
      <c r="L96" s="5" t="e">
        <f>VLOOKUP(#REF!,[2]character_tribe_i18n!$A:$H,4,FALSE)</f>
        <v>#REF!</v>
      </c>
      <c r="M96" s="5" t="e">
        <f>VLOOKUP(#REF!,[2]character_tribe_i18n!$A:$H,5,FALSE)</f>
        <v>#REF!</v>
      </c>
      <c r="N96" s="5" t="e">
        <f>VLOOKUP(#REF!,[2]character_tribe_i18n!$A:$H,6,FALSE)</f>
        <v>#REF!</v>
      </c>
      <c r="O96" s="5" t="e">
        <f>VLOOKUP(#REF!,[2]character_tribe_i18n!$A:$H,7,FALSE)</f>
        <v>#REF!</v>
      </c>
      <c r="P96" s="83" t="s">
        <v>170</v>
      </c>
      <c r="Q96" s="4">
        <v>189</v>
      </c>
      <c r="R96" s="25" t="str">
        <f ca="1">IF(Q96="NULL","",VLOOKUP($Q96,OFFSET([2]characters!$A$1,0,0,COUNTA([2]characters!$A:$A),MATCH(R$1,[2]characters!$1:$1,0)-MATCH($A$1,[2]characters!$1:$1,0)+1),MATCH(R$1,[2]characters!$1:$1,0)-MATCH($A$1,[2]characters!$1:$1,0)+1,FALSE))</f>
        <v>迅雷の王禽 ホルス</v>
      </c>
      <c r="S96" s="3">
        <f t="shared" ca="1" si="1"/>
        <v>187</v>
      </c>
      <c r="T96" s="25" t="str">
        <f ca="1">VLOOKUP($S96,OFFSET([2]characters!$A$1,0,0,COUNTA([2]characters!$A:$A),MATCH(T$1,[2]characters!$1:$1,0)-MATCH($A$1,[2]characters!$1:$1,0)+1),MATCH(T$1,[2]characters!$1:$1,0)-MATCH($A$1,[2]characters!$1:$1,0)+1,FALSE)</f>
        <v>ホルス</v>
      </c>
      <c r="U96" s="5">
        <f ca="1">IF(Q96="NULL","NULL",VLOOKUP(G96,ビット!$A$2:$B$7,2))</f>
        <v>50000</v>
      </c>
    </row>
    <row r="97" spans="1:21" ht="21" customHeight="1" x14ac:dyDescent="0.15">
      <c r="A97" s="83">
        <v>190</v>
      </c>
      <c r="B97" s="24" t="str">
        <f ca="1">VLOOKUP($A97,OFFSET([2]characters!$A$1,0,0,COUNTA([2]characters!$A:$A),MATCH(B$1,[2]characters!$1:$1,0)-MATCH($A$1,[2]characters!$1:$1,0)+1),MATCH(B$1,[2]characters!$1:$1,0)-MATCH($A$1,[2]characters!$1:$1,0)+1,FALSE)</f>
        <v>卑弥呼</v>
      </c>
      <c r="C97" s="24" t="str">
        <f ca="1">VLOOKUP($A97,OFFSET([2]characters!$A$1,0,0,COUNTA([2]characters!$A:$A),MATCH(C$1,[2]characters!$1:$1,0)-MATCH($A$1,[2]characters!$1:$1,0)+1),MATCH(C$1,[2]characters!$1:$1,0)-MATCH($A$1,[2]characters!$1:$1,0)+1,FALSE)</f>
        <v>初期ガチャ</v>
      </c>
      <c r="D97" s="24" t="str">
        <f ca="1">VLOOKUP($A97,OFFSET([2]characters!$A$1,0,0,COUNTA([2]characters!$A:$A),MATCH(D$1,[2]characters!$1:$1,0)-MATCH($A$1,[2]characters!$1:$1,0)+1),MATCH(D$1,[2]characters!$1:$1,0)-MATCH($A$1,[2]characters!$1:$1,0)+1,FALSE)</f>
        <v>守護者</v>
      </c>
      <c r="E97" s="24" t="str">
        <f ca="1">VLOOKUP($A97,OFFSET([2]characters!$A$1,0,0,COUNTA([2]characters!$A:$A),MATCH(E$1,[2]characters!$1:$1,0)-MATCH($A$1,[2]characters!$1:$1,0)+1),MATCH(E$1,[2]characters!$1:$1,0)-MATCH($A$1,[2]characters!$1:$1,0)+1,FALSE)</f>
        <v>美しい</v>
      </c>
      <c r="F97" s="24" t="str">
        <f ca="1">VLOOKUP($A97,OFFSET([2]characters!$A$1,0,0,COUNTA([2]characters!$A:$A),MATCH(F$1,[2]characters!$1:$1,0)-MATCH($A$1,[2]characters!$1:$1,0)+1),MATCH(F$1,[2]characters!$1:$1,0)-MATCH($A$1,[2]characters!$1:$1,0)+1,FALSE)</f>
        <v>女性</v>
      </c>
      <c r="G97" s="24">
        <f ca="1">VLOOKUP($A97,OFFSET([2]characters!$A$1,0,0,COUNTA([2]characters!$A:$A),MATCH(G$1,[2]characters!$1:$1,0)-MATCH($A$1,[2]characters!$1:$1,0)+1),MATCH(G$1,[2]characters!$1:$1,0)-MATCH($A$1,[2]characters!$1:$1,0)+1,FALSE)</f>
        <v>3</v>
      </c>
      <c r="H97" s="24" t="str">
        <f ca="1">VLOOKUP($A97,OFFSET([2]characters!$A$1,0,0,COUNTA([2]characters!$A:$A),MATCH(H$1,[2]characters!$1:$1,0)-MATCH($A$1,[2]characters!$1:$1,0)+1),MATCH(H$1,[2]characters!$1:$1,0)-MATCH($A$1,[2]characters!$1:$1,0)+1,FALSE)</f>
        <v>PremiumN</v>
      </c>
      <c r="I97" s="24" t="str">
        <f ca="1">VLOOKUP($A97,OFFSET([2]characters!$A$1,0,0,COUNTA([2]characters!$A:$A),MATCH(I$1,[2]characters!$1:$1,0)-MATCH($A$1,[2]characters!$1:$1,0)+1),MATCH(I$1,[2]characters!$1:$1,0)-MATCH($A$1,[2]characters!$1:$1,0)+1,FALSE)</f>
        <v>red</v>
      </c>
      <c r="J97" s="24" t="str">
        <f ca="1">VLOOKUP($A97,OFFSET([2]characters!$A$1,0,0,COUNTA([2]characters!$A:$A),MATCH(J$1,[2]characters!$1:$1,0)-MATCH($A$1,[2]characters!$1:$1,0)+1),MATCH(J$1,[2]characters!$1:$1,0)-MATCH($A$1,[2]characters!$1:$1,0)+1,FALSE)</f>
        <v>none</v>
      </c>
      <c r="K97" s="3" t="str">
        <f ca="1">VLOOKUP(J97,[2]character_tribe_i18n!$A:$H,3,FALSE)</f>
        <v>種族なし</v>
      </c>
      <c r="L97" s="5" t="e">
        <f>VLOOKUP(#REF!,[2]character_tribe_i18n!$A:$H,4,FALSE)</f>
        <v>#REF!</v>
      </c>
      <c r="M97" s="5" t="e">
        <f>VLOOKUP(#REF!,[2]character_tribe_i18n!$A:$H,5,FALSE)</f>
        <v>#REF!</v>
      </c>
      <c r="N97" s="5" t="e">
        <f>VLOOKUP(#REF!,[2]character_tribe_i18n!$A:$H,6,FALSE)</f>
        <v>#REF!</v>
      </c>
      <c r="O97" s="5" t="e">
        <f>VLOOKUP(#REF!,[2]character_tribe_i18n!$A:$H,7,FALSE)</f>
        <v>#REF!</v>
      </c>
      <c r="P97" s="83" t="s">
        <v>170</v>
      </c>
      <c r="Q97" s="4">
        <v>191</v>
      </c>
      <c r="R97" s="25" t="str">
        <f ca="1">IF(Q97="NULL","",VLOOKUP($Q97,OFFSET([2]characters!$A$1,0,0,COUNTA([2]characters!$A:$A),MATCH(R$1,[2]characters!$1:$1,0)-MATCH($A$1,[2]characters!$1:$1,0)+1),MATCH(R$1,[2]characters!$1:$1,0)-MATCH($A$1,[2]characters!$1:$1,0)+1,FALSE))</f>
        <v>始祖 卑弥呼</v>
      </c>
      <c r="S97" s="3">
        <f t="shared" ca="1" si="1"/>
        <v>190</v>
      </c>
      <c r="T97" s="25" t="str">
        <f ca="1">VLOOKUP($S97,OFFSET([2]characters!$A$1,0,0,COUNTA([2]characters!$A:$A),MATCH(T$1,[2]characters!$1:$1,0)-MATCH($A$1,[2]characters!$1:$1,0)+1),MATCH(T$1,[2]characters!$1:$1,0)-MATCH($A$1,[2]characters!$1:$1,0)+1,FALSE)</f>
        <v>卑弥呼</v>
      </c>
      <c r="U97" s="5">
        <f ca="1">IF(Q97="NULL","NULL",VLOOKUP(G97,ビット!$A$2:$B$7,2))</f>
        <v>20000</v>
      </c>
    </row>
    <row r="98" spans="1:21" ht="21" customHeight="1" x14ac:dyDescent="0.15">
      <c r="A98" s="83">
        <v>191</v>
      </c>
      <c r="B98" s="24" t="str">
        <f ca="1">VLOOKUP($A98,OFFSET([2]characters!$A$1,0,0,COUNTA([2]characters!$A:$A),MATCH(B$1,[2]characters!$1:$1,0)-MATCH($A$1,[2]characters!$1:$1,0)+1),MATCH(B$1,[2]characters!$1:$1,0)-MATCH($A$1,[2]characters!$1:$1,0)+1,FALSE)</f>
        <v>始祖 卑弥呼</v>
      </c>
      <c r="C98" s="24" t="str">
        <f ca="1">VLOOKUP($A98,OFFSET([2]characters!$A$1,0,0,COUNTA([2]characters!$A:$A),MATCH(C$1,[2]characters!$1:$1,0)-MATCH($A$1,[2]characters!$1:$1,0)+1),MATCH(C$1,[2]characters!$1:$1,0)-MATCH($A$1,[2]characters!$1:$1,0)+1,FALSE)</f>
        <v>初期ガチャ</v>
      </c>
      <c r="D98" s="24" t="str">
        <f ca="1">VLOOKUP($A98,OFFSET([2]characters!$A$1,0,0,COUNTA([2]characters!$A:$A),MATCH(D$1,[2]characters!$1:$1,0)-MATCH($A$1,[2]characters!$1:$1,0)+1),MATCH(D$1,[2]characters!$1:$1,0)-MATCH($A$1,[2]characters!$1:$1,0)+1,FALSE)</f>
        <v>守護者</v>
      </c>
      <c r="E98" s="24" t="str">
        <f ca="1">VLOOKUP($A98,OFFSET([2]characters!$A$1,0,0,COUNTA([2]characters!$A:$A),MATCH(E$1,[2]characters!$1:$1,0)-MATCH($A$1,[2]characters!$1:$1,0)+1),MATCH(E$1,[2]characters!$1:$1,0)-MATCH($A$1,[2]characters!$1:$1,0)+1,FALSE)</f>
        <v>美しい</v>
      </c>
      <c r="F98" s="24" t="str">
        <f ca="1">VLOOKUP($A98,OFFSET([2]characters!$A$1,0,0,COUNTA([2]characters!$A:$A),MATCH(F$1,[2]characters!$1:$1,0)-MATCH($A$1,[2]characters!$1:$1,0)+1),MATCH(F$1,[2]characters!$1:$1,0)-MATCH($A$1,[2]characters!$1:$1,0)+1,FALSE)</f>
        <v>女性</v>
      </c>
      <c r="G98" s="24">
        <f ca="1">VLOOKUP($A98,OFFSET([2]characters!$A$1,0,0,COUNTA([2]characters!$A:$A),MATCH(G$1,[2]characters!$1:$1,0)-MATCH($A$1,[2]characters!$1:$1,0)+1),MATCH(G$1,[2]characters!$1:$1,0)-MATCH($A$1,[2]characters!$1:$1,0)+1,FALSE)</f>
        <v>4</v>
      </c>
      <c r="H98" s="24" t="str">
        <f ca="1">VLOOKUP($A98,OFFSET([2]characters!$A$1,0,0,COUNTA([2]characters!$A:$A),MATCH(H$1,[2]characters!$1:$1,0)-MATCH($A$1,[2]characters!$1:$1,0)+1),MATCH(H$1,[2]characters!$1:$1,0)-MATCH($A$1,[2]characters!$1:$1,0)+1,FALSE)</f>
        <v>PremiumN</v>
      </c>
      <c r="I98" s="24" t="str">
        <f ca="1">VLOOKUP($A98,OFFSET([2]characters!$A$1,0,0,COUNTA([2]characters!$A:$A),MATCH(I$1,[2]characters!$1:$1,0)-MATCH($A$1,[2]characters!$1:$1,0)+1),MATCH(I$1,[2]characters!$1:$1,0)-MATCH($A$1,[2]characters!$1:$1,0)+1,FALSE)</f>
        <v>red</v>
      </c>
      <c r="J98" s="24" t="str">
        <f ca="1">VLOOKUP($A98,OFFSET([2]characters!$A$1,0,0,COUNTA([2]characters!$A:$A),MATCH(J$1,[2]characters!$1:$1,0)-MATCH($A$1,[2]characters!$1:$1,0)+1),MATCH(J$1,[2]characters!$1:$1,0)-MATCH($A$1,[2]characters!$1:$1,0)+1,FALSE)</f>
        <v>none</v>
      </c>
      <c r="K98" s="3" t="str">
        <f ca="1">VLOOKUP(J98,[2]character_tribe_i18n!$A:$H,3,FALSE)</f>
        <v>種族なし</v>
      </c>
      <c r="L98" s="5" t="e">
        <f>VLOOKUP(#REF!,[2]character_tribe_i18n!$A:$H,4,FALSE)</f>
        <v>#REF!</v>
      </c>
      <c r="M98" s="5" t="e">
        <f>VLOOKUP(#REF!,[2]character_tribe_i18n!$A:$H,5,FALSE)</f>
        <v>#REF!</v>
      </c>
      <c r="N98" s="5" t="e">
        <f>VLOOKUP(#REF!,[2]character_tribe_i18n!$A:$H,6,FALSE)</f>
        <v>#REF!</v>
      </c>
      <c r="O98" s="5" t="e">
        <f>VLOOKUP(#REF!,[2]character_tribe_i18n!$A:$H,7,FALSE)</f>
        <v>#REF!</v>
      </c>
      <c r="P98" s="83" t="s">
        <v>170</v>
      </c>
      <c r="Q98" s="4">
        <v>192</v>
      </c>
      <c r="R98" s="25" t="str">
        <f ca="1">IF(Q98="NULL","",VLOOKUP($Q98,OFFSET([2]characters!$A$1,0,0,COUNTA([2]characters!$A:$A),MATCH(R$1,[2]characters!$1:$1,0)-MATCH($A$1,[2]characters!$1:$1,0)+1),MATCH(R$1,[2]characters!$1:$1,0)-MATCH($A$1,[2]characters!$1:$1,0)+1,FALSE))</f>
        <v>荘厳なる始祖帝 卑弥呼</v>
      </c>
      <c r="S98" s="3">
        <f t="shared" ca="1" si="1"/>
        <v>190</v>
      </c>
      <c r="T98" s="25" t="str">
        <f ca="1">VLOOKUP($S98,OFFSET([2]characters!$A$1,0,0,COUNTA([2]characters!$A:$A),MATCH(T$1,[2]characters!$1:$1,0)-MATCH($A$1,[2]characters!$1:$1,0)+1),MATCH(T$1,[2]characters!$1:$1,0)-MATCH($A$1,[2]characters!$1:$1,0)+1,FALSE)</f>
        <v>卑弥呼</v>
      </c>
      <c r="U98" s="5">
        <f ca="1">IF(Q98="NULL","NULL",VLOOKUP(G98,ビット!$A$2:$B$7,2))</f>
        <v>50000</v>
      </c>
    </row>
    <row r="99" spans="1:21" ht="21" customHeight="1" x14ac:dyDescent="0.15">
      <c r="A99" s="83">
        <v>193</v>
      </c>
      <c r="B99" s="24" t="str">
        <f ca="1">VLOOKUP($A99,OFFSET([2]characters!$A$1,0,0,COUNTA([2]characters!$A:$A),MATCH(B$1,[2]characters!$1:$1,0)-MATCH($A$1,[2]characters!$1:$1,0)+1),MATCH(B$1,[2]characters!$1:$1,0)-MATCH($A$1,[2]characters!$1:$1,0)+1,FALSE)</f>
        <v>ロビンフッド</v>
      </c>
      <c r="C99" s="24" t="str">
        <f ca="1">VLOOKUP($A99,OFFSET([2]characters!$A$1,0,0,COUNTA([2]characters!$A:$A),MATCH(C$1,[2]characters!$1:$1,0)-MATCH($A$1,[2]characters!$1:$1,0)+1),MATCH(C$1,[2]characters!$1:$1,0)-MATCH($A$1,[2]characters!$1:$1,0)+1,FALSE)</f>
        <v>初期ガチャ</v>
      </c>
      <c r="D99" s="24" t="str">
        <f ca="1">VLOOKUP($A99,OFFSET([2]characters!$A$1,0,0,COUNTA([2]characters!$A:$A),MATCH(D$1,[2]characters!$1:$1,0)-MATCH($A$1,[2]characters!$1:$1,0)+1),MATCH(D$1,[2]characters!$1:$1,0)-MATCH($A$1,[2]characters!$1:$1,0)+1,FALSE)</f>
        <v>守護者</v>
      </c>
      <c r="E99" s="24" t="str">
        <f ca="1">VLOOKUP($A99,OFFSET([2]characters!$A$1,0,0,COUNTA([2]characters!$A:$A),MATCH(E$1,[2]characters!$1:$1,0)-MATCH($A$1,[2]characters!$1:$1,0)+1),MATCH(E$1,[2]characters!$1:$1,0)-MATCH($A$1,[2]characters!$1:$1,0)+1,FALSE)</f>
        <v>可愛い</v>
      </c>
      <c r="F99" s="24" t="str">
        <f ca="1">VLOOKUP($A99,OFFSET([2]characters!$A$1,0,0,COUNTA([2]characters!$A:$A),MATCH(F$1,[2]characters!$1:$1,0)-MATCH($A$1,[2]characters!$1:$1,0)+1),MATCH(F$1,[2]characters!$1:$1,0)-MATCH($A$1,[2]characters!$1:$1,0)+1,FALSE)</f>
        <v>女性</v>
      </c>
      <c r="G99" s="24">
        <f ca="1">VLOOKUP($A99,OFFSET([2]characters!$A$1,0,0,COUNTA([2]characters!$A:$A),MATCH(G$1,[2]characters!$1:$1,0)-MATCH($A$1,[2]characters!$1:$1,0)+1),MATCH(G$1,[2]characters!$1:$1,0)-MATCH($A$1,[2]characters!$1:$1,0)+1,FALSE)</f>
        <v>3</v>
      </c>
      <c r="H99" s="24" t="str">
        <f ca="1">VLOOKUP($A99,OFFSET([2]characters!$A$1,0,0,COUNTA([2]characters!$A:$A),MATCH(H$1,[2]characters!$1:$1,0)-MATCH($A$1,[2]characters!$1:$1,0)+1),MATCH(H$1,[2]characters!$1:$1,0)-MATCH($A$1,[2]characters!$1:$1,0)+1,FALSE)</f>
        <v>PremiumN</v>
      </c>
      <c r="I99" s="24" t="str">
        <f ca="1">VLOOKUP($A99,OFFSET([2]characters!$A$1,0,0,COUNTA([2]characters!$A:$A),MATCH(I$1,[2]characters!$1:$1,0)-MATCH($A$1,[2]characters!$1:$1,0)+1),MATCH(I$1,[2]characters!$1:$1,0)-MATCH($A$1,[2]characters!$1:$1,0)+1,FALSE)</f>
        <v>green</v>
      </c>
      <c r="J99" s="24" t="str">
        <f ca="1">VLOOKUP($A99,OFFSET([2]characters!$A$1,0,0,COUNTA([2]characters!$A:$A),MATCH(J$1,[2]characters!$1:$1,0)-MATCH($A$1,[2]characters!$1:$1,0)+1),MATCH(J$1,[2]characters!$1:$1,0)-MATCH($A$1,[2]characters!$1:$1,0)+1,FALSE)</f>
        <v>none</v>
      </c>
      <c r="K99" s="3" t="str">
        <f ca="1">VLOOKUP(J99,[2]character_tribe_i18n!$A:$H,3,FALSE)</f>
        <v>種族なし</v>
      </c>
      <c r="L99" s="5" t="e">
        <f>VLOOKUP(#REF!,[2]character_tribe_i18n!$A:$H,4,FALSE)</f>
        <v>#REF!</v>
      </c>
      <c r="M99" s="5" t="e">
        <f>VLOOKUP(#REF!,[2]character_tribe_i18n!$A:$H,5,FALSE)</f>
        <v>#REF!</v>
      </c>
      <c r="N99" s="5" t="e">
        <f>VLOOKUP(#REF!,[2]character_tribe_i18n!$A:$H,6,FALSE)</f>
        <v>#REF!</v>
      </c>
      <c r="O99" s="5" t="e">
        <f>VLOOKUP(#REF!,[2]character_tribe_i18n!$A:$H,7,FALSE)</f>
        <v>#REF!</v>
      </c>
      <c r="P99" s="83" t="s">
        <v>170</v>
      </c>
      <c r="Q99" s="4">
        <v>194</v>
      </c>
      <c r="R99" s="25" t="str">
        <f ca="1">IF(Q99="NULL","",VLOOKUP($Q99,OFFSET([2]characters!$A$1,0,0,COUNTA([2]characters!$A:$A),MATCH(R$1,[2]characters!$1:$1,0)-MATCH($A$1,[2]characters!$1:$1,0)+1),MATCH(R$1,[2]characters!$1:$1,0)-MATCH($A$1,[2]characters!$1:$1,0)+1,FALSE))</f>
        <v>スナイパー ロビンフッド</v>
      </c>
      <c r="S99" s="3">
        <f t="shared" ca="1" si="1"/>
        <v>193</v>
      </c>
      <c r="T99" s="25" t="str">
        <f ca="1">VLOOKUP($S99,OFFSET([2]characters!$A$1,0,0,COUNTA([2]characters!$A:$A),MATCH(T$1,[2]characters!$1:$1,0)-MATCH($A$1,[2]characters!$1:$1,0)+1),MATCH(T$1,[2]characters!$1:$1,0)-MATCH($A$1,[2]characters!$1:$1,0)+1,FALSE)</f>
        <v>ロビンフッド</v>
      </c>
      <c r="U99" s="5">
        <f ca="1">IF(Q99="NULL","NULL",VLOOKUP(G99,ビット!$A$2:$B$7,2))</f>
        <v>20000</v>
      </c>
    </row>
    <row r="100" spans="1:21" ht="21" customHeight="1" x14ac:dyDescent="0.15">
      <c r="A100" s="83">
        <v>194</v>
      </c>
      <c r="B100" s="24" t="str">
        <f ca="1">VLOOKUP($A100,OFFSET([2]characters!$A$1,0,0,COUNTA([2]characters!$A:$A),MATCH(B$1,[2]characters!$1:$1,0)-MATCH($A$1,[2]characters!$1:$1,0)+1),MATCH(B$1,[2]characters!$1:$1,0)-MATCH($A$1,[2]characters!$1:$1,0)+1,FALSE)</f>
        <v>スナイパー ロビンフッド</v>
      </c>
      <c r="C100" s="24" t="str">
        <f ca="1">VLOOKUP($A100,OFFSET([2]characters!$A$1,0,0,COUNTA([2]characters!$A:$A),MATCH(C$1,[2]characters!$1:$1,0)-MATCH($A$1,[2]characters!$1:$1,0)+1),MATCH(C$1,[2]characters!$1:$1,0)-MATCH($A$1,[2]characters!$1:$1,0)+1,FALSE)</f>
        <v>初期ガチャ</v>
      </c>
      <c r="D100" s="24" t="str">
        <f ca="1">VLOOKUP($A100,OFFSET([2]characters!$A$1,0,0,COUNTA([2]characters!$A:$A),MATCH(D$1,[2]characters!$1:$1,0)-MATCH($A$1,[2]characters!$1:$1,0)+1),MATCH(D$1,[2]characters!$1:$1,0)-MATCH($A$1,[2]characters!$1:$1,0)+1,FALSE)</f>
        <v>守護者</v>
      </c>
      <c r="E100" s="24" t="str">
        <f ca="1">VLOOKUP($A100,OFFSET([2]characters!$A$1,0,0,COUNTA([2]characters!$A:$A),MATCH(E$1,[2]characters!$1:$1,0)-MATCH($A$1,[2]characters!$1:$1,0)+1),MATCH(E$1,[2]characters!$1:$1,0)-MATCH($A$1,[2]characters!$1:$1,0)+1,FALSE)</f>
        <v>可愛い</v>
      </c>
      <c r="F100" s="24" t="str">
        <f ca="1">VLOOKUP($A100,OFFSET([2]characters!$A$1,0,0,COUNTA([2]characters!$A:$A),MATCH(F$1,[2]characters!$1:$1,0)-MATCH($A$1,[2]characters!$1:$1,0)+1),MATCH(F$1,[2]characters!$1:$1,0)-MATCH($A$1,[2]characters!$1:$1,0)+1,FALSE)</f>
        <v>女性</v>
      </c>
      <c r="G100" s="24">
        <f ca="1">VLOOKUP($A100,OFFSET([2]characters!$A$1,0,0,COUNTA([2]characters!$A:$A),MATCH(G$1,[2]characters!$1:$1,0)-MATCH($A$1,[2]characters!$1:$1,0)+1),MATCH(G$1,[2]characters!$1:$1,0)-MATCH($A$1,[2]characters!$1:$1,0)+1,FALSE)</f>
        <v>4</v>
      </c>
      <c r="H100" s="24" t="str">
        <f ca="1">VLOOKUP($A100,OFFSET([2]characters!$A$1,0,0,COUNTA([2]characters!$A:$A),MATCH(H$1,[2]characters!$1:$1,0)-MATCH($A$1,[2]characters!$1:$1,0)+1),MATCH(H$1,[2]characters!$1:$1,0)-MATCH($A$1,[2]characters!$1:$1,0)+1,FALSE)</f>
        <v>PremiumN</v>
      </c>
      <c r="I100" s="24" t="str">
        <f ca="1">VLOOKUP($A100,OFFSET([2]characters!$A$1,0,0,COUNTA([2]characters!$A:$A),MATCH(I$1,[2]characters!$1:$1,0)-MATCH($A$1,[2]characters!$1:$1,0)+1),MATCH(I$1,[2]characters!$1:$1,0)-MATCH($A$1,[2]characters!$1:$1,0)+1,FALSE)</f>
        <v>green</v>
      </c>
      <c r="J100" s="24" t="str">
        <f ca="1">VLOOKUP($A100,OFFSET([2]characters!$A$1,0,0,COUNTA([2]characters!$A:$A),MATCH(J$1,[2]characters!$1:$1,0)-MATCH($A$1,[2]characters!$1:$1,0)+1),MATCH(J$1,[2]characters!$1:$1,0)-MATCH($A$1,[2]characters!$1:$1,0)+1,FALSE)</f>
        <v>none</v>
      </c>
      <c r="K100" s="3" t="str">
        <f ca="1">VLOOKUP(J100,[2]character_tribe_i18n!$A:$H,3,FALSE)</f>
        <v>種族なし</v>
      </c>
      <c r="L100" s="5" t="e">
        <f>VLOOKUP(#REF!,[2]character_tribe_i18n!$A:$H,4,FALSE)</f>
        <v>#REF!</v>
      </c>
      <c r="M100" s="5" t="e">
        <f>VLOOKUP(#REF!,[2]character_tribe_i18n!$A:$H,5,FALSE)</f>
        <v>#REF!</v>
      </c>
      <c r="N100" s="5" t="e">
        <f>VLOOKUP(#REF!,[2]character_tribe_i18n!$A:$H,6,FALSE)</f>
        <v>#REF!</v>
      </c>
      <c r="O100" s="5" t="e">
        <f>VLOOKUP(#REF!,[2]character_tribe_i18n!$A:$H,7,FALSE)</f>
        <v>#REF!</v>
      </c>
      <c r="P100" s="83" t="s">
        <v>170</v>
      </c>
      <c r="Q100" s="4">
        <v>195</v>
      </c>
      <c r="R100" s="25" t="str">
        <f ca="1">IF(Q100="NULL","",VLOOKUP($Q100,OFFSET([2]characters!$A$1,0,0,COUNTA([2]characters!$A:$A),MATCH(R$1,[2]characters!$1:$1,0)-MATCH($A$1,[2]characters!$1:$1,0)+1),MATCH(R$1,[2]characters!$1:$1,0)-MATCH($A$1,[2]characters!$1:$1,0)+1,FALSE))</f>
        <v>グランドハンター ロビンフッド</v>
      </c>
      <c r="S100" s="3">
        <f t="shared" ca="1" si="1"/>
        <v>193</v>
      </c>
      <c r="T100" s="25" t="str">
        <f ca="1">VLOOKUP($S100,OFFSET([2]characters!$A$1,0,0,COUNTA([2]characters!$A:$A),MATCH(T$1,[2]characters!$1:$1,0)-MATCH($A$1,[2]characters!$1:$1,0)+1),MATCH(T$1,[2]characters!$1:$1,0)-MATCH($A$1,[2]characters!$1:$1,0)+1,FALSE)</f>
        <v>ロビンフッド</v>
      </c>
      <c r="U100" s="5">
        <f ca="1">IF(Q100="NULL","NULL",VLOOKUP(G100,ビット!$A$2:$B$7,2))</f>
        <v>50000</v>
      </c>
    </row>
    <row r="101" spans="1:21" ht="21" customHeight="1" x14ac:dyDescent="0.15">
      <c r="A101" s="83">
        <v>196</v>
      </c>
      <c r="B101" s="24" t="str">
        <f ca="1">VLOOKUP($A101,OFFSET([2]characters!$A$1,0,0,COUNTA([2]characters!$A:$A),MATCH(B$1,[2]characters!$1:$1,0)-MATCH($A$1,[2]characters!$1:$1,0)+1),MATCH(B$1,[2]characters!$1:$1,0)-MATCH($A$1,[2]characters!$1:$1,0)+1,FALSE)</f>
        <v>アキレス</v>
      </c>
      <c r="C101" s="24" t="str">
        <f ca="1">VLOOKUP($A101,OFFSET([2]characters!$A$1,0,0,COUNTA([2]characters!$A:$A),MATCH(C$1,[2]characters!$1:$1,0)-MATCH($A$1,[2]characters!$1:$1,0)+1),MATCH(C$1,[2]characters!$1:$1,0)-MATCH($A$1,[2]characters!$1:$1,0)+1,FALSE)</f>
        <v>初期ガチャ</v>
      </c>
      <c r="D101" s="24" t="str">
        <f ca="1">VLOOKUP($A101,OFFSET([2]characters!$A$1,0,0,COUNTA([2]characters!$A:$A),MATCH(D$1,[2]characters!$1:$1,0)-MATCH($A$1,[2]characters!$1:$1,0)+1),MATCH(D$1,[2]characters!$1:$1,0)-MATCH($A$1,[2]characters!$1:$1,0)+1,FALSE)</f>
        <v>守護者</v>
      </c>
      <c r="E101" s="24" t="str">
        <f ca="1">VLOOKUP($A101,OFFSET([2]characters!$A$1,0,0,COUNTA([2]characters!$A:$A),MATCH(E$1,[2]characters!$1:$1,0)-MATCH($A$1,[2]characters!$1:$1,0)+1),MATCH(E$1,[2]characters!$1:$1,0)-MATCH($A$1,[2]characters!$1:$1,0)+1,FALSE)</f>
        <v>美しい</v>
      </c>
      <c r="F101" s="24" t="str">
        <f ca="1">VLOOKUP($A101,OFFSET([2]characters!$A$1,0,0,COUNTA([2]characters!$A:$A),MATCH(F$1,[2]characters!$1:$1,0)-MATCH($A$1,[2]characters!$1:$1,0)+1),MATCH(F$1,[2]characters!$1:$1,0)-MATCH($A$1,[2]characters!$1:$1,0)+1,FALSE)</f>
        <v>女性</v>
      </c>
      <c r="G101" s="24">
        <f ca="1">VLOOKUP($A101,OFFSET([2]characters!$A$1,0,0,COUNTA([2]characters!$A:$A),MATCH(G$1,[2]characters!$1:$1,0)-MATCH($A$1,[2]characters!$1:$1,0)+1),MATCH(G$1,[2]characters!$1:$1,0)-MATCH($A$1,[2]characters!$1:$1,0)+1,FALSE)</f>
        <v>3</v>
      </c>
      <c r="H101" s="24" t="str">
        <f ca="1">VLOOKUP($A101,OFFSET([2]characters!$A$1,0,0,COUNTA([2]characters!$A:$A),MATCH(H$1,[2]characters!$1:$1,0)-MATCH($A$1,[2]characters!$1:$1,0)+1),MATCH(H$1,[2]characters!$1:$1,0)-MATCH($A$1,[2]characters!$1:$1,0)+1,FALSE)</f>
        <v>PremiumN</v>
      </c>
      <c r="I101" s="24" t="str">
        <f ca="1">VLOOKUP($A101,OFFSET([2]characters!$A$1,0,0,COUNTA([2]characters!$A:$A),MATCH(I$1,[2]characters!$1:$1,0)-MATCH($A$1,[2]characters!$1:$1,0)+1),MATCH(I$1,[2]characters!$1:$1,0)-MATCH($A$1,[2]characters!$1:$1,0)+1,FALSE)</f>
        <v>yellow</v>
      </c>
      <c r="J101" s="24" t="str">
        <f ca="1">VLOOKUP($A101,OFFSET([2]characters!$A$1,0,0,COUNTA([2]characters!$A:$A),MATCH(J$1,[2]characters!$1:$1,0)-MATCH($A$1,[2]characters!$1:$1,0)+1),MATCH(J$1,[2]characters!$1:$1,0)-MATCH($A$1,[2]characters!$1:$1,0)+1,FALSE)</f>
        <v>none</v>
      </c>
      <c r="K101" s="3" t="str">
        <f ca="1">VLOOKUP(J101,[2]character_tribe_i18n!$A:$H,3,FALSE)</f>
        <v>種族なし</v>
      </c>
      <c r="L101" s="5" t="e">
        <f>VLOOKUP(#REF!,[2]character_tribe_i18n!$A:$H,4,FALSE)</f>
        <v>#REF!</v>
      </c>
      <c r="M101" s="5" t="e">
        <f>VLOOKUP(#REF!,[2]character_tribe_i18n!$A:$H,5,FALSE)</f>
        <v>#REF!</v>
      </c>
      <c r="N101" s="5" t="e">
        <f>VLOOKUP(#REF!,[2]character_tribe_i18n!$A:$H,6,FALSE)</f>
        <v>#REF!</v>
      </c>
      <c r="O101" s="5" t="e">
        <f>VLOOKUP(#REF!,[2]character_tribe_i18n!$A:$H,7,FALSE)</f>
        <v>#REF!</v>
      </c>
      <c r="P101" s="83" t="s">
        <v>170</v>
      </c>
      <c r="Q101" s="4">
        <v>197</v>
      </c>
      <c r="R101" s="25" t="str">
        <f ca="1">IF(Q101="NULL","",VLOOKUP($Q101,OFFSET([2]characters!$A$1,0,0,COUNTA([2]characters!$A:$A),MATCH(R$1,[2]characters!$1:$1,0)-MATCH($A$1,[2]characters!$1:$1,0)+1),MATCH(R$1,[2]characters!$1:$1,0)-MATCH($A$1,[2]characters!$1:$1,0)+1,FALSE))</f>
        <v>鉄腕 アキレス</v>
      </c>
      <c r="S101" s="3">
        <f t="shared" ca="1" si="1"/>
        <v>196</v>
      </c>
      <c r="T101" s="25" t="str">
        <f ca="1">VLOOKUP($S101,OFFSET([2]characters!$A$1,0,0,COUNTA([2]characters!$A:$A),MATCH(T$1,[2]characters!$1:$1,0)-MATCH($A$1,[2]characters!$1:$1,0)+1),MATCH(T$1,[2]characters!$1:$1,0)-MATCH($A$1,[2]characters!$1:$1,0)+1,FALSE)</f>
        <v>アキレス</v>
      </c>
      <c r="U101" s="5">
        <f ca="1">IF(Q101="NULL","NULL",VLOOKUP(G101,ビット!$A$2:$B$7,2))</f>
        <v>20000</v>
      </c>
    </row>
    <row r="102" spans="1:21" ht="21" customHeight="1" x14ac:dyDescent="0.15">
      <c r="A102" s="83">
        <v>197</v>
      </c>
      <c r="B102" s="24" t="str">
        <f ca="1">VLOOKUP($A102,OFFSET([2]characters!$A$1,0,0,COUNTA([2]characters!$A:$A),MATCH(B$1,[2]characters!$1:$1,0)-MATCH($A$1,[2]characters!$1:$1,0)+1),MATCH(B$1,[2]characters!$1:$1,0)-MATCH($A$1,[2]characters!$1:$1,0)+1,FALSE)</f>
        <v>鉄腕 アキレス</v>
      </c>
      <c r="C102" s="24" t="str">
        <f ca="1">VLOOKUP($A102,OFFSET([2]characters!$A$1,0,0,COUNTA([2]characters!$A:$A),MATCH(C$1,[2]characters!$1:$1,0)-MATCH($A$1,[2]characters!$1:$1,0)+1),MATCH(C$1,[2]characters!$1:$1,0)-MATCH($A$1,[2]characters!$1:$1,0)+1,FALSE)</f>
        <v>初期ガチャ</v>
      </c>
      <c r="D102" s="24" t="str">
        <f ca="1">VLOOKUP($A102,OFFSET([2]characters!$A$1,0,0,COUNTA([2]characters!$A:$A),MATCH(D$1,[2]characters!$1:$1,0)-MATCH($A$1,[2]characters!$1:$1,0)+1),MATCH(D$1,[2]characters!$1:$1,0)-MATCH($A$1,[2]characters!$1:$1,0)+1,FALSE)</f>
        <v>守護者</v>
      </c>
      <c r="E102" s="24" t="str">
        <f ca="1">VLOOKUP($A102,OFFSET([2]characters!$A$1,0,0,COUNTA([2]characters!$A:$A),MATCH(E$1,[2]characters!$1:$1,0)-MATCH($A$1,[2]characters!$1:$1,0)+1),MATCH(E$1,[2]characters!$1:$1,0)-MATCH($A$1,[2]characters!$1:$1,0)+1,FALSE)</f>
        <v>美しい</v>
      </c>
      <c r="F102" s="24" t="str">
        <f ca="1">VLOOKUP($A102,OFFSET([2]characters!$A$1,0,0,COUNTA([2]characters!$A:$A),MATCH(F$1,[2]characters!$1:$1,0)-MATCH($A$1,[2]characters!$1:$1,0)+1),MATCH(F$1,[2]characters!$1:$1,0)-MATCH($A$1,[2]characters!$1:$1,0)+1,FALSE)</f>
        <v>女性</v>
      </c>
      <c r="G102" s="24">
        <f ca="1">VLOOKUP($A102,OFFSET([2]characters!$A$1,0,0,COUNTA([2]characters!$A:$A),MATCH(G$1,[2]characters!$1:$1,0)-MATCH($A$1,[2]characters!$1:$1,0)+1),MATCH(G$1,[2]characters!$1:$1,0)-MATCH($A$1,[2]characters!$1:$1,0)+1,FALSE)</f>
        <v>4</v>
      </c>
      <c r="H102" s="24" t="str">
        <f ca="1">VLOOKUP($A102,OFFSET([2]characters!$A$1,0,0,COUNTA([2]characters!$A:$A),MATCH(H$1,[2]characters!$1:$1,0)-MATCH($A$1,[2]characters!$1:$1,0)+1),MATCH(H$1,[2]characters!$1:$1,0)-MATCH($A$1,[2]characters!$1:$1,0)+1,FALSE)</f>
        <v>PremiumN</v>
      </c>
      <c r="I102" s="24" t="str">
        <f ca="1">VLOOKUP($A102,OFFSET([2]characters!$A$1,0,0,COUNTA([2]characters!$A:$A),MATCH(I$1,[2]characters!$1:$1,0)-MATCH($A$1,[2]characters!$1:$1,0)+1),MATCH(I$1,[2]characters!$1:$1,0)-MATCH($A$1,[2]characters!$1:$1,0)+1,FALSE)</f>
        <v>yellow</v>
      </c>
      <c r="J102" s="24" t="str">
        <f ca="1">VLOOKUP($A102,OFFSET([2]characters!$A$1,0,0,COUNTA([2]characters!$A:$A),MATCH(J$1,[2]characters!$1:$1,0)-MATCH($A$1,[2]characters!$1:$1,0)+1),MATCH(J$1,[2]characters!$1:$1,0)-MATCH($A$1,[2]characters!$1:$1,0)+1,FALSE)</f>
        <v>none</v>
      </c>
      <c r="K102" s="3" t="str">
        <f ca="1">VLOOKUP(J102,[2]character_tribe_i18n!$A:$H,3,FALSE)</f>
        <v>種族なし</v>
      </c>
      <c r="L102" s="5" t="e">
        <f>VLOOKUP(#REF!,[2]character_tribe_i18n!$A:$H,4,FALSE)</f>
        <v>#REF!</v>
      </c>
      <c r="M102" s="5" t="e">
        <f>VLOOKUP(#REF!,[2]character_tribe_i18n!$A:$H,5,FALSE)</f>
        <v>#REF!</v>
      </c>
      <c r="N102" s="5" t="e">
        <f>VLOOKUP(#REF!,[2]character_tribe_i18n!$A:$H,6,FALSE)</f>
        <v>#REF!</v>
      </c>
      <c r="O102" s="5" t="e">
        <f>VLOOKUP(#REF!,[2]character_tribe_i18n!$A:$H,7,FALSE)</f>
        <v>#REF!</v>
      </c>
      <c r="P102" s="83" t="s">
        <v>170</v>
      </c>
      <c r="Q102" s="4">
        <v>198</v>
      </c>
      <c r="R102" s="25" t="str">
        <f ca="1">IF(Q102="NULL","",VLOOKUP($Q102,OFFSET([2]characters!$A$1,0,0,COUNTA([2]characters!$A:$A),MATCH(R$1,[2]characters!$1:$1,0)-MATCH($A$1,[2]characters!$1:$1,0)+1),MATCH(R$1,[2]characters!$1:$1,0)-MATCH($A$1,[2]characters!$1:$1,0)+1,FALSE))</f>
        <v>砕骨の剛腕 アキレス</v>
      </c>
      <c r="S102" s="3">
        <f t="shared" ca="1" si="1"/>
        <v>196</v>
      </c>
      <c r="T102" s="25" t="str">
        <f ca="1">VLOOKUP($S102,OFFSET([2]characters!$A$1,0,0,COUNTA([2]characters!$A:$A),MATCH(T$1,[2]characters!$1:$1,0)-MATCH($A$1,[2]characters!$1:$1,0)+1),MATCH(T$1,[2]characters!$1:$1,0)-MATCH($A$1,[2]characters!$1:$1,0)+1,FALSE)</f>
        <v>アキレス</v>
      </c>
      <c r="U102" s="5">
        <f ca="1">IF(Q102="NULL","NULL",VLOOKUP(G102,ビット!$A$2:$B$7,2))</f>
        <v>50000</v>
      </c>
    </row>
    <row r="103" spans="1:21" ht="21" customHeight="1" x14ac:dyDescent="0.15">
      <c r="A103" s="83">
        <v>199</v>
      </c>
      <c r="B103" s="24" t="str">
        <f ca="1">VLOOKUP($A103,OFFSET([2]characters!$A$1,0,0,COUNTA([2]characters!$A:$A),MATCH(B$1,[2]characters!$1:$1,0)-MATCH($A$1,[2]characters!$1:$1,0)+1),MATCH(B$1,[2]characters!$1:$1,0)-MATCH($A$1,[2]characters!$1:$1,0)+1,FALSE)</f>
        <v>ジークフリート</v>
      </c>
      <c r="C103" s="24" t="str">
        <f ca="1">VLOOKUP($A103,OFFSET([2]characters!$A$1,0,0,COUNTA([2]characters!$A:$A),MATCH(C$1,[2]characters!$1:$1,0)-MATCH($A$1,[2]characters!$1:$1,0)+1),MATCH(C$1,[2]characters!$1:$1,0)-MATCH($A$1,[2]characters!$1:$1,0)+1,FALSE)</f>
        <v>初期ガチャ</v>
      </c>
      <c r="D103" s="24" t="str">
        <f ca="1">VLOOKUP($A103,OFFSET([2]characters!$A$1,0,0,COUNTA([2]characters!$A:$A),MATCH(D$1,[2]characters!$1:$1,0)-MATCH($A$1,[2]characters!$1:$1,0)+1),MATCH(D$1,[2]characters!$1:$1,0)-MATCH($A$1,[2]characters!$1:$1,0)+1,FALSE)</f>
        <v>守護者</v>
      </c>
      <c r="E103" s="24" t="str">
        <f ca="1">VLOOKUP($A103,OFFSET([2]characters!$A$1,0,0,COUNTA([2]characters!$A:$A),MATCH(E$1,[2]characters!$1:$1,0)-MATCH($A$1,[2]characters!$1:$1,0)+1),MATCH(E$1,[2]characters!$1:$1,0)-MATCH($A$1,[2]characters!$1:$1,0)+1,FALSE)</f>
        <v>格好いい</v>
      </c>
      <c r="F103" s="24" t="str">
        <f ca="1">VLOOKUP($A103,OFFSET([2]characters!$A$1,0,0,COUNTA([2]characters!$A:$A),MATCH(F$1,[2]characters!$1:$1,0)-MATCH($A$1,[2]characters!$1:$1,0)+1),MATCH(F$1,[2]characters!$1:$1,0)-MATCH($A$1,[2]characters!$1:$1,0)+1,FALSE)</f>
        <v>男性</v>
      </c>
      <c r="G103" s="24">
        <f ca="1">VLOOKUP($A103,OFFSET([2]characters!$A$1,0,0,COUNTA([2]characters!$A:$A),MATCH(G$1,[2]characters!$1:$1,0)-MATCH($A$1,[2]characters!$1:$1,0)+1),MATCH(G$1,[2]characters!$1:$1,0)-MATCH($A$1,[2]characters!$1:$1,0)+1,FALSE)</f>
        <v>3</v>
      </c>
      <c r="H103" s="24" t="str">
        <f ca="1">VLOOKUP($A103,OFFSET([2]characters!$A$1,0,0,COUNTA([2]characters!$A:$A),MATCH(H$1,[2]characters!$1:$1,0)-MATCH($A$1,[2]characters!$1:$1,0)+1),MATCH(H$1,[2]characters!$1:$1,0)-MATCH($A$1,[2]characters!$1:$1,0)+1,FALSE)</f>
        <v>PremiumN</v>
      </c>
      <c r="I103" s="24" t="str">
        <f ca="1">VLOOKUP($A103,OFFSET([2]characters!$A$1,0,0,COUNTA([2]characters!$A:$A),MATCH(I$1,[2]characters!$1:$1,0)-MATCH($A$1,[2]characters!$1:$1,0)+1),MATCH(I$1,[2]characters!$1:$1,0)-MATCH($A$1,[2]characters!$1:$1,0)+1,FALSE)</f>
        <v>blue</v>
      </c>
      <c r="J103" s="24" t="str">
        <f ca="1">VLOOKUP($A103,OFFSET([2]characters!$A$1,0,0,COUNTA([2]characters!$A:$A),MATCH(J$1,[2]characters!$1:$1,0)-MATCH($A$1,[2]characters!$1:$1,0)+1),MATCH(J$1,[2]characters!$1:$1,0)-MATCH($A$1,[2]characters!$1:$1,0)+1,FALSE)</f>
        <v>none</v>
      </c>
      <c r="K103" s="3" t="str">
        <f ca="1">VLOOKUP(J103,[2]character_tribe_i18n!$A:$H,3,FALSE)</f>
        <v>種族なし</v>
      </c>
      <c r="L103" s="5" t="e">
        <f>VLOOKUP(#REF!,[2]character_tribe_i18n!$A:$H,4,FALSE)</f>
        <v>#REF!</v>
      </c>
      <c r="M103" s="5" t="e">
        <f>VLOOKUP(#REF!,[2]character_tribe_i18n!$A:$H,5,FALSE)</f>
        <v>#REF!</v>
      </c>
      <c r="N103" s="5" t="e">
        <f>VLOOKUP(#REF!,[2]character_tribe_i18n!$A:$H,6,FALSE)</f>
        <v>#REF!</v>
      </c>
      <c r="O103" s="5" t="e">
        <f>VLOOKUP(#REF!,[2]character_tribe_i18n!$A:$H,7,FALSE)</f>
        <v>#REF!</v>
      </c>
      <c r="P103" s="83" t="s">
        <v>170</v>
      </c>
      <c r="Q103" s="4">
        <v>200</v>
      </c>
      <c r="R103" s="25" t="str">
        <f ca="1">IF(Q103="NULL","",VLOOKUP($Q103,OFFSET([2]characters!$A$1,0,0,COUNTA([2]characters!$A:$A),MATCH(R$1,[2]characters!$1:$1,0)-MATCH($A$1,[2]characters!$1:$1,0)+1),MATCH(R$1,[2]characters!$1:$1,0)-MATCH($A$1,[2]characters!$1:$1,0)+1,FALSE))</f>
        <v>大剣士 ジークフリート</v>
      </c>
      <c r="S103" s="3">
        <f t="shared" ca="1" si="1"/>
        <v>199</v>
      </c>
      <c r="T103" s="25" t="str">
        <f ca="1">VLOOKUP($S103,OFFSET([2]characters!$A$1,0,0,COUNTA([2]characters!$A:$A),MATCH(T$1,[2]characters!$1:$1,0)-MATCH($A$1,[2]characters!$1:$1,0)+1),MATCH(T$1,[2]characters!$1:$1,0)-MATCH($A$1,[2]characters!$1:$1,0)+1,FALSE)</f>
        <v>ジークフリート</v>
      </c>
      <c r="U103" s="5">
        <f ca="1">IF(Q103="NULL","NULL",VLOOKUP(G103,ビット!$A$2:$B$7,2))</f>
        <v>20000</v>
      </c>
    </row>
    <row r="104" spans="1:21" ht="21" customHeight="1" x14ac:dyDescent="0.15">
      <c r="A104" s="83">
        <v>200</v>
      </c>
      <c r="B104" s="24" t="str">
        <f ca="1">VLOOKUP($A104,OFFSET([2]characters!$A$1,0,0,COUNTA([2]characters!$A:$A),MATCH(B$1,[2]characters!$1:$1,0)-MATCH($A$1,[2]characters!$1:$1,0)+1),MATCH(B$1,[2]characters!$1:$1,0)-MATCH($A$1,[2]characters!$1:$1,0)+1,FALSE)</f>
        <v>大剣士 ジークフリート</v>
      </c>
      <c r="C104" s="24" t="str">
        <f ca="1">VLOOKUP($A104,OFFSET([2]characters!$A$1,0,0,COUNTA([2]characters!$A:$A),MATCH(C$1,[2]characters!$1:$1,0)-MATCH($A$1,[2]characters!$1:$1,0)+1),MATCH(C$1,[2]characters!$1:$1,0)-MATCH($A$1,[2]characters!$1:$1,0)+1,FALSE)</f>
        <v>初期ガチャ</v>
      </c>
      <c r="D104" s="24" t="str">
        <f ca="1">VLOOKUP($A104,OFFSET([2]characters!$A$1,0,0,COUNTA([2]characters!$A:$A),MATCH(D$1,[2]characters!$1:$1,0)-MATCH($A$1,[2]characters!$1:$1,0)+1),MATCH(D$1,[2]characters!$1:$1,0)-MATCH($A$1,[2]characters!$1:$1,0)+1,FALSE)</f>
        <v>守護者</v>
      </c>
      <c r="E104" s="24" t="str">
        <f ca="1">VLOOKUP($A104,OFFSET([2]characters!$A$1,0,0,COUNTA([2]characters!$A:$A),MATCH(E$1,[2]characters!$1:$1,0)-MATCH($A$1,[2]characters!$1:$1,0)+1),MATCH(E$1,[2]characters!$1:$1,0)-MATCH($A$1,[2]characters!$1:$1,0)+1,FALSE)</f>
        <v>格好いい</v>
      </c>
      <c r="F104" s="24" t="str">
        <f ca="1">VLOOKUP($A104,OFFSET([2]characters!$A$1,0,0,COUNTA([2]characters!$A:$A),MATCH(F$1,[2]characters!$1:$1,0)-MATCH($A$1,[2]characters!$1:$1,0)+1),MATCH(F$1,[2]characters!$1:$1,0)-MATCH($A$1,[2]characters!$1:$1,0)+1,FALSE)</f>
        <v>男性</v>
      </c>
      <c r="G104" s="24">
        <f ca="1">VLOOKUP($A104,OFFSET([2]characters!$A$1,0,0,COUNTA([2]characters!$A:$A),MATCH(G$1,[2]characters!$1:$1,0)-MATCH($A$1,[2]characters!$1:$1,0)+1),MATCH(G$1,[2]characters!$1:$1,0)-MATCH($A$1,[2]characters!$1:$1,0)+1,FALSE)</f>
        <v>4</v>
      </c>
      <c r="H104" s="24" t="str">
        <f ca="1">VLOOKUP($A104,OFFSET([2]characters!$A$1,0,0,COUNTA([2]characters!$A:$A),MATCH(H$1,[2]characters!$1:$1,0)-MATCH($A$1,[2]characters!$1:$1,0)+1),MATCH(H$1,[2]characters!$1:$1,0)-MATCH($A$1,[2]characters!$1:$1,0)+1,FALSE)</f>
        <v>PremiumN</v>
      </c>
      <c r="I104" s="24" t="str">
        <f ca="1">VLOOKUP($A104,OFFSET([2]characters!$A$1,0,0,COUNTA([2]characters!$A:$A),MATCH(I$1,[2]characters!$1:$1,0)-MATCH($A$1,[2]characters!$1:$1,0)+1),MATCH(I$1,[2]characters!$1:$1,0)-MATCH($A$1,[2]characters!$1:$1,0)+1,FALSE)</f>
        <v>blue</v>
      </c>
      <c r="J104" s="24" t="str">
        <f ca="1">VLOOKUP($A104,OFFSET([2]characters!$A$1,0,0,COUNTA([2]characters!$A:$A),MATCH(J$1,[2]characters!$1:$1,0)-MATCH($A$1,[2]characters!$1:$1,0)+1),MATCH(J$1,[2]characters!$1:$1,0)-MATCH($A$1,[2]characters!$1:$1,0)+1,FALSE)</f>
        <v>none</v>
      </c>
      <c r="K104" s="3" t="str">
        <f ca="1">VLOOKUP(J104,[2]character_tribe_i18n!$A:$H,3,FALSE)</f>
        <v>種族なし</v>
      </c>
      <c r="L104" s="5" t="e">
        <f>VLOOKUP(#REF!,[2]character_tribe_i18n!$A:$H,4,FALSE)</f>
        <v>#REF!</v>
      </c>
      <c r="M104" s="5" t="e">
        <f>VLOOKUP(#REF!,[2]character_tribe_i18n!$A:$H,5,FALSE)</f>
        <v>#REF!</v>
      </c>
      <c r="N104" s="5" t="e">
        <f>VLOOKUP(#REF!,[2]character_tribe_i18n!$A:$H,6,FALSE)</f>
        <v>#REF!</v>
      </c>
      <c r="O104" s="5" t="e">
        <f>VLOOKUP(#REF!,[2]character_tribe_i18n!$A:$H,7,FALSE)</f>
        <v>#REF!</v>
      </c>
      <c r="P104" s="83" t="s">
        <v>170</v>
      </c>
      <c r="Q104" s="4">
        <v>201</v>
      </c>
      <c r="R104" s="25" t="str">
        <f ca="1">IF(Q104="NULL","",VLOOKUP($Q104,OFFSET([2]characters!$A$1,0,0,COUNTA([2]characters!$A:$A),MATCH(R$1,[2]characters!$1:$1,0)-MATCH($A$1,[2]characters!$1:$1,0)+1),MATCH(R$1,[2]characters!$1:$1,0)-MATCH($A$1,[2]characters!$1:$1,0)+1,FALSE))</f>
        <v>斬空の大破剣 ジークフリート</v>
      </c>
      <c r="S104" s="3">
        <f t="shared" ca="1" si="1"/>
        <v>199</v>
      </c>
      <c r="T104" s="25" t="str">
        <f ca="1">VLOOKUP($S104,OFFSET([2]characters!$A$1,0,0,COUNTA([2]characters!$A:$A),MATCH(T$1,[2]characters!$1:$1,0)-MATCH($A$1,[2]characters!$1:$1,0)+1),MATCH(T$1,[2]characters!$1:$1,0)-MATCH($A$1,[2]characters!$1:$1,0)+1,FALSE)</f>
        <v>ジークフリート</v>
      </c>
      <c r="U104" s="5">
        <f ca="1">IF(Q104="NULL","NULL",VLOOKUP(G104,ビット!$A$2:$B$7,2))</f>
        <v>50000</v>
      </c>
    </row>
    <row r="105" spans="1:21" ht="21" customHeight="1" x14ac:dyDescent="0.15">
      <c r="A105" s="83">
        <v>202</v>
      </c>
      <c r="B105" s="24" t="str">
        <f ca="1">VLOOKUP($A105,OFFSET([2]characters!$A$1,0,0,COUNTA([2]characters!$A:$A),MATCH(B$1,[2]characters!$1:$1,0)-MATCH($A$1,[2]characters!$1:$1,0)+1),MATCH(B$1,[2]characters!$1:$1,0)-MATCH($A$1,[2]characters!$1:$1,0)+1,FALSE)</f>
        <v>プロメテウス</v>
      </c>
      <c r="C105" s="24" t="str">
        <f ca="1">VLOOKUP($A105,OFFSET([2]characters!$A$1,0,0,COUNTA([2]characters!$A:$A),MATCH(C$1,[2]characters!$1:$1,0)-MATCH($A$1,[2]characters!$1:$1,0)+1),MATCH(C$1,[2]characters!$1:$1,0)-MATCH($A$1,[2]characters!$1:$1,0)+1,FALSE)</f>
        <v>初期ガチャ</v>
      </c>
      <c r="D105" s="24" t="str">
        <f ca="1">VLOOKUP($A105,OFFSET([2]characters!$A$1,0,0,COUNTA([2]characters!$A:$A),MATCH(D$1,[2]characters!$1:$1,0)-MATCH($A$1,[2]characters!$1:$1,0)+1),MATCH(D$1,[2]characters!$1:$1,0)-MATCH($A$1,[2]characters!$1:$1,0)+1,FALSE)</f>
        <v>管理者</v>
      </c>
      <c r="E105" s="24" t="str">
        <f ca="1">VLOOKUP($A105,OFFSET([2]characters!$A$1,0,0,COUNTA([2]characters!$A:$A),MATCH(E$1,[2]characters!$1:$1,0)-MATCH($A$1,[2]characters!$1:$1,0)+1),MATCH(E$1,[2]characters!$1:$1,0)-MATCH($A$1,[2]characters!$1:$1,0)+1,FALSE)</f>
        <v>格好いい</v>
      </c>
      <c r="F105" s="24" t="str">
        <f ca="1">VLOOKUP($A105,OFFSET([2]characters!$A$1,0,0,COUNTA([2]characters!$A:$A),MATCH(F$1,[2]characters!$1:$1,0)-MATCH($A$1,[2]characters!$1:$1,0)+1),MATCH(F$1,[2]characters!$1:$1,0)-MATCH($A$1,[2]characters!$1:$1,0)+1,FALSE)</f>
        <v>男性</v>
      </c>
      <c r="G105" s="24">
        <f ca="1">VLOOKUP($A105,OFFSET([2]characters!$A$1,0,0,COUNTA([2]characters!$A:$A),MATCH(G$1,[2]characters!$1:$1,0)-MATCH($A$1,[2]characters!$1:$1,0)+1),MATCH(G$1,[2]characters!$1:$1,0)-MATCH($A$1,[2]characters!$1:$1,0)+1,FALSE)</f>
        <v>3</v>
      </c>
      <c r="H105" s="24" t="str">
        <f ca="1">VLOOKUP($A105,OFFSET([2]characters!$A$1,0,0,COUNTA([2]characters!$A:$A),MATCH(H$1,[2]characters!$1:$1,0)-MATCH($A$1,[2]characters!$1:$1,0)+1),MATCH(H$1,[2]characters!$1:$1,0)-MATCH($A$1,[2]characters!$1:$1,0)+1,FALSE)</f>
        <v>PremiumN</v>
      </c>
      <c r="I105" s="24" t="str">
        <f ca="1">VLOOKUP($A105,OFFSET([2]characters!$A$1,0,0,COUNTA([2]characters!$A:$A),MATCH(I$1,[2]characters!$1:$1,0)-MATCH($A$1,[2]characters!$1:$1,0)+1),MATCH(I$1,[2]characters!$1:$1,0)-MATCH($A$1,[2]characters!$1:$1,0)+1,FALSE)</f>
        <v>red</v>
      </c>
      <c r="J105" s="24" t="str">
        <f ca="1">VLOOKUP($A105,OFFSET([2]characters!$A$1,0,0,COUNTA([2]characters!$A:$A),MATCH(J$1,[2]characters!$1:$1,0)-MATCH($A$1,[2]characters!$1:$1,0)+1),MATCH(J$1,[2]characters!$1:$1,0)-MATCH($A$1,[2]characters!$1:$1,0)+1,FALSE)</f>
        <v>none</v>
      </c>
      <c r="K105" s="3" t="str">
        <f ca="1">VLOOKUP(J105,[2]character_tribe_i18n!$A:$H,3,FALSE)</f>
        <v>種族なし</v>
      </c>
      <c r="L105" s="5" t="e">
        <f>VLOOKUP(#REF!,[2]character_tribe_i18n!$A:$H,4,FALSE)</f>
        <v>#REF!</v>
      </c>
      <c r="M105" s="5" t="e">
        <f>VLOOKUP(#REF!,[2]character_tribe_i18n!$A:$H,5,FALSE)</f>
        <v>#REF!</v>
      </c>
      <c r="N105" s="5" t="e">
        <f>VLOOKUP(#REF!,[2]character_tribe_i18n!$A:$H,6,FALSE)</f>
        <v>#REF!</v>
      </c>
      <c r="O105" s="5" t="e">
        <f>VLOOKUP(#REF!,[2]character_tribe_i18n!$A:$H,7,FALSE)</f>
        <v>#REF!</v>
      </c>
      <c r="P105" s="83" t="s">
        <v>170</v>
      </c>
      <c r="Q105" s="4">
        <v>203</v>
      </c>
      <c r="R105" s="25" t="str">
        <f ca="1">IF(Q105="NULL","",VLOOKUP($Q105,OFFSET([2]characters!$A$1,0,0,COUNTA([2]characters!$A:$A),MATCH(R$1,[2]characters!$1:$1,0)-MATCH($A$1,[2]characters!$1:$1,0)+1),MATCH(R$1,[2]characters!$1:$1,0)-MATCH($A$1,[2]characters!$1:$1,0)+1,FALSE))</f>
        <v>焔神 プロメテウス</v>
      </c>
      <c r="S105" s="3">
        <f t="shared" ca="1" si="1"/>
        <v>202</v>
      </c>
      <c r="T105" s="25" t="str">
        <f ca="1">VLOOKUP($S105,OFFSET([2]characters!$A$1,0,0,COUNTA([2]characters!$A:$A),MATCH(T$1,[2]characters!$1:$1,0)-MATCH($A$1,[2]characters!$1:$1,0)+1),MATCH(T$1,[2]characters!$1:$1,0)-MATCH($A$1,[2]characters!$1:$1,0)+1,FALSE)</f>
        <v>プロメテウス</v>
      </c>
      <c r="U105" s="5">
        <f ca="1">IF(Q105="NULL","NULL",VLOOKUP(G105,ビット!$A$2:$B$7,2))</f>
        <v>20000</v>
      </c>
    </row>
    <row r="106" spans="1:21" ht="21" customHeight="1" x14ac:dyDescent="0.15">
      <c r="A106" s="83">
        <v>203</v>
      </c>
      <c r="B106" s="24" t="str">
        <f ca="1">VLOOKUP($A106,OFFSET([2]characters!$A$1,0,0,COUNTA([2]characters!$A:$A),MATCH(B$1,[2]characters!$1:$1,0)-MATCH($A$1,[2]characters!$1:$1,0)+1),MATCH(B$1,[2]characters!$1:$1,0)-MATCH($A$1,[2]characters!$1:$1,0)+1,FALSE)</f>
        <v>焔神 プロメテウス</v>
      </c>
      <c r="C106" s="24" t="str">
        <f ca="1">VLOOKUP($A106,OFFSET([2]characters!$A$1,0,0,COUNTA([2]characters!$A:$A),MATCH(C$1,[2]characters!$1:$1,0)-MATCH($A$1,[2]characters!$1:$1,0)+1),MATCH(C$1,[2]characters!$1:$1,0)-MATCH($A$1,[2]characters!$1:$1,0)+1,FALSE)</f>
        <v>初期ガチャ</v>
      </c>
      <c r="D106" s="24" t="str">
        <f ca="1">VLOOKUP($A106,OFFSET([2]characters!$A$1,0,0,COUNTA([2]characters!$A:$A),MATCH(D$1,[2]characters!$1:$1,0)-MATCH($A$1,[2]characters!$1:$1,0)+1),MATCH(D$1,[2]characters!$1:$1,0)-MATCH($A$1,[2]characters!$1:$1,0)+1,FALSE)</f>
        <v>管理者</v>
      </c>
      <c r="E106" s="24" t="str">
        <f ca="1">VLOOKUP($A106,OFFSET([2]characters!$A$1,0,0,COUNTA([2]characters!$A:$A),MATCH(E$1,[2]characters!$1:$1,0)-MATCH($A$1,[2]characters!$1:$1,0)+1),MATCH(E$1,[2]characters!$1:$1,0)-MATCH($A$1,[2]characters!$1:$1,0)+1,FALSE)</f>
        <v>格好いい</v>
      </c>
      <c r="F106" s="24" t="str">
        <f ca="1">VLOOKUP($A106,OFFSET([2]characters!$A$1,0,0,COUNTA([2]characters!$A:$A),MATCH(F$1,[2]characters!$1:$1,0)-MATCH($A$1,[2]characters!$1:$1,0)+1),MATCH(F$1,[2]characters!$1:$1,0)-MATCH($A$1,[2]characters!$1:$1,0)+1,FALSE)</f>
        <v>男性</v>
      </c>
      <c r="G106" s="24">
        <f ca="1">VLOOKUP($A106,OFFSET([2]characters!$A$1,0,0,COUNTA([2]characters!$A:$A),MATCH(G$1,[2]characters!$1:$1,0)-MATCH($A$1,[2]characters!$1:$1,0)+1),MATCH(G$1,[2]characters!$1:$1,0)-MATCH($A$1,[2]characters!$1:$1,0)+1,FALSE)</f>
        <v>4</v>
      </c>
      <c r="H106" s="24" t="str">
        <f ca="1">VLOOKUP($A106,OFFSET([2]characters!$A$1,0,0,COUNTA([2]characters!$A:$A),MATCH(H$1,[2]characters!$1:$1,0)-MATCH($A$1,[2]characters!$1:$1,0)+1),MATCH(H$1,[2]characters!$1:$1,0)-MATCH($A$1,[2]characters!$1:$1,0)+1,FALSE)</f>
        <v>PremiumN</v>
      </c>
      <c r="I106" s="24" t="str">
        <f ca="1">VLOOKUP($A106,OFFSET([2]characters!$A$1,0,0,COUNTA([2]characters!$A:$A),MATCH(I$1,[2]characters!$1:$1,0)-MATCH($A$1,[2]characters!$1:$1,0)+1),MATCH(I$1,[2]characters!$1:$1,0)-MATCH($A$1,[2]characters!$1:$1,0)+1,FALSE)</f>
        <v>red</v>
      </c>
      <c r="J106" s="24" t="str">
        <f ca="1">VLOOKUP($A106,OFFSET([2]characters!$A$1,0,0,COUNTA([2]characters!$A:$A),MATCH(J$1,[2]characters!$1:$1,0)-MATCH($A$1,[2]characters!$1:$1,0)+1),MATCH(J$1,[2]characters!$1:$1,0)-MATCH($A$1,[2]characters!$1:$1,0)+1,FALSE)</f>
        <v>none</v>
      </c>
      <c r="K106" s="3" t="str">
        <f ca="1">VLOOKUP(J106,[2]character_tribe_i18n!$A:$H,3,FALSE)</f>
        <v>種族なし</v>
      </c>
      <c r="L106" s="5" t="e">
        <f>VLOOKUP(#REF!,[2]character_tribe_i18n!$A:$H,4,FALSE)</f>
        <v>#REF!</v>
      </c>
      <c r="M106" s="5" t="e">
        <f>VLOOKUP(#REF!,[2]character_tribe_i18n!$A:$H,5,FALSE)</f>
        <v>#REF!</v>
      </c>
      <c r="N106" s="5" t="e">
        <f>VLOOKUP(#REF!,[2]character_tribe_i18n!$A:$H,6,FALSE)</f>
        <v>#REF!</v>
      </c>
      <c r="O106" s="5" t="e">
        <f>VLOOKUP(#REF!,[2]character_tribe_i18n!$A:$H,7,FALSE)</f>
        <v>#REF!</v>
      </c>
      <c r="P106" s="83" t="s">
        <v>170</v>
      </c>
      <c r="Q106" s="4">
        <v>204</v>
      </c>
      <c r="R106" s="25" t="str">
        <f ca="1">IF(Q106="NULL","",VLOOKUP($Q106,OFFSET([2]characters!$A$1,0,0,COUNTA([2]characters!$A:$A),MATCH(R$1,[2]characters!$1:$1,0)-MATCH($A$1,[2]characters!$1:$1,0)+1),MATCH(R$1,[2]characters!$1:$1,0)-MATCH($A$1,[2]characters!$1:$1,0)+1,FALSE))</f>
        <v>慟哭の巨焔 プロメテウス</v>
      </c>
      <c r="S106" s="3">
        <f t="shared" ca="1" si="1"/>
        <v>202</v>
      </c>
      <c r="T106" s="25" t="str">
        <f ca="1">VLOOKUP($S106,OFFSET([2]characters!$A$1,0,0,COUNTA([2]characters!$A:$A),MATCH(T$1,[2]characters!$1:$1,0)-MATCH($A$1,[2]characters!$1:$1,0)+1),MATCH(T$1,[2]characters!$1:$1,0)-MATCH($A$1,[2]characters!$1:$1,0)+1,FALSE)</f>
        <v>プロメテウス</v>
      </c>
      <c r="U106" s="5">
        <f ca="1">IF(Q106="NULL","NULL",VLOOKUP(G106,ビット!$A$2:$B$7,2))</f>
        <v>50000</v>
      </c>
    </row>
    <row r="107" spans="1:21" ht="21" customHeight="1" x14ac:dyDescent="0.15">
      <c r="A107" s="83">
        <v>205</v>
      </c>
      <c r="B107" s="24" t="str">
        <f ca="1">VLOOKUP($A107,OFFSET([2]characters!$A$1,0,0,COUNTA([2]characters!$A:$A),MATCH(B$1,[2]characters!$1:$1,0)-MATCH($A$1,[2]characters!$1:$1,0)+1),MATCH(B$1,[2]characters!$1:$1,0)-MATCH($A$1,[2]characters!$1:$1,0)+1,FALSE)</f>
        <v>アフロディーテ</v>
      </c>
      <c r="C107" s="24" t="str">
        <f ca="1">VLOOKUP($A107,OFFSET([2]characters!$A$1,0,0,COUNTA([2]characters!$A:$A),MATCH(C$1,[2]characters!$1:$1,0)-MATCH($A$1,[2]characters!$1:$1,0)+1),MATCH(C$1,[2]characters!$1:$1,0)-MATCH($A$1,[2]characters!$1:$1,0)+1,FALSE)</f>
        <v>初期ガチャ</v>
      </c>
      <c r="D107" s="24" t="str">
        <f ca="1">VLOOKUP($A107,OFFSET([2]characters!$A$1,0,0,COUNTA([2]characters!$A:$A),MATCH(D$1,[2]characters!$1:$1,0)-MATCH($A$1,[2]characters!$1:$1,0)+1),MATCH(D$1,[2]characters!$1:$1,0)-MATCH($A$1,[2]characters!$1:$1,0)+1,FALSE)</f>
        <v>管理者</v>
      </c>
      <c r="E107" s="24" t="str">
        <f ca="1">VLOOKUP($A107,OFFSET([2]characters!$A$1,0,0,COUNTA([2]characters!$A:$A),MATCH(E$1,[2]characters!$1:$1,0)-MATCH($A$1,[2]characters!$1:$1,0)+1),MATCH(E$1,[2]characters!$1:$1,0)-MATCH($A$1,[2]characters!$1:$1,0)+1,FALSE)</f>
        <v>可愛い</v>
      </c>
      <c r="F107" s="24" t="str">
        <f ca="1">VLOOKUP($A107,OFFSET([2]characters!$A$1,0,0,COUNTA([2]characters!$A:$A),MATCH(F$1,[2]characters!$1:$1,0)-MATCH($A$1,[2]characters!$1:$1,0)+1),MATCH(F$1,[2]characters!$1:$1,0)-MATCH($A$1,[2]characters!$1:$1,0)+1,FALSE)</f>
        <v>女性</v>
      </c>
      <c r="G107" s="24">
        <f ca="1">VLOOKUP($A107,OFFSET([2]characters!$A$1,0,0,COUNTA([2]characters!$A:$A),MATCH(G$1,[2]characters!$1:$1,0)-MATCH($A$1,[2]characters!$1:$1,0)+1),MATCH(G$1,[2]characters!$1:$1,0)-MATCH($A$1,[2]characters!$1:$1,0)+1,FALSE)</f>
        <v>3</v>
      </c>
      <c r="H107" s="24" t="str">
        <f ca="1">VLOOKUP($A107,OFFSET([2]characters!$A$1,0,0,COUNTA([2]characters!$A:$A),MATCH(H$1,[2]characters!$1:$1,0)-MATCH($A$1,[2]characters!$1:$1,0)+1),MATCH(H$1,[2]characters!$1:$1,0)-MATCH($A$1,[2]characters!$1:$1,0)+1,FALSE)</f>
        <v>PremiumN</v>
      </c>
      <c r="I107" s="24" t="str">
        <f ca="1">VLOOKUP($A107,OFFSET([2]characters!$A$1,0,0,COUNTA([2]characters!$A:$A),MATCH(I$1,[2]characters!$1:$1,0)-MATCH($A$1,[2]characters!$1:$1,0)+1),MATCH(I$1,[2]characters!$1:$1,0)-MATCH($A$1,[2]characters!$1:$1,0)+1,FALSE)</f>
        <v>green</v>
      </c>
      <c r="J107" s="24" t="str">
        <f ca="1">VLOOKUP($A107,OFFSET([2]characters!$A$1,0,0,COUNTA([2]characters!$A:$A),MATCH(J$1,[2]characters!$1:$1,0)-MATCH($A$1,[2]characters!$1:$1,0)+1),MATCH(J$1,[2]characters!$1:$1,0)-MATCH($A$1,[2]characters!$1:$1,0)+1,FALSE)</f>
        <v>none</v>
      </c>
      <c r="K107" s="3" t="str">
        <f ca="1">VLOOKUP(J107,[2]character_tribe_i18n!$A:$H,3,FALSE)</f>
        <v>種族なし</v>
      </c>
      <c r="L107" s="5" t="e">
        <f>VLOOKUP(#REF!,[2]character_tribe_i18n!$A:$H,4,FALSE)</f>
        <v>#REF!</v>
      </c>
      <c r="M107" s="5" t="e">
        <f>VLOOKUP(#REF!,[2]character_tribe_i18n!$A:$H,5,FALSE)</f>
        <v>#REF!</v>
      </c>
      <c r="N107" s="5" t="e">
        <f>VLOOKUP(#REF!,[2]character_tribe_i18n!$A:$H,6,FALSE)</f>
        <v>#REF!</v>
      </c>
      <c r="O107" s="5" t="e">
        <f>VLOOKUP(#REF!,[2]character_tribe_i18n!$A:$H,7,FALSE)</f>
        <v>#REF!</v>
      </c>
      <c r="P107" s="83" t="s">
        <v>170</v>
      </c>
      <c r="Q107" s="4">
        <v>206</v>
      </c>
      <c r="R107" s="25" t="str">
        <f ca="1">IF(Q107="NULL","",VLOOKUP($Q107,OFFSET([2]characters!$A$1,0,0,COUNTA([2]characters!$A:$A),MATCH(R$1,[2]characters!$1:$1,0)-MATCH($A$1,[2]characters!$1:$1,0)+1),MATCH(R$1,[2]characters!$1:$1,0)-MATCH($A$1,[2]characters!$1:$1,0)+1,FALSE))</f>
        <v>美神 アフロディーテ</v>
      </c>
      <c r="S107" s="3">
        <f t="shared" ca="1" si="1"/>
        <v>205</v>
      </c>
      <c r="T107" s="25" t="str">
        <f ca="1">VLOOKUP($S107,OFFSET([2]characters!$A$1,0,0,COUNTA([2]characters!$A:$A),MATCH(T$1,[2]characters!$1:$1,0)-MATCH($A$1,[2]characters!$1:$1,0)+1),MATCH(T$1,[2]characters!$1:$1,0)-MATCH($A$1,[2]characters!$1:$1,0)+1,FALSE)</f>
        <v>アフロディーテ</v>
      </c>
      <c r="U107" s="5">
        <f ca="1">IF(Q107="NULL","NULL",VLOOKUP(G107,ビット!$A$2:$B$7,2))</f>
        <v>20000</v>
      </c>
    </row>
    <row r="108" spans="1:21" ht="21" customHeight="1" x14ac:dyDescent="0.15">
      <c r="A108" s="83">
        <v>206</v>
      </c>
      <c r="B108" s="24" t="str">
        <f ca="1">VLOOKUP($A108,OFFSET([2]characters!$A$1,0,0,COUNTA([2]characters!$A:$A),MATCH(B$1,[2]characters!$1:$1,0)-MATCH($A$1,[2]characters!$1:$1,0)+1),MATCH(B$1,[2]characters!$1:$1,0)-MATCH($A$1,[2]characters!$1:$1,0)+1,FALSE)</f>
        <v>美神 アフロディーテ</v>
      </c>
      <c r="C108" s="24" t="str">
        <f ca="1">VLOOKUP($A108,OFFSET([2]characters!$A$1,0,0,COUNTA([2]characters!$A:$A),MATCH(C$1,[2]characters!$1:$1,0)-MATCH($A$1,[2]characters!$1:$1,0)+1),MATCH(C$1,[2]characters!$1:$1,0)-MATCH($A$1,[2]characters!$1:$1,0)+1,FALSE)</f>
        <v>初期ガチャ</v>
      </c>
      <c r="D108" s="24" t="str">
        <f ca="1">VLOOKUP($A108,OFFSET([2]characters!$A$1,0,0,COUNTA([2]characters!$A:$A),MATCH(D$1,[2]characters!$1:$1,0)-MATCH($A$1,[2]characters!$1:$1,0)+1),MATCH(D$1,[2]characters!$1:$1,0)-MATCH($A$1,[2]characters!$1:$1,0)+1,FALSE)</f>
        <v>管理者</v>
      </c>
      <c r="E108" s="24" t="str">
        <f ca="1">VLOOKUP($A108,OFFSET([2]characters!$A$1,0,0,COUNTA([2]characters!$A:$A),MATCH(E$1,[2]characters!$1:$1,0)-MATCH($A$1,[2]characters!$1:$1,0)+1),MATCH(E$1,[2]characters!$1:$1,0)-MATCH($A$1,[2]characters!$1:$1,0)+1,FALSE)</f>
        <v>可愛い</v>
      </c>
      <c r="F108" s="24" t="str">
        <f ca="1">VLOOKUP($A108,OFFSET([2]characters!$A$1,0,0,COUNTA([2]characters!$A:$A),MATCH(F$1,[2]characters!$1:$1,0)-MATCH($A$1,[2]characters!$1:$1,0)+1),MATCH(F$1,[2]characters!$1:$1,0)-MATCH($A$1,[2]characters!$1:$1,0)+1,FALSE)</f>
        <v>女性</v>
      </c>
      <c r="G108" s="24">
        <f ca="1">VLOOKUP($A108,OFFSET([2]characters!$A$1,0,0,COUNTA([2]characters!$A:$A),MATCH(G$1,[2]characters!$1:$1,0)-MATCH($A$1,[2]characters!$1:$1,0)+1),MATCH(G$1,[2]characters!$1:$1,0)-MATCH($A$1,[2]characters!$1:$1,0)+1,FALSE)</f>
        <v>4</v>
      </c>
      <c r="H108" s="24" t="str">
        <f ca="1">VLOOKUP($A108,OFFSET([2]characters!$A$1,0,0,COUNTA([2]characters!$A:$A),MATCH(H$1,[2]characters!$1:$1,0)-MATCH($A$1,[2]characters!$1:$1,0)+1),MATCH(H$1,[2]characters!$1:$1,0)-MATCH($A$1,[2]characters!$1:$1,0)+1,FALSE)</f>
        <v>PremiumN</v>
      </c>
      <c r="I108" s="24" t="str">
        <f ca="1">VLOOKUP($A108,OFFSET([2]characters!$A$1,0,0,COUNTA([2]characters!$A:$A),MATCH(I$1,[2]characters!$1:$1,0)-MATCH($A$1,[2]characters!$1:$1,0)+1),MATCH(I$1,[2]characters!$1:$1,0)-MATCH($A$1,[2]characters!$1:$1,0)+1,FALSE)</f>
        <v>green</v>
      </c>
      <c r="J108" s="24" t="str">
        <f ca="1">VLOOKUP($A108,OFFSET([2]characters!$A$1,0,0,COUNTA([2]characters!$A:$A),MATCH(J$1,[2]characters!$1:$1,0)-MATCH($A$1,[2]characters!$1:$1,0)+1),MATCH(J$1,[2]characters!$1:$1,0)-MATCH($A$1,[2]characters!$1:$1,0)+1,FALSE)</f>
        <v>none</v>
      </c>
      <c r="K108" s="3" t="str">
        <f ca="1">VLOOKUP(J108,[2]character_tribe_i18n!$A:$H,3,FALSE)</f>
        <v>種族なし</v>
      </c>
      <c r="L108" s="5" t="e">
        <f>VLOOKUP(#REF!,[2]character_tribe_i18n!$A:$H,4,FALSE)</f>
        <v>#REF!</v>
      </c>
      <c r="M108" s="5" t="e">
        <f>VLOOKUP(#REF!,[2]character_tribe_i18n!$A:$H,5,FALSE)</f>
        <v>#REF!</v>
      </c>
      <c r="N108" s="5" t="e">
        <f>VLOOKUP(#REF!,[2]character_tribe_i18n!$A:$H,6,FALSE)</f>
        <v>#REF!</v>
      </c>
      <c r="O108" s="5" t="e">
        <f>VLOOKUP(#REF!,[2]character_tribe_i18n!$A:$H,7,FALSE)</f>
        <v>#REF!</v>
      </c>
      <c r="P108" s="83" t="s">
        <v>170</v>
      </c>
      <c r="Q108" s="4">
        <v>207</v>
      </c>
      <c r="R108" s="25" t="str">
        <f ca="1">IF(Q108="NULL","",VLOOKUP($Q108,OFFSET([2]characters!$A$1,0,0,COUNTA([2]characters!$A:$A),MATCH(R$1,[2]characters!$1:$1,0)-MATCH($A$1,[2]characters!$1:$1,0)+1),MATCH(R$1,[2]characters!$1:$1,0)-MATCH($A$1,[2]characters!$1:$1,0)+1,FALSE))</f>
        <v>豊穣の麗神・アフロディーテ</v>
      </c>
      <c r="S108" s="3">
        <f t="shared" ca="1" si="1"/>
        <v>205</v>
      </c>
      <c r="T108" s="25" t="str">
        <f ca="1">VLOOKUP($S108,OFFSET([2]characters!$A$1,0,0,COUNTA([2]characters!$A:$A),MATCH(T$1,[2]characters!$1:$1,0)-MATCH($A$1,[2]characters!$1:$1,0)+1),MATCH(T$1,[2]characters!$1:$1,0)-MATCH($A$1,[2]characters!$1:$1,0)+1,FALSE)</f>
        <v>アフロディーテ</v>
      </c>
      <c r="U108" s="5">
        <f ca="1">IF(Q108="NULL","NULL",VLOOKUP(G108,ビット!$A$2:$B$7,2))</f>
        <v>50000</v>
      </c>
    </row>
    <row r="109" spans="1:21" ht="21" customHeight="1" x14ac:dyDescent="0.15">
      <c r="A109" s="83">
        <v>208</v>
      </c>
      <c r="B109" s="24" t="str">
        <f ca="1">VLOOKUP($A109,OFFSET([2]characters!$A$1,0,0,COUNTA([2]characters!$A:$A),MATCH(B$1,[2]characters!$1:$1,0)-MATCH($A$1,[2]characters!$1:$1,0)+1),MATCH(B$1,[2]characters!$1:$1,0)-MATCH($A$1,[2]characters!$1:$1,0)+1,FALSE)</f>
        <v>テティス</v>
      </c>
      <c r="C109" s="24" t="str">
        <f ca="1">VLOOKUP($A109,OFFSET([2]characters!$A$1,0,0,COUNTA([2]characters!$A:$A),MATCH(C$1,[2]characters!$1:$1,0)-MATCH($A$1,[2]characters!$1:$1,0)+1),MATCH(C$1,[2]characters!$1:$1,0)-MATCH($A$1,[2]characters!$1:$1,0)+1,FALSE)</f>
        <v>初期ガチャ</v>
      </c>
      <c r="D109" s="24" t="str">
        <f ca="1">VLOOKUP($A109,OFFSET([2]characters!$A$1,0,0,COUNTA([2]characters!$A:$A),MATCH(D$1,[2]characters!$1:$1,0)-MATCH($A$1,[2]characters!$1:$1,0)+1),MATCH(D$1,[2]characters!$1:$1,0)-MATCH($A$1,[2]characters!$1:$1,0)+1,FALSE)</f>
        <v>管理者</v>
      </c>
      <c r="E109" s="24" t="str">
        <f ca="1">VLOOKUP($A109,OFFSET([2]characters!$A$1,0,0,COUNTA([2]characters!$A:$A),MATCH(E$1,[2]characters!$1:$1,0)-MATCH($A$1,[2]characters!$1:$1,0)+1),MATCH(E$1,[2]characters!$1:$1,0)-MATCH($A$1,[2]characters!$1:$1,0)+1,FALSE)</f>
        <v>美しい</v>
      </c>
      <c r="F109" s="24" t="str">
        <f ca="1">VLOOKUP($A109,OFFSET([2]characters!$A$1,0,0,COUNTA([2]characters!$A:$A),MATCH(F$1,[2]characters!$1:$1,0)-MATCH($A$1,[2]characters!$1:$1,0)+1),MATCH(F$1,[2]characters!$1:$1,0)-MATCH($A$1,[2]characters!$1:$1,0)+1,FALSE)</f>
        <v>女性</v>
      </c>
      <c r="G109" s="24">
        <f ca="1">VLOOKUP($A109,OFFSET([2]characters!$A$1,0,0,COUNTA([2]characters!$A:$A),MATCH(G$1,[2]characters!$1:$1,0)-MATCH($A$1,[2]characters!$1:$1,0)+1),MATCH(G$1,[2]characters!$1:$1,0)-MATCH($A$1,[2]characters!$1:$1,0)+1,FALSE)</f>
        <v>3</v>
      </c>
      <c r="H109" s="24" t="str">
        <f ca="1">VLOOKUP($A109,OFFSET([2]characters!$A$1,0,0,COUNTA([2]characters!$A:$A),MATCH(H$1,[2]characters!$1:$1,0)-MATCH($A$1,[2]characters!$1:$1,0)+1),MATCH(H$1,[2]characters!$1:$1,0)-MATCH($A$1,[2]characters!$1:$1,0)+1,FALSE)</f>
        <v>PremiumN</v>
      </c>
      <c r="I109" s="24" t="str">
        <f ca="1">VLOOKUP($A109,OFFSET([2]characters!$A$1,0,0,COUNTA([2]characters!$A:$A),MATCH(I$1,[2]characters!$1:$1,0)-MATCH($A$1,[2]characters!$1:$1,0)+1),MATCH(I$1,[2]characters!$1:$1,0)-MATCH($A$1,[2]characters!$1:$1,0)+1,FALSE)</f>
        <v>blue</v>
      </c>
      <c r="J109" s="24" t="str">
        <f ca="1">VLOOKUP($A109,OFFSET([2]characters!$A$1,0,0,COUNTA([2]characters!$A:$A),MATCH(J$1,[2]characters!$1:$1,0)-MATCH($A$1,[2]characters!$1:$1,0)+1),MATCH(J$1,[2]characters!$1:$1,0)-MATCH($A$1,[2]characters!$1:$1,0)+1,FALSE)</f>
        <v>none</v>
      </c>
      <c r="K109" s="3" t="str">
        <f ca="1">VLOOKUP(J109,[2]character_tribe_i18n!$A:$H,3,FALSE)</f>
        <v>種族なし</v>
      </c>
      <c r="L109" s="5" t="e">
        <f>VLOOKUP(#REF!,[2]character_tribe_i18n!$A:$H,4,FALSE)</f>
        <v>#REF!</v>
      </c>
      <c r="M109" s="5" t="e">
        <f>VLOOKUP(#REF!,[2]character_tribe_i18n!$A:$H,5,FALSE)</f>
        <v>#REF!</v>
      </c>
      <c r="N109" s="5" t="e">
        <f>VLOOKUP(#REF!,[2]character_tribe_i18n!$A:$H,6,FALSE)</f>
        <v>#REF!</v>
      </c>
      <c r="O109" s="5" t="e">
        <f>VLOOKUP(#REF!,[2]character_tribe_i18n!$A:$H,7,FALSE)</f>
        <v>#REF!</v>
      </c>
      <c r="P109" s="83" t="s">
        <v>170</v>
      </c>
      <c r="Q109" s="4">
        <v>209</v>
      </c>
      <c r="R109" s="25" t="str">
        <f ca="1">IF(Q109="NULL","",VLOOKUP($Q109,OFFSET([2]characters!$A$1,0,0,COUNTA([2]characters!$A:$A),MATCH(R$1,[2]characters!$1:$1,0)-MATCH($A$1,[2]characters!$1:$1,0)+1),MATCH(R$1,[2]characters!$1:$1,0)-MATCH($A$1,[2]characters!$1:$1,0)+1,FALSE))</f>
        <v>孤神 テティス</v>
      </c>
      <c r="S109" s="3">
        <f t="shared" ca="1" si="1"/>
        <v>208</v>
      </c>
      <c r="T109" s="25" t="str">
        <f ca="1">VLOOKUP($S109,OFFSET([2]characters!$A$1,0,0,COUNTA([2]characters!$A:$A),MATCH(T$1,[2]characters!$1:$1,0)-MATCH($A$1,[2]characters!$1:$1,0)+1),MATCH(T$1,[2]characters!$1:$1,0)-MATCH($A$1,[2]characters!$1:$1,0)+1,FALSE)</f>
        <v>テティス</v>
      </c>
      <c r="U109" s="5">
        <f ca="1">IF(Q109="NULL","NULL",VLOOKUP(G109,ビット!$A$2:$B$7,2))</f>
        <v>20000</v>
      </c>
    </row>
    <row r="110" spans="1:21" ht="21" customHeight="1" x14ac:dyDescent="0.15">
      <c r="A110" s="83">
        <v>209</v>
      </c>
      <c r="B110" s="24" t="str">
        <f ca="1">VLOOKUP($A110,OFFSET([2]characters!$A$1,0,0,COUNTA([2]characters!$A:$A),MATCH(B$1,[2]characters!$1:$1,0)-MATCH($A$1,[2]characters!$1:$1,0)+1),MATCH(B$1,[2]characters!$1:$1,0)-MATCH($A$1,[2]characters!$1:$1,0)+1,FALSE)</f>
        <v>孤神 テティス</v>
      </c>
      <c r="C110" s="24" t="str">
        <f ca="1">VLOOKUP($A110,OFFSET([2]characters!$A$1,0,0,COUNTA([2]characters!$A:$A),MATCH(C$1,[2]characters!$1:$1,0)-MATCH($A$1,[2]characters!$1:$1,0)+1),MATCH(C$1,[2]characters!$1:$1,0)-MATCH($A$1,[2]characters!$1:$1,0)+1,FALSE)</f>
        <v>初期ガチャ</v>
      </c>
      <c r="D110" s="24" t="str">
        <f ca="1">VLOOKUP($A110,OFFSET([2]characters!$A$1,0,0,COUNTA([2]characters!$A:$A),MATCH(D$1,[2]characters!$1:$1,0)-MATCH($A$1,[2]characters!$1:$1,0)+1),MATCH(D$1,[2]characters!$1:$1,0)-MATCH($A$1,[2]characters!$1:$1,0)+1,FALSE)</f>
        <v>管理者</v>
      </c>
      <c r="E110" s="24" t="str">
        <f ca="1">VLOOKUP($A110,OFFSET([2]characters!$A$1,0,0,COUNTA([2]characters!$A:$A),MATCH(E$1,[2]characters!$1:$1,0)-MATCH($A$1,[2]characters!$1:$1,0)+1),MATCH(E$1,[2]characters!$1:$1,0)-MATCH($A$1,[2]characters!$1:$1,0)+1,FALSE)</f>
        <v>美しい</v>
      </c>
      <c r="F110" s="24" t="str">
        <f ca="1">VLOOKUP($A110,OFFSET([2]characters!$A$1,0,0,COUNTA([2]characters!$A:$A),MATCH(F$1,[2]characters!$1:$1,0)-MATCH($A$1,[2]characters!$1:$1,0)+1),MATCH(F$1,[2]characters!$1:$1,0)-MATCH($A$1,[2]characters!$1:$1,0)+1,FALSE)</f>
        <v>女性</v>
      </c>
      <c r="G110" s="24">
        <f ca="1">VLOOKUP($A110,OFFSET([2]characters!$A$1,0,0,COUNTA([2]characters!$A:$A),MATCH(G$1,[2]characters!$1:$1,0)-MATCH($A$1,[2]characters!$1:$1,0)+1),MATCH(G$1,[2]characters!$1:$1,0)-MATCH($A$1,[2]characters!$1:$1,0)+1,FALSE)</f>
        <v>4</v>
      </c>
      <c r="H110" s="24" t="str">
        <f ca="1">VLOOKUP($A110,OFFSET([2]characters!$A$1,0,0,COUNTA([2]characters!$A:$A),MATCH(H$1,[2]characters!$1:$1,0)-MATCH($A$1,[2]characters!$1:$1,0)+1),MATCH(H$1,[2]characters!$1:$1,0)-MATCH($A$1,[2]characters!$1:$1,0)+1,FALSE)</f>
        <v>PremiumN</v>
      </c>
      <c r="I110" s="24" t="str">
        <f ca="1">VLOOKUP($A110,OFFSET([2]characters!$A$1,0,0,COUNTA([2]characters!$A:$A),MATCH(I$1,[2]characters!$1:$1,0)-MATCH($A$1,[2]characters!$1:$1,0)+1),MATCH(I$1,[2]characters!$1:$1,0)-MATCH($A$1,[2]characters!$1:$1,0)+1,FALSE)</f>
        <v>blue</v>
      </c>
      <c r="J110" s="24" t="str">
        <f ca="1">VLOOKUP($A110,OFFSET([2]characters!$A$1,0,0,COUNTA([2]characters!$A:$A),MATCH(J$1,[2]characters!$1:$1,0)-MATCH($A$1,[2]characters!$1:$1,0)+1),MATCH(J$1,[2]characters!$1:$1,0)-MATCH($A$1,[2]characters!$1:$1,0)+1,FALSE)</f>
        <v>none</v>
      </c>
      <c r="K110" s="3" t="str">
        <f ca="1">VLOOKUP(J110,[2]character_tribe_i18n!$A:$H,3,FALSE)</f>
        <v>種族なし</v>
      </c>
      <c r="L110" s="5" t="e">
        <f>VLOOKUP(#REF!,[2]character_tribe_i18n!$A:$H,4,FALSE)</f>
        <v>#REF!</v>
      </c>
      <c r="M110" s="5" t="e">
        <f>VLOOKUP(#REF!,[2]character_tribe_i18n!$A:$H,5,FALSE)</f>
        <v>#REF!</v>
      </c>
      <c r="N110" s="5" t="e">
        <f>VLOOKUP(#REF!,[2]character_tribe_i18n!$A:$H,6,FALSE)</f>
        <v>#REF!</v>
      </c>
      <c r="O110" s="5" t="e">
        <f>VLOOKUP(#REF!,[2]character_tribe_i18n!$A:$H,7,FALSE)</f>
        <v>#REF!</v>
      </c>
      <c r="P110" s="83" t="s">
        <v>170</v>
      </c>
      <c r="Q110" s="4">
        <v>210</v>
      </c>
      <c r="R110" s="25" t="str">
        <f ca="1">IF(Q110="NULL","",VLOOKUP($Q110,OFFSET([2]characters!$A$1,0,0,COUNTA([2]characters!$A:$A),MATCH(R$1,[2]characters!$1:$1,0)-MATCH($A$1,[2]characters!$1:$1,0)+1),MATCH(R$1,[2]characters!$1:$1,0)-MATCH($A$1,[2]characters!$1:$1,0)+1,FALSE))</f>
        <v>海底の孤高神 テティス</v>
      </c>
      <c r="S110" s="3">
        <f t="shared" ca="1" si="1"/>
        <v>208</v>
      </c>
      <c r="T110" s="25" t="str">
        <f ca="1">VLOOKUP($S110,OFFSET([2]characters!$A$1,0,0,COUNTA([2]characters!$A:$A),MATCH(T$1,[2]characters!$1:$1,0)-MATCH($A$1,[2]characters!$1:$1,0)+1),MATCH(T$1,[2]characters!$1:$1,0)-MATCH($A$1,[2]characters!$1:$1,0)+1,FALSE)</f>
        <v>テティス</v>
      </c>
      <c r="U110" s="5">
        <f ca="1">IF(Q110="NULL","NULL",VLOOKUP(G110,ビット!$A$2:$B$7,2))</f>
        <v>50000</v>
      </c>
    </row>
    <row r="111" spans="1:21" ht="21" customHeight="1" x14ac:dyDescent="0.15">
      <c r="A111" s="83">
        <v>211</v>
      </c>
      <c r="B111" s="24" t="str">
        <f ca="1">VLOOKUP($A111,OFFSET([2]characters!$A$1,0,0,COUNTA([2]characters!$A:$A),MATCH(B$1,[2]characters!$1:$1,0)-MATCH($A$1,[2]characters!$1:$1,0)+1),MATCH(B$1,[2]characters!$1:$1,0)-MATCH($A$1,[2]characters!$1:$1,0)+1,FALSE)</f>
        <v>アストライアー</v>
      </c>
      <c r="C111" s="24" t="str">
        <f ca="1">VLOOKUP($A111,OFFSET([2]characters!$A$1,0,0,COUNTA([2]characters!$A:$A),MATCH(C$1,[2]characters!$1:$1,0)-MATCH($A$1,[2]characters!$1:$1,0)+1),MATCH(C$1,[2]characters!$1:$1,0)-MATCH($A$1,[2]characters!$1:$1,0)+1,FALSE)</f>
        <v>初期ガチャ</v>
      </c>
      <c r="D111" s="24" t="str">
        <f ca="1">VLOOKUP($A111,OFFSET([2]characters!$A$1,0,0,COUNTA([2]characters!$A:$A),MATCH(D$1,[2]characters!$1:$1,0)-MATCH($A$1,[2]characters!$1:$1,0)+1),MATCH(D$1,[2]characters!$1:$1,0)-MATCH($A$1,[2]characters!$1:$1,0)+1,FALSE)</f>
        <v>管理者</v>
      </c>
      <c r="E111" s="24" t="str">
        <f ca="1">VLOOKUP($A111,OFFSET([2]characters!$A$1,0,0,COUNTA([2]characters!$A:$A),MATCH(E$1,[2]characters!$1:$1,0)-MATCH($A$1,[2]characters!$1:$1,0)+1),MATCH(E$1,[2]characters!$1:$1,0)-MATCH($A$1,[2]characters!$1:$1,0)+1,FALSE)</f>
        <v>美しい</v>
      </c>
      <c r="F111" s="24" t="str">
        <f ca="1">VLOOKUP($A111,OFFSET([2]characters!$A$1,0,0,COUNTA([2]characters!$A:$A),MATCH(F$1,[2]characters!$1:$1,0)-MATCH($A$1,[2]characters!$1:$1,0)+1),MATCH(F$1,[2]characters!$1:$1,0)-MATCH($A$1,[2]characters!$1:$1,0)+1,FALSE)</f>
        <v>女性</v>
      </c>
      <c r="G111" s="24">
        <f ca="1">VLOOKUP($A111,OFFSET([2]characters!$A$1,0,0,COUNTA([2]characters!$A:$A),MATCH(G$1,[2]characters!$1:$1,0)-MATCH($A$1,[2]characters!$1:$1,0)+1),MATCH(G$1,[2]characters!$1:$1,0)-MATCH($A$1,[2]characters!$1:$1,0)+1,FALSE)</f>
        <v>3</v>
      </c>
      <c r="H111" s="24" t="str">
        <f ca="1">VLOOKUP($A111,OFFSET([2]characters!$A$1,0,0,COUNTA([2]characters!$A:$A),MATCH(H$1,[2]characters!$1:$1,0)-MATCH($A$1,[2]characters!$1:$1,0)+1),MATCH(H$1,[2]characters!$1:$1,0)-MATCH($A$1,[2]characters!$1:$1,0)+1,FALSE)</f>
        <v>PremiumN</v>
      </c>
      <c r="I111" s="24" t="str">
        <f ca="1">VLOOKUP($A111,OFFSET([2]characters!$A$1,0,0,COUNTA([2]characters!$A:$A),MATCH(I$1,[2]characters!$1:$1,0)-MATCH($A$1,[2]characters!$1:$1,0)+1),MATCH(I$1,[2]characters!$1:$1,0)-MATCH($A$1,[2]characters!$1:$1,0)+1,FALSE)</f>
        <v>yellow</v>
      </c>
      <c r="J111" s="24" t="str">
        <f ca="1">VLOOKUP($A111,OFFSET([2]characters!$A$1,0,0,COUNTA([2]characters!$A:$A),MATCH(J$1,[2]characters!$1:$1,0)-MATCH($A$1,[2]characters!$1:$1,0)+1),MATCH(J$1,[2]characters!$1:$1,0)-MATCH($A$1,[2]characters!$1:$1,0)+1,FALSE)</f>
        <v>none</v>
      </c>
      <c r="K111" s="3" t="str">
        <f ca="1">VLOOKUP(J111,[2]character_tribe_i18n!$A:$H,3,FALSE)</f>
        <v>種族なし</v>
      </c>
      <c r="L111" s="5" t="e">
        <f>VLOOKUP(#REF!,[2]character_tribe_i18n!$A:$H,4,FALSE)</f>
        <v>#REF!</v>
      </c>
      <c r="M111" s="5" t="e">
        <f>VLOOKUP(#REF!,[2]character_tribe_i18n!$A:$H,5,FALSE)</f>
        <v>#REF!</v>
      </c>
      <c r="N111" s="5" t="e">
        <f>VLOOKUP(#REF!,[2]character_tribe_i18n!$A:$H,6,FALSE)</f>
        <v>#REF!</v>
      </c>
      <c r="O111" s="5" t="e">
        <f>VLOOKUP(#REF!,[2]character_tribe_i18n!$A:$H,7,FALSE)</f>
        <v>#REF!</v>
      </c>
      <c r="P111" s="83" t="s">
        <v>170</v>
      </c>
      <c r="Q111" s="4">
        <v>212</v>
      </c>
      <c r="R111" s="25" t="str">
        <f ca="1">IF(Q111="NULL","",VLOOKUP($Q111,OFFSET([2]characters!$A$1,0,0,COUNTA([2]characters!$A:$A),MATCH(R$1,[2]characters!$1:$1,0)-MATCH($A$1,[2]characters!$1:$1,0)+1),MATCH(R$1,[2]characters!$1:$1,0)-MATCH($A$1,[2]characters!$1:$1,0)+1,FALSE))</f>
        <v>星神 アストライアー</v>
      </c>
      <c r="S111" s="3">
        <f t="shared" ca="1" si="1"/>
        <v>211</v>
      </c>
      <c r="T111" s="25" t="str">
        <f ca="1">VLOOKUP($S111,OFFSET([2]characters!$A$1,0,0,COUNTA([2]characters!$A:$A),MATCH(T$1,[2]characters!$1:$1,0)-MATCH($A$1,[2]characters!$1:$1,0)+1),MATCH(T$1,[2]characters!$1:$1,0)-MATCH($A$1,[2]characters!$1:$1,0)+1,FALSE)</f>
        <v>アストライアー</v>
      </c>
      <c r="U111" s="5">
        <f ca="1">IF(Q111="NULL","NULL",VLOOKUP(G111,ビット!$A$2:$B$7,2))</f>
        <v>20000</v>
      </c>
    </row>
    <row r="112" spans="1:21" ht="21" customHeight="1" x14ac:dyDescent="0.15">
      <c r="A112" s="83">
        <v>212</v>
      </c>
      <c r="B112" s="24" t="str">
        <f ca="1">VLOOKUP($A112,OFFSET([2]characters!$A$1,0,0,COUNTA([2]characters!$A:$A),MATCH(B$1,[2]characters!$1:$1,0)-MATCH($A$1,[2]characters!$1:$1,0)+1),MATCH(B$1,[2]characters!$1:$1,0)-MATCH($A$1,[2]characters!$1:$1,0)+1,FALSE)</f>
        <v>星神 アストライアー</v>
      </c>
      <c r="C112" s="24" t="str">
        <f ca="1">VLOOKUP($A112,OFFSET([2]characters!$A$1,0,0,COUNTA([2]characters!$A:$A),MATCH(C$1,[2]characters!$1:$1,0)-MATCH($A$1,[2]characters!$1:$1,0)+1),MATCH(C$1,[2]characters!$1:$1,0)-MATCH($A$1,[2]characters!$1:$1,0)+1,FALSE)</f>
        <v>初期ガチャ</v>
      </c>
      <c r="D112" s="24" t="str">
        <f ca="1">VLOOKUP($A112,OFFSET([2]characters!$A$1,0,0,COUNTA([2]characters!$A:$A),MATCH(D$1,[2]characters!$1:$1,0)-MATCH($A$1,[2]characters!$1:$1,0)+1),MATCH(D$1,[2]characters!$1:$1,0)-MATCH($A$1,[2]characters!$1:$1,0)+1,FALSE)</f>
        <v>管理者</v>
      </c>
      <c r="E112" s="24" t="str">
        <f ca="1">VLOOKUP($A112,OFFSET([2]characters!$A$1,0,0,COUNTA([2]characters!$A:$A),MATCH(E$1,[2]characters!$1:$1,0)-MATCH($A$1,[2]characters!$1:$1,0)+1),MATCH(E$1,[2]characters!$1:$1,0)-MATCH($A$1,[2]characters!$1:$1,0)+1,FALSE)</f>
        <v>美しい</v>
      </c>
      <c r="F112" s="24" t="str">
        <f ca="1">VLOOKUP($A112,OFFSET([2]characters!$A$1,0,0,COUNTA([2]characters!$A:$A),MATCH(F$1,[2]characters!$1:$1,0)-MATCH($A$1,[2]characters!$1:$1,0)+1),MATCH(F$1,[2]characters!$1:$1,0)-MATCH($A$1,[2]characters!$1:$1,0)+1,FALSE)</f>
        <v>女性</v>
      </c>
      <c r="G112" s="24">
        <f ca="1">VLOOKUP($A112,OFFSET([2]characters!$A$1,0,0,COUNTA([2]characters!$A:$A),MATCH(G$1,[2]characters!$1:$1,0)-MATCH($A$1,[2]characters!$1:$1,0)+1),MATCH(G$1,[2]characters!$1:$1,0)-MATCH($A$1,[2]characters!$1:$1,0)+1,FALSE)</f>
        <v>4</v>
      </c>
      <c r="H112" s="24" t="str">
        <f ca="1">VLOOKUP($A112,OFFSET([2]characters!$A$1,0,0,COUNTA([2]characters!$A:$A),MATCH(H$1,[2]characters!$1:$1,0)-MATCH($A$1,[2]characters!$1:$1,0)+1),MATCH(H$1,[2]characters!$1:$1,0)-MATCH($A$1,[2]characters!$1:$1,0)+1,FALSE)</f>
        <v>PremiumN</v>
      </c>
      <c r="I112" s="24" t="str">
        <f ca="1">VLOOKUP($A112,OFFSET([2]characters!$A$1,0,0,COUNTA([2]characters!$A:$A),MATCH(I$1,[2]characters!$1:$1,0)-MATCH($A$1,[2]characters!$1:$1,0)+1),MATCH(I$1,[2]characters!$1:$1,0)-MATCH($A$1,[2]characters!$1:$1,0)+1,FALSE)</f>
        <v>yellow</v>
      </c>
      <c r="J112" s="24" t="str">
        <f ca="1">VLOOKUP($A112,OFFSET([2]characters!$A$1,0,0,COUNTA([2]characters!$A:$A),MATCH(J$1,[2]characters!$1:$1,0)-MATCH($A$1,[2]characters!$1:$1,0)+1),MATCH(J$1,[2]characters!$1:$1,0)-MATCH($A$1,[2]characters!$1:$1,0)+1,FALSE)</f>
        <v>none</v>
      </c>
      <c r="K112" s="3" t="str">
        <f ca="1">VLOOKUP(J112,[2]character_tribe_i18n!$A:$H,3,FALSE)</f>
        <v>種族なし</v>
      </c>
      <c r="L112" s="5" t="e">
        <f>VLOOKUP(#REF!,[2]character_tribe_i18n!$A:$H,4,FALSE)</f>
        <v>#REF!</v>
      </c>
      <c r="M112" s="5" t="e">
        <f>VLOOKUP(#REF!,[2]character_tribe_i18n!$A:$H,5,FALSE)</f>
        <v>#REF!</v>
      </c>
      <c r="N112" s="5" t="e">
        <f>VLOOKUP(#REF!,[2]character_tribe_i18n!$A:$H,6,FALSE)</f>
        <v>#REF!</v>
      </c>
      <c r="O112" s="5" t="e">
        <f>VLOOKUP(#REF!,[2]character_tribe_i18n!$A:$H,7,FALSE)</f>
        <v>#REF!</v>
      </c>
      <c r="P112" s="83" t="s">
        <v>170</v>
      </c>
      <c r="Q112" s="4">
        <v>213</v>
      </c>
      <c r="R112" s="25" t="str">
        <f ca="1">IF(Q112="NULL","",VLOOKUP($Q112,OFFSET([2]characters!$A$1,0,0,COUNTA([2]characters!$A:$A),MATCH(R$1,[2]characters!$1:$1,0)-MATCH($A$1,[2]characters!$1:$1,0)+1),MATCH(R$1,[2]characters!$1:$1,0)-MATCH($A$1,[2]characters!$1:$1,0)+1,FALSE))</f>
        <v>満天の星降神 アストライアー</v>
      </c>
      <c r="S112" s="3">
        <f t="shared" ca="1" si="1"/>
        <v>211</v>
      </c>
      <c r="T112" s="25" t="str">
        <f ca="1">VLOOKUP($S112,OFFSET([2]characters!$A$1,0,0,COUNTA([2]characters!$A:$A),MATCH(T$1,[2]characters!$1:$1,0)-MATCH($A$1,[2]characters!$1:$1,0)+1),MATCH(T$1,[2]characters!$1:$1,0)-MATCH($A$1,[2]characters!$1:$1,0)+1,FALSE)</f>
        <v>アストライアー</v>
      </c>
      <c r="U112" s="5">
        <f ca="1">IF(Q112="NULL","NULL",VLOOKUP(G112,ビット!$A$2:$B$7,2))</f>
        <v>50000</v>
      </c>
    </row>
    <row r="113" spans="1:21" ht="21" customHeight="1" x14ac:dyDescent="0.15">
      <c r="A113" s="83">
        <v>214</v>
      </c>
      <c r="B113" s="24" t="str">
        <f ca="1">VLOOKUP($A113,OFFSET([2]characters!$A$1,0,0,COUNTA([2]characters!$A:$A),MATCH(B$1,[2]characters!$1:$1,0)-MATCH($A$1,[2]characters!$1:$1,0)+1),MATCH(B$1,[2]characters!$1:$1,0)-MATCH($A$1,[2]characters!$1:$1,0)+1,FALSE)</f>
        <v>アズラエル</v>
      </c>
      <c r="C113" s="24" t="str">
        <f ca="1">VLOOKUP($A113,OFFSET([2]characters!$A$1,0,0,COUNTA([2]characters!$A:$A),MATCH(C$1,[2]characters!$1:$1,0)-MATCH($A$1,[2]characters!$1:$1,0)+1),MATCH(C$1,[2]characters!$1:$1,0)-MATCH($A$1,[2]characters!$1:$1,0)+1,FALSE)</f>
        <v>初期ガチャ</v>
      </c>
      <c r="D113" s="24" t="str">
        <f ca="1">VLOOKUP($A113,OFFSET([2]characters!$A$1,0,0,COUNTA([2]characters!$A:$A),MATCH(D$1,[2]characters!$1:$1,0)-MATCH($A$1,[2]characters!$1:$1,0)+1),MATCH(D$1,[2]characters!$1:$1,0)-MATCH($A$1,[2]characters!$1:$1,0)+1,FALSE)</f>
        <v>管理者</v>
      </c>
      <c r="E113" s="24" t="str">
        <f ca="1">VLOOKUP($A113,OFFSET([2]characters!$A$1,0,0,COUNTA([2]characters!$A:$A),MATCH(E$1,[2]characters!$1:$1,0)-MATCH($A$1,[2]characters!$1:$1,0)+1),MATCH(E$1,[2]characters!$1:$1,0)-MATCH($A$1,[2]characters!$1:$1,0)+1,FALSE)</f>
        <v>可愛い</v>
      </c>
      <c r="F113" s="24" t="str">
        <f ca="1">VLOOKUP($A113,OFFSET([2]characters!$A$1,0,0,COUNTA([2]characters!$A:$A),MATCH(F$1,[2]characters!$1:$1,0)-MATCH($A$1,[2]characters!$1:$1,0)+1),MATCH(F$1,[2]characters!$1:$1,0)-MATCH($A$1,[2]characters!$1:$1,0)+1,FALSE)</f>
        <v>女性</v>
      </c>
      <c r="G113" s="24">
        <f ca="1">VLOOKUP($A113,OFFSET([2]characters!$A$1,0,0,COUNTA([2]characters!$A:$A),MATCH(G$1,[2]characters!$1:$1,0)-MATCH($A$1,[2]characters!$1:$1,0)+1),MATCH(G$1,[2]characters!$1:$1,0)-MATCH($A$1,[2]characters!$1:$1,0)+1,FALSE)</f>
        <v>3</v>
      </c>
      <c r="H113" s="24" t="str">
        <f ca="1">VLOOKUP($A113,OFFSET([2]characters!$A$1,0,0,COUNTA([2]characters!$A:$A),MATCH(H$1,[2]characters!$1:$1,0)-MATCH($A$1,[2]characters!$1:$1,0)+1),MATCH(H$1,[2]characters!$1:$1,0)-MATCH($A$1,[2]characters!$1:$1,0)+1,FALSE)</f>
        <v>PremiumN</v>
      </c>
      <c r="I113" s="24" t="str">
        <f ca="1">VLOOKUP($A113,OFFSET([2]characters!$A$1,0,0,COUNTA([2]characters!$A:$A),MATCH(I$1,[2]characters!$1:$1,0)-MATCH($A$1,[2]characters!$1:$1,0)+1),MATCH(I$1,[2]characters!$1:$1,0)-MATCH($A$1,[2]characters!$1:$1,0)+1,FALSE)</f>
        <v>red</v>
      </c>
      <c r="J113" s="24" t="str">
        <f ca="1">VLOOKUP($A113,OFFSET([2]characters!$A$1,0,0,COUNTA([2]characters!$A:$A),MATCH(J$1,[2]characters!$1:$1,0)-MATCH($A$1,[2]characters!$1:$1,0)+1),MATCH(J$1,[2]characters!$1:$1,0)-MATCH($A$1,[2]characters!$1:$1,0)+1,FALSE)</f>
        <v>none</v>
      </c>
      <c r="K113" s="3" t="str">
        <f ca="1">VLOOKUP(J113,[2]character_tribe_i18n!$A:$H,3,FALSE)</f>
        <v>種族なし</v>
      </c>
      <c r="L113" s="5" t="e">
        <f>VLOOKUP(#REF!,[2]character_tribe_i18n!$A:$H,4,FALSE)</f>
        <v>#REF!</v>
      </c>
      <c r="M113" s="5" t="e">
        <f>VLOOKUP(#REF!,[2]character_tribe_i18n!$A:$H,5,FALSE)</f>
        <v>#REF!</v>
      </c>
      <c r="N113" s="5" t="e">
        <f>VLOOKUP(#REF!,[2]character_tribe_i18n!$A:$H,6,FALSE)</f>
        <v>#REF!</v>
      </c>
      <c r="O113" s="5" t="e">
        <f>VLOOKUP(#REF!,[2]character_tribe_i18n!$A:$H,7,FALSE)</f>
        <v>#REF!</v>
      </c>
      <c r="P113" s="83" t="s">
        <v>170</v>
      </c>
      <c r="Q113" s="4">
        <v>215</v>
      </c>
      <c r="R113" s="25" t="str">
        <f ca="1">IF(Q113="NULL","",VLOOKUP($Q113,OFFSET([2]characters!$A$1,0,0,COUNTA([2]characters!$A:$A),MATCH(R$1,[2]characters!$1:$1,0)-MATCH($A$1,[2]characters!$1:$1,0)+1),MATCH(R$1,[2]characters!$1:$1,0)-MATCH($A$1,[2]characters!$1:$1,0)+1,FALSE))</f>
        <v>死導者 アズラエル</v>
      </c>
      <c r="S113" s="3">
        <f t="shared" ca="1" si="1"/>
        <v>214</v>
      </c>
      <c r="T113" s="25" t="str">
        <f ca="1">VLOOKUP($S113,OFFSET([2]characters!$A$1,0,0,COUNTA([2]characters!$A:$A),MATCH(T$1,[2]characters!$1:$1,0)-MATCH($A$1,[2]characters!$1:$1,0)+1),MATCH(T$1,[2]characters!$1:$1,0)-MATCH($A$1,[2]characters!$1:$1,0)+1,FALSE)</f>
        <v>アズラエル</v>
      </c>
      <c r="U113" s="5">
        <f ca="1">IF(Q113="NULL","NULL",VLOOKUP(G113,ビット!$A$2:$B$7,2))</f>
        <v>20000</v>
      </c>
    </row>
    <row r="114" spans="1:21" ht="21" customHeight="1" x14ac:dyDescent="0.15">
      <c r="A114" s="83">
        <v>215</v>
      </c>
      <c r="B114" s="24" t="str">
        <f ca="1">VLOOKUP($A114,OFFSET([2]characters!$A$1,0,0,COUNTA([2]characters!$A:$A),MATCH(B$1,[2]characters!$1:$1,0)-MATCH($A$1,[2]characters!$1:$1,0)+1),MATCH(B$1,[2]characters!$1:$1,0)-MATCH($A$1,[2]characters!$1:$1,0)+1,FALSE)</f>
        <v>死導者 アズラエル</v>
      </c>
      <c r="C114" s="24" t="str">
        <f ca="1">VLOOKUP($A114,OFFSET([2]characters!$A$1,0,0,COUNTA([2]characters!$A:$A),MATCH(C$1,[2]characters!$1:$1,0)-MATCH($A$1,[2]characters!$1:$1,0)+1),MATCH(C$1,[2]characters!$1:$1,0)-MATCH($A$1,[2]characters!$1:$1,0)+1,FALSE)</f>
        <v>初期ガチャ</v>
      </c>
      <c r="D114" s="24" t="str">
        <f ca="1">VLOOKUP($A114,OFFSET([2]characters!$A$1,0,0,COUNTA([2]characters!$A:$A),MATCH(D$1,[2]characters!$1:$1,0)-MATCH($A$1,[2]characters!$1:$1,0)+1),MATCH(D$1,[2]characters!$1:$1,0)-MATCH($A$1,[2]characters!$1:$1,0)+1,FALSE)</f>
        <v>管理者</v>
      </c>
      <c r="E114" s="24" t="str">
        <f ca="1">VLOOKUP($A114,OFFSET([2]characters!$A$1,0,0,COUNTA([2]characters!$A:$A),MATCH(E$1,[2]characters!$1:$1,0)-MATCH($A$1,[2]characters!$1:$1,0)+1),MATCH(E$1,[2]characters!$1:$1,0)-MATCH($A$1,[2]characters!$1:$1,0)+1,FALSE)</f>
        <v>可愛い</v>
      </c>
      <c r="F114" s="24" t="str">
        <f ca="1">VLOOKUP($A114,OFFSET([2]characters!$A$1,0,0,COUNTA([2]characters!$A:$A),MATCH(F$1,[2]characters!$1:$1,0)-MATCH($A$1,[2]characters!$1:$1,0)+1),MATCH(F$1,[2]characters!$1:$1,0)-MATCH($A$1,[2]characters!$1:$1,0)+1,FALSE)</f>
        <v>女性</v>
      </c>
      <c r="G114" s="24">
        <f ca="1">VLOOKUP($A114,OFFSET([2]characters!$A$1,0,0,COUNTA([2]characters!$A:$A),MATCH(G$1,[2]characters!$1:$1,0)-MATCH($A$1,[2]characters!$1:$1,0)+1),MATCH(G$1,[2]characters!$1:$1,0)-MATCH($A$1,[2]characters!$1:$1,0)+1,FALSE)</f>
        <v>4</v>
      </c>
      <c r="H114" s="24" t="str">
        <f ca="1">VLOOKUP($A114,OFFSET([2]characters!$A$1,0,0,COUNTA([2]characters!$A:$A),MATCH(H$1,[2]characters!$1:$1,0)-MATCH($A$1,[2]characters!$1:$1,0)+1),MATCH(H$1,[2]characters!$1:$1,0)-MATCH($A$1,[2]characters!$1:$1,0)+1,FALSE)</f>
        <v>PremiumN</v>
      </c>
      <c r="I114" s="24" t="str">
        <f ca="1">VLOOKUP($A114,OFFSET([2]characters!$A$1,0,0,COUNTA([2]characters!$A:$A),MATCH(I$1,[2]characters!$1:$1,0)-MATCH($A$1,[2]characters!$1:$1,0)+1),MATCH(I$1,[2]characters!$1:$1,0)-MATCH($A$1,[2]characters!$1:$1,0)+1,FALSE)</f>
        <v>red</v>
      </c>
      <c r="J114" s="24" t="str">
        <f ca="1">VLOOKUP($A114,OFFSET([2]characters!$A$1,0,0,COUNTA([2]characters!$A:$A),MATCH(J$1,[2]characters!$1:$1,0)-MATCH($A$1,[2]characters!$1:$1,0)+1),MATCH(J$1,[2]characters!$1:$1,0)-MATCH($A$1,[2]characters!$1:$1,0)+1,FALSE)</f>
        <v>none</v>
      </c>
      <c r="K114" s="3" t="str">
        <f ca="1">VLOOKUP(J114,[2]character_tribe_i18n!$A:$H,3,FALSE)</f>
        <v>種族なし</v>
      </c>
      <c r="L114" s="5" t="e">
        <f>VLOOKUP(#REF!,[2]character_tribe_i18n!$A:$H,4,FALSE)</f>
        <v>#REF!</v>
      </c>
      <c r="M114" s="5" t="e">
        <f>VLOOKUP(#REF!,[2]character_tribe_i18n!$A:$H,5,FALSE)</f>
        <v>#REF!</v>
      </c>
      <c r="N114" s="5" t="e">
        <f>VLOOKUP(#REF!,[2]character_tribe_i18n!$A:$H,6,FALSE)</f>
        <v>#REF!</v>
      </c>
      <c r="O114" s="5" t="e">
        <f>VLOOKUP(#REF!,[2]character_tribe_i18n!$A:$H,7,FALSE)</f>
        <v>#REF!</v>
      </c>
      <c r="P114" s="83" t="s">
        <v>170</v>
      </c>
      <c r="Q114" s="4">
        <v>216</v>
      </c>
      <c r="R114" s="25" t="str">
        <f ca="1">IF(Q114="NULL","",VLOOKUP($Q114,OFFSET([2]characters!$A$1,0,0,COUNTA([2]characters!$A:$A),MATCH(R$1,[2]characters!$1:$1,0)-MATCH($A$1,[2]characters!$1:$1,0)+1),MATCH(R$1,[2]characters!$1:$1,0)-MATCH($A$1,[2]characters!$1:$1,0)+1,FALSE))</f>
        <v>百読の死導司書 アズラエル</v>
      </c>
      <c r="S114" s="3">
        <f t="shared" ca="1" si="1"/>
        <v>214</v>
      </c>
      <c r="T114" s="25" t="str">
        <f ca="1">VLOOKUP($S114,OFFSET([2]characters!$A$1,0,0,COUNTA([2]characters!$A:$A),MATCH(T$1,[2]characters!$1:$1,0)-MATCH($A$1,[2]characters!$1:$1,0)+1),MATCH(T$1,[2]characters!$1:$1,0)-MATCH($A$1,[2]characters!$1:$1,0)+1,FALSE)</f>
        <v>アズラエル</v>
      </c>
      <c r="U114" s="5">
        <f ca="1">IF(Q114="NULL","NULL",VLOOKUP(G114,ビット!$A$2:$B$7,2))</f>
        <v>50000</v>
      </c>
    </row>
    <row r="115" spans="1:21" ht="21" customHeight="1" x14ac:dyDescent="0.15">
      <c r="A115" s="83">
        <v>217</v>
      </c>
      <c r="B115" s="24" t="str">
        <f ca="1">VLOOKUP($A115,OFFSET([2]characters!$A$1,0,0,COUNTA([2]characters!$A:$A),MATCH(B$1,[2]characters!$1:$1,0)-MATCH($A$1,[2]characters!$1:$1,0)+1),MATCH(B$1,[2]characters!$1:$1,0)-MATCH($A$1,[2]characters!$1:$1,0)+1,FALSE)</f>
        <v>ケツァクアトル</v>
      </c>
      <c r="C115" s="24" t="str">
        <f ca="1">VLOOKUP($A115,OFFSET([2]characters!$A$1,0,0,COUNTA([2]characters!$A:$A),MATCH(C$1,[2]characters!$1:$1,0)-MATCH($A$1,[2]characters!$1:$1,0)+1),MATCH(C$1,[2]characters!$1:$1,0)-MATCH($A$1,[2]characters!$1:$1,0)+1,FALSE)</f>
        <v>初期ガチャ</v>
      </c>
      <c r="D115" s="24" t="str">
        <f ca="1">VLOOKUP($A115,OFFSET([2]characters!$A$1,0,0,COUNTA([2]characters!$A:$A),MATCH(D$1,[2]characters!$1:$1,0)-MATCH($A$1,[2]characters!$1:$1,0)+1),MATCH(D$1,[2]characters!$1:$1,0)-MATCH($A$1,[2]characters!$1:$1,0)+1,FALSE)</f>
        <v>破界者</v>
      </c>
      <c r="E115" s="24" t="str">
        <f ca="1">VLOOKUP($A115,OFFSET([2]characters!$A$1,0,0,COUNTA([2]characters!$A:$A),MATCH(E$1,[2]characters!$1:$1,0)-MATCH($A$1,[2]characters!$1:$1,0)+1),MATCH(E$1,[2]characters!$1:$1,0)-MATCH($A$1,[2]characters!$1:$1,0)+1,FALSE)</f>
        <v>美しい</v>
      </c>
      <c r="F115" s="24" t="str">
        <f ca="1">VLOOKUP($A115,OFFSET([2]characters!$A$1,0,0,COUNTA([2]characters!$A:$A),MATCH(F$1,[2]characters!$1:$1,0)-MATCH($A$1,[2]characters!$1:$1,0)+1),MATCH(F$1,[2]characters!$1:$1,0)-MATCH($A$1,[2]characters!$1:$1,0)+1,FALSE)</f>
        <v>女性</v>
      </c>
      <c r="G115" s="24">
        <f ca="1">VLOOKUP($A115,OFFSET([2]characters!$A$1,0,0,COUNTA([2]characters!$A:$A),MATCH(G$1,[2]characters!$1:$1,0)-MATCH($A$1,[2]characters!$1:$1,0)+1),MATCH(G$1,[2]characters!$1:$1,0)-MATCH($A$1,[2]characters!$1:$1,0)+1,FALSE)</f>
        <v>3</v>
      </c>
      <c r="H115" s="24" t="str">
        <f ca="1">VLOOKUP($A115,OFFSET([2]characters!$A$1,0,0,COUNTA([2]characters!$A:$A),MATCH(H$1,[2]characters!$1:$1,0)-MATCH($A$1,[2]characters!$1:$1,0)+1),MATCH(H$1,[2]characters!$1:$1,0)-MATCH($A$1,[2]characters!$1:$1,0)+1,FALSE)</f>
        <v>PremiumN</v>
      </c>
      <c r="I115" s="24" t="str">
        <f ca="1">VLOOKUP($A115,OFFSET([2]characters!$A$1,0,0,COUNTA([2]characters!$A:$A),MATCH(I$1,[2]characters!$1:$1,0)-MATCH($A$1,[2]characters!$1:$1,0)+1),MATCH(I$1,[2]characters!$1:$1,0)-MATCH($A$1,[2]characters!$1:$1,0)+1,FALSE)</f>
        <v>green</v>
      </c>
      <c r="J115" s="24" t="str">
        <f ca="1">VLOOKUP($A115,OFFSET([2]characters!$A$1,0,0,COUNTA([2]characters!$A:$A),MATCH(J$1,[2]characters!$1:$1,0)-MATCH($A$1,[2]characters!$1:$1,0)+1),MATCH(J$1,[2]characters!$1:$1,0)-MATCH($A$1,[2]characters!$1:$1,0)+1,FALSE)</f>
        <v>none</v>
      </c>
      <c r="K115" s="3" t="str">
        <f ca="1">VLOOKUP(J115,[2]character_tribe_i18n!$A:$H,3,FALSE)</f>
        <v>種族なし</v>
      </c>
      <c r="L115" s="5" t="e">
        <f>VLOOKUP(#REF!,[2]character_tribe_i18n!$A:$H,4,FALSE)</f>
        <v>#REF!</v>
      </c>
      <c r="M115" s="5" t="e">
        <f>VLOOKUP(#REF!,[2]character_tribe_i18n!$A:$H,5,FALSE)</f>
        <v>#REF!</v>
      </c>
      <c r="N115" s="5" t="e">
        <f>VLOOKUP(#REF!,[2]character_tribe_i18n!$A:$H,6,FALSE)</f>
        <v>#REF!</v>
      </c>
      <c r="O115" s="5" t="e">
        <f>VLOOKUP(#REF!,[2]character_tribe_i18n!$A:$H,7,FALSE)</f>
        <v>#REF!</v>
      </c>
      <c r="P115" s="83" t="s">
        <v>170</v>
      </c>
      <c r="Q115" s="4">
        <v>218</v>
      </c>
      <c r="R115" s="25" t="str">
        <f ca="1">IF(Q115="NULL","",VLOOKUP($Q115,OFFSET([2]characters!$A$1,0,0,COUNTA([2]characters!$A:$A),MATCH(R$1,[2]characters!$1:$1,0)-MATCH($A$1,[2]characters!$1:$1,0)+1),MATCH(R$1,[2]characters!$1:$1,0)-MATCH($A$1,[2]characters!$1:$1,0)+1,FALSE))</f>
        <v>聖蛇 ケツァクアトル</v>
      </c>
      <c r="S115" s="3">
        <f t="shared" ca="1" si="1"/>
        <v>217</v>
      </c>
      <c r="T115" s="25" t="str">
        <f ca="1">VLOOKUP($S115,OFFSET([2]characters!$A$1,0,0,COUNTA([2]characters!$A:$A),MATCH(T$1,[2]characters!$1:$1,0)-MATCH($A$1,[2]characters!$1:$1,0)+1),MATCH(T$1,[2]characters!$1:$1,0)-MATCH($A$1,[2]characters!$1:$1,0)+1,FALSE)</f>
        <v>ケツァクアトル</v>
      </c>
      <c r="U115" s="5">
        <f ca="1">IF(Q115="NULL","NULL",VLOOKUP(G115,ビット!$A$2:$B$7,2))</f>
        <v>20000</v>
      </c>
    </row>
    <row r="116" spans="1:21" ht="21" customHeight="1" x14ac:dyDescent="0.15">
      <c r="A116" s="83">
        <v>218</v>
      </c>
      <c r="B116" s="24" t="str">
        <f ca="1">VLOOKUP($A116,OFFSET([2]characters!$A$1,0,0,COUNTA([2]characters!$A:$A),MATCH(B$1,[2]characters!$1:$1,0)-MATCH($A$1,[2]characters!$1:$1,0)+1),MATCH(B$1,[2]characters!$1:$1,0)-MATCH($A$1,[2]characters!$1:$1,0)+1,FALSE)</f>
        <v>聖蛇 ケツァクアトル</v>
      </c>
      <c r="C116" s="24" t="str">
        <f ca="1">VLOOKUP($A116,OFFSET([2]characters!$A$1,0,0,COUNTA([2]characters!$A:$A),MATCH(C$1,[2]characters!$1:$1,0)-MATCH($A$1,[2]characters!$1:$1,0)+1),MATCH(C$1,[2]characters!$1:$1,0)-MATCH($A$1,[2]characters!$1:$1,0)+1,FALSE)</f>
        <v>初期ガチャ</v>
      </c>
      <c r="D116" s="24" t="str">
        <f ca="1">VLOOKUP($A116,OFFSET([2]characters!$A$1,0,0,COUNTA([2]characters!$A:$A),MATCH(D$1,[2]characters!$1:$1,0)-MATCH($A$1,[2]characters!$1:$1,0)+1),MATCH(D$1,[2]characters!$1:$1,0)-MATCH($A$1,[2]characters!$1:$1,0)+1,FALSE)</f>
        <v>破界者</v>
      </c>
      <c r="E116" s="24" t="str">
        <f ca="1">VLOOKUP($A116,OFFSET([2]characters!$A$1,0,0,COUNTA([2]characters!$A:$A),MATCH(E$1,[2]characters!$1:$1,0)-MATCH($A$1,[2]characters!$1:$1,0)+1),MATCH(E$1,[2]characters!$1:$1,0)-MATCH($A$1,[2]characters!$1:$1,0)+1,FALSE)</f>
        <v>美しい</v>
      </c>
      <c r="F116" s="24" t="str">
        <f ca="1">VLOOKUP($A116,OFFSET([2]characters!$A$1,0,0,COUNTA([2]characters!$A:$A),MATCH(F$1,[2]characters!$1:$1,0)-MATCH($A$1,[2]characters!$1:$1,0)+1),MATCH(F$1,[2]characters!$1:$1,0)-MATCH($A$1,[2]characters!$1:$1,0)+1,FALSE)</f>
        <v>女性</v>
      </c>
      <c r="G116" s="24">
        <f ca="1">VLOOKUP($A116,OFFSET([2]characters!$A$1,0,0,COUNTA([2]characters!$A:$A),MATCH(G$1,[2]characters!$1:$1,0)-MATCH($A$1,[2]characters!$1:$1,0)+1),MATCH(G$1,[2]characters!$1:$1,0)-MATCH($A$1,[2]characters!$1:$1,0)+1,FALSE)</f>
        <v>4</v>
      </c>
      <c r="H116" s="24" t="str">
        <f ca="1">VLOOKUP($A116,OFFSET([2]characters!$A$1,0,0,COUNTA([2]characters!$A:$A),MATCH(H$1,[2]characters!$1:$1,0)-MATCH($A$1,[2]characters!$1:$1,0)+1),MATCH(H$1,[2]characters!$1:$1,0)-MATCH($A$1,[2]characters!$1:$1,0)+1,FALSE)</f>
        <v>PremiumN</v>
      </c>
      <c r="I116" s="24" t="str">
        <f ca="1">VLOOKUP($A116,OFFSET([2]characters!$A$1,0,0,COUNTA([2]characters!$A:$A),MATCH(I$1,[2]characters!$1:$1,0)-MATCH($A$1,[2]characters!$1:$1,0)+1),MATCH(I$1,[2]characters!$1:$1,0)-MATCH($A$1,[2]characters!$1:$1,0)+1,FALSE)</f>
        <v>green</v>
      </c>
      <c r="J116" s="24" t="str">
        <f ca="1">VLOOKUP($A116,OFFSET([2]characters!$A$1,0,0,COUNTA([2]characters!$A:$A),MATCH(J$1,[2]characters!$1:$1,0)-MATCH($A$1,[2]characters!$1:$1,0)+1),MATCH(J$1,[2]characters!$1:$1,0)-MATCH($A$1,[2]characters!$1:$1,0)+1,FALSE)</f>
        <v>none</v>
      </c>
      <c r="K116" s="3" t="str">
        <f ca="1">VLOOKUP(J116,[2]character_tribe_i18n!$A:$H,3,FALSE)</f>
        <v>種族なし</v>
      </c>
      <c r="L116" s="5" t="e">
        <f>VLOOKUP(#REF!,[2]character_tribe_i18n!$A:$H,4,FALSE)</f>
        <v>#REF!</v>
      </c>
      <c r="M116" s="5" t="e">
        <f>VLOOKUP(#REF!,[2]character_tribe_i18n!$A:$H,5,FALSE)</f>
        <v>#REF!</v>
      </c>
      <c r="N116" s="5" t="e">
        <f>VLOOKUP(#REF!,[2]character_tribe_i18n!$A:$H,6,FALSE)</f>
        <v>#REF!</v>
      </c>
      <c r="O116" s="5" t="e">
        <f>VLOOKUP(#REF!,[2]character_tribe_i18n!$A:$H,7,FALSE)</f>
        <v>#REF!</v>
      </c>
      <c r="P116" s="83" t="s">
        <v>170</v>
      </c>
      <c r="Q116" s="4">
        <v>219</v>
      </c>
      <c r="R116" s="25" t="str">
        <f ca="1">IF(Q116="NULL","",VLOOKUP($Q116,OFFSET([2]characters!$A$1,0,0,COUNTA([2]characters!$A:$A),MATCH(R$1,[2]characters!$1:$1,0)-MATCH($A$1,[2]characters!$1:$1,0)+1),MATCH(R$1,[2]characters!$1:$1,0)-MATCH($A$1,[2]characters!$1:$1,0)+1,FALSE))</f>
        <v>覇翼の聖蛇竜 ケツァクアトル</v>
      </c>
      <c r="S116" s="3">
        <f t="shared" ca="1" si="1"/>
        <v>217</v>
      </c>
      <c r="T116" s="25" t="str">
        <f ca="1">VLOOKUP($S116,OFFSET([2]characters!$A$1,0,0,COUNTA([2]characters!$A:$A),MATCH(T$1,[2]characters!$1:$1,0)-MATCH($A$1,[2]characters!$1:$1,0)+1),MATCH(T$1,[2]characters!$1:$1,0)-MATCH($A$1,[2]characters!$1:$1,0)+1,FALSE)</f>
        <v>ケツァクアトル</v>
      </c>
      <c r="U116" s="5">
        <f ca="1">IF(Q116="NULL","NULL",VLOOKUP(G116,ビット!$A$2:$B$7,2))</f>
        <v>50000</v>
      </c>
    </row>
    <row r="117" spans="1:21" ht="21" customHeight="1" x14ac:dyDescent="0.15">
      <c r="A117" s="83">
        <v>220</v>
      </c>
      <c r="B117" s="24" t="str">
        <f ca="1">VLOOKUP($A117,OFFSET([2]characters!$A$1,0,0,COUNTA([2]characters!$A:$A),MATCH(B$1,[2]characters!$1:$1,0)-MATCH($A$1,[2]characters!$1:$1,0)+1),MATCH(B$1,[2]characters!$1:$1,0)-MATCH($A$1,[2]characters!$1:$1,0)+1,FALSE)</f>
        <v>ルキフグス</v>
      </c>
      <c r="C117" s="24" t="str">
        <f ca="1">VLOOKUP($A117,OFFSET([2]characters!$A$1,0,0,COUNTA([2]characters!$A:$A),MATCH(C$1,[2]characters!$1:$1,0)-MATCH($A$1,[2]characters!$1:$1,0)+1),MATCH(C$1,[2]characters!$1:$1,0)-MATCH($A$1,[2]characters!$1:$1,0)+1,FALSE)</f>
        <v>初期ガチャ</v>
      </c>
      <c r="D117" s="24" t="str">
        <f ca="1">VLOOKUP($A117,OFFSET([2]characters!$A$1,0,0,COUNTA([2]characters!$A:$A),MATCH(D$1,[2]characters!$1:$1,0)-MATCH($A$1,[2]characters!$1:$1,0)+1),MATCH(D$1,[2]characters!$1:$1,0)-MATCH($A$1,[2]characters!$1:$1,0)+1,FALSE)</f>
        <v>執行者</v>
      </c>
      <c r="E117" s="24" t="str">
        <f ca="1">VLOOKUP($A117,OFFSET([2]characters!$A$1,0,0,COUNTA([2]characters!$A:$A),MATCH(E$1,[2]characters!$1:$1,0)-MATCH($A$1,[2]characters!$1:$1,0)+1),MATCH(E$1,[2]characters!$1:$1,0)-MATCH($A$1,[2]characters!$1:$1,0)+1,FALSE)</f>
        <v>美しい</v>
      </c>
      <c r="F117" s="24" t="str">
        <f ca="1">VLOOKUP($A117,OFFSET([2]characters!$A$1,0,0,COUNTA([2]characters!$A:$A),MATCH(F$1,[2]characters!$1:$1,0)-MATCH($A$1,[2]characters!$1:$1,0)+1),MATCH(F$1,[2]characters!$1:$1,0)-MATCH($A$1,[2]characters!$1:$1,0)+1,FALSE)</f>
        <v>女性</v>
      </c>
      <c r="G117" s="24">
        <f ca="1">VLOOKUP($A117,OFFSET([2]characters!$A$1,0,0,COUNTA([2]characters!$A:$A),MATCH(G$1,[2]characters!$1:$1,0)-MATCH($A$1,[2]characters!$1:$1,0)+1),MATCH(G$1,[2]characters!$1:$1,0)-MATCH($A$1,[2]characters!$1:$1,0)+1,FALSE)</f>
        <v>3</v>
      </c>
      <c r="H117" s="24" t="str">
        <f ca="1">VLOOKUP($A117,OFFSET([2]characters!$A$1,0,0,COUNTA([2]characters!$A:$A),MATCH(H$1,[2]characters!$1:$1,0)-MATCH($A$1,[2]characters!$1:$1,0)+1),MATCH(H$1,[2]characters!$1:$1,0)-MATCH($A$1,[2]characters!$1:$1,0)+1,FALSE)</f>
        <v>PremiumN</v>
      </c>
      <c r="I117" s="24" t="str">
        <f ca="1">VLOOKUP($A117,OFFSET([2]characters!$A$1,0,0,COUNTA([2]characters!$A:$A),MATCH(I$1,[2]characters!$1:$1,0)-MATCH($A$1,[2]characters!$1:$1,0)+1),MATCH(I$1,[2]characters!$1:$1,0)-MATCH($A$1,[2]characters!$1:$1,0)+1,FALSE)</f>
        <v>blue</v>
      </c>
      <c r="J117" s="24" t="str">
        <f ca="1">VLOOKUP($A117,OFFSET([2]characters!$A$1,0,0,COUNTA([2]characters!$A:$A),MATCH(J$1,[2]characters!$1:$1,0)-MATCH($A$1,[2]characters!$1:$1,0)+1),MATCH(J$1,[2]characters!$1:$1,0)-MATCH($A$1,[2]characters!$1:$1,0)+1,FALSE)</f>
        <v>none</v>
      </c>
      <c r="K117" s="3" t="str">
        <f ca="1">VLOOKUP(J117,[2]character_tribe_i18n!$A:$H,3,FALSE)</f>
        <v>種族なし</v>
      </c>
      <c r="L117" s="5" t="e">
        <f>VLOOKUP(#REF!,[2]character_tribe_i18n!$A:$H,4,FALSE)</f>
        <v>#REF!</v>
      </c>
      <c r="M117" s="5" t="e">
        <f>VLOOKUP(#REF!,[2]character_tribe_i18n!$A:$H,5,FALSE)</f>
        <v>#REF!</v>
      </c>
      <c r="N117" s="5" t="e">
        <f>VLOOKUP(#REF!,[2]character_tribe_i18n!$A:$H,6,FALSE)</f>
        <v>#REF!</v>
      </c>
      <c r="O117" s="5" t="e">
        <f>VLOOKUP(#REF!,[2]character_tribe_i18n!$A:$H,7,FALSE)</f>
        <v>#REF!</v>
      </c>
      <c r="P117" s="83" t="s">
        <v>170</v>
      </c>
      <c r="Q117" s="4">
        <v>221</v>
      </c>
      <c r="R117" s="25" t="str">
        <f ca="1">IF(Q117="NULL","",VLOOKUP($Q117,OFFSET([2]characters!$A$1,0,0,COUNTA([2]characters!$A:$A),MATCH(R$1,[2]characters!$1:$1,0)-MATCH($A$1,[2]characters!$1:$1,0)+1),MATCH(R$1,[2]characters!$1:$1,0)-MATCH($A$1,[2]characters!$1:$1,0)+1,FALSE))</f>
        <v>宰相 ルキフグス</v>
      </c>
      <c r="S117" s="3">
        <f t="shared" ca="1" si="1"/>
        <v>220</v>
      </c>
      <c r="T117" s="25" t="str">
        <f ca="1">VLOOKUP($S117,OFFSET([2]characters!$A$1,0,0,COUNTA([2]characters!$A:$A),MATCH(T$1,[2]characters!$1:$1,0)-MATCH($A$1,[2]characters!$1:$1,0)+1),MATCH(T$1,[2]characters!$1:$1,0)-MATCH($A$1,[2]characters!$1:$1,0)+1,FALSE)</f>
        <v>ルキフグス</v>
      </c>
      <c r="U117" s="5">
        <f ca="1">IF(Q117="NULL","NULL",VLOOKUP(G117,ビット!$A$2:$B$7,2))</f>
        <v>20000</v>
      </c>
    </row>
    <row r="118" spans="1:21" ht="21" customHeight="1" x14ac:dyDescent="0.15">
      <c r="A118" s="83">
        <v>221</v>
      </c>
      <c r="B118" s="24" t="str">
        <f ca="1">VLOOKUP($A118,OFFSET([2]characters!$A$1,0,0,COUNTA([2]characters!$A:$A),MATCH(B$1,[2]characters!$1:$1,0)-MATCH($A$1,[2]characters!$1:$1,0)+1),MATCH(B$1,[2]characters!$1:$1,0)-MATCH($A$1,[2]characters!$1:$1,0)+1,FALSE)</f>
        <v>宰相 ルキフグス</v>
      </c>
      <c r="C118" s="24" t="str">
        <f ca="1">VLOOKUP($A118,OFFSET([2]characters!$A$1,0,0,COUNTA([2]characters!$A:$A),MATCH(C$1,[2]characters!$1:$1,0)-MATCH($A$1,[2]characters!$1:$1,0)+1),MATCH(C$1,[2]characters!$1:$1,0)-MATCH($A$1,[2]characters!$1:$1,0)+1,FALSE)</f>
        <v>初期ガチャ</v>
      </c>
      <c r="D118" s="24" t="str">
        <f ca="1">VLOOKUP($A118,OFFSET([2]characters!$A$1,0,0,COUNTA([2]characters!$A:$A),MATCH(D$1,[2]characters!$1:$1,0)-MATCH($A$1,[2]characters!$1:$1,0)+1),MATCH(D$1,[2]characters!$1:$1,0)-MATCH($A$1,[2]characters!$1:$1,0)+1,FALSE)</f>
        <v>執行者</v>
      </c>
      <c r="E118" s="24" t="str">
        <f ca="1">VLOOKUP($A118,OFFSET([2]characters!$A$1,0,0,COUNTA([2]characters!$A:$A),MATCH(E$1,[2]characters!$1:$1,0)-MATCH($A$1,[2]characters!$1:$1,0)+1),MATCH(E$1,[2]characters!$1:$1,0)-MATCH($A$1,[2]characters!$1:$1,0)+1,FALSE)</f>
        <v>美しい</v>
      </c>
      <c r="F118" s="24" t="str">
        <f ca="1">VLOOKUP($A118,OFFSET([2]characters!$A$1,0,0,COUNTA([2]characters!$A:$A),MATCH(F$1,[2]characters!$1:$1,0)-MATCH($A$1,[2]characters!$1:$1,0)+1),MATCH(F$1,[2]characters!$1:$1,0)-MATCH($A$1,[2]characters!$1:$1,0)+1,FALSE)</f>
        <v>女性</v>
      </c>
      <c r="G118" s="24">
        <f ca="1">VLOOKUP($A118,OFFSET([2]characters!$A$1,0,0,COUNTA([2]characters!$A:$A),MATCH(G$1,[2]characters!$1:$1,0)-MATCH($A$1,[2]characters!$1:$1,0)+1),MATCH(G$1,[2]characters!$1:$1,0)-MATCH($A$1,[2]characters!$1:$1,0)+1,FALSE)</f>
        <v>4</v>
      </c>
      <c r="H118" s="24" t="str">
        <f ca="1">VLOOKUP($A118,OFFSET([2]characters!$A$1,0,0,COUNTA([2]characters!$A:$A),MATCH(H$1,[2]characters!$1:$1,0)-MATCH($A$1,[2]characters!$1:$1,0)+1),MATCH(H$1,[2]characters!$1:$1,0)-MATCH($A$1,[2]characters!$1:$1,0)+1,FALSE)</f>
        <v>PremiumN</v>
      </c>
      <c r="I118" s="24" t="str">
        <f ca="1">VLOOKUP($A118,OFFSET([2]characters!$A$1,0,0,COUNTA([2]characters!$A:$A),MATCH(I$1,[2]characters!$1:$1,0)-MATCH($A$1,[2]characters!$1:$1,0)+1),MATCH(I$1,[2]characters!$1:$1,0)-MATCH($A$1,[2]characters!$1:$1,0)+1,FALSE)</f>
        <v>blue</v>
      </c>
      <c r="J118" s="24" t="str">
        <f ca="1">VLOOKUP($A118,OFFSET([2]characters!$A$1,0,0,COUNTA([2]characters!$A:$A),MATCH(J$1,[2]characters!$1:$1,0)-MATCH($A$1,[2]characters!$1:$1,0)+1),MATCH(J$1,[2]characters!$1:$1,0)-MATCH($A$1,[2]characters!$1:$1,0)+1,FALSE)</f>
        <v>none</v>
      </c>
      <c r="K118" s="3" t="str">
        <f ca="1">VLOOKUP(J118,[2]character_tribe_i18n!$A:$H,3,FALSE)</f>
        <v>種族なし</v>
      </c>
      <c r="L118" s="5" t="e">
        <f>VLOOKUP(#REF!,[2]character_tribe_i18n!$A:$H,4,FALSE)</f>
        <v>#REF!</v>
      </c>
      <c r="M118" s="5" t="e">
        <f>VLOOKUP(#REF!,[2]character_tribe_i18n!$A:$H,5,FALSE)</f>
        <v>#REF!</v>
      </c>
      <c r="N118" s="5" t="e">
        <f>VLOOKUP(#REF!,[2]character_tribe_i18n!$A:$H,6,FALSE)</f>
        <v>#REF!</v>
      </c>
      <c r="O118" s="5" t="e">
        <f>VLOOKUP(#REF!,[2]character_tribe_i18n!$A:$H,7,FALSE)</f>
        <v>#REF!</v>
      </c>
      <c r="P118" s="83" t="s">
        <v>170</v>
      </c>
      <c r="Q118" s="4">
        <v>222</v>
      </c>
      <c r="R118" s="25" t="str">
        <f ca="1">IF(Q118="NULL","",VLOOKUP($Q118,OFFSET([2]characters!$A$1,0,0,COUNTA([2]characters!$A:$A),MATCH(R$1,[2]characters!$1:$1,0)-MATCH($A$1,[2]characters!$1:$1,0)+1),MATCH(R$1,[2]characters!$1:$1,0)-MATCH($A$1,[2]characters!$1:$1,0)+1,FALSE))</f>
        <v>避光の鉄鎖宰相 ルキフグス</v>
      </c>
      <c r="S118" s="3">
        <f t="shared" ca="1" si="1"/>
        <v>220</v>
      </c>
      <c r="T118" s="25" t="str">
        <f ca="1">VLOOKUP($S118,OFFSET([2]characters!$A$1,0,0,COUNTA([2]characters!$A:$A),MATCH(T$1,[2]characters!$1:$1,0)-MATCH($A$1,[2]characters!$1:$1,0)+1),MATCH(T$1,[2]characters!$1:$1,0)-MATCH($A$1,[2]characters!$1:$1,0)+1,FALSE)</f>
        <v>ルキフグス</v>
      </c>
      <c r="U118" s="5">
        <f ca="1">IF(Q118="NULL","NULL",VLOOKUP(G118,ビット!$A$2:$B$7,2))</f>
        <v>50000</v>
      </c>
    </row>
    <row r="119" spans="1:21" ht="21" customHeight="1" x14ac:dyDescent="0.15">
      <c r="A119" s="83">
        <v>223</v>
      </c>
      <c r="B119" s="24" t="str">
        <f ca="1">VLOOKUP($A119,OFFSET([2]characters!$A$1,0,0,COUNTA([2]characters!$A:$A),MATCH(B$1,[2]characters!$1:$1,0)-MATCH($A$1,[2]characters!$1:$1,0)+1),MATCH(B$1,[2]characters!$1:$1,0)-MATCH($A$1,[2]characters!$1:$1,0)+1,FALSE)</f>
        <v>ヘラクレス</v>
      </c>
      <c r="C119" s="24" t="str">
        <f ca="1">VLOOKUP($A119,OFFSET([2]characters!$A$1,0,0,COUNTA([2]characters!$A:$A),MATCH(C$1,[2]characters!$1:$1,0)-MATCH($A$1,[2]characters!$1:$1,0)+1),MATCH(C$1,[2]characters!$1:$1,0)-MATCH($A$1,[2]characters!$1:$1,0)+1,FALSE)</f>
        <v>初期ガチャ</v>
      </c>
      <c r="D119" s="24" t="str">
        <f ca="1">VLOOKUP($A119,OFFSET([2]characters!$A$1,0,0,COUNTA([2]characters!$A:$A),MATCH(D$1,[2]characters!$1:$1,0)-MATCH($A$1,[2]characters!$1:$1,0)+1),MATCH(D$1,[2]characters!$1:$1,0)-MATCH($A$1,[2]characters!$1:$1,0)+1,FALSE)</f>
        <v>守護者</v>
      </c>
      <c r="E119" s="24" t="str">
        <f ca="1">VLOOKUP($A119,OFFSET([2]characters!$A$1,0,0,COUNTA([2]characters!$A:$A),MATCH(E$1,[2]characters!$1:$1,0)-MATCH($A$1,[2]characters!$1:$1,0)+1),MATCH(E$1,[2]characters!$1:$1,0)-MATCH($A$1,[2]characters!$1:$1,0)+1,FALSE)</f>
        <v>格好いい</v>
      </c>
      <c r="F119" s="24" t="str">
        <f ca="1">VLOOKUP($A119,OFFSET([2]characters!$A$1,0,0,COUNTA([2]characters!$A:$A),MATCH(F$1,[2]characters!$1:$1,0)-MATCH($A$1,[2]characters!$1:$1,0)+1),MATCH(F$1,[2]characters!$1:$1,0)-MATCH($A$1,[2]characters!$1:$1,0)+1,FALSE)</f>
        <v>男性</v>
      </c>
      <c r="G119" s="24">
        <f ca="1">VLOOKUP($A119,OFFSET([2]characters!$A$1,0,0,COUNTA([2]characters!$A:$A),MATCH(G$1,[2]characters!$1:$1,0)-MATCH($A$1,[2]characters!$1:$1,0)+1),MATCH(G$1,[2]characters!$1:$1,0)-MATCH($A$1,[2]characters!$1:$1,0)+1,FALSE)</f>
        <v>3</v>
      </c>
      <c r="H119" s="24" t="str">
        <f ca="1">VLOOKUP($A119,OFFSET([2]characters!$A$1,0,0,COUNTA([2]characters!$A:$A),MATCH(H$1,[2]characters!$1:$1,0)-MATCH($A$1,[2]characters!$1:$1,0)+1),MATCH(H$1,[2]characters!$1:$1,0)-MATCH($A$1,[2]characters!$1:$1,0)+1,FALSE)</f>
        <v>PremiumN</v>
      </c>
      <c r="I119" s="24" t="str">
        <f ca="1">VLOOKUP($A119,OFFSET([2]characters!$A$1,0,0,COUNTA([2]characters!$A:$A),MATCH(I$1,[2]characters!$1:$1,0)-MATCH($A$1,[2]characters!$1:$1,0)+1),MATCH(I$1,[2]characters!$1:$1,0)-MATCH($A$1,[2]characters!$1:$1,0)+1,FALSE)</f>
        <v>yellow</v>
      </c>
      <c r="J119" s="24" t="str">
        <f ca="1">VLOOKUP($A119,OFFSET([2]characters!$A$1,0,0,COUNTA([2]characters!$A:$A),MATCH(J$1,[2]characters!$1:$1,0)-MATCH($A$1,[2]characters!$1:$1,0)+1),MATCH(J$1,[2]characters!$1:$1,0)-MATCH($A$1,[2]characters!$1:$1,0)+1,FALSE)</f>
        <v>none</v>
      </c>
      <c r="K119" s="3" t="str">
        <f ca="1">VLOOKUP(J119,[2]character_tribe_i18n!$A:$H,3,FALSE)</f>
        <v>種族なし</v>
      </c>
      <c r="L119" s="5" t="e">
        <f>VLOOKUP(#REF!,[2]character_tribe_i18n!$A:$H,4,FALSE)</f>
        <v>#REF!</v>
      </c>
      <c r="M119" s="5" t="e">
        <f>VLOOKUP(#REF!,[2]character_tribe_i18n!$A:$H,5,FALSE)</f>
        <v>#REF!</v>
      </c>
      <c r="N119" s="5" t="e">
        <f>VLOOKUP(#REF!,[2]character_tribe_i18n!$A:$H,6,FALSE)</f>
        <v>#REF!</v>
      </c>
      <c r="O119" s="5" t="e">
        <f>VLOOKUP(#REF!,[2]character_tribe_i18n!$A:$H,7,FALSE)</f>
        <v>#REF!</v>
      </c>
      <c r="P119" s="83" t="s">
        <v>170</v>
      </c>
      <c r="Q119" s="4">
        <v>224</v>
      </c>
      <c r="R119" s="25" t="str">
        <f ca="1">IF(Q119="NULL","",VLOOKUP($Q119,OFFSET([2]characters!$A$1,0,0,COUNTA([2]characters!$A:$A),MATCH(R$1,[2]characters!$1:$1,0)-MATCH($A$1,[2]characters!$1:$1,0)+1),MATCH(R$1,[2]characters!$1:$1,0)-MATCH($A$1,[2]characters!$1:$1,0)+1,FALSE))</f>
        <v>巨腕 ヘラクレス</v>
      </c>
      <c r="S119" s="3">
        <f t="shared" ca="1" si="1"/>
        <v>223</v>
      </c>
      <c r="T119" s="25" t="str">
        <f ca="1">VLOOKUP($S119,OFFSET([2]characters!$A$1,0,0,COUNTA([2]characters!$A:$A),MATCH(T$1,[2]characters!$1:$1,0)-MATCH($A$1,[2]characters!$1:$1,0)+1),MATCH(T$1,[2]characters!$1:$1,0)-MATCH($A$1,[2]characters!$1:$1,0)+1,FALSE)</f>
        <v>ヘラクレス</v>
      </c>
      <c r="U119" s="5">
        <f ca="1">IF(Q119="NULL","NULL",VLOOKUP(G119,ビット!$A$2:$B$7,2))</f>
        <v>20000</v>
      </c>
    </row>
    <row r="120" spans="1:21" ht="21" customHeight="1" x14ac:dyDescent="0.15">
      <c r="A120" s="83">
        <v>224</v>
      </c>
      <c r="B120" s="24" t="str">
        <f ca="1">VLOOKUP($A120,OFFSET([2]characters!$A$1,0,0,COUNTA([2]characters!$A:$A),MATCH(B$1,[2]characters!$1:$1,0)-MATCH($A$1,[2]characters!$1:$1,0)+1),MATCH(B$1,[2]characters!$1:$1,0)-MATCH($A$1,[2]characters!$1:$1,0)+1,FALSE)</f>
        <v>巨腕 ヘラクレス</v>
      </c>
      <c r="C120" s="24" t="str">
        <f ca="1">VLOOKUP($A120,OFFSET([2]characters!$A$1,0,0,COUNTA([2]characters!$A:$A),MATCH(C$1,[2]characters!$1:$1,0)-MATCH($A$1,[2]characters!$1:$1,0)+1),MATCH(C$1,[2]characters!$1:$1,0)-MATCH($A$1,[2]characters!$1:$1,0)+1,FALSE)</f>
        <v>初期ガチャ</v>
      </c>
      <c r="D120" s="24" t="str">
        <f ca="1">VLOOKUP($A120,OFFSET([2]characters!$A$1,0,0,COUNTA([2]characters!$A:$A),MATCH(D$1,[2]characters!$1:$1,0)-MATCH($A$1,[2]characters!$1:$1,0)+1),MATCH(D$1,[2]characters!$1:$1,0)-MATCH($A$1,[2]characters!$1:$1,0)+1,FALSE)</f>
        <v>守護者</v>
      </c>
      <c r="E120" s="24" t="str">
        <f ca="1">VLOOKUP($A120,OFFSET([2]characters!$A$1,0,0,COUNTA([2]characters!$A:$A),MATCH(E$1,[2]characters!$1:$1,0)-MATCH($A$1,[2]characters!$1:$1,0)+1),MATCH(E$1,[2]characters!$1:$1,0)-MATCH($A$1,[2]characters!$1:$1,0)+1,FALSE)</f>
        <v>格好いい</v>
      </c>
      <c r="F120" s="24" t="str">
        <f ca="1">VLOOKUP($A120,OFFSET([2]characters!$A$1,0,0,COUNTA([2]characters!$A:$A),MATCH(F$1,[2]characters!$1:$1,0)-MATCH($A$1,[2]characters!$1:$1,0)+1),MATCH(F$1,[2]characters!$1:$1,0)-MATCH($A$1,[2]characters!$1:$1,0)+1,FALSE)</f>
        <v>男性</v>
      </c>
      <c r="G120" s="24">
        <f ca="1">VLOOKUP($A120,OFFSET([2]characters!$A$1,0,0,COUNTA([2]characters!$A:$A),MATCH(G$1,[2]characters!$1:$1,0)-MATCH($A$1,[2]characters!$1:$1,0)+1),MATCH(G$1,[2]characters!$1:$1,0)-MATCH($A$1,[2]characters!$1:$1,0)+1,FALSE)</f>
        <v>4</v>
      </c>
      <c r="H120" s="24" t="str">
        <f ca="1">VLOOKUP($A120,OFFSET([2]characters!$A$1,0,0,COUNTA([2]characters!$A:$A),MATCH(H$1,[2]characters!$1:$1,0)-MATCH($A$1,[2]characters!$1:$1,0)+1),MATCH(H$1,[2]characters!$1:$1,0)-MATCH($A$1,[2]characters!$1:$1,0)+1,FALSE)</f>
        <v>PremiumN</v>
      </c>
      <c r="I120" s="24" t="str">
        <f ca="1">VLOOKUP($A120,OFFSET([2]characters!$A$1,0,0,COUNTA([2]characters!$A:$A),MATCH(I$1,[2]characters!$1:$1,0)-MATCH($A$1,[2]characters!$1:$1,0)+1),MATCH(I$1,[2]characters!$1:$1,0)-MATCH($A$1,[2]characters!$1:$1,0)+1,FALSE)</f>
        <v>yellow</v>
      </c>
      <c r="J120" s="24" t="str">
        <f ca="1">VLOOKUP($A120,OFFSET([2]characters!$A$1,0,0,COUNTA([2]characters!$A:$A),MATCH(J$1,[2]characters!$1:$1,0)-MATCH($A$1,[2]characters!$1:$1,0)+1),MATCH(J$1,[2]characters!$1:$1,0)-MATCH($A$1,[2]characters!$1:$1,0)+1,FALSE)</f>
        <v>none</v>
      </c>
      <c r="K120" s="3" t="str">
        <f ca="1">VLOOKUP(J120,[2]character_tribe_i18n!$A:$H,3,FALSE)</f>
        <v>種族なし</v>
      </c>
      <c r="L120" s="5" t="e">
        <f>VLOOKUP(#REF!,[2]character_tribe_i18n!$A:$H,4,FALSE)</f>
        <v>#REF!</v>
      </c>
      <c r="M120" s="5" t="e">
        <f>VLOOKUP(#REF!,[2]character_tribe_i18n!$A:$H,5,FALSE)</f>
        <v>#REF!</v>
      </c>
      <c r="N120" s="5" t="e">
        <f>VLOOKUP(#REF!,[2]character_tribe_i18n!$A:$H,6,FALSE)</f>
        <v>#REF!</v>
      </c>
      <c r="O120" s="5" t="e">
        <f>VLOOKUP(#REF!,[2]character_tribe_i18n!$A:$H,7,FALSE)</f>
        <v>#REF!</v>
      </c>
      <c r="P120" s="83" t="s">
        <v>170</v>
      </c>
      <c r="Q120" s="4">
        <v>225</v>
      </c>
      <c r="R120" s="25" t="str">
        <f ca="1">IF(Q120="NULL","",VLOOKUP($Q120,OFFSET([2]characters!$A$1,0,0,COUNTA([2]characters!$A:$A),MATCH(R$1,[2]characters!$1:$1,0)-MATCH($A$1,[2]characters!$1:$1,0)+1),MATCH(R$1,[2]characters!$1:$1,0)-MATCH($A$1,[2]characters!$1:$1,0)+1,FALSE))</f>
        <v>咆哮の巨獅腕 ヘラクレス</v>
      </c>
      <c r="S120" s="3">
        <f t="shared" ca="1" si="1"/>
        <v>223</v>
      </c>
      <c r="T120" s="25" t="str">
        <f ca="1">VLOOKUP($S120,OFFSET([2]characters!$A$1,0,0,COUNTA([2]characters!$A:$A),MATCH(T$1,[2]characters!$1:$1,0)-MATCH($A$1,[2]characters!$1:$1,0)+1),MATCH(T$1,[2]characters!$1:$1,0)-MATCH($A$1,[2]characters!$1:$1,0)+1,FALSE)</f>
        <v>ヘラクレス</v>
      </c>
      <c r="U120" s="5">
        <f ca="1">IF(Q120="NULL","NULL",VLOOKUP(G120,ビット!$A$2:$B$7,2))</f>
        <v>50000</v>
      </c>
    </row>
    <row r="121" spans="1:21" ht="21" customHeight="1" x14ac:dyDescent="0.15">
      <c r="A121" s="83">
        <v>226</v>
      </c>
      <c r="B121" s="24" t="str">
        <f ca="1">VLOOKUP($A121,OFFSET([2]characters!$A$1,0,0,COUNTA([2]characters!$A:$A),MATCH(B$1,[2]characters!$1:$1,0)-MATCH($A$1,[2]characters!$1:$1,0)+1),MATCH(B$1,[2]characters!$1:$1,0)-MATCH($A$1,[2]characters!$1:$1,0)+1,FALSE)</f>
        <v>アレス</v>
      </c>
      <c r="C121" s="24" t="str">
        <f ca="1">VLOOKUP($A121,OFFSET([2]characters!$A$1,0,0,COUNTA([2]characters!$A:$A),MATCH(C$1,[2]characters!$1:$1,0)-MATCH($A$1,[2]characters!$1:$1,0)+1),MATCH(C$1,[2]characters!$1:$1,0)-MATCH($A$1,[2]characters!$1:$1,0)+1,FALSE)</f>
        <v>初期ガチャ</v>
      </c>
      <c r="D121" s="24" t="str">
        <f ca="1">VLOOKUP($A121,OFFSET([2]characters!$A$1,0,0,COUNTA([2]characters!$A:$A),MATCH(D$1,[2]characters!$1:$1,0)-MATCH($A$1,[2]characters!$1:$1,0)+1),MATCH(D$1,[2]characters!$1:$1,0)-MATCH($A$1,[2]characters!$1:$1,0)+1,FALSE)</f>
        <v>管理者</v>
      </c>
      <c r="E121" s="24" t="str">
        <f ca="1">VLOOKUP($A121,OFFSET([2]characters!$A$1,0,0,COUNTA([2]characters!$A:$A),MATCH(E$1,[2]characters!$1:$1,0)-MATCH($A$1,[2]characters!$1:$1,0)+1),MATCH(E$1,[2]characters!$1:$1,0)-MATCH($A$1,[2]characters!$1:$1,0)+1,FALSE)</f>
        <v>格好いい</v>
      </c>
      <c r="F121" s="24" t="str">
        <f ca="1">VLOOKUP($A121,OFFSET([2]characters!$A$1,0,0,COUNTA([2]characters!$A:$A),MATCH(F$1,[2]characters!$1:$1,0)-MATCH($A$1,[2]characters!$1:$1,0)+1),MATCH(F$1,[2]characters!$1:$1,0)-MATCH($A$1,[2]characters!$1:$1,0)+1,FALSE)</f>
        <v>男性</v>
      </c>
      <c r="G121" s="24">
        <f ca="1">VLOOKUP($A121,OFFSET([2]characters!$A$1,0,0,COUNTA([2]characters!$A:$A),MATCH(G$1,[2]characters!$1:$1,0)-MATCH($A$1,[2]characters!$1:$1,0)+1),MATCH(G$1,[2]characters!$1:$1,0)-MATCH($A$1,[2]characters!$1:$1,0)+1,FALSE)</f>
        <v>3</v>
      </c>
      <c r="H121" s="24" t="str">
        <f ca="1">VLOOKUP($A121,OFFSET([2]characters!$A$1,0,0,COUNTA([2]characters!$A:$A),MATCH(H$1,[2]characters!$1:$1,0)-MATCH($A$1,[2]characters!$1:$1,0)+1),MATCH(H$1,[2]characters!$1:$1,0)-MATCH($A$1,[2]characters!$1:$1,0)+1,FALSE)</f>
        <v>PremiumS</v>
      </c>
      <c r="I121" s="24" t="str">
        <f ca="1">VLOOKUP($A121,OFFSET([2]characters!$A$1,0,0,COUNTA([2]characters!$A:$A),MATCH(I$1,[2]characters!$1:$1,0)-MATCH($A$1,[2]characters!$1:$1,0)+1),MATCH(I$1,[2]characters!$1:$1,0)-MATCH($A$1,[2]characters!$1:$1,0)+1,FALSE)</f>
        <v>red</v>
      </c>
      <c r="J121" s="24" t="str">
        <f ca="1">VLOOKUP($A121,OFFSET([2]characters!$A$1,0,0,COUNTA([2]characters!$A:$A),MATCH(J$1,[2]characters!$1:$1,0)-MATCH($A$1,[2]characters!$1:$1,0)+1),MATCH(J$1,[2]characters!$1:$1,0)-MATCH($A$1,[2]characters!$1:$1,0)+1,FALSE)</f>
        <v>none</v>
      </c>
      <c r="K121" s="3" t="str">
        <f ca="1">VLOOKUP(J121,[2]character_tribe_i18n!$A:$H,3,FALSE)</f>
        <v>種族なし</v>
      </c>
      <c r="L121" s="5" t="e">
        <f>VLOOKUP(#REF!,[2]character_tribe_i18n!$A:$H,4,FALSE)</f>
        <v>#REF!</v>
      </c>
      <c r="M121" s="5" t="e">
        <f>VLOOKUP(#REF!,[2]character_tribe_i18n!$A:$H,5,FALSE)</f>
        <v>#REF!</v>
      </c>
      <c r="N121" s="5" t="e">
        <f>VLOOKUP(#REF!,[2]character_tribe_i18n!$A:$H,6,FALSE)</f>
        <v>#REF!</v>
      </c>
      <c r="O121" s="5" t="e">
        <f>VLOOKUP(#REF!,[2]character_tribe_i18n!$A:$H,7,FALSE)</f>
        <v>#REF!</v>
      </c>
      <c r="P121" s="83" t="s">
        <v>170</v>
      </c>
      <c r="Q121" s="4">
        <v>227</v>
      </c>
      <c r="R121" s="25" t="str">
        <f ca="1">IF(Q121="NULL","",VLOOKUP($Q121,OFFSET([2]characters!$A$1,0,0,COUNTA([2]characters!$A:$A),MATCH(R$1,[2]characters!$1:$1,0)-MATCH($A$1,[2]characters!$1:$1,0)+1),MATCH(R$1,[2]characters!$1:$1,0)-MATCH($A$1,[2]characters!$1:$1,0)+1,FALSE))</f>
        <v>滅弾 アレス</v>
      </c>
      <c r="S121" s="3">
        <f t="shared" ca="1" si="1"/>
        <v>226</v>
      </c>
      <c r="T121" s="25" t="str">
        <f ca="1">VLOOKUP($S121,OFFSET([2]characters!$A$1,0,0,COUNTA([2]characters!$A:$A),MATCH(T$1,[2]characters!$1:$1,0)-MATCH($A$1,[2]characters!$1:$1,0)+1),MATCH(T$1,[2]characters!$1:$1,0)-MATCH($A$1,[2]characters!$1:$1,0)+1,FALSE)</f>
        <v>アレス</v>
      </c>
      <c r="U121" s="5">
        <f ca="1">IF(Q121="NULL","NULL",VLOOKUP(G121,ビット!$A$2:$B$7,2))</f>
        <v>20000</v>
      </c>
    </row>
    <row r="122" spans="1:21" ht="21" customHeight="1" x14ac:dyDescent="0.15">
      <c r="A122" s="83">
        <v>227</v>
      </c>
      <c r="B122" s="24" t="str">
        <f ca="1">VLOOKUP($A122,OFFSET([2]characters!$A$1,0,0,COUNTA([2]characters!$A:$A),MATCH(B$1,[2]characters!$1:$1,0)-MATCH($A$1,[2]characters!$1:$1,0)+1),MATCH(B$1,[2]characters!$1:$1,0)-MATCH($A$1,[2]characters!$1:$1,0)+1,FALSE)</f>
        <v>滅弾 アレス</v>
      </c>
      <c r="C122" s="24" t="str">
        <f ca="1">VLOOKUP($A122,OFFSET([2]characters!$A$1,0,0,COUNTA([2]characters!$A:$A),MATCH(C$1,[2]characters!$1:$1,0)-MATCH($A$1,[2]characters!$1:$1,0)+1),MATCH(C$1,[2]characters!$1:$1,0)-MATCH($A$1,[2]characters!$1:$1,0)+1,FALSE)</f>
        <v>初期ガチャ</v>
      </c>
      <c r="D122" s="24" t="str">
        <f ca="1">VLOOKUP($A122,OFFSET([2]characters!$A$1,0,0,COUNTA([2]characters!$A:$A),MATCH(D$1,[2]characters!$1:$1,0)-MATCH($A$1,[2]characters!$1:$1,0)+1),MATCH(D$1,[2]characters!$1:$1,0)-MATCH($A$1,[2]characters!$1:$1,0)+1,FALSE)</f>
        <v>管理者</v>
      </c>
      <c r="E122" s="24" t="str">
        <f ca="1">VLOOKUP($A122,OFFSET([2]characters!$A$1,0,0,COUNTA([2]characters!$A:$A),MATCH(E$1,[2]characters!$1:$1,0)-MATCH($A$1,[2]characters!$1:$1,0)+1),MATCH(E$1,[2]characters!$1:$1,0)-MATCH($A$1,[2]characters!$1:$1,0)+1,FALSE)</f>
        <v>格好いい</v>
      </c>
      <c r="F122" s="24" t="str">
        <f ca="1">VLOOKUP($A122,OFFSET([2]characters!$A$1,0,0,COUNTA([2]characters!$A:$A),MATCH(F$1,[2]characters!$1:$1,0)-MATCH($A$1,[2]characters!$1:$1,0)+1),MATCH(F$1,[2]characters!$1:$1,0)-MATCH($A$1,[2]characters!$1:$1,0)+1,FALSE)</f>
        <v>男性</v>
      </c>
      <c r="G122" s="24">
        <f ca="1">VLOOKUP($A122,OFFSET([2]characters!$A$1,0,0,COUNTA([2]characters!$A:$A),MATCH(G$1,[2]characters!$1:$1,0)-MATCH($A$1,[2]characters!$1:$1,0)+1),MATCH(G$1,[2]characters!$1:$1,0)-MATCH($A$1,[2]characters!$1:$1,0)+1,FALSE)</f>
        <v>4</v>
      </c>
      <c r="H122" s="24" t="str">
        <f ca="1">VLOOKUP($A122,OFFSET([2]characters!$A$1,0,0,COUNTA([2]characters!$A:$A),MATCH(H$1,[2]characters!$1:$1,0)-MATCH($A$1,[2]characters!$1:$1,0)+1),MATCH(H$1,[2]characters!$1:$1,0)-MATCH($A$1,[2]characters!$1:$1,0)+1,FALSE)</f>
        <v>PremiumS</v>
      </c>
      <c r="I122" s="24" t="str">
        <f ca="1">VLOOKUP($A122,OFFSET([2]characters!$A$1,0,0,COUNTA([2]characters!$A:$A),MATCH(I$1,[2]characters!$1:$1,0)-MATCH($A$1,[2]characters!$1:$1,0)+1),MATCH(I$1,[2]characters!$1:$1,0)-MATCH($A$1,[2]characters!$1:$1,0)+1,FALSE)</f>
        <v>red</v>
      </c>
      <c r="J122" s="24" t="str">
        <f ca="1">VLOOKUP($A122,OFFSET([2]characters!$A$1,0,0,COUNTA([2]characters!$A:$A),MATCH(J$1,[2]characters!$1:$1,0)-MATCH($A$1,[2]characters!$1:$1,0)+1),MATCH(J$1,[2]characters!$1:$1,0)-MATCH($A$1,[2]characters!$1:$1,0)+1,FALSE)</f>
        <v>none</v>
      </c>
      <c r="K122" s="3" t="str">
        <f ca="1">VLOOKUP(J122,[2]character_tribe_i18n!$A:$H,3,FALSE)</f>
        <v>種族なし</v>
      </c>
      <c r="L122" s="5" t="e">
        <f>VLOOKUP(#REF!,[2]character_tribe_i18n!$A:$H,4,FALSE)</f>
        <v>#REF!</v>
      </c>
      <c r="M122" s="5" t="e">
        <f>VLOOKUP(#REF!,[2]character_tribe_i18n!$A:$H,5,FALSE)</f>
        <v>#REF!</v>
      </c>
      <c r="N122" s="5" t="e">
        <f>VLOOKUP(#REF!,[2]character_tribe_i18n!$A:$H,6,FALSE)</f>
        <v>#REF!</v>
      </c>
      <c r="O122" s="5" t="e">
        <f>VLOOKUP(#REF!,[2]character_tribe_i18n!$A:$H,7,FALSE)</f>
        <v>#REF!</v>
      </c>
      <c r="P122" s="83" t="s">
        <v>170</v>
      </c>
      <c r="Q122" s="4">
        <v>228</v>
      </c>
      <c r="R122" s="25" t="str">
        <f ca="1">IF(Q122="NULL","",VLOOKUP($Q122,OFFSET([2]characters!$A$1,0,0,COUNTA([2]characters!$A:$A),MATCH(R$1,[2]characters!$1:$1,0)-MATCH($A$1,[2]characters!$1:$1,0)+1),MATCH(R$1,[2]characters!$1:$1,0)-MATCH($A$1,[2]characters!$1:$1,0)+1,FALSE))</f>
        <v>殲滅の掃射砲 アレス</v>
      </c>
      <c r="S122" s="3">
        <f t="shared" ca="1" si="1"/>
        <v>226</v>
      </c>
      <c r="T122" s="25" t="str">
        <f ca="1">VLOOKUP($S122,OFFSET([2]characters!$A$1,0,0,COUNTA([2]characters!$A:$A),MATCH(T$1,[2]characters!$1:$1,0)-MATCH($A$1,[2]characters!$1:$1,0)+1),MATCH(T$1,[2]characters!$1:$1,0)-MATCH($A$1,[2]characters!$1:$1,0)+1,FALSE)</f>
        <v>アレス</v>
      </c>
      <c r="U122" s="5">
        <f ca="1">IF(Q122="NULL","NULL",VLOOKUP(G122,ビット!$A$2:$B$7,2))</f>
        <v>50000</v>
      </c>
    </row>
    <row r="123" spans="1:21" ht="21" customHeight="1" x14ac:dyDescent="0.15">
      <c r="A123" s="83">
        <v>229</v>
      </c>
      <c r="B123" s="24" t="str">
        <f ca="1">VLOOKUP($A123,OFFSET([2]characters!$A$1,0,0,COUNTA([2]characters!$A:$A),MATCH(B$1,[2]characters!$1:$1,0)-MATCH($A$1,[2]characters!$1:$1,0)+1),MATCH(B$1,[2]characters!$1:$1,0)-MATCH($A$1,[2]characters!$1:$1,0)+1,FALSE)</f>
        <v>ヨルムンガンド</v>
      </c>
      <c r="C123" s="24" t="str">
        <f ca="1">VLOOKUP($A123,OFFSET([2]characters!$A$1,0,0,COUNTA([2]characters!$A:$A),MATCH(C$1,[2]characters!$1:$1,0)-MATCH($A$1,[2]characters!$1:$1,0)+1),MATCH(C$1,[2]characters!$1:$1,0)-MATCH($A$1,[2]characters!$1:$1,0)+1,FALSE)</f>
        <v>初期ガチャ</v>
      </c>
      <c r="D123" s="24" t="str">
        <f ca="1">VLOOKUP($A123,OFFSET([2]characters!$A$1,0,0,COUNTA([2]characters!$A:$A),MATCH(D$1,[2]characters!$1:$1,0)-MATCH($A$1,[2]characters!$1:$1,0)+1),MATCH(D$1,[2]characters!$1:$1,0)-MATCH($A$1,[2]characters!$1:$1,0)+1,FALSE)</f>
        <v>破界者</v>
      </c>
      <c r="E123" s="24" t="str">
        <f ca="1">VLOOKUP($A123,OFFSET([2]characters!$A$1,0,0,COUNTA([2]characters!$A:$A),MATCH(E$1,[2]characters!$1:$1,0)-MATCH($A$1,[2]characters!$1:$1,0)+1),MATCH(E$1,[2]characters!$1:$1,0)-MATCH($A$1,[2]characters!$1:$1,0)+1,FALSE)</f>
        <v>可愛い</v>
      </c>
      <c r="F123" s="24" t="str">
        <f ca="1">VLOOKUP($A123,OFFSET([2]characters!$A$1,0,0,COUNTA([2]characters!$A:$A),MATCH(F$1,[2]characters!$1:$1,0)-MATCH($A$1,[2]characters!$1:$1,0)+1),MATCH(F$1,[2]characters!$1:$1,0)-MATCH($A$1,[2]characters!$1:$1,0)+1,FALSE)</f>
        <v>女性</v>
      </c>
      <c r="G123" s="24">
        <f ca="1">VLOOKUP($A123,OFFSET([2]characters!$A$1,0,0,COUNTA([2]characters!$A:$A),MATCH(G$1,[2]characters!$1:$1,0)-MATCH($A$1,[2]characters!$1:$1,0)+1),MATCH(G$1,[2]characters!$1:$1,0)-MATCH($A$1,[2]characters!$1:$1,0)+1,FALSE)</f>
        <v>3</v>
      </c>
      <c r="H123" s="24" t="str">
        <f ca="1">VLOOKUP($A123,OFFSET([2]characters!$A$1,0,0,COUNTA([2]characters!$A:$A),MATCH(H$1,[2]characters!$1:$1,0)-MATCH($A$1,[2]characters!$1:$1,0)+1),MATCH(H$1,[2]characters!$1:$1,0)-MATCH($A$1,[2]characters!$1:$1,0)+1,FALSE)</f>
        <v>PremiumS</v>
      </c>
      <c r="I123" s="24" t="str">
        <f ca="1">VLOOKUP($A123,OFFSET([2]characters!$A$1,0,0,COUNTA([2]characters!$A:$A),MATCH(I$1,[2]characters!$1:$1,0)-MATCH($A$1,[2]characters!$1:$1,0)+1),MATCH(I$1,[2]characters!$1:$1,0)-MATCH($A$1,[2]characters!$1:$1,0)+1,FALSE)</f>
        <v>green</v>
      </c>
      <c r="J123" s="24" t="str">
        <f ca="1">VLOOKUP($A123,OFFSET([2]characters!$A$1,0,0,COUNTA([2]characters!$A:$A),MATCH(J$1,[2]characters!$1:$1,0)-MATCH($A$1,[2]characters!$1:$1,0)+1),MATCH(J$1,[2]characters!$1:$1,0)-MATCH($A$1,[2]characters!$1:$1,0)+1,FALSE)</f>
        <v>none</v>
      </c>
      <c r="K123" s="3" t="str">
        <f ca="1">VLOOKUP(J123,[2]character_tribe_i18n!$A:$H,3,FALSE)</f>
        <v>種族なし</v>
      </c>
      <c r="L123" s="5" t="e">
        <f>VLOOKUP(#REF!,[2]character_tribe_i18n!$A:$H,4,FALSE)</f>
        <v>#REF!</v>
      </c>
      <c r="M123" s="5" t="e">
        <f>VLOOKUP(#REF!,[2]character_tribe_i18n!$A:$H,5,FALSE)</f>
        <v>#REF!</v>
      </c>
      <c r="N123" s="5" t="e">
        <f>VLOOKUP(#REF!,[2]character_tribe_i18n!$A:$H,6,FALSE)</f>
        <v>#REF!</v>
      </c>
      <c r="O123" s="5" t="e">
        <f>VLOOKUP(#REF!,[2]character_tribe_i18n!$A:$H,7,FALSE)</f>
        <v>#REF!</v>
      </c>
      <c r="P123" s="83" t="s">
        <v>170</v>
      </c>
      <c r="Q123" s="4">
        <v>230</v>
      </c>
      <c r="R123" s="25" t="str">
        <f ca="1">IF(Q123="NULL","",VLOOKUP($Q123,OFFSET([2]characters!$A$1,0,0,COUNTA([2]characters!$A:$A),MATCH(R$1,[2]characters!$1:$1,0)-MATCH($A$1,[2]characters!$1:$1,0)+1),MATCH(R$1,[2]characters!$1:$1,0)-MATCH($A$1,[2]characters!$1:$1,0)+1,FALSE))</f>
        <v>毒銃 ヨルムンガンド</v>
      </c>
      <c r="S123" s="3">
        <f t="shared" ca="1" si="1"/>
        <v>229</v>
      </c>
      <c r="T123" s="25" t="str">
        <f ca="1">VLOOKUP($S123,OFFSET([2]characters!$A$1,0,0,COUNTA([2]characters!$A:$A),MATCH(T$1,[2]characters!$1:$1,0)-MATCH($A$1,[2]characters!$1:$1,0)+1),MATCH(T$1,[2]characters!$1:$1,0)-MATCH($A$1,[2]characters!$1:$1,0)+1,FALSE)</f>
        <v>ヨルムンガンド</v>
      </c>
      <c r="U123" s="5">
        <f ca="1">IF(Q123="NULL","NULL",VLOOKUP(G123,ビット!$A$2:$B$7,2))</f>
        <v>20000</v>
      </c>
    </row>
    <row r="124" spans="1:21" ht="21" customHeight="1" x14ac:dyDescent="0.15">
      <c r="A124" s="83">
        <v>230</v>
      </c>
      <c r="B124" s="24" t="str">
        <f ca="1">VLOOKUP($A124,OFFSET([2]characters!$A$1,0,0,COUNTA([2]characters!$A:$A),MATCH(B$1,[2]characters!$1:$1,0)-MATCH($A$1,[2]characters!$1:$1,0)+1),MATCH(B$1,[2]characters!$1:$1,0)-MATCH($A$1,[2]characters!$1:$1,0)+1,FALSE)</f>
        <v>毒銃 ヨルムンガンド</v>
      </c>
      <c r="C124" s="24" t="str">
        <f ca="1">VLOOKUP($A124,OFFSET([2]characters!$A$1,0,0,COUNTA([2]characters!$A:$A),MATCH(C$1,[2]characters!$1:$1,0)-MATCH($A$1,[2]characters!$1:$1,0)+1),MATCH(C$1,[2]characters!$1:$1,0)-MATCH($A$1,[2]characters!$1:$1,0)+1,FALSE)</f>
        <v>初期ガチャ</v>
      </c>
      <c r="D124" s="24" t="str">
        <f ca="1">VLOOKUP($A124,OFFSET([2]characters!$A$1,0,0,COUNTA([2]characters!$A:$A),MATCH(D$1,[2]characters!$1:$1,0)-MATCH($A$1,[2]characters!$1:$1,0)+1),MATCH(D$1,[2]characters!$1:$1,0)-MATCH($A$1,[2]characters!$1:$1,0)+1,FALSE)</f>
        <v>破界者</v>
      </c>
      <c r="E124" s="24" t="str">
        <f ca="1">VLOOKUP($A124,OFFSET([2]characters!$A$1,0,0,COUNTA([2]characters!$A:$A),MATCH(E$1,[2]characters!$1:$1,0)-MATCH($A$1,[2]characters!$1:$1,0)+1),MATCH(E$1,[2]characters!$1:$1,0)-MATCH($A$1,[2]characters!$1:$1,0)+1,FALSE)</f>
        <v>可愛い</v>
      </c>
      <c r="F124" s="24" t="str">
        <f ca="1">VLOOKUP($A124,OFFSET([2]characters!$A$1,0,0,COUNTA([2]characters!$A:$A),MATCH(F$1,[2]characters!$1:$1,0)-MATCH($A$1,[2]characters!$1:$1,0)+1),MATCH(F$1,[2]characters!$1:$1,0)-MATCH($A$1,[2]characters!$1:$1,0)+1,FALSE)</f>
        <v>女性</v>
      </c>
      <c r="G124" s="24">
        <f ca="1">VLOOKUP($A124,OFFSET([2]characters!$A$1,0,0,COUNTA([2]characters!$A:$A),MATCH(G$1,[2]characters!$1:$1,0)-MATCH($A$1,[2]characters!$1:$1,0)+1),MATCH(G$1,[2]characters!$1:$1,0)-MATCH($A$1,[2]characters!$1:$1,0)+1,FALSE)</f>
        <v>4</v>
      </c>
      <c r="H124" s="24" t="str">
        <f ca="1">VLOOKUP($A124,OFFSET([2]characters!$A$1,0,0,COUNTA([2]characters!$A:$A),MATCH(H$1,[2]characters!$1:$1,0)-MATCH($A$1,[2]characters!$1:$1,0)+1),MATCH(H$1,[2]characters!$1:$1,0)-MATCH($A$1,[2]characters!$1:$1,0)+1,FALSE)</f>
        <v>PremiumS</v>
      </c>
      <c r="I124" s="24" t="str">
        <f ca="1">VLOOKUP($A124,OFFSET([2]characters!$A$1,0,0,COUNTA([2]characters!$A:$A),MATCH(I$1,[2]characters!$1:$1,0)-MATCH($A$1,[2]characters!$1:$1,0)+1),MATCH(I$1,[2]characters!$1:$1,0)-MATCH($A$1,[2]characters!$1:$1,0)+1,FALSE)</f>
        <v>green</v>
      </c>
      <c r="J124" s="24" t="str">
        <f ca="1">VLOOKUP($A124,OFFSET([2]characters!$A$1,0,0,COUNTA([2]characters!$A:$A),MATCH(J$1,[2]characters!$1:$1,0)-MATCH($A$1,[2]characters!$1:$1,0)+1),MATCH(J$1,[2]characters!$1:$1,0)-MATCH($A$1,[2]characters!$1:$1,0)+1,FALSE)</f>
        <v>none</v>
      </c>
      <c r="K124" s="3" t="str">
        <f ca="1">VLOOKUP(J124,[2]character_tribe_i18n!$A:$H,3,FALSE)</f>
        <v>種族なし</v>
      </c>
      <c r="L124" s="5" t="e">
        <f>VLOOKUP(#REF!,[2]character_tribe_i18n!$A:$H,4,FALSE)</f>
        <v>#REF!</v>
      </c>
      <c r="M124" s="5" t="e">
        <f>VLOOKUP(#REF!,[2]character_tribe_i18n!$A:$H,5,FALSE)</f>
        <v>#REF!</v>
      </c>
      <c r="N124" s="5" t="e">
        <f>VLOOKUP(#REF!,[2]character_tribe_i18n!$A:$H,6,FALSE)</f>
        <v>#REF!</v>
      </c>
      <c r="O124" s="5" t="e">
        <f>VLOOKUP(#REF!,[2]character_tribe_i18n!$A:$H,7,FALSE)</f>
        <v>#REF!</v>
      </c>
      <c r="P124" s="83" t="s">
        <v>170</v>
      </c>
      <c r="Q124" s="4">
        <v>231</v>
      </c>
      <c r="R124" s="25" t="str">
        <f ca="1">IF(Q124="NULL","",VLOOKUP($Q124,OFFSET([2]characters!$A$1,0,0,COUNTA([2]characters!$A:$A),MATCH(R$1,[2]characters!$1:$1,0)-MATCH($A$1,[2]characters!$1:$1,0)+1),MATCH(R$1,[2]characters!$1:$1,0)-MATCH($A$1,[2]characters!$1:$1,0)+1,FALSE))</f>
        <v>必中の咬銃 ヨルムンガンド</v>
      </c>
      <c r="S124" s="3">
        <f t="shared" ca="1" si="1"/>
        <v>229</v>
      </c>
      <c r="T124" s="25" t="str">
        <f ca="1">VLOOKUP($S124,OFFSET([2]characters!$A$1,0,0,COUNTA([2]characters!$A:$A),MATCH(T$1,[2]characters!$1:$1,0)-MATCH($A$1,[2]characters!$1:$1,0)+1),MATCH(T$1,[2]characters!$1:$1,0)-MATCH($A$1,[2]characters!$1:$1,0)+1,FALSE)</f>
        <v>ヨルムンガンド</v>
      </c>
      <c r="U124" s="5">
        <f ca="1">IF(Q124="NULL","NULL",VLOOKUP(G124,ビット!$A$2:$B$7,2))</f>
        <v>50000</v>
      </c>
    </row>
    <row r="125" spans="1:21" ht="21" customHeight="1" x14ac:dyDescent="0.15">
      <c r="A125" s="83">
        <v>232</v>
      </c>
      <c r="B125" s="24" t="str">
        <f ca="1">VLOOKUP($A125,OFFSET([2]characters!$A$1,0,0,COUNTA([2]characters!$A:$A),MATCH(B$1,[2]characters!$1:$1,0)-MATCH($A$1,[2]characters!$1:$1,0)+1),MATCH(B$1,[2]characters!$1:$1,0)-MATCH($A$1,[2]characters!$1:$1,0)+1,FALSE)</f>
        <v>パーシヴァル</v>
      </c>
      <c r="C125" s="24" t="str">
        <f ca="1">VLOOKUP($A125,OFFSET([2]characters!$A$1,0,0,COUNTA([2]characters!$A:$A),MATCH(C$1,[2]characters!$1:$1,0)-MATCH($A$1,[2]characters!$1:$1,0)+1),MATCH(C$1,[2]characters!$1:$1,0)-MATCH($A$1,[2]characters!$1:$1,0)+1,FALSE)</f>
        <v>初期ガチャ</v>
      </c>
      <c r="D125" s="24" t="str">
        <f ca="1">VLOOKUP($A125,OFFSET([2]characters!$A$1,0,0,COUNTA([2]characters!$A:$A),MATCH(D$1,[2]characters!$1:$1,0)-MATCH($A$1,[2]characters!$1:$1,0)+1),MATCH(D$1,[2]characters!$1:$1,0)-MATCH($A$1,[2]characters!$1:$1,0)+1,FALSE)</f>
        <v>守護者</v>
      </c>
      <c r="E125" s="24" t="str">
        <f ca="1">VLOOKUP($A125,OFFSET([2]characters!$A$1,0,0,COUNTA([2]characters!$A:$A),MATCH(E$1,[2]characters!$1:$1,0)-MATCH($A$1,[2]characters!$1:$1,0)+1),MATCH(E$1,[2]characters!$1:$1,0)-MATCH($A$1,[2]characters!$1:$1,0)+1,FALSE)</f>
        <v>美しい</v>
      </c>
      <c r="F125" s="24" t="str">
        <f ca="1">VLOOKUP($A125,OFFSET([2]characters!$A$1,0,0,COUNTA([2]characters!$A:$A),MATCH(F$1,[2]characters!$1:$1,0)-MATCH($A$1,[2]characters!$1:$1,0)+1),MATCH(F$1,[2]characters!$1:$1,0)-MATCH($A$1,[2]characters!$1:$1,0)+1,FALSE)</f>
        <v>女性</v>
      </c>
      <c r="G125" s="24">
        <f ca="1">VLOOKUP($A125,OFFSET([2]characters!$A$1,0,0,COUNTA([2]characters!$A:$A),MATCH(G$1,[2]characters!$1:$1,0)-MATCH($A$1,[2]characters!$1:$1,0)+1),MATCH(G$1,[2]characters!$1:$1,0)-MATCH($A$1,[2]characters!$1:$1,0)+1,FALSE)</f>
        <v>3</v>
      </c>
      <c r="H125" s="24" t="str">
        <f ca="1">VLOOKUP($A125,OFFSET([2]characters!$A$1,0,0,COUNTA([2]characters!$A:$A),MATCH(H$1,[2]characters!$1:$1,0)-MATCH($A$1,[2]characters!$1:$1,0)+1),MATCH(H$1,[2]characters!$1:$1,0)-MATCH($A$1,[2]characters!$1:$1,0)+1,FALSE)</f>
        <v>PremiumS</v>
      </c>
      <c r="I125" s="24" t="str">
        <f ca="1">VLOOKUP($A125,OFFSET([2]characters!$A$1,0,0,COUNTA([2]characters!$A:$A),MATCH(I$1,[2]characters!$1:$1,0)-MATCH($A$1,[2]characters!$1:$1,0)+1),MATCH(I$1,[2]characters!$1:$1,0)-MATCH($A$1,[2]characters!$1:$1,0)+1,FALSE)</f>
        <v>blue</v>
      </c>
      <c r="J125" s="24" t="str">
        <f ca="1">VLOOKUP($A125,OFFSET([2]characters!$A$1,0,0,COUNTA([2]characters!$A:$A),MATCH(J$1,[2]characters!$1:$1,0)-MATCH($A$1,[2]characters!$1:$1,0)+1),MATCH(J$1,[2]characters!$1:$1,0)-MATCH($A$1,[2]characters!$1:$1,0)+1,FALSE)</f>
        <v>none</v>
      </c>
      <c r="K125" s="3" t="str">
        <f ca="1">VLOOKUP(J125,[2]character_tribe_i18n!$A:$H,3,FALSE)</f>
        <v>種族なし</v>
      </c>
      <c r="L125" s="5" t="e">
        <f>VLOOKUP(#REF!,[2]character_tribe_i18n!$A:$H,4,FALSE)</f>
        <v>#REF!</v>
      </c>
      <c r="M125" s="5" t="e">
        <f>VLOOKUP(#REF!,[2]character_tribe_i18n!$A:$H,5,FALSE)</f>
        <v>#REF!</v>
      </c>
      <c r="N125" s="5" t="e">
        <f>VLOOKUP(#REF!,[2]character_tribe_i18n!$A:$H,6,FALSE)</f>
        <v>#REF!</v>
      </c>
      <c r="O125" s="5" t="e">
        <f>VLOOKUP(#REF!,[2]character_tribe_i18n!$A:$H,7,FALSE)</f>
        <v>#REF!</v>
      </c>
      <c r="P125" s="83" t="s">
        <v>170</v>
      </c>
      <c r="Q125" s="4">
        <v>233</v>
      </c>
      <c r="R125" s="25" t="str">
        <f ca="1">IF(Q125="NULL","",VLOOKUP($Q125,OFFSET([2]characters!$A$1,0,0,COUNTA([2]characters!$A:$A),MATCH(R$1,[2]characters!$1:$1,0)-MATCH($A$1,[2]characters!$1:$1,0)+1),MATCH(R$1,[2]characters!$1:$1,0)-MATCH($A$1,[2]characters!$1:$1,0)+1,FALSE))</f>
        <v>遂行 パーシヴァル</v>
      </c>
      <c r="S125" s="3">
        <f t="shared" ca="1" si="1"/>
        <v>232</v>
      </c>
      <c r="T125" s="25" t="str">
        <f ca="1">VLOOKUP($S125,OFFSET([2]characters!$A$1,0,0,COUNTA([2]characters!$A:$A),MATCH(T$1,[2]characters!$1:$1,0)-MATCH($A$1,[2]characters!$1:$1,0)+1),MATCH(T$1,[2]characters!$1:$1,0)-MATCH($A$1,[2]characters!$1:$1,0)+1,FALSE)</f>
        <v>パーシヴァル</v>
      </c>
      <c r="U125" s="5">
        <f ca="1">IF(Q125="NULL","NULL",VLOOKUP(G125,ビット!$A$2:$B$7,2))</f>
        <v>20000</v>
      </c>
    </row>
    <row r="126" spans="1:21" ht="21" customHeight="1" x14ac:dyDescent="0.15">
      <c r="A126" s="83">
        <v>233</v>
      </c>
      <c r="B126" s="24" t="str">
        <f ca="1">VLOOKUP($A126,OFFSET([2]characters!$A$1,0,0,COUNTA([2]characters!$A:$A),MATCH(B$1,[2]characters!$1:$1,0)-MATCH($A$1,[2]characters!$1:$1,0)+1),MATCH(B$1,[2]characters!$1:$1,0)-MATCH($A$1,[2]characters!$1:$1,0)+1,FALSE)</f>
        <v>遂行 パーシヴァル</v>
      </c>
      <c r="C126" s="24" t="str">
        <f ca="1">VLOOKUP($A126,OFFSET([2]characters!$A$1,0,0,COUNTA([2]characters!$A:$A),MATCH(C$1,[2]characters!$1:$1,0)-MATCH($A$1,[2]characters!$1:$1,0)+1),MATCH(C$1,[2]characters!$1:$1,0)-MATCH($A$1,[2]characters!$1:$1,0)+1,FALSE)</f>
        <v>初期ガチャ</v>
      </c>
      <c r="D126" s="24" t="str">
        <f ca="1">VLOOKUP($A126,OFFSET([2]characters!$A$1,0,0,COUNTA([2]characters!$A:$A),MATCH(D$1,[2]characters!$1:$1,0)-MATCH($A$1,[2]characters!$1:$1,0)+1),MATCH(D$1,[2]characters!$1:$1,0)-MATCH($A$1,[2]characters!$1:$1,0)+1,FALSE)</f>
        <v>守護者</v>
      </c>
      <c r="E126" s="24" t="str">
        <f ca="1">VLOOKUP($A126,OFFSET([2]characters!$A$1,0,0,COUNTA([2]characters!$A:$A),MATCH(E$1,[2]characters!$1:$1,0)-MATCH($A$1,[2]characters!$1:$1,0)+1),MATCH(E$1,[2]characters!$1:$1,0)-MATCH($A$1,[2]characters!$1:$1,0)+1,FALSE)</f>
        <v>美しい</v>
      </c>
      <c r="F126" s="24" t="str">
        <f ca="1">VLOOKUP($A126,OFFSET([2]characters!$A$1,0,0,COUNTA([2]characters!$A:$A),MATCH(F$1,[2]characters!$1:$1,0)-MATCH($A$1,[2]characters!$1:$1,0)+1),MATCH(F$1,[2]characters!$1:$1,0)-MATCH($A$1,[2]characters!$1:$1,0)+1,FALSE)</f>
        <v>女性</v>
      </c>
      <c r="G126" s="24">
        <f ca="1">VLOOKUP($A126,OFFSET([2]characters!$A$1,0,0,COUNTA([2]characters!$A:$A),MATCH(G$1,[2]characters!$1:$1,0)-MATCH($A$1,[2]characters!$1:$1,0)+1),MATCH(G$1,[2]characters!$1:$1,0)-MATCH($A$1,[2]characters!$1:$1,0)+1,FALSE)</f>
        <v>4</v>
      </c>
      <c r="H126" s="24" t="str">
        <f ca="1">VLOOKUP($A126,OFFSET([2]characters!$A$1,0,0,COUNTA([2]characters!$A:$A),MATCH(H$1,[2]characters!$1:$1,0)-MATCH($A$1,[2]characters!$1:$1,0)+1),MATCH(H$1,[2]characters!$1:$1,0)-MATCH($A$1,[2]characters!$1:$1,0)+1,FALSE)</f>
        <v>PremiumS</v>
      </c>
      <c r="I126" s="24" t="str">
        <f ca="1">VLOOKUP($A126,OFFSET([2]characters!$A$1,0,0,COUNTA([2]characters!$A:$A),MATCH(I$1,[2]characters!$1:$1,0)-MATCH($A$1,[2]characters!$1:$1,0)+1),MATCH(I$1,[2]characters!$1:$1,0)-MATCH($A$1,[2]characters!$1:$1,0)+1,FALSE)</f>
        <v>blue</v>
      </c>
      <c r="J126" s="24" t="str">
        <f ca="1">VLOOKUP($A126,OFFSET([2]characters!$A$1,0,0,COUNTA([2]characters!$A:$A),MATCH(J$1,[2]characters!$1:$1,0)-MATCH($A$1,[2]characters!$1:$1,0)+1),MATCH(J$1,[2]characters!$1:$1,0)-MATCH($A$1,[2]characters!$1:$1,0)+1,FALSE)</f>
        <v>none</v>
      </c>
      <c r="K126" s="3" t="str">
        <f ca="1">VLOOKUP(J126,[2]character_tribe_i18n!$A:$H,3,FALSE)</f>
        <v>種族なし</v>
      </c>
      <c r="L126" s="5" t="e">
        <f>VLOOKUP(#REF!,[2]character_tribe_i18n!$A:$H,4,FALSE)</f>
        <v>#REF!</v>
      </c>
      <c r="M126" s="5" t="e">
        <f>VLOOKUP(#REF!,[2]character_tribe_i18n!$A:$H,5,FALSE)</f>
        <v>#REF!</v>
      </c>
      <c r="N126" s="5" t="e">
        <f>VLOOKUP(#REF!,[2]character_tribe_i18n!$A:$H,6,FALSE)</f>
        <v>#REF!</v>
      </c>
      <c r="O126" s="5" t="e">
        <f>VLOOKUP(#REF!,[2]character_tribe_i18n!$A:$H,7,FALSE)</f>
        <v>#REF!</v>
      </c>
      <c r="P126" s="83" t="s">
        <v>170</v>
      </c>
      <c r="Q126" s="4">
        <v>234</v>
      </c>
      <c r="R126" s="25" t="str">
        <f ca="1">IF(Q126="NULL","",VLOOKUP($Q126,OFFSET([2]characters!$A$1,0,0,COUNTA([2]characters!$A:$A),MATCH(R$1,[2]characters!$1:$1,0)-MATCH($A$1,[2]characters!$1:$1,0)+1),MATCH(R$1,[2]characters!$1:$1,0)-MATCH($A$1,[2]characters!$1:$1,0)+1,FALSE))</f>
        <v>精密なる照準 パーシヴァル</v>
      </c>
      <c r="S126" s="3">
        <f t="shared" ca="1" si="1"/>
        <v>232</v>
      </c>
      <c r="T126" s="25" t="str">
        <f ca="1">VLOOKUP($S126,OFFSET([2]characters!$A$1,0,0,COUNTA([2]characters!$A:$A),MATCH(T$1,[2]characters!$1:$1,0)-MATCH($A$1,[2]characters!$1:$1,0)+1),MATCH(T$1,[2]characters!$1:$1,0)-MATCH($A$1,[2]characters!$1:$1,0)+1,FALSE)</f>
        <v>パーシヴァル</v>
      </c>
      <c r="U126" s="5">
        <f ca="1">IF(Q126="NULL","NULL",VLOOKUP(G126,ビット!$A$2:$B$7,2))</f>
        <v>50000</v>
      </c>
    </row>
    <row r="127" spans="1:21" ht="21" customHeight="1" x14ac:dyDescent="0.15">
      <c r="A127" s="83">
        <v>235</v>
      </c>
      <c r="B127" s="24" t="str">
        <f ca="1">VLOOKUP($A127,OFFSET([2]characters!$A$1,0,0,COUNTA([2]characters!$A:$A),MATCH(B$1,[2]characters!$1:$1,0)-MATCH($A$1,[2]characters!$1:$1,0)+1),MATCH(B$1,[2]characters!$1:$1,0)-MATCH($A$1,[2]characters!$1:$1,0)+1,FALSE)</f>
        <v>イザナミ</v>
      </c>
      <c r="C127" s="24" t="str">
        <f ca="1">VLOOKUP($A127,OFFSET([2]characters!$A$1,0,0,COUNTA([2]characters!$A:$A),MATCH(C$1,[2]characters!$1:$1,0)-MATCH($A$1,[2]characters!$1:$1,0)+1),MATCH(C$1,[2]characters!$1:$1,0)-MATCH($A$1,[2]characters!$1:$1,0)+1,FALSE)</f>
        <v>初期ガチャ</v>
      </c>
      <c r="D127" s="24" t="str">
        <f ca="1">VLOOKUP($A127,OFFSET([2]characters!$A$1,0,0,COUNTA([2]characters!$A:$A),MATCH(D$1,[2]characters!$1:$1,0)-MATCH($A$1,[2]characters!$1:$1,0)+1),MATCH(D$1,[2]characters!$1:$1,0)-MATCH($A$1,[2]characters!$1:$1,0)+1,FALSE)</f>
        <v>執行者</v>
      </c>
      <c r="E127" s="24" t="str">
        <f ca="1">VLOOKUP($A127,OFFSET([2]characters!$A$1,0,0,COUNTA([2]characters!$A:$A),MATCH(E$1,[2]characters!$1:$1,0)-MATCH($A$1,[2]characters!$1:$1,0)+1),MATCH(E$1,[2]characters!$1:$1,0)-MATCH($A$1,[2]characters!$1:$1,0)+1,FALSE)</f>
        <v>美しい</v>
      </c>
      <c r="F127" s="24" t="str">
        <f ca="1">VLOOKUP($A127,OFFSET([2]characters!$A$1,0,0,COUNTA([2]characters!$A:$A),MATCH(F$1,[2]characters!$1:$1,0)-MATCH($A$1,[2]characters!$1:$1,0)+1),MATCH(F$1,[2]characters!$1:$1,0)-MATCH($A$1,[2]characters!$1:$1,0)+1,FALSE)</f>
        <v>女性</v>
      </c>
      <c r="G127" s="24">
        <f ca="1">VLOOKUP($A127,OFFSET([2]characters!$A$1,0,0,COUNTA([2]characters!$A:$A),MATCH(G$1,[2]characters!$1:$1,0)-MATCH($A$1,[2]characters!$1:$1,0)+1),MATCH(G$1,[2]characters!$1:$1,0)-MATCH($A$1,[2]characters!$1:$1,0)+1,FALSE)</f>
        <v>3</v>
      </c>
      <c r="H127" s="24" t="str">
        <f ca="1">VLOOKUP($A127,OFFSET([2]characters!$A$1,0,0,COUNTA([2]characters!$A:$A),MATCH(H$1,[2]characters!$1:$1,0)-MATCH($A$1,[2]characters!$1:$1,0)+1),MATCH(H$1,[2]characters!$1:$1,0)-MATCH($A$1,[2]characters!$1:$1,0)+1,FALSE)</f>
        <v>PremiumS</v>
      </c>
      <c r="I127" s="24" t="str">
        <f ca="1">VLOOKUP($A127,OFFSET([2]characters!$A$1,0,0,COUNTA([2]characters!$A:$A),MATCH(I$1,[2]characters!$1:$1,0)-MATCH($A$1,[2]characters!$1:$1,0)+1),MATCH(I$1,[2]characters!$1:$1,0)-MATCH($A$1,[2]characters!$1:$1,0)+1,FALSE)</f>
        <v>yellow</v>
      </c>
      <c r="J127" s="24" t="str">
        <f ca="1">VLOOKUP($A127,OFFSET([2]characters!$A$1,0,0,COUNTA([2]characters!$A:$A),MATCH(J$1,[2]characters!$1:$1,0)-MATCH($A$1,[2]characters!$1:$1,0)+1),MATCH(J$1,[2]characters!$1:$1,0)-MATCH($A$1,[2]characters!$1:$1,0)+1,FALSE)</f>
        <v>none</v>
      </c>
      <c r="K127" s="3" t="str">
        <f ca="1">VLOOKUP(J127,[2]character_tribe_i18n!$A:$H,3,FALSE)</f>
        <v>種族なし</v>
      </c>
      <c r="L127" s="5" t="e">
        <f>VLOOKUP(#REF!,[2]character_tribe_i18n!$A:$H,4,FALSE)</f>
        <v>#REF!</v>
      </c>
      <c r="M127" s="5" t="e">
        <f>VLOOKUP(#REF!,[2]character_tribe_i18n!$A:$H,5,FALSE)</f>
        <v>#REF!</v>
      </c>
      <c r="N127" s="5" t="e">
        <f>VLOOKUP(#REF!,[2]character_tribe_i18n!$A:$H,6,FALSE)</f>
        <v>#REF!</v>
      </c>
      <c r="O127" s="5" t="e">
        <f>VLOOKUP(#REF!,[2]character_tribe_i18n!$A:$H,7,FALSE)</f>
        <v>#REF!</v>
      </c>
      <c r="P127" s="83" t="s">
        <v>170</v>
      </c>
      <c r="Q127" s="4">
        <v>236</v>
      </c>
      <c r="R127" s="25" t="str">
        <f ca="1">IF(Q127="NULL","",VLOOKUP($Q127,OFFSET([2]characters!$A$1,0,0,COUNTA([2]characters!$A:$A),MATCH(R$1,[2]characters!$1:$1,0)-MATCH($A$1,[2]characters!$1:$1,0)+1),MATCH(R$1,[2]characters!$1:$1,0)-MATCH($A$1,[2]characters!$1:$1,0)+1,FALSE))</f>
        <v>神産 イザナミ</v>
      </c>
      <c r="S127" s="3">
        <f t="shared" ca="1" si="1"/>
        <v>235</v>
      </c>
      <c r="T127" s="25" t="str">
        <f ca="1">VLOOKUP($S127,OFFSET([2]characters!$A$1,0,0,COUNTA([2]characters!$A:$A),MATCH(T$1,[2]characters!$1:$1,0)-MATCH($A$1,[2]characters!$1:$1,0)+1),MATCH(T$1,[2]characters!$1:$1,0)-MATCH($A$1,[2]characters!$1:$1,0)+1,FALSE)</f>
        <v>イザナミ</v>
      </c>
      <c r="U127" s="5">
        <f ca="1">IF(Q127="NULL","NULL",VLOOKUP(G127,ビット!$A$2:$B$7,2))</f>
        <v>20000</v>
      </c>
    </row>
    <row r="128" spans="1:21" ht="21" customHeight="1" x14ac:dyDescent="0.15">
      <c r="A128" s="83">
        <v>236</v>
      </c>
      <c r="B128" s="24" t="str">
        <f ca="1">VLOOKUP($A128,OFFSET([2]characters!$A$1,0,0,COUNTA([2]characters!$A:$A),MATCH(B$1,[2]characters!$1:$1,0)-MATCH($A$1,[2]characters!$1:$1,0)+1),MATCH(B$1,[2]characters!$1:$1,0)-MATCH($A$1,[2]characters!$1:$1,0)+1,FALSE)</f>
        <v>神産 イザナミ</v>
      </c>
      <c r="C128" s="24" t="str">
        <f ca="1">VLOOKUP($A128,OFFSET([2]characters!$A$1,0,0,COUNTA([2]characters!$A:$A),MATCH(C$1,[2]characters!$1:$1,0)-MATCH($A$1,[2]characters!$1:$1,0)+1),MATCH(C$1,[2]characters!$1:$1,0)-MATCH($A$1,[2]characters!$1:$1,0)+1,FALSE)</f>
        <v>初期ガチャ</v>
      </c>
      <c r="D128" s="24" t="str">
        <f ca="1">VLOOKUP($A128,OFFSET([2]characters!$A$1,0,0,COUNTA([2]characters!$A:$A),MATCH(D$1,[2]characters!$1:$1,0)-MATCH($A$1,[2]characters!$1:$1,0)+1),MATCH(D$1,[2]characters!$1:$1,0)-MATCH($A$1,[2]characters!$1:$1,0)+1,FALSE)</f>
        <v>執行者</v>
      </c>
      <c r="E128" s="24" t="str">
        <f ca="1">VLOOKUP($A128,OFFSET([2]characters!$A$1,0,0,COUNTA([2]characters!$A:$A),MATCH(E$1,[2]characters!$1:$1,0)-MATCH($A$1,[2]characters!$1:$1,0)+1),MATCH(E$1,[2]characters!$1:$1,0)-MATCH($A$1,[2]characters!$1:$1,0)+1,FALSE)</f>
        <v>美しい</v>
      </c>
      <c r="F128" s="24" t="str">
        <f ca="1">VLOOKUP($A128,OFFSET([2]characters!$A$1,0,0,COUNTA([2]characters!$A:$A),MATCH(F$1,[2]characters!$1:$1,0)-MATCH($A$1,[2]characters!$1:$1,0)+1),MATCH(F$1,[2]characters!$1:$1,0)-MATCH($A$1,[2]characters!$1:$1,0)+1,FALSE)</f>
        <v>女性</v>
      </c>
      <c r="G128" s="24">
        <f ca="1">VLOOKUP($A128,OFFSET([2]characters!$A$1,0,0,COUNTA([2]characters!$A:$A),MATCH(G$1,[2]characters!$1:$1,0)-MATCH($A$1,[2]characters!$1:$1,0)+1),MATCH(G$1,[2]characters!$1:$1,0)-MATCH($A$1,[2]characters!$1:$1,0)+1,FALSE)</f>
        <v>4</v>
      </c>
      <c r="H128" s="24" t="str">
        <f ca="1">VLOOKUP($A128,OFFSET([2]characters!$A$1,0,0,COUNTA([2]characters!$A:$A),MATCH(H$1,[2]characters!$1:$1,0)-MATCH($A$1,[2]characters!$1:$1,0)+1),MATCH(H$1,[2]characters!$1:$1,0)-MATCH($A$1,[2]characters!$1:$1,0)+1,FALSE)</f>
        <v>PremiumS</v>
      </c>
      <c r="I128" s="24" t="str">
        <f ca="1">VLOOKUP($A128,OFFSET([2]characters!$A$1,0,0,COUNTA([2]characters!$A:$A),MATCH(I$1,[2]characters!$1:$1,0)-MATCH($A$1,[2]characters!$1:$1,0)+1),MATCH(I$1,[2]characters!$1:$1,0)-MATCH($A$1,[2]characters!$1:$1,0)+1,FALSE)</f>
        <v>yellow</v>
      </c>
      <c r="J128" s="24" t="str">
        <f ca="1">VLOOKUP($A128,OFFSET([2]characters!$A$1,0,0,COUNTA([2]characters!$A:$A),MATCH(J$1,[2]characters!$1:$1,0)-MATCH($A$1,[2]characters!$1:$1,0)+1),MATCH(J$1,[2]characters!$1:$1,0)-MATCH($A$1,[2]characters!$1:$1,0)+1,FALSE)</f>
        <v>none</v>
      </c>
      <c r="K128" s="3" t="str">
        <f ca="1">VLOOKUP(J128,[2]character_tribe_i18n!$A:$H,3,FALSE)</f>
        <v>種族なし</v>
      </c>
      <c r="L128" s="5" t="e">
        <f>VLOOKUP(#REF!,[2]character_tribe_i18n!$A:$H,4,FALSE)</f>
        <v>#REF!</v>
      </c>
      <c r="M128" s="5" t="e">
        <f>VLOOKUP(#REF!,[2]character_tribe_i18n!$A:$H,5,FALSE)</f>
        <v>#REF!</v>
      </c>
      <c r="N128" s="5" t="e">
        <f>VLOOKUP(#REF!,[2]character_tribe_i18n!$A:$H,6,FALSE)</f>
        <v>#REF!</v>
      </c>
      <c r="O128" s="5" t="e">
        <f>VLOOKUP(#REF!,[2]character_tribe_i18n!$A:$H,7,FALSE)</f>
        <v>#REF!</v>
      </c>
      <c r="P128" s="83" t="s">
        <v>170</v>
      </c>
      <c r="Q128" s="4">
        <v>237</v>
      </c>
      <c r="R128" s="25" t="str">
        <f ca="1">IF(Q128="NULL","",VLOOKUP($Q128,OFFSET([2]characters!$A$1,0,0,COUNTA([2]characters!$A:$A),MATCH(R$1,[2]characters!$1:$1,0)-MATCH($A$1,[2]characters!$1:$1,0)+1),MATCH(R$1,[2]characters!$1:$1,0)-MATCH($A$1,[2]characters!$1:$1,0)+1,FALSE))</f>
        <v>森羅万象の神母 イザナミ</v>
      </c>
      <c r="S128" s="3">
        <f t="shared" ca="1" si="1"/>
        <v>235</v>
      </c>
      <c r="T128" s="25" t="str">
        <f ca="1">VLOOKUP($S128,OFFSET([2]characters!$A$1,0,0,COUNTA([2]characters!$A:$A),MATCH(T$1,[2]characters!$1:$1,0)-MATCH($A$1,[2]characters!$1:$1,0)+1),MATCH(T$1,[2]characters!$1:$1,0)-MATCH($A$1,[2]characters!$1:$1,0)+1,FALSE)</f>
        <v>イザナミ</v>
      </c>
      <c r="U128" s="5">
        <f ca="1">IF(Q128="NULL","NULL",VLOOKUP(G128,ビット!$A$2:$B$7,2))</f>
        <v>50000</v>
      </c>
    </row>
    <row r="129" spans="1:21" ht="21" customHeight="1" x14ac:dyDescent="0.15">
      <c r="A129" s="83">
        <v>237</v>
      </c>
      <c r="B129" s="24" t="str">
        <f ca="1">VLOOKUP($A129,OFFSET([2]characters!$A$1,0,0,COUNTA([2]characters!$A:$A),MATCH(B$1,[2]characters!$1:$1,0)-MATCH($A$1,[2]characters!$1:$1,0)+1),MATCH(B$1,[2]characters!$1:$1,0)-MATCH($A$1,[2]characters!$1:$1,0)+1,FALSE)</f>
        <v>森羅万象の神母 イザナミ</v>
      </c>
      <c r="C129" s="24" t="str">
        <f ca="1">VLOOKUP($A129,OFFSET([2]characters!$A$1,0,0,COUNTA([2]characters!$A:$A),MATCH(C$1,[2]characters!$1:$1,0)-MATCH($A$1,[2]characters!$1:$1,0)+1),MATCH(C$1,[2]characters!$1:$1,0)-MATCH($A$1,[2]characters!$1:$1,0)+1,FALSE)</f>
        <v>初期ガチャ</v>
      </c>
      <c r="D129" s="24" t="str">
        <f ca="1">VLOOKUP($A129,OFFSET([2]characters!$A$1,0,0,COUNTA([2]characters!$A:$A),MATCH(D$1,[2]characters!$1:$1,0)-MATCH($A$1,[2]characters!$1:$1,0)+1),MATCH(D$1,[2]characters!$1:$1,0)-MATCH($A$1,[2]characters!$1:$1,0)+1,FALSE)</f>
        <v>執行者</v>
      </c>
      <c r="E129" s="24" t="str">
        <f ca="1">VLOOKUP($A129,OFFSET([2]characters!$A$1,0,0,COUNTA([2]characters!$A:$A),MATCH(E$1,[2]characters!$1:$1,0)-MATCH($A$1,[2]characters!$1:$1,0)+1),MATCH(E$1,[2]characters!$1:$1,0)-MATCH($A$1,[2]characters!$1:$1,0)+1,FALSE)</f>
        <v>美しい</v>
      </c>
      <c r="F129" s="24" t="str">
        <f ca="1">VLOOKUP($A129,OFFSET([2]characters!$A$1,0,0,COUNTA([2]characters!$A:$A),MATCH(F$1,[2]characters!$1:$1,0)-MATCH($A$1,[2]characters!$1:$1,0)+1),MATCH(F$1,[2]characters!$1:$1,0)-MATCH($A$1,[2]characters!$1:$1,0)+1,FALSE)</f>
        <v>女性</v>
      </c>
      <c r="G129" s="24">
        <f ca="1">VLOOKUP($A129,OFFSET([2]characters!$A$1,0,0,COUNTA([2]characters!$A:$A),MATCH(G$1,[2]characters!$1:$1,0)-MATCH($A$1,[2]characters!$1:$1,0)+1),MATCH(G$1,[2]characters!$1:$1,0)-MATCH($A$1,[2]characters!$1:$1,0)+1,FALSE)</f>
        <v>5</v>
      </c>
      <c r="H129" s="24" t="str">
        <f ca="1">VLOOKUP($A129,OFFSET([2]characters!$A$1,0,0,COUNTA([2]characters!$A:$A),MATCH(H$1,[2]characters!$1:$1,0)-MATCH($A$1,[2]characters!$1:$1,0)+1),MATCH(H$1,[2]characters!$1:$1,0)-MATCH($A$1,[2]characters!$1:$1,0)+1,FALSE)</f>
        <v>PremiumS</v>
      </c>
      <c r="I129" s="24" t="str">
        <f ca="1">VLOOKUP($A129,OFFSET([2]characters!$A$1,0,0,COUNTA([2]characters!$A:$A),MATCH(I$1,[2]characters!$1:$1,0)-MATCH($A$1,[2]characters!$1:$1,0)+1),MATCH(I$1,[2]characters!$1:$1,0)-MATCH($A$1,[2]characters!$1:$1,0)+1,FALSE)</f>
        <v>yellow</v>
      </c>
      <c r="J129" s="24" t="str">
        <f ca="1">VLOOKUP($A129,OFFSET([2]characters!$A$1,0,0,COUNTA([2]characters!$A:$A),MATCH(J$1,[2]characters!$1:$1,0)-MATCH($A$1,[2]characters!$1:$1,0)+1),MATCH(J$1,[2]characters!$1:$1,0)-MATCH($A$1,[2]characters!$1:$1,0)+1,FALSE)</f>
        <v>none</v>
      </c>
      <c r="K129" s="3" t="str">
        <f ca="1">VLOOKUP(J129,[2]character_tribe_i18n!$A:$H,3,FALSE)</f>
        <v>種族なし</v>
      </c>
      <c r="L129" s="5" t="e">
        <f>VLOOKUP(#REF!,[2]character_tribe_i18n!$A:$H,4,FALSE)</f>
        <v>#REF!</v>
      </c>
      <c r="M129" s="5" t="e">
        <f>VLOOKUP(#REF!,[2]character_tribe_i18n!$A:$H,5,FALSE)</f>
        <v>#REF!</v>
      </c>
      <c r="N129" s="5" t="e">
        <f>VLOOKUP(#REF!,[2]character_tribe_i18n!$A:$H,6,FALSE)</f>
        <v>#REF!</v>
      </c>
      <c r="O129" s="5" t="e">
        <f>VLOOKUP(#REF!,[2]character_tribe_i18n!$A:$H,7,FALSE)</f>
        <v>#REF!</v>
      </c>
      <c r="P129" s="83" t="s">
        <v>170</v>
      </c>
      <c r="Q129" s="4">
        <v>808</v>
      </c>
      <c r="R129" s="25" t="str">
        <f ca="1">IF(Q129="NULL","",VLOOKUP($Q129,OFFSET([2]characters!$A$1,0,0,COUNTA([2]characters!$A:$A),MATCH(R$1,[2]characters!$1:$1,0)-MATCH($A$1,[2]characters!$1:$1,0)+1),MATCH(R$1,[2]characters!$1:$1,0)-MATCH($A$1,[2]characters!$1:$1,0)+1,FALSE))</f>
        <v>天地万物の烈神母 イザナミ</v>
      </c>
      <c r="S129" s="3">
        <f t="shared" ca="1" si="1"/>
        <v>235</v>
      </c>
      <c r="T129" s="25" t="str">
        <f ca="1">VLOOKUP($S129,OFFSET([2]characters!$A$1,0,0,COUNTA([2]characters!$A:$A),MATCH(T$1,[2]characters!$1:$1,0)-MATCH($A$1,[2]characters!$1:$1,0)+1),MATCH(T$1,[2]characters!$1:$1,0)-MATCH($A$1,[2]characters!$1:$1,0)+1,FALSE)</f>
        <v>イザナミ</v>
      </c>
      <c r="U129" s="5">
        <f ca="1">IF(Q129="NULL","NULL",VLOOKUP(G129,ビット!$A$2:$B$7,2))</f>
        <v>200000</v>
      </c>
    </row>
    <row r="130" spans="1:21" ht="21" customHeight="1" x14ac:dyDescent="0.15">
      <c r="A130" s="83">
        <v>238</v>
      </c>
      <c r="B130" s="24" t="str">
        <f ca="1">VLOOKUP($A130,OFFSET([2]characters!$A$1,0,0,COUNTA([2]characters!$A:$A),MATCH(B$1,[2]characters!$1:$1,0)-MATCH($A$1,[2]characters!$1:$1,0)+1),MATCH(B$1,[2]characters!$1:$1,0)-MATCH($A$1,[2]characters!$1:$1,0)+1,FALSE)</f>
        <v>ウリエル</v>
      </c>
      <c r="C130" s="24" t="str">
        <f ca="1">VLOOKUP($A130,OFFSET([2]characters!$A$1,0,0,COUNTA([2]characters!$A:$A),MATCH(C$1,[2]characters!$1:$1,0)-MATCH($A$1,[2]characters!$1:$1,0)+1),MATCH(C$1,[2]characters!$1:$1,0)-MATCH($A$1,[2]characters!$1:$1,0)+1,FALSE)</f>
        <v>ガチャ:天使01</v>
      </c>
      <c r="D130" s="24" t="str">
        <f ca="1">VLOOKUP($A130,OFFSET([2]characters!$A$1,0,0,COUNTA([2]characters!$A:$A),MATCH(D$1,[2]characters!$1:$1,0)-MATCH($A$1,[2]characters!$1:$1,0)+1),MATCH(D$1,[2]characters!$1:$1,0)-MATCH($A$1,[2]characters!$1:$1,0)+1,FALSE)</f>
        <v>管理者</v>
      </c>
      <c r="E130" s="24" t="str">
        <f ca="1">VLOOKUP($A130,OFFSET([2]characters!$A$1,0,0,COUNTA([2]characters!$A:$A),MATCH(E$1,[2]characters!$1:$1,0)-MATCH($A$1,[2]characters!$1:$1,0)+1),MATCH(E$1,[2]characters!$1:$1,0)-MATCH($A$1,[2]characters!$1:$1,0)+1,FALSE)</f>
        <v>美しい</v>
      </c>
      <c r="F130" s="24" t="str">
        <f ca="1">VLOOKUP($A130,OFFSET([2]characters!$A$1,0,0,COUNTA([2]characters!$A:$A),MATCH(F$1,[2]characters!$1:$1,0)-MATCH($A$1,[2]characters!$1:$1,0)+1),MATCH(F$1,[2]characters!$1:$1,0)-MATCH($A$1,[2]characters!$1:$1,0)+1,FALSE)</f>
        <v>女性</v>
      </c>
      <c r="G130" s="24">
        <f ca="1">VLOOKUP($A130,OFFSET([2]characters!$A$1,0,0,COUNTA([2]characters!$A:$A),MATCH(G$1,[2]characters!$1:$1,0)-MATCH($A$1,[2]characters!$1:$1,0)+1),MATCH(G$1,[2]characters!$1:$1,0)-MATCH($A$1,[2]characters!$1:$1,0)+1,FALSE)</f>
        <v>3</v>
      </c>
      <c r="H130" s="24" t="str">
        <f ca="1">VLOOKUP($A130,OFFSET([2]characters!$A$1,0,0,COUNTA([2]characters!$A:$A),MATCH(H$1,[2]characters!$1:$1,0)-MATCH($A$1,[2]characters!$1:$1,0)+1),MATCH(H$1,[2]characters!$1:$1,0)-MATCH($A$1,[2]characters!$1:$1,0)+1,FALSE)</f>
        <v>PremiumS</v>
      </c>
      <c r="I130" s="24" t="str">
        <f ca="1">VLOOKUP($A130,OFFSET([2]characters!$A$1,0,0,COUNTA([2]characters!$A:$A),MATCH(I$1,[2]characters!$1:$1,0)-MATCH($A$1,[2]characters!$1:$1,0)+1),MATCH(I$1,[2]characters!$1:$1,0)-MATCH($A$1,[2]characters!$1:$1,0)+1,FALSE)</f>
        <v>red</v>
      </c>
      <c r="J130" s="24" t="str">
        <f ca="1">VLOOKUP($A130,OFFSET([2]characters!$A$1,0,0,COUNTA([2]characters!$A:$A),MATCH(J$1,[2]characters!$1:$1,0)-MATCH($A$1,[2]characters!$1:$1,0)+1),MATCH(J$1,[2]characters!$1:$1,0)-MATCH($A$1,[2]characters!$1:$1,0)+1,FALSE)</f>
        <v>god</v>
      </c>
      <c r="K130" s="3" t="str">
        <f ca="1">VLOOKUP(J130,[2]character_tribe_i18n!$A:$H,3,FALSE)</f>
        <v>ゴッド</v>
      </c>
      <c r="L130" s="5" t="e">
        <f>VLOOKUP(#REF!,[2]character_tribe_i18n!$A:$H,4,FALSE)</f>
        <v>#REF!</v>
      </c>
      <c r="M130" s="5" t="e">
        <f>VLOOKUP(#REF!,[2]character_tribe_i18n!$A:$H,5,FALSE)</f>
        <v>#REF!</v>
      </c>
      <c r="N130" s="5" t="e">
        <f>VLOOKUP(#REF!,[2]character_tribe_i18n!$A:$H,6,FALSE)</f>
        <v>#REF!</v>
      </c>
      <c r="O130" s="5" t="e">
        <f>VLOOKUP(#REF!,[2]character_tribe_i18n!$A:$H,7,FALSE)</f>
        <v>#REF!</v>
      </c>
      <c r="P130" s="83" t="s">
        <v>170</v>
      </c>
      <c r="Q130" s="4">
        <v>239</v>
      </c>
      <c r="R130" s="25" t="str">
        <f ca="1">IF(Q130="NULL","",VLOOKUP($Q130,OFFSET([2]characters!$A$1,0,0,COUNTA([2]characters!$A:$A),MATCH(R$1,[2]characters!$1:$1,0)-MATCH($A$1,[2]characters!$1:$1,0)+1),MATCH(R$1,[2]characters!$1:$1,0)-MATCH($A$1,[2]characters!$1:$1,0)+1,FALSE))</f>
        <v>豪炎の天使 ウリエル</v>
      </c>
      <c r="S130" s="3">
        <f t="shared" ref="S130:S193" ca="1" si="2">IF(ISNA(MATCH(A130,Q:Q,0)),A130,INDIRECT(ADDRESS(MATCH(A130,Q:Q,0),COLUMN())))</f>
        <v>238</v>
      </c>
      <c r="T130" s="25" t="str">
        <f ca="1">VLOOKUP($S130,OFFSET([2]characters!$A$1,0,0,COUNTA([2]characters!$A:$A),MATCH(T$1,[2]characters!$1:$1,0)-MATCH($A$1,[2]characters!$1:$1,0)+1),MATCH(T$1,[2]characters!$1:$1,0)-MATCH($A$1,[2]characters!$1:$1,0)+1,FALSE)</f>
        <v>ウリエル</v>
      </c>
      <c r="U130" s="5">
        <f ca="1">IF(Q130="NULL","NULL",VLOOKUP(G130,ビット!$A$2:$B$7,2))</f>
        <v>20000</v>
      </c>
    </row>
    <row r="131" spans="1:21" ht="21" customHeight="1" x14ac:dyDescent="0.15">
      <c r="A131" s="83">
        <v>239</v>
      </c>
      <c r="B131" s="24" t="str">
        <f ca="1">VLOOKUP($A131,OFFSET([2]characters!$A$1,0,0,COUNTA([2]characters!$A:$A),MATCH(B$1,[2]characters!$1:$1,0)-MATCH($A$1,[2]characters!$1:$1,0)+1),MATCH(B$1,[2]characters!$1:$1,0)-MATCH($A$1,[2]characters!$1:$1,0)+1,FALSE)</f>
        <v>豪炎の天使 ウリエル</v>
      </c>
      <c r="C131" s="24" t="str">
        <f ca="1">VLOOKUP($A131,OFFSET([2]characters!$A$1,0,0,COUNTA([2]characters!$A:$A),MATCH(C$1,[2]characters!$1:$1,0)-MATCH($A$1,[2]characters!$1:$1,0)+1),MATCH(C$1,[2]characters!$1:$1,0)-MATCH($A$1,[2]characters!$1:$1,0)+1,FALSE)</f>
        <v>ガチャ:天使01</v>
      </c>
      <c r="D131" s="24" t="str">
        <f ca="1">VLOOKUP($A131,OFFSET([2]characters!$A$1,0,0,COUNTA([2]characters!$A:$A),MATCH(D$1,[2]characters!$1:$1,0)-MATCH($A$1,[2]characters!$1:$1,0)+1),MATCH(D$1,[2]characters!$1:$1,0)-MATCH($A$1,[2]characters!$1:$1,0)+1,FALSE)</f>
        <v>管理者</v>
      </c>
      <c r="E131" s="24" t="str">
        <f ca="1">VLOOKUP($A131,OFFSET([2]characters!$A$1,0,0,COUNTA([2]characters!$A:$A),MATCH(E$1,[2]characters!$1:$1,0)-MATCH($A$1,[2]characters!$1:$1,0)+1),MATCH(E$1,[2]characters!$1:$1,0)-MATCH($A$1,[2]characters!$1:$1,0)+1,FALSE)</f>
        <v>美しい</v>
      </c>
      <c r="F131" s="24" t="str">
        <f ca="1">VLOOKUP($A131,OFFSET([2]characters!$A$1,0,0,COUNTA([2]characters!$A:$A),MATCH(F$1,[2]characters!$1:$1,0)-MATCH($A$1,[2]characters!$1:$1,0)+1),MATCH(F$1,[2]characters!$1:$1,0)-MATCH($A$1,[2]characters!$1:$1,0)+1,FALSE)</f>
        <v>女性</v>
      </c>
      <c r="G131" s="24">
        <f ca="1">VLOOKUP($A131,OFFSET([2]characters!$A$1,0,0,COUNTA([2]characters!$A:$A),MATCH(G$1,[2]characters!$1:$1,0)-MATCH($A$1,[2]characters!$1:$1,0)+1),MATCH(G$1,[2]characters!$1:$1,0)-MATCH($A$1,[2]characters!$1:$1,0)+1,FALSE)</f>
        <v>4</v>
      </c>
      <c r="H131" s="24" t="str">
        <f ca="1">VLOOKUP($A131,OFFSET([2]characters!$A$1,0,0,COUNTA([2]characters!$A:$A),MATCH(H$1,[2]characters!$1:$1,0)-MATCH($A$1,[2]characters!$1:$1,0)+1),MATCH(H$1,[2]characters!$1:$1,0)-MATCH($A$1,[2]characters!$1:$1,0)+1,FALSE)</f>
        <v>PremiumS</v>
      </c>
      <c r="I131" s="24" t="str">
        <f ca="1">VLOOKUP($A131,OFFSET([2]characters!$A$1,0,0,COUNTA([2]characters!$A:$A),MATCH(I$1,[2]characters!$1:$1,0)-MATCH($A$1,[2]characters!$1:$1,0)+1),MATCH(I$1,[2]characters!$1:$1,0)-MATCH($A$1,[2]characters!$1:$1,0)+1,FALSE)</f>
        <v>red</v>
      </c>
      <c r="J131" s="24" t="str">
        <f ca="1">VLOOKUP($A131,OFFSET([2]characters!$A$1,0,0,COUNTA([2]characters!$A:$A),MATCH(J$1,[2]characters!$1:$1,0)-MATCH($A$1,[2]characters!$1:$1,0)+1),MATCH(J$1,[2]characters!$1:$1,0)-MATCH($A$1,[2]characters!$1:$1,0)+1,FALSE)</f>
        <v>god</v>
      </c>
      <c r="K131" s="3" t="str">
        <f ca="1">VLOOKUP(J131,[2]character_tribe_i18n!$A:$H,3,FALSE)</f>
        <v>ゴッド</v>
      </c>
      <c r="L131" s="5" t="e">
        <f>VLOOKUP(#REF!,[2]character_tribe_i18n!$A:$H,4,FALSE)</f>
        <v>#REF!</v>
      </c>
      <c r="M131" s="5" t="e">
        <f>VLOOKUP(#REF!,[2]character_tribe_i18n!$A:$H,5,FALSE)</f>
        <v>#REF!</v>
      </c>
      <c r="N131" s="5" t="e">
        <f>VLOOKUP(#REF!,[2]character_tribe_i18n!$A:$H,6,FALSE)</f>
        <v>#REF!</v>
      </c>
      <c r="O131" s="5" t="e">
        <f>VLOOKUP(#REF!,[2]character_tribe_i18n!$A:$H,7,FALSE)</f>
        <v>#REF!</v>
      </c>
      <c r="P131" s="83" t="s">
        <v>170</v>
      </c>
      <c r="Q131" s="4">
        <v>240</v>
      </c>
      <c r="R131" s="25" t="str">
        <f ca="1">IF(Q131="NULL","",VLOOKUP($Q131,OFFSET([2]characters!$A$1,0,0,COUNTA([2]characters!$A:$A),MATCH(R$1,[2]characters!$1:$1,0)-MATCH($A$1,[2]characters!$1:$1,0)+1),MATCH(R$1,[2]characters!$1:$1,0)-MATCH($A$1,[2]characters!$1:$1,0)+1,FALSE))</f>
        <v>轟炎の天使 ウリエル・スレイヤー</v>
      </c>
      <c r="S131" s="3">
        <f t="shared" ca="1" si="2"/>
        <v>238</v>
      </c>
      <c r="T131" s="25" t="str">
        <f ca="1">VLOOKUP($S131,OFFSET([2]characters!$A$1,0,0,COUNTA([2]characters!$A:$A),MATCH(T$1,[2]characters!$1:$1,0)-MATCH($A$1,[2]characters!$1:$1,0)+1),MATCH(T$1,[2]characters!$1:$1,0)-MATCH($A$1,[2]characters!$1:$1,0)+1,FALSE)</f>
        <v>ウリエル</v>
      </c>
      <c r="U131" s="5">
        <f ca="1">IF(Q131="NULL","NULL",VLOOKUP(G131,ビット!$A$2:$B$7,2))</f>
        <v>50000</v>
      </c>
    </row>
    <row r="132" spans="1:21" ht="21" customHeight="1" x14ac:dyDescent="0.15">
      <c r="A132" s="83">
        <v>241</v>
      </c>
      <c r="B132" s="24" t="str">
        <f ca="1">VLOOKUP($A132,OFFSET([2]characters!$A$1,0,0,COUNTA([2]characters!$A:$A),MATCH(B$1,[2]characters!$1:$1,0)-MATCH($A$1,[2]characters!$1:$1,0)+1),MATCH(B$1,[2]characters!$1:$1,0)-MATCH($A$1,[2]characters!$1:$1,0)+1,FALSE)</f>
        <v>ガブリエル</v>
      </c>
      <c r="C132" s="24" t="str">
        <f ca="1">VLOOKUP($A132,OFFSET([2]characters!$A$1,0,0,COUNTA([2]characters!$A:$A),MATCH(C$1,[2]characters!$1:$1,0)-MATCH($A$1,[2]characters!$1:$1,0)+1),MATCH(C$1,[2]characters!$1:$1,0)-MATCH($A$1,[2]characters!$1:$1,0)+1,FALSE)</f>
        <v>ガチャ:天使01</v>
      </c>
      <c r="D132" s="24" t="str">
        <f ca="1">VLOOKUP($A132,OFFSET([2]characters!$A$1,0,0,COUNTA([2]characters!$A:$A),MATCH(D$1,[2]characters!$1:$1,0)-MATCH($A$1,[2]characters!$1:$1,0)+1),MATCH(D$1,[2]characters!$1:$1,0)-MATCH($A$1,[2]characters!$1:$1,0)+1,FALSE)</f>
        <v>管理者</v>
      </c>
      <c r="E132" s="24" t="str">
        <f ca="1">VLOOKUP($A132,OFFSET([2]characters!$A$1,0,0,COUNTA([2]characters!$A:$A),MATCH(E$1,[2]characters!$1:$1,0)-MATCH($A$1,[2]characters!$1:$1,0)+1),MATCH(E$1,[2]characters!$1:$1,0)-MATCH($A$1,[2]characters!$1:$1,0)+1,FALSE)</f>
        <v>美しい</v>
      </c>
      <c r="F132" s="24" t="str">
        <f ca="1">VLOOKUP($A132,OFFSET([2]characters!$A$1,0,0,COUNTA([2]characters!$A:$A),MATCH(F$1,[2]characters!$1:$1,0)-MATCH($A$1,[2]characters!$1:$1,0)+1),MATCH(F$1,[2]characters!$1:$1,0)-MATCH($A$1,[2]characters!$1:$1,0)+1,FALSE)</f>
        <v>女性</v>
      </c>
      <c r="G132" s="24">
        <f ca="1">VLOOKUP($A132,OFFSET([2]characters!$A$1,0,0,COUNTA([2]characters!$A:$A),MATCH(G$1,[2]characters!$1:$1,0)-MATCH($A$1,[2]characters!$1:$1,0)+1),MATCH(G$1,[2]characters!$1:$1,0)-MATCH($A$1,[2]characters!$1:$1,0)+1,FALSE)</f>
        <v>3</v>
      </c>
      <c r="H132" s="24" t="str">
        <f ca="1">VLOOKUP($A132,OFFSET([2]characters!$A$1,0,0,COUNTA([2]characters!$A:$A),MATCH(H$1,[2]characters!$1:$1,0)-MATCH($A$1,[2]characters!$1:$1,0)+1),MATCH(H$1,[2]characters!$1:$1,0)-MATCH($A$1,[2]characters!$1:$1,0)+1,FALSE)</f>
        <v>PremiumS</v>
      </c>
      <c r="I132" s="24" t="str">
        <f ca="1">VLOOKUP($A132,OFFSET([2]characters!$A$1,0,0,COUNTA([2]characters!$A:$A),MATCH(I$1,[2]characters!$1:$1,0)-MATCH($A$1,[2]characters!$1:$1,0)+1),MATCH(I$1,[2]characters!$1:$1,0)-MATCH($A$1,[2]characters!$1:$1,0)+1,FALSE)</f>
        <v>green</v>
      </c>
      <c r="J132" s="24" t="str">
        <f ca="1">VLOOKUP($A132,OFFSET([2]characters!$A$1,0,0,COUNTA([2]characters!$A:$A),MATCH(J$1,[2]characters!$1:$1,0)-MATCH($A$1,[2]characters!$1:$1,0)+1),MATCH(J$1,[2]characters!$1:$1,0)-MATCH($A$1,[2]characters!$1:$1,0)+1,FALSE)</f>
        <v>god</v>
      </c>
      <c r="K132" s="3" t="str">
        <f ca="1">VLOOKUP(J132,[2]character_tribe_i18n!$A:$H,3,FALSE)</f>
        <v>ゴッド</v>
      </c>
      <c r="L132" s="5" t="e">
        <f>VLOOKUP(#REF!,[2]character_tribe_i18n!$A:$H,4,FALSE)</f>
        <v>#REF!</v>
      </c>
      <c r="M132" s="5" t="e">
        <f>VLOOKUP(#REF!,[2]character_tribe_i18n!$A:$H,5,FALSE)</f>
        <v>#REF!</v>
      </c>
      <c r="N132" s="5" t="e">
        <f>VLOOKUP(#REF!,[2]character_tribe_i18n!$A:$H,6,FALSE)</f>
        <v>#REF!</v>
      </c>
      <c r="O132" s="5" t="e">
        <f>VLOOKUP(#REF!,[2]character_tribe_i18n!$A:$H,7,FALSE)</f>
        <v>#REF!</v>
      </c>
      <c r="P132" s="83" t="s">
        <v>170</v>
      </c>
      <c r="Q132" s="4">
        <v>242</v>
      </c>
      <c r="R132" s="25" t="str">
        <f ca="1">IF(Q132="NULL","",VLOOKUP($Q132,OFFSET([2]characters!$A$1,0,0,COUNTA([2]characters!$A:$A),MATCH(R$1,[2]characters!$1:$1,0)-MATCH($A$1,[2]characters!$1:$1,0)+1),MATCH(R$1,[2]characters!$1:$1,0)-MATCH($A$1,[2]characters!$1:$1,0)+1,FALSE))</f>
        <v>百花の天使 ガブリエル</v>
      </c>
      <c r="S132" s="3">
        <f t="shared" ca="1" si="2"/>
        <v>241</v>
      </c>
      <c r="T132" s="25" t="str">
        <f ca="1">VLOOKUP($S132,OFFSET([2]characters!$A$1,0,0,COUNTA([2]characters!$A:$A),MATCH(T$1,[2]characters!$1:$1,0)-MATCH($A$1,[2]characters!$1:$1,0)+1),MATCH(T$1,[2]characters!$1:$1,0)-MATCH($A$1,[2]characters!$1:$1,0)+1,FALSE)</f>
        <v>ガブリエル</v>
      </c>
      <c r="U132" s="5">
        <f ca="1">IF(Q132="NULL","NULL",VLOOKUP(G132,ビット!$A$2:$B$7,2))</f>
        <v>20000</v>
      </c>
    </row>
    <row r="133" spans="1:21" ht="21" customHeight="1" x14ac:dyDescent="0.15">
      <c r="A133" s="83">
        <v>242</v>
      </c>
      <c r="B133" s="24" t="str">
        <f ca="1">VLOOKUP($A133,OFFSET([2]characters!$A$1,0,0,COUNTA([2]characters!$A:$A),MATCH(B$1,[2]characters!$1:$1,0)-MATCH($A$1,[2]characters!$1:$1,0)+1),MATCH(B$1,[2]characters!$1:$1,0)-MATCH($A$1,[2]characters!$1:$1,0)+1,FALSE)</f>
        <v>百花の天使 ガブリエル</v>
      </c>
      <c r="C133" s="24" t="str">
        <f ca="1">VLOOKUP($A133,OFFSET([2]characters!$A$1,0,0,COUNTA([2]characters!$A:$A),MATCH(C$1,[2]characters!$1:$1,0)-MATCH($A$1,[2]characters!$1:$1,0)+1),MATCH(C$1,[2]characters!$1:$1,0)-MATCH($A$1,[2]characters!$1:$1,0)+1,FALSE)</f>
        <v>ガチャ:天使01</v>
      </c>
      <c r="D133" s="24" t="str">
        <f ca="1">VLOOKUP($A133,OFFSET([2]characters!$A$1,0,0,COUNTA([2]characters!$A:$A),MATCH(D$1,[2]characters!$1:$1,0)-MATCH($A$1,[2]characters!$1:$1,0)+1),MATCH(D$1,[2]characters!$1:$1,0)-MATCH($A$1,[2]characters!$1:$1,0)+1,FALSE)</f>
        <v>管理者</v>
      </c>
      <c r="E133" s="24" t="str">
        <f ca="1">VLOOKUP($A133,OFFSET([2]characters!$A$1,0,0,COUNTA([2]characters!$A:$A),MATCH(E$1,[2]characters!$1:$1,0)-MATCH($A$1,[2]characters!$1:$1,0)+1),MATCH(E$1,[2]characters!$1:$1,0)-MATCH($A$1,[2]characters!$1:$1,0)+1,FALSE)</f>
        <v>美しい</v>
      </c>
      <c r="F133" s="24" t="str">
        <f ca="1">VLOOKUP($A133,OFFSET([2]characters!$A$1,0,0,COUNTA([2]characters!$A:$A),MATCH(F$1,[2]characters!$1:$1,0)-MATCH($A$1,[2]characters!$1:$1,0)+1),MATCH(F$1,[2]characters!$1:$1,0)-MATCH($A$1,[2]characters!$1:$1,0)+1,FALSE)</f>
        <v>女性</v>
      </c>
      <c r="G133" s="24">
        <f ca="1">VLOOKUP($A133,OFFSET([2]characters!$A$1,0,0,COUNTA([2]characters!$A:$A),MATCH(G$1,[2]characters!$1:$1,0)-MATCH($A$1,[2]characters!$1:$1,0)+1),MATCH(G$1,[2]characters!$1:$1,0)-MATCH($A$1,[2]characters!$1:$1,0)+1,FALSE)</f>
        <v>4</v>
      </c>
      <c r="H133" s="24" t="str">
        <f ca="1">VLOOKUP($A133,OFFSET([2]characters!$A$1,0,0,COUNTA([2]characters!$A:$A),MATCH(H$1,[2]characters!$1:$1,0)-MATCH($A$1,[2]characters!$1:$1,0)+1),MATCH(H$1,[2]characters!$1:$1,0)-MATCH($A$1,[2]characters!$1:$1,0)+1,FALSE)</f>
        <v>PremiumS</v>
      </c>
      <c r="I133" s="24" t="str">
        <f ca="1">VLOOKUP($A133,OFFSET([2]characters!$A$1,0,0,COUNTA([2]characters!$A:$A),MATCH(I$1,[2]characters!$1:$1,0)-MATCH($A$1,[2]characters!$1:$1,0)+1),MATCH(I$1,[2]characters!$1:$1,0)-MATCH($A$1,[2]characters!$1:$1,0)+1,FALSE)</f>
        <v>green</v>
      </c>
      <c r="J133" s="24" t="str">
        <f ca="1">VLOOKUP($A133,OFFSET([2]characters!$A$1,0,0,COUNTA([2]characters!$A:$A),MATCH(J$1,[2]characters!$1:$1,0)-MATCH($A$1,[2]characters!$1:$1,0)+1),MATCH(J$1,[2]characters!$1:$1,0)-MATCH($A$1,[2]characters!$1:$1,0)+1,FALSE)</f>
        <v>god</v>
      </c>
      <c r="K133" s="3" t="str">
        <f ca="1">VLOOKUP(J133,[2]character_tribe_i18n!$A:$H,3,FALSE)</f>
        <v>ゴッド</v>
      </c>
      <c r="L133" s="5" t="e">
        <f>VLOOKUP(#REF!,[2]character_tribe_i18n!$A:$H,4,FALSE)</f>
        <v>#REF!</v>
      </c>
      <c r="M133" s="5" t="e">
        <f>VLOOKUP(#REF!,[2]character_tribe_i18n!$A:$H,5,FALSE)</f>
        <v>#REF!</v>
      </c>
      <c r="N133" s="5" t="e">
        <f>VLOOKUP(#REF!,[2]character_tribe_i18n!$A:$H,6,FALSE)</f>
        <v>#REF!</v>
      </c>
      <c r="O133" s="5" t="e">
        <f>VLOOKUP(#REF!,[2]character_tribe_i18n!$A:$H,7,FALSE)</f>
        <v>#REF!</v>
      </c>
      <c r="P133" s="83" t="s">
        <v>170</v>
      </c>
      <c r="Q133" s="4">
        <v>243</v>
      </c>
      <c r="R133" s="25" t="str">
        <f ca="1">IF(Q133="NULL","",VLOOKUP($Q133,OFFSET([2]characters!$A$1,0,0,COUNTA([2]characters!$A:$A),MATCH(R$1,[2]characters!$1:$1,0)-MATCH($A$1,[2]characters!$1:$1,0)+1),MATCH(R$1,[2]characters!$1:$1,0)-MATCH($A$1,[2]characters!$1:$1,0)+1,FALSE))</f>
        <v>万花の天使 ガブリエル・ブルーム</v>
      </c>
      <c r="S133" s="3">
        <f t="shared" ca="1" si="2"/>
        <v>241</v>
      </c>
      <c r="T133" s="25" t="str">
        <f ca="1">VLOOKUP($S133,OFFSET([2]characters!$A$1,0,0,COUNTA([2]characters!$A:$A),MATCH(T$1,[2]characters!$1:$1,0)-MATCH($A$1,[2]characters!$1:$1,0)+1),MATCH(T$1,[2]characters!$1:$1,0)-MATCH($A$1,[2]characters!$1:$1,0)+1,FALSE)</f>
        <v>ガブリエル</v>
      </c>
      <c r="U133" s="5">
        <f ca="1">IF(Q133="NULL","NULL",VLOOKUP(G133,ビット!$A$2:$B$7,2))</f>
        <v>50000</v>
      </c>
    </row>
    <row r="134" spans="1:21" ht="21" customHeight="1" x14ac:dyDescent="0.15">
      <c r="A134" s="83">
        <v>244</v>
      </c>
      <c r="B134" s="24" t="str">
        <f ca="1">VLOOKUP($A134,OFFSET([2]characters!$A$1,0,0,COUNTA([2]characters!$A:$A),MATCH(B$1,[2]characters!$1:$1,0)-MATCH($A$1,[2]characters!$1:$1,0)+1),MATCH(B$1,[2]characters!$1:$1,0)-MATCH($A$1,[2]characters!$1:$1,0)+1,FALSE)</f>
        <v>ラファエル</v>
      </c>
      <c r="C134" s="24" t="str">
        <f ca="1">VLOOKUP($A134,OFFSET([2]characters!$A$1,0,0,COUNTA([2]characters!$A:$A),MATCH(C$1,[2]characters!$1:$1,0)-MATCH($A$1,[2]characters!$1:$1,0)+1),MATCH(C$1,[2]characters!$1:$1,0)-MATCH($A$1,[2]characters!$1:$1,0)+1,FALSE)</f>
        <v>ガチャ:天使01</v>
      </c>
      <c r="D134" s="24" t="str">
        <f ca="1">VLOOKUP($A134,OFFSET([2]characters!$A$1,0,0,COUNTA([2]characters!$A:$A),MATCH(D$1,[2]characters!$1:$1,0)-MATCH($A$1,[2]characters!$1:$1,0)+1),MATCH(D$1,[2]characters!$1:$1,0)-MATCH($A$1,[2]characters!$1:$1,0)+1,FALSE)</f>
        <v>管理者</v>
      </c>
      <c r="E134" s="24" t="str">
        <f ca="1">VLOOKUP($A134,OFFSET([2]characters!$A$1,0,0,COUNTA([2]characters!$A:$A),MATCH(E$1,[2]characters!$1:$1,0)-MATCH($A$1,[2]characters!$1:$1,0)+1),MATCH(E$1,[2]characters!$1:$1,0)-MATCH($A$1,[2]characters!$1:$1,0)+1,FALSE)</f>
        <v>美しい</v>
      </c>
      <c r="F134" s="24" t="str">
        <f ca="1">VLOOKUP($A134,OFFSET([2]characters!$A$1,0,0,COUNTA([2]characters!$A:$A),MATCH(F$1,[2]characters!$1:$1,0)-MATCH($A$1,[2]characters!$1:$1,0)+1),MATCH(F$1,[2]characters!$1:$1,0)-MATCH($A$1,[2]characters!$1:$1,0)+1,FALSE)</f>
        <v>女性</v>
      </c>
      <c r="G134" s="24">
        <f ca="1">VLOOKUP($A134,OFFSET([2]characters!$A$1,0,0,COUNTA([2]characters!$A:$A),MATCH(G$1,[2]characters!$1:$1,0)-MATCH($A$1,[2]characters!$1:$1,0)+1),MATCH(G$1,[2]characters!$1:$1,0)-MATCH($A$1,[2]characters!$1:$1,0)+1,FALSE)</f>
        <v>3</v>
      </c>
      <c r="H134" s="24" t="str">
        <f ca="1">VLOOKUP($A134,OFFSET([2]characters!$A$1,0,0,COUNTA([2]characters!$A:$A),MATCH(H$1,[2]characters!$1:$1,0)-MATCH($A$1,[2]characters!$1:$1,0)+1),MATCH(H$1,[2]characters!$1:$1,0)-MATCH($A$1,[2]characters!$1:$1,0)+1,FALSE)</f>
        <v>PremiumS</v>
      </c>
      <c r="I134" s="24" t="str">
        <f ca="1">VLOOKUP($A134,OFFSET([2]characters!$A$1,0,0,COUNTA([2]characters!$A:$A),MATCH(I$1,[2]characters!$1:$1,0)-MATCH($A$1,[2]characters!$1:$1,0)+1),MATCH(I$1,[2]characters!$1:$1,0)-MATCH($A$1,[2]characters!$1:$1,0)+1,FALSE)</f>
        <v>blue</v>
      </c>
      <c r="J134" s="24" t="str">
        <f ca="1">VLOOKUP($A134,OFFSET([2]characters!$A$1,0,0,COUNTA([2]characters!$A:$A),MATCH(J$1,[2]characters!$1:$1,0)-MATCH($A$1,[2]characters!$1:$1,0)+1),MATCH(J$1,[2]characters!$1:$1,0)-MATCH($A$1,[2]characters!$1:$1,0)+1,FALSE)</f>
        <v>god</v>
      </c>
      <c r="K134" s="3" t="str">
        <f ca="1">VLOOKUP(J134,[2]character_tribe_i18n!$A:$H,3,FALSE)</f>
        <v>ゴッド</v>
      </c>
      <c r="L134" s="5" t="e">
        <f>VLOOKUP(#REF!,[2]character_tribe_i18n!$A:$H,4,FALSE)</f>
        <v>#REF!</v>
      </c>
      <c r="M134" s="5" t="e">
        <f>VLOOKUP(#REF!,[2]character_tribe_i18n!$A:$H,5,FALSE)</f>
        <v>#REF!</v>
      </c>
      <c r="N134" s="5" t="e">
        <f>VLOOKUP(#REF!,[2]character_tribe_i18n!$A:$H,6,FALSE)</f>
        <v>#REF!</v>
      </c>
      <c r="O134" s="5" t="e">
        <f>VLOOKUP(#REF!,[2]character_tribe_i18n!$A:$H,7,FALSE)</f>
        <v>#REF!</v>
      </c>
      <c r="P134" s="83" t="s">
        <v>170</v>
      </c>
      <c r="Q134" s="4">
        <v>245</v>
      </c>
      <c r="R134" s="25" t="str">
        <f ca="1">IF(Q134="NULL","",VLOOKUP($Q134,OFFSET([2]characters!$A$1,0,0,COUNTA([2]characters!$A:$A),MATCH(R$1,[2]characters!$1:$1,0)-MATCH($A$1,[2]characters!$1:$1,0)+1),MATCH(R$1,[2]characters!$1:$1,0)-MATCH($A$1,[2]characters!$1:$1,0)+1,FALSE))</f>
        <v>鎮癒の天使 ラファエル</v>
      </c>
      <c r="S134" s="3">
        <f t="shared" ca="1" si="2"/>
        <v>244</v>
      </c>
      <c r="T134" s="25" t="str">
        <f ca="1">VLOOKUP($S134,OFFSET([2]characters!$A$1,0,0,COUNTA([2]characters!$A:$A),MATCH(T$1,[2]characters!$1:$1,0)-MATCH($A$1,[2]characters!$1:$1,0)+1),MATCH(T$1,[2]characters!$1:$1,0)-MATCH($A$1,[2]characters!$1:$1,0)+1,FALSE)</f>
        <v>ラファエル</v>
      </c>
      <c r="U134" s="5">
        <f ca="1">IF(Q134="NULL","NULL",VLOOKUP(G134,ビット!$A$2:$B$7,2))</f>
        <v>20000</v>
      </c>
    </row>
    <row r="135" spans="1:21" ht="21" customHeight="1" x14ac:dyDescent="0.15">
      <c r="A135" s="83">
        <v>245</v>
      </c>
      <c r="B135" s="24" t="str">
        <f ca="1">VLOOKUP($A135,OFFSET([2]characters!$A$1,0,0,COUNTA([2]characters!$A:$A),MATCH(B$1,[2]characters!$1:$1,0)-MATCH($A$1,[2]characters!$1:$1,0)+1),MATCH(B$1,[2]characters!$1:$1,0)-MATCH($A$1,[2]characters!$1:$1,0)+1,FALSE)</f>
        <v>鎮癒の天使 ラファエル</v>
      </c>
      <c r="C135" s="24" t="str">
        <f ca="1">VLOOKUP($A135,OFFSET([2]characters!$A$1,0,0,COUNTA([2]characters!$A:$A),MATCH(C$1,[2]characters!$1:$1,0)-MATCH($A$1,[2]characters!$1:$1,0)+1),MATCH(C$1,[2]characters!$1:$1,0)-MATCH($A$1,[2]characters!$1:$1,0)+1,FALSE)</f>
        <v>ガチャ:天使01</v>
      </c>
      <c r="D135" s="24" t="str">
        <f ca="1">VLOOKUP($A135,OFFSET([2]characters!$A$1,0,0,COUNTA([2]characters!$A:$A),MATCH(D$1,[2]characters!$1:$1,0)-MATCH($A$1,[2]characters!$1:$1,0)+1),MATCH(D$1,[2]characters!$1:$1,0)-MATCH($A$1,[2]characters!$1:$1,0)+1,FALSE)</f>
        <v>管理者</v>
      </c>
      <c r="E135" s="24" t="str">
        <f ca="1">VLOOKUP($A135,OFFSET([2]characters!$A$1,0,0,COUNTA([2]characters!$A:$A),MATCH(E$1,[2]characters!$1:$1,0)-MATCH($A$1,[2]characters!$1:$1,0)+1),MATCH(E$1,[2]characters!$1:$1,0)-MATCH($A$1,[2]characters!$1:$1,0)+1,FALSE)</f>
        <v>美しい</v>
      </c>
      <c r="F135" s="24" t="str">
        <f ca="1">VLOOKUP($A135,OFFSET([2]characters!$A$1,0,0,COUNTA([2]characters!$A:$A),MATCH(F$1,[2]characters!$1:$1,0)-MATCH($A$1,[2]characters!$1:$1,0)+1),MATCH(F$1,[2]characters!$1:$1,0)-MATCH($A$1,[2]characters!$1:$1,0)+1,FALSE)</f>
        <v>女性</v>
      </c>
      <c r="G135" s="24">
        <f ca="1">VLOOKUP($A135,OFFSET([2]characters!$A$1,0,0,COUNTA([2]characters!$A:$A),MATCH(G$1,[2]characters!$1:$1,0)-MATCH($A$1,[2]characters!$1:$1,0)+1),MATCH(G$1,[2]characters!$1:$1,0)-MATCH($A$1,[2]characters!$1:$1,0)+1,FALSE)</f>
        <v>4</v>
      </c>
      <c r="H135" s="24" t="str">
        <f ca="1">VLOOKUP($A135,OFFSET([2]characters!$A$1,0,0,COUNTA([2]characters!$A:$A),MATCH(H$1,[2]characters!$1:$1,0)-MATCH($A$1,[2]characters!$1:$1,0)+1),MATCH(H$1,[2]characters!$1:$1,0)-MATCH($A$1,[2]characters!$1:$1,0)+1,FALSE)</f>
        <v>PremiumS</v>
      </c>
      <c r="I135" s="24" t="str">
        <f ca="1">VLOOKUP($A135,OFFSET([2]characters!$A$1,0,0,COUNTA([2]characters!$A:$A),MATCH(I$1,[2]characters!$1:$1,0)-MATCH($A$1,[2]characters!$1:$1,0)+1),MATCH(I$1,[2]characters!$1:$1,0)-MATCH($A$1,[2]characters!$1:$1,0)+1,FALSE)</f>
        <v>blue</v>
      </c>
      <c r="J135" s="24" t="str">
        <f ca="1">VLOOKUP($A135,OFFSET([2]characters!$A$1,0,0,COUNTA([2]characters!$A:$A),MATCH(J$1,[2]characters!$1:$1,0)-MATCH($A$1,[2]characters!$1:$1,0)+1),MATCH(J$1,[2]characters!$1:$1,0)-MATCH($A$1,[2]characters!$1:$1,0)+1,FALSE)</f>
        <v>god</v>
      </c>
      <c r="K135" s="3" t="str">
        <f ca="1">VLOOKUP(J135,[2]character_tribe_i18n!$A:$H,3,FALSE)</f>
        <v>ゴッド</v>
      </c>
      <c r="L135" s="5" t="e">
        <f>VLOOKUP(#REF!,[2]character_tribe_i18n!$A:$H,4,FALSE)</f>
        <v>#REF!</v>
      </c>
      <c r="M135" s="5" t="e">
        <f>VLOOKUP(#REF!,[2]character_tribe_i18n!$A:$H,5,FALSE)</f>
        <v>#REF!</v>
      </c>
      <c r="N135" s="5" t="e">
        <f>VLOOKUP(#REF!,[2]character_tribe_i18n!$A:$H,6,FALSE)</f>
        <v>#REF!</v>
      </c>
      <c r="O135" s="5" t="e">
        <f>VLOOKUP(#REF!,[2]character_tribe_i18n!$A:$H,7,FALSE)</f>
        <v>#REF!</v>
      </c>
      <c r="P135" s="83" t="s">
        <v>170</v>
      </c>
      <c r="Q135" s="4">
        <v>246</v>
      </c>
      <c r="R135" s="25" t="str">
        <f ca="1">IF(Q135="NULL","",VLOOKUP($Q135,OFFSET([2]characters!$A$1,0,0,COUNTA([2]characters!$A:$A),MATCH(R$1,[2]characters!$1:$1,0)-MATCH($A$1,[2]characters!$1:$1,0)+1),MATCH(R$1,[2]characters!$1:$1,0)-MATCH($A$1,[2]characters!$1:$1,0)+1,FALSE))</f>
        <v>真癒の天使 ラファエル・メディカ</v>
      </c>
      <c r="S135" s="3">
        <f t="shared" ca="1" si="2"/>
        <v>244</v>
      </c>
      <c r="T135" s="25" t="str">
        <f ca="1">VLOOKUP($S135,OFFSET([2]characters!$A$1,0,0,COUNTA([2]characters!$A:$A),MATCH(T$1,[2]characters!$1:$1,0)-MATCH($A$1,[2]characters!$1:$1,0)+1),MATCH(T$1,[2]characters!$1:$1,0)-MATCH($A$1,[2]characters!$1:$1,0)+1,FALSE)</f>
        <v>ラファエル</v>
      </c>
      <c r="U135" s="5">
        <f ca="1">IF(Q135="NULL","NULL",VLOOKUP(G135,ビット!$A$2:$B$7,2))</f>
        <v>50000</v>
      </c>
    </row>
    <row r="136" spans="1:21" ht="21" customHeight="1" x14ac:dyDescent="0.15">
      <c r="A136" s="83">
        <v>247</v>
      </c>
      <c r="B136" s="24" t="str">
        <f ca="1">VLOOKUP($A136,OFFSET([2]characters!$A$1,0,0,COUNTA([2]characters!$A:$A),MATCH(B$1,[2]characters!$1:$1,0)-MATCH($A$1,[2]characters!$1:$1,0)+1),MATCH(B$1,[2]characters!$1:$1,0)-MATCH($A$1,[2]characters!$1:$1,0)+1,FALSE)</f>
        <v>ミカエル</v>
      </c>
      <c r="C136" s="24" t="str">
        <f ca="1">VLOOKUP($A136,OFFSET([2]characters!$A$1,0,0,COUNTA([2]characters!$A:$A),MATCH(C$1,[2]characters!$1:$1,0)-MATCH($A$1,[2]characters!$1:$1,0)+1),MATCH(C$1,[2]characters!$1:$1,0)-MATCH($A$1,[2]characters!$1:$1,0)+1,FALSE)</f>
        <v>ガチャ:天使01</v>
      </c>
      <c r="D136" s="24" t="str">
        <f ca="1">VLOOKUP($A136,OFFSET([2]characters!$A$1,0,0,COUNTA([2]characters!$A:$A),MATCH(D$1,[2]characters!$1:$1,0)-MATCH($A$1,[2]characters!$1:$1,0)+1),MATCH(D$1,[2]characters!$1:$1,0)-MATCH($A$1,[2]characters!$1:$1,0)+1,FALSE)</f>
        <v>管理者</v>
      </c>
      <c r="E136" s="24" t="str">
        <f ca="1">VLOOKUP($A136,OFFSET([2]characters!$A$1,0,0,COUNTA([2]characters!$A:$A),MATCH(E$1,[2]characters!$1:$1,0)-MATCH($A$1,[2]characters!$1:$1,0)+1),MATCH(E$1,[2]characters!$1:$1,0)-MATCH($A$1,[2]characters!$1:$1,0)+1,FALSE)</f>
        <v>可愛い</v>
      </c>
      <c r="F136" s="24" t="str">
        <f ca="1">VLOOKUP($A136,OFFSET([2]characters!$A$1,0,0,COUNTA([2]characters!$A:$A),MATCH(F$1,[2]characters!$1:$1,0)-MATCH($A$1,[2]characters!$1:$1,0)+1),MATCH(F$1,[2]characters!$1:$1,0)-MATCH($A$1,[2]characters!$1:$1,0)+1,FALSE)</f>
        <v>女性</v>
      </c>
      <c r="G136" s="24">
        <f ca="1">VLOOKUP($A136,OFFSET([2]characters!$A$1,0,0,COUNTA([2]characters!$A:$A),MATCH(G$1,[2]characters!$1:$1,0)-MATCH($A$1,[2]characters!$1:$1,0)+1),MATCH(G$1,[2]characters!$1:$1,0)-MATCH($A$1,[2]characters!$1:$1,0)+1,FALSE)</f>
        <v>3</v>
      </c>
      <c r="H136" s="24" t="str">
        <f ca="1">VLOOKUP($A136,OFFSET([2]characters!$A$1,0,0,COUNTA([2]characters!$A:$A),MATCH(H$1,[2]characters!$1:$1,0)-MATCH($A$1,[2]characters!$1:$1,0)+1),MATCH(H$1,[2]characters!$1:$1,0)-MATCH($A$1,[2]characters!$1:$1,0)+1,FALSE)</f>
        <v>PremiumS</v>
      </c>
      <c r="I136" s="24" t="str">
        <f ca="1">VLOOKUP($A136,OFFSET([2]characters!$A$1,0,0,COUNTA([2]characters!$A:$A),MATCH(I$1,[2]characters!$1:$1,0)-MATCH($A$1,[2]characters!$1:$1,0)+1),MATCH(I$1,[2]characters!$1:$1,0)-MATCH($A$1,[2]characters!$1:$1,0)+1,FALSE)</f>
        <v>yellow</v>
      </c>
      <c r="J136" s="24" t="str">
        <f ca="1">VLOOKUP($A136,OFFSET([2]characters!$A$1,0,0,COUNTA([2]characters!$A:$A),MATCH(J$1,[2]characters!$1:$1,0)-MATCH($A$1,[2]characters!$1:$1,0)+1),MATCH(J$1,[2]characters!$1:$1,0)-MATCH($A$1,[2]characters!$1:$1,0)+1,FALSE)</f>
        <v>god</v>
      </c>
      <c r="K136" s="3" t="str">
        <f ca="1">VLOOKUP(J136,[2]character_tribe_i18n!$A:$H,3,FALSE)</f>
        <v>ゴッド</v>
      </c>
      <c r="L136" s="5" t="e">
        <f>VLOOKUP(#REF!,[2]character_tribe_i18n!$A:$H,4,FALSE)</f>
        <v>#REF!</v>
      </c>
      <c r="M136" s="5" t="e">
        <f>VLOOKUP(#REF!,[2]character_tribe_i18n!$A:$H,5,FALSE)</f>
        <v>#REF!</v>
      </c>
      <c r="N136" s="5" t="e">
        <f>VLOOKUP(#REF!,[2]character_tribe_i18n!$A:$H,6,FALSE)</f>
        <v>#REF!</v>
      </c>
      <c r="O136" s="5" t="e">
        <f>VLOOKUP(#REF!,[2]character_tribe_i18n!$A:$H,7,FALSE)</f>
        <v>#REF!</v>
      </c>
      <c r="P136" s="83" t="s">
        <v>170</v>
      </c>
      <c r="Q136" s="4">
        <v>248</v>
      </c>
      <c r="R136" s="25" t="str">
        <f ca="1">IF(Q136="NULL","",VLOOKUP($Q136,OFFSET([2]characters!$A$1,0,0,COUNTA([2]characters!$A:$A),MATCH(R$1,[2]characters!$1:$1,0)-MATCH($A$1,[2]characters!$1:$1,0)+1),MATCH(R$1,[2]characters!$1:$1,0)-MATCH($A$1,[2]characters!$1:$1,0)+1,FALSE))</f>
        <v>彩電の天使 ミカエル</v>
      </c>
      <c r="S136" s="3">
        <f t="shared" ca="1" si="2"/>
        <v>247</v>
      </c>
      <c r="T136" s="25" t="str">
        <f ca="1">VLOOKUP($S136,OFFSET([2]characters!$A$1,0,0,COUNTA([2]characters!$A:$A),MATCH(T$1,[2]characters!$1:$1,0)-MATCH($A$1,[2]characters!$1:$1,0)+1),MATCH(T$1,[2]characters!$1:$1,0)-MATCH($A$1,[2]characters!$1:$1,0)+1,FALSE)</f>
        <v>ミカエル</v>
      </c>
      <c r="U136" s="5">
        <f ca="1">IF(Q136="NULL","NULL",VLOOKUP(G136,ビット!$A$2:$B$7,2))</f>
        <v>20000</v>
      </c>
    </row>
    <row r="137" spans="1:21" ht="21" customHeight="1" x14ac:dyDescent="0.15">
      <c r="A137" s="83">
        <v>248</v>
      </c>
      <c r="B137" s="24" t="str">
        <f ca="1">VLOOKUP($A137,OFFSET([2]characters!$A$1,0,0,COUNTA([2]characters!$A:$A),MATCH(B$1,[2]characters!$1:$1,0)-MATCH($A$1,[2]characters!$1:$1,0)+1),MATCH(B$1,[2]characters!$1:$1,0)-MATCH($A$1,[2]characters!$1:$1,0)+1,FALSE)</f>
        <v>彩電の天使 ミカエル</v>
      </c>
      <c r="C137" s="24" t="str">
        <f ca="1">VLOOKUP($A137,OFFSET([2]characters!$A$1,0,0,COUNTA([2]characters!$A:$A),MATCH(C$1,[2]characters!$1:$1,0)-MATCH($A$1,[2]characters!$1:$1,0)+1),MATCH(C$1,[2]characters!$1:$1,0)-MATCH($A$1,[2]characters!$1:$1,0)+1,FALSE)</f>
        <v>ガチャ:天使01</v>
      </c>
      <c r="D137" s="24" t="str">
        <f ca="1">VLOOKUP($A137,OFFSET([2]characters!$A$1,0,0,COUNTA([2]characters!$A:$A),MATCH(D$1,[2]characters!$1:$1,0)-MATCH($A$1,[2]characters!$1:$1,0)+1),MATCH(D$1,[2]characters!$1:$1,0)-MATCH($A$1,[2]characters!$1:$1,0)+1,FALSE)</f>
        <v>管理者</v>
      </c>
      <c r="E137" s="24" t="str">
        <f ca="1">VLOOKUP($A137,OFFSET([2]characters!$A$1,0,0,COUNTA([2]characters!$A:$A),MATCH(E$1,[2]characters!$1:$1,0)-MATCH($A$1,[2]characters!$1:$1,0)+1),MATCH(E$1,[2]characters!$1:$1,0)-MATCH($A$1,[2]characters!$1:$1,0)+1,FALSE)</f>
        <v>可愛い</v>
      </c>
      <c r="F137" s="24" t="str">
        <f ca="1">VLOOKUP($A137,OFFSET([2]characters!$A$1,0,0,COUNTA([2]characters!$A:$A),MATCH(F$1,[2]characters!$1:$1,0)-MATCH($A$1,[2]characters!$1:$1,0)+1),MATCH(F$1,[2]characters!$1:$1,0)-MATCH($A$1,[2]characters!$1:$1,0)+1,FALSE)</f>
        <v>女性</v>
      </c>
      <c r="G137" s="24">
        <f ca="1">VLOOKUP($A137,OFFSET([2]characters!$A$1,0,0,COUNTA([2]characters!$A:$A),MATCH(G$1,[2]characters!$1:$1,0)-MATCH($A$1,[2]characters!$1:$1,0)+1),MATCH(G$1,[2]characters!$1:$1,0)-MATCH($A$1,[2]characters!$1:$1,0)+1,FALSE)</f>
        <v>4</v>
      </c>
      <c r="H137" s="24" t="str">
        <f ca="1">VLOOKUP($A137,OFFSET([2]characters!$A$1,0,0,COUNTA([2]characters!$A:$A),MATCH(H$1,[2]characters!$1:$1,0)-MATCH($A$1,[2]characters!$1:$1,0)+1),MATCH(H$1,[2]characters!$1:$1,0)-MATCH($A$1,[2]characters!$1:$1,0)+1,FALSE)</f>
        <v>PremiumS</v>
      </c>
      <c r="I137" s="24" t="str">
        <f ca="1">VLOOKUP($A137,OFFSET([2]characters!$A$1,0,0,COUNTA([2]characters!$A:$A),MATCH(I$1,[2]characters!$1:$1,0)-MATCH($A$1,[2]characters!$1:$1,0)+1),MATCH(I$1,[2]characters!$1:$1,0)-MATCH($A$1,[2]characters!$1:$1,0)+1,FALSE)</f>
        <v>yellow</v>
      </c>
      <c r="J137" s="24" t="str">
        <f ca="1">VLOOKUP($A137,OFFSET([2]characters!$A$1,0,0,COUNTA([2]characters!$A:$A),MATCH(J$1,[2]characters!$1:$1,0)-MATCH($A$1,[2]characters!$1:$1,0)+1),MATCH(J$1,[2]characters!$1:$1,0)-MATCH($A$1,[2]characters!$1:$1,0)+1,FALSE)</f>
        <v>god</v>
      </c>
      <c r="K137" s="3" t="str">
        <f ca="1">VLOOKUP(J137,[2]character_tribe_i18n!$A:$H,3,FALSE)</f>
        <v>ゴッド</v>
      </c>
      <c r="L137" s="5" t="e">
        <f>VLOOKUP(#REF!,[2]character_tribe_i18n!$A:$H,4,FALSE)</f>
        <v>#REF!</v>
      </c>
      <c r="M137" s="5" t="e">
        <f>VLOOKUP(#REF!,[2]character_tribe_i18n!$A:$H,5,FALSE)</f>
        <v>#REF!</v>
      </c>
      <c r="N137" s="5" t="e">
        <f>VLOOKUP(#REF!,[2]character_tribe_i18n!$A:$H,6,FALSE)</f>
        <v>#REF!</v>
      </c>
      <c r="O137" s="5" t="e">
        <f>VLOOKUP(#REF!,[2]character_tribe_i18n!$A:$H,7,FALSE)</f>
        <v>#REF!</v>
      </c>
      <c r="P137" s="83" t="s">
        <v>170</v>
      </c>
      <c r="Q137" s="4">
        <v>249</v>
      </c>
      <c r="R137" s="25" t="str">
        <f ca="1">IF(Q137="NULL","",VLOOKUP($Q137,OFFSET([2]characters!$A$1,0,0,COUNTA([2]characters!$A:$A),MATCH(R$1,[2]characters!$1:$1,0)-MATCH($A$1,[2]characters!$1:$1,0)+1),MATCH(R$1,[2]characters!$1:$1,0)-MATCH($A$1,[2]characters!$1:$1,0)+1,FALSE))</f>
        <v>雷電の天使 ミカエル・ゲイナー</v>
      </c>
      <c r="S137" s="3">
        <f t="shared" ca="1" si="2"/>
        <v>247</v>
      </c>
      <c r="T137" s="25" t="str">
        <f ca="1">VLOOKUP($S137,OFFSET([2]characters!$A$1,0,0,COUNTA([2]characters!$A:$A),MATCH(T$1,[2]characters!$1:$1,0)-MATCH($A$1,[2]characters!$1:$1,0)+1),MATCH(T$1,[2]characters!$1:$1,0)-MATCH($A$1,[2]characters!$1:$1,0)+1,FALSE)</f>
        <v>ミカエル</v>
      </c>
      <c r="U137" s="5">
        <f ca="1">IF(Q137="NULL","NULL",VLOOKUP(G137,ビット!$A$2:$B$7,2))</f>
        <v>50000</v>
      </c>
    </row>
    <row r="138" spans="1:21" ht="21" customHeight="1" x14ac:dyDescent="0.15">
      <c r="A138" s="83">
        <v>250</v>
      </c>
      <c r="B138" s="24" t="str">
        <f ca="1">VLOOKUP($A138,OFFSET([2]characters!$A$1,0,0,COUNTA([2]characters!$A:$A),MATCH(B$1,[2]characters!$1:$1,0)-MATCH($A$1,[2]characters!$1:$1,0)+1),MATCH(B$1,[2]characters!$1:$1,0)-MATCH($A$1,[2]characters!$1:$1,0)+1,FALSE)</f>
        <v>マンモン</v>
      </c>
      <c r="C138" s="24" t="str">
        <f ca="1">VLOOKUP($A138,OFFSET([2]characters!$A$1,0,0,COUNTA([2]characters!$A:$A),MATCH(C$1,[2]characters!$1:$1,0)-MATCH($A$1,[2]characters!$1:$1,0)+1),MATCH(C$1,[2]characters!$1:$1,0)-MATCH($A$1,[2]characters!$1:$1,0)+1,FALSE)</f>
        <v>ガチャ:7つの大罪01</v>
      </c>
      <c r="D138" s="24" t="str">
        <f ca="1">VLOOKUP($A138,OFFSET([2]characters!$A$1,0,0,COUNTA([2]characters!$A:$A),MATCH(D$1,[2]characters!$1:$1,0)-MATCH($A$1,[2]characters!$1:$1,0)+1),MATCH(D$1,[2]characters!$1:$1,0)-MATCH($A$1,[2]characters!$1:$1,0)+1,FALSE)</f>
        <v>執行者</v>
      </c>
      <c r="E138" s="24" t="str">
        <f ca="1">VLOOKUP($A138,OFFSET([2]characters!$A$1,0,0,COUNTA([2]characters!$A:$A),MATCH(E$1,[2]characters!$1:$1,0)-MATCH($A$1,[2]characters!$1:$1,0)+1),MATCH(E$1,[2]characters!$1:$1,0)-MATCH($A$1,[2]characters!$1:$1,0)+1,FALSE)</f>
        <v>美しい</v>
      </c>
      <c r="F138" s="24" t="str">
        <f ca="1">VLOOKUP($A138,OFFSET([2]characters!$A$1,0,0,COUNTA([2]characters!$A:$A),MATCH(F$1,[2]characters!$1:$1,0)-MATCH($A$1,[2]characters!$1:$1,0)+1),MATCH(F$1,[2]characters!$1:$1,0)-MATCH($A$1,[2]characters!$1:$1,0)+1,FALSE)</f>
        <v>女性</v>
      </c>
      <c r="G138" s="24">
        <f ca="1">VLOOKUP($A138,OFFSET([2]characters!$A$1,0,0,COUNTA([2]characters!$A:$A),MATCH(G$1,[2]characters!$1:$1,0)-MATCH($A$1,[2]characters!$1:$1,0)+1),MATCH(G$1,[2]characters!$1:$1,0)-MATCH($A$1,[2]characters!$1:$1,0)+1,FALSE)</f>
        <v>3</v>
      </c>
      <c r="H138" s="24" t="str">
        <f ca="1">VLOOKUP($A138,OFFSET([2]characters!$A$1,0,0,COUNTA([2]characters!$A:$A),MATCH(H$1,[2]characters!$1:$1,0)-MATCH($A$1,[2]characters!$1:$1,0)+1),MATCH(H$1,[2]characters!$1:$1,0)-MATCH($A$1,[2]characters!$1:$1,0)+1,FALSE)</f>
        <v>PremiumS</v>
      </c>
      <c r="I138" s="24" t="str">
        <f ca="1">VLOOKUP($A138,OFFSET([2]characters!$A$1,0,0,COUNTA([2]characters!$A:$A),MATCH(I$1,[2]characters!$1:$1,0)-MATCH($A$1,[2]characters!$1:$1,0)+1),MATCH(I$1,[2]characters!$1:$1,0)-MATCH($A$1,[2]characters!$1:$1,0)+1,FALSE)</f>
        <v>red</v>
      </c>
      <c r="J138" s="24" t="str">
        <f ca="1">VLOOKUP($A138,OFFSET([2]characters!$A$1,0,0,COUNTA([2]characters!$A:$A),MATCH(J$1,[2]characters!$1:$1,0)-MATCH($A$1,[2]characters!$1:$1,0)+1),MATCH(J$1,[2]characters!$1:$1,0)-MATCH($A$1,[2]characters!$1:$1,0)+1,FALSE)</f>
        <v>none</v>
      </c>
      <c r="K138" s="3" t="str">
        <f ca="1">VLOOKUP(J138,[2]character_tribe_i18n!$A:$H,3,FALSE)</f>
        <v>種族なし</v>
      </c>
      <c r="L138" s="5" t="e">
        <f>VLOOKUP(#REF!,[2]character_tribe_i18n!$A:$H,4,FALSE)</f>
        <v>#REF!</v>
      </c>
      <c r="M138" s="5" t="e">
        <f>VLOOKUP(#REF!,[2]character_tribe_i18n!$A:$H,5,FALSE)</f>
        <v>#REF!</v>
      </c>
      <c r="N138" s="5" t="e">
        <f>VLOOKUP(#REF!,[2]character_tribe_i18n!$A:$H,6,FALSE)</f>
        <v>#REF!</v>
      </c>
      <c r="O138" s="5" t="e">
        <f>VLOOKUP(#REF!,[2]character_tribe_i18n!$A:$H,7,FALSE)</f>
        <v>#REF!</v>
      </c>
      <c r="P138" s="83" t="s">
        <v>170</v>
      </c>
      <c r="Q138" s="4">
        <v>251</v>
      </c>
      <c r="R138" s="25" t="str">
        <f ca="1">IF(Q138="NULL","",VLOOKUP($Q138,OFFSET([2]characters!$A$1,0,0,COUNTA([2]characters!$A:$A),MATCH(R$1,[2]characters!$1:$1,0)-MATCH($A$1,[2]characters!$1:$1,0)+1),MATCH(R$1,[2]characters!$1:$1,0)-MATCH($A$1,[2]characters!$1:$1,0)+1,FALSE))</f>
        <v>強欲 マンモン</v>
      </c>
      <c r="S138" s="3">
        <f t="shared" ca="1" si="2"/>
        <v>250</v>
      </c>
      <c r="T138" s="25" t="str">
        <f ca="1">VLOOKUP($S138,OFFSET([2]characters!$A$1,0,0,COUNTA([2]characters!$A:$A),MATCH(T$1,[2]characters!$1:$1,0)-MATCH($A$1,[2]characters!$1:$1,0)+1),MATCH(T$1,[2]characters!$1:$1,0)-MATCH($A$1,[2]characters!$1:$1,0)+1,FALSE)</f>
        <v>マンモン</v>
      </c>
      <c r="U138" s="5">
        <f ca="1">IF(Q138="NULL","NULL",VLOOKUP(G138,ビット!$A$2:$B$7,2))</f>
        <v>20000</v>
      </c>
    </row>
    <row r="139" spans="1:21" ht="21" customHeight="1" x14ac:dyDescent="0.15">
      <c r="A139" s="83">
        <v>251</v>
      </c>
      <c r="B139" s="24" t="str">
        <f ca="1">VLOOKUP($A139,OFFSET([2]characters!$A$1,0,0,COUNTA([2]characters!$A:$A),MATCH(B$1,[2]characters!$1:$1,0)-MATCH($A$1,[2]characters!$1:$1,0)+1),MATCH(B$1,[2]characters!$1:$1,0)-MATCH($A$1,[2]characters!$1:$1,0)+1,FALSE)</f>
        <v>強欲 マンモン</v>
      </c>
      <c r="C139" s="24" t="str">
        <f ca="1">VLOOKUP($A139,OFFSET([2]characters!$A$1,0,0,COUNTA([2]characters!$A:$A),MATCH(C$1,[2]characters!$1:$1,0)-MATCH($A$1,[2]characters!$1:$1,0)+1),MATCH(C$1,[2]characters!$1:$1,0)-MATCH($A$1,[2]characters!$1:$1,0)+1,FALSE)</f>
        <v>ガチャ:7つの大罪01</v>
      </c>
      <c r="D139" s="24" t="str">
        <f ca="1">VLOOKUP($A139,OFFSET([2]characters!$A$1,0,0,COUNTA([2]characters!$A:$A),MATCH(D$1,[2]characters!$1:$1,0)-MATCH($A$1,[2]characters!$1:$1,0)+1),MATCH(D$1,[2]characters!$1:$1,0)-MATCH($A$1,[2]characters!$1:$1,0)+1,FALSE)</f>
        <v>執行者</v>
      </c>
      <c r="E139" s="24" t="str">
        <f ca="1">VLOOKUP($A139,OFFSET([2]characters!$A$1,0,0,COUNTA([2]characters!$A:$A),MATCH(E$1,[2]characters!$1:$1,0)-MATCH($A$1,[2]characters!$1:$1,0)+1),MATCH(E$1,[2]characters!$1:$1,0)-MATCH($A$1,[2]characters!$1:$1,0)+1,FALSE)</f>
        <v>美しい</v>
      </c>
      <c r="F139" s="24" t="str">
        <f ca="1">VLOOKUP($A139,OFFSET([2]characters!$A$1,0,0,COUNTA([2]characters!$A:$A),MATCH(F$1,[2]characters!$1:$1,0)-MATCH($A$1,[2]characters!$1:$1,0)+1),MATCH(F$1,[2]characters!$1:$1,0)-MATCH($A$1,[2]characters!$1:$1,0)+1,FALSE)</f>
        <v>女性</v>
      </c>
      <c r="G139" s="24">
        <f ca="1">VLOOKUP($A139,OFFSET([2]characters!$A$1,0,0,COUNTA([2]characters!$A:$A),MATCH(G$1,[2]characters!$1:$1,0)-MATCH($A$1,[2]characters!$1:$1,0)+1),MATCH(G$1,[2]characters!$1:$1,0)-MATCH($A$1,[2]characters!$1:$1,0)+1,FALSE)</f>
        <v>4</v>
      </c>
      <c r="H139" s="24" t="str">
        <f ca="1">VLOOKUP($A139,OFFSET([2]characters!$A$1,0,0,COUNTA([2]characters!$A:$A),MATCH(H$1,[2]characters!$1:$1,0)-MATCH($A$1,[2]characters!$1:$1,0)+1),MATCH(H$1,[2]characters!$1:$1,0)-MATCH($A$1,[2]characters!$1:$1,0)+1,FALSE)</f>
        <v>PremiumS</v>
      </c>
      <c r="I139" s="24" t="str">
        <f ca="1">VLOOKUP($A139,OFFSET([2]characters!$A$1,0,0,COUNTA([2]characters!$A:$A),MATCH(I$1,[2]characters!$1:$1,0)-MATCH($A$1,[2]characters!$1:$1,0)+1),MATCH(I$1,[2]characters!$1:$1,0)-MATCH($A$1,[2]characters!$1:$1,0)+1,FALSE)</f>
        <v>red</v>
      </c>
      <c r="J139" s="24" t="str">
        <f ca="1">VLOOKUP($A139,OFFSET([2]characters!$A$1,0,0,COUNTA([2]characters!$A:$A),MATCH(J$1,[2]characters!$1:$1,0)-MATCH($A$1,[2]characters!$1:$1,0)+1),MATCH(J$1,[2]characters!$1:$1,0)-MATCH($A$1,[2]characters!$1:$1,0)+1,FALSE)</f>
        <v>none</v>
      </c>
      <c r="K139" s="3" t="str">
        <f ca="1">VLOOKUP(J139,[2]character_tribe_i18n!$A:$H,3,FALSE)</f>
        <v>種族なし</v>
      </c>
      <c r="L139" s="5" t="e">
        <f>VLOOKUP(#REF!,[2]character_tribe_i18n!$A:$H,4,FALSE)</f>
        <v>#REF!</v>
      </c>
      <c r="M139" s="5" t="e">
        <f>VLOOKUP(#REF!,[2]character_tribe_i18n!$A:$H,5,FALSE)</f>
        <v>#REF!</v>
      </c>
      <c r="N139" s="5" t="e">
        <f>VLOOKUP(#REF!,[2]character_tribe_i18n!$A:$H,6,FALSE)</f>
        <v>#REF!</v>
      </c>
      <c r="O139" s="5" t="e">
        <f>VLOOKUP(#REF!,[2]character_tribe_i18n!$A:$H,7,FALSE)</f>
        <v>#REF!</v>
      </c>
      <c r="P139" s="83" t="s">
        <v>170</v>
      </c>
      <c r="Q139" s="4">
        <v>252</v>
      </c>
      <c r="R139" s="25" t="str">
        <f ca="1">IF(Q139="NULL","",VLOOKUP($Q139,OFFSET([2]characters!$A$1,0,0,COUNTA([2]characters!$A:$A),MATCH(R$1,[2]characters!$1:$1,0)-MATCH($A$1,[2]characters!$1:$1,0)+1),MATCH(R$1,[2]characters!$1:$1,0)-MATCH($A$1,[2]characters!$1:$1,0)+1,FALSE))</f>
        <v>強欲の沸騰 マンモン</v>
      </c>
      <c r="S139" s="3">
        <f t="shared" ca="1" si="2"/>
        <v>250</v>
      </c>
      <c r="T139" s="25" t="str">
        <f ca="1">VLOOKUP($S139,OFFSET([2]characters!$A$1,0,0,COUNTA([2]characters!$A:$A),MATCH(T$1,[2]characters!$1:$1,0)-MATCH($A$1,[2]characters!$1:$1,0)+1),MATCH(T$1,[2]characters!$1:$1,0)-MATCH($A$1,[2]characters!$1:$1,0)+1,FALSE)</f>
        <v>マンモン</v>
      </c>
      <c r="U139" s="5">
        <f ca="1">IF(Q139="NULL","NULL",VLOOKUP(G139,ビット!$A$2:$B$7,2))</f>
        <v>50000</v>
      </c>
    </row>
    <row r="140" spans="1:21" ht="21" customHeight="1" x14ac:dyDescent="0.15">
      <c r="A140" s="83">
        <v>253</v>
      </c>
      <c r="B140" s="24" t="str">
        <f ca="1">VLOOKUP($A140,OFFSET([2]characters!$A$1,0,0,COUNTA([2]characters!$A:$A),MATCH(B$1,[2]characters!$1:$1,0)-MATCH($A$1,[2]characters!$1:$1,0)+1),MATCH(B$1,[2]characters!$1:$1,0)-MATCH($A$1,[2]characters!$1:$1,0)+1,FALSE)</f>
        <v>ベルフェゴール</v>
      </c>
      <c r="C140" s="24" t="str">
        <f ca="1">VLOOKUP($A140,OFFSET([2]characters!$A$1,0,0,COUNTA([2]characters!$A:$A),MATCH(C$1,[2]characters!$1:$1,0)-MATCH($A$1,[2]characters!$1:$1,0)+1),MATCH(C$1,[2]characters!$1:$1,0)-MATCH($A$1,[2]characters!$1:$1,0)+1,FALSE)</f>
        <v>ガチャ:7つの大罪01</v>
      </c>
      <c r="D140" s="24" t="str">
        <f ca="1">VLOOKUP($A140,OFFSET([2]characters!$A$1,0,0,COUNTA([2]characters!$A:$A),MATCH(D$1,[2]characters!$1:$1,0)-MATCH($A$1,[2]characters!$1:$1,0)+1),MATCH(D$1,[2]characters!$1:$1,0)-MATCH($A$1,[2]characters!$1:$1,0)+1,FALSE)</f>
        <v>執行者</v>
      </c>
      <c r="E140" s="24" t="str">
        <f ca="1">VLOOKUP($A140,OFFSET([2]characters!$A$1,0,0,COUNTA([2]characters!$A:$A),MATCH(E$1,[2]characters!$1:$1,0)-MATCH($A$1,[2]characters!$1:$1,0)+1),MATCH(E$1,[2]characters!$1:$1,0)-MATCH($A$1,[2]characters!$1:$1,0)+1,FALSE)</f>
        <v>可愛い</v>
      </c>
      <c r="F140" s="24" t="str">
        <f ca="1">VLOOKUP($A140,OFFSET([2]characters!$A$1,0,0,COUNTA([2]characters!$A:$A),MATCH(F$1,[2]characters!$1:$1,0)-MATCH($A$1,[2]characters!$1:$1,0)+1),MATCH(F$1,[2]characters!$1:$1,0)-MATCH($A$1,[2]characters!$1:$1,0)+1,FALSE)</f>
        <v>女性</v>
      </c>
      <c r="G140" s="24">
        <f ca="1">VLOOKUP($A140,OFFSET([2]characters!$A$1,0,0,COUNTA([2]characters!$A:$A),MATCH(G$1,[2]characters!$1:$1,0)-MATCH($A$1,[2]characters!$1:$1,0)+1),MATCH(G$1,[2]characters!$1:$1,0)-MATCH($A$1,[2]characters!$1:$1,0)+1,FALSE)</f>
        <v>3</v>
      </c>
      <c r="H140" s="24" t="str">
        <f ca="1">VLOOKUP($A140,OFFSET([2]characters!$A$1,0,0,COUNTA([2]characters!$A:$A),MATCH(H$1,[2]characters!$1:$1,0)-MATCH($A$1,[2]characters!$1:$1,0)+1),MATCH(H$1,[2]characters!$1:$1,0)-MATCH($A$1,[2]characters!$1:$1,0)+1,FALSE)</f>
        <v>PremiumS</v>
      </c>
      <c r="I140" s="24" t="str">
        <f ca="1">VLOOKUP($A140,OFFSET([2]characters!$A$1,0,0,COUNTA([2]characters!$A:$A),MATCH(I$1,[2]characters!$1:$1,0)-MATCH($A$1,[2]characters!$1:$1,0)+1),MATCH(I$1,[2]characters!$1:$1,0)-MATCH($A$1,[2]characters!$1:$1,0)+1,FALSE)</f>
        <v>green</v>
      </c>
      <c r="J140" s="24" t="str">
        <f ca="1">VLOOKUP($A140,OFFSET([2]characters!$A$1,0,0,COUNTA([2]characters!$A:$A),MATCH(J$1,[2]characters!$1:$1,0)-MATCH($A$1,[2]characters!$1:$1,0)+1),MATCH(J$1,[2]characters!$1:$1,0)-MATCH($A$1,[2]characters!$1:$1,0)+1,FALSE)</f>
        <v>none</v>
      </c>
      <c r="K140" s="3" t="str">
        <f ca="1">VLOOKUP(J140,[2]character_tribe_i18n!$A:$H,3,FALSE)</f>
        <v>種族なし</v>
      </c>
      <c r="L140" s="5" t="e">
        <f>VLOOKUP(#REF!,[2]character_tribe_i18n!$A:$H,4,FALSE)</f>
        <v>#REF!</v>
      </c>
      <c r="M140" s="5" t="e">
        <f>VLOOKUP(#REF!,[2]character_tribe_i18n!$A:$H,5,FALSE)</f>
        <v>#REF!</v>
      </c>
      <c r="N140" s="5" t="e">
        <f>VLOOKUP(#REF!,[2]character_tribe_i18n!$A:$H,6,FALSE)</f>
        <v>#REF!</v>
      </c>
      <c r="O140" s="5" t="e">
        <f>VLOOKUP(#REF!,[2]character_tribe_i18n!$A:$H,7,FALSE)</f>
        <v>#REF!</v>
      </c>
      <c r="P140" s="83" t="s">
        <v>170</v>
      </c>
      <c r="Q140" s="4">
        <v>254</v>
      </c>
      <c r="R140" s="25" t="str">
        <f ca="1">IF(Q140="NULL","",VLOOKUP($Q140,OFFSET([2]characters!$A$1,0,0,COUNTA([2]characters!$A:$A),MATCH(R$1,[2]characters!$1:$1,0)-MATCH($A$1,[2]characters!$1:$1,0)+1),MATCH(R$1,[2]characters!$1:$1,0)-MATCH($A$1,[2]characters!$1:$1,0)+1,FALSE))</f>
        <v>怠惰 ベルフェゴール</v>
      </c>
      <c r="S140" s="3">
        <f t="shared" ca="1" si="2"/>
        <v>253</v>
      </c>
      <c r="T140" s="25" t="str">
        <f ca="1">VLOOKUP($S140,OFFSET([2]characters!$A$1,0,0,COUNTA([2]characters!$A:$A),MATCH(T$1,[2]characters!$1:$1,0)-MATCH($A$1,[2]characters!$1:$1,0)+1),MATCH(T$1,[2]characters!$1:$1,0)-MATCH($A$1,[2]characters!$1:$1,0)+1,FALSE)</f>
        <v>ベルフェゴール</v>
      </c>
      <c r="U140" s="5">
        <f ca="1">IF(Q140="NULL","NULL",VLOOKUP(G140,ビット!$A$2:$B$7,2))</f>
        <v>20000</v>
      </c>
    </row>
    <row r="141" spans="1:21" ht="21" customHeight="1" x14ac:dyDescent="0.15">
      <c r="A141" s="83">
        <v>254</v>
      </c>
      <c r="B141" s="24" t="str">
        <f ca="1">VLOOKUP($A141,OFFSET([2]characters!$A$1,0,0,COUNTA([2]characters!$A:$A),MATCH(B$1,[2]characters!$1:$1,0)-MATCH($A$1,[2]characters!$1:$1,0)+1),MATCH(B$1,[2]characters!$1:$1,0)-MATCH($A$1,[2]characters!$1:$1,0)+1,FALSE)</f>
        <v>怠惰 ベルフェゴール</v>
      </c>
      <c r="C141" s="24" t="str">
        <f ca="1">VLOOKUP($A141,OFFSET([2]characters!$A$1,0,0,COUNTA([2]characters!$A:$A),MATCH(C$1,[2]characters!$1:$1,0)-MATCH($A$1,[2]characters!$1:$1,0)+1),MATCH(C$1,[2]characters!$1:$1,0)-MATCH($A$1,[2]characters!$1:$1,0)+1,FALSE)</f>
        <v>ガチャ:7つの大罪01</v>
      </c>
      <c r="D141" s="24" t="str">
        <f ca="1">VLOOKUP($A141,OFFSET([2]characters!$A$1,0,0,COUNTA([2]characters!$A:$A),MATCH(D$1,[2]characters!$1:$1,0)-MATCH($A$1,[2]characters!$1:$1,0)+1),MATCH(D$1,[2]characters!$1:$1,0)-MATCH($A$1,[2]characters!$1:$1,0)+1,FALSE)</f>
        <v>執行者</v>
      </c>
      <c r="E141" s="24" t="str">
        <f ca="1">VLOOKUP($A141,OFFSET([2]characters!$A$1,0,0,COUNTA([2]characters!$A:$A),MATCH(E$1,[2]characters!$1:$1,0)-MATCH($A$1,[2]characters!$1:$1,0)+1),MATCH(E$1,[2]characters!$1:$1,0)-MATCH($A$1,[2]characters!$1:$1,0)+1,FALSE)</f>
        <v>可愛い</v>
      </c>
      <c r="F141" s="24" t="str">
        <f ca="1">VLOOKUP($A141,OFFSET([2]characters!$A$1,0,0,COUNTA([2]characters!$A:$A),MATCH(F$1,[2]characters!$1:$1,0)-MATCH($A$1,[2]characters!$1:$1,0)+1),MATCH(F$1,[2]characters!$1:$1,0)-MATCH($A$1,[2]characters!$1:$1,0)+1,FALSE)</f>
        <v>女性</v>
      </c>
      <c r="G141" s="24">
        <f ca="1">VLOOKUP($A141,OFFSET([2]characters!$A$1,0,0,COUNTA([2]characters!$A:$A),MATCH(G$1,[2]characters!$1:$1,0)-MATCH($A$1,[2]characters!$1:$1,0)+1),MATCH(G$1,[2]characters!$1:$1,0)-MATCH($A$1,[2]characters!$1:$1,0)+1,FALSE)</f>
        <v>4</v>
      </c>
      <c r="H141" s="24" t="str">
        <f ca="1">VLOOKUP($A141,OFFSET([2]characters!$A$1,0,0,COUNTA([2]characters!$A:$A),MATCH(H$1,[2]characters!$1:$1,0)-MATCH($A$1,[2]characters!$1:$1,0)+1),MATCH(H$1,[2]characters!$1:$1,0)-MATCH($A$1,[2]characters!$1:$1,0)+1,FALSE)</f>
        <v>PremiumS</v>
      </c>
      <c r="I141" s="24" t="str">
        <f ca="1">VLOOKUP($A141,OFFSET([2]characters!$A$1,0,0,COUNTA([2]characters!$A:$A),MATCH(I$1,[2]characters!$1:$1,0)-MATCH($A$1,[2]characters!$1:$1,0)+1),MATCH(I$1,[2]characters!$1:$1,0)-MATCH($A$1,[2]characters!$1:$1,0)+1,FALSE)</f>
        <v>green</v>
      </c>
      <c r="J141" s="24" t="str">
        <f ca="1">VLOOKUP($A141,OFFSET([2]characters!$A$1,0,0,COUNTA([2]characters!$A:$A),MATCH(J$1,[2]characters!$1:$1,0)-MATCH($A$1,[2]characters!$1:$1,0)+1),MATCH(J$1,[2]characters!$1:$1,0)-MATCH($A$1,[2]characters!$1:$1,0)+1,FALSE)</f>
        <v>none</v>
      </c>
      <c r="K141" s="3" t="str">
        <f ca="1">VLOOKUP(J141,[2]character_tribe_i18n!$A:$H,3,FALSE)</f>
        <v>種族なし</v>
      </c>
      <c r="L141" s="5" t="e">
        <f>VLOOKUP(#REF!,[2]character_tribe_i18n!$A:$H,4,FALSE)</f>
        <v>#REF!</v>
      </c>
      <c r="M141" s="5" t="e">
        <f>VLOOKUP(#REF!,[2]character_tribe_i18n!$A:$H,5,FALSE)</f>
        <v>#REF!</v>
      </c>
      <c r="N141" s="5" t="e">
        <f>VLOOKUP(#REF!,[2]character_tribe_i18n!$A:$H,6,FALSE)</f>
        <v>#REF!</v>
      </c>
      <c r="O141" s="5" t="e">
        <f>VLOOKUP(#REF!,[2]character_tribe_i18n!$A:$H,7,FALSE)</f>
        <v>#REF!</v>
      </c>
      <c r="P141" s="83" t="s">
        <v>170</v>
      </c>
      <c r="Q141" s="4">
        <v>255</v>
      </c>
      <c r="R141" s="25" t="str">
        <f ca="1">IF(Q141="NULL","",VLOOKUP($Q141,OFFSET([2]characters!$A$1,0,0,COUNTA([2]characters!$A:$A),MATCH(R$1,[2]characters!$1:$1,0)-MATCH($A$1,[2]characters!$1:$1,0)+1),MATCH(R$1,[2]characters!$1:$1,0)-MATCH($A$1,[2]characters!$1:$1,0)+1,FALSE))</f>
        <v>怠惰の頂点 ベルフェゴール</v>
      </c>
      <c r="S141" s="3">
        <f t="shared" ca="1" si="2"/>
        <v>253</v>
      </c>
      <c r="T141" s="25" t="str">
        <f ca="1">VLOOKUP($S141,OFFSET([2]characters!$A$1,0,0,COUNTA([2]characters!$A:$A),MATCH(T$1,[2]characters!$1:$1,0)-MATCH($A$1,[2]characters!$1:$1,0)+1),MATCH(T$1,[2]characters!$1:$1,0)-MATCH($A$1,[2]characters!$1:$1,0)+1,FALSE)</f>
        <v>ベルフェゴール</v>
      </c>
      <c r="U141" s="5">
        <f ca="1">IF(Q141="NULL","NULL",VLOOKUP(G141,ビット!$A$2:$B$7,2))</f>
        <v>50000</v>
      </c>
    </row>
    <row r="142" spans="1:21" ht="21" customHeight="1" x14ac:dyDescent="0.15">
      <c r="A142" s="83">
        <v>256</v>
      </c>
      <c r="B142" s="24" t="str">
        <f ca="1">VLOOKUP($A142,OFFSET([2]characters!$A$1,0,0,COUNTA([2]characters!$A:$A),MATCH(B$1,[2]characters!$1:$1,0)-MATCH($A$1,[2]characters!$1:$1,0)+1),MATCH(B$1,[2]characters!$1:$1,0)-MATCH($A$1,[2]characters!$1:$1,0)+1,FALSE)</f>
        <v>アスモデウス</v>
      </c>
      <c r="C142" s="24" t="str">
        <f ca="1">VLOOKUP($A142,OFFSET([2]characters!$A$1,0,0,COUNTA([2]characters!$A:$A),MATCH(C$1,[2]characters!$1:$1,0)-MATCH($A$1,[2]characters!$1:$1,0)+1),MATCH(C$1,[2]characters!$1:$1,0)-MATCH($A$1,[2]characters!$1:$1,0)+1,FALSE)</f>
        <v>ガチャ:7つの大罪01</v>
      </c>
      <c r="D142" s="24" t="str">
        <f ca="1">VLOOKUP($A142,OFFSET([2]characters!$A$1,0,0,COUNTA([2]characters!$A:$A),MATCH(D$1,[2]characters!$1:$1,0)-MATCH($A$1,[2]characters!$1:$1,0)+1),MATCH(D$1,[2]characters!$1:$1,0)-MATCH($A$1,[2]characters!$1:$1,0)+1,FALSE)</f>
        <v>執行者</v>
      </c>
      <c r="E142" s="24" t="str">
        <f ca="1">VLOOKUP($A142,OFFSET([2]characters!$A$1,0,0,COUNTA([2]characters!$A:$A),MATCH(E$1,[2]characters!$1:$1,0)-MATCH($A$1,[2]characters!$1:$1,0)+1),MATCH(E$1,[2]characters!$1:$1,0)-MATCH($A$1,[2]characters!$1:$1,0)+1,FALSE)</f>
        <v>美しい</v>
      </c>
      <c r="F142" s="24" t="str">
        <f ca="1">VLOOKUP($A142,OFFSET([2]characters!$A$1,0,0,COUNTA([2]characters!$A:$A),MATCH(F$1,[2]characters!$1:$1,0)-MATCH($A$1,[2]characters!$1:$1,0)+1),MATCH(F$1,[2]characters!$1:$1,0)-MATCH($A$1,[2]characters!$1:$1,0)+1,FALSE)</f>
        <v>女性</v>
      </c>
      <c r="G142" s="24">
        <f ca="1">VLOOKUP($A142,OFFSET([2]characters!$A$1,0,0,COUNTA([2]characters!$A:$A),MATCH(G$1,[2]characters!$1:$1,0)-MATCH($A$1,[2]characters!$1:$1,0)+1),MATCH(G$1,[2]characters!$1:$1,0)-MATCH($A$1,[2]characters!$1:$1,0)+1,FALSE)</f>
        <v>3</v>
      </c>
      <c r="H142" s="24" t="str">
        <f ca="1">VLOOKUP($A142,OFFSET([2]characters!$A$1,0,0,COUNTA([2]characters!$A:$A),MATCH(H$1,[2]characters!$1:$1,0)-MATCH($A$1,[2]characters!$1:$1,0)+1),MATCH(H$1,[2]characters!$1:$1,0)-MATCH($A$1,[2]characters!$1:$1,0)+1,FALSE)</f>
        <v>PremiumS</v>
      </c>
      <c r="I142" s="24" t="str">
        <f ca="1">VLOOKUP($A142,OFFSET([2]characters!$A$1,0,0,COUNTA([2]characters!$A:$A),MATCH(I$1,[2]characters!$1:$1,0)-MATCH($A$1,[2]characters!$1:$1,0)+1),MATCH(I$1,[2]characters!$1:$1,0)-MATCH($A$1,[2]characters!$1:$1,0)+1,FALSE)</f>
        <v>blue</v>
      </c>
      <c r="J142" s="24" t="str">
        <f ca="1">VLOOKUP($A142,OFFSET([2]characters!$A$1,0,0,COUNTA([2]characters!$A:$A),MATCH(J$1,[2]characters!$1:$1,0)-MATCH($A$1,[2]characters!$1:$1,0)+1),MATCH(J$1,[2]characters!$1:$1,0)-MATCH($A$1,[2]characters!$1:$1,0)+1,FALSE)</f>
        <v>none</v>
      </c>
      <c r="K142" s="3" t="str">
        <f ca="1">VLOOKUP(J142,[2]character_tribe_i18n!$A:$H,3,FALSE)</f>
        <v>種族なし</v>
      </c>
      <c r="L142" s="5" t="e">
        <f>VLOOKUP(#REF!,[2]character_tribe_i18n!$A:$H,4,FALSE)</f>
        <v>#REF!</v>
      </c>
      <c r="M142" s="5" t="e">
        <f>VLOOKUP(#REF!,[2]character_tribe_i18n!$A:$H,5,FALSE)</f>
        <v>#REF!</v>
      </c>
      <c r="N142" s="5" t="e">
        <f>VLOOKUP(#REF!,[2]character_tribe_i18n!$A:$H,6,FALSE)</f>
        <v>#REF!</v>
      </c>
      <c r="O142" s="5" t="e">
        <f>VLOOKUP(#REF!,[2]character_tribe_i18n!$A:$H,7,FALSE)</f>
        <v>#REF!</v>
      </c>
      <c r="P142" s="83" t="s">
        <v>170</v>
      </c>
      <c r="Q142" s="4">
        <v>257</v>
      </c>
      <c r="R142" s="25" t="str">
        <f ca="1">IF(Q142="NULL","",VLOOKUP($Q142,OFFSET([2]characters!$A$1,0,0,COUNTA([2]characters!$A:$A),MATCH(R$1,[2]characters!$1:$1,0)-MATCH($A$1,[2]characters!$1:$1,0)+1),MATCH(R$1,[2]characters!$1:$1,0)-MATCH($A$1,[2]characters!$1:$1,0)+1,FALSE))</f>
        <v>色欲 アスモデウス</v>
      </c>
      <c r="S142" s="3">
        <f t="shared" ca="1" si="2"/>
        <v>256</v>
      </c>
      <c r="T142" s="25" t="str">
        <f ca="1">VLOOKUP($S142,OFFSET([2]characters!$A$1,0,0,COUNTA([2]characters!$A:$A),MATCH(T$1,[2]characters!$1:$1,0)-MATCH($A$1,[2]characters!$1:$1,0)+1),MATCH(T$1,[2]characters!$1:$1,0)-MATCH($A$1,[2]characters!$1:$1,0)+1,FALSE)</f>
        <v>アスモデウス</v>
      </c>
      <c r="U142" s="5">
        <f ca="1">IF(Q142="NULL","NULL",VLOOKUP(G142,ビット!$A$2:$B$7,2))</f>
        <v>20000</v>
      </c>
    </row>
    <row r="143" spans="1:21" ht="21" customHeight="1" x14ac:dyDescent="0.15">
      <c r="A143" s="83">
        <v>257</v>
      </c>
      <c r="B143" s="24" t="str">
        <f ca="1">VLOOKUP($A143,OFFSET([2]characters!$A$1,0,0,COUNTA([2]characters!$A:$A),MATCH(B$1,[2]characters!$1:$1,0)-MATCH($A$1,[2]characters!$1:$1,0)+1),MATCH(B$1,[2]characters!$1:$1,0)-MATCH($A$1,[2]characters!$1:$1,0)+1,FALSE)</f>
        <v>色欲 アスモデウス</v>
      </c>
      <c r="C143" s="24" t="str">
        <f ca="1">VLOOKUP($A143,OFFSET([2]characters!$A$1,0,0,COUNTA([2]characters!$A:$A),MATCH(C$1,[2]characters!$1:$1,0)-MATCH($A$1,[2]characters!$1:$1,0)+1),MATCH(C$1,[2]characters!$1:$1,0)-MATCH($A$1,[2]characters!$1:$1,0)+1,FALSE)</f>
        <v>ガチャ:7つの大罪01</v>
      </c>
      <c r="D143" s="24" t="str">
        <f ca="1">VLOOKUP($A143,OFFSET([2]characters!$A$1,0,0,COUNTA([2]characters!$A:$A),MATCH(D$1,[2]characters!$1:$1,0)-MATCH($A$1,[2]characters!$1:$1,0)+1),MATCH(D$1,[2]characters!$1:$1,0)-MATCH($A$1,[2]characters!$1:$1,0)+1,FALSE)</f>
        <v>執行者</v>
      </c>
      <c r="E143" s="24" t="str">
        <f ca="1">VLOOKUP($A143,OFFSET([2]characters!$A$1,0,0,COUNTA([2]characters!$A:$A),MATCH(E$1,[2]characters!$1:$1,0)-MATCH($A$1,[2]characters!$1:$1,0)+1),MATCH(E$1,[2]characters!$1:$1,0)-MATCH($A$1,[2]characters!$1:$1,0)+1,FALSE)</f>
        <v>美しい</v>
      </c>
      <c r="F143" s="24" t="str">
        <f ca="1">VLOOKUP($A143,OFFSET([2]characters!$A$1,0,0,COUNTA([2]characters!$A:$A),MATCH(F$1,[2]characters!$1:$1,0)-MATCH($A$1,[2]characters!$1:$1,0)+1),MATCH(F$1,[2]characters!$1:$1,0)-MATCH($A$1,[2]characters!$1:$1,0)+1,FALSE)</f>
        <v>女性</v>
      </c>
      <c r="G143" s="24">
        <f ca="1">VLOOKUP($A143,OFFSET([2]characters!$A$1,0,0,COUNTA([2]characters!$A:$A),MATCH(G$1,[2]characters!$1:$1,0)-MATCH($A$1,[2]characters!$1:$1,0)+1),MATCH(G$1,[2]characters!$1:$1,0)-MATCH($A$1,[2]characters!$1:$1,0)+1,FALSE)</f>
        <v>4</v>
      </c>
      <c r="H143" s="24" t="str">
        <f ca="1">VLOOKUP($A143,OFFSET([2]characters!$A$1,0,0,COUNTA([2]characters!$A:$A),MATCH(H$1,[2]characters!$1:$1,0)-MATCH($A$1,[2]characters!$1:$1,0)+1),MATCH(H$1,[2]characters!$1:$1,0)-MATCH($A$1,[2]characters!$1:$1,0)+1,FALSE)</f>
        <v>PremiumS</v>
      </c>
      <c r="I143" s="24" t="str">
        <f ca="1">VLOOKUP($A143,OFFSET([2]characters!$A$1,0,0,COUNTA([2]characters!$A:$A),MATCH(I$1,[2]characters!$1:$1,0)-MATCH($A$1,[2]characters!$1:$1,0)+1),MATCH(I$1,[2]characters!$1:$1,0)-MATCH($A$1,[2]characters!$1:$1,0)+1,FALSE)</f>
        <v>blue</v>
      </c>
      <c r="J143" s="24" t="str">
        <f ca="1">VLOOKUP($A143,OFFSET([2]characters!$A$1,0,0,COUNTA([2]characters!$A:$A),MATCH(J$1,[2]characters!$1:$1,0)-MATCH($A$1,[2]characters!$1:$1,0)+1),MATCH(J$1,[2]characters!$1:$1,0)-MATCH($A$1,[2]characters!$1:$1,0)+1,FALSE)</f>
        <v>none</v>
      </c>
      <c r="K143" s="3" t="str">
        <f ca="1">VLOOKUP(J143,[2]character_tribe_i18n!$A:$H,3,FALSE)</f>
        <v>種族なし</v>
      </c>
      <c r="L143" s="5" t="e">
        <f>VLOOKUP(#REF!,[2]character_tribe_i18n!$A:$H,4,FALSE)</f>
        <v>#REF!</v>
      </c>
      <c r="M143" s="5" t="e">
        <f>VLOOKUP(#REF!,[2]character_tribe_i18n!$A:$H,5,FALSE)</f>
        <v>#REF!</v>
      </c>
      <c r="N143" s="5" t="e">
        <f>VLOOKUP(#REF!,[2]character_tribe_i18n!$A:$H,6,FALSE)</f>
        <v>#REF!</v>
      </c>
      <c r="O143" s="5" t="e">
        <f>VLOOKUP(#REF!,[2]character_tribe_i18n!$A:$H,7,FALSE)</f>
        <v>#REF!</v>
      </c>
      <c r="P143" s="83" t="s">
        <v>170</v>
      </c>
      <c r="Q143" s="4">
        <v>258</v>
      </c>
      <c r="R143" s="25" t="str">
        <f ca="1">IF(Q143="NULL","",VLOOKUP($Q143,OFFSET([2]characters!$A$1,0,0,COUNTA([2]characters!$A:$A),MATCH(R$1,[2]characters!$1:$1,0)-MATCH($A$1,[2]characters!$1:$1,0)+1),MATCH(R$1,[2]characters!$1:$1,0)-MATCH($A$1,[2]characters!$1:$1,0)+1,FALSE))</f>
        <v>色欲の源流 アスモデウス</v>
      </c>
      <c r="S143" s="3">
        <f t="shared" ca="1" si="2"/>
        <v>256</v>
      </c>
      <c r="T143" s="25" t="str">
        <f ca="1">VLOOKUP($S143,OFFSET([2]characters!$A$1,0,0,COUNTA([2]characters!$A:$A),MATCH(T$1,[2]characters!$1:$1,0)-MATCH($A$1,[2]characters!$1:$1,0)+1),MATCH(T$1,[2]characters!$1:$1,0)-MATCH($A$1,[2]characters!$1:$1,0)+1,FALSE)</f>
        <v>アスモデウス</v>
      </c>
      <c r="U143" s="5">
        <f ca="1">IF(Q143="NULL","NULL",VLOOKUP(G143,ビット!$A$2:$B$7,2))</f>
        <v>50000</v>
      </c>
    </row>
    <row r="144" spans="1:21" ht="21" customHeight="1" x14ac:dyDescent="0.15">
      <c r="A144" s="83">
        <v>259</v>
      </c>
      <c r="B144" s="24" t="str">
        <f ca="1">VLOOKUP($A144,OFFSET([2]characters!$A$1,0,0,COUNTA([2]characters!$A:$A),MATCH(B$1,[2]characters!$1:$1,0)-MATCH($A$1,[2]characters!$1:$1,0)+1),MATCH(B$1,[2]characters!$1:$1,0)-MATCH($A$1,[2]characters!$1:$1,0)+1,FALSE)</f>
        <v>ウロボロス</v>
      </c>
      <c r="C144" s="24" t="str">
        <f ca="1">VLOOKUP($A144,OFFSET([2]characters!$A$1,0,0,COUNTA([2]characters!$A:$A),MATCH(C$1,[2]characters!$1:$1,0)-MATCH($A$1,[2]characters!$1:$1,0)+1),MATCH(C$1,[2]characters!$1:$1,0)-MATCH($A$1,[2]characters!$1:$1,0)+1,FALSE)</f>
        <v>ガチャ:7つの大罪01</v>
      </c>
      <c r="D144" s="24" t="str">
        <f ca="1">VLOOKUP($A144,OFFSET([2]characters!$A$1,0,0,COUNTA([2]characters!$A:$A),MATCH(D$1,[2]characters!$1:$1,0)-MATCH($A$1,[2]characters!$1:$1,0)+1),MATCH(D$1,[2]characters!$1:$1,0)-MATCH($A$1,[2]characters!$1:$1,0)+1,FALSE)</f>
        <v>執行者</v>
      </c>
      <c r="E144" s="24" t="str">
        <f ca="1">VLOOKUP($A144,OFFSET([2]characters!$A$1,0,0,COUNTA([2]characters!$A:$A),MATCH(E$1,[2]characters!$1:$1,0)-MATCH($A$1,[2]characters!$1:$1,0)+1),MATCH(E$1,[2]characters!$1:$1,0)-MATCH($A$1,[2]characters!$1:$1,0)+1,FALSE)</f>
        <v>格好いい</v>
      </c>
      <c r="F144" s="24" t="str">
        <f ca="1">VLOOKUP($A144,OFFSET([2]characters!$A$1,0,0,COUNTA([2]characters!$A:$A),MATCH(F$1,[2]characters!$1:$1,0)-MATCH($A$1,[2]characters!$1:$1,0)+1),MATCH(F$1,[2]characters!$1:$1,0)-MATCH($A$1,[2]characters!$1:$1,0)+1,FALSE)</f>
        <v>女性</v>
      </c>
      <c r="G144" s="24">
        <f ca="1">VLOOKUP($A144,OFFSET([2]characters!$A$1,0,0,COUNTA([2]characters!$A:$A),MATCH(G$1,[2]characters!$1:$1,0)-MATCH($A$1,[2]characters!$1:$1,0)+1),MATCH(G$1,[2]characters!$1:$1,0)-MATCH($A$1,[2]characters!$1:$1,0)+1,FALSE)</f>
        <v>3</v>
      </c>
      <c r="H144" s="24" t="str">
        <f ca="1">VLOOKUP($A144,OFFSET([2]characters!$A$1,0,0,COUNTA([2]characters!$A:$A),MATCH(H$1,[2]characters!$1:$1,0)-MATCH($A$1,[2]characters!$1:$1,0)+1),MATCH(H$1,[2]characters!$1:$1,0)-MATCH($A$1,[2]characters!$1:$1,0)+1,FALSE)</f>
        <v>PremiumS</v>
      </c>
      <c r="I144" s="24" t="str">
        <f ca="1">VLOOKUP($A144,OFFSET([2]characters!$A$1,0,0,COUNTA([2]characters!$A:$A),MATCH(I$1,[2]characters!$1:$1,0)-MATCH($A$1,[2]characters!$1:$1,0)+1),MATCH(I$1,[2]characters!$1:$1,0)-MATCH($A$1,[2]characters!$1:$1,0)+1,FALSE)</f>
        <v>yellow</v>
      </c>
      <c r="J144" s="24" t="str">
        <f ca="1">VLOOKUP($A144,OFFSET([2]characters!$A$1,0,0,COUNTA([2]characters!$A:$A),MATCH(J$1,[2]characters!$1:$1,0)-MATCH($A$1,[2]characters!$1:$1,0)+1),MATCH(J$1,[2]characters!$1:$1,0)-MATCH($A$1,[2]characters!$1:$1,0)+1,FALSE)</f>
        <v>none</v>
      </c>
      <c r="K144" s="3" t="str">
        <f ca="1">VLOOKUP(J144,[2]character_tribe_i18n!$A:$H,3,FALSE)</f>
        <v>種族なし</v>
      </c>
      <c r="L144" s="5" t="e">
        <f>VLOOKUP(#REF!,[2]character_tribe_i18n!$A:$H,4,FALSE)</f>
        <v>#REF!</v>
      </c>
      <c r="M144" s="5" t="e">
        <f>VLOOKUP(#REF!,[2]character_tribe_i18n!$A:$H,5,FALSE)</f>
        <v>#REF!</v>
      </c>
      <c r="N144" s="5" t="e">
        <f>VLOOKUP(#REF!,[2]character_tribe_i18n!$A:$H,6,FALSE)</f>
        <v>#REF!</v>
      </c>
      <c r="O144" s="5" t="e">
        <f>VLOOKUP(#REF!,[2]character_tribe_i18n!$A:$H,7,FALSE)</f>
        <v>#REF!</v>
      </c>
      <c r="P144" s="83" t="s">
        <v>170</v>
      </c>
      <c r="Q144" s="4">
        <v>260</v>
      </c>
      <c r="R144" s="25" t="str">
        <f ca="1">IF(Q144="NULL","",VLOOKUP($Q144,OFFSET([2]characters!$A$1,0,0,COUNTA([2]characters!$A:$A),MATCH(R$1,[2]characters!$1:$1,0)-MATCH($A$1,[2]characters!$1:$1,0)+1),MATCH(R$1,[2]characters!$1:$1,0)-MATCH($A$1,[2]characters!$1:$1,0)+1,FALSE))</f>
        <v>輪廻 ウロボロス</v>
      </c>
      <c r="S144" s="3">
        <f t="shared" ca="1" si="2"/>
        <v>259</v>
      </c>
      <c r="T144" s="25" t="str">
        <f ca="1">VLOOKUP($S144,OFFSET([2]characters!$A$1,0,0,COUNTA([2]characters!$A:$A),MATCH(T$1,[2]characters!$1:$1,0)-MATCH($A$1,[2]characters!$1:$1,0)+1),MATCH(T$1,[2]characters!$1:$1,0)-MATCH($A$1,[2]characters!$1:$1,0)+1,FALSE)</f>
        <v>ウロボロス</v>
      </c>
      <c r="U144" s="5">
        <f ca="1">IF(Q144="NULL","NULL",VLOOKUP(G144,ビット!$A$2:$B$7,2))</f>
        <v>20000</v>
      </c>
    </row>
    <row r="145" spans="1:21" ht="21" customHeight="1" x14ac:dyDescent="0.15">
      <c r="A145" s="83">
        <v>260</v>
      </c>
      <c r="B145" s="24" t="str">
        <f ca="1">VLOOKUP($A145,OFFSET([2]characters!$A$1,0,0,COUNTA([2]characters!$A:$A),MATCH(B$1,[2]characters!$1:$1,0)-MATCH($A$1,[2]characters!$1:$1,0)+1),MATCH(B$1,[2]characters!$1:$1,0)-MATCH($A$1,[2]characters!$1:$1,0)+1,FALSE)</f>
        <v>輪廻 ウロボロス</v>
      </c>
      <c r="C145" s="24" t="str">
        <f ca="1">VLOOKUP($A145,OFFSET([2]characters!$A$1,0,0,COUNTA([2]characters!$A:$A),MATCH(C$1,[2]characters!$1:$1,0)-MATCH($A$1,[2]characters!$1:$1,0)+1),MATCH(C$1,[2]characters!$1:$1,0)-MATCH($A$1,[2]characters!$1:$1,0)+1,FALSE)</f>
        <v>ガチャ:7つの大罪01</v>
      </c>
      <c r="D145" s="24" t="str">
        <f ca="1">VLOOKUP($A145,OFFSET([2]characters!$A$1,0,0,COUNTA([2]characters!$A:$A),MATCH(D$1,[2]characters!$1:$1,0)-MATCH($A$1,[2]characters!$1:$1,0)+1),MATCH(D$1,[2]characters!$1:$1,0)-MATCH($A$1,[2]characters!$1:$1,0)+1,FALSE)</f>
        <v>執行者</v>
      </c>
      <c r="E145" s="24" t="str">
        <f ca="1">VLOOKUP($A145,OFFSET([2]characters!$A$1,0,0,COUNTA([2]characters!$A:$A),MATCH(E$1,[2]characters!$1:$1,0)-MATCH($A$1,[2]characters!$1:$1,0)+1),MATCH(E$1,[2]characters!$1:$1,0)-MATCH($A$1,[2]characters!$1:$1,0)+1,FALSE)</f>
        <v>格好いい</v>
      </c>
      <c r="F145" s="24" t="str">
        <f ca="1">VLOOKUP($A145,OFFSET([2]characters!$A$1,0,0,COUNTA([2]characters!$A:$A),MATCH(F$1,[2]characters!$1:$1,0)-MATCH($A$1,[2]characters!$1:$1,0)+1),MATCH(F$1,[2]characters!$1:$1,0)-MATCH($A$1,[2]characters!$1:$1,0)+1,FALSE)</f>
        <v>女性</v>
      </c>
      <c r="G145" s="24">
        <f ca="1">VLOOKUP($A145,OFFSET([2]characters!$A$1,0,0,COUNTA([2]characters!$A:$A),MATCH(G$1,[2]characters!$1:$1,0)-MATCH($A$1,[2]characters!$1:$1,0)+1),MATCH(G$1,[2]characters!$1:$1,0)-MATCH($A$1,[2]characters!$1:$1,0)+1,FALSE)</f>
        <v>4</v>
      </c>
      <c r="H145" s="24" t="str">
        <f ca="1">VLOOKUP($A145,OFFSET([2]characters!$A$1,0,0,COUNTA([2]characters!$A:$A),MATCH(H$1,[2]characters!$1:$1,0)-MATCH($A$1,[2]characters!$1:$1,0)+1),MATCH(H$1,[2]characters!$1:$1,0)-MATCH($A$1,[2]characters!$1:$1,0)+1,FALSE)</f>
        <v>PremiumS</v>
      </c>
      <c r="I145" s="24" t="str">
        <f ca="1">VLOOKUP($A145,OFFSET([2]characters!$A$1,0,0,COUNTA([2]characters!$A:$A),MATCH(I$1,[2]characters!$1:$1,0)-MATCH($A$1,[2]characters!$1:$1,0)+1),MATCH(I$1,[2]characters!$1:$1,0)-MATCH($A$1,[2]characters!$1:$1,0)+1,FALSE)</f>
        <v>yellow</v>
      </c>
      <c r="J145" s="24" t="str">
        <f ca="1">VLOOKUP($A145,OFFSET([2]characters!$A$1,0,0,COUNTA([2]characters!$A:$A),MATCH(J$1,[2]characters!$1:$1,0)-MATCH($A$1,[2]characters!$1:$1,0)+1),MATCH(J$1,[2]characters!$1:$1,0)-MATCH($A$1,[2]characters!$1:$1,0)+1,FALSE)</f>
        <v>none</v>
      </c>
      <c r="K145" s="3" t="str">
        <f ca="1">VLOOKUP(J145,[2]character_tribe_i18n!$A:$H,3,FALSE)</f>
        <v>種族なし</v>
      </c>
      <c r="L145" s="5" t="e">
        <f>VLOOKUP(#REF!,[2]character_tribe_i18n!$A:$H,4,FALSE)</f>
        <v>#REF!</v>
      </c>
      <c r="M145" s="5" t="e">
        <f>VLOOKUP(#REF!,[2]character_tribe_i18n!$A:$H,5,FALSE)</f>
        <v>#REF!</v>
      </c>
      <c r="N145" s="5" t="e">
        <f>VLOOKUP(#REF!,[2]character_tribe_i18n!$A:$H,6,FALSE)</f>
        <v>#REF!</v>
      </c>
      <c r="O145" s="5" t="e">
        <f>VLOOKUP(#REF!,[2]character_tribe_i18n!$A:$H,7,FALSE)</f>
        <v>#REF!</v>
      </c>
      <c r="P145" s="83" t="s">
        <v>170</v>
      </c>
      <c r="Q145" s="4">
        <v>261</v>
      </c>
      <c r="R145" s="25" t="str">
        <f ca="1">IF(Q145="NULL","",VLOOKUP($Q145,OFFSET([2]characters!$A$1,0,0,COUNTA([2]characters!$A:$A),MATCH(R$1,[2]characters!$1:$1,0)-MATCH($A$1,[2]characters!$1:$1,0)+1),MATCH(R$1,[2]characters!$1:$1,0)-MATCH($A$1,[2]characters!$1:$1,0)+1,FALSE))</f>
        <v>輪廻の蛇龍 ウロボロス</v>
      </c>
      <c r="S145" s="3">
        <f t="shared" ca="1" si="2"/>
        <v>259</v>
      </c>
      <c r="T145" s="25" t="str">
        <f ca="1">VLOOKUP($S145,OFFSET([2]characters!$A$1,0,0,COUNTA([2]characters!$A:$A),MATCH(T$1,[2]characters!$1:$1,0)-MATCH($A$1,[2]characters!$1:$1,0)+1),MATCH(T$1,[2]characters!$1:$1,0)-MATCH($A$1,[2]characters!$1:$1,0)+1,FALSE)</f>
        <v>ウロボロス</v>
      </c>
      <c r="U145" s="5">
        <f ca="1">IF(Q145="NULL","NULL",VLOOKUP(G145,ビット!$A$2:$B$7,2))</f>
        <v>50000</v>
      </c>
    </row>
    <row r="146" spans="1:21" ht="21" customHeight="1" x14ac:dyDescent="0.15">
      <c r="A146" s="83">
        <v>262</v>
      </c>
      <c r="B146" s="24" t="str">
        <f ca="1">VLOOKUP($A146,OFFSET([2]characters!$A$1,0,0,COUNTA([2]characters!$A:$A),MATCH(B$1,[2]characters!$1:$1,0)-MATCH($A$1,[2]characters!$1:$1,0)+1),MATCH(B$1,[2]characters!$1:$1,0)-MATCH($A$1,[2]characters!$1:$1,0)+1,FALSE)</f>
        <v>アシュリー</v>
      </c>
      <c r="C146" s="24" t="str">
        <f ca="1">VLOOKUP($A146,OFFSET([2]characters!$A$1,0,0,COUNTA([2]characters!$A:$A),MATCH(C$1,[2]characters!$1:$1,0)-MATCH($A$1,[2]characters!$1:$1,0)+1),MATCH(C$1,[2]characters!$1:$1,0)-MATCH($A$1,[2]characters!$1:$1,0)+1,FALSE)</f>
        <v>イベント:魔獣01</v>
      </c>
      <c r="D146" s="24" t="str">
        <f ca="1">VLOOKUP($A146,OFFSET([2]characters!$A$1,0,0,COUNTA([2]characters!$A:$A),MATCH(D$1,[2]characters!$1:$1,0)-MATCH($A$1,[2]characters!$1:$1,0)+1),MATCH(D$1,[2]characters!$1:$1,0)-MATCH($A$1,[2]characters!$1:$1,0)+1,FALSE)</f>
        <v>QoH</v>
      </c>
      <c r="E146" s="24" t="str">
        <f ca="1">VLOOKUP($A146,OFFSET([2]characters!$A$1,0,0,COUNTA([2]characters!$A:$A),MATCH(E$1,[2]characters!$1:$1,0)-MATCH($A$1,[2]characters!$1:$1,0)+1),MATCH(E$1,[2]characters!$1:$1,0)-MATCH($A$1,[2]characters!$1:$1,0)+1,FALSE)</f>
        <v>格好いい</v>
      </c>
      <c r="F146" s="24" t="str">
        <f ca="1">VLOOKUP($A146,OFFSET([2]characters!$A$1,0,0,COUNTA([2]characters!$A:$A),MATCH(F$1,[2]characters!$1:$1,0)-MATCH($A$1,[2]characters!$1:$1,0)+1),MATCH(F$1,[2]characters!$1:$1,0)-MATCH($A$1,[2]characters!$1:$1,0)+1,FALSE)</f>
        <v>女性</v>
      </c>
      <c r="G146" s="24">
        <f ca="1">VLOOKUP($A146,OFFSET([2]characters!$A$1,0,0,COUNTA([2]characters!$A:$A),MATCH(G$1,[2]characters!$1:$1,0)-MATCH($A$1,[2]characters!$1:$1,0)+1),MATCH(G$1,[2]characters!$1:$1,0)-MATCH($A$1,[2]characters!$1:$1,0)+1,FALSE)</f>
        <v>3</v>
      </c>
      <c r="H146" s="24" t="str">
        <f ca="1">VLOOKUP($A146,OFFSET([2]characters!$A$1,0,0,COUNTA([2]characters!$A:$A),MATCH(H$1,[2]characters!$1:$1,0)-MATCH($A$1,[2]characters!$1:$1,0)+1),MATCH(H$1,[2]characters!$1:$1,0)-MATCH($A$1,[2]characters!$1:$1,0)+1,FALSE)</f>
        <v>Drop2W</v>
      </c>
      <c r="I146" s="24" t="str">
        <f ca="1">VLOOKUP($A146,OFFSET([2]characters!$A$1,0,0,COUNTA([2]characters!$A:$A),MATCH(I$1,[2]characters!$1:$1,0)-MATCH($A$1,[2]characters!$1:$1,0)+1),MATCH(I$1,[2]characters!$1:$1,0)-MATCH($A$1,[2]characters!$1:$1,0)+1,FALSE)</f>
        <v>red</v>
      </c>
      <c r="J146" s="24" t="str">
        <f ca="1">VLOOKUP($A146,OFFSET([2]characters!$A$1,0,0,COUNTA([2]characters!$A:$A),MATCH(J$1,[2]characters!$1:$1,0)-MATCH($A$1,[2]characters!$1:$1,0)+1),MATCH(J$1,[2]characters!$1:$1,0)-MATCH($A$1,[2]characters!$1:$1,0)+1,FALSE)</f>
        <v>none</v>
      </c>
      <c r="K146" s="3" t="str">
        <f ca="1">VLOOKUP(J146,[2]character_tribe_i18n!$A:$H,3,FALSE)</f>
        <v>種族なし</v>
      </c>
      <c r="L146" s="5" t="e">
        <f>VLOOKUP(#REF!,[2]character_tribe_i18n!$A:$H,4,FALSE)</f>
        <v>#REF!</v>
      </c>
      <c r="M146" s="5" t="e">
        <f>VLOOKUP(#REF!,[2]character_tribe_i18n!$A:$H,5,FALSE)</f>
        <v>#REF!</v>
      </c>
      <c r="N146" s="5" t="e">
        <f>VLOOKUP(#REF!,[2]character_tribe_i18n!$A:$H,6,FALSE)</f>
        <v>#REF!</v>
      </c>
      <c r="O146" s="5" t="e">
        <f>VLOOKUP(#REF!,[2]character_tribe_i18n!$A:$H,7,FALSE)</f>
        <v>#REF!</v>
      </c>
      <c r="P146" s="83" t="s">
        <v>170</v>
      </c>
      <c r="Q146" s="4">
        <v>263</v>
      </c>
      <c r="R146" s="25" t="str">
        <f ca="1">IF(Q146="NULL","",VLOOKUP($Q146,OFFSET([2]characters!$A$1,0,0,COUNTA([2]characters!$A:$A),MATCH(R$1,[2]characters!$1:$1,0)-MATCH($A$1,[2]characters!$1:$1,0)+1),MATCH(R$1,[2]characters!$1:$1,0)-MATCH($A$1,[2]characters!$1:$1,0)+1,FALSE))</f>
        <v>鉤爪姫 アシュリー</v>
      </c>
      <c r="S146" s="3">
        <f t="shared" ca="1" si="2"/>
        <v>262</v>
      </c>
      <c r="T146" s="25" t="str">
        <f ca="1">VLOOKUP($S146,OFFSET([2]characters!$A$1,0,0,COUNTA([2]characters!$A:$A),MATCH(T$1,[2]characters!$1:$1,0)-MATCH($A$1,[2]characters!$1:$1,0)+1),MATCH(T$1,[2]characters!$1:$1,0)-MATCH($A$1,[2]characters!$1:$1,0)+1,FALSE)</f>
        <v>アシュリー</v>
      </c>
      <c r="U146" s="5">
        <f ca="1">IF(Q146="NULL","NULL",VLOOKUP(G146,ビット!$A$2:$B$7,2))</f>
        <v>20000</v>
      </c>
    </row>
    <row r="147" spans="1:21" ht="21" customHeight="1" x14ac:dyDescent="0.15">
      <c r="A147" s="83">
        <v>264</v>
      </c>
      <c r="B147" s="24" t="str">
        <f ca="1">VLOOKUP($A147,OFFSET([2]characters!$A$1,0,0,COUNTA([2]characters!$A:$A),MATCH(B$1,[2]characters!$1:$1,0)-MATCH($A$1,[2]characters!$1:$1,0)+1),MATCH(B$1,[2]characters!$1:$1,0)-MATCH($A$1,[2]characters!$1:$1,0)+1,FALSE)</f>
        <v>ユニコーン</v>
      </c>
      <c r="C147" s="24" t="str">
        <f ca="1">VLOOKUP($A147,OFFSET([2]characters!$A$1,0,0,COUNTA([2]characters!$A:$A),MATCH(C$1,[2]characters!$1:$1,0)-MATCH($A$1,[2]characters!$1:$1,0)+1),MATCH(C$1,[2]characters!$1:$1,0)-MATCH($A$1,[2]characters!$1:$1,0)+1,FALSE)</f>
        <v>イベント:魔獣01</v>
      </c>
      <c r="D147" s="24" t="str">
        <f ca="1">VLOOKUP($A147,OFFSET([2]characters!$A$1,0,0,COUNTA([2]characters!$A:$A),MATCH(D$1,[2]characters!$1:$1,0)-MATCH($A$1,[2]characters!$1:$1,0)+1),MATCH(D$1,[2]characters!$1:$1,0)-MATCH($A$1,[2]characters!$1:$1,0)+1,FALSE)</f>
        <v>QoH</v>
      </c>
      <c r="E147" s="24" t="str">
        <f ca="1">VLOOKUP($A147,OFFSET([2]characters!$A$1,0,0,COUNTA([2]characters!$A:$A),MATCH(E$1,[2]characters!$1:$1,0)-MATCH($A$1,[2]characters!$1:$1,0)+1),MATCH(E$1,[2]characters!$1:$1,0)-MATCH($A$1,[2]characters!$1:$1,0)+1,FALSE)</f>
        <v>格好いい</v>
      </c>
      <c r="F147" s="24" t="str">
        <f ca="1">VLOOKUP($A147,OFFSET([2]characters!$A$1,0,0,COUNTA([2]characters!$A:$A),MATCH(F$1,[2]characters!$1:$1,0)-MATCH($A$1,[2]characters!$1:$1,0)+1),MATCH(F$1,[2]characters!$1:$1,0)-MATCH($A$1,[2]characters!$1:$1,0)+1,FALSE)</f>
        <v>不明</v>
      </c>
      <c r="G147" s="24">
        <f ca="1">VLOOKUP($A147,OFFSET([2]characters!$A$1,0,0,COUNTA([2]characters!$A:$A),MATCH(G$1,[2]characters!$1:$1,0)-MATCH($A$1,[2]characters!$1:$1,0)+1),MATCH(G$1,[2]characters!$1:$1,0)-MATCH($A$1,[2]characters!$1:$1,0)+1,FALSE)</f>
        <v>3</v>
      </c>
      <c r="H147" s="24" t="str">
        <f ca="1">VLOOKUP($A147,OFFSET([2]characters!$A$1,0,0,COUNTA([2]characters!$A:$A),MATCH(H$1,[2]characters!$1:$1,0)-MATCH($A$1,[2]characters!$1:$1,0)+1),MATCH(H$1,[2]characters!$1:$1,0)-MATCH($A$1,[2]characters!$1:$1,0)+1,FALSE)</f>
        <v>Drop2W</v>
      </c>
      <c r="I147" s="24" t="str">
        <f ca="1">VLOOKUP($A147,OFFSET([2]characters!$A$1,0,0,COUNTA([2]characters!$A:$A),MATCH(I$1,[2]characters!$1:$1,0)-MATCH($A$1,[2]characters!$1:$1,0)+1),MATCH(I$1,[2]characters!$1:$1,0)-MATCH($A$1,[2]characters!$1:$1,0)+1,FALSE)</f>
        <v>green</v>
      </c>
      <c r="J147" s="24" t="str">
        <f ca="1">VLOOKUP($A147,OFFSET([2]characters!$A$1,0,0,COUNTA([2]characters!$A:$A),MATCH(J$1,[2]characters!$1:$1,0)-MATCH($A$1,[2]characters!$1:$1,0)+1),MATCH(J$1,[2]characters!$1:$1,0)-MATCH($A$1,[2]characters!$1:$1,0)+1,FALSE)</f>
        <v>none</v>
      </c>
      <c r="K147" s="3" t="str">
        <f ca="1">VLOOKUP(J147,[2]character_tribe_i18n!$A:$H,3,FALSE)</f>
        <v>種族なし</v>
      </c>
      <c r="L147" s="5" t="e">
        <f>VLOOKUP(#REF!,[2]character_tribe_i18n!$A:$H,4,FALSE)</f>
        <v>#REF!</v>
      </c>
      <c r="M147" s="5" t="e">
        <f>VLOOKUP(#REF!,[2]character_tribe_i18n!$A:$H,5,FALSE)</f>
        <v>#REF!</v>
      </c>
      <c r="N147" s="5" t="e">
        <f>VLOOKUP(#REF!,[2]character_tribe_i18n!$A:$H,6,FALSE)</f>
        <v>#REF!</v>
      </c>
      <c r="O147" s="5" t="e">
        <f>VLOOKUP(#REF!,[2]character_tribe_i18n!$A:$H,7,FALSE)</f>
        <v>#REF!</v>
      </c>
      <c r="P147" s="83" t="s">
        <v>170</v>
      </c>
      <c r="Q147" s="4">
        <v>265</v>
      </c>
      <c r="R147" s="25" t="str">
        <f ca="1">IF(Q147="NULL","",VLOOKUP($Q147,OFFSET([2]characters!$A$1,0,0,COUNTA([2]characters!$A:$A),MATCH(R$1,[2]characters!$1:$1,0)-MATCH($A$1,[2]characters!$1:$1,0)+1),MATCH(R$1,[2]characters!$1:$1,0)-MATCH($A$1,[2]characters!$1:$1,0)+1,FALSE))</f>
        <v>翠角馬 ユニコーン</v>
      </c>
      <c r="S147" s="3">
        <f t="shared" ca="1" si="2"/>
        <v>264</v>
      </c>
      <c r="T147" s="25" t="str">
        <f ca="1">VLOOKUP($S147,OFFSET([2]characters!$A$1,0,0,COUNTA([2]characters!$A:$A),MATCH(T$1,[2]characters!$1:$1,0)-MATCH($A$1,[2]characters!$1:$1,0)+1),MATCH(T$1,[2]characters!$1:$1,0)-MATCH($A$1,[2]characters!$1:$1,0)+1,FALSE)</f>
        <v>ユニコーン</v>
      </c>
      <c r="U147" s="5">
        <f ca="1">IF(Q147="NULL","NULL",VLOOKUP(G147,ビット!$A$2:$B$7,2))</f>
        <v>20000</v>
      </c>
    </row>
    <row r="148" spans="1:21" ht="21" customHeight="1" x14ac:dyDescent="0.15">
      <c r="A148" s="83">
        <v>266</v>
      </c>
      <c r="B148" s="24" t="str">
        <f ca="1">VLOOKUP($A148,OFFSET([2]characters!$A$1,0,0,COUNTA([2]characters!$A:$A),MATCH(B$1,[2]characters!$1:$1,0)-MATCH($A$1,[2]characters!$1:$1,0)+1),MATCH(B$1,[2]characters!$1:$1,0)-MATCH($A$1,[2]characters!$1:$1,0)+1,FALSE)</f>
        <v>リリアンブルー</v>
      </c>
      <c r="C148" s="24" t="str">
        <f ca="1">VLOOKUP($A148,OFFSET([2]characters!$A$1,0,0,COUNTA([2]characters!$A:$A),MATCH(C$1,[2]characters!$1:$1,0)-MATCH($A$1,[2]characters!$1:$1,0)+1),MATCH(C$1,[2]characters!$1:$1,0)-MATCH($A$1,[2]characters!$1:$1,0)+1,FALSE)</f>
        <v>イベント:魔獣01</v>
      </c>
      <c r="D148" s="24" t="str">
        <f ca="1">VLOOKUP($A148,OFFSET([2]characters!$A$1,0,0,COUNTA([2]characters!$A:$A),MATCH(D$1,[2]characters!$1:$1,0)-MATCH($A$1,[2]characters!$1:$1,0)+1),MATCH(D$1,[2]characters!$1:$1,0)-MATCH($A$1,[2]characters!$1:$1,0)+1,FALSE)</f>
        <v>QoH</v>
      </c>
      <c r="E148" s="24" t="str">
        <f ca="1">VLOOKUP($A148,OFFSET([2]characters!$A$1,0,0,COUNTA([2]characters!$A:$A),MATCH(E$1,[2]characters!$1:$1,0)-MATCH($A$1,[2]characters!$1:$1,0)+1),MATCH(E$1,[2]characters!$1:$1,0)-MATCH($A$1,[2]characters!$1:$1,0)+1,FALSE)</f>
        <v>怪しい</v>
      </c>
      <c r="F148" s="24" t="str">
        <f ca="1">VLOOKUP($A148,OFFSET([2]characters!$A$1,0,0,COUNTA([2]characters!$A:$A),MATCH(F$1,[2]characters!$1:$1,0)-MATCH($A$1,[2]characters!$1:$1,0)+1),MATCH(F$1,[2]characters!$1:$1,0)-MATCH($A$1,[2]characters!$1:$1,0)+1,FALSE)</f>
        <v>女性</v>
      </c>
      <c r="G148" s="24">
        <f ca="1">VLOOKUP($A148,OFFSET([2]characters!$A$1,0,0,COUNTA([2]characters!$A:$A),MATCH(G$1,[2]characters!$1:$1,0)-MATCH($A$1,[2]characters!$1:$1,0)+1),MATCH(G$1,[2]characters!$1:$1,0)-MATCH($A$1,[2]characters!$1:$1,0)+1,FALSE)</f>
        <v>3</v>
      </c>
      <c r="H148" s="24" t="str">
        <f ca="1">VLOOKUP($A148,OFFSET([2]characters!$A$1,0,0,COUNTA([2]characters!$A:$A),MATCH(H$1,[2]characters!$1:$1,0)-MATCH($A$1,[2]characters!$1:$1,0)+1),MATCH(H$1,[2]characters!$1:$1,0)-MATCH($A$1,[2]characters!$1:$1,0)+1,FALSE)</f>
        <v>Drop2W</v>
      </c>
      <c r="I148" s="24" t="str">
        <f ca="1">VLOOKUP($A148,OFFSET([2]characters!$A$1,0,0,COUNTA([2]characters!$A:$A),MATCH(I$1,[2]characters!$1:$1,0)-MATCH($A$1,[2]characters!$1:$1,0)+1),MATCH(I$1,[2]characters!$1:$1,0)-MATCH($A$1,[2]characters!$1:$1,0)+1,FALSE)</f>
        <v>blue</v>
      </c>
      <c r="J148" s="24" t="str">
        <f ca="1">VLOOKUP($A148,OFFSET([2]characters!$A$1,0,0,COUNTA([2]characters!$A:$A),MATCH(J$1,[2]characters!$1:$1,0)-MATCH($A$1,[2]characters!$1:$1,0)+1),MATCH(J$1,[2]characters!$1:$1,0)-MATCH($A$1,[2]characters!$1:$1,0)+1,FALSE)</f>
        <v>none</v>
      </c>
      <c r="K148" s="3" t="str">
        <f ca="1">VLOOKUP(J148,[2]character_tribe_i18n!$A:$H,3,FALSE)</f>
        <v>種族なし</v>
      </c>
      <c r="L148" s="5" t="e">
        <f>VLOOKUP(#REF!,[2]character_tribe_i18n!$A:$H,4,FALSE)</f>
        <v>#REF!</v>
      </c>
      <c r="M148" s="5" t="e">
        <f>VLOOKUP(#REF!,[2]character_tribe_i18n!$A:$H,5,FALSE)</f>
        <v>#REF!</v>
      </c>
      <c r="N148" s="5" t="e">
        <f>VLOOKUP(#REF!,[2]character_tribe_i18n!$A:$H,6,FALSE)</f>
        <v>#REF!</v>
      </c>
      <c r="O148" s="5" t="e">
        <f>VLOOKUP(#REF!,[2]character_tribe_i18n!$A:$H,7,FALSE)</f>
        <v>#REF!</v>
      </c>
      <c r="P148" s="83" t="s">
        <v>170</v>
      </c>
      <c r="Q148" s="4">
        <v>267</v>
      </c>
      <c r="R148" s="25" t="str">
        <f ca="1">IF(Q148="NULL","",VLOOKUP($Q148,OFFSET([2]characters!$A$1,0,0,COUNTA([2]characters!$A:$A),MATCH(R$1,[2]characters!$1:$1,0)-MATCH($A$1,[2]characters!$1:$1,0)+1),MATCH(R$1,[2]characters!$1:$1,0)-MATCH($A$1,[2]characters!$1:$1,0)+1,FALSE))</f>
        <v>奇術猫 リリアンブルー</v>
      </c>
      <c r="S148" s="3">
        <f t="shared" ca="1" si="2"/>
        <v>266</v>
      </c>
      <c r="T148" s="25" t="str">
        <f ca="1">VLOOKUP($S148,OFFSET([2]characters!$A$1,0,0,COUNTA([2]characters!$A:$A),MATCH(T$1,[2]characters!$1:$1,0)-MATCH($A$1,[2]characters!$1:$1,0)+1),MATCH(T$1,[2]characters!$1:$1,0)-MATCH($A$1,[2]characters!$1:$1,0)+1,FALSE)</f>
        <v>リリアンブルー</v>
      </c>
      <c r="U148" s="5">
        <f ca="1">IF(Q148="NULL","NULL",VLOOKUP(G148,ビット!$A$2:$B$7,2))</f>
        <v>20000</v>
      </c>
    </row>
    <row r="149" spans="1:21" ht="21" customHeight="1" x14ac:dyDescent="0.15">
      <c r="A149" s="83">
        <v>268</v>
      </c>
      <c r="B149" s="24" t="str">
        <f ca="1">VLOOKUP($A149,OFFSET([2]characters!$A$1,0,0,COUNTA([2]characters!$A:$A),MATCH(B$1,[2]characters!$1:$1,0)-MATCH($A$1,[2]characters!$1:$1,0)+1),MATCH(B$1,[2]characters!$1:$1,0)-MATCH($A$1,[2]characters!$1:$1,0)+1,FALSE)</f>
        <v>鵺</v>
      </c>
      <c r="C149" s="24" t="str">
        <f ca="1">VLOOKUP($A149,OFFSET([2]characters!$A$1,0,0,COUNTA([2]characters!$A:$A),MATCH(C$1,[2]characters!$1:$1,0)-MATCH($A$1,[2]characters!$1:$1,0)+1),MATCH(C$1,[2]characters!$1:$1,0)-MATCH($A$1,[2]characters!$1:$1,0)+1,FALSE)</f>
        <v>イベント:魔獣01</v>
      </c>
      <c r="D149" s="24" t="str">
        <f ca="1">VLOOKUP($A149,OFFSET([2]characters!$A$1,0,0,COUNTA([2]characters!$A:$A),MATCH(D$1,[2]characters!$1:$1,0)-MATCH($A$1,[2]characters!$1:$1,0)+1),MATCH(D$1,[2]characters!$1:$1,0)-MATCH($A$1,[2]characters!$1:$1,0)+1,FALSE)</f>
        <v>QoH</v>
      </c>
      <c r="E149" s="24" t="str">
        <f ca="1">VLOOKUP($A149,OFFSET([2]characters!$A$1,0,0,COUNTA([2]characters!$A:$A),MATCH(E$1,[2]characters!$1:$1,0)-MATCH($A$1,[2]characters!$1:$1,0)+1),MATCH(E$1,[2]characters!$1:$1,0)-MATCH($A$1,[2]characters!$1:$1,0)+1,FALSE)</f>
        <v>格好いい</v>
      </c>
      <c r="F149" s="24" t="str">
        <f ca="1">VLOOKUP($A149,OFFSET([2]characters!$A$1,0,0,COUNTA([2]characters!$A:$A),MATCH(F$1,[2]characters!$1:$1,0)-MATCH($A$1,[2]characters!$1:$1,0)+1),MATCH(F$1,[2]characters!$1:$1,0)-MATCH($A$1,[2]characters!$1:$1,0)+1,FALSE)</f>
        <v>男性</v>
      </c>
      <c r="G149" s="24">
        <f ca="1">VLOOKUP($A149,OFFSET([2]characters!$A$1,0,0,COUNTA([2]characters!$A:$A),MATCH(G$1,[2]characters!$1:$1,0)-MATCH($A$1,[2]characters!$1:$1,0)+1),MATCH(G$1,[2]characters!$1:$1,0)-MATCH($A$1,[2]characters!$1:$1,0)+1,FALSE)</f>
        <v>3</v>
      </c>
      <c r="H149" s="24" t="str">
        <f ca="1">VLOOKUP($A149,OFFSET([2]characters!$A$1,0,0,COUNTA([2]characters!$A:$A),MATCH(H$1,[2]characters!$1:$1,0)-MATCH($A$1,[2]characters!$1:$1,0)+1),MATCH(H$1,[2]characters!$1:$1,0)-MATCH($A$1,[2]characters!$1:$1,0)+1,FALSE)</f>
        <v>Drop2W</v>
      </c>
      <c r="I149" s="24" t="str">
        <f ca="1">VLOOKUP($A149,OFFSET([2]characters!$A$1,0,0,COUNTA([2]characters!$A:$A),MATCH(I$1,[2]characters!$1:$1,0)-MATCH($A$1,[2]characters!$1:$1,0)+1),MATCH(I$1,[2]characters!$1:$1,0)-MATCH($A$1,[2]characters!$1:$1,0)+1,FALSE)</f>
        <v>yellow</v>
      </c>
      <c r="J149" s="24" t="str">
        <f ca="1">VLOOKUP($A149,OFFSET([2]characters!$A$1,0,0,COUNTA([2]characters!$A:$A),MATCH(J$1,[2]characters!$1:$1,0)-MATCH($A$1,[2]characters!$1:$1,0)+1),MATCH(J$1,[2]characters!$1:$1,0)-MATCH($A$1,[2]characters!$1:$1,0)+1,FALSE)</f>
        <v>none</v>
      </c>
      <c r="K149" s="3" t="str">
        <f ca="1">VLOOKUP(J149,[2]character_tribe_i18n!$A:$H,3,FALSE)</f>
        <v>種族なし</v>
      </c>
      <c r="L149" s="5" t="e">
        <f>VLOOKUP(#REF!,[2]character_tribe_i18n!$A:$H,4,FALSE)</f>
        <v>#REF!</v>
      </c>
      <c r="M149" s="5" t="e">
        <f>VLOOKUP(#REF!,[2]character_tribe_i18n!$A:$H,5,FALSE)</f>
        <v>#REF!</v>
      </c>
      <c r="N149" s="5" t="e">
        <f>VLOOKUP(#REF!,[2]character_tribe_i18n!$A:$H,6,FALSE)</f>
        <v>#REF!</v>
      </c>
      <c r="O149" s="5" t="e">
        <f>VLOOKUP(#REF!,[2]character_tribe_i18n!$A:$H,7,FALSE)</f>
        <v>#REF!</v>
      </c>
      <c r="P149" s="83" t="s">
        <v>170</v>
      </c>
      <c r="Q149" s="4">
        <v>269</v>
      </c>
      <c r="R149" s="25" t="str">
        <f ca="1">IF(Q149="NULL","",VLOOKUP($Q149,OFFSET([2]characters!$A$1,0,0,COUNTA([2]characters!$A:$A),MATCH(R$1,[2]characters!$1:$1,0)-MATCH($A$1,[2]characters!$1:$1,0)+1),MATCH(R$1,[2]characters!$1:$1,0)-MATCH($A$1,[2]characters!$1:$1,0)+1,FALSE))</f>
        <v>合雷獣 鵺</v>
      </c>
      <c r="S149" s="3">
        <f t="shared" ca="1" si="2"/>
        <v>268</v>
      </c>
      <c r="T149" s="25" t="str">
        <f ca="1">VLOOKUP($S149,OFFSET([2]characters!$A$1,0,0,COUNTA([2]characters!$A:$A),MATCH(T$1,[2]characters!$1:$1,0)-MATCH($A$1,[2]characters!$1:$1,0)+1),MATCH(T$1,[2]characters!$1:$1,0)-MATCH($A$1,[2]characters!$1:$1,0)+1,FALSE)</f>
        <v>鵺</v>
      </c>
      <c r="U149" s="5">
        <f ca="1">IF(Q149="NULL","NULL",VLOOKUP(G149,ビット!$A$2:$B$7,2))</f>
        <v>20000</v>
      </c>
    </row>
    <row r="150" spans="1:21" ht="21" customHeight="1" x14ac:dyDescent="0.15">
      <c r="A150" s="83">
        <v>270</v>
      </c>
      <c r="B150" s="24" t="str">
        <f ca="1">VLOOKUP($A150,OFFSET([2]characters!$A$1,0,0,COUNTA([2]characters!$A:$A),MATCH(B$1,[2]characters!$1:$1,0)-MATCH($A$1,[2]characters!$1:$1,0)+1),MATCH(B$1,[2]characters!$1:$1,0)-MATCH($A$1,[2]characters!$1:$1,0)+1,FALSE)</f>
        <v>風爪のミリー</v>
      </c>
      <c r="C150" s="24" t="str">
        <f ca="1">VLOOKUP($A150,OFFSET([2]characters!$A$1,0,0,COUNTA([2]characters!$A:$A),MATCH(C$1,[2]characters!$1:$1,0)-MATCH($A$1,[2]characters!$1:$1,0)+1),MATCH(C$1,[2]characters!$1:$1,0)-MATCH($A$1,[2]characters!$1:$1,0)+1,FALSE)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150" s="24" t="str">
        <f ca="1">VLOOKUP($A150,OFFSET([2]characters!$A$1,0,0,COUNTA([2]characters!$A:$A),MATCH(D$1,[2]characters!$1:$1,0)-MATCH($A$1,[2]characters!$1:$1,0)+1),MATCH(D$1,[2]characters!$1:$1,0)-MATCH($A$1,[2]characters!$1:$1,0)+1,FALSE)</f>
        <v>探索者</v>
      </c>
      <c r="E150" s="24" t="str">
        <f ca="1">VLOOKUP($A150,OFFSET([2]characters!$A$1,0,0,COUNTA([2]characters!$A:$A),MATCH(E$1,[2]characters!$1:$1,0)-MATCH($A$1,[2]characters!$1:$1,0)+1),MATCH(E$1,[2]characters!$1:$1,0)-MATCH($A$1,[2]characters!$1:$1,0)+1,FALSE)</f>
        <v>美しい</v>
      </c>
      <c r="F150" s="24" t="str">
        <f ca="1">VLOOKUP($A150,OFFSET([2]characters!$A$1,0,0,COUNTA([2]characters!$A:$A),MATCH(F$1,[2]characters!$1:$1,0)-MATCH($A$1,[2]characters!$1:$1,0)+1),MATCH(F$1,[2]characters!$1:$1,0)-MATCH($A$1,[2]characters!$1:$1,0)+1,FALSE)</f>
        <v>女性</v>
      </c>
      <c r="G150" s="24">
        <f ca="1">VLOOKUP($A150,OFFSET([2]characters!$A$1,0,0,COUNTA([2]characters!$A:$A),MATCH(G$1,[2]characters!$1:$1,0)-MATCH($A$1,[2]characters!$1:$1,0)+1),MATCH(G$1,[2]characters!$1:$1,0)-MATCH($A$1,[2]characters!$1:$1,0)+1,FALSE)</f>
        <v>4</v>
      </c>
      <c r="H150" s="24" t="str">
        <f ca="1">VLOOKUP($A150,OFFSET([2]characters!$A$1,0,0,COUNTA([2]characters!$A:$A),MATCH(H$1,[2]characters!$1:$1,0)-MATCH($A$1,[2]characters!$1:$1,0)+1),MATCH(H$1,[2]characters!$1:$1,0)-MATCH($A$1,[2]characters!$1:$1,0)+1,FALSE)</f>
        <v>Drop2N</v>
      </c>
      <c r="I150" s="24" t="str">
        <f ca="1">VLOOKUP($A150,OFFSET([2]characters!$A$1,0,0,COUNTA([2]characters!$A:$A),MATCH(I$1,[2]characters!$1:$1,0)-MATCH($A$1,[2]characters!$1:$1,0)+1),MATCH(I$1,[2]characters!$1:$1,0)-MATCH($A$1,[2]characters!$1:$1,0)+1,FALSE)</f>
        <v>green</v>
      </c>
      <c r="J150" s="24" t="str">
        <f ca="1">VLOOKUP($A150,OFFSET([2]characters!$A$1,0,0,COUNTA([2]characters!$A:$A),MATCH(J$1,[2]characters!$1:$1,0)-MATCH($A$1,[2]characters!$1:$1,0)+1),MATCH(J$1,[2]characters!$1:$1,0)-MATCH($A$1,[2]characters!$1:$1,0)+1,FALSE)</f>
        <v>animal</v>
      </c>
      <c r="K150" s="3" t="str">
        <f ca="1">VLOOKUP(J150,[2]character_tribe_i18n!$A:$H,3,FALSE)</f>
        <v>アニマル</v>
      </c>
      <c r="L150" s="5" t="e">
        <f>VLOOKUP(#REF!,[2]character_tribe_i18n!$A:$H,4,FALSE)</f>
        <v>#REF!</v>
      </c>
      <c r="M150" s="5" t="e">
        <f>VLOOKUP(#REF!,[2]character_tribe_i18n!$A:$H,5,FALSE)</f>
        <v>#REF!</v>
      </c>
      <c r="N150" s="5" t="e">
        <f>VLOOKUP(#REF!,[2]character_tribe_i18n!$A:$H,6,FALSE)</f>
        <v>#REF!</v>
      </c>
      <c r="O150" s="5" t="e">
        <f>VLOOKUP(#REF!,[2]character_tribe_i18n!$A:$H,7,FALSE)</f>
        <v>#REF!</v>
      </c>
      <c r="P150" s="83" t="s">
        <v>170</v>
      </c>
      <c r="Q150" s="4">
        <v>271</v>
      </c>
      <c r="R150" s="25" t="str">
        <f ca="1">IF(Q150="NULL","",VLOOKUP($Q150,OFFSET([2]characters!$A$1,0,0,COUNTA([2]characters!$A:$A),MATCH(R$1,[2]characters!$1:$1,0)-MATCH($A$1,[2]characters!$1:$1,0)+1),MATCH(R$1,[2]characters!$1:$1,0)-MATCH($A$1,[2]characters!$1:$1,0)+1,FALSE))</f>
        <v>疾風五花 ミリー</v>
      </c>
      <c r="S150" s="3">
        <f t="shared" ca="1" si="2"/>
        <v>270</v>
      </c>
      <c r="T150" s="25" t="str">
        <f ca="1">VLOOKUP($S150,OFFSET([2]characters!$A$1,0,0,COUNTA([2]characters!$A:$A),MATCH(T$1,[2]characters!$1:$1,0)-MATCH($A$1,[2]characters!$1:$1,0)+1),MATCH(T$1,[2]characters!$1:$1,0)-MATCH($A$1,[2]characters!$1:$1,0)+1,FALSE)</f>
        <v>風爪のミリー</v>
      </c>
      <c r="U150" s="5">
        <f ca="1">IF(Q150="NULL","NULL",VLOOKUP(G150,ビット!$A$2:$B$7,2))</f>
        <v>50000</v>
      </c>
    </row>
    <row r="151" spans="1:21" ht="21" customHeight="1" x14ac:dyDescent="0.15">
      <c r="A151" s="83">
        <v>272</v>
      </c>
      <c r="B151" s="24" t="str">
        <f ca="1">VLOOKUP($A151,OFFSET([2]characters!$A$1,0,0,COUNTA([2]characters!$A:$A),MATCH(B$1,[2]characters!$1:$1,0)-MATCH($A$1,[2]characters!$1:$1,0)+1),MATCH(B$1,[2]characters!$1:$1,0)-MATCH($A$1,[2]characters!$1:$1,0)+1,FALSE)</f>
        <v>魔札のシルベール</v>
      </c>
      <c r="C151" s="24" t="str">
        <f ca="1">VLOOKUP($A151,OFFSET([2]characters!$A$1,0,0,COUNTA([2]characters!$A:$A),MATCH(C$1,[2]characters!$1:$1,0)-MATCH($A$1,[2]characters!$1:$1,0)+1),MATCH(C$1,[2]characters!$1:$1,0)-MATCH($A$1,[2]characters!$1:$1,0)+1,FALSE)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151" s="24" t="str">
        <f ca="1">VLOOKUP($A151,OFFSET([2]characters!$A$1,0,0,COUNTA([2]characters!$A:$A),MATCH(D$1,[2]characters!$1:$1,0)-MATCH($A$1,[2]characters!$1:$1,0)+1),MATCH(D$1,[2]characters!$1:$1,0)-MATCH($A$1,[2]characters!$1:$1,0)+1,FALSE)</f>
        <v>探索者</v>
      </c>
      <c r="E151" s="24" t="str">
        <f ca="1">VLOOKUP($A151,OFFSET([2]characters!$A$1,0,0,COUNTA([2]characters!$A:$A),MATCH(E$1,[2]characters!$1:$1,0)-MATCH($A$1,[2]characters!$1:$1,0)+1),MATCH(E$1,[2]characters!$1:$1,0)-MATCH($A$1,[2]characters!$1:$1,0)+1,FALSE)</f>
        <v>格好いい</v>
      </c>
      <c r="F151" s="24" t="str">
        <f ca="1">VLOOKUP($A151,OFFSET([2]characters!$A$1,0,0,COUNTA([2]characters!$A:$A),MATCH(F$1,[2]characters!$1:$1,0)-MATCH($A$1,[2]characters!$1:$1,0)+1),MATCH(F$1,[2]characters!$1:$1,0)-MATCH($A$1,[2]characters!$1:$1,0)+1,FALSE)</f>
        <v>男性</v>
      </c>
      <c r="G151" s="24">
        <f ca="1">VLOOKUP($A151,OFFSET([2]characters!$A$1,0,0,COUNTA([2]characters!$A:$A),MATCH(G$1,[2]characters!$1:$1,0)-MATCH($A$1,[2]characters!$1:$1,0)+1),MATCH(G$1,[2]characters!$1:$1,0)-MATCH($A$1,[2]characters!$1:$1,0)+1,FALSE)</f>
        <v>4</v>
      </c>
      <c r="H151" s="24" t="str">
        <f ca="1">VLOOKUP($A151,OFFSET([2]characters!$A$1,0,0,COUNTA([2]characters!$A:$A),MATCH(H$1,[2]characters!$1:$1,0)-MATCH($A$1,[2]characters!$1:$1,0)+1),MATCH(H$1,[2]characters!$1:$1,0)-MATCH($A$1,[2]characters!$1:$1,0)+1,FALSE)</f>
        <v>Drop2N</v>
      </c>
      <c r="I151" s="24" t="str">
        <f ca="1">VLOOKUP($A151,OFFSET([2]characters!$A$1,0,0,COUNTA([2]characters!$A:$A),MATCH(I$1,[2]characters!$1:$1,0)-MATCH($A$1,[2]characters!$1:$1,0)+1),MATCH(I$1,[2]characters!$1:$1,0)-MATCH($A$1,[2]characters!$1:$1,0)+1,FALSE)</f>
        <v>blue</v>
      </c>
      <c r="J151" s="24" t="str">
        <f ca="1">VLOOKUP($A151,OFFSET([2]characters!$A$1,0,0,COUNTA([2]characters!$A:$A),MATCH(J$1,[2]characters!$1:$1,0)-MATCH($A$1,[2]characters!$1:$1,0)+1),MATCH(J$1,[2]characters!$1:$1,0)-MATCH($A$1,[2]characters!$1:$1,0)+1,FALSE)</f>
        <v>none</v>
      </c>
      <c r="K151" s="3" t="str">
        <f ca="1">VLOOKUP(J151,[2]character_tribe_i18n!$A:$H,3,FALSE)</f>
        <v>種族なし</v>
      </c>
      <c r="L151" s="5" t="e">
        <f>VLOOKUP(#REF!,[2]character_tribe_i18n!$A:$H,4,FALSE)</f>
        <v>#REF!</v>
      </c>
      <c r="M151" s="5" t="e">
        <f>VLOOKUP(#REF!,[2]character_tribe_i18n!$A:$H,5,FALSE)</f>
        <v>#REF!</v>
      </c>
      <c r="N151" s="5" t="e">
        <f>VLOOKUP(#REF!,[2]character_tribe_i18n!$A:$H,6,FALSE)</f>
        <v>#REF!</v>
      </c>
      <c r="O151" s="5" t="e">
        <f>VLOOKUP(#REF!,[2]character_tribe_i18n!$A:$H,7,FALSE)</f>
        <v>#REF!</v>
      </c>
      <c r="P151" s="83" t="s">
        <v>170</v>
      </c>
      <c r="Q151" s="4">
        <v>273</v>
      </c>
      <c r="R151" s="25" t="str">
        <f ca="1">IF(Q151="NULL","",VLOOKUP($Q151,OFFSET([2]characters!$A$1,0,0,COUNTA([2]characters!$A:$A),MATCH(R$1,[2]characters!$1:$1,0)-MATCH($A$1,[2]characters!$1:$1,0)+1),MATCH(R$1,[2]characters!$1:$1,0)-MATCH($A$1,[2]characters!$1:$1,0)+1,FALSE))</f>
        <v>円環魔道 シルベール</v>
      </c>
      <c r="S151" s="3">
        <f t="shared" ca="1" si="2"/>
        <v>272</v>
      </c>
      <c r="T151" s="25" t="str">
        <f ca="1">VLOOKUP($S151,OFFSET([2]characters!$A$1,0,0,COUNTA([2]characters!$A:$A),MATCH(T$1,[2]characters!$1:$1,0)-MATCH($A$1,[2]characters!$1:$1,0)+1),MATCH(T$1,[2]characters!$1:$1,0)-MATCH($A$1,[2]characters!$1:$1,0)+1,FALSE)</f>
        <v>魔札のシルベール</v>
      </c>
      <c r="U151" s="5">
        <f ca="1">IF(Q151="NULL","NULL",VLOOKUP(G151,ビット!$A$2:$B$7,2))</f>
        <v>50000</v>
      </c>
    </row>
    <row r="152" spans="1:21" ht="21" customHeight="1" x14ac:dyDescent="0.15">
      <c r="A152" s="83">
        <v>274</v>
      </c>
      <c r="B152" s="24" t="str">
        <f ca="1">VLOOKUP($A152,OFFSET([2]characters!$A$1,0,0,COUNTA([2]characters!$A:$A),MATCH(B$1,[2]characters!$1:$1,0)-MATCH($A$1,[2]characters!$1:$1,0)+1),MATCH(B$1,[2]characters!$1:$1,0)-MATCH($A$1,[2]characters!$1:$1,0)+1,FALSE)</f>
        <v>砕棒のガエル</v>
      </c>
      <c r="C152" s="24" t="str">
        <f ca="1">VLOOKUP($A152,OFFSET([2]characters!$A$1,0,0,COUNTA([2]characters!$A:$A),MATCH(C$1,[2]characters!$1:$1,0)-MATCH($A$1,[2]characters!$1:$1,0)+1),MATCH(C$1,[2]characters!$1:$1,0)-MATCH($A$1,[2]characters!$1:$1,0)+1,FALSE)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152" s="24" t="str">
        <f ca="1">VLOOKUP($A152,OFFSET([2]characters!$A$1,0,0,COUNTA([2]characters!$A:$A),MATCH(D$1,[2]characters!$1:$1,0)-MATCH($A$1,[2]characters!$1:$1,0)+1),MATCH(D$1,[2]characters!$1:$1,0)-MATCH($A$1,[2]characters!$1:$1,0)+1,FALSE)</f>
        <v>探索者</v>
      </c>
      <c r="E152" s="24" t="str">
        <f ca="1">VLOOKUP($A152,OFFSET([2]characters!$A$1,0,0,COUNTA([2]characters!$A:$A),MATCH(E$1,[2]characters!$1:$1,0)-MATCH($A$1,[2]characters!$1:$1,0)+1),MATCH(E$1,[2]characters!$1:$1,0)-MATCH($A$1,[2]characters!$1:$1,0)+1,FALSE)</f>
        <v>格好いい</v>
      </c>
      <c r="F152" s="24" t="str">
        <f ca="1">VLOOKUP($A152,OFFSET([2]characters!$A$1,0,0,COUNTA([2]characters!$A:$A),MATCH(F$1,[2]characters!$1:$1,0)-MATCH($A$1,[2]characters!$1:$1,0)+1),MATCH(F$1,[2]characters!$1:$1,0)-MATCH($A$1,[2]characters!$1:$1,0)+1,FALSE)</f>
        <v>男性</v>
      </c>
      <c r="G152" s="24">
        <f ca="1">VLOOKUP($A152,OFFSET([2]characters!$A$1,0,0,COUNTA([2]characters!$A:$A),MATCH(G$1,[2]characters!$1:$1,0)-MATCH($A$1,[2]characters!$1:$1,0)+1),MATCH(G$1,[2]characters!$1:$1,0)-MATCH($A$1,[2]characters!$1:$1,0)+1,FALSE)</f>
        <v>4</v>
      </c>
      <c r="H152" s="24" t="str">
        <f ca="1">VLOOKUP($A152,OFFSET([2]characters!$A$1,0,0,COUNTA([2]characters!$A:$A),MATCH(H$1,[2]characters!$1:$1,0)-MATCH($A$1,[2]characters!$1:$1,0)+1),MATCH(H$1,[2]characters!$1:$1,0)-MATCH($A$1,[2]characters!$1:$1,0)+1,FALSE)</f>
        <v>Drop2N</v>
      </c>
      <c r="I152" s="24" t="str">
        <f ca="1">VLOOKUP($A152,OFFSET([2]characters!$A$1,0,0,COUNTA([2]characters!$A:$A),MATCH(I$1,[2]characters!$1:$1,0)-MATCH($A$1,[2]characters!$1:$1,0)+1),MATCH(I$1,[2]characters!$1:$1,0)-MATCH($A$1,[2]characters!$1:$1,0)+1,FALSE)</f>
        <v>yellow</v>
      </c>
      <c r="J152" s="24" t="str">
        <f ca="1">VLOOKUP($A152,OFFSET([2]characters!$A$1,0,0,COUNTA([2]characters!$A:$A),MATCH(J$1,[2]characters!$1:$1,0)-MATCH($A$1,[2]characters!$1:$1,0)+1),MATCH(J$1,[2]characters!$1:$1,0)-MATCH($A$1,[2]characters!$1:$1,0)+1,FALSE)</f>
        <v>animal</v>
      </c>
      <c r="K152" s="3" t="str">
        <f ca="1">VLOOKUP(J152,[2]character_tribe_i18n!$A:$H,3,FALSE)</f>
        <v>アニマル</v>
      </c>
      <c r="L152" s="5" t="e">
        <f>VLOOKUP(#REF!,[2]character_tribe_i18n!$A:$H,4,FALSE)</f>
        <v>#REF!</v>
      </c>
      <c r="M152" s="5" t="e">
        <f>VLOOKUP(#REF!,[2]character_tribe_i18n!$A:$H,5,FALSE)</f>
        <v>#REF!</v>
      </c>
      <c r="N152" s="5" t="e">
        <f>VLOOKUP(#REF!,[2]character_tribe_i18n!$A:$H,6,FALSE)</f>
        <v>#REF!</v>
      </c>
      <c r="O152" s="5" t="e">
        <f>VLOOKUP(#REF!,[2]character_tribe_i18n!$A:$H,7,FALSE)</f>
        <v>#REF!</v>
      </c>
      <c r="P152" s="83" t="s">
        <v>170</v>
      </c>
      <c r="Q152" s="4">
        <v>275</v>
      </c>
      <c r="R152" s="25" t="str">
        <f ca="1">IF(Q152="NULL","",VLOOKUP($Q152,OFFSET([2]characters!$A$1,0,0,COUNTA([2]characters!$A:$A),MATCH(R$1,[2]characters!$1:$1,0)-MATCH($A$1,[2]characters!$1:$1,0)+1),MATCH(R$1,[2]characters!$1:$1,0)-MATCH($A$1,[2]characters!$1:$1,0)+1,FALSE))</f>
        <v>轟雷砕棒 ガエル</v>
      </c>
      <c r="S152" s="3">
        <f t="shared" ca="1" si="2"/>
        <v>274</v>
      </c>
      <c r="T152" s="25" t="str">
        <f ca="1">VLOOKUP($S152,OFFSET([2]characters!$A$1,0,0,COUNTA([2]characters!$A:$A),MATCH(T$1,[2]characters!$1:$1,0)-MATCH($A$1,[2]characters!$1:$1,0)+1),MATCH(T$1,[2]characters!$1:$1,0)-MATCH($A$1,[2]characters!$1:$1,0)+1,FALSE)</f>
        <v>砕棒のガエル</v>
      </c>
      <c r="U152" s="5">
        <f ca="1">IF(Q152="NULL","NULL",VLOOKUP(G152,ビット!$A$2:$B$7,2))</f>
        <v>50000</v>
      </c>
    </row>
    <row r="153" spans="1:21" ht="21" customHeight="1" x14ac:dyDescent="0.15">
      <c r="A153" s="83">
        <v>276</v>
      </c>
      <c r="B153" s="24" t="str">
        <f ca="1">VLOOKUP($A153,OFFSET([2]characters!$A$1,0,0,COUNTA([2]characters!$A:$A),MATCH(B$1,[2]characters!$1:$1,0)-MATCH($A$1,[2]characters!$1:$1,0)+1),MATCH(B$1,[2]characters!$1:$1,0)-MATCH($A$1,[2]characters!$1:$1,0)+1,FALSE)</f>
        <v>機拳のイリア</v>
      </c>
      <c r="C153" s="24" t="str">
        <f ca="1">VLOOKUP($A153,OFFSET([2]characters!$A$1,0,0,COUNTA([2]characters!$A:$A),MATCH(C$1,[2]characters!$1:$1,0)-MATCH($A$1,[2]characters!$1:$1,0)+1),MATCH(C$1,[2]characters!$1:$1,0)-MATCH($A$1,[2]characters!$1:$1,0)+1,FALSE)</f>
        <v>イベント:暴走するアバター01</v>
      </c>
      <c r="D153" s="24" t="str">
        <f ca="1">VLOOKUP($A153,OFFSET([2]characters!$A$1,0,0,COUNTA([2]characters!$A:$A),MATCH(D$1,[2]characters!$1:$1,0)-MATCH($A$1,[2]characters!$1:$1,0)+1),MATCH(D$1,[2]characters!$1:$1,0)-MATCH($A$1,[2]characters!$1:$1,0)+1,FALSE)</f>
        <v>探索者</v>
      </c>
      <c r="E153" s="24" t="str">
        <f ca="1">VLOOKUP($A153,OFFSET([2]characters!$A$1,0,0,COUNTA([2]characters!$A:$A),MATCH(E$1,[2]characters!$1:$1,0)-MATCH($A$1,[2]characters!$1:$1,0)+1),MATCH(E$1,[2]characters!$1:$1,0)-MATCH($A$1,[2]characters!$1:$1,0)+1,FALSE)</f>
        <v>可愛い</v>
      </c>
      <c r="F153" s="24" t="str">
        <f ca="1">VLOOKUP($A153,OFFSET([2]characters!$A$1,0,0,COUNTA([2]characters!$A:$A),MATCH(F$1,[2]characters!$1:$1,0)-MATCH($A$1,[2]characters!$1:$1,0)+1),MATCH(F$1,[2]characters!$1:$1,0)-MATCH($A$1,[2]characters!$1:$1,0)+1,FALSE)</f>
        <v>女性</v>
      </c>
      <c r="G153" s="24">
        <f ca="1">VLOOKUP($A153,OFFSET([2]characters!$A$1,0,0,COUNTA([2]characters!$A:$A),MATCH(G$1,[2]characters!$1:$1,0)-MATCH($A$1,[2]characters!$1:$1,0)+1),MATCH(G$1,[2]characters!$1:$1,0)-MATCH($A$1,[2]characters!$1:$1,0)+1,FALSE)</f>
        <v>4</v>
      </c>
      <c r="H153" s="24" t="str">
        <f ca="1">VLOOKUP($A153,OFFSET([2]characters!$A$1,0,0,COUNTA([2]characters!$A:$A),MATCH(H$1,[2]characters!$1:$1,0)-MATCH($A$1,[2]characters!$1:$1,0)+1),MATCH(H$1,[2]characters!$1:$1,0)-MATCH($A$1,[2]characters!$1:$1,0)+1,FALSE)</f>
        <v>Drop2N</v>
      </c>
      <c r="I153" s="24" t="str">
        <f ca="1">VLOOKUP($A153,OFFSET([2]characters!$A$1,0,0,COUNTA([2]characters!$A:$A),MATCH(I$1,[2]characters!$1:$1,0)-MATCH($A$1,[2]characters!$1:$1,0)+1),MATCH(I$1,[2]characters!$1:$1,0)-MATCH($A$1,[2]characters!$1:$1,0)+1,FALSE)</f>
        <v>red</v>
      </c>
      <c r="J153" s="24" t="str">
        <f ca="1">VLOOKUP($A153,OFFSET([2]characters!$A$1,0,0,COUNTA([2]characters!$A:$A),MATCH(J$1,[2]characters!$1:$1,0)-MATCH($A$1,[2]characters!$1:$1,0)+1),MATCH(J$1,[2]characters!$1:$1,0)-MATCH($A$1,[2]characters!$1:$1,0)+1,FALSE)</f>
        <v>machine</v>
      </c>
      <c r="K153" s="3" t="str">
        <f ca="1">VLOOKUP(J153,[2]character_tribe_i18n!$A:$H,3,FALSE)</f>
        <v>マシン</v>
      </c>
      <c r="L153" s="5" t="e">
        <f>VLOOKUP(#REF!,[2]character_tribe_i18n!$A:$H,4,FALSE)</f>
        <v>#REF!</v>
      </c>
      <c r="M153" s="5" t="e">
        <f>VLOOKUP(#REF!,[2]character_tribe_i18n!$A:$H,5,FALSE)</f>
        <v>#REF!</v>
      </c>
      <c r="N153" s="5" t="e">
        <f>VLOOKUP(#REF!,[2]character_tribe_i18n!$A:$H,6,FALSE)</f>
        <v>#REF!</v>
      </c>
      <c r="O153" s="5" t="e">
        <f>VLOOKUP(#REF!,[2]character_tribe_i18n!$A:$H,7,FALSE)</f>
        <v>#REF!</v>
      </c>
      <c r="P153" s="83" t="s">
        <v>170</v>
      </c>
      <c r="Q153" s="4">
        <v>277</v>
      </c>
      <c r="R153" s="25" t="str">
        <f ca="1">IF(Q153="NULL","",VLOOKUP($Q153,OFFSET([2]characters!$A$1,0,0,COUNTA([2]characters!$A:$A),MATCH(R$1,[2]characters!$1:$1,0)-MATCH($A$1,[2]characters!$1:$1,0)+1),MATCH(R$1,[2]characters!$1:$1,0)-MATCH($A$1,[2]characters!$1:$1,0)+1,FALSE))</f>
        <v>機拳恐慌 イリア</v>
      </c>
      <c r="S153" s="3">
        <f t="shared" ca="1" si="2"/>
        <v>276</v>
      </c>
      <c r="T153" s="25" t="str">
        <f ca="1">VLOOKUP($S153,OFFSET([2]characters!$A$1,0,0,COUNTA([2]characters!$A:$A),MATCH(T$1,[2]characters!$1:$1,0)-MATCH($A$1,[2]characters!$1:$1,0)+1),MATCH(T$1,[2]characters!$1:$1,0)-MATCH($A$1,[2]characters!$1:$1,0)+1,FALSE)</f>
        <v>機拳のイリア</v>
      </c>
      <c r="U153" s="5">
        <f ca="1">IF(Q153="NULL","NULL",VLOOKUP(G153,ビット!$A$2:$B$7,2))</f>
        <v>50000</v>
      </c>
    </row>
    <row r="154" spans="1:21" ht="21" customHeight="1" x14ac:dyDescent="0.15">
      <c r="A154" s="83">
        <v>278</v>
      </c>
      <c r="B154" s="24" t="str">
        <f ca="1">VLOOKUP($A154,OFFSET([2]characters!$A$1,0,0,COUNTA([2]characters!$A:$A),MATCH(B$1,[2]characters!$1:$1,0)-MATCH($A$1,[2]characters!$1:$1,0)+1),MATCH(B$1,[2]characters!$1:$1,0)-MATCH($A$1,[2]characters!$1:$1,0)+1,FALSE)</f>
        <v>アマテラス</v>
      </c>
      <c r="C154" s="24" t="str">
        <f ca="1">VLOOKUP($A154,OFFSET([2]characters!$A$1,0,0,COUNTA([2]characters!$A:$A),MATCH(C$1,[2]characters!$1:$1,0)-MATCH($A$1,[2]characters!$1:$1,0)+1),MATCH(C$1,[2]characters!$1:$1,0)-MATCH($A$1,[2]characters!$1:$1,0)+1,FALSE)</f>
        <v>イベント:ウィザード</v>
      </c>
      <c r="D154" s="24" t="str">
        <f ca="1">VLOOKUP($A154,OFFSET([2]characters!$A$1,0,0,COUNTA([2]characters!$A:$A),MATCH(D$1,[2]characters!$1:$1,0)-MATCH($A$1,[2]characters!$1:$1,0)+1),MATCH(D$1,[2]characters!$1:$1,0)-MATCH($A$1,[2]characters!$1:$1,0)+1,FALSE)</f>
        <v>管理者</v>
      </c>
      <c r="E154" s="24" t="str">
        <f ca="1">VLOOKUP($A154,OFFSET([2]characters!$A$1,0,0,COUNTA([2]characters!$A:$A),MATCH(E$1,[2]characters!$1:$1,0)-MATCH($A$1,[2]characters!$1:$1,0)+1),MATCH(E$1,[2]characters!$1:$1,0)-MATCH($A$1,[2]characters!$1:$1,0)+1,FALSE)</f>
        <v>美しい</v>
      </c>
      <c r="F154" s="24" t="str">
        <f ca="1">VLOOKUP($A154,OFFSET([2]characters!$A$1,0,0,COUNTA([2]characters!$A:$A),MATCH(F$1,[2]characters!$1:$1,0)-MATCH($A$1,[2]characters!$1:$1,0)+1),MATCH(F$1,[2]characters!$1:$1,0)-MATCH($A$1,[2]characters!$1:$1,0)+1,FALSE)</f>
        <v>女性</v>
      </c>
      <c r="G154" s="24">
        <f ca="1">VLOOKUP($A154,OFFSET([2]characters!$A$1,0,0,COUNTA([2]characters!$A:$A),MATCH(G$1,[2]characters!$1:$1,0)-MATCH($A$1,[2]characters!$1:$1,0)+1),MATCH(G$1,[2]characters!$1:$1,0)-MATCH($A$1,[2]characters!$1:$1,0)+1,FALSE)</f>
        <v>4</v>
      </c>
      <c r="H154" s="24" t="str">
        <f ca="1">VLOOKUP($A154,OFFSET([2]characters!$A$1,0,0,COUNTA([2]characters!$A:$A),MATCH(H$1,[2]characters!$1:$1,0)-MATCH($A$1,[2]characters!$1:$1,0)+1),MATCH(H$1,[2]characters!$1:$1,0)-MATCH($A$1,[2]characters!$1:$1,0)+1,FALSE)</f>
        <v>DropWizS</v>
      </c>
      <c r="I154" s="24" t="str">
        <f ca="1">VLOOKUP($A154,OFFSET([2]characters!$A$1,0,0,COUNTA([2]characters!$A:$A),MATCH(I$1,[2]characters!$1:$1,0)-MATCH($A$1,[2]characters!$1:$1,0)+1),MATCH(I$1,[2]characters!$1:$1,0)-MATCH($A$1,[2]characters!$1:$1,0)+1,FALSE)</f>
        <v>red</v>
      </c>
      <c r="J154" s="24" t="str">
        <f ca="1">VLOOKUP($A154,OFFSET([2]characters!$A$1,0,0,COUNTA([2]characters!$A:$A),MATCH(J$1,[2]characters!$1:$1,0)-MATCH($A$1,[2]characters!$1:$1,0)+1),MATCH(J$1,[2]characters!$1:$1,0)-MATCH($A$1,[2]characters!$1:$1,0)+1,FALSE)</f>
        <v>none</v>
      </c>
      <c r="K154" s="3" t="str">
        <f ca="1">VLOOKUP(J154,[2]character_tribe_i18n!$A:$H,3,FALSE)</f>
        <v>種族なし</v>
      </c>
      <c r="L154" s="5" t="e">
        <f>VLOOKUP(#REF!,[2]character_tribe_i18n!$A:$H,4,FALSE)</f>
        <v>#REF!</v>
      </c>
      <c r="M154" s="5" t="e">
        <f>VLOOKUP(#REF!,[2]character_tribe_i18n!$A:$H,5,FALSE)</f>
        <v>#REF!</v>
      </c>
      <c r="N154" s="5" t="e">
        <f>VLOOKUP(#REF!,[2]character_tribe_i18n!$A:$H,6,FALSE)</f>
        <v>#REF!</v>
      </c>
      <c r="O154" s="5" t="e">
        <f>VLOOKUP(#REF!,[2]character_tribe_i18n!$A:$H,7,FALSE)</f>
        <v>#REF!</v>
      </c>
      <c r="P154" s="83" t="s">
        <v>170</v>
      </c>
      <c r="Q154" s="4">
        <v>279</v>
      </c>
      <c r="R154" s="25" t="str">
        <f ca="1">IF(Q154="NULL","",VLOOKUP($Q154,OFFSET([2]characters!$A$1,0,0,COUNTA([2]characters!$A:$A),MATCH(R$1,[2]characters!$1:$1,0)-MATCH($A$1,[2]characters!$1:$1,0)+1),MATCH(R$1,[2]characters!$1:$1,0)-MATCH($A$1,[2]characters!$1:$1,0)+1,FALSE))</f>
        <v>統空大神 アマテラス</v>
      </c>
      <c r="S154" s="3">
        <f t="shared" ca="1" si="2"/>
        <v>278</v>
      </c>
      <c r="T154" s="25" t="str">
        <f ca="1">VLOOKUP($S154,OFFSET([2]characters!$A$1,0,0,COUNTA([2]characters!$A:$A),MATCH(T$1,[2]characters!$1:$1,0)-MATCH($A$1,[2]characters!$1:$1,0)+1),MATCH(T$1,[2]characters!$1:$1,0)-MATCH($A$1,[2]characters!$1:$1,0)+1,FALSE)</f>
        <v>アマテラス</v>
      </c>
      <c r="U154" s="5">
        <f ca="1">IF(Q154="NULL","NULL",VLOOKUP(G154,ビット!$A$2:$B$7,2))</f>
        <v>50000</v>
      </c>
    </row>
    <row r="155" spans="1:21" ht="21" customHeight="1" x14ac:dyDescent="0.15">
      <c r="A155" s="83">
        <v>279</v>
      </c>
      <c r="B155" s="24" t="str">
        <f ca="1">VLOOKUP($A155,OFFSET([2]characters!$A$1,0,0,COUNTA([2]characters!$A:$A),MATCH(B$1,[2]characters!$1:$1,0)-MATCH($A$1,[2]characters!$1:$1,0)+1),MATCH(B$1,[2]characters!$1:$1,0)-MATCH($A$1,[2]characters!$1:$1,0)+1,FALSE)</f>
        <v>統空大神 アマテラス</v>
      </c>
      <c r="C155" s="24" t="str">
        <f ca="1">VLOOKUP($A155,OFFSET([2]characters!$A$1,0,0,COUNTA([2]characters!$A:$A),MATCH(C$1,[2]characters!$1:$1,0)-MATCH($A$1,[2]characters!$1:$1,0)+1),MATCH(C$1,[2]characters!$1:$1,0)-MATCH($A$1,[2]characters!$1:$1,0)+1,FALSE)</f>
        <v>イベント:ウィザード</v>
      </c>
      <c r="D155" s="24" t="str">
        <f ca="1">VLOOKUP($A155,OFFSET([2]characters!$A$1,0,0,COUNTA([2]characters!$A:$A),MATCH(D$1,[2]characters!$1:$1,0)-MATCH($A$1,[2]characters!$1:$1,0)+1),MATCH(D$1,[2]characters!$1:$1,0)-MATCH($A$1,[2]characters!$1:$1,0)+1,FALSE)</f>
        <v>管理者</v>
      </c>
      <c r="E155" s="24" t="str">
        <f ca="1">VLOOKUP($A155,OFFSET([2]characters!$A$1,0,0,COUNTA([2]characters!$A:$A),MATCH(E$1,[2]characters!$1:$1,0)-MATCH($A$1,[2]characters!$1:$1,0)+1),MATCH(E$1,[2]characters!$1:$1,0)-MATCH($A$1,[2]characters!$1:$1,0)+1,FALSE)</f>
        <v>美しい</v>
      </c>
      <c r="F155" s="24" t="str">
        <f ca="1">VLOOKUP($A155,OFFSET([2]characters!$A$1,0,0,COUNTA([2]characters!$A:$A),MATCH(F$1,[2]characters!$1:$1,0)-MATCH($A$1,[2]characters!$1:$1,0)+1),MATCH(F$1,[2]characters!$1:$1,0)-MATCH($A$1,[2]characters!$1:$1,0)+1,FALSE)</f>
        <v>女性</v>
      </c>
      <c r="G155" s="24">
        <f ca="1">VLOOKUP($A155,OFFSET([2]characters!$A$1,0,0,COUNTA([2]characters!$A:$A),MATCH(G$1,[2]characters!$1:$1,0)-MATCH($A$1,[2]characters!$1:$1,0)+1),MATCH(G$1,[2]characters!$1:$1,0)-MATCH($A$1,[2]characters!$1:$1,0)+1,FALSE)</f>
        <v>5</v>
      </c>
      <c r="H155" s="24" t="str">
        <f ca="1">VLOOKUP($A155,OFFSET([2]characters!$A$1,0,0,COUNTA([2]characters!$A:$A),MATCH(H$1,[2]characters!$1:$1,0)-MATCH($A$1,[2]characters!$1:$1,0)+1),MATCH(H$1,[2]characters!$1:$1,0)-MATCH($A$1,[2]characters!$1:$1,0)+1,FALSE)</f>
        <v>DropWizS</v>
      </c>
      <c r="I155" s="24" t="str">
        <f ca="1">VLOOKUP($A155,OFFSET([2]characters!$A$1,0,0,COUNTA([2]characters!$A:$A),MATCH(I$1,[2]characters!$1:$1,0)-MATCH($A$1,[2]characters!$1:$1,0)+1),MATCH(I$1,[2]characters!$1:$1,0)-MATCH($A$1,[2]characters!$1:$1,0)+1,FALSE)</f>
        <v>red</v>
      </c>
      <c r="J155" s="24" t="str">
        <f ca="1">VLOOKUP($A155,OFFSET([2]characters!$A$1,0,0,COUNTA([2]characters!$A:$A),MATCH(J$1,[2]characters!$1:$1,0)-MATCH($A$1,[2]characters!$1:$1,0)+1),MATCH(J$1,[2]characters!$1:$1,0)-MATCH($A$1,[2]characters!$1:$1,0)+1,FALSE)</f>
        <v>none</v>
      </c>
      <c r="K155" s="3" t="str">
        <f ca="1">VLOOKUP(J155,[2]character_tribe_i18n!$A:$H,3,FALSE)</f>
        <v>種族なし</v>
      </c>
      <c r="L155" s="5" t="e">
        <f>VLOOKUP(#REF!,[2]character_tribe_i18n!$A:$H,4,FALSE)</f>
        <v>#REF!</v>
      </c>
      <c r="M155" s="5" t="e">
        <f>VLOOKUP(#REF!,[2]character_tribe_i18n!$A:$H,5,FALSE)</f>
        <v>#REF!</v>
      </c>
      <c r="N155" s="5" t="e">
        <f>VLOOKUP(#REF!,[2]character_tribe_i18n!$A:$H,6,FALSE)</f>
        <v>#REF!</v>
      </c>
      <c r="O155" s="5" t="e">
        <f>VLOOKUP(#REF!,[2]character_tribe_i18n!$A:$H,7,FALSE)</f>
        <v>#REF!</v>
      </c>
      <c r="P155" s="83" t="s">
        <v>170</v>
      </c>
      <c r="Q155" s="4">
        <v>810</v>
      </c>
      <c r="R155" s="25" t="str">
        <f ca="1">IF(Q155="NULL","",VLOOKUP($Q155,OFFSET([2]characters!$A$1,0,0,COUNTA([2]characters!$A:$A),MATCH(R$1,[2]characters!$1:$1,0)-MATCH($A$1,[2]characters!$1:$1,0)+1),MATCH(R$1,[2]characters!$1:$1,0)-MATCH($A$1,[2]characters!$1:$1,0)+1,FALSE))</f>
        <v>君臨大御神 アマテラス</v>
      </c>
      <c r="S155" s="3">
        <f t="shared" ca="1" si="2"/>
        <v>278</v>
      </c>
      <c r="T155" s="25" t="str">
        <f ca="1">VLOOKUP($S155,OFFSET([2]characters!$A$1,0,0,COUNTA([2]characters!$A:$A),MATCH(T$1,[2]characters!$1:$1,0)-MATCH($A$1,[2]characters!$1:$1,0)+1),MATCH(T$1,[2]characters!$1:$1,0)-MATCH($A$1,[2]characters!$1:$1,0)+1,FALSE)</f>
        <v>アマテラス</v>
      </c>
      <c r="U155" s="5">
        <f ca="1">IF(Q155="NULL","NULL",VLOOKUP(G155,ビット!$A$2:$B$7,2))</f>
        <v>200000</v>
      </c>
    </row>
    <row r="156" spans="1:21" ht="21" customHeight="1" x14ac:dyDescent="0.15">
      <c r="A156" s="83">
        <v>280</v>
      </c>
      <c r="B156" s="24" t="str">
        <f ca="1">VLOOKUP($A156,OFFSET([2]characters!$A$1,0,0,COUNTA([2]characters!$A:$A),MATCH(B$1,[2]characters!$1:$1,0)-MATCH($A$1,[2]characters!$1:$1,0)+1),MATCH(B$1,[2]characters!$1:$1,0)-MATCH($A$1,[2]characters!$1:$1,0)+1,FALSE)</f>
        <v>リンドブルム</v>
      </c>
      <c r="C156" s="24" t="str">
        <f ca="1">VLOOKUP($A156,OFFSET([2]characters!$A$1,0,0,COUNTA([2]characters!$A:$A),MATCH(C$1,[2]characters!$1:$1,0)-MATCH($A$1,[2]characters!$1:$1,0)+1),MATCH(C$1,[2]characters!$1:$1,0)-MATCH($A$1,[2]characters!$1:$1,0)+1,FALSE)</f>
        <v>イベント:機械龍01</v>
      </c>
      <c r="D156" s="24" t="str">
        <f ca="1">VLOOKUP($A156,OFFSET([2]characters!$A$1,0,0,COUNTA([2]characters!$A:$A),MATCH(D$1,[2]characters!$1:$1,0)-MATCH($A$1,[2]characters!$1:$1,0)+1),MATCH(D$1,[2]characters!$1:$1,0)-MATCH($A$1,[2]characters!$1:$1,0)+1,FALSE)</f>
        <v>QoH</v>
      </c>
      <c r="E156" s="24" t="str">
        <f ca="1">VLOOKUP($A156,OFFSET([2]characters!$A$1,0,0,COUNTA([2]characters!$A:$A),MATCH(E$1,[2]characters!$1:$1,0)-MATCH($A$1,[2]characters!$1:$1,0)+1),MATCH(E$1,[2]characters!$1:$1,0)-MATCH($A$1,[2]characters!$1:$1,0)+1,FALSE)</f>
        <v>格好いい</v>
      </c>
      <c r="F156" s="24" t="str">
        <f ca="1">VLOOKUP($A156,OFFSET([2]characters!$A$1,0,0,COUNTA([2]characters!$A:$A),MATCH(F$1,[2]characters!$1:$1,0)-MATCH($A$1,[2]characters!$1:$1,0)+1),MATCH(F$1,[2]characters!$1:$1,0)-MATCH($A$1,[2]characters!$1:$1,0)+1,FALSE)</f>
        <v>不明</v>
      </c>
      <c r="G156" s="24">
        <f ca="1">VLOOKUP($A156,OFFSET([2]characters!$A$1,0,0,COUNTA([2]characters!$A:$A),MATCH(G$1,[2]characters!$1:$1,0)-MATCH($A$1,[2]characters!$1:$1,0)+1),MATCH(G$1,[2]characters!$1:$1,0)-MATCH($A$1,[2]characters!$1:$1,0)+1,FALSE)</f>
        <v>3</v>
      </c>
      <c r="H156" s="24" t="str">
        <f ca="1">VLOOKUP($A156,OFFSET([2]characters!$A$1,0,0,COUNTA([2]characters!$A:$A),MATCH(H$1,[2]characters!$1:$1,0)-MATCH($A$1,[2]characters!$1:$1,0)+1),MATCH(H$1,[2]characters!$1:$1,0)-MATCH($A$1,[2]characters!$1:$1,0)+1,FALSE)</f>
        <v>Drop2W</v>
      </c>
      <c r="I156" s="24" t="str">
        <f ca="1">VLOOKUP($A156,OFFSET([2]characters!$A$1,0,0,COUNTA([2]characters!$A:$A),MATCH(I$1,[2]characters!$1:$1,0)-MATCH($A$1,[2]characters!$1:$1,0)+1),MATCH(I$1,[2]characters!$1:$1,0)-MATCH($A$1,[2]characters!$1:$1,0)+1,FALSE)</f>
        <v>green</v>
      </c>
      <c r="J156" s="24" t="str">
        <f ca="1">VLOOKUP($A156,OFFSET([2]characters!$A$1,0,0,COUNTA([2]characters!$A:$A),MATCH(J$1,[2]characters!$1:$1,0)-MATCH($A$1,[2]characters!$1:$1,0)+1),MATCH(J$1,[2]characters!$1:$1,0)-MATCH($A$1,[2]characters!$1:$1,0)+1,FALSE)</f>
        <v>machine</v>
      </c>
      <c r="K156" s="3" t="str">
        <f ca="1">VLOOKUP(J156,[2]character_tribe_i18n!$A:$H,3,FALSE)</f>
        <v>マシン</v>
      </c>
      <c r="L156" s="5" t="e">
        <f>VLOOKUP(#REF!,[2]character_tribe_i18n!$A:$H,4,FALSE)</f>
        <v>#REF!</v>
      </c>
      <c r="M156" s="5" t="e">
        <f>VLOOKUP(#REF!,[2]character_tribe_i18n!$A:$H,5,FALSE)</f>
        <v>#REF!</v>
      </c>
      <c r="N156" s="5" t="e">
        <f>VLOOKUP(#REF!,[2]character_tribe_i18n!$A:$H,6,FALSE)</f>
        <v>#REF!</v>
      </c>
      <c r="O156" s="5" t="e">
        <f>VLOOKUP(#REF!,[2]character_tribe_i18n!$A:$H,7,FALSE)</f>
        <v>#REF!</v>
      </c>
      <c r="P156" s="83" t="s">
        <v>170</v>
      </c>
      <c r="Q156" s="4">
        <v>281</v>
      </c>
      <c r="R156" s="25" t="str">
        <f ca="1">IF(Q156="NULL","",VLOOKUP($Q156,OFFSET([2]characters!$A$1,0,0,COUNTA([2]characters!$A:$A),MATCH(R$1,[2]characters!$1:$1,0)-MATCH($A$1,[2]characters!$1:$1,0)+1),MATCH(R$1,[2]characters!$1:$1,0)-MATCH($A$1,[2]characters!$1:$1,0)+1,FALSE))</f>
        <v>リンドブルム・コンデンス</v>
      </c>
      <c r="S156" s="3">
        <f t="shared" ca="1" si="2"/>
        <v>280</v>
      </c>
      <c r="T156" s="25" t="str">
        <f ca="1">VLOOKUP($S156,OFFSET([2]characters!$A$1,0,0,COUNTA([2]characters!$A:$A),MATCH(T$1,[2]characters!$1:$1,0)-MATCH($A$1,[2]characters!$1:$1,0)+1),MATCH(T$1,[2]characters!$1:$1,0)-MATCH($A$1,[2]characters!$1:$1,0)+1,FALSE)</f>
        <v>リンドブルム</v>
      </c>
      <c r="U156" s="5">
        <f ca="1">IF(Q156="NULL","NULL",VLOOKUP(G156,ビット!$A$2:$B$7,2))</f>
        <v>20000</v>
      </c>
    </row>
    <row r="157" spans="1:21" ht="21" customHeight="1" x14ac:dyDescent="0.15">
      <c r="A157" s="83">
        <v>281</v>
      </c>
      <c r="B157" s="24" t="str">
        <f ca="1">VLOOKUP($A157,OFFSET([2]characters!$A$1,0,0,COUNTA([2]characters!$A:$A),MATCH(B$1,[2]characters!$1:$1,0)-MATCH($A$1,[2]characters!$1:$1,0)+1),MATCH(B$1,[2]characters!$1:$1,0)-MATCH($A$1,[2]characters!$1:$1,0)+1,FALSE)</f>
        <v>リンドブルム・コンデンス</v>
      </c>
      <c r="C157" s="24" t="str">
        <f ca="1">VLOOKUP($A157,OFFSET([2]characters!$A$1,0,0,COUNTA([2]characters!$A:$A),MATCH(C$1,[2]characters!$1:$1,0)-MATCH($A$1,[2]characters!$1:$1,0)+1),MATCH(C$1,[2]characters!$1:$1,0)-MATCH($A$1,[2]characters!$1:$1,0)+1,FALSE)</f>
        <v>イベント:機械龍01</v>
      </c>
      <c r="D157" s="24" t="str">
        <f ca="1">VLOOKUP($A157,OFFSET([2]characters!$A$1,0,0,COUNTA([2]characters!$A:$A),MATCH(D$1,[2]characters!$1:$1,0)-MATCH($A$1,[2]characters!$1:$1,0)+1),MATCH(D$1,[2]characters!$1:$1,0)-MATCH($A$1,[2]characters!$1:$1,0)+1,FALSE)</f>
        <v>QoH</v>
      </c>
      <c r="E157" s="24" t="str">
        <f ca="1">VLOOKUP($A157,OFFSET([2]characters!$A$1,0,0,COUNTA([2]characters!$A:$A),MATCH(E$1,[2]characters!$1:$1,0)-MATCH($A$1,[2]characters!$1:$1,0)+1),MATCH(E$1,[2]characters!$1:$1,0)-MATCH($A$1,[2]characters!$1:$1,0)+1,FALSE)</f>
        <v>格好いい</v>
      </c>
      <c r="F157" s="24" t="str">
        <f ca="1">VLOOKUP($A157,OFFSET([2]characters!$A$1,0,0,COUNTA([2]characters!$A:$A),MATCH(F$1,[2]characters!$1:$1,0)-MATCH($A$1,[2]characters!$1:$1,0)+1),MATCH(F$1,[2]characters!$1:$1,0)-MATCH($A$1,[2]characters!$1:$1,0)+1,FALSE)</f>
        <v>不明</v>
      </c>
      <c r="G157" s="24">
        <f ca="1">VLOOKUP($A157,OFFSET([2]characters!$A$1,0,0,COUNTA([2]characters!$A:$A),MATCH(G$1,[2]characters!$1:$1,0)-MATCH($A$1,[2]characters!$1:$1,0)+1),MATCH(G$1,[2]characters!$1:$1,0)-MATCH($A$1,[2]characters!$1:$1,0)+1,FALSE)</f>
        <v>4</v>
      </c>
      <c r="H157" s="24" t="str">
        <f ca="1">VLOOKUP($A157,OFFSET([2]characters!$A$1,0,0,COUNTA([2]characters!$A:$A),MATCH(H$1,[2]characters!$1:$1,0)-MATCH($A$1,[2]characters!$1:$1,0)+1),MATCH(H$1,[2]characters!$1:$1,0)-MATCH($A$1,[2]characters!$1:$1,0)+1,FALSE)</f>
        <v>DropWizW</v>
      </c>
      <c r="I157" s="24" t="str">
        <f ca="1">VLOOKUP($A157,OFFSET([2]characters!$A$1,0,0,COUNTA([2]characters!$A:$A),MATCH(I$1,[2]characters!$1:$1,0)-MATCH($A$1,[2]characters!$1:$1,0)+1),MATCH(I$1,[2]characters!$1:$1,0)-MATCH($A$1,[2]characters!$1:$1,0)+1,FALSE)</f>
        <v>green</v>
      </c>
      <c r="J157" s="24" t="str">
        <f ca="1">VLOOKUP($A157,OFFSET([2]characters!$A$1,0,0,COUNTA([2]characters!$A:$A),MATCH(J$1,[2]characters!$1:$1,0)-MATCH($A$1,[2]characters!$1:$1,0)+1),MATCH(J$1,[2]characters!$1:$1,0)-MATCH($A$1,[2]characters!$1:$1,0)+1,FALSE)</f>
        <v>machine</v>
      </c>
      <c r="K157" s="3" t="str">
        <f ca="1">VLOOKUP(J157,[2]character_tribe_i18n!$A:$H,3,FALSE)</f>
        <v>マシン</v>
      </c>
      <c r="L157" s="5" t="e">
        <f>VLOOKUP(#REF!,[2]character_tribe_i18n!$A:$H,4,FALSE)</f>
        <v>#REF!</v>
      </c>
      <c r="M157" s="5" t="e">
        <f>VLOOKUP(#REF!,[2]character_tribe_i18n!$A:$H,5,FALSE)</f>
        <v>#REF!</v>
      </c>
      <c r="N157" s="5" t="e">
        <f>VLOOKUP(#REF!,[2]character_tribe_i18n!$A:$H,6,FALSE)</f>
        <v>#REF!</v>
      </c>
      <c r="O157" s="5" t="e">
        <f>VLOOKUP(#REF!,[2]character_tribe_i18n!$A:$H,7,FALSE)</f>
        <v>#REF!</v>
      </c>
      <c r="P157" s="83" t="s">
        <v>170</v>
      </c>
      <c r="Q157" s="4">
        <v>616</v>
      </c>
      <c r="R157" s="25" t="str">
        <f ca="1">IF(Q157="NULL","",VLOOKUP($Q157,OFFSET([2]characters!$A$1,0,0,COUNTA([2]characters!$A:$A),MATCH(R$1,[2]characters!$1:$1,0)-MATCH($A$1,[2]characters!$1:$1,0)+1),MATCH(R$1,[2]characters!$1:$1,0)-MATCH($A$1,[2]characters!$1:$1,0)+1,FALSE))</f>
        <v>リンドブルム・デルタクラスター</v>
      </c>
      <c r="S157" s="3">
        <f t="shared" ca="1" si="2"/>
        <v>280</v>
      </c>
      <c r="T157" s="25" t="str">
        <f ca="1">VLOOKUP($S157,OFFSET([2]characters!$A$1,0,0,COUNTA([2]characters!$A:$A),MATCH(T$1,[2]characters!$1:$1,0)-MATCH($A$1,[2]characters!$1:$1,0)+1),MATCH(T$1,[2]characters!$1:$1,0)-MATCH($A$1,[2]characters!$1:$1,0)+1,FALSE)</f>
        <v>リンドブルム</v>
      </c>
      <c r="U157" s="5">
        <f ca="1">IF(Q157="NULL","NULL",VLOOKUP(G157,ビット!$A$2:$B$7,2))</f>
        <v>50000</v>
      </c>
    </row>
    <row r="158" spans="1:21" ht="21" customHeight="1" x14ac:dyDescent="0.15">
      <c r="A158" s="83">
        <v>282</v>
      </c>
      <c r="B158" s="24" t="str">
        <f ca="1">VLOOKUP($A158,OFFSET([2]characters!$A$1,0,0,COUNTA([2]characters!$A:$A),MATCH(B$1,[2]characters!$1:$1,0)-MATCH($A$1,[2]characters!$1:$1,0)+1),MATCH(B$1,[2]characters!$1:$1,0)-MATCH($A$1,[2]characters!$1:$1,0)+1,FALSE)</f>
        <v>ラーフ</v>
      </c>
      <c r="C158" s="24" t="str">
        <f ca="1">VLOOKUP($A158,OFFSET([2]characters!$A$1,0,0,COUNTA([2]characters!$A:$A),MATCH(C$1,[2]characters!$1:$1,0)-MATCH($A$1,[2]characters!$1:$1,0)+1),MATCH(C$1,[2]characters!$1:$1,0)-MATCH($A$1,[2]characters!$1:$1,0)+1,FALSE)</f>
        <v>イベント:機械龍01</v>
      </c>
      <c r="D158" s="24" t="str">
        <f ca="1">VLOOKUP($A158,OFFSET([2]characters!$A$1,0,0,COUNTA([2]characters!$A:$A),MATCH(D$1,[2]characters!$1:$1,0)-MATCH($A$1,[2]characters!$1:$1,0)+1),MATCH(D$1,[2]characters!$1:$1,0)-MATCH($A$1,[2]characters!$1:$1,0)+1,FALSE)</f>
        <v>QoH</v>
      </c>
      <c r="E158" s="24" t="str">
        <f ca="1">VLOOKUP($A158,OFFSET([2]characters!$A$1,0,0,COUNTA([2]characters!$A:$A),MATCH(E$1,[2]characters!$1:$1,0)-MATCH($A$1,[2]characters!$1:$1,0)+1),MATCH(E$1,[2]characters!$1:$1,0)-MATCH($A$1,[2]characters!$1:$1,0)+1,FALSE)</f>
        <v>格好いい</v>
      </c>
      <c r="F158" s="24" t="str">
        <f ca="1">VLOOKUP($A158,OFFSET([2]characters!$A$1,0,0,COUNTA([2]characters!$A:$A),MATCH(F$1,[2]characters!$1:$1,0)-MATCH($A$1,[2]characters!$1:$1,0)+1),MATCH(F$1,[2]characters!$1:$1,0)-MATCH($A$1,[2]characters!$1:$1,0)+1,FALSE)</f>
        <v>不明</v>
      </c>
      <c r="G158" s="24">
        <f ca="1">VLOOKUP($A158,OFFSET([2]characters!$A$1,0,0,COUNTA([2]characters!$A:$A),MATCH(G$1,[2]characters!$1:$1,0)-MATCH($A$1,[2]characters!$1:$1,0)+1),MATCH(G$1,[2]characters!$1:$1,0)-MATCH($A$1,[2]characters!$1:$1,0)+1,FALSE)</f>
        <v>3</v>
      </c>
      <c r="H158" s="24" t="str">
        <f ca="1">VLOOKUP($A158,OFFSET([2]characters!$A$1,0,0,COUNTA([2]characters!$A:$A),MATCH(H$1,[2]characters!$1:$1,0)-MATCH($A$1,[2]characters!$1:$1,0)+1),MATCH(H$1,[2]characters!$1:$1,0)-MATCH($A$1,[2]characters!$1:$1,0)+1,FALSE)</f>
        <v>Drop2W</v>
      </c>
      <c r="I158" s="24" t="str">
        <f ca="1">VLOOKUP($A158,OFFSET([2]characters!$A$1,0,0,COUNTA([2]characters!$A:$A),MATCH(I$1,[2]characters!$1:$1,0)-MATCH($A$1,[2]characters!$1:$1,0)+1),MATCH(I$1,[2]characters!$1:$1,0)-MATCH($A$1,[2]characters!$1:$1,0)+1,FALSE)</f>
        <v>blue</v>
      </c>
      <c r="J158" s="24" t="str">
        <f ca="1">VLOOKUP($A158,OFFSET([2]characters!$A$1,0,0,COUNTA([2]characters!$A:$A),MATCH(J$1,[2]characters!$1:$1,0)-MATCH($A$1,[2]characters!$1:$1,0)+1),MATCH(J$1,[2]characters!$1:$1,0)-MATCH($A$1,[2]characters!$1:$1,0)+1,FALSE)</f>
        <v>machine</v>
      </c>
      <c r="K158" s="3" t="str">
        <f ca="1">VLOOKUP(J158,[2]character_tribe_i18n!$A:$H,3,FALSE)</f>
        <v>マシン</v>
      </c>
      <c r="L158" s="5" t="e">
        <f>VLOOKUP(#REF!,[2]character_tribe_i18n!$A:$H,4,FALSE)</f>
        <v>#REF!</v>
      </c>
      <c r="M158" s="5" t="e">
        <f>VLOOKUP(#REF!,[2]character_tribe_i18n!$A:$H,5,FALSE)</f>
        <v>#REF!</v>
      </c>
      <c r="N158" s="5" t="e">
        <f>VLOOKUP(#REF!,[2]character_tribe_i18n!$A:$H,6,FALSE)</f>
        <v>#REF!</v>
      </c>
      <c r="O158" s="5" t="e">
        <f>VLOOKUP(#REF!,[2]character_tribe_i18n!$A:$H,7,FALSE)</f>
        <v>#REF!</v>
      </c>
      <c r="P158" s="83" t="s">
        <v>170</v>
      </c>
      <c r="Q158" s="4">
        <v>283</v>
      </c>
      <c r="R158" s="25" t="str">
        <f ca="1">IF(Q158="NULL","",VLOOKUP($Q158,OFFSET([2]characters!$A$1,0,0,COUNTA([2]characters!$A:$A),MATCH(R$1,[2]characters!$1:$1,0)-MATCH($A$1,[2]characters!$1:$1,0)+1),MATCH(R$1,[2]characters!$1:$1,0)-MATCH($A$1,[2]characters!$1:$1,0)+1,FALSE))</f>
        <v>ラーフ・メテオ</v>
      </c>
      <c r="S158" s="3">
        <f t="shared" ca="1" si="2"/>
        <v>282</v>
      </c>
      <c r="T158" s="25" t="str">
        <f ca="1">VLOOKUP($S158,OFFSET([2]characters!$A$1,0,0,COUNTA([2]characters!$A:$A),MATCH(T$1,[2]characters!$1:$1,0)-MATCH($A$1,[2]characters!$1:$1,0)+1),MATCH(T$1,[2]characters!$1:$1,0)-MATCH($A$1,[2]characters!$1:$1,0)+1,FALSE)</f>
        <v>ラーフ</v>
      </c>
      <c r="U158" s="5">
        <f ca="1">IF(Q158="NULL","NULL",VLOOKUP(G158,ビット!$A$2:$B$7,2))</f>
        <v>20000</v>
      </c>
    </row>
    <row r="159" spans="1:21" ht="21" customHeight="1" x14ac:dyDescent="0.15">
      <c r="A159" s="83">
        <v>283</v>
      </c>
      <c r="B159" s="24" t="str">
        <f ca="1">VLOOKUP($A159,OFFSET([2]characters!$A$1,0,0,COUNTA([2]characters!$A:$A),MATCH(B$1,[2]characters!$1:$1,0)-MATCH($A$1,[2]characters!$1:$1,0)+1),MATCH(B$1,[2]characters!$1:$1,0)-MATCH($A$1,[2]characters!$1:$1,0)+1,FALSE)</f>
        <v>ラーフ・メテオ</v>
      </c>
      <c r="C159" s="24" t="str">
        <f ca="1">VLOOKUP($A159,OFFSET([2]characters!$A$1,0,0,COUNTA([2]characters!$A:$A),MATCH(C$1,[2]characters!$1:$1,0)-MATCH($A$1,[2]characters!$1:$1,0)+1),MATCH(C$1,[2]characters!$1:$1,0)-MATCH($A$1,[2]characters!$1:$1,0)+1,FALSE)</f>
        <v>イベント:機械龍01</v>
      </c>
      <c r="D159" s="24" t="str">
        <f ca="1">VLOOKUP($A159,OFFSET([2]characters!$A$1,0,0,COUNTA([2]characters!$A:$A),MATCH(D$1,[2]characters!$1:$1,0)-MATCH($A$1,[2]characters!$1:$1,0)+1),MATCH(D$1,[2]characters!$1:$1,0)-MATCH($A$1,[2]characters!$1:$1,0)+1,FALSE)</f>
        <v>QoH</v>
      </c>
      <c r="E159" s="24" t="str">
        <f ca="1">VLOOKUP($A159,OFFSET([2]characters!$A$1,0,0,COUNTA([2]characters!$A:$A),MATCH(E$1,[2]characters!$1:$1,0)-MATCH($A$1,[2]characters!$1:$1,0)+1),MATCH(E$1,[2]characters!$1:$1,0)-MATCH($A$1,[2]characters!$1:$1,0)+1,FALSE)</f>
        <v>格好いい</v>
      </c>
      <c r="F159" s="24" t="str">
        <f ca="1">VLOOKUP($A159,OFFSET([2]characters!$A$1,0,0,COUNTA([2]characters!$A:$A),MATCH(F$1,[2]characters!$1:$1,0)-MATCH($A$1,[2]characters!$1:$1,0)+1),MATCH(F$1,[2]characters!$1:$1,0)-MATCH($A$1,[2]characters!$1:$1,0)+1,FALSE)</f>
        <v>不明</v>
      </c>
      <c r="G159" s="24">
        <f ca="1">VLOOKUP($A159,OFFSET([2]characters!$A$1,0,0,COUNTA([2]characters!$A:$A),MATCH(G$1,[2]characters!$1:$1,0)-MATCH($A$1,[2]characters!$1:$1,0)+1),MATCH(G$1,[2]characters!$1:$1,0)-MATCH($A$1,[2]characters!$1:$1,0)+1,FALSE)</f>
        <v>4</v>
      </c>
      <c r="H159" s="24" t="str">
        <f ca="1">VLOOKUP($A159,OFFSET([2]characters!$A$1,0,0,COUNTA([2]characters!$A:$A),MATCH(H$1,[2]characters!$1:$1,0)-MATCH($A$1,[2]characters!$1:$1,0)+1),MATCH(H$1,[2]characters!$1:$1,0)-MATCH($A$1,[2]characters!$1:$1,0)+1,FALSE)</f>
        <v>DropWizW</v>
      </c>
      <c r="I159" s="24" t="str">
        <f ca="1">VLOOKUP($A159,OFFSET([2]characters!$A$1,0,0,COUNTA([2]characters!$A:$A),MATCH(I$1,[2]characters!$1:$1,0)-MATCH($A$1,[2]characters!$1:$1,0)+1),MATCH(I$1,[2]characters!$1:$1,0)-MATCH($A$1,[2]characters!$1:$1,0)+1,FALSE)</f>
        <v>blue</v>
      </c>
      <c r="J159" s="24" t="str">
        <f ca="1">VLOOKUP($A159,OFFSET([2]characters!$A$1,0,0,COUNTA([2]characters!$A:$A),MATCH(J$1,[2]characters!$1:$1,0)-MATCH($A$1,[2]characters!$1:$1,0)+1),MATCH(J$1,[2]characters!$1:$1,0)-MATCH($A$1,[2]characters!$1:$1,0)+1,FALSE)</f>
        <v>machine</v>
      </c>
      <c r="K159" s="3" t="str">
        <f ca="1">VLOOKUP(J159,[2]character_tribe_i18n!$A:$H,3,FALSE)</f>
        <v>マシン</v>
      </c>
      <c r="L159" s="5" t="e">
        <f>VLOOKUP(#REF!,[2]character_tribe_i18n!$A:$H,4,FALSE)</f>
        <v>#REF!</v>
      </c>
      <c r="M159" s="5" t="e">
        <f>VLOOKUP(#REF!,[2]character_tribe_i18n!$A:$H,5,FALSE)</f>
        <v>#REF!</v>
      </c>
      <c r="N159" s="5" t="e">
        <f>VLOOKUP(#REF!,[2]character_tribe_i18n!$A:$H,6,FALSE)</f>
        <v>#REF!</v>
      </c>
      <c r="O159" s="5" t="e">
        <f>VLOOKUP(#REF!,[2]character_tribe_i18n!$A:$H,7,FALSE)</f>
        <v>#REF!</v>
      </c>
      <c r="P159" s="83" t="s">
        <v>170</v>
      </c>
      <c r="Q159" s="4">
        <v>617</v>
      </c>
      <c r="R159" s="25" t="str">
        <f ca="1">IF(Q159="NULL","",VLOOKUP($Q159,OFFSET([2]characters!$A$1,0,0,COUNTA([2]characters!$A:$A),MATCH(R$1,[2]characters!$1:$1,0)-MATCH($A$1,[2]characters!$1:$1,0)+1),MATCH(R$1,[2]characters!$1:$1,0)-MATCH($A$1,[2]characters!$1:$1,0)+1,FALSE))</f>
        <v>ラーフ・アルマゲドン</v>
      </c>
      <c r="S159" s="3">
        <f t="shared" ca="1" si="2"/>
        <v>282</v>
      </c>
      <c r="T159" s="25" t="str">
        <f ca="1">VLOOKUP($S159,OFFSET([2]characters!$A$1,0,0,COUNTA([2]characters!$A:$A),MATCH(T$1,[2]characters!$1:$1,0)-MATCH($A$1,[2]characters!$1:$1,0)+1),MATCH(T$1,[2]characters!$1:$1,0)-MATCH($A$1,[2]characters!$1:$1,0)+1,FALSE)</f>
        <v>ラーフ</v>
      </c>
      <c r="U159" s="5">
        <f ca="1">IF(Q159="NULL","NULL",VLOOKUP(G159,ビット!$A$2:$B$7,2))</f>
        <v>50000</v>
      </c>
    </row>
    <row r="160" spans="1:21" ht="21" customHeight="1" x14ac:dyDescent="0.15">
      <c r="A160" s="83">
        <v>284</v>
      </c>
      <c r="B160" s="24" t="str">
        <f ca="1">VLOOKUP($A160,OFFSET([2]characters!$A$1,0,0,COUNTA([2]characters!$A:$A),MATCH(B$1,[2]characters!$1:$1,0)-MATCH($A$1,[2]characters!$1:$1,0)+1),MATCH(B$1,[2]characters!$1:$1,0)-MATCH($A$1,[2]characters!$1:$1,0)+1,FALSE)</f>
        <v>フェルニゲシュ</v>
      </c>
      <c r="C160" s="24" t="str">
        <f ca="1">VLOOKUP($A160,OFFSET([2]characters!$A$1,0,0,COUNTA([2]characters!$A:$A),MATCH(C$1,[2]characters!$1:$1,0)-MATCH($A$1,[2]characters!$1:$1,0)+1),MATCH(C$1,[2]characters!$1:$1,0)-MATCH($A$1,[2]characters!$1:$1,0)+1,FALSE)</f>
        <v>イベント:機械龍01</v>
      </c>
      <c r="D160" s="24" t="str">
        <f ca="1">VLOOKUP($A160,OFFSET([2]characters!$A$1,0,0,COUNTA([2]characters!$A:$A),MATCH(D$1,[2]characters!$1:$1,0)-MATCH($A$1,[2]characters!$1:$1,0)+1),MATCH(D$1,[2]characters!$1:$1,0)-MATCH($A$1,[2]characters!$1:$1,0)+1,FALSE)</f>
        <v>QoH</v>
      </c>
      <c r="E160" s="24" t="str">
        <f ca="1">VLOOKUP($A160,OFFSET([2]characters!$A$1,0,0,COUNTA([2]characters!$A:$A),MATCH(E$1,[2]characters!$1:$1,0)-MATCH($A$1,[2]characters!$1:$1,0)+1),MATCH(E$1,[2]characters!$1:$1,0)-MATCH($A$1,[2]characters!$1:$1,0)+1,FALSE)</f>
        <v>格好いい</v>
      </c>
      <c r="F160" s="24" t="str">
        <f ca="1">VLOOKUP($A160,OFFSET([2]characters!$A$1,0,0,COUNTA([2]characters!$A:$A),MATCH(F$1,[2]characters!$1:$1,0)-MATCH($A$1,[2]characters!$1:$1,0)+1),MATCH(F$1,[2]characters!$1:$1,0)-MATCH($A$1,[2]characters!$1:$1,0)+1,FALSE)</f>
        <v>不明</v>
      </c>
      <c r="G160" s="24">
        <f ca="1">VLOOKUP($A160,OFFSET([2]characters!$A$1,0,0,COUNTA([2]characters!$A:$A),MATCH(G$1,[2]characters!$1:$1,0)-MATCH($A$1,[2]characters!$1:$1,0)+1),MATCH(G$1,[2]characters!$1:$1,0)-MATCH($A$1,[2]characters!$1:$1,0)+1,FALSE)</f>
        <v>3</v>
      </c>
      <c r="H160" s="24" t="str">
        <f ca="1">VLOOKUP($A160,OFFSET([2]characters!$A$1,0,0,COUNTA([2]characters!$A:$A),MATCH(H$1,[2]characters!$1:$1,0)-MATCH($A$1,[2]characters!$1:$1,0)+1),MATCH(H$1,[2]characters!$1:$1,0)-MATCH($A$1,[2]characters!$1:$1,0)+1,FALSE)</f>
        <v>Drop2W</v>
      </c>
      <c r="I160" s="24" t="str">
        <f ca="1">VLOOKUP($A160,OFFSET([2]characters!$A$1,0,0,COUNTA([2]characters!$A:$A),MATCH(I$1,[2]characters!$1:$1,0)-MATCH($A$1,[2]characters!$1:$1,0)+1),MATCH(I$1,[2]characters!$1:$1,0)-MATCH($A$1,[2]characters!$1:$1,0)+1,FALSE)</f>
        <v>yellow</v>
      </c>
      <c r="J160" s="24" t="str">
        <f ca="1">VLOOKUP($A160,OFFSET([2]characters!$A$1,0,0,COUNTA([2]characters!$A:$A),MATCH(J$1,[2]characters!$1:$1,0)-MATCH($A$1,[2]characters!$1:$1,0)+1),MATCH(J$1,[2]characters!$1:$1,0)-MATCH($A$1,[2]characters!$1:$1,0)+1,FALSE)</f>
        <v>machine</v>
      </c>
      <c r="K160" s="3" t="str">
        <f ca="1">VLOOKUP(J160,[2]character_tribe_i18n!$A:$H,3,FALSE)</f>
        <v>マシン</v>
      </c>
      <c r="L160" s="5" t="e">
        <f>VLOOKUP(#REF!,[2]character_tribe_i18n!$A:$H,4,FALSE)</f>
        <v>#REF!</v>
      </c>
      <c r="M160" s="5" t="e">
        <f>VLOOKUP(#REF!,[2]character_tribe_i18n!$A:$H,5,FALSE)</f>
        <v>#REF!</v>
      </c>
      <c r="N160" s="5" t="e">
        <f>VLOOKUP(#REF!,[2]character_tribe_i18n!$A:$H,6,FALSE)</f>
        <v>#REF!</v>
      </c>
      <c r="O160" s="5" t="e">
        <f>VLOOKUP(#REF!,[2]character_tribe_i18n!$A:$H,7,FALSE)</f>
        <v>#REF!</v>
      </c>
      <c r="P160" s="83" t="s">
        <v>170</v>
      </c>
      <c r="Q160" s="4">
        <v>285</v>
      </c>
      <c r="R160" s="25" t="str">
        <f ca="1">IF(Q160="NULL","",VLOOKUP($Q160,OFFSET([2]characters!$A$1,0,0,COUNTA([2]characters!$A:$A),MATCH(R$1,[2]characters!$1:$1,0)-MATCH($A$1,[2]characters!$1:$1,0)+1),MATCH(R$1,[2]characters!$1:$1,0)-MATCH($A$1,[2]characters!$1:$1,0)+1,FALSE))</f>
        <v>フェルニゲシュ・オーバードライヴ</v>
      </c>
      <c r="S160" s="3">
        <f t="shared" ca="1" si="2"/>
        <v>284</v>
      </c>
      <c r="T160" s="25" t="str">
        <f ca="1">VLOOKUP($S160,OFFSET([2]characters!$A$1,0,0,COUNTA([2]characters!$A:$A),MATCH(T$1,[2]characters!$1:$1,0)-MATCH($A$1,[2]characters!$1:$1,0)+1),MATCH(T$1,[2]characters!$1:$1,0)-MATCH($A$1,[2]characters!$1:$1,0)+1,FALSE)</f>
        <v>フェルニゲシュ</v>
      </c>
      <c r="U160" s="5">
        <f ca="1">IF(Q160="NULL","NULL",VLOOKUP(G160,ビット!$A$2:$B$7,2))</f>
        <v>20000</v>
      </c>
    </row>
    <row r="161" spans="1:21" ht="21" customHeight="1" x14ac:dyDescent="0.15">
      <c r="A161" s="83">
        <v>285</v>
      </c>
      <c r="B161" s="24" t="str">
        <f ca="1">VLOOKUP($A161,OFFSET([2]characters!$A$1,0,0,COUNTA([2]characters!$A:$A),MATCH(B$1,[2]characters!$1:$1,0)-MATCH($A$1,[2]characters!$1:$1,0)+1),MATCH(B$1,[2]characters!$1:$1,0)-MATCH($A$1,[2]characters!$1:$1,0)+1,FALSE)</f>
        <v>フェルニゲシュ・オーバードライヴ</v>
      </c>
      <c r="C161" s="24" t="str">
        <f ca="1">VLOOKUP($A161,OFFSET([2]characters!$A$1,0,0,COUNTA([2]characters!$A:$A),MATCH(C$1,[2]characters!$1:$1,0)-MATCH($A$1,[2]characters!$1:$1,0)+1),MATCH(C$1,[2]characters!$1:$1,0)-MATCH($A$1,[2]characters!$1:$1,0)+1,FALSE)</f>
        <v>イベント:機械龍01</v>
      </c>
      <c r="D161" s="24" t="str">
        <f ca="1">VLOOKUP($A161,OFFSET([2]characters!$A$1,0,0,COUNTA([2]characters!$A:$A),MATCH(D$1,[2]characters!$1:$1,0)-MATCH($A$1,[2]characters!$1:$1,0)+1),MATCH(D$1,[2]characters!$1:$1,0)-MATCH($A$1,[2]characters!$1:$1,0)+1,FALSE)</f>
        <v>QoH</v>
      </c>
      <c r="E161" s="24" t="str">
        <f ca="1">VLOOKUP($A161,OFFSET([2]characters!$A$1,0,0,COUNTA([2]characters!$A:$A),MATCH(E$1,[2]characters!$1:$1,0)-MATCH($A$1,[2]characters!$1:$1,0)+1),MATCH(E$1,[2]characters!$1:$1,0)-MATCH($A$1,[2]characters!$1:$1,0)+1,FALSE)</f>
        <v>格好いい</v>
      </c>
      <c r="F161" s="24" t="str">
        <f ca="1">VLOOKUP($A161,OFFSET([2]characters!$A$1,0,0,COUNTA([2]characters!$A:$A),MATCH(F$1,[2]characters!$1:$1,0)-MATCH($A$1,[2]characters!$1:$1,0)+1),MATCH(F$1,[2]characters!$1:$1,0)-MATCH($A$1,[2]characters!$1:$1,0)+1,FALSE)</f>
        <v>不明</v>
      </c>
      <c r="G161" s="24">
        <f ca="1">VLOOKUP($A161,OFFSET([2]characters!$A$1,0,0,COUNTA([2]characters!$A:$A),MATCH(G$1,[2]characters!$1:$1,0)-MATCH($A$1,[2]characters!$1:$1,0)+1),MATCH(G$1,[2]characters!$1:$1,0)-MATCH($A$1,[2]characters!$1:$1,0)+1,FALSE)</f>
        <v>4</v>
      </c>
      <c r="H161" s="24" t="str">
        <f ca="1">VLOOKUP($A161,OFFSET([2]characters!$A$1,0,0,COUNTA([2]characters!$A:$A),MATCH(H$1,[2]characters!$1:$1,0)-MATCH($A$1,[2]characters!$1:$1,0)+1),MATCH(H$1,[2]characters!$1:$1,0)-MATCH($A$1,[2]characters!$1:$1,0)+1,FALSE)</f>
        <v>DropWizW</v>
      </c>
      <c r="I161" s="24" t="str">
        <f ca="1">VLOOKUP($A161,OFFSET([2]characters!$A$1,0,0,COUNTA([2]characters!$A:$A),MATCH(I$1,[2]characters!$1:$1,0)-MATCH($A$1,[2]characters!$1:$1,0)+1),MATCH(I$1,[2]characters!$1:$1,0)-MATCH($A$1,[2]characters!$1:$1,0)+1,FALSE)</f>
        <v>yellow</v>
      </c>
      <c r="J161" s="24" t="str">
        <f ca="1">VLOOKUP($A161,OFFSET([2]characters!$A$1,0,0,COUNTA([2]characters!$A:$A),MATCH(J$1,[2]characters!$1:$1,0)-MATCH($A$1,[2]characters!$1:$1,0)+1),MATCH(J$1,[2]characters!$1:$1,0)-MATCH($A$1,[2]characters!$1:$1,0)+1,FALSE)</f>
        <v>machine</v>
      </c>
      <c r="K161" s="3" t="str">
        <f ca="1">VLOOKUP(J161,[2]character_tribe_i18n!$A:$H,3,FALSE)</f>
        <v>マシン</v>
      </c>
      <c r="L161" s="5" t="e">
        <f>VLOOKUP(#REF!,[2]character_tribe_i18n!$A:$H,4,FALSE)</f>
        <v>#REF!</v>
      </c>
      <c r="M161" s="5" t="e">
        <f>VLOOKUP(#REF!,[2]character_tribe_i18n!$A:$H,5,FALSE)</f>
        <v>#REF!</v>
      </c>
      <c r="N161" s="5" t="e">
        <f>VLOOKUP(#REF!,[2]character_tribe_i18n!$A:$H,6,FALSE)</f>
        <v>#REF!</v>
      </c>
      <c r="O161" s="5" t="e">
        <f>VLOOKUP(#REF!,[2]character_tribe_i18n!$A:$H,7,FALSE)</f>
        <v>#REF!</v>
      </c>
      <c r="P161" s="83" t="s">
        <v>170</v>
      </c>
      <c r="Q161" s="4">
        <v>618</v>
      </c>
      <c r="R161" s="25" t="str">
        <f ca="1">IF(Q161="NULL","",VLOOKUP($Q161,OFFSET([2]characters!$A$1,0,0,COUNTA([2]characters!$A:$A),MATCH(R$1,[2]characters!$1:$1,0)-MATCH($A$1,[2]characters!$1:$1,0)+1),MATCH(R$1,[2]characters!$1:$1,0)-MATCH($A$1,[2]characters!$1:$1,0)+1,FALSE))</f>
        <v>フェルニゲシュ・オメガドライブ</v>
      </c>
      <c r="S161" s="3">
        <f t="shared" ca="1" si="2"/>
        <v>284</v>
      </c>
      <c r="T161" s="25" t="str">
        <f ca="1">VLOOKUP($S161,OFFSET([2]characters!$A$1,0,0,COUNTA([2]characters!$A:$A),MATCH(T$1,[2]characters!$1:$1,0)-MATCH($A$1,[2]characters!$1:$1,0)+1),MATCH(T$1,[2]characters!$1:$1,0)-MATCH($A$1,[2]characters!$1:$1,0)+1,FALSE)</f>
        <v>フェルニゲシュ</v>
      </c>
      <c r="U161" s="5">
        <f ca="1">IF(Q161="NULL","NULL",VLOOKUP(G161,ビット!$A$2:$B$7,2))</f>
        <v>50000</v>
      </c>
    </row>
    <row r="162" spans="1:21" ht="21" customHeight="1" x14ac:dyDescent="0.15">
      <c r="A162" s="83">
        <v>286</v>
      </c>
      <c r="B162" s="24" t="str">
        <f ca="1">VLOOKUP($A162,OFFSET([2]characters!$A$1,0,0,COUNTA([2]characters!$A:$A),MATCH(B$1,[2]characters!$1:$1,0)-MATCH($A$1,[2]characters!$1:$1,0)+1),MATCH(B$1,[2]characters!$1:$1,0)-MATCH($A$1,[2]characters!$1:$1,0)+1,FALSE)</f>
        <v>ヒュドラ</v>
      </c>
      <c r="C162" s="24" t="str">
        <f ca="1">VLOOKUP($A162,OFFSET([2]characters!$A$1,0,0,COUNTA([2]characters!$A:$A),MATCH(C$1,[2]characters!$1:$1,0)-MATCH($A$1,[2]characters!$1:$1,0)+1),MATCH(C$1,[2]characters!$1:$1,0)-MATCH($A$1,[2]characters!$1:$1,0)+1,FALSE)</f>
        <v>イベント:機械龍01</v>
      </c>
      <c r="D162" s="24" t="str">
        <f ca="1">VLOOKUP($A162,OFFSET([2]characters!$A$1,0,0,COUNTA([2]characters!$A:$A),MATCH(D$1,[2]characters!$1:$1,0)-MATCH($A$1,[2]characters!$1:$1,0)+1),MATCH(D$1,[2]characters!$1:$1,0)-MATCH($A$1,[2]characters!$1:$1,0)+1,FALSE)</f>
        <v>QoH</v>
      </c>
      <c r="E162" s="24" t="str">
        <f ca="1">VLOOKUP($A162,OFFSET([2]characters!$A$1,0,0,COUNTA([2]characters!$A:$A),MATCH(E$1,[2]characters!$1:$1,0)-MATCH($A$1,[2]characters!$1:$1,0)+1),MATCH(E$1,[2]characters!$1:$1,0)-MATCH($A$1,[2]characters!$1:$1,0)+1,FALSE)</f>
        <v>格好いい</v>
      </c>
      <c r="F162" s="24" t="str">
        <f ca="1">VLOOKUP($A162,OFFSET([2]characters!$A$1,0,0,COUNTA([2]characters!$A:$A),MATCH(F$1,[2]characters!$1:$1,0)-MATCH($A$1,[2]characters!$1:$1,0)+1),MATCH(F$1,[2]characters!$1:$1,0)-MATCH($A$1,[2]characters!$1:$1,0)+1,FALSE)</f>
        <v>不明</v>
      </c>
      <c r="G162" s="24">
        <f ca="1">VLOOKUP($A162,OFFSET([2]characters!$A$1,0,0,COUNTA([2]characters!$A:$A),MATCH(G$1,[2]characters!$1:$1,0)-MATCH($A$1,[2]characters!$1:$1,0)+1),MATCH(G$1,[2]characters!$1:$1,0)-MATCH($A$1,[2]characters!$1:$1,0)+1,FALSE)</f>
        <v>3</v>
      </c>
      <c r="H162" s="24" t="str">
        <f ca="1">VLOOKUP($A162,OFFSET([2]characters!$A$1,0,0,COUNTA([2]characters!$A:$A),MATCH(H$1,[2]characters!$1:$1,0)-MATCH($A$1,[2]characters!$1:$1,0)+1),MATCH(H$1,[2]characters!$1:$1,0)-MATCH($A$1,[2]characters!$1:$1,0)+1,FALSE)</f>
        <v>Drop2W</v>
      </c>
      <c r="I162" s="24" t="str">
        <f ca="1">VLOOKUP($A162,OFFSET([2]characters!$A$1,0,0,COUNTA([2]characters!$A:$A),MATCH(I$1,[2]characters!$1:$1,0)-MATCH($A$1,[2]characters!$1:$1,0)+1),MATCH(I$1,[2]characters!$1:$1,0)-MATCH($A$1,[2]characters!$1:$1,0)+1,FALSE)</f>
        <v>red</v>
      </c>
      <c r="J162" s="24" t="str">
        <f ca="1">VLOOKUP($A162,OFFSET([2]characters!$A$1,0,0,COUNTA([2]characters!$A:$A),MATCH(J$1,[2]characters!$1:$1,0)-MATCH($A$1,[2]characters!$1:$1,0)+1),MATCH(J$1,[2]characters!$1:$1,0)-MATCH($A$1,[2]characters!$1:$1,0)+1,FALSE)</f>
        <v>machine</v>
      </c>
      <c r="K162" s="3" t="str">
        <f ca="1">VLOOKUP(J162,[2]character_tribe_i18n!$A:$H,3,FALSE)</f>
        <v>マシン</v>
      </c>
      <c r="L162" s="5" t="e">
        <f>VLOOKUP(#REF!,[2]character_tribe_i18n!$A:$H,4,FALSE)</f>
        <v>#REF!</v>
      </c>
      <c r="M162" s="5" t="e">
        <f>VLOOKUP(#REF!,[2]character_tribe_i18n!$A:$H,5,FALSE)</f>
        <v>#REF!</v>
      </c>
      <c r="N162" s="5" t="e">
        <f>VLOOKUP(#REF!,[2]character_tribe_i18n!$A:$H,6,FALSE)</f>
        <v>#REF!</v>
      </c>
      <c r="O162" s="5" t="e">
        <f>VLOOKUP(#REF!,[2]character_tribe_i18n!$A:$H,7,FALSE)</f>
        <v>#REF!</v>
      </c>
      <c r="P162" s="83" t="s">
        <v>170</v>
      </c>
      <c r="Q162" s="4">
        <v>287</v>
      </c>
      <c r="R162" s="25" t="str">
        <f ca="1">IF(Q162="NULL","",VLOOKUP($Q162,OFFSET([2]characters!$A$1,0,0,COUNTA([2]characters!$A:$A),MATCH(R$1,[2]characters!$1:$1,0)-MATCH($A$1,[2]characters!$1:$1,0)+1),MATCH(R$1,[2]characters!$1:$1,0)-MATCH($A$1,[2]characters!$1:$1,0)+1,FALSE))</f>
        <v>ヒュドラ・フルオープン</v>
      </c>
      <c r="S162" s="3">
        <f t="shared" ca="1" si="2"/>
        <v>286</v>
      </c>
      <c r="T162" s="25" t="str">
        <f ca="1">VLOOKUP($S162,OFFSET([2]characters!$A$1,0,0,COUNTA([2]characters!$A:$A),MATCH(T$1,[2]characters!$1:$1,0)-MATCH($A$1,[2]characters!$1:$1,0)+1),MATCH(T$1,[2]characters!$1:$1,0)-MATCH($A$1,[2]characters!$1:$1,0)+1,FALSE)</f>
        <v>ヒュドラ</v>
      </c>
      <c r="U162" s="5">
        <f ca="1">IF(Q162="NULL","NULL",VLOOKUP(G162,ビット!$A$2:$B$7,2))</f>
        <v>20000</v>
      </c>
    </row>
    <row r="163" spans="1:21" ht="21" customHeight="1" x14ac:dyDescent="0.15">
      <c r="A163" s="83">
        <v>287</v>
      </c>
      <c r="B163" s="24" t="str">
        <f ca="1">VLOOKUP($A163,OFFSET([2]characters!$A$1,0,0,COUNTA([2]characters!$A:$A),MATCH(B$1,[2]characters!$1:$1,0)-MATCH($A$1,[2]characters!$1:$1,0)+1),MATCH(B$1,[2]characters!$1:$1,0)-MATCH($A$1,[2]characters!$1:$1,0)+1,FALSE)</f>
        <v>ヒュドラ・フルオープン</v>
      </c>
      <c r="C163" s="24" t="str">
        <f ca="1">VLOOKUP($A163,OFFSET([2]characters!$A$1,0,0,COUNTA([2]characters!$A:$A),MATCH(C$1,[2]characters!$1:$1,0)-MATCH($A$1,[2]characters!$1:$1,0)+1),MATCH(C$1,[2]characters!$1:$1,0)-MATCH($A$1,[2]characters!$1:$1,0)+1,FALSE)</f>
        <v>イベント:機械龍01</v>
      </c>
      <c r="D163" s="24" t="str">
        <f ca="1">VLOOKUP($A163,OFFSET([2]characters!$A$1,0,0,COUNTA([2]characters!$A:$A),MATCH(D$1,[2]characters!$1:$1,0)-MATCH($A$1,[2]characters!$1:$1,0)+1),MATCH(D$1,[2]characters!$1:$1,0)-MATCH($A$1,[2]characters!$1:$1,0)+1,FALSE)</f>
        <v>QoH</v>
      </c>
      <c r="E163" s="24" t="str">
        <f ca="1">VLOOKUP($A163,OFFSET([2]characters!$A$1,0,0,COUNTA([2]characters!$A:$A),MATCH(E$1,[2]characters!$1:$1,0)-MATCH($A$1,[2]characters!$1:$1,0)+1),MATCH(E$1,[2]characters!$1:$1,0)-MATCH($A$1,[2]characters!$1:$1,0)+1,FALSE)</f>
        <v>格好いい</v>
      </c>
      <c r="F163" s="24" t="str">
        <f ca="1">VLOOKUP($A163,OFFSET([2]characters!$A$1,0,0,COUNTA([2]characters!$A:$A),MATCH(F$1,[2]characters!$1:$1,0)-MATCH($A$1,[2]characters!$1:$1,0)+1),MATCH(F$1,[2]characters!$1:$1,0)-MATCH($A$1,[2]characters!$1:$1,0)+1,FALSE)</f>
        <v>不明</v>
      </c>
      <c r="G163" s="24">
        <f ca="1">VLOOKUP($A163,OFFSET([2]characters!$A$1,0,0,COUNTA([2]characters!$A:$A),MATCH(G$1,[2]characters!$1:$1,0)-MATCH($A$1,[2]characters!$1:$1,0)+1),MATCH(G$1,[2]characters!$1:$1,0)-MATCH($A$1,[2]characters!$1:$1,0)+1,FALSE)</f>
        <v>4</v>
      </c>
      <c r="H163" s="24" t="str">
        <f ca="1">VLOOKUP($A163,OFFSET([2]characters!$A$1,0,0,COUNTA([2]characters!$A:$A),MATCH(H$1,[2]characters!$1:$1,0)-MATCH($A$1,[2]characters!$1:$1,0)+1),MATCH(H$1,[2]characters!$1:$1,0)-MATCH($A$1,[2]characters!$1:$1,0)+1,FALSE)</f>
        <v>DropWizW</v>
      </c>
      <c r="I163" s="24" t="str">
        <f ca="1">VLOOKUP($A163,OFFSET([2]characters!$A$1,0,0,COUNTA([2]characters!$A:$A),MATCH(I$1,[2]characters!$1:$1,0)-MATCH($A$1,[2]characters!$1:$1,0)+1),MATCH(I$1,[2]characters!$1:$1,0)-MATCH($A$1,[2]characters!$1:$1,0)+1,FALSE)</f>
        <v>red</v>
      </c>
      <c r="J163" s="24" t="str">
        <f ca="1">VLOOKUP($A163,OFFSET([2]characters!$A$1,0,0,COUNTA([2]characters!$A:$A),MATCH(J$1,[2]characters!$1:$1,0)-MATCH($A$1,[2]characters!$1:$1,0)+1),MATCH(J$1,[2]characters!$1:$1,0)-MATCH($A$1,[2]characters!$1:$1,0)+1,FALSE)</f>
        <v>machine</v>
      </c>
      <c r="K163" s="3" t="str">
        <f ca="1">VLOOKUP(J163,[2]character_tribe_i18n!$A:$H,3,FALSE)</f>
        <v>マシン</v>
      </c>
      <c r="L163" s="5" t="e">
        <f>VLOOKUP(#REF!,[2]character_tribe_i18n!$A:$H,4,FALSE)</f>
        <v>#REF!</v>
      </c>
      <c r="M163" s="5" t="e">
        <f>VLOOKUP(#REF!,[2]character_tribe_i18n!$A:$H,5,FALSE)</f>
        <v>#REF!</v>
      </c>
      <c r="N163" s="5" t="e">
        <f>VLOOKUP(#REF!,[2]character_tribe_i18n!$A:$H,6,FALSE)</f>
        <v>#REF!</v>
      </c>
      <c r="O163" s="5" t="e">
        <f>VLOOKUP(#REF!,[2]character_tribe_i18n!$A:$H,7,FALSE)</f>
        <v>#REF!</v>
      </c>
      <c r="P163" s="83" t="s">
        <v>170</v>
      </c>
      <c r="Q163" s="4">
        <v>615</v>
      </c>
      <c r="R163" s="25" t="str">
        <f ca="1">IF(Q163="NULL","",VLOOKUP($Q163,OFFSET([2]characters!$A$1,0,0,COUNTA([2]characters!$A:$A),MATCH(R$1,[2]characters!$1:$1,0)-MATCH($A$1,[2]characters!$1:$1,0)+1),MATCH(R$1,[2]characters!$1:$1,0)-MATCH($A$1,[2]characters!$1:$1,0)+1,FALSE))</f>
        <v>ヒュドラ・コスモブラスト</v>
      </c>
      <c r="S163" s="3">
        <f t="shared" ca="1" si="2"/>
        <v>286</v>
      </c>
      <c r="T163" s="25" t="str">
        <f ca="1">VLOOKUP($S163,OFFSET([2]characters!$A$1,0,0,COUNTA([2]characters!$A:$A),MATCH(T$1,[2]characters!$1:$1,0)-MATCH($A$1,[2]characters!$1:$1,0)+1),MATCH(T$1,[2]characters!$1:$1,0)-MATCH($A$1,[2]characters!$1:$1,0)+1,FALSE)</f>
        <v>ヒュドラ</v>
      </c>
      <c r="U163" s="5">
        <f ca="1">IF(Q163="NULL","NULL",VLOOKUP(G163,ビット!$A$2:$B$7,2))</f>
        <v>50000</v>
      </c>
    </row>
    <row r="164" spans="1:21" ht="21" customHeight="1" x14ac:dyDescent="0.15">
      <c r="A164" s="83">
        <v>288</v>
      </c>
      <c r="B164" s="24" t="str">
        <f ca="1">VLOOKUP($A164,OFFSET([2]characters!$A$1,0,0,COUNTA([2]characters!$A:$A),MATCH(B$1,[2]characters!$1:$1,0)-MATCH($A$1,[2]characters!$1:$1,0)+1),MATCH(B$1,[2]characters!$1:$1,0)-MATCH($A$1,[2]characters!$1:$1,0)+1,FALSE)</f>
        <v>ミカド</v>
      </c>
      <c r="C164" s="24" t="str">
        <f ca="1">VLOOKUP($A164,OFFSET([2]characters!$A$1,0,0,COUNTA([2]characters!$A:$A),MATCH(C$1,[2]characters!$1:$1,0)-MATCH($A$1,[2]characters!$1:$1,0)+1),MATCH(C$1,[2]characters!$1:$1,0)-MATCH($A$1,[2]characters!$1:$1,0)+1,FALSE)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164" s="24" t="str">
        <f ca="1">VLOOKUP($A164,OFFSET([2]characters!$A$1,0,0,COUNTA([2]characters!$A:$A),MATCH(D$1,[2]characters!$1:$1,0)-MATCH($A$1,[2]characters!$1:$1,0)+1),MATCH(D$1,[2]characters!$1:$1,0)-MATCH($A$1,[2]characters!$1:$1,0)+1,FALSE)</f>
        <v>アバター</v>
      </c>
      <c r="E164" s="24" t="str">
        <f ca="1">VLOOKUP($A164,OFFSET([2]characters!$A$1,0,0,COUNTA([2]characters!$A:$A),MATCH(E$1,[2]characters!$1:$1,0)-MATCH($A$1,[2]characters!$1:$1,0)+1),MATCH(E$1,[2]characters!$1:$1,0)-MATCH($A$1,[2]characters!$1:$1,0)+1,FALSE)</f>
        <v>格好いい</v>
      </c>
      <c r="F164" s="24" t="str">
        <f ca="1">VLOOKUP($A164,OFFSET([2]characters!$A$1,0,0,COUNTA([2]characters!$A:$A),MATCH(F$1,[2]characters!$1:$1,0)-MATCH($A$1,[2]characters!$1:$1,0)+1),MATCH(F$1,[2]characters!$1:$1,0)-MATCH($A$1,[2]characters!$1:$1,0)+1,FALSE)</f>
        <v>男性</v>
      </c>
      <c r="G164" s="24">
        <f ca="1">VLOOKUP($A164,OFFSET([2]characters!$A$1,0,0,COUNTA([2]characters!$A:$A),MATCH(G$1,[2]characters!$1:$1,0)-MATCH($A$1,[2]characters!$1:$1,0)+1),MATCH(G$1,[2]characters!$1:$1,0)-MATCH($A$1,[2]characters!$1:$1,0)+1,FALSE)</f>
        <v>4</v>
      </c>
      <c r="H164" s="24" t="str">
        <f ca="1">VLOOKUP($A164,OFFSET([2]characters!$A$1,0,0,COUNTA([2]characters!$A:$A),MATCH(H$1,[2]characters!$1:$1,0)-MATCH($A$1,[2]characters!$1:$1,0)+1),MATCH(H$1,[2]characters!$1:$1,0)-MATCH($A$1,[2]characters!$1:$1,0)+1,FALSE)</f>
        <v>Drop2N</v>
      </c>
      <c r="I164" s="24" t="str">
        <f ca="1">VLOOKUP($A164,OFFSET([2]characters!$A$1,0,0,COUNTA([2]characters!$A:$A),MATCH(I$1,[2]characters!$1:$1,0)-MATCH($A$1,[2]characters!$1:$1,0)+1),MATCH(I$1,[2]characters!$1:$1,0)-MATCH($A$1,[2]characters!$1:$1,0)+1,FALSE)</f>
        <v>yellow</v>
      </c>
      <c r="J164" s="24" t="str">
        <f ca="1">VLOOKUP($A164,OFFSET([2]characters!$A$1,0,0,COUNTA([2]characters!$A:$A),MATCH(J$1,[2]characters!$1:$1,0)-MATCH($A$1,[2]characters!$1:$1,0)+1),MATCH(J$1,[2]characters!$1:$1,0)-MATCH($A$1,[2]characters!$1:$1,0)+1,FALSE)</f>
        <v>none</v>
      </c>
      <c r="K164" s="3" t="str">
        <f ca="1">VLOOKUP(J164,[2]character_tribe_i18n!$A:$H,3,FALSE)</f>
        <v>種族なし</v>
      </c>
      <c r="L164" s="5" t="e">
        <f>VLOOKUP(#REF!,[2]character_tribe_i18n!$A:$H,4,FALSE)</f>
        <v>#REF!</v>
      </c>
      <c r="M164" s="5" t="e">
        <f>VLOOKUP(#REF!,[2]character_tribe_i18n!$A:$H,5,FALSE)</f>
        <v>#REF!</v>
      </c>
      <c r="N164" s="5" t="e">
        <f>VLOOKUP(#REF!,[2]character_tribe_i18n!$A:$H,6,FALSE)</f>
        <v>#REF!</v>
      </c>
      <c r="O164" s="5" t="e">
        <f>VLOOKUP(#REF!,[2]character_tribe_i18n!$A:$H,7,FALSE)</f>
        <v>#REF!</v>
      </c>
      <c r="P164" s="83" t="s">
        <v>170</v>
      </c>
      <c r="Q164" s="4">
        <v>289</v>
      </c>
      <c r="R164" s="25" t="str">
        <f ca="1">IF(Q164="NULL","",VLOOKUP($Q164,OFFSET([2]characters!$A$1,0,0,COUNTA([2]characters!$A:$A),MATCH(R$1,[2]characters!$1:$1,0)-MATCH($A$1,[2]characters!$1:$1,0)+1),MATCH(R$1,[2]characters!$1:$1,0)-MATCH($A$1,[2]characters!$1:$1,0)+1,FALSE))</f>
        <v>高圧なるミカド</v>
      </c>
      <c r="S164" s="3">
        <f t="shared" ca="1" si="2"/>
        <v>288</v>
      </c>
      <c r="T164" s="25" t="str">
        <f ca="1">VLOOKUP($S164,OFFSET([2]characters!$A$1,0,0,COUNTA([2]characters!$A:$A),MATCH(T$1,[2]characters!$1:$1,0)-MATCH($A$1,[2]characters!$1:$1,0)+1),MATCH(T$1,[2]characters!$1:$1,0)-MATCH($A$1,[2]characters!$1:$1,0)+1,FALSE)</f>
        <v>ミカド</v>
      </c>
      <c r="U164" s="5">
        <f ca="1">IF(Q164="NULL","NULL",VLOOKUP(G164,ビット!$A$2:$B$7,2))</f>
        <v>50000</v>
      </c>
    </row>
    <row r="165" spans="1:21" ht="21" customHeight="1" x14ac:dyDescent="0.15">
      <c r="A165" s="83">
        <v>290</v>
      </c>
      <c r="B165" s="24" t="str">
        <f ca="1">VLOOKUP($A165,OFFSET([2]characters!$A$1,0,0,COUNTA([2]characters!$A:$A),MATCH(B$1,[2]characters!$1:$1,0)-MATCH($A$1,[2]characters!$1:$1,0)+1),MATCH(B$1,[2]characters!$1:$1,0)-MATCH($A$1,[2]characters!$1:$1,0)+1,FALSE)</f>
        <v>ウィッチ・オクトパス</v>
      </c>
      <c r="C165" s="24" t="str">
        <f ca="1">VLOOKUP($A165,OFFSET([2]characters!$A$1,0,0,COUNTA([2]characters!$A:$A),MATCH(C$1,[2]characters!$1:$1,0)-MATCH($A$1,[2]characters!$1:$1,0)+1),MATCH(C$1,[2]characters!$1:$1,0)-MATCH($A$1,[2]characters!$1:$1,0)+1,FALSE)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165" s="24" t="str">
        <f ca="1">VLOOKUP($A165,OFFSET([2]characters!$A$1,0,0,COUNTA([2]characters!$A:$A),MATCH(D$1,[2]characters!$1:$1,0)-MATCH($A$1,[2]characters!$1:$1,0)+1),MATCH(D$1,[2]characters!$1:$1,0)-MATCH($A$1,[2]characters!$1:$1,0)+1,FALSE)</f>
        <v>アバター</v>
      </c>
      <c r="E165" s="24" t="str">
        <f ca="1">VLOOKUP($A165,OFFSET([2]characters!$A$1,0,0,COUNTA([2]characters!$A:$A),MATCH(E$1,[2]characters!$1:$1,0)-MATCH($A$1,[2]characters!$1:$1,0)+1),MATCH(E$1,[2]characters!$1:$1,0)-MATCH($A$1,[2]characters!$1:$1,0)+1,FALSE)</f>
        <v>可愛い</v>
      </c>
      <c r="F165" s="24" t="str">
        <f ca="1">VLOOKUP($A165,OFFSET([2]characters!$A$1,0,0,COUNTA([2]characters!$A:$A),MATCH(F$1,[2]characters!$1:$1,0)-MATCH($A$1,[2]characters!$1:$1,0)+1),MATCH(F$1,[2]characters!$1:$1,0)-MATCH($A$1,[2]characters!$1:$1,0)+1,FALSE)</f>
        <v>女性</v>
      </c>
      <c r="G165" s="24">
        <f ca="1">VLOOKUP($A165,OFFSET([2]characters!$A$1,0,0,COUNTA([2]characters!$A:$A),MATCH(G$1,[2]characters!$1:$1,0)-MATCH($A$1,[2]characters!$1:$1,0)+1),MATCH(G$1,[2]characters!$1:$1,0)-MATCH($A$1,[2]characters!$1:$1,0)+1,FALSE)</f>
        <v>4</v>
      </c>
      <c r="H165" s="24" t="str">
        <f ca="1">VLOOKUP($A165,OFFSET([2]characters!$A$1,0,0,COUNTA([2]characters!$A:$A),MATCH(H$1,[2]characters!$1:$1,0)-MATCH($A$1,[2]characters!$1:$1,0)+1),MATCH(H$1,[2]characters!$1:$1,0)-MATCH($A$1,[2]characters!$1:$1,0)+1,FALSE)</f>
        <v>Drop2N</v>
      </c>
      <c r="I165" s="24" t="str">
        <f ca="1">VLOOKUP($A165,OFFSET([2]characters!$A$1,0,0,COUNTA([2]characters!$A:$A),MATCH(I$1,[2]characters!$1:$1,0)-MATCH($A$1,[2]characters!$1:$1,0)+1),MATCH(I$1,[2]characters!$1:$1,0)-MATCH($A$1,[2]characters!$1:$1,0)+1,FALSE)</f>
        <v>red</v>
      </c>
      <c r="J165" s="24" t="str">
        <f ca="1">VLOOKUP($A165,OFFSET([2]characters!$A$1,0,0,COUNTA([2]characters!$A:$A),MATCH(J$1,[2]characters!$1:$1,0)-MATCH($A$1,[2]characters!$1:$1,0)+1),MATCH(J$1,[2]characters!$1:$1,0)-MATCH($A$1,[2]characters!$1:$1,0)+1,FALSE)</f>
        <v>none</v>
      </c>
      <c r="K165" s="3" t="str">
        <f ca="1">VLOOKUP(J165,[2]character_tribe_i18n!$A:$H,3,FALSE)</f>
        <v>種族なし</v>
      </c>
      <c r="L165" s="5" t="e">
        <f>VLOOKUP(#REF!,[2]character_tribe_i18n!$A:$H,4,FALSE)</f>
        <v>#REF!</v>
      </c>
      <c r="M165" s="5" t="e">
        <f>VLOOKUP(#REF!,[2]character_tribe_i18n!$A:$H,5,FALSE)</f>
        <v>#REF!</v>
      </c>
      <c r="N165" s="5" t="e">
        <f>VLOOKUP(#REF!,[2]character_tribe_i18n!$A:$H,6,FALSE)</f>
        <v>#REF!</v>
      </c>
      <c r="O165" s="5" t="e">
        <f>VLOOKUP(#REF!,[2]character_tribe_i18n!$A:$H,7,FALSE)</f>
        <v>#REF!</v>
      </c>
      <c r="P165" s="83" t="s">
        <v>170</v>
      </c>
      <c r="Q165" s="4">
        <v>291</v>
      </c>
      <c r="R165" s="25" t="str">
        <f ca="1">IF(Q165="NULL","",VLOOKUP($Q165,OFFSET([2]characters!$A$1,0,0,COUNTA([2]characters!$A:$A),MATCH(R$1,[2]characters!$1:$1,0)-MATCH($A$1,[2]characters!$1:$1,0)+1),MATCH(R$1,[2]characters!$1:$1,0)-MATCH($A$1,[2]characters!$1:$1,0)+1,FALSE))</f>
        <v>魔改造のウィッチ・オクトパス</v>
      </c>
      <c r="S165" s="3">
        <f t="shared" ca="1" si="2"/>
        <v>290</v>
      </c>
      <c r="T165" s="25" t="str">
        <f ca="1">VLOOKUP($S165,OFFSET([2]characters!$A$1,0,0,COUNTA([2]characters!$A:$A),MATCH(T$1,[2]characters!$1:$1,0)-MATCH($A$1,[2]characters!$1:$1,0)+1),MATCH(T$1,[2]characters!$1:$1,0)-MATCH($A$1,[2]characters!$1:$1,0)+1,FALSE)</f>
        <v>ウィッチ・オクトパス</v>
      </c>
      <c r="U165" s="5">
        <f ca="1">IF(Q165="NULL","NULL",VLOOKUP(G165,ビット!$A$2:$B$7,2))</f>
        <v>50000</v>
      </c>
    </row>
    <row r="166" spans="1:21" ht="21" customHeight="1" x14ac:dyDescent="0.15">
      <c r="A166" s="83">
        <v>292</v>
      </c>
      <c r="B166" s="24" t="str">
        <f ca="1">VLOOKUP($A166,OFFSET([2]characters!$A$1,0,0,COUNTA([2]characters!$A:$A),MATCH(B$1,[2]characters!$1:$1,0)-MATCH($A$1,[2]characters!$1:$1,0)+1),MATCH(B$1,[2]characters!$1:$1,0)-MATCH($A$1,[2]characters!$1:$1,0)+1,FALSE)</f>
        <v>アナスタシア</v>
      </c>
      <c r="C166" s="24" t="str">
        <f ca="1">VLOOKUP($A166,OFFSET([2]characters!$A$1,0,0,COUNTA([2]characters!$A:$A),MATCH(C$1,[2]characters!$1:$1,0)-MATCH($A$1,[2]characters!$1:$1,0)+1),MATCH(C$1,[2]characters!$1:$1,0)-MATCH($A$1,[2]characters!$1:$1,0)+1,FALSE)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166" s="24" t="str">
        <f ca="1">VLOOKUP($A166,OFFSET([2]characters!$A$1,0,0,COUNTA([2]characters!$A:$A),MATCH(D$1,[2]characters!$1:$1,0)-MATCH($A$1,[2]characters!$1:$1,0)+1),MATCH(D$1,[2]characters!$1:$1,0)-MATCH($A$1,[2]characters!$1:$1,0)+1,FALSE)</f>
        <v>アバター</v>
      </c>
      <c r="E166" s="24" t="str">
        <f ca="1">VLOOKUP($A166,OFFSET([2]characters!$A$1,0,0,COUNTA([2]characters!$A:$A),MATCH(E$1,[2]characters!$1:$1,0)-MATCH($A$1,[2]characters!$1:$1,0)+1),MATCH(E$1,[2]characters!$1:$1,0)-MATCH($A$1,[2]characters!$1:$1,0)+1,FALSE)</f>
        <v>美しい</v>
      </c>
      <c r="F166" s="24" t="str">
        <f ca="1">VLOOKUP($A166,OFFSET([2]characters!$A$1,0,0,COUNTA([2]characters!$A:$A),MATCH(F$1,[2]characters!$1:$1,0)-MATCH($A$1,[2]characters!$1:$1,0)+1),MATCH(F$1,[2]characters!$1:$1,0)-MATCH($A$1,[2]characters!$1:$1,0)+1,FALSE)</f>
        <v>女性</v>
      </c>
      <c r="G166" s="24">
        <f ca="1">VLOOKUP($A166,OFFSET([2]characters!$A$1,0,0,COUNTA([2]characters!$A:$A),MATCH(G$1,[2]characters!$1:$1,0)-MATCH($A$1,[2]characters!$1:$1,0)+1),MATCH(G$1,[2]characters!$1:$1,0)-MATCH($A$1,[2]characters!$1:$1,0)+1,FALSE)</f>
        <v>4</v>
      </c>
      <c r="H166" s="24" t="str">
        <f ca="1">VLOOKUP($A166,OFFSET([2]characters!$A$1,0,0,COUNTA([2]characters!$A:$A),MATCH(H$1,[2]characters!$1:$1,0)-MATCH($A$1,[2]characters!$1:$1,0)+1),MATCH(H$1,[2]characters!$1:$1,0)-MATCH($A$1,[2]characters!$1:$1,0)+1,FALSE)</f>
        <v>Drop2N</v>
      </c>
      <c r="I166" s="24" t="str">
        <f ca="1">VLOOKUP($A166,OFFSET([2]characters!$A$1,0,0,COUNTA([2]characters!$A:$A),MATCH(I$1,[2]characters!$1:$1,0)-MATCH($A$1,[2]characters!$1:$1,0)+1),MATCH(I$1,[2]characters!$1:$1,0)-MATCH($A$1,[2]characters!$1:$1,0)+1,FALSE)</f>
        <v>blue</v>
      </c>
      <c r="J166" s="24" t="str">
        <f ca="1">VLOOKUP($A166,OFFSET([2]characters!$A$1,0,0,COUNTA([2]characters!$A:$A),MATCH(J$1,[2]characters!$1:$1,0)-MATCH($A$1,[2]characters!$1:$1,0)+1),MATCH(J$1,[2]characters!$1:$1,0)-MATCH($A$1,[2]characters!$1:$1,0)+1,FALSE)</f>
        <v>none</v>
      </c>
      <c r="K166" s="3" t="str">
        <f ca="1">VLOOKUP(J166,[2]character_tribe_i18n!$A:$H,3,FALSE)</f>
        <v>種族なし</v>
      </c>
      <c r="L166" s="5" t="e">
        <f>VLOOKUP(#REF!,[2]character_tribe_i18n!$A:$H,4,FALSE)</f>
        <v>#REF!</v>
      </c>
      <c r="M166" s="5" t="e">
        <f>VLOOKUP(#REF!,[2]character_tribe_i18n!$A:$H,5,FALSE)</f>
        <v>#REF!</v>
      </c>
      <c r="N166" s="5" t="e">
        <f>VLOOKUP(#REF!,[2]character_tribe_i18n!$A:$H,6,FALSE)</f>
        <v>#REF!</v>
      </c>
      <c r="O166" s="5" t="e">
        <f>VLOOKUP(#REF!,[2]character_tribe_i18n!$A:$H,7,FALSE)</f>
        <v>#REF!</v>
      </c>
      <c r="P166" s="83" t="s">
        <v>170</v>
      </c>
      <c r="Q166" s="4">
        <v>293</v>
      </c>
      <c r="R166" s="25" t="str">
        <f ca="1">IF(Q166="NULL","",VLOOKUP($Q166,OFFSET([2]characters!$A$1,0,0,COUNTA([2]characters!$A:$A),MATCH(R$1,[2]characters!$1:$1,0)-MATCH($A$1,[2]characters!$1:$1,0)+1),MATCH(R$1,[2]characters!$1:$1,0)-MATCH($A$1,[2]characters!$1:$1,0)+1,FALSE))</f>
        <v>激流拳技を極めし者 アナスタシア</v>
      </c>
      <c r="S166" s="3">
        <f t="shared" ca="1" si="2"/>
        <v>292</v>
      </c>
      <c r="T166" s="25" t="str">
        <f ca="1">VLOOKUP($S166,OFFSET([2]characters!$A$1,0,0,COUNTA([2]characters!$A:$A),MATCH(T$1,[2]characters!$1:$1,0)-MATCH($A$1,[2]characters!$1:$1,0)+1),MATCH(T$1,[2]characters!$1:$1,0)-MATCH($A$1,[2]characters!$1:$1,0)+1,FALSE)</f>
        <v>アナスタシア</v>
      </c>
      <c r="U166" s="5">
        <f ca="1">IF(Q166="NULL","NULL",VLOOKUP(G166,ビット!$A$2:$B$7,2))</f>
        <v>50000</v>
      </c>
    </row>
    <row r="167" spans="1:21" ht="21" customHeight="1" x14ac:dyDescent="0.15">
      <c r="A167" s="83">
        <v>294</v>
      </c>
      <c r="B167" s="24" t="str">
        <f ca="1">VLOOKUP($A167,OFFSET([2]characters!$A$1,0,0,COUNTA([2]characters!$A:$A),MATCH(B$1,[2]characters!$1:$1,0)-MATCH($A$1,[2]characters!$1:$1,0)+1),MATCH(B$1,[2]characters!$1:$1,0)-MATCH($A$1,[2]characters!$1:$1,0)+1,FALSE)</f>
        <v>ウルフ・ザ・レッドイーター</v>
      </c>
      <c r="C167" s="24" t="str">
        <f ca="1">VLOOKUP($A167,OFFSET([2]characters!$A$1,0,0,COUNTA([2]characters!$A:$A),MATCH(C$1,[2]characters!$1:$1,0)-MATCH($A$1,[2]characters!$1:$1,0)+1),MATCH(C$1,[2]characters!$1:$1,0)-MATCH($A$1,[2]characters!$1:$1,0)+1,FALSE)</f>
        <v>イベント:アリスの絵本01</v>
      </c>
      <c r="D167" s="24" t="str">
        <f ca="1">VLOOKUP($A167,OFFSET([2]characters!$A$1,0,0,COUNTA([2]characters!$A:$A),MATCH(D$1,[2]characters!$1:$1,0)-MATCH($A$1,[2]characters!$1:$1,0)+1),MATCH(D$1,[2]characters!$1:$1,0)-MATCH($A$1,[2]characters!$1:$1,0)+1,FALSE)</f>
        <v>アバター</v>
      </c>
      <c r="E167" s="24" t="str">
        <f ca="1">VLOOKUP($A167,OFFSET([2]characters!$A$1,0,0,COUNTA([2]characters!$A:$A),MATCH(E$1,[2]characters!$1:$1,0)-MATCH($A$1,[2]characters!$1:$1,0)+1),MATCH(E$1,[2]characters!$1:$1,0)-MATCH($A$1,[2]characters!$1:$1,0)+1,FALSE)</f>
        <v>格好いい</v>
      </c>
      <c r="F167" s="24" t="str">
        <f ca="1">VLOOKUP($A167,OFFSET([2]characters!$A$1,0,0,COUNTA([2]characters!$A:$A),MATCH(F$1,[2]characters!$1:$1,0)-MATCH($A$1,[2]characters!$1:$1,0)+1),MATCH(F$1,[2]characters!$1:$1,0)-MATCH($A$1,[2]characters!$1:$1,0)+1,FALSE)</f>
        <v>男性</v>
      </c>
      <c r="G167" s="24">
        <f ca="1">VLOOKUP($A167,OFFSET([2]characters!$A$1,0,0,COUNTA([2]characters!$A:$A),MATCH(G$1,[2]characters!$1:$1,0)-MATCH($A$1,[2]characters!$1:$1,0)+1),MATCH(G$1,[2]characters!$1:$1,0)-MATCH($A$1,[2]characters!$1:$1,0)+1,FALSE)</f>
        <v>4</v>
      </c>
      <c r="H167" s="24" t="str">
        <f ca="1">VLOOKUP($A167,OFFSET([2]characters!$A$1,0,0,COUNTA([2]characters!$A:$A),MATCH(H$1,[2]characters!$1:$1,0)-MATCH($A$1,[2]characters!$1:$1,0)+1),MATCH(H$1,[2]characters!$1:$1,0)-MATCH($A$1,[2]characters!$1:$1,0)+1,FALSE)</f>
        <v>Drop2N</v>
      </c>
      <c r="I167" s="24" t="str">
        <f ca="1">VLOOKUP($A167,OFFSET([2]characters!$A$1,0,0,COUNTA([2]characters!$A:$A),MATCH(I$1,[2]characters!$1:$1,0)-MATCH($A$1,[2]characters!$1:$1,0)+1),MATCH(I$1,[2]characters!$1:$1,0)-MATCH($A$1,[2]characters!$1:$1,0)+1,FALSE)</f>
        <v>green</v>
      </c>
      <c r="J167" s="24" t="str">
        <f ca="1">VLOOKUP($A167,OFFSET([2]characters!$A$1,0,0,COUNTA([2]characters!$A:$A),MATCH(J$1,[2]characters!$1:$1,0)-MATCH($A$1,[2]characters!$1:$1,0)+1),MATCH(J$1,[2]characters!$1:$1,0)-MATCH($A$1,[2]characters!$1:$1,0)+1,FALSE)</f>
        <v>none</v>
      </c>
      <c r="K167" s="3" t="str">
        <f ca="1">VLOOKUP(J167,[2]character_tribe_i18n!$A:$H,3,FALSE)</f>
        <v>種族なし</v>
      </c>
      <c r="L167" s="5" t="e">
        <f>VLOOKUP(#REF!,[2]character_tribe_i18n!$A:$H,4,FALSE)</f>
        <v>#REF!</v>
      </c>
      <c r="M167" s="5" t="e">
        <f>VLOOKUP(#REF!,[2]character_tribe_i18n!$A:$H,5,FALSE)</f>
        <v>#REF!</v>
      </c>
      <c r="N167" s="5" t="e">
        <f>VLOOKUP(#REF!,[2]character_tribe_i18n!$A:$H,6,FALSE)</f>
        <v>#REF!</v>
      </c>
      <c r="O167" s="5" t="e">
        <f>VLOOKUP(#REF!,[2]character_tribe_i18n!$A:$H,7,FALSE)</f>
        <v>#REF!</v>
      </c>
      <c r="P167" s="83" t="s">
        <v>170</v>
      </c>
      <c r="Q167" s="4">
        <v>295</v>
      </c>
      <c r="R167" s="25" t="str">
        <f ca="1">IF(Q167="NULL","",VLOOKUP($Q167,OFFSET([2]characters!$A$1,0,0,COUNTA([2]characters!$A:$A),MATCH(R$1,[2]characters!$1:$1,0)-MATCH($A$1,[2]characters!$1:$1,0)+1),MATCH(R$1,[2]characters!$1:$1,0)-MATCH($A$1,[2]characters!$1:$1,0)+1,FALSE))</f>
        <v>ウルフ・ザ・レッドクラッシャー</v>
      </c>
      <c r="S167" s="3">
        <f t="shared" ca="1" si="2"/>
        <v>294</v>
      </c>
      <c r="T167" s="25" t="str">
        <f ca="1">VLOOKUP($S167,OFFSET([2]characters!$A$1,0,0,COUNTA([2]characters!$A:$A),MATCH(T$1,[2]characters!$1:$1,0)-MATCH($A$1,[2]characters!$1:$1,0)+1),MATCH(T$1,[2]characters!$1:$1,0)-MATCH($A$1,[2]characters!$1:$1,0)+1,FALSE)</f>
        <v>ウルフ・ザ・レッドイーター</v>
      </c>
      <c r="U167" s="5">
        <f ca="1">IF(Q167="NULL","NULL",VLOOKUP(G167,ビット!$A$2:$B$7,2))</f>
        <v>50000</v>
      </c>
    </row>
    <row r="168" spans="1:21" ht="21" customHeight="1" x14ac:dyDescent="0.15">
      <c r="A168" s="83">
        <v>296</v>
      </c>
      <c r="B168" s="24" t="str">
        <f ca="1">VLOOKUP($A168,OFFSET([2]characters!$A$1,0,0,COUNTA([2]characters!$A:$A),MATCH(B$1,[2]characters!$1:$1,0)-MATCH($A$1,[2]characters!$1:$1,0)+1),MATCH(B$1,[2]characters!$1:$1,0)-MATCH($A$1,[2]characters!$1:$1,0)+1,FALSE)</f>
        <v>アザゼル</v>
      </c>
      <c r="C168" s="24" t="str">
        <f ca="1">VLOOKUP($A168,OFFSET([2]characters!$A$1,0,0,COUNTA([2]characters!$A:$A),MATCH(C$1,[2]characters!$1:$1,0)-MATCH($A$1,[2]characters!$1:$1,0)+1),MATCH(C$1,[2]characters!$1:$1,0)-MATCH($A$1,[2]characters!$1:$1,0)+1,FALSE)</f>
        <v>イベント:ウィザード</v>
      </c>
      <c r="D168" s="24" t="str">
        <f ca="1">VLOOKUP($A168,OFFSET([2]characters!$A$1,0,0,COUNTA([2]characters!$A:$A),MATCH(D$1,[2]characters!$1:$1,0)-MATCH($A$1,[2]characters!$1:$1,0)+1),MATCH(D$1,[2]characters!$1:$1,0)-MATCH($A$1,[2]characters!$1:$1,0)+1,FALSE)</f>
        <v>執行者</v>
      </c>
      <c r="E168" s="24" t="str">
        <f ca="1">VLOOKUP($A168,OFFSET([2]characters!$A$1,0,0,COUNTA([2]characters!$A:$A),MATCH(E$1,[2]characters!$1:$1,0)-MATCH($A$1,[2]characters!$1:$1,0)+1),MATCH(E$1,[2]characters!$1:$1,0)-MATCH($A$1,[2]characters!$1:$1,0)+1,FALSE)</f>
        <v>格好いい</v>
      </c>
      <c r="F168" s="24" t="str">
        <f ca="1">VLOOKUP($A168,OFFSET([2]characters!$A$1,0,0,COUNTA([2]characters!$A:$A),MATCH(F$1,[2]characters!$1:$1,0)-MATCH($A$1,[2]characters!$1:$1,0)+1),MATCH(F$1,[2]characters!$1:$1,0)-MATCH($A$1,[2]characters!$1:$1,0)+1,FALSE)</f>
        <v>男性</v>
      </c>
      <c r="G168" s="24">
        <f ca="1">VLOOKUP($A168,OFFSET([2]characters!$A$1,0,0,COUNTA([2]characters!$A:$A),MATCH(G$1,[2]characters!$1:$1,0)-MATCH($A$1,[2]characters!$1:$1,0)+1),MATCH(G$1,[2]characters!$1:$1,0)-MATCH($A$1,[2]characters!$1:$1,0)+1,FALSE)</f>
        <v>4</v>
      </c>
      <c r="H168" s="24" t="str">
        <f ca="1">VLOOKUP($A168,OFFSET([2]characters!$A$1,0,0,COUNTA([2]characters!$A:$A),MATCH(H$1,[2]characters!$1:$1,0)-MATCH($A$1,[2]characters!$1:$1,0)+1),MATCH(H$1,[2]characters!$1:$1,0)-MATCH($A$1,[2]characters!$1:$1,0)+1,FALSE)</f>
        <v>DropWizS</v>
      </c>
      <c r="I168" s="24" t="str">
        <f ca="1">VLOOKUP($A168,OFFSET([2]characters!$A$1,0,0,COUNTA([2]characters!$A:$A),MATCH(I$1,[2]characters!$1:$1,0)-MATCH($A$1,[2]characters!$1:$1,0)+1),MATCH(I$1,[2]characters!$1:$1,0)-MATCH($A$1,[2]characters!$1:$1,0)+1,FALSE)</f>
        <v>green</v>
      </c>
      <c r="J168" s="24" t="str">
        <f ca="1">VLOOKUP($A168,OFFSET([2]characters!$A$1,0,0,COUNTA([2]characters!$A:$A),MATCH(J$1,[2]characters!$1:$1,0)-MATCH($A$1,[2]characters!$1:$1,0)+1),MATCH(J$1,[2]characters!$1:$1,0)-MATCH($A$1,[2]characters!$1:$1,0)+1,FALSE)</f>
        <v>none</v>
      </c>
      <c r="K168" s="3" t="str">
        <f ca="1">VLOOKUP(J168,[2]character_tribe_i18n!$A:$H,3,FALSE)</f>
        <v>種族なし</v>
      </c>
      <c r="L168" s="5" t="e">
        <f>VLOOKUP(#REF!,[2]character_tribe_i18n!$A:$H,4,FALSE)</f>
        <v>#REF!</v>
      </c>
      <c r="M168" s="5" t="e">
        <f>VLOOKUP(#REF!,[2]character_tribe_i18n!$A:$H,5,FALSE)</f>
        <v>#REF!</v>
      </c>
      <c r="N168" s="5" t="e">
        <f>VLOOKUP(#REF!,[2]character_tribe_i18n!$A:$H,6,FALSE)</f>
        <v>#REF!</v>
      </c>
      <c r="O168" s="5" t="e">
        <f>VLOOKUP(#REF!,[2]character_tribe_i18n!$A:$H,7,FALSE)</f>
        <v>#REF!</v>
      </c>
      <c r="P168" s="83" t="s">
        <v>170</v>
      </c>
      <c r="Q168" s="4">
        <v>297</v>
      </c>
      <c r="R168" s="25" t="str">
        <f ca="1">IF(Q168="NULL","",VLOOKUP($Q168,OFFSET([2]characters!$A$1,0,0,COUNTA([2]characters!$A:$A),MATCH(R$1,[2]characters!$1:$1,0)-MATCH($A$1,[2]characters!$1:$1,0)+1),MATCH(R$1,[2]characters!$1:$1,0)-MATCH($A$1,[2]characters!$1:$1,0)+1,FALSE))</f>
        <v>狂靭なる双撃 アザゼル</v>
      </c>
      <c r="S168" s="3">
        <f t="shared" ca="1" si="2"/>
        <v>296</v>
      </c>
      <c r="T168" s="25" t="str">
        <f ca="1">VLOOKUP($S168,OFFSET([2]characters!$A$1,0,0,COUNTA([2]characters!$A:$A),MATCH(T$1,[2]characters!$1:$1,0)-MATCH($A$1,[2]characters!$1:$1,0)+1),MATCH(T$1,[2]characters!$1:$1,0)-MATCH($A$1,[2]characters!$1:$1,0)+1,FALSE)</f>
        <v>アザゼル</v>
      </c>
      <c r="U168" s="5">
        <f ca="1">IF(Q168="NULL","NULL",VLOOKUP(G168,ビット!$A$2:$B$7,2))</f>
        <v>50000</v>
      </c>
    </row>
    <row r="169" spans="1:21" ht="21" customHeight="1" x14ac:dyDescent="0.15">
      <c r="A169" s="83">
        <v>297</v>
      </c>
      <c r="B169" s="24" t="str">
        <f ca="1">VLOOKUP($A169,OFFSET([2]characters!$A$1,0,0,COUNTA([2]characters!$A:$A),MATCH(B$1,[2]characters!$1:$1,0)-MATCH($A$1,[2]characters!$1:$1,0)+1),MATCH(B$1,[2]characters!$1:$1,0)-MATCH($A$1,[2]characters!$1:$1,0)+1,FALSE)</f>
        <v>狂靭なる双撃 アザゼル</v>
      </c>
      <c r="C169" s="24" t="str">
        <f ca="1">VLOOKUP($A169,OFFSET([2]characters!$A$1,0,0,COUNTA([2]characters!$A:$A),MATCH(C$1,[2]characters!$1:$1,0)-MATCH($A$1,[2]characters!$1:$1,0)+1),MATCH(C$1,[2]characters!$1:$1,0)-MATCH($A$1,[2]characters!$1:$1,0)+1,FALSE)</f>
        <v>イベント:ウィザード</v>
      </c>
      <c r="D169" s="24" t="str">
        <f ca="1">VLOOKUP($A169,OFFSET([2]characters!$A$1,0,0,COUNTA([2]characters!$A:$A),MATCH(D$1,[2]characters!$1:$1,0)-MATCH($A$1,[2]characters!$1:$1,0)+1),MATCH(D$1,[2]characters!$1:$1,0)-MATCH($A$1,[2]characters!$1:$1,0)+1,FALSE)</f>
        <v>執行者</v>
      </c>
      <c r="E169" s="24" t="str">
        <f ca="1">VLOOKUP($A169,OFFSET([2]characters!$A$1,0,0,COUNTA([2]characters!$A:$A),MATCH(E$1,[2]characters!$1:$1,0)-MATCH($A$1,[2]characters!$1:$1,0)+1),MATCH(E$1,[2]characters!$1:$1,0)-MATCH($A$1,[2]characters!$1:$1,0)+1,FALSE)</f>
        <v>格好いい</v>
      </c>
      <c r="F169" s="24" t="str">
        <f ca="1">VLOOKUP($A169,OFFSET([2]characters!$A$1,0,0,COUNTA([2]characters!$A:$A),MATCH(F$1,[2]characters!$1:$1,0)-MATCH($A$1,[2]characters!$1:$1,0)+1),MATCH(F$1,[2]characters!$1:$1,0)-MATCH($A$1,[2]characters!$1:$1,0)+1,FALSE)</f>
        <v>男性</v>
      </c>
      <c r="G169" s="24">
        <f ca="1">VLOOKUP($A169,OFFSET([2]characters!$A$1,0,0,COUNTA([2]characters!$A:$A),MATCH(G$1,[2]characters!$1:$1,0)-MATCH($A$1,[2]characters!$1:$1,0)+1),MATCH(G$1,[2]characters!$1:$1,0)-MATCH($A$1,[2]characters!$1:$1,0)+1,FALSE)</f>
        <v>5</v>
      </c>
      <c r="H169" s="24" t="str">
        <f ca="1">VLOOKUP($A169,OFFSET([2]characters!$A$1,0,0,COUNTA([2]characters!$A:$A),MATCH(H$1,[2]characters!$1:$1,0)-MATCH($A$1,[2]characters!$1:$1,0)+1),MATCH(H$1,[2]characters!$1:$1,0)-MATCH($A$1,[2]characters!$1:$1,0)+1,FALSE)</f>
        <v>DropWizS</v>
      </c>
      <c r="I169" s="24" t="str">
        <f ca="1">VLOOKUP($A169,OFFSET([2]characters!$A$1,0,0,COUNTA([2]characters!$A:$A),MATCH(I$1,[2]characters!$1:$1,0)-MATCH($A$1,[2]characters!$1:$1,0)+1),MATCH(I$1,[2]characters!$1:$1,0)-MATCH($A$1,[2]characters!$1:$1,0)+1,FALSE)</f>
        <v>green</v>
      </c>
      <c r="J169" s="24" t="str">
        <f ca="1">VLOOKUP($A169,OFFSET([2]characters!$A$1,0,0,COUNTA([2]characters!$A:$A),MATCH(J$1,[2]characters!$1:$1,0)-MATCH($A$1,[2]characters!$1:$1,0)+1),MATCH(J$1,[2]characters!$1:$1,0)-MATCH($A$1,[2]characters!$1:$1,0)+1,FALSE)</f>
        <v>none</v>
      </c>
      <c r="K169" s="3" t="str">
        <f ca="1">VLOOKUP(J169,[2]character_tribe_i18n!$A:$H,3,FALSE)</f>
        <v>種族なし</v>
      </c>
      <c r="L169" s="5" t="e">
        <f>VLOOKUP(#REF!,[2]character_tribe_i18n!$A:$H,4,FALSE)</f>
        <v>#REF!</v>
      </c>
      <c r="M169" s="5" t="e">
        <f>VLOOKUP(#REF!,[2]character_tribe_i18n!$A:$H,5,FALSE)</f>
        <v>#REF!</v>
      </c>
      <c r="N169" s="5" t="e">
        <f>VLOOKUP(#REF!,[2]character_tribe_i18n!$A:$H,6,FALSE)</f>
        <v>#REF!</v>
      </c>
      <c r="O169" s="5" t="e">
        <f>VLOOKUP(#REF!,[2]character_tribe_i18n!$A:$H,7,FALSE)</f>
        <v>#REF!</v>
      </c>
      <c r="P169" s="83" t="s">
        <v>170</v>
      </c>
      <c r="Q169" s="4">
        <v>812</v>
      </c>
      <c r="R169" s="25" t="str">
        <f ca="1">IF(Q169="NULL","",VLOOKUP($Q169,OFFSET([2]characters!$A$1,0,0,COUNTA([2]characters!$A:$A),MATCH(R$1,[2]characters!$1:$1,0)-MATCH($A$1,[2]characters!$1:$1,0)+1),MATCH(R$1,[2]characters!$1:$1,0)-MATCH($A$1,[2]characters!$1:$1,0)+1,FALSE))</f>
        <v>凶膨なる殲滅 アザゼル</v>
      </c>
      <c r="S169" s="3">
        <f t="shared" ca="1" si="2"/>
        <v>296</v>
      </c>
      <c r="T169" s="25" t="str">
        <f ca="1">VLOOKUP($S169,OFFSET([2]characters!$A$1,0,0,COUNTA([2]characters!$A:$A),MATCH(T$1,[2]characters!$1:$1,0)-MATCH($A$1,[2]characters!$1:$1,0)+1),MATCH(T$1,[2]characters!$1:$1,0)-MATCH($A$1,[2]characters!$1:$1,0)+1,FALSE)</f>
        <v>アザゼル</v>
      </c>
      <c r="U169" s="5">
        <f ca="1">IF(Q169="NULL","NULL",VLOOKUP(G169,ビット!$A$2:$B$7,2))</f>
        <v>200000</v>
      </c>
    </row>
    <row r="170" spans="1:21" ht="21" customHeight="1" x14ac:dyDescent="0.15">
      <c r="A170" s="83">
        <v>298</v>
      </c>
      <c r="B170" s="24" t="str">
        <f ca="1">VLOOKUP($A170,OFFSET([2]characters!$A$1,0,0,COUNTA([2]characters!$A:$A),MATCH(B$1,[2]characters!$1:$1,0)-MATCH($A$1,[2]characters!$1:$1,0)+1),MATCH(B$1,[2]characters!$1:$1,0)-MATCH($A$1,[2]characters!$1:$1,0)+1,FALSE)</f>
        <v>炎殺のミサコ</v>
      </c>
      <c r="C170" s="24" t="str">
        <f ca="1">VLOOKUP($A170,OFFSET([2]characters!$A$1,0,0,COUNTA([2]characters!$A:$A),MATCH(C$1,[2]characters!$1:$1,0)-MATCH($A$1,[2]characters!$1:$1,0)+1),MATCH(C$1,[2]characters!$1:$1,0)-MATCH($A$1,[2]characters!$1:$1,0)+1,FALSE)</f>
        <v>イベント:囚人01</v>
      </c>
      <c r="D170" s="24" t="str">
        <f ca="1">VLOOKUP($A170,OFFSET([2]characters!$A$1,0,0,COUNTA([2]characters!$A:$A),MATCH(D$1,[2]characters!$1:$1,0)-MATCH($A$1,[2]characters!$1:$1,0)+1),MATCH(D$1,[2]characters!$1:$1,0)-MATCH($A$1,[2]characters!$1:$1,0)+1,FALSE)</f>
        <v>QoH</v>
      </c>
      <c r="E170" s="24" t="str">
        <f ca="1">VLOOKUP($A170,OFFSET([2]characters!$A$1,0,0,COUNTA([2]characters!$A:$A),MATCH(E$1,[2]characters!$1:$1,0)-MATCH($A$1,[2]characters!$1:$1,0)+1),MATCH(E$1,[2]characters!$1:$1,0)-MATCH($A$1,[2]characters!$1:$1,0)+1,FALSE)</f>
        <v>美しい</v>
      </c>
      <c r="F170" s="24" t="str">
        <f ca="1">VLOOKUP($A170,OFFSET([2]characters!$A$1,0,0,COUNTA([2]characters!$A:$A),MATCH(F$1,[2]characters!$1:$1,0)-MATCH($A$1,[2]characters!$1:$1,0)+1),MATCH(F$1,[2]characters!$1:$1,0)-MATCH($A$1,[2]characters!$1:$1,0)+1,FALSE)</f>
        <v>女性</v>
      </c>
      <c r="G170" s="24">
        <f ca="1">VLOOKUP($A170,OFFSET([2]characters!$A$1,0,0,COUNTA([2]characters!$A:$A),MATCH(G$1,[2]characters!$1:$1,0)-MATCH($A$1,[2]characters!$1:$1,0)+1),MATCH(G$1,[2]characters!$1:$1,0)-MATCH($A$1,[2]characters!$1:$1,0)+1,FALSE)</f>
        <v>3</v>
      </c>
      <c r="H170" s="24" t="str">
        <f ca="1">VLOOKUP($A170,OFFSET([2]characters!$A$1,0,0,COUNTA([2]characters!$A:$A),MATCH(H$1,[2]characters!$1:$1,0)-MATCH($A$1,[2]characters!$1:$1,0)+1),MATCH(H$1,[2]characters!$1:$1,0)-MATCH($A$1,[2]characters!$1:$1,0)+1,FALSE)</f>
        <v>Drop2W</v>
      </c>
      <c r="I170" s="24" t="str">
        <f ca="1">VLOOKUP($A170,OFFSET([2]characters!$A$1,0,0,COUNTA([2]characters!$A:$A),MATCH(I$1,[2]characters!$1:$1,0)-MATCH($A$1,[2]characters!$1:$1,0)+1),MATCH(I$1,[2]characters!$1:$1,0)-MATCH($A$1,[2]characters!$1:$1,0)+1,FALSE)</f>
        <v>red</v>
      </c>
      <c r="J170" s="24" t="str">
        <f ca="1">VLOOKUP($A170,OFFSET([2]characters!$A$1,0,0,COUNTA([2]characters!$A:$A),MATCH(J$1,[2]characters!$1:$1,0)-MATCH($A$1,[2]characters!$1:$1,0)+1),MATCH(J$1,[2]characters!$1:$1,0)-MATCH($A$1,[2]characters!$1:$1,0)+1,FALSE)</f>
        <v>none</v>
      </c>
      <c r="K170" s="3" t="str">
        <f ca="1">VLOOKUP(J170,[2]character_tribe_i18n!$A:$H,3,FALSE)</f>
        <v>種族なし</v>
      </c>
      <c r="L170" s="5" t="e">
        <f>VLOOKUP(#REF!,[2]character_tribe_i18n!$A:$H,4,FALSE)</f>
        <v>#REF!</v>
      </c>
      <c r="M170" s="5" t="e">
        <f>VLOOKUP(#REF!,[2]character_tribe_i18n!$A:$H,5,FALSE)</f>
        <v>#REF!</v>
      </c>
      <c r="N170" s="5" t="e">
        <f>VLOOKUP(#REF!,[2]character_tribe_i18n!$A:$H,6,FALSE)</f>
        <v>#REF!</v>
      </c>
      <c r="O170" s="5" t="e">
        <f>VLOOKUP(#REF!,[2]character_tribe_i18n!$A:$H,7,FALSE)</f>
        <v>#REF!</v>
      </c>
      <c r="P170" s="83" t="s">
        <v>170</v>
      </c>
      <c r="Q170" s="4">
        <v>299</v>
      </c>
      <c r="R170" s="25" t="str">
        <f ca="1">IF(Q170="NULL","",VLOOKUP($Q170,OFFSET([2]characters!$A$1,0,0,COUNTA([2]characters!$A:$A),MATCH(R$1,[2]characters!$1:$1,0)-MATCH($A$1,[2]characters!$1:$1,0)+1),MATCH(R$1,[2]characters!$1:$1,0)-MATCH($A$1,[2]characters!$1:$1,0)+1,FALSE))</f>
        <v>狂気の炎風 ミサコ</v>
      </c>
      <c r="S170" s="3">
        <f t="shared" ca="1" si="2"/>
        <v>298</v>
      </c>
      <c r="T170" s="25" t="str">
        <f ca="1">VLOOKUP($S170,OFFSET([2]characters!$A$1,0,0,COUNTA([2]characters!$A:$A),MATCH(T$1,[2]characters!$1:$1,0)-MATCH($A$1,[2]characters!$1:$1,0)+1),MATCH(T$1,[2]characters!$1:$1,0)-MATCH($A$1,[2]characters!$1:$1,0)+1,FALSE)</f>
        <v>炎殺のミサコ</v>
      </c>
      <c r="U170" s="5">
        <f ca="1">IF(Q170="NULL","NULL",VLOOKUP(G170,ビット!$A$2:$B$7,2))</f>
        <v>20000</v>
      </c>
    </row>
    <row r="171" spans="1:21" ht="21" customHeight="1" x14ac:dyDescent="0.15">
      <c r="A171" s="83">
        <v>300</v>
      </c>
      <c r="B171" s="24" t="str">
        <f ca="1">VLOOKUP($A171,OFFSET([2]characters!$A$1,0,0,COUNTA([2]characters!$A:$A),MATCH(B$1,[2]characters!$1:$1,0)-MATCH($A$1,[2]characters!$1:$1,0)+1),MATCH(B$1,[2]characters!$1:$1,0)-MATCH($A$1,[2]characters!$1:$1,0)+1,FALSE)</f>
        <v>毒殺のチカ</v>
      </c>
      <c r="C171" s="24" t="str">
        <f ca="1">VLOOKUP($A171,OFFSET([2]characters!$A$1,0,0,COUNTA([2]characters!$A:$A),MATCH(C$1,[2]characters!$1:$1,0)-MATCH($A$1,[2]characters!$1:$1,0)+1),MATCH(C$1,[2]characters!$1:$1,0)-MATCH($A$1,[2]characters!$1:$1,0)+1,FALSE)</f>
        <v>イベント:囚人01</v>
      </c>
      <c r="D171" s="24" t="str">
        <f ca="1">VLOOKUP($A171,OFFSET([2]characters!$A$1,0,0,COUNTA([2]characters!$A:$A),MATCH(D$1,[2]characters!$1:$1,0)-MATCH($A$1,[2]characters!$1:$1,0)+1),MATCH(D$1,[2]characters!$1:$1,0)-MATCH($A$1,[2]characters!$1:$1,0)+1,FALSE)</f>
        <v>QoH</v>
      </c>
      <c r="E171" s="24" t="str">
        <f ca="1">VLOOKUP($A171,OFFSET([2]characters!$A$1,0,0,COUNTA([2]characters!$A:$A),MATCH(E$1,[2]characters!$1:$1,0)-MATCH($A$1,[2]characters!$1:$1,0)+1),MATCH(E$1,[2]characters!$1:$1,0)-MATCH($A$1,[2]characters!$1:$1,0)+1,FALSE)</f>
        <v>可愛い</v>
      </c>
      <c r="F171" s="24" t="str">
        <f ca="1">VLOOKUP($A171,OFFSET([2]characters!$A$1,0,0,COUNTA([2]characters!$A:$A),MATCH(F$1,[2]characters!$1:$1,0)-MATCH($A$1,[2]characters!$1:$1,0)+1),MATCH(F$1,[2]characters!$1:$1,0)-MATCH($A$1,[2]characters!$1:$1,0)+1,FALSE)</f>
        <v>女性</v>
      </c>
      <c r="G171" s="24">
        <f ca="1">VLOOKUP($A171,OFFSET([2]characters!$A$1,0,0,COUNTA([2]characters!$A:$A),MATCH(G$1,[2]characters!$1:$1,0)-MATCH($A$1,[2]characters!$1:$1,0)+1),MATCH(G$1,[2]characters!$1:$1,0)-MATCH($A$1,[2]characters!$1:$1,0)+1,FALSE)</f>
        <v>3</v>
      </c>
      <c r="H171" s="24" t="str">
        <f ca="1">VLOOKUP($A171,OFFSET([2]characters!$A$1,0,0,COUNTA([2]characters!$A:$A),MATCH(H$1,[2]characters!$1:$1,0)-MATCH($A$1,[2]characters!$1:$1,0)+1),MATCH(H$1,[2]characters!$1:$1,0)-MATCH($A$1,[2]characters!$1:$1,0)+1,FALSE)</f>
        <v>Drop2W</v>
      </c>
      <c r="I171" s="24" t="str">
        <f ca="1">VLOOKUP($A171,OFFSET([2]characters!$A$1,0,0,COUNTA([2]characters!$A:$A),MATCH(I$1,[2]characters!$1:$1,0)-MATCH($A$1,[2]characters!$1:$1,0)+1),MATCH(I$1,[2]characters!$1:$1,0)-MATCH($A$1,[2]characters!$1:$1,0)+1,FALSE)</f>
        <v>green</v>
      </c>
      <c r="J171" s="24" t="str">
        <f ca="1">VLOOKUP($A171,OFFSET([2]characters!$A$1,0,0,COUNTA([2]characters!$A:$A),MATCH(J$1,[2]characters!$1:$1,0)-MATCH($A$1,[2]characters!$1:$1,0)+1),MATCH(J$1,[2]characters!$1:$1,0)-MATCH($A$1,[2]characters!$1:$1,0)+1,FALSE)</f>
        <v>none</v>
      </c>
      <c r="K171" s="3" t="str">
        <f ca="1">VLOOKUP(J171,[2]character_tribe_i18n!$A:$H,3,FALSE)</f>
        <v>種族なし</v>
      </c>
      <c r="L171" s="5" t="e">
        <f>VLOOKUP(#REF!,[2]character_tribe_i18n!$A:$H,4,FALSE)</f>
        <v>#REF!</v>
      </c>
      <c r="M171" s="5" t="e">
        <f>VLOOKUP(#REF!,[2]character_tribe_i18n!$A:$H,5,FALSE)</f>
        <v>#REF!</v>
      </c>
      <c r="N171" s="5" t="e">
        <f>VLOOKUP(#REF!,[2]character_tribe_i18n!$A:$H,6,FALSE)</f>
        <v>#REF!</v>
      </c>
      <c r="O171" s="5" t="e">
        <f>VLOOKUP(#REF!,[2]character_tribe_i18n!$A:$H,7,FALSE)</f>
        <v>#REF!</v>
      </c>
      <c r="P171" s="83" t="s">
        <v>170</v>
      </c>
      <c r="Q171" s="4">
        <v>301</v>
      </c>
      <c r="R171" s="25" t="str">
        <f ca="1">IF(Q171="NULL","",VLOOKUP($Q171,OFFSET([2]characters!$A$1,0,0,COUNTA([2]characters!$A:$A),MATCH(R$1,[2]characters!$1:$1,0)-MATCH($A$1,[2]characters!$1:$1,0)+1),MATCH(R$1,[2]characters!$1:$1,0)-MATCH($A$1,[2]characters!$1:$1,0)+1,FALSE))</f>
        <v>宿痾の葬送 チカ</v>
      </c>
      <c r="S171" s="3">
        <f t="shared" ca="1" si="2"/>
        <v>300</v>
      </c>
      <c r="T171" s="25" t="str">
        <f ca="1">VLOOKUP($S171,OFFSET([2]characters!$A$1,0,0,COUNTA([2]characters!$A:$A),MATCH(T$1,[2]characters!$1:$1,0)-MATCH($A$1,[2]characters!$1:$1,0)+1),MATCH(T$1,[2]characters!$1:$1,0)-MATCH($A$1,[2]characters!$1:$1,0)+1,FALSE)</f>
        <v>毒殺のチカ</v>
      </c>
      <c r="U171" s="5">
        <f ca="1">IF(Q171="NULL","NULL",VLOOKUP(G171,ビット!$A$2:$B$7,2))</f>
        <v>20000</v>
      </c>
    </row>
    <row r="172" spans="1:21" ht="21" customHeight="1" x14ac:dyDescent="0.15">
      <c r="A172" s="83">
        <v>302</v>
      </c>
      <c r="B172" s="24" t="str">
        <f ca="1">VLOOKUP($A172,OFFSET([2]characters!$A$1,0,0,COUNTA([2]characters!$A:$A),MATCH(B$1,[2]characters!$1:$1,0)-MATCH($A$1,[2]characters!$1:$1,0)+1),MATCH(B$1,[2]characters!$1:$1,0)-MATCH($A$1,[2]characters!$1:$1,0)+1,FALSE)</f>
        <v>絞殺のリサ</v>
      </c>
      <c r="C172" s="24" t="str">
        <f ca="1">VLOOKUP($A172,OFFSET([2]characters!$A$1,0,0,COUNTA([2]characters!$A:$A),MATCH(C$1,[2]characters!$1:$1,0)-MATCH($A$1,[2]characters!$1:$1,0)+1),MATCH(C$1,[2]characters!$1:$1,0)-MATCH($A$1,[2]characters!$1:$1,0)+1,FALSE)</f>
        <v>イベント:囚人01</v>
      </c>
      <c r="D172" s="24" t="str">
        <f ca="1">VLOOKUP($A172,OFFSET([2]characters!$A$1,0,0,COUNTA([2]characters!$A:$A),MATCH(D$1,[2]characters!$1:$1,0)-MATCH($A$1,[2]characters!$1:$1,0)+1),MATCH(D$1,[2]characters!$1:$1,0)-MATCH($A$1,[2]characters!$1:$1,0)+1,FALSE)</f>
        <v>QoH</v>
      </c>
      <c r="E172" s="24" t="str">
        <f ca="1">VLOOKUP($A172,OFFSET([2]characters!$A$1,0,0,COUNTA([2]characters!$A:$A),MATCH(E$1,[2]characters!$1:$1,0)-MATCH($A$1,[2]characters!$1:$1,0)+1),MATCH(E$1,[2]characters!$1:$1,0)-MATCH($A$1,[2]characters!$1:$1,0)+1,FALSE)</f>
        <v>美しい</v>
      </c>
      <c r="F172" s="24" t="str">
        <f ca="1">VLOOKUP($A172,OFFSET([2]characters!$A$1,0,0,COUNTA([2]characters!$A:$A),MATCH(F$1,[2]characters!$1:$1,0)-MATCH($A$1,[2]characters!$1:$1,0)+1),MATCH(F$1,[2]characters!$1:$1,0)-MATCH($A$1,[2]characters!$1:$1,0)+1,FALSE)</f>
        <v>女性</v>
      </c>
      <c r="G172" s="24">
        <f ca="1">VLOOKUP($A172,OFFSET([2]characters!$A$1,0,0,COUNTA([2]characters!$A:$A),MATCH(G$1,[2]characters!$1:$1,0)-MATCH($A$1,[2]characters!$1:$1,0)+1),MATCH(G$1,[2]characters!$1:$1,0)-MATCH($A$1,[2]characters!$1:$1,0)+1,FALSE)</f>
        <v>3</v>
      </c>
      <c r="H172" s="24" t="str">
        <f ca="1">VLOOKUP($A172,OFFSET([2]characters!$A$1,0,0,COUNTA([2]characters!$A:$A),MATCH(H$1,[2]characters!$1:$1,0)-MATCH($A$1,[2]characters!$1:$1,0)+1),MATCH(H$1,[2]characters!$1:$1,0)-MATCH($A$1,[2]characters!$1:$1,0)+1,FALSE)</f>
        <v>Drop2W</v>
      </c>
      <c r="I172" s="24" t="str">
        <f ca="1">VLOOKUP($A172,OFFSET([2]characters!$A$1,0,0,COUNTA([2]characters!$A:$A),MATCH(I$1,[2]characters!$1:$1,0)-MATCH($A$1,[2]characters!$1:$1,0)+1),MATCH(I$1,[2]characters!$1:$1,0)-MATCH($A$1,[2]characters!$1:$1,0)+1,FALSE)</f>
        <v>blue</v>
      </c>
      <c r="J172" s="24" t="str">
        <f ca="1">VLOOKUP($A172,OFFSET([2]characters!$A$1,0,0,COUNTA([2]characters!$A:$A),MATCH(J$1,[2]characters!$1:$1,0)-MATCH($A$1,[2]characters!$1:$1,0)+1),MATCH(J$1,[2]characters!$1:$1,0)-MATCH($A$1,[2]characters!$1:$1,0)+1,FALSE)</f>
        <v>none</v>
      </c>
      <c r="K172" s="3" t="str">
        <f ca="1">VLOOKUP(J172,[2]character_tribe_i18n!$A:$H,3,FALSE)</f>
        <v>種族なし</v>
      </c>
      <c r="L172" s="5" t="e">
        <f>VLOOKUP(#REF!,[2]character_tribe_i18n!$A:$H,4,FALSE)</f>
        <v>#REF!</v>
      </c>
      <c r="M172" s="5" t="e">
        <f>VLOOKUP(#REF!,[2]character_tribe_i18n!$A:$H,5,FALSE)</f>
        <v>#REF!</v>
      </c>
      <c r="N172" s="5" t="e">
        <f>VLOOKUP(#REF!,[2]character_tribe_i18n!$A:$H,6,FALSE)</f>
        <v>#REF!</v>
      </c>
      <c r="O172" s="5" t="e">
        <f>VLOOKUP(#REF!,[2]character_tribe_i18n!$A:$H,7,FALSE)</f>
        <v>#REF!</v>
      </c>
      <c r="P172" s="83" t="s">
        <v>170</v>
      </c>
      <c r="Q172" s="4">
        <v>303</v>
      </c>
      <c r="R172" s="25" t="str">
        <f ca="1">IF(Q172="NULL","",VLOOKUP($Q172,OFFSET([2]characters!$A$1,0,0,COUNTA([2]characters!$A:$A),MATCH(R$1,[2]characters!$1:$1,0)-MATCH($A$1,[2]characters!$1:$1,0)+1),MATCH(R$1,[2]characters!$1:$1,0)-MATCH($A$1,[2]characters!$1:$1,0)+1,FALSE))</f>
        <v>哄笑の禁縛 リサ</v>
      </c>
      <c r="S172" s="3">
        <f t="shared" ca="1" si="2"/>
        <v>302</v>
      </c>
      <c r="T172" s="25" t="str">
        <f ca="1">VLOOKUP($S172,OFFSET([2]characters!$A$1,0,0,COUNTA([2]characters!$A:$A),MATCH(T$1,[2]characters!$1:$1,0)-MATCH($A$1,[2]characters!$1:$1,0)+1),MATCH(T$1,[2]characters!$1:$1,0)-MATCH($A$1,[2]characters!$1:$1,0)+1,FALSE)</f>
        <v>絞殺のリサ</v>
      </c>
      <c r="U172" s="5">
        <f ca="1">IF(Q172="NULL","NULL",VLOOKUP(G172,ビット!$A$2:$B$7,2))</f>
        <v>20000</v>
      </c>
    </row>
    <row r="173" spans="1:21" ht="21" customHeight="1" x14ac:dyDescent="0.15">
      <c r="A173" s="83">
        <v>304</v>
      </c>
      <c r="B173" s="24" t="str">
        <f ca="1">VLOOKUP($A173,OFFSET([2]characters!$A$1,0,0,COUNTA([2]characters!$A:$A),MATCH(B$1,[2]characters!$1:$1,0)-MATCH($A$1,[2]characters!$1:$1,0)+1),MATCH(B$1,[2]characters!$1:$1,0)-MATCH($A$1,[2]characters!$1:$1,0)+1,FALSE)</f>
        <v>電殺のチエミ</v>
      </c>
      <c r="C173" s="24" t="str">
        <f ca="1">VLOOKUP($A173,OFFSET([2]characters!$A$1,0,0,COUNTA([2]characters!$A:$A),MATCH(C$1,[2]characters!$1:$1,0)-MATCH($A$1,[2]characters!$1:$1,0)+1),MATCH(C$1,[2]characters!$1:$1,0)-MATCH($A$1,[2]characters!$1:$1,0)+1,FALSE)</f>
        <v>イベント:囚人01</v>
      </c>
      <c r="D173" s="24" t="str">
        <f ca="1">VLOOKUP($A173,OFFSET([2]characters!$A$1,0,0,COUNTA([2]characters!$A:$A),MATCH(D$1,[2]characters!$1:$1,0)-MATCH($A$1,[2]characters!$1:$1,0)+1),MATCH(D$1,[2]characters!$1:$1,0)-MATCH($A$1,[2]characters!$1:$1,0)+1,FALSE)</f>
        <v>QoH</v>
      </c>
      <c r="E173" s="24" t="str">
        <f ca="1">VLOOKUP($A173,OFFSET([2]characters!$A$1,0,0,COUNTA([2]characters!$A:$A),MATCH(E$1,[2]characters!$1:$1,0)-MATCH($A$1,[2]characters!$1:$1,0)+1),MATCH(E$1,[2]characters!$1:$1,0)-MATCH($A$1,[2]characters!$1:$1,0)+1,FALSE)</f>
        <v>美しい</v>
      </c>
      <c r="F173" s="24" t="str">
        <f ca="1">VLOOKUP($A173,OFFSET([2]characters!$A$1,0,0,COUNTA([2]characters!$A:$A),MATCH(F$1,[2]characters!$1:$1,0)-MATCH($A$1,[2]characters!$1:$1,0)+1),MATCH(F$1,[2]characters!$1:$1,0)-MATCH($A$1,[2]characters!$1:$1,0)+1,FALSE)</f>
        <v>女性</v>
      </c>
      <c r="G173" s="24">
        <f ca="1">VLOOKUP($A173,OFFSET([2]characters!$A$1,0,0,COUNTA([2]characters!$A:$A),MATCH(G$1,[2]characters!$1:$1,0)-MATCH($A$1,[2]characters!$1:$1,0)+1),MATCH(G$1,[2]characters!$1:$1,0)-MATCH($A$1,[2]characters!$1:$1,0)+1,FALSE)</f>
        <v>3</v>
      </c>
      <c r="H173" s="24" t="str">
        <f ca="1">VLOOKUP($A173,OFFSET([2]characters!$A$1,0,0,COUNTA([2]characters!$A:$A),MATCH(H$1,[2]characters!$1:$1,0)-MATCH($A$1,[2]characters!$1:$1,0)+1),MATCH(H$1,[2]characters!$1:$1,0)-MATCH($A$1,[2]characters!$1:$1,0)+1,FALSE)</f>
        <v>Drop2W</v>
      </c>
      <c r="I173" s="24" t="str">
        <f ca="1">VLOOKUP($A173,OFFSET([2]characters!$A$1,0,0,COUNTA([2]characters!$A:$A),MATCH(I$1,[2]characters!$1:$1,0)-MATCH($A$1,[2]characters!$1:$1,0)+1),MATCH(I$1,[2]characters!$1:$1,0)-MATCH($A$1,[2]characters!$1:$1,0)+1,FALSE)</f>
        <v>yellow</v>
      </c>
      <c r="J173" s="24" t="str">
        <f ca="1">VLOOKUP($A173,OFFSET([2]characters!$A$1,0,0,COUNTA([2]characters!$A:$A),MATCH(J$1,[2]characters!$1:$1,0)-MATCH($A$1,[2]characters!$1:$1,0)+1),MATCH(J$1,[2]characters!$1:$1,0)-MATCH($A$1,[2]characters!$1:$1,0)+1,FALSE)</f>
        <v>none</v>
      </c>
      <c r="K173" s="3" t="str">
        <f ca="1">VLOOKUP(J173,[2]character_tribe_i18n!$A:$H,3,FALSE)</f>
        <v>種族なし</v>
      </c>
      <c r="L173" s="5" t="e">
        <f>VLOOKUP(#REF!,[2]character_tribe_i18n!$A:$H,4,FALSE)</f>
        <v>#REF!</v>
      </c>
      <c r="M173" s="5" t="e">
        <f>VLOOKUP(#REF!,[2]character_tribe_i18n!$A:$H,5,FALSE)</f>
        <v>#REF!</v>
      </c>
      <c r="N173" s="5" t="e">
        <f>VLOOKUP(#REF!,[2]character_tribe_i18n!$A:$H,6,FALSE)</f>
        <v>#REF!</v>
      </c>
      <c r="O173" s="5" t="e">
        <f>VLOOKUP(#REF!,[2]character_tribe_i18n!$A:$H,7,FALSE)</f>
        <v>#REF!</v>
      </c>
      <c r="P173" s="83" t="s">
        <v>170</v>
      </c>
      <c r="Q173" s="4">
        <v>305</v>
      </c>
      <c r="R173" s="25" t="str">
        <f ca="1">IF(Q173="NULL","",VLOOKUP($Q173,OFFSET([2]characters!$A$1,0,0,COUNTA([2]characters!$A:$A),MATCH(R$1,[2]characters!$1:$1,0)-MATCH($A$1,[2]characters!$1:$1,0)+1),MATCH(R$1,[2]characters!$1:$1,0)-MATCH($A$1,[2]characters!$1:$1,0)+1,FALSE))</f>
        <v>螺旋の雷電 チエミ</v>
      </c>
      <c r="S173" s="3">
        <f t="shared" ca="1" si="2"/>
        <v>304</v>
      </c>
      <c r="T173" s="25" t="str">
        <f ca="1">VLOOKUP($S173,OFFSET([2]characters!$A$1,0,0,COUNTA([2]characters!$A:$A),MATCH(T$1,[2]characters!$1:$1,0)-MATCH($A$1,[2]characters!$1:$1,0)+1),MATCH(T$1,[2]characters!$1:$1,0)-MATCH($A$1,[2]characters!$1:$1,0)+1,FALSE)</f>
        <v>電殺のチエミ</v>
      </c>
      <c r="U173" s="5">
        <f ca="1">IF(Q173="NULL","NULL",VLOOKUP(G173,ビット!$A$2:$B$7,2))</f>
        <v>20000</v>
      </c>
    </row>
    <row r="174" spans="1:21" ht="21" customHeight="1" x14ac:dyDescent="0.15">
      <c r="A174" s="83">
        <v>306</v>
      </c>
      <c r="B174" s="24" t="str">
        <f ca="1">VLOOKUP($A174,OFFSET([2]characters!$A$1,0,0,COUNTA([2]characters!$A:$A),MATCH(B$1,[2]characters!$1:$1,0)-MATCH($A$1,[2]characters!$1:$1,0)+1),MATCH(B$1,[2]characters!$1:$1,0)-MATCH($A$1,[2]characters!$1:$1,0)+1,FALSE)</f>
        <v>メガロドン</v>
      </c>
      <c r="C174" s="24" t="str">
        <f ca="1">VLOOKUP($A174,OFFSET([2]characters!$A$1,0,0,COUNTA([2]characters!$A:$A),MATCH(C$1,[2]characters!$1:$1,0)-MATCH($A$1,[2]characters!$1:$1,0)+1),MATCH(C$1,[2]characters!$1:$1,0)-MATCH($A$1,[2]characters!$1:$1,0)+1,FALSE)</f>
        <v>イベント:深海生物01</v>
      </c>
      <c r="D174" s="24" t="str">
        <f ca="1">VLOOKUP($A174,OFFSET([2]characters!$A$1,0,0,COUNTA([2]characters!$A:$A),MATCH(D$1,[2]characters!$1:$1,0)-MATCH($A$1,[2]characters!$1:$1,0)+1),MATCH(D$1,[2]characters!$1:$1,0)-MATCH($A$1,[2]characters!$1:$1,0)+1,FALSE)</f>
        <v>アバター</v>
      </c>
      <c r="E174" s="24" t="str">
        <f ca="1">VLOOKUP($A174,OFFSET([2]characters!$A$1,0,0,COUNTA([2]characters!$A:$A),MATCH(E$1,[2]characters!$1:$1,0)-MATCH($A$1,[2]characters!$1:$1,0)+1),MATCH(E$1,[2]characters!$1:$1,0)-MATCH($A$1,[2]characters!$1:$1,0)+1,FALSE)</f>
        <v>格好いい</v>
      </c>
      <c r="F174" s="24" t="str">
        <f ca="1">VLOOKUP($A174,OFFSET([2]characters!$A$1,0,0,COUNTA([2]characters!$A:$A),MATCH(F$1,[2]characters!$1:$1,0)-MATCH($A$1,[2]characters!$1:$1,0)+1),MATCH(F$1,[2]characters!$1:$1,0)-MATCH($A$1,[2]characters!$1:$1,0)+1,FALSE)</f>
        <v>女性</v>
      </c>
      <c r="G174" s="24">
        <f ca="1">VLOOKUP($A174,OFFSET([2]characters!$A$1,0,0,COUNTA([2]characters!$A:$A),MATCH(G$1,[2]characters!$1:$1,0)-MATCH($A$1,[2]characters!$1:$1,0)+1),MATCH(G$1,[2]characters!$1:$1,0)-MATCH($A$1,[2]characters!$1:$1,0)+1,FALSE)</f>
        <v>4</v>
      </c>
      <c r="H174" s="24" t="str">
        <f ca="1">VLOOKUP($A174,OFFSET([2]characters!$A$1,0,0,COUNTA([2]characters!$A:$A),MATCH(H$1,[2]characters!$1:$1,0)-MATCH($A$1,[2]characters!$1:$1,0)+1),MATCH(H$1,[2]characters!$1:$1,0)-MATCH($A$1,[2]characters!$1:$1,0)+1,FALSE)</f>
        <v>Drop2N</v>
      </c>
      <c r="I174" s="24" t="str">
        <f ca="1">VLOOKUP($A174,OFFSET([2]characters!$A$1,0,0,COUNTA([2]characters!$A:$A),MATCH(I$1,[2]characters!$1:$1,0)-MATCH($A$1,[2]characters!$1:$1,0)+1),MATCH(I$1,[2]characters!$1:$1,0)-MATCH($A$1,[2]characters!$1:$1,0)+1,FALSE)</f>
        <v>red</v>
      </c>
      <c r="J174" s="24" t="str">
        <f ca="1">VLOOKUP($A174,OFFSET([2]characters!$A$1,0,0,COUNTA([2]characters!$A:$A),MATCH(J$1,[2]characters!$1:$1,0)-MATCH($A$1,[2]characters!$1:$1,0)+1),MATCH(J$1,[2]characters!$1:$1,0)-MATCH($A$1,[2]characters!$1:$1,0)+1,FALSE)</f>
        <v>none</v>
      </c>
      <c r="K174" s="3" t="str">
        <f ca="1">VLOOKUP(J174,[2]character_tribe_i18n!$A:$H,3,FALSE)</f>
        <v>種族なし</v>
      </c>
      <c r="L174" s="5" t="e">
        <f>VLOOKUP(#REF!,[2]character_tribe_i18n!$A:$H,4,FALSE)</f>
        <v>#REF!</v>
      </c>
      <c r="M174" s="5" t="e">
        <f>VLOOKUP(#REF!,[2]character_tribe_i18n!$A:$H,5,FALSE)</f>
        <v>#REF!</v>
      </c>
      <c r="N174" s="5" t="e">
        <f>VLOOKUP(#REF!,[2]character_tribe_i18n!$A:$H,6,FALSE)</f>
        <v>#REF!</v>
      </c>
      <c r="O174" s="5" t="e">
        <f>VLOOKUP(#REF!,[2]character_tribe_i18n!$A:$H,7,FALSE)</f>
        <v>#REF!</v>
      </c>
      <c r="P174" s="83" t="s">
        <v>170</v>
      </c>
      <c r="Q174" s="4">
        <v>307</v>
      </c>
      <c r="R174" s="25" t="str">
        <f ca="1">IF(Q174="NULL","",VLOOKUP($Q174,OFFSET([2]characters!$A$1,0,0,COUNTA([2]characters!$A:$A),MATCH(R$1,[2]characters!$1:$1,0)-MATCH($A$1,[2]characters!$1:$1,0)+1),MATCH(R$1,[2]characters!$1:$1,0)-MATCH($A$1,[2]characters!$1:$1,0)+1,FALSE))</f>
        <v>古の鋼拳 メガロドン</v>
      </c>
      <c r="S174" s="3">
        <f t="shared" ca="1" si="2"/>
        <v>306</v>
      </c>
      <c r="T174" s="25" t="str">
        <f ca="1">VLOOKUP($S174,OFFSET([2]characters!$A$1,0,0,COUNTA([2]characters!$A:$A),MATCH(T$1,[2]characters!$1:$1,0)-MATCH($A$1,[2]characters!$1:$1,0)+1),MATCH(T$1,[2]characters!$1:$1,0)-MATCH($A$1,[2]characters!$1:$1,0)+1,FALSE)</f>
        <v>メガロドン</v>
      </c>
      <c r="U174" s="5">
        <f ca="1">IF(Q174="NULL","NULL",VLOOKUP(G174,ビット!$A$2:$B$7,2))</f>
        <v>50000</v>
      </c>
    </row>
    <row r="175" spans="1:21" ht="21" customHeight="1" x14ac:dyDescent="0.15">
      <c r="A175" s="83">
        <v>308</v>
      </c>
      <c r="B175" s="24" t="str">
        <f ca="1">VLOOKUP($A175,OFFSET([2]characters!$A$1,0,0,COUNTA([2]characters!$A:$A),MATCH(B$1,[2]characters!$1:$1,0)-MATCH($A$1,[2]characters!$1:$1,0)+1),MATCH(B$1,[2]characters!$1:$1,0)-MATCH($A$1,[2]characters!$1:$1,0)+1,FALSE)</f>
        <v>アーケロン</v>
      </c>
      <c r="C175" s="24" t="str">
        <f ca="1">VLOOKUP($A175,OFFSET([2]characters!$A$1,0,0,COUNTA([2]characters!$A:$A),MATCH(C$1,[2]characters!$1:$1,0)-MATCH($A$1,[2]characters!$1:$1,0)+1),MATCH(C$1,[2]characters!$1:$1,0)-MATCH($A$1,[2]characters!$1:$1,0)+1,FALSE)</f>
        <v>イベント:深海生物01</v>
      </c>
      <c r="D175" s="24" t="str">
        <f ca="1">VLOOKUP($A175,OFFSET([2]characters!$A$1,0,0,COUNTA([2]characters!$A:$A),MATCH(D$1,[2]characters!$1:$1,0)-MATCH($A$1,[2]characters!$1:$1,0)+1),MATCH(D$1,[2]characters!$1:$1,0)-MATCH($A$1,[2]characters!$1:$1,0)+1,FALSE)</f>
        <v>アバター</v>
      </c>
      <c r="E175" s="24" t="str">
        <f ca="1">VLOOKUP($A175,OFFSET([2]characters!$A$1,0,0,COUNTA([2]characters!$A:$A),MATCH(E$1,[2]characters!$1:$1,0)-MATCH($A$1,[2]characters!$1:$1,0)+1),MATCH(E$1,[2]characters!$1:$1,0)-MATCH($A$1,[2]characters!$1:$1,0)+1,FALSE)</f>
        <v>可愛い</v>
      </c>
      <c r="F175" s="24" t="str">
        <f ca="1">VLOOKUP($A175,OFFSET([2]characters!$A$1,0,0,COUNTA([2]characters!$A:$A),MATCH(F$1,[2]characters!$1:$1,0)-MATCH($A$1,[2]characters!$1:$1,0)+1),MATCH(F$1,[2]characters!$1:$1,0)-MATCH($A$1,[2]characters!$1:$1,0)+1,FALSE)</f>
        <v>女性</v>
      </c>
      <c r="G175" s="24">
        <f ca="1">VLOOKUP($A175,OFFSET([2]characters!$A$1,0,0,COUNTA([2]characters!$A:$A),MATCH(G$1,[2]characters!$1:$1,0)-MATCH($A$1,[2]characters!$1:$1,0)+1),MATCH(G$1,[2]characters!$1:$1,0)-MATCH($A$1,[2]characters!$1:$1,0)+1,FALSE)</f>
        <v>4</v>
      </c>
      <c r="H175" s="24" t="str">
        <f ca="1">VLOOKUP($A175,OFFSET([2]characters!$A$1,0,0,COUNTA([2]characters!$A:$A),MATCH(H$1,[2]characters!$1:$1,0)-MATCH($A$1,[2]characters!$1:$1,0)+1),MATCH(H$1,[2]characters!$1:$1,0)-MATCH($A$1,[2]characters!$1:$1,0)+1,FALSE)</f>
        <v>Drop2N</v>
      </c>
      <c r="I175" s="24" t="str">
        <f ca="1">VLOOKUP($A175,OFFSET([2]characters!$A$1,0,0,COUNTA([2]characters!$A:$A),MATCH(I$1,[2]characters!$1:$1,0)-MATCH($A$1,[2]characters!$1:$1,0)+1),MATCH(I$1,[2]characters!$1:$1,0)-MATCH($A$1,[2]characters!$1:$1,0)+1,FALSE)</f>
        <v>green</v>
      </c>
      <c r="J175" s="24" t="str">
        <f ca="1">VLOOKUP($A175,OFFSET([2]characters!$A$1,0,0,COUNTA([2]characters!$A:$A),MATCH(J$1,[2]characters!$1:$1,0)-MATCH($A$1,[2]characters!$1:$1,0)+1),MATCH(J$1,[2]characters!$1:$1,0)-MATCH($A$1,[2]characters!$1:$1,0)+1,FALSE)</f>
        <v>none</v>
      </c>
      <c r="K175" s="3" t="str">
        <f ca="1">VLOOKUP(J175,[2]character_tribe_i18n!$A:$H,3,FALSE)</f>
        <v>種族なし</v>
      </c>
      <c r="L175" s="5" t="e">
        <f>VLOOKUP(#REF!,[2]character_tribe_i18n!$A:$H,4,FALSE)</f>
        <v>#REF!</v>
      </c>
      <c r="M175" s="5" t="e">
        <f>VLOOKUP(#REF!,[2]character_tribe_i18n!$A:$H,5,FALSE)</f>
        <v>#REF!</v>
      </c>
      <c r="N175" s="5" t="e">
        <f>VLOOKUP(#REF!,[2]character_tribe_i18n!$A:$H,6,FALSE)</f>
        <v>#REF!</v>
      </c>
      <c r="O175" s="5" t="e">
        <f>VLOOKUP(#REF!,[2]character_tribe_i18n!$A:$H,7,FALSE)</f>
        <v>#REF!</v>
      </c>
      <c r="P175" s="83" t="s">
        <v>170</v>
      </c>
      <c r="Q175" s="4">
        <v>309</v>
      </c>
      <c r="R175" s="25" t="str">
        <f ca="1">IF(Q175="NULL","",VLOOKUP($Q175,OFFSET([2]characters!$A$1,0,0,COUNTA([2]characters!$A:$A),MATCH(R$1,[2]characters!$1:$1,0)-MATCH($A$1,[2]characters!$1:$1,0)+1),MATCH(R$1,[2]characters!$1:$1,0)-MATCH($A$1,[2]characters!$1:$1,0)+1,FALSE))</f>
        <v>古の博学 アーケロン</v>
      </c>
      <c r="S175" s="3">
        <f t="shared" ca="1" si="2"/>
        <v>308</v>
      </c>
      <c r="T175" s="25" t="str">
        <f ca="1">VLOOKUP($S175,OFFSET([2]characters!$A$1,0,0,COUNTA([2]characters!$A:$A),MATCH(T$1,[2]characters!$1:$1,0)-MATCH($A$1,[2]characters!$1:$1,0)+1),MATCH(T$1,[2]characters!$1:$1,0)-MATCH($A$1,[2]characters!$1:$1,0)+1,FALSE)</f>
        <v>アーケロン</v>
      </c>
      <c r="U175" s="5">
        <f ca="1">IF(Q175="NULL","NULL",VLOOKUP(G175,ビット!$A$2:$B$7,2))</f>
        <v>50000</v>
      </c>
    </row>
    <row r="176" spans="1:21" ht="21" customHeight="1" x14ac:dyDescent="0.15">
      <c r="A176" s="83">
        <v>310</v>
      </c>
      <c r="B176" s="24" t="str">
        <f ca="1">VLOOKUP($A176,OFFSET([2]characters!$A$1,0,0,COUNTA([2]characters!$A:$A),MATCH(B$1,[2]characters!$1:$1,0)-MATCH($A$1,[2]characters!$1:$1,0)+1),MATCH(B$1,[2]characters!$1:$1,0)-MATCH($A$1,[2]characters!$1:$1,0)+1,FALSE)</f>
        <v>リードシクティス</v>
      </c>
      <c r="C176" s="24" t="str">
        <f ca="1">VLOOKUP($A176,OFFSET([2]characters!$A$1,0,0,COUNTA([2]characters!$A:$A),MATCH(C$1,[2]characters!$1:$1,0)-MATCH($A$1,[2]characters!$1:$1,0)+1),MATCH(C$1,[2]characters!$1:$1,0)-MATCH($A$1,[2]characters!$1:$1,0)+1,FALSE)</f>
        <v>イベント:深海生物01</v>
      </c>
      <c r="D176" s="24" t="str">
        <f ca="1">VLOOKUP($A176,OFFSET([2]characters!$A$1,0,0,COUNTA([2]characters!$A:$A),MATCH(D$1,[2]characters!$1:$1,0)-MATCH($A$1,[2]characters!$1:$1,0)+1),MATCH(D$1,[2]characters!$1:$1,0)-MATCH($A$1,[2]characters!$1:$1,0)+1,FALSE)</f>
        <v>アバター</v>
      </c>
      <c r="E176" s="24" t="str">
        <f ca="1">VLOOKUP($A176,OFFSET([2]characters!$A$1,0,0,COUNTA([2]characters!$A:$A),MATCH(E$1,[2]characters!$1:$1,0)-MATCH($A$1,[2]characters!$1:$1,0)+1),MATCH(E$1,[2]characters!$1:$1,0)-MATCH($A$1,[2]characters!$1:$1,0)+1,FALSE)</f>
        <v>美しい</v>
      </c>
      <c r="F176" s="24" t="str">
        <f ca="1">VLOOKUP($A176,OFFSET([2]characters!$A$1,0,0,COUNTA([2]characters!$A:$A),MATCH(F$1,[2]characters!$1:$1,0)-MATCH($A$1,[2]characters!$1:$1,0)+1),MATCH(F$1,[2]characters!$1:$1,0)-MATCH($A$1,[2]characters!$1:$1,0)+1,FALSE)</f>
        <v>女性</v>
      </c>
      <c r="G176" s="24">
        <f ca="1">VLOOKUP($A176,OFFSET([2]characters!$A$1,0,0,COUNTA([2]characters!$A:$A),MATCH(G$1,[2]characters!$1:$1,0)-MATCH($A$1,[2]characters!$1:$1,0)+1),MATCH(G$1,[2]characters!$1:$1,0)-MATCH($A$1,[2]characters!$1:$1,0)+1,FALSE)</f>
        <v>4</v>
      </c>
      <c r="H176" s="24" t="str">
        <f ca="1">VLOOKUP($A176,OFFSET([2]characters!$A$1,0,0,COUNTA([2]characters!$A:$A),MATCH(H$1,[2]characters!$1:$1,0)-MATCH($A$1,[2]characters!$1:$1,0)+1),MATCH(H$1,[2]characters!$1:$1,0)-MATCH($A$1,[2]characters!$1:$1,0)+1,FALSE)</f>
        <v>Drop2N</v>
      </c>
      <c r="I176" s="24" t="str">
        <f ca="1">VLOOKUP($A176,OFFSET([2]characters!$A$1,0,0,COUNTA([2]characters!$A:$A),MATCH(I$1,[2]characters!$1:$1,0)-MATCH($A$1,[2]characters!$1:$1,0)+1),MATCH(I$1,[2]characters!$1:$1,0)-MATCH($A$1,[2]characters!$1:$1,0)+1,FALSE)</f>
        <v>blue</v>
      </c>
      <c r="J176" s="24" t="str">
        <f ca="1">VLOOKUP($A176,OFFSET([2]characters!$A$1,0,0,COUNTA([2]characters!$A:$A),MATCH(J$1,[2]characters!$1:$1,0)-MATCH($A$1,[2]characters!$1:$1,0)+1),MATCH(J$1,[2]characters!$1:$1,0)-MATCH($A$1,[2]characters!$1:$1,0)+1,FALSE)</f>
        <v>none</v>
      </c>
      <c r="K176" s="3" t="str">
        <f ca="1">VLOOKUP(J176,[2]character_tribe_i18n!$A:$H,3,FALSE)</f>
        <v>種族なし</v>
      </c>
      <c r="L176" s="5" t="e">
        <f>VLOOKUP(#REF!,[2]character_tribe_i18n!$A:$H,4,FALSE)</f>
        <v>#REF!</v>
      </c>
      <c r="M176" s="5" t="e">
        <f>VLOOKUP(#REF!,[2]character_tribe_i18n!$A:$H,5,FALSE)</f>
        <v>#REF!</v>
      </c>
      <c r="N176" s="5" t="e">
        <f>VLOOKUP(#REF!,[2]character_tribe_i18n!$A:$H,6,FALSE)</f>
        <v>#REF!</v>
      </c>
      <c r="O176" s="5" t="e">
        <f>VLOOKUP(#REF!,[2]character_tribe_i18n!$A:$H,7,FALSE)</f>
        <v>#REF!</v>
      </c>
      <c r="P176" s="83" t="s">
        <v>170</v>
      </c>
      <c r="Q176" s="4">
        <v>311</v>
      </c>
      <c r="R176" s="25" t="str">
        <f ca="1">IF(Q176="NULL","",VLOOKUP($Q176,OFFSET([2]characters!$A$1,0,0,COUNTA([2]characters!$A:$A),MATCH(R$1,[2]characters!$1:$1,0)-MATCH($A$1,[2]characters!$1:$1,0)+1),MATCH(R$1,[2]characters!$1:$1,0)-MATCH($A$1,[2]characters!$1:$1,0)+1,FALSE))</f>
        <v>古の暴食 リードシクティス</v>
      </c>
      <c r="S176" s="3">
        <f t="shared" ca="1" si="2"/>
        <v>310</v>
      </c>
      <c r="T176" s="25" t="str">
        <f ca="1">VLOOKUP($S176,OFFSET([2]characters!$A$1,0,0,COUNTA([2]characters!$A:$A),MATCH(T$1,[2]characters!$1:$1,0)-MATCH($A$1,[2]characters!$1:$1,0)+1),MATCH(T$1,[2]characters!$1:$1,0)-MATCH($A$1,[2]characters!$1:$1,0)+1,FALSE)</f>
        <v>リードシクティス</v>
      </c>
      <c r="U176" s="5">
        <f ca="1">IF(Q176="NULL","NULL",VLOOKUP(G176,ビット!$A$2:$B$7,2))</f>
        <v>50000</v>
      </c>
    </row>
    <row r="177" spans="1:21" ht="21" customHeight="1" x14ac:dyDescent="0.15">
      <c r="A177" s="83">
        <v>312</v>
      </c>
      <c r="B177" s="24" t="str">
        <f ca="1">VLOOKUP($A177,OFFSET([2]characters!$A$1,0,0,COUNTA([2]characters!$A:$A),MATCH(B$1,[2]characters!$1:$1,0)-MATCH($A$1,[2]characters!$1:$1,0)+1),MATCH(B$1,[2]characters!$1:$1,0)-MATCH($A$1,[2]characters!$1:$1,0)+1,FALSE)</f>
        <v>アノマロカリス</v>
      </c>
      <c r="C177" s="24" t="str">
        <f ca="1">VLOOKUP($A177,OFFSET([2]characters!$A$1,0,0,COUNTA([2]characters!$A:$A),MATCH(C$1,[2]characters!$1:$1,0)-MATCH($A$1,[2]characters!$1:$1,0)+1),MATCH(C$1,[2]characters!$1:$1,0)-MATCH($A$1,[2]characters!$1:$1,0)+1,FALSE)</f>
        <v>イベント:深海生物01</v>
      </c>
      <c r="D177" s="24" t="str">
        <f ca="1">VLOOKUP($A177,OFFSET([2]characters!$A$1,0,0,COUNTA([2]characters!$A:$A),MATCH(D$1,[2]characters!$1:$1,0)-MATCH($A$1,[2]characters!$1:$1,0)+1),MATCH(D$1,[2]characters!$1:$1,0)-MATCH($A$1,[2]characters!$1:$1,0)+1,FALSE)</f>
        <v>アバター</v>
      </c>
      <c r="E177" s="24" t="str">
        <f ca="1">VLOOKUP($A177,OFFSET([2]characters!$A$1,0,0,COUNTA([2]characters!$A:$A),MATCH(E$1,[2]characters!$1:$1,0)-MATCH($A$1,[2]characters!$1:$1,0)+1),MATCH(E$1,[2]characters!$1:$1,0)-MATCH($A$1,[2]characters!$1:$1,0)+1,FALSE)</f>
        <v>可愛い</v>
      </c>
      <c r="F177" s="24" t="str">
        <f ca="1">VLOOKUP($A177,OFFSET([2]characters!$A$1,0,0,COUNTA([2]characters!$A:$A),MATCH(F$1,[2]characters!$1:$1,0)-MATCH($A$1,[2]characters!$1:$1,0)+1),MATCH(F$1,[2]characters!$1:$1,0)-MATCH($A$1,[2]characters!$1:$1,0)+1,FALSE)</f>
        <v>女性</v>
      </c>
      <c r="G177" s="24">
        <f ca="1">VLOOKUP($A177,OFFSET([2]characters!$A$1,0,0,COUNTA([2]characters!$A:$A),MATCH(G$1,[2]characters!$1:$1,0)-MATCH($A$1,[2]characters!$1:$1,0)+1),MATCH(G$1,[2]characters!$1:$1,0)-MATCH($A$1,[2]characters!$1:$1,0)+1,FALSE)</f>
        <v>4</v>
      </c>
      <c r="H177" s="24" t="str">
        <f ca="1">VLOOKUP($A177,OFFSET([2]characters!$A$1,0,0,COUNTA([2]characters!$A:$A),MATCH(H$1,[2]characters!$1:$1,0)-MATCH($A$1,[2]characters!$1:$1,0)+1),MATCH(H$1,[2]characters!$1:$1,0)-MATCH($A$1,[2]characters!$1:$1,0)+1,FALSE)</f>
        <v>Drop2N</v>
      </c>
      <c r="I177" s="24" t="str">
        <f ca="1">VLOOKUP($A177,OFFSET([2]characters!$A$1,0,0,COUNTA([2]characters!$A:$A),MATCH(I$1,[2]characters!$1:$1,0)-MATCH($A$1,[2]characters!$1:$1,0)+1),MATCH(I$1,[2]characters!$1:$1,0)-MATCH($A$1,[2]characters!$1:$1,0)+1,FALSE)</f>
        <v>yellow</v>
      </c>
      <c r="J177" s="24" t="str">
        <f ca="1">VLOOKUP($A177,OFFSET([2]characters!$A$1,0,0,COUNTA([2]characters!$A:$A),MATCH(J$1,[2]characters!$1:$1,0)-MATCH($A$1,[2]characters!$1:$1,0)+1),MATCH(J$1,[2]characters!$1:$1,0)-MATCH($A$1,[2]characters!$1:$1,0)+1,FALSE)</f>
        <v>none</v>
      </c>
      <c r="K177" s="3" t="str">
        <f ca="1">VLOOKUP(J177,[2]character_tribe_i18n!$A:$H,3,FALSE)</f>
        <v>種族なし</v>
      </c>
      <c r="L177" s="5" t="e">
        <f>VLOOKUP(#REF!,[2]character_tribe_i18n!$A:$H,4,FALSE)</f>
        <v>#REF!</v>
      </c>
      <c r="M177" s="5" t="e">
        <f>VLOOKUP(#REF!,[2]character_tribe_i18n!$A:$H,5,FALSE)</f>
        <v>#REF!</v>
      </c>
      <c r="N177" s="5" t="e">
        <f>VLOOKUP(#REF!,[2]character_tribe_i18n!$A:$H,6,FALSE)</f>
        <v>#REF!</v>
      </c>
      <c r="O177" s="5" t="e">
        <f>VLOOKUP(#REF!,[2]character_tribe_i18n!$A:$H,7,FALSE)</f>
        <v>#REF!</v>
      </c>
      <c r="P177" s="83" t="s">
        <v>170</v>
      </c>
      <c r="Q177" s="4">
        <v>313</v>
      </c>
      <c r="R177" s="25" t="str">
        <f ca="1">IF(Q177="NULL","",VLOOKUP($Q177,OFFSET([2]characters!$A$1,0,0,COUNTA([2]characters!$A:$A),MATCH(R$1,[2]characters!$1:$1,0)-MATCH($A$1,[2]characters!$1:$1,0)+1),MATCH(R$1,[2]characters!$1:$1,0)-MATCH($A$1,[2]characters!$1:$1,0)+1,FALSE))</f>
        <v>古の先鋭 アノマロカリス</v>
      </c>
      <c r="S177" s="3">
        <f t="shared" ca="1" si="2"/>
        <v>312</v>
      </c>
      <c r="T177" s="25" t="str">
        <f ca="1">VLOOKUP($S177,OFFSET([2]characters!$A$1,0,0,COUNTA([2]characters!$A:$A),MATCH(T$1,[2]characters!$1:$1,0)-MATCH($A$1,[2]characters!$1:$1,0)+1),MATCH(T$1,[2]characters!$1:$1,0)-MATCH($A$1,[2]characters!$1:$1,0)+1,FALSE)</f>
        <v>アノマロカリス</v>
      </c>
      <c r="U177" s="5">
        <f ca="1">IF(Q177="NULL","NULL",VLOOKUP(G177,ビット!$A$2:$B$7,2))</f>
        <v>50000</v>
      </c>
    </row>
    <row r="178" spans="1:21" ht="21" customHeight="1" x14ac:dyDescent="0.15">
      <c r="A178" s="83">
        <v>314</v>
      </c>
      <c r="B178" s="24" t="str">
        <f ca="1">VLOOKUP($A178,OFFSET([2]characters!$A$1,0,0,COUNTA([2]characters!$A:$A),MATCH(B$1,[2]characters!$1:$1,0)-MATCH($A$1,[2]characters!$1:$1,0)+1),MATCH(B$1,[2]characters!$1:$1,0)-MATCH($A$1,[2]characters!$1:$1,0)+1,FALSE)</f>
        <v>ジャンヌ</v>
      </c>
      <c r="C178" s="24" t="str">
        <f ca="1">VLOOKUP($A178,OFFSET([2]characters!$A$1,0,0,COUNTA([2]characters!$A:$A),MATCH(C$1,[2]characters!$1:$1,0)-MATCH($A$1,[2]characters!$1:$1,0)+1),MATCH(C$1,[2]characters!$1:$1,0)-MATCH($A$1,[2]characters!$1:$1,0)+1,FALSE)</f>
        <v>イベント:ウィザード</v>
      </c>
      <c r="D178" s="24" t="str">
        <f ca="1">VLOOKUP($A178,OFFSET([2]characters!$A$1,0,0,COUNTA([2]characters!$A:$A),MATCH(D$1,[2]characters!$1:$1,0)-MATCH($A$1,[2]characters!$1:$1,0)+1),MATCH(D$1,[2]characters!$1:$1,0)-MATCH($A$1,[2]characters!$1:$1,0)+1,FALSE)</f>
        <v>守護者</v>
      </c>
      <c r="E178" s="24" t="str">
        <f ca="1">VLOOKUP($A178,OFFSET([2]characters!$A$1,0,0,COUNTA([2]characters!$A:$A),MATCH(E$1,[2]characters!$1:$1,0)-MATCH($A$1,[2]characters!$1:$1,0)+1),MATCH(E$1,[2]characters!$1:$1,0)-MATCH($A$1,[2]characters!$1:$1,0)+1,FALSE)</f>
        <v>美しい</v>
      </c>
      <c r="F178" s="24" t="str">
        <f ca="1">VLOOKUP($A178,OFFSET([2]characters!$A$1,0,0,COUNTA([2]characters!$A:$A),MATCH(F$1,[2]characters!$1:$1,0)-MATCH($A$1,[2]characters!$1:$1,0)+1),MATCH(F$1,[2]characters!$1:$1,0)-MATCH($A$1,[2]characters!$1:$1,0)+1,FALSE)</f>
        <v>女性</v>
      </c>
      <c r="G178" s="24">
        <f ca="1">VLOOKUP($A178,OFFSET([2]characters!$A$1,0,0,COUNTA([2]characters!$A:$A),MATCH(G$1,[2]characters!$1:$1,0)-MATCH($A$1,[2]characters!$1:$1,0)+1),MATCH(G$1,[2]characters!$1:$1,0)-MATCH($A$1,[2]characters!$1:$1,0)+1,FALSE)</f>
        <v>4</v>
      </c>
      <c r="H178" s="24" t="str">
        <f ca="1">VLOOKUP($A178,OFFSET([2]characters!$A$1,0,0,COUNTA([2]characters!$A:$A),MATCH(H$1,[2]characters!$1:$1,0)-MATCH($A$1,[2]characters!$1:$1,0)+1),MATCH(H$1,[2]characters!$1:$1,0)-MATCH($A$1,[2]characters!$1:$1,0)+1,FALSE)</f>
        <v>DropWizS</v>
      </c>
      <c r="I178" s="24" t="str">
        <f ca="1">VLOOKUP($A178,OFFSET([2]characters!$A$1,0,0,COUNTA([2]characters!$A:$A),MATCH(I$1,[2]characters!$1:$1,0)-MATCH($A$1,[2]characters!$1:$1,0)+1),MATCH(I$1,[2]characters!$1:$1,0)-MATCH($A$1,[2]characters!$1:$1,0)+1,FALSE)</f>
        <v>blue</v>
      </c>
      <c r="J178" s="24" t="str">
        <f ca="1">VLOOKUP($A178,OFFSET([2]characters!$A$1,0,0,COUNTA([2]characters!$A:$A),MATCH(J$1,[2]characters!$1:$1,0)-MATCH($A$1,[2]characters!$1:$1,0)+1),MATCH(J$1,[2]characters!$1:$1,0)-MATCH($A$1,[2]characters!$1:$1,0)+1,FALSE)</f>
        <v>none</v>
      </c>
      <c r="K178" s="3" t="str">
        <f ca="1">VLOOKUP(J178,[2]character_tribe_i18n!$A:$H,3,FALSE)</f>
        <v>種族なし</v>
      </c>
      <c r="L178" s="5" t="e">
        <f>VLOOKUP(#REF!,[2]character_tribe_i18n!$A:$H,4,FALSE)</f>
        <v>#REF!</v>
      </c>
      <c r="M178" s="5" t="e">
        <f>VLOOKUP(#REF!,[2]character_tribe_i18n!$A:$H,5,FALSE)</f>
        <v>#REF!</v>
      </c>
      <c r="N178" s="5" t="e">
        <f>VLOOKUP(#REF!,[2]character_tribe_i18n!$A:$H,6,FALSE)</f>
        <v>#REF!</v>
      </c>
      <c r="O178" s="5" t="e">
        <f>VLOOKUP(#REF!,[2]character_tribe_i18n!$A:$H,7,FALSE)</f>
        <v>#REF!</v>
      </c>
      <c r="P178" s="83" t="s">
        <v>170</v>
      </c>
      <c r="Q178" s="4">
        <v>315</v>
      </c>
      <c r="R178" s="25" t="str">
        <f ca="1">IF(Q178="NULL","",VLOOKUP($Q178,OFFSET([2]characters!$A$1,0,0,COUNTA([2]characters!$A:$A),MATCH(R$1,[2]characters!$1:$1,0)-MATCH($A$1,[2]characters!$1:$1,0)+1),MATCH(R$1,[2]characters!$1:$1,0)-MATCH($A$1,[2]characters!$1:$1,0)+1,FALSE))</f>
        <v>鉄馬駆る聖女 ジャンヌ</v>
      </c>
      <c r="S178" s="3">
        <f t="shared" ca="1" si="2"/>
        <v>314</v>
      </c>
      <c r="T178" s="25" t="str">
        <f ca="1">VLOOKUP($S178,OFFSET([2]characters!$A$1,0,0,COUNTA([2]characters!$A:$A),MATCH(T$1,[2]characters!$1:$1,0)-MATCH($A$1,[2]characters!$1:$1,0)+1),MATCH(T$1,[2]characters!$1:$1,0)-MATCH($A$1,[2]characters!$1:$1,0)+1,FALSE)</f>
        <v>ジャンヌ</v>
      </c>
      <c r="U178" s="5">
        <f ca="1">IF(Q178="NULL","NULL",VLOOKUP(G178,ビット!$A$2:$B$7,2))</f>
        <v>50000</v>
      </c>
    </row>
    <row r="179" spans="1:21" ht="21" customHeight="1" x14ac:dyDescent="0.15">
      <c r="A179" s="83">
        <v>315</v>
      </c>
      <c r="B179" s="24" t="str">
        <f ca="1">VLOOKUP($A179,OFFSET([2]characters!$A$1,0,0,COUNTA([2]characters!$A:$A),MATCH(B$1,[2]characters!$1:$1,0)-MATCH($A$1,[2]characters!$1:$1,0)+1),MATCH(B$1,[2]characters!$1:$1,0)-MATCH($A$1,[2]characters!$1:$1,0)+1,FALSE)</f>
        <v>鉄馬駆る聖女 ジャンヌ</v>
      </c>
      <c r="C179" s="24" t="str">
        <f ca="1">VLOOKUP($A179,OFFSET([2]characters!$A$1,0,0,COUNTA([2]characters!$A:$A),MATCH(C$1,[2]characters!$1:$1,0)-MATCH($A$1,[2]characters!$1:$1,0)+1),MATCH(C$1,[2]characters!$1:$1,0)-MATCH($A$1,[2]characters!$1:$1,0)+1,FALSE)</f>
        <v>イベント:ウィザード</v>
      </c>
      <c r="D179" s="24" t="str">
        <f ca="1">VLOOKUP($A179,OFFSET([2]characters!$A$1,0,0,COUNTA([2]characters!$A:$A),MATCH(D$1,[2]characters!$1:$1,0)-MATCH($A$1,[2]characters!$1:$1,0)+1),MATCH(D$1,[2]characters!$1:$1,0)-MATCH($A$1,[2]characters!$1:$1,0)+1,FALSE)</f>
        <v>守護者</v>
      </c>
      <c r="E179" s="24" t="str">
        <f ca="1">VLOOKUP($A179,OFFSET([2]characters!$A$1,0,0,COUNTA([2]characters!$A:$A),MATCH(E$1,[2]characters!$1:$1,0)-MATCH($A$1,[2]characters!$1:$1,0)+1),MATCH(E$1,[2]characters!$1:$1,0)-MATCH($A$1,[2]characters!$1:$1,0)+1,FALSE)</f>
        <v>美しい</v>
      </c>
      <c r="F179" s="24" t="str">
        <f ca="1">VLOOKUP($A179,OFFSET([2]characters!$A$1,0,0,COUNTA([2]characters!$A:$A),MATCH(F$1,[2]characters!$1:$1,0)-MATCH($A$1,[2]characters!$1:$1,0)+1),MATCH(F$1,[2]characters!$1:$1,0)-MATCH($A$1,[2]characters!$1:$1,0)+1,FALSE)</f>
        <v>女性</v>
      </c>
      <c r="G179" s="24">
        <f ca="1">VLOOKUP($A179,OFFSET([2]characters!$A$1,0,0,COUNTA([2]characters!$A:$A),MATCH(G$1,[2]characters!$1:$1,0)-MATCH($A$1,[2]characters!$1:$1,0)+1),MATCH(G$1,[2]characters!$1:$1,0)-MATCH($A$1,[2]characters!$1:$1,0)+1,FALSE)</f>
        <v>5</v>
      </c>
      <c r="H179" s="24" t="str">
        <f ca="1">VLOOKUP($A179,OFFSET([2]characters!$A$1,0,0,COUNTA([2]characters!$A:$A),MATCH(H$1,[2]characters!$1:$1,0)-MATCH($A$1,[2]characters!$1:$1,0)+1),MATCH(H$1,[2]characters!$1:$1,0)-MATCH($A$1,[2]characters!$1:$1,0)+1,FALSE)</f>
        <v>DropWizS</v>
      </c>
      <c r="I179" s="24" t="str">
        <f ca="1">VLOOKUP($A179,OFFSET([2]characters!$A$1,0,0,COUNTA([2]characters!$A:$A),MATCH(I$1,[2]characters!$1:$1,0)-MATCH($A$1,[2]characters!$1:$1,0)+1),MATCH(I$1,[2]characters!$1:$1,0)-MATCH($A$1,[2]characters!$1:$1,0)+1,FALSE)</f>
        <v>blue</v>
      </c>
      <c r="J179" s="24" t="str">
        <f ca="1">VLOOKUP($A179,OFFSET([2]characters!$A$1,0,0,COUNTA([2]characters!$A:$A),MATCH(J$1,[2]characters!$1:$1,0)-MATCH($A$1,[2]characters!$1:$1,0)+1),MATCH(J$1,[2]characters!$1:$1,0)-MATCH($A$1,[2]characters!$1:$1,0)+1,FALSE)</f>
        <v>none</v>
      </c>
      <c r="K179" s="3" t="str">
        <f ca="1">VLOOKUP(J179,[2]character_tribe_i18n!$A:$H,3,FALSE)</f>
        <v>種族なし</v>
      </c>
      <c r="L179" s="5" t="e">
        <f>VLOOKUP(#REF!,[2]character_tribe_i18n!$A:$H,4,FALSE)</f>
        <v>#REF!</v>
      </c>
      <c r="M179" s="5" t="e">
        <f>VLOOKUP(#REF!,[2]character_tribe_i18n!$A:$H,5,FALSE)</f>
        <v>#REF!</v>
      </c>
      <c r="N179" s="5" t="e">
        <f>VLOOKUP(#REF!,[2]character_tribe_i18n!$A:$H,6,FALSE)</f>
        <v>#REF!</v>
      </c>
      <c r="O179" s="5" t="e">
        <f>VLOOKUP(#REF!,[2]character_tribe_i18n!$A:$H,7,FALSE)</f>
        <v>#REF!</v>
      </c>
      <c r="P179" s="83" t="s">
        <v>170</v>
      </c>
      <c r="Q179" s="4">
        <v>814</v>
      </c>
      <c r="R179" s="25" t="str">
        <f ca="1">IF(Q179="NULL","",VLOOKUP($Q179,OFFSET([2]characters!$A$1,0,0,COUNTA([2]characters!$A:$A),MATCH(R$1,[2]characters!$1:$1,0)-MATCH($A$1,[2]characters!$1:$1,0)+1),MATCH(R$1,[2]characters!$1:$1,0)-MATCH($A$1,[2]characters!$1:$1,0)+1,FALSE))</f>
        <v>戦場疾駆の鋼蹄 ジャンヌ</v>
      </c>
      <c r="S179" s="3">
        <f t="shared" ca="1" si="2"/>
        <v>314</v>
      </c>
      <c r="T179" s="25" t="str">
        <f ca="1">VLOOKUP($S179,OFFSET([2]characters!$A$1,0,0,COUNTA([2]characters!$A:$A),MATCH(T$1,[2]characters!$1:$1,0)-MATCH($A$1,[2]characters!$1:$1,0)+1),MATCH(T$1,[2]characters!$1:$1,0)-MATCH($A$1,[2]characters!$1:$1,0)+1,FALSE)</f>
        <v>ジャンヌ</v>
      </c>
      <c r="U179" s="5">
        <f ca="1">IF(Q179="NULL","NULL",VLOOKUP(G179,ビット!$A$2:$B$7,2))</f>
        <v>200000</v>
      </c>
    </row>
    <row r="180" spans="1:21" ht="21" customHeight="1" x14ac:dyDescent="0.15">
      <c r="A180" s="83">
        <v>316</v>
      </c>
      <c r="B180" s="24" t="str">
        <f ca="1">VLOOKUP($A180,OFFSET([2]characters!$A$1,0,0,COUNTA([2]characters!$A:$A),MATCH(B$1,[2]characters!$1:$1,0)-MATCH($A$1,[2]characters!$1:$1,0)+1),MATCH(B$1,[2]characters!$1:$1,0)-MATCH($A$1,[2]characters!$1:$1,0)+1,FALSE)</f>
        <v>テスラ</v>
      </c>
      <c r="C180" s="24" t="str">
        <f ca="1">VLOOKUP($A180,OFFSET([2]characters!$A$1,0,0,COUNTA([2]characters!$A:$A),MATCH(C$1,[2]characters!$1:$1,0)-MATCH($A$1,[2]characters!$1:$1,0)+1),MATCH(C$1,[2]characters!$1:$1,0)-MATCH($A$1,[2]characters!$1:$1,0)+1,FALSE)</f>
        <v>チャレンジタワー</v>
      </c>
      <c r="D180" s="24" t="str">
        <f ca="1">VLOOKUP($A180,OFFSET([2]characters!$A$1,0,0,COUNTA([2]characters!$A:$A),MATCH(D$1,[2]characters!$1:$1,0)-MATCH($A$1,[2]characters!$1:$1,0)+1),MATCH(D$1,[2]characters!$1:$1,0)-MATCH($A$1,[2]characters!$1:$1,0)+1,FALSE)</f>
        <v>守護者</v>
      </c>
      <c r="E180" s="24" t="str">
        <f ca="1">VLOOKUP($A180,OFFSET([2]characters!$A$1,0,0,COUNTA([2]characters!$A:$A),MATCH(E$1,[2]characters!$1:$1,0)-MATCH($A$1,[2]characters!$1:$1,0)+1),MATCH(E$1,[2]characters!$1:$1,0)-MATCH($A$1,[2]characters!$1:$1,0)+1,FALSE)</f>
        <v>可愛い</v>
      </c>
      <c r="F180" s="24" t="str">
        <f ca="1">VLOOKUP($A180,OFFSET([2]characters!$A$1,0,0,COUNTA([2]characters!$A:$A),MATCH(F$1,[2]characters!$1:$1,0)-MATCH($A$1,[2]characters!$1:$1,0)+1),MATCH(F$1,[2]characters!$1:$1,0)-MATCH($A$1,[2]characters!$1:$1,0)+1,FALSE)</f>
        <v>女性</v>
      </c>
      <c r="G180" s="24">
        <f ca="1">VLOOKUP($A180,OFFSET([2]characters!$A$1,0,0,COUNTA([2]characters!$A:$A),MATCH(G$1,[2]characters!$1:$1,0)-MATCH($A$1,[2]characters!$1:$1,0)+1),MATCH(G$1,[2]characters!$1:$1,0)-MATCH($A$1,[2]characters!$1:$1,0)+1,FALSE)</f>
        <v>4</v>
      </c>
      <c r="H180" s="24" t="str">
        <f ca="1">VLOOKUP($A180,OFFSET([2]characters!$A$1,0,0,COUNTA([2]characters!$A:$A),MATCH(H$1,[2]characters!$1:$1,0)-MATCH($A$1,[2]characters!$1:$1,0)+1),MATCH(H$1,[2]characters!$1:$1,0)-MATCH($A$1,[2]characters!$1:$1,0)+1,FALSE)</f>
        <v>DropWizN</v>
      </c>
      <c r="I180" s="24" t="str">
        <f ca="1">VLOOKUP($A180,OFFSET([2]characters!$A$1,0,0,COUNTA([2]characters!$A:$A),MATCH(I$1,[2]characters!$1:$1,0)-MATCH($A$1,[2]characters!$1:$1,0)+1),MATCH(I$1,[2]characters!$1:$1,0)-MATCH($A$1,[2]characters!$1:$1,0)+1,FALSE)</f>
        <v>yellow</v>
      </c>
      <c r="J180" s="24" t="str">
        <f ca="1">VLOOKUP($A180,OFFSET([2]characters!$A$1,0,0,COUNTA([2]characters!$A:$A),MATCH(J$1,[2]characters!$1:$1,0)-MATCH($A$1,[2]characters!$1:$1,0)+1),MATCH(J$1,[2]characters!$1:$1,0)-MATCH($A$1,[2]characters!$1:$1,0)+1,FALSE)</f>
        <v>none</v>
      </c>
      <c r="K180" s="3" t="str">
        <f ca="1">VLOOKUP(J180,[2]character_tribe_i18n!$A:$H,3,FALSE)</f>
        <v>種族なし</v>
      </c>
      <c r="L180" s="5" t="e">
        <f>VLOOKUP(#REF!,[2]character_tribe_i18n!$A:$H,4,FALSE)</f>
        <v>#REF!</v>
      </c>
      <c r="M180" s="5" t="e">
        <f>VLOOKUP(#REF!,[2]character_tribe_i18n!$A:$H,5,FALSE)</f>
        <v>#REF!</v>
      </c>
      <c r="N180" s="5" t="e">
        <f>VLOOKUP(#REF!,[2]character_tribe_i18n!$A:$H,6,FALSE)</f>
        <v>#REF!</v>
      </c>
      <c r="O180" s="5" t="e">
        <f>VLOOKUP(#REF!,[2]character_tribe_i18n!$A:$H,7,FALSE)</f>
        <v>#REF!</v>
      </c>
      <c r="P180" s="83" t="s">
        <v>170</v>
      </c>
      <c r="Q180" s="4">
        <v>317</v>
      </c>
      <c r="R180" s="25" t="str">
        <f ca="1">IF(Q180="NULL","",VLOOKUP($Q180,OFFSET([2]characters!$A$1,0,0,COUNTA([2]characters!$A:$A),MATCH(R$1,[2]characters!$1:$1,0)-MATCH($A$1,[2]characters!$1:$1,0)+1),MATCH(R$1,[2]characters!$1:$1,0)-MATCH($A$1,[2]characters!$1:$1,0)+1,FALSE))</f>
        <v>異能の電気師 テスラ</v>
      </c>
      <c r="S180" s="3">
        <f t="shared" ca="1" si="2"/>
        <v>316</v>
      </c>
      <c r="T180" s="25" t="str">
        <f ca="1">VLOOKUP($S180,OFFSET([2]characters!$A$1,0,0,COUNTA([2]characters!$A:$A),MATCH(T$1,[2]characters!$1:$1,0)-MATCH($A$1,[2]characters!$1:$1,0)+1),MATCH(T$1,[2]characters!$1:$1,0)-MATCH($A$1,[2]characters!$1:$1,0)+1,FALSE)</f>
        <v>テスラ</v>
      </c>
      <c r="U180" s="5">
        <f ca="1">IF(Q180="NULL","NULL",VLOOKUP(G180,ビット!$A$2:$B$7,2))</f>
        <v>50000</v>
      </c>
    </row>
    <row r="181" spans="1:21" ht="21" customHeight="1" x14ac:dyDescent="0.15">
      <c r="A181" s="83">
        <v>318</v>
      </c>
      <c r="B181" s="24" t="str">
        <f ca="1">VLOOKUP($A181,OFFSET([2]characters!$A$1,0,0,COUNTA([2]characters!$A:$A),MATCH(B$1,[2]characters!$1:$1,0)-MATCH($A$1,[2]characters!$1:$1,0)+1),MATCH(B$1,[2]characters!$1:$1,0)-MATCH($A$1,[2]characters!$1:$1,0)+1,FALSE)</f>
        <v>シャルル</v>
      </c>
      <c r="C181" s="24" t="str">
        <f ca="1">VLOOKUP($A181,OFFSET([2]characters!$A$1,0,0,COUNTA([2]characters!$A:$A),MATCH(C$1,[2]characters!$1:$1,0)-MATCH($A$1,[2]characters!$1:$1,0)+1),MATCH(C$1,[2]characters!$1:$1,0)-MATCH($A$1,[2]characters!$1:$1,0)+1,FALSE)</f>
        <v>チャレンジタワー</v>
      </c>
      <c r="D181" s="24" t="str">
        <f ca="1">VLOOKUP($A181,OFFSET([2]characters!$A$1,0,0,COUNTA([2]characters!$A:$A),MATCH(D$1,[2]characters!$1:$1,0)-MATCH($A$1,[2]characters!$1:$1,0)+1),MATCH(D$1,[2]characters!$1:$1,0)-MATCH($A$1,[2]characters!$1:$1,0)+1,FALSE)</f>
        <v>守護者</v>
      </c>
      <c r="E181" s="24" t="str">
        <f ca="1">VLOOKUP($A181,OFFSET([2]characters!$A$1,0,0,COUNTA([2]characters!$A:$A),MATCH(E$1,[2]characters!$1:$1,0)-MATCH($A$1,[2]characters!$1:$1,0)+1),MATCH(E$1,[2]characters!$1:$1,0)-MATCH($A$1,[2]characters!$1:$1,0)+1,FALSE)</f>
        <v>美しい</v>
      </c>
      <c r="F181" s="24" t="str">
        <f ca="1">VLOOKUP($A181,OFFSET([2]characters!$A$1,0,0,COUNTA([2]characters!$A:$A),MATCH(F$1,[2]characters!$1:$1,0)-MATCH($A$1,[2]characters!$1:$1,0)+1),MATCH(F$1,[2]characters!$1:$1,0)-MATCH($A$1,[2]characters!$1:$1,0)+1,FALSE)</f>
        <v>女性</v>
      </c>
      <c r="G181" s="24">
        <f ca="1">VLOOKUP($A181,OFFSET([2]characters!$A$1,0,0,COUNTA([2]characters!$A:$A),MATCH(G$1,[2]characters!$1:$1,0)-MATCH($A$1,[2]characters!$1:$1,0)+1),MATCH(G$1,[2]characters!$1:$1,0)-MATCH($A$1,[2]characters!$1:$1,0)+1,FALSE)</f>
        <v>4</v>
      </c>
      <c r="H181" s="24" t="str">
        <f ca="1">VLOOKUP($A181,OFFSET([2]characters!$A$1,0,0,COUNTA([2]characters!$A:$A),MATCH(H$1,[2]characters!$1:$1,0)-MATCH($A$1,[2]characters!$1:$1,0)+1),MATCH(H$1,[2]characters!$1:$1,0)-MATCH($A$1,[2]characters!$1:$1,0)+1,FALSE)</f>
        <v>DropWizN</v>
      </c>
      <c r="I181" s="24" t="str">
        <f ca="1">VLOOKUP($A181,OFFSET([2]characters!$A$1,0,0,COUNTA([2]characters!$A:$A),MATCH(I$1,[2]characters!$1:$1,0)-MATCH($A$1,[2]characters!$1:$1,0)+1),MATCH(I$1,[2]characters!$1:$1,0)-MATCH($A$1,[2]characters!$1:$1,0)+1,FALSE)</f>
        <v>blue</v>
      </c>
      <c r="J181" s="24" t="str">
        <f ca="1">VLOOKUP($A181,OFFSET([2]characters!$A$1,0,0,COUNTA([2]characters!$A:$A),MATCH(J$1,[2]characters!$1:$1,0)-MATCH($A$1,[2]characters!$1:$1,0)+1),MATCH(J$1,[2]characters!$1:$1,0)-MATCH($A$1,[2]characters!$1:$1,0)+1,FALSE)</f>
        <v>none</v>
      </c>
      <c r="K181" s="3" t="str">
        <f ca="1">VLOOKUP(J181,[2]character_tribe_i18n!$A:$H,3,FALSE)</f>
        <v>種族なし</v>
      </c>
      <c r="L181" s="5" t="e">
        <f>VLOOKUP(#REF!,[2]character_tribe_i18n!$A:$H,4,FALSE)</f>
        <v>#REF!</v>
      </c>
      <c r="M181" s="5" t="e">
        <f>VLOOKUP(#REF!,[2]character_tribe_i18n!$A:$H,5,FALSE)</f>
        <v>#REF!</v>
      </c>
      <c r="N181" s="5" t="e">
        <f>VLOOKUP(#REF!,[2]character_tribe_i18n!$A:$H,6,FALSE)</f>
        <v>#REF!</v>
      </c>
      <c r="O181" s="5" t="e">
        <f>VLOOKUP(#REF!,[2]character_tribe_i18n!$A:$H,7,FALSE)</f>
        <v>#REF!</v>
      </c>
      <c r="P181" s="83" t="s">
        <v>170</v>
      </c>
      <c r="Q181" s="4">
        <v>319</v>
      </c>
      <c r="R181" s="25" t="str">
        <f ca="1">IF(Q181="NULL","",VLOOKUP($Q181,OFFSET([2]characters!$A$1,0,0,COUNTA([2]characters!$A:$A),MATCH(R$1,[2]characters!$1:$1,0)-MATCH($A$1,[2]characters!$1:$1,0)+1),MATCH(R$1,[2]characters!$1:$1,0)-MATCH($A$1,[2]characters!$1:$1,0)+1,FALSE))</f>
        <v>夢想の学士 シャルル</v>
      </c>
      <c r="S181" s="3">
        <f t="shared" ca="1" si="2"/>
        <v>318</v>
      </c>
      <c r="T181" s="25" t="str">
        <f ca="1">VLOOKUP($S181,OFFSET([2]characters!$A$1,0,0,COUNTA([2]characters!$A:$A),MATCH(T$1,[2]characters!$1:$1,0)-MATCH($A$1,[2]characters!$1:$1,0)+1),MATCH(T$1,[2]characters!$1:$1,0)-MATCH($A$1,[2]characters!$1:$1,0)+1,FALSE)</f>
        <v>シャルル</v>
      </c>
      <c r="U181" s="5">
        <f ca="1">IF(Q181="NULL","NULL",VLOOKUP(G181,ビット!$A$2:$B$7,2))</f>
        <v>50000</v>
      </c>
    </row>
    <row r="182" spans="1:21" ht="21" customHeight="1" x14ac:dyDescent="0.15">
      <c r="A182" s="83">
        <v>320</v>
      </c>
      <c r="B182" s="24" t="str">
        <f ca="1">VLOOKUP($A182,OFFSET([2]characters!$A$1,0,0,COUNTA([2]characters!$A:$A),MATCH(B$1,[2]characters!$1:$1,0)-MATCH($A$1,[2]characters!$1:$1,0)+1),MATCH(B$1,[2]characters!$1:$1,0)-MATCH($A$1,[2]characters!$1:$1,0)+1,FALSE)</f>
        <v>烈志士 近藤勇</v>
      </c>
      <c r="C182" s="24" t="str">
        <f ca="1">VLOOKUP($A182,OFFSET([2]characters!$A$1,0,0,COUNTA([2]characters!$A:$A),MATCH(C$1,[2]characters!$1:$1,0)-MATCH($A$1,[2]characters!$1:$1,0)+1),MATCH(C$1,[2]characters!$1:$1,0)-MATCH($A$1,[2]characters!$1:$1,0)+1,FALSE)</f>
        <v>ガチャ:幕末01</v>
      </c>
      <c r="D182" s="24" t="str">
        <f ca="1">VLOOKUP($A182,OFFSET([2]characters!$A$1,0,0,COUNTA([2]characters!$A:$A),MATCH(D$1,[2]characters!$1:$1,0)-MATCH($A$1,[2]characters!$1:$1,0)+1),MATCH(D$1,[2]characters!$1:$1,0)-MATCH($A$1,[2]characters!$1:$1,0)+1,FALSE)</f>
        <v>破界者</v>
      </c>
      <c r="E182" s="24" t="str">
        <f ca="1">VLOOKUP($A182,OFFSET([2]characters!$A$1,0,0,COUNTA([2]characters!$A:$A),MATCH(E$1,[2]characters!$1:$1,0)-MATCH($A$1,[2]characters!$1:$1,0)+1),MATCH(E$1,[2]characters!$1:$1,0)-MATCH($A$1,[2]characters!$1:$1,0)+1,FALSE)</f>
        <v>格好いい</v>
      </c>
      <c r="F182" s="24" t="str">
        <f ca="1">VLOOKUP($A182,OFFSET([2]characters!$A$1,0,0,COUNTA([2]characters!$A:$A),MATCH(F$1,[2]characters!$1:$1,0)-MATCH($A$1,[2]characters!$1:$1,0)+1),MATCH(F$1,[2]characters!$1:$1,0)-MATCH($A$1,[2]characters!$1:$1,0)+1,FALSE)</f>
        <v>男性</v>
      </c>
      <c r="G182" s="24">
        <f ca="1">VLOOKUP($A182,OFFSET([2]characters!$A$1,0,0,COUNTA([2]characters!$A:$A),MATCH(G$1,[2]characters!$1:$1,0)-MATCH($A$1,[2]characters!$1:$1,0)+1),MATCH(G$1,[2]characters!$1:$1,0)-MATCH($A$1,[2]characters!$1:$1,0)+1,FALSE)</f>
        <v>4</v>
      </c>
      <c r="H182" s="24" t="str">
        <f ca="1">VLOOKUP($A182,OFFSET([2]characters!$A$1,0,0,COUNTA([2]characters!$A:$A),MATCH(H$1,[2]characters!$1:$1,0)-MATCH($A$1,[2]characters!$1:$1,0)+1),MATCH(H$1,[2]characters!$1:$1,0)-MATCH($A$1,[2]characters!$1:$1,0)+1,FALSE)</f>
        <v>PremiumSS</v>
      </c>
      <c r="I182" s="24" t="str">
        <f ca="1">VLOOKUP($A182,OFFSET([2]characters!$A$1,0,0,COUNTA([2]characters!$A:$A),MATCH(I$1,[2]characters!$1:$1,0)-MATCH($A$1,[2]characters!$1:$1,0)+1),MATCH(I$1,[2]characters!$1:$1,0)-MATCH($A$1,[2]characters!$1:$1,0)+1,FALSE)</f>
        <v>red</v>
      </c>
      <c r="J182" s="24" t="str">
        <f ca="1">VLOOKUP($A182,OFFSET([2]characters!$A$1,0,0,COUNTA([2]characters!$A:$A),MATCH(J$1,[2]characters!$1:$1,0)-MATCH($A$1,[2]characters!$1:$1,0)+1),MATCH(J$1,[2]characters!$1:$1,0)-MATCH($A$1,[2]characters!$1:$1,0)+1,FALSE)</f>
        <v>none</v>
      </c>
      <c r="K182" s="3" t="str">
        <f ca="1">VLOOKUP(J182,[2]character_tribe_i18n!$A:$H,3,FALSE)</f>
        <v>種族なし</v>
      </c>
      <c r="L182" s="5" t="e">
        <f>VLOOKUP(#REF!,[2]character_tribe_i18n!$A:$H,4,FALSE)</f>
        <v>#REF!</v>
      </c>
      <c r="M182" s="5" t="e">
        <f>VLOOKUP(#REF!,[2]character_tribe_i18n!$A:$H,5,FALSE)</f>
        <v>#REF!</v>
      </c>
      <c r="N182" s="5" t="e">
        <f>VLOOKUP(#REF!,[2]character_tribe_i18n!$A:$H,6,FALSE)</f>
        <v>#REF!</v>
      </c>
      <c r="O182" s="5" t="e">
        <f>VLOOKUP(#REF!,[2]character_tribe_i18n!$A:$H,7,FALSE)</f>
        <v>#REF!</v>
      </c>
      <c r="P182" s="83" t="s">
        <v>170</v>
      </c>
      <c r="Q182" s="4">
        <v>321</v>
      </c>
      <c r="R182" s="25" t="str">
        <f ca="1">IF(Q182="NULL","",VLOOKUP($Q182,OFFSET([2]characters!$A$1,0,0,COUNTA([2]characters!$A:$A),MATCH(R$1,[2]characters!$1:$1,0)-MATCH($A$1,[2]characters!$1:$1,0)+1),MATCH(R$1,[2]characters!$1:$1,0)-MATCH($A$1,[2]characters!$1:$1,0)+1,FALSE))</f>
        <v>巌鉄の烈志士 近藤勇</v>
      </c>
      <c r="S182" s="3">
        <f t="shared" ca="1" si="2"/>
        <v>320</v>
      </c>
      <c r="T182" s="25" t="str">
        <f ca="1">VLOOKUP($S182,OFFSET([2]characters!$A$1,0,0,COUNTA([2]characters!$A:$A),MATCH(T$1,[2]characters!$1:$1,0)-MATCH($A$1,[2]characters!$1:$1,0)+1),MATCH(T$1,[2]characters!$1:$1,0)-MATCH($A$1,[2]characters!$1:$1,0)+1,FALSE)</f>
        <v>烈志士 近藤勇</v>
      </c>
      <c r="U182" s="5">
        <f ca="1">IF(Q182="NULL","NULL",VLOOKUP(G182,ビット!$A$2:$B$7,2))</f>
        <v>50000</v>
      </c>
    </row>
    <row r="183" spans="1:21" ht="21" customHeight="1" x14ac:dyDescent="0.15">
      <c r="A183" s="83">
        <v>322</v>
      </c>
      <c r="B183" s="24" t="str">
        <f ca="1">VLOOKUP($A183,OFFSET([2]characters!$A$1,0,0,COUNTA([2]characters!$A:$A),MATCH(B$1,[2]characters!$1:$1,0)-MATCH($A$1,[2]characters!$1:$1,0)+1),MATCH(B$1,[2]characters!$1:$1,0)-MATCH($A$1,[2]characters!$1:$1,0)+1,FALSE)</f>
        <v>愛志士 土方歳三</v>
      </c>
      <c r="C183" s="24" t="str">
        <f ca="1">VLOOKUP($A183,OFFSET([2]characters!$A$1,0,0,COUNTA([2]characters!$A:$A),MATCH(C$1,[2]characters!$1:$1,0)-MATCH($A$1,[2]characters!$1:$1,0)+1),MATCH(C$1,[2]characters!$1:$1,0)-MATCH($A$1,[2]characters!$1:$1,0)+1,FALSE)</f>
        <v>ガチャ:幕末01</v>
      </c>
      <c r="D183" s="24" t="str">
        <f ca="1">VLOOKUP($A183,OFFSET([2]characters!$A$1,0,0,COUNTA([2]characters!$A:$A),MATCH(D$1,[2]characters!$1:$1,0)-MATCH($A$1,[2]characters!$1:$1,0)+1),MATCH(D$1,[2]characters!$1:$1,0)-MATCH($A$1,[2]characters!$1:$1,0)+1,FALSE)</f>
        <v>破界者</v>
      </c>
      <c r="E183" s="24" t="str">
        <f ca="1">VLOOKUP($A183,OFFSET([2]characters!$A$1,0,0,COUNTA([2]characters!$A:$A),MATCH(E$1,[2]characters!$1:$1,0)-MATCH($A$1,[2]characters!$1:$1,0)+1),MATCH(E$1,[2]characters!$1:$1,0)-MATCH($A$1,[2]characters!$1:$1,0)+1,FALSE)</f>
        <v>美しい</v>
      </c>
      <c r="F183" s="24" t="str">
        <f ca="1">VLOOKUP($A183,OFFSET([2]characters!$A$1,0,0,COUNTA([2]characters!$A:$A),MATCH(F$1,[2]characters!$1:$1,0)-MATCH($A$1,[2]characters!$1:$1,0)+1),MATCH(F$1,[2]characters!$1:$1,0)-MATCH($A$1,[2]characters!$1:$1,0)+1,FALSE)</f>
        <v>女性</v>
      </c>
      <c r="G183" s="24">
        <f ca="1">VLOOKUP($A183,OFFSET([2]characters!$A$1,0,0,COUNTA([2]characters!$A:$A),MATCH(G$1,[2]characters!$1:$1,0)-MATCH($A$1,[2]characters!$1:$1,0)+1),MATCH(G$1,[2]characters!$1:$1,0)-MATCH($A$1,[2]characters!$1:$1,0)+1,FALSE)</f>
        <v>4</v>
      </c>
      <c r="H183" s="24" t="str">
        <f ca="1">VLOOKUP($A183,OFFSET([2]characters!$A$1,0,0,COUNTA([2]characters!$A:$A),MATCH(H$1,[2]characters!$1:$1,0)-MATCH($A$1,[2]characters!$1:$1,0)+1),MATCH(H$1,[2]characters!$1:$1,0)-MATCH($A$1,[2]characters!$1:$1,0)+1,FALSE)</f>
        <v>PremiumSS</v>
      </c>
      <c r="I183" s="24" t="str">
        <f ca="1">VLOOKUP($A183,OFFSET([2]characters!$A$1,0,0,COUNTA([2]characters!$A:$A),MATCH(I$1,[2]characters!$1:$1,0)-MATCH($A$1,[2]characters!$1:$1,0)+1),MATCH(I$1,[2]characters!$1:$1,0)-MATCH($A$1,[2]characters!$1:$1,0)+1,FALSE)</f>
        <v>green</v>
      </c>
      <c r="J183" s="24" t="str">
        <f ca="1">VLOOKUP($A183,OFFSET([2]characters!$A$1,0,0,COUNTA([2]characters!$A:$A),MATCH(J$1,[2]characters!$1:$1,0)-MATCH($A$1,[2]characters!$1:$1,0)+1),MATCH(J$1,[2]characters!$1:$1,0)-MATCH($A$1,[2]characters!$1:$1,0)+1,FALSE)</f>
        <v>none</v>
      </c>
      <c r="K183" s="3" t="str">
        <f ca="1">VLOOKUP(J183,[2]character_tribe_i18n!$A:$H,3,FALSE)</f>
        <v>種族なし</v>
      </c>
      <c r="L183" s="5" t="e">
        <f>VLOOKUP(#REF!,[2]character_tribe_i18n!$A:$H,4,FALSE)</f>
        <v>#REF!</v>
      </c>
      <c r="M183" s="5" t="e">
        <f>VLOOKUP(#REF!,[2]character_tribe_i18n!$A:$H,5,FALSE)</f>
        <v>#REF!</v>
      </c>
      <c r="N183" s="5" t="e">
        <f>VLOOKUP(#REF!,[2]character_tribe_i18n!$A:$H,6,FALSE)</f>
        <v>#REF!</v>
      </c>
      <c r="O183" s="5" t="e">
        <f>VLOOKUP(#REF!,[2]character_tribe_i18n!$A:$H,7,FALSE)</f>
        <v>#REF!</v>
      </c>
      <c r="P183" s="83" t="s">
        <v>170</v>
      </c>
      <c r="Q183" s="4">
        <v>323</v>
      </c>
      <c r="R183" s="25" t="str">
        <f ca="1">IF(Q183="NULL","",VLOOKUP($Q183,OFFSET([2]characters!$A$1,0,0,COUNTA([2]characters!$A:$A),MATCH(R$1,[2]characters!$1:$1,0)-MATCH($A$1,[2]characters!$1:$1,0)+1),MATCH(R$1,[2]characters!$1:$1,0)-MATCH($A$1,[2]characters!$1:$1,0)+1,FALSE))</f>
        <v>流麗の愛志士 土方歳三</v>
      </c>
      <c r="S183" s="3">
        <f t="shared" ca="1" si="2"/>
        <v>322</v>
      </c>
      <c r="T183" s="25" t="str">
        <f ca="1">VLOOKUP($S183,OFFSET([2]characters!$A$1,0,0,COUNTA([2]characters!$A:$A),MATCH(T$1,[2]characters!$1:$1,0)-MATCH($A$1,[2]characters!$1:$1,0)+1),MATCH(T$1,[2]characters!$1:$1,0)-MATCH($A$1,[2]characters!$1:$1,0)+1,FALSE)</f>
        <v>愛志士 土方歳三</v>
      </c>
      <c r="U183" s="5">
        <f ca="1">IF(Q183="NULL","NULL",VLOOKUP(G183,ビット!$A$2:$B$7,2))</f>
        <v>50000</v>
      </c>
    </row>
    <row r="184" spans="1:21" ht="21" customHeight="1" x14ac:dyDescent="0.15">
      <c r="A184" s="83">
        <v>324</v>
      </c>
      <c r="B184" s="24" t="str">
        <f ca="1">VLOOKUP($A184,OFFSET([2]characters!$A$1,0,0,COUNTA([2]characters!$A:$A),MATCH(B$1,[2]characters!$1:$1,0)-MATCH($A$1,[2]characters!$1:$1,0)+1),MATCH(B$1,[2]characters!$1:$1,0)-MATCH($A$1,[2]characters!$1:$1,0)+1,FALSE)</f>
        <v>凛志士 沖田総司</v>
      </c>
      <c r="C184" s="24" t="str">
        <f ca="1">VLOOKUP($A184,OFFSET([2]characters!$A$1,0,0,COUNTA([2]characters!$A:$A),MATCH(C$1,[2]characters!$1:$1,0)-MATCH($A$1,[2]characters!$1:$1,0)+1),MATCH(C$1,[2]characters!$1:$1,0)-MATCH($A$1,[2]characters!$1:$1,0)+1,FALSE)</f>
        <v>ガチャ:幕末01</v>
      </c>
      <c r="D184" s="24" t="str">
        <f ca="1">VLOOKUP($A184,OFFSET([2]characters!$A$1,0,0,COUNTA([2]characters!$A:$A),MATCH(D$1,[2]characters!$1:$1,0)-MATCH($A$1,[2]characters!$1:$1,0)+1),MATCH(D$1,[2]characters!$1:$1,0)-MATCH($A$1,[2]characters!$1:$1,0)+1,FALSE)</f>
        <v>破界者</v>
      </c>
      <c r="E184" s="24" t="str">
        <f ca="1">VLOOKUP($A184,OFFSET([2]characters!$A$1,0,0,COUNTA([2]characters!$A:$A),MATCH(E$1,[2]characters!$1:$1,0)-MATCH($A$1,[2]characters!$1:$1,0)+1),MATCH(E$1,[2]characters!$1:$1,0)-MATCH($A$1,[2]characters!$1:$1,0)+1,FALSE)</f>
        <v>可愛い</v>
      </c>
      <c r="F184" s="24" t="str">
        <f ca="1">VLOOKUP($A184,OFFSET([2]characters!$A$1,0,0,COUNTA([2]characters!$A:$A),MATCH(F$1,[2]characters!$1:$1,0)-MATCH($A$1,[2]characters!$1:$1,0)+1),MATCH(F$1,[2]characters!$1:$1,0)-MATCH($A$1,[2]characters!$1:$1,0)+1,FALSE)</f>
        <v>女性</v>
      </c>
      <c r="G184" s="24">
        <f ca="1">VLOOKUP($A184,OFFSET([2]characters!$A$1,0,0,COUNTA([2]characters!$A:$A),MATCH(G$1,[2]characters!$1:$1,0)-MATCH($A$1,[2]characters!$1:$1,0)+1),MATCH(G$1,[2]characters!$1:$1,0)-MATCH($A$1,[2]characters!$1:$1,0)+1,FALSE)</f>
        <v>4</v>
      </c>
      <c r="H184" s="24" t="str">
        <f ca="1">VLOOKUP($A184,OFFSET([2]characters!$A$1,0,0,COUNTA([2]characters!$A:$A),MATCH(H$1,[2]characters!$1:$1,0)-MATCH($A$1,[2]characters!$1:$1,0)+1),MATCH(H$1,[2]characters!$1:$1,0)-MATCH($A$1,[2]characters!$1:$1,0)+1,FALSE)</f>
        <v>PremiumSS</v>
      </c>
      <c r="I184" s="24" t="str">
        <f ca="1">VLOOKUP($A184,OFFSET([2]characters!$A$1,0,0,COUNTA([2]characters!$A:$A),MATCH(I$1,[2]characters!$1:$1,0)-MATCH($A$1,[2]characters!$1:$1,0)+1),MATCH(I$1,[2]characters!$1:$1,0)-MATCH($A$1,[2]characters!$1:$1,0)+1,FALSE)</f>
        <v>blue</v>
      </c>
      <c r="J184" s="24" t="str">
        <f ca="1">VLOOKUP($A184,OFFSET([2]characters!$A$1,0,0,COUNTA([2]characters!$A:$A),MATCH(J$1,[2]characters!$1:$1,0)-MATCH($A$1,[2]characters!$1:$1,0)+1),MATCH(J$1,[2]characters!$1:$1,0)-MATCH($A$1,[2]characters!$1:$1,0)+1,FALSE)</f>
        <v>none</v>
      </c>
      <c r="K184" s="3" t="str">
        <f ca="1">VLOOKUP(J184,[2]character_tribe_i18n!$A:$H,3,FALSE)</f>
        <v>種族なし</v>
      </c>
      <c r="L184" s="5" t="e">
        <f>VLOOKUP(#REF!,[2]character_tribe_i18n!$A:$H,4,FALSE)</f>
        <v>#REF!</v>
      </c>
      <c r="M184" s="5" t="e">
        <f>VLOOKUP(#REF!,[2]character_tribe_i18n!$A:$H,5,FALSE)</f>
        <v>#REF!</v>
      </c>
      <c r="N184" s="5" t="e">
        <f>VLOOKUP(#REF!,[2]character_tribe_i18n!$A:$H,6,FALSE)</f>
        <v>#REF!</v>
      </c>
      <c r="O184" s="5" t="e">
        <f>VLOOKUP(#REF!,[2]character_tribe_i18n!$A:$H,7,FALSE)</f>
        <v>#REF!</v>
      </c>
      <c r="P184" s="83" t="s">
        <v>170</v>
      </c>
      <c r="Q184" s="4">
        <v>325</v>
      </c>
      <c r="R184" s="25" t="str">
        <f ca="1">IF(Q184="NULL","",VLOOKUP($Q184,OFFSET([2]characters!$A$1,0,0,COUNTA([2]characters!$A:$A),MATCH(R$1,[2]characters!$1:$1,0)-MATCH($A$1,[2]characters!$1:$1,0)+1),MATCH(R$1,[2]characters!$1:$1,0)-MATCH($A$1,[2]characters!$1:$1,0)+1,FALSE))</f>
        <v>天賦の凛志士 沖田総司</v>
      </c>
      <c r="S184" s="3">
        <f t="shared" ca="1" si="2"/>
        <v>324</v>
      </c>
      <c r="T184" s="25" t="str">
        <f ca="1">VLOOKUP($S184,OFFSET([2]characters!$A$1,0,0,COUNTA([2]characters!$A:$A),MATCH(T$1,[2]characters!$1:$1,0)-MATCH($A$1,[2]characters!$1:$1,0)+1),MATCH(T$1,[2]characters!$1:$1,0)-MATCH($A$1,[2]characters!$1:$1,0)+1,FALSE)</f>
        <v>凛志士 沖田総司</v>
      </c>
      <c r="U184" s="5">
        <f ca="1">IF(Q184="NULL","NULL",VLOOKUP(G184,ビット!$A$2:$B$7,2))</f>
        <v>50000</v>
      </c>
    </row>
    <row r="185" spans="1:21" ht="21" customHeight="1" x14ac:dyDescent="0.15">
      <c r="A185" s="83">
        <v>325</v>
      </c>
      <c r="B185" s="24" t="str">
        <f ca="1">VLOOKUP($A185,OFFSET([2]characters!$A$1,0,0,COUNTA([2]characters!$A:$A),MATCH(B$1,[2]characters!$1:$1,0)-MATCH($A$1,[2]characters!$1:$1,0)+1),MATCH(B$1,[2]characters!$1:$1,0)-MATCH($A$1,[2]characters!$1:$1,0)+1,FALSE)</f>
        <v>天賦の凛志士 沖田総司</v>
      </c>
      <c r="C185" s="24" t="str">
        <f ca="1">VLOOKUP($A185,OFFSET([2]characters!$A$1,0,0,COUNTA([2]characters!$A:$A),MATCH(C$1,[2]characters!$1:$1,0)-MATCH($A$1,[2]characters!$1:$1,0)+1),MATCH(C$1,[2]characters!$1:$1,0)-MATCH($A$1,[2]characters!$1:$1,0)+1,FALSE)</f>
        <v>ガチャ:幕末01</v>
      </c>
      <c r="D185" s="24" t="str">
        <f ca="1">VLOOKUP($A185,OFFSET([2]characters!$A$1,0,0,COUNTA([2]characters!$A:$A),MATCH(D$1,[2]characters!$1:$1,0)-MATCH($A$1,[2]characters!$1:$1,0)+1),MATCH(D$1,[2]characters!$1:$1,0)-MATCH($A$1,[2]characters!$1:$1,0)+1,FALSE)</f>
        <v>破界者</v>
      </c>
      <c r="E185" s="24" t="str">
        <f ca="1">VLOOKUP($A185,OFFSET([2]characters!$A$1,0,0,COUNTA([2]characters!$A:$A),MATCH(E$1,[2]characters!$1:$1,0)-MATCH($A$1,[2]characters!$1:$1,0)+1),MATCH(E$1,[2]characters!$1:$1,0)-MATCH($A$1,[2]characters!$1:$1,0)+1,FALSE)</f>
        <v>可愛い</v>
      </c>
      <c r="F185" s="24" t="str">
        <f ca="1">VLOOKUP($A185,OFFSET([2]characters!$A$1,0,0,COUNTA([2]characters!$A:$A),MATCH(F$1,[2]characters!$1:$1,0)-MATCH($A$1,[2]characters!$1:$1,0)+1),MATCH(F$1,[2]characters!$1:$1,0)-MATCH($A$1,[2]characters!$1:$1,0)+1,FALSE)</f>
        <v>女性</v>
      </c>
      <c r="G185" s="24">
        <f ca="1">VLOOKUP($A185,OFFSET([2]characters!$A$1,0,0,COUNTA([2]characters!$A:$A),MATCH(G$1,[2]characters!$1:$1,0)-MATCH($A$1,[2]characters!$1:$1,0)+1),MATCH(G$1,[2]characters!$1:$1,0)-MATCH($A$1,[2]characters!$1:$1,0)+1,FALSE)</f>
        <v>5</v>
      </c>
      <c r="H185" s="24" t="str">
        <f ca="1">VLOOKUP($A185,OFFSET([2]characters!$A$1,0,0,COUNTA([2]characters!$A:$A),MATCH(H$1,[2]characters!$1:$1,0)-MATCH($A$1,[2]characters!$1:$1,0)+1),MATCH(H$1,[2]characters!$1:$1,0)-MATCH($A$1,[2]characters!$1:$1,0)+1,FALSE)</f>
        <v>PremiumSS</v>
      </c>
      <c r="I185" s="24" t="str">
        <f ca="1">VLOOKUP($A185,OFFSET([2]characters!$A$1,0,0,COUNTA([2]characters!$A:$A),MATCH(I$1,[2]characters!$1:$1,0)-MATCH($A$1,[2]characters!$1:$1,0)+1),MATCH(I$1,[2]characters!$1:$1,0)-MATCH($A$1,[2]characters!$1:$1,0)+1,FALSE)</f>
        <v>blue</v>
      </c>
      <c r="J185" s="24" t="str">
        <f ca="1">VLOOKUP($A185,OFFSET([2]characters!$A$1,0,0,COUNTA([2]characters!$A:$A),MATCH(J$1,[2]characters!$1:$1,0)-MATCH($A$1,[2]characters!$1:$1,0)+1),MATCH(J$1,[2]characters!$1:$1,0)-MATCH($A$1,[2]characters!$1:$1,0)+1,FALSE)</f>
        <v>none</v>
      </c>
      <c r="K185" s="3" t="str">
        <f ca="1">VLOOKUP(J185,[2]character_tribe_i18n!$A:$H,3,FALSE)</f>
        <v>種族なし</v>
      </c>
      <c r="L185" s="5" t="e">
        <f>VLOOKUP(#REF!,[2]character_tribe_i18n!$A:$H,4,FALSE)</f>
        <v>#REF!</v>
      </c>
      <c r="M185" s="5" t="e">
        <f>VLOOKUP(#REF!,[2]character_tribe_i18n!$A:$H,5,FALSE)</f>
        <v>#REF!</v>
      </c>
      <c r="N185" s="5" t="e">
        <f>VLOOKUP(#REF!,[2]character_tribe_i18n!$A:$H,6,FALSE)</f>
        <v>#REF!</v>
      </c>
      <c r="O185" s="5" t="e">
        <f>VLOOKUP(#REF!,[2]character_tribe_i18n!$A:$H,7,FALSE)</f>
        <v>#REF!</v>
      </c>
      <c r="P185" s="83" t="s">
        <v>170</v>
      </c>
      <c r="Q185" s="4">
        <v>809</v>
      </c>
      <c r="R185" s="25" t="str">
        <f ca="1">IF(Q185="NULL","",VLOOKUP($Q185,OFFSET([2]characters!$A$1,0,0,COUNTA([2]characters!$A:$A),MATCH(R$1,[2]characters!$1:$1,0)-MATCH($A$1,[2]characters!$1:$1,0)+1),MATCH(R$1,[2]characters!$1:$1,0)-MATCH($A$1,[2]characters!$1:$1,0)+1,FALSE))</f>
        <v>天然理心の激凛 沖田総司</v>
      </c>
      <c r="S185" s="3">
        <f t="shared" ca="1" si="2"/>
        <v>324</v>
      </c>
      <c r="T185" s="25" t="str">
        <f ca="1">VLOOKUP($S185,OFFSET([2]characters!$A$1,0,0,COUNTA([2]characters!$A:$A),MATCH(T$1,[2]characters!$1:$1,0)-MATCH($A$1,[2]characters!$1:$1,0)+1),MATCH(T$1,[2]characters!$1:$1,0)-MATCH($A$1,[2]characters!$1:$1,0)+1,FALSE)</f>
        <v>凛志士 沖田総司</v>
      </c>
      <c r="U185" s="5">
        <f ca="1">IF(Q185="NULL","NULL",VLOOKUP(G185,ビット!$A$2:$B$7,2))</f>
        <v>200000</v>
      </c>
    </row>
    <row r="186" spans="1:21" ht="21" customHeight="1" x14ac:dyDescent="0.15">
      <c r="A186" s="83">
        <v>326</v>
      </c>
      <c r="B186" s="24" t="str">
        <f ca="1">VLOOKUP($A186,OFFSET([2]characters!$A$1,0,0,COUNTA([2]characters!$A:$A),MATCH(B$1,[2]characters!$1:$1,0)-MATCH($A$1,[2]characters!$1:$1,0)+1),MATCH(B$1,[2]characters!$1:$1,0)-MATCH($A$1,[2]characters!$1:$1,0)+1,FALSE)</f>
        <v>妖志士 斎藤一</v>
      </c>
      <c r="C186" s="24" t="str">
        <f ca="1">VLOOKUP($A186,OFFSET([2]characters!$A$1,0,0,COUNTA([2]characters!$A:$A),MATCH(C$1,[2]characters!$1:$1,0)-MATCH($A$1,[2]characters!$1:$1,0)+1),MATCH(C$1,[2]characters!$1:$1,0)-MATCH($A$1,[2]characters!$1:$1,0)+1,FALSE)</f>
        <v>ガチャ:幕末01</v>
      </c>
      <c r="D186" s="24" t="str">
        <f ca="1">VLOOKUP($A186,OFFSET([2]characters!$A$1,0,0,COUNTA([2]characters!$A:$A),MATCH(D$1,[2]characters!$1:$1,0)-MATCH($A$1,[2]characters!$1:$1,0)+1),MATCH(D$1,[2]characters!$1:$1,0)-MATCH($A$1,[2]characters!$1:$1,0)+1,FALSE)</f>
        <v>破界者</v>
      </c>
      <c r="E186" s="24" t="str">
        <f ca="1">VLOOKUP($A186,OFFSET([2]characters!$A$1,0,0,COUNTA([2]characters!$A:$A),MATCH(E$1,[2]characters!$1:$1,0)-MATCH($A$1,[2]characters!$1:$1,0)+1),MATCH(E$1,[2]characters!$1:$1,0)-MATCH($A$1,[2]characters!$1:$1,0)+1,FALSE)</f>
        <v>美しい</v>
      </c>
      <c r="F186" s="24" t="str">
        <f ca="1">VLOOKUP($A186,OFFSET([2]characters!$A$1,0,0,COUNTA([2]characters!$A:$A),MATCH(F$1,[2]characters!$1:$1,0)-MATCH($A$1,[2]characters!$1:$1,0)+1),MATCH(F$1,[2]characters!$1:$1,0)-MATCH($A$1,[2]characters!$1:$1,0)+1,FALSE)</f>
        <v>女性</v>
      </c>
      <c r="G186" s="24">
        <f ca="1">VLOOKUP($A186,OFFSET([2]characters!$A$1,0,0,COUNTA([2]characters!$A:$A),MATCH(G$1,[2]characters!$1:$1,0)-MATCH($A$1,[2]characters!$1:$1,0)+1),MATCH(G$1,[2]characters!$1:$1,0)-MATCH($A$1,[2]characters!$1:$1,0)+1,FALSE)</f>
        <v>4</v>
      </c>
      <c r="H186" s="24" t="str">
        <f ca="1">VLOOKUP($A186,OFFSET([2]characters!$A$1,0,0,COUNTA([2]characters!$A:$A),MATCH(H$1,[2]characters!$1:$1,0)-MATCH($A$1,[2]characters!$1:$1,0)+1),MATCH(H$1,[2]characters!$1:$1,0)-MATCH($A$1,[2]characters!$1:$1,0)+1,FALSE)</f>
        <v>PremiumSS</v>
      </c>
      <c r="I186" s="24" t="str">
        <f ca="1">VLOOKUP($A186,OFFSET([2]characters!$A$1,0,0,COUNTA([2]characters!$A:$A),MATCH(I$1,[2]characters!$1:$1,0)-MATCH($A$1,[2]characters!$1:$1,0)+1),MATCH(I$1,[2]characters!$1:$1,0)-MATCH($A$1,[2]characters!$1:$1,0)+1,FALSE)</f>
        <v>yellow</v>
      </c>
      <c r="J186" s="24" t="str">
        <f ca="1">VLOOKUP($A186,OFFSET([2]characters!$A$1,0,0,COUNTA([2]characters!$A:$A),MATCH(J$1,[2]characters!$1:$1,0)-MATCH($A$1,[2]characters!$1:$1,0)+1),MATCH(J$1,[2]characters!$1:$1,0)-MATCH($A$1,[2]characters!$1:$1,0)+1,FALSE)</f>
        <v>none</v>
      </c>
      <c r="K186" s="3" t="str">
        <f ca="1">VLOOKUP(J186,[2]character_tribe_i18n!$A:$H,3,FALSE)</f>
        <v>種族なし</v>
      </c>
      <c r="L186" s="5" t="e">
        <f>VLOOKUP(#REF!,[2]character_tribe_i18n!$A:$H,4,FALSE)</f>
        <v>#REF!</v>
      </c>
      <c r="M186" s="5" t="e">
        <f>VLOOKUP(#REF!,[2]character_tribe_i18n!$A:$H,5,FALSE)</f>
        <v>#REF!</v>
      </c>
      <c r="N186" s="5" t="e">
        <f>VLOOKUP(#REF!,[2]character_tribe_i18n!$A:$H,6,FALSE)</f>
        <v>#REF!</v>
      </c>
      <c r="O186" s="5" t="e">
        <f>VLOOKUP(#REF!,[2]character_tribe_i18n!$A:$H,7,FALSE)</f>
        <v>#REF!</v>
      </c>
      <c r="P186" s="83" t="s">
        <v>170</v>
      </c>
      <c r="Q186" s="4">
        <v>327</v>
      </c>
      <c r="R186" s="25" t="str">
        <f ca="1">IF(Q186="NULL","",VLOOKUP($Q186,OFFSET([2]characters!$A$1,0,0,COUNTA([2]characters!$A:$A),MATCH(R$1,[2]characters!$1:$1,0)-MATCH($A$1,[2]characters!$1:$1,0)+1),MATCH(R$1,[2]characters!$1:$1,0)-MATCH($A$1,[2]characters!$1:$1,0)+1,FALSE))</f>
        <v>千殺の妖志士 斎藤一</v>
      </c>
      <c r="S186" s="3">
        <f t="shared" ca="1" si="2"/>
        <v>326</v>
      </c>
      <c r="T186" s="25" t="str">
        <f ca="1">VLOOKUP($S186,OFFSET([2]characters!$A$1,0,0,COUNTA([2]characters!$A:$A),MATCH(T$1,[2]characters!$1:$1,0)-MATCH($A$1,[2]characters!$1:$1,0)+1),MATCH(T$1,[2]characters!$1:$1,0)-MATCH($A$1,[2]characters!$1:$1,0)+1,FALSE)</f>
        <v>妖志士 斎藤一</v>
      </c>
      <c r="U186" s="5">
        <f ca="1">IF(Q186="NULL","NULL",VLOOKUP(G186,ビット!$A$2:$B$7,2))</f>
        <v>50000</v>
      </c>
    </row>
    <row r="187" spans="1:21" ht="21" customHeight="1" x14ac:dyDescent="0.15">
      <c r="A187" s="83">
        <v>328</v>
      </c>
      <c r="B187" s="24" t="str">
        <f ca="1">VLOOKUP($A187,OFFSET([2]characters!$A$1,0,0,COUNTA([2]characters!$A:$A),MATCH(B$1,[2]characters!$1:$1,0)-MATCH($A$1,[2]characters!$1:$1,0)+1),MATCH(B$1,[2]characters!$1:$1,0)-MATCH($A$1,[2]characters!$1:$1,0)+1,FALSE)</f>
        <v>麒麟クエストアイコンシルエット</v>
      </c>
      <c r="C187" s="24" t="str">
        <f ca="1">VLOOKUP($A187,OFFSET([2]characters!$A$1,0,0,COUNTA([2]characters!$A:$A),MATCH(C$1,[2]characters!$1:$1,0)-MATCH($A$1,[2]characters!$1:$1,0)+1),MATCH(C$1,[2]characters!$1:$1,0)-MATCH($A$1,[2]characters!$1:$1,0)+1,FALSE)</f>
        <v>未定</v>
      </c>
      <c r="D187" s="24">
        <f ca="1">VLOOKUP($A187,OFFSET([2]characters!$A$1,0,0,COUNTA([2]characters!$A:$A),MATCH(D$1,[2]characters!$1:$1,0)-MATCH($A$1,[2]characters!$1:$1,0)+1),MATCH(D$1,[2]characters!$1:$1,0)-MATCH($A$1,[2]characters!$1:$1,0)+1,FALSE)</f>
        <v>0</v>
      </c>
      <c r="E187" s="24">
        <f ca="1">VLOOKUP($A187,OFFSET([2]characters!$A$1,0,0,COUNTA([2]characters!$A:$A),MATCH(E$1,[2]characters!$1:$1,0)-MATCH($A$1,[2]characters!$1:$1,0)+1),MATCH(E$1,[2]characters!$1:$1,0)-MATCH($A$1,[2]characters!$1:$1,0)+1,FALSE)</f>
        <v>0</v>
      </c>
      <c r="F187" s="24">
        <f ca="1">VLOOKUP($A187,OFFSET([2]characters!$A$1,0,0,COUNTA([2]characters!$A:$A),MATCH(F$1,[2]characters!$1:$1,0)-MATCH($A$1,[2]characters!$1:$1,0)+1),MATCH(F$1,[2]characters!$1:$1,0)-MATCH($A$1,[2]characters!$1:$1,0)+1,FALSE)</f>
        <v>0</v>
      </c>
      <c r="G187" s="24">
        <f ca="1">VLOOKUP($A187,OFFSET([2]characters!$A$1,0,0,COUNTA([2]characters!$A:$A),MATCH(G$1,[2]characters!$1:$1,0)-MATCH($A$1,[2]characters!$1:$1,0)+1),MATCH(G$1,[2]characters!$1:$1,0)-MATCH($A$1,[2]characters!$1:$1,0)+1,FALSE)</f>
        <v>4</v>
      </c>
      <c r="H187" s="24" t="str">
        <f ca="1">VLOOKUP($A187,OFFSET([2]characters!$A$1,0,0,COUNTA([2]characters!$A:$A),MATCH(H$1,[2]characters!$1:$1,0)-MATCH($A$1,[2]characters!$1:$1,0)+1),MATCH(H$1,[2]characters!$1:$1,0)-MATCH($A$1,[2]characters!$1:$1,0)+1,FALSE)</f>
        <v>PremiumS</v>
      </c>
      <c r="I187" s="24" t="str">
        <f ca="1">VLOOKUP($A187,OFFSET([2]characters!$A$1,0,0,COUNTA([2]characters!$A:$A),MATCH(I$1,[2]characters!$1:$1,0)-MATCH($A$1,[2]characters!$1:$1,0)+1),MATCH(I$1,[2]characters!$1:$1,0)-MATCH($A$1,[2]characters!$1:$1,0)+1,FALSE)</f>
        <v>yellow</v>
      </c>
      <c r="J187" s="24" t="str">
        <f ca="1">VLOOKUP($A187,OFFSET([2]characters!$A$1,0,0,COUNTA([2]characters!$A:$A),MATCH(J$1,[2]characters!$1:$1,0)-MATCH($A$1,[2]characters!$1:$1,0)+1),MATCH(J$1,[2]characters!$1:$1,0)-MATCH($A$1,[2]characters!$1:$1,0)+1,FALSE)</f>
        <v>none</v>
      </c>
      <c r="K187" s="3" t="str">
        <f ca="1">VLOOKUP(J187,[2]character_tribe_i18n!$A:$H,3,FALSE)</f>
        <v>種族なし</v>
      </c>
      <c r="L187" s="5" t="e">
        <f>VLOOKUP(#REF!,[2]character_tribe_i18n!$A:$H,4,FALSE)</f>
        <v>#REF!</v>
      </c>
      <c r="M187" s="5" t="e">
        <f>VLOOKUP(#REF!,[2]character_tribe_i18n!$A:$H,5,FALSE)</f>
        <v>#REF!</v>
      </c>
      <c r="N187" s="5" t="e">
        <f>VLOOKUP(#REF!,[2]character_tribe_i18n!$A:$H,6,FALSE)</f>
        <v>#REF!</v>
      </c>
      <c r="O187" s="5" t="e">
        <f>VLOOKUP(#REF!,[2]character_tribe_i18n!$A:$H,7,FALSE)</f>
        <v>#REF!</v>
      </c>
      <c r="P187" s="83" t="s">
        <v>170</v>
      </c>
      <c r="Q187" s="4">
        <v>329</v>
      </c>
      <c r="R187" s="25" t="str">
        <f ca="1">IF(Q187="NULL","",VLOOKUP($Q187,OFFSET([2]characters!$A$1,0,0,COUNTA([2]characters!$A:$A),MATCH(R$1,[2]characters!$1:$1,0)-MATCH($A$1,[2]characters!$1:$1,0)+1),MATCH(R$1,[2]characters!$1:$1,0)-MATCH($A$1,[2]characters!$1:$1,0)+1,FALSE))</f>
        <v>麒麟クエストアイコンシルエット</v>
      </c>
      <c r="S187" s="3">
        <f t="shared" ca="1" si="2"/>
        <v>328</v>
      </c>
      <c r="T187" s="25" t="str">
        <f ca="1">VLOOKUP($S187,OFFSET([2]characters!$A$1,0,0,COUNTA([2]characters!$A:$A),MATCH(T$1,[2]characters!$1:$1,0)-MATCH($A$1,[2]characters!$1:$1,0)+1),MATCH(T$1,[2]characters!$1:$1,0)-MATCH($A$1,[2]characters!$1:$1,0)+1,FALSE)</f>
        <v>麒麟クエストアイコンシルエット</v>
      </c>
      <c r="U187" s="5">
        <f ca="1">IF(Q187="NULL","NULL",VLOOKUP(G187,ビット!$A$2:$B$7,2))</f>
        <v>50000</v>
      </c>
    </row>
    <row r="188" spans="1:21" ht="21" customHeight="1" x14ac:dyDescent="0.15">
      <c r="A188" s="83">
        <v>330</v>
      </c>
      <c r="B188" s="24" t="str">
        <f ca="1">VLOOKUP($A188,OFFSET([2]characters!$A$1,0,0,COUNTA([2]characters!$A:$A),MATCH(B$1,[2]characters!$1:$1,0)-MATCH($A$1,[2]characters!$1:$1,0)+1),MATCH(B$1,[2]characters!$1:$1,0)-MATCH($A$1,[2]characters!$1:$1,0)+1,FALSE)</f>
        <v>UsagiChan</v>
      </c>
      <c r="C188" s="24" t="str">
        <f ca="1">VLOOKUP($A188,OFFSET([2]characters!$A$1,0,0,COUNTA([2]characters!$A:$A),MATCH(C$1,[2]characters!$1:$1,0)-MATCH($A$1,[2]characters!$1:$1,0)+1),MATCH(C$1,[2]characters!$1:$1,0)-MATCH($A$1,[2]characters!$1:$1,0)+1,FALSE)</f>
        <v>未定</v>
      </c>
      <c r="D188" s="24">
        <f ca="1">VLOOKUP($A188,OFFSET([2]characters!$A$1,0,0,COUNTA([2]characters!$A:$A),MATCH(D$1,[2]characters!$1:$1,0)-MATCH($A$1,[2]characters!$1:$1,0)+1),MATCH(D$1,[2]characters!$1:$1,0)-MATCH($A$1,[2]characters!$1:$1,0)+1,FALSE)</f>
        <v>0</v>
      </c>
      <c r="E188" s="24">
        <f ca="1">VLOOKUP($A188,OFFSET([2]characters!$A$1,0,0,COUNTA([2]characters!$A:$A),MATCH(E$1,[2]characters!$1:$1,0)-MATCH($A$1,[2]characters!$1:$1,0)+1),MATCH(E$1,[2]characters!$1:$1,0)-MATCH($A$1,[2]characters!$1:$1,0)+1,FALSE)</f>
        <v>0</v>
      </c>
      <c r="F188" s="24">
        <f ca="1">VLOOKUP($A188,OFFSET([2]characters!$A$1,0,0,COUNTA([2]characters!$A:$A),MATCH(F$1,[2]characters!$1:$1,0)-MATCH($A$1,[2]characters!$1:$1,0)+1),MATCH(F$1,[2]characters!$1:$1,0)-MATCH($A$1,[2]characters!$1:$1,0)+1,FALSE)</f>
        <v>0</v>
      </c>
      <c r="G188" s="24">
        <f ca="1">VLOOKUP($A188,OFFSET([2]characters!$A$1,0,0,COUNTA([2]characters!$A:$A),MATCH(G$1,[2]characters!$1:$1,0)-MATCH($A$1,[2]characters!$1:$1,0)+1),MATCH(G$1,[2]characters!$1:$1,0)-MATCH($A$1,[2]characters!$1:$1,0)+1,FALSE)</f>
        <v>4</v>
      </c>
      <c r="H188" s="24" t="str">
        <f ca="1">VLOOKUP($A188,OFFSET([2]characters!$A$1,0,0,COUNTA([2]characters!$A:$A),MATCH(H$1,[2]characters!$1:$1,0)-MATCH($A$1,[2]characters!$1:$1,0)+1),MATCH(H$1,[2]characters!$1:$1,0)-MATCH($A$1,[2]characters!$1:$1,0)+1,FALSE)</f>
        <v>DropWizSSS</v>
      </c>
      <c r="I188" s="24" t="str">
        <f ca="1">VLOOKUP($A188,OFFSET([2]characters!$A$1,0,0,COUNTA([2]characters!$A:$A),MATCH(I$1,[2]characters!$1:$1,0)-MATCH($A$1,[2]characters!$1:$1,0)+1),MATCH(I$1,[2]characters!$1:$1,0)-MATCH($A$1,[2]characters!$1:$1,0)+1,FALSE)</f>
        <v>blue</v>
      </c>
      <c r="J188" s="24" t="str">
        <f ca="1">VLOOKUP($A188,OFFSET([2]characters!$A$1,0,0,COUNTA([2]characters!$A:$A),MATCH(J$1,[2]characters!$1:$1,0)-MATCH($A$1,[2]characters!$1:$1,0)+1),MATCH(J$1,[2]characters!$1:$1,0)-MATCH($A$1,[2]characters!$1:$1,0)+1,FALSE)</f>
        <v>god</v>
      </c>
      <c r="K188" s="3" t="str">
        <f ca="1">VLOOKUP(J188,[2]character_tribe_i18n!$A:$H,3,FALSE)</f>
        <v>ゴッド</v>
      </c>
      <c r="L188" s="5" t="e">
        <f>VLOOKUP(#REF!,[2]character_tribe_i18n!$A:$H,4,FALSE)</f>
        <v>#REF!</v>
      </c>
      <c r="M188" s="5" t="e">
        <f>VLOOKUP(#REF!,[2]character_tribe_i18n!$A:$H,5,FALSE)</f>
        <v>#REF!</v>
      </c>
      <c r="N188" s="5" t="e">
        <f>VLOOKUP(#REF!,[2]character_tribe_i18n!$A:$H,6,FALSE)</f>
        <v>#REF!</v>
      </c>
      <c r="O188" s="5" t="e">
        <f>VLOOKUP(#REF!,[2]character_tribe_i18n!$A:$H,7,FALSE)</f>
        <v>#REF!</v>
      </c>
      <c r="P188" s="83" t="s">
        <v>170</v>
      </c>
      <c r="Q188" s="4">
        <v>331</v>
      </c>
      <c r="R188" s="25" t="str">
        <f ca="1">IF(Q188="NULL","",VLOOKUP($Q188,OFFSET([2]characters!$A$1,0,0,COUNTA([2]characters!$A:$A),MATCH(R$1,[2]characters!$1:$1,0)-MATCH($A$1,[2]characters!$1:$1,0)+1),MATCH(R$1,[2]characters!$1:$1,0)-MATCH($A$1,[2]characters!$1:$1,0)+1,FALSE))</f>
        <v>オーディンクエストアイコンシルエット</v>
      </c>
      <c r="S188" s="3">
        <f t="shared" ca="1" si="2"/>
        <v>330</v>
      </c>
      <c r="T188" s="25" t="str">
        <f ca="1">VLOOKUP($S188,OFFSET([2]characters!$A$1,0,0,COUNTA([2]characters!$A:$A),MATCH(T$1,[2]characters!$1:$1,0)-MATCH($A$1,[2]characters!$1:$1,0)+1),MATCH(T$1,[2]characters!$1:$1,0)-MATCH($A$1,[2]characters!$1:$1,0)+1,FALSE)</f>
        <v>UsagiChan</v>
      </c>
      <c r="U188" s="5">
        <f ca="1">IF(Q188="NULL","NULL",VLOOKUP(G188,ビット!$A$2:$B$7,2))</f>
        <v>50000</v>
      </c>
    </row>
    <row r="189" spans="1:21" ht="21" customHeight="1" x14ac:dyDescent="0.15">
      <c r="A189" s="83">
        <v>332</v>
      </c>
      <c r="B189" s="24" t="str">
        <f ca="1">VLOOKUP($A189,OFFSET([2]characters!$A$1,0,0,COUNTA([2]characters!$A:$A),MATCH(B$1,[2]characters!$1:$1,0)-MATCH($A$1,[2]characters!$1:$1,0)+1),MATCH(B$1,[2]characters!$1:$1,0)-MATCH($A$1,[2]characters!$1:$1,0)+1,FALSE)</f>
        <v>炎のメタルピヨピヨ</v>
      </c>
      <c r="C189" s="24" t="str">
        <f ca="1">VLOOKUP($A189,OFFSET([2]characters!$A$1,0,0,COUNTA([2]characters!$A:$A),MATCH(C$1,[2]characters!$1:$1,0)-MATCH($A$1,[2]characters!$1:$1,0)+1),MATCH(C$1,[2]characters!$1:$1,0)-MATCH($A$1,[2]characters!$1:$1,0)+1,FALSE)</f>
        <v>強化素材R3　赤</v>
      </c>
      <c r="D189" s="24" t="str">
        <f ca="1">VLOOKUP($A189,OFFSET([2]characters!$A$1,0,0,COUNTA([2]characters!$A:$A),MATCH(D$1,[2]characters!$1:$1,0)-MATCH($A$1,[2]characters!$1:$1,0)+1),MATCH(D$1,[2]characters!$1:$1,0)-MATCH($A$1,[2]characters!$1:$1,0)+1,FALSE)</f>
        <v>アリス</v>
      </c>
      <c r="E189" s="24" t="str">
        <f ca="1">VLOOKUP($A189,OFFSET([2]characters!$A$1,0,0,COUNTA([2]characters!$A:$A),MATCH(E$1,[2]characters!$1:$1,0)-MATCH($A$1,[2]characters!$1:$1,0)+1),MATCH(E$1,[2]characters!$1:$1,0)-MATCH($A$1,[2]characters!$1:$1,0)+1,FALSE)</f>
        <v>世界観</v>
      </c>
      <c r="F189" s="24" t="str">
        <f ca="1">VLOOKUP($A189,OFFSET([2]characters!$A$1,0,0,COUNTA([2]characters!$A:$A),MATCH(F$1,[2]characters!$1:$1,0)-MATCH($A$1,[2]characters!$1:$1,0)+1),MATCH(F$1,[2]characters!$1:$1,0)-MATCH($A$1,[2]characters!$1:$1,0)+1,FALSE)</f>
        <v>不明</v>
      </c>
      <c r="G189" s="24">
        <f ca="1">VLOOKUP($A189,OFFSET([2]characters!$A$1,0,0,COUNTA([2]characters!$A:$A),MATCH(G$1,[2]characters!$1:$1,0)-MATCH($A$1,[2]characters!$1:$1,0)+1),MATCH(G$1,[2]characters!$1:$1,0)-MATCH($A$1,[2]characters!$1:$1,0)+1,FALSE)</f>
        <v>3</v>
      </c>
      <c r="H189" s="24" t="str">
        <f ca="1">VLOOKUP($A189,OFFSET([2]characters!$A$1,0,0,COUNTA([2]characters!$A:$A),MATCH(H$1,[2]characters!$1:$1,0)-MATCH($A$1,[2]characters!$1:$1,0)+1),MATCH(H$1,[2]characters!$1:$1,0)-MATCH($A$1,[2]characters!$1:$1,0)+1,FALSE)</f>
        <v>Material</v>
      </c>
      <c r="I189" s="24" t="str">
        <f ca="1">VLOOKUP($A189,OFFSET([2]characters!$A$1,0,0,COUNTA([2]characters!$A:$A),MATCH(I$1,[2]characters!$1:$1,0)-MATCH($A$1,[2]characters!$1:$1,0)+1),MATCH(I$1,[2]characters!$1:$1,0)-MATCH($A$1,[2]characters!$1:$1,0)+1,FALSE)</f>
        <v>red</v>
      </c>
      <c r="J189" s="24" t="str">
        <f ca="1">VLOOKUP($A189,OFFSET([2]characters!$A$1,0,0,COUNTA([2]characters!$A:$A),MATCH(J$1,[2]characters!$1:$1,0)-MATCH($A$1,[2]characters!$1:$1,0)+1),MATCH(J$1,[2]characters!$1:$1,0)-MATCH($A$1,[2]characters!$1:$1,0)+1,FALSE)</f>
        <v>none</v>
      </c>
      <c r="K189" s="3" t="str">
        <f ca="1">VLOOKUP(J189,[2]character_tribe_i18n!$A:$H,3,FALSE)</f>
        <v>種族なし</v>
      </c>
      <c r="L189" s="5" t="e">
        <f>VLOOKUP(#REF!,[2]character_tribe_i18n!$A:$H,4,FALSE)</f>
        <v>#REF!</v>
      </c>
      <c r="M189" s="5" t="e">
        <f>VLOOKUP(#REF!,[2]character_tribe_i18n!$A:$H,5,FALSE)</f>
        <v>#REF!</v>
      </c>
      <c r="N189" s="5" t="e">
        <f>VLOOKUP(#REF!,[2]character_tribe_i18n!$A:$H,6,FALSE)</f>
        <v>#REF!</v>
      </c>
      <c r="O189" s="5" t="e">
        <f>VLOOKUP(#REF!,[2]character_tribe_i18n!$A:$H,7,FALSE)</f>
        <v>#REF!</v>
      </c>
      <c r="P189" s="83" t="s">
        <v>170</v>
      </c>
      <c r="Q189" s="4">
        <v>333</v>
      </c>
      <c r="R189" s="25" t="str">
        <f ca="1">IF(Q189="NULL","",VLOOKUP($Q189,OFFSET([2]characters!$A$1,0,0,COUNTA([2]characters!$A:$A),MATCH(R$1,[2]characters!$1:$1,0)-MATCH($A$1,[2]characters!$1:$1,0)+1),MATCH(R$1,[2]characters!$1:$1,0)-MATCH($A$1,[2]characters!$1:$1,0)+1,FALSE))</f>
        <v>炎のメタルチック</v>
      </c>
      <c r="S189" s="3">
        <f t="shared" ca="1" si="2"/>
        <v>332</v>
      </c>
      <c r="T189" s="25" t="str">
        <f ca="1">VLOOKUP($S189,OFFSET([2]characters!$A$1,0,0,COUNTA([2]characters!$A:$A),MATCH(T$1,[2]characters!$1:$1,0)-MATCH($A$1,[2]characters!$1:$1,0)+1),MATCH(T$1,[2]characters!$1:$1,0)-MATCH($A$1,[2]characters!$1:$1,0)+1,FALSE)</f>
        <v>炎のメタルピヨピヨ</v>
      </c>
      <c r="U189" s="5">
        <v>2000</v>
      </c>
    </row>
    <row r="190" spans="1:21" ht="21" customHeight="1" x14ac:dyDescent="0.15">
      <c r="A190" s="83">
        <v>333</v>
      </c>
      <c r="B190" s="24" t="str">
        <f ca="1">VLOOKUP($A190,OFFSET([2]characters!$A$1,0,0,COUNTA([2]characters!$A:$A),MATCH(B$1,[2]characters!$1:$1,0)-MATCH($A$1,[2]characters!$1:$1,0)+1),MATCH(B$1,[2]characters!$1:$1,0)-MATCH($A$1,[2]characters!$1:$1,0)+1,FALSE)</f>
        <v>炎のメタルチック</v>
      </c>
      <c r="C190" s="24" t="str">
        <f ca="1">VLOOKUP($A190,OFFSET([2]characters!$A$1,0,0,COUNTA([2]characters!$A:$A),MATCH(C$1,[2]characters!$1:$1,0)-MATCH($A$1,[2]characters!$1:$1,0)+1),MATCH(C$1,[2]characters!$1:$1,0)-MATCH($A$1,[2]characters!$1:$1,0)+1,FALSE)</f>
        <v>強化素材R4　赤</v>
      </c>
      <c r="D190" s="24" t="str">
        <f ca="1">VLOOKUP($A190,OFFSET([2]characters!$A$1,0,0,COUNTA([2]characters!$A:$A),MATCH(D$1,[2]characters!$1:$1,0)-MATCH($A$1,[2]characters!$1:$1,0)+1),MATCH(D$1,[2]characters!$1:$1,0)-MATCH($A$1,[2]characters!$1:$1,0)+1,FALSE)</f>
        <v>アリス</v>
      </c>
      <c r="E190" s="24" t="str">
        <f ca="1">VLOOKUP($A190,OFFSET([2]characters!$A$1,0,0,COUNTA([2]characters!$A:$A),MATCH(E$1,[2]characters!$1:$1,0)-MATCH($A$1,[2]characters!$1:$1,0)+1),MATCH(E$1,[2]characters!$1:$1,0)-MATCH($A$1,[2]characters!$1:$1,0)+1,FALSE)</f>
        <v>世界観</v>
      </c>
      <c r="F190" s="24" t="str">
        <f ca="1">VLOOKUP($A190,OFFSET([2]characters!$A$1,0,0,COUNTA([2]characters!$A:$A),MATCH(F$1,[2]characters!$1:$1,0)-MATCH($A$1,[2]characters!$1:$1,0)+1),MATCH(F$1,[2]characters!$1:$1,0)-MATCH($A$1,[2]characters!$1:$1,0)+1,FALSE)</f>
        <v>不明</v>
      </c>
      <c r="G190" s="24">
        <f ca="1">VLOOKUP($A190,OFFSET([2]characters!$A$1,0,0,COUNTA([2]characters!$A:$A),MATCH(G$1,[2]characters!$1:$1,0)-MATCH($A$1,[2]characters!$1:$1,0)+1),MATCH(G$1,[2]characters!$1:$1,0)-MATCH($A$1,[2]characters!$1:$1,0)+1,FALSE)</f>
        <v>4</v>
      </c>
      <c r="H190" s="24" t="str">
        <f ca="1">VLOOKUP($A190,OFFSET([2]characters!$A$1,0,0,COUNTA([2]characters!$A:$A),MATCH(H$1,[2]characters!$1:$1,0)-MATCH($A$1,[2]characters!$1:$1,0)+1),MATCH(H$1,[2]characters!$1:$1,0)-MATCH($A$1,[2]characters!$1:$1,0)+1,FALSE)</f>
        <v>Material</v>
      </c>
      <c r="I190" s="24" t="str">
        <f ca="1">VLOOKUP($A190,OFFSET([2]characters!$A$1,0,0,COUNTA([2]characters!$A:$A),MATCH(I$1,[2]characters!$1:$1,0)-MATCH($A$1,[2]characters!$1:$1,0)+1),MATCH(I$1,[2]characters!$1:$1,0)-MATCH($A$1,[2]characters!$1:$1,0)+1,FALSE)</f>
        <v>red</v>
      </c>
      <c r="J190" s="24" t="str">
        <f ca="1">VLOOKUP($A190,OFFSET([2]characters!$A$1,0,0,COUNTA([2]characters!$A:$A),MATCH(J$1,[2]characters!$1:$1,0)-MATCH($A$1,[2]characters!$1:$1,0)+1),MATCH(J$1,[2]characters!$1:$1,0)-MATCH($A$1,[2]characters!$1:$1,0)+1,FALSE)</f>
        <v>none</v>
      </c>
      <c r="K190" s="3" t="str">
        <f ca="1">VLOOKUP(J190,[2]character_tribe_i18n!$A:$H,3,FALSE)</f>
        <v>種族なし</v>
      </c>
      <c r="L190" s="5" t="e">
        <f>VLOOKUP(#REF!,[2]character_tribe_i18n!$A:$H,4,FALSE)</f>
        <v>#REF!</v>
      </c>
      <c r="M190" s="5" t="e">
        <f>VLOOKUP(#REF!,[2]character_tribe_i18n!$A:$H,5,FALSE)</f>
        <v>#REF!</v>
      </c>
      <c r="N190" s="5" t="e">
        <f>VLOOKUP(#REF!,[2]character_tribe_i18n!$A:$H,6,FALSE)</f>
        <v>#REF!</v>
      </c>
      <c r="O190" s="5" t="e">
        <f>VLOOKUP(#REF!,[2]character_tribe_i18n!$A:$H,7,FALSE)</f>
        <v>#REF!</v>
      </c>
      <c r="P190" s="83" t="s">
        <v>170</v>
      </c>
      <c r="Q190" s="4">
        <v>334</v>
      </c>
      <c r="R190" s="25" t="str">
        <f ca="1">IF(Q190="NULL","",VLOOKUP($Q190,OFFSET([2]characters!$A$1,0,0,COUNTA([2]characters!$A:$A),MATCH(R$1,[2]characters!$1:$1,0)-MATCH($A$1,[2]characters!$1:$1,0)+1),MATCH(R$1,[2]characters!$1:$1,0)-MATCH($A$1,[2]characters!$1:$1,0)+1,FALSE))</f>
        <v>炎のメタルダック</v>
      </c>
      <c r="S190" s="3">
        <f t="shared" ca="1" si="2"/>
        <v>332</v>
      </c>
      <c r="T190" s="25" t="str">
        <f ca="1">VLOOKUP($S190,OFFSET([2]characters!$A$1,0,0,COUNTA([2]characters!$A:$A),MATCH(T$1,[2]characters!$1:$1,0)-MATCH($A$1,[2]characters!$1:$1,0)+1),MATCH(T$1,[2]characters!$1:$1,0)-MATCH($A$1,[2]characters!$1:$1,0)+1,FALSE)</f>
        <v>炎のメタルピヨピヨ</v>
      </c>
      <c r="U190" s="5">
        <v>5000</v>
      </c>
    </row>
    <row r="191" spans="1:21" ht="21" customHeight="1" x14ac:dyDescent="0.15">
      <c r="A191" s="83">
        <v>336</v>
      </c>
      <c r="B191" s="24" t="str">
        <f ca="1">VLOOKUP($A191,OFFSET([2]characters!$A$1,0,0,COUNTA([2]characters!$A:$A),MATCH(B$1,[2]characters!$1:$1,0)-MATCH($A$1,[2]characters!$1:$1,0)+1),MATCH(B$1,[2]characters!$1:$1,0)-MATCH($A$1,[2]characters!$1:$1,0)+1,FALSE)</f>
        <v>森のメタルピヨピヨ</v>
      </c>
      <c r="C191" s="24" t="str">
        <f ca="1">VLOOKUP($A191,OFFSET([2]characters!$A$1,0,0,COUNTA([2]characters!$A:$A),MATCH(C$1,[2]characters!$1:$1,0)-MATCH($A$1,[2]characters!$1:$1,0)+1),MATCH(C$1,[2]characters!$1:$1,0)-MATCH($A$1,[2]characters!$1:$1,0)+1,FALSE)</f>
        <v>強化素材R3　緑</v>
      </c>
      <c r="D191" s="24" t="str">
        <f ca="1">VLOOKUP($A191,OFFSET([2]characters!$A$1,0,0,COUNTA([2]characters!$A:$A),MATCH(D$1,[2]characters!$1:$1,0)-MATCH($A$1,[2]characters!$1:$1,0)+1),MATCH(D$1,[2]characters!$1:$1,0)-MATCH($A$1,[2]characters!$1:$1,0)+1,FALSE)</f>
        <v>アリス</v>
      </c>
      <c r="E191" s="24" t="str">
        <f ca="1">VLOOKUP($A191,OFFSET([2]characters!$A$1,0,0,COUNTA([2]characters!$A:$A),MATCH(E$1,[2]characters!$1:$1,0)-MATCH($A$1,[2]characters!$1:$1,0)+1),MATCH(E$1,[2]characters!$1:$1,0)-MATCH($A$1,[2]characters!$1:$1,0)+1,FALSE)</f>
        <v>世界観</v>
      </c>
      <c r="F191" s="24" t="str">
        <f ca="1">VLOOKUP($A191,OFFSET([2]characters!$A$1,0,0,COUNTA([2]characters!$A:$A),MATCH(F$1,[2]characters!$1:$1,0)-MATCH($A$1,[2]characters!$1:$1,0)+1),MATCH(F$1,[2]characters!$1:$1,0)-MATCH($A$1,[2]characters!$1:$1,0)+1,FALSE)</f>
        <v>不明</v>
      </c>
      <c r="G191" s="24">
        <f ca="1">VLOOKUP($A191,OFFSET([2]characters!$A$1,0,0,COUNTA([2]characters!$A:$A),MATCH(G$1,[2]characters!$1:$1,0)-MATCH($A$1,[2]characters!$1:$1,0)+1),MATCH(G$1,[2]characters!$1:$1,0)-MATCH($A$1,[2]characters!$1:$1,0)+1,FALSE)</f>
        <v>3</v>
      </c>
      <c r="H191" s="24" t="str">
        <f ca="1">VLOOKUP($A191,OFFSET([2]characters!$A$1,0,0,COUNTA([2]characters!$A:$A),MATCH(H$1,[2]characters!$1:$1,0)-MATCH($A$1,[2]characters!$1:$1,0)+1),MATCH(H$1,[2]characters!$1:$1,0)-MATCH($A$1,[2]characters!$1:$1,0)+1,FALSE)</f>
        <v>Material</v>
      </c>
      <c r="I191" s="24" t="str">
        <f ca="1">VLOOKUP($A191,OFFSET([2]characters!$A$1,0,0,COUNTA([2]characters!$A:$A),MATCH(I$1,[2]characters!$1:$1,0)-MATCH($A$1,[2]characters!$1:$1,0)+1),MATCH(I$1,[2]characters!$1:$1,0)-MATCH($A$1,[2]characters!$1:$1,0)+1,FALSE)</f>
        <v>green</v>
      </c>
      <c r="J191" s="24" t="str">
        <f ca="1">VLOOKUP($A191,OFFSET([2]characters!$A$1,0,0,COUNTA([2]characters!$A:$A),MATCH(J$1,[2]characters!$1:$1,0)-MATCH($A$1,[2]characters!$1:$1,0)+1),MATCH(J$1,[2]characters!$1:$1,0)-MATCH($A$1,[2]characters!$1:$1,0)+1,FALSE)</f>
        <v>none</v>
      </c>
      <c r="K191" s="3" t="str">
        <f ca="1">VLOOKUP(J191,[2]character_tribe_i18n!$A:$H,3,FALSE)</f>
        <v>種族なし</v>
      </c>
      <c r="L191" s="5" t="e">
        <f>VLOOKUP(#REF!,[2]character_tribe_i18n!$A:$H,4,FALSE)</f>
        <v>#REF!</v>
      </c>
      <c r="M191" s="5" t="e">
        <f>VLOOKUP(#REF!,[2]character_tribe_i18n!$A:$H,5,FALSE)</f>
        <v>#REF!</v>
      </c>
      <c r="N191" s="5" t="e">
        <f>VLOOKUP(#REF!,[2]character_tribe_i18n!$A:$H,6,FALSE)</f>
        <v>#REF!</v>
      </c>
      <c r="O191" s="5" t="e">
        <f>VLOOKUP(#REF!,[2]character_tribe_i18n!$A:$H,7,FALSE)</f>
        <v>#REF!</v>
      </c>
      <c r="P191" s="83" t="s">
        <v>170</v>
      </c>
      <c r="Q191" s="4">
        <v>337</v>
      </c>
      <c r="R191" s="25" t="str">
        <f ca="1">IF(Q191="NULL","",VLOOKUP($Q191,OFFSET([2]characters!$A$1,0,0,COUNTA([2]characters!$A:$A),MATCH(R$1,[2]characters!$1:$1,0)-MATCH($A$1,[2]characters!$1:$1,0)+1),MATCH(R$1,[2]characters!$1:$1,0)-MATCH($A$1,[2]characters!$1:$1,0)+1,FALSE))</f>
        <v>森のメタルチック</v>
      </c>
      <c r="S191" s="3">
        <f t="shared" ca="1" si="2"/>
        <v>336</v>
      </c>
      <c r="T191" s="25" t="str">
        <f ca="1">VLOOKUP($S191,OFFSET([2]characters!$A$1,0,0,COUNTA([2]characters!$A:$A),MATCH(T$1,[2]characters!$1:$1,0)-MATCH($A$1,[2]characters!$1:$1,0)+1),MATCH(T$1,[2]characters!$1:$1,0)-MATCH($A$1,[2]characters!$1:$1,0)+1,FALSE)</f>
        <v>森のメタルピヨピヨ</v>
      </c>
      <c r="U191" s="5">
        <v>2000</v>
      </c>
    </row>
    <row r="192" spans="1:21" ht="21" customHeight="1" x14ac:dyDescent="0.15">
      <c r="A192" s="83">
        <v>337</v>
      </c>
      <c r="B192" s="24" t="str">
        <f ca="1">VLOOKUP($A192,OFFSET([2]characters!$A$1,0,0,COUNTA([2]characters!$A:$A),MATCH(B$1,[2]characters!$1:$1,0)-MATCH($A$1,[2]characters!$1:$1,0)+1),MATCH(B$1,[2]characters!$1:$1,0)-MATCH($A$1,[2]characters!$1:$1,0)+1,FALSE)</f>
        <v>森のメタルチック</v>
      </c>
      <c r="C192" s="24" t="str">
        <f ca="1">VLOOKUP($A192,OFFSET([2]characters!$A$1,0,0,COUNTA([2]characters!$A:$A),MATCH(C$1,[2]characters!$1:$1,0)-MATCH($A$1,[2]characters!$1:$1,0)+1),MATCH(C$1,[2]characters!$1:$1,0)-MATCH($A$1,[2]characters!$1:$1,0)+1,FALSE)</f>
        <v>強化素材R4　緑</v>
      </c>
      <c r="D192" s="24" t="str">
        <f ca="1">VLOOKUP($A192,OFFSET([2]characters!$A$1,0,0,COUNTA([2]characters!$A:$A),MATCH(D$1,[2]characters!$1:$1,0)-MATCH($A$1,[2]characters!$1:$1,0)+1),MATCH(D$1,[2]characters!$1:$1,0)-MATCH($A$1,[2]characters!$1:$1,0)+1,FALSE)</f>
        <v>アリス</v>
      </c>
      <c r="E192" s="24" t="str">
        <f ca="1">VLOOKUP($A192,OFFSET([2]characters!$A$1,0,0,COUNTA([2]characters!$A:$A),MATCH(E$1,[2]characters!$1:$1,0)-MATCH($A$1,[2]characters!$1:$1,0)+1),MATCH(E$1,[2]characters!$1:$1,0)-MATCH($A$1,[2]characters!$1:$1,0)+1,FALSE)</f>
        <v>世界観</v>
      </c>
      <c r="F192" s="24" t="str">
        <f ca="1">VLOOKUP($A192,OFFSET([2]characters!$A$1,0,0,COUNTA([2]characters!$A:$A),MATCH(F$1,[2]characters!$1:$1,0)-MATCH($A$1,[2]characters!$1:$1,0)+1),MATCH(F$1,[2]characters!$1:$1,0)-MATCH($A$1,[2]characters!$1:$1,0)+1,FALSE)</f>
        <v>不明</v>
      </c>
      <c r="G192" s="24">
        <f ca="1">VLOOKUP($A192,OFFSET([2]characters!$A$1,0,0,COUNTA([2]characters!$A:$A),MATCH(G$1,[2]characters!$1:$1,0)-MATCH($A$1,[2]characters!$1:$1,0)+1),MATCH(G$1,[2]characters!$1:$1,0)-MATCH($A$1,[2]characters!$1:$1,0)+1,FALSE)</f>
        <v>4</v>
      </c>
      <c r="H192" s="24" t="str">
        <f ca="1">VLOOKUP($A192,OFFSET([2]characters!$A$1,0,0,COUNTA([2]characters!$A:$A),MATCH(H$1,[2]characters!$1:$1,0)-MATCH($A$1,[2]characters!$1:$1,0)+1),MATCH(H$1,[2]characters!$1:$1,0)-MATCH($A$1,[2]characters!$1:$1,0)+1,FALSE)</f>
        <v>Material</v>
      </c>
      <c r="I192" s="24" t="str">
        <f ca="1">VLOOKUP($A192,OFFSET([2]characters!$A$1,0,0,COUNTA([2]characters!$A:$A),MATCH(I$1,[2]characters!$1:$1,0)-MATCH($A$1,[2]characters!$1:$1,0)+1),MATCH(I$1,[2]characters!$1:$1,0)-MATCH($A$1,[2]characters!$1:$1,0)+1,FALSE)</f>
        <v>green</v>
      </c>
      <c r="J192" s="24" t="str">
        <f ca="1">VLOOKUP($A192,OFFSET([2]characters!$A$1,0,0,COUNTA([2]characters!$A:$A),MATCH(J$1,[2]characters!$1:$1,0)-MATCH($A$1,[2]characters!$1:$1,0)+1),MATCH(J$1,[2]characters!$1:$1,0)-MATCH($A$1,[2]characters!$1:$1,0)+1,FALSE)</f>
        <v>none</v>
      </c>
      <c r="K192" s="3" t="str">
        <f ca="1">VLOOKUP(J192,[2]character_tribe_i18n!$A:$H,3,FALSE)</f>
        <v>種族なし</v>
      </c>
      <c r="L192" s="5" t="e">
        <f>VLOOKUP(#REF!,[2]character_tribe_i18n!$A:$H,4,FALSE)</f>
        <v>#REF!</v>
      </c>
      <c r="M192" s="5" t="e">
        <f>VLOOKUP(#REF!,[2]character_tribe_i18n!$A:$H,5,FALSE)</f>
        <v>#REF!</v>
      </c>
      <c r="N192" s="5" t="e">
        <f>VLOOKUP(#REF!,[2]character_tribe_i18n!$A:$H,6,FALSE)</f>
        <v>#REF!</v>
      </c>
      <c r="O192" s="5" t="e">
        <f>VLOOKUP(#REF!,[2]character_tribe_i18n!$A:$H,7,FALSE)</f>
        <v>#REF!</v>
      </c>
      <c r="P192" s="83" t="s">
        <v>170</v>
      </c>
      <c r="Q192" s="4">
        <v>338</v>
      </c>
      <c r="R192" s="25" t="str">
        <f ca="1">IF(Q192="NULL","",VLOOKUP($Q192,OFFSET([2]characters!$A$1,0,0,COUNTA([2]characters!$A:$A),MATCH(R$1,[2]characters!$1:$1,0)-MATCH($A$1,[2]characters!$1:$1,0)+1),MATCH(R$1,[2]characters!$1:$1,0)-MATCH($A$1,[2]characters!$1:$1,0)+1,FALSE))</f>
        <v>森のメタルダック</v>
      </c>
      <c r="S192" s="3">
        <f t="shared" ca="1" si="2"/>
        <v>336</v>
      </c>
      <c r="T192" s="25" t="str">
        <f ca="1">VLOOKUP($S192,OFFSET([2]characters!$A$1,0,0,COUNTA([2]characters!$A:$A),MATCH(T$1,[2]characters!$1:$1,0)-MATCH($A$1,[2]characters!$1:$1,0)+1),MATCH(T$1,[2]characters!$1:$1,0)-MATCH($A$1,[2]characters!$1:$1,0)+1,FALSE)</f>
        <v>森のメタルピヨピヨ</v>
      </c>
      <c r="U192" s="5">
        <v>5000</v>
      </c>
    </row>
    <row r="193" spans="1:21" ht="21" customHeight="1" x14ac:dyDescent="0.15">
      <c r="A193" s="83">
        <v>340</v>
      </c>
      <c r="B193" s="24" t="str">
        <f ca="1">VLOOKUP($A193,OFFSET([2]characters!$A$1,0,0,COUNTA([2]characters!$A:$A),MATCH(B$1,[2]characters!$1:$1,0)-MATCH($A$1,[2]characters!$1:$1,0)+1),MATCH(B$1,[2]characters!$1:$1,0)-MATCH($A$1,[2]characters!$1:$1,0)+1,FALSE)</f>
        <v>水のメタルピヨピヨ</v>
      </c>
      <c r="C193" s="24" t="str">
        <f ca="1">VLOOKUP($A193,OFFSET([2]characters!$A$1,0,0,COUNTA([2]characters!$A:$A),MATCH(C$1,[2]characters!$1:$1,0)-MATCH($A$1,[2]characters!$1:$1,0)+1),MATCH(C$1,[2]characters!$1:$1,0)-MATCH($A$1,[2]characters!$1:$1,0)+1,FALSE)</f>
        <v>強化素材R3　青</v>
      </c>
      <c r="D193" s="24" t="str">
        <f ca="1">VLOOKUP($A193,OFFSET([2]characters!$A$1,0,0,COUNTA([2]characters!$A:$A),MATCH(D$1,[2]characters!$1:$1,0)-MATCH($A$1,[2]characters!$1:$1,0)+1),MATCH(D$1,[2]characters!$1:$1,0)-MATCH($A$1,[2]characters!$1:$1,0)+1,FALSE)</f>
        <v>アリス</v>
      </c>
      <c r="E193" s="24" t="str">
        <f ca="1">VLOOKUP($A193,OFFSET([2]characters!$A$1,0,0,COUNTA([2]characters!$A:$A),MATCH(E$1,[2]characters!$1:$1,0)-MATCH($A$1,[2]characters!$1:$1,0)+1),MATCH(E$1,[2]characters!$1:$1,0)-MATCH($A$1,[2]characters!$1:$1,0)+1,FALSE)</f>
        <v>世界観</v>
      </c>
      <c r="F193" s="24" t="str">
        <f ca="1">VLOOKUP($A193,OFFSET([2]characters!$A$1,0,0,COUNTA([2]characters!$A:$A),MATCH(F$1,[2]characters!$1:$1,0)-MATCH($A$1,[2]characters!$1:$1,0)+1),MATCH(F$1,[2]characters!$1:$1,0)-MATCH($A$1,[2]characters!$1:$1,0)+1,FALSE)</f>
        <v>不明</v>
      </c>
      <c r="G193" s="24">
        <f ca="1">VLOOKUP($A193,OFFSET([2]characters!$A$1,0,0,COUNTA([2]characters!$A:$A),MATCH(G$1,[2]characters!$1:$1,0)-MATCH($A$1,[2]characters!$1:$1,0)+1),MATCH(G$1,[2]characters!$1:$1,0)-MATCH($A$1,[2]characters!$1:$1,0)+1,FALSE)</f>
        <v>3</v>
      </c>
      <c r="H193" s="24" t="str">
        <f ca="1">VLOOKUP($A193,OFFSET([2]characters!$A$1,0,0,COUNTA([2]characters!$A:$A),MATCH(H$1,[2]characters!$1:$1,0)-MATCH($A$1,[2]characters!$1:$1,0)+1),MATCH(H$1,[2]characters!$1:$1,0)-MATCH($A$1,[2]characters!$1:$1,0)+1,FALSE)</f>
        <v>Material</v>
      </c>
      <c r="I193" s="24" t="str">
        <f ca="1">VLOOKUP($A193,OFFSET([2]characters!$A$1,0,0,COUNTA([2]characters!$A:$A),MATCH(I$1,[2]characters!$1:$1,0)-MATCH($A$1,[2]characters!$1:$1,0)+1),MATCH(I$1,[2]characters!$1:$1,0)-MATCH($A$1,[2]characters!$1:$1,0)+1,FALSE)</f>
        <v>blue</v>
      </c>
      <c r="J193" s="24" t="str">
        <f ca="1">VLOOKUP($A193,OFFSET([2]characters!$A$1,0,0,COUNTA([2]characters!$A:$A),MATCH(J$1,[2]characters!$1:$1,0)-MATCH($A$1,[2]characters!$1:$1,0)+1),MATCH(J$1,[2]characters!$1:$1,0)-MATCH($A$1,[2]characters!$1:$1,0)+1,FALSE)</f>
        <v>none</v>
      </c>
      <c r="K193" s="3" t="str">
        <f ca="1">VLOOKUP(J193,[2]character_tribe_i18n!$A:$H,3,FALSE)</f>
        <v>種族なし</v>
      </c>
      <c r="L193" s="5" t="e">
        <f>VLOOKUP(#REF!,[2]character_tribe_i18n!$A:$H,4,FALSE)</f>
        <v>#REF!</v>
      </c>
      <c r="M193" s="5" t="e">
        <f>VLOOKUP(#REF!,[2]character_tribe_i18n!$A:$H,5,FALSE)</f>
        <v>#REF!</v>
      </c>
      <c r="N193" s="5" t="e">
        <f>VLOOKUP(#REF!,[2]character_tribe_i18n!$A:$H,6,FALSE)</f>
        <v>#REF!</v>
      </c>
      <c r="O193" s="5" t="e">
        <f>VLOOKUP(#REF!,[2]character_tribe_i18n!$A:$H,7,FALSE)</f>
        <v>#REF!</v>
      </c>
      <c r="P193" s="83" t="s">
        <v>170</v>
      </c>
      <c r="Q193" s="4">
        <v>341</v>
      </c>
      <c r="R193" s="25" t="str">
        <f ca="1">IF(Q193="NULL","",VLOOKUP($Q193,OFFSET([2]characters!$A$1,0,0,COUNTA([2]characters!$A:$A),MATCH(R$1,[2]characters!$1:$1,0)-MATCH($A$1,[2]characters!$1:$1,0)+1),MATCH(R$1,[2]characters!$1:$1,0)-MATCH($A$1,[2]characters!$1:$1,0)+1,FALSE))</f>
        <v>水のメタルチック</v>
      </c>
      <c r="S193" s="3">
        <f t="shared" ca="1" si="2"/>
        <v>340</v>
      </c>
      <c r="T193" s="25" t="str">
        <f ca="1">VLOOKUP($S193,OFFSET([2]characters!$A$1,0,0,COUNTA([2]characters!$A:$A),MATCH(T$1,[2]characters!$1:$1,0)-MATCH($A$1,[2]characters!$1:$1,0)+1),MATCH(T$1,[2]characters!$1:$1,0)-MATCH($A$1,[2]characters!$1:$1,0)+1,FALSE)</f>
        <v>水のメタルピヨピヨ</v>
      </c>
      <c r="U193" s="5">
        <v>2000</v>
      </c>
    </row>
    <row r="194" spans="1:21" ht="21" customHeight="1" x14ac:dyDescent="0.15">
      <c r="A194" s="83">
        <v>341</v>
      </c>
      <c r="B194" s="24" t="str">
        <f ca="1">VLOOKUP($A194,OFFSET([2]characters!$A$1,0,0,COUNTA([2]characters!$A:$A),MATCH(B$1,[2]characters!$1:$1,0)-MATCH($A$1,[2]characters!$1:$1,0)+1),MATCH(B$1,[2]characters!$1:$1,0)-MATCH($A$1,[2]characters!$1:$1,0)+1,FALSE)</f>
        <v>水のメタルチック</v>
      </c>
      <c r="C194" s="24" t="str">
        <f ca="1">VLOOKUP($A194,OFFSET([2]characters!$A$1,0,0,COUNTA([2]characters!$A:$A),MATCH(C$1,[2]characters!$1:$1,0)-MATCH($A$1,[2]characters!$1:$1,0)+1),MATCH(C$1,[2]characters!$1:$1,0)-MATCH($A$1,[2]characters!$1:$1,0)+1,FALSE)</f>
        <v>強化素材R4　青</v>
      </c>
      <c r="D194" s="24" t="str">
        <f ca="1">VLOOKUP($A194,OFFSET([2]characters!$A$1,0,0,COUNTA([2]characters!$A:$A),MATCH(D$1,[2]characters!$1:$1,0)-MATCH($A$1,[2]characters!$1:$1,0)+1),MATCH(D$1,[2]characters!$1:$1,0)-MATCH($A$1,[2]characters!$1:$1,0)+1,FALSE)</f>
        <v>アリス</v>
      </c>
      <c r="E194" s="24" t="str">
        <f ca="1">VLOOKUP($A194,OFFSET([2]characters!$A$1,0,0,COUNTA([2]characters!$A:$A),MATCH(E$1,[2]characters!$1:$1,0)-MATCH($A$1,[2]characters!$1:$1,0)+1),MATCH(E$1,[2]characters!$1:$1,0)-MATCH($A$1,[2]characters!$1:$1,0)+1,FALSE)</f>
        <v>世界観</v>
      </c>
      <c r="F194" s="24" t="str">
        <f ca="1">VLOOKUP($A194,OFFSET([2]characters!$A$1,0,0,COUNTA([2]characters!$A:$A),MATCH(F$1,[2]characters!$1:$1,0)-MATCH($A$1,[2]characters!$1:$1,0)+1),MATCH(F$1,[2]characters!$1:$1,0)-MATCH($A$1,[2]characters!$1:$1,0)+1,FALSE)</f>
        <v>不明</v>
      </c>
      <c r="G194" s="24">
        <f ca="1">VLOOKUP($A194,OFFSET([2]characters!$A$1,0,0,COUNTA([2]characters!$A:$A),MATCH(G$1,[2]characters!$1:$1,0)-MATCH($A$1,[2]characters!$1:$1,0)+1),MATCH(G$1,[2]characters!$1:$1,0)-MATCH($A$1,[2]characters!$1:$1,0)+1,FALSE)</f>
        <v>4</v>
      </c>
      <c r="H194" s="24" t="str">
        <f ca="1">VLOOKUP($A194,OFFSET([2]characters!$A$1,0,0,COUNTA([2]characters!$A:$A),MATCH(H$1,[2]characters!$1:$1,0)-MATCH($A$1,[2]characters!$1:$1,0)+1),MATCH(H$1,[2]characters!$1:$1,0)-MATCH($A$1,[2]characters!$1:$1,0)+1,FALSE)</f>
        <v>Material</v>
      </c>
      <c r="I194" s="24" t="str">
        <f ca="1">VLOOKUP($A194,OFFSET([2]characters!$A$1,0,0,COUNTA([2]characters!$A:$A),MATCH(I$1,[2]characters!$1:$1,0)-MATCH($A$1,[2]characters!$1:$1,0)+1),MATCH(I$1,[2]characters!$1:$1,0)-MATCH($A$1,[2]characters!$1:$1,0)+1,FALSE)</f>
        <v>blue</v>
      </c>
      <c r="J194" s="24" t="str">
        <f ca="1">VLOOKUP($A194,OFFSET([2]characters!$A$1,0,0,COUNTA([2]characters!$A:$A),MATCH(J$1,[2]characters!$1:$1,0)-MATCH($A$1,[2]characters!$1:$1,0)+1),MATCH(J$1,[2]characters!$1:$1,0)-MATCH($A$1,[2]characters!$1:$1,0)+1,FALSE)</f>
        <v>none</v>
      </c>
      <c r="K194" s="3" t="str">
        <f ca="1">VLOOKUP(J194,[2]character_tribe_i18n!$A:$H,3,FALSE)</f>
        <v>種族なし</v>
      </c>
      <c r="L194" s="5" t="e">
        <f>VLOOKUP(#REF!,[2]character_tribe_i18n!$A:$H,4,FALSE)</f>
        <v>#REF!</v>
      </c>
      <c r="M194" s="5" t="e">
        <f>VLOOKUP(#REF!,[2]character_tribe_i18n!$A:$H,5,FALSE)</f>
        <v>#REF!</v>
      </c>
      <c r="N194" s="5" t="e">
        <f>VLOOKUP(#REF!,[2]character_tribe_i18n!$A:$H,6,FALSE)</f>
        <v>#REF!</v>
      </c>
      <c r="O194" s="5" t="e">
        <f>VLOOKUP(#REF!,[2]character_tribe_i18n!$A:$H,7,FALSE)</f>
        <v>#REF!</v>
      </c>
      <c r="P194" s="83" t="s">
        <v>170</v>
      </c>
      <c r="Q194" s="4">
        <v>342</v>
      </c>
      <c r="R194" s="25" t="str">
        <f ca="1">IF(Q194="NULL","",VLOOKUP($Q194,OFFSET([2]characters!$A$1,0,0,COUNTA([2]characters!$A:$A),MATCH(R$1,[2]characters!$1:$1,0)-MATCH($A$1,[2]characters!$1:$1,0)+1),MATCH(R$1,[2]characters!$1:$1,0)-MATCH($A$1,[2]characters!$1:$1,0)+1,FALSE))</f>
        <v>水のメタルダック</v>
      </c>
      <c r="S194" s="3">
        <f t="shared" ref="S194:S257" ca="1" si="3">IF(ISNA(MATCH(A194,Q:Q,0)),A194,INDIRECT(ADDRESS(MATCH(A194,Q:Q,0),COLUMN())))</f>
        <v>340</v>
      </c>
      <c r="T194" s="25" t="str">
        <f ca="1">VLOOKUP($S194,OFFSET([2]characters!$A$1,0,0,COUNTA([2]characters!$A:$A),MATCH(T$1,[2]characters!$1:$1,0)-MATCH($A$1,[2]characters!$1:$1,0)+1),MATCH(T$1,[2]characters!$1:$1,0)-MATCH($A$1,[2]characters!$1:$1,0)+1,FALSE)</f>
        <v>水のメタルピヨピヨ</v>
      </c>
      <c r="U194" s="5">
        <v>5000</v>
      </c>
    </row>
    <row r="195" spans="1:21" ht="21" customHeight="1" x14ac:dyDescent="0.15">
      <c r="A195" s="83">
        <v>344</v>
      </c>
      <c r="B195" s="24" t="str">
        <f ca="1">VLOOKUP($A195,OFFSET([2]characters!$A$1,0,0,COUNTA([2]characters!$A:$A),MATCH(B$1,[2]characters!$1:$1,0)-MATCH($A$1,[2]characters!$1:$1,0)+1),MATCH(B$1,[2]characters!$1:$1,0)-MATCH($A$1,[2]characters!$1:$1,0)+1,FALSE)</f>
        <v>雷のメタルピヨピヨ</v>
      </c>
      <c r="C195" s="24" t="str">
        <f ca="1">VLOOKUP($A195,OFFSET([2]characters!$A$1,0,0,COUNTA([2]characters!$A:$A),MATCH(C$1,[2]characters!$1:$1,0)-MATCH($A$1,[2]characters!$1:$1,0)+1),MATCH(C$1,[2]characters!$1:$1,0)-MATCH($A$1,[2]characters!$1:$1,0)+1,FALSE)</f>
        <v>強化素材R3　黄</v>
      </c>
      <c r="D195" s="24" t="str">
        <f ca="1">VLOOKUP($A195,OFFSET([2]characters!$A$1,0,0,COUNTA([2]characters!$A:$A),MATCH(D$1,[2]characters!$1:$1,0)-MATCH($A$1,[2]characters!$1:$1,0)+1),MATCH(D$1,[2]characters!$1:$1,0)-MATCH($A$1,[2]characters!$1:$1,0)+1,FALSE)</f>
        <v>アリス</v>
      </c>
      <c r="E195" s="24" t="str">
        <f ca="1">VLOOKUP($A195,OFFSET([2]characters!$A$1,0,0,COUNTA([2]characters!$A:$A),MATCH(E$1,[2]characters!$1:$1,0)-MATCH($A$1,[2]characters!$1:$1,0)+1),MATCH(E$1,[2]characters!$1:$1,0)-MATCH($A$1,[2]characters!$1:$1,0)+1,FALSE)</f>
        <v>世界観</v>
      </c>
      <c r="F195" s="24" t="str">
        <f ca="1">VLOOKUP($A195,OFFSET([2]characters!$A$1,0,0,COUNTA([2]characters!$A:$A),MATCH(F$1,[2]characters!$1:$1,0)-MATCH($A$1,[2]characters!$1:$1,0)+1),MATCH(F$1,[2]characters!$1:$1,0)-MATCH($A$1,[2]characters!$1:$1,0)+1,FALSE)</f>
        <v>不明</v>
      </c>
      <c r="G195" s="24">
        <f ca="1">VLOOKUP($A195,OFFSET([2]characters!$A$1,0,0,COUNTA([2]characters!$A:$A),MATCH(G$1,[2]characters!$1:$1,0)-MATCH($A$1,[2]characters!$1:$1,0)+1),MATCH(G$1,[2]characters!$1:$1,0)-MATCH($A$1,[2]characters!$1:$1,0)+1,FALSE)</f>
        <v>3</v>
      </c>
      <c r="H195" s="24" t="str">
        <f ca="1">VLOOKUP($A195,OFFSET([2]characters!$A$1,0,0,COUNTA([2]characters!$A:$A),MATCH(H$1,[2]characters!$1:$1,0)-MATCH($A$1,[2]characters!$1:$1,0)+1),MATCH(H$1,[2]characters!$1:$1,0)-MATCH($A$1,[2]characters!$1:$1,0)+1,FALSE)</f>
        <v>Material</v>
      </c>
      <c r="I195" s="24" t="str">
        <f ca="1">VLOOKUP($A195,OFFSET([2]characters!$A$1,0,0,COUNTA([2]characters!$A:$A),MATCH(I$1,[2]characters!$1:$1,0)-MATCH($A$1,[2]characters!$1:$1,0)+1),MATCH(I$1,[2]characters!$1:$1,0)-MATCH($A$1,[2]characters!$1:$1,0)+1,FALSE)</f>
        <v>yellow</v>
      </c>
      <c r="J195" s="24" t="str">
        <f ca="1">VLOOKUP($A195,OFFSET([2]characters!$A$1,0,0,COUNTA([2]characters!$A:$A),MATCH(J$1,[2]characters!$1:$1,0)-MATCH($A$1,[2]characters!$1:$1,0)+1),MATCH(J$1,[2]characters!$1:$1,0)-MATCH($A$1,[2]characters!$1:$1,0)+1,FALSE)</f>
        <v>none</v>
      </c>
      <c r="K195" s="3" t="str">
        <f ca="1">VLOOKUP(J195,[2]character_tribe_i18n!$A:$H,3,FALSE)</f>
        <v>種族なし</v>
      </c>
      <c r="L195" s="5" t="e">
        <f>VLOOKUP(#REF!,[2]character_tribe_i18n!$A:$H,4,FALSE)</f>
        <v>#REF!</v>
      </c>
      <c r="M195" s="5" t="e">
        <f>VLOOKUP(#REF!,[2]character_tribe_i18n!$A:$H,5,FALSE)</f>
        <v>#REF!</v>
      </c>
      <c r="N195" s="5" t="e">
        <f>VLOOKUP(#REF!,[2]character_tribe_i18n!$A:$H,6,FALSE)</f>
        <v>#REF!</v>
      </c>
      <c r="O195" s="5" t="e">
        <f>VLOOKUP(#REF!,[2]character_tribe_i18n!$A:$H,7,FALSE)</f>
        <v>#REF!</v>
      </c>
      <c r="P195" s="83" t="s">
        <v>170</v>
      </c>
      <c r="Q195" s="4">
        <v>345</v>
      </c>
      <c r="R195" s="25" t="str">
        <f ca="1">IF(Q195="NULL","",VLOOKUP($Q195,OFFSET([2]characters!$A$1,0,0,COUNTA([2]characters!$A:$A),MATCH(R$1,[2]characters!$1:$1,0)-MATCH($A$1,[2]characters!$1:$1,0)+1),MATCH(R$1,[2]characters!$1:$1,0)-MATCH($A$1,[2]characters!$1:$1,0)+1,FALSE))</f>
        <v>雷のメタルチック</v>
      </c>
      <c r="S195" s="3">
        <f t="shared" ca="1" si="3"/>
        <v>344</v>
      </c>
      <c r="T195" s="25" t="str">
        <f ca="1">VLOOKUP($S195,OFFSET([2]characters!$A$1,0,0,COUNTA([2]characters!$A:$A),MATCH(T$1,[2]characters!$1:$1,0)-MATCH($A$1,[2]characters!$1:$1,0)+1),MATCH(T$1,[2]characters!$1:$1,0)-MATCH($A$1,[2]characters!$1:$1,0)+1,FALSE)</f>
        <v>雷のメタルピヨピヨ</v>
      </c>
      <c r="U195" s="5">
        <v>2000</v>
      </c>
    </row>
    <row r="196" spans="1:21" ht="21" customHeight="1" x14ac:dyDescent="0.15">
      <c r="A196" s="83">
        <v>345</v>
      </c>
      <c r="B196" s="24" t="str">
        <f ca="1">VLOOKUP($A196,OFFSET([2]characters!$A$1,0,0,COUNTA([2]characters!$A:$A),MATCH(B$1,[2]characters!$1:$1,0)-MATCH($A$1,[2]characters!$1:$1,0)+1),MATCH(B$1,[2]characters!$1:$1,0)-MATCH($A$1,[2]characters!$1:$1,0)+1,FALSE)</f>
        <v>雷のメタルチック</v>
      </c>
      <c r="C196" s="24" t="str">
        <f ca="1">VLOOKUP($A196,OFFSET([2]characters!$A$1,0,0,COUNTA([2]characters!$A:$A),MATCH(C$1,[2]characters!$1:$1,0)-MATCH($A$1,[2]characters!$1:$1,0)+1),MATCH(C$1,[2]characters!$1:$1,0)-MATCH($A$1,[2]characters!$1:$1,0)+1,FALSE)</f>
        <v>強化素材R4　黄</v>
      </c>
      <c r="D196" s="24" t="str">
        <f ca="1">VLOOKUP($A196,OFFSET([2]characters!$A$1,0,0,COUNTA([2]characters!$A:$A),MATCH(D$1,[2]characters!$1:$1,0)-MATCH($A$1,[2]characters!$1:$1,0)+1),MATCH(D$1,[2]characters!$1:$1,0)-MATCH($A$1,[2]characters!$1:$1,0)+1,FALSE)</f>
        <v>アリス</v>
      </c>
      <c r="E196" s="24" t="str">
        <f ca="1">VLOOKUP($A196,OFFSET([2]characters!$A$1,0,0,COUNTA([2]characters!$A:$A),MATCH(E$1,[2]characters!$1:$1,0)-MATCH($A$1,[2]characters!$1:$1,0)+1),MATCH(E$1,[2]characters!$1:$1,0)-MATCH($A$1,[2]characters!$1:$1,0)+1,FALSE)</f>
        <v>世界観</v>
      </c>
      <c r="F196" s="24" t="str">
        <f ca="1">VLOOKUP($A196,OFFSET([2]characters!$A$1,0,0,COUNTA([2]characters!$A:$A),MATCH(F$1,[2]characters!$1:$1,0)-MATCH($A$1,[2]characters!$1:$1,0)+1),MATCH(F$1,[2]characters!$1:$1,0)-MATCH($A$1,[2]characters!$1:$1,0)+1,FALSE)</f>
        <v>不明</v>
      </c>
      <c r="G196" s="24">
        <f ca="1">VLOOKUP($A196,OFFSET([2]characters!$A$1,0,0,COUNTA([2]characters!$A:$A),MATCH(G$1,[2]characters!$1:$1,0)-MATCH($A$1,[2]characters!$1:$1,0)+1),MATCH(G$1,[2]characters!$1:$1,0)-MATCH($A$1,[2]characters!$1:$1,0)+1,FALSE)</f>
        <v>4</v>
      </c>
      <c r="H196" s="24" t="str">
        <f ca="1">VLOOKUP($A196,OFFSET([2]characters!$A$1,0,0,COUNTA([2]characters!$A:$A),MATCH(H$1,[2]characters!$1:$1,0)-MATCH($A$1,[2]characters!$1:$1,0)+1),MATCH(H$1,[2]characters!$1:$1,0)-MATCH($A$1,[2]characters!$1:$1,0)+1,FALSE)</f>
        <v>Material</v>
      </c>
      <c r="I196" s="24" t="str">
        <f ca="1">VLOOKUP($A196,OFFSET([2]characters!$A$1,0,0,COUNTA([2]characters!$A:$A),MATCH(I$1,[2]characters!$1:$1,0)-MATCH($A$1,[2]characters!$1:$1,0)+1),MATCH(I$1,[2]characters!$1:$1,0)-MATCH($A$1,[2]characters!$1:$1,0)+1,FALSE)</f>
        <v>yellow</v>
      </c>
      <c r="J196" s="24" t="str">
        <f ca="1">VLOOKUP($A196,OFFSET([2]characters!$A$1,0,0,COUNTA([2]characters!$A:$A),MATCH(J$1,[2]characters!$1:$1,0)-MATCH($A$1,[2]characters!$1:$1,0)+1),MATCH(J$1,[2]characters!$1:$1,0)-MATCH($A$1,[2]characters!$1:$1,0)+1,FALSE)</f>
        <v>none</v>
      </c>
      <c r="K196" s="3" t="str">
        <f ca="1">VLOOKUP(J196,[2]character_tribe_i18n!$A:$H,3,FALSE)</f>
        <v>種族なし</v>
      </c>
      <c r="L196" s="5" t="e">
        <f>VLOOKUP(#REF!,[2]character_tribe_i18n!$A:$H,4,FALSE)</f>
        <v>#REF!</v>
      </c>
      <c r="M196" s="5" t="e">
        <f>VLOOKUP(#REF!,[2]character_tribe_i18n!$A:$H,5,FALSE)</f>
        <v>#REF!</v>
      </c>
      <c r="N196" s="5" t="e">
        <f>VLOOKUP(#REF!,[2]character_tribe_i18n!$A:$H,6,FALSE)</f>
        <v>#REF!</v>
      </c>
      <c r="O196" s="5" t="e">
        <f>VLOOKUP(#REF!,[2]character_tribe_i18n!$A:$H,7,FALSE)</f>
        <v>#REF!</v>
      </c>
      <c r="P196" s="83" t="s">
        <v>170</v>
      </c>
      <c r="Q196" s="4">
        <v>346</v>
      </c>
      <c r="R196" s="25" t="str">
        <f ca="1">IF(Q196="NULL","",VLOOKUP($Q196,OFFSET([2]characters!$A$1,0,0,COUNTA([2]characters!$A:$A),MATCH(R$1,[2]characters!$1:$1,0)-MATCH($A$1,[2]characters!$1:$1,0)+1),MATCH(R$1,[2]characters!$1:$1,0)-MATCH($A$1,[2]characters!$1:$1,0)+1,FALSE))</f>
        <v>雷のメタルダック</v>
      </c>
      <c r="S196" s="3">
        <f t="shared" ca="1" si="3"/>
        <v>344</v>
      </c>
      <c r="T196" s="25" t="str">
        <f ca="1">VLOOKUP($S196,OFFSET([2]characters!$A$1,0,0,COUNTA([2]characters!$A:$A),MATCH(T$1,[2]characters!$1:$1,0)-MATCH($A$1,[2]characters!$1:$1,0)+1),MATCH(T$1,[2]characters!$1:$1,0)-MATCH($A$1,[2]characters!$1:$1,0)+1,FALSE)</f>
        <v>雷のメタルピヨピヨ</v>
      </c>
      <c r="U196" s="5">
        <v>5000</v>
      </c>
    </row>
    <row r="197" spans="1:21" ht="21" customHeight="1" x14ac:dyDescent="0.15">
      <c r="A197" s="83">
        <v>348</v>
      </c>
      <c r="B197" s="24" t="str">
        <f ca="1">VLOOKUP($A197,OFFSET([2]characters!$A$1,0,0,COUNTA([2]characters!$A:$A),MATCH(B$1,[2]characters!$1:$1,0)-MATCH($A$1,[2]characters!$1:$1,0)+1),MATCH(B$1,[2]characters!$1:$1,0)-MATCH($A$1,[2]characters!$1:$1,0)+1,FALSE)</f>
        <v>炎のケロケロ</v>
      </c>
      <c r="C197" s="24" t="str">
        <f ca="1">VLOOKUP($A197,OFFSET([2]characters!$A$1,0,0,COUNTA([2]characters!$A:$A),MATCH(C$1,[2]characters!$1:$1,0)-MATCH($A$1,[2]characters!$1:$1,0)+1),MATCH(C$1,[2]characters!$1:$1,0)-MATCH($A$1,[2]characters!$1:$1,0)+1,FALSE)</f>
        <v>強化素材R2　赤</v>
      </c>
      <c r="D197" s="24" t="str">
        <f ca="1">VLOOKUP($A197,OFFSET([2]characters!$A$1,0,0,COUNTA([2]characters!$A:$A),MATCH(D$1,[2]characters!$1:$1,0)-MATCH($A$1,[2]characters!$1:$1,0)+1),MATCH(D$1,[2]characters!$1:$1,0)-MATCH($A$1,[2]characters!$1:$1,0)+1,FALSE)</f>
        <v>アリス</v>
      </c>
      <c r="E197" s="24" t="str">
        <f ca="1">VLOOKUP($A197,OFFSET([2]characters!$A$1,0,0,COUNTA([2]characters!$A:$A),MATCH(E$1,[2]characters!$1:$1,0)-MATCH($A$1,[2]characters!$1:$1,0)+1),MATCH(E$1,[2]characters!$1:$1,0)-MATCH($A$1,[2]characters!$1:$1,0)+1,FALSE)</f>
        <v>世界観</v>
      </c>
      <c r="F197" s="24" t="str">
        <f ca="1">VLOOKUP($A197,OFFSET([2]characters!$A$1,0,0,COUNTA([2]characters!$A:$A),MATCH(F$1,[2]characters!$1:$1,0)-MATCH($A$1,[2]characters!$1:$1,0)+1),MATCH(F$1,[2]characters!$1:$1,0)-MATCH($A$1,[2]characters!$1:$1,0)+1,FALSE)</f>
        <v>不明</v>
      </c>
      <c r="G197" s="24">
        <f ca="1">VLOOKUP($A197,OFFSET([2]characters!$A$1,0,0,COUNTA([2]characters!$A:$A),MATCH(G$1,[2]characters!$1:$1,0)-MATCH($A$1,[2]characters!$1:$1,0)+1),MATCH(G$1,[2]characters!$1:$1,0)-MATCH($A$1,[2]characters!$1:$1,0)+1,FALSE)</f>
        <v>5</v>
      </c>
      <c r="H197" s="24" t="str">
        <f ca="1">VLOOKUP($A197,OFFSET([2]characters!$A$1,0,0,COUNTA([2]characters!$A:$A),MATCH(H$1,[2]characters!$1:$1,0)-MATCH($A$1,[2]characters!$1:$1,0)+1),MATCH(H$1,[2]characters!$1:$1,0)-MATCH($A$1,[2]characters!$1:$1,0)+1,FALSE)</f>
        <v>Material</v>
      </c>
      <c r="I197" s="24" t="str">
        <f ca="1">VLOOKUP($A197,OFFSET([2]characters!$A$1,0,0,COUNTA([2]characters!$A:$A),MATCH(I$1,[2]characters!$1:$1,0)-MATCH($A$1,[2]characters!$1:$1,0)+1),MATCH(I$1,[2]characters!$1:$1,0)-MATCH($A$1,[2]characters!$1:$1,0)+1,FALSE)</f>
        <v>red</v>
      </c>
      <c r="J197" s="24" t="str">
        <f ca="1">VLOOKUP($A197,OFFSET([2]characters!$A$1,0,0,COUNTA([2]characters!$A:$A),MATCH(J$1,[2]characters!$1:$1,0)-MATCH($A$1,[2]characters!$1:$1,0)+1),MATCH(J$1,[2]characters!$1:$1,0)-MATCH($A$1,[2]characters!$1:$1,0)+1,FALSE)</f>
        <v>none</v>
      </c>
      <c r="K197" s="3" t="str">
        <f ca="1">VLOOKUP(J197,[2]character_tribe_i18n!$A:$H,3,FALSE)</f>
        <v>種族なし</v>
      </c>
      <c r="L197" s="5" t="e">
        <f>VLOOKUP(#REF!,[2]character_tribe_i18n!$A:$H,4,FALSE)</f>
        <v>#REF!</v>
      </c>
      <c r="M197" s="5" t="e">
        <f>VLOOKUP(#REF!,[2]character_tribe_i18n!$A:$H,5,FALSE)</f>
        <v>#REF!</v>
      </c>
      <c r="N197" s="5" t="e">
        <f>VLOOKUP(#REF!,[2]character_tribe_i18n!$A:$H,6,FALSE)</f>
        <v>#REF!</v>
      </c>
      <c r="O197" s="5" t="e">
        <f>VLOOKUP(#REF!,[2]character_tribe_i18n!$A:$H,7,FALSE)</f>
        <v>#REF!</v>
      </c>
      <c r="P197" s="83" t="s">
        <v>170</v>
      </c>
      <c r="Q197" s="4">
        <v>349</v>
      </c>
      <c r="R197" s="25" t="str">
        <f ca="1">IF(Q197="NULL","",VLOOKUP($Q197,OFFSET([2]characters!$A$1,0,0,COUNTA([2]characters!$A:$A),MATCH(R$1,[2]characters!$1:$1,0)-MATCH($A$1,[2]characters!$1:$1,0)+1),MATCH(R$1,[2]characters!$1:$1,0)-MATCH($A$1,[2]characters!$1:$1,0)+1,FALSE))</f>
        <v>炎のメタルフロッグ</v>
      </c>
      <c r="S197" s="3">
        <f t="shared" ca="1" si="3"/>
        <v>348</v>
      </c>
      <c r="T197" s="25" t="str">
        <f ca="1">VLOOKUP($S197,OFFSET([2]characters!$A$1,0,0,COUNTA([2]characters!$A:$A),MATCH(T$1,[2]characters!$1:$1,0)-MATCH($A$1,[2]characters!$1:$1,0)+1),MATCH(T$1,[2]characters!$1:$1,0)-MATCH($A$1,[2]characters!$1:$1,0)+1,FALSE)</f>
        <v>炎のケロケロ</v>
      </c>
      <c r="U197" s="28">
        <v>10000</v>
      </c>
    </row>
    <row r="198" spans="1:21" ht="21" customHeight="1" x14ac:dyDescent="0.15">
      <c r="A198" s="83">
        <v>350</v>
      </c>
      <c r="B198" s="24" t="str">
        <f ca="1">VLOOKUP($A198,OFFSET([2]characters!$A$1,0,0,COUNTA([2]characters!$A:$A),MATCH(B$1,[2]characters!$1:$1,0)-MATCH($A$1,[2]characters!$1:$1,0)+1),MATCH(B$1,[2]characters!$1:$1,0)-MATCH($A$1,[2]characters!$1:$1,0)+1,FALSE)</f>
        <v>森のケロケロ</v>
      </c>
      <c r="C198" s="24" t="str">
        <f ca="1">VLOOKUP($A198,OFFSET([2]characters!$A$1,0,0,COUNTA([2]characters!$A:$A),MATCH(C$1,[2]characters!$1:$1,0)-MATCH($A$1,[2]characters!$1:$1,0)+1),MATCH(C$1,[2]characters!$1:$1,0)-MATCH($A$1,[2]characters!$1:$1,0)+1,FALSE)</f>
        <v>強化素材R2　緑</v>
      </c>
      <c r="D198" s="24" t="str">
        <f ca="1">VLOOKUP($A198,OFFSET([2]characters!$A$1,0,0,COUNTA([2]characters!$A:$A),MATCH(D$1,[2]characters!$1:$1,0)-MATCH($A$1,[2]characters!$1:$1,0)+1),MATCH(D$1,[2]characters!$1:$1,0)-MATCH($A$1,[2]characters!$1:$1,0)+1,FALSE)</f>
        <v>アリス</v>
      </c>
      <c r="E198" s="24" t="str">
        <f ca="1">VLOOKUP($A198,OFFSET([2]characters!$A$1,0,0,COUNTA([2]characters!$A:$A),MATCH(E$1,[2]characters!$1:$1,0)-MATCH($A$1,[2]characters!$1:$1,0)+1),MATCH(E$1,[2]characters!$1:$1,0)-MATCH($A$1,[2]characters!$1:$1,0)+1,FALSE)</f>
        <v>世界観</v>
      </c>
      <c r="F198" s="24" t="str">
        <f ca="1">VLOOKUP($A198,OFFSET([2]characters!$A$1,0,0,COUNTA([2]characters!$A:$A),MATCH(F$1,[2]characters!$1:$1,0)-MATCH($A$1,[2]characters!$1:$1,0)+1),MATCH(F$1,[2]characters!$1:$1,0)-MATCH($A$1,[2]characters!$1:$1,0)+1,FALSE)</f>
        <v>不明</v>
      </c>
      <c r="G198" s="24">
        <f ca="1">VLOOKUP($A198,OFFSET([2]characters!$A$1,0,0,COUNTA([2]characters!$A:$A),MATCH(G$1,[2]characters!$1:$1,0)-MATCH($A$1,[2]characters!$1:$1,0)+1),MATCH(G$1,[2]characters!$1:$1,0)-MATCH($A$1,[2]characters!$1:$1,0)+1,FALSE)</f>
        <v>5</v>
      </c>
      <c r="H198" s="24" t="str">
        <f ca="1">VLOOKUP($A198,OFFSET([2]characters!$A$1,0,0,COUNTA([2]characters!$A:$A),MATCH(H$1,[2]characters!$1:$1,0)-MATCH($A$1,[2]characters!$1:$1,0)+1),MATCH(H$1,[2]characters!$1:$1,0)-MATCH($A$1,[2]characters!$1:$1,0)+1,FALSE)</f>
        <v>Material</v>
      </c>
      <c r="I198" s="24" t="str">
        <f ca="1">VLOOKUP($A198,OFFSET([2]characters!$A$1,0,0,COUNTA([2]characters!$A:$A),MATCH(I$1,[2]characters!$1:$1,0)-MATCH($A$1,[2]characters!$1:$1,0)+1),MATCH(I$1,[2]characters!$1:$1,0)-MATCH($A$1,[2]characters!$1:$1,0)+1,FALSE)</f>
        <v>green</v>
      </c>
      <c r="J198" s="24" t="str">
        <f ca="1">VLOOKUP($A198,OFFSET([2]characters!$A$1,0,0,COUNTA([2]characters!$A:$A),MATCH(J$1,[2]characters!$1:$1,0)-MATCH($A$1,[2]characters!$1:$1,0)+1),MATCH(J$1,[2]characters!$1:$1,0)-MATCH($A$1,[2]characters!$1:$1,0)+1,FALSE)</f>
        <v>none</v>
      </c>
      <c r="K198" s="3" t="str">
        <f ca="1">VLOOKUP(J198,[2]character_tribe_i18n!$A:$H,3,FALSE)</f>
        <v>種族なし</v>
      </c>
      <c r="L198" s="5" t="e">
        <f>VLOOKUP(#REF!,[2]character_tribe_i18n!$A:$H,4,FALSE)</f>
        <v>#REF!</v>
      </c>
      <c r="M198" s="5" t="e">
        <f>VLOOKUP(#REF!,[2]character_tribe_i18n!$A:$H,5,FALSE)</f>
        <v>#REF!</v>
      </c>
      <c r="N198" s="5" t="e">
        <f>VLOOKUP(#REF!,[2]character_tribe_i18n!$A:$H,6,FALSE)</f>
        <v>#REF!</v>
      </c>
      <c r="O198" s="5" t="e">
        <f>VLOOKUP(#REF!,[2]character_tribe_i18n!$A:$H,7,FALSE)</f>
        <v>#REF!</v>
      </c>
      <c r="P198" s="83" t="s">
        <v>170</v>
      </c>
      <c r="Q198" s="4">
        <v>351</v>
      </c>
      <c r="R198" s="25" t="str">
        <f ca="1">IF(Q198="NULL","",VLOOKUP($Q198,OFFSET([2]characters!$A$1,0,0,COUNTA([2]characters!$A:$A),MATCH(R$1,[2]characters!$1:$1,0)-MATCH($A$1,[2]characters!$1:$1,0)+1),MATCH(R$1,[2]characters!$1:$1,0)-MATCH($A$1,[2]characters!$1:$1,0)+1,FALSE))</f>
        <v>森のメタルフロッグ</v>
      </c>
      <c r="S198" s="3">
        <f t="shared" ca="1" si="3"/>
        <v>350</v>
      </c>
      <c r="T198" s="25" t="str">
        <f ca="1">VLOOKUP($S198,OFFSET([2]characters!$A$1,0,0,COUNTA([2]characters!$A:$A),MATCH(T$1,[2]characters!$1:$1,0)-MATCH($A$1,[2]characters!$1:$1,0)+1),MATCH(T$1,[2]characters!$1:$1,0)-MATCH($A$1,[2]characters!$1:$1,0)+1,FALSE)</f>
        <v>森のケロケロ</v>
      </c>
      <c r="U198" s="28">
        <v>10000</v>
      </c>
    </row>
    <row r="199" spans="1:21" ht="21" customHeight="1" x14ac:dyDescent="0.15">
      <c r="A199" s="83">
        <v>352</v>
      </c>
      <c r="B199" s="24" t="str">
        <f ca="1">VLOOKUP($A199,OFFSET([2]characters!$A$1,0,0,COUNTA([2]characters!$A:$A),MATCH(B$1,[2]characters!$1:$1,0)-MATCH($A$1,[2]characters!$1:$1,0)+1),MATCH(B$1,[2]characters!$1:$1,0)-MATCH($A$1,[2]characters!$1:$1,0)+1,FALSE)</f>
        <v>水のケロケロ</v>
      </c>
      <c r="C199" s="24" t="str">
        <f ca="1">VLOOKUP($A199,OFFSET([2]characters!$A$1,0,0,COUNTA([2]characters!$A:$A),MATCH(C$1,[2]characters!$1:$1,0)-MATCH($A$1,[2]characters!$1:$1,0)+1),MATCH(C$1,[2]characters!$1:$1,0)-MATCH($A$1,[2]characters!$1:$1,0)+1,FALSE)</f>
        <v>強化素材R2　青</v>
      </c>
      <c r="D199" s="24" t="str">
        <f ca="1">VLOOKUP($A199,OFFSET([2]characters!$A$1,0,0,COUNTA([2]characters!$A:$A),MATCH(D$1,[2]characters!$1:$1,0)-MATCH($A$1,[2]characters!$1:$1,0)+1),MATCH(D$1,[2]characters!$1:$1,0)-MATCH($A$1,[2]characters!$1:$1,0)+1,FALSE)</f>
        <v>アリス</v>
      </c>
      <c r="E199" s="24" t="str">
        <f ca="1">VLOOKUP($A199,OFFSET([2]characters!$A$1,0,0,COUNTA([2]characters!$A:$A),MATCH(E$1,[2]characters!$1:$1,0)-MATCH($A$1,[2]characters!$1:$1,0)+1),MATCH(E$1,[2]characters!$1:$1,0)-MATCH($A$1,[2]characters!$1:$1,0)+1,FALSE)</f>
        <v>世界観</v>
      </c>
      <c r="F199" s="24" t="str">
        <f ca="1">VLOOKUP($A199,OFFSET([2]characters!$A$1,0,0,COUNTA([2]characters!$A:$A),MATCH(F$1,[2]characters!$1:$1,0)-MATCH($A$1,[2]characters!$1:$1,0)+1),MATCH(F$1,[2]characters!$1:$1,0)-MATCH($A$1,[2]characters!$1:$1,0)+1,FALSE)</f>
        <v>不明</v>
      </c>
      <c r="G199" s="24">
        <f ca="1">VLOOKUP($A199,OFFSET([2]characters!$A$1,0,0,COUNTA([2]characters!$A:$A),MATCH(G$1,[2]characters!$1:$1,0)-MATCH($A$1,[2]characters!$1:$1,0)+1),MATCH(G$1,[2]characters!$1:$1,0)-MATCH($A$1,[2]characters!$1:$1,0)+1,FALSE)</f>
        <v>5</v>
      </c>
      <c r="H199" s="24" t="str">
        <f ca="1">VLOOKUP($A199,OFFSET([2]characters!$A$1,0,0,COUNTA([2]characters!$A:$A),MATCH(H$1,[2]characters!$1:$1,0)-MATCH($A$1,[2]characters!$1:$1,0)+1),MATCH(H$1,[2]characters!$1:$1,0)-MATCH($A$1,[2]characters!$1:$1,0)+1,FALSE)</f>
        <v>Material</v>
      </c>
      <c r="I199" s="24" t="str">
        <f ca="1">VLOOKUP($A199,OFFSET([2]characters!$A$1,0,0,COUNTA([2]characters!$A:$A),MATCH(I$1,[2]characters!$1:$1,0)-MATCH($A$1,[2]characters!$1:$1,0)+1),MATCH(I$1,[2]characters!$1:$1,0)-MATCH($A$1,[2]characters!$1:$1,0)+1,FALSE)</f>
        <v>blue</v>
      </c>
      <c r="J199" s="24" t="str">
        <f ca="1">VLOOKUP($A199,OFFSET([2]characters!$A$1,0,0,COUNTA([2]characters!$A:$A),MATCH(J$1,[2]characters!$1:$1,0)-MATCH($A$1,[2]characters!$1:$1,0)+1),MATCH(J$1,[2]characters!$1:$1,0)-MATCH($A$1,[2]characters!$1:$1,0)+1,FALSE)</f>
        <v>none</v>
      </c>
      <c r="K199" s="3" t="str">
        <f ca="1">VLOOKUP(J199,[2]character_tribe_i18n!$A:$H,3,FALSE)</f>
        <v>種族なし</v>
      </c>
      <c r="L199" s="5" t="e">
        <f>VLOOKUP(#REF!,[2]character_tribe_i18n!$A:$H,4,FALSE)</f>
        <v>#REF!</v>
      </c>
      <c r="M199" s="5" t="e">
        <f>VLOOKUP(#REF!,[2]character_tribe_i18n!$A:$H,5,FALSE)</f>
        <v>#REF!</v>
      </c>
      <c r="N199" s="5" t="e">
        <f>VLOOKUP(#REF!,[2]character_tribe_i18n!$A:$H,6,FALSE)</f>
        <v>#REF!</v>
      </c>
      <c r="O199" s="5" t="e">
        <f>VLOOKUP(#REF!,[2]character_tribe_i18n!$A:$H,7,FALSE)</f>
        <v>#REF!</v>
      </c>
      <c r="P199" s="83" t="s">
        <v>170</v>
      </c>
      <c r="Q199" s="4">
        <v>353</v>
      </c>
      <c r="R199" s="25" t="str">
        <f ca="1">IF(Q199="NULL","",VLOOKUP($Q199,OFFSET([2]characters!$A$1,0,0,COUNTA([2]characters!$A:$A),MATCH(R$1,[2]characters!$1:$1,0)-MATCH($A$1,[2]characters!$1:$1,0)+1),MATCH(R$1,[2]characters!$1:$1,0)-MATCH($A$1,[2]characters!$1:$1,0)+1,FALSE))</f>
        <v>水のメタルフロッグ</v>
      </c>
      <c r="S199" s="3">
        <f t="shared" ca="1" si="3"/>
        <v>352</v>
      </c>
      <c r="T199" s="25" t="str">
        <f ca="1">VLOOKUP($S199,OFFSET([2]characters!$A$1,0,0,COUNTA([2]characters!$A:$A),MATCH(T$1,[2]characters!$1:$1,0)-MATCH($A$1,[2]characters!$1:$1,0)+1),MATCH(T$1,[2]characters!$1:$1,0)-MATCH($A$1,[2]characters!$1:$1,0)+1,FALSE)</f>
        <v>水のケロケロ</v>
      </c>
      <c r="U199" s="28">
        <v>10000</v>
      </c>
    </row>
    <row r="200" spans="1:21" ht="21" customHeight="1" x14ac:dyDescent="0.15">
      <c r="A200" s="83">
        <v>354</v>
      </c>
      <c r="B200" s="24" t="str">
        <f ca="1">VLOOKUP($A200,OFFSET([2]characters!$A$1,0,0,COUNTA([2]characters!$A:$A),MATCH(B$1,[2]characters!$1:$1,0)-MATCH($A$1,[2]characters!$1:$1,0)+1),MATCH(B$1,[2]characters!$1:$1,0)-MATCH($A$1,[2]characters!$1:$1,0)+1,FALSE)</f>
        <v>雷のケロケロ</v>
      </c>
      <c r="C200" s="24" t="str">
        <f ca="1">VLOOKUP($A200,OFFSET([2]characters!$A$1,0,0,COUNTA([2]characters!$A:$A),MATCH(C$1,[2]characters!$1:$1,0)-MATCH($A$1,[2]characters!$1:$1,0)+1),MATCH(C$1,[2]characters!$1:$1,0)-MATCH($A$1,[2]characters!$1:$1,0)+1,FALSE)</f>
        <v>強化素材R2　黄</v>
      </c>
      <c r="D200" s="24" t="str">
        <f ca="1">VLOOKUP($A200,OFFSET([2]characters!$A$1,0,0,COUNTA([2]characters!$A:$A),MATCH(D$1,[2]characters!$1:$1,0)-MATCH($A$1,[2]characters!$1:$1,0)+1),MATCH(D$1,[2]characters!$1:$1,0)-MATCH($A$1,[2]characters!$1:$1,0)+1,FALSE)</f>
        <v>アリス</v>
      </c>
      <c r="E200" s="24" t="str">
        <f ca="1">VLOOKUP($A200,OFFSET([2]characters!$A$1,0,0,COUNTA([2]characters!$A:$A),MATCH(E$1,[2]characters!$1:$1,0)-MATCH($A$1,[2]characters!$1:$1,0)+1),MATCH(E$1,[2]characters!$1:$1,0)-MATCH($A$1,[2]characters!$1:$1,0)+1,FALSE)</f>
        <v>世界観</v>
      </c>
      <c r="F200" s="24" t="str">
        <f ca="1">VLOOKUP($A200,OFFSET([2]characters!$A$1,0,0,COUNTA([2]characters!$A:$A),MATCH(F$1,[2]characters!$1:$1,0)-MATCH($A$1,[2]characters!$1:$1,0)+1),MATCH(F$1,[2]characters!$1:$1,0)-MATCH($A$1,[2]characters!$1:$1,0)+1,FALSE)</f>
        <v>不明</v>
      </c>
      <c r="G200" s="24">
        <f ca="1">VLOOKUP($A200,OFFSET([2]characters!$A$1,0,0,COUNTA([2]characters!$A:$A),MATCH(G$1,[2]characters!$1:$1,0)-MATCH($A$1,[2]characters!$1:$1,0)+1),MATCH(G$1,[2]characters!$1:$1,0)-MATCH($A$1,[2]characters!$1:$1,0)+1,FALSE)</f>
        <v>5</v>
      </c>
      <c r="H200" s="24" t="str">
        <f ca="1">VLOOKUP($A200,OFFSET([2]characters!$A$1,0,0,COUNTA([2]characters!$A:$A),MATCH(H$1,[2]characters!$1:$1,0)-MATCH($A$1,[2]characters!$1:$1,0)+1),MATCH(H$1,[2]characters!$1:$1,0)-MATCH($A$1,[2]characters!$1:$1,0)+1,FALSE)</f>
        <v>Material</v>
      </c>
      <c r="I200" s="24" t="str">
        <f ca="1">VLOOKUP($A200,OFFSET([2]characters!$A$1,0,0,COUNTA([2]characters!$A:$A),MATCH(I$1,[2]characters!$1:$1,0)-MATCH($A$1,[2]characters!$1:$1,0)+1),MATCH(I$1,[2]characters!$1:$1,0)-MATCH($A$1,[2]characters!$1:$1,0)+1,FALSE)</f>
        <v>yellow</v>
      </c>
      <c r="J200" s="24" t="str">
        <f ca="1">VLOOKUP($A200,OFFSET([2]characters!$A$1,0,0,COUNTA([2]characters!$A:$A),MATCH(J$1,[2]characters!$1:$1,0)-MATCH($A$1,[2]characters!$1:$1,0)+1),MATCH(J$1,[2]characters!$1:$1,0)-MATCH($A$1,[2]characters!$1:$1,0)+1,FALSE)</f>
        <v>none</v>
      </c>
      <c r="K200" s="3" t="str">
        <f ca="1">VLOOKUP(J200,[2]character_tribe_i18n!$A:$H,3,FALSE)</f>
        <v>種族なし</v>
      </c>
      <c r="L200" s="5" t="e">
        <f>VLOOKUP(#REF!,[2]character_tribe_i18n!$A:$H,4,FALSE)</f>
        <v>#REF!</v>
      </c>
      <c r="M200" s="5" t="e">
        <f>VLOOKUP(#REF!,[2]character_tribe_i18n!$A:$H,5,FALSE)</f>
        <v>#REF!</v>
      </c>
      <c r="N200" s="5" t="e">
        <f>VLOOKUP(#REF!,[2]character_tribe_i18n!$A:$H,6,FALSE)</f>
        <v>#REF!</v>
      </c>
      <c r="O200" s="5" t="e">
        <f>VLOOKUP(#REF!,[2]character_tribe_i18n!$A:$H,7,FALSE)</f>
        <v>#REF!</v>
      </c>
      <c r="P200" s="83" t="s">
        <v>170</v>
      </c>
      <c r="Q200" s="4">
        <v>355</v>
      </c>
      <c r="R200" s="25" t="str">
        <f ca="1">IF(Q200="NULL","",VLOOKUP($Q200,OFFSET([2]characters!$A$1,0,0,COUNTA([2]characters!$A:$A),MATCH(R$1,[2]characters!$1:$1,0)-MATCH($A$1,[2]characters!$1:$1,0)+1),MATCH(R$1,[2]characters!$1:$1,0)-MATCH($A$1,[2]characters!$1:$1,0)+1,FALSE))</f>
        <v>雷のメタルフロッグ</v>
      </c>
      <c r="S200" s="3">
        <f t="shared" ca="1" si="3"/>
        <v>354</v>
      </c>
      <c r="T200" s="25" t="str">
        <f ca="1">VLOOKUP($S200,OFFSET([2]characters!$A$1,0,0,COUNTA([2]characters!$A:$A),MATCH(T$1,[2]characters!$1:$1,0)-MATCH($A$1,[2]characters!$1:$1,0)+1),MATCH(T$1,[2]characters!$1:$1,0)-MATCH($A$1,[2]characters!$1:$1,0)+1,FALSE)</f>
        <v>雷のケロケロ</v>
      </c>
      <c r="U200" s="28">
        <v>10000</v>
      </c>
    </row>
    <row r="201" spans="1:21" ht="21" customHeight="1" x14ac:dyDescent="0.15">
      <c r="A201" s="83">
        <v>360</v>
      </c>
      <c r="B201" s="24" t="str">
        <f ca="1">VLOOKUP($A201,OFFSET([2]characters!$A$1,0,0,COUNTA([2]characters!$A:$A),MATCH(B$1,[2]characters!$1:$1,0)-MATCH($A$1,[2]characters!$1:$1,0)+1),MATCH(B$1,[2]characters!$1:$1,0)-MATCH($A$1,[2]characters!$1:$1,0)+1,FALSE)</f>
        <v>ガンテツ</v>
      </c>
      <c r="C201" s="24" t="str">
        <f ca="1">VLOOKUP($A201,OFFSET([2]characters!$A$1,0,0,COUNTA([2]characters!$A:$A),MATCH(C$1,[2]characters!$1:$1,0)-MATCH($A$1,[2]characters!$1:$1,0)+1),MATCH(C$1,[2]characters!$1:$1,0)-MATCH($A$1,[2]characters!$1:$1,0)+1,FALSE)</f>
        <v>ノーマルクエスト</v>
      </c>
      <c r="D201" s="24" t="str">
        <f ca="1">VLOOKUP($A201,OFFSET([2]characters!$A$1,0,0,COUNTA([2]characters!$A:$A),MATCH(D$1,[2]characters!$1:$1,0)-MATCH($A$1,[2]characters!$1:$1,0)+1),MATCH(D$1,[2]characters!$1:$1,0)-MATCH($A$1,[2]characters!$1:$1,0)+1,FALSE)</f>
        <v>アバター</v>
      </c>
      <c r="E201" s="24" t="str">
        <f ca="1">VLOOKUP($A201,OFFSET([2]characters!$A$1,0,0,COUNTA([2]characters!$A:$A),MATCH(E$1,[2]characters!$1:$1,0)-MATCH($A$1,[2]characters!$1:$1,0)+1),MATCH(E$1,[2]characters!$1:$1,0)-MATCH($A$1,[2]characters!$1:$1,0)+1,FALSE)</f>
        <v>世界観</v>
      </c>
      <c r="F201" s="24" t="str">
        <f ca="1">VLOOKUP($A201,OFFSET([2]characters!$A$1,0,0,COUNTA([2]characters!$A:$A),MATCH(F$1,[2]characters!$1:$1,0)-MATCH($A$1,[2]characters!$1:$1,0)+1),MATCH(F$1,[2]characters!$1:$1,0)-MATCH($A$1,[2]characters!$1:$1,0)+1,FALSE)</f>
        <v>不明</v>
      </c>
      <c r="G201" s="24">
        <f ca="1">VLOOKUP($A201,OFFSET([2]characters!$A$1,0,0,COUNTA([2]characters!$A:$A),MATCH(G$1,[2]characters!$1:$1,0)-MATCH($A$1,[2]characters!$1:$1,0)+1),MATCH(G$1,[2]characters!$1:$1,0)-MATCH($A$1,[2]characters!$1:$1,0)+1,FALSE)</f>
        <v>2</v>
      </c>
      <c r="H201" s="24" t="str">
        <f ca="1">VLOOKUP($A201,OFFSET([2]characters!$A$1,0,0,COUNTA([2]characters!$A:$A),MATCH(H$1,[2]characters!$1:$1,0)-MATCH($A$1,[2]characters!$1:$1,0)+1),MATCH(H$1,[2]characters!$1:$1,0)-MATCH($A$1,[2]characters!$1:$1,0)+1,FALSE)</f>
        <v>Drop1S</v>
      </c>
      <c r="I201" s="24" t="str">
        <f ca="1">VLOOKUP($A201,OFFSET([2]characters!$A$1,0,0,COUNTA([2]characters!$A:$A),MATCH(I$1,[2]characters!$1:$1,0)-MATCH($A$1,[2]characters!$1:$1,0)+1),MATCH(I$1,[2]characters!$1:$1,0)-MATCH($A$1,[2]characters!$1:$1,0)+1,FALSE)</f>
        <v>red</v>
      </c>
      <c r="J201" s="24" t="str">
        <f ca="1">VLOOKUP($A201,OFFSET([2]characters!$A$1,0,0,COUNTA([2]characters!$A:$A),MATCH(J$1,[2]characters!$1:$1,0)-MATCH($A$1,[2]characters!$1:$1,0)+1),MATCH(J$1,[2]characters!$1:$1,0)-MATCH($A$1,[2]characters!$1:$1,0)+1,FALSE)</f>
        <v>none</v>
      </c>
      <c r="K201" s="3" t="str">
        <f ca="1">VLOOKUP(J201,[2]character_tribe_i18n!$A:$H,3,FALSE)</f>
        <v>種族なし</v>
      </c>
      <c r="L201" s="5" t="e">
        <f>VLOOKUP(#REF!,[2]character_tribe_i18n!$A:$H,4,FALSE)</f>
        <v>#REF!</v>
      </c>
      <c r="M201" s="5" t="e">
        <f>VLOOKUP(#REF!,[2]character_tribe_i18n!$A:$H,5,FALSE)</f>
        <v>#REF!</v>
      </c>
      <c r="N201" s="5" t="e">
        <f>VLOOKUP(#REF!,[2]character_tribe_i18n!$A:$H,6,FALSE)</f>
        <v>#REF!</v>
      </c>
      <c r="O201" s="5" t="e">
        <f>VLOOKUP(#REF!,[2]character_tribe_i18n!$A:$H,7,FALSE)</f>
        <v>#REF!</v>
      </c>
      <c r="P201" s="83" t="s">
        <v>170</v>
      </c>
      <c r="Q201" s="4">
        <v>361</v>
      </c>
      <c r="R201" s="25" t="str">
        <f ca="1">IF(Q201="NULL","",VLOOKUP($Q201,OFFSET([2]characters!$A$1,0,0,COUNTA([2]characters!$A:$A),MATCH(R$1,[2]characters!$1:$1,0)-MATCH($A$1,[2]characters!$1:$1,0)+1),MATCH(R$1,[2]characters!$1:$1,0)-MATCH($A$1,[2]characters!$1:$1,0)+1,FALSE))</f>
        <v>灼熱の鉄板 ガンテツ</v>
      </c>
      <c r="S201" s="3">
        <f t="shared" ca="1" si="3"/>
        <v>360</v>
      </c>
      <c r="T201" s="25" t="str">
        <f ca="1">VLOOKUP($S201,OFFSET([2]characters!$A$1,0,0,COUNTA([2]characters!$A:$A),MATCH(T$1,[2]characters!$1:$1,0)-MATCH($A$1,[2]characters!$1:$1,0)+1),MATCH(T$1,[2]characters!$1:$1,0)-MATCH($A$1,[2]characters!$1:$1,0)+1,FALSE)</f>
        <v>ガンテツ</v>
      </c>
      <c r="U201" s="5">
        <f ca="1">IF(Q201="NULL","NULL",VLOOKUP(G201,ビット!$A$2:$B$7,2))</f>
        <v>10000</v>
      </c>
    </row>
    <row r="202" spans="1:21" ht="21" customHeight="1" x14ac:dyDescent="0.15">
      <c r="A202" s="83">
        <v>362</v>
      </c>
      <c r="B202" s="24" t="str">
        <f ca="1">VLOOKUP($A202,OFFSET([2]characters!$A$1,0,0,COUNTA([2]characters!$A:$A),MATCH(B$1,[2]characters!$1:$1,0)-MATCH($A$1,[2]characters!$1:$1,0)+1),MATCH(B$1,[2]characters!$1:$1,0)-MATCH($A$1,[2]characters!$1:$1,0)+1,FALSE)</f>
        <v>ゆらら</v>
      </c>
      <c r="C202" s="24" t="str">
        <f ca="1">VLOOKUP($A202,OFFSET([2]characters!$A$1,0,0,COUNTA([2]characters!$A:$A),MATCH(C$1,[2]characters!$1:$1,0)-MATCH($A$1,[2]characters!$1:$1,0)+1),MATCH(C$1,[2]characters!$1:$1,0)-MATCH($A$1,[2]characters!$1:$1,0)+1,FALSE)</f>
        <v>ノーマルクエスト</v>
      </c>
      <c r="D202" s="24" t="str">
        <f ca="1">VLOOKUP($A202,OFFSET([2]characters!$A$1,0,0,COUNTA([2]characters!$A:$A),MATCH(D$1,[2]characters!$1:$1,0)-MATCH($A$1,[2]characters!$1:$1,0)+1),MATCH(D$1,[2]characters!$1:$1,0)-MATCH($A$1,[2]characters!$1:$1,0)+1,FALSE)</f>
        <v>アバター</v>
      </c>
      <c r="E202" s="24" t="str">
        <f ca="1">VLOOKUP($A202,OFFSET([2]characters!$A$1,0,0,COUNTA([2]characters!$A:$A),MATCH(E$1,[2]characters!$1:$1,0)-MATCH($A$1,[2]characters!$1:$1,0)+1),MATCH(E$1,[2]characters!$1:$1,0)-MATCH($A$1,[2]characters!$1:$1,0)+1,FALSE)</f>
        <v>世界観</v>
      </c>
      <c r="F202" s="24" t="str">
        <f ca="1">VLOOKUP($A202,OFFSET([2]characters!$A$1,0,0,COUNTA([2]characters!$A:$A),MATCH(F$1,[2]characters!$1:$1,0)-MATCH($A$1,[2]characters!$1:$1,0)+1),MATCH(F$1,[2]characters!$1:$1,0)-MATCH($A$1,[2]characters!$1:$1,0)+1,FALSE)</f>
        <v>不明</v>
      </c>
      <c r="G202" s="24">
        <f ca="1">VLOOKUP($A202,OFFSET([2]characters!$A$1,0,0,COUNTA([2]characters!$A:$A),MATCH(G$1,[2]characters!$1:$1,0)-MATCH($A$1,[2]characters!$1:$1,0)+1),MATCH(G$1,[2]characters!$1:$1,0)-MATCH($A$1,[2]characters!$1:$1,0)+1,FALSE)</f>
        <v>2</v>
      </c>
      <c r="H202" s="24" t="str">
        <f ca="1">VLOOKUP($A202,OFFSET([2]characters!$A$1,0,0,COUNTA([2]characters!$A:$A),MATCH(H$1,[2]characters!$1:$1,0)-MATCH($A$1,[2]characters!$1:$1,0)+1),MATCH(H$1,[2]characters!$1:$1,0)-MATCH($A$1,[2]characters!$1:$1,0)+1,FALSE)</f>
        <v>Drop1S</v>
      </c>
      <c r="I202" s="24" t="str">
        <f ca="1">VLOOKUP($A202,OFFSET([2]characters!$A$1,0,0,COUNTA([2]characters!$A:$A),MATCH(I$1,[2]characters!$1:$1,0)-MATCH($A$1,[2]characters!$1:$1,0)+1),MATCH(I$1,[2]characters!$1:$1,0)-MATCH($A$1,[2]characters!$1:$1,0)+1,FALSE)</f>
        <v>green</v>
      </c>
      <c r="J202" s="24" t="str">
        <f ca="1">VLOOKUP($A202,OFFSET([2]characters!$A$1,0,0,COUNTA([2]characters!$A:$A),MATCH(J$1,[2]characters!$1:$1,0)-MATCH($A$1,[2]characters!$1:$1,0)+1),MATCH(J$1,[2]characters!$1:$1,0)-MATCH($A$1,[2]characters!$1:$1,0)+1,FALSE)</f>
        <v>human</v>
      </c>
      <c r="K202" s="3" t="str">
        <f ca="1">VLOOKUP(J202,[2]character_tribe_i18n!$A:$H,3,FALSE)</f>
        <v>ヒューマン</v>
      </c>
      <c r="L202" s="5" t="e">
        <f>VLOOKUP(#REF!,[2]character_tribe_i18n!$A:$H,4,FALSE)</f>
        <v>#REF!</v>
      </c>
      <c r="M202" s="5" t="e">
        <f>VLOOKUP(#REF!,[2]character_tribe_i18n!$A:$H,5,FALSE)</f>
        <v>#REF!</v>
      </c>
      <c r="N202" s="5" t="e">
        <f>VLOOKUP(#REF!,[2]character_tribe_i18n!$A:$H,6,FALSE)</f>
        <v>#REF!</v>
      </c>
      <c r="O202" s="5" t="e">
        <f>VLOOKUP(#REF!,[2]character_tribe_i18n!$A:$H,7,FALSE)</f>
        <v>#REF!</v>
      </c>
      <c r="P202" s="83" t="s">
        <v>170</v>
      </c>
      <c r="Q202" s="4">
        <v>363</v>
      </c>
      <c r="R202" s="25" t="str">
        <f ca="1">IF(Q202="NULL","",VLOOKUP($Q202,OFFSET([2]characters!$A$1,0,0,COUNTA([2]characters!$A:$A),MATCH(R$1,[2]characters!$1:$1,0)-MATCH($A$1,[2]characters!$1:$1,0)+1),MATCH(R$1,[2]characters!$1:$1,0)-MATCH($A$1,[2]characters!$1:$1,0)+1,FALSE))</f>
        <v>花咲く幼精 ゆらら</v>
      </c>
      <c r="S202" s="3">
        <f t="shared" ca="1" si="3"/>
        <v>362</v>
      </c>
      <c r="T202" s="25" t="str">
        <f ca="1">VLOOKUP($S202,OFFSET([2]characters!$A$1,0,0,COUNTA([2]characters!$A:$A),MATCH(T$1,[2]characters!$1:$1,0)-MATCH($A$1,[2]characters!$1:$1,0)+1),MATCH(T$1,[2]characters!$1:$1,0)-MATCH($A$1,[2]characters!$1:$1,0)+1,FALSE)</f>
        <v>ゆらら</v>
      </c>
      <c r="U202" s="5">
        <f ca="1">IF(Q202="NULL","NULL",VLOOKUP(G202,ビット!$A$2:$B$7,2))</f>
        <v>10000</v>
      </c>
    </row>
    <row r="203" spans="1:21" ht="21" customHeight="1" x14ac:dyDescent="0.15">
      <c r="A203" s="83">
        <v>364</v>
      </c>
      <c r="B203" s="24" t="str">
        <f ca="1">VLOOKUP($A203,OFFSET([2]characters!$A$1,0,0,COUNTA([2]characters!$A:$A),MATCH(B$1,[2]characters!$1:$1,0)-MATCH($A$1,[2]characters!$1:$1,0)+1),MATCH(B$1,[2]characters!$1:$1,0)-MATCH($A$1,[2]characters!$1:$1,0)+1,FALSE)</f>
        <v>ノエル</v>
      </c>
      <c r="C203" s="24" t="str">
        <f ca="1">VLOOKUP($A203,OFFSET([2]characters!$A$1,0,0,COUNTA([2]characters!$A:$A),MATCH(C$1,[2]characters!$1:$1,0)-MATCH($A$1,[2]characters!$1:$1,0)+1),MATCH(C$1,[2]characters!$1:$1,0)-MATCH($A$1,[2]characters!$1:$1,0)+1,FALSE)</f>
        <v>ノーマルクエスト</v>
      </c>
      <c r="D203" s="24" t="str">
        <f ca="1">VLOOKUP($A203,OFFSET([2]characters!$A$1,0,0,COUNTA([2]characters!$A:$A),MATCH(D$1,[2]characters!$1:$1,0)-MATCH($A$1,[2]characters!$1:$1,0)+1),MATCH(D$1,[2]characters!$1:$1,0)-MATCH($A$1,[2]characters!$1:$1,0)+1,FALSE)</f>
        <v>アバター</v>
      </c>
      <c r="E203" s="24" t="str">
        <f ca="1">VLOOKUP($A203,OFFSET([2]characters!$A$1,0,0,COUNTA([2]characters!$A:$A),MATCH(E$1,[2]characters!$1:$1,0)-MATCH($A$1,[2]characters!$1:$1,0)+1),MATCH(E$1,[2]characters!$1:$1,0)-MATCH($A$1,[2]characters!$1:$1,0)+1,FALSE)</f>
        <v>世界観</v>
      </c>
      <c r="F203" s="24" t="str">
        <f ca="1">VLOOKUP($A203,OFFSET([2]characters!$A$1,0,0,COUNTA([2]characters!$A:$A),MATCH(F$1,[2]characters!$1:$1,0)-MATCH($A$1,[2]characters!$1:$1,0)+1),MATCH(F$1,[2]characters!$1:$1,0)-MATCH($A$1,[2]characters!$1:$1,0)+1,FALSE)</f>
        <v>不明</v>
      </c>
      <c r="G203" s="24">
        <f ca="1">VLOOKUP($A203,OFFSET([2]characters!$A$1,0,0,COUNTA([2]characters!$A:$A),MATCH(G$1,[2]characters!$1:$1,0)-MATCH($A$1,[2]characters!$1:$1,0)+1),MATCH(G$1,[2]characters!$1:$1,0)-MATCH($A$1,[2]characters!$1:$1,0)+1,FALSE)</f>
        <v>2</v>
      </c>
      <c r="H203" s="24" t="str">
        <f ca="1">VLOOKUP($A203,OFFSET([2]characters!$A$1,0,0,COUNTA([2]characters!$A:$A),MATCH(H$1,[2]characters!$1:$1,0)-MATCH($A$1,[2]characters!$1:$1,0)+1),MATCH(H$1,[2]characters!$1:$1,0)-MATCH($A$1,[2]characters!$1:$1,0)+1,FALSE)</f>
        <v>Drop1S</v>
      </c>
      <c r="I203" s="24" t="str">
        <f ca="1">VLOOKUP($A203,OFFSET([2]characters!$A$1,0,0,COUNTA([2]characters!$A:$A),MATCH(I$1,[2]characters!$1:$1,0)-MATCH($A$1,[2]characters!$1:$1,0)+1),MATCH(I$1,[2]characters!$1:$1,0)-MATCH($A$1,[2]characters!$1:$1,0)+1,FALSE)</f>
        <v>blue</v>
      </c>
      <c r="J203" s="24" t="str">
        <f ca="1">VLOOKUP($A203,OFFSET([2]characters!$A$1,0,0,COUNTA([2]characters!$A:$A),MATCH(J$1,[2]characters!$1:$1,0)-MATCH($A$1,[2]characters!$1:$1,0)+1),MATCH(J$1,[2]characters!$1:$1,0)-MATCH($A$1,[2]characters!$1:$1,0)+1,FALSE)</f>
        <v>none</v>
      </c>
      <c r="K203" s="3" t="str">
        <f ca="1">VLOOKUP(J203,[2]character_tribe_i18n!$A:$H,3,FALSE)</f>
        <v>種族なし</v>
      </c>
      <c r="L203" s="5" t="e">
        <f>VLOOKUP(#REF!,[2]character_tribe_i18n!$A:$H,4,FALSE)</f>
        <v>#REF!</v>
      </c>
      <c r="M203" s="5" t="e">
        <f>VLOOKUP(#REF!,[2]character_tribe_i18n!$A:$H,5,FALSE)</f>
        <v>#REF!</v>
      </c>
      <c r="N203" s="5" t="e">
        <f>VLOOKUP(#REF!,[2]character_tribe_i18n!$A:$H,6,FALSE)</f>
        <v>#REF!</v>
      </c>
      <c r="O203" s="5" t="e">
        <f>VLOOKUP(#REF!,[2]character_tribe_i18n!$A:$H,7,FALSE)</f>
        <v>#REF!</v>
      </c>
      <c r="P203" s="83" t="s">
        <v>170</v>
      </c>
      <c r="Q203" s="4">
        <v>365</v>
      </c>
      <c r="R203" s="25" t="str">
        <f ca="1">IF(Q203="NULL","",VLOOKUP($Q203,OFFSET([2]characters!$A$1,0,0,COUNTA([2]characters!$A:$A),MATCH(R$1,[2]characters!$1:$1,0)-MATCH($A$1,[2]characters!$1:$1,0)+1),MATCH(R$1,[2]characters!$1:$1,0)-MATCH($A$1,[2]characters!$1:$1,0)+1,FALSE))</f>
        <v>惨劇の人形 ノエル</v>
      </c>
      <c r="S203" s="3">
        <f t="shared" ca="1" si="3"/>
        <v>364</v>
      </c>
      <c r="T203" s="25" t="str">
        <f ca="1">VLOOKUP($S203,OFFSET([2]characters!$A$1,0,0,COUNTA([2]characters!$A:$A),MATCH(T$1,[2]characters!$1:$1,0)-MATCH($A$1,[2]characters!$1:$1,0)+1),MATCH(T$1,[2]characters!$1:$1,0)-MATCH($A$1,[2]characters!$1:$1,0)+1,FALSE)</f>
        <v>ノエル</v>
      </c>
      <c r="U203" s="5">
        <f ca="1">IF(Q203="NULL","NULL",VLOOKUP(G203,ビット!$A$2:$B$7,2))</f>
        <v>10000</v>
      </c>
    </row>
    <row r="204" spans="1:21" ht="21" customHeight="1" x14ac:dyDescent="0.15">
      <c r="A204" s="83">
        <v>366</v>
      </c>
      <c r="B204" s="24" t="str">
        <f ca="1">VLOOKUP($A204,OFFSET([2]characters!$A$1,0,0,COUNTA([2]characters!$A:$A),MATCH(B$1,[2]characters!$1:$1,0)-MATCH($A$1,[2]characters!$1:$1,0)+1),MATCH(B$1,[2]characters!$1:$1,0)-MATCH($A$1,[2]characters!$1:$1,0)+1,FALSE)</f>
        <v>トト</v>
      </c>
      <c r="C204" s="24" t="str">
        <f ca="1">VLOOKUP($A204,OFFSET([2]characters!$A$1,0,0,COUNTA([2]characters!$A:$A),MATCH(C$1,[2]characters!$1:$1,0)-MATCH($A$1,[2]characters!$1:$1,0)+1),MATCH(C$1,[2]characters!$1:$1,0)-MATCH($A$1,[2]characters!$1:$1,0)+1,FALSE)</f>
        <v>ノーマルクエスト</v>
      </c>
      <c r="D204" s="24" t="str">
        <f ca="1">VLOOKUP($A204,OFFSET([2]characters!$A$1,0,0,COUNTA([2]characters!$A:$A),MATCH(D$1,[2]characters!$1:$1,0)-MATCH($A$1,[2]characters!$1:$1,0)+1),MATCH(D$1,[2]characters!$1:$1,0)-MATCH($A$1,[2]characters!$1:$1,0)+1,FALSE)</f>
        <v>アバター</v>
      </c>
      <c r="E204" s="24" t="str">
        <f ca="1">VLOOKUP($A204,OFFSET([2]characters!$A$1,0,0,COUNTA([2]characters!$A:$A),MATCH(E$1,[2]characters!$1:$1,0)-MATCH($A$1,[2]characters!$1:$1,0)+1),MATCH(E$1,[2]characters!$1:$1,0)-MATCH($A$1,[2]characters!$1:$1,0)+1,FALSE)</f>
        <v>世界観</v>
      </c>
      <c r="F204" s="24" t="str">
        <f ca="1">VLOOKUP($A204,OFFSET([2]characters!$A$1,0,0,COUNTA([2]characters!$A:$A),MATCH(F$1,[2]characters!$1:$1,0)-MATCH($A$1,[2]characters!$1:$1,0)+1),MATCH(F$1,[2]characters!$1:$1,0)-MATCH($A$1,[2]characters!$1:$1,0)+1,FALSE)</f>
        <v>不明</v>
      </c>
      <c r="G204" s="24">
        <f ca="1">VLOOKUP($A204,OFFSET([2]characters!$A$1,0,0,COUNTA([2]characters!$A:$A),MATCH(G$1,[2]characters!$1:$1,0)-MATCH($A$1,[2]characters!$1:$1,0)+1),MATCH(G$1,[2]characters!$1:$1,0)-MATCH($A$1,[2]characters!$1:$1,0)+1,FALSE)</f>
        <v>2</v>
      </c>
      <c r="H204" s="24" t="str">
        <f ca="1">VLOOKUP($A204,OFFSET([2]characters!$A$1,0,0,COUNTA([2]characters!$A:$A),MATCH(H$1,[2]characters!$1:$1,0)-MATCH($A$1,[2]characters!$1:$1,0)+1),MATCH(H$1,[2]characters!$1:$1,0)-MATCH($A$1,[2]characters!$1:$1,0)+1,FALSE)</f>
        <v>Drop1S</v>
      </c>
      <c r="I204" s="24" t="str">
        <f ca="1">VLOOKUP($A204,OFFSET([2]characters!$A$1,0,0,COUNTA([2]characters!$A:$A),MATCH(I$1,[2]characters!$1:$1,0)-MATCH($A$1,[2]characters!$1:$1,0)+1),MATCH(I$1,[2]characters!$1:$1,0)-MATCH($A$1,[2]characters!$1:$1,0)+1,FALSE)</f>
        <v>yellow</v>
      </c>
      <c r="J204" s="24" t="str">
        <f ca="1">VLOOKUP($A204,OFFSET([2]characters!$A$1,0,0,COUNTA([2]characters!$A:$A),MATCH(J$1,[2]characters!$1:$1,0)-MATCH($A$1,[2]characters!$1:$1,0)+1),MATCH(J$1,[2]characters!$1:$1,0)-MATCH($A$1,[2]characters!$1:$1,0)+1,FALSE)</f>
        <v>none</v>
      </c>
      <c r="K204" s="3" t="str">
        <f ca="1">VLOOKUP(J204,[2]character_tribe_i18n!$A:$H,3,FALSE)</f>
        <v>種族なし</v>
      </c>
      <c r="L204" s="5" t="e">
        <f>VLOOKUP(#REF!,[2]character_tribe_i18n!$A:$H,4,FALSE)</f>
        <v>#REF!</v>
      </c>
      <c r="M204" s="5" t="e">
        <f>VLOOKUP(#REF!,[2]character_tribe_i18n!$A:$H,5,FALSE)</f>
        <v>#REF!</v>
      </c>
      <c r="N204" s="5" t="e">
        <f>VLOOKUP(#REF!,[2]character_tribe_i18n!$A:$H,6,FALSE)</f>
        <v>#REF!</v>
      </c>
      <c r="O204" s="5" t="e">
        <f>VLOOKUP(#REF!,[2]character_tribe_i18n!$A:$H,7,FALSE)</f>
        <v>#REF!</v>
      </c>
      <c r="P204" s="83" t="s">
        <v>170</v>
      </c>
      <c r="Q204" s="4">
        <v>367</v>
      </c>
      <c r="R204" s="25" t="str">
        <f ca="1">IF(Q204="NULL","",VLOOKUP($Q204,OFFSET([2]characters!$A$1,0,0,COUNTA([2]characters!$A:$A),MATCH(R$1,[2]characters!$1:$1,0)-MATCH($A$1,[2]characters!$1:$1,0)+1),MATCH(R$1,[2]characters!$1:$1,0)-MATCH($A$1,[2]characters!$1:$1,0)+1,FALSE))</f>
        <v>爆進の小兵 トト</v>
      </c>
      <c r="S204" s="3">
        <f t="shared" ca="1" si="3"/>
        <v>366</v>
      </c>
      <c r="T204" s="25" t="str">
        <f ca="1">VLOOKUP($S204,OFFSET([2]characters!$A$1,0,0,COUNTA([2]characters!$A:$A),MATCH(T$1,[2]characters!$1:$1,0)-MATCH($A$1,[2]characters!$1:$1,0)+1),MATCH(T$1,[2]characters!$1:$1,0)-MATCH($A$1,[2]characters!$1:$1,0)+1,FALSE)</f>
        <v>トト</v>
      </c>
      <c r="U204" s="5">
        <f ca="1">IF(Q204="NULL","NULL",VLOOKUP(G204,ビット!$A$2:$B$7,2))</f>
        <v>10000</v>
      </c>
    </row>
    <row r="205" spans="1:21" ht="21" customHeight="1" x14ac:dyDescent="0.15">
      <c r="A205" s="83">
        <v>368</v>
      </c>
      <c r="B205" s="24" t="str">
        <f ca="1">VLOOKUP($A205,OFFSET([2]characters!$A$1,0,0,COUNTA([2]characters!$A:$A),MATCH(B$1,[2]characters!$1:$1,0)-MATCH($A$1,[2]characters!$1:$1,0)+1),MATCH(B$1,[2]characters!$1:$1,0)-MATCH($A$1,[2]characters!$1:$1,0)+1,FALSE)</f>
        <v>ボイル</v>
      </c>
      <c r="C205" s="24" t="str">
        <f ca="1">VLOOKUP($A205,OFFSET([2]characters!$A$1,0,0,COUNTA([2]characters!$A:$A),MATCH(C$1,[2]characters!$1:$1,0)-MATCH($A$1,[2]characters!$1:$1,0)+1),MATCH(C$1,[2]characters!$1:$1,0)-MATCH($A$1,[2]characters!$1:$1,0)+1,FALSE)</f>
        <v>チャレンジタワー</v>
      </c>
      <c r="D205" s="24" t="str">
        <f ca="1">VLOOKUP($A205,OFFSET([2]characters!$A$1,0,0,COUNTA([2]characters!$A:$A),MATCH(D$1,[2]characters!$1:$1,0)-MATCH($A$1,[2]characters!$1:$1,0)+1),MATCH(D$1,[2]characters!$1:$1,0)-MATCH($A$1,[2]characters!$1:$1,0)+1,FALSE)</f>
        <v>守護者</v>
      </c>
      <c r="E205" s="24" t="str">
        <f ca="1">VLOOKUP($A205,OFFSET([2]characters!$A$1,0,0,COUNTA([2]characters!$A:$A),MATCH(E$1,[2]characters!$1:$1,0)-MATCH($A$1,[2]characters!$1:$1,0)+1),MATCH(E$1,[2]characters!$1:$1,0)-MATCH($A$1,[2]characters!$1:$1,0)+1,FALSE)</f>
        <v>美しい</v>
      </c>
      <c r="F205" s="24" t="str">
        <f ca="1">VLOOKUP($A205,OFFSET([2]characters!$A$1,0,0,COUNTA([2]characters!$A:$A),MATCH(F$1,[2]characters!$1:$1,0)-MATCH($A$1,[2]characters!$1:$1,0)+1),MATCH(F$1,[2]characters!$1:$1,0)-MATCH($A$1,[2]characters!$1:$1,0)+1,FALSE)</f>
        <v>女性</v>
      </c>
      <c r="G205" s="24">
        <f ca="1">VLOOKUP($A205,OFFSET([2]characters!$A$1,0,0,COUNTA([2]characters!$A:$A),MATCH(G$1,[2]characters!$1:$1,0)-MATCH($A$1,[2]characters!$1:$1,0)+1),MATCH(G$1,[2]characters!$1:$1,0)-MATCH($A$1,[2]characters!$1:$1,0)+1,FALSE)</f>
        <v>4</v>
      </c>
      <c r="H205" s="24" t="str">
        <f ca="1">VLOOKUP($A205,OFFSET([2]characters!$A$1,0,0,COUNTA([2]characters!$A:$A),MATCH(H$1,[2]characters!$1:$1,0)-MATCH($A$1,[2]characters!$1:$1,0)+1),MATCH(H$1,[2]characters!$1:$1,0)-MATCH($A$1,[2]characters!$1:$1,0)+1,FALSE)</f>
        <v>DropWizN</v>
      </c>
      <c r="I205" s="24" t="str">
        <f ca="1">VLOOKUP($A205,OFFSET([2]characters!$A$1,0,0,COUNTA([2]characters!$A:$A),MATCH(I$1,[2]characters!$1:$1,0)-MATCH($A$1,[2]characters!$1:$1,0)+1),MATCH(I$1,[2]characters!$1:$1,0)-MATCH($A$1,[2]characters!$1:$1,0)+1,FALSE)</f>
        <v>red</v>
      </c>
      <c r="J205" s="24" t="str">
        <f ca="1">VLOOKUP($A205,OFFSET([2]characters!$A$1,0,0,COUNTA([2]characters!$A:$A),MATCH(J$1,[2]characters!$1:$1,0)-MATCH($A$1,[2]characters!$1:$1,0)+1),MATCH(J$1,[2]characters!$1:$1,0)-MATCH($A$1,[2]characters!$1:$1,0)+1,FALSE)</f>
        <v>machine</v>
      </c>
      <c r="K205" s="3" t="str">
        <f ca="1">VLOOKUP(J205,[2]character_tribe_i18n!$A:$H,3,FALSE)</f>
        <v>マシン</v>
      </c>
      <c r="L205" s="5" t="e">
        <f>VLOOKUP(#REF!,[2]character_tribe_i18n!$A:$H,4,FALSE)</f>
        <v>#REF!</v>
      </c>
      <c r="M205" s="5" t="e">
        <f>VLOOKUP(#REF!,[2]character_tribe_i18n!$A:$H,5,FALSE)</f>
        <v>#REF!</v>
      </c>
      <c r="N205" s="5" t="e">
        <f>VLOOKUP(#REF!,[2]character_tribe_i18n!$A:$H,6,FALSE)</f>
        <v>#REF!</v>
      </c>
      <c r="O205" s="5" t="e">
        <f>VLOOKUP(#REF!,[2]character_tribe_i18n!$A:$H,7,FALSE)</f>
        <v>#REF!</v>
      </c>
      <c r="P205" s="83" t="s">
        <v>170</v>
      </c>
      <c r="Q205" s="4">
        <v>369</v>
      </c>
      <c r="R205" s="25" t="str">
        <f ca="1">IF(Q205="NULL","",VLOOKUP($Q205,OFFSET([2]characters!$A$1,0,0,COUNTA([2]characters!$A:$A),MATCH(R$1,[2]characters!$1:$1,0)-MATCH($A$1,[2]characters!$1:$1,0)+1),MATCH(R$1,[2]characters!$1:$1,0)-MATCH($A$1,[2]characters!$1:$1,0)+1,FALSE))</f>
        <v>赫熱の重腕 ボイル</v>
      </c>
      <c r="S205" s="3">
        <f t="shared" ca="1" si="3"/>
        <v>368</v>
      </c>
      <c r="T205" s="25" t="str">
        <f ca="1">VLOOKUP($S205,OFFSET([2]characters!$A$1,0,0,COUNTA([2]characters!$A:$A),MATCH(T$1,[2]characters!$1:$1,0)-MATCH($A$1,[2]characters!$1:$1,0)+1),MATCH(T$1,[2]characters!$1:$1,0)-MATCH($A$1,[2]characters!$1:$1,0)+1,FALSE)</f>
        <v>ボイル</v>
      </c>
      <c r="U205" s="5">
        <f ca="1">IF(Q205="NULL","NULL",VLOOKUP(G205,ビット!$A$2:$B$7,2))</f>
        <v>50000</v>
      </c>
    </row>
    <row r="206" spans="1:21" ht="21" customHeight="1" x14ac:dyDescent="0.15">
      <c r="A206" s="83">
        <v>370</v>
      </c>
      <c r="B206" s="24" t="str">
        <f ca="1">VLOOKUP($A206,OFFSET([2]characters!$A$1,0,0,COUNTA([2]characters!$A:$A),MATCH(B$1,[2]characters!$1:$1,0)-MATCH($A$1,[2]characters!$1:$1,0)+1),MATCH(B$1,[2]characters!$1:$1,0)-MATCH($A$1,[2]characters!$1:$1,0)+1,FALSE)</f>
        <v>タイチ</v>
      </c>
      <c r="C206" s="24" t="str">
        <f ca="1">VLOOKUP($A206,OFFSET([2]characters!$A$1,0,0,COUNTA([2]characters!$A:$A),MATCH(C$1,[2]characters!$1:$1,0)-MATCH($A$1,[2]characters!$1:$1,0)+1),MATCH(C$1,[2]characters!$1:$1,0)-MATCH($A$1,[2]characters!$1:$1,0)+1,FALSE)</f>
        <v>ノーマルクエスト</v>
      </c>
      <c r="D206" s="24" t="str">
        <f ca="1">VLOOKUP($A206,OFFSET([2]characters!$A$1,0,0,COUNTA([2]characters!$A:$A),MATCH(D$1,[2]characters!$1:$1,0)-MATCH($A$1,[2]characters!$1:$1,0)+1),MATCH(D$1,[2]characters!$1:$1,0)-MATCH($A$1,[2]characters!$1:$1,0)+1,FALSE)</f>
        <v>守護者</v>
      </c>
      <c r="E206" s="24" t="str">
        <f ca="1">VLOOKUP($A206,OFFSET([2]characters!$A$1,0,0,COUNTA([2]characters!$A:$A),MATCH(E$1,[2]characters!$1:$1,0)-MATCH($A$1,[2]characters!$1:$1,0)+1),MATCH(E$1,[2]characters!$1:$1,0)-MATCH($A$1,[2]characters!$1:$1,0)+1,FALSE)</f>
        <v>美しい</v>
      </c>
      <c r="F206" s="24" t="str">
        <f ca="1">VLOOKUP($A206,OFFSET([2]characters!$A$1,0,0,COUNTA([2]characters!$A:$A),MATCH(F$1,[2]characters!$1:$1,0)-MATCH($A$1,[2]characters!$1:$1,0)+1),MATCH(F$1,[2]characters!$1:$1,0)-MATCH($A$1,[2]characters!$1:$1,0)+1,FALSE)</f>
        <v>不明</v>
      </c>
      <c r="G206" s="24">
        <f ca="1">VLOOKUP($A206,OFFSET([2]characters!$A$1,0,0,COUNTA([2]characters!$A:$A),MATCH(G$1,[2]characters!$1:$1,0)-MATCH($A$1,[2]characters!$1:$1,0)+1),MATCH(G$1,[2]characters!$1:$1,0)-MATCH($A$1,[2]characters!$1:$1,0)+1,FALSE)</f>
        <v>2</v>
      </c>
      <c r="H206" s="24" t="str">
        <f ca="1">VLOOKUP($A206,OFFSET([2]characters!$A$1,0,0,COUNTA([2]characters!$A:$A),MATCH(H$1,[2]characters!$1:$1,0)-MATCH($A$1,[2]characters!$1:$1,0)+1),MATCH(H$1,[2]characters!$1:$1,0)-MATCH($A$1,[2]characters!$1:$1,0)+1,FALSE)</f>
        <v>Drop1S</v>
      </c>
      <c r="I206" s="24" t="str">
        <f ca="1">VLOOKUP($A206,OFFSET([2]characters!$A$1,0,0,COUNTA([2]characters!$A:$A),MATCH(I$1,[2]characters!$1:$1,0)-MATCH($A$1,[2]characters!$1:$1,0)+1),MATCH(I$1,[2]characters!$1:$1,0)-MATCH($A$1,[2]characters!$1:$1,0)+1,FALSE)</f>
        <v>red</v>
      </c>
      <c r="J206" s="24" t="str">
        <f ca="1">VLOOKUP($A206,OFFSET([2]characters!$A$1,0,0,COUNTA([2]characters!$A:$A),MATCH(J$1,[2]characters!$1:$1,0)-MATCH($A$1,[2]characters!$1:$1,0)+1),MATCH(J$1,[2]characters!$1:$1,0)-MATCH($A$1,[2]characters!$1:$1,0)+1,FALSE)</f>
        <v>none</v>
      </c>
      <c r="K206" s="3" t="str">
        <f ca="1">VLOOKUP(J206,[2]character_tribe_i18n!$A:$H,3,FALSE)</f>
        <v>種族なし</v>
      </c>
      <c r="L206" s="5" t="e">
        <f>VLOOKUP(#REF!,[2]character_tribe_i18n!$A:$H,4,FALSE)</f>
        <v>#REF!</v>
      </c>
      <c r="M206" s="5" t="e">
        <f>VLOOKUP(#REF!,[2]character_tribe_i18n!$A:$H,5,FALSE)</f>
        <v>#REF!</v>
      </c>
      <c r="N206" s="5" t="e">
        <f>VLOOKUP(#REF!,[2]character_tribe_i18n!$A:$H,6,FALSE)</f>
        <v>#REF!</v>
      </c>
      <c r="O206" s="5" t="e">
        <f>VLOOKUP(#REF!,[2]character_tribe_i18n!$A:$H,7,FALSE)</f>
        <v>#REF!</v>
      </c>
      <c r="P206" s="83" t="s">
        <v>170</v>
      </c>
      <c r="Q206" s="4">
        <v>371</v>
      </c>
      <c r="R206" s="25" t="str">
        <f ca="1">IF(Q206="NULL","",VLOOKUP($Q206,OFFSET([2]characters!$A$1,0,0,COUNTA([2]characters!$A:$A),MATCH(R$1,[2]characters!$1:$1,0)-MATCH($A$1,[2]characters!$1:$1,0)+1),MATCH(R$1,[2]characters!$1:$1,0)-MATCH($A$1,[2]characters!$1:$1,0)+1,FALSE))</f>
        <v>行灯達磨 タイチ</v>
      </c>
      <c r="S206" s="3">
        <f t="shared" ca="1" si="3"/>
        <v>370</v>
      </c>
      <c r="T206" s="25" t="str">
        <f ca="1">VLOOKUP($S206,OFFSET([2]characters!$A$1,0,0,COUNTA([2]characters!$A:$A),MATCH(T$1,[2]characters!$1:$1,0)-MATCH($A$1,[2]characters!$1:$1,0)+1),MATCH(T$1,[2]characters!$1:$1,0)-MATCH($A$1,[2]characters!$1:$1,0)+1,FALSE)</f>
        <v>タイチ</v>
      </c>
      <c r="U206" s="5">
        <f ca="1">IF(Q206="NULL","NULL",VLOOKUP(G206,ビット!$A$2:$B$7,2))</f>
        <v>10000</v>
      </c>
    </row>
    <row r="207" spans="1:21" ht="21" customHeight="1" x14ac:dyDescent="0.15">
      <c r="A207" s="83">
        <v>372</v>
      </c>
      <c r="B207" s="24" t="str">
        <f ca="1">VLOOKUP($A207,OFFSET([2]characters!$A$1,0,0,COUNTA([2]characters!$A:$A),MATCH(B$1,[2]characters!$1:$1,0)-MATCH($A$1,[2]characters!$1:$1,0)+1),MATCH(B$1,[2]characters!$1:$1,0)-MATCH($A$1,[2]characters!$1:$1,0)+1,FALSE)</f>
        <v>バショー</v>
      </c>
      <c r="C207" s="24" t="str">
        <f ca="1">VLOOKUP($A207,OFFSET([2]characters!$A$1,0,0,COUNTA([2]characters!$A:$A),MATCH(C$1,[2]characters!$1:$1,0)-MATCH($A$1,[2]characters!$1:$1,0)+1),MATCH(C$1,[2]characters!$1:$1,0)-MATCH($A$1,[2]characters!$1:$1,0)+1,FALSE)</f>
        <v>ノーマルクエスト</v>
      </c>
      <c r="D207" s="24" t="str">
        <f ca="1">VLOOKUP($A207,OFFSET([2]characters!$A$1,0,0,COUNTA([2]characters!$A:$A),MATCH(D$1,[2]characters!$1:$1,0)-MATCH($A$1,[2]characters!$1:$1,0)+1),MATCH(D$1,[2]characters!$1:$1,0)-MATCH($A$1,[2]characters!$1:$1,0)+1,FALSE)</f>
        <v>守護者</v>
      </c>
      <c r="E207" s="24" t="str">
        <f ca="1">VLOOKUP($A207,OFFSET([2]characters!$A$1,0,0,COUNTA([2]characters!$A:$A),MATCH(E$1,[2]characters!$1:$1,0)-MATCH($A$1,[2]characters!$1:$1,0)+1),MATCH(E$1,[2]characters!$1:$1,0)-MATCH($A$1,[2]characters!$1:$1,0)+1,FALSE)</f>
        <v>美しい</v>
      </c>
      <c r="F207" s="24" t="str">
        <f ca="1">VLOOKUP($A207,OFFSET([2]characters!$A$1,0,0,COUNTA([2]characters!$A:$A),MATCH(F$1,[2]characters!$1:$1,0)-MATCH($A$1,[2]characters!$1:$1,0)+1),MATCH(F$1,[2]characters!$1:$1,0)-MATCH($A$1,[2]characters!$1:$1,0)+1,FALSE)</f>
        <v>不明</v>
      </c>
      <c r="G207" s="24">
        <f ca="1">VLOOKUP($A207,OFFSET([2]characters!$A$1,0,0,COUNTA([2]characters!$A:$A),MATCH(G$1,[2]characters!$1:$1,0)-MATCH($A$1,[2]characters!$1:$1,0)+1),MATCH(G$1,[2]characters!$1:$1,0)-MATCH($A$1,[2]characters!$1:$1,0)+1,FALSE)</f>
        <v>2</v>
      </c>
      <c r="H207" s="24" t="str">
        <f ca="1">VLOOKUP($A207,OFFSET([2]characters!$A$1,0,0,COUNTA([2]characters!$A:$A),MATCH(H$1,[2]characters!$1:$1,0)-MATCH($A$1,[2]characters!$1:$1,0)+1),MATCH(H$1,[2]characters!$1:$1,0)-MATCH($A$1,[2]characters!$1:$1,0)+1,FALSE)</f>
        <v>Drop1S</v>
      </c>
      <c r="I207" s="24" t="str">
        <f ca="1">VLOOKUP($A207,OFFSET([2]characters!$A$1,0,0,COUNTA([2]characters!$A:$A),MATCH(I$1,[2]characters!$1:$1,0)-MATCH($A$1,[2]characters!$1:$1,0)+1),MATCH(I$1,[2]characters!$1:$1,0)-MATCH($A$1,[2]characters!$1:$1,0)+1,FALSE)</f>
        <v>green</v>
      </c>
      <c r="J207" s="24" t="str">
        <f ca="1">VLOOKUP($A207,OFFSET([2]characters!$A$1,0,0,COUNTA([2]characters!$A:$A),MATCH(J$1,[2]characters!$1:$1,0)-MATCH($A$1,[2]characters!$1:$1,0)+1),MATCH(J$1,[2]characters!$1:$1,0)-MATCH($A$1,[2]characters!$1:$1,0)+1,FALSE)</f>
        <v>none</v>
      </c>
      <c r="K207" s="3" t="str">
        <f ca="1">VLOOKUP(J207,[2]character_tribe_i18n!$A:$H,3,FALSE)</f>
        <v>種族なし</v>
      </c>
      <c r="L207" s="5" t="e">
        <f>VLOOKUP(#REF!,[2]character_tribe_i18n!$A:$H,4,FALSE)</f>
        <v>#REF!</v>
      </c>
      <c r="M207" s="5" t="e">
        <f>VLOOKUP(#REF!,[2]character_tribe_i18n!$A:$H,5,FALSE)</f>
        <v>#REF!</v>
      </c>
      <c r="N207" s="5" t="e">
        <f>VLOOKUP(#REF!,[2]character_tribe_i18n!$A:$H,6,FALSE)</f>
        <v>#REF!</v>
      </c>
      <c r="O207" s="5" t="e">
        <f>VLOOKUP(#REF!,[2]character_tribe_i18n!$A:$H,7,FALSE)</f>
        <v>#REF!</v>
      </c>
      <c r="P207" s="83" t="s">
        <v>170</v>
      </c>
      <c r="Q207" s="4">
        <v>373</v>
      </c>
      <c r="R207" s="25" t="str">
        <f ca="1">IF(Q207="NULL","",VLOOKUP($Q207,OFFSET([2]characters!$A$1,0,0,COUNTA([2]characters!$A:$A),MATCH(R$1,[2]characters!$1:$1,0)-MATCH($A$1,[2]characters!$1:$1,0)+1),MATCH(R$1,[2]characters!$1:$1,0)-MATCH($A$1,[2]characters!$1:$1,0)+1,FALSE))</f>
        <v>夢幻俳聖 バショー</v>
      </c>
      <c r="S207" s="3">
        <f t="shared" ca="1" si="3"/>
        <v>372</v>
      </c>
      <c r="T207" s="25" t="str">
        <f ca="1">VLOOKUP($S207,OFFSET([2]characters!$A$1,0,0,COUNTA([2]characters!$A:$A),MATCH(T$1,[2]characters!$1:$1,0)-MATCH($A$1,[2]characters!$1:$1,0)+1),MATCH(T$1,[2]characters!$1:$1,0)-MATCH($A$1,[2]characters!$1:$1,0)+1,FALSE)</f>
        <v>バショー</v>
      </c>
      <c r="U207" s="5">
        <f ca="1">IF(Q207="NULL","NULL",VLOOKUP(G207,ビット!$A$2:$B$7,2))</f>
        <v>10000</v>
      </c>
    </row>
    <row r="208" spans="1:21" ht="21" customHeight="1" x14ac:dyDescent="0.15">
      <c r="A208" s="83">
        <v>374</v>
      </c>
      <c r="B208" s="24" t="str">
        <f ca="1">VLOOKUP($A208,OFFSET([2]characters!$A$1,0,0,COUNTA([2]characters!$A:$A),MATCH(B$1,[2]characters!$1:$1,0)-MATCH($A$1,[2]characters!$1:$1,0)+1),MATCH(B$1,[2]characters!$1:$1,0)-MATCH($A$1,[2]characters!$1:$1,0)+1,FALSE)</f>
        <v>影丸</v>
      </c>
      <c r="C208" s="24" t="str">
        <f ca="1">VLOOKUP($A208,OFFSET([2]characters!$A$1,0,0,COUNTA([2]characters!$A:$A),MATCH(C$1,[2]characters!$1:$1,0)-MATCH($A$1,[2]characters!$1:$1,0)+1),MATCH(C$1,[2]characters!$1:$1,0)-MATCH($A$1,[2]characters!$1:$1,0)+1,FALSE)</f>
        <v>ノーマルクエスト</v>
      </c>
      <c r="D208" s="24" t="str">
        <f ca="1">VLOOKUP($A208,OFFSET([2]characters!$A$1,0,0,COUNTA([2]characters!$A:$A),MATCH(D$1,[2]characters!$1:$1,0)-MATCH($A$1,[2]characters!$1:$1,0)+1),MATCH(D$1,[2]characters!$1:$1,0)-MATCH($A$1,[2]characters!$1:$1,0)+1,FALSE)</f>
        <v>守護者</v>
      </c>
      <c r="E208" s="24" t="str">
        <f ca="1">VLOOKUP($A208,OFFSET([2]characters!$A$1,0,0,COUNTA([2]characters!$A:$A),MATCH(E$1,[2]characters!$1:$1,0)-MATCH($A$1,[2]characters!$1:$1,0)+1),MATCH(E$1,[2]characters!$1:$1,0)-MATCH($A$1,[2]characters!$1:$1,0)+1,FALSE)</f>
        <v>美しい</v>
      </c>
      <c r="F208" s="24" t="str">
        <f ca="1">VLOOKUP($A208,OFFSET([2]characters!$A$1,0,0,COUNTA([2]characters!$A:$A),MATCH(F$1,[2]characters!$1:$1,0)-MATCH($A$1,[2]characters!$1:$1,0)+1),MATCH(F$1,[2]characters!$1:$1,0)-MATCH($A$1,[2]characters!$1:$1,0)+1,FALSE)</f>
        <v>不明</v>
      </c>
      <c r="G208" s="24">
        <f ca="1">VLOOKUP($A208,OFFSET([2]characters!$A$1,0,0,COUNTA([2]characters!$A:$A),MATCH(G$1,[2]characters!$1:$1,0)-MATCH($A$1,[2]characters!$1:$1,0)+1),MATCH(G$1,[2]characters!$1:$1,0)-MATCH($A$1,[2]characters!$1:$1,0)+1,FALSE)</f>
        <v>2</v>
      </c>
      <c r="H208" s="24" t="str">
        <f ca="1">VLOOKUP($A208,OFFSET([2]characters!$A$1,0,0,COUNTA([2]characters!$A:$A),MATCH(H$1,[2]characters!$1:$1,0)-MATCH($A$1,[2]characters!$1:$1,0)+1),MATCH(H$1,[2]characters!$1:$1,0)-MATCH($A$1,[2]characters!$1:$1,0)+1,FALSE)</f>
        <v>Drop1S</v>
      </c>
      <c r="I208" s="24" t="str">
        <f ca="1">VLOOKUP($A208,OFFSET([2]characters!$A$1,0,0,COUNTA([2]characters!$A:$A),MATCH(I$1,[2]characters!$1:$1,0)-MATCH($A$1,[2]characters!$1:$1,0)+1),MATCH(I$1,[2]characters!$1:$1,0)-MATCH($A$1,[2]characters!$1:$1,0)+1,FALSE)</f>
        <v>blue</v>
      </c>
      <c r="J208" s="24" t="str">
        <f ca="1">VLOOKUP($A208,OFFSET([2]characters!$A$1,0,0,COUNTA([2]characters!$A:$A),MATCH(J$1,[2]characters!$1:$1,0)-MATCH($A$1,[2]characters!$1:$1,0)+1),MATCH(J$1,[2]characters!$1:$1,0)-MATCH($A$1,[2]characters!$1:$1,0)+1,FALSE)</f>
        <v>none</v>
      </c>
      <c r="K208" s="3" t="str">
        <f ca="1">VLOOKUP(J208,[2]character_tribe_i18n!$A:$H,3,FALSE)</f>
        <v>種族なし</v>
      </c>
      <c r="L208" s="5" t="e">
        <f>VLOOKUP(#REF!,[2]character_tribe_i18n!$A:$H,4,FALSE)</f>
        <v>#REF!</v>
      </c>
      <c r="M208" s="5" t="e">
        <f>VLOOKUP(#REF!,[2]character_tribe_i18n!$A:$H,5,FALSE)</f>
        <v>#REF!</v>
      </c>
      <c r="N208" s="5" t="e">
        <f>VLOOKUP(#REF!,[2]character_tribe_i18n!$A:$H,6,FALSE)</f>
        <v>#REF!</v>
      </c>
      <c r="O208" s="5" t="e">
        <f>VLOOKUP(#REF!,[2]character_tribe_i18n!$A:$H,7,FALSE)</f>
        <v>#REF!</v>
      </c>
      <c r="P208" s="83" t="s">
        <v>170</v>
      </c>
      <c r="Q208" s="4">
        <v>375</v>
      </c>
      <c r="R208" s="25" t="str">
        <f ca="1">IF(Q208="NULL","",VLOOKUP($Q208,OFFSET([2]characters!$A$1,0,0,COUNTA([2]characters!$A:$A),MATCH(R$1,[2]characters!$1:$1,0)-MATCH($A$1,[2]characters!$1:$1,0)+1),MATCH(R$1,[2]characters!$1:$1,0)-MATCH($A$1,[2]characters!$1:$1,0)+1,FALSE))</f>
        <v>蒼術兎忍 影丸</v>
      </c>
      <c r="S208" s="3">
        <f t="shared" ca="1" si="3"/>
        <v>374</v>
      </c>
      <c r="T208" s="25" t="str">
        <f ca="1">VLOOKUP($S208,OFFSET([2]characters!$A$1,0,0,COUNTA([2]characters!$A:$A),MATCH(T$1,[2]characters!$1:$1,0)-MATCH($A$1,[2]characters!$1:$1,0)+1),MATCH(T$1,[2]characters!$1:$1,0)-MATCH($A$1,[2]characters!$1:$1,0)+1,FALSE)</f>
        <v>影丸</v>
      </c>
      <c r="U208" s="5">
        <f ca="1">IF(Q208="NULL","NULL",VLOOKUP(G208,ビット!$A$2:$B$7,2))</f>
        <v>10000</v>
      </c>
    </row>
    <row r="209" spans="1:21" ht="21" customHeight="1" x14ac:dyDescent="0.15">
      <c r="A209" s="83">
        <v>376</v>
      </c>
      <c r="B209" s="24" t="str">
        <f ca="1">VLOOKUP($A209,OFFSET([2]characters!$A$1,0,0,COUNTA([2]characters!$A:$A),MATCH(B$1,[2]characters!$1:$1,0)-MATCH($A$1,[2]characters!$1:$1,0)+1),MATCH(B$1,[2]characters!$1:$1,0)-MATCH($A$1,[2]characters!$1:$1,0)+1,FALSE)</f>
        <v>勘兵衛</v>
      </c>
      <c r="C209" s="24" t="str">
        <f ca="1">VLOOKUP($A209,OFFSET([2]characters!$A$1,0,0,COUNTA([2]characters!$A:$A),MATCH(C$1,[2]characters!$1:$1,0)-MATCH($A$1,[2]characters!$1:$1,0)+1),MATCH(C$1,[2]characters!$1:$1,0)-MATCH($A$1,[2]characters!$1:$1,0)+1,FALSE)</f>
        <v>イベント:お正月2016</v>
      </c>
      <c r="D209" s="24" t="str">
        <f ca="1">VLOOKUP($A209,OFFSET([2]characters!$A$1,0,0,COUNTA([2]characters!$A:$A),MATCH(D$1,[2]characters!$1:$1,0)-MATCH($A$1,[2]characters!$1:$1,0)+1),MATCH(D$1,[2]characters!$1:$1,0)-MATCH($A$1,[2]characters!$1:$1,0)+1,FALSE)</f>
        <v>守護者</v>
      </c>
      <c r="E209" s="24" t="str">
        <f ca="1">VLOOKUP($A209,OFFSET([2]characters!$A$1,0,0,COUNTA([2]characters!$A:$A),MATCH(E$1,[2]characters!$1:$1,0)-MATCH($A$1,[2]characters!$1:$1,0)+1),MATCH(E$1,[2]characters!$1:$1,0)-MATCH($A$1,[2]characters!$1:$1,0)+1,FALSE)</f>
        <v>美しい</v>
      </c>
      <c r="F209" s="24" t="str">
        <f ca="1">VLOOKUP($A209,OFFSET([2]characters!$A$1,0,0,COUNTA([2]characters!$A:$A),MATCH(F$1,[2]characters!$1:$1,0)-MATCH($A$1,[2]characters!$1:$1,0)+1),MATCH(F$1,[2]characters!$1:$1,0)-MATCH($A$1,[2]characters!$1:$1,0)+1,FALSE)</f>
        <v>不明</v>
      </c>
      <c r="G209" s="24">
        <f ca="1">VLOOKUP($A209,OFFSET([2]characters!$A$1,0,0,COUNTA([2]characters!$A:$A),MATCH(G$1,[2]characters!$1:$1,0)-MATCH($A$1,[2]characters!$1:$1,0)+1),MATCH(G$1,[2]characters!$1:$1,0)-MATCH($A$1,[2]characters!$1:$1,0)+1,FALSE)</f>
        <v>3</v>
      </c>
      <c r="H209" s="24" t="str">
        <f ca="1">VLOOKUP($A209,OFFSET([2]characters!$A$1,0,0,COUNTA([2]characters!$A:$A),MATCH(H$1,[2]characters!$1:$1,0)-MATCH($A$1,[2]characters!$1:$1,0)+1),MATCH(H$1,[2]characters!$1:$1,0)-MATCH($A$1,[2]characters!$1:$1,0)+1,FALSE)</f>
        <v>Drop1S</v>
      </c>
      <c r="I209" s="24" t="str">
        <f ca="1">VLOOKUP($A209,OFFSET([2]characters!$A$1,0,0,COUNTA([2]characters!$A:$A),MATCH(I$1,[2]characters!$1:$1,0)-MATCH($A$1,[2]characters!$1:$1,0)+1),MATCH(I$1,[2]characters!$1:$1,0)-MATCH($A$1,[2]characters!$1:$1,0)+1,FALSE)</f>
        <v>yellow</v>
      </c>
      <c r="J209" s="24" t="str">
        <f ca="1">VLOOKUP($A209,OFFSET([2]characters!$A$1,0,0,COUNTA([2]characters!$A:$A),MATCH(J$1,[2]characters!$1:$1,0)-MATCH($A$1,[2]characters!$1:$1,0)+1),MATCH(J$1,[2]characters!$1:$1,0)-MATCH($A$1,[2]characters!$1:$1,0)+1,FALSE)</f>
        <v>none</v>
      </c>
      <c r="K209" s="3" t="str">
        <f ca="1">VLOOKUP(J209,[2]character_tribe_i18n!$A:$H,3,FALSE)</f>
        <v>種族なし</v>
      </c>
      <c r="L209" s="5" t="e">
        <f>VLOOKUP(#REF!,[2]character_tribe_i18n!$A:$H,4,FALSE)</f>
        <v>#REF!</v>
      </c>
      <c r="M209" s="5" t="e">
        <f>VLOOKUP(#REF!,[2]character_tribe_i18n!$A:$H,5,FALSE)</f>
        <v>#REF!</v>
      </c>
      <c r="N209" s="5" t="e">
        <f>VLOOKUP(#REF!,[2]character_tribe_i18n!$A:$H,6,FALSE)</f>
        <v>#REF!</v>
      </c>
      <c r="O209" s="5" t="e">
        <f>VLOOKUP(#REF!,[2]character_tribe_i18n!$A:$H,7,FALSE)</f>
        <v>#REF!</v>
      </c>
      <c r="P209" s="83" t="s">
        <v>170</v>
      </c>
      <c r="Q209" s="4">
        <v>377</v>
      </c>
      <c r="R209" s="25" t="str">
        <f ca="1">IF(Q209="NULL","",VLOOKUP($Q209,OFFSET([2]characters!$A$1,0,0,COUNTA([2]characters!$A:$A),MATCH(R$1,[2]characters!$1:$1,0)-MATCH($A$1,[2]characters!$1:$1,0)+1),MATCH(R$1,[2]characters!$1:$1,0)-MATCH($A$1,[2]characters!$1:$1,0)+1,FALSE))</f>
        <v>光明鹿剣 勘兵衛</v>
      </c>
      <c r="S209" s="3">
        <f t="shared" ca="1" si="3"/>
        <v>376</v>
      </c>
      <c r="T209" s="25" t="str">
        <f ca="1">VLOOKUP($S209,OFFSET([2]characters!$A$1,0,0,COUNTA([2]characters!$A:$A),MATCH(T$1,[2]characters!$1:$1,0)-MATCH($A$1,[2]characters!$1:$1,0)+1),MATCH(T$1,[2]characters!$1:$1,0)-MATCH($A$1,[2]characters!$1:$1,0)+1,FALSE)</f>
        <v>勘兵衛</v>
      </c>
      <c r="U209" s="5">
        <f ca="1">IF(Q209="NULL","NULL",VLOOKUP(G209,ビット!$A$2:$B$7,2))</f>
        <v>20000</v>
      </c>
    </row>
    <row r="210" spans="1:21" ht="21" customHeight="1" x14ac:dyDescent="0.15">
      <c r="A210" s="83">
        <v>378</v>
      </c>
      <c r="B210" s="24" t="str">
        <f ca="1">VLOOKUP($A210,OFFSET([2]characters!$A$1,0,0,COUNTA([2]characters!$A:$A),MATCH(B$1,[2]characters!$1:$1,0)-MATCH($A$1,[2]characters!$1:$1,0)+1),MATCH(B$1,[2]characters!$1:$1,0)-MATCH($A$1,[2]characters!$1:$1,0)+1,FALSE)</f>
        <v>オイラー</v>
      </c>
      <c r="C210" s="24" t="str">
        <f ca="1">VLOOKUP($A210,OFFSET([2]characters!$A$1,0,0,COUNTA([2]characters!$A:$A),MATCH(C$1,[2]characters!$1:$1,0)-MATCH($A$1,[2]characters!$1:$1,0)+1),MATCH(C$1,[2]characters!$1:$1,0)-MATCH($A$1,[2]characters!$1:$1,0)+1,FALSE)</f>
        <v>ガチャ:フィーバーフェス01</v>
      </c>
      <c r="D210" s="24" t="str">
        <f ca="1">VLOOKUP($A210,OFFSET([2]characters!$A$1,0,0,COUNTA([2]characters!$A:$A),MATCH(D$1,[2]characters!$1:$1,0)-MATCH($A$1,[2]characters!$1:$1,0)+1),MATCH(D$1,[2]characters!$1:$1,0)-MATCH($A$1,[2]characters!$1:$1,0)+1,FALSE)</f>
        <v>守護者</v>
      </c>
      <c r="E210" s="24" t="str">
        <f ca="1">VLOOKUP($A210,OFFSET([2]characters!$A$1,0,0,COUNTA([2]characters!$A:$A),MATCH(E$1,[2]characters!$1:$1,0)-MATCH($A$1,[2]characters!$1:$1,0)+1),MATCH(E$1,[2]characters!$1:$1,0)-MATCH($A$1,[2]characters!$1:$1,0)+1,FALSE)</f>
        <v>美しい</v>
      </c>
      <c r="F210" s="24" t="str">
        <f ca="1">VLOOKUP($A210,OFFSET([2]characters!$A$1,0,0,COUNTA([2]characters!$A:$A),MATCH(F$1,[2]characters!$1:$1,0)-MATCH($A$1,[2]characters!$1:$1,0)+1),MATCH(F$1,[2]characters!$1:$1,0)-MATCH($A$1,[2]characters!$1:$1,0)+1,FALSE)</f>
        <v>女性</v>
      </c>
      <c r="G210" s="24">
        <f ca="1">VLOOKUP($A210,OFFSET([2]characters!$A$1,0,0,COUNTA([2]characters!$A:$A),MATCH(G$1,[2]characters!$1:$1,0)-MATCH($A$1,[2]characters!$1:$1,0)+1),MATCH(G$1,[2]characters!$1:$1,0)-MATCH($A$1,[2]characters!$1:$1,0)+1,FALSE)</f>
        <v>4</v>
      </c>
      <c r="H210" s="24" t="str">
        <f ca="1">VLOOKUP($A210,OFFSET([2]characters!$A$1,0,0,COUNTA([2]characters!$A:$A),MATCH(H$1,[2]characters!$1:$1,0)-MATCH($A$1,[2]characters!$1:$1,0)+1),MATCH(H$1,[2]characters!$1:$1,0)-MATCH($A$1,[2]characters!$1:$1,0)+1,FALSE)</f>
        <v>PremiumSSS</v>
      </c>
      <c r="I210" s="24" t="str">
        <f ca="1">VLOOKUP($A210,OFFSET([2]characters!$A$1,0,0,COUNTA([2]characters!$A:$A),MATCH(I$1,[2]characters!$1:$1,0)-MATCH($A$1,[2]characters!$1:$1,0)+1),MATCH(I$1,[2]characters!$1:$1,0)-MATCH($A$1,[2]characters!$1:$1,0)+1,FALSE)</f>
        <v>green</v>
      </c>
      <c r="J210" s="24" t="str">
        <f ca="1">VLOOKUP($A210,OFFSET([2]characters!$A$1,0,0,COUNTA([2]characters!$A:$A),MATCH(J$1,[2]characters!$1:$1,0)-MATCH($A$1,[2]characters!$1:$1,0)+1),MATCH(J$1,[2]characters!$1:$1,0)-MATCH($A$1,[2]characters!$1:$1,0)+1,FALSE)</f>
        <v>none</v>
      </c>
      <c r="K210" s="3" t="str">
        <f ca="1">VLOOKUP(J210,[2]character_tribe_i18n!$A:$H,3,FALSE)</f>
        <v>種族なし</v>
      </c>
      <c r="L210" s="5" t="e">
        <f>VLOOKUP(#REF!,[2]character_tribe_i18n!$A:$H,4,FALSE)</f>
        <v>#REF!</v>
      </c>
      <c r="M210" s="5" t="e">
        <f>VLOOKUP(#REF!,[2]character_tribe_i18n!$A:$H,5,FALSE)</f>
        <v>#REF!</v>
      </c>
      <c r="N210" s="5" t="e">
        <f>VLOOKUP(#REF!,[2]character_tribe_i18n!$A:$H,6,FALSE)</f>
        <v>#REF!</v>
      </c>
      <c r="O210" s="5" t="e">
        <f>VLOOKUP(#REF!,[2]character_tribe_i18n!$A:$H,7,FALSE)</f>
        <v>#REF!</v>
      </c>
      <c r="P210" s="83" t="s">
        <v>170</v>
      </c>
      <c r="Q210" s="4">
        <v>379</v>
      </c>
      <c r="R210" s="25" t="str">
        <f ca="1">IF(Q210="NULL","",VLOOKUP($Q210,OFFSET([2]characters!$A$1,0,0,COUNTA([2]characters!$A:$A),MATCH(R$1,[2]characters!$1:$1,0)-MATCH($A$1,[2]characters!$1:$1,0)+1),MATCH(R$1,[2]characters!$1:$1,0)-MATCH($A$1,[2]characters!$1:$1,0)+1,FALSE))</f>
        <v>幾何の機刃 オイラー</v>
      </c>
      <c r="S210" s="3">
        <f t="shared" ca="1" si="3"/>
        <v>378</v>
      </c>
      <c r="T210" s="25" t="str">
        <f ca="1">VLOOKUP($S210,OFFSET([2]characters!$A$1,0,0,COUNTA([2]characters!$A:$A),MATCH(T$1,[2]characters!$1:$1,0)-MATCH($A$1,[2]characters!$1:$1,0)+1),MATCH(T$1,[2]characters!$1:$1,0)-MATCH($A$1,[2]characters!$1:$1,0)+1,FALSE)</f>
        <v>オイラー</v>
      </c>
      <c r="U210" s="5">
        <f ca="1">IF(Q210="NULL","NULL",VLOOKUP(G210,ビット!$A$2:$B$7,2))</f>
        <v>50000</v>
      </c>
    </row>
    <row r="211" spans="1:21" ht="21" customHeight="1" x14ac:dyDescent="0.15">
      <c r="A211" s="83">
        <v>379</v>
      </c>
      <c r="B211" s="24" t="str">
        <f ca="1">VLOOKUP($A211,OFFSET([2]characters!$A$1,0,0,COUNTA([2]characters!$A:$A),MATCH(B$1,[2]characters!$1:$1,0)-MATCH($A$1,[2]characters!$1:$1,0)+1),MATCH(B$1,[2]characters!$1:$1,0)-MATCH($A$1,[2]characters!$1:$1,0)+1,FALSE)</f>
        <v>幾何の機刃 オイラー</v>
      </c>
      <c r="C211" s="24" t="str">
        <f ca="1">VLOOKUP($A211,OFFSET([2]characters!$A$1,0,0,COUNTA([2]characters!$A:$A),MATCH(C$1,[2]characters!$1:$1,0)-MATCH($A$1,[2]characters!$1:$1,0)+1),MATCH(C$1,[2]characters!$1:$1,0)-MATCH($A$1,[2]characters!$1:$1,0)+1,FALSE)</f>
        <v>ガチャ:フィーバーフェス01</v>
      </c>
      <c r="D211" s="24" t="str">
        <f ca="1">VLOOKUP($A211,OFFSET([2]characters!$A$1,0,0,COUNTA([2]characters!$A:$A),MATCH(D$1,[2]characters!$1:$1,0)-MATCH($A$1,[2]characters!$1:$1,0)+1),MATCH(D$1,[2]characters!$1:$1,0)-MATCH($A$1,[2]characters!$1:$1,0)+1,FALSE)</f>
        <v>守護者</v>
      </c>
      <c r="E211" s="24" t="str">
        <f ca="1">VLOOKUP($A211,OFFSET([2]characters!$A$1,0,0,COUNTA([2]characters!$A:$A),MATCH(E$1,[2]characters!$1:$1,0)-MATCH($A$1,[2]characters!$1:$1,0)+1),MATCH(E$1,[2]characters!$1:$1,0)-MATCH($A$1,[2]characters!$1:$1,0)+1,FALSE)</f>
        <v>美しい</v>
      </c>
      <c r="F211" s="24" t="str">
        <f ca="1">VLOOKUP($A211,OFFSET([2]characters!$A$1,0,0,COUNTA([2]characters!$A:$A),MATCH(F$1,[2]characters!$1:$1,0)-MATCH($A$1,[2]characters!$1:$1,0)+1),MATCH(F$1,[2]characters!$1:$1,0)-MATCH($A$1,[2]characters!$1:$1,0)+1,FALSE)</f>
        <v>女性</v>
      </c>
      <c r="G211" s="24">
        <f ca="1">VLOOKUP($A211,OFFSET([2]characters!$A$1,0,0,COUNTA([2]characters!$A:$A),MATCH(G$1,[2]characters!$1:$1,0)-MATCH($A$1,[2]characters!$1:$1,0)+1),MATCH(G$1,[2]characters!$1:$1,0)-MATCH($A$1,[2]characters!$1:$1,0)+1,FALSE)</f>
        <v>5</v>
      </c>
      <c r="H211" s="24" t="str">
        <f ca="1">VLOOKUP($A211,OFFSET([2]characters!$A$1,0,0,COUNTA([2]characters!$A:$A),MATCH(H$1,[2]characters!$1:$1,0)-MATCH($A$1,[2]characters!$1:$1,0)+1),MATCH(H$1,[2]characters!$1:$1,0)-MATCH($A$1,[2]characters!$1:$1,0)+1,FALSE)</f>
        <v>PremiumSSS</v>
      </c>
      <c r="I211" s="24" t="str">
        <f ca="1">VLOOKUP($A211,OFFSET([2]characters!$A$1,0,0,COUNTA([2]characters!$A:$A),MATCH(I$1,[2]characters!$1:$1,0)-MATCH($A$1,[2]characters!$1:$1,0)+1),MATCH(I$1,[2]characters!$1:$1,0)-MATCH($A$1,[2]characters!$1:$1,0)+1,FALSE)</f>
        <v>green</v>
      </c>
      <c r="J211" s="24" t="str">
        <f ca="1">VLOOKUP($A211,OFFSET([2]characters!$A$1,0,0,COUNTA([2]characters!$A:$A),MATCH(J$1,[2]characters!$1:$1,0)-MATCH($A$1,[2]characters!$1:$1,0)+1),MATCH(J$1,[2]characters!$1:$1,0)-MATCH($A$1,[2]characters!$1:$1,0)+1,FALSE)</f>
        <v>none</v>
      </c>
      <c r="K211" s="3" t="str">
        <f ca="1">VLOOKUP(J211,[2]character_tribe_i18n!$A:$H,3,FALSE)</f>
        <v>種族なし</v>
      </c>
      <c r="L211" s="5" t="e">
        <f>VLOOKUP(#REF!,[2]character_tribe_i18n!$A:$H,4,FALSE)</f>
        <v>#REF!</v>
      </c>
      <c r="M211" s="5" t="e">
        <f>VLOOKUP(#REF!,[2]character_tribe_i18n!$A:$H,5,FALSE)</f>
        <v>#REF!</v>
      </c>
      <c r="N211" s="5" t="e">
        <f>VLOOKUP(#REF!,[2]character_tribe_i18n!$A:$H,6,FALSE)</f>
        <v>#REF!</v>
      </c>
      <c r="O211" s="5" t="e">
        <f>VLOOKUP(#REF!,[2]character_tribe_i18n!$A:$H,7,FALSE)</f>
        <v>#REF!</v>
      </c>
      <c r="P211" s="83" t="s">
        <v>170</v>
      </c>
      <c r="Q211" s="4">
        <v>798</v>
      </c>
      <c r="R211" s="25" t="str">
        <f ca="1">IF(Q211="NULL","",VLOOKUP($Q211,OFFSET([2]characters!$A$1,0,0,COUNTA([2]characters!$A:$A),MATCH(R$1,[2]characters!$1:$1,0)-MATCH($A$1,[2]characters!$1:$1,0)+1),MATCH(R$1,[2]characters!$1:$1,0)-MATCH($A$1,[2]characters!$1:$1,0)+1,FALSE))</f>
        <v>煌式の大機刃 オイラー</v>
      </c>
      <c r="S211" s="3">
        <f t="shared" ca="1" si="3"/>
        <v>378</v>
      </c>
      <c r="T211" s="25" t="str">
        <f ca="1">VLOOKUP($S211,OFFSET([2]characters!$A$1,0,0,COUNTA([2]characters!$A:$A),MATCH(T$1,[2]characters!$1:$1,0)-MATCH($A$1,[2]characters!$1:$1,0)+1),MATCH(T$1,[2]characters!$1:$1,0)-MATCH($A$1,[2]characters!$1:$1,0)+1,FALSE)</f>
        <v>オイラー</v>
      </c>
      <c r="U211" s="5">
        <f ca="1">IF(Q211="NULL","NULL",VLOOKUP(G211,ビット!$A$2:$B$7,2))</f>
        <v>200000</v>
      </c>
    </row>
    <row r="212" spans="1:21" ht="21" customHeight="1" x14ac:dyDescent="0.15">
      <c r="A212" s="83">
        <v>380</v>
      </c>
      <c r="B212" s="24" t="str">
        <f ca="1">VLOOKUP($A212,OFFSET([2]characters!$A$1,0,0,COUNTA([2]characters!$A:$A),MATCH(B$1,[2]characters!$1:$1,0)-MATCH($A$1,[2]characters!$1:$1,0)+1),MATCH(B$1,[2]characters!$1:$1,0)-MATCH($A$1,[2]characters!$1:$1,0)+1,FALSE)</f>
        <v>バハムート</v>
      </c>
      <c r="C212" s="24" t="str">
        <f ca="1">VLOOKUP($A212,OFFSET([2]characters!$A$1,0,0,COUNTA([2]characters!$A:$A),MATCH(C$1,[2]characters!$1:$1,0)-MATCH($A$1,[2]characters!$1:$1,0)+1),MATCH(C$1,[2]characters!$1:$1,0)-MATCH($A$1,[2]characters!$1:$1,0)+1,FALSE)</f>
        <v>ガチャ:魔獣シリーズ01</v>
      </c>
      <c r="D212" s="24">
        <f ca="1">VLOOKUP($A212,OFFSET([2]characters!$A$1,0,0,COUNTA([2]characters!$A:$A),MATCH(D$1,[2]characters!$1:$1,0)-MATCH($A$1,[2]characters!$1:$1,0)+1),MATCH(D$1,[2]characters!$1:$1,0)-MATCH($A$1,[2]characters!$1:$1,0)+1,FALSE)</f>
        <v>0</v>
      </c>
      <c r="E212" s="24">
        <f ca="1">VLOOKUP($A212,OFFSET([2]characters!$A$1,0,0,COUNTA([2]characters!$A:$A),MATCH(E$1,[2]characters!$1:$1,0)-MATCH($A$1,[2]characters!$1:$1,0)+1),MATCH(E$1,[2]characters!$1:$1,0)-MATCH($A$1,[2]characters!$1:$1,0)+1,FALSE)</f>
        <v>0</v>
      </c>
      <c r="F212" s="24" t="str">
        <f ca="1">VLOOKUP($A212,OFFSET([2]characters!$A$1,0,0,COUNTA([2]characters!$A:$A),MATCH(F$1,[2]characters!$1:$1,0)-MATCH($A$1,[2]characters!$1:$1,0)+1),MATCH(F$1,[2]characters!$1:$1,0)-MATCH($A$1,[2]characters!$1:$1,0)+1,FALSE)</f>
        <v>女性</v>
      </c>
      <c r="G212" s="24">
        <f ca="1">VLOOKUP($A212,OFFSET([2]characters!$A$1,0,0,COUNTA([2]characters!$A:$A),MATCH(G$1,[2]characters!$1:$1,0)-MATCH($A$1,[2]characters!$1:$1,0)+1),MATCH(G$1,[2]characters!$1:$1,0)-MATCH($A$1,[2]characters!$1:$1,0)+1,FALSE)</f>
        <v>3</v>
      </c>
      <c r="H212" s="24" t="str">
        <f ca="1">VLOOKUP($A212,OFFSET([2]characters!$A$1,0,0,COUNTA([2]characters!$A:$A),MATCH(H$1,[2]characters!$1:$1,0)-MATCH($A$1,[2]characters!$1:$1,0)+1),MATCH(H$1,[2]characters!$1:$1,0)-MATCH($A$1,[2]characters!$1:$1,0)+1,FALSE)</f>
        <v>PremiumS</v>
      </c>
      <c r="I212" s="24" t="str">
        <f ca="1">VLOOKUP($A212,OFFSET([2]characters!$A$1,0,0,COUNTA([2]characters!$A:$A),MATCH(I$1,[2]characters!$1:$1,0)-MATCH($A$1,[2]characters!$1:$1,0)+1),MATCH(I$1,[2]characters!$1:$1,0)-MATCH($A$1,[2]characters!$1:$1,0)+1,FALSE)</f>
        <v>red</v>
      </c>
      <c r="J212" s="24" t="str">
        <f ca="1">VLOOKUP($A212,OFFSET([2]characters!$A$1,0,0,COUNTA([2]characters!$A:$A),MATCH(J$1,[2]characters!$1:$1,0)-MATCH($A$1,[2]characters!$1:$1,0)+1),MATCH(J$1,[2]characters!$1:$1,0)-MATCH($A$1,[2]characters!$1:$1,0)+1,FALSE)</f>
        <v>none</v>
      </c>
      <c r="K212" s="3" t="str">
        <f ca="1">VLOOKUP(J212,[2]character_tribe_i18n!$A:$H,3,FALSE)</f>
        <v>種族なし</v>
      </c>
      <c r="L212" s="5" t="e">
        <f>VLOOKUP(#REF!,[2]character_tribe_i18n!$A:$H,4,FALSE)</f>
        <v>#REF!</v>
      </c>
      <c r="M212" s="5" t="e">
        <f>VLOOKUP(#REF!,[2]character_tribe_i18n!$A:$H,5,FALSE)</f>
        <v>#REF!</v>
      </c>
      <c r="N212" s="5" t="e">
        <f>VLOOKUP(#REF!,[2]character_tribe_i18n!$A:$H,6,FALSE)</f>
        <v>#REF!</v>
      </c>
      <c r="O212" s="5" t="e">
        <f>VLOOKUP(#REF!,[2]character_tribe_i18n!$A:$H,7,FALSE)</f>
        <v>#REF!</v>
      </c>
      <c r="P212" s="83" t="s">
        <v>170</v>
      </c>
      <c r="Q212" s="4">
        <v>381</v>
      </c>
      <c r="R212" s="25" t="str">
        <f ca="1">IF(Q212="NULL","",VLOOKUP($Q212,OFFSET([2]characters!$A$1,0,0,COUNTA([2]characters!$A:$A),MATCH(R$1,[2]characters!$1:$1,0)-MATCH($A$1,[2]characters!$1:$1,0)+1),MATCH(R$1,[2]characters!$1:$1,0)-MATCH($A$1,[2]characters!$1:$1,0)+1,FALSE))</f>
        <v>肉食の恋火 バハムート</v>
      </c>
      <c r="S212" s="3">
        <f t="shared" ca="1" si="3"/>
        <v>380</v>
      </c>
      <c r="T212" s="25" t="str">
        <f ca="1">VLOOKUP($S212,OFFSET([2]characters!$A$1,0,0,COUNTA([2]characters!$A:$A),MATCH(T$1,[2]characters!$1:$1,0)-MATCH($A$1,[2]characters!$1:$1,0)+1),MATCH(T$1,[2]characters!$1:$1,0)-MATCH($A$1,[2]characters!$1:$1,0)+1,FALSE)</f>
        <v>バハムート</v>
      </c>
      <c r="U212" s="5">
        <f ca="1">IF(Q212="NULL","NULL",VLOOKUP(G212,ビット!$A$2:$B$7,2))</f>
        <v>20000</v>
      </c>
    </row>
    <row r="213" spans="1:21" ht="21" customHeight="1" x14ac:dyDescent="0.15">
      <c r="A213" s="83">
        <v>381</v>
      </c>
      <c r="B213" s="24" t="str">
        <f ca="1">VLOOKUP($A213,OFFSET([2]characters!$A$1,0,0,COUNTA([2]characters!$A:$A),MATCH(B$1,[2]characters!$1:$1,0)-MATCH($A$1,[2]characters!$1:$1,0)+1),MATCH(B$1,[2]characters!$1:$1,0)-MATCH($A$1,[2]characters!$1:$1,0)+1,FALSE)</f>
        <v>肉食の恋火 バハムート</v>
      </c>
      <c r="C213" s="24" t="str">
        <f ca="1">VLOOKUP($A213,OFFSET([2]characters!$A$1,0,0,COUNTA([2]characters!$A:$A),MATCH(C$1,[2]characters!$1:$1,0)-MATCH($A$1,[2]characters!$1:$1,0)+1),MATCH(C$1,[2]characters!$1:$1,0)-MATCH($A$1,[2]characters!$1:$1,0)+1,FALSE)</f>
        <v>ガチャ:魔獣シリーズ01</v>
      </c>
      <c r="D213" s="24" t="str">
        <f ca="1">VLOOKUP($A213,OFFSET([2]characters!$A$1,0,0,COUNTA([2]characters!$A:$A),MATCH(D$1,[2]characters!$1:$1,0)-MATCH($A$1,[2]characters!$1:$1,0)+1),MATCH(D$1,[2]characters!$1:$1,0)-MATCH($A$1,[2]characters!$1:$1,0)+1,FALSE)</f>
        <v>守護者</v>
      </c>
      <c r="E213" s="24" t="str">
        <f ca="1">VLOOKUP($A213,OFFSET([2]characters!$A$1,0,0,COUNTA([2]characters!$A:$A),MATCH(E$1,[2]characters!$1:$1,0)-MATCH($A$1,[2]characters!$1:$1,0)+1),MATCH(E$1,[2]characters!$1:$1,0)-MATCH($A$1,[2]characters!$1:$1,0)+1,FALSE)</f>
        <v>美しい</v>
      </c>
      <c r="F213" s="24" t="str">
        <f ca="1">VLOOKUP($A213,OFFSET([2]characters!$A$1,0,0,COUNTA([2]characters!$A:$A),MATCH(F$1,[2]characters!$1:$1,0)-MATCH($A$1,[2]characters!$1:$1,0)+1),MATCH(F$1,[2]characters!$1:$1,0)-MATCH($A$1,[2]characters!$1:$1,0)+1,FALSE)</f>
        <v>女性</v>
      </c>
      <c r="G213" s="24">
        <f ca="1">VLOOKUP($A213,OFFSET([2]characters!$A$1,0,0,COUNTA([2]characters!$A:$A),MATCH(G$1,[2]characters!$1:$1,0)-MATCH($A$1,[2]characters!$1:$1,0)+1),MATCH(G$1,[2]characters!$1:$1,0)-MATCH($A$1,[2]characters!$1:$1,0)+1,FALSE)</f>
        <v>4</v>
      </c>
      <c r="H213" s="24" t="str">
        <f ca="1">VLOOKUP($A213,OFFSET([2]characters!$A$1,0,0,COUNTA([2]characters!$A:$A),MATCH(H$1,[2]characters!$1:$1,0)-MATCH($A$1,[2]characters!$1:$1,0)+1),MATCH(H$1,[2]characters!$1:$1,0)-MATCH($A$1,[2]characters!$1:$1,0)+1,FALSE)</f>
        <v>PremiumS</v>
      </c>
      <c r="I213" s="24" t="str">
        <f ca="1">VLOOKUP($A213,OFFSET([2]characters!$A$1,0,0,COUNTA([2]characters!$A:$A),MATCH(I$1,[2]characters!$1:$1,0)-MATCH($A$1,[2]characters!$1:$1,0)+1),MATCH(I$1,[2]characters!$1:$1,0)-MATCH($A$1,[2]characters!$1:$1,0)+1,FALSE)</f>
        <v>red</v>
      </c>
      <c r="J213" s="24" t="str">
        <f ca="1">VLOOKUP($A213,OFFSET([2]characters!$A$1,0,0,COUNTA([2]characters!$A:$A),MATCH(J$1,[2]characters!$1:$1,0)-MATCH($A$1,[2]characters!$1:$1,0)+1),MATCH(J$1,[2]characters!$1:$1,0)-MATCH($A$1,[2]characters!$1:$1,0)+1,FALSE)</f>
        <v>none</v>
      </c>
      <c r="K213" s="3" t="str">
        <f ca="1">VLOOKUP(J213,[2]character_tribe_i18n!$A:$H,3,FALSE)</f>
        <v>種族なし</v>
      </c>
      <c r="L213" s="5" t="e">
        <f>VLOOKUP(#REF!,[2]character_tribe_i18n!$A:$H,4,FALSE)</f>
        <v>#REF!</v>
      </c>
      <c r="M213" s="5" t="e">
        <f>VLOOKUP(#REF!,[2]character_tribe_i18n!$A:$H,5,FALSE)</f>
        <v>#REF!</v>
      </c>
      <c r="N213" s="5" t="e">
        <f>VLOOKUP(#REF!,[2]character_tribe_i18n!$A:$H,6,FALSE)</f>
        <v>#REF!</v>
      </c>
      <c r="O213" s="5" t="e">
        <f>VLOOKUP(#REF!,[2]character_tribe_i18n!$A:$H,7,FALSE)</f>
        <v>#REF!</v>
      </c>
      <c r="P213" s="83" t="s">
        <v>170</v>
      </c>
      <c r="Q213" s="4">
        <v>382</v>
      </c>
      <c r="R213" s="25" t="str">
        <f ca="1">IF(Q213="NULL","",VLOOKUP($Q213,OFFSET([2]characters!$A$1,0,0,COUNTA([2]characters!$A:$A),MATCH(R$1,[2]characters!$1:$1,0)-MATCH($A$1,[2]characters!$1:$1,0)+1),MATCH(R$1,[2]characters!$1:$1,0)-MATCH($A$1,[2]characters!$1:$1,0)+1,FALSE))</f>
        <v>激情の愛炎 バハムート</v>
      </c>
      <c r="S213" s="3">
        <f t="shared" ca="1" si="3"/>
        <v>380</v>
      </c>
      <c r="T213" s="25" t="str">
        <f ca="1">VLOOKUP($S213,OFFSET([2]characters!$A$1,0,0,COUNTA([2]characters!$A:$A),MATCH(T$1,[2]characters!$1:$1,0)-MATCH($A$1,[2]characters!$1:$1,0)+1),MATCH(T$1,[2]characters!$1:$1,0)-MATCH($A$1,[2]characters!$1:$1,0)+1,FALSE)</f>
        <v>バハムート</v>
      </c>
      <c r="U213" s="5">
        <f ca="1">IF(Q213="NULL","NULL",VLOOKUP(G213,ビット!$A$2:$B$7,2))</f>
        <v>50000</v>
      </c>
    </row>
    <row r="214" spans="1:21" ht="21" customHeight="1" x14ac:dyDescent="0.15">
      <c r="A214" s="83">
        <v>383</v>
      </c>
      <c r="B214" s="24" t="str">
        <f ca="1">VLOOKUP($A214,OFFSET([2]characters!$A$1,0,0,COUNTA([2]characters!$A:$A),MATCH(B$1,[2]characters!$1:$1,0)-MATCH($A$1,[2]characters!$1:$1,0)+1),MATCH(B$1,[2]characters!$1:$1,0)-MATCH($A$1,[2]characters!$1:$1,0)+1,FALSE)</f>
        <v>酒宴の蟒蛇 ヤマタノオロチ</v>
      </c>
      <c r="C214" s="24" t="str">
        <f ca="1">VLOOKUP($A214,OFFSET([2]characters!$A$1,0,0,COUNTA([2]characters!$A:$A),MATCH(C$1,[2]characters!$1:$1,0)-MATCH($A$1,[2]characters!$1:$1,0)+1),MATCH(C$1,[2]characters!$1:$1,0)-MATCH($A$1,[2]characters!$1:$1,0)+1,FALSE)</f>
        <v>ガチャ:魔獣シリーズ01</v>
      </c>
      <c r="D214" s="24" t="str">
        <f ca="1">VLOOKUP($A214,OFFSET([2]characters!$A$1,0,0,COUNTA([2]characters!$A:$A),MATCH(D$1,[2]characters!$1:$1,0)-MATCH($A$1,[2]characters!$1:$1,0)+1),MATCH(D$1,[2]characters!$1:$1,0)-MATCH($A$1,[2]characters!$1:$1,0)+1,FALSE)</f>
        <v>守護者</v>
      </c>
      <c r="E214" s="24" t="str">
        <f ca="1">VLOOKUP($A214,OFFSET([2]characters!$A$1,0,0,COUNTA([2]characters!$A:$A),MATCH(E$1,[2]characters!$1:$1,0)-MATCH($A$1,[2]characters!$1:$1,0)+1),MATCH(E$1,[2]characters!$1:$1,0)-MATCH($A$1,[2]characters!$1:$1,0)+1,FALSE)</f>
        <v>美しい</v>
      </c>
      <c r="F214" s="24" t="str">
        <f ca="1">VLOOKUP($A214,OFFSET([2]characters!$A$1,0,0,COUNTA([2]characters!$A:$A),MATCH(F$1,[2]characters!$1:$1,0)-MATCH($A$1,[2]characters!$1:$1,0)+1),MATCH(F$1,[2]characters!$1:$1,0)-MATCH($A$1,[2]characters!$1:$1,0)+1,FALSE)</f>
        <v>女性</v>
      </c>
      <c r="G214" s="24">
        <f ca="1">VLOOKUP($A214,OFFSET([2]characters!$A$1,0,0,COUNTA([2]characters!$A:$A),MATCH(G$1,[2]characters!$1:$1,0)-MATCH($A$1,[2]characters!$1:$1,0)+1),MATCH(G$1,[2]characters!$1:$1,0)-MATCH($A$1,[2]characters!$1:$1,0)+1,FALSE)</f>
        <v>4</v>
      </c>
      <c r="H214" s="24" t="str">
        <f ca="1">VLOOKUP($A214,OFFSET([2]characters!$A$1,0,0,COUNTA([2]characters!$A:$A),MATCH(H$1,[2]characters!$1:$1,0)-MATCH($A$1,[2]characters!$1:$1,0)+1),MATCH(H$1,[2]characters!$1:$1,0)-MATCH($A$1,[2]characters!$1:$1,0)+1,FALSE)</f>
        <v>PremiumSS</v>
      </c>
      <c r="I214" s="24" t="str">
        <f ca="1">VLOOKUP($A214,OFFSET([2]characters!$A$1,0,0,COUNTA([2]characters!$A:$A),MATCH(I$1,[2]characters!$1:$1,0)-MATCH($A$1,[2]characters!$1:$1,0)+1),MATCH(I$1,[2]characters!$1:$1,0)-MATCH($A$1,[2]characters!$1:$1,0)+1,FALSE)</f>
        <v>green</v>
      </c>
      <c r="J214" s="24" t="str">
        <f ca="1">VLOOKUP($A214,OFFSET([2]characters!$A$1,0,0,COUNTA([2]characters!$A:$A),MATCH(J$1,[2]characters!$1:$1,0)-MATCH($A$1,[2]characters!$1:$1,0)+1),MATCH(J$1,[2]characters!$1:$1,0)-MATCH($A$1,[2]characters!$1:$1,0)+1,FALSE)</f>
        <v>none</v>
      </c>
      <c r="K214" s="3" t="str">
        <f ca="1">VLOOKUP(J214,[2]character_tribe_i18n!$A:$H,3,FALSE)</f>
        <v>種族なし</v>
      </c>
      <c r="L214" s="5" t="e">
        <f>VLOOKUP(#REF!,[2]character_tribe_i18n!$A:$H,4,FALSE)</f>
        <v>#REF!</v>
      </c>
      <c r="M214" s="5" t="e">
        <f>VLOOKUP(#REF!,[2]character_tribe_i18n!$A:$H,5,FALSE)</f>
        <v>#REF!</v>
      </c>
      <c r="N214" s="5" t="e">
        <f>VLOOKUP(#REF!,[2]character_tribe_i18n!$A:$H,6,FALSE)</f>
        <v>#REF!</v>
      </c>
      <c r="O214" s="5" t="e">
        <f>VLOOKUP(#REF!,[2]character_tribe_i18n!$A:$H,7,FALSE)</f>
        <v>#REF!</v>
      </c>
      <c r="P214" s="83" t="s">
        <v>170</v>
      </c>
      <c r="Q214" s="4">
        <v>384</v>
      </c>
      <c r="R214" s="25" t="str">
        <f ca="1">IF(Q214="NULL","",VLOOKUP($Q214,OFFSET([2]characters!$A$1,0,0,COUNTA([2]characters!$A:$A),MATCH(R$1,[2]characters!$1:$1,0)-MATCH($A$1,[2]characters!$1:$1,0)+1),MATCH(R$1,[2]characters!$1:$1,0)-MATCH($A$1,[2]characters!$1:$1,0)+1,FALSE))</f>
        <v>破国の呑龍 ヤマタノオロチ</v>
      </c>
      <c r="S214" s="3">
        <f t="shared" ca="1" si="3"/>
        <v>383</v>
      </c>
      <c r="T214" s="25" t="str">
        <f ca="1">VLOOKUP($S214,OFFSET([2]characters!$A$1,0,0,COUNTA([2]characters!$A:$A),MATCH(T$1,[2]characters!$1:$1,0)-MATCH($A$1,[2]characters!$1:$1,0)+1),MATCH(T$1,[2]characters!$1:$1,0)-MATCH($A$1,[2]characters!$1:$1,0)+1,FALSE)</f>
        <v>酒宴の蟒蛇 ヤマタノオロチ</v>
      </c>
      <c r="U214" s="5">
        <f ca="1">IF(Q214="NULL","NULL",VLOOKUP(G214,ビット!$A$2:$B$7,2))</f>
        <v>50000</v>
      </c>
    </row>
    <row r="215" spans="1:21" ht="21" customHeight="1" x14ac:dyDescent="0.15">
      <c r="A215" s="83">
        <v>385</v>
      </c>
      <c r="B215" s="24" t="str">
        <f ca="1">VLOOKUP($A215,OFFSET([2]characters!$A$1,0,0,COUNTA([2]characters!$A:$A),MATCH(B$1,[2]characters!$1:$1,0)-MATCH($A$1,[2]characters!$1:$1,0)+1),MATCH(B$1,[2]characters!$1:$1,0)-MATCH($A$1,[2]characters!$1:$1,0)+1,FALSE)</f>
        <v>波烈の出奔 リヴァイアサン</v>
      </c>
      <c r="C215" s="24" t="str">
        <f ca="1">VLOOKUP($A215,OFFSET([2]characters!$A$1,0,0,COUNTA([2]characters!$A:$A),MATCH(C$1,[2]characters!$1:$1,0)-MATCH($A$1,[2]characters!$1:$1,0)+1),MATCH(C$1,[2]characters!$1:$1,0)-MATCH($A$1,[2]characters!$1:$1,0)+1,FALSE)</f>
        <v>ガチャ:魔獣シリーズ01</v>
      </c>
      <c r="D215" s="24" t="str">
        <f ca="1">VLOOKUP($A215,OFFSET([2]characters!$A$1,0,0,COUNTA([2]characters!$A:$A),MATCH(D$1,[2]characters!$1:$1,0)-MATCH($A$1,[2]characters!$1:$1,0)+1),MATCH(D$1,[2]characters!$1:$1,0)-MATCH($A$1,[2]characters!$1:$1,0)+1,FALSE)</f>
        <v>守護者</v>
      </c>
      <c r="E215" s="24" t="str">
        <f ca="1">VLOOKUP($A215,OFFSET([2]characters!$A$1,0,0,COUNTA([2]characters!$A:$A),MATCH(E$1,[2]characters!$1:$1,0)-MATCH($A$1,[2]characters!$1:$1,0)+1),MATCH(E$1,[2]characters!$1:$1,0)-MATCH($A$1,[2]characters!$1:$1,0)+1,FALSE)</f>
        <v>美しい</v>
      </c>
      <c r="F215" s="24" t="str">
        <f ca="1">VLOOKUP($A215,OFFSET([2]characters!$A$1,0,0,COUNTA([2]characters!$A:$A),MATCH(F$1,[2]characters!$1:$1,0)-MATCH($A$1,[2]characters!$1:$1,0)+1),MATCH(F$1,[2]characters!$1:$1,0)-MATCH($A$1,[2]characters!$1:$1,0)+1,FALSE)</f>
        <v>女性</v>
      </c>
      <c r="G215" s="24">
        <f ca="1">VLOOKUP($A215,OFFSET([2]characters!$A$1,0,0,COUNTA([2]characters!$A:$A),MATCH(G$1,[2]characters!$1:$1,0)-MATCH($A$1,[2]characters!$1:$1,0)+1),MATCH(G$1,[2]characters!$1:$1,0)-MATCH($A$1,[2]characters!$1:$1,0)+1,FALSE)</f>
        <v>4</v>
      </c>
      <c r="H215" s="24" t="str">
        <f ca="1">VLOOKUP($A215,OFFSET([2]characters!$A$1,0,0,COUNTA([2]characters!$A:$A),MATCH(H$1,[2]characters!$1:$1,0)-MATCH($A$1,[2]characters!$1:$1,0)+1),MATCH(H$1,[2]characters!$1:$1,0)-MATCH($A$1,[2]characters!$1:$1,0)+1,FALSE)</f>
        <v>PremiumSS</v>
      </c>
      <c r="I215" s="24" t="str">
        <f ca="1">VLOOKUP($A215,OFFSET([2]characters!$A$1,0,0,COUNTA([2]characters!$A:$A),MATCH(I$1,[2]characters!$1:$1,0)-MATCH($A$1,[2]characters!$1:$1,0)+1),MATCH(I$1,[2]characters!$1:$1,0)-MATCH($A$1,[2]characters!$1:$1,0)+1,FALSE)</f>
        <v>blue</v>
      </c>
      <c r="J215" s="24" t="str">
        <f ca="1">VLOOKUP($A215,OFFSET([2]characters!$A$1,0,0,COUNTA([2]characters!$A:$A),MATCH(J$1,[2]characters!$1:$1,0)-MATCH($A$1,[2]characters!$1:$1,0)+1),MATCH(J$1,[2]characters!$1:$1,0)-MATCH($A$1,[2]characters!$1:$1,0)+1,FALSE)</f>
        <v>none</v>
      </c>
      <c r="K215" s="3" t="str">
        <f ca="1">VLOOKUP(J215,[2]character_tribe_i18n!$A:$H,3,FALSE)</f>
        <v>種族なし</v>
      </c>
      <c r="L215" s="5" t="e">
        <f>VLOOKUP(#REF!,[2]character_tribe_i18n!$A:$H,4,FALSE)</f>
        <v>#REF!</v>
      </c>
      <c r="M215" s="5" t="e">
        <f>VLOOKUP(#REF!,[2]character_tribe_i18n!$A:$H,5,FALSE)</f>
        <v>#REF!</v>
      </c>
      <c r="N215" s="5" t="e">
        <f>VLOOKUP(#REF!,[2]character_tribe_i18n!$A:$H,6,FALSE)</f>
        <v>#REF!</v>
      </c>
      <c r="O215" s="5" t="e">
        <f>VLOOKUP(#REF!,[2]character_tribe_i18n!$A:$H,7,FALSE)</f>
        <v>#REF!</v>
      </c>
      <c r="P215" s="83" t="s">
        <v>170</v>
      </c>
      <c r="Q215" s="4">
        <v>386</v>
      </c>
      <c r="R215" s="25" t="str">
        <f ca="1">IF(Q215="NULL","",VLOOKUP($Q215,OFFSET([2]characters!$A$1,0,0,COUNTA([2]characters!$A:$A),MATCH(R$1,[2]characters!$1:$1,0)-MATCH($A$1,[2]characters!$1:$1,0)+1),MATCH(R$1,[2]characters!$1:$1,0)-MATCH($A$1,[2]characters!$1:$1,0)+1,FALSE))</f>
        <v>氾乱の海龍 リヴァイアサン</v>
      </c>
      <c r="S215" s="3">
        <f t="shared" ca="1" si="3"/>
        <v>385</v>
      </c>
      <c r="T215" s="25" t="str">
        <f ca="1">VLOOKUP($S215,OFFSET([2]characters!$A$1,0,0,COUNTA([2]characters!$A:$A),MATCH(T$1,[2]characters!$1:$1,0)-MATCH($A$1,[2]characters!$1:$1,0)+1),MATCH(T$1,[2]characters!$1:$1,0)-MATCH($A$1,[2]characters!$1:$1,0)+1,FALSE)</f>
        <v>波烈の出奔 リヴァイアサン</v>
      </c>
      <c r="U215" s="5">
        <f ca="1">IF(Q215="NULL","NULL",VLOOKUP(G215,ビット!$A$2:$B$7,2))</f>
        <v>50000</v>
      </c>
    </row>
    <row r="216" spans="1:21" ht="21" customHeight="1" x14ac:dyDescent="0.15">
      <c r="A216" s="83">
        <v>387</v>
      </c>
      <c r="B216" s="24" t="str">
        <f ca="1">VLOOKUP($A216,OFFSET([2]characters!$A$1,0,0,COUNTA([2]characters!$A:$A),MATCH(B$1,[2]characters!$1:$1,0)-MATCH($A$1,[2]characters!$1:$1,0)+1),MATCH(B$1,[2]characters!$1:$1,0)-MATCH($A$1,[2]characters!$1:$1,0)+1,FALSE)</f>
        <v>スフィンクス</v>
      </c>
      <c r="C216" s="24" t="str">
        <f ca="1">VLOOKUP($A216,OFFSET([2]characters!$A$1,0,0,COUNTA([2]characters!$A:$A),MATCH(C$1,[2]characters!$1:$1,0)-MATCH($A$1,[2]characters!$1:$1,0)+1),MATCH(C$1,[2]characters!$1:$1,0)-MATCH($A$1,[2]characters!$1:$1,0)+1,FALSE)</f>
        <v>ガチャ:魔獣シリーズ01</v>
      </c>
      <c r="D216" s="24">
        <f ca="1">VLOOKUP($A216,OFFSET([2]characters!$A$1,0,0,COUNTA([2]characters!$A:$A),MATCH(D$1,[2]characters!$1:$1,0)-MATCH($A$1,[2]characters!$1:$1,0)+1),MATCH(D$1,[2]characters!$1:$1,0)-MATCH($A$1,[2]characters!$1:$1,0)+1,FALSE)</f>
        <v>0</v>
      </c>
      <c r="E216" s="24">
        <f ca="1">VLOOKUP($A216,OFFSET([2]characters!$A$1,0,0,COUNTA([2]characters!$A:$A),MATCH(E$1,[2]characters!$1:$1,0)-MATCH($A$1,[2]characters!$1:$1,0)+1),MATCH(E$1,[2]characters!$1:$1,0)-MATCH($A$1,[2]characters!$1:$1,0)+1,FALSE)</f>
        <v>0</v>
      </c>
      <c r="F216" s="24" t="str">
        <f ca="1">VLOOKUP($A216,OFFSET([2]characters!$A$1,0,0,COUNTA([2]characters!$A:$A),MATCH(F$1,[2]characters!$1:$1,0)-MATCH($A$1,[2]characters!$1:$1,0)+1),MATCH(F$1,[2]characters!$1:$1,0)-MATCH($A$1,[2]characters!$1:$1,0)+1,FALSE)</f>
        <v>女性</v>
      </c>
      <c r="G216" s="24">
        <f ca="1">VLOOKUP($A216,OFFSET([2]characters!$A$1,0,0,COUNTA([2]characters!$A:$A),MATCH(G$1,[2]characters!$1:$1,0)-MATCH($A$1,[2]characters!$1:$1,0)+1),MATCH(G$1,[2]characters!$1:$1,0)-MATCH($A$1,[2]characters!$1:$1,0)+1,FALSE)</f>
        <v>3</v>
      </c>
      <c r="H216" s="24" t="str">
        <f ca="1">VLOOKUP($A216,OFFSET([2]characters!$A$1,0,0,COUNTA([2]characters!$A:$A),MATCH(H$1,[2]characters!$1:$1,0)-MATCH($A$1,[2]characters!$1:$1,0)+1),MATCH(H$1,[2]characters!$1:$1,0)-MATCH($A$1,[2]characters!$1:$1,0)+1,FALSE)</f>
        <v>PremiumS</v>
      </c>
      <c r="I216" s="24" t="str">
        <f ca="1">VLOOKUP($A216,OFFSET([2]characters!$A$1,0,0,COUNTA([2]characters!$A:$A),MATCH(I$1,[2]characters!$1:$1,0)-MATCH($A$1,[2]characters!$1:$1,0)+1),MATCH(I$1,[2]characters!$1:$1,0)-MATCH($A$1,[2]characters!$1:$1,0)+1,FALSE)</f>
        <v>yellow</v>
      </c>
      <c r="J216" s="24" t="str">
        <f ca="1">VLOOKUP($A216,OFFSET([2]characters!$A$1,0,0,COUNTA([2]characters!$A:$A),MATCH(J$1,[2]characters!$1:$1,0)-MATCH($A$1,[2]characters!$1:$1,0)+1),MATCH(J$1,[2]characters!$1:$1,0)-MATCH($A$1,[2]characters!$1:$1,0)+1,FALSE)</f>
        <v>none</v>
      </c>
      <c r="K216" s="3" t="str">
        <f ca="1">VLOOKUP(J216,[2]character_tribe_i18n!$A:$H,3,FALSE)</f>
        <v>種族なし</v>
      </c>
      <c r="L216" s="5" t="e">
        <f>VLOOKUP(#REF!,[2]character_tribe_i18n!$A:$H,4,FALSE)</f>
        <v>#REF!</v>
      </c>
      <c r="M216" s="5" t="e">
        <f>VLOOKUP(#REF!,[2]character_tribe_i18n!$A:$H,5,FALSE)</f>
        <v>#REF!</v>
      </c>
      <c r="N216" s="5" t="e">
        <f>VLOOKUP(#REF!,[2]character_tribe_i18n!$A:$H,6,FALSE)</f>
        <v>#REF!</v>
      </c>
      <c r="O216" s="5" t="e">
        <f>VLOOKUP(#REF!,[2]character_tribe_i18n!$A:$H,7,FALSE)</f>
        <v>#REF!</v>
      </c>
      <c r="P216" s="83" t="s">
        <v>170</v>
      </c>
      <c r="Q216" s="4">
        <v>388</v>
      </c>
      <c r="R216" s="25" t="str">
        <f ca="1">IF(Q216="NULL","",VLOOKUP($Q216,OFFSET([2]characters!$A$1,0,0,COUNTA([2]characters!$A:$A),MATCH(R$1,[2]characters!$1:$1,0)-MATCH($A$1,[2]characters!$1:$1,0)+1),MATCH(R$1,[2]characters!$1:$1,0)-MATCH($A$1,[2]characters!$1:$1,0)+1,FALSE))</f>
        <v>神円の恋姫 スフィンクス</v>
      </c>
      <c r="S216" s="3">
        <f t="shared" ca="1" si="3"/>
        <v>387</v>
      </c>
      <c r="T216" s="25" t="str">
        <f ca="1">VLOOKUP($S216,OFFSET([2]characters!$A$1,0,0,COUNTA([2]characters!$A:$A),MATCH(T$1,[2]characters!$1:$1,0)-MATCH($A$1,[2]characters!$1:$1,0)+1),MATCH(T$1,[2]characters!$1:$1,0)-MATCH($A$1,[2]characters!$1:$1,0)+1,FALSE)</f>
        <v>スフィンクス</v>
      </c>
      <c r="U216" s="5">
        <f ca="1">IF(Q216="NULL","NULL",VLOOKUP(G216,ビット!$A$2:$B$7,2))</f>
        <v>20000</v>
      </c>
    </row>
    <row r="217" spans="1:21" ht="21" customHeight="1" x14ac:dyDescent="0.15">
      <c r="A217" s="83">
        <v>388</v>
      </c>
      <c r="B217" s="24" t="str">
        <f ca="1">VLOOKUP($A217,OFFSET([2]characters!$A$1,0,0,COUNTA([2]characters!$A:$A),MATCH(B$1,[2]characters!$1:$1,0)-MATCH($A$1,[2]characters!$1:$1,0)+1),MATCH(B$1,[2]characters!$1:$1,0)-MATCH($A$1,[2]characters!$1:$1,0)+1,FALSE)</f>
        <v>神円の恋姫 スフィンクス</v>
      </c>
      <c r="C217" s="24" t="str">
        <f ca="1">VLOOKUP($A217,OFFSET([2]characters!$A$1,0,0,COUNTA([2]characters!$A:$A),MATCH(C$1,[2]characters!$1:$1,0)-MATCH($A$1,[2]characters!$1:$1,0)+1),MATCH(C$1,[2]characters!$1:$1,0)-MATCH($A$1,[2]characters!$1:$1,0)+1,FALSE)</f>
        <v>ガチャ:魔獣シリーズ01</v>
      </c>
      <c r="D217" s="24" t="str">
        <f ca="1">VLOOKUP($A217,OFFSET([2]characters!$A$1,0,0,COUNTA([2]characters!$A:$A),MATCH(D$1,[2]characters!$1:$1,0)-MATCH($A$1,[2]characters!$1:$1,0)+1),MATCH(D$1,[2]characters!$1:$1,0)-MATCH($A$1,[2]characters!$1:$1,0)+1,FALSE)</f>
        <v>執行者</v>
      </c>
      <c r="E217" s="24" t="str">
        <f ca="1">VLOOKUP($A217,OFFSET([2]characters!$A$1,0,0,COUNTA([2]characters!$A:$A),MATCH(E$1,[2]characters!$1:$1,0)-MATCH($A$1,[2]characters!$1:$1,0)+1),MATCH(E$1,[2]characters!$1:$1,0)-MATCH($A$1,[2]characters!$1:$1,0)+1,FALSE)</f>
        <v>格好いい</v>
      </c>
      <c r="F217" s="24" t="str">
        <f ca="1">VLOOKUP($A217,OFFSET([2]characters!$A$1,0,0,COUNTA([2]characters!$A:$A),MATCH(F$1,[2]characters!$1:$1,0)-MATCH($A$1,[2]characters!$1:$1,0)+1),MATCH(F$1,[2]characters!$1:$1,0)-MATCH($A$1,[2]characters!$1:$1,0)+1,FALSE)</f>
        <v>女性</v>
      </c>
      <c r="G217" s="24">
        <f ca="1">VLOOKUP($A217,OFFSET([2]characters!$A$1,0,0,COUNTA([2]characters!$A:$A),MATCH(G$1,[2]characters!$1:$1,0)-MATCH($A$1,[2]characters!$1:$1,0)+1),MATCH(G$1,[2]characters!$1:$1,0)-MATCH($A$1,[2]characters!$1:$1,0)+1,FALSE)</f>
        <v>4</v>
      </c>
      <c r="H217" s="24" t="str">
        <f ca="1">VLOOKUP($A217,OFFSET([2]characters!$A$1,0,0,COUNTA([2]characters!$A:$A),MATCH(H$1,[2]characters!$1:$1,0)-MATCH($A$1,[2]characters!$1:$1,0)+1),MATCH(H$1,[2]characters!$1:$1,0)-MATCH($A$1,[2]characters!$1:$1,0)+1,FALSE)</f>
        <v>PremiumS</v>
      </c>
      <c r="I217" s="24" t="str">
        <f ca="1">VLOOKUP($A217,OFFSET([2]characters!$A$1,0,0,COUNTA([2]characters!$A:$A),MATCH(I$1,[2]characters!$1:$1,0)-MATCH($A$1,[2]characters!$1:$1,0)+1),MATCH(I$1,[2]characters!$1:$1,0)-MATCH($A$1,[2]characters!$1:$1,0)+1,FALSE)</f>
        <v>yellow</v>
      </c>
      <c r="J217" s="24" t="str">
        <f ca="1">VLOOKUP($A217,OFFSET([2]characters!$A$1,0,0,COUNTA([2]characters!$A:$A),MATCH(J$1,[2]characters!$1:$1,0)-MATCH($A$1,[2]characters!$1:$1,0)+1),MATCH(J$1,[2]characters!$1:$1,0)-MATCH($A$1,[2]characters!$1:$1,0)+1,FALSE)</f>
        <v>none</v>
      </c>
      <c r="K217" s="3" t="str">
        <f ca="1">VLOOKUP(J217,[2]character_tribe_i18n!$A:$H,3,FALSE)</f>
        <v>種族なし</v>
      </c>
      <c r="L217" s="5" t="e">
        <f>VLOOKUP(#REF!,[2]character_tribe_i18n!$A:$H,4,FALSE)</f>
        <v>#REF!</v>
      </c>
      <c r="M217" s="5" t="e">
        <f>VLOOKUP(#REF!,[2]character_tribe_i18n!$A:$H,5,FALSE)</f>
        <v>#REF!</v>
      </c>
      <c r="N217" s="5" t="e">
        <f>VLOOKUP(#REF!,[2]character_tribe_i18n!$A:$H,6,FALSE)</f>
        <v>#REF!</v>
      </c>
      <c r="O217" s="5" t="e">
        <f>VLOOKUP(#REF!,[2]character_tribe_i18n!$A:$H,7,FALSE)</f>
        <v>#REF!</v>
      </c>
      <c r="P217" s="83" t="s">
        <v>170</v>
      </c>
      <c r="Q217" s="4">
        <v>389</v>
      </c>
      <c r="R217" s="25" t="str">
        <f ca="1">IF(Q217="NULL","",VLOOKUP($Q217,OFFSET([2]characters!$A$1,0,0,COUNTA([2]characters!$A:$A),MATCH(R$1,[2]characters!$1:$1,0)-MATCH($A$1,[2]characters!$1:$1,0)+1),MATCH(R$1,[2]characters!$1:$1,0)-MATCH($A$1,[2]characters!$1:$1,0)+1,FALSE))</f>
        <v>操神の愛姫 スフィンクス</v>
      </c>
      <c r="S217" s="3">
        <f t="shared" ca="1" si="3"/>
        <v>387</v>
      </c>
      <c r="T217" s="25" t="str">
        <f ca="1">VLOOKUP($S217,OFFSET([2]characters!$A$1,0,0,COUNTA([2]characters!$A:$A),MATCH(T$1,[2]characters!$1:$1,0)-MATCH($A$1,[2]characters!$1:$1,0)+1),MATCH(T$1,[2]characters!$1:$1,0)-MATCH($A$1,[2]characters!$1:$1,0)+1,FALSE)</f>
        <v>スフィンクス</v>
      </c>
      <c r="U217" s="5">
        <f ca="1">IF(Q217="NULL","NULL",VLOOKUP(G217,ビット!$A$2:$B$7,2))</f>
        <v>50000</v>
      </c>
    </row>
    <row r="218" spans="1:21" ht="21" customHeight="1" x14ac:dyDescent="0.15">
      <c r="A218" s="83">
        <v>390</v>
      </c>
      <c r="B218" s="24" t="str">
        <f ca="1">VLOOKUP($A218,OFFSET([2]characters!$A$1,0,0,COUNTA([2]characters!$A:$A),MATCH(B$1,[2]characters!$1:$1,0)-MATCH($A$1,[2]characters!$1:$1,0)+1),MATCH(B$1,[2]characters!$1:$1,0)-MATCH($A$1,[2]characters!$1:$1,0)+1,FALSE)</f>
        <v>華環の旅客 親指姫</v>
      </c>
      <c r="C218" s="24" t="str">
        <f ca="1">VLOOKUP($A218,OFFSET([2]characters!$A$1,0,0,COUNTA([2]characters!$A:$A),MATCH(C$1,[2]characters!$1:$1,0)-MATCH($A$1,[2]characters!$1:$1,0)+1),MATCH(C$1,[2]characters!$1:$1,0)-MATCH($A$1,[2]characters!$1:$1,0)+1,FALSE)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18" s="24" t="str">
        <f ca="1">VLOOKUP($A218,OFFSET([2]characters!$A$1,0,0,COUNTA([2]characters!$A:$A),MATCH(D$1,[2]characters!$1:$1,0)-MATCH($A$1,[2]characters!$1:$1,0)+1),MATCH(D$1,[2]characters!$1:$1,0)-MATCH($A$1,[2]characters!$1:$1,0)+1,FALSE)</f>
        <v>執行者</v>
      </c>
      <c r="E218" s="24" t="str">
        <f ca="1">VLOOKUP($A218,OFFSET([2]characters!$A$1,0,0,COUNTA([2]characters!$A:$A),MATCH(E$1,[2]characters!$1:$1,0)-MATCH($A$1,[2]characters!$1:$1,0)+1),MATCH(E$1,[2]characters!$1:$1,0)-MATCH($A$1,[2]characters!$1:$1,0)+1,FALSE)</f>
        <v>格好いい</v>
      </c>
      <c r="F218" s="24" t="str">
        <f ca="1">VLOOKUP($A218,OFFSET([2]characters!$A$1,0,0,COUNTA([2]characters!$A:$A),MATCH(F$1,[2]characters!$1:$1,0)-MATCH($A$1,[2]characters!$1:$1,0)+1),MATCH(F$1,[2]characters!$1:$1,0)-MATCH($A$1,[2]characters!$1:$1,0)+1,FALSE)</f>
        <v>女性</v>
      </c>
      <c r="G218" s="24">
        <f ca="1">VLOOKUP($A218,OFFSET([2]characters!$A$1,0,0,COUNTA([2]characters!$A:$A),MATCH(G$1,[2]characters!$1:$1,0)-MATCH($A$1,[2]characters!$1:$1,0)+1),MATCH(G$1,[2]characters!$1:$1,0)-MATCH($A$1,[2]characters!$1:$1,0)+1,FALSE)</f>
        <v>4</v>
      </c>
      <c r="H218" s="24" t="str">
        <f ca="1">VLOOKUP($A218,OFFSET([2]characters!$A$1,0,0,COUNTA([2]characters!$A:$A),MATCH(H$1,[2]characters!$1:$1,0)-MATCH($A$1,[2]characters!$1:$1,0)+1),MATCH(H$1,[2]characters!$1:$1,0)-MATCH($A$1,[2]characters!$1:$1,0)+1,FALSE)</f>
        <v>PremiumSS</v>
      </c>
      <c r="I218" s="24" t="str">
        <f ca="1">VLOOKUP($A218,OFFSET([2]characters!$A$1,0,0,COUNTA([2]characters!$A:$A),MATCH(I$1,[2]characters!$1:$1,0)-MATCH($A$1,[2]characters!$1:$1,0)+1),MATCH(I$1,[2]characters!$1:$1,0)-MATCH($A$1,[2]characters!$1:$1,0)+1,FALSE)</f>
        <v>red</v>
      </c>
      <c r="J218" s="24" t="str">
        <f ca="1">VLOOKUP($A218,OFFSET([2]characters!$A$1,0,0,COUNTA([2]characters!$A:$A),MATCH(J$1,[2]characters!$1:$1,0)-MATCH($A$1,[2]characters!$1:$1,0)+1),MATCH(J$1,[2]characters!$1:$1,0)-MATCH($A$1,[2]characters!$1:$1,0)+1,FALSE)</f>
        <v>machine</v>
      </c>
      <c r="K218" s="3" t="str">
        <f ca="1">VLOOKUP(J218,[2]character_tribe_i18n!$A:$H,3,FALSE)</f>
        <v>マシン</v>
      </c>
      <c r="L218" s="5" t="e">
        <f>VLOOKUP(#REF!,[2]character_tribe_i18n!$A:$H,4,FALSE)</f>
        <v>#REF!</v>
      </c>
      <c r="M218" s="5" t="e">
        <f>VLOOKUP(#REF!,[2]character_tribe_i18n!$A:$H,5,FALSE)</f>
        <v>#REF!</v>
      </c>
      <c r="N218" s="5" t="e">
        <f>VLOOKUP(#REF!,[2]character_tribe_i18n!$A:$H,6,FALSE)</f>
        <v>#REF!</v>
      </c>
      <c r="O218" s="5" t="e">
        <f>VLOOKUP(#REF!,[2]character_tribe_i18n!$A:$H,7,FALSE)</f>
        <v>#REF!</v>
      </c>
      <c r="P218" s="83" t="s">
        <v>170</v>
      </c>
      <c r="Q218" s="4">
        <v>391</v>
      </c>
      <c r="R218" s="25" t="str">
        <f ca="1">IF(Q218="NULL","",VLOOKUP($Q218,OFFSET([2]characters!$A$1,0,0,COUNTA([2]characters!$A:$A),MATCH(R$1,[2]characters!$1:$1,0)-MATCH($A$1,[2]characters!$1:$1,0)+1),MATCH(R$1,[2]characters!$1:$1,0)-MATCH($A$1,[2]characters!$1:$1,0)+1,FALSE))</f>
        <v>燕翼の旅人 親指姫</v>
      </c>
      <c r="S218" s="3">
        <f t="shared" ca="1" si="3"/>
        <v>390</v>
      </c>
      <c r="T218" s="25" t="str">
        <f ca="1">VLOOKUP($S218,OFFSET([2]characters!$A$1,0,0,COUNTA([2]characters!$A:$A),MATCH(T$1,[2]characters!$1:$1,0)-MATCH($A$1,[2]characters!$1:$1,0)+1),MATCH(T$1,[2]characters!$1:$1,0)-MATCH($A$1,[2]characters!$1:$1,0)+1,FALSE)</f>
        <v>華環の旅客 親指姫</v>
      </c>
      <c r="U218" s="5">
        <f ca="1">IF(Q218="NULL","NULL",VLOOKUP(G218,ビット!$A$2:$B$7,2))</f>
        <v>50000</v>
      </c>
    </row>
    <row r="219" spans="1:21" ht="21" customHeight="1" x14ac:dyDescent="0.15">
      <c r="A219" s="83">
        <v>391</v>
      </c>
      <c r="B219" s="24" t="str">
        <f ca="1">VLOOKUP($A219,OFFSET([2]characters!$A$1,0,0,COUNTA([2]characters!$A:$A),MATCH(B$1,[2]characters!$1:$1,0)-MATCH($A$1,[2]characters!$1:$1,0)+1),MATCH(B$1,[2]characters!$1:$1,0)-MATCH($A$1,[2]characters!$1:$1,0)+1,FALSE)</f>
        <v>燕翼の旅人 親指姫</v>
      </c>
      <c r="C219" s="24" t="str">
        <f ca="1">VLOOKUP($A219,OFFSET([2]characters!$A$1,0,0,COUNTA([2]characters!$A:$A),MATCH(C$1,[2]characters!$1:$1,0)-MATCH($A$1,[2]characters!$1:$1,0)+1),MATCH(C$1,[2]characters!$1:$1,0)-MATCH($A$1,[2]characters!$1:$1,0)+1,FALSE)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19" s="24" t="str">
        <f ca="1">VLOOKUP($A219,OFFSET([2]characters!$A$1,0,0,COUNTA([2]characters!$A:$A),MATCH(D$1,[2]characters!$1:$1,0)-MATCH($A$1,[2]characters!$1:$1,0)+1),MATCH(D$1,[2]characters!$1:$1,0)-MATCH($A$1,[2]characters!$1:$1,0)+1,FALSE)</f>
        <v>執行者</v>
      </c>
      <c r="E219" s="24" t="str">
        <f ca="1">VLOOKUP($A219,OFFSET([2]characters!$A$1,0,0,COUNTA([2]characters!$A:$A),MATCH(E$1,[2]characters!$1:$1,0)-MATCH($A$1,[2]characters!$1:$1,0)+1),MATCH(E$1,[2]characters!$1:$1,0)-MATCH($A$1,[2]characters!$1:$1,0)+1,FALSE)</f>
        <v>格好いい</v>
      </c>
      <c r="F219" s="24" t="str">
        <f ca="1">VLOOKUP($A219,OFFSET([2]characters!$A$1,0,0,COUNTA([2]characters!$A:$A),MATCH(F$1,[2]characters!$1:$1,0)-MATCH($A$1,[2]characters!$1:$1,0)+1),MATCH(F$1,[2]characters!$1:$1,0)-MATCH($A$1,[2]characters!$1:$1,0)+1,FALSE)</f>
        <v>女性</v>
      </c>
      <c r="G219" s="24">
        <f ca="1">VLOOKUP($A219,OFFSET([2]characters!$A$1,0,0,COUNTA([2]characters!$A:$A),MATCH(G$1,[2]characters!$1:$1,0)-MATCH($A$1,[2]characters!$1:$1,0)+1),MATCH(G$1,[2]characters!$1:$1,0)-MATCH($A$1,[2]characters!$1:$1,0)+1,FALSE)</f>
        <v>5</v>
      </c>
      <c r="H219" s="24" t="str">
        <f ca="1">VLOOKUP($A219,OFFSET([2]characters!$A$1,0,0,COUNTA([2]characters!$A:$A),MATCH(H$1,[2]characters!$1:$1,0)-MATCH($A$1,[2]characters!$1:$1,0)+1),MATCH(H$1,[2]characters!$1:$1,0)-MATCH($A$1,[2]characters!$1:$1,0)+1,FALSE)</f>
        <v>PremiumSS</v>
      </c>
      <c r="I219" s="24" t="str">
        <f ca="1">VLOOKUP($A219,OFFSET([2]characters!$A$1,0,0,COUNTA([2]characters!$A:$A),MATCH(I$1,[2]characters!$1:$1,0)-MATCH($A$1,[2]characters!$1:$1,0)+1),MATCH(I$1,[2]characters!$1:$1,0)-MATCH($A$1,[2]characters!$1:$1,0)+1,FALSE)</f>
        <v>red</v>
      </c>
      <c r="J219" s="24" t="str">
        <f ca="1">VLOOKUP($A219,OFFSET([2]characters!$A$1,0,0,COUNTA([2]characters!$A:$A),MATCH(J$1,[2]characters!$1:$1,0)-MATCH($A$1,[2]characters!$1:$1,0)+1),MATCH(J$1,[2]characters!$1:$1,0)-MATCH($A$1,[2]characters!$1:$1,0)+1,FALSE)</f>
        <v>machine</v>
      </c>
      <c r="K219" s="3" t="str">
        <f ca="1">VLOOKUP(J219,[2]character_tribe_i18n!$A:$H,3,FALSE)</f>
        <v>マシン</v>
      </c>
      <c r="L219" s="5" t="e">
        <f>VLOOKUP(#REF!,[2]character_tribe_i18n!$A:$H,4,FALSE)</f>
        <v>#REF!</v>
      </c>
      <c r="M219" s="5" t="e">
        <f>VLOOKUP(#REF!,[2]character_tribe_i18n!$A:$H,5,FALSE)</f>
        <v>#REF!</v>
      </c>
      <c r="N219" s="5" t="e">
        <f>VLOOKUP(#REF!,[2]character_tribe_i18n!$A:$H,6,FALSE)</f>
        <v>#REF!</v>
      </c>
      <c r="O219" s="5" t="e">
        <f>VLOOKUP(#REF!,[2]character_tribe_i18n!$A:$H,7,FALSE)</f>
        <v>#REF!</v>
      </c>
      <c r="P219" s="83" t="s">
        <v>170</v>
      </c>
      <c r="Q219" s="4">
        <v>811</v>
      </c>
      <c r="R219" s="25" t="str">
        <f ca="1">IF(Q219="NULL","",VLOOKUP($Q219,OFFSET([2]characters!$A$1,0,0,COUNTA([2]characters!$A:$A),MATCH(R$1,[2]characters!$1:$1,0)-MATCH($A$1,[2]characters!$1:$1,0)+1),MATCH(R$1,[2]characters!$1:$1,0)-MATCH($A$1,[2]characters!$1:$1,0)+1,FALSE))</f>
        <v>咲き誇る旅航者 親指姫</v>
      </c>
      <c r="S219" s="3">
        <f t="shared" ca="1" si="3"/>
        <v>390</v>
      </c>
      <c r="T219" s="25" t="str">
        <f ca="1">VLOOKUP($S219,OFFSET([2]characters!$A$1,0,0,COUNTA([2]characters!$A:$A),MATCH(T$1,[2]characters!$1:$1,0)-MATCH($A$1,[2]characters!$1:$1,0)+1),MATCH(T$1,[2]characters!$1:$1,0)-MATCH($A$1,[2]characters!$1:$1,0)+1,FALSE)</f>
        <v>華環の旅客 親指姫</v>
      </c>
      <c r="U219" s="5">
        <f ca="1">IF(Q219="NULL","NULL",VLOOKUP(G219,ビット!$A$2:$B$7,2))</f>
        <v>200000</v>
      </c>
    </row>
    <row r="220" spans="1:21" ht="21" customHeight="1" x14ac:dyDescent="0.15">
      <c r="A220" s="83">
        <v>392</v>
      </c>
      <c r="B220" s="24" t="str">
        <f ca="1">VLOOKUP($A220,OFFSET([2]characters!$A$1,0,0,COUNTA([2]characters!$A:$A),MATCH(B$1,[2]characters!$1:$1,0)-MATCH($A$1,[2]characters!$1:$1,0)+1),MATCH(B$1,[2]characters!$1:$1,0)-MATCH($A$1,[2]characters!$1:$1,0)+1,FALSE)</f>
        <v>ピーターパン</v>
      </c>
      <c r="C220" s="24" t="str">
        <f ca="1">VLOOKUP($A220,OFFSET([2]characters!$A$1,0,0,COUNTA([2]characters!$A:$A),MATCH(C$1,[2]characters!$1:$1,0)-MATCH($A$1,[2]characters!$1:$1,0)+1),MATCH(C$1,[2]characters!$1:$1,0)-MATCH($A$1,[2]characters!$1:$1,0)+1,FALSE)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20" s="24" t="str">
        <f ca="1">VLOOKUP($A220,OFFSET([2]characters!$A$1,0,0,COUNTA([2]characters!$A:$A),MATCH(D$1,[2]characters!$1:$1,0)-MATCH($A$1,[2]characters!$1:$1,0)+1),MATCH(D$1,[2]characters!$1:$1,0)-MATCH($A$1,[2]characters!$1:$1,0)+1,FALSE)</f>
        <v>執行者</v>
      </c>
      <c r="E220" s="24" t="str">
        <f ca="1">VLOOKUP($A220,OFFSET([2]characters!$A$1,0,0,COUNTA([2]characters!$A:$A),MATCH(E$1,[2]characters!$1:$1,0)-MATCH($A$1,[2]characters!$1:$1,0)+1),MATCH(E$1,[2]characters!$1:$1,0)-MATCH($A$1,[2]characters!$1:$1,0)+1,FALSE)</f>
        <v>格好いい</v>
      </c>
      <c r="F220" s="24" t="str">
        <f ca="1">VLOOKUP($A220,OFFSET([2]characters!$A$1,0,0,COUNTA([2]characters!$A:$A),MATCH(F$1,[2]characters!$1:$1,0)-MATCH($A$1,[2]characters!$1:$1,0)+1),MATCH(F$1,[2]characters!$1:$1,0)-MATCH($A$1,[2]characters!$1:$1,0)+1,FALSE)</f>
        <v>男性</v>
      </c>
      <c r="G220" s="24">
        <f ca="1">VLOOKUP($A220,OFFSET([2]characters!$A$1,0,0,COUNTA([2]characters!$A:$A),MATCH(G$1,[2]characters!$1:$1,0)-MATCH($A$1,[2]characters!$1:$1,0)+1),MATCH(G$1,[2]characters!$1:$1,0)-MATCH($A$1,[2]characters!$1:$1,0)+1,FALSE)</f>
        <v>3</v>
      </c>
      <c r="H220" s="24" t="str">
        <f ca="1">VLOOKUP($A220,OFFSET([2]characters!$A$1,0,0,COUNTA([2]characters!$A:$A),MATCH(H$1,[2]characters!$1:$1,0)-MATCH($A$1,[2]characters!$1:$1,0)+1),MATCH(H$1,[2]characters!$1:$1,0)-MATCH($A$1,[2]characters!$1:$1,0)+1,FALSE)</f>
        <v>PremiumS</v>
      </c>
      <c r="I220" s="24" t="str">
        <f ca="1">VLOOKUP($A220,OFFSET([2]characters!$A$1,0,0,COUNTA([2]characters!$A:$A),MATCH(I$1,[2]characters!$1:$1,0)-MATCH($A$1,[2]characters!$1:$1,0)+1),MATCH(I$1,[2]characters!$1:$1,0)-MATCH($A$1,[2]characters!$1:$1,0)+1,FALSE)</f>
        <v>green</v>
      </c>
      <c r="J220" s="24" t="str">
        <f ca="1">VLOOKUP($A220,OFFSET([2]characters!$A$1,0,0,COUNTA([2]characters!$A:$A),MATCH(J$1,[2]characters!$1:$1,0)-MATCH($A$1,[2]characters!$1:$1,0)+1),MATCH(J$1,[2]characters!$1:$1,0)-MATCH($A$1,[2]characters!$1:$1,0)+1,FALSE)</f>
        <v>machine</v>
      </c>
      <c r="K220" s="3" t="str">
        <f ca="1">VLOOKUP(J220,[2]character_tribe_i18n!$A:$H,3,FALSE)</f>
        <v>マシン</v>
      </c>
      <c r="L220" s="5" t="e">
        <f>VLOOKUP(#REF!,[2]character_tribe_i18n!$A:$H,4,FALSE)</f>
        <v>#REF!</v>
      </c>
      <c r="M220" s="5" t="e">
        <f>VLOOKUP(#REF!,[2]character_tribe_i18n!$A:$H,5,FALSE)</f>
        <v>#REF!</v>
      </c>
      <c r="N220" s="5" t="e">
        <f>VLOOKUP(#REF!,[2]character_tribe_i18n!$A:$H,6,FALSE)</f>
        <v>#REF!</v>
      </c>
      <c r="O220" s="5" t="e">
        <f>VLOOKUP(#REF!,[2]character_tribe_i18n!$A:$H,7,FALSE)</f>
        <v>#REF!</v>
      </c>
      <c r="P220" s="83" t="s">
        <v>170</v>
      </c>
      <c r="Q220" s="4">
        <v>393</v>
      </c>
      <c r="R220" s="25" t="str">
        <f ca="1">IF(Q220="NULL","",VLOOKUP($Q220,OFFSET([2]characters!$A$1,0,0,COUNTA([2]characters!$A:$A),MATCH(R$1,[2]characters!$1:$1,0)-MATCH($A$1,[2]characters!$1:$1,0)+1),MATCH(R$1,[2]characters!$1:$1,0)-MATCH($A$1,[2]characters!$1:$1,0)+1,FALSE))</f>
        <v>影縫い ピーターパン</v>
      </c>
      <c r="S220" s="3">
        <f t="shared" ca="1" si="3"/>
        <v>392</v>
      </c>
      <c r="T220" s="25" t="str">
        <f ca="1">VLOOKUP($S220,OFFSET([2]characters!$A$1,0,0,COUNTA([2]characters!$A:$A),MATCH(T$1,[2]characters!$1:$1,0)-MATCH($A$1,[2]characters!$1:$1,0)+1),MATCH(T$1,[2]characters!$1:$1,0)-MATCH($A$1,[2]characters!$1:$1,0)+1,FALSE)</f>
        <v>ピーターパン</v>
      </c>
      <c r="U220" s="5">
        <f ca="1">IF(Q220="NULL","NULL",VLOOKUP(G220,ビット!$A$2:$B$7,2))</f>
        <v>20000</v>
      </c>
    </row>
    <row r="221" spans="1:21" ht="21" customHeight="1" x14ac:dyDescent="0.15">
      <c r="A221" s="83">
        <v>393</v>
      </c>
      <c r="B221" s="24" t="str">
        <f ca="1">VLOOKUP($A221,OFFSET([2]characters!$A$1,0,0,COUNTA([2]characters!$A:$A),MATCH(B$1,[2]characters!$1:$1,0)-MATCH($A$1,[2]characters!$1:$1,0)+1),MATCH(B$1,[2]characters!$1:$1,0)-MATCH($A$1,[2]characters!$1:$1,0)+1,FALSE)</f>
        <v>影縫い ピーターパン</v>
      </c>
      <c r="C221" s="24" t="str">
        <f ca="1">VLOOKUP($A221,OFFSET([2]characters!$A$1,0,0,COUNTA([2]characters!$A:$A),MATCH(C$1,[2]characters!$1:$1,0)-MATCH($A$1,[2]characters!$1:$1,0)+1),MATCH(C$1,[2]characters!$1:$1,0)-MATCH($A$1,[2]characters!$1:$1,0)+1,FALSE)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21" s="24" t="str">
        <f ca="1">VLOOKUP($A221,OFFSET([2]characters!$A$1,0,0,COUNTA([2]characters!$A:$A),MATCH(D$1,[2]characters!$1:$1,0)-MATCH($A$1,[2]characters!$1:$1,0)+1),MATCH(D$1,[2]characters!$1:$1,0)-MATCH($A$1,[2]characters!$1:$1,0)+1,FALSE)</f>
        <v>執行者</v>
      </c>
      <c r="E221" s="24" t="str">
        <f ca="1">VLOOKUP($A221,OFFSET([2]characters!$A$1,0,0,COUNTA([2]characters!$A:$A),MATCH(E$1,[2]characters!$1:$1,0)-MATCH($A$1,[2]characters!$1:$1,0)+1),MATCH(E$1,[2]characters!$1:$1,0)-MATCH($A$1,[2]characters!$1:$1,0)+1,FALSE)</f>
        <v>格好いい</v>
      </c>
      <c r="F221" s="24" t="str">
        <f ca="1">VLOOKUP($A221,OFFSET([2]characters!$A$1,0,0,COUNTA([2]characters!$A:$A),MATCH(F$1,[2]characters!$1:$1,0)-MATCH($A$1,[2]characters!$1:$1,0)+1),MATCH(F$1,[2]characters!$1:$1,0)-MATCH($A$1,[2]characters!$1:$1,0)+1,FALSE)</f>
        <v>男性</v>
      </c>
      <c r="G221" s="24">
        <f ca="1">VLOOKUP($A221,OFFSET([2]characters!$A$1,0,0,COUNTA([2]characters!$A:$A),MATCH(G$1,[2]characters!$1:$1,0)-MATCH($A$1,[2]characters!$1:$1,0)+1),MATCH(G$1,[2]characters!$1:$1,0)-MATCH($A$1,[2]characters!$1:$1,0)+1,FALSE)</f>
        <v>4</v>
      </c>
      <c r="H221" s="24" t="str">
        <f ca="1">VLOOKUP($A221,OFFSET([2]characters!$A$1,0,0,COUNTA([2]characters!$A:$A),MATCH(H$1,[2]characters!$1:$1,0)-MATCH($A$1,[2]characters!$1:$1,0)+1),MATCH(H$1,[2]characters!$1:$1,0)-MATCH($A$1,[2]characters!$1:$1,0)+1,FALSE)</f>
        <v>PremiumS</v>
      </c>
      <c r="I221" s="24" t="str">
        <f ca="1">VLOOKUP($A221,OFFSET([2]characters!$A$1,0,0,COUNTA([2]characters!$A:$A),MATCH(I$1,[2]characters!$1:$1,0)-MATCH($A$1,[2]characters!$1:$1,0)+1),MATCH(I$1,[2]characters!$1:$1,0)-MATCH($A$1,[2]characters!$1:$1,0)+1,FALSE)</f>
        <v>green</v>
      </c>
      <c r="J221" s="24" t="str">
        <f ca="1">VLOOKUP($A221,OFFSET([2]characters!$A$1,0,0,COUNTA([2]characters!$A:$A),MATCH(J$1,[2]characters!$1:$1,0)-MATCH($A$1,[2]characters!$1:$1,0)+1),MATCH(J$1,[2]characters!$1:$1,0)-MATCH($A$1,[2]characters!$1:$1,0)+1,FALSE)</f>
        <v>machine</v>
      </c>
      <c r="K221" s="3" t="str">
        <f ca="1">VLOOKUP(J221,[2]character_tribe_i18n!$A:$H,3,FALSE)</f>
        <v>マシン</v>
      </c>
      <c r="L221" s="5" t="e">
        <f>VLOOKUP(#REF!,[2]character_tribe_i18n!$A:$H,4,FALSE)</f>
        <v>#REF!</v>
      </c>
      <c r="M221" s="5" t="e">
        <f>VLOOKUP(#REF!,[2]character_tribe_i18n!$A:$H,5,FALSE)</f>
        <v>#REF!</v>
      </c>
      <c r="N221" s="5" t="e">
        <f>VLOOKUP(#REF!,[2]character_tribe_i18n!$A:$H,6,FALSE)</f>
        <v>#REF!</v>
      </c>
      <c r="O221" s="5" t="e">
        <f>VLOOKUP(#REF!,[2]character_tribe_i18n!$A:$H,7,FALSE)</f>
        <v>#REF!</v>
      </c>
      <c r="P221" s="83" t="s">
        <v>170</v>
      </c>
      <c r="Q221" s="4">
        <v>394</v>
      </c>
      <c r="R221" s="25" t="str">
        <f ca="1">IF(Q221="NULL","",VLOOKUP($Q221,OFFSET([2]characters!$A$1,0,0,COUNTA([2]characters!$A:$A),MATCH(R$1,[2]characters!$1:$1,0)-MATCH($A$1,[2]characters!$1:$1,0)+1),MATCH(R$1,[2]characters!$1:$1,0)-MATCH($A$1,[2]characters!$1:$1,0)+1,FALSE))</f>
        <v>影求の悪童 ピーターパン</v>
      </c>
      <c r="S221" s="3">
        <f t="shared" ca="1" si="3"/>
        <v>392</v>
      </c>
      <c r="T221" s="25" t="str">
        <f ca="1">VLOOKUP($S221,OFFSET([2]characters!$A$1,0,0,COUNTA([2]characters!$A:$A),MATCH(T$1,[2]characters!$1:$1,0)-MATCH($A$1,[2]characters!$1:$1,0)+1),MATCH(T$1,[2]characters!$1:$1,0)-MATCH($A$1,[2]characters!$1:$1,0)+1,FALSE)</f>
        <v>ピーターパン</v>
      </c>
      <c r="U221" s="5">
        <f ca="1">IF(Q221="NULL","NULL",VLOOKUP(G221,ビット!$A$2:$B$7,2))</f>
        <v>50000</v>
      </c>
    </row>
    <row r="222" spans="1:21" ht="21" customHeight="1" x14ac:dyDescent="0.15">
      <c r="A222" s="83">
        <v>395</v>
      </c>
      <c r="B222" s="24" t="str">
        <f ca="1">VLOOKUP($A222,OFFSET([2]characters!$A$1,0,0,COUNTA([2]characters!$A:$A),MATCH(B$1,[2]characters!$1:$1,0)-MATCH($A$1,[2]characters!$1:$1,0)+1),MATCH(B$1,[2]characters!$1:$1,0)-MATCH($A$1,[2]characters!$1:$1,0)+1,FALSE)</f>
        <v>乙姫</v>
      </c>
      <c r="C222" s="24" t="str">
        <f ca="1">VLOOKUP($A222,OFFSET([2]characters!$A$1,0,0,COUNTA([2]characters!$A:$A),MATCH(C$1,[2]characters!$1:$1,0)-MATCH($A$1,[2]characters!$1:$1,0)+1),MATCH(C$1,[2]characters!$1:$1,0)-MATCH($A$1,[2]characters!$1:$1,0)+1,FALSE)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22" s="24" t="str">
        <f ca="1">VLOOKUP($A222,OFFSET([2]characters!$A$1,0,0,COUNTA([2]characters!$A:$A),MATCH(D$1,[2]characters!$1:$1,0)-MATCH($A$1,[2]characters!$1:$1,0)+1),MATCH(D$1,[2]characters!$1:$1,0)-MATCH($A$1,[2]characters!$1:$1,0)+1,FALSE)</f>
        <v>執行者</v>
      </c>
      <c r="E222" s="24" t="str">
        <f ca="1">VLOOKUP($A222,OFFSET([2]characters!$A$1,0,0,COUNTA([2]characters!$A:$A),MATCH(E$1,[2]characters!$1:$1,0)-MATCH($A$1,[2]characters!$1:$1,0)+1),MATCH(E$1,[2]characters!$1:$1,0)-MATCH($A$1,[2]characters!$1:$1,0)+1,FALSE)</f>
        <v>格好いい</v>
      </c>
      <c r="F222" s="24" t="str">
        <f ca="1">VLOOKUP($A222,OFFSET([2]characters!$A$1,0,0,COUNTA([2]characters!$A:$A),MATCH(F$1,[2]characters!$1:$1,0)-MATCH($A$1,[2]characters!$1:$1,0)+1),MATCH(F$1,[2]characters!$1:$1,0)-MATCH($A$1,[2]characters!$1:$1,0)+1,FALSE)</f>
        <v>女性</v>
      </c>
      <c r="G222" s="24">
        <f ca="1">VLOOKUP($A222,OFFSET([2]characters!$A$1,0,0,COUNTA([2]characters!$A:$A),MATCH(G$1,[2]characters!$1:$1,0)-MATCH($A$1,[2]characters!$1:$1,0)+1),MATCH(G$1,[2]characters!$1:$1,0)-MATCH($A$1,[2]characters!$1:$1,0)+1,FALSE)</f>
        <v>3</v>
      </c>
      <c r="H222" s="24" t="str">
        <f ca="1">VLOOKUP($A222,OFFSET([2]characters!$A$1,0,0,COUNTA([2]characters!$A:$A),MATCH(H$1,[2]characters!$1:$1,0)-MATCH($A$1,[2]characters!$1:$1,0)+1),MATCH(H$1,[2]characters!$1:$1,0)-MATCH($A$1,[2]characters!$1:$1,0)+1,FALSE)</f>
        <v>PremiumS</v>
      </c>
      <c r="I222" s="24" t="str">
        <f ca="1">VLOOKUP($A222,OFFSET([2]characters!$A$1,0,0,COUNTA([2]characters!$A:$A),MATCH(I$1,[2]characters!$1:$1,0)-MATCH($A$1,[2]characters!$1:$1,0)+1),MATCH(I$1,[2]characters!$1:$1,0)-MATCH($A$1,[2]characters!$1:$1,0)+1,FALSE)</f>
        <v>blue</v>
      </c>
      <c r="J222" s="24" t="str">
        <f ca="1">VLOOKUP($A222,OFFSET([2]characters!$A$1,0,0,COUNTA([2]characters!$A:$A),MATCH(J$1,[2]characters!$1:$1,0)-MATCH($A$1,[2]characters!$1:$1,0)+1),MATCH(J$1,[2]characters!$1:$1,0)-MATCH($A$1,[2]characters!$1:$1,0)+1,FALSE)</f>
        <v>machine</v>
      </c>
      <c r="K222" s="3" t="str">
        <f ca="1">VLOOKUP(J222,[2]character_tribe_i18n!$A:$H,3,FALSE)</f>
        <v>マシン</v>
      </c>
      <c r="L222" s="5" t="e">
        <f>VLOOKUP(#REF!,[2]character_tribe_i18n!$A:$H,4,FALSE)</f>
        <v>#REF!</v>
      </c>
      <c r="M222" s="5" t="e">
        <f>VLOOKUP(#REF!,[2]character_tribe_i18n!$A:$H,5,FALSE)</f>
        <v>#REF!</v>
      </c>
      <c r="N222" s="5" t="e">
        <f>VLOOKUP(#REF!,[2]character_tribe_i18n!$A:$H,6,FALSE)</f>
        <v>#REF!</v>
      </c>
      <c r="O222" s="5" t="e">
        <f>VLOOKUP(#REF!,[2]character_tribe_i18n!$A:$H,7,FALSE)</f>
        <v>#REF!</v>
      </c>
      <c r="P222" s="83" t="s">
        <v>170</v>
      </c>
      <c r="Q222" s="4">
        <v>396</v>
      </c>
      <c r="R222" s="25" t="str">
        <f ca="1">IF(Q222="NULL","",VLOOKUP($Q222,OFFSET([2]characters!$A$1,0,0,COUNTA([2]characters!$A:$A),MATCH(R$1,[2]characters!$1:$1,0)-MATCH($A$1,[2]characters!$1:$1,0)+1),MATCH(R$1,[2]characters!$1:$1,0)-MATCH($A$1,[2]characters!$1:$1,0)+1,FALSE))</f>
        <v>竜宮の水雷 乙姫</v>
      </c>
      <c r="S222" s="3">
        <f t="shared" ca="1" si="3"/>
        <v>395</v>
      </c>
      <c r="T222" s="25" t="str">
        <f ca="1">VLOOKUP($S222,OFFSET([2]characters!$A$1,0,0,COUNTA([2]characters!$A:$A),MATCH(T$1,[2]characters!$1:$1,0)-MATCH($A$1,[2]characters!$1:$1,0)+1),MATCH(T$1,[2]characters!$1:$1,0)-MATCH($A$1,[2]characters!$1:$1,0)+1,FALSE)</f>
        <v>乙姫</v>
      </c>
      <c r="U222" s="5">
        <f ca="1">IF(Q222="NULL","NULL",VLOOKUP(G222,ビット!$A$2:$B$7,2))</f>
        <v>20000</v>
      </c>
    </row>
    <row r="223" spans="1:21" ht="21" customHeight="1" x14ac:dyDescent="0.15">
      <c r="A223" s="83">
        <v>396</v>
      </c>
      <c r="B223" s="24" t="str">
        <f ca="1">VLOOKUP($A223,OFFSET([2]characters!$A$1,0,0,COUNTA([2]characters!$A:$A),MATCH(B$1,[2]characters!$1:$1,0)-MATCH($A$1,[2]characters!$1:$1,0)+1),MATCH(B$1,[2]characters!$1:$1,0)-MATCH($A$1,[2]characters!$1:$1,0)+1,FALSE)</f>
        <v>竜宮の水雷 乙姫</v>
      </c>
      <c r="C223" s="24" t="str">
        <f ca="1">VLOOKUP($A223,OFFSET([2]characters!$A$1,0,0,COUNTA([2]characters!$A:$A),MATCH(C$1,[2]characters!$1:$1,0)-MATCH($A$1,[2]characters!$1:$1,0)+1),MATCH(C$1,[2]characters!$1:$1,0)-MATCH($A$1,[2]characters!$1:$1,0)+1,FALSE)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23" s="24" t="str">
        <f ca="1">VLOOKUP($A223,OFFSET([2]characters!$A$1,0,0,COUNTA([2]characters!$A:$A),MATCH(D$1,[2]characters!$1:$1,0)-MATCH($A$1,[2]characters!$1:$1,0)+1),MATCH(D$1,[2]characters!$1:$1,0)-MATCH($A$1,[2]characters!$1:$1,0)+1,FALSE)</f>
        <v>執行者</v>
      </c>
      <c r="E223" s="24" t="str">
        <f ca="1">VLOOKUP($A223,OFFSET([2]characters!$A$1,0,0,COUNTA([2]characters!$A:$A),MATCH(E$1,[2]characters!$1:$1,0)-MATCH($A$1,[2]characters!$1:$1,0)+1),MATCH(E$1,[2]characters!$1:$1,0)-MATCH($A$1,[2]characters!$1:$1,0)+1,FALSE)</f>
        <v>格好いい</v>
      </c>
      <c r="F223" s="24" t="str">
        <f ca="1">VLOOKUP($A223,OFFSET([2]characters!$A$1,0,0,COUNTA([2]characters!$A:$A),MATCH(F$1,[2]characters!$1:$1,0)-MATCH($A$1,[2]characters!$1:$1,0)+1),MATCH(F$1,[2]characters!$1:$1,0)-MATCH($A$1,[2]characters!$1:$1,0)+1,FALSE)</f>
        <v>女性</v>
      </c>
      <c r="G223" s="24">
        <f ca="1">VLOOKUP($A223,OFFSET([2]characters!$A$1,0,0,COUNTA([2]characters!$A:$A),MATCH(G$1,[2]characters!$1:$1,0)-MATCH($A$1,[2]characters!$1:$1,0)+1),MATCH(G$1,[2]characters!$1:$1,0)-MATCH($A$1,[2]characters!$1:$1,0)+1,FALSE)</f>
        <v>4</v>
      </c>
      <c r="H223" s="24" t="str">
        <f ca="1">VLOOKUP($A223,OFFSET([2]characters!$A$1,0,0,COUNTA([2]characters!$A:$A),MATCH(H$1,[2]characters!$1:$1,0)-MATCH($A$1,[2]characters!$1:$1,0)+1),MATCH(H$1,[2]characters!$1:$1,0)-MATCH($A$1,[2]characters!$1:$1,0)+1,FALSE)</f>
        <v>PremiumS</v>
      </c>
      <c r="I223" s="24" t="str">
        <f ca="1">VLOOKUP($A223,OFFSET([2]characters!$A$1,0,0,COUNTA([2]characters!$A:$A),MATCH(I$1,[2]characters!$1:$1,0)-MATCH($A$1,[2]characters!$1:$1,0)+1),MATCH(I$1,[2]characters!$1:$1,0)-MATCH($A$1,[2]characters!$1:$1,0)+1,FALSE)</f>
        <v>blue</v>
      </c>
      <c r="J223" s="24" t="str">
        <f ca="1">VLOOKUP($A223,OFFSET([2]characters!$A$1,0,0,COUNTA([2]characters!$A:$A),MATCH(J$1,[2]characters!$1:$1,0)-MATCH($A$1,[2]characters!$1:$1,0)+1),MATCH(J$1,[2]characters!$1:$1,0)-MATCH($A$1,[2]characters!$1:$1,0)+1,FALSE)</f>
        <v>machine</v>
      </c>
      <c r="K223" s="3" t="str">
        <f ca="1">VLOOKUP(J223,[2]character_tribe_i18n!$A:$H,3,FALSE)</f>
        <v>マシン</v>
      </c>
      <c r="L223" s="5" t="e">
        <f>VLOOKUP(#REF!,[2]character_tribe_i18n!$A:$H,4,FALSE)</f>
        <v>#REF!</v>
      </c>
      <c r="M223" s="5" t="e">
        <f>VLOOKUP(#REF!,[2]character_tribe_i18n!$A:$H,5,FALSE)</f>
        <v>#REF!</v>
      </c>
      <c r="N223" s="5" t="e">
        <f>VLOOKUP(#REF!,[2]character_tribe_i18n!$A:$H,6,FALSE)</f>
        <v>#REF!</v>
      </c>
      <c r="O223" s="5" t="e">
        <f>VLOOKUP(#REF!,[2]character_tribe_i18n!$A:$H,7,FALSE)</f>
        <v>#REF!</v>
      </c>
      <c r="P223" s="83" t="s">
        <v>170</v>
      </c>
      <c r="Q223" s="4">
        <v>397</v>
      </c>
      <c r="R223" s="25" t="str">
        <f ca="1">IF(Q223="NULL","",VLOOKUP($Q223,OFFSET([2]characters!$A$1,0,0,COUNTA([2]characters!$A:$A),MATCH(R$1,[2]characters!$1:$1,0)-MATCH($A$1,[2]characters!$1:$1,0)+1),MATCH(R$1,[2]characters!$1:$1,0)-MATCH($A$1,[2]characters!$1:$1,0)+1,FALSE))</f>
        <v>禁断の追箱 乙姫</v>
      </c>
      <c r="S223" s="3">
        <f t="shared" ca="1" si="3"/>
        <v>395</v>
      </c>
      <c r="T223" s="25" t="str">
        <f ca="1">VLOOKUP($S223,OFFSET([2]characters!$A$1,0,0,COUNTA([2]characters!$A:$A),MATCH(T$1,[2]characters!$1:$1,0)-MATCH($A$1,[2]characters!$1:$1,0)+1),MATCH(T$1,[2]characters!$1:$1,0)-MATCH($A$1,[2]characters!$1:$1,0)+1,FALSE)</f>
        <v>乙姫</v>
      </c>
      <c r="U223" s="5">
        <f ca="1">IF(Q223="NULL","NULL",VLOOKUP(G223,ビット!$A$2:$B$7,2))</f>
        <v>50000</v>
      </c>
    </row>
    <row r="224" spans="1:21" ht="21" customHeight="1" x14ac:dyDescent="0.15">
      <c r="A224" s="83">
        <v>398</v>
      </c>
      <c r="B224" s="24" t="str">
        <f ca="1">VLOOKUP($A224,OFFSET([2]characters!$A$1,0,0,COUNTA([2]characters!$A:$A),MATCH(B$1,[2]characters!$1:$1,0)-MATCH($A$1,[2]characters!$1:$1,0)+1),MATCH(B$1,[2]characters!$1:$1,0)-MATCH($A$1,[2]characters!$1:$1,0)+1,FALSE)</f>
        <v>ヘンゼル＆グレーテル</v>
      </c>
      <c r="C224" s="24" t="str">
        <f ca="1">VLOOKUP($A224,OFFSET([2]characters!$A$1,0,0,COUNTA([2]characters!$A:$A),MATCH(C$1,[2]characters!$1:$1,0)-MATCH($A$1,[2]characters!$1:$1,0)+1),MATCH(C$1,[2]characters!$1:$1,0)-MATCH($A$1,[2]characters!$1:$1,0)+1,FALSE)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24" s="24" t="str">
        <f ca="1">VLOOKUP($A224,OFFSET([2]characters!$A$1,0,0,COUNTA([2]characters!$A:$A),MATCH(D$1,[2]characters!$1:$1,0)-MATCH($A$1,[2]characters!$1:$1,0)+1),MATCH(D$1,[2]characters!$1:$1,0)-MATCH($A$1,[2]characters!$1:$1,0)+1,FALSE)</f>
        <v>執行者</v>
      </c>
      <c r="E224" s="24" t="str">
        <f ca="1">VLOOKUP($A224,OFFSET([2]characters!$A$1,0,0,COUNTA([2]characters!$A:$A),MATCH(E$1,[2]characters!$1:$1,0)-MATCH($A$1,[2]characters!$1:$1,0)+1),MATCH(E$1,[2]characters!$1:$1,0)-MATCH($A$1,[2]characters!$1:$1,0)+1,FALSE)</f>
        <v>格好いい</v>
      </c>
      <c r="F224" s="24" t="str">
        <f ca="1">VLOOKUP($A224,OFFSET([2]characters!$A$1,0,0,COUNTA([2]characters!$A:$A),MATCH(F$1,[2]characters!$1:$1,0)-MATCH($A$1,[2]characters!$1:$1,0)+1),MATCH(F$1,[2]characters!$1:$1,0)-MATCH($A$1,[2]characters!$1:$1,0)+1,FALSE)</f>
        <v>女性</v>
      </c>
      <c r="G224" s="24">
        <f ca="1">VLOOKUP($A224,OFFSET([2]characters!$A$1,0,0,COUNTA([2]characters!$A:$A),MATCH(G$1,[2]characters!$1:$1,0)-MATCH($A$1,[2]characters!$1:$1,0)+1),MATCH(G$1,[2]characters!$1:$1,0)-MATCH($A$1,[2]characters!$1:$1,0)+1,FALSE)</f>
        <v>4</v>
      </c>
      <c r="H224" s="24" t="str">
        <f ca="1">VLOOKUP($A224,OFFSET([2]characters!$A$1,0,0,COUNTA([2]characters!$A:$A),MATCH(H$1,[2]characters!$1:$1,0)-MATCH($A$1,[2]characters!$1:$1,0)+1),MATCH(H$1,[2]characters!$1:$1,0)-MATCH($A$1,[2]characters!$1:$1,0)+1,FALSE)</f>
        <v>PremiumSS</v>
      </c>
      <c r="I224" s="24" t="str">
        <f ca="1">VLOOKUP($A224,OFFSET([2]characters!$A$1,0,0,COUNTA([2]characters!$A:$A),MATCH(I$1,[2]characters!$1:$1,0)-MATCH($A$1,[2]characters!$1:$1,0)+1),MATCH(I$1,[2]characters!$1:$1,0)-MATCH($A$1,[2]characters!$1:$1,0)+1,FALSE)</f>
        <v>yellow</v>
      </c>
      <c r="J224" s="24" t="str">
        <f ca="1">VLOOKUP($A224,OFFSET([2]characters!$A$1,0,0,COUNTA([2]characters!$A:$A),MATCH(J$1,[2]characters!$1:$1,0)-MATCH($A$1,[2]characters!$1:$1,0)+1),MATCH(J$1,[2]characters!$1:$1,0)-MATCH($A$1,[2]characters!$1:$1,0)+1,FALSE)</f>
        <v>machine</v>
      </c>
      <c r="K224" s="3" t="str">
        <f ca="1">VLOOKUP(J224,[2]character_tribe_i18n!$A:$H,3,FALSE)</f>
        <v>マシン</v>
      </c>
      <c r="L224" s="5" t="e">
        <f>VLOOKUP(#REF!,[2]character_tribe_i18n!$A:$H,4,FALSE)</f>
        <v>#REF!</v>
      </c>
      <c r="M224" s="5" t="e">
        <f>VLOOKUP(#REF!,[2]character_tribe_i18n!$A:$H,5,FALSE)</f>
        <v>#REF!</v>
      </c>
      <c r="N224" s="5" t="e">
        <f>VLOOKUP(#REF!,[2]character_tribe_i18n!$A:$H,6,FALSE)</f>
        <v>#REF!</v>
      </c>
      <c r="O224" s="5" t="e">
        <f>VLOOKUP(#REF!,[2]character_tribe_i18n!$A:$H,7,FALSE)</f>
        <v>#REF!</v>
      </c>
      <c r="P224" s="83" t="s">
        <v>170</v>
      </c>
      <c r="Q224" s="4">
        <v>399</v>
      </c>
      <c r="R224" s="25" t="str">
        <f ca="1">IF(Q224="NULL","",VLOOKUP($Q224,OFFSET([2]characters!$A$1,0,0,COUNTA([2]characters!$A:$A),MATCH(R$1,[2]characters!$1:$1,0)-MATCH($A$1,[2]characters!$1:$1,0)+1),MATCH(R$1,[2]characters!$1:$1,0)-MATCH($A$1,[2]characters!$1:$1,0)+1,FALSE))</f>
        <v>信愛の兄妹 ヘンゼル＆グレーテル</v>
      </c>
      <c r="S224" s="3">
        <f t="shared" ca="1" si="3"/>
        <v>398</v>
      </c>
      <c r="T224" s="25" t="str">
        <f ca="1">VLOOKUP($S224,OFFSET([2]characters!$A$1,0,0,COUNTA([2]characters!$A:$A),MATCH(T$1,[2]characters!$1:$1,0)-MATCH($A$1,[2]characters!$1:$1,0)+1),MATCH(T$1,[2]characters!$1:$1,0)-MATCH($A$1,[2]characters!$1:$1,0)+1,FALSE)</f>
        <v>ヘンゼル＆グレーテル</v>
      </c>
      <c r="U224" s="5">
        <f ca="1">IF(Q224="NULL","NULL",VLOOKUP(G224,ビット!$A$2:$B$7,2))</f>
        <v>50000</v>
      </c>
    </row>
    <row r="225" spans="1:23" ht="21" customHeight="1" x14ac:dyDescent="0.15">
      <c r="A225" s="83">
        <v>399</v>
      </c>
      <c r="B225" s="24" t="str">
        <f ca="1">VLOOKUP($A225,OFFSET([2]characters!$A$1,0,0,COUNTA([2]characters!$A:$A),MATCH(B$1,[2]characters!$1:$1,0)-MATCH($A$1,[2]characters!$1:$1,0)+1),MATCH(B$1,[2]characters!$1:$1,0)-MATCH($A$1,[2]characters!$1:$1,0)+1,FALSE)</f>
        <v>信愛の兄妹 ヘンゼル＆グレーテル</v>
      </c>
      <c r="C225" s="24" t="str">
        <f ca="1">VLOOKUP($A225,OFFSET([2]characters!$A$1,0,0,COUNTA([2]characters!$A:$A),MATCH(C$1,[2]characters!$1:$1,0)-MATCH($A$1,[2]characters!$1:$1,0)+1),MATCH(C$1,[2]characters!$1:$1,0)-MATCH($A$1,[2]characters!$1:$1,0)+1,FALSE)</f>
        <v>ガチャ:アリスの絵本01</v>
      </c>
      <c r="D225" s="24" t="str">
        <f ca="1">VLOOKUP($A225,OFFSET([2]characters!$A$1,0,0,COUNTA([2]characters!$A:$A),MATCH(D$1,[2]characters!$1:$1,0)-MATCH($A$1,[2]characters!$1:$1,0)+1),MATCH(D$1,[2]characters!$1:$1,0)-MATCH($A$1,[2]characters!$1:$1,0)+1,FALSE)</f>
        <v>執行者</v>
      </c>
      <c r="E225" s="24" t="str">
        <f ca="1">VLOOKUP($A225,OFFSET([2]characters!$A$1,0,0,COUNTA([2]characters!$A:$A),MATCH(E$1,[2]characters!$1:$1,0)-MATCH($A$1,[2]characters!$1:$1,0)+1),MATCH(E$1,[2]characters!$1:$1,0)-MATCH($A$1,[2]characters!$1:$1,0)+1,FALSE)</f>
        <v>格好いい</v>
      </c>
      <c r="F225" s="24" t="str">
        <f ca="1">VLOOKUP($A225,OFFSET([2]characters!$A$1,0,0,COUNTA([2]characters!$A:$A),MATCH(F$1,[2]characters!$1:$1,0)-MATCH($A$1,[2]characters!$1:$1,0)+1),MATCH(F$1,[2]characters!$1:$1,0)-MATCH($A$1,[2]characters!$1:$1,0)+1,FALSE)</f>
        <v>女性</v>
      </c>
      <c r="G225" s="24">
        <f ca="1">VLOOKUP($A225,OFFSET([2]characters!$A$1,0,0,COUNTA([2]characters!$A:$A),MATCH(G$1,[2]characters!$1:$1,0)-MATCH($A$1,[2]characters!$1:$1,0)+1),MATCH(G$1,[2]characters!$1:$1,0)-MATCH($A$1,[2]characters!$1:$1,0)+1,FALSE)</f>
        <v>5</v>
      </c>
      <c r="H225" s="24" t="str">
        <f ca="1">VLOOKUP($A225,OFFSET([2]characters!$A$1,0,0,COUNTA([2]characters!$A:$A),MATCH(H$1,[2]characters!$1:$1,0)-MATCH($A$1,[2]characters!$1:$1,0)+1),MATCH(H$1,[2]characters!$1:$1,0)-MATCH($A$1,[2]characters!$1:$1,0)+1,FALSE)</f>
        <v>PremiumSS</v>
      </c>
      <c r="I225" s="24" t="str">
        <f ca="1">VLOOKUP($A225,OFFSET([2]characters!$A$1,0,0,COUNTA([2]characters!$A:$A),MATCH(I$1,[2]characters!$1:$1,0)-MATCH($A$1,[2]characters!$1:$1,0)+1),MATCH(I$1,[2]characters!$1:$1,0)-MATCH($A$1,[2]characters!$1:$1,0)+1,FALSE)</f>
        <v>yellow</v>
      </c>
      <c r="J225" s="24" t="str">
        <f ca="1">VLOOKUP($A225,OFFSET([2]characters!$A$1,0,0,COUNTA([2]characters!$A:$A),MATCH(J$1,[2]characters!$1:$1,0)-MATCH($A$1,[2]characters!$1:$1,0)+1),MATCH(J$1,[2]characters!$1:$1,0)-MATCH($A$1,[2]characters!$1:$1,0)+1,FALSE)</f>
        <v>machine</v>
      </c>
      <c r="K225" s="3" t="str">
        <f ca="1">VLOOKUP(J225,[2]character_tribe_i18n!$A:$H,3,FALSE)</f>
        <v>マシン</v>
      </c>
      <c r="L225" s="5" t="e">
        <f>VLOOKUP(#REF!,[2]character_tribe_i18n!$A:$H,4,FALSE)</f>
        <v>#REF!</v>
      </c>
      <c r="M225" s="5" t="e">
        <f>VLOOKUP(#REF!,[2]character_tribe_i18n!$A:$H,5,FALSE)</f>
        <v>#REF!</v>
      </c>
      <c r="N225" s="5" t="e">
        <f>VLOOKUP(#REF!,[2]character_tribe_i18n!$A:$H,6,FALSE)</f>
        <v>#REF!</v>
      </c>
      <c r="O225" s="5" t="e">
        <f>VLOOKUP(#REF!,[2]character_tribe_i18n!$A:$H,7,FALSE)</f>
        <v>#REF!</v>
      </c>
      <c r="P225" s="83" t="s">
        <v>170</v>
      </c>
      <c r="Q225" s="4">
        <v>813</v>
      </c>
      <c r="R225" s="25" t="str">
        <f ca="1">IF(Q225="NULL","",VLOOKUP($Q225,OFFSET([2]characters!$A$1,0,0,COUNTA([2]characters!$A:$A),MATCH(R$1,[2]characters!$1:$1,0)-MATCH($A$1,[2]characters!$1:$1,0)+1),MATCH(R$1,[2]characters!$1:$1,0)-MATCH($A$1,[2]characters!$1:$1,0)+1,FALSE))</f>
        <v>絆の大冒険 ヘンゼル＆グレーテル</v>
      </c>
      <c r="S225" s="3">
        <f t="shared" ca="1" si="3"/>
        <v>398</v>
      </c>
      <c r="T225" s="25" t="str">
        <f ca="1">VLOOKUP($S225,OFFSET([2]characters!$A$1,0,0,COUNTA([2]characters!$A:$A),MATCH(T$1,[2]characters!$1:$1,0)-MATCH($A$1,[2]characters!$1:$1,0)+1),MATCH(T$1,[2]characters!$1:$1,0)-MATCH($A$1,[2]characters!$1:$1,0)+1,FALSE)</f>
        <v>ヘンゼル＆グレーテル</v>
      </c>
      <c r="U225" s="5">
        <f ca="1">IF(Q225="NULL","NULL",VLOOKUP(G225,ビット!$A$2:$B$7,2))</f>
        <v>200000</v>
      </c>
    </row>
    <row r="226" spans="1:23" ht="21" customHeight="1" x14ac:dyDescent="0.15">
      <c r="A226" s="83">
        <v>400</v>
      </c>
      <c r="B226" s="24" t="str">
        <f ca="1">VLOOKUP($A226,OFFSET([2]characters!$A$1,0,0,COUNTA([2]characters!$A:$A),MATCH(B$1,[2]characters!$1:$1,0)-MATCH($A$1,[2]characters!$1:$1,0)+1),MATCH(B$1,[2]characters!$1:$1,0)-MATCH($A$1,[2]characters!$1:$1,0)+1,FALSE)</f>
        <v>フェンリル</v>
      </c>
      <c r="C226" s="24" t="str">
        <f ca="1">VLOOKUP($A226,OFFSET([2]characters!$A$1,0,0,COUNTA([2]characters!$A:$A),MATCH(C$1,[2]characters!$1:$1,0)-MATCH($A$1,[2]characters!$1:$1,0)+1),MATCH(C$1,[2]characters!$1:$1,0)-MATCH($A$1,[2]characters!$1:$1,0)+1,FALSE)</f>
        <v>ガチャ:魔獣シリーズ02</v>
      </c>
      <c r="D226" s="24" t="str">
        <f ca="1">VLOOKUP($A226,OFFSET([2]characters!$A$1,0,0,COUNTA([2]characters!$A:$A),MATCH(D$1,[2]characters!$1:$1,0)-MATCH($A$1,[2]characters!$1:$1,0)+1),MATCH(D$1,[2]characters!$1:$1,0)-MATCH($A$1,[2]characters!$1:$1,0)+1,FALSE)</f>
        <v>執行者</v>
      </c>
      <c r="E226" s="24" t="str">
        <f ca="1">VLOOKUP($A226,OFFSET([2]characters!$A$1,0,0,COUNTA([2]characters!$A:$A),MATCH(E$1,[2]characters!$1:$1,0)-MATCH($A$1,[2]characters!$1:$1,0)+1),MATCH(E$1,[2]characters!$1:$1,0)-MATCH($A$1,[2]characters!$1:$1,0)+1,FALSE)</f>
        <v>格好いい</v>
      </c>
      <c r="F226" s="24" t="str">
        <f ca="1">VLOOKUP($A226,OFFSET([2]characters!$A$1,0,0,COUNTA([2]characters!$A:$A),MATCH(F$1,[2]characters!$1:$1,0)-MATCH($A$1,[2]characters!$1:$1,0)+1),MATCH(F$1,[2]characters!$1:$1,0)-MATCH($A$1,[2]characters!$1:$1,0)+1,FALSE)</f>
        <v>女性</v>
      </c>
      <c r="G226" s="24">
        <f ca="1">VLOOKUP($A226,OFFSET([2]characters!$A$1,0,0,COUNTA([2]characters!$A:$A),MATCH(G$1,[2]characters!$1:$1,0)-MATCH($A$1,[2]characters!$1:$1,0)+1),MATCH(G$1,[2]characters!$1:$1,0)-MATCH($A$1,[2]characters!$1:$1,0)+1,FALSE)</f>
        <v>3</v>
      </c>
      <c r="H226" s="24" t="str">
        <f ca="1">VLOOKUP($A226,OFFSET([2]characters!$A$1,0,0,COUNTA([2]characters!$A:$A),MATCH(H$1,[2]characters!$1:$1,0)-MATCH($A$1,[2]characters!$1:$1,0)+1),MATCH(H$1,[2]characters!$1:$1,0)-MATCH($A$1,[2]characters!$1:$1,0)+1,FALSE)</f>
        <v>PremiumS</v>
      </c>
      <c r="I226" s="24" t="str">
        <f ca="1">VLOOKUP($A226,OFFSET([2]characters!$A$1,0,0,COUNTA([2]characters!$A:$A),MATCH(I$1,[2]characters!$1:$1,0)-MATCH($A$1,[2]characters!$1:$1,0)+1),MATCH(I$1,[2]characters!$1:$1,0)-MATCH($A$1,[2]characters!$1:$1,0)+1,FALSE)</f>
        <v>red</v>
      </c>
      <c r="J226" s="24" t="str">
        <f ca="1">VLOOKUP($A226,OFFSET([2]characters!$A$1,0,0,COUNTA([2]characters!$A:$A),MATCH(J$1,[2]characters!$1:$1,0)-MATCH($A$1,[2]characters!$1:$1,0)+1),MATCH(J$1,[2]characters!$1:$1,0)-MATCH($A$1,[2]characters!$1:$1,0)+1,FALSE)</f>
        <v>none</v>
      </c>
      <c r="K226" s="3" t="str">
        <f ca="1">VLOOKUP(J226,[2]character_tribe_i18n!$A:$H,3,FALSE)</f>
        <v>種族なし</v>
      </c>
      <c r="L226" s="5" t="e">
        <f>VLOOKUP(#REF!,[2]character_tribe_i18n!$A:$H,4,FALSE)</f>
        <v>#REF!</v>
      </c>
      <c r="M226" s="5" t="e">
        <f>VLOOKUP(#REF!,[2]character_tribe_i18n!$A:$H,5,FALSE)</f>
        <v>#REF!</v>
      </c>
      <c r="N226" s="5" t="e">
        <f>VLOOKUP(#REF!,[2]character_tribe_i18n!$A:$H,6,FALSE)</f>
        <v>#REF!</v>
      </c>
      <c r="O226" s="5" t="e">
        <f>VLOOKUP(#REF!,[2]character_tribe_i18n!$A:$H,7,FALSE)</f>
        <v>#REF!</v>
      </c>
      <c r="P226" s="83" t="s">
        <v>170</v>
      </c>
      <c r="Q226" s="4">
        <v>401</v>
      </c>
      <c r="R226" s="25" t="str">
        <f ca="1">IF(Q226="NULL","",VLOOKUP($Q226,OFFSET([2]characters!$A$1,0,0,COUNTA([2]characters!$A:$A),MATCH(R$1,[2]characters!$1:$1,0)-MATCH($A$1,[2]characters!$1:$1,0)+1),MATCH(R$1,[2]characters!$1:$1,0)-MATCH($A$1,[2]characters!$1:$1,0)+1,FALSE))</f>
        <v>紅銀の孤狼 フェンリル</v>
      </c>
      <c r="S226" s="3">
        <f t="shared" ca="1" si="3"/>
        <v>400</v>
      </c>
      <c r="T226" s="25" t="str">
        <f ca="1">VLOOKUP($S226,OFFSET([2]characters!$A$1,0,0,COUNTA([2]characters!$A:$A),MATCH(T$1,[2]characters!$1:$1,0)-MATCH($A$1,[2]characters!$1:$1,0)+1),MATCH(T$1,[2]characters!$1:$1,0)-MATCH($A$1,[2]characters!$1:$1,0)+1,FALSE)</f>
        <v>フェンリル</v>
      </c>
      <c r="U226" s="5">
        <f ca="1">IF(Q226="NULL","NULL",VLOOKUP(G226,ビット!$A$2:$B$7,2))</f>
        <v>20000</v>
      </c>
    </row>
    <row r="227" spans="1:23" ht="21" customHeight="1" x14ac:dyDescent="0.15">
      <c r="A227" s="83">
        <v>401</v>
      </c>
      <c r="B227" s="24" t="str">
        <f ca="1">VLOOKUP($A227,OFFSET([2]characters!$A$1,0,0,COUNTA([2]characters!$A:$A),MATCH(B$1,[2]characters!$1:$1,0)-MATCH($A$1,[2]characters!$1:$1,0)+1),MATCH(B$1,[2]characters!$1:$1,0)-MATCH($A$1,[2]characters!$1:$1,0)+1,FALSE)</f>
        <v>紅銀の孤狼 フェンリル</v>
      </c>
      <c r="C227" s="24" t="str">
        <f ca="1">VLOOKUP($A227,OFFSET([2]characters!$A$1,0,0,COUNTA([2]characters!$A:$A),MATCH(C$1,[2]characters!$1:$1,0)-MATCH($A$1,[2]characters!$1:$1,0)+1),MATCH(C$1,[2]characters!$1:$1,0)-MATCH($A$1,[2]characters!$1:$1,0)+1,FALSE)</f>
        <v>ガチャ:魔獣シリーズ02</v>
      </c>
      <c r="D227" s="24" t="str">
        <f ca="1">VLOOKUP($A227,OFFSET([2]characters!$A$1,0,0,COUNTA([2]characters!$A:$A),MATCH(D$1,[2]characters!$1:$1,0)-MATCH($A$1,[2]characters!$1:$1,0)+1),MATCH(D$1,[2]characters!$1:$1,0)-MATCH($A$1,[2]characters!$1:$1,0)+1,FALSE)</f>
        <v>執行者</v>
      </c>
      <c r="E227" s="24" t="str">
        <f ca="1">VLOOKUP($A227,OFFSET([2]characters!$A$1,0,0,COUNTA([2]characters!$A:$A),MATCH(E$1,[2]characters!$1:$1,0)-MATCH($A$1,[2]characters!$1:$1,0)+1),MATCH(E$1,[2]characters!$1:$1,0)-MATCH($A$1,[2]characters!$1:$1,0)+1,FALSE)</f>
        <v>格好いい</v>
      </c>
      <c r="F227" s="24" t="str">
        <f ca="1">VLOOKUP($A227,OFFSET([2]characters!$A$1,0,0,COUNTA([2]characters!$A:$A),MATCH(F$1,[2]characters!$1:$1,0)-MATCH($A$1,[2]characters!$1:$1,0)+1),MATCH(F$1,[2]characters!$1:$1,0)-MATCH($A$1,[2]characters!$1:$1,0)+1,FALSE)</f>
        <v>女性</v>
      </c>
      <c r="G227" s="24">
        <f ca="1">VLOOKUP($A227,OFFSET([2]characters!$A$1,0,0,COUNTA([2]characters!$A:$A),MATCH(G$1,[2]characters!$1:$1,0)-MATCH($A$1,[2]characters!$1:$1,0)+1),MATCH(G$1,[2]characters!$1:$1,0)-MATCH($A$1,[2]characters!$1:$1,0)+1,FALSE)</f>
        <v>4</v>
      </c>
      <c r="H227" s="24" t="str">
        <f ca="1">VLOOKUP($A227,OFFSET([2]characters!$A$1,0,0,COUNTA([2]characters!$A:$A),MATCH(H$1,[2]characters!$1:$1,0)-MATCH($A$1,[2]characters!$1:$1,0)+1),MATCH(H$1,[2]characters!$1:$1,0)-MATCH($A$1,[2]characters!$1:$1,0)+1,FALSE)</f>
        <v>PremiumS</v>
      </c>
      <c r="I227" s="24" t="str">
        <f ca="1">VLOOKUP($A227,OFFSET([2]characters!$A$1,0,0,COUNTA([2]characters!$A:$A),MATCH(I$1,[2]characters!$1:$1,0)-MATCH($A$1,[2]characters!$1:$1,0)+1),MATCH(I$1,[2]characters!$1:$1,0)-MATCH($A$1,[2]characters!$1:$1,0)+1,FALSE)</f>
        <v>red</v>
      </c>
      <c r="J227" s="24" t="str">
        <f ca="1">VLOOKUP($A227,OFFSET([2]characters!$A$1,0,0,COUNTA([2]characters!$A:$A),MATCH(J$1,[2]characters!$1:$1,0)-MATCH($A$1,[2]characters!$1:$1,0)+1),MATCH(J$1,[2]characters!$1:$1,0)-MATCH($A$1,[2]characters!$1:$1,0)+1,FALSE)</f>
        <v>none</v>
      </c>
      <c r="K227" s="3" t="str">
        <f ca="1">VLOOKUP(J227,[2]character_tribe_i18n!$A:$H,3,FALSE)</f>
        <v>種族なし</v>
      </c>
      <c r="L227" s="5" t="e">
        <f>VLOOKUP(#REF!,[2]character_tribe_i18n!$A:$H,4,FALSE)</f>
        <v>#REF!</v>
      </c>
      <c r="M227" s="5" t="e">
        <f>VLOOKUP(#REF!,[2]character_tribe_i18n!$A:$H,5,FALSE)</f>
        <v>#REF!</v>
      </c>
      <c r="N227" s="5" t="e">
        <f>VLOOKUP(#REF!,[2]character_tribe_i18n!$A:$H,6,FALSE)</f>
        <v>#REF!</v>
      </c>
      <c r="O227" s="5" t="e">
        <f>VLOOKUP(#REF!,[2]character_tribe_i18n!$A:$H,7,FALSE)</f>
        <v>#REF!</v>
      </c>
      <c r="P227" s="83" t="s">
        <v>170</v>
      </c>
      <c r="Q227" s="4">
        <v>402</v>
      </c>
      <c r="R227" s="25" t="str">
        <f ca="1">IF(Q227="NULL","",VLOOKUP($Q227,OFFSET([2]characters!$A$1,0,0,COUNTA([2]characters!$A:$A),MATCH(R$1,[2]characters!$1:$1,0)-MATCH($A$1,[2]characters!$1:$1,0)+1),MATCH(R$1,[2]characters!$1:$1,0)-MATCH($A$1,[2]characters!$1:$1,0)+1,FALSE))</f>
        <v>天災の神狼 フェンリル</v>
      </c>
      <c r="S227" s="3">
        <f t="shared" ca="1" si="3"/>
        <v>400</v>
      </c>
      <c r="T227" s="25" t="str">
        <f ca="1">VLOOKUP($S227,OFFSET([2]characters!$A$1,0,0,COUNTA([2]characters!$A:$A),MATCH(T$1,[2]characters!$1:$1,0)-MATCH($A$1,[2]characters!$1:$1,0)+1),MATCH(T$1,[2]characters!$1:$1,0)-MATCH($A$1,[2]characters!$1:$1,0)+1,FALSE)</f>
        <v>フェンリル</v>
      </c>
      <c r="U227" s="5">
        <f ca="1">IF(Q227="NULL","NULL",VLOOKUP(G227,ビット!$A$2:$B$7,2))</f>
        <v>50000</v>
      </c>
    </row>
    <row r="228" spans="1:23" ht="21" customHeight="1" x14ac:dyDescent="0.15">
      <c r="A228" s="83">
        <v>403</v>
      </c>
      <c r="B228" s="24" t="str">
        <f ca="1">VLOOKUP($A228,OFFSET([2]characters!$A$1,0,0,COUNTA([2]characters!$A:$A),MATCH(B$1,[2]characters!$1:$1,0)-MATCH($A$1,[2]characters!$1:$1,0)+1),MATCH(B$1,[2]characters!$1:$1,0)-MATCH($A$1,[2]characters!$1:$1,0)+1,FALSE)</f>
        <v>静撃の翠眼 八咫烏</v>
      </c>
      <c r="C228" s="24" t="str">
        <f ca="1">VLOOKUP($A228,OFFSET([2]characters!$A$1,0,0,COUNTA([2]characters!$A:$A),MATCH(C$1,[2]characters!$1:$1,0)-MATCH($A$1,[2]characters!$1:$1,0)+1),MATCH(C$1,[2]characters!$1:$1,0)-MATCH($A$1,[2]characters!$1:$1,0)+1,FALSE)</f>
        <v>ガチャ:魔獣シリーズ02</v>
      </c>
      <c r="D228" s="24" t="str">
        <f ca="1">VLOOKUP($A228,OFFSET([2]characters!$A$1,0,0,COUNTA([2]characters!$A:$A),MATCH(D$1,[2]characters!$1:$1,0)-MATCH($A$1,[2]characters!$1:$1,0)+1),MATCH(D$1,[2]characters!$1:$1,0)-MATCH($A$1,[2]characters!$1:$1,0)+1,FALSE)</f>
        <v>執行者</v>
      </c>
      <c r="E228" s="24" t="str">
        <f ca="1">VLOOKUP($A228,OFFSET([2]characters!$A$1,0,0,COUNTA([2]characters!$A:$A),MATCH(E$1,[2]characters!$1:$1,0)-MATCH($A$1,[2]characters!$1:$1,0)+1),MATCH(E$1,[2]characters!$1:$1,0)-MATCH($A$1,[2]characters!$1:$1,0)+1,FALSE)</f>
        <v>格好いい</v>
      </c>
      <c r="F228" s="24" t="str">
        <f ca="1">VLOOKUP($A228,OFFSET([2]characters!$A$1,0,0,COUNTA([2]characters!$A:$A),MATCH(F$1,[2]characters!$1:$1,0)-MATCH($A$1,[2]characters!$1:$1,0)+1),MATCH(F$1,[2]characters!$1:$1,0)-MATCH($A$1,[2]characters!$1:$1,0)+1,FALSE)</f>
        <v>女性</v>
      </c>
      <c r="G228" s="24">
        <f ca="1">VLOOKUP($A228,OFFSET([2]characters!$A$1,0,0,COUNTA([2]characters!$A:$A),MATCH(G$1,[2]characters!$1:$1,0)-MATCH($A$1,[2]characters!$1:$1,0)+1),MATCH(G$1,[2]characters!$1:$1,0)-MATCH($A$1,[2]characters!$1:$1,0)+1,FALSE)</f>
        <v>4</v>
      </c>
      <c r="H228" s="24" t="str">
        <f ca="1">VLOOKUP($A228,OFFSET([2]characters!$A$1,0,0,COUNTA([2]characters!$A:$A),MATCH(H$1,[2]characters!$1:$1,0)-MATCH($A$1,[2]characters!$1:$1,0)+1),MATCH(H$1,[2]characters!$1:$1,0)-MATCH($A$1,[2]characters!$1:$1,0)+1,FALSE)</f>
        <v>PremiumSS</v>
      </c>
      <c r="I228" s="24" t="str">
        <f ca="1">VLOOKUP($A228,OFFSET([2]characters!$A$1,0,0,COUNTA([2]characters!$A:$A),MATCH(I$1,[2]characters!$1:$1,0)-MATCH($A$1,[2]characters!$1:$1,0)+1),MATCH(I$1,[2]characters!$1:$1,0)-MATCH($A$1,[2]characters!$1:$1,0)+1,FALSE)</f>
        <v>green</v>
      </c>
      <c r="J228" s="24" t="str">
        <f ca="1">VLOOKUP($A228,OFFSET([2]characters!$A$1,0,0,COUNTA([2]characters!$A:$A),MATCH(J$1,[2]characters!$1:$1,0)-MATCH($A$1,[2]characters!$1:$1,0)+1),MATCH(J$1,[2]characters!$1:$1,0)-MATCH($A$1,[2]characters!$1:$1,0)+1,FALSE)</f>
        <v>none</v>
      </c>
      <c r="K228" s="3" t="str">
        <f ca="1">VLOOKUP(J228,[2]character_tribe_i18n!$A:$H,3,FALSE)</f>
        <v>種族なし</v>
      </c>
      <c r="L228" s="5" t="e">
        <f>VLOOKUP(#REF!,[2]character_tribe_i18n!$A:$H,4,FALSE)</f>
        <v>#REF!</v>
      </c>
      <c r="M228" s="5" t="e">
        <f>VLOOKUP(#REF!,[2]character_tribe_i18n!$A:$H,5,FALSE)</f>
        <v>#REF!</v>
      </c>
      <c r="N228" s="5" t="e">
        <f>VLOOKUP(#REF!,[2]character_tribe_i18n!$A:$H,6,FALSE)</f>
        <v>#REF!</v>
      </c>
      <c r="O228" s="5" t="e">
        <f>VLOOKUP(#REF!,[2]character_tribe_i18n!$A:$H,7,FALSE)</f>
        <v>#REF!</v>
      </c>
      <c r="P228" s="83" t="s">
        <v>170</v>
      </c>
      <c r="Q228" s="4">
        <v>404</v>
      </c>
      <c r="R228" s="25" t="str">
        <f ca="1">IF(Q228="NULL","",VLOOKUP($Q228,OFFSET([2]characters!$A$1,0,0,COUNTA([2]characters!$A:$A),MATCH(R$1,[2]characters!$1:$1,0)-MATCH($A$1,[2]characters!$1:$1,0)+1),MATCH(R$1,[2]characters!$1:$1,0)-MATCH($A$1,[2]characters!$1:$1,0)+1,FALSE))</f>
        <v>空襲の神眼 八咫烏</v>
      </c>
      <c r="S228" s="3">
        <f t="shared" ca="1" si="3"/>
        <v>403</v>
      </c>
      <c r="T228" s="25" t="str">
        <f ca="1">VLOOKUP($S228,OFFSET([2]characters!$A$1,0,0,COUNTA([2]characters!$A:$A),MATCH(T$1,[2]characters!$1:$1,0)-MATCH($A$1,[2]characters!$1:$1,0)+1),MATCH(T$1,[2]characters!$1:$1,0)-MATCH($A$1,[2]characters!$1:$1,0)+1,FALSE)</f>
        <v>静撃の翠眼 八咫烏</v>
      </c>
      <c r="U228" s="5">
        <f ca="1">IF(Q228="NULL","NULL",VLOOKUP(G228,ビット!$A$2:$B$7,2))</f>
        <v>50000</v>
      </c>
    </row>
    <row r="229" spans="1:23" ht="21" customHeight="1" x14ac:dyDescent="0.15">
      <c r="A229" s="83">
        <v>404</v>
      </c>
      <c r="B229" s="24" t="str">
        <f ca="1">VLOOKUP($A229,OFFSET([2]characters!$A$1,0,0,COUNTA([2]characters!$A:$A),MATCH(B$1,[2]characters!$1:$1,0)-MATCH($A$1,[2]characters!$1:$1,0)+1),MATCH(B$1,[2]characters!$1:$1,0)-MATCH($A$1,[2]characters!$1:$1,0)+1,FALSE)</f>
        <v>空襲の神眼 八咫烏</v>
      </c>
      <c r="C229" s="24" t="str">
        <f ca="1">VLOOKUP($A229,OFFSET([2]characters!$A$1,0,0,COUNTA([2]characters!$A:$A),MATCH(C$1,[2]characters!$1:$1,0)-MATCH($A$1,[2]characters!$1:$1,0)+1),MATCH(C$1,[2]characters!$1:$1,0)-MATCH($A$1,[2]characters!$1:$1,0)+1,FALSE)</f>
        <v>ガチャ:魔獣シリーズ02</v>
      </c>
      <c r="D229" s="24" t="str">
        <f ca="1">VLOOKUP($A229,OFFSET([2]characters!$A$1,0,0,COUNTA([2]characters!$A:$A),MATCH(D$1,[2]characters!$1:$1,0)-MATCH($A$1,[2]characters!$1:$1,0)+1),MATCH(D$1,[2]characters!$1:$1,0)-MATCH($A$1,[2]characters!$1:$1,0)+1,FALSE)</f>
        <v>執行者</v>
      </c>
      <c r="E229" s="24" t="str">
        <f ca="1">VLOOKUP($A229,OFFSET([2]characters!$A$1,0,0,COUNTA([2]characters!$A:$A),MATCH(E$1,[2]characters!$1:$1,0)-MATCH($A$1,[2]characters!$1:$1,0)+1),MATCH(E$1,[2]characters!$1:$1,0)-MATCH($A$1,[2]characters!$1:$1,0)+1,FALSE)</f>
        <v>格好いい</v>
      </c>
      <c r="F229" s="24" t="str">
        <f ca="1">VLOOKUP($A229,OFFSET([2]characters!$A$1,0,0,COUNTA([2]characters!$A:$A),MATCH(F$1,[2]characters!$1:$1,0)-MATCH($A$1,[2]characters!$1:$1,0)+1),MATCH(F$1,[2]characters!$1:$1,0)-MATCH($A$1,[2]characters!$1:$1,0)+1,FALSE)</f>
        <v>女性</v>
      </c>
      <c r="G229" s="24">
        <f ca="1">VLOOKUP($A229,OFFSET([2]characters!$A$1,0,0,COUNTA([2]characters!$A:$A),MATCH(G$1,[2]characters!$1:$1,0)-MATCH($A$1,[2]characters!$1:$1,0)+1),MATCH(G$1,[2]characters!$1:$1,0)-MATCH($A$1,[2]characters!$1:$1,0)+1,FALSE)</f>
        <v>5</v>
      </c>
      <c r="H229" s="24" t="str">
        <f ca="1">VLOOKUP($A229,OFFSET([2]characters!$A$1,0,0,COUNTA([2]characters!$A:$A),MATCH(H$1,[2]characters!$1:$1,0)-MATCH($A$1,[2]characters!$1:$1,0)+1),MATCH(H$1,[2]characters!$1:$1,0)-MATCH($A$1,[2]characters!$1:$1,0)+1,FALSE)</f>
        <v>PremiumSS</v>
      </c>
      <c r="I229" s="24" t="str">
        <f ca="1">VLOOKUP($A229,OFFSET([2]characters!$A$1,0,0,COUNTA([2]characters!$A:$A),MATCH(I$1,[2]characters!$1:$1,0)-MATCH($A$1,[2]characters!$1:$1,0)+1),MATCH(I$1,[2]characters!$1:$1,0)-MATCH($A$1,[2]characters!$1:$1,0)+1,FALSE)</f>
        <v>green</v>
      </c>
      <c r="J229" s="24" t="str">
        <f ca="1">VLOOKUP($A229,OFFSET([2]characters!$A$1,0,0,COUNTA([2]characters!$A:$A),MATCH(J$1,[2]characters!$1:$1,0)-MATCH($A$1,[2]characters!$1:$1,0)+1),MATCH(J$1,[2]characters!$1:$1,0)-MATCH($A$1,[2]characters!$1:$1,0)+1,FALSE)</f>
        <v>none</v>
      </c>
      <c r="K229" s="3" t="str">
        <f ca="1">VLOOKUP(J229,[2]character_tribe_i18n!$A:$H,3,FALSE)</f>
        <v>種族なし</v>
      </c>
      <c r="L229" s="5" t="e">
        <f>VLOOKUP(#REF!,[2]character_tribe_i18n!$A:$H,4,FALSE)</f>
        <v>#REF!</v>
      </c>
      <c r="M229" s="5" t="e">
        <f>VLOOKUP(#REF!,[2]character_tribe_i18n!$A:$H,5,FALSE)</f>
        <v>#REF!</v>
      </c>
      <c r="N229" s="5" t="e">
        <f>VLOOKUP(#REF!,[2]character_tribe_i18n!$A:$H,6,FALSE)</f>
        <v>#REF!</v>
      </c>
      <c r="O229" s="5" t="e">
        <f>VLOOKUP(#REF!,[2]character_tribe_i18n!$A:$H,7,FALSE)</f>
        <v>#REF!</v>
      </c>
      <c r="P229" s="83" t="s">
        <v>170</v>
      </c>
      <c r="Q229" s="4">
        <v>815</v>
      </c>
      <c r="R229" s="25" t="str">
        <f ca="1">IF(Q229="NULL","",VLOOKUP($Q229,OFFSET([2]characters!$A$1,0,0,COUNTA([2]characters!$A:$A),MATCH(R$1,[2]characters!$1:$1,0)-MATCH($A$1,[2]characters!$1:$1,0)+1),MATCH(R$1,[2]characters!$1:$1,0)-MATCH($A$1,[2]characters!$1:$1,0)+1,FALSE))</f>
        <v>解砲の鴉眼 八咫烏</v>
      </c>
      <c r="S229" s="3">
        <f t="shared" ca="1" si="3"/>
        <v>403</v>
      </c>
      <c r="T229" s="25" t="str">
        <f ca="1">VLOOKUP($S229,OFFSET([2]characters!$A$1,0,0,COUNTA([2]characters!$A:$A),MATCH(T$1,[2]characters!$1:$1,0)-MATCH($A$1,[2]characters!$1:$1,0)+1),MATCH(T$1,[2]characters!$1:$1,0)-MATCH($A$1,[2]characters!$1:$1,0)+1,FALSE)</f>
        <v>静撃の翠眼 八咫烏</v>
      </c>
      <c r="U229" s="5">
        <f ca="1">IF(Q229="NULL","NULL",VLOOKUP(G229,ビット!$A$2:$B$7,2))</f>
        <v>200000</v>
      </c>
    </row>
    <row r="230" spans="1:23" ht="21" customHeight="1" x14ac:dyDescent="0.15">
      <c r="A230" s="83">
        <v>405</v>
      </c>
      <c r="B230" s="24" t="str">
        <f ca="1">VLOOKUP($A230,OFFSET([2]characters!$A$1,0,0,COUNTA([2]characters!$A:$A),MATCH(B$1,[2]characters!$1:$1,0)-MATCH($A$1,[2]characters!$1:$1,0)+1),MATCH(B$1,[2]characters!$1:$1,0)-MATCH($A$1,[2]characters!$1:$1,0)+1,FALSE)</f>
        <v>エキドナ</v>
      </c>
      <c r="C230" s="24" t="str">
        <f ca="1">VLOOKUP($A230,OFFSET([2]characters!$A$1,0,0,COUNTA([2]characters!$A:$A),MATCH(C$1,[2]characters!$1:$1,0)-MATCH($A$1,[2]characters!$1:$1,0)+1),MATCH(C$1,[2]characters!$1:$1,0)-MATCH($A$1,[2]characters!$1:$1,0)+1,FALSE)</f>
        <v>ガチャ:魔獣シリーズ02</v>
      </c>
      <c r="D230" s="24" t="str">
        <f ca="1">VLOOKUP($A230,OFFSET([2]characters!$A$1,0,0,COUNTA([2]characters!$A:$A),MATCH(D$1,[2]characters!$1:$1,0)-MATCH($A$1,[2]characters!$1:$1,0)+1),MATCH(D$1,[2]characters!$1:$1,0)-MATCH($A$1,[2]characters!$1:$1,0)+1,FALSE)</f>
        <v>執行者</v>
      </c>
      <c r="E230" s="24" t="str">
        <f ca="1">VLOOKUP($A230,OFFSET([2]characters!$A$1,0,0,COUNTA([2]characters!$A:$A),MATCH(E$1,[2]characters!$1:$1,0)-MATCH($A$1,[2]characters!$1:$1,0)+1),MATCH(E$1,[2]characters!$1:$1,0)-MATCH($A$1,[2]characters!$1:$1,0)+1,FALSE)</f>
        <v>格好いい</v>
      </c>
      <c r="F230" s="24" t="str">
        <f ca="1">VLOOKUP($A230,OFFSET([2]characters!$A$1,0,0,COUNTA([2]characters!$A:$A),MATCH(F$1,[2]characters!$1:$1,0)-MATCH($A$1,[2]characters!$1:$1,0)+1),MATCH(F$1,[2]characters!$1:$1,0)-MATCH($A$1,[2]characters!$1:$1,0)+1,FALSE)</f>
        <v>女性</v>
      </c>
      <c r="G230" s="24">
        <f ca="1">VLOOKUP($A230,OFFSET([2]characters!$A$1,0,0,COUNTA([2]characters!$A:$A),MATCH(G$1,[2]characters!$1:$1,0)-MATCH($A$1,[2]characters!$1:$1,0)+1),MATCH(G$1,[2]characters!$1:$1,0)-MATCH($A$1,[2]characters!$1:$1,0)+1,FALSE)</f>
        <v>3</v>
      </c>
      <c r="H230" s="24" t="str">
        <f ca="1">VLOOKUP($A230,OFFSET([2]characters!$A$1,0,0,COUNTA([2]characters!$A:$A),MATCH(H$1,[2]characters!$1:$1,0)-MATCH($A$1,[2]characters!$1:$1,0)+1),MATCH(H$1,[2]characters!$1:$1,0)-MATCH($A$1,[2]characters!$1:$1,0)+1,FALSE)</f>
        <v>PremiumS</v>
      </c>
      <c r="I230" s="24" t="str">
        <f ca="1">VLOOKUP($A230,OFFSET([2]characters!$A$1,0,0,COUNTA([2]characters!$A:$A),MATCH(I$1,[2]characters!$1:$1,0)-MATCH($A$1,[2]characters!$1:$1,0)+1),MATCH(I$1,[2]characters!$1:$1,0)-MATCH($A$1,[2]characters!$1:$1,0)+1,FALSE)</f>
        <v>blue</v>
      </c>
      <c r="J230" s="24" t="str">
        <f ca="1">VLOOKUP($A230,OFFSET([2]characters!$A$1,0,0,COUNTA([2]characters!$A:$A),MATCH(J$1,[2]characters!$1:$1,0)-MATCH($A$1,[2]characters!$1:$1,0)+1),MATCH(J$1,[2]characters!$1:$1,0)-MATCH($A$1,[2]characters!$1:$1,0)+1,FALSE)</f>
        <v>none</v>
      </c>
      <c r="K230" s="3" t="str">
        <f ca="1">VLOOKUP(J230,[2]character_tribe_i18n!$A:$H,3,FALSE)</f>
        <v>種族なし</v>
      </c>
      <c r="L230" s="5" t="e">
        <f>VLOOKUP(#REF!,[2]character_tribe_i18n!$A:$H,4,FALSE)</f>
        <v>#REF!</v>
      </c>
      <c r="M230" s="5" t="e">
        <f>VLOOKUP(#REF!,[2]character_tribe_i18n!$A:$H,5,FALSE)</f>
        <v>#REF!</v>
      </c>
      <c r="N230" s="5" t="e">
        <f>VLOOKUP(#REF!,[2]character_tribe_i18n!$A:$H,6,FALSE)</f>
        <v>#REF!</v>
      </c>
      <c r="O230" s="5" t="e">
        <f>VLOOKUP(#REF!,[2]character_tribe_i18n!$A:$H,7,FALSE)</f>
        <v>#REF!</v>
      </c>
      <c r="P230" s="83" t="s">
        <v>170</v>
      </c>
      <c r="Q230" s="4">
        <v>406</v>
      </c>
      <c r="R230" s="25" t="str">
        <f ca="1">IF(Q230="NULL","",VLOOKUP($Q230,OFFSET([2]characters!$A$1,0,0,COUNTA([2]characters!$A:$A),MATCH(R$1,[2]characters!$1:$1,0)-MATCH($A$1,[2]characters!$1:$1,0)+1),MATCH(R$1,[2]characters!$1:$1,0)-MATCH($A$1,[2]characters!$1:$1,0)+1,FALSE))</f>
        <v>美笑の蒼蛇 エキドナ</v>
      </c>
      <c r="S230" s="3">
        <f t="shared" ca="1" si="3"/>
        <v>405</v>
      </c>
      <c r="T230" s="25" t="str">
        <f ca="1">VLOOKUP($S230,OFFSET([2]characters!$A$1,0,0,COUNTA([2]characters!$A:$A),MATCH(T$1,[2]characters!$1:$1,0)-MATCH($A$1,[2]characters!$1:$1,0)+1),MATCH(T$1,[2]characters!$1:$1,0)-MATCH($A$1,[2]characters!$1:$1,0)+1,FALSE)</f>
        <v>エキドナ</v>
      </c>
      <c r="U230" s="5">
        <f ca="1">IF(Q230="NULL","NULL",VLOOKUP(G230,ビット!$A$2:$B$7,2))</f>
        <v>20000</v>
      </c>
    </row>
    <row r="231" spans="1:23" ht="21" customHeight="1" x14ac:dyDescent="0.15">
      <c r="A231" s="83">
        <v>406</v>
      </c>
      <c r="B231" s="24" t="str">
        <f ca="1">VLOOKUP($A231,OFFSET([2]characters!$A$1,0,0,COUNTA([2]characters!$A:$A),MATCH(B$1,[2]characters!$1:$1,0)-MATCH($A$1,[2]characters!$1:$1,0)+1),MATCH(B$1,[2]characters!$1:$1,0)-MATCH($A$1,[2]characters!$1:$1,0)+1,FALSE)</f>
        <v>美笑の蒼蛇 エキドナ</v>
      </c>
      <c r="C231" s="24" t="str">
        <f ca="1">VLOOKUP($A231,OFFSET([2]characters!$A$1,0,0,COUNTA([2]characters!$A:$A),MATCH(C$1,[2]characters!$1:$1,0)-MATCH($A$1,[2]characters!$1:$1,0)+1),MATCH(C$1,[2]characters!$1:$1,0)-MATCH($A$1,[2]characters!$1:$1,0)+1,FALSE)</f>
        <v>ガチャ:魔獣シリーズ02</v>
      </c>
      <c r="D231" s="24" t="str">
        <f ca="1">VLOOKUP($A231,OFFSET([2]characters!$A$1,0,0,COUNTA([2]characters!$A:$A),MATCH(D$1,[2]characters!$1:$1,0)-MATCH($A$1,[2]characters!$1:$1,0)+1),MATCH(D$1,[2]characters!$1:$1,0)-MATCH($A$1,[2]characters!$1:$1,0)+1,FALSE)</f>
        <v>執行者</v>
      </c>
      <c r="E231" s="24" t="str">
        <f ca="1">VLOOKUP($A231,OFFSET([2]characters!$A$1,0,0,COUNTA([2]characters!$A:$A),MATCH(E$1,[2]characters!$1:$1,0)-MATCH($A$1,[2]characters!$1:$1,0)+1),MATCH(E$1,[2]characters!$1:$1,0)-MATCH($A$1,[2]characters!$1:$1,0)+1,FALSE)</f>
        <v>格好いい</v>
      </c>
      <c r="F231" s="24" t="str">
        <f ca="1">VLOOKUP($A231,OFFSET([2]characters!$A$1,0,0,COUNTA([2]characters!$A:$A),MATCH(F$1,[2]characters!$1:$1,0)-MATCH($A$1,[2]characters!$1:$1,0)+1),MATCH(F$1,[2]characters!$1:$1,0)-MATCH($A$1,[2]characters!$1:$1,0)+1,FALSE)</f>
        <v>女性</v>
      </c>
      <c r="G231" s="24">
        <f ca="1">VLOOKUP($A231,OFFSET([2]characters!$A$1,0,0,COUNTA([2]characters!$A:$A),MATCH(G$1,[2]characters!$1:$1,0)-MATCH($A$1,[2]characters!$1:$1,0)+1),MATCH(G$1,[2]characters!$1:$1,0)-MATCH($A$1,[2]characters!$1:$1,0)+1,FALSE)</f>
        <v>4</v>
      </c>
      <c r="H231" s="24" t="str">
        <f ca="1">VLOOKUP($A231,OFFSET([2]characters!$A$1,0,0,COUNTA([2]characters!$A:$A),MATCH(H$1,[2]characters!$1:$1,0)-MATCH($A$1,[2]characters!$1:$1,0)+1),MATCH(H$1,[2]characters!$1:$1,0)-MATCH($A$1,[2]characters!$1:$1,0)+1,FALSE)</f>
        <v>PremiumS</v>
      </c>
      <c r="I231" s="24" t="str">
        <f ca="1">VLOOKUP($A231,OFFSET([2]characters!$A$1,0,0,COUNTA([2]characters!$A:$A),MATCH(I$1,[2]characters!$1:$1,0)-MATCH($A$1,[2]characters!$1:$1,0)+1),MATCH(I$1,[2]characters!$1:$1,0)-MATCH($A$1,[2]characters!$1:$1,0)+1,FALSE)</f>
        <v>blue</v>
      </c>
      <c r="J231" s="24" t="str">
        <f ca="1">VLOOKUP($A231,OFFSET([2]characters!$A$1,0,0,COUNTA([2]characters!$A:$A),MATCH(J$1,[2]characters!$1:$1,0)-MATCH($A$1,[2]characters!$1:$1,0)+1),MATCH(J$1,[2]characters!$1:$1,0)-MATCH($A$1,[2]characters!$1:$1,0)+1,FALSE)</f>
        <v>none</v>
      </c>
      <c r="K231" s="3" t="str">
        <f ca="1">VLOOKUP(J231,[2]character_tribe_i18n!$A:$H,3,FALSE)</f>
        <v>種族なし</v>
      </c>
      <c r="L231" s="5" t="e">
        <f>VLOOKUP(#REF!,[2]character_tribe_i18n!$A:$H,4,FALSE)</f>
        <v>#REF!</v>
      </c>
      <c r="M231" s="5" t="e">
        <f>VLOOKUP(#REF!,[2]character_tribe_i18n!$A:$H,5,FALSE)</f>
        <v>#REF!</v>
      </c>
      <c r="N231" s="5" t="e">
        <f>VLOOKUP(#REF!,[2]character_tribe_i18n!$A:$H,6,FALSE)</f>
        <v>#REF!</v>
      </c>
      <c r="O231" s="5" t="e">
        <f>VLOOKUP(#REF!,[2]character_tribe_i18n!$A:$H,7,FALSE)</f>
        <v>#REF!</v>
      </c>
      <c r="P231" s="83" t="s">
        <v>170</v>
      </c>
      <c r="Q231" s="4">
        <v>407</v>
      </c>
      <c r="R231" s="25" t="str">
        <f ca="1">IF(Q231="NULL","",VLOOKUP($Q231,OFFSET([2]characters!$A$1,0,0,COUNTA([2]characters!$A:$A),MATCH(R$1,[2]characters!$1:$1,0)-MATCH($A$1,[2]characters!$1:$1,0)+1),MATCH(R$1,[2]characters!$1:$1,0)-MATCH($A$1,[2]characters!$1:$1,0)+1,FALSE))</f>
        <v>蠱惑の飛刀 エキドナ</v>
      </c>
      <c r="S231" s="3">
        <f t="shared" ca="1" si="3"/>
        <v>405</v>
      </c>
      <c r="T231" s="25" t="str">
        <f ca="1">VLOOKUP($S231,OFFSET([2]characters!$A$1,0,0,COUNTA([2]characters!$A:$A),MATCH(T$1,[2]characters!$1:$1,0)-MATCH($A$1,[2]characters!$1:$1,0)+1),MATCH(T$1,[2]characters!$1:$1,0)-MATCH($A$1,[2]characters!$1:$1,0)+1,FALSE)</f>
        <v>エキドナ</v>
      </c>
      <c r="U231" s="5">
        <f ca="1">IF(Q231="NULL","NULL",VLOOKUP(G231,ビット!$A$2:$B$7,2))</f>
        <v>50000</v>
      </c>
    </row>
    <row r="232" spans="1:23" ht="21" customHeight="1" x14ac:dyDescent="0.15">
      <c r="A232" s="83">
        <v>408</v>
      </c>
      <c r="B232" s="24" t="str">
        <f ca="1">VLOOKUP($A232,OFFSET([2]characters!$A$1,0,0,COUNTA([2]characters!$A:$A),MATCH(B$1,[2]characters!$1:$1,0)-MATCH($A$1,[2]characters!$1:$1,0)+1),MATCH(B$1,[2]characters!$1:$1,0)-MATCH($A$1,[2]characters!$1:$1,0)+1,FALSE)</f>
        <v>皇魔 アスタロト</v>
      </c>
      <c r="C232" s="24" t="str">
        <f ca="1">VLOOKUP($A232,OFFSET([2]characters!$A$1,0,0,COUNTA([2]characters!$A:$A),MATCH(C$1,[2]characters!$1:$1,0)-MATCH($A$1,[2]characters!$1:$1,0)+1),MATCH(C$1,[2]characters!$1:$1,0)-MATCH($A$1,[2]characters!$1:$1,0)+1,FALSE)</f>
        <v>ガチャ:魔獣シリーズ02</v>
      </c>
      <c r="D232" s="24" t="str">
        <f ca="1">VLOOKUP($A232,OFFSET([2]characters!$A$1,0,0,COUNTA([2]characters!$A:$A),MATCH(D$1,[2]characters!$1:$1,0)-MATCH($A$1,[2]characters!$1:$1,0)+1),MATCH(D$1,[2]characters!$1:$1,0)-MATCH($A$1,[2]characters!$1:$1,0)+1,FALSE)</f>
        <v>執行者</v>
      </c>
      <c r="E232" s="24" t="str">
        <f ca="1">VLOOKUP($A232,OFFSET([2]characters!$A$1,0,0,COUNTA([2]characters!$A:$A),MATCH(E$1,[2]characters!$1:$1,0)-MATCH($A$1,[2]characters!$1:$1,0)+1),MATCH(E$1,[2]characters!$1:$1,0)-MATCH($A$1,[2]characters!$1:$1,0)+1,FALSE)</f>
        <v>格好いい</v>
      </c>
      <c r="F232" s="24" t="str">
        <f ca="1">VLOOKUP($A232,OFFSET([2]characters!$A$1,0,0,COUNTA([2]characters!$A:$A),MATCH(F$1,[2]characters!$1:$1,0)-MATCH($A$1,[2]characters!$1:$1,0)+1),MATCH(F$1,[2]characters!$1:$1,0)-MATCH($A$1,[2]characters!$1:$1,0)+1,FALSE)</f>
        <v>男性</v>
      </c>
      <c r="G232" s="24">
        <f ca="1">VLOOKUP($A232,OFFSET([2]characters!$A$1,0,0,COUNTA([2]characters!$A:$A),MATCH(G$1,[2]characters!$1:$1,0)-MATCH($A$1,[2]characters!$1:$1,0)+1),MATCH(G$1,[2]characters!$1:$1,0)-MATCH($A$1,[2]characters!$1:$1,0)+1,FALSE)</f>
        <v>4</v>
      </c>
      <c r="H232" s="24" t="str">
        <f ca="1">VLOOKUP($A232,OFFSET([2]characters!$A$1,0,0,COUNTA([2]characters!$A:$A),MATCH(H$1,[2]characters!$1:$1,0)-MATCH($A$1,[2]characters!$1:$1,0)+1),MATCH(H$1,[2]characters!$1:$1,0)-MATCH($A$1,[2]characters!$1:$1,0)+1,FALSE)</f>
        <v>PremiumSS</v>
      </c>
      <c r="I232" s="24" t="str">
        <f ca="1">VLOOKUP($A232,OFFSET([2]characters!$A$1,0,0,COUNTA([2]characters!$A:$A),MATCH(I$1,[2]characters!$1:$1,0)-MATCH($A$1,[2]characters!$1:$1,0)+1),MATCH(I$1,[2]characters!$1:$1,0)-MATCH($A$1,[2]characters!$1:$1,0)+1,FALSE)</f>
        <v>yellow</v>
      </c>
      <c r="J232" s="24" t="str">
        <f ca="1">VLOOKUP($A232,OFFSET([2]characters!$A$1,0,0,COUNTA([2]characters!$A:$A),MATCH(J$1,[2]characters!$1:$1,0)-MATCH($A$1,[2]characters!$1:$1,0)+1),MATCH(J$1,[2]characters!$1:$1,0)-MATCH($A$1,[2]characters!$1:$1,0)+1,FALSE)</f>
        <v>none</v>
      </c>
      <c r="K232" s="3" t="str">
        <f ca="1">VLOOKUP(J232,[2]character_tribe_i18n!$A:$H,3,FALSE)</f>
        <v>種族なし</v>
      </c>
      <c r="L232" s="5" t="e">
        <f>VLOOKUP(#REF!,[2]character_tribe_i18n!$A:$H,4,FALSE)</f>
        <v>#REF!</v>
      </c>
      <c r="M232" s="5" t="e">
        <f>VLOOKUP(#REF!,[2]character_tribe_i18n!$A:$H,5,FALSE)</f>
        <v>#REF!</v>
      </c>
      <c r="N232" s="5" t="e">
        <f>VLOOKUP(#REF!,[2]character_tribe_i18n!$A:$H,6,FALSE)</f>
        <v>#REF!</v>
      </c>
      <c r="O232" s="5" t="e">
        <f>VLOOKUP(#REF!,[2]character_tribe_i18n!$A:$H,7,FALSE)</f>
        <v>#REF!</v>
      </c>
      <c r="P232" s="83" t="s">
        <v>170</v>
      </c>
      <c r="Q232" s="4">
        <v>409</v>
      </c>
      <c r="R232" s="25" t="str">
        <f ca="1">IF(Q232="NULL","",VLOOKUP($Q232,OFFSET([2]characters!$A$1,0,0,COUNTA([2]characters!$A:$A),MATCH(R$1,[2]characters!$1:$1,0)-MATCH($A$1,[2]characters!$1:$1,0)+1),MATCH(R$1,[2]characters!$1:$1,0)-MATCH($A$1,[2]characters!$1:$1,0)+1,FALSE))</f>
        <v>天眼の皇貴魔 アスタロト</v>
      </c>
      <c r="S232" s="3">
        <f t="shared" ca="1" si="3"/>
        <v>408</v>
      </c>
      <c r="T232" s="25" t="str">
        <f ca="1">VLOOKUP($S232,OFFSET([2]characters!$A$1,0,0,COUNTA([2]characters!$A:$A),MATCH(T$1,[2]characters!$1:$1,0)-MATCH($A$1,[2]characters!$1:$1,0)+1),MATCH(T$1,[2]characters!$1:$1,0)-MATCH($A$1,[2]characters!$1:$1,0)+1,FALSE)</f>
        <v>皇魔 アスタロト</v>
      </c>
      <c r="U232" s="5">
        <f ca="1">IF(Q232="NULL","NULL",VLOOKUP(G232,ビット!$A$2:$B$7,2))</f>
        <v>50000</v>
      </c>
    </row>
    <row r="233" spans="1:23" ht="21" customHeight="1" x14ac:dyDescent="0.15">
      <c r="A233" s="84">
        <v>412</v>
      </c>
      <c r="B233" s="24" t="str">
        <f ca="1">VLOOKUP($A233,OFFSET([2]characters!$A$1,0,0,COUNTA([2]characters!$A:$A),MATCH(B$1,[2]characters!$1:$1,0)-MATCH($A$1,[2]characters!$1:$1,0)+1),MATCH(B$1,[2]characters!$1:$1,0)-MATCH($A$1,[2]characters!$1:$1,0)+1,FALSE)</f>
        <v>コウネン</v>
      </c>
      <c r="C233" s="24" t="str">
        <f ca="1">VLOOKUP($A233,OFFSET([2]characters!$A$1,0,0,COUNTA([2]characters!$A:$A),MATCH(C$1,[2]characters!$1:$1,0)-MATCH($A$1,[2]characters!$1:$1,0)+1),MATCH(C$1,[2]characters!$1:$1,0)-MATCH($A$1,[2]characters!$1:$1,0)+1,FALSE)</f>
        <v>ノーマルクエスト</v>
      </c>
      <c r="D233" s="24" t="str">
        <f ca="1">VLOOKUP($A233,OFFSET([2]characters!$A$1,0,0,COUNTA([2]characters!$A:$A),MATCH(D$1,[2]characters!$1:$1,0)-MATCH($A$1,[2]characters!$1:$1,0)+1),MATCH(D$1,[2]characters!$1:$1,0)-MATCH($A$1,[2]characters!$1:$1,0)+1,FALSE)</f>
        <v>執行者</v>
      </c>
      <c r="E233" s="24" t="str">
        <f ca="1">VLOOKUP($A233,OFFSET([2]characters!$A$1,0,0,COUNTA([2]characters!$A:$A),MATCH(E$1,[2]characters!$1:$1,0)-MATCH($A$1,[2]characters!$1:$1,0)+1),MATCH(E$1,[2]characters!$1:$1,0)-MATCH($A$1,[2]characters!$1:$1,0)+1,FALSE)</f>
        <v>格好いい</v>
      </c>
      <c r="F233" s="24" t="str">
        <f ca="1">VLOOKUP($A233,OFFSET([2]characters!$A$1,0,0,COUNTA([2]characters!$A:$A),MATCH(F$1,[2]characters!$1:$1,0)-MATCH($A$1,[2]characters!$1:$1,0)+1),MATCH(F$1,[2]characters!$1:$1,0)-MATCH($A$1,[2]characters!$1:$1,0)+1,FALSE)</f>
        <v>不明</v>
      </c>
      <c r="G233" s="24">
        <f ca="1">VLOOKUP($A233,OFFSET([2]characters!$A$1,0,0,COUNTA([2]characters!$A:$A),MATCH(G$1,[2]characters!$1:$1,0)-MATCH($A$1,[2]characters!$1:$1,0)+1),MATCH(G$1,[2]characters!$1:$1,0)-MATCH($A$1,[2]characters!$1:$1,0)+1,FALSE)</f>
        <v>2</v>
      </c>
      <c r="H233" s="24" t="str">
        <f ca="1">VLOOKUP($A233,OFFSET([2]characters!$A$1,0,0,COUNTA([2]characters!$A:$A),MATCH(H$1,[2]characters!$1:$1,0)-MATCH($A$1,[2]characters!$1:$1,0)+1),MATCH(H$1,[2]characters!$1:$1,0)-MATCH($A$1,[2]characters!$1:$1,0)+1,FALSE)</f>
        <v>Drop1S</v>
      </c>
      <c r="I233" s="24" t="str">
        <f ca="1">VLOOKUP($A233,OFFSET([2]characters!$A$1,0,0,COUNTA([2]characters!$A:$A),MATCH(I$1,[2]characters!$1:$1,0)-MATCH($A$1,[2]characters!$1:$1,0)+1),MATCH(I$1,[2]characters!$1:$1,0)-MATCH($A$1,[2]characters!$1:$1,0)+1,FALSE)</f>
        <v>yellow</v>
      </c>
      <c r="J233" s="24" t="str">
        <f ca="1">VLOOKUP($A233,OFFSET([2]characters!$A$1,0,0,COUNTA([2]characters!$A:$A),MATCH(J$1,[2]characters!$1:$1,0)-MATCH($A$1,[2]characters!$1:$1,0)+1),MATCH(J$1,[2]characters!$1:$1,0)-MATCH($A$1,[2]characters!$1:$1,0)+1,FALSE)</f>
        <v>none</v>
      </c>
      <c r="K233" s="3" t="str">
        <f ca="1">VLOOKUP(J233,[2]character_tribe_i18n!$A:$H,3,FALSE)</f>
        <v>種族なし</v>
      </c>
      <c r="L233" s="5" t="e">
        <f>VLOOKUP(#REF!,[2]character_tribe_i18n!$A:$H,4,FALSE)</f>
        <v>#REF!</v>
      </c>
      <c r="M233" s="5" t="e">
        <f>VLOOKUP(#REF!,[2]character_tribe_i18n!$A:$H,5,FALSE)</f>
        <v>#REF!</v>
      </c>
      <c r="N233" s="5" t="e">
        <f>VLOOKUP(#REF!,[2]character_tribe_i18n!$A:$H,6,FALSE)</f>
        <v>#REF!</v>
      </c>
      <c r="O233" s="5" t="e">
        <f>VLOOKUP(#REF!,[2]character_tribe_i18n!$A:$H,7,FALSE)</f>
        <v>#REF!</v>
      </c>
      <c r="P233" s="83" t="s">
        <v>170</v>
      </c>
      <c r="Q233">
        <v>413</v>
      </c>
      <c r="R233" s="25" t="str">
        <f ca="1">IF(Q233="NULL","",VLOOKUP($Q233,OFFSET([2]characters!$A$1,0,0,COUNTA([2]characters!$A:$A),MATCH(R$1,[2]characters!$1:$1,0)-MATCH($A$1,[2]characters!$1:$1,0)+1),MATCH(R$1,[2]characters!$1:$1,0)-MATCH($A$1,[2]characters!$1:$1,0)+1,FALSE))</f>
        <v>狂騒地蔵 コウネン</v>
      </c>
      <c r="S233" s="3">
        <f t="shared" ca="1" si="3"/>
        <v>412</v>
      </c>
      <c r="T233" s="25" t="str">
        <f ca="1">VLOOKUP($S233,OFFSET([2]characters!$A$1,0,0,COUNTA([2]characters!$A:$A),MATCH(T$1,[2]characters!$1:$1,0)-MATCH($A$1,[2]characters!$1:$1,0)+1),MATCH(T$1,[2]characters!$1:$1,0)-MATCH($A$1,[2]characters!$1:$1,0)+1,FALSE)</f>
        <v>コウネン</v>
      </c>
      <c r="U233" s="5">
        <f ca="1">IF(Q233="NULL","NULL",VLOOKUP(G233,ビット!$A$2:$B$7,2))</f>
        <v>10000</v>
      </c>
      <c r="V233">
        <v>10000</v>
      </c>
      <c r="W233" s="6" t="str">
        <f t="shared" ref="W233:W268" ca="1" si="4">IF(U233=V233,"TRUE","FALSE")</f>
        <v>TRUE</v>
      </c>
    </row>
    <row r="234" spans="1:23" ht="21" customHeight="1" x14ac:dyDescent="0.15">
      <c r="A234" s="84">
        <v>418</v>
      </c>
      <c r="B234" s="24" t="str">
        <f ca="1">VLOOKUP($A234,OFFSET([2]characters!$A$1,0,0,COUNTA([2]characters!$A:$A),MATCH(B$1,[2]characters!$1:$1,0)-MATCH($A$1,[2]characters!$1:$1,0)+1),MATCH(B$1,[2]characters!$1:$1,0)-MATCH($A$1,[2]characters!$1:$1,0)+1,FALSE)</f>
        <v>ウラシマ</v>
      </c>
      <c r="C234" s="24" t="str">
        <f ca="1">VLOOKUP($A234,OFFSET([2]characters!$A$1,0,0,COUNTA([2]characters!$A:$A),MATCH(C$1,[2]characters!$1:$1,0)-MATCH($A$1,[2]characters!$1:$1,0)+1),MATCH(C$1,[2]characters!$1:$1,0)-MATCH($A$1,[2]characters!$1:$1,0)+1,FALSE)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234" s="24" t="str">
        <f ca="1">VLOOKUP($A234,OFFSET([2]characters!$A$1,0,0,COUNTA([2]characters!$A:$A),MATCH(D$1,[2]characters!$1:$1,0)-MATCH($A$1,[2]characters!$1:$1,0)+1),MATCH(D$1,[2]characters!$1:$1,0)-MATCH($A$1,[2]characters!$1:$1,0)+1,FALSE)</f>
        <v>執行者</v>
      </c>
      <c r="E234" s="24" t="str">
        <f ca="1">VLOOKUP($A234,OFFSET([2]characters!$A$1,0,0,COUNTA([2]characters!$A:$A),MATCH(E$1,[2]characters!$1:$1,0)-MATCH($A$1,[2]characters!$1:$1,0)+1),MATCH(E$1,[2]characters!$1:$1,0)-MATCH($A$1,[2]characters!$1:$1,0)+1,FALSE)</f>
        <v>格好いい</v>
      </c>
      <c r="F234" s="24" t="str">
        <f ca="1">VLOOKUP($A234,OFFSET([2]characters!$A$1,0,0,COUNTA([2]characters!$A:$A),MATCH(F$1,[2]characters!$1:$1,0)-MATCH($A$1,[2]characters!$1:$1,0)+1),MATCH(F$1,[2]characters!$1:$1,0)-MATCH($A$1,[2]characters!$1:$1,0)+1,FALSE)</f>
        <v>男性</v>
      </c>
      <c r="G234" s="24">
        <f ca="1">VLOOKUP($A234,OFFSET([2]characters!$A$1,0,0,COUNTA([2]characters!$A:$A),MATCH(G$1,[2]characters!$1:$1,0)-MATCH($A$1,[2]characters!$1:$1,0)+1),MATCH(G$1,[2]characters!$1:$1,0)-MATCH($A$1,[2]characters!$1:$1,0)+1,FALSE)</f>
        <v>4</v>
      </c>
      <c r="H234" s="24" t="str">
        <f ca="1">VLOOKUP($A234,OFFSET([2]characters!$A$1,0,0,COUNTA([2]characters!$A:$A),MATCH(H$1,[2]characters!$1:$1,0)-MATCH($A$1,[2]characters!$1:$1,0)+1),MATCH(H$1,[2]characters!$1:$1,0)-MATCH($A$1,[2]characters!$1:$1,0)+1,FALSE)</f>
        <v>Drop2N</v>
      </c>
      <c r="I234" s="24" t="str">
        <f ca="1">VLOOKUP($A234,OFFSET([2]characters!$A$1,0,0,COUNTA([2]characters!$A:$A),MATCH(I$1,[2]characters!$1:$1,0)-MATCH($A$1,[2]characters!$1:$1,0)+1),MATCH(I$1,[2]characters!$1:$1,0)-MATCH($A$1,[2]characters!$1:$1,0)+1,FALSE)</f>
        <v>red</v>
      </c>
      <c r="J234" s="24" t="str">
        <f ca="1">VLOOKUP($A234,OFFSET([2]characters!$A$1,0,0,COUNTA([2]characters!$A:$A),MATCH(J$1,[2]characters!$1:$1,0)-MATCH($A$1,[2]characters!$1:$1,0)+1),MATCH(J$1,[2]characters!$1:$1,0)-MATCH($A$1,[2]characters!$1:$1,0)+1,FALSE)</f>
        <v>none</v>
      </c>
      <c r="K234" s="3" t="str">
        <f ca="1">VLOOKUP(J234,[2]character_tribe_i18n!$A:$H,3,FALSE)</f>
        <v>種族なし</v>
      </c>
      <c r="L234" s="5" t="e">
        <f>VLOOKUP(#REF!,[2]character_tribe_i18n!$A:$H,4,FALSE)</f>
        <v>#REF!</v>
      </c>
      <c r="M234" s="5" t="e">
        <f>VLOOKUP(#REF!,[2]character_tribe_i18n!$A:$H,5,FALSE)</f>
        <v>#REF!</v>
      </c>
      <c r="N234" s="5" t="e">
        <f>VLOOKUP(#REF!,[2]character_tribe_i18n!$A:$H,6,FALSE)</f>
        <v>#REF!</v>
      </c>
      <c r="O234" s="5" t="e">
        <f>VLOOKUP(#REF!,[2]character_tribe_i18n!$A:$H,7,FALSE)</f>
        <v>#REF!</v>
      </c>
      <c r="P234" s="83" t="s">
        <v>170</v>
      </c>
      <c r="Q234">
        <v>419</v>
      </c>
      <c r="R234" s="25" t="str">
        <f ca="1">IF(Q234="NULL","",VLOOKUP($Q234,OFFSET([2]characters!$A$1,0,0,COUNTA([2]characters!$A:$A),MATCH(R$1,[2]characters!$1:$1,0)-MATCH($A$1,[2]characters!$1:$1,0)+1),MATCH(R$1,[2]characters!$1:$1,0)-MATCH($A$1,[2]characters!$1:$1,0)+1,FALSE))</f>
        <v>宣戦の解城 ウラシマ</v>
      </c>
      <c r="S234" s="3">
        <f t="shared" ca="1" si="3"/>
        <v>418</v>
      </c>
      <c r="T234" s="25" t="str">
        <f ca="1">VLOOKUP($S234,OFFSET([2]characters!$A$1,0,0,COUNTA([2]characters!$A:$A),MATCH(T$1,[2]characters!$1:$1,0)-MATCH($A$1,[2]characters!$1:$1,0)+1),MATCH(T$1,[2]characters!$1:$1,0)-MATCH($A$1,[2]characters!$1:$1,0)+1,FALSE)</f>
        <v>ウラシマ</v>
      </c>
      <c r="U234" s="5">
        <f ca="1">IF(Q234="NULL","NULL",VLOOKUP(G234,ビット!$A$2:$B$7,2))</f>
        <v>50000</v>
      </c>
      <c r="V234">
        <v>50000</v>
      </c>
      <c r="W234" s="6" t="str">
        <f t="shared" ca="1" si="4"/>
        <v>TRUE</v>
      </c>
    </row>
    <row r="235" spans="1:23" ht="21" customHeight="1" x14ac:dyDescent="0.15">
      <c r="A235" s="84">
        <v>420</v>
      </c>
      <c r="B235" s="24" t="str">
        <f ca="1">VLOOKUP($A235,OFFSET([2]characters!$A$1,0,0,COUNTA([2]characters!$A:$A),MATCH(B$1,[2]characters!$1:$1,0)-MATCH($A$1,[2]characters!$1:$1,0)+1),MATCH(B$1,[2]characters!$1:$1,0)-MATCH($A$1,[2]characters!$1:$1,0)+1,FALSE)</f>
        <v>カエデ</v>
      </c>
      <c r="C235" s="24" t="str">
        <f ca="1">VLOOKUP($A235,OFFSET([2]characters!$A$1,0,0,COUNTA([2]characters!$A:$A),MATCH(C$1,[2]characters!$1:$1,0)-MATCH($A$1,[2]characters!$1:$1,0)+1),MATCH(C$1,[2]characters!$1:$1,0)-MATCH($A$1,[2]characters!$1:$1,0)+1,FALSE)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235" s="24" t="str">
        <f ca="1">VLOOKUP($A235,OFFSET([2]characters!$A$1,0,0,COUNTA([2]characters!$A:$A),MATCH(D$1,[2]characters!$1:$1,0)-MATCH($A$1,[2]characters!$1:$1,0)+1),MATCH(D$1,[2]characters!$1:$1,0)-MATCH($A$1,[2]characters!$1:$1,0)+1,FALSE)</f>
        <v>執行者</v>
      </c>
      <c r="E235" s="24" t="str">
        <f ca="1">VLOOKUP($A235,OFFSET([2]characters!$A$1,0,0,COUNTA([2]characters!$A:$A),MATCH(E$1,[2]characters!$1:$1,0)-MATCH($A$1,[2]characters!$1:$1,0)+1),MATCH(E$1,[2]characters!$1:$1,0)-MATCH($A$1,[2]characters!$1:$1,0)+1,FALSE)</f>
        <v>格好いい</v>
      </c>
      <c r="F235" s="24" t="str">
        <f ca="1">VLOOKUP($A235,OFFSET([2]characters!$A$1,0,0,COUNTA([2]characters!$A:$A),MATCH(F$1,[2]characters!$1:$1,0)-MATCH($A$1,[2]characters!$1:$1,0)+1),MATCH(F$1,[2]characters!$1:$1,0)-MATCH($A$1,[2]characters!$1:$1,0)+1,FALSE)</f>
        <v>男性</v>
      </c>
      <c r="G235" s="24">
        <f ca="1">VLOOKUP($A235,OFFSET([2]characters!$A$1,0,0,COUNTA([2]characters!$A:$A),MATCH(G$1,[2]characters!$1:$1,0)-MATCH($A$1,[2]characters!$1:$1,0)+1),MATCH(G$1,[2]characters!$1:$1,0)-MATCH($A$1,[2]characters!$1:$1,0)+1,FALSE)</f>
        <v>4</v>
      </c>
      <c r="H235" s="24" t="str">
        <f ca="1">VLOOKUP($A235,OFFSET([2]characters!$A$1,0,0,COUNTA([2]characters!$A:$A),MATCH(H$1,[2]characters!$1:$1,0)-MATCH($A$1,[2]characters!$1:$1,0)+1),MATCH(H$1,[2]characters!$1:$1,0)-MATCH($A$1,[2]characters!$1:$1,0)+1,FALSE)</f>
        <v>Drop2N</v>
      </c>
      <c r="I235" s="24" t="str">
        <f ca="1">VLOOKUP($A235,OFFSET([2]characters!$A$1,0,0,COUNTA([2]characters!$A:$A),MATCH(I$1,[2]characters!$1:$1,0)-MATCH($A$1,[2]characters!$1:$1,0)+1),MATCH(I$1,[2]characters!$1:$1,0)-MATCH($A$1,[2]characters!$1:$1,0)+1,FALSE)</f>
        <v>green</v>
      </c>
      <c r="J235" s="24" t="str">
        <f ca="1">VLOOKUP($A235,OFFSET([2]characters!$A$1,0,0,COUNTA([2]characters!$A:$A),MATCH(J$1,[2]characters!$1:$1,0)-MATCH($A$1,[2]characters!$1:$1,0)+1),MATCH(J$1,[2]characters!$1:$1,0)-MATCH($A$1,[2]characters!$1:$1,0)+1,FALSE)</f>
        <v>none</v>
      </c>
      <c r="K235" s="3" t="str">
        <f ca="1">VLOOKUP(J235,[2]character_tribe_i18n!$A:$H,3,FALSE)</f>
        <v>種族なし</v>
      </c>
      <c r="L235" s="5" t="e">
        <f>VLOOKUP(#REF!,[2]character_tribe_i18n!$A:$H,4,FALSE)</f>
        <v>#REF!</v>
      </c>
      <c r="M235" s="5" t="e">
        <f>VLOOKUP(#REF!,[2]character_tribe_i18n!$A:$H,5,FALSE)</f>
        <v>#REF!</v>
      </c>
      <c r="N235" s="5" t="e">
        <f>VLOOKUP(#REF!,[2]character_tribe_i18n!$A:$H,6,FALSE)</f>
        <v>#REF!</v>
      </c>
      <c r="O235" s="5" t="e">
        <f>VLOOKUP(#REF!,[2]character_tribe_i18n!$A:$H,7,FALSE)</f>
        <v>#REF!</v>
      </c>
      <c r="P235" s="83" t="s">
        <v>170</v>
      </c>
      <c r="Q235">
        <v>421</v>
      </c>
      <c r="R235" s="25" t="str">
        <f ca="1">IF(Q235="NULL","",VLOOKUP($Q235,OFFSET([2]characters!$A$1,0,0,COUNTA([2]characters!$A:$A),MATCH(R$1,[2]characters!$1:$1,0)-MATCH($A$1,[2]characters!$1:$1,0)+1),MATCH(R$1,[2]characters!$1:$1,0)-MATCH($A$1,[2]characters!$1:$1,0)+1,FALSE))</f>
        <v>反親の彩壁 カエデ</v>
      </c>
      <c r="S235" s="3">
        <f t="shared" ca="1" si="3"/>
        <v>420</v>
      </c>
      <c r="T235" s="25" t="str">
        <f ca="1">VLOOKUP($S235,OFFSET([2]characters!$A$1,0,0,COUNTA([2]characters!$A:$A),MATCH(T$1,[2]characters!$1:$1,0)-MATCH($A$1,[2]characters!$1:$1,0)+1),MATCH(T$1,[2]characters!$1:$1,0)-MATCH($A$1,[2]characters!$1:$1,0)+1,FALSE)</f>
        <v>カエデ</v>
      </c>
      <c r="U235" s="5">
        <f ca="1">IF(Q235="NULL","NULL",VLOOKUP(G235,ビット!$A$2:$B$7,2))</f>
        <v>50000</v>
      </c>
      <c r="V235">
        <v>50000</v>
      </c>
      <c r="W235" s="6" t="str">
        <f t="shared" ca="1" si="4"/>
        <v>TRUE</v>
      </c>
    </row>
    <row r="236" spans="1:23" ht="21" customHeight="1" x14ac:dyDescent="0.15">
      <c r="A236" s="84">
        <v>422</v>
      </c>
      <c r="B236" s="24" t="str">
        <f ca="1">VLOOKUP($A236,OFFSET([2]characters!$A$1,0,0,COUNTA([2]characters!$A:$A),MATCH(B$1,[2]characters!$1:$1,0)-MATCH($A$1,[2]characters!$1:$1,0)+1),MATCH(B$1,[2]characters!$1:$1,0)-MATCH($A$1,[2]characters!$1:$1,0)+1,FALSE)</f>
        <v>シュガフル</v>
      </c>
      <c r="C236" s="24" t="str">
        <f ca="1">VLOOKUP($A236,OFFSET([2]characters!$A$1,0,0,COUNTA([2]characters!$A:$A),MATCH(C$1,[2]characters!$1:$1,0)-MATCH($A$1,[2]characters!$1:$1,0)+1),MATCH(C$1,[2]characters!$1:$1,0)-MATCH($A$1,[2]characters!$1:$1,0)+1,FALSE)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236" s="24" t="str">
        <f ca="1">VLOOKUP($A236,OFFSET([2]characters!$A$1,0,0,COUNTA([2]characters!$A:$A),MATCH(D$1,[2]characters!$1:$1,0)-MATCH($A$1,[2]characters!$1:$1,0)+1),MATCH(D$1,[2]characters!$1:$1,0)-MATCH($A$1,[2]characters!$1:$1,0)+1,FALSE)</f>
        <v>執行者</v>
      </c>
      <c r="E236" s="24" t="str">
        <f ca="1">VLOOKUP($A236,OFFSET([2]characters!$A$1,0,0,COUNTA([2]characters!$A:$A),MATCH(E$1,[2]characters!$1:$1,0)-MATCH($A$1,[2]characters!$1:$1,0)+1),MATCH(E$1,[2]characters!$1:$1,0)-MATCH($A$1,[2]characters!$1:$1,0)+1,FALSE)</f>
        <v>格好いい</v>
      </c>
      <c r="F236" s="24" t="str">
        <f ca="1">VLOOKUP($A236,OFFSET([2]characters!$A$1,0,0,COUNTA([2]characters!$A:$A),MATCH(F$1,[2]characters!$1:$1,0)-MATCH($A$1,[2]characters!$1:$1,0)+1),MATCH(F$1,[2]characters!$1:$1,0)-MATCH($A$1,[2]characters!$1:$1,0)+1,FALSE)</f>
        <v>女性</v>
      </c>
      <c r="G236" s="24">
        <f ca="1">VLOOKUP($A236,OFFSET([2]characters!$A$1,0,0,COUNTA([2]characters!$A:$A),MATCH(G$1,[2]characters!$1:$1,0)-MATCH($A$1,[2]characters!$1:$1,0)+1),MATCH(G$1,[2]characters!$1:$1,0)-MATCH($A$1,[2]characters!$1:$1,0)+1,FALSE)</f>
        <v>4</v>
      </c>
      <c r="H236" s="24" t="str">
        <f ca="1">VLOOKUP($A236,OFFSET([2]characters!$A$1,0,0,COUNTA([2]characters!$A:$A),MATCH(H$1,[2]characters!$1:$1,0)-MATCH($A$1,[2]characters!$1:$1,0)+1),MATCH(H$1,[2]characters!$1:$1,0)-MATCH($A$1,[2]characters!$1:$1,0)+1,FALSE)</f>
        <v>Drop2N</v>
      </c>
      <c r="I236" s="24" t="str">
        <f ca="1">VLOOKUP($A236,OFFSET([2]characters!$A$1,0,0,COUNTA([2]characters!$A:$A),MATCH(I$1,[2]characters!$1:$1,0)-MATCH($A$1,[2]characters!$1:$1,0)+1),MATCH(I$1,[2]characters!$1:$1,0)-MATCH($A$1,[2]characters!$1:$1,0)+1,FALSE)</f>
        <v>blue</v>
      </c>
      <c r="J236" s="24" t="str">
        <f ca="1">VLOOKUP($A236,OFFSET([2]characters!$A$1,0,0,COUNTA([2]characters!$A:$A),MATCH(J$1,[2]characters!$1:$1,0)-MATCH($A$1,[2]characters!$1:$1,0)+1),MATCH(J$1,[2]characters!$1:$1,0)-MATCH($A$1,[2]characters!$1:$1,0)+1,FALSE)</f>
        <v>none</v>
      </c>
      <c r="K236" s="3" t="str">
        <f ca="1">VLOOKUP(J236,[2]character_tribe_i18n!$A:$H,3,FALSE)</f>
        <v>種族なし</v>
      </c>
      <c r="L236" s="5" t="e">
        <f>VLOOKUP(#REF!,[2]character_tribe_i18n!$A:$H,4,FALSE)</f>
        <v>#REF!</v>
      </c>
      <c r="M236" s="5" t="e">
        <f>VLOOKUP(#REF!,[2]character_tribe_i18n!$A:$H,5,FALSE)</f>
        <v>#REF!</v>
      </c>
      <c r="N236" s="5" t="e">
        <f>VLOOKUP(#REF!,[2]character_tribe_i18n!$A:$H,6,FALSE)</f>
        <v>#REF!</v>
      </c>
      <c r="O236" s="5" t="e">
        <f>VLOOKUP(#REF!,[2]character_tribe_i18n!$A:$H,7,FALSE)</f>
        <v>#REF!</v>
      </c>
      <c r="P236" s="83" t="s">
        <v>170</v>
      </c>
      <c r="Q236">
        <v>423</v>
      </c>
      <c r="R236" s="25" t="str">
        <f ca="1">IF(Q236="NULL","",VLOOKUP($Q236,OFFSET([2]characters!$A$1,0,0,COUNTA([2]characters!$A:$A),MATCH(R$1,[2]characters!$1:$1,0)-MATCH($A$1,[2]characters!$1:$1,0)+1),MATCH(R$1,[2]characters!$1:$1,0)-MATCH($A$1,[2]characters!$1:$1,0)+1,FALSE))</f>
        <v>甘罠の魔女 シュガフル</v>
      </c>
      <c r="S236" s="3">
        <f t="shared" ca="1" si="3"/>
        <v>422</v>
      </c>
      <c r="T236" s="25" t="str">
        <f ca="1">VLOOKUP($S236,OFFSET([2]characters!$A$1,0,0,COUNTA([2]characters!$A:$A),MATCH(T$1,[2]characters!$1:$1,0)-MATCH($A$1,[2]characters!$1:$1,0)+1),MATCH(T$1,[2]characters!$1:$1,0)-MATCH($A$1,[2]characters!$1:$1,0)+1,FALSE)</f>
        <v>シュガフル</v>
      </c>
      <c r="U236" s="5">
        <f ca="1">IF(Q236="NULL","NULL",VLOOKUP(G236,ビット!$A$2:$B$7,2))</f>
        <v>50000</v>
      </c>
      <c r="V236">
        <v>50000</v>
      </c>
      <c r="W236" s="6" t="str">
        <f t="shared" ca="1" si="4"/>
        <v>TRUE</v>
      </c>
    </row>
    <row r="237" spans="1:23" ht="21" customHeight="1" x14ac:dyDescent="0.15">
      <c r="A237" s="84">
        <v>424</v>
      </c>
      <c r="B237" s="24" t="str">
        <f ca="1">VLOOKUP($A237,OFFSET([2]characters!$A$1,0,0,COUNTA([2]characters!$A:$A),MATCH(B$1,[2]characters!$1:$1,0)-MATCH($A$1,[2]characters!$1:$1,0)+1),MATCH(B$1,[2]characters!$1:$1,0)-MATCH($A$1,[2]characters!$1:$1,0)+1,FALSE)</f>
        <v>フック</v>
      </c>
      <c r="C237" s="24" t="str">
        <f ca="1">VLOOKUP($A237,OFFSET([2]characters!$A$1,0,0,COUNTA([2]characters!$A:$A),MATCH(C$1,[2]characters!$1:$1,0)-MATCH($A$1,[2]characters!$1:$1,0)+1),MATCH(C$1,[2]characters!$1:$1,0)-MATCH($A$1,[2]characters!$1:$1,0)+1,FALSE)</f>
        <v>イベント:アリスの絵本02</v>
      </c>
      <c r="D237" s="24" t="str">
        <f ca="1">VLOOKUP($A237,OFFSET([2]characters!$A$1,0,0,COUNTA([2]characters!$A:$A),MATCH(D$1,[2]characters!$1:$1,0)-MATCH($A$1,[2]characters!$1:$1,0)+1),MATCH(D$1,[2]characters!$1:$1,0)-MATCH($A$1,[2]characters!$1:$1,0)+1,FALSE)</f>
        <v>執行者</v>
      </c>
      <c r="E237" s="24" t="str">
        <f ca="1">VLOOKUP($A237,OFFSET([2]characters!$A$1,0,0,COUNTA([2]characters!$A:$A),MATCH(E$1,[2]characters!$1:$1,0)-MATCH($A$1,[2]characters!$1:$1,0)+1),MATCH(E$1,[2]characters!$1:$1,0)-MATCH($A$1,[2]characters!$1:$1,0)+1,FALSE)</f>
        <v>格好いい</v>
      </c>
      <c r="F237" s="24" t="str">
        <f ca="1">VLOOKUP($A237,OFFSET([2]characters!$A$1,0,0,COUNTA([2]characters!$A:$A),MATCH(F$1,[2]characters!$1:$1,0)-MATCH($A$1,[2]characters!$1:$1,0)+1),MATCH(F$1,[2]characters!$1:$1,0)-MATCH($A$1,[2]characters!$1:$1,0)+1,FALSE)</f>
        <v>女性</v>
      </c>
      <c r="G237" s="24">
        <f ca="1">VLOOKUP($A237,OFFSET([2]characters!$A$1,0,0,COUNTA([2]characters!$A:$A),MATCH(G$1,[2]characters!$1:$1,0)-MATCH($A$1,[2]characters!$1:$1,0)+1),MATCH(G$1,[2]characters!$1:$1,0)-MATCH($A$1,[2]characters!$1:$1,0)+1,FALSE)</f>
        <v>4</v>
      </c>
      <c r="H237" s="24" t="str">
        <f ca="1">VLOOKUP($A237,OFFSET([2]characters!$A$1,0,0,COUNTA([2]characters!$A:$A),MATCH(H$1,[2]characters!$1:$1,0)-MATCH($A$1,[2]characters!$1:$1,0)+1),MATCH(H$1,[2]characters!$1:$1,0)-MATCH($A$1,[2]characters!$1:$1,0)+1,FALSE)</f>
        <v>Drop2N</v>
      </c>
      <c r="I237" s="24" t="str">
        <f ca="1">VLOOKUP($A237,OFFSET([2]characters!$A$1,0,0,COUNTA([2]characters!$A:$A),MATCH(I$1,[2]characters!$1:$1,0)-MATCH($A$1,[2]characters!$1:$1,0)+1),MATCH(I$1,[2]characters!$1:$1,0)-MATCH($A$1,[2]characters!$1:$1,0)+1,FALSE)</f>
        <v>yellow</v>
      </c>
      <c r="J237" s="24" t="str">
        <f ca="1">VLOOKUP($A237,OFFSET([2]characters!$A$1,0,0,COUNTA([2]characters!$A:$A),MATCH(J$1,[2]characters!$1:$1,0)-MATCH($A$1,[2]characters!$1:$1,0)+1),MATCH(J$1,[2]characters!$1:$1,0)-MATCH($A$1,[2]characters!$1:$1,0)+1,FALSE)</f>
        <v>none</v>
      </c>
      <c r="K237" s="3" t="str">
        <f ca="1">VLOOKUP(J237,[2]character_tribe_i18n!$A:$H,3,FALSE)</f>
        <v>種族なし</v>
      </c>
      <c r="L237" s="5" t="e">
        <f>VLOOKUP(#REF!,[2]character_tribe_i18n!$A:$H,4,FALSE)</f>
        <v>#REF!</v>
      </c>
      <c r="M237" s="5" t="e">
        <f>VLOOKUP(#REF!,[2]character_tribe_i18n!$A:$H,5,FALSE)</f>
        <v>#REF!</v>
      </c>
      <c r="N237" s="5" t="e">
        <f>VLOOKUP(#REF!,[2]character_tribe_i18n!$A:$H,6,FALSE)</f>
        <v>#REF!</v>
      </c>
      <c r="O237" s="5" t="e">
        <f>VLOOKUP(#REF!,[2]character_tribe_i18n!$A:$H,7,FALSE)</f>
        <v>#REF!</v>
      </c>
      <c r="P237" s="83" t="s">
        <v>170</v>
      </c>
      <c r="Q237">
        <v>425</v>
      </c>
      <c r="R237" s="25" t="str">
        <f ca="1">IF(Q237="NULL","",VLOOKUP($Q237,OFFSET([2]characters!$A$1,0,0,COUNTA([2]characters!$A:$A),MATCH(R$1,[2]characters!$1:$1,0)-MATCH($A$1,[2]characters!$1:$1,0)+1),MATCH(R$1,[2]characters!$1:$1,0)-MATCH($A$1,[2]characters!$1:$1,0)+1,FALSE))</f>
        <v>怒髪の海賊 フック</v>
      </c>
      <c r="S237" s="3">
        <f t="shared" ca="1" si="3"/>
        <v>424</v>
      </c>
      <c r="T237" s="25" t="str">
        <f ca="1">VLOOKUP($S237,OFFSET([2]characters!$A$1,0,0,COUNTA([2]characters!$A:$A),MATCH(T$1,[2]characters!$1:$1,0)-MATCH($A$1,[2]characters!$1:$1,0)+1),MATCH(T$1,[2]characters!$1:$1,0)-MATCH($A$1,[2]characters!$1:$1,0)+1,FALSE)</f>
        <v>フック</v>
      </c>
      <c r="U237" s="5">
        <f ca="1">IF(Q237="NULL","NULL",VLOOKUP(G237,ビット!$A$2:$B$7,2))</f>
        <v>50000</v>
      </c>
      <c r="V237">
        <v>50000</v>
      </c>
      <c r="W237" s="6" t="str">
        <f t="shared" ca="1" si="4"/>
        <v>TRUE</v>
      </c>
    </row>
    <row r="238" spans="1:23" ht="21" customHeight="1" x14ac:dyDescent="0.15">
      <c r="A238" s="84">
        <v>426</v>
      </c>
      <c r="B238" s="24" t="str">
        <f ca="1">VLOOKUP($A238,OFFSET([2]characters!$A$1,0,0,COUNTA([2]characters!$A:$A),MATCH(B$1,[2]characters!$1:$1,0)-MATCH($A$1,[2]characters!$1:$1,0)+1),MATCH(B$1,[2]characters!$1:$1,0)-MATCH($A$1,[2]characters!$1:$1,0)+1,FALSE)</f>
        <v>宮本武蔵</v>
      </c>
      <c r="C238" s="24" t="str">
        <f ca="1">VLOOKUP($A238,OFFSET([2]characters!$A$1,0,0,COUNTA([2]characters!$A:$A),MATCH(C$1,[2]characters!$1:$1,0)-MATCH($A$1,[2]characters!$1:$1,0)+1),MATCH(C$1,[2]characters!$1:$1,0)-MATCH($A$1,[2]characters!$1:$1,0)+1,FALSE)</f>
        <v>イベント:ウィザード</v>
      </c>
      <c r="D238" s="24" t="str">
        <f ca="1">VLOOKUP($A238,OFFSET([2]characters!$A$1,0,0,COUNTA([2]characters!$A:$A),MATCH(D$1,[2]characters!$1:$1,0)-MATCH($A$1,[2]characters!$1:$1,0)+1),MATCH(D$1,[2]characters!$1:$1,0)-MATCH($A$1,[2]characters!$1:$1,0)+1,FALSE)</f>
        <v>執行者</v>
      </c>
      <c r="E238" s="24" t="str">
        <f ca="1">VLOOKUP($A238,OFFSET([2]characters!$A$1,0,0,COUNTA([2]characters!$A:$A),MATCH(E$1,[2]characters!$1:$1,0)-MATCH($A$1,[2]characters!$1:$1,0)+1),MATCH(E$1,[2]characters!$1:$1,0)-MATCH($A$1,[2]characters!$1:$1,0)+1,FALSE)</f>
        <v>格好いい</v>
      </c>
      <c r="F238" s="24" t="str">
        <f ca="1">VLOOKUP($A238,OFFSET([2]characters!$A$1,0,0,COUNTA([2]characters!$A:$A),MATCH(F$1,[2]characters!$1:$1,0)-MATCH($A$1,[2]characters!$1:$1,0)+1),MATCH(F$1,[2]characters!$1:$1,0)-MATCH($A$1,[2]characters!$1:$1,0)+1,FALSE)</f>
        <v>男性</v>
      </c>
      <c r="G238" s="24">
        <f ca="1">VLOOKUP($A238,OFFSET([2]characters!$A$1,0,0,COUNTA([2]characters!$A:$A),MATCH(G$1,[2]characters!$1:$1,0)-MATCH($A$1,[2]characters!$1:$1,0)+1),MATCH(G$1,[2]characters!$1:$1,0)-MATCH($A$1,[2]characters!$1:$1,0)+1,FALSE)</f>
        <v>4</v>
      </c>
      <c r="H238" s="24" t="str">
        <f ca="1">VLOOKUP($A238,OFFSET([2]characters!$A$1,0,0,COUNTA([2]characters!$A:$A),MATCH(H$1,[2]characters!$1:$1,0)-MATCH($A$1,[2]characters!$1:$1,0)+1),MATCH(H$1,[2]characters!$1:$1,0)-MATCH($A$1,[2]characters!$1:$1,0)+1,FALSE)</f>
        <v>DropWizS</v>
      </c>
      <c r="I238" s="24" t="str">
        <f ca="1">VLOOKUP($A238,OFFSET([2]characters!$A$1,0,0,COUNTA([2]characters!$A:$A),MATCH(I$1,[2]characters!$1:$1,0)-MATCH($A$1,[2]characters!$1:$1,0)+1),MATCH(I$1,[2]characters!$1:$1,0)-MATCH($A$1,[2]characters!$1:$1,0)+1,FALSE)</f>
        <v>yellow</v>
      </c>
      <c r="J238" s="24" t="str">
        <f ca="1">VLOOKUP($A238,OFFSET([2]characters!$A$1,0,0,COUNTA([2]characters!$A:$A),MATCH(J$1,[2]characters!$1:$1,0)-MATCH($A$1,[2]characters!$1:$1,0)+1),MATCH(J$1,[2]characters!$1:$1,0)-MATCH($A$1,[2]characters!$1:$1,0)+1,FALSE)</f>
        <v>none</v>
      </c>
      <c r="K238" s="3" t="str">
        <f ca="1">VLOOKUP(J238,[2]character_tribe_i18n!$A:$H,3,FALSE)</f>
        <v>種族なし</v>
      </c>
      <c r="L238" s="5" t="e">
        <f>VLOOKUP(#REF!,[2]character_tribe_i18n!$A:$H,4,FALSE)</f>
        <v>#REF!</v>
      </c>
      <c r="M238" s="5" t="e">
        <f>VLOOKUP(#REF!,[2]character_tribe_i18n!$A:$H,5,FALSE)</f>
        <v>#REF!</v>
      </c>
      <c r="N238" s="5" t="e">
        <f>VLOOKUP(#REF!,[2]character_tribe_i18n!$A:$H,6,FALSE)</f>
        <v>#REF!</v>
      </c>
      <c r="O238" s="5" t="e">
        <f>VLOOKUP(#REF!,[2]character_tribe_i18n!$A:$H,7,FALSE)</f>
        <v>#REF!</v>
      </c>
      <c r="P238" s="83" t="s">
        <v>170</v>
      </c>
      <c r="Q238">
        <v>427</v>
      </c>
      <c r="R238" s="25" t="str">
        <f ca="1">IF(Q238="NULL","",VLOOKUP($Q238,OFFSET([2]characters!$A$1,0,0,COUNTA([2]characters!$A:$A),MATCH(R$1,[2]characters!$1:$1,0)-MATCH($A$1,[2]characters!$1:$1,0)+1),MATCH(R$1,[2]characters!$1:$1,0)-MATCH($A$1,[2]characters!$1:$1,0)+1,FALSE))</f>
        <v>極・剣豪 宮本武蔵</v>
      </c>
      <c r="S238" s="3">
        <f t="shared" ca="1" si="3"/>
        <v>426</v>
      </c>
      <c r="T238" s="25" t="str">
        <f ca="1">VLOOKUP($S238,OFFSET([2]characters!$A$1,0,0,COUNTA([2]characters!$A:$A),MATCH(T$1,[2]characters!$1:$1,0)-MATCH($A$1,[2]characters!$1:$1,0)+1),MATCH(T$1,[2]characters!$1:$1,0)-MATCH($A$1,[2]characters!$1:$1,0)+1,FALSE)</f>
        <v>宮本武蔵</v>
      </c>
      <c r="U238" s="5">
        <f ca="1">IF(Q238="NULL","NULL",VLOOKUP(G238,ビット!$A$2:$B$7,2))</f>
        <v>50000</v>
      </c>
      <c r="V238">
        <v>50000</v>
      </c>
      <c r="W238" s="6" t="str">
        <f t="shared" ca="1" si="4"/>
        <v>TRUE</v>
      </c>
    </row>
    <row r="239" spans="1:23" ht="21" customHeight="1" x14ac:dyDescent="0.15">
      <c r="A239" s="84">
        <v>427</v>
      </c>
      <c r="B239" s="24" t="str">
        <f ca="1">VLOOKUP($A239,OFFSET([2]characters!$A$1,0,0,COUNTA([2]characters!$A:$A),MATCH(B$1,[2]characters!$1:$1,0)-MATCH($A$1,[2]characters!$1:$1,0)+1),MATCH(B$1,[2]characters!$1:$1,0)-MATCH($A$1,[2]characters!$1:$1,0)+1,FALSE)</f>
        <v>極・剣豪 宮本武蔵</v>
      </c>
      <c r="C239" s="24" t="str">
        <f ca="1">VLOOKUP($A239,OFFSET([2]characters!$A$1,0,0,COUNTA([2]characters!$A:$A),MATCH(C$1,[2]characters!$1:$1,0)-MATCH($A$1,[2]characters!$1:$1,0)+1),MATCH(C$1,[2]characters!$1:$1,0)-MATCH($A$1,[2]characters!$1:$1,0)+1,FALSE)</f>
        <v>イベント:ウィザード</v>
      </c>
      <c r="D239" s="24" t="str">
        <f ca="1">VLOOKUP($A239,OFFSET([2]characters!$A$1,0,0,COUNTA([2]characters!$A:$A),MATCH(D$1,[2]characters!$1:$1,0)-MATCH($A$1,[2]characters!$1:$1,0)+1),MATCH(D$1,[2]characters!$1:$1,0)-MATCH($A$1,[2]characters!$1:$1,0)+1,FALSE)</f>
        <v>執行者</v>
      </c>
      <c r="E239" s="24" t="str">
        <f ca="1">VLOOKUP($A239,OFFSET([2]characters!$A$1,0,0,COUNTA([2]characters!$A:$A),MATCH(E$1,[2]characters!$1:$1,0)-MATCH($A$1,[2]characters!$1:$1,0)+1),MATCH(E$1,[2]characters!$1:$1,0)-MATCH($A$1,[2]characters!$1:$1,0)+1,FALSE)</f>
        <v>格好いい</v>
      </c>
      <c r="F239" s="24" t="str">
        <f ca="1">VLOOKUP($A239,OFFSET([2]characters!$A$1,0,0,COUNTA([2]characters!$A:$A),MATCH(F$1,[2]characters!$1:$1,0)-MATCH($A$1,[2]characters!$1:$1,0)+1),MATCH(F$1,[2]characters!$1:$1,0)-MATCH($A$1,[2]characters!$1:$1,0)+1,FALSE)</f>
        <v>男性</v>
      </c>
      <c r="G239" s="24">
        <f ca="1">VLOOKUP($A239,OFFSET([2]characters!$A$1,0,0,COUNTA([2]characters!$A:$A),MATCH(G$1,[2]characters!$1:$1,0)-MATCH($A$1,[2]characters!$1:$1,0)+1),MATCH(G$1,[2]characters!$1:$1,0)-MATCH($A$1,[2]characters!$1:$1,0)+1,FALSE)</f>
        <v>5</v>
      </c>
      <c r="H239" s="24" t="str">
        <f ca="1">VLOOKUP($A239,OFFSET([2]characters!$A$1,0,0,COUNTA([2]characters!$A:$A),MATCH(H$1,[2]characters!$1:$1,0)-MATCH($A$1,[2]characters!$1:$1,0)+1),MATCH(H$1,[2]characters!$1:$1,0)-MATCH($A$1,[2]characters!$1:$1,0)+1,FALSE)</f>
        <v>DropWizS</v>
      </c>
      <c r="I239" s="24" t="str">
        <f ca="1">VLOOKUP($A239,OFFSET([2]characters!$A$1,0,0,COUNTA([2]characters!$A:$A),MATCH(I$1,[2]characters!$1:$1,0)-MATCH($A$1,[2]characters!$1:$1,0)+1),MATCH(I$1,[2]characters!$1:$1,0)-MATCH($A$1,[2]characters!$1:$1,0)+1,FALSE)</f>
        <v>yellow</v>
      </c>
      <c r="J239" s="24" t="str">
        <f ca="1">VLOOKUP($A239,OFFSET([2]characters!$A$1,0,0,COUNTA([2]characters!$A:$A),MATCH(J$1,[2]characters!$1:$1,0)-MATCH($A$1,[2]characters!$1:$1,0)+1),MATCH(J$1,[2]characters!$1:$1,0)-MATCH($A$1,[2]characters!$1:$1,0)+1,FALSE)</f>
        <v>none</v>
      </c>
      <c r="K239" s="3" t="str">
        <f ca="1">VLOOKUP(J239,[2]character_tribe_i18n!$A:$H,3,FALSE)</f>
        <v>種族なし</v>
      </c>
      <c r="L239" s="5" t="e">
        <f>VLOOKUP(#REF!,[2]character_tribe_i18n!$A:$H,4,FALSE)</f>
        <v>#REF!</v>
      </c>
      <c r="M239" s="5" t="e">
        <f>VLOOKUP(#REF!,[2]character_tribe_i18n!$A:$H,5,FALSE)</f>
        <v>#REF!</v>
      </c>
      <c r="N239" s="5" t="e">
        <f>VLOOKUP(#REF!,[2]character_tribe_i18n!$A:$H,6,FALSE)</f>
        <v>#REF!</v>
      </c>
      <c r="O239" s="5" t="e">
        <f>VLOOKUP(#REF!,[2]character_tribe_i18n!$A:$H,7,FALSE)</f>
        <v>#REF!</v>
      </c>
      <c r="P239" s="83" t="s">
        <v>170</v>
      </c>
      <c r="Q239">
        <v>816</v>
      </c>
      <c r="R239" s="25" t="str">
        <f ca="1">IF(Q239="NULL","",VLOOKUP($Q239,OFFSET([2]characters!$A$1,0,0,COUNTA([2]characters!$A:$A),MATCH(R$1,[2]characters!$1:$1,0)-MATCH($A$1,[2]characters!$1:$1,0)+1),MATCH(R$1,[2]characters!$1:$1,0)-MATCH($A$1,[2]characters!$1:$1,0)+1,FALSE))</f>
        <v>極・二天一流 宮本武蔵</v>
      </c>
      <c r="S239" s="3">
        <f t="shared" ca="1" si="3"/>
        <v>426</v>
      </c>
      <c r="T239" s="25" t="str">
        <f ca="1">VLOOKUP($S239,OFFSET([2]characters!$A$1,0,0,COUNTA([2]characters!$A:$A),MATCH(T$1,[2]characters!$1:$1,0)-MATCH($A$1,[2]characters!$1:$1,0)+1),MATCH(T$1,[2]characters!$1:$1,0)-MATCH($A$1,[2]characters!$1:$1,0)+1,FALSE)</f>
        <v>宮本武蔵</v>
      </c>
      <c r="U239" s="5">
        <f ca="1">IF(Q239="NULL","NULL",VLOOKUP(G239,ビット!$A$2:$B$7,2))</f>
        <v>200000</v>
      </c>
      <c r="V239">
        <v>200000</v>
      </c>
      <c r="W239" s="6" t="str">
        <f t="shared" ca="1" si="4"/>
        <v>TRUE</v>
      </c>
    </row>
    <row r="240" spans="1:23" ht="21" customHeight="1" x14ac:dyDescent="0.15">
      <c r="A240" s="84">
        <v>432</v>
      </c>
      <c r="B240" s="24" t="str">
        <f ca="1">VLOOKUP($A240,OFFSET([2]characters!$A$1,0,0,COUNTA([2]characters!$A:$A),MATCH(B$1,[2]characters!$1:$1,0)-MATCH($A$1,[2]characters!$1:$1,0)+1),MATCH(B$1,[2]characters!$1:$1,0)-MATCH($A$1,[2]characters!$1:$1,0)+1,FALSE)</f>
        <v>麒麟</v>
      </c>
      <c r="C240" s="24" t="str">
        <f ca="1">VLOOKUP($A240,OFFSET([2]characters!$A$1,0,0,COUNTA([2]characters!$A:$A),MATCH(C$1,[2]characters!$1:$1,0)-MATCH($A$1,[2]characters!$1:$1,0)+1),MATCH(C$1,[2]characters!$1:$1,0)-MATCH($A$1,[2]characters!$1:$1,0)+1,FALSE)</f>
        <v>イベント:超ウィザード</v>
      </c>
      <c r="D240" s="24" t="str">
        <f ca="1">VLOOKUP($A240,OFFSET([2]characters!$A$1,0,0,COUNTA([2]characters!$A:$A),MATCH(D$1,[2]characters!$1:$1,0)-MATCH($A$1,[2]characters!$1:$1,0)+1),MATCH(D$1,[2]characters!$1:$1,0)-MATCH($A$1,[2]characters!$1:$1,0)+1,FALSE)</f>
        <v>執行者</v>
      </c>
      <c r="E240" s="24" t="str">
        <f ca="1">VLOOKUP($A240,OFFSET([2]characters!$A$1,0,0,COUNTA([2]characters!$A:$A),MATCH(E$1,[2]characters!$1:$1,0)-MATCH($A$1,[2]characters!$1:$1,0)+1),MATCH(E$1,[2]characters!$1:$1,0)-MATCH($A$1,[2]characters!$1:$1,0)+1,FALSE)</f>
        <v>格好いい</v>
      </c>
      <c r="F240" s="24" t="str">
        <f ca="1">VLOOKUP($A240,OFFSET([2]characters!$A$1,0,0,COUNTA([2]characters!$A:$A),MATCH(F$1,[2]characters!$1:$1,0)-MATCH($A$1,[2]characters!$1:$1,0)+1),MATCH(F$1,[2]characters!$1:$1,0)-MATCH($A$1,[2]characters!$1:$1,0)+1,FALSE)</f>
        <v>女性</v>
      </c>
      <c r="G240" s="24">
        <f ca="1">VLOOKUP($A240,OFFSET([2]characters!$A$1,0,0,COUNTA([2]characters!$A:$A),MATCH(G$1,[2]characters!$1:$1,0)-MATCH($A$1,[2]characters!$1:$1,0)+1),MATCH(G$1,[2]characters!$1:$1,0)-MATCH($A$1,[2]characters!$1:$1,0)+1,FALSE)</f>
        <v>4</v>
      </c>
      <c r="H240" s="24" t="str">
        <f ca="1">VLOOKUP($A240,OFFSET([2]characters!$A$1,0,0,COUNTA([2]characters!$A:$A),MATCH(H$1,[2]characters!$1:$1,0)-MATCH($A$1,[2]characters!$1:$1,0)+1),MATCH(H$1,[2]characters!$1:$1,0)-MATCH($A$1,[2]characters!$1:$1,0)+1,FALSE)</f>
        <v>DropWizSS</v>
      </c>
      <c r="I240" s="24" t="str">
        <f ca="1">VLOOKUP($A240,OFFSET([2]characters!$A$1,0,0,COUNTA([2]characters!$A:$A),MATCH(I$1,[2]characters!$1:$1,0)-MATCH($A$1,[2]characters!$1:$1,0)+1),MATCH(I$1,[2]characters!$1:$1,0)-MATCH($A$1,[2]characters!$1:$1,0)+1,FALSE)</f>
        <v>yellow</v>
      </c>
      <c r="J240" s="24" t="str">
        <f ca="1">VLOOKUP($A240,OFFSET([2]characters!$A$1,0,0,COUNTA([2]characters!$A:$A),MATCH(J$1,[2]characters!$1:$1,0)-MATCH($A$1,[2]characters!$1:$1,0)+1),MATCH(J$1,[2]characters!$1:$1,0)-MATCH($A$1,[2]characters!$1:$1,0)+1,FALSE)</f>
        <v>none</v>
      </c>
      <c r="K240" s="3" t="str">
        <f ca="1">VLOOKUP(J240,[2]character_tribe_i18n!$A:$H,3,FALSE)</f>
        <v>種族なし</v>
      </c>
      <c r="L240" s="5" t="e">
        <f>VLOOKUP(#REF!,[2]character_tribe_i18n!$A:$H,4,FALSE)</f>
        <v>#REF!</v>
      </c>
      <c r="M240" s="5" t="e">
        <f>VLOOKUP(#REF!,[2]character_tribe_i18n!$A:$H,5,FALSE)</f>
        <v>#REF!</v>
      </c>
      <c r="N240" s="5" t="e">
        <f>VLOOKUP(#REF!,[2]character_tribe_i18n!$A:$H,6,FALSE)</f>
        <v>#REF!</v>
      </c>
      <c r="O240" s="5" t="e">
        <f>VLOOKUP(#REF!,[2]character_tribe_i18n!$A:$H,7,FALSE)</f>
        <v>#REF!</v>
      </c>
      <c r="P240" s="83" t="s">
        <v>170</v>
      </c>
      <c r="Q240">
        <v>433</v>
      </c>
      <c r="R240" s="25" t="str">
        <f ca="1">IF(Q240="NULL","",VLOOKUP($Q240,OFFSET([2]characters!$A$1,0,0,COUNTA([2]characters!$A:$A),MATCH(R$1,[2]characters!$1:$1,0)-MATCH($A$1,[2]characters!$1:$1,0)+1),MATCH(R$1,[2]characters!$1:$1,0)-MATCH($A$1,[2]characters!$1:$1,0)+1,FALSE))</f>
        <v>世稀の現獣 麒麟</v>
      </c>
      <c r="S240" s="3">
        <f t="shared" ca="1" si="3"/>
        <v>432</v>
      </c>
      <c r="T240" s="25" t="str">
        <f ca="1">VLOOKUP($S240,OFFSET([2]characters!$A$1,0,0,COUNTA([2]characters!$A:$A),MATCH(T$1,[2]characters!$1:$1,0)-MATCH($A$1,[2]characters!$1:$1,0)+1),MATCH(T$1,[2]characters!$1:$1,0)-MATCH($A$1,[2]characters!$1:$1,0)+1,FALSE)</f>
        <v>麒麟</v>
      </c>
      <c r="U240" s="5">
        <f ca="1">IF(Q240="NULL","NULL",VLOOKUP(G240,ビット!$A$2:$B$7,2))</f>
        <v>50000</v>
      </c>
      <c r="V240">
        <v>50000</v>
      </c>
      <c r="W240" s="6" t="str">
        <f t="shared" ca="1" si="4"/>
        <v>TRUE</v>
      </c>
    </row>
    <row r="241" spans="1:23" ht="21" customHeight="1" x14ac:dyDescent="0.15">
      <c r="A241" s="84">
        <v>433</v>
      </c>
      <c r="B241" s="24" t="str">
        <f ca="1">VLOOKUP($A241,OFFSET([2]characters!$A$1,0,0,COUNTA([2]characters!$A:$A),MATCH(B$1,[2]characters!$1:$1,0)-MATCH($A$1,[2]characters!$1:$1,0)+1),MATCH(B$1,[2]characters!$1:$1,0)-MATCH($A$1,[2]characters!$1:$1,0)+1,FALSE)</f>
        <v>世稀の現獣 麒麟</v>
      </c>
      <c r="C241" s="24" t="str">
        <f ca="1">VLOOKUP($A241,OFFSET([2]characters!$A$1,0,0,COUNTA([2]characters!$A:$A),MATCH(C$1,[2]characters!$1:$1,0)-MATCH($A$1,[2]characters!$1:$1,0)+1),MATCH(C$1,[2]characters!$1:$1,0)-MATCH($A$1,[2]characters!$1:$1,0)+1,FALSE)</f>
        <v>イベント:超ウィザード</v>
      </c>
      <c r="D241" s="24" t="str">
        <f ca="1">VLOOKUP($A241,OFFSET([2]characters!$A$1,0,0,COUNTA([2]characters!$A:$A),MATCH(D$1,[2]characters!$1:$1,0)-MATCH($A$1,[2]characters!$1:$1,0)+1),MATCH(D$1,[2]characters!$1:$1,0)-MATCH($A$1,[2]characters!$1:$1,0)+1,FALSE)</f>
        <v>執行者</v>
      </c>
      <c r="E241" s="24" t="str">
        <f ca="1">VLOOKUP($A241,OFFSET([2]characters!$A$1,0,0,COUNTA([2]characters!$A:$A),MATCH(E$1,[2]characters!$1:$1,0)-MATCH($A$1,[2]characters!$1:$1,0)+1),MATCH(E$1,[2]characters!$1:$1,0)-MATCH($A$1,[2]characters!$1:$1,0)+1,FALSE)</f>
        <v>格好いい</v>
      </c>
      <c r="F241" s="24" t="str">
        <f ca="1">VLOOKUP($A241,OFFSET([2]characters!$A$1,0,0,COUNTA([2]characters!$A:$A),MATCH(F$1,[2]characters!$1:$1,0)-MATCH($A$1,[2]characters!$1:$1,0)+1),MATCH(F$1,[2]characters!$1:$1,0)-MATCH($A$1,[2]characters!$1:$1,0)+1,FALSE)</f>
        <v>女性</v>
      </c>
      <c r="G241" s="24">
        <f ca="1">VLOOKUP($A241,OFFSET([2]characters!$A$1,0,0,COUNTA([2]characters!$A:$A),MATCH(G$1,[2]characters!$1:$1,0)-MATCH($A$1,[2]characters!$1:$1,0)+1),MATCH(G$1,[2]characters!$1:$1,0)-MATCH($A$1,[2]characters!$1:$1,0)+1,FALSE)</f>
        <v>5</v>
      </c>
      <c r="H241" s="24" t="str">
        <f ca="1">VLOOKUP($A241,OFFSET([2]characters!$A$1,0,0,COUNTA([2]characters!$A:$A),MATCH(H$1,[2]characters!$1:$1,0)-MATCH($A$1,[2]characters!$1:$1,0)+1),MATCH(H$1,[2]characters!$1:$1,0)-MATCH($A$1,[2]characters!$1:$1,0)+1,FALSE)</f>
        <v>DropWizSS</v>
      </c>
      <c r="I241" s="24" t="str">
        <f ca="1">VLOOKUP($A241,OFFSET([2]characters!$A$1,0,0,COUNTA([2]characters!$A:$A),MATCH(I$1,[2]characters!$1:$1,0)-MATCH($A$1,[2]characters!$1:$1,0)+1),MATCH(I$1,[2]characters!$1:$1,0)-MATCH($A$1,[2]characters!$1:$1,0)+1,FALSE)</f>
        <v>yellow</v>
      </c>
      <c r="J241" s="24" t="str">
        <f ca="1">VLOOKUP($A241,OFFSET([2]characters!$A$1,0,0,COUNTA([2]characters!$A:$A),MATCH(J$1,[2]characters!$1:$1,0)-MATCH($A$1,[2]characters!$1:$1,0)+1),MATCH(J$1,[2]characters!$1:$1,0)-MATCH($A$1,[2]characters!$1:$1,0)+1,FALSE)</f>
        <v>none</v>
      </c>
      <c r="K241" s="3" t="str">
        <f ca="1">VLOOKUP(J241,[2]character_tribe_i18n!$A:$H,3,FALSE)</f>
        <v>種族なし</v>
      </c>
      <c r="L241" s="5" t="e">
        <f>VLOOKUP(#REF!,[2]character_tribe_i18n!$A:$H,4,FALSE)</f>
        <v>#REF!</v>
      </c>
      <c r="M241" s="5" t="e">
        <f>VLOOKUP(#REF!,[2]character_tribe_i18n!$A:$H,5,FALSE)</f>
        <v>#REF!</v>
      </c>
      <c r="N241" s="5" t="e">
        <f>VLOOKUP(#REF!,[2]character_tribe_i18n!$A:$H,6,FALSE)</f>
        <v>#REF!</v>
      </c>
      <c r="O241" s="5" t="e">
        <f>VLOOKUP(#REF!,[2]character_tribe_i18n!$A:$H,7,FALSE)</f>
        <v>#REF!</v>
      </c>
      <c r="P241" s="83" t="s">
        <v>170</v>
      </c>
      <c r="Q241">
        <v>802</v>
      </c>
      <c r="R241" s="25" t="str">
        <f ca="1">IF(Q241="NULL","",VLOOKUP($Q241,OFFSET([2]characters!$A$1,0,0,COUNTA([2]characters!$A:$A),MATCH(R$1,[2]characters!$1:$1,0)-MATCH($A$1,[2]characters!$1:$1,0)+1),MATCH(R$1,[2]characters!$1:$1,0)-MATCH($A$1,[2]characters!$1:$1,0)+1,FALSE))</f>
        <v>四聖結終の超獣 麒麟</v>
      </c>
      <c r="S241" s="3">
        <f t="shared" ca="1" si="3"/>
        <v>432</v>
      </c>
      <c r="T241" s="25" t="str">
        <f ca="1">VLOOKUP($S241,OFFSET([2]characters!$A$1,0,0,COUNTA([2]characters!$A:$A),MATCH(T$1,[2]characters!$1:$1,0)-MATCH($A$1,[2]characters!$1:$1,0)+1),MATCH(T$1,[2]characters!$1:$1,0)-MATCH($A$1,[2]characters!$1:$1,0)+1,FALSE)</f>
        <v>麒麟</v>
      </c>
      <c r="U241" s="5">
        <f ca="1">IF(Q241="NULL","NULL",VLOOKUP(G241,ビット!$A$2:$B$7,2))</f>
        <v>200000</v>
      </c>
      <c r="V241">
        <v>200000</v>
      </c>
      <c r="W241" s="6" t="str">
        <f t="shared" ca="1" si="4"/>
        <v>TRUE</v>
      </c>
    </row>
    <row r="242" spans="1:23" ht="21" customHeight="1" x14ac:dyDescent="0.15">
      <c r="A242" s="84">
        <v>434</v>
      </c>
      <c r="B242" s="24" t="str">
        <f ca="1">VLOOKUP($A242,OFFSET([2]characters!$A$1,0,0,COUNTA([2]characters!$A:$A),MATCH(B$1,[2]characters!$1:$1,0)-MATCH($A$1,[2]characters!$1:$1,0)+1),MATCH(B$1,[2]characters!$1:$1,0)-MATCH($A$1,[2]characters!$1:$1,0)+1,FALSE)</f>
        <v>D.R.T.H.</v>
      </c>
      <c r="C242" s="24" t="str">
        <f ca="1">VLOOKUP($A242,OFFSET([2]characters!$A$1,0,0,COUNTA([2]characters!$A:$A),MATCH(C$1,[2]characters!$1:$1,0)-MATCH($A$1,[2]characters!$1:$1,0)+1),MATCH(C$1,[2]characters!$1:$1,0)-MATCH($A$1,[2]characters!$1:$1,0)+1,FALSE)</f>
        <v>ガチャ:オズ01</v>
      </c>
      <c r="D242" s="24" t="str">
        <f ca="1">VLOOKUP($A242,OFFSET([2]characters!$A$1,0,0,COUNTA([2]characters!$A:$A),MATCH(D$1,[2]characters!$1:$1,0)-MATCH($A$1,[2]characters!$1:$1,0)+1),MATCH(D$1,[2]characters!$1:$1,0)-MATCH($A$1,[2]characters!$1:$1,0)+1,FALSE)</f>
        <v>執行者</v>
      </c>
      <c r="E242" s="24" t="str">
        <f ca="1">VLOOKUP($A242,OFFSET([2]characters!$A$1,0,0,COUNTA([2]characters!$A:$A),MATCH(E$1,[2]characters!$1:$1,0)-MATCH($A$1,[2]characters!$1:$1,0)+1),MATCH(E$1,[2]characters!$1:$1,0)-MATCH($A$1,[2]characters!$1:$1,0)+1,FALSE)</f>
        <v>格好いい</v>
      </c>
      <c r="F242" s="24" t="str">
        <f ca="1">VLOOKUP($A242,OFFSET([2]characters!$A$1,0,0,COUNTA([2]characters!$A:$A),MATCH(F$1,[2]characters!$1:$1,0)-MATCH($A$1,[2]characters!$1:$1,0)+1),MATCH(F$1,[2]characters!$1:$1,0)-MATCH($A$1,[2]characters!$1:$1,0)+1,FALSE)</f>
        <v>女性</v>
      </c>
      <c r="G242" s="24">
        <f ca="1">VLOOKUP($A242,OFFSET([2]characters!$A$1,0,0,COUNTA([2]characters!$A:$A),MATCH(G$1,[2]characters!$1:$1,0)-MATCH($A$1,[2]characters!$1:$1,0)+1),MATCH(G$1,[2]characters!$1:$1,0)-MATCH($A$1,[2]characters!$1:$1,0)+1,FALSE)</f>
        <v>4</v>
      </c>
      <c r="H242" s="24" t="str">
        <f ca="1">VLOOKUP($A242,OFFSET([2]characters!$A$1,0,0,COUNTA([2]characters!$A:$A),MATCH(H$1,[2]characters!$1:$1,0)-MATCH($A$1,[2]characters!$1:$1,0)+1),MATCH(H$1,[2]characters!$1:$1,0)-MATCH($A$1,[2]characters!$1:$1,0)+1,FALSE)</f>
        <v>PremiumSS</v>
      </c>
      <c r="I242" s="24" t="str">
        <f ca="1">VLOOKUP($A242,OFFSET([2]characters!$A$1,0,0,COUNTA([2]characters!$A:$A),MATCH(I$1,[2]characters!$1:$1,0)-MATCH($A$1,[2]characters!$1:$1,0)+1),MATCH(I$1,[2]characters!$1:$1,0)-MATCH($A$1,[2]characters!$1:$1,0)+1,FALSE)</f>
        <v>red</v>
      </c>
      <c r="J242" s="24" t="str">
        <f ca="1">VLOOKUP($A242,OFFSET([2]characters!$A$1,0,0,COUNTA([2]characters!$A:$A),MATCH(J$1,[2]characters!$1:$1,0)-MATCH($A$1,[2]characters!$1:$1,0)+1),MATCH(J$1,[2]characters!$1:$1,0)-MATCH($A$1,[2]characters!$1:$1,0)+1,FALSE)</f>
        <v>none</v>
      </c>
      <c r="K242" s="3" t="str">
        <f ca="1">VLOOKUP(J242,[2]character_tribe_i18n!$A:$H,3,FALSE)</f>
        <v>種族なし</v>
      </c>
      <c r="L242" s="5" t="e">
        <f>VLOOKUP(#REF!,[2]character_tribe_i18n!$A:$H,4,FALSE)</f>
        <v>#REF!</v>
      </c>
      <c r="M242" s="5" t="e">
        <f>VLOOKUP(#REF!,[2]character_tribe_i18n!$A:$H,5,FALSE)</f>
        <v>#REF!</v>
      </c>
      <c r="N242" s="5" t="e">
        <f>VLOOKUP(#REF!,[2]character_tribe_i18n!$A:$H,6,FALSE)</f>
        <v>#REF!</v>
      </c>
      <c r="O242" s="5" t="e">
        <f>VLOOKUP(#REF!,[2]character_tribe_i18n!$A:$H,7,FALSE)</f>
        <v>#REF!</v>
      </c>
      <c r="P242" s="83" t="s">
        <v>170</v>
      </c>
      <c r="Q242">
        <v>435</v>
      </c>
      <c r="R242" s="25" t="str">
        <f ca="1">IF(Q242="NULL","",VLOOKUP($Q242,OFFSET([2]characters!$A$1,0,0,COUNTA([2]characters!$A:$A),MATCH(R$1,[2]characters!$1:$1,0)-MATCH($A$1,[2]characters!$1:$1,0)+1),MATCH(R$1,[2]characters!$1:$1,0)-MATCH($A$1,[2]characters!$1:$1,0)+1,FALSE))</f>
        <v>曝弾の密偵 D.R.T.H.</v>
      </c>
      <c r="S242" s="3">
        <f t="shared" ca="1" si="3"/>
        <v>434</v>
      </c>
      <c r="T242" s="25" t="str">
        <f ca="1">VLOOKUP($S242,OFFSET([2]characters!$A$1,0,0,COUNTA([2]characters!$A:$A),MATCH(T$1,[2]characters!$1:$1,0)-MATCH($A$1,[2]characters!$1:$1,0)+1),MATCH(T$1,[2]characters!$1:$1,0)-MATCH($A$1,[2]characters!$1:$1,0)+1,FALSE)</f>
        <v>D.R.T.H.</v>
      </c>
      <c r="U242" s="5">
        <f ca="1">IF(Q242="NULL","NULL",VLOOKUP(G242,ビット!$A$2:$B$7,2))</f>
        <v>50000</v>
      </c>
      <c r="V242">
        <v>50000</v>
      </c>
      <c r="W242" s="6" t="str">
        <f t="shared" ca="1" si="4"/>
        <v>TRUE</v>
      </c>
    </row>
    <row r="243" spans="1:23" ht="21" customHeight="1" x14ac:dyDescent="0.15">
      <c r="A243" s="84">
        <v>435</v>
      </c>
      <c r="B243" s="24" t="str">
        <f ca="1">VLOOKUP($A243,OFFSET([2]characters!$A$1,0,0,COUNTA([2]characters!$A:$A),MATCH(B$1,[2]characters!$1:$1,0)-MATCH($A$1,[2]characters!$1:$1,0)+1),MATCH(B$1,[2]characters!$1:$1,0)-MATCH($A$1,[2]characters!$1:$1,0)+1,FALSE)</f>
        <v>曝弾の密偵 D.R.T.H.</v>
      </c>
      <c r="C243" s="24" t="str">
        <f ca="1">VLOOKUP($A243,OFFSET([2]characters!$A$1,0,0,COUNTA([2]characters!$A:$A),MATCH(C$1,[2]characters!$1:$1,0)-MATCH($A$1,[2]characters!$1:$1,0)+1),MATCH(C$1,[2]characters!$1:$1,0)-MATCH($A$1,[2]characters!$1:$1,0)+1,FALSE)</f>
        <v>ガチャ:オズ01</v>
      </c>
      <c r="D243" s="24" t="str">
        <f ca="1">VLOOKUP($A243,OFFSET([2]characters!$A$1,0,0,COUNTA([2]characters!$A:$A),MATCH(D$1,[2]characters!$1:$1,0)-MATCH($A$1,[2]characters!$1:$1,0)+1),MATCH(D$1,[2]characters!$1:$1,0)-MATCH($A$1,[2]characters!$1:$1,0)+1,FALSE)</f>
        <v>執行者</v>
      </c>
      <c r="E243" s="24" t="str">
        <f ca="1">VLOOKUP($A243,OFFSET([2]characters!$A$1,0,0,COUNTA([2]characters!$A:$A),MATCH(E$1,[2]characters!$1:$1,0)-MATCH($A$1,[2]characters!$1:$1,0)+1),MATCH(E$1,[2]characters!$1:$1,0)-MATCH($A$1,[2]characters!$1:$1,0)+1,FALSE)</f>
        <v>格好いい</v>
      </c>
      <c r="F243" s="24" t="str">
        <f ca="1">VLOOKUP($A243,OFFSET([2]characters!$A$1,0,0,COUNTA([2]characters!$A:$A),MATCH(F$1,[2]characters!$1:$1,0)-MATCH($A$1,[2]characters!$1:$1,0)+1),MATCH(F$1,[2]characters!$1:$1,0)-MATCH($A$1,[2]characters!$1:$1,0)+1,FALSE)</f>
        <v>女性</v>
      </c>
      <c r="G243" s="24">
        <f ca="1">VLOOKUP($A243,OFFSET([2]characters!$A$1,0,0,COUNTA([2]characters!$A:$A),MATCH(G$1,[2]characters!$1:$1,0)-MATCH($A$1,[2]characters!$1:$1,0)+1),MATCH(G$1,[2]characters!$1:$1,0)-MATCH($A$1,[2]characters!$1:$1,0)+1,FALSE)</f>
        <v>5</v>
      </c>
      <c r="H243" s="24" t="str">
        <f ca="1">VLOOKUP($A243,OFFSET([2]characters!$A$1,0,0,COUNTA([2]characters!$A:$A),MATCH(H$1,[2]characters!$1:$1,0)-MATCH($A$1,[2]characters!$1:$1,0)+1),MATCH(H$1,[2]characters!$1:$1,0)-MATCH($A$1,[2]characters!$1:$1,0)+1,FALSE)</f>
        <v>PremiumSS</v>
      </c>
      <c r="I243" s="24" t="str">
        <f ca="1">VLOOKUP($A243,OFFSET([2]characters!$A$1,0,0,COUNTA([2]characters!$A:$A),MATCH(I$1,[2]characters!$1:$1,0)-MATCH($A$1,[2]characters!$1:$1,0)+1),MATCH(I$1,[2]characters!$1:$1,0)-MATCH($A$1,[2]characters!$1:$1,0)+1,FALSE)</f>
        <v>red</v>
      </c>
      <c r="J243" s="24" t="str">
        <f ca="1">VLOOKUP($A243,OFFSET([2]characters!$A$1,0,0,COUNTA([2]characters!$A:$A),MATCH(J$1,[2]characters!$1:$1,0)-MATCH($A$1,[2]characters!$1:$1,0)+1),MATCH(J$1,[2]characters!$1:$1,0)-MATCH($A$1,[2]characters!$1:$1,0)+1,FALSE)</f>
        <v>none</v>
      </c>
      <c r="K243" s="3" t="str">
        <f ca="1">VLOOKUP(J243,[2]character_tribe_i18n!$A:$H,3,FALSE)</f>
        <v>種族なし</v>
      </c>
      <c r="L243" s="5" t="e">
        <f>VLOOKUP(#REF!,[2]character_tribe_i18n!$A:$H,4,FALSE)</f>
        <v>#REF!</v>
      </c>
      <c r="M243" s="5" t="e">
        <f>VLOOKUP(#REF!,[2]character_tribe_i18n!$A:$H,5,FALSE)</f>
        <v>#REF!</v>
      </c>
      <c r="N243" s="5" t="e">
        <f>VLOOKUP(#REF!,[2]character_tribe_i18n!$A:$H,6,FALSE)</f>
        <v>#REF!</v>
      </c>
      <c r="O243" s="5" t="e">
        <f>VLOOKUP(#REF!,[2]character_tribe_i18n!$A:$H,7,FALSE)</f>
        <v>#REF!</v>
      </c>
      <c r="P243" s="83" t="s">
        <v>170</v>
      </c>
      <c r="Q243">
        <v>817</v>
      </c>
      <c r="R243" s="25" t="str">
        <f ca="1">IF(Q243="NULL","",VLOOKUP($Q243,OFFSET([2]characters!$A$1,0,0,COUNTA([2]characters!$A:$A),MATCH(R$1,[2]characters!$1:$1,0)-MATCH($A$1,[2]characters!$1:$1,0)+1),MATCH(R$1,[2]characters!$1:$1,0)-MATCH($A$1,[2]characters!$1:$1,0)+1,FALSE))</f>
        <v>決戦の抗弾 D.R.T.H.</v>
      </c>
      <c r="S243" s="3">
        <f t="shared" ca="1" si="3"/>
        <v>434</v>
      </c>
      <c r="T243" s="25" t="str">
        <f ca="1">VLOOKUP($S243,OFFSET([2]characters!$A$1,0,0,COUNTA([2]characters!$A:$A),MATCH(T$1,[2]characters!$1:$1,0)-MATCH($A$1,[2]characters!$1:$1,0)+1),MATCH(T$1,[2]characters!$1:$1,0)-MATCH($A$1,[2]characters!$1:$1,0)+1,FALSE)</f>
        <v>D.R.T.H.</v>
      </c>
      <c r="U243" s="5">
        <f ca="1">IF(Q243="NULL","NULL",VLOOKUP(G243,ビット!$A$2:$B$7,2))</f>
        <v>200000</v>
      </c>
      <c r="V243">
        <v>200000</v>
      </c>
      <c r="W243" s="6" t="str">
        <f t="shared" ca="1" si="4"/>
        <v>TRUE</v>
      </c>
    </row>
    <row r="244" spans="1:23" ht="21" customHeight="1" x14ac:dyDescent="0.15">
      <c r="A244" s="84">
        <v>436</v>
      </c>
      <c r="B244" s="24" t="str">
        <f ca="1">VLOOKUP($A244,OFFSET([2]characters!$A$1,0,0,COUNTA([2]characters!$A:$A),MATCH(B$1,[2]characters!$1:$1,0)-MATCH($A$1,[2]characters!$1:$1,0)+1),MATCH(B$1,[2]characters!$1:$1,0)-MATCH($A$1,[2]characters!$1:$1,0)+1,FALSE)</f>
        <v>カカシ</v>
      </c>
      <c r="C244" s="24" t="str">
        <f ca="1">VLOOKUP($A244,OFFSET([2]characters!$A$1,0,0,COUNTA([2]characters!$A:$A),MATCH(C$1,[2]characters!$1:$1,0)-MATCH($A$1,[2]characters!$1:$1,0)+1),MATCH(C$1,[2]characters!$1:$1,0)-MATCH($A$1,[2]characters!$1:$1,0)+1,FALSE)</f>
        <v>ガチャ:オズ01</v>
      </c>
      <c r="D244" s="24" t="str">
        <f ca="1">VLOOKUP($A244,OFFSET([2]characters!$A$1,0,0,COUNTA([2]characters!$A:$A),MATCH(D$1,[2]characters!$1:$1,0)-MATCH($A$1,[2]characters!$1:$1,0)+1),MATCH(D$1,[2]characters!$1:$1,0)-MATCH($A$1,[2]characters!$1:$1,0)+1,FALSE)</f>
        <v>執行者</v>
      </c>
      <c r="E244" s="24" t="str">
        <f ca="1">VLOOKUP($A244,OFFSET([2]characters!$A$1,0,0,COUNTA([2]characters!$A:$A),MATCH(E$1,[2]characters!$1:$1,0)-MATCH($A$1,[2]characters!$1:$1,0)+1),MATCH(E$1,[2]characters!$1:$1,0)-MATCH($A$1,[2]characters!$1:$1,0)+1,FALSE)</f>
        <v>格好いい</v>
      </c>
      <c r="F244" s="24" t="str">
        <f ca="1">VLOOKUP($A244,OFFSET([2]characters!$A$1,0,0,COUNTA([2]characters!$A:$A),MATCH(F$1,[2]characters!$1:$1,0)-MATCH($A$1,[2]characters!$1:$1,0)+1),MATCH(F$1,[2]characters!$1:$1,0)-MATCH($A$1,[2]characters!$1:$1,0)+1,FALSE)</f>
        <v>男性</v>
      </c>
      <c r="G244" s="24">
        <f ca="1">VLOOKUP($A244,OFFSET([2]characters!$A$1,0,0,COUNTA([2]characters!$A:$A),MATCH(G$1,[2]characters!$1:$1,0)-MATCH($A$1,[2]characters!$1:$1,0)+1),MATCH(G$1,[2]characters!$1:$1,0)-MATCH($A$1,[2]characters!$1:$1,0)+1,FALSE)</f>
        <v>3</v>
      </c>
      <c r="H244" s="24" t="str">
        <f ca="1">VLOOKUP($A244,OFFSET([2]characters!$A$1,0,0,COUNTA([2]characters!$A:$A),MATCH(H$1,[2]characters!$1:$1,0)-MATCH($A$1,[2]characters!$1:$1,0)+1),MATCH(H$1,[2]characters!$1:$1,0)-MATCH($A$1,[2]characters!$1:$1,0)+1,FALSE)</f>
        <v>PremiumS</v>
      </c>
      <c r="I244" s="24" t="str">
        <f ca="1">VLOOKUP($A244,OFFSET([2]characters!$A$1,0,0,COUNTA([2]characters!$A:$A),MATCH(I$1,[2]characters!$1:$1,0)-MATCH($A$1,[2]characters!$1:$1,0)+1),MATCH(I$1,[2]characters!$1:$1,0)-MATCH($A$1,[2]characters!$1:$1,0)+1,FALSE)</f>
        <v>green</v>
      </c>
      <c r="J244" s="24" t="str">
        <f ca="1">VLOOKUP($A244,OFFSET([2]characters!$A$1,0,0,COUNTA([2]characters!$A:$A),MATCH(J$1,[2]characters!$1:$1,0)-MATCH($A$1,[2]characters!$1:$1,0)+1),MATCH(J$1,[2]characters!$1:$1,0)-MATCH($A$1,[2]characters!$1:$1,0)+1,FALSE)</f>
        <v>machine</v>
      </c>
      <c r="K244" s="3" t="str">
        <f ca="1">VLOOKUP(J244,[2]character_tribe_i18n!$A:$H,3,FALSE)</f>
        <v>マシン</v>
      </c>
      <c r="L244" s="5" t="e">
        <f>VLOOKUP(#REF!,[2]character_tribe_i18n!$A:$H,4,FALSE)</f>
        <v>#REF!</v>
      </c>
      <c r="M244" s="5" t="e">
        <f>VLOOKUP(#REF!,[2]character_tribe_i18n!$A:$H,5,FALSE)</f>
        <v>#REF!</v>
      </c>
      <c r="N244" s="5" t="e">
        <f>VLOOKUP(#REF!,[2]character_tribe_i18n!$A:$H,6,FALSE)</f>
        <v>#REF!</v>
      </c>
      <c r="O244" s="5" t="e">
        <f>VLOOKUP(#REF!,[2]character_tribe_i18n!$A:$H,7,FALSE)</f>
        <v>#REF!</v>
      </c>
      <c r="P244" s="83" t="s">
        <v>170</v>
      </c>
      <c r="Q244">
        <v>437</v>
      </c>
      <c r="R244" s="25" t="str">
        <f ca="1">IF(Q244="NULL","",VLOOKUP($Q244,OFFSET([2]characters!$A$1,0,0,COUNTA([2]characters!$A:$A),MATCH(R$1,[2]characters!$1:$1,0)-MATCH($A$1,[2]characters!$1:$1,0)+1),MATCH(R$1,[2]characters!$1:$1,0)-MATCH($A$1,[2]characters!$1:$1,0)+1,FALSE))</f>
        <v>忘却者 カカシ</v>
      </c>
      <c r="S244" s="3">
        <f t="shared" ca="1" si="3"/>
        <v>436</v>
      </c>
      <c r="T244" s="25" t="str">
        <f ca="1">VLOOKUP($S244,OFFSET([2]characters!$A$1,0,0,COUNTA([2]characters!$A:$A),MATCH(T$1,[2]characters!$1:$1,0)-MATCH($A$1,[2]characters!$1:$1,0)+1),MATCH(T$1,[2]characters!$1:$1,0)-MATCH($A$1,[2]characters!$1:$1,0)+1,FALSE)</f>
        <v>カカシ</v>
      </c>
      <c r="U244" s="5">
        <f ca="1">IF(Q244="NULL","NULL",VLOOKUP(G244,ビット!$A$2:$B$7,2))</f>
        <v>20000</v>
      </c>
      <c r="V244">
        <v>20000</v>
      </c>
      <c r="W244" s="6" t="str">
        <f t="shared" ca="1" si="4"/>
        <v>TRUE</v>
      </c>
    </row>
    <row r="245" spans="1:23" ht="21" customHeight="1" x14ac:dyDescent="0.15">
      <c r="A245" s="84">
        <v>437</v>
      </c>
      <c r="B245" s="24" t="str">
        <f ca="1">VLOOKUP($A245,OFFSET([2]characters!$A$1,0,0,COUNTA([2]characters!$A:$A),MATCH(B$1,[2]characters!$1:$1,0)-MATCH($A$1,[2]characters!$1:$1,0)+1),MATCH(B$1,[2]characters!$1:$1,0)-MATCH($A$1,[2]characters!$1:$1,0)+1,FALSE)</f>
        <v>忘却者 カカシ</v>
      </c>
      <c r="C245" s="24" t="str">
        <f ca="1">VLOOKUP($A245,OFFSET([2]characters!$A$1,0,0,COUNTA([2]characters!$A:$A),MATCH(C$1,[2]characters!$1:$1,0)-MATCH($A$1,[2]characters!$1:$1,0)+1),MATCH(C$1,[2]characters!$1:$1,0)-MATCH($A$1,[2]characters!$1:$1,0)+1,FALSE)</f>
        <v>ガチャ:オズ01</v>
      </c>
      <c r="D245" s="24" t="str">
        <f ca="1">VLOOKUP($A245,OFFSET([2]characters!$A$1,0,0,COUNTA([2]characters!$A:$A),MATCH(D$1,[2]characters!$1:$1,0)-MATCH($A$1,[2]characters!$1:$1,0)+1),MATCH(D$1,[2]characters!$1:$1,0)-MATCH($A$1,[2]characters!$1:$1,0)+1,FALSE)</f>
        <v>執行者</v>
      </c>
      <c r="E245" s="24" t="str">
        <f ca="1">VLOOKUP($A245,OFFSET([2]characters!$A$1,0,0,COUNTA([2]characters!$A:$A),MATCH(E$1,[2]characters!$1:$1,0)-MATCH($A$1,[2]characters!$1:$1,0)+1),MATCH(E$1,[2]characters!$1:$1,0)-MATCH($A$1,[2]characters!$1:$1,0)+1,FALSE)</f>
        <v>格好いい</v>
      </c>
      <c r="F245" s="24" t="str">
        <f ca="1">VLOOKUP($A245,OFFSET([2]characters!$A$1,0,0,COUNTA([2]characters!$A:$A),MATCH(F$1,[2]characters!$1:$1,0)-MATCH($A$1,[2]characters!$1:$1,0)+1),MATCH(F$1,[2]characters!$1:$1,0)-MATCH($A$1,[2]characters!$1:$1,0)+1,FALSE)</f>
        <v>男性</v>
      </c>
      <c r="G245" s="24">
        <f ca="1">VLOOKUP($A245,OFFSET([2]characters!$A$1,0,0,COUNTA([2]characters!$A:$A),MATCH(G$1,[2]characters!$1:$1,0)-MATCH($A$1,[2]characters!$1:$1,0)+1),MATCH(G$1,[2]characters!$1:$1,0)-MATCH($A$1,[2]characters!$1:$1,0)+1,FALSE)</f>
        <v>4</v>
      </c>
      <c r="H245" s="24" t="str">
        <f ca="1">VLOOKUP($A245,OFFSET([2]characters!$A$1,0,0,COUNTA([2]characters!$A:$A),MATCH(H$1,[2]characters!$1:$1,0)-MATCH($A$1,[2]characters!$1:$1,0)+1),MATCH(H$1,[2]characters!$1:$1,0)-MATCH($A$1,[2]characters!$1:$1,0)+1,FALSE)</f>
        <v>PremiumS</v>
      </c>
      <c r="I245" s="24" t="str">
        <f ca="1">VLOOKUP($A245,OFFSET([2]characters!$A$1,0,0,COUNTA([2]characters!$A:$A),MATCH(I$1,[2]characters!$1:$1,0)-MATCH($A$1,[2]characters!$1:$1,0)+1),MATCH(I$1,[2]characters!$1:$1,0)-MATCH($A$1,[2]characters!$1:$1,0)+1,FALSE)</f>
        <v>green</v>
      </c>
      <c r="J245" s="24" t="str">
        <f ca="1">VLOOKUP($A245,OFFSET([2]characters!$A$1,0,0,COUNTA([2]characters!$A:$A),MATCH(J$1,[2]characters!$1:$1,0)-MATCH($A$1,[2]characters!$1:$1,0)+1),MATCH(J$1,[2]characters!$1:$1,0)-MATCH($A$1,[2]characters!$1:$1,0)+1,FALSE)</f>
        <v>machine</v>
      </c>
      <c r="K245" s="3" t="str">
        <f ca="1">VLOOKUP(J245,[2]character_tribe_i18n!$A:$H,3,FALSE)</f>
        <v>マシン</v>
      </c>
      <c r="L245" s="5" t="e">
        <f>VLOOKUP(#REF!,[2]character_tribe_i18n!$A:$H,4,FALSE)</f>
        <v>#REF!</v>
      </c>
      <c r="M245" s="5" t="e">
        <f>VLOOKUP(#REF!,[2]character_tribe_i18n!$A:$H,5,FALSE)</f>
        <v>#REF!</v>
      </c>
      <c r="N245" s="5" t="e">
        <f>VLOOKUP(#REF!,[2]character_tribe_i18n!$A:$H,6,FALSE)</f>
        <v>#REF!</v>
      </c>
      <c r="O245" s="5" t="e">
        <f>VLOOKUP(#REF!,[2]character_tribe_i18n!$A:$H,7,FALSE)</f>
        <v>#REF!</v>
      </c>
      <c r="P245" s="83" t="s">
        <v>170</v>
      </c>
      <c r="Q245">
        <v>438</v>
      </c>
      <c r="R245" s="25" t="str">
        <f ca="1">IF(Q245="NULL","",VLOOKUP($Q245,OFFSET([2]characters!$A$1,0,0,COUNTA([2]characters!$A:$A),MATCH(R$1,[2]characters!$1:$1,0)-MATCH($A$1,[2]characters!$1:$1,0)+1),MATCH(R$1,[2]characters!$1:$1,0)-MATCH($A$1,[2]characters!$1:$1,0)+1,FALSE))</f>
        <v>記憶の奪還 カカシ</v>
      </c>
      <c r="S245" s="3">
        <f t="shared" ca="1" si="3"/>
        <v>436</v>
      </c>
      <c r="T245" s="25" t="str">
        <f ca="1">VLOOKUP($S245,OFFSET([2]characters!$A$1,0,0,COUNTA([2]characters!$A:$A),MATCH(T$1,[2]characters!$1:$1,0)-MATCH($A$1,[2]characters!$1:$1,0)+1),MATCH(T$1,[2]characters!$1:$1,0)-MATCH($A$1,[2]characters!$1:$1,0)+1,FALSE)</f>
        <v>カカシ</v>
      </c>
      <c r="U245" s="5">
        <f ca="1">IF(Q245="NULL","NULL",VLOOKUP(G245,ビット!$A$2:$B$7,2))</f>
        <v>50000</v>
      </c>
      <c r="V245">
        <v>50000</v>
      </c>
      <c r="W245" s="6" t="str">
        <f t="shared" ca="1" si="4"/>
        <v>TRUE</v>
      </c>
    </row>
    <row r="246" spans="1:23" ht="21" customHeight="1" x14ac:dyDescent="0.15">
      <c r="A246" s="84">
        <v>439</v>
      </c>
      <c r="B246" s="24" t="str">
        <f ca="1">VLOOKUP($A246,OFFSET([2]characters!$A$1,0,0,COUNTA([2]characters!$A:$A),MATCH(B$1,[2]characters!$1:$1,0)-MATCH($A$1,[2]characters!$1:$1,0)+1),MATCH(B$1,[2]characters!$1:$1,0)-MATCH($A$1,[2]characters!$1:$1,0)+1,FALSE)</f>
        <v>ブリキロガー</v>
      </c>
      <c r="C246" s="24" t="str">
        <f ca="1">VLOOKUP($A246,OFFSET([2]characters!$A$1,0,0,COUNTA([2]characters!$A:$A),MATCH(C$1,[2]characters!$1:$1,0)-MATCH($A$1,[2]characters!$1:$1,0)+1),MATCH(C$1,[2]characters!$1:$1,0)-MATCH($A$1,[2]characters!$1:$1,0)+1,FALSE)</f>
        <v>ガチャ:オズ01</v>
      </c>
      <c r="D246" s="24" t="str">
        <f ca="1">VLOOKUP($A246,OFFSET([2]characters!$A$1,0,0,COUNTA([2]characters!$A:$A),MATCH(D$1,[2]characters!$1:$1,0)-MATCH($A$1,[2]characters!$1:$1,0)+1),MATCH(D$1,[2]characters!$1:$1,0)-MATCH($A$1,[2]characters!$1:$1,0)+1,FALSE)</f>
        <v>執行者</v>
      </c>
      <c r="E246" s="24" t="str">
        <f ca="1">VLOOKUP($A246,OFFSET([2]characters!$A$1,0,0,COUNTA([2]characters!$A:$A),MATCH(E$1,[2]characters!$1:$1,0)-MATCH($A$1,[2]characters!$1:$1,0)+1),MATCH(E$1,[2]characters!$1:$1,0)-MATCH($A$1,[2]characters!$1:$1,0)+1,FALSE)</f>
        <v>格好いい</v>
      </c>
      <c r="F246" s="24" t="str">
        <f ca="1">VLOOKUP($A246,OFFSET([2]characters!$A$1,0,0,COUNTA([2]characters!$A:$A),MATCH(F$1,[2]characters!$1:$1,0)-MATCH($A$1,[2]characters!$1:$1,0)+1),MATCH(F$1,[2]characters!$1:$1,0)-MATCH($A$1,[2]characters!$1:$1,0)+1,FALSE)</f>
        <v>不明</v>
      </c>
      <c r="G246" s="24">
        <f ca="1">VLOOKUP($A246,OFFSET([2]characters!$A$1,0,0,COUNTA([2]characters!$A:$A),MATCH(G$1,[2]characters!$1:$1,0)-MATCH($A$1,[2]characters!$1:$1,0)+1),MATCH(G$1,[2]characters!$1:$1,0)-MATCH($A$1,[2]characters!$1:$1,0)+1,FALSE)</f>
        <v>3</v>
      </c>
      <c r="H246" s="24" t="str">
        <f ca="1">VLOOKUP($A246,OFFSET([2]characters!$A$1,0,0,COUNTA([2]characters!$A:$A),MATCH(H$1,[2]characters!$1:$1,0)-MATCH($A$1,[2]characters!$1:$1,0)+1),MATCH(H$1,[2]characters!$1:$1,0)-MATCH($A$1,[2]characters!$1:$1,0)+1,FALSE)</f>
        <v>PremiumS</v>
      </c>
      <c r="I246" s="24" t="str">
        <f ca="1">VLOOKUP($A246,OFFSET([2]characters!$A$1,0,0,COUNTA([2]characters!$A:$A),MATCH(I$1,[2]characters!$1:$1,0)-MATCH($A$1,[2]characters!$1:$1,0)+1),MATCH(I$1,[2]characters!$1:$1,0)-MATCH($A$1,[2]characters!$1:$1,0)+1,FALSE)</f>
        <v>blue</v>
      </c>
      <c r="J246" s="24" t="str">
        <f ca="1">VLOOKUP($A246,OFFSET([2]characters!$A$1,0,0,COUNTA([2]characters!$A:$A),MATCH(J$1,[2]characters!$1:$1,0)-MATCH($A$1,[2]characters!$1:$1,0)+1),MATCH(J$1,[2]characters!$1:$1,0)-MATCH($A$1,[2]characters!$1:$1,0)+1,FALSE)</f>
        <v>none</v>
      </c>
      <c r="K246" s="3" t="str">
        <f ca="1">VLOOKUP(J246,[2]character_tribe_i18n!$A:$H,3,FALSE)</f>
        <v>種族なし</v>
      </c>
      <c r="L246" s="5" t="e">
        <f>VLOOKUP(#REF!,[2]character_tribe_i18n!$A:$H,4,FALSE)</f>
        <v>#REF!</v>
      </c>
      <c r="M246" s="5" t="e">
        <f>VLOOKUP(#REF!,[2]character_tribe_i18n!$A:$H,5,FALSE)</f>
        <v>#REF!</v>
      </c>
      <c r="N246" s="5" t="e">
        <f>VLOOKUP(#REF!,[2]character_tribe_i18n!$A:$H,6,FALSE)</f>
        <v>#REF!</v>
      </c>
      <c r="O246" s="5" t="e">
        <f>VLOOKUP(#REF!,[2]character_tribe_i18n!$A:$H,7,FALSE)</f>
        <v>#REF!</v>
      </c>
      <c r="P246" s="83" t="s">
        <v>170</v>
      </c>
      <c r="Q246">
        <v>440</v>
      </c>
      <c r="R246" s="25" t="str">
        <f ca="1">IF(Q246="NULL","",VLOOKUP($Q246,OFFSET([2]characters!$A$1,0,0,COUNTA([2]characters!$A:$A),MATCH(R$1,[2]characters!$1:$1,0)-MATCH($A$1,[2]characters!$1:$1,0)+1),MATCH(R$1,[2]characters!$1:$1,0)-MATCH($A$1,[2]characters!$1:$1,0)+1,FALSE))</f>
        <v>改良型 ブリキロガー</v>
      </c>
      <c r="S246" s="3">
        <f t="shared" ca="1" si="3"/>
        <v>439</v>
      </c>
      <c r="T246" s="25" t="str">
        <f ca="1">VLOOKUP($S246,OFFSET([2]characters!$A$1,0,0,COUNTA([2]characters!$A:$A),MATCH(T$1,[2]characters!$1:$1,0)-MATCH($A$1,[2]characters!$1:$1,0)+1),MATCH(T$1,[2]characters!$1:$1,0)-MATCH($A$1,[2]characters!$1:$1,0)+1,FALSE)</f>
        <v>ブリキロガー</v>
      </c>
      <c r="U246" s="5">
        <f ca="1">IF(Q246="NULL","NULL",VLOOKUP(G246,ビット!$A$2:$B$7,2))</f>
        <v>20000</v>
      </c>
      <c r="V246">
        <v>20000</v>
      </c>
      <c r="W246" s="6" t="str">
        <f t="shared" ca="1" si="4"/>
        <v>TRUE</v>
      </c>
    </row>
    <row r="247" spans="1:23" ht="21" customHeight="1" x14ac:dyDescent="0.15">
      <c r="A247" s="84">
        <v>440</v>
      </c>
      <c r="B247" s="24" t="str">
        <f ca="1">VLOOKUP($A247,OFFSET([2]characters!$A$1,0,0,COUNTA([2]characters!$A:$A),MATCH(B$1,[2]characters!$1:$1,0)-MATCH($A$1,[2]characters!$1:$1,0)+1),MATCH(B$1,[2]characters!$1:$1,0)-MATCH($A$1,[2]characters!$1:$1,0)+1,FALSE)</f>
        <v>改良型 ブリキロガー</v>
      </c>
      <c r="C247" s="24" t="str">
        <f ca="1">VLOOKUP($A247,OFFSET([2]characters!$A$1,0,0,COUNTA([2]characters!$A:$A),MATCH(C$1,[2]characters!$1:$1,0)-MATCH($A$1,[2]characters!$1:$1,0)+1),MATCH(C$1,[2]characters!$1:$1,0)-MATCH($A$1,[2]characters!$1:$1,0)+1,FALSE)</f>
        <v>ガチャ:オズ01</v>
      </c>
      <c r="D247" s="24" t="str">
        <f ca="1">VLOOKUP($A247,OFFSET([2]characters!$A$1,0,0,COUNTA([2]characters!$A:$A),MATCH(D$1,[2]characters!$1:$1,0)-MATCH($A$1,[2]characters!$1:$1,0)+1),MATCH(D$1,[2]characters!$1:$1,0)-MATCH($A$1,[2]characters!$1:$1,0)+1,FALSE)</f>
        <v>執行者</v>
      </c>
      <c r="E247" s="24" t="str">
        <f ca="1">VLOOKUP($A247,OFFSET([2]characters!$A$1,0,0,COUNTA([2]characters!$A:$A),MATCH(E$1,[2]characters!$1:$1,0)-MATCH($A$1,[2]characters!$1:$1,0)+1),MATCH(E$1,[2]characters!$1:$1,0)-MATCH($A$1,[2]characters!$1:$1,0)+1,FALSE)</f>
        <v>格好いい</v>
      </c>
      <c r="F247" s="24" t="str">
        <f ca="1">VLOOKUP($A247,OFFSET([2]characters!$A$1,0,0,COUNTA([2]characters!$A:$A),MATCH(F$1,[2]characters!$1:$1,0)-MATCH($A$1,[2]characters!$1:$1,0)+1),MATCH(F$1,[2]characters!$1:$1,0)-MATCH($A$1,[2]characters!$1:$1,0)+1,FALSE)</f>
        <v>不明</v>
      </c>
      <c r="G247" s="24">
        <f ca="1">VLOOKUP($A247,OFFSET([2]characters!$A$1,0,0,COUNTA([2]characters!$A:$A),MATCH(G$1,[2]characters!$1:$1,0)-MATCH($A$1,[2]characters!$1:$1,0)+1),MATCH(G$1,[2]characters!$1:$1,0)-MATCH($A$1,[2]characters!$1:$1,0)+1,FALSE)</f>
        <v>4</v>
      </c>
      <c r="H247" s="24" t="str">
        <f ca="1">VLOOKUP($A247,OFFSET([2]characters!$A$1,0,0,COUNTA([2]characters!$A:$A),MATCH(H$1,[2]characters!$1:$1,0)-MATCH($A$1,[2]characters!$1:$1,0)+1),MATCH(H$1,[2]characters!$1:$1,0)-MATCH($A$1,[2]characters!$1:$1,0)+1,FALSE)</f>
        <v>PremiumS</v>
      </c>
      <c r="I247" s="24" t="str">
        <f ca="1">VLOOKUP($A247,OFFSET([2]characters!$A$1,0,0,COUNTA([2]characters!$A:$A),MATCH(I$1,[2]characters!$1:$1,0)-MATCH($A$1,[2]characters!$1:$1,0)+1),MATCH(I$1,[2]characters!$1:$1,0)-MATCH($A$1,[2]characters!$1:$1,0)+1,FALSE)</f>
        <v>blue</v>
      </c>
      <c r="J247" s="24" t="str">
        <f ca="1">VLOOKUP($A247,OFFSET([2]characters!$A$1,0,0,COUNTA([2]characters!$A:$A),MATCH(J$1,[2]characters!$1:$1,0)-MATCH($A$1,[2]characters!$1:$1,0)+1),MATCH(J$1,[2]characters!$1:$1,0)-MATCH($A$1,[2]characters!$1:$1,0)+1,FALSE)</f>
        <v>none</v>
      </c>
      <c r="K247" s="3" t="str">
        <f ca="1">VLOOKUP(J247,[2]character_tribe_i18n!$A:$H,3,FALSE)</f>
        <v>種族なし</v>
      </c>
      <c r="L247" s="5" t="e">
        <f>VLOOKUP(#REF!,[2]character_tribe_i18n!$A:$H,4,FALSE)</f>
        <v>#REF!</v>
      </c>
      <c r="M247" s="5" t="e">
        <f>VLOOKUP(#REF!,[2]character_tribe_i18n!$A:$H,5,FALSE)</f>
        <v>#REF!</v>
      </c>
      <c r="N247" s="5" t="e">
        <f>VLOOKUP(#REF!,[2]character_tribe_i18n!$A:$H,6,FALSE)</f>
        <v>#REF!</v>
      </c>
      <c r="O247" s="5" t="e">
        <f>VLOOKUP(#REF!,[2]character_tribe_i18n!$A:$H,7,FALSE)</f>
        <v>#REF!</v>
      </c>
      <c r="P247" s="83" t="s">
        <v>170</v>
      </c>
      <c r="Q247">
        <v>441</v>
      </c>
      <c r="R247" s="25" t="str">
        <f ca="1">IF(Q247="NULL","",VLOOKUP($Q247,OFFSET([2]characters!$A$1,0,0,COUNTA([2]characters!$A:$A),MATCH(R$1,[2]characters!$1:$1,0)-MATCH($A$1,[2]characters!$1:$1,0)+1),MATCH(R$1,[2]characters!$1:$1,0)-MATCH($A$1,[2]characters!$1:$1,0)+1,FALSE))</f>
        <v>求心の錻装 ブリキロガー</v>
      </c>
      <c r="S247" s="3">
        <f t="shared" ca="1" si="3"/>
        <v>439</v>
      </c>
      <c r="T247" s="25" t="str">
        <f ca="1">VLOOKUP($S247,OFFSET([2]characters!$A$1,0,0,COUNTA([2]characters!$A:$A),MATCH(T$1,[2]characters!$1:$1,0)-MATCH($A$1,[2]characters!$1:$1,0)+1),MATCH(T$1,[2]characters!$1:$1,0)-MATCH($A$1,[2]characters!$1:$1,0)+1,FALSE)</f>
        <v>ブリキロガー</v>
      </c>
      <c r="U247" s="5">
        <f ca="1">IF(Q247="NULL","NULL",VLOOKUP(G247,ビット!$A$2:$B$7,2))</f>
        <v>50000</v>
      </c>
      <c r="V247">
        <v>50000</v>
      </c>
      <c r="W247" s="6" t="str">
        <f t="shared" ca="1" si="4"/>
        <v>TRUE</v>
      </c>
    </row>
    <row r="248" spans="1:23" ht="21" customHeight="1" x14ac:dyDescent="0.15">
      <c r="A248" s="84">
        <v>442</v>
      </c>
      <c r="B248" s="24" t="str">
        <f ca="1">VLOOKUP($A248,OFFSET([2]characters!$A$1,0,0,COUNTA([2]characters!$A:$A),MATCH(B$1,[2]characters!$1:$1,0)-MATCH($A$1,[2]characters!$1:$1,0)+1),MATCH(B$1,[2]characters!$1:$1,0)-MATCH($A$1,[2]characters!$1:$1,0)+1,FALSE)</f>
        <v>ブレイブリー・ライオン</v>
      </c>
      <c r="C248" s="24" t="str">
        <f ca="1">VLOOKUP($A248,OFFSET([2]characters!$A$1,0,0,COUNTA([2]characters!$A:$A),MATCH(C$1,[2]characters!$1:$1,0)-MATCH($A$1,[2]characters!$1:$1,0)+1),MATCH(C$1,[2]characters!$1:$1,0)-MATCH($A$1,[2]characters!$1:$1,0)+1,FALSE)</f>
        <v>ガチャ:オズ01</v>
      </c>
      <c r="D248" s="24" t="str">
        <f ca="1">VLOOKUP($A248,OFFSET([2]characters!$A$1,0,0,COUNTA([2]characters!$A:$A),MATCH(D$1,[2]characters!$1:$1,0)-MATCH($A$1,[2]characters!$1:$1,0)+1),MATCH(D$1,[2]characters!$1:$1,0)-MATCH($A$1,[2]characters!$1:$1,0)+1,FALSE)</f>
        <v>執行者</v>
      </c>
      <c r="E248" s="24" t="str">
        <f ca="1">VLOOKUP($A248,OFFSET([2]characters!$A$1,0,0,COUNTA([2]characters!$A:$A),MATCH(E$1,[2]characters!$1:$1,0)-MATCH($A$1,[2]characters!$1:$1,0)+1),MATCH(E$1,[2]characters!$1:$1,0)-MATCH($A$1,[2]characters!$1:$1,0)+1,FALSE)</f>
        <v>格好いい</v>
      </c>
      <c r="F248" s="24" t="str">
        <f ca="1">VLOOKUP($A248,OFFSET([2]characters!$A$1,0,0,COUNTA([2]characters!$A:$A),MATCH(F$1,[2]characters!$1:$1,0)-MATCH($A$1,[2]characters!$1:$1,0)+1),MATCH(F$1,[2]characters!$1:$1,0)-MATCH($A$1,[2]characters!$1:$1,0)+1,FALSE)</f>
        <v>不明</v>
      </c>
      <c r="G248" s="24">
        <f ca="1">VLOOKUP($A248,OFFSET([2]characters!$A$1,0,0,COUNTA([2]characters!$A:$A),MATCH(G$1,[2]characters!$1:$1,0)-MATCH($A$1,[2]characters!$1:$1,0)+1),MATCH(G$1,[2]characters!$1:$1,0)-MATCH($A$1,[2]characters!$1:$1,0)+1,FALSE)</f>
        <v>4</v>
      </c>
      <c r="H248" s="24" t="str">
        <f ca="1">VLOOKUP($A248,OFFSET([2]characters!$A$1,0,0,COUNTA([2]characters!$A:$A),MATCH(H$1,[2]characters!$1:$1,0)-MATCH($A$1,[2]characters!$1:$1,0)+1),MATCH(H$1,[2]characters!$1:$1,0)-MATCH($A$1,[2]characters!$1:$1,0)+1,FALSE)</f>
        <v>PremiumSS</v>
      </c>
      <c r="I248" s="24" t="str">
        <f ca="1">VLOOKUP($A248,OFFSET([2]characters!$A$1,0,0,COUNTA([2]characters!$A:$A),MATCH(I$1,[2]characters!$1:$1,0)-MATCH($A$1,[2]characters!$1:$1,0)+1),MATCH(I$1,[2]characters!$1:$1,0)-MATCH($A$1,[2]characters!$1:$1,0)+1,FALSE)</f>
        <v>yellow</v>
      </c>
      <c r="J248" s="24" t="str">
        <f ca="1">VLOOKUP($A248,OFFSET([2]characters!$A$1,0,0,COUNTA([2]characters!$A:$A),MATCH(J$1,[2]characters!$1:$1,0)-MATCH($A$1,[2]characters!$1:$1,0)+1),MATCH(J$1,[2]characters!$1:$1,0)-MATCH($A$1,[2]characters!$1:$1,0)+1,FALSE)</f>
        <v>none</v>
      </c>
      <c r="K248" s="3" t="str">
        <f ca="1">VLOOKUP(J248,[2]character_tribe_i18n!$A:$H,3,FALSE)</f>
        <v>種族なし</v>
      </c>
      <c r="L248" s="5" t="e">
        <f>VLOOKUP(#REF!,[2]character_tribe_i18n!$A:$H,4,FALSE)</f>
        <v>#REF!</v>
      </c>
      <c r="M248" s="5" t="e">
        <f>VLOOKUP(#REF!,[2]character_tribe_i18n!$A:$H,5,FALSE)</f>
        <v>#REF!</v>
      </c>
      <c r="N248" s="5" t="e">
        <f>VLOOKUP(#REF!,[2]character_tribe_i18n!$A:$H,6,FALSE)</f>
        <v>#REF!</v>
      </c>
      <c r="O248" s="5" t="e">
        <f>VLOOKUP(#REF!,[2]character_tribe_i18n!$A:$H,7,FALSE)</f>
        <v>#REF!</v>
      </c>
      <c r="P248" s="83" t="s">
        <v>170</v>
      </c>
      <c r="Q248">
        <v>443</v>
      </c>
      <c r="R248" s="25" t="str">
        <f ca="1">IF(Q248="NULL","",VLOOKUP($Q248,OFFSET([2]characters!$A$1,0,0,COUNTA([2]characters!$A:$A),MATCH(R$1,[2]characters!$1:$1,0)-MATCH($A$1,[2]characters!$1:$1,0)+1),MATCH(R$1,[2]characters!$1:$1,0)-MATCH($A$1,[2]characters!$1:$1,0)+1,FALSE))</f>
        <v>勇機結集 ブレイブリー・ライオン</v>
      </c>
      <c r="S248" s="3">
        <f t="shared" ca="1" si="3"/>
        <v>442</v>
      </c>
      <c r="T248" s="25" t="str">
        <f ca="1">VLOOKUP($S248,OFFSET([2]characters!$A$1,0,0,COUNTA([2]characters!$A:$A),MATCH(T$1,[2]characters!$1:$1,0)-MATCH($A$1,[2]characters!$1:$1,0)+1),MATCH(T$1,[2]characters!$1:$1,0)-MATCH($A$1,[2]characters!$1:$1,0)+1,FALSE)</f>
        <v>ブレイブリー・ライオン</v>
      </c>
      <c r="U248" s="5">
        <f ca="1">IF(Q248="NULL","NULL",VLOOKUP(G248,ビット!$A$2:$B$7,2))</f>
        <v>50000</v>
      </c>
      <c r="V248">
        <v>50000</v>
      </c>
      <c r="W248" s="6" t="str">
        <f t="shared" ca="1" si="4"/>
        <v>TRUE</v>
      </c>
    </row>
    <row r="249" spans="1:23" ht="21" customHeight="1" x14ac:dyDescent="0.15">
      <c r="A249" s="84">
        <v>452</v>
      </c>
      <c r="B249" s="24" t="str">
        <f ca="1">VLOOKUP($A249,OFFSET([2]characters!$A$1,0,0,COUNTA([2]characters!$A:$A),MATCH(B$1,[2]characters!$1:$1,0)-MATCH($A$1,[2]characters!$1:$1,0)+1),MATCH(B$1,[2]characters!$1:$1,0)-MATCH($A$1,[2]characters!$1:$1,0)+1,FALSE)</f>
        <v>猛狐 エゾ</v>
      </c>
      <c r="C249" s="24" t="str">
        <f ca="1">VLOOKUP($A249,OFFSET([2]characters!$A$1,0,0,COUNTA([2]characters!$A:$A),MATCH(C$1,[2]characters!$1:$1,0)-MATCH($A$1,[2]characters!$1:$1,0)+1),MATCH(C$1,[2]characters!$1:$1,0)-MATCH($A$1,[2]characters!$1:$1,0)+1,FALSE)</f>
        <v>イベント:オリジナル01</v>
      </c>
      <c r="D249" s="24" t="str">
        <f ca="1">VLOOKUP($A249,OFFSET([2]characters!$A$1,0,0,COUNTA([2]characters!$A:$A),MATCH(D$1,[2]characters!$1:$1,0)-MATCH($A$1,[2]characters!$1:$1,0)+1),MATCH(D$1,[2]characters!$1:$1,0)-MATCH($A$1,[2]characters!$1:$1,0)+1,FALSE)</f>
        <v>執行者</v>
      </c>
      <c r="E249" s="24" t="str">
        <f ca="1">VLOOKUP($A249,OFFSET([2]characters!$A$1,0,0,COUNTA([2]characters!$A:$A),MATCH(E$1,[2]characters!$1:$1,0)-MATCH($A$1,[2]characters!$1:$1,0)+1),MATCH(E$1,[2]characters!$1:$1,0)-MATCH($A$1,[2]characters!$1:$1,0)+1,FALSE)</f>
        <v>格好いい</v>
      </c>
      <c r="F249" s="24" t="str">
        <f ca="1">VLOOKUP($A249,OFFSET([2]characters!$A$1,0,0,COUNTA([2]characters!$A:$A),MATCH(F$1,[2]characters!$1:$1,0)-MATCH($A$1,[2]characters!$1:$1,0)+1),MATCH(F$1,[2]characters!$1:$1,0)-MATCH($A$1,[2]characters!$1:$1,0)+1,FALSE)</f>
        <v>男性</v>
      </c>
      <c r="G249" s="24">
        <f ca="1">VLOOKUP($A249,OFFSET([2]characters!$A$1,0,0,COUNTA([2]characters!$A:$A),MATCH(G$1,[2]characters!$1:$1,0)-MATCH($A$1,[2]characters!$1:$1,0)+1),MATCH(G$1,[2]characters!$1:$1,0)-MATCH($A$1,[2]characters!$1:$1,0)+1,FALSE)</f>
        <v>4</v>
      </c>
      <c r="H249" s="24" t="str">
        <f ca="1">VLOOKUP($A249,OFFSET([2]characters!$A$1,0,0,COUNTA([2]characters!$A:$A),MATCH(H$1,[2]characters!$1:$1,0)-MATCH($A$1,[2]characters!$1:$1,0)+1),MATCH(H$1,[2]characters!$1:$1,0)-MATCH($A$1,[2]characters!$1:$1,0)+1,FALSE)</f>
        <v>Drop2N</v>
      </c>
      <c r="I249" s="24" t="str">
        <f ca="1">VLOOKUP($A249,OFFSET([2]characters!$A$1,0,0,COUNTA([2]characters!$A:$A),MATCH(I$1,[2]characters!$1:$1,0)-MATCH($A$1,[2]characters!$1:$1,0)+1),MATCH(I$1,[2]characters!$1:$1,0)-MATCH($A$1,[2]characters!$1:$1,0)+1,FALSE)</f>
        <v>red</v>
      </c>
      <c r="J249" s="24" t="str">
        <f ca="1">VLOOKUP($A249,OFFSET([2]characters!$A$1,0,0,COUNTA([2]characters!$A:$A),MATCH(J$1,[2]characters!$1:$1,0)-MATCH($A$1,[2]characters!$1:$1,0)+1),MATCH(J$1,[2]characters!$1:$1,0)-MATCH($A$1,[2]characters!$1:$1,0)+1,FALSE)</f>
        <v>none</v>
      </c>
      <c r="K249" s="3" t="str">
        <f ca="1">VLOOKUP(J249,[2]character_tribe_i18n!$A:$H,3,FALSE)</f>
        <v>種族なし</v>
      </c>
      <c r="L249" s="5" t="e">
        <f>VLOOKUP(#REF!,[2]character_tribe_i18n!$A:$H,4,FALSE)</f>
        <v>#REF!</v>
      </c>
      <c r="M249" s="5" t="e">
        <f>VLOOKUP(#REF!,[2]character_tribe_i18n!$A:$H,5,FALSE)</f>
        <v>#REF!</v>
      </c>
      <c r="N249" s="5" t="e">
        <f>VLOOKUP(#REF!,[2]character_tribe_i18n!$A:$H,6,FALSE)</f>
        <v>#REF!</v>
      </c>
      <c r="O249" s="5" t="e">
        <f>VLOOKUP(#REF!,[2]character_tribe_i18n!$A:$H,7,FALSE)</f>
        <v>#REF!</v>
      </c>
      <c r="P249" s="83" t="s">
        <v>170</v>
      </c>
      <c r="Q249">
        <v>453</v>
      </c>
      <c r="R249" s="25" t="str">
        <f ca="1">IF(Q249="NULL","",VLOOKUP($Q249,OFFSET([2]characters!$A$1,0,0,COUNTA([2]characters!$A:$A),MATCH(R$1,[2]characters!$1:$1,0)-MATCH($A$1,[2]characters!$1:$1,0)+1),MATCH(R$1,[2]characters!$1:$1,0)-MATCH($A$1,[2]characters!$1:$1,0)+1,FALSE))</f>
        <v>急尾の猛狐 エゾ</v>
      </c>
      <c r="S249" s="3">
        <f t="shared" ca="1" si="3"/>
        <v>452</v>
      </c>
      <c r="T249" s="25" t="str">
        <f ca="1">VLOOKUP($S249,OFFSET([2]characters!$A$1,0,0,COUNTA([2]characters!$A:$A),MATCH(T$1,[2]characters!$1:$1,0)-MATCH($A$1,[2]characters!$1:$1,0)+1),MATCH(T$1,[2]characters!$1:$1,0)-MATCH($A$1,[2]characters!$1:$1,0)+1,FALSE)</f>
        <v>猛狐 エゾ</v>
      </c>
      <c r="U249" s="5">
        <f ca="1">IF(Q249="NULL","NULL",VLOOKUP(G249,ビット!$A$2:$B$7,2))</f>
        <v>50000</v>
      </c>
      <c r="V249">
        <v>50000</v>
      </c>
      <c r="W249" s="6" t="str">
        <f t="shared" ca="1" si="4"/>
        <v>TRUE</v>
      </c>
    </row>
    <row r="250" spans="1:23" s="82" customFormat="1" ht="21" customHeight="1" x14ac:dyDescent="0.15">
      <c r="A250" s="84">
        <v>454</v>
      </c>
      <c r="B250" s="79" t="str">
        <f ca="1">VLOOKUP($A250,OFFSET([2]characters!$A$1,0,0,COUNTA([2]characters!$A:$A),MATCH(B$1,[2]characters!$1:$1,0)-MATCH($A$1,[2]characters!$1:$1,0)+1),MATCH(B$1,[2]characters!$1:$1,0)-MATCH($A$1,[2]characters!$1:$1,0)+1,FALSE)</f>
        <v>二闘 レッサとギガン</v>
      </c>
      <c r="C250" s="79" t="str">
        <f ca="1">VLOOKUP($A250,OFFSET([2]characters!$A$1,0,0,COUNTA([2]characters!$A:$A),MATCH(C$1,[2]characters!$1:$1,0)-MATCH($A$1,[2]characters!$1:$1,0)+1),MATCH(C$1,[2]characters!$1:$1,0)-MATCH($A$1,[2]characters!$1:$1,0)+1,FALSE)</f>
        <v>イベント:オリジナル01</v>
      </c>
      <c r="D250" s="79" t="str">
        <f ca="1">VLOOKUP($A250,OFFSET([2]characters!$A$1,0,0,COUNTA([2]characters!$A:$A),MATCH(D$1,[2]characters!$1:$1,0)-MATCH($A$1,[2]characters!$1:$1,0)+1),MATCH(D$1,[2]characters!$1:$1,0)-MATCH($A$1,[2]characters!$1:$1,0)+1,FALSE)</f>
        <v>執行者</v>
      </c>
      <c r="E250" s="79" t="str">
        <f ca="1">VLOOKUP($A250,OFFSET([2]characters!$A$1,0,0,COUNTA([2]characters!$A:$A),MATCH(E$1,[2]characters!$1:$1,0)-MATCH($A$1,[2]characters!$1:$1,0)+1),MATCH(E$1,[2]characters!$1:$1,0)-MATCH($A$1,[2]characters!$1:$1,0)+1,FALSE)</f>
        <v>格好いい</v>
      </c>
      <c r="F250" s="79" t="str">
        <f ca="1">VLOOKUP($A250,OFFSET([2]characters!$A$1,0,0,COUNTA([2]characters!$A:$A),MATCH(F$1,[2]characters!$1:$1,0)-MATCH($A$1,[2]characters!$1:$1,0)+1),MATCH(F$1,[2]characters!$1:$1,0)-MATCH($A$1,[2]characters!$1:$1,0)+1,FALSE)</f>
        <v>男性</v>
      </c>
      <c r="G250" s="79">
        <f ca="1">VLOOKUP($A250,OFFSET([2]characters!$A$1,0,0,COUNTA([2]characters!$A:$A),MATCH(G$1,[2]characters!$1:$1,0)-MATCH($A$1,[2]characters!$1:$1,0)+1),MATCH(G$1,[2]characters!$1:$1,0)-MATCH($A$1,[2]characters!$1:$1,0)+1,FALSE)</f>
        <v>4</v>
      </c>
      <c r="H250" s="79" t="str">
        <f ca="1">VLOOKUP($A250,OFFSET([2]characters!$A$1,0,0,COUNTA([2]characters!$A:$A),MATCH(H$1,[2]characters!$1:$1,0)-MATCH($A$1,[2]characters!$1:$1,0)+1),MATCH(H$1,[2]characters!$1:$1,0)-MATCH($A$1,[2]characters!$1:$1,0)+1,FALSE)</f>
        <v>Drop2N</v>
      </c>
      <c r="I250" s="79" t="str">
        <f ca="1">VLOOKUP($A250,OFFSET([2]characters!$A$1,0,0,COUNTA([2]characters!$A:$A),MATCH(I$1,[2]characters!$1:$1,0)-MATCH($A$1,[2]characters!$1:$1,0)+1),MATCH(I$1,[2]characters!$1:$1,0)-MATCH($A$1,[2]characters!$1:$1,0)+1,FALSE)</f>
        <v>green</v>
      </c>
      <c r="J250" s="79" t="str">
        <f ca="1">VLOOKUP($A250,OFFSET([2]characters!$A$1,0,0,COUNTA([2]characters!$A:$A),MATCH(J$1,[2]characters!$1:$1,0)-MATCH($A$1,[2]characters!$1:$1,0)+1),MATCH(J$1,[2]characters!$1:$1,0)-MATCH($A$1,[2]characters!$1:$1,0)+1,FALSE)</f>
        <v>machine</v>
      </c>
      <c r="K250" s="80" t="str">
        <f ca="1">VLOOKUP(J250,[2]character_tribe_i18n!$A:$H,3,FALSE)</f>
        <v>マシン</v>
      </c>
      <c r="L250" s="28" t="e">
        <f>VLOOKUP(#REF!,[2]character_tribe_i18n!$A:$H,4,FALSE)</f>
        <v>#REF!</v>
      </c>
      <c r="M250" s="28" t="e">
        <f>VLOOKUP(#REF!,[2]character_tribe_i18n!$A:$H,5,FALSE)</f>
        <v>#REF!</v>
      </c>
      <c r="N250" s="28" t="e">
        <f>VLOOKUP(#REF!,[2]character_tribe_i18n!$A:$H,6,FALSE)</f>
        <v>#REF!</v>
      </c>
      <c r="O250" s="28" t="e">
        <f>VLOOKUP(#REF!,[2]character_tribe_i18n!$A:$H,7,FALSE)</f>
        <v>#REF!</v>
      </c>
      <c r="P250" s="83" t="s">
        <v>170</v>
      </c>
      <c r="Q250">
        <v>455</v>
      </c>
      <c r="R250" s="81" t="str">
        <f ca="1">IF(Q250="NULL","",VLOOKUP($Q250,OFFSET([2]characters!$A$1,0,0,COUNTA([2]characters!$A:$A),MATCH(R$1,[2]characters!$1:$1,0)-MATCH($A$1,[2]characters!$1:$1,0)+1),MATCH(R$1,[2]characters!$1:$1,0)-MATCH($A$1,[2]characters!$1:$1,0)+1,FALSE))</f>
        <v>廃街の二闘 レッサとギガン</v>
      </c>
      <c r="S250" s="80">
        <f t="shared" ca="1" si="3"/>
        <v>454</v>
      </c>
      <c r="T250" s="81" t="str">
        <f ca="1">VLOOKUP($S250,OFFSET([2]characters!$A$1,0,0,COUNTA([2]characters!$A:$A),MATCH(T$1,[2]characters!$1:$1,0)-MATCH($A$1,[2]characters!$1:$1,0)+1),MATCH(T$1,[2]characters!$1:$1,0)-MATCH($A$1,[2]characters!$1:$1,0)+1,FALSE)</f>
        <v>二闘 レッサとギガン</v>
      </c>
      <c r="U250" s="28">
        <f ca="1">IF(Q250="NULL","NULL",VLOOKUP(G250,ビット!$A$2:$B$7,2))</f>
        <v>50000</v>
      </c>
      <c r="V250">
        <v>50000</v>
      </c>
      <c r="W250" s="6" t="str">
        <f t="shared" ca="1" si="4"/>
        <v>TRUE</v>
      </c>
    </row>
    <row r="251" spans="1:23" ht="21" customHeight="1" x14ac:dyDescent="0.15">
      <c r="A251" s="84">
        <v>456</v>
      </c>
      <c r="B251" s="24" t="str">
        <f ca="1">VLOOKUP($A251,OFFSET([2]characters!$A$1,0,0,COUNTA([2]characters!$A:$A),MATCH(B$1,[2]characters!$1:$1,0)-MATCH($A$1,[2]characters!$1:$1,0)+1),MATCH(B$1,[2]characters!$1:$1,0)-MATCH($A$1,[2]characters!$1:$1,0)+1,FALSE)</f>
        <v>射絶 ユヅル</v>
      </c>
      <c r="C251" s="24" t="str">
        <f ca="1">VLOOKUP($A251,OFFSET([2]characters!$A$1,0,0,COUNTA([2]characters!$A:$A),MATCH(C$1,[2]characters!$1:$1,0)-MATCH($A$1,[2]characters!$1:$1,0)+1),MATCH(C$1,[2]characters!$1:$1,0)-MATCH($A$1,[2]characters!$1:$1,0)+1,FALSE)</f>
        <v>イベント:オリジナル01</v>
      </c>
      <c r="D251" s="24" t="str">
        <f ca="1">VLOOKUP($A251,OFFSET([2]characters!$A$1,0,0,COUNTA([2]characters!$A:$A),MATCH(D$1,[2]characters!$1:$1,0)-MATCH($A$1,[2]characters!$1:$1,0)+1),MATCH(D$1,[2]characters!$1:$1,0)-MATCH($A$1,[2]characters!$1:$1,0)+1,FALSE)</f>
        <v>執行者</v>
      </c>
      <c r="E251" s="24" t="str">
        <f ca="1">VLOOKUP($A251,OFFSET([2]characters!$A$1,0,0,COUNTA([2]characters!$A:$A),MATCH(E$1,[2]characters!$1:$1,0)-MATCH($A$1,[2]characters!$1:$1,0)+1),MATCH(E$1,[2]characters!$1:$1,0)-MATCH($A$1,[2]characters!$1:$1,0)+1,FALSE)</f>
        <v>格好いい</v>
      </c>
      <c r="F251" s="24" t="str">
        <f ca="1">VLOOKUP($A251,OFFSET([2]characters!$A$1,0,0,COUNTA([2]characters!$A:$A),MATCH(F$1,[2]characters!$1:$1,0)-MATCH($A$1,[2]characters!$1:$1,0)+1),MATCH(F$1,[2]characters!$1:$1,0)-MATCH($A$1,[2]characters!$1:$1,0)+1,FALSE)</f>
        <v>女性</v>
      </c>
      <c r="G251" s="24">
        <f ca="1">VLOOKUP($A251,OFFSET([2]characters!$A$1,0,0,COUNTA([2]characters!$A:$A),MATCH(G$1,[2]characters!$1:$1,0)-MATCH($A$1,[2]characters!$1:$1,0)+1),MATCH(G$1,[2]characters!$1:$1,0)-MATCH($A$1,[2]characters!$1:$1,0)+1,FALSE)</f>
        <v>4</v>
      </c>
      <c r="H251" s="24" t="str">
        <f ca="1">VLOOKUP($A251,OFFSET([2]characters!$A$1,0,0,COUNTA([2]characters!$A:$A),MATCH(H$1,[2]characters!$1:$1,0)-MATCH($A$1,[2]characters!$1:$1,0)+1),MATCH(H$1,[2]characters!$1:$1,0)-MATCH($A$1,[2]characters!$1:$1,0)+1,FALSE)</f>
        <v>Drop2N</v>
      </c>
      <c r="I251" s="24" t="str">
        <f ca="1">VLOOKUP($A251,OFFSET([2]characters!$A$1,0,0,COUNTA([2]characters!$A:$A),MATCH(I$1,[2]characters!$1:$1,0)-MATCH($A$1,[2]characters!$1:$1,0)+1),MATCH(I$1,[2]characters!$1:$1,0)-MATCH($A$1,[2]characters!$1:$1,0)+1,FALSE)</f>
        <v>blue</v>
      </c>
      <c r="J251" s="24" t="str">
        <f ca="1">VLOOKUP($A251,OFFSET([2]characters!$A$1,0,0,COUNTA([2]characters!$A:$A),MATCH(J$1,[2]characters!$1:$1,0)-MATCH($A$1,[2]characters!$1:$1,0)+1),MATCH(J$1,[2]characters!$1:$1,0)-MATCH($A$1,[2]characters!$1:$1,0)+1,FALSE)</f>
        <v>none</v>
      </c>
      <c r="K251" s="3" t="str">
        <f ca="1">VLOOKUP(J251,[2]character_tribe_i18n!$A:$H,3,FALSE)</f>
        <v>種族なし</v>
      </c>
      <c r="L251" s="5" t="e">
        <f>VLOOKUP(#REF!,[2]character_tribe_i18n!$A:$H,4,FALSE)</f>
        <v>#REF!</v>
      </c>
      <c r="M251" s="5" t="e">
        <f>VLOOKUP(#REF!,[2]character_tribe_i18n!$A:$H,5,FALSE)</f>
        <v>#REF!</v>
      </c>
      <c r="N251" s="5" t="e">
        <f>VLOOKUP(#REF!,[2]character_tribe_i18n!$A:$H,6,FALSE)</f>
        <v>#REF!</v>
      </c>
      <c r="O251" s="5" t="e">
        <f>VLOOKUP(#REF!,[2]character_tribe_i18n!$A:$H,7,FALSE)</f>
        <v>#REF!</v>
      </c>
      <c r="P251" s="83" t="s">
        <v>170</v>
      </c>
      <c r="Q251">
        <v>457</v>
      </c>
      <c r="R251" s="25" t="str">
        <f ca="1">IF(Q251="NULL","",VLOOKUP($Q251,OFFSET([2]characters!$A$1,0,0,COUNTA([2]characters!$A:$A),MATCH(R$1,[2]characters!$1:$1,0)-MATCH($A$1,[2]characters!$1:$1,0)+1),MATCH(R$1,[2]characters!$1:$1,0)-MATCH($A$1,[2]characters!$1:$1,0)+1,FALSE))</f>
        <v>京速射絶 ユヅル</v>
      </c>
      <c r="S251" s="3">
        <f t="shared" ca="1" si="3"/>
        <v>456</v>
      </c>
      <c r="T251" s="25" t="str">
        <f ca="1">VLOOKUP($S251,OFFSET([2]characters!$A$1,0,0,COUNTA([2]characters!$A:$A),MATCH(T$1,[2]characters!$1:$1,0)-MATCH($A$1,[2]characters!$1:$1,0)+1),MATCH(T$1,[2]characters!$1:$1,0)-MATCH($A$1,[2]characters!$1:$1,0)+1,FALSE)</f>
        <v>射絶 ユヅル</v>
      </c>
      <c r="U251" s="5">
        <f ca="1">IF(Q251="NULL","NULL",VLOOKUP(G251,ビット!$A$2:$B$7,2))</f>
        <v>50000</v>
      </c>
      <c r="V251">
        <v>50000</v>
      </c>
      <c r="W251" s="6" t="str">
        <f t="shared" ca="1" si="4"/>
        <v>TRUE</v>
      </c>
    </row>
    <row r="252" spans="1:23" ht="21" customHeight="1" x14ac:dyDescent="0.15">
      <c r="A252" s="84">
        <v>458</v>
      </c>
      <c r="B252" s="24" t="str">
        <f ca="1">VLOOKUP($A252,OFFSET([2]characters!$A$1,0,0,COUNTA([2]characters!$A:$A),MATCH(B$1,[2]characters!$1:$1,0)-MATCH($A$1,[2]characters!$1:$1,0)+1),MATCH(B$1,[2]characters!$1:$1,0)-MATCH($A$1,[2]characters!$1:$1,0)+1,FALSE)</f>
        <v>嵐龍 スガル</v>
      </c>
      <c r="C252" s="24" t="str">
        <f ca="1">VLOOKUP($A252,OFFSET([2]characters!$A$1,0,0,COUNTA([2]characters!$A:$A),MATCH(C$1,[2]characters!$1:$1,0)-MATCH($A$1,[2]characters!$1:$1,0)+1),MATCH(C$1,[2]characters!$1:$1,0)-MATCH($A$1,[2]characters!$1:$1,0)+1,FALSE)</f>
        <v>イベント:オリジナル01</v>
      </c>
      <c r="D252" s="24" t="str">
        <f ca="1">VLOOKUP($A252,OFFSET([2]characters!$A$1,0,0,COUNTA([2]characters!$A:$A),MATCH(D$1,[2]characters!$1:$1,0)-MATCH($A$1,[2]characters!$1:$1,0)+1),MATCH(D$1,[2]characters!$1:$1,0)-MATCH($A$1,[2]characters!$1:$1,0)+1,FALSE)</f>
        <v>執行者</v>
      </c>
      <c r="E252" s="24" t="str">
        <f ca="1">VLOOKUP($A252,OFFSET([2]characters!$A$1,0,0,COUNTA([2]characters!$A:$A),MATCH(E$1,[2]characters!$1:$1,0)-MATCH($A$1,[2]characters!$1:$1,0)+1),MATCH(E$1,[2]characters!$1:$1,0)-MATCH($A$1,[2]characters!$1:$1,0)+1,FALSE)</f>
        <v>格好いい</v>
      </c>
      <c r="F252" s="24" t="str">
        <f ca="1">VLOOKUP($A252,OFFSET([2]characters!$A$1,0,0,COUNTA([2]characters!$A:$A),MATCH(F$1,[2]characters!$1:$1,0)-MATCH($A$1,[2]characters!$1:$1,0)+1),MATCH(F$1,[2]characters!$1:$1,0)-MATCH($A$1,[2]characters!$1:$1,0)+1,FALSE)</f>
        <v>男性</v>
      </c>
      <c r="G252" s="24">
        <f ca="1">VLOOKUP($A252,OFFSET([2]characters!$A$1,0,0,COUNTA([2]characters!$A:$A),MATCH(G$1,[2]characters!$1:$1,0)-MATCH($A$1,[2]characters!$1:$1,0)+1),MATCH(G$1,[2]characters!$1:$1,0)-MATCH($A$1,[2]characters!$1:$1,0)+1,FALSE)</f>
        <v>4</v>
      </c>
      <c r="H252" s="24" t="str">
        <f ca="1">VLOOKUP($A252,OFFSET([2]characters!$A$1,0,0,COUNTA([2]characters!$A:$A),MATCH(H$1,[2]characters!$1:$1,0)-MATCH($A$1,[2]characters!$1:$1,0)+1),MATCH(H$1,[2]characters!$1:$1,0)-MATCH($A$1,[2]characters!$1:$1,0)+1,FALSE)</f>
        <v>Drop2N</v>
      </c>
      <c r="I252" s="24" t="str">
        <f ca="1">VLOOKUP($A252,OFFSET([2]characters!$A$1,0,0,COUNTA([2]characters!$A:$A),MATCH(I$1,[2]characters!$1:$1,0)-MATCH($A$1,[2]characters!$1:$1,0)+1),MATCH(I$1,[2]characters!$1:$1,0)-MATCH($A$1,[2]characters!$1:$1,0)+1,FALSE)</f>
        <v>yellow</v>
      </c>
      <c r="J252" s="24" t="str">
        <f ca="1">VLOOKUP($A252,OFFSET([2]characters!$A$1,0,0,COUNTA([2]characters!$A:$A),MATCH(J$1,[2]characters!$1:$1,0)-MATCH($A$1,[2]characters!$1:$1,0)+1),MATCH(J$1,[2]characters!$1:$1,0)-MATCH($A$1,[2]characters!$1:$1,0)+1,FALSE)</f>
        <v>none</v>
      </c>
      <c r="K252" s="3" t="str">
        <f ca="1">VLOOKUP(J252,[2]character_tribe_i18n!$A:$H,3,FALSE)</f>
        <v>種族なし</v>
      </c>
      <c r="L252" s="5" t="e">
        <f>VLOOKUP(#REF!,[2]character_tribe_i18n!$A:$H,4,FALSE)</f>
        <v>#REF!</v>
      </c>
      <c r="M252" s="5" t="e">
        <f>VLOOKUP(#REF!,[2]character_tribe_i18n!$A:$H,5,FALSE)</f>
        <v>#REF!</v>
      </c>
      <c r="N252" s="5" t="e">
        <f>VLOOKUP(#REF!,[2]character_tribe_i18n!$A:$H,6,FALSE)</f>
        <v>#REF!</v>
      </c>
      <c r="O252" s="5" t="e">
        <f>VLOOKUP(#REF!,[2]character_tribe_i18n!$A:$H,7,FALSE)</f>
        <v>#REF!</v>
      </c>
      <c r="P252" s="83" t="s">
        <v>170</v>
      </c>
      <c r="Q252">
        <v>459</v>
      </c>
      <c r="R252" s="25" t="str">
        <f ca="1">IF(Q252="NULL","",VLOOKUP($Q252,OFFSET([2]characters!$A$1,0,0,COUNTA([2]characters!$A:$A),MATCH(R$1,[2]characters!$1:$1,0)-MATCH($A$1,[2]characters!$1:$1,0)+1),MATCH(R$1,[2]characters!$1:$1,0)-MATCH($A$1,[2]characters!$1:$1,0)+1,FALSE))</f>
        <v>威喝の嵐龍 スガル</v>
      </c>
      <c r="S252" s="3">
        <f t="shared" ca="1" si="3"/>
        <v>458</v>
      </c>
      <c r="T252" s="25" t="str">
        <f ca="1">VLOOKUP($S252,OFFSET([2]characters!$A$1,0,0,COUNTA([2]characters!$A:$A),MATCH(T$1,[2]characters!$1:$1,0)-MATCH($A$1,[2]characters!$1:$1,0)+1),MATCH(T$1,[2]characters!$1:$1,0)-MATCH($A$1,[2]characters!$1:$1,0)+1,FALSE)</f>
        <v>嵐龍 スガル</v>
      </c>
      <c r="U252" s="5">
        <f ca="1">IF(Q252="NULL","NULL",VLOOKUP(G252,ビット!$A$2:$B$7,2))</f>
        <v>50000</v>
      </c>
      <c r="V252">
        <v>50000</v>
      </c>
      <c r="W252" s="6" t="str">
        <f t="shared" ca="1" si="4"/>
        <v>TRUE</v>
      </c>
    </row>
    <row r="253" spans="1:23" ht="21" customHeight="1" x14ac:dyDescent="0.15">
      <c r="A253" s="84">
        <v>460</v>
      </c>
      <c r="B253" s="24" t="str">
        <f ca="1">VLOOKUP($A253,OFFSET([2]characters!$A$1,0,0,COUNTA([2]characters!$A:$A),MATCH(B$1,[2]characters!$1:$1,0)-MATCH($A$1,[2]characters!$1:$1,0)+1),MATCH(B$1,[2]characters!$1:$1,0)-MATCH($A$1,[2]characters!$1:$1,0)+1,FALSE)</f>
        <v>オズ</v>
      </c>
      <c r="C253" s="24" t="str">
        <f ca="1">VLOOKUP($A253,OFFSET([2]characters!$A$1,0,0,COUNTA([2]characters!$A:$A),MATCH(C$1,[2]characters!$1:$1,0)-MATCH($A$1,[2]characters!$1:$1,0)+1),MATCH(C$1,[2]characters!$1:$1,0)-MATCH($A$1,[2]characters!$1:$1,0)+1,FALSE)</f>
        <v>イベント:ウィザード</v>
      </c>
      <c r="D253" s="24" t="str">
        <f ca="1">VLOOKUP($A253,OFFSET([2]characters!$A$1,0,0,COUNTA([2]characters!$A:$A),MATCH(D$1,[2]characters!$1:$1,0)-MATCH($A$1,[2]characters!$1:$1,0)+1),MATCH(D$1,[2]characters!$1:$1,0)-MATCH($A$1,[2]characters!$1:$1,0)+1,FALSE)</f>
        <v>執行者</v>
      </c>
      <c r="E253" s="24" t="str">
        <f ca="1">VLOOKUP($A253,OFFSET([2]characters!$A$1,0,0,COUNTA([2]characters!$A:$A),MATCH(E$1,[2]characters!$1:$1,0)-MATCH($A$1,[2]characters!$1:$1,0)+1),MATCH(E$1,[2]characters!$1:$1,0)-MATCH($A$1,[2]characters!$1:$1,0)+1,FALSE)</f>
        <v>格好いい</v>
      </c>
      <c r="F253" s="24" t="str">
        <f ca="1">VLOOKUP($A253,OFFSET([2]characters!$A$1,0,0,COUNTA([2]characters!$A:$A),MATCH(F$1,[2]characters!$1:$1,0)-MATCH($A$1,[2]characters!$1:$1,0)+1),MATCH(F$1,[2]characters!$1:$1,0)-MATCH($A$1,[2]characters!$1:$1,0)+1,FALSE)</f>
        <v>男性</v>
      </c>
      <c r="G253" s="24">
        <f ca="1">VLOOKUP($A253,OFFSET([2]characters!$A$1,0,0,COUNTA([2]characters!$A:$A),MATCH(G$1,[2]characters!$1:$1,0)-MATCH($A$1,[2]characters!$1:$1,0)+1),MATCH(G$1,[2]characters!$1:$1,0)-MATCH($A$1,[2]characters!$1:$1,0)+1,FALSE)</f>
        <v>4</v>
      </c>
      <c r="H253" s="24" t="str">
        <f ca="1">VLOOKUP($A253,OFFSET([2]characters!$A$1,0,0,COUNTA([2]characters!$A:$A),MATCH(H$1,[2]characters!$1:$1,0)-MATCH($A$1,[2]characters!$1:$1,0)+1),MATCH(H$1,[2]characters!$1:$1,0)-MATCH($A$1,[2]characters!$1:$1,0)+1,FALSE)</f>
        <v>DropWizS</v>
      </c>
      <c r="I253" s="24" t="str">
        <f ca="1">VLOOKUP($A253,OFFSET([2]characters!$A$1,0,0,COUNTA([2]characters!$A:$A),MATCH(I$1,[2]characters!$1:$1,0)-MATCH($A$1,[2]characters!$1:$1,0)+1),MATCH(I$1,[2]characters!$1:$1,0)-MATCH($A$1,[2]characters!$1:$1,0)+1,FALSE)</f>
        <v>green</v>
      </c>
      <c r="J253" s="24" t="str">
        <f ca="1">VLOOKUP($A253,OFFSET([2]characters!$A$1,0,0,COUNTA([2]characters!$A:$A),MATCH(J$1,[2]characters!$1:$1,0)-MATCH($A$1,[2]characters!$1:$1,0)+1),MATCH(J$1,[2]characters!$1:$1,0)-MATCH($A$1,[2]characters!$1:$1,0)+1,FALSE)</f>
        <v>none</v>
      </c>
      <c r="K253" s="3" t="str">
        <f ca="1">VLOOKUP(J253,[2]character_tribe_i18n!$A:$H,3,FALSE)</f>
        <v>種族なし</v>
      </c>
      <c r="L253" s="5" t="e">
        <f>VLOOKUP(#REF!,[2]character_tribe_i18n!$A:$H,4,FALSE)</f>
        <v>#REF!</v>
      </c>
      <c r="M253" s="5" t="e">
        <f>VLOOKUP(#REF!,[2]character_tribe_i18n!$A:$H,5,FALSE)</f>
        <v>#REF!</v>
      </c>
      <c r="N253" s="5" t="e">
        <f>VLOOKUP(#REF!,[2]character_tribe_i18n!$A:$H,6,FALSE)</f>
        <v>#REF!</v>
      </c>
      <c r="O253" s="5" t="e">
        <f>VLOOKUP(#REF!,[2]character_tribe_i18n!$A:$H,7,FALSE)</f>
        <v>#REF!</v>
      </c>
      <c r="P253" s="83" t="s">
        <v>170</v>
      </c>
      <c r="Q253">
        <v>461</v>
      </c>
      <c r="R253" s="25" t="str">
        <f ca="1">IF(Q253="NULL","",VLOOKUP($Q253,OFFSET([2]characters!$A$1,0,0,COUNTA([2]characters!$A:$A),MATCH(R$1,[2]characters!$1:$1,0)-MATCH($A$1,[2]characters!$1:$1,0)+1),MATCH(R$1,[2]characters!$1:$1,0)-MATCH($A$1,[2]characters!$1:$1,0)+1,FALSE))</f>
        <v>大いなる虚像 オズ</v>
      </c>
      <c r="S253" s="3">
        <f t="shared" ca="1" si="3"/>
        <v>460</v>
      </c>
      <c r="T253" s="25" t="str">
        <f ca="1">VLOOKUP($S253,OFFSET([2]characters!$A$1,0,0,COUNTA([2]characters!$A:$A),MATCH(T$1,[2]characters!$1:$1,0)-MATCH($A$1,[2]characters!$1:$1,0)+1),MATCH(T$1,[2]characters!$1:$1,0)-MATCH($A$1,[2]characters!$1:$1,0)+1,FALSE)</f>
        <v>オズ</v>
      </c>
      <c r="U253" s="5">
        <f ca="1">IF(Q253="NULL","NULL",VLOOKUP(G253,ビット!$A$2:$B$7,2))</f>
        <v>50000</v>
      </c>
      <c r="V253">
        <v>50000</v>
      </c>
      <c r="W253" s="6" t="str">
        <f t="shared" ca="1" si="4"/>
        <v>TRUE</v>
      </c>
    </row>
    <row r="254" spans="1:23" ht="21" customHeight="1" x14ac:dyDescent="0.15">
      <c r="A254" s="84">
        <v>461</v>
      </c>
      <c r="B254" s="24" t="str">
        <f ca="1">VLOOKUP($A254,OFFSET([2]characters!$A$1,0,0,COUNTA([2]characters!$A:$A),MATCH(B$1,[2]characters!$1:$1,0)-MATCH($A$1,[2]characters!$1:$1,0)+1),MATCH(B$1,[2]characters!$1:$1,0)-MATCH($A$1,[2]characters!$1:$1,0)+1,FALSE)</f>
        <v>大いなる虚像 オズ</v>
      </c>
      <c r="C254" s="24" t="str">
        <f ca="1">VLOOKUP($A254,OFFSET([2]characters!$A$1,0,0,COUNTA([2]characters!$A:$A),MATCH(C$1,[2]characters!$1:$1,0)-MATCH($A$1,[2]characters!$1:$1,0)+1),MATCH(C$1,[2]characters!$1:$1,0)-MATCH($A$1,[2]characters!$1:$1,0)+1,FALSE)</f>
        <v>イベント:ウィザード</v>
      </c>
      <c r="D254" s="24" t="str">
        <f ca="1">VLOOKUP($A254,OFFSET([2]characters!$A$1,0,0,COUNTA([2]characters!$A:$A),MATCH(D$1,[2]characters!$1:$1,0)-MATCH($A$1,[2]characters!$1:$1,0)+1),MATCH(D$1,[2]characters!$1:$1,0)-MATCH($A$1,[2]characters!$1:$1,0)+1,FALSE)</f>
        <v>執行者</v>
      </c>
      <c r="E254" s="24" t="str">
        <f ca="1">VLOOKUP($A254,OFFSET([2]characters!$A$1,0,0,COUNTA([2]characters!$A:$A),MATCH(E$1,[2]characters!$1:$1,0)-MATCH($A$1,[2]characters!$1:$1,0)+1),MATCH(E$1,[2]characters!$1:$1,0)-MATCH($A$1,[2]characters!$1:$1,0)+1,FALSE)</f>
        <v>格好いい</v>
      </c>
      <c r="F254" s="24" t="str">
        <f ca="1">VLOOKUP($A254,OFFSET([2]characters!$A$1,0,0,COUNTA([2]characters!$A:$A),MATCH(F$1,[2]characters!$1:$1,0)-MATCH($A$1,[2]characters!$1:$1,0)+1),MATCH(F$1,[2]characters!$1:$1,0)-MATCH($A$1,[2]characters!$1:$1,0)+1,FALSE)</f>
        <v>男性</v>
      </c>
      <c r="G254" s="24">
        <f ca="1">VLOOKUP($A254,OFFSET([2]characters!$A$1,0,0,COUNTA([2]characters!$A:$A),MATCH(G$1,[2]characters!$1:$1,0)-MATCH($A$1,[2]characters!$1:$1,0)+1),MATCH(G$1,[2]characters!$1:$1,0)-MATCH($A$1,[2]characters!$1:$1,0)+1,FALSE)</f>
        <v>5</v>
      </c>
      <c r="H254" s="24" t="str">
        <f ca="1">VLOOKUP($A254,OFFSET([2]characters!$A$1,0,0,COUNTA([2]characters!$A:$A),MATCH(H$1,[2]characters!$1:$1,0)-MATCH($A$1,[2]characters!$1:$1,0)+1),MATCH(H$1,[2]characters!$1:$1,0)-MATCH($A$1,[2]characters!$1:$1,0)+1,FALSE)</f>
        <v>DropWizS</v>
      </c>
      <c r="I254" s="24" t="str">
        <f ca="1">VLOOKUP($A254,OFFSET([2]characters!$A$1,0,0,COUNTA([2]characters!$A:$A),MATCH(I$1,[2]characters!$1:$1,0)-MATCH($A$1,[2]characters!$1:$1,0)+1),MATCH(I$1,[2]characters!$1:$1,0)-MATCH($A$1,[2]characters!$1:$1,0)+1,FALSE)</f>
        <v>green</v>
      </c>
      <c r="J254" s="24" t="str">
        <f ca="1">VLOOKUP($A254,OFFSET([2]characters!$A$1,0,0,COUNTA([2]characters!$A:$A),MATCH(J$1,[2]characters!$1:$1,0)-MATCH($A$1,[2]characters!$1:$1,0)+1),MATCH(J$1,[2]characters!$1:$1,0)-MATCH($A$1,[2]characters!$1:$1,0)+1,FALSE)</f>
        <v>none</v>
      </c>
      <c r="K254" s="3" t="str">
        <f ca="1">VLOOKUP(J254,[2]character_tribe_i18n!$A:$H,3,FALSE)</f>
        <v>種族なし</v>
      </c>
      <c r="L254" s="5" t="e">
        <f>VLOOKUP(#REF!,[2]character_tribe_i18n!$A:$H,4,FALSE)</f>
        <v>#REF!</v>
      </c>
      <c r="M254" s="5" t="e">
        <f>VLOOKUP(#REF!,[2]character_tribe_i18n!$A:$H,5,FALSE)</f>
        <v>#REF!</v>
      </c>
      <c r="N254" s="5" t="e">
        <f>VLOOKUP(#REF!,[2]character_tribe_i18n!$A:$H,6,FALSE)</f>
        <v>#REF!</v>
      </c>
      <c r="O254" s="5" t="e">
        <f>VLOOKUP(#REF!,[2]character_tribe_i18n!$A:$H,7,FALSE)</f>
        <v>#REF!</v>
      </c>
      <c r="P254" s="83" t="s">
        <v>170</v>
      </c>
      <c r="Q254">
        <v>818</v>
      </c>
      <c r="R254" s="25" t="str">
        <f ca="1">IF(Q254="NULL","",VLOOKUP($Q254,OFFSET([2]characters!$A$1,0,0,COUNTA([2]characters!$A:$A),MATCH(R$1,[2]characters!$1:$1,0)-MATCH($A$1,[2]characters!$1:$1,0)+1),MATCH(R$1,[2]characters!$1:$1,0)-MATCH($A$1,[2]characters!$1:$1,0)+1,FALSE))</f>
        <v>虚空を飾る大輪 オズ</v>
      </c>
      <c r="S254" s="3">
        <f t="shared" ca="1" si="3"/>
        <v>460</v>
      </c>
      <c r="T254" s="25" t="str">
        <f ca="1">VLOOKUP($S254,OFFSET([2]characters!$A$1,0,0,COUNTA([2]characters!$A:$A),MATCH(T$1,[2]characters!$1:$1,0)-MATCH($A$1,[2]characters!$1:$1,0)+1),MATCH(T$1,[2]characters!$1:$1,0)-MATCH($A$1,[2]characters!$1:$1,0)+1,FALSE)</f>
        <v>オズ</v>
      </c>
      <c r="U254" s="5">
        <f ca="1">IF(Q254="NULL","NULL",VLOOKUP(G254,ビット!$A$2:$B$7,2))</f>
        <v>200000</v>
      </c>
      <c r="V254">
        <v>200000</v>
      </c>
      <c r="W254" s="6" t="str">
        <f t="shared" ca="1" si="4"/>
        <v>TRUE</v>
      </c>
    </row>
    <row r="255" spans="1:23" ht="21" customHeight="1" x14ac:dyDescent="0.15">
      <c r="A255" s="84">
        <v>462</v>
      </c>
      <c r="B255" s="24" t="str">
        <f ca="1">VLOOKUP($A255,OFFSET([2]characters!$A$1,0,0,COUNTA([2]characters!$A:$A),MATCH(B$1,[2]characters!$1:$1,0)-MATCH($A$1,[2]characters!$1:$1,0)+1),MATCH(B$1,[2]characters!$1:$1,0)-MATCH($A$1,[2]characters!$1:$1,0)+1,FALSE)</f>
        <v>ガウェイン</v>
      </c>
      <c r="C255" s="24" t="str">
        <f ca="1">VLOOKUP($A255,OFFSET([2]characters!$A$1,0,0,COUNTA([2]characters!$A:$A),MATCH(C$1,[2]characters!$1:$1,0)-MATCH($A$1,[2]characters!$1:$1,0)+1),MATCH(C$1,[2]characters!$1:$1,0)-MATCH($A$1,[2]characters!$1:$1,0)+1,FALSE)</f>
        <v>ガチャ:円卓01</v>
      </c>
      <c r="D255" s="24" t="str">
        <f ca="1">VLOOKUP($A255,OFFSET([2]characters!$A$1,0,0,COUNTA([2]characters!$A:$A),MATCH(D$1,[2]characters!$1:$1,0)-MATCH($A$1,[2]characters!$1:$1,0)+1),MATCH(D$1,[2]characters!$1:$1,0)-MATCH($A$1,[2]characters!$1:$1,0)+1,FALSE)</f>
        <v>執行者</v>
      </c>
      <c r="E255" s="24" t="str">
        <f ca="1">VLOOKUP($A255,OFFSET([2]characters!$A$1,0,0,COUNTA([2]characters!$A:$A),MATCH(E$1,[2]characters!$1:$1,0)-MATCH($A$1,[2]characters!$1:$1,0)+1),MATCH(E$1,[2]characters!$1:$1,0)-MATCH($A$1,[2]characters!$1:$1,0)+1,FALSE)</f>
        <v>格好いい</v>
      </c>
      <c r="F255" s="24" t="str">
        <f ca="1">VLOOKUP($A255,OFFSET([2]characters!$A$1,0,0,COUNTA([2]characters!$A:$A),MATCH(F$1,[2]characters!$1:$1,0)-MATCH($A$1,[2]characters!$1:$1,0)+1),MATCH(F$1,[2]characters!$1:$1,0)-MATCH($A$1,[2]characters!$1:$1,0)+1,FALSE)</f>
        <v>男性</v>
      </c>
      <c r="G255" s="24">
        <f ca="1">VLOOKUP($A255,OFFSET([2]characters!$A$1,0,0,COUNTA([2]characters!$A:$A),MATCH(G$1,[2]characters!$1:$1,0)-MATCH($A$1,[2]characters!$1:$1,0)+1),MATCH(G$1,[2]characters!$1:$1,0)-MATCH($A$1,[2]characters!$1:$1,0)+1,FALSE)</f>
        <v>3</v>
      </c>
      <c r="H255" s="24" t="str">
        <f ca="1">VLOOKUP($A255,OFFSET([2]characters!$A$1,0,0,COUNTA([2]characters!$A:$A),MATCH(H$1,[2]characters!$1:$1,0)-MATCH($A$1,[2]characters!$1:$1,0)+1),MATCH(H$1,[2]characters!$1:$1,0)-MATCH($A$1,[2]characters!$1:$1,0)+1,FALSE)</f>
        <v>PremiumS</v>
      </c>
      <c r="I255" s="24" t="str">
        <f ca="1">VLOOKUP($A255,OFFSET([2]characters!$A$1,0,0,COUNTA([2]characters!$A:$A),MATCH(I$1,[2]characters!$1:$1,0)-MATCH($A$1,[2]characters!$1:$1,0)+1),MATCH(I$1,[2]characters!$1:$1,0)-MATCH($A$1,[2]characters!$1:$1,0)+1,FALSE)</f>
        <v>red</v>
      </c>
      <c r="J255" s="24" t="str">
        <f ca="1">VLOOKUP($A255,OFFSET([2]characters!$A$1,0,0,COUNTA([2]characters!$A:$A),MATCH(J$1,[2]characters!$1:$1,0)-MATCH($A$1,[2]characters!$1:$1,0)+1),MATCH(J$1,[2]characters!$1:$1,0)-MATCH($A$1,[2]characters!$1:$1,0)+1,FALSE)</f>
        <v>none</v>
      </c>
      <c r="K255" s="3" t="str">
        <f ca="1">VLOOKUP(J255,[2]character_tribe_i18n!$A:$H,3,FALSE)</f>
        <v>種族なし</v>
      </c>
      <c r="L255" s="5" t="e">
        <f>VLOOKUP(#REF!,[2]character_tribe_i18n!$A:$H,4,FALSE)</f>
        <v>#REF!</v>
      </c>
      <c r="M255" s="5" t="e">
        <f>VLOOKUP(#REF!,[2]character_tribe_i18n!$A:$H,5,FALSE)</f>
        <v>#REF!</v>
      </c>
      <c r="N255" s="5" t="e">
        <f>VLOOKUP(#REF!,[2]character_tribe_i18n!$A:$H,6,FALSE)</f>
        <v>#REF!</v>
      </c>
      <c r="O255" s="5" t="e">
        <f>VLOOKUP(#REF!,[2]character_tribe_i18n!$A:$H,7,FALSE)</f>
        <v>#REF!</v>
      </c>
      <c r="P255" s="83" t="s">
        <v>170</v>
      </c>
      <c r="Q255">
        <v>463</v>
      </c>
      <c r="R255" s="25" t="str">
        <f ca="1">IF(Q255="NULL","",VLOOKUP($Q255,OFFSET([2]characters!$A$1,0,0,COUNTA([2]characters!$A:$A),MATCH(R$1,[2]characters!$1:$1,0)-MATCH($A$1,[2]characters!$1:$1,0)+1),MATCH(R$1,[2]characters!$1:$1,0)-MATCH($A$1,[2]characters!$1:$1,0)+1,FALSE))</f>
        <v>燻銀 ガウェイン</v>
      </c>
      <c r="S255" s="3">
        <f t="shared" ca="1" si="3"/>
        <v>462</v>
      </c>
      <c r="T255" s="25" t="str">
        <f ca="1">VLOOKUP($S255,OFFSET([2]characters!$A$1,0,0,COUNTA([2]characters!$A:$A),MATCH(T$1,[2]characters!$1:$1,0)-MATCH($A$1,[2]characters!$1:$1,0)+1),MATCH(T$1,[2]characters!$1:$1,0)-MATCH($A$1,[2]characters!$1:$1,0)+1,FALSE)</f>
        <v>ガウェイン</v>
      </c>
      <c r="U255" s="5">
        <f ca="1">IF(Q255="NULL","NULL",VLOOKUP(G255,ビット!$A$2:$B$7,2))</f>
        <v>20000</v>
      </c>
      <c r="V255">
        <v>20000</v>
      </c>
      <c r="W255" s="6" t="str">
        <f t="shared" ca="1" si="4"/>
        <v>TRUE</v>
      </c>
    </row>
    <row r="256" spans="1:23" ht="21" customHeight="1" x14ac:dyDescent="0.15">
      <c r="A256" s="84">
        <v>463</v>
      </c>
      <c r="B256" s="24" t="str">
        <f ca="1">VLOOKUP($A256,OFFSET([2]characters!$A$1,0,0,COUNTA([2]characters!$A:$A),MATCH(B$1,[2]characters!$1:$1,0)-MATCH($A$1,[2]characters!$1:$1,0)+1),MATCH(B$1,[2]characters!$1:$1,0)-MATCH($A$1,[2]characters!$1:$1,0)+1,FALSE)</f>
        <v>燻銀 ガウェイン</v>
      </c>
      <c r="C256" s="24" t="str">
        <f ca="1">VLOOKUP($A256,OFFSET([2]characters!$A$1,0,0,COUNTA([2]characters!$A:$A),MATCH(C$1,[2]characters!$1:$1,0)-MATCH($A$1,[2]characters!$1:$1,0)+1),MATCH(C$1,[2]characters!$1:$1,0)-MATCH($A$1,[2]characters!$1:$1,0)+1,FALSE)</f>
        <v>ガチャ:円卓01</v>
      </c>
      <c r="D256" s="24" t="str">
        <f ca="1">VLOOKUP($A256,OFFSET([2]characters!$A$1,0,0,COUNTA([2]characters!$A:$A),MATCH(D$1,[2]characters!$1:$1,0)-MATCH($A$1,[2]characters!$1:$1,0)+1),MATCH(D$1,[2]characters!$1:$1,0)-MATCH($A$1,[2]characters!$1:$1,0)+1,FALSE)</f>
        <v>執行者</v>
      </c>
      <c r="E256" s="24" t="str">
        <f ca="1">VLOOKUP($A256,OFFSET([2]characters!$A$1,0,0,COUNTA([2]characters!$A:$A),MATCH(E$1,[2]characters!$1:$1,0)-MATCH($A$1,[2]characters!$1:$1,0)+1),MATCH(E$1,[2]characters!$1:$1,0)-MATCH($A$1,[2]characters!$1:$1,0)+1,FALSE)</f>
        <v>格好いい</v>
      </c>
      <c r="F256" s="24" t="str">
        <f ca="1">VLOOKUP($A256,OFFSET([2]characters!$A$1,0,0,COUNTA([2]characters!$A:$A),MATCH(F$1,[2]characters!$1:$1,0)-MATCH($A$1,[2]characters!$1:$1,0)+1),MATCH(F$1,[2]characters!$1:$1,0)-MATCH($A$1,[2]characters!$1:$1,0)+1,FALSE)</f>
        <v>男性</v>
      </c>
      <c r="G256" s="24">
        <f ca="1">VLOOKUP($A256,OFFSET([2]characters!$A$1,0,0,COUNTA([2]characters!$A:$A),MATCH(G$1,[2]characters!$1:$1,0)-MATCH($A$1,[2]characters!$1:$1,0)+1),MATCH(G$1,[2]characters!$1:$1,0)-MATCH($A$1,[2]characters!$1:$1,0)+1,FALSE)</f>
        <v>4</v>
      </c>
      <c r="H256" s="24" t="str">
        <f ca="1">VLOOKUP($A256,OFFSET([2]characters!$A$1,0,0,COUNTA([2]characters!$A:$A),MATCH(H$1,[2]characters!$1:$1,0)-MATCH($A$1,[2]characters!$1:$1,0)+1),MATCH(H$1,[2]characters!$1:$1,0)-MATCH($A$1,[2]characters!$1:$1,0)+1,FALSE)</f>
        <v>PremiumS</v>
      </c>
      <c r="I256" s="24" t="str">
        <f ca="1">VLOOKUP($A256,OFFSET([2]characters!$A$1,0,0,COUNTA([2]characters!$A:$A),MATCH(I$1,[2]characters!$1:$1,0)-MATCH($A$1,[2]characters!$1:$1,0)+1),MATCH(I$1,[2]characters!$1:$1,0)-MATCH($A$1,[2]characters!$1:$1,0)+1,FALSE)</f>
        <v>red</v>
      </c>
      <c r="J256" s="24" t="str">
        <f ca="1">VLOOKUP($A256,OFFSET([2]characters!$A$1,0,0,COUNTA([2]characters!$A:$A),MATCH(J$1,[2]characters!$1:$1,0)-MATCH($A$1,[2]characters!$1:$1,0)+1),MATCH(J$1,[2]characters!$1:$1,0)-MATCH($A$1,[2]characters!$1:$1,0)+1,FALSE)</f>
        <v>none</v>
      </c>
      <c r="K256" s="3" t="str">
        <f ca="1">VLOOKUP(J256,[2]character_tribe_i18n!$A:$H,3,FALSE)</f>
        <v>種族なし</v>
      </c>
      <c r="L256" s="5" t="e">
        <f>VLOOKUP(#REF!,[2]character_tribe_i18n!$A:$H,4,FALSE)</f>
        <v>#REF!</v>
      </c>
      <c r="M256" s="5" t="e">
        <f>VLOOKUP(#REF!,[2]character_tribe_i18n!$A:$H,5,FALSE)</f>
        <v>#REF!</v>
      </c>
      <c r="N256" s="5" t="e">
        <f>VLOOKUP(#REF!,[2]character_tribe_i18n!$A:$H,6,FALSE)</f>
        <v>#REF!</v>
      </c>
      <c r="O256" s="5" t="e">
        <f>VLOOKUP(#REF!,[2]character_tribe_i18n!$A:$H,7,FALSE)</f>
        <v>#REF!</v>
      </c>
      <c r="P256" s="83" t="s">
        <v>170</v>
      </c>
      <c r="Q256">
        <v>464</v>
      </c>
      <c r="R256" s="25" t="str">
        <f ca="1">IF(Q256="NULL","",VLOOKUP($Q256,OFFSET([2]characters!$A$1,0,0,COUNTA([2]characters!$A:$A),MATCH(R$1,[2]characters!$1:$1,0)-MATCH($A$1,[2]characters!$1:$1,0)+1),MATCH(R$1,[2]characters!$1:$1,0)-MATCH($A$1,[2]characters!$1:$1,0)+1,FALSE))</f>
        <v>円熟の弾導 ガウェイン</v>
      </c>
      <c r="S256" s="3">
        <f t="shared" ca="1" si="3"/>
        <v>462</v>
      </c>
      <c r="T256" s="25" t="str">
        <f ca="1">VLOOKUP($S256,OFFSET([2]characters!$A$1,0,0,COUNTA([2]characters!$A:$A),MATCH(T$1,[2]characters!$1:$1,0)-MATCH($A$1,[2]characters!$1:$1,0)+1),MATCH(T$1,[2]characters!$1:$1,0)-MATCH($A$1,[2]characters!$1:$1,0)+1,FALSE)</f>
        <v>ガウェイン</v>
      </c>
      <c r="U256" s="5">
        <f ca="1">IF(Q256="NULL","NULL",VLOOKUP(G256,ビット!$A$2:$B$7,2))</f>
        <v>50000</v>
      </c>
      <c r="V256">
        <v>50000</v>
      </c>
      <c r="W256" s="6" t="str">
        <f t="shared" ca="1" si="4"/>
        <v>TRUE</v>
      </c>
    </row>
    <row r="257" spans="1:23" ht="21" customHeight="1" x14ac:dyDescent="0.15">
      <c r="A257" s="84">
        <v>465</v>
      </c>
      <c r="B257" s="24" t="str">
        <f ca="1">VLOOKUP($A257,OFFSET([2]characters!$A$1,0,0,COUNTA([2]characters!$A:$A),MATCH(B$1,[2]characters!$1:$1,0)-MATCH($A$1,[2]characters!$1:$1,0)+1),MATCH(B$1,[2]characters!$1:$1,0)-MATCH($A$1,[2]characters!$1:$1,0)+1,FALSE)</f>
        <v>真撃 ランスロット</v>
      </c>
      <c r="C257" s="24" t="str">
        <f ca="1">VLOOKUP($A257,OFFSET([2]characters!$A$1,0,0,COUNTA([2]characters!$A:$A),MATCH(C$1,[2]characters!$1:$1,0)-MATCH($A$1,[2]characters!$1:$1,0)+1),MATCH(C$1,[2]characters!$1:$1,0)-MATCH($A$1,[2]characters!$1:$1,0)+1,FALSE)</f>
        <v>ガチャ:円卓01</v>
      </c>
      <c r="D257" s="24" t="str">
        <f ca="1">VLOOKUP($A257,OFFSET([2]characters!$A$1,0,0,COUNTA([2]characters!$A:$A),MATCH(D$1,[2]characters!$1:$1,0)-MATCH($A$1,[2]characters!$1:$1,0)+1),MATCH(D$1,[2]characters!$1:$1,0)-MATCH($A$1,[2]characters!$1:$1,0)+1,FALSE)</f>
        <v>執行者</v>
      </c>
      <c r="E257" s="24" t="str">
        <f ca="1">VLOOKUP($A257,OFFSET([2]characters!$A$1,0,0,COUNTA([2]characters!$A:$A),MATCH(E$1,[2]characters!$1:$1,0)-MATCH($A$1,[2]characters!$1:$1,0)+1),MATCH(E$1,[2]characters!$1:$1,0)-MATCH($A$1,[2]characters!$1:$1,0)+1,FALSE)</f>
        <v>格好いい</v>
      </c>
      <c r="F257" s="24" t="str">
        <f ca="1">VLOOKUP($A257,OFFSET([2]characters!$A$1,0,0,COUNTA([2]characters!$A:$A),MATCH(F$1,[2]characters!$1:$1,0)-MATCH($A$1,[2]characters!$1:$1,0)+1),MATCH(F$1,[2]characters!$1:$1,0)-MATCH($A$1,[2]characters!$1:$1,0)+1,FALSE)</f>
        <v>男性</v>
      </c>
      <c r="G257" s="24">
        <f ca="1">VLOOKUP($A257,OFFSET([2]characters!$A$1,0,0,COUNTA([2]characters!$A:$A),MATCH(G$1,[2]characters!$1:$1,0)-MATCH($A$1,[2]characters!$1:$1,0)+1),MATCH(G$1,[2]characters!$1:$1,0)-MATCH($A$1,[2]characters!$1:$1,0)+1,FALSE)</f>
        <v>4</v>
      </c>
      <c r="H257" s="24" t="str">
        <f ca="1">VLOOKUP($A257,OFFSET([2]characters!$A$1,0,0,COUNTA([2]characters!$A:$A),MATCH(H$1,[2]characters!$1:$1,0)-MATCH($A$1,[2]characters!$1:$1,0)+1),MATCH(H$1,[2]characters!$1:$1,0)-MATCH($A$1,[2]characters!$1:$1,0)+1,FALSE)</f>
        <v>PremiumSS</v>
      </c>
      <c r="I257" s="24" t="str">
        <f ca="1">VLOOKUP($A257,OFFSET([2]characters!$A$1,0,0,COUNTA([2]characters!$A:$A),MATCH(I$1,[2]characters!$1:$1,0)-MATCH($A$1,[2]characters!$1:$1,0)+1),MATCH(I$1,[2]characters!$1:$1,0)-MATCH($A$1,[2]characters!$1:$1,0)+1,FALSE)</f>
        <v>green</v>
      </c>
      <c r="J257" s="24" t="str">
        <f ca="1">VLOOKUP($A257,OFFSET([2]characters!$A$1,0,0,COUNTA([2]characters!$A:$A),MATCH(J$1,[2]characters!$1:$1,0)-MATCH($A$1,[2]characters!$1:$1,0)+1),MATCH(J$1,[2]characters!$1:$1,0)-MATCH($A$1,[2]characters!$1:$1,0)+1,FALSE)</f>
        <v>none</v>
      </c>
      <c r="K257" s="3" t="str">
        <f ca="1">VLOOKUP(J257,[2]character_tribe_i18n!$A:$H,3,FALSE)</f>
        <v>種族なし</v>
      </c>
      <c r="L257" s="5" t="e">
        <f>VLOOKUP(#REF!,[2]character_tribe_i18n!$A:$H,4,FALSE)</f>
        <v>#REF!</v>
      </c>
      <c r="M257" s="5" t="e">
        <f>VLOOKUP(#REF!,[2]character_tribe_i18n!$A:$H,5,FALSE)</f>
        <v>#REF!</v>
      </c>
      <c r="N257" s="5" t="e">
        <f>VLOOKUP(#REF!,[2]character_tribe_i18n!$A:$H,6,FALSE)</f>
        <v>#REF!</v>
      </c>
      <c r="O257" s="5" t="e">
        <f>VLOOKUP(#REF!,[2]character_tribe_i18n!$A:$H,7,FALSE)</f>
        <v>#REF!</v>
      </c>
      <c r="P257" s="83" t="s">
        <v>170</v>
      </c>
      <c r="Q257">
        <v>466</v>
      </c>
      <c r="R257" s="25" t="str">
        <f ca="1">IF(Q257="NULL","",VLOOKUP($Q257,OFFSET([2]characters!$A$1,0,0,COUNTA([2]characters!$A:$A),MATCH(R$1,[2]characters!$1:$1,0)-MATCH($A$1,[2]characters!$1:$1,0)+1),MATCH(R$1,[2]characters!$1:$1,0)-MATCH($A$1,[2]characters!$1:$1,0)+1,FALSE))</f>
        <v>真断の勇覇 ランスロット</v>
      </c>
      <c r="S257" s="3">
        <f t="shared" ca="1" si="3"/>
        <v>465</v>
      </c>
      <c r="T257" s="25" t="str">
        <f ca="1">VLOOKUP($S257,OFFSET([2]characters!$A$1,0,0,COUNTA([2]characters!$A:$A),MATCH(T$1,[2]characters!$1:$1,0)-MATCH($A$1,[2]characters!$1:$1,0)+1),MATCH(T$1,[2]characters!$1:$1,0)-MATCH($A$1,[2]characters!$1:$1,0)+1,FALSE)</f>
        <v>真撃 ランスロット</v>
      </c>
      <c r="U257" s="5">
        <f ca="1">IF(Q257="NULL","NULL",VLOOKUP(G257,ビット!$A$2:$B$7,2))</f>
        <v>50000</v>
      </c>
      <c r="V257">
        <v>50000</v>
      </c>
      <c r="W257" s="6" t="str">
        <f t="shared" ca="1" si="4"/>
        <v>TRUE</v>
      </c>
    </row>
    <row r="258" spans="1:23" ht="21" customHeight="1" x14ac:dyDescent="0.15">
      <c r="A258" s="84">
        <v>467</v>
      </c>
      <c r="B258" s="24" t="str">
        <f ca="1">VLOOKUP($A258,OFFSET([2]characters!$A$1,0,0,COUNTA([2]characters!$A:$A),MATCH(B$1,[2]characters!$1:$1,0)-MATCH($A$1,[2]characters!$1:$1,0)+1),MATCH(B$1,[2]characters!$1:$1,0)-MATCH($A$1,[2]characters!$1:$1,0)+1,FALSE)</f>
        <v>報復 モルドレッド</v>
      </c>
      <c r="C258" s="24" t="str">
        <f ca="1">VLOOKUP($A258,OFFSET([2]characters!$A$1,0,0,COUNTA([2]characters!$A:$A),MATCH(C$1,[2]characters!$1:$1,0)-MATCH($A$1,[2]characters!$1:$1,0)+1),MATCH(C$1,[2]characters!$1:$1,0)-MATCH($A$1,[2]characters!$1:$1,0)+1,FALSE)</f>
        <v>ガチャ:円卓01</v>
      </c>
      <c r="D258" s="24" t="str">
        <f ca="1">VLOOKUP($A258,OFFSET([2]characters!$A$1,0,0,COUNTA([2]characters!$A:$A),MATCH(D$1,[2]characters!$1:$1,0)-MATCH($A$1,[2]characters!$1:$1,0)+1),MATCH(D$1,[2]characters!$1:$1,0)-MATCH($A$1,[2]characters!$1:$1,0)+1,FALSE)</f>
        <v>執行者</v>
      </c>
      <c r="E258" s="24" t="str">
        <f ca="1">VLOOKUP($A258,OFFSET([2]characters!$A$1,0,0,COUNTA([2]characters!$A:$A),MATCH(E$1,[2]characters!$1:$1,0)-MATCH($A$1,[2]characters!$1:$1,0)+1),MATCH(E$1,[2]characters!$1:$1,0)-MATCH($A$1,[2]characters!$1:$1,0)+1,FALSE)</f>
        <v>格好いい</v>
      </c>
      <c r="F258" s="24" t="str">
        <f ca="1">VLOOKUP($A258,OFFSET([2]characters!$A$1,0,0,COUNTA([2]characters!$A:$A),MATCH(F$1,[2]characters!$1:$1,0)-MATCH($A$1,[2]characters!$1:$1,0)+1),MATCH(F$1,[2]characters!$1:$1,0)-MATCH($A$1,[2]characters!$1:$1,0)+1,FALSE)</f>
        <v>女性</v>
      </c>
      <c r="G258" s="24">
        <f ca="1">VLOOKUP($A258,OFFSET([2]characters!$A$1,0,0,COUNTA([2]characters!$A:$A),MATCH(G$1,[2]characters!$1:$1,0)-MATCH($A$1,[2]characters!$1:$1,0)+1),MATCH(G$1,[2]characters!$1:$1,0)-MATCH($A$1,[2]characters!$1:$1,0)+1,FALSE)</f>
        <v>4</v>
      </c>
      <c r="H258" s="24" t="str">
        <f ca="1">VLOOKUP($A258,OFFSET([2]characters!$A$1,0,0,COUNTA([2]characters!$A:$A),MATCH(H$1,[2]characters!$1:$1,0)-MATCH($A$1,[2]characters!$1:$1,0)+1),MATCH(H$1,[2]characters!$1:$1,0)-MATCH($A$1,[2]characters!$1:$1,0)+1,FALSE)</f>
        <v>PremiumSS</v>
      </c>
      <c r="I258" s="24" t="str">
        <f ca="1">VLOOKUP($A258,OFFSET([2]characters!$A$1,0,0,COUNTA([2]characters!$A:$A),MATCH(I$1,[2]characters!$1:$1,0)-MATCH($A$1,[2]characters!$1:$1,0)+1),MATCH(I$1,[2]characters!$1:$1,0)-MATCH($A$1,[2]characters!$1:$1,0)+1,FALSE)</f>
        <v>blue</v>
      </c>
      <c r="J258" s="24" t="str">
        <f ca="1">VLOOKUP($A258,OFFSET([2]characters!$A$1,0,0,COUNTA([2]characters!$A:$A),MATCH(J$1,[2]characters!$1:$1,0)-MATCH($A$1,[2]characters!$1:$1,0)+1),MATCH(J$1,[2]characters!$1:$1,0)-MATCH($A$1,[2]characters!$1:$1,0)+1,FALSE)</f>
        <v>none</v>
      </c>
      <c r="K258" s="3" t="str">
        <f ca="1">VLOOKUP(J258,[2]character_tribe_i18n!$A:$H,3,FALSE)</f>
        <v>種族なし</v>
      </c>
      <c r="L258" s="5" t="e">
        <f>VLOOKUP(#REF!,[2]character_tribe_i18n!$A:$H,4,FALSE)</f>
        <v>#REF!</v>
      </c>
      <c r="M258" s="5" t="e">
        <f>VLOOKUP(#REF!,[2]character_tribe_i18n!$A:$H,5,FALSE)</f>
        <v>#REF!</v>
      </c>
      <c r="N258" s="5" t="e">
        <f>VLOOKUP(#REF!,[2]character_tribe_i18n!$A:$H,6,FALSE)</f>
        <v>#REF!</v>
      </c>
      <c r="O258" s="5" t="e">
        <f>VLOOKUP(#REF!,[2]character_tribe_i18n!$A:$H,7,FALSE)</f>
        <v>#REF!</v>
      </c>
      <c r="P258" s="83" t="s">
        <v>170</v>
      </c>
      <c r="Q258">
        <v>468</v>
      </c>
      <c r="R258" s="25" t="str">
        <f ca="1">IF(Q258="NULL","",VLOOKUP($Q258,OFFSET([2]characters!$A$1,0,0,COUNTA([2]characters!$A:$A),MATCH(R$1,[2]characters!$1:$1,0)-MATCH($A$1,[2]characters!$1:$1,0)+1),MATCH(R$1,[2]characters!$1:$1,0)-MATCH($A$1,[2]characters!$1:$1,0)+1,FALSE))</f>
        <v>憎愛の尖鋒 モルドレッド</v>
      </c>
      <c r="S258" s="3">
        <f t="shared" ref="S258:S321" ca="1" si="5">IF(ISNA(MATCH(A258,Q:Q,0)),A258,INDIRECT(ADDRESS(MATCH(A258,Q:Q,0),COLUMN())))</f>
        <v>467</v>
      </c>
      <c r="T258" s="25" t="str">
        <f ca="1">VLOOKUP($S258,OFFSET([2]characters!$A$1,0,0,COUNTA([2]characters!$A:$A),MATCH(T$1,[2]characters!$1:$1,0)-MATCH($A$1,[2]characters!$1:$1,0)+1),MATCH(T$1,[2]characters!$1:$1,0)-MATCH($A$1,[2]characters!$1:$1,0)+1,FALSE)</f>
        <v>報復 モルドレッド</v>
      </c>
      <c r="U258" s="5">
        <f ca="1">IF(Q258="NULL","NULL",VLOOKUP(G258,ビット!$A$2:$B$7,2))</f>
        <v>50000</v>
      </c>
      <c r="V258">
        <v>50000</v>
      </c>
      <c r="W258" s="6" t="str">
        <f t="shared" ca="1" si="4"/>
        <v>TRUE</v>
      </c>
    </row>
    <row r="259" spans="1:23" ht="21" customHeight="1" x14ac:dyDescent="0.15">
      <c r="A259" s="84">
        <v>468</v>
      </c>
      <c r="B259" s="24" t="str">
        <f ca="1">VLOOKUP($A259,OFFSET([2]characters!$A$1,0,0,COUNTA([2]characters!$A:$A),MATCH(B$1,[2]characters!$1:$1,0)-MATCH($A$1,[2]characters!$1:$1,0)+1),MATCH(B$1,[2]characters!$1:$1,0)-MATCH($A$1,[2]characters!$1:$1,0)+1,FALSE)</f>
        <v>憎愛の尖鋒 モルドレッド</v>
      </c>
      <c r="C259" s="24" t="str">
        <f ca="1">VLOOKUP($A259,OFFSET([2]characters!$A$1,0,0,COUNTA([2]characters!$A:$A),MATCH(C$1,[2]characters!$1:$1,0)-MATCH($A$1,[2]characters!$1:$1,0)+1),MATCH(C$1,[2]characters!$1:$1,0)-MATCH($A$1,[2]characters!$1:$1,0)+1,FALSE)</f>
        <v>ガチャ:円卓01</v>
      </c>
      <c r="D259" s="24" t="str">
        <f ca="1">VLOOKUP($A259,OFFSET([2]characters!$A$1,0,0,COUNTA([2]characters!$A:$A),MATCH(D$1,[2]characters!$1:$1,0)-MATCH($A$1,[2]characters!$1:$1,0)+1),MATCH(D$1,[2]characters!$1:$1,0)-MATCH($A$1,[2]characters!$1:$1,0)+1,FALSE)</f>
        <v>執行者</v>
      </c>
      <c r="E259" s="24" t="str">
        <f ca="1">VLOOKUP($A259,OFFSET([2]characters!$A$1,0,0,COUNTA([2]characters!$A:$A),MATCH(E$1,[2]characters!$1:$1,0)-MATCH($A$1,[2]characters!$1:$1,0)+1),MATCH(E$1,[2]characters!$1:$1,0)-MATCH($A$1,[2]characters!$1:$1,0)+1,FALSE)</f>
        <v>格好いい</v>
      </c>
      <c r="F259" s="24" t="str">
        <f ca="1">VLOOKUP($A259,OFFSET([2]characters!$A$1,0,0,COUNTA([2]characters!$A:$A),MATCH(F$1,[2]characters!$1:$1,0)-MATCH($A$1,[2]characters!$1:$1,0)+1),MATCH(F$1,[2]characters!$1:$1,0)-MATCH($A$1,[2]characters!$1:$1,0)+1,FALSE)</f>
        <v>女性</v>
      </c>
      <c r="G259" s="24">
        <f ca="1">VLOOKUP($A259,OFFSET([2]characters!$A$1,0,0,COUNTA([2]characters!$A:$A),MATCH(G$1,[2]characters!$1:$1,0)-MATCH($A$1,[2]characters!$1:$1,0)+1),MATCH(G$1,[2]characters!$1:$1,0)-MATCH($A$1,[2]characters!$1:$1,0)+1,FALSE)</f>
        <v>5</v>
      </c>
      <c r="H259" s="24" t="str">
        <f ca="1">VLOOKUP($A259,OFFSET([2]characters!$A$1,0,0,COUNTA([2]characters!$A:$A),MATCH(H$1,[2]characters!$1:$1,0)-MATCH($A$1,[2]characters!$1:$1,0)+1),MATCH(H$1,[2]characters!$1:$1,0)-MATCH($A$1,[2]characters!$1:$1,0)+1,FALSE)</f>
        <v>PremiumSS</v>
      </c>
      <c r="I259" s="24" t="str">
        <f ca="1">VLOOKUP($A259,OFFSET([2]characters!$A$1,0,0,COUNTA([2]characters!$A:$A),MATCH(I$1,[2]characters!$1:$1,0)-MATCH($A$1,[2]characters!$1:$1,0)+1),MATCH(I$1,[2]characters!$1:$1,0)-MATCH($A$1,[2]characters!$1:$1,0)+1,FALSE)</f>
        <v>blue</v>
      </c>
      <c r="J259" s="24" t="str">
        <f ca="1">VLOOKUP($A259,OFFSET([2]characters!$A$1,0,0,COUNTA([2]characters!$A:$A),MATCH(J$1,[2]characters!$1:$1,0)-MATCH($A$1,[2]characters!$1:$1,0)+1),MATCH(J$1,[2]characters!$1:$1,0)-MATCH($A$1,[2]characters!$1:$1,0)+1,FALSE)</f>
        <v>none</v>
      </c>
      <c r="K259" s="3" t="str">
        <f ca="1">VLOOKUP(J259,[2]character_tribe_i18n!$A:$H,3,FALSE)</f>
        <v>種族なし</v>
      </c>
      <c r="L259" s="5" t="e">
        <f>VLOOKUP(#REF!,[2]character_tribe_i18n!$A:$H,4,FALSE)</f>
        <v>#REF!</v>
      </c>
      <c r="M259" s="5" t="e">
        <f>VLOOKUP(#REF!,[2]character_tribe_i18n!$A:$H,5,FALSE)</f>
        <v>#REF!</v>
      </c>
      <c r="N259" s="5" t="e">
        <f>VLOOKUP(#REF!,[2]character_tribe_i18n!$A:$H,6,FALSE)</f>
        <v>#REF!</v>
      </c>
      <c r="O259" s="5" t="e">
        <f>VLOOKUP(#REF!,[2]character_tribe_i18n!$A:$H,7,FALSE)</f>
        <v>#REF!</v>
      </c>
      <c r="P259" s="83" t="s">
        <v>170</v>
      </c>
      <c r="Q259">
        <v>819</v>
      </c>
      <c r="R259" s="25" t="str">
        <f ca="1">IF(Q259="NULL","",VLOOKUP($Q259,OFFSET([2]characters!$A$1,0,0,COUNTA([2]characters!$A:$A),MATCH(R$1,[2]characters!$1:$1,0)-MATCH($A$1,[2]characters!$1:$1,0)+1),MATCH(R$1,[2]characters!$1:$1,0)-MATCH($A$1,[2]characters!$1:$1,0)+1,FALSE))</f>
        <v>讐命の我突 モルドレッド</v>
      </c>
      <c r="S259" s="3">
        <f t="shared" ca="1" si="5"/>
        <v>467</v>
      </c>
      <c r="T259" s="25" t="str">
        <f ca="1">VLOOKUP($S259,OFFSET([2]characters!$A$1,0,0,COUNTA([2]characters!$A:$A),MATCH(T$1,[2]characters!$1:$1,0)-MATCH($A$1,[2]characters!$1:$1,0)+1),MATCH(T$1,[2]characters!$1:$1,0)-MATCH($A$1,[2]characters!$1:$1,0)+1,FALSE)</f>
        <v>報復 モルドレッド</v>
      </c>
      <c r="U259" s="5">
        <f ca="1">IF(Q259="NULL","NULL",VLOOKUP(G259,ビット!$A$2:$B$7,2))</f>
        <v>200000</v>
      </c>
      <c r="V259">
        <v>200000</v>
      </c>
      <c r="W259" s="6" t="str">
        <f t="shared" ca="1" si="4"/>
        <v>TRUE</v>
      </c>
    </row>
    <row r="260" spans="1:23" ht="21" customHeight="1" x14ac:dyDescent="0.15">
      <c r="A260" s="84">
        <v>469</v>
      </c>
      <c r="B260" s="24" t="str">
        <f ca="1">VLOOKUP($A260,OFFSET([2]characters!$A$1,0,0,COUNTA([2]characters!$A:$A),MATCH(B$1,[2]characters!$1:$1,0)-MATCH($A$1,[2]characters!$1:$1,0)+1),MATCH(B$1,[2]characters!$1:$1,0)-MATCH($A$1,[2]characters!$1:$1,0)+1,FALSE)</f>
        <v>トリスタン</v>
      </c>
      <c r="C260" s="24" t="str">
        <f ca="1">VLOOKUP($A260,OFFSET([2]characters!$A$1,0,0,COUNTA([2]characters!$A:$A),MATCH(C$1,[2]characters!$1:$1,0)-MATCH($A$1,[2]characters!$1:$1,0)+1),MATCH(C$1,[2]characters!$1:$1,0)-MATCH($A$1,[2]characters!$1:$1,0)+1,FALSE)</f>
        <v>ガチャ:円卓01</v>
      </c>
      <c r="D260" s="24" t="str">
        <f ca="1">VLOOKUP($A260,OFFSET([2]characters!$A$1,0,0,COUNTA([2]characters!$A:$A),MATCH(D$1,[2]characters!$1:$1,0)-MATCH($A$1,[2]characters!$1:$1,0)+1),MATCH(D$1,[2]characters!$1:$1,0)-MATCH($A$1,[2]characters!$1:$1,0)+1,FALSE)</f>
        <v>執行者</v>
      </c>
      <c r="E260" s="24" t="str">
        <f ca="1">VLOOKUP($A260,OFFSET([2]characters!$A$1,0,0,COUNTA([2]characters!$A:$A),MATCH(E$1,[2]characters!$1:$1,0)-MATCH($A$1,[2]characters!$1:$1,0)+1),MATCH(E$1,[2]characters!$1:$1,0)-MATCH($A$1,[2]characters!$1:$1,0)+1,FALSE)</f>
        <v>格好いい</v>
      </c>
      <c r="F260" s="24" t="str">
        <f ca="1">VLOOKUP($A260,OFFSET([2]characters!$A$1,0,0,COUNTA([2]characters!$A:$A),MATCH(F$1,[2]characters!$1:$1,0)-MATCH($A$1,[2]characters!$1:$1,0)+1),MATCH(F$1,[2]characters!$1:$1,0)-MATCH($A$1,[2]characters!$1:$1,0)+1,FALSE)</f>
        <v>男性</v>
      </c>
      <c r="G260" s="24">
        <f ca="1">VLOOKUP($A260,OFFSET([2]characters!$A$1,0,0,COUNTA([2]characters!$A:$A),MATCH(G$1,[2]characters!$1:$1,0)-MATCH($A$1,[2]characters!$1:$1,0)+1),MATCH(G$1,[2]characters!$1:$1,0)-MATCH($A$1,[2]characters!$1:$1,0)+1,FALSE)</f>
        <v>3</v>
      </c>
      <c r="H260" s="24" t="str">
        <f ca="1">VLOOKUP($A260,OFFSET([2]characters!$A$1,0,0,COUNTA([2]characters!$A:$A),MATCH(H$1,[2]characters!$1:$1,0)-MATCH($A$1,[2]characters!$1:$1,0)+1),MATCH(H$1,[2]characters!$1:$1,0)-MATCH($A$1,[2]characters!$1:$1,0)+1,FALSE)</f>
        <v>PremiumS</v>
      </c>
      <c r="I260" s="24" t="str">
        <f ca="1">VLOOKUP($A260,OFFSET([2]characters!$A$1,0,0,COUNTA([2]characters!$A:$A),MATCH(I$1,[2]characters!$1:$1,0)-MATCH($A$1,[2]characters!$1:$1,0)+1),MATCH(I$1,[2]characters!$1:$1,0)-MATCH($A$1,[2]characters!$1:$1,0)+1,FALSE)</f>
        <v>yellow</v>
      </c>
      <c r="J260" s="24" t="str">
        <f ca="1">VLOOKUP($A260,OFFSET([2]characters!$A$1,0,0,COUNTA([2]characters!$A:$A),MATCH(J$1,[2]characters!$1:$1,0)-MATCH($A$1,[2]characters!$1:$1,0)+1),MATCH(J$1,[2]characters!$1:$1,0)-MATCH($A$1,[2]characters!$1:$1,0)+1,FALSE)</f>
        <v>none</v>
      </c>
      <c r="K260" s="3" t="str">
        <f ca="1">VLOOKUP(J260,[2]character_tribe_i18n!$A:$H,3,FALSE)</f>
        <v>種族なし</v>
      </c>
      <c r="L260" s="5" t="e">
        <f>VLOOKUP(#REF!,[2]character_tribe_i18n!$A:$H,4,FALSE)</f>
        <v>#REF!</v>
      </c>
      <c r="M260" s="5" t="e">
        <f>VLOOKUP(#REF!,[2]character_tribe_i18n!$A:$H,5,FALSE)</f>
        <v>#REF!</v>
      </c>
      <c r="N260" s="5" t="e">
        <f>VLOOKUP(#REF!,[2]character_tribe_i18n!$A:$H,6,FALSE)</f>
        <v>#REF!</v>
      </c>
      <c r="O260" s="5" t="e">
        <f>VLOOKUP(#REF!,[2]character_tribe_i18n!$A:$H,7,FALSE)</f>
        <v>#REF!</v>
      </c>
      <c r="P260" s="83" t="s">
        <v>170</v>
      </c>
      <c r="Q260">
        <v>470</v>
      </c>
      <c r="R260" s="25" t="str">
        <f ca="1">IF(Q260="NULL","",VLOOKUP($Q260,OFFSET([2]characters!$A$1,0,0,COUNTA([2]characters!$A:$A),MATCH(R$1,[2]characters!$1:$1,0)-MATCH($A$1,[2]characters!$1:$1,0)+1),MATCH(R$1,[2]characters!$1:$1,0)-MATCH($A$1,[2]characters!$1:$1,0)+1,FALSE))</f>
        <v>純心 トリスタン</v>
      </c>
      <c r="S260" s="3">
        <f t="shared" ca="1" si="5"/>
        <v>469</v>
      </c>
      <c r="T260" s="25" t="str">
        <f ca="1">VLOOKUP($S260,OFFSET([2]characters!$A$1,0,0,COUNTA([2]characters!$A:$A),MATCH(T$1,[2]characters!$1:$1,0)-MATCH($A$1,[2]characters!$1:$1,0)+1),MATCH(T$1,[2]characters!$1:$1,0)-MATCH($A$1,[2]characters!$1:$1,0)+1,FALSE)</f>
        <v>トリスタン</v>
      </c>
      <c r="U260" s="5">
        <f ca="1">IF(Q260="NULL","NULL",VLOOKUP(G260,ビット!$A$2:$B$7,2))</f>
        <v>20000</v>
      </c>
      <c r="V260">
        <v>20000</v>
      </c>
      <c r="W260" s="6" t="str">
        <f t="shared" ca="1" si="4"/>
        <v>TRUE</v>
      </c>
    </row>
    <row r="261" spans="1:23" ht="21" customHeight="1" x14ac:dyDescent="0.15">
      <c r="A261" s="84">
        <v>470</v>
      </c>
      <c r="B261" s="24" t="str">
        <f ca="1">VLOOKUP($A261,OFFSET([2]characters!$A$1,0,0,COUNTA([2]characters!$A:$A),MATCH(B$1,[2]characters!$1:$1,0)-MATCH($A$1,[2]characters!$1:$1,0)+1),MATCH(B$1,[2]characters!$1:$1,0)-MATCH($A$1,[2]characters!$1:$1,0)+1,FALSE)</f>
        <v>純心 トリスタン</v>
      </c>
      <c r="C261" s="24" t="str">
        <f ca="1">VLOOKUP($A261,OFFSET([2]characters!$A$1,0,0,COUNTA([2]characters!$A:$A),MATCH(C$1,[2]characters!$1:$1,0)-MATCH($A$1,[2]characters!$1:$1,0)+1),MATCH(C$1,[2]characters!$1:$1,0)-MATCH($A$1,[2]characters!$1:$1,0)+1,FALSE)</f>
        <v>ガチャ:円卓01</v>
      </c>
      <c r="D261" s="24" t="str">
        <f ca="1">VLOOKUP($A261,OFFSET([2]characters!$A$1,0,0,COUNTA([2]characters!$A:$A),MATCH(D$1,[2]characters!$1:$1,0)-MATCH($A$1,[2]characters!$1:$1,0)+1),MATCH(D$1,[2]characters!$1:$1,0)-MATCH($A$1,[2]characters!$1:$1,0)+1,FALSE)</f>
        <v>執行者</v>
      </c>
      <c r="E261" s="24" t="str">
        <f ca="1">VLOOKUP($A261,OFFSET([2]characters!$A$1,0,0,COUNTA([2]characters!$A:$A),MATCH(E$1,[2]characters!$1:$1,0)-MATCH($A$1,[2]characters!$1:$1,0)+1),MATCH(E$1,[2]characters!$1:$1,0)-MATCH($A$1,[2]characters!$1:$1,0)+1,FALSE)</f>
        <v>格好いい</v>
      </c>
      <c r="F261" s="24" t="str">
        <f ca="1">VLOOKUP($A261,OFFSET([2]characters!$A$1,0,0,COUNTA([2]characters!$A:$A),MATCH(F$1,[2]characters!$1:$1,0)-MATCH($A$1,[2]characters!$1:$1,0)+1),MATCH(F$1,[2]characters!$1:$1,0)-MATCH($A$1,[2]characters!$1:$1,0)+1,FALSE)</f>
        <v>男性</v>
      </c>
      <c r="G261" s="24">
        <f ca="1">VLOOKUP($A261,OFFSET([2]characters!$A$1,0,0,COUNTA([2]characters!$A:$A),MATCH(G$1,[2]characters!$1:$1,0)-MATCH($A$1,[2]characters!$1:$1,0)+1),MATCH(G$1,[2]characters!$1:$1,0)-MATCH($A$1,[2]characters!$1:$1,0)+1,FALSE)</f>
        <v>4</v>
      </c>
      <c r="H261" s="24" t="str">
        <f ca="1">VLOOKUP($A261,OFFSET([2]characters!$A$1,0,0,COUNTA([2]characters!$A:$A),MATCH(H$1,[2]characters!$1:$1,0)-MATCH($A$1,[2]characters!$1:$1,0)+1),MATCH(H$1,[2]characters!$1:$1,0)-MATCH($A$1,[2]characters!$1:$1,0)+1,FALSE)</f>
        <v>PremiumS</v>
      </c>
      <c r="I261" s="24" t="str">
        <f ca="1">VLOOKUP($A261,OFFSET([2]characters!$A$1,0,0,COUNTA([2]characters!$A:$A),MATCH(I$1,[2]characters!$1:$1,0)-MATCH($A$1,[2]characters!$1:$1,0)+1),MATCH(I$1,[2]characters!$1:$1,0)-MATCH($A$1,[2]characters!$1:$1,0)+1,FALSE)</f>
        <v>yellow</v>
      </c>
      <c r="J261" s="24" t="str">
        <f ca="1">VLOOKUP($A261,OFFSET([2]characters!$A$1,0,0,COUNTA([2]characters!$A:$A),MATCH(J$1,[2]characters!$1:$1,0)-MATCH($A$1,[2]characters!$1:$1,0)+1),MATCH(J$1,[2]characters!$1:$1,0)-MATCH($A$1,[2]characters!$1:$1,0)+1,FALSE)</f>
        <v>none</v>
      </c>
      <c r="K261" s="3" t="str">
        <f ca="1">VLOOKUP(J261,[2]character_tribe_i18n!$A:$H,3,FALSE)</f>
        <v>種族なし</v>
      </c>
      <c r="L261" s="5" t="e">
        <f>VLOOKUP(#REF!,[2]character_tribe_i18n!$A:$H,4,FALSE)</f>
        <v>#REF!</v>
      </c>
      <c r="M261" s="5" t="e">
        <f>VLOOKUP(#REF!,[2]character_tribe_i18n!$A:$H,5,FALSE)</f>
        <v>#REF!</v>
      </c>
      <c r="N261" s="5" t="e">
        <f>VLOOKUP(#REF!,[2]character_tribe_i18n!$A:$H,6,FALSE)</f>
        <v>#REF!</v>
      </c>
      <c r="O261" s="5" t="e">
        <f>VLOOKUP(#REF!,[2]character_tribe_i18n!$A:$H,7,FALSE)</f>
        <v>#REF!</v>
      </c>
      <c r="P261" s="83" t="s">
        <v>170</v>
      </c>
      <c r="Q261">
        <v>471</v>
      </c>
      <c r="R261" s="25" t="str">
        <f ca="1">IF(Q261="NULL","",VLOOKUP($Q261,OFFSET([2]characters!$A$1,0,0,COUNTA([2]characters!$A:$A),MATCH(R$1,[2]characters!$1:$1,0)-MATCH($A$1,[2]characters!$1:$1,0)+1),MATCH(R$1,[2]characters!$1:$1,0)-MATCH($A$1,[2]characters!$1:$1,0)+1,FALSE))</f>
        <v>不可避の爆激 トリスタン</v>
      </c>
      <c r="S261" s="3">
        <f t="shared" ca="1" si="5"/>
        <v>469</v>
      </c>
      <c r="T261" s="25" t="str">
        <f ca="1">VLOOKUP($S261,OFFSET([2]characters!$A$1,0,0,COUNTA([2]characters!$A:$A),MATCH(T$1,[2]characters!$1:$1,0)-MATCH($A$1,[2]characters!$1:$1,0)+1),MATCH(T$1,[2]characters!$1:$1,0)-MATCH($A$1,[2]characters!$1:$1,0)+1,FALSE)</f>
        <v>トリスタン</v>
      </c>
      <c r="U261" s="5">
        <f ca="1">IF(Q261="NULL","NULL",VLOOKUP(G261,ビット!$A$2:$B$7,2))</f>
        <v>50000</v>
      </c>
      <c r="V261">
        <v>50000</v>
      </c>
      <c r="W261" s="6" t="str">
        <f t="shared" ca="1" si="4"/>
        <v>TRUE</v>
      </c>
    </row>
    <row r="262" spans="1:23" ht="21" customHeight="1" x14ac:dyDescent="0.15">
      <c r="A262" s="84">
        <v>472</v>
      </c>
      <c r="B262" s="24" t="str">
        <f ca="1">VLOOKUP($A262,OFFSET([2]characters!$A$1,0,0,COUNTA([2]characters!$A:$A),MATCH(B$1,[2]characters!$1:$1,0)-MATCH($A$1,[2]characters!$1:$1,0)+1),MATCH(B$1,[2]characters!$1:$1,0)-MATCH($A$1,[2]characters!$1:$1,0)+1,FALSE)</f>
        <v>アーサー</v>
      </c>
      <c r="C262" s="24" t="str">
        <f ca="1">VLOOKUP($A262,OFFSET([2]characters!$A$1,0,0,COUNTA([2]characters!$A:$A),MATCH(C$1,[2]characters!$1:$1,0)-MATCH($A$1,[2]characters!$1:$1,0)+1),MATCH(C$1,[2]characters!$1:$1,0)-MATCH($A$1,[2]characters!$1:$1,0)+1,FALSE)</f>
        <v>イベント:ウィザード</v>
      </c>
      <c r="D262" s="24" t="str">
        <f ca="1">VLOOKUP($A262,OFFSET([2]characters!$A$1,0,0,COUNTA([2]characters!$A:$A),MATCH(D$1,[2]characters!$1:$1,0)-MATCH($A$1,[2]characters!$1:$1,0)+1),MATCH(D$1,[2]characters!$1:$1,0)-MATCH($A$1,[2]characters!$1:$1,0)+1,FALSE)</f>
        <v>執行者</v>
      </c>
      <c r="E262" s="24" t="str">
        <f ca="1">VLOOKUP($A262,OFFSET([2]characters!$A$1,0,0,COUNTA([2]characters!$A:$A),MATCH(E$1,[2]characters!$1:$1,0)-MATCH($A$1,[2]characters!$1:$1,0)+1),MATCH(E$1,[2]characters!$1:$1,0)-MATCH($A$1,[2]characters!$1:$1,0)+1,FALSE)</f>
        <v>格好いい</v>
      </c>
      <c r="F262" s="24" t="str">
        <f ca="1">VLOOKUP($A262,OFFSET([2]characters!$A$1,0,0,COUNTA([2]characters!$A:$A),MATCH(F$1,[2]characters!$1:$1,0)-MATCH($A$1,[2]characters!$1:$1,0)+1),MATCH(F$1,[2]characters!$1:$1,0)-MATCH($A$1,[2]characters!$1:$1,0)+1,FALSE)</f>
        <v>男性</v>
      </c>
      <c r="G262" s="24">
        <f ca="1">VLOOKUP($A262,OFFSET([2]characters!$A$1,0,0,COUNTA([2]characters!$A:$A),MATCH(G$1,[2]characters!$1:$1,0)-MATCH($A$1,[2]characters!$1:$1,0)+1),MATCH(G$1,[2]characters!$1:$1,0)-MATCH($A$1,[2]characters!$1:$1,0)+1,FALSE)</f>
        <v>4</v>
      </c>
      <c r="H262" s="24" t="str">
        <f ca="1">VLOOKUP($A262,OFFSET([2]characters!$A$1,0,0,COUNTA([2]characters!$A:$A),MATCH(H$1,[2]characters!$1:$1,0)-MATCH($A$1,[2]characters!$1:$1,0)+1),MATCH(H$1,[2]characters!$1:$1,0)-MATCH($A$1,[2]characters!$1:$1,0)+1,FALSE)</f>
        <v>DropWizS</v>
      </c>
      <c r="I262" s="24" t="str">
        <f ca="1">VLOOKUP($A262,OFFSET([2]characters!$A$1,0,0,COUNTA([2]characters!$A:$A),MATCH(I$1,[2]characters!$1:$1,0)-MATCH($A$1,[2]characters!$1:$1,0)+1),MATCH(I$1,[2]characters!$1:$1,0)-MATCH($A$1,[2]characters!$1:$1,0)+1,FALSE)</f>
        <v>red</v>
      </c>
      <c r="J262" s="24" t="str">
        <f ca="1">VLOOKUP($A262,OFFSET([2]characters!$A$1,0,0,COUNTA([2]characters!$A:$A),MATCH(J$1,[2]characters!$1:$1,0)-MATCH($A$1,[2]characters!$1:$1,0)+1),MATCH(J$1,[2]characters!$1:$1,0)-MATCH($A$1,[2]characters!$1:$1,0)+1,FALSE)</f>
        <v>none</v>
      </c>
      <c r="K262" s="3" t="str">
        <f ca="1">VLOOKUP(J262,[2]character_tribe_i18n!$A:$H,3,FALSE)</f>
        <v>種族なし</v>
      </c>
      <c r="L262" s="5" t="e">
        <f>VLOOKUP(#REF!,[2]character_tribe_i18n!$A:$H,4,FALSE)</f>
        <v>#REF!</v>
      </c>
      <c r="M262" s="5" t="e">
        <f>VLOOKUP(#REF!,[2]character_tribe_i18n!$A:$H,5,FALSE)</f>
        <v>#REF!</v>
      </c>
      <c r="N262" s="5" t="e">
        <f>VLOOKUP(#REF!,[2]character_tribe_i18n!$A:$H,6,FALSE)</f>
        <v>#REF!</v>
      </c>
      <c r="O262" s="5" t="e">
        <f>VLOOKUP(#REF!,[2]character_tribe_i18n!$A:$H,7,FALSE)</f>
        <v>#REF!</v>
      </c>
      <c r="P262" s="83" t="s">
        <v>170</v>
      </c>
      <c r="Q262">
        <v>473</v>
      </c>
      <c r="R262" s="25" t="str">
        <f ca="1">IF(Q262="NULL","",VLOOKUP($Q262,OFFSET([2]characters!$A$1,0,0,COUNTA([2]characters!$A:$A),MATCH(R$1,[2]characters!$1:$1,0)-MATCH($A$1,[2]characters!$1:$1,0)+1),MATCH(R$1,[2]characters!$1:$1,0)-MATCH($A$1,[2]characters!$1:$1,0)+1,FALSE))</f>
        <v>凶堅なる正義 アーサー</v>
      </c>
      <c r="S262" s="3">
        <f t="shared" ca="1" si="5"/>
        <v>472</v>
      </c>
      <c r="T262" s="25" t="str">
        <f ca="1">VLOOKUP($S262,OFFSET([2]characters!$A$1,0,0,COUNTA([2]characters!$A:$A),MATCH(T$1,[2]characters!$1:$1,0)-MATCH($A$1,[2]characters!$1:$1,0)+1),MATCH(T$1,[2]characters!$1:$1,0)-MATCH($A$1,[2]characters!$1:$1,0)+1,FALSE)</f>
        <v>アーサー</v>
      </c>
      <c r="U262" s="5">
        <f ca="1">IF(Q262="NULL","NULL",VLOOKUP(G262,ビット!$A$2:$B$7,2))</f>
        <v>50000</v>
      </c>
      <c r="V262">
        <v>50000</v>
      </c>
      <c r="W262" s="6" t="str">
        <f t="shared" ca="1" si="4"/>
        <v>TRUE</v>
      </c>
    </row>
    <row r="263" spans="1:23" ht="21" customHeight="1" x14ac:dyDescent="0.15">
      <c r="A263" s="84">
        <v>473</v>
      </c>
      <c r="B263" s="24" t="str">
        <f ca="1">VLOOKUP($A263,OFFSET([2]characters!$A$1,0,0,COUNTA([2]characters!$A:$A),MATCH(B$1,[2]characters!$1:$1,0)-MATCH($A$1,[2]characters!$1:$1,0)+1),MATCH(B$1,[2]characters!$1:$1,0)-MATCH($A$1,[2]characters!$1:$1,0)+1,FALSE)</f>
        <v>凶堅なる正義 アーサー</v>
      </c>
      <c r="C263" s="24" t="str">
        <f ca="1">VLOOKUP($A263,OFFSET([2]characters!$A$1,0,0,COUNTA([2]characters!$A:$A),MATCH(C$1,[2]characters!$1:$1,0)-MATCH($A$1,[2]characters!$1:$1,0)+1),MATCH(C$1,[2]characters!$1:$1,0)-MATCH($A$1,[2]characters!$1:$1,0)+1,FALSE)</f>
        <v>イベント:ウィザード</v>
      </c>
      <c r="D263" s="24" t="str">
        <f ca="1">VLOOKUP($A263,OFFSET([2]characters!$A$1,0,0,COUNTA([2]characters!$A:$A),MATCH(D$1,[2]characters!$1:$1,0)-MATCH($A$1,[2]characters!$1:$1,0)+1),MATCH(D$1,[2]characters!$1:$1,0)-MATCH($A$1,[2]characters!$1:$1,0)+1,FALSE)</f>
        <v>執行者</v>
      </c>
      <c r="E263" s="24" t="str">
        <f ca="1">VLOOKUP($A263,OFFSET([2]characters!$A$1,0,0,COUNTA([2]characters!$A:$A),MATCH(E$1,[2]characters!$1:$1,0)-MATCH($A$1,[2]characters!$1:$1,0)+1),MATCH(E$1,[2]characters!$1:$1,0)-MATCH($A$1,[2]characters!$1:$1,0)+1,FALSE)</f>
        <v>格好いい</v>
      </c>
      <c r="F263" s="24" t="str">
        <f ca="1">VLOOKUP($A263,OFFSET([2]characters!$A$1,0,0,COUNTA([2]characters!$A:$A),MATCH(F$1,[2]characters!$1:$1,0)-MATCH($A$1,[2]characters!$1:$1,0)+1),MATCH(F$1,[2]characters!$1:$1,0)-MATCH($A$1,[2]characters!$1:$1,0)+1,FALSE)</f>
        <v>男性</v>
      </c>
      <c r="G263" s="24">
        <f ca="1">VLOOKUP($A263,OFFSET([2]characters!$A$1,0,0,COUNTA([2]characters!$A:$A),MATCH(G$1,[2]characters!$1:$1,0)-MATCH($A$1,[2]characters!$1:$1,0)+1),MATCH(G$1,[2]characters!$1:$1,0)-MATCH($A$1,[2]characters!$1:$1,0)+1,FALSE)</f>
        <v>5</v>
      </c>
      <c r="H263" s="24" t="str">
        <f ca="1">VLOOKUP($A263,OFFSET([2]characters!$A$1,0,0,COUNTA([2]characters!$A:$A),MATCH(H$1,[2]characters!$1:$1,0)-MATCH($A$1,[2]characters!$1:$1,0)+1),MATCH(H$1,[2]characters!$1:$1,0)-MATCH($A$1,[2]characters!$1:$1,0)+1,FALSE)</f>
        <v>DropWizS</v>
      </c>
      <c r="I263" s="24" t="str">
        <f ca="1">VLOOKUP($A263,OFFSET([2]characters!$A$1,0,0,COUNTA([2]characters!$A:$A),MATCH(I$1,[2]characters!$1:$1,0)-MATCH($A$1,[2]characters!$1:$1,0)+1),MATCH(I$1,[2]characters!$1:$1,0)-MATCH($A$1,[2]characters!$1:$1,0)+1,FALSE)</f>
        <v>red</v>
      </c>
      <c r="J263" s="24" t="str">
        <f ca="1">VLOOKUP($A263,OFFSET([2]characters!$A$1,0,0,COUNTA([2]characters!$A:$A),MATCH(J$1,[2]characters!$1:$1,0)-MATCH($A$1,[2]characters!$1:$1,0)+1),MATCH(J$1,[2]characters!$1:$1,0)-MATCH($A$1,[2]characters!$1:$1,0)+1,FALSE)</f>
        <v>none</v>
      </c>
      <c r="K263" s="3" t="str">
        <f ca="1">VLOOKUP(J263,[2]character_tribe_i18n!$A:$H,3,FALSE)</f>
        <v>種族なし</v>
      </c>
      <c r="L263" s="5" t="e">
        <f>VLOOKUP(#REF!,[2]character_tribe_i18n!$A:$H,4,FALSE)</f>
        <v>#REF!</v>
      </c>
      <c r="M263" s="5" t="e">
        <f>VLOOKUP(#REF!,[2]character_tribe_i18n!$A:$H,5,FALSE)</f>
        <v>#REF!</v>
      </c>
      <c r="N263" s="5" t="e">
        <f>VLOOKUP(#REF!,[2]character_tribe_i18n!$A:$H,6,FALSE)</f>
        <v>#REF!</v>
      </c>
      <c r="O263" s="5" t="e">
        <f>VLOOKUP(#REF!,[2]character_tribe_i18n!$A:$H,7,FALSE)</f>
        <v>#REF!</v>
      </c>
      <c r="P263" s="83" t="s">
        <v>170</v>
      </c>
      <c r="Q263">
        <v>820</v>
      </c>
      <c r="R263" s="25" t="str">
        <f ca="1">IF(Q263="NULL","",VLOOKUP($Q263,OFFSET([2]characters!$A$1,0,0,COUNTA([2]characters!$A:$A),MATCH(R$1,[2]characters!$1:$1,0)-MATCH($A$1,[2]characters!$1:$1,0)+1),MATCH(R$1,[2]characters!$1:$1,0)-MATCH($A$1,[2]characters!$1:$1,0)+1,FALSE))</f>
        <v>凶心者の聖儀 アーサー</v>
      </c>
      <c r="S263" s="3">
        <f t="shared" ca="1" si="5"/>
        <v>472</v>
      </c>
      <c r="T263" s="25" t="str">
        <f ca="1">VLOOKUP($S263,OFFSET([2]characters!$A$1,0,0,COUNTA([2]characters!$A:$A),MATCH(T$1,[2]characters!$1:$1,0)-MATCH($A$1,[2]characters!$1:$1,0)+1),MATCH(T$1,[2]characters!$1:$1,0)-MATCH($A$1,[2]characters!$1:$1,0)+1,FALSE)</f>
        <v>アーサー</v>
      </c>
      <c r="U263" s="5">
        <f ca="1">IF(Q263="NULL","NULL",VLOOKUP(G263,ビット!$A$2:$B$7,2))</f>
        <v>200000</v>
      </c>
      <c r="V263">
        <v>200000</v>
      </c>
      <c r="W263" s="6" t="str">
        <f t="shared" ca="1" si="4"/>
        <v>TRUE</v>
      </c>
    </row>
    <row r="264" spans="1:23" ht="21" customHeight="1" x14ac:dyDescent="0.15">
      <c r="A264" s="84">
        <v>474</v>
      </c>
      <c r="B264" s="24" t="str">
        <f ca="1">VLOOKUP($A264,OFFSET([2]characters!$A$1,0,0,COUNTA([2]characters!$A:$A),MATCH(B$1,[2]characters!$1:$1,0)-MATCH($A$1,[2]characters!$1:$1,0)+1),MATCH(B$1,[2]characters!$1:$1,0)-MATCH($A$1,[2]characters!$1:$1,0)+1,FALSE)</f>
        <v>キング・ドライグ</v>
      </c>
      <c r="C264" s="24" t="str">
        <f ca="1">VLOOKUP($A264,OFFSET([2]characters!$A$1,0,0,COUNTA([2]characters!$A:$A),MATCH(C$1,[2]characters!$1:$1,0)-MATCH($A$1,[2]characters!$1:$1,0)+1),MATCH(C$1,[2]characters!$1:$1,0)-MATCH($A$1,[2]characters!$1:$1,0)+1,FALSE)</f>
        <v>ガチャ:デッドマンズ</v>
      </c>
      <c r="D264" s="24" t="str">
        <f ca="1">VLOOKUP($A264,OFFSET([2]characters!$A$1,0,0,COUNTA([2]characters!$A:$A),MATCH(D$1,[2]characters!$1:$1,0)-MATCH($A$1,[2]characters!$1:$1,0)+1),MATCH(D$1,[2]characters!$1:$1,0)-MATCH($A$1,[2]characters!$1:$1,0)+1,FALSE)</f>
        <v>執行者</v>
      </c>
      <c r="E264" s="24" t="str">
        <f ca="1">VLOOKUP($A264,OFFSET([2]characters!$A$1,0,0,COUNTA([2]characters!$A:$A),MATCH(E$1,[2]characters!$1:$1,0)-MATCH($A$1,[2]characters!$1:$1,0)+1),MATCH(E$1,[2]characters!$1:$1,0)-MATCH($A$1,[2]characters!$1:$1,0)+1,FALSE)</f>
        <v>格好いい</v>
      </c>
      <c r="F264" s="24" t="str">
        <f ca="1">VLOOKUP($A264,OFFSET([2]characters!$A$1,0,0,COUNTA([2]characters!$A:$A),MATCH(F$1,[2]characters!$1:$1,0)-MATCH($A$1,[2]characters!$1:$1,0)+1),MATCH(F$1,[2]characters!$1:$1,0)-MATCH($A$1,[2]characters!$1:$1,0)+1,FALSE)</f>
        <v>不明</v>
      </c>
      <c r="G264" s="24">
        <f ca="1">VLOOKUP($A264,OFFSET([2]characters!$A$1,0,0,COUNTA([2]characters!$A:$A),MATCH(G$1,[2]characters!$1:$1,0)-MATCH($A$1,[2]characters!$1:$1,0)+1),MATCH(G$1,[2]characters!$1:$1,0)-MATCH($A$1,[2]characters!$1:$1,0)+1,FALSE)</f>
        <v>4</v>
      </c>
      <c r="H264" s="24" t="str">
        <f ca="1">VLOOKUP($A264,OFFSET([2]characters!$A$1,0,0,COUNTA([2]characters!$A:$A),MATCH(H$1,[2]characters!$1:$1,0)-MATCH($A$1,[2]characters!$1:$1,0)+1),MATCH(H$1,[2]characters!$1:$1,0)-MATCH($A$1,[2]characters!$1:$1,0)+1,FALSE)</f>
        <v>PremiumSS</v>
      </c>
      <c r="I264" s="24" t="str">
        <f ca="1">VLOOKUP($A264,OFFSET([2]characters!$A$1,0,0,COUNTA([2]characters!$A:$A),MATCH(I$1,[2]characters!$1:$1,0)-MATCH($A$1,[2]characters!$1:$1,0)+1),MATCH(I$1,[2]characters!$1:$1,0)-MATCH($A$1,[2]characters!$1:$1,0)+1,FALSE)</f>
        <v>red</v>
      </c>
      <c r="J264" s="24" t="str">
        <f ca="1">VLOOKUP($A264,OFFSET([2]characters!$A$1,0,0,COUNTA([2]characters!$A:$A),MATCH(J$1,[2]characters!$1:$1,0)-MATCH($A$1,[2]characters!$1:$1,0)+1),MATCH(J$1,[2]characters!$1:$1,0)-MATCH($A$1,[2]characters!$1:$1,0)+1,FALSE)</f>
        <v>none</v>
      </c>
      <c r="K264" s="3" t="str">
        <f ca="1">VLOOKUP(J264,[2]character_tribe_i18n!$A:$H,3,FALSE)</f>
        <v>種族なし</v>
      </c>
      <c r="L264" s="5" t="e">
        <f>VLOOKUP(#REF!,[2]character_tribe_i18n!$A:$H,4,FALSE)</f>
        <v>#REF!</v>
      </c>
      <c r="M264" s="5" t="e">
        <f>VLOOKUP(#REF!,[2]character_tribe_i18n!$A:$H,5,FALSE)</f>
        <v>#REF!</v>
      </c>
      <c r="N264" s="5" t="e">
        <f>VLOOKUP(#REF!,[2]character_tribe_i18n!$A:$H,6,FALSE)</f>
        <v>#REF!</v>
      </c>
      <c r="O264" s="5" t="e">
        <f>VLOOKUP(#REF!,[2]character_tribe_i18n!$A:$H,7,FALSE)</f>
        <v>#REF!</v>
      </c>
      <c r="P264" s="83" t="s">
        <v>170</v>
      </c>
      <c r="Q264">
        <v>475</v>
      </c>
      <c r="R264" s="25" t="str">
        <f ca="1">IF(Q264="NULL","",VLOOKUP($Q264,OFFSET([2]characters!$A$1,0,0,COUNTA([2]characters!$A:$A),MATCH(R$1,[2]characters!$1:$1,0)-MATCH($A$1,[2]characters!$1:$1,0)+1),MATCH(R$1,[2]characters!$1:$1,0)-MATCH($A$1,[2]characters!$1:$1,0)+1,FALSE))</f>
        <v>緋王 キング・ドライグ</v>
      </c>
      <c r="S264" s="3">
        <f t="shared" ca="1" si="5"/>
        <v>474</v>
      </c>
      <c r="T264" s="25" t="str">
        <f ca="1">VLOOKUP($S264,OFFSET([2]characters!$A$1,0,0,COUNTA([2]characters!$A:$A),MATCH(T$1,[2]characters!$1:$1,0)-MATCH($A$1,[2]characters!$1:$1,0)+1),MATCH(T$1,[2]characters!$1:$1,0)-MATCH($A$1,[2]characters!$1:$1,0)+1,FALSE)</f>
        <v>キング・ドライグ</v>
      </c>
      <c r="U264" s="5">
        <f ca="1">IF(Q264="NULL","NULL",VLOOKUP(G264,ビット!$A$2:$B$7,2))</f>
        <v>50000</v>
      </c>
      <c r="V264">
        <v>50000</v>
      </c>
      <c r="W264" s="6" t="str">
        <f t="shared" ca="1" si="4"/>
        <v>TRUE</v>
      </c>
    </row>
    <row r="265" spans="1:23" ht="21" customHeight="1" x14ac:dyDescent="0.15">
      <c r="A265" s="84">
        <v>476</v>
      </c>
      <c r="B265" s="24" t="str">
        <f ca="1">VLOOKUP($A265,OFFSET([2]characters!$A$1,0,0,COUNTA([2]characters!$A:$A),MATCH(B$1,[2]characters!$1:$1,0)-MATCH($A$1,[2]characters!$1:$1,0)+1),MATCH(B$1,[2]characters!$1:$1,0)-MATCH($A$1,[2]characters!$1:$1,0)+1,FALSE)</f>
        <v>ファータ</v>
      </c>
      <c r="C265" s="24" t="str">
        <f ca="1">VLOOKUP($A265,OFFSET([2]characters!$A$1,0,0,COUNTA([2]characters!$A:$A),MATCH(C$1,[2]characters!$1:$1,0)-MATCH($A$1,[2]characters!$1:$1,0)+1),MATCH(C$1,[2]characters!$1:$1,0)-MATCH($A$1,[2]characters!$1:$1,0)+1,FALSE)</f>
        <v>ガチャ:デッドマンズ</v>
      </c>
      <c r="D265" s="24" t="str">
        <f ca="1">VLOOKUP($A265,OFFSET([2]characters!$A$1,0,0,COUNTA([2]characters!$A:$A),MATCH(D$1,[2]characters!$1:$1,0)-MATCH($A$1,[2]characters!$1:$1,0)+1),MATCH(D$1,[2]characters!$1:$1,0)-MATCH($A$1,[2]characters!$1:$1,0)+1,FALSE)</f>
        <v>執行者</v>
      </c>
      <c r="E265" s="24" t="str">
        <f ca="1">VLOOKUP($A265,OFFSET([2]characters!$A$1,0,0,COUNTA([2]characters!$A:$A),MATCH(E$1,[2]characters!$1:$1,0)-MATCH($A$1,[2]characters!$1:$1,0)+1),MATCH(E$1,[2]characters!$1:$1,0)-MATCH($A$1,[2]characters!$1:$1,0)+1,FALSE)</f>
        <v>格好いい</v>
      </c>
      <c r="F265" s="24" t="str">
        <f ca="1">VLOOKUP($A265,OFFSET([2]characters!$A$1,0,0,COUNTA([2]characters!$A:$A),MATCH(F$1,[2]characters!$1:$1,0)-MATCH($A$1,[2]characters!$1:$1,0)+1),MATCH(F$1,[2]characters!$1:$1,0)-MATCH($A$1,[2]characters!$1:$1,0)+1,FALSE)</f>
        <v>女性</v>
      </c>
      <c r="G265" s="24">
        <f ca="1">VLOOKUP($A265,OFFSET([2]characters!$A$1,0,0,COUNTA([2]characters!$A:$A),MATCH(G$1,[2]characters!$1:$1,0)-MATCH($A$1,[2]characters!$1:$1,0)+1),MATCH(G$1,[2]characters!$1:$1,0)-MATCH($A$1,[2]characters!$1:$1,0)+1,FALSE)</f>
        <v>3</v>
      </c>
      <c r="H265" s="24" t="str">
        <f ca="1">VLOOKUP($A265,OFFSET([2]characters!$A$1,0,0,COUNTA([2]characters!$A:$A),MATCH(H$1,[2]characters!$1:$1,0)-MATCH($A$1,[2]characters!$1:$1,0)+1),MATCH(H$1,[2]characters!$1:$1,0)-MATCH($A$1,[2]characters!$1:$1,0)+1,FALSE)</f>
        <v>PremiumS</v>
      </c>
      <c r="I265" s="24" t="str">
        <f ca="1">VLOOKUP($A265,OFFSET([2]characters!$A$1,0,0,COUNTA([2]characters!$A:$A),MATCH(I$1,[2]characters!$1:$1,0)-MATCH($A$1,[2]characters!$1:$1,0)+1),MATCH(I$1,[2]characters!$1:$1,0)-MATCH($A$1,[2]characters!$1:$1,0)+1,FALSE)</f>
        <v>green</v>
      </c>
      <c r="J265" s="24" t="str">
        <f ca="1">VLOOKUP($A265,OFFSET([2]characters!$A$1,0,0,COUNTA([2]characters!$A:$A),MATCH(J$1,[2]characters!$1:$1,0)-MATCH($A$1,[2]characters!$1:$1,0)+1),MATCH(J$1,[2]characters!$1:$1,0)-MATCH($A$1,[2]characters!$1:$1,0)+1,FALSE)</f>
        <v>none</v>
      </c>
      <c r="K265" s="3" t="str">
        <f ca="1">VLOOKUP(J265,[2]character_tribe_i18n!$A:$H,3,FALSE)</f>
        <v>種族なし</v>
      </c>
      <c r="L265" s="5" t="e">
        <f>VLOOKUP(#REF!,[2]character_tribe_i18n!$A:$H,4,FALSE)</f>
        <v>#REF!</v>
      </c>
      <c r="M265" s="5" t="e">
        <f>VLOOKUP(#REF!,[2]character_tribe_i18n!$A:$H,5,FALSE)</f>
        <v>#REF!</v>
      </c>
      <c r="N265" s="5" t="e">
        <f>VLOOKUP(#REF!,[2]character_tribe_i18n!$A:$H,6,FALSE)</f>
        <v>#REF!</v>
      </c>
      <c r="O265" s="5" t="e">
        <f>VLOOKUP(#REF!,[2]character_tribe_i18n!$A:$H,7,FALSE)</f>
        <v>#REF!</v>
      </c>
      <c r="P265" s="83" t="s">
        <v>170</v>
      </c>
      <c r="Q265">
        <v>477</v>
      </c>
      <c r="R265" s="25" t="str">
        <f ca="1">IF(Q265="NULL","",VLOOKUP($Q265,OFFSET([2]characters!$A$1,0,0,COUNTA([2]characters!$A:$A),MATCH(R$1,[2]characters!$1:$1,0)-MATCH($A$1,[2]characters!$1:$1,0)+1),MATCH(R$1,[2]characters!$1:$1,0)-MATCH($A$1,[2]characters!$1:$1,0)+1,FALSE))</f>
        <v>愛羽妖精 ファータ</v>
      </c>
      <c r="S265" s="3">
        <f t="shared" ca="1" si="5"/>
        <v>476</v>
      </c>
      <c r="T265" s="25" t="str">
        <f ca="1">VLOOKUP($S265,OFFSET([2]characters!$A$1,0,0,COUNTA([2]characters!$A:$A),MATCH(T$1,[2]characters!$1:$1,0)-MATCH($A$1,[2]characters!$1:$1,0)+1),MATCH(T$1,[2]characters!$1:$1,0)-MATCH($A$1,[2]characters!$1:$1,0)+1,FALSE)</f>
        <v>ファータ</v>
      </c>
      <c r="U265" s="5">
        <f ca="1">IF(Q265="NULL","NULL",VLOOKUP(G265,ビット!$A$2:$B$7,2))</f>
        <v>20000</v>
      </c>
      <c r="V265">
        <v>20000</v>
      </c>
      <c r="W265" s="6" t="str">
        <f t="shared" ca="1" si="4"/>
        <v>TRUE</v>
      </c>
    </row>
    <row r="266" spans="1:23" ht="21" customHeight="1" x14ac:dyDescent="0.15">
      <c r="A266" s="84">
        <v>477</v>
      </c>
      <c r="B266" s="24" t="str">
        <f ca="1">VLOOKUP($A266,OFFSET([2]characters!$A$1,0,0,COUNTA([2]characters!$A:$A),MATCH(B$1,[2]characters!$1:$1,0)-MATCH($A$1,[2]characters!$1:$1,0)+1),MATCH(B$1,[2]characters!$1:$1,0)-MATCH($A$1,[2]characters!$1:$1,0)+1,FALSE)</f>
        <v>愛羽妖精 ファータ</v>
      </c>
      <c r="C266" s="24" t="str">
        <f ca="1">VLOOKUP($A266,OFFSET([2]characters!$A$1,0,0,COUNTA([2]characters!$A:$A),MATCH(C$1,[2]characters!$1:$1,0)-MATCH($A$1,[2]characters!$1:$1,0)+1),MATCH(C$1,[2]characters!$1:$1,0)-MATCH($A$1,[2]characters!$1:$1,0)+1,FALSE)</f>
        <v>ガチャ:デッドマンズ</v>
      </c>
      <c r="D266" s="24" t="str">
        <f ca="1">VLOOKUP($A266,OFFSET([2]characters!$A$1,0,0,COUNTA([2]characters!$A:$A),MATCH(D$1,[2]characters!$1:$1,0)-MATCH($A$1,[2]characters!$1:$1,0)+1),MATCH(D$1,[2]characters!$1:$1,0)-MATCH($A$1,[2]characters!$1:$1,0)+1,FALSE)</f>
        <v>執行者</v>
      </c>
      <c r="E266" s="24" t="str">
        <f ca="1">VLOOKUP($A266,OFFSET([2]characters!$A$1,0,0,COUNTA([2]characters!$A:$A),MATCH(E$1,[2]characters!$1:$1,0)-MATCH($A$1,[2]characters!$1:$1,0)+1),MATCH(E$1,[2]characters!$1:$1,0)-MATCH($A$1,[2]characters!$1:$1,0)+1,FALSE)</f>
        <v>格好いい</v>
      </c>
      <c r="F266" s="24" t="str">
        <f ca="1">VLOOKUP($A266,OFFSET([2]characters!$A$1,0,0,COUNTA([2]characters!$A:$A),MATCH(F$1,[2]characters!$1:$1,0)-MATCH($A$1,[2]characters!$1:$1,0)+1),MATCH(F$1,[2]characters!$1:$1,0)-MATCH($A$1,[2]characters!$1:$1,0)+1,FALSE)</f>
        <v>女性</v>
      </c>
      <c r="G266" s="24">
        <f ca="1">VLOOKUP($A266,OFFSET([2]characters!$A$1,0,0,COUNTA([2]characters!$A:$A),MATCH(G$1,[2]characters!$1:$1,0)-MATCH($A$1,[2]characters!$1:$1,0)+1),MATCH(G$1,[2]characters!$1:$1,0)-MATCH($A$1,[2]characters!$1:$1,0)+1,FALSE)</f>
        <v>4</v>
      </c>
      <c r="H266" s="24" t="str">
        <f ca="1">VLOOKUP($A266,OFFSET([2]characters!$A$1,0,0,COUNTA([2]characters!$A:$A),MATCH(H$1,[2]characters!$1:$1,0)-MATCH($A$1,[2]characters!$1:$1,0)+1),MATCH(H$1,[2]characters!$1:$1,0)-MATCH($A$1,[2]characters!$1:$1,0)+1,FALSE)</f>
        <v>PremiumS</v>
      </c>
      <c r="I266" s="24" t="str">
        <f ca="1">VLOOKUP($A266,OFFSET([2]characters!$A$1,0,0,COUNTA([2]characters!$A:$A),MATCH(I$1,[2]characters!$1:$1,0)-MATCH($A$1,[2]characters!$1:$1,0)+1),MATCH(I$1,[2]characters!$1:$1,0)-MATCH($A$1,[2]characters!$1:$1,0)+1,FALSE)</f>
        <v>green</v>
      </c>
      <c r="J266" s="24" t="str">
        <f ca="1">VLOOKUP($A266,OFFSET([2]characters!$A$1,0,0,COUNTA([2]characters!$A:$A),MATCH(J$1,[2]characters!$1:$1,0)-MATCH($A$1,[2]characters!$1:$1,0)+1),MATCH(J$1,[2]characters!$1:$1,0)-MATCH($A$1,[2]characters!$1:$1,0)+1,FALSE)</f>
        <v>none</v>
      </c>
      <c r="K266" s="3" t="str">
        <f ca="1">VLOOKUP(J266,[2]character_tribe_i18n!$A:$H,3,FALSE)</f>
        <v>種族なし</v>
      </c>
      <c r="L266" s="5" t="e">
        <f>VLOOKUP(#REF!,[2]character_tribe_i18n!$A:$H,4,FALSE)</f>
        <v>#REF!</v>
      </c>
      <c r="M266" s="5" t="e">
        <f>VLOOKUP(#REF!,[2]character_tribe_i18n!$A:$H,5,FALSE)</f>
        <v>#REF!</v>
      </c>
      <c r="N266" s="5" t="e">
        <f>VLOOKUP(#REF!,[2]character_tribe_i18n!$A:$H,6,FALSE)</f>
        <v>#REF!</v>
      </c>
      <c r="O266" s="5" t="e">
        <f>VLOOKUP(#REF!,[2]character_tribe_i18n!$A:$H,7,FALSE)</f>
        <v>#REF!</v>
      </c>
      <c r="P266" s="83" t="s">
        <v>170</v>
      </c>
      <c r="Q266">
        <v>478</v>
      </c>
      <c r="R266" s="25" t="str">
        <f ca="1">IF(Q266="NULL","",VLOOKUP($Q266,OFFSET([2]characters!$A$1,0,0,COUNTA([2]characters!$A:$A),MATCH(R$1,[2]characters!$1:$1,0)-MATCH($A$1,[2]characters!$1:$1,0)+1),MATCH(R$1,[2]characters!$1:$1,0)-MATCH($A$1,[2]characters!$1:$1,0)+1,FALSE))</f>
        <v>時計仕掛けの愛羽妖精 ファータ</v>
      </c>
      <c r="S266" s="3">
        <f t="shared" ca="1" si="5"/>
        <v>476</v>
      </c>
      <c r="T266" s="25" t="str">
        <f ca="1">VLOOKUP($S266,OFFSET([2]characters!$A$1,0,0,COUNTA([2]characters!$A:$A),MATCH(T$1,[2]characters!$1:$1,0)-MATCH($A$1,[2]characters!$1:$1,0)+1),MATCH(T$1,[2]characters!$1:$1,0)-MATCH($A$1,[2]characters!$1:$1,0)+1,FALSE)</f>
        <v>ファータ</v>
      </c>
      <c r="U266" s="5">
        <f ca="1">IF(Q266="NULL","NULL",VLOOKUP(G266,ビット!$A$2:$B$7,2))</f>
        <v>50000</v>
      </c>
      <c r="V266">
        <v>50000</v>
      </c>
      <c r="W266" s="6" t="str">
        <f t="shared" ca="1" si="4"/>
        <v>TRUE</v>
      </c>
    </row>
    <row r="267" spans="1:23" ht="21" customHeight="1" x14ac:dyDescent="0.15">
      <c r="A267" s="84">
        <v>479</v>
      </c>
      <c r="B267" s="24" t="str">
        <f ca="1">VLOOKUP($A267,OFFSET([2]characters!$A$1,0,0,COUNTA([2]characters!$A:$A),MATCH(B$1,[2]characters!$1:$1,0)-MATCH($A$1,[2]characters!$1:$1,0)+1),MATCH(B$1,[2]characters!$1:$1,0)-MATCH($A$1,[2]characters!$1:$1,0)+1,FALSE)</f>
        <v>フール</v>
      </c>
      <c r="C267" s="24" t="str">
        <f ca="1">VLOOKUP($A267,OFFSET([2]characters!$A$1,0,0,COUNTA([2]characters!$A:$A),MATCH(C$1,[2]characters!$1:$1,0)-MATCH($A$1,[2]characters!$1:$1,0)+1),MATCH(C$1,[2]characters!$1:$1,0)-MATCH($A$1,[2]characters!$1:$1,0)+1,FALSE)</f>
        <v>ガチャ:デッドマンズ</v>
      </c>
      <c r="D267" s="24" t="str">
        <f ca="1">VLOOKUP($A267,OFFSET([2]characters!$A$1,0,0,COUNTA([2]characters!$A:$A),MATCH(D$1,[2]characters!$1:$1,0)-MATCH($A$1,[2]characters!$1:$1,0)+1),MATCH(D$1,[2]characters!$1:$1,0)-MATCH($A$1,[2]characters!$1:$1,0)+1,FALSE)</f>
        <v>執行者</v>
      </c>
      <c r="E267" s="24" t="str">
        <f ca="1">VLOOKUP($A267,OFFSET([2]characters!$A$1,0,0,COUNTA([2]characters!$A:$A),MATCH(E$1,[2]characters!$1:$1,0)-MATCH($A$1,[2]characters!$1:$1,0)+1),MATCH(E$1,[2]characters!$1:$1,0)-MATCH($A$1,[2]characters!$1:$1,0)+1,FALSE)</f>
        <v>格好いい</v>
      </c>
      <c r="F267" s="24" t="str">
        <f ca="1">VLOOKUP($A267,OFFSET([2]characters!$A$1,0,0,COUNTA([2]characters!$A:$A),MATCH(F$1,[2]characters!$1:$1,0)-MATCH($A$1,[2]characters!$1:$1,0)+1),MATCH(F$1,[2]characters!$1:$1,0)-MATCH($A$1,[2]characters!$1:$1,0)+1,FALSE)</f>
        <v>男性</v>
      </c>
      <c r="G267" s="24">
        <f ca="1">VLOOKUP($A267,OFFSET([2]characters!$A$1,0,0,COUNTA([2]characters!$A:$A),MATCH(G$1,[2]characters!$1:$1,0)-MATCH($A$1,[2]characters!$1:$1,0)+1),MATCH(G$1,[2]characters!$1:$1,0)-MATCH($A$1,[2]characters!$1:$1,0)+1,FALSE)</f>
        <v>4</v>
      </c>
      <c r="H267" s="24" t="str">
        <f ca="1">VLOOKUP($A267,OFFSET([2]characters!$A$1,0,0,COUNTA([2]characters!$A:$A),MATCH(H$1,[2]characters!$1:$1,0)-MATCH($A$1,[2]characters!$1:$1,0)+1),MATCH(H$1,[2]characters!$1:$1,0)-MATCH($A$1,[2]characters!$1:$1,0)+1,FALSE)</f>
        <v>PremiumSS</v>
      </c>
      <c r="I267" s="24" t="str">
        <f ca="1">VLOOKUP($A267,OFFSET([2]characters!$A$1,0,0,COUNTA([2]characters!$A:$A),MATCH(I$1,[2]characters!$1:$1,0)-MATCH($A$1,[2]characters!$1:$1,0)+1),MATCH(I$1,[2]characters!$1:$1,0)-MATCH($A$1,[2]characters!$1:$1,0)+1,FALSE)</f>
        <v>blue</v>
      </c>
      <c r="J267" s="24" t="str">
        <f ca="1">VLOOKUP($A267,OFFSET([2]characters!$A$1,0,0,COUNTA([2]characters!$A:$A),MATCH(J$1,[2]characters!$1:$1,0)-MATCH($A$1,[2]characters!$1:$1,0)+1),MATCH(J$1,[2]characters!$1:$1,0)-MATCH($A$1,[2]characters!$1:$1,0)+1,FALSE)</f>
        <v>none</v>
      </c>
      <c r="K267" s="3" t="str">
        <f ca="1">VLOOKUP(J267,[2]character_tribe_i18n!$A:$H,3,FALSE)</f>
        <v>種族なし</v>
      </c>
      <c r="L267" s="5" t="e">
        <f>VLOOKUP(#REF!,[2]character_tribe_i18n!$A:$H,4,FALSE)</f>
        <v>#REF!</v>
      </c>
      <c r="M267" s="5" t="e">
        <f>VLOOKUP(#REF!,[2]character_tribe_i18n!$A:$H,5,FALSE)</f>
        <v>#REF!</v>
      </c>
      <c r="N267" s="5" t="e">
        <f>VLOOKUP(#REF!,[2]character_tribe_i18n!$A:$H,6,FALSE)</f>
        <v>#REF!</v>
      </c>
      <c r="O267" s="5" t="e">
        <f>VLOOKUP(#REF!,[2]character_tribe_i18n!$A:$H,7,FALSE)</f>
        <v>#REF!</v>
      </c>
      <c r="P267" s="83" t="s">
        <v>170</v>
      </c>
      <c r="Q267">
        <v>480</v>
      </c>
      <c r="R267" s="25" t="str">
        <f ca="1">IF(Q267="NULL","",VLOOKUP($Q267,OFFSET([2]characters!$A$1,0,0,COUNTA([2]characters!$A:$A),MATCH(R$1,[2]characters!$1:$1,0)-MATCH($A$1,[2]characters!$1:$1,0)+1),MATCH(R$1,[2]characters!$1:$1,0)-MATCH($A$1,[2]characters!$1:$1,0)+1,FALSE))</f>
        <v>夢幻の愚者フール</v>
      </c>
      <c r="S267" s="3">
        <f t="shared" ca="1" si="5"/>
        <v>479</v>
      </c>
      <c r="T267" s="25" t="str">
        <f ca="1">VLOOKUP($S267,OFFSET([2]characters!$A$1,0,0,COUNTA([2]characters!$A:$A),MATCH(T$1,[2]characters!$1:$1,0)-MATCH($A$1,[2]characters!$1:$1,0)+1),MATCH(T$1,[2]characters!$1:$1,0)-MATCH($A$1,[2]characters!$1:$1,0)+1,FALSE)</f>
        <v>フール</v>
      </c>
      <c r="U267" s="5">
        <f ca="1">IF(Q267="NULL","NULL",VLOOKUP(G267,ビット!$A$2:$B$7,2))</f>
        <v>50000</v>
      </c>
      <c r="V267">
        <v>50000</v>
      </c>
      <c r="W267" s="6" t="str">
        <f t="shared" ca="1" si="4"/>
        <v>TRUE</v>
      </c>
    </row>
    <row r="268" spans="1:23" ht="21" customHeight="1" x14ac:dyDescent="0.15">
      <c r="A268" s="84">
        <v>481</v>
      </c>
      <c r="B268" s="24" t="str">
        <f ca="1">VLOOKUP($A268,OFFSET([2]characters!$A$1,0,0,COUNTA([2]characters!$A:$A),MATCH(B$1,[2]characters!$1:$1,0)-MATCH($A$1,[2]characters!$1:$1,0)+1),MATCH(B$1,[2]characters!$1:$1,0)-MATCH($A$1,[2]characters!$1:$1,0)+1,FALSE)</f>
        <v>沢庵宗彭</v>
      </c>
      <c r="C268" s="24" t="str">
        <f ca="1">VLOOKUP($A268,OFFSET([2]characters!$A$1,0,0,COUNTA([2]characters!$A:$A),MATCH(C$1,[2]characters!$1:$1,0)-MATCH($A$1,[2]characters!$1:$1,0)+1),MATCH(C$1,[2]characters!$1:$1,0)-MATCH($A$1,[2]characters!$1:$1,0)+1,FALSE)</f>
        <v>ガチャ:デッドマンズ</v>
      </c>
      <c r="D268" s="24" t="str">
        <f ca="1">VLOOKUP($A268,OFFSET([2]characters!$A$1,0,0,COUNTA([2]characters!$A:$A),MATCH(D$1,[2]characters!$1:$1,0)-MATCH($A$1,[2]characters!$1:$1,0)+1),MATCH(D$1,[2]characters!$1:$1,0)-MATCH($A$1,[2]characters!$1:$1,0)+1,FALSE)</f>
        <v>執行者</v>
      </c>
      <c r="E268" s="24" t="str">
        <f ca="1">VLOOKUP($A268,OFFSET([2]characters!$A$1,0,0,COUNTA([2]characters!$A:$A),MATCH(E$1,[2]characters!$1:$1,0)-MATCH($A$1,[2]characters!$1:$1,0)+1),MATCH(E$1,[2]characters!$1:$1,0)-MATCH($A$1,[2]characters!$1:$1,0)+1,FALSE)</f>
        <v>格好いい</v>
      </c>
      <c r="F268" s="24" t="str">
        <f ca="1">VLOOKUP($A268,OFFSET([2]characters!$A$1,0,0,COUNTA([2]characters!$A:$A),MATCH(F$1,[2]characters!$1:$1,0)-MATCH($A$1,[2]characters!$1:$1,0)+1),MATCH(F$1,[2]characters!$1:$1,0)-MATCH($A$1,[2]characters!$1:$1,0)+1,FALSE)</f>
        <v>男性</v>
      </c>
      <c r="G268" s="24">
        <f ca="1">VLOOKUP($A268,OFFSET([2]characters!$A$1,0,0,COUNTA([2]characters!$A:$A),MATCH(G$1,[2]characters!$1:$1,0)-MATCH($A$1,[2]characters!$1:$1,0)+1),MATCH(G$1,[2]characters!$1:$1,0)-MATCH($A$1,[2]characters!$1:$1,0)+1,FALSE)</f>
        <v>3</v>
      </c>
      <c r="H268" s="24" t="str">
        <f ca="1">VLOOKUP($A268,OFFSET([2]characters!$A$1,0,0,COUNTA([2]characters!$A:$A),MATCH(H$1,[2]characters!$1:$1,0)-MATCH($A$1,[2]characters!$1:$1,0)+1),MATCH(H$1,[2]characters!$1:$1,0)-MATCH($A$1,[2]characters!$1:$1,0)+1,FALSE)</f>
        <v>PremiumS</v>
      </c>
      <c r="I268" s="24" t="str">
        <f ca="1">VLOOKUP($A268,OFFSET([2]characters!$A$1,0,0,COUNTA([2]characters!$A:$A),MATCH(I$1,[2]characters!$1:$1,0)-MATCH($A$1,[2]characters!$1:$1,0)+1),MATCH(I$1,[2]characters!$1:$1,0)-MATCH($A$1,[2]characters!$1:$1,0)+1,FALSE)</f>
        <v>yellow</v>
      </c>
      <c r="J268" s="24" t="str">
        <f ca="1">VLOOKUP($A268,OFFSET([2]characters!$A$1,0,0,COUNTA([2]characters!$A:$A),MATCH(J$1,[2]characters!$1:$1,0)-MATCH($A$1,[2]characters!$1:$1,0)+1),MATCH(J$1,[2]characters!$1:$1,0)-MATCH($A$1,[2]characters!$1:$1,0)+1,FALSE)</f>
        <v>none</v>
      </c>
      <c r="K268" s="3" t="str">
        <f ca="1">VLOOKUP(J268,[2]character_tribe_i18n!$A:$H,3,FALSE)</f>
        <v>種族なし</v>
      </c>
      <c r="L268" s="5" t="e">
        <f>VLOOKUP(#REF!,[2]character_tribe_i18n!$A:$H,4,FALSE)</f>
        <v>#REF!</v>
      </c>
      <c r="M268" s="5" t="e">
        <f>VLOOKUP(#REF!,[2]character_tribe_i18n!$A:$H,5,FALSE)</f>
        <v>#REF!</v>
      </c>
      <c r="N268" s="5" t="e">
        <f>VLOOKUP(#REF!,[2]character_tribe_i18n!$A:$H,6,FALSE)</f>
        <v>#REF!</v>
      </c>
      <c r="O268" s="5" t="e">
        <f>VLOOKUP(#REF!,[2]character_tribe_i18n!$A:$H,7,FALSE)</f>
        <v>#REF!</v>
      </c>
      <c r="P268" s="83" t="s">
        <v>170</v>
      </c>
      <c r="Q268">
        <v>482</v>
      </c>
      <c r="R268" s="25" t="str">
        <f ca="1">IF(Q268="NULL","",VLOOKUP($Q268,OFFSET([2]characters!$A$1,0,0,COUNTA([2]characters!$A:$A),MATCH(R$1,[2]characters!$1:$1,0)-MATCH($A$1,[2]characters!$1:$1,0)+1),MATCH(R$1,[2]characters!$1:$1,0)-MATCH($A$1,[2]characters!$1:$1,0)+1,FALSE))</f>
        <v>魁僧 沢庵宗彭</v>
      </c>
      <c r="S268" s="3">
        <f t="shared" ca="1" si="5"/>
        <v>481</v>
      </c>
      <c r="T268" s="25" t="str">
        <f ca="1">VLOOKUP($S268,OFFSET([2]characters!$A$1,0,0,COUNTA([2]characters!$A:$A),MATCH(T$1,[2]characters!$1:$1,0)-MATCH($A$1,[2]characters!$1:$1,0)+1),MATCH(T$1,[2]characters!$1:$1,0)-MATCH($A$1,[2]characters!$1:$1,0)+1,FALSE)</f>
        <v>沢庵宗彭</v>
      </c>
      <c r="U268" s="5">
        <f ca="1">IF(Q268="NULL","NULL",VLOOKUP(G268,ビット!$A$2:$B$7,2))</f>
        <v>20000</v>
      </c>
      <c r="V268">
        <v>20000</v>
      </c>
      <c r="W268" s="6" t="str">
        <f t="shared" ca="1" si="4"/>
        <v>TRUE</v>
      </c>
    </row>
    <row r="269" spans="1:23" ht="21" customHeight="1" x14ac:dyDescent="0.15">
      <c r="A269" s="84">
        <v>482</v>
      </c>
      <c r="B269" s="24" t="str">
        <f ca="1">VLOOKUP($A269,OFFSET([2]characters!$A$1,0,0,COUNTA([2]characters!$A:$A),MATCH(B$1,[2]characters!$1:$1,0)-MATCH($A$1,[2]characters!$1:$1,0)+1),MATCH(B$1,[2]characters!$1:$1,0)-MATCH($A$1,[2]characters!$1:$1,0)+1,FALSE)</f>
        <v>魁僧 沢庵宗彭</v>
      </c>
      <c r="C269" s="24" t="str">
        <f ca="1">VLOOKUP($A269,OFFSET([2]characters!$A$1,0,0,COUNTA([2]characters!$A:$A),MATCH(C$1,[2]characters!$1:$1,0)-MATCH($A$1,[2]characters!$1:$1,0)+1),MATCH(C$1,[2]characters!$1:$1,0)-MATCH($A$1,[2]characters!$1:$1,0)+1,FALSE)</f>
        <v>ガチャ:デッドマンズ</v>
      </c>
      <c r="D269" s="24" t="str">
        <f ca="1">VLOOKUP($A269,OFFSET([2]characters!$A$1,0,0,COUNTA([2]characters!$A:$A),MATCH(D$1,[2]characters!$1:$1,0)-MATCH($A$1,[2]characters!$1:$1,0)+1),MATCH(D$1,[2]characters!$1:$1,0)-MATCH($A$1,[2]characters!$1:$1,0)+1,FALSE)</f>
        <v>執行者</v>
      </c>
      <c r="E269" s="24" t="str">
        <f ca="1">VLOOKUP($A269,OFFSET([2]characters!$A$1,0,0,COUNTA([2]characters!$A:$A),MATCH(E$1,[2]characters!$1:$1,0)-MATCH($A$1,[2]characters!$1:$1,0)+1),MATCH(E$1,[2]characters!$1:$1,0)-MATCH($A$1,[2]characters!$1:$1,0)+1,FALSE)</f>
        <v>格好いい</v>
      </c>
      <c r="F269" s="24" t="str">
        <f ca="1">VLOOKUP($A269,OFFSET([2]characters!$A$1,0,0,COUNTA([2]characters!$A:$A),MATCH(F$1,[2]characters!$1:$1,0)-MATCH($A$1,[2]characters!$1:$1,0)+1),MATCH(F$1,[2]characters!$1:$1,0)-MATCH($A$1,[2]characters!$1:$1,0)+1,FALSE)</f>
        <v>男性</v>
      </c>
      <c r="G269" s="24">
        <f ca="1">VLOOKUP($A269,OFFSET([2]characters!$A$1,0,0,COUNTA([2]characters!$A:$A),MATCH(G$1,[2]characters!$1:$1,0)-MATCH($A$1,[2]characters!$1:$1,0)+1),MATCH(G$1,[2]characters!$1:$1,0)-MATCH($A$1,[2]characters!$1:$1,0)+1,FALSE)</f>
        <v>4</v>
      </c>
      <c r="H269" s="24" t="str">
        <f ca="1">VLOOKUP($A269,OFFSET([2]characters!$A$1,0,0,COUNTA([2]characters!$A:$A),MATCH(H$1,[2]characters!$1:$1,0)-MATCH($A$1,[2]characters!$1:$1,0)+1),MATCH(H$1,[2]characters!$1:$1,0)-MATCH($A$1,[2]characters!$1:$1,0)+1,FALSE)</f>
        <v>PremiumS</v>
      </c>
      <c r="I269" s="24" t="str">
        <f ca="1">VLOOKUP($A269,OFFSET([2]characters!$A$1,0,0,COUNTA([2]characters!$A:$A),MATCH(I$1,[2]characters!$1:$1,0)-MATCH($A$1,[2]characters!$1:$1,0)+1),MATCH(I$1,[2]characters!$1:$1,0)-MATCH($A$1,[2]characters!$1:$1,0)+1,FALSE)</f>
        <v>yellow</v>
      </c>
      <c r="J269" s="24" t="str">
        <f ca="1">VLOOKUP($A269,OFFSET([2]characters!$A$1,0,0,COUNTA([2]characters!$A:$A),MATCH(J$1,[2]characters!$1:$1,0)-MATCH($A$1,[2]characters!$1:$1,0)+1),MATCH(J$1,[2]characters!$1:$1,0)-MATCH($A$1,[2]characters!$1:$1,0)+1,FALSE)</f>
        <v>none</v>
      </c>
      <c r="K269" s="3" t="str">
        <f ca="1">VLOOKUP(J269,[2]character_tribe_i18n!$A:$H,3,FALSE)</f>
        <v>種族なし</v>
      </c>
      <c r="L269" s="5" t="e">
        <f>VLOOKUP(#REF!,[2]character_tribe_i18n!$A:$H,4,FALSE)</f>
        <v>#REF!</v>
      </c>
      <c r="M269" s="5" t="e">
        <f>VLOOKUP(#REF!,[2]character_tribe_i18n!$A:$H,5,FALSE)</f>
        <v>#REF!</v>
      </c>
      <c r="N269" s="5" t="e">
        <f>VLOOKUP(#REF!,[2]character_tribe_i18n!$A:$H,6,FALSE)</f>
        <v>#REF!</v>
      </c>
      <c r="O269" s="5" t="e">
        <f>VLOOKUP(#REF!,[2]character_tribe_i18n!$A:$H,7,FALSE)</f>
        <v>#REF!</v>
      </c>
      <c r="P269" s="83" t="s">
        <v>170</v>
      </c>
      <c r="Q269">
        <v>483</v>
      </c>
      <c r="R269" s="25" t="str">
        <f ca="1">IF(Q269="NULL","",VLOOKUP($Q269,OFFSET([2]characters!$A$1,0,0,COUNTA([2]characters!$A:$A),MATCH(R$1,[2]characters!$1:$1,0)-MATCH($A$1,[2]characters!$1:$1,0)+1),MATCH(R$1,[2]characters!$1:$1,0)-MATCH($A$1,[2]characters!$1:$1,0)+1,FALSE))</f>
        <v xml:space="preserve">命経死遂 沢庵宗彭 </v>
      </c>
      <c r="S269" s="3">
        <f t="shared" ca="1" si="5"/>
        <v>481</v>
      </c>
      <c r="T269" s="25" t="str">
        <f ca="1">VLOOKUP($S269,OFFSET([2]characters!$A$1,0,0,COUNTA([2]characters!$A:$A),MATCH(T$1,[2]characters!$1:$1,0)-MATCH($A$1,[2]characters!$1:$1,0)+1),MATCH(T$1,[2]characters!$1:$1,0)-MATCH($A$1,[2]characters!$1:$1,0)+1,FALSE)</f>
        <v>沢庵宗彭</v>
      </c>
      <c r="U269" s="5">
        <f ca="1">IF(Q269="NULL","NULL",VLOOKUP(G269,ビット!$A$2:$B$7,2))</f>
        <v>50000</v>
      </c>
      <c r="V269">
        <v>50000</v>
      </c>
      <c r="W269" s="6" t="str">
        <f t="shared" ref="W269:W293" ca="1" si="6">IF(U269=V269,"TRUE","FALSE")</f>
        <v>TRUE</v>
      </c>
    </row>
    <row r="270" spans="1:23" ht="21" customHeight="1" x14ac:dyDescent="0.15">
      <c r="A270" s="84">
        <v>490</v>
      </c>
      <c r="B270" s="24" t="str">
        <f ca="1">VLOOKUP($A270,OFFSET([2]characters!$A$1,0,0,COUNTA([2]characters!$A:$A),MATCH(B$1,[2]characters!$1:$1,0)-MATCH($A$1,[2]characters!$1:$1,0)+1),MATCH(B$1,[2]characters!$1:$1,0)-MATCH($A$1,[2]characters!$1:$1,0)+1,FALSE)</f>
        <v>グリム</v>
      </c>
      <c r="C270" s="24" t="str">
        <f ca="1">VLOOKUP($A270,OFFSET([2]characters!$A$1,0,0,COUNTA([2]characters!$A:$A),MATCH(C$1,[2]characters!$1:$1,0)-MATCH($A$1,[2]characters!$1:$1,0)+1),MATCH(C$1,[2]characters!$1:$1,0)-MATCH($A$1,[2]characters!$1:$1,0)+1,FALSE)</f>
        <v>イベント:ウィザード</v>
      </c>
      <c r="D270" s="24" t="str">
        <f ca="1">VLOOKUP($A270,OFFSET([2]characters!$A$1,0,0,COUNTA([2]characters!$A:$A),MATCH(D$1,[2]characters!$1:$1,0)-MATCH($A$1,[2]characters!$1:$1,0)+1),MATCH(D$1,[2]characters!$1:$1,0)-MATCH($A$1,[2]characters!$1:$1,0)+1,FALSE)</f>
        <v>執行者</v>
      </c>
      <c r="E270" s="24" t="str">
        <f ca="1">VLOOKUP($A270,OFFSET([2]characters!$A$1,0,0,COUNTA([2]characters!$A:$A),MATCH(E$1,[2]characters!$1:$1,0)-MATCH($A$1,[2]characters!$1:$1,0)+1),MATCH(E$1,[2]characters!$1:$1,0)-MATCH($A$1,[2]characters!$1:$1,0)+1,FALSE)</f>
        <v>格好いい</v>
      </c>
      <c r="F270" s="24" t="str">
        <f ca="1">VLOOKUP($A270,OFFSET([2]characters!$A$1,0,0,COUNTA([2]characters!$A:$A),MATCH(F$1,[2]characters!$1:$1,0)-MATCH($A$1,[2]characters!$1:$1,0)+1),MATCH(F$1,[2]characters!$1:$1,0)-MATCH($A$1,[2]characters!$1:$1,0)+1,FALSE)</f>
        <v>男性</v>
      </c>
      <c r="G270" s="24">
        <f ca="1">VLOOKUP($A270,OFFSET([2]characters!$A$1,0,0,COUNTA([2]characters!$A:$A),MATCH(G$1,[2]characters!$1:$1,0)-MATCH($A$1,[2]characters!$1:$1,0)+1),MATCH(G$1,[2]characters!$1:$1,0)-MATCH($A$1,[2]characters!$1:$1,0)+1,FALSE)</f>
        <v>4</v>
      </c>
      <c r="H270" s="24" t="str">
        <f ca="1">VLOOKUP($A270,OFFSET([2]characters!$A$1,0,0,COUNTA([2]characters!$A:$A),MATCH(H$1,[2]characters!$1:$1,0)-MATCH($A$1,[2]characters!$1:$1,0)+1),MATCH(H$1,[2]characters!$1:$1,0)-MATCH($A$1,[2]characters!$1:$1,0)+1,FALSE)</f>
        <v>DropWizS</v>
      </c>
      <c r="I270" s="24" t="str">
        <f ca="1">VLOOKUP($A270,OFFSET([2]characters!$A$1,0,0,COUNTA([2]characters!$A:$A),MATCH(I$1,[2]characters!$1:$1,0)-MATCH($A$1,[2]characters!$1:$1,0)+1),MATCH(I$1,[2]characters!$1:$1,0)-MATCH($A$1,[2]characters!$1:$1,0)+1,FALSE)</f>
        <v>green</v>
      </c>
      <c r="J270" s="24" t="str">
        <f ca="1">VLOOKUP($A270,OFFSET([2]characters!$A$1,0,0,COUNTA([2]characters!$A:$A),MATCH(J$1,[2]characters!$1:$1,0)-MATCH($A$1,[2]characters!$1:$1,0)+1),MATCH(J$1,[2]characters!$1:$1,0)-MATCH($A$1,[2]characters!$1:$1,0)+1,FALSE)</f>
        <v>unknown</v>
      </c>
      <c r="K270" s="3" t="str">
        <f ca="1">VLOOKUP(J270,[2]character_tribe_i18n!$A:$H,3,FALSE)</f>
        <v>Unknown</v>
      </c>
      <c r="L270" s="5" t="e">
        <f>VLOOKUP(#REF!,[2]character_tribe_i18n!$A:$H,4,FALSE)</f>
        <v>#REF!</v>
      </c>
      <c r="M270" s="5" t="e">
        <f>VLOOKUP(#REF!,[2]character_tribe_i18n!$A:$H,5,FALSE)</f>
        <v>#REF!</v>
      </c>
      <c r="N270" s="5" t="e">
        <f>VLOOKUP(#REF!,[2]character_tribe_i18n!$A:$H,6,FALSE)</f>
        <v>#REF!</v>
      </c>
      <c r="O270" s="5" t="e">
        <f>VLOOKUP(#REF!,[2]character_tribe_i18n!$A:$H,7,FALSE)</f>
        <v>#REF!</v>
      </c>
      <c r="P270" s="83" t="s">
        <v>170</v>
      </c>
      <c r="Q270">
        <v>491</v>
      </c>
      <c r="R270" s="25" t="str">
        <f ca="1">IF(Q270="NULL","",VLOOKUP($Q270,OFFSET([2]characters!$A$1,0,0,COUNTA([2]characters!$A:$A),MATCH(R$1,[2]characters!$1:$1,0)-MATCH($A$1,[2]characters!$1:$1,0)+1),MATCH(R$1,[2]characters!$1:$1,0)-MATCH($A$1,[2]characters!$1:$1,0)+1,FALSE))</f>
        <v>収魂の群影 グリム</v>
      </c>
      <c r="S270" s="3">
        <f t="shared" ca="1" si="5"/>
        <v>490</v>
      </c>
      <c r="T270" s="25" t="str">
        <f ca="1">VLOOKUP($S270,OFFSET([2]characters!$A$1,0,0,COUNTA([2]characters!$A:$A),MATCH(T$1,[2]characters!$1:$1,0)-MATCH($A$1,[2]characters!$1:$1,0)+1),MATCH(T$1,[2]characters!$1:$1,0)-MATCH($A$1,[2]characters!$1:$1,0)+1,FALSE)</f>
        <v>グリム</v>
      </c>
      <c r="U270" s="5">
        <f ca="1">IF(Q270="NULL","NULL",VLOOKUP(G270,ビット!$A$2:$B$7,2))</f>
        <v>50000</v>
      </c>
      <c r="V270">
        <v>50000</v>
      </c>
      <c r="W270" s="6" t="str">
        <f t="shared" ca="1" si="6"/>
        <v>TRUE</v>
      </c>
    </row>
    <row r="271" spans="1:23" ht="21" customHeight="1" x14ac:dyDescent="0.15">
      <c r="A271" s="84">
        <v>491</v>
      </c>
      <c r="B271" s="24" t="str">
        <f ca="1">VLOOKUP($A271,OFFSET([2]characters!$A$1,0,0,COUNTA([2]characters!$A:$A),MATCH(B$1,[2]characters!$1:$1,0)-MATCH($A$1,[2]characters!$1:$1,0)+1),MATCH(B$1,[2]characters!$1:$1,0)-MATCH($A$1,[2]characters!$1:$1,0)+1,FALSE)</f>
        <v>収魂の群影 グリム</v>
      </c>
      <c r="C271" s="24" t="str">
        <f ca="1">VLOOKUP($A271,OFFSET([2]characters!$A$1,0,0,COUNTA([2]characters!$A:$A),MATCH(C$1,[2]characters!$1:$1,0)-MATCH($A$1,[2]characters!$1:$1,0)+1),MATCH(C$1,[2]characters!$1:$1,0)-MATCH($A$1,[2]characters!$1:$1,0)+1,FALSE)</f>
        <v>イベント:ウィザード</v>
      </c>
      <c r="D271" s="24" t="str">
        <f ca="1">VLOOKUP($A271,OFFSET([2]characters!$A$1,0,0,COUNTA([2]characters!$A:$A),MATCH(D$1,[2]characters!$1:$1,0)-MATCH($A$1,[2]characters!$1:$1,0)+1),MATCH(D$1,[2]characters!$1:$1,0)-MATCH($A$1,[2]characters!$1:$1,0)+1,FALSE)</f>
        <v>執行者</v>
      </c>
      <c r="E271" s="24" t="str">
        <f ca="1">VLOOKUP($A271,OFFSET([2]characters!$A$1,0,0,COUNTA([2]characters!$A:$A),MATCH(E$1,[2]characters!$1:$1,0)-MATCH($A$1,[2]characters!$1:$1,0)+1),MATCH(E$1,[2]characters!$1:$1,0)-MATCH($A$1,[2]characters!$1:$1,0)+1,FALSE)</f>
        <v>格好いい</v>
      </c>
      <c r="F271" s="24" t="str">
        <f ca="1">VLOOKUP($A271,OFFSET([2]characters!$A$1,0,0,COUNTA([2]characters!$A:$A),MATCH(F$1,[2]characters!$1:$1,0)-MATCH($A$1,[2]characters!$1:$1,0)+1),MATCH(F$1,[2]characters!$1:$1,0)-MATCH($A$1,[2]characters!$1:$1,0)+1,FALSE)</f>
        <v>男性</v>
      </c>
      <c r="G271" s="24">
        <f ca="1">VLOOKUP($A271,OFFSET([2]characters!$A$1,0,0,COUNTA([2]characters!$A:$A),MATCH(G$1,[2]characters!$1:$1,0)-MATCH($A$1,[2]characters!$1:$1,0)+1),MATCH(G$1,[2]characters!$1:$1,0)-MATCH($A$1,[2]characters!$1:$1,0)+1,FALSE)</f>
        <v>5</v>
      </c>
      <c r="H271" s="24" t="str">
        <f ca="1">VLOOKUP($A271,OFFSET([2]characters!$A$1,0,0,COUNTA([2]characters!$A:$A),MATCH(H$1,[2]characters!$1:$1,0)-MATCH($A$1,[2]characters!$1:$1,0)+1),MATCH(H$1,[2]characters!$1:$1,0)-MATCH($A$1,[2]characters!$1:$1,0)+1,FALSE)</f>
        <v>DropWizS</v>
      </c>
      <c r="I271" s="24" t="str">
        <f ca="1">VLOOKUP($A271,OFFSET([2]characters!$A$1,0,0,COUNTA([2]characters!$A:$A),MATCH(I$1,[2]characters!$1:$1,0)-MATCH($A$1,[2]characters!$1:$1,0)+1),MATCH(I$1,[2]characters!$1:$1,0)-MATCH($A$1,[2]characters!$1:$1,0)+1,FALSE)</f>
        <v>green</v>
      </c>
      <c r="J271" s="24" t="str">
        <f ca="1">VLOOKUP($A271,OFFSET([2]characters!$A$1,0,0,COUNTA([2]characters!$A:$A),MATCH(J$1,[2]characters!$1:$1,0)-MATCH($A$1,[2]characters!$1:$1,0)+1),MATCH(J$1,[2]characters!$1:$1,0)-MATCH($A$1,[2]characters!$1:$1,0)+1,FALSE)</f>
        <v>unknown</v>
      </c>
      <c r="K271" s="3" t="str">
        <f ca="1">VLOOKUP(J271,[2]character_tribe_i18n!$A:$H,3,FALSE)</f>
        <v>Unknown</v>
      </c>
      <c r="L271" s="5" t="e">
        <f>VLOOKUP(#REF!,[2]character_tribe_i18n!$A:$H,4,FALSE)</f>
        <v>#REF!</v>
      </c>
      <c r="M271" s="5" t="e">
        <f>VLOOKUP(#REF!,[2]character_tribe_i18n!$A:$H,5,FALSE)</f>
        <v>#REF!</v>
      </c>
      <c r="N271" s="5" t="e">
        <f>VLOOKUP(#REF!,[2]character_tribe_i18n!$A:$H,6,FALSE)</f>
        <v>#REF!</v>
      </c>
      <c r="O271" s="5" t="e">
        <f>VLOOKUP(#REF!,[2]character_tribe_i18n!$A:$H,7,FALSE)</f>
        <v>#REF!</v>
      </c>
      <c r="P271" s="83" t="s">
        <v>170</v>
      </c>
      <c r="Q271">
        <v>822</v>
      </c>
      <c r="R271" s="25" t="str">
        <f ca="1">IF(Q271="NULL","",VLOOKUP($Q271,OFFSET([2]characters!$A$1,0,0,COUNTA([2]characters!$A:$A),MATCH(R$1,[2]characters!$1:$1,0)-MATCH($A$1,[2]characters!$1:$1,0)+1),MATCH(R$1,[2]characters!$1:$1,0)-MATCH($A$1,[2]characters!$1:$1,0)+1,FALSE))</f>
        <v>操魂の蒐集家 グリム</v>
      </c>
      <c r="S271" s="3">
        <f t="shared" ca="1" si="5"/>
        <v>490</v>
      </c>
      <c r="T271" s="25" t="str">
        <f ca="1">VLOOKUP($S271,OFFSET([2]characters!$A$1,0,0,COUNTA([2]characters!$A:$A),MATCH(T$1,[2]characters!$1:$1,0)-MATCH($A$1,[2]characters!$1:$1,0)+1),MATCH(T$1,[2]characters!$1:$1,0)-MATCH($A$1,[2]characters!$1:$1,0)+1,FALSE)</f>
        <v>グリム</v>
      </c>
      <c r="U271" s="5">
        <f ca="1">IF(Q271="NULL","NULL",VLOOKUP(G271,ビット!$A$2:$B$7,2))</f>
        <v>200000</v>
      </c>
      <c r="V271" t="s">
        <v>23</v>
      </c>
      <c r="W271" s="6" t="str">
        <f ca="1">IF(U271=V271,"TRUE","FALSE")</f>
        <v>FALSE</v>
      </c>
    </row>
    <row r="272" spans="1:23" ht="21" customHeight="1" x14ac:dyDescent="0.15">
      <c r="A272" s="84">
        <v>492</v>
      </c>
      <c r="B272" s="24" t="str">
        <f ca="1">VLOOKUP($A272,OFFSET([2]characters!$A$1,0,0,COUNTA([2]characters!$A:$A),MATCH(B$1,[2]characters!$1:$1,0)-MATCH($A$1,[2]characters!$1:$1,0)+1),MATCH(B$1,[2]characters!$1:$1,0)-MATCH($A$1,[2]characters!$1:$1,0)+1,FALSE)</f>
        <v>ブートレグ・ペロー</v>
      </c>
      <c r="C272" s="24" t="str">
        <f ca="1">VLOOKUP($A272,OFFSET([2]characters!$A$1,0,0,COUNTA([2]characters!$A:$A),MATCH(C$1,[2]characters!$1:$1,0)-MATCH($A$1,[2]characters!$1:$1,0)+1),MATCH(C$1,[2]characters!$1:$1,0)-MATCH($A$1,[2]characters!$1:$1,0)+1,FALSE)</f>
        <v>ガチャ:アリスの絵本02</v>
      </c>
      <c r="D272" s="24" t="str">
        <f ca="1">VLOOKUP($A272,OFFSET([2]characters!$A$1,0,0,COUNTA([2]characters!$A:$A),MATCH(D$1,[2]characters!$1:$1,0)-MATCH($A$1,[2]characters!$1:$1,0)+1),MATCH(D$1,[2]characters!$1:$1,0)-MATCH($A$1,[2]characters!$1:$1,0)+1,FALSE)</f>
        <v>執行者</v>
      </c>
      <c r="E272" s="24" t="str">
        <f ca="1">VLOOKUP($A272,OFFSET([2]characters!$A$1,0,0,COUNTA([2]characters!$A:$A),MATCH(E$1,[2]characters!$1:$1,0)-MATCH($A$1,[2]characters!$1:$1,0)+1),MATCH(E$1,[2]characters!$1:$1,0)-MATCH($A$1,[2]characters!$1:$1,0)+1,FALSE)</f>
        <v>格好いい</v>
      </c>
      <c r="F272" s="24" t="str">
        <f ca="1">VLOOKUP($A272,OFFSET([2]characters!$A$1,0,0,COUNTA([2]characters!$A:$A),MATCH(F$1,[2]characters!$1:$1,0)-MATCH($A$1,[2]characters!$1:$1,0)+1),MATCH(F$1,[2]characters!$1:$1,0)-MATCH($A$1,[2]characters!$1:$1,0)+1,FALSE)</f>
        <v>不明</v>
      </c>
      <c r="G272" s="24">
        <f ca="1">VLOOKUP($A272,OFFSET([2]characters!$A$1,0,0,COUNTA([2]characters!$A:$A),MATCH(G$1,[2]characters!$1:$1,0)-MATCH($A$1,[2]characters!$1:$1,0)+1),MATCH(G$1,[2]characters!$1:$1,0)-MATCH($A$1,[2]characters!$1:$1,0)+1,FALSE)</f>
        <v>4</v>
      </c>
      <c r="H272" s="24" t="str">
        <f ca="1">VLOOKUP($A272,OFFSET([2]characters!$A$1,0,0,COUNTA([2]characters!$A:$A),MATCH(H$1,[2]characters!$1:$1,0)-MATCH($A$1,[2]characters!$1:$1,0)+1),MATCH(H$1,[2]characters!$1:$1,0)-MATCH($A$1,[2]characters!$1:$1,0)+1,FALSE)</f>
        <v>PremiumSS</v>
      </c>
      <c r="I272" s="24" t="str">
        <f ca="1">VLOOKUP($A272,OFFSET([2]characters!$A$1,0,0,COUNTA([2]characters!$A:$A),MATCH(I$1,[2]characters!$1:$1,0)-MATCH($A$1,[2]characters!$1:$1,0)+1),MATCH(I$1,[2]characters!$1:$1,0)-MATCH($A$1,[2]characters!$1:$1,0)+1,FALSE)</f>
        <v>red</v>
      </c>
      <c r="J272" s="24" t="str">
        <f ca="1">VLOOKUP($A272,OFFSET([2]characters!$A$1,0,0,COUNTA([2]characters!$A:$A),MATCH(J$1,[2]characters!$1:$1,0)-MATCH($A$1,[2]characters!$1:$1,0)+1),MATCH(J$1,[2]characters!$1:$1,0)-MATCH($A$1,[2]characters!$1:$1,0)+1,FALSE)</f>
        <v>machine</v>
      </c>
      <c r="K272" s="3" t="str">
        <f ca="1">VLOOKUP(J272,[2]character_tribe_i18n!$A:$H,3,FALSE)</f>
        <v>マシン</v>
      </c>
      <c r="L272" s="5" t="e">
        <f>VLOOKUP(#REF!,[2]character_tribe_i18n!$A:$H,4,FALSE)</f>
        <v>#REF!</v>
      </c>
      <c r="M272" s="5" t="e">
        <f>VLOOKUP(#REF!,[2]character_tribe_i18n!$A:$H,5,FALSE)</f>
        <v>#REF!</v>
      </c>
      <c r="N272" s="5" t="e">
        <f>VLOOKUP(#REF!,[2]character_tribe_i18n!$A:$H,6,FALSE)</f>
        <v>#REF!</v>
      </c>
      <c r="O272" s="5" t="e">
        <f>VLOOKUP(#REF!,[2]character_tribe_i18n!$A:$H,7,FALSE)</f>
        <v>#REF!</v>
      </c>
      <c r="P272" s="83" t="s">
        <v>170</v>
      </c>
      <c r="Q272">
        <v>493</v>
      </c>
      <c r="R272" s="25" t="str">
        <f ca="1">IF(Q272="NULL","",VLOOKUP($Q272,OFFSET([2]characters!$A$1,0,0,COUNTA([2]characters!$A:$A),MATCH(R$1,[2]characters!$1:$1,0)-MATCH($A$1,[2]characters!$1:$1,0)+1),MATCH(R$1,[2]characters!$1:$1,0)-MATCH($A$1,[2]characters!$1:$1,0)+1,FALSE))</f>
        <v>跋扈の機脚 ブートレグ・ペロー</v>
      </c>
      <c r="S272" s="3">
        <f t="shared" ca="1" si="5"/>
        <v>492</v>
      </c>
      <c r="T272" s="25" t="str">
        <f ca="1">VLOOKUP($S272,OFFSET([2]characters!$A$1,0,0,COUNTA([2]characters!$A:$A),MATCH(T$1,[2]characters!$1:$1,0)-MATCH($A$1,[2]characters!$1:$1,0)+1),MATCH(T$1,[2]characters!$1:$1,0)-MATCH($A$1,[2]characters!$1:$1,0)+1,FALSE)</f>
        <v>ブートレグ・ペロー</v>
      </c>
      <c r="U272" s="5">
        <f ca="1">IF(Q272="NULL","NULL",VLOOKUP(G272,ビット!$A$2:$B$7,2))</f>
        <v>50000</v>
      </c>
      <c r="V272">
        <v>50000</v>
      </c>
      <c r="W272" s="6" t="str">
        <f t="shared" ca="1" si="6"/>
        <v>TRUE</v>
      </c>
    </row>
    <row r="273" spans="1:23" ht="21" customHeight="1" x14ac:dyDescent="0.15">
      <c r="A273" s="84">
        <v>493</v>
      </c>
      <c r="B273" s="24" t="str">
        <f ca="1">VLOOKUP($A273,OFFSET([2]characters!$A$1,0,0,COUNTA([2]characters!$A:$A),MATCH(B$1,[2]characters!$1:$1,0)-MATCH($A$1,[2]characters!$1:$1,0)+1),MATCH(B$1,[2]characters!$1:$1,0)-MATCH($A$1,[2]characters!$1:$1,0)+1,FALSE)</f>
        <v>跋扈の機脚 ブートレグ・ペロー</v>
      </c>
      <c r="C273" s="24" t="str">
        <f ca="1">VLOOKUP($A273,OFFSET([2]characters!$A$1,0,0,COUNTA([2]characters!$A:$A),MATCH(C$1,[2]characters!$1:$1,0)-MATCH($A$1,[2]characters!$1:$1,0)+1),MATCH(C$1,[2]characters!$1:$1,0)-MATCH($A$1,[2]characters!$1:$1,0)+1,FALSE)</f>
        <v>ガチャ:アリスの絵本02</v>
      </c>
      <c r="D273" s="24" t="str">
        <f ca="1">VLOOKUP($A273,OFFSET([2]characters!$A$1,0,0,COUNTA([2]characters!$A:$A),MATCH(D$1,[2]characters!$1:$1,0)-MATCH($A$1,[2]characters!$1:$1,0)+1),MATCH(D$1,[2]characters!$1:$1,0)-MATCH($A$1,[2]characters!$1:$1,0)+1,FALSE)</f>
        <v>執行者</v>
      </c>
      <c r="E273" s="24" t="str">
        <f ca="1">VLOOKUP($A273,OFFSET([2]characters!$A$1,0,0,COUNTA([2]characters!$A:$A),MATCH(E$1,[2]characters!$1:$1,0)-MATCH($A$1,[2]characters!$1:$1,0)+1),MATCH(E$1,[2]characters!$1:$1,0)-MATCH($A$1,[2]characters!$1:$1,0)+1,FALSE)</f>
        <v>格好いい</v>
      </c>
      <c r="F273" s="24" t="str">
        <f ca="1">VLOOKUP($A273,OFFSET([2]characters!$A$1,0,0,COUNTA([2]characters!$A:$A),MATCH(F$1,[2]characters!$1:$1,0)-MATCH($A$1,[2]characters!$1:$1,0)+1),MATCH(F$1,[2]characters!$1:$1,0)-MATCH($A$1,[2]characters!$1:$1,0)+1,FALSE)</f>
        <v>不明</v>
      </c>
      <c r="G273" s="24">
        <f ca="1">VLOOKUP($A273,OFFSET([2]characters!$A$1,0,0,COUNTA([2]characters!$A:$A),MATCH(G$1,[2]characters!$1:$1,0)-MATCH($A$1,[2]characters!$1:$1,0)+1),MATCH(G$1,[2]characters!$1:$1,0)-MATCH($A$1,[2]characters!$1:$1,0)+1,FALSE)</f>
        <v>5</v>
      </c>
      <c r="H273" s="24" t="str">
        <f ca="1">VLOOKUP($A273,OFFSET([2]characters!$A$1,0,0,COUNTA([2]characters!$A:$A),MATCH(H$1,[2]characters!$1:$1,0)-MATCH($A$1,[2]characters!$1:$1,0)+1),MATCH(H$1,[2]characters!$1:$1,0)-MATCH($A$1,[2]characters!$1:$1,0)+1,FALSE)</f>
        <v>PremiumSS</v>
      </c>
      <c r="I273" s="24" t="str">
        <f ca="1">VLOOKUP($A273,OFFSET([2]characters!$A$1,0,0,COUNTA([2]characters!$A:$A),MATCH(I$1,[2]characters!$1:$1,0)-MATCH($A$1,[2]characters!$1:$1,0)+1),MATCH(I$1,[2]characters!$1:$1,0)-MATCH($A$1,[2]characters!$1:$1,0)+1,FALSE)</f>
        <v>red</v>
      </c>
      <c r="J273" s="24" t="str">
        <f ca="1">VLOOKUP($A273,OFFSET([2]characters!$A$1,0,0,COUNTA([2]characters!$A:$A),MATCH(J$1,[2]characters!$1:$1,0)-MATCH($A$1,[2]characters!$1:$1,0)+1),MATCH(J$1,[2]characters!$1:$1,0)-MATCH($A$1,[2]characters!$1:$1,0)+1,FALSE)</f>
        <v>machine</v>
      </c>
      <c r="K273" s="3" t="str">
        <f ca="1">VLOOKUP(J273,[2]character_tribe_i18n!$A:$H,3,FALSE)</f>
        <v>マシン</v>
      </c>
      <c r="L273" s="5" t="e">
        <f>VLOOKUP(#REF!,[2]character_tribe_i18n!$A:$H,4,FALSE)</f>
        <v>#REF!</v>
      </c>
      <c r="M273" s="5" t="e">
        <f>VLOOKUP(#REF!,[2]character_tribe_i18n!$A:$H,5,FALSE)</f>
        <v>#REF!</v>
      </c>
      <c r="N273" s="5" t="e">
        <f>VLOOKUP(#REF!,[2]character_tribe_i18n!$A:$H,6,FALSE)</f>
        <v>#REF!</v>
      </c>
      <c r="O273" s="5" t="e">
        <f>VLOOKUP(#REF!,[2]character_tribe_i18n!$A:$H,7,FALSE)</f>
        <v>#REF!</v>
      </c>
      <c r="P273" s="83" t="s">
        <v>170</v>
      </c>
      <c r="Q273">
        <v>821</v>
      </c>
      <c r="R273" s="25" t="str">
        <f ca="1">IF(Q273="NULL","",VLOOKUP($Q273,OFFSET([2]characters!$A$1,0,0,COUNTA([2]characters!$A:$A),MATCH(R$1,[2]characters!$1:$1,0)-MATCH($A$1,[2]characters!$1:$1,0)+1),MATCH(R$1,[2]characters!$1:$1,0)-MATCH($A$1,[2]characters!$1:$1,0)+1,FALSE))</f>
        <v>急蹴の硬機脚 ブートレグ・ペロー</v>
      </c>
      <c r="S273" s="3">
        <f t="shared" ca="1" si="5"/>
        <v>492</v>
      </c>
      <c r="T273" s="25" t="str">
        <f ca="1">VLOOKUP($S273,OFFSET([2]characters!$A$1,0,0,COUNTA([2]characters!$A:$A),MATCH(T$1,[2]characters!$1:$1,0)-MATCH($A$1,[2]characters!$1:$1,0)+1),MATCH(T$1,[2]characters!$1:$1,0)-MATCH($A$1,[2]characters!$1:$1,0)+1,FALSE)</f>
        <v>ブートレグ・ペロー</v>
      </c>
      <c r="U273" s="5">
        <f ca="1">IF(Q273="NULL","NULL",VLOOKUP(G273,ビット!$A$2:$B$7,2))</f>
        <v>200000</v>
      </c>
      <c r="V273">
        <v>200000</v>
      </c>
      <c r="W273" s="6" t="str">
        <f t="shared" ca="1" si="6"/>
        <v>TRUE</v>
      </c>
    </row>
    <row r="274" spans="1:23" ht="21" customHeight="1" x14ac:dyDescent="0.15">
      <c r="A274" s="84">
        <v>494</v>
      </c>
      <c r="B274" s="24" t="str">
        <f ca="1">VLOOKUP($A274,OFFSET([2]characters!$A$1,0,0,COUNTA([2]characters!$A:$A),MATCH(B$1,[2]characters!$1:$1,0)-MATCH($A$1,[2]characters!$1:$1,0)+1),MATCH(B$1,[2]characters!$1:$1,0)-MATCH($A$1,[2]characters!$1:$1,0)+1,FALSE)</f>
        <v>ハーメルン</v>
      </c>
      <c r="C274" s="24" t="str">
        <f ca="1">VLOOKUP($A274,OFFSET([2]characters!$A$1,0,0,COUNTA([2]characters!$A:$A),MATCH(C$1,[2]characters!$1:$1,0)-MATCH($A$1,[2]characters!$1:$1,0)+1),MATCH(C$1,[2]characters!$1:$1,0)-MATCH($A$1,[2]characters!$1:$1,0)+1,FALSE)</f>
        <v>ガチャ:アリスの絵本02</v>
      </c>
      <c r="D274" s="24" t="str">
        <f ca="1">VLOOKUP($A274,OFFSET([2]characters!$A$1,0,0,COUNTA([2]characters!$A:$A),MATCH(D$1,[2]characters!$1:$1,0)-MATCH($A$1,[2]characters!$1:$1,0)+1),MATCH(D$1,[2]characters!$1:$1,0)-MATCH($A$1,[2]characters!$1:$1,0)+1,FALSE)</f>
        <v>執行者</v>
      </c>
      <c r="E274" s="24" t="str">
        <f ca="1">VLOOKUP($A274,OFFSET([2]characters!$A$1,0,0,COUNTA([2]characters!$A:$A),MATCH(E$1,[2]characters!$1:$1,0)-MATCH($A$1,[2]characters!$1:$1,0)+1),MATCH(E$1,[2]characters!$1:$1,0)-MATCH($A$1,[2]characters!$1:$1,0)+1,FALSE)</f>
        <v>格好いい</v>
      </c>
      <c r="F274" s="24" t="str">
        <f ca="1">VLOOKUP($A274,OFFSET([2]characters!$A$1,0,0,COUNTA([2]characters!$A:$A),MATCH(F$1,[2]characters!$1:$1,0)-MATCH($A$1,[2]characters!$1:$1,0)+1),MATCH(F$1,[2]characters!$1:$1,0)-MATCH($A$1,[2]characters!$1:$1,0)+1,FALSE)</f>
        <v>男性</v>
      </c>
      <c r="G274" s="24">
        <f ca="1">VLOOKUP($A274,OFFSET([2]characters!$A$1,0,0,COUNTA([2]characters!$A:$A),MATCH(G$1,[2]characters!$1:$1,0)-MATCH($A$1,[2]characters!$1:$1,0)+1),MATCH(G$1,[2]characters!$1:$1,0)-MATCH($A$1,[2]characters!$1:$1,0)+1,FALSE)</f>
        <v>4</v>
      </c>
      <c r="H274" s="24" t="str">
        <f ca="1">VLOOKUP($A274,OFFSET([2]characters!$A$1,0,0,COUNTA([2]characters!$A:$A),MATCH(H$1,[2]characters!$1:$1,0)-MATCH($A$1,[2]characters!$1:$1,0)+1),MATCH(H$1,[2]characters!$1:$1,0)-MATCH($A$1,[2]characters!$1:$1,0)+1,FALSE)</f>
        <v>PremiumSS</v>
      </c>
      <c r="I274" s="24" t="str">
        <f ca="1">VLOOKUP($A274,OFFSET([2]characters!$A$1,0,0,COUNTA([2]characters!$A:$A),MATCH(I$1,[2]characters!$1:$1,0)-MATCH($A$1,[2]characters!$1:$1,0)+1),MATCH(I$1,[2]characters!$1:$1,0)-MATCH($A$1,[2]characters!$1:$1,0)+1,FALSE)</f>
        <v>green</v>
      </c>
      <c r="J274" s="24" t="str">
        <f ca="1">VLOOKUP($A274,OFFSET([2]characters!$A$1,0,0,COUNTA([2]characters!$A:$A),MATCH(J$1,[2]characters!$1:$1,0)-MATCH($A$1,[2]characters!$1:$1,0)+1),MATCH(J$1,[2]characters!$1:$1,0)-MATCH($A$1,[2]characters!$1:$1,0)+1,FALSE)</f>
        <v>none</v>
      </c>
      <c r="K274" s="3" t="str">
        <f ca="1">VLOOKUP(J274,[2]character_tribe_i18n!$A:$H,3,FALSE)</f>
        <v>種族なし</v>
      </c>
      <c r="L274" s="5" t="e">
        <f>VLOOKUP(#REF!,[2]character_tribe_i18n!$A:$H,4,FALSE)</f>
        <v>#REF!</v>
      </c>
      <c r="M274" s="5" t="e">
        <f>VLOOKUP(#REF!,[2]character_tribe_i18n!$A:$H,5,FALSE)</f>
        <v>#REF!</v>
      </c>
      <c r="N274" s="5" t="e">
        <f>VLOOKUP(#REF!,[2]character_tribe_i18n!$A:$H,6,FALSE)</f>
        <v>#REF!</v>
      </c>
      <c r="O274" s="5" t="e">
        <f>VLOOKUP(#REF!,[2]character_tribe_i18n!$A:$H,7,FALSE)</f>
        <v>#REF!</v>
      </c>
      <c r="P274" s="83" t="s">
        <v>170</v>
      </c>
      <c r="Q274">
        <v>495</v>
      </c>
      <c r="R274" s="25" t="str">
        <f ca="1">IF(Q274="NULL","",VLOOKUP($Q274,OFFSET([2]characters!$A$1,0,0,COUNTA([2]characters!$A:$A),MATCH(R$1,[2]characters!$1:$1,0)-MATCH($A$1,[2]characters!$1:$1,0)+1),MATCH(R$1,[2]characters!$1:$1,0)-MATCH($A$1,[2]characters!$1:$1,0)+1,FALSE))</f>
        <v>鼠災呼ぶ笛音 ハーメルン</v>
      </c>
      <c r="S274" s="3">
        <f t="shared" ca="1" si="5"/>
        <v>494</v>
      </c>
      <c r="T274" s="25" t="str">
        <f ca="1">VLOOKUP($S274,OFFSET([2]characters!$A$1,0,0,COUNTA([2]characters!$A:$A),MATCH(T$1,[2]characters!$1:$1,0)-MATCH($A$1,[2]characters!$1:$1,0)+1),MATCH(T$1,[2]characters!$1:$1,0)-MATCH($A$1,[2]characters!$1:$1,0)+1,FALSE)</f>
        <v>ハーメルン</v>
      </c>
      <c r="U274" s="5">
        <f ca="1">IF(Q274="NULL","NULL",VLOOKUP(G274,ビット!$A$2:$B$7,2))</f>
        <v>50000</v>
      </c>
      <c r="V274">
        <v>50000</v>
      </c>
      <c r="W274" s="6" t="str">
        <f t="shared" ca="1" si="6"/>
        <v>TRUE</v>
      </c>
    </row>
    <row r="275" spans="1:23" ht="21" customHeight="1" x14ac:dyDescent="0.15">
      <c r="A275" s="84">
        <v>495</v>
      </c>
      <c r="B275" s="24" t="str">
        <f ca="1">VLOOKUP($A275,OFFSET([2]characters!$A$1,0,0,COUNTA([2]characters!$A:$A),MATCH(B$1,[2]characters!$1:$1,0)-MATCH($A$1,[2]characters!$1:$1,0)+1),MATCH(B$1,[2]characters!$1:$1,0)-MATCH($A$1,[2]characters!$1:$1,0)+1,FALSE)</f>
        <v>鼠災呼ぶ笛音 ハーメルン</v>
      </c>
      <c r="C275" s="24" t="str">
        <f ca="1">VLOOKUP($A275,OFFSET([2]characters!$A$1,0,0,COUNTA([2]characters!$A:$A),MATCH(C$1,[2]characters!$1:$1,0)-MATCH($A$1,[2]characters!$1:$1,0)+1),MATCH(C$1,[2]characters!$1:$1,0)-MATCH($A$1,[2]characters!$1:$1,0)+1,FALSE)</f>
        <v>ガチャ:アリスの絵本02</v>
      </c>
      <c r="D275" s="24" t="str">
        <f ca="1">VLOOKUP($A275,OFFSET([2]characters!$A$1,0,0,COUNTA([2]characters!$A:$A),MATCH(D$1,[2]characters!$1:$1,0)-MATCH($A$1,[2]characters!$1:$1,0)+1),MATCH(D$1,[2]characters!$1:$1,0)-MATCH($A$1,[2]characters!$1:$1,0)+1,FALSE)</f>
        <v>執行者</v>
      </c>
      <c r="E275" s="24" t="str">
        <f ca="1">VLOOKUP($A275,OFFSET([2]characters!$A$1,0,0,COUNTA([2]characters!$A:$A),MATCH(E$1,[2]characters!$1:$1,0)-MATCH($A$1,[2]characters!$1:$1,0)+1),MATCH(E$1,[2]characters!$1:$1,0)-MATCH($A$1,[2]characters!$1:$1,0)+1,FALSE)</f>
        <v>格好いい</v>
      </c>
      <c r="F275" s="24" t="str">
        <f ca="1">VLOOKUP($A275,OFFSET([2]characters!$A$1,0,0,COUNTA([2]characters!$A:$A),MATCH(F$1,[2]characters!$1:$1,0)-MATCH($A$1,[2]characters!$1:$1,0)+1),MATCH(F$1,[2]characters!$1:$1,0)-MATCH($A$1,[2]characters!$1:$1,0)+1,FALSE)</f>
        <v>男性</v>
      </c>
      <c r="G275" s="24">
        <f ca="1">VLOOKUP($A275,OFFSET([2]characters!$A$1,0,0,COUNTA([2]characters!$A:$A),MATCH(G$1,[2]characters!$1:$1,0)-MATCH($A$1,[2]characters!$1:$1,0)+1),MATCH(G$1,[2]characters!$1:$1,0)-MATCH($A$1,[2]characters!$1:$1,0)+1,FALSE)</f>
        <v>5</v>
      </c>
      <c r="H275" s="24" t="str">
        <f ca="1">VLOOKUP($A275,OFFSET([2]characters!$A$1,0,0,COUNTA([2]characters!$A:$A),MATCH(H$1,[2]characters!$1:$1,0)-MATCH($A$1,[2]characters!$1:$1,0)+1),MATCH(H$1,[2]characters!$1:$1,0)-MATCH($A$1,[2]characters!$1:$1,0)+1,FALSE)</f>
        <v>PremiumSS</v>
      </c>
      <c r="I275" s="24" t="str">
        <f ca="1">VLOOKUP($A275,OFFSET([2]characters!$A$1,0,0,COUNTA([2]characters!$A:$A),MATCH(I$1,[2]characters!$1:$1,0)-MATCH($A$1,[2]characters!$1:$1,0)+1),MATCH(I$1,[2]characters!$1:$1,0)-MATCH($A$1,[2]characters!$1:$1,0)+1,FALSE)</f>
        <v>green</v>
      </c>
      <c r="J275" s="24" t="str">
        <f ca="1">VLOOKUP($A275,OFFSET([2]characters!$A$1,0,0,COUNTA([2]characters!$A:$A),MATCH(J$1,[2]characters!$1:$1,0)-MATCH($A$1,[2]characters!$1:$1,0)+1),MATCH(J$1,[2]characters!$1:$1,0)-MATCH($A$1,[2]characters!$1:$1,0)+1,FALSE)</f>
        <v>none</v>
      </c>
      <c r="K275" s="3" t="str">
        <f ca="1">VLOOKUP(J275,[2]character_tribe_i18n!$A:$H,3,FALSE)</f>
        <v>種族なし</v>
      </c>
      <c r="L275" s="5" t="e">
        <f>VLOOKUP(#REF!,[2]character_tribe_i18n!$A:$H,4,FALSE)</f>
        <v>#REF!</v>
      </c>
      <c r="M275" s="5" t="e">
        <f>VLOOKUP(#REF!,[2]character_tribe_i18n!$A:$H,5,FALSE)</f>
        <v>#REF!</v>
      </c>
      <c r="N275" s="5" t="e">
        <f>VLOOKUP(#REF!,[2]character_tribe_i18n!$A:$H,6,FALSE)</f>
        <v>#REF!</v>
      </c>
      <c r="O275" s="5" t="e">
        <f>VLOOKUP(#REF!,[2]character_tribe_i18n!$A:$H,7,FALSE)</f>
        <v>#REF!</v>
      </c>
      <c r="P275" s="83" t="s">
        <v>170</v>
      </c>
      <c r="Q275">
        <v>823</v>
      </c>
      <c r="R275" s="25" t="str">
        <f ca="1">IF(Q275="NULL","",VLOOKUP($Q275,OFFSET([2]characters!$A$1,0,0,COUNTA([2]characters!$A:$A),MATCH(R$1,[2]characters!$1:$1,0)-MATCH($A$1,[2]characters!$1:$1,0)+1),MATCH(R$1,[2]characters!$1:$1,0)-MATCH($A$1,[2]characters!$1:$1,0)+1,FALSE))</f>
        <v>跳鼠の睡奏楽 ハーメルン</v>
      </c>
      <c r="S275" s="3">
        <f t="shared" ca="1" si="5"/>
        <v>494</v>
      </c>
      <c r="T275" s="25" t="str">
        <f ca="1">VLOOKUP($S275,OFFSET([2]characters!$A$1,0,0,COUNTA([2]characters!$A:$A),MATCH(T$1,[2]characters!$1:$1,0)-MATCH($A$1,[2]characters!$1:$1,0)+1),MATCH(T$1,[2]characters!$1:$1,0)-MATCH($A$1,[2]characters!$1:$1,0)+1,FALSE)</f>
        <v>ハーメルン</v>
      </c>
      <c r="U275" s="5">
        <f ca="1">IF(Q275="NULL","NULL",VLOOKUP(G275,ビット!$A$2:$B$7,2))</f>
        <v>200000</v>
      </c>
      <c r="V275">
        <v>200000</v>
      </c>
      <c r="W275" s="6" t="str">
        <f t="shared" ca="1" si="6"/>
        <v>TRUE</v>
      </c>
    </row>
    <row r="276" spans="1:23" ht="21" customHeight="1" x14ac:dyDescent="0.15">
      <c r="A276" s="84">
        <v>496</v>
      </c>
      <c r="B276" s="24" t="str">
        <f ca="1">VLOOKUP($A276,OFFSET([2]characters!$A$1,0,0,COUNTA([2]characters!$A:$A),MATCH(B$1,[2]characters!$1:$1,0)-MATCH($A$1,[2]characters!$1:$1,0)+1),MATCH(B$1,[2]characters!$1:$1,0)-MATCH($A$1,[2]characters!$1:$1,0)+1,FALSE)</f>
        <v>エスタブ</v>
      </c>
      <c r="C276" s="24" t="str">
        <f ca="1">VLOOKUP($A276,OFFSET([2]characters!$A$1,0,0,COUNTA([2]characters!$A:$A),MATCH(C$1,[2]characters!$1:$1,0)-MATCH($A$1,[2]characters!$1:$1,0)+1),MATCH(C$1,[2]characters!$1:$1,0)-MATCH($A$1,[2]characters!$1:$1,0)+1,FALSE)</f>
        <v>ガチャ:アリスの絵本02</v>
      </c>
      <c r="D276" s="24" t="str">
        <f ca="1">VLOOKUP($A276,OFFSET([2]characters!$A$1,0,0,COUNTA([2]characters!$A:$A),MATCH(D$1,[2]characters!$1:$1,0)-MATCH($A$1,[2]characters!$1:$1,0)+1),MATCH(D$1,[2]characters!$1:$1,0)-MATCH($A$1,[2]characters!$1:$1,0)+1,FALSE)</f>
        <v>執行者</v>
      </c>
      <c r="E276" s="24" t="str">
        <f ca="1">VLOOKUP($A276,OFFSET([2]characters!$A$1,0,0,COUNTA([2]characters!$A:$A),MATCH(E$1,[2]characters!$1:$1,0)-MATCH($A$1,[2]characters!$1:$1,0)+1),MATCH(E$1,[2]characters!$1:$1,0)-MATCH($A$1,[2]characters!$1:$1,0)+1,FALSE)</f>
        <v>格好いい</v>
      </c>
      <c r="F276" s="24" t="str">
        <f ca="1">VLOOKUP($A276,OFFSET([2]characters!$A$1,0,0,COUNTA([2]characters!$A:$A),MATCH(F$1,[2]characters!$1:$1,0)-MATCH($A$1,[2]characters!$1:$1,0)+1),MATCH(F$1,[2]characters!$1:$1,0)-MATCH($A$1,[2]characters!$1:$1,0)+1,FALSE)</f>
        <v>男性</v>
      </c>
      <c r="G276" s="24">
        <f ca="1">VLOOKUP($A276,OFFSET([2]characters!$A$1,0,0,COUNTA([2]characters!$A:$A),MATCH(G$1,[2]characters!$1:$1,0)-MATCH($A$1,[2]characters!$1:$1,0)+1),MATCH(G$1,[2]characters!$1:$1,0)-MATCH($A$1,[2]characters!$1:$1,0)+1,FALSE)</f>
        <v>3</v>
      </c>
      <c r="H276" s="24" t="str">
        <f ca="1">VLOOKUP($A276,OFFSET([2]characters!$A$1,0,0,COUNTA([2]characters!$A:$A),MATCH(H$1,[2]characters!$1:$1,0)-MATCH($A$1,[2]characters!$1:$1,0)+1),MATCH(H$1,[2]characters!$1:$1,0)-MATCH($A$1,[2]characters!$1:$1,0)+1,FALSE)</f>
        <v>PremiumS</v>
      </c>
      <c r="I276" s="24" t="str">
        <f ca="1">VLOOKUP($A276,OFFSET([2]characters!$A$1,0,0,COUNTA([2]characters!$A:$A),MATCH(I$1,[2]characters!$1:$1,0)-MATCH($A$1,[2]characters!$1:$1,0)+1),MATCH(I$1,[2]characters!$1:$1,0)-MATCH($A$1,[2]characters!$1:$1,0)+1,FALSE)</f>
        <v>blue</v>
      </c>
      <c r="J276" s="24" t="str">
        <f ca="1">VLOOKUP($A276,OFFSET([2]characters!$A$1,0,0,COUNTA([2]characters!$A:$A),MATCH(J$1,[2]characters!$1:$1,0)-MATCH($A$1,[2]characters!$1:$1,0)+1),MATCH(J$1,[2]characters!$1:$1,0)-MATCH($A$1,[2]characters!$1:$1,0)+1,FALSE)</f>
        <v>animal</v>
      </c>
      <c r="K276" s="3" t="str">
        <f ca="1">VLOOKUP(J276,[2]character_tribe_i18n!$A:$H,3,FALSE)</f>
        <v>アニマル</v>
      </c>
      <c r="L276" s="5" t="e">
        <f>VLOOKUP(#REF!,[2]character_tribe_i18n!$A:$H,4,FALSE)</f>
        <v>#REF!</v>
      </c>
      <c r="M276" s="5" t="e">
        <f>VLOOKUP(#REF!,[2]character_tribe_i18n!$A:$H,5,FALSE)</f>
        <v>#REF!</v>
      </c>
      <c r="N276" s="5" t="e">
        <f>VLOOKUP(#REF!,[2]character_tribe_i18n!$A:$H,6,FALSE)</f>
        <v>#REF!</v>
      </c>
      <c r="O276" s="5" t="e">
        <f>VLOOKUP(#REF!,[2]character_tribe_i18n!$A:$H,7,FALSE)</f>
        <v>#REF!</v>
      </c>
      <c r="P276" s="83" t="s">
        <v>170</v>
      </c>
      <c r="Q276">
        <v>497</v>
      </c>
      <c r="R276" s="25" t="str">
        <f ca="1">IF(Q276="NULL","",VLOOKUP($Q276,OFFSET([2]characters!$A$1,0,0,COUNTA([2]characters!$A:$A),MATCH(R$1,[2]characters!$1:$1,0)-MATCH($A$1,[2]characters!$1:$1,0)+1),MATCH(R$1,[2]characters!$1:$1,0)-MATCH($A$1,[2]characters!$1:$1,0)+1,FALSE))</f>
        <v>偏愛の野獣 エスタブ</v>
      </c>
      <c r="S276" s="3">
        <f t="shared" ca="1" si="5"/>
        <v>496</v>
      </c>
      <c r="T276" s="25" t="str">
        <f ca="1">VLOOKUP($S276,OFFSET([2]characters!$A$1,0,0,COUNTA([2]characters!$A:$A),MATCH(T$1,[2]characters!$1:$1,0)-MATCH($A$1,[2]characters!$1:$1,0)+1),MATCH(T$1,[2]characters!$1:$1,0)-MATCH($A$1,[2]characters!$1:$1,0)+1,FALSE)</f>
        <v>エスタブ</v>
      </c>
      <c r="U276" s="5">
        <f ca="1">IF(Q276="NULL","NULL",VLOOKUP(G276,ビット!$A$2:$B$7,2))</f>
        <v>20000</v>
      </c>
      <c r="V276">
        <v>20000</v>
      </c>
      <c r="W276" s="6" t="str">
        <f t="shared" ca="1" si="6"/>
        <v>TRUE</v>
      </c>
    </row>
    <row r="277" spans="1:23" ht="21" customHeight="1" x14ac:dyDescent="0.15">
      <c r="A277" s="84">
        <v>497</v>
      </c>
      <c r="B277" s="24" t="str">
        <f ca="1">VLOOKUP($A277,OFFSET([2]characters!$A$1,0,0,COUNTA([2]characters!$A:$A),MATCH(B$1,[2]characters!$1:$1,0)-MATCH($A$1,[2]characters!$1:$1,0)+1),MATCH(B$1,[2]characters!$1:$1,0)-MATCH($A$1,[2]characters!$1:$1,0)+1,FALSE)</f>
        <v>偏愛の野獣 エスタブ</v>
      </c>
      <c r="C277" s="24" t="str">
        <f ca="1">VLOOKUP($A277,OFFSET([2]characters!$A$1,0,0,COUNTA([2]characters!$A:$A),MATCH(C$1,[2]characters!$1:$1,0)-MATCH($A$1,[2]characters!$1:$1,0)+1),MATCH(C$1,[2]characters!$1:$1,0)-MATCH($A$1,[2]characters!$1:$1,0)+1,FALSE)</f>
        <v>ガチャ:アリスの絵本02</v>
      </c>
      <c r="D277" s="24" t="str">
        <f ca="1">VLOOKUP($A277,OFFSET([2]characters!$A$1,0,0,COUNTA([2]characters!$A:$A),MATCH(D$1,[2]characters!$1:$1,0)-MATCH($A$1,[2]characters!$1:$1,0)+1),MATCH(D$1,[2]characters!$1:$1,0)-MATCH($A$1,[2]characters!$1:$1,0)+1,FALSE)</f>
        <v>執行者</v>
      </c>
      <c r="E277" s="24" t="str">
        <f ca="1">VLOOKUP($A277,OFFSET([2]characters!$A$1,0,0,COUNTA([2]characters!$A:$A),MATCH(E$1,[2]characters!$1:$1,0)-MATCH($A$1,[2]characters!$1:$1,0)+1),MATCH(E$1,[2]characters!$1:$1,0)-MATCH($A$1,[2]characters!$1:$1,0)+1,FALSE)</f>
        <v>格好いい</v>
      </c>
      <c r="F277" s="24" t="str">
        <f ca="1">VLOOKUP($A277,OFFSET([2]characters!$A$1,0,0,COUNTA([2]characters!$A:$A),MATCH(F$1,[2]characters!$1:$1,0)-MATCH($A$1,[2]characters!$1:$1,0)+1),MATCH(F$1,[2]characters!$1:$1,0)-MATCH($A$1,[2]characters!$1:$1,0)+1,FALSE)</f>
        <v>男性</v>
      </c>
      <c r="G277" s="24">
        <f ca="1">VLOOKUP($A277,OFFSET([2]characters!$A$1,0,0,COUNTA([2]characters!$A:$A),MATCH(G$1,[2]characters!$1:$1,0)-MATCH($A$1,[2]characters!$1:$1,0)+1),MATCH(G$1,[2]characters!$1:$1,0)-MATCH($A$1,[2]characters!$1:$1,0)+1,FALSE)</f>
        <v>4</v>
      </c>
      <c r="H277" s="24" t="str">
        <f ca="1">VLOOKUP($A277,OFFSET([2]characters!$A$1,0,0,COUNTA([2]characters!$A:$A),MATCH(H$1,[2]characters!$1:$1,0)-MATCH($A$1,[2]characters!$1:$1,0)+1),MATCH(H$1,[2]characters!$1:$1,0)-MATCH($A$1,[2]characters!$1:$1,0)+1,FALSE)</f>
        <v>PremiumS</v>
      </c>
      <c r="I277" s="24" t="str">
        <f ca="1">VLOOKUP($A277,OFFSET([2]characters!$A$1,0,0,COUNTA([2]characters!$A:$A),MATCH(I$1,[2]characters!$1:$1,0)-MATCH($A$1,[2]characters!$1:$1,0)+1),MATCH(I$1,[2]characters!$1:$1,0)-MATCH($A$1,[2]characters!$1:$1,0)+1,FALSE)</f>
        <v>blue</v>
      </c>
      <c r="J277" s="24" t="str">
        <f ca="1">VLOOKUP($A277,OFFSET([2]characters!$A$1,0,0,COUNTA([2]characters!$A:$A),MATCH(J$1,[2]characters!$1:$1,0)-MATCH($A$1,[2]characters!$1:$1,0)+1),MATCH(J$1,[2]characters!$1:$1,0)-MATCH($A$1,[2]characters!$1:$1,0)+1,FALSE)</f>
        <v>animal</v>
      </c>
      <c r="K277" s="3" t="str">
        <f ca="1">VLOOKUP(J277,[2]character_tribe_i18n!$A:$H,3,FALSE)</f>
        <v>アニマル</v>
      </c>
      <c r="L277" s="5" t="e">
        <f>VLOOKUP(#REF!,[2]character_tribe_i18n!$A:$H,4,FALSE)</f>
        <v>#REF!</v>
      </c>
      <c r="M277" s="5" t="e">
        <f>VLOOKUP(#REF!,[2]character_tribe_i18n!$A:$H,5,FALSE)</f>
        <v>#REF!</v>
      </c>
      <c r="N277" s="5" t="e">
        <f>VLOOKUP(#REF!,[2]character_tribe_i18n!$A:$H,6,FALSE)</f>
        <v>#REF!</v>
      </c>
      <c r="O277" s="5" t="e">
        <f>VLOOKUP(#REF!,[2]character_tribe_i18n!$A:$H,7,FALSE)</f>
        <v>#REF!</v>
      </c>
      <c r="P277" s="83" t="s">
        <v>170</v>
      </c>
      <c r="Q277">
        <v>498</v>
      </c>
      <c r="R277" s="25" t="str">
        <f ca="1">IF(Q277="NULL","",VLOOKUP($Q277,OFFSET([2]characters!$A$1,0,0,COUNTA([2]characters!$A:$A),MATCH(R$1,[2]characters!$1:$1,0)-MATCH($A$1,[2]characters!$1:$1,0)+1),MATCH(R$1,[2]characters!$1:$1,0)-MATCH($A$1,[2]characters!$1:$1,0)+1,FALSE))</f>
        <v>自愛の高魔 エスタブ</v>
      </c>
      <c r="S277" s="3">
        <f t="shared" ca="1" si="5"/>
        <v>496</v>
      </c>
      <c r="T277" s="25" t="str">
        <f ca="1">VLOOKUP($S277,OFFSET([2]characters!$A$1,0,0,COUNTA([2]characters!$A:$A),MATCH(T$1,[2]characters!$1:$1,0)-MATCH($A$1,[2]characters!$1:$1,0)+1),MATCH(T$1,[2]characters!$1:$1,0)-MATCH($A$1,[2]characters!$1:$1,0)+1,FALSE)</f>
        <v>エスタブ</v>
      </c>
      <c r="U277" s="5">
        <f ca="1">IF(Q277="NULL","NULL",VLOOKUP(G277,ビット!$A$2:$B$7,2))</f>
        <v>50000</v>
      </c>
      <c r="V277">
        <v>50000</v>
      </c>
      <c r="W277" s="6" t="str">
        <f t="shared" ca="1" si="6"/>
        <v>TRUE</v>
      </c>
    </row>
    <row r="278" spans="1:23" ht="21" customHeight="1" x14ac:dyDescent="0.15">
      <c r="A278" s="84">
        <v>499</v>
      </c>
      <c r="B278" s="24" t="str">
        <f ca="1">VLOOKUP($A278,OFFSET([2]characters!$A$1,0,0,COUNTA([2]characters!$A:$A),MATCH(B$1,[2]characters!$1:$1,0)-MATCH($A$1,[2]characters!$1:$1,0)+1),MATCH(B$1,[2]characters!$1:$1,0)-MATCH($A$1,[2]characters!$1:$1,0)+1,FALSE)</f>
        <v>ラプンツェル</v>
      </c>
      <c r="C278" s="24" t="str">
        <f ca="1">VLOOKUP($A278,OFFSET([2]characters!$A$1,0,0,COUNTA([2]characters!$A:$A),MATCH(C$1,[2]characters!$1:$1,0)-MATCH($A$1,[2]characters!$1:$1,0)+1),MATCH(C$1,[2]characters!$1:$1,0)-MATCH($A$1,[2]characters!$1:$1,0)+1,FALSE)</f>
        <v>ガチャ:アリスの絵本02</v>
      </c>
      <c r="D278" s="24" t="str">
        <f ca="1">VLOOKUP($A278,OFFSET([2]characters!$A$1,0,0,COUNTA([2]characters!$A:$A),MATCH(D$1,[2]characters!$1:$1,0)-MATCH($A$1,[2]characters!$1:$1,0)+1),MATCH(D$1,[2]characters!$1:$1,0)-MATCH($A$1,[2]characters!$1:$1,0)+1,FALSE)</f>
        <v>執行者</v>
      </c>
      <c r="E278" s="24" t="str">
        <f ca="1">VLOOKUP($A278,OFFSET([2]characters!$A$1,0,0,COUNTA([2]characters!$A:$A),MATCH(E$1,[2]characters!$1:$1,0)-MATCH($A$1,[2]characters!$1:$1,0)+1),MATCH(E$1,[2]characters!$1:$1,0)-MATCH($A$1,[2]characters!$1:$1,0)+1,FALSE)</f>
        <v>格好いい</v>
      </c>
      <c r="F278" s="24" t="str">
        <f ca="1">VLOOKUP($A278,OFFSET([2]characters!$A$1,0,0,COUNTA([2]characters!$A:$A),MATCH(F$1,[2]characters!$1:$1,0)-MATCH($A$1,[2]characters!$1:$1,0)+1),MATCH(F$1,[2]characters!$1:$1,0)-MATCH($A$1,[2]characters!$1:$1,0)+1,FALSE)</f>
        <v>女性</v>
      </c>
      <c r="G278" s="24">
        <f ca="1">VLOOKUP($A278,OFFSET([2]characters!$A$1,0,0,COUNTA([2]characters!$A:$A),MATCH(G$1,[2]characters!$1:$1,0)-MATCH($A$1,[2]characters!$1:$1,0)+1),MATCH(G$1,[2]characters!$1:$1,0)-MATCH($A$1,[2]characters!$1:$1,0)+1,FALSE)</f>
        <v>4</v>
      </c>
      <c r="H278" s="24" t="str">
        <f ca="1">VLOOKUP($A278,OFFSET([2]characters!$A$1,0,0,COUNTA([2]characters!$A:$A),MATCH(H$1,[2]characters!$1:$1,0)-MATCH($A$1,[2]characters!$1:$1,0)+1),MATCH(H$1,[2]characters!$1:$1,0)-MATCH($A$1,[2]characters!$1:$1,0)+1,FALSE)</f>
        <v>PremiumSS</v>
      </c>
      <c r="I278" s="24" t="str">
        <f ca="1">VLOOKUP($A278,OFFSET([2]characters!$A$1,0,0,COUNTA([2]characters!$A:$A),MATCH(I$1,[2]characters!$1:$1,0)-MATCH($A$1,[2]characters!$1:$1,0)+1),MATCH(I$1,[2]characters!$1:$1,0)-MATCH($A$1,[2]characters!$1:$1,0)+1,FALSE)</f>
        <v>yellow</v>
      </c>
      <c r="J278" s="24" t="str">
        <f ca="1">VLOOKUP($A278,OFFSET([2]characters!$A$1,0,0,COUNTA([2]characters!$A:$A),MATCH(J$1,[2]characters!$1:$1,0)-MATCH($A$1,[2]characters!$1:$1,0)+1),MATCH(J$1,[2]characters!$1:$1,0)-MATCH($A$1,[2]characters!$1:$1,0)+1,FALSE)</f>
        <v>none</v>
      </c>
      <c r="K278" s="3" t="str">
        <f ca="1">VLOOKUP(J278,[2]character_tribe_i18n!$A:$H,3,FALSE)</f>
        <v>種族なし</v>
      </c>
      <c r="L278" s="5" t="e">
        <f>VLOOKUP(#REF!,[2]character_tribe_i18n!$A:$H,4,FALSE)</f>
        <v>#REF!</v>
      </c>
      <c r="M278" s="5" t="e">
        <f>VLOOKUP(#REF!,[2]character_tribe_i18n!$A:$H,5,FALSE)</f>
        <v>#REF!</v>
      </c>
      <c r="N278" s="5" t="e">
        <f>VLOOKUP(#REF!,[2]character_tribe_i18n!$A:$H,6,FALSE)</f>
        <v>#REF!</v>
      </c>
      <c r="O278" s="5" t="e">
        <f>VLOOKUP(#REF!,[2]character_tribe_i18n!$A:$H,7,FALSE)</f>
        <v>#REF!</v>
      </c>
      <c r="P278" s="83" t="s">
        <v>170</v>
      </c>
      <c r="Q278">
        <v>500</v>
      </c>
      <c r="R278" s="25" t="str">
        <f ca="1">IF(Q278="NULL","",VLOOKUP($Q278,OFFSET([2]characters!$A$1,0,0,COUNTA([2]characters!$A:$A),MATCH(R$1,[2]characters!$1:$1,0)-MATCH($A$1,[2]characters!$1:$1,0)+1),MATCH(R$1,[2]characters!$1:$1,0)-MATCH($A$1,[2]characters!$1:$1,0)+1,FALSE))</f>
        <v>脈動の禁髪 ラプンツェル</v>
      </c>
      <c r="S278" s="3">
        <f t="shared" ca="1" si="5"/>
        <v>499</v>
      </c>
      <c r="T278" s="25" t="str">
        <f ca="1">VLOOKUP($S278,OFFSET([2]characters!$A$1,0,0,COUNTA([2]characters!$A:$A),MATCH(T$1,[2]characters!$1:$1,0)-MATCH($A$1,[2]characters!$1:$1,0)+1),MATCH(T$1,[2]characters!$1:$1,0)-MATCH($A$1,[2]characters!$1:$1,0)+1,FALSE)</f>
        <v>ラプンツェル</v>
      </c>
      <c r="U278" s="5">
        <f ca="1">IF(Q278="NULL","NULL",VLOOKUP(G278,ビット!$A$2:$B$7,2))</f>
        <v>50000</v>
      </c>
      <c r="V278">
        <v>50000</v>
      </c>
      <c r="W278" s="6" t="str">
        <f t="shared" ca="1" si="6"/>
        <v>TRUE</v>
      </c>
    </row>
    <row r="279" spans="1:23" ht="21" customHeight="1" x14ac:dyDescent="0.15">
      <c r="A279" s="84">
        <v>502</v>
      </c>
      <c r="B279" s="24" t="str">
        <f ca="1">VLOOKUP($A279,OFFSET([2]characters!$A$1,0,0,COUNTA([2]characters!$A:$A),MATCH(B$1,[2]characters!$1:$1,0)-MATCH($A$1,[2]characters!$1:$1,0)+1),MATCH(B$1,[2]characters!$1:$1,0)-MATCH($A$1,[2]characters!$1:$1,0)+1,FALSE)</f>
        <v>テラベル</v>
      </c>
      <c r="C279" s="24" t="str">
        <f ca="1">VLOOKUP($A279,OFFSET([2]characters!$A$1,0,0,COUNTA([2]characters!$A:$A),MATCH(C$1,[2]characters!$1:$1,0)-MATCH($A$1,[2]characters!$1:$1,0)+1),MATCH(C$1,[2]characters!$1:$1,0)-MATCH($A$1,[2]characters!$1:$1,0)+1,FALSE)</f>
        <v>イベント:アリスの絵本03</v>
      </c>
      <c r="D279" s="24" t="str">
        <f ca="1">VLOOKUP($A279,OFFSET([2]characters!$A$1,0,0,COUNTA([2]characters!$A:$A),MATCH(D$1,[2]characters!$1:$1,0)-MATCH($A$1,[2]characters!$1:$1,0)+1),MATCH(D$1,[2]characters!$1:$1,0)-MATCH($A$1,[2]characters!$1:$1,0)+1,FALSE)</f>
        <v>執行者</v>
      </c>
      <c r="E279" s="24" t="str">
        <f ca="1">VLOOKUP($A279,OFFSET([2]characters!$A$1,0,0,COUNTA([2]characters!$A:$A),MATCH(E$1,[2]characters!$1:$1,0)-MATCH($A$1,[2]characters!$1:$1,0)+1),MATCH(E$1,[2]characters!$1:$1,0)-MATCH($A$1,[2]characters!$1:$1,0)+1,FALSE)</f>
        <v>格好いい</v>
      </c>
      <c r="F279" s="24" t="str">
        <f ca="1">VLOOKUP($A279,OFFSET([2]characters!$A$1,0,0,COUNTA([2]characters!$A:$A),MATCH(F$1,[2]characters!$1:$1,0)-MATCH($A$1,[2]characters!$1:$1,0)+1),MATCH(F$1,[2]characters!$1:$1,0)-MATCH($A$1,[2]characters!$1:$1,0)+1,FALSE)</f>
        <v>女性</v>
      </c>
      <c r="G279" s="24">
        <f ca="1">VLOOKUP($A279,OFFSET([2]characters!$A$1,0,0,COUNTA([2]characters!$A:$A),MATCH(G$1,[2]characters!$1:$1,0)-MATCH($A$1,[2]characters!$1:$1,0)+1),MATCH(G$1,[2]characters!$1:$1,0)-MATCH($A$1,[2]characters!$1:$1,0)+1,FALSE)</f>
        <v>4</v>
      </c>
      <c r="H279" s="24" t="str">
        <f ca="1">VLOOKUP($A279,OFFSET([2]characters!$A$1,0,0,COUNTA([2]characters!$A:$A),MATCH(H$1,[2]characters!$1:$1,0)-MATCH($A$1,[2]characters!$1:$1,0)+1),MATCH(H$1,[2]characters!$1:$1,0)-MATCH($A$1,[2]characters!$1:$1,0)+1,FALSE)</f>
        <v>Drop2N</v>
      </c>
      <c r="I279" s="24" t="str">
        <f ca="1">VLOOKUP($A279,OFFSET([2]characters!$A$1,0,0,COUNTA([2]characters!$A:$A),MATCH(I$1,[2]characters!$1:$1,0)-MATCH($A$1,[2]characters!$1:$1,0)+1),MATCH(I$1,[2]characters!$1:$1,0)-MATCH($A$1,[2]characters!$1:$1,0)+1,FALSE)</f>
        <v>red</v>
      </c>
      <c r="J279" s="24" t="str">
        <f ca="1">VLOOKUP($A279,OFFSET([2]characters!$A$1,0,0,COUNTA([2]characters!$A:$A),MATCH(J$1,[2]characters!$1:$1,0)-MATCH($A$1,[2]characters!$1:$1,0)+1),MATCH(J$1,[2]characters!$1:$1,0)-MATCH($A$1,[2]characters!$1:$1,0)+1,FALSE)</f>
        <v>machine</v>
      </c>
      <c r="K279" s="3" t="str">
        <f ca="1">VLOOKUP(J279,[2]character_tribe_i18n!$A:$H,3,FALSE)</f>
        <v>マシン</v>
      </c>
      <c r="L279" s="5" t="e">
        <f>VLOOKUP(#REF!,[2]character_tribe_i18n!$A:$H,4,FALSE)</f>
        <v>#REF!</v>
      </c>
      <c r="M279" s="5" t="e">
        <f>VLOOKUP(#REF!,[2]character_tribe_i18n!$A:$H,5,FALSE)</f>
        <v>#REF!</v>
      </c>
      <c r="N279" s="5" t="e">
        <f>VLOOKUP(#REF!,[2]character_tribe_i18n!$A:$H,6,FALSE)</f>
        <v>#REF!</v>
      </c>
      <c r="O279" s="5" t="e">
        <f>VLOOKUP(#REF!,[2]character_tribe_i18n!$A:$H,7,FALSE)</f>
        <v>#REF!</v>
      </c>
      <c r="P279" s="83" t="s">
        <v>170</v>
      </c>
      <c r="Q279">
        <v>503</v>
      </c>
      <c r="R279" s="25" t="str">
        <f ca="1">IF(Q279="NULL","",VLOOKUP($Q279,OFFSET([2]characters!$A$1,0,0,COUNTA([2]characters!$A:$A),MATCH(R$1,[2]characters!$1:$1,0)-MATCH($A$1,[2]characters!$1:$1,0)+1),MATCH(R$1,[2]characters!$1:$1,0)-MATCH($A$1,[2]characters!$1:$1,0)+1,FALSE))</f>
        <v>破獣の爆姫 テラベル</v>
      </c>
      <c r="S279" s="3">
        <f t="shared" ca="1" si="5"/>
        <v>502</v>
      </c>
      <c r="T279" s="25" t="str">
        <f ca="1">VLOOKUP($S279,OFFSET([2]characters!$A$1,0,0,COUNTA([2]characters!$A:$A),MATCH(T$1,[2]characters!$1:$1,0)-MATCH($A$1,[2]characters!$1:$1,0)+1),MATCH(T$1,[2]characters!$1:$1,0)-MATCH($A$1,[2]characters!$1:$1,0)+1,FALSE)</f>
        <v>テラベル</v>
      </c>
      <c r="U279" s="5">
        <f ca="1">IF(Q279="NULL","NULL",VLOOKUP(G279,ビット!$A$2:$B$7,2))</f>
        <v>50000</v>
      </c>
      <c r="V279">
        <v>50000</v>
      </c>
      <c r="W279" s="6" t="str">
        <f t="shared" ca="1" si="6"/>
        <v>TRUE</v>
      </c>
    </row>
    <row r="280" spans="1:23" ht="21" customHeight="1" x14ac:dyDescent="0.15">
      <c r="A280" s="84">
        <v>504</v>
      </c>
      <c r="B280" s="24" t="str">
        <f ca="1">VLOOKUP($A280,OFFSET([2]characters!$A$1,0,0,COUNTA([2]characters!$A:$A),MATCH(B$1,[2]characters!$1:$1,0)-MATCH($A$1,[2]characters!$1:$1,0)+1),MATCH(B$1,[2]characters!$1:$1,0)-MATCH($A$1,[2]characters!$1:$1,0)+1,FALSE)</f>
        <v>ハイディン・オーガ</v>
      </c>
      <c r="C280" s="24" t="str">
        <f ca="1">VLOOKUP($A280,OFFSET([2]characters!$A$1,0,0,COUNTA([2]characters!$A:$A),MATCH(C$1,[2]characters!$1:$1,0)-MATCH($A$1,[2]characters!$1:$1,0)+1),MATCH(C$1,[2]characters!$1:$1,0)-MATCH($A$1,[2]characters!$1:$1,0)+1,FALSE)</f>
        <v>イベント:アリスの絵本03</v>
      </c>
      <c r="D280" s="24" t="str">
        <f ca="1">VLOOKUP($A280,OFFSET([2]characters!$A$1,0,0,COUNTA([2]characters!$A:$A),MATCH(D$1,[2]characters!$1:$1,0)-MATCH($A$1,[2]characters!$1:$1,0)+1),MATCH(D$1,[2]characters!$1:$1,0)-MATCH($A$1,[2]characters!$1:$1,0)+1,FALSE)</f>
        <v>執行者</v>
      </c>
      <c r="E280" s="24" t="str">
        <f ca="1">VLOOKUP($A280,OFFSET([2]characters!$A$1,0,0,COUNTA([2]characters!$A:$A),MATCH(E$1,[2]characters!$1:$1,0)-MATCH($A$1,[2]characters!$1:$1,0)+1),MATCH(E$1,[2]characters!$1:$1,0)-MATCH($A$1,[2]characters!$1:$1,0)+1,FALSE)</f>
        <v>格好いい</v>
      </c>
      <c r="F280" s="24" t="str">
        <f ca="1">VLOOKUP($A280,OFFSET([2]characters!$A$1,0,0,COUNTA([2]characters!$A:$A),MATCH(F$1,[2]characters!$1:$1,0)-MATCH($A$1,[2]characters!$1:$1,0)+1),MATCH(F$1,[2]characters!$1:$1,0)-MATCH($A$1,[2]characters!$1:$1,0)+1,FALSE)</f>
        <v>不明</v>
      </c>
      <c r="G280" s="24">
        <f ca="1">VLOOKUP($A280,OFFSET([2]characters!$A$1,0,0,COUNTA([2]characters!$A:$A),MATCH(G$1,[2]characters!$1:$1,0)-MATCH($A$1,[2]characters!$1:$1,0)+1),MATCH(G$1,[2]characters!$1:$1,0)-MATCH($A$1,[2]characters!$1:$1,0)+1,FALSE)</f>
        <v>4</v>
      </c>
      <c r="H280" s="24" t="str">
        <f ca="1">VLOOKUP($A280,OFFSET([2]characters!$A$1,0,0,COUNTA([2]characters!$A:$A),MATCH(H$1,[2]characters!$1:$1,0)-MATCH($A$1,[2]characters!$1:$1,0)+1),MATCH(H$1,[2]characters!$1:$1,0)-MATCH($A$1,[2]characters!$1:$1,0)+1,FALSE)</f>
        <v>Drop2N</v>
      </c>
      <c r="I280" s="24" t="str">
        <f ca="1">VLOOKUP($A280,OFFSET([2]characters!$A$1,0,0,COUNTA([2]characters!$A:$A),MATCH(I$1,[2]characters!$1:$1,0)-MATCH($A$1,[2]characters!$1:$1,0)+1),MATCH(I$1,[2]characters!$1:$1,0)-MATCH($A$1,[2]characters!$1:$1,0)+1,FALSE)</f>
        <v>green</v>
      </c>
      <c r="J280" s="24" t="str">
        <f ca="1">VLOOKUP($A280,OFFSET([2]characters!$A$1,0,0,COUNTA([2]characters!$A:$A),MATCH(J$1,[2]characters!$1:$1,0)-MATCH($A$1,[2]characters!$1:$1,0)+1),MATCH(J$1,[2]characters!$1:$1,0)-MATCH($A$1,[2]characters!$1:$1,0)+1,FALSE)</f>
        <v>unknown</v>
      </c>
      <c r="K280" s="3" t="str">
        <f ca="1">VLOOKUP(J280,[2]character_tribe_i18n!$A:$H,3,FALSE)</f>
        <v>Unknown</v>
      </c>
      <c r="L280" s="5" t="e">
        <f>VLOOKUP(#REF!,[2]character_tribe_i18n!$A:$H,4,FALSE)</f>
        <v>#REF!</v>
      </c>
      <c r="M280" s="5" t="e">
        <f>VLOOKUP(#REF!,[2]character_tribe_i18n!$A:$H,5,FALSE)</f>
        <v>#REF!</v>
      </c>
      <c r="N280" s="5" t="e">
        <f>VLOOKUP(#REF!,[2]character_tribe_i18n!$A:$H,6,FALSE)</f>
        <v>#REF!</v>
      </c>
      <c r="O280" s="5" t="e">
        <f>VLOOKUP(#REF!,[2]character_tribe_i18n!$A:$H,7,FALSE)</f>
        <v>#REF!</v>
      </c>
      <c r="P280" s="83" t="s">
        <v>170</v>
      </c>
      <c r="Q280">
        <v>505</v>
      </c>
      <c r="R280" s="25" t="str">
        <f ca="1">IF(Q280="NULL","",VLOOKUP($Q280,OFFSET([2]characters!$A$1,0,0,COUNTA([2]characters!$A:$A),MATCH(R$1,[2]characters!$1:$1,0)-MATCH($A$1,[2]characters!$1:$1,0)+1),MATCH(R$1,[2]characters!$1:$1,0)-MATCH($A$1,[2]characters!$1:$1,0)+1,FALSE))</f>
        <v>暴虐の漏洩 ハイディン・オーガ</v>
      </c>
      <c r="S280" s="3">
        <f t="shared" ca="1" si="5"/>
        <v>504</v>
      </c>
      <c r="T280" s="25" t="str">
        <f ca="1">VLOOKUP($S280,OFFSET([2]characters!$A$1,0,0,COUNTA([2]characters!$A:$A),MATCH(T$1,[2]characters!$1:$1,0)-MATCH($A$1,[2]characters!$1:$1,0)+1),MATCH(T$1,[2]characters!$1:$1,0)-MATCH($A$1,[2]characters!$1:$1,0)+1,FALSE)</f>
        <v>ハイディン・オーガ</v>
      </c>
      <c r="U280" s="5">
        <f ca="1">IF(Q280="NULL","NULL",VLOOKUP(G280,ビット!$A$2:$B$7,2))</f>
        <v>50000</v>
      </c>
      <c r="V280">
        <v>50000</v>
      </c>
      <c r="W280" s="6" t="str">
        <f t="shared" ca="1" si="6"/>
        <v>TRUE</v>
      </c>
    </row>
    <row r="281" spans="1:23" ht="21" customHeight="1" x14ac:dyDescent="0.15">
      <c r="A281" s="84">
        <v>506</v>
      </c>
      <c r="B281" s="24" t="str">
        <f ca="1">VLOOKUP($A281,OFFSET([2]characters!$A$1,0,0,COUNTA([2]characters!$A:$A),MATCH(B$1,[2]characters!$1:$1,0)-MATCH($A$1,[2]characters!$1:$1,0)+1),MATCH(B$1,[2]characters!$1:$1,0)-MATCH($A$1,[2]characters!$1:$1,0)+1,FALSE)</f>
        <v>ゴーテル</v>
      </c>
      <c r="C281" s="24" t="str">
        <f ca="1">VLOOKUP($A281,OFFSET([2]characters!$A$1,0,0,COUNTA([2]characters!$A:$A),MATCH(C$1,[2]characters!$1:$1,0)-MATCH($A$1,[2]characters!$1:$1,0)+1),MATCH(C$1,[2]characters!$1:$1,0)-MATCH($A$1,[2]characters!$1:$1,0)+1,FALSE)</f>
        <v>イベント:アリスの絵本03</v>
      </c>
      <c r="D281" s="24" t="str">
        <f ca="1">VLOOKUP($A281,OFFSET([2]characters!$A$1,0,0,COUNTA([2]characters!$A:$A),MATCH(D$1,[2]characters!$1:$1,0)-MATCH($A$1,[2]characters!$1:$1,0)+1),MATCH(D$1,[2]characters!$1:$1,0)-MATCH($A$1,[2]characters!$1:$1,0)+1,FALSE)</f>
        <v>執行者</v>
      </c>
      <c r="E281" s="24" t="str">
        <f ca="1">VLOOKUP($A281,OFFSET([2]characters!$A$1,0,0,COUNTA([2]characters!$A:$A),MATCH(E$1,[2]characters!$1:$1,0)-MATCH($A$1,[2]characters!$1:$1,0)+1),MATCH(E$1,[2]characters!$1:$1,0)-MATCH($A$1,[2]characters!$1:$1,0)+1,FALSE)</f>
        <v>格好いい</v>
      </c>
      <c r="F281" s="24" t="str">
        <f ca="1">VLOOKUP($A281,OFFSET([2]characters!$A$1,0,0,COUNTA([2]characters!$A:$A),MATCH(F$1,[2]characters!$1:$1,0)-MATCH($A$1,[2]characters!$1:$1,0)+1),MATCH(F$1,[2]characters!$1:$1,0)-MATCH($A$1,[2]characters!$1:$1,0)+1,FALSE)</f>
        <v>女性</v>
      </c>
      <c r="G281" s="24">
        <f ca="1">VLOOKUP($A281,OFFSET([2]characters!$A$1,0,0,COUNTA([2]characters!$A:$A),MATCH(G$1,[2]characters!$1:$1,0)-MATCH($A$1,[2]characters!$1:$1,0)+1),MATCH(G$1,[2]characters!$1:$1,0)-MATCH($A$1,[2]characters!$1:$1,0)+1,FALSE)</f>
        <v>4</v>
      </c>
      <c r="H281" s="24" t="str">
        <f ca="1">VLOOKUP($A281,OFFSET([2]characters!$A$1,0,0,COUNTA([2]characters!$A:$A),MATCH(H$1,[2]characters!$1:$1,0)-MATCH($A$1,[2]characters!$1:$1,0)+1),MATCH(H$1,[2]characters!$1:$1,0)-MATCH($A$1,[2]characters!$1:$1,0)+1,FALSE)</f>
        <v>Drop2N</v>
      </c>
      <c r="I281" s="24" t="str">
        <f ca="1">VLOOKUP($A281,OFFSET([2]characters!$A$1,0,0,COUNTA([2]characters!$A:$A),MATCH(I$1,[2]characters!$1:$1,0)-MATCH($A$1,[2]characters!$1:$1,0)+1),MATCH(I$1,[2]characters!$1:$1,0)-MATCH($A$1,[2]characters!$1:$1,0)+1,FALSE)</f>
        <v>blue</v>
      </c>
      <c r="J281" s="24" t="str">
        <f ca="1">VLOOKUP($A281,OFFSET([2]characters!$A$1,0,0,COUNTA([2]characters!$A:$A),MATCH(J$1,[2]characters!$1:$1,0)-MATCH($A$1,[2]characters!$1:$1,0)+1),MATCH(J$1,[2]characters!$1:$1,0)-MATCH($A$1,[2]characters!$1:$1,0)+1,FALSE)</f>
        <v>machine</v>
      </c>
      <c r="K281" s="3" t="str">
        <f ca="1">VLOOKUP(J281,[2]character_tribe_i18n!$A:$H,3,FALSE)</f>
        <v>マシン</v>
      </c>
      <c r="L281" s="5" t="e">
        <f>VLOOKUP(#REF!,[2]character_tribe_i18n!$A:$H,4,FALSE)</f>
        <v>#REF!</v>
      </c>
      <c r="M281" s="5" t="e">
        <f>VLOOKUP(#REF!,[2]character_tribe_i18n!$A:$H,5,FALSE)</f>
        <v>#REF!</v>
      </c>
      <c r="N281" s="5" t="e">
        <f>VLOOKUP(#REF!,[2]character_tribe_i18n!$A:$H,6,FALSE)</f>
        <v>#REF!</v>
      </c>
      <c r="O281" s="5" t="e">
        <f>VLOOKUP(#REF!,[2]character_tribe_i18n!$A:$H,7,FALSE)</f>
        <v>#REF!</v>
      </c>
      <c r="P281" s="83" t="s">
        <v>170</v>
      </c>
      <c r="Q281">
        <v>507</v>
      </c>
      <c r="R281" s="25" t="str">
        <f ca="1">IF(Q281="NULL","",VLOOKUP($Q281,OFFSET([2]characters!$A$1,0,0,COUNTA([2]characters!$A:$A),MATCH(R$1,[2]characters!$1:$1,0)-MATCH($A$1,[2]characters!$1:$1,0)+1),MATCH(R$1,[2]characters!$1:$1,0)-MATCH($A$1,[2]characters!$1:$1,0)+1,FALSE))</f>
        <v>過保護な幽閉者 ゴーテル</v>
      </c>
      <c r="S281" s="3">
        <f t="shared" ca="1" si="5"/>
        <v>506</v>
      </c>
      <c r="T281" s="25" t="str">
        <f ca="1">VLOOKUP($S281,OFFSET([2]characters!$A$1,0,0,COUNTA([2]characters!$A:$A),MATCH(T$1,[2]characters!$1:$1,0)-MATCH($A$1,[2]characters!$1:$1,0)+1),MATCH(T$1,[2]characters!$1:$1,0)-MATCH($A$1,[2]characters!$1:$1,0)+1,FALSE)</f>
        <v>ゴーテル</v>
      </c>
      <c r="U281" s="5">
        <f ca="1">IF(Q281="NULL","NULL",VLOOKUP(G281,ビット!$A$2:$B$7,2))</f>
        <v>50000</v>
      </c>
      <c r="V281">
        <v>50000</v>
      </c>
      <c r="W281" s="6" t="str">
        <f t="shared" ca="1" si="6"/>
        <v>TRUE</v>
      </c>
    </row>
    <row r="282" spans="1:23" ht="21" customHeight="1" x14ac:dyDescent="0.15">
      <c r="A282" s="84">
        <v>508</v>
      </c>
      <c r="B282" s="24" t="str">
        <f ca="1">VLOOKUP($A282,OFFSET([2]characters!$A$1,0,0,COUNTA([2]characters!$A:$A),MATCH(B$1,[2]characters!$1:$1,0)-MATCH($A$1,[2]characters!$1:$1,0)+1),MATCH(B$1,[2]characters!$1:$1,0)-MATCH($A$1,[2]characters!$1:$1,0)+1,FALSE)</f>
        <v>Gスター・チルドレン</v>
      </c>
      <c r="C282" s="24" t="str">
        <f ca="1">VLOOKUP($A282,OFFSET([2]characters!$A$1,0,0,COUNTA([2]characters!$A:$A),MATCH(C$1,[2]characters!$1:$1,0)-MATCH($A$1,[2]characters!$1:$1,0)+1),MATCH(C$1,[2]characters!$1:$1,0)-MATCH($A$1,[2]characters!$1:$1,0)+1,FALSE)</f>
        <v>イベント:アリスの絵本03</v>
      </c>
      <c r="D282" s="24" t="str">
        <f ca="1">VLOOKUP($A282,OFFSET([2]characters!$A$1,0,0,COUNTA([2]characters!$A:$A),MATCH(D$1,[2]characters!$1:$1,0)-MATCH($A$1,[2]characters!$1:$1,0)+1),MATCH(D$1,[2]characters!$1:$1,0)-MATCH($A$1,[2]characters!$1:$1,0)+1,FALSE)</f>
        <v>執行者</v>
      </c>
      <c r="E282" s="24" t="str">
        <f ca="1">VLOOKUP($A282,OFFSET([2]characters!$A$1,0,0,COUNTA([2]characters!$A:$A),MATCH(E$1,[2]characters!$1:$1,0)-MATCH($A$1,[2]characters!$1:$1,0)+1),MATCH(E$1,[2]characters!$1:$1,0)-MATCH($A$1,[2]characters!$1:$1,0)+1,FALSE)</f>
        <v>格好いい</v>
      </c>
      <c r="F282" s="24" t="str">
        <f ca="1">VLOOKUP($A282,OFFSET([2]characters!$A$1,0,0,COUNTA([2]characters!$A:$A),MATCH(F$1,[2]characters!$1:$1,0)-MATCH($A$1,[2]characters!$1:$1,0)+1),MATCH(F$1,[2]characters!$1:$1,0)-MATCH($A$1,[2]characters!$1:$1,0)+1,FALSE)</f>
        <v>不明</v>
      </c>
      <c r="G282" s="24">
        <f ca="1">VLOOKUP($A282,OFFSET([2]characters!$A$1,0,0,COUNTA([2]characters!$A:$A),MATCH(G$1,[2]characters!$1:$1,0)-MATCH($A$1,[2]characters!$1:$1,0)+1),MATCH(G$1,[2]characters!$1:$1,0)-MATCH($A$1,[2]characters!$1:$1,0)+1,FALSE)</f>
        <v>4</v>
      </c>
      <c r="H282" s="24" t="str">
        <f ca="1">VLOOKUP($A282,OFFSET([2]characters!$A$1,0,0,COUNTA([2]characters!$A:$A),MATCH(H$1,[2]characters!$1:$1,0)-MATCH($A$1,[2]characters!$1:$1,0)+1),MATCH(H$1,[2]characters!$1:$1,0)-MATCH($A$1,[2]characters!$1:$1,0)+1,FALSE)</f>
        <v>Drop2N</v>
      </c>
      <c r="I282" s="24" t="str">
        <f ca="1">VLOOKUP($A282,OFFSET([2]characters!$A$1,0,0,COUNTA([2]characters!$A:$A),MATCH(I$1,[2]characters!$1:$1,0)-MATCH($A$1,[2]characters!$1:$1,0)+1),MATCH(I$1,[2]characters!$1:$1,0)-MATCH($A$1,[2]characters!$1:$1,0)+1,FALSE)</f>
        <v>yellow</v>
      </c>
      <c r="J282" s="24" t="str">
        <f ca="1">VLOOKUP($A282,OFFSET([2]characters!$A$1,0,0,COUNTA([2]characters!$A:$A),MATCH(J$1,[2]characters!$1:$1,0)-MATCH($A$1,[2]characters!$1:$1,0)+1),MATCH(J$1,[2]characters!$1:$1,0)-MATCH($A$1,[2]characters!$1:$1,0)+1,FALSE)</f>
        <v>none</v>
      </c>
      <c r="K282" s="3" t="str">
        <f ca="1">VLOOKUP(J282,[2]character_tribe_i18n!$A:$H,3,FALSE)</f>
        <v>種族なし</v>
      </c>
      <c r="L282" s="5" t="e">
        <f>VLOOKUP(#REF!,[2]character_tribe_i18n!$A:$H,4,FALSE)</f>
        <v>#REF!</v>
      </c>
      <c r="M282" s="5" t="e">
        <f>VLOOKUP(#REF!,[2]character_tribe_i18n!$A:$H,5,FALSE)</f>
        <v>#REF!</v>
      </c>
      <c r="N282" s="5" t="e">
        <f>VLOOKUP(#REF!,[2]character_tribe_i18n!$A:$H,6,FALSE)</f>
        <v>#REF!</v>
      </c>
      <c r="O282" s="5" t="e">
        <f>VLOOKUP(#REF!,[2]character_tribe_i18n!$A:$H,7,FALSE)</f>
        <v>#REF!</v>
      </c>
      <c r="P282" s="83" t="s">
        <v>170</v>
      </c>
      <c r="Q282">
        <v>509</v>
      </c>
      <c r="R282" s="25" t="str">
        <f ca="1">IF(Q282="NULL","",VLOOKUP($Q282,OFFSET([2]characters!$A$1,0,0,COUNTA([2]characters!$A:$A),MATCH(R$1,[2]characters!$1:$1,0)-MATCH($A$1,[2]characters!$1:$1,0)+1),MATCH(R$1,[2]characters!$1:$1,0)-MATCH($A$1,[2]characters!$1:$1,0)+1,FALSE))</f>
        <v>純粋悪意 Gスター・チルドレン</v>
      </c>
      <c r="S282" s="3">
        <f t="shared" ca="1" si="5"/>
        <v>508</v>
      </c>
      <c r="T282" s="25" t="str">
        <f ca="1">VLOOKUP($S282,OFFSET([2]characters!$A$1,0,0,COUNTA([2]characters!$A:$A),MATCH(T$1,[2]characters!$1:$1,0)-MATCH($A$1,[2]characters!$1:$1,0)+1),MATCH(T$1,[2]characters!$1:$1,0)-MATCH($A$1,[2]characters!$1:$1,0)+1,FALSE)</f>
        <v>Gスター・チルドレン</v>
      </c>
      <c r="U282" s="5">
        <f ca="1">IF(Q282="NULL","NULL",VLOOKUP(G282,ビット!$A$2:$B$7,2))</f>
        <v>50000</v>
      </c>
      <c r="V282">
        <v>50000</v>
      </c>
      <c r="W282" s="6" t="str">
        <f t="shared" ca="1" si="6"/>
        <v>TRUE</v>
      </c>
    </row>
    <row r="283" spans="1:23" ht="21" customHeight="1" x14ac:dyDescent="0.15">
      <c r="A283" s="84">
        <v>509</v>
      </c>
      <c r="B283" s="24" t="str">
        <f ca="1">VLOOKUP($A283,OFFSET([2]characters!$A$1,0,0,COUNTA([2]characters!$A:$A),MATCH(B$1,[2]characters!$1:$1,0)-MATCH($A$1,[2]characters!$1:$1,0)+1),MATCH(B$1,[2]characters!$1:$1,0)-MATCH($A$1,[2]characters!$1:$1,0)+1,FALSE)</f>
        <v>純粋悪意 Gスター・チルドレン</v>
      </c>
      <c r="C283" s="24" t="str">
        <f ca="1">VLOOKUP($A283,OFFSET([2]characters!$A$1,0,0,COUNTA([2]characters!$A:$A),MATCH(C$1,[2]characters!$1:$1,0)-MATCH($A$1,[2]characters!$1:$1,0)+1),MATCH(C$1,[2]characters!$1:$1,0)-MATCH($A$1,[2]characters!$1:$1,0)+1,FALSE)</f>
        <v>イベント:アリスの絵本03</v>
      </c>
      <c r="D283" s="24" t="str">
        <f ca="1">VLOOKUP($A283,OFFSET([2]characters!$A$1,0,0,COUNTA([2]characters!$A:$A),MATCH(D$1,[2]characters!$1:$1,0)-MATCH($A$1,[2]characters!$1:$1,0)+1),MATCH(D$1,[2]characters!$1:$1,0)-MATCH($A$1,[2]characters!$1:$1,0)+1,FALSE)</f>
        <v>執行者</v>
      </c>
      <c r="E283" s="24" t="str">
        <f ca="1">VLOOKUP($A283,OFFSET([2]characters!$A$1,0,0,COUNTA([2]characters!$A:$A),MATCH(E$1,[2]characters!$1:$1,0)-MATCH($A$1,[2]characters!$1:$1,0)+1),MATCH(E$1,[2]characters!$1:$1,0)-MATCH($A$1,[2]characters!$1:$1,0)+1,FALSE)</f>
        <v>格好いい</v>
      </c>
      <c r="F283" s="24" t="str">
        <f ca="1">VLOOKUP($A283,OFFSET([2]characters!$A$1,0,0,COUNTA([2]characters!$A:$A),MATCH(F$1,[2]characters!$1:$1,0)-MATCH($A$1,[2]characters!$1:$1,0)+1),MATCH(F$1,[2]characters!$1:$1,0)-MATCH($A$1,[2]characters!$1:$1,0)+1,FALSE)</f>
        <v>不明</v>
      </c>
      <c r="G283" s="24">
        <f ca="1">VLOOKUP($A283,OFFSET([2]characters!$A$1,0,0,COUNTA([2]characters!$A:$A),MATCH(G$1,[2]characters!$1:$1,0)-MATCH($A$1,[2]characters!$1:$1,0)+1),MATCH(G$1,[2]characters!$1:$1,0)-MATCH($A$1,[2]characters!$1:$1,0)+1,FALSE)</f>
        <v>5</v>
      </c>
      <c r="H283" s="24" t="str">
        <f ca="1">VLOOKUP($A283,OFFSET([2]characters!$A$1,0,0,COUNTA([2]characters!$A:$A),MATCH(H$1,[2]characters!$1:$1,0)-MATCH($A$1,[2]characters!$1:$1,0)+1),MATCH(H$1,[2]characters!$1:$1,0)-MATCH($A$1,[2]characters!$1:$1,0)+1,FALSE)</f>
        <v>Drop2N</v>
      </c>
      <c r="I283" s="24" t="str">
        <f ca="1">VLOOKUP($A283,OFFSET([2]characters!$A$1,0,0,COUNTA([2]characters!$A:$A),MATCH(I$1,[2]characters!$1:$1,0)-MATCH($A$1,[2]characters!$1:$1,0)+1),MATCH(I$1,[2]characters!$1:$1,0)-MATCH($A$1,[2]characters!$1:$1,0)+1,FALSE)</f>
        <v>yellow</v>
      </c>
      <c r="J283" s="24" t="str">
        <f ca="1">VLOOKUP($A283,OFFSET([2]characters!$A$1,0,0,COUNTA([2]characters!$A:$A),MATCH(J$1,[2]characters!$1:$1,0)-MATCH($A$1,[2]characters!$1:$1,0)+1),MATCH(J$1,[2]characters!$1:$1,0)-MATCH($A$1,[2]characters!$1:$1,0)+1,FALSE)</f>
        <v>none</v>
      </c>
      <c r="K283" s="3" t="str">
        <f ca="1">VLOOKUP(J283,[2]character_tribe_i18n!$A:$H,3,FALSE)</f>
        <v>種族なし</v>
      </c>
      <c r="L283" s="5" t="e">
        <f>VLOOKUP(#REF!,[2]character_tribe_i18n!$A:$H,4,FALSE)</f>
        <v>#REF!</v>
      </c>
      <c r="M283" s="5" t="e">
        <f>VLOOKUP(#REF!,[2]character_tribe_i18n!$A:$H,5,FALSE)</f>
        <v>#REF!</v>
      </c>
      <c r="N283" s="5" t="e">
        <f>VLOOKUP(#REF!,[2]character_tribe_i18n!$A:$H,6,FALSE)</f>
        <v>#REF!</v>
      </c>
      <c r="O283" s="5" t="e">
        <f>VLOOKUP(#REF!,[2]character_tribe_i18n!$A:$H,7,FALSE)</f>
        <v>#REF!</v>
      </c>
      <c r="P283" s="83" t="s">
        <v>170</v>
      </c>
      <c r="Q283">
        <v>824</v>
      </c>
      <c r="R283" s="25" t="str">
        <f ca="1">IF(Q283="NULL","",VLOOKUP($Q283,OFFSET([2]characters!$A$1,0,0,COUNTA([2]characters!$A:$A),MATCH(R$1,[2]characters!$1:$1,0)-MATCH($A$1,[2]characters!$1:$1,0)+1),MATCH(R$1,[2]characters!$1:$1,0)-MATCH($A$1,[2]characters!$1:$1,0)+1,FALSE))</f>
        <v>悪意の団塊  Gスター・チルドレン</v>
      </c>
      <c r="S283" s="3">
        <f t="shared" ca="1" si="5"/>
        <v>508</v>
      </c>
      <c r="T283" s="25" t="str">
        <f ca="1">VLOOKUP($S283,OFFSET([2]characters!$A$1,0,0,COUNTA([2]characters!$A:$A),MATCH(T$1,[2]characters!$1:$1,0)-MATCH($A$1,[2]characters!$1:$1,0)+1),MATCH(T$1,[2]characters!$1:$1,0)-MATCH($A$1,[2]characters!$1:$1,0)+1,FALSE)</f>
        <v>Gスター・チルドレン</v>
      </c>
      <c r="U283" s="5">
        <f ca="1">IF(Q283="NULL","NULL",VLOOKUP(G283,ビット!$A$2:$B$7,2))</f>
        <v>200000</v>
      </c>
      <c r="V283" t="s">
        <v>23</v>
      </c>
      <c r="W283" s="6" t="str">
        <f t="shared" ca="1" si="6"/>
        <v>FALSE</v>
      </c>
    </row>
    <row r="284" spans="1:23" ht="21" customHeight="1" x14ac:dyDescent="0.15">
      <c r="A284" s="84">
        <v>510</v>
      </c>
      <c r="B284" s="24" t="str">
        <f ca="1">VLOOKUP($A284,OFFSET([2]characters!$A$1,0,0,COUNTA([2]characters!$A:$A),MATCH(B$1,[2]characters!$1:$1,0)-MATCH($A$1,[2]characters!$1:$1,0)+1),MATCH(B$1,[2]characters!$1:$1,0)-MATCH($A$1,[2]characters!$1:$1,0)+1,FALSE)</f>
        <v>燃えさかる豪息 ヒュウガ</v>
      </c>
      <c r="C284" s="24" t="str">
        <f ca="1">VLOOKUP($A284,OFFSET([2]characters!$A$1,0,0,COUNTA([2]characters!$A:$A),MATCH(C$1,[2]characters!$1:$1,0)-MATCH($A$1,[2]characters!$1:$1,0)+1),MATCH(C$1,[2]characters!$1:$1,0)-MATCH($A$1,[2]characters!$1:$1,0)+1,FALSE)</f>
        <v>ノーマルクエスト</v>
      </c>
      <c r="D284" s="24" t="str">
        <f ca="1">VLOOKUP($A284,OFFSET([2]characters!$A$1,0,0,COUNTA([2]characters!$A:$A),MATCH(D$1,[2]characters!$1:$1,0)-MATCH($A$1,[2]characters!$1:$1,0)+1),MATCH(D$1,[2]characters!$1:$1,0)-MATCH($A$1,[2]characters!$1:$1,0)+1,FALSE)</f>
        <v>執行者</v>
      </c>
      <c r="E284" s="24" t="str">
        <f ca="1">VLOOKUP($A284,OFFSET([2]characters!$A$1,0,0,COUNTA([2]characters!$A:$A),MATCH(E$1,[2]characters!$1:$1,0)-MATCH($A$1,[2]characters!$1:$1,0)+1),MATCH(E$1,[2]characters!$1:$1,0)-MATCH($A$1,[2]characters!$1:$1,0)+1,FALSE)</f>
        <v>格好いい</v>
      </c>
      <c r="F284" s="24" t="str">
        <f ca="1">VLOOKUP($A284,OFFSET([2]characters!$A$1,0,0,COUNTA([2]characters!$A:$A),MATCH(F$1,[2]characters!$1:$1,0)-MATCH($A$1,[2]characters!$1:$1,0)+1),MATCH(F$1,[2]characters!$1:$1,0)-MATCH($A$1,[2]characters!$1:$1,0)+1,FALSE)</f>
        <v>不明</v>
      </c>
      <c r="G284" s="24">
        <f ca="1">VLOOKUP($A284,OFFSET([2]characters!$A$1,0,0,COUNTA([2]characters!$A:$A),MATCH(G$1,[2]characters!$1:$1,0)-MATCH($A$1,[2]characters!$1:$1,0)+1),MATCH(G$1,[2]characters!$1:$1,0)-MATCH($A$1,[2]characters!$1:$1,0)+1,FALSE)</f>
        <v>4</v>
      </c>
      <c r="H284" s="24" t="str">
        <f ca="1">VLOOKUP($A284,OFFSET([2]characters!$A$1,0,0,COUNTA([2]characters!$A:$A),MATCH(H$1,[2]characters!$1:$1,0)-MATCH($A$1,[2]characters!$1:$1,0)+1),MATCH(H$1,[2]characters!$1:$1,0)-MATCH($A$1,[2]characters!$1:$1,0)+1,FALSE)</f>
        <v>Drop2N</v>
      </c>
      <c r="I284" s="24" t="str">
        <f ca="1">VLOOKUP($A284,OFFSET([2]characters!$A$1,0,0,COUNTA([2]characters!$A:$A),MATCH(I$1,[2]characters!$1:$1,0)-MATCH($A$1,[2]characters!$1:$1,0)+1),MATCH(I$1,[2]characters!$1:$1,0)-MATCH($A$1,[2]characters!$1:$1,0)+1,FALSE)</f>
        <v>red</v>
      </c>
      <c r="J284" s="24" t="str">
        <f ca="1">VLOOKUP($A284,OFFSET([2]characters!$A$1,0,0,COUNTA([2]characters!$A:$A),MATCH(J$1,[2]characters!$1:$1,0)-MATCH($A$1,[2]characters!$1:$1,0)+1),MATCH(J$1,[2]characters!$1:$1,0)-MATCH($A$1,[2]characters!$1:$1,0)+1,FALSE)</f>
        <v>none</v>
      </c>
      <c r="K284" s="3" t="str">
        <f ca="1">VLOOKUP(J284,[2]character_tribe_i18n!$A:$H,3,FALSE)</f>
        <v>種族なし</v>
      </c>
      <c r="L284" s="5" t="e">
        <f>VLOOKUP(#REF!,[2]character_tribe_i18n!$A:$H,4,FALSE)</f>
        <v>#REF!</v>
      </c>
      <c r="M284" s="5" t="e">
        <f>VLOOKUP(#REF!,[2]character_tribe_i18n!$A:$H,5,FALSE)</f>
        <v>#REF!</v>
      </c>
      <c r="N284" s="5" t="e">
        <f>VLOOKUP(#REF!,[2]character_tribe_i18n!$A:$H,6,FALSE)</f>
        <v>#REF!</v>
      </c>
      <c r="O284" s="5" t="e">
        <f>VLOOKUP(#REF!,[2]character_tribe_i18n!$A:$H,7,FALSE)</f>
        <v>#REF!</v>
      </c>
      <c r="P284" s="83" t="s">
        <v>170</v>
      </c>
      <c r="Q284">
        <v>511</v>
      </c>
      <c r="R284" s="25" t="str">
        <f ca="1">IF(Q284="NULL","",VLOOKUP($Q284,OFFSET([2]characters!$A$1,0,0,COUNTA([2]characters!$A:$A),MATCH(R$1,[2]characters!$1:$1,0)-MATCH($A$1,[2]characters!$1:$1,0)+1),MATCH(R$1,[2]characters!$1:$1,0)-MATCH($A$1,[2]characters!$1:$1,0)+1,FALSE))</f>
        <v>灼き尽くす紅息 ヒュウガ・レアル</v>
      </c>
      <c r="S284" s="3">
        <f t="shared" ca="1" si="5"/>
        <v>41</v>
      </c>
      <c r="T284" s="25" t="str">
        <f ca="1">VLOOKUP($S284,OFFSET([2]characters!$A$1,0,0,COUNTA([2]characters!$A:$A),MATCH(T$1,[2]characters!$1:$1,0)-MATCH($A$1,[2]characters!$1:$1,0)+1),MATCH(T$1,[2]characters!$1:$1,0)-MATCH($A$1,[2]characters!$1:$1,0)+1,FALSE)</f>
        <v>ヒュウガ</v>
      </c>
      <c r="U284" s="5">
        <f ca="1">IF(Q284="NULL","NULL",VLOOKUP(G284,ビット!$A$2:$B$7,2))</f>
        <v>50000</v>
      </c>
      <c r="V284">
        <v>50000</v>
      </c>
      <c r="W284" s="6" t="str">
        <f t="shared" ca="1" si="6"/>
        <v>TRUE</v>
      </c>
    </row>
    <row r="285" spans="1:23" ht="21" customHeight="1" x14ac:dyDescent="0.15">
      <c r="A285" s="84">
        <v>512</v>
      </c>
      <c r="B285" s="24" t="str">
        <f ca="1">VLOOKUP($A285,OFFSET([2]characters!$A$1,0,0,COUNTA([2]characters!$A:$A),MATCH(B$1,[2]characters!$1:$1,0)-MATCH($A$1,[2]characters!$1:$1,0)+1),MATCH(B$1,[2]characters!$1:$1,0)-MATCH($A$1,[2]characters!$1:$1,0)+1,FALSE)</f>
        <v>聖火の逆徒 クリスマス・ベリアル</v>
      </c>
      <c r="C285" s="24" t="str">
        <f ca="1">VLOOKUP($A285,OFFSET([2]characters!$A$1,0,0,COUNTA([2]characters!$A:$A),MATCH(C$1,[2]characters!$1:$1,0)-MATCH($A$1,[2]characters!$1:$1,0)+1),MATCH(C$1,[2]characters!$1:$1,0)-MATCH($A$1,[2]characters!$1:$1,0)+1,FALSE)</f>
        <v>ガチャ:クリスマス2015</v>
      </c>
      <c r="D285" s="24" t="str">
        <f ca="1">VLOOKUP($A285,OFFSET([2]characters!$A$1,0,0,COUNTA([2]characters!$A:$A),MATCH(D$1,[2]characters!$1:$1,0)-MATCH($A$1,[2]characters!$1:$1,0)+1),MATCH(D$1,[2]characters!$1:$1,0)-MATCH($A$1,[2]characters!$1:$1,0)+1,FALSE)</f>
        <v>執行者</v>
      </c>
      <c r="E285" s="24" t="str">
        <f ca="1">VLOOKUP($A285,OFFSET([2]characters!$A$1,0,0,COUNTA([2]characters!$A:$A),MATCH(E$1,[2]characters!$1:$1,0)-MATCH($A$1,[2]characters!$1:$1,0)+1),MATCH(E$1,[2]characters!$1:$1,0)-MATCH($A$1,[2]characters!$1:$1,0)+1,FALSE)</f>
        <v>格好いい</v>
      </c>
      <c r="F285" s="24" t="str">
        <f ca="1">VLOOKUP($A285,OFFSET([2]characters!$A$1,0,0,COUNTA([2]characters!$A:$A),MATCH(F$1,[2]characters!$1:$1,0)-MATCH($A$1,[2]characters!$1:$1,0)+1),MATCH(F$1,[2]characters!$1:$1,0)-MATCH($A$1,[2]characters!$1:$1,0)+1,FALSE)</f>
        <v>男性</v>
      </c>
      <c r="G285" s="24">
        <f ca="1">VLOOKUP($A285,OFFSET([2]characters!$A$1,0,0,COUNTA([2]characters!$A:$A),MATCH(G$1,[2]characters!$1:$1,0)-MATCH($A$1,[2]characters!$1:$1,0)+1),MATCH(G$1,[2]characters!$1:$1,0)-MATCH($A$1,[2]characters!$1:$1,0)+1,FALSE)</f>
        <v>4</v>
      </c>
      <c r="H285" s="24" t="str">
        <f ca="1">VLOOKUP($A285,OFFSET([2]characters!$A$1,0,0,COUNTA([2]characters!$A:$A),MATCH(H$1,[2]characters!$1:$1,0)-MATCH($A$1,[2]characters!$1:$1,0)+1),MATCH(H$1,[2]characters!$1:$1,0)-MATCH($A$1,[2]characters!$1:$1,0)+1,FALSE)</f>
        <v>PremiumS</v>
      </c>
      <c r="I285" s="24" t="str">
        <f ca="1">VLOOKUP($A285,OFFSET([2]characters!$A$1,0,0,COUNTA([2]characters!$A:$A),MATCH(I$1,[2]characters!$1:$1,0)-MATCH($A$1,[2]characters!$1:$1,0)+1),MATCH(I$1,[2]characters!$1:$1,0)-MATCH($A$1,[2]characters!$1:$1,0)+1,FALSE)</f>
        <v>red</v>
      </c>
      <c r="J285" s="24" t="str">
        <f ca="1">VLOOKUP($A285,OFFSET([2]characters!$A$1,0,0,COUNTA([2]characters!$A:$A),MATCH(J$1,[2]characters!$1:$1,0)-MATCH($A$1,[2]characters!$1:$1,0)+1),MATCH(J$1,[2]characters!$1:$1,0)-MATCH($A$1,[2]characters!$1:$1,0)+1,FALSE)</f>
        <v>none</v>
      </c>
      <c r="K285" s="3" t="str">
        <f ca="1">VLOOKUP(J285,[2]character_tribe_i18n!$A:$H,3,FALSE)</f>
        <v>種族なし</v>
      </c>
      <c r="L285" s="5" t="e">
        <f>VLOOKUP(#REF!,[2]character_tribe_i18n!$A:$H,4,FALSE)</f>
        <v>#REF!</v>
      </c>
      <c r="M285" s="5" t="e">
        <f>VLOOKUP(#REF!,[2]character_tribe_i18n!$A:$H,5,FALSE)</f>
        <v>#REF!</v>
      </c>
      <c r="N285" s="5" t="e">
        <f>VLOOKUP(#REF!,[2]character_tribe_i18n!$A:$H,6,FALSE)</f>
        <v>#REF!</v>
      </c>
      <c r="O285" s="5" t="e">
        <f>VLOOKUP(#REF!,[2]character_tribe_i18n!$A:$H,7,FALSE)</f>
        <v>#REF!</v>
      </c>
      <c r="P285" s="83" t="s">
        <v>170</v>
      </c>
      <c r="Q285">
        <v>513</v>
      </c>
      <c r="R285" s="25" t="str">
        <f ca="1">IF(Q285="NULL","",VLOOKUP($Q285,OFFSET([2]characters!$A$1,0,0,COUNTA([2]characters!$A:$A),MATCH(R$1,[2]characters!$1:$1,0)-MATCH($A$1,[2]characters!$1:$1,0)+1),MATCH(R$1,[2]characters!$1:$1,0)-MATCH($A$1,[2]characters!$1:$1,0)+1,FALSE))</f>
        <v>爆進の荷炎 クリスマス・ベリアル</v>
      </c>
      <c r="S285" s="3">
        <f t="shared" ca="1" si="5"/>
        <v>512</v>
      </c>
      <c r="T285" s="25" t="str">
        <f ca="1">VLOOKUP($S285,OFFSET([2]characters!$A$1,0,0,COUNTA([2]characters!$A:$A),MATCH(T$1,[2]characters!$1:$1,0)-MATCH($A$1,[2]characters!$1:$1,0)+1),MATCH(T$1,[2]characters!$1:$1,0)-MATCH($A$1,[2]characters!$1:$1,0)+1,FALSE)</f>
        <v>聖火の逆徒 クリスマス・ベリアル</v>
      </c>
      <c r="U285" s="5">
        <f ca="1">IF(Q285="NULL","NULL",VLOOKUP(G285,ビット!$A$2:$B$7,2))</f>
        <v>50000</v>
      </c>
      <c r="V285">
        <v>50000</v>
      </c>
      <c r="W285" s="6" t="str">
        <f t="shared" ca="1" si="6"/>
        <v>TRUE</v>
      </c>
    </row>
    <row r="286" spans="1:23" ht="21" customHeight="1" x14ac:dyDescent="0.15">
      <c r="A286" s="84">
        <v>514</v>
      </c>
      <c r="B286" s="24" t="str">
        <f ca="1">VLOOKUP($A286,OFFSET([2]characters!$A$1,0,0,COUNTA([2]characters!$A:$A),MATCH(B$1,[2]characters!$1:$1,0)-MATCH($A$1,[2]characters!$1:$1,0)+1),MATCH(B$1,[2]characters!$1:$1,0)-MATCH($A$1,[2]characters!$1:$1,0)+1,FALSE)</f>
        <v>祝宴の識徒 サンタクロース・オセ</v>
      </c>
      <c r="C286" s="24" t="str">
        <f ca="1">VLOOKUP($A286,OFFSET([2]characters!$A$1,0,0,COUNTA([2]characters!$A:$A),MATCH(C$1,[2]characters!$1:$1,0)-MATCH($A$1,[2]characters!$1:$1,0)+1),MATCH(C$1,[2]characters!$1:$1,0)-MATCH($A$1,[2]characters!$1:$1,0)+1,FALSE)</f>
        <v>ガチャ:クリスマス2015</v>
      </c>
      <c r="D286" s="24" t="str">
        <f ca="1">VLOOKUP($A286,OFFSET([2]characters!$A$1,0,0,COUNTA([2]characters!$A:$A),MATCH(D$1,[2]characters!$1:$1,0)-MATCH($A$1,[2]characters!$1:$1,0)+1),MATCH(D$1,[2]characters!$1:$1,0)-MATCH($A$1,[2]characters!$1:$1,0)+1,FALSE)</f>
        <v>執行者</v>
      </c>
      <c r="E286" s="24" t="str">
        <f ca="1">VLOOKUP($A286,OFFSET([2]characters!$A$1,0,0,COUNTA([2]characters!$A:$A),MATCH(E$1,[2]characters!$1:$1,0)-MATCH($A$1,[2]characters!$1:$1,0)+1),MATCH(E$1,[2]characters!$1:$1,0)-MATCH($A$1,[2]characters!$1:$1,0)+1,FALSE)</f>
        <v>格好いい</v>
      </c>
      <c r="F286" s="24" t="str">
        <f ca="1">VLOOKUP($A286,OFFSET([2]characters!$A$1,0,0,COUNTA([2]characters!$A:$A),MATCH(F$1,[2]characters!$1:$1,0)-MATCH($A$1,[2]characters!$1:$1,0)+1),MATCH(F$1,[2]characters!$1:$1,0)-MATCH($A$1,[2]characters!$1:$1,0)+1,FALSE)</f>
        <v>女性</v>
      </c>
      <c r="G286" s="24">
        <f ca="1">VLOOKUP($A286,OFFSET([2]characters!$A$1,0,0,COUNTA([2]characters!$A:$A),MATCH(G$1,[2]characters!$1:$1,0)-MATCH($A$1,[2]characters!$1:$1,0)+1),MATCH(G$1,[2]characters!$1:$1,0)-MATCH($A$1,[2]characters!$1:$1,0)+1,FALSE)</f>
        <v>4</v>
      </c>
      <c r="H286" s="24" t="str">
        <f ca="1">VLOOKUP($A286,OFFSET([2]characters!$A$1,0,0,COUNTA([2]characters!$A:$A),MATCH(H$1,[2]characters!$1:$1,0)-MATCH($A$1,[2]characters!$1:$1,0)+1),MATCH(H$1,[2]characters!$1:$1,0)-MATCH($A$1,[2]characters!$1:$1,0)+1,FALSE)</f>
        <v>PremiumS</v>
      </c>
      <c r="I286" s="24" t="str">
        <f ca="1">VLOOKUP($A286,OFFSET([2]characters!$A$1,0,0,COUNTA([2]characters!$A:$A),MATCH(I$1,[2]characters!$1:$1,0)-MATCH($A$1,[2]characters!$1:$1,0)+1),MATCH(I$1,[2]characters!$1:$1,0)-MATCH($A$1,[2]characters!$1:$1,0)+1,FALSE)</f>
        <v>green</v>
      </c>
      <c r="J286" s="24" t="str">
        <f ca="1">VLOOKUP($A286,OFFSET([2]characters!$A$1,0,0,COUNTA([2]characters!$A:$A),MATCH(J$1,[2]characters!$1:$1,0)-MATCH($A$1,[2]characters!$1:$1,0)+1),MATCH(J$1,[2]characters!$1:$1,0)-MATCH($A$1,[2]characters!$1:$1,0)+1,FALSE)</f>
        <v>none</v>
      </c>
      <c r="K286" s="3" t="str">
        <f ca="1">VLOOKUP(J286,[2]character_tribe_i18n!$A:$H,3,FALSE)</f>
        <v>種族なし</v>
      </c>
      <c r="L286" s="5" t="e">
        <f>VLOOKUP(#REF!,[2]character_tribe_i18n!$A:$H,4,FALSE)</f>
        <v>#REF!</v>
      </c>
      <c r="M286" s="5" t="e">
        <f>VLOOKUP(#REF!,[2]character_tribe_i18n!$A:$H,5,FALSE)</f>
        <v>#REF!</v>
      </c>
      <c r="N286" s="5" t="e">
        <f>VLOOKUP(#REF!,[2]character_tribe_i18n!$A:$H,6,FALSE)</f>
        <v>#REF!</v>
      </c>
      <c r="O286" s="5" t="e">
        <f>VLOOKUP(#REF!,[2]character_tribe_i18n!$A:$H,7,FALSE)</f>
        <v>#REF!</v>
      </c>
      <c r="P286" s="83" t="s">
        <v>170</v>
      </c>
      <c r="Q286">
        <v>515</v>
      </c>
      <c r="R286" s="25" t="str">
        <f ca="1">IF(Q286="NULL","",VLOOKUP($Q286,OFFSET([2]characters!$A$1,0,0,COUNTA([2]characters!$A:$A),MATCH(R$1,[2]characters!$1:$1,0)-MATCH($A$1,[2]characters!$1:$1,0)+1),MATCH(R$1,[2]characters!$1:$1,0)-MATCH($A$1,[2]characters!$1:$1,0)+1,FALSE))</f>
        <v>聖夜の贈主 サンタクロース・オセ</v>
      </c>
      <c r="S286" s="3">
        <f t="shared" ca="1" si="5"/>
        <v>514</v>
      </c>
      <c r="T286" s="25" t="str">
        <f ca="1">VLOOKUP($S286,OFFSET([2]characters!$A$1,0,0,COUNTA([2]characters!$A:$A),MATCH(T$1,[2]characters!$1:$1,0)-MATCH($A$1,[2]characters!$1:$1,0)+1),MATCH(T$1,[2]characters!$1:$1,0)-MATCH($A$1,[2]characters!$1:$1,0)+1,FALSE)</f>
        <v>祝宴の識徒 サンタクロース・オセ</v>
      </c>
      <c r="U286" s="5">
        <f ca="1">IF(Q286="NULL","NULL",VLOOKUP(G286,ビット!$A$2:$B$7,2))</f>
        <v>50000</v>
      </c>
      <c r="V286">
        <v>50000</v>
      </c>
      <c r="W286" s="6" t="str">
        <f t="shared" ca="1" si="6"/>
        <v>TRUE</v>
      </c>
    </row>
    <row r="287" spans="1:23" ht="21" customHeight="1" x14ac:dyDescent="0.15">
      <c r="A287" s="84">
        <v>516</v>
      </c>
      <c r="B287" s="24" t="str">
        <f ca="1">VLOOKUP($A287,OFFSET([2]characters!$A$1,0,0,COUNTA([2]characters!$A:$A),MATCH(B$1,[2]characters!$1:$1,0)-MATCH($A$1,[2]characters!$1:$1,0)+1),MATCH(B$1,[2]characters!$1:$1,0)-MATCH($A$1,[2]characters!$1:$1,0)+1,FALSE)</f>
        <v>聖母 マリア</v>
      </c>
      <c r="C287" s="24" t="str">
        <f ca="1">VLOOKUP($A287,OFFSET([2]characters!$A$1,0,0,COUNTA([2]characters!$A:$A),MATCH(C$1,[2]characters!$1:$1,0)-MATCH($A$1,[2]characters!$1:$1,0)+1),MATCH(C$1,[2]characters!$1:$1,0)-MATCH($A$1,[2]characters!$1:$1,0)+1,FALSE)</f>
        <v>ガチャ:クリスマス2015</v>
      </c>
      <c r="D287" s="24" t="str">
        <f ca="1">VLOOKUP($A287,OFFSET([2]characters!$A$1,0,0,COUNTA([2]characters!$A:$A),MATCH(D$1,[2]characters!$1:$1,0)-MATCH($A$1,[2]characters!$1:$1,0)+1),MATCH(D$1,[2]characters!$1:$1,0)-MATCH($A$1,[2]characters!$1:$1,0)+1,FALSE)</f>
        <v>執行者</v>
      </c>
      <c r="E287" s="24" t="str">
        <f ca="1">VLOOKUP($A287,OFFSET([2]characters!$A$1,0,0,COUNTA([2]characters!$A:$A),MATCH(E$1,[2]characters!$1:$1,0)-MATCH($A$1,[2]characters!$1:$1,0)+1),MATCH(E$1,[2]characters!$1:$1,0)-MATCH($A$1,[2]characters!$1:$1,0)+1,FALSE)</f>
        <v>格好いい</v>
      </c>
      <c r="F287" s="24" t="str">
        <f ca="1">VLOOKUP($A287,OFFSET([2]characters!$A$1,0,0,COUNTA([2]characters!$A:$A),MATCH(F$1,[2]characters!$1:$1,0)-MATCH($A$1,[2]characters!$1:$1,0)+1),MATCH(F$1,[2]characters!$1:$1,0)-MATCH($A$1,[2]characters!$1:$1,0)+1,FALSE)</f>
        <v>女性</v>
      </c>
      <c r="G287" s="24">
        <f ca="1">VLOOKUP($A287,OFFSET([2]characters!$A$1,0,0,COUNTA([2]characters!$A:$A),MATCH(G$1,[2]characters!$1:$1,0)-MATCH($A$1,[2]characters!$1:$1,0)+1),MATCH(G$1,[2]characters!$1:$1,0)-MATCH($A$1,[2]characters!$1:$1,0)+1,FALSE)</f>
        <v>4</v>
      </c>
      <c r="H287" s="24" t="str">
        <f ca="1">VLOOKUP($A287,OFFSET([2]characters!$A$1,0,0,COUNTA([2]characters!$A:$A),MATCH(H$1,[2]characters!$1:$1,0)-MATCH($A$1,[2]characters!$1:$1,0)+1),MATCH(H$1,[2]characters!$1:$1,0)-MATCH($A$1,[2]characters!$1:$1,0)+1,FALSE)</f>
        <v>PremiumSS</v>
      </c>
      <c r="I287" s="24" t="str">
        <f ca="1">VLOOKUP($A287,OFFSET([2]characters!$A$1,0,0,COUNTA([2]characters!$A:$A),MATCH(I$1,[2]characters!$1:$1,0)-MATCH($A$1,[2]characters!$1:$1,0)+1),MATCH(I$1,[2]characters!$1:$1,0)-MATCH($A$1,[2]characters!$1:$1,0)+1,FALSE)</f>
        <v>blue</v>
      </c>
      <c r="J287" s="24" t="str">
        <f ca="1">VLOOKUP($A287,OFFSET([2]characters!$A$1,0,0,COUNTA([2]characters!$A:$A),MATCH(J$1,[2]characters!$1:$1,0)-MATCH($A$1,[2]characters!$1:$1,0)+1),MATCH(J$1,[2]characters!$1:$1,0)-MATCH($A$1,[2]characters!$1:$1,0)+1,FALSE)</f>
        <v>none</v>
      </c>
      <c r="K287" s="3" t="str">
        <f ca="1">VLOOKUP(J287,[2]character_tribe_i18n!$A:$H,3,FALSE)</f>
        <v>種族なし</v>
      </c>
      <c r="L287" s="5" t="e">
        <f>VLOOKUP(#REF!,[2]character_tribe_i18n!$A:$H,4,FALSE)</f>
        <v>#REF!</v>
      </c>
      <c r="M287" s="5" t="e">
        <f>VLOOKUP(#REF!,[2]character_tribe_i18n!$A:$H,5,FALSE)</f>
        <v>#REF!</v>
      </c>
      <c r="N287" s="5" t="e">
        <f>VLOOKUP(#REF!,[2]character_tribe_i18n!$A:$H,6,FALSE)</f>
        <v>#REF!</v>
      </c>
      <c r="O287" s="5" t="e">
        <f>VLOOKUP(#REF!,[2]character_tribe_i18n!$A:$H,7,FALSE)</f>
        <v>#REF!</v>
      </c>
      <c r="P287" s="83" t="s">
        <v>170</v>
      </c>
      <c r="Q287">
        <v>517</v>
      </c>
      <c r="R287" s="25" t="str">
        <f ca="1">IF(Q287="NULL","",VLOOKUP($Q287,OFFSET([2]characters!$A$1,0,0,COUNTA([2]characters!$A:$A),MATCH(R$1,[2]characters!$1:$1,0)-MATCH($A$1,[2]characters!$1:$1,0)+1),MATCH(R$1,[2]characters!$1:$1,0)-MATCH($A$1,[2]characters!$1:$1,0)+1,FALSE))</f>
        <v>真冬の誕生祭 マリア</v>
      </c>
      <c r="S287" s="3">
        <f t="shared" ca="1" si="5"/>
        <v>516</v>
      </c>
      <c r="T287" s="25" t="str">
        <f ca="1">VLOOKUP($S287,OFFSET([2]characters!$A$1,0,0,COUNTA([2]characters!$A:$A),MATCH(T$1,[2]characters!$1:$1,0)-MATCH($A$1,[2]characters!$1:$1,0)+1),MATCH(T$1,[2]characters!$1:$1,0)-MATCH($A$1,[2]characters!$1:$1,0)+1,FALSE)</f>
        <v>聖母 マリア</v>
      </c>
      <c r="U287" s="5">
        <f ca="1">IF(Q287="NULL","NULL",VLOOKUP(G287,ビット!$A$2:$B$7,2))</f>
        <v>50000</v>
      </c>
      <c r="V287">
        <v>50000</v>
      </c>
      <c r="W287" s="6" t="str">
        <f t="shared" ca="1" si="6"/>
        <v>TRUE</v>
      </c>
    </row>
    <row r="288" spans="1:23" ht="21" customHeight="1" x14ac:dyDescent="0.15">
      <c r="A288" s="84">
        <v>518</v>
      </c>
      <c r="B288" s="24" t="str">
        <f ca="1">VLOOKUP($A288,OFFSET([2]characters!$A$1,0,0,COUNTA([2]characters!$A:$A),MATCH(B$1,[2]characters!$1:$1,0)-MATCH($A$1,[2]characters!$1:$1,0)+1),MATCH(B$1,[2]characters!$1:$1,0)-MATCH($A$1,[2]characters!$1:$1,0)+1,FALSE)</f>
        <v>秘来の聖天使 ミカエル</v>
      </c>
      <c r="C288" s="24" t="str">
        <f ca="1">VLOOKUP($A288,OFFSET([2]characters!$A$1,0,0,COUNTA([2]characters!$A:$A),MATCH(C$1,[2]characters!$1:$1,0)-MATCH($A$1,[2]characters!$1:$1,0)+1),MATCH(C$1,[2]characters!$1:$1,0)-MATCH($A$1,[2]characters!$1:$1,0)+1,FALSE)</f>
        <v>ガチャ:クリスマス2015</v>
      </c>
      <c r="D288" s="24" t="str">
        <f ca="1">VLOOKUP($A288,OFFSET([2]characters!$A$1,0,0,COUNTA([2]characters!$A:$A),MATCH(D$1,[2]characters!$1:$1,0)-MATCH($A$1,[2]characters!$1:$1,0)+1),MATCH(D$1,[2]characters!$1:$1,0)-MATCH($A$1,[2]characters!$1:$1,0)+1,FALSE)</f>
        <v>執行者</v>
      </c>
      <c r="E288" s="24" t="str">
        <f ca="1">VLOOKUP($A288,OFFSET([2]characters!$A$1,0,0,COUNTA([2]characters!$A:$A),MATCH(E$1,[2]characters!$1:$1,0)-MATCH($A$1,[2]characters!$1:$1,0)+1),MATCH(E$1,[2]characters!$1:$1,0)-MATCH($A$1,[2]characters!$1:$1,0)+1,FALSE)</f>
        <v>格好いい</v>
      </c>
      <c r="F288" s="24" t="str">
        <f ca="1">VLOOKUP($A288,OFFSET([2]characters!$A$1,0,0,COUNTA([2]characters!$A:$A),MATCH(F$1,[2]characters!$1:$1,0)-MATCH($A$1,[2]characters!$1:$1,0)+1),MATCH(F$1,[2]characters!$1:$1,0)-MATCH($A$1,[2]characters!$1:$1,0)+1,FALSE)</f>
        <v>女性</v>
      </c>
      <c r="G288" s="24">
        <f ca="1">VLOOKUP($A288,OFFSET([2]characters!$A$1,0,0,COUNTA([2]characters!$A:$A),MATCH(G$1,[2]characters!$1:$1,0)-MATCH($A$1,[2]characters!$1:$1,0)+1),MATCH(G$1,[2]characters!$1:$1,0)-MATCH($A$1,[2]characters!$1:$1,0)+1,FALSE)</f>
        <v>4</v>
      </c>
      <c r="H288" s="24" t="str">
        <f ca="1">VLOOKUP($A288,OFFSET([2]characters!$A$1,0,0,COUNTA([2]characters!$A:$A),MATCH(H$1,[2]characters!$1:$1,0)-MATCH($A$1,[2]characters!$1:$1,0)+1),MATCH(H$1,[2]characters!$1:$1,0)-MATCH($A$1,[2]characters!$1:$1,0)+1,FALSE)</f>
        <v>PremiumS</v>
      </c>
      <c r="I288" s="24" t="str">
        <f ca="1">VLOOKUP($A288,OFFSET([2]characters!$A$1,0,0,COUNTA([2]characters!$A:$A),MATCH(I$1,[2]characters!$1:$1,0)-MATCH($A$1,[2]characters!$1:$1,0)+1),MATCH(I$1,[2]characters!$1:$1,0)-MATCH($A$1,[2]characters!$1:$1,0)+1,FALSE)</f>
        <v>yellow</v>
      </c>
      <c r="J288" s="24" t="str">
        <f ca="1">VLOOKUP($A288,OFFSET([2]characters!$A$1,0,0,COUNTA([2]characters!$A:$A),MATCH(J$1,[2]characters!$1:$1,0)-MATCH($A$1,[2]characters!$1:$1,0)+1),MATCH(J$1,[2]characters!$1:$1,0)-MATCH($A$1,[2]characters!$1:$1,0)+1,FALSE)</f>
        <v>machine</v>
      </c>
      <c r="K288" s="3" t="str">
        <f ca="1">VLOOKUP(J288,[2]character_tribe_i18n!$A:$H,3,FALSE)</f>
        <v>マシン</v>
      </c>
      <c r="L288" s="5" t="e">
        <f>VLOOKUP(#REF!,[2]character_tribe_i18n!$A:$H,4,FALSE)</f>
        <v>#REF!</v>
      </c>
      <c r="M288" s="5" t="e">
        <f>VLOOKUP(#REF!,[2]character_tribe_i18n!$A:$H,5,FALSE)</f>
        <v>#REF!</v>
      </c>
      <c r="N288" s="5" t="e">
        <f>VLOOKUP(#REF!,[2]character_tribe_i18n!$A:$H,6,FALSE)</f>
        <v>#REF!</v>
      </c>
      <c r="O288" s="5" t="e">
        <f>VLOOKUP(#REF!,[2]character_tribe_i18n!$A:$H,7,FALSE)</f>
        <v>#REF!</v>
      </c>
      <c r="P288" s="83" t="s">
        <v>170</v>
      </c>
      <c r="Q288">
        <v>519</v>
      </c>
      <c r="R288" s="25" t="str">
        <f ca="1">IF(Q288="NULL","",VLOOKUP($Q288,OFFSET([2]characters!$A$1,0,0,COUNTA([2]characters!$A:$A),MATCH(R$1,[2]characters!$1:$1,0)-MATCH($A$1,[2]characters!$1:$1,0)+1),MATCH(R$1,[2]characters!$1:$1,0)-MATCH($A$1,[2]characters!$1:$1,0)+1,FALSE))</f>
        <v>夜天の聖天使 ミカエル・ハレルヤ</v>
      </c>
      <c r="S288" s="3">
        <f t="shared" ca="1" si="5"/>
        <v>518</v>
      </c>
      <c r="T288" s="25" t="str">
        <f ca="1">VLOOKUP($S288,OFFSET([2]characters!$A$1,0,0,COUNTA([2]characters!$A:$A),MATCH(T$1,[2]characters!$1:$1,0)-MATCH($A$1,[2]characters!$1:$1,0)+1),MATCH(T$1,[2]characters!$1:$1,0)-MATCH($A$1,[2]characters!$1:$1,0)+1,FALSE)</f>
        <v>秘来の聖天使 ミカエル</v>
      </c>
      <c r="U288" s="5">
        <f ca="1">IF(Q288="NULL","NULL",VLOOKUP(G288,ビット!$A$2:$B$7,2))</f>
        <v>50000</v>
      </c>
      <c r="V288">
        <v>50000</v>
      </c>
      <c r="W288" s="6" t="str">
        <f t="shared" ca="1" si="6"/>
        <v>TRUE</v>
      </c>
    </row>
    <row r="289" spans="1:23" ht="21" customHeight="1" x14ac:dyDescent="0.15">
      <c r="A289" s="84">
        <v>527</v>
      </c>
      <c r="B289" s="24" t="str">
        <f ca="1">VLOOKUP($A289,OFFSET([2]characters!$A$1,0,0,COUNTA([2]characters!$A:$A),MATCH(B$1,[2]characters!$1:$1,0)-MATCH($A$1,[2]characters!$1:$1,0)+1),MATCH(B$1,[2]characters!$1:$1,0)-MATCH($A$1,[2]characters!$1:$1,0)+1,FALSE)</f>
        <v>初音ミクV3</v>
      </c>
      <c r="C289" s="24" t="str">
        <f ca="1">VLOOKUP($A289,OFFSET([2]characters!$A$1,0,0,COUNTA([2]characters!$A:$A),MATCH(C$1,[2]characters!$1:$1,0)-MATCH($A$1,[2]characters!$1:$1,0)+1),MATCH(C$1,[2]characters!$1:$1,0)-MATCH($A$1,[2]characters!$1:$1,0)+1,FALSE)</f>
        <v>イベント:ミクコラボ01</v>
      </c>
      <c r="D289" s="24" t="str">
        <f ca="1">VLOOKUP($A289,OFFSET([2]characters!$A$1,0,0,COUNTA([2]characters!$A:$A),MATCH(D$1,[2]characters!$1:$1,0)-MATCH($A$1,[2]characters!$1:$1,0)+1),MATCH(D$1,[2]characters!$1:$1,0)-MATCH($A$1,[2]characters!$1:$1,0)+1,FALSE)</f>
        <v>執行者</v>
      </c>
      <c r="E289" s="24" t="str">
        <f ca="1">VLOOKUP($A289,OFFSET([2]characters!$A$1,0,0,COUNTA([2]characters!$A:$A),MATCH(E$1,[2]characters!$1:$1,0)-MATCH($A$1,[2]characters!$1:$1,0)+1),MATCH(E$1,[2]characters!$1:$1,0)-MATCH($A$1,[2]characters!$1:$1,0)+1,FALSE)</f>
        <v>格好いい</v>
      </c>
      <c r="F289" s="24" t="str">
        <f ca="1">VLOOKUP($A289,OFFSET([2]characters!$A$1,0,0,COUNTA([2]characters!$A:$A),MATCH(F$1,[2]characters!$1:$1,0)-MATCH($A$1,[2]characters!$1:$1,0)+1),MATCH(F$1,[2]characters!$1:$1,0)-MATCH($A$1,[2]characters!$1:$1,0)+1,FALSE)</f>
        <v>女性</v>
      </c>
      <c r="G289" s="24">
        <f ca="1">VLOOKUP($A289,OFFSET([2]characters!$A$1,0,0,COUNTA([2]characters!$A:$A),MATCH(G$1,[2]characters!$1:$1,0)-MATCH($A$1,[2]characters!$1:$1,0)+1),MATCH(G$1,[2]characters!$1:$1,0)-MATCH($A$1,[2]characters!$1:$1,0)+1,FALSE)</f>
        <v>4</v>
      </c>
      <c r="H289" s="24" t="str">
        <f ca="1">VLOOKUP($A289,OFFSET([2]characters!$A$1,0,0,COUNTA([2]characters!$A:$A),MATCH(H$1,[2]characters!$1:$1,0)-MATCH($A$1,[2]characters!$1:$1,0)+1),MATCH(H$1,[2]characters!$1:$1,0)-MATCH($A$1,[2]characters!$1:$1,0)+1,FALSE)</f>
        <v>DropWizS</v>
      </c>
      <c r="I289" s="24" t="str">
        <f ca="1">VLOOKUP($A289,OFFSET([2]characters!$A$1,0,0,COUNTA([2]characters!$A:$A),MATCH(I$1,[2]characters!$1:$1,0)-MATCH($A$1,[2]characters!$1:$1,0)+1),MATCH(I$1,[2]characters!$1:$1,0)-MATCH($A$1,[2]characters!$1:$1,0)+1,FALSE)</f>
        <v>yellow</v>
      </c>
      <c r="J289" s="24" t="str">
        <f ca="1">VLOOKUP($A289,OFFSET([2]characters!$A$1,0,0,COUNTA([2]characters!$A:$A),MATCH(J$1,[2]characters!$1:$1,0)-MATCH($A$1,[2]characters!$1:$1,0)+1),MATCH(J$1,[2]characters!$1:$1,0)-MATCH($A$1,[2]characters!$1:$1,0)+1,FALSE)</f>
        <v>none</v>
      </c>
      <c r="K289" s="3" t="str">
        <f ca="1">VLOOKUP(J289,[2]character_tribe_i18n!$A:$H,3,FALSE)</f>
        <v>種族なし</v>
      </c>
      <c r="L289" s="5" t="e">
        <f>VLOOKUP(#REF!,[2]character_tribe_i18n!$A:$H,4,FALSE)</f>
        <v>#REF!</v>
      </c>
      <c r="M289" s="5" t="e">
        <f>VLOOKUP(#REF!,[2]character_tribe_i18n!$A:$H,5,FALSE)</f>
        <v>#REF!</v>
      </c>
      <c r="N289" s="5" t="e">
        <f>VLOOKUP(#REF!,[2]character_tribe_i18n!$A:$H,6,FALSE)</f>
        <v>#REF!</v>
      </c>
      <c r="O289" s="5" t="e">
        <f>VLOOKUP(#REF!,[2]character_tribe_i18n!$A:$H,7,FALSE)</f>
        <v>#REF!</v>
      </c>
      <c r="P289" s="83" t="s">
        <v>170</v>
      </c>
      <c r="Q289">
        <v>528</v>
      </c>
      <c r="R289" s="25" t="str">
        <f ca="1">IF(Q289="NULL","",VLOOKUP($Q289,OFFSET([2]characters!$A$1,0,0,COUNTA([2]characters!$A:$A),MATCH(R$1,[2]characters!$1:$1,0)-MATCH($A$1,[2]characters!$1:$1,0)+1),MATCH(R$1,[2]characters!$1:$1,0)-MATCH($A$1,[2]characters!$1:$1,0)+1,FALSE))</f>
        <v>新世の歌姫 初音ミクV3</v>
      </c>
      <c r="S289" s="3">
        <f t="shared" ca="1" si="5"/>
        <v>527</v>
      </c>
      <c r="T289" s="25" t="str">
        <f ca="1">VLOOKUP($S289,OFFSET([2]characters!$A$1,0,0,COUNTA([2]characters!$A:$A),MATCH(T$1,[2]characters!$1:$1,0)-MATCH($A$1,[2]characters!$1:$1,0)+1),MATCH(T$1,[2]characters!$1:$1,0)-MATCH($A$1,[2]characters!$1:$1,0)+1,FALSE)</f>
        <v>初音ミクV3</v>
      </c>
      <c r="U289" s="5">
        <f ca="1">IF(Q289="NULL","NULL",VLOOKUP(G289,ビット!$A$2:$B$7,2))</f>
        <v>50000</v>
      </c>
      <c r="V289">
        <v>50000</v>
      </c>
      <c r="W289" s="6" t="str">
        <f t="shared" ca="1" si="6"/>
        <v>TRUE</v>
      </c>
    </row>
    <row r="290" spans="1:23" ht="21" customHeight="1" x14ac:dyDescent="0.15">
      <c r="A290" s="84">
        <v>539</v>
      </c>
      <c r="B290" s="24" t="str">
        <f ca="1">VLOOKUP($A290,OFFSET([2]characters!$A$1,0,0,COUNTA([2]characters!$A:$A),MATCH(B$1,[2]characters!$1:$1,0)-MATCH($A$1,[2]characters!$1:$1,0)+1),MATCH(B$1,[2]characters!$1:$1,0)-MATCH($A$1,[2]characters!$1:$1,0)+1,FALSE)</f>
        <v>初音ミク・アペンド</v>
      </c>
      <c r="C290" s="24" t="str">
        <f ca="1">VLOOKUP($A290,OFFSET([2]characters!$A$1,0,0,COUNTA([2]characters!$A:$A),MATCH(C$1,[2]characters!$1:$1,0)-MATCH($A$1,[2]characters!$1:$1,0)+1),MATCH(C$1,[2]characters!$1:$1,0)-MATCH($A$1,[2]characters!$1:$1,0)+1,FALSE)</f>
        <v>ガチャ:ミクコラボ01</v>
      </c>
      <c r="D290" s="24" t="str">
        <f ca="1">VLOOKUP($A290,OFFSET([2]characters!$A$1,0,0,COUNTA([2]characters!$A:$A),MATCH(D$1,[2]characters!$1:$1,0)-MATCH($A$1,[2]characters!$1:$1,0)+1),MATCH(D$1,[2]characters!$1:$1,0)-MATCH($A$1,[2]characters!$1:$1,0)+1,FALSE)</f>
        <v>執行者</v>
      </c>
      <c r="E290" s="24" t="str">
        <f ca="1">VLOOKUP($A290,OFFSET([2]characters!$A$1,0,0,COUNTA([2]characters!$A:$A),MATCH(E$1,[2]characters!$1:$1,0)-MATCH($A$1,[2]characters!$1:$1,0)+1),MATCH(E$1,[2]characters!$1:$1,0)-MATCH($A$1,[2]characters!$1:$1,0)+1,FALSE)</f>
        <v>格好いい</v>
      </c>
      <c r="F290" s="24" t="str">
        <f ca="1">VLOOKUP($A290,OFFSET([2]characters!$A$1,0,0,COUNTA([2]characters!$A:$A),MATCH(F$1,[2]characters!$1:$1,0)-MATCH($A$1,[2]characters!$1:$1,0)+1),MATCH(F$1,[2]characters!$1:$1,0)-MATCH($A$1,[2]characters!$1:$1,0)+1,FALSE)</f>
        <v>女性</v>
      </c>
      <c r="G290" s="24">
        <f ca="1">VLOOKUP($A290,OFFSET([2]characters!$A$1,0,0,COUNTA([2]characters!$A:$A),MATCH(G$1,[2]characters!$1:$1,0)-MATCH($A$1,[2]characters!$1:$1,0)+1),MATCH(G$1,[2]characters!$1:$1,0)-MATCH($A$1,[2]characters!$1:$1,0)+1,FALSE)</f>
        <v>4</v>
      </c>
      <c r="H290" s="24" t="str">
        <f ca="1">VLOOKUP($A290,OFFSET([2]characters!$A$1,0,0,COUNTA([2]characters!$A:$A),MATCH(H$1,[2]characters!$1:$1,0)-MATCH($A$1,[2]characters!$1:$1,0)+1),MATCH(H$1,[2]characters!$1:$1,0)-MATCH($A$1,[2]characters!$1:$1,0)+1,FALSE)</f>
        <v>PremiumSSS</v>
      </c>
      <c r="I290" s="24" t="str">
        <f ca="1">VLOOKUP($A290,OFFSET([2]characters!$A$1,0,0,COUNTA([2]characters!$A:$A),MATCH(I$1,[2]characters!$1:$1,0)-MATCH($A$1,[2]characters!$1:$1,0)+1),MATCH(I$1,[2]characters!$1:$1,0)-MATCH($A$1,[2]characters!$1:$1,0)+1,FALSE)</f>
        <v>green</v>
      </c>
      <c r="J290" s="24" t="str">
        <f ca="1">VLOOKUP($A290,OFFSET([2]characters!$A$1,0,0,COUNTA([2]characters!$A:$A),MATCH(J$1,[2]characters!$1:$1,0)-MATCH($A$1,[2]characters!$1:$1,0)+1),MATCH(J$1,[2]characters!$1:$1,0)-MATCH($A$1,[2]characters!$1:$1,0)+1,FALSE)</f>
        <v>none</v>
      </c>
      <c r="K290" s="3" t="str">
        <f ca="1">VLOOKUP(J290,[2]character_tribe_i18n!$A:$H,3,FALSE)</f>
        <v>種族なし</v>
      </c>
      <c r="L290" s="5" t="e">
        <f>VLOOKUP(#REF!,[2]character_tribe_i18n!$A:$H,4,FALSE)</f>
        <v>#REF!</v>
      </c>
      <c r="M290" s="5" t="e">
        <f>VLOOKUP(#REF!,[2]character_tribe_i18n!$A:$H,5,FALSE)</f>
        <v>#REF!</v>
      </c>
      <c r="N290" s="5" t="e">
        <f>VLOOKUP(#REF!,[2]character_tribe_i18n!$A:$H,6,FALSE)</f>
        <v>#REF!</v>
      </c>
      <c r="O290" s="5" t="e">
        <f>VLOOKUP(#REF!,[2]character_tribe_i18n!$A:$H,7,FALSE)</f>
        <v>#REF!</v>
      </c>
      <c r="P290" s="83" t="s">
        <v>170</v>
      </c>
      <c r="Q290">
        <v>540</v>
      </c>
      <c r="R290" s="25" t="str">
        <f ca="1">IF(Q290="NULL","",VLOOKUP($Q290,OFFSET([2]characters!$A$1,0,0,COUNTA([2]characters!$A:$A),MATCH(R$1,[2]characters!$1:$1,0)-MATCH($A$1,[2]characters!$1:$1,0)+1),MATCH(R$1,[2]characters!$1:$1,0)-MATCH($A$1,[2]characters!$1:$1,0)+1,FALSE))</f>
        <v>来訪の歌姫 初音ミク・アペンド</v>
      </c>
      <c r="S290" s="3">
        <f t="shared" ca="1" si="5"/>
        <v>539</v>
      </c>
      <c r="T290" s="25" t="str">
        <f ca="1">VLOOKUP($S290,OFFSET([2]characters!$A$1,0,0,COUNTA([2]characters!$A:$A),MATCH(T$1,[2]characters!$1:$1,0)-MATCH($A$1,[2]characters!$1:$1,0)+1),MATCH(T$1,[2]characters!$1:$1,0)-MATCH($A$1,[2]characters!$1:$1,0)+1,FALSE)</f>
        <v>初音ミク・アペンド</v>
      </c>
      <c r="U290" s="5">
        <f ca="1">IF(Q290="NULL","NULL",VLOOKUP(G290,ビット!$A$2:$B$7,2))</f>
        <v>50000</v>
      </c>
      <c r="V290">
        <v>50000</v>
      </c>
      <c r="W290" s="6" t="str">
        <f t="shared" ca="1" si="6"/>
        <v>TRUE</v>
      </c>
    </row>
    <row r="291" spans="1:23" ht="21" customHeight="1" x14ac:dyDescent="0.15">
      <c r="A291" s="84">
        <v>541</v>
      </c>
      <c r="B291" s="24" t="str">
        <f ca="1">VLOOKUP($A291,OFFSET([2]characters!$A$1,0,0,COUNTA([2]characters!$A:$A),MATCH(B$1,[2]characters!$1:$1,0)-MATCH($A$1,[2]characters!$1:$1,0)+1),MATCH(B$1,[2]characters!$1:$1,0)-MATCH($A$1,[2]characters!$1:$1,0)+1,FALSE)</f>
        <v>初音ミク</v>
      </c>
      <c r="C291" s="24" t="str">
        <f ca="1">VLOOKUP($A291,OFFSET([2]characters!$A$1,0,0,COUNTA([2]characters!$A:$A),MATCH(C$1,[2]characters!$1:$1,0)-MATCH($A$1,[2]characters!$1:$1,0)+1),MATCH(C$1,[2]characters!$1:$1,0)-MATCH($A$1,[2]characters!$1:$1,0)+1,FALSE)</f>
        <v>ガチャ:ミクコラボ01</v>
      </c>
      <c r="D291" s="24" t="str">
        <f ca="1">VLOOKUP($A291,OFFSET([2]characters!$A$1,0,0,COUNTA([2]characters!$A:$A),MATCH(D$1,[2]characters!$1:$1,0)-MATCH($A$1,[2]characters!$1:$1,0)+1),MATCH(D$1,[2]characters!$1:$1,0)-MATCH($A$1,[2]characters!$1:$1,0)+1,FALSE)</f>
        <v>執行者</v>
      </c>
      <c r="E291" s="24" t="str">
        <f ca="1">VLOOKUP($A291,OFFSET([2]characters!$A$1,0,0,COUNTA([2]characters!$A:$A),MATCH(E$1,[2]characters!$1:$1,0)-MATCH($A$1,[2]characters!$1:$1,0)+1),MATCH(E$1,[2]characters!$1:$1,0)-MATCH($A$1,[2]characters!$1:$1,0)+1,FALSE)</f>
        <v>格好いい</v>
      </c>
      <c r="F291" s="24" t="str">
        <f ca="1">VLOOKUP($A291,OFFSET([2]characters!$A$1,0,0,COUNTA([2]characters!$A:$A),MATCH(F$1,[2]characters!$1:$1,0)-MATCH($A$1,[2]characters!$1:$1,0)+1),MATCH(F$1,[2]characters!$1:$1,0)-MATCH($A$1,[2]characters!$1:$1,0)+1,FALSE)</f>
        <v>女性</v>
      </c>
      <c r="G291" s="24">
        <f ca="1">VLOOKUP($A291,OFFSET([2]characters!$A$1,0,0,COUNTA([2]characters!$A:$A),MATCH(G$1,[2]characters!$1:$1,0)-MATCH($A$1,[2]characters!$1:$1,0)+1),MATCH(G$1,[2]characters!$1:$1,0)-MATCH($A$1,[2]characters!$1:$1,0)+1,FALSE)</f>
        <v>4</v>
      </c>
      <c r="H291" s="24" t="str">
        <f ca="1">VLOOKUP($A291,OFFSET([2]characters!$A$1,0,0,COUNTA([2]characters!$A:$A),MATCH(H$1,[2]characters!$1:$1,0)-MATCH($A$1,[2]characters!$1:$1,0)+1),MATCH(H$1,[2]characters!$1:$1,0)-MATCH($A$1,[2]characters!$1:$1,0)+1,FALSE)</f>
        <v>PremiumSSS</v>
      </c>
      <c r="I291" s="24" t="str">
        <f ca="1">VLOOKUP($A291,OFFSET([2]characters!$A$1,0,0,COUNTA([2]characters!$A:$A),MATCH(I$1,[2]characters!$1:$1,0)-MATCH($A$1,[2]characters!$1:$1,0)+1),MATCH(I$1,[2]characters!$1:$1,0)-MATCH($A$1,[2]characters!$1:$1,0)+1,FALSE)</f>
        <v>green</v>
      </c>
      <c r="J291" s="24" t="str">
        <f ca="1">VLOOKUP($A291,OFFSET([2]characters!$A$1,0,0,COUNTA([2]characters!$A:$A),MATCH(J$1,[2]characters!$1:$1,0)-MATCH($A$1,[2]characters!$1:$1,0)+1),MATCH(J$1,[2]characters!$1:$1,0)-MATCH($A$1,[2]characters!$1:$1,0)+1,FALSE)</f>
        <v>none</v>
      </c>
      <c r="K291" s="3" t="str">
        <f ca="1">VLOOKUP(J291,[2]character_tribe_i18n!$A:$H,3,FALSE)</f>
        <v>種族なし</v>
      </c>
      <c r="L291" s="5" t="e">
        <f>VLOOKUP(#REF!,[2]character_tribe_i18n!$A:$H,4,FALSE)</f>
        <v>#REF!</v>
      </c>
      <c r="M291" s="5" t="e">
        <f>VLOOKUP(#REF!,[2]character_tribe_i18n!$A:$H,5,FALSE)</f>
        <v>#REF!</v>
      </c>
      <c r="N291" s="5" t="e">
        <f>VLOOKUP(#REF!,[2]character_tribe_i18n!$A:$H,6,FALSE)</f>
        <v>#REF!</v>
      </c>
      <c r="O291" s="5" t="e">
        <f>VLOOKUP(#REF!,[2]character_tribe_i18n!$A:$H,7,FALSE)</f>
        <v>#REF!</v>
      </c>
      <c r="P291" s="83" t="s">
        <v>170</v>
      </c>
      <c r="Q291">
        <v>542</v>
      </c>
      <c r="R291" s="25" t="str">
        <f ca="1">IF(Q291="NULL","",VLOOKUP($Q291,OFFSET([2]characters!$A$1,0,0,COUNTA([2]characters!$A:$A),MATCH(R$1,[2]characters!$1:$1,0)-MATCH($A$1,[2]characters!$1:$1,0)+1),MATCH(R$1,[2]characters!$1:$1,0)-MATCH($A$1,[2]characters!$1:$1,0)+1,FALSE))</f>
        <v>革命の音撃 初音ミク</v>
      </c>
      <c r="S291" s="3">
        <f t="shared" ca="1" si="5"/>
        <v>541</v>
      </c>
      <c r="T291" s="25" t="str">
        <f ca="1">VLOOKUP($S291,OFFSET([2]characters!$A$1,0,0,COUNTA([2]characters!$A:$A),MATCH(T$1,[2]characters!$1:$1,0)-MATCH($A$1,[2]characters!$1:$1,0)+1),MATCH(T$1,[2]characters!$1:$1,0)-MATCH($A$1,[2]characters!$1:$1,0)+1,FALSE)</f>
        <v>初音ミク</v>
      </c>
      <c r="U291" s="5">
        <f ca="1">IF(Q291="NULL","NULL",VLOOKUP(G291,ビット!$A$2:$B$7,2))</f>
        <v>50000</v>
      </c>
      <c r="V291">
        <v>50000</v>
      </c>
      <c r="W291" s="6" t="str">
        <f t="shared" ca="1" si="6"/>
        <v>TRUE</v>
      </c>
    </row>
    <row r="292" spans="1:23" ht="21" customHeight="1" x14ac:dyDescent="0.15">
      <c r="A292" s="84">
        <v>543</v>
      </c>
      <c r="B292" s="24" t="str">
        <f ca="1">VLOOKUP($A292,OFFSET([2]characters!$A$1,0,0,COUNTA([2]characters!$A:$A),MATCH(B$1,[2]characters!$1:$1,0)-MATCH($A$1,[2]characters!$1:$1,0)+1),MATCH(B$1,[2]characters!$1:$1,0)-MATCH($A$1,[2]characters!$1:$1,0)+1,FALSE)</f>
        <v>鏡音リン</v>
      </c>
      <c r="C292" s="24" t="str">
        <f ca="1">VLOOKUP($A292,OFFSET([2]characters!$A$1,0,0,COUNTA([2]characters!$A:$A),MATCH(C$1,[2]characters!$1:$1,0)-MATCH($A$1,[2]characters!$1:$1,0)+1),MATCH(C$1,[2]characters!$1:$1,0)-MATCH($A$1,[2]characters!$1:$1,0)+1,FALSE)</f>
        <v>ガチャ:ミクコラボ01</v>
      </c>
      <c r="D292" s="24" t="str">
        <f ca="1">VLOOKUP($A292,OFFSET([2]characters!$A$1,0,0,COUNTA([2]characters!$A:$A),MATCH(D$1,[2]characters!$1:$1,0)-MATCH($A$1,[2]characters!$1:$1,0)+1),MATCH(D$1,[2]characters!$1:$1,0)-MATCH($A$1,[2]characters!$1:$1,0)+1,FALSE)</f>
        <v>執行者</v>
      </c>
      <c r="E292" s="24" t="str">
        <f ca="1">VLOOKUP($A292,OFFSET([2]characters!$A$1,0,0,COUNTA([2]characters!$A:$A),MATCH(E$1,[2]characters!$1:$1,0)-MATCH($A$1,[2]characters!$1:$1,0)+1),MATCH(E$1,[2]characters!$1:$1,0)-MATCH($A$1,[2]characters!$1:$1,0)+1,FALSE)</f>
        <v>格好いい</v>
      </c>
      <c r="F292" s="24" t="str">
        <f ca="1">VLOOKUP($A292,OFFSET([2]characters!$A$1,0,0,COUNTA([2]characters!$A:$A),MATCH(F$1,[2]characters!$1:$1,0)-MATCH($A$1,[2]characters!$1:$1,0)+1),MATCH(F$1,[2]characters!$1:$1,0)-MATCH($A$1,[2]characters!$1:$1,0)+1,FALSE)</f>
        <v>女性</v>
      </c>
      <c r="G292" s="24">
        <f ca="1">VLOOKUP($A292,OFFSET([2]characters!$A$1,0,0,COUNTA([2]characters!$A:$A),MATCH(G$1,[2]characters!$1:$1,0)-MATCH($A$1,[2]characters!$1:$1,0)+1),MATCH(G$1,[2]characters!$1:$1,0)-MATCH($A$1,[2]characters!$1:$1,0)+1,FALSE)</f>
        <v>4</v>
      </c>
      <c r="H292" s="24" t="str">
        <f ca="1">VLOOKUP($A292,OFFSET([2]characters!$A$1,0,0,COUNTA([2]characters!$A:$A),MATCH(H$1,[2]characters!$1:$1,0)-MATCH($A$1,[2]characters!$1:$1,0)+1),MATCH(H$1,[2]characters!$1:$1,0)-MATCH($A$1,[2]characters!$1:$1,0)+1,FALSE)</f>
        <v>PremiumSS</v>
      </c>
      <c r="I292" s="24" t="str">
        <f ca="1">VLOOKUP($A292,OFFSET([2]characters!$A$1,0,0,COUNTA([2]characters!$A:$A),MATCH(I$1,[2]characters!$1:$1,0)-MATCH($A$1,[2]characters!$1:$1,0)+1),MATCH(I$1,[2]characters!$1:$1,0)-MATCH($A$1,[2]characters!$1:$1,0)+1,FALSE)</f>
        <v>yellow</v>
      </c>
      <c r="J292" s="24" t="str">
        <f ca="1">VLOOKUP($A292,OFFSET([2]characters!$A$1,0,0,COUNTA([2]characters!$A:$A),MATCH(J$1,[2]characters!$1:$1,0)-MATCH($A$1,[2]characters!$1:$1,0)+1),MATCH(J$1,[2]characters!$1:$1,0)-MATCH($A$1,[2]characters!$1:$1,0)+1,FALSE)</f>
        <v>none</v>
      </c>
      <c r="K292" s="3" t="str">
        <f ca="1">VLOOKUP(J292,[2]character_tribe_i18n!$A:$H,3,FALSE)</f>
        <v>種族なし</v>
      </c>
      <c r="L292" s="5" t="e">
        <f>VLOOKUP(#REF!,[2]character_tribe_i18n!$A:$H,4,FALSE)</f>
        <v>#REF!</v>
      </c>
      <c r="M292" s="5" t="e">
        <f>VLOOKUP(#REF!,[2]character_tribe_i18n!$A:$H,5,FALSE)</f>
        <v>#REF!</v>
      </c>
      <c r="N292" s="5" t="e">
        <f>VLOOKUP(#REF!,[2]character_tribe_i18n!$A:$H,6,FALSE)</f>
        <v>#REF!</v>
      </c>
      <c r="O292" s="5" t="e">
        <f>VLOOKUP(#REF!,[2]character_tribe_i18n!$A:$H,7,FALSE)</f>
        <v>#REF!</v>
      </c>
      <c r="P292" s="83" t="s">
        <v>170</v>
      </c>
      <c r="Q292">
        <v>544</v>
      </c>
      <c r="R292" s="25" t="str">
        <f ca="1">IF(Q292="NULL","",VLOOKUP($Q292,OFFSET([2]characters!$A$1,0,0,COUNTA([2]characters!$A:$A),MATCH(R$1,[2]characters!$1:$1,0)-MATCH($A$1,[2]characters!$1:$1,0)+1),MATCH(R$1,[2]characters!$1:$1,0)-MATCH($A$1,[2]characters!$1:$1,0)+1,FALSE))</f>
        <v>反響の凛音 鏡音リン</v>
      </c>
      <c r="S292" s="3">
        <f t="shared" ca="1" si="5"/>
        <v>543</v>
      </c>
      <c r="T292" s="25" t="str">
        <f ca="1">VLOOKUP($S292,OFFSET([2]characters!$A$1,0,0,COUNTA([2]characters!$A:$A),MATCH(T$1,[2]characters!$1:$1,0)-MATCH($A$1,[2]characters!$1:$1,0)+1),MATCH(T$1,[2]characters!$1:$1,0)-MATCH($A$1,[2]characters!$1:$1,0)+1,FALSE)</f>
        <v>鏡音リン</v>
      </c>
      <c r="U292" s="5">
        <f ca="1">IF(Q292="NULL","NULL",VLOOKUP(G292,ビット!$A$2:$B$7,2))</f>
        <v>50000</v>
      </c>
      <c r="V292">
        <v>50000</v>
      </c>
      <c r="W292" s="6" t="str">
        <f t="shared" ca="1" si="6"/>
        <v>TRUE</v>
      </c>
    </row>
    <row r="293" spans="1:23" ht="21" customHeight="1" x14ac:dyDescent="0.15">
      <c r="A293" s="84">
        <v>545</v>
      </c>
      <c r="B293" s="24" t="str">
        <f ca="1">VLOOKUP($A293,OFFSET([2]characters!$A$1,0,0,COUNTA([2]characters!$A:$A),MATCH(B$1,[2]characters!$1:$1,0)-MATCH($A$1,[2]characters!$1:$1,0)+1),MATCH(B$1,[2]characters!$1:$1,0)-MATCH($A$1,[2]characters!$1:$1,0)+1,FALSE)</f>
        <v>鏡音レン</v>
      </c>
      <c r="C293" s="24" t="str">
        <f ca="1">VLOOKUP($A293,OFFSET([2]characters!$A$1,0,0,COUNTA([2]characters!$A:$A),MATCH(C$1,[2]characters!$1:$1,0)-MATCH($A$1,[2]characters!$1:$1,0)+1),MATCH(C$1,[2]characters!$1:$1,0)-MATCH($A$1,[2]characters!$1:$1,0)+1,FALSE)</f>
        <v>ガチャ:ミクコラボ01</v>
      </c>
      <c r="D293" s="24" t="str">
        <f ca="1">VLOOKUP($A293,OFFSET([2]characters!$A$1,0,0,COUNTA([2]characters!$A:$A),MATCH(D$1,[2]characters!$1:$1,0)-MATCH($A$1,[2]characters!$1:$1,0)+1),MATCH(D$1,[2]characters!$1:$1,0)-MATCH($A$1,[2]characters!$1:$1,0)+1,FALSE)</f>
        <v>執行者</v>
      </c>
      <c r="E293" s="24" t="str">
        <f ca="1">VLOOKUP($A293,OFFSET([2]characters!$A$1,0,0,COUNTA([2]characters!$A:$A),MATCH(E$1,[2]characters!$1:$1,0)-MATCH($A$1,[2]characters!$1:$1,0)+1),MATCH(E$1,[2]characters!$1:$1,0)-MATCH($A$1,[2]characters!$1:$1,0)+1,FALSE)</f>
        <v>格好いい</v>
      </c>
      <c r="F293" s="24" t="str">
        <f ca="1">VLOOKUP($A293,OFFSET([2]characters!$A$1,0,0,COUNTA([2]characters!$A:$A),MATCH(F$1,[2]characters!$1:$1,0)-MATCH($A$1,[2]characters!$1:$1,0)+1),MATCH(F$1,[2]characters!$1:$1,0)-MATCH($A$1,[2]characters!$1:$1,0)+1,FALSE)</f>
        <v>男性</v>
      </c>
      <c r="G293" s="24">
        <f ca="1">VLOOKUP($A293,OFFSET([2]characters!$A$1,0,0,COUNTA([2]characters!$A:$A),MATCH(G$1,[2]characters!$1:$1,0)-MATCH($A$1,[2]characters!$1:$1,0)+1),MATCH(G$1,[2]characters!$1:$1,0)-MATCH($A$1,[2]characters!$1:$1,0)+1,FALSE)</f>
        <v>4</v>
      </c>
      <c r="H293" s="24" t="str">
        <f ca="1">VLOOKUP($A293,OFFSET([2]characters!$A$1,0,0,COUNTA([2]characters!$A:$A),MATCH(H$1,[2]characters!$1:$1,0)-MATCH($A$1,[2]characters!$1:$1,0)+1),MATCH(H$1,[2]characters!$1:$1,0)-MATCH($A$1,[2]characters!$1:$1,0)+1,FALSE)</f>
        <v>PremiumSS</v>
      </c>
      <c r="I293" s="24" t="str">
        <f ca="1">VLOOKUP($A293,OFFSET([2]characters!$A$1,0,0,COUNTA([2]characters!$A:$A),MATCH(I$1,[2]characters!$1:$1,0)-MATCH($A$1,[2]characters!$1:$1,0)+1),MATCH(I$1,[2]characters!$1:$1,0)-MATCH($A$1,[2]characters!$1:$1,0)+1,FALSE)</f>
        <v>yellow</v>
      </c>
      <c r="J293" s="24" t="str">
        <f ca="1">VLOOKUP($A293,OFFSET([2]characters!$A$1,0,0,COUNTA([2]characters!$A:$A),MATCH(J$1,[2]characters!$1:$1,0)-MATCH($A$1,[2]characters!$1:$1,0)+1),MATCH(J$1,[2]characters!$1:$1,0)-MATCH($A$1,[2]characters!$1:$1,0)+1,FALSE)</f>
        <v>none</v>
      </c>
      <c r="K293" s="3" t="str">
        <f ca="1">VLOOKUP(J293,[2]character_tribe_i18n!$A:$H,3,FALSE)</f>
        <v>種族なし</v>
      </c>
      <c r="L293" s="5" t="e">
        <f>VLOOKUP(#REF!,[2]character_tribe_i18n!$A:$H,4,FALSE)</f>
        <v>#REF!</v>
      </c>
      <c r="M293" s="5" t="e">
        <f>VLOOKUP(#REF!,[2]character_tribe_i18n!$A:$H,5,FALSE)</f>
        <v>#REF!</v>
      </c>
      <c r="N293" s="5" t="e">
        <f>VLOOKUP(#REF!,[2]character_tribe_i18n!$A:$H,6,FALSE)</f>
        <v>#REF!</v>
      </c>
      <c r="O293" s="5" t="e">
        <f>VLOOKUP(#REF!,[2]character_tribe_i18n!$A:$H,7,FALSE)</f>
        <v>#REF!</v>
      </c>
      <c r="P293" s="83" t="s">
        <v>170</v>
      </c>
      <c r="Q293">
        <v>546</v>
      </c>
      <c r="R293" s="25" t="str">
        <f ca="1">IF(Q293="NULL","",VLOOKUP($Q293,OFFSET([2]characters!$A$1,0,0,COUNTA([2]characters!$A:$A),MATCH(R$1,[2]characters!$1:$1,0)-MATCH($A$1,[2]characters!$1:$1,0)+1),MATCH(R$1,[2]characters!$1:$1,0)-MATCH($A$1,[2]characters!$1:$1,0)+1,FALSE))</f>
        <v>残響の連符 鏡音レン</v>
      </c>
      <c r="S293" s="3">
        <f t="shared" ca="1" si="5"/>
        <v>545</v>
      </c>
      <c r="T293" s="25" t="str">
        <f ca="1">VLOOKUP($S293,OFFSET([2]characters!$A$1,0,0,COUNTA([2]characters!$A:$A),MATCH(T$1,[2]characters!$1:$1,0)-MATCH($A$1,[2]characters!$1:$1,0)+1),MATCH(T$1,[2]characters!$1:$1,0)-MATCH($A$1,[2]characters!$1:$1,0)+1,FALSE)</f>
        <v>鏡音レン</v>
      </c>
      <c r="U293" s="5">
        <f ca="1">IF(Q293="NULL","NULL",VLOOKUP(G293,ビット!$A$2:$B$7,2))</f>
        <v>50000</v>
      </c>
      <c r="V293">
        <v>50000</v>
      </c>
      <c r="W293" s="6" t="str">
        <f t="shared" ca="1" si="6"/>
        <v>TRUE</v>
      </c>
    </row>
    <row r="294" spans="1:23" ht="21" customHeight="1" x14ac:dyDescent="0.15">
      <c r="A294" s="84">
        <v>547</v>
      </c>
      <c r="B294" s="24" t="str">
        <f ca="1">VLOOKUP($A294,OFFSET([2]characters!$A$1,0,0,COUNTA([2]characters!$A:$A),MATCH(B$1,[2]characters!$1:$1,0)-MATCH($A$1,[2]characters!$1:$1,0)+1),MATCH(B$1,[2]characters!$1:$1,0)-MATCH($A$1,[2]characters!$1:$1,0)+1,FALSE)</f>
        <v>巡音ルカ</v>
      </c>
      <c r="C294" s="24" t="str">
        <f ca="1">VLOOKUP($A294,OFFSET([2]characters!$A$1,0,0,COUNTA([2]characters!$A:$A),MATCH(C$1,[2]characters!$1:$1,0)-MATCH($A$1,[2]characters!$1:$1,0)+1),MATCH(C$1,[2]characters!$1:$1,0)-MATCH($A$1,[2]characters!$1:$1,0)+1,FALSE)</f>
        <v>ガチャ:ミクコラボ01</v>
      </c>
      <c r="D294" s="24" t="str">
        <f ca="1">VLOOKUP($A294,OFFSET([2]characters!$A$1,0,0,COUNTA([2]characters!$A:$A),MATCH(D$1,[2]characters!$1:$1,0)-MATCH($A$1,[2]characters!$1:$1,0)+1),MATCH(D$1,[2]characters!$1:$1,0)-MATCH($A$1,[2]characters!$1:$1,0)+1,FALSE)</f>
        <v>執行者</v>
      </c>
      <c r="E294" s="24" t="str">
        <f ca="1">VLOOKUP($A294,OFFSET([2]characters!$A$1,0,0,COUNTA([2]characters!$A:$A),MATCH(E$1,[2]characters!$1:$1,0)-MATCH($A$1,[2]characters!$1:$1,0)+1),MATCH(E$1,[2]characters!$1:$1,0)-MATCH($A$1,[2]characters!$1:$1,0)+1,FALSE)</f>
        <v>格好いい</v>
      </c>
      <c r="F294" s="24" t="str">
        <f ca="1">VLOOKUP($A294,OFFSET([2]characters!$A$1,0,0,COUNTA([2]characters!$A:$A),MATCH(F$1,[2]characters!$1:$1,0)-MATCH($A$1,[2]characters!$1:$1,0)+1),MATCH(F$1,[2]characters!$1:$1,0)-MATCH($A$1,[2]characters!$1:$1,0)+1,FALSE)</f>
        <v>女性</v>
      </c>
      <c r="G294" s="24">
        <f ca="1">VLOOKUP($A294,OFFSET([2]characters!$A$1,0,0,COUNTA([2]characters!$A:$A),MATCH(G$1,[2]characters!$1:$1,0)-MATCH($A$1,[2]characters!$1:$1,0)+1),MATCH(G$1,[2]characters!$1:$1,0)-MATCH($A$1,[2]characters!$1:$1,0)+1,FALSE)</f>
        <v>3</v>
      </c>
      <c r="H294" s="24" t="str">
        <f ca="1">VLOOKUP($A294,OFFSET([2]characters!$A$1,0,0,COUNTA([2]characters!$A:$A),MATCH(H$1,[2]characters!$1:$1,0)-MATCH($A$1,[2]characters!$1:$1,0)+1),MATCH(H$1,[2]characters!$1:$1,0)-MATCH($A$1,[2]characters!$1:$1,0)+1,FALSE)</f>
        <v>PremiumS</v>
      </c>
      <c r="I294" s="24" t="str">
        <f ca="1">VLOOKUP($A294,OFFSET([2]characters!$A$1,0,0,COUNTA([2]characters!$A:$A),MATCH(I$1,[2]characters!$1:$1,0)-MATCH($A$1,[2]characters!$1:$1,0)+1),MATCH(I$1,[2]characters!$1:$1,0)-MATCH($A$1,[2]characters!$1:$1,0)+1,FALSE)</f>
        <v>red</v>
      </c>
      <c r="J294" s="24" t="str">
        <f ca="1">VLOOKUP($A294,OFFSET([2]characters!$A$1,0,0,COUNTA([2]characters!$A:$A),MATCH(J$1,[2]characters!$1:$1,0)-MATCH($A$1,[2]characters!$1:$1,0)+1),MATCH(J$1,[2]characters!$1:$1,0)-MATCH($A$1,[2]characters!$1:$1,0)+1,FALSE)</f>
        <v>none</v>
      </c>
      <c r="K294" s="3" t="str">
        <f ca="1">VLOOKUP(J294,[2]character_tribe_i18n!$A:$H,3,FALSE)</f>
        <v>種族なし</v>
      </c>
      <c r="L294" s="5" t="e">
        <f>VLOOKUP(#REF!,[2]character_tribe_i18n!$A:$H,4,FALSE)</f>
        <v>#REF!</v>
      </c>
      <c r="M294" s="5" t="e">
        <f>VLOOKUP(#REF!,[2]character_tribe_i18n!$A:$H,5,FALSE)</f>
        <v>#REF!</v>
      </c>
      <c r="N294" s="5" t="e">
        <f>VLOOKUP(#REF!,[2]character_tribe_i18n!$A:$H,6,FALSE)</f>
        <v>#REF!</v>
      </c>
      <c r="O294" s="5" t="e">
        <f>VLOOKUP(#REF!,[2]character_tribe_i18n!$A:$H,7,FALSE)</f>
        <v>#REF!</v>
      </c>
      <c r="P294" s="83" t="s">
        <v>170</v>
      </c>
      <c r="Q294">
        <v>548</v>
      </c>
      <c r="R294" s="25" t="str">
        <f ca="1">IF(Q294="NULL","",VLOOKUP($Q294,OFFSET([2]characters!$A$1,0,0,COUNTA([2]characters!$A:$A),MATCH(R$1,[2]characters!$1:$1,0)-MATCH($A$1,[2]characters!$1:$1,0)+1),MATCH(R$1,[2]characters!$1:$1,0)-MATCH($A$1,[2]characters!$1:$1,0)+1,FALSE))</f>
        <v>乱舞の音環 巡音ルカ</v>
      </c>
      <c r="S294" s="3">
        <f t="shared" ca="1" si="5"/>
        <v>547</v>
      </c>
      <c r="T294" s="25" t="str">
        <f ca="1">VLOOKUP($S294,OFFSET([2]characters!$A$1,0,0,COUNTA([2]characters!$A:$A),MATCH(T$1,[2]characters!$1:$1,0)-MATCH($A$1,[2]characters!$1:$1,0)+1),MATCH(T$1,[2]characters!$1:$1,0)-MATCH($A$1,[2]characters!$1:$1,0)+1,FALSE)</f>
        <v>巡音ルカ</v>
      </c>
      <c r="U294" s="5">
        <f ca="1">IF(Q294="NULL","NULL",VLOOKUP(G294,ビット!$A$2:$B$7,2))</f>
        <v>20000</v>
      </c>
      <c r="V294">
        <v>20000</v>
      </c>
      <c r="W294" s="6" t="str">
        <f t="shared" ref="W294:W320" ca="1" si="7">IF(U294=V294,"TRUE","FALSE")</f>
        <v>TRUE</v>
      </c>
    </row>
    <row r="295" spans="1:23" ht="21" customHeight="1" x14ac:dyDescent="0.15">
      <c r="A295" s="84">
        <v>549</v>
      </c>
      <c r="B295" s="24" t="str">
        <f ca="1">VLOOKUP($A295,OFFSET([2]characters!$A$1,0,0,COUNTA([2]characters!$A:$A),MATCH(B$1,[2]characters!$1:$1,0)-MATCH($A$1,[2]characters!$1:$1,0)+1),MATCH(B$1,[2]characters!$1:$1,0)-MATCH($A$1,[2]characters!$1:$1,0)+1,FALSE)</f>
        <v>MEIKO</v>
      </c>
      <c r="C295" s="24" t="str">
        <f ca="1">VLOOKUP($A295,OFFSET([2]characters!$A$1,0,0,COUNTA([2]characters!$A:$A),MATCH(C$1,[2]characters!$1:$1,0)-MATCH($A$1,[2]characters!$1:$1,0)+1),MATCH(C$1,[2]characters!$1:$1,0)-MATCH($A$1,[2]characters!$1:$1,0)+1,FALSE)</f>
        <v>ガチャ:ミクコラボ01</v>
      </c>
      <c r="D295" s="24" t="str">
        <f ca="1">VLOOKUP($A295,OFFSET([2]characters!$A$1,0,0,COUNTA([2]characters!$A:$A),MATCH(D$1,[2]characters!$1:$1,0)-MATCH($A$1,[2]characters!$1:$1,0)+1),MATCH(D$1,[2]characters!$1:$1,0)-MATCH($A$1,[2]characters!$1:$1,0)+1,FALSE)</f>
        <v>執行者</v>
      </c>
      <c r="E295" s="24" t="str">
        <f ca="1">VLOOKUP($A295,OFFSET([2]characters!$A$1,0,0,COUNTA([2]characters!$A:$A),MATCH(E$1,[2]characters!$1:$1,0)-MATCH($A$1,[2]characters!$1:$1,0)+1),MATCH(E$1,[2]characters!$1:$1,0)-MATCH($A$1,[2]characters!$1:$1,0)+1,FALSE)</f>
        <v>格好いい</v>
      </c>
      <c r="F295" s="24" t="str">
        <f ca="1">VLOOKUP($A295,OFFSET([2]characters!$A$1,0,0,COUNTA([2]characters!$A:$A),MATCH(F$1,[2]characters!$1:$1,0)-MATCH($A$1,[2]characters!$1:$1,0)+1),MATCH(F$1,[2]characters!$1:$1,0)-MATCH($A$1,[2]characters!$1:$1,0)+1,FALSE)</f>
        <v>女性</v>
      </c>
      <c r="G295" s="24">
        <f ca="1">VLOOKUP($A295,OFFSET([2]characters!$A$1,0,0,COUNTA([2]characters!$A:$A),MATCH(G$1,[2]characters!$1:$1,0)-MATCH($A$1,[2]characters!$1:$1,0)+1),MATCH(G$1,[2]characters!$1:$1,0)-MATCH($A$1,[2]characters!$1:$1,0)+1,FALSE)</f>
        <v>3</v>
      </c>
      <c r="H295" s="24" t="str">
        <f ca="1">VLOOKUP($A295,OFFSET([2]characters!$A$1,0,0,COUNTA([2]characters!$A:$A),MATCH(H$1,[2]characters!$1:$1,0)-MATCH($A$1,[2]characters!$1:$1,0)+1),MATCH(H$1,[2]characters!$1:$1,0)-MATCH($A$1,[2]characters!$1:$1,0)+1,FALSE)</f>
        <v>PremiumS</v>
      </c>
      <c r="I295" s="24" t="str">
        <f ca="1">VLOOKUP($A295,OFFSET([2]characters!$A$1,0,0,COUNTA([2]characters!$A:$A),MATCH(I$1,[2]characters!$1:$1,0)-MATCH($A$1,[2]characters!$1:$1,0)+1),MATCH(I$1,[2]characters!$1:$1,0)-MATCH($A$1,[2]characters!$1:$1,0)+1,FALSE)</f>
        <v>red</v>
      </c>
      <c r="J295" s="24" t="str">
        <f ca="1">VLOOKUP($A295,OFFSET([2]characters!$A$1,0,0,COUNTA([2]characters!$A:$A),MATCH(J$1,[2]characters!$1:$1,0)-MATCH($A$1,[2]characters!$1:$1,0)+1),MATCH(J$1,[2]characters!$1:$1,0)-MATCH($A$1,[2]characters!$1:$1,0)+1,FALSE)</f>
        <v>none</v>
      </c>
      <c r="K295" s="3" t="str">
        <f ca="1">VLOOKUP(J295,[2]character_tribe_i18n!$A:$H,3,FALSE)</f>
        <v>種族なし</v>
      </c>
      <c r="L295" s="5" t="e">
        <f>VLOOKUP(#REF!,[2]character_tribe_i18n!$A:$H,4,FALSE)</f>
        <v>#REF!</v>
      </c>
      <c r="M295" s="5" t="e">
        <f>VLOOKUP(#REF!,[2]character_tribe_i18n!$A:$H,5,FALSE)</f>
        <v>#REF!</v>
      </c>
      <c r="N295" s="5" t="e">
        <f>VLOOKUP(#REF!,[2]character_tribe_i18n!$A:$H,6,FALSE)</f>
        <v>#REF!</v>
      </c>
      <c r="O295" s="5" t="e">
        <f>VLOOKUP(#REF!,[2]character_tribe_i18n!$A:$H,7,FALSE)</f>
        <v>#REF!</v>
      </c>
      <c r="P295" s="83" t="s">
        <v>170</v>
      </c>
      <c r="Q295">
        <v>550</v>
      </c>
      <c r="R295" s="25" t="str">
        <f ca="1">IF(Q295="NULL","",VLOOKUP($Q295,OFFSET([2]characters!$A$1,0,0,COUNTA([2]characters!$A:$A),MATCH(R$1,[2]characters!$1:$1,0)-MATCH($A$1,[2]characters!$1:$1,0)+1),MATCH(R$1,[2]characters!$1:$1,0)-MATCH($A$1,[2]characters!$1:$1,0)+1,FALSE))</f>
        <v>解放の絶唱 MEIKO</v>
      </c>
      <c r="S295" s="3">
        <f t="shared" ca="1" si="5"/>
        <v>549</v>
      </c>
      <c r="T295" s="25" t="str">
        <f ca="1">VLOOKUP($S295,OFFSET([2]characters!$A$1,0,0,COUNTA([2]characters!$A:$A),MATCH(T$1,[2]characters!$1:$1,0)-MATCH($A$1,[2]characters!$1:$1,0)+1),MATCH(T$1,[2]characters!$1:$1,0)-MATCH($A$1,[2]characters!$1:$1,0)+1,FALSE)</f>
        <v>MEIKO</v>
      </c>
      <c r="U295" s="5">
        <f ca="1">IF(Q295="NULL","NULL",VLOOKUP(G295,ビット!$A$2:$B$7,2))</f>
        <v>20000</v>
      </c>
      <c r="V295">
        <v>20000</v>
      </c>
      <c r="W295" s="6" t="str">
        <f t="shared" ca="1" si="7"/>
        <v>TRUE</v>
      </c>
    </row>
    <row r="296" spans="1:23" ht="21" customHeight="1" x14ac:dyDescent="0.15">
      <c r="A296" s="84">
        <v>551</v>
      </c>
      <c r="B296" s="24" t="str">
        <f ca="1">VLOOKUP($A296,OFFSET([2]characters!$A$1,0,0,COUNTA([2]characters!$A:$A),MATCH(B$1,[2]characters!$1:$1,0)-MATCH($A$1,[2]characters!$1:$1,0)+1),MATCH(B$1,[2]characters!$1:$1,0)-MATCH($A$1,[2]characters!$1:$1,0)+1,FALSE)</f>
        <v>KAITO</v>
      </c>
      <c r="C296" s="24" t="str">
        <f ca="1">VLOOKUP($A296,OFFSET([2]characters!$A$1,0,0,COUNTA([2]characters!$A:$A),MATCH(C$1,[2]characters!$1:$1,0)-MATCH($A$1,[2]characters!$1:$1,0)+1),MATCH(C$1,[2]characters!$1:$1,0)-MATCH($A$1,[2]characters!$1:$1,0)+1,FALSE)</f>
        <v>ガチャ:ミクコラボ01</v>
      </c>
      <c r="D296" s="24" t="str">
        <f ca="1">VLOOKUP($A296,OFFSET([2]characters!$A$1,0,0,COUNTA([2]characters!$A:$A),MATCH(D$1,[2]characters!$1:$1,0)-MATCH($A$1,[2]characters!$1:$1,0)+1),MATCH(D$1,[2]characters!$1:$1,0)-MATCH($A$1,[2]characters!$1:$1,0)+1,FALSE)</f>
        <v>執行者</v>
      </c>
      <c r="E296" s="24" t="str">
        <f ca="1">VLOOKUP($A296,OFFSET([2]characters!$A$1,0,0,COUNTA([2]characters!$A:$A),MATCH(E$1,[2]characters!$1:$1,0)-MATCH($A$1,[2]characters!$1:$1,0)+1),MATCH(E$1,[2]characters!$1:$1,0)-MATCH($A$1,[2]characters!$1:$1,0)+1,FALSE)</f>
        <v>格好いい</v>
      </c>
      <c r="F296" s="24" t="str">
        <f ca="1">VLOOKUP($A296,OFFSET([2]characters!$A$1,0,0,COUNTA([2]characters!$A:$A),MATCH(F$1,[2]characters!$1:$1,0)-MATCH($A$1,[2]characters!$1:$1,0)+1),MATCH(F$1,[2]characters!$1:$1,0)-MATCH($A$1,[2]characters!$1:$1,0)+1,FALSE)</f>
        <v>男性</v>
      </c>
      <c r="G296" s="24">
        <f ca="1">VLOOKUP($A296,OFFSET([2]characters!$A$1,0,0,COUNTA([2]characters!$A:$A),MATCH(G$1,[2]characters!$1:$1,0)-MATCH($A$1,[2]characters!$1:$1,0)+1),MATCH(G$1,[2]characters!$1:$1,0)-MATCH($A$1,[2]characters!$1:$1,0)+1,FALSE)</f>
        <v>3</v>
      </c>
      <c r="H296" s="24" t="str">
        <f ca="1">VLOOKUP($A296,OFFSET([2]characters!$A$1,0,0,COUNTA([2]characters!$A:$A),MATCH(H$1,[2]characters!$1:$1,0)-MATCH($A$1,[2]characters!$1:$1,0)+1),MATCH(H$1,[2]characters!$1:$1,0)-MATCH($A$1,[2]characters!$1:$1,0)+1,FALSE)</f>
        <v>PremiumS</v>
      </c>
      <c r="I296" s="24" t="str">
        <f ca="1">VLOOKUP($A296,OFFSET([2]characters!$A$1,0,0,COUNTA([2]characters!$A:$A),MATCH(I$1,[2]characters!$1:$1,0)-MATCH($A$1,[2]characters!$1:$1,0)+1),MATCH(I$1,[2]characters!$1:$1,0)-MATCH($A$1,[2]characters!$1:$1,0)+1,FALSE)</f>
        <v>blue</v>
      </c>
      <c r="J296" s="24" t="str">
        <f ca="1">VLOOKUP($A296,OFFSET([2]characters!$A$1,0,0,COUNTA([2]characters!$A:$A),MATCH(J$1,[2]characters!$1:$1,0)-MATCH($A$1,[2]characters!$1:$1,0)+1),MATCH(J$1,[2]characters!$1:$1,0)-MATCH($A$1,[2]characters!$1:$1,0)+1,FALSE)</f>
        <v>none</v>
      </c>
      <c r="K296" s="3" t="str">
        <f ca="1">VLOOKUP(J296,[2]character_tribe_i18n!$A:$H,3,FALSE)</f>
        <v>種族なし</v>
      </c>
      <c r="L296" s="5" t="e">
        <f>VLOOKUP(#REF!,[2]character_tribe_i18n!$A:$H,4,FALSE)</f>
        <v>#REF!</v>
      </c>
      <c r="M296" s="5" t="e">
        <f>VLOOKUP(#REF!,[2]character_tribe_i18n!$A:$H,5,FALSE)</f>
        <v>#REF!</v>
      </c>
      <c r="N296" s="5" t="e">
        <f>VLOOKUP(#REF!,[2]character_tribe_i18n!$A:$H,6,FALSE)</f>
        <v>#REF!</v>
      </c>
      <c r="O296" s="5" t="e">
        <f>VLOOKUP(#REF!,[2]character_tribe_i18n!$A:$H,7,FALSE)</f>
        <v>#REF!</v>
      </c>
      <c r="P296" s="83" t="s">
        <v>170</v>
      </c>
      <c r="Q296">
        <v>552</v>
      </c>
      <c r="R296" s="25" t="str">
        <f ca="1">IF(Q296="NULL","",VLOOKUP($Q296,OFFSET([2]characters!$A$1,0,0,COUNTA([2]characters!$A:$A),MATCH(R$1,[2]characters!$1:$1,0)-MATCH($A$1,[2]characters!$1:$1,0)+1),MATCH(R$1,[2]characters!$1:$1,0)-MATCH($A$1,[2]characters!$1:$1,0)+1,FALSE))</f>
        <v>愉悦の愛唱 KAITO</v>
      </c>
      <c r="S296" s="3">
        <f t="shared" ca="1" si="5"/>
        <v>551</v>
      </c>
      <c r="T296" s="25" t="str">
        <f ca="1">VLOOKUP($S296,OFFSET([2]characters!$A$1,0,0,COUNTA([2]characters!$A:$A),MATCH(T$1,[2]characters!$1:$1,0)-MATCH($A$1,[2]characters!$1:$1,0)+1),MATCH(T$1,[2]characters!$1:$1,0)-MATCH($A$1,[2]characters!$1:$1,0)+1,FALSE)</f>
        <v>KAITO</v>
      </c>
      <c r="U296" s="5">
        <f ca="1">IF(Q296="NULL","NULL",VLOOKUP(G296,ビット!$A$2:$B$7,2))</f>
        <v>20000</v>
      </c>
      <c r="V296">
        <v>20000</v>
      </c>
      <c r="W296" s="6" t="str">
        <f t="shared" ca="1" si="7"/>
        <v>TRUE</v>
      </c>
    </row>
    <row r="297" spans="1:23" ht="21" customHeight="1" x14ac:dyDescent="0.15">
      <c r="A297" s="84">
        <v>553</v>
      </c>
      <c r="B297" s="24" t="str">
        <f ca="1">VLOOKUP($A297,OFFSET([2]characters!$A$1,0,0,COUNTA([2]characters!$A:$A),MATCH(B$1,[2]characters!$1:$1,0)-MATCH($A$1,[2]characters!$1:$1,0)+1),MATCH(B$1,[2]characters!$1:$1,0)-MATCH($A$1,[2]characters!$1:$1,0)+1,FALSE)</f>
        <v>雪ミク2016</v>
      </c>
      <c r="C297" s="24" t="str">
        <f ca="1">VLOOKUP($A297,OFFSET([2]characters!$A$1,0,0,COUNTA([2]characters!$A:$A),MATCH(C$1,[2]characters!$1:$1,0)-MATCH($A$1,[2]characters!$1:$1,0)+1),MATCH(C$1,[2]characters!$1:$1,0)-MATCH($A$1,[2]characters!$1:$1,0)+1,FALSE)</f>
        <v>イベント:ミクコラボ01</v>
      </c>
      <c r="D297" s="24" t="str">
        <f ca="1">VLOOKUP($A297,OFFSET([2]characters!$A$1,0,0,COUNTA([2]characters!$A:$A),MATCH(D$1,[2]characters!$1:$1,0)-MATCH($A$1,[2]characters!$1:$1,0)+1),MATCH(D$1,[2]characters!$1:$1,0)-MATCH($A$1,[2]characters!$1:$1,0)+1,FALSE)</f>
        <v>執行者</v>
      </c>
      <c r="E297" s="24" t="str">
        <f ca="1">VLOOKUP($A297,OFFSET([2]characters!$A$1,0,0,COUNTA([2]characters!$A:$A),MATCH(E$1,[2]characters!$1:$1,0)-MATCH($A$1,[2]characters!$1:$1,0)+1),MATCH(E$1,[2]characters!$1:$1,0)-MATCH($A$1,[2]characters!$1:$1,0)+1,FALSE)</f>
        <v>格好いい</v>
      </c>
      <c r="F297" s="24" t="str">
        <f ca="1">VLOOKUP($A297,OFFSET([2]characters!$A$1,0,0,COUNTA([2]characters!$A:$A),MATCH(F$1,[2]characters!$1:$1,0)-MATCH($A$1,[2]characters!$1:$1,0)+1),MATCH(F$1,[2]characters!$1:$1,0)-MATCH($A$1,[2]characters!$1:$1,0)+1,FALSE)</f>
        <v>女性</v>
      </c>
      <c r="G297" s="24">
        <f ca="1">VLOOKUP($A297,OFFSET([2]characters!$A$1,0,0,COUNTA([2]characters!$A:$A),MATCH(G$1,[2]characters!$1:$1,0)-MATCH($A$1,[2]characters!$1:$1,0)+1),MATCH(G$1,[2]characters!$1:$1,0)-MATCH($A$1,[2]characters!$1:$1,0)+1,FALSE)</f>
        <v>4</v>
      </c>
      <c r="H297" s="24" t="str">
        <f ca="1">VLOOKUP($A297,OFFSET([2]characters!$A$1,0,0,COUNTA([2]characters!$A:$A),MATCH(H$1,[2]characters!$1:$1,0)-MATCH($A$1,[2]characters!$1:$1,0)+1),MATCH(H$1,[2]characters!$1:$1,0)-MATCH($A$1,[2]characters!$1:$1,0)+1,FALSE)</f>
        <v>Drop2N</v>
      </c>
      <c r="I297" s="24" t="str">
        <f ca="1">VLOOKUP($A297,OFFSET([2]characters!$A$1,0,0,COUNTA([2]characters!$A:$A),MATCH(I$1,[2]characters!$1:$1,0)-MATCH($A$1,[2]characters!$1:$1,0)+1),MATCH(I$1,[2]characters!$1:$1,0)-MATCH($A$1,[2]characters!$1:$1,0)+1,FALSE)</f>
        <v>blue</v>
      </c>
      <c r="J297" s="24" t="str">
        <f ca="1">VLOOKUP($A297,OFFSET([2]characters!$A$1,0,0,COUNTA([2]characters!$A:$A),MATCH(J$1,[2]characters!$1:$1,0)-MATCH($A$1,[2]characters!$1:$1,0)+1),MATCH(J$1,[2]characters!$1:$1,0)-MATCH($A$1,[2]characters!$1:$1,0)+1,FALSE)</f>
        <v>none</v>
      </c>
      <c r="K297" s="3" t="str">
        <f ca="1">VLOOKUP(J297,[2]character_tribe_i18n!$A:$H,3,FALSE)</f>
        <v>種族なし</v>
      </c>
      <c r="L297" s="5" t="e">
        <f>VLOOKUP(#REF!,[2]character_tribe_i18n!$A:$H,4,FALSE)</f>
        <v>#REF!</v>
      </c>
      <c r="M297" s="5" t="e">
        <f>VLOOKUP(#REF!,[2]character_tribe_i18n!$A:$H,5,FALSE)</f>
        <v>#REF!</v>
      </c>
      <c r="N297" s="5" t="e">
        <f>VLOOKUP(#REF!,[2]character_tribe_i18n!$A:$H,6,FALSE)</f>
        <v>#REF!</v>
      </c>
      <c r="O297" s="5" t="e">
        <f>VLOOKUP(#REF!,[2]character_tribe_i18n!$A:$H,7,FALSE)</f>
        <v>#REF!</v>
      </c>
      <c r="P297" s="83" t="s">
        <v>170</v>
      </c>
      <c r="Q297">
        <v>554</v>
      </c>
      <c r="R297" s="25" t="str">
        <f ca="1">IF(Q297="NULL","",VLOOKUP($Q297,OFFSET([2]characters!$A$1,0,0,COUNTA([2]characters!$A:$A),MATCH(R$1,[2]characters!$1:$1,0)-MATCH($A$1,[2]characters!$1:$1,0)+1),MATCH(R$1,[2]characters!$1:$1,0)-MATCH($A$1,[2]characters!$1:$1,0)+1,FALSE))</f>
        <v>雪ミク&amp;ラビット・ユキネ2016</v>
      </c>
      <c r="S297" s="3">
        <f t="shared" ca="1" si="5"/>
        <v>553</v>
      </c>
      <c r="T297" s="25" t="str">
        <f ca="1">VLOOKUP($S297,OFFSET([2]characters!$A$1,0,0,COUNTA([2]characters!$A:$A),MATCH(T$1,[2]characters!$1:$1,0)-MATCH($A$1,[2]characters!$1:$1,0)+1),MATCH(T$1,[2]characters!$1:$1,0)-MATCH($A$1,[2]characters!$1:$1,0)+1,FALSE)</f>
        <v>雪ミク2016</v>
      </c>
      <c r="U297" s="5">
        <f ca="1">IF(Q297="NULL","NULL",VLOOKUP(G297,ビット!$A$2:$B$7,2))</f>
        <v>50000</v>
      </c>
      <c r="V297">
        <v>50000</v>
      </c>
      <c r="W297" s="6" t="str">
        <f t="shared" ca="1" si="7"/>
        <v>TRUE</v>
      </c>
    </row>
    <row r="298" spans="1:23" ht="21" customHeight="1" x14ac:dyDescent="0.15">
      <c r="A298" s="84">
        <v>555</v>
      </c>
      <c r="B298" s="24" t="str">
        <f ca="1">VLOOKUP($A298,OFFSET([2]characters!$A$1,0,0,COUNTA([2]characters!$A:$A),MATCH(B$1,[2]characters!$1:$1,0)-MATCH($A$1,[2]characters!$1:$1,0)+1),MATCH(B$1,[2]characters!$1:$1,0)-MATCH($A$1,[2]characters!$1:$1,0)+1,FALSE)</f>
        <v>雪ミク2014</v>
      </c>
      <c r="C298" s="24" t="str">
        <f ca="1">VLOOKUP($A298,OFFSET([2]characters!$A$1,0,0,COUNTA([2]characters!$A:$A),MATCH(C$1,[2]characters!$1:$1,0)-MATCH($A$1,[2]characters!$1:$1,0)+1),MATCH(C$1,[2]characters!$1:$1,0)-MATCH($A$1,[2]characters!$1:$1,0)+1,FALSE)</f>
        <v>イベント:ミクコラボ01</v>
      </c>
      <c r="D298" s="24" t="str">
        <f ca="1">VLOOKUP($A298,OFFSET([2]characters!$A$1,0,0,COUNTA([2]characters!$A:$A),MATCH(D$1,[2]characters!$1:$1,0)-MATCH($A$1,[2]characters!$1:$1,0)+1),MATCH(D$1,[2]characters!$1:$1,0)-MATCH($A$1,[2]characters!$1:$1,0)+1,FALSE)</f>
        <v>執行者</v>
      </c>
      <c r="E298" s="24" t="str">
        <f ca="1">VLOOKUP($A298,OFFSET([2]characters!$A$1,0,0,COUNTA([2]characters!$A:$A),MATCH(E$1,[2]characters!$1:$1,0)-MATCH($A$1,[2]characters!$1:$1,0)+1),MATCH(E$1,[2]characters!$1:$1,0)-MATCH($A$1,[2]characters!$1:$1,0)+1,FALSE)</f>
        <v>格好いい</v>
      </c>
      <c r="F298" s="24" t="str">
        <f ca="1">VLOOKUP($A298,OFFSET([2]characters!$A$1,0,0,COUNTA([2]characters!$A:$A),MATCH(F$1,[2]characters!$1:$1,0)-MATCH($A$1,[2]characters!$1:$1,0)+1),MATCH(F$1,[2]characters!$1:$1,0)-MATCH($A$1,[2]characters!$1:$1,0)+1,FALSE)</f>
        <v>女性</v>
      </c>
      <c r="G298" s="24">
        <f ca="1">VLOOKUP($A298,OFFSET([2]characters!$A$1,0,0,COUNTA([2]characters!$A:$A),MATCH(G$1,[2]characters!$1:$1,0)-MATCH($A$1,[2]characters!$1:$1,0)+1),MATCH(G$1,[2]characters!$1:$1,0)-MATCH($A$1,[2]characters!$1:$1,0)+1,FALSE)</f>
        <v>4</v>
      </c>
      <c r="H298" s="24" t="str">
        <f ca="1">VLOOKUP($A298,OFFSET([2]characters!$A$1,0,0,COUNTA([2]characters!$A:$A),MATCH(H$1,[2]characters!$1:$1,0)-MATCH($A$1,[2]characters!$1:$1,0)+1),MATCH(H$1,[2]characters!$1:$1,0)-MATCH($A$1,[2]characters!$1:$1,0)+1,FALSE)</f>
        <v>Drop2N</v>
      </c>
      <c r="I298" s="24" t="str">
        <f ca="1">VLOOKUP($A298,OFFSET([2]characters!$A$1,0,0,COUNTA([2]characters!$A:$A),MATCH(I$1,[2]characters!$1:$1,0)-MATCH($A$1,[2]characters!$1:$1,0)+1),MATCH(I$1,[2]characters!$1:$1,0)-MATCH($A$1,[2]characters!$1:$1,0)+1,FALSE)</f>
        <v>blue</v>
      </c>
      <c r="J298" s="24" t="str">
        <f ca="1">VLOOKUP($A298,OFFSET([2]characters!$A$1,0,0,COUNTA([2]characters!$A:$A),MATCH(J$1,[2]characters!$1:$1,0)-MATCH($A$1,[2]characters!$1:$1,0)+1),MATCH(J$1,[2]characters!$1:$1,0)-MATCH($A$1,[2]characters!$1:$1,0)+1,FALSE)</f>
        <v>none</v>
      </c>
      <c r="K298" s="3" t="str">
        <f ca="1">VLOOKUP(J298,[2]character_tribe_i18n!$A:$H,3,FALSE)</f>
        <v>種族なし</v>
      </c>
      <c r="L298" s="5" t="e">
        <f>VLOOKUP(#REF!,[2]character_tribe_i18n!$A:$H,4,FALSE)</f>
        <v>#REF!</v>
      </c>
      <c r="M298" s="5" t="e">
        <f>VLOOKUP(#REF!,[2]character_tribe_i18n!$A:$H,5,FALSE)</f>
        <v>#REF!</v>
      </c>
      <c r="N298" s="5" t="e">
        <f>VLOOKUP(#REF!,[2]character_tribe_i18n!$A:$H,6,FALSE)</f>
        <v>#REF!</v>
      </c>
      <c r="O298" s="5" t="e">
        <f>VLOOKUP(#REF!,[2]character_tribe_i18n!$A:$H,7,FALSE)</f>
        <v>#REF!</v>
      </c>
      <c r="P298" s="83" t="s">
        <v>170</v>
      </c>
      <c r="Q298">
        <v>556</v>
      </c>
      <c r="R298" s="25" t="str">
        <f ca="1">IF(Q298="NULL","",VLOOKUP($Q298,OFFSET([2]characters!$A$1,0,0,COUNTA([2]characters!$A:$A),MATCH(R$1,[2]characters!$1:$1,0)-MATCH($A$1,[2]characters!$1:$1,0)+1),MATCH(R$1,[2]characters!$1:$1,0)-MATCH($A$1,[2]characters!$1:$1,0)+1,FALSE))</f>
        <v>雪ミク&amp;ラビットユキネ2014</v>
      </c>
      <c r="S298" s="3">
        <f t="shared" ca="1" si="5"/>
        <v>555</v>
      </c>
      <c r="T298" s="25" t="str">
        <f ca="1">VLOOKUP($S298,OFFSET([2]characters!$A$1,0,0,COUNTA([2]characters!$A:$A),MATCH(T$1,[2]characters!$1:$1,0)-MATCH($A$1,[2]characters!$1:$1,0)+1),MATCH(T$1,[2]characters!$1:$1,0)-MATCH($A$1,[2]characters!$1:$1,0)+1,FALSE)</f>
        <v>雪ミク2014</v>
      </c>
      <c r="U298" s="5">
        <f ca="1">IF(Q298="NULL","NULL",VLOOKUP(G298,ビット!$A$2:$B$7,2))</f>
        <v>50000</v>
      </c>
      <c r="V298">
        <v>50000</v>
      </c>
      <c r="W298" s="6" t="str">
        <f t="shared" ca="1" si="7"/>
        <v>TRUE</v>
      </c>
    </row>
    <row r="299" spans="1:23" ht="21" customHeight="1" x14ac:dyDescent="0.15">
      <c r="A299" s="84">
        <v>557</v>
      </c>
      <c r="B299" s="24" t="str">
        <f ca="1">VLOOKUP($A299,OFFSET([2]characters!$A$1,0,0,COUNTA([2]characters!$A:$A),MATCH(B$1,[2]characters!$1:$1,0)-MATCH($A$1,[2]characters!$1:$1,0)+1),MATCH(B$1,[2]characters!$1:$1,0)-MATCH($A$1,[2]characters!$1:$1,0)+1,FALSE)</f>
        <v>ラビット・ユキネ</v>
      </c>
      <c r="C299" s="24" t="str">
        <f ca="1">VLOOKUP($A299,OFFSET([2]characters!$A$1,0,0,COUNTA([2]characters!$A:$A),MATCH(C$1,[2]characters!$1:$1,0)-MATCH($A$1,[2]characters!$1:$1,0)+1),MATCH(C$1,[2]characters!$1:$1,0)-MATCH($A$1,[2]characters!$1:$1,0)+1,FALSE)</f>
        <v>イベント:ミクコラボ01</v>
      </c>
      <c r="D299" s="24" t="str">
        <f ca="1">VLOOKUP($A299,OFFSET([2]characters!$A$1,0,0,COUNTA([2]characters!$A:$A),MATCH(D$1,[2]characters!$1:$1,0)-MATCH($A$1,[2]characters!$1:$1,0)+1),MATCH(D$1,[2]characters!$1:$1,0)-MATCH($A$1,[2]characters!$1:$1,0)+1,FALSE)</f>
        <v>執行者</v>
      </c>
      <c r="E299" s="24" t="str">
        <f ca="1">VLOOKUP($A299,OFFSET([2]characters!$A$1,0,0,COUNTA([2]characters!$A:$A),MATCH(E$1,[2]characters!$1:$1,0)-MATCH($A$1,[2]characters!$1:$1,0)+1),MATCH(E$1,[2]characters!$1:$1,0)-MATCH($A$1,[2]characters!$1:$1,0)+1,FALSE)</f>
        <v>格好いい</v>
      </c>
      <c r="F299" s="24" t="str">
        <f ca="1">VLOOKUP($A299,OFFSET([2]characters!$A$1,0,0,COUNTA([2]characters!$A:$A),MATCH(F$1,[2]characters!$1:$1,0)-MATCH($A$1,[2]characters!$1:$1,0)+1),MATCH(F$1,[2]characters!$1:$1,0)-MATCH($A$1,[2]characters!$1:$1,0)+1,FALSE)</f>
        <v>不明</v>
      </c>
      <c r="G299" s="24">
        <f ca="1">VLOOKUP($A299,OFFSET([2]characters!$A$1,0,0,COUNTA([2]characters!$A:$A),MATCH(G$1,[2]characters!$1:$1,0)-MATCH($A$1,[2]characters!$1:$1,0)+1),MATCH(G$1,[2]characters!$1:$1,0)-MATCH($A$1,[2]characters!$1:$1,0)+1,FALSE)</f>
        <v>3</v>
      </c>
      <c r="H299" s="24" t="str">
        <f ca="1">VLOOKUP($A299,OFFSET([2]characters!$A$1,0,0,COUNTA([2]characters!$A:$A),MATCH(H$1,[2]characters!$1:$1,0)-MATCH($A$1,[2]characters!$1:$1,0)+1),MATCH(H$1,[2]characters!$1:$1,0)-MATCH($A$1,[2]characters!$1:$1,0)+1,FALSE)</f>
        <v>Drop2N</v>
      </c>
      <c r="I299" s="24" t="str">
        <f ca="1">VLOOKUP($A299,OFFSET([2]characters!$A$1,0,0,COUNTA([2]characters!$A:$A),MATCH(I$1,[2]characters!$1:$1,0)-MATCH($A$1,[2]characters!$1:$1,0)+1),MATCH(I$1,[2]characters!$1:$1,0)-MATCH($A$1,[2]characters!$1:$1,0)+1,FALSE)</f>
        <v>blue</v>
      </c>
      <c r="J299" s="24" t="str">
        <f ca="1">VLOOKUP($A299,OFFSET([2]characters!$A$1,0,0,COUNTA([2]characters!$A:$A),MATCH(J$1,[2]characters!$1:$1,0)-MATCH($A$1,[2]characters!$1:$1,0)+1),MATCH(J$1,[2]characters!$1:$1,0)-MATCH($A$1,[2]characters!$1:$1,0)+1,FALSE)</f>
        <v>none</v>
      </c>
      <c r="K299" s="3" t="str">
        <f ca="1">VLOOKUP(J299,[2]character_tribe_i18n!$A:$H,3,FALSE)</f>
        <v>種族なし</v>
      </c>
      <c r="L299" s="5" t="e">
        <f>VLOOKUP(#REF!,[2]character_tribe_i18n!$A:$H,4,FALSE)</f>
        <v>#REF!</v>
      </c>
      <c r="M299" s="5" t="e">
        <f>VLOOKUP(#REF!,[2]character_tribe_i18n!$A:$H,5,FALSE)</f>
        <v>#REF!</v>
      </c>
      <c r="N299" s="5" t="e">
        <f>VLOOKUP(#REF!,[2]character_tribe_i18n!$A:$H,6,FALSE)</f>
        <v>#REF!</v>
      </c>
      <c r="O299" s="5" t="e">
        <f>VLOOKUP(#REF!,[2]character_tribe_i18n!$A:$H,7,FALSE)</f>
        <v>#REF!</v>
      </c>
      <c r="P299" s="83" t="s">
        <v>170</v>
      </c>
      <c r="Q299">
        <v>558</v>
      </c>
      <c r="R299" s="25" t="str">
        <f ca="1">IF(Q299="NULL","",VLOOKUP($Q299,OFFSET([2]characters!$A$1,0,0,COUNTA([2]characters!$A:$A),MATCH(R$1,[2]characters!$1:$1,0)-MATCH($A$1,[2]characters!$1:$1,0)+1),MATCH(R$1,[2]characters!$1:$1,0)-MATCH($A$1,[2]characters!$1:$1,0)+1,FALSE))</f>
        <v>雪原の超躍 ラビット・ユキネ</v>
      </c>
      <c r="S299" s="3">
        <f t="shared" ca="1" si="5"/>
        <v>557</v>
      </c>
      <c r="T299" s="25" t="str">
        <f ca="1">VLOOKUP($S299,OFFSET([2]characters!$A$1,0,0,COUNTA([2]characters!$A:$A),MATCH(T$1,[2]characters!$1:$1,0)-MATCH($A$1,[2]characters!$1:$1,0)+1),MATCH(T$1,[2]characters!$1:$1,0)-MATCH($A$1,[2]characters!$1:$1,0)+1,FALSE)</f>
        <v>ラビット・ユキネ</v>
      </c>
      <c r="U299" s="5">
        <f ca="1">IF(Q299="NULL","NULL",VLOOKUP(G299,ビット!$A$2:$B$7,2))</f>
        <v>20000</v>
      </c>
      <c r="V299">
        <v>20000</v>
      </c>
      <c r="W299" s="6" t="str">
        <f t="shared" ca="1" si="7"/>
        <v>TRUE</v>
      </c>
    </row>
    <row r="300" spans="1:23" ht="21" customHeight="1" x14ac:dyDescent="0.15">
      <c r="A300" s="84">
        <v>558</v>
      </c>
      <c r="B300" s="24" t="str">
        <f ca="1">VLOOKUP($A300,OFFSET([2]characters!$A$1,0,0,COUNTA([2]characters!$A:$A),MATCH(B$1,[2]characters!$1:$1,0)-MATCH($A$1,[2]characters!$1:$1,0)+1),MATCH(B$1,[2]characters!$1:$1,0)-MATCH($A$1,[2]characters!$1:$1,0)+1,FALSE)</f>
        <v>雪原の超躍 ラビット・ユキネ</v>
      </c>
      <c r="C300" s="24" t="str">
        <f ca="1">VLOOKUP($A300,OFFSET([2]characters!$A$1,0,0,COUNTA([2]characters!$A:$A),MATCH(C$1,[2]characters!$1:$1,0)-MATCH($A$1,[2]characters!$1:$1,0)+1),MATCH(C$1,[2]characters!$1:$1,0)-MATCH($A$1,[2]characters!$1:$1,0)+1,FALSE)</f>
        <v>イベント:ミクコラボ01</v>
      </c>
      <c r="D300" s="24" t="str">
        <f ca="1">VLOOKUP($A300,OFFSET([2]characters!$A$1,0,0,COUNTA([2]characters!$A:$A),MATCH(D$1,[2]characters!$1:$1,0)-MATCH($A$1,[2]characters!$1:$1,0)+1),MATCH(D$1,[2]characters!$1:$1,0)-MATCH($A$1,[2]characters!$1:$1,0)+1,FALSE)</f>
        <v>執行者</v>
      </c>
      <c r="E300" s="24" t="str">
        <f ca="1">VLOOKUP($A300,OFFSET([2]characters!$A$1,0,0,COUNTA([2]characters!$A:$A),MATCH(E$1,[2]characters!$1:$1,0)-MATCH($A$1,[2]characters!$1:$1,0)+1),MATCH(E$1,[2]characters!$1:$1,0)-MATCH($A$1,[2]characters!$1:$1,0)+1,FALSE)</f>
        <v>格好いい</v>
      </c>
      <c r="F300" s="24" t="str">
        <f ca="1">VLOOKUP($A300,OFFSET([2]characters!$A$1,0,0,COUNTA([2]characters!$A:$A),MATCH(F$1,[2]characters!$1:$1,0)-MATCH($A$1,[2]characters!$1:$1,0)+1),MATCH(F$1,[2]characters!$1:$1,0)-MATCH($A$1,[2]characters!$1:$1,0)+1,FALSE)</f>
        <v>不明</v>
      </c>
      <c r="G300" s="24">
        <f ca="1">VLOOKUP($A300,OFFSET([2]characters!$A$1,0,0,COUNTA([2]characters!$A:$A),MATCH(G$1,[2]characters!$1:$1,0)-MATCH($A$1,[2]characters!$1:$1,0)+1),MATCH(G$1,[2]characters!$1:$1,0)-MATCH($A$1,[2]characters!$1:$1,0)+1,FALSE)</f>
        <v>4</v>
      </c>
      <c r="H300" s="24" t="str">
        <f ca="1">VLOOKUP($A300,OFFSET([2]characters!$A$1,0,0,COUNTA([2]characters!$A:$A),MATCH(H$1,[2]characters!$1:$1,0)-MATCH($A$1,[2]characters!$1:$1,0)+1),MATCH(H$1,[2]characters!$1:$1,0)-MATCH($A$1,[2]characters!$1:$1,0)+1,FALSE)</f>
        <v>Drop2N</v>
      </c>
      <c r="I300" s="24" t="str">
        <f ca="1">VLOOKUP($A300,OFFSET([2]characters!$A$1,0,0,COUNTA([2]characters!$A:$A),MATCH(I$1,[2]characters!$1:$1,0)-MATCH($A$1,[2]characters!$1:$1,0)+1),MATCH(I$1,[2]characters!$1:$1,0)-MATCH($A$1,[2]characters!$1:$1,0)+1,FALSE)</f>
        <v>blue</v>
      </c>
      <c r="J300" s="24" t="str">
        <f ca="1">VLOOKUP($A300,OFFSET([2]characters!$A$1,0,0,COUNTA([2]characters!$A:$A),MATCH(J$1,[2]characters!$1:$1,0)-MATCH($A$1,[2]characters!$1:$1,0)+1),MATCH(J$1,[2]characters!$1:$1,0)-MATCH($A$1,[2]characters!$1:$1,0)+1,FALSE)</f>
        <v>none</v>
      </c>
      <c r="K300" s="3" t="str">
        <f ca="1">VLOOKUP(J300,[2]character_tribe_i18n!$A:$H,3,FALSE)</f>
        <v>種族なし</v>
      </c>
      <c r="L300" s="5" t="e">
        <f>VLOOKUP(#REF!,[2]character_tribe_i18n!$A:$H,4,FALSE)</f>
        <v>#REF!</v>
      </c>
      <c r="M300" s="5" t="e">
        <f>VLOOKUP(#REF!,[2]character_tribe_i18n!$A:$H,5,FALSE)</f>
        <v>#REF!</v>
      </c>
      <c r="N300" s="5" t="e">
        <f>VLOOKUP(#REF!,[2]character_tribe_i18n!$A:$H,6,FALSE)</f>
        <v>#REF!</v>
      </c>
      <c r="O300" s="5" t="e">
        <f>VLOOKUP(#REF!,[2]character_tribe_i18n!$A:$H,7,FALSE)</f>
        <v>#REF!</v>
      </c>
      <c r="P300" s="83" t="s">
        <v>170</v>
      </c>
      <c r="Q300">
        <v>559</v>
      </c>
      <c r="R300" s="25" t="str">
        <f ca="1">IF(Q300="NULL","",VLOOKUP($Q300,OFFSET([2]characters!$A$1,0,0,COUNTA([2]characters!$A:$A),MATCH(R$1,[2]characters!$1:$1,0)-MATCH($A$1,[2]characters!$1:$1,0)+1),MATCH(R$1,[2]characters!$1:$1,0)-MATCH($A$1,[2]characters!$1:$1,0)+1,FALSE))</f>
        <v>白銀の滑光 ラビット・ユキネ</v>
      </c>
      <c r="S300" s="3">
        <f t="shared" ca="1" si="5"/>
        <v>557</v>
      </c>
      <c r="T300" s="25" t="str">
        <f ca="1">VLOOKUP($S300,OFFSET([2]characters!$A$1,0,0,COUNTA([2]characters!$A:$A),MATCH(T$1,[2]characters!$1:$1,0)-MATCH($A$1,[2]characters!$1:$1,0)+1),MATCH(T$1,[2]characters!$1:$1,0)-MATCH($A$1,[2]characters!$1:$1,0)+1,FALSE)</f>
        <v>ラビット・ユキネ</v>
      </c>
      <c r="U300" s="5">
        <f ca="1">IF(Q300="NULL","NULL",VLOOKUP(G300,ビット!$A$2:$B$7,2))</f>
        <v>50000</v>
      </c>
      <c r="V300">
        <v>50000</v>
      </c>
      <c r="W300" s="6" t="str">
        <f t="shared" ca="1" si="7"/>
        <v>TRUE</v>
      </c>
    </row>
    <row r="301" spans="1:23" s="82" customFormat="1" ht="21" customHeight="1" x14ac:dyDescent="0.15">
      <c r="A301" s="84">
        <v>573</v>
      </c>
      <c r="B301" s="79" t="str">
        <f ca="1">VLOOKUP($A301,OFFSET([2]characters!$A$1,0,0,COUNTA([2]characters!$A:$A),MATCH(B$1,[2]characters!$1:$1,0)-MATCH($A$1,[2]characters!$1:$1,0)+1),MATCH(B$1,[2]characters!$1:$1,0)-MATCH($A$1,[2]characters!$1:$1,0)+1,FALSE)</f>
        <v>オーディン</v>
      </c>
      <c r="C301" s="79" t="str">
        <f ca="1">VLOOKUP($A301,OFFSET([2]characters!$A$1,0,0,COUNTA([2]characters!$A:$A),MATCH(C$1,[2]characters!$1:$1,0)-MATCH($A$1,[2]characters!$1:$1,0)+1),MATCH(C$1,[2]characters!$1:$1,0)-MATCH($A$1,[2]characters!$1:$1,0)+1,FALSE)</f>
        <v>イベント:超ウィザード</v>
      </c>
      <c r="D301" s="79" t="str">
        <f ca="1">VLOOKUP($A301,OFFSET([2]characters!$A$1,0,0,COUNTA([2]characters!$A:$A),MATCH(D$1,[2]characters!$1:$1,0)-MATCH($A$1,[2]characters!$1:$1,0)+1),MATCH(D$1,[2]characters!$1:$1,0)-MATCH($A$1,[2]characters!$1:$1,0)+1,FALSE)</f>
        <v>執行者</v>
      </c>
      <c r="E301" s="79" t="str">
        <f ca="1">VLOOKUP($A301,OFFSET([2]characters!$A$1,0,0,COUNTA([2]characters!$A:$A),MATCH(E$1,[2]characters!$1:$1,0)-MATCH($A$1,[2]characters!$1:$1,0)+1),MATCH(E$1,[2]characters!$1:$1,0)-MATCH($A$1,[2]characters!$1:$1,0)+1,FALSE)</f>
        <v>格好いい</v>
      </c>
      <c r="F301" s="79" t="str">
        <f ca="1">VLOOKUP($A301,OFFSET([2]characters!$A$1,0,0,COUNTA([2]characters!$A:$A),MATCH(F$1,[2]characters!$1:$1,0)-MATCH($A$1,[2]characters!$1:$1,0)+1),MATCH(F$1,[2]characters!$1:$1,0)-MATCH($A$1,[2]characters!$1:$1,0)+1,FALSE)</f>
        <v>男性</v>
      </c>
      <c r="G301" s="79">
        <f ca="1">VLOOKUP($A301,OFFSET([2]characters!$A$1,0,0,COUNTA([2]characters!$A:$A),MATCH(G$1,[2]characters!$1:$1,0)-MATCH($A$1,[2]characters!$1:$1,0)+1),MATCH(G$1,[2]characters!$1:$1,0)-MATCH($A$1,[2]characters!$1:$1,0)+1,FALSE)</f>
        <v>4</v>
      </c>
      <c r="H301" s="79" t="str">
        <f ca="1">VLOOKUP($A301,OFFSET([2]characters!$A$1,0,0,COUNTA([2]characters!$A:$A),MATCH(H$1,[2]characters!$1:$1,0)-MATCH($A$1,[2]characters!$1:$1,0)+1),MATCH(H$1,[2]characters!$1:$1,0)-MATCH($A$1,[2]characters!$1:$1,0)+1,FALSE)</f>
        <v>DropWizSS</v>
      </c>
      <c r="I301" s="79" t="str">
        <f ca="1">VLOOKUP($A301,OFFSET([2]characters!$A$1,0,0,COUNTA([2]characters!$A:$A),MATCH(I$1,[2]characters!$1:$1,0)-MATCH($A$1,[2]characters!$1:$1,0)+1),MATCH(I$1,[2]characters!$1:$1,0)-MATCH($A$1,[2]characters!$1:$1,0)+1,FALSE)</f>
        <v>blue</v>
      </c>
      <c r="J301" s="79" t="str">
        <f ca="1">VLOOKUP($A301,OFFSET([2]characters!$A$1,0,0,COUNTA([2]characters!$A:$A),MATCH(J$1,[2]characters!$1:$1,0)-MATCH($A$1,[2]characters!$1:$1,0)+1),MATCH(J$1,[2]characters!$1:$1,0)-MATCH($A$1,[2]characters!$1:$1,0)+1,FALSE)</f>
        <v>god</v>
      </c>
      <c r="K301" s="80" t="str">
        <f ca="1">VLOOKUP(J301,[2]character_tribe_i18n!$A:$H,3,FALSE)</f>
        <v>ゴッド</v>
      </c>
      <c r="L301" s="28" t="e">
        <f>VLOOKUP(#REF!,[2]character_tribe_i18n!$A:$H,4,FALSE)</f>
        <v>#REF!</v>
      </c>
      <c r="M301" s="28" t="e">
        <f>VLOOKUP(#REF!,[2]character_tribe_i18n!$A:$H,5,FALSE)</f>
        <v>#REF!</v>
      </c>
      <c r="N301" s="28" t="e">
        <f>VLOOKUP(#REF!,[2]character_tribe_i18n!$A:$H,6,FALSE)</f>
        <v>#REF!</v>
      </c>
      <c r="O301" s="28" t="e">
        <f>VLOOKUP(#REF!,[2]character_tribe_i18n!$A:$H,7,FALSE)</f>
        <v>#REF!</v>
      </c>
      <c r="P301" s="83" t="s">
        <v>170</v>
      </c>
      <c r="Q301">
        <v>574</v>
      </c>
      <c r="R301" s="81" t="str">
        <f ca="1">IF(Q301="NULL","",VLOOKUP($Q301,OFFSET([2]characters!$A$1,0,0,COUNTA([2]characters!$A:$A),MATCH(R$1,[2]characters!$1:$1,0)-MATCH($A$1,[2]characters!$1:$1,0)+1),MATCH(R$1,[2]characters!$1:$1,0)-MATCH($A$1,[2]characters!$1:$1,0)+1,FALSE))</f>
        <v>世慧の守神 オーディン</v>
      </c>
      <c r="S301" s="80">
        <f t="shared" ca="1" si="5"/>
        <v>573</v>
      </c>
      <c r="T301" s="81" t="str">
        <f ca="1">VLOOKUP($S301,OFFSET([2]characters!$A$1,0,0,COUNTA([2]characters!$A:$A),MATCH(T$1,[2]characters!$1:$1,0)-MATCH($A$1,[2]characters!$1:$1,0)+1),MATCH(T$1,[2]characters!$1:$1,0)-MATCH($A$1,[2]characters!$1:$1,0)+1,FALSE)</f>
        <v>オーディン</v>
      </c>
      <c r="U301" s="28">
        <f ca="1">IF(Q301="NULL","NULL",VLOOKUP(G301,ビット!$A$2:$B$7,2))</f>
        <v>50000</v>
      </c>
      <c r="V301">
        <v>50000</v>
      </c>
      <c r="W301" s="6" t="str">
        <f t="shared" ca="1" si="7"/>
        <v>TRUE</v>
      </c>
    </row>
    <row r="302" spans="1:23" ht="21" customHeight="1" x14ac:dyDescent="0.15">
      <c r="A302" s="84">
        <v>574</v>
      </c>
      <c r="B302" s="24" t="str">
        <f ca="1">VLOOKUP($A302,OFFSET([2]characters!$A$1,0,0,COUNTA([2]characters!$A:$A),MATCH(B$1,[2]characters!$1:$1,0)-MATCH($A$1,[2]characters!$1:$1,0)+1),MATCH(B$1,[2]characters!$1:$1,0)-MATCH($A$1,[2]characters!$1:$1,0)+1,FALSE)</f>
        <v>世慧の守神 オーディン</v>
      </c>
      <c r="C302" s="24" t="str">
        <f ca="1">VLOOKUP($A302,OFFSET([2]characters!$A$1,0,0,COUNTA([2]characters!$A:$A),MATCH(C$1,[2]characters!$1:$1,0)-MATCH($A$1,[2]characters!$1:$1,0)+1),MATCH(C$1,[2]characters!$1:$1,0)-MATCH($A$1,[2]characters!$1:$1,0)+1,FALSE)</f>
        <v>イベント:超ウィザード</v>
      </c>
      <c r="D302" s="24" t="str">
        <f ca="1">VLOOKUP($A302,OFFSET([2]characters!$A$1,0,0,COUNTA([2]characters!$A:$A),MATCH(D$1,[2]characters!$1:$1,0)-MATCH($A$1,[2]characters!$1:$1,0)+1),MATCH(D$1,[2]characters!$1:$1,0)-MATCH($A$1,[2]characters!$1:$1,0)+1,FALSE)</f>
        <v>執行者</v>
      </c>
      <c r="E302" s="24" t="str">
        <f ca="1">VLOOKUP($A302,OFFSET([2]characters!$A$1,0,0,COUNTA([2]characters!$A:$A),MATCH(E$1,[2]characters!$1:$1,0)-MATCH($A$1,[2]characters!$1:$1,0)+1),MATCH(E$1,[2]characters!$1:$1,0)-MATCH($A$1,[2]characters!$1:$1,0)+1,FALSE)</f>
        <v>格好いい</v>
      </c>
      <c r="F302" s="24" t="str">
        <f ca="1">VLOOKUP($A302,OFFSET([2]characters!$A$1,0,0,COUNTA([2]characters!$A:$A),MATCH(F$1,[2]characters!$1:$1,0)-MATCH($A$1,[2]characters!$1:$1,0)+1),MATCH(F$1,[2]characters!$1:$1,0)-MATCH($A$1,[2]characters!$1:$1,0)+1,FALSE)</f>
        <v>男性</v>
      </c>
      <c r="G302" s="24">
        <f ca="1">VLOOKUP($A302,OFFSET([2]characters!$A$1,0,0,COUNTA([2]characters!$A:$A),MATCH(G$1,[2]characters!$1:$1,0)-MATCH($A$1,[2]characters!$1:$1,0)+1),MATCH(G$1,[2]characters!$1:$1,0)-MATCH($A$1,[2]characters!$1:$1,0)+1,FALSE)</f>
        <v>5</v>
      </c>
      <c r="H302" s="24" t="str">
        <f ca="1">VLOOKUP($A302,OFFSET([2]characters!$A$1,0,0,COUNTA([2]characters!$A:$A),MATCH(H$1,[2]characters!$1:$1,0)-MATCH($A$1,[2]characters!$1:$1,0)+1),MATCH(H$1,[2]characters!$1:$1,0)-MATCH($A$1,[2]characters!$1:$1,0)+1,FALSE)</f>
        <v>DropWizSS</v>
      </c>
      <c r="I302" s="24" t="str">
        <f ca="1">VLOOKUP($A302,OFFSET([2]characters!$A$1,0,0,COUNTA([2]characters!$A:$A),MATCH(I$1,[2]characters!$1:$1,0)-MATCH($A$1,[2]characters!$1:$1,0)+1),MATCH(I$1,[2]characters!$1:$1,0)-MATCH($A$1,[2]characters!$1:$1,0)+1,FALSE)</f>
        <v>blue</v>
      </c>
      <c r="J302" s="24" t="str">
        <f ca="1">VLOOKUP($A302,OFFSET([2]characters!$A$1,0,0,COUNTA([2]characters!$A:$A),MATCH(J$1,[2]characters!$1:$1,0)-MATCH($A$1,[2]characters!$1:$1,0)+1),MATCH(J$1,[2]characters!$1:$1,0)-MATCH($A$1,[2]characters!$1:$1,0)+1,FALSE)</f>
        <v>god</v>
      </c>
      <c r="K302" s="3" t="str">
        <f ca="1">VLOOKUP(J302,[2]character_tribe_i18n!$A:$H,3,FALSE)</f>
        <v>ゴッド</v>
      </c>
      <c r="L302" s="5" t="e">
        <f>VLOOKUP(#REF!,[2]character_tribe_i18n!$A:$H,4,FALSE)</f>
        <v>#REF!</v>
      </c>
      <c r="M302" s="5" t="e">
        <f>VLOOKUP(#REF!,[2]character_tribe_i18n!$A:$H,5,FALSE)</f>
        <v>#REF!</v>
      </c>
      <c r="N302" s="5" t="e">
        <f>VLOOKUP(#REF!,[2]character_tribe_i18n!$A:$H,6,FALSE)</f>
        <v>#REF!</v>
      </c>
      <c r="O302" s="5" t="e">
        <f>VLOOKUP(#REF!,[2]character_tribe_i18n!$A:$H,7,FALSE)</f>
        <v>#REF!</v>
      </c>
      <c r="P302" s="83" t="s">
        <v>170</v>
      </c>
      <c r="Q302">
        <v>801</v>
      </c>
      <c r="R302" s="25" t="str">
        <f ca="1">IF(Q302="NULL","",VLOOKUP($Q302,OFFSET([2]characters!$A$1,0,0,COUNTA([2]characters!$A:$A),MATCH(R$1,[2]characters!$1:$1,0)-MATCH($A$1,[2]characters!$1:$1,0)+1),MATCH(R$1,[2]characters!$1:$1,0)-MATCH($A$1,[2]characters!$1:$1,0)+1,FALSE))</f>
        <v>覚世の大機神 オーディン</v>
      </c>
      <c r="S302" s="3">
        <f t="shared" ca="1" si="5"/>
        <v>573</v>
      </c>
      <c r="T302" s="25" t="str">
        <f ca="1">VLOOKUP($S302,OFFSET([2]characters!$A$1,0,0,COUNTA([2]characters!$A:$A),MATCH(T$1,[2]characters!$1:$1,0)-MATCH($A$1,[2]characters!$1:$1,0)+1),MATCH(T$1,[2]characters!$1:$1,0)-MATCH($A$1,[2]characters!$1:$1,0)+1,FALSE)</f>
        <v>オーディン</v>
      </c>
      <c r="U302" s="5">
        <f ca="1">IF(Q302="NULL","NULL",VLOOKUP(G302,ビット!$A$2:$B$7,2))</f>
        <v>200000</v>
      </c>
      <c r="V302" t="s">
        <v>23</v>
      </c>
      <c r="W302" s="6" t="str">
        <f t="shared" ca="1" si="7"/>
        <v>FALSE</v>
      </c>
    </row>
    <row r="303" spans="1:23" ht="21" customHeight="1" x14ac:dyDescent="0.15">
      <c r="A303" s="84">
        <v>575</v>
      </c>
      <c r="B303" s="24" t="str">
        <f ca="1">VLOOKUP($A303,OFFSET([2]characters!$A$1,0,0,COUNTA([2]characters!$A:$A),MATCH(B$1,[2]characters!$1:$1,0)-MATCH($A$1,[2]characters!$1:$1,0)+1),MATCH(B$1,[2]characters!$1:$1,0)-MATCH($A$1,[2]characters!$1:$1,0)+1,FALSE)</f>
        <v>フレイ</v>
      </c>
      <c r="C303" s="24" t="str">
        <f ca="1">VLOOKUP($A303,OFFSET([2]characters!$A$1,0,0,COUNTA([2]characters!$A:$A),MATCH(C$1,[2]characters!$1:$1,0)-MATCH($A$1,[2]characters!$1:$1,0)+1),MATCH(C$1,[2]characters!$1:$1,0)-MATCH($A$1,[2]characters!$1:$1,0)+1,FALSE)</f>
        <v>イベント:ウィザード</v>
      </c>
      <c r="D303" s="24" t="str">
        <f ca="1">VLOOKUP($A303,OFFSET([2]characters!$A$1,0,0,COUNTA([2]characters!$A:$A),MATCH(D$1,[2]characters!$1:$1,0)-MATCH($A$1,[2]characters!$1:$1,0)+1),MATCH(D$1,[2]characters!$1:$1,0)-MATCH($A$1,[2]characters!$1:$1,0)+1,FALSE)</f>
        <v>執行者</v>
      </c>
      <c r="E303" s="24" t="str">
        <f ca="1">VLOOKUP($A303,OFFSET([2]characters!$A$1,0,0,COUNTA([2]characters!$A:$A),MATCH(E$1,[2]characters!$1:$1,0)-MATCH($A$1,[2]characters!$1:$1,0)+1),MATCH(E$1,[2]characters!$1:$1,0)-MATCH($A$1,[2]characters!$1:$1,0)+1,FALSE)</f>
        <v>格好いい</v>
      </c>
      <c r="F303" s="24" t="str">
        <f ca="1">VLOOKUP($A303,OFFSET([2]characters!$A$1,0,0,COUNTA([2]characters!$A:$A),MATCH(F$1,[2]characters!$1:$1,0)-MATCH($A$1,[2]characters!$1:$1,0)+1),MATCH(F$1,[2]characters!$1:$1,0)-MATCH($A$1,[2]characters!$1:$1,0)+1,FALSE)</f>
        <v>男性</v>
      </c>
      <c r="G303" s="24">
        <f ca="1">VLOOKUP($A303,OFFSET([2]characters!$A$1,0,0,COUNTA([2]characters!$A:$A),MATCH(G$1,[2]characters!$1:$1,0)-MATCH($A$1,[2]characters!$1:$1,0)+1),MATCH(G$1,[2]characters!$1:$1,0)-MATCH($A$1,[2]characters!$1:$1,0)+1,FALSE)</f>
        <v>4</v>
      </c>
      <c r="H303" s="24" t="str">
        <f ca="1">VLOOKUP($A303,OFFSET([2]characters!$A$1,0,0,COUNTA([2]characters!$A:$A),MATCH(H$1,[2]characters!$1:$1,0)-MATCH($A$1,[2]characters!$1:$1,0)+1),MATCH(H$1,[2]characters!$1:$1,0)-MATCH($A$1,[2]characters!$1:$1,0)+1,FALSE)</f>
        <v>DropWizS</v>
      </c>
      <c r="I303" s="24" t="str">
        <f ca="1">VLOOKUP($A303,OFFSET([2]characters!$A$1,0,0,COUNTA([2]characters!$A:$A),MATCH(I$1,[2]characters!$1:$1,0)-MATCH($A$1,[2]characters!$1:$1,0)+1),MATCH(I$1,[2]characters!$1:$1,0)-MATCH($A$1,[2]characters!$1:$1,0)+1,FALSE)</f>
        <v>red</v>
      </c>
      <c r="J303" s="24" t="str">
        <f ca="1">VLOOKUP($A303,OFFSET([2]characters!$A$1,0,0,COUNTA([2]characters!$A:$A),MATCH(J$1,[2]characters!$1:$1,0)-MATCH($A$1,[2]characters!$1:$1,0)+1),MATCH(J$1,[2]characters!$1:$1,0)-MATCH($A$1,[2]characters!$1:$1,0)+1,FALSE)</f>
        <v>none</v>
      </c>
      <c r="K303" s="3" t="str">
        <f ca="1">VLOOKUP(J303,[2]character_tribe_i18n!$A:$H,3,FALSE)</f>
        <v>種族なし</v>
      </c>
      <c r="L303" s="5" t="e">
        <f>VLOOKUP(#REF!,[2]character_tribe_i18n!$A:$H,4,FALSE)</f>
        <v>#REF!</v>
      </c>
      <c r="M303" s="5" t="e">
        <f>VLOOKUP(#REF!,[2]character_tribe_i18n!$A:$H,5,FALSE)</f>
        <v>#REF!</v>
      </c>
      <c r="N303" s="5" t="e">
        <f>VLOOKUP(#REF!,[2]character_tribe_i18n!$A:$H,6,FALSE)</f>
        <v>#REF!</v>
      </c>
      <c r="O303" s="5" t="e">
        <f>VLOOKUP(#REF!,[2]character_tribe_i18n!$A:$H,7,FALSE)</f>
        <v>#REF!</v>
      </c>
      <c r="P303" s="83" t="s">
        <v>170</v>
      </c>
      <c r="Q303">
        <v>576</v>
      </c>
      <c r="R303" s="25" t="str">
        <f ca="1">IF(Q303="NULL","",VLOOKUP($Q303,OFFSET([2]characters!$A$1,0,0,COUNTA([2]characters!$A:$A),MATCH(R$1,[2]characters!$1:$1,0)-MATCH($A$1,[2]characters!$1:$1,0)+1),MATCH(R$1,[2]characters!$1:$1,0)-MATCH($A$1,[2]characters!$1:$1,0)+1,FALSE))</f>
        <v>統勝の豊穣王神 フレイ</v>
      </c>
      <c r="S303" s="3">
        <f t="shared" ca="1" si="5"/>
        <v>575</v>
      </c>
      <c r="T303" s="25" t="str">
        <f ca="1">VLOOKUP($S303,OFFSET([2]characters!$A$1,0,0,COUNTA([2]characters!$A:$A),MATCH(T$1,[2]characters!$1:$1,0)-MATCH($A$1,[2]characters!$1:$1,0)+1),MATCH(T$1,[2]characters!$1:$1,0)-MATCH($A$1,[2]characters!$1:$1,0)+1,FALSE)</f>
        <v>フレイ</v>
      </c>
      <c r="U303" s="5">
        <f ca="1">IF(Q303="NULL","NULL",VLOOKUP(G303,ビット!$A$2:$B$7,2))</f>
        <v>50000</v>
      </c>
      <c r="V303">
        <v>50000</v>
      </c>
      <c r="W303" s="6" t="str">
        <f t="shared" ca="1" si="7"/>
        <v>TRUE</v>
      </c>
    </row>
    <row r="304" spans="1:23" ht="21" customHeight="1" x14ac:dyDescent="0.15">
      <c r="A304" s="84">
        <v>577</v>
      </c>
      <c r="B304" s="24" t="str">
        <f ca="1">VLOOKUP($A304,OFFSET([2]characters!$A$1,0,0,COUNTA([2]characters!$A:$A),MATCH(B$1,[2]characters!$1:$1,0)-MATCH($A$1,[2]characters!$1:$1,0)+1),MATCH(B$1,[2]characters!$1:$1,0)-MATCH($A$1,[2]characters!$1:$1,0)+1,FALSE)</f>
        <v>ビュグヴィルとベイラ</v>
      </c>
      <c r="C304" s="24" t="str">
        <f ca="1">VLOOKUP($A304,OFFSET([2]characters!$A$1,0,0,COUNTA([2]characters!$A:$A),MATCH(C$1,[2]characters!$1:$1,0)-MATCH($A$1,[2]characters!$1:$1,0)+1),MATCH(C$1,[2]characters!$1:$1,0)-MATCH($A$1,[2]characters!$1:$1,0)+1,FALSE)</f>
        <v>イベント:北欧01</v>
      </c>
      <c r="D304" s="24" t="str">
        <f ca="1">VLOOKUP($A304,OFFSET([2]characters!$A$1,0,0,COUNTA([2]characters!$A:$A),MATCH(D$1,[2]characters!$1:$1,0)-MATCH($A$1,[2]characters!$1:$1,0)+1),MATCH(D$1,[2]characters!$1:$1,0)-MATCH($A$1,[2]characters!$1:$1,0)+1,FALSE)</f>
        <v>執行者</v>
      </c>
      <c r="E304" s="24" t="str">
        <f ca="1">VLOOKUP($A304,OFFSET([2]characters!$A$1,0,0,COUNTA([2]characters!$A:$A),MATCH(E$1,[2]characters!$1:$1,0)-MATCH($A$1,[2]characters!$1:$1,0)+1),MATCH(E$1,[2]characters!$1:$1,0)-MATCH($A$1,[2]characters!$1:$1,0)+1,FALSE)</f>
        <v>格好いい</v>
      </c>
      <c r="F304" s="24" t="str">
        <f ca="1">VLOOKUP($A304,OFFSET([2]characters!$A$1,0,0,COUNTA([2]characters!$A:$A),MATCH(F$1,[2]characters!$1:$1,0)-MATCH($A$1,[2]characters!$1:$1,0)+1),MATCH(F$1,[2]characters!$1:$1,0)-MATCH($A$1,[2]characters!$1:$1,0)+1,FALSE)</f>
        <v>女性</v>
      </c>
      <c r="G304" s="24">
        <f ca="1">VLOOKUP($A304,OFFSET([2]characters!$A$1,0,0,COUNTA([2]characters!$A:$A),MATCH(G$1,[2]characters!$1:$1,0)-MATCH($A$1,[2]characters!$1:$1,0)+1),MATCH(G$1,[2]characters!$1:$1,0)-MATCH($A$1,[2]characters!$1:$1,0)+1,FALSE)</f>
        <v>4</v>
      </c>
      <c r="H304" s="24" t="str">
        <f ca="1">VLOOKUP($A304,OFFSET([2]characters!$A$1,0,0,COUNTA([2]characters!$A:$A),MATCH(H$1,[2]characters!$1:$1,0)-MATCH($A$1,[2]characters!$1:$1,0)+1),MATCH(H$1,[2]characters!$1:$1,0)-MATCH($A$1,[2]characters!$1:$1,0)+1,FALSE)</f>
        <v>Drop2N</v>
      </c>
      <c r="I304" s="24" t="str">
        <f ca="1">VLOOKUP($A304,OFFSET([2]characters!$A$1,0,0,COUNTA([2]characters!$A:$A),MATCH(I$1,[2]characters!$1:$1,0)-MATCH($A$1,[2]characters!$1:$1,0)+1),MATCH(I$1,[2]characters!$1:$1,0)-MATCH($A$1,[2]characters!$1:$1,0)+1,FALSE)</f>
        <v>red</v>
      </c>
      <c r="J304" s="24" t="str">
        <f ca="1">VLOOKUP($A304,OFFSET([2]characters!$A$1,0,0,COUNTA([2]characters!$A:$A),MATCH(J$1,[2]characters!$1:$1,0)-MATCH($A$1,[2]characters!$1:$1,0)+1),MATCH(J$1,[2]characters!$1:$1,0)-MATCH($A$1,[2]characters!$1:$1,0)+1,FALSE)</f>
        <v>none</v>
      </c>
      <c r="K304" s="3" t="str">
        <f ca="1">VLOOKUP(J304,[2]character_tribe_i18n!$A:$H,3,FALSE)</f>
        <v>種族なし</v>
      </c>
      <c r="L304" s="5" t="e">
        <f>VLOOKUP(#REF!,[2]character_tribe_i18n!$A:$H,4,FALSE)</f>
        <v>#REF!</v>
      </c>
      <c r="M304" s="5" t="e">
        <f>VLOOKUP(#REF!,[2]character_tribe_i18n!$A:$H,5,FALSE)</f>
        <v>#REF!</v>
      </c>
      <c r="N304" s="5" t="e">
        <f>VLOOKUP(#REF!,[2]character_tribe_i18n!$A:$H,6,FALSE)</f>
        <v>#REF!</v>
      </c>
      <c r="O304" s="5" t="e">
        <f>VLOOKUP(#REF!,[2]character_tribe_i18n!$A:$H,7,FALSE)</f>
        <v>#REF!</v>
      </c>
      <c r="P304" s="83" t="s">
        <v>170</v>
      </c>
      <c r="Q304">
        <v>578</v>
      </c>
      <c r="R304" s="25" t="str">
        <f ca="1">IF(Q304="NULL","",VLOOKUP($Q304,OFFSET([2]characters!$A$1,0,0,COUNTA([2]characters!$A:$A),MATCH(R$1,[2]characters!$1:$1,0)-MATCH($A$1,[2]characters!$1:$1,0)+1),MATCH(R$1,[2]characters!$1:$1,0)-MATCH($A$1,[2]characters!$1:$1,0)+1,FALSE))</f>
        <v>穣神従事 ビュグヴィルとベイラ</v>
      </c>
      <c r="S304" s="3">
        <f t="shared" ca="1" si="5"/>
        <v>577</v>
      </c>
      <c r="T304" s="25" t="str">
        <f ca="1">VLOOKUP($S304,OFFSET([2]characters!$A$1,0,0,COUNTA([2]characters!$A:$A),MATCH(T$1,[2]characters!$1:$1,0)-MATCH($A$1,[2]characters!$1:$1,0)+1),MATCH(T$1,[2]characters!$1:$1,0)-MATCH($A$1,[2]characters!$1:$1,0)+1,FALSE)</f>
        <v>ビュグヴィルとベイラ</v>
      </c>
      <c r="U304" s="5">
        <f ca="1">IF(Q304="NULL","NULL",VLOOKUP(G304,ビット!$A$2:$B$7,2))</f>
        <v>50000</v>
      </c>
      <c r="V304">
        <v>50000</v>
      </c>
      <c r="W304" s="6" t="str">
        <f t="shared" ca="1" si="7"/>
        <v>TRUE</v>
      </c>
    </row>
    <row r="305" spans="1:23" ht="21" customHeight="1" x14ac:dyDescent="0.15">
      <c r="A305" s="84">
        <v>579</v>
      </c>
      <c r="B305" s="24" t="str">
        <f ca="1">VLOOKUP($A305,OFFSET([2]characters!$A$1,0,0,COUNTA([2]characters!$A:$A),MATCH(B$1,[2]characters!$1:$1,0)-MATCH($A$1,[2]characters!$1:$1,0)+1),MATCH(B$1,[2]characters!$1:$1,0)-MATCH($A$1,[2]characters!$1:$1,0)+1,FALSE)</f>
        <v>オーズ</v>
      </c>
      <c r="C305" s="24" t="str">
        <f ca="1">VLOOKUP($A305,OFFSET([2]characters!$A$1,0,0,COUNTA([2]characters!$A:$A),MATCH(C$1,[2]characters!$1:$1,0)-MATCH($A$1,[2]characters!$1:$1,0)+1),MATCH(C$1,[2]characters!$1:$1,0)-MATCH($A$1,[2]characters!$1:$1,0)+1,FALSE)</f>
        <v>イベント:北欧01</v>
      </c>
      <c r="D305" s="24" t="str">
        <f ca="1">VLOOKUP($A305,OFFSET([2]characters!$A$1,0,0,COUNTA([2]characters!$A:$A),MATCH(D$1,[2]characters!$1:$1,0)-MATCH($A$1,[2]characters!$1:$1,0)+1),MATCH(D$1,[2]characters!$1:$1,0)-MATCH($A$1,[2]characters!$1:$1,0)+1,FALSE)</f>
        <v>執行者</v>
      </c>
      <c r="E305" s="24" t="str">
        <f ca="1">VLOOKUP($A305,OFFSET([2]characters!$A$1,0,0,COUNTA([2]characters!$A:$A),MATCH(E$1,[2]characters!$1:$1,0)-MATCH($A$1,[2]characters!$1:$1,0)+1),MATCH(E$1,[2]characters!$1:$1,0)-MATCH($A$1,[2]characters!$1:$1,0)+1,FALSE)</f>
        <v>格好いい</v>
      </c>
      <c r="F305" s="24" t="str">
        <f ca="1">VLOOKUP($A305,OFFSET([2]characters!$A$1,0,0,COUNTA([2]characters!$A:$A),MATCH(F$1,[2]characters!$1:$1,0)-MATCH($A$1,[2]characters!$1:$1,0)+1),MATCH(F$1,[2]characters!$1:$1,0)-MATCH($A$1,[2]characters!$1:$1,0)+1,FALSE)</f>
        <v>男性</v>
      </c>
      <c r="G305" s="24">
        <f ca="1">VLOOKUP($A305,OFFSET([2]characters!$A$1,0,0,COUNTA([2]characters!$A:$A),MATCH(G$1,[2]characters!$1:$1,0)-MATCH($A$1,[2]characters!$1:$1,0)+1),MATCH(G$1,[2]characters!$1:$1,0)-MATCH($A$1,[2]characters!$1:$1,0)+1,FALSE)</f>
        <v>4</v>
      </c>
      <c r="H305" s="24" t="str">
        <f ca="1">VLOOKUP($A305,OFFSET([2]characters!$A$1,0,0,COUNTA([2]characters!$A:$A),MATCH(H$1,[2]characters!$1:$1,0)-MATCH($A$1,[2]characters!$1:$1,0)+1),MATCH(H$1,[2]characters!$1:$1,0)-MATCH($A$1,[2]characters!$1:$1,0)+1,FALSE)</f>
        <v>Drop2N</v>
      </c>
      <c r="I305" s="24" t="str">
        <f ca="1">VLOOKUP($A305,OFFSET([2]characters!$A$1,0,0,COUNTA([2]characters!$A:$A),MATCH(I$1,[2]characters!$1:$1,0)-MATCH($A$1,[2]characters!$1:$1,0)+1),MATCH(I$1,[2]characters!$1:$1,0)-MATCH($A$1,[2]characters!$1:$1,0)+1,FALSE)</f>
        <v>green</v>
      </c>
      <c r="J305" s="24" t="str">
        <f ca="1">VLOOKUP($A305,OFFSET([2]characters!$A$1,0,0,COUNTA([2]characters!$A:$A),MATCH(J$1,[2]characters!$1:$1,0)-MATCH($A$1,[2]characters!$1:$1,0)+1),MATCH(J$1,[2]characters!$1:$1,0)-MATCH($A$1,[2]characters!$1:$1,0)+1,FALSE)</f>
        <v>none</v>
      </c>
      <c r="K305" s="3" t="str">
        <f ca="1">VLOOKUP(J305,[2]character_tribe_i18n!$A:$H,3,FALSE)</f>
        <v>種族なし</v>
      </c>
      <c r="L305" s="5" t="e">
        <f>VLOOKUP(#REF!,[2]character_tribe_i18n!$A:$H,4,FALSE)</f>
        <v>#REF!</v>
      </c>
      <c r="M305" s="5" t="e">
        <f>VLOOKUP(#REF!,[2]character_tribe_i18n!$A:$H,5,FALSE)</f>
        <v>#REF!</v>
      </c>
      <c r="N305" s="5" t="e">
        <f>VLOOKUP(#REF!,[2]character_tribe_i18n!$A:$H,6,FALSE)</f>
        <v>#REF!</v>
      </c>
      <c r="O305" s="5" t="e">
        <f>VLOOKUP(#REF!,[2]character_tribe_i18n!$A:$H,7,FALSE)</f>
        <v>#REF!</v>
      </c>
      <c r="P305" s="83" t="s">
        <v>170</v>
      </c>
      <c r="Q305">
        <v>580</v>
      </c>
      <c r="R305" s="25" t="str">
        <f ca="1">IF(Q305="NULL","",VLOOKUP($Q305,OFFSET([2]characters!$A$1,0,0,COUNTA([2]characters!$A:$A),MATCH(R$1,[2]characters!$1:$1,0)-MATCH($A$1,[2]characters!$1:$1,0)+1),MATCH(R$1,[2]characters!$1:$1,0)-MATCH($A$1,[2]characters!$1:$1,0)+1,FALSE))</f>
        <v>愛憐の旅神 オーズ</v>
      </c>
      <c r="S305" s="3">
        <f t="shared" ca="1" si="5"/>
        <v>579</v>
      </c>
      <c r="T305" s="25" t="str">
        <f ca="1">VLOOKUP($S305,OFFSET([2]characters!$A$1,0,0,COUNTA([2]characters!$A:$A),MATCH(T$1,[2]characters!$1:$1,0)-MATCH($A$1,[2]characters!$1:$1,0)+1),MATCH(T$1,[2]characters!$1:$1,0)-MATCH($A$1,[2]characters!$1:$1,0)+1,FALSE)</f>
        <v>オーズ</v>
      </c>
      <c r="U305" s="5">
        <f ca="1">IF(Q305="NULL","NULL",VLOOKUP(G305,ビット!$A$2:$B$7,2))</f>
        <v>50000</v>
      </c>
      <c r="V305">
        <v>50000</v>
      </c>
      <c r="W305" s="6" t="str">
        <f t="shared" ca="1" si="7"/>
        <v>TRUE</v>
      </c>
    </row>
    <row r="306" spans="1:23" ht="21" customHeight="1" x14ac:dyDescent="0.15">
      <c r="A306" s="84">
        <v>581</v>
      </c>
      <c r="B306" s="24" t="str">
        <f ca="1">VLOOKUP($A306,OFFSET([2]characters!$A$1,0,0,COUNTA([2]characters!$A:$A),MATCH(B$1,[2]characters!$1:$1,0)-MATCH($A$1,[2]characters!$1:$1,0)+1),MATCH(B$1,[2]characters!$1:$1,0)-MATCH($A$1,[2]characters!$1:$1,0)+1,FALSE)</f>
        <v>フギンとムニン</v>
      </c>
      <c r="C306" s="24" t="str">
        <f ca="1">VLOOKUP($A306,OFFSET([2]characters!$A$1,0,0,COUNTA([2]characters!$A:$A),MATCH(C$1,[2]characters!$1:$1,0)-MATCH($A$1,[2]characters!$1:$1,0)+1),MATCH(C$1,[2]characters!$1:$1,0)-MATCH($A$1,[2]characters!$1:$1,0)+1,FALSE)</f>
        <v>イベント:ウィザード</v>
      </c>
      <c r="D306" s="24" t="str">
        <f ca="1">VLOOKUP($A306,OFFSET([2]characters!$A$1,0,0,COUNTA([2]characters!$A:$A),MATCH(D$1,[2]characters!$1:$1,0)-MATCH($A$1,[2]characters!$1:$1,0)+1),MATCH(D$1,[2]characters!$1:$1,0)-MATCH($A$1,[2]characters!$1:$1,0)+1,FALSE)</f>
        <v>執行者</v>
      </c>
      <c r="E306" s="24" t="str">
        <f ca="1">VLOOKUP($A306,OFFSET([2]characters!$A$1,0,0,COUNTA([2]characters!$A:$A),MATCH(E$1,[2]characters!$1:$1,0)-MATCH($A$1,[2]characters!$1:$1,0)+1),MATCH(E$1,[2]characters!$1:$1,0)-MATCH($A$1,[2]characters!$1:$1,0)+1,FALSE)</f>
        <v>格好いい</v>
      </c>
      <c r="F306" s="24" t="str">
        <f ca="1">VLOOKUP($A306,OFFSET([2]characters!$A$1,0,0,COUNTA([2]characters!$A:$A),MATCH(F$1,[2]characters!$1:$1,0)-MATCH($A$1,[2]characters!$1:$1,0)+1),MATCH(F$1,[2]characters!$1:$1,0)-MATCH($A$1,[2]characters!$1:$1,0)+1,FALSE)</f>
        <v>不明</v>
      </c>
      <c r="G306" s="24">
        <f ca="1">VLOOKUP($A306,OFFSET([2]characters!$A$1,0,0,COUNTA([2]characters!$A:$A),MATCH(G$1,[2]characters!$1:$1,0)-MATCH($A$1,[2]characters!$1:$1,0)+1),MATCH(G$1,[2]characters!$1:$1,0)-MATCH($A$1,[2]characters!$1:$1,0)+1,FALSE)</f>
        <v>4</v>
      </c>
      <c r="H306" s="24" t="str">
        <f ca="1">VLOOKUP($A306,OFFSET([2]characters!$A$1,0,0,COUNTA([2]characters!$A:$A),MATCH(H$1,[2]characters!$1:$1,0)-MATCH($A$1,[2]characters!$1:$1,0)+1),MATCH(H$1,[2]characters!$1:$1,0)-MATCH($A$1,[2]characters!$1:$1,0)+1,FALSE)</f>
        <v>DropWizS</v>
      </c>
      <c r="I306" s="24" t="str">
        <f ca="1">VLOOKUP($A306,OFFSET([2]characters!$A$1,0,0,COUNTA([2]characters!$A:$A),MATCH(I$1,[2]characters!$1:$1,0)-MATCH($A$1,[2]characters!$1:$1,0)+1),MATCH(I$1,[2]characters!$1:$1,0)-MATCH($A$1,[2]characters!$1:$1,0)+1,FALSE)</f>
        <v>blue</v>
      </c>
      <c r="J306" s="24" t="str">
        <f ca="1">VLOOKUP($A306,OFFSET([2]characters!$A$1,0,0,COUNTA([2]characters!$A:$A),MATCH(J$1,[2]characters!$1:$1,0)-MATCH($A$1,[2]characters!$1:$1,0)+1),MATCH(J$1,[2]characters!$1:$1,0)-MATCH($A$1,[2]characters!$1:$1,0)+1,FALSE)</f>
        <v>animal</v>
      </c>
      <c r="K306" s="3" t="str">
        <f ca="1">VLOOKUP(J306,[2]character_tribe_i18n!$A:$H,3,FALSE)</f>
        <v>アニマル</v>
      </c>
      <c r="L306" s="5" t="e">
        <f>VLOOKUP(#REF!,[2]character_tribe_i18n!$A:$H,4,FALSE)</f>
        <v>#REF!</v>
      </c>
      <c r="M306" s="5" t="e">
        <f>VLOOKUP(#REF!,[2]character_tribe_i18n!$A:$H,5,FALSE)</f>
        <v>#REF!</v>
      </c>
      <c r="N306" s="5" t="e">
        <f>VLOOKUP(#REF!,[2]character_tribe_i18n!$A:$H,6,FALSE)</f>
        <v>#REF!</v>
      </c>
      <c r="O306" s="5" t="e">
        <f>VLOOKUP(#REF!,[2]character_tribe_i18n!$A:$H,7,FALSE)</f>
        <v>#REF!</v>
      </c>
      <c r="P306" s="83" t="s">
        <v>170</v>
      </c>
      <c r="Q306">
        <v>582</v>
      </c>
      <c r="R306" s="25" t="str">
        <f ca="1">IF(Q306="NULL","",VLOOKUP($Q306,OFFSET([2]characters!$A$1,0,0,COUNTA([2]characters!$A:$A),MATCH(R$1,[2]characters!$1:$1,0)-MATCH($A$1,[2]characters!$1:$1,0)+1),MATCH(R$1,[2]characters!$1:$1,0)-MATCH($A$1,[2]characters!$1:$1,0)+1,FALSE))</f>
        <v>空を駆る双鴉 フギンとムニン</v>
      </c>
      <c r="S306" s="3">
        <f t="shared" ca="1" si="5"/>
        <v>581</v>
      </c>
      <c r="T306" s="25" t="str">
        <f ca="1">VLOOKUP($S306,OFFSET([2]characters!$A$1,0,0,COUNTA([2]characters!$A:$A),MATCH(T$1,[2]characters!$1:$1,0)-MATCH($A$1,[2]characters!$1:$1,0)+1),MATCH(T$1,[2]characters!$1:$1,0)-MATCH($A$1,[2]characters!$1:$1,0)+1,FALSE)</f>
        <v>フギンとムニン</v>
      </c>
      <c r="U306" s="5">
        <f ca="1">IF(Q306="NULL","NULL",VLOOKUP(G306,ビット!$A$2:$B$7,2))</f>
        <v>50000</v>
      </c>
      <c r="V306">
        <v>50000</v>
      </c>
      <c r="W306" s="6" t="str">
        <f t="shared" ca="1" si="7"/>
        <v>TRUE</v>
      </c>
    </row>
    <row r="307" spans="1:23" ht="21" customHeight="1" x14ac:dyDescent="0.15">
      <c r="A307" s="84">
        <v>583</v>
      </c>
      <c r="B307" s="24" t="str">
        <f ca="1">VLOOKUP($A307,OFFSET([2]characters!$A$1,0,0,COUNTA([2]characters!$A:$A),MATCH(B$1,[2]characters!$1:$1,0)-MATCH($A$1,[2]characters!$1:$1,0)+1),MATCH(B$1,[2]characters!$1:$1,0)-MATCH($A$1,[2]characters!$1:$1,0)+1,FALSE)</f>
        <v>ミョルニル</v>
      </c>
      <c r="C307" s="24" t="str">
        <f ca="1">VLOOKUP($A307,OFFSET([2]characters!$A$1,0,0,COUNTA([2]characters!$A:$A),MATCH(C$1,[2]characters!$1:$1,0)-MATCH($A$1,[2]characters!$1:$1,0)+1),MATCH(C$1,[2]characters!$1:$1,0)-MATCH($A$1,[2]characters!$1:$1,0)+1,FALSE)</f>
        <v>イベント:北欧01</v>
      </c>
      <c r="D307" s="24" t="str">
        <f ca="1">VLOOKUP($A307,OFFSET([2]characters!$A$1,0,0,COUNTA([2]characters!$A:$A),MATCH(D$1,[2]characters!$1:$1,0)-MATCH($A$1,[2]characters!$1:$1,0)+1),MATCH(D$1,[2]characters!$1:$1,0)-MATCH($A$1,[2]characters!$1:$1,0)+1,FALSE)</f>
        <v>執行者</v>
      </c>
      <c r="E307" s="24" t="str">
        <f ca="1">VLOOKUP($A307,OFFSET([2]characters!$A$1,0,0,COUNTA([2]characters!$A:$A),MATCH(E$1,[2]characters!$1:$1,0)-MATCH($A$1,[2]characters!$1:$1,0)+1),MATCH(E$1,[2]characters!$1:$1,0)-MATCH($A$1,[2]characters!$1:$1,0)+1,FALSE)</f>
        <v>格好いい</v>
      </c>
      <c r="F307" s="24" t="str">
        <f ca="1">VLOOKUP($A307,OFFSET([2]characters!$A$1,0,0,COUNTA([2]characters!$A:$A),MATCH(F$1,[2]characters!$1:$1,0)-MATCH($A$1,[2]characters!$1:$1,0)+1),MATCH(F$1,[2]characters!$1:$1,0)-MATCH($A$1,[2]characters!$1:$1,0)+1,FALSE)</f>
        <v>不明</v>
      </c>
      <c r="G307" s="24">
        <f ca="1">VLOOKUP($A307,OFFSET([2]characters!$A$1,0,0,COUNTA([2]characters!$A:$A),MATCH(G$1,[2]characters!$1:$1,0)-MATCH($A$1,[2]characters!$1:$1,0)+1),MATCH(G$1,[2]characters!$1:$1,0)-MATCH($A$1,[2]characters!$1:$1,0)+1,FALSE)</f>
        <v>4</v>
      </c>
      <c r="H307" s="24" t="str">
        <f ca="1">VLOOKUP($A307,OFFSET([2]characters!$A$1,0,0,COUNTA([2]characters!$A:$A),MATCH(H$1,[2]characters!$1:$1,0)-MATCH($A$1,[2]characters!$1:$1,0)+1),MATCH(H$1,[2]characters!$1:$1,0)-MATCH($A$1,[2]characters!$1:$1,0)+1,FALSE)</f>
        <v>Drop2N</v>
      </c>
      <c r="I307" s="24" t="str">
        <f ca="1">VLOOKUP($A307,OFFSET([2]characters!$A$1,0,0,COUNTA([2]characters!$A:$A),MATCH(I$1,[2]characters!$1:$1,0)-MATCH($A$1,[2]characters!$1:$1,0)+1),MATCH(I$1,[2]characters!$1:$1,0)-MATCH($A$1,[2]characters!$1:$1,0)+1,FALSE)</f>
        <v>yellow</v>
      </c>
      <c r="J307" s="24" t="str">
        <f ca="1">VLOOKUP($A307,OFFSET([2]characters!$A$1,0,0,COUNTA([2]characters!$A:$A),MATCH(J$1,[2]characters!$1:$1,0)-MATCH($A$1,[2]characters!$1:$1,0)+1),MATCH(J$1,[2]characters!$1:$1,0)-MATCH($A$1,[2]characters!$1:$1,0)+1,FALSE)</f>
        <v>none</v>
      </c>
      <c r="K307" s="3" t="str">
        <f ca="1">VLOOKUP(J307,[2]character_tribe_i18n!$A:$H,3,FALSE)</f>
        <v>種族なし</v>
      </c>
      <c r="L307" s="5" t="e">
        <f>VLOOKUP(#REF!,[2]character_tribe_i18n!$A:$H,4,FALSE)</f>
        <v>#REF!</v>
      </c>
      <c r="M307" s="5" t="e">
        <f>VLOOKUP(#REF!,[2]character_tribe_i18n!$A:$H,5,FALSE)</f>
        <v>#REF!</v>
      </c>
      <c r="N307" s="5" t="e">
        <f>VLOOKUP(#REF!,[2]character_tribe_i18n!$A:$H,6,FALSE)</f>
        <v>#REF!</v>
      </c>
      <c r="O307" s="5" t="e">
        <f>VLOOKUP(#REF!,[2]character_tribe_i18n!$A:$H,7,FALSE)</f>
        <v>#REF!</v>
      </c>
      <c r="P307" s="83" t="s">
        <v>170</v>
      </c>
      <c r="Q307">
        <v>584</v>
      </c>
      <c r="R307" s="25" t="str">
        <f ca="1">IF(Q307="NULL","",VLOOKUP($Q307,OFFSET([2]characters!$A$1,0,0,COUNTA([2]characters!$A:$A),MATCH(R$1,[2]characters!$1:$1,0)-MATCH($A$1,[2]characters!$1:$1,0)+1),MATCH(R$1,[2]characters!$1:$1,0)-MATCH($A$1,[2]characters!$1:$1,0)+1,FALSE))</f>
        <v>自律する召雷鎚 ミョルニル</v>
      </c>
      <c r="S307" s="3">
        <f t="shared" ca="1" si="5"/>
        <v>583</v>
      </c>
      <c r="T307" s="25" t="str">
        <f ca="1">VLOOKUP($S307,OFFSET([2]characters!$A$1,0,0,COUNTA([2]characters!$A:$A),MATCH(T$1,[2]characters!$1:$1,0)-MATCH($A$1,[2]characters!$1:$1,0)+1),MATCH(T$1,[2]characters!$1:$1,0)-MATCH($A$1,[2]characters!$1:$1,0)+1,FALSE)</f>
        <v>ミョルニル</v>
      </c>
      <c r="U307" s="5">
        <f ca="1">IF(Q307="NULL","NULL",VLOOKUP(G307,ビット!$A$2:$B$7,2))</f>
        <v>50000</v>
      </c>
      <c r="V307">
        <v>50000</v>
      </c>
      <c r="W307" s="6" t="str">
        <f t="shared" ca="1" si="7"/>
        <v>TRUE</v>
      </c>
    </row>
    <row r="308" spans="1:23" ht="21" customHeight="1" x14ac:dyDescent="0.15">
      <c r="A308" s="84">
        <v>586</v>
      </c>
      <c r="B308" s="24" t="str">
        <f ca="1">VLOOKUP($A308,OFFSET([2]characters!$A$1,0,0,COUNTA([2]characters!$A:$A),MATCH(B$1,[2]characters!$1:$1,0)-MATCH($A$1,[2]characters!$1:$1,0)+1),MATCH(B$1,[2]characters!$1:$1,0)-MATCH($A$1,[2]characters!$1:$1,0)+1,FALSE)</f>
        <v>ユミル</v>
      </c>
      <c r="C308" s="24" t="str">
        <f ca="1">VLOOKUP($A308,OFFSET([2]characters!$A$1,0,0,COUNTA([2]characters!$A:$A),MATCH(C$1,[2]characters!$1:$1,0)-MATCH($A$1,[2]characters!$1:$1,0)+1),MATCH(C$1,[2]characters!$1:$1,0)-MATCH($A$1,[2]characters!$1:$1,0)+1,FALSE)</f>
        <v>ガチャ:北欧01</v>
      </c>
      <c r="D308" s="24" t="str">
        <f ca="1">VLOOKUP($A308,OFFSET([2]characters!$A$1,0,0,COUNTA([2]characters!$A:$A),MATCH(D$1,[2]characters!$1:$1,0)-MATCH($A$1,[2]characters!$1:$1,0)+1),MATCH(D$1,[2]characters!$1:$1,0)-MATCH($A$1,[2]characters!$1:$1,0)+1,FALSE)</f>
        <v>執行者</v>
      </c>
      <c r="E308" s="24" t="str">
        <f ca="1">VLOOKUP($A308,OFFSET([2]characters!$A$1,0,0,COUNTA([2]characters!$A:$A),MATCH(E$1,[2]characters!$1:$1,0)-MATCH($A$1,[2]characters!$1:$1,0)+1),MATCH(E$1,[2]characters!$1:$1,0)-MATCH($A$1,[2]characters!$1:$1,0)+1,FALSE)</f>
        <v>格好いい</v>
      </c>
      <c r="F308" s="24" t="str">
        <f ca="1">VLOOKUP($A308,OFFSET([2]characters!$A$1,0,0,COUNTA([2]characters!$A:$A),MATCH(F$1,[2]characters!$1:$1,0)-MATCH($A$1,[2]characters!$1:$1,0)+1),MATCH(F$1,[2]characters!$1:$1,0)-MATCH($A$1,[2]characters!$1:$1,0)+1,FALSE)</f>
        <v>不明</v>
      </c>
      <c r="G308" s="24">
        <f ca="1">VLOOKUP($A308,OFFSET([2]characters!$A$1,0,0,COUNTA([2]characters!$A:$A),MATCH(G$1,[2]characters!$1:$1,0)-MATCH($A$1,[2]characters!$1:$1,0)+1),MATCH(G$1,[2]characters!$1:$1,0)-MATCH($A$1,[2]characters!$1:$1,0)+1,FALSE)</f>
        <v>4</v>
      </c>
      <c r="H308" s="24" t="str">
        <f ca="1">VLOOKUP($A308,OFFSET([2]characters!$A$1,0,0,COUNTA([2]characters!$A:$A),MATCH(H$1,[2]characters!$1:$1,0)-MATCH($A$1,[2]characters!$1:$1,0)+1),MATCH(H$1,[2]characters!$1:$1,0)-MATCH($A$1,[2]characters!$1:$1,0)+1,FALSE)</f>
        <v>PremiumSS</v>
      </c>
      <c r="I308" s="24" t="str">
        <f ca="1">VLOOKUP($A308,OFFSET([2]characters!$A$1,0,0,COUNTA([2]characters!$A:$A),MATCH(I$1,[2]characters!$1:$1,0)-MATCH($A$1,[2]characters!$1:$1,0)+1),MATCH(I$1,[2]characters!$1:$1,0)-MATCH($A$1,[2]characters!$1:$1,0)+1,FALSE)</f>
        <v>red</v>
      </c>
      <c r="J308" s="24" t="str">
        <f ca="1">VLOOKUP($A308,OFFSET([2]characters!$A$1,0,0,COUNTA([2]characters!$A:$A),MATCH(J$1,[2]characters!$1:$1,0)-MATCH($A$1,[2]characters!$1:$1,0)+1),MATCH(J$1,[2]characters!$1:$1,0)-MATCH($A$1,[2]characters!$1:$1,0)+1,FALSE)</f>
        <v>none</v>
      </c>
      <c r="K308" s="3" t="str">
        <f ca="1">VLOOKUP(J308,[2]character_tribe_i18n!$A:$H,3,FALSE)</f>
        <v>種族なし</v>
      </c>
      <c r="L308" s="5" t="e">
        <f>VLOOKUP(#REF!,[2]character_tribe_i18n!$A:$H,4,FALSE)</f>
        <v>#REF!</v>
      </c>
      <c r="M308" s="5" t="e">
        <f>VLOOKUP(#REF!,[2]character_tribe_i18n!$A:$H,5,FALSE)</f>
        <v>#REF!</v>
      </c>
      <c r="N308" s="5" t="e">
        <f>VLOOKUP(#REF!,[2]character_tribe_i18n!$A:$H,6,FALSE)</f>
        <v>#REF!</v>
      </c>
      <c r="O308" s="5" t="e">
        <f>VLOOKUP(#REF!,[2]character_tribe_i18n!$A:$H,7,FALSE)</f>
        <v>#REF!</v>
      </c>
      <c r="P308" s="83" t="s">
        <v>170</v>
      </c>
      <c r="Q308">
        <v>587</v>
      </c>
      <c r="R308" s="25" t="str">
        <f ca="1">IF(Q308="NULL","",VLOOKUP($Q308,OFFSET([2]characters!$A$1,0,0,COUNTA([2]characters!$A:$A),MATCH(R$1,[2]characters!$1:$1,0)-MATCH($A$1,[2]characters!$1:$1,0)+1),MATCH(R$1,[2]characters!$1:$1,0)-MATCH($A$1,[2]characters!$1:$1,0)+1,FALSE))</f>
        <v>原初の煉鋼巨刃 ユミル</v>
      </c>
      <c r="S308" s="3">
        <f t="shared" ca="1" si="5"/>
        <v>586</v>
      </c>
      <c r="T308" s="25" t="str">
        <f ca="1">VLOOKUP($S308,OFFSET([2]characters!$A$1,0,0,COUNTA([2]characters!$A:$A),MATCH(T$1,[2]characters!$1:$1,0)-MATCH($A$1,[2]characters!$1:$1,0)+1),MATCH(T$1,[2]characters!$1:$1,0)-MATCH($A$1,[2]characters!$1:$1,0)+1,FALSE)</f>
        <v>ユミル</v>
      </c>
      <c r="U308" s="5">
        <f ca="1">IF(Q308="NULL","NULL",VLOOKUP(G308,ビット!$A$2:$B$7,2))</f>
        <v>50000</v>
      </c>
      <c r="V308">
        <v>50000</v>
      </c>
      <c r="W308" s="6" t="str">
        <f t="shared" ca="1" si="7"/>
        <v>TRUE</v>
      </c>
    </row>
    <row r="309" spans="1:23" ht="21" customHeight="1" x14ac:dyDescent="0.15">
      <c r="A309" s="84">
        <v>588</v>
      </c>
      <c r="B309" s="24" t="str">
        <f ca="1">VLOOKUP($A309,OFFSET([2]characters!$A$1,0,0,COUNTA([2]characters!$A:$A),MATCH(B$1,[2]characters!$1:$1,0)-MATCH($A$1,[2]characters!$1:$1,0)+1),MATCH(B$1,[2]characters!$1:$1,0)-MATCH($A$1,[2]characters!$1:$1,0)+1,FALSE)</f>
        <v>ニーベルゲン</v>
      </c>
      <c r="C309" s="24" t="str">
        <f ca="1">VLOOKUP($A309,OFFSET([2]characters!$A$1,0,0,COUNTA([2]characters!$A:$A),MATCH(C$1,[2]characters!$1:$1,0)-MATCH($A$1,[2]characters!$1:$1,0)+1),MATCH(C$1,[2]characters!$1:$1,0)-MATCH($A$1,[2]characters!$1:$1,0)+1,FALSE)</f>
        <v>ガチャ:北欧01</v>
      </c>
      <c r="D309" s="24" t="str">
        <f ca="1">VLOOKUP($A309,OFFSET([2]characters!$A$1,0,0,COUNTA([2]characters!$A:$A),MATCH(D$1,[2]characters!$1:$1,0)-MATCH($A$1,[2]characters!$1:$1,0)+1),MATCH(D$1,[2]characters!$1:$1,0)-MATCH($A$1,[2]characters!$1:$1,0)+1,FALSE)</f>
        <v>執行者</v>
      </c>
      <c r="E309" s="24" t="str">
        <f ca="1">VLOOKUP($A309,OFFSET([2]characters!$A$1,0,0,COUNTA([2]characters!$A:$A),MATCH(E$1,[2]characters!$1:$1,0)-MATCH($A$1,[2]characters!$1:$1,0)+1),MATCH(E$1,[2]characters!$1:$1,0)-MATCH($A$1,[2]characters!$1:$1,0)+1,FALSE)</f>
        <v>格好いい</v>
      </c>
      <c r="F309" s="24" t="str">
        <f ca="1">VLOOKUP($A309,OFFSET([2]characters!$A$1,0,0,COUNTA([2]characters!$A:$A),MATCH(F$1,[2]characters!$1:$1,0)-MATCH($A$1,[2]characters!$1:$1,0)+1),MATCH(F$1,[2]characters!$1:$1,0)-MATCH($A$1,[2]characters!$1:$1,0)+1,FALSE)</f>
        <v>女性</v>
      </c>
      <c r="G309" s="24">
        <f ca="1">VLOOKUP($A309,OFFSET([2]characters!$A$1,0,0,COUNTA([2]characters!$A:$A),MATCH(G$1,[2]characters!$1:$1,0)-MATCH($A$1,[2]characters!$1:$1,0)+1),MATCH(G$1,[2]characters!$1:$1,0)-MATCH($A$1,[2]characters!$1:$1,0)+1,FALSE)</f>
        <v>3</v>
      </c>
      <c r="H309" s="24" t="str">
        <f ca="1">VLOOKUP($A309,OFFSET([2]characters!$A$1,0,0,COUNTA([2]characters!$A:$A),MATCH(H$1,[2]characters!$1:$1,0)-MATCH($A$1,[2]characters!$1:$1,0)+1),MATCH(H$1,[2]characters!$1:$1,0)-MATCH($A$1,[2]characters!$1:$1,0)+1,FALSE)</f>
        <v>PremiumS</v>
      </c>
      <c r="I309" s="24" t="str">
        <f ca="1">VLOOKUP($A309,OFFSET([2]characters!$A$1,0,0,COUNTA([2]characters!$A:$A),MATCH(I$1,[2]characters!$1:$1,0)-MATCH($A$1,[2]characters!$1:$1,0)+1),MATCH(I$1,[2]characters!$1:$1,0)-MATCH($A$1,[2]characters!$1:$1,0)+1,FALSE)</f>
        <v>green</v>
      </c>
      <c r="J309" s="24" t="str">
        <f ca="1">VLOOKUP($A309,OFFSET([2]characters!$A$1,0,0,COUNTA([2]characters!$A:$A),MATCH(J$1,[2]characters!$1:$1,0)-MATCH($A$1,[2]characters!$1:$1,0)+1),MATCH(J$1,[2]characters!$1:$1,0)-MATCH($A$1,[2]characters!$1:$1,0)+1,FALSE)</f>
        <v>none</v>
      </c>
      <c r="K309" s="3" t="str">
        <f ca="1">VLOOKUP(J309,[2]character_tribe_i18n!$A:$H,3,FALSE)</f>
        <v>種族なし</v>
      </c>
      <c r="L309" s="5" t="e">
        <f>VLOOKUP(#REF!,[2]character_tribe_i18n!$A:$H,4,FALSE)</f>
        <v>#REF!</v>
      </c>
      <c r="M309" s="5" t="e">
        <f>VLOOKUP(#REF!,[2]character_tribe_i18n!$A:$H,5,FALSE)</f>
        <v>#REF!</v>
      </c>
      <c r="N309" s="5" t="e">
        <f>VLOOKUP(#REF!,[2]character_tribe_i18n!$A:$H,6,FALSE)</f>
        <v>#REF!</v>
      </c>
      <c r="O309" s="5" t="e">
        <f>VLOOKUP(#REF!,[2]character_tribe_i18n!$A:$H,7,FALSE)</f>
        <v>#REF!</v>
      </c>
      <c r="P309" s="83" t="s">
        <v>170</v>
      </c>
      <c r="Q309">
        <v>589</v>
      </c>
      <c r="R309" s="25" t="str">
        <f ca="1">IF(Q309="NULL","",VLOOKUP($Q309,OFFSET([2]characters!$A$1,0,0,COUNTA([2]characters!$A:$A),MATCH(R$1,[2]characters!$1:$1,0)-MATCH($A$1,[2]characters!$1:$1,0)+1),MATCH(R$1,[2]characters!$1:$1,0)-MATCH($A$1,[2]characters!$1:$1,0)+1,FALSE))</f>
        <v>不幸の円環 ニーベルゲン</v>
      </c>
      <c r="S309" s="3">
        <f t="shared" ca="1" si="5"/>
        <v>588</v>
      </c>
      <c r="T309" s="25" t="str">
        <f ca="1">VLOOKUP($S309,OFFSET([2]characters!$A$1,0,0,COUNTA([2]characters!$A:$A),MATCH(T$1,[2]characters!$1:$1,0)-MATCH($A$1,[2]characters!$1:$1,0)+1),MATCH(T$1,[2]characters!$1:$1,0)-MATCH($A$1,[2]characters!$1:$1,0)+1,FALSE)</f>
        <v>ニーベルゲン</v>
      </c>
      <c r="U309" s="5">
        <f ca="1">IF(Q309="NULL","NULL",VLOOKUP(G309,ビット!$A$2:$B$7,2))</f>
        <v>20000</v>
      </c>
      <c r="V309">
        <v>20000</v>
      </c>
      <c r="W309" s="6" t="str">
        <f t="shared" ca="1" si="7"/>
        <v>TRUE</v>
      </c>
    </row>
    <row r="310" spans="1:23" ht="21" customHeight="1" x14ac:dyDescent="0.15">
      <c r="A310" s="84">
        <v>589</v>
      </c>
      <c r="B310" s="24" t="str">
        <f ca="1">VLOOKUP($A310,OFFSET([2]characters!$A$1,0,0,COUNTA([2]characters!$A:$A),MATCH(B$1,[2]characters!$1:$1,0)-MATCH($A$1,[2]characters!$1:$1,0)+1),MATCH(B$1,[2]characters!$1:$1,0)-MATCH($A$1,[2]characters!$1:$1,0)+1,FALSE)</f>
        <v>不幸の円環 ニーベルゲン</v>
      </c>
      <c r="C310" s="24" t="str">
        <f ca="1">VLOOKUP($A310,OFFSET([2]characters!$A$1,0,0,COUNTA([2]characters!$A:$A),MATCH(C$1,[2]characters!$1:$1,0)-MATCH($A$1,[2]characters!$1:$1,0)+1),MATCH(C$1,[2]characters!$1:$1,0)-MATCH($A$1,[2]characters!$1:$1,0)+1,FALSE)</f>
        <v>ガチャ:北欧01</v>
      </c>
      <c r="D310" s="24" t="str">
        <f ca="1">VLOOKUP($A310,OFFSET([2]characters!$A$1,0,0,COUNTA([2]characters!$A:$A),MATCH(D$1,[2]characters!$1:$1,0)-MATCH($A$1,[2]characters!$1:$1,0)+1),MATCH(D$1,[2]characters!$1:$1,0)-MATCH($A$1,[2]characters!$1:$1,0)+1,FALSE)</f>
        <v>執行者</v>
      </c>
      <c r="E310" s="24" t="str">
        <f ca="1">VLOOKUP($A310,OFFSET([2]characters!$A$1,0,0,COUNTA([2]characters!$A:$A),MATCH(E$1,[2]characters!$1:$1,0)-MATCH($A$1,[2]characters!$1:$1,0)+1),MATCH(E$1,[2]characters!$1:$1,0)-MATCH($A$1,[2]characters!$1:$1,0)+1,FALSE)</f>
        <v>格好いい</v>
      </c>
      <c r="F310" s="24" t="str">
        <f ca="1">VLOOKUP($A310,OFFSET([2]characters!$A$1,0,0,COUNTA([2]characters!$A:$A),MATCH(F$1,[2]characters!$1:$1,0)-MATCH($A$1,[2]characters!$1:$1,0)+1),MATCH(F$1,[2]characters!$1:$1,0)-MATCH($A$1,[2]characters!$1:$1,0)+1,FALSE)</f>
        <v>女性</v>
      </c>
      <c r="G310" s="24">
        <f ca="1">VLOOKUP($A310,OFFSET([2]characters!$A$1,0,0,COUNTA([2]characters!$A:$A),MATCH(G$1,[2]characters!$1:$1,0)-MATCH($A$1,[2]characters!$1:$1,0)+1),MATCH(G$1,[2]characters!$1:$1,0)-MATCH($A$1,[2]characters!$1:$1,0)+1,FALSE)</f>
        <v>4</v>
      </c>
      <c r="H310" s="24" t="str">
        <f ca="1">VLOOKUP($A310,OFFSET([2]characters!$A$1,0,0,COUNTA([2]characters!$A:$A),MATCH(H$1,[2]characters!$1:$1,0)-MATCH($A$1,[2]characters!$1:$1,0)+1),MATCH(H$1,[2]characters!$1:$1,0)-MATCH($A$1,[2]characters!$1:$1,0)+1,FALSE)</f>
        <v>PremiumS</v>
      </c>
      <c r="I310" s="24" t="str">
        <f ca="1">VLOOKUP($A310,OFFSET([2]characters!$A$1,0,0,COUNTA([2]characters!$A:$A),MATCH(I$1,[2]characters!$1:$1,0)-MATCH($A$1,[2]characters!$1:$1,0)+1),MATCH(I$1,[2]characters!$1:$1,0)-MATCH($A$1,[2]characters!$1:$1,0)+1,FALSE)</f>
        <v>green</v>
      </c>
      <c r="J310" s="24" t="str">
        <f ca="1">VLOOKUP($A310,OFFSET([2]characters!$A$1,0,0,COUNTA([2]characters!$A:$A),MATCH(J$1,[2]characters!$1:$1,0)-MATCH($A$1,[2]characters!$1:$1,0)+1),MATCH(J$1,[2]characters!$1:$1,0)-MATCH($A$1,[2]characters!$1:$1,0)+1,FALSE)</f>
        <v>none</v>
      </c>
      <c r="K310" s="3" t="str">
        <f ca="1">VLOOKUP(J310,[2]character_tribe_i18n!$A:$H,3,FALSE)</f>
        <v>種族なし</v>
      </c>
      <c r="L310" s="5" t="e">
        <f>VLOOKUP(#REF!,[2]character_tribe_i18n!$A:$H,4,FALSE)</f>
        <v>#REF!</v>
      </c>
      <c r="M310" s="5" t="e">
        <f>VLOOKUP(#REF!,[2]character_tribe_i18n!$A:$H,5,FALSE)</f>
        <v>#REF!</v>
      </c>
      <c r="N310" s="5" t="e">
        <f>VLOOKUP(#REF!,[2]character_tribe_i18n!$A:$H,6,FALSE)</f>
        <v>#REF!</v>
      </c>
      <c r="O310" s="5" t="e">
        <f>VLOOKUP(#REF!,[2]character_tribe_i18n!$A:$H,7,FALSE)</f>
        <v>#REF!</v>
      </c>
      <c r="P310" s="83" t="s">
        <v>170</v>
      </c>
      <c r="Q310">
        <v>590</v>
      </c>
      <c r="R310" s="25" t="str">
        <f ca="1">IF(Q310="NULL","",VLOOKUP($Q310,OFFSET([2]characters!$A$1,0,0,COUNTA([2]characters!$A:$A),MATCH(R$1,[2]characters!$1:$1,0)-MATCH($A$1,[2]characters!$1:$1,0)+1),MATCH(R$1,[2]characters!$1:$1,0)-MATCH($A$1,[2]characters!$1:$1,0)+1,FALSE))</f>
        <v>永遠を廻る呪い ニーベルゲン</v>
      </c>
      <c r="S310" s="3">
        <f t="shared" ca="1" si="5"/>
        <v>588</v>
      </c>
      <c r="T310" s="25" t="str">
        <f ca="1">VLOOKUP($S310,OFFSET([2]characters!$A$1,0,0,COUNTA([2]characters!$A:$A),MATCH(T$1,[2]characters!$1:$1,0)-MATCH($A$1,[2]characters!$1:$1,0)+1),MATCH(T$1,[2]characters!$1:$1,0)-MATCH($A$1,[2]characters!$1:$1,0)+1,FALSE)</f>
        <v>ニーベルゲン</v>
      </c>
      <c r="U310" s="5">
        <f ca="1">IF(Q310="NULL","NULL",VLOOKUP(G310,ビット!$A$2:$B$7,2))</f>
        <v>50000</v>
      </c>
      <c r="V310">
        <v>50000</v>
      </c>
      <c r="W310" s="6" t="str">
        <f t="shared" ca="1" si="7"/>
        <v>TRUE</v>
      </c>
    </row>
    <row r="311" spans="1:23" ht="21" customHeight="1" x14ac:dyDescent="0.15">
      <c r="A311" s="84">
        <v>591</v>
      </c>
      <c r="B311" s="24" t="str">
        <f ca="1">VLOOKUP($A311,OFFSET([2]characters!$A$1,0,0,COUNTA([2]characters!$A:$A),MATCH(B$1,[2]characters!$1:$1,0)-MATCH($A$1,[2]characters!$1:$1,0)+1),MATCH(B$1,[2]characters!$1:$1,0)-MATCH($A$1,[2]characters!$1:$1,0)+1,FALSE)</f>
        <v>ファフニール</v>
      </c>
      <c r="C311" s="24" t="str">
        <f ca="1">VLOOKUP($A311,OFFSET([2]characters!$A$1,0,0,COUNTA([2]characters!$A:$A),MATCH(C$1,[2]characters!$1:$1,0)-MATCH($A$1,[2]characters!$1:$1,0)+1),MATCH(C$1,[2]characters!$1:$1,0)-MATCH($A$1,[2]characters!$1:$1,0)+1,FALSE)</f>
        <v>ガチャ:北欧01</v>
      </c>
      <c r="D311" s="24" t="str">
        <f ca="1">VLOOKUP($A311,OFFSET([2]characters!$A$1,0,0,COUNTA([2]characters!$A:$A),MATCH(D$1,[2]characters!$1:$1,0)-MATCH($A$1,[2]characters!$1:$1,0)+1),MATCH(D$1,[2]characters!$1:$1,0)-MATCH($A$1,[2]characters!$1:$1,0)+1,FALSE)</f>
        <v>執行者</v>
      </c>
      <c r="E311" s="24" t="str">
        <f ca="1">VLOOKUP($A311,OFFSET([2]characters!$A$1,0,0,COUNTA([2]characters!$A:$A),MATCH(E$1,[2]characters!$1:$1,0)-MATCH($A$1,[2]characters!$1:$1,0)+1),MATCH(E$1,[2]characters!$1:$1,0)-MATCH($A$1,[2]characters!$1:$1,0)+1,FALSE)</f>
        <v>格好いい</v>
      </c>
      <c r="F311" s="24" t="str">
        <f ca="1">VLOOKUP($A311,OFFSET([2]characters!$A$1,0,0,COUNTA([2]characters!$A:$A),MATCH(F$1,[2]characters!$1:$1,0)-MATCH($A$1,[2]characters!$1:$1,0)+1),MATCH(F$1,[2]characters!$1:$1,0)-MATCH($A$1,[2]characters!$1:$1,0)+1,FALSE)</f>
        <v>不明</v>
      </c>
      <c r="G311" s="24">
        <f ca="1">VLOOKUP($A311,OFFSET([2]characters!$A$1,0,0,COUNTA([2]characters!$A:$A),MATCH(G$1,[2]characters!$1:$1,0)-MATCH($A$1,[2]characters!$1:$1,0)+1),MATCH(G$1,[2]characters!$1:$1,0)-MATCH($A$1,[2]characters!$1:$1,0)+1,FALSE)</f>
        <v>3</v>
      </c>
      <c r="H311" s="24" t="str">
        <f ca="1">VLOOKUP($A311,OFFSET([2]characters!$A$1,0,0,COUNTA([2]characters!$A:$A),MATCH(H$1,[2]characters!$1:$1,0)-MATCH($A$1,[2]characters!$1:$1,0)+1),MATCH(H$1,[2]characters!$1:$1,0)-MATCH($A$1,[2]characters!$1:$1,0)+1,FALSE)</f>
        <v>PremiumS</v>
      </c>
      <c r="I311" s="24" t="str">
        <f ca="1">VLOOKUP($A311,OFFSET([2]characters!$A$1,0,0,COUNTA([2]characters!$A:$A),MATCH(I$1,[2]characters!$1:$1,0)-MATCH($A$1,[2]characters!$1:$1,0)+1),MATCH(I$1,[2]characters!$1:$1,0)-MATCH($A$1,[2]characters!$1:$1,0)+1,FALSE)</f>
        <v>blue</v>
      </c>
      <c r="J311" s="24" t="str">
        <f ca="1">VLOOKUP($A311,OFFSET([2]characters!$A$1,0,0,COUNTA([2]characters!$A:$A),MATCH(J$1,[2]characters!$1:$1,0)-MATCH($A$1,[2]characters!$1:$1,0)+1),MATCH(J$1,[2]characters!$1:$1,0)-MATCH($A$1,[2]characters!$1:$1,0)+1,FALSE)</f>
        <v>none</v>
      </c>
      <c r="K311" s="3" t="str">
        <f ca="1">VLOOKUP(J311,[2]character_tribe_i18n!$A:$H,3,FALSE)</f>
        <v>種族なし</v>
      </c>
      <c r="L311" s="5" t="e">
        <f>VLOOKUP(#REF!,[2]character_tribe_i18n!$A:$H,4,FALSE)</f>
        <v>#REF!</v>
      </c>
      <c r="M311" s="5" t="e">
        <f>VLOOKUP(#REF!,[2]character_tribe_i18n!$A:$H,5,FALSE)</f>
        <v>#REF!</v>
      </c>
      <c r="N311" s="5" t="e">
        <f>VLOOKUP(#REF!,[2]character_tribe_i18n!$A:$H,6,FALSE)</f>
        <v>#REF!</v>
      </c>
      <c r="O311" s="5" t="e">
        <f>VLOOKUP(#REF!,[2]character_tribe_i18n!$A:$H,7,FALSE)</f>
        <v>#REF!</v>
      </c>
      <c r="P311" s="83" t="s">
        <v>170</v>
      </c>
      <c r="Q311">
        <v>592</v>
      </c>
      <c r="R311" s="25" t="str">
        <f ca="1">IF(Q311="NULL","",VLOOKUP($Q311,OFFSET([2]characters!$A$1,0,0,COUNTA([2]characters!$A:$A),MATCH(R$1,[2]characters!$1:$1,0)-MATCH($A$1,[2]characters!$1:$1,0)+1),MATCH(R$1,[2]characters!$1:$1,0)-MATCH($A$1,[2]characters!$1:$1,0)+1,FALSE))</f>
        <v>財宝への執着 ファフニール</v>
      </c>
      <c r="S311" s="3">
        <f t="shared" ca="1" si="5"/>
        <v>591</v>
      </c>
      <c r="T311" s="25" t="str">
        <f ca="1">VLOOKUP($S311,OFFSET([2]characters!$A$1,0,0,COUNTA([2]characters!$A:$A),MATCH(T$1,[2]characters!$1:$1,0)-MATCH($A$1,[2]characters!$1:$1,0)+1),MATCH(T$1,[2]characters!$1:$1,0)-MATCH($A$1,[2]characters!$1:$1,0)+1,FALSE)</f>
        <v>ファフニール</v>
      </c>
      <c r="U311" s="5">
        <f ca="1">IF(Q311="NULL","NULL",VLOOKUP(G311,ビット!$A$2:$B$7,2))</f>
        <v>20000</v>
      </c>
      <c r="V311">
        <v>20000</v>
      </c>
      <c r="W311" s="6" t="str">
        <f t="shared" ca="1" si="7"/>
        <v>TRUE</v>
      </c>
    </row>
    <row r="312" spans="1:23" ht="21" customHeight="1" x14ac:dyDescent="0.15">
      <c r="A312" s="84">
        <v>592</v>
      </c>
      <c r="B312" s="24" t="str">
        <f ca="1">VLOOKUP($A312,OFFSET([2]characters!$A$1,0,0,COUNTA([2]characters!$A:$A),MATCH(B$1,[2]characters!$1:$1,0)-MATCH($A$1,[2]characters!$1:$1,0)+1),MATCH(B$1,[2]characters!$1:$1,0)-MATCH($A$1,[2]characters!$1:$1,0)+1,FALSE)</f>
        <v>財宝への執着 ファフニール</v>
      </c>
      <c r="C312" s="24" t="str">
        <f ca="1">VLOOKUP($A312,OFFSET([2]characters!$A$1,0,0,COUNTA([2]characters!$A:$A),MATCH(C$1,[2]characters!$1:$1,0)-MATCH($A$1,[2]characters!$1:$1,0)+1),MATCH(C$1,[2]characters!$1:$1,0)-MATCH($A$1,[2]characters!$1:$1,0)+1,FALSE)</f>
        <v>ガチャ:北欧01</v>
      </c>
      <c r="D312" s="24" t="str">
        <f ca="1">VLOOKUP($A312,OFFSET([2]characters!$A$1,0,0,COUNTA([2]characters!$A:$A),MATCH(D$1,[2]characters!$1:$1,0)-MATCH($A$1,[2]characters!$1:$1,0)+1),MATCH(D$1,[2]characters!$1:$1,0)-MATCH($A$1,[2]characters!$1:$1,0)+1,FALSE)</f>
        <v>執行者</v>
      </c>
      <c r="E312" s="24" t="str">
        <f ca="1">VLOOKUP($A312,OFFSET([2]characters!$A$1,0,0,COUNTA([2]characters!$A:$A),MATCH(E$1,[2]characters!$1:$1,0)-MATCH($A$1,[2]characters!$1:$1,0)+1),MATCH(E$1,[2]characters!$1:$1,0)-MATCH($A$1,[2]characters!$1:$1,0)+1,FALSE)</f>
        <v>格好いい</v>
      </c>
      <c r="F312" s="24" t="str">
        <f ca="1">VLOOKUP($A312,OFFSET([2]characters!$A$1,0,0,COUNTA([2]characters!$A:$A),MATCH(F$1,[2]characters!$1:$1,0)-MATCH($A$1,[2]characters!$1:$1,0)+1),MATCH(F$1,[2]characters!$1:$1,0)-MATCH($A$1,[2]characters!$1:$1,0)+1,FALSE)</f>
        <v>不明</v>
      </c>
      <c r="G312" s="24">
        <f ca="1">VLOOKUP($A312,OFFSET([2]characters!$A$1,0,0,COUNTA([2]characters!$A:$A),MATCH(G$1,[2]characters!$1:$1,0)-MATCH($A$1,[2]characters!$1:$1,0)+1),MATCH(G$1,[2]characters!$1:$1,0)-MATCH($A$1,[2]characters!$1:$1,0)+1,FALSE)</f>
        <v>4</v>
      </c>
      <c r="H312" s="24" t="str">
        <f ca="1">VLOOKUP($A312,OFFSET([2]characters!$A$1,0,0,COUNTA([2]characters!$A:$A),MATCH(H$1,[2]characters!$1:$1,0)-MATCH($A$1,[2]characters!$1:$1,0)+1),MATCH(H$1,[2]characters!$1:$1,0)-MATCH($A$1,[2]characters!$1:$1,0)+1,FALSE)</f>
        <v>PremiumS</v>
      </c>
      <c r="I312" s="24" t="str">
        <f ca="1">VLOOKUP($A312,OFFSET([2]characters!$A$1,0,0,COUNTA([2]characters!$A:$A),MATCH(I$1,[2]characters!$1:$1,0)-MATCH($A$1,[2]characters!$1:$1,0)+1),MATCH(I$1,[2]characters!$1:$1,0)-MATCH($A$1,[2]characters!$1:$1,0)+1,FALSE)</f>
        <v>blue</v>
      </c>
      <c r="J312" s="24" t="str">
        <f ca="1">VLOOKUP($A312,OFFSET([2]characters!$A$1,0,0,COUNTA([2]characters!$A:$A),MATCH(J$1,[2]characters!$1:$1,0)-MATCH($A$1,[2]characters!$1:$1,0)+1),MATCH(J$1,[2]characters!$1:$1,0)-MATCH($A$1,[2]characters!$1:$1,0)+1,FALSE)</f>
        <v>none</v>
      </c>
      <c r="K312" s="3" t="str">
        <f ca="1">VLOOKUP(J312,[2]character_tribe_i18n!$A:$H,3,FALSE)</f>
        <v>種族なし</v>
      </c>
      <c r="L312" s="5" t="e">
        <f>VLOOKUP(#REF!,[2]character_tribe_i18n!$A:$H,4,FALSE)</f>
        <v>#REF!</v>
      </c>
      <c r="M312" s="5" t="e">
        <f>VLOOKUP(#REF!,[2]character_tribe_i18n!$A:$H,5,FALSE)</f>
        <v>#REF!</v>
      </c>
      <c r="N312" s="5" t="e">
        <f>VLOOKUP(#REF!,[2]character_tribe_i18n!$A:$H,6,FALSE)</f>
        <v>#REF!</v>
      </c>
      <c r="O312" s="5" t="e">
        <f>VLOOKUP(#REF!,[2]character_tribe_i18n!$A:$H,7,FALSE)</f>
        <v>#REF!</v>
      </c>
      <c r="P312" s="83" t="s">
        <v>170</v>
      </c>
      <c r="Q312">
        <v>593</v>
      </c>
      <c r="R312" s="25" t="str">
        <f ca="1">IF(Q312="NULL","",VLOOKUP($Q312,OFFSET([2]characters!$A$1,0,0,COUNTA([2]characters!$A:$A),MATCH(R$1,[2]characters!$1:$1,0)-MATCH($A$1,[2]characters!$1:$1,0)+1),MATCH(R$1,[2]characters!$1:$1,0)-MATCH($A$1,[2]characters!$1:$1,0)+1,FALSE))</f>
        <v>妄執する邪毒龍 ファフニール</v>
      </c>
      <c r="S312" s="3">
        <f t="shared" ca="1" si="5"/>
        <v>591</v>
      </c>
      <c r="T312" s="25" t="str">
        <f ca="1">VLOOKUP($S312,OFFSET([2]characters!$A$1,0,0,COUNTA([2]characters!$A:$A),MATCH(T$1,[2]characters!$1:$1,0)-MATCH($A$1,[2]characters!$1:$1,0)+1),MATCH(T$1,[2]characters!$1:$1,0)-MATCH($A$1,[2]characters!$1:$1,0)+1,FALSE)</f>
        <v>ファフニール</v>
      </c>
      <c r="U312" s="5">
        <f ca="1">IF(Q312="NULL","NULL",VLOOKUP(G312,ビット!$A$2:$B$7,2))</f>
        <v>50000</v>
      </c>
      <c r="V312">
        <v>50000</v>
      </c>
      <c r="W312" s="6" t="str">
        <f t="shared" ca="1" si="7"/>
        <v>TRUE</v>
      </c>
    </row>
    <row r="313" spans="1:23" ht="21" customHeight="1" x14ac:dyDescent="0.15">
      <c r="A313" s="84">
        <v>594</v>
      </c>
      <c r="B313" s="24" t="str">
        <f ca="1">VLOOKUP($A313,OFFSET([2]characters!$A$1,0,0,COUNTA([2]characters!$A:$A),MATCH(B$1,[2]characters!$1:$1,0)-MATCH($A$1,[2]characters!$1:$1,0)+1),MATCH(B$1,[2]characters!$1:$1,0)-MATCH($A$1,[2]characters!$1:$1,0)+1,FALSE)</f>
        <v>アルフヘイム</v>
      </c>
      <c r="C313" s="24" t="str">
        <f ca="1">VLOOKUP($A313,OFFSET([2]characters!$A$1,0,0,COUNTA([2]characters!$A:$A),MATCH(C$1,[2]characters!$1:$1,0)-MATCH($A$1,[2]characters!$1:$1,0)+1),MATCH(C$1,[2]characters!$1:$1,0)-MATCH($A$1,[2]characters!$1:$1,0)+1,FALSE)</f>
        <v>ガチャ:北欧01</v>
      </c>
      <c r="D313" s="24" t="str">
        <f ca="1">VLOOKUP($A313,OFFSET([2]characters!$A$1,0,0,COUNTA([2]characters!$A:$A),MATCH(D$1,[2]characters!$1:$1,0)-MATCH($A$1,[2]characters!$1:$1,0)+1),MATCH(D$1,[2]characters!$1:$1,0)-MATCH($A$1,[2]characters!$1:$1,0)+1,FALSE)</f>
        <v>執行者</v>
      </c>
      <c r="E313" s="24" t="str">
        <f ca="1">VLOOKUP($A313,OFFSET([2]characters!$A$1,0,0,COUNTA([2]characters!$A:$A),MATCH(E$1,[2]characters!$1:$1,0)-MATCH($A$1,[2]characters!$1:$1,0)+1),MATCH(E$1,[2]characters!$1:$1,0)-MATCH($A$1,[2]characters!$1:$1,0)+1,FALSE)</f>
        <v>格好いい</v>
      </c>
      <c r="F313" s="24" t="str">
        <f ca="1">VLOOKUP($A313,OFFSET([2]characters!$A$1,0,0,COUNTA([2]characters!$A:$A),MATCH(F$1,[2]characters!$1:$1,0)-MATCH($A$1,[2]characters!$1:$1,0)+1),MATCH(F$1,[2]characters!$1:$1,0)-MATCH($A$1,[2]characters!$1:$1,0)+1,FALSE)</f>
        <v>不明</v>
      </c>
      <c r="G313" s="24">
        <f ca="1">VLOOKUP($A313,OFFSET([2]characters!$A$1,0,0,COUNTA([2]characters!$A:$A),MATCH(G$1,[2]characters!$1:$1,0)-MATCH($A$1,[2]characters!$1:$1,0)+1),MATCH(G$1,[2]characters!$1:$1,0)-MATCH($A$1,[2]characters!$1:$1,0)+1,FALSE)</f>
        <v>4</v>
      </c>
      <c r="H313" s="24" t="str">
        <f ca="1">VLOOKUP($A313,OFFSET([2]characters!$A$1,0,0,COUNTA([2]characters!$A:$A),MATCH(H$1,[2]characters!$1:$1,0)-MATCH($A$1,[2]characters!$1:$1,0)+1),MATCH(H$1,[2]characters!$1:$1,0)-MATCH($A$1,[2]characters!$1:$1,0)+1,FALSE)</f>
        <v>PremiumSS</v>
      </c>
      <c r="I313" s="24" t="str">
        <f ca="1">VLOOKUP($A313,OFFSET([2]characters!$A$1,0,0,COUNTA([2]characters!$A:$A),MATCH(I$1,[2]characters!$1:$1,0)-MATCH($A$1,[2]characters!$1:$1,0)+1),MATCH(I$1,[2]characters!$1:$1,0)-MATCH($A$1,[2]characters!$1:$1,0)+1,FALSE)</f>
        <v>yellow</v>
      </c>
      <c r="J313" s="24" t="str">
        <f ca="1">VLOOKUP($A313,OFFSET([2]characters!$A$1,0,0,COUNTA([2]characters!$A:$A),MATCH(J$1,[2]characters!$1:$1,0)-MATCH($A$1,[2]characters!$1:$1,0)+1),MATCH(J$1,[2]characters!$1:$1,0)-MATCH($A$1,[2]characters!$1:$1,0)+1,FALSE)</f>
        <v>none</v>
      </c>
      <c r="K313" s="3" t="str">
        <f ca="1">VLOOKUP(J313,[2]character_tribe_i18n!$A:$H,3,FALSE)</f>
        <v>種族なし</v>
      </c>
      <c r="L313" s="5" t="e">
        <f>VLOOKUP(#REF!,[2]character_tribe_i18n!$A:$H,4,FALSE)</f>
        <v>#REF!</v>
      </c>
      <c r="M313" s="5" t="e">
        <f>VLOOKUP(#REF!,[2]character_tribe_i18n!$A:$H,5,FALSE)</f>
        <v>#REF!</v>
      </c>
      <c r="N313" s="5" t="e">
        <f>VLOOKUP(#REF!,[2]character_tribe_i18n!$A:$H,6,FALSE)</f>
        <v>#REF!</v>
      </c>
      <c r="O313" s="5" t="e">
        <f>VLOOKUP(#REF!,[2]character_tribe_i18n!$A:$H,7,FALSE)</f>
        <v>#REF!</v>
      </c>
      <c r="P313" s="83" t="s">
        <v>170</v>
      </c>
      <c r="Q313">
        <v>595</v>
      </c>
      <c r="R313" s="25" t="str">
        <f ca="1">IF(Q313="NULL","",VLOOKUP($Q313,OFFSET([2]characters!$A$1,0,0,COUNTA([2]characters!$A:$A),MATCH(R$1,[2]characters!$1:$1,0)-MATCH($A$1,[2]characters!$1:$1,0)+1),MATCH(R$1,[2]characters!$1:$1,0)-MATCH($A$1,[2]characters!$1:$1,0)+1,FALSE))</f>
        <v>光華なる神域 アルフヘイム</v>
      </c>
      <c r="S313" s="3">
        <f t="shared" ca="1" si="5"/>
        <v>594</v>
      </c>
      <c r="T313" s="25" t="str">
        <f ca="1">VLOOKUP($S313,OFFSET([2]characters!$A$1,0,0,COUNTA([2]characters!$A:$A),MATCH(T$1,[2]characters!$1:$1,0)-MATCH($A$1,[2]characters!$1:$1,0)+1),MATCH(T$1,[2]characters!$1:$1,0)-MATCH($A$1,[2]characters!$1:$1,0)+1,FALSE)</f>
        <v>アルフヘイム</v>
      </c>
      <c r="U313" s="5">
        <f ca="1">IF(Q313="NULL","NULL",VLOOKUP(G313,ビット!$A$2:$B$7,2))</f>
        <v>50000</v>
      </c>
      <c r="V313">
        <v>50000</v>
      </c>
      <c r="W313" s="6" t="str">
        <f t="shared" ca="1" si="7"/>
        <v>TRUE</v>
      </c>
    </row>
    <row r="314" spans="1:23" ht="21" customHeight="1" x14ac:dyDescent="0.15">
      <c r="A314" s="84">
        <v>596</v>
      </c>
      <c r="B314" s="24" t="str">
        <f ca="1">VLOOKUP($A314,OFFSET([2]characters!$A$1,0,0,COUNTA([2]characters!$A:$A),MATCH(B$1,[2]characters!$1:$1,0)-MATCH($A$1,[2]characters!$1:$1,0)+1),MATCH(B$1,[2]characters!$1:$1,0)-MATCH($A$1,[2]characters!$1:$1,0)+1,FALSE)</f>
        <v>ムスペルヘイム</v>
      </c>
      <c r="C314" s="24" t="str">
        <f ca="1">VLOOKUP($A314,OFFSET([2]characters!$A$1,0,0,COUNTA([2]characters!$A:$A),MATCH(C$1,[2]characters!$1:$1,0)-MATCH($A$1,[2]characters!$1:$1,0)+1),MATCH(C$1,[2]characters!$1:$1,0)-MATCH($A$1,[2]characters!$1:$1,0)+1,FALSE)</f>
        <v>ガチャ:北欧02</v>
      </c>
      <c r="D314" s="24" t="str">
        <f ca="1">VLOOKUP($A314,OFFSET([2]characters!$A$1,0,0,COUNTA([2]characters!$A:$A),MATCH(D$1,[2]characters!$1:$1,0)-MATCH($A$1,[2]characters!$1:$1,0)+1),MATCH(D$1,[2]characters!$1:$1,0)-MATCH($A$1,[2]characters!$1:$1,0)+1,FALSE)</f>
        <v>執行者</v>
      </c>
      <c r="E314" s="24" t="str">
        <f ca="1">VLOOKUP($A314,OFFSET([2]characters!$A$1,0,0,COUNTA([2]characters!$A:$A),MATCH(E$1,[2]characters!$1:$1,0)-MATCH($A$1,[2]characters!$1:$1,0)+1),MATCH(E$1,[2]characters!$1:$1,0)-MATCH($A$1,[2]characters!$1:$1,0)+1,FALSE)</f>
        <v>格好いい</v>
      </c>
      <c r="F314" s="24" t="str">
        <f ca="1">VLOOKUP($A314,OFFSET([2]characters!$A$1,0,0,COUNTA([2]characters!$A:$A),MATCH(F$1,[2]characters!$1:$1,0)-MATCH($A$1,[2]characters!$1:$1,0)+1),MATCH(F$1,[2]characters!$1:$1,0)-MATCH($A$1,[2]characters!$1:$1,0)+1,FALSE)</f>
        <v>男性</v>
      </c>
      <c r="G314" s="24">
        <f ca="1">VLOOKUP($A314,OFFSET([2]characters!$A$1,0,0,COUNTA([2]characters!$A:$A),MATCH(G$1,[2]characters!$1:$1,0)-MATCH($A$1,[2]characters!$1:$1,0)+1),MATCH(G$1,[2]characters!$1:$1,0)-MATCH($A$1,[2]characters!$1:$1,0)+1,FALSE)</f>
        <v>3</v>
      </c>
      <c r="H314" s="24" t="str">
        <f ca="1">VLOOKUP($A314,OFFSET([2]characters!$A$1,0,0,COUNTA([2]characters!$A:$A),MATCH(H$1,[2]characters!$1:$1,0)-MATCH($A$1,[2]characters!$1:$1,0)+1),MATCH(H$1,[2]characters!$1:$1,0)-MATCH($A$1,[2]characters!$1:$1,0)+1,FALSE)</f>
        <v>PremiumS</v>
      </c>
      <c r="I314" s="24" t="str">
        <f ca="1">VLOOKUP($A314,OFFSET([2]characters!$A$1,0,0,COUNTA([2]characters!$A:$A),MATCH(I$1,[2]characters!$1:$1,0)-MATCH($A$1,[2]characters!$1:$1,0)+1),MATCH(I$1,[2]characters!$1:$1,0)-MATCH($A$1,[2]characters!$1:$1,0)+1,FALSE)</f>
        <v>red</v>
      </c>
      <c r="J314" s="24" t="str">
        <f ca="1">VLOOKUP($A314,OFFSET([2]characters!$A$1,0,0,COUNTA([2]characters!$A:$A),MATCH(J$1,[2]characters!$1:$1,0)-MATCH($A$1,[2]characters!$1:$1,0)+1),MATCH(J$1,[2]characters!$1:$1,0)-MATCH($A$1,[2]characters!$1:$1,0)+1,FALSE)</f>
        <v>machine</v>
      </c>
      <c r="K314" s="3" t="str">
        <f ca="1">VLOOKUP(J314,[2]character_tribe_i18n!$A:$H,3,FALSE)</f>
        <v>マシン</v>
      </c>
      <c r="L314" s="5" t="e">
        <f>VLOOKUP(#REF!,[2]character_tribe_i18n!$A:$H,4,FALSE)</f>
        <v>#REF!</v>
      </c>
      <c r="M314" s="5" t="e">
        <f>VLOOKUP(#REF!,[2]character_tribe_i18n!$A:$H,5,FALSE)</f>
        <v>#REF!</v>
      </c>
      <c r="N314" s="5" t="e">
        <f>VLOOKUP(#REF!,[2]character_tribe_i18n!$A:$H,6,FALSE)</f>
        <v>#REF!</v>
      </c>
      <c r="O314" s="5" t="e">
        <f>VLOOKUP(#REF!,[2]character_tribe_i18n!$A:$H,7,FALSE)</f>
        <v>#REF!</v>
      </c>
      <c r="P314" s="83" t="s">
        <v>170</v>
      </c>
      <c r="Q314">
        <v>597</v>
      </c>
      <c r="R314" s="25" t="str">
        <f ca="1">IF(Q314="NULL","",VLOOKUP($Q314,OFFSET([2]characters!$A$1,0,0,COUNTA([2]characters!$A:$A),MATCH(R$1,[2]characters!$1:$1,0)-MATCH($A$1,[2]characters!$1:$1,0)+1),MATCH(R$1,[2]characters!$1:$1,0)-MATCH($A$1,[2]characters!$1:$1,0)+1,FALSE))</f>
        <v>灼熱の魂 ムスペルヘイム</v>
      </c>
      <c r="S314" s="3">
        <f t="shared" ca="1" si="5"/>
        <v>596</v>
      </c>
      <c r="T314" s="25" t="str">
        <f ca="1">VLOOKUP($S314,OFFSET([2]characters!$A$1,0,0,COUNTA([2]characters!$A:$A),MATCH(T$1,[2]characters!$1:$1,0)-MATCH($A$1,[2]characters!$1:$1,0)+1),MATCH(T$1,[2]characters!$1:$1,0)-MATCH($A$1,[2]characters!$1:$1,0)+1,FALSE)</f>
        <v>ムスペルヘイム</v>
      </c>
      <c r="U314" s="5">
        <f ca="1">IF(Q314="NULL","NULL",VLOOKUP(G314,ビット!$A$2:$B$7,2))</f>
        <v>20000</v>
      </c>
      <c r="V314">
        <v>20000</v>
      </c>
      <c r="W314" s="6" t="str">
        <f t="shared" ca="1" si="7"/>
        <v>TRUE</v>
      </c>
    </row>
    <row r="315" spans="1:23" ht="21" customHeight="1" x14ac:dyDescent="0.15">
      <c r="A315" s="84">
        <v>597</v>
      </c>
      <c r="B315" s="24" t="str">
        <f ca="1">VLOOKUP($A315,OFFSET([2]characters!$A$1,0,0,COUNTA([2]characters!$A:$A),MATCH(B$1,[2]characters!$1:$1,0)-MATCH($A$1,[2]characters!$1:$1,0)+1),MATCH(B$1,[2]characters!$1:$1,0)-MATCH($A$1,[2]characters!$1:$1,0)+1,FALSE)</f>
        <v>灼熱の魂 ムスペルヘイム</v>
      </c>
      <c r="C315" s="24" t="str">
        <f ca="1">VLOOKUP($A315,OFFSET([2]characters!$A$1,0,0,COUNTA([2]characters!$A:$A),MATCH(C$1,[2]characters!$1:$1,0)-MATCH($A$1,[2]characters!$1:$1,0)+1),MATCH(C$1,[2]characters!$1:$1,0)-MATCH($A$1,[2]characters!$1:$1,0)+1,FALSE)</f>
        <v>ガチャ:北欧02</v>
      </c>
      <c r="D315" s="24" t="str">
        <f ca="1">VLOOKUP($A315,OFFSET([2]characters!$A$1,0,0,COUNTA([2]characters!$A:$A),MATCH(D$1,[2]characters!$1:$1,0)-MATCH($A$1,[2]characters!$1:$1,0)+1),MATCH(D$1,[2]characters!$1:$1,0)-MATCH($A$1,[2]characters!$1:$1,0)+1,FALSE)</f>
        <v>執行者</v>
      </c>
      <c r="E315" s="24" t="str">
        <f ca="1">VLOOKUP($A315,OFFSET([2]characters!$A$1,0,0,COUNTA([2]characters!$A:$A),MATCH(E$1,[2]characters!$1:$1,0)-MATCH($A$1,[2]characters!$1:$1,0)+1),MATCH(E$1,[2]characters!$1:$1,0)-MATCH($A$1,[2]characters!$1:$1,0)+1,FALSE)</f>
        <v>格好いい</v>
      </c>
      <c r="F315" s="24" t="str">
        <f ca="1">VLOOKUP($A315,OFFSET([2]characters!$A$1,0,0,COUNTA([2]characters!$A:$A),MATCH(F$1,[2]characters!$1:$1,0)-MATCH($A$1,[2]characters!$1:$1,0)+1),MATCH(F$1,[2]characters!$1:$1,0)-MATCH($A$1,[2]characters!$1:$1,0)+1,FALSE)</f>
        <v>男性</v>
      </c>
      <c r="G315" s="24">
        <f ca="1">VLOOKUP($A315,OFFSET([2]characters!$A$1,0,0,COUNTA([2]characters!$A:$A),MATCH(G$1,[2]characters!$1:$1,0)-MATCH($A$1,[2]characters!$1:$1,0)+1),MATCH(G$1,[2]characters!$1:$1,0)-MATCH($A$1,[2]characters!$1:$1,0)+1,FALSE)</f>
        <v>4</v>
      </c>
      <c r="H315" s="24" t="str">
        <f ca="1">VLOOKUP($A315,OFFSET([2]characters!$A$1,0,0,COUNTA([2]characters!$A:$A),MATCH(H$1,[2]characters!$1:$1,0)-MATCH($A$1,[2]characters!$1:$1,0)+1),MATCH(H$1,[2]characters!$1:$1,0)-MATCH($A$1,[2]characters!$1:$1,0)+1,FALSE)</f>
        <v>PremiumS</v>
      </c>
      <c r="I315" s="24" t="str">
        <f ca="1">VLOOKUP($A315,OFFSET([2]characters!$A$1,0,0,COUNTA([2]characters!$A:$A),MATCH(I$1,[2]characters!$1:$1,0)-MATCH($A$1,[2]characters!$1:$1,0)+1),MATCH(I$1,[2]characters!$1:$1,0)-MATCH($A$1,[2]characters!$1:$1,0)+1,FALSE)</f>
        <v>red</v>
      </c>
      <c r="J315" s="24" t="str">
        <f ca="1">VLOOKUP($A315,OFFSET([2]characters!$A$1,0,0,COUNTA([2]characters!$A:$A),MATCH(J$1,[2]characters!$1:$1,0)-MATCH($A$1,[2]characters!$1:$1,0)+1),MATCH(J$1,[2]characters!$1:$1,0)-MATCH($A$1,[2]characters!$1:$1,0)+1,FALSE)</f>
        <v>machine</v>
      </c>
      <c r="K315" s="3" t="str">
        <f ca="1">VLOOKUP(J315,[2]character_tribe_i18n!$A:$H,3,FALSE)</f>
        <v>マシン</v>
      </c>
      <c r="L315" s="5" t="e">
        <f>VLOOKUP(#REF!,[2]character_tribe_i18n!$A:$H,4,FALSE)</f>
        <v>#REF!</v>
      </c>
      <c r="M315" s="5" t="e">
        <f>VLOOKUP(#REF!,[2]character_tribe_i18n!$A:$H,5,FALSE)</f>
        <v>#REF!</v>
      </c>
      <c r="N315" s="5" t="e">
        <f>VLOOKUP(#REF!,[2]character_tribe_i18n!$A:$H,6,FALSE)</f>
        <v>#REF!</v>
      </c>
      <c r="O315" s="5" t="e">
        <f>VLOOKUP(#REF!,[2]character_tribe_i18n!$A:$H,7,FALSE)</f>
        <v>#REF!</v>
      </c>
      <c r="P315" s="83" t="s">
        <v>170</v>
      </c>
      <c r="Q315">
        <v>598</v>
      </c>
      <c r="R315" s="25" t="str">
        <f ca="1">IF(Q315="NULL","",VLOOKUP($Q315,OFFSET([2]characters!$A$1,0,0,COUNTA([2]characters!$A:$A),MATCH(R$1,[2]characters!$1:$1,0)-MATCH($A$1,[2]characters!$1:$1,0)+1),MATCH(R$1,[2]characters!$1:$1,0)-MATCH($A$1,[2]characters!$1:$1,0)+1,FALSE))</f>
        <v>焼燃の情熱 ムスペルヘイム</v>
      </c>
      <c r="S315" s="3">
        <f t="shared" ca="1" si="5"/>
        <v>596</v>
      </c>
      <c r="T315" s="25" t="str">
        <f ca="1">VLOOKUP($S315,OFFSET([2]characters!$A$1,0,0,COUNTA([2]characters!$A:$A),MATCH(T$1,[2]characters!$1:$1,0)-MATCH($A$1,[2]characters!$1:$1,0)+1),MATCH(T$1,[2]characters!$1:$1,0)-MATCH($A$1,[2]characters!$1:$1,0)+1,FALSE)</f>
        <v>ムスペルヘイム</v>
      </c>
      <c r="U315" s="5">
        <f ca="1">IF(Q315="NULL","NULL",VLOOKUP(G315,ビット!$A$2:$B$7,2))</f>
        <v>50000</v>
      </c>
      <c r="V315">
        <v>50000</v>
      </c>
      <c r="W315" s="6" t="str">
        <f t="shared" ca="1" si="7"/>
        <v>TRUE</v>
      </c>
    </row>
    <row r="316" spans="1:23" ht="21" customHeight="1" x14ac:dyDescent="0.15">
      <c r="A316" s="84">
        <v>599</v>
      </c>
      <c r="B316" s="24" t="str">
        <f ca="1">VLOOKUP($A316,OFFSET([2]characters!$A$1,0,0,COUNTA([2]characters!$A:$A),MATCH(B$1,[2]characters!$1:$1,0)-MATCH($A$1,[2]characters!$1:$1,0)+1),MATCH(B$1,[2]characters!$1:$1,0)-MATCH($A$1,[2]characters!$1:$1,0)+1,FALSE)</f>
        <v>ニーズヘッグ</v>
      </c>
      <c r="C316" s="24" t="str">
        <f ca="1">VLOOKUP($A316,OFFSET([2]characters!$A$1,0,0,COUNTA([2]characters!$A:$A),MATCH(C$1,[2]characters!$1:$1,0)-MATCH($A$1,[2]characters!$1:$1,0)+1),MATCH(C$1,[2]characters!$1:$1,0)-MATCH($A$1,[2]characters!$1:$1,0)+1,FALSE)</f>
        <v>ガチャ:北欧02</v>
      </c>
      <c r="D316" s="24" t="str">
        <f ca="1">VLOOKUP($A316,OFFSET([2]characters!$A$1,0,0,COUNTA([2]characters!$A:$A),MATCH(D$1,[2]characters!$1:$1,0)-MATCH($A$1,[2]characters!$1:$1,0)+1),MATCH(D$1,[2]characters!$1:$1,0)-MATCH($A$1,[2]characters!$1:$1,0)+1,FALSE)</f>
        <v>執行者</v>
      </c>
      <c r="E316" s="24" t="str">
        <f ca="1">VLOOKUP($A316,OFFSET([2]characters!$A$1,0,0,COUNTA([2]characters!$A:$A),MATCH(E$1,[2]characters!$1:$1,0)-MATCH($A$1,[2]characters!$1:$1,0)+1),MATCH(E$1,[2]characters!$1:$1,0)-MATCH($A$1,[2]characters!$1:$1,0)+1,FALSE)</f>
        <v>格好いい</v>
      </c>
      <c r="F316" s="24" t="str">
        <f ca="1">VLOOKUP($A316,OFFSET([2]characters!$A$1,0,0,COUNTA([2]characters!$A:$A),MATCH(F$1,[2]characters!$1:$1,0)-MATCH($A$1,[2]characters!$1:$1,0)+1),MATCH(F$1,[2]characters!$1:$1,0)-MATCH($A$1,[2]characters!$1:$1,0)+1,FALSE)</f>
        <v>不明</v>
      </c>
      <c r="G316" s="24">
        <f ca="1">VLOOKUP($A316,OFFSET([2]characters!$A$1,0,0,COUNTA([2]characters!$A:$A),MATCH(G$1,[2]characters!$1:$1,0)-MATCH($A$1,[2]characters!$1:$1,0)+1),MATCH(G$1,[2]characters!$1:$1,0)-MATCH($A$1,[2]characters!$1:$1,0)+1,FALSE)</f>
        <v>3</v>
      </c>
      <c r="H316" s="24" t="str">
        <f ca="1">VLOOKUP($A316,OFFSET([2]characters!$A$1,0,0,COUNTA([2]characters!$A:$A),MATCH(H$1,[2]characters!$1:$1,0)-MATCH($A$1,[2]characters!$1:$1,0)+1),MATCH(H$1,[2]characters!$1:$1,0)-MATCH($A$1,[2]characters!$1:$1,0)+1,FALSE)</f>
        <v>PremiumS</v>
      </c>
      <c r="I316" s="24" t="str">
        <f ca="1">VLOOKUP($A316,OFFSET([2]characters!$A$1,0,0,COUNTA([2]characters!$A:$A),MATCH(I$1,[2]characters!$1:$1,0)-MATCH($A$1,[2]characters!$1:$1,0)+1),MATCH(I$1,[2]characters!$1:$1,0)-MATCH($A$1,[2]characters!$1:$1,0)+1,FALSE)</f>
        <v>green</v>
      </c>
      <c r="J316" s="24" t="str">
        <f ca="1">VLOOKUP($A316,OFFSET([2]characters!$A$1,0,0,COUNTA([2]characters!$A:$A),MATCH(J$1,[2]characters!$1:$1,0)-MATCH($A$1,[2]characters!$1:$1,0)+1),MATCH(J$1,[2]characters!$1:$1,0)-MATCH($A$1,[2]characters!$1:$1,0)+1,FALSE)</f>
        <v>none</v>
      </c>
      <c r="K316" s="3" t="str">
        <f ca="1">VLOOKUP(J316,[2]character_tribe_i18n!$A:$H,3,FALSE)</f>
        <v>種族なし</v>
      </c>
      <c r="L316" s="5" t="e">
        <f>VLOOKUP(#REF!,[2]character_tribe_i18n!$A:$H,4,FALSE)</f>
        <v>#REF!</v>
      </c>
      <c r="M316" s="5" t="e">
        <f>VLOOKUP(#REF!,[2]character_tribe_i18n!$A:$H,5,FALSE)</f>
        <v>#REF!</v>
      </c>
      <c r="N316" s="5" t="e">
        <f>VLOOKUP(#REF!,[2]character_tribe_i18n!$A:$H,6,FALSE)</f>
        <v>#REF!</v>
      </c>
      <c r="O316" s="5" t="e">
        <f>VLOOKUP(#REF!,[2]character_tribe_i18n!$A:$H,7,FALSE)</f>
        <v>#REF!</v>
      </c>
      <c r="P316" s="83" t="s">
        <v>170</v>
      </c>
      <c r="Q316">
        <v>600</v>
      </c>
      <c r="R316" s="25" t="str">
        <f ca="1">IF(Q316="NULL","",VLOOKUP($Q316,OFFSET([2]characters!$A$1,0,0,COUNTA([2]characters!$A:$A),MATCH(R$1,[2]characters!$1:$1,0)-MATCH($A$1,[2]characters!$1:$1,0)+1),MATCH(R$1,[2]characters!$1:$1,0)-MATCH($A$1,[2]characters!$1:$1,0)+1,FALSE))</f>
        <v>界下に潜む蛇 ニーズヘッグ</v>
      </c>
      <c r="S316" s="3">
        <f t="shared" ca="1" si="5"/>
        <v>599</v>
      </c>
      <c r="T316" s="25" t="str">
        <f ca="1">VLOOKUP($S316,OFFSET([2]characters!$A$1,0,0,COUNTA([2]characters!$A:$A),MATCH(T$1,[2]characters!$1:$1,0)-MATCH($A$1,[2]characters!$1:$1,0)+1),MATCH(T$1,[2]characters!$1:$1,0)-MATCH($A$1,[2]characters!$1:$1,0)+1,FALSE)</f>
        <v>ニーズヘッグ</v>
      </c>
      <c r="U316" s="5">
        <f ca="1">IF(Q316="NULL","NULL",VLOOKUP(G316,ビット!$A$2:$B$7,2))</f>
        <v>20000</v>
      </c>
      <c r="V316">
        <v>20000</v>
      </c>
      <c r="W316" s="6" t="str">
        <f t="shared" ca="1" si="7"/>
        <v>TRUE</v>
      </c>
    </row>
    <row r="317" spans="1:23" ht="21" customHeight="1" x14ac:dyDescent="0.15">
      <c r="A317" s="84">
        <v>600</v>
      </c>
      <c r="B317" s="24" t="str">
        <f ca="1">VLOOKUP($A317,OFFSET([2]characters!$A$1,0,0,COUNTA([2]characters!$A:$A),MATCH(B$1,[2]characters!$1:$1,0)-MATCH($A$1,[2]characters!$1:$1,0)+1),MATCH(B$1,[2]characters!$1:$1,0)-MATCH($A$1,[2]characters!$1:$1,0)+1,FALSE)</f>
        <v>界下に潜む蛇 ニーズヘッグ</v>
      </c>
      <c r="C317" s="24" t="str">
        <f ca="1">VLOOKUP($A317,OFFSET([2]characters!$A$1,0,0,COUNTA([2]characters!$A:$A),MATCH(C$1,[2]characters!$1:$1,0)-MATCH($A$1,[2]characters!$1:$1,0)+1),MATCH(C$1,[2]characters!$1:$1,0)-MATCH($A$1,[2]characters!$1:$1,0)+1,FALSE)</f>
        <v>ガチャ:北欧02</v>
      </c>
      <c r="D317" s="24" t="str">
        <f ca="1">VLOOKUP($A317,OFFSET([2]characters!$A$1,0,0,COUNTA([2]characters!$A:$A),MATCH(D$1,[2]characters!$1:$1,0)-MATCH($A$1,[2]characters!$1:$1,0)+1),MATCH(D$1,[2]characters!$1:$1,0)-MATCH($A$1,[2]characters!$1:$1,0)+1,FALSE)</f>
        <v>執行者</v>
      </c>
      <c r="E317" s="24" t="str">
        <f ca="1">VLOOKUP($A317,OFFSET([2]characters!$A$1,0,0,COUNTA([2]characters!$A:$A),MATCH(E$1,[2]characters!$1:$1,0)-MATCH($A$1,[2]characters!$1:$1,0)+1),MATCH(E$1,[2]characters!$1:$1,0)-MATCH($A$1,[2]characters!$1:$1,0)+1,FALSE)</f>
        <v>格好いい</v>
      </c>
      <c r="F317" s="24" t="str">
        <f ca="1">VLOOKUP($A317,OFFSET([2]characters!$A$1,0,0,COUNTA([2]characters!$A:$A),MATCH(F$1,[2]characters!$1:$1,0)-MATCH($A$1,[2]characters!$1:$1,0)+1),MATCH(F$1,[2]characters!$1:$1,0)-MATCH($A$1,[2]characters!$1:$1,0)+1,FALSE)</f>
        <v>不明</v>
      </c>
      <c r="G317" s="24">
        <f ca="1">VLOOKUP($A317,OFFSET([2]characters!$A$1,0,0,COUNTA([2]characters!$A:$A),MATCH(G$1,[2]characters!$1:$1,0)-MATCH($A$1,[2]characters!$1:$1,0)+1),MATCH(G$1,[2]characters!$1:$1,0)-MATCH($A$1,[2]characters!$1:$1,0)+1,FALSE)</f>
        <v>4</v>
      </c>
      <c r="H317" s="24" t="str">
        <f ca="1">VLOOKUP($A317,OFFSET([2]characters!$A$1,0,0,COUNTA([2]characters!$A:$A),MATCH(H$1,[2]characters!$1:$1,0)-MATCH($A$1,[2]characters!$1:$1,0)+1),MATCH(H$1,[2]characters!$1:$1,0)-MATCH($A$1,[2]characters!$1:$1,0)+1,FALSE)</f>
        <v>PremiumS</v>
      </c>
      <c r="I317" s="24" t="str">
        <f ca="1">VLOOKUP($A317,OFFSET([2]characters!$A$1,0,0,COUNTA([2]characters!$A:$A),MATCH(I$1,[2]characters!$1:$1,0)-MATCH($A$1,[2]characters!$1:$1,0)+1),MATCH(I$1,[2]characters!$1:$1,0)-MATCH($A$1,[2]characters!$1:$1,0)+1,FALSE)</f>
        <v>green</v>
      </c>
      <c r="J317" s="24" t="str">
        <f ca="1">VLOOKUP($A317,OFFSET([2]characters!$A$1,0,0,COUNTA([2]characters!$A:$A),MATCH(J$1,[2]characters!$1:$1,0)-MATCH($A$1,[2]characters!$1:$1,0)+1),MATCH(J$1,[2]characters!$1:$1,0)-MATCH($A$1,[2]characters!$1:$1,0)+1,FALSE)</f>
        <v>none</v>
      </c>
      <c r="K317" s="3" t="str">
        <f ca="1">VLOOKUP(J317,[2]character_tribe_i18n!$A:$H,3,FALSE)</f>
        <v>種族なし</v>
      </c>
      <c r="L317" s="5" t="e">
        <f>VLOOKUP(#REF!,[2]character_tribe_i18n!$A:$H,4,FALSE)</f>
        <v>#REF!</v>
      </c>
      <c r="M317" s="5" t="e">
        <f>VLOOKUP(#REF!,[2]character_tribe_i18n!$A:$H,5,FALSE)</f>
        <v>#REF!</v>
      </c>
      <c r="N317" s="5" t="e">
        <f>VLOOKUP(#REF!,[2]character_tribe_i18n!$A:$H,6,FALSE)</f>
        <v>#REF!</v>
      </c>
      <c r="O317" s="5" t="e">
        <f>VLOOKUP(#REF!,[2]character_tribe_i18n!$A:$H,7,FALSE)</f>
        <v>#REF!</v>
      </c>
      <c r="P317" s="83" t="s">
        <v>170</v>
      </c>
      <c r="Q317">
        <v>601</v>
      </c>
      <c r="R317" s="25" t="str">
        <f ca="1">IF(Q317="NULL","",VLOOKUP($Q317,OFFSET([2]characters!$A$1,0,0,COUNTA([2]characters!$A:$A),MATCH(R$1,[2]characters!$1:$1,0)-MATCH($A$1,[2]characters!$1:$1,0)+1),MATCH(R$1,[2]characters!$1:$1,0)-MATCH($A$1,[2]characters!$1:$1,0)+1,FALSE))</f>
        <v>界根蝕む悪食 ニーズヘッグ</v>
      </c>
      <c r="S317" s="3">
        <f t="shared" ca="1" si="5"/>
        <v>599</v>
      </c>
      <c r="T317" s="25" t="str">
        <f ca="1">VLOOKUP($S317,OFFSET([2]characters!$A$1,0,0,COUNTA([2]characters!$A:$A),MATCH(T$1,[2]characters!$1:$1,0)-MATCH($A$1,[2]characters!$1:$1,0)+1),MATCH(T$1,[2]characters!$1:$1,0)-MATCH($A$1,[2]characters!$1:$1,0)+1,FALSE)</f>
        <v>ニーズヘッグ</v>
      </c>
      <c r="U317" s="5">
        <f ca="1">IF(Q317="NULL","NULL",VLOOKUP(G317,ビット!$A$2:$B$7,2))</f>
        <v>50000</v>
      </c>
      <c r="V317">
        <v>50000</v>
      </c>
      <c r="W317" s="6" t="str">
        <f t="shared" ca="1" si="7"/>
        <v>TRUE</v>
      </c>
    </row>
    <row r="318" spans="1:23" ht="21" customHeight="1" x14ac:dyDescent="0.15">
      <c r="A318" s="84">
        <v>602</v>
      </c>
      <c r="B318" s="24" t="str">
        <f ca="1">VLOOKUP($A318,OFFSET([2]characters!$A$1,0,0,COUNTA([2]characters!$A:$A),MATCH(B$1,[2]characters!$1:$1,0)-MATCH($A$1,[2]characters!$1:$1,0)+1),MATCH(B$1,[2]characters!$1:$1,0)-MATCH($A$1,[2]characters!$1:$1,0)+1,FALSE)</f>
        <v>フレイヤ</v>
      </c>
      <c r="C318" s="24" t="str">
        <f ca="1">VLOOKUP($A318,OFFSET([2]characters!$A$1,0,0,COUNTA([2]characters!$A:$A),MATCH(C$1,[2]characters!$1:$1,0)-MATCH($A$1,[2]characters!$1:$1,0)+1),MATCH(C$1,[2]characters!$1:$1,0)-MATCH($A$1,[2]characters!$1:$1,0)+1,FALSE)</f>
        <v>ガチャ:北欧02</v>
      </c>
      <c r="D318" s="24" t="str">
        <f ca="1">VLOOKUP($A318,OFFSET([2]characters!$A$1,0,0,COUNTA([2]characters!$A:$A),MATCH(D$1,[2]characters!$1:$1,0)-MATCH($A$1,[2]characters!$1:$1,0)+1),MATCH(D$1,[2]characters!$1:$1,0)-MATCH($A$1,[2]characters!$1:$1,0)+1,FALSE)</f>
        <v>執行者</v>
      </c>
      <c r="E318" s="24" t="str">
        <f ca="1">VLOOKUP($A318,OFFSET([2]characters!$A$1,0,0,COUNTA([2]characters!$A:$A),MATCH(E$1,[2]characters!$1:$1,0)-MATCH($A$1,[2]characters!$1:$1,0)+1),MATCH(E$1,[2]characters!$1:$1,0)-MATCH($A$1,[2]characters!$1:$1,0)+1,FALSE)</f>
        <v>格好いい</v>
      </c>
      <c r="F318" s="24" t="str">
        <f ca="1">VLOOKUP($A318,OFFSET([2]characters!$A$1,0,0,COUNTA([2]characters!$A:$A),MATCH(F$1,[2]characters!$1:$1,0)-MATCH($A$1,[2]characters!$1:$1,0)+1),MATCH(F$1,[2]characters!$1:$1,0)-MATCH($A$1,[2]characters!$1:$1,0)+1,FALSE)</f>
        <v>女性</v>
      </c>
      <c r="G318" s="24">
        <f ca="1">VLOOKUP($A318,OFFSET([2]characters!$A$1,0,0,COUNTA([2]characters!$A:$A),MATCH(G$1,[2]characters!$1:$1,0)-MATCH($A$1,[2]characters!$1:$1,0)+1),MATCH(G$1,[2]characters!$1:$1,0)-MATCH($A$1,[2]characters!$1:$1,0)+1,FALSE)</f>
        <v>4</v>
      </c>
      <c r="H318" s="24" t="str">
        <f ca="1">VLOOKUP($A318,OFFSET([2]characters!$A$1,0,0,COUNTA([2]characters!$A:$A),MATCH(H$1,[2]characters!$1:$1,0)-MATCH($A$1,[2]characters!$1:$1,0)+1),MATCH(H$1,[2]characters!$1:$1,0)-MATCH($A$1,[2]characters!$1:$1,0)+1,FALSE)</f>
        <v>PremiumSS</v>
      </c>
      <c r="I318" s="24" t="str">
        <f ca="1">VLOOKUP($A318,OFFSET([2]characters!$A$1,0,0,COUNTA([2]characters!$A:$A),MATCH(I$1,[2]characters!$1:$1,0)-MATCH($A$1,[2]characters!$1:$1,0)+1),MATCH(I$1,[2]characters!$1:$1,0)-MATCH($A$1,[2]characters!$1:$1,0)+1,FALSE)</f>
        <v>blue</v>
      </c>
      <c r="J318" s="24" t="str">
        <f ca="1">VLOOKUP($A318,OFFSET([2]characters!$A$1,0,0,COUNTA([2]characters!$A:$A),MATCH(J$1,[2]characters!$1:$1,0)-MATCH($A$1,[2]characters!$1:$1,0)+1),MATCH(J$1,[2]characters!$1:$1,0)-MATCH($A$1,[2]characters!$1:$1,0)+1,FALSE)</f>
        <v>none</v>
      </c>
      <c r="K318" s="3" t="str">
        <f ca="1">VLOOKUP(J318,[2]character_tribe_i18n!$A:$H,3,FALSE)</f>
        <v>種族なし</v>
      </c>
      <c r="L318" s="5" t="e">
        <f>VLOOKUP(#REF!,[2]character_tribe_i18n!$A:$H,4,FALSE)</f>
        <v>#REF!</v>
      </c>
      <c r="M318" s="5" t="e">
        <f>VLOOKUP(#REF!,[2]character_tribe_i18n!$A:$H,5,FALSE)</f>
        <v>#REF!</v>
      </c>
      <c r="N318" s="5" t="e">
        <f>VLOOKUP(#REF!,[2]character_tribe_i18n!$A:$H,6,FALSE)</f>
        <v>#REF!</v>
      </c>
      <c r="O318" s="5" t="e">
        <f>VLOOKUP(#REF!,[2]character_tribe_i18n!$A:$H,7,FALSE)</f>
        <v>#REF!</v>
      </c>
      <c r="P318" s="83" t="s">
        <v>170</v>
      </c>
      <c r="Q318">
        <v>603</v>
      </c>
      <c r="R318" s="25" t="str">
        <f ca="1">IF(Q318="NULL","",VLOOKUP($Q318,OFFSET([2]characters!$A$1,0,0,COUNTA([2]characters!$A:$A),MATCH(R$1,[2]characters!$1:$1,0)-MATCH($A$1,[2]characters!$1:$1,0)+1),MATCH(R$1,[2]characters!$1:$1,0)-MATCH($A$1,[2]characters!$1:$1,0)+1,FALSE))</f>
        <v>掌愛の豊穣女神 フレイヤ</v>
      </c>
      <c r="S318" s="3">
        <f t="shared" ca="1" si="5"/>
        <v>602</v>
      </c>
      <c r="T318" s="25" t="str">
        <f ca="1">VLOOKUP($S318,OFFSET([2]characters!$A$1,0,0,COUNTA([2]characters!$A:$A),MATCH(T$1,[2]characters!$1:$1,0)-MATCH($A$1,[2]characters!$1:$1,0)+1),MATCH(T$1,[2]characters!$1:$1,0)-MATCH($A$1,[2]characters!$1:$1,0)+1,FALSE)</f>
        <v>フレイヤ</v>
      </c>
      <c r="U318" s="5">
        <f ca="1">IF(Q318="NULL","NULL",VLOOKUP(G318,ビット!$A$2:$B$7,2))</f>
        <v>50000</v>
      </c>
      <c r="V318">
        <v>50000</v>
      </c>
      <c r="W318" s="6" t="str">
        <f t="shared" ca="1" si="7"/>
        <v>TRUE</v>
      </c>
    </row>
    <row r="319" spans="1:23" ht="21" customHeight="1" x14ac:dyDescent="0.15">
      <c r="A319" s="84">
        <v>604</v>
      </c>
      <c r="B319" s="24" t="str">
        <f ca="1">VLOOKUP($A319,OFFSET([2]characters!$A$1,0,0,COUNTA([2]characters!$A:$A),MATCH(B$1,[2]characters!$1:$1,0)-MATCH($A$1,[2]characters!$1:$1,0)+1),MATCH(B$1,[2]characters!$1:$1,0)-MATCH($A$1,[2]characters!$1:$1,0)+1,FALSE)</f>
        <v>バルドル</v>
      </c>
      <c r="C319" s="24" t="str">
        <f ca="1">VLOOKUP($A319,OFFSET([2]characters!$A$1,0,0,COUNTA([2]characters!$A:$A),MATCH(C$1,[2]characters!$1:$1,0)-MATCH($A$1,[2]characters!$1:$1,0)+1),MATCH(C$1,[2]characters!$1:$1,0)-MATCH($A$1,[2]characters!$1:$1,0)+1,FALSE)</f>
        <v>ガチャ:北欧02</v>
      </c>
      <c r="D319" s="24" t="str">
        <f ca="1">VLOOKUP($A319,OFFSET([2]characters!$A$1,0,0,COUNTA([2]characters!$A:$A),MATCH(D$1,[2]characters!$1:$1,0)-MATCH($A$1,[2]characters!$1:$1,0)+1),MATCH(D$1,[2]characters!$1:$1,0)-MATCH($A$1,[2]characters!$1:$1,0)+1,FALSE)</f>
        <v>執行者</v>
      </c>
      <c r="E319" s="24" t="str">
        <f ca="1">VLOOKUP($A319,OFFSET([2]characters!$A$1,0,0,COUNTA([2]characters!$A:$A),MATCH(E$1,[2]characters!$1:$1,0)-MATCH($A$1,[2]characters!$1:$1,0)+1),MATCH(E$1,[2]characters!$1:$1,0)-MATCH($A$1,[2]characters!$1:$1,0)+1,FALSE)</f>
        <v>格好いい</v>
      </c>
      <c r="F319" s="24" t="str">
        <f ca="1">VLOOKUP($A319,OFFSET([2]characters!$A$1,0,0,COUNTA([2]characters!$A:$A),MATCH(F$1,[2]characters!$1:$1,0)-MATCH($A$1,[2]characters!$1:$1,0)+1),MATCH(F$1,[2]characters!$1:$1,0)-MATCH($A$1,[2]characters!$1:$1,0)+1,FALSE)</f>
        <v>男性</v>
      </c>
      <c r="G319" s="24">
        <f ca="1">VLOOKUP($A319,OFFSET([2]characters!$A$1,0,0,COUNTA([2]characters!$A:$A),MATCH(G$1,[2]characters!$1:$1,0)-MATCH($A$1,[2]characters!$1:$1,0)+1),MATCH(G$1,[2]characters!$1:$1,0)-MATCH($A$1,[2]characters!$1:$1,0)+1,FALSE)</f>
        <v>3</v>
      </c>
      <c r="H319" s="24" t="str">
        <f ca="1">VLOOKUP($A319,OFFSET([2]characters!$A$1,0,0,COUNTA([2]characters!$A:$A),MATCH(H$1,[2]characters!$1:$1,0)-MATCH($A$1,[2]characters!$1:$1,0)+1),MATCH(H$1,[2]characters!$1:$1,0)-MATCH($A$1,[2]characters!$1:$1,0)+1,FALSE)</f>
        <v>PremiumS</v>
      </c>
      <c r="I319" s="24" t="str">
        <f ca="1">VLOOKUP($A319,OFFSET([2]characters!$A$1,0,0,COUNTA([2]characters!$A:$A),MATCH(I$1,[2]characters!$1:$1,0)-MATCH($A$1,[2]characters!$1:$1,0)+1),MATCH(I$1,[2]characters!$1:$1,0)-MATCH($A$1,[2]characters!$1:$1,0)+1,FALSE)</f>
        <v>yellow</v>
      </c>
      <c r="J319" s="24" t="str">
        <f ca="1">VLOOKUP($A319,OFFSET([2]characters!$A$1,0,0,COUNTA([2]characters!$A:$A),MATCH(J$1,[2]characters!$1:$1,0)-MATCH($A$1,[2]characters!$1:$1,0)+1),MATCH(J$1,[2]characters!$1:$1,0)-MATCH($A$1,[2]characters!$1:$1,0)+1,FALSE)</f>
        <v>none</v>
      </c>
      <c r="K319" s="3" t="str">
        <f ca="1">VLOOKUP(J319,[2]character_tribe_i18n!$A:$H,3,FALSE)</f>
        <v>種族なし</v>
      </c>
      <c r="L319" s="5" t="e">
        <f>VLOOKUP(#REF!,[2]character_tribe_i18n!$A:$H,4,FALSE)</f>
        <v>#REF!</v>
      </c>
      <c r="M319" s="5" t="e">
        <f>VLOOKUP(#REF!,[2]character_tribe_i18n!$A:$H,5,FALSE)</f>
        <v>#REF!</v>
      </c>
      <c r="N319" s="5" t="e">
        <f>VLOOKUP(#REF!,[2]character_tribe_i18n!$A:$H,6,FALSE)</f>
        <v>#REF!</v>
      </c>
      <c r="O319" s="5" t="e">
        <f>VLOOKUP(#REF!,[2]character_tribe_i18n!$A:$H,7,FALSE)</f>
        <v>#REF!</v>
      </c>
      <c r="P319" s="83" t="s">
        <v>170</v>
      </c>
      <c r="Q319">
        <v>605</v>
      </c>
      <c r="R319" s="25" t="str">
        <f ca="1">IF(Q319="NULL","",VLOOKUP($Q319,OFFSET([2]characters!$A$1,0,0,COUNTA([2]characters!$A:$A),MATCH(R$1,[2]characters!$1:$1,0)-MATCH($A$1,[2]characters!$1:$1,0)+1),MATCH(R$1,[2]characters!$1:$1,0)-MATCH($A$1,[2]characters!$1:$1,0)+1,FALSE))</f>
        <v>祝福される光耀 バルドル</v>
      </c>
      <c r="S319" s="3">
        <f t="shared" ca="1" si="5"/>
        <v>604</v>
      </c>
      <c r="T319" s="25" t="str">
        <f ca="1">VLOOKUP($S319,OFFSET([2]characters!$A$1,0,0,COUNTA([2]characters!$A:$A),MATCH(T$1,[2]characters!$1:$1,0)-MATCH($A$1,[2]characters!$1:$1,0)+1),MATCH(T$1,[2]characters!$1:$1,0)-MATCH($A$1,[2]characters!$1:$1,0)+1,FALSE)</f>
        <v>バルドル</v>
      </c>
      <c r="U319" s="5">
        <f ca="1">IF(Q319="NULL","NULL",VLOOKUP(G319,ビット!$A$2:$B$7,2))</f>
        <v>20000</v>
      </c>
      <c r="V319">
        <v>20000</v>
      </c>
      <c r="W319" s="6" t="str">
        <f t="shared" ca="1" si="7"/>
        <v>TRUE</v>
      </c>
    </row>
    <row r="320" spans="1:23" ht="21" customHeight="1" x14ac:dyDescent="0.15">
      <c r="A320" s="84">
        <v>605</v>
      </c>
      <c r="B320" s="24" t="str">
        <f ca="1">VLOOKUP($A320,OFFSET([2]characters!$A$1,0,0,COUNTA([2]characters!$A:$A),MATCH(B$1,[2]characters!$1:$1,0)-MATCH($A$1,[2]characters!$1:$1,0)+1),MATCH(B$1,[2]characters!$1:$1,0)-MATCH($A$1,[2]characters!$1:$1,0)+1,FALSE)</f>
        <v>祝福される光耀 バルドル</v>
      </c>
      <c r="C320" s="24" t="str">
        <f ca="1">VLOOKUP($A320,OFFSET([2]characters!$A$1,0,0,COUNTA([2]characters!$A:$A),MATCH(C$1,[2]characters!$1:$1,0)-MATCH($A$1,[2]characters!$1:$1,0)+1),MATCH(C$1,[2]characters!$1:$1,0)-MATCH($A$1,[2]characters!$1:$1,0)+1,FALSE)</f>
        <v>ガチャ:北欧02</v>
      </c>
      <c r="D320" s="24" t="str">
        <f ca="1">VLOOKUP($A320,OFFSET([2]characters!$A$1,0,0,COUNTA([2]characters!$A:$A),MATCH(D$1,[2]characters!$1:$1,0)-MATCH($A$1,[2]characters!$1:$1,0)+1),MATCH(D$1,[2]characters!$1:$1,0)-MATCH($A$1,[2]characters!$1:$1,0)+1,FALSE)</f>
        <v>執行者</v>
      </c>
      <c r="E320" s="24" t="str">
        <f ca="1">VLOOKUP($A320,OFFSET([2]characters!$A$1,0,0,COUNTA([2]characters!$A:$A),MATCH(E$1,[2]characters!$1:$1,0)-MATCH($A$1,[2]characters!$1:$1,0)+1),MATCH(E$1,[2]characters!$1:$1,0)-MATCH($A$1,[2]characters!$1:$1,0)+1,FALSE)</f>
        <v>格好いい</v>
      </c>
      <c r="F320" s="24" t="str">
        <f ca="1">VLOOKUP($A320,OFFSET([2]characters!$A$1,0,0,COUNTA([2]characters!$A:$A),MATCH(F$1,[2]characters!$1:$1,0)-MATCH($A$1,[2]characters!$1:$1,0)+1),MATCH(F$1,[2]characters!$1:$1,0)-MATCH($A$1,[2]characters!$1:$1,0)+1,FALSE)</f>
        <v>男性</v>
      </c>
      <c r="G320" s="24">
        <f ca="1">VLOOKUP($A320,OFFSET([2]characters!$A$1,0,0,COUNTA([2]characters!$A:$A),MATCH(G$1,[2]characters!$1:$1,0)-MATCH($A$1,[2]characters!$1:$1,0)+1),MATCH(G$1,[2]characters!$1:$1,0)-MATCH($A$1,[2]characters!$1:$1,0)+1,FALSE)</f>
        <v>4</v>
      </c>
      <c r="H320" s="24" t="str">
        <f ca="1">VLOOKUP($A320,OFFSET([2]characters!$A$1,0,0,COUNTA([2]characters!$A:$A),MATCH(H$1,[2]characters!$1:$1,0)-MATCH($A$1,[2]characters!$1:$1,0)+1),MATCH(H$1,[2]characters!$1:$1,0)-MATCH($A$1,[2]characters!$1:$1,0)+1,FALSE)</f>
        <v>PremiumS</v>
      </c>
      <c r="I320" s="24" t="str">
        <f ca="1">VLOOKUP($A320,OFFSET([2]characters!$A$1,0,0,COUNTA([2]characters!$A:$A),MATCH(I$1,[2]characters!$1:$1,0)-MATCH($A$1,[2]characters!$1:$1,0)+1),MATCH(I$1,[2]characters!$1:$1,0)-MATCH($A$1,[2]characters!$1:$1,0)+1,FALSE)</f>
        <v>yellow</v>
      </c>
      <c r="J320" s="24" t="str">
        <f ca="1">VLOOKUP($A320,OFFSET([2]characters!$A$1,0,0,COUNTA([2]characters!$A:$A),MATCH(J$1,[2]characters!$1:$1,0)-MATCH($A$1,[2]characters!$1:$1,0)+1),MATCH(J$1,[2]characters!$1:$1,0)-MATCH($A$1,[2]characters!$1:$1,0)+1,FALSE)</f>
        <v>none</v>
      </c>
      <c r="K320" s="3" t="str">
        <f ca="1">VLOOKUP(J320,[2]character_tribe_i18n!$A:$H,3,FALSE)</f>
        <v>種族なし</v>
      </c>
      <c r="L320" s="5" t="e">
        <f>VLOOKUP(#REF!,[2]character_tribe_i18n!$A:$H,4,FALSE)</f>
        <v>#REF!</v>
      </c>
      <c r="M320" s="5" t="e">
        <f>VLOOKUP(#REF!,[2]character_tribe_i18n!$A:$H,5,FALSE)</f>
        <v>#REF!</v>
      </c>
      <c r="N320" s="5" t="e">
        <f>VLOOKUP(#REF!,[2]character_tribe_i18n!$A:$H,6,FALSE)</f>
        <v>#REF!</v>
      </c>
      <c r="O320" s="5" t="e">
        <f>VLOOKUP(#REF!,[2]character_tribe_i18n!$A:$H,7,FALSE)</f>
        <v>#REF!</v>
      </c>
      <c r="P320" s="83" t="s">
        <v>170</v>
      </c>
      <c r="Q320">
        <v>606</v>
      </c>
      <c r="R320" s="25" t="str">
        <f ca="1">IF(Q320="NULL","",VLOOKUP($Q320,OFFSET([2]characters!$A$1,0,0,COUNTA([2]characters!$A:$A),MATCH(R$1,[2]characters!$1:$1,0)-MATCH($A$1,[2]characters!$1:$1,0)+1),MATCH(R$1,[2]characters!$1:$1,0)-MATCH($A$1,[2]characters!$1:$1,0)+1,FALSE))</f>
        <v>冀望の光芒 バルドル</v>
      </c>
      <c r="S320" s="3">
        <f t="shared" ca="1" si="5"/>
        <v>604</v>
      </c>
      <c r="T320" s="25" t="str">
        <f ca="1">VLOOKUP($S320,OFFSET([2]characters!$A$1,0,0,COUNTA([2]characters!$A:$A),MATCH(T$1,[2]characters!$1:$1,0)-MATCH($A$1,[2]characters!$1:$1,0)+1),MATCH(T$1,[2]characters!$1:$1,0)-MATCH($A$1,[2]characters!$1:$1,0)+1,FALSE)</f>
        <v>バルドル</v>
      </c>
      <c r="U320" s="5">
        <f ca="1">IF(Q320="NULL","NULL",VLOOKUP(G320,ビット!$A$2:$B$7,2))</f>
        <v>50000</v>
      </c>
      <c r="V320">
        <v>50000</v>
      </c>
      <c r="W320" s="6" t="str">
        <f t="shared" ca="1" si="7"/>
        <v>TRUE</v>
      </c>
    </row>
    <row r="321" spans="1:23" ht="21" customHeight="1" x14ac:dyDescent="0.15">
      <c r="A321" s="84">
        <v>607</v>
      </c>
      <c r="B321" s="24" t="str">
        <f ca="1">VLOOKUP($A321,OFFSET([2]characters!$A$1,0,0,COUNTA([2]characters!$A:$A),MATCH(B$1,[2]characters!$1:$1,0)-MATCH($A$1,[2]characters!$1:$1,0)+1),MATCH(B$1,[2]characters!$1:$1,0)-MATCH($A$1,[2]characters!$1:$1,0)+1,FALSE)</f>
        <v>メガ攻めの果実</v>
      </c>
      <c r="C321" s="24" t="str">
        <f ca="1">VLOOKUP($A321,OFFSET([2]characters!$A$1,0,0,COUNTA([2]characters!$A:$A),MATCH(C$1,[2]characters!$1:$1,0)-MATCH($A$1,[2]characters!$1:$1,0)+1),MATCH(C$1,[2]characters!$1:$1,0)-MATCH($A$1,[2]characters!$1:$1,0)+1,FALSE)</f>
        <v>限界突破素材・攻撃・赤</v>
      </c>
      <c r="D321" s="24" t="str">
        <f ca="1">VLOOKUP($A321,OFFSET([2]characters!$A$1,0,0,COUNTA([2]characters!$A:$A),MATCH(D$1,[2]characters!$1:$1,0)-MATCH($A$1,[2]characters!$1:$1,0)+1),MATCH(D$1,[2]characters!$1:$1,0)-MATCH($A$1,[2]characters!$1:$1,0)+1,FALSE)</f>
        <v>アリス</v>
      </c>
      <c r="E321" s="24" t="str">
        <f ca="1">VLOOKUP($A321,OFFSET([2]characters!$A$1,0,0,COUNTA([2]characters!$A:$A),MATCH(E$1,[2]characters!$1:$1,0)-MATCH($A$1,[2]characters!$1:$1,0)+1),MATCH(E$1,[2]characters!$1:$1,0)-MATCH($A$1,[2]characters!$1:$1,0)+1,FALSE)</f>
        <v>世界観</v>
      </c>
      <c r="F321" s="24" t="str">
        <f ca="1">VLOOKUP($A321,OFFSET([2]characters!$A$1,0,0,COUNTA([2]characters!$A:$A),MATCH(F$1,[2]characters!$1:$1,0)-MATCH($A$1,[2]characters!$1:$1,0)+1),MATCH(F$1,[2]characters!$1:$1,0)-MATCH($A$1,[2]characters!$1:$1,0)+1,FALSE)</f>
        <v>不明</v>
      </c>
      <c r="G321" s="24">
        <f ca="1">VLOOKUP($A321,OFFSET([2]characters!$A$1,0,0,COUNTA([2]characters!$A:$A),MATCH(G$1,[2]characters!$1:$1,0)-MATCH($A$1,[2]characters!$1:$1,0)+1),MATCH(G$1,[2]characters!$1:$1,0)-MATCH($A$1,[2]characters!$1:$1,0)+1,FALSE)</f>
        <v>4</v>
      </c>
      <c r="H321" s="24" t="str">
        <f ca="1">VLOOKUP($A321,OFFSET([2]characters!$A$1,0,0,COUNTA([2]characters!$A:$A),MATCH(H$1,[2]characters!$1:$1,0)-MATCH($A$1,[2]characters!$1:$1,0)+1),MATCH(H$1,[2]characters!$1:$1,0)-MATCH($A$1,[2]characters!$1:$1,0)+1,FALSE)</f>
        <v>Material</v>
      </c>
      <c r="I321" s="24" t="str">
        <f ca="1">VLOOKUP($A321,OFFSET([2]characters!$A$1,0,0,COUNTA([2]characters!$A:$A),MATCH(I$1,[2]characters!$1:$1,0)-MATCH($A$1,[2]characters!$1:$1,0)+1),MATCH(I$1,[2]characters!$1:$1,0)-MATCH($A$1,[2]characters!$1:$1,0)+1,FALSE)</f>
        <v>red</v>
      </c>
      <c r="J321" s="24" t="str">
        <f ca="1">VLOOKUP($A321,OFFSET([2]characters!$A$1,0,0,COUNTA([2]characters!$A:$A),MATCH(J$1,[2]characters!$1:$1,0)-MATCH($A$1,[2]characters!$1:$1,0)+1),MATCH(J$1,[2]characters!$1:$1,0)-MATCH($A$1,[2]characters!$1:$1,0)+1,FALSE)</f>
        <v>none</v>
      </c>
      <c r="K321" s="3" t="str">
        <f ca="1">VLOOKUP(J321,[2]character_tribe_i18n!$A:$H,3,FALSE)</f>
        <v>種族なし</v>
      </c>
      <c r="L321" s="5" t="e">
        <f>VLOOKUP(#REF!,[2]character_tribe_i18n!$A:$H,4,FALSE)</f>
        <v>#REF!</v>
      </c>
      <c r="M321" s="5" t="e">
        <f>VLOOKUP(#REF!,[2]character_tribe_i18n!$A:$H,5,FALSE)</f>
        <v>#REF!</v>
      </c>
      <c r="N321" s="5" t="e">
        <f>VLOOKUP(#REF!,[2]character_tribe_i18n!$A:$H,6,FALSE)</f>
        <v>#REF!</v>
      </c>
      <c r="O321" s="5" t="e">
        <f>VLOOKUP(#REF!,[2]character_tribe_i18n!$A:$H,7,FALSE)</f>
        <v>#REF!</v>
      </c>
      <c r="P321" s="83" t="s">
        <v>170</v>
      </c>
      <c r="Q321">
        <v>611</v>
      </c>
      <c r="R321" s="25" t="str">
        <f ca="1">IF(Q321="NULL","",VLOOKUP($Q321,OFFSET([2]characters!$A$1,0,0,COUNTA([2]characters!$A:$A),MATCH(R$1,[2]characters!$1:$1,0)-MATCH($A$1,[2]characters!$1:$1,0)+1),MATCH(R$1,[2]characters!$1:$1,0)-MATCH($A$1,[2]characters!$1:$1,0)+1,FALSE))</f>
        <v>ギガ攻めの果実</v>
      </c>
      <c r="S321" s="3">
        <f t="shared" ca="1" si="5"/>
        <v>121</v>
      </c>
      <c r="T321" s="25" t="str">
        <f ca="1">VLOOKUP($S321,OFFSET([2]characters!$A$1,0,0,COUNTA([2]characters!$A:$A),MATCH(T$1,[2]characters!$1:$1,0)-MATCH($A$1,[2]characters!$1:$1,0)+1),MATCH(T$1,[2]characters!$1:$1,0)-MATCH($A$1,[2]characters!$1:$1,0)+1,FALSE)</f>
        <v>攻めの果実</v>
      </c>
      <c r="U321" s="88">
        <v>10000</v>
      </c>
      <c r="V321">
        <v>10000</v>
      </c>
      <c r="W321" s="6" t="str">
        <f>IF(U321=V321,"TRUE","FALSE")</f>
        <v>TRUE</v>
      </c>
    </row>
    <row r="322" spans="1:23" ht="21" customHeight="1" x14ac:dyDescent="0.15">
      <c r="A322" s="84">
        <v>608</v>
      </c>
      <c r="B322" s="24" t="str">
        <f ca="1">VLOOKUP($A322,OFFSET([2]characters!$A$1,0,0,COUNTA([2]characters!$A:$A),MATCH(B$1,[2]characters!$1:$1,0)-MATCH($A$1,[2]characters!$1:$1,0)+1),MATCH(B$1,[2]characters!$1:$1,0)-MATCH($A$1,[2]characters!$1:$1,0)+1,FALSE)</f>
        <v>メガ生命の果実</v>
      </c>
      <c r="C322" s="24" t="str">
        <f ca="1">VLOOKUP($A322,OFFSET([2]characters!$A$1,0,0,COUNTA([2]characters!$A:$A),MATCH(C$1,[2]characters!$1:$1,0)-MATCH($A$1,[2]characters!$1:$1,0)+1),MATCH(C$1,[2]characters!$1:$1,0)-MATCH($A$1,[2]characters!$1:$1,0)+1,FALSE)</f>
        <v>限界突破素材・体力・緑</v>
      </c>
      <c r="D322" s="24" t="str">
        <f ca="1">VLOOKUP($A322,OFFSET([2]characters!$A$1,0,0,COUNTA([2]characters!$A:$A),MATCH(D$1,[2]characters!$1:$1,0)-MATCH($A$1,[2]characters!$1:$1,0)+1),MATCH(D$1,[2]characters!$1:$1,0)-MATCH($A$1,[2]characters!$1:$1,0)+1,FALSE)</f>
        <v>アリス</v>
      </c>
      <c r="E322" s="24" t="str">
        <f ca="1">VLOOKUP($A322,OFFSET([2]characters!$A$1,0,0,COUNTA([2]characters!$A:$A),MATCH(E$1,[2]characters!$1:$1,0)-MATCH($A$1,[2]characters!$1:$1,0)+1),MATCH(E$1,[2]characters!$1:$1,0)-MATCH($A$1,[2]characters!$1:$1,0)+1,FALSE)</f>
        <v>世界観</v>
      </c>
      <c r="F322" s="24" t="str">
        <f ca="1">VLOOKUP($A322,OFFSET([2]characters!$A$1,0,0,COUNTA([2]characters!$A:$A),MATCH(F$1,[2]characters!$1:$1,0)-MATCH($A$1,[2]characters!$1:$1,0)+1),MATCH(F$1,[2]characters!$1:$1,0)-MATCH($A$1,[2]characters!$1:$1,0)+1,FALSE)</f>
        <v>不明</v>
      </c>
      <c r="G322" s="24">
        <f ca="1">VLOOKUP($A322,OFFSET([2]characters!$A$1,0,0,COUNTA([2]characters!$A:$A),MATCH(G$1,[2]characters!$1:$1,0)-MATCH($A$1,[2]characters!$1:$1,0)+1),MATCH(G$1,[2]characters!$1:$1,0)-MATCH($A$1,[2]characters!$1:$1,0)+1,FALSE)</f>
        <v>4</v>
      </c>
      <c r="H322" s="24" t="str">
        <f ca="1">VLOOKUP($A322,OFFSET([2]characters!$A$1,0,0,COUNTA([2]characters!$A:$A),MATCH(H$1,[2]characters!$1:$1,0)-MATCH($A$1,[2]characters!$1:$1,0)+1),MATCH(H$1,[2]characters!$1:$1,0)-MATCH($A$1,[2]characters!$1:$1,0)+1,FALSE)</f>
        <v>Material</v>
      </c>
      <c r="I322" s="24" t="str">
        <f ca="1">VLOOKUP($A322,OFFSET([2]characters!$A$1,0,0,COUNTA([2]characters!$A:$A),MATCH(I$1,[2]characters!$1:$1,0)-MATCH($A$1,[2]characters!$1:$1,0)+1),MATCH(I$1,[2]characters!$1:$1,0)-MATCH($A$1,[2]characters!$1:$1,0)+1,FALSE)</f>
        <v>green</v>
      </c>
      <c r="J322" s="24" t="str">
        <f ca="1">VLOOKUP($A322,OFFSET([2]characters!$A$1,0,0,COUNTA([2]characters!$A:$A),MATCH(J$1,[2]characters!$1:$1,0)-MATCH($A$1,[2]characters!$1:$1,0)+1),MATCH(J$1,[2]characters!$1:$1,0)-MATCH($A$1,[2]characters!$1:$1,0)+1,FALSE)</f>
        <v>none</v>
      </c>
      <c r="K322" s="3" t="str">
        <f ca="1">VLOOKUP(J322,[2]character_tribe_i18n!$A:$H,3,FALSE)</f>
        <v>種族なし</v>
      </c>
      <c r="L322" s="5" t="e">
        <f>VLOOKUP(#REF!,[2]character_tribe_i18n!$A:$H,4,FALSE)</f>
        <v>#REF!</v>
      </c>
      <c r="M322" s="5" t="e">
        <f>VLOOKUP(#REF!,[2]character_tribe_i18n!$A:$H,5,FALSE)</f>
        <v>#REF!</v>
      </c>
      <c r="N322" s="5" t="e">
        <f>VLOOKUP(#REF!,[2]character_tribe_i18n!$A:$H,6,FALSE)</f>
        <v>#REF!</v>
      </c>
      <c r="O322" s="5" t="e">
        <f>VLOOKUP(#REF!,[2]character_tribe_i18n!$A:$H,7,FALSE)</f>
        <v>#REF!</v>
      </c>
      <c r="P322" s="83" t="s">
        <v>170</v>
      </c>
      <c r="Q322">
        <v>612</v>
      </c>
      <c r="R322" s="25" t="str">
        <f ca="1">IF(Q322="NULL","",VLOOKUP($Q322,OFFSET([2]characters!$A$1,0,0,COUNTA([2]characters!$A:$A),MATCH(R$1,[2]characters!$1:$1,0)-MATCH($A$1,[2]characters!$1:$1,0)+1),MATCH(R$1,[2]characters!$1:$1,0)-MATCH($A$1,[2]characters!$1:$1,0)+1,FALSE))</f>
        <v>ギガ生命の果実</v>
      </c>
      <c r="S322" s="3">
        <f t="shared" ref="S322:S385" ca="1" si="8">IF(ISNA(MATCH(A322,Q:Q,0)),A322,INDIRECT(ADDRESS(MATCH(A322,Q:Q,0),COLUMN())))</f>
        <v>122</v>
      </c>
      <c r="T322" s="25" t="str">
        <f ca="1">VLOOKUP($S322,OFFSET([2]characters!$A$1,0,0,COUNTA([2]characters!$A:$A),MATCH(T$1,[2]characters!$1:$1,0)-MATCH($A$1,[2]characters!$1:$1,0)+1),MATCH(T$1,[2]characters!$1:$1,0)-MATCH($A$1,[2]characters!$1:$1,0)+1,FALSE)</f>
        <v>生命の果実</v>
      </c>
      <c r="U322" s="88">
        <v>10000</v>
      </c>
      <c r="V322">
        <v>10000</v>
      </c>
      <c r="W322" s="6" t="str">
        <f>IF(U322=V322,"TRUE","FALSE")</f>
        <v>TRUE</v>
      </c>
    </row>
    <row r="323" spans="1:23" ht="21" customHeight="1" x14ac:dyDescent="0.15">
      <c r="A323" s="84">
        <v>609</v>
      </c>
      <c r="B323" s="24" t="str">
        <f ca="1">VLOOKUP($A323,OFFSET([2]characters!$A$1,0,0,COUNTA([2]characters!$A:$A),MATCH(B$1,[2]characters!$1:$1,0)-MATCH($A$1,[2]characters!$1:$1,0)+1),MATCH(B$1,[2]characters!$1:$1,0)-MATCH($A$1,[2]characters!$1:$1,0)+1,FALSE)</f>
        <v>メガ癒しの果実</v>
      </c>
      <c r="C323" s="24" t="str">
        <f ca="1">VLOOKUP($A323,OFFSET([2]characters!$A$1,0,0,COUNTA([2]characters!$A:$A),MATCH(C$1,[2]characters!$1:$1,0)-MATCH($A$1,[2]characters!$1:$1,0)+1),MATCH(C$1,[2]characters!$1:$1,0)-MATCH($A$1,[2]characters!$1:$1,0)+1,FALSE)</f>
        <v>限界突破素材・回復・青</v>
      </c>
      <c r="D323" s="24" t="str">
        <f ca="1">VLOOKUP($A323,OFFSET([2]characters!$A$1,0,0,COUNTA([2]characters!$A:$A),MATCH(D$1,[2]characters!$1:$1,0)-MATCH($A$1,[2]characters!$1:$1,0)+1),MATCH(D$1,[2]characters!$1:$1,0)-MATCH($A$1,[2]characters!$1:$1,0)+1,FALSE)</f>
        <v>アリス</v>
      </c>
      <c r="E323" s="24" t="str">
        <f ca="1">VLOOKUP($A323,OFFSET([2]characters!$A$1,0,0,COUNTA([2]characters!$A:$A),MATCH(E$1,[2]characters!$1:$1,0)-MATCH($A$1,[2]characters!$1:$1,0)+1),MATCH(E$1,[2]characters!$1:$1,0)-MATCH($A$1,[2]characters!$1:$1,0)+1,FALSE)</f>
        <v>世界観</v>
      </c>
      <c r="F323" s="24" t="str">
        <f ca="1">VLOOKUP($A323,OFFSET([2]characters!$A$1,0,0,COUNTA([2]characters!$A:$A),MATCH(F$1,[2]characters!$1:$1,0)-MATCH($A$1,[2]characters!$1:$1,0)+1),MATCH(F$1,[2]characters!$1:$1,0)-MATCH($A$1,[2]characters!$1:$1,0)+1,FALSE)</f>
        <v>不明</v>
      </c>
      <c r="G323" s="24">
        <f ca="1">VLOOKUP($A323,OFFSET([2]characters!$A$1,0,0,COUNTA([2]characters!$A:$A),MATCH(G$1,[2]characters!$1:$1,0)-MATCH($A$1,[2]characters!$1:$1,0)+1),MATCH(G$1,[2]characters!$1:$1,0)-MATCH($A$1,[2]characters!$1:$1,0)+1,FALSE)</f>
        <v>4</v>
      </c>
      <c r="H323" s="24" t="str">
        <f ca="1">VLOOKUP($A323,OFFSET([2]characters!$A$1,0,0,COUNTA([2]characters!$A:$A),MATCH(H$1,[2]characters!$1:$1,0)-MATCH($A$1,[2]characters!$1:$1,0)+1),MATCH(H$1,[2]characters!$1:$1,0)-MATCH($A$1,[2]characters!$1:$1,0)+1,FALSE)</f>
        <v>Material</v>
      </c>
      <c r="I323" s="24" t="str">
        <f ca="1">VLOOKUP($A323,OFFSET([2]characters!$A$1,0,0,COUNTA([2]characters!$A:$A),MATCH(I$1,[2]characters!$1:$1,0)-MATCH($A$1,[2]characters!$1:$1,0)+1),MATCH(I$1,[2]characters!$1:$1,0)-MATCH($A$1,[2]characters!$1:$1,0)+1,FALSE)</f>
        <v>blue</v>
      </c>
      <c r="J323" s="24" t="str">
        <f ca="1">VLOOKUP($A323,OFFSET([2]characters!$A$1,0,0,COUNTA([2]characters!$A:$A),MATCH(J$1,[2]characters!$1:$1,0)-MATCH($A$1,[2]characters!$1:$1,0)+1),MATCH(J$1,[2]characters!$1:$1,0)-MATCH($A$1,[2]characters!$1:$1,0)+1,FALSE)</f>
        <v>none</v>
      </c>
      <c r="K323" s="3" t="str">
        <f ca="1">VLOOKUP(J323,[2]character_tribe_i18n!$A:$H,3,FALSE)</f>
        <v>種族なし</v>
      </c>
      <c r="L323" s="5" t="e">
        <f>VLOOKUP(#REF!,[2]character_tribe_i18n!$A:$H,4,FALSE)</f>
        <v>#REF!</v>
      </c>
      <c r="M323" s="5" t="e">
        <f>VLOOKUP(#REF!,[2]character_tribe_i18n!$A:$H,5,FALSE)</f>
        <v>#REF!</v>
      </c>
      <c r="N323" s="5" t="e">
        <f>VLOOKUP(#REF!,[2]character_tribe_i18n!$A:$H,6,FALSE)</f>
        <v>#REF!</v>
      </c>
      <c r="O323" s="5" t="e">
        <f>VLOOKUP(#REF!,[2]character_tribe_i18n!$A:$H,7,FALSE)</f>
        <v>#REF!</v>
      </c>
      <c r="P323" s="83" t="s">
        <v>170</v>
      </c>
      <c r="Q323">
        <v>613</v>
      </c>
      <c r="R323" s="25" t="str">
        <f ca="1">IF(Q323="NULL","",VLOOKUP($Q323,OFFSET([2]characters!$A$1,0,0,COUNTA([2]characters!$A:$A),MATCH(R$1,[2]characters!$1:$1,0)-MATCH($A$1,[2]characters!$1:$1,0)+1),MATCH(R$1,[2]characters!$1:$1,0)-MATCH($A$1,[2]characters!$1:$1,0)+1,FALSE))</f>
        <v>ギガ癒しの果実</v>
      </c>
      <c r="S323" s="3">
        <f t="shared" ca="1" si="8"/>
        <v>123</v>
      </c>
      <c r="T323" s="25" t="str">
        <f ca="1">VLOOKUP($S323,OFFSET([2]characters!$A$1,0,0,COUNTA([2]characters!$A:$A),MATCH(T$1,[2]characters!$1:$1,0)-MATCH($A$1,[2]characters!$1:$1,0)+1),MATCH(T$1,[2]characters!$1:$1,0)-MATCH($A$1,[2]characters!$1:$1,0)+1,FALSE)</f>
        <v>癒しの果実</v>
      </c>
      <c r="U323" s="88">
        <v>10000</v>
      </c>
      <c r="V323">
        <v>10000</v>
      </c>
      <c r="W323" s="6" t="str">
        <f>IF(U323=V323,"TRUE","FALSE")</f>
        <v>TRUE</v>
      </c>
    </row>
    <row r="324" spans="1:23" ht="21" customHeight="1" x14ac:dyDescent="0.15">
      <c r="A324" s="84">
        <v>623</v>
      </c>
      <c r="B324" s="24" t="str">
        <f ca="1">VLOOKUP($A324,OFFSET([2]characters!$A$1,0,0,COUNTA([2]characters!$A:$A),MATCH(B$1,[2]characters!$1:$1,0)-MATCH($A$1,[2]characters!$1:$1,0)+1),MATCH(B$1,[2]characters!$1:$1,0)-MATCH($A$1,[2]characters!$1:$1,0)+1,FALSE)</f>
        <v>フェルマー</v>
      </c>
      <c r="C324" s="24" t="str">
        <f ca="1">VLOOKUP($A324,OFFSET([2]characters!$A$1,0,0,COUNTA([2]characters!$A:$A),MATCH(C$1,[2]characters!$1:$1,0)-MATCH($A$1,[2]characters!$1:$1,0)+1),MATCH(C$1,[2]characters!$1:$1,0)-MATCH($A$1,[2]characters!$1:$1,0)+1,FALSE)</f>
        <v>ガチャ:DL記念02</v>
      </c>
      <c r="D324" s="24" t="str">
        <f ca="1">VLOOKUP($A324,OFFSET([2]characters!$A$1,0,0,COUNTA([2]characters!$A:$A),MATCH(D$1,[2]characters!$1:$1,0)-MATCH($A$1,[2]characters!$1:$1,0)+1),MATCH(D$1,[2]characters!$1:$1,0)-MATCH($A$1,[2]characters!$1:$1,0)+1,FALSE)</f>
        <v>執行者</v>
      </c>
      <c r="E324" s="24" t="str">
        <f ca="1">VLOOKUP($A324,OFFSET([2]characters!$A$1,0,0,COUNTA([2]characters!$A:$A),MATCH(E$1,[2]characters!$1:$1,0)-MATCH($A$1,[2]characters!$1:$1,0)+1),MATCH(E$1,[2]characters!$1:$1,0)-MATCH($A$1,[2]characters!$1:$1,0)+1,FALSE)</f>
        <v>格好いい</v>
      </c>
      <c r="F324" s="24" t="str">
        <f ca="1">VLOOKUP($A324,OFFSET([2]characters!$A$1,0,0,COUNTA([2]characters!$A:$A),MATCH(F$1,[2]characters!$1:$1,0)-MATCH($A$1,[2]characters!$1:$1,0)+1),MATCH(F$1,[2]characters!$1:$1,0)-MATCH($A$1,[2]characters!$1:$1,0)+1,FALSE)</f>
        <v>女性</v>
      </c>
      <c r="G324" s="24">
        <f ca="1">VLOOKUP($A324,OFFSET([2]characters!$A$1,0,0,COUNTA([2]characters!$A:$A),MATCH(G$1,[2]characters!$1:$1,0)-MATCH($A$1,[2]characters!$1:$1,0)+1),MATCH(G$1,[2]characters!$1:$1,0)-MATCH($A$1,[2]characters!$1:$1,0)+1,FALSE)</f>
        <v>5</v>
      </c>
      <c r="H324" s="24" t="str">
        <f ca="1">VLOOKUP($A324,OFFSET([2]characters!$A$1,0,0,COUNTA([2]characters!$A:$A),MATCH(H$1,[2]characters!$1:$1,0)-MATCH($A$1,[2]characters!$1:$1,0)+1),MATCH(H$1,[2]characters!$1:$1,0)-MATCH($A$1,[2]characters!$1:$1,0)+1,FALSE)</f>
        <v>PremiumSSS</v>
      </c>
      <c r="I324" s="24" t="str">
        <f ca="1">VLOOKUP($A324,OFFSET([2]characters!$A$1,0,0,COUNTA([2]characters!$A:$A),MATCH(I$1,[2]characters!$1:$1,0)-MATCH($A$1,[2]characters!$1:$1,0)+1),MATCH(I$1,[2]characters!$1:$1,0)-MATCH($A$1,[2]characters!$1:$1,0)+1,FALSE)</f>
        <v>yellow</v>
      </c>
      <c r="J324" s="24" t="str">
        <f ca="1">VLOOKUP($A324,OFFSET([2]characters!$A$1,0,0,COUNTA([2]characters!$A:$A),MATCH(J$1,[2]characters!$1:$1,0)-MATCH($A$1,[2]characters!$1:$1,0)+1),MATCH(J$1,[2]characters!$1:$1,0)-MATCH($A$1,[2]characters!$1:$1,0)+1,FALSE)</f>
        <v>machine</v>
      </c>
      <c r="K324" s="3" t="str">
        <f ca="1">VLOOKUP(J324,[2]character_tribe_i18n!$A:$H,3,FALSE)</f>
        <v>マシン</v>
      </c>
      <c r="L324" s="5" t="e">
        <f>VLOOKUP(#REF!,[2]character_tribe_i18n!$A:$H,4,FALSE)</f>
        <v>#REF!</v>
      </c>
      <c r="M324" s="5" t="e">
        <f>VLOOKUP(#REF!,[2]character_tribe_i18n!$A:$H,5,FALSE)</f>
        <v>#REF!</v>
      </c>
      <c r="N324" s="5" t="e">
        <f>VLOOKUP(#REF!,[2]character_tribe_i18n!$A:$H,6,FALSE)</f>
        <v>#REF!</v>
      </c>
      <c r="O324" s="5" t="e">
        <f>VLOOKUP(#REF!,[2]character_tribe_i18n!$A:$H,7,FALSE)</f>
        <v>#REF!</v>
      </c>
      <c r="P324" s="83" t="s">
        <v>170</v>
      </c>
      <c r="Q324">
        <v>624</v>
      </c>
      <c r="R324" s="25" t="str">
        <f ca="1">IF(Q324="NULL","",VLOOKUP($Q324,OFFSET([2]characters!$A$1,0,0,COUNTA([2]characters!$A:$A),MATCH(R$1,[2]characters!$1:$1,0)-MATCH($A$1,[2]characters!$1:$1,0)+1),MATCH(R$1,[2]characters!$1:$1,0)-MATCH($A$1,[2]characters!$1:$1,0)+1,FALSE))</f>
        <v>挑発の尖駆者 フェルマー</v>
      </c>
      <c r="S324" s="3">
        <f t="shared" ca="1" si="8"/>
        <v>623</v>
      </c>
      <c r="T324" s="25" t="str">
        <f ca="1">VLOOKUP($S324,OFFSET([2]characters!$A$1,0,0,COUNTA([2]characters!$A:$A),MATCH(T$1,[2]characters!$1:$1,0)-MATCH($A$1,[2]characters!$1:$1,0)+1),MATCH(T$1,[2]characters!$1:$1,0)-MATCH($A$1,[2]characters!$1:$1,0)+1,FALSE)</f>
        <v>フェルマー</v>
      </c>
      <c r="U324" s="5">
        <f ca="1">IF(Q324="NULL","NULL",VLOOKUP(G324,ビット!$A$2:$B$7,2))</f>
        <v>200000</v>
      </c>
      <c r="V324">
        <v>200000</v>
      </c>
      <c r="W324" s="6" t="str">
        <f t="shared" ref="W324:W353" ca="1" si="9">IF(U324=V324,"TRUE","FALSE")</f>
        <v>TRUE</v>
      </c>
    </row>
    <row r="325" spans="1:23" ht="21" customHeight="1" x14ac:dyDescent="0.15">
      <c r="A325" s="84">
        <v>642</v>
      </c>
      <c r="B325" s="24" t="str">
        <f ca="1">VLOOKUP($A325,OFFSET([2]characters!$A$1,0,0,COUNTA([2]characters!$A:$A),MATCH(B$1,[2]characters!$1:$1,0)-MATCH($A$1,[2]characters!$1:$1,0)+1),MATCH(B$1,[2]characters!$1:$1,0)-MATCH($A$1,[2]characters!$1:$1,0)+1,FALSE)</f>
        <v>カーマ</v>
      </c>
      <c r="C325" s="24" t="str">
        <f ca="1">VLOOKUP($A325,OFFSET([2]characters!$A$1,0,0,COUNTA([2]characters!$A:$A),MATCH(C$1,[2]characters!$1:$1,0)-MATCH($A$1,[2]characters!$1:$1,0)+1),MATCH(C$1,[2]characters!$1:$1,0)-MATCH($A$1,[2]characters!$1:$1,0)+1,FALSE)</f>
        <v>イベント:ウィザード</v>
      </c>
      <c r="D325" s="24" t="str">
        <f ca="1">VLOOKUP($A325,OFFSET([2]characters!$A$1,0,0,COUNTA([2]characters!$A:$A),MATCH(D$1,[2]characters!$1:$1,0)-MATCH($A$1,[2]characters!$1:$1,0)+1),MATCH(D$1,[2]characters!$1:$1,0)-MATCH($A$1,[2]characters!$1:$1,0)+1,FALSE)</f>
        <v>執行者</v>
      </c>
      <c r="E325" s="24" t="str">
        <f ca="1">VLOOKUP($A325,OFFSET([2]characters!$A$1,0,0,COUNTA([2]characters!$A:$A),MATCH(E$1,[2]characters!$1:$1,0)-MATCH($A$1,[2]characters!$1:$1,0)+1),MATCH(E$1,[2]characters!$1:$1,0)-MATCH($A$1,[2]characters!$1:$1,0)+1,FALSE)</f>
        <v>格好いい</v>
      </c>
      <c r="F325" s="24" t="str">
        <f ca="1">VLOOKUP($A325,OFFSET([2]characters!$A$1,0,0,COUNTA([2]characters!$A:$A),MATCH(F$1,[2]characters!$1:$1,0)-MATCH($A$1,[2]characters!$1:$1,0)+1),MATCH(F$1,[2]characters!$1:$1,0)-MATCH($A$1,[2]characters!$1:$1,0)+1,FALSE)</f>
        <v>男性</v>
      </c>
      <c r="G325" s="24">
        <f ca="1">VLOOKUP($A325,OFFSET([2]characters!$A$1,0,0,COUNTA([2]characters!$A:$A),MATCH(G$1,[2]characters!$1:$1,0)-MATCH($A$1,[2]characters!$1:$1,0)+1),MATCH(G$1,[2]characters!$1:$1,0)-MATCH($A$1,[2]characters!$1:$1,0)+1,FALSE)</f>
        <v>4</v>
      </c>
      <c r="H325" s="24" t="str">
        <f ca="1">VLOOKUP($A325,OFFSET([2]characters!$A$1,0,0,COUNTA([2]characters!$A:$A),MATCH(H$1,[2]characters!$1:$1,0)-MATCH($A$1,[2]characters!$1:$1,0)+1),MATCH(H$1,[2]characters!$1:$1,0)-MATCH($A$1,[2]characters!$1:$1,0)+1,FALSE)</f>
        <v>DropWizS</v>
      </c>
      <c r="I325" s="24" t="str">
        <f ca="1">VLOOKUP($A325,OFFSET([2]characters!$A$1,0,0,COUNTA([2]characters!$A:$A),MATCH(I$1,[2]characters!$1:$1,0)-MATCH($A$1,[2]characters!$1:$1,0)+1),MATCH(I$1,[2]characters!$1:$1,0)-MATCH($A$1,[2]characters!$1:$1,0)+1,FALSE)</f>
        <v>red</v>
      </c>
      <c r="J325" s="24" t="str">
        <f ca="1">VLOOKUP($A325,OFFSET([2]characters!$A$1,0,0,COUNTA([2]characters!$A:$A),MATCH(J$1,[2]characters!$1:$1,0)-MATCH($A$1,[2]characters!$1:$1,0)+1),MATCH(J$1,[2]characters!$1:$1,0)-MATCH($A$1,[2]characters!$1:$1,0)+1,FALSE)</f>
        <v>none</v>
      </c>
      <c r="K325" s="3" t="str">
        <f ca="1">VLOOKUP(J325,[2]character_tribe_i18n!$A:$H,3,FALSE)</f>
        <v>種族なし</v>
      </c>
      <c r="L325" s="5" t="e">
        <f>VLOOKUP(#REF!,[2]character_tribe_i18n!$A:$H,4,FALSE)</f>
        <v>#REF!</v>
      </c>
      <c r="M325" s="5" t="e">
        <f>VLOOKUP(#REF!,[2]character_tribe_i18n!$A:$H,5,FALSE)</f>
        <v>#REF!</v>
      </c>
      <c r="N325" s="5" t="e">
        <f>VLOOKUP(#REF!,[2]character_tribe_i18n!$A:$H,6,FALSE)</f>
        <v>#REF!</v>
      </c>
      <c r="O325" s="5" t="e">
        <f>VLOOKUP(#REF!,[2]character_tribe_i18n!$A:$H,7,FALSE)</f>
        <v>#REF!</v>
      </c>
      <c r="P325" s="83" t="s">
        <v>170</v>
      </c>
      <c r="Q325">
        <v>643</v>
      </c>
      <c r="R325" s="25" t="str">
        <f ca="1">IF(Q325="NULL","",VLOOKUP($Q325,OFFSET([2]characters!$A$1,0,0,COUNTA([2]characters!$A:$A),MATCH(R$1,[2]characters!$1:$1,0)-MATCH($A$1,[2]characters!$1:$1,0)+1),MATCH(R$1,[2]characters!$1:$1,0)-MATCH($A$1,[2]characters!$1:$1,0)+1,FALSE))</f>
        <v>愛花天神 カーマ</v>
      </c>
      <c r="S325" s="3">
        <f t="shared" ca="1" si="8"/>
        <v>642</v>
      </c>
      <c r="T325" s="25" t="str">
        <f ca="1">VLOOKUP($S325,OFFSET([2]characters!$A$1,0,0,COUNTA([2]characters!$A:$A),MATCH(T$1,[2]characters!$1:$1,0)-MATCH($A$1,[2]characters!$1:$1,0)+1),MATCH(T$1,[2]characters!$1:$1,0)-MATCH($A$1,[2]characters!$1:$1,0)+1,FALSE)</f>
        <v>カーマ</v>
      </c>
      <c r="U325" s="5">
        <f ca="1">IF(Q325="NULL","NULL",VLOOKUP(G325,ビット!$A$2:$B$7,2))</f>
        <v>50000</v>
      </c>
      <c r="V325">
        <v>50000</v>
      </c>
      <c r="W325" s="6" t="str">
        <f t="shared" ca="1" si="9"/>
        <v>TRUE</v>
      </c>
    </row>
    <row r="326" spans="1:23" ht="21" customHeight="1" x14ac:dyDescent="0.15">
      <c r="A326" s="84">
        <v>644</v>
      </c>
      <c r="B326" s="24" t="str">
        <f ca="1">VLOOKUP($A326,OFFSET([2]characters!$A$1,0,0,COUNTA([2]characters!$A:$A),MATCH(B$1,[2]characters!$1:$1,0)-MATCH($A$1,[2]characters!$1:$1,0)+1),MATCH(B$1,[2]characters!$1:$1,0)-MATCH($A$1,[2]characters!$1:$1,0)+1,FALSE)</f>
        <v>滑瓢 ショウキ</v>
      </c>
      <c r="C326" s="24" t="str">
        <f ca="1">VLOOKUP($A326,OFFSET([2]characters!$A$1,0,0,COUNTA([2]characters!$A:$A),MATCH(C$1,[2]characters!$1:$1,0)-MATCH($A$1,[2]characters!$1:$1,0)+1),MATCH(C$1,[2]characters!$1:$1,0)-MATCH($A$1,[2]characters!$1:$1,0)+1,FALSE)</f>
        <v>イベント:ウィザード</v>
      </c>
      <c r="D326" s="24" t="str">
        <f ca="1">VLOOKUP($A326,OFFSET([2]characters!$A$1,0,0,COUNTA([2]characters!$A:$A),MATCH(D$1,[2]characters!$1:$1,0)-MATCH($A$1,[2]characters!$1:$1,0)+1),MATCH(D$1,[2]characters!$1:$1,0)-MATCH($A$1,[2]characters!$1:$1,0)+1,FALSE)</f>
        <v>執行者</v>
      </c>
      <c r="E326" s="24" t="str">
        <f ca="1">VLOOKUP($A326,OFFSET([2]characters!$A$1,0,0,COUNTA([2]characters!$A:$A),MATCH(E$1,[2]characters!$1:$1,0)-MATCH($A$1,[2]characters!$1:$1,0)+1),MATCH(E$1,[2]characters!$1:$1,0)-MATCH($A$1,[2]characters!$1:$1,0)+1,FALSE)</f>
        <v>格好いい</v>
      </c>
      <c r="F326" s="24" t="str">
        <f ca="1">VLOOKUP($A326,OFFSET([2]characters!$A$1,0,0,COUNTA([2]characters!$A:$A),MATCH(F$1,[2]characters!$1:$1,0)-MATCH($A$1,[2]characters!$1:$1,0)+1),MATCH(F$1,[2]characters!$1:$1,0)-MATCH($A$1,[2]characters!$1:$1,0)+1,FALSE)</f>
        <v>男性</v>
      </c>
      <c r="G326" s="24">
        <f ca="1">VLOOKUP($A326,OFFSET([2]characters!$A$1,0,0,COUNTA([2]characters!$A:$A),MATCH(G$1,[2]characters!$1:$1,0)-MATCH($A$1,[2]characters!$1:$1,0)+1),MATCH(G$1,[2]characters!$1:$1,0)-MATCH($A$1,[2]characters!$1:$1,0)+1,FALSE)</f>
        <v>4</v>
      </c>
      <c r="H326" s="24" t="str">
        <f ca="1">VLOOKUP($A326,OFFSET([2]characters!$A$1,0,0,COUNTA([2]characters!$A:$A),MATCH(H$1,[2]characters!$1:$1,0)-MATCH($A$1,[2]characters!$1:$1,0)+1),MATCH(H$1,[2]characters!$1:$1,0)-MATCH($A$1,[2]characters!$1:$1,0)+1,FALSE)</f>
        <v>DropWizS</v>
      </c>
      <c r="I326" s="24" t="str">
        <f ca="1">VLOOKUP($A326,OFFSET([2]characters!$A$1,0,0,COUNTA([2]characters!$A:$A),MATCH(I$1,[2]characters!$1:$1,0)-MATCH($A$1,[2]characters!$1:$1,0)+1),MATCH(I$1,[2]characters!$1:$1,0)-MATCH($A$1,[2]characters!$1:$1,0)+1,FALSE)</f>
        <v>green</v>
      </c>
      <c r="J326" s="24" t="str">
        <f ca="1">VLOOKUP($A326,OFFSET([2]characters!$A$1,0,0,COUNTA([2]characters!$A:$A),MATCH(J$1,[2]characters!$1:$1,0)-MATCH($A$1,[2]characters!$1:$1,0)+1),MATCH(J$1,[2]characters!$1:$1,0)-MATCH($A$1,[2]characters!$1:$1,0)+1,FALSE)</f>
        <v>unknown</v>
      </c>
      <c r="K326" s="3" t="str">
        <f ca="1">VLOOKUP(J326,[2]character_tribe_i18n!$A:$H,3,FALSE)</f>
        <v>Unknown</v>
      </c>
      <c r="L326" s="5" t="e">
        <f>VLOOKUP(#REF!,[2]character_tribe_i18n!$A:$H,4,FALSE)</f>
        <v>#REF!</v>
      </c>
      <c r="M326" s="5" t="e">
        <f>VLOOKUP(#REF!,[2]character_tribe_i18n!$A:$H,5,FALSE)</f>
        <v>#REF!</v>
      </c>
      <c r="N326" s="5" t="e">
        <f>VLOOKUP(#REF!,[2]character_tribe_i18n!$A:$H,6,FALSE)</f>
        <v>#REF!</v>
      </c>
      <c r="O326" s="5" t="e">
        <f>VLOOKUP(#REF!,[2]character_tribe_i18n!$A:$H,7,FALSE)</f>
        <v>#REF!</v>
      </c>
      <c r="P326" s="83" t="s">
        <v>170</v>
      </c>
      <c r="Q326">
        <v>645</v>
      </c>
      <c r="R326" s="25" t="str">
        <f ca="1">IF(Q326="NULL","",VLOOKUP($Q326,OFFSET([2]characters!$A$1,0,0,COUNTA([2]characters!$A:$A),MATCH(R$1,[2]characters!$1:$1,0)-MATCH($A$1,[2]characters!$1:$1,0)+1),MATCH(R$1,[2]characters!$1:$1,0)-MATCH($A$1,[2]characters!$1:$1,0)+1,FALSE))</f>
        <v>百鬼夜行の創大将 ショウキ</v>
      </c>
      <c r="S326" s="3">
        <f t="shared" ca="1" si="8"/>
        <v>644</v>
      </c>
      <c r="T326" s="25" t="str">
        <f ca="1">VLOOKUP($S326,OFFSET([2]characters!$A$1,0,0,COUNTA([2]characters!$A:$A),MATCH(T$1,[2]characters!$1:$1,0)-MATCH($A$1,[2]characters!$1:$1,0)+1),MATCH(T$1,[2]characters!$1:$1,0)-MATCH($A$1,[2]characters!$1:$1,0)+1,FALSE)</f>
        <v>滑瓢 ショウキ</v>
      </c>
      <c r="U326" s="5">
        <f ca="1">IF(Q326="NULL","NULL",VLOOKUP(G326,ビット!$A$2:$B$7,2))</f>
        <v>50000</v>
      </c>
      <c r="V326">
        <v>50000</v>
      </c>
      <c r="W326" s="6" t="str">
        <f t="shared" ca="1" si="9"/>
        <v>TRUE</v>
      </c>
    </row>
    <row r="327" spans="1:23" ht="21" customHeight="1" x14ac:dyDescent="0.15">
      <c r="A327" s="84">
        <v>646</v>
      </c>
      <c r="B327" s="24" t="str">
        <f ca="1">VLOOKUP($A327,OFFSET([2]characters!$A$1,0,0,COUNTA([2]characters!$A:$A),MATCH(B$1,[2]characters!$1:$1,0)-MATCH($A$1,[2]characters!$1:$1,0)+1),MATCH(B$1,[2]characters!$1:$1,0)-MATCH($A$1,[2]characters!$1:$1,0)+1,FALSE)</f>
        <v>雪女 ユキ</v>
      </c>
      <c r="C327" s="24" t="str">
        <f ca="1">VLOOKUP($A327,OFFSET([2]characters!$A$1,0,0,COUNTA([2]characters!$A:$A),MATCH(C$1,[2]characters!$1:$1,0)-MATCH($A$1,[2]characters!$1:$1,0)+1),MATCH(C$1,[2]characters!$1:$1,0)-MATCH($A$1,[2]characters!$1:$1,0)+1,FALSE)</f>
        <v>イベント:妖怪01</v>
      </c>
      <c r="D327" s="24" t="str">
        <f ca="1">VLOOKUP($A327,OFFSET([2]characters!$A$1,0,0,COUNTA([2]characters!$A:$A),MATCH(D$1,[2]characters!$1:$1,0)-MATCH($A$1,[2]characters!$1:$1,0)+1),MATCH(D$1,[2]characters!$1:$1,0)-MATCH($A$1,[2]characters!$1:$1,0)+1,FALSE)</f>
        <v>執行者</v>
      </c>
      <c r="E327" s="24" t="str">
        <f ca="1">VLOOKUP($A327,OFFSET([2]characters!$A$1,0,0,COUNTA([2]characters!$A:$A),MATCH(E$1,[2]characters!$1:$1,0)-MATCH($A$1,[2]characters!$1:$1,0)+1),MATCH(E$1,[2]characters!$1:$1,0)-MATCH($A$1,[2]characters!$1:$1,0)+1,FALSE)</f>
        <v>格好いい</v>
      </c>
      <c r="F327" s="24" t="str">
        <f ca="1">VLOOKUP($A327,OFFSET([2]characters!$A$1,0,0,COUNTA([2]characters!$A:$A),MATCH(F$1,[2]characters!$1:$1,0)-MATCH($A$1,[2]characters!$1:$1,0)+1),MATCH(F$1,[2]characters!$1:$1,0)-MATCH($A$1,[2]characters!$1:$1,0)+1,FALSE)</f>
        <v>女性</v>
      </c>
      <c r="G327" s="24">
        <f ca="1">VLOOKUP($A327,OFFSET([2]characters!$A$1,0,0,COUNTA([2]characters!$A:$A),MATCH(G$1,[2]characters!$1:$1,0)-MATCH($A$1,[2]characters!$1:$1,0)+1),MATCH(G$1,[2]characters!$1:$1,0)-MATCH($A$1,[2]characters!$1:$1,0)+1,FALSE)</f>
        <v>4</v>
      </c>
      <c r="H327" s="24" t="str">
        <f ca="1">VLOOKUP($A327,OFFSET([2]characters!$A$1,0,0,COUNTA([2]characters!$A:$A),MATCH(H$1,[2]characters!$1:$1,0)-MATCH($A$1,[2]characters!$1:$1,0)+1),MATCH(H$1,[2]characters!$1:$1,0)-MATCH($A$1,[2]characters!$1:$1,0)+1,FALSE)</f>
        <v>Drop2N</v>
      </c>
      <c r="I327" s="24" t="str">
        <f ca="1">VLOOKUP($A327,OFFSET([2]characters!$A$1,0,0,COUNTA([2]characters!$A:$A),MATCH(I$1,[2]characters!$1:$1,0)-MATCH($A$1,[2]characters!$1:$1,0)+1),MATCH(I$1,[2]characters!$1:$1,0)-MATCH($A$1,[2]characters!$1:$1,0)+1,FALSE)</f>
        <v>blue</v>
      </c>
      <c r="J327" s="24" t="str">
        <f ca="1">VLOOKUP($A327,OFFSET([2]characters!$A$1,0,0,COUNTA([2]characters!$A:$A),MATCH(J$1,[2]characters!$1:$1,0)-MATCH($A$1,[2]characters!$1:$1,0)+1),MATCH(J$1,[2]characters!$1:$1,0)-MATCH($A$1,[2]characters!$1:$1,0)+1,FALSE)</f>
        <v>none</v>
      </c>
      <c r="K327" s="3" t="str">
        <f ca="1">VLOOKUP(J327,[2]character_tribe_i18n!$A:$H,3,FALSE)</f>
        <v>種族なし</v>
      </c>
      <c r="L327" s="5" t="e">
        <f>VLOOKUP(#REF!,[2]character_tribe_i18n!$A:$H,4,FALSE)</f>
        <v>#REF!</v>
      </c>
      <c r="M327" s="5" t="e">
        <f>VLOOKUP(#REF!,[2]character_tribe_i18n!$A:$H,5,FALSE)</f>
        <v>#REF!</v>
      </c>
      <c r="N327" s="5" t="e">
        <f>VLOOKUP(#REF!,[2]character_tribe_i18n!$A:$H,6,FALSE)</f>
        <v>#REF!</v>
      </c>
      <c r="O327" s="5" t="e">
        <f>VLOOKUP(#REF!,[2]character_tribe_i18n!$A:$H,7,FALSE)</f>
        <v>#REF!</v>
      </c>
      <c r="P327" s="83" t="s">
        <v>170</v>
      </c>
      <c r="Q327">
        <v>647</v>
      </c>
      <c r="R327" s="25" t="str">
        <f ca="1">IF(Q327="NULL","",VLOOKUP($Q327,OFFSET([2]characters!$A$1,0,0,COUNTA([2]characters!$A:$A),MATCH(R$1,[2]characters!$1:$1,0)-MATCH($A$1,[2]characters!$1:$1,0)+1),MATCH(R$1,[2]characters!$1:$1,0)-MATCH($A$1,[2]characters!$1:$1,0)+1,FALSE))</f>
        <v>氷麗の雪化生 ユキ</v>
      </c>
      <c r="S327" s="3">
        <f t="shared" ca="1" si="8"/>
        <v>646</v>
      </c>
      <c r="T327" s="25" t="str">
        <f ca="1">VLOOKUP($S327,OFFSET([2]characters!$A$1,0,0,COUNTA([2]characters!$A:$A),MATCH(T$1,[2]characters!$1:$1,0)-MATCH($A$1,[2]characters!$1:$1,0)+1),MATCH(T$1,[2]characters!$1:$1,0)-MATCH($A$1,[2]characters!$1:$1,0)+1,FALSE)</f>
        <v>雪女 ユキ</v>
      </c>
      <c r="U327" s="5">
        <f ca="1">IF(Q327="NULL","NULL",VLOOKUP(G327,ビット!$A$2:$B$7,2))</f>
        <v>50000</v>
      </c>
      <c r="V327">
        <v>50000</v>
      </c>
      <c r="W327" s="6" t="str">
        <f t="shared" ca="1" si="9"/>
        <v>TRUE</v>
      </c>
    </row>
    <row r="328" spans="1:23" ht="21" customHeight="1" x14ac:dyDescent="0.15">
      <c r="A328" s="84">
        <v>648</v>
      </c>
      <c r="B328" s="24" t="str">
        <f ca="1">VLOOKUP($A328,OFFSET([2]characters!$A$1,0,0,COUNTA([2]characters!$A:$A),MATCH(B$1,[2]characters!$1:$1,0)-MATCH($A$1,[2]characters!$1:$1,0)+1),MATCH(B$1,[2]characters!$1:$1,0)-MATCH($A$1,[2]characters!$1:$1,0)+1,FALSE)</f>
        <v>パールヴァティ</v>
      </c>
      <c r="C328" s="24" t="str">
        <f ca="1">VLOOKUP($A328,OFFSET([2]characters!$A$1,0,0,COUNTA([2]characters!$A:$A),MATCH(C$1,[2]characters!$1:$1,0)-MATCH($A$1,[2]characters!$1:$1,0)+1),MATCH(C$1,[2]characters!$1:$1,0)-MATCH($A$1,[2]characters!$1:$1,0)+1,FALSE)</f>
        <v>イベント:ヒンドゥー01</v>
      </c>
      <c r="D328" s="24" t="str">
        <f ca="1">VLOOKUP($A328,OFFSET([2]characters!$A$1,0,0,COUNTA([2]characters!$A:$A),MATCH(D$1,[2]characters!$1:$1,0)-MATCH($A$1,[2]characters!$1:$1,0)+1),MATCH(D$1,[2]characters!$1:$1,0)-MATCH($A$1,[2]characters!$1:$1,0)+1,FALSE)</f>
        <v>執行者</v>
      </c>
      <c r="E328" s="24" t="str">
        <f ca="1">VLOOKUP($A328,OFFSET([2]characters!$A$1,0,0,COUNTA([2]characters!$A:$A),MATCH(E$1,[2]characters!$1:$1,0)-MATCH($A$1,[2]characters!$1:$1,0)+1),MATCH(E$1,[2]characters!$1:$1,0)-MATCH($A$1,[2]characters!$1:$1,0)+1,FALSE)</f>
        <v>格好いい</v>
      </c>
      <c r="F328" s="24" t="str">
        <f ca="1">VLOOKUP($A328,OFFSET([2]characters!$A$1,0,0,COUNTA([2]characters!$A:$A),MATCH(F$1,[2]characters!$1:$1,0)-MATCH($A$1,[2]characters!$1:$1,0)+1),MATCH(F$1,[2]characters!$1:$1,0)-MATCH($A$1,[2]characters!$1:$1,0)+1,FALSE)</f>
        <v>女性</v>
      </c>
      <c r="G328" s="24">
        <f ca="1">VLOOKUP($A328,OFFSET([2]characters!$A$1,0,0,COUNTA([2]characters!$A:$A),MATCH(G$1,[2]characters!$1:$1,0)-MATCH($A$1,[2]characters!$1:$1,0)+1),MATCH(G$1,[2]characters!$1:$1,0)-MATCH($A$1,[2]characters!$1:$1,0)+1,FALSE)</f>
        <v>4</v>
      </c>
      <c r="H328" s="24" t="str">
        <f ca="1">VLOOKUP($A328,OFFSET([2]characters!$A$1,0,0,COUNTA([2]characters!$A:$A),MATCH(H$1,[2]characters!$1:$1,0)-MATCH($A$1,[2]characters!$1:$1,0)+1),MATCH(H$1,[2]characters!$1:$1,0)-MATCH($A$1,[2]characters!$1:$1,0)+1,FALSE)</f>
        <v>DropWizS</v>
      </c>
      <c r="I328" s="24" t="str">
        <f ca="1">VLOOKUP($A328,OFFSET([2]characters!$A$1,0,0,COUNTA([2]characters!$A:$A),MATCH(I$1,[2]characters!$1:$1,0)-MATCH($A$1,[2]characters!$1:$1,0)+1),MATCH(I$1,[2]characters!$1:$1,0)-MATCH($A$1,[2]characters!$1:$1,0)+1,FALSE)</f>
        <v>blue</v>
      </c>
      <c r="J328" s="24" t="str">
        <f ca="1">VLOOKUP($A328,OFFSET([2]characters!$A$1,0,0,COUNTA([2]characters!$A:$A),MATCH(J$1,[2]characters!$1:$1,0)-MATCH($A$1,[2]characters!$1:$1,0)+1),MATCH(J$1,[2]characters!$1:$1,0)-MATCH($A$1,[2]characters!$1:$1,0)+1,FALSE)</f>
        <v>none</v>
      </c>
      <c r="K328" s="3" t="str">
        <f ca="1">VLOOKUP(J328,[2]character_tribe_i18n!$A:$H,3,FALSE)</f>
        <v>種族なし</v>
      </c>
      <c r="L328" s="5" t="e">
        <f>VLOOKUP(#REF!,[2]character_tribe_i18n!$A:$H,4,FALSE)</f>
        <v>#REF!</v>
      </c>
      <c r="M328" s="5" t="e">
        <f>VLOOKUP(#REF!,[2]character_tribe_i18n!$A:$H,5,FALSE)</f>
        <v>#REF!</v>
      </c>
      <c r="N328" s="5" t="e">
        <f>VLOOKUP(#REF!,[2]character_tribe_i18n!$A:$H,6,FALSE)</f>
        <v>#REF!</v>
      </c>
      <c r="O328" s="5" t="e">
        <f>VLOOKUP(#REF!,[2]character_tribe_i18n!$A:$H,7,FALSE)</f>
        <v>#REF!</v>
      </c>
      <c r="P328" s="83" t="s">
        <v>170</v>
      </c>
      <c r="Q328">
        <v>649</v>
      </c>
      <c r="R328" s="25" t="str">
        <f ca="1">IF(Q328="NULL","",VLOOKUP($Q328,OFFSET([2]characters!$A$1,0,0,COUNTA([2]characters!$A:$A),MATCH(R$1,[2]characters!$1:$1,0)-MATCH($A$1,[2]characters!$1:$1,0)+1),MATCH(R$1,[2]characters!$1:$1,0)-MATCH($A$1,[2]characters!$1:$1,0)+1,FALSE))</f>
        <v>寄咲く一輪華 パールヴァティ</v>
      </c>
      <c r="S328" s="3">
        <f t="shared" ca="1" si="8"/>
        <v>648</v>
      </c>
      <c r="T328" s="25" t="str">
        <f ca="1">VLOOKUP($S328,OFFSET([2]characters!$A$1,0,0,COUNTA([2]characters!$A:$A),MATCH(T$1,[2]characters!$1:$1,0)-MATCH($A$1,[2]characters!$1:$1,0)+1),MATCH(T$1,[2]characters!$1:$1,0)-MATCH($A$1,[2]characters!$1:$1,0)+1,FALSE)</f>
        <v>パールヴァティ</v>
      </c>
      <c r="U328" s="5">
        <f ca="1">IF(Q328="NULL","NULL",VLOOKUP(G328,ビット!$A$2:$B$7,2))</f>
        <v>50000</v>
      </c>
      <c r="V328">
        <v>50000</v>
      </c>
      <c r="W328" s="6" t="str">
        <f t="shared" ca="1" si="9"/>
        <v>TRUE</v>
      </c>
    </row>
    <row r="329" spans="1:23" ht="21" customHeight="1" x14ac:dyDescent="0.15">
      <c r="A329" s="84">
        <v>650</v>
      </c>
      <c r="B329" s="24" t="str">
        <f ca="1">VLOOKUP($A329,OFFSET([2]characters!$A$1,0,0,COUNTA([2]characters!$A:$A),MATCH(B$1,[2]characters!$1:$1,0)-MATCH($A$1,[2]characters!$1:$1,0)+1),MATCH(B$1,[2]characters!$1:$1,0)-MATCH($A$1,[2]characters!$1:$1,0)+1,FALSE)</f>
        <v>土蜘蛛 ユウヤ</v>
      </c>
      <c r="C329" s="24" t="str">
        <f ca="1">VLOOKUP($A329,OFFSET([2]characters!$A$1,0,0,COUNTA([2]characters!$A:$A),MATCH(C$1,[2]characters!$1:$1,0)-MATCH($A$1,[2]characters!$1:$1,0)+1),MATCH(C$1,[2]characters!$1:$1,0)-MATCH($A$1,[2]characters!$1:$1,0)+1,FALSE)</f>
        <v>イベント:妖怪01</v>
      </c>
      <c r="D329" s="24" t="str">
        <f ca="1">VLOOKUP($A329,OFFSET([2]characters!$A$1,0,0,COUNTA([2]characters!$A:$A),MATCH(D$1,[2]characters!$1:$1,0)-MATCH($A$1,[2]characters!$1:$1,0)+1),MATCH(D$1,[2]characters!$1:$1,0)-MATCH($A$1,[2]characters!$1:$1,0)+1,FALSE)</f>
        <v>執行者</v>
      </c>
      <c r="E329" s="24" t="str">
        <f ca="1">VLOOKUP($A329,OFFSET([2]characters!$A$1,0,0,COUNTA([2]characters!$A:$A),MATCH(E$1,[2]characters!$1:$1,0)-MATCH($A$1,[2]characters!$1:$1,0)+1),MATCH(E$1,[2]characters!$1:$1,0)-MATCH($A$1,[2]characters!$1:$1,0)+1,FALSE)</f>
        <v>格好いい</v>
      </c>
      <c r="F329" s="24" t="str">
        <f ca="1">VLOOKUP($A329,OFFSET([2]characters!$A$1,0,0,COUNTA([2]characters!$A:$A),MATCH(F$1,[2]characters!$1:$1,0)-MATCH($A$1,[2]characters!$1:$1,0)+1),MATCH(F$1,[2]characters!$1:$1,0)-MATCH($A$1,[2]characters!$1:$1,0)+1,FALSE)</f>
        <v>男性</v>
      </c>
      <c r="G329" s="24">
        <f ca="1">VLOOKUP($A329,OFFSET([2]characters!$A$1,0,0,COUNTA([2]characters!$A:$A),MATCH(G$1,[2]characters!$1:$1,0)-MATCH($A$1,[2]characters!$1:$1,0)+1),MATCH(G$1,[2]characters!$1:$1,0)-MATCH($A$1,[2]characters!$1:$1,0)+1,FALSE)</f>
        <v>4</v>
      </c>
      <c r="H329" s="24" t="str">
        <f ca="1">VLOOKUP($A329,OFFSET([2]characters!$A$1,0,0,COUNTA([2]characters!$A:$A),MATCH(H$1,[2]characters!$1:$1,0)-MATCH($A$1,[2]characters!$1:$1,0)+1),MATCH(H$1,[2]characters!$1:$1,0)-MATCH($A$1,[2]characters!$1:$1,0)+1,FALSE)</f>
        <v>Drop2N</v>
      </c>
      <c r="I329" s="24" t="str">
        <f ca="1">VLOOKUP($A329,OFFSET([2]characters!$A$1,0,0,COUNTA([2]characters!$A:$A),MATCH(I$1,[2]characters!$1:$1,0)-MATCH($A$1,[2]characters!$1:$1,0)+1),MATCH(I$1,[2]characters!$1:$1,0)-MATCH($A$1,[2]characters!$1:$1,0)+1,FALSE)</f>
        <v>yellow</v>
      </c>
      <c r="J329" s="24" t="str">
        <f ca="1">VLOOKUP($A329,OFFSET([2]characters!$A$1,0,0,COUNTA([2]characters!$A:$A),MATCH(J$1,[2]characters!$1:$1,0)-MATCH($A$1,[2]characters!$1:$1,0)+1),MATCH(J$1,[2]characters!$1:$1,0)-MATCH($A$1,[2]characters!$1:$1,0)+1,FALSE)</f>
        <v>unknown</v>
      </c>
      <c r="K329" s="3" t="str">
        <f ca="1">VLOOKUP(J329,[2]character_tribe_i18n!$A:$H,3,FALSE)</f>
        <v>Unknown</v>
      </c>
      <c r="L329" s="5" t="e">
        <f>VLOOKUP(#REF!,[2]character_tribe_i18n!$A:$H,4,FALSE)</f>
        <v>#REF!</v>
      </c>
      <c r="M329" s="5" t="e">
        <f>VLOOKUP(#REF!,[2]character_tribe_i18n!$A:$H,5,FALSE)</f>
        <v>#REF!</v>
      </c>
      <c r="N329" s="5" t="e">
        <f>VLOOKUP(#REF!,[2]character_tribe_i18n!$A:$H,6,FALSE)</f>
        <v>#REF!</v>
      </c>
      <c r="O329" s="5" t="e">
        <f>VLOOKUP(#REF!,[2]character_tribe_i18n!$A:$H,7,FALSE)</f>
        <v>#REF!</v>
      </c>
      <c r="P329" s="83" t="s">
        <v>170</v>
      </c>
      <c r="Q329">
        <v>651</v>
      </c>
      <c r="R329" s="25" t="str">
        <f ca="1">IF(Q329="NULL","",VLOOKUP($Q329,OFFSET([2]characters!$A$1,0,0,COUNTA([2]characters!$A:$A),MATCH(R$1,[2]characters!$1:$1,0)-MATCH($A$1,[2]characters!$1:$1,0)+1),MATCH(R$1,[2]characters!$1:$1,0)-MATCH($A$1,[2]characters!$1:$1,0)+1,FALSE))</f>
        <v>八重祟障 ユウヤ</v>
      </c>
      <c r="S329" s="3">
        <f t="shared" ca="1" si="8"/>
        <v>650</v>
      </c>
      <c r="T329" s="25" t="str">
        <f ca="1">VLOOKUP($S329,OFFSET([2]characters!$A$1,0,0,COUNTA([2]characters!$A:$A),MATCH(T$1,[2]characters!$1:$1,0)-MATCH($A$1,[2]characters!$1:$1,0)+1),MATCH(T$1,[2]characters!$1:$1,0)-MATCH($A$1,[2]characters!$1:$1,0)+1,FALSE)</f>
        <v>土蜘蛛 ユウヤ</v>
      </c>
      <c r="U329" s="5">
        <f ca="1">IF(Q329="NULL","NULL",VLOOKUP(G329,ビット!$A$2:$B$7,2))</f>
        <v>50000</v>
      </c>
      <c r="V329">
        <v>50000</v>
      </c>
      <c r="W329" s="6" t="str">
        <f t="shared" ca="1" si="9"/>
        <v>TRUE</v>
      </c>
    </row>
    <row r="330" spans="1:23" ht="21" customHeight="1" x14ac:dyDescent="0.15">
      <c r="A330" s="84">
        <v>652</v>
      </c>
      <c r="B330" s="24" t="str">
        <f ca="1">VLOOKUP($A330,OFFSET([2]characters!$A$1,0,0,COUNTA([2]characters!$A:$A),MATCH(B$1,[2]characters!$1:$1,0)-MATCH($A$1,[2]characters!$1:$1,0)+1),MATCH(B$1,[2]characters!$1:$1,0)-MATCH($A$1,[2]characters!$1:$1,0)+1,FALSE)</f>
        <v>アナンタ</v>
      </c>
      <c r="C330" s="24" t="str">
        <f ca="1">VLOOKUP($A330,OFFSET([2]characters!$A$1,0,0,COUNTA([2]characters!$A:$A),MATCH(C$1,[2]characters!$1:$1,0)-MATCH($A$1,[2]characters!$1:$1,0)+1),MATCH(C$1,[2]characters!$1:$1,0)-MATCH($A$1,[2]characters!$1:$1,0)+1,FALSE)</f>
        <v>イベント:ヒンドゥー01</v>
      </c>
      <c r="D330" s="24" t="str">
        <f ca="1">VLOOKUP($A330,OFFSET([2]characters!$A$1,0,0,COUNTA([2]characters!$A:$A),MATCH(D$1,[2]characters!$1:$1,0)-MATCH($A$1,[2]characters!$1:$1,0)+1),MATCH(D$1,[2]characters!$1:$1,0)-MATCH($A$1,[2]characters!$1:$1,0)+1,FALSE)</f>
        <v>執行者</v>
      </c>
      <c r="E330" s="24" t="str">
        <f ca="1">VLOOKUP($A330,OFFSET([2]characters!$A$1,0,0,COUNTA([2]characters!$A:$A),MATCH(E$1,[2]characters!$1:$1,0)-MATCH($A$1,[2]characters!$1:$1,0)+1),MATCH(E$1,[2]characters!$1:$1,0)-MATCH($A$1,[2]characters!$1:$1,0)+1,FALSE)</f>
        <v>格好いい</v>
      </c>
      <c r="F330" s="24" t="str">
        <f ca="1">VLOOKUP($A330,OFFSET([2]characters!$A$1,0,0,COUNTA([2]characters!$A:$A),MATCH(F$1,[2]characters!$1:$1,0)-MATCH($A$1,[2]characters!$1:$1,0)+1),MATCH(F$1,[2]characters!$1:$1,0)-MATCH($A$1,[2]characters!$1:$1,0)+1,FALSE)</f>
        <v>不明</v>
      </c>
      <c r="G330" s="24">
        <f ca="1">VLOOKUP($A330,OFFSET([2]characters!$A$1,0,0,COUNTA([2]characters!$A:$A),MATCH(G$1,[2]characters!$1:$1,0)-MATCH($A$1,[2]characters!$1:$1,0)+1),MATCH(G$1,[2]characters!$1:$1,0)-MATCH($A$1,[2]characters!$1:$1,0)+1,FALSE)</f>
        <v>4</v>
      </c>
      <c r="H330" s="24" t="str">
        <f ca="1">VLOOKUP($A330,OFFSET([2]characters!$A$1,0,0,COUNTA([2]characters!$A:$A),MATCH(H$1,[2]characters!$1:$1,0)-MATCH($A$1,[2]characters!$1:$1,0)+1),MATCH(H$1,[2]characters!$1:$1,0)-MATCH($A$1,[2]characters!$1:$1,0)+1,FALSE)</f>
        <v>Drop2N</v>
      </c>
      <c r="I330" s="24" t="str">
        <f ca="1">VLOOKUP($A330,OFFSET([2]characters!$A$1,0,0,COUNTA([2]characters!$A:$A),MATCH(I$1,[2]characters!$1:$1,0)-MATCH($A$1,[2]characters!$1:$1,0)+1),MATCH(I$1,[2]characters!$1:$1,0)-MATCH($A$1,[2]characters!$1:$1,0)+1,FALSE)</f>
        <v>yellow</v>
      </c>
      <c r="J330" s="24" t="str">
        <f ca="1">VLOOKUP($A330,OFFSET([2]characters!$A$1,0,0,COUNTA([2]characters!$A:$A),MATCH(J$1,[2]characters!$1:$1,0)-MATCH($A$1,[2]characters!$1:$1,0)+1),MATCH(J$1,[2]characters!$1:$1,0)-MATCH($A$1,[2]characters!$1:$1,0)+1,FALSE)</f>
        <v>none</v>
      </c>
      <c r="K330" s="3" t="str">
        <f ca="1">VLOOKUP(J330,[2]character_tribe_i18n!$A:$H,3,FALSE)</f>
        <v>種族なし</v>
      </c>
      <c r="L330" s="5" t="e">
        <f>VLOOKUP(#REF!,[2]character_tribe_i18n!$A:$H,4,FALSE)</f>
        <v>#REF!</v>
      </c>
      <c r="M330" s="5" t="e">
        <f>VLOOKUP(#REF!,[2]character_tribe_i18n!$A:$H,5,FALSE)</f>
        <v>#REF!</v>
      </c>
      <c r="N330" s="5" t="e">
        <f>VLOOKUP(#REF!,[2]character_tribe_i18n!$A:$H,6,FALSE)</f>
        <v>#REF!</v>
      </c>
      <c r="O330" s="5" t="e">
        <f>VLOOKUP(#REF!,[2]character_tribe_i18n!$A:$H,7,FALSE)</f>
        <v>#REF!</v>
      </c>
      <c r="P330" s="83" t="s">
        <v>170</v>
      </c>
      <c r="Q330">
        <v>653</v>
      </c>
      <c r="R330" s="25" t="str">
        <f ca="1">IF(Q330="NULL","",VLOOKUP($Q330,OFFSET([2]characters!$A$1,0,0,COUNTA([2]characters!$A:$A),MATCH(R$1,[2]characters!$1:$1,0)-MATCH($A$1,[2]characters!$1:$1,0)+1),MATCH(R$1,[2]characters!$1:$1,0)-MATCH($A$1,[2]characters!$1:$1,0)+1,FALSE))</f>
        <v>悠久の狡蛇 アナンタ</v>
      </c>
      <c r="S330" s="3">
        <f t="shared" ca="1" si="8"/>
        <v>652</v>
      </c>
      <c r="T330" s="25" t="str">
        <f ca="1">VLOOKUP($S330,OFFSET([2]characters!$A$1,0,0,COUNTA([2]characters!$A:$A),MATCH(T$1,[2]characters!$1:$1,0)-MATCH($A$1,[2]characters!$1:$1,0)+1),MATCH(T$1,[2]characters!$1:$1,0)-MATCH($A$1,[2]characters!$1:$1,0)+1,FALSE)</f>
        <v>アナンタ</v>
      </c>
      <c r="U330" s="5">
        <f ca="1">IF(Q330="NULL","NULL",VLOOKUP(G330,ビット!$A$2:$B$7,2))</f>
        <v>50000</v>
      </c>
      <c r="V330">
        <v>50000</v>
      </c>
      <c r="W330" s="6" t="str">
        <f t="shared" ca="1" si="9"/>
        <v>TRUE</v>
      </c>
    </row>
    <row r="331" spans="1:23" ht="21" customHeight="1" x14ac:dyDescent="0.15">
      <c r="A331" s="84">
        <v>654</v>
      </c>
      <c r="B331" s="24" t="str">
        <f ca="1">VLOOKUP($A331,OFFSET([2]characters!$A$1,0,0,COUNTA([2]characters!$A:$A),MATCH(B$1,[2]characters!$1:$1,0)-MATCH($A$1,[2]characters!$1:$1,0)+1),MATCH(B$1,[2]characters!$1:$1,0)-MATCH($A$1,[2]characters!$1:$1,0)+1,FALSE)</f>
        <v>酒呑童子 ヨミ</v>
      </c>
      <c r="C331" s="24" t="str">
        <f ca="1">VLOOKUP($A331,OFFSET([2]characters!$A$1,0,0,COUNTA([2]characters!$A:$A),MATCH(C$1,[2]characters!$1:$1,0)-MATCH($A$1,[2]characters!$1:$1,0)+1),MATCH(C$1,[2]characters!$1:$1,0)-MATCH($A$1,[2]characters!$1:$1,0)+1,FALSE)</f>
        <v>イベント:ウィザード</v>
      </c>
      <c r="D331" s="24" t="str">
        <f ca="1">VLOOKUP($A331,OFFSET([2]characters!$A$1,0,0,COUNTA([2]characters!$A:$A),MATCH(D$1,[2]characters!$1:$1,0)-MATCH($A$1,[2]characters!$1:$1,0)+1),MATCH(D$1,[2]characters!$1:$1,0)-MATCH($A$1,[2]characters!$1:$1,0)+1,FALSE)</f>
        <v>執行者</v>
      </c>
      <c r="E331" s="24" t="str">
        <f ca="1">VLOOKUP($A331,OFFSET([2]characters!$A$1,0,0,COUNTA([2]characters!$A:$A),MATCH(E$1,[2]characters!$1:$1,0)-MATCH($A$1,[2]characters!$1:$1,0)+1),MATCH(E$1,[2]characters!$1:$1,0)-MATCH($A$1,[2]characters!$1:$1,0)+1,FALSE)</f>
        <v>格好いい</v>
      </c>
      <c r="F331" s="24" t="str">
        <f ca="1">VLOOKUP($A331,OFFSET([2]characters!$A$1,0,0,COUNTA([2]characters!$A:$A),MATCH(F$1,[2]characters!$1:$1,0)-MATCH($A$1,[2]characters!$1:$1,0)+1),MATCH(F$1,[2]characters!$1:$1,0)-MATCH($A$1,[2]characters!$1:$1,0)+1,FALSE)</f>
        <v>女性</v>
      </c>
      <c r="G331" s="24">
        <f ca="1">VLOOKUP($A331,OFFSET([2]characters!$A$1,0,0,COUNTA([2]characters!$A:$A),MATCH(G$1,[2]characters!$1:$1,0)-MATCH($A$1,[2]characters!$1:$1,0)+1),MATCH(G$1,[2]characters!$1:$1,0)-MATCH($A$1,[2]characters!$1:$1,0)+1,FALSE)</f>
        <v>4</v>
      </c>
      <c r="H331" s="24" t="str">
        <f ca="1">VLOOKUP($A331,OFFSET([2]characters!$A$1,0,0,COUNTA([2]characters!$A:$A),MATCH(H$1,[2]characters!$1:$1,0)-MATCH($A$1,[2]characters!$1:$1,0)+1),MATCH(H$1,[2]characters!$1:$1,0)-MATCH($A$1,[2]characters!$1:$1,0)+1,FALSE)</f>
        <v>DropWizS</v>
      </c>
      <c r="I331" s="24" t="str">
        <f ca="1">VLOOKUP($A331,OFFSET([2]characters!$A$1,0,0,COUNTA([2]characters!$A:$A),MATCH(I$1,[2]characters!$1:$1,0)-MATCH($A$1,[2]characters!$1:$1,0)+1),MATCH(I$1,[2]characters!$1:$1,0)-MATCH($A$1,[2]characters!$1:$1,0)+1,FALSE)</f>
        <v>yellow</v>
      </c>
      <c r="J331" s="24" t="str">
        <f ca="1">VLOOKUP($A331,OFFSET([2]characters!$A$1,0,0,COUNTA([2]characters!$A:$A),MATCH(J$1,[2]characters!$1:$1,0)-MATCH($A$1,[2]characters!$1:$1,0)+1),MATCH(J$1,[2]characters!$1:$1,0)-MATCH($A$1,[2]characters!$1:$1,0)+1,FALSE)</f>
        <v>unknown</v>
      </c>
      <c r="K331" s="3" t="str">
        <f ca="1">VLOOKUP(J331,[2]character_tribe_i18n!$A:$H,3,FALSE)</f>
        <v>Unknown</v>
      </c>
      <c r="L331" s="5" t="e">
        <f>VLOOKUP(#REF!,[2]character_tribe_i18n!$A:$H,4,FALSE)</f>
        <v>#REF!</v>
      </c>
      <c r="M331" s="5" t="e">
        <f>VLOOKUP(#REF!,[2]character_tribe_i18n!$A:$H,5,FALSE)</f>
        <v>#REF!</v>
      </c>
      <c r="N331" s="5" t="e">
        <f>VLOOKUP(#REF!,[2]character_tribe_i18n!$A:$H,6,FALSE)</f>
        <v>#REF!</v>
      </c>
      <c r="O331" s="5" t="e">
        <f>VLOOKUP(#REF!,[2]character_tribe_i18n!$A:$H,7,FALSE)</f>
        <v>#REF!</v>
      </c>
      <c r="P331" s="83" t="s">
        <v>170</v>
      </c>
      <c r="Q331">
        <v>655</v>
      </c>
      <c r="R331" s="25" t="str">
        <f ca="1">IF(Q331="NULL","",VLOOKUP($Q331,OFFSET([2]characters!$A$1,0,0,COUNTA([2]characters!$A:$A),MATCH(R$1,[2]characters!$1:$1,0)-MATCH($A$1,[2]characters!$1:$1,0)+1),MATCH(R$1,[2]characters!$1:$1,0)-MATCH($A$1,[2]characters!$1:$1,0)+1,FALSE))</f>
        <v>桜花舞う嵐鬼神 ヨミ</v>
      </c>
      <c r="S331" s="3">
        <f t="shared" ca="1" si="8"/>
        <v>654</v>
      </c>
      <c r="T331" s="25" t="str">
        <f ca="1">VLOOKUP($S331,OFFSET([2]characters!$A$1,0,0,COUNTA([2]characters!$A:$A),MATCH(T$1,[2]characters!$1:$1,0)-MATCH($A$1,[2]characters!$1:$1,0)+1),MATCH(T$1,[2]characters!$1:$1,0)-MATCH($A$1,[2]characters!$1:$1,0)+1,FALSE)</f>
        <v>酒呑童子 ヨミ</v>
      </c>
      <c r="U331" s="5">
        <f ca="1">IF(Q331="NULL","NULL",VLOOKUP(G331,ビット!$A$2:$B$7,2))</f>
        <v>50000</v>
      </c>
      <c r="V331">
        <v>50000</v>
      </c>
      <c r="W331" s="6" t="str">
        <f t="shared" ca="1" si="9"/>
        <v>TRUE</v>
      </c>
    </row>
    <row r="332" spans="1:23" ht="21" customHeight="1" x14ac:dyDescent="0.15">
      <c r="A332" s="84">
        <v>656</v>
      </c>
      <c r="B332" s="24" t="str">
        <f ca="1">VLOOKUP($A332,OFFSET([2]characters!$A$1,0,0,COUNTA([2]characters!$A:$A),MATCH(B$1,[2]characters!$1:$1,0)-MATCH($A$1,[2]characters!$1:$1,0)+1),MATCH(B$1,[2]characters!$1:$1,0)-MATCH($A$1,[2]characters!$1:$1,0)+1,FALSE)</f>
        <v>シヴァ</v>
      </c>
      <c r="C332" s="24" t="str">
        <f ca="1">VLOOKUP($A332,OFFSET([2]characters!$A$1,0,0,COUNTA([2]characters!$A:$A),MATCH(C$1,[2]characters!$1:$1,0)-MATCH($A$1,[2]characters!$1:$1,0)+1),MATCH(C$1,[2]characters!$1:$1,0)-MATCH($A$1,[2]characters!$1:$1,0)+1,FALSE)</f>
        <v>イベント:ウィザード</v>
      </c>
      <c r="D332" s="24" t="str">
        <f ca="1">VLOOKUP($A332,OFFSET([2]characters!$A$1,0,0,COUNTA([2]characters!$A:$A),MATCH(D$1,[2]characters!$1:$1,0)-MATCH($A$1,[2]characters!$1:$1,0)+1),MATCH(D$1,[2]characters!$1:$1,0)-MATCH($A$1,[2]characters!$1:$1,0)+1,FALSE)</f>
        <v>執行者</v>
      </c>
      <c r="E332" s="24" t="str">
        <f ca="1">VLOOKUP($A332,OFFSET([2]characters!$A$1,0,0,COUNTA([2]characters!$A:$A),MATCH(E$1,[2]characters!$1:$1,0)-MATCH($A$1,[2]characters!$1:$1,0)+1),MATCH(E$1,[2]characters!$1:$1,0)-MATCH($A$1,[2]characters!$1:$1,0)+1,FALSE)</f>
        <v>格好いい</v>
      </c>
      <c r="F332" s="24" t="str">
        <f ca="1">VLOOKUP($A332,OFFSET([2]characters!$A$1,0,0,COUNTA([2]characters!$A:$A),MATCH(F$1,[2]characters!$1:$1,0)-MATCH($A$1,[2]characters!$1:$1,0)+1),MATCH(F$1,[2]characters!$1:$1,0)-MATCH($A$1,[2]characters!$1:$1,0)+1,FALSE)</f>
        <v>男性</v>
      </c>
      <c r="G332" s="24">
        <f ca="1">VLOOKUP($A332,OFFSET([2]characters!$A$1,0,0,COUNTA([2]characters!$A:$A),MATCH(G$1,[2]characters!$1:$1,0)-MATCH($A$1,[2]characters!$1:$1,0)+1),MATCH(G$1,[2]characters!$1:$1,0)-MATCH($A$1,[2]characters!$1:$1,0)+1,FALSE)</f>
        <v>4</v>
      </c>
      <c r="H332" s="24" t="str">
        <f ca="1">VLOOKUP($A332,OFFSET([2]characters!$A$1,0,0,COUNTA([2]characters!$A:$A),MATCH(H$1,[2]characters!$1:$1,0)-MATCH($A$1,[2]characters!$1:$1,0)+1),MATCH(H$1,[2]characters!$1:$1,0)-MATCH($A$1,[2]characters!$1:$1,0)+1,FALSE)</f>
        <v>DropWizS</v>
      </c>
      <c r="I332" s="24" t="str">
        <f ca="1">VLOOKUP($A332,OFFSET([2]characters!$A$1,0,0,COUNTA([2]characters!$A:$A),MATCH(I$1,[2]characters!$1:$1,0)-MATCH($A$1,[2]characters!$1:$1,0)+1),MATCH(I$1,[2]characters!$1:$1,0)-MATCH($A$1,[2]characters!$1:$1,0)+1,FALSE)</f>
        <v>blue</v>
      </c>
      <c r="J332" s="24" t="str">
        <f ca="1">VLOOKUP($A332,OFFSET([2]characters!$A$1,0,0,COUNTA([2]characters!$A:$A),MATCH(J$1,[2]characters!$1:$1,0)-MATCH($A$1,[2]characters!$1:$1,0)+1),MATCH(J$1,[2]characters!$1:$1,0)-MATCH($A$1,[2]characters!$1:$1,0)+1,FALSE)</f>
        <v>none</v>
      </c>
      <c r="K332" s="3" t="str">
        <f ca="1">VLOOKUP(J332,[2]character_tribe_i18n!$A:$H,3,FALSE)</f>
        <v>種族なし</v>
      </c>
      <c r="L332" s="5" t="e">
        <f>VLOOKUP(#REF!,[2]character_tribe_i18n!$A:$H,4,FALSE)</f>
        <v>#REF!</v>
      </c>
      <c r="M332" s="5" t="e">
        <f>VLOOKUP(#REF!,[2]character_tribe_i18n!$A:$H,5,FALSE)</f>
        <v>#REF!</v>
      </c>
      <c r="N332" s="5" t="e">
        <f>VLOOKUP(#REF!,[2]character_tribe_i18n!$A:$H,6,FALSE)</f>
        <v>#REF!</v>
      </c>
      <c r="O332" s="5" t="e">
        <f>VLOOKUP(#REF!,[2]character_tribe_i18n!$A:$H,7,FALSE)</f>
        <v>#REF!</v>
      </c>
      <c r="P332" s="83" t="s">
        <v>170</v>
      </c>
      <c r="Q332">
        <v>657</v>
      </c>
      <c r="R332" s="25" t="str">
        <f ca="1">IF(Q332="NULL","",VLOOKUP($Q332,OFFSET([2]characters!$A$1,0,0,COUNTA([2]characters!$A:$A),MATCH(R$1,[2]characters!$1:$1,0)-MATCH($A$1,[2]characters!$1:$1,0)+1),MATCH(R$1,[2]characters!$1:$1,0)-MATCH($A$1,[2]characters!$1:$1,0)+1,FALSE))</f>
        <v>解滅の裁神 シヴァ</v>
      </c>
      <c r="S332" s="3">
        <f t="shared" ca="1" si="8"/>
        <v>656</v>
      </c>
      <c r="T332" s="25" t="str">
        <f ca="1">VLOOKUP($S332,OFFSET([2]characters!$A$1,0,0,COUNTA([2]characters!$A:$A),MATCH(T$1,[2]characters!$1:$1,0)-MATCH($A$1,[2]characters!$1:$1,0)+1),MATCH(T$1,[2]characters!$1:$1,0)-MATCH($A$1,[2]characters!$1:$1,0)+1,FALSE)</f>
        <v>シヴァ</v>
      </c>
      <c r="U332" s="5">
        <f ca="1">IF(Q332="NULL","NULL",VLOOKUP(G332,ビット!$A$2:$B$7,2))</f>
        <v>50000</v>
      </c>
      <c r="V332">
        <v>50000</v>
      </c>
      <c r="W332" s="6" t="str">
        <f t="shared" ca="1" si="9"/>
        <v>TRUE</v>
      </c>
    </row>
    <row r="333" spans="1:23" ht="21" customHeight="1" x14ac:dyDescent="0.15">
      <c r="A333" s="84">
        <v>658</v>
      </c>
      <c r="B333" s="24" t="str">
        <f ca="1">VLOOKUP($A333,OFFSET([2]characters!$A$1,0,0,COUNTA([2]characters!$A:$A),MATCH(B$1,[2]characters!$1:$1,0)-MATCH($A$1,[2]characters!$1:$1,0)+1),MATCH(B$1,[2]characters!$1:$1,0)-MATCH($A$1,[2]characters!$1:$1,0)+1,FALSE)</f>
        <v>猫又 クルミ</v>
      </c>
      <c r="C333" s="24" t="str">
        <f ca="1">VLOOKUP($A333,OFFSET([2]characters!$A$1,0,0,COUNTA([2]characters!$A:$A),MATCH(C$1,[2]characters!$1:$1,0)-MATCH($A$1,[2]characters!$1:$1,0)+1),MATCH(C$1,[2]characters!$1:$1,0)-MATCH($A$1,[2]characters!$1:$1,0)+1,FALSE)</f>
        <v>ガチャ:妖怪01</v>
      </c>
      <c r="D333" s="24" t="str">
        <f ca="1">VLOOKUP($A333,OFFSET([2]characters!$A$1,0,0,COUNTA([2]characters!$A:$A),MATCH(D$1,[2]characters!$1:$1,0)-MATCH($A$1,[2]characters!$1:$1,0)+1),MATCH(D$1,[2]characters!$1:$1,0)-MATCH($A$1,[2]characters!$1:$1,0)+1,FALSE)</f>
        <v>執行者</v>
      </c>
      <c r="E333" s="24" t="str">
        <f ca="1">VLOOKUP($A333,OFFSET([2]characters!$A$1,0,0,COUNTA([2]characters!$A:$A),MATCH(E$1,[2]characters!$1:$1,0)-MATCH($A$1,[2]characters!$1:$1,0)+1),MATCH(E$1,[2]characters!$1:$1,0)-MATCH($A$1,[2]characters!$1:$1,0)+1,FALSE)</f>
        <v>格好いい</v>
      </c>
      <c r="F333" s="24" t="str">
        <f ca="1">VLOOKUP($A333,OFFSET([2]characters!$A$1,0,0,COUNTA([2]characters!$A:$A),MATCH(F$1,[2]characters!$1:$1,0)-MATCH($A$1,[2]characters!$1:$1,0)+1),MATCH(F$1,[2]characters!$1:$1,0)-MATCH($A$1,[2]characters!$1:$1,0)+1,FALSE)</f>
        <v>女性</v>
      </c>
      <c r="G333" s="24">
        <f ca="1">VLOOKUP($A333,OFFSET([2]characters!$A$1,0,0,COUNTA([2]characters!$A:$A),MATCH(G$1,[2]characters!$1:$1,0)-MATCH($A$1,[2]characters!$1:$1,0)+1),MATCH(G$1,[2]characters!$1:$1,0)-MATCH($A$1,[2]characters!$1:$1,0)+1,FALSE)</f>
        <v>4</v>
      </c>
      <c r="H333" s="24" t="str">
        <f ca="1">VLOOKUP($A333,OFFSET([2]characters!$A$1,0,0,COUNTA([2]characters!$A:$A),MATCH(H$1,[2]characters!$1:$1,0)-MATCH($A$1,[2]characters!$1:$1,0)+1),MATCH(H$1,[2]characters!$1:$1,0)-MATCH($A$1,[2]characters!$1:$1,0)+1,FALSE)</f>
        <v>PremiumSS</v>
      </c>
      <c r="I333" s="24" t="str">
        <f ca="1">VLOOKUP($A333,OFFSET([2]characters!$A$1,0,0,COUNTA([2]characters!$A:$A),MATCH(I$1,[2]characters!$1:$1,0)-MATCH($A$1,[2]characters!$1:$1,0)+1),MATCH(I$1,[2]characters!$1:$1,0)-MATCH($A$1,[2]characters!$1:$1,0)+1,FALSE)</f>
        <v>red</v>
      </c>
      <c r="J333" s="24" t="str">
        <f ca="1">VLOOKUP($A333,OFFSET([2]characters!$A$1,0,0,COUNTA([2]characters!$A:$A),MATCH(J$1,[2]characters!$1:$1,0)-MATCH($A$1,[2]characters!$1:$1,0)+1),MATCH(J$1,[2]characters!$1:$1,0)-MATCH($A$1,[2]characters!$1:$1,0)+1,FALSE)</f>
        <v>unknown</v>
      </c>
      <c r="K333" s="3" t="str">
        <f ca="1">VLOOKUP(J333,[2]character_tribe_i18n!$A:$H,3,FALSE)</f>
        <v>Unknown</v>
      </c>
      <c r="L333" s="5" t="e">
        <f>VLOOKUP(#REF!,[2]character_tribe_i18n!$A:$H,4,FALSE)</f>
        <v>#REF!</v>
      </c>
      <c r="M333" s="5" t="e">
        <f>VLOOKUP(#REF!,[2]character_tribe_i18n!$A:$H,5,FALSE)</f>
        <v>#REF!</v>
      </c>
      <c r="N333" s="5" t="e">
        <f>VLOOKUP(#REF!,[2]character_tribe_i18n!$A:$H,6,FALSE)</f>
        <v>#REF!</v>
      </c>
      <c r="O333" s="5" t="e">
        <f>VLOOKUP(#REF!,[2]character_tribe_i18n!$A:$H,7,FALSE)</f>
        <v>#REF!</v>
      </c>
      <c r="P333" s="83" t="s">
        <v>170</v>
      </c>
      <c r="Q333">
        <v>659</v>
      </c>
      <c r="R333" s="25" t="str">
        <f ca="1">IF(Q333="NULL","",VLOOKUP($Q333,OFFSET([2]characters!$A$1,0,0,COUNTA([2]characters!$A:$A),MATCH(R$1,[2]characters!$1:$1,0)-MATCH($A$1,[2]characters!$1:$1,0)+1),MATCH(R$1,[2]characters!$1:$1,0)-MATCH($A$1,[2]characters!$1:$1,0)+1,FALSE))</f>
        <v>跳梁する化猫 クルミ</v>
      </c>
      <c r="S333" s="3">
        <f t="shared" ca="1" si="8"/>
        <v>658</v>
      </c>
      <c r="T333" s="25" t="str">
        <f ca="1">VLOOKUP($S333,OFFSET([2]characters!$A$1,0,0,COUNTA([2]characters!$A:$A),MATCH(T$1,[2]characters!$1:$1,0)-MATCH($A$1,[2]characters!$1:$1,0)+1),MATCH(T$1,[2]characters!$1:$1,0)-MATCH($A$1,[2]characters!$1:$1,0)+1,FALSE)</f>
        <v>猫又 クルミ</v>
      </c>
      <c r="U333" s="5">
        <f ca="1">IF(Q333="NULL","NULL",VLOOKUP(G333,ビット!$A$2:$B$7,2))</f>
        <v>50000</v>
      </c>
      <c r="V333">
        <v>50000</v>
      </c>
      <c r="W333" s="6" t="str">
        <f t="shared" ca="1" si="9"/>
        <v>TRUE</v>
      </c>
    </row>
    <row r="334" spans="1:23" ht="21" customHeight="1" x14ac:dyDescent="0.15">
      <c r="A334" s="84">
        <v>660</v>
      </c>
      <c r="B334" s="24" t="str">
        <f ca="1">VLOOKUP($A334,OFFSET([2]characters!$A$1,0,0,COUNTA([2]characters!$A:$A),MATCH(B$1,[2]characters!$1:$1,0)-MATCH($A$1,[2]characters!$1:$1,0)+1),MATCH(B$1,[2]characters!$1:$1,0)-MATCH($A$1,[2]characters!$1:$1,0)+1,FALSE)</f>
        <v>烏天狗 フウガ</v>
      </c>
      <c r="C334" s="24" t="str">
        <f ca="1">VLOOKUP($A334,OFFSET([2]characters!$A$1,0,0,COUNTA([2]characters!$A:$A),MATCH(C$1,[2]characters!$1:$1,0)-MATCH($A$1,[2]characters!$1:$1,0)+1),MATCH(C$1,[2]characters!$1:$1,0)-MATCH($A$1,[2]characters!$1:$1,0)+1,FALSE)</f>
        <v>ガチャ:妖怪01</v>
      </c>
      <c r="D334" s="24" t="str">
        <f ca="1">VLOOKUP($A334,OFFSET([2]characters!$A$1,0,0,COUNTA([2]characters!$A:$A),MATCH(D$1,[2]characters!$1:$1,0)-MATCH($A$1,[2]characters!$1:$1,0)+1),MATCH(D$1,[2]characters!$1:$1,0)-MATCH($A$1,[2]characters!$1:$1,0)+1,FALSE)</f>
        <v>執行者</v>
      </c>
      <c r="E334" s="24" t="str">
        <f ca="1">VLOOKUP($A334,OFFSET([2]characters!$A$1,0,0,COUNTA([2]characters!$A:$A),MATCH(E$1,[2]characters!$1:$1,0)-MATCH($A$1,[2]characters!$1:$1,0)+1),MATCH(E$1,[2]characters!$1:$1,0)-MATCH($A$1,[2]characters!$1:$1,0)+1,FALSE)</f>
        <v>格好いい</v>
      </c>
      <c r="F334" s="24" t="str">
        <f ca="1">VLOOKUP($A334,OFFSET([2]characters!$A$1,0,0,COUNTA([2]characters!$A:$A),MATCH(F$1,[2]characters!$1:$1,0)-MATCH($A$1,[2]characters!$1:$1,0)+1),MATCH(F$1,[2]characters!$1:$1,0)-MATCH($A$1,[2]characters!$1:$1,0)+1,FALSE)</f>
        <v>男性</v>
      </c>
      <c r="G334" s="24">
        <f ca="1">VLOOKUP($A334,OFFSET([2]characters!$A$1,0,0,COUNTA([2]characters!$A:$A),MATCH(G$1,[2]characters!$1:$1,0)-MATCH($A$1,[2]characters!$1:$1,0)+1),MATCH(G$1,[2]characters!$1:$1,0)-MATCH($A$1,[2]characters!$1:$1,0)+1,FALSE)</f>
        <v>4</v>
      </c>
      <c r="H334" s="24" t="str">
        <f ca="1">VLOOKUP($A334,OFFSET([2]characters!$A$1,0,0,COUNTA([2]characters!$A:$A),MATCH(H$1,[2]characters!$1:$1,0)-MATCH($A$1,[2]characters!$1:$1,0)+1),MATCH(H$1,[2]characters!$1:$1,0)-MATCH($A$1,[2]characters!$1:$1,0)+1,FALSE)</f>
        <v>PremiumSS</v>
      </c>
      <c r="I334" s="24" t="str">
        <f ca="1">VLOOKUP($A334,OFFSET([2]characters!$A$1,0,0,COUNTA([2]characters!$A:$A),MATCH(I$1,[2]characters!$1:$1,0)-MATCH($A$1,[2]characters!$1:$1,0)+1),MATCH(I$1,[2]characters!$1:$1,0)-MATCH($A$1,[2]characters!$1:$1,0)+1,FALSE)</f>
        <v>green</v>
      </c>
      <c r="J334" s="24" t="str">
        <f ca="1">VLOOKUP($A334,OFFSET([2]characters!$A$1,0,0,COUNTA([2]characters!$A:$A),MATCH(J$1,[2]characters!$1:$1,0)-MATCH($A$1,[2]characters!$1:$1,0)+1),MATCH(J$1,[2]characters!$1:$1,0)-MATCH($A$1,[2]characters!$1:$1,0)+1,FALSE)</f>
        <v>unknown</v>
      </c>
      <c r="K334" s="3" t="str">
        <f ca="1">VLOOKUP(J334,[2]character_tribe_i18n!$A:$H,3,FALSE)</f>
        <v>Unknown</v>
      </c>
      <c r="L334" s="5" t="e">
        <f>VLOOKUP(#REF!,[2]character_tribe_i18n!$A:$H,4,FALSE)</f>
        <v>#REF!</v>
      </c>
      <c r="M334" s="5" t="e">
        <f>VLOOKUP(#REF!,[2]character_tribe_i18n!$A:$H,5,FALSE)</f>
        <v>#REF!</v>
      </c>
      <c r="N334" s="5" t="e">
        <f>VLOOKUP(#REF!,[2]character_tribe_i18n!$A:$H,6,FALSE)</f>
        <v>#REF!</v>
      </c>
      <c r="O334" s="5" t="e">
        <f>VLOOKUP(#REF!,[2]character_tribe_i18n!$A:$H,7,FALSE)</f>
        <v>#REF!</v>
      </c>
      <c r="P334" s="83" t="s">
        <v>170</v>
      </c>
      <c r="Q334">
        <v>661</v>
      </c>
      <c r="R334" s="25" t="str">
        <f ca="1">IF(Q334="NULL","",VLOOKUP($Q334,OFFSET([2]characters!$A$1,0,0,COUNTA([2]characters!$A:$A),MATCH(R$1,[2]characters!$1:$1,0)-MATCH($A$1,[2]characters!$1:$1,0)+1),MATCH(R$1,[2]characters!$1:$1,0)-MATCH($A$1,[2]characters!$1:$1,0)+1,FALSE))</f>
        <v>疾風の天狗礫 フウガ</v>
      </c>
      <c r="S334" s="3">
        <f t="shared" ca="1" si="8"/>
        <v>660</v>
      </c>
      <c r="T334" s="25" t="str">
        <f ca="1">VLOOKUP($S334,OFFSET([2]characters!$A$1,0,0,COUNTA([2]characters!$A:$A),MATCH(T$1,[2]characters!$1:$1,0)-MATCH($A$1,[2]characters!$1:$1,0)+1),MATCH(T$1,[2]characters!$1:$1,0)-MATCH($A$1,[2]characters!$1:$1,0)+1,FALSE)</f>
        <v>烏天狗 フウガ</v>
      </c>
      <c r="U334" s="5">
        <f ca="1">IF(Q334="NULL","NULL",VLOOKUP(G334,ビット!$A$2:$B$7,2))</f>
        <v>50000</v>
      </c>
      <c r="V334">
        <v>50000</v>
      </c>
      <c r="W334" s="6" t="str">
        <f t="shared" ca="1" si="9"/>
        <v>TRUE</v>
      </c>
    </row>
    <row r="335" spans="1:23" ht="21" customHeight="1" x14ac:dyDescent="0.15">
      <c r="A335" s="84">
        <v>662</v>
      </c>
      <c r="B335" s="24" t="str">
        <f ca="1">VLOOKUP($A335,OFFSET([2]characters!$A$1,0,0,COUNTA([2]characters!$A:$A),MATCH(B$1,[2]characters!$1:$1,0)-MATCH($A$1,[2]characters!$1:$1,0)+1),MATCH(B$1,[2]characters!$1:$1,0)-MATCH($A$1,[2]characters!$1:$1,0)+1,FALSE)</f>
        <v>ダイダラ</v>
      </c>
      <c r="C335" s="24" t="str">
        <f ca="1">VLOOKUP($A335,OFFSET([2]characters!$A$1,0,0,COUNTA([2]characters!$A:$A),MATCH(C$1,[2]characters!$1:$1,0)-MATCH($A$1,[2]characters!$1:$1,0)+1),MATCH(C$1,[2]characters!$1:$1,0)-MATCH($A$1,[2]characters!$1:$1,0)+1,FALSE)</f>
        <v>ガチャ:妖怪01</v>
      </c>
      <c r="D335" s="24" t="str">
        <f ca="1">VLOOKUP($A335,OFFSET([2]characters!$A$1,0,0,COUNTA([2]characters!$A:$A),MATCH(D$1,[2]characters!$1:$1,0)-MATCH($A$1,[2]characters!$1:$1,0)+1),MATCH(D$1,[2]characters!$1:$1,0)-MATCH($A$1,[2]characters!$1:$1,0)+1,FALSE)</f>
        <v>執行者</v>
      </c>
      <c r="E335" s="24" t="str">
        <f ca="1">VLOOKUP($A335,OFFSET([2]characters!$A$1,0,0,COUNTA([2]characters!$A:$A),MATCH(E$1,[2]characters!$1:$1,0)-MATCH($A$1,[2]characters!$1:$1,0)+1),MATCH(E$1,[2]characters!$1:$1,0)-MATCH($A$1,[2]characters!$1:$1,0)+1,FALSE)</f>
        <v>格好いい</v>
      </c>
      <c r="F335" s="24" t="str">
        <f ca="1">VLOOKUP($A335,OFFSET([2]characters!$A$1,0,0,COUNTA([2]characters!$A:$A),MATCH(F$1,[2]characters!$1:$1,0)-MATCH($A$1,[2]characters!$1:$1,0)+1),MATCH(F$1,[2]characters!$1:$1,0)-MATCH($A$1,[2]characters!$1:$1,0)+1,FALSE)</f>
        <v>不明</v>
      </c>
      <c r="G335" s="24">
        <f ca="1">VLOOKUP($A335,OFFSET([2]characters!$A$1,0,0,COUNTA([2]characters!$A:$A),MATCH(G$1,[2]characters!$1:$1,0)-MATCH($A$1,[2]characters!$1:$1,0)+1),MATCH(G$1,[2]characters!$1:$1,0)-MATCH($A$1,[2]characters!$1:$1,0)+1,FALSE)</f>
        <v>3</v>
      </c>
      <c r="H335" s="24" t="str">
        <f ca="1">VLOOKUP($A335,OFFSET([2]characters!$A$1,0,0,COUNTA([2]characters!$A:$A),MATCH(H$1,[2]characters!$1:$1,0)-MATCH($A$1,[2]characters!$1:$1,0)+1),MATCH(H$1,[2]characters!$1:$1,0)-MATCH($A$1,[2]characters!$1:$1,0)+1,FALSE)</f>
        <v>PremiumS</v>
      </c>
      <c r="I335" s="24" t="str">
        <f ca="1">VLOOKUP($A335,OFFSET([2]characters!$A$1,0,0,COUNTA([2]characters!$A:$A),MATCH(I$1,[2]characters!$1:$1,0)-MATCH($A$1,[2]characters!$1:$1,0)+1),MATCH(I$1,[2]characters!$1:$1,0)-MATCH($A$1,[2]characters!$1:$1,0)+1,FALSE)</f>
        <v>blue</v>
      </c>
      <c r="J335" s="24" t="str">
        <f ca="1">VLOOKUP($A335,OFFSET([2]characters!$A$1,0,0,COUNTA([2]characters!$A:$A),MATCH(J$1,[2]characters!$1:$1,0)-MATCH($A$1,[2]characters!$1:$1,0)+1),MATCH(J$1,[2]characters!$1:$1,0)-MATCH($A$1,[2]characters!$1:$1,0)+1,FALSE)</f>
        <v>none</v>
      </c>
      <c r="K335" s="3" t="str">
        <f ca="1">VLOOKUP(J335,[2]character_tribe_i18n!$A:$H,3,FALSE)</f>
        <v>種族なし</v>
      </c>
      <c r="L335" s="5" t="e">
        <f>VLOOKUP(#REF!,[2]character_tribe_i18n!$A:$H,4,FALSE)</f>
        <v>#REF!</v>
      </c>
      <c r="M335" s="5" t="e">
        <f>VLOOKUP(#REF!,[2]character_tribe_i18n!$A:$H,5,FALSE)</f>
        <v>#REF!</v>
      </c>
      <c r="N335" s="5" t="e">
        <f>VLOOKUP(#REF!,[2]character_tribe_i18n!$A:$H,6,FALSE)</f>
        <v>#REF!</v>
      </c>
      <c r="O335" s="5" t="e">
        <f>VLOOKUP(#REF!,[2]character_tribe_i18n!$A:$H,7,FALSE)</f>
        <v>#REF!</v>
      </c>
      <c r="P335" s="83" t="s">
        <v>170</v>
      </c>
      <c r="Q335">
        <v>663</v>
      </c>
      <c r="R335" s="25" t="str">
        <f ca="1">IF(Q335="NULL","",VLOOKUP($Q335,OFFSET([2]characters!$A$1,0,0,COUNTA([2]characters!$A:$A),MATCH(R$1,[2]characters!$1:$1,0)-MATCH($A$1,[2]characters!$1:$1,0)+1),MATCH(R$1,[2]characters!$1:$1,0)-MATCH($A$1,[2]characters!$1:$1,0)+1,FALSE))</f>
        <v>都揺らす地響き ダイダラ</v>
      </c>
      <c r="S335" s="3">
        <f t="shared" ca="1" si="8"/>
        <v>662</v>
      </c>
      <c r="T335" s="25" t="str">
        <f ca="1">VLOOKUP($S335,OFFSET([2]characters!$A$1,0,0,COUNTA([2]characters!$A:$A),MATCH(T$1,[2]characters!$1:$1,0)-MATCH($A$1,[2]characters!$1:$1,0)+1),MATCH(T$1,[2]characters!$1:$1,0)-MATCH($A$1,[2]characters!$1:$1,0)+1,FALSE)</f>
        <v>ダイダラ</v>
      </c>
      <c r="U335" s="5">
        <f ca="1">IF(Q335="NULL","NULL",VLOOKUP(G335,ビット!$A$2:$B$7,2))</f>
        <v>20000</v>
      </c>
      <c r="V335">
        <v>20000</v>
      </c>
      <c r="W335" s="6" t="str">
        <f t="shared" ca="1" si="9"/>
        <v>TRUE</v>
      </c>
    </row>
    <row r="336" spans="1:23" ht="21" customHeight="1" x14ac:dyDescent="0.15">
      <c r="A336" s="84">
        <v>663</v>
      </c>
      <c r="B336" s="24" t="str">
        <f ca="1">VLOOKUP($A336,OFFSET([2]characters!$A$1,0,0,COUNTA([2]characters!$A:$A),MATCH(B$1,[2]characters!$1:$1,0)-MATCH($A$1,[2]characters!$1:$1,0)+1),MATCH(B$1,[2]characters!$1:$1,0)-MATCH($A$1,[2]characters!$1:$1,0)+1,FALSE)</f>
        <v>都揺らす地響き ダイダラ</v>
      </c>
      <c r="C336" s="24" t="str">
        <f ca="1">VLOOKUP($A336,OFFSET([2]characters!$A$1,0,0,COUNTA([2]characters!$A:$A),MATCH(C$1,[2]characters!$1:$1,0)-MATCH($A$1,[2]characters!$1:$1,0)+1),MATCH(C$1,[2]characters!$1:$1,0)-MATCH($A$1,[2]characters!$1:$1,0)+1,FALSE)</f>
        <v>ガチャ:妖怪01</v>
      </c>
      <c r="D336" s="24" t="str">
        <f ca="1">VLOOKUP($A336,OFFSET([2]characters!$A$1,0,0,COUNTA([2]characters!$A:$A),MATCH(D$1,[2]characters!$1:$1,0)-MATCH($A$1,[2]characters!$1:$1,0)+1),MATCH(D$1,[2]characters!$1:$1,0)-MATCH($A$1,[2]characters!$1:$1,0)+1,FALSE)</f>
        <v>執行者</v>
      </c>
      <c r="E336" s="24" t="str">
        <f ca="1">VLOOKUP($A336,OFFSET([2]characters!$A$1,0,0,COUNTA([2]characters!$A:$A),MATCH(E$1,[2]characters!$1:$1,0)-MATCH($A$1,[2]characters!$1:$1,0)+1),MATCH(E$1,[2]characters!$1:$1,0)-MATCH($A$1,[2]characters!$1:$1,0)+1,FALSE)</f>
        <v>格好いい</v>
      </c>
      <c r="F336" s="24" t="str">
        <f ca="1">VLOOKUP($A336,OFFSET([2]characters!$A$1,0,0,COUNTA([2]characters!$A:$A),MATCH(F$1,[2]characters!$1:$1,0)-MATCH($A$1,[2]characters!$1:$1,0)+1),MATCH(F$1,[2]characters!$1:$1,0)-MATCH($A$1,[2]characters!$1:$1,0)+1,FALSE)</f>
        <v>不明</v>
      </c>
      <c r="G336" s="24">
        <f ca="1">VLOOKUP($A336,OFFSET([2]characters!$A$1,0,0,COUNTA([2]characters!$A:$A),MATCH(G$1,[2]characters!$1:$1,0)-MATCH($A$1,[2]characters!$1:$1,0)+1),MATCH(G$1,[2]characters!$1:$1,0)-MATCH($A$1,[2]characters!$1:$1,0)+1,FALSE)</f>
        <v>4</v>
      </c>
      <c r="H336" s="24" t="str">
        <f ca="1">VLOOKUP($A336,OFFSET([2]characters!$A$1,0,0,COUNTA([2]characters!$A:$A),MATCH(H$1,[2]characters!$1:$1,0)-MATCH($A$1,[2]characters!$1:$1,0)+1),MATCH(H$1,[2]characters!$1:$1,0)-MATCH($A$1,[2]characters!$1:$1,0)+1,FALSE)</f>
        <v>PremiumS</v>
      </c>
      <c r="I336" s="24" t="str">
        <f ca="1">VLOOKUP($A336,OFFSET([2]characters!$A$1,0,0,COUNTA([2]characters!$A:$A),MATCH(I$1,[2]characters!$1:$1,0)-MATCH($A$1,[2]characters!$1:$1,0)+1),MATCH(I$1,[2]characters!$1:$1,0)-MATCH($A$1,[2]characters!$1:$1,0)+1,FALSE)</f>
        <v>blue</v>
      </c>
      <c r="J336" s="24" t="str">
        <f ca="1">VLOOKUP($A336,OFFSET([2]characters!$A$1,0,0,COUNTA([2]characters!$A:$A),MATCH(J$1,[2]characters!$1:$1,0)-MATCH($A$1,[2]characters!$1:$1,0)+1),MATCH(J$1,[2]characters!$1:$1,0)-MATCH($A$1,[2]characters!$1:$1,0)+1,FALSE)</f>
        <v>none</v>
      </c>
      <c r="K336" s="3" t="str">
        <f ca="1">VLOOKUP(J336,[2]character_tribe_i18n!$A:$H,3,FALSE)</f>
        <v>種族なし</v>
      </c>
      <c r="L336" s="5" t="e">
        <f>VLOOKUP(#REF!,[2]character_tribe_i18n!$A:$H,4,FALSE)</f>
        <v>#REF!</v>
      </c>
      <c r="M336" s="5" t="e">
        <f>VLOOKUP(#REF!,[2]character_tribe_i18n!$A:$H,5,FALSE)</f>
        <v>#REF!</v>
      </c>
      <c r="N336" s="5" t="e">
        <f>VLOOKUP(#REF!,[2]character_tribe_i18n!$A:$H,6,FALSE)</f>
        <v>#REF!</v>
      </c>
      <c r="O336" s="5" t="e">
        <f>VLOOKUP(#REF!,[2]character_tribe_i18n!$A:$H,7,FALSE)</f>
        <v>#REF!</v>
      </c>
      <c r="P336" s="83" t="s">
        <v>170</v>
      </c>
      <c r="Q336">
        <v>664</v>
      </c>
      <c r="R336" s="25" t="str">
        <f ca="1">IF(Q336="NULL","",VLOOKUP($Q336,OFFSET([2]characters!$A$1,0,0,COUNTA([2]characters!$A:$A),MATCH(R$1,[2]characters!$1:$1,0)-MATCH($A$1,[2]characters!$1:$1,0)+1),MATCH(R$1,[2]characters!$1:$1,0)-MATCH($A$1,[2]characters!$1:$1,0)+1,FALSE))</f>
        <v>山掴み国造り ダイダラ</v>
      </c>
      <c r="S336" s="3">
        <f t="shared" ca="1" si="8"/>
        <v>662</v>
      </c>
      <c r="T336" s="25" t="str">
        <f ca="1">VLOOKUP($S336,OFFSET([2]characters!$A$1,0,0,COUNTA([2]characters!$A:$A),MATCH(T$1,[2]characters!$1:$1,0)-MATCH($A$1,[2]characters!$1:$1,0)+1),MATCH(T$1,[2]characters!$1:$1,0)-MATCH($A$1,[2]characters!$1:$1,0)+1,FALSE)</f>
        <v>ダイダラ</v>
      </c>
      <c r="U336" s="5">
        <f ca="1">IF(Q336="NULL","NULL",VLOOKUP(G336,ビット!$A$2:$B$7,2))</f>
        <v>50000</v>
      </c>
      <c r="V336">
        <v>50000</v>
      </c>
      <c r="W336" s="6" t="str">
        <f t="shared" ca="1" si="9"/>
        <v>TRUE</v>
      </c>
    </row>
    <row r="337" spans="1:23" ht="21" customHeight="1" x14ac:dyDescent="0.15">
      <c r="A337" s="84">
        <v>665</v>
      </c>
      <c r="B337" s="24" t="str">
        <f ca="1">VLOOKUP($A337,OFFSET([2]characters!$A$1,0,0,COUNTA([2]characters!$A:$A),MATCH(B$1,[2]characters!$1:$1,0)-MATCH($A$1,[2]characters!$1:$1,0)+1),MATCH(B$1,[2]characters!$1:$1,0)-MATCH($A$1,[2]characters!$1:$1,0)+1,FALSE)</f>
        <v>座敷童子 テマリ</v>
      </c>
      <c r="C337" s="24" t="str">
        <f ca="1">VLOOKUP($A337,OFFSET([2]characters!$A$1,0,0,COUNTA([2]characters!$A:$A),MATCH(C$1,[2]characters!$1:$1,0)-MATCH($A$1,[2]characters!$1:$1,0)+1),MATCH(C$1,[2]characters!$1:$1,0)-MATCH($A$1,[2]characters!$1:$1,0)+1,FALSE)</f>
        <v>ガチャ:妖怪01</v>
      </c>
      <c r="D337" s="24" t="str">
        <f ca="1">VLOOKUP($A337,OFFSET([2]characters!$A$1,0,0,COUNTA([2]characters!$A:$A),MATCH(D$1,[2]characters!$1:$1,0)-MATCH($A$1,[2]characters!$1:$1,0)+1),MATCH(D$1,[2]characters!$1:$1,0)-MATCH($A$1,[2]characters!$1:$1,0)+1,FALSE)</f>
        <v>執行者</v>
      </c>
      <c r="E337" s="24" t="str">
        <f ca="1">VLOOKUP($A337,OFFSET([2]characters!$A$1,0,0,COUNTA([2]characters!$A:$A),MATCH(E$1,[2]characters!$1:$1,0)-MATCH($A$1,[2]characters!$1:$1,0)+1),MATCH(E$1,[2]characters!$1:$1,0)-MATCH($A$1,[2]characters!$1:$1,0)+1,FALSE)</f>
        <v>格好いい</v>
      </c>
      <c r="F337" s="24" t="str">
        <f ca="1">VLOOKUP($A337,OFFSET([2]characters!$A$1,0,0,COUNTA([2]characters!$A:$A),MATCH(F$1,[2]characters!$1:$1,0)-MATCH($A$1,[2]characters!$1:$1,0)+1),MATCH(F$1,[2]characters!$1:$1,0)-MATCH($A$1,[2]characters!$1:$1,0)+1,FALSE)</f>
        <v>女性</v>
      </c>
      <c r="G337" s="24">
        <f ca="1">VLOOKUP($A337,OFFSET([2]characters!$A$1,0,0,COUNTA([2]characters!$A:$A),MATCH(G$1,[2]characters!$1:$1,0)-MATCH($A$1,[2]characters!$1:$1,0)+1),MATCH(G$1,[2]characters!$1:$1,0)-MATCH($A$1,[2]characters!$1:$1,0)+1,FALSE)</f>
        <v>3</v>
      </c>
      <c r="H337" s="24" t="str">
        <f ca="1">VLOOKUP($A337,OFFSET([2]characters!$A$1,0,0,COUNTA([2]characters!$A:$A),MATCH(H$1,[2]characters!$1:$1,0)-MATCH($A$1,[2]characters!$1:$1,0)+1),MATCH(H$1,[2]characters!$1:$1,0)-MATCH($A$1,[2]characters!$1:$1,0)+1,FALSE)</f>
        <v>PremiumS</v>
      </c>
      <c r="I337" s="24" t="str">
        <f ca="1">VLOOKUP($A337,OFFSET([2]characters!$A$1,0,0,COUNTA([2]characters!$A:$A),MATCH(I$1,[2]characters!$1:$1,0)-MATCH($A$1,[2]characters!$1:$1,0)+1),MATCH(I$1,[2]characters!$1:$1,0)-MATCH($A$1,[2]characters!$1:$1,0)+1,FALSE)</f>
        <v>yellow</v>
      </c>
      <c r="J337" s="24" t="str">
        <f ca="1">VLOOKUP($A337,OFFSET([2]characters!$A$1,0,0,COUNTA([2]characters!$A:$A),MATCH(J$1,[2]characters!$1:$1,0)-MATCH($A$1,[2]characters!$1:$1,0)+1),MATCH(J$1,[2]characters!$1:$1,0)-MATCH($A$1,[2]characters!$1:$1,0)+1,FALSE)</f>
        <v>none</v>
      </c>
      <c r="K337" s="3" t="str">
        <f ca="1">VLOOKUP(J337,[2]character_tribe_i18n!$A:$H,3,FALSE)</f>
        <v>種族なし</v>
      </c>
      <c r="L337" s="5" t="e">
        <f>VLOOKUP(#REF!,[2]character_tribe_i18n!$A:$H,4,FALSE)</f>
        <v>#REF!</v>
      </c>
      <c r="M337" s="5" t="e">
        <f>VLOOKUP(#REF!,[2]character_tribe_i18n!$A:$H,5,FALSE)</f>
        <v>#REF!</v>
      </c>
      <c r="N337" s="5" t="e">
        <f>VLOOKUP(#REF!,[2]character_tribe_i18n!$A:$H,6,FALSE)</f>
        <v>#REF!</v>
      </c>
      <c r="O337" s="5" t="e">
        <f>VLOOKUP(#REF!,[2]character_tribe_i18n!$A:$H,7,FALSE)</f>
        <v>#REF!</v>
      </c>
      <c r="P337" s="83" t="s">
        <v>170</v>
      </c>
      <c r="Q337">
        <v>666</v>
      </c>
      <c r="R337" s="25" t="str">
        <f ca="1">IF(Q337="NULL","",VLOOKUP($Q337,OFFSET([2]characters!$A$1,0,0,COUNTA([2]characters!$A:$A),MATCH(R$1,[2]characters!$1:$1,0)-MATCH($A$1,[2]characters!$1:$1,0)+1),MATCH(R$1,[2]characters!$1:$1,0)-MATCH($A$1,[2]characters!$1:$1,0)+1,FALSE))</f>
        <v>拡散する幸福 テマリ</v>
      </c>
      <c r="S337" s="3">
        <f t="shared" ca="1" si="8"/>
        <v>665</v>
      </c>
      <c r="T337" s="25" t="str">
        <f ca="1">VLOOKUP($S337,OFFSET([2]characters!$A$1,0,0,COUNTA([2]characters!$A:$A),MATCH(T$1,[2]characters!$1:$1,0)-MATCH($A$1,[2]characters!$1:$1,0)+1),MATCH(T$1,[2]characters!$1:$1,0)-MATCH($A$1,[2]characters!$1:$1,0)+1,FALSE)</f>
        <v>座敷童子 テマリ</v>
      </c>
      <c r="U337" s="5">
        <f ca="1">IF(Q337="NULL","NULL",VLOOKUP(G337,ビット!$A$2:$B$7,2))</f>
        <v>20000</v>
      </c>
      <c r="V337">
        <v>20000</v>
      </c>
      <c r="W337" s="6" t="str">
        <f t="shared" ca="1" si="9"/>
        <v>TRUE</v>
      </c>
    </row>
    <row r="338" spans="1:23" ht="21" customHeight="1" x14ac:dyDescent="0.15">
      <c r="A338" s="84">
        <v>666</v>
      </c>
      <c r="B338" s="24" t="str">
        <f ca="1">VLOOKUP($A338,OFFSET([2]characters!$A$1,0,0,COUNTA([2]characters!$A:$A),MATCH(B$1,[2]characters!$1:$1,0)-MATCH($A$1,[2]characters!$1:$1,0)+1),MATCH(B$1,[2]characters!$1:$1,0)-MATCH($A$1,[2]characters!$1:$1,0)+1,FALSE)</f>
        <v>拡散する幸福 テマリ</v>
      </c>
      <c r="C338" s="24" t="str">
        <f ca="1">VLOOKUP($A338,OFFSET([2]characters!$A$1,0,0,COUNTA([2]characters!$A:$A),MATCH(C$1,[2]characters!$1:$1,0)-MATCH($A$1,[2]characters!$1:$1,0)+1),MATCH(C$1,[2]characters!$1:$1,0)-MATCH($A$1,[2]characters!$1:$1,0)+1,FALSE)</f>
        <v>ガチャ:妖怪01</v>
      </c>
      <c r="D338" s="24" t="str">
        <f ca="1">VLOOKUP($A338,OFFSET([2]characters!$A$1,0,0,COUNTA([2]characters!$A:$A),MATCH(D$1,[2]characters!$1:$1,0)-MATCH($A$1,[2]characters!$1:$1,0)+1),MATCH(D$1,[2]characters!$1:$1,0)-MATCH($A$1,[2]characters!$1:$1,0)+1,FALSE)</f>
        <v>執行者</v>
      </c>
      <c r="E338" s="24" t="str">
        <f ca="1">VLOOKUP($A338,OFFSET([2]characters!$A$1,0,0,COUNTA([2]characters!$A:$A),MATCH(E$1,[2]characters!$1:$1,0)-MATCH($A$1,[2]characters!$1:$1,0)+1),MATCH(E$1,[2]characters!$1:$1,0)-MATCH($A$1,[2]characters!$1:$1,0)+1,FALSE)</f>
        <v>格好いい</v>
      </c>
      <c r="F338" s="24" t="str">
        <f ca="1">VLOOKUP($A338,OFFSET([2]characters!$A$1,0,0,COUNTA([2]characters!$A:$A),MATCH(F$1,[2]characters!$1:$1,0)-MATCH($A$1,[2]characters!$1:$1,0)+1),MATCH(F$1,[2]characters!$1:$1,0)-MATCH($A$1,[2]characters!$1:$1,0)+1,FALSE)</f>
        <v>女性</v>
      </c>
      <c r="G338" s="24">
        <f ca="1">VLOOKUP($A338,OFFSET([2]characters!$A$1,0,0,COUNTA([2]characters!$A:$A),MATCH(G$1,[2]characters!$1:$1,0)-MATCH($A$1,[2]characters!$1:$1,0)+1),MATCH(G$1,[2]characters!$1:$1,0)-MATCH($A$1,[2]characters!$1:$1,0)+1,FALSE)</f>
        <v>4</v>
      </c>
      <c r="H338" s="24" t="str">
        <f ca="1">VLOOKUP($A338,OFFSET([2]characters!$A$1,0,0,COUNTA([2]characters!$A:$A),MATCH(H$1,[2]characters!$1:$1,0)-MATCH($A$1,[2]characters!$1:$1,0)+1),MATCH(H$1,[2]characters!$1:$1,0)-MATCH($A$1,[2]characters!$1:$1,0)+1,FALSE)</f>
        <v>PremiumS</v>
      </c>
      <c r="I338" s="24" t="str">
        <f ca="1">VLOOKUP($A338,OFFSET([2]characters!$A$1,0,0,COUNTA([2]characters!$A:$A),MATCH(I$1,[2]characters!$1:$1,0)-MATCH($A$1,[2]characters!$1:$1,0)+1),MATCH(I$1,[2]characters!$1:$1,0)-MATCH($A$1,[2]characters!$1:$1,0)+1,FALSE)</f>
        <v>yellow</v>
      </c>
      <c r="J338" s="24" t="str">
        <f ca="1">VLOOKUP($A338,OFFSET([2]characters!$A$1,0,0,COUNTA([2]characters!$A:$A),MATCH(J$1,[2]characters!$1:$1,0)-MATCH($A$1,[2]characters!$1:$1,0)+1),MATCH(J$1,[2]characters!$1:$1,0)-MATCH($A$1,[2]characters!$1:$1,0)+1,FALSE)</f>
        <v>none</v>
      </c>
      <c r="K338" s="3" t="str">
        <f ca="1">VLOOKUP(J338,[2]character_tribe_i18n!$A:$H,3,FALSE)</f>
        <v>種族なし</v>
      </c>
      <c r="L338" s="5" t="e">
        <f>VLOOKUP(#REF!,[2]character_tribe_i18n!$A:$H,4,FALSE)</f>
        <v>#REF!</v>
      </c>
      <c r="M338" s="5" t="e">
        <f>VLOOKUP(#REF!,[2]character_tribe_i18n!$A:$H,5,FALSE)</f>
        <v>#REF!</v>
      </c>
      <c r="N338" s="5" t="e">
        <f>VLOOKUP(#REF!,[2]character_tribe_i18n!$A:$H,6,FALSE)</f>
        <v>#REF!</v>
      </c>
      <c r="O338" s="5" t="e">
        <f>VLOOKUP(#REF!,[2]character_tribe_i18n!$A:$H,7,FALSE)</f>
        <v>#REF!</v>
      </c>
      <c r="P338" s="83" t="s">
        <v>170</v>
      </c>
      <c r="Q338">
        <v>667</v>
      </c>
      <c r="R338" s="25" t="str">
        <f ca="1">IF(Q338="NULL","",VLOOKUP($Q338,OFFSET([2]characters!$A$1,0,0,COUNTA([2]characters!$A:$A),MATCH(R$1,[2]characters!$1:$1,0)-MATCH($A$1,[2]characters!$1:$1,0)+1),MATCH(R$1,[2]characters!$1:$1,0)-MATCH($A$1,[2]characters!$1:$1,0)+1,FALSE))</f>
        <v>最幸運の妖童 テマリ</v>
      </c>
      <c r="S338" s="3">
        <f t="shared" ca="1" si="8"/>
        <v>665</v>
      </c>
      <c r="T338" s="25" t="str">
        <f ca="1">VLOOKUP($S338,OFFSET([2]characters!$A$1,0,0,COUNTA([2]characters!$A:$A),MATCH(T$1,[2]characters!$1:$1,0)-MATCH($A$1,[2]characters!$1:$1,0)+1),MATCH(T$1,[2]characters!$1:$1,0)-MATCH($A$1,[2]characters!$1:$1,0)+1,FALSE)</f>
        <v>座敷童子 テマリ</v>
      </c>
      <c r="U338" s="5">
        <f ca="1">IF(Q338="NULL","NULL",VLOOKUP(G338,ビット!$A$2:$B$7,2))</f>
        <v>50000</v>
      </c>
      <c r="V338">
        <v>50000</v>
      </c>
      <c r="W338" s="6" t="str">
        <f t="shared" ca="1" si="9"/>
        <v>TRUE</v>
      </c>
    </row>
    <row r="339" spans="1:23" ht="21" customHeight="1" x14ac:dyDescent="0.15">
      <c r="A339" s="84">
        <v>668</v>
      </c>
      <c r="B339" s="24" t="str">
        <f ca="1">VLOOKUP($A339,OFFSET([2]characters!$A$1,0,0,COUNTA([2]characters!$A:$A),MATCH(B$1,[2]characters!$1:$1,0)-MATCH($A$1,[2]characters!$1:$1,0)+1),MATCH(B$1,[2]characters!$1:$1,0)-MATCH($A$1,[2]characters!$1:$1,0)+1,FALSE)</f>
        <v>アグニ</v>
      </c>
      <c r="C339" s="24" t="str">
        <f ca="1">VLOOKUP($A339,OFFSET([2]characters!$A$1,0,0,COUNTA([2]characters!$A:$A),MATCH(C$1,[2]characters!$1:$1,0)-MATCH($A$1,[2]characters!$1:$1,0)+1),MATCH(C$1,[2]characters!$1:$1,0)-MATCH($A$1,[2]characters!$1:$1,0)+1,FALSE)</f>
        <v>ガチャ:ヒンドゥ-01</v>
      </c>
      <c r="D339" s="24" t="str">
        <f ca="1">VLOOKUP($A339,OFFSET([2]characters!$A$1,0,0,COUNTA([2]characters!$A:$A),MATCH(D$1,[2]characters!$1:$1,0)-MATCH($A$1,[2]characters!$1:$1,0)+1),MATCH(D$1,[2]characters!$1:$1,0)-MATCH($A$1,[2]characters!$1:$1,0)+1,FALSE)</f>
        <v>執行者</v>
      </c>
      <c r="E339" s="24" t="str">
        <f ca="1">VLOOKUP($A339,OFFSET([2]characters!$A$1,0,0,COUNTA([2]characters!$A:$A),MATCH(E$1,[2]characters!$1:$1,0)-MATCH($A$1,[2]characters!$1:$1,0)+1),MATCH(E$1,[2]characters!$1:$1,0)-MATCH($A$1,[2]characters!$1:$1,0)+1,FALSE)</f>
        <v>格好いい</v>
      </c>
      <c r="F339" s="24" t="str">
        <f ca="1">VLOOKUP($A339,OFFSET([2]characters!$A$1,0,0,COUNTA([2]characters!$A:$A),MATCH(F$1,[2]characters!$1:$1,0)-MATCH($A$1,[2]characters!$1:$1,0)+1),MATCH(F$1,[2]characters!$1:$1,0)-MATCH($A$1,[2]characters!$1:$1,0)+1,FALSE)</f>
        <v>男性</v>
      </c>
      <c r="G339" s="24">
        <f ca="1">VLOOKUP($A339,OFFSET([2]characters!$A$1,0,0,COUNTA([2]characters!$A:$A),MATCH(G$1,[2]characters!$1:$1,0)-MATCH($A$1,[2]characters!$1:$1,0)+1),MATCH(G$1,[2]characters!$1:$1,0)-MATCH($A$1,[2]characters!$1:$1,0)+1,FALSE)</f>
        <v>3</v>
      </c>
      <c r="H339" s="24" t="str">
        <f ca="1">VLOOKUP($A339,OFFSET([2]characters!$A$1,0,0,COUNTA([2]characters!$A:$A),MATCH(H$1,[2]characters!$1:$1,0)-MATCH($A$1,[2]characters!$1:$1,0)+1),MATCH(H$1,[2]characters!$1:$1,0)-MATCH($A$1,[2]characters!$1:$1,0)+1,FALSE)</f>
        <v>PremiumS</v>
      </c>
      <c r="I339" s="24" t="str">
        <f ca="1">VLOOKUP($A339,OFFSET([2]characters!$A$1,0,0,COUNTA([2]characters!$A:$A),MATCH(I$1,[2]characters!$1:$1,0)-MATCH($A$1,[2]characters!$1:$1,0)+1),MATCH(I$1,[2]characters!$1:$1,0)-MATCH($A$1,[2]characters!$1:$1,0)+1,FALSE)</f>
        <v>red</v>
      </c>
      <c r="J339" s="24" t="str">
        <f ca="1">VLOOKUP($A339,OFFSET([2]characters!$A$1,0,0,COUNTA([2]characters!$A:$A),MATCH(J$1,[2]characters!$1:$1,0)-MATCH($A$1,[2]characters!$1:$1,0)+1),MATCH(J$1,[2]characters!$1:$1,0)-MATCH($A$1,[2]characters!$1:$1,0)+1,FALSE)</f>
        <v>none</v>
      </c>
      <c r="K339" s="3" t="str">
        <f ca="1">VLOOKUP(J339,[2]character_tribe_i18n!$A:$H,3,FALSE)</f>
        <v>種族なし</v>
      </c>
      <c r="L339" s="5" t="e">
        <f>VLOOKUP(#REF!,[2]character_tribe_i18n!$A:$H,4,FALSE)</f>
        <v>#REF!</v>
      </c>
      <c r="M339" s="5" t="e">
        <f>VLOOKUP(#REF!,[2]character_tribe_i18n!$A:$H,5,FALSE)</f>
        <v>#REF!</v>
      </c>
      <c r="N339" s="5" t="e">
        <f>VLOOKUP(#REF!,[2]character_tribe_i18n!$A:$H,6,FALSE)</f>
        <v>#REF!</v>
      </c>
      <c r="O339" s="5" t="e">
        <f>VLOOKUP(#REF!,[2]character_tribe_i18n!$A:$H,7,FALSE)</f>
        <v>#REF!</v>
      </c>
      <c r="P339" s="83" t="s">
        <v>170</v>
      </c>
      <c r="Q339">
        <v>669</v>
      </c>
      <c r="R339" s="25" t="str">
        <f ca="1">IF(Q339="NULL","",VLOOKUP($Q339,OFFSET([2]characters!$A$1,0,0,COUNTA([2]characters!$A:$A),MATCH(R$1,[2]characters!$1:$1,0)-MATCH($A$1,[2]characters!$1:$1,0)+1),MATCH(R$1,[2]characters!$1:$1,0)-MATCH($A$1,[2]characters!$1:$1,0)+1,FALSE))</f>
        <v>天地の仲界 アグニ</v>
      </c>
      <c r="S339" s="3">
        <f t="shared" ca="1" si="8"/>
        <v>668</v>
      </c>
      <c r="T339" s="25" t="str">
        <f ca="1">VLOOKUP($S339,OFFSET([2]characters!$A$1,0,0,COUNTA([2]characters!$A:$A),MATCH(T$1,[2]characters!$1:$1,0)-MATCH($A$1,[2]characters!$1:$1,0)+1),MATCH(T$1,[2]characters!$1:$1,0)-MATCH($A$1,[2]characters!$1:$1,0)+1,FALSE)</f>
        <v>アグニ</v>
      </c>
      <c r="U339" s="5">
        <f ca="1">IF(Q339="NULL","NULL",VLOOKUP(G339,ビット!$A$2:$B$7,2))</f>
        <v>20000</v>
      </c>
      <c r="V339">
        <v>20000</v>
      </c>
      <c r="W339" s="6" t="str">
        <f t="shared" ca="1" si="9"/>
        <v>TRUE</v>
      </c>
    </row>
    <row r="340" spans="1:23" ht="21" customHeight="1" x14ac:dyDescent="0.15">
      <c r="A340" s="84">
        <v>669</v>
      </c>
      <c r="B340" s="24" t="str">
        <f ca="1">VLOOKUP($A340,OFFSET([2]characters!$A$1,0,0,COUNTA([2]characters!$A:$A),MATCH(B$1,[2]characters!$1:$1,0)-MATCH($A$1,[2]characters!$1:$1,0)+1),MATCH(B$1,[2]characters!$1:$1,0)-MATCH($A$1,[2]characters!$1:$1,0)+1,FALSE)</f>
        <v>天地の仲界 アグニ</v>
      </c>
      <c r="C340" s="24" t="str">
        <f ca="1">VLOOKUP($A340,OFFSET([2]characters!$A$1,0,0,COUNTA([2]characters!$A:$A),MATCH(C$1,[2]characters!$1:$1,0)-MATCH($A$1,[2]characters!$1:$1,0)+1),MATCH(C$1,[2]characters!$1:$1,0)-MATCH($A$1,[2]characters!$1:$1,0)+1,FALSE)</f>
        <v>ガチャ:ヒンドゥ-01</v>
      </c>
      <c r="D340" s="24" t="str">
        <f ca="1">VLOOKUP($A340,OFFSET([2]characters!$A$1,0,0,COUNTA([2]characters!$A:$A),MATCH(D$1,[2]characters!$1:$1,0)-MATCH($A$1,[2]characters!$1:$1,0)+1),MATCH(D$1,[2]characters!$1:$1,0)-MATCH($A$1,[2]characters!$1:$1,0)+1,FALSE)</f>
        <v>執行者</v>
      </c>
      <c r="E340" s="24" t="str">
        <f ca="1">VLOOKUP($A340,OFFSET([2]characters!$A$1,0,0,COUNTA([2]characters!$A:$A),MATCH(E$1,[2]characters!$1:$1,0)-MATCH($A$1,[2]characters!$1:$1,0)+1),MATCH(E$1,[2]characters!$1:$1,0)-MATCH($A$1,[2]characters!$1:$1,0)+1,FALSE)</f>
        <v>格好いい</v>
      </c>
      <c r="F340" s="24" t="str">
        <f ca="1">VLOOKUP($A340,OFFSET([2]characters!$A$1,0,0,COUNTA([2]characters!$A:$A),MATCH(F$1,[2]characters!$1:$1,0)-MATCH($A$1,[2]characters!$1:$1,0)+1),MATCH(F$1,[2]characters!$1:$1,0)-MATCH($A$1,[2]characters!$1:$1,0)+1,FALSE)</f>
        <v>男性</v>
      </c>
      <c r="G340" s="24">
        <f ca="1">VLOOKUP($A340,OFFSET([2]characters!$A$1,0,0,COUNTA([2]characters!$A:$A),MATCH(G$1,[2]characters!$1:$1,0)-MATCH($A$1,[2]characters!$1:$1,0)+1),MATCH(G$1,[2]characters!$1:$1,0)-MATCH($A$1,[2]characters!$1:$1,0)+1,FALSE)</f>
        <v>4</v>
      </c>
      <c r="H340" s="24" t="str">
        <f ca="1">VLOOKUP($A340,OFFSET([2]characters!$A$1,0,0,COUNTA([2]characters!$A:$A),MATCH(H$1,[2]characters!$1:$1,0)-MATCH($A$1,[2]characters!$1:$1,0)+1),MATCH(H$1,[2]characters!$1:$1,0)-MATCH($A$1,[2]characters!$1:$1,0)+1,FALSE)</f>
        <v>PremiumS</v>
      </c>
      <c r="I340" s="24" t="str">
        <f ca="1">VLOOKUP($A340,OFFSET([2]characters!$A$1,0,0,COUNTA([2]characters!$A:$A),MATCH(I$1,[2]characters!$1:$1,0)-MATCH($A$1,[2]characters!$1:$1,0)+1),MATCH(I$1,[2]characters!$1:$1,0)-MATCH($A$1,[2]characters!$1:$1,0)+1,FALSE)</f>
        <v>red</v>
      </c>
      <c r="J340" s="24" t="str">
        <f ca="1">VLOOKUP($A340,OFFSET([2]characters!$A$1,0,0,COUNTA([2]characters!$A:$A),MATCH(J$1,[2]characters!$1:$1,0)-MATCH($A$1,[2]characters!$1:$1,0)+1),MATCH(J$1,[2]characters!$1:$1,0)-MATCH($A$1,[2]characters!$1:$1,0)+1,FALSE)</f>
        <v>none</v>
      </c>
      <c r="K340" s="3" t="str">
        <f ca="1">VLOOKUP(J340,[2]character_tribe_i18n!$A:$H,3,FALSE)</f>
        <v>種族なし</v>
      </c>
      <c r="L340" s="5" t="e">
        <f>VLOOKUP(#REF!,[2]character_tribe_i18n!$A:$H,4,FALSE)</f>
        <v>#REF!</v>
      </c>
      <c r="M340" s="5" t="e">
        <f>VLOOKUP(#REF!,[2]character_tribe_i18n!$A:$H,5,FALSE)</f>
        <v>#REF!</v>
      </c>
      <c r="N340" s="5" t="e">
        <f>VLOOKUP(#REF!,[2]character_tribe_i18n!$A:$H,6,FALSE)</f>
        <v>#REF!</v>
      </c>
      <c r="O340" s="5" t="e">
        <f>VLOOKUP(#REF!,[2]character_tribe_i18n!$A:$H,7,FALSE)</f>
        <v>#REF!</v>
      </c>
      <c r="P340" s="83" t="s">
        <v>170</v>
      </c>
      <c r="Q340">
        <v>670</v>
      </c>
      <c r="R340" s="25" t="str">
        <f ca="1">IF(Q340="NULL","",VLOOKUP($Q340,OFFSET([2]characters!$A$1,0,0,COUNTA([2]characters!$A:$A),MATCH(R$1,[2]characters!$1:$1,0)-MATCH($A$1,[2]characters!$1:$1,0)+1),MATCH(R$1,[2]characters!$1:$1,0)-MATCH($A$1,[2]characters!$1:$1,0)+1,FALSE))</f>
        <v>陽天の噴煙 アグニ</v>
      </c>
      <c r="S340" s="3">
        <f t="shared" ca="1" si="8"/>
        <v>668</v>
      </c>
      <c r="T340" s="25" t="str">
        <f ca="1">VLOOKUP($S340,OFFSET([2]characters!$A$1,0,0,COUNTA([2]characters!$A:$A),MATCH(T$1,[2]characters!$1:$1,0)-MATCH($A$1,[2]characters!$1:$1,0)+1),MATCH(T$1,[2]characters!$1:$1,0)-MATCH($A$1,[2]characters!$1:$1,0)+1,FALSE)</f>
        <v>アグニ</v>
      </c>
      <c r="U340" s="5">
        <f ca="1">IF(Q340="NULL","NULL",VLOOKUP(G340,ビット!$A$2:$B$7,2))</f>
        <v>50000</v>
      </c>
      <c r="V340">
        <v>50000</v>
      </c>
      <c r="W340" s="6" t="str">
        <f t="shared" ca="1" si="9"/>
        <v>TRUE</v>
      </c>
    </row>
    <row r="341" spans="1:23" ht="21" customHeight="1" x14ac:dyDescent="0.15">
      <c r="A341" s="84">
        <v>671</v>
      </c>
      <c r="B341" s="24" t="str">
        <f ca="1">VLOOKUP($A341,OFFSET([2]characters!$A$1,0,0,COUNTA([2]characters!$A:$A),MATCH(B$1,[2]characters!$1:$1,0)-MATCH($A$1,[2]characters!$1:$1,0)+1),MATCH(B$1,[2]characters!$1:$1,0)-MATCH($A$1,[2]characters!$1:$1,0)+1,FALSE)</f>
        <v>ハヌマーン</v>
      </c>
      <c r="C341" s="24" t="str">
        <f ca="1">VLOOKUP($A341,OFFSET([2]characters!$A$1,0,0,COUNTA([2]characters!$A:$A),MATCH(C$1,[2]characters!$1:$1,0)-MATCH($A$1,[2]characters!$1:$1,0)+1),MATCH(C$1,[2]characters!$1:$1,0)-MATCH($A$1,[2]characters!$1:$1,0)+1,FALSE)</f>
        <v>ガチャ:ヒンドゥ-01</v>
      </c>
      <c r="D341" s="24" t="str">
        <f ca="1">VLOOKUP($A341,OFFSET([2]characters!$A$1,0,0,COUNTA([2]characters!$A:$A),MATCH(D$1,[2]characters!$1:$1,0)-MATCH($A$1,[2]characters!$1:$1,0)+1),MATCH(D$1,[2]characters!$1:$1,0)-MATCH($A$1,[2]characters!$1:$1,0)+1,FALSE)</f>
        <v>執行者</v>
      </c>
      <c r="E341" s="24" t="str">
        <f ca="1">VLOOKUP($A341,OFFSET([2]characters!$A$1,0,0,COUNTA([2]characters!$A:$A),MATCH(E$1,[2]characters!$1:$1,0)-MATCH($A$1,[2]characters!$1:$1,0)+1),MATCH(E$1,[2]characters!$1:$1,0)-MATCH($A$1,[2]characters!$1:$1,0)+1,FALSE)</f>
        <v>格好いい</v>
      </c>
      <c r="F341" s="24" t="str">
        <f ca="1">VLOOKUP($A341,OFFSET([2]characters!$A$1,0,0,COUNTA([2]characters!$A:$A),MATCH(F$1,[2]characters!$1:$1,0)-MATCH($A$1,[2]characters!$1:$1,0)+1),MATCH(F$1,[2]characters!$1:$1,0)-MATCH($A$1,[2]characters!$1:$1,0)+1,FALSE)</f>
        <v>男性</v>
      </c>
      <c r="G341" s="24">
        <f ca="1">VLOOKUP($A341,OFFSET([2]characters!$A$1,0,0,COUNTA([2]characters!$A:$A),MATCH(G$1,[2]characters!$1:$1,0)-MATCH($A$1,[2]characters!$1:$1,0)+1),MATCH(G$1,[2]characters!$1:$1,0)-MATCH($A$1,[2]characters!$1:$1,0)+1,FALSE)</f>
        <v>3</v>
      </c>
      <c r="H341" s="24" t="str">
        <f ca="1">VLOOKUP($A341,OFFSET([2]characters!$A$1,0,0,COUNTA([2]characters!$A:$A),MATCH(H$1,[2]characters!$1:$1,0)-MATCH($A$1,[2]characters!$1:$1,0)+1),MATCH(H$1,[2]characters!$1:$1,0)-MATCH($A$1,[2]characters!$1:$1,0)+1,FALSE)</f>
        <v>PremiumS</v>
      </c>
      <c r="I341" s="24" t="str">
        <f ca="1">VLOOKUP($A341,OFFSET([2]characters!$A$1,0,0,COUNTA([2]characters!$A:$A),MATCH(I$1,[2]characters!$1:$1,0)-MATCH($A$1,[2]characters!$1:$1,0)+1),MATCH(I$1,[2]characters!$1:$1,0)-MATCH($A$1,[2]characters!$1:$1,0)+1,FALSE)</f>
        <v>green</v>
      </c>
      <c r="J341" s="24" t="str">
        <f ca="1">VLOOKUP($A341,OFFSET([2]characters!$A$1,0,0,COUNTA([2]characters!$A:$A),MATCH(J$1,[2]characters!$1:$1,0)-MATCH($A$1,[2]characters!$1:$1,0)+1),MATCH(J$1,[2]characters!$1:$1,0)-MATCH($A$1,[2]characters!$1:$1,0)+1,FALSE)</f>
        <v>none</v>
      </c>
      <c r="K341" s="3" t="str">
        <f ca="1">VLOOKUP(J341,[2]character_tribe_i18n!$A:$H,3,FALSE)</f>
        <v>種族なし</v>
      </c>
      <c r="L341" s="5" t="e">
        <f>VLOOKUP(#REF!,[2]character_tribe_i18n!$A:$H,4,FALSE)</f>
        <v>#REF!</v>
      </c>
      <c r="M341" s="5" t="e">
        <f>VLOOKUP(#REF!,[2]character_tribe_i18n!$A:$H,5,FALSE)</f>
        <v>#REF!</v>
      </c>
      <c r="N341" s="5" t="e">
        <f>VLOOKUP(#REF!,[2]character_tribe_i18n!$A:$H,6,FALSE)</f>
        <v>#REF!</v>
      </c>
      <c r="O341" s="5" t="e">
        <f>VLOOKUP(#REF!,[2]character_tribe_i18n!$A:$H,7,FALSE)</f>
        <v>#REF!</v>
      </c>
      <c r="P341" s="83" t="s">
        <v>170</v>
      </c>
      <c r="Q341">
        <v>672</v>
      </c>
      <c r="R341" s="25" t="str">
        <f ca="1">IF(Q341="NULL","",VLOOKUP($Q341,OFFSET([2]characters!$A$1,0,0,COUNTA([2]characters!$A:$A),MATCH(R$1,[2]characters!$1:$1,0)-MATCH($A$1,[2]characters!$1:$1,0)+1),MATCH(R$1,[2]characters!$1:$1,0)-MATCH($A$1,[2]characters!$1:$1,0)+1,FALSE))</f>
        <v>西遊韋駄天 ハヌマーン</v>
      </c>
      <c r="S341" s="3">
        <f t="shared" ca="1" si="8"/>
        <v>671</v>
      </c>
      <c r="T341" s="25" t="str">
        <f ca="1">VLOOKUP($S341,OFFSET([2]characters!$A$1,0,0,COUNTA([2]characters!$A:$A),MATCH(T$1,[2]characters!$1:$1,0)-MATCH($A$1,[2]characters!$1:$1,0)+1),MATCH(T$1,[2]characters!$1:$1,0)-MATCH($A$1,[2]characters!$1:$1,0)+1,FALSE)</f>
        <v>ハヌマーン</v>
      </c>
      <c r="U341" s="5">
        <f ca="1">IF(Q341="NULL","NULL",VLOOKUP(G341,ビット!$A$2:$B$7,2))</f>
        <v>20000</v>
      </c>
      <c r="V341">
        <v>20000</v>
      </c>
      <c r="W341" s="6" t="str">
        <f t="shared" ca="1" si="9"/>
        <v>TRUE</v>
      </c>
    </row>
    <row r="342" spans="1:23" ht="21" customHeight="1" x14ac:dyDescent="0.15">
      <c r="A342" s="84">
        <v>672</v>
      </c>
      <c r="B342" s="24" t="str">
        <f ca="1">VLOOKUP($A342,OFFSET([2]characters!$A$1,0,0,COUNTA([2]characters!$A:$A),MATCH(B$1,[2]characters!$1:$1,0)-MATCH($A$1,[2]characters!$1:$1,0)+1),MATCH(B$1,[2]characters!$1:$1,0)-MATCH($A$1,[2]characters!$1:$1,0)+1,FALSE)</f>
        <v>西遊韋駄天 ハヌマーン</v>
      </c>
      <c r="C342" s="24" t="str">
        <f ca="1">VLOOKUP($A342,OFFSET([2]characters!$A$1,0,0,COUNTA([2]characters!$A:$A),MATCH(C$1,[2]characters!$1:$1,0)-MATCH($A$1,[2]characters!$1:$1,0)+1),MATCH(C$1,[2]characters!$1:$1,0)-MATCH($A$1,[2]characters!$1:$1,0)+1,FALSE)</f>
        <v>ガチャ:ヒンドゥ-01</v>
      </c>
      <c r="D342" s="24" t="str">
        <f ca="1">VLOOKUP($A342,OFFSET([2]characters!$A$1,0,0,COUNTA([2]characters!$A:$A),MATCH(D$1,[2]characters!$1:$1,0)-MATCH($A$1,[2]characters!$1:$1,0)+1),MATCH(D$1,[2]characters!$1:$1,0)-MATCH($A$1,[2]characters!$1:$1,0)+1,FALSE)</f>
        <v>執行者</v>
      </c>
      <c r="E342" s="24" t="str">
        <f ca="1">VLOOKUP($A342,OFFSET([2]characters!$A$1,0,0,COUNTA([2]characters!$A:$A),MATCH(E$1,[2]characters!$1:$1,0)-MATCH($A$1,[2]characters!$1:$1,0)+1),MATCH(E$1,[2]characters!$1:$1,0)-MATCH($A$1,[2]characters!$1:$1,0)+1,FALSE)</f>
        <v>格好いい</v>
      </c>
      <c r="F342" s="24" t="str">
        <f ca="1">VLOOKUP($A342,OFFSET([2]characters!$A$1,0,0,COUNTA([2]characters!$A:$A),MATCH(F$1,[2]characters!$1:$1,0)-MATCH($A$1,[2]characters!$1:$1,0)+1),MATCH(F$1,[2]characters!$1:$1,0)-MATCH($A$1,[2]characters!$1:$1,0)+1,FALSE)</f>
        <v>男性</v>
      </c>
      <c r="G342" s="24">
        <f ca="1">VLOOKUP($A342,OFFSET([2]characters!$A$1,0,0,COUNTA([2]characters!$A:$A),MATCH(G$1,[2]characters!$1:$1,0)-MATCH($A$1,[2]characters!$1:$1,0)+1),MATCH(G$1,[2]characters!$1:$1,0)-MATCH($A$1,[2]characters!$1:$1,0)+1,FALSE)</f>
        <v>4</v>
      </c>
      <c r="H342" s="24" t="str">
        <f ca="1">VLOOKUP($A342,OFFSET([2]characters!$A$1,0,0,COUNTA([2]characters!$A:$A),MATCH(H$1,[2]characters!$1:$1,0)-MATCH($A$1,[2]characters!$1:$1,0)+1),MATCH(H$1,[2]characters!$1:$1,0)-MATCH($A$1,[2]characters!$1:$1,0)+1,FALSE)</f>
        <v>PremiumS</v>
      </c>
      <c r="I342" s="24" t="str">
        <f ca="1">VLOOKUP($A342,OFFSET([2]characters!$A$1,0,0,COUNTA([2]characters!$A:$A),MATCH(I$1,[2]characters!$1:$1,0)-MATCH($A$1,[2]characters!$1:$1,0)+1),MATCH(I$1,[2]characters!$1:$1,0)-MATCH($A$1,[2]characters!$1:$1,0)+1,FALSE)</f>
        <v>green</v>
      </c>
      <c r="J342" s="24" t="str">
        <f ca="1">VLOOKUP($A342,OFFSET([2]characters!$A$1,0,0,COUNTA([2]characters!$A:$A),MATCH(J$1,[2]characters!$1:$1,0)-MATCH($A$1,[2]characters!$1:$1,0)+1),MATCH(J$1,[2]characters!$1:$1,0)-MATCH($A$1,[2]characters!$1:$1,0)+1,FALSE)</f>
        <v>none</v>
      </c>
      <c r="K342" s="3" t="str">
        <f ca="1">VLOOKUP(J342,[2]character_tribe_i18n!$A:$H,3,FALSE)</f>
        <v>種族なし</v>
      </c>
      <c r="L342" s="5" t="e">
        <f>VLOOKUP(#REF!,[2]character_tribe_i18n!$A:$H,4,FALSE)</f>
        <v>#REF!</v>
      </c>
      <c r="M342" s="5" t="e">
        <f>VLOOKUP(#REF!,[2]character_tribe_i18n!$A:$H,5,FALSE)</f>
        <v>#REF!</v>
      </c>
      <c r="N342" s="5" t="e">
        <f>VLOOKUP(#REF!,[2]character_tribe_i18n!$A:$H,6,FALSE)</f>
        <v>#REF!</v>
      </c>
      <c r="O342" s="5" t="e">
        <f>VLOOKUP(#REF!,[2]character_tribe_i18n!$A:$H,7,FALSE)</f>
        <v>#REF!</v>
      </c>
      <c r="P342" s="83" t="s">
        <v>170</v>
      </c>
      <c r="Q342">
        <v>673</v>
      </c>
      <c r="R342" s="25" t="str">
        <f ca="1">IF(Q342="NULL","",VLOOKUP($Q342,OFFSET([2]characters!$A$1,0,0,COUNTA([2]characters!$A:$A),MATCH(R$1,[2]characters!$1:$1,0)-MATCH($A$1,[2]characters!$1:$1,0)+1),MATCH(R$1,[2]characters!$1:$1,0)-MATCH($A$1,[2]characters!$1:$1,0)+1,FALSE))</f>
        <v>変幻自在の猿王 ハヌマーン</v>
      </c>
      <c r="S342" s="3">
        <f t="shared" ca="1" si="8"/>
        <v>671</v>
      </c>
      <c r="T342" s="25" t="str">
        <f ca="1">VLOOKUP($S342,OFFSET([2]characters!$A$1,0,0,COUNTA([2]characters!$A:$A),MATCH(T$1,[2]characters!$1:$1,0)-MATCH($A$1,[2]characters!$1:$1,0)+1),MATCH(T$1,[2]characters!$1:$1,0)-MATCH($A$1,[2]characters!$1:$1,0)+1,FALSE)</f>
        <v>ハヌマーン</v>
      </c>
      <c r="U342" s="5">
        <f ca="1">IF(Q342="NULL","NULL",VLOOKUP(G342,ビット!$A$2:$B$7,2))</f>
        <v>50000</v>
      </c>
      <c r="V342">
        <v>50000</v>
      </c>
      <c r="W342" s="6" t="str">
        <f t="shared" ca="1" si="9"/>
        <v>TRUE</v>
      </c>
    </row>
    <row r="343" spans="1:23" ht="21" customHeight="1" x14ac:dyDescent="0.15">
      <c r="A343" s="84">
        <v>674</v>
      </c>
      <c r="B343" s="24" t="str">
        <f ca="1">VLOOKUP($A343,OFFSET([2]characters!$A$1,0,0,COUNTA([2]characters!$A:$A),MATCH(B$1,[2]characters!$1:$1,0)-MATCH($A$1,[2]characters!$1:$1,0)+1),MATCH(B$1,[2]characters!$1:$1,0)-MATCH($A$1,[2]characters!$1:$1,0)+1,FALSE)</f>
        <v>サラスヴァティ</v>
      </c>
      <c r="C343" s="24" t="str">
        <f ca="1">VLOOKUP($A343,OFFSET([2]characters!$A$1,0,0,COUNTA([2]characters!$A:$A),MATCH(C$1,[2]characters!$1:$1,0)-MATCH($A$1,[2]characters!$1:$1,0)+1),MATCH(C$1,[2]characters!$1:$1,0)-MATCH($A$1,[2]characters!$1:$1,0)+1,FALSE)</f>
        <v>ガチャ:ヒンドゥ-01</v>
      </c>
      <c r="D343" s="24" t="str">
        <f ca="1">VLOOKUP($A343,OFFSET([2]characters!$A$1,0,0,COUNTA([2]characters!$A:$A),MATCH(D$1,[2]characters!$1:$1,0)-MATCH($A$1,[2]characters!$1:$1,0)+1),MATCH(D$1,[2]characters!$1:$1,0)-MATCH($A$1,[2]characters!$1:$1,0)+1,FALSE)</f>
        <v>執行者</v>
      </c>
      <c r="E343" s="24" t="str">
        <f ca="1">VLOOKUP($A343,OFFSET([2]characters!$A$1,0,0,COUNTA([2]characters!$A:$A),MATCH(E$1,[2]characters!$1:$1,0)-MATCH($A$1,[2]characters!$1:$1,0)+1),MATCH(E$1,[2]characters!$1:$1,0)-MATCH($A$1,[2]characters!$1:$1,0)+1,FALSE)</f>
        <v>格好いい</v>
      </c>
      <c r="F343" s="24" t="str">
        <f ca="1">VLOOKUP($A343,OFFSET([2]characters!$A$1,0,0,COUNTA([2]characters!$A:$A),MATCH(F$1,[2]characters!$1:$1,0)-MATCH($A$1,[2]characters!$1:$1,0)+1),MATCH(F$1,[2]characters!$1:$1,0)-MATCH($A$1,[2]characters!$1:$1,0)+1,FALSE)</f>
        <v>女性</v>
      </c>
      <c r="G343" s="24">
        <f ca="1">VLOOKUP($A343,OFFSET([2]characters!$A$1,0,0,COUNTA([2]characters!$A:$A),MATCH(G$1,[2]characters!$1:$1,0)-MATCH($A$1,[2]characters!$1:$1,0)+1),MATCH(G$1,[2]characters!$1:$1,0)-MATCH($A$1,[2]characters!$1:$1,0)+1,FALSE)</f>
        <v>4</v>
      </c>
      <c r="H343" s="24" t="str">
        <f ca="1">VLOOKUP($A343,OFFSET([2]characters!$A$1,0,0,COUNTA([2]characters!$A:$A),MATCH(H$1,[2]characters!$1:$1,0)-MATCH($A$1,[2]characters!$1:$1,0)+1),MATCH(H$1,[2]characters!$1:$1,0)-MATCH($A$1,[2]characters!$1:$1,0)+1,FALSE)</f>
        <v>PremiumSS</v>
      </c>
      <c r="I343" s="24" t="str">
        <f ca="1">VLOOKUP($A343,OFFSET([2]characters!$A$1,0,0,COUNTA([2]characters!$A:$A),MATCH(I$1,[2]characters!$1:$1,0)-MATCH($A$1,[2]characters!$1:$1,0)+1),MATCH(I$1,[2]characters!$1:$1,0)-MATCH($A$1,[2]characters!$1:$1,0)+1,FALSE)</f>
        <v>blue</v>
      </c>
      <c r="J343" s="24" t="str">
        <f ca="1">VLOOKUP($A343,OFFSET([2]characters!$A$1,0,0,COUNTA([2]characters!$A:$A),MATCH(J$1,[2]characters!$1:$1,0)-MATCH($A$1,[2]characters!$1:$1,0)+1),MATCH(J$1,[2]characters!$1:$1,0)-MATCH($A$1,[2]characters!$1:$1,0)+1,FALSE)</f>
        <v>none</v>
      </c>
      <c r="K343" s="3" t="str">
        <f ca="1">VLOOKUP(J343,[2]character_tribe_i18n!$A:$H,3,FALSE)</f>
        <v>種族なし</v>
      </c>
      <c r="L343" s="5" t="e">
        <f>VLOOKUP(#REF!,[2]character_tribe_i18n!$A:$H,4,FALSE)</f>
        <v>#REF!</v>
      </c>
      <c r="M343" s="5" t="e">
        <f>VLOOKUP(#REF!,[2]character_tribe_i18n!$A:$H,5,FALSE)</f>
        <v>#REF!</v>
      </c>
      <c r="N343" s="5" t="e">
        <f>VLOOKUP(#REF!,[2]character_tribe_i18n!$A:$H,6,FALSE)</f>
        <v>#REF!</v>
      </c>
      <c r="O343" s="5" t="e">
        <f>VLOOKUP(#REF!,[2]character_tribe_i18n!$A:$H,7,FALSE)</f>
        <v>#REF!</v>
      </c>
      <c r="P343" s="83" t="s">
        <v>170</v>
      </c>
      <c r="Q343">
        <v>675</v>
      </c>
      <c r="R343" s="25" t="str">
        <f ca="1">IF(Q343="NULL","",VLOOKUP($Q343,OFFSET([2]characters!$A$1,0,0,COUNTA([2]characters!$A:$A),MATCH(R$1,[2]characters!$1:$1,0)-MATCH($A$1,[2]characters!$1:$1,0)+1),MATCH(R$1,[2]characters!$1:$1,0)-MATCH($A$1,[2]characters!$1:$1,0)+1,FALSE))</f>
        <v>芸楽の奔流 サラスヴァティ</v>
      </c>
      <c r="S343" s="3">
        <f t="shared" ca="1" si="8"/>
        <v>674</v>
      </c>
      <c r="T343" s="25" t="str">
        <f ca="1">VLOOKUP($S343,OFFSET([2]characters!$A$1,0,0,COUNTA([2]characters!$A:$A),MATCH(T$1,[2]characters!$1:$1,0)-MATCH($A$1,[2]characters!$1:$1,0)+1),MATCH(T$1,[2]characters!$1:$1,0)-MATCH($A$1,[2]characters!$1:$1,0)+1,FALSE)</f>
        <v>サラスヴァティ</v>
      </c>
      <c r="U343" s="5">
        <f ca="1">IF(Q343="NULL","NULL",VLOOKUP(G343,ビット!$A$2:$B$7,2))</f>
        <v>50000</v>
      </c>
      <c r="V343">
        <v>50000</v>
      </c>
      <c r="W343" s="6" t="str">
        <f t="shared" ca="1" si="9"/>
        <v>TRUE</v>
      </c>
    </row>
    <row r="344" spans="1:23" ht="21" customHeight="1" x14ac:dyDescent="0.15">
      <c r="A344" s="84">
        <v>676</v>
      </c>
      <c r="B344" s="24" t="str">
        <f ca="1">VLOOKUP($A344,OFFSET([2]characters!$A$1,0,0,COUNTA([2]characters!$A:$A),MATCH(B$1,[2]characters!$1:$1,0)-MATCH($A$1,[2]characters!$1:$1,0)+1),MATCH(B$1,[2]characters!$1:$1,0)-MATCH($A$1,[2]characters!$1:$1,0)+1,FALSE)</f>
        <v>ヴィシュヌ</v>
      </c>
      <c r="C344" s="24" t="str">
        <f ca="1">VLOOKUP($A344,OFFSET([2]characters!$A$1,0,0,COUNTA([2]characters!$A:$A),MATCH(C$1,[2]characters!$1:$1,0)-MATCH($A$1,[2]characters!$1:$1,0)+1),MATCH(C$1,[2]characters!$1:$1,0)-MATCH($A$1,[2]characters!$1:$1,0)+1,FALSE)</f>
        <v>ガチャ:ヒンドゥ-01</v>
      </c>
      <c r="D344" s="24" t="str">
        <f ca="1">VLOOKUP($A344,OFFSET([2]characters!$A$1,0,0,COUNTA([2]characters!$A:$A),MATCH(D$1,[2]characters!$1:$1,0)-MATCH($A$1,[2]characters!$1:$1,0)+1),MATCH(D$1,[2]characters!$1:$1,0)-MATCH($A$1,[2]characters!$1:$1,0)+1,FALSE)</f>
        <v>執行者</v>
      </c>
      <c r="E344" s="24" t="str">
        <f ca="1">VLOOKUP($A344,OFFSET([2]characters!$A$1,0,0,COUNTA([2]characters!$A:$A),MATCH(E$1,[2]characters!$1:$1,0)-MATCH($A$1,[2]characters!$1:$1,0)+1),MATCH(E$1,[2]characters!$1:$1,0)-MATCH($A$1,[2]characters!$1:$1,0)+1,FALSE)</f>
        <v>格好いい</v>
      </c>
      <c r="F344" s="24" t="str">
        <f ca="1">VLOOKUP($A344,OFFSET([2]characters!$A$1,0,0,COUNTA([2]characters!$A:$A),MATCH(F$1,[2]characters!$1:$1,0)-MATCH($A$1,[2]characters!$1:$1,0)+1),MATCH(F$1,[2]characters!$1:$1,0)-MATCH($A$1,[2]characters!$1:$1,0)+1,FALSE)</f>
        <v>女性</v>
      </c>
      <c r="G344" s="24">
        <f ca="1">VLOOKUP($A344,OFFSET([2]characters!$A$1,0,0,COUNTA([2]characters!$A:$A),MATCH(G$1,[2]characters!$1:$1,0)-MATCH($A$1,[2]characters!$1:$1,0)+1),MATCH(G$1,[2]characters!$1:$1,0)-MATCH($A$1,[2]characters!$1:$1,0)+1,FALSE)</f>
        <v>4</v>
      </c>
      <c r="H344" s="24" t="str">
        <f ca="1">VLOOKUP($A344,OFFSET([2]characters!$A$1,0,0,COUNTA([2]characters!$A:$A),MATCH(H$1,[2]characters!$1:$1,0)-MATCH($A$1,[2]characters!$1:$1,0)+1),MATCH(H$1,[2]characters!$1:$1,0)-MATCH($A$1,[2]characters!$1:$1,0)+1,FALSE)</f>
        <v>PremiumSS</v>
      </c>
      <c r="I344" s="24" t="str">
        <f ca="1">VLOOKUP($A344,OFFSET([2]characters!$A$1,0,0,COUNTA([2]characters!$A:$A),MATCH(I$1,[2]characters!$1:$1,0)-MATCH($A$1,[2]characters!$1:$1,0)+1),MATCH(I$1,[2]characters!$1:$1,0)-MATCH($A$1,[2]characters!$1:$1,0)+1,FALSE)</f>
        <v>yellow</v>
      </c>
      <c r="J344" s="24" t="str">
        <f ca="1">VLOOKUP($A344,OFFSET([2]characters!$A$1,0,0,COUNTA([2]characters!$A:$A),MATCH(J$1,[2]characters!$1:$1,0)-MATCH($A$1,[2]characters!$1:$1,0)+1),MATCH(J$1,[2]characters!$1:$1,0)-MATCH($A$1,[2]characters!$1:$1,0)+1,FALSE)</f>
        <v>none</v>
      </c>
      <c r="K344" s="3" t="str">
        <f ca="1">VLOOKUP(J344,[2]character_tribe_i18n!$A:$H,3,FALSE)</f>
        <v>種族なし</v>
      </c>
      <c r="L344" s="5" t="e">
        <f>VLOOKUP(#REF!,[2]character_tribe_i18n!$A:$H,4,FALSE)</f>
        <v>#REF!</v>
      </c>
      <c r="M344" s="5" t="e">
        <f>VLOOKUP(#REF!,[2]character_tribe_i18n!$A:$H,5,FALSE)</f>
        <v>#REF!</v>
      </c>
      <c r="N344" s="5" t="e">
        <f>VLOOKUP(#REF!,[2]character_tribe_i18n!$A:$H,6,FALSE)</f>
        <v>#REF!</v>
      </c>
      <c r="O344" s="5" t="e">
        <f>VLOOKUP(#REF!,[2]character_tribe_i18n!$A:$H,7,FALSE)</f>
        <v>#REF!</v>
      </c>
      <c r="P344" s="83" t="s">
        <v>170</v>
      </c>
      <c r="Q344">
        <v>677</v>
      </c>
      <c r="R344" s="25" t="str">
        <f ca="1">IF(Q344="NULL","",VLOOKUP($Q344,OFFSET([2]characters!$A$1,0,0,COUNTA([2]characters!$A:$A),MATCH(R$1,[2]characters!$1:$1,0)-MATCH($A$1,[2]characters!$1:$1,0)+1),MATCH(R$1,[2]characters!$1:$1,0)-MATCH($A$1,[2]characters!$1:$1,0)+1,FALSE))</f>
        <v>武遊闊歩 ヴィシュヌ</v>
      </c>
      <c r="S344" s="3">
        <f t="shared" ca="1" si="8"/>
        <v>676</v>
      </c>
      <c r="T344" s="25" t="str">
        <f ca="1">VLOOKUP($S344,OFFSET([2]characters!$A$1,0,0,COUNTA([2]characters!$A:$A),MATCH(T$1,[2]characters!$1:$1,0)-MATCH($A$1,[2]characters!$1:$1,0)+1),MATCH(T$1,[2]characters!$1:$1,0)-MATCH($A$1,[2]characters!$1:$1,0)+1,FALSE)</f>
        <v>ヴィシュヌ</v>
      </c>
      <c r="U344" s="5">
        <f ca="1">IF(Q344="NULL","NULL",VLOOKUP(G344,ビット!$A$2:$B$7,2))</f>
        <v>50000</v>
      </c>
      <c r="V344">
        <v>50000</v>
      </c>
      <c r="W344" s="6" t="str">
        <f t="shared" ca="1" si="9"/>
        <v>TRUE</v>
      </c>
    </row>
    <row r="345" spans="1:23" ht="21" customHeight="1" x14ac:dyDescent="0.15">
      <c r="A345" s="84">
        <v>680</v>
      </c>
      <c r="B345" s="24" t="str">
        <f ca="1">VLOOKUP($A345,OFFSET([2]characters!$A$1,0,0,COUNTA([2]characters!$A:$A),MATCH(B$1,[2]characters!$1:$1,0)-MATCH($A$1,[2]characters!$1:$1,0)+1),MATCH(B$1,[2]characters!$1:$1,0)-MATCH($A$1,[2]characters!$1:$1,0)+1,FALSE)</f>
        <v>炎のプレゼントケロケロ</v>
      </c>
      <c r="C345" s="24" t="str">
        <f ca="1">VLOOKUP($A345,OFFSET([2]characters!$A$1,0,0,COUNTA([2]characters!$A:$A),MATCH(C$1,[2]characters!$1:$1,0)-MATCH($A$1,[2]characters!$1:$1,0)+1),MATCH(C$1,[2]characters!$1:$1,0)-MATCH($A$1,[2]characters!$1:$1,0)+1,FALSE)</f>
        <v>イベント;ホワイトデー2016</v>
      </c>
      <c r="D345" s="24" t="str">
        <f ca="1">VLOOKUP($A345,OFFSET([2]characters!$A$1,0,0,COUNTA([2]characters!$A:$A),MATCH(D$1,[2]characters!$1:$1,0)-MATCH($A$1,[2]characters!$1:$1,0)+1),MATCH(D$1,[2]characters!$1:$1,0)-MATCH($A$1,[2]characters!$1:$1,0)+1,FALSE)</f>
        <v>アリス</v>
      </c>
      <c r="E345" s="24" t="str">
        <f ca="1">VLOOKUP($A345,OFFSET([2]characters!$A$1,0,0,COUNTA([2]characters!$A:$A),MATCH(E$1,[2]characters!$1:$1,0)-MATCH($A$1,[2]characters!$1:$1,0)+1),MATCH(E$1,[2]characters!$1:$1,0)-MATCH($A$1,[2]characters!$1:$1,0)+1,FALSE)</f>
        <v>世界観</v>
      </c>
      <c r="F345" s="24" t="str">
        <f ca="1">VLOOKUP($A345,OFFSET([2]characters!$A$1,0,0,COUNTA([2]characters!$A:$A),MATCH(F$1,[2]characters!$1:$1,0)-MATCH($A$1,[2]characters!$1:$1,0)+1),MATCH(F$1,[2]characters!$1:$1,0)-MATCH($A$1,[2]characters!$1:$1,0)+1,FALSE)</f>
        <v>不明</v>
      </c>
      <c r="G345" s="24">
        <f ca="1">VLOOKUP($A345,OFFSET([2]characters!$A$1,0,0,COUNTA([2]characters!$A:$A),MATCH(G$1,[2]characters!$1:$1,0)-MATCH($A$1,[2]characters!$1:$1,0)+1),MATCH(G$1,[2]characters!$1:$1,0)-MATCH($A$1,[2]characters!$1:$1,0)+1,FALSE)</f>
        <v>5</v>
      </c>
      <c r="H345" s="24" t="str">
        <f ca="1">VLOOKUP($A345,OFFSET([2]characters!$A$1,0,0,COUNTA([2]characters!$A:$A),MATCH(H$1,[2]characters!$1:$1,0)-MATCH($A$1,[2]characters!$1:$1,0)+1),MATCH(H$1,[2]characters!$1:$1,0)-MATCH($A$1,[2]characters!$1:$1,0)+1,FALSE)</f>
        <v>Material</v>
      </c>
      <c r="I345" s="24" t="str">
        <f ca="1">VLOOKUP($A345,OFFSET([2]characters!$A$1,0,0,COUNTA([2]characters!$A:$A),MATCH(I$1,[2]characters!$1:$1,0)-MATCH($A$1,[2]characters!$1:$1,0)+1),MATCH(I$1,[2]characters!$1:$1,0)-MATCH($A$1,[2]characters!$1:$1,0)+1,FALSE)</f>
        <v>red</v>
      </c>
      <c r="J345" s="24" t="str">
        <f ca="1">VLOOKUP($A345,OFFSET([2]characters!$A$1,0,0,COUNTA([2]characters!$A:$A),MATCH(J$1,[2]characters!$1:$1,0)-MATCH($A$1,[2]characters!$1:$1,0)+1),MATCH(J$1,[2]characters!$1:$1,0)-MATCH($A$1,[2]characters!$1:$1,0)+1,FALSE)</f>
        <v>none</v>
      </c>
      <c r="K345" s="3" t="str">
        <f ca="1">VLOOKUP(J345,[2]character_tribe_i18n!$A:$H,3,FALSE)</f>
        <v>種族なし</v>
      </c>
      <c r="L345" s="5" t="e">
        <f>VLOOKUP(#REF!,[2]character_tribe_i18n!$A:$H,4,FALSE)</f>
        <v>#REF!</v>
      </c>
      <c r="M345" s="5" t="e">
        <f>VLOOKUP(#REF!,[2]character_tribe_i18n!$A:$H,5,FALSE)</f>
        <v>#REF!</v>
      </c>
      <c r="N345" s="5" t="e">
        <f>VLOOKUP(#REF!,[2]character_tribe_i18n!$A:$H,6,FALSE)</f>
        <v>#REF!</v>
      </c>
      <c r="O345" s="5" t="e">
        <f>VLOOKUP(#REF!,[2]character_tribe_i18n!$A:$H,7,FALSE)</f>
        <v>#REF!</v>
      </c>
      <c r="P345" s="83" t="s">
        <v>170</v>
      </c>
      <c r="Q345">
        <v>681</v>
      </c>
      <c r="R345" s="25" t="str">
        <f ca="1">IF(Q345="NULL","",VLOOKUP($Q345,OFFSET([2]characters!$A$1,0,0,COUNTA([2]characters!$A:$A),MATCH(R$1,[2]characters!$1:$1,0)-MATCH($A$1,[2]characters!$1:$1,0)+1),MATCH(R$1,[2]characters!$1:$1,0)-MATCH($A$1,[2]characters!$1:$1,0)+1,FALSE))</f>
        <v>炎のプレゼントフロッグ</v>
      </c>
      <c r="S345" s="3">
        <f t="shared" ca="1" si="8"/>
        <v>680</v>
      </c>
      <c r="T345" s="25" t="str">
        <f ca="1">VLOOKUP($S345,OFFSET([2]characters!$A$1,0,0,COUNTA([2]characters!$A:$A),MATCH(T$1,[2]characters!$1:$1,0)-MATCH($A$1,[2]characters!$1:$1,0)+1),MATCH(T$1,[2]characters!$1:$1,0)-MATCH($A$1,[2]characters!$1:$1,0)+1,FALSE)</f>
        <v>炎のプレゼントケロケロ</v>
      </c>
      <c r="U345" s="85">
        <v>10000</v>
      </c>
      <c r="V345">
        <v>10000</v>
      </c>
      <c r="W345" s="6" t="str">
        <f t="shared" si="9"/>
        <v>TRUE</v>
      </c>
    </row>
    <row r="346" spans="1:23" ht="21" customHeight="1" x14ac:dyDescent="0.15">
      <c r="A346" s="84">
        <v>682</v>
      </c>
      <c r="B346" s="24" t="str">
        <f ca="1">VLOOKUP($A346,OFFSET([2]characters!$A$1,0,0,COUNTA([2]characters!$A:$A),MATCH(B$1,[2]characters!$1:$1,0)-MATCH($A$1,[2]characters!$1:$1,0)+1),MATCH(B$1,[2]characters!$1:$1,0)-MATCH($A$1,[2]characters!$1:$1,0)+1,FALSE)</f>
        <v>森のプレゼントケロケロ</v>
      </c>
      <c r="C346" s="24" t="str">
        <f ca="1">VLOOKUP($A346,OFFSET([2]characters!$A$1,0,0,COUNTA([2]characters!$A:$A),MATCH(C$1,[2]characters!$1:$1,0)-MATCH($A$1,[2]characters!$1:$1,0)+1),MATCH(C$1,[2]characters!$1:$1,0)-MATCH($A$1,[2]characters!$1:$1,0)+1,FALSE)</f>
        <v>イベント;ホワイトデー2016</v>
      </c>
      <c r="D346" s="24" t="str">
        <f ca="1">VLOOKUP($A346,OFFSET([2]characters!$A$1,0,0,COUNTA([2]characters!$A:$A),MATCH(D$1,[2]characters!$1:$1,0)-MATCH($A$1,[2]characters!$1:$1,0)+1),MATCH(D$1,[2]characters!$1:$1,0)-MATCH($A$1,[2]characters!$1:$1,0)+1,FALSE)</f>
        <v>アリス</v>
      </c>
      <c r="E346" s="24" t="str">
        <f ca="1">VLOOKUP($A346,OFFSET([2]characters!$A$1,0,0,COUNTA([2]characters!$A:$A),MATCH(E$1,[2]characters!$1:$1,0)-MATCH($A$1,[2]characters!$1:$1,0)+1),MATCH(E$1,[2]characters!$1:$1,0)-MATCH($A$1,[2]characters!$1:$1,0)+1,FALSE)</f>
        <v>世界観</v>
      </c>
      <c r="F346" s="24" t="str">
        <f ca="1">VLOOKUP($A346,OFFSET([2]characters!$A$1,0,0,COUNTA([2]characters!$A:$A),MATCH(F$1,[2]characters!$1:$1,0)-MATCH($A$1,[2]characters!$1:$1,0)+1),MATCH(F$1,[2]characters!$1:$1,0)-MATCH($A$1,[2]characters!$1:$1,0)+1,FALSE)</f>
        <v>不明</v>
      </c>
      <c r="G346" s="24">
        <f ca="1">VLOOKUP($A346,OFFSET([2]characters!$A$1,0,0,COUNTA([2]characters!$A:$A),MATCH(G$1,[2]characters!$1:$1,0)-MATCH($A$1,[2]characters!$1:$1,0)+1),MATCH(G$1,[2]characters!$1:$1,0)-MATCH($A$1,[2]characters!$1:$1,0)+1,FALSE)</f>
        <v>5</v>
      </c>
      <c r="H346" s="24" t="str">
        <f ca="1">VLOOKUP($A346,OFFSET([2]characters!$A$1,0,0,COUNTA([2]characters!$A:$A),MATCH(H$1,[2]characters!$1:$1,0)-MATCH($A$1,[2]characters!$1:$1,0)+1),MATCH(H$1,[2]characters!$1:$1,0)-MATCH($A$1,[2]characters!$1:$1,0)+1,FALSE)</f>
        <v>Material</v>
      </c>
      <c r="I346" s="24" t="str">
        <f ca="1">VLOOKUP($A346,OFFSET([2]characters!$A$1,0,0,COUNTA([2]characters!$A:$A),MATCH(I$1,[2]characters!$1:$1,0)-MATCH($A$1,[2]characters!$1:$1,0)+1),MATCH(I$1,[2]characters!$1:$1,0)-MATCH($A$1,[2]characters!$1:$1,0)+1,FALSE)</f>
        <v>green</v>
      </c>
      <c r="J346" s="24" t="str">
        <f ca="1">VLOOKUP($A346,OFFSET([2]characters!$A$1,0,0,COUNTA([2]characters!$A:$A),MATCH(J$1,[2]characters!$1:$1,0)-MATCH($A$1,[2]characters!$1:$1,0)+1),MATCH(J$1,[2]characters!$1:$1,0)-MATCH($A$1,[2]characters!$1:$1,0)+1,FALSE)</f>
        <v>none</v>
      </c>
      <c r="K346" s="3" t="str">
        <f ca="1">VLOOKUP(J346,[2]character_tribe_i18n!$A:$H,3,FALSE)</f>
        <v>種族なし</v>
      </c>
      <c r="L346" s="5" t="e">
        <f>VLOOKUP(#REF!,[2]character_tribe_i18n!$A:$H,4,FALSE)</f>
        <v>#REF!</v>
      </c>
      <c r="M346" s="5" t="e">
        <f>VLOOKUP(#REF!,[2]character_tribe_i18n!$A:$H,5,FALSE)</f>
        <v>#REF!</v>
      </c>
      <c r="N346" s="5" t="e">
        <f>VLOOKUP(#REF!,[2]character_tribe_i18n!$A:$H,6,FALSE)</f>
        <v>#REF!</v>
      </c>
      <c r="O346" s="5" t="e">
        <f>VLOOKUP(#REF!,[2]character_tribe_i18n!$A:$H,7,FALSE)</f>
        <v>#REF!</v>
      </c>
      <c r="P346" s="83" t="s">
        <v>170</v>
      </c>
      <c r="Q346">
        <v>683</v>
      </c>
      <c r="R346" s="25" t="str">
        <f ca="1">IF(Q346="NULL","",VLOOKUP($Q346,OFFSET([2]characters!$A$1,0,0,COUNTA([2]characters!$A:$A),MATCH(R$1,[2]characters!$1:$1,0)-MATCH($A$1,[2]characters!$1:$1,0)+1),MATCH(R$1,[2]characters!$1:$1,0)-MATCH($A$1,[2]characters!$1:$1,0)+1,FALSE))</f>
        <v>森のプレゼントフロッグ</v>
      </c>
      <c r="S346" s="3">
        <f t="shared" ca="1" si="8"/>
        <v>682</v>
      </c>
      <c r="T346" s="25" t="str">
        <f ca="1">VLOOKUP($S346,OFFSET([2]characters!$A$1,0,0,COUNTA([2]characters!$A:$A),MATCH(T$1,[2]characters!$1:$1,0)-MATCH($A$1,[2]characters!$1:$1,0)+1),MATCH(T$1,[2]characters!$1:$1,0)-MATCH($A$1,[2]characters!$1:$1,0)+1,FALSE)</f>
        <v>森のプレゼントケロケロ</v>
      </c>
      <c r="U346" s="86">
        <v>10000</v>
      </c>
      <c r="V346">
        <v>10000</v>
      </c>
      <c r="W346" s="6" t="str">
        <f t="shared" si="9"/>
        <v>TRUE</v>
      </c>
    </row>
    <row r="347" spans="1:23" ht="21" customHeight="1" x14ac:dyDescent="0.15">
      <c r="A347" s="84">
        <v>684</v>
      </c>
      <c r="B347" s="24" t="str">
        <f ca="1">VLOOKUP($A347,OFFSET([2]characters!$A$1,0,0,COUNTA([2]characters!$A:$A),MATCH(B$1,[2]characters!$1:$1,0)-MATCH($A$1,[2]characters!$1:$1,0)+1),MATCH(B$1,[2]characters!$1:$1,0)-MATCH($A$1,[2]characters!$1:$1,0)+1,FALSE)</f>
        <v>水のプレゼントケロケロ</v>
      </c>
      <c r="C347" s="24" t="str">
        <f ca="1">VLOOKUP($A347,OFFSET([2]characters!$A$1,0,0,COUNTA([2]characters!$A:$A),MATCH(C$1,[2]characters!$1:$1,0)-MATCH($A$1,[2]characters!$1:$1,0)+1),MATCH(C$1,[2]characters!$1:$1,0)-MATCH($A$1,[2]characters!$1:$1,0)+1,FALSE)</f>
        <v>イベント;ホワイトデー2016</v>
      </c>
      <c r="D347" s="24" t="str">
        <f ca="1">VLOOKUP($A347,OFFSET([2]characters!$A$1,0,0,COUNTA([2]characters!$A:$A),MATCH(D$1,[2]characters!$1:$1,0)-MATCH($A$1,[2]characters!$1:$1,0)+1),MATCH(D$1,[2]characters!$1:$1,0)-MATCH($A$1,[2]characters!$1:$1,0)+1,FALSE)</f>
        <v>アリス</v>
      </c>
      <c r="E347" s="24" t="str">
        <f ca="1">VLOOKUP($A347,OFFSET([2]characters!$A$1,0,0,COUNTA([2]characters!$A:$A),MATCH(E$1,[2]characters!$1:$1,0)-MATCH($A$1,[2]characters!$1:$1,0)+1),MATCH(E$1,[2]characters!$1:$1,0)-MATCH($A$1,[2]characters!$1:$1,0)+1,FALSE)</f>
        <v>世界観</v>
      </c>
      <c r="F347" s="24" t="str">
        <f ca="1">VLOOKUP($A347,OFFSET([2]characters!$A$1,0,0,COUNTA([2]characters!$A:$A),MATCH(F$1,[2]characters!$1:$1,0)-MATCH($A$1,[2]characters!$1:$1,0)+1),MATCH(F$1,[2]characters!$1:$1,0)-MATCH($A$1,[2]characters!$1:$1,0)+1,FALSE)</f>
        <v>不明</v>
      </c>
      <c r="G347" s="24">
        <f ca="1">VLOOKUP($A347,OFFSET([2]characters!$A$1,0,0,COUNTA([2]characters!$A:$A),MATCH(G$1,[2]characters!$1:$1,0)-MATCH($A$1,[2]characters!$1:$1,0)+1),MATCH(G$1,[2]characters!$1:$1,0)-MATCH($A$1,[2]characters!$1:$1,0)+1,FALSE)</f>
        <v>5</v>
      </c>
      <c r="H347" s="24" t="str">
        <f ca="1">VLOOKUP($A347,OFFSET([2]characters!$A$1,0,0,COUNTA([2]characters!$A:$A),MATCH(H$1,[2]characters!$1:$1,0)-MATCH($A$1,[2]characters!$1:$1,0)+1),MATCH(H$1,[2]characters!$1:$1,0)-MATCH($A$1,[2]characters!$1:$1,0)+1,FALSE)</f>
        <v>Material</v>
      </c>
      <c r="I347" s="24" t="str">
        <f ca="1">VLOOKUP($A347,OFFSET([2]characters!$A$1,0,0,COUNTA([2]characters!$A:$A),MATCH(I$1,[2]characters!$1:$1,0)-MATCH($A$1,[2]characters!$1:$1,0)+1),MATCH(I$1,[2]characters!$1:$1,0)-MATCH($A$1,[2]characters!$1:$1,0)+1,FALSE)</f>
        <v>blue</v>
      </c>
      <c r="J347" s="24" t="str">
        <f ca="1">VLOOKUP($A347,OFFSET([2]characters!$A$1,0,0,COUNTA([2]characters!$A:$A),MATCH(J$1,[2]characters!$1:$1,0)-MATCH($A$1,[2]characters!$1:$1,0)+1),MATCH(J$1,[2]characters!$1:$1,0)-MATCH($A$1,[2]characters!$1:$1,0)+1,FALSE)</f>
        <v>none</v>
      </c>
      <c r="K347" s="3" t="str">
        <f ca="1">VLOOKUP(J347,[2]character_tribe_i18n!$A:$H,3,FALSE)</f>
        <v>種族なし</v>
      </c>
      <c r="L347" s="5" t="e">
        <f>VLOOKUP(#REF!,[2]character_tribe_i18n!$A:$H,4,FALSE)</f>
        <v>#REF!</v>
      </c>
      <c r="M347" s="5" t="e">
        <f>VLOOKUP(#REF!,[2]character_tribe_i18n!$A:$H,5,FALSE)</f>
        <v>#REF!</v>
      </c>
      <c r="N347" s="5" t="e">
        <f>VLOOKUP(#REF!,[2]character_tribe_i18n!$A:$H,6,FALSE)</f>
        <v>#REF!</v>
      </c>
      <c r="O347" s="5" t="e">
        <f>VLOOKUP(#REF!,[2]character_tribe_i18n!$A:$H,7,FALSE)</f>
        <v>#REF!</v>
      </c>
      <c r="P347" s="83" t="s">
        <v>170</v>
      </c>
      <c r="Q347">
        <v>685</v>
      </c>
      <c r="R347" s="25" t="str">
        <f ca="1">IF(Q347="NULL","",VLOOKUP($Q347,OFFSET([2]characters!$A$1,0,0,COUNTA([2]characters!$A:$A),MATCH(R$1,[2]characters!$1:$1,0)-MATCH($A$1,[2]characters!$1:$1,0)+1),MATCH(R$1,[2]characters!$1:$1,0)-MATCH($A$1,[2]characters!$1:$1,0)+1,FALSE))</f>
        <v>水のプレゼントフロッグ</v>
      </c>
      <c r="S347" s="3">
        <f t="shared" ca="1" si="8"/>
        <v>684</v>
      </c>
      <c r="T347" s="25" t="str">
        <f ca="1">VLOOKUP($S347,OFFSET([2]characters!$A$1,0,0,COUNTA([2]characters!$A:$A),MATCH(T$1,[2]characters!$1:$1,0)-MATCH($A$1,[2]characters!$1:$1,0)+1),MATCH(T$1,[2]characters!$1:$1,0)-MATCH($A$1,[2]characters!$1:$1,0)+1,FALSE)</f>
        <v>水のプレゼントケロケロ</v>
      </c>
      <c r="U347" s="86">
        <v>10000</v>
      </c>
      <c r="V347">
        <v>10000</v>
      </c>
      <c r="W347" s="6" t="str">
        <f t="shared" si="9"/>
        <v>TRUE</v>
      </c>
    </row>
    <row r="348" spans="1:23" ht="21" customHeight="1" x14ac:dyDescent="0.15">
      <c r="A348" s="84">
        <v>686</v>
      </c>
      <c r="B348" s="24" t="str">
        <f ca="1">VLOOKUP($A348,OFFSET([2]characters!$A$1,0,0,COUNTA([2]characters!$A:$A),MATCH(B$1,[2]characters!$1:$1,0)-MATCH($A$1,[2]characters!$1:$1,0)+1),MATCH(B$1,[2]characters!$1:$1,0)-MATCH($A$1,[2]characters!$1:$1,0)+1,FALSE)</f>
        <v>雷のプレゼントケロケロ</v>
      </c>
      <c r="C348" s="24" t="str">
        <f ca="1">VLOOKUP($A348,OFFSET([2]characters!$A$1,0,0,COUNTA([2]characters!$A:$A),MATCH(C$1,[2]characters!$1:$1,0)-MATCH($A$1,[2]characters!$1:$1,0)+1),MATCH(C$1,[2]characters!$1:$1,0)-MATCH($A$1,[2]characters!$1:$1,0)+1,FALSE)</f>
        <v>イベント;ホワイトデー2016</v>
      </c>
      <c r="D348" s="24" t="str">
        <f ca="1">VLOOKUP($A348,OFFSET([2]characters!$A$1,0,0,COUNTA([2]characters!$A:$A),MATCH(D$1,[2]characters!$1:$1,0)-MATCH($A$1,[2]characters!$1:$1,0)+1),MATCH(D$1,[2]characters!$1:$1,0)-MATCH($A$1,[2]characters!$1:$1,0)+1,FALSE)</f>
        <v>アリス</v>
      </c>
      <c r="E348" s="24" t="str">
        <f ca="1">VLOOKUP($A348,OFFSET([2]characters!$A$1,0,0,COUNTA([2]characters!$A:$A),MATCH(E$1,[2]characters!$1:$1,0)-MATCH($A$1,[2]characters!$1:$1,0)+1),MATCH(E$1,[2]characters!$1:$1,0)-MATCH($A$1,[2]characters!$1:$1,0)+1,FALSE)</f>
        <v>世界観</v>
      </c>
      <c r="F348" s="24" t="str">
        <f ca="1">VLOOKUP($A348,OFFSET([2]characters!$A$1,0,0,COUNTA([2]characters!$A:$A),MATCH(F$1,[2]characters!$1:$1,0)-MATCH($A$1,[2]characters!$1:$1,0)+1),MATCH(F$1,[2]characters!$1:$1,0)-MATCH($A$1,[2]characters!$1:$1,0)+1,FALSE)</f>
        <v>不明</v>
      </c>
      <c r="G348" s="24">
        <f ca="1">VLOOKUP($A348,OFFSET([2]characters!$A$1,0,0,COUNTA([2]characters!$A:$A),MATCH(G$1,[2]characters!$1:$1,0)-MATCH($A$1,[2]characters!$1:$1,0)+1),MATCH(G$1,[2]characters!$1:$1,0)-MATCH($A$1,[2]characters!$1:$1,0)+1,FALSE)</f>
        <v>5</v>
      </c>
      <c r="H348" s="24" t="str">
        <f ca="1">VLOOKUP($A348,OFFSET([2]characters!$A$1,0,0,COUNTA([2]characters!$A:$A),MATCH(H$1,[2]characters!$1:$1,0)-MATCH($A$1,[2]characters!$1:$1,0)+1),MATCH(H$1,[2]characters!$1:$1,0)-MATCH($A$1,[2]characters!$1:$1,0)+1,FALSE)</f>
        <v>Material</v>
      </c>
      <c r="I348" s="24" t="str">
        <f ca="1">VLOOKUP($A348,OFFSET([2]characters!$A$1,0,0,COUNTA([2]characters!$A:$A),MATCH(I$1,[2]characters!$1:$1,0)-MATCH($A$1,[2]characters!$1:$1,0)+1),MATCH(I$1,[2]characters!$1:$1,0)-MATCH($A$1,[2]characters!$1:$1,0)+1,FALSE)</f>
        <v>yellow</v>
      </c>
      <c r="J348" s="24" t="str">
        <f ca="1">VLOOKUP($A348,OFFSET([2]characters!$A$1,0,0,COUNTA([2]characters!$A:$A),MATCH(J$1,[2]characters!$1:$1,0)-MATCH($A$1,[2]characters!$1:$1,0)+1),MATCH(J$1,[2]characters!$1:$1,0)-MATCH($A$1,[2]characters!$1:$1,0)+1,FALSE)</f>
        <v>none</v>
      </c>
      <c r="K348" s="3" t="str">
        <f ca="1">VLOOKUP(J348,[2]character_tribe_i18n!$A:$H,3,FALSE)</f>
        <v>種族なし</v>
      </c>
      <c r="L348" s="5" t="e">
        <f>VLOOKUP(#REF!,[2]character_tribe_i18n!$A:$H,4,FALSE)</f>
        <v>#REF!</v>
      </c>
      <c r="M348" s="5" t="e">
        <f>VLOOKUP(#REF!,[2]character_tribe_i18n!$A:$H,5,FALSE)</f>
        <v>#REF!</v>
      </c>
      <c r="N348" s="5" t="e">
        <f>VLOOKUP(#REF!,[2]character_tribe_i18n!$A:$H,6,FALSE)</f>
        <v>#REF!</v>
      </c>
      <c r="O348" s="5" t="e">
        <f>VLOOKUP(#REF!,[2]character_tribe_i18n!$A:$H,7,FALSE)</f>
        <v>#REF!</v>
      </c>
      <c r="P348" s="83" t="s">
        <v>170</v>
      </c>
      <c r="Q348">
        <v>687</v>
      </c>
      <c r="R348" s="25" t="str">
        <f ca="1">IF(Q348="NULL","",VLOOKUP($Q348,OFFSET([2]characters!$A$1,0,0,COUNTA([2]characters!$A:$A),MATCH(R$1,[2]characters!$1:$1,0)-MATCH($A$1,[2]characters!$1:$1,0)+1),MATCH(R$1,[2]characters!$1:$1,0)-MATCH($A$1,[2]characters!$1:$1,0)+1,FALSE))</f>
        <v>雷のプレゼントフロッグ</v>
      </c>
      <c r="S348" s="3">
        <f t="shared" ca="1" si="8"/>
        <v>686</v>
      </c>
      <c r="T348" s="25" t="str">
        <f ca="1">VLOOKUP($S348,OFFSET([2]characters!$A$1,0,0,COUNTA([2]characters!$A:$A),MATCH(T$1,[2]characters!$1:$1,0)-MATCH($A$1,[2]characters!$1:$1,0)+1),MATCH(T$1,[2]characters!$1:$1,0)-MATCH($A$1,[2]characters!$1:$1,0)+1,FALSE)</f>
        <v>雷のプレゼントケロケロ</v>
      </c>
      <c r="U348" s="87">
        <v>10000</v>
      </c>
      <c r="V348">
        <v>10000</v>
      </c>
      <c r="W348" s="6" t="str">
        <f t="shared" si="9"/>
        <v>TRUE</v>
      </c>
    </row>
    <row r="349" spans="1:23" ht="21" customHeight="1" x14ac:dyDescent="0.15">
      <c r="A349" s="84">
        <v>691</v>
      </c>
      <c r="B349" s="24" t="str">
        <f ca="1">VLOOKUP($A349,OFFSET([2]characters!$A$1,0,0,COUNTA([2]characters!$A:$A),MATCH(B$1,[2]characters!$1:$1,0)-MATCH($A$1,[2]characters!$1:$1,0)+1),MATCH(B$1,[2]characters!$1:$1,0)-MATCH($A$1,[2]characters!$1:$1,0)+1,FALSE)</f>
        <v>黒沼青葉</v>
      </c>
      <c r="C349" s="24" t="str">
        <f ca="1">VLOOKUP($A349,OFFSET([2]characters!$A$1,0,0,COUNTA([2]characters!$A:$A),MATCH(C$1,[2]characters!$1:$1,0)-MATCH($A$1,[2]characters!$1:$1,0)+1),MATCH(C$1,[2]characters!$1:$1,0)-MATCH($A$1,[2]characters!$1:$1,0)+1,FALSE)</f>
        <v>イベント:デュラララ01 青葉</v>
      </c>
      <c r="D349" s="24" t="str">
        <f ca="1">VLOOKUP($A349,OFFSET([2]characters!$A$1,0,0,COUNTA([2]characters!$A:$A),MATCH(D$1,[2]characters!$1:$1,0)-MATCH($A$1,[2]characters!$1:$1,0)+1),MATCH(D$1,[2]characters!$1:$1,0)-MATCH($A$1,[2]characters!$1:$1,0)+1,FALSE)</f>
        <v>執行者</v>
      </c>
      <c r="E349" s="24" t="str">
        <f ca="1">VLOOKUP($A349,OFFSET([2]characters!$A$1,0,0,COUNTA([2]characters!$A:$A),MATCH(E$1,[2]characters!$1:$1,0)-MATCH($A$1,[2]characters!$1:$1,0)+1),MATCH(E$1,[2]characters!$1:$1,0)-MATCH($A$1,[2]characters!$1:$1,0)+1,FALSE)</f>
        <v>格好いい</v>
      </c>
      <c r="F349" s="24" t="str">
        <f ca="1">VLOOKUP($A349,OFFSET([2]characters!$A$1,0,0,COUNTA([2]characters!$A:$A),MATCH(F$1,[2]characters!$1:$1,0)-MATCH($A$1,[2]characters!$1:$1,0)+1),MATCH(F$1,[2]characters!$1:$1,0)-MATCH($A$1,[2]characters!$1:$1,0)+1,FALSE)</f>
        <v>男性</v>
      </c>
      <c r="G349" s="24">
        <f ca="1">VLOOKUP($A349,OFFSET([2]characters!$A$1,0,0,COUNTA([2]characters!$A:$A),MATCH(G$1,[2]characters!$1:$1,0)-MATCH($A$1,[2]characters!$1:$1,0)+1),MATCH(G$1,[2]characters!$1:$1,0)-MATCH($A$1,[2]characters!$1:$1,0)+1,FALSE)</f>
        <v>4</v>
      </c>
      <c r="H349" s="24" t="str">
        <f ca="1">VLOOKUP($A349,OFFSET([2]characters!$A$1,0,0,COUNTA([2]characters!$A:$A),MATCH(H$1,[2]characters!$1:$1,0)-MATCH($A$1,[2]characters!$1:$1,0)+1),MATCH(H$1,[2]characters!$1:$1,0)-MATCH($A$1,[2]characters!$1:$1,0)+1,FALSE)</f>
        <v>Drop2N</v>
      </c>
      <c r="I349" s="24" t="str">
        <f ca="1">VLOOKUP($A349,OFFSET([2]characters!$A$1,0,0,COUNTA([2]characters!$A:$A),MATCH(I$1,[2]characters!$1:$1,0)-MATCH($A$1,[2]characters!$1:$1,0)+1),MATCH(I$1,[2]characters!$1:$1,0)-MATCH($A$1,[2]characters!$1:$1,0)+1,FALSE)</f>
        <v>blue</v>
      </c>
      <c r="J349" s="24" t="str">
        <f ca="1">VLOOKUP($A349,OFFSET([2]characters!$A$1,0,0,COUNTA([2]characters!$A:$A),MATCH(J$1,[2]characters!$1:$1,0)-MATCH($A$1,[2]characters!$1:$1,0)+1),MATCH(J$1,[2]characters!$1:$1,0)-MATCH($A$1,[2]characters!$1:$1,0)+1,FALSE)</f>
        <v>none</v>
      </c>
      <c r="K349" s="3" t="str">
        <f ca="1">VLOOKUP(J349,[2]character_tribe_i18n!$A:$H,3,FALSE)</f>
        <v>種族なし</v>
      </c>
      <c r="L349" s="5" t="e">
        <f>VLOOKUP(#REF!,[2]character_tribe_i18n!$A:$H,4,FALSE)</f>
        <v>#REF!</v>
      </c>
      <c r="M349" s="5" t="e">
        <f>VLOOKUP(#REF!,[2]character_tribe_i18n!$A:$H,5,FALSE)</f>
        <v>#REF!</v>
      </c>
      <c r="N349" s="5" t="e">
        <f>VLOOKUP(#REF!,[2]character_tribe_i18n!$A:$H,6,FALSE)</f>
        <v>#REF!</v>
      </c>
      <c r="O349" s="5" t="e">
        <f>VLOOKUP(#REF!,[2]character_tribe_i18n!$A:$H,7,FALSE)</f>
        <v>#REF!</v>
      </c>
      <c r="P349" s="83" t="s">
        <v>170</v>
      </c>
      <c r="Q349">
        <v>692</v>
      </c>
      <c r="R349" s="25" t="str">
        <f ca="1">IF(Q349="NULL","",VLOOKUP($Q349,OFFSET([2]characters!$A$1,0,0,COUNTA([2]characters!$A:$A),MATCH(R$1,[2]characters!$1:$1,0)-MATCH($A$1,[2]characters!$1:$1,0)+1),MATCH(R$1,[2]characters!$1:$1,0)-MATCH($A$1,[2]characters!$1:$1,0)+1,FALSE))</f>
        <v>暗躍する偽帝 黒沼青葉</v>
      </c>
      <c r="S349" s="3">
        <f t="shared" ca="1" si="8"/>
        <v>691</v>
      </c>
      <c r="T349" s="25" t="str">
        <f ca="1">VLOOKUP($S349,OFFSET([2]characters!$A$1,0,0,COUNTA([2]characters!$A:$A),MATCH(T$1,[2]characters!$1:$1,0)-MATCH($A$1,[2]characters!$1:$1,0)+1),MATCH(T$1,[2]characters!$1:$1,0)-MATCH($A$1,[2]characters!$1:$1,0)+1,FALSE)</f>
        <v>黒沼青葉</v>
      </c>
      <c r="U349" s="5">
        <f ca="1">IF(Q349="NULL","NULL",VLOOKUP(G349,ビット!$A$2:$B$7,2))</f>
        <v>50000</v>
      </c>
      <c r="V349">
        <v>50000</v>
      </c>
      <c r="W349" s="6" t="str">
        <f t="shared" ca="1" si="9"/>
        <v>TRUE</v>
      </c>
    </row>
    <row r="350" spans="1:23" ht="21" customHeight="1" x14ac:dyDescent="0.15">
      <c r="A350" s="84">
        <v>693</v>
      </c>
      <c r="B350" s="24" t="str">
        <f ca="1">VLOOKUP($A350,OFFSET([2]characters!$A$1,0,0,COUNTA([2]characters!$A:$A),MATCH(B$1,[2]characters!$1:$1,0)-MATCH($A$1,[2]characters!$1:$1,0)+1),MATCH(B$1,[2]characters!$1:$1,0)-MATCH($A$1,[2]characters!$1:$1,0)+1,FALSE)</f>
        <v>紀田正臣</v>
      </c>
      <c r="C350" s="24" t="str">
        <f ca="1">VLOOKUP($A350,OFFSET([2]characters!$A$1,0,0,COUNTA([2]characters!$A:$A),MATCH(C$1,[2]characters!$1:$1,0)-MATCH($A$1,[2]characters!$1:$1,0)+1),MATCH(C$1,[2]characters!$1:$1,0)-MATCH($A$1,[2]characters!$1:$1,0)+1,FALSE)</f>
        <v>イベント:デュラララ01 正臣</v>
      </c>
      <c r="D350" s="24" t="str">
        <f ca="1">VLOOKUP($A350,OFFSET([2]characters!$A$1,0,0,COUNTA([2]characters!$A:$A),MATCH(D$1,[2]characters!$1:$1,0)-MATCH($A$1,[2]characters!$1:$1,0)+1),MATCH(D$1,[2]characters!$1:$1,0)-MATCH($A$1,[2]characters!$1:$1,0)+1,FALSE)</f>
        <v>執行者</v>
      </c>
      <c r="E350" s="24" t="str">
        <f ca="1">VLOOKUP($A350,OFFSET([2]characters!$A$1,0,0,COUNTA([2]characters!$A:$A),MATCH(E$1,[2]characters!$1:$1,0)-MATCH($A$1,[2]characters!$1:$1,0)+1),MATCH(E$1,[2]characters!$1:$1,0)-MATCH($A$1,[2]characters!$1:$1,0)+1,FALSE)</f>
        <v>格好いい</v>
      </c>
      <c r="F350" s="24" t="str">
        <f ca="1">VLOOKUP($A350,OFFSET([2]characters!$A$1,0,0,COUNTA([2]characters!$A:$A),MATCH(F$1,[2]characters!$1:$1,0)-MATCH($A$1,[2]characters!$1:$1,0)+1),MATCH(F$1,[2]characters!$1:$1,0)-MATCH($A$1,[2]characters!$1:$1,0)+1,FALSE)</f>
        <v>男性</v>
      </c>
      <c r="G350" s="24">
        <f ca="1">VLOOKUP($A350,OFFSET([2]characters!$A$1,0,0,COUNTA([2]characters!$A:$A),MATCH(G$1,[2]characters!$1:$1,0)-MATCH($A$1,[2]characters!$1:$1,0)+1),MATCH(G$1,[2]characters!$1:$1,0)-MATCH($A$1,[2]characters!$1:$1,0)+1,FALSE)</f>
        <v>4</v>
      </c>
      <c r="H350" s="24" t="str">
        <f ca="1">VLOOKUP($A350,OFFSET([2]characters!$A$1,0,0,COUNTA([2]characters!$A:$A),MATCH(H$1,[2]characters!$1:$1,0)-MATCH($A$1,[2]characters!$1:$1,0)+1),MATCH(H$1,[2]characters!$1:$1,0)-MATCH($A$1,[2]characters!$1:$1,0)+1,FALSE)</f>
        <v>Drop2N</v>
      </c>
      <c r="I350" s="24" t="str">
        <f ca="1">VLOOKUP($A350,OFFSET([2]characters!$A$1,0,0,COUNTA([2]characters!$A:$A),MATCH(I$1,[2]characters!$1:$1,0)-MATCH($A$1,[2]characters!$1:$1,0)+1),MATCH(I$1,[2]characters!$1:$1,0)-MATCH($A$1,[2]characters!$1:$1,0)+1,FALSE)</f>
        <v>yellow</v>
      </c>
      <c r="J350" s="24" t="str">
        <f ca="1">VLOOKUP($A350,OFFSET([2]characters!$A$1,0,0,COUNTA([2]characters!$A:$A),MATCH(J$1,[2]characters!$1:$1,0)-MATCH($A$1,[2]characters!$1:$1,0)+1),MATCH(J$1,[2]characters!$1:$1,0)-MATCH($A$1,[2]characters!$1:$1,0)+1,FALSE)</f>
        <v>none</v>
      </c>
      <c r="K350" s="3" t="str">
        <f ca="1">VLOOKUP(J350,[2]character_tribe_i18n!$A:$H,3,FALSE)</f>
        <v>種族なし</v>
      </c>
      <c r="L350" s="5" t="e">
        <f>VLOOKUP(#REF!,[2]character_tribe_i18n!$A:$H,4,FALSE)</f>
        <v>#REF!</v>
      </c>
      <c r="M350" s="5" t="e">
        <f>VLOOKUP(#REF!,[2]character_tribe_i18n!$A:$H,5,FALSE)</f>
        <v>#REF!</v>
      </c>
      <c r="N350" s="5" t="e">
        <f>VLOOKUP(#REF!,[2]character_tribe_i18n!$A:$H,6,FALSE)</f>
        <v>#REF!</v>
      </c>
      <c r="O350" s="5" t="e">
        <f>VLOOKUP(#REF!,[2]character_tribe_i18n!$A:$H,7,FALSE)</f>
        <v>#REF!</v>
      </c>
      <c r="P350" s="83" t="s">
        <v>170</v>
      </c>
      <c r="Q350">
        <v>694</v>
      </c>
      <c r="R350" s="25" t="str">
        <f ca="1">IF(Q350="NULL","",VLOOKUP($Q350,OFFSET([2]characters!$A$1,0,0,COUNTA([2]characters!$A:$A),MATCH(R$1,[2]characters!$1:$1,0)-MATCH($A$1,[2]characters!$1:$1,0)+1),MATCH(R$1,[2]characters!$1:$1,0)-MATCH($A$1,[2]characters!$1:$1,0)+1,FALSE))</f>
        <v>黄巾賊の将軍 紀田正臣</v>
      </c>
      <c r="S350" s="3">
        <f t="shared" ca="1" si="8"/>
        <v>693</v>
      </c>
      <c r="T350" s="25" t="str">
        <f ca="1">VLOOKUP($S350,OFFSET([2]characters!$A$1,0,0,COUNTA([2]characters!$A:$A),MATCH(T$1,[2]characters!$1:$1,0)-MATCH($A$1,[2]characters!$1:$1,0)+1),MATCH(T$1,[2]characters!$1:$1,0)-MATCH($A$1,[2]characters!$1:$1,0)+1,FALSE)</f>
        <v>紀田正臣</v>
      </c>
      <c r="U350" s="5">
        <f ca="1">IF(Q350="NULL","NULL",VLOOKUP(G350,ビット!$A$2:$B$7,2))</f>
        <v>50000</v>
      </c>
      <c r="V350">
        <v>50000</v>
      </c>
      <c r="W350" s="6" t="str">
        <f t="shared" ca="1" si="9"/>
        <v>TRUE</v>
      </c>
    </row>
    <row r="351" spans="1:23" ht="21" customHeight="1" x14ac:dyDescent="0.15">
      <c r="A351" s="84">
        <v>695</v>
      </c>
      <c r="B351" s="24" t="str">
        <f ca="1">VLOOKUP($A351,OFFSET([2]characters!$A$1,0,0,COUNTA([2]characters!$A:$A),MATCH(B$1,[2]characters!$1:$1,0)-MATCH($A$1,[2]characters!$1:$1,0)+1),MATCH(B$1,[2]characters!$1:$1,0)-MATCH($A$1,[2]characters!$1:$1,0)+1,FALSE)</f>
        <v>セルティ</v>
      </c>
      <c r="C351" s="24" t="str">
        <f ca="1">VLOOKUP($A351,OFFSET([2]characters!$A$1,0,0,COUNTA([2]characters!$A:$A),MATCH(C$1,[2]characters!$1:$1,0)-MATCH($A$1,[2]characters!$1:$1,0)+1),MATCH(C$1,[2]characters!$1:$1,0)-MATCH($A$1,[2]characters!$1:$1,0)+1,FALSE)</f>
        <v>イベント:デュラララ01 セルティ</v>
      </c>
      <c r="D351" s="24" t="str">
        <f ca="1">VLOOKUP($A351,OFFSET([2]characters!$A$1,0,0,COUNTA([2]characters!$A:$A),MATCH(D$1,[2]characters!$1:$1,0)-MATCH($A$1,[2]characters!$1:$1,0)+1),MATCH(D$1,[2]characters!$1:$1,0)-MATCH($A$1,[2]characters!$1:$1,0)+1,FALSE)</f>
        <v>執行者</v>
      </c>
      <c r="E351" s="24" t="str">
        <f ca="1">VLOOKUP($A351,OFFSET([2]characters!$A$1,0,0,COUNTA([2]characters!$A:$A),MATCH(E$1,[2]characters!$1:$1,0)-MATCH($A$1,[2]characters!$1:$1,0)+1),MATCH(E$1,[2]characters!$1:$1,0)-MATCH($A$1,[2]characters!$1:$1,0)+1,FALSE)</f>
        <v>格好いい</v>
      </c>
      <c r="F351" s="24" t="str">
        <f ca="1">VLOOKUP($A351,OFFSET([2]characters!$A$1,0,0,COUNTA([2]characters!$A:$A),MATCH(F$1,[2]characters!$1:$1,0)-MATCH($A$1,[2]characters!$1:$1,0)+1),MATCH(F$1,[2]characters!$1:$1,0)-MATCH($A$1,[2]characters!$1:$1,0)+1,FALSE)</f>
        <v>女性</v>
      </c>
      <c r="G351" s="24">
        <f ca="1">VLOOKUP($A351,OFFSET([2]characters!$A$1,0,0,COUNTA([2]characters!$A:$A),MATCH(G$1,[2]characters!$1:$1,0)-MATCH($A$1,[2]characters!$1:$1,0)+1),MATCH(G$1,[2]characters!$1:$1,0)-MATCH($A$1,[2]characters!$1:$1,0)+1,FALSE)</f>
        <v>3</v>
      </c>
      <c r="H351" s="24" t="str">
        <f ca="1">VLOOKUP($A351,OFFSET([2]characters!$A$1,0,0,COUNTA([2]characters!$A:$A),MATCH(H$1,[2]characters!$1:$1,0)-MATCH($A$1,[2]characters!$1:$1,0)+1),MATCH(H$1,[2]characters!$1:$1,0)-MATCH($A$1,[2]characters!$1:$1,0)+1,FALSE)</f>
        <v>Drop2N</v>
      </c>
      <c r="I351" s="24" t="str">
        <f ca="1">VLOOKUP($A351,OFFSET([2]characters!$A$1,0,0,COUNTA([2]characters!$A:$A),MATCH(I$1,[2]characters!$1:$1,0)-MATCH($A$1,[2]characters!$1:$1,0)+1),MATCH(I$1,[2]characters!$1:$1,0)-MATCH($A$1,[2]characters!$1:$1,0)+1,FALSE)</f>
        <v>yellow</v>
      </c>
      <c r="J351" s="24" t="str">
        <f ca="1">VLOOKUP($A351,OFFSET([2]characters!$A$1,0,0,COUNTA([2]characters!$A:$A),MATCH(J$1,[2]characters!$1:$1,0)-MATCH($A$1,[2]characters!$1:$1,0)+1),MATCH(J$1,[2]characters!$1:$1,0)-MATCH($A$1,[2]characters!$1:$1,0)+1,FALSE)</f>
        <v>none</v>
      </c>
      <c r="K351" s="3" t="str">
        <f ca="1">VLOOKUP(J351,[2]character_tribe_i18n!$A:$H,3,FALSE)</f>
        <v>種族なし</v>
      </c>
      <c r="L351" s="5" t="e">
        <f>VLOOKUP(#REF!,[2]character_tribe_i18n!$A:$H,4,FALSE)</f>
        <v>#REF!</v>
      </c>
      <c r="M351" s="5" t="e">
        <f>VLOOKUP(#REF!,[2]character_tribe_i18n!$A:$H,5,FALSE)</f>
        <v>#REF!</v>
      </c>
      <c r="N351" s="5" t="e">
        <f>VLOOKUP(#REF!,[2]character_tribe_i18n!$A:$H,6,FALSE)</f>
        <v>#REF!</v>
      </c>
      <c r="O351" s="5" t="e">
        <f>VLOOKUP(#REF!,[2]character_tribe_i18n!$A:$H,7,FALSE)</f>
        <v>#REF!</v>
      </c>
      <c r="P351" s="83" t="s">
        <v>170</v>
      </c>
      <c r="Q351">
        <v>696</v>
      </c>
      <c r="R351" s="25" t="str">
        <f ca="1">IF(Q351="NULL","",VLOOKUP($Q351,OFFSET([2]characters!$A$1,0,0,COUNTA([2]characters!$A:$A),MATCH(R$1,[2]characters!$1:$1,0)-MATCH($A$1,[2]characters!$1:$1,0)+1),MATCH(R$1,[2]characters!$1:$1,0)-MATCH($A$1,[2]characters!$1:$1,0)+1,FALSE))</f>
        <v>生きる都市伝説 セルティ</v>
      </c>
      <c r="S351" s="3">
        <f t="shared" ca="1" si="8"/>
        <v>695</v>
      </c>
      <c r="T351" s="25" t="str">
        <f ca="1">VLOOKUP($S351,OFFSET([2]characters!$A$1,0,0,COUNTA([2]characters!$A:$A),MATCH(T$1,[2]characters!$1:$1,0)-MATCH($A$1,[2]characters!$1:$1,0)+1),MATCH(T$1,[2]characters!$1:$1,0)-MATCH($A$1,[2]characters!$1:$1,0)+1,FALSE)</f>
        <v>セルティ</v>
      </c>
      <c r="U351" s="5">
        <f ca="1">IF(Q351="NULL","NULL",VLOOKUP(G351,ビット!$A$2:$B$7,2))</f>
        <v>20000</v>
      </c>
      <c r="V351">
        <v>20000</v>
      </c>
      <c r="W351" s="6" t="str">
        <f t="shared" ca="1" si="9"/>
        <v>TRUE</v>
      </c>
    </row>
    <row r="352" spans="1:23" ht="21" customHeight="1" x14ac:dyDescent="0.15">
      <c r="A352" s="84">
        <v>696</v>
      </c>
      <c r="B352" s="24" t="str">
        <f ca="1">VLOOKUP($A352,OFFSET([2]characters!$A$1,0,0,COUNTA([2]characters!$A:$A),MATCH(B$1,[2]characters!$1:$1,0)-MATCH($A$1,[2]characters!$1:$1,0)+1),MATCH(B$1,[2]characters!$1:$1,0)-MATCH($A$1,[2]characters!$1:$1,0)+1,FALSE)</f>
        <v>生きる都市伝説 セルティ</v>
      </c>
      <c r="C352" s="24" t="str">
        <f ca="1">VLOOKUP($A352,OFFSET([2]characters!$A$1,0,0,COUNTA([2]characters!$A:$A),MATCH(C$1,[2]characters!$1:$1,0)-MATCH($A$1,[2]characters!$1:$1,0)+1),MATCH(C$1,[2]characters!$1:$1,0)-MATCH($A$1,[2]characters!$1:$1,0)+1,FALSE)</f>
        <v>イベント:デュラララ01 セルティ</v>
      </c>
      <c r="D352" s="24" t="str">
        <f ca="1">VLOOKUP($A352,OFFSET([2]characters!$A$1,0,0,COUNTA([2]characters!$A:$A),MATCH(D$1,[2]characters!$1:$1,0)-MATCH($A$1,[2]characters!$1:$1,0)+1),MATCH(D$1,[2]characters!$1:$1,0)-MATCH($A$1,[2]characters!$1:$1,0)+1,FALSE)</f>
        <v>執行者</v>
      </c>
      <c r="E352" s="24" t="str">
        <f ca="1">VLOOKUP($A352,OFFSET([2]characters!$A$1,0,0,COUNTA([2]characters!$A:$A),MATCH(E$1,[2]characters!$1:$1,0)-MATCH($A$1,[2]characters!$1:$1,0)+1),MATCH(E$1,[2]characters!$1:$1,0)-MATCH($A$1,[2]characters!$1:$1,0)+1,FALSE)</f>
        <v>格好いい</v>
      </c>
      <c r="F352" s="24" t="str">
        <f ca="1">VLOOKUP($A352,OFFSET([2]characters!$A$1,0,0,COUNTA([2]characters!$A:$A),MATCH(F$1,[2]characters!$1:$1,0)-MATCH($A$1,[2]characters!$1:$1,0)+1),MATCH(F$1,[2]characters!$1:$1,0)-MATCH($A$1,[2]characters!$1:$1,0)+1,FALSE)</f>
        <v>女性</v>
      </c>
      <c r="G352" s="24">
        <f ca="1">VLOOKUP($A352,OFFSET([2]characters!$A$1,0,0,COUNTA([2]characters!$A:$A),MATCH(G$1,[2]characters!$1:$1,0)-MATCH($A$1,[2]characters!$1:$1,0)+1),MATCH(G$1,[2]characters!$1:$1,0)-MATCH($A$1,[2]characters!$1:$1,0)+1,FALSE)</f>
        <v>4</v>
      </c>
      <c r="H352" s="24" t="str">
        <f ca="1">VLOOKUP($A352,OFFSET([2]characters!$A$1,0,0,COUNTA([2]characters!$A:$A),MATCH(H$1,[2]characters!$1:$1,0)-MATCH($A$1,[2]characters!$1:$1,0)+1),MATCH(H$1,[2]characters!$1:$1,0)-MATCH($A$1,[2]characters!$1:$1,0)+1,FALSE)</f>
        <v>Drop2N</v>
      </c>
      <c r="I352" s="24" t="str">
        <f ca="1">VLOOKUP($A352,OFFSET([2]characters!$A$1,0,0,COUNTA([2]characters!$A:$A),MATCH(I$1,[2]characters!$1:$1,0)-MATCH($A$1,[2]characters!$1:$1,0)+1),MATCH(I$1,[2]characters!$1:$1,0)-MATCH($A$1,[2]characters!$1:$1,0)+1,FALSE)</f>
        <v>yellow</v>
      </c>
      <c r="J352" s="24" t="str">
        <f ca="1">VLOOKUP($A352,OFFSET([2]characters!$A$1,0,0,COUNTA([2]characters!$A:$A),MATCH(J$1,[2]characters!$1:$1,0)-MATCH($A$1,[2]characters!$1:$1,0)+1),MATCH(J$1,[2]characters!$1:$1,0)-MATCH($A$1,[2]characters!$1:$1,0)+1,FALSE)</f>
        <v>none</v>
      </c>
      <c r="K352" s="3" t="str">
        <f ca="1">VLOOKUP(J352,[2]character_tribe_i18n!$A:$H,3,FALSE)</f>
        <v>種族なし</v>
      </c>
      <c r="L352" s="5" t="e">
        <f>VLOOKUP(#REF!,[2]character_tribe_i18n!$A:$H,4,FALSE)</f>
        <v>#REF!</v>
      </c>
      <c r="M352" s="5" t="e">
        <f>VLOOKUP(#REF!,[2]character_tribe_i18n!$A:$H,5,FALSE)</f>
        <v>#REF!</v>
      </c>
      <c r="N352" s="5" t="e">
        <f>VLOOKUP(#REF!,[2]character_tribe_i18n!$A:$H,6,FALSE)</f>
        <v>#REF!</v>
      </c>
      <c r="O352" s="5" t="e">
        <f>VLOOKUP(#REF!,[2]character_tribe_i18n!$A:$H,7,FALSE)</f>
        <v>#REF!</v>
      </c>
      <c r="P352" s="83" t="s">
        <v>170</v>
      </c>
      <c r="Q352">
        <v>697</v>
      </c>
      <c r="R352" s="25" t="str">
        <f ca="1">IF(Q352="NULL","",VLOOKUP($Q352,OFFSET([2]characters!$A$1,0,0,COUNTA([2]characters!$A:$A),MATCH(R$1,[2]characters!$1:$1,0)-MATCH($A$1,[2]characters!$1:$1,0)+1),MATCH(R$1,[2]characters!$1:$1,0)-MATCH($A$1,[2]characters!$1:$1,0)+1,FALSE))</f>
        <v>黒影の首なしライダー セルティ</v>
      </c>
      <c r="S352" s="3">
        <f t="shared" ca="1" si="8"/>
        <v>695</v>
      </c>
      <c r="T352" s="25" t="str">
        <f ca="1">VLOOKUP($S352,OFFSET([2]characters!$A$1,0,0,COUNTA([2]characters!$A:$A),MATCH(T$1,[2]characters!$1:$1,0)-MATCH($A$1,[2]characters!$1:$1,0)+1),MATCH(T$1,[2]characters!$1:$1,0)-MATCH($A$1,[2]characters!$1:$1,0)+1,FALSE)</f>
        <v>セルティ</v>
      </c>
      <c r="U352" s="5">
        <f ca="1">IF(Q352="NULL","NULL",VLOOKUP(G352,ビット!$A$2:$B$7,2))</f>
        <v>50000</v>
      </c>
      <c r="V352">
        <v>50000</v>
      </c>
      <c r="W352" s="6" t="str">
        <f t="shared" ca="1" si="9"/>
        <v>TRUE</v>
      </c>
    </row>
    <row r="353" spans="1:23" ht="21" customHeight="1" x14ac:dyDescent="0.15">
      <c r="A353" s="84">
        <v>698</v>
      </c>
      <c r="B353" s="24" t="str">
        <f ca="1">VLOOKUP($A353,OFFSET([2]characters!$A$1,0,0,COUNTA([2]characters!$A:$A),MATCH(B$1,[2]characters!$1:$1,0)-MATCH($A$1,[2]characters!$1:$1,0)+1),MATCH(B$1,[2]characters!$1:$1,0)-MATCH($A$1,[2]characters!$1:$1,0)+1,FALSE)</f>
        <v>園原杏里</v>
      </c>
      <c r="C353" s="24" t="str">
        <f ca="1">VLOOKUP($A353,OFFSET([2]characters!$A$1,0,0,COUNTA([2]characters!$A:$A),MATCH(C$1,[2]characters!$1:$1,0)-MATCH($A$1,[2]characters!$1:$1,0)+1),MATCH(C$1,[2]characters!$1:$1,0)-MATCH($A$1,[2]characters!$1:$1,0)+1,FALSE)</f>
        <v>イベント:デュラララ01　杏里</v>
      </c>
      <c r="D353" s="24" t="str">
        <f ca="1">VLOOKUP($A353,OFFSET([2]characters!$A$1,0,0,COUNTA([2]characters!$A:$A),MATCH(D$1,[2]characters!$1:$1,0)-MATCH($A$1,[2]characters!$1:$1,0)+1),MATCH(D$1,[2]characters!$1:$1,0)-MATCH($A$1,[2]characters!$1:$1,0)+1,FALSE)</f>
        <v>執行者</v>
      </c>
      <c r="E353" s="24" t="str">
        <f ca="1">VLOOKUP($A353,OFFSET([2]characters!$A$1,0,0,COUNTA([2]characters!$A:$A),MATCH(E$1,[2]characters!$1:$1,0)-MATCH($A$1,[2]characters!$1:$1,0)+1),MATCH(E$1,[2]characters!$1:$1,0)-MATCH($A$1,[2]characters!$1:$1,0)+1,FALSE)</f>
        <v>格好いい</v>
      </c>
      <c r="F353" s="24" t="str">
        <f ca="1">VLOOKUP($A353,OFFSET([2]characters!$A$1,0,0,COUNTA([2]characters!$A:$A),MATCH(F$1,[2]characters!$1:$1,0)-MATCH($A$1,[2]characters!$1:$1,0)+1),MATCH(F$1,[2]characters!$1:$1,0)-MATCH($A$1,[2]characters!$1:$1,0)+1,FALSE)</f>
        <v>女性</v>
      </c>
      <c r="G353" s="24">
        <f ca="1">VLOOKUP($A353,OFFSET([2]characters!$A$1,0,0,COUNTA([2]characters!$A:$A),MATCH(G$1,[2]characters!$1:$1,0)-MATCH($A$1,[2]characters!$1:$1,0)+1),MATCH(G$1,[2]characters!$1:$1,0)-MATCH($A$1,[2]characters!$1:$1,0)+1,FALSE)</f>
        <v>5</v>
      </c>
      <c r="H353" s="24" t="str">
        <f ca="1">VLOOKUP($A353,OFFSET([2]characters!$A$1,0,0,COUNTA([2]characters!$A:$A),MATCH(H$1,[2]characters!$1:$1,0)-MATCH($A$1,[2]characters!$1:$1,0)+1),MATCH(H$1,[2]characters!$1:$1,0)-MATCH($A$1,[2]characters!$1:$1,0)+1,FALSE)</f>
        <v>DropWizS</v>
      </c>
      <c r="I353" s="24" t="str">
        <f ca="1">VLOOKUP($A353,OFFSET([2]characters!$A$1,0,0,COUNTA([2]characters!$A:$A),MATCH(I$1,[2]characters!$1:$1,0)-MATCH($A$1,[2]characters!$1:$1,0)+1),MATCH(I$1,[2]characters!$1:$1,0)-MATCH($A$1,[2]characters!$1:$1,0)+1,FALSE)</f>
        <v>red</v>
      </c>
      <c r="J353" s="24" t="str">
        <f ca="1">VLOOKUP($A353,OFFSET([2]characters!$A$1,0,0,COUNTA([2]characters!$A:$A),MATCH(J$1,[2]characters!$1:$1,0)-MATCH($A$1,[2]characters!$1:$1,0)+1),MATCH(J$1,[2]characters!$1:$1,0)-MATCH($A$1,[2]characters!$1:$1,0)+1,FALSE)</f>
        <v>unknown</v>
      </c>
      <c r="K353" s="3" t="str">
        <f ca="1">VLOOKUP(J353,[2]character_tribe_i18n!$A:$H,3,FALSE)</f>
        <v>Unknown</v>
      </c>
      <c r="L353" s="5" t="e">
        <f>VLOOKUP(#REF!,[2]character_tribe_i18n!$A:$H,4,FALSE)</f>
        <v>#REF!</v>
      </c>
      <c r="M353" s="5" t="e">
        <f>VLOOKUP(#REF!,[2]character_tribe_i18n!$A:$H,5,FALSE)</f>
        <v>#REF!</v>
      </c>
      <c r="N353" s="5" t="e">
        <f>VLOOKUP(#REF!,[2]character_tribe_i18n!$A:$H,6,FALSE)</f>
        <v>#REF!</v>
      </c>
      <c r="O353" s="5" t="e">
        <f>VLOOKUP(#REF!,[2]character_tribe_i18n!$A:$H,7,FALSE)</f>
        <v>#REF!</v>
      </c>
      <c r="P353" s="83" t="s">
        <v>170</v>
      </c>
      <c r="Q353">
        <v>699</v>
      </c>
      <c r="R353" s="25" t="str">
        <f ca="1">IF(Q353="NULL","",VLOOKUP($Q353,OFFSET([2]characters!$A$1,0,0,COUNTA([2]characters!$A:$A),MATCH(R$1,[2]characters!$1:$1,0)-MATCH($A$1,[2]characters!$1:$1,0)+1),MATCH(R$1,[2]characters!$1:$1,0)-MATCH($A$1,[2]characters!$1:$1,0)+1,FALSE))</f>
        <v>依存の母愛　園原杏里</v>
      </c>
      <c r="S353" s="3">
        <f t="shared" ca="1" si="8"/>
        <v>698</v>
      </c>
      <c r="T353" s="25" t="str">
        <f ca="1">VLOOKUP($S353,OFFSET([2]characters!$A$1,0,0,COUNTA([2]characters!$A:$A),MATCH(T$1,[2]characters!$1:$1,0)-MATCH($A$1,[2]characters!$1:$1,0)+1),MATCH(T$1,[2]characters!$1:$1,0)-MATCH($A$1,[2]characters!$1:$1,0)+1,FALSE)</f>
        <v>園原杏里</v>
      </c>
      <c r="U353" s="5">
        <f ca="1">IF(Q353="NULL","NULL",VLOOKUP(G353,ビット!$A$2:$B$7,2))</f>
        <v>200000</v>
      </c>
      <c r="V353">
        <v>200000</v>
      </c>
      <c r="W353" s="6" t="str">
        <f t="shared" ca="1" si="9"/>
        <v>TRUE</v>
      </c>
    </row>
    <row r="354" spans="1:23" ht="21" customHeight="1" x14ac:dyDescent="0.15">
      <c r="A354" s="84">
        <v>700</v>
      </c>
      <c r="B354" s="24" t="str">
        <f ca="1">VLOOKUP($A354,OFFSET([2]characters!$A$1,0,0,COUNTA([2]characters!$A:$A),MATCH(B$1,[2]characters!$1:$1,0)-MATCH($A$1,[2]characters!$1:$1,0)+1),MATCH(B$1,[2]characters!$1:$1,0)-MATCH($A$1,[2]characters!$1:$1,0)+1,FALSE)</f>
        <v>折原臨也</v>
      </c>
      <c r="C354" s="24" t="str">
        <f ca="1">VLOOKUP($A354,OFFSET([2]characters!$A$1,0,0,COUNTA([2]characters!$A:$A),MATCH(C$1,[2]characters!$1:$1,0)-MATCH($A$1,[2]characters!$1:$1,0)+1),MATCH(C$1,[2]characters!$1:$1,0)-MATCH($A$1,[2]characters!$1:$1,0)+1,FALSE)</f>
        <v>イベント:デュラララ01　折原</v>
      </c>
      <c r="D354" s="24" t="str">
        <f ca="1">VLOOKUP($A354,OFFSET([2]characters!$A$1,0,0,COUNTA([2]characters!$A:$A),MATCH(D$1,[2]characters!$1:$1,0)-MATCH($A$1,[2]characters!$1:$1,0)+1),MATCH(D$1,[2]characters!$1:$1,0)-MATCH($A$1,[2]characters!$1:$1,0)+1,FALSE)</f>
        <v>執行者</v>
      </c>
      <c r="E354" s="24" t="str">
        <f ca="1">VLOOKUP($A354,OFFSET([2]characters!$A$1,0,0,COUNTA([2]characters!$A:$A),MATCH(E$1,[2]characters!$1:$1,0)-MATCH($A$1,[2]characters!$1:$1,0)+1),MATCH(E$1,[2]characters!$1:$1,0)-MATCH($A$1,[2]characters!$1:$1,0)+1,FALSE)</f>
        <v>格好いい</v>
      </c>
      <c r="F354" s="24" t="str">
        <f ca="1">VLOOKUP($A354,OFFSET([2]characters!$A$1,0,0,COUNTA([2]characters!$A:$A),MATCH(F$1,[2]characters!$1:$1,0)-MATCH($A$1,[2]characters!$1:$1,0)+1),MATCH(F$1,[2]characters!$1:$1,0)-MATCH($A$1,[2]characters!$1:$1,0)+1,FALSE)</f>
        <v>男性</v>
      </c>
      <c r="G354" s="24">
        <f ca="1">VLOOKUP($A354,OFFSET([2]characters!$A$1,0,0,COUNTA([2]characters!$A:$A),MATCH(G$1,[2]characters!$1:$1,0)-MATCH($A$1,[2]characters!$1:$1,0)+1),MATCH(G$1,[2]characters!$1:$1,0)-MATCH($A$1,[2]characters!$1:$1,0)+1,FALSE)</f>
        <v>5</v>
      </c>
      <c r="H354" s="24" t="str">
        <f ca="1">VLOOKUP($A354,OFFSET([2]characters!$A$1,0,0,COUNTA([2]characters!$A:$A),MATCH(H$1,[2]characters!$1:$1,0)-MATCH($A$1,[2]characters!$1:$1,0)+1),MATCH(H$1,[2]characters!$1:$1,0)-MATCH($A$1,[2]characters!$1:$1,0)+1,FALSE)</f>
        <v>DropWizS</v>
      </c>
      <c r="I354" s="24" t="str">
        <f ca="1">VLOOKUP($A354,OFFSET([2]characters!$A$1,0,0,COUNTA([2]characters!$A:$A),MATCH(I$1,[2]characters!$1:$1,0)-MATCH($A$1,[2]characters!$1:$1,0)+1),MATCH(I$1,[2]characters!$1:$1,0)-MATCH($A$1,[2]characters!$1:$1,0)+1,FALSE)</f>
        <v>blue</v>
      </c>
      <c r="J354" s="24" t="str">
        <f ca="1">VLOOKUP($A354,OFFSET([2]characters!$A$1,0,0,COUNTA([2]characters!$A:$A),MATCH(J$1,[2]characters!$1:$1,0)-MATCH($A$1,[2]characters!$1:$1,0)+1),MATCH(J$1,[2]characters!$1:$1,0)-MATCH($A$1,[2]characters!$1:$1,0)+1,FALSE)</f>
        <v>none</v>
      </c>
      <c r="K354" s="3" t="str">
        <f ca="1">VLOOKUP(J354,[2]character_tribe_i18n!$A:$H,3,FALSE)</f>
        <v>種族なし</v>
      </c>
      <c r="L354" s="5" t="e">
        <f>VLOOKUP(#REF!,[2]character_tribe_i18n!$A:$H,4,FALSE)</f>
        <v>#REF!</v>
      </c>
      <c r="M354" s="5" t="e">
        <f>VLOOKUP(#REF!,[2]character_tribe_i18n!$A:$H,5,FALSE)</f>
        <v>#REF!</v>
      </c>
      <c r="N354" s="5" t="e">
        <f>VLOOKUP(#REF!,[2]character_tribe_i18n!$A:$H,6,FALSE)</f>
        <v>#REF!</v>
      </c>
      <c r="O354" s="5" t="e">
        <f>VLOOKUP(#REF!,[2]character_tribe_i18n!$A:$H,7,FALSE)</f>
        <v>#REF!</v>
      </c>
      <c r="P354" s="83" t="s">
        <v>170</v>
      </c>
      <c r="Q354">
        <v>701</v>
      </c>
      <c r="R354" s="25" t="str">
        <f ca="1">IF(Q354="NULL","",VLOOKUP($Q354,OFFSET([2]characters!$A$1,0,0,COUNTA([2]characters!$A:$A),MATCH(R$1,[2]characters!$1:$1,0)-MATCH($A$1,[2]characters!$1:$1,0)+1),MATCH(R$1,[2]characters!$1:$1,0)-MATCH($A$1,[2]characters!$1:$1,0)+1,FALSE))</f>
        <v>謀略の情報屋 折原臨也</v>
      </c>
      <c r="S354" s="3">
        <f t="shared" ca="1" si="8"/>
        <v>700</v>
      </c>
      <c r="T354" s="25" t="str">
        <f ca="1">VLOOKUP($S354,OFFSET([2]characters!$A$1,0,0,COUNTA([2]characters!$A:$A),MATCH(T$1,[2]characters!$1:$1,0)-MATCH($A$1,[2]characters!$1:$1,0)+1),MATCH(T$1,[2]characters!$1:$1,0)-MATCH($A$1,[2]characters!$1:$1,0)+1,FALSE)</f>
        <v>折原臨也</v>
      </c>
      <c r="U354" s="5">
        <f ca="1">IF(Q354="NULL","NULL",VLOOKUP(G354,ビット!$A$2:$B$7,2))</f>
        <v>200000</v>
      </c>
      <c r="V354">
        <v>200000</v>
      </c>
      <c r="W354" s="6" t="str">
        <f t="shared" ref="W354:W379" ca="1" si="10">IF(U354=V354,"TRUE","FALSE")</f>
        <v>TRUE</v>
      </c>
    </row>
    <row r="355" spans="1:23" ht="21" customHeight="1" x14ac:dyDescent="0.15">
      <c r="A355" s="84">
        <v>702</v>
      </c>
      <c r="B355" s="24" t="str">
        <f ca="1">VLOOKUP($A355,OFFSET([2]characters!$A$1,0,0,COUNTA([2]characters!$A:$A),MATCH(B$1,[2]characters!$1:$1,0)-MATCH($A$1,[2]characters!$1:$1,0)+1),MATCH(B$1,[2]characters!$1:$1,0)-MATCH($A$1,[2]characters!$1:$1,0)+1,FALSE)</f>
        <v>サイモン</v>
      </c>
      <c r="C355" s="24" t="str">
        <f ca="1">VLOOKUP($A355,OFFSET([2]characters!$A$1,0,0,COUNTA([2]characters!$A:$A),MATCH(C$1,[2]characters!$1:$1,0)-MATCH($A$1,[2]characters!$1:$1,0)+1),MATCH(C$1,[2]characters!$1:$1,0)-MATCH($A$1,[2]characters!$1:$1,0)+1,FALSE)</f>
        <v>ガチャ:デュラララ01　サイモン</v>
      </c>
      <c r="D355" s="24" t="str">
        <f ca="1">VLOOKUP($A355,OFFSET([2]characters!$A$1,0,0,COUNTA([2]characters!$A:$A),MATCH(D$1,[2]characters!$1:$1,0)-MATCH($A$1,[2]characters!$1:$1,0)+1),MATCH(D$1,[2]characters!$1:$1,0)-MATCH($A$1,[2]characters!$1:$1,0)+1,FALSE)</f>
        <v>執行者</v>
      </c>
      <c r="E355" s="24" t="str">
        <f ca="1">VLOOKUP($A355,OFFSET([2]characters!$A$1,0,0,COUNTA([2]characters!$A:$A),MATCH(E$1,[2]characters!$1:$1,0)-MATCH($A$1,[2]characters!$1:$1,0)+1),MATCH(E$1,[2]characters!$1:$1,0)-MATCH($A$1,[2]characters!$1:$1,0)+1,FALSE)</f>
        <v>格好いい</v>
      </c>
      <c r="F355" s="24" t="str">
        <f ca="1">VLOOKUP($A355,OFFSET([2]characters!$A$1,0,0,COUNTA([2]characters!$A:$A),MATCH(F$1,[2]characters!$1:$1,0)-MATCH($A$1,[2]characters!$1:$1,0)+1),MATCH(F$1,[2]characters!$1:$1,0)-MATCH($A$1,[2]characters!$1:$1,0)+1,FALSE)</f>
        <v>男性</v>
      </c>
      <c r="G355" s="24">
        <f ca="1">VLOOKUP($A355,OFFSET([2]characters!$A$1,0,0,COUNTA([2]characters!$A:$A),MATCH(G$1,[2]characters!$1:$1,0)-MATCH($A$1,[2]characters!$1:$1,0)+1),MATCH(G$1,[2]characters!$1:$1,0)-MATCH($A$1,[2]characters!$1:$1,0)+1,FALSE)</f>
        <v>4</v>
      </c>
      <c r="H355" s="24" t="str">
        <f ca="1">VLOOKUP($A355,OFFSET([2]characters!$A$1,0,0,COUNTA([2]characters!$A:$A),MATCH(H$1,[2]characters!$1:$1,0)-MATCH($A$1,[2]characters!$1:$1,0)+1),MATCH(H$1,[2]characters!$1:$1,0)-MATCH($A$1,[2]characters!$1:$1,0)+1,FALSE)</f>
        <v>PremiumS</v>
      </c>
      <c r="I355" s="24" t="str">
        <f ca="1">VLOOKUP($A355,OFFSET([2]characters!$A$1,0,0,COUNTA([2]characters!$A:$A),MATCH(I$1,[2]characters!$1:$1,0)-MATCH($A$1,[2]characters!$1:$1,0)+1),MATCH(I$1,[2]characters!$1:$1,0)-MATCH($A$1,[2]characters!$1:$1,0)+1,FALSE)</f>
        <v>red</v>
      </c>
      <c r="J355" s="24" t="str">
        <f ca="1">VLOOKUP($A355,OFFSET([2]characters!$A$1,0,0,COUNTA([2]characters!$A:$A),MATCH(J$1,[2]characters!$1:$1,0)-MATCH($A$1,[2]characters!$1:$1,0)+1),MATCH(J$1,[2]characters!$1:$1,0)-MATCH($A$1,[2]characters!$1:$1,0)+1,FALSE)</f>
        <v>none</v>
      </c>
      <c r="K355" s="3" t="str">
        <f ca="1">VLOOKUP(J355,[2]character_tribe_i18n!$A:$H,3,FALSE)</f>
        <v>種族なし</v>
      </c>
      <c r="L355" s="5" t="e">
        <f>VLOOKUP(#REF!,[2]character_tribe_i18n!$A:$H,4,FALSE)</f>
        <v>#REF!</v>
      </c>
      <c r="M355" s="5" t="e">
        <f>VLOOKUP(#REF!,[2]character_tribe_i18n!$A:$H,5,FALSE)</f>
        <v>#REF!</v>
      </c>
      <c r="N355" s="5" t="e">
        <f>VLOOKUP(#REF!,[2]character_tribe_i18n!$A:$H,6,FALSE)</f>
        <v>#REF!</v>
      </c>
      <c r="O355" s="5" t="e">
        <f>VLOOKUP(#REF!,[2]character_tribe_i18n!$A:$H,7,FALSE)</f>
        <v>#REF!</v>
      </c>
      <c r="P355" s="83" t="s">
        <v>170</v>
      </c>
      <c r="Q355">
        <v>703</v>
      </c>
      <c r="R355" s="25" t="str">
        <f ca="1">IF(Q355="NULL","",VLOOKUP($Q355,OFFSET([2]characters!$A$1,0,0,COUNTA([2]characters!$A:$A),MATCH(R$1,[2]characters!$1:$1,0)-MATCH($A$1,[2]characters!$1:$1,0)+1),MATCH(R$1,[2]characters!$1:$1,0)-MATCH($A$1,[2]characters!$1:$1,0)+1,FALSE))</f>
        <v>豪腕静穏な寿司屋 サイモン</v>
      </c>
      <c r="S355" s="3">
        <f t="shared" ca="1" si="8"/>
        <v>702</v>
      </c>
      <c r="T355" s="25" t="str">
        <f ca="1">VLOOKUP($S355,OFFSET([2]characters!$A$1,0,0,COUNTA([2]characters!$A:$A),MATCH(T$1,[2]characters!$1:$1,0)-MATCH($A$1,[2]characters!$1:$1,0)+1),MATCH(T$1,[2]characters!$1:$1,0)-MATCH($A$1,[2]characters!$1:$1,0)+1,FALSE)</f>
        <v>サイモン</v>
      </c>
      <c r="U355" s="5">
        <f ca="1">IF(Q355="NULL","NULL",VLOOKUP(G355,ビット!$A$2:$B$7,2))</f>
        <v>50000</v>
      </c>
      <c r="V355">
        <v>50000</v>
      </c>
      <c r="W355" s="6" t="str">
        <f t="shared" ca="1" si="10"/>
        <v>TRUE</v>
      </c>
    </row>
    <row r="356" spans="1:23" ht="21" customHeight="1" x14ac:dyDescent="0.15">
      <c r="A356" s="84">
        <v>704</v>
      </c>
      <c r="B356" s="24" t="str">
        <f ca="1">VLOOKUP($A356,OFFSET([2]characters!$A$1,0,0,COUNTA([2]characters!$A:$A),MATCH(B$1,[2]characters!$1:$1,0)-MATCH($A$1,[2]characters!$1:$1,0)+1),MATCH(B$1,[2]characters!$1:$1,0)-MATCH($A$1,[2]characters!$1:$1,0)+1,FALSE)</f>
        <v>贄川春奈</v>
      </c>
      <c r="C356" s="24" t="str">
        <f ca="1">VLOOKUP($A356,OFFSET([2]characters!$A$1,0,0,COUNTA([2]characters!$A:$A),MATCH(C$1,[2]characters!$1:$1,0)-MATCH($A$1,[2]characters!$1:$1,0)+1),MATCH(C$1,[2]characters!$1:$1,0)-MATCH($A$1,[2]characters!$1:$1,0)+1,FALSE)</f>
        <v>ガチャ:デュラララ01　贄川</v>
      </c>
      <c r="D356" s="24" t="str">
        <f ca="1">VLOOKUP($A356,OFFSET([2]characters!$A$1,0,0,COUNTA([2]characters!$A:$A),MATCH(D$1,[2]characters!$1:$1,0)-MATCH($A$1,[2]characters!$1:$1,0)+1),MATCH(D$1,[2]characters!$1:$1,0)-MATCH($A$1,[2]characters!$1:$1,0)+1,FALSE)</f>
        <v>執行者</v>
      </c>
      <c r="E356" s="24" t="str">
        <f ca="1">VLOOKUP($A356,OFFSET([2]characters!$A$1,0,0,COUNTA([2]characters!$A:$A),MATCH(E$1,[2]characters!$1:$1,0)-MATCH($A$1,[2]characters!$1:$1,0)+1),MATCH(E$1,[2]characters!$1:$1,0)-MATCH($A$1,[2]characters!$1:$1,0)+1,FALSE)</f>
        <v>格好いい</v>
      </c>
      <c r="F356" s="24" t="str">
        <f ca="1">VLOOKUP($A356,OFFSET([2]characters!$A$1,0,0,COUNTA([2]characters!$A:$A),MATCH(F$1,[2]characters!$1:$1,0)-MATCH($A$1,[2]characters!$1:$1,0)+1),MATCH(F$1,[2]characters!$1:$1,0)-MATCH($A$1,[2]characters!$1:$1,0)+1,FALSE)</f>
        <v>女性</v>
      </c>
      <c r="G356" s="24">
        <f ca="1">VLOOKUP($A356,OFFSET([2]characters!$A$1,0,0,COUNTA([2]characters!$A:$A),MATCH(G$1,[2]characters!$1:$1,0)-MATCH($A$1,[2]characters!$1:$1,0)+1),MATCH(G$1,[2]characters!$1:$1,0)-MATCH($A$1,[2]characters!$1:$1,0)+1,FALSE)</f>
        <v>3</v>
      </c>
      <c r="H356" s="24" t="str">
        <f ca="1">VLOOKUP($A356,OFFSET([2]characters!$A$1,0,0,COUNTA([2]characters!$A:$A),MATCH(H$1,[2]characters!$1:$1,0)-MATCH($A$1,[2]characters!$1:$1,0)+1),MATCH(H$1,[2]characters!$1:$1,0)-MATCH($A$1,[2]characters!$1:$1,0)+1,FALSE)</f>
        <v>PremiumN</v>
      </c>
      <c r="I356" s="24" t="str">
        <f ca="1">VLOOKUP($A356,OFFSET([2]characters!$A$1,0,0,COUNTA([2]characters!$A:$A),MATCH(I$1,[2]characters!$1:$1,0)-MATCH($A$1,[2]characters!$1:$1,0)+1),MATCH(I$1,[2]characters!$1:$1,0)-MATCH($A$1,[2]characters!$1:$1,0)+1,FALSE)</f>
        <v>red</v>
      </c>
      <c r="J356" s="24" t="str">
        <f ca="1">VLOOKUP($A356,OFFSET([2]characters!$A$1,0,0,COUNTA([2]characters!$A:$A),MATCH(J$1,[2]characters!$1:$1,0)-MATCH($A$1,[2]characters!$1:$1,0)+1),MATCH(J$1,[2]characters!$1:$1,0)-MATCH($A$1,[2]characters!$1:$1,0)+1,FALSE)</f>
        <v>none</v>
      </c>
      <c r="K356" s="3" t="str">
        <f ca="1">VLOOKUP(J356,[2]character_tribe_i18n!$A:$H,3,FALSE)</f>
        <v>種族なし</v>
      </c>
      <c r="L356" s="5" t="e">
        <f>VLOOKUP(#REF!,[2]character_tribe_i18n!$A:$H,4,FALSE)</f>
        <v>#REF!</v>
      </c>
      <c r="M356" s="5" t="e">
        <f>VLOOKUP(#REF!,[2]character_tribe_i18n!$A:$H,5,FALSE)</f>
        <v>#REF!</v>
      </c>
      <c r="N356" s="5" t="e">
        <f>VLOOKUP(#REF!,[2]character_tribe_i18n!$A:$H,6,FALSE)</f>
        <v>#REF!</v>
      </c>
      <c r="O356" s="5" t="e">
        <f>VLOOKUP(#REF!,[2]character_tribe_i18n!$A:$H,7,FALSE)</f>
        <v>#REF!</v>
      </c>
      <c r="P356" s="83" t="s">
        <v>170</v>
      </c>
      <c r="Q356">
        <v>705</v>
      </c>
      <c r="R356" s="25" t="str">
        <f ca="1">IF(Q356="NULL","",VLOOKUP($Q356,OFFSET([2]characters!$A$1,0,0,COUNTA([2]characters!$A:$A),MATCH(R$1,[2]characters!$1:$1,0)-MATCH($A$1,[2]characters!$1:$1,0)+1),MATCH(R$1,[2]characters!$1:$1,0)-MATCH($A$1,[2]characters!$1:$1,0)+1,FALSE))</f>
        <v>狂愛なる罪歌の子　贄川春奈</v>
      </c>
      <c r="S356" s="3">
        <f t="shared" ca="1" si="8"/>
        <v>704</v>
      </c>
      <c r="T356" s="25" t="str">
        <f ca="1">VLOOKUP($S356,OFFSET([2]characters!$A$1,0,0,COUNTA([2]characters!$A:$A),MATCH(T$1,[2]characters!$1:$1,0)-MATCH($A$1,[2]characters!$1:$1,0)+1),MATCH(T$1,[2]characters!$1:$1,0)-MATCH($A$1,[2]characters!$1:$1,0)+1,FALSE)</f>
        <v>贄川春奈</v>
      </c>
      <c r="U356" s="5">
        <f ca="1">IF(Q356="NULL","NULL",VLOOKUP(G356,ビット!$A$2:$B$7,2))</f>
        <v>20000</v>
      </c>
      <c r="V356">
        <v>20000</v>
      </c>
      <c r="W356" s="6" t="str">
        <f t="shared" ca="1" si="10"/>
        <v>TRUE</v>
      </c>
    </row>
    <row r="357" spans="1:23" ht="21" customHeight="1" x14ac:dyDescent="0.15">
      <c r="A357" s="84">
        <v>706</v>
      </c>
      <c r="B357" s="24" t="str">
        <f ca="1">VLOOKUP($A357,OFFSET([2]characters!$A$1,0,0,COUNTA([2]characters!$A:$A),MATCH(B$1,[2]characters!$1:$1,0)-MATCH($A$1,[2]characters!$1:$1,0)+1),MATCH(B$1,[2]characters!$1:$1,0)-MATCH($A$1,[2]characters!$1:$1,0)+1,FALSE)</f>
        <v>岸谷新羅</v>
      </c>
      <c r="C357" s="24" t="str">
        <f ca="1">VLOOKUP($A357,OFFSET([2]characters!$A$1,0,0,COUNTA([2]characters!$A:$A),MATCH(C$1,[2]characters!$1:$1,0)-MATCH($A$1,[2]characters!$1:$1,0)+1),MATCH(C$1,[2]characters!$1:$1,0)-MATCH($A$1,[2]characters!$1:$1,0)+1,FALSE)</f>
        <v>ガチャ:デュラララ01　岸谷</v>
      </c>
      <c r="D357" s="24" t="str">
        <f ca="1">VLOOKUP($A357,OFFSET([2]characters!$A$1,0,0,COUNTA([2]characters!$A:$A),MATCH(D$1,[2]characters!$1:$1,0)-MATCH($A$1,[2]characters!$1:$1,0)+1),MATCH(D$1,[2]characters!$1:$1,0)-MATCH($A$1,[2]characters!$1:$1,0)+1,FALSE)</f>
        <v>執行者</v>
      </c>
      <c r="E357" s="24" t="str">
        <f ca="1">VLOOKUP($A357,OFFSET([2]characters!$A$1,0,0,COUNTA([2]characters!$A:$A),MATCH(E$1,[2]characters!$1:$1,0)-MATCH($A$1,[2]characters!$1:$1,0)+1),MATCH(E$1,[2]characters!$1:$1,0)-MATCH($A$1,[2]characters!$1:$1,0)+1,FALSE)</f>
        <v>格好いい</v>
      </c>
      <c r="F357" s="24" t="str">
        <f ca="1">VLOOKUP($A357,OFFSET([2]characters!$A$1,0,0,COUNTA([2]characters!$A:$A),MATCH(F$1,[2]characters!$1:$1,0)-MATCH($A$1,[2]characters!$1:$1,0)+1),MATCH(F$1,[2]characters!$1:$1,0)-MATCH($A$1,[2]characters!$1:$1,0)+1,FALSE)</f>
        <v>男性</v>
      </c>
      <c r="G357" s="24">
        <f ca="1">VLOOKUP($A357,OFFSET([2]characters!$A$1,0,0,COUNTA([2]characters!$A:$A),MATCH(G$1,[2]characters!$1:$1,0)-MATCH($A$1,[2]characters!$1:$1,0)+1),MATCH(G$1,[2]characters!$1:$1,0)-MATCH($A$1,[2]characters!$1:$1,0)+1,FALSE)</f>
        <v>4</v>
      </c>
      <c r="H357" s="24" t="str">
        <f ca="1">VLOOKUP($A357,OFFSET([2]characters!$A$1,0,0,COUNTA([2]characters!$A:$A),MATCH(H$1,[2]characters!$1:$1,0)-MATCH($A$1,[2]characters!$1:$1,0)+1),MATCH(H$1,[2]characters!$1:$1,0)-MATCH($A$1,[2]characters!$1:$1,0)+1,FALSE)</f>
        <v>PremiumS</v>
      </c>
      <c r="I357" s="24" t="str">
        <f ca="1">VLOOKUP($A357,OFFSET([2]characters!$A$1,0,0,COUNTA([2]characters!$A:$A),MATCH(I$1,[2]characters!$1:$1,0)-MATCH($A$1,[2]characters!$1:$1,0)+1),MATCH(I$1,[2]characters!$1:$1,0)-MATCH($A$1,[2]characters!$1:$1,0)+1,FALSE)</f>
        <v>green</v>
      </c>
      <c r="J357" s="24" t="str">
        <f ca="1">VLOOKUP($A357,OFFSET([2]characters!$A$1,0,0,COUNTA([2]characters!$A:$A),MATCH(J$1,[2]characters!$1:$1,0)-MATCH($A$1,[2]characters!$1:$1,0)+1),MATCH(J$1,[2]characters!$1:$1,0)-MATCH($A$1,[2]characters!$1:$1,0)+1,FALSE)</f>
        <v>none</v>
      </c>
      <c r="K357" s="3" t="str">
        <f ca="1">VLOOKUP(J357,[2]character_tribe_i18n!$A:$H,3,FALSE)</f>
        <v>種族なし</v>
      </c>
      <c r="L357" s="5" t="e">
        <f>VLOOKUP(#REF!,[2]character_tribe_i18n!$A:$H,4,FALSE)</f>
        <v>#REF!</v>
      </c>
      <c r="M357" s="5" t="e">
        <f>VLOOKUP(#REF!,[2]character_tribe_i18n!$A:$H,5,FALSE)</f>
        <v>#REF!</v>
      </c>
      <c r="N357" s="5" t="e">
        <f>VLOOKUP(#REF!,[2]character_tribe_i18n!$A:$H,6,FALSE)</f>
        <v>#REF!</v>
      </c>
      <c r="O357" s="5" t="e">
        <f>VLOOKUP(#REF!,[2]character_tribe_i18n!$A:$H,7,FALSE)</f>
        <v>#REF!</v>
      </c>
      <c r="P357" s="83" t="s">
        <v>170</v>
      </c>
      <c r="Q357">
        <v>707</v>
      </c>
      <c r="R357" s="25" t="str">
        <f ca="1">IF(Q357="NULL","",VLOOKUP($Q357,OFFSET([2]characters!$A$1,0,0,COUNTA([2]characters!$A:$A),MATCH(R$1,[2]characters!$1:$1,0)-MATCH($A$1,[2]characters!$1:$1,0)+1),MATCH(R$1,[2]characters!$1:$1,0)-MATCH($A$1,[2]characters!$1:$1,0)+1,FALSE))</f>
        <v>愛月撤灯の闇医者 岸谷新羅</v>
      </c>
      <c r="S357" s="3">
        <f t="shared" ca="1" si="8"/>
        <v>706</v>
      </c>
      <c r="T357" s="25" t="str">
        <f ca="1">VLOOKUP($S357,OFFSET([2]characters!$A$1,0,0,COUNTA([2]characters!$A:$A),MATCH(T$1,[2]characters!$1:$1,0)-MATCH($A$1,[2]characters!$1:$1,0)+1),MATCH(T$1,[2]characters!$1:$1,0)-MATCH($A$1,[2]characters!$1:$1,0)+1,FALSE)</f>
        <v>岸谷新羅</v>
      </c>
      <c r="U357" s="5">
        <f ca="1">IF(Q357="NULL","NULL",VLOOKUP(G357,ビット!$A$2:$B$7,2))</f>
        <v>50000</v>
      </c>
      <c r="V357">
        <v>50000</v>
      </c>
      <c r="W357" s="6" t="str">
        <f t="shared" ca="1" si="10"/>
        <v>TRUE</v>
      </c>
    </row>
    <row r="358" spans="1:23" ht="21" customHeight="1" x14ac:dyDescent="0.15">
      <c r="A358" s="84">
        <v>708</v>
      </c>
      <c r="B358" s="24" t="str">
        <f ca="1">VLOOKUP($A358,OFFSET([2]characters!$A$1,0,0,COUNTA([2]characters!$A:$A),MATCH(B$1,[2]characters!$1:$1,0)-MATCH($A$1,[2]characters!$1:$1,0)+1),MATCH(B$1,[2]characters!$1:$1,0)-MATCH($A$1,[2]characters!$1:$1,0)+1,FALSE)</f>
        <v>門田京平</v>
      </c>
      <c r="C358" s="24" t="str">
        <f ca="1">VLOOKUP($A358,OFFSET([2]characters!$A$1,0,0,COUNTA([2]characters!$A:$A),MATCH(C$1,[2]characters!$1:$1,0)-MATCH($A$1,[2]characters!$1:$1,0)+1),MATCH(C$1,[2]characters!$1:$1,0)-MATCH($A$1,[2]characters!$1:$1,0)+1,FALSE)</f>
        <v>ガチャ:デュラララ01　門田</v>
      </c>
      <c r="D358" s="24" t="str">
        <f ca="1">VLOOKUP($A358,OFFSET([2]characters!$A$1,0,0,COUNTA([2]characters!$A:$A),MATCH(D$1,[2]characters!$1:$1,0)-MATCH($A$1,[2]characters!$1:$1,0)+1),MATCH(D$1,[2]characters!$1:$1,0)-MATCH($A$1,[2]characters!$1:$1,0)+1,FALSE)</f>
        <v>執行者</v>
      </c>
      <c r="E358" s="24" t="str">
        <f ca="1">VLOOKUP($A358,OFFSET([2]characters!$A$1,0,0,COUNTA([2]characters!$A:$A),MATCH(E$1,[2]characters!$1:$1,0)-MATCH($A$1,[2]characters!$1:$1,0)+1),MATCH(E$1,[2]characters!$1:$1,0)-MATCH($A$1,[2]characters!$1:$1,0)+1,FALSE)</f>
        <v>格好いい</v>
      </c>
      <c r="F358" s="24" t="str">
        <f ca="1">VLOOKUP($A358,OFFSET([2]characters!$A$1,0,0,COUNTA([2]characters!$A:$A),MATCH(F$1,[2]characters!$1:$1,0)-MATCH($A$1,[2]characters!$1:$1,0)+1),MATCH(F$1,[2]characters!$1:$1,0)-MATCH($A$1,[2]characters!$1:$1,0)+1,FALSE)</f>
        <v>男性</v>
      </c>
      <c r="G358" s="24">
        <f ca="1">VLOOKUP($A358,OFFSET([2]characters!$A$1,0,0,COUNTA([2]characters!$A:$A),MATCH(G$1,[2]characters!$1:$1,0)-MATCH($A$1,[2]characters!$1:$1,0)+1),MATCH(G$1,[2]characters!$1:$1,0)-MATCH($A$1,[2]characters!$1:$1,0)+1,FALSE)</f>
        <v>3</v>
      </c>
      <c r="H358" s="24" t="str">
        <f ca="1">VLOOKUP($A358,OFFSET([2]characters!$A$1,0,0,COUNTA([2]characters!$A:$A),MATCH(H$1,[2]characters!$1:$1,0)-MATCH($A$1,[2]characters!$1:$1,0)+1),MATCH(H$1,[2]characters!$1:$1,0)-MATCH($A$1,[2]characters!$1:$1,0)+1,FALSE)</f>
        <v>PremiumN</v>
      </c>
      <c r="I358" s="24" t="str">
        <f ca="1">VLOOKUP($A358,OFFSET([2]characters!$A$1,0,0,COUNTA([2]characters!$A:$A),MATCH(I$1,[2]characters!$1:$1,0)-MATCH($A$1,[2]characters!$1:$1,0)+1),MATCH(I$1,[2]characters!$1:$1,0)-MATCH($A$1,[2]characters!$1:$1,0)+1,FALSE)</f>
        <v>green</v>
      </c>
      <c r="J358" s="24" t="str">
        <f ca="1">VLOOKUP($A358,OFFSET([2]characters!$A$1,0,0,COUNTA([2]characters!$A:$A),MATCH(J$1,[2]characters!$1:$1,0)-MATCH($A$1,[2]characters!$1:$1,0)+1),MATCH(J$1,[2]characters!$1:$1,0)-MATCH($A$1,[2]characters!$1:$1,0)+1,FALSE)</f>
        <v>none</v>
      </c>
      <c r="K358" s="3" t="str">
        <f ca="1">VLOOKUP(J358,[2]character_tribe_i18n!$A:$H,3,FALSE)</f>
        <v>種族なし</v>
      </c>
      <c r="L358" s="5" t="e">
        <f>VLOOKUP(#REF!,[2]character_tribe_i18n!$A:$H,4,FALSE)</f>
        <v>#REF!</v>
      </c>
      <c r="M358" s="5" t="e">
        <f>VLOOKUP(#REF!,[2]character_tribe_i18n!$A:$H,5,FALSE)</f>
        <v>#REF!</v>
      </c>
      <c r="N358" s="5" t="e">
        <f>VLOOKUP(#REF!,[2]character_tribe_i18n!$A:$H,6,FALSE)</f>
        <v>#REF!</v>
      </c>
      <c r="O358" s="5" t="e">
        <f>VLOOKUP(#REF!,[2]character_tribe_i18n!$A:$H,7,FALSE)</f>
        <v>#REF!</v>
      </c>
      <c r="P358" s="83" t="s">
        <v>170</v>
      </c>
      <c r="Q358">
        <v>709</v>
      </c>
      <c r="R358" s="25" t="str">
        <f ca="1">IF(Q358="NULL","",VLOOKUP($Q358,OFFSET([2]characters!$A$1,0,0,COUNTA([2]characters!$A:$A),MATCH(R$1,[2]characters!$1:$1,0)-MATCH($A$1,[2]characters!$1:$1,0)+1),MATCH(R$1,[2]characters!$1:$1,0)-MATCH($A$1,[2]characters!$1:$1,0)+1,FALSE))</f>
        <v>不穢の抑止力　門田京平</v>
      </c>
      <c r="S358" s="3">
        <f t="shared" ca="1" si="8"/>
        <v>708</v>
      </c>
      <c r="T358" s="25" t="str">
        <f ca="1">VLOOKUP($S358,OFFSET([2]characters!$A$1,0,0,COUNTA([2]characters!$A:$A),MATCH(T$1,[2]characters!$1:$1,0)-MATCH($A$1,[2]characters!$1:$1,0)+1),MATCH(T$1,[2]characters!$1:$1,0)-MATCH($A$1,[2]characters!$1:$1,0)+1,FALSE)</f>
        <v>門田京平</v>
      </c>
      <c r="U358" s="5">
        <f ca="1">IF(Q358="NULL","NULL",VLOOKUP(G358,ビット!$A$2:$B$7,2))</f>
        <v>20000</v>
      </c>
      <c r="V358">
        <v>20000</v>
      </c>
      <c r="W358" s="6" t="str">
        <f t="shared" ca="1" si="10"/>
        <v>TRUE</v>
      </c>
    </row>
    <row r="359" spans="1:23" ht="21" customHeight="1" x14ac:dyDescent="0.15">
      <c r="A359" s="84">
        <v>710</v>
      </c>
      <c r="B359" s="24" t="str">
        <f ca="1">VLOOKUP($A359,OFFSET([2]characters!$A$1,0,0,COUNTA([2]characters!$A:$A),MATCH(B$1,[2]characters!$1:$1,0)-MATCH($A$1,[2]characters!$1:$1,0)+1),MATCH(B$1,[2]characters!$1:$1,0)-MATCH($A$1,[2]characters!$1:$1,0)+1,FALSE)</f>
        <v>田中トム</v>
      </c>
      <c r="C359" s="24" t="str">
        <f ca="1">VLOOKUP($A359,OFFSET([2]characters!$A$1,0,0,COUNTA([2]characters!$A:$A),MATCH(C$1,[2]characters!$1:$1,0)-MATCH($A$1,[2]characters!$1:$1,0)+1),MATCH(C$1,[2]characters!$1:$1,0)-MATCH($A$1,[2]characters!$1:$1,0)+1,FALSE)</f>
        <v>ガチャ:デュラララ01　田中</v>
      </c>
      <c r="D359" s="24" t="str">
        <f ca="1">VLOOKUP($A359,OFFSET([2]characters!$A$1,0,0,COUNTA([2]characters!$A:$A),MATCH(D$1,[2]characters!$1:$1,0)-MATCH($A$1,[2]characters!$1:$1,0)+1),MATCH(D$1,[2]characters!$1:$1,0)-MATCH($A$1,[2]characters!$1:$1,0)+1,FALSE)</f>
        <v>執行者</v>
      </c>
      <c r="E359" s="24" t="str">
        <f ca="1">VLOOKUP($A359,OFFSET([2]characters!$A$1,0,0,COUNTA([2]characters!$A:$A),MATCH(E$1,[2]characters!$1:$1,0)-MATCH($A$1,[2]characters!$1:$1,0)+1),MATCH(E$1,[2]characters!$1:$1,0)-MATCH($A$1,[2]characters!$1:$1,0)+1,FALSE)</f>
        <v>格好いい</v>
      </c>
      <c r="F359" s="24" t="str">
        <f ca="1">VLOOKUP($A359,OFFSET([2]characters!$A$1,0,0,COUNTA([2]characters!$A:$A),MATCH(F$1,[2]characters!$1:$1,0)-MATCH($A$1,[2]characters!$1:$1,0)+1),MATCH(F$1,[2]characters!$1:$1,0)-MATCH($A$1,[2]characters!$1:$1,0)+1,FALSE)</f>
        <v>男性</v>
      </c>
      <c r="G359" s="24">
        <f ca="1">VLOOKUP($A359,OFFSET([2]characters!$A$1,0,0,COUNTA([2]characters!$A:$A),MATCH(G$1,[2]characters!$1:$1,0)-MATCH($A$1,[2]characters!$1:$1,0)+1),MATCH(G$1,[2]characters!$1:$1,0)-MATCH($A$1,[2]characters!$1:$1,0)+1,FALSE)</f>
        <v>3</v>
      </c>
      <c r="H359" s="24" t="str">
        <f ca="1">VLOOKUP($A359,OFFSET([2]characters!$A$1,0,0,COUNTA([2]characters!$A:$A),MATCH(H$1,[2]characters!$1:$1,0)-MATCH($A$1,[2]characters!$1:$1,0)+1),MATCH(H$1,[2]characters!$1:$1,0)-MATCH($A$1,[2]characters!$1:$1,0)+1,FALSE)</f>
        <v>PremiumN</v>
      </c>
      <c r="I359" s="24" t="str">
        <f ca="1">VLOOKUP($A359,OFFSET([2]characters!$A$1,0,0,COUNTA([2]characters!$A:$A),MATCH(I$1,[2]characters!$1:$1,0)-MATCH($A$1,[2]characters!$1:$1,0)+1),MATCH(I$1,[2]characters!$1:$1,0)-MATCH($A$1,[2]characters!$1:$1,0)+1,FALSE)</f>
        <v>green</v>
      </c>
      <c r="J359" s="24" t="str">
        <f ca="1">VLOOKUP($A359,OFFSET([2]characters!$A$1,0,0,COUNTA([2]characters!$A:$A),MATCH(J$1,[2]characters!$1:$1,0)-MATCH($A$1,[2]characters!$1:$1,0)+1),MATCH(J$1,[2]characters!$1:$1,0)-MATCH($A$1,[2]characters!$1:$1,0)+1,FALSE)</f>
        <v>none</v>
      </c>
      <c r="K359" s="3" t="str">
        <f ca="1">VLOOKUP(J359,[2]character_tribe_i18n!$A:$H,3,FALSE)</f>
        <v>種族なし</v>
      </c>
      <c r="L359" s="5" t="e">
        <f>VLOOKUP(#REF!,[2]character_tribe_i18n!$A:$H,4,FALSE)</f>
        <v>#REF!</v>
      </c>
      <c r="M359" s="5" t="e">
        <f>VLOOKUP(#REF!,[2]character_tribe_i18n!$A:$H,5,FALSE)</f>
        <v>#REF!</v>
      </c>
      <c r="N359" s="5" t="e">
        <f>VLOOKUP(#REF!,[2]character_tribe_i18n!$A:$H,6,FALSE)</f>
        <v>#REF!</v>
      </c>
      <c r="O359" s="5" t="e">
        <f>VLOOKUP(#REF!,[2]character_tribe_i18n!$A:$H,7,FALSE)</f>
        <v>#REF!</v>
      </c>
      <c r="P359" s="83" t="s">
        <v>170</v>
      </c>
      <c r="Q359">
        <v>711</v>
      </c>
      <c r="R359" s="25" t="str">
        <f ca="1">IF(Q359="NULL","",VLOOKUP($Q359,OFFSET([2]characters!$A$1,0,0,COUNTA([2]characters!$A:$A),MATCH(R$1,[2]characters!$1:$1,0)-MATCH($A$1,[2]characters!$1:$1,0)+1),MATCH(R$1,[2]characters!$1:$1,0)-MATCH($A$1,[2]characters!$1:$1,0)+1,FALSE))</f>
        <v>平衡調和の取り立て屋　田中トム</v>
      </c>
      <c r="S359" s="3">
        <f t="shared" ca="1" si="8"/>
        <v>710</v>
      </c>
      <c r="T359" s="25" t="str">
        <f ca="1">VLOOKUP($S359,OFFSET([2]characters!$A$1,0,0,COUNTA([2]characters!$A:$A),MATCH(T$1,[2]characters!$1:$1,0)-MATCH($A$1,[2]characters!$1:$1,0)+1),MATCH(T$1,[2]characters!$1:$1,0)-MATCH($A$1,[2]characters!$1:$1,0)+1,FALSE)</f>
        <v>田中トム</v>
      </c>
      <c r="U359" s="5">
        <f ca="1">IF(Q359="NULL","NULL",VLOOKUP(G359,ビット!$A$2:$B$7,2))</f>
        <v>20000</v>
      </c>
      <c r="V359">
        <v>20000</v>
      </c>
      <c r="W359" s="6" t="str">
        <f t="shared" ca="1" si="10"/>
        <v>TRUE</v>
      </c>
    </row>
    <row r="360" spans="1:23" ht="21" customHeight="1" x14ac:dyDescent="0.15">
      <c r="A360" s="84">
        <v>712</v>
      </c>
      <c r="B360" s="24" t="str">
        <f ca="1">VLOOKUP($A360,OFFSET([2]characters!$A$1,0,0,COUNTA([2]characters!$A:$A),MATCH(B$1,[2]characters!$1:$1,0)-MATCH($A$1,[2]characters!$1:$1,0)+1),MATCH(B$1,[2]characters!$1:$1,0)-MATCH($A$1,[2]characters!$1:$1,0)+1,FALSE)</f>
        <v>竜ヶ峰帝人</v>
      </c>
      <c r="C360" s="24" t="str">
        <f ca="1">VLOOKUP($A360,OFFSET([2]characters!$A$1,0,0,COUNTA([2]characters!$A:$A),MATCH(C$1,[2]characters!$1:$1,0)-MATCH($A$1,[2]characters!$1:$1,0)+1),MATCH(C$1,[2]characters!$1:$1,0)-MATCH($A$1,[2]characters!$1:$1,0)+1,FALSE)</f>
        <v>ガチャ:デュラララ01　帝人</v>
      </c>
      <c r="D360" s="24" t="str">
        <f ca="1">VLOOKUP($A360,OFFSET([2]characters!$A$1,0,0,COUNTA([2]characters!$A:$A),MATCH(D$1,[2]characters!$1:$1,0)-MATCH($A$1,[2]characters!$1:$1,0)+1),MATCH(D$1,[2]characters!$1:$1,0)-MATCH($A$1,[2]characters!$1:$1,0)+1,FALSE)</f>
        <v>執行者</v>
      </c>
      <c r="E360" s="24" t="str">
        <f ca="1">VLOOKUP($A360,OFFSET([2]characters!$A$1,0,0,COUNTA([2]characters!$A:$A),MATCH(E$1,[2]characters!$1:$1,0)-MATCH($A$1,[2]characters!$1:$1,0)+1),MATCH(E$1,[2]characters!$1:$1,0)-MATCH($A$1,[2]characters!$1:$1,0)+1,FALSE)</f>
        <v>格好いい</v>
      </c>
      <c r="F360" s="24" t="str">
        <f ca="1">VLOOKUP($A360,OFFSET([2]characters!$A$1,0,0,COUNTA([2]characters!$A:$A),MATCH(F$1,[2]characters!$1:$1,0)-MATCH($A$1,[2]characters!$1:$1,0)+1),MATCH(F$1,[2]characters!$1:$1,0)-MATCH($A$1,[2]characters!$1:$1,0)+1,FALSE)</f>
        <v>男性</v>
      </c>
      <c r="G360" s="24">
        <f ca="1">VLOOKUP($A360,OFFSET([2]characters!$A$1,0,0,COUNTA([2]characters!$A:$A),MATCH(G$1,[2]characters!$1:$1,0)-MATCH($A$1,[2]characters!$1:$1,0)+1),MATCH(G$1,[2]characters!$1:$1,0)-MATCH($A$1,[2]characters!$1:$1,0)+1,FALSE)</f>
        <v>5</v>
      </c>
      <c r="H360" s="24" t="str">
        <f ca="1">VLOOKUP($A360,OFFSET([2]characters!$A$1,0,0,COUNTA([2]characters!$A:$A),MATCH(H$1,[2]characters!$1:$1,0)-MATCH($A$1,[2]characters!$1:$1,0)+1),MATCH(H$1,[2]characters!$1:$1,0)-MATCH($A$1,[2]characters!$1:$1,0)+1,FALSE)</f>
        <v>PremiumSS</v>
      </c>
      <c r="I360" s="24" t="str">
        <f ca="1">VLOOKUP($A360,OFFSET([2]characters!$A$1,0,0,COUNTA([2]characters!$A:$A),MATCH(I$1,[2]characters!$1:$1,0)-MATCH($A$1,[2]characters!$1:$1,0)+1),MATCH(I$1,[2]characters!$1:$1,0)-MATCH($A$1,[2]characters!$1:$1,0)+1,FALSE)</f>
        <v>blue</v>
      </c>
      <c r="J360" s="24" t="str">
        <f ca="1">VLOOKUP($A360,OFFSET([2]characters!$A$1,0,0,COUNTA([2]characters!$A:$A),MATCH(J$1,[2]characters!$1:$1,0)-MATCH($A$1,[2]characters!$1:$1,0)+1),MATCH(J$1,[2]characters!$1:$1,0)-MATCH($A$1,[2]characters!$1:$1,0)+1,FALSE)</f>
        <v>none</v>
      </c>
      <c r="K360" s="3" t="str">
        <f ca="1">VLOOKUP(J360,[2]character_tribe_i18n!$A:$H,3,FALSE)</f>
        <v>種族なし</v>
      </c>
      <c r="L360" s="5" t="e">
        <f>VLOOKUP(#REF!,[2]character_tribe_i18n!$A:$H,4,FALSE)</f>
        <v>#REF!</v>
      </c>
      <c r="M360" s="5" t="e">
        <f>VLOOKUP(#REF!,[2]character_tribe_i18n!$A:$H,5,FALSE)</f>
        <v>#REF!</v>
      </c>
      <c r="N360" s="5" t="e">
        <f>VLOOKUP(#REF!,[2]character_tribe_i18n!$A:$H,6,FALSE)</f>
        <v>#REF!</v>
      </c>
      <c r="O360" s="5" t="e">
        <f>VLOOKUP(#REF!,[2]character_tribe_i18n!$A:$H,7,FALSE)</f>
        <v>#REF!</v>
      </c>
      <c r="P360" s="83" t="s">
        <v>170</v>
      </c>
      <c r="Q360">
        <v>713</v>
      </c>
      <c r="R360" s="25" t="str">
        <f ca="1">IF(Q360="NULL","",VLOOKUP($Q360,OFFSET([2]characters!$A$1,0,0,COUNTA([2]characters!$A:$A),MATCH(R$1,[2]characters!$1:$1,0)-MATCH($A$1,[2]characters!$1:$1,0)+1),MATCH(R$1,[2]characters!$1:$1,0)-MATCH($A$1,[2]characters!$1:$1,0)+1,FALSE))</f>
        <v>始まりの創始者　竜ヶ峰帝人</v>
      </c>
      <c r="S360" s="3">
        <f t="shared" ca="1" si="8"/>
        <v>712</v>
      </c>
      <c r="T360" s="25" t="str">
        <f ca="1">VLOOKUP($S360,OFFSET([2]characters!$A$1,0,0,COUNTA([2]characters!$A:$A),MATCH(T$1,[2]characters!$1:$1,0)-MATCH($A$1,[2]characters!$1:$1,0)+1),MATCH(T$1,[2]characters!$1:$1,0)-MATCH($A$1,[2]characters!$1:$1,0)+1,FALSE)</f>
        <v>竜ヶ峰帝人</v>
      </c>
      <c r="U360" s="5">
        <f ca="1">IF(Q360="NULL","NULL",VLOOKUP(G360,ビット!$A$2:$B$7,2))</f>
        <v>200000</v>
      </c>
      <c r="V360">
        <v>200000</v>
      </c>
      <c r="W360" s="6" t="str">
        <f t="shared" ca="1" si="10"/>
        <v>TRUE</v>
      </c>
    </row>
    <row r="361" spans="1:23" ht="21" customHeight="1" x14ac:dyDescent="0.15">
      <c r="A361" s="84">
        <v>714</v>
      </c>
      <c r="B361" s="24" t="str">
        <f ca="1">VLOOKUP($A361,OFFSET([2]characters!$A$1,0,0,COUNTA([2]characters!$A:$A),MATCH(B$1,[2]characters!$1:$1,0)-MATCH($A$1,[2]characters!$1:$1,0)+1),MATCH(B$1,[2]characters!$1:$1,0)-MATCH($A$1,[2]characters!$1:$1,0)+1,FALSE)</f>
        <v>粟楠茜</v>
      </c>
      <c r="C361" s="24" t="str">
        <f ca="1">VLOOKUP($A361,OFFSET([2]characters!$A$1,0,0,COUNTA([2]characters!$A:$A),MATCH(C$1,[2]characters!$1:$1,0)-MATCH($A$1,[2]characters!$1:$1,0)+1),MATCH(C$1,[2]characters!$1:$1,0)-MATCH($A$1,[2]characters!$1:$1,0)+1,FALSE)</f>
        <v>ガチャ:デュラララ01　茜</v>
      </c>
      <c r="D361" s="24" t="str">
        <f ca="1">VLOOKUP($A361,OFFSET([2]characters!$A$1,0,0,COUNTA([2]characters!$A:$A),MATCH(D$1,[2]characters!$1:$1,0)-MATCH($A$1,[2]characters!$1:$1,0)+1),MATCH(D$1,[2]characters!$1:$1,0)-MATCH($A$1,[2]characters!$1:$1,0)+1,FALSE)</f>
        <v>執行者</v>
      </c>
      <c r="E361" s="24" t="str">
        <f ca="1">VLOOKUP($A361,OFFSET([2]characters!$A$1,0,0,COUNTA([2]characters!$A:$A),MATCH(E$1,[2]characters!$1:$1,0)-MATCH($A$1,[2]characters!$1:$1,0)+1),MATCH(E$1,[2]characters!$1:$1,0)-MATCH($A$1,[2]characters!$1:$1,0)+1,FALSE)</f>
        <v>格好いい</v>
      </c>
      <c r="F361" s="24" t="str">
        <f ca="1">VLOOKUP($A361,OFFSET([2]characters!$A$1,0,0,COUNTA([2]characters!$A:$A),MATCH(F$1,[2]characters!$1:$1,0)-MATCH($A$1,[2]characters!$1:$1,0)+1),MATCH(F$1,[2]characters!$1:$1,0)-MATCH($A$1,[2]characters!$1:$1,0)+1,FALSE)</f>
        <v>女性</v>
      </c>
      <c r="G361" s="24">
        <f ca="1">VLOOKUP($A361,OFFSET([2]characters!$A$1,0,0,COUNTA([2]characters!$A:$A),MATCH(G$1,[2]characters!$1:$1,0)-MATCH($A$1,[2]characters!$1:$1,0)+1),MATCH(G$1,[2]characters!$1:$1,0)-MATCH($A$1,[2]characters!$1:$1,0)+1,FALSE)</f>
        <v>3</v>
      </c>
      <c r="H361" s="24" t="str">
        <f ca="1">VLOOKUP($A361,OFFSET([2]characters!$A$1,0,0,COUNTA([2]characters!$A:$A),MATCH(H$1,[2]characters!$1:$1,0)-MATCH($A$1,[2]characters!$1:$1,0)+1),MATCH(H$1,[2]characters!$1:$1,0)-MATCH($A$1,[2]characters!$1:$1,0)+1,FALSE)</f>
        <v>PremiumN</v>
      </c>
      <c r="I361" s="24" t="str">
        <f ca="1">VLOOKUP($A361,OFFSET([2]characters!$A$1,0,0,COUNTA([2]characters!$A:$A),MATCH(I$1,[2]characters!$1:$1,0)-MATCH($A$1,[2]characters!$1:$1,0)+1),MATCH(I$1,[2]characters!$1:$1,0)-MATCH($A$1,[2]characters!$1:$1,0)+1,FALSE)</f>
        <v>blue</v>
      </c>
      <c r="J361" s="24" t="str">
        <f ca="1">VLOOKUP($A361,OFFSET([2]characters!$A$1,0,0,COUNTA([2]characters!$A:$A),MATCH(J$1,[2]characters!$1:$1,0)-MATCH($A$1,[2]characters!$1:$1,0)+1),MATCH(J$1,[2]characters!$1:$1,0)-MATCH($A$1,[2]characters!$1:$1,0)+1,FALSE)</f>
        <v>none</v>
      </c>
      <c r="K361" s="3" t="str">
        <f ca="1">VLOOKUP(J361,[2]character_tribe_i18n!$A:$H,3,FALSE)</f>
        <v>種族なし</v>
      </c>
      <c r="L361" s="5" t="e">
        <f>VLOOKUP(#REF!,[2]character_tribe_i18n!$A:$H,4,FALSE)</f>
        <v>#REF!</v>
      </c>
      <c r="M361" s="5" t="e">
        <f>VLOOKUP(#REF!,[2]character_tribe_i18n!$A:$H,5,FALSE)</f>
        <v>#REF!</v>
      </c>
      <c r="N361" s="5" t="e">
        <f>VLOOKUP(#REF!,[2]character_tribe_i18n!$A:$H,6,FALSE)</f>
        <v>#REF!</v>
      </c>
      <c r="O361" s="5" t="e">
        <f>VLOOKUP(#REF!,[2]character_tribe_i18n!$A:$H,7,FALSE)</f>
        <v>#REF!</v>
      </c>
      <c r="P361" s="83" t="s">
        <v>170</v>
      </c>
      <c r="Q361">
        <v>715</v>
      </c>
      <c r="R361" s="25" t="str">
        <f ca="1">IF(Q361="NULL","",VLOOKUP($Q361,OFFSET([2]characters!$A$1,0,0,COUNTA([2]characters!$A:$A),MATCH(R$1,[2]characters!$1:$1,0)-MATCH($A$1,[2]characters!$1:$1,0)+1),MATCH(R$1,[2]characters!$1:$1,0)-MATCH($A$1,[2]characters!$1:$1,0)+1,FALSE))</f>
        <v>小さな殺し屋　粟楠茜</v>
      </c>
      <c r="S361" s="3">
        <f t="shared" ca="1" si="8"/>
        <v>714</v>
      </c>
      <c r="T361" s="25" t="str">
        <f ca="1">VLOOKUP($S361,OFFSET([2]characters!$A$1,0,0,COUNTA([2]characters!$A:$A),MATCH(T$1,[2]characters!$1:$1,0)-MATCH($A$1,[2]characters!$1:$1,0)+1),MATCH(T$1,[2]characters!$1:$1,0)-MATCH($A$1,[2]characters!$1:$1,0)+1,FALSE)</f>
        <v>粟楠茜</v>
      </c>
      <c r="U361" s="5">
        <f ca="1">IF(Q361="NULL","NULL",VLOOKUP(G361,ビット!$A$2:$B$7,2))</f>
        <v>20000</v>
      </c>
      <c r="V361">
        <v>20000</v>
      </c>
      <c r="W361" s="6" t="str">
        <f t="shared" ca="1" si="10"/>
        <v>TRUE</v>
      </c>
    </row>
    <row r="362" spans="1:23" ht="21" customHeight="1" x14ac:dyDescent="0.15">
      <c r="A362" s="84">
        <v>716</v>
      </c>
      <c r="B362" s="24" t="str">
        <f ca="1">VLOOKUP($A362,OFFSET([2]characters!$A$1,0,0,COUNTA([2]characters!$A:$A),MATCH(B$1,[2]characters!$1:$1,0)-MATCH($A$1,[2]characters!$1:$1,0)+1),MATCH(B$1,[2]characters!$1:$1,0)-MATCH($A$1,[2]characters!$1:$1,0)+1,FALSE)</f>
        <v>平和島静雄</v>
      </c>
      <c r="C362" s="24" t="str">
        <f ca="1">VLOOKUP($A362,OFFSET([2]characters!$A$1,0,0,COUNTA([2]characters!$A:$A),MATCH(C$1,[2]characters!$1:$1,0)-MATCH($A$1,[2]characters!$1:$1,0)+1),MATCH(C$1,[2]characters!$1:$1,0)-MATCH($A$1,[2]characters!$1:$1,0)+1,FALSE)</f>
        <v>ガチャ:デュラララ01　静雄</v>
      </c>
      <c r="D362" s="24" t="str">
        <f ca="1">VLOOKUP($A362,OFFSET([2]characters!$A$1,0,0,COUNTA([2]characters!$A:$A),MATCH(D$1,[2]characters!$1:$1,0)-MATCH($A$1,[2]characters!$1:$1,0)+1),MATCH(D$1,[2]characters!$1:$1,0)-MATCH($A$1,[2]characters!$1:$1,0)+1,FALSE)</f>
        <v>執行者</v>
      </c>
      <c r="E362" s="24" t="str">
        <f ca="1">VLOOKUP($A362,OFFSET([2]characters!$A$1,0,0,COUNTA([2]characters!$A:$A),MATCH(E$1,[2]characters!$1:$1,0)-MATCH($A$1,[2]characters!$1:$1,0)+1),MATCH(E$1,[2]characters!$1:$1,0)-MATCH($A$1,[2]characters!$1:$1,0)+1,FALSE)</f>
        <v>格好いい</v>
      </c>
      <c r="F362" s="24" t="str">
        <f ca="1">VLOOKUP($A362,OFFSET([2]characters!$A$1,0,0,COUNTA([2]characters!$A:$A),MATCH(F$1,[2]characters!$1:$1,0)-MATCH($A$1,[2]characters!$1:$1,0)+1),MATCH(F$1,[2]characters!$1:$1,0)-MATCH($A$1,[2]characters!$1:$1,0)+1,FALSE)</f>
        <v>男性</v>
      </c>
      <c r="G362" s="24">
        <f ca="1">VLOOKUP($A362,OFFSET([2]characters!$A$1,0,0,COUNTA([2]characters!$A:$A),MATCH(G$1,[2]characters!$1:$1,0)-MATCH($A$1,[2]characters!$1:$1,0)+1),MATCH(G$1,[2]characters!$1:$1,0)-MATCH($A$1,[2]characters!$1:$1,0)+1,FALSE)</f>
        <v>5</v>
      </c>
      <c r="H362" s="24" t="str">
        <f ca="1">VLOOKUP($A362,OFFSET([2]characters!$A$1,0,0,COUNTA([2]characters!$A:$A),MATCH(H$1,[2]characters!$1:$1,0)-MATCH($A$1,[2]characters!$1:$1,0)+1),MATCH(H$1,[2]characters!$1:$1,0)-MATCH($A$1,[2]characters!$1:$1,0)+1,FALSE)</f>
        <v>PremiumSS</v>
      </c>
      <c r="I362" s="24" t="str">
        <f ca="1">VLOOKUP($A362,OFFSET([2]characters!$A$1,0,0,COUNTA([2]characters!$A:$A),MATCH(I$1,[2]characters!$1:$1,0)-MATCH($A$1,[2]characters!$1:$1,0)+1),MATCH(I$1,[2]characters!$1:$1,0)-MATCH($A$1,[2]characters!$1:$1,0)+1,FALSE)</f>
        <v>yellow</v>
      </c>
      <c r="J362" s="24" t="str">
        <f ca="1">VLOOKUP($A362,OFFSET([2]characters!$A$1,0,0,COUNTA([2]characters!$A:$A),MATCH(J$1,[2]characters!$1:$1,0)-MATCH($A$1,[2]characters!$1:$1,0)+1),MATCH(J$1,[2]characters!$1:$1,0)-MATCH($A$1,[2]characters!$1:$1,0)+1,FALSE)</f>
        <v>none</v>
      </c>
      <c r="K362" s="3" t="str">
        <f ca="1">VLOOKUP(J362,[2]character_tribe_i18n!$A:$H,3,FALSE)</f>
        <v>種族なし</v>
      </c>
      <c r="L362" s="5" t="e">
        <f>VLOOKUP(#REF!,[2]character_tribe_i18n!$A:$H,4,FALSE)</f>
        <v>#REF!</v>
      </c>
      <c r="M362" s="5" t="e">
        <f>VLOOKUP(#REF!,[2]character_tribe_i18n!$A:$H,5,FALSE)</f>
        <v>#REF!</v>
      </c>
      <c r="N362" s="5" t="e">
        <f>VLOOKUP(#REF!,[2]character_tribe_i18n!$A:$H,6,FALSE)</f>
        <v>#REF!</v>
      </c>
      <c r="O362" s="5" t="e">
        <f>VLOOKUP(#REF!,[2]character_tribe_i18n!$A:$H,7,FALSE)</f>
        <v>#REF!</v>
      </c>
      <c r="P362" s="83" t="s">
        <v>170</v>
      </c>
      <c r="Q362">
        <v>717</v>
      </c>
      <c r="R362" s="25" t="str">
        <f ca="1">IF(Q362="NULL","",VLOOKUP($Q362,OFFSET([2]characters!$A$1,0,0,COUNTA([2]characters!$A:$A),MATCH(R$1,[2]characters!$1:$1,0)-MATCH($A$1,[2]characters!$1:$1,0)+1),MATCH(R$1,[2]characters!$1:$1,0)-MATCH($A$1,[2]characters!$1:$1,0)+1,FALSE))</f>
        <v>池袋最強の暴走 平和島静雄</v>
      </c>
      <c r="S362" s="3">
        <f t="shared" ca="1" si="8"/>
        <v>716</v>
      </c>
      <c r="T362" s="25" t="str">
        <f ca="1">VLOOKUP($S362,OFFSET([2]characters!$A$1,0,0,COUNTA([2]characters!$A:$A),MATCH(T$1,[2]characters!$1:$1,0)-MATCH($A$1,[2]characters!$1:$1,0)+1),MATCH(T$1,[2]characters!$1:$1,0)-MATCH($A$1,[2]characters!$1:$1,0)+1,FALSE)</f>
        <v>平和島静雄</v>
      </c>
      <c r="U362" s="5">
        <f ca="1">IF(Q362="NULL","NULL",VLOOKUP(G362,ビット!$A$2:$B$7,2))</f>
        <v>200000</v>
      </c>
      <c r="V362">
        <v>200000</v>
      </c>
      <c r="W362" s="6" t="str">
        <f t="shared" ca="1" si="10"/>
        <v>TRUE</v>
      </c>
    </row>
    <row r="363" spans="1:23" ht="21" customHeight="1" x14ac:dyDescent="0.15">
      <c r="A363" s="84">
        <v>718</v>
      </c>
      <c r="B363" s="24" t="str">
        <f ca="1">VLOOKUP($A363,OFFSET([2]characters!$A$1,0,0,COUNTA([2]characters!$A:$A),MATCH(B$1,[2]characters!$1:$1,0)-MATCH($A$1,[2]characters!$1:$1,0)+1),MATCH(B$1,[2]characters!$1:$1,0)-MATCH($A$1,[2]characters!$1:$1,0)+1,FALSE)</f>
        <v>ヴァローナ</v>
      </c>
      <c r="C363" s="24" t="str">
        <f ca="1">VLOOKUP($A363,OFFSET([2]characters!$A$1,0,0,COUNTA([2]characters!$A:$A),MATCH(C$1,[2]characters!$1:$1,0)-MATCH($A$1,[2]characters!$1:$1,0)+1),MATCH(C$1,[2]characters!$1:$1,0)-MATCH($A$1,[2]characters!$1:$1,0)+1,FALSE)</f>
        <v>ガチャ:デュラララ01　ヴァローナ</v>
      </c>
      <c r="D363" s="24" t="str">
        <f ca="1">VLOOKUP($A363,OFFSET([2]characters!$A$1,0,0,COUNTA([2]characters!$A:$A),MATCH(D$1,[2]characters!$1:$1,0)-MATCH($A$1,[2]characters!$1:$1,0)+1),MATCH(D$1,[2]characters!$1:$1,0)-MATCH($A$1,[2]characters!$1:$1,0)+1,FALSE)</f>
        <v>執行者</v>
      </c>
      <c r="E363" s="24" t="str">
        <f ca="1">VLOOKUP($A363,OFFSET([2]characters!$A$1,0,0,COUNTA([2]characters!$A:$A),MATCH(E$1,[2]characters!$1:$1,0)-MATCH($A$1,[2]characters!$1:$1,0)+1),MATCH(E$1,[2]characters!$1:$1,0)-MATCH($A$1,[2]characters!$1:$1,0)+1,FALSE)</f>
        <v>格好いい</v>
      </c>
      <c r="F363" s="24" t="str">
        <f ca="1">VLOOKUP($A363,OFFSET([2]characters!$A$1,0,0,COUNTA([2]characters!$A:$A),MATCH(F$1,[2]characters!$1:$1,0)-MATCH($A$1,[2]characters!$1:$1,0)+1),MATCH(F$1,[2]characters!$1:$1,0)-MATCH($A$1,[2]characters!$1:$1,0)+1,FALSE)</f>
        <v>女性</v>
      </c>
      <c r="G363" s="24">
        <f ca="1">VLOOKUP($A363,OFFSET([2]characters!$A$1,0,0,COUNTA([2]characters!$A:$A),MATCH(G$1,[2]characters!$1:$1,0)-MATCH($A$1,[2]characters!$1:$1,0)+1),MATCH(G$1,[2]characters!$1:$1,0)-MATCH($A$1,[2]characters!$1:$1,0)+1,FALSE)</f>
        <v>4</v>
      </c>
      <c r="H363" s="24" t="str">
        <f ca="1">VLOOKUP($A363,OFFSET([2]characters!$A$1,0,0,COUNTA([2]characters!$A:$A),MATCH(H$1,[2]characters!$1:$1,0)-MATCH($A$1,[2]characters!$1:$1,0)+1),MATCH(H$1,[2]characters!$1:$1,0)-MATCH($A$1,[2]characters!$1:$1,0)+1,FALSE)</f>
        <v>PremiumS</v>
      </c>
      <c r="I363" s="24" t="str">
        <f ca="1">VLOOKUP($A363,OFFSET([2]characters!$A$1,0,0,COUNTA([2]characters!$A:$A),MATCH(I$1,[2]characters!$1:$1,0)-MATCH($A$1,[2]characters!$1:$1,0)+1),MATCH(I$1,[2]characters!$1:$1,0)-MATCH($A$1,[2]characters!$1:$1,0)+1,FALSE)</f>
        <v>yellow</v>
      </c>
      <c r="J363" s="24" t="str">
        <f ca="1">VLOOKUP($A363,OFFSET([2]characters!$A$1,0,0,COUNTA([2]characters!$A:$A),MATCH(J$1,[2]characters!$1:$1,0)-MATCH($A$1,[2]characters!$1:$1,0)+1),MATCH(J$1,[2]characters!$1:$1,0)-MATCH($A$1,[2]characters!$1:$1,0)+1,FALSE)</f>
        <v>none</v>
      </c>
      <c r="K363" s="3" t="str">
        <f ca="1">VLOOKUP(J363,[2]character_tribe_i18n!$A:$H,3,FALSE)</f>
        <v>種族なし</v>
      </c>
      <c r="L363" s="5" t="e">
        <f>VLOOKUP(#REF!,[2]character_tribe_i18n!$A:$H,4,FALSE)</f>
        <v>#REF!</v>
      </c>
      <c r="M363" s="5" t="e">
        <f>VLOOKUP(#REF!,[2]character_tribe_i18n!$A:$H,5,FALSE)</f>
        <v>#REF!</v>
      </c>
      <c r="N363" s="5" t="e">
        <f>VLOOKUP(#REF!,[2]character_tribe_i18n!$A:$H,6,FALSE)</f>
        <v>#REF!</v>
      </c>
      <c r="O363" s="5" t="e">
        <f>VLOOKUP(#REF!,[2]character_tribe_i18n!$A:$H,7,FALSE)</f>
        <v>#REF!</v>
      </c>
      <c r="P363" s="83" t="s">
        <v>170</v>
      </c>
      <c r="Q363">
        <v>719</v>
      </c>
      <c r="R363" s="25" t="str">
        <f ca="1">IF(Q363="NULL","",VLOOKUP($Q363,OFFSET([2]characters!$A$1,0,0,COUNTA([2]characters!$A:$A),MATCH(R$1,[2]characters!$1:$1,0)-MATCH($A$1,[2]characters!$1:$1,0)+1),MATCH(R$1,[2]characters!$1:$1,0)-MATCH($A$1,[2]characters!$1:$1,0)+1,FALSE))</f>
        <v>聡明な戦狂女 ヴァローナ</v>
      </c>
      <c r="S363" s="3">
        <f t="shared" ca="1" si="8"/>
        <v>718</v>
      </c>
      <c r="T363" s="25" t="str">
        <f ca="1">VLOOKUP($S363,OFFSET([2]characters!$A$1,0,0,COUNTA([2]characters!$A:$A),MATCH(T$1,[2]characters!$1:$1,0)-MATCH($A$1,[2]characters!$1:$1,0)+1),MATCH(T$1,[2]characters!$1:$1,0)-MATCH($A$1,[2]characters!$1:$1,0)+1,FALSE)</f>
        <v>ヴァローナ</v>
      </c>
      <c r="U363" s="5">
        <f ca="1">IF(Q363="NULL","NULL",VLOOKUP(G363,ビット!$A$2:$B$7,2))</f>
        <v>50000</v>
      </c>
      <c r="V363">
        <v>50000</v>
      </c>
      <c r="W363" s="6" t="str">
        <f t="shared" ca="1" si="10"/>
        <v>TRUE</v>
      </c>
    </row>
    <row r="364" spans="1:23" ht="21" customHeight="1" x14ac:dyDescent="0.15">
      <c r="A364" s="84">
        <v>720</v>
      </c>
      <c r="B364" s="24" t="str">
        <f ca="1">VLOOKUP($A364,OFFSET([2]characters!$A$1,0,0,COUNTA([2]characters!$A:$A),MATCH(B$1,[2]characters!$1:$1,0)-MATCH($A$1,[2]characters!$1:$1,0)+1),MATCH(B$1,[2]characters!$1:$1,0)-MATCH($A$1,[2]characters!$1:$1,0)+1,FALSE)</f>
        <v>直江兼続</v>
      </c>
      <c r="C364" s="24" t="str">
        <f ca="1">VLOOKUP($A364,OFFSET([2]characters!$A$1,0,0,COUNTA([2]characters!$A:$A),MATCH(C$1,[2]characters!$1:$1,0)-MATCH($A$1,[2]characters!$1:$1,0)+1),MATCH(C$1,[2]characters!$1:$1,0)-MATCH($A$1,[2]characters!$1:$1,0)+1,FALSE)</f>
        <v>イベント:戦国01</v>
      </c>
      <c r="D364" s="24" t="str">
        <f ca="1">VLOOKUP($A364,OFFSET([2]characters!$A$1,0,0,COUNTA([2]characters!$A:$A),MATCH(D$1,[2]characters!$1:$1,0)-MATCH($A$1,[2]characters!$1:$1,0)+1),MATCH(D$1,[2]characters!$1:$1,0)-MATCH($A$1,[2]characters!$1:$1,0)+1,FALSE)</f>
        <v>執行者</v>
      </c>
      <c r="E364" s="24" t="str">
        <f ca="1">VLOOKUP($A364,OFFSET([2]characters!$A$1,0,0,COUNTA([2]characters!$A:$A),MATCH(E$1,[2]characters!$1:$1,0)-MATCH($A$1,[2]characters!$1:$1,0)+1),MATCH(E$1,[2]characters!$1:$1,0)-MATCH($A$1,[2]characters!$1:$1,0)+1,FALSE)</f>
        <v>格好いい</v>
      </c>
      <c r="F364" s="24" t="str">
        <f ca="1">VLOOKUP($A364,OFFSET([2]characters!$A$1,0,0,COUNTA([2]characters!$A:$A),MATCH(F$1,[2]characters!$1:$1,0)-MATCH($A$1,[2]characters!$1:$1,0)+1),MATCH(F$1,[2]characters!$1:$1,0)-MATCH($A$1,[2]characters!$1:$1,0)+1,FALSE)</f>
        <v>男性</v>
      </c>
      <c r="G364" s="24">
        <f ca="1">VLOOKUP($A364,OFFSET([2]characters!$A$1,0,0,COUNTA([2]characters!$A:$A),MATCH(G$1,[2]characters!$1:$1,0)-MATCH($A$1,[2]characters!$1:$1,0)+1),MATCH(G$1,[2]characters!$1:$1,0)-MATCH($A$1,[2]characters!$1:$1,0)+1,FALSE)</f>
        <v>4</v>
      </c>
      <c r="H364" s="24" t="str">
        <f ca="1">VLOOKUP($A364,OFFSET([2]characters!$A$1,0,0,COUNTA([2]characters!$A:$A),MATCH(H$1,[2]characters!$1:$1,0)-MATCH($A$1,[2]characters!$1:$1,0)+1),MATCH(H$1,[2]characters!$1:$1,0)-MATCH($A$1,[2]characters!$1:$1,0)+1,FALSE)</f>
        <v>Drop2N</v>
      </c>
      <c r="I364" s="24" t="str">
        <f ca="1">VLOOKUP($A364,OFFSET([2]characters!$A$1,0,0,COUNTA([2]characters!$A:$A),MATCH(I$1,[2]characters!$1:$1,0)-MATCH($A$1,[2]characters!$1:$1,0)+1),MATCH(I$1,[2]characters!$1:$1,0)-MATCH($A$1,[2]characters!$1:$1,0)+1,FALSE)</f>
        <v>green</v>
      </c>
      <c r="J364" s="24" t="str">
        <f ca="1">VLOOKUP($A364,OFFSET([2]characters!$A$1,0,0,COUNTA([2]characters!$A:$A),MATCH(J$1,[2]characters!$1:$1,0)-MATCH($A$1,[2]characters!$1:$1,0)+1),MATCH(J$1,[2]characters!$1:$1,0)-MATCH($A$1,[2]characters!$1:$1,0)+1,FALSE)</f>
        <v>samurai</v>
      </c>
      <c r="K364" s="3" t="str">
        <f ca="1">VLOOKUP(J364,[2]character_tribe_i18n!$A:$H,3,FALSE)</f>
        <v>サムライ</v>
      </c>
      <c r="L364" s="5" t="e">
        <f>VLOOKUP(#REF!,[2]character_tribe_i18n!$A:$H,4,FALSE)</f>
        <v>#REF!</v>
      </c>
      <c r="M364" s="5" t="e">
        <f>VLOOKUP(#REF!,[2]character_tribe_i18n!$A:$H,5,FALSE)</f>
        <v>#REF!</v>
      </c>
      <c r="N364" s="5" t="e">
        <f>VLOOKUP(#REF!,[2]character_tribe_i18n!$A:$H,6,FALSE)</f>
        <v>#REF!</v>
      </c>
      <c r="O364" s="5" t="e">
        <f>VLOOKUP(#REF!,[2]character_tribe_i18n!$A:$H,7,FALSE)</f>
        <v>#REF!</v>
      </c>
      <c r="P364" s="83" t="s">
        <v>170</v>
      </c>
      <c r="Q364">
        <v>721</v>
      </c>
      <c r="R364" s="25" t="str">
        <f ca="1">IF(Q364="NULL","",VLOOKUP($Q364,OFFSET([2]characters!$A$1,0,0,COUNTA([2]characters!$A:$A),MATCH(R$1,[2]characters!$1:$1,0)-MATCH($A$1,[2]characters!$1:$1,0)+1),MATCH(R$1,[2]characters!$1:$1,0)-MATCH($A$1,[2]characters!$1:$1,0)+1,FALSE))</f>
        <v>迎激の愛銃 直江兼続</v>
      </c>
      <c r="S364" s="3">
        <f t="shared" ca="1" si="8"/>
        <v>720</v>
      </c>
      <c r="T364" s="25" t="str">
        <f ca="1">VLOOKUP($S364,OFFSET([2]characters!$A$1,0,0,COUNTA([2]characters!$A:$A),MATCH(T$1,[2]characters!$1:$1,0)-MATCH($A$1,[2]characters!$1:$1,0)+1),MATCH(T$1,[2]characters!$1:$1,0)-MATCH($A$1,[2]characters!$1:$1,0)+1,FALSE)</f>
        <v>直江兼続</v>
      </c>
      <c r="U364" s="5">
        <f ca="1">IF(Q364="NULL","NULL",VLOOKUP(G364,ビット!$A$2:$B$7,2))</f>
        <v>50000</v>
      </c>
      <c r="V364">
        <v>50000</v>
      </c>
      <c r="W364" s="6" t="str">
        <f t="shared" ca="1" si="10"/>
        <v>TRUE</v>
      </c>
    </row>
    <row r="365" spans="1:23" ht="21" customHeight="1" x14ac:dyDescent="0.15">
      <c r="A365" s="84">
        <v>722</v>
      </c>
      <c r="B365" s="24" t="str">
        <f ca="1">VLOOKUP($A365,OFFSET([2]characters!$A$1,0,0,COUNTA([2]characters!$A:$A),MATCH(B$1,[2]characters!$1:$1,0)-MATCH($A$1,[2]characters!$1:$1,0)+1),MATCH(B$1,[2]characters!$1:$1,0)-MATCH($A$1,[2]characters!$1:$1,0)+1,FALSE)</f>
        <v>森蘭丸</v>
      </c>
      <c r="C365" s="24" t="str">
        <f ca="1">VLOOKUP($A365,OFFSET([2]characters!$A$1,0,0,COUNTA([2]characters!$A:$A),MATCH(C$1,[2]characters!$1:$1,0)-MATCH($A$1,[2]characters!$1:$1,0)+1),MATCH(C$1,[2]characters!$1:$1,0)-MATCH($A$1,[2]characters!$1:$1,0)+1,FALSE)</f>
        <v>イベント:戦国01</v>
      </c>
      <c r="D365" s="24" t="str">
        <f ca="1">VLOOKUP($A365,OFFSET([2]characters!$A$1,0,0,COUNTA([2]characters!$A:$A),MATCH(D$1,[2]characters!$1:$1,0)-MATCH($A$1,[2]characters!$1:$1,0)+1),MATCH(D$1,[2]characters!$1:$1,0)-MATCH($A$1,[2]characters!$1:$1,0)+1,FALSE)</f>
        <v>執行者</v>
      </c>
      <c r="E365" s="24" t="str">
        <f ca="1">VLOOKUP($A365,OFFSET([2]characters!$A$1,0,0,COUNTA([2]characters!$A:$A),MATCH(E$1,[2]characters!$1:$1,0)-MATCH($A$1,[2]characters!$1:$1,0)+1),MATCH(E$1,[2]characters!$1:$1,0)-MATCH($A$1,[2]characters!$1:$1,0)+1,FALSE)</f>
        <v>格好いい</v>
      </c>
      <c r="F365" s="24" t="str">
        <f ca="1">VLOOKUP($A365,OFFSET([2]characters!$A$1,0,0,COUNTA([2]characters!$A:$A),MATCH(F$1,[2]characters!$1:$1,0)-MATCH($A$1,[2]characters!$1:$1,0)+1),MATCH(F$1,[2]characters!$1:$1,0)-MATCH($A$1,[2]characters!$1:$1,0)+1,FALSE)</f>
        <v>男性</v>
      </c>
      <c r="G365" s="24">
        <f ca="1">VLOOKUP($A365,OFFSET([2]characters!$A$1,0,0,COUNTA([2]characters!$A:$A),MATCH(G$1,[2]characters!$1:$1,0)-MATCH($A$1,[2]characters!$1:$1,0)+1),MATCH(G$1,[2]characters!$1:$1,0)-MATCH($A$1,[2]characters!$1:$1,0)+1,FALSE)</f>
        <v>4</v>
      </c>
      <c r="H365" s="24" t="str">
        <f ca="1">VLOOKUP($A365,OFFSET([2]characters!$A$1,0,0,COUNTA([2]characters!$A:$A),MATCH(H$1,[2]characters!$1:$1,0)-MATCH($A$1,[2]characters!$1:$1,0)+1),MATCH(H$1,[2]characters!$1:$1,0)-MATCH($A$1,[2]characters!$1:$1,0)+1,FALSE)</f>
        <v>Drop2N</v>
      </c>
      <c r="I365" s="24" t="str">
        <f ca="1">VLOOKUP($A365,OFFSET([2]characters!$A$1,0,0,COUNTA([2]characters!$A:$A),MATCH(I$1,[2]characters!$1:$1,0)-MATCH($A$1,[2]characters!$1:$1,0)+1),MATCH(I$1,[2]characters!$1:$1,0)-MATCH($A$1,[2]characters!$1:$1,0)+1,FALSE)</f>
        <v>yellow</v>
      </c>
      <c r="J365" s="24" t="str">
        <f ca="1">VLOOKUP($A365,OFFSET([2]characters!$A$1,0,0,COUNTA([2]characters!$A:$A),MATCH(J$1,[2]characters!$1:$1,0)-MATCH($A$1,[2]characters!$1:$1,0)+1),MATCH(J$1,[2]characters!$1:$1,0)-MATCH($A$1,[2]characters!$1:$1,0)+1,FALSE)</f>
        <v>samurai</v>
      </c>
      <c r="K365" s="3" t="str">
        <f ca="1">VLOOKUP(J365,[2]character_tribe_i18n!$A:$H,3,FALSE)</f>
        <v>サムライ</v>
      </c>
      <c r="L365" s="5" t="e">
        <f>VLOOKUP(#REF!,[2]character_tribe_i18n!$A:$H,4,FALSE)</f>
        <v>#REF!</v>
      </c>
      <c r="M365" s="5" t="e">
        <f>VLOOKUP(#REF!,[2]character_tribe_i18n!$A:$H,5,FALSE)</f>
        <v>#REF!</v>
      </c>
      <c r="N365" s="5" t="e">
        <f>VLOOKUP(#REF!,[2]character_tribe_i18n!$A:$H,6,FALSE)</f>
        <v>#REF!</v>
      </c>
      <c r="O365" s="5" t="e">
        <f>VLOOKUP(#REF!,[2]character_tribe_i18n!$A:$H,7,FALSE)</f>
        <v>#REF!</v>
      </c>
      <c r="P365" s="83" t="s">
        <v>170</v>
      </c>
      <c r="Q365">
        <v>723</v>
      </c>
      <c r="R365" s="25" t="str">
        <f ca="1">IF(Q365="NULL","",VLOOKUP($Q365,OFFSET([2]characters!$A$1,0,0,COUNTA([2]characters!$A:$A),MATCH(R$1,[2]characters!$1:$1,0)-MATCH($A$1,[2]characters!$1:$1,0)+1),MATCH(R$1,[2]characters!$1:$1,0)-MATCH($A$1,[2]characters!$1:$1,0)+1,FALSE))</f>
        <v>萌芽の密心  森蘭丸</v>
      </c>
      <c r="S365" s="3">
        <f t="shared" ca="1" si="8"/>
        <v>722</v>
      </c>
      <c r="T365" s="25" t="str">
        <f ca="1">VLOOKUP($S365,OFFSET([2]characters!$A$1,0,0,COUNTA([2]characters!$A:$A),MATCH(T$1,[2]characters!$1:$1,0)-MATCH($A$1,[2]characters!$1:$1,0)+1),MATCH(T$1,[2]characters!$1:$1,0)-MATCH($A$1,[2]characters!$1:$1,0)+1,FALSE)</f>
        <v>森蘭丸</v>
      </c>
      <c r="U365" s="5">
        <f ca="1">IF(Q365="NULL","NULL",VLOOKUP(G365,ビット!$A$2:$B$7,2))</f>
        <v>50000</v>
      </c>
      <c r="V365">
        <v>50000</v>
      </c>
      <c r="W365" s="6" t="str">
        <f t="shared" ca="1" si="10"/>
        <v>TRUE</v>
      </c>
    </row>
    <row r="366" spans="1:23" ht="21" customHeight="1" x14ac:dyDescent="0.15">
      <c r="A366" s="84">
        <v>724</v>
      </c>
      <c r="B366" s="24" t="str">
        <f ca="1">VLOOKUP($A366,OFFSET([2]characters!$A$1,0,0,COUNTA([2]characters!$A:$A),MATCH(B$1,[2]characters!$1:$1,0)-MATCH($A$1,[2]characters!$1:$1,0)+1),MATCH(B$1,[2]characters!$1:$1,0)-MATCH($A$1,[2]characters!$1:$1,0)+1,FALSE)</f>
        <v>武田信玄</v>
      </c>
      <c r="C366" s="24" t="str">
        <f ca="1">VLOOKUP($A366,OFFSET([2]characters!$A$1,0,0,COUNTA([2]characters!$A:$A),MATCH(C$1,[2]characters!$1:$1,0)-MATCH($A$1,[2]characters!$1:$1,0)+1),MATCH(C$1,[2]characters!$1:$1,0)-MATCH($A$1,[2]characters!$1:$1,0)+1,FALSE)</f>
        <v>イベント:ウィザード</v>
      </c>
      <c r="D366" s="24" t="str">
        <f ca="1">VLOOKUP($A366,OFFSET([2]characters!$A$1,0,0,COUNTA([2]characters!$A:$A),MATCH(D$1,[2]characters!$1:$1,0)-MATCH($A$1,[2]characters!$1:$1,0)+1),MATCH(D$1,[2]characters!$1:$1,0)-MATCH($A$1,[2]characters!$1:$1,0)+1,FALSE)</f>
        <v>執行者</v>
      </c>
      <c r="E366" s="24" t="str">
        <f ca="1">VLOOKUP($A366,OFFSET([2]characters!$A$1,0,0,COUNTA([2]characters!$A:$A),MATCH(E$1,[2]characters!$1:$1,0)-MATCH($A$1,[2]characters!$1:$1,0)+1),MATCH(E$1,[2]characters!$1:$1,0)-MATCH($A$1,[2]characters!$1:$1,0)+1,FALSE)</f>
        <v>格好いい</v>
      </c>
      <c r="F366" s="24" t="str">
        <f ca="1">VLOOKUP($A366,OFFSET([2]characters!$A$1,0,0,COUNTA([2]characters!$A:$A),MATCH(F$1,[2]characters!$1:$1,0)-MATCH($A$1,[2]characters!$1:$1,0)+1),MATCH(F$1,[2]characters!$1:$1,0)-MATCH($A$1,[2]characters!$1:$1,0)+1,FALSE)</f>
        <v>男性</v>
      </c>
      <c r="G366" s="24">
        <f ca="1">VLOOKUP($A366,OFFSET([2]characters!$A$1,0,0,COUNTA([2]characters!$A:$A),MATCH(G$1,[2]characters!$1:$1,0)-MATCH($A$1,[2]characters!$1:$1,0)+1),MATCH(G$1,[2]characters!$1:$1,0)-MATCH($A$1,[2]characters!$1:$1,0)+1,FALSE)</f>
        <v>5</v>
      </c>
      <c r="H366" s="24" t="str">
        <f ca="1">VLOOKUP($A366,OFFSET([2]characters!$A$1,0,0,COUNTA([2]characters!$A:$A),MATCH(H$1,[2]characters!$1:$1,0)-MATCH($A$1,[2]characters!$1:$1,0)+1),MATCH(H$1,[2]characters!$1:$1,0)-MATCH($A$1,[2]characters!$1:$1,0)+1,FALSE)</f>
        <v>DropWizS</v>
      </c>
      <c r="I366" s="24" t="str">
        <f ca="1">VLOOKUP($A366,OFFSET([2]characters!$A$1,0,0,COUNTA([2]characters!$A:$A),MATCH(I$1,[2]characters!$1:$1,0)-MATCH($A$1,[2]characters!$1:$1,0)+1),MATCH(I$1,[2]characters!$1:$1,0)-MATCH($A$1,[2]characters!$1:$1,0)+1,FALSE)</f>
        <v>red</v>
      </c>
      <c r="J366" s="24" t="str">
        <f ca="1">VLOOKUP($A366,OFFSET([2]characters!$A$1,0,0,COUNTA([2]characters!$A:$A),MATCH(J$1,[2]characters!$1:$1,0)-MATCH($A$1,[2]characters!$1:$1,0)+1),MATCH(J$1,[2]characters!$1:$1,0)-MATCH($A$1,[2]characters!$1:$1,0)+1,FALSE)</f>
        <v>samurai</v>
      </c>
      <c r="K366" s="3" t="str">
        <f ca="1">VLOOKUP(J366,[2]character_tribe_i18n!$A:$H,3,FALSE)</f>
        <v>サムライ</v>
      </c>
      <c r="L366" s="5" t="e">
        <f>VLOOKUP(#REF!,[2]character_tribe_i18n!$A:$H,4,FALSE)</f>
        <v>#REF!</v>
      </c>
      <c r="M366" s="5" t="e">
        <f>VLOOKUP(#REF!,[2]character_tribe_i18n!$A:$H,5,FALSE)</f>
        <v>#REF!</v>
      </c>
      <c r="N366" s="5" t="e">
        <f>VLOOKUP(#REF!,[2]character_tribe_i18n!$A:$H,6,FALSE)</f>
        <v>#REF!</v>
      </c>
      <c r="O366" s="5" t="e">
        <f>VLOOKUP(#REF!,[2]character_tribe_i18n!$A:$H,7,FALSE)</f>
        <v>#REF!</v>
      </c>
      <c r="P366" s="83" t="s">
        <v>170</v>
      </c>
      <c r="Q366">
        <v>725</v>
      </c>
      <c r="R366" s="25" t="str">
        <f ca="1">IF(Q366="NULL","",VLOOKUP($Q366,OFFSET([2]characters!$A$1,0,0,COUNTA([2]characters!$A:$A),MATCH(R$1,[2]characters!$1:$1,0)-MATCH($A$1,[2]characters!$1:$1,0)+1),MATCH(R$1,[2]characters!$1:$1,0)-MATCH($A$1,[2]characters!$1:$1,0)+1,FALSE))</f>
        <v>泰然の暴虎 武田信玄</v>
      </c>
      <c r="S366" s="3">
        <f t="shared" ca="1" si="8"/>
        <v>724</v>
      </c>
      <c r="T366" s="25" t="str">
        <f ca="1">VLOOKUP($S366,OFFSET([2]characters!$A$1,0,0,COUNTA([2]characters!$A:$A),MATCH(T$1,[2]characters!$1:$1,0)-MATCH($A$1,[2]characters!$1:$1,0)+1),MATCH(T$1,[2]characters!$1:$1,0)-MATCH($A$1,[2]characters!$1:$1,0)+1,FALSE)</f>
        <v>武田信玄</v>
      </c>
      <c r="U366" s="5">
        <f ca="1">IF(Q366="NULL","NULL",VLOOKUP(G366,ビット!$A$2:$B$7,2))</f>
        <v>200000</v>
      </c>
      <c r="V366">
        <v>200000</v>
      </c>
      <c r="W366" s="6" t="str">
        <f t="shared" ca="1" si="10"/>
        <v>TRUE</v>
      </c>
    </row>
    <row r="367" spans="1:23" ht="21" customHeight="1" x14ac:dyDescent="0.15">
      <c r="A367" s="84">
        <v>726</v>
      </c>
      <c r="B367" s="24" t="str">
        <f ca="1">VLOOKUP($A367,OFFSET([2]characters!$A$1,0,0,COUNTA([2]characters!$A:$A),MATCH(B$1,[2]characters!$1:$1,0)-MATCH($A$1,[2]characters!$1:$1,0)+1),MATCH(B$1,[2]characters!$1:$1,0)-MATCH($A$1,[2]characters!$1:$1,0)+1,FALSE)</f>
        <v>織田信長</v>
      </c>
      <c r="C367" s="24" t="str">
        <f ca="1">VLOOKUP($A367,OFFSET([2]characters!$A$1,0,0,COUNTA([2]characters!$A:$A),MATCH(C$1,[2]characters!$1:$1,0)-MATCH($A$1,[2]characters!$1:$1,0)+1),MATCH(C$1,[2]characters!$1:$1,0)-MATCH($A$1,[2]characters!$1:$1,0)+1,FALSE)</f>
        <v>イベント:超ウィザード03</v>
      </c>
      <c r="D367" s="24" t="str">
        <f ca="1">VLOOKUP($A367,OFFSET([2]characters!$A$1,0,0,COUNTA([2]characters!$A:$A),MATCH(D$1,[2]characters!$1:$1,0)-MATCH($A$1,[2]characters!$1:$1,0)+1),MATCH(D$1,[2]characters!$1:$1,0)-MATCH($A$1,[2]characters!$1:$1,0)+1,FALSE)</f>
        <v>執行者</v>
      </c>
      <c r="E367" s="24" t="str">
        <f ca="1">VLOOKUP($A367,OFFSET([2]characters!$A$1,0,0,COUNTA([2]characters!$A:$A),MATCH(E$1,[2]characters!$1:$1,0)-MATCH($A$1,[2]characters!$1:$1,0)+1),MATCH(E$1,[2]characters!$1:$1,0)-MATCH($A$1,[2]characters!$1:$1,0)+1,FALSE)</f>
        <v>格好いい</v>
      </c>
      <c r="F367" s="24" t="str">
        <f ca="1">VLOOKUP($A367,OFFSET([2]characters!$A$1,0,0,COUNTA([2]characters!$A:$A),MATCH(F$1,[2]characters!$1:$1,0)-MATCH($A$1,[2]characters!$1:$1,0)+1),MATCH(F$1,[2]characters!$1:$1,0)-MATCH($A$1,[2]characters!$1:$1,0)+1,FALSE)</f>
        <v>男性</v>
      </c>
      <c r="G367" s="24">
        <f ca="1">VLOOKUP($A367,OFFSET([2]characters!$A$1,0,0,COUNTA([2]characters!$A:$A),MATCH(G$1,[2]characters!$1:$1,0)-MATCH($A$1,[2]characters!$1:$1,0)+1),MATCH(G$1,[2]characters!$1:$1,0)-MATCH($A$1,[2]characters!$1:$1,0)+1,FALSE)</f>
        <v>5</v>
      </c>
      <c r="H367" s="24" t="str">
        <f ca="1">VLOOKUP($A367,OFFSET([2]characters!$A$1,0,0,COUNTA([2]characters!$A:$A),MATCH(H$1,[2]characters!$1:$1,0)-MATCH($A$1,[2]characters!$1:$1,0)+1),MATCH(H$1,[2]characters!$1:$1,0)-MATCH($A$1,[2]characters!$1:$1,0)+1,FALSE)</f>
        <v>DropWizSS</v>
      </c>
      <c r="I367" s="24" t="str">
        <f ca="1">VLOOKUP($A367,OFFSET([2]characters!$A$1,0,0,COUNTA([2]characters!$A:$A),MATCH(I$1,[2]characters!$1:$1,0)-MATCH($A$1,[2]characters!$1:$1,0)+1),MATCH(I$1,[2]characters!$1:$1,0)-MATCH($A$1,[2]characters!$1:$1,0)+1,FALSE)</f>
        <v>red</v>
      </c>
      <c r="J367" s="24" t="str">
        <f ca="1">VLOOKUP($A367,OFFSET([2]characters!$A$1,0,0,COUNTA([2]characters!$A:$A),MATCH(J$1,[2]characters!$1:$1,0)-MATCH($A$1,[2]characters!$1:$1,0)+1),MATCH(J$1,[2]characters!$1:$1,0)-MATCH($A$1,[2]characters!$1:$1,0)+1,FALSE)</f>
        <v>samurai</v>
      </c>
      <c r="K367" s="3" t="str">
        <f ca="1">VLOOKUP(J367,[2]character_tribe_i18n!$A:$H,3,FALSE)</f>
        <v>サムライ</v>
      </c>
      <c r="L367" s="5" t="e">
        <f>VLOOKUP(#REF!,[2]character_tribe_i18n!$A:$H,4,FALSE)</f>
        <v>#REF!</v>
      </c>
      <c r="M367" s="5" t="e">
        <f>VLOOKUP(#REF!,[2]character_tribe_i18n!$A:$H,5,FALSE)</f>
        <v>#REF!</v>
      </c>
      <c r="N367" s="5" t="e">
        <f>VLOOKUP(#REF!,[2]character_tribe_i18n!$A:$H,6,FALSE)</f>
        <v>#REF!</v>
      </c>
      <c r="O367" s="5" t="e">
        <f>VLOOKUP(#REF!,[2]character_tribe_i18n!$A:$H,7,FALSE)</f>
        <v>#REF!</v>
      </c>
      <c r="P367" s="83" t="s">
        <v>170</v>
      </c>
      <c r="Q367">
        <v>727</v>
      </c>
      <c r="R367" s="25" t="str">
        <f ca="1">IF(Q367="NULL","",VLOOKUP($Q367,OFFSET([2]characters!$A$1,0,0,COUNTA([2]characters!$A:$A),MATCH(R$1,[2]characters!$1:$1,0)-MATCH($A$1,[2]characters!$1:$1,0)+1),MATCH(R$1,[2]characters!$1:$1,0)-MATCH($A$1,[2]characters!$1:$1,0)+1,FALSE))</f>
        <v>真鋭の征服者 織田信長</v>
      </c>
      <c r="S367" s="3">
        <f t="shared" ca="1" si="8"/>
        <v>726</v>
      </c>
      <c r="T367" s="25" t="str">
        <f ca="1">VLOOKUP($S367,OFFSET([2]characters!$A$1,0,0,COUNTA([2]characters!$A:$A),MATCH(T$1,[2]characters!$1:$1,0)-MATCH($A$1,[2]characters!$1:$1,0)+1),MATCH(T$1,[2]characters!$1:$1,0)-MATCH($A$1,[2]characters!$1:$1,0)+1,FALSE)</f>
        <v>織田信長</v>
      </c>
      <c r="U367" s="5">
        <f ca="1">IF(Q367="NULL","NULL",VLOOKUP(G367,ビット!$A$2:$B$7,2))</f>
        <v>200000</v>
      </c>
      <c r="V367">
        <v>200000</v>
      </c>
      <c r="W367" s="6" t="str">
        <f t="shared" ca="1" si="10"/>
        <v>TRUE</v>
      </c>
    </row>
    <row r="368" spans="1:23" ht="21" customHeight="1" x14ac:dyDescent="0.15">
      <c r="A368" s="84">
        <v>728</v>
      </c>
      <c r="B368" s="24" t="str">
        <f ca="1">VLOOKUP($A368,OFFSET([2]characters!$A$1,0,0,COUNTA([2]characters!$A:$A),MATCH(B$1,[2]characters!$1:$1,0)-MATCH($A$1,[2]characters!$1:$1,0)+1),MATCH(B$1,[2]characters!$1:$1,0)-MATCH($A$1,[2]characters!$1:$1,0)+1,FALSE)</f>
        <v>井伊直虎</v>
      </c>
      <c r="C368" s="24" t="str">
        <f ca="1">VLOOKUP($A368,OFFSET([2]characters!$A$1,0,0,COUNTA([2]characters!$A:$A),MATCH(C$1,[2]characters!$1:$1,0)-MATCH($A$1,[2]characters!$1:$1,0)+1),MATCH(C$1,[2]characters!$1:$1,0)-MATCH($A$1,[2]characters!$1:$1,0)+1,FALSE)</f>
        <v>ガチャ:戦国01</v>
      </c>
      <c r="D368" s="24" t="str">
        <f ca="1">VLOOKUP($A368,OFFSET([2]characters!$A$1,0,0,COUNTA([2]characters!$A:$A),MATCH(D$1,[2]characters!$1:$1,0)-MATCH($A$1,[2]characters!$1:$1,0)+1),MATCH(D$1,[2]characters!$1:$1,0)-MATCH($A$1,[2]characters!$1:$1,0)+1,FALSE)</f>
        <v>執行者</v>
      </c>
      <c r="E368" s="24" t="str">
        <f ca="1">VLOOKUP($A368,OFFSET([2]characters!$A$1,0,0,COUNTA([2]characters!$A:$A),MATCH(E$1,[2]characters!$1:$1,0)-MATCH($A$1,[2]characters!$1:$1,0)+1),MATCH(E$1,[2]characters!$1:$1,0)-MATCH($A$1,[2]characters!$1:$1,0)+1,FALSE)</f>
        <v>格好いい</v>
      </c>
      <c r="F368" s="24" t="str">
        <f ca="1">VLOOKUP($A368,OFFSET([2]characters!$A$1,0,0,COUNTA([2]characters!$A:$A),MATCH(F$1,[2]characters!$1:$1,0)-MATCH($A$1,[2]characters!$1:$1,0)+1),MATCH(F$1,[2]characters!$1:$1,0)-MATCH($A$1,[2]characters!$1:$1,0)+1,FALSE)</f>
        <v>女性</v>
      </c>
      <c r="G368" s="24">
        <f ca="1">VLOOKUP($A368,OFFSET([2]characters!$A$1,0,0,COUNTA([2]characters!$A:$A),MATCH(G$1,[2]characters!$1:$1,0)-MATCH($A$1,[2]characters!$1:$1,0)+1),MATCH(G$1,[2]characters!$1:$1,0)-MATCH($A$1,[2]characters!$1:$1,0)+1,FALSE)</f>
        <v>4</v>
      </c>
      <c r="H368" s="24" t="str">
        <f ca="1">VLOOKUP($A368,OFFSET([2]characters!$A$1,0,0,COUNTA([2]characters!$A:$A),MATCH(H$1,[2]characters!$1:$1,0)-MATCH($A$1,[2]characters!$1:$1,0)+1),MATCH(H$1,[2]characters!$1:$1,0)-MATCH($A$1,[2]characters!$1:$1,0)+1,FALSE)</f>
        <v>PremiumS</v>
      </c>
      <c r="I368" s="24" t="str">
        <f ca="1">VLOOKUP($A368,OFFSET([2]characters!$A$1,0,0,COUNTA([2]characters!$A:$A),MATCH(I$1,[2]characters!$1:$1,0)-MATCH($A$1,[2]characters!$1:$1,0)+1),MATCH(I$1,[2]characters!$1:$1,0)-MATCH($A$1,[2]characters!$1:$1,0)+1,FALSE)</f>
        <v>red</v>
      </c>
      <c r="J368" s="24" t="str">
        <f ca="1">VLOOKUP($A368,OFFSET([2]characters!$A$1,0,0,COUNTA([2]characters!$A:$A),MATCH(J$1,[2]characters!$1:$1,0)-MATCH($A$1,[2]characters!$1:$1,0)+1),MATCH(J$1,[2]characters!$1:$1,0)-MATCH($A$1,[2]characters!$1:$1,0)+1,FALSE)</f>
        <v>samurai</v>
      </c>
      <c r="K368" s="3" t="str">
        <f ca="1">VLOOKUP(J368,[2]character_tribe_i18n!$A:$H,3,FALSE)</f>
        <v>サムライ</v>
      </c>
      <c r="L368" s="5" t="e">
        <f>VLOOKUP(#REF!,[2]character_tribe_i18n!$A:$H,4,FALSE)</f>
        <v>#REF!</v>
      </c>
      <c r="M368" s="5" t="e">
        <f>VLOOKUP(#REF!,[2]character_tribe_i18n!$A:$H,5,FALSE)</f>
        <v>#REF!</v>
      </c>
      <c r="N368" s="5" t="e">
        <f>VLOOKUP(#REF!,[2]character_tribe_i18n!$A:$H,6,FALSE)</f>
        <v>#REF!</v>
      </c>
      <c r="O368" s="5" t="e">
        <f>VLOOKUP(#REF!,[2]character_tribe_i18n!$A:$H,7,FALSE)</f>
        <v>#REF!</v>
      </c>
      <c r="P368" s="83" t="s">
        <v>170</v>
      </c>
      <c r="Q368">
        <v>729</v>
      </c>
      <c r="R368" s="25" t="str">
        <f ca="1">IF(Q368="NULL","",VLOOKUP($Q368,OFFSET([2]characters!$A$1,0,0,COUNTA([2]characters!$A:$A),MATCH(R$1,[2]characters!$1:$1,0)-MATCH($A$1,[2]characters!$1:$1,0)+1),MATCH(R$1,[2]characters!$1:$1,0)-MATCH($A$1,[2]characters!$1:$1,0)+1,FALSE))</f>
        <v>暗厄の双刀 井伊直虎</v>
      </c>
      <c r="S368" s="3">
        <f t="shared" ca="1" si="8"/>
        <v>728</v>
      </c>
      <c r="T368" s="25" t="str">
        <f ca="1">VLOOKUP($S368,OFFSET([2]characters!$A$1,0,0,COUNTA([2]characters!$A:$A),MATCH(T$1,[2]characters!$1:$1,0)-MATCH($A$1,[2]characters!$1:$1,0)+1),MATCH(T$1,[2]characters!$1:$1,0)-MATCH($A$1,[2]characters!$1:$1,0)+1,FALSE)</f>
        <v>井伊直虎</v>
      </c>
      <c r="U368" s="5">
        <f ca="1">IF(Q368="NULL","NULL",VLOOKUP(G368,ビット!$A$2:$B$7,2))</f>
        <v>50000</v>
      </c>
      <c r="V368">
        <v>50000</v>
      </c>
      <c r="W368" s="6" t="str">
        <f t="shared" ca="1" si="10"/>
        <v>TRUE</v>
      </c>
    </row>
    <row r="369" spans="1:23" ht="21" customHeight="1" x14ac:dyDescent="0.15">
      <c r="A369" s="84">
        <v>730</v>
      </c>
      <c r="B369" s="24" t="str">
        <f ca="1">VLOOKUP($A369,OFFSET([2]characters!$A$1,0,0,COUNTA([2]characters!$A:$A),MATCH(B$1,[2]characters!$1:$1,0)-MATCH($A$1,[2]characters!$1:$1,0)+1),MATCH(B$1,[2]characters!$1:$1,0)-MATCH($A$1,[2]characters!$1:$1,0)+1,FALSE)</f>
        <v>ガラシャ</v>
      </c>
      <c r="C369" s="24" t="str">
        <f ca="1">VLOOKUP($A369,OFFSET([2]characters!$A$1,0,0,COUNTA([2]characters!$A:$A),MATCH(C$1,[2]characters!$1:$1,0)-MATCH($A$1,[2]characters!$1:$1,0)+1),MATCH(C$1,[2]characters!$1:$1,0)-MATCH($A$1,[2]characters!$1:$1,0)+1,FALSE)</f>
        <v>ガチャ:戦国01</v>
      </c>
      <c r="D369" s="24" t="str">
        <f ca="1">VLOOKUP($A369,OFFSET([2]characters!$A$1,0,0,COUNTA([2]characters!$A:$A),MATCH(D$1,[2]characters!$1:$1,0)-MATCH($A$1,[2]characters!$1:$1,0)+1),MATCH(D$1,[2]characters!$1:$1,0)-MATCH($A$1,[2]characters!$1:$1,0)+1,FALSE)</f>
        <v>執行者</v>
      </c>
      <c r="E369" s="24" t="str">
        <f ca="1">VLOOKUP($A369,OFFSET([2]characters!$A$1,0,0,COUNTA([2]characters!$A:$A),MATCH(E$1,[2]characters!$1:$1,0)-MATCH($A$1,[2]characters!$1:$1,0)+1),MATCH(E$1,[2]characters!$1:$1,0)-MATCH($A$1,[2]characters!$1:$1,0)+1,FALSE)</f>
        <v>格好いい</v>
      </c>
      <c r="F369" s="24" t="str">
        <f ca="1">VLOOKUP($A369,OFFSET([2]characters!$A$1,0,0,COUNTA([2]characters!$A:$A),MATCH(F$1,[2]characters!$1:$1,0)-MATCH($A$1,[2]characters!$1:$1,0)+1),MATCH(F$1,[2]characters!$1:$1,0)-MATCH($A$1,[2]characters!$1:$1,0)+1,FALSE)</f>
        <v>女性</v>
      </c>
      <c r="G369" s="24">
        <f ca="1">VLOOKUP($A369,OFFSET([2]characters!$A$1,0,0,COUNTA([2]characters!$A:$A),MATCH(G$1,[2]characters!$1:$1,0)-MATCH($A$1,[2]characters!$1:$1,0)+1),MATCH(G$1,[2]characters!$1:$1,0)-MATCH($A$1,[2]characters!$1:$1,0)+1,FALSE)</f>
        <v>4</v>
      </c>
      <c r="H369" s="24" t="str">
        <f ca="1">VLOOKUP($A369,OFFSET([2]characters!$A$1,0,0,COUNTA([2]characters!$A:$A),MATCH(H$1,[2]characters!$1:$1,0)-MATCH($A$1,[2]characters!$1:$1,0)+1),MATCH(H$1,[2]characters!$1:$1,0)-MATCH($A$1,[2]characters!$1:$1,0)+1,FALSE)</f>
        <v>PremiumS</v>
      </c>
      <c r="I369" s="24" t="str">
        <f ca="1">VLOOKUP($A369,OFFSET([2]characters!$A$1,0,0,COUNTA([2]characters!$A:$A),MATCH(I$1,[2]characters!$1:$1,0)-MATCH($A$1,[2]characters!$1:$1,0)+1),MATCH(I$1,[2]characters!$1:$1,0)-MATCH($A$1,[2]characters!$1:$1,0)+1,FALSE)</f>
        <v>green</v>
      </c>
      <c r="J369" s="24" t="str">
        <f ca="1">VLOOKUP($A369,OFFSET([2]characters!$A$1,0,0,COUNTA([2]characters!$A:$A),MATCH(J$1,[2]characters!$1:$1,0)-MATCH($A$1,[2]characters!$1:$1,0)+1),MATCH(J$1,[2]characters!$1:$1,0)-MATCH($A$1,[2]characters!$1:$1,0)+1,FALSE)</f>
        <v>none</v>
      </c>
      <c r="K369" s="3" t="str">
        <f ca="1">VLOOKUP(J369,[2]character_tribe_i18n!$A:$H,3,FALSE)</f>
        <v>種族なし</v>
      </c>
      <c r="L369" s="5" t="e">
        <f>VLOOKUP(#REF!,[2]character_tribe_i18n!$A:$H,4,FALSE)</f>
        <v>#REF!</v>
      </c>
      <c r="M369" s="5" t="e">
        <f>VLOOKUP(#REF!,[2]character_tribe_i18n!$A:$H,5,FALSE)</f>
        <v>#REF!</v>
      </c>
      <c r="N369" s="5" t="e">
        <f>VLOOKUP(#REF!,[2]character_tribe_i18n!$A:$H,6,FALSE)</f>
        <v>#REF!</v>
      </c>
      <c r="O369" s="5" t="e">
        <f>VLOOKUP(#REF!,[2]character_tribe_i18n!$A:$H,7,FALSE)</f>
        <v>#REF!</v>
      </c>
      <c r="P369" s="83" t="s">
        <v>170</v>
      </c>
      <c r="Q369">
        <v>731</v>
      </c>
      <c r="R369" s="25" t="str">
        <f ca="1">IF(Q369="NULL","",VLOOKUP($Q369,OFFSET([2]characters!$A$1,0,0,COUNTA([2]characters!$A:$A),MATCH(R$1,[2]characters!$1:$1,0)-MATCH($A$1,[2]characters!$1:$1,0)+1),MATCH(R$1,[2]characters!$1:$1,0)-MATCH($A$1,[2]characters!$1:$1,0)+1,FALSE))</f>
        <v>敬虔なる追銃 ガラシャ</v>
      </c>
      <c r="S369" s="3">
        <f t="shared" ca="1" si="8"/>
        <v>730</v>
      </c>
      <c r="T369" s="25" t="str">
        <f ca="1">VLOOKUP($S369,OFFSET([2]characters!$A$1,0,0,COUNTA([2]characters!$A:$A),MATCH(T$1,[2]characters!$1:$1,0)-MATCH($A$1,[2]characters!$1:$1,0)+1),MATCH(T$1,[2]characters!$1:$1,0)-MATCH($A$1,[2]characters!$1:$1,0)+1,FALSE)</f>
        <v>ガラシャ</v>
      </c>
      <c r="U369" s="5">
        <f ca="1">IF(Q369="NULL","NULL",VLOOKUP(G369,ビット!$A$2:$B$7,2))</f>
        <v>50000</v>
      </c>
      <c r="V369">
        <v>50000</v>
      </c>
      <c r="W369" s="6" t="str">
        <f t="shared" ca="1" si="10"/>
        <v>TRUE</v>
      </c>
    </row>
    <row r="370" spans="1:23" ht="21" customHeight="1" x14ac:dyDescent="0.15">
      <c r="A370" s="84">
        <v>732</v>
      </c>
      <c r="B370" s="24" t="str">
        <f ca="1">VLOOKUP($A370,OFFSET([2]characters!$A$1,0,0,COUNTA([2]characters!$A:$A),MATCH(B$1,[2]characters!$1:$1,0)-MATCH($A$1,[2]characters!$1:$1,0)+1),MATCH(B$1,[2]characters!$1:$1,0)-MATCH($A$1,[2]characters!$1:$1,0)+1,FALSE)</f>
        <v>上杉謙信</v>
      </c>
      <c r="C370" s="24" t="str">
        <f ca="1">VLOOKUP($A370,OFFSET([2]characters!$A$1,0,0,COUNTA([2]characters!$A:$A),MATCH(C$1,[2]characters!$1:$1,0)-MATCH($A$1,[2]characters!$1:$1,0)+1),MATCH(C$1,[2]characters!$1:$1,0)-MATCH($A$1,[2]characters!$1:$1,0)+1,FALSE)</f>
        <v>ガチャ:戦国01</v>
      </c>
      <c r="D370" s="24" t="str">
        <f ca="1">VLOOKUP($A370,OFFSET([2]characters!$A$1,0,0,COUNTA([2]characters!$A:$A),MATCH(D$1,[2]characters!$1:$1,0)-MATCH($A$1,[2]characters!$1:$1,0)+1),MATCH(D$1,[2]characters!$1:$1,0)-MATCH($A$1,[2]characters!$1:$1,0)+1,FALSE)</f>
        <v>執行者</v>
      </c>
      <c r="E370" s="24" t="str">
        <f ca="1">VLOOKUP($A370,OFFSET([2]characters!$A$1,0,0,COUNTA([2]characters!$A:$A),MATCH(E$1,[2]characters!$1:$1,0)-MATCH($A$1,[2]characters!$1:$1,0)+1),MATCH(E$1,[2]characters!$1:$1,0)-MATCH($A$1,[2]characters!$1:$1,0)+1,FALSE)</f>
        <v>格好いい</v>
      </c>
      <c r="F370" s="24" t="str">
        <f ca="1">VLOOKUP($A370,OFFSET([2]characters!$A$1,0,0,COUNTA([2]characters!$A:$A),MATCH(F$1,[2]characters!$1:$1,0)-MATCH($A$1,[2]characters!$1:$1,0)+1),MATCH(F$1,[2]characters!$1:$1,0)-MATCH($A$1,[2]characters!$1:$1,0)+1,FALSE)</f>
        <v>女性</v>
      </c>
      <c r="G370" s="24">
        <f ca="1">VLOOKUP($A370,OFFSET([2]characters!$A$1,0,0,COUNTA([2]characters!$A:$A),MATCH(G$1,[2]characters!$1:$1,0)-MATCH($A$1,[2]characters!$1:$1,0)+1),MATCH(G$1,[2]characters!$1:$1,0)-MATCH($A$1,[2]characters!$1:$1,0)+1,FALSE)</f>
        <v>5</v>
      </c>
      <c r="H370" s="24" t="str">
        <f ca="1">VLOOKUP($A370,OFFSET([2]characters!$A$1,0,0,COUNTA([2]characters!$A:$A),MATCH(H$1,[2]characters!$1:$1,0)-MATCH($A$1,[2]characters!$1:$1,0)+1),MATCH(H$1,[2]characters!$1:$1,0)-MATCH($A$1,[2]characters!$1:$1,0)+1,FALSE)</f>
        <v>PremiumSS</v>
      </c>
      <c r="I370" s="24" t="str">
        <f ca="1">VLOOKUP($A370,OFFSET([2]characters!$A$1,0,0,COUNTA([2]characters!$A:$A),MATCH(I$1,[2]characters!$1:$1,0)-MATCH($A$1,[2]characters!$1:$1,0)+1),MATCH(I$1,[2]characters!$1:$1,0)-MATCH($A$1,[2]characters!$1:$1,0)+1,FALSE)</f>
        <v>blue</v>
      </c>
      <c r="J370" s="24" t="str">
        <f ca="1">VLOOKUP($A370,OFFSET([2]characters!$A$1,0,0,COUNTA([2]characters!$A:$A),MATCH(J$1,[2]characters!$1:$1,0)-MATCH($A$1,[2]characters!$1:$1,0)+1),MATCH(J$1,[2]characters!$1:$1,0)-MATCH($A$1,[2]characters!$1:$1,0)+1,FALSE)</f>
        <v>samurai</v>
      </c>
      <c r="K370" s="3" t="str">
        <f ca="1">VLOOKUP(J370,[2]character_tribe_i18n!$A:$H,3,FALSE)</f>
        <v>サムライ</v>
      </c>
      <c r="L370" s="5" t="e">
        <f>VLOOKUP(#REF!,[2]character_tribe_i18n!$A:$H,4,FALSE)</f>
        <v>#REF!</v>
      </c>
      <c r="M370" s="5" t="e">
        <f>VLOOKUP(#REF!,[2]character_tribe_i18n!$A:$H,5,FALSE)</f>
        <v>#REF!</v>
      </c>
      <c r="N370" s="5" t="e">
        <f>VLOOKUP(#REF!,[2]character_tribe_i18n!$A:$H,6,FALSE)</f>
        <v>#REF!</v>
      </c>
      <c r="O370" s="5" t="e">
        <f>VLOOKUP(#REF!,[2]character_tribe_i18n!$A:$H,7,FALSE)</f>
        <v>#REF!</v>
      </c>
      <c r="P370" s="83" t="s">
        <v>170</v>
      </c>
      <c r="Q370">
        <v>733</v>
      </c>
      <c r="R370" s="25" t="str">
        <f ca="1">IF(Q370="NULL","",VLOOKUP($Q370,OFFSET([2]characters!$A$1,0,0,COUNTA([2]characters!$A:$A),MATCH(R$1,[2]characters!$1:$1,0)-MATCH($A$1,[2]characters!$1:$1,0)+1),MATCH(R$1,[2]characters!$1:$1,0)-MATCH($A$1,[2]characters!$1:$1,0)+1,FALSE))</f>
        <v>夢幻の千刃 上杉謙信</v>
      </c>
      <c r="S370" s="3">
        <f t="shared" ca="1" si="8"/>
        <v>732</v>
      </c>
      <c r="T370" s="25" t="str">
        <f ca="1">VLOOKUP($S370,OFFSET([2]characters!$A$1,0,0,COUNTA([2]characters!$A:$A),MATCH(T$1,[2]characters!$1:$1,0)-MATCH($A$1,[2]characters!$1:$1,0)+1),MATCH(T$1,[2]characters!$1:$1,0)-MATCH($A$1,[2]characters!$1:$1,0)+1,FALSE)</f>
        <v>上杉謙信</v>
      </c>
      <c r="U370" s="5">
        <f ca="1">IF(Q370="NULL","NULL",VLOOKUP(G370,ビット!$A$2:$B$7,2))</f>
        <v>200000</v>
      </c>
      <c r="V370">
        <v>200000</v>
      </c>
      <c r="W370" s="6" t="str">
        <f t="shared" ca="1" si="10"/>
        <v>TRUE</v>
      </c>
    </row>
    <row r="371" spans="1:23" ht="21" customHeight="1" x14ac:dyDescent="0.15">
      <c r="A371" s="84">
        <v>734</v>
      </c>
      <c r="B371" s="24" t="str">
        <f ca="1">VLOOKUP($A371,OFFSET([2]characters!$A$1,0,0,COUNTA([2]characters!$A:$A),MATCH(B$1,[2]characters!$1:$1,0)-MATCH($A$1,[2]characters!$1:$1,0)+1),MATCH(B$1,[2]characters!$1:$1,0)-MATCH($A$1,[2]characters!$1:$1,0)+1,FALSE)</f>
        <v>伊達政宗</v>
      </c>
      <c r="C371" s="24" t="str">
        <f ca="1">VLOOKUP($A371,OFFSET([2]characters!$A$1,0,0,COUNTA([2]characters!$A:$A),MATCH(C$1,[2]characters!$1:$1,0)-MATCH($A$1,[2]characters!$1:$1,0)+1),MATCH(C$1,[2]characters!$1:$1,0)-MATCH($A$1,[2]characters!$1:$1,0)+1,FALSE)</f>
        <v>ガチャ:戦国01</v>
      </c>
      <c r="D371" s="24" t="str">
        <f ca="1">VLOOKUP($A371,OFFSET([2]characters!$A$1,0,0,COUNTA([2]characters!$A:$A),MATCH(D$1,[2]characters!$1:$1,0)-MATCH($A$1,[2]characters!$1:$1,0)+1),MATCH(D$1,[2]characters!$1:$1,0)-MATCH($A$1,[2]characters!$1:$1,0)+1,FALSE)</f>
        <v>執行者</v>
      </c>
      <c r="E371" s="24" t="str">
        <f ca="1">VLOOKUP($A371,OFFSET([2]characters!$A$1,0,0,COUNTA([2]characters!$A:$A),MATCH(E$1,[2]characters!$1:$1,0)-MATCH($A$1,[2]characters!$1:$1,0)+1),MATCH(E$1,[2]characters!$1:$1,0)-MATCH($A$1,[2]characters!$1:$1,0)+1,FALSE)</f>
        <v>格好いい</v>
      </c>
      <c r="F371" s="24" t="str">
        <f ca="1">VLOOKUP($A371,OFFSET([2]characters!$A$1,0,0,COUNTA([2]characters!$A:$A),MATCH(F$1,[2]characters!$1:$1,0)-MATCH($A$1,[2]characters!$1:$1,0)+1),MATCH(F$1,[2]characters!$1:$1,0)-MATCH($A$1,[2]characters!$1:$1,0)+1,FALSE)</f>
        <v>男性</v>
      </c>
      <c r="G371" s="24">
        <f ca="1">VLOOKUP($A371,OFFSET([2]characters!$A$1,0,0,COUNTA([2]characters!$A:$A),MATCH(G$1,[2]characters!$1:$1,0)-MATCH($A$1,[2]characters!$1:$1,0)+1),MATCH(G$1,[2]characters!$1:$1,0)-MATCH($A$1,[2]characters!$1:$1,0)+1,FALSE)</f>
        <v>5</v>
      </c>
      <c r="H371" s="24" t="str">
        <f ca="1">VLOOKUP($A371,OFFSET([2]characters!$A$1,0,0,COUNTA([2]characters!$A:$A),MATCH(H$1,[2]characters!$1:$1,0)-MATCH($A$1,[2]characters!$1:$1,0)+1),MATCH(H$1,[2]characters!$1:$1,0)-MATCH($A$1,[2]characters!$1:$1,0)+1,FALSE)</f>
        <v>PremiumSS</v>
      </c>
      <c r="I371" s="24" t="str">
        <f ca="1">VLOOKUP($A371,OFFSET([2]characters!$A$1,0,0,COUNTA([2]characters!$A:$A),MATCH(I$1,[2]characters!$1:$1,0)-MATCH($A$1,[2]characters!$1:$1,0)+1),MATCH(I$1,[2]characters!$1:$1,0)-MATCH($A$1,[2]characters!$1:$1,0)+1,FALSE)</f>
        <v>yellow</v>
      </c>
      <c r="J371" s="24" t="str">
        <f ca="1">VLOOKUP($A371,OFFSET([2]characters!$A$1,0,0,COUNTA([2]characters!$A:$A),MATCH(J$1,[2]characters!$1:$1,0)-MATCH($A$1,[2]characters!$1:$1,0)+1),MATCH(J$1,[2]characters!$1:$1,0)-MATCH($A$1,[2]characters!$1:$1,0)+1,FALSE)</f>
        <v>samurai</v>
      </c>
      <c r="K371" s="3" t="str">
        <f ca="1">VLOOKUP(J371,[2]character_tribe_i18n!$A:$H,3,FALSE)</f>
        <v>サムライ</v>
      </c>
      <c r="L371" s="5" t="e">
        <f>VLOOKUP(#REF!,[2]character_tribe_i18n!$A:$H,4,FALSE)</f>
        <v>#REF!</v>
      </c>
      <c r="M371" s="5" t="e">
        <f>VLOOKUP(#REF!,[2]character_tribe_i18n!$A:$H,5,FALSE)</f>
        <v>#REF!</v>
      </c>
      <c r="N371" s="5" t="e">
        <f>VLOOKUP(#REF!,[2]character_tribe_i18n!$A:$H,6,FALSE)</f>
        <v>#REF!</v>
      </c>
      <c r="O371" s="5" t="e">
        <f>VLOOKUP(#REF!,[2]character_tribe_i18n!$A:$H,7,FALSE)</f>
        <v>#REF!</v>
      </c>
      <c r="P371" s="83" t="s">
        <v>170</v>
      </c>
      <c r="Q371">
        <v>735</v>
      </c>
      <c r="R371" s="25" t="str">
        <f ca="1">IF(Q371="NULL","",VLOOKUP($Q371,OFFSET([2]characters!$A$1,0,0,COUNTA([2]characters!$A:$A),MATCH(R$1,[2]characters!$1:$1,0)-MATCH($A$1,[2]characters!$1:$1,0)+1),MATCH(R$1,[2]characters!$1:$1,0)-MATCH($A$1,[2]characters!$1:$1,0)+1,FALSE))</f>
        <v>破天の隻眼 伊達政宗</v>
      </c>
      <c r="S371" s="3">
        <f t="shared" ca="1" si="8"/>
        <v>734</v>
      </c>
      <c r="T371" s="25" t="str">
        <f ca="1">VLOOKUP($S371,OFFSET([2]characters!$A$1,0,0,COUNTA([2]characters!$A:$A),MATCH(T$1,[2]characters!$1:$1,0)-MATCH($A$1,[2]characters!$1:$1,0)+1),MATCH(T$1,[2]characters!$1:$1,0)-MATCH($A$1,[2]characters!$1:$1,0)+1,FALSE)</f>
        <v>伊達政宗</v>
      </c>
      <c r="U371" s="5">
        <f ca="1">IF(Q371="NULL","NULL",VLOOKUP(G371,ビット!$A$2:$B$7,2))</f>
        <v>200000</v>
      </c>
      <c r="V371">
        <v>200000</v>
      </c>
      <c r="W371" s="6" t="str">
        <f t="shared" ca="1" si="10"/>
        <v>TRUE</v>
      </c>
    </row>
    <row r="372" spans="1:23" ht="21" customHeight="1" x14ac:dyDescent="0.15">
      <c r="A372" s="84">
        <v>736</v>
      </c>
      <c r="B372" s="24" t="str">
        <f ca="1">VLOOKUP($A372,OFFSET([2]characters!$A$1,0,0,COUNTA([2]characters!$A:$A),MATCH(B$1,[2]characters!$1:$1,0)-MATCH($A$1,[2]characters!$1:$1,0)+1),MATCH(B$1,[2]characters!$1:$1,0)-MATCH($A$1,[2]characters!$1:$1,0)+1,FALSE)</f>
        <v>オルトロス</v>
      </c>
      <c r="C372" s="24" t="str">
        <f ca="1">VLOOKUP($A372,OFFSET([2]characters!$A$1,0,0,COUNTA([2]characters!$A:$A),MATCH(C$1,[2]characters!$1:$1,0)-MATCH($A$1,[2]characters!$1:$1,0)+1),MATCH(C$1,[2]characters!$1:$1,0)-MATCH($A$1,[2]characters!$1:$1,0)+1,FALSE)</f>
        <v>各属性相性良3・黄・R354</v>
      </c>
      <c r="D372" s="24" t="str">
        <f ca="1">VLOOKUP($A372,OFFSET([2]characters!$A$1,0,0,COUNTA([2]characters!$A:$A),MATCH(D$1,[2]characters!$1:$1,0)-MATCH($A$1,[2]characters!$1:$1,0)+1),MATCH(D$1,[2]characters!$1:$1,0)-MATCH($A$1,[2]characters!$1:$1,0)+1,FALSE)</f>
        <v>執行者</v>
      </c>
      <c r="E372" s="24" t="str">
        <f ca="1">VLOOKUP($A372,OFFSET([2]characters!$A$1,0,0,COUNTA([2]characters!$A:$A),MATCH(E$1,[2]characters!$1:$1,0)-MATCH($A$1,[2]characters!$1:$1,0)+1),MATCH(E$1,[2]characters!$1:$1,0)-MATCH($A$1,[2]characters!$1:$1,0)+1,FALSE)</f>
        <v>格好いい</v>
      </c>
      <c r="F372" s="24" t="str">
        <f ca="1">VLOOKUP($A372,OFFSET([2]characters!$A$1,0,0,COUNTA([2]characters!$A:$A),MATCH(F$1,[2]characters!$1:$1,0)-MATCH($A$1,[2]characters!$1:$1,0)+1),MATCH(F$1,[2]characters!$1:$1,0)-MATCH($A$1,[2]characters!$1:$1,0)+1,FALSE)</f>
        <v>女性</v>
      </c>
      <c r="G372" s="24">
        <f ca="1">VLOOKUP($A372,OFFSET([2]characters!$A$1,0,0,COUNTA([2]characters!$A:$A),MATCH(G$1,[2]characters!$1:$1,0)-MATCH($A$1,[2]characters!$1:$1,0)+1),MATCH(G$1,[2]characters!$1:$1,0)-MATCH($A$1,[2]characters!$1:$1,0)+1,FALSE)</f>
        <v>4</v>
      </c>
      <c r="H372" s="24" t="str">
        <f ca="1">VLOOKUP($A372,OFFSET([2]characters!$A$1,0,0,COUNTA([2]characters!$A:$A),MATCH(H$1,[2]characters!$1:$1,0)-MATCH($A$1,[2]characters!$1:$1,0)+1),MATCH(H$1,[2]characters!$1:$1,0)-MATCH($A$1,[2]characters!$1:$1,0)+1,FALSE)</f>
        <v>Drop2N</v>
      </c>
      <c r="I372" s="24" t="str">
        <f ca="1">VLOOKUP($A372,OFFSET([2]characters!$A$1,0,0,COUNTA([2]characters!$A:$A),MATCH(I$1,[2]characters!$1:$1,0)-MATCH($A$1,[2]characters!$1:$1,0)+1),MATCH(I$1,[2]characters!$1:$1,0)-MATCH($A$1,[2]characters!$1:$1,0)+1,FALSE)</f>
        <v>red</v>
      </c>
      <c r="J372" s="24" t="str">
        <f ca="1">VLOOKUP($A372,OFFSET([2]characters!$A$1,0,0,COUNTA([2]characters!$A:$A),MATCH(J$1,[2]characters!$1:$1,0)-MATCH($A$1,[2]characters!$1:$1,0)+1),MATCH(J$1,[2]characters!$1:$1,0)-MATCH($A$1,[2]characters!$1:$1,0)+1,FALSE)</f>
        <v>none</v>
      </c>
      <c r="K372" s="3" t="str">
        <f ca="1">VLOOKUP(J372,[2]character_tribe_i18n!$A:$H,3,FALSE)</f>
        <v>種族なし</v>
      </c>
      <c r="L372" s="5" t="e">
        <f>VLOOKUP(#REF!,[2]character_tribe_i18n!$A:$H,4,FALSE)</f>
        <v>#REF!</v>
      </c>
      <c r="M372" s="5" t="e">
        <f>VLOOKUP(#REF!,[2]character_tribe_i18n!$A:$H,5,FALSE)</f>
        <v>#REF!</v>
      </c>
      <c r="N372" s="5" t="e">
        <f>VLOOKUP(#REF!,[2]character_tribe_i18n!$A:$H,6,FALSE)</f>
        <v>#REF!</v>
      </c>
      <c r="O372" s="5" t="e">
        <f>VLOOKUP(#REF!,[2]character_tribe_i18n!$A:$H,7,FALSE)</f>
        <v>#REF!</v>
      </c>
      <c r="P372" s="83" t="s">
        <v>170</v>
      </c>
      <c r="Q372">
        <v>737</v>
      </c>
      <c r="R372" s="25" t="str">
        <f ca="1">IF(Q372="NULL","",VLOOKUP($Q372,OFFSET([2]characters!$A$1,0,0,COUNTA([2]characters!$A:$A),MATCH(R$1,[2]characters!$1:$1,0)-MATCH($A$1,[2]characters!$1:$1,0)+1),MATCH(R$1,[2]characters!$1:$1,0)-MATCH($A$1,[2]characters!$1:$1,0)+1,FALSE))</f>
        <v>狂鳴の慟哭 オルトロス</v>
      </c>
      <c r="S372" s="3">
        <f t="shared" ca="1" si="8"/>
        <v>736</v>
      </c>
      <c r="T372" s="25" t="str">
        <f ca="1">VLOOKUP($S372,OFFSET([2]characters!$A$1,0,0,COUNTA([2]characters!$A:$A),MATCH(T$1,[2]characters!$1:$1,0)-MATCH($A$1,[2]characters!$1:$1,0)+1),MATCH(T$1,[2]characters!$1:$1,0)-MATCH($A$1,[2]characters!$1:$1,0)+1,FALSE)</f>
        <v>オルトロス</v>
      </c>
      <c r="U372" s="5">
        <f ca="1">IF(Q372="NULL","NULL",VLOOKUP(G372,ビット!$A$2:$B$7,2))</f>
        <v>50000</v>
      </c>
      <c r="V372">
        <v>50000</v>
      </c>
      <c r="W372" s="6" t="str">
        <f t="shared" ca="1" si="10"/>
        <v>TRUE</v>
      </c>
    </row>
    <row r="373" spans="1:23" ht="21" customHeight="1" x14ac:dyDescent="0.15">
      <c r="A373" s="84">
        <v>738</v>
      </c>
      <c r="B373" s="24" t="str">
        <f ca="1">VLOOKUP($A373,OFFSET([2]characters!$A$1,0,0,COUNTA([2]characters!$A:$A),MATCH(B$1,[2]characters!$1:$1,0)-MATCH($A$1,[2]characters!$1:$1,0)+1),MATCH(B$1,[2]characters!$1:$1,0)-MATCH($A$1,[2]characters!$1:$1,0)+1,FALSE)</f>
        <v>ラドン</v>
      </c>
      <c r="C373" s="24" t="str">
        <f ca="1">VLOOKUP($A373,OFFSET([2]characters!$A$1,0,0,COUNTA([2]characters!$A:$A),MATCH(C$1,[2]characters!$1:$1,0)-MATCH($A$1,[2]characters!$1:$1,0)+1),MATCH(C$1,[2]characters!$1:$1,0)-MATCH($A$1,[2]characters!$1:$1,0)+1,FALSE)</f>
        <v>各属性相性良3・黄・R356</v>
      </c>
      <c r="D373" s="24" t="str">
        <f ca="1">VLOOKUP($A373,OFFSET([2]characters!$A$1,0,0,COUNTA([2]characters!$A:$A),MATCH(D$1,[2]characters!$1:$1,0)-MATCH($A$1,[2]characters!$1:$1,0)+1),MATCH(D$1,[2]characters!$1:$1,0)-MATCH($A$1,[2]characters!$1:$1,0)+1,FALSE)</f>
        <v>執行者</v>
      </c>
      <c r="E373" s="24" t="str">
        <f ca="1">VLOOKUP($A373,OFFSET([2]characters!$A$1,0,0,COUNTA([2]characters!$A:$A),MATCH(E$1,[2]characters!$1:$1,0)-MATCH($A$1,[2]characters!$1:$1,0)+1),MATCH(E$1,[2]characters!$1:$1,0)-MATCH($A$1,[2]characters!$1:$1,0)+1,FALSE)</f>
        <v>格好いい</v>
      </c>
      <c r="F373" s="24" t="str">
        <f ca="1">VLOOKUP($A373,OFFSET([2]characters!$A$1,0,0,COUNTA([2]characters!$A:$A),MATCH(F$1,[2]characters!$1:$1,0)-MATCH($A$1,[2]characters!$1:$1,0)+1),MATCH(F$1,[2]characters!$1:$1,0)-MATCH($A$1,[2]characters!$1:$1,0)+1,FALSE)</f>
        <v>男性</v>
      </c>
      <c r="G373" s="24">
        <f ca="1">VLOOKUP($A373,OFFSET([2]characters!$A$1,0,0,COUNTA([2]characters!$A:$A),MATCH(G$1,[2]characters!$1:$1,0)-MATCH($A$1,[2]characters!$1:$1,0)+1),MATCH(G$1,[2]characters!$1:$1,0)-MATCH($A$1,[2]characters!$1:$1,0)+1,FALSE)</f>
        <v>4</v>
      </c>
      <c r="H373" s="24" t="str">
        <f ca="1">VLOOKUP($A373,OFFSET([2]characters!$A$1,0,0,COUNTA([2]characters!$A:$A),MATCH(H$1,[2]characters!$1:$1,0)-MATCH($A$1,[2]characters!$1:$1,0)+1),MATCH(H$1,[2]characters!$1:$1,0)-MATCH($A$1,[2]characters!$1:$1,0)+1,FALSE)</f>
        <v>Drop2N</v>
      </c>
      <c r="I373" s="24" t="str">
        <f ca="1">VLOOKUP($A373,OFFSET([2]characters!$A$1,0,0,COUNTA([2]characters!$A:$A),MATCH(I$1,[2]characters!$1:$1,0)-MATCH($A$1,[2]characters!$1:$1,0)+1),MATCH(I$1,[2]characters!$1:$1,0)-MATCH($A$1,[2]characters!$1:$1,0)+1,FALSE)</f>
        <v>blue</v>
      </c>
      <c r="J373" s="24" t="str">
        <f ca="1">VLOOKUP($A373,OFFSET([2]characters!$A$1,0,0,COUNTA([2]characters!$A:$A),MATCH(J$1,[2]characters!$1:$1,0)-MATCH($A$1,[2]characters!$1:$1,0)+1),MATCH(J$1,[2]characters!$1:$1,0)-MATCH($A$1,[2]characters!$1:$1,0)+1,FALSE)</f>
        <v>machine</v>
      </c>
      <c r="K373" s="3" t="str">
        <f ca="1">VLOOKUP(J373,[2]character_tribe_i18n!$A:$H,3,FALSE)</f>
        <v>マシン</v>
      </c>
      <c r="L373" s="5" t="e">
        <f>VLOOKUP(#REF!,[2]character_tribe_i18n!$A:$H,4,FALSE)</f>
        <v>#REF!</v>
      </c>
      <c r="M373" s="5" t="e">
        <f>VLOOKUP(#REF!,[2]character_tribe_i18n!$A:$H,5,FALSE)</f>
        <v>#REF!</v>
      </c>
      <c r="N373" s="5" t="e">
        <f>VLOOKUP(#REF!,[2]character_tribe_i18n!$A:$H,6,FALSE)</f>
        <v>#REF!</v>
      </c>
      <c r="O373" s="5" t="e">
        <f>VLOOKUP(#REF!,[2]character_tribe_i18n!$A:$H,7,FALSE)</f>
        <v>#REF!</v>
      </c>
      <c r="P373" s="83" t="s">
        <v>170</v>
      </c>
      <c r="Q373">
        <v>739</v>
      </c>
      <c r="R373" s="25" t="str">
        <f ca="1">IF(Q373="NULL","",VLOOKUP($Q373,OFFSET([2]characters!$A$1,0,0,COUNTA([2]characters!$A:$A),MATCH(R$1,[2]characters!$1:$1,0)-MATCH($A$1,[2]characters!$1:$1,0)+1),MATCH(R$1,[2]characters!$1:$1,0)-MATCH($A$1,[2]characters!$1:$1,0)+1,FALSE))</f>
        <v>寡言の密使 ラドン</v>
      </c>
      <c r="S373" s="3">
        <f t="shared" ca="1" si="8"/>
        <v>738</v>
      </c>
      <c r="T373" s="25" t="str">
        <f ca="1">VLOOKUP($S373,OFFSET([2]characters!$A$1,0,0,COUNTA([2]characters!$A:$A),MATCH(T$1,[2]characters!$1:$1,0)-MATCH($A$1,[2]characters!$1:$1,0)+1),MATCH(T$1,[2]characters!$1:$1,0)-MATCH($A$1,[2]characters!$1:$1,0)+1,FALSE)</f>
        <v>ラドン</v>
      </c>
      <c r="U373" s="5">
        <f ca="1">IF(Q373="NULL","NULL",VLOOKUP(G373,ビット!$A$2:$B$7,2))</f>
        <v>50000</v>
      </c>
      <c r="V373">
        <v>50000</v>
      </c>
      <c r="W373" s="6" t="str">
        <f t="shared" ca="1" si="10"/>
        <v>TRUE</v>
      </c>
    </row>
    <row r="374" spans="1:23" ht="21" customHeight="1" x14ac:dyDescent="0.15">
      <c r="A374" s="84">
        <v>740</v>
      </c>
      <c r="B374" s="24" t="str">
        <f ca="1">VLOOKUP($A374,OFFSET([2]characters!$A$1,0,0,COUNTA([2]characters!$A:$A),MATCH(B$1,[2]characters!$1:$1,0)-MATCH($A$1,[2]characters!$1:$1,0)+1),MATCH(B$1,[2]characters!$1:$1,0)-MATCH($A$1,[2]characters!$1:$1,0)+1,FALSE)</f>
        <v>テュポーン</v>
      </c>
      <c r="C374" s="24" t="str">
        <f ca="1">VLOOKUP($A374,OFFSET([2]characters!$A$1,0,0,COUNTA([2]characters!$A:$A),MATCH(C$1,[2]characters!$1:$1,0)-MATCH($A$1,[2]characters!$1:$1,0)+1),MATCH(C$1,[2]characters!$1:$1,0)-MATCH($A$1,[2]characters!$1:$1,0)+1,FALSE)</f>
        <v>各属性相性良3・黄・R358</v>
      </c>
      <c r="D374" s="24" t="str">
        <f ca="1">VLOOKUP($A374,OFFSET([2]characters!$A$1,0,0,COUNTA([2]characters!$A:$A),MATCH(D$1,[2]characters!$1:$1,0)-MATCH($A$1,[2]characters!$1:$1,0)+1),MATCH(D$1,[2]characters!$1:$1,0)-MATCH($A$1,[2]characters!$1:$1,0)+1,FALSE)</f>
        <v>執行者</v>
      </c>
      <c r="E374" s="24" t="str">
        <f ca="1">VLOOKUP($A374,OFFSET([2]characters!$A$1,0,0,COUNTA([2]characters!$A:$A),MATCH(E$1,[2]characters!$1:$1,0)-MATCH($A$1,[2]characters!$1:$1,0)+1),MATCH(E$1,[2]characters!$1:$1,0)-MATCH($A$1,[2]characters!$1:$1,0)+1,FALSE)</f>
        <v>格好いい</v>
      </c>
      <c r="F374" s="24" t="str">
        <f ca="1">VLOOKUP($A374,OFFSET([2]characters!$A$1,0,0,COUNTA([2]characters!$A:$A),MATCH(F$1,[2]characters!$1:$1,0)-MATCH($A$1,[2]characters!$1:$1,0)+1),MATCH(F$1,[2]characters!$1:$1,0)-MATCH($A$1,[2]characters!$1:$1,0)+1,FALSE)</f>
        <v>男性</v>
      </c>
      <c r="G374" s="24">
        <f ca="1">VLOOKUP($A374,OFFSET([2]characters!$A$1,0,0,COUNTA([2]characters!$A:$A),MATCH(G$1,[2]characters!$1:$1,0)-MATCH($A$1,[2]characters!$1:$1,0)+1),MATCH(G$1,[2]characters!$1:$1,0)-MATCH($A$1,[2]characters!$1:$1,0)+1,FALSE)</f>
        <v>5</v>
      </c>
      <c r="H374" s="24" t="str">
        <f ca="1">VLOOKUP($A374,OFFSET([2]characters!$A$1,0,0,COUNTA([2]characters!$A:$A),MATCH(H$1,[2]characters!$1:$1,0)-MATCH($A$1,[2]characters!$1:$1,0)+1),MATCH(H$1,[2]characters!$1:$1,0)-MATCH($A$1,[2]characters!$1:$1,0)+1,FALSE)</f>
        <v>DropWizS</v>
      </c>
      <c r="I374" s="24" t="str">
        <f ca="1">VLOOKUP($A374,OFFSET([2]characters!$A$1,0,0,COUNTA([2]characters!$A:$A),MATCH(I$1,[2]characters!$1:$1,0)-MATCH($A$1,[2]characters!$1:$1,0)+1),MATCH(I$1,[2]characters!$1:$1,0)-MATCH($A$1,[2]characters!$1:$1,0)+1,FALSE)</f>
        <v>yellow</v>
      </c>
      <c r="J374" s="24" t="str">
        <f ca="1">VLOOKUP($A374,OFFSET([2]characters!$A$1,0,0,COUNTA([2]characters!$A:$A),MATCH(J$1,[2]characters!$1:$1,0)-MATCH($A$1,[2]characters!$1:$1,0)+1),MATCH(J$1,[2]characters!$1:$1,0)-MATCH($A$1,[2]characters!$1:$1,0)+1,FALSE)</f>
        <v>none</v>
      </c>
      <c r="K374" s="3" t="str">
        <f ca="1">VLOOKUP(J374,[2]character_tribe_i18n!$A:$H,3,FALSE)</f>
        <v>種族なし</v>
      </c>
      <c r="L374" s="5" t="e">
        <f>VLOOKUP(#REF!,[2]character_tribe_i18n!$A:$H,4,FALSE)</f>
        <v>#REF!</v>
      </c>
      <c r="M374" s="5" t="e">
        <f>VLOOKUP(#REF!,[2]character_tribe_i18n!$A:$H,5,FALSE)</f>
        <v>#REF!</v>
      </c>
      <c r="N374" s="5" t="e">
        <f>VLOOKUP(#REF!,[2]character_tribe_i18n!$A:$H,6,FALSE)</f>
        <v>#REF!</v>
      </c>
      <c r="O374" s="5" t="e">
        <f>VLOOKUP(#REF!,[2]character_tribe_i18n!$A:$H,7,FALSE)</f>
        <v>#REF!</v>
      </c>
      <c r="P374" s="83" t="s">
        <v>170</v>
      </c>
      <c r="Q374">
        <v>741</v>
      </c>
      <c r="R374" s="25" t="str">
        <f ca="1">IF(Q374="NULL","",VLOOKUP($Q374,OFFSET([2]characters!$A$1,0,0,COUNTA([2]characters!$A:$A),MATCH(R$1,[2]characters!$1:$1,0)-MATCH($A$1,[2]characters!$1:$1,0)+1),MATCH(R$1,[2]characters!$1:$1,0)-MATCH($A$1,[2]characters!$1:$1,0)+1,FALSE))</f>
        <v>皆滅の戦鬼 テュポーン</v>
      </c>
      <c r="S374" s="3">
        <f t="shared" ca="1" si="8"/>
        <v>740</v>
      </c>
      <c r="T374" s="25" t="str">
        <f ca="1">VLOOKUP($S374,OFFSET([2]characters!$A$1,0,0,COUNTA([2]characters!$A:$A),MATCH(T$1,[2]characters!$1:$1,0)-MATCH($A$1,[2]characters!$1:$1,0)+1),MATCH(T$1,[2]characters!$1:$1,0)-MATCH($A$1,[2]characters!$1:$1,0)+1,FALSE)</f>
        <v>テュポーン</v>
      </c>
      <c r="U374" s="5">
        <f ca="1">IF(Q374="NULL","NULL",VLOOKUP(G374,ビット!$A$2:$B$7,2))</f>
        <v>200000</v>
      </c>
      <c r="V374">
        <v>200000</v>
      </c>
      <c r="W374" s="6" t="str">
        <f t="shared" ca="1" si="10"/>
        <v>TRUE</v>
      </c>
    </row>
    <row r="375" spans="1:23" ht="21" customHeight="1" x14ac:dyDescent="0.15">
      <c r="A375" s="84">
        <v>742</v>
      </c>
      <c r="B375" s="24" t="str">
        <f ca="1">VLOOKUP($A375,OFFSET([2]characters!$A$1,0,0,COUNTA([2]characters!$A:$A),MATCH(B$1,[2]characters!$1:$1,0)-MATCH($A$1,[2]characters!$1:$1,0)+1),MATCH(B$1,[2]characters!$1:$1,0)-MATCH($A$1,[2]characters!$1:$1,0)+1,FALSE)</f>
        <v>アポロン</v>
      </c>
      <c r="C375" s="24" t="str">
        <f ca="1">VLOOKUP($A375,OFFSET([2]characters!$A$1,0,0,COUNTA([2]characters!$A:$A),MATCH(C$1,[2]characters!$1:$1,0)-MATCH($A$1,[2]characters!$1:$1,0)+1),MATCH(C$1,[2]characters!$1:$1,0)-MATCH($A$1,[2]characters!$1:$1,0)+1,FALSE)</f>
        <v>各属性相性良3・黄・R360</v>
      </c>
      <c r="D375" s="24" t="str">
        <f ca="1">VLOOKUP($A375,OFFSET([2]characters!$A$1,0,0,COUNTA([2]characters!$A:$A),MATCH(D$1,[2]characters!$1:$1,0)-MATCH($A$1,[2]characters!$1:$1,0)+1),MATCH(D$1,[2]characters!$1:$1,0)-MATCH($A$1,[2]characters!$1:$1,0)+1,FALSE)</f>
        <v>執行者</v>
      </c>
      <c r="E375" s="24" t="str">
        <f ca="1">VLOOKUP($A375,OFFSET([2]characters!$A$1,0,0,COUNTA([2]characters!$A:$A),MATCH(E$1,[2]characters!$1:$1,0)-MATCH($A$1,[2]characters!$1:$1,0)+1),MATCH(E$1,[2]characters!$1:$1,0)-MATCH($A$1,[2]characters!$1:$1,0)+1,FALSE)</f>
        <v>格好いい</v>
      </c>
      <c r="F375" s="24" t="str">
        <f ca="1">VLOOKUP($A375,OFFSET([2]characters!$A$1,0,0,COUNTA([2]characters!$A:$A),MATCH(F$1,[2]characters!$1:$1,0)-MATCH($A$1,[2]characters!$1:$1,0)+1),MATCH(F$1,[2]characters!$1:$1,0)-MATCH($A$1,[2]characters!$1:$1,0)+1,FALSE)</f>
        <v>男性</v>
      </c>
      <c r="G375" s="24">
        <f ca="1">VLOOKUP($A375,OFFSET([2]characters!$A$1,0,0,COUNTA([2]characters!$A:$A),MATCH(G$1,[2]characters!$1:$1,0)-MATCH($A$1,[2]characters!$1:$1,0)+1),MATCH(G$1,[2]characters!$1:$1,0)-MATCH($A$1,[2]characters!$1:$1,0)+1,FALSE)</f>
        <v>5</v>
      </c>
      <c r="H375" s="24" t="str">
        <f ca="1">VLOOKUP($A375,OFFSET([2]characters!$A$1,0,0,COUNTA([2]characters!$A:$A),MATCH(H$1,[2]characters!$1:$1,0)-MATCH($A$1,[2]characters!$1:$1,0)+1),MATCH(H$1,[2]characters!$1:$1,0)-MATCH($A$1,[2]characters!$1:$1,0)+1,FALSE)</f>
        <v>PremiumSS</v>
      </c>
      <c r="I375" s="24" t="str">
        <f ca="1">VLOOKUP($A375,OFFSET([2]characters!$A$1,0,0,COUNTA([2]characters!$A:$A),MATCH(I$1,[2]characters!$1:$1,0)-MATCH($A$1,[2]characters!$1:$1,0)+1),MATCH(I$1,[2]characters!$1:$1,0)-MATCH($A$1,[2]characters!$1:$1,0)+1,FALSE)</f>
        <v>red</v>
      </c>
      <c r="J375" s="24" t="str">
        <f ca="1">VLOOKUP($A375,OFFSET([2]characters!$A$1,0,0,COUNTA([2]characters!$A:$A),MATCH(J$1,[2]characters!$1:$1,0)-MATCH($A$1,[2]characters!$1:$1,0)+1),MATCH(J$1,[2]characters!$1:$1,0)-MATCH($A$1,[2]characters!$1:$1,0)+1,FALSE)</f>
        <v>none</v>
      </c>
      <c r="K375" s="3" t="str">
        <f ca="1">VLOOKUP(J375,[2]character_tribe_i18n!$A:$H,3,FALSE)</f>
        <v>種族なし</v>
      </c>
      <c r="L375" s="5" t="e">
        <f>VLOOKUP(#REF!,[2]character_tribe_i18n!$A:$H,4,FALSE)</f>
        <v>#REF!</v>
      </c>
      <c r="M375" s="5" t="e">
        <f>VLOOKUP(#REF!,[2]character_tribe_i18n!$A:$H,5,FALSE)</f>
        <v>#REF!</v>
      </c>
      <c r="N375" s="5" t="e">
        <f>VLOOKUP(#REF!,[2]character_tribe_i18n!$A:$H,6,FALSE)</f>
        <v>#REF!</v>
      </c>
      <c r="O375" s="5" t="e">
        <f>VLOOKUP(#REF!,[2]character_tribe_i18n!$A:$H,7,FALSE)</f>
        <v>#REF!</v>
      </c>
      <c r="P375" s="83" t="s">
        <v>170</v>
      </c>
      <c r="Q375">
        <v>743</v>
      </c>
      <c r="R375" s="25" t="str">
        <f ca="1">IF(Q375="NULL","",VLOOKUP($Q375,OFFSET([2]characters!$A$1,0,0,COUNTA([2]characters!$A:$A),MATCH(R$1,[2]characters!$1:$1,0)-MATCH($A$1,[2]characters!$1:$1,0)+1),MATCH(R$1,[2]characters!$1:$1,0)-MATCH($A$1,[2]characters!$1:$1,0)+1,FALSE))</f>
        <v>弩級の洸源 アポロン</v>
      </c>
      <c r="S375" s="3">
        <f t="shared" ca="1" si="8"/>
        <v>742</v>
      </c>
      <c r="T375" s="25" t="str">
        <f ca="1">VLOOKUP($S375,OFFSET([2]characters!$A$1,0,0,COUNTA([2]characters!$A:$A),MATCH(T$1,[2]characters!$1:$1,0)-MATCH($A$1,[2]characters!$1:$1,0)+1),MATCH(T$1,[2]characters!$1:$1,0)-MATCH($A$1,[2]characters!$1:$1,0)+1,FALSE)</f>
        <v>アポロン</v>
      </c>
      <c r="U375" s="5">
        <f ca="1">IF(Q375="NULL","NULL",VLOOKUP(G375,ビット!$A$2:$B$7,2))</f>
        <v>200000</v>
      </c>
      <c r="V375">
        <v>200000</v>
      </c>
      <c r="W375" s="6" t="str">
        <f t="shared" ca="1" si="10"/>
        <v>TRUE</v>
      </c>
    </row>
    <row r="376" spans="1:23" ht="21" customHeight="1" x14ac:dyDescent="0.15">
      <c r="A376" s="84">
        <v>744</v>
      </c>
      <c r="B376" s="24" t="str">
        <f ca="1">VLOOKUP($A376,OFFSET([2]characters!$A$1,0,0,COUNTA([2]characters!$A:$A),MATCH(B$1,[2]characters!$1:$1,0)-MATCH($A$1,[2]characters!$1:$1,0)+1),MATCH(B$1,[2]characters!$1:$1,0)-MATCH($A$1,[2]characters!$1:$1,0)+1,FALSE)</f>
        <v>ヘルメス</v>
      </c>
      <c r="C376" s="24" t="str">
        <f ca="1">VLOOKUP($A376,OFFSET([2]characters!$A$1,0,0,COUNTA([2]characters!$A:$A),MATCH(C$1,[2]characters!$1:$1,0)-MATCH($A$1,[2]characters!$1:$1,0)+1),MATCH(C$1,[2]characters!$1:$1,0)-MATCH($A$1,[2]characters!$1:$1,0)+1,FALSE)</f>
        <v>各属性相性良3・黄・R362</v>
      </c>
      <c r="D376" s="24" t="str">
        <f ca="1">VLOOKUP($A376,OFFSET([2]characters!$A$1,0,0,COUNTA([2]characters!$A:$A),MATCH(D$1,[2]characters!$1:$1,0)-MATCH($A$1,[2]characters!$1:$1,0)+1),MATCH(D$1,[2]characters!$1:$1,0)-MATCH($A$1,[2]characters!$1:$1,0)+1,FALSE)</f>
        <v>執行者</v>
      </c>
      <c r="E376" s="24" t="str">
        <f ca="1">VLOOKUP($A376,OFFSET([2]characters!$A$1,0,0,COUNTA([2]characters!$A:$A),MATCH(E$1,[2]characters!$1:$1,0)-MATCH($A$1,[2]characters!$1:$1,0)+1),MATCH(E$1,[2]characters!$1:$1,0)-MATCH($A$1,[2]characters!$1:$1,0)+1,FALSE)</f>
        <v>格好いい</v>
      </c>
      <c r="F376" s="24" t="str">
        <f ca="1">VLOOKUP($A376,OFFSET([2]characters!$A$1,0,0,COUNTA([2]characters!$A:$A),MATCH(F$1,[2]characters!$1:$1,0)-MATCH($A$1,[2]characters!$1:$1,0)+1),MATCH(F$1,[2]characters!$1:$1,0)-MATCH($A$1,[2]characters!$1:$1,0)+1,FALSE)</f>
        <v>男性</v>
      </c>
      <c r="G376" s="24">
        <f ca="1">VLOOKUP($A376,OFFSET([2]characters!$A$1,0,0,COUNTA([2]characters!$A:$A),MATCH(G$1,[2]characters!$1:$1,0)-MATCH($A$1,[2]characters!$1:$1,0)+1),MATCH(G$1,[2]characters!$1:$1,0)-MATCH($A$1,[2]characters!$1:$1,0)+1,FALSE)</f>
        <v>5</v>
      </c>
      <c r="H376" s="24" t="str">
        <f ca="1">VLOOKUP($A376,OFFSET([2]characters!$A$1,0,0,COUNTA([2]characters!$A:$A),MATCH(H$1,[2]characters!$1:$1,0)-MATCH($A$1,[2]characters!$1:$1,0)+1),MATCH(H$1,[2]characters!$1:$1,0)-MATCH($A$1,[2]characters!$1:$1,0)+1,FALSE)</f>
        <v>PremiumSS</v>
      </c>
      <c r="I376" s="24" t="str">
        <f ca="1">VLOOKUP($A376,OFFSET([2]characters!$A$1,0,0,COUNTA([2]characters!$A:$A),MATCH(I$1,[2]characters!$1:$1,0)-MATCH($A$1,[2]characters!$1:$1,0)+1),MATCH(I$1,[2]characters!$1:$1,0)-MATCH($A$1,[2]characters!$1:$1,0)+1,FALSE)</f>
        <v>green</v>
      </c>
      <c r="J376" s="24" t="str">
        <f ca="1">VLOOKUP($A376,OFFSET([2]characters!$A$1,0,0,COUNTA([2]characters!$A:$A),MATCH(J$1,[2]characters!$1:$1,0)-MATCH($A$1,[2]characters!$1:$1,0)+1),MATCH(J$1,[2]characters!$1:$1,0)-MATCH($A$1,[2]characters!$1:$1,0)+1,FALSE)</f>
        <v>none</v>
      </c>
      <c r="K376" s="3" t="str">
        <f ca="1">VLOOKUP(J376,[2]character_tribe_i18n!$A:$H,3,FALSE)</f>
        <v>種族なし</v>
      </c>
      <c r="L376" s="5" t="e">
        <f>VLOOKUP(#REF!,[2]character_tribe_i18n!$A:$H,4,FALSE)</f>
        <v>#REF!</v>
      </c>
      <c r="M376" s="5" t="e">
        <f>VLOOKUP(#REF!,[2]character_tribe_i18n!$A:$H,5,FALSE)</f>
        <v>#REF!</v>
      </c>
      <c r="N376" s="5" t="e">
        <f>VLOOKUP(#REF!,[2]character_tribe_i18n!$A:$H,6,FALSE)</f>
        <v>#REF!</v>
      </c>
      <c r="O376" s="5" t="e">
        <f>VLOOKUP(#REF!,[2]character_tribe_i18n!$A:$H,7,FALSE)</f>
        <v>#REF!</v>
      </c>
      <c r="P376" s="83" t="s">
        <v>170</v>
      </c>
      <c r="Q376">
        <v>745</v>
      </c>
      <c r="R376" s="25" t="str">
        <f ca="1">IF(Q376="NULL","",VLOOKUP($Q376,OFFSET([2]characters!$A$1,0,0,COUNTA([2]characters!$A:$A),MATCH(R$1,[2]characters!$1:$1,0)-MATCH($A$1,[2]characters!$1:$1,0)+1),MATCH(R$1,[2]characters!$1:$1,0)-MATCH($A$1,[2]characters!$1:$1,0)+1,FALSE))</f>
        <v>望羅の発神 ヘルメス</v>
      </c>
      <c r="S376" s="3">
        <f t="shared" ca="1" si="8"/>
        <v>744</v>
      </c>
      <c r="T376" s="25" t="str">
        <f ca="1">VLOOKUP($S376,OFFSET([2]characters!$A$1,0,0,COUNTA([2]characters!$A:$A),MATCH(T$1,[2]characters!$1:$1,0)-MATCH($A$1,[2]characters!$1:$1,0)+1),MATCH(T$1,[2]characters!$1:$1,0)-MATCH($A$1,[2]characters!$1:$1,0)+1,FALSE)</f>
        <v>ヘルメス</v>
      </c>
      <c r="U376" s="5">
        <f ca="1">IF(Q376="NULL","NULL",VLOOKUP(G376,ビット!$A$2:$B$7,2))</f>
        <v>200000</v>
      </c>
      <c r="V376">
        <v>200000</v>
      </c>
      <c r="W376" s="6" t="str">
        <f t="shared" ca="1" si="10"/>
        <v>TRUE</v>
      </c>
    </row>
    <row r="377" spans="1:23" ht="21" customHeight="1" x14ac:dyDescent="0.15">
      <c r="A377" s="84">
        <v>746</v>
      </c>
      <c r="B377" s="24" t="str">
        <f ca="1">VLOOKUP($A377,OFFSET([2]characters!$A$1,0,0,COUNTA([2]characters!$A:$A),MATCH(B$1,[2]characters!$1:$1,0)-MATCH($A$1,[2]characters!$1:$1,0)+1),MATCH(B$1,[2]characters!$1:$1,0)-MATCH($A$1,[2]characters!$1:$1,0)+1,FALSE)</f>
        <v>ノルン</v>
      </c>
      <c r="C377" s="24" t="str">
        <f ca="1">VLOOKUP($A377,OFFSET([2]characters!$A$1,0,0,COUNTA([2]characters!$A:$A),MATCH(C$1,[2]characters!$1:$1,0)-MATCH($A$1,[2]characters!$1:$1,0)+1),MATCH(C$1,[2]characters!$1:$1,0)-MATCH($A$1,[2]characters!$1:$1,0)+1,FALSE)</f>
        <v>各属性相性良3・黄・R364</v>
      </c>
      <c r="D377" s="24" t="str">
        <f ca="1">VLOOKUP($A377,OFFSET([2]characters!$A$1,0,0,COUNTA([2]characters!$A:$A),MATCH(D$1,[2]characters!$1:$1,0)-MATCH($A$1,[2]characters!$1:$1,0)+1),MATCH(D$1,[2]characters!$1:$1,0)-MATCH($A$1,[2]characters!$1:$1,0)+1,FALSE)</f>
        <v>執行者</v>
      </c>
      <c r="E377" s="24" t="str">
        <f ca="1">VLOOKUP($A377,OFFSET([2]characters!$A$1,0,0,COUNTA([2]characters!$A:$A),MATCH(E$1,[2]characters!$1:$1,0)-MATCH($A$1,[2]characters!$1:$1,0)+1),MATCH(E$1,[2]characters!$1:$1,0)-MATCH($A$1,[2]characters!$1:$1,0)+1,FALSE)</f>
        <v>格好いい</v>
      </c>
      <c r="F377" s="24" t="str">
        <f ca="1">VLOOKUP($A377,OFFSET([2]characters!$A$1,0,0,COUNTA([2]characters!$A:$A),MATCH(F$1,[2]characters!$1:$1,0)-MATCH($A$1,[2]characters!$1:$1,0)+1),MATCH(F$1,[2]characters!$1:$1,0)-MATCH($A$1,[2]characters!$1:$1,0)+1,FALSE)</f>
        <v>男性</v>
      </c>
      <c r="G377" s="24">
        <f ca="1">VLOOKUP($A377,OFFSET([2]characters!$A$1,0,0,COUNTA([2]characters!$A:$A),MATCH(G$1,[2]characters!$1:$1,0)-MATCH($A$1,[2]characters!$1:$1,0)+1),MATCH(G$1,[2]characters!$1:$1,0)-MATCH($A$1,[2]characters!$1:$1,0)+1,FALSE)</f>
        <v>4</v>
      </c>
      <c r="H377" s="24" t="str">
        <f ca="1">VLOOKUP($A377,OFFSET([2]characters!$A$1,0,0,COUNTA([2]characters!$A:$A),MATCH(H$1,[2]characters!$1:$1,0)-MATCH($A$1,[2]characters!$1:$1,0)+1),MATCH(H$1,[2]characters!$1:$1,0)-MATCH($A$1,[2]characters!$1:$1,0)+1,FALSE)</f>
        <v>PremiumS</v>
      </c>
      <c r="I377" s="24" t="str">
        <f ca="1">VLOOKUP($A377,OFFSET([2]characters!$A$1,0,0,COUNTA([2]characters!$A:$A),MATCH(I$1,[2]characters!$1:$1,0)-MATCH($A$1,[2]characters!$1:$1,0)+1),MATCH(I$1,[2]characters!$1:$1,0)-MATCH($A$1,[2]characters!$1:$1,0)+1,FALSE)</f>
        <v>blue</v>
      </c>
      <c r="J377" s="24" t="str">
        <f ca="1">VLOOKUP($A377,OFFSET([2]characters!$A$1,0,0,COUNTA([2]characters!$A:$A),MATCH(J$1,[2]characters!$1:$1,0)-MATCH($A$1,[2]characters!$1:$1,0)+1),MATCH(J$1,[2]characters!$1:$1,0)-MATCH($A$1,[2]characters!$1:$1,0)+1,FALSE)</f>
        <v>none</v>
      </c>
      <c r="K377" s="3" t="str">
        <f ca="1">VLOOKUP(J377,[2]character_tribe_i18n!$A:$H,3,FALSE)</f>
        <v>種族なし</v>
      </c>
      <c r="L377" s="5" t="e">
        <f>VLOOKUP(#REF!,[2]character_tribe_i18n!$A:$H,4,FALSE)</f>
        <v>#REF!</v>
      </c>
      <c r="M377" s="5" t="e">
        <f>VLOOKUP(#REF!,[2]character_tribe_i18n!$A:$H,5,FALSE)</f>
        <v>#REF!</v>
      </c>
      <c r="N377" s="5" t="e">
        <f>VLOOKUP(#REF!,[2]character_tribe_i18n!$A:$H,6,FALSE)</f>
        <v>#REF!</v>
      </c>
      <c r="O377" s="5" t="e">
        <f>VLOOKUP(#REF!,[2]character_tribe_i18n!$A:$H,7,FALSE)</f>
        <v>#REF!</v>
      </c>
      <c r="P377" s="83" t="s">
        <v>170</v>
      </c>
      <c r="Q377">
        <v>747</v>
      </c>
      <c r="R377" s="25" t="str">
        <f ca="1">IF(Q377="NULL","",VLOOKUP($Q377,OFFSET([2]characters!$A$1,0,0,COUNTA([2]characters!$A:$A),MATCH(R$1,[2]characters!$1:$1,0)-MATCH($A$1,[2]characters!$1:$1,0)+1),MATCH(R$1,[2]characters!$1:$1,0)-MATCH($A$1,[2]characters!$1:$1,0)+1,FALSE))</f>
        <v>潔碧の巡励神 ノルン</v>
      </c>
      <c r="S377" s="3">
        <f t="shared" ca="1" si="8"/>
        <v>746</v>
      </c>
      <c r="T377" s="25" t="str">
        <f ca="1">VLOOKUP($S377,OFFSET([2]characters!$A$1,0,0,COUNTA([2]characters!$A:$A),MATCH(T$1,[2]characters!$1:$1,0)-MATCH($A$1,[2]characters!$1:$1,0)+1),MATCH(T$1,[2]characters!$1:$1,0)-MATCH($A$1,[2]characters!$1:$1,0)+1,FALSE)</f>
        <v>ノルン</v>
      </c>
      <c r="U377" s="5">
        <f ca="1">IF(Q377="NULL","NULL",VLOOKUP(G377,ビット!$A$2:$B$7,2))</f>
        <v>50000</v>
      </c>
      <c r="V377">
        <v>50000</v>
      </c>
      <c r="W377" s="6" t="str">
        <f t="shared" ca="1" si="10"/>
        <v>TRUE</v>
      </c>
    </row>
    <row r="378" spans="1:23" ht="21" customHeight="1" x14ac:dyDescent="0.15">
      <c r="A378" s="84">
        <v>748</v>
      </c>
      <c r="B378" s="24" t="str">
        <f ca="1">VLOOKUP($A378,OFFSET([2]characters!$A$1,0,0,COUNTA([2]characters!$A:$A),MATCH(B$1,[2]characters!$1:$1,0)-MATCH($A$1,[2]characters!$1:$1,0)+1),MATCH(B$1,[2]characters!$1:$1,0)-MATCH($A$1,[2]characters!$1:$1,0)+1,FALSE)</f>
        <v>パーン</v>
      </c>
      <c r="C378" s="24" t="str">
        <f ca="1">VLOOKUP($A378,OFFSET([2]characters!$A$1,0,0,COUNTA([2]characters!$A:$A),MATCH(C$1,[2]characters!$1:$1,0)-MATCH($A$1,[2]characters!$1:$1,0)+1),MATCH(C$1,[2]characters!$1:$1,0)-MATCH($A$1,[2]characters!$1:$1,0)+1,FALSE)</f>
        <v>各属性相性良3・黄・R366</v>
      </c>
      <c r="D378" s="24" t="str">
        <f ca="1">VLOOKUP($A378,OFFSET([2]characters!$A$1,0,0,COUNTA([2]characters!$A:$A),MATCH(D$1,[2]characters!$1:$1,0)-MATCH($A$1,[2]characters!$1:$1,0)+1),MATCH(D$1,[2]characters!$1:$1,0)-MATCH($A$1,[2]characters!$1:$1,0)+1,FALSE)</f>
        <v>執行者</v>
      </c>
      <c r="E378" s="24" t="str">
        <f ca="1">VLOOKUP($A378,OFFSET([2]characters!$A$1,0,0,COUNTA([2]characters!$A:$A),MATCH(E$1,[2]characters!$1:$1,0)-MATCH($A$1,[2]characters!$1:$1,0)+1),MATCH(E$1,[2]characters!$1:$1,0)-MATCH($A$1,[2]characters!$1:$1,0)+1,FALSE)</f>
        <v>格好いい</v>
      </c>
      <c r="F378" s="24" t="str">
        <f ca="1">VLOOKUP($A378,OFFSET([2]characters!$A$1,0,0,COUNTA([2]characters!$A:$A),MATCH(F$1,[2]characters!$1:$1,0)-MATCH($A$1,[2]characters!$1:$1,0)+1),MATCH(F$1,[2]characters!$1:$1,0)-MATCH($A$1,[2]characters!$1:$1,0)+1,FALSE)</f>
        <v>男性</v>
      </c>
      <c r="G378" s="24">
        <f ca="1">VLOOKUP($A378,OFFSET([2]characters!$A$1,0,0,COUNTA([2]characters!$A:$A),MATCH(G$1,[2]characters!$1:$1,0)-MATCH($A$1,[2]characters!$1:$1,0)+1),MATCH(G$1,[2]characters!$1:$1,0)-MATCH($A$1,[2]characters!$1:$1,0)+1,FALSE)</f>
        <v>4</v>
      </c>
      <c r="H378" s="24" t="str">
        <f ca="1">VLOOKUP($A378,OFFSET([2]characters!$A$1,0,0,COUNTA([2]characters!$A:$A),MATCH(H$1,[2]characters!$1:$1,0)-MATCH($A$1,[2]characters!$1:$1,0)+1),MATCH(H$1,[2]characters!$1:$1,0)-MATCH($A$1,[2]characters!$1:$1,0)+1,FALSE)</f>
        <v>PremiumS</v>
      </c>
      <c r="I378" s="24" t="str">
        <f ca="1">VLOOKUP($A378,OFFSET([2]characters!$A$1,0,0,COUNTA([2]characters!$A:$A),MATCH(I$1,[2]characters!$1:$1,0)-MATCH($A$1,[2]characters!$1:$1,0)+1),MATCH(I$1,[2]characters!$1:$1,0)-MATCH($A$1,[2]characters!$1:$1,0)+1,FALSE)</f>
        <v>yellow</v>
      </c>
      <c r="J378" s="24" t="str">
        <f ca="1">VLOOKUP($A378,OFFSET([2]characters!$A$1,0,0,COUNTA([2]characters!$A:$A),MATCH(J$1,[2]characters!$1:$1,0)-MATCH($A$1,[2]characters!$1:$1,0)+1),MATCH(J$1,[2]characters!$1:$1,0)-MATCH($A$1,[2]characters!$1:$1,0)+1,FALSE)</f>
        <v>none</v>
      </c>
      <c r="K378" s="3" t="str">
        <f ca="1">VLOOKUP(J378,[2]character_tribe_i18n!$A:$H,3,FALSE)</f>
        <v>種族なし</v>
      </c>
      <c r="L378" s="5" t="e">
        <f>VLOOKUP(#REF!,[2]character_tribe_i18n!$A:$H,4,FALSE)</f>
        <v>#REF!</v>
      </c>
      <c r="M378" s="5" t="e">
        <f>VLOOKUP(#REF!,[2]character_tribe_i18n!$A:$H,5,FALSE)</f>
        <v>#REF!</v>
      </c>
      <c r="N378" s="5" t="e">
        <f>VLOOKUP(#REF!,[2]character_tribe_i18n!$A:$H,6,FALSE)</f>
        <v>#REF!</v>
      </c>
      <c r="O378" s="5" t="e">
        <f>VLOOKUP(#REF!,[2]character_tribe_i18n!$A:$H,7,FALSE)</f>
        <v>#REF!</v>
      </c>
      <c r="P378" s="83" t="s">
        <v>170</v>
      </c>
      <c r="Q378">
        <v>749</v>
      </c>
      <c r="R378" s="25" t="str">
        <f ca="1">IF(Q378="NULL","",VLOOKUP($Q378,OFFSET([2]characters!$A$1,0,0,COUNTA([2]characters!$A:$A),MATCH(R$1,[2]characters!$1:$1,0)-MATCH($A$1,[2]characters!$1:$1,0)+1),MATCH(R$1,[2]characters!$1:$1,0)-MATCH($A$1,[2]characters!$1:$1,0)+1,FALSE))</f>
        <v>光喜の牧童 パーン</v>
      </c>
      <c r="S378" s="3">
        <f t="shared" ca="1" si="8"/>
        <v>748</v>
      </c>
      <c r="T378" s="25" t="str">
        <f ca="1">VLOOKUP($S378,OFFSET([2]characters!$A$1,0,0,COUNTA([2]characters!$A:$A),MATCH(T$1,[2]characters!$1:$1,0)-MATCH($A$1,[2]characters!$1:$1,0)+1),MATCH(T$1,[2]characters!$1:$1,0)-MATCH($A$1,[2]characters!$1:$1,0)+1,FALSE)</f>
        <v>パーン</v>
      </c>
      <c r="U378" s="5">
        <f ca="1">IF(Q378="NULL","NULL",VLOOKUP(G378,ビット!$A$2:$B$7,2))</f>
        <v>50000</v>
      </c>
      <c r="V378">
        <v>50000</v>
      </c>
      <c r="W378" s="6" t="str">
        <f t="shared" ca="1" si="10"/>
        <v>TRUE</v>
      </c>
    </row>
    <row r="379" spans="1:23" ht="21" customHeight="1" x14ac:dyDescent="0.15">
      <c r="A379" s="84">
        <v>764</v>
      </c>
      <c r="B379" s="24" t="str">
        <f ca="1">VLOOKUP($A379,OFFSET([2]characters!$A$1,0,0,COUNTA([2]characters!$A:$A),MATCH(B$1,[2]characters!$1:$1,0)-MATCH($A$1,[2]characters!$1:$1,0)+1),MATCH(B$1,[2]characters!$1:$1,0)-MATCH($A$1,[2]characters!$1:$1,0)+1,FALSE)</f>
        <v>ライオネル</v>
      </c>
      <c r="C379" s="24" t="str">
        <f ca="1">VLOOKUP($A379,OFFSET([2]characters!$A$1,0,0,COUNTA([2]characters!$A:$A),MATCH(C$1,[2]characters!$1:$1,0)-MATCH($A$1,[2]characters!$1:$1,0)+1),MATCH(C$1,[2]characters!$1:$1,0)-MATCH($A$1,[2]characters!$1:$1,0)+1,FALSE)</f>
        <v>イベント:円卓02</v>
      </c>
      <c r="D379" s="24" t="str">
        <f ca="1">VLOOKUP($A379,OFFSET([2]characters!$A$1,0,0,COUNTA([2]characters!$A:$A),MATCH(D$1,[2]characters!$1:$1,0)-MATCH($A$1,[2]characters!$1:$1,0)+1),MATCH(D$1,[2]characters!$1:$1,0)-MATCH($A$1,[2]characters!$1:$1,0)+1,FALSE)</f>
        <v>執行者</v>
      </c>
      <c r="E379" s="24" t="str">
        <f ca="1">VLOOKUP($A379,OFFSET([2]characters!$A$1,0,0,COUNTA([2]characters!$A:$A),MATCH(E$1,[2]characters!$1:$1,0)-MATCH($A$1,[2]characters!$1:$1,0)+1),MATCH(E$1,[2]characters!$1:$1,0)-MATCH($A$1,[2]characters!$1:$1,0)+1,FALSE)</f>
        <v>格好いい</v>
      </c>
      <c r="F379" s="24" t="str">
        <f ca="1">VLOOKUP($A379,OFFSET([2]characters!$A$1,0,0,COUNTA([2]characters!$A:$A),MATCH(F$1,[2]characters!$1:$1,0)-MATCH($A$1,[2]characters!$1:$1,0)+1),MATCH(F$1,[2]characters!$1:$1,0)-MATCH($A$1,[2]characters!$1:$1,0)+1,FALSE)</f>
        <v>不明</v>
      </c>
      <c r="G379" s="24">
        <f ca="1">VLOOKUP($A379,OFFSET([2]characters!$A$1,0,0,COUNTA([2]characters!$A:$A),MATCH(G$1,[2]characters!$1:$1,0)-MATCH($A$1,[2]characters!$1:$1,0)+1),MATCH(G$1,[2]characters!$1:$1,0)-MATCH($A$1,[2]characters!$1:$1,0)+1,FALSE)</f>
        <v>4</v>
      </c>
      <c r="H379" s="24" t="str">
        <f ca="1">VLOOKUP($A379,OFFSET([2]characters!$A$1,0,0,COUNTA([2]characters!$A:$A),MATCH(H$1,[2]characters!$1:$1,0)-MATCH($A$1,[2]characters!$1:$1,0)+1),MATCH(H$1,[2]characters!$1:$1,0)-MATCH($A$1,[2]characters!$1:$1,0)+1,FALSE)</f>
        <v>Drop2N</v>
      </c>
      <c r="I379" s="24" t="str">
        <f ca="1">VLOOKUP($A379,OFFSET([2]characters!$A$1,0,0,COUNTA([2]characters!$A:$A),MATCH(I$1,[2]characters!$1:$1,0)-MATCH($A$1,[2]characters!$1:$1,0)+1),MATCH(I$1,[2]characters!$1:$1,0)-MATCH($A$1,[2]characters!$1:$1,0)+1,FALSE)</f>
        <v>yellow</v>
      </c>
      <c r="J379" s="24" t="str">
        <f ca="1">VLOOKUP($A379,OFFSET([2]characters!$A$1,0,0,COUNTA([2]characters!$A:$A),MATCH(J$1,[2]characters!$1:$1,0)-MATCH($A$1,[2]characters!$1:$1,0)+1),MATCH(J$1,[2]characters!$1:$1,0)-MATCH($A$1,[2]characters!$1:$1,0)+1,FALSE)</f>
        <v>none</v>
      </c>
      <c r="K379" s="3" t="str">
        <f ca="1">VLOOKUP(J379,[2]character_tribe_i18n!$A:$H,3,FALSE)</f>
        <v>種族なし</v>
      </c>
      <c r="L379" s="5" t="e">
        <f>VLOOKUP(#REF!,[2]character_tribe_i18n!$A:$H,4,FALSE)</f>
        <v>#REF!</v>
      </c>
      <c r="M379" s="5" t="e">
        <f>VLOOKUP(#REF!,[2]character_tribe_i18n!$A:$H,5,FALSE)</f>
        <v>#REF!</v>
      </c>
      <c r="N379" s="5" t="e">
        <f>VLOOKUP(#REF!,[2]character_tribe_i18n!$A:$H,6,FALSE)</f>
        <v>#REF!</v>
      </c>
      <c r="O379" s="5" t="e">
        <f>VLOOKUP(#REF!,[2]character_tribe_i18n!$A:$H,7,FALSE)</f>
        <v>#REF!</v>
      </c>
      <c r="P379" s="83" t="s">
        <v>170</v>
      </c>
      <c r="Q379">
        <v>765</v>
      </c>
      <c r="R379" s="25" t="str">
        <f ca="1">IF(Q379="NULL","",VLOOKUP($Q379,OFFSET([2]characters!$A$1,0,0,COUNTA([2]characters!$A:$A),MATCH(R$1,[2]characters!$1:$1,0)-MATCH($A$1,[2]characters!$1:$1,0)+1),MATCH(R$1,[2]characters!$1:$1,0)-MATCH($A$1,[2]characters!$1:$1,0)+1,FALSE))</f>
        <v>逆襲獣皇 ライオネル</v>
      </c>
      <c r="S379" s="3">
        <f t="shared" ca="1" si="8"/>
        <v>764</v>
      </c>
      <c r="T379" s="25" t="str">
        <f ca="1">VLOOKUP($S379,OFFSET([2]characters!$A$1,0,0,COUNTA([2]characters!$A:$A),MATCH(T$1,[2]characters!$1:$1,0)-MATCH($A$1,[2]characters!$1:$1,0)+1),MATCH(T$1,[2]characters!$1:$1,0)-MATCH($A$1,[2]characters!$1:$1,0)+1,FALSE)</f>
        <v>ライオネル</v>
      </c>
      <c r="U379" s="5">
        <f ca="1">IF(Q379="NULL","NULL",VLOOKUP(G379,ビット!$A$2:$B$7,2))</f>
        <v>50000</v>
      </c>
      <c r="V379">
        <v>50000</v>
      </c>
      <c r="W379" s="6" t="str">
        <f t="shared" ca="1" si="10"/>
        <v>TRUE</v>
      </c>
    </row>
    <row r="380" spans="1:23" ht="21" customHeight="1" x14ac:dyDescent="0.15">
      <c r="A380" s="84">
        <v>766</v>
      </c>
      <c r="B380" s="24" t="str">
        <f ca="1">VLOOKUP($A380,OFFSET([2]characters!$A$1,0,0,COUNTA([2]characters!$A:$A),MATCH(B$1,[2]characters!$1:$1,0)-MATCH($A$1,[2]characters!$1:$1,0)+1),MATCH(B$1,[2]characters!$1:$1,0)-MATCH($A$1,[2]characters!$1:$1,0)+1,FALSE)</f>
        <v>ランドラグ</v>
      </c>
      <c r="C380" s="24" t="str">
        <f ca="1">VLOOKUP($A380,OFFSET([2]characters!$A$1,0,0,COUNTA([2]characters!$A:$A),MATCH(C$1,[2]characters!$1:$1,0)-MATCH($A$1,[2]characters!$1:$1,0)+1),MATCH(C$1,[2]characters!$1:$1,0)-MATCH($A$1,[2]characters!$1:$1,0)+1,FALSE)</f>
        <v>イベント:円卓02</v>
      </c>
      <c r="D380" s="24" t="str">
        <f ca="1">VLOOKUP($A380,OFFSET([2]characters!$A$1,0,0,COUNTA([2]characters!$A:$A),MATCH(D$1,[2]characters!$1:$1,0)-MATCH($A$1,[2]characters!$1:$1,0)+1),MATCH(D$1,[2]characters!$1:$1,0)-MATCH($A$1,[2]characters!$1:$1,0)+1,FALSE)</f>
        <v>執行者</v>
      </c>
      <c r="E380" s="24" t="str">
        <f ca="1">VLOOKUP($A380,OFFSET([2]characters!$A$1,0,0,COUNTA([2]characters!$A:$A),MATCH(E$1,[2]characters!$1:$1,0)-MATCH($A$1,[2]characters!$1:$1,0)+1),MATCH(E$1,[2]characters!$1:$1,0)-MATCH($A$1,[2]characters!$1:$1,0)+1,FALSE)</f>
        <v>格好いい</v>
      </c>
      <c r="F380" s="24" t="str">
        <f ca="1">VLOOKUP($A380,OFFSET([2]characters!$A$1,0,0,COUNTA([2]characters!$A:$A),MATCH(F$1,[2]characters!$1:$1,0)-MATCH($A$1,[2]characters!$1:$1,0)+1),MATCH(F$1,[2]characters!$1:$1,0)-MATCH($A$1,[2]characters!$1:$1,0)+1,FALSE)</f>
        <v>不明</v>
      </c>
      <c r="G380" s="24">
        <f ca="1">VLOOKUP($A380,OFFSET([2]characters!$A$1,0,0,COUNTA([2]characters!$A:$A),MATCH(G$1,[2]characters!$1:$1,0)-MATCH($A$1,[2]characters!$1:$1,0)+1),MATCH(G$1,[2]characters!$1:$1,0)-MATCH($A$1,[2]characters!$1:$1,0)+1,FALSE)</f>
        <v>4</v>
      </c>
      <c r="H380" s="24" t="str">
        <f ca="1">VLOOKUP($A380,OFFSET([2]characters!$A$1,0,0,COUNTA([2]characters!$A:$A),MATCH(H$1,[2]characters!$1:$1,0)-MATCH($A$1,[2]characters!$1:$1,0)+1),MATCH(H$1,[2]characters!$1:$1,0)-MATCH($A$1,[2]characters!$1:$1,0)+1,FALSE)</f>
        <v>Drop2N</v>
      </c>
      <c r="I380" s="24" t="str">
        <f ca="1">VLOOKUP($A380,OFFSET([2]characters!$A$1,0,0,COUNTA([2]characters!$A:$A),MATCH(I$1,[2]characters!$1:$1,0)-MATCH($A$1,[2]characters!$1:$1,0)+1),MATCH(I$1,[2]characters!$1:$1,0)-MATCH($A$1,[2]characters!$1:$1,0)+1,FALSE)</f>
        <v>red</v>
      </c>
      <c r="J380" s="24" t="str">
        <f ca="1">VLOOKUP($A380,OFFSET([2]characters!$A$1,0,0,COUNTA([2]characters!$A:$A),MATCH(J$1,[2]characters!$1:$1,0)-MATCH($A$1,[2]characters!$1:$1,0)+1),MATCH(J$1,[2]characters!$1:$1,0)-MATCH($A$1,[2]characters!$1:$1,0)+1,FALSE)</f>
        <v>none</v>
      </c>
      <c r="K380" s="3" t="str">
        <f ca="1">VLOOKUP(J380,[2]character_tribe_i18n!$A:$H,3,FALSE)</f>
        <v>種族なし</v>
      </c>
      <c r="L380" s="5" t="e">
        <f>VLOOKUP(#REF!,[2]character_tribe_i18n!$A:$H,4,FALSE)</f>
        <v>#REF!</v>
      </c>
      <c r="M380" s="5" t="e">
        <f>VLOOKUP(#REF!,[2]character_tribe_i18n!$A:$H,5,FALSE)</f>
        <v>#REF!</v>
      </c>
      <c r="N380" s="5" t="e">
        <f>VLOOKUP(#REF!,[2]character_tribe_i18n!$A:$H,6,FALSE)</f>
        <v>#REF!</v>
      </c>
      <c r="O380" s="5" t="e">
        <f>VLOOKUP(#REF!,[2]character_tribe_i18n!$A:$H,7,FALSE)</f>
        <v>#REF!</v>
      </c>
      <c r="P380" s="83" t="s">
        <v>170</v>
      </c>
      <c r="Q380">
        <v>767</v>
      </c>
      <c r="R380" s="25" t="str">
        <f ca="1">IF(Q380="NULL","",VLOOKUP($Q380,OFFSET([2]characters!$A$1,0,0,COUNTA([2]characters!$A:$A),MATCH(R$1,[2]characters!$1:$1,0)-MATCH($A$1,[2]characters!$1:$1,0)+1),MATCH(R$1,[2]characters!$1:$1,0)-MATCH($A$1,[2]characters!$1:$1,0)+1,FALSE))</f>
        <v>灼炎業竜 ランドラグ</v>
      </c>
      <c r="S380" s="3">
        <f t="shared" ca="1" si="8"/>
        <v>766</v>
      </c>
      <c r="T380" s="25" t="str">
        <f ca="1">VLOOKUP($S380,OFFSET([2]characters!$A$1,0,0,COUNTA([2]characters!$A:$A),MATCH(T$1,[2]characters!$1:$1,0)-MATCH($A$1,[2]characters!$1:$1,0)+1),MATCH(T$1,[2]characters!$1:$1,0)-MATCH($A$1,[2]characters!$1:$1,0)+1,FALSE)</f>
        <v>ランドラグ</v>
      </c>
      <c r="U380" s="5">
        <f ca="1">IF(Q380="NULL","NULL",VLOOKUP(G380,ビット!$A$2:$B$7,2))</f>
        <v>50000</v>
      </c>
      <c r="V380">
        <v>50000</v>
      </c>
      <c r="W380" s="6" t="str">
        <f t="shared" ref="W380:W387" ca="1" si="11">IF(U380=V380,"TRUE","FALSE")</f>
        <v>TRUE</v>
      </c>
    </row>
    <row r="381" spans="1:23" ht="21" customHeight="1" x14ac:dyDescent="0.15">
      <c r="A381" s="84">
        <v>768</v>
      </c>
      <c r="B381" s="24" t="str">
        <f ca="1">VLOOKUP($A381,OFFSET([2]characters!$A$1,0,0,COUNTA([2]characters!$A:$A),MATCH(B$1,[2]characters!$1:$1,0)-MATCH($A$1,[2]characters!$1:$1,0)+1),MATCH(B$1,[2]characters!$1:$1,0)-MATCH($A$1,[2]characters!$1:$1,0)+1,FALSE)</f>
        <v>ガレス</v>
      </c>
      <c r="C381" s="24" t="str">
        <f ca="1">VLOOKUP($A381,OFFSET([2]characters!$A$1,0,0,COUNTA([2]characters!$A:$A),MATCH(C$1,[2]characters!$1:$1,0)-MATCH($A$1,[2]characters!$1:$1,0)+1),MATCH(C$1,[2]characters!$1:$1,0)-MATCH($A$1,[2]characters!$1:$1,0)+1,FALSE)</f>
        <v>イベント:円卓02</v>
      </c>
      <c r="D381" s="24" t="str">
        <f ca="1">VLOOKUP($A381,OFFSET([2]characters!$A$1,0,0,COUNTA([2]characters!$A:$A),MATCH(D$1,[2]characters!$1:$1,0)-MATCH($A$1,[2]characters!$1:$1,0)+1),MATCH(D$1,[2]characters!$1:$1,0)-MATCH($A$1,[2]characters!$1:$1,0)+1,FALSE)</f>
        <v>執行者</v>
      </c>
      <c r="E381" s="24" t="str">
        <f ca="1">VLOOKUP($A381,OFFSET([2]characters!$A$1,0,0,COUNTA([2]characters!$A:$A),MATCH(E$1,[2]characters!$1:$1,0)-MATCH($A$1,[2]characters!$1:$1,0)+1),MATCH(E$1,[2]characters!$1:$1,0)-MATCH($A$1,[2]characters!$1:$1,0)+1,FALSE)</f>
        <v>格好いい</v>
      </c>
      <c r="F381" s="24" t="str">
        <f ca="1">VLOOKUP($A381,OFFSET([2]characters!$A$1,0,0,COUNTA([2]characters!$A:$A),MATCH(F$1,[2]characters!$1:$1,0)-MATCH($A$1,[2]characters!$1:$1,0)+1),MATCH(F$1,[2]characters!$1:$1,0)-MATCH($A$1,[2]characters!$1:$1,0)+1,FALSE)</f>
        <v>男性</v>
      </c>
      <c r="G381" s="24">
        <f ca="1">VLOOKUP($A381,OFFSET([2]characters!$A$1,0,0,COUNTA([2]characters!$A:$A),MATCH(G$1,[2]characters!$1:$1,0)-MATCH($A$1,[2]characters!$1:$1,0)+1),MATCH(G$1,[2]characters!$1:$1,0)-MATCH($A$1,[2]characters!$1:$1,0)+1,FALSE)</f>
        <v>4</v>
      </c>
      <c r="H381" s="24" t="str">
        <f ca="1">VLOOKUP($A381,OFFSET([2]characters!$A$1,0,0,COUNTA([2]characters!$A:$A),MATCH(H$1,[2]characters!$1:$1,0)-MATCH($A$1,[2]characters!$1:$1,0)+1),MATCH(H$1,[2]characters!$1:$1,0)-MATCH($A$1,[2]characters!$1:$1,0)+1,FALSE)</f>
        <v>DropWizS</v>
      </c>
      <c r="I381" s="24" t="str">
        <f ca="1">VLOOKUP($A381,OFFSET([2]characters!$A$1,0,0,COUNTA([2]characters!$A:$A),MATCH(I$1,[2]characters!$1:$1,0)-MATCH($A$1,[2]characters!$1:$1,0)+1),MATCH(I$1,[2]characters!$1:$1,0)-MATCH($A$1,[2]characters!$1:$1,0)+1,FALSE)</f>
        <v>green</v>
      </c>
      <c r="J381" s="24" t="str">
        <f ca="1">VLOOKUP($A381,OFFSET([2]characters!$A$1,0,0,COUNTA([2]characters!$A:$A),MATCH(J$1,[2]characters!$1:$1,0)-MATCH($A$1,[2]characters!$1:$1,0)+1),MATCH(J$1,[2]characters!$1:$1,0)-MATCH($A$1,[2]characters!$1:$1,0)+1,FALSE)</f>
        <v>none</v>
      </c>
      <c r="K381" s="3" t="str">
        <f ca="1">VLOOKUP(J381,[2]character_tribe_i18n!$A:$H,3,FALSE)</f>
        <v>種族なし</v>
      </c>
      <c r="L381" s="5" t="e">
        <f>VLOOKUP(#REF!,[2]character_tribe_i18n!$A:$H,4,FALSE)</f>
        <v>#REF!</v>
      </c>
      <c r="M381" s="5" t="e">
        <f>VLOOKUP(#REF!,[2]character_tribe_i18n!$A:$H,5,FALSE)</f>
        <v>#REF!</v>
      </c>
      <c r="N381" s="5" t="e">
        <f>VLOOKUP(#REF!,[2]character_tribe_i18n!$A:$H,6,FALSE)</f>
        <v>#REF!</v>
      </c>
      <c r="O381" s="5" t="e">
        <f>VLOOKUP(#REF!,[2]character_tribe_i18n!$A:$H,7,FALSE)</f>
        <v>#REF!</v>
      </c>
      <c r="P381" s="83" t="s">
        <v>170</v>
      </c>
      <c r="Q381">
        <v>769</v>
      </c>
      <c r="R381" s="25" t="str">
        <f ca="1">IF(Q381="NULL","",VLOOKUP($Q381,OFFSET([2]characters!$A$1,0,0,COUNTA([2]characters!$A:$A),MATCH(R$1,[2]characters!$1:$1,0)-MATCH($A$1,[2]characters!$1:$1,0)+1),MATCH(R$1,[2]characters!$1:$1,0)-MATCH($A$1,[2]characters!$1:$1,0)+1,FALSE))</f>
        <v>白域・純双剣 ガレス</v>
      </c>
      <c r="S381" s="3">
        <f t="shared" ca="1" si="8"/>
        <v>768</v>
      </c>
      <c r="T381" s="25" t="str">
        <f ca="1">VLOOKUP($S381,OFFSET([2]characters!$A$1,0,0,COUNTA([2]characters!$A:$A),MATCH(T$1,[2]characters!$1:$1,0)-MATCH($A$1,[2]characters!$1:$1,0)+1),MATCH(T$1,[2]characters!$1:$1,0)-MATCH($A$1,[2]characters!$1:$1,0)+1,FALSE)</f>
        <v>ガレス</v>
      </c>
      <c r="U381" s="5">
        <f ca="1">IF(Q381="NULL","NULL",VLOOKUP(G381,ビット!$A$2:$B$7,2))</f>
        <v>50000</v>
      </c>
      <c r="V381">
        <v>50000</v>
      </c>
      <c r="W381" s="6" t="str">
        <f t="shared" ca="1" si="11"/>
        <v>TRUE</v>
      </c>
    </row>
    <row r="382" spans="1:23" ht="21" customHeight="1" x14ac:dyDescent="0.15">
      <c r="A382" s="84">
        <v>770</v>
      </c>
      <c r="B382" s="24" t="str">
        <f ca="1">VLOOKUP($A382,OFFSET([2]characters!$A$1,0,0,COUNTA([2]characters!$A:$A),MATCH(B$1,[2]characters!$1:$1,0)-MATCH($A$1,[2]characters!$1:$1,0)+1),MATCH(B$1,[2]characters!$1:$1,0)-MATCH($A$1,[2]characters!$1:$1,0)+1,FALSE)</f>
        <v>ハヅル</v>
      </c>
      <c r="C382" s="24" t="str">
        <f ca="1">VLOOKUP($A382,OFFSET([2]characters!$A$1,0,0,COUNTA([2]characters!$A:$A),MATCH(C$1,[2]characters!$1:$1,0)-MATCH($A$1,[2]characters!$1:$1,0)+1),MATCH(C$1,[2]characters!$1:$1,0)-MATCH($A$1,[2]characters!$1:$1,0)+1,FALSE)</f>
        <v>ガチャ:日本昔話01</v>
      </c>
      <c r="D382" s="24" t="str">
        <f ca="1">VLOOKUP($A382,OFFSET([2]characters!$A$1,0,0,COUNTA([2]characters!$A:$A),MATCH(D$1,[2]characters!$1:$1,0)-MATCH($A$1,[2]characters!$1:$1,0)+1),MATCH(D$1,[2]characters!$1:$1,0)-MATCH($A$1,[2]characters!$1:$1,0)+1,FALSE)</f>
        <v>執行者</v>
      </c>
      <c r="E382" s="24" t="str">
        <f ca="1">VLOOKUP($A382,OFFSET([2]characters!$A$1,0,0,COUNTA([2]characters!$A:$A),MATCH(E$1,[2]characters!$1:$1,0)-MATCH($A$1,[2]characters!$1:$1,0)+1),MATCH(E$1,[2]characters!$1:$1,0)-MATCH($A$1,[2]characters!$1:$1,0)+1,FALSE)</f>
        <v>格好いい</v>
      </c>
      <c r="F382" s="24" t="str">
        <f ca="1">VLOOKUP($A382,OFFSET([2]characters!$A$1,0,0,COUNTA([2]characters!$A:$A),MATCH(F$1,[2]characters!$1:$1,0)-MATCH($A$1,[2]characters!$1:$1,0)+1),MATCH(F$1,[2]characters!$1:$1,0)-MATCH($A$1,[2]characters!$1:$1,0)+1,FALSE)</f>
        <v>女性</v>
      </c>
      <c r="G382" s="24">
        <f ca="1">VLOOKUP($A382,OFFSET([2]characters!$A$1,0,0,COUNTA([2]characters!$A:$A),MATCH(G$1,[2]characters!$1:$1,0)-MATCH($A$1,[2]characters!$1:$1,0)+1),MATCH(G$1,[2]characters!$1:$1,0)-MATCH($A$1,[2]characters!$1:$1,0)+1,FALSE)</f>
        <v>4</v>
      </c>
      <c r="H382" s="24" t="str">
        <f ca="1">VLOOKUP($A382,OFFSET([2]characters!$A$1,0,0,COUNTA([2]characters!$A:$A),MATCH(H$1,[2]characters!$1:$1,0)-MATCH($A$1,[2]characters!$1:$1,0)+1),MATCH(H$1,[2]characters!$1:$1,0)-MATCH($A$1,[2]characters!$1:$1,0)+1,FALSE)</f>
        <v>PremiumSS</v>
      </c>
      <c r="I382" s="24" t="str">
        <f ca="1">VLOOKUP($A382,OFFSET([2]characters!$A$1,0,0,COUNTA([2]characters!$A:$A),MATCH(I$1,[2]characters!$1:$1,0)-MATCH($A$1,[2]characters!$1:$1,0)+1),MATCH(I$1,[2]characters!$1:$1,0)-MATCH($A$1,[2]characters!$1:$1,0)+1,FALSE)</f>
        <v>red</v>
      </c>
      <c r="J382" s="24" t="str">
        <f ca="1">VLOOKUP($A382,OFFSET([2]characters!$A$1,0,0,COUNTA([2]characters!$A:$A),MATCH(J$1,[2]characters!$1:$1,0)-MATCH($A$1,[2]characters!$1:$1,0)+1),MATCH(J$1,[2]characters!$1:$1,0)-MATCH($A$1,[2]characters!$1:$1,0)+1,FALSE)</f>
        <v>none</v>
      </c>
      <c r="K382" s="3" t="str">
        <f ca="1">VLOOKUP(J382,[2]character_tribe_i18n!$A:$H,3,FALSE)</f>
        <v>種族なし</v>
      </c>
      <c r="L382" s="5" t="e">
        <f>VLOOKUP(#REF!,[2]character_tribe_i18n!$A:$H,4,FALSE)</f>
        <v>#REF!</v>
      </c>
      <c r="M382" s="5" t="e">
        <f>VLOOKUP(#REF!,[2]character_tribe_i18n!$A:$H,5,FALSE)</f>
        <v>#REF!</v>
      </c>
      <c r="N382" s="5" t="e">
        <f>VLOOKUP(#REF!,[2]character_tribe_i18n!$A:$H,6,FALSE)</f>
        <v>#REF!</v>
      </c>
      <c r="O382" s="5" t="e">
        <f>VLOOKUP(#REF!,[2]character_tribe_i18n!$A:$H,7,FALSE)</f>
        <v>#REF!</v>
      </c>
      <c r="P382" s="83" t="s">
        <v>170</v>
      </c>
      <c r="Q382">
        <v>771</v>
      </c>
      <c r="R382" s="25" t="str">
        <f ca="1">IF(Q382="NULL","",VLOOKUP($Q382,OFFSET([2]characters!$A$1,0,0,COUNTA([2]characters!$A:$A),MATCH(R$1,[2]characters!$1:$1,0)-MATCH($A$1,[2]characters!$1:$1,0)+1),MATCH(R$1,[2]characters!$1:$1,0)-MATCH($A$1,[2]characters!$1:$1,0)+1,FALSE))</f>
        <v>天織羽鶴 ハヅル</v>
      </c>
      <c r="S382" s="3">
        <f t="shared" ca="1" si="8"/>
        <v>770</v>
      </c>
      <c r="T382" s="25" t="str">
        <f ca="1">VLOOKUP($S382,OFFSET([2]characters!$A$1,0,0,COUNTA([2]characters!$A:$A),MATCH(T$1,[2]characters!$1:$1,0)-MATCH($A$1,[2]characters!$1:$1,0)+1),MATCH(T$1,[2]characters!$1:$1,0)-MATCH($A$1,[2]characters!$1:$1,0)+1,FALSE)</f>
        <v>ハヅル</v>
      </c>
      <c r="U382" s="5">
        <f ca="1">IF(Q382="NULL","NULL",VLOOKUP(G382,ビット!$A$2:$B$7,2))</f>
        <v>50000</v>
      </c>
      <c r="V382">
        <v>50000</v>
      </c>
      <c r="W382" s="6" t="str">
        <f t="shared" ca="1" si="11"/>
        <v>TRUE</v>
      </c>
    </row>
    <row r="383" spans="1:23" ht="21" customHeight="1" x14ac:dyDescent="0.15">
      <c r="A383" s="84">
        <v>772</v>
      </c>
      <c r="B383" s="24" t="str">
        <f ca="1">VLOOKUP($A383,OFFSET([2]characters!$A$1,0,0,COUNTA([2]characters!$A:$A),MATCH(B$1,[2]characters!$1:$1,0)-MATCH($A$1,[2]characters!$1:$1,0)+1),MATCH(B$1,[2]characters!$1:$1,0)-MATCH($A$1,[2]characters!$1:$1,0)+1,FALSE)</f>
        <v>イナバ</v>
      </c>
      <c r="C383" s="24" t="str">
        <f ca="1">VLOOKUP($A383,OFFSET([2]characters!$A$1,0,0,COUNTA([2]characters!$A:$A),MATCH(C$1,[2]characters!$1:$1,0)-MATCH($A$1,[2]characters!$1:$1,0)+1),MATCH(C$1,[2]characters!$1:$1,0)-MATCH($A$1,[2]characters!$1:$1,0)+1,FALSE)</f>
        <v>ガチャ:日本昔話01</v>
      </c>
      <c r="D383" s="24" t="str">
        <f ca="1">VLOOKUP($A383,OFFSET([2]characters!$A$1,0,0,COUNTA([2]characters!$A:$A),MATCH(D$1,[2]characters!$1:$1,0)-MATCH($A$1,[2]characters!$1:$1,0)+1),MATCH(D$1,[2]characters!$1:$1,0)-MATCH($A$1,[2]characters!$1:$1,0)+1,FALSE)</f>
        <v>執行者</v>
      </c>
      <c r="E383" s="24" t="str">
        <f ca="1">VLOOKUP($A383,OFFSET([2]characters!$A$1,0,0,COUNTA([2]characters!$A:$A),MATCH(E$1,[2]characters!$1:$1,0)-MATCH($A$1,[2]characters!$1:$1,0)+1),MATCH(E$1,[2]characters!$1:$1,0)-MATCH($A$1,[2]characters!$1:$1,0)+1,FALSE)</f>
        <v>格好いい</v>
      </c>
      <c r="F383" s="24" t="str">
        <f ca="1">VLOOKUP($A383,OFFSET([2]characters!$A$1,0,0,COUNTA([2]characters!$A:$A),MATCH(F$1,[2]characters!$1:$1,0)-MATCH($A$1,[2]characters!$1:$1,0)+1),MATCH(F$1,[2]characters!$1:$1,0)-MATCH($A$1,[2]characters!$1:$1,0)+1,FALSE)</f>
        <v>女性</v>
      </c>
      <c r="G383" s="24">
        <f ca="1">VLOOKUP($A383,OFFSET([2]characters!$A$1,0,0,COUNTA([2]characters!$A:$A),MATCH(G$1,[2]characters!$1:$1,0)-MATCH($A$1,[2]characters!$1:$1,0)+1),MATCH(G$1,[2]characters!$1:$1,0)-MATCH($A$1,[2]characters!$1:$1,0)+1,FALSE)</f>
        <v>4</v>
      </c>
      <c r="H383" s="24" t="str">
        <f ca="1">VLOOKUP($A383,OFFSET([2]characters!$A$1,0,0,COUNTA([2]characters!$A:$A),MATCH(H$1,[2]characters!$1:$1,0)-MATCH($A$1,[2]characters!$1:$1,0)+1),MATCH(H$1,[2]characters!$1:$1,0)-MATCH($A$1,[2]characters!$1:$1,0)+1,FALSE)</f>
        <v>PremiumSS</v>
      </c>
      <c r="I383" s="24" t="str">
        <f ca="1">VLOOKUP($A383,OFFSET([2]characters!$A$1,0,0,COUNTA([2]characters!$A:$A),MATCH(I$1,[2]characters!$1:$1,0)-MATCH($A$1,[2]characters!$1:$1,0)+1),MATCH(I$1,[2]characters!$1:$1,0)-MATCH($A$1,[2]characters!$1:$1,0)+1,FALSE)</f>
        <v>green</v>
      </c>
      <c r="J383" s="24" t="str">
        <f ca="1">VLOOKUP($A383,OFFSET([2]characters!$A$1,0,0,COUNTA([2]characters!$A:$A),MATCH(J$1,[2]characters!$1:$1,0)-MATCH($A$1,[2]characters!$1:$1,0)+1),MATCH(J$1,[2]characters!$1:$1,0)-MATCH($A$1,[2]characters!$1:$1,0)+1,FALSE)</f>
        <v>none</v>
      </c>
      <c r="K383" s="3" t="str">
        <f ca="1">VLOOKUP(J383,[2]character_tribe_i18n!$A:$H,3,FALSE)</f>
        <v>種族なし</v>
      </c>
      <c r="L383" s="5" t="e">
        <f>VLOOKUP(#REF!,[2]character_tribe_i18n!$A:$H,4,FALSE)</f>
        <v>#REF!</v>
      </c>
      <c r="M383" s="5" t="e">
        <f>VLOOKUP(#REF!,[2]character_tribe_i18n!$A:$H,5,FALSE)</f>
        <v>#REF!</v>
      </c>
      <c r="N383" s="5" t="e">
        <f>VLOOKUP(#REF!,[2]character_tribe_i18n!$A:$H,6,FALSE)</f>
        <v>#REF!</v>
      </c>
      <c r="O383" s="5" t="e">
        <f>VLOOKUP(#REF!,[2]character_tribe_i18n!$A:$H,7,FALSE)</f>
        <v>#REF!</v>
      </c>
      <c r="P383" s="83" t="s">
        <v>170</v>
      </c>
      <c r="Q383">
        <v>773</v>
      </c>
      <c r="R383" s="25" t="str">
        <f ca="1">IF(Q383="NULL","",VLOOKUP($Q383,OFFSET([2]characters!$A$1,0,0,COUNTA([2]characters!$A:$A),MATCH(R$1,[2]characters!$1:$1,0)-MATCH($A$1,[2]characters!$1:$1,0)+1),MATCH(R$1,[2]characters!$1:$1,0)-MATCH($A$1,[2]characters!$1:$1,0)+1,FALSE))</f>
        <v>浮跳天兎 イナバ</v>
      </c>
      <c r="S383" s="3">
        <f t="shared" ca="1" si="8"/>
        <v>772</v>
      </c>
      <c r="T383" s="25" t="str">
        <f ca="1">VLOOKUP($S383,OFFSET([2]characters!$A$1,0,0,COUNTA([2]characters!$A:$A),MATCH(T$1,[2]characters!$1:$1,0)-MATCH($A$1,[2]characters!$1:$1,0)+1),MATCH(T$1,[2]characters!$1:$1,0)-MATCH($A$1,[2]characters!$1:$1,0)+1,FALSE)</f>
        <v>イナバ</v>
      </c>
      <c r="U383" s="5">
        <f ca="1">IF(Q383="NULL","NULL",VLOOKUP(G383,ビット!$A$2:$B$7,2))</f>
        <v>50000</v>
      </c>
      <c r="V383">
        <v>50000</v>
      </c>
      <c r="W383" s="6" t="str">
        <f t="shared" ca="1" si="11"/>
        <v>TRUE</v>
      </c>
    </row>
    <row r="384" spans="1:23" ht="21" customHeight="1" x14ac:dyDescent="0.15">
      <c r="A384" s="84">
        <v>774</v>
      </c>
      <c r="B384" s="24" t="str">
        <f ca="1">VLOOKUP($A384,OFFSET([2]characters!$A$1,0,0,COUNTA([2]characters!$A:$A),MATCH(B$1,[2]characters!$1:$1,0)-MATCH($A$1,[2]characters!$1:$1,0)+1),MATCH(B$1,[2]characters!$1:$1,0)-MATCH($A$1,[2]characters!$1:$1,0)+1,FALSE)</f>
        <v>ミズチ</v>
      </c>
      <c r="C384" s="24" t="str">
        <f ca="1">VLOOKUP($A384,OFFSET([2]characters!$A$1,0,0,COUNTA([2]characters!$A:$A),MATCH(C$1,[2]characters!$1:$1,0)-MATCH($A$1,[2]characters!$1:$1,0)+1),MATCH(C$1,[2]characters!$1:$1,0)-MATCH($A$1,[2]characters!$1:$1,0)+1,FALSE)</f>
        <v>ガチャ:日本昔話01</v>
      </c>
      <c r="D384" s="24" t="str">
        <f ca="1">VLOOKUP($A384,OFFSET([2]characters!$A$1,0,0,COUNTA([2]characters!$A:$A),MATCH(D$1,[2]characters!$1:$1,0)-MATCH($A$1,[2]characters!$1:$1,0)+1),MATCH(D$1,[2]characters!$1:$1,0)-MATCH($A$1,[2]characters!$1:$1,0)+1,FALSE)</f>
        <v>執行者</v>
      </c>
      <c r="E384" s="24" t="str">
        <f ca="1">VLOOKUP($A384,OFFSET([2]characters!$A$1,0,0,COUNTA([2]characters!$A:$A),MATCH(E$1,[2]characters!$1:$1,0)-MATCH($A$1,[2]characters!$1:$1,0)+1),MATCH(E$1,[2]characters!$1:$1,0)-MATCH($A$1,[2]characters!$1:$1,0)+1,FALSE)</f>
        <v>格好いい</v>
      </c>
      <c r="F384" s="24" t="str">
        <f ca="1">VLOOKUP($A384,OFFSET([2]characters!$A$1,0,0,COUNTA([2]characters!$A:$A),MATCH(F$1,[2]characters!$1:$1,0)-MATCH($A$1,[2]characters!$1:$1,0)+1),MATCH(F$1,[2]characters!$1:$1,0)-MATCH($A$1,[2]characters!$1:$1,0)+1,FALSE)</f>
        <v>不明</v>
      </c>
      <c r="G384" s="24">
        <f ca="1">VLOOKUP($A384,OFFSET([2]characters!$A$1,0,0,COUNTA([2]characters!$A:$A),MATCH(G$1,[2]characters!$1:$1,0)-MATCH($A$1,[2]characters!$1:$1,0)+1),MATCH(G$1,[2]characters!$1:$1,0)-MATCH($A$1,[2]characters!$1:$1,0)+1,FALSE)</f>
        <v>3</v>
      </c>
      <c r="H384" s="24" t="str">
        <f ca="1">VLOOKUP($A384,OFFSET([2]characters!$A$1,0,0,COUNTA([2]characters!$A:$A),MATCH(H$1,[2]characters!$1:$1,0)-MATCH($A$1,[2]characters!$1:$1,0)+1),MATCH(H$1,[2]characters!$1:$1,0)-MATCH($A$1,[2]characters!$1:$1,0)+1,FALSE)</f>
        <v>PremiumS</v>
      </c>
      <c r="I384" s="24" t="str">
        <f ca="1">VLOOKUP($A384,OFFSET([2]characters!$A$1,0,0,COUNTA([2]characters!$A:$A),MATCH(I$1,[2]characters!$1:$1,0)-MATCH($A$1,[2]characters!$1:$1,0)+1),MATCH(I$1,[2]characters!$1:$1,0)-MATCH($A$1,[2]characters!$1:$1,0)+1,FALSE)</f>
        <v>blue</v>
      </c>
      <c r="J384" s="24" t="str">
        <f ca="1">VLOOKUP($A384,OFFSET([2]characters!$A$1,0,0,COUNTA([2]characters!$A:$A),MATCH(J$1,[2]characters!$1:$1,0)-MATCH($A$1,[2]characters!$1:$1,0)+1),MATCH(J$1,[2]characters!$1:$1,0)-MATCH($A$1,[2]characters!$1:$1,0)+1,FALSE)</f>
        <v>none</v>
      </c>
      <c r="K384" s="3" t="str">
        <f ca="1">VLOOKUP(J384,[2]character_tribe_i18n!$A:$H,3,FALSE)</f>
        <v>種族なし</v>
      </c>
      <c r="L384" s="5" t="e">
        <f>VLOOKUP(#REF!,[2]character_tribe_i18n!$A:$H,4,FALSE)</f>
        <v>#REF!</v>
      </c>
      <c r="M384" s="5" t="e">
        <f>VLOOKUP(#REF!,[2]character_tribe_i18n!$A:$H,5,FALSE)</f>
        <v>#REF!</v>
      </c>
      <c r="N384" s="5" t="e">
        <f>VLOOKUP(#REF!,[2]character_tribe_i18n!$A:$H,6,FALSE)</f>
        <v>#REF!</v>
      </c>
      <c r="O384" s="5" t="e">
        <f>VLOOKUP(#REF!,[2]character_tribe_i18n!$A:$H,7,FALSE)</f>
        <v>#REF!</v>
      </c>
      <c r="P384" s="83" t="s">
        <v>170</v>
      </c>
      <c r="Q384">
        <v>775</v>
      </c>
      <c r="R384" s="25" t="str">
        <f ca="1">IF(Q384="NULL","",VLOOKUP($Q384,OFFSET([2]characters!$A$1,0,0,COUNTA([2]characters!$A:$A),MATCH(R$1,[2]characters!$1:$1,0)-MATCH($A$1,[2]characters!$1:$1,0)+1),MATCH(R$1,[2]characters!$1:$1,0)-MATCH($A$1,[2]characters!$1:$1,0)+1,FALSE))</f>
        <v>水底霊竜 ミズチ</v>
      </c>
      <c r="S384" s="3">
        <f t="shared" ca="1" si="8"/>
        <v>774</v>
      </c>
      <c r="T384" s="25" t="str">
        <f ca="1">VLOOKUP($S384,OFFSET([2]characters!$A$1,0,0,COUNTA([2]characters!$A:$A),MATCH(T$1,[2]characters!$1:$1,0)-MATCH($A$1,[2]characters!$1:$1,0)+1),MATCH(T$1,[2]characters!$1:$1,0)-MATCH($A$1,[2]characters!$1:$1,0)+1,FALSE)</f>
        <v>ミズチ</v>
      </c>
      <c r="U384" s="5">
        <f ca="1">IF(Q384="NULL","NULL",VLOOKUP(G384,ビット!$A$2:$B$7,2))</f>
        <v>20000</v>
      </c>
      <c r="V384">
        <v>20000</v>
      </c>
      <c r="W384" s="6" t="str">
        <f t="shared" ca="1" si="11"/>
        <v>TRUE</v>
      </c>
    </row>
    <row r="385" spans="1:23" ht="21" customHeight="1" x14ac:dyDescent="0.15">
      <c r="A385" s="84">
        <v>775</v>
      </c>
      <c r="B385" s="24" t="str">
        <f ca="1">VLOOKUP($A385,OFFSET([2]characters!$A$1,0,0,COUNTA([2]characters!$A:$A),MATCH(B$1,[2]characters!$1:$1,0)-MATCH($A$1,[2]characters!$1:$1,0)+1),MATCH(B$1,[2]characters!$1:$1,0)-MATCH($A$1,[2]characters!$1:$1,0)+1,FALSE)</f>
        <v>水底霊竜 ミズチ</v>
      </c>
      <c r="C385" s="24" t="str">
        <f ca="1">VLOOKUP($A385,OFFSET([2]characters!$A$1,0,0,COUNTA([2]characters!$A:$A),MATCH(C$1,[2]characters!$1:$1,0)-MATCH($A$1,[2]characters!$1:$1,0)+1),MATCH(C$1,[2]characters!$1:$1,0)-MATCH($A$1,[2]characters!$1:$1,0)+1,FALSE)</f>
        <v>ガチャ:日本昔話01</v>
      </c>
      <c r="D385" s="24" t="str">
        <f ca="1">VLOOKUP($A385,OFFSET([2]characters!$A$1,0,0,COUNTA([2]characters!$A:$A),MATCH(D$1,[2]characters!$1:$1,0)-MATCH($A$1,[2]characters!$1:$1,0)+1),MATCH(D$1,[2]characters!$1:$1,0)-MATCH($A$1,[2]characters!$1:$1,0)+1,FALSE)</f>
        <v>執行者</v>
      </c>
      <c r="E385" s="24" t="str">
        <f ca="1">VLOOKUP($A385,OFFSET([2]characters!$A$1,0,0,COUNTA([2]characters!$A:$A),MATCH(E$1,[2]characters!$1:$1,0)-MATCH($A$1,[2]characters!$1:$1,0)+1),MATCH(E$1,[2]characters!$1:$1,0)-MATCH($A$1,[2]characters!$1:$1,0)+1,FALSE)</f>
        <v>格好いい</v>
      </c>
      <c r="F385" s="24" t="str">
        <f ca="1">VLOOKUP($A385,OFFSET([2]characters!$A$1,0,0,COUNTA([2]characters!$A:$A),MATCH(F$1,[2]characters!$1:$1,0)-MATCH($A$1,[2]characters!$1:$1,0)+1),MATCH(F$1,[2]characters!$1:$1,0)-MATCH($A$1,[2]characters!$1:$1,0)+1,FALSE)</f>
        <v>不明</v>
      </c>
      <c r="G385" s="24">
        <f ca="1">VLOOKUP($A385,OFFSET([2]characters!$A$1,0,0,COUNTA([2]characters!$A:$A),MATCH(G$1,[2]characters!$1:$1,0)-MATCH($A$1,[2]characters!$1:$1,0)+1),MATCH(G$1,[2]characters!$1:$1,0)-MATCH($A$1,[2]characters!$1:$1,0)+1,FALSE)</f>
        <v>4</v>
      </c>
      <c r="H385" s="24" t="str">
        <f ca="1">VLOOKUP($A385,OFFSET([2]characters!$A$1,0,0,COUNTA([2]characters!$A:$A),MATCH(H$1,[2]characters!$1:$1,0)-MATCH($A$1,[2]characters!$1:$1,0)+1),MATCH(H$1,[2]characters!$1:$1,0)-MATCH($A$1,[2]characters!$1:$1,0)+1,FALSE)</f>
        <v>PremiumS</v>
      </c>
      <c r="I385" s="24" t="str">
        <f ca="1">VLOOKUP($A385,OFFSET([2]characters!$A$1,0,0,COUNTA([2]characters!$A:$A),MATCH(I$1,[2]characters!$1:$1,0)-MATCH($A$1,[2]characters!$1:$1,0)+1),MATCH(I$1,[2]characters!$1:$1,0)-MATCH($A$1,[2]characters!$1:$1,0)+1,FALSE)</f>
        <v>blue</v>
      </c>
      <c r="J385" s="24" t="str">
        <f ca="1">VLOOKUP($A385,OFFSET([2]characters!$A$1,0,0,COUNTA([2]characters!$A:$A),MATCH(J$1,[2]characters!$1:$1,0)-MATCH($A$1,[2]characters!$1:$1,0)+1),MATCH(J$1,[2]characters!$1:$1,0)-MATCH($A$1,[2]characters!$1:$1,0)+1,FALSE)</f>
        <v>none</v>
      </c>
      <c r="K385" s="3" t="str">
        <f ca="1">VLOOKUP(J385,[2]character_tribe_i18n!$A:$H,3,FALSE)</f>
        <v>種族なし</v>
      </c>
      <c r="L385" s="5" t="e">
        <f>VLOOKUP(#REF!,[2]character_tribe_i18n!$A:$H,4,FALSE)</f>
        <v>#REF!</v>
      </c>
      <c r="M385" s="5" t="e">
        <f>VLOOKUP(#REF!,[2]character_tribe_i18n!$A:$H,5,FALSE)</f>
        <v>#REF!</v>
      </c>
      <c r="N385" s="5" t="e">
        <f>VLOOKUP(#REF!,[2]character_tribe_i18n!$A:$H,6,FALSE)</f>
        <v>#REF!</v>
      </c>
      <c r="O385" s="5" t="e">
        <f>VLOOKUP(#REF!,[2]character_tribe_i18n!$A:$H,7,FALSE)</f>
        <v>#REF!</v>
      </c>
      <c r="P385" s="83" t="s">
        <v>170</v>
      </c>
      <c r="Q385">
        <v>776</v>
      </c>
      <c r="R385" s="25" t="str">
        <f ca="1">IF(Q385="NULL","",VLOOKUP($Q385,OFFSET([2]characters!$A$1,0,0,COUNTA([2]characters!$A:$A),MATCH(R$1,[2]characters!$1:$1,0)-MATCH($A$1,[2]characters!$1:$1,0)+1),MATCH(R$1,[2]characters!$1:$1,0)-MATCH($A$1,[2]characters!$1:$1,0)+1,FALSE))</f>
        <v>水竜底主 ミズチ</v>
      </c>
      <c r="S385" s="3">
        <f t="shared" ca="1" si="8"/>
        <v>774</v>
      </c>
      <c r="T385" s="25" t="str">
        <f ca="1">VLOOKUP($S385,OFFSET([2]characters!$A$1,0,0,COUNTA([2]characters!$A:$A),MATCH(T$1,[2]characters!$1:$1,0)-MATCH($A$1,[2]characters!$1:$1,0)+1),MATCH(T$1,[2]characters!$1:$1,0)-MATCH($A$1,[2]characters!$1:$1,0)+1,FALSE)</f>
        <v>ミズチ</v>
      </c>
      <c r="U385" s="5">
        <f ca="1">IF(Q385="NULL","NULL",VLOOKUP(G385,ビット!$A$2:$B$7,2))</f>
        <v>50000</v>
      </c>
      <c r="V385">
        <v>50000</v>
      </c>
      <c r="W385" s="6" t="str">
        <f t="shared" ca="1" si="11"/>
        <v>TRUE</v>
      </c>
    </row>
    <row r="386" spans="1:23" ht="21" customHeight="1" x14ac:dyDescent="0.15">
      <c r="A386" s="84">
        <v>777</v>
      </c>
      <c r="B386" s="24" t="str">
        <f ca="1">VLOOKUP($A386,OFFSET([2]characters!$A$1,0,0,COUNTA([2]characters!$A:$A),MATCH(B$1,[2]characters!$1:$1,0)-MATCH($A$1,[2]characters!$1:$1,0)+1),MATCH(B$1,[2]characters!$1:$1,0)-MATCH($A$1,[2]characters!$1:$1,0)+1,FALSE)</f>
        <v>ガメック</v>
      </c>
      <c r="C386" s="24" t="str">
        <f ca="1">VLOOKUP($A386,OFFSET([2]characters!$A$1,0,0,COUNTA([2]characters!$A:$A),MATCH(C$1,[2]characters!$1:$1,0)-MATCH($A$1,[2]characters!$1:$1,0)+1),MATCH(C$1,[2]characters!$1:$1,0)-MATCH($A$1,[2]characters!$1:$1,0)+1,FALSE)</f>
        <v>ガチャ:日本昔話01</v>
      </c>
      <c r="D386" s="24" t="str">
        <f ca="1">VLOOKUP($A386,OFFSET([2]characters!$A$1,0,0,COUNTA([2]characters!$A:$A),MATCH(D$1,[2]characters!$1:$1,0)-MATCH($A$1,[2]characters!$1:$1,0)+1),MATCH(D$1,[2]characters!$1:$1,0)-MATCH($A$1,[2]characters!$1:$1,0)+1,FALSE)</f>
        <v>執行者</v>
      </c>
      <c r="E386" s="24" t="str">
        <f ca="1">VLOOKUP($A386,OFFSET([2]characters!$A$1,0,0,COUNTA([2]characters!$A:$A),MATCH(E$1,[2]characters!$1:$1,0)-MATCH($A$1,[2]characters!$1:$1,0)+1),MATCH(E$1,[2]characters!$1:$1,0)-MATCH($A$1,[2]characters!$1:$1,0)+1,FALSE)</f>
        <v>格好いい</v>
      </c>
      <c r="F386" s="24" t="str">
        <f ca="1">VLOOKUP($A386,OFFSET([2]characters!$A$1,0,0,COUNTA([2]characters!$A:$A),MATCH(F$1,[2]characters!$1:$1,0)-MATCH($A$1,[2]characters!$1:$1,0)+1),MATCH(F$1,[2]characters!$1:$1,0)-MATCH($A$1,[2]characters!$1:$1,0)+1,FALSE)</f>
        <v>不明</v>
      </c>
      <c r="G386" s="24">
        <f ca="1">VLOOKUP($A386,OFFSET([2]characters!$A$1,0,0,COUNTA([2]characters!$A:$A),MATCH(G$1,[2]characters!$1:$1,0)-MATCH($A$1,[2]characters!$1:$1,0)+1),MATCH(G$1,[2]characters!$1:$1,0)-MATCH($A$1,[2]characters!$1:$1,0)+1,FALSE)</f>
        <v>3</v>
      </c>
      <c r="H386" s="24" t="str">
        <f ca="1">VLOOKUP($A386,OFFSET([2]characters!$A$1,0,0,COUNTA([2]characters!$A:$A),MATCH(H$1,[2]characters!$1:$1,0)-MATCH($A$1,[2]characters!$1:$1,0)+1),MATCH(H$1,[2]characters!$1:$1,0)-MATCH($A$1,[2]characters!$1:$1,0)+1,FALSE)</f>
        <v>PremiumS</v>
      </c>
      <c r="I386" s="24" t="str">
        <f ca="1">VLOOKUP($A386,OFFSET([2]characters!$A$1,0,0,COUNTA([2]characters!$A:$A),MATCH(I$1,[2]characters!$1:$1,0)-MATCH($A$1,[2]characters!$1:$1,0)+1),MATCH(I$1,[2]characters!$1:$1,0)-MATCH($A$1,[2]characters!$1:$1,0)+1,FALSE)</f>
        <v>yellow</v>
      </c>
      <c r="J386" s="24" t="str">
        <f ca="1">VLOOKUP($A386,OFFSET([2]characters!$A$1,0,0,COUNTA([2]characters!$A:$A),MATCH(J$1,[2]characters!$1:$1,0)-MATCH($A$1,[2]characters!$1:$1,0)+1),MATCH(J$1,[2]characters!$1:$1,0)-MATCH($A$1,[2]characters!$1:$1,0)+1,FALSE)</f>
        <v>none</v>
      </c>
      <c r="K386" s="3" t="str">
        <f ca="1">VLOOKUP(J386,[2]character_tribe_i18n!$A:$H,3,FALSE)</f>
        <v>種族なし</v>
      </c>
      <c r="L386" s="5" t="e">
        <f>VLOOKUP(#REF!,[2]character_tribe_i18n!$A:$H,4,FALSE)</f>
        <v>#REF!</v>
      </c>
      <c r="M386" s="5" t="e">
        <f>VLOOKUP(#REF!,[2]character_tribe_i18n!$A:$H,5,FALSE)</f>
        <v>#REF!</v>
      </c>
      <c r="N386" s="5" t="e">
        <f>VLOOKUP(#REF!,[2]character_tribe_i18n!$A:$H,6,FALSE)</f>
        <v>#REF!</v>
      </c>
      <c r="O386" s="5" t="e">
        <f>VLOOKUP(#REF!,[2]character_tribe_i18n!$A:$H,7,FALSE)</f>
        <v>#REF!</v>
      </c>
      <c r="P386" s="83" t="s">
        <v>170</v>
      </c>
      <c r="Q386">
        <v>778</v>
      </c>
      <c r="R386" s="25" t="str">
        <f ca="1">IF(Q386="NULL","",VLOOKUP($Q386,OFFSET([2]characters!$A$1,0,0,COUNTA([2]characters!$A:$A),MATCH(R$1,[2]characters!$1:$1,0)-MATCH($A$1,[2]characters!$1:$1,0)+1),MATCH(R$1,[2]characters!$1:$1,0)-MATCH($A$1,[2]characters!$1:$1,0)+1,FALSE))</f>
        <v>一亀懸明 ガメック</v>
      </c>
      <c r="S386" s="3">
        <f t="shared" ref="S386:S444" ca="1" si="12">IF(ISNA(MATCH(A386,Q:Q,0)),A386,INDIRECT(ADDRESS(MATCH(A386,Q:Q,0),COLUMN())))</f>
        <v>777</v>
      </c>
      <c r="T386" s="25" t="str">
        <f ca="1">VLOOKUP($S386,OFFSET([2]characters!$A$1,0,0,COUNTA([2]characters!$A:$A),MATCH(T$1,[2]characters!$1:$1,0)-MATCH($A$1,[2]characters!$1:$1,0)+1),MATCH(T$1,[2]characters!$1:$1,0)-MATCH($A$1,[2]characters!$1:$1,0)+1,FALSE)</f>
        <v>ガメック</v>
      </c>
      <c r="U386" s="5">
        <f ca="1">IF(Q386="NULL","NULL",VLOOKUP(G386,ビット!$A$2:$B$7,2))</f>
        <v>20000</v>
      </c>
      <c r="V386">
        <v>20000</v>
      </c>
      <c r="W386" s="6" t="str">
        <f t="shared" ca="1" si="11"/>
        <v>TRUE</v>
      </c>
    </row>
    <row r="387" spans="1:23" ht="21" customHeight="1" x14ac:dyDescent="0.15">
      <c r="A387" s="84">
        <v>778</v>
      </c>
      <c r="B387" s="24" t="str">
        <f ca="1">VLOOKUP($A387,OFFSET([2]characters!$A$1,0,0,COUNTA([2]characters!$A:$A),MATCH(B$1,[2]characters!$1:$1,0)-MATCH($A$1,[2]characters!$1:$1,0)+1),MATCH(B$1,[2]characters!$1:$1,0)-MATCH($A$1,[2]characters!$1:$1,0)+1,FALSE)</f>
        <v>一亀懸明 ガメック</v>
      </c>
      <c r="C387" s="24" t="str">
        <f ca="1">VLOOKUP($A387,OFFSET([2]characters!$A$1,0,0,COUNTA([2]characters!$A:$A),MATCH(C$1,[2]characters!$1:$1,0)-MATCH($A$1,[2]characters!$1:$1,0)+1),MATCH(C$1,[2]characters!$1:$1,0)-MATCH($A$1,[2]characters!$1:$1,0)+1,FALSE)</f>
        <v>ガチャ:日本昔話01</v>
      </c>
      <c r="D387" s="24" t="str">
        <f ca="1">VLOOKUP($A387,OFFSET([2]characters!$A$1,0,0,COUNTA([2]characters!$A:$A),MATCH(D$1,[2]characters!$1:$1,0)-MATCH($A$1,[2]characters!$1:$1,0)+1),MATCH(D$1,[2]characters!$1:$1,0)-MATCH($A$1,[2]characters!$1:$1,0)+1,FALSE)</f>
        <v>執行者</v>
      </c>
      <c r="E387" s="24" t="str">
        <f ca="1">VLOOKUP($A387,OFFSET([2]characters!$A$1,0,0,COUNTA([2]characters!$A:$A),MATCH(E$1,[2]characters!$1:$1,0)-MATCH($A$1,[2]characters!$1:$1,0)+1),MATCH(E$1,[2]characters!$1:$1,0)-MATCH($A$1,[2]characters!$1:$1,0)+1,FALSE)</f>
        <v>格好いい</v>
      </c>
      <c r="F387" s="24" t="str">
        <f ca="1">VLOOKUP($A387,OFFSET([2]characters!$A$1,0,0,COUNTA([2]characters!$A:$A),MATCH(F$1,[2]characters!$1:$1,0)-MATCH($A$1,[2]characters!$1:$1,0)+1),MATCH(F$1,[2]characters!$1:$1,0)-MATCH($A$1,[2]characters!$1:$1,0)+1,FALSE)</f>
        <v>不明</v>
      </c>
      <c r="G387" s="24">
        <f ca="1">VLOOKUP($A387,OFFSET([2]characters!$A$1,0,0,COUNTA([2]characters!$A:$A),MATCH(G$1,[2]characters!$1:$1,0)-MATCH($A$1,[2]characters!$1:$1,0)+1),MATCH(G$1,[2]characters!$1:$1,0)-MATCH($A$1,[2]characters!$1:$1,0)+1,FALSE)</f>
        <v>4</v>
      </c>
      <c r="H387" s="24" t="str">
        <f ca="1">VLOOKUP($A387,OFFSET([2]characters!$A$1,0,0,COUNTA([2]characters!$A:$A),MATCH(H$1,[2]characters!$1:$1,0)-MATCH($A$1,[2]characters!$1:$1,0)+1),MATCH(H$1,[2]characters!$1:$1,0)-MATCH($A$1,[2]characters!$1:$1,0)+1,FALSE)</f>
        <v>PremiumS</v>
      </c>
      <c r="I387" s="24" t="str">
        <f ca="1">VLOOKUP($A387,OFFSET([2]characters!$A$1,0,0,COUNTA([2]characters!$A:$A),MATCH(I$1,[2]characters!$1:$1,0)-MATCH($A$1,[2]characters!$1:$1,0)+1),MATCH(I$1,[2]characters!$1:$1,0)-MATCH($A$1,[2]characters!$1:$1,0)+1,FALSE)</f>
        <v>yellow</v>
      </c>
      <c r="J387" s="24" t="str">
        <f ca="1">VLOOKUP($A387,OFFSET([2]characters!$A$1,0,0,COUNTA([2]characters!$A:$A),MATCH(J$1,[2]characters!$1:$1,0)-MATCH($A$1,[2]characters!$1:$1,0)+1),MATCH(J$1,[2]characters!$1:$1,0)-MATCH($A$1,[2]characters!$1:$1,0)+1,FALSE)</f>
        <v>none</v>
      </c>
      <c r="K387" s="3" t="str">
        <f ca="1">VLOOKUP(J387,[2]character_tribe_i18n!$A:$H,3,FALSE)</f>
        <v>種族なし</v>
      </c>
      <c r="L387" s="5" t="e">
        <f>VLOOKUP(#REF!,[2]character_tribe_i18n!$A:$H,4,FALSE)</f>
        <v>#REF!</v>
      </c>
      <c r="M387" s="5" t="e">
        <f>VLOOKUP(#REF!,[2]character_tribe_i18n!$A:$H,5,FALSE)</f>
        <v>#REF!</v>
      </c>
      <c r="N387" s="5" t="e">
        <f>VLOOKUP(#REF!,[2]character_tribe_i18n!$A:$H,6,FALSE)</f>
        <v>#REF!</v>
      </c>
      <c r="O387" s="5" t="e">
        <f>VLOOKUP(#REF!,[2]character_tribe_i18n!$A:$H,7,FALSE)</f>
        <v>#REF!</v>
      </c>
      <c r="P387" s="83" t="s">
        <v>170</v>
      </c>
      <c r="Q387">
        <v>779</v>
      </c>
      <c r="R387" s="25" t="str">
        <f ca="1">IF(Q387="NULL","",VLOOKUP($Q387,OFFSET([2]characters!$A$1,0,0,COUNTA([2]characters!$A:$A),MATCH(R$1,[2]characters!$1:$1,0)-MATCH($A$1,[2]characters!$1:$1,0)+1),MATCH(R$1,[2]characters!$1:$1,0)-MATCH($A$1,[2]characters!$1:$1,0)+1,FALSE))</f>
        <v>頑堅咬亀 ガメック</v>
      </c>
      <c r="S387" s="3">
        <f t="shared" ca="1" si="12"/>
        <v>777</v>
      </c>
      <c r="T387" s="25" t="str">
        <f ca="1">VLOOKUP($S387,OFFSET([2]characters!$A$1,0,0,COUNTA([2]characters!$A:$A),MATCH(T$1,[2]characters!$1:$1,0)-MATCH($A$1,[2]characters!$1:$1,0)+1),MATCH(T$1,[2]characters!$1:$1,0)-MATCH($A$1,[2]characters!$1:$1,0)+1,FALSE)</f>
        <v>ガメック</v>
      </c>
      <c r="U387" s="5">
        <f ca="1">IF(Q387="NULL","NULL",VLOOKUP(G387,ビット!$A$2:$B$7,2))</f>
        <v>50000</v>
      </c>
      <c r="V387">
        <v>50000</v>
      </c>
      <c r="W387" s="6" t="str">
        <f t="shared" ca="1" si="11"/>
        <v>TRUE</v>
      </c>
    </row>
    <row r="388" spans="1:23" ht="21" customHeight="1" x14ac:dyDescent="0.15">
      <c r="A388" s="84">
        <v>840</v>
      </c>
      <c r="B388" s="24" t="str">
        <f ca="1">VLOOKUP($A388,OFFSET([2]characters!$A$1,0,0,COUNTA([2]characters!$A:$A),MATCH(B$1,[2]characters!$1:$1,0)-MATCH($A$1,[2]characters!$1:$1,0)+1),MATCH(B$1,[2]characters!$1:$1,0)-MATCH($A$1,[2]characters!$1:$1,0)+1,FALSE)</f>
        <v>フェニックス</v>
      </c>
      <c r="C388" s="24" t="str">
        <f ca="1">VLOOKUP($A388,OFFSET([2]characters!$A$1,0,0,COUNTA([2]characters!$A:$A),MATCH(C$1,[2]characters!$1:$1,0)-MATCH($A$1,[2]characters!$1:$1,0)+1),MATCH(C$1,[2]characters!$1:$1,0)-MATCH($A$1,[2]characters!$1:$1,0)+1,FALSE)</f>
        <v>各属性相性良3・黄・R458</v>
      </c>
      <c r="D388" s="24" t="str">
        <f ca="1">VLOOKUP($A388,OFFSET([2]characters!$A$1,0,0,COUNTA([2]characters!$A:$A),MATCH(D$1,[2]characters!$1:$1,0)-MATCH($A$1,[2]characters!$1:$1,0)+1),MATCH(D$1,[2]characters!$1:$1,0)-MATCH($A$1,[2]characters!$1:$1,0)+1,FALSE)</f>
        <v>執行者</v>
      </c>
      <c r="E388" s="24" t="str">
        <f ca="1">VLOOKUP($A388,OFFSET([2]characters!$A$1,0,0,COUNTA([2]characters!$A:$A),MATCH(E$1,[2]characters!$1:$1,0)-MATCH($A$1,[2]characters!$1:$1,0)+1),MATCH(E$1,[2]characters!$1:$1,0)-MATCH($A$1,[2]characters!$1:$1,0)+1,FALSE)</f>
        <v>格好いい</v>
      </c>
      <c r="F388" s="24" t="str">
        <f ca="1">VLOOKUP($A388,OFFSET([2]characters!$A$1,0,0,COUNTA([2]characters!$A:$A),MATCH(F$1,[2]characters!$1:$1,0)-MATCH($A$1,[2]characters!$1:$1,0)+1),MATCH(F$1,[2]characters!$1:$1,0)-MATCH($A$1,[2]characters!$1:$1,0)+1,FALSE)</f>
        <v>男性</v>
      </c>
      <c r="G388" s="24">
        <f ca="1">VLOOKUP($A388,OFFSET([2]characters!$A$1,0,0,COUNTA([2]characters!$A:$A),MATCH(G$1,[2]characters!$1:$1,0)-MATCH($A$1,[2]characters!$1:$1,0)+1),MATCH(G$1,[2]characters!$1:$1,0)-MATCH($A$1,[2]characters!$1:$1,0)+1,FALSE)</f>
        <v>4</v>
      </c>
      <c r="H388" s="24" t="str">
        <f ca="1">VLOOKUP($A388,OFFSET([2]characters!$A$1,0,0,COUNTA([2]characters!$A:$A),MATCH(H$1,[2]characters!$1:$1,0)-MATCH($A$1,[2]characters!$1:$1,0)+1),MATCH(H$1,[2]characters!$1:$1,0)-MATCH($A$1,[2]characters!$1:$1,0)+1,FALSE)</f>
        <v>Drop2N</v>
      </c>
      <c r="I388" s="24" t="str">
        <f ca="1">VLOOKUP($A388,OFFSET([2]characters!$A$1,0,0,COUNTA([2]characters!$A:$A),MATCH(I$1,[2]characters!$1:$1,0)-MATCH($A$1,[2]characters!$1:$1,0)+1),MATCH(I$1,[2]characters!$1:$1,0)-MATCH($A$1,[2]characters!$1:$1,0)+1,FALSE)</f>
        <v>red</v>
      </c>
      <c r="J388" s="24" t="str">
        <f ca="1">VLOOKUP($A388,OFFSET([2]characters!$A$1,0,0,COUNTA([2]characters!$A:$A),MATCH(J$1,[2]characters!$1:$1,0)-MATCH($A$1,[2]characters!$1:$1,0)+1),MATCH(J$1,[2]characters!$1:$1,0)-MATCH($A$1,[2]characters!$1:$1,0)+1,FALSE)</f>
        <v>none</v>
      </c>
      <c r="K388" s="3" t="str">
        <f ca="1">VLOOKUP(J388,[2]character_tribe_i18n!$A:$H,3,FALSE)</f>
        <v>種族なし</v>
      </c>
      <c r="L388" s="5" t="e">
        <f>VLOOKUP(#REF!,[2]character_tribe_i18n!$A:$H,4,FALSE)</f>
        <v>#REF!</v>
      </c>
      <c r="M388" s="5" t="e">
        <f>VLOOKUP(#REF!,[2]character_tribe_i18n!$A:$H,5,FALSE)</f>
        <v>#REF!</v>
      </c>
      <c r="N388" s="5" t="e">
        <f>VLOOKUP(#REF!,[2]character_tribe_i18n!$A:$H,6,FALSE)</f>
        <v>#REF!</v>
      </c>
      <c r="O388" s="5" t="e">
        <f>VLOOKUP(#REF!,[2]character_tribe_i18n!$A:$H,7,FALSE)</f>
        <v>#REF!</v>
      </c>
      <c r="P388" s="83" t="s">
        <v>170</v>
      </c>
      <c r="Q388">
        <v>841</v>
      </c>
      <c r="R388" s="25" t="str">
        <f ca="1">IF(Q388="NULL","",VLOOKUP($Q388,OFFSET([2]characters!$A$1,0,0,COUNTA([2]characters!$A:$A),MATCH(R$1,[2]characters!$1:$1,0)-MATCH($A$1,[2]characters!$1:$1,0)+1),MATCH(R$1,[2]characters!$1:$1,0)-MATCH($A$1,[2]characters!$1:$1,0)+1,FALSE))</f>
        <v>排斥の不死鳥 フェニックス</v>
      </c>
      <c r="S388" s="3">
        <f t="shared" ca="1" si="12"/>
        <v>840</v>
      </c>
      <c r="T388" s="25" t="str">
        <f ca="1">VLOOKUP($S388,OFFSET([2]characters!$A$1,0,0,COUNTA([2]characters!$A:$A),MATCH(T$1,[2]characters!$1:$1,0)-MATCH($A$1,[2]characters!$1:$1,0)+1),MATCH(T$1,[2]characters!$1:$1,0)-MATCH($A$1,[2]characters!$1:$1,0)+1,FALSE)</f>
        <v>フェニックス</v>
      </c>
      <c r="U388" s="5">
        <f ca="1">IF(Q388="NULL","NULL",VLOOKUP(G388,ビット!$A$2:$B$7,2))</f>
        <v>50000</v>
      </c>
      <c r="V388">
        <v>50000</v>
      </c>
      <c r="W388" s="6" t="str">
        <f t="shared" ref="W388:W408" ca="1" si="13">IF(U388=V388,"TRUE","FALSE")</f>
        <v>TRUE</v>
      </c>
    </row>
    <row r="389" spans="1:23" ht="21" customHeight="1" x14ac:dyDescent="0.15">
      <c r="A389" s="84">
        <v>842</v>
      </c>
      <c r="B389" s="24" t="str">
        <f ca="1">VLOOKUP($A389,OFFSET([2]characters!$A$1,0,0,COUNTA([2]characters!$A:$A),MATCH(B$1,[2]characters!$1:$1,0)-MATCH($A$1,[2]characters!$1:$1,0)+1),MATCH(B$1,[2]characters!$1:$1,0)-MATCH($A$1,[2]characters!$1:$1,0)+1,FALSE)</f>
        <v>セイレーン</v>
      </c>
      <c r="C389" s="24" t="str">
        <f ca="1">VLOOKUP($A389,OFFSET([2]characters!$A$1,0,0,COUNTA([2]characters!$A:$A),MATCH(C$1,[2]characters!$1:$1,0)-MATCH($A$1,[2]characters!$1:$1,0)+1),MATCH(C$1,[2]characters!$1:$1,0)-MATCH($A$1,[2]characters!$1:$1,0)+1,FALSE)</f>
        <v>各属性相性良3・黄・R460</v>
      </c>
      <c r="D389" s="24" t="str">
        <f ca="1">VLOOKUP($A389,OFFSET([2]characters!$A$1,0,0,COUNTA([2]characters!$A:$A),MATCH(D$1,[2]characters!$1:$1,0)-MATCH($A$1,[2]characters!$1:$1,0)+1),MATCH(D$1,[2]characters!$1:$1,0)-MATCH($A$1,[2]characters!$1:$1,0)+1,FALSE)</f>
        <v>執行者</v>
      </c>
      <c r="E389" s="24" t="str">
        <f ca="1">VLOOKUP($A389,OFFSET([2]characters!$A$1,0,0,COUNTA([2]characters!$A:$A),MATCH(E$1,[2]characters!$1:$1,0)-MATCH($A$1,[2]characters!$1:$1,0)+1),MATCH(E$1,[2]characters!$1:$1,0)-MATCH($A$1,[2]characters!$1:$1,0)+1,FALSE)</f>
        <v>格好いい</v>
      </c>
      <c r="F389" s="24" t="str">
        <f ca="1">VLOOKUP($A389,OFFSET([2]characters!$A$1,0,0,COUNTA([2]characters!$A:$A),MATCH(F$1,[2]characters!$1:$1,0)-MATCH($A$1,[2]characters!$1:$1,0)+1),MATCH(F$1,[2]characters!$1:$1,0)-MATCH($A$1,[2]characters!$1:$1,0)+1,FALSE)</f>
        <v>男性</v>
      </c>
      <c r="G389" s="24">
        <f ca="1">VLOOKUP($A389,OFFSET([2]characters!$A$1,0,0,COUNTA([2]characters!$A:$A),MATCH(G$1,[2]characters!$1:$1,0)-MATCH($A$1,[2]characters!$1:$1,0)+1),MATCH(G$1,[2]characters!$1:$1,0)-MATCH($A$1,[2]characters!$1:$1,0)+1,FALSE)</f>
        <v>4</v>
      </c>
      <c r="H389" s="24" t="str">
        <f ca="1">VLOOKUP($A389,OFFSET([2]characters!$A$1,0,0,COUNTA([2]characters!$A:$A),MATCH(H$1,[2]characters!$1:$1,0)-MATCH($A$1,[2]characters!$1:$1,0)+1),MATCH(H$1,[2]characters!$1:$1,0)-MATCH($A$1,[2]characters!$1:$1,0)+1,FALSE)</f>
        <v>Drop2N</v>
      </c>
      <c r="I389" s="24" t="str">
        <f ca="1">VLOOKUP($A389,OFFSET([2]characters!$A$1,0,0,COUNTA([2]characters!$A:$A),MATCH(I$1,[2]characters!$1:$1,0)-MATCH($A$1,[2]characters!$1:$1,0)+1),MATCH(I$1,[2]characters!$1:$1,0)-MATCH($A$1,[2]characters!$1:$1,0)+1,FALSE)</f>
        <v>blue</v>
      </c>
      <c r="J389" s="24" t="str">
        <f ca="1">VLOOKUP($A389,OFFSET([2]characters!$A$1,0,0,COUNTA([2]characters!$A:$A),MATCH(J$1,[2]characters!$1:$1,0)-MATCH($A$1,[2]characters!$1:$1,0)+1),MATCH(J$1,[2]characters!$1:$1,0)-MATCH($A$1,[2]characters!$1:$1,0)+1,FALSE)</f>
        <v>none</v>
      </c>
      <c r="K389" s="3" t="str">
        <f ca="1">VLOOKUP(J389,[2]character_tribe_i18n!$A:$H,3,FALSE)</f>
        <v>種族なし</v>
      </c>
      <c r="L389" s="5" t="e">
        <f>VLOOKUP(#REF!,[2]character_tribe_i18n!$A:$H,4,FALSE)</f>
        <v>#REF!</v>
      </c>
      <c r="M389" s="5" t="e">
        <f>VLOOKUP(#REF!,[2]character_tribe_i18n!$A:$H,5,FALSE)</f>
        <v>#REF!</v>
      </c>
      <c r="N389" s="5" t="e">
        <f>VLOOKUP(#REF!,[2]character_tribe_i18n!$A:$H,6,FALSE)</f>
        <v>#REF!</v>
      </c>
      <c r="O389" s="5" t="e">
        <f>VLOOKUP(#REF!,[2]character_tribe_i18n!$A:$H,7,FALSE)</f>
        <v>#REF!</v>
      </c>
      <c r="P389" s="83" t="s">
        <v>170</v>
      </c>
      <c r="Q389">
        <v>843</v>
      </c>
      <c r="R389" s="25" t="str">
        <f ca="1">IF(Q389="NULL","",VLOOKUP($Q389,OFFSET([2]characters!$A$1,0,0,COUNTA([2]characters!$A:$A),MATCH(R$1,[2]characters!$1:$1,0)-MATCH($A$1,[2]characters!$1:$1,0)+1),MATCH(R$1,[2]characters!$1:$1,0)-MATCH($A$1,[2]characters!$1:$1,0)+1,FALSE))</f>
        <v>荒れ狂う乱歌 セイレーン</v>
      </c>
      <c r="S389" s="3">
        <f t="shared" ca="1" si="12"/>
        <v>842</v>
      </c>
      <c r="T389" s="25" t="str">
        <f ca="1">VLOOKUP($S389,OFFSET([2]characters!$A$1,0,0,COUNTA([2]characters!$A:$A),MATCH(T$1,[2]characters!$1:$1,0)-MATCH($A$1,[2]characters!$1:$1,0)+1),MATCH(T$1,[2]characters!$1:$1,0)-MATCH($A$1,[2]characters!$1:$1,0)+1,FALSE)</f>
        <v>セイレーン</v>
      </c>
      <c r="U389" s="5">
        <f ca="1">IF(Q389="NULL","NULL",VLOOKUP(G389,ビット!$A$2:$B$7,2))</f>
        <v>50000</v>
      </c>
      <c r="V389">
        <v>50000</v>
      </c>
      <c r="W389" s="6" t="str">
        <f t="shared" ca="1" si="13"/>
        <v>TRUE</v>
      </c>
    </row>
    <row r="390" spans="1:23" ht="21" customHeight="1" x14ac:dyDescent="0.15">
      <c r="A390" s="84">
        <v>844</v>
      </c>
      <c r="B390" s="24" t="str">
        <f ca="1">VLOOKUP($A390,OFFSET([2]characters!$A$1,0,0,COUNTA([2]characters!$A:$A),MATCH(B$1,[2]characters!$1:$1,0)-MATCH($A$1,[2]characters!$1:$1,0)+1),MATCH(B$1,[2]characters!$1:$1,0)-MATCH($A$1,[2]characters!$1:$1,0)+1,FALSE)</f>
        <v>ベルゼブブ</v>
      </c>
      <c r="C390" s="24" t="str">
        <f ca="1">VLOOKUP($A390,OFFSET([2]characters!$A$1,0,0,COUNTA([2]characters!$A:$A),MATCH(C$1,[2]characters!$1:$1,0)-MATCH($A$1,[2]characters!$1:$1,0)+1),MATCH(C$1,[2]characters!$1:$1,0)-MATCH($A$1,[2]characters!$1:$1,0)+1,FALSE)</f>
        <v>各属性相性良3・黄・R462</v>
      </c>
      <c r="D390" s="24" t="str">
        <f ca="1">VLOOKUP($A390,OFFSET([2]characters!$A$1,0,0,COUNTA([2]characters!$A:$A),MATCH(D$1,[2]characters!$1:$1,0)-MATCH($A$1,[2]characters!$1:$1,0)+1),MATCH(D$1,[2]characters!$1:$1,0)-MATCH($A$1,[2]characters!$1:$1,0)+1,FALSE)</f>
        <v>執行者</v>
      </c>
      <c r="E390" s="24" t="str">
        <f ca="1">VLOOKUP($A390,OFFSET([2]characters!$A$1,0,0,COUNTA([2]characters!$A:$A),MATCH(E$1,[2]characters!$1:$1,0)-MATCH($A$1,[2]characters!$1:$1,0)+1),MATCH(E$1,[2]characters!$1:$1,0)-MATCH($A$1,[2]characters!$1:$1,0)+1,FALSE)</f>
        <v>格好いい</v>
      </c>
      <c r="F390" s="24" t="str">
        <f ca="1">VLOOKUP($A390,OFFSET([2]characters!$A$1,0,0,COUNTA([2]characters!$A:$A),MATCH(F$1,[2]characters!$1:$1,0)-MATCH($A$1,[2]characters!$1:$1,0)+1),MATCH(F$1,[2]characters!$1:$1,0)-MATCH($A$1,[2]characters!$1:$1,0)+1,FALSE)</f>
        <v>男性</v>
      </c>
      <c r="G390" s="24">
        <f ca="1">VLOOKUP($A390,OFFSET([2]characters!$A$1,0,0,COUNTA([2]characters!$A:$A),MATCH(G$1,[2]characters!$1:$1,0)-MATCH($A$1,[2]characters!$1:$1,0)+1),MATCH(G$1,[2]characters!$1:$1,0)-MATCH($A$1,[2]characters!$1:$1,0)+1,FALSE)</f>
        <v>5</v>
      </c>
      <c r="H390" s="24" t="str">
        <f ca="1">VLOOKUP($A390,OFFSET([2]characters!$A$1,0,0,COUNTA([2]characters!$A:$A),MATCH(H$1,[2]characters!$1:$1,0)-MATCH($A$1,[2]characters!$1:$1,0)+1),MATCH(H$1,[2]characters!$1:$1,0)-MATCH($A$1,[2]characters!$1:$1,0)+1,FALSE)</f>
        <v>DropWizS</v>
      </c>
      <c r="I390" s="24" t="str">
        <f ca="1">VLOOKUP($A390,OFFSET([2]characters!$A$1,0,0,COUNTA([2]characters!$A:$A),MATCH(I$1,[2]characters!$1:$1,0)-MATCH($A$1,[2]characters!$1:$1,0)+1),MATCH(I$1,[2]characters!$1:$1,0)-MATCH($A$1,[2]characters!$1:$1,0)+1,FALSE)</f>
        <v>green</v>
      </c>
      <c r="J390" s="24" t="str">
        <f ca="1">VLOOKUP($A390,OFFSET([2]characters!$A$1,0,0,COUNTA([2]characters!$A:$A),MATCH(J$1,[2]characters!$1:$1,0)-MATCH($A$1,[2]characters!$1:$1,0)+1),MATCH(J$1,[2]characters!$1:$1,0)-MATCH($A$1,[2]characters!$1:$1,0)+1,FALSE)</f>
        <v>animal</v>
      </c>
      <c r="K390" s="3" t="str">
        <f ca="1">VLOOKUP(J390,[2]character_tribe_i18n!$A:$H,3,FALSE)</f>
        <v>アニマル</v>
      </c>
      <c r="L390" s="5" t="e">
        <f>VLOOKUP(#REF!,[2]character_tribe_i18n!$A:$H,4,FALSE)</f>
        <v>#REF!</v>
      </c>
      <c r="M390" s="5" t="e">
        <f>VLOOKUP(#REF!,[2]character_tribe_i18n!$A:$H,5,FALSE)</f>
        <v>#REF!</v>
      </c>
      <c r="N390" s="5" t="e">
        <f>VLOOKUP(#REF!,[2]character_tribe_i18n!$A:$H,6,FALSE)</f>
        <v>#REF!</v>
      </c>
      <c r="O390" s="5" t="e">
        <f>VLOOKUP(#REF!,[2]character_tribe_i18n!$A:$H,7,FALSE)</f>
        <v>#REF!</v>
      </c>
      <c r="P390" s="83" t="s">
        <v>170</v>
      </c>
      <c r="Q390">
        <v>845</v>
      </c>
      <c r="R390" s="25" t="str">
        <f ca="1">IF(Q390="NULL","",VLOOKUP($Q390,OFFSET([2]characters!$A$1,0,0,COUNTA([2]characters!$A:$A),MATCH(R$1,[2]characters!$1:$1,0)-MATCH($A$1,[2]characters!$1:$1,0)+1),MATCH(R$1,[2]characters!$1:$1,0)-MATCH($A$1,[2]characters!$1:$1,0)+1,FALSE))</f>
        <v>妖艶なる蝿王 ベルゼブブ</v>
      </c>
      <c r="S390" s="3">
        <f t="shared" ca="1" si="12"/>
        <v>844</v>
      </c>
      <c r="T390" s="25" t="str">
        <f ca="1">VLOOKUP($S390,OFFSET([2]characters!$A$1,0,0,COUNTA([2]characters!$A:$A),MATCH(T$1,[2]characters!$1:$1,0)-MATCH($A$1,[2]characters!$1:$1,0)+1),MATCH(T$1,[2]characters!$1:$1,0)-MATCH($A$1,[2]characters!$1:$1,0)+1,FALSE)</f>
        <v>ベルゼブブ</v>
      </c>
      <c r="U390" s="5">
        <f ca="1">IF(Q390="NULL","NULL",VLOOKUP(G390,ビット!$A$2:$B$7,2))</f>
        <v>200000</v>
      </c>
      <c r="V390">
        <v>200000</v>
      </c>
      <c r="W390" s="6" t="str">
        <f t="shared" ca="1" si="13"/>
        <v>TRUE</v>
      </c>
    </row>
    <row r="391" spans="1:23" ht="21" customHeight="1" x14ac:dyDescent="0.15">
      <c r="A391" s="84">
        <v>846</v>
      </c>
      <c r="B391" s="24" t="str">
        <f ca="1">VLOOKUP($A391,OFFSET([2]characters!$A$1,0,0,COUNTA([2]characters!$A:$A),MATCH(B$1,[2]characters!$1:$1,0)-MATCH($A$1,[2]characters!$1:$1,0)+1),MATCH(B$1,[2]characters!$1:$1,0)-MATCH($A$1,[2]characters!$1:$1,0)+1,FALSE)</f>
        <v>ルシファー</v>
      </c>
      <c r="C391" s="24" t="str">
        <f ca="1">VLOOKUP($A391,OFFSET([2]characters!$A$1,0,0,COUNTA([2]characters!$A:$A),MATCH(C$1,[2]characters!$1:$1,0)-MATCH($A$1,[2]characters!$1:$1,0)+1),MATCH(C$1,[2]characters!$1:$1,0)-MATCH($A$1,[2]characters!$1:$1,0)+1,FALSE)</f>
        <v>各属性相性良3・黄・R464</v>
      </c>
      <c r="D391" s="24" t="str">
        <f ca="1">VLOOKUP($A391,OFFSET([2]characters!$A$1,0,0,COUNTA([2]characters!$A:$A),MATCH(D$1,[2]characters!$1:$1,0)-MATCH($A$1,[2]characters!$1:$1,0)+1),MATCH(D$1,[2]characters!$1:$1,0)-MATCH($A$1,[2]characters!$1:$1,0)+1,FALSE)</f>
        <v>執行者</v>
      </c>
      <c r="E391" s="24" t="str">
        <f ca="1">VLOOKUP($A391,OFFSET([2]characters!$A$1,0,0,COUNTA([2]characters!$A:$A),MATCH(E$1,[2]characters!$1:$1,0)-MATCH($A$1,[2]characters!$1:$1,0)+1),MATCH(E$1,[2]characters!$1:$1,0)-MATCH($A$1,[2]characters!$1:$1,0)+1,FALSE)</f>
        <v>格好いい</v>
      </c>
      <c r="F391" s="24" t="str">
        <f ca="1">VLOOKUP($A391,OFFSET([2]characters!$A$1,0,0,COUNTA([2]characters!$A:$A),MATCH(F$1,[2]characters!$1:$1,0)-MATCH($A$1,[2]characters!$1:$1,0)+1),MATCH(F$1,[2]characters!$1:$1,0)-MATCH($A$1,[2]characters!$1:$1,0)+1,FALSE)</f>
        <v>男性</v>
      </c>
      <c r="G391" s="24">
        <f ca="1">VLOOKUP($A391,OFFSET([2]characters!$A$1,0,0,COUNTA([2]characters!$A:$A),MATCH(G$1,[2]characters!$1:$1,0)-MATCH($A$1,[2]characters!$1:$1,0)+1),MATCH(G$1,[2]characters!$1:$1,0)-MATCH($A$1,[2]characters!$1:$1,0)+1,FALSE)</f>
        <v>5</v>
      </c>
      <c r="H391" s="24" t="str">
        <f ca="1">VLOOKUP($A391,OFFSET([2]characters!$A$1,0,0,COUNTA([2]characters!$A:$A),MATCH(H$1,[2]characters!$1:$1,0)-MATCH($A$1,[2]characters!$1:$1,0)+1),MATCH(H$1,[2]characters!$1:$1,0)-MATCH($A$1,[2]characters!$1:$1,0)+1,FALSE)</f>
        <v>DropWizSS</v>
      </c>
      <c r="I391" s="24" t="str">
        <f ca="1">VLOOKUP($A391,OFFSET([2]characters!$A$1,0,0,COUNTA([2]characters!$A:$A),MATCH(I$1,[2]characters!$1:$1,0)-MATCH($A$1,[2]characters!$1:$1,0)+1),MATCH(I$1,[2]characters!$1:$1,0)-MATCH($A$1,[2]characters!$1:$1,0)+1,FALSE)</f>
        <v>green</v>
      </c>
      <c r="J391" s="24" t="str">
        <f ca="1">VLOOKUP($A391,OFFSET([2]characters!$A$1,0,0,COUNTA([2]characters!$A:$A),MATCH(J$1,[2]characters!$1:$1,0)-MATCH($A$1,[2]characters!$1:$1,0)+1),MATCH(J$1,[2]characters!$1:$1,0)-MATCH($A$1,[2]characters!$1:$1,0)+1,FALSE)</f>
        <v>none</v>
      </c>
      <c r="K391" s="3" t="str">
        <f ca="1">VLOOKUP(J391,[2]character_tribe_i18n!$A:$H,3,FALSE)</f>
        <v>種族なし</v>
      </c>
      <c r="L391" s="5" t="e">
        <f>VLOOKUP(#REF!,[2]character_tribe_i18n!$A:$H,4,FALSE)</f>
        <v>#REF!</v>
      </c>
      <c r="M391" s="5" t="e">
        <f>VLOOKUP(#REF!,[2]character_tribe_i18n!$A:$H,5,FALSE)</f>
        <v>#REF!</v>
      </c>
      <c r="N391" s="5" t="e">
        <f>VLOOKUP(#REF!,[2]character_tribe_i18n!$A:$H,6,FALSE)</f>
        <v>#REF!</v>
      </c>
      <c r="O391" s="5" t="e">
        <f>VLOOKUP(#REF!,[2]character_tribe_i18n!$A:$H,7,FALSE)</f>
        <v>#REF!</v>
      </c>
      <c r="P391" s="83" t="s">
        <v>170</v>
      </c>
      <c r="Q391">
        <v>847</v>
      </c>
      <c r="R391" s="25" t="str">
        <f ca="1">IF(Q391="NULL","",VLOOKUP($Q391,OFFSET([2]characters!$A$1,0,0,COUNTA([2]characters!$A:$A),MATCH(R$1,[2]characters!$1:$1,0)-MATCH($A$1,[2]characters!$1:$1,0)+1),MATCH(R$1,[2]characters!$1:$1,0)-MATCH($A$1,[2]characters!$1:$1,0)+1,FALSE))</f>
        <v>傲慢なる堕天史 ルシファー</v>
      </c>
      <c r="S391" s="3">
        <f t="shared" ca="1" si="12"/>
        <v>846</v>
      </c>
      <c r="T391" s="25" t="str">
        <f ca="1">VLOOKUP($S391,OFFSET([2]characters!$A$1,0,0,COUNTA([2]characters!$A:$A),MATCH(T$1,[2]characters!$1:$1,0)-MATCH($A$1,[2]characters!$1:$1,0)+1),MATCH(T$1,[2]characters!$1:$1,0)-MATCH($A$1,[2]characters!$1:$1,0)+1,FALSE)</f>
        <v>ルシファー</v>
      </c>
      <c r="U391" s="5">
        <f ca="1">IF(Q391="NULL","NULL",VLOOKUP(G391,ビット!$A$2:$B$7,2))</f>
        <v>200000</v>
      </c>
      <c r="V391">
        <v>200000</v>
      </c>
      <c r="W391" s="6" t="str">
        <f t="shared" ca="1" si="13"/>
        <v>TRUE</v>
      </c>
    </row>
    <row r="392" spans="1:23" ht="21" customHeight="1" x14ac:dyDescent="0.15">
      <c r="A392" s="84">
        <v>848</v>
      </c>
      <c r="B392" s="24" t="str">
        <f ca="1">VLOOKUP($A392,OFFSET([2]characters!$A$1,0,0,COUNTA([2]characters!$A:$A),MATCH(B$1,[2]characters!$1:$1,0)-MATCH($A$1,[2]characters!$1:$1,0)+1),MATCH(B$1,[2]characters!$1:$1,0)-MATCH($A$1,[2]characters!$1:$1,0)+1,FALSE)</f>
        <v>メタトロン</v>
      </c>
      <c r="C392" s="24" t="str">
        <f ca="1">VLOOKUP($A392,OFFSET([2]characters!$A$1,0,0,COUNTA([2]characters!$A:$A),MATCH(C$1,[2]characters!$1:$1,0)-MATCH($A$1,[2]characters!$1:$1,0)+1),MATCH(C$1,[2]characters!$1:$1,0)-MATCH($A$1,[2]characters!$1:$1,0)+1,FALSE)</f>
        <v>各属性相性良3・黄・R466</v>
      </c>
      <c r="D392" s="24" t="str">
        <f ca="1">VLOOKUP($A392,OFFSET([2]characters!$A$1,0,0,COUNTA([2]characters!$A:$A),MATCH(D$1,[2]characters!$1:$1,0)-MATCH($A$1,[2]characters!$1:$1,0)+1),MATCH(D$1,[2]characters!$1:$1,0)-MATCH($A$1,[2]characters!$1:$1,0)+1,FALSE)</f>
        <v>執行者</v>
      </c>
      <c r="E392" s="24" t="str">
        <f ca="1">VLOOKUP($A392,OFFSET([2]characters!$A$1,0,0,COUNTA([2]characters!$A:$A),MATCH(E$1,[2]characters!$1:$1,0)-MATCH($A$1,[2]characters!$1:$1,0)+1),MATCH(E$1,[2]characters!$1:$1,0)-MATCH($A$1,[2]characters!$1:$1,0)+1,FALSE)</f>
        <v>格好いい</v>
      </c>
      <c r="F392" s="24" t="str">
        <f ca="1">VLOOKUP($A392,OFFSET([2]characters!$A$1,0,0,COUNTA([2]characters!$A:$A),MATCH(F$1,[2]characters!$1:$1,0)-MATCH($A$1,[2]characters!$1:$1,0)+1),MATCH(F$1,[2]characters!$1:$1,0)-MATCH($A$1,[2]characters!$1:$1,0)+1,FALSE)</f>
        <v>男性</v>
      </c>
      <c r="G392" s="24">
        <f ca="1">VLOOKUP($A392,OFFSET([2]characters!$A$1,0,0,COUNTA([2]characters!$A:$A),MATCH(G$1,[2]characters!$1:$1,0)-MATCH($A$1,[2]characters!$1:$1,0)+1),MATCH(G$1,[2]characters!$1:$1,0)-MATCH($A$1,[2]characters!$1:$1,0)+1,FALSE)</f>
        <v>5</v>
      </c>
      <c r="H392" s="24" t="str">
        <f ca="1">VLOOKUP($A392,OFFSET([2]characters!$A$1,0,0,COUNTA([2]characters!$A:$A),MATCH(H$1,[2]characters!$1:$1,0)-MATCH($A$1,[2]characters!$1:$1,0)+1),MATCH(H$1,[2]characters!$1:$1,0)-MATCH($A$1,[2]characters!$1:$1,0)+1,FALSE)</f>
        <v>PremiumSS</v>
      </c>
      <c r="I392" s="24" t="str">
        <f ca="1">VLOOKUP($A392,OFFSET([2]characters!$A$1,0,0,COUNTA([2]characters!$A:$A),MATCH(I$1,[2]characters!$1:$1,0)-MATCH($A$1,[2]characters!$1:$1,0)+1),MATCH(I$1,[2]characters!$1:$1,0)-MATCH($A$1,[2]characters!$1:$1,0)+1,FALSE)</f>
        <v>red</v>
      </c>
      <c r="J392" s="24" t="str">
        <f ca="1">VLOOKUP($A392,OFFSET([2]characters!$A$1,0,0,COUNTA([2]characters!$A:$A),MATCH(J$1,[2]characters!$1:$1,0)-MATCH($A$1,[2]characters!$1:$1,0)+1),MATCH(J$1,[2]characters!$1:$1,0)-MATCH($A$1,[2]characters!$1:$1,0)+1,FALSE)</f>
        <v>machine</v>
      </c>
      <c r="K392" s="3" t="str">
        <f ca="1">VLOOKUP(J392,[2]character_tribe_i18n!$A:$H,3,FALSE)</f>
        <v>マシン</v>
      </c>
      <c r="L392" s="5" t="e">
        <f>VLOOKUP(#REF!,[2]character_tribe_i18n!$A:$H,4,FALSE)</f>
        <v>#REF!</v>
      </c>
      <c r="M392" s="5" t="e">
        <f>VLOOKUP(#REF!,[2]character_tribe_i18n!$A:$H,5,FALSE)</f>
        <v>#REF!</v>
      </c>
      <c r="N392" s="5" t="e">
        <f>VLOOKUP(#REF!,[2]character_tribe_i18n!$A:$H,6,FALSE)</f>
        <v>#REF!</v>
      </c>
      <c r="O392" s="5" t="e">
        <f>VLOOKUP(#REF!,[2]character_tribe_i18n!$A:$H,7,FALSE)</f>
        <v>#REF!</v>
      </c>
      <c r="P392" s="83" t="s">
        <v>170</v>
      </c>
      <c r="Q392">
        <v>849</v>
      </c>
      <c r="R392" s="25" t="str">
        <f ca="1">IF(Q392="NULL","",VLOOKUP($Q392,OFFSET([2]characters!$A$1,0,0,COUNTA([2]characters!$A:$A),MATCH(R$1,[2]characters!$1:$1,0)-MATCH($A$1,[2]characters!$1:$1,0)+1),MATCH(R$1,[2]characters!$1:$1,0)-MATCH($A$1,[2]characters!$1:$1,0)+1,FALSE))</f>
        <v>燦然たる天使 メタトロン・ラヴァ</v>
      </c>
      <c r="S392" s="3">
        <f t="shared" ca="1" si="12"/>
        <v>848</v>
      </c>
      <c r="T392" s="25" t="str">
        <f ca="1">VLOOKUP($S392,OFFSET([2]characters!$A$1,0,0,COUNTA([2]characters!$A:$A),MATCH(T$1,[2]characters!$1:$1,0)-MATCH($A$1,[2]characters!$1:$1,0)+1),MATCH(T$1,[2]characters!$1:$1,0)-MATCH($A$1,[2]characters!$1:$1,0)+1,FALSE)</f>
        <v>メタトロン</v>
      </c>
      <c r="U392" s="5">
        <f ca="1">IF(Q392="NULL","NULL",VLOOKUP(G392,ビット!$A$2:$B$7,2))</f>
        <v>200000</v>
      </c>
      <c r="V392">
        <v>200000</v>
      </c>
      <c r="W392" s="6" t="str">
        <f t="shared" ca="1" si="13"/>
        <v>TRUE</v>
      </c>
    </row>
    <row r="393" spans="1:23" ht="21" customHeight="1" x14ac:dyDescent="0.15">
      <c r="A393" s="84">
        <v>850</v>
      </c>
      <c r="B393" s="24" t="str">
        <f ca="1">VLOOKUP($A393,OFFSET([2]characters!$A$1,0,0,COUNTA([2]characters!$A:$A),MATCH(B$1,[2]characters!$1:$1,0)-MATCH($A$1,[2]characters!$1:$1,0)+1),MATCH(B$1,[2]characters!$1:$1,0)-MATCH($A$1,[2]characters!$1:$1,0)+1,FALSE)</f>
        <v>バアル</v>
      </c>
      <c r="C393" s="24" t="str">
        <f ca="1">VLOOKUP($A393,OFFSET([2]characters!$A$1,0,0,COUNTA([2]characters!$A:$A),MATCH(C$1,[2]characters!$1:$1,0)-MATCH($A$1,[2]characters!$1:$1,0)+1),MATCH(C$1,[2]characters!$1:$1,0)-MATCH($A$1,[2]characters!$1:$1,0)+1,FALSE)</f>
        <v>各属性相性良3・黄・R468</v>
      </c>
      <c r="D393" s="24" t="str">
        <f ca="1">VLOOKUP($A393,OFFSET([2]characters!$A$1,0,0,COUNTA([2]characters!$A:$A),MATCH(D$1,[2]characters!$1:$1,0)-MATCH($A$1,[2]characters!$1:$1,0)+1),MATCH(D$1,[2]characters!$1:$1,0)-MATCH($A$1,[2]characters!$1:$1,0)+1,FALSE)</f>
        <v>執行者</v>
      </c>
      <c r="E393" s="24" t="str">
        <f ca="1">VLOOKUP($A393,OFFSET([2]characters!$A$1,0,0,COUNTA([2]characters!$A:$A),MATCH(E$1,[2]characters!$1:$1,0)-MATCH($A$1,[2]characters!$1:$1,0)+1),MATCH(E$1,[2]characters!$1:$1,0)-MATCH($A$1,[2]characters!$1:$1,0)+1,FALSE)</f>
        <v>格好いい</v>
      </c>
      <c r="F393" s="24" t="str">
        <f ca="1">VLOOKUP($A393,OFFSET([2]characters!$A$1,0,0,COUNTA([2]characters!$A:$A),MATCH(F$1,[2]characters!$1:$1,0)-MATCH($A$1,[2]characters!$1:$1,0)+1),MATCH(F$1,[2]characters!$1:$1,0)-MATCH($A$1,[2]characters!$1:$1,0)+1,FALSE)</f>
        <v>男性</v>
      </c>
      <c r="G393" s="24">
        <f ca="1">VLOOKUP($A393,OFFSET([2]characters!$A$1,0,0,COUNTA([2]characters!$A:$A),MATCH(G$1,[2]characters!$1:$1,0)-MATCH($A$1,[2]characters!$1:$1,0)+1),MATCH(G$1,[2]characters!$1:$1,0)-MATCH($A$1,[2]characters!$1:$1,0)+1,FALSE)</f>
        <v>5</v>
      </c>
      <c r="H393" s="24" t="str">
        <f ca="1">VLOOKUP($A393,OFFSET([2]characters!$A$1,0,0,COUNTA([2]characters!$A:$A),MATCH(H$1,[2]characters!$1:$1,0)-MATCH($A$1,[2]characters!$1:$1,0)+1),MATCH(H$1,[2]characters!$1:$1,0)-MATCH($A$1,[2]characters!$1:$1,0)+1,FALSE)</f>
        <v>PremiumSS</v>
      </c>
      <c r="I393" s="24" t="str">
        <f ca="1">VLOOKUP($A393,OFFSET([2]characters!$A$1,0,0,COUNTA([2]characters!$A:$A),MATCH(I$1,[2]characters!$1:$1,0)-MATCH($A$1,[2]characters!$1:$1,0)+1),MATCH(I$1,[2]characters!$1:$1,0)-MATCH($A$1,[2]characters!$1:$1,0)+1,FALSE)</f>
        <v>green</v>
      </c>
      <c r="J393" s="24" t="str">
        <f ca="1">VLOOKUP($A393,OFFSET([2]characters!$A$1,0,0,COUNTA([2]characters!$A:$A),MATCH(J$1,[2]characters!$1:$1,0)-MATCH($A$1,[2]characters!$1:$1,0)+1),MATCH(J$1,[2]characters!$1:$1,0)-MATCH($A$1,[2]characters!$1:$1,0)+1,FALSE)</f>
        <v>none</v>
      </c>
      <c r="K393" s="3" t="str">
        <f ca="1">VLOOKUP(J393,[2]character_tribe_i18n!$A:$H,3,FALSE)</f>
        <v>種族なし</v>
      </c>
      <c r="L393" s="5" t="e">
        <f>VLOOKUP(#REF!,[2]character_tribe_i18n!$A:$H,4,FALSE)</f>
        <v>#REF!</v>
      </c>
      <c r="M393" s="5" t="e">
        <f>VLOOKUP(#REF!,[2]character_tribe_i18n!$A:$H,5,FALSE)</f>
        <v>#REF!</v>
      </c>
      <c r="N393" s="5" t="e">
        <f>VLOOKUP(#REF!,[2]character_tribe_i18n!$A:$H,6,FALSE)</f>
        <v>#REF!</v>
      </c>
      <c r="O393" s="5" t="e">
        <f>VLOOKUP(#REF!,[2]character_tribe_i18n!$A:$H,7,FALSE)</f>
        <v>#REF!</v>
      </c>
      <c r="P393" s="83" t="s">
        <v>170</v>
      </c>
      <c r="Q393">
        <v>851</v>
      </c>
      <c r="R393" s="25" t="str">
        <f ca="1">IF(Q393="NULL","",VLOOKUP($Q393,OFFSET([2]characters!$A$1,0,0,COUNTA([2]characters!$A:$A),MATCH(R$1,[2]characters!$1:$1,0)-MATCH($A$1,[2]characters!$1:$1,0)+1),MATCH(R$1,[2]characters!$1:$1,0)-MATCH($A$1,[2]characters!$1:$1,0)+1,FALSE))</f>
        <v>寡黙なる凶王 バアル</v>
      </c>
      <c r="S393" s="3">
        <f t="shared" ca="1" si="12"/>
        <v>850</v>
      </c>
      <c r="T393" s="25" t="str">
        <f ca="1">VLOOKUP($S393,OFFSET([2]characters!$A$1,0,0,COUNTA([2]characters!$A:$A),MATCH(T$1,[2]characters!$1:$1,0)-MATCH($A$1,[2]characters!$1:$1,0)+1),MATCH(T$1,[2]characters!$1:$1,0)-MATCH($A$1,[2]characters!$1:$1,0)+1,FALSE)</f>
        <v>バアル</v>
      </c>
      <c r="U393" s="5">
        <f ca="1">IF(Q393="NULL","NULL",VLOOKUP(G393,ビット!$A$2:$B$7,2))</f>
        <v>200000</v>
      </c>
      <c r="V393">
        <v>200000</v>
      </c>
      <c r="W393" s="6" t="str">
        <f t="shared" ca="1" si="13"/>
        <v>TRUE</v>
      </c>
    </row>
    <row r="394" spans="1:23" ht="21" customHeight="1" x14ac:dyDescent="0.15">
      <c r="A394" s="84">
        <v>852</v>
      </c>
      <c r="B394" s="24" t="str">
        <f ca="1">VLOOKUP($A394,OFFSET([2]characters!$A$1,0,0,COUNTA([2]characters!$A:$A),MATCH(B$1,[2]characters!$1:$1,0)-MATCH($A$1,[2]characters!$1:$1,0)+1),MATCH(B$1,[2]characters!$1:$1,0)-MATCH($A$1,[2]characters!$1:$1,0)+1,FALSE)</f>
        <v>サキエル</v>
      </c>
      <c r="C394" s="24" t="str">
        <f ca="1">VLOOKUP($A394,OFFSET([2]characters!$A$1,0,0,COUNTA([2]characters!$A:$A),MATCH(C$1,[2]characters!$1:$1,0)-MATCH($A$1,[2]characters!$1:$1,0)+1),MATCH(C$1,[2]characters!$1:$1,0)-MATCH($A$1,[2]characters!$1:$1,0)+1,FALSE)</f>
        <v>各属性相性良3・黄・R470</v>
      </c>
      <c r="D394" s="24" t="str">
        <f ca="1">VLOOKUP($A394,OFFSET([2]characters!$A$1,0,0,COUNTA([2]characters!$A:$A),MATCH(D$1,[2]characters!$1:$1,0)-MATCH($A$1,[2]characters!$1:$1,0)+1),MATCH(D$1,[2]characters!$1:$1,0)-MATCH($A$1,[2]characters!$1:$1,0)+1,FALSE)</f>
        <v>執行者</v>
      </c>
      <c r="E394" s="24" t="str">
        <f ca="1">VLOOKUP($A394,OFFSET([2]characters!$A$1,0,0,COUNTA([2]characters!$A:$A),MATCH(E$1,[2]characters!$1:$1,0)-MATCH($A$1,[2]characters!$1:$1,0)+1),MATCH(E$1,[2]characters!$1:$1,0)-MATCH($A$1,[2]characters!$1:$1,0)+1,FALSE)</f>
        <v>格好いい</v>
      </c>
      <c r="F394" s="24" t="str">
        <f ca="1">VLOOKUP($A394,OFFSET([2]characters!$A$1,0,0,COUNTA([2]characters!$A:$A),MATCH(F$1,[2]characters!$1:$1,0)-MATCH($A$1,[2]characters!$1:$1,0)+1),MATCH(F$1,[2]characters!$1:$1,0)-MATCH($A$1,[2]characters!$1:$1,0)+1,FALSE)</f>
        <v>男性</v>
      </c>
      <c r="G394" s="24">
        <f ca="1">VLOOKUP($A394,OFFSET([2]characters!$A$1,0,0,COUNTA([2]characters!$A:$A),MATCH(G$1,[2]characters!$1:$1,0)-MATCH($A$1,[2]characters!$1:$1,0)+1),MATCH(G$1,[2]characters!$1:$1,0)-MATCH($A$1,[2]characters!$1:$1,0)+1,FALSE)</f>
        <v>4</v>
      </c>
      <c r="H394" s="24" t="str">
        <f ca="1">VLOOKUP($A394,OFFSET([2]characters!$A$1,0,0,COUNTA([2]characters!$A:$A),MATCH(H$1,[2]characters!$1:$1,0)-MATCH($A$1,[2]characters!$1:$1,0)+1),MATCH(H$1,[2]characters!$1:$1,0)-MATCH($A$1,[2]characters!$1:$1,0)+1,FALSE)</f>
        <v>PremiumS</v>
      </c>
      <c r="I394" s="24" t="str">
        <f ca="1">VLOOKUP($A394,OFFSET([2]characters!$A$1,0,0,COUNTA([2]characters!$A:$A),MATCH(I$1,[2]characters!$1:$1,0)-MATCH($A$1,[2]characters!$1:$1,0)+1),MATCH(I$1,[2]characters!$1:$1,0)-MATCH($A$1,[2]characters!$1:$1,0)+1,FALSE)</f>
        <v>blue</v>
      </c>
      <c r="J394" s="24" t="str">
        <f ca="1">VLOOKUP($A394,OFFSET([2]characters!$A$1,0,0,COUNTA([2]characters!$A:$A),MATCH(J$1,[2]characters!$1:$1,0)-MATCH($A$1,[2]characters!$1:$1,0)+1),MATCH(J$1,[2]characters!$1:$1,0)-MATCH($A$1,[2]characters!$1:$1,0)+1,FALSE)</f>
        <v>machine</v>
      </c>
      <c r="K394" s="3" t="str">
        <f ca="1">VLOOKUP(J394,[2]character_tribe_i18n!$A:$H,3,FALSE)</f>
        <v>マシン</v>
      </c>
      <c r="L394" s="5" t="e">
        <f>VLOOKUP(#REF!,[2]character_tribe_i18n!$A:$H,4,FALSE)</f>
        <v>#REF!</v>
      </c>
      <c r="M394" s="5" t="e">
        <f>VLOOKUP(#REF!,[2]character_tribe_i18n!$A:$H,5,FALSE)</f>
        <v>#REF!</v>
      </c>
      <c r="N394" s="5" t="e">
        <f>VLOOKUP(#REF!,[2]character_tribe_i18n!$A:$H,6,FALSE)</f>
        <v>#REF!</v>
      </c>
      <c r="O394" s="5" t="e">
        <f>VLOOKUP(#REF!,[2]character_tribe_i18n!$A:$H,7,FALSE)</f>
        <v>#REF!</v>
      </c>
      <c r="P394" s="83" t="s">
        <v>170</v>
      </c>
      <c r="Q394">
        <v>853</v>
      </c>
      <c r="R394" s="25" t="str">
        <f ca="1">IF(Q394="NULL","",VLOOKUP($Q394,OFFSET([2]characters!$A$1,0,0,COUNTA([2]characters!$A:$A),MATCH(R$1,[2]characters!$1:$1,0)-MATCH($A$1,[2]characters!$1:$1,0)+1),MATCH(R$1,[2]characters!$1:$1,0)-MATCH($A$1,[2]characters!$1:$1,0)+1,FALSE))</f>
        <v>裂爪の天使 サキエル・ティア</v>
      </c>
      <c r="S394" s="3">
        <f t="shared" ca="1" si="12"/>
        <v>852</v>
      </c>
      <c r="T394" s="25" t="str">
        <f ca="1">VLOOKUP($S394,OFFSET([2]characters!$A$1,0,0,COUNTA([2]characters!$A:$A),MATCH(T$1,[2]characters!$1:$1,0)-MATCH($A$1,[2]characters!$1:$1,0)+1),MATCH(T$1,[2]characters!$1:$1,0)-MATCH($A$1,[2]characters!$1:$1,0)+1,FALSE)</f>
        <v>サキエル</v>
      </c>
      <c r="U394" s="5">
        <f ca="1">IF(Q394="NULL","NULL",VLOOKUP(G394,ビット!$A$2:$B$7,2))</f>
        <v>50000</v>
      </c>
      <c r="V394">
        <v>50000</v>
      </c>
      <c r="W394" s="6" t="str">
        <f t="shared" ca="1" si="13"/>
        <v>TRUE</v>
      </c>
    </row>
    <row r="395" spans="1:23" ht="21" customHeight="1" x14ac:dyDescent="0.15">
      <c r="A395" s="84">
        <v>854</v>
      </c>
      <c r="B395" s="24" t="str">
        <f ca="1">VLOOKUP($A395,OFFSET([2]characters!$A$1,0,0,COUNTA([2]characters!$A:$A),MATCH(B$1,[2]characters!$1:$1,0)-MATCH($A$1,[2]characters!$1:$1,0)+1),MATCH(B$1,[2]characters!$1:$1,0)-MATCH($A$1,[2]characters!$1:$1,0)+1,FALSE)</f>
        <v>フラウロス</v>
      </c>
      <c r="C395" s="24" t="str">
        <f ca="1">VLOOKUP($A395,OFFSET([2]characters!$A$1,0,0,COUNTA([2]characters!$A:$A),MATCH(C$1,[2]characters!$1:$1,0)-MATCH($A$1,[2]characters!$1:$1,0)+1),MATCH(C$1,[2]characters!$1:$1,0)-MATCH($A$1,[2]characters!$1:$1,0)+1,FALSE)</f>
        <v>各属性相性良3・黄・R472</v>
      </c>
      <c r="D395" s="24" t="str">
        <f ca="1">VLOOKUP($A395,OFFSET([2]characters!$A$1,0,0,COUNTA([2]characters!$A:$A),MATCH(D$1,[2]characters!$1:$1,0)-MATCH($A$1,[2]characters!$1:$1,0)+1),MATCH(D$1,[2]characters!$1:$1,0)-MATCH($A$1,[2]characters!$1:$1,0)+1,FALSE)</f>
        <v>執行者</v>
      </c>
      <c r="E395" s="24" t="str">
        <f ca="1">VLOOKUP($A395,OFFSET([2]characters!$A$1,0,0,COUNTA([2]characters!$A:$A),MATCH(E$1,[2]characters!$1:$1,0)-MATCH($A$1,[2]characters!$1:$1,0)+1),MATCH(E$1,[2]characters!$1:$1,0)-MATCH($A$1,[2]characters!$1:$1,0)+1,FALSE)</f>
        <v>格好いい</v>
      </c>
      <c r="F395" s="24" t="str">
        <f ca="1">VLOOKUP($A395,OFFSET([2]characters!$A$1,0,0,COUNTA([2]characters!$A:$A),MATCH(F$1,[2]characters!$1:$1,0)-MATCH($A$1,[2]characters!$1:$1,0)+1),MATCH(F$1,[2]characters!$1:$1,0)-MATCH($A$1,[2]characters!$1:$1,0)+1,FALSE)</f>
        <v>男性</v>
      </c>
      <c r="G395" s="24">
        <f ca="1">VLOOKUP($A395,OFFSET([2]characters!$A$1,0,0,COUNTA([2]characters!$A:$A),MATCH(G$1,[2]characters!$1:$1,0)-MATCH($A$1,[2]characters!$1:$1,0)+1),MATCH(G$1,[2]characters!$1:$1,0)-MATCH($A$1,[2]characters!$1:$1,0)+1,FALSE)</f>
        <v>4</v>
      </c>
      <c r="H395" s="24" t="str">
        <f ca="1">VLOOKUP($A395,OFFSET([2]characters!$A$1,0,0,COUNTA([2]characters!$A:$A),MATCH(H$1,[2]characters!$1:$1,0)-MATCH($A$1,[2]characters!$1:$1,0)+1),MATCH(H$1,[2]characters!$1:$1,0)-MATCH($A$1,[2]characters!$1:$1,0)+1,FALSE)</f>
        <v>PremiumS</v>
      </c>
      <c r="I395" s="24" t="str">
        <f ca="1">VLOOKUP($A395,OFFSET([2]characters!$A$1,0,0,COUNTA([2]characters!$A:$A),MATCH(I$1,[2]characters!$1:$1,0)-MATCH($A$1,[2]characters!$1:$1,0)+1),MATCH(I$1,[2]characters!$1:$1,0)-MATCH($A$1,[2]characters!$1:$1,0)+1,FALSE)</f>
        <v>yellow</v>
      </c>
      <c r="J395" s="24" t="str">
        <f ca="1">VLOOKUP($A395,OFFSET([2]characters!$A$1,0,0,COUNTA([2]characters!$A:$A),MATCH(J$1,[2]characters!$1:$1,0)-MATCH($A$1,[2]characters!$1:$1,0)+1),MATCH(J$1,[2]characters!$1:$1,0)-MATCH($A$1,[2]characters!$1:$1,0)+1,FALSE)</f>
        <v>none</v>
      </c>
      <c r="K395" s="3" t="str">
        <f ca="1">VLOOKUP(J395,[2]character_tribe_i18n!$A:$H,3,FALSE)</f>
        <v>種族なし</v>
      </c>
      <c r="L395" s="5" t="e">
        <f>VLOOKUP(#REF!,[2]character_tribe_i18n!$A:$H,4,FALSE)</f>
        <v>#REF!</v>
      </c>
      <c r="M395" s="5" t="e">
        <f>VLOOKUP(#REF!,[2]character_tribe_i18n!$A:$H,5,FALSE)</f>
        <v>#REF!</v>
      </c>
      <c r="N395" s="5" t="e">
        <f>VLOOKUP(#REF!,[2]character_tribe_i18n!$A:$H,6,FALSE)</f>
        <v>#REF!</v>
      </c>
      <c r="O395" s="5" t="e">
        <f>VLOOKUP(#REF!,[2]character_tribe_i18n!$A:$H,7,FALSE)</f>
        <v>#REF!</v>
      </c>
      <c r="P395" s="83" t="s">
        <v>170</v>
      </c>
      <c r="Q395">
        <v>855</v>
      </c>
      <c r="R395" s="25" t="str">
        <f ca="1">IF(Q395="NULL","",VLOOKUP($Q395,OFFSET([2]characters!$A$1,0,0,COUNTA([2]characters!$A:$A),MATCH(R$1,[2]characters!$1:$1,0)-MATCH($A$1,[2]characters!$1:$1,0)+1),MATCH(R$1,[2]characters!$1:$1,0)-MATCH($A$1,[2]characters!$1:$1,0)+1,FALSE))</f>
        <v>豹魔の侠客 フラウロス</v>
      </c>
      <c r="S395" s="3">
        <f t="shared" ca="1" si="12"/>
        <v>854</v>
      </c>
      <c r="T395" s="25" t="str">
        <f ca="1">VLOOKUP($S395,OFFSET([2]characters!$A$1,0,0,COUNTA([2]characters!$A:$A),MATCH(T$1,[2]characters!$1:$1,0)-MATCH($A$1,[2]characters!$1:$1,0)+1),MATCH(T$1,[2]characters!$1:$1,0)-MATCH($A$1,[2]characters!$1:$1,0)+1,FALSE)</f>
        <v>フラウロス</v>
      </c>
      <c r="U395" s="5">
        <f ca="1">IF(Q395="NULL","NULL",VLOOKUP(G395,ビット!$A$2:$B$7,2))</f>
        <v>50000</v>
      </c>
      <c r="V395">
        <v>50000</v>
      </c>
      <c r="W395" s="6" t="str">
        <f t="shared" ca="1" si="13"/>
        <v>TRUE</v>
      </c>
    </row>
    <row r="396" spans="1:23" ht="21" customHeight="1" x14ac:dyDescent="0.15">
      <c r="A396" s="84">
        <v>856</v>
      </c>
      <c r="B396" s="24" t="str">
        <f ca="1">VLOOKUP($A396,OFFSET([2]characters!$A$1,0,0,COUNTA([2]characters!$A:$A),MATCH(B$1,[2]characters!$1:$1,0)-MATCH($A$1,[2]characters!$1:$1,0)+1),MATCH(B$1,[2]characters!$1:$1,0)-MATCH($A$1,[2]characters!$1:$1,0)+1,FALSE)</f>
        <v>リフレクト＆M.I.R.R.O.R.</v>
      </c>
      <c r="C396" s="24" t="str">
        <f ca="1">VLOOKUP($A396,OFFSET([2]characters!$A$1,0,0,COUNTA([2]characters!$A:$A),MATCH(C$1,[2]characters!$1:$1,0)-MATCH($A$1,[2]characters!$1:$1,0)+1),MATCH(C$1,[2]characters!$1:$1,0)-MATCH($A$1,[2]characters!$1:$1,0)+1,FALSE)</f>
        <v>各属性相性良3・黄・R474</v>
      </c>
      <c r="D396" s="24" t="str">
        <f ca="1">VLOOKUP($A396,OFFSET([2]characters!$A$1,0,0,COUNTA([2]characters!$A:$A),MATCH(D$1,[2]characters!$1:$1,0)-MATCH($A$1,[2]characters!$1:$1,0)+1),MATCH(D$1,[2]characters!$1:$1,0)-MATCH($A$1,[2]characters!$1:$1,0)+1,FALSE)</f>
        <v>執行者</v>
      </c>
      <c r="E396" s="24" t="str">
        <f ca="1">VLOOKUP($A396,OFFSET([2]characters!$A$1,0,0,COUNTA([2]characters!$A:$A),MATCH(E$1,[2]characters!$1:$1,0)-MATCH($A$1,[2]characters!$1:$1,0)+1),MATCH(E$1,[2]characters!$1:$1,0)-MATCH($A$1,[2]characters!$1:$1,0)+1,FALSE)</f>
        <v>格好いい</v>
      </c>
      <c r="F396" s="24" t="str">
        <f ca="1">VLOOKUP($A396,OFFSET([2]characters!$A$1,0,0,COUNTA([2]characters!$A:$A),MATCH(F$1,[2]characters!$1:$1,0)-MATCH($A$1,[2]characters!$1:$1,0)+1),MATCH(F$1,[2]characters!$1:$1,0)-MATCH($A$1,[2]characters!$1:$1,0)+1,FALSE)</f>
        <v>男性</v>
      </c>
      <c r="G396" s="24">
        <f ca="1">VLOOKUP($A396,OFFSET([2]characters!$A$1,0,0,COUNTA([2]characters!$A:$A),MATCH(G$1,[2]characters!$1:$1,0)-MATCH($A$1,[2]characters!$1:$1,0)+1),MATCH(G$1,[2]characters!$1:$1,0)-MATCH($A$1,[2]characters!$1:$1,0)+1,FALSE)</f>
        <v>4</v>
      </c>
      <c r="H396" s="24" t="str">
        <f ca="1">VLOOKUP($A396,OFFSET([2]characters!$A$1,0,0,COUNTA([2]characters!$A:$A),MATCH(H$1,[2]characters!$1:$1,0)-MATCH($A$1,[2]characters!$1:$1,0)+1),MATCH(H$1,[2]characters!$1:$1,0)-MATCH($A$1,[2]characters!$1:$1,0)+1,FALSE)</f>
        <v>Drop2N</v>
      </c>
      <c r="I396" s="24" t="str">
        <f ca="1">VLOOKUP($A396,OFFSET([2]characters!$A$1,0,0,COUNTA([2]characters!$A:$A),MATCH(I$1,[2]characters!$1:$1,0)-MATCH($A$1,[2]characters!$1:$1,0)+1),MATCH(I$1,[2]characters!$1:$1,0)-MATCH($A$1,[2]characters!$1:$1,0)+1,FALSE)</f>
        <v>red</v>
      </c>
      <c r="J396" s="24" t="str">
        <f ca="1">VLOOKUP($A396,OFFSET([2]characters!$A$1,0,0,COUNTA([2]characters!$A:$A),MATCH(J$1,[2]characters!$1:$1,0)-MATCH($A$1,[2]characters!$1:$1,0)+1),MATCH(J$1,[2]characters!$1:$1,0)-MATCH($A$1,[2]characters!$1:$1,0)+1,FALSE)</f>
        <v>none</v>
      </c>
      <c r="K396" s="3" t="str">
        <f ca="1">VLOOKUP(J396,[2]character_tribe_i18n!$A:$H,3,FALSE)</f>
        <v>種族なし</v>
      </c>
      <c r="L396" s="5" t="e">
        <f>VLOOKUP(#REF!,[2]character_tribe_i18n!$A:$H,4,FALSE)</f>
        <v>#REF!</v>
      </c>
      <c r="M396" s="5" t="e">
        <f>VLOOKUP(#REF!,[2]character_tribe_i18n!$A:$H,5,FALSE)</f>
        <v>#REF!</v>
      </c>
      <c r="N396" s="5" t="e">
        <f>VLOOKUP(#REF!,[2]character_tribe_i18n!$A:$H,6,FALSE)</f>
        <v>#REF!</v>
      </c>
      <c r="O396" s="5" t="e">
        <f>VLOOKUP(#REF!,[2]character_tribe_i18n!$A:$H,7,FALSE)</f>
        <v>#REF!</v>
      </c>
      <c r="P396" s="83" t="s">
        <v>170</v>
      </c>
      <c r="Q396">
        <v>857</v>
      </c>
      <c r="R396" s="25" t="str">
        <f ca="1">IF(Q396="NULL","",VLOOKUP($Q396,OFFSET([2]characters!$A$1,0,0,COUNTA([2]characters!$A:$A),MATCH(R$1,[2]characters!$1:$1,0)-MATCH($A$1,[2]characters!$1:$1,0)+1),MATCH(R$1,[2]characters!$1:$1,0)-MATCH($A$1,[2]characters!$1:$1,0)+1,FALSE))</f>
        <v>嫉心のリフレクト＆M.I.R.R.O.R.</v>
      </c>
      <c r="S396" s="3">
        <f t="shared" ca="1" si="12"/>
        <v>856</v>
      </c>
      <c r="T396" s="25" t="str">
        <f ca="1">VLOOKUP($S396,OFFSET([2]characters!$A$1,0,0,COUNTA([2]characters!$A:$A),MATCH(T$1,[2]characters!$1:$1,0)-MATCH($A$1,[2]characters!$1:$1,0)+1),MATCH(T$1,[2]characters!$1:$1,0)-MATCH($A$1,[2]characters!$1:$1,0)+1,FALSE)</f>
        <v>リフレクト＆M.I.R.R.O.R.</v>
      </c>
      <c r="U396" s="5">
        <f ca="1">IF(Q396="NULL","NULL",VLOOKUP(G396,ビット!$A$2:$B$7,2))</f>
        <v>50000</v>
      </c>
      <c r="V396">
        <v>50000</v>
      </c>
      <c r="W396" s="6" t="str">
        <f t="shared" ca="1" si="13"/>
        <v>TRUE</v>
      </c>
    </row>
    <row r="397" spans="1:23" ht="21" customHeight="1" x14ac:dyDescent="0.15">
      <c r="A397" s="84">
        <v>858</v>
      </c>
      <c r="B397" s="24" t="str">
        <f ca="1">VLOOKUP($A397,OFFSET([2]characters!$A$1,0,0,COUNTA([2]characters!$A:$A),MATCH(B$1,[2]characters!$1:$1,0)-MATCH($A$1,[2]characters!$1:$1,0)+1),MATCH(B$1,[2]characters!$1:$1,0)-MATCH($A$1,[2]characters!$1:$1,0)+1,FALSE)</f>
        <v>Mr.ホエール</v>
      </c>
      <c r="C397" s="24" t="str">
        <f ca="1">VLOOKUP($A397,OFFSET([2]characters!$A$1,0,0,COUNTA([2]characters!$A:$A),MATCH(C$1,[2]characters!$1:$1,0)-MATCH($A$1,[2]characters!$1:$1,0)+1),MATCH(C$1,[2]characters!$1:$1,0)-MATCH($A$1,[2]characters!$1:$1,0)+1,FALSE)</f>
        <v>各属性相性良3・黄・R476</v>
      </c>
      <c r="D397" s="24" t="str">
        <f ca="1">VLOOKUP($A397,OFFSET([2]characters!$A$1,0,0,COUNTA([2]characters!$A:$A),MATCH(D$1,[2]characters!$1:$1,0)-MATCH($A$1,[2]characters!$1:$1,0)+1),MATCH(D$1,[2]characters!$1:$1,0)-MATCH($A$1,[2]characters!$1:$1,0)+1,FALSE)</f>
        <v>執行者</v>
      </c>
      <c r="E397" s="24" t="str">
        <f ca="1">VLOOKUP($A397,OFFSET([2]characters!$A$1,0,0,COUNTA([2]characters!$A:$A),MATCH(E$1,[2]characters!$1:$1,0)-MATCH($A$1,[2]characters!$1:$1,0)+1),MATCH(E$1,[2]characters!$1:$1,0)-MATCH($A$1,[2]characters!$1:$1,0)+1,FALSE)</f>
        <v>格好いい</v>
      </c>
      <c r="F397" s="24" t="str">
        <f ca="1">VLOOKUP($A397,OFFSET([2]characters!$A$1,0,0,COUNTA([2]characters!$A:$A),MATCH(F$1,[2]characters!$1:$1,0)-MATCH($A$1,[2]characters!$1:$1,0)+1),MATCH(F$1,[2]characters!$1:$1,0)-MATCH($A$1,[2]characters!$1:$1,0)+1,FALSE)</f>
        <v>男性</v>
      </c>
      <c r="G397" s="24">
        <f ca="1">VLOOKUP($A397,OFFSET([2]characters!$A$1,0,0,COUNTA([2]characters!$A:$A),MATCH(G$1,[2]characters!$1:$1,0)-MATCH($A$1,[2]characters!$1:$1,0)+1),MATCH(G$1,[2]characters!$1:$1,0)-MATCH($A$1,[2]characters!$1:$1,0)+1,FALSE)</f>
        <v>4</v>
      </c>
      <c r="H397" s="24" t="str">
        <f ca="1">VLOOKUP($A397,OFFSET([2]characters!$A$1,0,0,COUNTA([2]characters!$A:$A),MATCH(H$1,[2]characters!$1:$1,0)-MATCH($A$1,[2]characters!$1:$1,0)+1),MATCH(H$1,[2]characters!$1:$1,0)-MATCH($A$1,[2]characters!$1:$1,0)+1,FALSE)</f>
        <v>Drop2N</v>
      </c>
      <c r="I397" s="24" t="str">
        <f ca="1">VLOOKUP($A397,OFFSET([2]characters!$A$1,0,0,COUNTA([2]characters!$A:$A),MATCH(I$1,[2]characters!$1:$1,0)-MATCH($A$1,[2]characters!$1:$1,0)+1),MATCH(I$1,[2]characters!$1:$1,0)-MATCH($A$1,[2]characters!$1:$1,0)+1,FALSE)</f>
        <v>yellow</v>
      </c>
      <c r="J397" s="24" t="str">
        <f ca="1">VLOOKUP($A397,OFFSET([2]characters!$A$1,0,0,COUNTA([2]characters!$A:$A),MATCH(J$1,[2]characters!$1:$1,0)-MATCH($A$1,[2]characters!$1:$1,0)+1),MATCH(J$1,[2]characters!$1:$1,0)-MATCH($A$1,[2]characters!$1:$1,0)+1,FALSE)</f>
        <v>animal</v>
      </c>
      <c r="K397" s="3" t="str">
        <f ca="1">VLOOKUP(J397,[2]character_tribe_i18n!$A:$H,3,FALSE)</f>
        <v>アニマル</v>
      </c>
      <c r="L397" s="5" t="e">
        <f>VLOOKUP(#REF!,[2]character_tribe_i18n!$A:$H,4,FALSE)</f>
        <v>#REF!</v>
      </c>
      <c r="M397" s="5" t="e">
        <f>VLOOKUP(#REF!,[2]character_tribe_i18n!$A:$H,5,FALSE)</f>
        <v>#REF!</v>
      </c>
      <c r="N397" s="5" t="e">
        <f>VLOOKUP(#REF!,[2]character_tribe_i18n!$A:$H,6,FALSE)</f>
        <v>#REF!</v>
      </c>
      <c r="O397" s="5" t="e">
        <f>VLOOKUP(#REF!,[2]character_tribe_i18n!$A:$H,7,FALSE)</f>
        <v>#REF!</v>
      </c>
      <c r="P397" s="83" t="s">
        <v>170</v>
      </c>
      <c r="Q397">
        <v>859</v>
      </c>
      <c r="R397" s="25" t="str">
        <f ca="1">IF(Q397="NULL","",VLOOKUP($Q397,OFFSET([2]characters!$A$1,0,0,COUNTA([2]characters!$A:$A),MATCH(R$1,[2]characters!$1:$1,0)-MATCH($A$1,[2]characters!$1:$1,0)+1),MATCH(R$1,[2]characters!$1:$1,0)-MATCH($A$1,[2]characters!$1:$1,0)+1,FALSE))</f>
        <v>夢鯨大食 Mr.ホエール</v>
      </c>
      <c r="S397" s="3">
        <f t="shared" ca="1" si="12"/>
        <v>858</v>
      </c>
      <c r="T397" s="25" t="str">
        <f ca="1">VLOOKUP($S397,OFFSET([2]characters!$A$1,0,0,COUNTA([2]characters!$A:$A),MATCH(T$1,[2]characters!$1:$1,0)-MATCH($A$1,[2]characters!$1:$1,0)+1),MATCH(T$1,[2]characters!$1:$1,0)-MATCH($A$1,[2]characters!$1:$1,0)+1,FALSE)</f>
        <v>Mr.ホエール</v>
      </c>
      <c r="U397" s="5">
        <f ca="1">IF(Q397="NULL","NULL",VLOOKUP(G397,ビット!$A$2:$B$7,2))</f>
        <v>50000</v>
      </c>
      <c r="V397">
        <v>50000</v>
      </c>
      <c r="W397" s="6" t="str">
        <f t="shared" ca="1" si="13"/>
        <v>TRUE</v>
      </c>
    </row>
    <row r="398" spans="1:23" ht="21" customHeight="1" x14ac:dyDescent="0.15">
      <c r="A398" s="84">
        <v>860</v>
      </c>
      <c r="B398" s="24" t="str">
        <f ca="1">VLOOKUP($A398,OFFSET([2]characters!$A$1,0,0,COUNTA([2]characters!$A:$A),MATCH(B$1,[2]characters!$1:$1,0)-MATCH($A$1,[2]characters!$1:$1,0)+1),MATCH(B$1,[2]characters!$1:$1,0)-MATCH($A$1,[2]characters!$1:$1,0)+1,FALSE)</f>
        <v>叶望の幻燈 ジーナ</v>
      </c>
      <c r="C398" s="24" t="str">
        <f ca="1">VLOOKUP($A398,OFFSET([2]characters!$A$1,0,0,COUNTA([2]characters!$A:$A),MATCH(C$1,[2]characters!$1:$1,0)-MATCH($A$1,[2]characters!$1:$1,0)+1),MATCH(C$1,[2]characters!$1:$1,0)-MATCH($A$1,[2]characters!$1:$1,0)+1,FALSE)</f>
        <v>各属性相性良3・黄・R478</v>
      </c>
      <c r="D398" s="24" t="str">
        <f ca="1">VLOOKUP($A398,OFFSET([2]characters!$A$1,0,0,COUNTA([2]characters!$A:$A),MATCH(D$1,[2]characters!$1:$1,0)-MATCH($A$1,[2]characters!$1:$1,0)+1),MATCH(D$1,[2]characters!$1:$1,0)-MATCH($A$1,[2]characters!$1:$1,0)+1,FALSE)</f>
        <v>執行者</v>
      </c>
      <c r="E398" s="24" t="str">
        <f ca="1">VLOOKUP($A398,OFFSET([2]characters!$A$1,0,0,COUNTA([2]characters!$A:$A),MATCH(E$1,[2]characters!$1:$1,0)-MATCH($A$1,[2]characters!$1:$1,0)+1),MATCH(E$1,[2]characters!$1:$1,0)-MATCH($A$1,[2]characters!$1:$1,0)+1,FALSE)</f>
        <v>格好いい</v>
      </c>
      <c r="F398" s="24" t="str">
        <f ca="1">VLOOKUP($A398,OFFSET([2]characters!$A$1,0,0,COUNTA([2]characters!$A:$A),MATCH(F$1,[2]characters!$1:$1,0)-MATCH($A$1,[2]characters!$1:$1,0)+1),MATCH(F$1,[2]characters!$1:$1,0)-MATCH($A$1,[2]characters!$1:$1,0)+1,FALSE)</f>
        <v>男性</v>
      </c>
      <c r="G398" s="24">
        <f ca="1">VLOOKUP($A398,OFFSET([2]characters!$A$1,0,0,COUNTA([2]characters!$A:$A),MATCH(G$1,[2]characters!$1:$1,0)-MATCH($A$1,[2]characters!$1:$1,0)+1),MATCH(G$1,[2]characters!$1:$1,0)-MATCH($A$1,[2]characters!$1:$1,0)+1,FALSE)</f>
        <v>5</v>
      </c>
      <c r="H398" s="24" t="str">
        <f ca="1">VLOOKUP($A398,OFFSET([2]characters!$A$1,0,0,COUNTA([2]characters!$A:$A),MATCH(H$1,[2]characters!$1:$1,0)-MATCH($A$1,[2]characters!$1:$1,0)+1),MATCH(H$1,[2]characters!$1:$1,0)-MATCH($A$1,[2]characters!$1:$1,0)+1,FALSE)</f>
        <v>DropWizS</v>
      </c>
      <c r="I398" s="24" t="str">
        <f ca="1">VLOOKUP($A398,OFFSET([2]characters!$A$1,0,0,COUNTA([2]characters!$A:$A),MATCH(I$1,[2]characters!$1:$1,0)-MATCH($A$1,[2]characters!$1:$1,0)+1),MATCH(I$1,[2]characters!$1:$1,0)-MATCH($A$1,[2]characters!$1:$1,0)+1,FALSE)</f>
        <v>blue</v>
      </c>
      <c r="J398" s="24" t="str">
        <f ca="1">VLOOKUP($A398,OFFSET([2]characters!$A$1,0,0,COUNTA([2]characters!$A:$A),MATCH(J$1,[2]characters!$1:$1,0)-MATCH($A$1,[2]characters!$1:$1,0)+1),MATCH(J$1,[2]characters!$1:$1,0)-MATCH($A$1,[2]characters!$1:$1,0)+1,FALSE)</f>
        <v>god</v>
      </c>
      <c r="K398" s="3" t="str">
        <f ca="1">VLOOKUP(J398,[2]character_tribe_i18n!$A:$H,3,FALSE)</f>
        <v>ゴッド</v>
      </c>
      <c r="L398" s="5" t="e">
        <f>VLOOKUP(#REF!,[2]character_tribe_i18n!$A:$H,4,FALSE)</f>
        <v>#REF!</v>
      </c>
      <c r="M398" s="5" t="e">
        <f>VLOOKUP(#REF!,[2]character_tribe_i18n!$A:$H,5,FALSE)</f>
        <v>#REF!</v>
      </c>
      <c r="N398" s="5" t="e">
        <f>VLOOKUP(#REF!,[2]character_tribe_i18n!$A:$H,6,FALSE)</f>
        <v>#REF!</v>
      </c>
      <c r="O398" s="5" t="e">
        <f>VLOOKUP(#REF!,[2]character_tribe_i18n!$A:$H,7,FALSE)</f>
        <v>#REF!</v>
      </c>
      <c r="P398" s="83" t="s">
        <v>170</v>
      </c>
      <c r="Q398">
        <v>861</v>
      </c>
      <c r="R398" s="25" t="str">
        <f ca="1">IF(Q398="NULL","",VLOOKUP($Q398,OFFSET([2]characters!$A$1,0,0,COUNTA([2]characters!$A:$A),MATCH(R$1,[2]characters!$1:$1,0)-MATCH($A$1,[2]characters!$1:$1,0)+1),MATCH(R$1,[2]characters!$1:$1,0)-MATCH($A$1,[2]characters!$1:$1,0)+1,FALSE))</f>
        <v>青燈の巨躯 ジーナ</v>
      </c>
      <c r="S398" s="3">
        <f t="shared" ca="1" si="12"/>
        <v>860</v>
      </c>
      <c r="T398" s="25" t="str">
        <f ca="1">VLOOKUP($S398,OFFSET([2]characters!$A$1,0,0,COUNTA([2]characters!$A:$A),MATCH(T$1,[2]characters!$1:$1,0)-MATCH($A$1,[2]characters!$1:$1,0)+1),MATCH(T$1,[2]characters!$1:$1,0)-MATCH($A$1,[2]characters!$1:$1,0)+1,FALSE)</f>
        <v>叶望の幻燈 ジーナ</v>
      </c>
      <c r="U398" s="5">
        <f ca="1">IF(Q398="NULL","NULL",VLOOKUP(G398,ビット!$A$2:$B$7,2))</f>
        <v>200000</v>
      </c>
      <c r="V398">
        <v>200000</v>
      </c>
      <c r="W398" s="6" t="str">
        <f t="shared" ca="1" si="13"/>
        <v>TRUE</v>
      </c>
    </row>
    <row r="399" spans="1:23" ht="21" customHeight="1" x14ac:dyDescent="0.15">
      <c r="A399" s="84">
        <v>862</v>
      </c>
      <c r="B399" s="24" t="str">
        <f ca="1">VLOOKUP($A399,OFFSET([2]characters!$A$1,0,0,COUNTA([2]characters!$A:$A),MATCH(B$1,[2]characters!$1:$1,0)-MATCH($A$1,[2]characters!$1:$1,0)+1),MATCH(B$1,[2]characters!$1:$1,0)-MATCH($A$1,[2]characters!$1:$1,0)+1,FALSE)</f>
        <v>ブレーメン</v>
      </c>
      <c r="C399" s="24" t="str">
        <f ca="1">VLOOKUP($A399,OFFSET([2]characters!$A$1,0,0,COUNTA([2]characters!$A:$A),MATCH(C$1,[2]characters!$1:$1,0)-MATCH($A$1,[2]characters!$1:$1,0)+1),MATCH(C$1,[2]characters!$1:$1,0)-MATCH($A$1,[2]characters!$1:$1,0)+1,FALSE)</f>
        <v>各属性相性良3・黄・R480</v>
      </c>
      <c r="D399" s="24" t="str">
        <f ca="1">VLOOKUP($A399,OFFSET([2]characters!$A$1,0,0,COUNTA([2]characters!$A:$A),MATCH(D$1,[2]characters!$1:$1,0)-MATCH($A$1,[2]characters!$1:$1,0)+1),MATCH(D$1,[2]characters!$1:$1,0)-MATCH($A$1,[2]characters!$1:$1,0)+1,FALSE)</f>
        <v>執行者</v>
      </c>
      <c r="E399" s="24" t="str">
        <f ca="1">VLOOKUP($A399,OFFSET([2]characters!$A$1,0,0,COUNTA([2]characters!$A:$A),MATCH(E$1,[2]characters!$1:$1,0)-MATCH($A$1,[2]characters!$1:$1,0)+1),MATCH(E$1,[2]characters!$1:$1,0)-MATCH($A$1,[2]characters!$1:$1,0)+1,FALSE)</f>
        <v>格好いい</v>
      </c>
      <c r="F399" s="24" t="str">
        <f ca="1">VLOOKUP($A399,OFFSET([2]characters!$A$1,0,0,COUNTA([2]characters!$A:$A),MATCH(F$1,[2]characters!$1:$1,0)-MATCH($A$1,[2]characters!$1:$1,0)+1),MATCH(F$1,[2]characters!$1:$1,0)-MATCH($A$1,[2]characters!$1:$1,0)+1,FALSE)</f>
        <v>男性</v>
      </c>
      <c r="G399" s="24">
        <f ca="1">VLOOKUP($A399,OFFSET([2]characters!$A$1,0,0,COUNTA([2]characters!$A:$A),MATCH(G$1,[2]characters!$1:$1,0)-MATCH($A$1,[2]characters!$1:$1,0)+1),MATCH(G$1,[2]characters!$1:$1,0)-MATCH($A$1,[2]characters!$1:$1,0)+1,FALSE)</f>
        <v>4</v>
      </c>
      <c r="H399" s="24" t="str">
        <f ca="1">VLOOKUP($A399,OFFSET([2]characters!$A$1,0,0,COUNTA([2]characters!$A:$A),MATCH(H$1,[2]characters!$1:$1,0)-MATCH($A$1,[2]characters!$1:$1,0)+1),MATCH(H$1,[2]characters!$1:$1,0)-MATCH($A$1,[2]characters!$1:$1,0)+1,FALSE)</f>
        <v>PremiumS</v>
      </c>
      <c r="I399" s="24" t="str">
        <f ca="1">VLOOKUP($A399,OFFSET([2]characters!$A$1,0,0,COUNTA([2]characters!$A:$A),MATCH(I$1,[2]characters!$1:$1,0)-MATCH($A$1,[2]characters!$1:$1,0)+1),MATCH(I$1,[2]characters!$1:$1,0)-MATCH($A$1,[2]characters!$1:$1,0)+1,FALSE)</f>
        <v>red</v>
      </c>
      <c r="J399" s="24" t="str">
        <f ca="1">VLOOKUP($A399,OFFSET([2]characters!$A$1,0,0,COUNTA([2]characters!$A:$A),MATCH(J$1,[2]characters!$1:$1,0)-MATCH($A$1,[2]characters!$1:$1,0)+1),MATCH(J$1,[2]characters!$1:$1,0)-MATCH($A$1,[2]characters!$1:$1,0)+1,FALSE)</f>
        <v>none</v>
      </c>
      <c r="K399" s="3" t="str">
        <f ca="1">VLOOKUP(J399,[2]character_tribe_i18n!$A:$H,3,FALSE)</f>
        <v>種族なし</v>
      </c>
      <c r="L399" s="5" t="e">
        <f>VLOOKUP(#REF!,[2]character_tribe_i18n!$A:$H,4,FALSE)</f>
        <v>#REF!</v>
      </c>
      <c r="M399" s="5" t="e">
        <f>VLOOKUP(#REF!,[2]character_tribe_i18n!$A:$H,5,FALSE)</f>
        <v>#REF!</v>
      </c>
      <c r="N399" s="5" t="e">
        <f>VLOOKUP(#REF!,[2]character_tribe_i18n!$A:$H,6,FALSE)</f>
        <v>#REF!</v>
      </c>
      <c r="O399" s="5" t="e">
        <f>VLOOKUP(#REF!,[2]character_tribe_i18n!$A:$H,7,FALSE)</f>
        <v>#REF!</v>
      </c>
      <c r="P399" s="83" t="s">
        <v>170</v>
      </c>
      <c r="Q399">
        <v>863</v>
      </c>
      <c r="R399" s="25" t="str">
        <f ca="1">IF(Q399="NULL","",VLOOKUP($Q399,OFFSET([2]characters!$A$1,0,0,COUNTA([2]characters!$A:$A),MATCH(R$1,[2]characters!$1:$1,0)-MATCH($A$1,[2]characters!$1:$1,0)+1),MATCH(R$1,[2]characters!$1:$1,0)-MATCH($A$1,[2]characters!$1:$1,0)+1,FALSE))</f>
        <v>歓揮の楽団長 ブレーメン</v>
      </c>
      <c r="S399" s="3">
        <f t="shared" ca="1" si="12"/>
        <v>862</v>
      </c>
      <c r="T399" s="25" t="str">
        <f ca="1">VLOOKUP($S399,OFFSET([2]characters!$A$1,0,0,COUNTA([2]characters!$A:$A),MATCH(T$1,[2]characters!$1:$1,0)-MATCH($A$1,[2]characters!$1:$1,0)+1),MATCH(T$1,[2]characters!$1:$1,0)-MATCH($A$1,[2]characters!$1:$1,0)+1,FALSE)</f>
        <v>ブレーメン</v>
      </c>
      <c r="U399" s="5">
        <f ca="1">IF(Q399="NULL","NULL",VLOOKUP(G399,ビット!$A$2:$B$7,2))</f>
        <v>50000</v>
      </c>
      <c r="V399">
        <v>50000</v>
      </c>
      <c r="W399" s="6" t="str">
        <f t="shared" ca="1" si="13"/>
        <v>TRUE</v>
      </c>
    </row>
    <row r="400" spans="1:23" ht="21" customHeight="1" x14ac:dyDescent="0.15">
      <c r="A400" s="84">
        <v>864</v>
      </c>
      <c r="B400" s="24" t="str">
        <f ca="1">VLOOKUP($A400,OFFSET([2]characters!$A$1,0,0,COUNTA([2]characters!$A:$A),MATCH(B$1,[2]characters!$1:$1,0)-MATCH($A$1,[2]characters!$1:$1,0)+1),MATCH(B$1,[2]characters!$1:$1,0)-MATCH($A$1,[2]characters!$1:$1,0)+1,FALSE)</f>
        <v>ピノキオ</v>
      </c>
      <c r="C400" s="24" t="str">
        <f ca="1">VLOOKUP($A400,OFFSET([2]characters!$A$1,0,0,COUNTA([2]characters!$A:$A),MATCH(C$1,[2]characters!$1:$1,0)-MATCH($A$1,[2]characters!$1:$1,0)+1),MATCH(C$1,[2]characters!$1:$1,0)-MATCH($A$1,[2]characters!$1:$1,0)+1,FALSE)</f>
        <v>各属性相性良3・黄・R482</v>
      </c>
      <c r="D400" s="24" t="str">
        <f ca="1">VLOOKUP($A400,OFFSET([2]characters!$A$1,0,0,COUNTA([2]characters!$A:$A),MATCH(D$1,[2]characters!$1:$1,0)-MATCH($A$1,[2]characters!$1:$1,0)+1),MATCH(D$1,[2]characters!$1:$1,0)-MATCH($A$1,[2]characters!$1:$1,0)+1,FALSE)</f>
        <v>執行者</v>
      </c>
      <c r="E400" s="24" t="str">
        <f ca="1">VLOOKUP($A400,OFFSET([2]characters!$A$1,0,0,COUNTA([2]characters!$A:$A),MATCH(E$1,[2]characters!$1:$1,0)-MATCH($A$1,[2]characters!$1:$1,0)+1),MATCH(E$1,[2]characters!$1:$1,0)-MATCH($A$1,[2]characters!$1:$1,0)+1,FALSE)</f>
        <v>格好いい</v>
      </c>
      <c r="F400" s="24" t="str">
        <f ca="1">VLOOKUP($A400,OFFSET([2]characters!$A$1,0,0,COUNTA([2]characters!$A:$A),MATCH(F$1,[2]characters!$1:$1,0)-MATCH($A$1,[2]characters!$1:$1,0)+1),MATCH(F$1,[2]characters!$1:$1,0)-MATCH($A$1,[2]characters!$1:$1,0)+1,FALSE)</f>
        <v>男性</v>
      </c>
      <c r="G400" s="24">
        <f ca="1">VLOOKUP($A400,OFFSET([2]characters!$A$1,0,0,COUNTA([2]characters!$A:$A),MATCH(G$1,[2]characters!$1:$1,0)-MATCH($A$1,[2]characters!$1:$1,0)+1),MATCH(G$1,[2]characters!$1:$1,0)-MATCH($A$1,[2]characters!$1:$1,0)+1,FALSE)</f>
        <v>4</v>
      </c>
      <c r="H400" s="24" t="str">
        <f ca="1">VLOOKUP($A400,OFFSET([2]characters!$A$1,0,0,COUNTA([2]characters!$A:$A),MATCH(H$1,[2]characters!$1:$1,0)-MATCH($A$1,[2]characters!$1:$1,0)+1),MATCH(H$1,[2]characters!$1:$1,0)-MATCH($A$1,[2]characters!$1:$1,0)+1,FALSE)</f>
        <v>PremiumS</v>
      </c>
      <c r="I400" s="24" t="str">
        <f ca="1">VLOOKUP($A400,OFFSET([2]characters!$A$1,0,0,COUNTA([2]characters!$A:$A),MATCH(I$1,[2]characters!$1:$1,0)-MATCH($A$1,[2]characters!$1:$1,0)+1),MATCH(I$1,[2]characters!$1:$1,0)-MATCH($A$1,[2]characters!$1:$1,0)+1,FALSE)</f>
        <v>green</v>
      </c>
      <c r="J400" s="24" t="str">
        <f ca="1">VLOOKUP($A400,OFFSET([2]characters!$A$1,0,0,COUNTA([2]characters!$A:$A),MATCH(J$1,[2]characters!$1:$1,0)-MATCH($A$1,[2]characters!$1:$1,0)+1),MATCH(J$1,[2]characters!$1:$1,0)-MATCH($A$1,[2]characters!$1:$1,0)+1,FALSE)</f>
        <v>none</v>
      </c>
      <c r="K400" s="3" t="str">
        <f ca="1">VLOOKUP(J400,[2]character_tribe_i18n!$A:$H,3,FALSE)</f>
        <v>種族なし</v>
      </c>
      <c r="L400" s="5" t="e">
        <f>VLOOKUP(#REF!,[2]character_tribe_i18n!$A:$H,4,FALSE)</f>
        <v>#REF!</v>
      </c>
      <c r="M400" s="5" t="e">
        <f>VLOOKUP(#REF!,[2]character_tribe_i18n!$A:$H,5,FALSE)</f>
        <v>#REF!</v>
      </c>
      <c r="N400" s="5" t="e">
        <f>VLOOKUP(#REF!,[2]character_tribe_i18n!$A:$H,6,FALSE)</f>
        <v>#REF!</v>
      </c>
      <c r="O400" s="5" t="e">
        <f>VLOOKUP(#REF!,[2]character_tribe_i18n!$A:$H,7,FALSE)</f>
        <v>#REF!</v>
      </c>
      <c r="P400" s="83" t="s">
        <v>170</v>
      </c>
      <c r="Q400">
        <v>865</v>
      </c>
      <c r="R400" s="25" t="str">
        <f ca="1">IF(Q400="NULL","",VLOOKUP($Q400,OFFSET([2]characters!$A$1,0,0,COUNTA([2]characters!$A:$A),MATCH(R$1,[2]characters!$1:$1,0)-MATCH($A$1,[2]characters!$1:$1,0)+1),MATCH(R$1,[2]characters!$1:$1,0)-MATCH($A$1,[2]characters!$1:$1,0)+1,FALSE))</f>
        <v>無情の感線 ピノキオ</v>
      </c>
      <c r="S400" s="3">
        <f t="shared" ca="1" si="12"/>
        <v>864</v>
      </c>
      <c r="T400" s="25" t="str">
        <f ca="1">VLOOKUP($S400,OFFSET([2]characters!$A$1,0,0,COUNTA([2]characters!$A:$A),MATCH(T$1,[2]characters!$1:$1,0)-MATCH($A$1,[2]characters!$1:$1,0)+1),MATCH(T$1,[2]characters!$1:$1,0)-MATCH($A$1,[2]characters!$1:$1,0)+1,FALSE)</f>
        <v>ピノキオ</v>
      </c>
      <c r="U400" s="5">
        <f ca="1">IF(Q400="NULL","NULL",VLOOKUP(G400,ビット!$A$2:$B$7,2))</f>
        <v>50000</v>
      </c>
      <c r="V400">
        <v>50000</v>
      </c>
      <c r="W400" s="6" t="str">
        <f t="shared" ca="1" si="13"/>
        <v>TRUE</v>
      </c>
    </row>
    <row r="401" spans="1:23" ht="21" customHeight="1" x14ac:dyDescent="0.15">
      <c r="A401" s="84">
        <v>866</v>
      </c>
      <c r="B401" s="24" t="str">
        <f ca="1">VLOOKUP($A401,OFFSET([2]characters!$A$1,0,0,COUNTA([2]characters!$A:$A),MATCH(B$1,[2]characters!$1:$1,0)-MATCH($A$1,[2]characters!$1:$1,0)+1),MATCH(B$1,[2]characters!$1:$1,0)-MATCH($A$1,[2]characters!$1:$1,0)+1,FALSE)</f>
        <v>無敗の司令姫 白雪姫</v>
      </c>
      <c r="C401" s="24" t="str">
        <f ca="1">VLOOKUP($A401,OFFSET([2]characters!$A$1,0,0,COUNTA([2]characters!$A:$A),MATCH(C$1,[2]characters!$1:$1,0)-MATCH($A$1,[2]characters!$1:$1,0)+1),MATCH(C$1,[2]characters!$1:$1,0)-MATCH($A$1,[2]characters!$1:$1,0)+1,FALSE)</f>
        <v>各属性相性良3・黄・R474</v>
      </c>
      <c r="D401" s="24" t="str">
        <f ca="1">VLOOKUP($A401,OFFSET([2]characters!$A$1,0,0,COUNTA([2]characters!$A:$A),MATCH(D$1,[2]characters!$1:$1,0)-MATCH($A$1,[2]characters!$1:$1,0)+1),MATCH(D$1,[2]characters!$1:$1,0)-MATCH($A$1,[2]characters!$1:$1,0)+1,FALSE)</f>
        <v>執行者</v>
      </c>
      <c r="E401" s="24" t="str">
        <f ca="1">VLOOKUP($A401,OFFSET([2]characters!$A$1,0,0,COUNTA([2]characters!$A:$A),MATCH(E$1,[2]characters!$1:$1,0)-MATCH($A$1,[2]characters!$1:$1,0)+1),MATCH(E$1,[2]characters!$1:$1,0)-MATCH($A$1,[2]characters!$1:$1,0)+1,FALSE)</f>
        <v>格好いい</v>
      </c>
      <c r="F401" s="24" t="str">
        <f ca="1">VLOOKUP($A401,OFFSET([2]characters!$A$1,0,0,COUNTA([2]characters!$A:$A),MATCH(F$1,[2]characters!$1:$1,0)-MATCH($A$1,[2]characters!$1:$1,0)+1),MATCH(F$1,[2]characters!$1:$1,0)-MATCH($A$1,[2]characters!$1:$1,0)+1,FALSE)</f>
        <v>男性</v>
      </c>
      <c r="G401" s="24">
        <f ca="1">VLOOKUP($A401,OFFSET([2]characters!$A$1,0,0,COUNTA([2]characters!$A:$A),MATCH(G$1,[2]characters!$1:$1,0)-MATCH($A$1,[2]characters!$1:$1,0)+1),MATCH(G$1,[2]characters!$1:$1,0)-MATCH($A$1,[2]characters!$1:$1,0)+1,FALSE)</f>
        <v>5</v>
      </c>
      <c r="H401" s="24" t="str">
        <f ca="1">VLOOKUP($A401,OFFSET([2]characters!$A$1,0,0,COUNTA([2]characters!$A:$A),MATCH(H$1,[2]characters!$1:$1,0)-MATCH($A$1,[2]characters!$1:$1,0)+1),MATCH(H$1,[2]characters!$1:$1,0)-MATCH($A$1,[2]characters!$1:$1,0)+1,FALSE)</f>
        <v>PremiumSS</v>
      </c>
      <c r="I401" s="24" t="str">
        <f ca="1">VLOOKUP($A401,OFFSET([2]characters!$A$1,0,0,COUNTA([2]characters!$A:$A),MATCH(I$1,[2]characters!$1:$1,0)-MATCH($A$1,[2]characters!$1:$1,0)+1),MATCH(I$1,[2]characters!$1:$1,0)-MATCH($A$1,[2]characters!$1:$1,0)+1,FALSE)</f>
        <v>blue</v>
      </c>
      <c r="J401" s="24" t="str">
        <f ca="1">VLOOKUP($A401,OFFSET([2]characters!$A$1,0,0,COUNTA([2]characters!$A:$A),MATCH(J$1,[2]characters!$1:$1,0)-MATCH($A$1,[2]characters!$1:$1,0)+1),MATCH(J$1,[2]characters!$1:$1,0)-MATCH($A$1,[2]characters!$1:$1,0)+1,FALSE)</f>
        <v>unknown</v>
      </c>
      <c r="K401" s="3" t="str">
        <f ca="1">VLOOKUP(J401,[2]character_tribe_i18n!$A:$H,3,FALSE)</f>
        <v>Unknown</v>
      </c>
      <c r="L401" s="5" t="e">
        <f>VLOOKUP(#REF!,[2]character_tribe_i18n!$A:$H,4,FALSE)</f>
        <v>#REF!</v>
      </c>
      <c r="M401" s="5" t="e">
        <f>VLOOKUP(#REF!,[2]character_tribe_i18n!$A:$H,5,FALSE)</f>
        <v>#REF!</v>
      </c>
      <c r="N401" s="5" t="e">
        <f>VLOOKUP(#REF!,[2]character_tribe_i18n!$A:$H,6,FALSE)</f>
        <v>#REF!</v>
      </c>
      <c r="O401" s="5" t="e">
        <f>VLOOKUP(#REF!,[2]character_tribe_i18n!$A:$H,7,FALSE)</f>
        <v>#REF!</v>
      </c>
      <c r="P401" s="83" t="s">
        <v>170</v>
      </c>
      <c r="Q401">
        <v>867</v>
      </c>
      <c r="R401" s="25" t="str">
        <f ca="1">IF(Q401="NULL","",VLOOKUP($Q401,OFFSET([2]characters!$A$1,0,0,COUNTA([2]characters!$A:$A),MATCH(R$1,[2]characters!$1:$1,0)-MATCH($A$1,[2]characters!$1:$1,0)+1),MATCH(R$1,[2]characters!$1:$1,0)-MATCH($A$1,[2]characters!$1:$1,0)+1,FALSE))</f>
        <v>華麗なる作戦 白雪姫</v>
      </c>
      <c r="S401" s="3">
        <f t="shared" ca="1" si="12"/>
        <v>866</v>
      </c>
      <c r="T401" s="25" t="str">
        <f ca="1">VLOOKUP($S401,OFFSET([2]characters!$A$1,0,0,COUNTA([2]characters!$A:$A),MATCH(T$1,[2]characters!$1:$1,0)-MATCH($A$1,[2]characters!$1:$1,0)+1),MATCH(T$1,[2]characters!$1:$1,0)-MATCH($A$1,[2]characters!$1:$1,0)+1,FALSE)</f>
        <v>無敗の司令姫 白雪姫</v>
      </c>
      <c r="U401" s="5">
        <f ca="1">IF(Q401="NULL","NULL",VLOOKUP(G401,ビット!$A$2:$B$7,2))</f>
        <v>200000</v>
      </c>
      <c r="V401">
        <v>200000</v>
      </c>
      <c r="W401" s="6" t="str">
        <f t="shared" ca="1" si="13"/>
        <v>TRUE</v>
      </c>
    </row>
    <row r="402" spans="1:23" ht="21" customHeight="1" x14ac:dyDescent="0.15">
      <c r="A402" s="84">
        <v>868</v>
      </c>
      <c r="B402" s="24" t="str">
        <f ca="1">VLOOKUP($A402,OFFSET([2]characters!$A$1,0,0,COUNTA([2]characters!$A:$A),MATCH(B$1,[2]characters!$1:$1,0)-MATCH($A$1,[2]characters!$1:$1,0)+1),MATCH(B$1,[2]characters!$1:$1,0)-MATCH($A$1,[2]characters!$1:$1,0)+1,FALSE)</f>
        <v>アラジンと殲滅機兵LAMP</v>
      </c>
      <c r="C402" s="24" t="str">
        <f ca="1">VLOOKUP($A402,OFFSET([2]characters!$A$1,0,0,COUNTA([2]characters!$A:$A),MATCH(C$1,[2]characters!$1:$1,0)-MATCH($A$1,[2]characters!$1:$1,0)+1),MATCH(C$1,[2]characters!$1:$1,0)-MATCH($A$1,[2]characters!$1:$1,0)+1,FALSE)</f>
        <v>各属性相性良3・黄・R476</v>
      </c>
      <c r="D402" s="24" t="str">
        <f ca="1">VLOOKUP($A402,OFFSET([2]characters!$A$1,0,0,COUNTA([2]characters!$A:$A),MATCH(D$1,[2]characters!$1:$1,0)-MATCH($A$1,[2]characters!$1:$1,0)+1),MATCH(D$1,[2]characters!$1:$1,0)-MATCH($A$1,[2]characters!$1:$1,0)+1,FALSE)</f>
        <v>執行者</v>
      </c>
      <c r="E402" s="24" t="str">
        <f ca="1">VLOOKUP($A402,OFFSET([2]characters!$A$1,0,0,COUNTA([2]characters!$A:$A),MATCH(E$1,[2]characters!$1:$1,0)-MATCH($A$1,[2]characters!$1:$1,0)+1),MATCH(E$1,[2]characters!$1:$1,0)-MATCH($A$1,[2]characters!$1:$1,0)+1,FALSE)</f>
        <v>格好いい</v>
      </c>
      <c r="F402" s="24" t="str">
        <f ca="1">VLOOKUP($A402,OFFSET([2]characters!$A$1,0,0,COUNTA([2]characters!$A:$A),MATCH(F$1,[2]characters!$1:$1,0)-MATCH($A$1,[2]characters!$1:$1,0)+1),MATCH(F$1,[2]characters!$1:$1,0)-MATCH($A$1,[2]characters!$1:$1,0)+1,FALSE)</f>
        <v>男性</v>
      </c>
      <c r="G402" s="24">
        <f ca="1">VLOOKUP($A402,OFFSET([2]characters!$A$1,0,0,COUNTA([2]characters!$A:$A),MATCH(G$1,[2]characters!$1:$1,0)-MATCH($A$1,[2]characters!$1:$1,0)+1),MATCH(G$1,[2]characters!$1:$1,0)-MATCH($A$1,[2]characters!$1:$1,0)+1,FALSE)</f>
        <v>5</v>
      </c>
      <c r="H402" s="24" t="str">
        <f ca="1">VLOOKUP($A402,OFFSET([2]characters!$A$1,0,0,COUNTA([2]characters!$A:$A),MATCH(H$1,[2]characters!$1:$1,0)-MATCH($A$1,[2]characters!$1:$1,0)+1),MATCH(H$1,[2]characters!$1:$1,0)-MATCH($A$1,[2]characters!$1:$1,0)+1,FALSE)</f>
        <v>PremiumSS</v>
      </c>
      <c r="I402" s="24" t="str">
        <f ca="1">VLOOKUP($A402,OFFSET([2]characters!$A$1,0,0,COUNTA([2]characters!$A:$A),MATCH(I$1,[2]characters!$1:$1,0)-MATCH($A$1,[2]characters!$1:$1,0)+1),MATCH(I$1,[2]characters!$1:$1,0)-MATCH($A$1,[2]characters!$1:$1,0)+1,FALSE)</f>
        <v>yellow</v>
      </c>
      <c r="J402" s="24" t="str">
        <f ca="1">VLOOKUP($A402,OFFSET([2]characters!$A$1,0,0,COUNTA([2]characters!$A:$A),MATCH(J$1,[2]characters!$1:$1,0)-MATCH($A$1,[2]characters!$1:$1,0)+1),MATCH(J$1,[2]characters!$1:$1,0)-MATCH($A$1,[2]characters!$1:$1,0)+1,FALSE)</f>
        <v>machine</v>
      </c>
      <c r="K402" s="3" t="str">
        <f ca="1">VLOOKUP(J402,[2]character_tribe_i18n!$A:$H,3,FALSE)</f>
        <v>マシン</v>
      </c>
      <c r="L402" s="5" t="e">
        <f>VLOOKUP(#REF!,[2]character_tribe_i18n!$A:$H,4,FALSE)</f>
        <v>#REF!</v>
      </c>
      <c r="M402" s="5" t="e">
        <f>VLOOKUP(#REF!,[2]character_tribe_i18n!$A:$H,5,FALSE)</f>
        <v>#REF!</v>
      </c>
      <c r="N402" s="5" t="e">
        <f>VLOOKUP(#REF!,[2]character_tribe_i18n!$A:$H,6,FALSE)</f>
        <v>#REF!</v>
      </c>
      <c r="O402" s="5" t="e">
        <f>VLOOKUP(#REF!,[2]character_tribe_i18n!$A:$H,7,FALSE)</f>
        <v>#REF!</v>
      </c>
      <c r="P402" s="83" t="s">
        <v>170</v>
      </c>
      <c r="Q402">
        <v>869</v>
      </c>
      <c r="R402" s="25" t="str">
        <f ca="1">IF(Q402="NULL","",VLOOKUP($Q402,OFFSET([2]characters!$A$1,0,0,COUNTA([2]characters!$A:$A),MATCH(R$1,[2]characters!$1:$1,0)-MATCH($A$1,[2]characters!$1:$1,0)+1),MATCH(R$1,[2]characters!$1:$1,0)-MATCH($A$1,[2]characters!$1:$1,0)+1,FALSE))</f>
        <v xml:space="preserve">マスター･アラジンと殲滅機兵LAMP </v>
      </c>
      <c r="S402" s="3">
        <f t="shared" ca="1" si="12"/>
        <v>868</v>
      </c>
      <c r="T402" s="25" t="str">
        <f ca="1">VLOOKUP($S402,OFFSET([2]characters!$A$1,0,0,COUNTA([2]characters!$A:$A),MATCH(T$1,[2]characters!$1:$1,0)-MATCH($A$1,[2]characters!$1:$1,0)+1),MATCH(T$1,[2]characters!$1:$1,0)-MATCH($A$1,[2]characters!$1:$1,0)+1,FALSE)</f>
        <v>アラジンと殲滅機兵LAMP</v>
      </c>
      <c r="U402" s="5">
        <f ca="1">IF(Q402="NULL","NULL",VLOOKUP(G402,ビット!$A$2:$B$7,2))</f>
        <v>200000</v>
      </c>
      <c r="V402">
        <v>200000</v>
      </c>
      <c r="W402" s="6" t="str">
        <f t="shared" ca="1" si="13"/>
        <v>TRUE</v>
      </c>
    </row>
    <row r="403" spans="1:23" ht="21" customHeight="1" x14ac:dyDescent="0.15">
      <c r="A403" s="84">
        <v>899</v>
      </c>
      <c r="B403" s="24" t="str">
        <f ca="1">VLOOKUP($A403,OFFSET([2]characters!$A$1,0,0,COUNTA([2]characters!$A:$A),MATCH(B$1,[2]characters!$1:$1,0)-MATCH($A$1,[2]characters!$1:$1,0)+1),MATCH(B$1,[2]characters!$1:$1,0)-MATCH($A$1,[2]characters!$1:$1,0)+1,FALSE)</f>
        <v>楽園からの帰還 アザゼル</v>
      </c>
      <c r="C403" s="24" t="str">
        <f ca="1">VLOOKUP($A403,OFFSET([2]characters!$A$1,0,0,COUNTA([2]characters!$A:$A),MATCH(C$1,[2]characters!$1:$1,0)-MATCH($A$1,[2]characters!$1:$1,0)+1),MATCH(C$1,[2]characters!$1:$1,0)-MATCH($A$1,[2]characters!$1:$1,0)+1,FALSE)</f>
        <v>サンリオキャラ大集合+アザゼル</v>
      </c>
      <c r="D403" s="24" t="str">
        <f ca="1">VLOOKUP($A403,OFFSET([2]characters!$A$1,0,0,COUNTA([2]characters!$A:$A),MATCH(D$1,[2]characters!$1:$1,0)-MATCH($A$1,[2]characters!$1:$1,0)+1),MATCH(D$1,[2]characters!$1:$1,0)-MATCH($A$1,[2]characters!$1:$1,0)+1,FALSE)</f>
        <v>執行者</v>
      </c>
      <c r="E403" s="24" t="str">
        <f ca="1">VLOOKUP($A403,OFFSET([2]characters!$A$1,0,0,COUNTA([2]characters!$A:$A),MATCH(E$1,[2]characters!$1:$1,0)-MATCH($A$1,[2]characters!$1:$1,0)+1),MATCH(E$1,[2]characters!$1:$1,0)-MATCH($A$1,[2]characters!$1:$1,0)+1,FALSE)</f>
        <v>格好いい</v>
      </c>
      <c r="F403" s="24" t="str">
        <f ca="1">VLOOKUP($A403,OFFSET([2]characters!$A$1,0,0,COUNTA([2]characters!$A:$A),MATCH(F$1,[2]characters!$1:$1,0)-MATCH($A$1,[2]characters!$1:$1,0)+1),MATCH(F$1,[2]characters!$1:$1,0)-MATCH($A$1,[2]characters!$1:$1,0)+1,FALSE)</f>
        <v>男性</v>
      </c>
      <c r="G403" s="24">
        <f ca="1">VLOOKUP($A403,OFFSET([2]characters!$A$1,0,0,COUNTA([2]characters!$A:$A),MATCH(G$1,[2]characters!$1:$1,0)-MATCH($A$1,[2]characters!$1:$1,0)+1),MATCH(G$1,[2]characters!$1:$1,0)-MATCH($A$1,[2]characters!$1:$1,0)+1,FALSE)</f>
        <v>5</v>
      </c>
      <c r="H403" s="24" t="str">
        <f ca="1">VLOOKUP($A403,OFFSET([2]characters!$A$1,0,0,COUNTA([2]characters!$A:$A),MATCH(H$1,[2]characters!$1:$1,0)-MATCH($A$1,[2]characters!$1:$1,0)+1),MATCH(H$1,[2]characters!$1:$1,0)-MATCH($A$1,[2]characters!$1:$1,0)+1,FALSE)</f>
        <v>DropWizS</v>
      </c>
      <c r="I403" s="24" t="str">
        <f ca="1">VLOOKUP($A403,OFFSET([2]characters!$A$1,0,0,COUNTA([2]characters!$A:$A),MATCH(I$1,[2]characters!$1:$1,0)-MATCH($A$1,[2]characters!$1:$1,0)+1),MATCH(I$1,[2]characters!$1:$1,0)-MATCH($A$1,[2]characters!$1:$1,0)+1,FALSE)</f>
        <v>green</v>
      </c>
      <c r="J403" s="24" t="str">
        <f ca="1">VLOOKUP($A403,OFFSET([2]characters!$A$1,0,0,COUNTA([2]characters!$A:$A),MATCH(J$1,[2]characters!$1:$1,0)-MATCH($A$1,[2]characters!$1:$1,0)+1),MATCH(J$1,[2]characters!$1:$1,0)-MATCH($A$1,[2]characters!$1:$1,0)+1,FALSE)</f>
        <v>none</v>
      </c>
      <c r="K403" s="3" t="str">
        <f ca="1">VLOOKUP(J403,[2]character_tribe_i18n!$A:$H,3,FALSE)</f>
        <v>種族なし</v>
      </c>
      <c r="L403" s="5" t="e">
        <f>VLOOKUP(#REF!,[2]character_tribe_i18n!$A:$H,4,FALSE)</f>
        <v>#REF!</v>
      </c>
      <c r="M403" s="5" t="e">
        <f>VLOOKUP(#REF!,[2]character_tribe_i18n!$A:$H,5,FALSE)</f>
        <v>#REF!</v>
      </c>
      <c r="N403" s="5" t="e">
        <f>VLOOKUP(#REF!,[2]character_tribe_i18n!$A:$H,6,FALSE)</f>
        <v>#REF!</v>
      </c>
      <c r="O403" s="5" t="e">
        <f>VLOOKUP(#REF!,[2]character_tribe_i18n!$A:$H,7,FALSE)</f>
        <v>#REF!</v>
      </c>
      <c r="P403" s="83" t="s">
        <v>170</v>
      </c>
      <c r="Q403">
        <v>900</v>
      </c>
      <c r="R403" s="25" t="str">
        <f ca="1">IF(Q403="NULL","",VLOOKUP($Q403,OFFSET([2]characters!$A$1,0,0,COUNTA([2]characters!$A:$A),MATCH(R$1,[2]characters!$1:$1,0)-MATCH($A$1,[2]characters!$1:$1,0)+1),MATCH(R$1,[2]characters!$1:$1,0)-MATCH($A$1,[2]characters!$1:$1,0)+1,FALSE))</f>
        <v>桃源郷での大宴会 アザゼル</v>
      </c>
      <c r="S403" s="3">
        <f t="shared" ca="1" si="12"/>
        <v>899</v>
      </c>
      <c r="T403" s="25" t="str">
        <f ca="1">VLOOKUP($S403,OFFSET([2]characters!$A$1,0,0,COUNTA([2]characters!$A:$A),MATCH(T$1,[2]characters!$1:$1,0)-MATCH($A$1,[2]characters!$1:$1,0)+1),MATCH(T$1,[2]characters!$1:$1,0)-MATCH($A$1,[2]characters!$1:$1,0)+1,FALSE)</f>
        <v>楽園からの帰還 アザゼル</v>
      </c>
      <c r="U403" s="5">
        <f ca="1">IF(Q403="NULL","NULL",VLOOKUP(G403,ビット!$A$2:$B$7,2))</f>
        <v>200000</v>
      </c>
      <c r="V403">
        <v>200000</v>
      </c>
      <c r="W403" s="6" t="str">
        <f t="shared" ca="1" si="13"/>
        <v>TRUE</v>
      </c>
    </row>
    <row r="404" spans="1:23" ht="21" customHeight="1" x14ac:dyDescent="0.15">
      <c r="A404" s="84">
        <v>901</v>
      </c>
      <c r="B404" s="24" t="str">
        <f ca="1">VLOOKUP($A404,OFFSET([2]characters!$A$1,0,0,COUNTA([2]characters!$A:$A),MATCH(B$1,[2]characters!$1:$1,0)-MATCH($A$1,[2]characters!$1:$1,0)+1),MATCH(B$1,[2]characters!$1:$1,0)-MATCH($A$1,[2]characters!$1:$1,0)+1,FALSE)</f>
        <v>恩愛性ニムダ</v>
      </c>
      <c r="C404" s="24" t="str">
        <f ca="1">VLOOKUP($A404,OFFSET([2]characters!$A$1,0,0,COUNTA([2]characters!$A:$A),MATCH(C$1,[2]characters!$1:$1,0)-MATCH($A$1,[2]characters!$1:$1,0)+1),MATCH(C$1,[2]characters!$1:$1,0)-MATCH($A$1,[2]characters!$1:$1,0)+1,FALSE)</f>
        <v>ニムダ_サンリオキャラ混じり</v>
      </c>
      <c r="D404" s="24" t="str">
        <f ca="1">VLOOKUP($A404,OFFSET([2]characters!$A$1,0,0,COUNTA([2]characters!$A:$A),MATCH(D$1,[2]characters!$1:$1,0)-MATCH($A$1,[2]characters!$1:$1,0)+1),MATCH(D$1,[2]characters!$1:$1,0)-MATCH($A$1,[2]characters!$1:$1,0)+1,FALSE)</f>
        <v>執行者</v>
      </c>
      <c r="E404" s="24" t="str">
        <f ca="1">VLOOKUP($A404,OFFSET([2]characters!$A$1,0,0,COUNTA([2]characters!$A:$A),MATCH(E$1,[2]characters!$1:$1,0)-MATCH($A$1,[2]characters!$1:$1,0)+1),MATCH(E$1,[2]characters!$1:$1,0)-MATCH($A$1,[2]characters!$1:$1,0)+1,FALSE)</f>
        <v>格好いい</v>
      </c>
      <c r="F404" s="24" t="str">
        <f ca="1">VLOOKUP($A404,OFFSET([2]characters!$A$1,0,0,COUNTA([2]characters!$A:$A),MATCH(F$1,[2]characters!$1:$1,0)-MATCH($A$1,[2]characters!$1:$1,0)+1),MATCH(F$1,[2]characters!$1:$1,0)-MATCH($A$1,[2]characters!$1:$1,0)+1,FALSE)</f>
        <v>男性</v>
      </c>
      <c r="G404" s="24">
        <f ca="1">VLOOKUP($A404,OFFSET([2]characters!$A$1,0,0,COUNTA([2]characters!$A:$A),MATCH(G$1,[2]characters!$1:$1,0)-MATCH($A$1,[2]characters!$1:$1,0)+1),MATCH(G$1,[2]characters!$1:$1,0)-MATCH($A$1,[2]characters!$1:$1,0)+1,FALSE)</f>
        <v>4</v>
      </c>
      <c r="H404" s="24" t="str">
        <f ca="1">VLOOKUP($A404,OFFSET([2]characters!$A$1,0,0,COUNTA([2]characters!$A:$A),MATCH(H$1,[2]characters!$1:$1,0)-MATCH($A$1,[2]characters!$1:$1,0)+1),MATCH(H$1,[2]characters!$1:$1,0)-MATCH($A$1,[2]characters!$1:$1,0)+1,FALSE)</f>
        <v>Drop2N</v>
      </c>
      <c r="I404" s="24" t="str">
        <f ca="1">VLOOKUP($A404,OFFSET([2]characters!$A$1,0,0,COUNTA([2]characters!$A:$A),MATCH(I$1,[2]characters!$1:$1,0)-MATCH($A$1,[2]characters!$1:$1,0)+1),MATCH(I$1,[2]characters!$1:$1,0)-MATCH($A$1,[2]characters!$1:$1,0)+1,FALSE)</f>
        <v>yellow</v>
      </c>
      <c r="J404" s="24" t="str">
        <f ca="1">VLOOKUP($A404,OFFSET([2]characters!$A$1,0,0,COUNTA([2]characters!$A:$A),MATCH(J$1,[2]characters!$1:$1,0)-MATCH($A$1,[2]characters!$1:$1,0)+1),MATCH(J$1,[2]characters!$1:$1,0)-MATCH($A$1,[2]characters!$1:$1,0)+1,FALSE)</f>
        <v>none</v>
      </c>
      <c r="K404" s="3" t="str">
        <f ca="1">VLOOKUP(J404,[2]character_tribe_i18n!$A:$H,3,FALSE)</f>
        <v>種族なし</v>
      </c>
      <c r="L404" s="5" t="e">
        <f>VLOOKUP(#REF!,[2]character_tribe_i18n!$A:$H,4,FALSE)</f>
        <v>#REF!</v>
      </c>
      <c r="M404" s="5" t="e">
        <f>VLOOKUP(#REF!,[2]character_tribe_i18n!$A:$H,5,FALSE)</f>
        <v>#REF!</v>
      </c>
      <c r="N404" s="5" t="e">
        <f>VLOOKUP(#REF!,[2]character_tribe_i18n!$A:$H,6,FALSE)</f>
        <v>#REF!</v>
      </c>
      <c r="O404" s="5" t="e">
        <f>VLOOKUP(#REF!,[2]character_tribe_i18n!$A:$H,7,FALSE)</f>
        <v>#REF!</v>
      </c>
      <c r="P404" s="83" t="s">
        <v>170</v>
      </c>
      <c r="Q404">
        <v>902</v>
      </c>
      <c r="R404" s="25" t="str">
        <f ca="1">IF(Q404="NULL","",VLOOKUP($Q404,OFFSET([2]characters!$A$1,0,0,COUNTA([2]characters!$A:$A),MATCH(R$1,[2]characters!$1:$1,0)-MATCH($A$1,[2]characters!$1:$1,0)+1),MATCH(R$1,[2]characters!$1:$1,0)-MATCH($A$1,[2]characters!$1:$1,0)+1,FALSE))</f>
        <v>集団恩愛性ニムダL</v>
      </c>
      <c r="S404" s="3">
        <f t="shared" ca="1" si="12"/>
        <v>901</v>
      </c>
      <c r="T404" s="25" t="str">
        <f ca="1">VLOOKUP($S404,OFFSET([2]characters!$A$1,0,0,COUNTA([2]characters!$A:$A),MATCH(T$1,[2]characters!$1:$1,0)-MATCH($A$1,[2]characters!$1:$1,0)+1),MATCH(T$1,[2]characters!$1:$1,0)-MATCH($A$1,[2]characters!$1:$1,0)+1,FALSE)</f>
        <v>恩愛性ニムダ</v>
      </c>
      <c r="U404" s="5">
        <f ca="1">IF(Q404="NULL","NULL",VLOOKUP(G404,ビット!$A$2:$B$7,2))</f>
        <v>50000</v>
      </c>
      <c r="V404">
        <v>50000</v>
      </c>
      <c r="W404" s="6" t="str">
        <f t="shared" ca="1" si="13"/>
        <v>TRUE</v>
      </c>
    </row>
    <row r="405" spans="1:23" ht="21" customHeight="1" x14ac:dyDescent="0.15">
      <c r="A405" s="84">
        <v>903</v>
      </c>
      <c r="B405" s="24" t="str">
        <f ca="1">VLOOKUP($A405,OFFSET([2]characters!$A$1,0,0,COUNTA([2]characters!$A:$A),MATCH(B$1,[2]characters!$1:$1,0)-MATCH($A$1,[2]characters!$1:$1,0)+1),MATCH(B$1,[2]characters!$1:$1,0)-MATCH($A$1,[2]characters!$1:$1,0)+1,FALSE)</f>
        <v>ハローキティ</v>
      </c>
      <c r="C405" s="24" t="str">
        <f ca="1">VLOOKUP($A405,OFFSET([2]characters!$A$1,0,0,COUNTA([2]characters!$A:$A),MATCH(C$1,[2]characters!$1:$1,0)-MATCH($A$1,[2]characters!$1:$1,0)+1),MATCH(C$1,[2]characters!$1:$1,0)-MATCH($A$1,[2]characters!$1:$1,0)+1,FALSE)</f>
        <v>ハローキティ</v>
      </c>
      <c r="D405" s="24" t="str">
        <f ca="1">VLOOKUP($A405,OFFSET([2]characters!$A$1,0,0,COUNTA([2]characters!$A:$A),MATCH(D$1,[2]characters!$1:$1,0)-MATCH($A$1,[2]characters!$1:$1,0)+1),MATCH(D$1,[2]characters!$1:$1,0)-MATCH($A$1,[2]characters!$1:$1,0)+1,FALSE)</f>
        <v>執行者</v>
      </c>
      <c r="E405" s="24" t="str">
        <f ca="1">VLOOKUP($A405,OFFSET([2]characters!$A$1,0,0,COUNTA([2]characters!$A:$A),MATCH(E$1,[2]characters!$1:$1,0)-MATCH($A$1,[2]characters!$1:$1,0)+1),MATCH(E$1,[2]characters!$1:$1,0)-MATCH($A$1,[2]characters!$1:$1,0)+1,FALSE)</f>
        <v>格好いい</v>
      </c>
      <c r="F405" s="24" t="str">
        <f ca="1">VLOOKUP($A405,OFFSET([2]characters!$A$1,0,0,COUNTA([2]characters!$A:$A),MATCH(F$1,[2]characters!$1:$1,0)-MATCH($A$1,[2]characters!$1:$1,0)+1),MATCH(F$1,[2]characters!$1:$1,0)-MATCH($A$1,[2]characters!$1:$1,0)+1,FALSE)</f>
        <v>男性</v>
      </c>
      <c r="G405" s="24">
        <f ca="1">VLOOKUP($A405,OFFSET([2]characters!$A$1,0,0,COUNTA([2]characters!$A:$A),MATCH(G$1,[2]characters!$1:$1,0)-MATCH($A$1,[2]characters!$1:$1,0)+1),MATCH(G$1,[2]characters!$1:$1,0)-MATCH($A$1,[2]characters!$1:$1,0)+1,FALSE)</f>
        <v>4</v>
      </c>
      <c r="H405" s="24" t="str">
        <f ca="1">VLOOKUP($A405,OFFSET([2]characters!$A$1,0,0,COUNTA([2]characters!$A:$A),MATCH(H$1,[2]characters!$1:$1,0)-MATCH($A$1,[2]characters!$1:$1,0)+1),MATCH(H$1,[2]characters!$1:$1,0)-MATCH($A$1,[2]characters!$1:$1,0)+1,FALSE)</f>
        <v>Drop2N</v>
      </c>
      <c r="I405" s="24" t="str">
        <f ca="1">VLOOKUP($A405,OFFSET([2]characters!$A$1,0,0,COUNTA([2]characters!$A:$A),MATCH(I$1,[2]characters!$1:$1,0)-MATCH($A$1,[2]characters!$1:$1,0)+1),MATCH(I$1,[2]characters!$1:$1,0)-MATCH($A$1,[2]characters!$1:$1,0)+1,FALSE)</f>
        <v>red</v>
      </c>
      <c r="J405" s="24" t="str">
        <f ca="1">VLOOKUP($A405,OFFSET([2]characters!$A$1,0,0,COUNTA([2]characters!$A:$A),MATCH(J$1,[2]characters!$1:$1,0)-MATCH($A$1,[2]characters!$1:$1,0)+1),MATCH(J$1,[2]characters!$1:$1,0)-MATCH($A$1,[2]characters!$1:$1,0)+1,FALSE)</f>
        <v>none</v>
      </c>
      <c r="K405" s="3" t="str">
        <f ca="1">VLOOKUP(J405,[2]character_tribe_i18n!$A:$H,3,FALSE)</f>
        <v>種族なし</v>
      </c>
      <c r="L405" s="5" t="e">
        <f>VLOOKUP(#REF!,[2]character_tribe_i18n!$A:$H,4,FALSE)</f>
        <v>#REF!</v>
      </c>
      <c r="M405" s="5" t="e">
        <f>VLOOKUP(#REF!,[2]character_tribe_i18n!$A:$H,5,FALSE)</f>
        <v>#REF!</v>
      </c>
      <c r="N405" s="5" t="e">
        <f>VLOOKUP(#REF!,[2]character_tribe_i18n!$A:$H,6,FALSE)</f>
        <v>#REF!</v>
      </c>
      <c r="O405" s="5" t="e">
        <f>VLOOKUP(#REF!,[2]character_tribe_i18n!$A:$H,7,FALSE)</f>
        <v>#REF!</v>
      </c>
      <c r="P405" s="83" t="s">
        <v>170</v>
      </c>
      <c r="Q405">
        <v>904</v>
      </c>
      <c r="R405" s="25" t="str">
        <f ca="1">IF(Q405="NULL","",VLOOKUP($Q405,OFFSET([2]characters!$A$1,0,0,COUNTA([2]characters!$A:$A),MATCH(R$1,[2]characters!$1:$1,0)-MATCH($A$1,[2]characters!$1:$1,0)+1),MATCH(R$1,[2]characters!$1:$1,0)-MATCH($A$1,[2]characters!$1:$1,0)+1,FALSE))</f>
        <v>りんごの馬車　ハローキティ</v>
      </c>
      <c r="S405" s="3">
        <f t="shared" ca="1" si="12"/>
        <v>903</v>
      </c>
      <c r="T405" s="25" t="str">
        <f ca="1">VLOOKUP($S405,OFFSET([2]characters!$A$1,0,0,COUNTA([2]characters!$A:$A),MATCH(T$1,[2]characters!$1:$1,0)-MATCH($A$1,[2]characters!$1:$1,0)+1),MATCH(T$1,[2]characters!$1:$1,0)-MATCH($A$1,[2]characters!$1:$1,0)+1,FALSE)</f>
        <v>ハローキティ</v>
      </c>
      <c r="U405" s="5">
        <f ca="1">IF(Q405="NULL","NULL",VLOOKUP(G405,ビット!$A$2:$B$7,2))</f>
        <v>50000</v>
      </c>
      <c r="V405">
        <v>50000</v>
      </c>
      <c r="W405" s="6" t="str">
        <f t="shared" ca="1" si="13"/>
        <v>TRUE</v>
      </c>
    </row>
    <row r="406" spans="1:23" ht="21" customHeight="1" x14ac:dyDescent="0.15">
      <c r="A406" s="84">
        <v>905</v>
      </c>
      <c r="B406" s="24" t="str">
        <f ca="1">VLOOKUP($A406,OFFSET([2]characters!$A$1,0,0,COUNTA([2]characters!$A:$A),MATCH(B$1,[2]characters!$1:$1,0)-MATCH($A$1,[2]characters!$1:$1,0)+1),MATCH(B$1,[2]characters!$1:$1,0)-MATCH($A$1,[2]characters!$1:$1,0)+1,FALSE)</f>
        <v>KIRIMIちゃん.</v>
      </c>
      <c r="C406" s="24" t="str">
        <f ca="1">VLOOKUP($A406,OFFSET([2]characters!$A$1,0,0,COUNTA([2]characters!$A:$A),MATCH(C$1,[2]characters!$1:$1,0)-MATCH($A$1,[2]characters!$1:$1,0)+1),MATCH(C$1,[2]characters!$1:$1,0)-MATCH($A$1,[2]characters!$1:$1,0)+1,FALSE)</f>
        <v>KIRIMIちゃん</v>
      </c>
      <c r="D406" s="24" t="str">
        <f ca="1">VLOOKUP($A406,OFFSET([2]characters!$A$1,0,0,COUNTA([2]characters!$A:$A),MATCH(D$1,[2]characters!$1:$1,0)-MATCH($A$1,[2]characters!$1:$1,0)+1),MATCH(D$1,[2]characters!$1:$1,0)-MATCH($A$1,[2]characters!$1:$1,0)+1,FALSE)</f>
        <v>執行者</v>
      </c>
      <c r="E406" s="24" t="str">
        <f ca="1">VLOOKUP($A406,OFFSET([2]characters!$A$1,0,0,COUNTA([2]characters!$A:$A),MATCH(E$1,[2]characters!$1:$1,0)-MATCH($A$1,[2]characters!$1:$1,0)+1),MATCH(E$1,[2]characters!$1:$1,0)-MATCH($A$1,[2]characters!$1:$1,0)+1,FALSE)</f>
        <v>格好いい</v>
      </c>
      <c r="F406" s="24" t="str">
        <f ca="1">VLOOKUP($A406,OFFSET([2]characters!$A$1,0,0,COUNTA([2]characters!$A:$A),MATCH(F$1,[2]characters!$1:$1,0)-MATCH($A$1,[2]characters!$1:$1,0)+1),MATCH(F$1,[2]characters!$1:$1,0)-MATCH($A$1,[2]characters!$1:$1,0)+1,FALSE)</f>
        <v>男性</v>
      </c>
      <c r="G406" s="24">
        <f ca="1">VLOOKUP($A406,OFFSET([2]characters!$A$1,0,0,COUNTA([2]characters!$A:$A),MATCH(G$1,[2]characters!$1:$1,0)-MATCH($A$1,[2]characters!$1:$1,0)+1),MATCH(G$1,[2]characters!$1:$1,0)-MATCH($A$1,[2]characters!$1:$1,0)+1,FALSE)</f>
        <v>4</v>
      </c>
      <c r="H406" s="24" t="str">
        <f ca="1">VLOOKUP($A406,OFFSET([2]characters!$A$1,0,0,COUNTA([2]characters!$A:$A),MATCH(H$1,[2]characters!$1:$1,0)-MATCH($A$1,[2]characters!$1:$1,0)+1),MATCH(H$1,[2]characters!$1:$1,0)-MATCH($A$1,[2]characters!$1:$1,0)+1,FALSE)</f>
        <v>Drop2N</v>
      </c>
      <c r="I406" s="24" t="str">
        <f ca="1">VLOOKUP($A406,OFFSET([2]characters!$A$1,0,0,COUNTA([2]characters!$A:$A),MATCH(I$1,[2]characters!$1:$1,0)-MATCH($A$1,[2]characters!$1:$1,0)+1),MATCH(I$1,[2]characters!$1:$1,0)-MATCH($A$1,[2]characters!$1:$1,0)+1,FALSE)</f>
        <v>red</v>
      </c>
      <c r="J406" s="24" t="str">
        <f ca="1">VLOOKUP($A406,OFFSET([2]characters!$A$1,0,0,COUNTA([2]characters!$A:$A),MATCH(J$1,[2]characters!$1:$1,0)-MATCH($A$1,[2]characters!$1:$1,0)+1),MATCH(J$1,[2]characters!$1:$1,0)-MATCH($A$1,[2]characters!$1:$1,0)+1,FALSE)</f>
        <v>none</v>
      </c>
      <c r="K406" s="3" t="str">
        <f ca="1">VLOOKUP(J406,[2]character_tribe_i18n!$A:$H,3,FALSE)</f>
        <v>種族なし</v>
      </c>
      <c r="L406" s="5" t="e">
        <f>VLOOKUP(#REF!,[2]character_tribe_i18n!$A:$H,4,FALSE)</f>
        <v>#REF!</v>
      </c>
      <c r="M406" s="5" t="e">
        <f>VLOOKUP(#REF!,[2]character_tribe_i18n!$A:$H,5,FALSE)</f>
        <v>#REF!</v>
      </c>
      <c r="N406" s="5" t="e">
        <f>VLOOKUP(#REF!,[2]character_tribe_i18n!$A:$H,6,FALSE)</f>
        <v>#REF!</v>
      </c>
      <c r="O406" s="5" t="e">
        <f>VLOOKUP(#REF!,[2]character_tribe_i18n!$A:$H,7,FALSE)</f>
        <v>#REF!</v>
      </c>
      <c r="P406" s="83" t="s">
        <v>170</v>
      </c>
      <c r="Q406">
        <v>906</v>
      </c>
      <c r="R406" s="25" t="str">
        <f ca="1">IF(Q406="NULL","",VLOOKUP($Q406,OFFSET([2]characters!$A$1,0,0,COUNTA([2]characters!$A:$A),MATCH(R$1,[2]characters!$1:$1,0)-MATCH($A$1,[2]characters!$1:$1,0)+1),MATCH(R$1,[2]characters!$1:$1,0)-MATCH($A$1,[2]characters!$1:$1,0)+1,FALSE))</f>
        <v>おいしくたべてね KIRIMIちゃん.</v>
      </c>
      <c r="S406" s="3">
        <f t="shared" ca="1" si="12"/>
        <v>905</v>
      </c>
      <c r="T406" s="25" t="str">
        <f ca="1">VLOOKUP($S406,OFFSET([2]characters!$A$1,0,0,COUNTA([2]characters!$A:$A),MATCH(T$1,[2]characters!$1:$1,0)-MATCH($A$1,[2]characters!$1:$1,0)+1),MATCH(T$1,[2]characters!$1:$1,0)-MATCH($A$1,[2]characters!$1:$1,0)+1,FALSE)</f>
        <v>KIRIMIちゃん.</v>
      </c>
      <c r="U406" s="5">
        <f ca="1">IF(Q406="NULL","NULL",VLOOKUP(G406,ビット!$A$2:$B$7,2))</f>
        <v>50000</v>
      </c>
      <c r="V406">
        <v>50000</v>
      </c>
      <c r="W406" s="6" t="str">
        <f t="shared" ca="1" si="13"/>
        <v>TRUE</v>
      </c>
    </row>
    <row r="407" spans="1:23" ht="21" customHeight="1" x14ac:dyDescent="0.15">
      <c r="A407" s="84">
        <v>909</v>
      </c>
      <c r="B407" s="24" t="str">
        <f ca="1">VLOOKUP($A407,OFFSET([2]characters!$A$1,0,0,COUNTA([2]characters!$A:$A),MATCH(B$1,[2]characters!$1:$1,0)-MATCH($A$1,[2]characters!$1:$1,0)+1),MATCH(B$1,[2]characters!$1:$1,0)-MATCH($A$1,[2]characters!$1:$1,0)+1,FALSE)</f>
        <v>光愛の弾幕 D.R.T.H.</v>
      </c>
      <c r="C407" s="24" t="str">
        <f ca="1">VLOOKUP($A407,OFFSET([2]characters!$A$1,0,0,COUNTA([2]characters!$A:$A),MATCH(C$1,[2]characters!$1:$1,0)-MATCH($A$1,[2]characters!$1:$1,0)+1),MATCH(C$1,[2]characters!$1:$1,0)-MATCH($A$1,[2]characters!$1:$1,0)+1,FALSE)</f>
        <v>D.R.T.H__キティコスプレ</v>
      </c>
      <c r="D407" s="24" t="str">
        <f ca="1">VLOOKUP($A407,OFFSET([2]characters!$A$1,0,0,COUNTA([2]characters!$A:$A),MATCH(D$1,[2]characters!$1:$1,0)-MATCH($A$1,[2]characters!$1:$1,0)+1),MATCH(D$1,[2]characters!$1:$1,0)-MATCH($A$1,[2]characters!$1:$1,0)+1,FALSE)</f>
        <v>執行者</v>
      </c>
      <c r="E407" s="24" t="str">
        <f ca="1">VLOOKUP($A407,OFFSET([2]characters!$A$1,0,0,COUNTA([2]characters!$A:$A),MATCH(E$1,[2]characters!$1:$1,0)-MATCH($A$1,[2]characters!$1:$1,0)+1),MATCH(E$1,[2]characters!$1:$1,0)-MATCH($A$1,[2]characters!$1:$1,0)+1,FALSE)</f>
        <v>格好いい</v>
      </c>
      <c r="F407" s="24" t="str">
        <f ca="1">VLOOKUP($A407,OFFSET([2]characters!$A$1,0,0,COUNTA([2]characters!$A:$A),MATCH(F$1,[2]characters!$1:$1,0)-MATCH($A$1,[2]characters!$1:$1,0)+1),MATCH(F$1,[2]characters!$1:$1,0)-MATCH($A$1,[2]characters!$1:$1,0)+1,FALSE)</f>
        <v>男性</v>
      </c>
      <c r="G407" s="24">
        <f ca="1">VLOOKUP($A407,OFFSET([2]characters!$A$1,0,0,COUNTA([2]characters!$A:$A),MATCH(G$1,[2]characters!$1:$1,0)-MATCH($A$1,[2]characters!$1:$1,0)+1),MATCH(G$1,[2]characters!$1:$1,0)-MATCH($A$1,[2]characters!$1:$1,0)+1,FALSE)</f>
        <v>5</v>
      </c>
      <c r="H407" s="24" t="str">
        <f ca="1">VLOOKUP($A407,OFFSET([2]characters!$A$1,0,0,COUNTA([2]characters!$A:$A),MATCH(H$1,[2]characters!$1:$1,0)-MATCH($A$1,[2]characters!$1:$1,0)+1),MATCH(H$1,[2]characters!$1:$1,0)-MATCH($A$1,[2]characters!$1:$1,0)+1,FALSE)</f>
        <v>PremiumSS</v>
      </c>
      <c r="I407" s="24" t="str">
        <f ca="1">VLOOKUP($A407,OFFSET([2]characters!$A$1,0,0,COUNTA([2]characters!$A:$A),MATCH(I$1,[2]characters!$1:$1,0)-MATCH($A$1,[2]characters!$1:$1,0)+1),MATCH(I$1,[2]characters!$1:$1,0)-MATCH($A$1,[2]characters!$1:$1,0)+1,FALSE)</f>
        <v>red</v>
      </c>
      <c r="J407" s="24" t="str">
        <f ca="1">VLOOKUP($A407,OFFSET([2]characters!$A$1,0,0,COUNTA([2]characters!$A:$A),MATCH(J$1,[2]characters!$1:$1,0)-MATCH($A$1,[2]characters!$1:$1,0)+1),MATCH(J$1,[2]characters!$1:$1,0)-MATCH($A$1,[2]characters!$1:$1,0)+1,FALSE)</f>
        <v>none</v>
      </c>
      <c r="K407" s="3" t="str">
        <f ca="1">VLOOKUP(J407,[2]character_tribe_i18n!$A:$H,3,FALSE)</f>
        <v>種族なし</v>
      </c>
      <c r="L407" s="5" t="e">
        <f>VLOOKUP(#REF!,[2]character_tribe_i18n!$A:$H,4,FALSE)</f>
        <v>#REF!</v>
      </c>
      <c r="M407" s="5" t="e">
        <f>VLOOKUP(#REF!,[2]character_tribe_i18n!$A:$H,5,FALSE)</f>
        <v>#REF!</v>
      </c>
      <c r="N407" s="5" t="e">
        <f>VLOOKUP(#REF!,[2]character_tribe_i18n!$A:$H,6,FALSE)</f>
        <v>#REF!</v>
      </c>
      <c r="O407" s="5" t="e">
        <f>VLOOKUP(#REF!,[2]character_tribe_i18n!$A:$H,7,FALSE)</f>
        <v>#REF!</v>
      </c>
      <c r="P407" s="83" t="s">
        <v>170</v>
      </c>
      <c r="Q407">
        <v>910</v>
      </c>
      <c r="R407" s="25" t="str">
        <f ca="1">IF(Q407="NULL","",VLOOKUP($Q407,OFFSET([2]characters!$A$1,0,0,COUNTA([2]characters!$A:$A),MATCH(R$1,[2]characters!$1:$1,0)-MATCH($A$1,[2]characters!$1:$1,0)+1),MATCH(R$1,[2]characters!$1:$1,0)-MATCH($A$1,[2]characters!$1:$1,0)+1,FALSE))</f>
        <v>輝愛の大弾幕 D.R.T.H.</v>
      </c>
      <c r="S407" s="3">
        <f t="shared" ca="1" si="12"/>
        <v>909</v>
      </c>
      <c r="T407" s="25" t="str">
        <f ca="1">VLOOKUP($S407,OFFSET([2]characters!$A$1,0,0,COUNTA([2]characters!$A:$A),MATCH(T$1,[2]characters!$1:$1,0)-MATCH($A$1,[2]characters!$1:$1,0)+1),MATCH(T$1,[2]characters!$1:$1,0)-MATCH($A$1,[2]characters!$1:$1,0)+1,FALSE)</f>
        <v>光愛の弾幕 D.R.T.H.</v>
      </c>
      <c r="U407" s="5">
        <f ca="1">IF(Q407="NULL","NULL",VLOOKUP(G407,ビット!$A$2:$B$7,2))</f>
        <v>200000</v>
      </c>
      <c r="V407">
        <v>200000</v>
      </c>
      <c r="W407" s="6" t="str">
        <f t="shared" ca="1" si="13"/>
        <v>TRUE</v>
      </c>
    </row>
    <row r="408" spans="1:23" ht="21" customHeight="1" x14ac:dyDescent="0.15">
      <c r="A408" s="84">
        <v>911</v>
      </c>
      <c r="B408" s="24" t="str">
        <f ca="1">VLOOKUP($A408,OFFSET([2]characters!$A$1,0,0,COUNTA([2]characters!$A:$A),MATCH(B$1,[2]characters!$1:$1,0)-MATCH($A$1,[2]characters!$1:$1,0)+1),MATCH(B$1,[2]characters!$1:$1,0)-MATCH($A$1,[2]characters!$1:$1,0)+1,FALSE)</f>
        <v>マイメロディ</v>
      </c>
      <c r="C408" s="24" t="str">
        <f ca="1">VLOOKUP($A408,OFFSET([2]characters!$A$1,0,0,COUNTA([2]characters!$A:$A),MATCH(C$1,[2]characters!$1:$1,0)-MATCH($A$1,[2]characters!$1:$1,0)+1),MATCH(C$1,[2]characters!$1:$1,0)-MATCH($A$1,[2]characters!$1:$1,0)+1,FALSE)</f>
        <v>マイメロディ</v>
      </c>
      <c r="D408" s="24" t="str">
        <f ca="1">VLOOKUP($A408,OFFSET([2]characters!$A$1,0,0,COUNTA([2]characters!$A:$A),MATCH(D$1,[2]characters!$1:$1,0)-MATCH($A$1,[2]characters!$1:$1,0)+1),MATCH(D$1,[2]characters!$1:$1,0)-MATCH($A$1,[2]characters!$1:$1,0)+1,FALSE)</f>
        <v>執行者</v>
      </c>
      <c r="E408" s="24" t="str">
        <f ca="1">VLOOKUP($A408,OFFSET([2]characters!$A$1,0,0,COUNTA([2]characters!$A:$A),MATCH(E$1,[2]characters!$1:$1,0)-MATCH($A$1,[2]characters!$1:$1,0)+1),MATCH(E$1,[2]characters!$1:$1,0)-MATCH($A$1,[2]characters!$1:$1,0)+1,FALSE)</f>
        <v>格好いい</v>
      </c>
      <c r="F408" s="24" t="str">
        <f ca="1">VLOOKUP($A408,OFFSET([2]characters!$A$1,0,0,COUNTA([2]characters!$A:$A),MATCH(F$1,[2]characters!$1:$1,0)-MATCH($A$1,[2]characters!$1:$1,0)+1),MATCH(F$1,[2]characters!$1:$1,0)-MATCH($A$1,[2]characters!$1:$1,0)+1,FALSE)</f>
        <v>男性</v>
      </c>
      <c r="G408" s="24">
        <f ca="1">VLOOKUP($A408,OFFSET([2]characters!$A$1,0,0,COUNTA([2]characters!$A:$A),MATCH(G$1,[2]characters!$1:$1,0)-MATCH($A$1,[2]characters!$1:$1,0)+1),MATCH(G$1,[2]characters!$1:$1,0)-MATCH($A$1,[2]characters!$1:$1,0)+1,FALSE)</f>
        <v>4</v>
      </c>
      <c r="H408" s="24" t="str">
        <f ca="1">VLOOKUP($A408,OFFSET([2]characters!$A$1,0,0,COUNTA([2]characters!$A:$A),MATCH(H$1,[2]characters!$1:$1,0)-MATCH($A$1,[2]characters!$1:$1,0)+1),MATCH(H$1,[2]characters!$1:$1,0)-MATCH($A$1,[2]characters!$1:$1,0)+1,FALSE)</f>
        <v>PremiumS</v>
      </c>
      <c r="I408" s="24" t="str">
        <f ca="1">VLOOKUP($A408,OFFSET([2]characters!$A$1,0,0,COUNTA([2]characters!$A:$A),MATCH(I$1,[2]characters!$1:$1,0)-MATCH($A$1,[2]characters!$1:$1,0)+1),MATCH(I$1,[2]characters!$1:$1,0)-MATCH($A$1,[2]characters!$1:$1,0)+1,FALSE)</f>
        <v>red</v>
      </c>
      <c r="J408" s="24" t="str">
        <f ca="1">VLOOKUP($A408,OFFSET([2]characters!$A$1,0,0,COUNTA([2]characters!$A:$A),MATCH(J$1,[2]characters!$1:$1,0)-MATCH($A$1,[2]characters!$1:$1,0)+1),MATCH(J$1,[2]characters!$1:$1,0)-MATCH($A$1,[2]characters!$1:$1,0)+1,FALSE)</f>
        <v>none</v>
      </c>
      <c r="K408" s="3" t="str">
        <f ca="1">VLOOKUP(J408,[2]character_tribe_i18n!$A:$H,3,FALSE)</f>
        <v>種族なし</v>
      </c>
      <c r="L408" s="5" t="e">
        <f>VLOOKUP(#REF!,[2]character_tribe_i18n!$A:$H,4,FALSE)</f>
        <v>#REF!</v>
      </c>
      <c r="M408" s="5" t="e">
        <f>VLOOKUP(#REF!,[2]character_tribe_i18n!$A:$H,5,FALSE)</f>
        <v>#REF!</v>
      </c>
      <c r="N408" s="5" t="e">
        <f>VLOOKUP(#REF!,[2]character_tribe_i18n!$A:$H,6,FALSE)</f>
        <v>#REF!</v>
      </c>
      <c r="O408" s="5" t="e">
        <f>VLOOKUP(#REF!,[2]character_tribe_i18n!$A:$H,7,FALSE)</f>
        <v>#REF!</v>
      </c>
      <c r="P408" s="83" t="s">
        <v>170</v>
      </c>
      <c r="Q408">
        <v>912</v>
      </c>
      <c r="R408" s="25" t="str">
        <f ca="1">IF(Q408="NULL","",VLOOKUP($Q408,OFFSET([2]characters!$A$1,0,0,COUNTA([2]characters!$A:$A),MATCH(R$1,[2]characters!$1:$1,0)-MATCH($A$1,[2]characters!$1:$1,0)+1),MATCH(R$1,[2]characters!$1:$1,0)-MATCH($A$1,[2]characters!$1:$1,0)+1,FALSE))</f>
        <v>フラットくんと一緒 マイメロディ</v>
      </c>
      <c r="S408" s="3">
        <f t="shared" ca="1" si="12"/>
        <v>911</v>
      </c>
      <c r="T408" s="25" t="str">
        <f ca="1">VLOOKUP($S408,OFFSET([2]characters!$A$1,0,0,COUNTA([2]characters!$A:$A),MATCH(T$1,[2]characters!$1:$1,0)-MATCH($A$1,[2]characters!$1:$1,0)+1),MATCH(T$1,[2]characters!$1:$1,0)-MATCH($A$1,[2]characters!$1:$1,0)+1,FALSE)</f>
        <v>マイメロディ</v>
      </c>
      <c r="U408" s="5">
        <f ca="1">IF(Q408="NULL","NULL",VLOOKUP(G408,ビット!$A$2:$B$7,2))</f>
        <v>50000</v>
      </c>
      <c r="V408">
        <v>50000</v>
      </c>
      <c r="W408" s="6" t="str">
        <f t="shared" ca="1" si="13"/>
        <v>TRUE</v>
      </c>
    </row>
    <row r="409" spans="1:23" ht="21" customHeight="1" x14ac:dyDescent="0.15">
      <c r="A409" s="84">
        <v>913</v>
      </c>
      <c r="B409" s="24" t="str">
        <f ca="1">VLOOKUP($A409,OFFSET([2]characters!$A$1,0,0,COUNTA([2]characters!$A:$A),MATCH(B$1,[2]characters!$1:$1,0)-MATCH($A$1,[2]characters!$1:$1,0)+1),MATCH(B$1,[2]characters!$1:$1,0)-MATCH($A$1,[2]characters!$1:$1,0)+1,FALSE)</f>
        <v>幸福の縁廻　ニーベルゲン</v>
      </c>
      <c r="C409" s="24" t="str">
        <f ca="1">VLOOKUP($A409,OFFSET([2]characters!$A$1,0,0,COUNTA([2]characters!$A:$A),MATCH(C$1,[2]characters!$1:$1,0)-MATCH($A$1,[2]characters!$1:$1,0)+1),MATCH(C$1,[2]characters!$1:$1,0)-MATCH($A$1,[2]characters!$1:$1,0)+1,FALSE)</f>
        <v>ニーベルゲン_シナモロールコスプレ</v>
      </c>
      <c r="D409" s="24" t="str">
        <f ca="1">VLOOKUP($A409,OFFSET([2]characters!$A$1,0,0,COUNTA([2]characters!$A:$A),MATCH(D$1,[2]characters!$1:$1,0)-MATCH($A$1,[2]characters!$1:$1,0)+1),MATCH(D$1,[2]characters!$1:$1,0)-MATCH($A$1,[2]characters!$1:$1,0)+1,FALSE)</f>
        <v>執行者</v>
      </c>
      <c r="E409" s="24" t="str">
        <f ca="1">VLOOKUP($A409,OFFSET([2]characters!$A$1,0,0,COUNTA([2]characters!$A:$A),MATCH(E$1,[2]characters!$1:$1,0)-MATCH($A$1,[2]characters!$1:$1,0)+1),MATCH(E$1,[2]characters!$1:$1,0)-MATCH($A$1,[2]characters!$1:$1,0)+1,FALSE)</f>
        <v>格好いい</v>
      </c>
      <c r="F409" s="24" t="str">
        <f ca="1">VLOOKUP($A409,OFFSET([2]characters!$A$1,0,0,COUNTA([2]characters!$A:$A),MATCH(F$1,[2]characters!$1:$1,0)-MATCH($A$1,[2]characters!$1:$1,0)+1),MATCH(F$1,[2]characters!$1:$1,0)-MATCH($A$1,[2]characters!$1:$1,0)+1,FALSE)</f>
        <v>男性</v>
      </c>
      <c r="G409" s="24">
        <f ca="1">VLOOKUP($A409,OFFSET([2]characters!$A$1,0,0,COUNTA([2]characters!$A:$A),MATCH(G$1,[2]characters!$1:$1,0)-MATCH($A$1,[2]characters!$1:$1,0)+1),MATCH(G$1,[2]characters!$1:$1,0)-MATCH($A$1,[2]characters!$1:$1,0)+1,FALSE)</f>
        <v>4</v>
      </c>
      <c r="H409" s="24" t="str">
        <f ca="1">VLOOKUP($A409,OFFSET([2]characters!$A$1,0,0,COUNTA([2]characters!$A:$A),MATCH(H$1,[2]characters!$1:$1,0)-MATCH($A$1,[2]characters!$1:$1,0)+1),MATCH(H$1,[2]characters!$1:$1,0)-MATCH($A$1,[2]characters!$1:$1,0)+1,FALSE)</f>
        <v>PremiumS</v>
      </c>
      <c r="I409" s="24" t="str">
        <f ca="1">VLOOKUP($A409,OFFSET([2]characters!$A$1,0,0,COUNTA([2]characters!$A:$A),MATCH(I$1,[2]characters!$1:$1,0)-MATCH($A$1,[2]characters!$1:$1,0)+1),MATCH(I$1,[2]characters!$1:$1,0)-MATCH($A$1,[2]characters!$1:$1,0)+1,FALSE)</f>
        <v>green</v>
      </c>
      <c r="J409" s="24" t="str">
        <f ca="1">VLOOKUP($A409,OFFSET([2]characters!$A$1,0,0,COUNTA([2]characters!$A:$A),MATCH(J$1,[2]characters!$1:$1,0)-MATCH($A$1,[2]characters!$1:$1,0)+1),MATCH(J$1,[2]characters!$1:$1,0)-MATCH($A$1,[2]characters!$1:$1,0)+1,FALSE)</f>
        <v>none</v>
      </c>
      <c r="K409" s="3" t="str">
        <f ca="1">VLOOKUP(J409,[2]character_tribe_i18n!$A:$H,3,FALSE)</f>
        <v>種族なし</v>
      </c>
      <c r="L409" s="5" t="e">
        <f>VLOOKUP(#REF!,[2]character_tribe_i18n!$A:$H,4,FALSE)</f>
        <v>#REF!</v>
      </c>
      <c r="M409" s="5" t="e">
        <f>VLOOKUP(#REF!,[2]character_tribe_i18n!$A:$H,5,FALSE)</f>
        <v>#REF!</v>
      </c>
      <c r="N409" s="5" t="e">
        <f>VLOOKUP(#REF!,[2]character_tribe_i18n!$A:$H,6,FALSE)</f>
        <v>#REF!</v>
      </c>
      <c r="O409" s="5" t="e">
        <f>VLOOKUP(#REF!,[2]character_tribe_i18n!$A:$H,7,FALSE)</f>
        <v>#REF!</v>
      </c>
      <c r="P409" s="83" t="s">
        <v>170</v>
      </c>
      <c r="Q409">
        <v>914</v>
      </c>
      <c r="R409" s="25" t="str">
        <f ca="1">IF(Q409="NULL","",VLOOKUP($Q409,OFFSET([2]characters!$A$1,0,0,COUNTA([2]characters!$A:$A),MATCH(R$1,[2]characters!$1:$1,0)-MATCH($A$1,[2]characters!$1:$1,0)+1),MATCH(R$1,[2]characters!$1:$1,0)-MATCH($A$1,[2]characters!$1:$1,0)+1,FALSE))</f>
        <v>淡色を廻る倖せ　ニーベルゲン</v>
      </c>
      <c r="S409" s="3">
        <f t="shared" ca="1" si="12"/>
        <v>913</v>
      </c>
      <c r="T409" s="25" t="str">
        <f ca="1">VLOOKUP($S409,OFFSET([2]characters!$A$1,0,0,COUNTA([2]characters!$A:$A),MATCH(T$1,[2]characters!$1:$1,0)-MATCH($A$1,[2]characters!$1:$1,0)+1),MATCH(T$1,[2]characters!$1:$1,0)-MATCH($A$1,[2]characters!$1:$1,0)+1,FALSE)</f>
        <v>幸福の縁廻　ニーベルゲン</v>
      </c>
      <c r="U409" s="5">
        <f ca="1">IF(Q409="NULL","NULL",VLOOKUP(G409,ビット!$A$2:$B$7,2))</f>
        <v>50000</v>
      </c>
      <c r="V409">
        <v>50000</v>
      </c>
      <c r="W409" s="6" t="str">
        <f t="shared" ref="W409:W417" ca="1" si="14">IF(U409=V409,"TRUE","FALSE")</f>
        <v>TRUE</v>
      </c>
    </row>
    <row r="410" spans="1:23" ht="21" customHeight="1" x14ac:dyDescent="0.15">
      <c r="A410" s="84">
        <v>915</v>
      </c>
      <c r="B410" s="24" t="str">
        <f ca="1">VLOOKUP($A410,OFFSET([2]characters!$A$1,0,0,COUNTA([2]characters!$A:$A),MATCH(B$1,[2]characters!$1:$1,0)-MATCH($A$1,[2]characters!$1:$1,0)+1),MATCH(B$1,[2]characters!$1:$1,0)-MATCH($A$1,[2]characters!$1:$1,0)+1,FALSE)</f>
        <v>休息者　カカシ</v>
      </c>
      <c r="C410" s="24" t="str">
        <f ca="1">VLOOKUP($A410,OFFSET([2]characters!$A$1,0,0,COUNTA([2]characters!$A:$A),MATCH(C$1,[2]characters!$1:$1,0)-MATCH($A$1,[2]characters!$1:$1,0)+1),MATCH(C$1,[2]characters!$1:$1,0)-MATCH($A$1,[2]characters!$1:$1,0)+1,FALSE)</f>
        <v>カカシ_マイメロディコスプレ</v>
      </c>
      <c r="D410" s="24" t="str">
        <f ca="1">VLOOKUP($A410,OFFSET([2]characters!$A$1,0,0,COUNTA([2]characters!$A:$A),MATCH(D$1,[2]characters!$1:$1,0)-MATCH($A$1,[2]characters!$1:$1,0)+1),MATCH(D$1,[2]characters!$1:$1,0)-MATCH($A$1,[2]characters!$1:$1,0)+1,FALSE)</f>
        <v>執行者</v>
      </c>
      <c r="E410" s="24" t="str">
        <f ca="1">VLOOKUP($A410,OFFSET([2]characters!$A$1,0,0,COUNTA([2]characters!$A:$A),MATCH(E$1,[2]characters!$1:$1,0)-MATCH($A$1,[2]characters!$1:$1,0)+1),MATCH(E$1,[2]characters!$1:$1,0)-MATCH($A$1,[2]characters!$1:$1,0)+1,FALSE)</f>
        <v>格好いい</v>
      </c>
      <c r="F410" s="24" t="str">
        <f ca="1">VLOOKUP($A410,OFFSET([2]characters!$A$1,0,0,COUNTA([2]characters!$A:$A),MATCH(F$1,[2]characters!$1:$1,0)-MATCH($A$1,[2]characters!$1:$1,0)+1),MATCH(F$1,[2]characters!$1:$1,0)-MATCH($A$1,[2]characters!$1:$1,0)+1,FALSE)</f>
        <v>男性</v>
      </c>
      <c r="G410" s="24">
        <f ca="1">VLOOKUP($A410,OFFSET([2]characters!$A$1,0,0,COUNTA([2]characters!$A:$A),MATCH(G$1,[2]characters!$1:$1,0)-MATCH($A$1,[2]characters!$1:$1,0)+1),MATCH(G$1,[2]characters!$1:$1,0)-MATCH($A$1,[2]characters!$1:$1,0)+1,FALSE)</f>
        <v>4</v>
      </c>
      <c r="H410" s="24" t="str">
        <f ca="1">VLOOKUP($A410,OFFSET([2]characters!$A$1,0,0,COUNTA([2]characters!$A:$A),MATCH(H$1,[2]characters!$1:$1,0)-MATCH($A$1,[2]characters!$1:$1,0)+1),MATCH(H$1,[2]characters!$1:$1,0)-MATCH($A$1,[2]characters!$1:$1,0)+1,FALSE)</f>
        <v>PremiumS</v>
      </c>
      <c r="I410" s="24" t="str">
        <f ca="1">VLOOKUP($A410,OFFSET([2]characters!$A$1,0,0,COUNTA([2]characters!$A:$A),MATCH(I$1,[2]characters!$1:$1,0)-MATCH($A$1,[2]characters!$1:$1,0)+1),MATCH(I$1,[2]characters!$1:$1,0)-MATCH($A$1,[2]characters!$1:$1,0)+1,FALSE)</f>
        <v>green</v>
      </c>
      <c r="J410" s="24" t="str">
        <f ca="1">VLOOKUP($A410,OFFSET([2]characters!$A$1,0,0,COUNTA([2]characters!$A:$A),MATCH(J$1,[2]characters!$1:$1,0)-MATCH($A$1,[2]characters!$1:$1,0)+1),MATCH(J$1,[2]characters!$1:$1,0)-MATCH($A$1,[2]characters!$1:$1,0)+1,FALSE)</f>
        <v>none</v>
      </c>
      <c r="K410" s="3" t="str">
        <f ca="1">VLOOKUP(J410,[2]character_tribe_i18n!$A:$H,3,FALSE)</f>
        <v>種族なし</v>
      </c>
      <c r="L410" s="5" t="e">
        <f>VLOOKUP(#REF!,[2]character_tribe_i18n!$A:$H,4,FALSE)</f>
        <v>#REF!</v>
      </c>
      <c r="M410" s="5" t="e">
        <f>VLOOKUP(#REF!,[2]character_tribe_i18n!$A:$H,5,FALSE)</f>
        <v>#REF!</v>
      </c>
      <c r="N410" s="5" t="e">
        <f>VLOOKUP(#REF!,[2]character_tribe_i18n!$A:$H,6,FALSE)</f>
        <v>#REF!</v>
      </c>
      <c r="O410" s="5" t="e">
        <f>VLOOKUP(#REF!,[2]character_tribe_i18n!$A:$H,7,FALSE)</f>
        <v>#REF!</v>
      </c>
      <c r="P410" s="83" t="s">
        <v>170</v>
      </c>
      <c r="Q410">
        <v>916</v>
      </c>
      <c r="R410" s="25" t="str">
        <f ca="1">IF(Q410="NULL","",VLOOKUP($Q410,OFFSET([2]characters!$A$1,0,0,COUNTA([2]characters!$A:$A),MATCH(R$1,[2]characters!$1:$1,0)-MATCH($A$1,[2]characters!$1:$1,0)+1),MATCH(R$1,[2]characters!$1:$1,0)-MATCH($A$1,[2]characters!$1:$1,0)+1,FALSE))</f>
        <v>翠線譜の音色　カカシ</v>
      </c>
      <c r="S410" s="3">
        <f t="shared" ca="1" si="12"/>
        <v>915</v>
      </c>
      <c r="T410" s="25" t="str">
        <f ca="1">VLOOKUP($S410,OFFSET([2]characters!$A$1,0,0,COUNTA([2]characters!$A:$A),MATCH(T$1,[2]characters!$1:$1,0)-MATCH($A$1,[2]characters!$1:$1,0)+1),MATCH(T$1,[2]characters!$1:$1,0)-MATCH($A$1,[2]characters!$1:$1,0)+1,FALSE)</f>
        <v>休息者　カカシ</v>
      </c>
      <c r="U410" s="5">
        <f ca="1">IF(Q410="NULL","NULL",VLOOKUP(G410,ビット!$A$2:$B$7,2))</f>
        <v>50000</v>
      </c>
      <c r="V410">
        <v>50000</v>
      </c>
      <c r="W410" s="6" t="str">
        <f t="shared" ca="1" si="14"/>
        <v>TRUE</v>
      </c>
    </row>
    <row r="411" spans="1:23" ht="21" customHeight="1" x14ac:dyDescent="0.15">
      <c r="A411" s="84">
        <v>917</v>
      </c>
      <c r="B411" s="24" t="str">
        <f ca="1">VLOOKUP($A411,OFFSET([2]characters!$A$1,0,0,COUNTA([2]characters!$A:$A),MATCH(B$1,[2]characters!$1:$1,0)-MATCH($A$1,[2]characters!$1:$1,0)+1),MATCH(B$1,[2]characters!$1:$1,0)-MATCH($A$1,[2]characters!$1:$1,0)+1,FALSE)</f>
        <v>けろけろけろっぴ</v>
      </c>
      <c r="C411" s="24" t="str">
        <f ca="1">VLOOKUP($A411,OFFSET([2]characters!$A$1,0,0,COUNTA([2]characters!$A:$A),MATCH(C$1,[2]characters!$1:$1,0)-MATCH($A$1,[2]characters!$1:$1,0)+1),MATCH(C$1,[2]characters!$1:$1,0)-MATCH($A$1,[2]characters!$1:$1,0)+1,FALSE)</f>
        <v>ケロケロけろっぴ</v>
      </c>
      <c r="D411" s="24" t="str">
        <f ca="1">VLOOKUP($A411,OFFSET([2]characters!$A$1,0,0,COUNTA([2]characters!$A:$A),MATCH(D$1,[2]characters!$1:$1,0)-MATCH($A$1,[2]characters!$1:$1,0)+1),MATCH(D$1,[2]characters!$1:$1,0)-MATCH($A$1,[2]characters!$1:$1,0)+1,FALSE)</f>
        <v>執行者</v>
      </c>
      <c r="E411" s="24" t="str">
        <f ca="1">VLOOKUP($A411,OFFSET([2]characters!$A$1,0,0,COUNTA([2]characters!$A:$A),MATCH(E$1,[2]characters!$1:$1,0)-MATCH($A$1,[2]characters!$1:$1,0)+1),MATCH(E$1,[2]characters!$1:$1,0)-MATCH($A$1,[2]characters!$1:$1,0)+1,FALSE)</f>
        <v>格好いい</v>
      </c>
      <c r="F411" s="24" t="str">
        <f ca="1">VLOOKUP($A411,OFFSET([2]characters!$A$1,0,0,COUNTA([2]characters!$A:$A),MATCH(F$1,[2]characters!$1:$1,0)-MATCH($A$1,[2]characters!$1:$1,0)+1),MATCH(F$1,[2]characters!$1:$1,0)-MATCH($A$1,[2]characters!$1:$1,0)+1,FALSE)</f>
        <v>男性</v>
      </c>
      <c r="G411" s="24">
        <f ca="1">VLOOKUP($A411,OFFSET([2]characters!$A$1,0,0,COUNTA([2]characters!$A:$A),MATCH(G$1,[2]characters!$1:$1,0)-MATCH($A$1,[2]characters!$1:$1,0)+1),MATCH(G$1,[2]characters!$1:$1,0)-MATCH($A$1,[2]characters!$1:$1,0)+1,FALSE)</f>
        <v>3</v>
      </c>
      <c r="H411" s="24" t="str">
        <f ca="1">VLOOKUP($A411,OFFSET([2]characters!$A$1,0,0,COUNTA([2]characters!$A:$A),MATCH(H$1,[2]characters!$1:$1,0)-MATCH($A$1,[2]characters!$1:$1,0)+1),MATCH(H$1,[2]characters!$1:$1,0)-MATCH($A$1,[2]characters!$1:$1,0)+1,FALSE)</f>
        <v>PremiumS</v>
      </c>
      <c r="I411" s="24" t="str">
        <f ca="1">VLOOKUP($A411,OFFSET([2]characters!$A$1,0,0,COUNTA([2]characters!$A:$A),MATCH(I$1,[2]characters!$1:$1,0)-MATCH($A$1,[2]characters!$1:$1,0)+1),MATCH(I$1,[2]characters!$1:$1,0)-MATCH($A$1,[2]characters!$1:$1,0)+1,FALSE)</f>
        <v>green</v>
      </c>
      <c r="J411" s="24" t="str">
        <f ca="1">VLOOKUP($A411,OFFSET([2]characters!$A$1,0,0,COUNTA([2]characters!$A:$A),MATCH(J$1,[2]characters!$1:$1,0)-MATCH($A$1,[2]characters!$1:$1,0)+1),MATCH(J$1,[2]characters!$1:$1,0)-MATCH($A$1,[2]characters!$1:$1,0)+1,FALSE)</f>
        <v>none</v>
      </c>
      <c r="K411" s="3" t="str">
        <f ca="1">VLOOKUP(J411,[2]character_tribe_i18n!$A:$H,3,FALSE)</f>
        <v>種族なし</v>
      </c>
      <c r="L411" s="5" t="e">
        <f>VLOOKUP(#REF!,[2]character_tribe_i18n!$A:$H,4,FALSE)</f>
        <v>#REF!</v>
      </c>
      <c r="M411" s="5" t="e">
        <f>VLOOKUP(#REF!,[2]character_tribe_i18n!$A:$H,5,FALSE)</f>
        <v>#REF!</v>
      </c>
      <c r="N411" s="5" t="e">
        <f>VLOOKUP(#REF!,[2]character_tribe_i18n!$A:$H,6,FALSE)</f>
        <v>#REF!</v>
      </c>
      <c r="O411" s="5" t="e">
        <f>VLOOKUP(#REF!,[2]character_tribe_i18n!$A:$H,7,FALSE)</f>
        <v>#REF!</v>
      </c>
      <c r="P411" s="83" t="s">
        <v>170</v>
      </c>
      <c r="Q411">
        <v>918</v>
      </c>
      <c r="R411" s="25" t="str">
        <f ca="1">IF(Q411="NULL","",VLOOKUP($Q411,OFFSET([2]characters!$A$1,0,0,COUNTA([2]characters!$A:$A),MATCH(R$1,[2]characters!$1:$1,0)-MATCH($A$1,[2]characters!$1:$1,0)+1),MATCH(R$1,[2]characters!$1:$1,0)-MATCH($A$1,[2]characters!$1:$1,0)+1,FALSE))</f>
        <v>てるてる天気 けろけろけろっぴ</v>
      </c>
      <c r="S411" s="3">
        <f t="shared" ca="1" si="12"/>
        <v>917</v>
      </c>
      <c r="T411" s="25" t="str">
        <f ca="1">VLOOKUP($S411,OFFSET([2]characters!$A$1,0,0,COUNTA([2]characters!$A:$A),MATCH(T$1,[2]characters!$1:$1,0)-MATCH($A$1,[2]characters!$1:$1,0)+1),MATCH(T$1,[2]characters!$1:$1,0)-MATCH($A$1,[2]characters!$1:$1,0)+1,FALSE)</f>
        <v>けろけろけろっぴ</v>
      </c>
      <c r="U411" s="5">
        <f ca="1">IF(Q411="NULL","NULL",VLOOKUP(G411,ビット!$A$2:$B$7,2))</f>
        <v>20000</v>
      </c>
      <c r="V411">
        <v>20000</v>
      </c>
      <c r="W411" s="6" t="str">
        <f t="shared" ca="1" si="14"/>
        <v>TRUE</v>
      </c>
    </row>
    <row r="412" spans="1:23" ht="21" customHeight="1" x14ac:dyDescent="0.15">
      <c r="A412" s="84">
        <v>919</v>
      </c>
      <c r="B412" s="24" t="str">
        <f ca="1">VLOOKUP($A412,OFFSET([2]characters!$A$1,0,0,COUNTA([2]characters!$A:$A),MATCH(B$1,[2]characters!$1:$1,0)-MATCH($A$1,[2]characters!$1:$1,0)+1),MATCH(B$1,[2]characters!$1:$1,0)-MATCH($A$1,[2]characters!$1:$1,0)+1,FALSE)</f>
        <v>甘美の誘惑 モルドレッド</v>
      </c>
      <c r="C412" s="24" t="str">
        <f ca="1">VLOOKUP($A412,OFFSET([2]characters!$A$1,0,0,COUNTA([2]characters!$A:$A),MATCH(C$1,[2]characters!$1:$1,0)-MATCH($A$1,[2]characters!$1:$1,0)+1),MATCH(C$1,[2]characters!$1:$1,0)-MATCH($A$1,[2]characters!$1:$1,0)+1,FALSE)</f>
        <v>モルドレッド_ポムポムプリンコスプレ</v>
      </c>
      <c r="D412" s="24" t="str">
        <f ca="1">VLOOKUP($A412,OFFSET([2]characters!$A$1,0,0,COUNTA([2]characters!$A:$A),MATCH(D$1,[2]characters!$1:$1,0)-MATCH($A$1,[2]characters!$1:$1,0)+1),MATCH(D$1,[2]characters!$1:$1,0)-MATCH($A$1,[2]characters!$1:$1,0)+1,FALSE)</f>
        <v>執行者</v>
      </c>
      <c r="E412" s="24" t="str">
        <f ca="1">VLOOKUP($A412,OFFSET([2]characters!$A$1,0,0,COUNTA([2]characters!$A:$A),MATCH(E$1,[2]characters!$1:$1,0)-MATCH($A$1,[2]characters!$1:$1,0)+1),MATCH(E$1,[2]characters!$1:$1,0)-MATCH($A$1,[2]characters!$1:$1,0)+1,FALSE)</f>
        <v>格好いい</v>
      </c>
      <c r="F412" s="24" t="str">
        <f ca="1">VLOOKUP($A412,OFFSET([2]characters!$A$1,0,0,COUNTA([2]characters!$A:$A),MATCH(F$1,[2]characters!$1:$1,0)-MATCH($A$1,[2]characters!$1:$1,0)+1),MATCH(F$1,[2]characters!$1:$1,0)-MATCH($A$1,[2]characters!$1:$1,0)+1,FALSE)</f>
        <v>男性</v>
      </c>
      <c r="G412" s="24">
        <f ca="1">VLOOKUP($A412,OFFSET([2]characters!$A$1,0,0,COUNTA([2]characters!$A:$A),MATCH(G$1,[2]characters!$1:$1,0)-MATCH($A$1,[2]characters!$1:$1,0)+1),MATCH(G$1,[2]characters!$1:$1,0)-MATCH($A$1,[2]characters!$1:$1,0)+1,FALSE)</f>
        <v>5</v>
      </c>
      <c r="H412" s="24" t="str">
        <f ca="1">VLOOKUP($A412,OFFSET([2]characters!$A$1,0,0,COUNTA([2]characters!$A:$A),MATCH(H$1,[2]characters!$1:$1,0)-MATCH($A$1,[2]characters!$1:$1,0)+1),MATCH(H$1,[2]characters!$1:$1,0)-MATCH($A$1,[2]characters!$1:$1,0)+1,FALSE)</f>
        <v>PremiumSS</v>
      </c>
      <c r="I412" s="24" t="str">
        <f ca="1">VLOOKUP($A412,OFFSET([2]characters!$A$1,0,0,COUNTA([2]characters!$A:$A),MATCH(I$1,[2]characters!$1:$1,0)-MATCH($A$1,[2]characters!$1:$1,0)+1),MATCH(I$1,[2]characters!$1:$1,0)-MATCH($A$1,[2]characters!$1:$1,0)+1,FALSE)</f>
        <v>blue</v>
      </c>
      <c r="J412" s="24" t="str">
        <f ca="1">VLOOKUP($A412,OFFSET([2]characters!$A$1,0,0,COUNTA([2]characters!$A:$A),MATCH(J$1,[2]characters!$1:$1,0)-MATCH($A$1,[2]characters!$1:$1,0)+1),MATCH(J$1,[2]characters!$1:$1,0)-MATCH($A$1,[2]characters!$1:$1,0)+1,FALSE)</f>
        <v>none</v>
      </c>
      <c r="K412" s="3" t="str">
        <f ca="1">VLOOKUP(J412,[2]character_tribe_i18n!$A:$H,3,FALSE)</f>
        <v>種族なし</v>
      </c>
      <c r="L412" s="5" t="e">
        <f>VLOOKUP(#REF!,[2]character_tribe_i18n!$A:$H,4,FALSE)</f>
        <v>#REF!</v>
      </c>
      <c r="M412" s="5" t="e">
        <f>VLOOKUP(#REF!,[2]character_tribe_i18n!$A:$H,5,FALSE)</f>
        <v>#REF!</v>
      </c>
      <c r="N412" s="5" t="e">
        <f>VLOOKUP(#REF!,[2]character_tribe_i18n!$A:$H,6,FALSE)</f>
        <v>#REF!</v>
      </c>
      <c r="O412" s="5" t="e">
        <f>VLOOKUP(#REF!,[2]character_tribe_i18n!$A:$H,7,FALSE)</f>
        <v>#REF!</v>
      </c>
      <c r="P412" s="83" t="s">
        <v>170</v>
      </c>
      <c r="Q412">
        <v>920</v>
      </c>
      <c r="R412" s="25" t="str">
        <f ca="1">IF(Q412="NULL","",VLOOKUP($Q412,OFFSET([2]characters!$A$1,0,0,COUNTA([2]characters!$A:$A),MATCH(R$1,[2]characters!$1:$1,0)-MATCH($A$1,[2]characters!$1:$1,0)+1),MATCH(R$1,[2]characters!$1:$1,0)-MATCH($A$1,[2]characters!$1:$1,0)+1,FALSE))</f>
        <v>甘美の誘迷 モルドレッド</v>
      </c>
      <c r="S412" s="3">
        <f t="shared" ca="1" si="12"/>
        <v>919</v>
      </c>
      <c r="T412" s="25" t="str">
        <f ca="1">VLOOKUP($S412,OFFSET([2]characters!$A$1,0,0,COUNTA([2]characters!$A:$A),MATCH(T$1,[2]characters!$1:$1,0)-MATCH($A$1,[2]characters!$1:$1,0)+1),MATCH(T$1,[2]characters!$1:$1,0)-MATCH($A$1,[2]characters!$1:$1,0)+1,FALSE)</f>
        <v>甘美の誘惑 モルドレッド</v>
      </c>
      <c r="U412" s="5">
        <f ca="1">IF(Q412="NULL","NULL",VLOOKUP(G412,ビット!$A$2:$B$7,2))</f>
        <v>200000</v>
      </c>
      <c r="V412">
        <v>200000</v>
      </c>
      <c r="W412" s="6" t="str">
        <f t="shared" ca="1" si="14"/>
        <v>TRUE</v>
      </c>
    </row>
    <row r="413" spans="1:23" ht="21" customHeight="1" x14ac:dyDescent="0.15">
      <c r="A413" s="84">
        <v>921</v>
      </c>
      <c r="B413" s="24" t="str">
        <f ca="1">VLOOKUP($A413,OFFSET([2]characters!$A$1,0,0,COUNTA([2]characters!$A:$A),MATCH(B$1,[2]characters!$1:$1,0)-MATCH($A$1,[2]characters!$1:$1,0)+1),MATCH(B$1,[2]characters!$1:$1,0)-MATCH($A$1,[2]characters!$1:$1,0)+1,FALSE)</f>
        <v>クロミ</v>
      </c>
      <c r="C413" s="24" t="str">
        <f ca="1">VLOOKUP($A413,OFFSET([2]characters!$A$1,0,0,COUNTA([2]characters!$A:$A),MATCH(C$1,[2]characters!$1:$1,0)-MATCH($A$1,[2]characters!$1:$1,0)+1),MATCH(C$1,[2]characters!$1:$1,0)-MATCH($A$1,[2]characters!$1:$1,0)+1,FALSE)</f>
        <v>クロミ</v>
      </c>
      <c r="D413" s="24" t="str">
        <f ca="1">VLOOKUP($A413,OFFSET([2]characters!$A$1,0,0,COUNTA([2]characters!$A:$A),MATCH(D$1,[2]characters!$1:$1,0)-MATCH($A$1,[2]characters!$1:$1,0)+1),MATCH(D$1,[2]characters!$1:$1,0)-MATCH($A$1,[2]characters!$1:$1,0)+1,FALSE)</f>
        <v>執行者</v>
      </c>
      <c r="E413" s="24" t="str">
        <f ca="1">VLOOKUP($A413,OFFSET([2]characters!$A$1,0,0,COUNTA([2]characters!$A:$A),MATCH(E$1,[2]characters!$1:$1,0)-MATCH($A$1,[2]characters!$1:$1,0)+1),MATCH(E$1,[2]characters!$1:$1,0)-MATCH($A$1,[2]characters!$1:$1,0)+1,FALSE)</f>
        <v>格好いい</v>
      </c>
      <c r="F413" s="24" t="str">
        <f ca="1">VLOOKUP($A413,OFFSET([2]characters!$A$1,0,0,COUNTA([2]characters!$A:$A),MATCH(F$1,[2]characters!$1:$1,0)-MATCH($A$1,[2]characters!$1:$1,0)+1),MATCH(F$1,[2]characters!$1:$1,0)-MATCH($A$1,[2]characters!$1:$1,0)+1,FALSE)</f>
        <v>男性</v>
      </c>
      <c r="G413" s="24">
        <f ca="1">VLOOKUP($A413,OFFSET([2]characters!$A$1,0,0,COUNTA([2]characters!$A:$A),MATCH(G$1,[2]characters!$1:$1,0)-MATCH($A$1,[2]characters!$1:$1,0)+1),MATCH(G$1,[2]characters!$1:$1,0)-MATCH($A$1,[2]characters!$1:$1,0)+1,FALSE)</f>
        <v>3</v>
      </c>
      <c r="H413" s="24" t="str">
        <f ca="1">VLOOKUP($A413,OFFSET([2]characters!$A$1,0,0,COUNTA([2]characters!$A:$A),MATCH(H$1,[2]characters!$1:$1,0)-MATCH($A$1,[2]characters!$1:$1,0)+1),MATCH(H$1,[2]characters!$1:$1,0)-MATCH($A$1,[2]characters!$1:$1,0)+1,FALSE)</f>
        <v>PremiumS</v>
      </c>
      <c r="I413" s="24" t="str">
        <f ca="1">VLOOKUP($A413,OFFSET([2]characters!$A$1,0,0,COUNTA([2]characters!$A:$A),MATCH(I$1,[2]characters!$1:$1,0)-MATCH($A$1,[2]characters!$1:$1,0)+1),MATCH(I$1,[2]characters!$1:$1,0)-MATCH($A$1,[2]characters!$1:$1,0)+1,FALSE)</f>
        <v>blue</v>
      </c>
      <c r="J413" s="24" t="str">
        <f ca="1">VLOOKUP($A413,OFFSET([2]characters!$A$1,0,0,COUNTA([2]characters!$A:$A),MATCH(J$1,[2]characters!$1:$1,0)-MATCH($A$1,[2]characters!$1:$1,0)+1),MATCH(J$1,[2]characters!$1:$1,0)-MATCH($A$1,[2]characters!$1:$1,0)+1,FALSE)</f>
        <v>none</v>
      </c>
      <c r="K413" s="3" t="str">
        <f ca="1">VLOOKUP(J413,[2]character_tribe_i18n!$A:$H,3,FALSE)</f>
        <v>種族なし</v>
      </c>
      <c r="L413" s="5" t="e">
        <f>VLOOKUP(#REF!,[2]character_tribe_i18n!$A:$H,4,FALSE)</f>
        <v>#REF!</v>
      </c>
      <c r="M413" s="5" t="e">
        <f>VLOOKUP(#REF!,[2]character_tribe_i18n!$A:$H,5,FALSE)</f>
        <v>#REF!</v>
      </c>
      <c r="N413" s="5" t="e">
        <f>VLOOKUP(#REF!,[2]character_tribe_i18n!$A:$H,6,FALSE)</f>
        <v>#REF!</v>
      </c>
      <c r="O413" s="5" t="e">
        <f>VLOOKUP(#REF!,[2]character_tribe_i18n!$A:$H,7,FALSE)</f>
        <v>#REF!</v>
      </c>
      <c r="P413" s="83" t="s">
        <v>170</v>
      </c>
      <c r="Q413">
        <v>922</v>
      </c>
      <c r="R413" s="25" t="str">
        <f ca="1">IF(Q413="NULL","",VLOOKUP($Q413,OFFSET([2]characters!$A$1,0,0,COUNTA([2]characters!$A:$A),MATCH(R$1,[2]characters!$1:$1,0)-MATCH($A$1,[2]characters!$1:$1,0)+1),MATCH(R$1,[2]characters!$1:$1,0)-MATCH($A$1,[2]characters!$1:$1,0)+1,FALSE))</f>
        <v>アタイとバク クロミ</v>
      </c>
      <c r="S413" s="3">
        <f t="shared" ca="1" si="12"/>
        <v>921</v>
      </c>
      <c r="T413" s="25" t="str">
        <f ca="1">VLOOKUP($S413,OFFSET([2]characters!$A$1,0,0,COUNTA([2]characters!$A:$A),MATCH(T$1,[2]characters!$1:$1,0)-MATCH($A$1,[2]characters!$1:$1,0)+1),MATCH(T$1,[2]characters!$1:$1,0)-MATCH($A$1,[2]characters!$1:$1,0)+1,FALSE)</f>
        <v>クロミ</v>
      </c>
      <c r="U413" s="5">
        <f ca="1">IF(Q413="NULL","NULL",VLOOKUP(G413,ビット!$A$2:$B$7,2))</f>
        <v>20000</v>
      </c>
      <c r="V413">
        <v>20000</v>
      </c>
      <c r="W413" s="6" t="str">
        <f t="shared" ca="1" si="14"/>
        <v>TRUE</v>
      </c>
    </row>
    <row r="414" spans="1:23" ht="21" customHeight="1" x14ac:dyDescent="0.15">
      <c r="A414" s="84">
        <v>923</v>
      </c>
      <c r="B414" s="24" t="str">
        <f ca="1">VLOOKUP($A414,OFFSET([2]characters!$A$1,0,0,COUNTA([2]characters!$A:$A),MATCH(B$1,[2]characters!$1:$1,0)-MATCH($A$1,[2]characters!$1:$1,0)+1),MATCH(B$1,[2]characters!$1:$1,0)-MATCH($A$1,[2]characters!$1:$1,0)+1,FALSE)</f>
        <v>バッドばつ丸</v>
      </c>
      <c r="C414" s="24" t="str">
        <f ca="1">VLOOKUP($A414,OFFSET([2]characters!$A$1,0,0,COUNTA([2]characters!$A:$A),MATCH(C$1,[2]characters!$1:$1,0)-MATCH($A$1,[2]characters!$1:$1,0)+1),MATCH(C$1,[2]characters!$1:$1,0)-MATCH($A$1,[2]characters!$1:$1,0)+1,FALSE)</f>
        <v>バッドばつ丸</v>
      </c>
      <c r="D414" s="24" t="str">
        <f ca="1">VLOOKUP($A414,OFFSET([2]characters!$A$1,0,0,COUNTA([2]characters!$A:$A),MATCH(D$1,[2]characters!$1:$1,0)-MATCH($A$1,[2]characters!$1:$1,0)+1),MATCH(D$1,[2]characters!$1:$1,0)-MATCH($A$1,[2]characters!$1:$1,0)+1,FALSE)</f>
        <v>執行者</v>
      </c>
      <c r="E414" s="24" t="str">
        <f ca="1">VLOOKUP($A414,OFFSET([2]characters!$A$1,0,0,COUNTA([2]characters!$A:$A),MATCH(E$1,[2]characters!$1:$1,0)-MATCH($A$1,[2]characters!$1:$1,0)+1),MATCH(E$1,[2]characters!$1:$1,0)-MATCH($A$1,[2]characters!$1:$1,0)+1,FALSE)</f>
        <v>格好いい</v>
      </c>
      <c r="F414" s="24" t="str">
        <f ca="1">VLOOKUP($A414,OFFSET([2]characters!$A$1,0,0,COUNTA([2]characters!$A:$A),MATCH(F$1,[2]characters!$1:$1,0)-MATCH($A$1,[2]characters!$1:$1,0)+1),MATCH(F$1,[2]characters!$1:$1,0)-MATCH($A$1,[2]characters!$1:$1,0)+1,FALSE)</f>
        <v>男性</v>
      </c>
      <c r="G414" s="24">
        <f ca="1">VLOOKUP($A414,OFFSET([2]characters!$A$1,0,0,COUNTA([2]characters!$A:$A),MATCH(G$1,[2]characters!$1:$1,0)-MATCH($A$1,[2]characters!$1:$1,0)+1),MATCH(G$1,[2]characters!$1:$1,0)-MATCH($A$1,[2]characters!$1:$1,0)+1,FALSE)</f>
        <v>3</v>
      </c>
      <c r="H414" s="24" t="str">
        <f ca="1">VLOOKUP($A414,OFFSET([2]characters!$A$1,0,0,COUNTA([2]characters!$A:$A),MATCH(H$1,[2]characters!$1:$1,0)-MATCH($A$1,[2]characters!$1:$1,0)+1),MATCH(H$1,[2]characters!$1:$1,0)-MATCH($A$1,[2]characters!$1:$1,0)+1,FALSE)</f>
        <v>PremiumS</v>
      </c>
      <c r="I414" s="24" t="str">
        <f ca="1">VLOOKUP($A414,OFFSET([2]characters!$A$1,0,0,COUNTA([2]characters!$A:$A),MATCH(I$1,[2]characters!$1:$1,0)-MATCH($A$1,[2]characters!$1:$1,0)+1),MATCH(I$1,[2]characters!$1:$1,0)-MATCH($A$1,[2]characters!$1:$1,0)+1,FALSE)</f>
        <v>blue</v>
      </c>
      <c r="J414" s="24" t="str">
        <f ca="1">VLOOKUP($A414,OFFSET([2]characters!$A$1,0,0,COUNTA([2]characters!$A:$A),MATCH(J$1,[2]characters!$1:$1,0)-MATCH($A$1,[2]characters!$1:$1,0)+1),MATCH(J$1,[2]characters!$1:$1,0)-MATCH($A$1,[2]characters!$1:$1,0)+1,FALSE)</f>
        <v>none</v>
      </c>
      <c r="K414" s="3" t="str">
        <f ca="1">VLOOKUP(J414,[2]character_tribe_i18n!$A:$H,3,FALSE)</f>
        <v>種族なし</v>
      </c>
      <c r="L414" s="5" t="e">
        <f>VLOOKUP(#REF!,[2]character_tribe_i18n!$A:$H,4,FALSE)</f>
        <v>#REF!</v>
      </c>
      <c r="M414" s="5" t="e">
        <f>VLOOKUP(#REF!,[2]character_tribe_i18n!$A:$H,5,FALSE)</f>
        <v>#REF!</v>
      </c>
      <c r="N414" s="5" t="e">
        <f>VLOOKUP(#REF!,[2]character_tribe_i18n!$A:$H,6,FALSE)</f>
        <v>#REF!</v>
      </c>
      <c r="O414" s="5" t="e">
        <f>VLOOKUP(#REF!,[2]character_tribe_i18n!$A:$H,7,FALSE)</f>
        <v>#REF!</v>
      </c>
      <c r="P414" s="83" t="s">
        <v>170</v>
      </c>
      <c r="Q414">
        <v>924</v>
      </c>
      <c r="R414" s="25" t="str">
        <f ca="1">IF(Q414="NULL","",VLOOKUP($Q414,OFFSET([2]characters!$A$1,0,0,COUNTA([2]characters!$A:$A),MATCH(R$1,[2]characters!$1:$1,0)-MATCH($A$1,[2]characters!$1:$1,0)+1),MATCH(R$1,[2]characters!$1:$1,0)-MATCH($A$1,[2]characters!$1:$1,0)+1,FALSE))</f>
        <v>いたずら大好き　バッドばつ丸</v>
      </c>
      <c r="S414" s="3">
        <f t="shared" ca="1" si="12"/>
        <v>923</v>
      </c>
      <c r="T414" s="25" t="str">
        <f ca="1">VLOOKUP($S414,OFFSET([2]characters!$A$1,0,0,COUNTA([2]characters!$A:$A),MATCH(T$1,[2]characters!$1:$1,0)-MATCH($A$1,[2]characters!$1:$1,0)+1),MATCH(T$1,[2]characters!$1:$1,0)-MATCH($A$1,[2]characters!$1:$1,0)+1,FALSE)</f>
        <v>バッドばつ丸</v>
      </c>
      <c r="U414" s="5">
        <f ca="1">IF(Q414="NULL","NULL",VLOOKUP(G414,ビット!$A$2:$B$7,2))</f>
        <v>20000</v>
      </c>
      <c r="V414">
        <v>20000</v>
      </c>
      <c r="W414" s="6" t="str">
        <f t="shared" ca="1" si="14"/>
        <v>TRUE</v>
      </c>
    </row>
    <row r="415" spans="1:23" ht="21" customHeight="1" x14ac:dyDescent="0.15">
      <c r="A415" s="84">
        <v>925</v>
      </c>
      <c r="B415" s="24" t="str">
        <f ca="1">VLOOKUP($A415,OFFSET([2]characters!$A$1,0,0,COUNTA([2]characters!$A:$A),MATCH(B$1,[2]characters!$1:$1,0)-MATCH($A$1,[2]characters!$1:$1,0)+1),MATCH(B$1,[2]characters!$1:$1,0)-MATCH($A$1,[2]characters!$1:$1,0)+1,FALSE)</f>
        <v>シナモロール</v>
      </c>
      <c r="C415" s="24" t="str">
        <f ca="1">VLOOKUP($A415,OFFSET([2]characters!$A$1,0,0,COUNTA([2]characters!$A:$A),MATCH(C$1,[2]characters!$1:$1,0)-MATCH($A$1,[2]characters!$1:$1,0)+1),MATCH(C$1,[2]characters!$1:$1,0)-MATCH($A$1,[2]characters!$1:$1,0)+1,FALSE)</f>
        <v>シナモロール</v>
      </c>
      <c r="D415" s="24" t="str">
        <f ca="1">VLOOKUP($A415,OFFSET([2]characters!$A$1,0,0,COUNTA([2]characters!$A:$A),MATCH(D$1,[2]characters!$1:$1,0)-MATCH($A$1,[2]characters!$1:$1,0)+1),MATCH(D$1,[2]characters!$1:$1,0)-MATCH($A$1,[2]characters!$1:$1,0)+1,FALSE)</f>
        <v>執行者</v>
      </c>
      <c r="E415" s="24" t="str">
        <f ca="1">VLOOKUP($A415,OFFSET([2]characters!$A$1,0,0,COUNTA([2]characters!$A:$A),MATCH(E$1,[2]characters!$1:$1,0)-MATCH($A$1,[2]characters!$1:$1,0)+1),MATCH(E$1,[2]characters!$1:$1,0)-MATCH($A$1,[2]characters!$1:$1,0)+1,FALSE)</f>
        <v>格好いい</v>
      </c>
      <c r="F415" s="24" t="str">
        <f ca="1">VLOOKUP($A415,OFFSET([2]characters!$A$1,0,0,COUNTA([2]characters!$A:$A),MATCH(F$1,[2]characters!$1:$1,0)-MATCH($A$1,[2]characters!$1:$1,0)+1),MATCH(F$1,[2]characters!$1:$1,0)-MATCH($A$1,[2]characters!$1:$1,0)+1,FALSE)</f>
        <v>男性</v>
      </c>
      <c r="G415" s="24">
        <f ca="1">VLOOKUP($A415,OFFSET([2]characters!$A$1,0,0,COUNTA([2]characters!$A:$A),MATCH(G$1,[2]characters!$1:$1,0)-MATCH($A$1,[2]characters!$1:$1,0)+1),MATCH(G$1,[2]characters!$1:$1,0)-MATCH($A$1,[2]characters!$1:$1,0)+1,FALSE)</f>
        <v>4</v>
      </c>
      <c r="H415" s="24" t="str">
        <f ca="1">VLOOKUP($A415,OFFSET([2]characters!$A$1,0,0,COUNTA([2]characters!$A:$A),MATCH(H$1,[2]characters!$1:$1,0)-MATCH($A$1,[2]characters!$1:$1,0)+1),MATCH(H$1,[2]characters!$1:$1,0)-MATCH($A$1,[2]characters!$1:$1,0)+1,FALSE)</f>
        <v>PremiumS</v>
      </c>
      <c r="I415" s="24" t="str">
        <f ca="1">VLOOKUP($A415,OFFSET([2]characters!$A$1,0,0,COUNTA([2]characters!$A:$A),MATCH(I$1,[2]characters!$1:$1,0)-MATCH($A$1,[2]characters!$1:$1,0)+1),MATCH(I$1,[2]characters!$1:$1,0)-MATCH($A$1,[2]characters!$1:$1,0)+1,FALSE)</f>
        <v>yellow</v>
      </c>
      <c r="J415" s="24" t="str">
        <f ca="1">VLOOKUP($A415,OFFSET([2]characters!$A$1,0,0,COUNTA([2]characters!$A:$A),MATCH(J$1,[2]characters!$1:$1,0)-MATCH($A$1,[2]characters!$1:$1,0)+1),MATCH(J$1,[2]characters!$1:$1,0)-MATCH($A$1,[2]characters!$1:$1,0)+1,FALSE)</f>
        <v>none</v>
      </c>
      <c r="K415" s="3" t="str">
        <f ca="1">VLOOKUP(J415,[2]character_tribe_i18n!$A:$H,3,FALSE)</f>
        <v>種族なし</v>
      </c>
      <c r="L415" s="5" t="e">
        <f>VLOOKUP(#REF!,[2]character_tribe_i18n!$A:$H,4,FALSE)</f>
        <v>#REF!</v>
      </c>
      <c r="M415" s="5" t="e">
        <f>VLOOKUP(#REF!,[2]character_tribe_i18n!$A:$H,5,FALSE)</f>
        <v>#REF!</v>
      </c>
      <c r="N415" s="5" t="e">
        <f>VLOOKUP(#REF!,[2]character_tribe_i18n!$A:$H,6,FALSE)</f>
        <v>#REF!</v>
      </c>
      <c r="O415" s="5" t="e">
        <f>VLOOKUP(#REF!,[2]character_tribe_i18n!$A:$H,7,FALSE)</f>
        <v>#REF!</v>
      </c>
      <c r="P415" s="83" t="s">
        <v>170</v>
      </c>
      <c r="Q415">
        <v>926</v>
      </c>
      <c r="R415" s="25" t="str">
        <f ca="1">IF(Q415="NULL","",VLOOKUP($Q415,OFFSET([2]characters!$A$1,0,0,COUNTA([2]characters!$A:$A),MATCH(R$1,[2]characters!$1:$1,0)-MATCH($A$1,[2]characters!$1:$1,0)+1),MATCH(R$1,[2]characters!$1:$1,0)-MATCH($A$1,[2]characters!$1:$1,0)+1,FALSE))</f>
        <v>ふわふわおさんぽ♪ シナモロール</v>
      </c>
      <c r="S415" s="3">
        <f t="shared" ca="1" si="12"/>
        <v>925</v>
      </c>
      <c r="T415" s="25" t="str">
        <f ca="1">VLOOKUP($S415,OFFSET([2]characters!$A$1,0,0,COUNTA([2]characters!$A:$A),MATCH(T$1,[2]characters!$1:$1,0)-MATCH($A$1,[2]characters!$1:$1,0)+1),MATCH(T$1,[2]characters!$1:$1,0)-MATCH($A$1,[2]characters!$1:$1,0)+1,FALSE)</f>
        <v>シナモロール</v>
      </c>
      <c r="U415" s="5">
        <f ca="1">IF(Q415="NULL","NULL",VLOOKUP(G415,ビット!$A$2:$B$7,2))</f>
        <v>50000</v>
      </c>
      <c r="V415">
        <v>50000</v>
      </c>
      <c r="W415" s="6" t="str">
        <f t="shared" ca="1" si="14"/>
        <v>TRUE</v>
      </c>
    </row>
    <row r="416" spans="1:23" ht="21" customHeight="1" x14ac:dyDescent="0.15">
      <c r="A416" s="84">
        <v>927</v>
      </c>
      <c r="B416" s="24" t="str">
        <f ca="1">VLOOKUP($A416,OFFSET([2]characters!$A$1,0,0,COUNTA([2]characters!$A:$A),MATCH(B$1,[2]characters!$1:$1,0)-MATCH($A$1,[2]characters!$1:$1,0)+1),MATCH(B$1,[2]characters!$1:$1,0)-MATCH($A$1,[2]characters!$1:$1,0)+1,FALSE)</f>
        <v>ポムポムプリン</v>
      </c>
      <c r="C416" s="24" t="str">
        <f ca="1">VLOOKUP($A416,OFFSET([2]characters!$A$1,0,0,COUNTA([2]characters!$A:$A),MATCH(C$1,[2]characters!$1:$1,0)-MATCH($A$1,[2]characters!$1:$1,0)+1),MATCH(C$1,[2]characters!$1:$1,0)-MATCH($A$1,[2]characters!$1:$1,0)+1,FALSE)</f>
        <v>ポムポムプリン</v>
      </c>
      <c r="D416" s="24" t="str">
        <f ca="1">VLOOKUP($A416,OFFSET([2]characters!$A$1,0,0,COUNTA([2]characters!$A:$A),MATCH(D$1,[2]characters!$1:$1,0)-MATCH($A$1,[2]characters!$1:$1,0)+1),MATCH(D$1,[2]characters!$1:$1,0)-MATCH($A$1,[2]characters!$1:$1,0)+1,FALSE)</f>
        <v>執行者</v>
      </c>
      <c r="E416" s="24" t="str">
        <f ca="1">VLOOKUP($A416,OFFSET([2]characters!$A$1,0,0,COUNTA([2]characters!$A:$A),MATCH(E$1,[2]characters!$1:$1,0)-MATCH($A$1,[2]characters!$1:$1,0)+1),MATCH(E$1,[2]characters!$1:$1,0)-MATCH($A$1,[2]characters!$1:$1,0)+1,FALSE)</f>
        <v>格好いい</v>
      </c>
      <c r="F416" s="24" t="str">
        <f ca="1">VLOOKUP($A416,OFFSET([2]characters!$A$1,0,0,COUNTA([2]characters!$A:$A),MATCH(F$1,[2]characters!$1:$1,0)-MATCH($A$1,[2]characters!$1:$1,0)+1),MATCH(F$1,[2]characters!$1:$1,0)-MATCH($A$1,[2]characters!$1:$1,0)+1,FALSE)</f>
        <v>男性</v>
      </c>
      <c r="G416" s="24">
        <f ca="1">VLOOKUP($A416,OFFSET([2]characters!$A$1,0,0,COUNTA([2]characters!$A:$A),MATCH(G$1,[2]characters!$1:$1,0)-MATCH($A$1,[2]characters!$1:$1,0)+1),MATCH(G$1,[2]characters!$1:$1,0)-MATCH($A$1,[2]characters!$1:$1,0)+1,FALSE)</f>
        <v>3</v>
      </c>
      <c r="H416" s="24" t="str">
        <f ca="1">VLOOKUP($A416,OFFSET([2]characters!$A$1,0,0,COUNTA([2]characters!$A:$A),MATCH(H$1,[2]characters!$1:$1,0)-MATCH($A$1,[2]characters!$1:$1,0)+1),MATCH(H$1,[2]characters!$1:$1,0)-MATCH($A$1,[2]characters!$1:$1,0)+1,FALSE)</f>
        <v>PremiumS</v>
      </c>
      <c r="I416" s="24" t="str">
        <f ca="1">VLOOKUP($A416,OFFSET([2]characters!$A$1,0,0,COUNTA([2]characters!$A:$A),MATCH(I$1,[2]characters!$1:$1,0)-MATCH($A$1,[2]characters!$1:$1,0)+1),MATCH(I$1,[2]characters!$1:$1,0)-MATCH($A$1,[2]characters!$1:$1,0)+1,FALSE)</f>
        <v>yellow</v>
      </c>
      <c r="J416" s="24" t="str">
        <f ca="1">VLOOKUP($A416,OFFSET([2]characters!$A$1,0,0,COUNTA([2]characters!$A:$A),MATCH(J$1,[2]characters!$1:$1,0)-MATCH($A$1,[2]characters!$1:$1,0)+1),MATCH(J$1,[2]characters!$1:$1,0)-MATCH($A$1,[2]characters!$1:$1,0)+1,FALSE)</f>
        <v>none</v>
      </c>
      <c r="K416" s="3" t="str">
        <f ca="1">VLOOKUP(J416,[2]character_tribe_i18n!$A:$H,3,FALSE)</f>
        <v>種族なし</v>
      </c>
      <c r="L416" s="5" t="e">
        <f>VLOOKUP(#REF!,[2]character_tribe_i18n!$A:$H,4,FALSE)</f>
        <v>#REF!</v>
      </c>
      <c r="M416" s="5" t="e">
        <f>VLOOKUP(#REF!,[2]character_tribe_i18n!$A:$H,5,FALSE)</f>
        <v>#REF!</v>
      </c>
      <c r="N416" s="5" t="e">
        <f>VLOOKUP(#REF!,[2]character_tribe_i18n!$A:$H,6,FALSE)</f>
        <v>#REF!</v>
      </c>
      <c r="O416" s="5" t="e">
        <f>VLOOKUP(#REF!,[2]character_tribe_i18n!$A:$H,7,FALSE)</f>
        <v>#REF!</v>
      </c>
      <c r="P416" s="83" t="s">
        <v>170</v>
      </c>
      <c r="Q416">
        <v>928</v>
      </c>
      <c r="R416" s="25" t="str">
        <f ca="1">IF(Q416="NULL","",VLOOKUP($Q416,OFFSET([2]characters!$A$1,0,0,COUNTA([2]characters!$A:$A),MATCH(R$1,[2]characters!$1:$1,0)-MATCH($A$1,[2]characters!$1:$1,0)+1),MATCH(R$1,[2]characters!$1:$1,0)-MATCH($A$1,[2]characters!$1:$1,0)+1,FALSE))</f>
        <v>一緒におでかけ ポムポムプリン</v>
      </c>
      <c r="S416" s="3">
        <f t="shared" ca="1" si="12"/>
        <v>927</v>
      </c>
      <c r="T416" s="25" t="str">
        <f ca="1">VLOOKUP($S416,OFFSET([2]characters!$A$1,0,0,COUNTA([2]characters!$A:$A),MATCH(T$1,[2]characters!$1:$1,0)-MATCH($A$1,[2]characters!$1:$1,0)+1),MATCH(T$1,[2]characters!$1:$1,0)-MATCH($A$1,[2]characters!$1:$1,0)+1,FALSE)</f>
        <v>ポムポムプリン</v>
      </c>
      <c r="U416" s="5">
        <f ca="1">IF(Q416="NULL","NULL",VLOOKUP(G416,ビット!$A$2:$B$7,2))</f>
        <v>20000</v>
      </c>
      <c r="V416">
        <v>20000</v>
      </c>
      <c r="W416" s="6" t="str">
        <f t="shared" ca="1" si="14"/>
        <v>TRUE</v>
      </c>
    </row>
    <row r="417" spans="1:23" ht="21" customHeight="1" x14ac:dyDescent="0.15">
      <c r="A417" s="84">
        <v>929</v>
      </c>
      <c r="B417" s="24" t="str">
        <f ca="1">VLOOKUP($A417,OFFSET([2]characters!$A$1,0,0,COUNTA([2]characters!$A:$A),MATCH(B$1,[2]characters!$1:$1,0)-MATCH($A$1,[2]characters!$1:$1,0)+1),MATCH(B$1,[2]characters!$1:$1,0)-MATCH($A$1,[2]characters!$1:$1,0)+1,FALSE)</f>
        <v>ゼウス</v>
      </c>
      <c r="C417" s="24" t="str">
        <f ca="1">VLOOKUP($A417,OFFSET([2]characters!$A$1,0,0,COUNTA([2]characters!$A:$A),MATCH(C$1,[2]characters!$1:$1,0)-MATCH($A$1,[2]characters!$1:$1,0)+1),MATCH(C$1,[2]characters!$1:$1,0)-MATCH($A$1,[2]characters!$1:$1,0)+1,FALSE)</f>
        <v>各属性相性良3・黄・R533</v>
      </c>
      <c r="D417" s="24" t="str">
        <f ca="1">VLOOKUP($A417,OFFSET([2]characters!$A$1,0,0,COUNTA([2]characters!$A:$A),MATCH(D$1,[2]characters!$1:$1,0)-MATCH($A$1,[2]characters!$1:$1,0)+1),MATCH(D$1,[2]characters!$1:$1,0)-MATCH($A$1,[2]characters!$1:$1,0)+1,FALSE)</f>
        <v>執行者</v>
      </c>
      <c r="E417" s="24" t="str">
        <f ca="1">VLOOKUP($A417,OFFSET([2]characters!$A$1,0,0,COUNTA([2]characters!$A:$A),MATCH(E$1,[2]characters!$1:$1,0)-MATCH($A$1,[2]characters!$1:$1,0)+1),MATCH(E$1,[2]characters!$1:$1,0)-MATCH($A$1,[2]characters!$1:$1,0)+1,FALSE)</f>
        <v>格好いい</v>
      </c>
      <c r="F417" s="24" t="str">
        <f ca="1">VLOOKUP($A417,OFFSET([2]characters!$A$1,0,0,COUNTA([2]characters!$A:$A),MATCH(F$1,[2]characters!$1:$1,0)-MATCH($A$1,[2]characters!$1:$1,0)+1),MATCH(F$1,[2]characters!$1:$1,0)-MATCH($A$1,[2]characters!$1:$1,0)+1,FALSE)</f>
        <v>男性</v>
      </c>
      <c r="G417" s="24">
        <f ca="1">VLOOKUP($A417,OFFSET([2]characters!$A$1,0,0,COUNTA([2]characters!$A:$A),MATCH(G$1,[2]characters!$1:$1,0)-MATCH($A$1,[2]characters!$1:$1,0)+1),MATCH(G$1,[2]characters!$1:$1,0)-MATCH($A$1,[2]characters!$1:$1,0)+1,FALSE)</f>
        <v>5</v>
      </c>
      <c r="H417" s="24" t="str">
        <f ca="1">VLOOKUP($A417,OFFSET([2]characters!$A$1,0,0,COUNTA([2]characters!$A:$A),MATCH(H$1,[2]characters!$1:$1,0)-MATCH($A$1,[2]characters!$1:$1,0)+1),MATCH(H$1,[2]characters!$1:$1,0)-MATCH($A$1,[2]characters!$1:$1,0)+1,FALSE)</f>
        <v>DropWizSS</v>
      </c>
      <c r="I417" s="24" t="str">
        <f ca="1">VLOOKUP($A417,OFFSET([2]characters!$A$1,0,0,COUNTA([2]characters!$A:$A),MATCH(I$1,[2]characters!$1:$1,0)-MATCH($A$1,[2]characters!$1:$1,0)+1),MATCH(I$1,[2]characters!$1:$1,0)-MATCH($A$1,[2]characters!$1:$1,0)+1,FALSE)</f>
        <v>yellow</v>
      </c>
      <c r="J417" s="24" t="str">
        <f ca="1">VLOOKUP($A417,OFFSET([2]characters!$A$1,0,0,COUNTA([2]characters!$A:$A),MATCH(J$1,[2]characters!$1:$1,0)-MATCH($A$1,[2]characters!$1:$1,0)+1),MATCH(J$1,[2]characters!$1:$1,0)-MATCH($A$1,[2]characters!$1:$1,0)+1,FALSE)</f>
        <v>none</v>
      </c>
      <c r="K417" s="3" t="str">
        <f ca="1">VLOOKUP(J417,[2]character_tribe_i18n!$A:$H,3,FALSE)</f>
        <v>種族なし</v>
      </c>
      <c r="L417" s="5" t="e">
        <f>VLOOKUP(#REF!,[2]character_tribe_i18n!$A:$H,4,FALSE)</f>
        <v>#REF!</v>
      </c>
      <c r="M417" s="5" t="e">
        <f>VLOOKUP(#REF!,[2]character_tribe_i18n!$A:$H,5,FALSE)</f>
        <v>#REF!</v>
      </c>
      <c r="N417" s="5" t="e">
        <f>VLOOKUP(#REF!,[2]character_tribe_i18n!$A:$H,6,FALSE)</f>
        <v>#REF!</v>
      </c>
      <c r="O417" s="5" t="e">
        <f>VLOOKUP(#REF!,[2]character_tribe_i18n!$A:$H,7,FALSE)</f>
        <v>#REF!</v>
      </c>
      <c r="P417" s="83" t="s">
        <v>170</v>
      </c>
      <c r="Q417">
        <v>930</v>
      </c>
      <c r="R417" s="25" t="str">
        <f ca="1">IF(Q417="NULL","",VLOOKUP($Q417,OFFSET([2]characters!$A$1,0,0,COUNTA([2]characters!$A:$A),MATCH(R$1,[2]characters!$1:$1,0)-MATCH($A$1,[2]characters!$1:$1,0)+1),MATCH(R$1,[2]characters!$1:$1,0)-MATCH($A$1,[2]characters!$1:$1,0)+1,FALSE))</f>
        <v>烙雷の全能神 ゼウス</v>
      </c>
      <c r="S417" s="3">
        <f t="shared" ca="1" si="12"/>
        <v>929</v>
      </c>
      <c r="T417" s="25" t="str">
        <f ca="1">VLOOKUP($S417,OFFSET([2]characters!$A$1,0,0,COUNTA([2]characters!$A:$A),MATCH(T$1,[2]characters!$1:$1,0)-MATCH($A$1,[2]characters!$1:$1,0)+1),MATCH(T$1,[2]characters!$1:$1,0)-MATCH($A$1,[2]characters!$1:$1,0)+1,FALSE)</f>
        <v>ゼウス</v>
      </c>
      <c r="U417" s="5">
        <f ca="1">IF(Q417="NULL","NULL",VLOOKUP(G417,ビット!$A$2:$B$7,2))</f>
        <v>200000</v>
      </c>
      <c r="V417">
        <v>200000</v>
      </c>
      <c r="W417" s="6" t="str">
        <f t="shared" ca="1" si="14"/>
        <v>TRUE</v>
      </c>
    </row>
    <row r="418" spans="1:23" ht="21" customHeight="1" x14ac:dyDescent="0.15">
      <c r="A418" s="84">
        <v>1041</v>
      </c>
      <c r="B418" s="24" t="str">
        <f ca="1">VLOOKUP($A418,OFFSET([2]characters!$A$1,0,0,COUNTA([2]characters!$A:$A),MATCH(B$1,[2]characters!$1:$1,0)-MATCH($A$1,[2]characters!$1:$1,0)+1),MATCH(B$1,[2]characters!$1:$1,0)-MATCH($A$1,[2]characters!$1:$1,0)+1,FALSE)</f>
        <v>織姫</v>
      </c>
      <c r="C418" s="24" t="str">
        <f ca="1">VLOOKUP($A418,OFFSET([2]characters!$A$1,0,0,COUNTA([2]characters!$A:$A),MATCH(C$1,[2]characters!$1:$1,0)-MATCH($A$1,[2]characters!$1:$1,0)+1),MATCH(C$1,[2]characters!$1:$1,0)-MATCH($A$1,[2]characters!$1:$1,0)+1,FALSE)</f>
        <v>織姫(ベガ)</v>
      </c>
      <c r="D418" s="24" t="str">
        <f ca="1">VLOOKUP($A418,OFFSET([2]characters!$A$1,0,0,COUNTA([2]characters!$A:$A),MATCH(D$1,[2]characters!$1:$1,0)-MATCH($A$1,[2]characters!$1:$1,0)+1),MATCH(D$1,[2]characters!$1:$1,0)-MATCH($A$1,[2]characters!$1:$1,0)+1,FALSE)</f>
        <v>執行者</v>
      </c>
      <c r="E418" s="24" t="str">
        <f ca="1">VLOOKUP($A418,OFFSET([2]characters!$A$1,0,0,COUNTA([2]characters!$A:$A),MATCH(E$1,[2]characters!$1:$1,0)-MATCH($A$1,[2]characters!$1:$1,0)+1),MATCH(E$1,[2]characters!$1:$1,0)-MATCH($A$1,[2]characters!$1:$1,0)+1,FALSE)</f>
        <v>格好いい</v>
      </c>
      <c r="F418" s="24" t="str">
        <f ca="1">VLOOKUP($A418,OFFSET([2]characters!$A$1,0,0,COUNTA([2]characters!$A:$A),MATCH(F$1,[2]characters!$1:$1,0)-MATCH($A$1,[2]characters!$1:$1,0)+1),MATCH(F$1,[2]characters!$1:$1,0)-MATCH($A$1,[2]characters!$1:$1,0)+1,FALSE)</f>
        <v>男性</v>
      </c>
      <c r="G418" s="24">
        <f ca="1">VLOOKUP($A418,OFFSET([2]characters!$A$1,0,0,COUNTA([2]characters!$A:$A),MATCH(G$1,[2]characters!$1:$1,0)-MATCH($A$1,[2]characters!$1:$1,0)+1),MATCH(G$1,[2]characters!$1:$1,0)-MATCH($A$1,[2]characters!$1:$1,0)+1,FALSE)</f>
        <v>5</v>
      </c>
      <c r="H418" s="24" t="str">
        <f ca="1">VLOOKUP($A418,OFFSET([2]characters!$A$1,0,0,COUNTA([2]characters!$A:$A),MATCH(H$1,[2]characters!$1:$1,0)-MATCH($A$1,[2]characters!$1:$1,0)+1),MATCH(H$1,[2]characters!$1:$1,0)-MATCH($A$1,[2]characters!$1:$1,0)+1,FALSE)</f>
        <v>PremiumSS</v>
      </c>
      <c r="I418" s="24" t="str">
        <f ca="1">VLOOKUP($A418,OFFSET([2]characters!$A$1,0,0,COUNTA([2]characters!$A:$A),MATCH(I$1,[2]characters!$1:$1,0)-MATCH($A$1,[2]characters!$1:$1,0)+1),MATCH(I$1,[2]characters!$1:$1,0)-MATCH($A$1,[2]characters!$1:$1,0)+1,FALSE)</f>
        <v>red</v>
      </c>
      <c r="J418" s="24" t="str">
        <f ca="1">VLOOKUP($A418,OFFSET([2]characters!$A$1,0,0,COUNTA([2]characters!$A:$A),MATCH(J$1,[2]characters!$1:$1,0)-MATCH($A$1,[2]characters!$1:$1,0)+1),MATCH(J$1,[2]characters!$1:$1,0)-MATCH($A$1,[2]characters!$1:$1,0)+1,FALSE)</f>
        <v>none</v>
      </c>
      <c r="K418" s="3" t="str">
        <f ca="1">VLOOKUP(J418,[2]character_tribe_i18n!$A:$H,3,FALSE)</f>
        <v>種族なし</v>
      </c>
      <c r="L418" s="5" t="e">
        <f>VLOOKUP(#REF!,[2]character_tribe_i18n!$A:$H,4,FALSE)</f>
        <v>#REF!</v>
      </c>
      <c r="M418" s="5" t="e">
        <f>VLOOKUP(#REF!,[2]character_tribe_i18n!$A:$H,5,FALSE)</f>
        <v>#REF!</v>
      </c>
      <c r="N418" s="5" t="e">
        <f>VLOOKUP(#REF!,[2]character_tribe_i18n!$A:$H,6,FALSE)</f>
        <v>#REF!</v>
      </c>
      <c r="O418" s="5" t="e">
        <f>VLOOKUP(#REF!,[2]character_tribe_i18n!$A:$H,7,FALSE)</f>
        <v>#REF!</v>
      </c>
      <c r="P418" s="83" t="s">
        <v>170</v>
      </c>
      <c r="Q418">
        <v>1042</v>
      </c>
      <c r="R418" s="25" t="str">
        <f ca="1">IF(Q418="NULL","",VLOOKUP($Q418,OFFSET([2]characters!$A$1,0,0,COUNTA([2]characters!$A:$A),MATCH(R$1,[2]characters!$1:$1,0)-MATCH($A$1,[2]characters!$1:$1,0)+1),MATCH(R$1,[2]characters!$1:$1,0)-MATCH($A$1,[2]characters!$1:$1,0)+1,FALSE))</f>
        <v>希紡の天帝姫 織姫</v>
      </c>
      <c r="S418" s="3">
        <f t="shared" ca="1" si="12"/>
        <v>1041</v>
      </c>
      <c r="T418" s="25" t="str">
        <f ca="1">VLOOKUP($S418,OFFSET([2]characters!$A$1,0,0,COUNTA([2]characters!$A:$A),MATCH(T$1,[2]characters!$1:$1,0)-MATCH($A$1,[2]characters!$1:$1,0)+1),MATCH(T$1,[2]characters!$1:$1,0)-MATCH($A$1,[2]characters!$1:$1,0)+1,FALSE)</f>
        <v>織姫</v>
      </c>
      <c r="U418" s="5">
        <f ca="1">IF(Q418="NULL","NULL",VLOOKUP(G418,ビット!$A$2:$B$7,2))</f>
        <v>200000</v>
      </c>
      <c r="V418">
        <v>200000</v>
      </c>
      <c r="W418" s="6" t="str">
        <f t="shared" ref="W418:W419" ca="1" si="15">IF(U418=V418,"TRUE","FALSE")</f>
        <v>TRUE</v>
      </c>
    </row>
    <row r="419" spans="1:23" ht="21" customHeight="1" x14ac:dyDescent="0.15">
      <c r="A419" s="84">
        <v>1043</v>
      </c>
      <c r="B419" s="24" t="str">
        <f ca="1">VLOOKUP($A419,OFFSET([2]characters!$A$1,0,0,COUNTA([2]characters!$A:$A),MATCH(B$1,[2]characters!$1:$1,0)-MATCH($A$1,[2]characters!$1:$1,0)+1),MATCH(B$1,[2]characters!$1:$1,0)-MATCH($A$1,[2]characters!$1:$1,0)+1,FALSE)</f>
        <v>彦星</v>
      </c>
      <c r="C419" s="24" t="str">
        <f ca="1">VLOOKUP($A419,OFFSET([2]characters!$A$1,0,0,COUNTA([2]characters!$A:$A),MATCH(C$1,[2]characters!$1:$1,0)-MATCH($A$1,[2]characters!$1:$1,0)+1),MATCH(C$1,[2]characters!$1:$1,0)-MATCH($A$1,[2]characters!$1:$1,0)+1,FALSE)</f>
        <v>彦星(アルタイル)</v>
      </c>
      <c r="D419" s="24" t="str">
        <f ca="1">VLOOKUP($A419,OFFSET([2]characters!$A$1,0,0,COUNTA([2]characters!$A:$A),MATCH(D$1,[2]characters!$1:$1,0)-MATCH($A$1,[2]characters!$1:$1,0)+1),MATCH(D$1,[2]characters!$1:$1,0)-MATCH($A$1,[2]characters!$1:$1,0)+1,FALSE)</f>
        <v>執行者</v>
      </c>
      <c r="E419" s="24" t="str">
        <f ca="1">VLOOKUP($A419,OFFSET([2]characters!$A$1,0,0,COUNTA([2]characters!$A:$A),MATCH(E$1,[2]characters!$1:$1,0)-MATCH($A$1,[2]characters!$1:$1,0)+1),MATCH(E$1,[2]characters!$1:$1,0)-MATCH($A$1,[2]characters!$1:$1,0)+1,FALSE)</f>
        <v>格好いい</v>
      </c>
      <c r="F419" s="24" t="str">
        <f ca="1">VLOOKUP($A419,OFFSET([2]characters!$A$1,0,0,COUNTA([2]characters!$A:$A),MATCH(F$1,[2]characters!$1:$1,0)-MATCH($A$1,[2]characters!$1:$1,0)+1),MATCH(F$1,[2]characters!$1:$1,0)-MATCH($A$1,[2]characters!$1:$1,0)+1,FALSE)</f>
        <v>男性</v>
      </c>
      <c r="G419" s="24">
        <f ca="1">VLOOKUP($A419,OFFSET([2]characters!$A$1,0,0,COUNTA([2]characters!$A:$A),MATCH(G$1,[2]characters!$1:$1,0)-MATCH($A$1,[2]characters!$1:$1,0)+1),MATCH(G$1,[2]characters!$1:$1,0)-MATCH($A$1,[2]characters!$1:$1,0)+1,FALSE)</f>
        <v>5</v>
      </c>
      <c r="H419" s="24" t="str">
        <f ca="1">VLOOKUP($A419,OFFSET([2]characters!$A$1,0,0,COUNTA([2]characters!$A:$A),MATCH(H$1,[2]characters!$1:$1,0)-MATCH($A$1,[2]characters!$1:$1,0)+1),MATCH(H$1,[2]characters!$1:$1,0)-MATCH($A$1,[2]characters!$1:$1,0)+1,FALSE)</f>
        <v>DropWizS</v>
      </c>
      <c r="I419" s="24" t="str">
        <f ca="1">VLOOKUP($A419,OFFSET([2]characters!$A$1,0,0,COUNTA([2]characters!$A:$A),MATCH(I$1,[2]characters!$1:$1,0)-MATCH($A$1,[2]characters!$1:$1,0)+1),MATCH(I$1,[2]characters!$1:$1,0)-MATCH($A$1,[2]characters!$1:$1,0)+1,FALSE)</f>
        <v>green</v>
      </c>
      <c r="J419" s="24" t="str">
        <f ca="1">VLOOKUP($A419,OFFSET([2]characters!$A$1,0,0,COUNTA([2]characters!$A:$A),MATCH(J$1,[2]characters!$1:$1,0)-MATCH($A$1,[2]characters!$1:$1,0)+1),MATCH(J$1,[2]characters!$1:$1,0)-MATCH($A$1,[2]characters!$1:$1,0)+1,FALSE)</f>
        <v>none</v>
      </c>
      <c r="K419" s="3" t="str">
        <f ca="1">VLOOKUP(J419,[2]character_tribe_i18n!$A:$H,3,FALSE)</f>
        <v>種族なし</v>
      </c>
      <c r="L419" s="5" t="e">
        <f>VLOOKUP(#REF!,[2]character_tribe_i18n!$A:$H,4,FALSE)</f>
        <v>#REF!</v>
      </c>
      <c r="M419" s="5" t="e">
        <f>VLOOKUP(#REF!,[2]character_tribe_i18n!$A:$H,5,FALSE)</f>
        <v>#REF!</v>
      </c>
      <c r="N419" s="5" t="e">
        <f>VLOOKUP(#REF!,[2]character_tribe_i18n!$A:$H,6,FALSE)</f>
        <v>#REF!</v>
      </c>
      <c r="O419" s="5" t="e">
        <f>VLOOKUP(#REF!,[2]character_tribe_i18n!$A:$H,7,FALSE)</f>
        <v>#REF!</v>
      </c>
      <c r="P419" s="83" t="s">
        <v>170</v>
      </c>
      <c r="Q419">
        <v>1044</v>
      </c>
      <c r="R419" s="25" t="str">
        <f ca="1">IF(Q419="NULL","",VLOOKUP($Q419,OFFSET([2]characters!$A$1,0,0,COUNTA([2]characters!$A:$A),MATCH(R$1,[2]characters!$1:$1,0)-MATCH($A$1,[2]characters!$1:$1,0)+1),MATCH(R$1,[2]characters!$1:$1,0)-MATCH($A$1,[2]characters!$1:$1,0)+1,FALSE))</f>
        <v>恋狩の色星主  彦星</v>
      </c>
      <c r="S419" s="3">
        <f t="shared" ca="1" si="12"/>
        <v>1043</v>
      </c>
      <c r="T419" s="25" t="str">
        <f ca="1">VLOOKUP($S419,OFFSET([2]characters!$A$1,0,0,COUNTA([2]characters!$A:$A),MATCH(T$1,[2]characters!$1:$1,0)-MATCH($A$1,[2]characters!$1:$1,0)+1),MATCH(T$1,[2]characters!$1:$1,0)-MATCH($A$1,[2]characters!$1:$1,0)+1,FALSE)</f>
        <v>彦星</v>
      </c>
      <c r="U419" s="5">
        <f ca="1">IF(Q419="NULL","NULL",VLOOKUP(G419,ビット!$A$2:$B$7,2))</f>
        <v>200000</v>
      </c>
      <c r="V419">
        <v>200000</v>
      </c>
      <c r="W419" s="6" t="str">
        <f t="shared" ca="1" si="15"/>
        <v>TRUE</v>
      </c>
    </row>
    <row r="420" spans="1:23" ht="21" customHeight="1" x14ac:dyDescent="0.15">
      <c r="A420" s="84">
        <v>1053</v>
      </c>
      <c r="B420" s="24" t="str">
        <f ca="1">VLOOKUP($A420,OFFSET([2]characters!$A$1,0,0,COUNTA([2]characters!$A:$A),MATCH(B$1,[2]characters!$1:$1,0)-MATCH($A$1,[2]characters!$1:$1,0)+1),MATCH(B$1,[2]characters!$1:$1,0)-MATCH($A$1,[2]characters!$1:$1,0)+1,FALSE)</f>
        <v>常夏の眩獣 麒麟</v>
      </c>
      <c r="C420" s="24" t="str">
        <f ca="1">VLOOKUP($A420,OFFSET([2]characters!$A$1,0,0,COUNTA([2]characters!$A:$A),MATCH(C$1,[2]characters!$1:$1,0)-MATCH($A$1,[2]characters!$1:$1,0)+1),MATCH(C$1,[2]characters!$1:$1,0)-MATCH($A$1,[2]characters!$1:$1,0)+1,FALSE)</f>
        <v>麒麟_水着</v>
      </c>
      <c r="D420" s="24" t="str">
        <f ca="1">VLOOKUP($A420,OFFSET([2]characters!$A$1,0,0,COUNTA([2]characters!$A:$A),MATCH(D$1,[2]characters!$1:$1,0)-MATCH($A$1,[2]characters!$1:$1,0)+1),MATCH(D$1,[2]characters!$1:$1,0)-MATCH($A$1,[2]characters!$1:$1,0)+1,FALSE)</f>
        <v>執行者</v>
      </c>
      <c r="E420" s="24" t="str">
        <f ca="1">VLOOKUP($A420,OFFSET([2]characters!$A$1,0,0,COUNTA([2]characters!$A:$A),MATCH(E$1,[2]characters!$1:$1,0)-MATCH($A$1,[2]characters!$1:$1,0)+1),MATCH(E$1,[2]characters!$1:$1,0)-MATCH($A$1,[2]characters!$1:$1,0)+1,FALSE)</f>
        <v>格好いい</v>
      </c>
      <c r="F420" s="24" t="str">
        <f ca="1">VLOOKUP($A420,OFFSET([2]characters!$A$1,0,0,COUNTA([2]characters!$A:$A),MATCH(F$1,[2]characters!$1:$1,0)-MATCH($A$1,[2]characters!$1:$1,0)+1),MATCH(F$1,[2]characters!$1:$1,0)-MATCH($A$1,[2]characters!$1:$1,0)+1,FALSE)</f>
        <v>男性</v>
      </c>
      <c r="G420" s="24">
        <f ca="1">VLOOKUP($A420,OFFSET([2]characters!$A$1,0,0,COUNTA([2]characters!$A:$A),MATCH(G$1,[2]characters!$1:$1,0)-MATCH($A$1,[2]characters!$1:$1,0)+1),MATCH(G$1,[2]characters!$1:$1,0)-MATCH($A$1,[2]characters!$1:$1,0)+1,FALSE)</f>
        <v>5</v>
      </c>
      <c r="H420" s="24" t="str">
        <f ca="1">VLOOKUP($A420,OFFSET([2]characters!$A$1,0,0,COUNTA([2]characters!$A:$A),MATCH(H$1,[2]characters!$1:$1,0)-MATCH($A$1,[2]characters!$1:$1,0)+1),MATCH(H$1,[2]characters!$1:$1,0)-MATCH($A$1,[2]characters!$1:$1,0)+1,FALSE)</f>
        <v>DropWizS</v>
      </c>
      <c r="I420" s="24" t="str">
        <f ca="1">VLOOKUP($A420,OFFSET([2]characters!$A$1,0,0,COUNTA([2]characters!$A:$A),MATCH(I$1,[2]characters!$1:$1,0)-MATCH($A$1,[2]characters!$1:$1,0)+1),MATCH(I$1,[2]characters!$1:$1,0)-MATCH($A$1,[2]characters!$1:$1,0)+1,FALSE)</f>
        <v>red</v>
      </c>
      <c r="J420" s="24" t="str">
        <f ca="1">VLOOKUP($A420,OFFSET([2]characters!$A$1,0,0,COUNTA([2]characters!$A:$A),MATCH(J$1,[2]characters!$1:$1,0)-MATCH($A$1,[2]characters!$1:$1,0)+1),MATCH(J$1,[2]characters!$1:$1,0)-MATCH($A$1,[2]characters!$1:$1,0)+1,FALSE)</f>
        <v>none</v>
      </c>
      <c r="K420" s="3" t="str">
        <f ca="1">VLOOKUP(J420,[2]character_tribe_i18n!$A:$H,3,FALSE)</f>
        <v>種族なし</v>
      </c>
      <c r="L420" s="5" t="e">
        <f>VLOOKUP(#REF!,[2]character_tribe_i18n!$A:$H,4,FALSE)</f>
        <v>#REF!</v>
      </c>
      <c r="M420" s="5" t="e">
        <f>VLOOKUP(#REF!,[2]character_tribe_i18n!$A:$H,5,FALSE)</f>
        <v>#REF!</v>
      </c>
      <c r="N420" s="5" t="e">
        <f>VLOOKUP(#REF!,[2]character_tribe_i18n!$A:$H,6,FALSE)</f>
        <v>#REF!</v>
      </c>
      <c r="O420" s="5" t="e">
        <f>VLOOKUP(#REF!,[2]character_tribe_i18n!$A:$H,7,FALSE)</f>
        <v>#REF!</v>
      </c>
      <c r="P420" s="83" t="s">
        <v>170</v>
      </c>
      <c r="Q420">
        <v>1054</v>
      </c>
      <c r="R420" s="25" t="str">
        <f ca="1">IF(Q420="NULL","",VLOOKUP($Q420,OFFSET([2]characters!$A$1,0,0,COUNTA([2]characters!$A:$A),MATCH(R$1,[2]characters!$1:$1,0)-MATCH($A$1,[2]characters!$1:$1,0)+1),MATCH(R$1,[2]characters!$1:$1,0)-MATCH($A$1,[2]characters!$1:$1,0)+1,FALSE))</f>
        <v>炎陽の臨海 麒麟</v>
      </c>
      <c r="S420" s="3">
        <f t="shared" ca="1" si="12"/>
        <v>1053</v>
      </c>
      <c r="T420" s="25" t="str">
        <f ca="1">VLOOKUP($S420,OFFSET([2]characters!$A$1,0,0,COUNTA([2]characters!$A:$A),MATCH(T$1,[2]characters!$1:$1,0)-MATCH($A$1,[2]characters!$1:$1,0)+1),MATCH(T$1,[2]characters!$1:$1,0)-MATCH($A$1,[2]characters!$1:$1,0)+1,FALSE)</f>
        <v>常夏の眩獣 麒麟</v>
      </c>
      <c r="U420" s="5">
        <f ca="1">IF(Q420="NULL","NULL",VLOOKUP(G420,ビット!$A$2:$B$7,2))</f>
        <v>200000</v>
      </c>
      <c r="V420">
        <v>20000</v>
      </c>
      <c r="W420" s="6" t="str">
        <f t="shared" ref="W420:W421" ca="1" si="16">IF(U420=V420,"TRUE","FALSE")</f>
        <v>FALSE</v>
      </c>
    </row>
    <row r="421" spans="1:23" ht="21" customHeight="1" x14ac:dyDescent="0.15">
      <c r="A421" s="84">
        <v>1433</v>
      </c>
      <c r="B421" s="24" t="str">
        <f ca="1">VLOOKUP($A421,OFFSET([2]characters!$A$1,0,0,COUNTA([2]characters!$A:$A),MATCH(B$1,[2]characters!$1:$1,0)-MATCH($A$1,[2]characters!$1:$1,0)+1),MATCH(B$1,[2]characters!$1:$1,0)-MATCH($A$1,[2]characters!$1:$1,0)+1,FALSE)</f>
        <v>超越の果実</v>
      </c>
      <c r="C421" s="24" t="str">
        <f ca="1">VLOOKUP($A421,OFFSET([2]characters!$A$1,0,0,COUNTA([2]characters!$A:$A),MATCH(C$1,[2]characters!$1:$1,0)-MATCH($A$1,[2]characters!$1:$1,0)+1),MATCH(C$1,[2]characters!$1:$1,0)-MATCH($A$1,[2]characters!$1:$1,0)+1,FALSE)</f>
        <v>スキル進化素材</v>
      </c>
      <c r="D421" s="24" t="str">
        <f ca="1">VLOOKUP($A421,OFFSET([2]characters!$A$1,0,0,COUNTA([2]characters!$A:$A),MATCH(D$1,[2]characters!$1:$1,0)-MATCH($A$1,[2]characters!$1:$1,0)+1),MATCH(D$1,[2]characters!$1:$1,0)-MATCH($A$1,[2]characters!$1:$1,0)+1,FALSE)</f>
        <v>アリス</v>
      </c>
      <c r="E421" s="24" t="str">
        <f ca="1">VLOOKUP($A421,OFFSET([2]characters!$A$1,0,0,COUNTA([2]characters!$A:$A),MATCH(E$1,[2]characters!$1:$1,0)-MATCH($A$1,[2]characters!$1:$1,0)+1),MATCH(E$1,[2]characters!$1:$1,0)-MATCH($A$1,[2]characters!$1:$1,0)+1,FALSE)</f>
        <v>世界観</v>
      </c>
      <c r="F421" s="24" t="str">
        <f ca="1">VLOOKUP($A421,OFFSET([2]characters!$A$1,0,0,COUNTA([2]characters!$A:$A),MATCH(F$1,[2]characters!$1:$1,0)-MATCH($A$1,[2]characters!$1:$1,0)+1),MATCH(F$1,[2]characters!$1:$1,0)-MATCH($A$1,[2]characters!$1:$1,0)+1,FALSE)</f>
        <v>不明</v>
      </c>
      <c r="G421" s="24">
        <f ca="1">VLOOKUP($A421,OFFSET([2]characters!$A$1,0,0,COUNTA([2]characters!$A:$A),MATCH(G$1,[2]characters!$1:$1,0)-MATCH($A$1,[2]characters!$1:$1,0)+1),MATCH(G$1,[2]characters!$1:$1,0)-MATCH($A$1,[2]characters!$1:$1,0)+1,FALSE)</f>
        <v>3</v>
      </c>
      <c r="H421" s="24" t="str">
        <f ca="1">VLOOKUP($A421,OFFSET([2]characters!$A$1,0,0,COUNTA([2]characters!$A:$A),MATCH(H$1,[2]characters!$1:$1,0)-MATCH($A$1,[2]characters!$1:$1,0)+1),MATCH(H$1,[2]characters!$1:$1,0)-MATCH($A$1,[2]characters!$1:$1,0)+1,FALSE)</f>
        <v>Material</v>
      </c>
      <c r="I421" s="24" t="str">
        <f ca="1">VLOOKUP($A421,OFFSET([2]characters!$A$1,0,0,COUNTA([2]characters!$A:$A),MATCH(I$1,[2]characters!$1:$1,0)-MATCH($A$1,[2]characters!$1:$1,0)+1),MATCH(I$1,[2]characters!$1:$1,0)-MATCH($A$1,[2]characters!$1:$1,0)+1,FALSE)</f>
        <v>yellow</v>
      </c>
      <c r="J421" s="24" t="str">
        <f ca="1">VLOOKUP($A421,OFFSET([2]characters!$A$1,0,0,COUNTA([2]characters!$A:$A),MATCH(J$1,[2]characters!$1:$1,0)-MATCH($A$1,[2]characters!$1:$1,0)+1),MATCH(J$1,[2]characters!$1:$1,0)-MATCH($A$1,[2]characters!$1:$1,0)+1,FALSE)</f>
        <v>none</v>
      </c>
      <c r="K421" s="3" t="str">
        <f ca="1">VLOOKUP(J421,[2]character_tribe_i18n!$A:$H,3,FALSE)</f>
        <v>種族なし</v>
      </c>
      <c r="L421" s="5" t="e">
        <f>VLOOKUP(#REF!,[2]character_tribe_i18n!$A:$H,4,FALSE)</f>
        <v>#REF!</v>
      </c>
      <c r="M421" s="5" t="e">
        <f>VLOOKUP(#REF!,[2]character_tribe_i18n!$A:$H,5,FALSE)</f>
        <v>#REF!</v>
      </c>
      <c r="N421" s="5" t="e">
        <f>VLOOKUP(#REF!,[2]character_tribe_i18n!$A:$H,6,FALSE)</f>
        <v>#REF!</v>
      </c>
      <c r="O421" s="5" t="e">
        <f>VLOOKUP(#REF!,[2]character_tribe_i18n!$A:$H,7,FALSE)</f>
        <v>#REF!</v>
      </c>
      <c r="P421" s="83" t="s">
        <v>170</v>
      </c>
      <c r="Q421">
        <v>1434</v>
      </c>
      <c r="R421" s="25" t="str">
        <f ca="1">IF(Q421="NULL","",VLOOKUP($Q421,OFFSET([2]characters!$A$1,0,0,COUNTA([2]characters!$A:$A),MATCH(R$1,[2]characters!$1:$1,0)-MATCH($A$1,[2]characters!$1:$1,0)+1),MATCH(R$1,[2]characters!$1:$1,0)-MATCH($A$1,[2]characters!$1:$1,0)+1,FALSE))</f>
        <v>メガ超越の果実</v>
      </c>
      <c r="S421" s="3">
        <f t="shared" ca="1" si="12"/>
        <v>1433</v>
      </c>
      <c r="T421" s="25" t="str">
        <f ca="1">VLOOKUP($S421,OFFSET([2]characters!$A$1,0,0,COUNTA([2]characters!$A:$A),MATCH(T$1,[2]characters!$1:$1,0)-MATCH($A$1,[2]characters!$1:$1,0)+1),MATCH(T$1,[2]characters!$1:$1,0)-MATCH($A$1,[2]characters!$1:$1,0)+1,FALSE)</f>
        <v>超越の果実</v>
      </c>
      <c r="U421" s="28">
        <f ca="1">IF(Q421="NULL","NULL",VLOOKUP(G421,ビット!$A$2:$B$7,2)/5)</f>
        <v>4000</v>
      </c>
      <c r="V421">
        <v>4000</v>
      </c>
      <c r="W421" s="6" t="str">
        <f t="shared" ca="1" si="16"/>
        <v>TRUE</v>
      </c>
    </row>
    <row r="422" spans="1:23" ht="21" customHeight="1" x14ac:dyDescent="0.15">
      <c r="A422" s="84">
        <v>1434</v>
      </c>
      <c r="B422" s="24" t="str">
        <f ca="1">VLOOKUP($A422,OFFSET([2]characters!$A$1,0,0,COUNTA([2]characters!$A:$A),MATCH(B$1,[2]characters!$1:$1,0)-MATCH($A$1,[2]characters!$1:$1,0)+1),MATCH(B$1,[2]characters!$1:$1,0)-MATCH($A$1,[2]characters!$1:$1,0)+1,FALSE)</f>
        <v>メガ超越の果実</v>
      </c>
      <c r="C422" s="24" t="str">
        <f ca="1">VLOOKUP($A422,OFFSET([2]characters!$A$1,0,0,COUNTA([2]characters!$A:$A),MATCH(C$1,[2]characters!$1:$1,0)-MATCH($A$1,[2]characters!$1:$1,0)+1),MATCH(C$1,[2]characters!$1:$1,0)-MATCH($A$1,[2]characters!$1:$1,0)+1,FALSE)</f>
        <v>スキル進化素材</v>
      </c>
      <c r="D422" s="24" t="str">
        <f ca="1">VLOOKUP($A422,OFFSET([2]characters!$A$1,0,0,COUNTA([2]characters!$A:$A),MATCH(D$1,[2]characters!$1:$1,0)-MATCH($A$1,[2]characters!$1:$1,0)+1),MATCH(D$1,[2]characters!$1:$1,0)-MATCH($A$1,[2]characters!$1:$1,0)+1,FALSE)</f>
        <v>アリス</v>
      </c>
      <c r="E422" s="24" t="str">
        <f ca="1">VLOOKUP($A422,OFFSET([2]characters!$A$1,0,0,COUNTA([2]characters!$A:$A),MATCH(E$1,[2]characters!$1:$1,0)-MATCH($A$1,[2]characters!$1:$1,0)+1),MATCH(E$1,[2]characters!$1:$1,0)-MATCH($A$1,[2]characters!$1:$1,0)+1,FALSE)</f>
        <v>世界観</v>
      </c>
      <c r="F422" s="24" t="str">
        <f ca="1">VLOOKUP($A422,OFFSET([2]characters!$A$1,0,0,COUNTA([2]characters!$A:$A),MATCH(F$1,[2]characters!$1:$1,0)-MATCH($A$1,[2]characters!$1:$1,0)+1),MATCH(F$1,[2]characters!$1:$1,0)-MATCH($A$1,[2]characters!$1:$1,0)+1,FALSE)</f>
        <v>不明</v>
      </c>
      <c r="G422" s="24">
        <f ca="1">VLOOKUP($A422,OFFSET([2]characters!$A$1,0,0,COUNTA([2]characters!$A:$A),MATCH(G$1,[2]characters!$1:$1,0)-MATCH($A$1,[2]characters!$1:$1,0)+1),MATCH(G$1,[2]characters!$1:$1,0)-MATCH($A$1,[2]characters!$1:$1,0)+1,FALSE)</f>
        <v>4</v>
      </c>
      <c r="H422" s="24" t="str">
        <f ca="1">VLOOKUP($A422,OFFSET([2]characters!$A$1,0,0,COUNTA([2]characters!$A:$A),MATCH(H$1,[2]characters!$1:$1,0)-MATCH($A$1,[2]characters!$1:$1,0)+1),MATCH(H$1,[2]characters!$1:$1,0)-MATCH($A$1,[2]characters!$1:$1,0)+1,FALSE)</f>
        <v>Material</v>
      </c>
      <c r="I422" s="24" t="str">
        <f ca="1">VLOOKUP($A422,OFFSET([2]characters!$A$1,0,0,COUNTA([2]characters!$A:$A),MATCH(I$1,[2]characters!$1:$1,0)-MATCH($A$1,[2]characters!$1:$1,0)+1),MATCH(I$1,[2]characters!$1:$1,0)-MATCH($A$1,[2]characters!$1:$1,0)+1,FALSE)</f>
        <v>yellow</v>
      </c>
      <c r="J422" s="24" t="str">
        <f ca="1">VLOOKUP($A422,OFFSET([2]characters!$A$1,0,0,COUNTA([2]characters!$A:$A),MATCH(J$1,[2]characters!$1:$1,0)-MATCH($A$1,[2]characters!$1:$1,0)+1),MATCH(J$1,[2]characters!$1:$1,0)-MATCH($A$1,[2]characters!$1:$1,0)+1,FALSE)</f>
        <v>none</v>
      </c>
      <c r="K422" s="3" t="str">
        <f ca="1">VLOOKUP(J422,[2]character_tribe_i18n!$A:$H,3,FALSE)</f>
        <v>種族なし</v>
      </c>
      <c r="L422" s="5" t="e">
        <f>VLOOKUP(#REF!,[2]character_tribe_i18n!$A:$H,4,FALSE)</f>
        <v>#REF!</v>
      </c>
      <c r="M422" s="5" t="e">
        <f>VLOOKUP(#REF!,[2]character_tribe_i18n!$A:$H,5,FALSE)</f>
        <v>#REF!</v>
      </c>
      <c r="N422" s="5" t="e">
        <f>VLOOKUP(#REF!,[2]character_tribe_i18n!$A:$H,6,FALSE)</f>
        <v>#REF!</v>
      </c>
      <c r="O422" s="5" t="e">
        <f>VLOOKUP(#REF!,[2]character_tribe_i18n!$A:$H,7,FALSE)</f>
        <v>#REF!</v>
      </c>
      <c r="P422" s="83" t="s">
        <v>170</v>
      </c>
      <c r="Q422">
        <v>1435</v>
      </c>
      <c r="R422" s="25" t="str">
        <f ca="1">IF(Q422="NULL","",VLOOKUP($Q422,OFFSET([2]characters!$A$1,0,0,COUNTA([2]characters!$A:$A),MATCH(R$1,[2]characters!$1:$1,0)-MATCH($A$1,[2]characters!$1:$1,0)+1),MATCH(R$1,[2]characters!$1:$1,0)-MATCH($A$1,[2]characters!$1:$1,0)+1,FALSE))</f>
        <v>ギガ超越の果実</v>
      </c>
      <c r="S422" s="3">
        <f t="shared" ca="1" si="12"/>
        <v>1433</v>
      </c>
      <c r="T422" s="25" t="str">
        <f ca="1">VLOOKUP($S422,OFFSET([2]characters!$A$1,0,0,COUNTA([2]characters!$A:$A),MATCH(T$1,[2]characters!$1:$1,0)-MATCH($A$1,[2]characters!$1:$1,0)+1),MATCH(T$1,[2]characters!$1:$1,0)-MATCH($A$1,[2]characters!$1:$1,0)+1,FALSE)</f>
        <v>超越の果実</v>
      </c>
      <c r="U422" s="88">
        <v>10000</v>
      </c>
      <c r="V422">
        <v>10000</v>
      </c>
      <c r="W422" s="6" t="str">
        <f t="shared" ref="W422" si="17">IF(U422=V422,"TRUE","FALSE")</f>
        <v>TRUE</v>
      </c>
    </row>
    <row r="423" spans="1:23" ht="21" customHeight="1" x14ac:dyDescent="0.15">
      <c r="A423" s="84">
        <v>8013</v>
      </c>
      <c r="B423" s="24" t="str">
        <f ca="1">VLOOKUP($A423,OFFSET([2]characters!$A$1,0,0,COUNTA([2]characters!$A:$A),MATCH(B$1,[2]characters!$1:$1,0)-MATCH($A$1,[2]characters!$1:$1,0)+1),MATCH(B$1,[2]characters!$1:$1,0)-MATCH($A$1,[2]characters!$1:$1,0)+1,FALSE)</f>
        <v>初音ミクV3</v>
      </c>
      <c r="C423" s="24" t="str">
        <f ca="1">VLOOKUP($A423,OFFSET([2]characters!$A$1,0,0,COUNTA([2]characters!$A:$A),MATCH(C$1,[2]characters!$1:$1,0)-MATCH($A$1,[2]characters!$1:$1,0)+1),MATCH(C$1,[2]characters!$1:$1,0)-MATCH($A$1,[2]characters!$1:$1,0)+1,FALSE)</f>
        <v>初音ミクV3</v>
      </c>
      <c r="D423" s="24" t="str">
        <f ca="1">VLOOKUP($A423,OFFSET([2]characters!$A$1,0,0,COUNTA([2]characters!$A:$A),MATCH(D$1,[2]characters!$1:$1,0)-MATCH($A$1,[2]characters!$1:$1,0)+1),MATCH(D$1,[2]characters!$1:$1,0)-MATCH($A$1,[2]characters!$1:$1,0)+1,FALSE)</f>
        <v>執行者</v>
      </c>
      <c r="E423" s="24" t="str">
        <f ca="1">VLOOKUP($A423,OFFSET([2]characters!$A$1,0,0,COUNTA([2]characters!$A:$A),MATCH(E$1,[2]characters!$1:$1,0)-MATCH($A$1,[2]characters!$1:$1,0)+1),MATCH(E$1,[2]characters!$1:$1,0)-MATCH($A$1,[2]characters!$1:$1,0)+1,FALSE)</f>
        <v>格好いい</v>
      </c>
      <c r="F423" s="24" t="str">
        <f ca="1">VLOOKUP($A423,OFFSET([2]characters!$A$1,0,0,COUNTA([2]characters!$A:$A),MATCH(F$1,[2]characters!$1:$1,0)-MATCH($A$1,[2]characters!$1:$1,0)+1),MATCH(F$1,[2]characters!$1:$1,0)-MATCH($A$1,[2]characters!$1:$1,0)+1,FALSE)</f>
        <v>女性</v>
      </c>
      <c r="G423" s="24">
        <f ca="1">VLOOKUP($A423,OFFSET([2]characters!$A$1,0,0,COUNTA([2]characters!$A:$A),MATCH(G$1,[2]characters!$1:$1,0)-MATCH($A$1,[2]characters!$1:$1,0)+1),MATCH(G$1,[2]characters!$1:$1,0)-MATCH($A$1,[2]characters!$1:$1,0)+1,FALSE)</f>
        <v>4</v>
      </c>
      <c r="H423" s="24" t="str">
        <f ca="1">VLOOKUP($A423,OFFSET([2]characters!$A$1,0,0,COUNTA([2]characters!$A:$A),MATCH(H$1,[2]characters!$1:$1,0)-MATCH($A$1,[2]characters!$1:$1,0)+1),MATCH(H$1,[2]characters!$1:$1,0)-MATCH($A$1,[2]characters!$1:$1,0)+1,FALSE)</f>
        <v>DropWizS</v>
      </c>
      <c r="I423" s="24" t="str">
        <f ca="1">VLOOKUP($A423,OFFSET([2]characters!$A$1,0,0,COUNTA([2]characters!$A:$A),MATCH(I$1,[2]characters!$1:$1,0)-MATCH($A$1,[2]characters!$1:$1,0)+1),MATCH(I$1,[2]characters!$1:$1,0)-MATCH($A$1,[2]characters!$1:$1,0)+1,FALSE)</f>
        <v>yellow</v>
      </c>
      <c r="J423" s="24" t="str">
        <f ca="1">VLOOKUP($A423,OFFSET([2]characters!$A$1,0,0,COUNTA([2]characters!$A:$A),MATCH(J$1,[2]characters!$1:$1,0)-MATCH($A$1,[2]characters!$1:$1,0)+1),MATCH(J$1,[2]characters!$1:$1,0)-MATCH($A$1,[2]characters!$1:$1,0)+1,FALSE)</f>
        <v>none</v>
      </c>
      <c r="K423" s="3" t="str">
        <f ca="1">VLOOKUP(J423,[2]character_tribe_i18n!$A:$H,3,FALSE)</f>
        <v>種族なし</v>
      </c>
      <c r="L423" s="5" t="e">
        <f>VLOOKUP(#REF!,[2]character_tribe_i18n!$A:$H,4,FALSE)</f>
        <v>#REF!</v>
      </c>
      <c r="M423" s="5" t="e">
        <f>VLOOKUP(#REF!,[2]character_tribe_i18n!$A:$H,5,FALSE)</f>
        <v>#REF!</v>
      </c>
      <c r="N423" s="5" t="e">
        <f>VLOOKUP(#REF!,[2]character_tribe_i18n!$A:$H,6,FALSE)</f>
        <v>#REF!</v>
      </c>
      <c r="O423" s="5" t="e">
        <f>VLOOKUP(#REF!,[2]character_tribe_i18n!$A:$H,7,FALSE)</f>
        <v>#REF!</v>
      </c>
      <c r="P423" s="83" t="s">
        <v>170</v>
      </c>
      <c r="Q423">
        <v>8014</v>
      </c>
      <c r="R423" s="25" t="str">
        <f ca="1">IF(Q423="NULL","",VLOOKUP($Q423,OFFSET([2]characters!$A$1,0,0,COUNTA([2]characters!$A:$A),MATCH(R$1,[2]characters!$1:$1,0)-MATCH($A$1,[2]characters!$1:$1,0)+1),MATCH(R$1,[2]characters!$1:$1,0)-MATCH($A$1,[2]characters!$1:$1,0)+1,FALSE))</f>
        <v>初音ミクV3</v>
      </c>
      <c r="S423" s="3">
        <f t="shared" ca="1" si="12"/>
        <v>8013</v>
      </c>
      <c r="T423" s="25" t="str">
        <f ca="1">VLOOKUP($S423,OFFSET([2]characters!$A$1,0,0,COUNTA([2]characters!$A:$A),MATCH(T$1,[2]characters!$1:$1,0)-MATCH($A$1,[2]characters!$1:$1,0)+1),MATCH(T$1,[2]characters!$1:$1,0)-MATCH($A$1,[2]characters!$1:$1,0)+1,FALSE)</f>
        <v>初音ミクV3</v>
      </c>
      <c r="U423" s="5">
        <f ca="1">IF(Q423="NULL","NULL",VLOOKUP(G423,ビット!$A$2:$B$7,2))</f>
        <v>50000</v>
      </c>
      <c r="V423">
        <v>50000</v>
      </c>
      <c r="W423" s="6" t="str">
        <f t="shared" ref="W423:W444" ca="1" si="18">IF(U423=V423,"TRUE","FALSE")</f>
        <v>TRUE</v>
      </c>
    </row>
    <row r="424" spans="1:23" ht="21" customHeight="1" x14ac:dyDescent="0.15">
      <c r="A424" s="84">
        <v>8015</v>
      </c>
      <c r="B424" s="24" t="str">
        <f ca="1">VLOOKUP($A424,OFFSET([2]characters!$A$1,0,0,COUNTA([2]characters!$A:$A),MATCH(B$1,[2]characters!$1:$1,0)-MATCH($A$1,[2]characters!$1:$1,0)+1),MATCH(B$1,[2]characters!$1:$1,0)-MATCH($A$1,[2]characters!$1:$1,0)+1,FALSE)</f>
        <v>初音ミク・アペンド</v>
      </c>
      <c r="C424" s="24" t="str">
        <f ca="1">VLOOKUP($A424,OFFSET([2]characters!$A$1,0,0,COUNTA([2]characters!$A:$A),MATCH(C$1,[2]characters!$1:$1,0)-MATCH($A$1,[2]characters!$1:$1,0)+1),MATCH(C$1,[2]characters!$1:$1,0)-MATCH($A$1,[2]characters!$1:$1,0)+1,FALSE)</f>
        <v>初音ミク・アペンド</v>
      </c>
      <c r="D424" s="24" t="str">
        <f ca="1">VLOOKUP($A424,OFFSET([2]characters!$A$1,0,0,COUNTA([2]characters!$A:$A),MATCH(D$1,[2]characters!$1:$1,0)-MATCH($A$1,[2]characters!$1:$1,0)+1),MATCH(D$1,[2]characters!$1:$1,0)-MATCH($A$1,[2]characters!$1:$1,0)+1,FALSE)</f>
        <v>執行者</v>
      </c>
      <c r="E424" s="24" t="str">
        <f ca="1">VLOOKUP($A424,OFFSET([2]characters!$A$1,0,0,COUNTA([2]characters!$A:$A),MATCH(E$1,[2]characters!$1:$1,0)-MATCH($A$1,[2]characters!$1:$1,0)+1),MATCH(E$1,[2]characters!$1:$1,0)-MATCH($A$1,[2]characters!$1:$1,0)+1,FALSE)</f>
        <v>格好いい</v>
      </c>
      <c r="F424" s="24" t="str">
        <f ca="1">VLOOKUP($A424,OFFSET([2]characters!$A$1,0,0,COUNTA([2]characters!$A:$A),MATCH(F$1,[2]characters!$1:$1,0)-MATCH($A$1,[2]characters!$1:$1,0)+1),MATCH(F$1,[2]characters!$1:$1,0)-MATCH($A$1,[2]characters!$1:$1,0)+1,FALSE)</f>
        <v>女性</v>
      </c>
      <c r="G424" s="24">
        <f ca="1">VLOOKUP($A424,OFFSET([2]characters!$A$1,0,0,COUNTA([2]characters!$A:$A),MATCH(G$1,[2]characters!$1:$1,0)-MATCH($A$1,[2]characters!$1:$1,0)+1),MATCH(G$1,[2]characters!$1:$1,0)-MATCH($A$1,[2]characters!$1:$1,0)+1,FALSE)</f>
        <v>4</v>
      </c>
      <c r="H424" s="24" t="str">
        <f ca="1">VLOOKUP($A424,OFFSET([2]characters!$A$1,0,0,COUNTA([2]characters!$A:$A),MATCH(H$1,[2]characters!$1:$1,0)-MATCH($A$1,[2]characters!$1:$1,0)+1),MATCH(H$1,[2]characters!$1:$1,0)-MATCH($A$1,[2]characters!$1:$1,0)+1,FALSE)</f>
        <v>PremiumSSS</v>
      </c>
      <c r="I424" s="24" t="str">
        <f ca="1">VLOOKUP($A424,OFFSET([2]characters!$A$1,0,0,COUNTA([2]characters!$A:$A),MATCH(I$1,[2]characters!$1:$1,0)-MATCH($A$1,[2]characters!$1:$1,0)+1),MATCH(I$1,[2]characters!$1:$1,0)-MATCH($A$1,[2]characters!$1:$1,0)+1,FALSE)</f>
        <v>green</v>
      </c>
      <c r="J424" s="24" t="str">
        <f ca="1">VLOOKUP($A424,OFFSET([2]characters!$A$1,0,0,COUNTA([2]characters!$A:$A),MATCH(J$1,[2]characters!$1:$1,0)-MATCH($A$1,[2]characters!$1:$1,0)+1),MATCH(J$1,[2]characters!$1:$1,0)-MATCH($A$1,[2]characters!$1:$1,0)+1,FALSE)</f>
        <v>none</v>
      </c>
      <c r="K424" s="3" t="str">
        <f ca="1">VLOOKUP(J424,[2]character_tribe_i18n!$A:$H,3,FALSE)</f>
        <v>種族なし</v>
      </c>
      <c r="L424" s="5" t="e">
        <f>VLOOKUP(#REF!,[2]character_tribe_i18n!$A:$H,4,FALSE)</f>
        <v>#REF!</v>
      </c>
      <c r="M424" s="5" t="e">
        <f>VLOOKUP(#REF!,[2]character_tribe_i18n!$A:$H,5,FALSE)</f>
        <v>#REF!</v>
      </c>
      <c r="N424" s="5" t="e">
        <f>VLOOKUP(#REF!,[2]character_tribe_i18n!$A:$H,6,FALSE)</f>
        <v>#REF!</v>
      </c>
      <c r="O424" s="5" t="e">
        <f>VLOOKUP(#REF!,[2]character_tribe_i18n!$A:$H,7,FALSE)</f>
        <v>#REF!</v>
      </c>
      <c r="P424" s="83" t="s">
        <v>170</v>
      </c>
      <c r="Q424">
        <v>8016</v>
      </c>
      <c r="R424" s="25" t="str">
        <f ca="1">IF(Q424="NULL","",VLOOKUP($Q424,OFFSET([2]characters!$A$1,0,0,COUNTA([2]characters!$A:$A),MATCH(R$1,[2]characters!$1:$1,0)-MATCH($A$1,[2]characters!$1:$1,0)+1),MATCH(R$1,[2]characters!$1:$1,0)-MATCH($A$1,[2]characters!$1:$1,0)+1,FALSE))</f>
        <v>初音ミク・アペンド</v>
      </c>
      <c r="S424" s="3">
        <f t="shared" ca="1" si="12"/>
        <v>8015</v>
      </c>
      <c r="T424" s="25" t="str">
        <f ca="1">VLOOKUP($S424,OFFSET([2]characters!$A$1,0,0,COUNTA([2]characters!$A:$A),MATCH(T$1,[2]characters!$1:$1,0)-MATCH($A$1,[2]characters!$1:$1,0)+1),MATCH(T$1,[2]characters!$1:$1,0)-MATCH($A$1,[2]characters!$1:$1,0)+1,FALSE)</f>
        <v>初音ミク・アペンド</v>
      </c>
      <c r="U424" s="5">
        <f ca="1">IF(Q424="NULL","NULL",VLOOKUP(G424,ビット!$A$2:$B$7,2))</f>
        <v>50000</v>
      </c>
      <c r="V424">
        <v>50000</v>
      </c>
      <c r="W424" s="6" t="str">
        <f t="shared" ca="1" si="18"/>
        <v>TRUE</v>
      </c>
    </row>
    <row r="425" spans="1:23" ht="21" customHeight="1" x14ac:dyDescent="0.15">
      <c r="A425" s="84">
        <v>8017</v>
      </c>
      <c r="B425" s="24" t="str">
        <f ca="1">VLOOKUP($A425,OFFSET([2]characters!$A$1,0,0,COUNTA([2]characters!$A:$A),MATCH(B$1,[2]characters!$1:$1,0)-MATCH($A$1,[2]characters!$1:$1,0)+1),MATCH(B$1,[2]characters!$1:$1,0)-MATCH($A$1,[2]characters!$1:$1,0)+1,FALSE)</f>
        <v>初音ミク</v>
      </c>
      <c r="C425" s="24" t="str">
        <f ca="1">VLOOKUP($A425,OFFSET([2]characters!$A$1,0,0,COUNTA([2]characters!$A:$A),MATCH(C$1,[2]characters!$1:$1,0)-MATCH($A$1,[2]characters!$1:$1,0)+1),MATCH(C$1,[2]characters!$1:$1,0)-MATCH($A$1,[2]characters!$1:$1,0)+1,FALSE)</f>
        <v>初音ミク</v>
      </c>
      <c r="D425" s="24" t="str">
        <f ca="1">VLOOKUP($A425,OFFSET([2]characters!$A$1,0,0,COUNTA([2]characters!$A:$A),MATCH(D$1,[2]characters!$1:$1,0)-MATCH($A$1,[2]characters!$1:$1,0)+1),MATCH(D$1,[2]characters!$1:$1,0)-MATCH($A$1,[2]characters!$1:$1,0)+1,FALSE)</f>
        <v>執行者</v>
      </c>
      <c r="E425" s="24" t="str">
        <f ca="1">VLOOKUP($A425,OFFSET([2]characters!$A$1,0,0,COUNTA([2]characters!$A:$A),MATCH(E$1,[2]characters!$1:$1,0)-MATCH($A$1,[2]characters!$1:$1,0)+1),MATCH(E$1,[2]characters!$1:$1,0)-MATCH($A$1,[2]characters!$1:$1,0)+1,FALSE)</f>
        <v>格好いい</v>
      </c>
      <c r="F425" s="24" t="str">
        <f ca="1">VLOOKUP($A425,OFFSET([2]characters!$A$1,0,0,COUNTA([2]characters!$A:$A),MATCH(F$1,[2]characters!$1:$1,0)-MATCH($A$1,[2]characters!$1:$1,0)+1),MATCH(F$1,[2]characters!$1:$1,0)-MATCH($A$1,[2]characters!$1:$1,0)+1,FALSE)</f>
        <v>女性</v>
      </c>
      <c r="G425" s="24">
        <f ca="1">VLOOKUP($A425,OFFSET([2]characters!$A$1,0,0,COUNTA([2]characters!$A:$A),MATCH(G$1,[2]characters!$1:$1,0)-MATCH($A$1,[2]characters!$1:$1,0)+1),MATCH(G$1,[2]characters!$1:$1,0)-MATCH($A$1,[2]characters!$1:$1,0)+1,FALSE)</f>
        <v>4</v>
      </c>
      <c r="H425" s="24" t="str">
        <f ca="1">VLOOKUP($A425,OFFSET([2]characters!$A$1,0,0,COUNTA([2]characters!$A:$A),MATCH(H$1,[2]characters!$1:$1,0)-MATCH($A$1,[2]characters!$1:$1,0)+1),MATCH(H$1,[2]characters!$1:$1,0)-MATCH($A$1,[2]characters!$1:$1,0)+1,FALSE)</f>
        <v>PremiumSSS</v>
      </c>
      <c r="I425" s="24" t="str">
        <f ca="1">VLOOKUP($A425,OFFSET([2]characters!$A$1,0,0,COUNTA([2]characters!$A:$A),MATCH(I$1,[2]characters!$1:$1,0)-MATCH($A$1,[2]characters!$1:$1,0)+1),MATCH(I$1,[2]characters!$1:$1,0)-MATCH($A$1,[2]characters!$1:$1,0)+1,FALSE)</f>
        <v>green</v>
      </c>
      <c r="J425" s="24" t="str">
        <f ca="1">VLOOKUP($A425,OFFSET([2]characters!$A$1,0,0,COUNTA([2]characters!$A:$A),MATCH(J$1,[2]characters!$1:$1,0)-MATCH($A$1,[2]characters!$1:$1,0)+1),MATCH(J$1,[2]characters!$1:$1,0)-MATCH($A$1,[2]characters!$1:$1,0)+1,FALSE)</f>
        <v>none</v>
      </c>
      <c r="K425" s="3" t="str">
        <f ca="1">VLOOKUP(J425,[2]character_tribe_i18n!$A:$H,3,FALSE)</f>
        <v>種族なし</v>
      </c>
      <c r="L425" s="5" t="e">
        <f>VLOOKUP(#REF!,[2]character_tribe_i18n!$A:$H,4,FALSE)</f>
        <v>#REF!</v>
      </c>
      <c r="M425" s="5" t="e">
        <f>VLOOKUP(#REF!,[2]character_tribe_i18n!$A:$H,5,FALSE)</f>
        <v>#REF!</v>
      </c>
      <c r="N425" s="5" t="e">
        <f>VLOOKUP(#REF!,[2]character_tribe_i18n!$A:$H,6,FALSE)</f>
        <v>#REF!</v>
      </c>
      <c r="O425" s="5" t="e">
        <f>VLOOKUP(#REF!,[2]character_tribe_i18n!$A:$H,7,FALSE)</f>
        <v>#REF!</v>
      </c>
      <c r="P425" s="83" t="s">
        <v>170</v>
      </c>
      <c r="Q425">
        <v>8018</v>
      </c>
      <c r="R425" s="25" t="str">
        <f ca="1">IF(Q425="NULL","",VLOOKUP($Q425,OFFSET([2]characters!$A$1,0,0,COUNTA([2]characters!$A:$A),MATCH(R$1,[2]characters!$1:$1,0)-MATCH($A$1,[2]characters!$1:$1,0)+1),MATCH(R$1,[2]characters!$1:$1,0)-MATCH($A$1,[2]characters!$1:$1,0)+1,FALSE))</f>
        <v>初音ミク</v>
      </c>
      <c r="S425" s="3">
        <f t="shared" ca="1" si="12"/>
        <v>8017</v>
      </c>
      <c r="T425" s="25" t="str">
        <f ca="1">VLOOKUP($S425,OFFSET([2]characters!$A$1,0,0,COUNTA([2]characters!$A:$A),MATCH(T$1,[2]characters!$1:$1,0)-MATCH($A$1,[2]characters!$1:$1,0)+1),MATCH(T$1,[2]characters!$1:$1,0)-MATCH($A$1,[2]characters!$1:$1,0)+1,FALSE)</f>
        <v>初音ミク</v>
      </c>
      <c r="U425" s="5">
        <f ca="1">IF(Q425="NULL","NULL",VLOOKUP(G425,ビット!$A$2:$B$7,2))</f>
        <v>50000</v>
      </c>
      <c r="V425">
        <v>50000</v>
      </c>
      <c r="W425" s="6" t="str">
        <f t="shared" ca="1" si="18"/>
        <v>TRUE</v>
      </c>
    </row>
    <row r="426" spans="1:23" ht="21" customHeight="1" x14ac:dyDescent="0.15">
      <c r="A426" s="84">
        <v>8019</v>
      </c>
      <c r="B426" s="24" t="str">
        <f ca="1">VLOOKUP($A426,OFFSET([2]characters!$A$1,0,0,COUNTA([2]characters!$A:$A),MATCH(B$1,[2]characters!$1:$1,0)-MATCH($A$1,[2]characters!$1:$1,0)+1),MATCH(B$1,[2]characters!$1:$1,0)-MATCH($A$1,[2]characters!$1:$1,0)+1,FALSE)</f>
        <v>鏡音リン</v>
      </c>
      <c r="C426" s="24" t="str">
        <f ca="1">VLOOKUP($A426,OFFSET([2]characters!$A$1,0,0,COUNTA([2]characters!$A:$A),MATCH(C$1,[2]characters!$1:$1,0)-MATCH($A$1,[2]characters!$1:$1,0)+1),MATCH(C$1,[2]characters!$1:$1,0)-MATCH($A$1,[2]characters!$1:$1,0)+1,FALSE)</f>
        <v>鏡音リン</v>
      </c>
      <c r="D426" s="24" t="str">
        <f ca="1">VLOOKUP($A426,OFFSET([2]characters!$A$1,0,0,COUNTA([2]characters!$A:$A),MATCH(D$1,[2]characters!$1:$1,0)-MATCH($A$1,[2]characters!$1:$1,0)+1),MATCH(D$1,[2]characters!$1:$1,0)-MATCH($A$1,[2]characters!$1:$1,0)+1,FALSE)</f>
        <v>執行者</v>
      </c>
      <c r="E426" s="24" t="str">
        <f ca="1">VLOOKUP($A426,OFFSET([2]characters!$A$1,0,0,COUNTA([2]characters!$A:$A),MATCH(E$1,[2]characters!$1:$1,0)-MATCH($A$1,[2]characters!$1:$1,0)+1),MATCH(E$1,[2]characters!$1:$1,0)-MATCH($A$1,[2]characters!$1:$1,0)+1,FALSE)</f>
        <v>格好いい</v>
      </c>
      <c r="F426" s="24" t="str">
        <f ca="1">VLOOKUP($A426,OFFSET([2]characters!$A$1,0,0,COUNTA([2]characters!$A:$A),MATCH(F$1,[2]characters!$1:$1,0)-MATCH($A$1,[2]characters!$1:$1,0)+1),MATCH(F$1,[2]characters!$1:$1,0)-MATCH($A$1,[2]characters!$1:$1,0)+1,FALSE)</f>
        <v>男性</v>
      </c>
      <c r="G426" s="24">
        <f ca="1">VLOOKUP($A426,OFFSET([2]characters!$A$1,0,0,COUNTA([2]characters!$A:$A),MATCH(G$1,[2]characters!$1:$1,0)-MATCH($A$1,[2]characters!$1:$1,0)+1),MATCH(G$1,[2]characters!$1:$1,0)-MATCH($A$1,[2]characters!$1:$1,0)+1,FALSE)</f>
        <v>4</v>
      </c>
      <c r="H426" s="24" t="str">
        <f ca="1">VLOOKUP($A426,OFFSET([2]characters!$A$1,0,0,COUNTA([2]characters!$A:$A),MATCH(H$1,[2]characters!$1:$1,0)-MATCH($A$1,[2]characters!$1:$1,0)+1),MATCH(H$1,[2]characters!$1:$1,0)-MATCH($A$1,[2]characters!$1:$1,0)+1,FALSE)</f>
        <v>PremiumSS</v>
      </c>
      <c r="I426" s="24" t="str">
        <f ca="1">VLOOKUP($A426,OFFSET([2]characters!$A$1,0,0,COUNTA([2]characters!$A:$A),MATCH(I$1,[2]characters!$1:$1,0)-MATCH($A$1,[2]characters!$1:$1,0)+1),MATCH(I$1,[2]characters!$1:$1,0)-MATCH($A$1,[2]characters!$1:$1,0)+1,FALSE)</f>
        <v>yellow</v>
      </c>
      <c r="J426" s="24" t="str">
        <f ca="1">VLOOKUP($A426,OFFSET([2]characters!$A$1,0,0,COUNTA([2]characters!$A:$A),MATCH(J$1,[2]characters!$1:$1,0)-MATCH($A$1,[2]characters!$1:$1,0)+1),MATCH(J$1,[2]characters!$1:$1,0)-MATCH($A$1,[2]characters!$1:$1,0)+1,FALSE)</f>
        <v>none</v>
      </c>
      <c r="K426" s="3" t="str">
        <f ca="1">VLOOKUP(J426,[2]character_tribe_i18n!$A:$H,3,FALSE)</f>
        <v>種族なし</v>
      </c>
      <c r="L426" s="5" t="e">
        <f>VLOOKUP(#REF!,[2]character_tribe_i18n!$A:$H,4,FALSE)</f>
        <v>#REF!</v>
      </c>
      <c r="M426" s="5" t="e">
        <f>VLOOKUP(#REF!,[2]character_tribe_i18n!$A:$H,5,FALSE)</f>
        <v>#REF!</v>
      </c>
      <c r="N426" s="5" t="e">
        <f>VLOOKUP(#REF!,[2]character_tribe_i18n!$A:$H,6,FALSE)</f>
        <v>#REF!</v>
      </c>
      <c r="O426" s="5" t="e">
        <f>VLOOKUP(#REF!,[2]character_tribe_i18n!$A:$H,7,FALSE)</f>
        <v>#REF!</v>
      </c>
      <c r="P426" s="83" t="s">
        <v>170</v>
      </c>
      <c r="Q426">
        <v>8020</v>
      </c>
      <c r="R426" s="25" t="str">
        <f ca="1">IF(Q426="NULL","",VLOOKUP($Q426,OFFSET([2]characters!$A$1,0,0,COUNTA([2]characters!$A:$A),MATCH(R$1,[2]characters!$1:$1,0)-MATCH($A$1,[2]characters!$1:$1,0)+1),MATCH(R$1,[2]characters!$1:$1,0)-MATCH($A$1,[2]characters!$1:$1,0)+1,FALSE))</f>
        <v>鏡音リン</v>
      </c>
      <c r="S426" s="3">
        <f t="shared" ca="1" si="12"/>
        <v>8019</v>
      </c>
      <c r="T426" s="25" t="str">
        <f ca="1">VLOOKUP($S426,OFFSET([2]characters!$A$1,0,0,COUNTA([2]characters!$A:$A),MATCH(T$1,[2]characters!$1:$1,0)-MATCH($A$1,[2]characters!$1:$1,0)+1),MATCH(T$1,[2]characters!$1:$1,0)-MATCH($A$1,[2]characters!$1:$1,0)+1,FALSE)</f>
        <v>鏡音リン</v>
      </c>
      <c r="U426" s="5">
        <f ca="1">IF(Q426="NULL","NULL",VLOOKUP(G426,ビット!$A$2:$B$7,2))</f>
        <v>50000</v>
      </c>
      <c r="V426">
        <v>50000</v>
      </c>
      <c r="W426" s="6" t="str">
        <f t="shared" ca="1" si="18"/>
        <v>TRUE</v>
      </c>
    </row>
    <row r="427" spans="1:23" ht="21" customHeight="1" x14ac:dyDescent="0.15">
      <c r="A427" s="84">
        <v>8021</v>
      </c>
      <c r="B427" s="24" t="str">
        <f ca="1">VLOOKUP($A427,OFFSET([2]characters!$A$1,0,0,COUNTA([2]characters!$A:$A),MATCH(B$1,[2]characters!$1:$1,0)-MATCH($A$1,[2]characters!$1:$1,0)+1),MATCH(B$1,[2]characters!$1:$1,0)-MATCH($A$1,[2]characters!$1:$1,0)+1,FALSE)</f>
        <v>鏡音レン</v>
      </c>
      <c r="C427" s="24" t="str">
        <f ca="1">VLOOKUP($A427,OFFSET([2]characters!$A$1,0,0,COUNTA([2]characters!$A:$A),MATCH(C$1,[2]characters!$1:$1,0)-MATCH($A$1,[2]characters!$1:$1,0)+1),MATCH(C$1,[2]characters!$1:$1,0)-MATCH($A$1,[2]characters!$1:$1,0)+1,FALSE)</f>
        <v>鏡音レン</v>
      </c>
      <c r="D427" s="24" t="str">
        <f ca="1">VLOOKUP($A427,OFFSET([2]characters!$A$1,0,0,COUNTA([2]characters!$A:$A),MATCH(D$1,[2]characters!$1:$1,0)-MATCH($A$1,[2]characters!$1:$1,0)+1),MATCH(D$1,[2]characters!$1:$1,0)-MATCH($A$1,[2]characters!$1:$1,0)+1,FALSE)</f>
        <v>執行者</v>
      </c>
      <c r="E427" s="24" t="str">
        <f ca="1">VLOOKUP($A427,OFFSET([2]characters!$A$1,0,0,COUNTA([2]characters!$A:$A),MATCH(E$1,[2]characters!$1:$1,0)-MATCH($A$1,[2]characters!$1:$1,0)+1),MATCH(E$1,[2]characters!$1:$1,0)-MATCH($A$1,[2]characters!$1:$1,0)+1,FALSE)</f>
        <v>格好いい</v>
      </c>
      <c r="F427" s="24" t="str">
        <f ca="1">VLOOKUP($A427,OFFSET([2]characters!$A$1,0,0,COUNTA([2]characters!$A:$A),MATCH(F$1,[2]characters!$1:$1,0)-MATCH($A$1,[2]characters!$1:$1,0)+1),MATCH(F$1,[2]characters!$1:$1,0)-MATCH($A$1,[2]characters!$1:$1,0)+1,FALSE)</f>
        <v>女性</v>
      </c>
      <c r="G427" s="24">
        <f ca="1">VLOOKUP($A427,OFFSET([2]characters!$A$1,0,0,COUNTA([2]characters!$A:$A),MATCH(G$1,[2]characters!$1:$1,0)-MATCH($A$1,[2]characters!$1:$1,0)+1),MATCH(G$1,[2]characters!$1:$1,0)-MATCH($A$1,[2]characters!$1:$1,0)+1,FALSE)</f>
        <v>4</v>
      </c>
      <c r="H427" s="24" t="str">
        <f ca="1">VLOOKUP($A427,OFFSET([2]characters!$A$1,0,0,COUNTA([2]characters!$A:$A),MATCH(H$1,[2]characters!$1:$1,0)-MATCH($A$1,[2]characters!$1:$1,0)+1),MATCH(H$1,[2]characters!$1:$1,0)-MATCH($A$1,[2]characters!$1:$1,0)+1,FALSE)</f>
        <v>PremiumSS</v>
      </c>
      <c r="I427" s="24" t="str">
        <f ca="1">VLOOKUP($A427,OFFSET([2]characters!$A$1,0,0,COUNTA([2]characters!$A:$A),MATCH(I$1,[2]characters!$1:$1,0)-MATCH($A$1,[2]characters!$1:$1,0)+1),MATCH(I$1,[2]characters!$1:$1,0)-MATCH($A$1,[2]characters!$1:$1,0)+1,FALSE)</f>
        <v>yellow</v>
      </c>
      <c r="J427" s="24" t="str">
        <f ca="1">VLOOKUP($A427,OFFSET([2]characters!$A$1,0,0,COUNTA([2]characters!$A:$A),MATCH(J$1,[2]characters!$1:$1,0)-MATCH($A$1,[2]characters!$1:$1,0)+1),MATCH(J$1,[2]characters!$1:$1,0)-MATCH($A$1,[2]characters!$1:$1,0)+1,FALSE)</f>
        <v>none</v>
      </c>
      <c r="K427" s="3" t="str">
        <f ca="1">VLOOKUP(J427,[2]character_tribe_i18n!$A:$H,3,FALSE)</f>
        <v>種族なし</v>
      </c>
      <c r="L427" s="5" t="e">
        <f>VLOOKUP(#REF!,[2]character_tribe_i18n!$A:$H,4,FALSE)</f>
        <v>#REF!</v>
      </c>
      <c r="M427" s="5" t="e">
        <f>VLOOKUP(#REF!,[2]character_tribe_i18n!$A:$H,5,FALSE)</f>
        <v>#REF!</v>
      </c>
      <c r="N427" s="5" t="e">
        <f>VLOOKUP(#REF!,[2]character_tribe_i18n!$A:$H,6,FALSE)</f>
        <v>#REF!</v>
      </c>
      <c r="O427" s="5" t="e">
        <f>VLOOKUP(#REF!,[2]character_tribe_i18n!$A:$H,7,FALSE)</f>
        <v>#REF!</v>
      </c>
      <c r="P427" s="83" t="s">
        <v>170</v>
      </c>
      <c r="Q427">
        <v>8022</v>
      </c>
      <c r="R427" s="25" t="str">
        <f ca="1">IF(Q427="NULL","",VLOOKUP($Q427,OFFSET([2]characters!$A$1,0,0,COUNTA([2]characters!$A:$A),MATCH(R$1,[2]characters!$1:$1,0)-MATCH($A$1,[2]characters!$1:$1,0)+1),MATCH(R$1,[2]characters!$1:$1,0)-MATCH($A$1,[2]characters!$1:$1,0)+1,FALSE))</f>
        <v>鏡音レン</v>
      </c>
      <c r="S427" s="3">
        <f t="shared" ca="1" si="12"/>
        <v>8021</v>
      </c>
      <c r="T427" s="25" t="str">
        <f ca="1">VLOOKUP($S427,OFFSET([2]characters!$A$1,0,0,COUNTA([2]characters!$A:$A),MATCH(T$1,[2]characters!$1:$1,0)-MATCH($A$1,[2]characters!$1:$1,0)+1),MATCH(T$1,[2]characters!$1:$1,0)-MATCH($A$1,[2]characters!$1:$1,0)+1,FALSE)</f>
        <v>鏡音レン</v>
      </c>
      <c r="U427" s="5">
        <f ca="1">IF(Q427="NULL","NULL",VLOOKUP(G427,ビット!$A$2:$B$7,2))</f>
        <v>50000</v>
      </c>
      <c r="V427">
        <v>50000</v>
      </c>
      <c r="W427" s="6" t="str">
        <f t="shared" ca="1" si="18"/>
        <v>TRUE</v>
      </c>
    </row>
    <row r="428" spans="1:23" ht="21" customHeight="1" x14ac:dyDescent="0.15">
      <c r="A428" s="84">
        <v>8023</v>
      </c>
      <c r="B428" s="24" t="str">
        <f ca="1">VLOOKUP($A428,OFFSET([2]characters!$A$1,0,0,COUNTA([2]characters!$A:$A),MATCH(B$1,[2]characters!$1:$1,0)-MATCH($A$1,[2]characters!$1:$1,0)+1),MATCH(B$1,[2]characters!$1:$1,0)-MATCH($A$1,[2]characters!$1:$1,0)+1,FALSE)</f>
        <v>巡音ルカ</v>
      </c>
      <c r="C428" s="24" t="str">
        <f ca="1">VLOOKUP($A428,OFFSET([2]characters!$A$1,0,0,COUNTA([2]characters!$A:$A),MATCH(C$1,[2]characters!$1:$1,0)-MATCH($A$1,[2]characters!$1:$1,0)+1),MATCH(C$1,[2]characters!$1:$1,0)-MATCH($A$1,[2]characters!$1:$1,0)+1,FALSE)</f>
        <v>巡音ルカ</v>
      </c>
      <c r="D428" s="24" t="str">
        <f ca="1">VLOOKUP($A428,OFFSET([2]characters!$A$1,0,0,COUNTA([2]characters!$A:$A),MATCH(D$1,[2]characters!$1:$1,0)-MATCH($A$1,[2]characters!$1:$1,0)+1),MATCH(D$1,[2]characters!$1:$1,0)-MATCH($A$1,[2]characters!$1:$1,0)+1,FALSE)</f>
        <v>執行者</v>
      </c>
      <c r="E428" s="24" t="str">
        <f ca="1">VLOOKUP($A428,OFFSET([2]characters!$A$1,0,0,COUNTA([2]characters!$A:$A),MATCH(E$1,[2]characters!$1:$1,0)-MATCH($A$1,[2]characters!$1:$1,0)+1),MATCH(E$1,[2]characters!$1:$1,0)-MATCH($A$1,[2]characters!$1:$1,0)+1,FALSE)</f>
        <v>格好いい</v>
      </c>
      <c r="F428" s="24" t="str">
        <f ca="1">VLOOKUP($A428,OFFSET([2]characters!$A$1,0,0,COUNTA([2]characters!$A:$A),MATCH(F$1,[2]characters!$1:$1,0)-MATCH($A$1,[2]characters!$1:$1,0)+1),MATCH(F$1,[2]characters!$1:$1,0)-MATCH($A$1,[2]characters!$1:$1,0)+1,FALSE)</f>
        <v>女性</v>
      </c>
      <c r="G428" s="24">
        <f ca="1">VLOOKUP($A428,OFFSET([2]characters!$A$1,0,0,COUNTA([2]characters!$A:$A),MATCH(G$1,[2]characters!$1:$1,0)-MATCH($A$1,[2]characters!$1:$1,0)+1),MATCH(G$1,[2]characters!$1:$1,0)-MATCH($A$1,[2]characters!$1:$1,0)+1,FALSE)</f>
        <v>3</v>
      </c>
      <c r="H428" s="24" t="str">
        <f ca="1">VLOOKUP($A428,OFFSET([2]characters!$A$1,0,0,COUNTA([2]characters!$A:$A),MATCH(H$1,[2]characters!$1:$1,0)-MATCH($A$1,[2]characters!$1:$1,0)+1),MATCH(H$1,[2]characters!$1:$1,0)-MATCH($A$1,[2]characters!$1:$1,0)+1,FALSE)</f>
        <v>PremiumS</v>
      </c>
      <c r="I428" s="24" t="str">
        <f ca="1">VLOOKUP($A428,OFFSET([2]characters!$A$1,0,0,COUNTA([2]characters!$A:$A),MATCH(I$1,[2]characters!$1:$1,0)-MATCH($A$1,[2]characters!$1:$1,0)+1),MATCH(I$1,[2]characters!$1:$1,0)-MATCH($A$1,[2]characters!$1:$1,0)+1,FALSE)</f>
        <v>red</v>
      </c>
      <c r="J428" s="24" t="str">
        <f ca="1">VLOOKUP($A428,OFFSET([2]characters!$A$1,0,0,COUNTA([2]characters!$A:$A),MATCH(J$1,[2]characters!$1:$1,0)-MATCH($A$1,[2]characters!$1:$1,0)+1),MATCH(J$1,[2]characters!$1:$1,0)-MATCH($A$1,[2]characters!$1:$1,0)+1,FALSE)</f>
        <v>none</v>
      </c>
      <c r="K428" s="3" t="str">
        <f ca="1">VLOOKUP(J428,[2]character_tribe_i18n!$A:$H,3,FALSE)</f>
        <v>種族なし</v>
      </c>
      <c r="L428" s="5" t="e">
        <f>VLOOKUP(#REF!,[2]character_tribe_i18n!$A:$H,4,FALSE)</f>
        <v>#REF!</v>
      </c>
      <c r="M428" s="5" t="e">
        <f>VLOOKUP(#REF!,[2]character_tribe_i18n!$A:$H,5,FALSE)</f>
        <v>#REF!</v>
      </c>
      <c r="N428" s="5" t="e">
        <f>VLOOKUP(#REF!,[2]character_tribe_i18n!$A:$H,6,FALSE)</f>
        <v>#REF!</v>
      </c>
      <c r="O428" s="5" t="e">
        <f>VLOOKUP(#REF!,[2]character_tribe_i18n!$A:$H,7,FALSE)</f>
        <v>#REF!</v>
      </c>
      <c r="P428" s="83" t="s">
        <v>170</v>
      </c>
      <c r="Q428">
        <v>8024</v>
      </c>
      <c r="R428" s="25" t="str">
        <f ca="1">IF(Q428="NULL","",VLOOKUP($Q428,OFFSET([2]characters!$A$1,0,0,COUNTA([2]characters!$A:$A),MATCH(R$1,[2]characters!$1:$1,0)-MATCH($A$1,[2]characters!$1:$1,0)+1),MATCH(R$1,[2]characters!$1:$1,0)-MATCH($A$1,[2]characters!$1:$1,0)+1,FALSE))</f>
        <v>巡音ルカ</v>
      </c>
      <c r="S428" s="3">
        <f t="shared" ca="1" si="12"/>
        <v>8023</v>
      </c>
      <c r="T428" s="25" t="str">
        <f ca="1">VLOOKUP($S428,OFFSET([2]characters!$A$1,0,0,COUNTA([2]characters!$A:$A),MATCH(T$1,[2]characters!$1:$1,0)-MATCH($A$1,[2]characters!$1:$1,0)+1),MATCH(T$1,[2]characters!$1:$1,0)-MATCH($A$1,[2]characters!$1:$1,0)+1,FALSE)</f>
        <v>巡音ルカ</v>
      </c>
      <c r="U428" s="5">
        <f ca="1">IF(Q428="NULL","NULL",VLOOKUP(G428,ビット!$A$2:$B$7,2))</f>
        <v>20000</v>
      </c>
      <c r="V428">
        <v>20000</v>
      </c>
      <c r="W428" s="6" t="str">
        <f t="shared" ca="1" si="18"/>
        <v>TRUE</v>
      </c>
    </row>
    <row r="429" spans="1:23" ht="21" customHeight="1" x14ac:dyDescent="0.15">
      <c r="A429" s="84">
        <v>8025</v>
      </c>
      <c r="B429" s="24" t="str">
        <f ca="1">VLOOKUP($A429,OFFSET([2]characters!$A$1,0,0,COUNTA([2]characters!$A:$A),MATCH(B$1,[2]characters!$1:$1,0)-MATCH($A$1,[2]characters!$1:$1,0)+1),MATCH(B$1,[2]characters!$1:$1,0)-MATCH($A$1,[2]characters!$1:$1,0)+1,FALSE)</f>
        <v>MEIKO</v>
      </c>
      <c r="C429" s="24" t="str">
        <f ca="1">VLOOKUP($A429,OFFSET([2]characters!$A$1,0,0,COUNTA([2]characters!$A:$A),MATCH(C$1,[2]characters!$1:$1,0)-MATCH($A$1,[2]characters!$1:$1,0)+1),MATCH(C$1,[2]characters!$1:$1,0)-MATCH($A$1,[2]characters!$1:$1,0)+1,FALSE)</f>
        <v>MEIKO</v>
      </c>
      <c r="D429" s="24" t="str">
        <f ca="1">VLOOKUP($A429,OFFSET([2]characters!$A$1,0,0,COUNTA([2]characters!$A:$A),MATCH(D$1,[2]characters!$1:$1,0)-MATCH($A$1,[2]characters!$1:$1,0)+1),MATCH(D$1,[2]characters!$1:$1,0)-MATCH($A$1,[2]characters!$1:$1,0)+1,FALSE)</f>
        <v>執行者</v>
      </c>
      <c r="E429" s="24" t="str">
        <f ca="1">VLOOKUP($A429,OFFSET([2]characters!$A$1,0,0,COUNTA([2]characters!$A:$A),MATCH(E$1,[2]characters!$1:$1,0)-MATCH($A$1,[2]characters!$1:$1,0)+1),MATCH(E$1,[2]characters!$1:$1,0)-MATCH($A$1,[2]characters!$1:$1,0)+1,FALSE)</f>
        <v>格好いい</v>
      </c>
      <c r="F429" s="24" t="str">
        <f ca="1">VLOOKUP($A429,OFFSET([2]characters!$A$1,0,0,COUNTA([2]characters!$A:$A),MATCH(F$1,[2]characters!$1:$1,0)-MATCH($A$1,[2]characters!$1:$1,0)+1),MATCH(F$1,[2]characters!$1:$1,0)-MATCH($A$1,[2]characters!$1:$1,0)+1,FALSE)</f>
        <v>男性</v>
      </c>
      <c r="G429" s="24">
        <f ca="1">VLOOKUP($A429,OFFSET([2]characters!$A$1,0,0,COUNTA([2]characters!$A:$A),MATCH(G$1,[2]characters!$1:$1,0)-MATCH($A$1,[2]characters!$1:$1,0)+1),MATCH(G$1,[2]characters!$1:$1,0)-MATCH($A$1,[2]characters!$1:$1,0)+1,FALSE)</f>
        <v>3</v>
      </c>
      <c r="H429" s="24" t="str">
        <f ca="1">VLOOKUP($A429,OFFSET([2]characters!$A$1,0,0,COUNTA([2]characters!$A:$A),MATCH(H$1,[2]characters!$1:$1,0)-MATCH($A$1,[2]characters!$1:$1,0)+1),MATCH(H$1,[2]characters!$1:$1,0)-MATCH($A$1,[2]characters!$1:$1,0)+1,FALSE)</f>
        <v>PremiumS</v>
      </c>
      <c r="I429" s="24" t="str">
        <f ca="1">VLOOKUP($A429,OFFSET([2]characters!$A$1,0,0,COUNTA([2]characters!$A:$A),MATCH(I$1,[2]characters!$1:$1,0)-MATCH($A$1,[2]characters!$1:$1,0)+1),MATCH(I$1,[2]characters!$1:$1,0)-MATCH($A$1,[2]characters!$1:$1,0)+1,FALSE)</f>
        <v>red</v>
      </c>
      <c r="J429" s="24" t="str">
        <f ca="1">VLOOKUP($A429,OFFSET([2]characters!$A$1,0,0,COUNTA([2]characters!$A:$A),MATCH(J$1,[2]characters!$1:$1,0)-MATCH($A$1,[2]characters!$1:$1,0)+1),MATCH(J$1,[2]characters!$1:$1,0)-MATCH($A$1,[2]characters!$1:$1,0)+1,FALSE)</f>
        <v>none</v>
      </c>
      <c r="K429" s="3" t="str">
        <f ca="1">VLOOKUP(J429,[2]character_tribe_i18n!$A:$H,3,FALSE)</f>
        <v>種族なし</v>
      </c>
      <c r="L429" s="5" t="e">
        <f>VLOOKUP(#REF!,[2]character_tribe_i18n!$A:$H,4,FALSE)</f>
        <v>#REF!</v>
      </c>
      <c r="M429" s="5" t="e">
        <f>VLOOKUP(#REF!,[2]character_tribe_i18n!$A:$H,5,FALSE)</f>
        <v>#REF!</v>
      </c>
      <c r="N429" s="5" t="e">
        <f>VLOOKUP(#REF!,[2]character_tribe_i18n!$A:$H,6,FALSE)</f>
        <v>#REF!</v>
      </c>
      <c r="O429" s="5" t="e">
        <f>VLOOKUP(#REF!,[2]character_tribe_i18n!$A:$H,7,FALSE)</f>
        <v>#REF!</v>
      </c>
      <c r="P429" s="83" t="s">
        <v>170</v>
      </c>
      <c r="Q429">
        <v>8026</v>
      </c>
      <c r="R429" s="25" t="str">
        <f ca="1">IF(Q429="NULL","",VLOOKUP($Q429,OFFSET([2]characters!$A$1,0,0,COUNTA([2]characters!$A:$A),MATCH(R$1,[2]characters!$1:$1,0)-MATCH($A$1,[2]characters!$1:$1,0)+1),MATCH(R$1,[2]characters!$1:$1,0)-MATCH($A$1,[2]characters!$1:$1,0)+1,FALSE))</f>
        <v>MEIKO</v>
      </c>
      <c r="S429" s="3">
        <f t="shared" ca="1" si="12"/>
        <v>8025</v>
      </c>
      <c r="T429" s="25" t="str">
        <f ca="1">VLOOKUP($S429,OFFSET([2]characters!$A$1,0,0,COUNTA([2]characters!$A:$A),MATCH(T$1,[2]characters!$1:$1,0)-MATCH($A$1,[2]characters!$1:$1,0)+1),MATCH(T$1,[2]characters!$1:$1,0)-MATCH($A$1,[2]characters!$1:$1,0)+1,FALSE)</f>
        <v>MEIKO</v>
      </c>
      <c r="U429" s="5">
        <f ca="1">IF(Q429="NULL","NULL",VLOOKUP(G429,ビット!$A$2:$B$7,2))</f>
        <v>20000</v>
      </c>
      <c r="V429">
        <v>20000</v>
      </c>
      <c r="W429" s="6" t="str">
        <f t="shared" ca="1" si="18"/>
        <v>TRUE</v>
      </c>
    </row>
    <row r="430" spans="1:23" ht="21" customHeight="1" x14ac:dyDescent="0.15">
      <c r="A430" s="84">
        <v>8027</v>
      </c>
      <c r="B430" s="24" t="str">
        <f ca="1">VLOOKUP($A430,OFFSET([2]characters!$A$1,0,0,COUNTA([2]characters!$A:$A),MATCH(B$1,[2]characters!$1:$1,0)-MATCH($A$1,[2]characters!$1:$1,0)+1),MATCH(B$1,[2]characters!$1:$1,0)-MATCH($A$1,[2]characters!$1:$1,0)+1,FALSE)</f>
        <v>KAITO</v>
      </c>
      <c r="C430" s="24" t="str">
        <f ca="1">VLOOKUP($A430,OFFSET([2]characters!$A$1,0,0,COUNTA([2]characters!$A:$A),MATCH(C$1,[2]characters!$1:$1,0)-MATCH($A$1,[2]characters!$1:$1,0)+1),MATCH(C$1,[2]characters!$1:$1,0)-MATCH($A$1,[2]characters!$1:$1,0)+1,FALSE)</f>
        <v>KAITO</v>
      </c>
      <c r="D430" s="24" t="str">
        <f ca="1">VLOOKUP($A430,OFFSET([2]characters!$A$1,0,0,COUNTA([2]characters!$A:$A),MATCH(D$1,[2]characters!$1:$1,0)-MATCH($A$1,[2]characters!$1:$1,0)+1),MATCH(D$1,[2]characters!$1:$1,0)-MATCH($A$1,[2]characters!$1:$1,0)+1,FALSE)</f>
        <v>執行者</v>
      </c>
      <c r="E430" s="24" t="str">
        <f ca="1">VLOOKUP($A430,OFFSET([2]characters!$A$1,0,0,COUNTA([2]characters!$A:$A),MATCH(E$1,[2]characters!$1:$1,0)-MATCH($A$1,[2]characters!$1:$1,0)+1),MATCH(E$1,[2]characters!$1:$1,0)-MATCH($A$1,[2]characters!$1:$1,0)+1,FALSE)</f>
        <v>格好いい</v>
      </c>
      <c r="F430" s="24" t="str">
        <f ca="1">VLOOKUP($A430,OFFSET([2]characters!$A$1,0,0,COUNTA([2]characters!$A:$A),MATCH(F$1,[2]characters!$1:$1,0)-MATCH($A$1,[2]characters!$1:$1,0)+1),MATCH(F$1,[2]characters!$1:$1,0)-MATCH($A$1,[2]characters!$1:$1,0)+1,FALSE)</f>
        <v>女性</v>
      </c>
      <c r="G430" s="24">
        <f ca="1">VLOOKUP($A430,OFFSET([2]characters!$A$1,0,0,COUNTA([2]characters!$A:$A),MATCH(G$1,[2]characters!$1:$1,0)-MATCH($A$1,[2]characters!$1:$1,0)+1),MATCH(G$1,[2]characters!$1:$1,0)-MATCH($A$1,[2]characters!$1:$1,0)+1,FALSE)</f>
        <v>3</v>
      </c>
      <c r="H430" s="24" t="str">
        <f ca="1">VLOOKUP($A430,OFFSET([2]characters!$A$1,0,0,COUNTA([2]characters!$A:$A),MATCH(H$1,[2]characters!$1:$1,0)-MATCH($A$1,[2]characters!$1:$1,0)+1),MATCH(H$1,[2]characters!$1:$1,0)-MATCH($A$1,[2]characters!$1:$1,0)+1,FALSE)</f>
        <v>PremiumS</v>
      </c>
      <c r="I430" s="24" t="str">
        <f ca="1">VLOOKUP($A430,OFFSET([2]characters!$A$1,0,0,COUNTA([2]characters!$A:$A),MATCH(I$1,[2]characters!$1:$1,0)-MATCH($A$1,[2]characters!$1:$1,0)+1),MATCH(I$1,[2]characters!$1:$1,0)-MATCH($A$1,[2]characters!$1:$1,0)+1,FALSE)</f>
        <v>blue</v>
      </c>
      <c r="J430" s="24" t="str">
        <f ca="1">VLOOKUP($A430,OFFSET([2]characters!$A$1,0,0,COUNTA([2]characters!$A:$A),MATCH(J$1,[2]characters!$1:$1,0)-MATCH($A$1,[2]characters!$1:$1,0)+1),MATCH(J$1,[2]characters!$1:$1,0)-MATCH($A$1,[2]characters!$1:$1,0)+1,FALSE)</f>
        <v>none</v>
      </c>
      <c r="K430" s="3" t="str">
        <f ca="1">VLOOKUP(J430,[2]character_tribe_i18n!$A:$H,3,FALSE)</f>
        <v>種族なし</v>
      </c>
      <c r="L430" s="5" t="e">
        <f>VLOOKUP(#REF!,[2]character_tribe_i18n!$A:$H,4,FALSE)</f>
        <v>#REF!</v>
      </c>
      <c r="M430" s="5" t="e">
        <f>VLOOKUP(#REF!,[2]character_tribe_i18n!$A:$H,5,FALSE)</f>
        <v>#REF!</v>
      </c>
      <c r="N430" s="5" t="e">
        <f>VLOOKUP(#REF!,[2]character_tribe_i18n!$A:$H,6,FALSE)</f>
        <v>#REF!</v>
      </c>
      <c r="O430" s="5" t="e">
        <f>VLOOKUP(#REF!,[2]character_tribe_i18n!$A:$H,7,FALSE)</f>
        <v>#REF!</v>
      </c>
      <c r="P430" s="83" t="s">
        <v>170</v>
      </c>
      <c r="Q430">
        <v>8028</v>
      </c>
      <c r="R430" s="25" t="str">
        <f ca="1">IF(Q430="NULL","",VLOOKUP($Q430,OFFSET([2]characters!$A$1,0,0,COUNTA([2]characters!$A:$A),MATCH(R$1,[2]characters!$1:$1,0)-MATCH($A$1,[2]characters!$1:$1,0)+1),MATCH(R$1,[2]characters!$1:$1,0)-MATCH($A$1,[2]characters!$1:$1,0)+1,FALSE))</f>
        <v>KAITO</v>
      </c>
      <c r="S430" s="3">
        <f t="shared" ca="1" si="12"/>
        <v>8027</v>
      </c>
      <c r="T430" s="25" t="str">
        <f ca="1">VLOOKUP($S430,OFFSET([2]characters!$A$1,0,0,COUNTA([2]characters!$A:$A),MATCH(T$1,[2]characters!$1:$1,0)-MATCH($A$1,[2]characters!$1:$1,0)+1),MATCH(T$1,[2]characters!$1:$1,0)-MATCH($A$1,[2]characters!$1:$1,0)+1,FALSE)</f>
        <v>KAITO</v>
      </c>
      <c r="U430" s="5">
        <f ca="1">IF(Q430="NULL","NULL",VLOOKUP(G430,ビット!$A$2:$B$7,2))</f>
        <v>20000</v>
      </c>
      <c r="V430">
        <v>20000</v>
      </c>
      <c r="W430" s="6" t="str">
        <f t="shared" ca="1" si="18"/>
        <v>TRUE</v>
      </c>
    </row>
    <row r="431" spans="1:23" ht="21" customHeight="1" x14ac:dyDescent="0.15">
      <c r="A431" s="84">
        <f>A403+7144</f>
        <v>8043</v>
      </c>
      <c r="B431" s="24" t="str">
        <f ca="1">VLOOKUP($A431,OFFSET([2]characters!$A$1,0,0,COUNTA([2]characters!$A:$A),MATCH(B$1,[2]characters!$1:$1,0)-MATCH($A$1,[2]characters!$1:$1,0)+1),MATCH(B$1,[2]characters!$1:$1,0)-MATCH($A$1,[2]characters!$1:$1,0)+1,FALSE)</f>
        <v>サンリオキャラ大集合+アザゼル</v>
      </c>
      <c r="C431" s="24" t="str">
        <f ca="1">VLOOKUP($A431,OFFSET([2]characters!$A$1,0,0,COUNTA([2]characters!$A:$A),MATCH(C$1,[2]characters!$1:$1,0)-MATCH($A$1,[2]characters!$1:$1,0)+1),MATCH(C$1,[2]characters!$1:$1,0)-MATCH($A$1,[2]characters!$1:$1,0)+1,FALSE)</f>
        <v>サンリオキャラ大集合+アザゼル</v>
      </c>
      <c r="D431" s="24" t="str">
        <f ca="1">VLOOKUP($A431,OFFSET([2]characters!$A$1,0,0,COUNTA([2]characters!$A:$A),MATCH(D$1,[2]characters!$1:$1,0)-MATCH($A$1,[2]characters!$1:$1,0)+1),MATCH(D$1,[2]characters!$1:$1,0)-MATCH($A$1,[2]characters!$1:$1,0)+1,FALSE)</f>
        <v>執行者</v>
      </c>
      <c r="E431" s="24" t="str">
        <f ca="1">VLOOKUP($A431,OFFSET([2]characters!$A$1,0,0,COUNTA([2]characters!$A:$A),MATCH(E$1,[2]characters!$1:$1,0)-MATCH($A$1,[2]characters!$1:$1,0)+1),MATCH(E$1,[2]characters!$1:$1,0)-MATCH($A$1,[2]characters!$1:$1,0)+1,FALSE)</f>
        <v>格好いい</v>
      </c>
      <c r="F431" s="24" t="str">
        <f ca="1">VLOOKUP($A431,OFFSET([2]characters!$A$1,0,0,COUNTA([2]characters!$A:$A),MATCH(F$1,[2]characters!$1:$1,0)-MATCH($A$1,[2]characters!$1:$1,0)+1),MATCH(F$1,[2]characters!$1:$1,0)-MATCH($A$1,[2]characters!$1:$1,0)+1,FALSE)</f>
        <v>女性</v>
      </c>
      <c r="G431" s="24">
        <f ca="1">VLOOKUP($A431,OFFSET([2]characters!$A$1,0,0,COUNTA([2]characters!$A:$A),MATCH(G$1,[2]characters!$1:$1,0)-MATCH($A$1,[2]characters!$1:$1,0)+1),MATCH(G$1,[2]characters!$1:$1,0)-MATCH($A$1,[2]characters!$1:$1,0)+1,FALSE)</f>
        <v>5</v>
      </c>
      <c r="H431" s="24" t="str">
        <f ca="1">VLOOKUP($A431,OFFSET([2]characters!$A$1,0,0,COUNTA([2]characters!$A:$A),MATCH(H$1,[2]characters!$1:$1,0)-MATCH($A$1,[2]characters!$1:$1,0)+1),MATCH(H$1,[2]characters!$1:$1,0)-MATCH($A$1,[2]characters!$1:$1,0)+1,FALSE)</f>
        <v>DropWizS</v>
      </c>
      <c r="I431" s="24" t="str">
        <f ca="1">VLOOKUP($A431,OFFSET([2]characters!$A$1,0,0,COUNTA([2]characters!$A:$A),MATCH(I$1,[2]characters!$1:$1,0)-MATCH($A$1,[2]characters!$1:$1,0)+1),MATCH(I$1,[2]characters!$1:$1,0)-MATCH($A$1,[2]characters!$1:$1,0)+1,FALSE)</f>
        <v>green</v>
      </c>
      <c r="J431" s="24" t="str">
        <f ca="1">VLOOKUP($A431,OFFSET([2]characters!$A$1,0,0,COUNTA([2]characters!$A:$A),MATCH(J$1,[2]characters!$1:$1,0)-MATCH($A$1,[2]characters!$1:$1,0)+1),MATCH(J$1,[2]characters!$1:$1,0)-MATCH($A$1,[2]characters!$1:$1,0)+1,FALSE)</f>
        <v>none</v>
      </c>
      <c r="K431" s="3" t="str">
        <f ca="1">VLOOKUP(J431,[2]character_tribe_i18n!$A:$H,3,FALSE)</f>
        <v>種族なし</v>
      </c>
      <c r="L431" s="5" t="e">
        <f>VLOOKUP(#REF!,[2]character_tribe_i18n!$A:$H,4,FALSE)</f>
        <v>#REF!</v>
      </c>
      <c r="M431" s="5" t="e">
        <f>VLOOKUP(#REF!,[2]character_tribe_i18n!$A:$H,5,FALSE)</f>
        <v>#REF!</v>
      </c>
      <c r="N431" s="5" t="e">
        <f>VLOOKUP(#REF!,[2]character_tribe_i18n!$A:$H,6,FALSE)</f>
        <v>#REF!</v>
      </c>
      <c r="O431" s="5" t="e">
        <f>VLOOKUP(#REF!,[2]character_tribe_i18n!$A:$H,7,FALSE)</f>
        <v>#REF!</v>
      </c>
      <c r="P431" s="83" t="s">
        <v>170</v>
      </c>
      <c r="Q431">
        <v>8044</v>
      </c>
      <c r="R431" s="25" t="str">
        <f ca="1">IF(Q431="NULL","",VLOOKUP($Q431,OFFSET([2]characters!$A$1,0,0,COUNTA([2]characters!$A:$A),MATCH(R$1,[2]characters!$1:$1,0)-MATCH($A$1,[2]characters!$1:$1,0)+1),MATCH(R$1,[2]characters!$1:$1,0)-MATCH($A$1,[2]characters!$1:$1,0)+1,FALSE))</f>
        <v>サンリオキャラ大集合+アザゼル</v>
      </c>
      <c r="S431" s="3">
        <f t="shared" ca="1" si="12"/>
        <v>8043</v>
      </c>
      <c r="T431" s="25" t="str">
        <f ca="1">VLOOKUP($S431,OFFSET([2]characters!$A$1,0,0,COUNTA([2]characters!$A:$A),MATCH(T$1,[2]characters!$1:$1,0)-MATCH($A$1,[2]characters!$1:$1,0)+1),MATCH(T$1,[2]characters!$1:$1,0)-MATCH($A$1,[2]characters!$1:$1,0)+1,FALSE)</f>
        <v>サンリオキャラ大集合+アザゼル</v>
      </c>
      <c r="U431" s="5">
        <f ca="1">IF(Q431="NULL","NULL",VLOOKUP(G431,ビット!$A$2:$B$7,2))</f>
        <v>200000</v>
      </c>
      <c r="V431">
        <v>200000</v>
      </c>
      <c r="W431" s="6" t="str">
        <f t="shared" ca="1" si="18"/>
        <v>TRUE</v>
      </c>
    </row>
    <row r="432" spans="1:23" ht="21" customHeight="1" x14ac:dyDescent="0.15">
      <c r="A432" s="84">
        <f t="shared" ref="A432:A444" si="19">A404+7144</f>
        <v>8045</v>
      </c>
      <c r="B432" s="24" t="str">
        <f ca="1">VLOOKUP($A432,OFFSET([2]characters!$A$1,0,0,COUNTA([2]characters!$A:$A),MATCH(B$1,[2]characters!$1:$1,0)-MATCH($A$1,[2]characters!$1:$1,0)+1),MATCH(B$1,[2]characters!$1:$1,0)-MATCH($A$1,[2]characters!$1:$1,0)+1,FALSE)</f>
        <v>ニムダ_サンリオキャラ混じり</v>
      </c>
      <c r="C432" s="24" t="str">
        <f ca="1">VLOOKUP($A432,OFFSET([2]characters!$A$1,0,0,COUNTA([2]characters!$A:$A),MATCH(C$1,[2]characters!$1:$1,0)-MATCH($A$1,[2]characters!$1:$1,0)+1),MATCH(C$1,[2]characters!$1:$1,0)-MATCH($A$1,[2]characters!$1:$1,0)+1,FALSE)</f>
        <v>ニムダ_サンリオキャラ混じり</v>
      </c>
      <c r="D432" s="24" t="str">
        <f ca="1">VLOOKUP($A432,OFFSET([2]characters!$A$1,0,0,COUNTA([2]characters!$A:$A),MATCH(D$1,[2]characters!$1:$1,0)-MATCH($A$1,[2]characters!$1:$1,0)+1),MATCH(D$1,[2]characters!$1:$1,0)-MATCH($A$1,[2]characters!$1:$1,0)+1,FALSE)</f>
        <v>執行者</v>
      </c>
      <c r="E432" s="24" t="str">
        <f ca="1">VLOOKUP($A432,OFFSET([2]characters!$A$1,0,0,COUNTA([2]characters!$A:$A),MATCH(E$1,[2]characters!$1:$1,0)-MATCH($A$1,[2]characters!$1:$1,0)+1),MATCH(E$1,[2]characters!$1:$1,0)-MATCH($A$1,[2]characters!$1:$1,0)+1,FALSE)</f>
        <v>格好いい</v>
      </c>
      <c r="F432" s="24" t="str">
        <f ca="1">VLOOKUP($A432,OFFSET([2]characters!$A$1,0,0,COUNTA([2]characters!$A:$A),MATCH(F$1,[2]characters!$1:$1,0)-MATCH($A$1,[2]characters!$1:$1,0)+1),MATCH(F$1,[2]characters!$1:$1,0)-MATCH($A$1,[2]characters!$1:$1,0)+1,FALSE)</f>
        <v>女性</v>
      </c>
      <c r="G432" s="24">
        <f ca="1">VLOOKUP($A432,OFFSET([2]characters!$A$1,0,0,COUNTA([2]characters!$A:$A),MATCH(G$1,[2]characters!$1:$1,0)-MATCH($A$1,[2]characters!$1:$1,0)+1),MATCH(G$1,[2]characters!$1:$1,0)-MATCH($A$1,[2]characters!$1:$1,0)+1,FALSE)</f>
        <v>4</v>
      </c>
      <c r="H432" s="24" t="str">
        <f ca="1">VLOOKUP($A432,OFFSET([2]characters!$A$1,0,0,COUNTA([2]characters!$A:$A),MATCH(H$1,[2]characters!$1:$1,0)-MATCH($A$1,[2]characters!$1:$1,0)+1),MATCH(H$1,[2]characters!$1:$1,0)-MATCH($A$1,[2]characters!$1:$1,0)+1,FALSE)</f>
        <v>Drop2N</v>
      </c>
      <c r="I432" s="24" t="str">
        <f ca="1">VLOOKUP($A432,OFFSET([2]characters!$A$1,0,0,COUNTA([2]characters!$A:$A),MATCH(I$1,[2]characters!$1:$1,0)-MATCH($A$1,[2]characters!$1:$1,0)+1),MATCH(I$1,[2]characters!$1:$1,0)-MATCH($A$1,[2]characters!$1:$1,0)+1,FALSE)</f>
        <v>yellow</v>
      </c>
      <c r="J432" s="24" t="str">
        <f ca="1">VLOOKUP($A432,OFFSET([2]characters!$A$1,0,0,COUNTA([2]characters!$A:$A),MATCH(J$1,[2]characters!$1:$1,0)-MATCH($A$1,[2]characters!$1:$1,0)+1),MATCH(J$1,[2]characters!$1:$1,0)-MATCH($A$1,[2]characters!$1:$1,0)+1,FALSE)</f>
        <v>none</v>
      </c>
      <c r="K432" s="3" t="str">
        <f ca="1">VLOOKUP(J432,[2]character_tribe_i18n!$A:$H,3,FALSE)</f>
        <v>種族なし</v>
      </c>
      <c r="L432" s="5" t="e">
        <f>VLOOKUP(#REF!,[2]character_tribe_i18n!$A:$H,4,FALSE)</f>
        <v>#REF!</v>
      </c>
      <c r="M432" s="5" t="e">
        <f>VLOOKUP(#REF!,[2]character_tribe_i18n!$A:$H,5,FALSE)</f>
        <v>#REF!</v>
      </c>
      <c r="N432" s="5" t="e">
        <f>VLOOKUP(#REF!,[2]character_tribe_i18n!$A:$H,6,FALSE)</f>
        <v>#REF!</v>
      </c>
      <c r="O432" s="5" t="e">
        <f>VLOOKUP(#REF!,[2]character_tribe_i18n!$A:$H,7,FALSE)</f>
        <v>#REF!</v>
      </c>
      <c r="P432" s="83" t="s">
        <v>170</v>
      </c>
      <c r="Q432">
        <v>8046</v>
      </c>
      <c r="R432" s="25" t="str">
        <f ca="1">IF(Q432="NULL","",VLOOKUP($Q432,OFFSET([2]characters!$A$1,0,0,COUNTA([2]characters!$A:$A),MATCH(R$1,[2]characters!$1:$1,0)-MATCH($A$1,[2]characters!$1:$1,0)+1),MATCH(R$1,[2]characters!$1:$1,0)-MATCH($A$1,[2]characters!$1:$1,0)+1,FALSE))</f>
        <v>ニムダ_サンリオキャラ混じり</v>
      </c>
      <c r="S432" s="3">
        <f t="shared" ca="1" si="12"/>
        <v>8045</v>
      </c>
      <c r="T432" s="25" t="str">
        <f ca="1">VLOOKUP($S432,OFFSET([2]characters!$A$1,0,0,COUNTA([2]characters!$A:$A),MATCH(T$1,[2]characters!$1:$1,0)-MATCH($A$1,[2]characters!$1:$1,0)+1),MATCH(T$1,[2]characters!$1:$1,0)-MATCH($A$1,[2]characters!$1:$1,0)+1,FALSE)</f>
        <v>ニムダ_サンリオキャラ混じり</v>
      </c>
      <c r="U432" s="5">
        <f ca="1">IF(Q432="NULL","NULL",VLOOKUP(G432,ビット!$A$2:$B$7,2))</f>
        <v>50000</v>
      </c>
      <c r="V432">
        <v>50000</v>
      </c>
      <c r="W432" s="6" t="str">
        <f t="shared" ca="1" si="18"/>
        <v>TRUE</v>
      </c>
    </row>
    <row r="433" spans="1:23" ht="21" customHeight="1" x14ac:dyDescent="0.15">
      <c r="A433" s="84">
        <f t="shared" si="19"/>
        <v>8047</v>
      </c>
      <c r="B433" s="24" t="str">
        <f ca="1">VLOOKUP($A433,OFFSET([2]characters!$A$1,0,0,COUNTA([2]characters!$A:$A),MATCH(B$1,[2]characters!$1:$1,0)-MATCH($A$1,[2]characters!$1:$1,0)+1),MATCH(B$1,[2]characters!$1:$1,0)-MATCH($A$1,[2]characters!$1:$1,0)+1,FALSE)</f>
        <v>ハローキティ</v>
      </c>
      <c r="C433" s="24" t="str">
        <f ca="1">VLOOKUP($A433,OFFSET([2]characters!$A$1,0,0,COUNTA([2]characters!$A:$A),MATCH(C$1,[2]characters!$1:$1,0)-MATCH($A$1,[2]characters!$1:$1,0)+1),MATCH(C$1,[2]characters!$1:$1,0)-MATCH($A$1,[2]characters!$1:$1,0)+1,FALSE)</f>
        <v>ハローキティ</v>
      </c>
      <c r="D433" s="24" t="str">
        <f ca="1">VLOOKUP($A433,OFFSET([2]characters!$A$1,0,0,COUNTA([2]characters!$A:$A),MATCH(D$1,[2]characters!$1:$1,0)-MATCH($A$1,[2]characters!$1:$1,0)+1),MATCH(D$1,[2]characters!$1:$1,0)-MATCH($A$1,[2]characters!$1:$1,0)+1,FALSE)</f>
        <v>執行者</v>
      </c>
      <c r="E433" s="24" t="str">
        <f ca="1">VLOOKUP($A433,OFFSET([2]characters!$A$1,0,0,COUNTA([2]characters!$A:$A),MATCH(E$1,[2]characters!$1:$1,0)-MATCH($A$1,[2]characters!$1:$1,0)+1),MATCH(E$1,[2]characters!$1:$1,0)-MATCH($A$1,[2]characters!$1:$1,0)+1,FALSE)</f>
        <v>格好いい</v>
      </c>
      <c r="F433" s="24" t="str">
        <f ca="1">VLOOKUP($A433,OFFSET([2]characters!$A$1,0,0,COUNTA([2]characters!$A:$A),MATCH(F$1,[2]characters!$1:$1,0)-MATCH($A$1,[2]characters!$1:$1,0)+1),MATCH(F$1,[2]characters!$1:$1,0)-MATCH($A$1,[2]characters!$1:$1,0)+1,FALSE)</f>
        <v>女性</v>
      </c>
      <c r="G433" s="24">
        <f ca="1">VLOOKUP($A433,OFFSET([2]characters!$A$1,0,0,COUNTA([2]characters!$A:$A),MATCH(G$1,[2]characters!$1:$1,0)-MATCH($A$1,[2]characters!$1:$1,0)+1),MATCH(G$1,[2]characters!$1:$1,0)-MATCH($A$1,[2]characters!$1:$1,0)+1,FALSE)</f>
        <v>4</v>
      </c>
      <c r="H433" s="24" t="str">
        <f ca="1">VLOOKUP($A433,OFFSET([2]characters!$A$1,0,0,COUNTA([2]characters!$A:$A),MATCH(H$1,[2]characters!$1:$1,0)-MATCH($A$1,[2]characters!$1:$1,0)+1),MATCH(H$1,[2]characters!$1:$1,0)-MATCH($A$1,[2]characters!$1:$1,0)+1,FALSE)</f>
        <v>Drop2N</v>
      </c>
      <c r="I433" s="24" t="str">
        <f ca="1">VLOOKUP($A433,OFFSET([2]characters!$A$1,0,0,COUNTA([2]characters!$A:$A),MATCH(I$1,[2]characters!$1:$1,0)-MATCH($A$1,[2]characters!$1:$1,0)+1),MATCH(I$1,[2]characters!$1:$1,0)-MATCH($A$1,[2]characters!$1:$1,0)+1,FALSE)</f>
        <v>red</v>
      </c>
      <c r="J433" s="24" t="str">
        <f ca="1">VLOOKUP($A433,OFFSET([2]characters!$A$1,0,0,COUNTA([2]characters!$A:$A),MATCH(J$1,[2]characters!$1:$1,0)-MATCH($A$1,[2]characters!$1:$1,0)+1),MATCH(J$1,[2]characters!$1:$1,0)-MATCH($A$1,[2]characters!$1:$1,0)+1,FALSE)</f>
        <v>none</v>
      </c>
      <c r="K433" s="3" t="str">
        <f ca="1">VLOOKUP(J433,[2]character_tribe_i18n!$A:$H,3,FALSE)</f>
        <v>種族なし</v>
      </c>
      <c r="L433" s="5" t="e">
        <f>VLOOKUP(#REF!,[2]character_tribe_i18n!$A:$H,4,FALSE)</f>
        <v>#REF!</v>
      </c>
      <c r="M433" s="5" t="e">
        <f>VLOOKUP(#REF!,[2]character_tribe_i18n!$A:$H,5,FALSE)</f>
        <v>#REF!</v>
      </c>
      <c r="N433" s="5" t="e">
        <f>VLOOKUP(#REF!,[2]character_tribe_i18n!$A:$H,6,FALSE)</f>
        <v>#REF!</v>
      </c>
      <c r="O433" s="5" t="e">
        <f>VLOOKUP(#REF!,[2]character_tribe_i18n!$A:$H,7,FALSE)</f>
        <v>#REF!</v>
      </c>
      <c r="P433" s="83" t="s">
        <v>170</v>
      </c>
      <c r="Q433">
        <v>8048</v>
      </c>
      <c r="R433" s="25" t="str">
        <f ca="1">IF(Q433="NULL","",VLOOKUP($Q433,OFFSET([2]characters!$A$1,0,0,COUNTA([2]characters!$A:$A),MATCH(R$1,[2]characters!$1:$1,0)-MATCH($A$1,[2]characters!$1:$1,0)+1),MATCH(R$1,[2]characters!$1:$1,0)-MATCH($A$1,[2]characters!$1:$1,0)+1,FALSE))</f>
        <v>ハローキティ</v>
      </c>
      <c r="S433" s="3">
        <f t="shared" ca="1" si="12"/>
        <v>8047</v>
      </c>
      <c r="T433" s="25" t="str">
        <f ca="1">VLOOKUP($S433,OFFSET([2]characters!$A$1,0,0,COUNTA([2]characters!$A:$A),MATCH(T$1,[2]characters!$1:$1,0)-MATCH($A$1,[2]characters!$1:$1,0)+1),MATCH(T$1,[2]characters!$1:$1,0)-MATCH($A$1,[2]characters!$1:$1,0)+1,FALSE)</f>
        <v>ハローキティ</v>
      </c>
      <c r="U433" s="5">
        <f ca="1">IF(Q433="NULL","NULL",VLOOKUP(G433,ビット!$A$2:$B$7,2))</f>
        <v>50000</v>
      </c>
      <c r="V433">
        <v>50000</v>
      </c>
      <c r="W433" s="6" t="str">
        <f t="shared" ca="1" si="18"/>
        <v>TRUE</v>
      </c>
    </row>
    <row r="434" spans="1:23" ht="21" customHeight="1" x14ac:dyDescent="0.15">
      <c r="A434" s="84">
        <f t="shared" si="19"/>
        <v>8049</v>
      </c>
      <c r="B434" s="24" t="str">
        <f ca="1">VLOOKUP($A434,OFFSET([2]characters!$A$1,0,0,COUNTA([2]characters!$A:$A),MATCH(B$1,[2]characters!$1:$1,0)-MATCH($A$1,[2]characters!$1:$1,0)+1),MATCH(B$1,[2]characters!$1:$1,0)-MATCH($A$1,[2]characters!$1:$1,0)+1,FALSE)</f>
        <v>KIRIMIちゃん</v>
      </c>
      <c r="C434" s="24" t="str">
        <f ca="1">VLOOKUP($A434,OFFSET([2]characters!$A$1,0,0,COUNTA([2]characters!$A:$A),MATCH(C$1,[2]characters!$1:$1,0)-MATCH($A$1,[2]characters!$1:$1,0)+1),MATCH(C$1,[2]characters!$1:$1,0)-MATCH($A$1,[2]characters!$1:$1,0)+1,FALSE)</f>
        <v>KIRIMIちゃん</v>
      </c>
      <c r="D434" s="24" t="str">
        <f ca="1">VLOOKUP($A434,OFFSET([2]characters!$A$1,0,0,COUNTA([2]characters!$A:$A),MATCH(D$1,[2]characters!$1:$1,0)-MATCH($A$1,[2]characters!$1:$1,0)+1),MATCH(D$1,[2]characters!$1:$1,0)-MATCH($A$1,[2]characters!$1:$1,0)+1,FALSE)</f>
        <v>執行者</v>
      </c>
      <c r="E434" s="24" t="str">
        <f ca="1">VLOOKUP($A434,OFFSET([2]characters!$A$1,0,0,COUNTA([2]characters!$A:$A),MATCH(E$1,[2]characters!$1:$1,0)-MATCH($A$1,[2]characters!$1:$1,0)+1),MATCH(E$1,[2]characters!$1:$1,0)-MATCH($A$1,[2]characters!$1:$1,0)+1,FALSE)</f>
        <v>格好いい</v>
      </c>
      <c r="F434" s="24" t="str">
        <f ca="1">VLOOKUP($A434,OFFSET([2]characters!$A$1,0,0,COUNTA([2]characters!$A:$A),MATCH(F$1,[2]characters!$1:$1,0)-MATCH($A$1,[2]characters!$1:$1,0)+1),MATCH(F$1,[2]characters!$1:$1,0)-MATCH($A$1,[2]characters!$1:$1,0)+1,FALSE)</f>
        <v>女性</v>
      </c>
      <c r="G434" s="24">
        <f ca="1">VLOOKUP($A434,OFFSET([2]characters!$A$1,0,0,COUNTA([2]characters!$A:$A),MATCH(G$1,[2]characters!$1:$1,0)-MATCH($A$1,[2]characters!$1:$1,0)+1),MATCH(G$1,[2]characters!$1:$1,0)-MATCH($A$1,[2]characters!$1:$1,0)+1,FALSE)</f>
        <v>4</v>
      </c>
      <c r="H434" s="24" t="str">
        <f ca="1">VLOOKUP($A434,OFFSET([2]characters!$A$1,0,0,COUNTA([2]characters!$A:$A),MATCH(H$1,[2]characters!$1:$1,0)-MATCH($A$1,[2]characters!$1:$1,0)+1),MATCH(H$1,[2]characters!$1:$1,0)-MATCH($A$1,[2]characters!$1:$1,0)+1,FALSE)</f>
        <v>Drop2N</v>
      </c>
      <c r="I434" s="24" t="str">
        <f ca="1">VLOOKUP($A434,OFFSET([2]characters!$A$1,0,0,COUNTA([2]characters!$A:$A),MATCH(I$1,[2]characters!$1:$1,0)-MATCH($A$1,[2]characters!$1:$1,0)+1),MATCH(I$1,[2]characters!$1:$1,0)-MATCH($A$1,[2]characters!$1:$1,0)+1,FALSE)</f>
        <v>red</v>
      </c>
      <c r="J434" s="24" t="str">
        <f ca="1">VLOOKUP($A434,OFFSET([2]characters!$A$1,0,0,COUNTA([2]characters!$A:$A),MATCH(J$1,[2]characters!$1:$1,0)-MATCH($A$1,[2]characters!$1:$1,0)+1),MATCH(J$1,[2]characters!$1:$1,0)-MATCH($A$1,[2]characters!$1:$1,0)+1,FALSE)</f>
        <v>none</v>
      </c>
      <c r="K434" s="3" t="str">
        <f ca="1">VLOOKUP(J434,[2]character_tribe_i18n!$A:$H,3,FALSE)</f>
        <v>種族なし</v>
      </c>
      <c r="L434" s="5" t="e">
        <f>VLOOKUP(#REF!,[2]character_tribe_i18n!$A:$H,4,FALSE)</f>
        <v>#REF!</v>
      </c>
      <c r="M434" s="5" t="e">
        <f>VLOOKUP(#REF!,[2]character_tribe_i18n!$A:$H,5,FALSE)</f>
        <v>#REF!</v>
      </c>
      <c r="N434" s="5" t="e">
        <f>VLOOKUP(#REF!,[2]character_tribe_i18n!$A:$H,6,FALSE)</f>
        <v>#REF!</v>
      </c>
      <c r="O434" s="5" t="e">
        <f>VLOOKUP(#REF!,[2]character_tribe_i18n!$A:$H,7,FALSE)</f>
        <v>#REF!</v>
      </c>
      <c r="P434" s="83" t="s">
        <v>170</v>
      </c>
      <c r="Q434">
        <v>8050</v>
      </c>
      <c r="R434" s="25" t="str">
        <f ca="1">IF(Q434="NULL","",VLOOKUP($Q434,OFFSET([2]characters!$A$1,0,0,COUNTA([2]characters!$A:$A),MATCH(R$1,[2]characters!$1:$1,0)-MATCH($A$1,[2]characters!$1:$1,0)+1),MATCH(R$1,[2]characters!$1:$1,0)-MATCH($A$1,[2]characters!$1:$1,0)+1,FALSE))</f>
        <v>KIRIMIちゃん</v>
      </c>
      <c r="S434" s="3">
        <f t="shared" ca="1" si="12"/>
        <v>8049</v>
      </c>
      <c r="T434" s="25" t="str">
        <f ca="1">VLOOKUP($S434,OFFSET([2]characters!$A$1,0,0,COUNTA([2]characters!$A:$A),MATCH(T$1,[2]characters!$1:$1,0)-MATCH($A$1,[2]characters!$1:$1,0)+1),MATCH(T$1,[2]characters!$1:$1,0)-MATCH($A$1,[2]characters!$1:$1,0)+1,FALSE)</f>
        <v>KIRIMIちゃん</v>
      </c>
      <c r="U434" s="5">
        <f ca="1">IF(Q434="NULL","NULL",VLOOKUP(G434,ビット!$A$2:$B$7,2))</f>
        <v>50000</v>
      </c>
      <c r="V434">
        <v>50000</v>
      </c>
      <c r="W434" s="6" t="str">
        <f t="shared" ca="1" si="18"/>
        <v>TRUE</v>
      </c>
    </row>
    <row r="435" spans="1:23" ht="21" customHeight="1" x14ac:dyDescent="0.15">
      <c r="A435" s="84">
        <f t="shared" si="19"/>
        <v>8053</v>
      </c>
      <c r="B435" s="24" t="str">
        <f ca="1">VLOOKUP($A435,OFFSET([2]characters!$A$1,0,0,COUNTA([2]characters!$A:$A),MATCH(B$1,[2]characters!$1:$1,0)-MATCH($A$1,[2]characters!$1:$1,0)+1),MATCH(B$1,[2]characters!$1:$1,0)-MATCH($A$1,[2]characters!$1:$1,0)+1,FALSE)</f>
        <v>D.R.T.H__キティコスプレ</v>
      </c>
      <c r="C435" s="24" t="str">
        <f ca="1">VLOOKUP($A435,OFFSET([2]characters!$A$1,0,0,COUNTA([2]characters!$A:$A),MATCH(C$1,[2]characters!$1:$1,0)-MATCH($A$1,[2]characters!$1:$1,0)+1),MATCH(C$1,[2]characters!$1:$1,0)-MATCH($A$1,[2]characters!$1:$1,0)+1,FALSE)</f>
        <v>D.R.T.H__キティコスプレ</v>
      </c>
      <c r="D435" s="24" t="str">
        <f ca="1">VLOOKUP($A435,OFFSET([2]characters!$A$1,0,0,COUNTA([2]characters!$A:$A),MATCH(D$1,[2]characters!$1:$1,0)-MATCH($A$1,[2]characters!$1:$1,0)+1),MATCH(D$1,[2]characters!$1:$1,0)-MATCH($A$1,[2]characters!$1:$1,0)+1,FALSE)</f>
        <v>執行者</v>
      </c>
      <c r="E435" s="24" t="str">
        <f ca="1">VLOOKUP($A435,OFFSET([2]characters!$A$1,0,0,COUNTA([2]characters!$A:$A),MATCH(E$1,[2]characters!$1:$1,0)-MATCH($A$1,[2]characters!$1:$1,0)+1),MATCH(E$1,[2]characters!$1:$1,0)-MATCH($A$1,[2]characters!$1:$1,0)+1,FALSE)</f>
        <v>格好いい</v>
      </c>
      <c r="F435" s="24" t="str">
        <f ca="1">VLOOKUP($A435,OFFSET([2]characters!$A$1,0,0,COUNTA([2]characters!$A:$A),MATCH(F$1,[2]characters!$1:$1,0)-MATCH($A$1,[2]characters!$1:$1,0)+1),MATCH(F$1,[2]characters!$1:$1,0)-MATCH($A$1,[2]characters!$1:$1,0)+1,FALSE)</f>
        <v>女性</v>
      </c>
      <c r="G435" s="24">
        <f ca="1">VLOOKUP($A435,OFFSET([2]characters!$A$1,0,0,COUNTA([2]characters!$A:$A),MATCH(G$1,[2]characters!$1:$1,0)-MATCH($A$1,[2]characters!$1:$1,0)+1),MATCH(G$1,[2]characters!$1:$1,0)-MATCH($A$1,[2]characters!$1:$1,0)+1,FALSE)</f>
        <v>5</v>
      </c>
      <c r="H435" s="24" t="str">
        <f ca="1">VLOOKUP($A435,OFFSET([2]characters!$A$1,0,0,COUNTA([2]characters!$A:$A),MATCH(H$1,[2]characters!$1:$1,0)-MATCH($A$1,[2]characters!$1:$1,0)+1),MATCH(H$1,[2]characters!$1:$1,0)-MATCH($A$1,[2]characters!$1:$1,0)+1,FALSE)</f>
        <v>PremiumSS</v>
      </c>
      <c r="I435" s="24" t="str">
        <f ca="1">VLOOKUP($A435,OFFSET([2]characters!$A$1,0,0,COUNTA([2]characters!$A:$A),MATCH(I$1,[2]characters!$1:$1,0)-MATCH($A$1,[2]characters!$1:$1,0)+1),MATCH(I$1,[2]characters!$1:$1,0)-MATCH($A$1,[2]characters!$1:$1,0)+1,FALSE)</f>
        <v>red</v>
      </c>
      <c r="J435" s="24" t="str">
        <f ca="1">VLOOKUP($A435,OFFSET([2]characters!$A$1,0,0,COUNTA([2]characters!$A:$A),MATCH(J$1,[2]characters!$1:$1,0)-MATCH($A$1,[2]characters!$1:$1,0)+1),MATCH(J$1,[2]characters!$1:$1,0)-MATCH($A$1,[2]characters!$1:$1,0)+1,FALSE)</f>
        <v>none</v>
      </c>
      <c r="K435" s="3" t="str">
        <f ca="1">VLOOKUP(J435,[2]character_tribe_i18n!$A:$H,3,FALSE)</f>
        <v>種族なし</v>
      </c>
      <c r="L435" s="5" t="e">
        <f>VLOOKUP(#REF!,[2]character_tribe_i18n!$A:$H,4,FALSE)</f>
        <v>#REF!</v>
      </c>
      <c r="M435" s="5" t="e">
        <f>VLOOKUP(#REF!,[2]character_tribe_i18n!$A:$H,5,FALSE)</f>
        <v>#REF!</v>
      </c>
      <c r="N435" s="5" t="e">
        <f>VLOOKUP(#REF!,[2]character_tribe_i18n!$A:$H,6,FALSE)</f>
        <v>#REF!</v>
      </c>
      <c r="O435" s="5" t="e">
        <f>VLOOKUP(#REF!,[2]character_tribe_i18n!$A:$H,7,FALSE)</f>
        <v>#REF!</v>
      </c>
      <c r="P435" s="83" t="s">
        <v>170</v>
      </c>
      <c r="Q435">
        <v>8054</v>
      </c>
      <c r="R435" s="25" t="str">
        <f ca="1">IF(Q435="NULL","",VLOOKUP($Q435,OFFSET([2]characters!$A$1,0,0,COUNTA([2]characters!$A:$A),MATCH(R$1,[2]characters!$1:$1,0)-MATCH($A$1,[2]characters!$1:$1,0)+1),MATCH(R$1,[2]characters!$1:$1,0)-MATCH($A$1,[2]characters!$1:$1,0)+1,FALSE))</f>
        <v>D.R.T.H__キティコスプレ</v>
      </c>
      <c r="S435" s="3">
        <f t="shared" ca="1" si="12"/>
        <v>8053</v>
      </c>
      <c r="T435" s="25" t="str">
        <f ca="1">VLOOKUP($S435,OFFSET([2]characters!$A$1,0,0,COUNTA([2]characters!$A:$A),MATCH(T$1,[2]characters!$1:$1,0)-MATCH($A$1,[2]characters!$1:$1,0)+1),MATCH(T$1,[2]characters!$1:$1,0)-MATCH($A$1,[2]characters!$1:$1,0)+1,FALSE)</f>
        <v>D.R.T.H__キティコスプレ</v>
      </c>
      <c r="U435" s="5">
        <f ca="1">IF(Q435="NULL","NULL",VLOOKUP(G435,ビット!$A$2:$B$7,2))</f>
        <v>200000</v>
      </c>
      <c r="V435">
        <v>200000</v>
      </c>
      <c r="W435" s="6" t="str">
        <f t="shared" ca="1" si="18"/>
        <v>TRUE</v>
      </c>
    </row>
    <row r="436" spans="1:23" ht="21" customHeight="1" x14ac:dyDescent="0.15">
      <c r="A436" s="84">
        <f t="shared" si="19"/>
        <v>8055</v>
      </c>
      <c r="B436" s="24" t="str">
        <f ca="1">VLOOKUP($A436,OFFSET([2]characters!$A$1,0,0,COUNTA([2]characters!$A:$A),MATCH(B$1,[2]characters!$1:$1,0)-MATCH($A$1,[2]characters!$1:$1,0)+1),MATCH(B$1,[2]characters!$1:$1,0)-MATCH($A$1,[2]characters!$1:$1,0)+1,FALSE)</f>
        <v>マイメロディ</v>
      </c>
      <c r="C436" s="24" t="str">
        <f ca="1">VLOOKUP($A436,OFFSET([2]characters!$A$1,0,0,COUNTA([2]characters!$A:$A),MATCH(C$1,[2]characters!$1:$1,0)-MATCH($A$1,[2]characters!$1:$1,0)+1),MATCH(C$1,[2]characters!$1:$1,0)-MATCH($A$1,[2]characters!$1:$1,0)+1,FALSE)</f>
        <v>マイメロディ</v>
      </c>
      <c r="D436" s="24" t="str">
        <f ca="1">VLOOKUP($A436,OFFSET([2]characters!$A$1,0,0,COUNTA([2]characters!$A:$A),MATCH(D$1,[2]characters!$1:$1,0)-MATCH($A$1,[2]characters!$1:$1,0)+1),MATCH(D$1,[2]characters!$1:$1,0)-MATCH($A$1,[2]characters!$1:$1,0)+1,FALSE)</f>
        <v>執行者</v>
      </c>
      <c r="E436" s="24" t="str">
        <f ca="1">VLOOKUP($A436,OFFSET([2]characters!$A$1,0,0,COUNTA([2]characters!$A:$A),MATCH(E$1,[2]characters!$1:$1,0)-MATCH($A$1,[2]characters!$1:$1,0)+1),MATCH(E$1,[2]characters!$1:$1,0)-MATCH($A$1,[2]characters!$1:$1,0)+1,FALSE)</f>
        <v>格好いい</v>
      </c>
      <c r="F436" s="24" t="str">
        <f ca="1">VLOOKUP($A436,OFFSET([2]characters!$A$1,0,0,COUNTA([2]characters!$A:$A),MATCH(F$1,[2]characters!$1:$1,0)-MATCH($A$1,[2]characters!$1:$1,0)+1),MATCH(F$1,[2]characters!$1:$1,0)-MATCH($A$1,[2]characters!$1:$1,0)+1,FALSE)</f>
        <v>女性</v>
      </c>
      <c r="G436" s="24">
        <f ca="1">VLOOKUP($A436,OFFSET([2]characters!$A$1,0,0,COUNTA([2]characters!$A:$A),MATCH(G$1,[2]characters!$1:$1,0)-MATCH($A$1,[2]characters!$1:$1,0)+1),MATCH(G$1,[2]characters!$1:$1,0)-MATCH($A$1,[2]characters!$1:$1,0)+1,FALSE)</f>
        <v>4</v>
      </c>
      <c r="H436" s="24" t="str">
        <f ca="1">VLOOKUP($A436,OFFSET([2]characters!$A$1,0,0,COUNTA([2]characters!$A:$A),MATCH(H$1,[2]characters!$1:$1,0)-MATCH($A$1,[2]characters!$1:$1,0)+1),MATCH(H$1,[2]characters!$1:$1,0)-MATCH($A$1,[2]characters!$1:$1,0)+1,FALSE)</f>
        <v>PremiumS</v>
      </c>
      <c r="I436" s="24" t="str">
        <f ca="1">VLOOKUP($A436,OFFSET([2]characters!$A$1,0,0,COUNTA([2]characters!$A:$A),MATCH(I$1,[2]characters!$1:$1,0)-MATCH($A$1,[2]characters!$1:$1,0)+1),MATCH(I$1,[2]characters!$1:$1,0)-MATCH($A$1,[2]characters!$1:$1,0)+1,FALSE)</f>
        <v>red</v>
      </c>
      <c r="J436" s="24" t="str">
        <f ca="1">VLOOKUP($A436,OFFSET([2]characters!$A$1,0,0,COUNTA([2]characters!$A:$A),MATCH(J$1,[2]characters!$1:$1,0)-MATCH($A$1,[2]characters!$1:$1,0)+1),MATCH(J$1,[2]characters!$1:$1,0)-MATCH($A$1,[2]characters!$1:$1,0)+1,FALSE)</f>
        <v>none</v>
      </c>
      <c r="K436" s="3" t="str">
        <f ca="1">VLOOKUP(J436,[2]character_tribe_i18n!$A:$H,3,FALSE)</f>
        <v>種族なし</v>
      </c>
      <c r="L436" s="5" t="e">
        <f>VLOOKUP(#REF!,[2]character_tribe_i18n!$A:$H,4,FALSE)</f>
        <v>#REF!</v>
      </c>
      <c r="M436" s="5" t="e">
        <f>VLOOKUP(#REF!,[2]character_tribe_i18n!$A:$H,5,FALSE)</f>
        <v>#REF!</v>
      </c>
      <c r="N436" s="5" t="e">
        <f>VLOOKUP(#REF!,[2]character_tribe_i18n!$A:$H,6,FALSE)</f>
        <v>#REF!</v>
      </c>
      <c r="O436" s="5" t="e">
        <f>VLOOKUP(#REF!,[2]character_tribe_i18n!$A:$H,7,FALSE)</f>
        <v>#REF!</v>
      </c>
      <c r="P436" s="83" t="s">
        <v>170</v>
      </c>
      <c r="Q436">
        <v>8056</v>
      </c>
      <c r="R436" s="25" t="str">
        <f ca="1">IF(Q436="NULL","",VLOOKUP($Q436,OFFSET([2]characters!$A$1,0,0,COUNTA([2]characters!$A:$A),MATCH(R$1,[2]characters!$1:$1,0)-MATCH($A$1,[2]characters!$1:$1,0)+1),MATCH(R$1,[2]characters!$1:$1,0)-MATCH($A$1,[2]characters!$1:$1,0)+1,FALSE))</f>
        <v>マイメロディ</v>
      </c>
      <c r="S436" s="3">
        <f t="shared" ca="1" si="12"/>
        <v>8055</v>
      </c>
      <c r="T436" s="25" t="str">
        <f ca="1">VLOOKUP($S436,OFFSET([2]characters!$A$1,0,0,COUNTA([2]characters!$A:$A),MATCH(T$1,[2]characters!$1:$1,0)-MATCH($A$1,[2]characters!$1:$1,0)+1),MATCH(T$1,[2]characters!$1:$1,0)-MATCH($A$1,[2]characters!$1:$1,0)+1,FALSE)</f>
        <v>マイメロディ</v>
      </c>
      <c r="U436" s="5">
        <f ca="1">IF(Q436="NULL","NULL",VLOOKUP(G436,ビット!$A$2:$B$7,2))</f>
        <v>50000</v>
      </c>
      <c r="V436">
        <v>50000</v>
      </c>
      <c r="W436" s="6" t="str">
        <f t="shared" ca="1" si="18"/>
        <v>TRUE</v>
      </c>
    </row>
    <row r="437" spans="1:23" ht="21" customHeight="1" x14ac:dyDescent="0.15">
      <c r="A437" s="84">
        <f t="shared" si="19"/>
        <v>8057</v>
      </c>
      <c r="B437" s="24" t="str">
        <f ca="1">VLOOKUP($A437,OFFSET([2]characters!$A$1,0,0,COUNTA([2]characters!$A:$A),MATCH(B$1,[2]characters!$1:$1,0)-MATCH($A$1,[2]characters!$1:$1,0)+1),MATCH(B$1,[2]characters!$1:$1,0)-MATCH($A$1,[2]characters!$1:$1,0)+1,FALSE)</f>
        <v>ニーベルゲン_シナモロールコスプレ</v>
      </c>
      <c r="C437" s="24" t="str">
        <f ca="1">VLOOKUP($A437,OFFSET([2]characters!$A$1,0,0,COUNTA([2]characters!$A:$A),MATCH(C$1,[2]characters!$1:$1,0)-MATCH($A$1,[2]characters!$1:$1,0)+1),MATCH(C$1,[2]characters!$1:$1,0)-MATCH($A$1,[2]characters!$1:$1,0)+1,FALSE)</f>
        <v>ニーベルゲン_シナモロールコスプレ</v>
      </c>
      <c r="D437" s="24" t="str">
        <f ca="1">VLOOKUP($A437,OFFSET([2]characters!$A$1,0,0,COUNTA([2]characters!$A:$A),MATCH(D$1,[2]characters!$1:$1,0)-MATCH($A$1,[2]characters!$1:$1,0)+1),MATCH(D$1,[2]characters!$1:$1,0)-MATCH($A$1,[2]characters!$1:$1,0)+1,FALSE)</f>
        <v>執行者</v>
      </c>
      <c r="E437" s="24" t="str">
        <f ca="1">VLOOKUP($A437,OFFSET([2]characters!$A$1,0,0,COUNTA([2]characters!$A:$A),MATCH(E$1,[2]characters!$1:$1,0)-MATCH($A$1,[2]characters!$1:$1,0)+1),MATCH(E$1,[2]characters!$1:$1,0)-MATCH($A$1,[2]characters!$1:$1,0)+1,FALSE)</f>
        <v>格好いい</v>
      </c>
      <c r="F437" s="24" t="str">
        <f ca="1">VLOOKUP($A437,OFFSET([2]characters!$A$1,0,0,COUNTA([2]characters!$A:$A),MATCH(F$1,[2]characters!$1:$1,0)-MATCH($A$1,[2]characters!$1:$1,0)+1),MATCH(F$1,[2]characters!$1:$1,0)-MATCH($A$1,[2]characters!$1:$1,0)+1,FALSE)</f>
        <v>女性</v>
      </c>
      <c r="G437" s="24">
        <f ca="1">VLOOKUP($A437,OFFSET([2]characters!$A$1,0,0,COUNTA([2]characters!$A:$A),MATCH(G$1,[2]characters!$1:$1,0)-MATCH($A$1,[2]characters!$1:$1,0)+1),MATCH(G$1,[2]characters!$1:$1,0)-MATCH($A$1,[2]characters!$1:$1,0)+1,FALSE)</f>
        <v>4</v>
      </c>
      <c r="H437" s="24" t="str">
        <f ca="1">VLOOKUP($A437,OFFSET([2]characters!$A$1,0,0,COUNTA([2]characters!$A:$A),MATCH(H$1,[2]characters!$1:$1,0)-MATCH($A$1,[2]characters!$1:$1,0)+1),MATCH(H$1,[2]characters!$1:$1,0)-MATCH($A$1,[2]characters!$1:$1,0)+1,FALSE)</f>
        <v>PremiumS</v>
      </c>
      <c r="I437" s="24" t="str">
        <f ca="1">VLOOKUP($A437,OFFSET([2]characters!$A$1,0,0,COUNTA([2]characters!$A:$A),MATCH(I$1,[2]characters!$1:$1,0)-MATCH($A$1,[2]characters!$1:$1,0)+1),MATCH(I$1,[2]characters!$1:$1,0)-MATCH($A$1,[2]characters!$1:$1,0)+1,FALSE)</f>
        <v>green</v>
      </c>
      <c r="J437" s="24" t="str">
        <f ca="1">VLOOKUP($A437,OFFSET([2]characters!$A$1,0,0,COUNTA([2]characters!$A:$A),MATCH(J$1,[2]characters!$1:$1,0)-MATCH($A$1,[2]characters!$1:$1,0)+1),MATCH(J$1,[2]characters!$1:$1,0)-MATCH($A$1,[2]characters!$1:$1,0)+1,FALSE)</f>
        <v>none</v>
      </c>
      <c r="K437" s="3" t="str">
        <f ca="1">VLOOKUP(J437,[2]character_tribe_i18n!$A:$H,3,FALSE)</f>
        <v>種族なし</v>
      </c>
      <c r="L437" s="5" t="e">
        <f>VLOOKUP(#REF!,[2]character_tribe_i18n!$A:$H,4,FALSE)</f>
        <v>#REF!</v>
      </c>
      <c r="M437" s="5" t="e">
        <f>VLOOKUP(#REF!,[2]character_tribe_i18n!$A:$H,5,FALSE)</f>
        <v>#REF!</v>
      </c>
      <c r="N437" s="5" t="e">
        <f>VLOOKUP(#REF!,[2]character_tribe_i18n!$A:$H,6,FALSE)</f>
        <v>#REF!</v>
      </c>
      <c r="O437" s="5" t="e">
        <f>VLOOKUP(#REF!,[2]character_tribe_i18n!$A:$H,7,FALSE)</f>
        <v>#REF!</v>
      </c>
      <c r="P437" s="83" t="s">
        <v>170</v>
      </c>
      <c r="Q437">
        <v>8058</v>
      </c>
      <c r="R437" s="25" t="str">
        <f ca="1">IF(Q437="NULL","",VLOOKUP($Q437,OFFSET([2]characters!$A$1,0,0,COUNTA([2]characters!$A:$A),MATCH(R$1,[2]characters!$1:$1,0)-MATCH($A$1,[2]characters!$1:$1,0)+1),MATCH(R$1,[2]characters!$1:$1,0)-MATCH($A$1,[2]characters!$1:$1,0)+1,FALSE))</f>
        <v>ニーベルゲン_シナモロールコスプレ</v>
      </c>
      <c r="S437" s="3">
        <f t="shared" ca="1" si="12"/>
        <v>8057</v>
      </c>
      <c r="T437" s="25" t="str">
        <f ca="1">VLOOKUP($S437,OFFSET([2]characters!$A$1,0,0,COUNTA([2]characters!$A:$A),MATCH(T$1,[2]characters!$1:$1,0)-MATCH($A$1,[2]characters!$1:$1,0)+1),MATCH(T$1,[2]characters!$1:$1,0)-MATCH($A$1,[2]characters!$1:$1,0)+1,FALSE)</f>
        <v>ニーベルゲン_シナモロールコスプレ</v>
      </c>
      <c r="U437" s="5">
        <f ca="1">IF(Q437="NULL","NULL",VLOOKUP(G437,ビット!$A$2:$B$7,2))</f>
        <v>50000</v>
      </c>
      <c r="V437">
        <v>50000</v>
      </c>
      <c r="W437" s="6" t="str">
        <f t="shared" ca="1" si="18"/>
        <v>TRUE</v>
      </c>
    </row>
    <row r="438" spans="1:23" ht="21" customHeight="1" x14ac:dyDescent="0.15">
      <c r="A438" s="84">
        <f t="shared" si="19"/>
        <v>8059</v>
      </c>
      <c r="B438" s="24" t="str">
        <f ca="1">VLOOKUP($A438,OFFSET([2]characters!$A$1,0,0,COUNTA([2]characters!$A:$A),MATCH(B$1,[2]characters!$1:$1,0)-MATCH($A$1,[2]characters!$1:$1,0)+1),MATCH(B$1,[2]characters!$1:$1,0)-MATCH($A$1,[2]characters!$1:$1,0)+1,FALSE)</f>
        <v>カカシ_マイメロディコスプレ</v>
      </c>
      <c r="C438" s="24" t="str">
        <f ca="1">VLOOKUP($A438,OFFSET([2]characters!$A$1,0,0,COUNTA([2]characters!$A:$A),MATCH(C$1,[2]characters!$1:$1,0)-MATCH($A$1,[2]characters!$1:$1,0)+1),MATCH(C$1,[2]characters!$1:$1,0)-MATCH($A$1,[2]characters!$1:$1,0)+1,FALSE)</f>
        <v>カカシ_マイメロディコスプレ</v>
      </c>
      <c r="D438" s="24" t="str">
        <f ca="1">VLOOKUP($A438,OFFSET([2]characters!$A$1,0,0,COUNTA([2]characters!$A:$A),MATCH(D$1,[2]characters!$1:$1,0)-MATCH($A$1,[2]characters!$1:$1,0)+1),MATCH(D$1,[2]characters!$1:$1,0)-MATCH($A$1,[2]characters!$1:$1,0)+1,FALSE)</f>
        <v>執行者</v>
      </c>
      <c r="E438" s="24" t="str">
        <f ca="1">VLOOKUP($A438,OFFSET([2]characters!$A$1,0,0,COUNTA([2]characters!$A:$A),MATCH(E$1,[2]characters!$1:$1,0)-MATCH($A$1,[2]characters!$1:$1,0)+1),MATCH(E$1,[2]characters!$1:$1,0)-MATCH($A$1,[2]characters!$1:$1,0)+1,FALSE)</f>
        <v>格好いい</v>
      </c>
      <c r="F438" s="24" t="str">
        <f ca="1">VLOOKUP($A438,OFFSET([2]characters!$A$1,0,0,COUNTA([2]characters!$A:$A),MATCH(F$1,[2]characters!$1:$1,0)-MATCH($A$1,[2]characters!$1:$1,0)+1),MATCH(F$1,[2]characters!$1:$1,0)-MATCH($A$1,[2]characters!$1:$1,0)+1,FALSE)</f>
        <v>女性</v>
      </c>
      <c r="G438" s="24">
        <f ca="1">VLOOKUP($A438,OFFSET([2]characters!$A$1,0,0,COUNTA([2]characters!$A:$A),MATCH(G$1,[2]characters!$1:$1,0)-MATCH($A$1,[2]characters!$1:$1,0)+1),MATCH(G$1,[2]characters!$1:$1,0)-MATCH($A$1,[2]characters!$1:$1,0)+1,FALSE)</f>
        <v>4</v>
      </c>
      <c r="H438" s="24" t="str">
        <f ca="1">VLOOKUP($A438,OFFSET([2]characters!$A$1,0,0,COUNTA([2]characters!$A:$A),MATCH(H$1,[2]characters!$1:$1,0)-MATCH($A$1,[2]characters!$1:$1,0)+1),MATCH(H$1,[2]characters!$1:$1,0)-MATCH($A$1,[2]characters!$1:$1,0)+1,FALSE)</f>
        <v>PremiumS</v>
      </c>
      <c r="I438" s="24" t="str">
        <f ca="1">VLOOKUP($A438,OFFSET([2]characters!$A$1,0,0,COUNTA([2]characters!$A:$A),MATCH(I$1,[2]characters!$1:$1,0)-MATCH($A$1,[2]characters!$1:$1,0)+1),MATCH(I$1,[2]characters!$1:$1,0)-MATCH($A$1,[2]characters!$1:$1,0)+1,FALSE)</f>
        <v>green</v>
      </c>
      <c r="J438" s="24" t="str">
        <f ca="1">VLOOKUP($A438,OFFSET([2]characters!$A$1,0,0,COUNTA([2]characters!$A:$A),MATCH(J$1,[2]characters!$1:$1,0)-MATCH($A$1,[2]characters!$1:$1,0)+1),MATCH(J$1,[2]characters!$1:$1,0)-MATCH($A$1,[2]characters!$1:$1,0)+1,FALSE)</f>
        <v>none</v>
      </c>
      <c r="K438" s="3" t="str">
        <f ca="1">VLOOKUP(J438,[2]character_tribe_i18n!$A:$H,3,FALSE)</f>
        <v>種族なし</v>
      </c>
      <c r="L438" s="5" t="e">
        <f>VLOOKUP(#REF!,[2]character_tribe_i18n!$A:$H,4,FALSE)</f>
        <v>#REF!</v>
      </c>
      <c r="M438" s="5" t="e">
        <f>VLOOKUP(#REF!,[2]character_tribe_i18n!$A:$H,5,FALSE)</f>
        <v>#REF!</v>
      </c>
      <c r="N438" s="5" t="e">
        <f>VLOOKUP(#REF!,[2]character_tribe_i18n!$A:$H,6,FALSE)</f>
        <v>#REF!</v>
      </c>
      <c r="O438" s="5" t="e">
        <f>VLOOKUP(#REF!,[2]character_tribe_i18n!$A:$H,7,FALSE)</f>
        <v>#REF!</v>
      </c>
      <c r="P438" s="83" t="s">
        <v>170</v>
      </c>
      <c r="Q438">
        <v>8060</v>
      </c>
      <c r="R438" s="25" t="str">
        <f ca="1">IF(Q438="NULL","",VLOOKUP($Q438,OFFSET([2]characters!$A$1,0,0,COUNTA([2]characters!$A:$A),MATCH(R$1,[2]characters!$1:$1,0)-MATCH($A$1,[2]characters!$1:$1,0)+1),MATCH(R$1,[2]characters!$1:$1,0)-MATCH($A$1,[2]characters!$1:$1,0)+1,FALSE))</f>
        <v>カカシ_マイメロディコスプレ</v>
      </c>
      <c r="S438" s="3">
        <f t="shared" ca="1" si="12"/>
        <v>8059</v>
      </c>
      <c r="T438" s="25" t="str">
        <f ca="1">VLOOKUP($S438,OFFSET([2]characters!$A$1,0,0,COUNTA([2]characters!$A:$A),MATCH(T$1,[2]characters!$1:$1,0)-MATCH($A$1,[2]characters!$1:$1,0)+1),MATCH(T$1,[2]characters!$1:$1,0)-MATCH($A$1,[2]characters!$1:$1,0)+1,FALSE)</f>
        <v>カカシ_マイメロディコスプレ</v>
      </c>
      <c r="U438" s="5">
        <f ca="1">IF(Q438="NULL","NULL",VLOOKUP(G438,ビット!$A$2:$B$7,2))</f>
        <v>50000</v>
      </c>
      <c r="V438">
        <v>50000</v>
      </c>
      <c r="W438" s="6" t="str">
        <f t="shared" ca="1" si="18"/>
        <v>TRUE</v>
      </c>
    </row>
    <row r="439" spans="1:23" ht="21" customHeight="1" x14ac:dyDescent="0.15">
      <c r="A439" s="84">
        <f t="shared" si="19"/>
        <v>8061</v>
      </c>
      <c r="B439" s="24" t="str">
        <f ca="1">VLOOKUP($A439,OFFSET([2]characters!$A$1,0,0,COUNTA([2]characters!$A:$A),MATCH(B$1,[2]characters!$1:$1,0)-MATCH($A$1,[2]characters!$1:$1,0)+1),MATCH(B$1,[2]characters!$1:$1,0)-MATCH($A$1,[2]characters!$1:$1,0)+1,FALSE)</f>
        <v>ケロケロけろっぴ</v>
      </c>
      <c r="C439" s="24" t="str">
        <f ca="1">VLOOKUP($A439,OFFSET([2]characters!$A$1,0,0,COUNTA([2]characters!$A:$A),MATCH(C$1,[2]characters!$1:$1,0)-MATCH($A$1,[2]characters!$1:$1,0)+1),MATCH(C$1,[2]characters!$1:$1,0)-MATCH($A$1,[2]characters!$1:$1,0)+1,FALSE)</f>
        <v>ケロケロけろっぴ</v>
      </c>
      <c r="D439" s="24" t="str">
        <f ca="1">VLOOKUP($A439,OFFSET([2]characters!$A$1,0,0,COUNTA([2]characters!$A:$A),MATCH(D$1,[2]characters!$1:$1,0)-MATCH($A$1,[2]characters!$1:$1,0)+1),MATCH(D$1,[2]characters!$1:$1,0)-MATCH($A$1,[2]characters!$1:$1,0)+1,FALSE)</f>
        <v>執行者</v>
      </c>
      <c r="E439" s="24" t="str">
        <f ca="1">VLOOKUP($A439,OFFSET([2]characters!$A$1,0,0,COUNTA([2]characters!$A:$A),MATCH(E$1,[2]characters!$1:$1,0)-MATCH($A$1,[2]characters!$1:$1,0)+1),MATCH(E$1,[2]characters!$1:$1,0)-MATCH($A$1,[2]characters!$1:$1,0)+1,FALSE)</f>
        <v>格好いい</v>
      </c>
      <c r="F439" s="24" t="str">
        <f ca="1">VLOOKUP($A439,OFFSET([2]characters!$A$1,0,0,COUNTA([2]characters!$A:$A),MATCH(F$1,[2]characters!$1:$1,0)-MATCH($A$1,[2]characters!$1:$1,0)+1),MATCH(F$1,[2]characters!$1:$1,0)-MATCH($A$1,[2]characters!$1:$1,0)+1,FALSE)</f>
        <v>女性</v>
      </c>
      <c r="G439" s="24">
        <f ca="1">VLOOKUP($A439,OFFSET([2]characters!$A$1,0,0,COUNTA([2]characters!$A:$A),MATCH(G$1,[2]characters!$1:$1,0)-MATCH($A$1,[2]characters!$1:$1,0)+1),MATCH(G$1,[2]characters!$1:$1,0)-MATCH($A$1,[2]characters!$1:$1,0)+1,FALSE)</f>
        <v>3</v>
      </c>
      <c r="H439" s="24" t="str">
        <f ca="1">VLOOKUP($A439,OFFSET([2]characters!$A$1,0,0,COUNTA([2]characters!$A:$A),MATCH(H$1,[2]characters!$1:$1,0)-MATCH($A$1,[2]characters!$1:$1,0)+1),MATCH(H$1,[2]characters!$1:$1,0)-MATCH($A$1,[2]characters!$1:$1,0)+1,FALSE)</f>
        <v>PremiumS</v>
      </c>
      <c r="I439" s="24" t="str">
        <f ca="1">VLOOKUP($A439,OFFSET([2]characters!$A$1,0,0,COUNTA([2]characters!$A:$A),MATCH(I$1,[2]characters!$1:$1,0)-MATCH($A$1,[2]characters!$1:$1,0)+1),MATCH(I$1,[2]characters!$1:$1,0)-MATCH($A$1,[2]characters!$1:$1,0)+1,FALSE)</f>
        <v>green</v>
      </c>
      <c r="J439" s="24" t="str">
        <f ca="1">VLOOKUP($A439,OFFSET([2]characters!$A$1,0,0,COUNTA([2]characters!$A:$A),MATCH(J$1,[2]characters!$1:$1,0)-MATCH($A$1,[2]characters!$1:$1,0)+1),MATCH(J$1,[2]characters!$1:$1,0)-MATCH($A$1,[2]characters!$1:$1,0)+1,FALSE)</f>
        <v>none</v>
      </c>
      <c r="K439" s="3" t="str">
        <f ca="1">VLOOKUP(J439,[2]character_tribe_i18n!$A:$H,3,FALSE)</f>
        <v>種族なし</v>
      </c>
      <c r="L439" s="5" t="e">
        <f>VLOOKUP(#REF!,[2]character_tribe_i18n!$A:$H,4,FALSE)</f>
        <v>#REF!</v>
      </c>
      <c r="M439" s="5" t="e">
        <f>VLOOKUP(#REF!,[2]character_tribe_i18n!$A:$H,5,FALSE)</f>
        <v>#REF!</v>
      </c>
      <c r="N439" s="5" t="e">
        <f>VLOOKUP(#REF!,[2]character_tribe_i18n!$A:$H,6,FALSE)</f>
        <v>#REF!</v>
      </c>
      <c r="O439" s="5" t="e">
        <f>VLOOKUP(#REF!,[2]character_tribe_i18n!$A:$H,7,FALSE)</f>
        <v>#REF!</v>
      </c>
      <c r="P439" s="83" t="s">
        <v>170</v>
      </c>
      <c r="Q439">
        <v>8062</v>
      </c>
      <c r="R439" s="25" t="str">
        <f ca="1">IF(Q439="NULL","",VLOOKUP($Q439,OFFSET([2]characters!$A$1,0,0,COUNTA([2]characters!$A:$A),MATCH(R$1,[2]characters!$1:$1,0)-MATCH($A$1,[2]characters!$1:$1,0)+1),MATCH(R$1,[2]characters!$1:$1,0)-MATCH($A$1,[2]characters!$1:$1,0)+1,FALSE))</f>
        <v>ケロケロけろっぴ</v>
      </c>
      <c r="S439" s="3">
        <f t="shared" ca="1" si="12"/>
        <v>8061</v>
      </c>
      <c r="T439" s="25" t="str">
        <f ca="1">VLOOKUP($S439,OFFSET([2]characters!$A$1,0,0,COUNTA([2]characters!$A:$A),MATCH(T$1,[2]characters!$1:$1,0)-MATCH($A$1,[2]characters!$1:$1,0)+1),MATCH(T$1,[2]characters!$1:$1,0)-MATCH($A$1,[2]characters!$1:$1,0)+1,FALSE)</f>
        <v>ケロケロけろっぴ</v>
      </c>
      <c r="U439" s="5">
        <f ca="1">IF(Q439="NULL","NULL",VLOOKUP(G439,ビット!$A$2:$B$7,2))</f>
        <v>20000</v>
      </c>
      <c r="V439">
        <v>20000</v>
      </c>
      <c r="W439" s="6" t="str">
        <f t="shared" ca="1" si="18"/>
        <v>TRUE</v>
      </c>
    </row>
    <row r="440" spans="1:23" ht="21" customHeight="1" x14ac:dyDescent="0.15">
      <c r="A440" s="84">
        <f t="shared" si="19"/>
        <v>8063</v>
      </c>
      <c r="B440" s="24" t="str">
        <f ca="1">VLOOKUP($A440,OFFSET([2]characters!$A$1,0,0,COUNTA([2]characters!$A:$A),MATCH(B$1,[2]characters!$1:$1,0)-MATCH($A$1,[2]characters!$1:$1,0)+1),MATCH(B$1,[2]characters!$1:$1,0)-MATCH($A$1,[2]characters!$1:$1,0)+1,FALSE)</f>
        <v>モルドレッド_ポムポムプリンコスプレ</v>
      </c>
      <c r="C440" s="24" t="str">
        <f ca="1">VLOOKUP($A440,OFFSET([2]characters!$A$1,0,0,COUNTA([2]characters!$A:$A),MATCH(C$1,[2]characters!$1:$1,0)-MATCH($A$1,[2]characters!$1:$1,0)+1),MATCH(C$1,[2]characters!$1:$1,0)-MATCH($A$1,[2]characters!$1:$1,0)+1,FALSE)</f>
        <v>モルドレッド_ポムポムプリンコスプレ</v>
      </c>
      <c r="D440" s="24" t="str">
        <f ca="1">VLOOKUP($A440,OFFSET([2]characters!$A$1,0,0,COUNTA([2]characters!$A:$A),MATCH(D$1,[2]characters!$1:$1,0)-MATCH($A$1,[2]characters!$1:$1,0)+1),MATCH(D$1,[2]characters!$1:$1,0)-MATCH($A$1,[2]characters!$1:$1,0)+1,FALSE)</f>
        <v>執行者</v>
      </c>
      <c r="E440" s="24" t="str">
        <f ca="1">VLOOKUP($A440,OFFSET([2]characters!$A$1,0,0,COUNTA([2]characters!$A:$A),MATCH(E$1,[2]characters!$1:$1,0)-MATCH($A$1,[2]characters!$1:$1,0)+1),MATCH(E$1,[2]characters!$1:$1,0)-MATCH($A$1,[2]characters!$1:$1,0)+1,FALSE)</f>
        <v>格好いい</v>
      </c>
      <c r="F440" s="24" t="str">
        <f ca="1">VLOOKUP($A440,OFFSET([2]characters!$A$1,0,0,COUNTA([2]characters!$A:$A),MATCH(F$1,[2]characters!$1:$1,0)-MATCH($A$1,[2]characters!$1:$1,0)+1),MATCH(F$1,[2]characters!$1:$1,0)-MATCH($A$1,[2]characters!$1:$1,0)+1,FALSE)</f>
        <v>女性</v>
      </c>
      <c r="G440" s="24">
        <f ca="1">VLOOKUP($A440,OFFSET([2]characters!$A$1,0,0,COUNTA([2]characters!$A:$A),MATCH(G$1,[2]characters!$1:$1,0)-MATCH($A$1,[2]characters!$1:$1,0)+1),MATCH(G$1,[2]characters!$1:$1,0)-MATCH($A$1,[2]characters!$1:$1,0)+1,FALSE)</f>
        <v>5</v>
      </c>
      <c r="H440" s="24" t="str">
        <f ca="1">VLOOKUP($A440,OFFSET([2]characters!$A$1,0,0,COUNTA([2]characters!$A:$A),MATCH(H$1,[2]characters!$1:$1,0)-MATCH($A$1,[2]characters!$1:$1,0)+1),MATCH(H$1,[2]characters!$1:$1,0)-MATCH($A$1,[2]characters!$1:$1,0)+1,FALSE)</f>
        <v>PremiumSS</v>
      </c>
      <c r="I440" s="24" t="str">
        <f ca="1">VLOOKUP($A440,OFFSET([2]characters!$A$1,0,0,COUNTA([2]characters!$A:$A),MATCH(I$1,[2]characters!$1:$1,0)-MATCH($A$1,[2]characters!$1:$1,0)+1),MATCH(I$1,[2]characters!$1:$1,0)-MATCH($A$1,[2]characters!$1:$1,0)+1,FALSE)</f>
        <v>blue</v>
      </c>
      <c r="J440" s="24" t="str">
        <f ca="1">VLOOKUP($A440,OFFSET([2]characters!$A$1,0,0,COUNTA([2]characters!$A:$A),MATCH(J$1,[2]characters!$1:$1,0)-MATCH($A$1,[2]characters!$1:$1,0)+1),MATCH(J$1,[2]characters!$1:$1,0)-MATCH($A$1,[2]characters!$1:$1,0)+1,FALSE)</f>
        <v>none</v>
      </c>
      <c r="K440" s="3" t="str">
        <f ca="1">VLOOKUP(J440,[2]character_tribe_i18n!$A:$H,3,FALSE)</f>
        <v>種族なし</v>
      </c>
      <c r="L440" s="5" t="e">
        <f>VLOOKUP(#REF!,[2]character_tribe_i18n!$A:$H,4,FALSE)</f>
        <v>#REF!</v>
      </c>
      <c r="M440" s="5" t="e">
        <f>VLOOKUP(#REF!,[2]character_tribe_i18n!$A:$H,5,FALSE)</f>
        <v>#REF!</v>
      </c>
      <c r="N440" s="5" t="e">
        <f>VLOOKUP(#REF!,[2]character_tribe_i18n!$A:$H,6,FALSE)</f>
        <v>#REF!</v>
      </c>
      <c r="O440" s="5" t="e">
        <f>VLOOKUP(#REF!,[2]character_tribe_i18n!$A:$H,7,FALSE)</f>
        <v>#REF!</v>
      </c>
      <c r="P440" s="83" t="s">
        <v>170</v>
      </c>
      <c r="Q440">
        <v>8064</v>
      </c>
      <c r="R440" s="25" t="str">
        <f ca="1">IF(Q440="NULL","",VLOOKUP($Q440,OFFSET([2]characters!$A$1,0,0,COUNTA([2]characters!$A:$A),MATCH(R$1,[2]characters!$1:$1,0)-MATCH($A$1,[2]characters!$1:$1,0)+1),MATCH(R$1,[2]characters!$1:$1,0)-MATCH($A$1,[2]characters!$1:$1,0)+1,FALSE))</f>
        <v>モルドレッド_ポムポムプリンコスプレ</v>
      </c>
      <c r="S440" s="3">
        <f t="shared" ca="1" si="12"/>
        <v>8063</v>
      </c>
      <c r="T440" s="25" t="str">
        <f ca="1">VLOOKUP($S440,OFFSET([2]characters!$A$1,0,0,COUNTA([2]characters!$A:$A),MATCH(T$1,[2]characters!$1:$1,0)-MATCH($A$1,[2]characters!$1:$1,0)+1),MATCH(T$1,[2]characters!$1:$1,0)-MATCH($A$1,[2]characters!$1:$1,0)+1,FALSE)</f>
        <v>モルドレッド_ポムポムプリンコスプレ</v>
      </c>
      <c r="U440" s="5">
        <f ca="1">IF(Q440="NULL","NULL",VLOOKUP(G440,ビット!$A$2:$B$7,2))</f>
        <v>200000</v>
      </c>
      <c r="V440">
        <v>200000</v>
      </c>
      <c r="W440" s="6" t="str">
        <f t="shared" ca="1" si="18"/>
        <v>TRUE</v>
      </c>
    </row>
    <row r="441" spans="1:23" ht="21" customHeight="1" x14ac:dyDescent="0.15">
      <c r="A441" s="84">
        <f t="shared" si="19"/>
        <v>8065</v>
      </c>
      <c r="B441" s="24" t="str">
        <f ca="1">VLOOKUP($A441,OFFSET([2]characters!$A$1,0,0,COUNTA([2]characters!$A:$A),MATCH(B$1,[2]characters!$1:$1,0)-MATCH($A$1,[2]characters!$1:$1,0)+1),MATCH(B$1,[2]characters!$1:$1,0)-MATCH($A$1,[2]characters!$1:$1,0)+1,FALSE)</f>
        <v>クロミ</v>
      </c>
      <c r="C441" s="24" t="str">
        <f ca="1">VLOOKUP($A441,OFFSET([2]characters!$A$1,0,0,COUNTA([2]characters!$A:$A),MATCH(C$1,[2]characters!$1:$1,0)-MATCH($A$1,[2]characters!$1:$1,0)+1),MATCH(C$1,[2]characters!$1:$1,0)-MATCH($A$1,[2]characters!$1:$1,0)+1,FALSE)</f>
        <v>クロミ</v>
      </c>
      <c r="D441" s="24" t="str">
        <f ca="1">VLOOKUP($A441,OFFSET([2]characters!$A$1,0,0,COUNTA([2]characters!$A:$A),MATCH(D$1,[2]characters!$1:$1,0)-MATCH($A$1,[2]characters!$1:$1,0)+1),MATCH(D$1,[2]characters!$1:$1,0)-MATCH($A$1,[2]characters!$1:$1,0)+1,FALSE)</f>
        <v>執行者</v>
      </c>
      <c r="E441" s="24" t="str">
        <f ca="1">VLOOKUP($A441,OFFSET([2]characters!$A$1,0,0,COUNTA([2]characters!$A:$A),MATCH(E$1,[2]characters!$1:$1,0)-MATCH($A$1,[2]characters!$1:$1,0)+1),MATCH(E$1,[2]characters!$1:$1,0)-MATCH($A$1,[2]characters!$1:$1,0)+1,FALSE)</f>
        <v>格好いい</v>
      </c>
      <c r="F441" s="24" t="str">
        <f ca="1">VLOOKUP($A441,OFFSET([2]characters!$A$1,0,0,COUNTA([2]characters!$A:$A),MATCH(F$1,[2]characters!$1:$1,0)-MATCH($A$1,[2]characters!$1:$1,0)+1),MATCH(F$1,[2]characters!$1:$1,0)-MATCH($A$1,[2]characters!$1:$1,0)+1,FALSE)</f>
        <v>女性</v>
      </c>
      <c r="G441" s="24">
        <f ca="1">VLOOKUP($A441,OFFSET([2]characters!$A$1,0,0,COUNTA([2]characters!$A:$A),MATCH(G$1,[2]characters!$1:$1,0)-MATCH($A$1,[2]characters!$1:$1,0)+1),MATCH(G$1,[2]characters!$1:$1,0)-MATCH($A$1,[2]characters!$1:$1,0)+1,FALSE)</f>
        <v>3</v>
      </c>
      <c r="H441" s="24" t="str">
        <f ca="1">VLOOKUP($A441,OFFSET([2]characters!$A$1,0,0,COUNTA([2]characters!$A:$A),MATCH(H$1,[2]characters!$1:$1,0)-MATCH($A$1,[2]characters!$1:$1,0)+1),MATCH(H$1,[2]characters!$1:$1,0)-MATCH($A$1,[2]characters!$1:$1,0)+1,FALSE)</f>
        <v>PremiumS</v>
      </c>
      <c r="I441" s="24" t="str">
        <f ca="1">VLOOKUP($A441,OFFSET([2]characters!$A$1,0,0,COUNTA([2]characters!$A:$A),MATCH(I$1,[2]characters!$1:$1,0)-MATCH($A$1,[2]characters!$1:$1,0)+1),MATCH(I$1,[2]characters!$1:$1,0)-MATCH($A$1,[2]characters!$1:$1,0)+1,FALSE)</f>
        <v>blue</v>
      </c>
      <c r="J441" s="24" t="str">
        <f ca="1">VLOOKUP($A441,OFFSET([2]characters!$A$1,0,0,COUNTA([2]characters!$A:$A),MATCH(J$1,[2]characters!$1:$1,0)-MATCH($A$1,[2]characters!$1:$1,0)+1),MATCH(J$1,[2]characters!$1:$1,0)-MATCH($A$1,[2]characters!$1:$1,0)+1,FALSE)</f>
        <v>none</v>
      </c>
      <c r="K441" s="3" t="str">
        <f ca="1">VLOOKUP(J441,[2]character_tribe_i18n!$A:$H,3,FALSE)</f>
        <v>種族なし</v>
      </c>
      <c r="L441" s="5" t="e">
        <f>VLOOKUP(#REF!,[2]character_tribe_i18n!$A:$H,4,FALSE)</f>
        <v>#REF!</v>
      </c>
      <c r="M441" s="5" t="e">
        <f>VLOOKUP(#REF!,[2]character_tribe_i18n!$A:$H,5,FALSE)</f>
        <v>#REF!</v>
      </c>
      <c r="N441" s="5" t="e">
        <f>VLOOKUP(#REF!,[2]character_tribe_i18n!$A:$H,6,FALSE)</f>
        <v>#REF!</v>
      </c>
      <c r="O441" s="5" t="e">
        <f>VLOOKUP(#REF!,[2]character_tribe_i18n!$A:$H,7,FALSE)</f>
        <v>#REF!</v>
      </c>
      <c r="P441" s="83" t="s">
        <v>170</v>
      </c>
      <c r="Q441">
        <v>8066</v>
      </c>
      <c r="R441" s="25" t="str">
        <f ca="1">IF(Q441="NULL","",VLOOKUP($Q441,OFFSET([2]characters!$A$1,0,0,COUNTA([2]characters!$A:$A),MATCH(R$1,[2]characters!$1:$1,0)-MATCH($A$1,[2]characters!$1:$1,0)+1),MATCH(R$1,[2]characters!$1:$1,0)-MATCH($A$1,[2]characters!$1:$1,0)+1,FALSE))</f>
        <v>クロミ</v>
      </c>
      <c r="S441" s="3">
        <f t="shared" ca="1" si="12"/>
        <v>8065</v>
      </c>
      <c r="T441" s="25" t="str">
        <f ca="1">VLOOKUP($S441,OFFSET([2]characters!$A$1,0,0,COUNTA([2]characters!$A:$A),MATCH(T$1,[2]characters!$1:$1,0)-MATCH($A$1,[2]characters!$1:$1,0)+1),MATCH(T$1,[2]characters!$1:$1,0)-MATCH($A$1,[2]characters!$1:$1,0)+1,FALSE)</f>
        <v>クロミ</v>
      </c>
      <c r="U441" s="5">
        <f ca="1">IF(Q441="NULL","NULL",VLOOKUP(G441,ビット!$A$2:$B$7,2))</f>
        <v>20000</v>
      </c>
      <c r="V441">
        <v>20000</v>
      </c>
      <c r="W441" s="6" t="str">
        <f t="shared" ca="1" si="18"/>
        <v>TRUE</v>
      </c>
    </row>
    <row r="442" spans="1:23" ht="21" customHeight="1" x14ac:dyDescent="0.15">
      <c r="A442" s="84">
        <f t="shared" si="19"/>
        <v>8067</v>
      </c>
      <c r="B442" s="24" t="str">
        <f ca="1">VLOOKUP($A442,OFFSET([2]characters!$A$1,0,0,COUNTA([2]characters!$A:$A),MATCH(B$1,[2]characters!$1:$1,0)-MATCH($A$1,[2]characters!$1:$1,0)+1),MATCH(B$1,[2]characters!$1:$1,0)-MATCH($A$1,[2]characters!$1:$1,0)+1,FALSE)</f>
        <v>バッドばつ丸</v>
      </c>
      <c r="C442" s="24" t="str">
        <f ca="1">VLOOKUP($A442,OFFSET([2]characters!$A$1,0,0,COUNTA([2]characters!$A:$A),MATCH(C$1,[2]characters!$1:$1,0)-MATCH($A$1,[2]characters!$1:$1,0)+1),MATCH(C$1,[2]characters!$1:$1,0)-MATCH($A$1,[2]characters!$1:$1,0)+1,FALSE)</f>
        <v>バッドばつ丸</v>
      </c>
      <c r="D442" s="24" t="str">
        <f ca="1">VLOOKUP($A442,OFFSET([2]characters!$A$1,0,0,COUNTA([2]characters!$A:$A),MATCH(D$1,[2]characters!$1:$1,0)-MATCH($A$1,[2]characters!$1:$1,0)+1),MATCH(D$1,[2]characters!$1:$1,0)-MATCH($A$1,[2]characters!$1:$1,0)+1,FALSE)</f>
        <v>執行者</v>
      </c>
      <c r="E442" s="24" t="str">
        <f ca="1">VLOOKUP($A442,OFFSET([2]characters!$A$1,0,0,COUNTA([2]characters!$A:$A),MATCH(E$1,[2]characters!$1:$1,0)-MATCH($A$1,[2]characters!$1:$1,0)+1),MATCH(E$1,[2]characters!$1:$1,0)-MATCH($A$1,[2]characters!$1:$1,0)+1,FALSE)</f>
        <v>格好いい</v>
      </c>
      <c r="F442" s="24" t="str">
        <f ca="1">VLOOKUP($A442,OFFSET([2]characters!$A$1,0,0,COUNTA([2]characters!$A:$A),MATCH(F$1,[2]characters!$1:$1,0)-MATCH($A$1,[2]characters!$1:$1,0)+1),MATCH(F$1,[2]characters!$1:$1,0)-MATCH($A$1,[2]characters!$1:$1,0)+1,FALSE)</f>
        <v>女性</v>
      </c>
      <c r="G442" s="24">
        <f ca="1">VLOOKUP($A442,OFFSET([2]characters!$A$1,0,0,COUNTA([2]characters!$A:$A),MATCH(G$1,[2]characters!$1:$1,0)-MATCH($A$1,[2]characters!$1:$1,0)+1),MATCH(G$1,[2]characters!$1:$1,0)-MATCH($A$1,[2]characters!$1:$1,0)+1,FALSE)</f>
        <v>3</v>
      </c>
      <c r="H442" s="24" t="str">
        <f ca="1">VLOOKUP($A442,OFFSET([2]characters!$A$1,0,0,COUNTA([2]characters!$A:$A),MATCH(H$1,[2]characters!$1:$1,0)-MATCH($A$1,[2]characters!$1:$1,0)+1),MATCH(H$1,[2]characters!$1:$1,0)-MATCH($A$1,[2]characters!$1:$1,0)+1,FALSE)</f>
        <v>PremiumS</v>
      </c>
      <c r="I442" s="24" t="str">
        <f ca="1">VLOOKUP($A442,OFFSET([2]characters!$A$1,0,0,COUNTA([2]characters!$A:$A),MATCH(I$1,[2]characters!$1:$1,0)-MATCH($A$1,[2]characters!$1:$1,0)+1),MATCH(I$1,[2]characters!$1:$1,0)-MATCH($A$1,[2]characters!$1:$1,0)+1,FALSE)</f>
        <v>blue</v>
      </c>
      <c r="J442" s="24" t="str">
        <f ca="1">VLOOKUP($A442,OFFSET([2]characters!$A$1,0,0,COUNTA([2]characters!$A:$A),MATCH(J$1,[2]characters!$1:$1,0)-MATCH($A$1,[2]characters!$1:$1,0)+1),MATCH(J$1,[2]characters!$1:$1,0)-MATCH($A$1,[2]characters!$1:$1,0)+1,FALSE)</f>
        <v>none</v>
      </c>
      <c r="K442" s="3" t="str">
        <f ca="1">VLOOKUP(J442,[2]character_tribe_i18n!$A:$H,3,FALSE)</f>
        <v>種族なし</v>
      </c>
      <c r="L442" s="5" t="e">
        <f>VLOOKUP(#REF!,[2]character_tribe_i18n!$A:$H,4,FALSE)</f>
        <v>#REF!</v>
      </c>
      <c r="M442" s="5" t="e">
        <f>VLOOKUP(#REF!,[2]character_tribe_i18n!$A:$H,5,FALSE)</f>
        <v>#REF!</v>
      </c>
      <c r="N442" s="5" t="e">
        <f>VLOOKUP(#REF!,[2]character_tribe_i18n!$A:$H,6,FALSE)</f>
        <v>#REF!</v>
      </c>
      <c r="O442" s="5" t="e">
        <f>VLOOKUP(#REF!,[2]character_tribe_i18n!$A:$H,7,FALSE)</f>
        <v>#REF!</v>
      </c>
      <c r="P442" s="83" t="s">
        <v>170</v>
      </c>
      <c r="Q442">
        <v>8068</v>
      </c>
      <c r="R442" s="25" t="str">
        <f ca="1">IF(Q442="NULL","",VLOOKUP($Q442,OFFSET([2]characters!$A$1,0,0,COUNTA([2]characters!$A:$A),MATCH(R$1,[2]characters!$1:$1,0)-MATCH($A$1,[2]characters!$1:$1,0)+1),MATCH(R$1,[2]characters!$1:$1,0)-MATCH($A$1,[2]characters!$1:$1,0)+1,FALSE))</f>
        <v>バッドばつ丸</v>
      </c>
      <c r="S442" s="3">
        <f t="shared" ca="1" si="12"/>
        <v>8067</v>
      </c>
      <c r="T442" s="25" t="str">
        <f ca="1">VLOOKUP($S442,OFFSET([2]characters!$A$1,0,0,COUNTA([2]characters!$A:$A),MATCH(T$1,[2]characters!$1:$1,0)-MATCH($A$1,[2]characters!$1:$1,0)+1),MATCH(T$1,[2]characters!$1:$1,0)-MATCH($A$1,[2]characters!$1:$1,0)+1,FALSE)</f>
        <v>バッドばつ丸</v>
      </c>
      <c r="U442" s="5">
        <f ca="1">IF(Q442="NULL","NULL",VLOOKUP(G442,ビット!$A$2:$B$7,2))</f>
        <v>20000</v>
      </c>
      <c r="V442">
        <v>20000</v>
      </c>
      <c r="W442" s="6" t="str">
        <f t="shared" ca="1" si="18"/>
        <v>TRUE</v>
      </c>
    </row>
    <row r="443" spans="1:23" ht="21" customHeight="1" x14ac:dyDescent="0.15">
      <c r="A443" s="84">
        <f t="shared" si="19"/>
        <v>8069</v>
      </c>
      <c r="B443" s="24" t="str">
        <f ca="1">VLOOKUP($A443,OFFSET([2]characters!$A$1,0,0,COUNTA([2]characters!$A:$A),MATCH(B$1,[2]characters!$1:$1,0)-MATCH($A$1,[2]characters!$1:$1,0)+1),MATCH(B$1,[2]characters!$1:$1,0)-MATCH($A$1,[2]characters!$1:$1,0)+1,FALSE)</f>
        <v>シナモロール</v>
      </c>
      <c r="C443" s="24" t="str">
        <f ca="1">VLOOKUP($A443,OFFSET([2]characters!$A$1,0,0,COUNTA([2]characters!$A:$A),MATCH(C$1,[2]characters!$1:$1,0)-MATCH($A$1,[2]characters!$1:$1,0)+1),MATCH(C$1,[2]characters!$1:$1,0)-MATCH($A$1,[2]characters!$1:$1,0)+1,FALSE)</f>
        <v>シナモロール</v>
      </c>
      <c r="D443" s="24" t="str">
        <f ca="1">VLOOKUP($A443,OFFSET([2]characters!$A$1,0,0,COUNTA([2]characters!$A:$A),MATCH(D$1,[2]characters!$1:$1,0)-MATCH($A$1,[2]characters!$1:$1,0)+1),MATCH(D$1,[2]characters!$1:$1,0)-MATCH($A$1,[2]characters!$1:$1,0)+1,FALSE)</f>
        <v>執行者</v>
      </c>
      <c r="E443" s="24" t="str">
        <f ca="1">VLOOKUP($A443,OFFSET([2]characters!$A$1,0,0,COUNTA([2]characters!$A:$A),MATCH(E$1,[2]characters!$1:$1,0)-MATCH($A$1,[2]characters!$1:$1,0)+1),MATCH(E$1,[2]characters!$1:$1,0)-MATCH($A$1,[2]characters!$1:$1,0)+1,FALSE)</f>
        <v>格好いい</v>
      </c>
      <c r="F443" s="24" t="str">
        <f ca="1">VLOOKUP($A443,OFFSET([2]characters!$A$1,0,0,COUNTA([2]characters!$A:$A),MATCH(F$1,[2]characters!$1:$1,0)-MATCH($A$1,[2]characters!$1:$1,0)+1),MATCH(F$1,[2]characters!$1:$1,0)-MATCH($A$1,[2]characters!$1:$1,0)+1,FALSE)</f>
        <v>女性</v>
      </c>
      <c r="G443" s="24">
        <f ca="1">VLOOKUP($A443,OFFSET([2]characters!$A$1,0,0,COUNTA([2]characters!$A:$A),MATCH(G$1,[2]characters!$1:$1,0)-MATCH($A$1,[2]characters!$1:$1,0)+1),MATCH(G$1,[2]characters!$1:$1,0)-MATCH($A$1,[2]characters!$1:$1,0)+1,FALSE)</f>
        <v>4</v>
      </c>
      <c r="H443" s="24" t="str">
        <f ca="1">VLOOKUP($A443,OFFSET([2]characters!$A$1,0,0,COUNTA([2]characters!$A:$A),MATCH(H$1,[2]characters!$1:$1,0)-MATCH($A$1,[2]characters!$1:$1,0)+1),MATCH(H$1,[2]characters!$1:$1,0)-MATCH($A$1,[2]characters!$1:$1,0)+1,FALSE)</f>
        <v>PremiumS</v>
      </c>
      <c r="I443" s="24" t="str">
        <f ca="1">VLOOKUP($A443,OFFSET([2]characters!$A$1,0,0,COUNTA([2]characters!$A:$A),MATCH(I$1,[2]characters!$1:$1,0)-MATCH($A$1,[2]characters!$1:$1,0)+1),MATCH(I$1,[2]characters!$1:$1,0)-MATCH($A$1,[2]characters!$1:$1,0)+1,FALSE)</f>
        <v>yellow</v>
      </c>
      <c r="J443" s="24" t="str">
        <f ca="1">VLOOKUP($A443,OFFSET([2]characters!$A$1,0,0,COUNTA([2]characters!$A:$A),MATCH(J$1,[2]characters!$1:$1,0)-MATCH($A$1,[2]characters!$1:$1,0)+1),MATCH(J$1,[2]characters!$1:$1,0)-MATCH($A$1,[2]characters!$1:$1,0)+1,FALSE)</f>
        <v>none</v>
      </c>
      <c r="K443" s="3" t="str">
        <f ca="1">VLOOKUP(J443,[2]character_tribe_i18n!$A:$H,3,FALSE)</f>
        <v>種族なし</v>
      </c>
      <c r="L443" s="5" t="e">
        <f>VLOOKUP(#REF!,[2]character_tribe_i18n!$A:$H,4,FALSE)</f>
        <v>#REF!</v>
      </c>
      <c r="M443" s="5" t="e">
        <f>VLOOKUP(#REF!,[2]character_tribe_i18n!$A:$H,5,FALSE)</f>
        <v>#REF!</v>
      </c>
      <c r="N443" s="5" t="e">
        <f>VLOOKUP(#REF!,[2]character_tribe_i18n!$A:$H,6,FALSE)</f>
        <v>#REF!</v>
      </c>
      <c r="O443" s="5" t="e">
        <f>VLOOKUP(#REF!,[2]character_tribe_i18n!$A:$H,7,FALSE)</f>
        <v>#REF!</v>
      </c>
      <c r="P443" s="83" t="s">
        <v>170</v>
      </c>
      <c r="Q443">
        <v>8070</v>
      </c>
      <c r="R443" s="25" t="str">
        <f ca="1">IF(Q443="NULL","",VLOOKUP($Q443,OFFSET([2]characters!$A$1,0,0,COUNTA([2]characters!$A:$A),MATCH(R$1,[2]characters!$1:$1,0)-MATCH($A$1,[2]characters!$1:$1,0)+1),MATCH(R$1,[2]characters!$1:$1,0)-MATCH($A$1,[2]characters!$1:$1,0)+1,FALSE))</f>
        <v>シナモロール</v>
      </c>
      <c r="S443" s="3">
        <f t="shared" ca="1" si="12"/>
        <v>8069</v>
      </c>
      <c r="T443" s="25" t="str">
        <f ca="1">VLOOKUP($S443,OFFSET([2]characters!$A$1,0,0,COUNTA([2]characters!$A:$A),MATCH(T$1,[2]characters!$1:$1,0)-MATCH($A$1,[2]characters!$1:$1,0)+1),MATCH(T$1,[2]characters!$1:$1,0)-MATCH($A$1,[2]characters!$1:$1,0)+1,FALSE)</f>
        <v>シナモロール</v>
      </c>
      <c r="U443" s="5">
        <f ca="1">IF(Q443="NULL","NULL",VLOOKUP(G443,ビット!$A$2:$B$7,2))</f>
        <v>50000</v>
      </c>
      <c r="V443">
        <v>50000</v>
      </c>
      <c r="W443" s="6" t="str">
        <f t="shared" ca="1" si="18"/>
        <v>TRUE</v>
      </c>
    </row>
    <row r="444" spans="1:23" ht="21" customHeight="1" x14ac:dyDescent="0.15">
      <c r="A444" s="84">
        <f t="shared" si="19"/>
        <v>8071</v>
      </c>
      <c r="B444" s="24" t="str">
        <f ca="1">VLOOKUP($A444,OFFSET([2]characters!$A$1,0,0,COUNTA([2]characters!$A:$A),MATCH(B$1,[2]characters!$1:$1,0)-MATCH($A$1,[2]characters!$1:$1,0)+1),MATCH(B$1,[2]characters!$1:$1,0)-MATCH($A$1,[2]characters!$1:$1,0)+1,FALSE)</f>
        <v>ポムポムプリン</v>
      </c>
      <c r="C444" s="24" t="str">
        <f ca="1">VLOOKUP($A444,OFFSET([2]characters!$A$1,0,0,COUNTA([2]characters!$A:$A),MATCH(C$1,[2]characters!$1:$1,0)-MATCH($A$1,[2]characters!$1:$1,0)+1),MATCH(C$1,[2]characters!$1:$1,0)-MATCH($A$1,[2]characters!$1:$1,0)+1,FALSE)</f>
        <v>ポムポムプリン</v>
      </c>
      <c r="D444" s="24" t="str">
        <f ca="1">VLOOKUP($A444,OFFSET([2]characters!$A$1,0,0,COUNTA([2]characters!$A:$A),MATCH(D$1,[2]characters!$1:$1,0)-MATCH($A$1,[2]characters!$1:$1,0)+1),MATCH(D$1,[2]characters!$1:$1,0)-MATCH($A$1,[2]characters!$1:$1,0)+1,FALSE)</f>
        <v>執行者</v>
      </c>
      <c r="E444" s="24" t="str">
        <f ca="1">VLOOKUP($A444,OFFSET([2]characters!$A$1,0,0,COUNTA([2]characters!$A:$A),MATCH(E$1,[2]characters!$1:$1,0)-MATCH($A$1,[2]characters!$1:$1,0)+1),MATCH(E$1,[2]characters!$1:$1,0)-MATCH($A$1,[2]characters!$1:$1,0)+1,FALSE)</f>
        <v>格好いい</v>
      </c>
      <c r="F444" s="24" t="str">
        <f ca="1">VLOOKUP($A444,OFFSET([2]characters!$A$1,0,0,COUNTA([2]characters!$A:$A),MATCH(F$1,[2]characters!$1:$1,0)-MATCH($A$1,[2]characters!$1:$1,0)+1),MATCH(F$1,[2]characters!$1:$1,0)-MATCH($A$1,[2]characters!$1:$1,0)+1,FALSE)</f>
        <v>女性</v>
      </c>
      <c r="G444" s="24">
        <f ca="1">VLOOKUP($A444,OFFSET([2]characters!$A$1,0,0,COUNTA([2]characters!$A:$A),MATCH(G$1,[2]characters!$1:$1,0)-MATCH($A$1,[2]characters!$1:$1,0)+1),MATCH(G$1,[2]characters!$1:$1,0)-MATCH($A$1,[2]characters!$1:$1,0)+1,FALSE)</f>
        <v>3</v>
      </c>
      <c r="H444" s="24" t="str">
        <f ca="1">VLOOKUP($A444,OFFSET([2]characters!$A$1,0,0,COUNTA([2]characters!$A:$A),MATCH(H$1,[2]characters!$1:$1,0)-MATCH($A$1,[2]characters!$1:$1,0)+1),MATCH(H$1,[2]characters!$1:$1,0)-MATCH($A$1,[2]characters!$1:$1,0)+1,FALSE)</f>
        <v>PremiumS</v>
      </c>
      <c r="I444" s="24" t="str">
        <f ca="1">VLOOKUP($A444,OFFSET([2]characters!$A$1,0,0,COUNTA([2]characters!$A:$A),MATCH(I$1,[2]characters!$1:$1,0)-MATCH($A$1,[2]characters!$1:$1,0)+1),MATCH(I$1,[2]characters!$1:$1,0)-MATCH($A$1,[2]characters!$1:$1,0)+1,FALSE)</f>
        <v>yellow</v>
      </c>
      <c r="J444" s="24" t="str">
        <f ca="1">VLOOKUP($A444,OFFSET([2]characters!$A$1,0,0,COUNTA([2]characters!$A:$A),MATCH(J$1,[2]characters!$1:$1,0)-MATCH($A$1,[2]characters!$1:$1,0)+1),MATCH(J$1,[2]characters!$1:$1,0)-MATCH($A$1,[2]characters!$1:$1,0)+1,FALSE)</f>
        <v>none</v>
      </c>
      <c r="K444" s="3" t="str">
        <f ca="1">VLOOKUP(J444,[2]character_tribe_i18n!$A:$H,3,FALSE)</f>
        <v>種族なし</v>
      </c>
      <c r="L444" s="5" t="e">
        <f>VLOOKUP(#REF!,[2]character_tribe_i18n!$A:$H,4,FALSE)</f>
        <v>#REF!</v>
      </c>
      <c r="M444" s="5" t="e">
        <f>VLOOKUP(#REF!,[2]character_tribe_i18n!$A:$H,5,FALSE)</f>
        <v>#REF!</v>
      </c>
      <c r="N444" s="5" t="e">
        <f>VLOOKUP(#REF!,[2]character_tribe_i18n!$A:$H,6,FALSE)</f>
        <v>#REF!</v>
      </c>
      <c r="O444" s="5" t="e">
        <f>VLOOKUP(#REF!,[2]character_tribe_i18n!$A:$H,7,FALSE)</f>
        <v>#REF!</v>
      </c>
      <c r="P444" s="83" t="s">
        <v>170</v>
      </c>
      <c r="Q444">
        <v>8072</v>
      </c>
      <c r="R444" s="25" t="str">
        <f ca="1">IF(Q444="NULL","",VLOOKUP($Q444,OFFSET([2]characters!$A$1,0,0,COUNTA([2]characters!$A:$A),MATCH(R$1,[2]characters!$1:$1,0)-MATCH($A$1,[2]characters!$1:$1,0)+1),MATCH(R$1,[2]characters!$1:$1,0)-MATCH($A$1,[2]characters!$1:$1,0)+1,FALSE))</f>
        <v>ポムポムプリン</v>
      </c>
      <c r="S444" s="3">
        <f t="shared" ca="1" si="12"/>
        <v>8071</v>
      </c>
      <c r="T444" s="25" t="str">
        <f ca="1">VLOOKUP($S444,OFFSET([2]characters!$A$1,0,0,COUNTA([2]characters!$A:$A),MATCH(T$1,[2]characters!$1:$1,0)-MATCH($A$1,[2]characters!$1:$1,0)+1),MATCH(T$1,[2]characters!$1:$1,0)-MATCH($A$1,[2]characters!$1:$1,0)+1,FALSE)</f>
        <v>ポムポムプリン</v>
      </c>
      <c r="U444" s="5">
        <f ca="1">IF(Q444="NULL","NULL",VLOOKUP(G444,ビット!$A$2:$B$7,2))</f>
        <v>20000</v>
      </c>
      <c r="V444">
        <v>20000</v>
      </c>
      <c r="W444" s="6" t="str">
        <f t="shared" ca="1" si="18"/>
        <v>TRUE</v>
      </c>
    </row>
  </sheetData>
  <autoFilter ref="A1:U430"/>
  <phoneticPr fontId="10"/>
  <conditionalFormatting sqref="W423:W430 W445:W1048576 W1:W188 W197:W417">
    <cfRule type="cellIs" dxfId="14" priority="17" operator="equal">
      <formula>"FALSE"</formula>
    </cfRule>
  </conditionalFormatting>
  <conditionalFormatting sqref="W418:W419">
    <cfRule type="cellIs" dxfId="13" priority="16" operator="equal">
      <formula>"FALSE"</formula>
    </cfRule>
  </conditionalFormatting>
  <conditionalFormatting sqref="W420">
    <cfRule type="cellIs" dxfId="12" priority="14" operator="equal">
      <formula>"FALSE"</formula>
    </cfRule>
  </conditionalFormatting>
  <conditionalFormatting sqref="W431:W444">
    <cfRule type="cellIs" dxfId="11" priority="13" operator="equal">
      <formula>"FALSE"</formula>
    </cfRule>
  </conditionalFormatting>
  <conditionalFormatting sqref="W189">
    <cfRule type="cellIs" dxfId="10" priority="10" operator="equal">
      <formula>"FALSE"</formula>
    </cfRule>
  </conditionalFormatting>
  <conditionalFormatting sqref="W190">
    <cfRule type="cellIs" dxfId="9" priority="9" operator="equal">
      <formula>"FALSE"</formula>
    </cfRule>
  </conditionalFormatting>
  <conditionalFormatting sqref="W191">
    <cfRule type="cellIs" dxfId="8" priority="8" operator="equal">
      <formula>"FALSE"</formula>
    </cfRule>
  </conditionalFormatting>
  <conditionalFormatting sqref="W192">
    <cfRule type="cellIs" dxfId="7" priority="7" operator="equal">
      <formula>"FALSE"</formula>
    </cfRule>
  </conditionalFormatting>
  <conditionalFormatting sqref="W193">
    <cfRule type="cellIs" dxfId="6" priority="6" operator="equal">
      <formula>"FALSE"</formula>
    </cfRule>
  </conditionalFormatting>
  <conditionalFormatting sqref="W194">
    <cfRule type="cellIs" dxfId="5" priority="5" operator="equal">
      <formula>"FALSE"</formula>
    </cfRule>
  </conditionalFormatting>
  <conditionalFormatting sqref="W195">
    <cfRule type="cellIs" dxfId="4" priority="4" operator="equal">
      <formula>"FALSE"</formula>
    </cfRule>
  </conditionalFormatting>
  <conditionalFormatting sqref="W196">
    <cfRule type="cellIs" dxfId="3" priority="3" operator="equal">
      <formula>"FALSE"</formula>
    </cfRule>
  </conditionalFormatting>
  <conditionalFormatting sqref="W421">
    <cfRule type="cellIs" dxfId="2" priority="2" operator="equal">
      <formula>"FALSE"</formula>
    </cfRule>
  </conditionalFormatting>
  <conditionalFormatting sqref="W422">
    <cfRule type="cellIs" dxfId="1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1254"/>
  <sheetViews>
    <sheetView workbookViewId="0">
      <pane ySplit="1" topLeftCell="A1152" activePane="bottomLeft" state="frozen"/>
      <selection pane="bottomLeft" activeCell="I1170" sqref="I1170:I1172"/>
    </sheetView>
  </sheetViews>
  <sheetFormatPr baseColWidth="12" defaultRowHeight="15" x14ac:dyDescent="0.15"/>
  <cols>
    <col min="1" max="1" width="21.1640625" customWidth="1"/>
    <col min="2" max="2" width="21.5" style="7" bestFit="1" customWidth="1" collapsed="1"/>
    <col min="3" max="3" width="21.1640625" customWidth="1"/>
    <col min="4" max="4" width="21.5" style="7" bestFit="1" customWidth="1" collapsed="1"/>
    <col min="5" max="5" width="21.1640625" customWidth="1"/>
    <col min="6" max="6" width="21.5" style="7" bestFit="1" customWidth="1" collapsed="1"/>
    <col min="7" max="8" width="21.1640625" customWidth="1"/>
  </cols>
  <sheetData>
    <row r="1" spans="1:9" x14ac:dyDescent="0.15">
      <c r="A1" s="92" t="s">
        <v>174</v>
      </c>
      <c r="B1" s="57" t="s">
        <v>21</v>
      </c>
      <c r="C1" s="92" t="s">
        <v>173</v>
      </c>
      <c r="D1" s="57" t="s">
        <v>21</v>
      </c>
      <c r="E1" s="92" t="s">
        <v>18</v>
      </c>
      <c r="F1" s="57" t="s">
        <v>21</v>
      </c>
      <c r="G1" s="92" t="s">
        <v>19</v>
      </c>
      <c r="H1" s="92" t="s">
        <v>172</v>
      </c>
      <c r="I1" s="92" t="s">
        <v>175</v>
      </c>
    </row>
    <row r="2" spans="1:9" x14ac:dyDescent="0.15">
      <c r="A2" s="66">
        <v>1</v>
      </c>
      <c r="B2" s="3" t="str">
        <f ca="1">VLOOKUP($A2,OFFSET([2]characters!$A$1,0,0,COUNTA([2]characters!$A:$A),MATCH(B$1,[2]characters!$1:$1,0)-MATCH($A$1,[2]characters!$1:$1,0)+1),MATCH(B$1,[2]characters!$1:$1,0)-MATCH($A$1,[2]characters!$1:$1,0)+1,FALSE)</f>
        <v>ジェリー</v>
      </c>
      <c r="C2" s="93">
        <f ca="1">VLOOKUP($A2,OFFSET(fork_awake_units!$A$1,0,0,COUNTA(fork_awake_units!$A:$A),MATCH(C$1,fork_awake_units!$1:$1,0)-MATCH($A$1,fork_awake_units!$1:$1,0)+1),MATCH(C$1,fork_awake_units!$1:$1,0)-MATCH($A$1,fork_awake_units!$1:$1,0)+1,FALSE)</f>
        <v>2</v>
      </c>
      <c r="D2" s="3" t="str">
        <f ca="1">VLOOKUP($C2,OFFSET([2]characters!$A$1,0,0,COUNTA([2]characters!$A:$A),MATCH(D$1,[2]characters!$1:$1,0)-MATCH($A$1,[2]characters!$1:$1,0)+1),MATCH(D$1,[2]characters!$1:$1,0)-MATCH($A$1,[2]characters!$1:$1,0)+1,FALSE)</f>
        <v>イレギュラー・ジェリー</v>
      </c>
      <c r="E2" s="66">
        <v>101</v>
      </c>
      <c r="F2" s="3" t="str">
        <f ca="1">VLOOKUP($E2,OFFSET([2]characters!$A$1,0,0,COUNTA([2]characters!$A:$A),MATCH(F$1,[2]characters!$1:$1,0)-MATCH($A$1,[2]characters!$1:$1,0)+1),MATCH(F$1,[2]characters!$1:$1,0)-MATCH($A$1,[2]characters!$1:$1,0)+1,FALSE)</f>
        <v>レッドチェシャ</v>
      </c>
      <c r="G2" s="66">
        <v>1</v>
      </c>
      <c r="H2" s="66">
        <v>1</v>
      </c>
      <c r="I2" s="66">
        <v>1</v>
      </c>
    </row>
    <row r="3" spans="1:9" x14ac:dyDescent="0.15">
      <c r="A3" s="66">
        <v>3</v>
      </c>
      <c r="B3" s="3" t="str">
        <f ca="1">VLOOKUP($A3,OFFSET([2]characters!$A$1,0,0,COUNTA([2]characters!$A:$A),MATCH(B$1,[2]characters!$1:$1,0)-MATCH($A$1,[2]characters!$1:$1,0)+1),MATCH(B$1,[2]characters!$1:$1,0)-MATCH($A$1,[2]characters!$1:$1,0)+1,FALSE)</f>
        <v>エージェント ジョー</v>
      </c>
      <c r="C3" s="93">
        <f ca="1">VLOOKUP($A3,OFFSET(fork_awake_units!$A$1,0,0,COUNTA(fork_awake_units!$A:$A),MATCH(C$1,fork_awake_units!$1:$1,0)-MATCH($A$1,fork_awake_units!$1:$1,0)+1),MATCH(C$1,fork_awake_units!$1:$1,0)-MATCH($A$1,fork_awake_units!$1:$1,0)+1,FALSE)</f>
        <v>4</v>
      </c>
      <c r="D3" s="3" t="str">
        <f ca="1">VLOOKUP($C3,OFFSET([2]characters!$A$1,0,0,COUNTA([2]characters!$A:$A),MATCH(D$1,[2]characters!$1:$1,0)-MATCH($A$1,[2]characters!$1:$1,0)+1),MATCH(D$1,[2]characters!$1:$1,0)-MATCH($A$1,[2]characters!$1:$1,0)+1,FALSE)</f>
        <v>エースエージェント ジョー</v>
      </c>
      <c r="E3" s="66">
        <v>105</v>
      </c>
      <c r="F3" s="3" t="str">
        <f ca="1">VLOOKUP($E3,OFFSET([2]characters!$A$1,0,0,COUNTA([2]characters!$A:$A),MATCH(F$1,[2]characters!$1:$1,0)-MATCH($A$1,[2]characters!$1:$1,0)+1),MATCH(F$1,[2]characters!$1:$1,0)-MATCH($A$1,[2]characters!$1:$1,0)+1,FALSE)</f>
        <v>グリーンチェシャ</v>
      </c>
      <c r="G3" s="66">
        <v>1</v>
      </c>
      <c r="H3" s="66">
        <v>1</v>
      </c>
      <c r="I3" s="66">
        <v>1</v>
      </c>
    </row>
    <row r="4" spans="1:9" x14ac:dyDescent="0.15">
      <c r="A4" s="66">
        <v>5</v>
      </c>
      <c r="B4" s="3" t="str">
        <f ca="1">VLOOKUP($A4,OFFSET([2]characters!$A$1,0,0,COUNTA([2]characters!$A:$A),MATCH(B$1,[2]characters!$1:$1,0)-MATCH($A$1,[2]characters!$1:$1,0)+1),MATCH(B$1,[2]characters!$1:$1,0)-MATCH($A$1,[2]characters!$1:$1,0)+1,FALSE)</f>
        <v>パトドッグ ポチ</v>
      </c>
      <c r="C4" s="93">
        <f ca="1">VLOOKUP($A4,OFFSET(fork_awake_units!$A$1,0,0,COUNTA(fork_awake_units!$A:$A),MATCH(C$1,fork_awake_units!$1:$1,0)-MATCH($A$1,fork_awake_units!$1:$1,0)+1),MATCH(C$1,fork_awake_units!$1:$1,0)-MATCH($A$1,fork_awake_units!$1:$1,0)+1,FALSE)</f>
        <v>6</v>
      </c>
      <c r="D4" s="3" t="str">
        <f ca="1">VLOOKUP($C4,OFFSET([2]characters!$A$1,0,0,COUNTA([2]characters!$A:$A),MATCH(D$1,[2]characters!$1:$1,0)-MATCH($A$1,[2]characters!$1:$1,0)+1),MATCH(D$1,[2]characters!$1:$1,0)-MATCH($A$1,[2]characters!$1:$1,0)+1,FALSE)</f>
        <v>パトドッグリーダー ポチ</v>
      </c>
      <c r="E4" s="66">
        <v>109</v>
      </c>
      <c r="F4" s="3" t="str">
        <f ca="1">VLOOKUP($E4,OFFSET([2]characters!$A$1,0,0,COUNTA([2]characters!$A:$A),MATCH(F$1,[2]characters!$1:$1,0)-MATCH($A$1,[2]characters!$1:$1,0)+1),MATCH(F$1,[2]characters!$1:$1,0)-MATCH($A$1,[2]characters!$1:$1,0)+1,FALSE)</f>
        <v>ブルーチェシャ</v>
      </c>
      <c r="G4" s="66">
        <v>1</v>
      </c>
      <c r="H4" s="66">
        <v>1</v>
      </c>
      <c r="I4" s="66">
        <v>1</v>
      </c>
    </row>
    <row r="5" spans="1:9" x14ac:dyDescent="0.15">
      <c r="A5" s="66">
        <v>7</v>
      </c>
      <c r="B5" s="3" t="str">
        <f ca="1">VLOOKUP($A5,OFFSET([2]characters!$A$1,0,0,COUNTA([2]characters!$A:$A),MATCH(B$1,[2]characters!$1:$1,0)-MATCH($A$1,[2]characters!$1:$1,0)+1),MATCH(B$1,[2]characters!$1:$1,0)-MATCH($A$1,[2]characters!$1:$1,0)+1,FALSE)</f>
        <v>エレキポット</v>
      </c>
      <c r="C5" s="93">
        <f ca="1">VLOOKUP($A5,OFFSET(fork_awake_units!$A$1,0,0,COUNTA(fork_awake_units!$A:$A),MATCH(C$1,fork_awake_units!$1:$1,0)-MATCH($A$1,fork_awake_units!$1:$1,0)+1),MATCH(C$1,fork_awake_units!$1:$1,0)-MATCH($A$1,fork_awake_units!$1:$1,0)+1,FALSE)</f>
        <v>8</v>
      </c>
      <c r="D5" s="3" t="str">
        <f ca="1">VLOOKUP($C5,OFFSET([2]characters!$A$1,0,0,COUNTA([2]characters!$A:$A),MATCH(D$1,[2]characters!$1:$1,0)-MATCH($A$1,[2]characters!$1:$1,0)+1),MATCH(D$1,[2]characters!$1:$1,0)-MATCH($A$1,[2]characters!$1:$1,0)+1,FALSE)</f>
        <v>ハイボルテージ エレキポット</v>
      </c>
      <c r="E5" s="66">
        <v>113</v>
      </c>
      <c r="F5" s="3" t="str">
        <f ca="1">VLOOKUP($E5,OFFSET([2]characters!$A$1,0,0,COUNTA([2]characters!$A:$A),MATCH(F$1,[2]characters!$1:$1,0)-MATCH($A$1,[2]characters!$1:$1,0)+1),MATCH(F$1,[2]characters!$1:$1,0)-MATCH($A$1,[2]characters!$1:$1,0)+1,FALSE)</f>
        <v>イエローチェシャ</v>
      </c>
      <c r="G5" s="66">
        <v>1</v>
      </c>
      <c r="H5" s="66">
        <v>1</v>
      </c>
      <c r="I5" s="66">
        <v>1</v>
      </c>
    </row>
    <row r="6" spans="1:9" x14ac:dyDescent="0.15">
      <c r="A6" s="66">
        <v>9</v>
      </c>
      <c r="B6" s="3" t="str">
        <f ca="1">VLOOKUP($A6,OFFSET([2]characters!$A$1,0,0,COUNTA([2]characters!$A:$A),MATCH(B$1,[2]characters!$1:$1,0)-MATCH($A$1,[2]characters!$1:$1,0)+1),MATCH(B$1,[2]characters!$1:$1,0)-MATCH($A$1,[2]characters!$1:$1,0)+1,FALSE)</f>
        <v>ブレット</v>
      </c>
      <c r="C6" s="93">
        <f ca="1">VLOOKUP($A6,OFFSET(fork_awake_units!$A$1,0,0,COUNTA(fork_awake_units!$A:$A),MATCH(C$1,fork_awake_units!$1:$1,0)-MATCH($A$1,fork_awake_units!$1:$1,0)+1),MATCH(C$1,fork_awake_units!$1:$1,0)-MATCH($A$1,fork_awake_units!$1:$1,0)+1,FALSE)</f>
        <v>10</v>
      </c>
      <c r="D6" s="3" t="str">
        <f ca="1">VLOOKUP($C6,OFFSET([2]characters!$A$1,0,0,COUNTA([2]characters!$A:$A),MATCH(D$1,[2]characters!$1:$1,0)-MATCH($A$1,[2]characters!$1:$1,0)+1),MATCH(D$1,[2]characters!$1:$1,0)-MATCH($A$1,[2]characters!$1:$1,0)+1,FALSE)</f>
        <v>燃える悪戯魂 ブレット</v>
      </c>
      <c r="E6" s="66">
        <v>101</v>
      </c>
      <c r="F6" s="3" t="str">
        <f ca="1">VLOOKUP($E6,OFFSET([2]characters!$A$1,0,0,COUNTA([2]characters!$A:$A),MATCH(F$1,[2]characters!$1:$1,0)-MATCH($A$1,[2]characters!$1:$1,0)+1),MATCH(F$1,[2]characters!$1:$1,0)-MATCH($A$1,[2]characters!$1:$1,0)+1,FALSE)</f>
        <v>レッドチェシャ</v>
      </c>
      <c r="G6" s="66">
        <v>2</v>
      </c>
      <c r="H6" s="66">
        <v>1</v>
      </c>
      <c r="I6" s="66">
        <v>1</v>
      </c>
    </row>
    <row r="7" spans="1:9" x14ac:dyDescent="0.15">
      <c r="A7" s="66">
        <v>11</v>
      </c>
      <c r="B7" s="3" t="str">
        <f ca="1">VLOOKUP($A7,OFFSET([2]characters!$A$1,0,0,COUNTA([2]characters!$A:$A),MATCH(B$1,[2]characters!$1:$1,0)-MATCH($A$1,[2]characters!$1:$1,0)+1),MATCH(B$1,[2]characters!$1:$1,0)-MATCH($A$1,[2]characters!$1:$1,0)+1,FALSE)</f>
        <v>マグリット</v>
      </c>
      <c r="C7" s="93">
        <f ca="1">VLOOKUP($A7,OFFSET(fork_awake_units!$A$1,0,0,COUNTA(fork_awake_units!$A:$A),MATCH(C$1,fork_awake_units!$1:$1,0)-MATCH($A$1,fork_awake_units!$1:$1,0)+1),MATCH(C$1,fork_awake_units!$1:$1,0)-MATCH($A$1,fork_awake_units!$1:$1,0)+1,FALSE)</f>
        <v>12</v>
      </c>
      <c r="D7" s="3" t="str">
        <f ca="1">VLOOKUP($C7,OFFSET([2]characters!$A$1,0,0,COUNTA([2]characters!$A:$A),MATCH(D$1,[2]characters!$1:$1,0)-MATCH($A$1,[2]characters!$1:$1,0)+1),MATCH(D$1,[2]characters!$1:$1,0)-MATCH($A$1,[2]characters!$1:$1,0)+1,FALSE)</f>
        <v>癒しのグラフィティ マグリット</v>
      </c>
      <c r="E7" s="66">
        <v>105</v>
      </c>
      <c r="F7" s="3" t="str">
        <f ca="1">VLOOKUP($E7,OFFSET([2]characters!$A$1,0,0,COUNTA([2]characters!$A:$A),MATCH(F$1,[2]characters!$1:$1,0)-MATCH($A$1,[2]characters!$1:$1,0)+1),MATCH(F$1,[2]characters!$1:$1,0)-MATCH($A$1,[2]characters!$1:$1,0)+1,FALSE)</f>
        <v>グリーンチェシャ</v>
      </c>
      <c r="G7" s="66">
        <v>2</v>
      </c>
      <c r="H7" s="66">
        <v>1</v>
      </c>
      <c r="I7" s="66">
        <v>1</v>
      </c>
    </row>
    <row r="8" spans="1:9" x14ac:dyDescent="0.15">
      <c r="A8" s="66">
        <v>13</v>
      </c>
      <c r="B8" s="3" t="str">
        <f ca="1">VLOOKUP($A8,OFFSET([2]characters!$A$1,0,0,COUNTA([2]characters!$A:$A),MATCH(B$1,[2]characters!$1:$1,0)-MATCH($A$1,[2]characters!$1:$1,0)+1),MATCH(B$1,[2]characters!$1:$1,0)-MATCH($A$1,[2]characters!$1:$1,0)+1,FALSE)</f>
        <v>ミミ</v>
      </c>
      <c r="C8" s="93">
        <f ca="1">VLOOKUP($A8,OFFSET(fork_awake_units!$A$1,0,0,COUNTA(fork_awake_units!$A:$A),MATCH(C$1,fork_awake_units!$1:$1,0)-MATCH($A$1,fork_awake_units!$1:$1,0)+1),MATCH(C$1,fork_awake_units!$1:$1,0)-MATCH($A$1,fork_awake_units!$1:$1,0)+1,FALSE)</f>
        <v>14</v>
      </c>
      <c r="D8" s="3" t="str">
        <f ca="1">VLOOKUP($C8,OFFSET([2]characters!$A$1,0,0,COUNTA([2]characters!$A:$A),MATCH(D$1,[2]characters!$1:$1,0)-MATCH($A$1,[2]characters!$1:$1,0)+1),MATCH(D$1,[2]characters!$1:$1,0)-MATCH($A$1,[2]characters!$1:$1,0)+1,FALSE)</f>
        <v>ミミ・ザ・ガンマンキャット</v>
      </c>
      <c r="E8" s="66">
        <v>113</v>
      </c>
      <c r="F8" s="3" t="str">
        <f ca="1">VLOOKUP($E8,OFFSET([2]characters!$A$1,0,0,COUNTA([2]characters!$A:$A),MATCH(F$1,[2]characters!$1:$1,0)-MATCH($A$1,[2]characters!$1:$1,0)+1),MATCH(F$1,[2]characters!$1:$1,0)-MATCH($A$1,[2]characters!$1:$1,0)+1,FALSE)</f>
        <v>イエローチェシャ</v>
      </c>
      <c r="G8" s="66">
        <v>2</v>
      </c>
      <c r="H8" s="66">
        <v>1</v>
      </c>
      <c r="I8" s="66">
        <v>1</v>
      </c>
    </row>
    <row r="9" spans="1:9" x14ac:dyDescent="0.15">
      <c r="A9" s="66">
        <v>15</v>
      </c>
      <c r="B9" s="3" t="str">
        <f ca="1">VLOOKUP($A9,OFFSET([2]characters!$A$1,0,0,COUNTA([2]characters!$A:$A),MATCH(B$1,[2]characters!$1:$1,0)-MATCH($A$1,[2]characters!$1:$1,0)+1),MATCH(B$1,[2]characters!$1:$1,0)-MATCH($A$1,[2]characters!$1:$1,0)+1,FALSE)</f>
        <v>アカネ</v>
      </c>
      <c r="C9" s="93">
        <f ca="1">VLOOKUP($A9,OFFSET(fork_awake_units!$A$1,0,0,COUNTA(fork_awake_units!$A:$A),MATCH(C$1,fork_awake_units!$1:$1,0)-MATCH($A$1,fork_awake_units!$1:$1,0)+1),MATCH(C$1,fork_awake_units!$1:$1,0)-MATCH($A$1,fork_awake_units!$1:$1,0)+1,FALSE)</f>
        <v>16</v>
      </c>
      <c r="D9" s="3" t="str">
        <f ca="1">VLOOKUP($C9,OFFSET([2]characters!$A$1,0,0,COUNTA([2]characters!$A:$A),MATCH(D$1,[2]characters!$1:$1,0)-MATCH($A$1,[2]characters!$1:$1,0)+1),MATCH(D$1,[2]characters!$1:$1,0)-MATCH($A$1,[2]characters!$1:$1,0)+1,FALSE)</f>
        <v>炎戦少女 アカネ</v>
      </c>
      <c r="E9" s="66">
        <v>101</v>
      </c>
      <c r="F9" s="3" t="str">
        <f ca="1">VLOOKUP($E9,OFFSET([2]characters!$A$1,0,0,COUNTA([2]characters!$A:$A),MATCH(F$1,[2]characters!$1:$1,0)-MATCH($A$1,[2]characters!$1:$1,0)+1),MATCH(F$1,[2]characters!$1:$1,0)-MATCH($A$1,[2]characters!$1:$1,0)+1,FALSE)</f>
        <v>レッドチェシャ</v>
      </c>
      <c r="G9" s="66">
        <v>2</v>
      </c>
      <c r="H9" s="66">
        <v>1</v>
      </c>
      <c r="I9" s="66">
        <v>1</v>
      </c>
    </row>
    <row r="10" spans="1:9" x14ac:dyDescent="0.15">
      <c r="A10" s="66">
        <v>17</v>
      </c>
      <c r="B10" s="3" t="str">
        <f ca="1">VLOOKUP($A10,OFFSET([2]characters!$A$1,0,0,COUNTA([2]characters!$A:$A),MATCH(B$1,[2]characters!$1:$1,0)-MATCH($A$1,[2]characters!$1:$1,0)+1),MATCH(B$1,[2]characters!$1:$1,0)-MATCH($A$1,[2]characters!$1:$1,0)+1,FALSE)</f>
        <v>リム</v>
      </c>
      <c r="C10" s="93">
        <f ca="1">VLOOKUP($A10,OFFSET(fork_awake_units!$A$1,0,0,COUNTA(fork_awake_units!$A:$A),MATCH(C$1,fork_awake_units!$1:$1,0)-MATCH($A$1,fork_awake_units!$1:$1,0)+1),MATCH(C$1,fork_awake_units!$1:$1,0)-MATCH($A$1,fork_awake_units!$1:$1,0)+1,FALSE)</f>
        <v>18</v>
      </c>
      <c r="D10" s="3" t="str">
        <f ca="1">VLOOKUP($C10,OFFSET([2]characters!$A$1,0,0,COUNTA([2]characters!$A:$A),MATCH(D$1,[2]characters!$1:$1,0)-MATCH($A$1,[2]characters!$1:$1,0)+1),MATCH(D$1,[2]characters!$1:$1,0)-MATCH($A$1,[2]characters!$1:$1,0)+1,FALSE)</f>
        <v>戦闘案内人 リム</v>
      </c>
      <c r="E10" s="66">
        <v>109</v>
      </c>
      <c r="F10" s="3" t="str">
        <f ca="1">VLOOKUP($E10,OFFSET([2]characters!$A$1,0,0,COUNTA([2]characters!$A:$A),MATCH(F$1,[2]characters!$1:$1,0)-MATCH($A$1,[2]characters!$1:$1,0)+1),MATCH(F$1,[2]characters!$1:$1,0)-MATCH($A$1,[2]characters!$1:$1,0)+1,FALSE)</f>
        <v>ブルーチェシャ</v>
      </c>
      <c r="G10" s="66">
        <v>2</v>
      </c>
      <c r="H10" s="66">
        <v>1</v>
      </c>
      <c r="I10" s="66">
        <v>1</v>
      </c>
    </row>
    <row r="11" spans="1:9" x14ac:dyDescent="0.15">
      <c r="A11" s="66">
        <v>19</v>
      </c>
      <c r="B11" s="3" t="str">
        <f ca="1">VLOOKUP($A11,OFFSET([2]characters!$A$1,0,0,COUNTA([2]characters!$A:$A),MATCH(B$1,[2]characters!$1:$1,0)-MATCH($A$1,[2]characters!$1:$1,0)+1),MATCH(B$1,[2]characters!$1:$1,0)-MATCH($A$1,[2]characters!$1:$1,0)+1,FALSE)</f>
        <v>ティンク</v>
      </c>
      <c r="C11" s="93">
        <f ca="1">VLOOKUP($A11,OFFSET(fork_awake_units!$A$1,0,0,COUNTA(fork_awake_units!$A:$A),MATCH(C$1,fork_awake_units!$1:$1,0)-MATCH($A$1,fork_awake_units!$1:$1,0)+1),MATCH(C$1,fork_awake_units!$1:$1,0)-MATCH($A$1,fork_awake_units!$1:$1,0)+1,FALSE)</f>
        <v>20</v>
      </c>
      <c r="D11" s="3" t="str">
        <f ca="1">VLOOKUP($C11,OFFSET([2]characters!$A$1,0,0,COUNTA([2]characters!$A:$A),MATCH(D$1,[2]characters!$1:$1,0)-MATCH($A$1,[2]characters!$1:$1,0)+1),MATCH(D$1,[2]characters!$1:$1,0)-MATCH($A$1,[2]characters!$1:$1,0)+1,FALSE)</f>
        <v>電子妖精 ティンク</v>
      </c>
      <c r="E11" s="66">
        <v>113</v>
      </c>
      <c r="F11" s="3" t="str">
        <f ca="1">VLOOKUP($E11,OFFSET([2]characters!$A$1,0,0,COUNTA([2]characters!$A:$A),MATCH(F$1,[2]characters!$1:$1,0)-MATCH($A$1,[2]characters!$1:$1,0)+1),MATCH(F$1,[2]characters!$1:$1,0)-MATCH($A$1,[2]characters!$1:$1,0)+1,FALSE)</f>
        <v>イエローチェシャ</v>
      </c>
      <c r="G11" s="66">
        <v>2</v>
      </c>
      <c r="H11" s="66">
        <v>1</v>
      </c>
      <c r="I11" s="66">
        <v>1</v>
      </c>
    </row>
    <row r="12" spans="1:9" x14ac:dyDescent="0.15">
      <c r="A12" s="66">
        <v>21</v>
      </c>
      <c r="B12" s="3" t="str">
        <f ca="1">VLOOKUP($A12,OFFSET([2]characters!$A$1,0,0,COUNTA([2]characters!$A:$A),MATCH(B$1,[2]characters!$1:$1,0)-MATCH($A$1,[2]characters!$1:$1,0)+1),MATCH(B$1,[2]characters!$1:$1,0)-MATCH($A$1,[2]characters!$1:$1,0)+1,FALSE)</f>
        <v>ヴェロキー</v>
      </c>
      <c r="C12" s="93">
        <f ca="1">VLOOKUP($A12,OFFSET(fork_awake_units!$A$1,0,0,COUNTA(fork_awake_units!$A:$A),MATCH(C$1,fork_awake_units!$1:$1,0)-MATCH($A$1,fork_awake_units!$1:$1,0)+1),MATCH(C$1,fork_awake_units!$1:$1,0)-MATCH($A$1,fork_awake_units!$1:$1,0)+1,FALSE)</f>
        <v>22</v>
      </c>
      <c r="D12" s="3" t="str">
        <f ca="1">VLOOKUP($C12,OFFSET([2]characters!$A$1,0,0,COUNTA([2]characters!$A:$A),MATCH(D$1,[2]characters!$1:$1,0)-MATCH($A$1,[2]characters!$1:$1,0)+1),MATCH(D$1,[2]characters!$1:$1,0)-MATCH($A$1,[2]characters!$1:$1,0)+1,FALSE)</f>
        <v>突然変異ヴェロキー</v>
      </c>
      <c r="E12" s="66">
        <v>101</v>
      </c>
      <c r="F12" s="3" t="str">
        <f ca="1">VLOOKUP($E12,OFFSET([2]characters!$A$1,0,0,COUNTA([2]characters!$A:$A),MATCH(F$1,[2]characters!$1:$1,0)-MATCH($A$1,[2]characters!$1:$1,0)+1),MATCH(F$1,[2]characters!$1:$1,0)-MATCH($A$1,[2]characters!$1:$1,0)+1,FALSE)</f>
        <v>レッドチェシャ</v>
      </c>
      <c r="G12" s="66">
        <v>2</v>
      </c>
      <c r="H12" s="66">
        <v>1</v>
      </c>
      <c r="I12" s="66">
        <v>1</v>
      </c>
    </row>
    <row r="13" spans="1:9" x14ac:dyDescent="0.15">
      <c r="A13" s="66">
        <v>23</v>
      </c>
      <c r="B13" s="3" t="str">
        <f ca="1">VLOOKUP($A13,OFFSET([2]characters!$A$1,0,0,COUNTA([2]characters!$A:$A),MATCH(B$1,[2]characters!$1:$1,0)-MATCH($A$1,[2]characters!$1:$1,0)+1),MATCH(B$1,[2]characters!$1:$1,0)-MATCH($A$1,[2]characters!$1:$1,0)+1,FALSE)</f>
        <v>ミール</v>
      </c>
      <c r="C13" s="93">
        <f ca="1">VLOOKUP($A13,OFFSET(fork_awake_units!$A$1,0,0,COUNTA(fork_awake_units!$A:$A),MATCH(C$1,fork_awake_units!$1:$1,0)-MATCH($A$1,fork_awake_units!$1:$1,0)+1),MATCH(C$1,fork_awake_units!$1:$1,0)-MATCH($A$1,fork_awake_units!$1:$1,0)+1,FALSE)</f>
        <v>24</v>
      </c>
      <c r="D13" s="3" t="str">
        <f ca="1">VLOOKUP($C13,OFFSET([2]characters!$A$1,0,0,COUNTA([2]characters!$A:$A),MATCH(D$1,[2]characters!$1:$1,0)-MATCH($A$1,[2]characters!$1:$1,0)+1),MATCH(D$1,[2]characters!$1:$1,0)-MATCH($A$1,[2]characters!$1:$1,0)+1,FALSE)</f>
        <v>天翔のミール</v>
      </c>
      <c r="E13" s="66">
        <v>105</v>
      </c>
      <c r="F13" s="3" t="str">
        <f ca="1">VLOOKUP($E13,OFFSET([2]characters!$A$1,0,0,COUNTA([2]characters!$A:$A),MATCH(F$1,[2]characters!$1:$1,0)-MATCH($A$1,[2]characters!$1:$1,0)+1),MATCH(F$1,[2]characters!$1:$1,0)-MATCH($A$1,[2]characters!$1:$1,0)+1,FALSE)</f>
        <v>グリーンチェシャ</v>
      </c>
      <c r="G13" s="66">
        <v>2</v>
      </c>
      <c r="H13" s="66">
        <v>1</v>
      </c>
      <c r="I13" s="66">
        <v>1</v>
      </c>
    </row>
    <row r="14" spans="1:9" x14ac:dyDescent="0.15">
      <c r="A14" s="66">
        <v>25</v>
      </c>
      <c r="B14" s="3" t="str">
        <f ca="1">VLOOKUP($A14,OFFSET([2]characters!$A$1,0,0,COUNTA([2]characters!$A:$A),MATCH(B$1,[2]characters!$1:$1,0)-MATCH($A$1,[2]characters!$1:$1,0)+1),MATCH(B$1,[2]characters!$1:$1,0)-MATCH($A$1,[2]characters!$1:$1,0)+1,FALSE)</f>
        <v>ハチ</v>
      </c>
      <c r="C14" s="93">
        <f ca="1">VLOOKUP($A14,OFFSET(fork_awake_units!$A$1,0,0,COUNTA(fork_awake_units!$A:$A),MATCH(C$1,fork_awake_units!$1:$1,0)-MATCH($A$1,fork_awake_units!$1:$1,0)+1),MATCH(C$1,fork_awake_units!$1:$1,0)-MATCH($A$1,fork_awake_units!$1:$1,0)+1,FALSE)</f>
        <v>26</v>
      </c>
      <c r="D14" s="3" t="str">
        <f ca="1">VLOOKUP($C14,OFFSET([2]characters!$A$1,0,0,COUNTA([2]characters!$A:$A),MATCH(D$1,[2]characters!$1:$1,0)-MATCH($A$1,[2]characters!$1:$1,0)+1),MATCH(D$1,[2]characters!$1:$1,0)-MATCH($A$1,[2]characters!$1:$1,0)+1,FALSE)</f>
        <v>勇犬 ハチ</v>
      </c>
      <c r="E14" s="66">
        <v>109</v>
      </c>
      <c r="F14" s="3" t="str">
        <f ca="1">VLOOKUP($E14,OFFSET([2]characters!$A$1,0,0,COUNTA([2]characters!$A:$A),MATCH(F$1,[2]characters!$1:$1,0)-MATCH($A$1,[2]characters!$1:$1,0)+1),MATCH(F$1,[2]characters!$1:$1,0)-MATCH($A$1,[2]characters!$1:$1,0)+1,FALSE)</f>
        <v>ブルーチェシャ</v>
      </c>
      <c r="G14" s="66">
        <v>2</v>
      </c>
      <c r="H14" s="66">
        <v>1</v>
      </c>
      <c r="I14" s="66">
        <v>1</v>
      </c>
    </row>
    <row r="15" spans="1:9" x14ac:dyDescent="0.15">
      <c r="A15" s="66">
        <v>27</v>
      </c>
      <c r="B15" s="3" t="str">
        <f ca="1">VLOOKUP($A15,OFFSET([2]characters!$A$1,0,0,COUNTA([2]characters!$A:$A),MATCH(B$1,[2]characters!$1:$1,0)-MATCH($A$1,[2]characters!$1:$1,0)+1),MATCH(B$1,[2]characters!$1:$1,0)-MATCH($A$1,[2]characters!$1:$1,0)+1,FALSE)</f>
        <v>パトライン</v>
      </c>
      <c r="C15" s="93">
        <f ca="1">VLOOKUP($A15,OFFSET(fork_awake_units!$A$1,0,0,COUNTA(fork_awake_units!$A:$A),MATCH(C$1,fork_awake_units!$1:$1,0)-MATCH($A$1,fork_awake_units!$1:$1,0)+1),MATCH(C$1,fork_awake_units!$1:$1,0)-MATCH($A$1,fork_awake_units!$1:$1,0)+1,FALSE)</f>
        <v>28</v>
      </c>
      <c r="D15" s="3" t="str">
        <f ca="1">VLOOKUP($C15,OFFSET([2]characters!$A$1,0,0,COUNTA([2]characters!$A:$A),MATCH(D$1,[2]characters!$1:$1,0)-MATCH($A$1,[2]characters!$1:$1,0)+1),MATCH(D$1,[2]characters!$1:$1,0)-MATCH($A$1,[2]characters!$1:$1,0)+1,FALSE)</f>
        <v>現場急行 パトラインカスタム</v>
      </c>
      <c r="E15" s="66">
        <v>105</v>
      </c>
      <c r="F15" s="3" t="str">
        <f ca="1">VLOOKUP($E15,OFFSET([2]characters!$A$1,0,0,COUNTA([2]characters!$A:$A),MATCH(F$1,[2]characters!$1:$1,0)-MATCH($A$1,[2]characters!$1:$1,0)+1),MATCH(F$1,[2]characters!$1:$1,0)-MATCH($A$1,[2]characters!$1:$1,0)+1,FALSE)</f>
        <v>グリーンチェシャ</v>
      </c>
      <c r="G15" s="66">
        <v>2</v>
      </c>
      <c r="H15" s="66">
        <v>1</v>
      </c>
      <c r="I15" s="66">
        <v>1</v>
      </c>
    </row>
    <row r="16" spans="1:9" x14ac:dyDescent="0.15">
      <c r="A16" s="66">
        <v>29</v>
      </c>
      <c r="B16" s="3" t="str">
        <f ca="1">VLOOKUP($A16,OFFSET([2]characters!$A$1,0,0,COUNTA([2]characters!$A:$A),MATCH(B$1,[2]characters!$1:$1,0)-MATCH($A$1,[2]characters!$1:$1,0)+1),MATCH(B$1,[2]characters!$1:$1,0)-MATCH($A$1,[2]characters!$1:$1,0)+1,FALSE)</f>
        <v>スケアクロウ</v>
      </c>
      <c r="C16" s="93">
        <f ca="1">VLOOKUP($A16,OFFSET(fork_awake_units!$A$1,0,0,COUNTA(fork_awake_units!$A:$A),MATCH(C$1,fork_awake_units!$1:$1,0)-MATCH($A$1,fork_awake_units!$1:$1,0)+1),MATCH(C$1,fork_awake_units!$1:$1,0)-MATCH($A$1,fork_awake_units!$1:$1,0)+1,FALSE)</f>
        <v>30</v>
      </c>
      <c r="D16" s="3" t="str">
        <f ca="1">VLOOKUP($C16,OFFSET([2]characters!$A$1,0,0,COUNTA([2]characters!$A:$A),MATCH(D$1,[2]characters!$1:$1,0)-MATCH($A$1,[2]characters!$1:$1,0)+1),MATCH(D$1,[2]characters!$1:$1,0)-MATCH($A$1,[2]characters!$1:$1,0)+1,FALSE)</f>
        <v>護衛機人 スケアクロウ</v>
      </c>
      <c r="E16" s="66">
        <v>109</v>
      </c>
      <c r="F16" s="3" t="str">
        <f ca="1">VLOOKUP($E16,OFFSET([2]characters!$A$1,0,0,COUNTA([2]characters!$A:$A),MATCH(F$1,[2]characters!$1:$1,0)-MATCH($A$1,[2]characters!$1:$1,0)+1),MATCH(F$1,[2]characters!$1:$1,0)-MATCH($A$1,[2]characters!$1:$1,0)+1,FALSE)</f>
        <v>ブルーチェシャ</v>
      </c>
      <c r="G16" s="66">
        <v>2</v>
      </c>
      <c r="H16" s="66">
        <v>1</v>
      </c>
      <c r="I16" s="66">
        <v>1</v>
      </c>
    </row>
    <row r="17" spans="1:9" x14ac:dyDescent="0.15">
      <c r="A17" s="66">
        <v>31</v>
      </c>
      <c r="B17" s="3" t="str">
        <f ca="1">VLOOKUP($A17,OFFSET([2]characters!$A$1,0,0,COUNTA([2]characters!$A:$A),MATCH(B$1,[2]characters!$1:$1,0)-MATCH($A$1,[2]characters!$1:$1,0)+1),MATCH(B$1,[2]characters!$1:$1,0)-MATCH($A$1,[2]characters!$1:$1,0)+1,FALSE)</f>
        <v>マービー</v>
      </c>
      <c r="C17" s="93">
        <f ca="1">VLOOKUP($A17,OFFSET(fork_awake_units!$A$1,0,0,COUNTA(fork_awake_units!$A:$A),MATCH(C$1,fork_awake_units!$1:$1,0)-MATCH($A$1,fork_awake_units!$1:$1,0)+1),MATCH(C$1,fork_awake_units!$1:$1,0)-MATCH($A$1,fork_awake_units!$1:$1,0)+1,FALSE)</f>
        <v>32</v>
      </c>
      <c r="D17" s="3" t="str">
        <f ca="1">VLOOKUP($C17,OFFSET([2]characters!$A$1,0,0,COUNTA([2]characters!$A:$A),MATCH(D$1,[2]characters!$1:$1,0)-MATCH($A$1,[2]characters!$1:$1,0)+1),MATCH(D$1,[2]characters!$1:$1,0)-MATCH($A$1,[2]characters!$1:$1,0)+1,FALSE)</f>
        <v>沈黙のジャミング マービー</v>
      </c>
      <c r="E17" s="66">
        <v>113</v>
      </c>
      <c r="F17" s="3" t="str">
        <f ca="1">VLOOKUP($E17,OFFSET([2]characters!$A$1,0,0,COUNTA([2]characters!$A:$A),MATCH(F$1,[2]characters!$1:$1,0)-MATCH($A$1,[2]characters!$1:$1,0)+1),MATCH(F$1,[2]characters!$1:$1,0)-MATCH($A$1,[2]characters!$1:$1,0)+1,FALSE)</f>
        <v>イエローチェシャ</v>
      </c>
      <c r="G17" s="66">
        <v>2</v>
      </c>
      <c r="H17" s="66">
        <v>1</v>
      </c>
      <c r="I17" s="66">
        <v>1</v>
      </c>
    </row>
    <row r="18" spans="1:9" x14ac:dyDescent="0.15">
      <c r="A18" s="66">
        <v>33</v>
      </c>
      <c r="B18" s="3" t="str">
        <f ca="1">VLOOKUP($A18,OFFSET([2]characters!$A$1,0,0,COUNTA([2]characters!$A:$A),MATCH(B$1,[2]characters!$1:$1,0)-MATCH($A$1,[2]characters!$1:$1,0)+1),MATCH(B$1,[2]characters!$1:$1,0)-MATCH($A$1,[2]characters!$1:$1,0)+1,FALSE)</f>
        <v>ゴクウ</v>
      </c>
      <c r="C18" s="93">
        <f ca="1">VLOOKUP($A18,OFFSET(fork_awake_units!$A$1,0,0,COUNTA(fork_awake_units!$A:$A),MATCH(C$1,fork_awake_units!$1:$1,0)-MATCH($A$1,fork_awake_units!$1:$1,0)+1),MATCH(C$1,fork_awake_units!$1:$1,0)-MATCH($A$1,fork_awake_units!$1:$1,0)+1,FALSE)</f>
        <v>34</v>
      </c>
      <c r="D18" s="3" t="str">
        <f ca="1">VLOOKUP($C18,OFFSET([2]characters!$A$1,0,0,COUNTA([2]characters!$A:$A),MATCH(D$1,[2]characters!$1:$1,0)-MATCH($A$1,[2]characters!$1:$1,0)+1),MATCH(D$1,[2]characters!$1:$1,0)-MATCH($A$1,[2]characters!$1:$1,0)+1,FALSE)</f>
        <v>斉天大聖 ゴクウ</v>
      </c>
      <c r="E18" s="66">
        <v>101</v>
      </c>
      <c r="F18" s="3" t="str">
        <f ca="1">VLOOKUP($E18,OFFSET([2]characters!$A$1,0,0,COUNTA([2]characters!$A:$A),MATCH(F$1,[2]characters!$1:$1,0)-MATCH($A$1,[2]characters!$1:$1,0)+1),MATCH(F$1,[2]characters!$1:$1,0)-MATCH($A$1,[2]characters!$1:$1,0)+1,FALSE)</f>
        <v>レッドチェシャ</v>
      </c>
      <c r="G18" s="66">
        <v>1</v>
      </c>
      <c r="H18" s="66">
        <v>1</v>
      </c>
      <c r="I18" s="66">
        <v>1</v>
      </c>
    </row>
    <row r="19" spans="1:9" x14ac:dyDescent="0.15">
      <c r="A19" s="66">
        <v>33</v>
      </c>
      <c r="B19" s="3" t="str">
        <f ca="1">VLOOKUP($A19,OFFSET([2]characters!$A$1,0,0,COUNTA([2]characters!$A:$A),MATCH(B$1,[2]characters!$1:$1,0)-MATCH($A$1,[2]characters!$1:$1,0)+1),MATCH(B$1,[2]characters!$1:$1,0)-MATCH($A$1,[2]characters!$1:$1,0)+1,FALSE)</f>
        <v>ゴクウ</v>
      </c>
      <c r="C19" s="93">
        <f ca="1">VLOOKUP($A19,OFFSET(fork_awake_units!$A$1,0,0,COUNTA(fork_awake_units!$A:$A),MATCH(C$1,fork_awake_units!$1:$1,0)-MATCH($A$1,fork_awake_units!$1:$1,0)+1),MATCH(C$1,fork_awake_units!$1:$1,0)-MATCH($A$1,fork_awake_units!$1:$1,0)+1,FALSE)</f>
        <v>34</v>
      </c>
      <c r="D19" s="3" t="str">
        <f ca="1">VLOOKUP($C19,OFFSET([2]characters!$A$1,0,0,COUNTA([2]characters!$A:$A),MATCH(D$1,[2]characters!$1:$1,0)-MATCH($A$1,[2]characters!$1:$1,0)+1),MATCH(D$1,[2]characters!$1:$1,0)-MATCH($A$1,[2]characters!$1:$1,0)+1,FALSE)</f>
        <v>斉天大聖 ゴクウ</v>
      </c>
      <c r="E19" s="66">
        <v>102</v>
      </c>
      <c r="F19" s="3" t="str">
        <f ca="1">VLOOKUP($E19,OFFSET([2]characters!$A$1,0,0,COUNTA([2]characters!$A:$A),MATCH(F$1,[2]characters!$1:$1,0)-MATCH($A$1,[2]characters!$1:$1,0)+1),MATCH(F$1,[2]characters!$1:$1,0)-MATCH($A$1,[2]characters!$1:$1,0)+1,FALSE)</f>
        <v>レッドラビット</v>
      </c>
      <c r="G19" s="66">
        <v>2</v>
      </c>
      <c r="H19" s="66">
        <v>1</v>
      </c>
      <c r="I19" s="66">
        <v>1</v>
      </c>
    </row>
    <row r="20" spans="1:9" x14ac:dyDescent="0.15">
      <c r="A20" s="66">
        <v>35</v>
      </c>
      <c r="B20" s="3" t="str">
        <f ca="1">VLOOKUP($A20,OFFSET([2]characters!$A$1,0,0,COUNTA([2]characters!$A:$A),MATCH(B$1,[2]characters!$1:$1,0)-MATCH($A$1,[2]characters!$1:$1,0)+1),MATCH(B$1,[2]characters!$1:$1,0)-MATCH($A$1,[2]characters!$1:$1,0)+1,FALSE)</f>
        <v>F2</v>
      </c>
      <c r="C20" s="93">
        <f ca="1">VLOOKUP($A20,OFFSET(fork_awake_units!$A$1,0,0,COUNTA(fork_awake_units!$A:$A),MATCH(C$1,fork_awake_units!$1:$1,0)-MATCH($A$1,fork_awake_units!$1:$1,0)+1),MATCH(C$1,fork_awake_units!$1:$1,0)-MATCH($A$1,fork_awake_units!$1:$1,0)+1,FALSE)</f>
        <v>36</v>
      </c>
      <c r="D20" s="3" t="str">
        <f ca="1">VLOOKUP($C20,OFFSET([2]characters!$A$1,0,0,COUNTA([2]characters!$A:$A),MATCH(D$1,[2]characters!$1:$1,0)-MATCH($A$1,[2]characters!$1:$1,0)+1),MATCH(D$1,[2]characters!$1:$1,0)-MATCH($A$1,[2]characters!$1:$1,0)+1,FALSE)</f>
        <v>オフィス追尾型移動地雷F3</v>
      </c>
      <c r="E20" s="66">
        <v>105</v>
      </c>
      <c r="F20" s="3" t="str">
        <f ca="1">VLOOKUP($E20,OFFSET([2]characters!$A$1,0,0,COUNTA([2]characters!$A:$A),MATCH(F$1,[2]characters!$1:$1,0)-MATCH($A$1,[2]characters!$1:$1,0)+1),MATCH(F$1,[2]characters!$1:$1,0)-MATCH($A$1,[2]characters!$1:$1,0)+1,FALSE)</f>
        <v>グリーンチェシャ</v>
      </c>
      <c r="G20" s="66">
        <v>1</v>
      </c>
      <c r="H20" s="66">
        <v>1</v>
      </c>
      <c r="I20" s="66">
        <v>1</v>
      </c>
    </row>
    <row r="21" spans="1:9" x14ac:dyDescent="0.15">
      <c r="A21" s="66">
        <v>35</v>
      </c>
      <c r="B21" s="3" t="str">
        <f ca="1">VLOOKUP($A21,OFFSET([2]characters!$A$1,0,0,COUNTA([2]characters!$A:$A),MATCH(B$1,[2]characters!$1:$1,0)-MATCH($A$1,[2]characters!$1:$1,0)+1),MATCH(B$1,[2]characters!$1:$1,0)-MATCH($A$1,[2]characters!$1:$1,0)+1,FALSE)</f>
        <v>F2</v>
      </c>
      <c r="C21" s="93">
        <f ca="1">VLOOKUP($A21,OFFSET(fork_awake_units!$A$1,0,0,COUNTA(fork_awake_units!$A:$A),MATCH(C$1,fork_awake_units!$1:$1,0)-MATCH($A$1,fork_awake_units!$1:$1,0)+1),MATCH(C$1,fork_awake_units!$1:$1,0)-MATCH($A$1,fork_awake_units!$1:$1,0)+1,FALSE)</f>
        <v>36</v>
      </c>
      <c r="D21" s="3" t="str">
        <f ca="1">VLOOKUP($C21,OFFSET([2]characters!$A$1,0,0,COUNTA([2]characters!$A:$A),MATCH(D$1,[2]characters!$1:$1,0)-MATCH($A$1,[2]characters!$1:$1,0)+1),MATCH(D$1,[2]characters!$1:$1,0)-MATCH($A$1,[2]characters!$1:$1,0)+1,FALSE)</f>
        <v>オフィス追尾型移動地雷F3</v>
      </c>
      <c r="E21" s="66">
        <v>106</v>
      </c>
      <c r="F21" s="3" t="str">
        <f ca="1">VLOOKUP($E21,OFFSET([2]characters!$A$1,0,0,COUNTA([2]characters!$A:$A),MATCH(F$1,[2]characters!$1:$1,0)-MATCH($A$1,[2]characters!$1:$1,0)+1),MATCH(F$1,[2]characters!$1:$1,0)-MATCH($A$1,[2]characters!$1:$1,0)+1,FALSE)</f>
        <v>グリーンラビット</v>
      </c>
      <c r="G21" s="66">
        <v>2</v>
      </c>
      <c r="H21" s="66">
        <v>1</v>
      </c>
      <c r="I21" s="66">
        <v>1</v>
      </c>
    </row>
    <row r="22" spans="1:9" x14ac:dyDescent="0.15">
      <c r="A22" s="66">
        <v>37</v>
      </c>
      <c r="B22" s="3" t="str">
        <f ca="1">VLOOKUP($A22,OFFSET([2]characters!$A$1,0,0,COUNTA([2]characters!$A:$A),MATCH(B$1,[2]characters!$1:$1,0)-MATCH($A$1,[2]characters!$1:$1,0)+1),MATCH(B$1,[2]characters!$1:$1,0)-MATCH($A$1,[2]characters!$1:$1,0)+1,FALSE)</f>
        <v>ガイル</v>
      </c>
      <c r="C22" s="93">
        <f ca="1">VLOOKUP($A22,OFFSET(fork_awake_units!$A$1,0,0,COUNTA(fork_awake_units!$A:$A),MATCH(C$1,fork_awake_units!$1:$1,0)-MATCH($A$1,fork_awake_units!$1:$1,0)+1),MATCH(C$1,fork_awake_units!$1:$1,0)-MATCH($A$1,fork_awake_units!$1:$1,0)+1,FALSE)</f>
        <v>38</v>
      </c>
      <c r="D22" s="3" t="str">
        <f ca="1">VLOOKUP($C22,OFFSET([2]characters!$A$1,0,0,COUNTA([2]characters!$A:$A),MATCH(D$1,[2]characters!$1:$1,0)-MATCH($A$1,[2]characters!$1:$1,0)+1),MATCH(D$1,[2]characters!$1:$1,0)-MATCH($A$1,[2]characters!$1:$1,0)+1,FALSE)</f>
        <v>通話対応型 ガイル</v>
      </c>
      <c r="E22" s="66">
        <v>109</v>
      </c>
      <c r="F22" s="3" t="str">
        <f ca="1">VLOOKUP($E22,OFFSET([2]characters!$A$1,0,0,COUNTA([2]characters!$A:$A),MATCH(F$1,[2]characters!$1:$1,0)-MATCH($A$1,[2]characters!$1:$1,0)+1),MATCH(F$1,[2]characters!$1:$1,0)-MATCH($A$1,[2]characters!$1:$1,0)+1,FALSE)</f>
        <v>ブルーチェシャ</v>
      </c>
      <c r="G22" s="66">
        <v>1</v>
      </c>
      <c r="H22" s="66">
        <v>1</v>
      </c>
      <c r="I22" s="66">
        <v>1</v>
      </c>
    </row>
    <row r="23" spans="1:9" x14ac:dyDescent="0.15">
      <c r="A23" s="66">
        <v>37</v>
      </c>
      <c r="B23" s="3" t="str">
        <f ca="1">VLOOKUP($A23,OFFSET([2]characters!$A$1,0,0,COUNTA([2]characters!$A:$A),MATCH(B$1,[2]characters!$1:$1,0)-MATCH($A$1,[2]characters!$1:$1,0)+1),MATCH(B$1,[2]characters!$1:$1,0)-MATCH($A$1,[2]characters!$1:$1,0)+1,FALSE)</f>
        <v>ガイル</v>
      </c>
      <c r="C23" s="93">
        <f ca="1">VLOOKUP($A23,OFFSET(fork_awake_units!$A$1,0,0,COUNTA(fork_awake_units!$A:$A),MATCH(C$1,fork_awake_units!$1:$1,0)-MATCH($A$1,fork_awake_units!$1:$1,0)+1),MATCH(C$1,fork_awake_units!$1:$1,0)-MATCH($A$1,fork_awake_units!$1:$1,0)+1,FALSE)</f>
        <v>38</v>
      </c>
      <c r="D23" s="3" t="str">
        <f ca="1">VLOOKUP($C23,OFFSET([2]characters!$A$1,0,0,COUNTA([2]characters!$A:$A),MATCH(D$1,[2]characters!$1:$1,0)-MATCH($A$1,[2]characters!$1:$1,0)+1),MATCH(D$1,[2]characters!$1:$1,0)-MATCH($A$1,[2]characters!$1:$1,0)+1,FALSE)</f>
        <v>通話対応型 ガイル</v>
      </c>
      <c r="E23" s="66">
        <v>110</v>
      </c>
      <c r="F23" s="3" t="str">
        <f ca="1">VLOOKUP($E23,OFFSET([2]characters!$A$1,0,0,COUNTA([2]characters!$A:$A),MATCH(F$1,[2]characters!$1:$1,0)-MATCH($A$1,[2]characters!$1:$1,0)+1),MATCH(F$1,[2]characters!$1:$1,0)-MATCH($A$1,[2]characters!$1:$1,0)+1,FALSE)</f>
        <v>ブルーラビット</v>
      </c>
      <c r="G23" s="66">
        <v>2</v>
      </c>
      <c r="H23" s="66">
        <v>1</v>
      </c>
      <c r="I23" s="66">
        <v>1</v>
      </c>
    </row>
    <row r="24" spans="1:9" x14ac:dyDescent="0.15">
      <c r="A24" s="66">
        <v>39</v>
      </c>
      <c r="B24" s="3" t="str">
        <f ca="1">VLOOKUP($A24,OFFSET([2]characters!$A$1,0,0,COUNTA([2]characters!$A:$A),MATCH(B$1,[2]characters!$1:$1,0)-MATCH($A$1,[2]characters!$1:$1,0)+1),MATCH(B$1,[2]characters!$1:$1,0)-MATCH($A$1,[2]characters!$1:$1,0)+1,FALSE)</f>
        <v>マーロン</v>
      </c>
      <c r="C24" s="93">
        <f ca="1">VLOOKUP($A24,OFFSET(fork_awake_units!$A$1,0,0,COUNTA(fork_awake_units!$A:$A),MATCH(C$1,fork_awake_units!$1:$1,0)-MATCH($A$1,fork_awake_units!$1:$1,0)+1),MATCH(C$1,fork_awake_units!$1:$1,0)-MATCH($A$1,fork_awake_units!$1:$1,0)+1,FALSE)</f>
        <v>40</v>
      </c>
      <c r="D24" s="3" t="str">
        <f ca="1">VLOOKUP($C24,OFFSET([2]characters!$A$1,0,0,COUNTA([2]characters!$A:$A),MATCH(D$1,[2]characters!$1:$1,0)-MATCH($A$1,[2]characters!$1:$1,0)+1),MATCH(D$1,[2]characters!$1:$1,0)-MATCH($A$1,[2]characters!$1:$1,0)+1,FALSE)</f>
        <v>デジタルマジシャン マーロン</v>
      </c>
      <c r="E24" s="66">
        <v>113</v>
      </c>
      <c r="F24" s="3" t="str">
        <f ca="1">VLOOKUP($E24,OFFSET([2]characters!$A$1,0,0,COUNTA([2]characters!$A:$A),MATCH(F$1,[2]characters!$1:$1,0)-MATCH($A$1,[2]characters!$1:$1,0)+1),MATCH(F$1,[2]characters!$1:$1,0)-MATCH($A$1,[2]characters!$1:$1,0)+1,FALSE)</f>
        <v>イエローチェシャ</v>
      </c>
      <c r="G24" s="66">
        <v>1</v>
      </c>
      <c r="H24" s="66">
        <v>1</v>
      </c>
      <c r="I24" s="66">
        <v>1</v>
      </c>
    </row>
    <row r="25" spans="1:9" x14ac:dyDescent="0.15">
      <c r="A25" s="66">
        <v>39</v>
      </c>
      <c r="B25" s="3" t="str">
        <f ca="1">VLOOKUP($A25,OFFSET([2]characters!$A$1,0,0,COUNTA([2]characters!$A:$A),MATCH(B$1,[2]characters!$1:$1,0)-MATCH($A$1,[2]characters!$1:$1,0)+1),MATCH(B$1,[2]characters!$1:$1,0)-MATCH($A$1,[2]characters!$1:$1,0)+1,FALSE)</f>
        <v>マーロン</v>
      </c>
      <c r="C25" s="93">
        <f ca="1">VLOOKUP($A25,OFFSET(fork_awake_units!$A$1,0,0,COUNTA(fork_awake_units!$A:$A),MATCH(C$1,fork_awake_units!$1:$1,0)-MATCH($A$1,fork_awake_units!$1:$1,0)+1),MATCH(C$1,fork_awake_units!$1:$1,0)-MATCH($A$1,fork_awake_units!$1:$1,0)+1,FALSE)</f>
        <v>40</v>
      </c>
      <c r="D25" s="3" t="str">
        <f ca="1">VLOOKUP($C25,OFFSET([2]characters!$A$1,0,0,COUNTA([2]characters!$A:$A),MATCH(D$1,[2]characters!$1:$1,0)-MATCH($A$1,[2]characters!$1:$1,0)+1),MATCH(D$1,[2]characters!$1:$1,0)-MATCH($A$1,[2]characters!$1:$1,0)+1,FALSE)</f>
        <v>デジタルマジシャン マーロン</v>
      </c>
      <c r="E25" s="66">
        <v>114</v>
      </c>
      <c r="F25" s="3" t="str">
        <f ca="1">VLOOKUP($E25,OFFSET([2]characters!$A$1,0,0,COUNTA([2]characters!$A:$A),MATCH(F$1,[2]characters!$1:$1,0)-MATCH($A$1,[2]characters!$1:$1,0)+1),MATCH(F$1,[2]characters!$1:$1,0)-MATCH($A$1,[2]characters!$1:$1,0)+1,FALSE)</f>
        <v>イエローラビット</v>
      </c>
      <c r="G25" s="66">
        <v>2</v>
      </c>
      <c r="H25" s="66">
        <v>1</v>
      </c>
      <c r="I25" s="66">
        <v>1</v>
      </c>
    </row>
    <row r="26" spans="1:9" x14ac:dyDescent="0.15">
      <c r="A26" s="66">
        <v>41</v>
      </c>
      <c r="B26" s="3" t="str">
        <f ca="1">VLOOKUP($A26,OFFSET([2]characters!$A$1,0,0,COUNTA([2]characters!$A:$A),MATCH(B$1,[2]characters!$1:$1,0)-MATCH($A$1,[2]characters!$1:$1,0)+1),MATCH(B$1,[2]characters!$1:$1,0)-MATCH($A$1,[2]characters!$1:$1,0)+1,FALSE)</f>
        <v>ヒュウガ</v>
      </c>
      <c r="C26" s="93">
        <f ca="1">VLOOKUP($A26,OFFSET(fork_awake_units!$A$1,0,0,COUNTA(fork_awake_units!$A:$A),MATCH(C$1,fork_awake_units!$1:$1,0)-MATCH($A$1,fork_awake_units!$1:$1,0)+1),MATCH(C$1,fork_awake_units!$1:$1,0)-MATCH($A$1,fork_awake_units!$1:$1,0)+1,FALSE)</f>
        <v>42</v>
      </c>
      <c r="D26" s="3" t="str">
        <f ca="1">VLOOKUP($C26,OFFSET([2]characters!$A$1,0,0,COUNTA([2]characters!$A:$A),MATCH(D$1,[2]characters!$1:$1,0)-MATCH($A$1,[2]characters!$1:$1,0)+1),MATCH(D$1,[2]characters!$1:$1,0)-MATCH($A$1,[2]characters!$1:$1,0)+1,FALSE)</f>
        <v>燃えゆる吐息 ヒュウガ</v>
      </c>
      <c r="E26" s="66">
        <v>101</v>
      </c>
      <c r="F26" s="3" t="str">
        <f ca="1">VLOOKUP($E26,OFFSET([2]characters!$A$1,0,0,COUNTA([2]characters!$A:$A),MATCH(F$1,[2]characters!$1:$1,0)-MATCH($A$1,[2]characters!$1:$1,0)+1),MATCH(F$1,[2]characters!$1:$1,0)-MATCH($A$1,[2]characters!$1:$1,0)+1,FALSE)</f>
        <v>レッドチェシャ</v>
      </c>
      <c r="G26" s="66">
        <v>2</v>
      </c>
      <c r="H26" s="66">
        <v>1</v>
      </c>
      <c r="I26" s="66">
        <v>1</v>
      </c>
    </row>
    <row r="27" spans="1:9" x14ac:dyDescent="0.15">
      <c r="A27" s="66">
        <v>41</v>
      </c>
      <c r="B27" s="3" t="str">
        <f ca="1">VLOOKUP($A27,OFFSET([2]characters!$A$1,0,0,COUNTA([2]characters!$A:$A),MATCH(B$1,[2]characters!$1:$1,0)-MATCH($A$1,[2]characters!$1:$1,0)+1),MATCH(B$1,[2]characters!$1:$1,0)-MATCH($A$1,[2]characters!$1:$1,0)+1,FALSE)</f>
        <v>ヒュウガ</v>
      </c>
      <c r="C27" s="93">
        <f ca="1">VLOOKUP($A27,OFFSET(fork_awake_units!$A$1,0,0,COUNTA(fork_awake_units!$A:$A),MATCH(C$1,fork_awake_units!$1:$1,0)-MATCH($A$1,fork_awake_units!$1:$1,0)+1),MATCH(C$1,fork_awake_units!$1:$1,0)-MATCH($A$1,fork_awake_units!$1:$1,0)+1,FALSE)</f>
        <v>42</v>
      </c>
      <c r="D27" s="3" t="str">
        <f ca="1">VLOOKUP($C27,OFFSET([2]characters!$A$1,0,0,COUNTA([2]characters!$A:$A),MATCH(D$1,[2]characters!$1:$1,0)-MATCH($A$1,[2]characters!$1:$1,0)+1),MATCH(D$1,[2]characters!$1:$1,0)-MATCH($A$1,[2]characters!$1:$1,0)+1,FALSE)</f>
        <v>燃えゆる吐息 ヒュウガ</v>
      </c>
      <c r="E27" s="66">
        <v>102</v>
      </c>
      <c r="F27" s="3" t="str">
        <f ca="1">VLOOKUP($E27,OFFSET([2]characters!$A$1,0,0,COUNTA([2]characters!$A:$A),MATCH(F$1,[2]characters!$1:$1,0)-MATCH($A$1,[2]characters!$1:$1,0)+1),MATCH(F$1,[2]characters!$1:$1,0)-MATCH($A$1,[2]characters!$1:$1,0)+1,FALSE)</f>
        <v>レッドラビット</v>
      </c>
      <c r="G27" s="66">
        <v>1</v>
      </c>
      <c r="H27" s="66">
        <v>1</v>
      </c>
      <c r="I27" s="66">
        <v>1</v>
      </c>
    </row>
    <row r="28" spans="1:9" x14ac:dyDescent="0.15">
      <c r="A28" s="66">
        <v>42</v>
      </c>
      <c r="B28" s="3" t="str">
        <f ca="1">VLOOKUP($A28,OFFSET([2]characters!$A$1,0,0,COUNTA([2]characters!$A:$A),MATCH(B$1,[2]characters!$1:$1,0)-MATCH($A$1,[2]characters!$1:$1,0)+1),MATCH(B$1,[2]characters!$1:$1,0)-MATCH($A$1,[2]characters!$1:$1,0)+1,FALSE)</f>
        <v>燃えゆる吐息 ヒュウガ</v>
      </c>
      <c r="C28" s="93">
        <f ca="1">VLOOKUP($A28,OFFSET(fork_awake_units!$A$1,0,0,COUNTA(fork_awake_units!$A:$A),MATCH(C$1,fork_awake_units!$1:$1,0)-MATCH($A$1,fork_awake_units!$1:$1,0)+1),MATCH(C$1,fork_awake_units!$1:$1,0)-MATCH($A$1,fork_awake_units!$1:$1,0)+1,FALSE)</f>
        <v>510</v>
      </c>
      <c r="D28" s="3" t="str">
        <f ca="1">VLOOKUP($C28,OFFSET([2]characters!$A$1,0,0,COUNTA([2]characters!$A:$A),MATCH(D$1,[2]characters!$1:$1,0)-MATCH($A$1,[2]characters!$1:$1,0)+1),MATCH(D$1,[2]characters!$1:$1,0)-MATCH($A$1,[2]characters!$1:$1,0)+1,FALSE)</f>
        <v>燃えさかる豪息 ヒュウガ</v>
      </c>
      <c r="E28" s="66">
        <v>102</v>
      </c>
      <c r="F28" s="3" t="str">
        <f ca="1">VLOOKUP($E28,OFFSET([2]characters!$A$1,0,0,COUNTA([2]characters!$A:$A),MATCH(F$1,[2]characters!$1:$1,0)-MATCH($A$1,[2]characters!$1:$1,0)+1),MATCH(F$1,[2]characters!$1:$1,0)-MATCH($A$1,[2]characters!$1:$1,0)+1,FALSE)</f>
        <v>レッドラビット</v>
      </c>
      <c r="G28" s="66">
        <v>1</v>
      </c>
      <c r="H28" s="66">
        <v>1</v>
      </c>
      <c r="I28" s="66">
        <v>1</v>
      </c>
    </row>
    <row r="29" spans="1:9" x14ac:dyDescent="0.15">
      <c r="A29" s="66">
        <v>42</v>
      </c>
      <c r="B29" s="3" t="str">
        <f ca="1">VLOOKUP($A29,OFFSET([2]characters!$A$1,0,0,COUNTA([2]characters!$A:$A),MATCH(B$1,[2]characters!$1:$1,0)-MATCH($A$1,[2]characters!$1:$1,0)+1),MATCH(B$1,[2]characters!$1:$1,0)-MATCH($A$1,[2]characters!$1:$1,0)+1,FALSE)</f>
        <v>燃えゆる吐息 ヒュウガ</v>
      </c>
      <c r="C29" s="93">
        <f ca="1">VLOOKUP($A29,OFFSET(fork_awake_units!$A$1,0,0,COUNTA(fork_awake_units!$A:$A),MATCH(C$1,fork_awake_units!$1:$1,0)-MATCH($A$1,fork_awake_units!$1:$1,0)+1),MATCH(C$1,fork_awake_units!$1:$1,0)-MATCH($A$1,fork_awake_units!$1:$1,0)+1,FALSE)</f>
        <v>510</v>
      </c>
      <c r="D29" s="3" t="str">
        <f ca="1">VLOOKUP($C29,OFFSET([2]characters!$A$1,0,0,COUNTA([2]characters!$A:$A),MATCH(D$1,[2]characters!$1:$1,0)-MATCH($A$1,[2]characters!$1:$1,0)+1),MATCH(D$1,[2]characters!$1:$1,0)-MATCH($A$1,[2]characters!$1:$1,0)+1,FALSE)</f>
        <v>燃えさかる豪息 ヒュウガ</v>
      </c>
      <c r="E29" s="66">
        <v>103</v>
      </c>
      <c r="F29" s="3" t="str">
        <f ca="1">VLOOKUP($E29,OFFSET([2]characters!$A$1,0,0,COUNTA([2]characters!$A:$A),MATCH(F$1,[2]characters!$1:$1,0)-MATCH($A$1,[2]characters!$1:$1,0)+1),MATCH(F$1,[2]characters!$1:$1,0)-MATCH($A$1,[2]characters!$1:$1,0)+1,FALSE)</f>
        <v>レッドキャタップ</v>
      </c>
      <c r="G29" s="66">
        <v>3</v>
      </c>
      <c r="H29" s="66">
        <v>1</v>
      </c>
      <c r="I29" s="66">
        <v>1</v>
      </c>
    </row>
    <row r="30" spans="1:9" x14ac:dyDescent="0.15">
      <c r="A30" s="66">
        <v>43</v>
      </c>
      <c r="B30" s="3" t="str">
        <f ca="1">VLOOKUP($A30,OFFSET([2]characters!$A$1,0,0,COUNTA([2]characters!$A:$A),MATCH(B$1,[2]characters!$1:$1,0)-MATCH($A$1,[2]characters!$1:$1,0)+1),MATCH(B$1,[2]characters!$1:$1,0)-MATCH($A$1,[2]characters!$1:$1,0)+1,FALSE)</f>
        <v>ムゥ</v>
      </c>
      <c r="C30" s="93">
        <f ca="1">VLOOKUP($A30,OFFSET(fork_awake_units!$A$1,0,0,COUNTA(fork_awake_units!$A:$A),MATCH(C$1,fork_awake_units!$1:$1,0)-MATCH($A$1,fork_awake_units!$1:$1,0)+1),MATCH(C$1,fork_awake_units!$1:$1,0)-MATCH($A$1,fork_awake_units!$1:$1,0)+1,FALSE)</f>
        <v>44</v>
      </c>
      <c r="D30" s="3" t="str">
        <f ca="1">VLOOKUP($C30,OFFSET([2]characters!$A$1,0,0,COUNTA([2]characters!$A:$A),MATCH(D$1,[2]characters!$1:$1,0)-MATCH($A$1,[2]characters!$1:$1,0)+1),MATCH(D$1,[2]characters!$1:$1,0)-MATCH($A$1,[2]characters!$1:$1,0)+1,FALSE)</f>
        <v>遠い星からやってきたムゥ</v>
      </c>
      <c r="E30" s="66">
        <v>105</v>
      </c>
      <c r="F30" s="3" t="str">
        <f ca="1">VLOOKUP($E30,OFFSET([2]characters!$A$1,0,0,COUNTA([2]characters!$A:$A),MATCH(F$1,[2]characters!$1:$1,0)-MATCH($A$1,[2]characters!$1:$1,0)+1),MATCH(F$1,[2]characters!$1:$1,0)-MATCH($A$1,[2]characters!$1:$1,0)+1,FALSE)</f>
        <v>グリーンチェシャ</v>
      </c>
      <c r="G30" s="66">
        <v>2</v>
      </c>
      <c r="H30" s="66">
        <v>1</v>
      </c>
      <c r="I30" s="66">
        <v>1</v>
      </c>
    </row>
    <row r="31" spans="1:9" x14ac:dyDescent="0.15">
      <c r="A31" s="66">
        <v>43</v>
      </c>
      <c r="B31" s="3" t="str">
        <f ca="1">VLOOKUP($A31,OFFSET([2]characters!$A$1,0,0,COUNTA([2]characters!$A:$A),MATCH(B$1,[2]characters!$1:$1,0)-MATCH($A$1,[2]characters!$1:$1,0)+1),MATCH(B$1,[2]characters!$1:$1,0)-MATCH($A$1,[2]characters!$1:$1,0)+1,FALSE)</f>
        <v>ムゥ</v>
      </c>
      <c r="C31" s="93">
        <f ca="1">VLOOKUP($A31,OFFSET(fork_awake_units!$A$1,0,0,COUNTA(fork_awake_units!$A:$A),MATCH(C$1,fork_awake_units!$1:$1,0)-MATCH($A$1,fork_awake_units!$1:$1,0)+1),MATCH(C$1,fork_awake_units!$1:$1,0)-MATCH($A$1,fork_awake_units!$1:$1,0)+1,FALSE)</f>
        <v>44</v>
      </c>
      <c r="D31" s="3" t="str">
        <f ca="1">VLOOKUP($C31,OFFSET([2]characters!$A$1,0,0,COUNTA([2]characters!$A:$A),MATCH(D$1,[2]characters!$1:$1,0)-MATCH($A$1,[2]characters!$1:$1,0)+1),MATCH(D$1,[2]characters!$1:$1,0)-MATCH($A$1,[2]characters!$1:$1,0)+1,FALSE)</f>
        <v>遠い星からやってきたムゥ</v>
      </c>
      <c r="E31" s="66">
        <v>106</v>
      </c>
      <c r="F31" s="3" t="str">
        <f ca="1">VLOOKUP($E31,OFFSET([2]characters!$A$1,0,0,COUNTA([2]characters!$A:$A),MATCH(F$1,[2]characters!$1:$1,0)-MATCH($A$1,[2]characters!$1:$1,0)+1),MATCH(F$1,[2]characters!$1:$1,0)-MATCH($A$1,[2]characters!$1:$1,0)+1,FALSE)</f>
        <v>グリーンラビット</v>
      </c>
      <c r="G31" s="66">
        <v>1</v>
      </c>
      <c r="H31" s="66">
        <v>1</v>
      </c>
      <c r="I31" s="66">
        <v>1</v>
      </c>
    </row>
    <row r="32" spans="1:9" x14ac:dyDescent="0.15">
      <c r="A32" s="66">
        <v>45</v>
      </c>
      <c r="B32" s="3" t="str">
        <f ca="1">VLOOKUP($A32,OFFSET([2]characters!$A$1,0,0,COUNTA([2]characters!$A:$A),MATCH(B$1,[2]characters!$1:$1,0)-MATCH($A$1,[2]characters!$1:$1,0)+1),MATCH(B$1,[2]characters!$1:$1,0)-MATCH($A$1,[2]characters!$1:$1,0)+1,FALSE)</f>
        <v>ショウイン</v>
      </c>
      <c r="C32" s="93">
        <f ca="1">VLOOKUP($A32,OFFSET(fork_awake_units!$A$1,0,0,COUNTA(fork_awake_units!$A:$A),MATCH(C$1,fork_awake_units!$1:$1,0)-MATCH($A$1,fork_awake_units!$1:$1,0)+1),MATCH(C$1,fork_awake_units!$1:$1,0)-MATCH($A$1,fork_awake_units!$1:$1,0)+1,FALSE)</f>
        <v>46</v>
      </c>
      <c r="D32" s="3" t="str">
        <f ca="1">VLOOKUP($C32,OFFSET([2]characters!$A$1,0,0,COUNTA([2]characters!$A:$A),MATCH(D$1,[2]characters!$1:$1,0)-MATCH($A$1,[2]characters!$1:$1,0)+1),MATCH(D$1,[2]characters!$1:$1,0)-MATCH($A$1,[2]characters!$1:$1,0)+1,FALSE)</f>
        <v>微笑みの筆跡 ショウイン</v>
      </c>
      <c r="E32" s="66">
        <v>109</v>
      </c>
      <c r="F32" s="3" t="str">
        <f ca="1">VLOOKUP($E32,OFFSET([2]characters!$A$1,0,0,COUNTA([2]characters!$A:$A),MATCH(F$1,[2]characters!$1:$1,0)-MATCH($A$1,[2]characters!$1:$1,0)+1),MATCH(F$1,[2]characters!$1:$1,0)-MATCH($A$1,[2]characters!$1:$1,0)+1,FALSE)</f>
        <v>ブルーチェシャ</v>
      </c>
      <c r="G32" s="66">
        <v>2</v>
      </c>
      <c r="H32" s="66">
        <v>1</v>
      </c>
      <c r="I32" s="66">
        <v>1</v>
      </c>
    </row>
    <row r="33" spans="1:9" x14ac:dyDescent="0.15">
      <c r="A33" s="66">
        <v>45</v>
      </c>
      <c r="B33" s="3" t="str">
        <f ca="1">VLOOKUP($A33,OFFSET([2]characters!$A$1,0,0,COUNTA([2]characters!$A:$A),MATCH(B$1,[2]characters!$1:$1,0)-MATCH($A$1,[2]characters!$1:$1,0)+1),MATCH(B$1,[2]characters!$1:$1,0)-MATCH($A$1,[2]characters!$1:$1,0)+1,FALSE)</f>
        <v>ショウイン</v>
      </c>
      <c r="C33" s="93">
        <f ca="1">VLOOKUP($A33,OFFSET(fork_awake_units!$A$1,0,0,COUNTA(fork_awake_units!$A:$A),MATCH(C$1,fork_awake_units!$1:$1,0)-MATCH($A$1,fork_awake_units!$1:$1,0)+1),MATCH(C$1,fork_awake_units!$1:$1,0)-MATCH($A$1,fork_awake_units!$1:$1,0)+1,FALSE)</f>
        <v>46</v>
      </c>
      <c r="D33" s="3" t="str">
        <f ca="1">VLOOKUP($C33,OFFSET([2]characters!$A$1,0,0,COUNTA([2]characters!$A:$A),MATCH(D$1,[2]characters!$1:$1,0)-MATCH($A$1,[2]characters!$1:$1,0)+1),MATCH(D$1,[2]characters!$1:$1,0)-MATCH($A$1,[2]characters!$1:$1,0)+1,FALSE)</f>
        <v>微笑みの筆跡 ショウイン</v>
      </c>
      <c r="E33" s="66">
        <v>110</v>
      </c>
      <c r="F33" s="3" t="str">
        <f ca="1">VLOOKUP($E33,OFFSET([2]characters!$A$1,0,0,COUNTA([2]characters!$A:$A),MATCH(F$1,[2]characters!$1:$1,0)-MATCH($A$1,[2]characters!$1:$1,0)+1),MATCH(F$1,[2]characters!$1:$1,0)-MATCH($A$1,[2]characters!$1:$1,0)+1,FALSE)</f>
        <v>ブルーラビット</v>
      </c>
      <c r="G33" s="66">
        <v>1</v>
      </c>
      <c r="H33" s="66">
        <v>1</v>
      </c>
      <c r="I33" s="66">
        <v>1</v>
      </c>
    </row>
    <row r="34" spans="1:9" x14ac:dyDescent="0.15">
      <c r="A34" s="66">
        <v>47</v>
      </c>
      <c r="B34" s="3" t="str">
        <f ca="1">VLOOKUP($A34,OFFSET([2]characters!$A$1,0,0,COUNTA([2]characters!$A:$A),MATCH(B$1,[2]characters!$1:$1,0)-MATCH($A$1,[2]characters!$1:$1,0)+1),MATCH(B$1,[2]characters!$1:$1,0)-MATCH($A$1,[2]characters!$1:$1,0)+1,FALSE)</f>
        <v>ヒロ</v>
      </c>
      <c r="C34" s="93">
        <f ca="1">VLOOKUP($A34,OFFSET(fork_awake_units!$A$1,0,0,COUNTA(fork_awake_units!$A:$A),MATCH(C$1,fork_awake_units!$1:$1,0)-MATCH($A$1,fork_awake_units!$1:$1,0)+1),MATCH(C$1,fork_awake_units!$1:$1,0)-MATCH($A$1,fork_awake_units!$1:$1,0)+1,FALSE)</f>
        <v>48</v>
      </c>
      <c r="D34" s="3" t="str">
        <f ca="1">VLOOKUP($C34,OFFSET([2]characters!$A$1,0,0,COUNTA([2]characters!$A:$A),MATCH(D$1,[2]characters!$1:$1,0)-MATCH($A$1,[2]characters!$1:$1,0)+1),MATCH(D$1,[2]characters!$1:$1,0)-MATCH($A$1,[2]characters!$1:$1,0)+1,FALSE)</f>
        <v>サンダーステップのヒロ</v>
      </c>
      <c r="E34" s="66">
        <v>113</v>
      </c>
      <c r="F34" s="3" t="str">
        <f ca="1">VLOOKUP($E34,OFFSET([2]characters!$A$1,0,0,COUNTA([2]characters!$A:$A),MATCH(F$1,[2]characters!$1:$1,0)-MATCH($A$1,[2]characters!$1:$1,0)+1),MATCH(F$1,[2]characters!$1:$1,0)-MATCH($A$1,[2]characters!$1:$1,0)+1,FALSE)</f>
        <v>イエローチェシャ</v>
      </c>
      <c r="G34" s="66">
        <v>2</v>
      </c>
      <c r="H34" s="66">
        <v>1</v>
      </c>
      <c r="I34" s="66">
        <v>1</v>
      </c>
    </row>
    <row r="35" spans="1:9" x14ac:dyDescent="0.15">
      <c r="A35" s="66">
        <v>47</v>
      </c>
      <c r="B35" s="3" t="str">
        <f ca="1">VLOOKUP($A35,OFFSET([2]characters!$A$1,0,0,COUNTA([2]characters!$A:$A),MATCH(B$1,[2]characters!$1:$1,0)-MATCH($A$1,[2]characters!$1:$1,0)+1),MATCH(B$1,[2]characters!$1:$1,0)-MATCH($A$1,[2]characters!$1:$1,0)+1,FALSE)</f>
        <v>ヒロ</v>
      </c>
      <c r="C35" s="93">
        <f ca="1">VLOOKUP($A35,OFFSET(fork_awake_units!$A$1,0,0,COUNTA(fork_awake_units!$A:$A),MATCH(C$1,fork_awake_units!$1:$1,0)-MATCH($A$1,fork_awake_units!$1:$1,0)+1),MATCH(C$1,fork_awake_units!$1:$1,0)-MATCH($A$1,fork_awake_units!$1:$1,0)+1,FALSE)</f>
        <v>48</v>
      </c>
      <c r="D35" s="3" t="str">
        <f ca="1">VLOOKUP($C35,OFFSET([2]characters!$A$1,0,0,COUNTA([2]characters!$A:$A),MATCH(D$1,[2]characters!$1:$1,0)-MATCH($A$1,[2]characters!$1:$1,0)+1),MATCH(D$1,[2]characters!$1:$1,0)-MATCH($A$1,[2]characters!$1:$1,0)+1,FALSE)</f>
        <v>サンダーステップのヒロ</v>
      </c>
      <c r="E35" s="66">
        <v>114</v>
      </c>
      <c r="F35" s="3" t="str">
        <f ca="1">VLOOKUP($E35,OFFSET([2]characters!$A$1,0,0,COUNTA([2]characters!$A:$A),MATCH(F$1,[2]characters!$1:$1,0)-MATCH($A$1,[2]characters!$1:$1,0)+1),MATCH(F$1,[2]characters!$1:$1,0)-MATCH($A$1,[2]characters!$1:$1,0)+1,FALSE)</f>
        <v>イエローラビット</v>
      </c>
      <c r="G35" s="66">
        <v>1</v>
      </c>
      <c r="H35" s="66">
        <v>1</v>
      </c>
      <c r="I35" s="66">
        <v>1</v>
      </c>
    </row>
    <row r="36" spans="1:9" x14ac:dyDescent="0.15">
      <c r="A36" s="66">
        <v>49</v>
      </c>
      <c r="B36" s="3" t="str">
        <f ca="1">VLOOKUP($A36,OFFSET([2]characters!$A$1,0,0,COUNTA([2]characters!$A:$A),MATCH(B$1,[2]characters!$1:$1,0)-MATCH($A$1,[2]characters!$1:$1,0)+1),MATCH(B$1,[2]characters!$1:$1,0)-MATCH($A$1,[2]characters!$1:$1,0)+1,FALSE)</f>
        <v>ヨシタカ</v>
      </c>
      <c r="C36" s="93">
        <f ca="1">VLOOKUP($A36,OFFSET(fork_awake_units!$A$1,0,0,COUNTA(fork_awake_units!$A:$A),MATCH(C$1,fork_awake_units!$1:$1,0)-MATCH($A$1,fork_awake_units!$1:$1,0)+1),MATCH(C$1,fork_awake_units!$1:$1,0)-MATCH($A$1,fork_awake_units!$1:$1,0)+1,FALSE)</f>
        <v>50</v>
      </c>
      <c r="D36" s="3" t="str">
        <f ca="1">VLOOKUP($C36,OFFSET([2]characters!$A$1,0,0,COUNTA([2]characters!$A:$A),MATCH(D$1,[2]characters!$1:$1,0)-MATCH($A$1,[2]characters!$1:$1,0)+1),MATCH(D$1,[2]characters!$1:$1,0)-MATCH($A$1,[2]characters!$1:$1,0)+1,FALSE)</f>
        <v>炎銃のレジスタンス ヨシタカ</v>
      </c>
      <c r="E36" s="66">
        <v>101</v>
      </c>
      <c r="F36" s="3" t="str">
        <f ca="1">VLOOKUP($E36,OFFSET([2]characters!$A$1,0,0,COUNTA([2]characters!$A:$A),MATCH(F$1,[2]characters!$1:$1,0)-MATCH($A$1,[2]characters!$1:$1,0)+1),MATCH(F$1,[2]characters!$1:$1,0)-MATCH($A$1,[2]characters!$1:$1,0)+1,FALSE)</f>
        <v>レッドチェシャ</v>
      </c>
      <c r="G36" s="66">
        <v>2</v>
      </c>
      <c r="H36" s="66">
        <v>1</v>
      </c>
      <c r="I36" s="66">
        <v>1</v>
      </c>
    </row>
    <row r="37" spans="1:9" x14ac:dyDescent="0.15">
      <c r="A37" s="66">
        <v>49</v>
      </c>
      <c r="B37" s="3" t="str">
        <f ca="1">VLOOKUP($A37,OFFSET([2]characters!$A$1,0,0,COUNTA([2]characters!$A:$A),MATCH(B$1,[2]characters!$1:$1,0)-MATCH($A$1,[2]characters!$1:$1,0)+1),MATCH(B$1,[2]characters!$1:$1,0)-MATCH($A$1,[2]characters!$1:$1,0)+1,FALSE)</f>
        <v>ヨシタカ</v>
      </c>
      <c r="C37" s="93">
        <f ca="1">VLOOKUP($A37,OFFSET(fork_awake_units!$A$1,0,0,COUNTA(fork_awake_units!$A:$A),MATCH(C$1,fork_awake_units!$1:$1,0)-MATCH($A$1,fork_awake_units!$1:$1,0)+1),MATCH(C$1,fork_awake_units!$1:$1,0)-MATCH($A$1,fork_awake_units!$1:$1,0)+1,FALSE)</f>
        <v>50</v>
      </c>
      <c r="D37" s="3" t="str">
        <f ca="1">VLOOKUP($C37,OFFSET([2]characters!$A$1,0,0,COUNTA([2]characters!$A:$A),MATCH(D$1,[2]characters!$1:$1,0)-MATCH($A$1,[2]characters!$1:$1,0)+1),MATCH(D$1,[2]characters!$1:$1,0)-MATCH($A$1,[2]characters!$1:$1,0)+1,FALSE)</f>
        <v>炎銃のレジスタンス ヨシタカ</v>
      </c>
      <c r="E37" s="66">
        <v>102</v>
      </c>
      <c r="F37" s="3" t="str">
        <f ca="1">VLOOKUP($E37,OFFSET([2]characters!$A$1,0,0,COUNTA([2]characters!$A:$A),MATCH(F$1,[2]characters!$1:$1,0)-MATCH($A$1,[2]characters!$1:$1,0)+1),MATCH(F$1,[2]characters!$1:$1,0)-MATCH($A$1,[2]characters!$1:$1,0)+1,FALSE)</f>
        <v>レッドラビット</v>
      </c>
      <c r="G37" s="66">
        <v>1</v>
      </c>
      <c r="H37" s="66">
        <v>1</v>
      </c>
      <c r="I37" s="66">
        <v>1</v>
      </c>
    </row>
    <row r="38" spans="1:9" x14ac:dyDescent="0.15">
      <c r="A38" s="66">
        <v>51</v>
      </c>
      <c r="B38" s="3" t="str">
        <f ca="1">VLOOKUP($A38,OFFSET([2]characters!$A$1,0,0,COUNTA([2]characters!$A:$A),MATCH(B$1,[2]characters!$1:$1,0)-MATCH($A$1,[2]characters!$1:$1,0)+1),MATCH(B$1,[2]characters!$1:$1,0)-MATCH($A$1,[2]characters!$1:$1,0)+1,FALSE)</f>
        <v>マイ</v>
      </c>
      <c r="C38" s="93">
        <f ca="1">VLOOKUP($A38,OFFSET(fork_awake_units!$A$1,0,0,COUNTA(fork_awake_units!$A:$A),MATCH(C$1,fork_awake_units!$1:$1,0)-MATCH($A$1,fork_awake_units!$1:$1,0)+1),MATCH(C$1,fork_awake_units!$1:$1,0)-MATCH($A$1,fork_awake_units!$1:$1,0)+1,FALSE)</f>
        <v>52</v>
      </c>
      <c r="D38" s="3" t="str">
        <f ca="1">VLOOKUP($C38,OFFSET([2]characters!$A$1,0,0,COUNTA([2]characters!$A:$A),MATCH(D$1,[2]characters!$1:$1,0)-MATCH($A$1,[2]characters!$1:$1,0)+1),MATCH(D$1,[2]characters!$1:$1,0)-MATCH($A$1,[2]characters!$1:$1,0)+1,FALSE)</f>
        <v>翠槍のレジスタンス マイ</v>
      </c>
      <c r="E38" s="66">
        <v>105</v>
      </c>
      <c r="F38" s="3" t="str">
        <f ca="1">VLOOKUP($E38,OFFSET([2]characters!$A$1,0,0,COUNTA([2]characters!$A:$A),MATCH(F$1,[2]characters!$1:$1,0)-MATCH($A$1,[2]characters!$1:$1,0)+1),MATCH(F$1,[2]characters!$1:$1,0)-MATCH($A$1,[2]characters!$1:$1,0)+1,FALSE)</f>
        <v>グリーンチェシャ</v>
      </c>
      <c r="G38" s="66">
        <v>2</v>
      </c>
      <c r="H38" s="66">
        <v>1</v>
      </c>
      <c r="I38" s="66">
        <v>1</v>
      </c>
    </row>
    <row r="39" spans="1:9" x14ac:dyDescent="0.15">
      <c r="A39" s="66">
        <v>51</v>
      </c>
      <c r="B39" s="3" t="str">
        <f ca="1">VLOOKUP($A39,OFFSET([2]characters!$A$1,0,0,COUNTA([2]characters!$A:$A),MATCH(B$1,[2]characters!$1:$1,0)-MATCH($A$1,[2]characters!$1:$1,0)+1),MATCH(B$1,[2]characters!$1:$1,0)-MATCH($A$1,[2]characters!$1:$1,0)+1,FALSE)</f>
        <v>マイ</v>
      </c>
      <c r="C39" s="93">
        <f ca="1">VLOOKUP($A39,OFFSET(fork_awake_units!$A$1,0,0,COUNTA(fork_awake_units!$A:$A),MATCH(C$1,fork_awake_units!$1:$1,0)-MATCH($A$1,fork_awake_units!$1:$1,0)+1),MATCH(C$1,fork_awake_units!$1:$1,0)-MATCH($A$1,fork_awake_units!$1:$1,0)+1,FALSE)</f>
        <v>52</v>
      </c>
      <c r="D39" s="3" t="str">
        <f ca="1">VLOOKUP($C39,OFFSET([2]characters!$A$1,0,0,COUNTA([2]characters!$A:$A),MATCH(D$1,[2]characters!$1:$1,0)-MATCH($A$1,[2]characters!$1:$1,0)+1),MATCH(D$1,[2]characters!$1:$1,0)-MATCH($A$1,[2]characters!$1:$1,0)+1,FALSE)</f>
        <v>翠槍のレジスタンス マイ</v>
      </c>
      <c r="E39" s="66">
        <v>106</v>
      </c>
      <c r="F39" s="3" t="str">
        <f ca="1">VLOOKUP($E39,OFFSET([2]characters!$A$1,0,0,COUNTA([2]characters!$A:$A),MATCH(F$1,[2]characters!$1:$1,0)-MATCH($A$1,[2]characters!$1:$1,0)+1),MATCH(F$1,[2]characters!$1:$1,0)-MATCH($A$1,[2]characters!$1:$1,0)+1,FALSE)</f>
        <v>グリーンラビット</v>
      </c>
      <c r="G39" s="66">
        <v>1</v>
      </c>
      <c r="H39" s="66">
        <v>1</v>
      </c>
      <c r="I39" s="66">
        <v>1</v>
      </c>
    </row>
    <row r="40" spans="1:9" x14ac:dyDescent="0.15">
      <c r="A40" s="66">
        <v>53</v>
      </c>
      <c r="B40" s="3" t="str">
        <f ca="1">VLOOKUP($A40,OFFSET([2]characters!$A$1,0,0,COUNTA([2]characters!$A:$A),MATCH(B$1,[2]characters!$1:$1,0)-MATCH($A$1,[2]characters!$1:$1,0)+1),MATCH(B$1,[2]characters!$1:$1,0)-MATCH($A$1,[2]characters!$1:$1,0)+1,FALSE)</f>
        <v>ケンジ</v>
      </c>
      <c r="C40" s="93">
        <f ca="1">VLOOKUP($A40,OFFSET(fork_awake_units!$A$1,0,0,COUNTA(fork_awake_units!$A:$A),MATCH(C$1,fork_awake_units!$1:$1,0)-MATCH($A$1,fork_awake_units!$1:$1,0)+1),MATCH(C$1,fork_awake_units!$1:$1,0)-MATCH($A$1,fork_awake_units!$1:$1,0)+1,FALSE)</f>
        <v>54</v>
      </c>
      <c r="D40" s="3" t="str">
        <f ca="1">VLOOKUP($C40,OFFSET([2]characters!$A$1,0,0,COUNTA([2]characters!$A:$A),MATCH(D$1,[2]characters!$1:$1,0)-MATCH($A$1,[2]characters!$1:$1,0)+1),MATCH(D$1,[2]characters!$1:$1,0)-MATCH($A$1,[2]characters!$1:$1,0)+1,FALSE)</f>
        <v>蒼斬のレジスタンス ケンジ</v>
      </c>
      <c r="E40" s="66">
        <v>109</v>
      </c>
      <c r="F40" s="3" t="str">
        <f ca="1">VLOOKUP($E40,OFFSET([2]characters!$A$1,0,0,COUNTA([2]characters!$A:$A),MATCH(F$1,[2]characters!$1:$1,0)-MATCH($A$1,[2]characters!$1:$1,0)+1),MATCH(F$1,[2]characters!$1:$1,0)-MATCH($A$1,[2]characters!$1:$1,0)+1,FALSE)</f>
        <v>ブルーチェシャ</v>
      </c>
      <c r="G40" s="66">
        <v>2</v>
      </c>
      <c r="H40" s="66">
        <v>1</v>
      </c>
      <c r="I40" s="66">
        <v>1</v>
      </c>
    </row>
    <row r="41" spans="1:9" x14ac:dyDescent="0.15">
      <c r="A41" s="66">
        <v>53</v>
      </c>
      <c r="B41" s="3" t="str">
        <f ca="1">VLOOKUP($A41,OFFSET([2]characters!$A$1,0,0,COUNTA([2]characters!$A:$A),MATCH(B$1,[2]characters!$1:$1,0)-MATCH($A$1,[2]characters!$1:$1,0)+1),MATCH(B$1,[2]characters!$1:$1,0)-MATCH($A$1,[2]characters!$1:$1,0)+1,FALSE)</f>
        <v>ケンジ</v>
      </c>
      <c r="C41" s="93">
        <f ca="1">VLOOKUP($A41,OFFSET(fork_awake_units!$A$1,0,0,COUNTA(fork_awake_units!$A:$A),MATCH(C$1,fork_awake_units!$1:$1,0)-MATCH($A$1,fork_awake_units!$1:$1,0)+1),MATCH(C$1,fork_awake_units!$1:$1,0)-MATCH($A$1,fork_awake_units!$1:$1,0)+1,FALSE)</f>
        <v>54</v>
      </c>
      <c r="D41" s="3" t="str">
        <f ca="1">VLOOKUP($C41,OFFSET([2]characters!$A$1,0,0,COUNTA([2]characters!$A:$A),MATCH(D$1,[2]characters!$1:$1,0)-MATCH($A$1,[2]characters!$1:$1,0)+1),MATCH(D$1,[2]characters!$1:$1,0)-MATCH($A$1,[2]characters!$1:$1,0)+1,FALSE)</f>
        <v>蒼斬のレジスタンス ケンジ</v>
      </c>
      <c r="E41" s="66">
        <v>110</v>
      </c>
      <c r="F41" s="3" t="str">
        <f ca="1">VLOOKUP($E41,OFFSET([2]characters!$A$1,0,0,COUNTA([2]characters!$A:$A),MATCH(F$1,[2]characters!$1:$1,0)-MATCH($A$1,[2]characters!$1:$1,0)+1),MATCH(F$1,[2]characters!$1:$1,0)-MATCH($A$1,[2]characters!$1:$1,0)+1,FALSE)</f>
        <v>ブルーラビット</v>
      </c>
      <c r="G41" s="66">
        <v>1</v>
      </c>
      <c r="H41" s="66">
        <v>1</v>
      </c>
      <c r="I41" s="66">
        <v>1</v>
      </c>
    </row>
    <row r="42" spans="1:9" x14ac:dyDescent="0.15">
      <c r="A42" s="66">
        <v>55</v>
      </c>
      <c r="B42" s="3" t="str">
        <f ca="1">VLOOKUP($A42,OFFSET([2]characters!$A$1,0,0,COUNTA([2]characters!$A:$A),MATCH(B$1,[2]characters!$1:$1,0)-MATCH($A$1,[2]characters!$1:$1,0)+1),MATCH(B$1,[2]characters!$1:$1,0)-MATCH($A$1,[2]characters!$1:$1,0)+1,FALSE)</f>
        <v>マミコ</v>
      </c>
      <c r="C42" s="93">
        <f ca="1">VLOOKUP($A42,OFFSET(fork_awake_units!$A$1,0,0,COUNTA(fork_awake_units!$A:$A),MATCH(C$1,fork_awake_units!$1:$1,0)-MATCH($A$1,fork_awake_units!$1:$1,0)+1),MATCH(C$1,fork_awake_units!$1:$1,0)-MATCH($A$1,fork_awake_units!$1:$1,0)+1,FALSE)</f>
        <v>56</v>
      </c>
      <c r="D42" s="3" t="str">
        <f ca="1">VLOOKUP($C42,OFFSET([2]characters!$A$1,0,0,COUNTA([2]characters!$A:$A),MATCH(D$1,[2]characters!$1:$1,0)-MATCH($A$1,[2]characters!$1:$1,0)+1),MATCH(D$1,[2]characters!$1:$1,0)-MATCH($A$1,[2]characters!$1:$1,0)+1,FALSE)</f>
        <v>黄槌のレジスタンス マミコ</v>
      </c>
      <c r="E42" s="66">
        <v>113</v>
      </c>
      <c r="F42" s="3" t="str">
        <f ca="1">VLOOKUP($E42,OFFSET([2]characters!$A$1,0,0,COUNTA([2]characters!$A:$A),MATCH(F$1,[2]characters!$1:$1,0)-MATCH($A$1,[2]characters!$1:$1,0)+1),MATCH(F$1,[2]characters!$1:$1,0)-MATCH($A$1,[2]characters!$1:$1,0)+1,FALSE)</f>
        <v>イエローチェシャ</v>
      </c>
      <c r="G42" s="66">
        <v>2</v>
      </c>
      <c r="H42" s="66">
        <v>1</v>
      </c>
      <c r="I42" s="66">
        <v>1</v>
      </c>
    </row>
    <row r="43" spans="1:9" x14ac:dyDescent="0.15">
      <c r="A43" s="66">
        <v>55</v>
      </c>
      <c r="B43" s="3" t="str">
        <f ca="1">VLOOKUP($A43,OFFSET([2]characters!$A$1,0,0,COUNTA([2]characters!$A:$A),MATCH(B$1,[2]characters!$1:$1,0)-MATCH($A$1,[2]characters!$1:$1,0)+1),MATCH(B$1,[2]characters!$1:$1,0)-MATCH($A$1,[2]characters!$1:$1,0)+1,FALSE)</f>
        <v>マミコ</v>
      </c>
      <c r="C43" s="93">
        <f ca="1">VLOOKUP($A43,OFFSET(fork_awake_units!$A$1,0,0,COUNTA(fork_awake_units!$A:$A),MATCH(C$1,fork_awake_units!$1:$1,0)-MATCH($A$1,fork_awake_units!$1:$1,0)+1),MATCH(C$1,fork_awake_units!$1:$1,0)-MATCH($A$1,fork_awake_units!$1:$1,0)+1,FALSE)</f>
        <v>56</v>
      </c>
      <c r="D43" s="3" t="str">
        <f ca="1">VLOOKUP($C43,OFFSET([2]characters!$A$1,0,0,COUNTA([2]characters!$A:$A),MATCH(D$1,[2]characters!$1:$1,0)-MATCH($A$1,[2]characters!$1:$1,0)+1),MATCH(D$1,[2]characters!$1:$1,0)-MATCH($A$1,[2]characters!$1:$1,0)+1,FALSE)</f>
        <v>黄槌のレジスタンス マミコ</v>
      </c>
      <c r="E43" s="66">
        <v>114</v>
      </c>
      <c r="F43" s="3" t="str">
        <f ca="1">VLOOKUP($E43,OFFSET([2]characters!$A$1,0,0,COUNTA([2]characters!$A:$A),MATCH(F$1,[2]characters!$1:$1,0)-MATCH($A$1,[2]characters!$1:$1,0)+1),MATCH(F$1,[2]characters!$1:$1,0)-MATCH($A$1,[2]characters!$1:$1,0)+1,FALSE)</f>
        <v>イエローラビット</v>
      </c>
      <c r="G43" s="66">
        <v>1</v>
      </c>
      <c r="H43" s="66">
        <v>1</v>
      </c>
      <c r="I43" s="66">
        <v>1</v>
      </c>
    </row>
    <row r="44" spans="1:9" x14ac:dyDescent="0.15">
      <c r="A44" s="66">
        <v>57</v>
      </c>
      <c r="B44" s="3" t="str">
        <f ca="1">VLOOKUP($A44,OFFSET([2]characters!$A$1,0,0,COUNTA([2]characters!$A:$A),MATCH(B$1,[2]characters!$1:$1,0)-MATCH($A$1,[2]characters!$1:$1,0)+1),MATCH(B$1,[2]characters!$1:$1,0)-MATCH($A$1,[2]characters!$1:$1,0)+1,FALSE)</f>
        <v>チェン・リー</v>
      </c>
      <c r="C44" s="93">
        <f ca="1">VLOOKUP($A44,OFFSET(fork_awake_units!$A$1,0,0,COUNTA(fork_awake_units!$A:$A),MATCH(C$1,fork_awake_units!$1:$1,0)-MATCH($A$1,fork_awake_units!$1:$1,0)+1),MATCH(C$1,fork_awake_units!$1:$1,0)-MATCH($A$1,fork_awake_units!$1:$1,0)+1,FALSE)</f>
        <v>58</v>
      </c>
      <c r="D44" s="3" t="str">
        <f ca="1">VLOOKUP($C44,OFFSET([2]characters!$A$1,0,0,COUNTA([2]characters!$A:$A),MATCH(D$1,[2]characters!$1:$1,0)-MATCH($A$1,[2]characters!$1:$1,0)+1),MATCH(D$1,[2]characters!$1:$1,0)-MATCH($A$1,[2]characters!$1:$1,0)+1,FALSE)</f>
        <v>ドランクマスター チェン・リー</v>
      </c>
      <c r="E44" s="66">
        <v>101</v>
      </c>
      <c r="F44" s="3" t="str">
        <f ca="1">VLOOKUP($E44,OFFSET([2]characters!$A$1,0,0,COUNTA([2]characters!$A:$A),MATCH(F$1,[2]characters!$1:$1,0)-MATCH($A$1,[2]characters!$1:$1,0)+1),MATCH(F$1,[2]characters!$1:$1,0)-MATCH($A$1,[2]characters!$1:$1,0)+1,FALSE)</f>
        <v>レッドチェシャ</v>
      </c>
      <c r="G44" s="66">
        <v>2</v>
      </c>
      <c r="H44" s="66">
        <v>1</v>
      </c>
      <c r="I44" s="66">
        <v>1</v>
      </c>
    </row>
    <row r="45" spans="1:9" x14ac:dyDescent="0.15">
      <c r="A45" s="66">
        <v>57</v>
      </c>
      <c r="B45" s="3" t="str">
        <f ca="1">VLOOKUP($A45,OFFSET([2]characters!$A$1,0,0,COUNTA([2]characters!$A:$A),MATCH(B$1,[2]characters!$1:$1,0)-MATCH($A$1,[2]characters!$1:$1,0)+1),MATCH(B$1,[2]characters!$1:$1,0)-MATCH($A$1,[2]characters!$1:$1,0)+1,FALSE)</f>
        <v>チェン・リー</v>
      </c>
      <c r="C45" s="93">
        <f ca="1">VLOOKUP($A45,OFFSET(fork_awake_units!$A$1,0,0,COUNTA(fork_awake_units!$A:$A),MATCH(C$1,fork_awake_units!$1:$1,0)-MATCH($A$1,fork_awake_units!$1:$1,0)+1),MATCH(C$1,fork_awake_units!$1:$1,0)-MATCH($A$1,fork_awake_units!$1:$1,0)+1,FALSE)</f>
        <v>58</v>
      </c>
      <c r="D45" s="3" t="str">
        <f ca="1">VLOOKUP($C45,OFFSET([2]characters!$A$1,0,0,COUNTA([2]characters!$A:$A),MATCH(D$1,[2]characters!$1:$1,0)-MATCH($A$1,[2]characters!$1:$1,0)+1),MATCH(D$1,[2]characters!$1:$1,0)-MATCH($A$1,[2]characters!$1:$1,0)+1,FALSE)</f>
        <v>ドランクマスター チェン・リー</v>
      </c>
      <c r="E45" s="66">
        <v>102</v>
      </c>
      <c r="F45" s="3" t="str">
        <f ca="1">VLOOKUP($E45,OFFSET([2]characters!$A$1,0,0,COUNTA([2]characters!$A:$A),MATCH(F$1,[2]characters!$1:$1,0)-MATCH($A$1,[2]characters!$1:$1,0)+1),MATCH(F$1,[2]characters!$1:$1,0)-MATCH($A$1,[2]characters!$1:$1,0)+1,FALSE)</f>
        <v>レッドラビット</v>
      </c>
      <c r="G45" s="66">
        <v>1</v>
      </c>
      <c r="H45" s="66">
        <v>1</v>
      </c>
      <c r="I45" s="66">
        <v>1</v>
      </c>
    </row>
    <row r="46" spans="1:9" x14ac:dyDescent="0.15">
      <c r="A46" s="66">
        <v>59</v>
      </c>
      <c r="B46" s="3" t="str">
        <f ca="1">VLOOKUP($A46,OFFSET([2]characters!$A$1,0,0,COUNTA([2]characters!$A:$A),MATCH(B$1,[2]characters!$1:$1,0)-MATCH($A$1,[2]characters!$1:$1,0)+1),MATCH(B$1,[2]characters!$1:$1,0)-MATCH($A$1,[2]characters!$1:$1,0)+1,FALSE)</f>
        <v>マーチ</v>
      </c>
      <c r="C46" s="93">
        <f ca="1">VLOOKUP($A46,OFFSET(fork_awake_units!$A$1,0,0,COUNTA(fork_awake_units!$A:$A),MATCH(C$1,fork_awake_units!$1:$1,0)-MATCH($A$1,fork_awake_units!$1:$1,0)+1),MATCH(C$1,fork_awake_units!$1:$1,0)-MATCH($A$1,fork_awake_units!$1:$1,0)+1,FALSE)</f>
        <v>60</v>
      </c>
      <c r="D46" s="3" t="str">
        <f ca="1">VLOOKUP($C46,OFFSET([2]characters!$A$1,0,0,COUNTA([2]characters!$A:$A),MATCH(D$1,[2]characters!$1:$1,0)-MATCH($A$1,[2]characters!$1:$1,0)+1),MATCH(D$1,[2]characters!$1:$1,0)-MATCH($A$1,[2]characters!$1:$1,0)+1,FALSE)</f>
        <v>おでかけマーチ</v>
      </c>
      <c r="E46" s="66">
        <v>105</v>
      </c>
      <c r="F46" s="3" t="str">
        <f ca="1">VLOOKUP($E46,OFFSET([2]characters!$A$1,0,0,COUNTA([2]characters!$A:$A),MATCH(F$1,[2]characters!$1:$1,0)-MATCH($A$1,[2]characters!$1:$1,0)+1),MATCH(F$1,[2]characters!$1:$1,0)-MATCH($A$1,[2]characters!$1:$1,0)+1,FALSE)</f>
        <v>グリーンチェシャ</v>
      </c>
      <c r="G46" s="66">
        <v>2</v>
      </c>
      <c r="H46" s="66">
        <v>1</v>
      </c>
      <c r="I46" s="66">
        <v>1</v>
      </c>
    </row>
    <row r="47" spans="1:9" x14ac:dyDescent="0.15">
      <c r="A47" s="66">
        <v>59</v>
      </c>
      <c r="B47" s="3" t="str">
        <f ca="1">VLOOKUP($A47,OFFSET([2]characters!$A$1,0,0,COUNTA([2]characters!$A:$A),MATCH(B$1,[2]characters!$1:$1,0)-MATCH($A$1,[2]characters!$1:$1,0)+1),MATCH(B$1,[2]characters!$1:$1,0)-MATCH($A$1,[2]characters!$1:$1,0)+1,FALSE)</f>
        <v>マーチ</v>
      </c>
      <c r="C47" s="93">
        <f ca="1">VLOOKUP($A47,OFFSET(fork_awake_units!$A$1,0,0,COUNTA(fork_awake_units!$A:$A),MATCH(C$1,fork_awake_units!$1:$1,0)-MATCH($A$1,fork_awake_units!$1:$1,0)+1),MATCH(C$1,fork_awake_units!$1:$1,0)-MATCH($A$1,fork_awake_units!$1:$1,0)+1,FALSE)</f>
        <v>60</v>
      </c>
      <c r="D47" s="3" t="str">
        <f ca="1">VLOOKUP($C47,OFFSET([2]characters!$A$1,0,0,COUNTA([2]characters!$A:$A),MATCH(D$1,[2]characters!$1:$1,0)-MATCH($A$1,[2]characters!$1:$1,0)+1),MATCH(D$1,[2]characters!$1:$1,0)-MATCH($A$1,[2]characters!$1:$1,0)+1,FALSE)</f>
        <v>おでかけマーチ</v>
      </c>
      <c r="E47" s="66">
        <v>106</v>
      </c>
      <c r="F47" s="3" t="str">
        <f ca="1">VLOOKUP($E47,OFFSET([2]characters!$A$1,0,0,COUNTA([2]characters!$A:$A),MATCH(F$1,[2]characters!$1:$1,0)-MATCH($A$1,[2]characters!$1:$1,0)+1),MATCH(F$1,[2]characters!$1:$1,0)-MATCH($A$1,[2]characters!$1:$1,0)+1,FALSE)</f>
        <v>グリーンラビット</v>
      </c>
      <c r="G47" s="66">
        <v>1</v>
      </c>
      <c r="H47" s="66">
        <v>1</v>
      </c>
      <c r="I47" s="66">
        <v>1</v>
      </c>
    </row>
    <row r="48" spans="1:9" x14ac:dyDescent="0.15">
      <c r="A48" s="66">
        <v>61</v>
      </c>
      <c r="B48" s="3" t="str">
        <f ca="1">VLOOKUP($A48,OFFSET([2]characters!$A$1,0,0,COUNTA([2]characters!$A:$A),MATCH(B$1,[2]characters!$1:$1,0)-MATCH($A$1,[2]characters!$1:$1,0)+1),MATCH(B$1,[2]characters!$1:$1,0)-MATCH($A$1,[2]characters!$1:$1,0)+1,FALSE)</f>
        <v>クロウ</v>
      </c>
      <c r="C48" s="93">
        <f ca="1">VLOOKUP($A48,OFFSET(fork_awake_units!$A$1,0,0,COUNTA(fork_awake_units!$A:$A),MATCH(C$1,fork_awake_units!$1:$1,0)-MATCH($A$1,fork_awake_units!$1:$1,0)+1),MATCH(C$1,fork_awake_units!$1:$1,0)-MATCH($A$1,fork_awake_units!$1:$1,0)+1,FALSE)</f>
        <v>62</v>
      </c>
      <c r="D48" s="3" t="str">
        <f ca="1">VLOOKUP($C48,OFFSET([2]characters!$A$1,0,0,COUNTA([2]characters!$A:$A),MATCH(D$1,[2]characters!$1:$1,0)-MATCH($A$1,[2]characters!$1:$1,0)+1),MATCH(D$1,[2]characters!$1:$1,0)-MATCH($A$1,[2]characters!$1:$1,0)+1,FALSE)</f>
        <v>脈動旋律のクロウ</v>
      </c>
      <c r="E48" s="66">
        <v>109</v>
      </c>
      <c r="F48" s="3" t="str">
        <f ca="1">VLOOKUP($E48,OFFSET([2]characters!$A$1,0,0,COUNTA([2]characters!$A:$A),MATCH(F$1,[2]characters!$1:$1,0)-MATCH($A$1,[2]characters!$1:$1,0)+1),MATCH(F$1,[2]characters!$1:$1,0)-MATCH($A$1,[2]characters!$1:$1,0)+1,FALSE)</f>
        <v>ブルーチェシャ</v>
      </c>
      <c r="G48" s="66">
        <v>2</v>
      </c>
      <c r="H48" s="66">
        <v>1</v>
      </c>
      <c r="I48" s="66">
        <v>1</v>
      </c>
    </row>
    <row r="49" spans="1:9" x14ac:dyDescent="0.15">
      <c r="A49" s="66">
        <v>61</v>
      </c>
      <c r="B49" s="3" t="str">
        <f ca="1">VLOOKUP($A49,OFFSET([2]characters!$A$1,0,0,COUNTA([2]characters!$A:$A),MATCH(B$1,[2]characters!$1:$1,0)-MATCH($A$1,[2]characters!$1:$1,0)+1),MATCH(B$1,[2]characters!$1:$1,0)-MATCH($A$1,[2]characters!$1:$1,0)+1,FALSE)</f>
        <v>クロウ</v>
      </c>
      <c r="C49" s="93">
        <f ca="1">VLOOKUP($A49,OFFSET(fork_awake_units!$A$1,0,0,COUNTA(fork_awake_units!$A:$A),MATCH(C$1,fork_awake_units!$1:$1,0)-MATCH($A$1,fork_awake_units!$1:$1,0)+1),MATCH(C$1,fork_awake_units!$1:$1,0)-MATCH($A$1,fork_awake_units!$1:$1,0)+1,FALSE)</f>
        <v>62</v>
      </c>
      <c r="D49" s="3" t="str">
        <f ca="1">VLOOKUP($C49,OFFSET([2]characters!$A$1,0,0,COUNTA([2]characters!$A:$A),MATCH(D$1,[2]characters!$1:$1,0)-MATCH($A$1,[2]characters!$1:$1,0)+1),MATCH(D$1,[2]characters!$1:$1,0)-MATCH($A$1,[2]characters!$1:$1,0)+1,FALSE)</f>
        <v>脈動旋律のクロウ</v>
      </c>
      <c r="E49" s="66">
        <v>110</v>
      </c>
      <c r="F49" s="3" t="str">
        <f ca="1">VLOOKUP($E49,OFFSET([2]characters!$A$1,0,0,COUNTA([2]characters!$A:$A),MATCH(F$1,[2]characters!$1:$1,0)-MATCH($A$1,[2]characters!$1:$1,0)+1),MATCH(F$1,[2]characters!$1:$1,0)-MATCH($A$1,[2]characters!$1:$1,0)+1,FALSE)</f>
        <v>ブルーラビット</v>
      </c>
      <c r="G49" s="66">
        <v>1</v>
      </c>
      <c r="H49" s="66">
        <v>1</v>
      </c>
      <c r="I49" s="66">
        <v>1</v>
      </c>
    </row>
    <row r="50" spans="1:9" x14ac:dyDescent="0.15">
      <c r="A50" s="66">
        <v>63</v>
      </c>
      <c r="B50" s="3" t="str">
        <f ca="1">VLOOKUP($A50,OFFSET([2]characters!$A$1,0,0,COUNTA([2]characters!$A:$A),MATCH(B$1,[2]characters!$1:$1,0)-MATCH($A$1,[2]characters!$1:$1,0)+1),MATCH(B$1,[2]characters!$1:$1,0)-MATCH($A$1,[2]characters!$1:$1,0)+1,FALSE)</f>
        <v>トニー</v>
      </c>
      <c r="C50" s="93">
        <f ca="1">VLOOKUP($A50,OFFSET(fork_awake_units!$A$1,0,0,COUNTA(fork_awake_units!$A:$A),MATCH(C$1,fork_awake_units!$1:$1,0)-MATCH($A$1,fork_awake_units!$1:$1,0)+1),MATCH(C$1,fork_awake_units!$1:$1,0)-MATCH($A$1,fork_awake_units!$1:$1,0)+1,FALSE)</f>
        <v>64</v>
      </c>
      <c r="D50" s="3" t="str">
        <f ca="1">VLOOKUP($C50,OFFSET([2]characters!$A$1,0,0,COUNTA([2]characters!$A:$A),MATCH(D$1,[2]characters!$1:$1,0)-MATCH($A$1,[2]characters!$1:$1,0)+1),MATCH(D$1,[2]characters!$1:$1,0)-MATCH($A$1,[2]characters!$1:$1,0)+1,FALSE)</f>
        <v>フレイムエッジ トニー</v>
      </c>
      <c r="E50" s="66">
        <v>113</v>
      </c>
      <c r="F50" s="3" t="str">
        <f ca="1">VLOOKUP($E50,OFFSET([2]characters!$A$1,0,0,COUNTA([2]characters!$A:$A),MATCH(F$1,[2]characters!$1:$1,0)-MATCH($A$1,[2]characters!$1:$1,0)+1),MATCH(F$1,[2]characters!$1:$1,0)-MATCH($A$1,[2]characters!$1:$1,0)+1,FALSE)</f>
        <v>イエローチェシャ</v>
      </c>
      <c r="G50" s="66">
        <v>2</v>
      </c>
      <c r="H50" s="66">
        <v>1</v>
      </c>
      <c r="I50" s="66">
        <v>1</v>
      </c>
    </row>
    <row r="51" spans="1:9" x14ac:dyDescent="0.15">
      <c r="A51" s="66">
        <v>63</v>
      </c>
      <c r="B51" s="3" t="str">
        <f ca="1">VLOOKUP($A51,OFFSET([2]characters!$A$1,0,0,COUNTA([2]characters!$A:$A),MATCH(B$1,[2]characters!$1:$1,0)-MATCH($A$1,[2]characters!$1:$1,0)+1),MATCH(B$1,[2]characters!$1:$1,0)-MATCH($A$1,[2]characters!$1:$1,0)+1,FALSE)</f>
        <v>トニー</v>
      </c>
      <c r="C51" s="93">
        <f ca="1">VLOOKUP($A51,OFFSET(fork_awake_units!$A$1,0,0,COUNTA(fork_awake_units!$A:$A),MATCH(C$1,fork_awake_units!$1:$1,0)-MATCH($A$1,fork_awake_units!$1:$1,0)+1),MATCH(C$1,fork_awake_units!$1:$1,0)-MATCH($A$1,fork_awake_units!$1:$1,0)+1,FALSE)</f>
        <v>64</v>
      </c>
      <c r="D51" s="3" t="str">
        <f ca="1">VLOOKUP($C51,OFFSET([2]characters!$A$1,0,0,COUNTA([2]characters!$A:$A),MATCH(D$1,[2]characters!$1:$1,0)-MATCH($A$1,[2]characters!$1:$1,0)+1),MATCH(D$1,[2]characters!$1:$1,0)-MATCH($A$1,[2]characters!$1:$1,0)+1,FALSE)</f>
        <v>フレイムエッジ トニー</v>
      </c>
      <c r="E51" s="66">
        <v>114</v>
      </c>
      <c r="F51" s="3" t="str">
        <f ca="1">VLOOKUP($E51,OFFSET([2]characters!$A$1,0,0,COUNTA([2]characters!$A:$A),MATCH(F$1,[2]characters!$1:$1,0)-MATCH($A$1,[2]characters!$1:$1,0)+1),MATCH(F$1,[2]characters!$1:$1,0)-MATCH($A$1,[2]characters!$1:$1,0)+1,FALSE)</f>
        <v>イエローラビット</v>
      </c>
      <c r="G51" s="66">
        <v>1</v>
      </c>
      <c r="H51" s="66">
        <v>1</v>
      </c>
      <c r="I51" s="66">
        <v>1</v>
      </c>
    </row>
    <row r="52" spans="1:9" x14ac:dyDescent="0.15">
      <c r="A52" s="66">
        <v>65</v>
      </c>
      <c r="B52" s="3" t="str">
        <f ca="1">VLOOKUP($A52,OFFSET([2]characters!$A$1,0,0,COUNTA([2]characters!$A:$A),MATCH(B$1,[2]characters!$1:$1,0)-MATCH($A$1,[2]characters!$1:$1,0)+1),MATCH(B$1,[2]characters!$1:$1,0)-MATCH($A$1,[2]characters!$1:$1,0)+1,FALSE)</f>
        <v>ファイアフォックス</v>
      </c>
      <c r="C52" s="93">
        <f ca="1">VLOOKUP($A52,OFFSET(fork_awake_units!$A$1,0,0,COUNTA(fork_awake_units!$A:$A),MATCH(C$1,fork_awake_units!$1:$1,0)-MATCH($A$1,fork_awake_units!$1:$1,0)+1),MATCH(C$1,fork_awake_units!$1:$1,0)-MATCH($A$1,fork_awake_units!$1:$1,0)+1,FALSE)</f>
        <v>66</v>
      </c>
      <c r="D52" s="3" t="str">
        <f ca="1">VLOOKUP($C52,OFFSET([2]characters!$A$1,0,0,COUNTA([2]characters!$A:$A),MATCH(D$1,[2]characters!$1:$1,0)-MATCH($A$1,[2]characters!$1:$1,0)+1),MATCH(D$1,[2]characters!$1:$1,0)-MATCH($A$1,[2]characters!$1:$1,0)+1,FALSE)</f>
        <v>探索者 ファイアフォックス</v>
      </c>
      <c r="E52" s="66">
        <v>101</v>
      </c>
      <c r="F52" s="3" t="str">
        <f ca="1">VLOOKUP($E52,OFFSET([2]characters!$A$1,0,0,COUNTA([2]characters!$A:$A),MATCH(F$1,[2]characters!$1:$1,0)-MATCH($A$1,[2]characters!$1:$1,0)+1),MATCH(F$1,[2]characters!$1:$1,0)-MATCH($A$1,[2]characters!$1:$1,0)+1,FALSE)</f>
        <v>レッドチェシャ</v>
      </c>
      <c r="G52" s="66">
        <v>1</v>
      </c>
      <c r="H52" s="66">
        <v>1</v>
      </c>
      <c r="I52" s="66">
        <v>1</v>
      </c>
    </row>
    <row r="53" spans="1:9" x14ac:dyDescent="0.15">
      <c r="A53" s="66">
        <v>65</v>
      </c>
      <c r="B53" s="3" t="str">
        <f ca="1">VLOOKUP($A53,OFFSET([2]characters!$A$1,0,0,COUNTA([2]characters!$A:$A),MATCH(B$1,[2]characters!$1:$1,0)-MATCH($A$1,[2]characters!$1:$1,0)+1),MATCH(B$1,[2]characters!$1:$1,0)-MATCH($A$1,[2]characters!$1:$1,0)+1,FALSE)</f>
        <v>ファイアフォックス</v>
      </c>
      <c r="C53" s="93">
        <f ca="1">VLOOKUP($A53,OFFSET(fork_awake_units!$A$1,0,0,COUNTA(fork_awake_units!$A:$A),MATCH(C$1,fork_awake_units!$1:$1,0)-MATCH($A$1,fork_awake_units!$1:$1,0)+1),MATCH(C$1,fork_awake_units!$1:$1,0)-MATCH($A$1,fork_awake_units!$1:$1,0)+1,FALSE)</f>
        <v>66</v>
      </c>
      <c r="D53" s="3" t="str">
        <f ca="1">VLOOKUP($C53,OFFSET([2]characters!$A$1,0,0,COUNTA([2]characters!$A:$A),MATCH(D$1,[2]characters!$1:$1,0)-MATCH($A$1,[2]characters!$1:$1,0)+1),MATCH(D$1,[2]characters!$1:$1,0)-MATCH($A$1,[2]characters!$1:$1,0)+1,FALSE)</f>
        <v>探索者 ファイアフォックス</v>
      </c>
      <c r="E53" s="66">
        <v>102</v>
      </c>
      <c r="F53" s="3" t="str">
        <f ca="1">VLOOKUP($E53,OFFSET([2]characters!$A$1,0,0,COUNTA([2]characters!$A:$A),MATCH(F$1,[2]characters!$1:$1,0)-MATCH($A$1,[2]characters!$1:$1,0)+1),MATCH(F$1,[2]characters!$1:$1,0)-MATCH($A$1,[2]characters!$1:$1,0)+1,FALSE)</f>
        <v>レッドラビット</v>
      </c>
      <c r="G53" s="66">
        <v>2</v>
      </c>
      <c r="H53" s="66">
        <v>1</v>
      </c>
      <c r="I53" s="66">
        <v>1</v>
      </c>
    </row>
    <row r="54" spans="1:9" x14ac:dyDescent="0.15">
      <c r="A54" s="66">
        <v>66</v>
      </c>
      <c r="B54" s="3" t="str">
        <f ca="1">VLOOKUP($A54,OFFSET([2]characters!$A$1,0,0,COUNTA([2]characters!$A:$A),MATCH(B$1,[2]characters!$1:$1,0)-MATCH($A$1,[2]characters!$1:$1,0)+1),MATCH(B$1,[2]characters!$1:$1,0)-MATCH($A$1,[2]characters!$1:$1,0)+1,FALSE)</f>
        <v>探索者 ファイアフォックス</v>
      </c>
      <c r="C54" s="93">
        <f ca="1">VLOOKUP($A54,OFFSET(fork_awake_units!$A$1,0,0,COUNTA(fork_awake_units!$A:$A),MATCH(C$1,fork_awake_units!$1:$1,0)-MATCH($A$1,fork_awake_units!$1:$1,0)+1),MATCH(C$1,fork_awake_units!$1:$1,0)-MATCH($A$1,fork_awake_units!$1:$1,0)+1,FALSE)</f>
        <v>67</v>
      </c>
      <c r="D54" s="3" t="str">
        <f ca="1">VLOOKUP($C54,OFFSET([2]characters!$A$1,0,0,COUNTA([2]characters!$A:$A),MATCH(D$1,[2]characters!$1:$1,0)-MATCH($A$1,[2]characters!$1:$1,0)+1),MATCH(D$1,[2]characters!$1:$1,0)-MATCH($A$1,[2]characters!$1:$1,0)+1,FALSE)</f>
        <v>双炎の探索者 ファイアフォックス</v>
      </c>
      <c r="E54" s="66">
        <v>101</v>
      </c>
      <c r="F54" s="3" t="str">
        <f ca="1">VLOOKUP($E54,OFFSET([2]characters!$A$1,0,0,COUNTA([2]characters!$A:$A),MATCH(F$1,[2]characters!$1:$1,0)-MATCH($A$1,[2]characters!$1:$1,0)+1),MATCH(F$1,[2]characters!$1:$1,0)-MATCH($A$1,[2]characters!$1:$1,0)+1,FALSE)</f>
        <v>レッドチェシャ</v>
      </c>
      <c r="G54" s="66">
        <v>2</v>
      </c>
      <c r="H54" s="66">
        <v>1</v>
      </c>
      <c r="I54" s="66">
        <v>1</v>
      </c>
    </row>
    <row r="55" spans="1:9" x14ac:dyDescent="0.15">
      <c r="A55" s="66">
        <v>66</v>
      </c>
      <c r="B55" s="3" t="str">
        <f ca="1">VLOOKUP($A55,OFFSET([2]characters!$A$1,0,0,COUNTA([2]characters!$A:$A),MATCH(B$1,[2]characters!$1:$1,0)-MATCH($A$1,[2]characters!$1:$1,0)+1),MATCH(B$1,[2]characters!$1:$1,0)-MATCH($A$1,[2]characters!$1:$1,0)+1,FALSE)</f>
        <v>探索者 ファイアフォックス</v>
      </c>
      <c r="C55" s="93">
        <f ca="1">VLOOKUP($A55,OFFSET(fork_awake_units!$A$1,0,0,COUNTA(fork_awake_units!$A:$A),MATCH(C$1,fork_awake_units!$1:$1,0)-MATCH($A$1,fork_awake_units!$1:$1,0)+1),MATCH(C$1,fork_awake_units!$1:$1,0)-MATCH($A$1,fork_awake_units!$1:$1,0)+1,FALSE)</f>
        <v>67</v>
      </c>
      <c r="D55" s="3" t="str">
        <f ca="1">VLOOKUP($C55,OFFSET([2]characters!$A$1,0,0,COUNTA([2]characters!$A:$A),MATCH(D$1,[2]characters!$1:$1,0)-MATCH($A$1,[2]characters!$1:$1,0)+1),MATCH(D$1,[2]characters!$1:$1,0)-MATCH($A$1,[2]characters!$1:$1,0)+1,FALSE)</f>
        <v>双炎の探索者 ファイアフォックス</v>
      </c>
      <c r="E55" s="66">
        <v>103</v>
      </c>
      <c r="F55" s="3" t="str">
        <f ca="1">VLOOKUP($E55,OFFSET([2]characters!$A$1,0,0,COUNTA([2]characters!$A:$A),MATCH(F$1,[2]characters!$1:$1,0)-MATCH($A$1,[2]characters!$1:$1,0)+1),MATCH(F$1,[2]characters!$1:$1,0)-MATCH($A$1,[2]characters!$1:$1,0)+1,FALSE)</f>
        <v>レッドキャタップ</v>
      </c>
      <c r="G55" s="66">
        <v>1</v>
      </c>
      <c r="H55" s="66">
        <v>1</v>
      </c>
      <c r="I55" s="66">
        <v>1</v>
      </c>
    </row>
    <row r="56" spans="1:9" x14ac:dyDescent="0.15">
      <c r="A56" s="66">
        <v>68</v>
      </c>
      <c r="B56" s="3" t="str">
        <f ca="1">VLOOKUP($A56,OFFSET([2]characters!$A$1,0,0,COUNTA([2]characters!$A:$A),MATCH(B$1,[2]characters!$1:$1,0)-MATCH($A$1,[2]characters!$1:$1,0)+1),MATCH(B$1,[2]characters!$1:$1,0)-MATCH($A$1,[2]characters!$1:$1,0)+1,FALSE)</f>
        <v>ストール</v>
      </c>
      <c r="C56" s="93">
        <f ca="1">VLOOKUP($A56,OFFSET(fork_awake_units!$A$1,0,0,COUNTA(fork_awake_units!$A:$A),MATCH(C$1,fork_awake_units!$1:$1,0)-MATCH($A$1,fork_awake_units!$1:$1,0)+1),MATCH(C$1,fork_awake_units!$1:$1,0)-MATCH($A$1,fork_awake_units!$1:$1,0)+1,FALSE)</f>
        <v>69</v>
      </c>
      <c r="D56" s="3" t="str">
        <f ca="1">VLOOKUP($C56,OFFSET([2]characters!$A$1,0,0,COUNTA([2]characters!$A:$A),MATCH(D$1,[2]characters!$1:$1,0)-MATCH($A$1,[2]characters!$1:$1,0)+1),MATCH(D$1,[2]characters!$1:$1,0)-MATCH($A$1,[2]characters!$1:$1,0)+1,FALSE)</f>
        <v>思想家 ストール</v>
      </c>
      <c r="E56" s="66">
        <v>105</v>
      </c>
      <c r="F56" s="3" t="str">
        <f ca="1">VLOOKUP($E56,OFFSET([2]characters!$A$1,0,0,COUNTA([2]characters!$A:$A),MATCH(F$1,[2]characters!$1:$1,0)-MATCH($A$1,[2]characters!$1:$1,0)+1),MATCH(F$1,[2]characters!$1:$1,0)-MATCH($A$1,[2]characters!$1:$1,0)+1,FALSE)</f>
        <v>グリーンチェシャ</v>
      </c>
      <c r="G56" s="66">
        <v>1</v>
      </c>
      <c r="H56" s="66">
        <v>1</v>
      </c>
      <c r="I56" s="66">
        <v>1</v>
      </c>
    </row>
    <row r="57" spans="1:9" x14ac:dyDescent="0.15">
      <c r="A57" s="66">
        <v>68</v>
      </c>
      <c r="B57" s="3" t="str">
        <f ca="1">VLOOKUP($A57,OFFSET([2]characters!$A$1,0,0,COUNTA([2]characters!$A:$A),MATCH(B$1,[2]characters!$1:$1,0)-MATCH($A$1,[2]characters!$1:$1,0)+1),MATCH(B$1,[2]characters!$1:$1,0)-MATCH($A$1,[2]characters!$1:$1,0)+1,FALSE)</f>
        <v>ストール</v>
      </c>
      <c r="C57" s="93">
        <f ca="1">VLOOKUP($A57,OFFSET(fork_awake_units!$A$1,0,0,COUNTA(fork_awake_units!$A:$A),MATCH(C$1,fork_awake_units!$1:$1,0)-MATCH($A$1,fork_awake_units!$1:$1,0)+1),MATCH(C$1,fork_awake_units!$1:$1,0)-MATCH($A$1,fork_awake_units!$1:$1,0)+1,FALSE)</f>
        <v>69</v>
      </c>
      <c r="D57" s="3" t="str">
        <f ca="1">VLOOKUP($C57,OFFSET([2]characters!$A$1,0,0,COUNTA([2]characters!$A:$A),MATCH(D$1,[2]characters!$1:$1,0)-MATCH($A$1,[2]characters!$1:$1,0)+1),MATCH(D$1,[2]characters!$1:$1,0)-MATCH($A$1,[2]characters!$1:$1,0)+1,FALSE)</f>
        <v>思想家 ストール</v>
      </c>
      <c r="E57" s="66">
        <v>106</v>
      </c>
      <c r="F57" s="3" t="str">
        <f ca="1">VLOOKUP($E57,OFFSET([2]characters!$A$1,0,0,COUNTA([2]characters!$A:$A),MATCH(F$1,[2]characters!$1:$1,0)-MATCH($A$1,[2]characters!$1:$1,0)+1),MATCH(F$1,[2]characters!$1:$1,0)-MATCH($A$1,[2]characters!$1:$1,0)+1,FALSE)</f>
        <v>グリーンラビット</v>
      </c>
      <c r="G57" s="66">
        <v>2</v>
      </c>
      <c r="H57" s="66">
        <v>1</v>
      </c>
      <c r="I57" s="66">
        <v>1</v>
      </c>
    </row>
    <row r="58" spans="1:9" x14ac:dyDescent="0.15">
      <c r="A58" s="66">
        <v>69</v>
      </c>
      <c r="B58" s="3" t="str">
        <f ca="1">VLOOKUP($A58,OFFSET([2]characters!$A$1,0,0,COUNTA([2]characters!$A:$A),MATCH(B$1,[2]characters!$1:$1,0)-MATCH($A$1,[2]characters!$1:$1,0)+1),MATCH(B$1,[2]characters!$1:$1,0)-MATCH($A$1,[2]characters!$1:$1,0)+1,FALSE)</f>
        <v>思想家 ストール</v>
      </c>
      <c r="C58" s="93">
        <f ca="1">VLOOKUP($A58,OFFSET(fork_awake_units!$A$1,0,0,COUNTA(fork_awake_units!$A:$A),MATCH(C$1,fork_awake_units!$1:$1,0)-MATCH($A$1,fork_awake_units!$1:$1,0)+1),MATCH(C$1,fork_awake_units!$1:$1,0)-MATCH($A$1,fork_awake_units!$1:$1,0)+1,FALSE)</f>
        <v>70</v>
      </c>
      <c r="D58" s="3" t="str">
        <f ca="1">VLOOKUP($C58,OFFSET([2]characters!$A$1,0,0,COUNTA([2]characters!$A:$A),MATCH(D$1,[2]characters!$1:$1,0)-MATCH($A$1,[2]characters!$1:$1,0)+1),MATCH(D$1,[2]characters!$1:$1,0)-MATCH($A$1,[2]characters!$1:$1,0)+1,FALSE)</f>
        <v>自由の思想家 ストール</v>
      </c>
      <c r="E58" s="66">
        <v>105</v>
      </c>
      <c r="F58" s="3" t="str">
        <f ca="1">VLOOKUP($E58,OFFSET([2]characters!$A$1,0,0,COUNTA([2]characters!$A:$A),MATCH(F$1,[2]characters!$1:$1,0)-MATCH($A$1,[2]characters!$1:$1,0)+1),MATCH(F$1,[2]characters!$1:$1,0)-MATCH($A$1,[2]characters!$1:$1,0)+1,FALSE)</f>
        <v>グリーンチェシャ</v>
      </c>
      <c r="G58" s="66">
        <v>2</v>
      </c>
      <c r="H58" s="66">
        <v>1</v>
      </c>
      <c r="I58" s="66">
        <v>1</v>
      </c>
    </row>
    <row r="59" spans="1:9" x14ac:dyDescent="0.15">
      <c r="A59" s="66">
        <v>69</v>
      </c>
      <c r="B59" s="3" t="str">
        <f ca="1">VLOOKUP($A59,OFFSET([2]characters!$A$1,0,0,COUNTA([2]characters!$A:$A),MATCH(B$1,[2]characters!$1:$1,0)-MATCH($A$1,[2]characters!$1:$1,0)+1),MATCH(B$1,[2]characters!$1:$1,0)-MATCH($A$1,[2]characters!$1:$1,0)+1,FALSE)</f>
        <v>思想家 ストール</v>
      </c>
      <c r="C59" s="93">
        <f ca="1">VLOOKUP($A59,OFFSET(fork_awake_units!$A$1,0,0,COUNTA(fork_awake_units!$A:$A),MATCH(C$1,fork_awake_units!$1:$1,0)-MATCH($A$1,fork_awake_units!$1:$1,0)+1),MATCH(C$1,fork_awake_units!$1:$1,0)-MATCH($A$1,fork_awake_units!$1:$1,0)+1,FALSE)</f>
        <v>70</v>
      </c>
      <c r="D59" s="3" t="str">
        <f ca="1">VLOOKUP($C59,OFFSET([2]characters!$A$1,0,0,COUNTA([2]characters!$A:$A),MATCH(D$1,[2]characters!$1:$1,0)-MATCH($A$1,[2]characters!$1:$1,0)+1),MATCH(D$1,[2]characters!$1:$1,0)-MATCH($A$1,[2]characters!$1:$1,0)+1,FALSE)</f>
        <v>自由の思想家 ストール</v>
      </c>
      <c r="E59" s="66">
        <v>107</v>
      </c>
      <c r="F59" s="3" t="str">
        <f ca="1">VLOOKUP($E59,OFFSET([2]characters!$A$1,0,0,COUNTA([2]characters!$A:$A),MATCH(F$1,[2]characters!$1:$1,0)-MATCH($A$1,[2]characters!$1:$1,0)+1),MATCH(F$1,[2]characters!$1:$1,0)-MATCH($A$1,[2]characters!$1:$1,0)+1,FALSE)</f>
        <v>グリーンキャタップ</v>
      </c>
      <c r="G59" s="66">
        <v>1</v>
      </c>
      <c r="H59" s="66">
        <v>1</v>
      </c>
      <c r="I59" s="66">
        <v>1</v>
      </c>
    </row>
    <row r="60" spans="1:9" x14ac:dyDescent="0.15">
      <c r="A60" s="66">
        <v>71</v>
      </c>
      <c r="B60" s="3" t="str">
        <f ca="1">VLOOKUP($A60,OFFSET([2]characters!$A$1,0,0,COUNTA([2]characters!$A:$A),MATCH(B$1,[2]characters!$1:$1,0)-MATCH($A$1,[2]characters!$1:$1,0)+1),MATCH(B$1,[2]characters!$1:$1,0)-MATCH($A$1,[2]characters!$1:$1,0)+1,FALSE)</f>
        <v>ダックス</v>
      </c>
      <c r="C60" s="93">
        <f ca="1">VLOOKUP($A60,OFFSET(fork_awake_units!$A$1,0,0,COUNTA(fork_awake_units!$A:$A),MATCH(C$1,fork_awake_units!$1:$1,0)-MATCH($A$1,fork_awake_units!$1:$1,0)+1),MATCH(C$1,fork_awake_units!$1:$1,0)-MATCH($A$1,fork_awake_units!$1:$1,0)+1,FALSE)</f>
        <v>72</v>
      </c>
      <c r="D60" s="3" t="str">
        <f ca="1">VLOOKUP($C60,OFFSET([2]characters!$A$1,0,0,COUNTA([2]characters!$A:$A),MATCH(D$1,[2]characters!$1:$1,0)-MATCH($A$1,[2]characters!$1:$1,0)+1),MATCH(D$1,[2]characters!$1:$1,0)-MATCH($A$1,[2]characters!$1:$1,0)+1,FALSE)</f>
        <v>探求者 ダックス</v>
      </c>
      <c r="E60" s="66">
        <v>109</v>
      </c>
      <c r="F60" s="3" t="str">
        <f ca="1">VLOOKUP($E60,OFFSET([2]characters!$A$1,0,0,COUNTA([2]characters!$A:$A),MATCH(F$1,[2]characters!$1:$1,0)-MATCH($A$1,[2]characters!$1:$1,0)+1),MATCH(F$1,[2]characters!$1:$1,0)-MATCH($A$1,[2]characters!$1:$1,0)+1,FALSE)</f>
        <v>ブルーチェシャ</v>
      </c>
      <c r="G60" s="66">
        <v>1</v>
      </c>
      <c r="H60" s="66">
        <v>1</v>
      </c>
      <c r="I60" s="66">
        <v>1</v>
      </c>
    </row>
    <row r="61" spans="1:9" x14ac:dyDescent="0.15">
      <c r="A61" s="66">
        <v>71</v>
      </c>
      <c r="B61" s="3" t="str">
        <f ca="1">VLOOKUP($A61,OFFSET([2]characters!$A$1,0,0,COUNTA([2]characters!$A:$A),MATCH(B$1,[2]characters!$1:$1,0)-MATCH($A$1,[2]characters!$1:$1,0)+1),MATCH(B$1,[2]characters!$1:$1,0)-MATCH($A$1,[2]characters!$1:$1,0)+1,FALSE)</f>
        <v>ダックス</v>
      </c>
      <c r="C61" s="93">
        <f ca="1">VLOOKUP($A61,OFFSET(fork_awake_units!$A$1,0,0,COUNTA(fork_awake_units!$A:$A),MATCH(C$1,fork_awake_units!$1:$1,0)-MATCH($A$1,fork_awake_units!$1:$1,0)+1),MATCH(C$1,fork_awake_units!$1:$1,0)-MATCH($A$1,fork_awake_units!$1:$1,0)+1,FALSE)</f>
        <v>72</v>
      </c>
      <c r="D61" s="3" t="str">
        <f ca="1">VLOOKUP($C61,OFFSET([2]characters!$A$1,0,0,COUNTA([2]characters!$A:$A),MATCH(D$1,[2]characters!$1:$1,0)-MATCH($A$1,[2]characters!$1:$1,0)+1),MATCH(D$1,[2]characters!$1:$1,0)-MATCH($A$1,[2]characters!$1:$1,0)+1,FALSE)</f>
        <v>探求者 ダックス</v>
      </c>
      <c r="E61" s="66">
        <v>110</v>
      </c>
      <c r="F61" s="3" t="str">
        <f ca="1">VLOOKUP($E61,OFFSET([2]characters!$A$1,0,0,COUNTA([2]characters!$A:$A),MATCH(F$1,[2]characters!$1:$1,0)-MATCH($A$1,[2]characters!$1:$1,0)+1),MATCH(F$1,[2]characters!$1:$1,0)-MATCH($A$1,[2]characters!$1:$1,0)+1,FALSE)</f>
        <v>ブルーラビット</v>
      </c>
      <c r="G61" s="66">
        <v>2</v>
      </c>
      <c r="H61" s="66">
        <v>1</v>
      </c>
      <c r="I61" s="66">
        <v>1</v>
      </c>
    </row>
    <row r="62" spans="1:9" x14ac:dyDescent="0.15">
      <c r="A62" s="66">
        <v>72</v>
      </c>
      <c r="B62" s="3" t="str">
        <f ca="1">VLOOKUP($A62,OFFSET([2]characters!$A$1,0,0,COUNTA([2]characters!$A:$A),MATCH(B$1,[2]characters!$1:$1,0)-MATCH($A$1,[2]characters!$1:$1,0)+1),MATCH(B$1,[2]characters!$1:$1,0)-MATCH($A$1,[2]characters!$1:$1,0)+1,FALSE)</f>
        <v>探求者 ダックス</v>
      </c>
      <c r="C62" s="93">
        <f ca="1">VLOOKUP($A62,OFFSET(fork_awake_units!$A$1,0,0,COUNTA(fork_awake_units!$A:$A),MATCH(C$1,fork_awake_units!$1:$1,0)-MATCH($A$1,fork_awake_units!$1:$1,0)+1),MATCH(C$1,fork_awake_units!$1:$1,0)-MATCH($A$1,fork_awake_units!$1:$1,0)+1,FALSE)</f>
        <v>73</v>
      </c>
      <c r="D62" s="3" t="str">
        <f ca="1">VLOOKUP($C62,OFFSET([2]characters!$A$1,0,0,COUNTA([2]characters!$A:$A),MATCH(D$1,[2]characters!$1:$1,0)-MATCH($A$1,[2]characters!$1:$1,0)+1),MATCH(D$1,[2]characters!$1:$1,0)-MATCH($A$1,[2]characters!$1:$1,0)+1,FALSE)</f>
        <v>自由の探求者 ダックス</v>
      </c>
      <c r="E62" s="66">
        <v>109</v>
      </c>
      <c r="F62" s="3" t="str">
        <f ca="1">VLOOKUP($E62,OFFSET([2]characters!$A$1,0,0,COUNTA([2]characters!$A:$A),MATCH(F$1,[2]characters!$1:$1,0)-MATCH($A$1,[2]characters!$1:$1,0)+1),MATCH(F$1,[2]characters!$1:$1,0)-MATCH($A$1,[2]characters!$1:$1,0)+1,FALSE)</f>
        <v>ブルーチェシャ</v>
      </c>
      <c r="G62" s="66">
        <v>2</v>
      </c>
      <c r="H62" s="66">
        <v>1</v>
      </c>
      <c r="I62" s="66">
        <v>1</v>
      </c>
    </row>
    <row r="63" spans="1:9" x14ac:dyDescent="0.15">
      <c r="A63" s="66">
        <v>72</v>
      </c>
      <c r="B63" s="3" t="str">
        <f ca="1">VLOOKUP($A63,OFFSET([2]characters!$A$1,0,0,COUNTA([2]characters!$A:$A),MATCH(B$1,[2]characters!$1:$1,0)-MATCH($A$1,[2]characters!$1:$1,0)+1),MATCH(B$1,[2]characters!$1:$1,0)-MATCH($A$1,[2]characters!$1:$1,0)+1,FALSE)</f>
        <v>探求者 ダックス</v>
      </c>
      <c r="C63" s="93">
        <f ca="1">VLOOKUP($A63,OFFSET(fork_awake_units!$A$1,0,0,COUNTA(fork_awake_units!$A:$A),MATCH(C$1,fork_awake_units!$1:$1,0)-MATCH($A$1,fork_awake_units!$1:$1,0)+1),MATCH(C$1,fork_awake_units!$1:$1,0)-MATCH($A$1,fork_awake_units!$1:$1,0)+1,FALSE)</f>
        <v>73</v>
      </c>
      <c r="D63" s="3" t="str">
        <f ca="1">VLOOKUP($C63,OFFSET([2]characters!$A$1,0,0,COUNTA([2]characters!$A:$A),MATCH(D$1,[2]characters!$1:$1,0)-MATCH($A$1,[2]characters!$1:$1,0)+1),MATCH(D$1,[2]characters!$1:$1,0)-MATCH($A$1,[2]characters!$1:$1,0)+1,FALSE)</f>
        <v>自由の探求者 ダックス</v>
      </c>
      <c r="E63" s="66">
        <v>111</v>
      </c>
      <c r="F63" s="3" t="str">
        <f ca="1">VLOOKUP($E63,OFFSET([2]characters!$A$1,0,0,COUNTA([2]characters!$A:$A),MATCH(F$1,[2]characters!$1:$1,0)-MATCH($A$1,[2]characters!$1:$1,0)+1),MATCH(F$1,[2]characters!$1:$1,0)-MATCH($A$1,[2]characters!$1:$1,0)+1,FALSE)</f>
        <v>ブルーキャタップ</v>
      </c>
      <c r="G63" s="66">
        <v>1</v>
      </c>
      <c r="H63" s="66">
        <v>1</v>
      </c>
      <c r="I63" s="66">
        <v>1</v>
      </c>
    </row>
    <row r="64" spans="1:9" x14ac:dyDescent="0.15">
      <c r="A64" s="66">
        <v>74</v>
      </c>
      <c r="B64" s="3" t="str">
        <f ca="1">VLOOKUP($A64,OFFSET([2]characters!$A$1,0,0,COUNTA([2]characters!$A:$A),MATCH(B$1,[2]characters!$1:$1,0)-MATCH($A$1,[2]characters!$1:$1,0)+1),MATCH(B$1,[2]characters!$1:$1,0)-MATCH($A$1,[2]characters!$1:$1,0)+1,FALSE)</f>
        <v>サンダーバード</v>
      </c>
      <c r="C64" s="93">
        <f ca="1">VLOOKUP($A64,OFFSET(fork_awake_units!$A$1,0,0,COUNTA(fork_awake_units!$A:$A),MATCH(C$1,fork_awake_units!$1:$1,0)-MATCH($A$1,fork_awake_units!$1:$1,0)+1),MATCH(C$1,fork_awake_units!$1:$1,0)-MATCH($A$1,fork_awake_units!$1:$1,0)+1,FALSE)</f>
        <v>75</v>
      </c>
      <c r="D64" s="3" t="str">
        <f ca="1">VLOOKUP($C64,OFFSET([2]characters!$A$1,0,0,COUNTA([2]characters!$A:$A),MATCH(D$1,[2]characters!$1:$1,0)-MATCH($A$1,[2]characters!$1:$1,0)+1),MATCH(D$1,[2]characters!$1:$1,0)-MATCH($A$1,[2]characters!$1:$1,0)+1,FALSE)</f>
        <v>伝令者 サンダーバード</v>
      </c>
      <c r="E64" s="66">
        <v>113</v>
      </c>
      <c r="F64" s="3" t="str">
        <f ca="1">VLOOKUP($E64,OFFSET([2]characters!$A$1,0,0,COUNTA([2]characters!$A:$A),MATCH(F$1,[2]characters!$1:$1,0)-MATCH($A$1,[2]characters!$1:$1,0)+1),MATCH(F$1,[2]characters!$1:$1,0)-MATCH($A$1,[2]characters!$1:$1,0)+1,FALSE)</f>
        <v>イエローチェシャ</v>
      </c>
      <c r="G64" s="66">
        <v>1</v>
      </c>
      <c r="H64" s="66">
        <v>1</v>
      </c>
      <c r="I64" s="66">
        <v>1</v>
      </c>
    </row>
    <row r="65" spans="1:9" x14ac:dyDescent="0.15">
      <c r="A65" s="66">
        <v>74</v>
      </c>
      <c r="B65" s="3" t="str">
        <f ca="1">VLOOKUP($A65,OFFSET([2]characters!$A$1,0,0,COUNTA([2]characters!$A:$A),MATCH(B$1,[2]characters!$1:$1,0)-MATCH($A$1,[2]characters!$1:$1,0)+1),MATCH(B$1,[2]characters!$1:$1,0)-MATCH($A$1,[2]characters!$1:$1,0)+1,FALSE)</f>
        <v>サンダーバード</v>
      </c>
      <c r="C65" s="93">
        <f ca="1">VLOOKUP($A65,OFFSET(fork_awake_units!$A$1,0,0,COUNTA(fork_awake_units!$A:$A),MATCH(C$1,fork_awake_units!$1:$1,0)-MATCH($A$1,fork_awake_units!$1:$1,0)+1),MATCH(C$1,fork_awake_units!$1:$1,0)-MATCH($A$1,fork_awake_units!$1:$1,0)+1,FALSE)</f>
        <v>75</v>
      </c>
      <c r="D65" s="3" t="str">
        <f ca="1">VLOOKUP($C65,OFFSET([2]characters!$A$1,0,0,COUNTA([2]characters!$A:$A),MATCH(D$1,[2]characters!$1:$1,0)-MATCH($A$1,[2]characters!$1:$1,0)+1),MATCH(D$1,[2]characters!$1:$1,0)-MATCH($A$1,[2]characters!$1:$1,0)+1,FALSE)</f>
        <v>伝令者 サンダーバード</v>
      </c>
      <c r="E65" s="66">
        <v>114</v>
      </c>
      <c r="F65" s="3" t="str">
        <f ca="1">VLOOKUP($E65,OFFSET([2]characters!$A$1,0,0,COUNTA([2]characters!$A:$A),MATCH(F$1,[2]characters!$1:$1,0)-MATCH($A$1,[2]characters!$1:$1,0)+1),MATCH(F$1,[2]characters!$1:$1,0)-MATCH($A$1,[2]characters!$1:$1,0)+1,FALSE)</f>
        <v>イエローラビット</v>
      </c>
      <c r="G65" s="66">
        <v>2</v>
      </c>
      <c r="H65" s="66">
        <v>1</v>
      </c>
      <c r="I65" s="66">
        <v>1</v>
      </c>
    </row>
    <row r="66" spans="1:9" x14ac:dyDescent="0.15">
      <c r="A66" s="66">
        <v>75</v>
      </c>
      <c r="B66" s="3" t="str">
        <f ca="1">VLOOKUP($A66,OFFSET([2]characters!$A$1,0,0,COUNTA([2]characters!$A:$A),MATCH(B$1,[2]characters!$1:$1,0)-MATCH($A$1,[2]characters!$1:$1,0)+1),MATCH(B$1,[2]characters!$1:$1,0)-MATCH($A$1,[2]characters!$1:$1,0)+1,FALSE)</f>
        <v>伝令者 サンダーバード</v>
      </c>
      <c r="C66" s="93">
        <f ca="1">VLOOKUP($A66,OFFSET(fork_awake_units!$A$1,0,0,COUNTA(fork_awake_units!$A:$A),MATCH(C$1,fork_awake_units!$1:$1,0)-MATCH($A$1,fork_awake_units!$1:$1,0)+1),MATCH(C$1,fork_awake_units!$1:$1,0)-MATCH($A$1,fork_awake_units!$1:$1,0)+1,FALSE)</f>
        <v>76</v>
      </c>
      <c r="D66" s="3" t="str">
        <f ca="1">VLOOKUP($C66,OFFSET([2]characters!$A$1,0,0,COUNTA([2]characters!$A:$A),MATCH(D$1,[2]characters!$1:$1,0)-MATCH($A$1,[2]characters!$1:$1,0)+1),MATCH(D$1,[2]characters!$1:$1,0)-MATCH($A$1,[2]characters!$1:$1,0)+1,FALSE)</f>
        <v>閃速の伝令者 サンダーバード</v>
      </c>
      <c r="E66" s="66">
        <v>113</v>
      </c>
      <c r="F66" s="3" t="str">
        <f ca="1">VLOOKUP($E66,OFFSET([2]characters!$A$1,0,0,COUNTA([2]characters!$A:$A),MATCH(F$1,[2]characters!$1:$1,0)-MATCH($A$1,[2]characters!$1:$1,0)+1),MATCH(F$1,[2]characters!$1:$1,0)-MATCH($A$1,[2]characters!$1:$1,0)+1,FALSE)</f>
        <v>イエローチェシャ</v>
      </c>
      <c r="G66" s="66">
        <v>2</v>
      </c>
      <c r="H66" s="66">
        <v>1</v>
      </c>
      <c r="I66" s="66">
        <v>1</v>
      </c>
    </row>
    <row r="67" spans="1:9" x14ac:dyDescent="0.15">
      <c r="A67" s="66">
        <v>75</v>
      </c>
      <c r="B67" s="3" t="str">
        <f ca="1">VLOOKUP($A67,OFFSET([2]characters!$A$1,0,0,COUNTA([2]characters!$A:$A),MATCH(B$1,[2]characters!$1:$1,0)-MATCH($A$1,[2]characters!$1:$1,0)+1),MATCH(B$1,[2]characters!$1:$1,0)-MATCH($A$1,[2]characters!$1:$1,0)+1,FALSE)</f>
        <v>伝令者 サンダーバード</v>
      </c>
      <c r="C67" s="93">
        <f ca="1">VLOOKUP($A67,OFFSET(fork_awake_units!$A$1,0,0,COUNTA(fork_awake_units!$A:$A),MATCH(C$1,fork_awake_units!$1:$1,0)-MATCH($A$1,fork_awake_units!$1:$1,0)+1),MATCH(C$1,fork_awake_units!$1:$1,0)-MATCH($A$1,fork_awake_units!$1:$1,0)+1,FALSE)</f>
        <v>76</v>
      </c>
      <c r="D67" s="3" t="str">
        <f ca="1">VLOOKUP($C67,OFFSET([2]characters!$A$1,0,0,COUNTA([2]characters!$A:$A),MATCH(D$1,[2]characters!$1:$1,0)-MATCH($A$1,[2]characters!$1:$1,0)+1),MATCH(D$1,[2]characters!$1:$1,0)-MATCH($A$1,[2]characters!$1:$1,0)+1,FALSE)</f>
        <v>閃速の伝令者 サンダーバード</v>
      </c>
      <c r="E67" s="66">
        <v>115</v>
      </c>
      <c r="F67" s="3" t="str">
        <f ca="1">VLOOKUP($E67,OFFSET([2]characters!$A$1,0,0,COUNTA([2]characters!$A:$A),MATCH(F$1,[2]characters!$1:$1,0)-MATCH($A$1,[2]characters!$1:$1,0)+1),MATCH(F$1,[2]characters!$1:$1,0)-MATCH($A$1,[2]characters!$1:$1,0)+1,FALSE)</f>
        <v>イエローキャタップ</v>
      </c>
      <c r="G67" s="66">
        <v>1</v>
      </c>
      <c r="H67" s="66">
        <v>1</v>
      </c>
      <c r="I67" s="66">
        <v>1</v>
      </c>
    </row>
    <row r="68" spans="1:9" x14ac:dyDescent="0.15">
      <c r="A68" s="66">
        <v>77</v>
      </c>
      <c r="B68" s="3" t="str">
        <f ca="1">VLOOKUP($A68,OFFSET([2]characters!$A$1,0,0,COUNTA([2]characters!$A:$A),MATCH(B$1,[2]characters!$1:$1,0)-MATCH($A$1,[2]characters!$1:$1,0)+1),MATCH(B$1,[2]characters!$1:$1,0)-MATCH($A$1,[2]characters!$1:$1,0)+1,FALSE)</f>
        <v>潜伏型メリッサ</v>
      </c>
      <c r="C68" s="93">
        <f ca="1">VLOOKUP($A68,OFFSET(fork_awake_units!$A$1,0,0,COUNTA(fork_awake_units!$A:$A),MATCH(C$1,fork_awake_units!$1:$1,0)-MATCH($A$1,fork_awake_units!$1:$1,0)+1),MATCH(C$1,fork_awake_units!$1:$1,0)-MATCH($A$1,fork_awake_units!$1:$1,0)+1,FALSE)</f>
        <v>78</v>
      </c>
      <c r="D68" s="3" t="str">
        <f ca="1">VLOOKUP($C68,OFFSET([2]characters!$A$1,0,0,COUNTA([2]characters!$A:$A),MATCH(D$1,[2]characters!$1:$1,0)-MATCH($A$1,[2]characters!$1:$1,0)+1),MATCH(D$1,[2]characters!$1:$1,0)-MATCH($A$1,[2]characters!$1:$1,0)+1,FALSE)</f>
        <v>擬態潜伏型メリッサ2.0</v>
      </c>
      <c r="E68" s="66">
        <v>101</v>
      </c>
      <c r="F68" s="3" t="str">
        <f ca="1">VLOOKUP($E68,OFFSET([2]characters!$A$1,0,0,COUNTA([2]characters!$A:$A),MATCH(F$1,[2]characters!$1:$1,0)-MATCH($A$1,[2]characters!$1:$1,0)+1),MATCH(F$1,[2]characters!$1:$1,0)-MATCH($A$1,[2]characters!$1:$1,0)+1,FALSE)</f>
        <v>レッドチェシャ</v>
      </c>
      <c r="G68" s="66">
        <v>3</v>
      </c>
      <c r="H68" s="66">
        <v>1</v>
      </c>
      <c r="I68" s="66">
        <v>1</v>
      </c>
    </row>
    <row r="69" spans="1:9" x14ac:dyDescent="0.15">
      <c r="A69" s="66">
        <v>77</v>
      </c>
      <c r="B69" s="3" t="str">
        <f ca="1">VLOOKUP($A69,OFFSET([2]characters!$A$1,0,0,COUNTA([2]characters!$A:$A),MATCH(B$1,[2]characters!$1:$1,0)-MATCH($A$1,[2]characters!$1:$1,0)+1),MATCH(B$1,[2]characters!$1:$1,0)-MATCH($A$1,[2]characters!$1:$1,0)+1,FALSE)</f>
        <v>潜伏型メリッサ</v>
      </c>
      <c r="C69" s="93">
        <f ca="1">VLOOKUP($A69,OFFSET(fork_awake_units!$A$1,0,0,COUNTA(fork_awake_units!$A:$A),MATCH(C$1,fork_awake_units!$1:$1,0)-MATCH($A$1,fork_awake_units!$1:$1,0)+1),MATCH(C$1,fork_awake_units!$1:$1,0)-MATCH($A$1,fork_awake_units!$1:$1,0)+1,FALSE)</f>
        <v>78</v>
      </c>
      <c r="D69" s="3" t="str">
        <f ca="1">VLOOKUP($C69,OFFSET([2]characters!$A$1,0,0,COUNTA([2]characters!$A:$A),MATCH(D$1,[2]characters!$1:$1,0)-MATCH($A$1,[2]characters!$1:$1,0)+1),MATCH(D$1,[2]characters!$1:$1,0)-MATCH($A$1,[2]characters!$1:$1,0)+1,FALSE)</f>
        <v>擬態潜伏型メリッサ2.0</v>
      </c>
      <c r="E69" s="66">
        <v>102</v>
      </c>
      <c r="F69" s="3" t="str">
        <f ca="1">VLOOKUP($E69,OFFSET([2]characters!$A$1,0,0,COUNTA([2]characters!$A:$A),MATCH(F$1,[2]characters!$1:$1,0)-MATCH($A$1,[2]characters!$1:$1,0)+1),MATCH(F$1,[2]characters!$1:$1,0)-MATCH($A$1,[2]characters!$1:$1,0)+1,FALSE)</f>
        <v>レッドラビット</v>
      </c>
      <c r="G69" s="66">
        <v>1</v>
      </c>
      <c r="H69" s="66">
        <v>1</v>
      </c>
      <c r="I69" s="66">
        <v>1</v>
      </c>
    </row>
    <row r="70" spans="1:9" x14ac:dyDescent="0.15">
      <c r="A70" s="66">
        <v>77</v>
      </c>
      <c r="B70" s="3" t="str">
        <f ca="1">VLOOKUP($A70,OFFSET([2]characters!$A$1,0,0,COUNTA([2]characters!$A:$A),MATCH(B$1,[2]characters!$1:$1,0)-MATCH($A$1,[2]characters!$1:$1,0)+1),MATCH(B$1,[2]characters!$1:$1,0)-MATCH($A$1,[2]characters!$1:$1,0)+1,FALSE)</f>
        <v>潜伏型メリッサ</v>
      </c>
      <c r="C70" s="93">
        <f ca="1">VLOOKUP($A70,OFFSET(fork_awake_units!$A$1,0,0,COUNTA(fork_awake_units!$A:$A),MATCH(C$1,fork_awake_units!$1:$1,0)-MATCH($A$1,fork_awake_units!$1:$1,0)+1),MATCH(C$1,fork_awake_units!$1:$1,0)-MATCH($A$1,fork_awake_units!$1:$1,0)+1,FALSE)</f>
        <v>78</v>
      </c>
      <c r="D70" s="3" t="str">
        <f ca="1">VLOOKUP($C70,OFFSET([2]characters!$A$1,0,0,COUNTA([2]characters!$A:$A),MATCH(D$1,[2]characters!$1:$1,0)-MATCH($A$1,[2]characters!$1:$1,0)+1),MATCH(D$1,[2]characters!$1:$1,0)-MATCH($A$1,[2]characters!$1:$1,0)+1,FALSE)</f>
        <v>擬態潜伏型メリッサ2.0</v>
      </c>
      <c r="E70" s="66">
        <v>103</v>
      </c>
      <c r="F70" s="3" t="str">
        <f ca="1">VLOOKUP($E70,OFFSET([2]characters!$A$1,0,0,COUNTA([2]characters!$A:$A),MATCH(F$1,[2]characters!$1:$1,0)-MATCH($A$1,[2]characters!$1:$1,0)+1),MATCH(F$1,[2]characters!$1:$1,0)-MATCH($A$1,[2]characters!$1:$1,0)+1,FALSE)</f>
        <v>レッドキャタップ</v>
      </c>
      <c r="G70" s="66">
        <v>1</v>
      </c>
      <c r="H70" s="66">
        <v>1</v>
      </c>
      <c r="I70" s="66">
        <v>1</v>
      </c>
    </row>
    <row r="71" spans="1:9" x14ac:dyDescent="0.15">
      <c r="A71" s="66">
        <v>79</v>
      </c>
      <c r="B71" s="3" t="str">
        <f ca="1">VLOOKUP($A71,OFFSET([2]characters!$A$1,0,0,COUNTA([2]characters!$A:$A),MATCH(B$1,[2]characters!$1:$1,0)-MATCH($A$1,[2]characters!$1:$1,0)+1),MATCH(B$1,[2]characters!$1:$1,0)-MATCH($A$1,[2]characters!$1:$1,0)+1,FALSE)</f>
        <v>ハッピー100</v>
      </c>
      <c r="C71" s="93">
        <f ca="1">VLOOKUP($A71,OFFSET(fork_awake_units!$A$1,0,0,COUNTA(fork_awake_units!$A:$A),MATCH(C$1,fork_awake_units!$1:$1,0)-MATCH($A$1,fork_awake_units!$1:$1,0)+1),MATCH(C$1,fork_awake_units!$1:$1,0)-MATCH($A$1,fork_awake_units!$1:$1,0)+1,FALSE)</f>
        <v>80</v>
      </c>
      <c r="D71" s="3" t="str">
        <f ca="1">VLOOKUP($C71,OFFSET([2]characters!$A$1,0,0,COUNTA([2]characters!$A:$A),MATCH(D$1,[2]characters!$1:$1,0)-MATCH($A$1,[2]characters!$1:$1,0)+1),MATCH(D$1,[2]characters!$1:$1,0)-MATCH($A$1,[2]characters!$1:$1,0)+1,FALSE)</f>
        <v>ハッピー101</v>
      </c>
      <c r="E71" s="66">
        <v>107</v>
      </c>
      <c r="F71" s="3" t="str">
        <f ca="1">VLOOKUP($E71,OFFSET([2]characters!$A$1,0,0,COUNTA([2]characters!$A:$A),MATCH(F$1,[2]characters!$1:$1,0)-MATCH($A$1,[2]characters!$1:$1,0)+1),MATCH(F$1,[2]characters!$1:$1,0)-MATCH($A$1,[2]characters!$1:$1,0)+1,FALSE)</f>
        <v>グリーンキャタップ</v>
      </c>
      <c r="G71" s="66">
        <v>1</v>
      </c>
      <c r="H71" s="66">
        <v>1</v>
      </c>
      <c r="I71" s="66">
        <v>1</v>
      </c>
    </row>
    <row r="72" spans="1:9" x14ac:dyDescent="0.15">
      <c r="A72" s="66">
        <v>81</v>
      </c>
      <c r="B72" s="3" t="str">
        <f ca="1">VLOOKUP($A72,OFFSET([2]characters!$A$1,0,0,COUNTA([2]characters!$A:$A),MATCH(B$1,[2]characters!$1:$1,0)-MATCH($A$1,[2]characters!$1:$1,0)+1),MATCH(B$1,[2]characters!$1:$1,0)-MATCH($A$1,[2]characters!$1:$1,0)+1,FALSE)</f>
        <v>増幅型モリス</v>
      </c>
      <c r="C72" s="93">
        <f ca="1">VLOOKUP($A72,OFFSET(fork_awake_units!$A$1,0,0,COUNTA(fork_awake_units!$A:$A),MATCH(C$1,fork_awake_units!$1:$1,0)-MATCH($A$1,fork_awake_units!$1:$1,0)+1),MATCH(C$1,fork_awake_units!$1:$1,0)-MATCH($A$1,fork_awake_units!$1:$1,0)+1,FALSE)</f>
        <v>82</v>
      </c>
      <c r="D72" s="3" t="str">
        <f ca="1">VLOOKUP($C72,OFFSET([2]characters!$A$1,0,0,COUNTA([2]characters!$A:$A),MATCH(D$1,[2]characters!$1:$1,0)-MATCH($A$1,[2]characters!$1:$1,0)+1),MATCH(D$1,[2]characters!$1:$1,0)-MATCH($A$1,[2]characters!$1:$1,0)+1,FALSE)</f>
        <v>偽装増幅型G・モリス</v>
      </c>
      <c r="E72" s="66">
        <v>109</v>
      </c>
      <c r="F72" s="3" t="str">
        <f ca="1">VLOOKUP($E72,OFFSET([2]characters!$A$1,0,0,COUNTA([2]characters!$A:$A),MATCH(F$1,[2]characters!$1:$1,0)-MATCH($A$1,[2]characters!$1:$1,0)+1),MATCH(F$1,[2]characters!$1:$1,0)-MATCH($A$1,[2]characters!$1:$1,0)+1,FALSE)</f>
        <v>ブルーチェシャ</v>
      </c>
      <c r="G72" s="66">
        <v>3</v>
      </c>
      <c r="H72" s="66">
        <v>1</v>
      </c>
      <c r="I72" s="66">
        <v>1</v>
      </c>
    </row>
    <row r="73" spans="1:9" x14ac:dyDescent="0.15">
      <c r="A73" s="66">
        <v>81</v>
      </c>
      <c r="B73" s="3" t="str">
        <f ca="1">VLOOKUP($A73,OFFSET([2]characters!$A$1,0,0,COUNTA([2]characters!$A:$A),MATCH(B$1,[2]characters!$1:$1,0)-MATCH($A$1,[2]characters!$1:$1,0)+1),MATCH(B$1,[2]characters!$1:$1,0)-MATCH($A$1,[2]characters!$1:$1,0)+1,FALSE)</f>
        <v>増幅型モリス</v>
      </c>
      <c r="C73" s="93">
        <f ca="1">VLOOKUP($A73,OFFSET(fork_awake_units!$A$1,0,0,COUNTA(fork_awake_units!$A:$A),MATCH(C$1,fork_awake_units!$1:$1,0)-MATCH($A$1,fork_awake_units!$1:$1,0)+1),MATCH(C$1,fork_awake_units!$1:$1,0)-MATCH($A$1,fork_awake_units!$1:$1,0)+1,FALSE)</f>
        <v>82</v>
      </c>
      <c r="D73" s="3" t="str">
        <f ca="1">VLOOKUP($C73,OFFSET([2]characters!$A$1,0,0,COUNTA([2]characters!$A:$A),MATCH(D$1,[2]characters!$1:$1,0)-MATCH($A$1,[2]characters!$1:$1,0)+1),MATCH(D$1,[2]characters!$1:$1,0)-MATCH($A$1,[2]characters!$1:$1,0)+1,FALSE)</f>
        <v>偽装増幅型G・モリス</v>
      </c>
      <c r="E73" s="66">
        <v>110</v>
      </c>
      <c r="F73" s="3" t="str">
        <f ca="1">VLOOKUP($E73,OFFSET([2]characters!$A$1,0,0,COUNTA([2]characters!$A:$A),MATCH(F$1,[2]characters!$1:$1,0)-MATCH($A$1,[2]characters!$1:$1,0)+1),MATCH(F$1,[2]characters!$1:$1,0)-MATCH($A$1,[2]characters!$1:$1,0)+1,FALSE)</f>
        <v>ブルーラビット</v>
      </c>
      <c r="G73" s="66">
        <v>1</v>
      </c>
      <c r="H73" s="66">
        <v>1</v>
      </c>
      <c r="I73" s="66">
        <v>1</v>
      </c>
    </row>
    <row r="74" spans="1:9" x14ac:dyDescent="0.15">
      <c r="A74" s="66">
        <v>81</v>
      </c>
      <c r="B74" s="3" t="str">
        <f ca="1">VLOOKUP($A74,OFFSET([2]characters!$A$1,0,0,COUNTA([2]characters!$A:$A),MATCH(B$1,[2]characters!$1:$1,0)-MATCH($A$1,[2]characters!$1:$1,0)+1),MATCH(B$1,[2]characters!$1:$1,0)-MATCH($A$1,[2]characters!$1:$1,0)+1,FALSE)</f>
        <v>増幅型モリス</v>
      </c>
      <c r="C74" s="93">
        <f ca="1">VLOOKUP($A74,OFFSET(fork_awake_units!$A$1,0,0,COUNTA(fork_awake_units!$A:$A),MATCH(C$1,fork_awake_units!$1:$1,0)-MATCH($A$1,fork_awake_units!$1:$1,0)+1),MATCH(C$1,fork_awake_units!$1:$1,0)-MATCH($A$1,fork_awake_units!$1:$1,0)+1,FALSE)</f>
        <v>82</v>
      </c>
      <c r="D74" s="3" t="str">
        <f ca="1">VLOOKUP($C74,OFFSET([2]characters!$A$1,0,0,COUNTA([2]characters!$A:$A),MATCH(D$1,[2]characters!$1:$1,0)-MATCH($A$1,[2]characters!$1:$1,0)+1),MATCH(D$1,[2]characters!$1:$1,0)-MATCH($A$1,[2]characters!$1:$1,0)+1,FALSE)</f>
        <v>偽装増幅型G・モリス</v>
      </c>
      <c r="E74" s="66">
        <v>111</v>
      </c>
      <c r="F74" s="3" t="str">
        <f ca="1">VLOOKUP($E74,OFFSET([2]characters!$A$1,0,0,COUNTA([2]characters!$A:$A),MATCH(F$1,[2]characters!$1:$1,0)-MATCH($A$1,[2]characters!$1:$1,0)+1),MATCH(F$1,[2]characters!$1:$1,0)-MATCH($A$1,[2]characters!$1:$1,0)+1,FALSE)</f>
        <v>ブルーキャタップ</v>
      </c>
      <c r="G74" s="66">
        <v>1</v>
      </c>
      <c r="H74" s="66">
        <v>1</v>
      </c>
      <c r="I74" s="66">
        <v>1</v>
      </c>
    </row>
    <row r="75" spans="1:9" x14ac:dyDescent="0.15">
      <c r="A75" s="66">
        <v>83</v>
      </c>
      <c r="B75" s="3" t="str">
        <f ca="1">VLOOKUP($A75,OFFSET([2]characters!$A$1,0,0,COUNTA([2]characters!$A:$A),MATCH(B$1,[2]characters!$1:$1,0)-MATCH($A$1,[2]characters!$1:$1,0)+1),MATCH(B$1,[2]characters!$1:$1,0)-MATCH($A$1,[2]characters!$1:$1,0)+1,FALSE)</f>
        <v>拡散性ニムダ</v>
      </c>
      <c r="C75" s="93">
        <f ca="1">VLOOKUP($A75,OFFSET(fork_awake_units!$A$1,0,0,COUNTA(fork_awake_units!$A:$A),MATCH(C$1,fork_awake_units!$1:$1,0)-MATCH($A$1,fork_awake_units!$1:$1,0)+1),MATCH(C$1,fork_awake_units!$1:$1,0)-MATCH($A$1,fork_awake_units!$1:$1,0)+1,FALSE)</f>
        <v>84</v>
      </c>
      <c r="D75" s="3" t="str">
        <f ca="1">VLOOKUP($C75,OFFSET([2]characters!$A$1,0,0,COUNTA([2]characters!$A:$A),MATCH(D$1,[2]characters!$1:$1,0)-MATCH($A$1,[2]characters!$1:$1,0)+1),MATCH(D$1,[2]characters!$1:$1,0)-MATCH($A$1,[2]characters!$1:$1,0)+1,FALSE)</f>
        <v>高速拡散性ニムダE</v>
      </c>
      <c r="E75" s="66">
        <v>113</v>
      </c>
      <c r="F75" s="3" t="str">
        <f ca="1">VLOOKUP($E75,OFFSET([2]characters!$A$1,0,0,COUNTA([2]characters!$A:$A),MATCH(F$1,[2]characters!$1:$1,0)-MATCH($A$1,[2]characters!$1:$1,0)+1),MATCH(F$1,[2]characters!$1:$1,0)-MATCH($A$1,[2]characters!$1:$1,0)+1,FALSE)</f>
        <v>イエローチェシャ</v>
      </c>
      <c r="G75" s="66">
        <v>3</v>
      </c>
      <c r="H75" s="66">
        <v>1</v>
      </c>
      <c r="I75" s="66">
        <v>1</v>
      </c>
    </row>
    <row r="76" spans="1:9" x14ac:dyDescent="0.15">
      <c r="A76" s="66">
        <v>83</v>
      </c>
      <c r="B76" s="3" t="str">
        <f ca="1">VLOOKUP($A76,OFFSET([2]characters!$A$1,0,0,COUNTA([2]characters!$A:$A),MATCH(B$1,[2]characters!$1:$1,0)-MATCH($A$1,[2]characters!$1:$1,0)+1),MATCH(B$1,[2]characters!$1:$1,0)-MATCH($A$1,[2]characters!$1:$1,0)+1,FALSE)</f>
        <v>拡散性ニムダ</v>
      </c>
      <c r="C76" s="93">
        <f ca="1">VLOOKUP($A76,OFFSET(fork_awake_units!$A$1,0,0,COUNTA(fork_awake_units!$A:$A),MATCH(C$1,fork_awake_units!$1:$1,0)-MATCH($A$1,fork_awake_units!$1:$1,0)+1),MATCH(C$1,fork_awake_units!$1:$1,0)-MATCH($A$1,fork_awake_units!$1:$1,0)+1,FALSE)</f>
        <v>84</v>
      </c>
      <c r="D76" s="3" t="str">
        <f ca="1">VLOOKUP($C76,OFFSET([2]characters!$A$1,0,0,COUNTA([2]characters!$A:$A),MATCH(D$1,[2]characters!$1:$1,0)-MATCH($A$1,[2]characters!$1:$1,0)+1),MATCH(D$1,[2]characters!$1:$1,0)-MATCH($A$1,[2]characters!$1:$1,0)+1,FALSE)</f>
        <v>高速拡散性ニムダE</v>
      </c>
      <c r="E76" s="66">
        <v>114</v>
      </c>
      <c r="F76" s="3" t="str">
        <f ca="1">VLOOKUP($E76,OFFSET([2]characters!$A$1,0,0,COUNTA([2]characters!$A:$A),MATCH(F$1,[2]characters!$1:$1,0)-MATCH($A$1,[2]characters!$1:$1,0)+1),MATCH(F$1,[2]characters!$1:$1,0)-MATCH($A$1,[2]characters!$1:$1,0)+1,FALSE)</f>
        <v>イエローラビット</v>
      </c>
      <c r="G76" s="66">
        <v>1</v>
      </c>
      <c r="H76" s="66">
        <v>1</v>
      </c>
      <c r="I76" s="66">
        <v>1</v>
      </c>
    </row>
    <row r="77" spans="1:9" x14ac:dyDescent="0.15">
      <c r="A77" s="66">
        <v>83</v>
      </c>
      <c r="B77" s="3" t="str">
        <f ca="1">VLOOKUP($A77,OFFSET([2]characters!$A$1,0,0,COUNTA([2]characters!$A:$A),MATCH(B$1,[2]characters!$1:$1,0)-MATCH($A$1,[2]characters!$1:$1,0)+1),MATCH(B$1,[2]characters!$1:$1,0)-MATCH($A$1,[2]characters!$1:$1,0)+1,FALSE)</f>
        <v>拡散性ニムダ</v>
      </c>
      <c r="C77" s="93">
        <f ca="1">VLOOKUP($A77,OFFSET(fork_awake_units!$A$1,0,0,COUNTA(fork_awake_units!$A:$A),MATCH(C$1,fork_awake_units!$1:$1,0)-MATCH($A$1,fork_awake_units!$1:$1,0)+1),MATCH(C$1,fork_awake_units!$1:$1,0)-MATCH($A$1,fork_awake_units!$1:$1,0)+1,FALSE)</f>
        <v>84</v>
      </c>
      <c r="D77" s="3" t="str">
        <f ca="1">VLOOKUP($C77,OFFSET([2]characters!$A$1,0,0,COUNTA([2]characters!$A:$A),MATCH(D$1,[2]characters!$1:$1,0)-MATCH($A$1,[2]characters!$1:$1,0)+1),MATCH(D$1,[2]characters!$1:$1,0)-MATCH($A$1,[2]characters!$1:$1,0)+1,FALSE)</f>
        <v>高速拡散性ニムダE</v>
      </c>
      <c r="E77" s="66">
        <v>115</v>
      </c>
      <c r="F77" s="3" t="str">
        <f ca="1">VLOOKUP($E77,OFFSET([2]characters!$A$1,0,0,COUNTA([2]characters!$A:$A),MATCH(F$1,[2]characters!$1:$1,0)-MATCH($A$1,[2]characters!$1:$1,0)+1),MATCH(F$1,[2]characters!$1:$1,0)-MATCH($A$1,[2]characters!$1:$1,0)+1,FALSE)</f>
        <v>イエローキャタップ</v>
      </c>
      <c r="G77" s="66">
        <v>1</v>
      </c>
      <c r="H77" s="66">
        <v>1</v>
      </c>
      <c r="I77" s="66">
        <v>1</v>
      </c>
    </row>
    <row r="78" spans="1:9" x14ac:dyDescent="0.15">
      <c r="A78" s="66">
        <v>85</v>
      </c>
      <c r="B78" s="3" t="str">
        <f ca="1">VLOOKUP($A78,OFFSET([2]characters!$A$1,0,0,COUNTA([2]characters!$A:$A),MATCH(B$1,[2]characters!$1:$1,0)-MATCH($A$1,[2]characters!$1:$1,0)+1),MATCH(B$1,[2]characters!$1:$1,0)-MATCH($A$1,[2]characters!$1:$1,0)+1,FALSE)</f>
        <v>朱雀</v>
      </c>
      <c r="C78" s="93">
        <f ca="1">VLOOKUP($A78,OFFSET(fork_awake_units!$A$1,0,0,COUNTA(fork_awake_units!$A:$A),MATCH(C$1,fork_awake_units!$1:$1,0)-MATCH($A$1,fork_awake_units!$1:$1,0)+1),MATCH(C$1,fork_awake_units!$1:$1,0)-MATCH($A$1,fork_awake_units!$1:$1,0)+1,FALSE)</f>
        <v>86</v>
      </c>
      <c r="D78" s="3" t="str">
        <f ca="1">VLOOKUP($C78,OFFSET([2]characters!$A$1,0,0,COUNTA([2]characters!$A:$A),MATCH(D$1,[2]characters!$1:$1,0)-MATCH($A$1,[2]characters!$1:$1,0)+1),MATCH(D$1,[2]characters!$1:$1,0)-MATCH($A$1,[2]characters!$1:$1,0)+1,FALSE)</f>
        <v>守護者 朱雀</v>
      </c>
      <c r="E78" s="66">
        <v>101</v>
      </c>
      <c r="F78" s="3" t="str">
        <f ca="1">VLOOKUP($E78,OFFSET([2]characters!$A$1,0,0,COUNTA([2]characters!$A:$A),MATCH(F$1,[2]characters!$1:$1,0)-MATCH($A$1,[2]characters!$1:$1,0)+1),MATCH(F$1,[2]characters!$1:$1,0)-MATCH($A$1,[2]characters!$1:$1,0)+1,FALSE)</f>
        <v>レッドチェシャ</v>
      </c>
      <c r="G78" s="66">
        <v>2</v>
      </c>
      <c r="H78" s="66">
        <v>1</v>
      </c>
      <c r="I78" s="66">
        <v>1</v>
      </c>
    </row>
    <row r="79" spans="1:9" x14ac:dyDescent="0.15">
      <c r="A79" s="66">
        <v>85</v>
      </c>
      <c r="B79" s="3" t="str">
        <f ca="1">VLOOKUP($A79,OFFSET([2]characters!$A$1,0,0,COUNTA([2]characters!$A:$A),MATCH(B$1,[2]characters!$1:$1,0)-MATCH($A$1,[2]characters!$1:$1,0)+1),MATCH(B$1,[2]characters!$1:$1,0)-MATCH($A$1,[2]characters!$1:$1,0)+1,FALSE)</f>
        <v>朱雀</v>
      </c>
      <c r="C79" s="93">
        <f ca="1">VLOOKUP($A79,OFFSET(fork_awake_units!$A$1,0,0,COUNTA(fork_awake_units!$A:$A),MATCH(C$1,fork_awake_units!$1:$1,0)-MATCH($A$1,fork_awake_units!$1:$1,0)+1),MATCH(C$1,fork_awake_units!$1:$1,0)-MATCH($A$1,fork_awake_units!$1:$1,0)+1,FALSE)</f>
        <v>86</v>
      </c>
      <c r="D79" s="3" t="str">
        <f ca="1">VLOOKUP($C79,OFFSET([2]characters!$A$1,0,0,COUNTA([2]characters!$A:$A),MATCH(D$1,[2]characters!$1:$1,0)-MATCH($A$1,[2]characters!$1:$1,0)+1),MATCH(D$1,[2]characters!$1:$1,0)-MATCH($A$1,[2]characters!$1:$1,0)+1,FALSE)</f>
        <v>守護者 朱雀</v>
      </c>
      <c r="E79" s="66">
        <v>102</v>
      </c>
      <c r="F79" s="3" t="str">
        <f ca="1">VLOOKUP($E79,OFFSET([2]characters!$A$1,0,0,COUNTA([2]characters!$A:$A),MATCH(F$1,[2]characters!$1:$1,0)-MATCH($A$1,[2]characters!$1:$1,0)+1),MATCH(F$1,[2]characters!$1:$1,0)-MATCH($A$1,[2]characters!$1:$1,0)+1,FALSE)</f>
        <v>レッドラビット</v>
      </c>
      <c r="G79" s="66">
        <v>1</v>
      </c>
      <c r="H79" s="66">
        <v>1</v>
      </c>
      <c r="I79" s="66">
        <v>1</v>
      </c>
    </row>
    <row r="80" spans="1:9" x14ac:dyDescent="0.15">
      <c r="A80" s="66">
        <v>85</v>
      </c>
      <c r="B80" s="3" t="str">
        <f ca="1">VLOOKUP($A80,OFFSET([2]characters!$A$1,0,0,COUNTA([2]characters!$A:$A),MATCH(B$1,[2]characters!$1:$1,0)-MATCH($A$1,[2]characters!$1:$1,0)+1),MATCH(B$1,[2]characters!$1:$1,0)-MATCH($A$1,[2]characters!$1:$1,0)+1,FALSE)</f>
        <v>朱雀</v>
      </c>
      <c r="C80" s="93">
        <f ca="1">VLOOKUP($A80,OFFSET(fork_awake_units!$A$1,0,0,COUNTA(fork_awake_units!$A:$A),MATCH(C$1,fork_awake_units!$1:$1,0)-MATCH($A$1,fork_awake_units!$1:$1,0)+1),MATCH(C$1,fork_awake_units!$1:$1,0)-MATCH($A$1,fork_awake_units!$1:$1,0)+1,FALSE)</f>
        <v>86</v>
      </c>
      <c r="D80" s="3" t="str">
        <f ca="1">VLOOKUP($C80,OFFSET([2]characters!$A$1,0,0,COUNTA([2]characters!$A:$A),MATCH(D$1,[2]characters!$1:$1,0)-MATCH($A$1,[2]characters!$1:$1,0)+1),MATCH(D$1,[2]characters!$1:$1,0)-MATCH($A$1,[2]characters!$1:$1,0)+1,FALSE)</f>
        <v>守護者 朱雀</v>
      </c>
      <c r="E80" s="66">
        <v>103</v>
      </c>
      <c r="F80" s="3" t="str">
        <f ca="1">VLOOKUP($E80,OFFSET([2]characters!$A$1,0,0,COUNTA([2]characters!$A:$A),MATCH(F$1,[2]characters!$1:$1,0)-MATCH($A$1,[2]characters!$1:$1,0)+1),MATCH(F$1,[2]characters!$1:$1,0)-MATCH($A$1,[2]characters!$1:$1,0)+1,FALSE)</f>
        <v>レッドキャタップ</v>
      </c>
      <c r="G80" s="66">
        <v>2</v>
      </c>
      <c r="H80" s="66">
        <v>1</v>
      </c>
      <c r="I80" s="66">
        <v>1</v>
      </c>
    </row>
    <row r="81" spans="1:9" x14ac:dyDescent="0.15">
      <c r="A81" s="66">
        <v>86</v>
      </c>
      <c r="B81" s="3" t="str">
        <f ca="1">VLOOKUP($A81,OFFSET([2]characters!$A$1,0,0,COUNTA([2]characters!$A:$A),MATCH(B$1,[2]characters!$1:$1,0)-MATCH($A$1,[2]characters!$1:$1,0)+1),MATCH(B$1,[2]characters!$1:$1,0)-MATCH($A$1,[2]characters!$1:$1,0)+1,FALSE)</f>
        <v>守護者 朱雀</v>
      </c>
      <c r="C81" s="93">
        <f ca="1">VLOOKUP($A81,OFFSET(fork_awake_units!$A$1,0,0,COUNTA(fork_awake_units!$A:$A),MATCH(C$1,fork_awake_units!$1:$1,0)-MATCH($A$1,fork_awake_units!$1:$1,0)+1),MATCH(C$1,fork_awake_units!$1:$1,0)-MATCH($A$1,fork_awake_units!$1:$1,0)+1,FALSE)</f>
        <v>87</v>
      </c>
      <c r="D81" s="3" t="str">
        <f ca="1">VLOOKUP($C81,OFFSET([2]characters!$A$1,0,0,COUNTA([2]characters!$A:$A),MATCH(D$1,[2]characters!$1:$1,0)-MATCH($A$1,[2]characters!$1:$1,0)+1),MATCH(D$1,[2]characters!$1:$1,0)-MATCH($A$1,[2]characters!$1:$1,0)+1,FALSE)</f>
        <v>朱南の守護神 朱雀</v>
      </c>
      <c r="E81" s="66">
        <v>102</v>
      </c>
      <c r="F81" s="3" t="str">
        <f ca="1">VLOOKUP($E81,OFFSET([2]characters!$A$1,0,0,COUNTA([2]characters!$A:$A),MATCH(F$1,[2]characters!$1:$1,0)-MATCH($A$1,[2]characters!$1:$1,0)+1),MATCH(F$1,[2]characters!$1:$1,0)-MATCH($A$1,[2]characters!$1:$1,0)+1,FALSE)</f>
        <v>レッドラビット</v>
      </c>
      <c r="G81" s="66">
        <v>4</v>
      </c>
      <c r="H81" s="66">
        <v>1</v>
      </c>
      <c r="I81" s="66">
        <v>1</v>
      </c>
    </row>
    <row r="82" spans="1:9" x14ac:dyDescent="0.15">
      <c r="A82" s="66">
        <v>86</v>
      </c>
      <c r="B82" s="3" t="str">
        <f ca="1">VLOOKUP($A82,OFFSET([2]characters!$A$1,0,0,COUNTA([2]characters!$A:$A),MATCH(B$1,[2]characters!$1:$1,0)-MATCH($A$1,[2]characters!$1:$1,0)+1),MATCH(B$1,[2]characters!$1:$1,0)-MATCH($A$1,[2]characters!$1:$1,0)+1,FALSE)</f>
        <v>守護者 朱雀</v>
      </c>
      <c r="C82" s="93">
        <f ca="1">VLOOKUP($A82,OFFSET(fork_awake_units!$A$1,0,0,COUNTA(fork_awake_units!$A:$A),MATCH(C$1,fork_awake_units!$1:$1,0)-MATCH($A$1,fork_awake_units!$1:$1,0)+1),MATCH(C$1,fork_awake_units!$1:$1,0)-MATCH($A$1,fork_awake_units!$1:$1,0)+1,FALSE)</f>
        <v>87</v>
      </c>
      <c r="D82" s="3" t="str">
        <f ca="1">VLOOKUP($C82,OFFSET([2]characters!$A$1,0,0,COUNTA([2]characters!$A:$A),MATCH(D$1,[2]characters!$1:$1,0)-MATCH($A$1,[2]characters!$1:$1,0)+1),MATCH(D$1,[2]characters!$1:$1,0)-MATCH($A$1,[2]characters!$1:$1,0)+1,FALSE)</f>
        <v>朱南の守護神 朱雀</v>
      </c>
      <c r="E82" s="66">
        <v>104</v>
      </c>
      <c r="F82" s="3" t="str">
        <f ca="1">VLOOKUP($E82,OFFSET([2]characters!$A$1,0,0,COUNTA([2]characters!$A:$A),MATCH(F$1,[2]characters!$1:$1,0)-MATCH($A$1,[2]characters!$1:$1,0)+1),MATCH(F$1,[2]characters!$1:$1,0)-MATCH($A$1,[2]characters!$1:$1,0)+1,FALSE)</f>
        <v>炎のマッドハッター</v>
      </c>
      <c r="G82" s="66">
        <v>1</v>
      </c>
      <c r="H82" s="66">
        <v>1</v>
      </c>
      <c r="I82" s="66">
        <v>1</v>
      </c>
    </row>
    <row r="83" spans="1:9" x14ac:dyDescent="0.15">
      <c r="A83" s="66">
        <v>88</v>
      </c>
      <c r="B83" s="3" t="str">
        <f ca="1">VLOOKUP($A83,OFFSET([2]characters!$A$1,0,0,COUNTA([2]characters!$A:$A),MATCH(B$1,[2]characters!$1:$1,0)-MATCH($A$1,[2]characters!$1:$1,0)+1),MATCH(B$1,[2]characters!$1:$1,0)-MATCH($A$1,[2]characters!$1:$1,0)+1,FALSE)</f>
        <v>玄武</v>
      </c>
      <c r="C83" s="93">
        <f ca="1">VLOOKUP($A83,OFFSET(fork_awake_units!$A$1,0,0,COUNTA(fork_awake_units!$A:$A),MATCH(C$1,fork_awake_units!$1:$1,0)-MATCH($A$1,fork_awake_units!$1:$1,0)+1),MATCH(C$1,fork_awake_units!$1:$1,0)-MATCH($A$1,fork_awake_units!$1:$1,0)+1,FALSE)</f>
        <v>89</v>
      </c>
      <c r="D83" s="3" t="str">
        <f ca="1">VLOOKUP($C83,OFFSET([2]characters!$A$1,0,0,COUNTA([2]characters!$A:$A),MATCH(D$1,[2]characters!$1:$1,0)-MATCH($A$1,[2]characters!$1:$1,0)+1),MATCH(D$1,[2]characters!$1:$1,0)-MATCH($A$1,[2]characters!$1:$1,0)+1,FALSE)</f>
        <v>守護者 玄武</v>
      </c>
      <c r="E83" s="66">
        <v>105</v>
      </c>
      <c r="F83" s="3" t="str">
        <f ca="1">VLOOKUP($E83,OFFSET([2]characters!$A$1,0,0,COUNTA([2]characters!$A:$A),MATCH(F$1,[2]characters!$1:$1,0)-MATCH($A$1,[2]characters!$1:$1,0)+1),MATCH(F$1,[2]characters!$1:$1,0)-MATCH($A$1,[2]characters!$1:$1,0)+1,FALSE)</f>
        <v>グリーンチェシャ</v>
      </c>
      <c r="G83" s="66">
        <v>2</v>
      </c>
      <c r="H83" s="66">
        <v>1</v>
      </c>
      <c r="I83" s="66">
        <v>1</v>
      </c>
    </row>
    <row r="84" spans="1:9" x14ac:dyDescent="0.15">
      <c r="A84" s="66">
        <v>88</v>
      </c>
      <c r="B84" s="3" t="str">
        <f ca="1">VLOOKUP($A84,OFFSET([2]characters!$A$1,0,0,COUNTA([2]characters!$A:$A),MATCH(B$1,[2]characters!$1:$1,0)-MATCH($A$1,[2]characters!$1:$1,0)+1),MATCH(B$1,[2]characters!$1:$1,0)-MATCH($A$1,[2]characters!$1:$1,0)+1,FALSE)</f>
        <v>玄武</v>
      </c>
      <c r="C84" s="93">
        <f ca="1">VLOOKUP($A84,OFFSET(fork_awake_units!$A$1,0,0,COUNTA(fork_awake_units!$A:$A),MATCH(C$1,fork_awake_units!$1:$1,0)-MATCH($A$1,fork_awake_units!$1:$1,0)+1),MATCH(C$1,fork_awake_units!$1:$1,0)-MATCH($A$1,fork_awake_units!$1:$1,0)+1,FALSE)</f>
        <v>89</v>
      </c>
      <c r="D84" s="3" t="str">
        <f ca="1">VLOOKUP($C84,OFFSET([2]characters!$A$1,0,0,COUNTA([2]characters!$A:$A),MATCH(D$1,[2]characters!$1:$1,0)-MATCH($A$1,[2]characters!$1:$1,0)+1),MATCH(D$1,[2]characters!$1:$1,0)-MATCH($A$1,[2]characters!$1:$1,0)+1,FALSE)</f>
        <v>守護者 玄武</v>
      </c>
      <c r="E84" s="66">
        <v>106</v>
      </c>
      <c r="F84" s="3" t="str">
        <f ca="1">VLOOKUP($E84,OFFSET([2]characters!$A$1,0,0,COUNTA([2]characters!$A:$A),MATCH(F$1,[2]characters!$1:$1,0)-MATCH($A$1,[2]characters!$1:$1,0)+1),MATCH(F$1,[2]characters!$1:$1,0)-MATCH($A$1,[2]characters!$1:$1,0)+1,FALSE)</f>
        <v>グリーンラビット</v>
      </c>
      <c r="G84" s="66">
        <v>1</v>
      </c>
      <c r="H84" s="66">
        <v>1</v>
      </c>
      <c r="I84" s="66">
        <v>1</v>
      </c>
    </row>
    <row r="85" spans="1:9" x14ac:dyDescent="0.15">
      <c r="A85" s="66">
        <v>88</v>
      </c>
      <c r="B85" s="3" t="str">
        <f ca="1">VLOOKUP($A85,OFFSET([2]characters!$A$1,0,0,COUNTA([2]characters!$A:$A),MATCH(B$1,[2]characters!$1:$1,0)-MATCH($A$1,[2]characters!$1:$1,0)+1),MATCH(B$1,[2]characters!$1:$1,0)-MATCH($A$1,[2]characters!$1:$1,0)+1,FALSE)</f>
        <v>玄武</v>
      </c>
      <c r="C85" s="93">
        <f ca="1">VLOOKUP($A85,OFFSET(fork_awake_units!$A$1,0,0,COUNTA(fork_awake_units!$A:$A),MATCH(C$1,fork_awake_units!$1:$1,0)-MATCH($A$1,fork_awake_units!$1:$1,0)+1),MATCH(C$1,fork_awake_units!$1:$1,0)-MATCH($A$1,fork_awake_units!$1:$1,0)+1,FALSE)</f>
        <v>89</v>
      </c>
      <c r="D85" s="3" t="str">
        <f ca="1">VLOOKUP($C85,OFFSET([2]characters!$A$1,0,0,COUNTA([2]characters!$A:$A),MATCH(D$1,[2]characters!$1:$1,0)-MATCH($A$1,[2]characters!$1:$1,0)+1),MATCH(D$1,[2]characters!$1:$1,0)-MATCH($A$1,[2]characters!$1:$1,0)+1,FALSE)</f>
        <v>守護者 玄武</v>
      </c>
      <c r="E85" s="66">
        <v>107</v>
      </c>
      <c r="F85" s="3" t="str">
        <f ca="1">VLOOKUP($E85,OFFSET([2]characters!$A$1,0,0,COUNTA([2]characters!$A:$A),MATCH(F$1,[2]characters!$1:$1,0)-MATCH($A$1,[2]characters!$1:$1,0)+1),MATCH(F$1,[2]characters!$1:$1,0)-MATCH($A$1,[2]characters!$1:$1,0)+1,FALSE)</f>
        <v>グリーンキャタップ</v>
      </c>
      <c r="G85" s="66">
        <v>2</v>
      </c>
      <c r="H85" s="66">
        <v>1</v>
      </c>
      <c r="I85" s="66">
        <v>1</v>
      </c>
    </row>
    <row r="86" spans="1:9" x14ac:dyDescent="0.15">
      <c r="A86" s="66">
        <v>89</v>
      </c>
      <c r="B86" s="3" t="str">
        <f ca="1">VLOOKUP($A86,OFFSET([2]characters!$A$1,0,0,COUNTA([2]characters!$A:$A),MATCH(B$1,[2]characters!$1:$1,0)-MATCH($A$1,[2]characters!$1:$1,0)+1),MATCH(B$1,[2]characters!$1:$1,0)-MATCH($A$1,[2]characters!$1:$1,0)+1,FALSE)</f>
        <v>守護者 玄武</v>
      </c>
      <c r="C86" s="93">
        <f ca="1">VLOOKUP($A86,OFFSET(fork_awake_units!$A$1,0,0,COUNTA(fork_awake_units!$A:$A),MATCH(C$1,fork_awake_units!$1:$1,0)-MATCH($A$1,fork_awake_units!$1:$1,0)+1),MATCH(C$1,fork_awake_units!$1:$1,0)-MATCH($A$1,fork_awake_units!$1:$1,0)+1,FALSE)</f>
        <v>90</v>
      </c>
      <c r="D86" s="3" t="str">
        <f ca="1">VLOOKUP($C86,OFFSET([2]characters!$A$1,0,0,COUNTA([2]characters!$A:$A),MATCH(D$1,[2]characters!$1:$1,0)-MATCH($A$1,[2]characters!$1:$1,0)+1),MATCH(D$1,[2]characters!$1:$1,0)-MATCH($A$1,[2]characters!$1:$1,0)+1,FALSE)</f>
        <v>翠北の守護神 玄武</v>
      </c>
      <c r="E86" s="66">
        <v>106</v>
      </c>
      <c r="F86" s="3" t="str">
        <f ca="1">VLOOKUP($E86,OFFSET([2]characters!$A$1,0,0,COUNTA([2]characters!$A:$A),MATCH(F$1,[2]characters!$1:$1,0)-MATCH($A$1,[2]characters!$1:$1,0)+1),MATCH(F$1,[2]characters!$1:$1,0)-MATCH($A$1,[2]characters!$1:$1,0)+1,FALSE)</f>
        <v>グリーンラビット</v>
      </c>
      <c r="G86" s="66">
        <v>4</v>
      </c>
      <c r="H86" s="66">
        <v>1</v>
      </c>
      <c r="I86" s="66">
        <v>1</v>
      </c>
    </row>
    <row r="87" spans="1:9" x14ac:dyDescent="0.15">
      <c r="A87" s="66">
        <v>89</v>
      </c>
      <c r="B87" s="3" t="str">
        <f ca="1">VLOOKUP($A87,OFFSET([2]characters!$A$1,0,0,COUNTA([2]characters!$A:$A),MATCH(B$1,[2]characters!$1:$1,0)-MATCH($A$1,[2]characters!$1:$1,0)+1),MATCH(B$1,[2]characters!$1:$1,0)-MATCH($A$1,[2]characters!$1:$1,0)+1,FALSE)</f>
        <v>守護者 玄武</v>
      </c>
      <c r="C87" s="93">
        <f ca="1">VLOOKUP($A87,OFFSET(fork_awake_units!$A$1,0,0,COUNTA(fork_awake_units!$A:$A),MATCH(C$1,fork_awake_units!$1:$1,0)-MATCH($A$1,fork_awake_units!$1:$1,0)+1),MATCH(C$1,fork_awake_units!$1:$1,0)-MATCH($A$1,fork_awake_units!$1:$1,0)+1,FALSE)</f>
        <v>90</v>
      </c>
      <c r="D87" s="3" t="str">
        <f ca="1">VLOOKUP($C87,OFFSET([2]characters!$A$1,0,0,COUNTA([2]characters!$A:$A),MATCH(D$1,[2]characters!$1:$1,0)-MATCH($A$1,[2]characters!$1:$1,0)+1),MATCH(D$1,[2]characters!$1:$1,0)-MATCH($A$1,[2]characters!$1:$1,0)+1,FALSE)</f>
        <v>翠北の守護神 玄武</v>
      </c>
      <c r="E87" s="66">
        <v>108</v>
      </c>
      <c r="F87" s="3" t="str">
        <f ca="1">VLOOKUP($E87,OFFSET([2]characters!$A$1,0,0,COUNTA([2]characters!$A:$A),MATCH(F$1,[2]characters!$1:$1,0)-MATCH($A$1,[2]characters!$1:$1,0)+1),MATCH(F$1,[2]characters!$1:$1,0)-MATCH($A$1,[2]characters!$1:$1,0)+1,FALSE)</f>
        <v>森のマッドハッター</v>
      </c>
      <c r="G87" s="66">
        <v>1</v>
      </c>
      <c r="H87" s="66">
        <v>1</v>
      </c>
      <c r="I87" s="66">
        <v>1</v>
      </c>
    </row>
    <row r="88" spans="1:9" x14ac:dyDescent="0.15">
      <c r="A88" s="66">
        <v>91</v>
      </c>
      <c r="B88" s="3" t="str">
        <f ca="1">VLOOKUP($A88,OFFSET([2]characters!$A$1,0,0,COUNTA([2]characters!$A:$A),MATCH(B$1,[2]characters!$1:$1,0)-MATCH($A$1,[2]characters!$1:$1,0)+1),MATCH(B$1,[2]characters!$1:$1,0)-MATCH($A$1,[2]characters!$1:$1,0)+1,FALSE)</f>
        <v>青龍</v>
      </c>
      <c r="C88" s="93">
        <f ca="1">VLOOKUP($A88,OFFSET(fork_awake_units!$A$1,0,0,COUNTA(fork_awake_units!$A:$A),MATCH(C$1,fork_awake_units!$1:$1,0)-MATCH($A$1,fork_awake_units!$1:$1,0)+1),MATCH(C$1,fork_awake_units!$1:$1,0)-MATCH($A$1,fork_awake_units!$1:$1,0)+1,FALSE)</f>
        <v>92</v>
      </c>
      <c r="D88" s="3" t="str">
        <f ca="1">VLOOKUP($C88,OFFSET([2]characters!$A$1,0,0,COUNTA([2]characters!$A:$A),MATCH(D$1,[2]characters!$1:$1,0)-MATCH($A$1,[2]characters!$1:$1,0)+1),MATCH(D$1,[2]characters!$1:$1,0)-MATCH($A$1,[2]characters!$1:$1,0)+1,FALSE)</f>
        <v>守護者 青龍</v>
      </c>
      <c r="E88" s="66">
        <v>109</v>
      </c>
      <c r="F88" s="3" t="str">
        <f ca="1">VLOOKUP($E88,OFFSET([2]characters!$A$1,0,0,COUNTA([2]characters!$A:$A),MATCH(F$1,[2]characters!$1:$1,0)-MATCH($A$1,[2]characters!$1:$1,0)+1),MATCH(F$1,[2]characters!$1:$1,0)-MATCH($A$1,[2]characters!$1:$1,0)+1,FALSE)</f>
        <v>ブルーチェシャ</v>
      </c>
      <c r="G88" s="66">
        <v>2</v>
      </c>
      <c r="H88" s="66">
        <v>1</v>
      </c>
      <c r="I88" s="66">
        <v>1</v>
      </c>
    </row>
    <row r="89" spans="1:9" x14ac:dyDescent="0.15">
      <c r="A89" s="66">
        <v>91</v>
      </c>
      <c r="B89" s="3" t="str">
        <f ca="1">VLOOKUP($A89,OFFSET([2]characters!$A$1,0,0,COUNTA([2]characters!$A:$A),MATCH(B$1,[2]characters!$1:$1,0)-MATCH($A$1,[2]characters!$1:$1,0)+1),MATCH(B$1,[2]characters!$1:$1,0)-MATCH($A$1,[2]characters!$1:$1,0)+1,FALSE)</f>
        <v>青龍</v>
      </c>
      <c r="C89" s="93">
        <f ca="1">VLOOKUP($A89,OFFSET(fork_awake_units!$A$1,0,0,COUNTA(fork_awake_units!$A:$A),MATCH(C$1,fork_awake_units!$1:$1,0)-MATCH($A$1,fork_awake_units!$1:$1,0)+1),MATCH(C$1,fork_awake_units!$1:$1,0)-MATCH($A$1,fork_awake_units!$1:$1,0)+1,FALSE)</f>
        <v>92</v>
      </c>
      <c r="D89" s="3" t="str">
        <f ca="1">VLOOKUP($C89,OFFSET([2]characters!$A$1,0,0,COUNTA([2]characters!$A:$A),MATCH(D$1,[2]characters!$1:$1,0)-MATCH($A$1,[2]characters!$1:$1,0)+1),MATCH(D$1,[2]characters!$1:$1,0)-MATCH($A$1,[2]characters!$1:$1,0)+1,FALSE)</f>
        <v>守護者 青龍</v>
      </c>
      <c r="E89" s="66">
        <v>110</v>
      </c>
      <c r="F89" s="3" t="str">
        <f ca="1">VLOOKUP($E89,OFFSET([2]characters!$A$1,0,0,COUNTA([2]characters!$A:$A),MATCH(F$1,[2]characters!$1:$1,0)-MATCH($A$1,[2]characters!$1:$1,0)+1),MATCH(F$1,[2]characters!$1:$1,0)-MATCH($A$1,[2]characters!$1:$1,0)+1,FALSE)</f>
        <v>ブルーラビット</v>
      </c>
      <c r="G89" s="66">
        <v>1</v>
      </c>
      <c r="H89" s="66">
        <v>1</v>
      </c>
      <c r="I89" s="66">
        <v>1</v>
      </c>
    </row>
    <row r="90" spans="1:9" x14ac:dyDescent="0.15">
      <c r="A90" s="66">
        <v>91</v>
      </c>
      <c r="B90" s="3" t="str">
        <f ca="1">VLOOKUP($A90,OFFSET([2]characters!$A$1,0,0,COUNTA([2]characters!$A:$A),MATCH(B$1,[2]characters!$1:$1,0)-MATCH($A$1,[2]characters!$1:$1,0)+1),MATCH(B$1,[2]characters!$1:$1,0)-MATCH($A$1,[2]characters!$1:$1,0)+1,FALSE)</f>
        <v>青龍</v>
      </c>
      <c r="C90" s="93">
        <f ca="1">VLOOKUP($A90,OFFSET(fork_awake_units!$A$1,0,0,COUNTA(fork_awake_units!$A:$A),MATCH(C$1,fork_awake_units!$1:$1,0)-MATCH($A$1,fork_awake_units!$1:$1,0)+1),MATCH(C$1,fork_awake_units!$1:$1,0)-MATCH($A$1,fork_awake_units!$1:$1,0)+1,FALSE)</f>
        <v>92</v>
      </c>
      <c r="D90" s="3" t="str">
        <f ca="1">VLOOKUP($C90,OFFSET([2]characters!$A$1,0,0,COUNTA([2]characters!$A:$A),MATCH(D$1,[2]characters!$1:$1,0)-MATCH($A$1,[2]characters!$1:$1,0)+1),MATCH(D$1,[2]characters!$1:$1,0)-MATCH($A$1,[2]characters!$1:$1,0)+1,FALSE)</f>
        <v>守護者 青龍</v>
      </c>
      <c r="E90" s="66">
        <v>111</v>
      </c>
      <c r="F90" s="3" t="str">
        <f ca="1">VLOOKUP($E90,OFFSET([2]characters!$A$1,0,0,COUNTA([2]characters!$A:$A),MATCH(F$1,[2]characters!$1:$1,0)-MATCH($A$1,[2]characters!$1:$1,0)+1),MATCH(F$1,[2]characters!$1:$1,0)-MATCH($A$1,[2]characters!$1:$1,0)+1,FALSE)</f>
        <v>ブルーキャタップ</v>
      </c>
      <c r="G90" s="66">
        <v>2</v>
      </c>
      <c r="H90" s="66">
        <v>1</v>
      </c>
      <c r="I90" s="66">
        <v>1</v>
      </c>
    </row>
    <row r="91" spans="1:9" x14ac:dyDescent="0.15">
      <c r="A91" s="66">
        <v>92</v>
      </c>
      <c r="B91" s="3" t="str">
        <f ca="1">VLOOKUP($A91,OFFSET([2]characters!$A$1,0,0,COUNTA([2]characters!$A:$A),MATCH(B$1,[2]characters!$1:$1,0)-MATCH($A$1,[2]characters!$1:$1,0)+1),MATCH(B$1,[2]characters!$1:$1,0)-MATCH($A$1,[2]characters!$1:$1,0)+1,FALSE)</f>
        <v>守護者 青龍</v>
      </c>
      <c r="C91" s="93">
        <f ca="1">VLOOKUP($A91,OFFSET(fork_awake_units!$A$1,0,0,COUNTA(fork_awake_units!$A:$A),MATCH(C$1,fork_awake_units!$1:$1,0)-MATCH($A$1,fork_awake_units!$1:$1,0)+1),MATCH(C$1,fork_awake_units!$1:$1,0)-MATCH($A$1,fork_awake_units!$1:$1,0)+1,FALSE)</f>
        <v>93</v>
      </c>
      <c r="D91" s="3" t="str">
        <f ca="1">VLOOKUP($C91,OFFSET([2]characters!$A$1,0,0,COUNTA([2]characters!$A:$A),MATCH(D$1,[2]characters!$1:$1,0)-MATCH($A$1,[2]characters!$1:$1,0)+1),MATCH(D$1,[2]characters!$1:$1,0)-MATCH($A$1,[2]characters!$1:$1,0)+1,FALSE)</f>
        <v>碧東の守護神 青龍</v>
      </c>
      <c r="E91" s="66">
        <v>110</v>
      </c>
      <c r="F91" s="3" t="str">
        <f ca="1">VLOOKUP($E91,OFFSET([2]characters!$A$1,0,0,COUNTA([2]characters!$A:$A),MATCH(F$1,[2]characters!$1:$1,0)-MATCH($A$1,[2]characters!$1:$1,0)+1),MATCH(F$1,[2]characters!$1:$1,0)-MATCH($A$1,[2]characters!$1:$1,0)+1,FALSE)</f>
        <v>ブルーラビット</v>
      </c>
      <c r="G91" s="66">
        <v>4</v>
      </c>
      <c r="H91" s="66">
        <v>1</v>
      </c>
      <c r="I91" s="66">
        <v>1</v>
      </c>
    </row>
    <row r="92" spans="1:9" x14ac:dyDescent="0.15">
      <c r="A92" s="66">
        <v>92</v>
      </c>
      <c r="B92" s="3" t="str">
        <f ca="1">VLOOKUP($A92,OFFSET([2]characters!$A$1,0,0,COUNTA([2]characters!$A:$A),MATCH(B$1,[2]characters!$1:$1,0)-MATCH($A$1,[2]characters!$1:$1,0)+1),MATCH(B$1,[2]characters!$1:$1,0)-MATCH($A$1,[2]characters!$1:$1,0)+1,FALSE)</f>
        <v>守護者 青龍</v>
      </c>
      <c r="C92" s="93">
        <f ca="1">VLOOKUP($A92,OFFSET(fork_awake_units!$A$1,0,0,COUNTA(fork_awake_units!$A:$A),MATCH(C$1,fork_awake_units!$1:$1,0)-MATCH($A$1,fork_awake_units!$1:$1,0)+1),MATCH(C$1,fork_awake_units!$1:$1,0)-MATCH($A$1,fork_awake_units!$1:$1,0)+1,FALSE)</f>
        <v>93</v>
      </c>
      <c r="D92" s="3" t="str">
        <f ca="1">VLOOKUP($C92,OFFSET([2]characters!$A$1,0,0,COUNTA([2]characters!$A:$A),MATCH(D$1,[2]characters!$1:$1,0)-MATCH($A$1,[2]characters!$1:$1,0)+1),MATCH(D$1,[2]characters!$1:$1,0)-MATCH($A$1,[2]characters!$1:$1,0)+1,FALSE)</f>
        <v>碧東の守護神 青龍</v>
      </c>
      <c r="E92" s="66">
        <v>112</v>
      </c>
      <c r="F92" s="3" t="str">
        <f ca="1">VLOOKUP($E92,OFFSET([2]characters!$A$1,0,0,COUNTA([2]characters!$A:$A),MATCH(F$1,[2]characters!$1:$1,0)-MATCH($A$1,[2]characters!$1:$1,0)+1),MATCH(F$1,[2]characters!$1:$1,0)-MATCH($A$1,[2]characters!$1:$1,0)+1,FALSE)</f>
        <v>水のマッドハッター</v>
      </c>
      <c r="G92" s="66">
        <v>1</v>
      </c>
      <c r="H92" s="66">
        <v>1</v>
      </c>
      <c r="I92" s="66">
        <v>1</v>
      </c>
    </row>
    <row r="93" spans="1:9" x14ac:dyDescent="0.15">
      <c r="A93" s="66">
        <v>94</v>
      </c>
      <c r="B93" s="3" t="str">
        <f ca="1">VLOOKUP($A93,OFFSET([2]characters!$A$1,0,0,COUNTA([2]characters!$A:$A),MATCH(B$1,[2]characters!$1:$1,0)-MATCH($A$1,[2]characters!$1:$1,0)+1),MATCH(B$1,[2]characters!$1:$1,0)-MATCH($A$1,[2]characters!$1:$1,0)+1,FALSE)</f>
        <v>白虎</v>
      </c>
      <c r="C93" s="93">
        <f ca="1">VLOOKUP($A93,OFFSET(fork_awake_units!$A$1,0,0,COUNTA(fork_awake_units!$A:$A),MATCH(C$1,fork_awake_units!$1:$1,0)-MATCH($A$1,fork_awake_units!$1:$1,0)+1),MATCH(C$1,fork_awake_units!$1:$1,0)-MATCH($A$1,fork_awake_units!$1:$1,0)+1,FALSE)</f>
        <v>95</v>
      </c>
      <c r="D93" s="3" t="str">
        <f ca="1">VLOOKUP($C93,OFFSET([2]characters!$A$1,0,0,COUNTA([2]characters!$A:$A),MATCH(D$1,[2]characters!$1:$1,0)-MATCH($A$1,[2]characters!$1:$1,0)+1),MATCH(D$1,[2]characters!$1:$1,0)-MATCH($A$1,[2]characters!$1:$1,0)+1,FALSE)</f>
        <v>守護者 白虎</v>
      </c>
      <c r="E93" s="66">
        <v>113</v>
      </c>
      <c r="F93" s="3" t="str">
        <f ca="1">VLOOKUP($E93,OFFSET([2]characters!$A$1,0,0,COUNTA([2]characters!$A:$A),MATCH(F$1,[2]characters!$1:$1,0)-MATCH($A$1,[2]characters!$1:$1,0)+1),MATCH(F$1,[2]characters!$1:$1,0)-MATCH($A$1,[2]characters!$1:$1,0)+1,FALSE)</f>
        <v>イエローチェシャ</v>
      </c>
      <c r="G93" s="66">
        <v>2</v>
      </c>
      <c r="H93" s="66">
        <v>1</v>
      </c>
      <c r="I93" s="66">
        <v>1</v>
      </c>
    </row>
    <row r="94" spans="1:9" x14ac:dyDescent="0.15">
      <c r="A94" s="66">
        <v>94</v>
      </c>
      <c r="B94" s="3" t="str">
        <f ca="1">VLOOKUP($A94,OFFSET([2]characters!$A$1,0,0,COUNTA([2]characters!$A:$A),MATCH(B$1,[2]characters!$1:$1,0)-MATCH($A$1,[2]characters!$1:$1,0)+1),MATCH(B$1,[2]characters!$1:$1,0)-MATCH($A$1,[2]characters!$1:$1,0)+1,FALSE)</f>
        <v>白虎</v>
      </c>
      <c r="C94" s="93">
        <f ca="1">VLOOKUP($A94,OFFSET(fork_awake_units!$A$1,0,0,COUNTA(fork_awake_units!$A:$A),MATCH(C$1,fork_awake_units!$1:$1,0)-MATCH($A$1,fork_awake_units!$1:$1,0)+1),MATCH(C$1,fork_awake_units!$1:$1,0)-MATCH($A$1,fork_awake_units!$1:$1,0)+1,FALSE)</f>
        <v>95</v>
      </c>
      <c r="D94" s="3" t="str">
        <f ca="1">VLOOKUP($C94,OFFSET([2]characters!$A$1,0,0,COUNTA([2]characters!$A:$A),MATCH(D$1,[2]characters!$1:$1,0)-MATCH($A$1,[2]characters!$1:$1,0)+1),MATCH(D$1,[2]characters!$1:$1,0)-MATCH($A$1,[2]characters!$1:$1,0)+1,FALSE)</f>
        <v>守護者 白虎</v>
      </c>
      <c r="E94" s="66">
        <v>114</v>
      </c>
      <c r="F94" s="3" t="str">
        <f ca="1">VLOOKUP($E94,OFFSET([2]characters!$A$1,0,0,COUNTA([2]characters!$A:$A),MATCH(F$1,[2]characters!$1:$1,0)-MATCH($A$1,[2]characters!$1:$1,0)+1),MATCH(F$1,[2]characters!$1:$1,0)-MATCH($A$1,[2]characters!$1:$1,0)+1,FALSE)</f>
        <v>イエローラビット</v>
      </c>
      <c r="G94" s="66">
        <v>1</v>
      </c>
      <c r="H94" s="66">
        <v>1</v>
      </c>
      <c r="I94" s="66">
        <v>1</v>
      </c>
    </row>
    <row r="95" spans="1:9" x14ac:dyDescent="0.15">
      <c r="A95" s="66">
        <v>94</v>
      </c>
      <c r="B95" s="3" t="str">
        <f ca="1">VLOOKUP($A95,OFFSET([2]characters!$A$1,0,0,COUNTA([2]characters!$A:$A),MATCH(B$1,[2]characters!$1:$1,0)-MATCH($A$1,[2]characters!$1:$1,0)+1),MATCH(B$1,[2]characters!$1:$1,0)-MATCH($A$1,[2]characters!$1:$1,0)+1,FALSE)</f>
        <v>白虎</v>
      </c>
      <c r="C95" s="93">
        <f ca="1">VLOOKUP($A95,OFFSET(fork_awake_units!$A$1,0,0,COUNTA(fork_awake_units!$A:$A),MATCH(C$1,fork_awake_units!$1:$1,0)-MATCH($A$1,fork_awake_units!$1:$1,0)+1),MATCH(C$1,fork_awake_units!$1:$1,0)-MATCH($A$1,fork_awake_units!$1:$1,0)+1,FALSE)</f>
        <v>95</v>
      </c>
      <c r="D95" s="3" t="str">
        <f ca="1">VLOOKUP($C95,OFFSET([2]characters!$A$1,0,0,COUNTA([2]characters!$A:$A),MATCH(D$1,[2]characters!$1:$1,0)-MATCH($A$1,[2]characters!$1:$1,0)+1),MATCH(D$1,[2]characters!$1:$1,0)-MATCH($A$1,[2]characters!$1:$1,0)+1,FALSE)</f>
        <v>守護者 白虎</v>
      </c>
      <c r="E95" s="66">
        <v>115</v>
      </c>
      <c r="F95" s="3" t="str">
        <f ca="1">VLOOKUP($E95,OFFSET([2]characters!$A$1,0,0,COUNTA([2]characters!$A:$A),MATCH(F$1,[2]characters!$1:$1,0)-MATCH($A$1,[2]characters!$1:$1,0)+1),MATCH(F$1,[2]characters!$1:$1,0)-MATCH($A$1,[2]characters!$1:$1,0)+1,FALSE)</f>
        <v>イエローキャタップ</v>
      </c>
      <c r="G95" s="66">
        <v>2</v>
      </c>
      <c r="H95" s="66">
        <v>1</v>
      </c>
      <c r="I95" s="66">
        <v>1</v>
      </c>
    </row>
    <row r="96" spans="1:9" x14ac:dyDescent="0.15">
      <c r="A96" s="66">
        <v>95</v>
      </c>
      <c r="B96" s="3" t="str">
        <f ca="1">VLOOKUP($A96,OFFSET([2]characters!$A$1,0,0,COUNTA([2]characters!$A:$A),MATCH(B$1,[2]characters!$1:$1,0)-MATCH($A$1,[2]characters!$1:$1,0)+1),MATCH(B$1,[2]characters!$1:$1,0)-MATCH($A$1,[2]characters!$1:$1,0)+1,FALSE)</f>
        <v>守護者 白虎</v>
      </c>
      <c r="C96" s="93">
        <f ca="1">VLOOKUP($A96,OFFSET(fork_awake_units!$A$1,0,0,COUNTA(fork_awake_units!$A:$A),MATCH(C$1,fork_awake_units!$1:$1,0)-MATCH($A$1,fork_awake_units!$1:$1,0)+1),MATCH(C$1,fork_awake_units!$1:$1,0)-MATCH($A$1,fork_awake_units!$1:$1,0)+1,FALSE)</f>
        <v>96</v>
      </c>
      <c r="D96" s="3" t="str">
        <f ca="1">VLOOKUP($C96,OFFSET([2]characters!$A$1,0,0,COUNTA([2]characters!$A:$A),MATCH(D$1,[2]characters!$1:$1,0)-MATCH($A$1,[2]characters!$1:$1,0)+1),MATCH(D$1,[2]characters!$1:$1,0)-MATCH($A$1,[2]characters!$1:$1,0)+1,FALSE)</f>
        <v>金西の守護神 白虎</v>
      </c>
      <c r="E96" s="66">
        <v>114</v>
      </c>
      <c r="F96" s="3" t="str">
        <f ca="1">VLOOKUP($E96,OFFSET([2]characters!$A$1,0,0,COUNTA([2]characters!$A:$A),MATCH(F$1,[2]characters!$1:$1,0)-MATCH($A$1,[2]characters!$1:$1,0)+1),MATCH(F$1,[2]characters!$1:$1,0)-MATCH($A$1,[2]characters!$1:$1,0)+1,FALSE)</f>
        <v>イエローラビット</v>
      </c>
      <c r="G96" s="66">
        <v>4</v>
      </c>
      <c r="H96" s="66">
        <v>1</v>
      </c>
      <c r="I96" s="66">
        <v>1</v>
      </c>
    </row>
    <row r="97" spans="1:9" x14ac:dyDescent="0.15">
      <c r="A97" s="66">
        <v>95</v>
      </c>
      <c r="B97" s="3" t="str">
        <f ca="1">VLOOKUP($A97,OFFSET([2]characters!$A$1,0,0,COUNTA([2]characters!$A:$A),MATCH(B$1,[2]characters!$1:$1,0)-MATCH($A$1,[2]characters!$1:$1,0)+1),MATCH(B$1,[2]characters!$1:$1,0)-MATCH($A$1,[2]characters!$1:$1,0)+1,FALSE)</f>
        <v>守護者 白虎</v>
      </c>
      <c r="C97" s="93">
        <f ca="1">VLOOKUP($A97,OFFSET(fork_awake_units!$A$1,0,0,COUNTA(fork_awake_units!$A:$A),MATCH(C$1,fork_awake_units!$1:$1,0)-MATCH($A$1,fork_awake_units!$1:$1,0)+1),MATCH(C$1,fork_awake_units!$1:$1,0)-MATCH($A$1,fork_awake_units!$1:$1,0)+1,FALSE)</f>
        <v>96</v>
      </c>
      <c r="D97" s="3" t="str">
        <f ca="1">VLOOKUP($C97,OFFSET([2]characters!$A$1,0,0,COUNTA([2]characters!$A:$A),MATCH(D$1,[2]characters!$1:$1,0)-MATCH($A$1,[2]characters!$1:$1,0)+1),MATCH(D$1,[2]characters!$1:$1,0)-MATCH($A$1,[2]characters!$1:$1,0)+1,FALSE)</f>
        <v>金西の守護神 白虎</v>
      </c>
      <c r="E97" s="66">
        <v>116</v>
      </c>
      <c r="F97" s="3" t="str">
        <f ca="1">VLOOKUP($E97,OFFSET([2]characters!$A$1,0,0,COUNTA([2]characters!$A:$A),MATCH(F$1,[2]characters!$1:$1,0)-MATCH($A$1,[2]characters!$1:$1,0)+1),MATCH(F$1,[2]characters!$1:$1,0)-MATCH($A$1,[2]characters!$1:$1,0)+1,FALSE)</f>
        <v>雷のマッドハッター</v>
      </c>
      <c r="G97" s="66">
        <v>1</v>
      </c>
      <c r="H97" s="66">
        <v>1</v>
      </c>
      <c r="I97" s="66">
        <v>1</v>
      </c>
    </row>
    <row r="98" spans="1:9" x14ac:dyDescent="0.15">
      <c r="A98" s="66">
        <v>121</v>
      </c>
      <c r="B98" s="3" t="str">
        <f ca="1">VLOOKUP($A98,OFFSET([2]characters!$A$1,0,0,COUNTA([2]characters!$A:$A),MATCH(B$1,[2]characters!$1:$1,0)-MATCH($A$1,[2]characters!$1:$1,0)+1),MATCH(B$1,[2]characters!$1:$1,0)-MATCH($A$1,[2]characters!$1:$1,0)+1,FALSE)</f>
        <v>攻めの果実</v>
      </c>
      <c r="C98" s="93">
        <f ca="1">VLOOKUP($A98,OFFSET(fork_awake_units!$A$1,0,0,COUNTA(fork_awake_units!$A:$A),MATCH(C$1,fork_awake_units!$1:$1,0)-MATCH($A$1,fork_awake_units!$1:$1,0)+1),MATCH(C$1,fork_awake_units!$1:$1,0)-MATCH($A$1,fork_awake_units!$1:$1,0)+1,FALSE)</f>
        <v>607</v>
      </c>
      <c r="D98" s="3" t="str">
        <f ca="1">VLOOKUP($C98,OFFSET([2]characters!$A$1,0,0,COUNTA([2]characters!$A:$A),MATCH(D$1,[2]characters!$1:$1,0)-MATCH($A$1,[2]characters!$1:$1,0)+1),MATCH(D$1,[2]characters!$1:$1,0)-MATCH($A$1,[2]characters!$1:$1,0)+1,FALSE)</f>
        <v>メガ攻めの果実</v>
      </c>
      <c r="E98" s="66">
        <v>122</v>
      </c>
      <c r="F98" s="3" t="str">
        <f ca="1">VLOOKUP($E98,OFFSET([2]characters!$A$1,0,0,COUNTA([2]characters!$A:$A),MATCH(F$1,[2]characters!$1:$1,0)-MATCH($A$1,[2]characters!$1:$1,0)+1),MATCH(F$1,[2]characters!$1:$1,0)-MATCH($A$1,[2]characters!$1:$1,0)+1,FALSE)</f>
        <v>生命の果実</v>
      </c>
      <c r="G98" s="66">
        <v>2</v>
      </c>
      <c r="H98" s="66">
        <v>1</v>
      </c>
      <c r="I98" s="66">
        <v>1</v>
      </c>
    </row>
    <row r="99" spans="1:9" x14ac:dyDescent="0.15">
      <c r="A99" s="66">
        <v>121</v>
      </c>
      <c r="B99" s="3" t="str">
        <f ca="1">VLOOKUP($A99,OFFSET([2]characters!$A$1,0,0,COUNTA([2]characters!$A:$A),MATCH(B$1,[2]characters!$1:$1,0)-MATCH($A$1,[2]characters!$1:$1,0)+1),MATCH(B$1,[2]characters!$1:$1,0)-MATCH($A$1,[2]characters!$1:$1,0)+1,FALSE)</f>
        <v>攻めの果実</v>
      </c>
      <c r="C99" s="93">
        <f ca="1">VLOOKUP($A99,OFFSET(fork_awake_units!$A$1,0,0,COUNTA(fork_awake_units!$A:$A),MATCH(C$1,fork_awake_units!$1:$1,0)-MATCH($A$1,fork_awake_units!$1:$1,0)+1),MATCH(C$1,fork_awake_units!$1:$1,0)-MATCH($A$1,fork_awake_units!$1:$1,0)+1,FALSE)</f>
        <v>607</v>
      </c>
      <c r="D99" s="3" t="str">
        <f ca="1">VLOOKUP($C99,OFFSET([2]characters!$A$1,0,0,COUNTA([2]characters!$A:$A),MATCH(D$1,[2]characters!$1:$1,0)-MATCH($A$1,[2]characters!$1:$1,0)+1),MATCH(D$1,[2]characters!$1:$1,0)-MATCH($A$1,[2]characters!$1:$1,0)+1,FALSE)</f>
        <v>メガ攻めの果実</v>
      </c>
      <c r="E99" s="66">
        <v>123</v>
      </c>
      <c r="F99" s="3" t="str">
        <f ca="1">VLOOKUP($E99,OFFSET([2]characters!$A$1,0,0,COUNTA([2]characters!$A:$A),MATCH(F$1,[2]characters!$1:$1,0)-MATCH($A$1,[2]characters!$1:$1,0)+1),MATCH(F$1,[2]characters!$1:$1,0)-MATCH($A$1,[2]characters!$1:$1,0)+1,FALSE)</f>
        <v>癒しの果実</v>
      </c>
      <c r="G99" s="66">
        <v>2</v>
      </c>
      <c r="H99" s="66">
        <v>1</v>
      </c>
      <c r="I99" s="66">
        <v>1</v>
      </c>
    </row>
    <row r="100" spans="1:9" x14ac:dyDescent="0.15">
      <c r="A100" s="66">
        <v>122</v>
      </c>
      <c r="B100" s="3" t="str">
        <f ca="1">VLOOKUP($A100,OFFSET([2]characters!$A$1,0,0,COUNTA([2]characters!$A:$A),MATCH(B$1,[2]characters!$1:$1,0)-MATCH($A$1,[2]characters!$1:$1,0)+1),MATCH(B$1,[2]characters!$1:$1,0)-MATCH($A$1,[2]characters!$1:$1,0)+1,FALSE)</f>
        <v>生命の果実</v>
      </c>
      <c r="C100" s="93">
        <f ca="1">VLOOKUP($A100,OFFSET(fork_awake_units!$A$1,0,0,COUNTA(fork_awake_units!$A:$A),MATCH(C$1,fork_awake_units!$1:$1,0)-MATCH($A$1,fork_awake_units!$1:$1,0)+1),MATCH(C$1,fork_awake_units!$1:$1,0)-MATCH($A$1,fork_awake_units!$1:$1,0)+1,FALSE)</f>
        <v>608</v>
      </c>
      <c r="D100" s="3" t="str">
        <f ca="1">VLOOKUP($C100,OFFSET([2]characters!$A$1,0,0,COUNTA([2]characters!$A:$A),MATCH(D$1,[2]characters!$1:$1,0)-MATCH($A$1,[2]characters!$1:$1,0)+1),MATCH(D$1,[2]characters!$1:$1,0)-MATCH($A$1,[2]characters!$1:$1,0)+1,FALSE)</f>
        <v>メガ生命の果実</v>
      </c>
      <c r="E100" s="66">
        <v>121</v>
      </c>
      <c r="F100" s="3" t="str">
        <f ca="1">VLOOKUP($E100,OFFSET([2]characters!$A$1,0,0,COUNTA([2]characters!$A:$A),MATCH(F$1,[2]characters!$1:$1,0)-MATCH($A$1,[2]characters!$1:$1,0)+1),MATCH(F$1,[2]characters!$1:$1,0)-MATCH($A$1,[2]characters!$1:$1,0)+1,FALSE)</f>
        <v>攻めの果実</v>
      </c>
      <c r="G100" s="66">
        <v>2</v>
      </c>
      <c r="H100" s="66">
        <v>1</v>
      </c>
      <c r="I100" s="66">
        <v>1</v>
      </c>
    </row>
    <row r="101" spans="1:9" x14ac:dyDescent="0.15">
      <c r="A101" s="66">
        <v>122</v>
      </c>
      <c r="B101" s="3" t="str">
        <f ca="1">VLOOKUP($A101,OFFSET([2]characters!$A$1,0,0,COUNTA([2]characters!$A:$A),MATCH(B$1,[2]characters!$1:$1,0)-MATCH($A$1,[2]characters!$1:$1,0)+1),MATCH(B$1,[2]characters!$1:$1,0)-MATCH($A$1,[2]characters!$1:$1,0)+1,FALSE)</f>
        <v>生命の果実</v>
      </c>
      <c r="C101" s="93">
        <f ca="1">VLOOKUP($A101,OFFSET(fork_awake_units!$A$1,0,0,COUNTA(fork_awake_units!$A:$A),MATCH(C$1,fork_awake_units!$1:$1,0)-MATCH($A$1,fork_awake_units!$1:$1,0)+1),MATCH(C$1,fork_awake_units!$1:$1,0)-MATCH($A$1,fork_awake_units!$1:$1,0)+1,FALSE)</f>
        <v>608</v>
      </c>
      <c r="D101" s="3" t="str">
        <f ca="1">VLOOKUP($C101,OFFSET([2]characters!$A$1,0,0,COUNTA([2]characters!$A:$A),MATCH(D$1,[2]characters!$1:$1,0)-MATCH($A$1,[2]characters!$1:$1,0)+1),MATCH(D$1,[2]characters!$1:$1,0)-MATCH($A$1,[2]characters!$1:$1,0)+1,FALSE)</f>
        <v>メガ生命の果実</v>
      </c>
      <c r="E101" s="66">
        <v>123</v>
      </c>
      <c r="F101" s="3" t="str">
        <f ca="1">VLOOKUP($E101,OFFSET([2]characters!$A$1,0,0,COUNTA([2]characters!$A:$A),MATCH(F$1,[2]characters!$1:$1,0)-MATCH($A$1,[2]characters!$1:$1,0)+1),MATCH(F$1,[2]characters!$1:$1,0)-MATCH($A$1,[2]characters!$1:$1,0)+1,FALSE)</f>
        <v>癒しの果実</v>
      </c>
      <c r="G101" s="66">
        <v>2</v>
      </c>
      <c r="H101" s="66">
        <v>1</v>
      </c>
      <c r="I101" s="66">
        <v>1</v>
      </c>
    </row>
    <row r="102" spans="1:9" x14ac:dyDescent="0.15">
      <c r="A102" s="66">
        <v>123</v>
      </c>
      <c r="B102" s="3" t="str">
        <f ca="1">VLOOKUP($A102,OFFSET([2]characters!$A$1,0,0,COUNTA([2]characters!$A:$A),MATCH(B$1,[2]characters!$1:$1,0)-MATCH($A$1,[2]characters!$1:$1,0)+1),MATCH(B$1,[2]characters!$1:$1,0)-MATCH($A$1,[2]characters!$1:$1,0)+1,FALSE)</f>
        <v>癒しの果実</v>
      </c>
      <c r="C102" s="93">
        <f ca="1">VLOOKUP($A102,OFFSET(fork_awake_units!$A$1,0,0,COUNTA(fork_awake_units!$A:$A),MATCH(C$1,fork_awake_units!$1:$1,0)-MATCH($A$1,fork_awake_units!$1:$1,0)+1),MATCH(C$1,fork_awake_units!$1:$1,0)-MATCH($A$1,fork_awake_units!$1:$1,0)+1,FALSE)</f>
        <v>609</v>
      </c>
      <c r="D102" s="3" t="str">
        <f ca="1">VLOOKUP($C102,OFFSET([2]characters!$A$1,0,0,COUNTA([2]characters!$A:$A),MATCH(D$1,[2]characters!$1:$1,0)-MATCH($A$1,[2]characters!$1:$1,0)+1),MATCH(D$1,[2]characters!$1:$1,0)-MATCH($A$1,[2]characters!$1:$1,0)+1,FALSE)</f>
        <v>メガ癒しの果実</v>
      </c>
      <c r="E102" s="66">
        <v>121</v>
      </c>
      <c r="F102" s="3" t="str">
        <f ca="1">VLOOKUP($E102,OFFSET([2]characters!$A$1,0,0,COUNTA([2]characters!$A:$A),MATCH(F$1,[2]characters!$1:$1,0)-MATCH($A$1,[2]characters!$1:$1,0)+1),MATCH(F$1,[2]characters!$1:$1,0)-MATCH($A$1,[2]characters!$1:$1,0)+1,FALSE)</f>
        <v>攻めの果実</v>
      </c>
      <c r="G102" s="66">
        <v>2</v>
      </c>
      <c r="H102" s="66">
        <v>1</v>
      </c>
      <c r="I102" s="66">
        <v>1</v>
      </c>
    </row>
    <row r="103" spans="1:9" x14ac:dyDescent="0.15">
      <c r="A103" s="66">
        <v>123</v>
      </c>
      <c r="B103" s="3" t="str">
        <f ca="1">VLOOKUP($A103,OFFSET([2]characters!$A$1,0,0,COUNTA([2]characters!$A:$A),MATCH(B$1,[2]characters!$1:$1,0)-MATCH($A$1,[2]characters!$1:$1,0)+1),MATCH(B$1,[2]characters!$1:$1,0)-MATCH($A$1,[2]characters!$1:$1,0)+1,FALSE)</f>
        <v>癒しの果実</v>
      </c>
      <c r="C103" s="93">
        <f ca="1">VLOOKUP($A103,OFFSET(fork_awake_units!$A$1,0,0,COUNTA(fork_awake_units!$A:$A),MATCH(C$1,fork_awake_units!$1:$1,0)-MATCH($A$1,fork_awake_units!$1:$1,0)+1),MATCH(C$1,fork_awake_units!$1:$1,0)-MATCH($A$1,fork_awake_units!$1:$1,0)+1,FALSE)</f>
        <v>609</v>
      </c>
      <c r="D103" s="3" t="str">
        <f ca="1">VLOOKUP($C103,OFFSET([2]characters!$A$1,0,0,COUNTA([2]characters!$A:$A),MATCH(D$1,[2]characters!$1:$1,0)-MATCH($A$1,[2]characters!$1:$1,0)+1),MATCH(D$1,[2]characters!$1:$1,0)-MATCH($A$1,[2]characters!$1:$1,0)+1,FALSE)</f>
        <v>メガ癒しの果実</v>
      </c>
      <c r="E103" s="66">
        <v>122</v>
      </c>
      <c r="F103" s="3" t="str">
        <f ca="1">VLOOKUP($E103,OFFSET([2]characters!$A$1,0,0,COUNTA([2]characters!$A:$A),MATCH(F$1,[2]characters!$1:$1,0)-MATCH($A$1,[2]characters!$1:$1,0)+1),MATCH(F$1,[2]characters!$1:$1,0)-MATCH($A$1,[2]characters!$1:$1,0)+1,FALSE)</f>
        <v>生命の果実</v>
      </c>
      <c r="G103" s="66">
        <v>2</v>
      </c>
      <c r="H103" s="66">
        <v>1</v>
      </c>
      <c r="I103" s="66">
        <v>1</v>
      </c>
    </row>
    <row r="104" spans="1:9" x14ac:dyDescent="0.15">
      <c r="A104" s="66">
        <v>126</v>
      </c>
      <c r="B104" s="3" t="str">
        <f ca="1">VLOOKUP($A104,OFFSET([2]characters!$A$1,0,0,COUNTA([2]characters!$A:$A),MATCH(B$1,[2]characters!$1:$1,0)-MATCH($A$1,[2]characters!$1:$1,0)+1),MATCH(B$1,[2]characters!$1:$1,0)-MATCH($A$1,[2]characters!$1:$1,0)+1,FALSE)</f>
        <v>骨器使い ユノ</v>
      </c>
      <c r="C104" s="93">
        <f ca="1">VLOOKUP($A104,OFFSET(fork_awake_units!$A$1,0,0,COUNTA(fork_awake_units!$A:$A),MATCH(C$1,fork_awake_units!$1:$1,0)-MATCH($A$1,fork_awake_units!$1:$1,0)+1),MATCH(C$1,fork_awake_units!$1:$1,0)-MATCH($A$1,fork_awake_units!$1:$1,0)+1,FALSE)</f>
        <v>127</v>
      </c>
      <c r="D104" s="3" t="str">
        <f ca="1">VLOOKUP($C104,OFFSET([2]characters!$A$1,0,0,COUNTA([2]characters!$A:$A),MATCH(D$1,[2]characters!$1:$1,0)-MATCH($A$1,[2]characters!$1:$1,0)+1),MATCH(D$1,[2]characters!$1:$1,0)-MATCH($A$1,[2]characters!$1:$1,0)+1,FALSE)</f>
        <v>狂喜の賢者 ユノ</v>
      </c>
      <c r="E104" s="66">
        <v>102</v>
      </c>
      <c r="F104" s="3" t="str">
        <f ca="1">VLOOKUP($E104,OFFSET([2]characters!$A$1,0,0,COUNTA([2]characters!$A:$A),MATCH(F$1,[2]characters!$1:$1,0)-MATCH($A$1,[2]characters!$1:$1,0)+1),MATCH(F$1,[2]characters!$1:$1,0)-MATCH($A$1,[2]characters!$1:$1,0)+1,FALSE)</f>
        <v>レッドラビット</v>
      </c>
      <c r="G104" s="66">
        <v>3</v>
      </c>
      <c r="H104" s="66">
        <v>1</v>
      </c>
      <c r="I104" s="66">
        <v>1</v>
      </c>
    </row>
    <row r="105" spans="1:9" x14ac:dyDescent="0.15">
      <c r="A105" s="66">
        <v>126</v>
      </c>
      <c r="B105" s="3" t="str">
        <f ca="1">VLOOKUP($A105,OFFSET([2]characters!$A$1,0,0,COUNTA([2]characters!$A:$A),MATCH(B$1,[2]characters!$1:$1,0)-MATCH($A$1,[2]characters!$1:$1,0)+1),MATCH(B$1,[2]characters!$1:$1,0)-MATCH($A$1,[2]characters!$1:$1,0)+1,FALSE)</f>
        <v>骨器使い ユノ</v>
      </c>
      <c r="C105" s="93">
        <f ca="1">VLOOKUP($A105,OFFSET(fork_awake_units!$A$1,0,0,COUNTA(fork_awake_units!$A:$A),MATCH(C$1,fork_awake_units!$1:$1,0)-MATCH($A$1,fork_awake_units!$1:$1,0)+1),MATCH(C$1,fork_awake_units!$1:$1,0)-MATCH($A$1,fork_awake_units!$1:$1,0)+1,FALSE)</f>
        <v>127</v>
      </c>
      <c r="D105" s="3" t="str">
        <f ca="1">VLOOKUP($C105,OFFSET([2]characters!$A$1,0,0,COUNTA([2]characters!$A:$A),MATCH(D$1,[2]characters!$1:$1,0)-MATCH($A$1,[2]characters!$1:$1,0)+1),MATCH(D$1,[2]characters!$1:$1,0)-MATCH($A$1,[2]characters!$1:$1,0)+1,FALSE)</f>
        <v>狂喜の賢者 ユノ</v>
      </c>
      <c r="E105" s="66">
        <v>103</v>
      </c>
      <c r="F105" s="3" t="str">
        <f ca="1">VLOOKUP($E105,OFFSET([2]characters!$A$1,0,0,COUNTA([2]characters!$A:$A),MATCH(F$1,[2]characters!$1:$1,0)-MATCH($A$1,[2]characters!$1:$1,0)+1),MATCH(F$1,[2]characters!$1:$1,0)-MATCH($A$1,[2]characters!$1:$1,0)+1,FALSE)</f>
        <v>レッドキャタップ</v>
      </c>
      <c r="G105" s="66">
        <v>1</v>
      </c>
      <c r="H105" s="66">
        <v>1</v>
      </c>
      <c r="I105" s="66">
        <v>1</v>
      </c>
    </row>
    <row r="106" spans="1:9" x14ac:dyDescent="0.15">
      <c r="A106" s="66">
        <v>128</v>
      </c>
      <c r="B106" s="3" t="str">
        <f ca="1">VLOOKUP($A106,OFFSET([2]characters!$A$1,0,0,COUNTA([2]characters!$A:$A),MATCH(B$1,[2]characters!$1:$1,0)-MATCH($A$1,[2]characters!$1:$1,0)+1),MATCH(B$1,[2]characters!$1:$1,0)-MATCH($A$1,[2]characters!$1:$1,0)+1,FALSE)</f>
        <v>野生児 アマラ</v>
      </c>
      <c r="C106" s="93">
        <f ca="1">VLOOKUP($A106,OFFSET(fork_awake_units!$A$1,0,0,COUNTA(fork_awake_units!$A:$A),MATCH(C$1,fork_awake_units!$1:$1,0)-MATCH($A$1,fork_awake_units!$1:$1,0)+1),MATCH(C$1,fork_awake_units!$1:$1,0)-MATCH($A$1,fork_awake_units!$1:$1,0)+1,FALSE)</f>
        <v>129</v>
      </c>
      <c r="D106" s="3" t="str">
        <f ca="1">VLOOKUP($C106,OFFSET([2]characters!$A$1,0,0,COUNTA([2]characters!$A:$A),MATCH(D$1,[2]characters!$1:$1,0)-MATCH($A$1,[2]characters!$1:$1,0)+1),MATCH(D$1,[2]characters!$1:$1,0)-MATCH($A$1,[2]characters!$1:$1,0)+1,FALSE)</f>
        <v>孤高の狼憑き アマラ</v>
      </c>
      <c r="E106" s="66">
        <v>106</v>
      </c>
      <c r="F106" s="3" t="str">
        <f ca="1">VLOOKUP($E106,OFFSET([2]characters!$A$1,0,0,COUNTA([2]characters!$A:$A),MATCH(F$1,[2]characters!$1:$1,0)-MATCH($A$1,[2]characters!$1:$1,0)+1),MATCH(F$1,[2]characters!$1:$1,0)-MATCH($A$1,[2]characters!$1:$1,0)+1,FALSE)</f>
        <v>グリーンラビット</v>
      </c>
      <c r="G106" s="66">
        <v>3</v>
      </c>
      <c r="H106" s="66">
        <v>1</v>
      </c>
      <c r="I106" s="66">
        <v>1</v>
      </c>
    </row>
    <row r="107" spans="1:9" x14ac:dyDescent="0.15">
      <c r="A107" s="66">
        <v>128</v>
      </c>
      <c r="B107" s="3" t="str">
        <f ca="1">VLOOKUP($A107,OFFSET([2]characters!$A$1,0,0,COUNTA([2]characters!$A:$A),MATCH(B$1,[2]characters!$1:$1,0)-MATCH($A$1,[2]characters!$1:$1,0)+1),MATCH(B$1,[2]characters!$1:$1,0)-MATCH($A$1,[2]characters!$1:$1,0)+1,FALSE)</f>
        <v>野生児 アマラ</v>
      </c>
      <c r="C107" s="93">
        <f ca="1">VLOOKUP($A107,OFFSET(fork_awake_units!$A$1,0,0,COUNTA(fork_awake_units!$A:$A),MATCH(C$1,fork_awake_units!$1:$1,0)-MATCH($A$1,fork_awake_units!$1:$1,0)+1),MATCH(C$1,fork_awake_units!$1:$1,0)-MATCH($A$1,fork_awake_units!$1:$1,0)+1,FALSE)</f>
        <v>129</v>
      </c>
      <c r="D107" s="3" t="str">
        <f ca="1">VLOOKUP($C107,OFFSET([2]characters!$A$1,0,0,COUNTA([2]characters!$A:$A),MATCH(D$1,[2]characters!$1:$1,0)-MATCH($A$1,[2]characters!$1:$1,0)+1),MATCH(D$1,[2]characters!$1:$1,0)-MATCH($A$1,[2]characters!$1:$1,0)+1,FALSE)</f>
        <v>孤高の狼憑き アマラ</v>
      </c>
      <c r="E107" s="66">
        <v>107</v>
      </c>
      <c r="F107" s="3" t="str">
        <f ca="1">VLOOKUP($E107,OFFSET([2]characters!$A$1,0,0,COUNTA([2]characters!$A:$A),MATCH(F$1,[2]characters!$1:$1,0)-MATCH($A$1,[2]characters!$1:$1,0)+1),MATCH(F$1,[2]characters!$1:$1,0)-MATCH($A$1,[2]characters!$1:$1,0)+1,FALSE)</f>
        <v>グリーンキャタップ</v>
      </c>
      <c r="G107" s="66">
        <v>1</v>
      </c>
      <c r="H107" s="66">
        <v>1</v>
      </c>
      <c r="I107" s="66">
        <v>1</v>
      </c>
    </row>
    <row r="108" spans="1:9" x14ac:dyDescent="0.15">
      <c r="A108" s="66">
        <v>130</v>
      </c>
      <c r="B108" s="3" t="str">
        <f ca="1">VLOOKUP($A108,OFFSET([2]characters!$A$1,0,0,COUNTA([2]characters!$A:$A),MATCH(B$1,[2]characters!$1:$1,0)-MATCH($A$1,[2]characters!$1:$1,0)+1),MATCH(B$1,[2]characters!$1:$1,0)-MATCH($A$1,[2]characters!$1:$1,0)+1,FALSE)</f>
        <v>狼男 ローレンス</v>
      </c>
      <c r="C108" s="93">
        <f ca="1">VLOOKUP($A108,OFFSET(fork_awake_units!$A$1,0,0,COUNTA(fork_awake_units!$A:$A),MATCH(C$1,fork_awake_units!$1:$1,0)-MATCH($A$1,fork_awake_units!$1:$1,0)+1),MATCH(C$1,fork_awake_units!$1:$1,0)-MATCH($A$1,fork_awake_units!$1:$1,0)+1,FALSE)</f>
        <v>131</v>
      </c>
      <c r="D108" s="3" t="str">
        <f ca="1">VLOOKUP($C108,OFFSET([2]characters!$A$1,0,0,COUNTA([2]characters!$A:$A),MATCH(D$1,[2]characters!$1:$1,0)-MATCH($A$1,[2]characters!$1:$1,0)+1),MATCH(D$1,[2]characters!$1:$1,0)-MATCH($A$1,[2]characters!$1:$1,0)+1,FALSE)</f>
        <v>月下の人狼 ローレンス</v>
      </c>
      <c r="E108" s="66">
        <v>110</v>
      </c>
      <c r="F108" s="3" t="str">
        <f ca="1">VLOOKUP($E108,OFFSET([2]characters!$A$1,0,0,COUNTA([2]characters!$A:$A),MATCH(F$1,[2]characters!$1:$1,0)-MATCH($A$1,[2]characters!$1:$1,0)+1),MATCH(F$1,[2]characters!$1:$1,0)-MATCH($A$1,[2]characters!$1:$1,0)+1,FALSE)</f>
        <v>ブルーラビット</v>
      </c>
      <c r="G108" s="66">
        <v>3</v>
      </c>
      <c r="H108" s="66">
        <v>1</v>
      </c>
      <c r="I108" s="66">
        <v>1</v>
      </c>
    </row>
    <row r="109" spans="1:9" x14ac:dyDescent="0.15">
      <c r="A109" s="66">
        <v>130</v>
      </c>
      <c r="B109" s="3" t="str">
        <f ca="1">VLOOKUP($A109,OFFSET([2]characters!$A$1,0,0,COUNTA([2]characters!$A:$A),MATCH(B$1,[2]characters!$1:$1,0)-MATCH($A$1,[2]characters!$1:$1,0)+1),MATCH(B$1,[2]characters!$1:$1,0)-MATCH($A$1,[2]characters!$1:$1,0)+1,FALSE)</f>
        <v>狼男 ローレンス</v>
      </c>
      <c r="C109" s="93">
        <f ca="1">VLOOKUP($A109,OFFSET(fork_awake_units!$A$1,0,0,COUNTA(fork_awake_units!$A:$A),MATCH(C$1,fork_awake_units!$1:$1,0)-MATCH($A$1,fork_awake_units!$1:$1,0)+1),MATCH(C$1,fork_awake_units!$1:$1,0)-MATCH($A$1,fork_awake_units!$1:$1,0)+1,FALSE)</f>
        <v>131</v>
      </c>
      <c r="D109" s="3" t="str">
        <f ca="1">VLOOKUP($C109,OFFSET([2]characters!$A$1,0,0,COUNTA([2]characters!$A:$A),MATCH(D$1,[2]characters!$1:$1,0)-MATCH($A$1,[2]characters!$1:$1,0)+1),MATCH(D$1,[2]characters!$1:$1,0)-MATCH($A$1,[2]characters!$1:$1,0)+1,FALSE)</f>
        <v>月下の人狼 ローレンス</v>
      </c>
      <c r="E109" s="66">
        <v>111</v>
      </c>
      <c r="F109" s="3" t="str">
        <f ca="1">VLOOKUP($E109,OFFSET([2]characters!$A$1,0,0,COUNTA([2]characters!$A:$A),MATCH(F$1,[2]characters!$1:$1,0)-MATCH($A$1,[2]characters!$1:$1,0)+1),MATCH(F$1,[2]characters!$1:$1,0)-MATCH($A$1,[2]characters!$1:$1,0)+1,FALSE)</f>
        <v>ブルーキャタップ</v>
      </c>
      <c r="G109" s="66">
        <v>1</v>
      </c>
      <c r="H109" s="66">
        <v>1</v>
      </c>
      <c r="I109" s="66">
        <v>1</v>
      </c>
    </row>
    <row r="110" spans="1:9" x14ac:dyDescent="0.15">
      <c r="A110" s="66">
        <v>132</v>
      </c>
      <c r="B110" s="3" t="str">
        <f ca="1">VLOOKUP($A110,OFFSET([2]characters!$A$1,0,0,COUNTA([2]characters!$A:$A),MATCH(B$1,[2]characters!$1:$1,0)-MATCH($A$1,[2]characters!$1:$1,0)+1),MATCH(B$1,[2]characters!$1:$1,0)-MATCH($A$1,[2]characters!$1:$1,0)+1,FALSE)</f>
        <v>鳥人ハヤト</v>
      </c>
      <c r="C110" s="93">
        <f ca="1">VLOOKUP($A110,OFFSET(fork_awake_units!$A$1,0,0,COUNTA(fork_awake_units!$A:$A),MATCH(C$1,fork_awake_units!$1:$1,0)-MATCH($A$1,fork_awake_units!$1:$1,0)+1),MATCH(C$1,fork_awake_units!$1:$1,0)-MATCH($A$1,fork_awake_units!$1:$1,0)+1,FALSE)</f>
        <v>133</v>
      </c>
      <c r="D110" s="3" t="str">
        <f ca="1">VLOOKUP($C110,OFFSET([2]characters!$A$1,0,0,COUNTA([2]characters!$A:$A),MATCH(D$1,[2]characters!$1:$1,0)-MATCH($A$1,[2]characters!$1:$1,0)+1),MATCH(D$1,[2]characters!$1:$1,0)-MATCH($A$1,[2]characters!$1:$1,0)+1,FALSE)</f>
        <v>迅雷の刀剣 ハヤト</v>
      </c>
      <c r="E110" s="66">
        <v>114</v>
      </c>
      <c r="F110" s="3" t="str">
        <f ca="1">VLOOKUP($E110,OFFSET([2]characters!$A$1,0,0,COUNTA([2]characters!$A:$A),MATCH(F$1,[2]characters!$1:$1,0)-MATCH($A$1,[2]characters!$1:$1,0)+1),MATCH(F$1,[2]characters!$1:$1,0)-MATCH($A$1,[2]characters!$1:$1,0)+1,FALSE)</f>
        <v>イエローラビット</v>
      </c>
      <c r="G110" s="66">
        <v>3</v>
      </c>
      <c r="H110" s="66">
        <v>1</v>
      </c>
      <c r="I110" s="66">
        <v>1</v>
      </c>
    </row>
    <row r="111" spans="1:9" x14ac:dyDescent="0.15">
      <c r="A111" s="66">
        <v>132</v>
      </c>
      <c r="B111" s="3" t="str">
        <f ca="1">VLOOKUP($A111,OFFSET([2]characters!$A$1,0,0,COUNTA([2]characters!$A:$A),MATCH(B$1,[2]characters!$1:$1,0)-MATCH($A$1,[2]characters!$1:$1,0)+1),MATCH(B$1,[2]characters!$1:$1,0)-MATCH($A$1,[2]characters!$1:$1,0)+1,FALSE)</f>
        <v>鳥人ハヤト</v>
      </c>
      <c r="C111" s="93">
        <f ca="1">VLOOKUP($A111,OFFSET(fork_awake_units!$A$1,0,0,COUNTA(fork_awake_units!$A:$A),MATCH(C$1,fork_awake_units!$1:$1,0)-MATCH($A$1,fork_awake_units!$1:$1,0)+1),MATCH(C$1,fork_awake_units!$1:$1,0)-MATCH($A$1,fork_awake_units!$1:$1,0)+1,FALSE)</f>
        <v>133</v>
      </c>
      <c r="D111" s="3" t="str">
        <f ca="1">VLOOKUP($C111,OFFSET([2]characters!$A$1,0,0,COUNTA([2]characters!$A:$A),MATCH(D$1,[2]characters!$1:$1,0)-MATCH($A$1,[2]characters!$1:$1,0)+1),MATCH(D$1,[2]characters!$1:$1,0)-MATCH($A$1,[2]characters!$1:$1,0)+1,FALSE)</f>
        <v>迅雷の刀剣 ハヤト</v>
      </c>
      <c r="E111" s="66">
        <v>115</v>
      </c>
      <c r="F111" s="3" t="str">
        <f ca="1">VLOOKUP($E111,OFFSET([2]characters!$A$1,0,0,COUNTA([2]characters!$A:$A),MATCH(F$1,[2]characters!$1:$1,0)-MATCH($A$1,[2]characters!$1:$1,0)+1),MATCH(F$1,[2]characters!$1:$1,0)-MATCH($A$1,[2]characters!$1:$1,0)+1,FALSE)</f>
        <v>イエローキャタップ</v>
      </c>
      <c r="G111" s="66">
        <v>1</v>
      </c>
      <c r="H111" s="66">
        <v>1</v>
      </c>
      <c r="I111" s="66">
        <v>1</v>
      </c>
    </row>
    <row r="112" spans="1:9" x14ac:dyDescent="0.15">
      <c r="A112" s="66">
        <v>134</v>
      </c>
      <c r="B112" s="3" t="str">
        <f ca="1">VLOOKUP($A112,OFFSET([2]characters!$A$1,0,0,COUNTA([2]characters!$A:$A),MATCH(B$1,[2]characters!$1:$1,0)-MATCH($A$1,[2]characters!$1:$1,0)+1),MATCH(B$1,[2]characters!$1:$1,0)-MATCH($A$1,[2]characters!$1:$1,0)+1,FALSE)</f>
        <v>妖炎の夕霧</v>
      </c>
      <c r="C112" s="93">
        <f ca="1">VLOOKUP($A112,OFFSET(fork_awake_units!$A$1,0,0,COUNTA(fork_awake_units!$A:$A),MATCH(C$1,fork_awake_units!$1:$1,0)-MATCH($A$1,fork_awake_units!$1:$1,0)+1),MATCH(C$1,fork_awake_units!$1:$1,0)-MATCH($A$1,fork_awake_units!$1:$1,0)+1,FALSE)</f>
        <v>135</v>
      </c>
      <c r="D112" s="3" t="str">
        <f ca="1">VLOOKUP($C112,OFFSET([2]characters!$A$1,0,0,COUNTA([2]characters!$A:$A),MATCH(D$1,[2]characters!$1:$1,0)-MATCH($A$1,[2]characters!$1:$1,0)+1),MATCH(D$1,[2]characters!$1:$1,0)-MATCH($A$1,[2]characters!$1:$1,0)+1,FALSE)</f>
        <v>京の炎華夕霧</v>
      </c>
      <c r="E112" s="66">
        <v>101</v>
      </c>
      <c r="F112" s="3" t="str">
        <f ca="1">VLOOKUP($E112,OFFSET([2]characters!$A$1,0,0,COUNTA([2]characters!$A:$A),MATCH(F$1,[2]characters!$1:$1,0)-MATCH($A$1,[2]characters!$1:$1,0)+1),MATCH(F$1,[2]characters!$1:$1,0)-MATCH($A$1,[2]characters!$1:$1,0)+1,FALSE)</f>
        <v>レッドチェシャ</v>
      </c>
      <c r="G112" s="66">
        <v>3</v>
      </c>
      <c r="H112" s="66">
        <v>1</v>
      </c>
      <c r="I112" s="66">
        <v>1</v>
      </c>
    </row>
    <row r="113" spans="1:9" x14ac:dyDescent="0.15">
      <c r="A113" s="66">
        <v>134</v>
      </c>
      <c r="B113" s="3" t="str">
        <f ca="1">VLOOKUP($A113,OFFSET([2]characters!$A$1,0,0,COUNTA([2]characters!$A:$A),MATCH(B$1,[2]characters!$1:$1,0)-MATCH($A$1,[2]characters!$1:$1,0)+1),MATCH(B$1,[2]characters!$1:$1,0)-MATCH($A$1,[2]characters!$1:$1,0)+1,FALSE)</f>
        <v>妖炎の夕霧</v>
      </c>
      <c r="C113" s="93">
        <f ca="1">VLOOKUP($A113,OFFSET(fork_awake_units!$A$1,0,0,COUNTA(fork_awake_units!$A:$A),MATCH(C$1,fork_awake_units!$1:$1,0)-MATCH($A$1,fork_awake_units!$1:$1,0)+1),MATCH(C$1,fork_awake_units!$1:$1,0)-MATCH($A$1,fork_awake_units!$1:$1,0)+1,FALSE)</f>
        <v>135</v>
      </c>
      <c r="D113" s="3" t="str">
        <f ca="1">VLOOKUP($C113,OFFSET([2]characters!$A$1,0,0,COUNTA([2]characters!$A:$A),MATCH(D$1,[2]characters!$1:$1,0)-MATCH($A$1,[2]characters!$1:$1,0)+1),MATCH(D$1,[2]characters!$1:$1,0)-MATCH($A$1,[2]characters!$1:$1,0)+1,FALSE)</f>
        <v>京の炎華夕霧</v>
      </c>
      <c r="E113" s="66">
        <v>102</v>
      </c>
      <c r="F113" s="3" t="str">
        <f ca="1">VLOOKUP($E113,OFFSET([2]characters!$A$1,0,0,COUNTA([2]characters!$A:$A),MATCH(F$1,[2]characters!$1:$1,0)-MATCH($A$1,[2]characters!$1:$1,0)+1),MATCH(F$1,[2]characters!$1:$1,0)-MATCH($A$1,[2]characters!$1:$1,0)+1,FALSE)</f>
        <v>レッドラビット</v>
      </c>
      <c r="G113" s="66">
        <v>1</v>
      </c>
      <c r="H113" s="66">
        <v>1</v>
      </c>
      <c r="I113" s="66">
        <v>1</v>
      </c>
    </row>
    <row r="114" spans="1:9" x14ac:dyDescent="0.15">
      <c r="A114" s="66">
        <v>134</v>
      </c>
      <c r="B114" s="3" t="str">
        <f ca="1">VLOOKUP($A114,OFFSET([2]characters!$A$1,0,0,COUNTA([2]characters!$A:$A),MATCH(B$1,[2]characters!$1:$1,0)-MATCH($A$1,[2]characters!$1:$1,0)+1),MATCH(B$1,[2]characters!$1:$1,0)-MATCH($A$1,[2]characters!$1:$1,0)+1,FALSE)</f>
        <v>妖炎の夕霧</v>
      </c>
      <c r="C114" s="93">
        <f ca="1">VLOOKUP($A114,OFFSET(fork_awake_units!$A$1,0,0,COUNTA(fork_awake_units!$A:$A),MATCH(C$1,fork_awake_units!$1:$1,0)-MATCH($A$1,fork_awake_units!$1:$1,0)+1),MATCH(C$1,fork_awake_units!$1:$1,0)-MATCH($A$1,fork_awake_units!$1:$1,0)+1,FALSE)</f>
        <v>135</v>
      </c>
      <c r="D114" s="3" t="str">
        <f ca="1">VLOOKUP($C114,OFFSET([2]characters!$A$1,0,0,COUNTA([2]characters!$A:$A),MATCH(D$1,[2]characters!$1:$1,0)-MATCH($A$1,[2]characters!$1:$1,0)+1),MATCH(D$1,[2]characters!$1:$1,0)-MATCH($A$1,[2]characters!$1:$1,0)+1,FALSE)</f>
        <v>京の炎華夕霧</v>
      </c>
      <c r="E114" s="66">
        <v>103</v>
      </c>
      <c r="F114" s="3" t="str">
        <f ca="1">VLOOKUP($E114,OFFSET([2]characters!$A$1,0,0,COUNTA([2]characters!$A:$A),MATCH(F$1,[2]characters!$1:$1,0)-MATCH($A$1,[2]characters!$1:$1,0)+1),MATCH(F$1,[2]characters!$1:$1,0)-MATCH($A$1,[2]characters!$1:$1,0)+1,FALSE)</f>
        <v>レッドキャタップ</v>
      </c>
      <c r="G114" s="66">
        <v>1</v>
      </c>
      <c r="H114" s="66">
        <v>1</v>
      </c>
      <c r="I114" s="66">
        <v>1</v>
      </c>
    </row>
    <row r="115" spans="1:9" x14ac:dyDescent="0.15">
      <c r="A115" s="66">
        <v>136</v>
      </c>
      <c r="B115" s="3" t="str">
        <f ca="1">VLOOKUP($A115,OFFSET([2]characters!$A$1,0,0,COUNTA([2]characters!$A:$A),MATCH(B$1,[2]characters!$1:$1,0)-MATCH($A$1,[2]characters!$1:$1,0)+1),MATCH(B$1,[2]characters!$1:$1,0)-MATCH($A$1,[2]characters!$1:$1,0)+1,FALSE)</f>
        <v>お針子チハヤ</v>
      </c>
      <c r="C115" s="93">
        <f ca="1">VLOOKUP($A115,OFFSET(fork_awake_units!$A$1,0,0,COUNTA(fork_awake_units!$A:$A),MATCH(C$1,fork_awake_units!$1:$1,0)-MATCH($A$1,fork_awake_units!$1:$1,0)+1),MATCH(C$1,fork_awake_units!$1:$1,0)-MATCH($A$1,fork_awake_units!$1:$1,0)+1,FALSE)</f>
        <v>137</v>
      </c>
      <c r="D115" s="3" t="str">
        <f ca="1">VLOOKUP($C115,OFFSET([2]characters!$A$1,0,0,COUNTA([2]characters!$A:$A),MATCH(D$1,[2]characters!$1:$1,0)-MATCH($A$1,[2]characters!$1:$1,0)+1),MATCH(D$1,[2]characters!$1:$1,0)-MATCH($A$1,[2]characters!$1:$1,0)+1,FALSE)</f>
        <v>清福の仕立屋 チハヤ</v>
      </c>
      <c r="E115" s="66">
        <v>105</v>
      </c>
      <c r="F115" s="3" t="str">
        <f ca="1">VLOOKUP($E115,OFFSET([2]characters!$A$1,0,0,COUNTA([2]characters!$A:$A),MATCH(F$1,[2]characters!$1:$1,0)-MATCH($A$1,[2]characters!$1:$1,0)+1),MATCH(F$1,[2]characters!$1:$1,0)-MATCH($A$1,[2]characters!$1:$1,0)+1,FALSE)</f>
        <v>グリーンチェシャ</v>
      </c>
      <c r="G115" s="66">
        <v>3</v>
      </c>
      <c r="H115" s="66">
        <v>1</v>
      </c>
      <c r="I115" s="66">
        <v>1</v>
      </c>
    </row>
    <row r="116" spans="1:9" x14ac:dyDescent="0.15">
      <c r="A116" s="66">
        <v>136</v>
      </c>
      <c r="B116" s="3" t="str">
        <f ca="1">VLOOKUP($A116,OFFSET([2]characters!$A$1,0,0,COUNTA([2]characters!$A:$A),MATCH(B$1,[2]characters!$1:$1,0)-MATCH($A$1,[2]characters!$1:$1,0)+1),MATCH(B$1,[2]characters!$1:$1,0)-MATCH($A$1,[2]characters!$1:$1,0)+1,FALSE)</f>
        <v>お針子チハヤ</v>
      </c>
      <c r="C116" s="93">
        <f ca="1">VLOOKUP($A116,OFFSET(fork_awake_units!$A$1,0,0,COUNTA(fork_awake_units!$A:$A),MATCH(C$1,fork_awake_units!$1:$1,0)-MATCH($A$1,fork_awake_units!$1:$1,0)+1),MATCH(C$1,fork_awake_units!$1:$1,0)-MATCH($A$1,fork_awake_units!$1:$1,0)+1,FALSE)</f>
        <v>137</v>
      </c>
      <c r="D116" s="3" t="str">
        <f ca="1">VLOOKUP($C116,OFFSET([2]characters!$A$1,0,0,COUNTA([2]characters!$A:$A),MATCH(D$1,[2]characters!$1:$1,0)-MATCH($A$1,[2]characters!$1:$1,0)+1),MATCH(D$1,[2]characters!$1:$1,0)-MATCH($A$1,[2]characters!$1:$1,0)+1,FALSE)</f>
        <v>清福の仕立屋 チハヤ</v>
      </c>
      <c r="E116" s="66">
        <v>106</v>
      </c>
      <c r="F116" s="3" t="str">
        <f ca="1">VLOOKUP($E116,OFFSET([2]characters!$A$1,0,0,COUNTA([2]characters!$A:$A),MATCH(F$1,[2]characters!$1:$1,0)-MATCH($A$1,[2]characters!$1:$1,0)+1),MATCH(F$1,[2]characters!$1:$1,0)-MATCH($A$1,[2]characters!$1:$1,0)+1,FALSE)</f>
        <v>グリーンラビット</v>
      </c>
      <c r="G116" s="66">
        <v>1</v>
      </c>
      <c r="H116" s="66">
        <v>1</v>
      </c>
      <c r="I116" s="66">
        <v>1</v>
      </c>
    </row>
    <row r="117" spans="1:9" x14ac:dyDescent="0.15">
      <c r="A117" s="66">
        <v>136</v>
      </c>
      <c r="B117" s="3" t="str">
        <f ca="1">VLOOKUP($A117,OFFSET([2]characters!$A$1,0,0,COUNTA([2]characters!$A:$A),MATCH(B$1,[2]characters!$1:$1,0)-MATCH($A$1,[2]characters!$1:$1,0)+1),MATCH(B$1,[2]characters!$1:$1,0)-MATCH($A$1,[2]characters!$1:$1,0)+1,FALSE)</f>
        <v>お針子チハヤ</v>
      </c>
      <c r="C117" s="93">
        <f ca="1">VLOOKUP($A117,OFFSET(fork_awake_units!$A$1,0,0,COUNTA(fork_awake_units!$A:$A),MATCH(C$1,fork_awake_units!$1:$1,0)-MATCH($A$1,fork_awake_units!$1:$1,0)+1),MATCH(C$1,fork_awake_units!$1:$1,0)-MATCH($A$1,fork_awake_units!$1:$1,0)+1,FALSE)</f>
        <v>137</v>
      </c>
      <c r="D117" s="3" t="str">
        <f ca="1">VLOOKUP($C117,OFFSET([2]characters!$A$1,0,0,COUNTA([2]characters!$A:$A),MATCH(D$1,[2]characters!$1:$1,0)-MATCH($A$1,[2]characters!$1:$1,0)+1),MATCH(D$1,[2]characters!$1:$1,0)-MATCH($A$1,[2]characters!$1:$1,0)+1,FALSE)</f>
        <v>清福の仕立屋 チハヤ</v>
      </c>
      <c r="E117" s="66">
        <v>107</v>
      </c>
      <c r="F117" s="3" t="str">
        <f ca="1">VLOOKUP($E117,OFFSET([2]characters!$A$1,0,0,COUNTA([2]characters!$A:$A),MATCH(F$1,[2]characters!$1:$1,0)-MATCH($A$1,[2]characters!$1:$1,0)+1),MATCH(F$1,[2]characters!$1:$1,0)-MATCH($A$1,[2]characters!$1:$1,0)+1,FALSE)</f>
        <v>グリーンキャタップ</v>
      </c>
      <c r="G117" s="66">
        <v>1</v>
      </c>
      <c r="H117" s="66">
        <v>1</v>
      </c>
      <c r="I117" s="66">
        <v>1</v>
      </c>
    </row>
    <row r="118" spans="1:9" x14ac:dyDescent="0.15">
      <c r="A118" s="66">
        <v>138</v>
      </c>
      <c r="B118" s="3" t="str">
        <f ca="1">VLOOKUP($A118,OFFSET([2]characters!$A$1,0,0,COUNTA([2]characters!$A:$A),MATCH(B$1,[2]characters!$1:$1,0)-MATCH($A$1,[2]characters!$1:$1,0)+1),MATCH(B$1,[2]characters!$1:$1,0)-MATCH($A$1,[2]characters!$1:$1,0)+1,FALSE)</f>
        <v>蒼薙のトモエ</v>
      </c>
      <c r="C118" s="93">
        <f ca="1">VLOOKUP($A118,OFFSET(fork_awake_units!$A$1,0,0,COUNTA(fork_awake_units!$A:$A),MATCH(C$1,fork_awake_units!$1:$1,0)-MATCH($A$1,fork_awake_units!$1:$1,0)+1),MATCH(C$1,fork_awake_units!$1:$1,0)-MATCH($A$1,fork_awake_units!$1:$1,0)+1,FALSE)</f>
        <v>139</v>
      </c>
      <c r="D118" s="3" t="str">
        <f ca="1">VLOOKUP($C118,OFFSET([2]characters!$A$1,0,0,COUNTA([2]characters!$A:$A),MATCH(D$1,[2]characters!$1:$1,0)-MATCH($A$1,[2]characters!$1:$1,0)+1),MATCH(D$1,[2]characters!$1:$1,0)-MATCH($A$1,[2]characters!$1:$1,0)+1,FALSE)</f>
        <v>蒼昇刃姫 トモエ</v>
      </c>
      <c r="E118" s="66">
        <v>109</v>
      </c>
      <c r="F118" s="3" t="str">
        <f ca="1">VLOOKUP($E118,OFFSET([2]characters!$A$1,0,0,COUNTA([2]characters!$A:$A),MATCH(F$1,[2]characters!$1:$1,0)-MATCH($A$1,[2]characters!$1:$1,0)+1),MATCH(F$1,[2]characters!$1:$1,0)-MATCH($A$1,[2]characters!$1:$1,0)+1,FALSE)</f>
        <v>ブルーチェシャ</v>
      </c>
      <c r="G118" s="66">
        <v>3</v>
      </c>
      <c r="H118" s="66">
        <v>1</v>
      </c>
      <c r="I118" s="66">
        <v>1</v>
      </c>
    </row>
    <row r="119" spans="1:9" x14ac:dyDescent="0.15">
      <c r="A119" s="66">
        <v>138</v>
      </c>
      <c r="B119" s="3" t="str">
        <f ca="1">VLOOKUP($A119,OFFSET([2]characters!$A$1,0,0,COUNTA([2]characters!$A:$A),MATCH(B$1,[2]characters!$1:$1,0)-MATCH($A$1,[2]characters!$1:$1,0)+1),MATCH(B$1,[2]characters!$1:$1,0)-MATCH($A$1,[2]characters!$1:$1,0)+1,FALSE)</f>
        <v>蒼薙のトモエ</v>
      </c>
      <c r="C119" s="93">
        <f ca="1">VLOOKUP($A119,OFFSET(fork_awake_units!$A$1,0,0,COUNTA(fork_awake_units!$A:$A),MATCH(C$1,fork_awake_units!$1:$1,0)-MATCH($A$1,fork_awake_units!$1:$1,0)+1),MATCH(C$1,fork_awake_units!$1:$1,0)-MATCH($A$1,fork_awake_units!$1:$1,0)+1,FALSE)</f>
        <v>139</v>
      </c>
      <c r="D119" s="3" t="str">
        <f ca="1">VLOOKUP($C119,OFFSET([2]characters!$A$1,0,0,COUNTA([2]characters!$A:$A),MATCH(D$1,[2]characters!$1:$1,0)-MATCH($A$1,[2]characters!$1:$1,0)+1),MATCH(D$1,[2]characters!$1:$1,0)-MATCH($A$1,[2]characters!$1:$1,0)+1,FALSE)</f>
        <v>蒼昇刃姫 トモエ</v>
      </c>
      <c r="E119" s="66">
        <v>110</v>
      </c>
      <c r="F119" s="3" t="str">
        <f ca="1">VLOOKUP($E119,OFFSET([2]characters!$A$1,0,0,COUNTA([2]characters!$A:$A),MATCH(F$1,[2]characters!$1:$1,0)-MATCH($A$1,[2]characters!$1:$1,0)+1),MATCH(F$1,[2]characters!$1:$1,0)-MATCH($A$1,[2]characters!$1:$1,0)+1,FALSE)</f>
        <v>ブルーラビット</v>
      </c>
      <c r="G119" s="66">
        <v>1</v>
      </c>
      <c r="H119" s="66">
        <v>1</v>
      </c>
      <c r="I119" s="66">
        <v>1</v>
      </c>
    </row>
    <row r="120" spans="1:9" x14ac:dyDescent="0.15">
      <c r="A120" s="66">
        <v>138</v>
      </c>
      <c r="B120" s="3" t="str">
        <f ca="1">VLOOKUP($A120,OFFSET([2]characters!$A$1,0,0,COUNTA([2]characters!$A:$A),MATCH(B$1,[2]characters!$1:$1,0)-MATCH($A$1,[2]characters!$1:$1,0)+1),MATCH(B$1,[2]characters!$1:$1,0)-MATCH($A$1,[2]characters!$1:$1,0)+1,FALSE)</f>
        <v>蒼薙のトモエ</v>
      </c>
      <c r="C120" s="93">
        <f ca="1">VLOOKUP($A120,OFFSET(fork_awake_units!$A$1,0,0,COUNTA(fork_awake_units!$A:$A),MATCH(C$1,fork_awake_units!$1:$1,0)-MATCH($A$1,fork_awake_units!$1:$1,0)+1),MATCH(C$1,fork_awake_units!$1:$1,0)-MATCH($A$1,fork_awake_units!$1:$1,0)+1,FALSE)</f>
        <v>139</v>
      </c>
      <c r="D120" s="3" t="str">
        <f ca="1">VLOOKUP($C120,OFFSET([2]characters!$A$1,0,0,COUNTA([2]characters!$A:$A),MATCH(D$1,[2]characters!$1:$1,0)-MATCH($A$1,[2]characters!$1:$1,0)+1),MATCH(D$1,[2]characters!$1:$1,0)-MATCH($A$1,[2]characters!$1:$1,0)+1,FALSE)</f>
        <v>蒼昇刃姫 トモエ</v>
      </c>
      <c r="E120" s="66">
        <v>111</v>
      </c>
      <c r="F120" s="3" t="str">
        <f ca="1">VLOOKUP($E120,OFFSET([2]characters!$A$1,0,0,COUNTA([2]characters!$A:$A),MATCH(F$1,[2]characters!$1:$1,0)-MATCH($A$1,[2]characters!$1:$1,0)+1),MATCH(F$1,[2]characters!$1:$1,0)-MATCH($A$1,[2]characters!$1:$1,0)+1,FALSE)</f>
        <v>ブルーキャタップ</v>
      </c>
      <c r="G120" s="66">
        <v>1</v>
      </c>
      <c r="H120" s="66">
        <v>1</v>
      </c>
      <c r="I120" s="66">
        <v>1</v>
      </c>
    </row>
    <row r="121" spans="1:9" x14ac:dyDescent="0.15">
      <c r="A121" s="66">
        <v>140</v>
      </c>
      <c r="B121" s="3" t="str">
        <f ca="1">VLOOKUP($A121,OFFSET([2]characters!$A$1,0,0,COUNTA([2]characters!$A:$A),MATCH(B$1,[2]characters!$1:$1,0)-MATCH($A$1,[2]characters!$1:$1,0)+1),MATCH(B$1,[2]characters!$1:$1,0)-MATCH($A$1,[2]characters!$1:$1,0)+1,FALSE)</f>
        <v>秋祭のタマモ</v>
      </c>
      <c r="C121" s="93">
        <f ca="1">VLOOKUP($A121,OFFSET(fork_awake_units!$A$1,0,0,COUNTA(fork_awake_units!$A:$A),MATCH(C$1,fork_awake_units!$1:$1,0)-MATCH($A$1,fork_awake_units!$1:$1,0)+1),MATCH(C$1,fork_awake_units!$1:$1,0)-MATCH($A$1,fork_awake_units!$1:$1,0)+1,FALSE)</f>
        <v>141</v>
      </c>
      <c r="D121" s="3" t="str">
        <f ca="1">VLOOKUP($C121,OFFSET([2]characters!$A$1,0,0,COUNTA([2]characters!$A:$A),MATCH(D$1,[2]characters!$1:$1,0)-MATCH($A$1,[2]characters!$1:$1,0)+1),MATCH(D$1,[2]characters!$1:$1,0)-MATCH($A$1,[2]characters!$1:$1,0)+1,FALSE)</f>
        <v>妖狐演舞 タマモ</v>
      </c>
      <c r="E121" s="66">
        <v>113</v>
      </c>
      <c r="F121" s="3" t="str">
        <f ca="1">VLOOKUP($E121,OFFSET([2]characters!$A$1,0,0,COUNTA([2]characters!$A:$A),MATCH(F$1,[2]characters!$1:$1,0)-MATCH($A$1,[2]characters!$1:$1,0)+1),MATCH(F$1,[2]characters!$1:$1,0)-MATCH($A$1,[2]characters!$1:$1,0)+1,FALSE)</f>
        <v>イエローチェシャ</v>
      </c>
      <c r="G121" s="66">
        <v>3</v>
      </c>
      <c r="H121" s="66">
        <v>1</v>
      </c>
      <c r="I121" s="66">
        <v>1</v>
      </c>
    </row>
    <row r="122" spans="1:9" x14ac:dyDescent="0.15">
      <c r="A122" s="66">
        <v>140</v>
      </c>
      <c r="B122" s="3" t="str">
        <f ca="1">VLOOKUP($A122,OFFSET([2]characters!$A$1,0,0,COUNTA([2]characters!$A:$A),MATCH(B$1,[2]characters!$1:$1,0)-MATCH($A$1,[2]characters!$1:$1,0)+1),MATCH(B$1,[2]characters!$1:$1,0)-MATCH($A$1,[2]characters!$1:$1,0)+1,FALSE)</f>
        <v>秋祭のタマモ</v>
      </c>
      <c r="C122" s="93">
        <f ca="1">VLOOKUP($A122,OFFSET(fork_awake_units!$A$1,0,0,COUNTA(fork_awake_units!$A:$A),MATCH(C$1,fork_awake_units!$1:$1,0)-MATCH($A$1,fork_awake_units!$1:$1,0)+1),MATCH(C$1,fork_awake_units!$1:$1,0)-MATCH($A$1,fork_awake_units!$1:$1,0)+1,FALSE)</f>
        <v>141</v>
      </c>
      <c r="D122" s="3" t="str">
        <f ca="1">VLOOKUP($C122,OFFSET([2]characters!$A$1,0,0,COUNTA([2]characters!$A:$A),MATCH(D$1,[2]characters!$1:$1,0)-MATCH($A$1,[2]characters!$1:$1,0)+1),MATCH(D$1,[2]characters!$1:$1,0)-MATCH($A$1,[2]characters!$1:$1,0)+1,FALSE)</f>
        <v>妖狐演舞 タマモ</v>
      </c>
      <c r="E122" s="66">
        <v>114</v>
      </c>
      <c r="F122" s="3" t="str">
        <f ca="1">VLOOKUP($E122,OFFSET([2]characters!$A$1,0,0,COUNTA([2]characters!$A:$A),MATCH(F$1,[2]characters!$1:$1,0)-MATCH($A$1,[2]characters!$1:$1,0)+1),MATCH(F$1,[2]characters!$1:$1,0)-MATCH($A$1,[2]characters!$1:$1,0)+1,FALSE)</f>
        <v>イエローラビット</v>
      </c>
      <c r="G122" s="66">
        <v>1</v>
      </c>
      <c r="H122" s="66">
        <v>1</v>
      </c>
      <c r="I122" s="66">
        <v>1</v>
      </c>
    </row>
    <row r="123" spans="1:9" x14ac:dyDescent="0.15">
      <c r="A123" s="66">
        <v>140</v>
      </c>
      <c r="B123" s="3" t="str">
        <f ca="1">VLOOKUP($A123,OFFSET([2]characters!$A$1,0,0,COUNTA([2]characters!$A:$A),MATCH(B$1,[2]characters!$1:$1,0)-MATCH($A$1,[2]characters!$1:$1,0)+1),MATCH(B$1,[2]characters!$1:$1,0)-MATCH($A$1,[2]characters!$1:$1,0)+1,FALSE)</f>
        <v>秋祭のタマモ</v>
      </c>
      <c r="C123" s="93">
        <f ca="1">VLOOKUP($A123,OFFSET(fork_awake_units!$A$1,0,0,COUNTA(fork_awake_units!$A:$A),MATCH(C$1,fork_awake_units!$1:$1,0)-MATCH($A$1,fork_awake_units!$1:$1,0)+1),MATCH(C$1,fork_awake_units!$1:$1,0)-MATCH($A$1,fork_awake_units!$1:$1,0)+1,FALSE)</f>
        <v>141</v>
      </c>
      <c r="D123" s="3" t="str">
        <f ca="1">VLOOKUP($C123,OFFSET([2]characters!$A$1,0,0,COUNTA([2]characters!$A:$A),MATCH(D$1,[2]characters!$1:$1,0)-MATCH($A$1,[2]characters!$1:$1,0)+1),MATCH(D$1,[2]characters!$1:$1,0)-MATCH($A$1,[2]characters!$1:$1,0)+1,FALSE)</f>
        <v>妖狐演舞 タマモ</v>
      </c>
      <c r="E123" s="66">
        <v>115</v>
      </c>
      <c r="F123" s="3" t="str">
        <f ca="1">VLOOKUP($E123,OFFSET([2]characters!$A$1,0,0,COUNTA([2]characters!$A:$A),MATCH(F$1,[2]characters!$1:$1,0)-MATCH($A$1,[2]characters!$1:$1,0)+1),MATCH(F$1,[2]characters!$1:$1,0)-MATCH($A$1,[2]characters!$1:$1,0)+1,FALSE)</f>
        <v>イエローキャタップ</v>
      </c>
      <c r="G123" s="66">
        <v>1</v>
      </c>
      <c r="H123" s="66">
        <v>1</v>
      </c>
      <c r="I123" s="66">
        <v>1</v>
      </c>
    </row>
    <row r="124" spans="1:9" x14ac:dyDescent="0.15">
      <c r="A124" s="66">
        <v>142</v>
      </c>
      <c r="B124" s="3" t="str">
        <f ca="1">VLOOKUP($A124,OFFSET([2]characters!$A$1,0,0,COUNTA([2]characters!$A:$A),MATCH(B$1,[2]characters!$1:$1,0)-MATCH($A$1,[2]characters!$1:$1,0)+1),MATCH(B$1,[2]characters!$1:$1,0)-MATCH($A$1,[2]characters!$1:$1,0)+1,FALSE)</f>
        <v>赤ずきん</v>
      </c>
      <c r="C124" s="93">
        <f ca="1">VLOOKUP($A124,OFFSET(fork_awake_units!$A$1,0,0,COUNTA(fork_awake_units!$A:$A),MATCH(C$1,fork_awake_units!$1:$1,0)-MATCH($A$1,fork_awake_units!$1:$1,0)+1),MATCH(C$1,fork_awake_units!$1:$1,0)-MATCH($A$1,fork_awake_units!$1:$1,0)+1,FALSE)</f>
        <v>143</v>
      </c>
      <c r="D124" s="3" t="str">
        <f ca="1">VLOOKUP($C124,OFFSET([2]characters!$A$1,0,0,COUNTA([2]characters!$A:$A),MATCH(D$1,[2]characters!$1:$1,0)-MATCH($A$1,[2]characters!$1:$1,0)+1),MATCH(D$1,[2]characters!$1:$1,0)-MATCH($A$1,[2]characters!$1:$1,0)+1,FALSE)</f>
        <v>深紅の死神 赤ずきん</v>
      </c>
      <c r="E124" s="66">
        <v>102</v>
      </c>
      <c r="F124" s="3" t="str">
        <f ca="1">VLOOKUP($E124,OFFSET([2]characters!$A$1,0,0,COUNTA([2]characters!$A:$A),MATCH(F$1,[2]characters!$1:$1,0)-MATCH($A$1,[2]characters!$1:$1,0)+1),MATCH(F$1,[2]characters!$1:$1,0)-MATCH($A$1,[2]characters!$1:$1,0)+1,FALSE)</f>
        <v>レッドラビット</v>
      </c>
      <c r="G124" s="66">
        <v>3</v>
      </c>
      <c r="H124" s="66">
        <v>1</v>
      </c>
      <c r="I124" s="66">
        <v>1</v>
      </c>
    </row>
    <row r="125" spans="1:9" x14ac:dyDescent="0.15">
      <c r="A125" s="66">
        <v>142</v>
      </c>
      <c r="B125" s="3" t="str">
        <f ca="1">VLOOKUP($A125,OFFSET([2]characters!$A$1,0,0,COUNTA([2]characters!$A:$A),MATCH(B$1,[2]characters!$1:$1,0)-MATCH($A$1,[2]characters!$1:$1,0)+1),MATCH(B$1,[2]characters!$1:$1,0)-MATCH($A$1,[2]characters!$1:$1,0)+1,FALSE)</f>
        <v>赤ずきん</v>
      </c>
      <c r="C125" s="93">
        <f ca="1">VLOOKUP($A125,OFFSET(fork_awake_units!$A$1,0,0,COUNTA(fork_awake_units!$A:$A),MATCH(C$1,fork_awake_units!$1:$1,0)-MATCH($A$1,fork_awake_units!$1:$1,0)+1),MATCH(C$1,fork_awake_units!$1:$1,0)-MATCH($A$1,fork_awake_units!$1:$1,0)+1,FALSE)</f>
        <v>143</v>
      </c>
      <c r="D125" s="3" t="str">
        <f ca="1">VLOOKUP($C125,OFFSET([2]characters!$A$1,0,0,COUNTA([2]characters!$A:$A),MATCH(D$1,[2]characters!$1:$1,0)-MATCH($A$1,[2]characters!$1:$1,0)+1),MATCH(D$1,[2]characters!$1:$1,0)-MATCH($A$1,[2]characters!$1:$1,0)+1,FALSE)</f>
        <v>深紅の死神 赤ずきん</v>
      </c>
      <c r="E125" s="66">
        <v>103</v>
      </c>
      <c r="F125" s="3" t="str">
        <f ca="1">VLOOKUP($E125,OFFSET([2]characters!$A$1,0,0,COUNTA([2]characters!$A:$A),MATCH(F$1,[2]characters!$1:$1,0)-MATCH($A$1,[2]characters!$1:$1,0)+1),MATCH(F$1,[2]characters!$1:$1,0)-MATCH($A$1,[2]characters!$1:$1,0)+1,FALSE)</f>
        <v>レッドキャタップ</v>
      </c>
      <c r="G125" s="66">
        <v>1</v>
      </c>
      <c r="H125" s="66">
        <v>1</v>
      </c>
      <c r="I125" s="66">
        <v>1</v>
      </c>
    </row>
    <row r="126" spans="1:9" x14ac:dyDescent="0.15">
      <c r="A126" s="66">
        <v>144</v>
      </c>
      <c r="B126" s="3" t="str">
        <f ca="1">VLOOKUP($A126,OFFSET([2]characters!$A$1,0,0,COUNTA([2]characters!$A:$A),MATCH(B$1,[2]characters!$1:$1,0)-MATCH($A$1,[2]characters!$1:$1,0)+1),MATCH(B$1,[2]characters!$1:$1,0)-MATCH($A$1,[2]characters!$1:$1,0)+1,FALSE)</f>
        <v>かぐや</v>
      </c>
      <c r="C126" s="93">
        <f ca="1">VLOOKUP($A126,OFFSET(fork_awake_units!$A$1,0,0,COUNTA(fork_awake_units!$A:$A),MATCH(C$1,fork_awake_units!$1:$1,0)-MATCH($A$1,fork_awake_units!$1:$1,0)+1),MATCH(C$1,fork_awake_units!$1:$1,0)-MATCH($A$1,fork_awake_units!$1:$1,0)+1,FALSE)</f>
        <v>145</v>
      </c>
      <c r="D126" s="3" t="str">
        <f ca="1">VLOOKUP($C126,OFFSET([2]characters!$A$1,0,0,COUNTA([2]characters!$A:$A),MATCH(D$1,[2]characters!$1:$1,0)-MATCH($A$1,[2]characters!$1:$1,0)+1),MATCH(D$1,[2]characters!$1:$1,0)-MATCH($A$1,[2]characters!$1:$1,0)+1,FALSE)</f>
        <v>魔性妖艶 かぐや</v>
      </c>
      <c r="E126" s="66">
        <v>106</v>
      </c>
      <c r="F126" s="3" t="str">
        <f ca="1">VLOOKUP($E126,OFFSET([2]characters!$A$1,0,0,COUNTA([2]characters!$A:$A),MATCH(F$1,[2]characters!$1:$1,0)-MATCH($A$1,[2]characters!$1:$1,0)+1),MATCH(F$1,[2]characters!$1:$1,0)-MATCH($A$1,[2]characters!$1:$1,0)+1,FALSE)</f>
        <v>グリーンラビット</v>
      </c>
      <c r="G126" s="66">
        <v>3</v>
      </c>
      <c r="H126" s="66">
        <v>1</v>
      </c>
      <c r="I126" s="66">
        <v>1</v>
      </c>
    </row>
    <row r="127" spans="1:9" x14ac:dyDescent="0.15">
      <c r="A127" s="66">
        <v>144</v>
      </c>
      <c r="B127" s="3" t="str">
        <f ca="1">VLOOKUP($A127,OFFSET([2]characters!$A$1,0,0,COUNTA([2]characters!$A:$A),MATCH(B$1,[2]characters!$1:$1,0)-MATCH($A$1,[2]characters!$1:$1,0)+1),MATCH(B$1,[2]characters!$1:$1,0)-MATCH($A$1,[2]characters!$1:$1,0)+1,FALSE)</f>
        <v>かぐや</v>
      </c>
      <c r="C127" s="93">
        <f ca="1">VLOOKUP($A127,OFFSET(fork_awake_units!$A$1,0,0,COUNTA(fork_awake_units!$A:$A),MATCH(C$1,fork_awake_units!$1:$1,0)-MATCH($A$1,fork_awake_units!$1:$1,0)+1),MATCH(C$1,fork_awake_units!$1:$1,0)-MATCH($A$1,fork_awake_units!$1:$1,0)+1,FALSE)</f>
        <v>145</v>
      </c>
      <c r="D127" s="3" t="str">
        <f ca="1">VLOOKUP($C127,OFFSET([2]characters!$A$1,0,0,COUNTA([2]characters!$A:$A),MATCH(D$1,[2]characters!$1:$1,0)-MATCH($A$1,[2]characters!$1:$1,0)+1),MATCH(D$1,[2]characters!$1:$1,0)-MATCH($A$1,[2]characters!$1:$1,0)+1,FALSE)</f>
        <v>魔性妖艶 かぐや</v>
      </c>
      <c r="E127" s="66">
        <v>107</v>
      </c>
      <c r="F127" s="3" t="str">
        <f ca="1">VLOOKUP($E127,OFFSET([2]characters!$A$1,0,0,COUNTA([2]characters!$A:$A),MATCH(F$1,[2]characters!$1:$1,0)-MATCH($A$1,[2]characters!$1:$1,0)+1),MATCH(F$1,[2]characters!$1:$1,0)-MATCH($A$1,[2]characters!$1:$1,0)+1,FALSE)</f>
        <v>グリーンキャタップ</v>
      </c>
      <c r="G127" s="66">
        <v>1</v>
      </c>
      <c r="H127" s="66">
        <v>1</v>
      </c>
      <c r="I127" s="66">
        <v>1</v>
      </c>
    </row>
    <row r="128" spans="1:9" x14ac:dyDescent="0.15">
      <c r="A128" s="66">
        <v>146</v>
      </c>
      <c r="B128" s="3" t="str">
        <f ca="1">VLOOKUP($A128,OFFSET([2]characters!$A$1,0,0,COUNTA([2]characters!$A:$A),MATCH(B$1,[2]characters!$1:$1,0)-MATCH($A$1,[2]characters!$1:$1,0)+1),MATCH(B$1,[2]characters!$1:$1,0)-MATCH($A$1,[2]characters!$1:$1,0)+1,FALSE)</f>
        <v>マーメイド</v>
      </c>
      <c r="C128" s="93">
        <f ca="1">VLOOKUP($A128,OFFSET(fork_awake_units!$A$1,0,0,COUNTA(fork_awake_units!$A:$A),MATCH(C$1,fork_awake_units!$1:$1,0)-MATCH($A$1,fork_awake_units!$1:$1,0)+1),MATCH(C$1,fork_awake_units!$1:$1,0)-MATCH($A$1,fork_awake_units!$1:$1,0)+1,FALSE)</f>
        <v>147</v>
      </c>
      <c r="D128" s="3" t="str">
        <f ca="1">VLOOKUP($C128,OFFSET([2]characters!$A$1,0,0,COUNTA([2]characters!$A:$A),MATCH(D$1,[2]characters!$1:$1,0)-MATCH($A$1,[2]characters!$1:$1,0)+1),MATCH(D$1,[2]characters!$1:$1,0)-MATCH($A$1,[2]characters!$1:$1,0)+1,FALSE)</f>
        <v>蒼き閃光 元マーメイド</v>
      </c>
      <c r="E128" s="66">
        <v>110</v>
      </c>
      <c r="F128" s="3" t="str">
        <f ca="1">VLOOKUP($E128,OFFSET([2]characters!$A$1,0,0,COUNTA([2]characters!$A:$A),MATCH(F$1,[2]characters!$1:$1,0)-MATCH($A$1,[2]characters!$1:$1,0)+1),MATCH(F$1,[2]characters!$1:$1,0)-MATCH($A$1,[2]characters!$1:$1,0)+1,FALSE)</f>
        <v>ブルーラビット</v>
      </c>
      <c r="G128" s="66">
        <v>3</v>
      </c>
      <c r="H128" s="66">
        <v>1</v>
      </c>
      <c r="I128" s="66">
        <v>1</v>
      </c>
    </row>
    <row r="129" spans="1:9" x14ac:dyDescent="0.15">
      <c r="A129" s="66">
        <v>146</v>
      </c>
      <c r="B129" s="3" t="str">
        <f ca="1">VLOOKUP($A129,OFFSET([2]characters!$A$1,0,0,COUNTA([2]characters!$A:$A),MATCH(B$1,[2]characters!$1:$1,0)-MATCH($A$1,[2]characters!$1:$1,0)+1),MATCH(B$1,[2]characters!$1:$1,0)-MATCH($A$1,[2]characters!$1:$1,0)+1,FALSE)</f>
        <v>マーメイド</v>
      </c>
      <c r="C129" s="93">
        <f ca="1">VLOOKUP($A129,OFFSET(fork_awake_units!$A$1,0,0,COUNTA(fork_awake_units!$A:$A),MATCH(C$1,fork_awake_units!$1:$1,0)-MATCH($A$1,fork_awake_units!$1:$1,0)+1),MATCH(C$1,fork_awake_units!$1:$1,0)-MATCH($A$1,fork_awake_units!$1:$1,0)+1,FALSE)</f>
        <v>147</v>
      </c>
      <c r="D129" s="3" t="str">
        <f ca="1">VLOOKUP($C129,OFFSET([2]characters!$A$1,0,0,COUNTA([2]characters!$A:$A),MATCH(D$1,[2]characters!$1:$1,0)-MATCH($A$1,[2]characters!$1:$1,0)+1),MATCH(D$1,[2]characters!$1:$1,0)-MATCH($A$1,[2]characters!$1:$1,0)+1,FALSE)</f>
        <v>蒼き閃光 元マーメイド</v>
      </c>
      <c r="E129" s="66">
        <v>111</v>
      </c>
      <c r="F129" s="3" t="str">
        <f ca="1">VLOOKUP($E129,OFFSET([2]characters!$A$1,0,0,COUNTA([2]characters!$A:$A),MATCH(F$1,[2]characters!$1:$1,0)-MATCH($A$1,[2]characters!$1:$1,0)+1),MATCH(F$1,[2]characters!$1:$1,0)-MATCH($A$1,[2]characters!$1:$1,0)+1,FALSE)</f>
        <v>ブルーキャタップ</v>
      </c>
      <c r="G129" s="66">
        <v>1</v>
      </c>
      <c r="H129" s="66">
        <v>1</v>
      </c>
      <c r="I129" s="66">
        <v>1</v>
      </c>
    </row>
    <row r="130" spans="1:9" x14ac:dyDescent="0.15">
      <c r="A130" s="66">
        <v>148</v>
      </c>
      <c r="B130" s="3" t="str">
        <f ca="1">VLOOKUP($A130,OFFSET([2]characters!$A$1,0,0,COUNTA([2]characters!$A:$A),MATCH(B$1,[2]characters!$1:$1,0)-MATCH($A$1,[2]characters!$1:$1,0)+1),MATCH(B$1,[2]characters!$1:$1,0)-MATCH($A$1,[2]characters!$1:$1,0)+1,FALSE)</f>
        <v>シンデレラ</v>
      </c>
      <c r="C130" s="93">
        <f ca="1">VLOOKUP($A130,OFFSET(fork_awake_units!$A$1,0,0,COUNTA(fork_awake_units!$A:$A),MATCH(C$1,fork_awake_units!$1:$1,0)-MATCH($A$1,fork_awake_units!$1:$1,0)+1),MATCH(C$1,fork_awake_units!$1:$1,0)-MATCH($A$1,fork_awake_units!$1:$1,0)+1,FALSE)</f>
        <v>149</v>
      </c>
      <c r="D130" s="3" t="str">
        <f ca="1">VLOOKUP($C130,OFFSET([2]characters!$A$1,0,0,COUNTA([2]characters!$A:$A),MATCH(D$1,[2]characters!$1:$1,0)-MATCH($A$1,[2]characters!$1:$1,0)+1),MATCH(D$1,[2]characters!$1:$1,0)-MATCH($A$1,[2]characters!$1:$1,0)+1,FALSE)</f>
        <v>雷撃蹴技を極めし者 シンデレラ</v>
      </c>
      <c r="E130" s="66">
        <v>114</v>
      </c>
      <c r="F130" s="3" t="str">
        <f ca="1">VLOOKUP($E130,OFFSET([2]characters!$A$1,0,0,COUNTA([2]characters!$A:$A),MATCH(F$1,[2]characters!$1:$1,0)-MATCH($A$1,[2]characters!$1:$1,0)+1),MATCH(F$1,[2]characters!$1:$1,0)-MATCH($A$1,[2]characters!$1:$1,0)+1,FALSE)</f>
        <v>イエローラビット</v>
      </c>
      <c r="G130" s="66">
        <v>3</v>
      </c>
      <c r="H130" s="66">
        <v>1</v>
      </c>
      <c r="I130" s="66">
        <v>1</v>
      </c>
    </row>
    <row r="131" spans="1:9" x14ac:dyDescent="0.15">
      <c r="A131" s="66">
        <v>148</v>
      </c>
      <c r="B131" s="3" t="str">
        <f ca="1">VLOOKUP($A131,OFFSET([2]characters!$A$1,0,0,COUNTA([2]characters!$A:$A),MATCH(B$1,[2]characters!$1:$1,0)-MATCH($A$1,[2]characters!$1:$1,0)+1),MATCH(B$1,[2]characters!$1:$1,0)-MATCH($A$1,[2]characters!$1:$1,0)+1,FALSE)</f>
        <v>シンデレラ</v>
      </c>
      <c r="C131" s="93">
        <f ca="1">VLOOKUP($A131,OFFSET(fork_awake_units!$A$1,0,0,COUNTA(fork_awake_units!$A:$A),MATCH(C$1,fork_awake_units!$1:$1,0)-MATCH($A$1,fork_awake_units!$1:$1,0)+1),MATCH(C$1,fork_awake_units!$1:$1,0)-MATCH($A$1,fork_awake_units!$1:$1,0)+1,FALSE)</f>
        <v>149</v>
      </c>
      <c r="D131" s="3" t="str">
        <f ca="1">VLOOKUP($C131,OFFSET([2]characters!$A$1,0,0,COUNTA([2]characters!$A:$A),MATCH(D$1,[2]characters!$1:$1,0)-MATCH($A$1,[2]characters!$1:$1,0)+1),MATCH(D$1,[2]characters!$1:$1,0)-MATCH($A$1,[2]characters!$1:$1,0)+1,FALSE)</f>
        <v>雷撃蹴技を極めし者 シンデレラ</v>
      </c>
      <c r="E131" s="66">
        <v>115</v>
      </c>
      <c r="F131" s="3" t="str">
        <f ca="1">VLOOKUP($E131,OFFSET([2]characters!$A$1,0,0,COUNTA([2]characters!$A:$A),MATCH(F$1,[2]characters!$1:$1,0)-MATCH($A$1,[2]characters!$1:$1,0)+1),MATCH(F$1,[2]characters!$1:$1,0)-MATCH($A$1,[2]characters!$1:$1,0)+1,FALSE)</f>
        <v>イエローキャタップ</v>
      </c>
      <c r="G131" s="66">
        <v>1</v>
      </c>
      <c r="H131" s="66">
        <v>1</v>
      </c>
      <c r="I131" s="66">
        <v>1</v>
      </c>
    </row>
    <row r="132" spans="1:9" x14ac:dyDescent="0.15">
      <c r="A132" s="66">
        <v>150</v>
      </c>
      <c r="B132" s="3" t="str">
        <f ca="1">VLOOKUP($A132,OFFSET([2]characters!$A$1,0,0,COUNTA([2]characters!$A:$A),MATCH(B$1,[2]characters!$1:$1,0)-MATCH($A$1,[2]characters!$1:$1,0)+1),MATCH(B$1,[2]characters!$1:$1,0)-MATCH($A$1,[2]characters!$1:$1,0)+1,FALSE)</f>
        <v>ポイズンマスターサキ</v>
      </c>
      <c r="C132" s="93">
        <f ca="1">VLOOKUP($A132,OFFSET(fork_awake_units!$A$1,0,0,COUNTA(fork_awake_units!$A:$A),MATCH(C$1,fork_awake_units!$1:$1,0)-MATCH($A$1,fork_awake_units!$1:$1,0)+1),MATCH(C$1,fork_awake_units!$1:$1,0)-MATCH($A$1,fork_awake_units!$1:$1,0)+1,FALSE)</f>
        <v>151</v>
      </c>
      <c r="D132" s="3" t="str">
        <f ca="1">VLOOKUP($C132,OFFSET([2]characters!$A$1,0,0,COUNTA([2]characters!$A:$A),MATCH(D$1,[2]characters!$1:$1,0)-MATCH($A$1,[2]characters!$1:$1,0)+1),MATCH(D$1,[2]characters!$1:$1,0)-MATCH($A$1,[2]characters!$1:$1,0)+1,FALSE)</f>
        <v>毒煙の処刑人サキ</v>
      </c>
      <c r="E132" s="66">
        <v>101</v>
      </c>
      <c r="F132" s="3" t="str">
        <f ca="1">VLOOKUP($E132,OFFSET([2]characters!$A$1,0,0,COUNTA([2]characters!$A:$A),MATCH(F$1,[2]characters!$1:$1,0)-MATCH($A$1,[2]characters!$1:$1,0)+1),MATCH(F$1,[2]characters!$1:$1,0)-MATCH($A$1,[2]characters!$1:$1,0)+1,FALSE)</f>
        <v>レッドチェシャ</v>
      </c>
      <c r="G132" s="66">
        <v>3</v>
      </c>
      <c r="H132" s="66">
        <v>1</v>
      </c>
      <c r="I132" s="66">
        <v>1</v>
      </c>
    </row>
    <row r="133" spans="1:9" x14ac:dyDescent="0.15">
      <c r="A133" s="66">
        <v>150</v>
      </c>
      <c r="B133" s="3" t="str">
        <f ca="1">VLOOKUP($A133,OFFSET([2]characters!$A$1,0,0,COUNTA([2]characters!$A:$A),MATCH(B$1,[2]characters!$1:$1,0)-MATCH($A$1,[2]characters!$1:$1,0)+1),MATCH(B$1,[2]characters!$1:$1,0)-MATCH($A$1,[2]characters!$1:$1,0)+1,FALSE)</f>
        <v>ポイズンマスターサキ</v>
      </c>
      <c r="C133" s="93">
        <f ca="1">VLOOKUP($A133,OFFSET(fork_awake_units!$A$1,0,0,COUNTA(fork_awake_units!$A:$A),MATCH(C$1,fork_awake_units!$1:$1,0)-MATCH($A$1,fork_awake_units!$1:$1,0)+1),MATCH(C$1,fork_awake_units!$1:$1,0)-MATCH($A$1,fork_awake_units!$1:$1,0)+1,FALSE)</f>
        <v>151</v>
      </c>
      <c r="D133" s="3" t="str">
        <f ca="1">VLOOKUP($C133,OFFSET([2]characters!$A$1,0,0,COUNTA([2]characters!$A:$A),MATCH(D$1,[2]characters!$1:$1,0)-MATCH($A$1,[2]characters!$1:$1,0)+1),MATCH(D$1,[2]characters!$1:$1,0)-MATCH($A$1,[2]characters!$1:$1,0)+1,FALSE)</f>
        <v>毒煙の処刑人サキ</v>
      </c>
      <c r="E133" s="66">
        <v>102</v>
      </c>
      <c r="F133" s="3" t="str">
        <f ca="1">VLOOKUP($E133,OFFSET([2]characters!$A$1,0,0,COUNTA([2]characters!$A:$A),MATCH(F$1,[2]characters!$1:$1,0)-MATCH($A$1,[2]characters!$1:$1,0)+1),MATCH(F$1,[2]characters!$1:$1,0)-MATCH($A$1,[2]characters!$1:$1,0)+1,FALSE)</f>
        <v>レッドラビット</v>
      </c>
      <c r="G133" s="66">
        <v>1</v>
      </c>
      <c r="H133" s="66">
        <v>1</v>
      </c>
      <c r="I133" s="66">
        <v>1</v>
      </c>
    </row>
    <row r="134" spans="1:9" x14ac:dyDescent="0.15">
      <c r="A134" s="66">
        <v>150</v>
      </c>
      <c r="B134" s="3" t="str">
        <f ca="1">VLOOKUP($A134,OFFSET([2]characters!$A$1,0,0,COUNTA([2]characters!$A:$A),MATCH(B$1,[2]characters!$1:$1,0)-MATCH($A$1,[2]characters!$1:$1,0)+1),MATCH(B$1,[2]characters!$1:$1,0)-MATCH($A$1,[2]characters!$1:$1,0)+1,FALSE)</f>
        <v>ポイズンマスターサキ</v>
      </c>
      <c r="C134" s="93">
        <f ca="1">VLOOKUP($A134,OFFSET(fork_awake_units!$A$1,0,0,COUNTA(fork_awake_units!$A:$A),MATCH(C$1,fork_awake_units!$1:$1,0)-MATCH($A$1,fork_awake_units!$1:$1,0)+1),MATCH(C$1,fork_awake_units!$1:$1,0)-MATCH($A$1,fork_awake_units!$1:$1,0)+1,FALSE)</f>
        <v>151</v>
      </c>
      <c r="D134" s="3" t="str">
        <f ca="1">VLOOKUP($C134,OFFSET([2]characters!$A$1,0,0,COUNTA([2]characters!$A:$A),MATCH(D$1,[2]characters!$1:$1,0)-MATCH($A$1,[2]characters!$1:$1,0)+1),MATCH(D$1,[2]characters!$1:$1,0)-MATCH($A$1,[2]characters!$1:$1,0)+1,FALSE)</f>
        <v>毒煙の処刑人サキ</v>
      </c>
      <c r="E134" s="66">
        <v>103</v>
      </c>
      <c r="F134" s="3" t="str">
        <f ca="1">VLOOKUP($E134,OFFSET([2]characters!$A$1,0,0,COUNTA([2]characters!$A:$A),MATCH(F$1,[2]characters!$1:$1,0)-MATCH($A$1,[2]characters!$1:$1,0)+1),MATCH(F$1,[2]characters!$1:$1,0)-MATCH($A$1,[2]characters!$1:$1,0)+1,FALSE)</f>
        <v>レッドキャタップ</v>
      </c>
      <c r="G134" s="66">
        <v>1</v>
      </c>
      <c r="H134" s="66">
        <v>1</v>
      </c>
      <c r="I134" s="66">
        <v>1</v>
      </c>
    </row>
    <row r="135" spans="1:9" x14ac:dyDescent="0.15">
      <c r="A135" s="66">
        <v>152</v>
      </c>
      <c r="B135" s="3" t="str">
        <f ca="1">VLOOKUP($A135,OFFSET([2]characters!$A$1,0,0,COUNTA([2]characters!$A:$A),MATCH(B$1,[2]characters!$1:$1,0)-MATCH($A$1,[2]characters!$1:$1,0)+1),MATCH(B$1,[2]characters!$1:$1,0)-MATCH($A$1,[2]characters!$1:$1,0)+1,FALSE)</f>
        <v>功夫少女ランラン</v>
      </c>
      <c r="C135" s="93">
        <f ca="1">VLOOKUP($A135,OFFSET(fork_awake_units!$A$1,0,0,COUNTA(fork_awake_units!$A:$A),MATCH(C$1,fork_awake_units!$1:$1,0)-MATCH($A$1,fork_awake_units!$1:$1,0)+1),MATCH(C$1,fork_awake_units!$1:$1,0)-MATCH($A$1,fork_awake_units!$1:$1,0)+1,FALSE)</f>
        <v>153</v>
      </c>
      <c r="D135" s="3" t="str">
        <f ca="1">VLOOKUP($C135,OFFSET([2]characters!$A$1,0,0,COUNTA([2]characters!$A:$A),MATCH(D$1,[2]characters!$1:$1,0)-MATCH($A$1,[2]characters!$1:$1,0)+1),MATCH(D$1,[2]characters!$1:$1,0)-MATCH($A$1,[2]characters!$1:$1,0)+1,FALSE)</f>
        <v>拳聖ランラン</v>
      </c>
      <c r="E135" s="66">
        <v>105</v>
      </c>
      <c r="F135" s="3" t="str">
        <f ca="1">VLOOKUP($E135,OFFSET([2]characters!$A$1,0,0,COUNTA([2]characters!$A:$A),MATCH(F$1,[2]characters!$1:$1,0)-MATCH($A$1,[2]characters!$1:$1,0)+1),MATCH(F$1,[2]characters!$1:$1,0)-MATCH($A$1,[2]characters!$1:$1,0)+1,FALSE)</f>
        <v>グリーンチェシャ</v>
      </c>
      <c r="G135" s="66">
        <v>3</v>
      </c>
      <c r="H135" s="66">
        <v>1</v>
      </c>
      <c r="I135" s="66">
        <v>1</v>
      </c>
    </row>
    <row r="136" spans="1:9" x14ac:dyDescent="0.15">
      <c r="A136" s="66">
        <v>152</v>
      </c>
      <c r="B136" s="3" t="str">
        <f ca="1">VLOOKUP($A136,OFFSET([2]characters!$A$1,0,0,COUNTA([2]characters!$A:$A),MATCH(B$1,[2]characters!$1:$1,0)-MATCH($A$1,[2]characters!$1:$1,0)+1),MATCH(B$1,[2]characters!$1:$1,0)-MATCH($A$1,[2]characters!$1:$1,0)+1,FALSE)</f>
        <v>功夫少女ランラン</v>
      </c>
      <c r="C136" s="93">
        <f ca="1">VLOOKUP($A136,OFFSET(fork_awake_units!$A$1,0,0,COUNTA(fork_awake_units!$A:$A),MATCH(C$1,fork_awake_units!$1:$1,0)-MATCH($A$1,fork_awake_units!$1:$1,0)+1),MATCH(C$1,fork_awake_units!$1:$1,0)-MATCH($A$1,fork_awake_units!$1:$1,0)+1,FALSE)</f>
        <v>153</v>
      </c>
      <c r="D136" s="3" t="str">
        <f ca="1">VLOOKUP($C136,OFFSET([2]characters!$A$1,0,0,COUNTA([2]characters!$A:$A),MATCH(D$1,[2]characters!$1:$1,0)-MATCH($A$1,[2]characters!$1:$1,0)+1),MATCH(D$1,[2]characters!$1:$1,0)-MATCH($A$1,[2]characters!$1:$1,0)+1,FALSE)</f>
        <v>拳聖ランラン</v>
      </c>
      <c r="E136" s="66">
        <v>106</v>
      </c>
      <c r="F136" s="3" t="str">
        <f ca="1">VLOOKUP($E136,OFFSET([2]characters!$A$1,0,0,COUNTA([2]characters!$A:$A),MATCH(F$1,[2]characters!$1:$1,0)-MATCH($A$1,[2]characters!$1:$1,0)+1),MATCH(F$1,[2]characters!$1:$1,0)-MATCH($A$1,[2]characters!$1:$1,0)+1,FALSE)</f>
        <v>グリーンラビット</v>
      </c>
      <c r="G136" s="66">
        <v>1</v>
      </c>
      <c r="H136" s="66">
        <v>1</v>
      </c>
      <c r="I136" s="66">
        <v>1</v>
      </c>
    </row>
    <row r="137" spans="1:9" x14ac:dyDescent="0.15">
      <c r="A137" s="66">
        <v>152</v>
      </c>
      <c r="B137" s="3" t="str">
        <f ca="1">VLOOKUP($A137,OFFSET([2]characters!$A$1,0,0,COUNTA([2]characters!$A:$A),MATCH(B$1,[2]characters!$1:$1,0)-MATCH($A$1,[2]characters!$1:$1,0)+1),MATCH(B$1,[2]characters!$1:$1,0)-MATCH($A$1,[2]characters!$1:$1,0)+1,FALSE)</f>
        <v>功夫少女ランラン</v>
      </c>
      <c r="C137" s="93">
        <f ca="1">VLOOKUP($A137,OFFSET(fork_awake_units!$A$1,0,0,COUNTA(fork_awake_units!$A:$A),MATCH(C$1,fork_awake_units!$1:$1,0)-MATCH($A$1,fork_awake_units!$1:$1,0)+1),MATCH(C$1,fork_awake_units!$1:$1,0)-MATCH($A$1,fork_awake_units!$1:$1,0)+1,FALSE)</f>
        <v>153</v>
      </c>
      <c r="D137" s="3" t="str">
        <f ca="1">VLOOKUP($C137,OFFSET([2]characters!$A$1,0,0,COUNTA([2]characters!$A:$A),MATCH(D$1,[2]characters!$1:$1,0)-MATCH($A$1,[2]characters!$1:$1,0)+1),MATCH(D$1,[2]characters!$1:$1,0)-MATCH($A$1,[2]characters!$1:$1,0)+1,FALSE)</f>
        <v>拳聖ランラン</v>
      </c>
      <c r="E137" s="66">
        <v>107</v>
      </c>
      <c r="F137" s="3" t="str">
        <f ca="1">VLOOKUP($E137,OFFSET([2]characters!$A$1,0,0,COUNTA([2]characters!$A:$A),MATCH(F$1,[2]characters!$1:$1,0)-MATCH($A$1,[2]characters!$1:$1,0)+1),MATCH(F$1,[2]characters!$1:$1,0)-MATCH($A$1,[2]characters!$1:$1,0)+1,FALSE)</f>
        <v>グリーンキャタップ</v>
      </c>
      <c r="G137" s="66">
        <v>1</v>
      </c>
      <c r="H137" s="66">
        <v>1</v>
      </c>
      <c r="I137" s="66">
        <v>1</v>
      </c>
    </row>
    <row r="138" spans="1:9" x14ac:dyDescent="0.15">
      <c r="A138" s="66">
        <v>154</v>
      </c>
      <c r="B138" s="3" t="str">
        <f ca="1">VLOOKUP($A138,OFFSET([2]characters!$A$1,0,0,COUNTA([2]characters!$A:$A),MATCH(B$1,[2]characters!$1:$1,0)-MATCH($A$1,[2]characters!$1:$1,0)+1),MATCH(B$1,[2]characters!$1:$1,0)-MATCH($A$1,[2]characters!$1:$1,0)+1,FALSE)</f>
        <v>始末屋 ハンナ</v>
      </c>
      <c r="C138" s="93">
        <f ca="1">VLOOKUP($A138,OFFSET(fork_awake_units!$A$1,0,0,COUNTA(fork_awake_units!$A:$A),MATCH(C$1,fork_awake_units!$1:$1,0)-MATCH($A$1,fork_awake_units!$1:$1,0)+1),MATCH(C$1,fork_awake_units!$1:$1,0)-MATCH($A$1,fork_awake_units!$1:$1,0)+1,FALSE)</f>
        <v>155</v>
      </c>
      <c r="D138" s="3" t="str">
        <f ca="1">VLOOKUP($C138,OFFSET([2]characters!$A$1,0,0,COUNTA([2]characters!$A:$A),MATCH(D$1,[2]characters!$1:$1,0)-MATCH($A$1,[2]characters!$1:$1,0)+1),MATCH(D$1,[2]characters!$1:$1,0)-MATCH($A$1,[2]characters!$1:$1,0)+1,FALSE)</f>
        <v>隻眼の掃除屋 ハンナ</v>
      </c>
      <c r="E138" s="66">
        <v>109</v>
      </c>
      <c r="F138" s="3" t="str">
        <f ca="1">VLOOKUP($E138,OFFSET([2]characters!$A$1,0,0,COUNTA([2]characters!$A:$A),MATCH(F$1,[2]characters!$1:$1,0)-MATCH($A$1,[2]characters!$1:$1,0)+1),MATCH(F$1,[2]characters!$1:$1,0)-MATCH($A$1,[2]characters!$1:$1,0)+1,FALSE)</f>
        <v>ブルーチェシャ</v>
      </c>
      <c r="G138" s="66">
        <v>3</v>
      </c>
      <c r="H138" s="66">
        <v>1</v>
      </c>
      <c r="I138" s="66">
        <v>1</v>
      </c>
    </row>
    <row r="139" spans="1:9" x14ac:dyDescent="0.15">
      <c r="A139" s="66">
        <v>154</v>
      </c>
      <c r="B139" s="3" t="str">
        <f ca="1">VLOOKUP($A139,OFFSET([2]characters!$A$1,0,0,COUNTA([2]characters!$A:$A),MATCH(B$1,[2]characters!$1:$1,0)-MATCH($A$1,[2]characters!$1:$1,0)+1),MATCH(B$1,[2]characters!$1:$1,0)-MATCH($A$1,[2]characters!$1:$1,0)+1,FALSE)</f>
        <v>始末屋 ハンナ</v>
      </c>
      <c r="C139" s="93">
        <f ca="1">VLOOKUP($A139,OFFSET(fork_awake_units!$A$1,0,0,COUNTA(fork_awake_units!$A:$A),MATCH(C$1,fork_awake_units!$1:$1,0)-MATCH($A$1,fork_awake_units!$1:$1,0)+1),MATCH(C$1,fork_awake_units!$1:$1,0)-MATCH($A$1,fork_awake_units!$1:$1,0)+1,FALSE)</f>
        <v>155</v>
      </c>
      <c r="D139" s="3" t="str">
        <f ca="1">VLOOKUP($C139,OFFSET([2]characters!$A$1,0,0,COUNTA([2]characters!$A:$A),MATCH(D$1,[2]characters!$1:$1,0)-MATCH($A$1,[2]characters!$1:$1,0)+1),MATCH(D$1,[2]characters!$1:$1,0)-MATCH($A$1,[2]characters!$1:$1,0)+1,FALSE)</f>
        <v>隻眼の掃除屋 ハンナ</v>
      </c>
      <c r="E139" s="66">
        <v>110</v>
      </c>
      <c r="F139" s="3" t="str">
        <f ca="1">VLOOKUP($E139,OFFSET([2]characters!$A$1,0,0,COUNTA([2]characters!$A:$A),MATCH(F$1,[2]characters!$1:$1,0)-MATCH($A$1,[2]characters!$1:$1,0)+1),MATCH(F$1,[2]characters!$1:$1,0)-MATCH($A$1,[2]characters!$1:$1,0)+1,FALSE)</f>
        <v>ブルーラビット</v>
      </c>
      <c r="G139" s="66">
        <v>1</v>
      </c>
      <c r="H139" s="66">
        <v>1</v>
      </c>
      <c r="I139" s="66">
        <v>1</v>
      </c>
    </row>
    <row r="140" spans="1:9" x14ac:dyDescent="0.15">
      <c r="A140" s="66">
        <v>154</v>
      </c>
      <c r="B140" s="3" t="str">
        <f ca="1">VLOOKUP($A140,OFFSET([2]characters!$A$1,0,0,COUNTA([2]characters!$A:$A),MATCH(B$1,[2]characters!$1:$1,0)-MATCH($A$1,[2]characters!$1:$1,0)+1),MATCH(B$1,[2]characters!$1:$1,0)-MATCH($A$1,[2]characters!$1:$1,0)+1,FALSE)</f>
        <v>始末屋 ハンナ</v>
      </c>
      <c r="C140" s="93">
        <f ca="1">VLOOKUP($A140,OFFSET(fork_awake_units!$A$1,0,0,COUNTA(fork_awake_units!$A:$A),MATCH(C$1,fork_awake_units!$1:$1,0)-MATCH($A$1,fork_awake_units!$1:$1,0)+1),MATCH(C$1,fork_awake_units!$1:$1,0)-MATCH($A$1,fork_awake_units!$1:$1,0)+1,FALSE)</f>
        <v>155</v>
      </c>
      <c r="D140" s="3" t="str">
        <f ca="1">VLOOKUP($C140,OFFSET([2]characters!$A$1,0,0,COUNTA([2]characters!$A:$A),MATCH(D$1,[2]characters!$1:$1,0)-MATCH($A$1,[2]characters!$1:$1,0)+1),MATCH(D$1,[2]characters!$1:$1,0)-MATCH($A$1,[2]characters!$1:$1,0)+1,FALSE)</f>
        <v>隻眼の掃除屋 ハンナ</v>
      </c>
      <c r="E140" s="66">
        <v>111</v>
      </c>
      <c r="F140" s="3" t="str">
        <f ca="1">VLOOKUP($E140,OFFSET([2]characters!$A$1,0,0,COUNTA([2]characters!$A:$A),MATCH(F$1,[2]characters!$1:$1,0)-MATCH($A$1,[2]characters!$1:$1,0)+1),MATCH(F$1,[2]characters!$1:$1,0)-MATCH($A$1,[2]characters!$1:$1,0)+1,FALSE)</f>
        <v>ブルーキャタップ</v>
      </c>
      <c r="G140" s="66">
        <v>1</v>
      </c>
      <c r="H140" s="66">
        <v>1</v>
      </c>
      <c r="I140" s="66">
        <v>1</v>
      </c>
    </row>
    <row r="141" spans="1:9" x14ac:dyDescent="0.15">
      <c r="A141" s="66">
        <v>156</v>
      </c>
      <c r="B141" s="3" t="str">
        <f ca="1">VLOOKUP($A141,OFFSET([2]characters!$A$1,0,0,COUNTA([2]characters!$A:$A),MATCH(B$1,[2]characters!$1:$1,0)-MATCH($A$1,[2]characters!$1:$1,0)+1),MATCH(B$1,[2]characters!$1:$1,0)-MATCH($A$1,[2]characters!$1:$1,0)+1,FALSE)</f>
        <v>踊り子 エレナ</v>
      </c>
      <c r="C141" s="93">
        <f ca="1">VLOOKUP($A141,OFFSET(fork_awake_units!$A$1,0,0,COUNTA(fork_awake_units!$A:$A),MATCH(C$1,fork_awake_units!$1:$1,0)-MATCH($A$1,fork_awake_units!$1:$1,0)+1),MATCH(C$1,fork_awake_units!$1:$1,0)-MATCH($A$1,fork_awake_units!$1:$1,0)+1,FALSE)</f>
        <v>157</v>
      </c>
      <c r="D141" s="3" t="str">
        <f ca="1">VLOOKUP($C141,OFFSET([2]characters!$A$1,0,0,COUNTA([2]characters!$A:$A),MATCH(D$1,[2]characters!$1:$1,0)-MATCH($A$1,[2]characters!$1:$1,0)+1),MATCH(D$1,[2]characters!$1:$1,0)-MATCH($A$1,[2]characters!$1:$1,0)+1,FALSE)</f>
        <v>雷光舞姫 エレナ</v>
      </c>
      <c r="E141" s="66">
        <v>113</v>
      </c>
      <c r="F141" s="3" t="str">
        <f ca="1">VLOOKUP($E141,OFFSET([2]characters!$A$1,0,0,COUNTA([2]characters!$A:$A),MATCH(F$1,[2]characters!$1:$1,0)-MATCH($A$1,[2]characters!$1:$1,0)+1),MATCH(F$1,[2]characters!$1:$1,0)-MATCH($A$1,[2]characters!$1:$1,0)+1,FALSE)</f>
        <v>イエローチェシャ</v>
      </c>
      <c r="G141" s="66">
        <v>3</v>
      </c>
      <c r="H141" s="66">
        <v>1</v>
      </c>
      <c r="I141" s="66">
        <v>1</v>
      </c>
    </row>
    <row r="142" spans="1:9" x14ac:dyDescent="0.15">
      <c r="A142" s="66">
        <v>156</v>
      </c>
      <c r="B142" s="3" t="str">
        <f ca="1">VLOOKUP($A142,OFFSET([2]characters!$A$1,0,0,COUNTA([2]characters!$A:$A),MATCH(B$1,[2]characters!$1:$1,0)-MATCH($A$1,[2]characters!$1:$1,0)+1),MATCH(B$1,[2]characters!$1:$1,0)-MATCH($A$1,[2]characters!$1:$1,0)+1,FALSE)</f>
        <v>踊り子 エレナ</v>
      </c>
      <c r="C142" s="93">
        <f ca="1">VLOOKUP($A142,OFFSET(fork_awake_units!$A$1,0,0,COUNTA(fork_awake_units!$A:$A),MATCH(C$1,fork_awake_units!$1:$1,0)-MATCH($A$1,fork_awake_units!$1:$1,0)+1),MATCH(C$1,fork_awake_units!$1:$1,0)-MATCH($A$1,fork_awake_units!$1:$1,0)+1,FALSE)</f>
        <v>157</v>
      </c>
      <c r="D142" s="3" t="str">
        <f ca="1">VLOOKUP($C142,OFFSET([2]characters!$A$1,0,0,COUNTA([2]characters!$A:$A),MATCH(D$1,[2]characters!$1:$1,0)-MATCH($A$1,[2]characters!$1:$1,0)+1),MATCH(D$1,[2]characters!$1:$1,0)-MATCH($A$1,[2]characters!$1:$1,0)+1,FALSE)</f>
        <v>雷光舞姫 エレナ</v>
      </c>
      <c r="E142" s="66">
        <v>114</v>
      </c>
      <c r="F142" s="3" t="str">
        <f ca="1">VLOOKUP($E142,OFFSET([2]characters!$A$1,0,0,COUNTA([2]characters!$A:$A),MATCH(F$1,[2]characters!$1:$1,0)-MATCH($A$1,[2]characters!$1:$1,0)+1),MATCH(F$1,[2]characters!$1:$1,0)-MATCH($A$1,[2]characters!$1:$1,0)+1,FALSE)</f>
        <v>イエローラビット</v>
      </c>
      <c r="G142" s="66">
        <v>1</v>
      </c>
      <c r="H142" s="66">
        <v>1</v>
      </c>
      <c r="I142" s="66">
        <v>1</v>
      </c>
    </row>
    <row r="143" spans="1:9" x14ac:dyDescent="0.15">
      <c r="A143" s="66">
        <v>156</v>
      </c>
      <c r="B143" s="3" t="str">
        <f ca="1">VLOOKUP($A143,OFFSET([2]characters!$A$1,0,0,COUNTA([2]characters!$A:$A),MATCH(B$1,[2]characters!$1:$1,0)-MATCH($A$1,[2]characters!$1:$1,0)+1),MATCH(B$1,[2]characters!$1:$1,0)-MATCH($A$1,[2]characters!$1:$1,0)+1,FALSE)</f>
        <v>踊り子 エレナ</v>
      </c>
      <c r="C143" s="93">
        <f ca="1">VLOOKUP($A143,OFFSET(fork_awake_units!$A$1,0,0,COUNTA(fork_awake_units!$A:$A),MATCH(C$1,fork_awake_units!$1:$1,0)-MATCH($A$1,fork_awake_units!$1:$1,0)+1),MATCH(C$1,fork_awake_units!$1:$1,0)-MATCH($A$1,fork_awake_units!$1:$1,0)+1,FALSE)</f>
        <v>157</v>
      </c>
      <c r="D143" s="3" t="str">
        <f ca="1">VLOOKUP($C143,OFFSET([2]characters!$A$1,0,0,COUNTA([2]characters!$A:$A),MATCH(D$1,[2]characters!$1:$1,0)-MATCH($A$1,[2]characters!$1:$1,0)+1),MATCH(D$1,[2]characters!$1:$1,0)-MATCH($A$1,[2]characters!$1:$1,0)+1,FALSE)</f>
        <v>雷光舞姫 エレナ</v>
      </c>
      <c r="E143" s="66">
        <v>115</v>
      </c>
      <c r="F143" s="3" t="str">
        <f ca="1">VLOOKUP($E143,OFFSET([2]characters!$A$1,0,0,COUNTA([2]characters!$A:$A),MATCH(F$1,[2]characters!$1:$1,0)-MATCH($A$1,[2]characters!$1:$1,0)+1),MATCH(F$1,[2]characters!$1:$1,0)-MATCH($A$1,[2]characters!$1:$1,0)+1,FALSE)</f>
        <v>イエローキャタップ</v>
      </c>
      <c r="G143" s="66">
        <v>1</v>
      </c>
      <c r="H143" s="66">
        <v>1</v>
      </c>
      <c r="I143" s="66">
        <v>1</v>
      </c>
    </row>
    <row r="144" spans="1:9" x14ac:dyDescent="0.15">
      <c r="A144" s="66">
        <v>158</v>
      </c>
      <c r="B144" s="3" t="str">
        <f ca="1">VLOOKUP($A144,OFFSET([2]characters!$A$1,0,0,COUNTA([2]characters!$A:$A),MATCH(B$1,[2]characters!$1:$1,0)-MATCH($A$1,[2]characters!$1:$1,0)+1),MATCH(B$1,[2]characters!$1:$1,0)-MATCH($A$1,[2]characters!$1:$1,0)+1,FALSE)</f>
        <v>シスター シャルロッテ</v>
      </c>
      <c r="C144" s="93">
        <f ca="1">VLOOKUP($A144,OFFSET(fork_awake_units!$A$1,0,0,COUNTA(fork_awake_units!$A:$A),MATCH(C$1,fork_awake_units!$1:$1,0)-MATCH($A$1,fork_awake_units!$1:$1,0)+1),MATCH(C$1,fork_awake_units!$1:$1,0)-MATCH($A$1,fork_awake_units!$1:$1,0)+1,FALSE)</f>
        <v>159</v>
      </c>
      <c r="D144" s="3" t="str">
        <f ca="1">VLOOKUP($C144,OFFSET([2]characters!$A$1,0,0,COUNTA([2]characters!$A:$A),MATCH(D$1,[2]characters!$1:$1,0)-MATCH($A$1,[2]characters!$1:$1,0)+1),MATCH(D$1,[2]characters!$1:$1,0)-MATCH($A$1,[2]characters!$1:$1,0)+1,FALSE)</f>
        <v>邪を狩りし者 シャルロッテ</v>
      </c>
      <c r="E144" s="66">
        <v>102</v>
      </c>
      <c r="F144" s="3" t="str">
        <f ca="1">VLOOKUP($E144,OFFSET([2]characters!$A$1,0,0,COUNTA([2]characters!$A:$A),MATCH(F$1,[2]characters!$1:$1,0)-MATCH($A$1,[2]characters!$1:$1,0)+1),MATCH(F$1,[2]characters!$1:$1,0)-MATCH($A$1,[2]characters!$1:$1,0)+1,FALSE)</f>
        <v>レッドラビット</v>
      </c>
      <c r="G144" s="66">
        <v>3</v>
      </c>
      <c r="H144" s="66">
        <v>1</v>
      </c>
      <c r="I144" s="66">
        <v>1</v>
      </c>
    </row>
    <row r="145" spans="1:9" x14ac:dyDescent="0.15">
      <c r="A145" s="66">
        <v>158</v>
      </c>
      <c r="B145" s="3" t="str">
        <f ca="1">VLOOKUP($A145,OFFSET([2]characters!$A$1,0,0,COUNTA([2]characters!$A:$A),MATCH(B$1,[2]characters!$1:$1,0)-MATCH($A$1,[2]characters!$1:$1,0)+1),MATCH(B$1,[2]characters!$1:$1,0)-MATCH($A$1,[2]characters!$1:$1,0)+1,FALSE)</f>
        <v>シスター シャルロッテ</v>
      </c>
      <c r="C145" s="93">
        <f ca="1">VLOOKUP($A145,OFFSET(fork_awake_units!$A$1,0,0,COUNTA(fork_awake_units!$A:$A),MATCH(C$1,fork_awake_units!$1:$1,0)-MATCH($A$1,fork_awake_units!$1:$1,0)+1),MATCH(C$1,fork_awake_units!$1:$1,0)-MATCH($A$1,fork_awake_units!$1:$1,0)+1,FALSE)</f>
        <v>159</v>
      </c>
      <c r="D145" s="3" t="str">
        <f ca="1">VLOOKUP($C145,OFFSET([2]characters!$A$1,0,0,COUNTA([2]characters!$A:$A),MATCH(D$1,[2]characters!$1:$1,0)-MATCH($A$1,[2]characters!$1:$1,0)+1),MATCH(D$1,[2]characters!$1:$1,0)-MATCH($A$1,[2]characters!$1:$1,0)+1,FALSE)</f>
        <v>邪を狩りし者 シャルロッテ</v>
      </c>
      <c r="E145" s="66">
        <v>103</v>
      </c>
      <c r="F145" s="3" t="str">
        <f ca="1">VLOOKUP($E145,OFFSET([2]characters!$A$1,0,0,COUNTA([2]characters!$A:$A),MATCH(F$1,[2]characters!$1:$1,0)-MATCH($A$1,[2]characters!$1:$1,0)+1),MATCH(F$1,[2]characters!$1:$1,0)-MATCH($A$1,[2]characters!$1:$1,0)+1,FALSE)</f>
        <v>レッドキャタップ</v>
      </c>
      <c r="G145" s="66">
        <v>1</v>
      </c>
      <c r="H145" s="66">
        <v>1</v>
      </c>
      <c r="I145" s="66">
        <v>1</v>
      </c>
    </row>
    <row r="146" spans="1:9" x14ac:dyDescent="0.15">
      <c r="A146" s="66">
        <v>160</v>
      </c>
      <c r="B146" s="3" t="str">
        <f ca="1">VLOOKUP($A146,OFFSET([2]characters!$A$1,0,0,COUNTA([2]characters!$A:$A),MATCH(B$1,[2]characters!$1:$1,0)-MATCH($A$1,[2]characters!$1:$1,0)+1),MATCH(B$1,[2]characters!$1:$1,0)-MATCH($A$1,[2]characters!$1:$1,0)+1,FALSE)</f>
        <v>反逆者 クリエ</v>
      </c>
      <c r="C146" s="93">
        <f ca="1">VLOOKUP($A146,OFFSET(fork_awake_units!$A$1,0,0,COUNTA(fork_awake_units!$A:$A),MATCH(C$1,fork_awake_units!$1:$1,0)-MATCH($A$1,fork_awake_units!$1:$1,0)+1),MATCH(C$1,fork_awake_units!$1:$1,0)-MATCH($A$1,fork_awake_units!$1:$1,0)+1,FALSE)</f>
        <v>161</v>
      </c>
      <c r="D146" s="3" t="str">
        <f ca="1">VLOOKUP($C146,OFFSET([2]characters!$A$1,0,0,COUNTA([2]characters!$A:$A),MATCH(D$1,[2]characters!$1:$1,0)-MATCH($A$1,[2]characters!$1:$1,0)+1),MATCH(D$1,[2]characters!$1:$1,0)-MATCH($A$1,[2]characters!$1:$1,0)+1,FALSE)</f>
        <v>咆哮の先導者 クリエ</v>
      </c>
      <c r="E146" s="66">
        <v>106</v>
      </c>
      <c r="F146" s="3" t="str">
        <f ca="1">VLOOKUP($E146,OFFSET([2]characters!$A$1,0,0,COUNTA([2]characters!$A:$A),MATCH(F$1,[2]characters!$1:$1,0)-MATCH($A$1,[2]characters!$1:$1,0)+1),MATCH(F$1,[2]characters!$1:$1,0)-MATCH($A$1,[2]characters!$1:$1,0)+1,FALSE)</f>
        <v>グリーンラビット</v>
      </c>
      <c r="G146" s="66">
        <v>3</v>
      </c>
      <c r="H146" s="66">
        <v>1</v>
      </c>
      <c r="I146" s="66">
        <v>1</v>
      </c>
    </row>
    <row r="147" spans="1:9" x14ac:dyDescent="0.15">
      <c r="A147" s="66">
        <v>160</v>
      </c>
      <c r="B147" s="3" t="str">
        <f ca="1">VLOOKUP($A147,OFFSET([2]characters!$A$1,0,0,COUNTA([2]characters!$A:$A),MATCH(B$1,[2]characters!$1:$1,0)-MATCH($A$1,[2]characters!$1:$1,0)+1),MATCH(B$1,[2]characters!$1:$1,0)-MATCH($A$1,[2]characters!$1:$1,0)+1,FALSE)</f>
        <v>反逆者 クリエ</v>
      </c>
      <c r="C147" s="93">
        <f ca="1">VLOOKUP($A147,OFFSET(fork_awake_units!$A$1,0,0,COUNTA(fork_awake_units!$A:$A),MATCH(C$1,fork_awake_units!$1:$1,0)-MATCH($A$1,fork_awake_units!$1:$1,0)+1),MATCH(C$1,fork_awake_units!$1:$1,0)-MATCH($A$1,fork_awake_units!$1:$1,0)+1,FALSE)</f>
        <v>161</v>
      </c>
      <c r="D147" s="3" t="str">
        <f ca="1">VLOOKUP($C147,OFFSET([2]characters!$A$1,0,0,COUNTA([2]characters!$A:$A),MATCH(D$1,[2]characters!$1:$1,0)-MATCH($A$1,[2]characters!$1:$1,0)+1),MATCH(D$1,[2]characters!$1:$1,0)-MATCH($A$1,[2]characters!$1:$1,0)+1,FALSE)</f>
        <v>咆哮の先導者 クリエ</v>
      </c>
      <c r="E147" s="66">
        <v>107</v>
      </c>
      <c r="F147" s="3" t="str">
        <f ca="1">VLOOKUP($E147,OFFSET([2]characters!$A$1,0,0,COUNTA([2]characters!$A:$A),MATCH(F$1,[2]characters!$1:$1,0)-MATCH($A$1,[2]characters!$1:$1,0)+1),MATCH(F$1,[2]characters!$1:$1,0)-MATCH($A$1,[2]characters!$1:$1,0)+1,FALSE)</f>
        <v>グリーンキャタップ</v>
      </c>
      <c r="G147" s="66">
        <v>1</v>
      </c>
      <c r="H147" s="66">
        <v>1</v>
      </c>
      <c r="I147" s="66">
        <v>1</v>
      </c>
    </row>
    <row r="148" spans="1:9" x14ac:dyDescent="0.15">
      <c r="A148" s="66">
        <v>162</v>
      </c>
      <c r="B148" s="3" t="str">
        <f ca="1">VLOOKUP($A148,OFFSET([2]characters!$A$1,0,0,COUNTA([2]characters!$A:$A),MATCH(B$1,[2]characters!$1:$1,0)-MATCH($A$1,[2]characters!$1:$1,0)+1),MATCH(B$1,[2]characters!$1:$1,0)-MATCH($A$1,[2]characters!$1:$1,0)+1,FALSE)</f>
        <v>狂女 クララ</v>
      </c>
      <c r="C148" s="93">
        <f ca="1">VLOOKUP($A148,OFFSET(fork_awake_units!$A$1,0,0,COUNTA(fork_awake_units!$A:$A),MATCH(C$1,fork_awake_units!$1:$1,0)-MATCH($A$1,fork_awake_units!$1:$1,0)+1),MATCH(C$1,fork_awake_units!$1:$1,0)-MATCH($A$1,fork_awake_units!$1:$1,0)+1,FALSE)</f>
        <v>163</v>
      </c>
      <c r="D148" s="3" t="str">
        <f ca="1">VLOOKUP($C148,OFFSET([2]characters!$A$1,0,0,COUNTA([2]characters!$A:$A),MATCH(D$1,[2]characters!$1:$1,0)-MATCH($A$1,[2]characters!$1:$1,0)+1),MATCH(D$1,[2]characters!$1:$1,0)-MATCH($A$1,[2]characters!$1:$1,0)+1,FALSE)</f>
        <v>冷酷な狂嬢 クララ</v>
      </c>
      <c r="E148" s="66">
        <v>110</v>
      </c>
      <c r="F148" s="3" t="str">
        <f ca="1">VLOOKUP($E148,OFFSET([2]characters!$A$1,0,0,COUNTA([2]characters!$A:$A),MATCH(F$1,[2]characters!$1:$1,0)-MATCH($A$1,[2]characters!$1:$1,0)+1),MATCH(F$1,[2]characters!$1:$1,0)-MATCH($A$1,[2]characters!$1:$1,0)+1,FALSE)</f>
        <v>ブルーラビット</v>
      </c>
      <c r="G148" s="66">
        <v>3</v>
      </c>
      <c r="H148" s="66">
        <v>1</v>
      </c>
      <c r="I148" s="66">
        <v>1</v>
      </c>
    </row>
    <row r="149" spans="1:9" x14ac:dyDescent="0.15">
      <c r="A149" s="66">
        <v>162</v>
      </c>
      <c r="B149" s="3" t="str">
        <f ca="1">VLOOKUP($A149,OFFSET([2]characters!$A$1,0,0,COUNTA([2]characters!$A:$A),MATCH(B$1,[2]characters!$1:$1,0)-MATCH($A$1,[2]characters!$1:$1,0)+1),MATCH(B$1,[2]characters!$1:$1,0)-MATCH($A$1,[2]characters!$1:$1,0)+1,FALSE)</f>
        <v>狂女 クララ</v>
      </c>
      <c r="C149" s="93">
        <f ca="1">VLOOKUP($A149,OFFSET(fork_awake_units!$A$1,0,0,COUNTA(fork_awake_units!$A:$A),MATCH(C$1,fork_awake_units!$1:$1,0)-MATCH($A$1,fork_awake_units!$1:$1,0)+1),MATCH(C$1,fork_awake_units!$1:$1,0)-MATCH($A$1,fork_awake_units!$1:$1,0)+1,FALSE)</f>
        <v>163</v>
      </c>
      <c r="D149" s="3" t="str">
        <f ca="1">VLOOKUP($C149,OFFSET([2]characters!$A$1,0,0,COUNTA([2]characters!$A:$A),MATCH(D$1,[2]characters!$1:$1,0)-MATCH($A$1,[2]characters!$1:$1,0)+1),MATCH(D$1,[2]characters!$1:$1,0)-MATCH($A$1,[2]characters!$1:$1,0)+1,FALSE)</f>
        <v>冷酷な狂嬢 クララ</v>
      </c>
      <c r="E149" s="66">
        <v>111</v>
      </c>
      <c r="F149" s="3" t="str">
        <f ca="1">VLOOKUP($E149,OFFSET([2]characters!$A$1,0,0,COUNTA([2]characters!$A:$A),MATCH(F$1,[2]characters!$1:$1,0)-MATCH($A$1,[2]characters!$1:$1,0)+1),MATCH(F$1,[2]characters!$1:$1,0)-MATCH($A$1,[2]characters!$1:$1,0)+1,FALSE)</f>
        <v>ブルーキャタップ</v>
      </c>
      <c r="G149" s="66">
        <v>1</v>
      </c>
      <c r="H149" s="66">
        <v>1</v>
      </c>
      <c r="I149" s="66">
        <v>1</v>
      </c>
    </row>
    <row r="150" spans="1:9" x14ac:dyDescent="0.15">
      <c r="A150" s="66">
        <v>164</v>
      </c>
      <c r="B150" s="3" t="str">
        <f ca="1">VLOOKUP($A150,OFFSET([2]characters!$A$1,0,0,COUNTA([2]characters!$A:$A),MATCH(B$1,[2]characters!$1:$1,0)-MATCH($A$1,[2]characters!$1:$1,0)+1),MATCH(B$1,[2]characters!$1:$1,0)-MATCH($A$1,[2]characters!$1:$1,0)+1,FALSE)</f>
        <v>イブとトモダチ</v>
      </c>
      <c r="C150" s="93">
        <f ca="1">VLOOKUP($A150,OFFSET(fork_awake_units!$A$1,0,0,COUNTA(fork_awake_units!$A:$A),MATCH(C$1,fork_awake_units!$1:$1,0)-MATCH($A$1,fork_awake_units!$1:$1,0)+1),MATCH(C$1,fork_awake_units!$1:$1,0)-MATCH($A$1,fork_awake_units!$1:$1,0)+1,FALSE)</f>
        <v>165</v>
      </c>
      <c r="D150" s="3" t="str">
        <f ca="1">VLOOKUP($C150,OFFSET([2]characters!$A$1,0,0,COUNTA([2]characters!$A:$A),MATCH(D$1,[2]characters!$1:$1,0)-MATCH($A$1,[2]characters!$1:$1,0)+1),MATCH(D$1,[2]characters!$1:$1,0)-MATCH($A$1,[2]characters!$1:$1,0)+1,FALSE)</f>
        <v>イブとたったひとりのトモダチ</v>
      </c>
      <c r="E150" s="66">
        <v>114</v>
      </c>
      <c r="F150" s="3" t="str">
        <f ca="1">VLOOKUP($E150,OFFSET([2]characters!$A$1,0,0,COUNTA([2]characters!$A:$A),MATCH(F$1,[2]characters!$1:$1,0)-MATCH($A$1,[2]characters!$1:$1,0)+1),MATCH(F$1,[2]characters!$1:$1,0)-MATCH($A$1,[2]characters!$1:$1,0)+1,FALSE)</f>
        <v>イエローラビット</v>
      </c>
      <c r="G150" s="66">
        <v>3</v>
      </c>
      <c r="H150" s="66">
        <v>1</v>
      </c>
      <c r="I150" s="66">
        <v>1</v>
      </c>
    </row>
    <row r="151" spans="1:9" x14ac:dyDescent="0.15">
      <c r="A151" s="66">
        <v>164</v>
      </c>
      <c r="B151" s="3" t="str">
        <f ca="1">VLOOKUP($A151,OFFSET([2]characters!$A$1,0,0,COUNTA([2]characters!$A:$A),MATCH(B$1,[2]characters!$1:$1,0)-MATCH($A$1,[2]characters!$1:$1,0)+1),MATCH(B$1,[2]characters!$1:$1,0)-MATCH($A$1,[2]characters!$1:$1,0)+1,FALSE)</f>
        <v>イブとトモダチ</v>
      </c>
      <c r="C151" s="93">
        <f ca="1">VLOOKUP($A151,OFFSET(fork_awake_units!$A$1,0,0,COUNTA(fork_awake_units!$A:$A),MATCH(C$1,fork_awake_units!$1:$1,0)-MATCH($A$1,fork_awake_units!$1:$1,0)+1),MATCH(C$1,fork_awake_units!$1:$1,0)-MATCH($A$1,fork_awake_units!$1:$1,0)+1,FALSE)</f>
        <v>165</v>
      </c>
      <c r="D151" s="3" t="str">
        <f ca="1">VLOOKUP($C151,OFFSET([2]characters!$A$1,0,0,COUNTA([2]characters!$A:$A),MATCH(D$1,[2]characters!$1:$1,0)-MATCH($A$1,[2]characters!$1:$1,0)+1),MATCH(D$1,[2]characters!$1:$1,0)-MATCH($A$1,[2]characters!$1:$1,0)+1,FALSE)</f>
        <v>イブとたったひとりのトモダチ</v>
      </c>
      <c r="E151" s="66">
        <v>115</v>
      </c>
      <c r="F151" s="3" t="str">
        <f ca="1">VLOOKUP($E151,OFFSET([2]characters!$A$1,0,0,COUNTA([2]characters!$A:$A),MATCH(F$1,[2]characters!$1:$1,0)-MATCH($A$1,[2]characters!$1:$1,0)+1),MATCH(F$1,[2]characters!$1:$1,0)-MATCH($A$1,[2]characters!$1:$1,0)+1,FALSE)</f>
        <v>イエローキャタップ</v>
      </c>
      <c r="G151" s="66">
        <v>1</v>
      </c>
      <c r="H151" s="66">
        <v>1</v>
      </c>
      <c r="I151" s="66">
        <v>1</v>
      </c>
    </row>
    <row r="152" spans="1:9" x14ac:dyDescent="0.15">
      <c r="A152" s="66">
        <v>166</v>
      </c>
      <c r="B152" s="3" t="str">
        <f ca="1">VLOOKUP($A152,OFFSET([2]characters!$A$1,0,0,COUNTA([2]characters!$A:$A),MATCH(B$1,[2]characters!$1:$1,0)-MATCH($A$1,[2]characters!$1:$1,0)+1),MATCH(B$1,[2]characters!$1:$1,0)-MATCH($A$1,[2]characters!$1:$1,0)+1,FALSE)</f>
        <v>ベリアル</v>
      </c>
      <c r="C152" s="93">
        <f ca="1">VLOOKUP($A152,OFFSET(fork_awake_units!$A$1,0,0,COUNTA(fork_awake_units!$A:$A),MATCH(C$1,fork_awake_units!$1:$1,0)-MATCH($A$1,fork_awake_units!$1:$1,0)+1),MATCH(C$1,fork_awake_units!$1:$1,0)-MATCH($A$1,fork_awake_units!$1:$1,0)+1,FALSE)</f>
        <v>167</v>
      </c>
      <c r="D152" s="3" t="str">
        <f ca="1">VLOOKUP($C152,OFFSET([2]characters!$A$1,0,0,COUNTA([2]characters!$A:$A),MATCH(D$1,[2]characters!$1:$1,0)-MATCH($A$1,[2]characters!$1:$1,0)+1),MATCH(D$1,[2]characters!$1:$1,0)-MATCH($A$1,[2]characters!$1:$1,0)+1,FALSE)</f>
        <v>逆徒 ベリアル</v>
      </c>
      <c r="E152" s="66">
        <v>102</v>
      </c>
      <c r="F152" s="3" t="str">
        <f ca="1">VLOOKUP($E152,OFFSET([2]characters!$A$1,0,0,COUNTA([2]characters!$A:$A),MATCH(F$1,[2]characters!$1:$1,0)-MATCH($A$1,[2]characters!$1:$1,0)+1),MATCH(F$1,[2]characters!$1:$1,0)-MATCH($A$1,[2]characters!$1:$1,0)+1,FALSE)</f>
        <v>レッドラビット</v>
      </c>
      <c r="G152" s="66">
        <v>2</v>
      </c>
      <c r="H152" s="66">
        <v>1</v>
      </c>
      <c r="I152" s="66">
        <v>1</v>
      </c>
    </row>
    <row r="153" spans="1:9" x14ac:dyDescent="0.15">
      <c r="A153" s="66">
        <v>166</v>
      </c>
      <c r="B153" s="3" t="str">
        <f ca="1">VLOOKUP($A153,OFFSET([2]characters!$A$1,0,0,COUNTA([2]characters!$A:$A),MATCH(B$1,[2]characters!$1:$1,0)-MATCH($A$1,[2]characters!$1:$1,0)+1),MATCH(B$1,[2]characters!$1:$1,0)-MATCH($A$1,[2]characters!$1:$1,0)+1,FALSE)</f>
        <v>ベリアル</v>
      </c>
      <c r="C153" s="93">
        <f ca="1">VLOOKUP($A153,OFFSET(fork_awake_units!$A$1,0,0,COUNTA(fork_awake_units!$A:$A),MATCH(C$1,fork_awake_units!$1:$1,0)-MATCH($A$1,fork_awake_units!$1:$1,0)+1),MATCH(C$1,fork_awake_units!$1:$1,0)-MATCH($A$1,fork_awake_units!$1:$1,0)+1,FALSE)</f>
        <v>167</v>
      </c>
      <c r="D153" s="3" t="str">
        <f ca="1">VLOOKUP($C153,OFFSET([2]characters!$A$1,0,0,COUNTA([2]characters!$A:$A),MATCH(D$1,[2]characters!$1:$1,0)-MATCH($A$1,[2]characters!$1:$1,0)+1),MATCH(D$1,[2]characters!$1:$1,0)-MATCH($A$1,[2]characters!$1:$1,0)+1,FALSE)</f>
        <v>逆徒 ベリアル</v>
      </c>
      <c r="E153" s="66">
        <v>103</v>
      </c>
      <c r="F153" s="3" t="str">
        <f ca="1">VLOOKUP($E153,OFFSET([2]characters!$A$1,0,0,COUNTA([2]characters!$A:$A),MATCH(F$1,[2]characters!$1:$1,0)-MATCH($A$1,[2]characters!$1:$1,0)+1),MATCH(F$1,[2]characters!$1:$1,0)-MATCH($A$1,[2]characters!$1:$1,0)+1,FALSE)</f>
        <v>レッドキャタップ</v>
      </c>
      <c r="G153" s="66">
        <v>2</v>
      </c>
      <c r="H153" s="66">
        <v>1</v>
      </c>
      <c r="I153" s="66">
        <v>1</v>
      </c>
    </row>
    <row r="154" spans="1:9" x14ac:dyDescent="0.15">
      <c r="A154" s="66">
        <v>167</v>
      </c>
      <c r="B154" s="3" t="str">
        <f ca="1">VLOOKUP($A154,OFFSET([2]characters!$A$1,0,0,COUNTA([2]characters!$A:$A),MATCH(B$1,[2]characters!$1:$1,0)-MATCH($A$1,[2]characters!$1:$1,0)+1),MATCH(B$1,[2]characters!$1:$1,0)-MATCH($A$1,[2]characters!$1:$1,0)+1,FALSE)</f>
        <v>逆徒 ベリアル</v>
      </c>
      <c r="C154" s="93">
        <f ca="1">VLOOKUP($A154,OFFSET(fork_awake_units!$A$1,0,0,COUNTA(fork_awake_units!$A:$A),MATCH(C$1,fork_awake_units!$1:$1,0)-MATCH($A$1,fork_awake_units!$1:$1,0)+1),MATCH(C$1,fork_awake_units!$1:$1,0)-MATCH($A$1,fork_awake_units!$1:$1,0)+1,FALSE)</f>
        <v>168</v>
      </c>
      <c r="D154" s="3" t="str">
        <f ca="1">VLOOKUP($C154,OFFSET([2]characters!$A$1,0,0,COUNTA([2]characters!$A:$A),MATCH(D$1,[2]characters!$1:$1,0)-MATCH($A$1,[2]characters!$1:$1,0)+1),MATCH(D$1,[2]characters!$1:$1,0)-MATCH($A$1,[2]characters!$1:$1,0)+1,FALSE)</f>
        <v>猛進の大逆者 ベリアル</v>
      </c>
      <c r="E154" s="66">
        <v>102</v>
      </c>
      <c r="F154" s="3" t="str">
        <f ca="1">VLOOKUP($E154,OFFSET([2]characters!$A$1,0,0,COUNTA([2]characters!$A:$A),MATCH(F$1,[2]characters!$1:$1,0)-MATCH($A$1,[2]characters!$1:$1,0)+1),MATCH(F$1,[2]characters!$1:$1,0)-MATCH($A$1,[2]characters!$1:$1,0)+1,FALSE)</f>
        <v>レッドラビット</v>
      </c>
      <c r="G154" s="66">
        <v>3</v>
      </c>
      <c r="H154" s="66">
        <v>1</v>
      </c>
      <c r="I154" s="66">
        <v>1</v>
      </c>
    </row>
    <row r="155" spans="1:9" x14ac:dyDescent="0.15">
      <c r="A155" s="66">
        <v>167</v>
      </c>
      <c r="B155" s="3" t="str">
        <f ca="1">VLOOKUP($A155,OFFSET([2]characters!$A$1,0,0,COUNTA([2]characters!$A:$A),MATCH(B$1,[2]characters!$1:$1,0)-MATCH($A$1,[2]characters!$1:$1,0)+1),MATCH(B$1,[2]characters!$1:$1,0)-MATCH($A$1,[2]characters!$1:$1,0)+1,FALSE)</f>
        <v>逆徒 ベリアル</v>
      </c>
      <c r="C155" s="93">
        <f ca="1">VLOOKUP($A155,OFFSET(fork_awake_units!$A$1,0,0,COUNTA(fork_awake_units!$A:$A),MATCH(C$1,fork_awake_units!$1:$1,0)-MATCH($A$1,fork_awake_units!$1:$1,0)+1),MATCH(C$1,fork_awake_units!$1:$1,0)-MATCH($A$1,fork_awake_units!$1:$1,0)+1,FALSE)</f>
        <v>168</v>
      </c>
      <c r="D155" s="3" t="str">
        <f ca="1">VLOOKUP($C155,OFFSET([2]characters!$A$1,0,0,COUNTA([2]characters!$A:$A),MATCH(D$1,[2]characters!$1:$1,0)-MATCH($A$1,[2]characters!$1:$1,0)+1),MATCH(D$1,[2]characters!$1:$1,0)-MATCH($A$1,[2]characters!$1:$1,0)+1,FALSE)</f>
        <v>猛進の大逆者 ベリアル</v>
      </c>
      <c r="E155" s="66">
        <v>103</v>
      </c>
      <c r="F155" s="3" t="str">
        <f ca="1">VLOOKUP($E155,OFFSET([2]characters!$A$1,0,0,COUNTA([2]characters!$A:$A),MATCH(F$1,[2]characters!$1:$1,0)-MATCH($A$1,[2]characters!$1:$1,0)+1),MATCH(F$1,[2]characters!$1:$1,0)-MATCH($A$1,[2]characters!$1:$1,0)+1,FALSE)</f>
        <v>レッドキャタップ</v>
      </c>
      <c r="G155" s="66">
        <v>1</v>
      </c>
      <c r="H155" s="66">
        <v>1</v>
      </c>
      <c r="I155" s="66">
        <v>1</v>
      </c>
    </row>
    <row r="156" spans="1:9" x14ac:dyDescent="0.15">
      <c r="A156" s="66">
        <v>167</v>
      </c>
      <c r="B156" s="3" t="str">
        <f ca="1">VLOOKUP($A156,OFFSET([2]characters!$A$1,0,0,COUNTA([2]characters!$A:$A),MATCH(B$1,[2]characters!$1:$1,0)-MATCH($A$1,[2]characters!$1:$1,0)+1),MATCH(B$1,[2]characters!$1:$1,0)-MATCH($A$1,[2]characters!$1:$1,0)+1,FALSE)</f>
        <v>逆徒 ベリアル</v>
      </c>
      <c r="C156" s="93">
        <f ca="1">VLOOKUP($A156,OFFSET(fork_awake_units!$A$1,0,0,COUNTA(fork_awake_units!$A:$A),MATCH(C$1,fork_awake_units!$1:$1,0)-MATCH($A$1,fork_awake_units!$1:$1,0)+1),MATCH(C$1,fork_awake_units!$1:$1,0)-MATCH($A$1,fork_awake_units!$1:$1,0)+1,FALSE)</f>
        <v>168</v>
      </c>
      <c r="D156" s="3" t="str">
        <f ca="1">VLOOKUP($C156,OFFSET([2]characters!$A$1,0,0,COUNTA([2]characters!$A:$A),MATCH(D$1,[2]characters!$1:$1,0)-MATCH($A$1,[2]characters!$1:$1,0)+1),MATCH(D$1,[2]characters!$1:$1,0)-MATCH($A$1,[2]characters!$1:$1,0)+1,FALSE)</f>
        <v>猛進の大逆者 ベリアル</v>
      </c>
      <c r="E156" s="66">
        <v>104</v>
      </c>
      <c r="F156" s="3" t="str">
        <f ca="1">VLOOKUP($E156,OFFSET([2]characters!$A$1,0,0,COUNTA([2]characters!$A:$A),MATCH(F$1,[2]characters!$1:$1,0)-MATCH($A$1,[2]characters!$1:$1,0)+1),MATCH(F$1,[2]characters!$1:$1,0)-MATCH($A$1,[2]characters!$1:$1,0)+1,FALSE)</f>
        <v>炎のマッドハッター</v>
      </c>
      <c r="G156" s="66">
        <v>1</v>
      </c>
      <c r="H156" s="66">
        <v>1</v>
      </c>
      <c r="I156" s="66">
        <v>1</v>
      </c>
    </row>
    <row r="157" spans="1:9" x14ac:dyDescent="0.15">
      <c r="A157" s="66">
        <v>168</v>
      </c>
      <c r="B157" s="3" t="str">
        <f ca="1">VLOOKUP($A157,OFFSET([2]characters!$A$1,0,0,COUNTA([2]characters!$A:$A),MATCH(B$1,[2]characters!$1:$1,0)-MATCH($A$1,[2]characters!$1:$1,0)+1),MATCH(B$1,[2]characters!$1:$1,0)-MATCH($A$1,[2]characters!$1:$1,0)+1,FALSE)</f>
        <v>猛進の大逆者 ベリアル</v>
      </c>
      <c r="C157" s="93">
        <f ca="1">VLOOKUP($A157,OFFSET(fork_awake_units!$A$1,0,0,COUNTA(fork_awake_units!$A:$A),MATCH(C$1,fork_awake_units!$1:$1,0)-MATCH($A$1,fork_awake_units!$1:$1,0)+1),MATCH(C$1,fork_awake_units!$1:$1,0)-MATCH($A$1,fork_awake_units!$1:$1,0)+1,FALSE)</f>
        <v>805</v>
      </c>
      <c r="D157" s="3" t="str">
        <f ca="1">VLOOKUP($C157,OFFSET([2]characters!$A$1,0,0,COUNTA([2]characters!$A:$A),MATCH(D$1,[2]characters!$1:$1,0)-MATCH($A$1,[2]characters!$1:$1,0)+1),MATCH(D$1,[2]characters!$1:$1,0)-MATCH($A$1,[2]characters!$1:$1,0)+1,FALSE)</f>
        <v>熱環の大逆聖 ベリアル</v>
      </c>
      <c r="E157" s="66">
        <v>102</v>
      </c>
      <c r="F157" s="3" t="str">
        <f ca="1">VLOOKUP($E157,OFFSET([2]characters!$A$1,0,0,COUNTA([2]characters!$A:$A),MATCH(F$1,[2]characters!$1:$1,0)-MATCH($A$1,[2]characters!$1:$1,0)+1),MATCH(F$1,[2]characters!$1:$1,0)-MATCH($A$1,[2]characters!$1:$1,0)+1,FALSE)</f>
        <v>レッドラビット</v>
      </c>
      <c r="G157" s="66">
        <v>1</v>
      </c>
      <c r="H157" s="66">
        <v>1</v>
      </c>
      <c r="I157" s="66">
        <v>1</v>
      </c>
    </row>
    <row r="158" spans="1:9" x14ac:dyDescent="0.15">
      <c r="A158" s="66">
        <v>168</v>
      </c>
      <c r="B158" s="3" t="str">
        <f ca="1">VLOOKUP($A158,OFFSET([2]characters!$A$1,0,0,COUNTA([2]characters!$A:$A),MATCH(B$1,[2]characters!$1:$1,0)-MATCH($A$1,[2]characters!$1:$1,0)+1),MATCH(B$1,[2]characters!$1:$1,0)-MATCH($A$1,[2]characters!$1:$1,0)+1,FALSE)</f>
        <v>猛進の大逆者 ベリアル</v>
      </c>
      <c r="C158" s="93">
        <f ca="1">VLOOKUP($A158,OFFSET(fork_awake_units!$A$1,0,0,COUNTA(fork_awake_units!$A:$A),MATCH(C$1,fork_awake_units!$1:$1,0)-MATCH($A$1,fork_awake_units!$1:$1,0)+1),MATCH(C$1,fork_awake_units!$1:$1,0)-MATCH($A$1,fork_awake_units!$1:$1,0)+1,FALSE)</f>
        <v>805</v>
      </c>
      <c r="D158" s="3" t="str">
        <f ca="1">VLOOKUP($C158,OFFSET([2]characters!$A$1,0,0,COUNTA([2]characters!$A:$A),MATCH(D$1,[2]characters!$1:$1,0)-MATCH($A$1,[2]characters!$1:$1,0)+1),MATCH(D$1,[2]characters!$1:$1,0)-MATCH($A$1,[2]characters!$1:$1,0)+1,FALSE)</f>
        <v>熱環の大逆聖 ベリアル</v>
      </c>
      <c r="E158" s="66">
        <v>103</v>
      </c>
      <c r="F158" s="3" t="str">
        <f ca="1">VLOOKUP($E158,OFFSET([2]characters!$A$1,0,0,COUNTA([2]characters!$A:$A),MATCH(F$1,[2]characters!$1:$1,0)-MATCH($A$1,[2]characters!$1:$1,0)+1),MATCH(F$1,[2]characters!$1:$1,0)-MATCH($A$1,[2]characters!$1:$1,0)+1,FALSE)</f>
        <v>レッドキャタップ</v>
      </c>
      <c r="G158" s="66">
        <v>1</v>
      </c>
      <c r="H158" s="66">
        <v>1</v>
      </c>
      <c r="I158" s="66">
        <v>1</v>
      </c>
    </row>
    <row r="159" spans="1:9" x14ac:dyDescent="0.15">
      <c r="A159" s="66">
        <v>168</v>
      </c>
      <c r="B159" s="3" t="str">
        <f ca="1">VLOOKUP($A159,OFFSET([2]characters!$A$1,0,0,COUNTA([2]characters!$A:$A),MATCH(B$1,[2]characters!$1:$1,0)-MATCH($A$1,[2]characters!$1:$1,0)+1),MATCH(B$1,[2]characters!$1:$1,0)-MATCH($A$1,[2]characters!$1:$1,0)+1,FALSE)</f>
        <v>猛進の大逆者 ベリアル</v>
      </c>
      <c r="C159" s="93">
        <f ca="1">VLOOKUP($A159,OFFSET(fork_awake_units!$A$1,0,0,COUNTA(fork_awake_units!$A:$A),MATCH(C$1,fork_awake_units!$1:$1,0)-MATCH($A$1,fork_awake_units!$1:$1,0)+1),MATCH(C$1,fork_awake_units!$1:$1,0)-MATCH($A$1,fork_awake_units!$1:$1,0)+1,FALSE)</f>
        <v>805</v>
      </c>
      <c r="D159" s="3" t="str">
        <f ca="1">VLOOKUP($C159,OFFSET([2]characters!$A$1,0,0,COUNTA([2]characters!$A:$A),MATCH(D$1,[2]characters!$1:$1,0)-MATCH($A$1,[2]characters!$1:$1,0)+1),MATCH(D$1,[2]characters!$1:$1,0)-MATCH($A$1,[2]characters!$1:$1,0)+1,FALSE)</f>
        <v>熱環の大逆聖 ベリアル</v>
      </c>
      <c r="E159" s="66">
        <v>104</v>
      </c>
      <c r="F159" s="3" t="str">
        <f ca="1">VLOOKUP($E159,OFFSET([2]characters!$A$1,0,0,COUNTA([2]characters!$A:$A),MATCH(F$1,[2]characters!$1:$1,0)-MATCH($A$1,[2]characters!$1:$1,0)+1),MATCH(F$1,[2]characters!$1:$1,0)-MATCH($A$1,[2]characters!$1:$1,0)+1,FALSE)</f>
        <v>炎のマッドハッター</v>
      </c>
      <c r="G159" s="66">
        <v>1</v>
      </c>
      <c r="H159" s="66">
        <v>1</v>
      </c>
      <c r="I159" s="66">
        <v>1</v>
      </c>
    </row>
    <row r="160" spans="1:9" x14ac:dyDescent="0.15">
      <c r="A160" s="66">
        <v>168</v>
      </c>
      <c r="B160" s="3" t="str">
        <f ca="1">VLOOKUP($A160,OFFSET([2]characters!$A$1,0,0,COUNTA([2]characters!$A:$A),MATCH(B$1,[2]characters!$1:$1,0)-MATCH($A$1,[2]characters!$1:$1,0)+1),MATCH(B$1,[2]characters!$1:$1,0)-MATCH($A$1,[2]characters!$1:$1,0)+1,FALSE)</f>
        <v>猛進の大逆者 ベリアル</v>
      </c>
      <c r="C160" s="93">
        <f ca="1">VLOOKUP($A160,OFFSET(fork_awake_units!$A$1,0,0,COUNTA(fork_awake_units!$A:$A),MATCH(C$1,fork_awake_units!$1:$1,0)-MATCH($A$1,fork_awake_units!$1:$1,0)+1),MATCH(C$1,fork_awake_units!$1:$1,0)-MATCH($A$1,fork_awake_units!$1:$1,0)+1,FALSE)</f>
        <v>805</v>
      </c>
      <c r="D160" s="3" t="str">
        <f ca="1">VLOOKUP($C160,OFFSET([2]characters!$A$1,0,0,COUNTA([2]characters!$A:$A),MATCH(D$1,[2]characters!$1:$1,0)-MATCH($A$1,[2]characters!$1:$1,0)+1),MATCH(D$1,[2]characters!$1:$1,0)-MATCH($A$1,[2]characters!$1:$1,0)+1,FALSE)</f>
        <v>熱環の大逆聖 ベリアル</v>
      </c>
      <c r="E160" s="66">
        <v>837</v>
      </c>
      <c r="F160" s="3" t="str">
        <f ca="1">VLOOKUP($E160,OFFSET([2]characters!$A$1,0,0,COUNTA([2]characters!$A:$A),MATCH(F$1,[2]characters!$1:$1,0)-MATCH($A$1,[2]characters!$1:$1,0)+1),MATCH(F$1,[2]characters!$1:$1,0)-MATCH($A$1,[2]characters!$1:$1,0)+1,FALSE)</f>
        <v>リトルハンプティ</v>
      </c>
      <c r="G160" s="66">
        <v>1</v>
      </c>
      <c r="H160" s="66">
        <v>1</v>
      </c>
      <c r="I160" s="66">
        <v>1</v>
      </c>
    </row>
    <row r="161" spans="1:9" x14ac:dyDescent="0.15">
      <c r="A161" s="66">
        <v>169</v>
      </c>
      <c r="B161" s="3" t="str">
        <f ca="1">VLOOKUP($A161,OFFSET([2]characters!$A$1,0,0,COUNTA([2]characters!$A:$A),MATCH(B$1,[2]characters!$1:$1,0)-MATCH($A$1,[2]characters!$1:$1,0)+1),MATCH(B$1,[2]characters!$1:$1,0)-MATCH($A$1,[2]characters!$1:$1,0)+1,FALSE)</f>
        <v>オセ</v>
      </c>
      <c r="C161" s="93">
        <f ca="1">VLOOKUP($A161,OFFSET(fork_awake_units!$A$1,0,0,COUNTA(fork_awake_units!$A:$A),MATCH(C$1,fork_awake_units!$1:$1,0)-MATCH($A$1,fork_awake_units!$1:$1,0)+1),MATCH(C$1,fork_awake_units!$1:$1,0)-MATCH($A$1,fork_awake_units!$1:$1,0)+1,FALSE)</f>
        <v>170</v>
      </c>
      <c r="D161" s="3" t="str">
        <f ca="1">VLOOKUP($C161,OFFSET([2]characters!$A$1,0,0,COUNTA([2]characters!$A:$A),MATCH(D$1,[2]characters!$1:$1,0)-MATCH($A$1,[2]characters!$1:$1,0)+1),MATCH(D$1,[2]characters!$1:$1,0)-MATCH($A$1,[2]characters!$1:$1,0)+1,FALSE)</f>
        <v>識徒 オセ</v>
      </c>
      <c r="E161" s="66">
        <v>106</v>
      </c>
      <c r="F161" s="3" t="str">
        <f ca="1">VLOOKUP($E161,OFFSET([2]characters!$A$1,0,0,COUNTA([2]characters!$A:$A),MATCH(F$1,[2]characters!$1:$1,0)-MATCH($A$1,[2]characters!$1:$1,0)+1),MATCH(F$1,[2]characters!$1:$1,0)-MATCH($A$1,[2]characters!$1:$1,0)+1,FALSE)</f>
        <v>グリーンラビット</v>
      </c>
      <c r="G161" s="66">
        <v>2</v>
      </c>
      <c r="H161" s="66">
        <v>1</v>
      </c>
      <c r="I161" s="66">
        <v>1</v>
      </c>
    </row>
    <row r="162" spans="1:9" x14ac:dyDescent="0.15">
      <c r="A162" s="66">
        <v>169</v>
      </c>
      <c r="B162" s="3" t="str">
        <f ca="1">VLOOKUP($A162,OFFSET([2]characters!$A$1,0,0,COUNTA([2]characters!$A:$A),MATCH(B$1,[2]characters!$1:$1,0)-MATCH($A$1,[2]characters!$1:$1,0)+1),MATCH(B$1,[2]characters!$1:$1,0)-MATCH($A$1,[2]characters!$1:$1,0)+1,FALSE)</f>
        <v>オセ</v>
      </c>
      <c r="C162" s="93">
        <f ca="1">VLOOKUP($A162,OFFSET(fork_awake_units!$A$1,0,0,COUNTA(fork_awake_units!$A:$A),MATCH(C$1,fork_awake_units!$1:$1,0)-MATCH($A$1,fork_awake_units!$1:$1,0)+1),MATCH(C$1,fork_awake_units!$1:$1,0)-MATCH($A$1,fork_awake_units!$1:$1,0)+1,FALSE)</f>
        <v>170</v>
      </c>
      <c r="D162" s="3" t="str">
        <f ca="1">VLOOKUP($C162,OFFSET([2]characters!$A$1,0,0,COUNTA([2]characters!$A:$A),MATCH(D$1,[2]characters!$1:$1,0)-MATCH($A$1,[2]characters!$1:$1,0)+1),MATCH(D$1,[2]characters!$1:$1,0)-MATCH($A$1,[2]characters!$1:$1,0)+1,FALSE)</f>
        <v>識徒 オセ</v>
      </c>
      <c r="E162" s="66">
        <v>107</v>
      </c>
      <c r="F162" s="3" t="str">
        <f ca="1">VLOOKUP($E162,OFFSET([2]characters!$A$1,0,0,COUNTA([2]characters!$A:$A),MATCH(F$1,[2]characters!$1:$1,0)-MATCH($A$1,[2]characters!$1:$1,0)+1),MATCH(F$1,[2]characters!$1:$1,0)-MATCH($A$1,[2]characters!$1:$1,0)+1,FALSE)</f>
        <v>グリーンキャタップ</v>
      </c>
      <c r="G162" s="66">
        <v>2</v>
      </c>
      <c r="H162" s="66">
        <v>1</v>
      </c>
      <c r="I162" s="66">
        <v>1</v>
      </c>
    </row>
    <row r="163" spans="1:9" x14ac:dyDescent="0.15">
      <c r="A163" s="66">
        <v>170</v>
      </c>
      <c r="B163" s="3" t="str">
        <f ca="1">VLOOKUP($A163,OFFSET([2]characters!$A$1,0,0,COUNTA([2]characters!$A:$A),MATCH(B$1,[2]characters!$1:$1,0)-MATCH($A$1,[2]characters!$1:$1,0)+1),MATCH(B$1,[2]characters!$1:$1,0)-MATCH($A$1,[2]characters!$1:$1,0)+1,FALSE)</f>
        <v>識徒 オセ</v>
      </c>
      <c r="C163" s="93">
        <f ca="1">VLOOKUP($A163,OFFSET(fork_awake_units!$A$1,0,0,COUNTA(fork_awake_units!$A:$A),MATCH(C$1,fork_awake_units!$1:$1,0)-MATCH($A$1,fork_awake_units!$1:$1,0)+1),MATCH(C$1,fork_awake_units!$1:$1,0)-MATCH($A$1,fork_awake_units!$1:$1,0)+1,FALSE)</f>
        <v>171</v>
      </c>
      <c r="D163" s="3" t="str">
        <f ca="1">VLOOKUP($C163,OFFSET([2]characters!$A$1,0,0,COUNTA([2]characters!$A:$A),MATCH(D$1,[2]characters!$1:$1,0)-MATCH($A$1,[2]characters!$1:$1,0)+1),MATCH(D$1,[2]characters!$1:$1,0)-MATCH($A$1,[2]characters!$1:$1,0)+1,FALSE)</f>
        <v>精解の預知者 オセ</v>
      </c>
      <c r="E163" s="66">
        <v>106</v>
      </c>
      <c r="F163" s="3" t="str">
        <f ca="1">VLOOKUP($E163,OFFSET([2]characters!$A$1,0,0,COUNTA([2]characters!$A:$A),MATCH(F$1,[2]characters!$1:$1,0)-MATCH($A$1,[2]characters!$1:$1,0)+1),MATCH(F$1,[2]characters!$1:$1,0)-MATCH($A$1,[2]characters!$1:$1,0)+1,FALSE)</f>
        <v>グリーンラビット</v>
      </c>
      <c r="G163" s="66">
        <v>3</v>
      </c>
      <c r="H163" s="66">
        <v>1</v>
      </c>
      <c r="I163" s="66">
        <v>1</v>
      </c>
    </row>
    <row r="164" spans="1:9" x14ac:dyDescent="0.15">
      <c r="A164" s="66">
        <v>170</v>
      </c>
      <c r="B164" s="3" t="str">
        <f ca="1">VLOOKUP($A164,OFFSET([2]characters!$A$1,0,0,COUNTA([2]characters!$A:$A),MATCH(B$1,[2]characters!$1:$1,0)-MATCH($A$1,[2]characters!$1:$1,0)+1),MATCH(B$1,[2]characters!$1:$1,0)-MATCH($A$1,[2]characters!$1:$1,0)+1,FALSE)</f>
        <v>識徒 オセ</v>
      </c>
      <c r="C164" s="93">
        <f ca="1">VLOOKUP($A164,OFFSET(fork_awake_units!$A$1,0,0,COUNTA(fork_awake_units!$A:$A),MATCH(C$1,fork_awake_units!$1:$1,0)-MATCH($A$1,fork_awake_units!$1:$1,0)+1),MATCH(C$1,fork_awake_units!$1:$1,0)-MATCH($A$1,fork_awake_units!$1:$1,0)+1,FALSE)</f>
        <v>171</v>
      </c>
      <c r="D164" s="3" t="str">
        <f ca="1">VLOOKUP($C164,OFFSET([2]characters!$A$1,0,0,COUNTA([2]characters!$A:$A),MATCH(D$1,[2]characters!$1:$1,0)-MATCH($A$1,[2]characters!$1:$1,0)+1),MATCH(D$1,[2]characters!$1:$1,0)-MATCH($A$1,[2]characters!$1:$1,0)+1,FALSE)</f>
        <v>精解の預知者 オセ</v>
      </c>
      <c r="E164" s="66">
        <v>107</v>
      </c>
      <c r="F164" s="3" t="str">
        <f ca="1">VLOOKUP($E164,OFFSET([2]characters!$A$1,0,0,COUNTA([2]characters!$A:$A),MATCH(F$1,[2]characters!$1:$1,0)-MATCH($A$1,[2]characters!$1:$1,0)+1),MATCH(F$1,[2]characters!$1:$1,0)-MATCH($A$1,[2]characters!$1:$1,0)+1,FALSE)</f>
        <v>グリーンキャタップ</v>
      </c>
      <c r="G164" s="66">
        <v>1</v>
      </c>
      <c r="H164" s="66">
        <v>1</v>
      </c>
      <c r="I164" s="66">
        <v>1</v>
      </c>
    </row>
    <row r="165" spans="1:9" x14ac:dyDescent="0.15">
      <c r="A165" s="66">
        <v>170</v>
      </c>
      <c r="B165" s="3" t="str">
        <f ca="1">VLOOKUP($A165,OFFSET([2]characters!$A$1,0,0,COUNTA([2]characters!$A:$A),MATCH(B$1,[2]characters!$1:$1,0)-MATCH($A$1,[2]characters!$1:$1,0)+1),MATCH(B$1,[2]characters!$1:$1,0)-MATCH($A$1,[2]characters!$1:$1,0)+1,FALSE)</f>
        <v>識徒 オセ</v>
      </c>
      <c r="C165" s="93">
        <f ca="1">VLOOKUP($A165,OFFSET(fork_awake_units!$A$1,0,0,COUNTA(fork_awake_units!$A:$A),MATCH(C$1,fork_awake_units!$1:$1,0)-MATCH($A$1,fork_awake_units!$1:$1,0)+1),MATCH(C$1,fork_awake_units!$1:$1,0)-MATCH($A$1,fork_awake_units!$1:$1,0)+1,FALSE)</f>
        <v>171</v>
      </c>
      <c r="D165" s="3" t="str">
        <f ca="1">VLOOKUP($C165,OFFSET([2]characters!$A$1,0,0,COUNTA([2]characters!$A:$A),MATCH(D$1,[2]characters!$1:$1,0)-MATCH($A$1,[2]characters!$1:$1,0)+1),MATCH(D$1,[2]characters!$1:$1,0)-MATCH($A$1,[2]characters!$1:$1,0)+1,FALSE)</f>
        <v>精解の預知者 オセ</v>
      </c>
      <c r="E165" s="66">
        <v>108</v>
      </c>
      <c r="F165" s="3" t="str">
        <f ca="1">VLOOKUP($E165,OFFSET([2]characters!$A$1,0,0,COUNTA([2]characters!$A:$A),MATCH(F$1,[2]characters!$1:$1,0)-MATCH($A$1,[2]characters!$1:$1,0)+1),MATCH(F$1,[2]characters!$1:$1,0)-MATCH($A$1,[2]characters!$1:$1,0)+1,FALSE)</f>
        <v>森のマッドハッター</v>
      </c>
      <c r="G165" s="66">
        <v>1</v>
      </c>
      <c r="H165" s="66">
        <v>1</v>
      </c>
      <c r="I165" s="66">
        <v>1</v>
      </c>
    </row>
    <row r="166" spans="1:9" x14ac:dyDescent="0.15">
      <c r="A166" s="66">
        <v>171</v>
      </c>
      <c r="B166" s="3" t="str">
        <f ca="1">VLOOKUP($A166,OFFSET([2]characters!$A$1,0,0,COUNTA([2]characters!$A:$A),MATCH(B$1,[2]characters!$1:$1,0)-MATCH($A$1,[2]characters!$1:$1,0)+1),MATCH(B$1,[2]characters!$1:$1,0)-MATCH($A$1,[2]characters!$1:$1,0)+1,FALSE)</f>
        <v>精解の預知者 オセ</v>
      </c>
      <c r="C166" s="93">
        <f ca="1">VLOOKUP($A166,OFFSET(fork_awake_units!$A$1,0,0,COUNTA(fork_awake_units!$A:$A),MATCH(C$1,fork_awake_units!$1:$1,0)-MATCH($A$1,fork_awake_units!$1:$1,0)+1),MATCH(C$1,fork_awake_units!$1:$1,0)-MATCH($A$1,fork_awake_units!$1:$1,0)+1,FALSE)</f>
        <v>806</v>
      </c>
      <c r="D166" s="3" t="str">
        <f ca="1">VLOOKUP($C166,OFFSET([2]characters!$A$1,0,0,COUNTA([2]characters!$A:$A),MATCH(D$1,[2]characters!$1:$1,0)-MATCH($A$1,[2]characters!$1:$1,0)+1),MATCH(D$1,[2]characters!$1:$1,0)-MATCH($A$1,[2]characters!$1:$1,0)+1,FALSE)</f>
        <v>全解の預智聖 オセ</v>
      </c>
      <c r="E166" s="66">
        <v>106</v>
      </c>
      <c r="F166" s="3" t="str">
        <f ca="1">VLOOKUP($E166,OFFSET([2]characters!$A$1,0,0,COUNTA([2]characters!$A:$A),MATCH(F$1,[2]characters!$1:$1,0)-MATCH($A$1,[2]characters!$1:$1,0)+1),MATCH(F$1,[2]characters!$1:$1,0)-MATCH($A$1,[2]characters!$1:$1,0)+1,FALSE)</f>
        <v>グリーンラビット</v>
      </c>
      <c r="G166" s="66">
        <v>1</v>
      </c>
      <c r="H166" s="66">
        <v>1</v>
      </c>
      <c r="I166" s="66">
        <v>1</v>
      </c>
    </row>
    <row r="167" spans="1:9" x14ac:dyDescent="0.15">
      <c r="A167" s="66">
        <v>171</v>
      </c>
      <c r="B167" s="3" t="str">
        <f ca="1">VLOOKUP($A167,OFFSET([2]characters!$A$1,0,0,COUNTA([2]characters!$A:$A),MATCH(B$1,[2]characters!$1:$1,0)-MATCH($A$1,[2]characters!$1:$1,0)+1),MATCH(B$1,[2]characters!$1:$1,0)-MATCH($A$1,[2]characters!$1:$1,0)+1,FALSE)</f>
        <v>精解の預知者 オセ</v>
      </c>
      <c r="C167" s="93">
        <f ca="1">VLOOKUP($A167,OFFSET(fork_awake_units!$A$1,0,0,COUNTA(fork_awake_units!$A:$A),MATCH(C$1,fork_awake_units!$1:$1,0)-MATCH($A$1,fork_awake_units!$1:$1,0)+1),MATCH(C$1,fork_awake_units!$1:$1,0)-MATCH($A$1,fork_awake_units!$1:$1,0)+1,FALSE)</f>
        <v>806</v>
      </c>
      <c r="D167" s="3" t="str">
        <f ca="1">VLOOKUP($C167,OFFSET([2]characters!$A$1,0,0,COUNTA([2]characters!$A:$A),MATCH(D$1,[2]characters!$1:$1,0)-MATCH($A$1,[2]characters!$1:$1,0)+1),MATCH(D$1,[2]characters!$1:$1,0)-MATCH($A$1,[2]characters!$1:$1,0)+1,FALSE)</f>
        <v>全解の預智聖 オセ</v>
      </c>
      <c r="E167" s="66">
        <v>107</v>
      </c>
      <c r="F167" s="3" t="str">
        <f ca="1">VLOOKUP($E167,OFFSET([2]characters!$A$1,0,0,COUNTA([2]characters!$A:$A),MATCH(F$1,[2]characters!$1:$1,0)-MATCH($A$1,[2]characters!$1:$1,0)+1),MATCH(F$1,[2]characters!$1:$1,0)-MATCH($A$1,[2]characters!$1:$1,0)+1,FALSE)</f>
        <v>グリーンキャタップ</v>
      </c>
      <c r="G167" s="66">
        <v>1</v>
      </c>
      <c r="H167" s="66">
        <v>1</v>
      </c>
      <c r="I167" s="66">
        <v>1</v>
      </c>
    </row>
    <row r="168" spans="1:9" x14ac:dyDescent="0.15">
      <c r="A168" s="66">
        <v>171</v>
      </c>
      <c r="B168" s="3" t="str">
        <f ca="1">VLOOKUP($A168,OFFSET([2]characters!$A$1,0,0,COUNTA([2]characters!$A:$A),MATCH(B$1,[2]characters!$1:$1,0)-MATCH($A$1,[2]characters!$1:$1,0)+1),MATCH(B$1,[2]characters!$1:$1,0)-MATCH($A$1,[2]characters!$1:$1,0)+1,FALSE)</f>
        <v>精解の預知者 オセ</v>
      </c>
      <c r="C168" s="93">
        <f ca="1">VLOOKUP($A168,OFFSET(fork_awake_units!$A$1,0,0,COUNTA(fork_awake_units!$A:$A),MATCH(C$1,fork_awake_units!$1:$1,0)-MATCH($A$1,fork_awake_units!$1:$1,0)+1),MATCH(C$1,fork_awake_units!$1:$1,0)-MATCH($A$1,fork_awake_units!$1:$1,0)+1,FALSE)</f>
        <v>806</v>
      </c>
      <c r="D168" s="3" t="str">
        <f ca="1">VLOOKUP($C168,OFFSET([2]characters!$A$1,0,0,COUNTA([2]characters!$A:$A),MATCH(D$1,[2]characters!$1:$1,0)-MATCH($A$1,[2]characters!$1:$1,0)+1),MATCH(D$1,[2]characters!$1:$1,0)-MATCH($A$1,[2]characters!$1:$1,0)+1,FALSE)</f>
        <v>全解の預智聖 オセ</v>
      </c>
      <c r="E168" s="66">
        <v>108</v>
      </c>
      <c r="F168" s="3" t="str">
        <f ca="1">VLOOKUP($E168,OFFSET([2]characters!$A$1,0,0,COUNTA([2]characters!$A:$A),MATCH(F$1,[2]characters!$1:$1,0)-MATCH($A$1,[2]characters!$1:$1,0)+1),MATCH(F$1,[2]characters!$1:$1,0)-MATCH($A$1,[2]characters!$1:$1,0)+1,FALSE)</f>
        <v>森のマッドハッター</v>
      </c>
      <c r="G168" s="66">
        <v>1</v>
      </c>
      <c r="H168" s="66">
        <v>1</v>
      </c>
      <c r="I168" s="66">
        <v>1</v>
      </c>
    </row>
    <row r="169" spans="1:9" x14ac:dyDescent="0.15">
      <c r="A169" s="66">
        <v>171</v>
      </c>
      <c r="B169" s="3" t="str">
        <f ca="1">VLOOKUP($A169,OFFSET([2]characters!$A$1,0,0,COUNTA([2]characters!$A:$A),MATCH(B$1,[2]characters!$1:$1,0)-MATCH($A$1,[2]characters!$1:$1,0)+1),MATCH(B$1,[2]characters!$1:$1,0)-MATCH($A$1,[2]characters!$1:$1,0)+1,FALSE)</f>
        <v>精解の預知者 オセ</v>
      </c>
      <c r="C169" s="93">
        <f ca="1">VLOOKUP($A169,OFFSET(fork_awake_units!$A$1,0,0,COUNTA(fork_awake_units!$A:$A),MATCH(C$1,fork_awake_units!$1:$1,0)-MATCH($A$1,fork_awake_units!$1:$1,0)+1),MATCH(C$1,fork_awake_units!$1:$1,0)-MATCH($A$1,fork_awake_units!$1:$1,0)+1,FALSE)</f>
        <v>806</v>
      </c>
      <c r="D169" s="3" t="str">
        <f ca="1">VLOOKUP($C169,OFFSET([2]characters!$A$1,0,0,COUNTA([2]characters!$A:$A),MATCH(D$1,[2]characters!$1:$1,0)-MATCH($A$1,[2]characters!$1:$1,0)+1),MATCH(D$1,[2]characters!$1:$1,0)-MATCH($A$1,[2]characters!$1:$1,0)+1,FALSE)</f>
        <v>全解の預智聖 オセ</v>
      </c>
      <c r="E169" s="66">
        <v>837</v>
      </c>
      <c r="F169" s="3" t="str">
        <f ca="1">VLOOKUP($E169,OFFSET([2]characters!$A$1,0,0,COUNTA([2]characters!$A:$A),MATCH(F$1,[2]characters!$1:$1,0)-MATCH($A$1,[2]characters!$1:$1,0)+1),MATCH(F$1,[2]characters!$1:$1,0)-MATCH($A$1,[2]characters!$1:$1,0)+1,FALSE)</f>
        <v>リトルハンプティ</v>
      </c>
      <c r="G169" s="66">
        <v>1</v>
      </c>
      <c r="H169" s="66">
        <v>1</v>
      </c>
      <c r="I169" s="66">
        <v>1</v>
      </c>
    </row>
    <row r="170" spans="1:9" x14ac:dyDescent="0.15">
      <c r="A170" s="66">
        <v>172</v>
      </c>
      <c r="B170" s="3" t="str">
        <f ca="1">VLOOKUP($A170,OFFSET([2]characters!$A$1,0,0,COUNTA([2]characters!$A:$A),MATCH(B$1,[2]characters!$1:$1,0)-MATCH($A$1,[2]characters!$1:$1,0)+1),MATCH(B$1,[2]characters!$1:$1,0)-MATCH($A$1,[2]characters!$1:$1,0)+1,FALSE)</f>
        <v>フォルネウス</v>
      </c>
      <c r="C170" s="93">
        <f ca="1">VLOOKUP($A170,OFFSET(fork_awake_units!$A$1,0,0,COUNTA(fork_awake_units!$A:$A),MATCH(C$1,fork_awake_units!$1:$1,0)-MATCH($A$1,fork_awake_units!$1:$1,0)+1),MATCH(C$1,fork_awake_units!$1:$1,0)-MATCH($A$1,fork_awake_units!$1:$1,0)+1,FALSE)</f>
        <v>173</v>
      </c>
      <c r="D170" s="3" t="str">
        <f ca="1">VLOOKUP($C170,OFFSET([2]characters!$A$1,0,0,COUNTA([2]characters!$A:$A),MATCH(D$1,[2]characters!$1:$1,0)-MATCH($A$1,[2]characters!$1:$1,0)+1),MATCH(D$1,[2]characters!$1:$1,0)-MATCH($A$1,[2]characters!$1:$1,0)+1,FALSE)</f>
        <v>公爵 フォルネウス</v>
      </c>
      <c r="E170" s="66">
        <v>110</v>
      </c>
      <c r="F170" s="3" t="str">
        <f ca="1">VLOOKUP($E170,OFFSET([2]characters!$A$1,0,0,COUNTA([2]characters!$A:$A),MATCH(F$1,[2]characters!$1:$1,0)-MATCH($A$1,[2]characters!$1:$1,0)+1),MATCH(F$1,[2]characters!$1:$1,0)-MATCH($A$1,[2]characters!$1:$1,0)+1,FALSE)</f>
        <v>ブルーラビット</v>
      </c>
      <c r="G170" s="66">
        <v>2</v>
      </c>
      <c r="H170" s="66">
        <v>1</v>
      </c>
      <c r="I170" s="66">
        <v>1</v>
      </c>
    </row>
    <row r="171" spans="1:9" x14ac:dyDescent="0.15">
      <c r="A171" s="66">
        <v>172</v>
      </c>
      <c r="B171" s="3" t="str">
        <f ca="1">VLOOKUP($A171,OFFSET([2]characters!$A$1,0,0,COUNTA([2]characters!$A:$A),MATCH(B$1,[2]characters!$1:$1,0)-MATCH($A$1,[2]characters!$1:$1,0)+1),MATCH(B$1,[2]characters!$1:$1,0)-MATCH($A$1,[2]characters!$1:$1,0)+1,FALSE)</f>
        <v>フォルネウス</v>
      </c>
      <c r="C171" s="93">
        <f ca="1">VLOOKUP($A171,OFFSET(fork_awake_units!$A$1,0,0,COUNTA(fork_awake_units!$A:$A),MATCH(C$1,fork_awake_units!$1:$1,0)-MATCH($A$1,fork_awake_units!$1:$1,0)+1),MATCH(C$1,fork_awake_units!$1:$1,0)-MATCH($A$1,fork_awake_units!$1:$1,0)+1,FALSE)</f>
        <v>173</v>
      </c>
      <c r="D171" s="3" t="str">
        <f ca="1">VLOOKUP($C171,OFFSET([2]characters!$A$1,0,0,COUNTA([2]characters!$A:$A),MATCH(D$1,[2]characters!$1:$1,0)-MATCH($A$1,[2]characters!$1:$1,0)+1),MATCH(D$1,[2]characters!$1:$1,0)-MATCH($A$1,[2]characters!$1:$1,0)+1,FALSE)</f>
        <v>公爵 フォルネウス</v>
      </c>
      <c r="E171" s="66">
        <v>111</v>
      </c>
      <c r="F171" s="3" t="str">
        <f ca="1">VLOOKUP($E171,OFFSET([2]characters!$A$1,0,0,COUNTA([2]characters!$A:$A),MATCH(F$1,[2]characters!$1:$1,0)-MATCH($A$1,[2]characters!$1:$1,0)+1),MATCH(F$1,[2]characters!$1:$1,0)-MATCH($A$1,[2]characters!$1:$1,0)+1,FALSE)</f>
        <v>ブルーキャタップ</v>
      </c>
      <c r="G171" s="66">
        <v>2</v>
      </c>
      <c r="H171" s="66">
        <v>1</v>
      </c>
      <c r="I171" s="66">
        <v>1</v>
      </c>
    </row>
    <row r="172" spans="1:9" x14ac:dyDescent="0.15">
      <c r="A172" s="66">
        <v>173</v>
      </c>
      <c r="B172" s="3" t="str">
        <f ca="1">VLOOKUP($A172,OFFSET([2]characters!$A$1,0,0,COUNTA([2]characters!$A:$A),MATCH(B$1,[2]characters!$1:$1,0)-MATCH($A$1,[2]characters!$1:$1,0)+1),MATCH(B$1,[2]characters!$1:$1,0)-MATCH($A$1,[2]characters!$1:$1,0)+1,FALSE)</f>
        <v>公爵 フォルネウス</v>
      </c>
      <c r="C172" s="93">
        <f ca="1">VLOOKUP($A172,OFFSET(fork_awake_units!$A$1,0,0,COUNTA(fork_awake_units!$A:$A),MATCH(C$1,fork_awake_units!$1:$1,0)-MATCH($A$1,fork_awake_units!$1:$1,0)+1),MATCH(C$1,fork_awake_units!$1:$1,0)-MATCH($A$1,fork_awake_units!$1:$1,0)+1,FALSE)</f>
        <v>174</v>
      </c>
      <c r="D172" s="3" t="str">
        <f ca="1">VLOOKUP($C172,OFFSET([2]characters!$A$1,0,0,COUNTA([2]characters!$A:$A),MATCH(D$1,[2]characters!$1:$1,0)-MATCH($A$1,[2]characters!$1:$1,0)+1),MATCH(D$1,[2]characters!$1:$1,0)-MATCH($A$1,[2]characters!$1:$1,0)+1,FALSE)</f>
        <v>偽愛の大公爵 フォルネウス</v>
      </c>
      <c r="E172" s="66">
        <v>110</v>
      </c>
      <c r="F172" s="3" t="str">
        <f ca="1">VLOOKUP($E172,OFFSET([2]characters!$A$1,0,0,COUNTA([2]characters!$A:$A),MATCH(F$1,[2]characters!$1:$1,0)-MATCH($A$1,[2]characters!$1:$1,0)+1),MATCH(F$1,[2]characters!$1:$1,0)-MATCH($A$1,[2]characters!$1:$1,0)+1,FALSE)</f>
        <v>ブルーラビット</v>
      </c>
      <c r="G172" s="66">
        <v>3</v>
      </c>
      <c r="H172" s="66">
        <v>1</v>
      </c>
      <c r="I172" s="66">
        <v>1</v>
      </c>
    </row>
    <row r="173" spans="1:9" x14ac:dyDescent="0.15">
      <c r="A173" s="66">
        <v>173</v>
      </c>
      <c r="B173" s="3" t="str">
        <f ca="1">VLOOKUP($A173,OFFSET([2]characters!$A$1,0,0,COUNTA([2]characters!$A:$A),MATCH(B$1,[2]characters!$1:$1,0)-MATCH($A$1,[2]characters!$1:$1,0)+1),MATCH(B$1,[2]characters!$1:$1,0)-MATCH($A$1,[2]characters!$1:$1,0)+1,FALSE)</f>
        <v>公爵 フォルネウス</v>
      </c>
      <c r="C173" s="93">
        <f ca="1">VLOOKUP($A173,OFFSET(fork_awake_units!$A$1,0,0,COUNTA(fork_awake_units!$A:$A),MATCH(C$1,fork_awake_units!$1:$1,0)-MATCH($A$1,fork_awake_units!$1:$1,0)+1),MATCH(C$1,fork_awake_units!$1:$1,0)-MATCH($A$1,fork_awake_units!$1:$1,0)+1,FALSE)</f>
        <v>174</v>
      </c>
      <c r="D173" s="3" t="str">
        <f ca="1">VLOOKUP($C173,OFFSET([2]characters!$A$1,0,0,COUNTA([2]characters!$A:$A),MATCH(D$1,[2]characters!$1:$1,0)-MATCH($A$1,[2]characters!$1:$1,0)+1),MATCH(D$1,[2]characters!$1:$1,0)-MATCH($A$1,[2]characters!$1:$1,0)+1,FALSE)</f>
        <v>偽愛の大公爵 フォルネウス</v>
      </c>
      <c r="E173" s="66">
        <v>111</v>
      </c>
      <c r="F173" s="3" t="str">
        <f ca="1">VLOOKUP($E173,OFFSET([2]characters!$A$1,0,0,COUNTA([2]characters!$A:$A),MATCH(F$1,[2]characters!$1:$1,0)-MATCH($A$1,[2]characters!$1:$1,0)+1),MATCH(F$1,[2]characters!$1:$1,0)-MATCH($A$1,[2]characters!$1:$1,0)+1,FALSE)</f>
        <v>ブルーキャタップ</v>
      </c>
      <c r="G173" s="66">
        <v>1</v>
      </c>
      <c r="H173" s="66">
        <v>1</v>
      </c>
      <c r="I173" s="66">
        <v>1</v>
      </c>
    </row>
    <row r="174" spans="1:9" x14ac:dyDescent="0.15">
      <c r="A174" s="66">
        <v>173</v>
      </c>
      <c r="B174" s="3" t="str">
        <f ca="1">VLOOKUP($A174,OFFSET([2]characters!$A$1,0,0,COUNTA([2]characters!$A:$A),MATCH(B$1,[2]characters!$1:$1,0)-MATCH($A$1,[2]characters!$1:$1,0)+1),MATCH(B$1,[2]characters!$1:$1,0)-MATCH($A$1,[2]characters!$1:$1,0)+1,FALSE)</f>
        <v>公爵 フォルネウス</v>
      </c>
      <c r="C174" s="93">
        <f ca="1">VLOOKUP($A174,OFFSET(fork_awake_units!$A$1,0,0,COUNTA(fork_awake_units!$A:$A),MATCH(C$1,fork_awake_units!$1:$1,0)-MATCH($A$1,fork_awake_units!$1:$1,0)+1),MATCH(C$1,fork_awake_units!$1:$1,0)-MATCH($A$1,fork_awake_units!$1:$1,0)+1,FALSE)</f>
        <v>174</v>
      </c>
      <c r="D174" s="3" t="str">
        <f ca="1">VLOOKUP($C174,OFFSET([2]characters!$A$1,0,0,COUNTA([2]characters!$A:$A),MATCH(D$1,[2]characters!$1:$1,0)-MATCH($A$1,[2]characters!$1:$1,0)+1),MATCH(D$1,[2]characters!$1:$1,0)-MATCH($A$1,[2]characters!$1:$1,0)+1,FALSE)</f>
        <v>偽愛の大公爵 フォルネウス</v>
      </c>
      <c r="E174" s="66">
        <v>112</v>
      </c>
      <c r="F174" s="3" t="str">
        <f ca="1">VLOOKUP($E174,OFFSET([2]characters!$A$1,0,0,COUNTA([2]characters!$A:$A),MATCH(F$1,[2]characters!$1:$1,0)-MATCH($A$1,[2]characters!$1:$1,0)+1),MATCH(F$1,[2]characters!$1:$1,0)-MATCH($A$1,[2]characters!$1:$1,0)+1,FALSE)</f>
        <v>水のマッドハッター</v>
      </c>
      <c r="G174" s="66">
        <v>1</v>
      </c>
      <c r="H174" s="66">
        <v>1</v>
      </c>
      <c r="I174" s="66">
        <v>1</v>
      </c>
    </row>
    <row r="175" spans="1:9" x14ac:dyDescent="0.15">
      <c r="A175" s="66">
        <v>174</v>
      </c>
      <c r="B175" s="3" t="str">
        <f ca="1">VLOOKUP($A175,OFFSET([2]characters!$A$1,0,0,COUNTA([2]characters!$A:$A),MATCH(B$1,[2]characters!$1:$1,0)-MATCH($A$1,[2]characters!$1:$1,0)+1),MATCH(B$1,[2]characters!$1:$1,0)-MATCH($A$1,[2]characters!$1:$1,0)+1,FALSE)</f>
        <v>偽愛の大公爵 フォルネウス</v>
      </c>
      <c r="C175" s="93">
        <f ca="1">VLOOKUP($A175,OFFSET(fork_awake_units!$A$1,0,0,COUNTA(fork_awake_units!$A:$A),MATCH(C$1,fork_awake_units!$1:$1,0)-MATCH($A$1,fork_awake_units!$1:$1,0)+1),MATCH(C$1,fork_awake_units!$1:$1,0)-MATCH($A$1,fork_awake_units!$1:$1,0)+1,FALSE)</f>
        <v>807</v>
      </c>
      <c r="D175" s="3" t="str">
        <f ca="1">VLOOKUP($C175,OFFSET([2]characters!$A$1,0,0,COUNTA([2]characters!$A:$A),MATCH(D$1,[2]characters!$1:$1,0)-MATCH($A$1,[2]characters!$1:$1,0)+1),MATCH(D$1,[2]characters!$1:$1,0)-MATCH($A$1,[2]characters!$1:$1,0)+1,FALSE)</f>
        <v>襲愛の真公爵 フォルネウス</v>
      </c>
      <c r="E175" s="66">
        <v>110</v>
      </c>
      <c r="F175" s="3" t="str">
        <f ca="1">VLOOKUP($E175,OFFSET([2]characters!$A$1,0,0,COUNTA([2]characters!$A:$A),MATCH(F$1,[2]characters!$1:$1,0)-MATCH($A$1,[2]characters!$1:$1,0)+1),MATCH(F$1,[2]characters!$1:$1,0)-MATCH($A$1,[2]characters!$1:$1,0)+1,FALSE)</f>
        <v>ブルーラビット</v>
      </c>
      <c r="G175" s="66">
        <v>1</v>
      </c>
      <c r="H175" s="66">
        <v>1</v>
      </c>
      <c r="I175" s="66">
        <v>1</v>
      </c>
    </row>
    <row r="176" spans="1:9" x14ac:dyDescent="0.15">
      <c r="A176" s="66">
        <v>174</v>
      </c>
      <c r="B176" s="3" t="str">
        <f ca="1">VLOOKUP($A176,OFFSET([2]characters!$A$1,0,0,COUNTA([2]characters!$A:$A),MATCH(B$1,[2]characters!$1:$1,0)-MATCH($A$1,[2]characters!$1:$1,0)+1),MATCH(B$1,[2]characters!$1:$1,0)-MATCH($A$1,[2]characters!$1:$1,0)+1,FALSE)</f>
        <v>偽愛の大公爵 フォルネウス</v>
      </c>
      <c r="C176" s="93">
        <f ca="1">VLOOKUP($A176,OFFSET(fork_awake_units!$A$1,0,0,COUNTA(fork_awake_units!$A:$A),MATCH(C$1,fork_awake_units!$1:$1,0)-MATCH($A$1,fork_awake_units!$1:$1,0)+1),MATCH(C$1,fork_awake_units!$1:$1,0)-MATCH($A$1,fork_awake_units!$1:$1,0)+1,FALSE)</f>
        <v>807</v>
      </c>
      <c r="D176" s="3" t="str">
        <f ca="1">VLOOKUP($C176,OFFSET([2]characters!$A$1,0,0,COUNTA([2]characters!$A:$A),MATCH(D$1,[2]characters!$1:$1,0)-MATCH($A$1,[2]characters!$1:$1,0)+1),MATCH(D$1,[2]characters!$1:$1,0)-MATCH($A$1,[2]characters!$1:$1,0)+1,FALSE)</f>
        <v>襲愛の真公爵 フォルネウス</v>
      </c>
      <c r="E176" s="66">
        <v>111</v>
      </c>
      <c r="F176" s="3" t="str">
        <f ca="1">VLOOKUP($E176,OFFSET([2]characters!$A$1,0,0,COUNTA([2]characters!$A:$A),MATCH(F$1,[2]characters!$1:$1,0)-MATCH($A$1,[2]characters!$1:$1,0)+1),MATCH(F$1,[2]characters!$1:$1,0)-MATCH($A$1,[2]characters!$1:$1,0)+1,FALSE)</f>
        <v>ブルーキャタップ</v>
      </c>
      <c r="G176" s="66">
        <v>1</v>
      </c>
      <c r="H176" s="66">
        <v>1</v>
      </c>
      <c r="I176" s="66">
        <v>1</v>
      </c>
    </row>
    <row r="177" spans="1:9" x14ac:dyDescent="0.15">
      <c r="A177" s="66">
        <v>174</v>
      </c>
      <c r="B177" s="3" t="str">
        <f ca="1">VLOOKUP($A177,OFFSET([2]characters!$A$1,0,0,COUNTA([2]characters!$A:$A),MATCH(B$1,[2]characters!$1:$1,0)-MATCH($A$1,[2]characters!$1:$1,0)+1),MATCH(B$1,[2]characters!$1:$1,0)-MATCH($A$1,[2]characters!$1:$1,0)+1,FALSE)</f>
        <v>偽愛の大公爵 フォルネウス</v>
      </c>
      <c r="C177" s="93">
        <f ca="1">VLOOKUP($A177,OFFSET(fork_awake_units!$A$1,0,0,COUNTA(fork_awake_units!$A:$A),MATCH(C$1,fork_awake_units!$1:$1,0)-MATCH($A$1,fork_awake_units!$1:$1,0)+1),MATCH(C$1,fork_awake_units!$1:$1,0)-MATCH($A$1,fork_awake_units!$1:$1,0)+1,FALSE)</f>
        <v>807</v>
      </c>
      <c r="D177" s="3" t="str">
        <f ca="1">VLOOKUP($C177,OFFSET([2]characters!$A$1,0,0,COUNTA([2]characters!$A:$A),MATCH(D$1,[2]characters!$1:$1,0)-MATCH($A$1,[2]characters!$1:$1,0)+1),MATCH(D$1,[2]characters!$1:$1,0)-MATCH($A$1,[2]characters!$1:$1,0)+1,FALSE)</f>
        <v>襲愛の真公爵 フォルネウス</v>
      </c>
      <c r="E177" s="66">
        <v>112</v>
      </c>
      <c r="F177" s="3" t="str">
        <f ca="1">VLOOKUP($E177,OFFSET([2]characters!$A$1,0,0,COUNTA([2]characters!$A:$A),MATCH(F$1,[2]characters!$1:$1,0)-MATCH($A$1,[2]characters!$1:$1,0)+1),MATCH(F$1,[2]characters!$1:$1,0)-MATCH($A$1,[2]characters!$1:$1,0)+1,FALSE)</f>
        <v>水のマッドハッター</v>
      </c>
      <c r="G177" s="66">
        <v>1</v>
      </c>
      <c r="H177" s="66">
        <v>1</v>
      </c>
      <c r="I177" s="66">
        <v>1</v>
      </c>
    </row>
    <row r="178" spans="1:9" x14ac:dyDescent="0.15">
      <c r="A178" s="66">
        <v>174</v>
      </c>
      <c r="B178" s="3" t="str">
        <f ca="1">VLOOKUP($A178,OFFSET([2]characters!$A$1,0,0,COUNTA([2]characters!$A:$A),MATCH(B$1,[2]characters!$1:$1,0)-MATCH($A$1,[2]characters!$1:$1,0)+1),MATCH(B$1,[2]characters!$1:$1,0)-MATCH($A$1,[2]characters!$1:$1,0)+1,FALSE)</f>
        <v>偽愛の大公爵 フォルネウス</v>
      </c>
      <c r="C178" s="93">
        <f ca="1">VLOOKUP($A178,OFFSET(fork_awake_units!$A$1,0,0,COUNTA(fork_awake_units!$A:$A),MATCH(C$1,fork_awake_units!$1:$1,0)-MATCH($A$1,fork_awake_units!$1:$1,0)+1),MATCH(C$1,fork_awake_units!$1:$1,0)-MATCH($A$1,fork_awake_units!$1:$1,0)+1,FALSE)</f>
        <v>807</v>
      </c>
      <c r="D178" s="3" t="str">
        <f ca="1">VLOOKUP($C178,OFFSET([2]characters!$A$1,0,0,COUNTA([2]characters!$A:$A),MATCH(D$1,[2]characters!$1:$1,0)-MATCH($A$1,[2]characters!$1:$1,0)+1),MATCH(D$1,[2]characters!$1:$1,0)-MATCH($A$1,[2]characters!$1:$1,0)+1,FALSE)</f>
        <v>襲愛の真公爵 フォルネウス</v>
      </c>
      <c r="E178" s="66">
        <v>837</v>
      </c>
      <c r="F178" s="3" t="str">
        <f ca="1">VLOOKUP($E178,OFFSET([2]characters!$A$1,0,0,COUNTA([2]characters!$A:$A),MATCH(F$1,[2]characters!$1:$1,0)-MATCH($A$1,[2]characters!$1:$1,0)+1),MATCH(F$1,[2]characters!$1:$1,0)-MATCH($A$1,[2]characters!$1:$1,0)+1,FALSE)</f>
        <v>リトルハンプティ</v>
      </c>
      <c r="G178" s="66">
        <v>1</v>
      </c>
      <c r="H178" s="66">
        <v>1</v>
      </c>
      <c r="I178" s="66">
        <v>1</v>
      </c>
    </row>
    <row r="179" spans="1:9" x14ac:dyDescent="0.15">
      <c r="A179" s="66">
        <v>175</v>
      </c>
      <c r="B179" s="3" t="str">
        <f ca="1">VLOOKUP($A179,OFFSET([2]characters!$A$1,0,0,COUNTA([2]characters!$A:$A),MATCH(B$1,[2]characters!$1:$1,0)-MATCH($A$1,[2]characters!$1:$1,0)+1),MATCH(B$1,[2]characters!$1:$1,0)-MATCH($A$1,[2]characters!$1:$1,0)+1,FALSE)</f>
        <v>バフォメット</v>
      </c>
      <c r="C179" s="93">
        <f ca="1">VLOOKUP($A179,OFFSET(fork_awake_units!$A$1,0,0,COUNTA(fork_awake_units!$A:$A),MATCH(C$1,fork_awake_units!$1:$1,0)-MATCH($A$1,fork_awake_units!$1:$1,0)+1),MATCH(C$1,fork_awake_units!$1:$1,0)-MATCH($A$1,fork_awake_units!$1:$1,0)+1,FALSE)</f>
        <v>176</v>
      </c>
      <c r="D179" s="3" t="str">
        <f ca="1">VLOOKUP($C179,OFFSET([2]characters!$A$1,0,0,COUNTA([2]characters!$A:$A),MATCH(D$1,[2]characters!$1:$1,0)-MATCH($A$1,[2]characters!$1:$1,0)+1),MATCH(D$1,[2]characters!$1:$1,0)-MATCH($A$1,[2]characters!$1:$1,0)+1,FALSE)</f>
        <v>異教徒 バフォメット</v>
      </c>
      <c r="E179" s="66">
        <v>114</v>
      </c>
      <c r="F179" s="3" t="str">
        <f ca="1">VLOOKUP($E179,OFFSET([2]characters!$A$1,0,0,COUNTA([2]characters!$A:$A),MATCH(F$1,[2]characters!$1:$1,0)-MATCH($A$1,[2]characters!$1:$1,0)+1),MATCH(F$1,[2]characters!$1:$1,0)-MATCH($A$1,[2]characters!$1:$1,0)+1,FALSE)</f>
        <v>イエローラビット</v>
      </c>
      <c r="G179" s="66">
        <v>2</v>
      </c>
      <c r="H179" s="66">
        <v>1</v>
      </c>
      <c r="I179" s="66">
        <v>1</v>
      </c>
    </row>
    <row r="180" spans="1:9" x14ac:dyDescent="0.15">
      <c r="A180" s="66">
        <v>175</v>
      </c>
      <c r="B180" s="3" t="str">
        <f ca="1">VLOOKUP($A180,OFFSET([2]characters!$A$1,0,0,COUNTA([2]characters!$A:$A),MATCH(B$1,[2]characters!$1:$1,0)-MATCH($A$1,[2]characters!$1:$1,0)+1),MATCH(B$1,[2]characters!$1:$1,0)-MATCH($A$1,[2]characters!$1:$1,0)+1,FALSE)</f>
        <v>バフォメット</v>
      </c>
      <c r="C180" s="93">
        <f ca="1">VLOOKUP($A180,OFFSET(fork_awake_units!$A$1,0,0,COUNTA(fork_awake_units!$A:$A),MATCH(C$1,fork_awake_units!$1:$1,0)-MATCH($A$1,fork_awake_units!$1:$1,0)+1),MATCH(C$1,fork_awake_units!$1:$1,0)-MATCH($A$1,fork_awake_units!$1:$1,0)+1,FALSE)</f>
        <v>176</v>
      </c>
      <c r="D180" s="3" t="str">
        <f ca="1">VLOOKUP($C180,OFFSET([2]characters!$A$1,0,0,COUNTA([2]characters!$A:$A),MATCH(D$1,[2]characters!$1:$1,0)-MATCH($A$1,[2]characters!$1:$1,0)+1),MATCH(D$1,[2]characters!$1:$1,0)-MATCH($A$1,[2]characters!$1:$1,0)+1,FALSE)</f>
        <v>異教徒 バフォメット</v>
      </c>
      <c r="E180" s="66">
        <v>115</v>
      </c>
      <c r="F180" s="3" t="str">
        <f ca="1">VLOOKUP($E180,OFFSET([2]characters!$A$1,0,0,COUNTA([2]characters!$A:$A),MATCH(F$1,[2]characters!$1:$1,0)-MATCH($A$1,[2]characters!$1:$1,0)+1),MATCH(F$1,[2]characters!$1:$1,0)-MATCH($A$1,[2]characters!$1:$1,0)+1,FALSE)</f>
        <v>イエローキャタップ</v>
      </c>
      <c r="G180" s="66">
        <v>2</v>
      </c>
      <c r="H180" s="66">
        <v>1</v>
      </c>
      <c r="I180" s="66">
        <v>1</v>
      </c>
    </row>
    <row r="181" spans="1:9" x14ac:dyDescent="0.15">
      <c r="A181" s="66">
        <v>176</v>
      </c>
      <c r="B181" s="3" t="str">
        <f ca="1">VLOOKUP($A181,OFFSET([2]characters!$A$1,0,0,COUNTA([2]characters!$A:$A),MATCH(B$1,[2]characters!$1:$1,0)-MATCH($A$1,[2]characters!$1:$1,0)+1),MATCH(B$1,[2]characters!$1:$1,0)-MATCH($A$1,[2]characters!$1:$1,0)+1,FALSE)</f>
        <v>異教徒 バフォメット</v>
      </c>
      <c r="C181" s="93">
        <f ca="1">VLOOKUP($A181,OFFSET(fork_awake_units!$A$1,0,0,COUNTA(fork_awake_units!$A:$A),MATCH(C$1,fork_awake_units!$1:$1,0)-MATCH($A$1,fork_awake_units!$1:$1,0)+1),MATCH(C$1,fork_awake_units!$1:$1,0)-MATCH($A$1,fork_awake_units!$1:$1,0)+1,FALSE)</f>
        <v>177</v>
      </c>
      <c r="D181" s="3" t="str">
        <f ca="1">VLOOKUP($C181,OFFSET([2]characters!$A$1,0,0,COUNTA([2]characters!$A:$A),MATCH(D$1,[2]characters!$1:$1,0)-MATCH($A$1,[2]characters!$1:$1,0)+1),MATCH(D$1,[2]characters!$1:$1,0)-MATCH($A$1,[2]characters!$1:$1,0)+1,FALSE)</f>
        <v>黒魔の異端師 バフォメット</v>
      </c>
      <c r="E181" s="66">
        <v>114</v>
      </c>
      <c r="F181" s="3" t="str">
        <f ca="1">VLOOKUP($E181,OFFSET([2]characters!$A$1,0,0,COUNTA([2]characters!$A:$A),MATCH(F$1,[2]characters!$1:$1,0)-MATCH($A$1,[2]characters!$1:$1,0)+1),MATCH(F$1,[2]characters!$1:$1,0)-MATCH($A$1,[2]characters!$1:$1,0)+1,FALSE)</f>
        <v>イエローラビット</v>
      </c>
      <c r="G181" s="66">
        <v>3</v>
      </c>
      <c r="H181" s="66">
        <v>1</v>
      </c>
      <c r="I181" s="66">
        <v>1</v>
      </c>
    </row>
    <row r="182" spans="1:9" x14ac:dyDescent="0.15">
      <c r="A182" s="66">
        <v>176</v>
      </c>
      <c r="B182" s="3" t="str">
        <f ca="1">VLOOKUP($A182,OFFSET([2]characters!$A$1,0,0,COUNTA([2]characters!$A:$A),MATCH(B$1,[2]characters!$1:$1,0)-MATCH($A$1,[2]characters!$1:$1,0)+1),MATCH(B$1,[2]characters!$1:$1,0)-MATCH($A$1,[2]characters!$1:$1,0)+1,FALSE)</f>
        <v>異教徒 バフォメット</v>
      </c>
      <c r="C182" s="93">
        <f ca="1">VLOOKUP($A182,OFFSET(fork_awake_units!$A$1,0,0,COUNTA(fork_awake_units!$A:$A),MATCH(C$1,fork_awake_units!$1:$1,0)-MATCH($A$1,fork_awake_units!$1:$1,0)+1),MATCH(C$1,fork_awake_units!$1:$1,0)-MATCH($A$1,fork_awake_units!$1:$1,0)+1,FALSE)</f>
        <v>177</v>
      </c>
      <c r="D182" s="3" t="str">
        <f ca="1">VLOOKUP($C182,OFFSET([2]characters!$A$1,0,0,COUNTA([2]characters!$A:$A),MATCH(D$1,[2]characters!$1:$1,0)-MATCH($A$1,[2]characters!$1:$1,0)+1),MATCH(D$1,[2]characters!$1:$1,0)-MATCH($A$1,[2]characters!$1:$1,0)+1,FALSE)</f>
        <v>黒魔の異端師 バフォメット</v>
      </c>
      <c r="E182" s="66">
        <v>115</v>
      </c>
      <c r="F182" s="3" t="str">
        <f ca="1">VLOOKUP($E182,OFFSET([2]characters!$A$1,0,0,COUNTA([2]characters!$A:$A),MATCH(F$1,[2]characters!$1:$1,0)-MATCH($A$1,[2]characters!$1:$1,0)+1),MATCH(F$1,[2]characters!$1:$1,0)-MATCH($A$1,[2]characters!$1:$1,0)+1,FALSE)</f>
        <v>イエローキャタップ</v>
      </c>
      <c r="G182" s="66">
        <v>1</v>
      </c>
      <c r="H182" s="66">
        <v>1</v>
      </c>
      <c r="I182" s="66">
        <v>1</v>
      </c>
    </row>
    <row r="183" spans="1:9" x14ac:dyDescent="0.15">
      <c r="A183" s="66">
        <v>176</v>
      </c>
      <c r="B183" s="3" t="str">
        <f ca="1">VLOOKUP($A183,OFFSET([2]characters!$A$1,0,0,COUNTA([2]characters!$A:$A),MATCH(B$1,[2]characters!$1:$1,0)-MATCH($A$1,[2]characters!$1:$1,0)+1),MATCH(B$1,[2]characters!$1:$1,0)-MATCH($A$1,[2]characters!$1:$1,0)+1,FALSE)</f>
        <v>異教徒 バフォメット</v>
      </c>
      <c r="C183" s="93">
        <f ca="1">VLOOKUP($A183,OFFSET(fork_awake_units!$A$1,0,0,COUNTA(fork_awake_units!$A:$A),MATCH(C$1,fork_awake_units!$1:$1,0)-MATCH($A$1,fork_awake_units!$1:$1,0)+1),MATCH(C$1,fork_awake_units!$1:$1,0)-MATCH($A$1,fork_awake_units!$1:$1,0)+1,FALSE)</f>
        <v>177</v>
      </c>
      <c r="D183" s="3" t="str">
        <f ca="1">VLOOKUP($C183,OFFSET([2]characters!$A$1,0,0,COUNTA([2]characters!$A:$A),MATCH(D$1,[2]characters!$1:$1,0)-MATCH($A$1,[2]characters!$1:$1,0)+1),MATCH(D$1,[2]characters!$1:$1,0)-MATCH($A$1,[2]characters!$1:$1,0)+1,FALSE)</f>
        <v>黒魔の異端師 バフォメット</v>
      </c>
      <c r="E183" s="66">
        <v>116</v>
      </c>
      <c r="F183" s="3" t="str">
        <f ca="1">VLOOKUP($E183,OFFSET([2]characters!$A$1,0,0,COUNTA([2]characters!$A:$A),MATCH(F$1,[2]characters!$1:$1,0)-MATCH($A$1,[2]characters!$1:$1,0)+1),MATCH(F$1,[2]characters!$1:$1,0)-MATCH($A$1,[2]characters!$1:$1,0)+1,FALSE)</f>
        <v>雷のマッドハッター</v>
      </c>
      <c r="G183" s="66">
        <v>1</v>
      </c>
      <c r="H183" s="66">
        <v>1</v>
      </c>
      <c r="I183" s="66">
        <v>1</v>
      </c>
    </row>
    <row r="184" spans="1:9" x14ac:dyDescent="0.15">
      <c r="A184" s="66">
        <v>178</v>
      </c>
      <c r="B184" s="3" t="str">
        <f ca="1">VLOOKUP($A184,OFFSET([2]characters!$A$1,0,0,COUNTA([2]characters!$A:$A),MATCH(B$1,[2]characters!$1:$1,0)-MATCH($A$1,[2]characters!$1:$1,0)+1),MATCH(B$1,[2]characters!$1:$1,0)-MATCH($A$1,[2]characters!$1:$1,0)+1,FALSE)</f>
        <v>ケルベロス</v>
      </c>
      <c r="C184" s="93">
        <f ca="1">VLOOKUP($A184,OFFSET(fork_awake_units!$A$1,0,0,COUNTA(fork_awake_units!$A:$A),MATCH(C$1,fork_awake_units!$1:$1,0)-MATCH($A$1,fork_awake_units!$1:$1,0)+1),MATCH(C$1,fork_awake_units!$1:$1,0)-MATCH($A$1,fork_awake_units!$1:$1,0)+1,FALSE)</f>
        <v>179</v>
      </c>
      <c r="D184" s="3" t="str">
        <f ca="1">VLOOKUP($C184,OFFSET([2]characters!$A$1,0,0,COUNTA([2]characters!$A:$A),MATCH(D$1,[2]characters!$1:$1,0)-MATCH($A$1,[2]characters!$1:$1,0)+1),MATCH(D$1,[2]characters!$1:$1,0)-MATCH($A$1,[2]characters!$1:$1,0)+1,FALSE)</f>
        <v>番犬 ケルベロス</v>
      </c>
      <c r="E184" s="66">
        <v>101</v>
      </c>
      <c r="F184" s="3" t="str">
        <f ca="1">VLOOKUP($E184,OFFSET([2]characters!$A$1,0,0,COUNTA([2]characters!$A:$A),MATCH(F$1,[2]characters!$1:$1,0)-MATCH($A$1,[2]characters!$1:$1,0)+1),MATCH(F$1,[2]characters!$1:$1,0)-MATCH($A$1,[2]characters!$1:$1,0)+1,FALSE)</f>
        <v>レッドチェシャ</v>
      </c>
      <c r="G184" s="66">
        <v>2</v>
      </c>
      <c r="H184" s="66">
        <v>1</v>
      </c>
      <c r="I184" s="66">
        <v>1</v>
      </c>
    </row>
    <row r="185" spans="1:9" x14ac:dyDescent="0.15">
      <c r="A185" s="66">
        <v>178</v>
      </c>
      <c r="B185" s="3" t="str">
        <f ca="1">VLOOKUP($A185,OFFSET([2]characters!$A$1,0,0,COUNTA([2]characters!$A:$A),MATCH(B$1,[2]characters!$1:$1,0)-MATCH($A$1,[2]characters!$1:$1,0)+1),MATCH(B$1,[2]characters!$1:$1,0)-MATCH($A$1,[2]characters!$1:$1,0)+1,FALSE)</f>
        <v>ケルベロス</v>
      </c>
      <c r="C185" s="93">
        <f ca="1">VLOOKUP($A185,OFFSET(fork_awake_units!$A$1,0,0,COUNTA(fork_awake_units!$A:$A),MATCH(C$1,fork_awake_units!$1:$1,0)-MATCH($A$1,fork_awake_units!$1:$1,0)+1),MATCH(C$1,fork_awake_units!$1:$1,0)-MATCH($A$1,fork_awake_units!$1:$1,0)+1,FALSE)</f>
        <v>179</v>
      </c>
      <c r="D185" s="3" t="str">
        <f ca="1">VLOOKUP($C185,OFFSET([2]characters!$A$1,0,0,COUNTA([2]characters!$A:$A),MATCH(D$1,[2]characters!$1:$1,0)-MATCH($A$1,[2]characters!$1:$1,0)+1),MATCH(D$1,[2]characters!$1:$1,0)-MATCH($A$1,[2]characters!$1:$1,0)+1,FALSE)</f>
        <v>番犬 ケルベロス</v>
      </c>
      <c r="E185" s="66">
        <v>102</v>
      </c>
      <c r="F185" s="3" t="str">
        <f ca="1">VLOOKUP($E185,OFFSET([2]characters!$A$1,0,0,COUNTA([2]characters!$A:$A),MATCH(F$1,[2]characters!$1:$1,0)-MATCH($A$1,[2]characters!$1:$1,0)+1),MATCH(F$1,[2]characters!$1:$1,0)-MATCH($A$1,[2]characters!$1:$1,0)+1,FALSE)</f>
        <v>レッドラビット</v>
      </c>
      <c r="G185" s="66">
        <v>1</v>
      </c>
      <c r="H185" s="66">
        <v>1</v>
      </c>
      <c r="I185" s="66">
        <v>1</v>
      </c>
    </row>
    <row r="186" spans="1:9" x14ac:dyDescent="0.15">
      <c r="A186" s="66">
        <v>178</v>
      </c>
      <c r="B186" s="3" t="str">
        <f ca="1">VLOOKUP($A186,OFFSET([2]characters!$A$1,0,0,COUNTA([2]characters!$A:$A),MATCH(B$1,[2]characters!$1:$1,0)-MATCH($A$1,[2]characters!$1:$1,0)+1),MATCH(B$1,[2]characters!$1:$1,0)-MATCH($A$1,[2]characters!$1:$1,0)+1,FALSE)</f>
        <v>ケルベロス</v>
      </c>
      <c r="C186" s="93">
        <f ca="1">VLOOKUP($A186,OFFSET(fork_awake_units!$A$1,0,0,COUNTA(fork_awake_units!$A:$A),MATCH(C$1,fork_awake_units!$1:$1,0)-MATCH($A$1,fork_awake_units!$1:$1,0)+1),MATCH(C$1,fork_awake_units!$1:$1,0)-MATCH($A$1,fork_awake_units!$1:$1,0)+1,FALSE)</f>
        <v>179</v>
      </c>
      <c r="D186" s="3" t="str">
        <f ca="1">VLOOKUP($C186,OFFSET([2]characters!$A$1,0,0,COUNTA([2]characters!$A:$A),MATCH(D$1,[2]characters!$1:$1,0)-MATCH($A$1,[2]characters!$1:$1,0)+1),MATCH(D$1,[2]characters!$1:$1,0)-MATCH($A$1,[2]characters!$1:$1,0)+1,FALSE)</f>
        <v>番犬 ケルベロス</v>
      </c>
      <c r="E186" s="66">
        <v>103</v>
      </c>
      <c r="F186" s="3" t="str">
        <f ca="1">VLOOKUP($E186,OFFSET([2]characters!$A$1,0,0,COUNTA([2]characters!$A:$A),MATCH(F$1,[2]characters!$1:$1,0)-MATCH($A$1,[2]characters!$1:$1,0)+1),MATCH(F$1,[2]characters!$1:$1,0)-MATCH($A$1,[2]characters!$1:$1,0)+1,FALSE)</f>
        <v>レッドキャタップ</v>
      </c>
      <c r="G186" s="66">
        <v>2</v>
      </c>
      <c r="H186" s="66">
        <v>1</v>
      </c>
      <c r="I186" s="66">
        <v>1</v>
      </c>
    </row>
    <row r="187" spans="1:9" x14ac:dyDescent="0.15">
      <c r="A187" s="66">
        <v>179</v>
      </c>
      <c r="B187" s="3" t="str">
        <f ca="1">VLOOKUP($A187,OFFSET([2]characters!$A$1,0,0,COUNTA([2]characters!$A:$A),MATCH(B$1,[2]characters!$1:$1,0)-MATCH($A$1,[2]characters!$1:$1,0)+1),MATCH(B$1,[2]characters!$1:$1,0)-MATCH($A$1,[2]characters!$1:$1,0)+1,FALSE)</f>
        <v>番犬 ケルベロス</v>
      </c>
      <c r="C187" s="93">
        <f ca="1">VLOOKUP($A187,OFFSET(fork_awake_units!$A$1,0,0,COUNTA(fork_awake_units!$A:$A),MATCH(C$1,fork_awake_units!$1:$1,0)-MATCH($A$1,fork_awake_units!$1:$1,0)+1),MATCH(C$1,fork_awake_units!$1:$1,0)-MATCH($A$1,fork_awake_units!$1:$1,0)+1,FALSE)</f>
        <v>180</v>
      </c>
      <c r="D187" s="3" t="str">
        <f ca="1">VLOOKUP($C187,OFFSET([2]characters!$A$1,0,0,COUNTA([2]characters!$A:$A),MATCH(D$1,[2]characters!$1:$1,0)-MATCH($A$1,[2]characters!$1:$1,0)+1),MATCH(D$1,[2]characters!$1:$1,0)-MATCH($A$1,[2]characters!$1:$1,0)+1,FALSE)</f>
        <v>地獄の大門番 ケルベロス</v>
      </c>
      <c r="E187" s="66">
        <v>102</v>
      </c>
      <c r="F187" s="3" t="str">
        <f ca="1">VLOOKUP($E187,OFFSET([2]characters!$A$1,0,0,COUNTA([2]characters!$A:$A),MATCH(F$1,[2]characters!$1:$1,0)-MATCH($A$1,[2]characters!$1:$1,0)+1),MATCH(F$1,[2]characters!$1:$1,0)-MATCH($A$1,[2]characters!$1:$1,0)+1,FALSE)</f>
        <v>レッドラビット</v>
      </c>
      <c r="G187" s="66">
        <v>4</v>
      </c>
      <c r="H187" s="66">
        <v>1</v>
      </c>
      <c r="I187" s="66">
        <v>1</v>
      </c>
    </row>
    <row r="188" spans="1:9" x14ac:dyDescent="0.15">
      <c r="A188" s="66">
        <v>179</v>
      </c>
      <c r="B188" s="3" t="str">
        <f ca="1">VLOOKUP($A188,OFFSET([2]characters!$A$1,0,0,COUNTA([2]characters!$A:$A),MATCH(B$1,[2]characters!$1:$1,0)-MATCH($A$1,[2]characters!$1:$1,0)+1),MATCH(B$1,[2]characters!$1:$1,0)-MATCH($A$1,[2]characters!$1:$1,0)+1,FALSE)</f>
        <v>番犬 ケルベロス</v>
      </c>
      <c r="C188" s="93">
        <f ca="1">VLOOKUP($A188,OFFSET(fork_awake_units!$A$1,0,0,COUNTA(fork_awake_units!$A:$A),MATCH(C$1,fork_awake_units!$1:$1,0)-MATCH($A$1,fork_awake_units!$1:$1,0)+1),MATCH(C$1,fork_awake_units!$1:$1,0)-MATCH($A$1,fork_awake_units!$1:$1,0)+1,FALSE)</f>
        <v>180</v>
      </c>
      <c r="D188" s="3" t="str">
        <f ca="1">VLOOKUP($C188,OFFSET([2]characters!$A$1,0,0,COUNTA([2]characters!$A:$A),MATCH(D$1,[2]characters!$1:$1,0)-MATCH($A$1,[2]characters!$1:$1,0)+1),MATCH(D$1,[2]characters!$1:$1,0)-MATCH($A$1,[2]characters!$1:$1,0)+1,FALSE)</f>
        <v>地獄の大門番 ケルベロス</v>
      </c>
      <c r="E188" s="66">
        <v>104</v>
      </c>
      <c r="F188" s="3" t="str">
        <f ca="1">VLOOKUP($E188,OFFSET([2]characters!$A$1,0,0,COUNTA([2]characters!$A:$A),MATCH(F$1,[2]characters!$1:$1,0)-MATCH($A$1,[2]characters!$1:$1,0)+1),MATCH(F$1,[2]characters!$1:$1,0)-MATCH($A$1,[2]characters!$1:$1,0)+1,FALSE)</f>
        <v>炎のマッドハッター</v>
      </c>
      <c r="G188" s="66">
        <v>1</v>
      </c>
      <c r="H188" s="66">
        <v>1</v>
      </c>
      <c r="I188" s="66">
        <v>1</v>
      </c>
    </row>
    <row r="189" spans="1:9" x14ac:dyDescent="0.15">
      <c r="A189" s="66">
        <v>181</v>
      </c>
      <c r="B189" s="3" t="str">
        <f ca="1">VLOOKUP($A189,OFFSET([2]characters!$A$1,0,0,COUNTA([2]characters!$A:$A),MATCH(B$1,[2]characters!$1:$1,0)-MATCH($A$1,[2]characters!$1:$1,0)+1),MATCH(B$1,[2]characters!$1:$1,0)-MATCH($A$1,[2]characters!$1:$1,0)+1,FALSE)</f>
        <v>ベヒモス</v>
      </c>
      <c r="C189" s="93">
        <f ca="1">VLOOKUP($A189,OFFSET(fork_awake_units!$A$1,0,0,COUNTA(fork_awake_units!$A:$A),MATCH(C$1,fork_awake_units!$1:$1,0)-MATCH($A$1,fork_awake_units!$1:$1,0)+1),MATCH(C$1,fork_awake_units!$1:$1,0)-MATCH($A$1,fork_awake_units!$1:$1,0)+1,FALSE)</f>
        <v>182</v>
      </c>
      <c r="D189" s="3" t="str">
        <f ca="1">VLOOKUP($C189,OFFSET([2]characters!$A$1,0,0,COUNTA([2]characters!$A:$A),MATCH(D$1,[2]characters!$1:$1,0)-MATCH($A$1,[2]characters!$1:$1,0)+1),MATCH(D$1,[2]characters!$1:$1,0)-MATCH($A$1,[2]characters!$1:$1,0)+1,FALSE)</f>
        <v>放蕩者 ベヒモス</v>
      </c>
      <c r="E189" s="66">
        <v>105</v>
      </c>
      <c r="F189" s="3" t="str">
        <f ca="1">VLOOKUP($E189,OFFSET([2]characters!$A$1,0,0,COUNTA([2]characters!$A:$A),MATCH(F$1,[2]characters!$1:$1,0)-MATCH($A$1,[2]characters!$1:$1,0)+1),MATCH(F$1,[2]characters!$1:$1,0)-MATCH($A$1,[2]characters!$1:$1,0)+1,FALSE)</f>
        <v>グリーンチェシャ</v>
      </c>
      <c r="G189" s="66">
        <v>2</v>
      </c>
      <c r="H189" s="66">
        <v>1</v>
      </c>
      <c r="I189" s="66">
        <v>1</v>
      </c>
    </row>
    <row r="190" spans="1:9" x14ac:dyDescent="0.15">
      <c r="A190" s="66">
        <v>181</v>
      </c>
      <c r="B190" s="3" t="str">
        <f ca="1">VLOOKUP($A190,OFFSET([2]characters!$A$1,0,0,COUNTA([2]characters!$A:$A),MATCH(B$1,[2]characters!$1:$1,0)-MATCH($A$1,[2]characters!$1:$1,0)+1),MATCH(B$1,[2]characters!$1:$1,0)-MATCH($A$1,[2]characters!$1:$1,0)+1,FALSE)</f>
        <v>ベヒモス</v>
      </c>
      <c r="C190" s="93">
        <f ca="1">VLOOKUP($A190,OFFSET(fork_awake_units!$A$1,0,0,COUNTA(fork_awake_units!$A:$A),MATCH(C$1,fork_awake_units!$1:$1,0)-MATCH($A$1,fork_awake_units!$1:$1,0)+1),MATCH(C$1,fork_awake_units!$1:$1,0)-MATCH($A$1,fork_awake_units!$1:$1,0)+1,FALSE)</f>
        <v>182</v>
      </c>
      <c r="D190" s="3" t="str">
        <f ca="1">VLOOKUP($C190,OFFSET([2]characters!$A$1,0,0,COUNTA([2]characters!$A:$A),MATCH(D$1,[2]characters!$1:$1,0)-MATCH($A$1,[2]characters!$1:$1,0)+1),MATCH(D$1,[2]characters!$1:$1,0)-MATCH($A$1,[2]characters!$1:$1,0)+1,FALSE)</f>
        <v>放蕩者 ベヒモス</v>
      </c>
      <c r="E190" s="66">
        <v>106</v>
      </c>
      <c r="F190" s="3" t="str">
        <f ca="1">VLOOKUP($E190,OFFSET([2]characters!$A$1,0,0,COUNTA([2]characters!$A:$A),MATCH(F$1,[2]characters!$1:$1,0)-MATCH($A$1,[2]characters!$1:$1,0)+1),MATCH(F$1,[2]characters!$1:$1,0)-MATCH($A$1,[2]characters!$1:$1,0)+1,FALSE)</f>
        <v>グリーンラビット</v>
      </c>
      <c r="G190" s="66">
        <v>1</v>
      </c>
      <c r="H190" s="66">
        <v>1</v>
      </c>
      <c r="I190" s="66">
        <v>1</v>
      </c>
    </row>
    <row r="191" spans="1:9" x14ac:dyDescent="0.15">
      <c r="A191" s="66">
        <v>181</v>
      </c>
      <c r="B191" s="3" t="str">
        <f ca="1">VLOOKUP($A191,OFFSET([2]characters!$A$1,0,0,COUNTA([2]characters!$A:$A),MATCH(B$1,[2]characters!$1:$1,0)-MATCH($A$1,[2]characters!$1:$1,0)+1),MATCH(B$1,[2]characters!$1:$1,0)-MATCH($A$1,[2]characters!$1:$1,0)+1,FALSE)</f>
        <v>ベヒモス</v>
      </c>
      <c r="C191" s="93">
        <f ca="1">VLOOKUP($A191,OFFSET(fork_awake_units!$A$1,0,0,COUNTA(fork_awake_units!$A:$A),MATCH(C$1,fork_awake_units!$1:$1,0)-MATCH($A$1,fork_awake_units!$1:$1,0)+1),MATCH(C$1,fork_awake_units!$1:$1,0)-MATCH($A$1,fork_awake_units!$1:$1,0)+1,FALSE)</f>
        <v>182</v>
      </c>
      <c r="D191" s="3" t="str">
        <f ca="1">VLOOKUP($C191,OFFSET([2]characters!$A$1,0,0,COUNTA([2]characters!$A:$A),MATCH(D$1,[2]characters!$1:$1,0)-MATCH($A$1,[2]characters!$1:$1,0)+1),MATCH(D$1,[2]characters!$1:$1,0)-MATCH($A$1,[2]characters!$1:$1,0)+1,FALSE)</f>
        <v>放蕩者 ベヒモス</v>
      </c>
      <c r="E191" s="66">
        <v>107</v>
      </c>
      <c r="F191" s="3" t="str">
        <f ca="1">VLOOKUP($E191,OFFSET([2]characters!$A$1,0,0,COUNTA([2]characters!$A:$A),MATCH(F$1,[2]characters!$1:$1,0)-MATCH($A$1,[2]characters!$1:$1,0)+1),MATCH(F$1,[2]characters!$1:$1,0)-MATCH($A$1,[2]characters!$1:$1,0)+1,FALSE)</f>
        <v>グリーンキャタップ</v>
      </c>
      <c r="G191" s="66">
        <v>2</v>
      </c>
      <c r="H191" s="66">
        <v>1</v>
      </c>
      <c r="I191" s="66">
        <v>1</v>
      </c>
    </row>
    <row r="192" spans="1:9" x14ac:dyDescent="0.15">
      <c r="A192" s="66">
        <v>182</v>
      </c>
      <c r="B192" s="3" t="str">
        <f ca="1">VLOOKUP($A192,OFFSET([2]characters!$A$1,0,0,COUNTA([2]characters!$A:$A),MATCH(B$1,[2]characters!$1:$1,0)-MATCH($A$1,[2]characters!$1:$1,0)+1),MATCH(B$1,[2]characters!$1:$1,0)-MATCH($A$1,[2]characters!$1:$1,0)+1,FALSE)</f>
        <v>放蕩者 ベヒモス</v>
      </c>
      <c r="C192" s="93">
        <f ca="1">VLOOKUP($A192,OFFSET(fork_awake_units!$A$1,0,0,COUNTA(fork_awake_units!$A:$A),MATCH(C$1,fork_awake_units!$1:$1,0)-MATCH($A$1,fork_awake_units!$1:$1,0)+1),MATCH(C$1,fork_awake_units!$1:$1,0)-MATCH($A$1,fork_awake_units!$1:$1,0)+1,FALSE)</f>
        <v>183</v>
      </c>
      <c r="D192" s="3" t="str">
        <f ca="1">VLOOKUP($C192,OFFSET([2]characters!$A$1,0,0,COUNTA([2]characters!$A:$A),MATCH(D$1,[2]characters!$1:$1,0)-MATCH($A$1,[2]characters!$1:$1,0)+1),MATCH(D$1,[2]characters!$1:$1,0)-MATCH($A$1,[2]characters!$1:$1,0)+1,FALSE)</f>
        <v>鈍重な彷徨者 ベヒモス</v>
      </c>
      <c r="E192" s="66">
        <v>106</v>
      </c>
      <c r="F192" s="3" t="str">
        <f ca="1">VLOOKUP($E192,OFFSET([2]characters!$A$1,0,0,COUNTA([2]characters!$A:$A),MATCH(F$1,[2]characters!$1:$1,0)-MATCH($A$1,[2]characters!$1:$1,0)+1),MATCH(F$1,[2]characters!$1:$1,0)-MATCH($A$1,[2]characters!$1:$1,0)+1,FALSE)</f>
        <v>グリーンラビット</v>
      </c>
      <c r="G192" s="66">
        <v>4</v>
      </c>
      <c r="H192" s="66">
        <v>1</v>
      </c>
      <c r="I192" s="66">
        <v>1</v>
      </c>
    </row>
    <row r="193" spans="1:9" x14ac:dyDescent="0.15">
      <c r="A193" s="66">
        <v>182</v>
      </c>
      <c r="B193" s="3" t="str">
        <f ca="1">VLOOKUP($A193,OFFSET([2]characters!$A$1,0,0,COUNTA([2]characters!$A:$A),MATCH(B$1,[2]characters!$1:$1,0)-MATCH($A$1,[2]characters!$1:$1,0)+1),MATCH(B$1,[2]characters!$1:$1,0)-MATCH($A$1,[2]characters!$1:$1,0)+1,FALSE)</f>
        <v>放蕩者 ベヒモス</v>
      </c>
      <c r="C193" s="93">
        <f ca="1">VLOOKUP($A193,OFFSET(fork_awake_units!$A$1,0,0,COUNTA(fork_awake_units!$A:$A),MATCH(C$1,fork_awake_units!$1:$1,0)-MATCH($A$1,fork_awake_units!$1:$1,0)+1),MATCH(C$1,fork_awake_units!$1:$1,0)-MATCH($A$1,fork_awake_units!$1:$1,0)+1,FALSE)</f>
        <v>183</v>
      </c>
      <c r="D193" s="3" t="str">
        <f ca="1">VLOOKUP($C193,OFFSET([2]characters!$A$1,0,0,COUNTA([2]characters!$A:$A),MATCH(D$1,[2]characters!$1:$1,0)-MATCH($A$1,[2]characters!$1:$1,0)+1),MATCH(D$1,[2]characters!$1:$1,0)-MATCH($A$1,[2]characters!$1:$1,0)+1,FALSE)</f>
        <v>鈍重な彷徨者 ベヒモス</v>
      </c>
      <c r="E193" s="66">
        <v>108</v>
      </c>
      <c r="F193" s="3" t="str">
        <f ca="1">VLOOKUP($E193,OFFSET([2]characters!$A$1,0,0,COUNTA([2]characters!$A:$A),MATCH(F$1,[2]characters!$1:$1,0)-MATCH($A$1,[2]characters!$1:$1,0)+1),MATCH(F$1,[2]characters!$1:$1,0)-MATCH($A$1,[2]characters!$1:$1,0)+1,FALSE)</f>
        <v>森のマッドハッター</v>
      </c>
      <c r="G193" s="66">
        <v>1</v>
      </c>
      <c r="H193" s="66">
        <v>1</v>
      </c>
      <c r="I193" s="66">
        <v>1</v>
      </c>
    </row>
    <row r="194" spans="1:9" x14ac:dyDescent="0.15">
      <c r="A194" s="66">
        <v>184</v>
      </c>
      <c r="B194" s="3" t="str">
        <f ca="1">VLOOKUP($A194,OFFSET([2]characters!$A$1,0,0,COUNTA([2]characters!$A:$A),MATCH(B$1,[2]characters!$1:$1,0)-MATCH($A$1,[2]characters!$1:$1,0)+1),MATCH(B$1,[2]characters!$1:$1,0)-MATCH($A$1,[2]characters!$1:$1,0)+1,FALSE)</f>
        <v>クラーケン</v>
      </c>
      <c r="C194" s="93">
        <f ca="1">VLOOKUP($A194,OFFSET(fork_awake_units!$A$1,0,0,COUNTA(fork_awake_units!$A:$A),MATCH(C$1,fork_awake_units!$1:$1,0)-MATCH($A$1,fork_awake_units!$1:$1,0)+1),MATCH(C$1,fork_awake_units!$1:$1,0)-MATCH($A$1,fork_awake_units!$1:$1,0)+1,FALSE)</f>
        <v>185</v>
      </c>
      <c r="D194" s="3" t="str">
        <f ca="1">VLOOKUP($C194,OFFSET([2]characters!$A$1,0,0,COUNTA([2]characters!$A:$A),MATCH(D$1,[2]characters!$1:$1,0)-MATCH($A$1,[2]characters!$1:$1,0)+1),MATCH(D$1,[2]characters!$1:$1,0)-MATCH($A$1,[2]characters!$1:$1,0)+1,FALSE)</f>
        <v>海姫 クラーケン</v>
      </c>
      <c r="E194" s="66">
        <v>109</v>
      </c>
      <c r="F194" s="3" t="str">
        <f ca="1">VLOOKUP($E194,OFFSET([2]characters!$A$1,0,0,COUNTA([2]characters!$A:$A),MATCH(F$1,[2]characters!$1:$1,0)-MATCH($A$1,[2]characters!$1:$1,0)+1),MATCH(F$1,[2]characters!$1:$1,0)-MATCH($A$1,[2]characters!$1:$1,0)+1,FALSE)</f>
        <v>ブルーチェシャ</v>
      </c>
      <c r="G194" s="66">
        <v>2</v>
      </c>
      <c r="H194" s="66">
        <v>1</v>
      </c>
      <c r="I194" s="66">
        <v>1</v>
      </c>
    </row>
    <row r="195" spans="1:9" x14ac:dyDescent="0.15">
      <c r="A195" s="66">
        <v>184</v>
      </c>
      <c r="B195" s="3" t="str">
        <f ca="1">VLOOKUP($A195,OFFSET([2]characters!$A$1,0,0,COUNTA([2]characters!$A:$A),MATCH(B$1,[2]characters!$1:$1,0)-MATCH($A$1,[2]characters!$1:$1,0)+1),MATCH(B$1,[2]characters!$1:$1,0)-MATCH($A$1,[2]characters!$1:$1,0)+1,FALSE)</f>
        <v>クラーケン</v>
      </c>
      <c r="C195" s="93">
        <f ca="1">VLOOKUP($A195,OFFSET(fork_awake_units!$A$1,0,0,COUNTA(fork_awake_units!$A:$A),MATCH(C$1,fork_awake_units!$1:$1,0)-MATCH($A$1,fork_awake_units!$1:$1,0)+1),MATCH(C$1,fork_awake_units!$1:$1,0)-MATCH($A$1,fork_awake_units!$1:$1,0)+1,FALSE)</f>
        <v>185</v>
      </c>
      <c r="D195" s="3" t="str">
        <f ca="1">VLOOKUP($C195,OFFSET([2]characters!$A$1,0,0,COUNTA([2]characters!$A:$A),MATCH(D$1,[2]characters!$1:$1,0)-MATCH($A$1,[2]characters!$1:$1,0)+1),MATCH(D$1,[2]characters!$1:$1,0)-MATCH($A$1,[2]characters!$1:$1,0)+1,FALSE)</f>
        <v>海姫 クラーケン</v>
      </c>
      <c r="E195" s="66">
        <v>110</v>
      </c>
      <c r="F195" s="3" t="str">
        <f ca="1">VLOOKUP($E195,OFFSET([2]characters!$A$1,0,0,COUNTA([2]characters!$A:$A),MATCH(F$1,[2]characters!$1:$1,0)-MATCH($A$1,[2]characters!$1:$1,0)+1),MATCH(F$1,[2]characters!$1:$1,0)-MATCH($A$1,[2]characters!$1:$1,0)+1,FALSE)</f>
        <v>ブルーラビット</v>
      </c>
      <c r="G195" s="66">
        <v>1</v>
      </c>
      <c r="H195" s="66">
        <v>1</v>
      </c>
      <c r="I195" s="66">
        <v>1</v>
      </c>
    </row>
    <row r="196" spans="1:9" x14ac:dyDescent="0.15">
      <c r="A196" s="66">
        <v>184</v>
      </c>
      <c r="B196" s="3" t="str">
        <f ca="1">VLOOKUP($A196,OFFSET([2]characters!$A$1,0,0,COUNTA([2]characters!$A:$A),MATCH(B$1,[2]characters!$1:$1,0)-MATCH($A$1,[2]characters!$1:$1,0)+1),MATCH(B$1,[2]characters!$1:$1,0)-MATCH($A$1,[2]characters!$1:$1,0)+1,FALSE)</f>
        <v>クラーケン</v>
      </c>
      <c r="C196" s="93">
        <f ca="1">VLOOKUP($A196,OFFSET(fork_awake_units!$A$1,0,0,COUNTA(fork_awake_units!$A:$A),MATCH(C$1,fork_awake_units!$1:$1,0)-MATCH($A$1,fork_awake_units!$1:$1,0)+1),MATCH(C$1,fork_awake_units!$1:$1,0)-MATCH($A$1,fork_awake_units!$1:$1,0)+1,FALSE)</f>
        <v>185</v>
      </c>
      <c r="D196" s="3" t="str">
        <f ca="1">VLOOKUP($C196,OFFSET([2]characters!$A$1,0,0,COUNTA([2]characters!$A:$A),MATCH(D$1,[2]characters!$1:$1,0)-MATCH($A$1,[2]characters!$1:$1,0)+1),MATCH(D$1,[2]characters!$1:$1,0)-MATCH($A$1,[2]characters!$1:$1,0)+1,FALSE)</f>
        <v>海姫 クラーケン</v>
      </c>
      <c r="E196" s="66">
        <v>111</v>
      </c>
      <c r="F196" s="3" t="str">
        <f ca="1">VLOOKUP($E196,OFFSET([2]characters!$A$1,0,0,COUNTA([2]characters!$A:$A),MATCH(F$1,[2]characters!$1:$1,0)-MATCH($A$1,[2]characters!$1:$1,0)+1),MATCH(F$1,[2]characters!$1:$1,0)-MATCH($A$1,[2]characters!$1:$1,0)+1,FALSE)</f>
        <v>ブルーキャタップ</v>
      </c>
      <c r="G196" s="66">
        <v>2</v>
      </c>
      <c r="H196" s="66">
        <v>1</v>
      </c>
      <c r="I196" s="66">
        <v>1</v>
      </c>
    </row>
    <row r="197" spans="1:9" x14ac:dyDescent="0.15">
      <c r="A197" s="66">
        <v>185</v>
      </c>
      <c r="B197" s="3" t="str">
        <f ca="1">VLOOKUP($A197,OFFSET([2]characters!$A$1,0,0,COUNTA([2]characters!$A:$A),MATCH(B$1,[2]characters!$1:$1,0)-MATCH($A$1,[2]characters!$1:$1,0)+1),MATCH(B$1,[2]characters!$1:$1,0)-MATCH($A$1,[2]characters!$1:$1,0)+1,FALSE)</f>
        <v>海姫 クラーケン</v>
      </c>
      <c r="C197" s="93">
        <f ca="1">VLOOKUP($A197,OFFSET(fork_awake_units!$A$1,0,0,COUNTA(fork_awake_units!$A:$A),MATCH(C$1,fork_awake_units!$1:$1,0)-MATCH($A$1,fork_awake_units!$1:$1,0)+1),MATCH(C$1,fork_awake_units!$1:$1,0)-MATCH($A$1,fork_awake_units!$1:$1,0)+1,FALSE)</f>
        <v>186</v>
      </c>
      <c r="D197" s="3" t="str">
        <f ca="1">VLOOKUP($C197,OFFSET([2]characters!$A$1,0,0,COUNTA([2]characters!$A:$A),MATCH(D$1,[2]characters!$1:$1,0)-MATCH($A$1,[2]characters!$1:$1,0)+1),MATCH(D$1,[2]characters!$1:$1,0)-MATCH($A$1,[2]characters!$1:$1,0)+1,FALSE)</f>
        <v>誇り高き多触姫・クラーケン</v>
      </c>
      <c r="E197" s="66">
        <v>110</v>
      </c>
      <c r="F197" s="3" t="str">
        <f ca="1">VLOOKUP($E197,OFFSET([2]characters!$A$1,0,0,COUNTA([2]characters!$A:$A),MATCH(F$1,[2]characters!$1:$1,0)-MATCH($A$1,[2]characters!$1:$1,0)+1),MATCH(F$1,[2]characters!$1:$1,0)-MATCH($A$1,[2]characters!$1:$1,0)+1,FALSE)</f>
        <v>ブルーラビット</v>
      </c>
      <c r="G197" s="66">
        <v>4</v>
      </c>
      <c r="H197" s="66">
        <v>1</v>
      </c>
      <c r="I197" s="66">
        <v>1</v>
      </c>
    </row>
    <row r="198" spans="1:9" x14ac:dyDescent="0.15">
      <c r="A198" s="66">
        <v>185</v>
      </c>
      <c r="B198" s="3" t="str">
        <f ca="1">VLOOKUP($A198,OFFSET([2]characters!$A$1,0,0,COUNTA([2]characters!$A:$A),MATCH(B$1,[2]characters!$1:$1,0)-MATCH($A$1,[2]characters!$1:$1,0)+1),MATCH(B$1,[2]characters!$1:$1,0)-MATCH($A$1,[2]characters!$1:$1,0)+1,FALSE)</f>
        <v>海姫 クラーケン</v>
      </c>
      <c r="C198" s="93">
        <f ca="1">VLOOKUP($A198,OFFSET(fork_awake_units!$A$1,0,0,COUNTA(fork_awake_units!$A:$A),MATCH(C$1,fork_awake_units!$1:$1,0)-MATCH($A$1,fork_awake_units!$1:$1,0)+1),MATCH(C$1,fork_awake_units!$1:$1,0)-MATCH($A$1,fork_awake_units!$1:$1,0)+1,FALSE)</f>
        <v>186</v>
      </c>
      <c r="D198" s="3" t="str">
        <f ca="1">VLOOKUP($C198,OFFSET([2]characters!$A$1,0,0,COUNTA([2]characters!$A:$A),MATCH(D$1,[2]characters!$1:$1,0)-MATCH($A$1,[2]characters!$1:$1,0)+1),MATCH(D$1,[2]characters!$1:$1,0)-MATCH($A$1,[2]characters!$1:$1,0)+1,FALSE)</f>
        <v>誇り高き多触姫・クラーケン</v>
      </c>
      <c r="E198" s="66">
        <v>112</v>
      </c>
      <c r="F198" s="3" t="str">
        <f ca="1">VLOOKUP($E198,OFFSET([2]characters!$A$1,0,0,COUNTA([2]characters!$A:$A),MATCH(F$1,[2]characters!$1:$1,0)-MATCH($A$1,[2]characters!$1:$1,0)+1),MATCH(F$1,[2]characters!$1:$1,0)-MATCH($A$1,[2]characters!$1:$1,0)+1,FALSE)</f>
        <v>水のマッドハッター</v>
      </c>
      <c r="G198" s="66">
        <v>1</v>
      </c>
      <c r="H198" s="66">
        <v>1</v>
      </c>
      <c r="I198" s="66">
        <v>1</v>
      </c>
    </row>
    <row r="199" spans="1:9" x14ac:dyDescent="0.15">
      <c r="A199" s="66">
        <v>187</v>
      </c>
      <c r="B199" s="3" t="str">
        <f ca="1">VLOOKUP($A199,OFFSET([2]characters!$A$1,0,0,COUNTA([2]characters!$A:$A),MATCH(B$1,[2]characters!$1:$1,0)-MATCH($A$1,[2]characters!$1:$1,0)+1),MATCH(B$1,[2]characters!$1:$1,0)-MATCH($A$1,[2]characters!$1:$1,0)+1,FALSE)</f>
        <v>ホルス</v>
      </c>
      <c r="C199" s="93">
        <f ca="1">VLOOKUP($A199,OFFSET(fork_awake_units!$A$1,0,0,COUNTA(fork_awake_units!$A:$A),MATCH(C$1,fork_awake_units!$1:$1,0)-MATCH($A$1,fork_awake_units!$1:$1,0)+1),MATCH(C$1,fork_awake_units!$1:$1,0)-MATCH($A$1,fork_awake_units!$1:$1,0)+1,FALSE)</f>
        <v>188</v>
      </c>
      <c r="D199" s="3" t="str">
        <f ca="1">VLOOKUP($C199,OFFSET([2]characters!$A$1,0,0,COUNTA([2]characters!$A:$A),MATCH(D$1,[2]characters!$1:$1,0)-MATCH($A$1,[2]characters!$1:$1,0)+1),MATCH(D$1,[2]characters!$1:$1,0)-MATCH($A$1,[2]characters!$1:$1,0)+1,FALSE)</f>
        <v>猛禽 ホルス</v>
      </c>
      <c r="E199" s="66">
        <v>113</v>
      </c>
      <c r="F199" s="3" t="str">
        <f ca="1">VLOOKUP($E199,OFFSET([2]characters!$A$1,0,0,COUNTA([2]characters!$A:$A),MATCH(F$1,[2]characters!$1:$1,0)-MATCH($A$1,[2]characters!$1:$1,0)+1),MATCH(F$1,[2]characters!$1:$1,0)-MATCH($A$1,[2]characters!$1:$1,0)+1,FALSE)</f>
        <v>イエローチェシャ</v>
      </c>
      <c r="G199" s="66">
        <v>2</v>
      </c>
      <c r="H199" s="66">
        <v>1</v>
      </c>
      <c r="I199" s="66">
        <v>1</v>
      </c>
    </row>
    <row r="200" spans="1:9" x14ac:dyDescent="0.15">
      <c r="A200" s="66">
        <v>187</v>
      </c>
      <c r="B200" s="3" t="str">
        <f ca="1">VLOOKUP($A200,OFFSET([2]characters!$A$1,0,0,COUNTA([2]characters!$A:$A),MATCH(B$1,[2]characters!$1:$1,0)-MATCH($A$1,[2]characters!$1:$1,0)+1),MATCH(B$1,[2]characters!$1:$1,0)-MATCH($A$1,[2]characters!$1:$1,0)+1,FALSE)</f>
        <v>ホルス</v>
      </c>
      <c r="C200" s="93">
        <f ca="1">VLOOKUP($A200,OFFSET(fork_awake_units!$A$1,0,0,COUNTA(fork_awake_units!$A:$A),MATCH(C$1,fork_awake_units!$1:$1,0)-MATCH($A$1,fork_awake_units!$1:$1,0)+1),MATCH(C$1,fork_awake_units!$1:$1,0)-MATCH($A$1,fork_awake_units!$1:$1,0)+1,FALSE)</f>
        <v>188</v>
      </c>
      <c r="D200" s="3" t="str">
        <f ca="1">VLOOKUP($C200,OFFSET([2]characters!$A$1,0,0,COUNTA([2]characters!$A:$A),MATCH(D$1,[2]characters!$1:$1,0)-MATCH($A$1,[2]characters!$1:$1,0)+1),MATCH(D$1,[2]characters!$1:$1,0)-MATCH($A$1,[2]characters!$1:$1,0)+1,FALSE)</f>
        <v>猛禽 ホルス</v>
      </c>
      <c r="E200" s="66">
        <v>114</v>
      </c>
      <c r="F200" s="3" t="str">
        <f ca="1">VLOOKUP($E200,OFFSET([2]characters!$A$1,0,0,COUNTA([2]characters!$A:$A),MATCH(F$1,[2]characters!$1:$1,0)-MATCH($A$1,[2]characters!$1:$1,0)+1),MATCH(F$1,[2]characters!$1:$1,0)-MATCH($A$1,[2]characters!$1:$1,0)+1,FALSE)</f>
        <v>イエローラビット</v>
      </c>
      <c r="G200" s="66">
        <v>1</v>
      </c>
      <c r="H200" s="66">
        <v>1</v>
      </c>
      <c r="I200" s="66">
        <v>1</v>
      </c>
    </row>
    <row r="201" spans="1:9" x14ac:dyDescent="0.15">
      <c r="A201" s="66">
        <v>187</v>
      </c>
      <c r="B201" s="3" t="str">
        <f ca="1">VLOOKUP($A201,OFFSET([2]characters!$A$1,0,0,COUNTA([2]characters!$A:$A),MATCH(B$1,[2]characters!$1:$1,0)-MATCH($A$1,[2]characters!$1:$1,0)+1),MATCH(B$1,[2]characters!$1:$1,0)-MATCH($A$1,[2]characters!$1:$1,0)+1,FALSE)</f>
        <v>ホルス</v>
      </c>
      <c r="C201" s="93">
        <f ca="1">VLOOKUP($A201,OFFSET(fork_awake_units!$A$1,0,0,COUNTA(fork_awake_units!$A:$A),MATCH(C$1,fork_awake_units!$1:$1,0)-MATCH($A$1,fork_awake_units!$1:$1,0)+1),MATCH(C$1,fork_awake_units!$1:$1,0)-MATCH($A$1,fork_awake_units!$1:$1,0)+1,FALSE)</f>
        <v>188</v>
      </c>
      <c r="D201" s="3" t="str">
        <f ca="1">VLOOKUP($C201,OFFSET([2]characters!$A$1,0,0,COUNTA([2]characters!$A:$A),MATCH(D$1,[2]characters!$1:$1,0)-MATCH($A$1,[2]characters!$1:$1,0)+1),MATCH(D$1,[2]characters!$1:$1,0)-MATCH($A$1,[2]characters!$1:$1,0)+1,FALSE)</f>
        <v>猛禽 ホルス</v>
      </c>
      <c r="E201" s="66">
        <v>115</v>
      </c>
      <c r="F201" s="3" t="str">
        <f ca="1">VLOOKUP($E201,OFFSET([2]characters!$A$1,0,0,COUNTA([2]characters!$A:$A),MATCH(F$1,[2]characters!$1:$1,0)-MATCH($A$1,[2]characters!$1:$1,0)+1),MATCH(F$1,[2]characters!$1:$1,0)-MATCH($A$1,[2]characters!$1:$1,0)+1,FALSE)</f>
        <v>イエローキャタップ</v>
      </c>
      <c r="G201" s="66">
        <v>2</v>
      </c>
      <c r="H201" s="66">
        <v>1</v>
      </c>
      <c r="I201" s="66">
        <v>1</v>
      </c>
    </row>
    <row r="202" spans="1:9" x14ac:dyDescent="0.15">
      <c r="A202" s="66">
        <v>188</v>
      </c>
      <c r="B202" s="3" t="str">
        <f ca="1">VLOOKUP($A202,OFFSET([2]characters!$A$1,0,0,COUNTA([2]characters!$A:$A),MATCH(B$1,[2]characters!$1:$1,0)-MATCH($A$1,[2]characters!$1:$1,0)+1),MATCH(B$1,[2]characters!$1:$1,0)-MATCH($A$1,[2]characters!$1:$1,0)+1,FALSE)</f>
        <v>猛禽 ホルス</v>
      </c>
      <c r="C202" s="93">
        <f ca="1">VLOOKUP($A202,OFFSET(fork_awake_units!$A$1,0,0,COUNTA(fork_awake_units!$A:$A),MATCH(C$1,fork_awake_units!$1:$1,0)-MATCH($A$1,fork_awake_units!$1:$1,0)+1),MATCH(C$1,fork_awake_units!$1:$1,0)-MATCH($A$1,fork_awake_units!$1:$1,0)+1,FALSE)</f>
        <v>189</v>
      </c>
      <c r="D202" s="3" t="str">
        <f ca="1">VLOOKUP($C202,OFFSET([2]characters!$A$1,0,0,COUNTA([2]characters!$A:$A),MATCH(D$1,[2]characters!$1:$1,0)-MATCH($A$1,[2]characters!$1:$1,0)+1),MATCH(D$1,[2]characters!$1:$1,0)-MATCH($A$1,[2]characters!$1:$1,0)+1,FALSE)</f>
        <v>迅雷の王禽 ホルス</v>
      </c>
      <c r="E202" s="66">
        <v>114</v>
      </c>
      <c r="F202" s="3" t="str">
        <f ca="1">VLOOKUP($E202,OFFSET([2]characters!$A$1,0,0,COUNTA([2]characters!$A:$A),MATCH(F$1,[2]characters!$1:$1,0)-MATCH($A$1,[2]characters!$1:$1,0)+1),MATCH(F$1,[2]characters!$1:$1,0)-MATCH($A$1,[2]characters!$1:$1,0)+1,FALSE)</f>
        <v>イエローラビット</v>
      </c>
      <c r="G202" s="66">
        <v>4</v>
      </c>
      <c r="H202" s="66">
        <v>1</v>
      </c>
      <c r="I202" s="66">
        <v>1</v>
      </c>
    </row>
    <row r="203" spans="1:9" x14ac:dyDescent="0.15">
      <c r="A203" s="66">
        <v>188</v>
      </c>
      <c r="B203" s="3" t="str">
        <f ca="1">VLOOKUP($A203,OFFSET([2]characters!$A$1,0,0,COUNTA([2]characters!$A:$A),MATCH(B$1,[2]characters!$1:$1,0)-MATCH($A$1,[2]characters!$1:$1,0)+1),MATCH(B$1,[2]characters!$1:$1,0)-MATCH($A$1,[2]characters!$1:$1,0)+1,FALSE)</f>
        <v>猛禽 ホルス</v>
      </c>
      <c r="C203" s="93">
        <f ca="1">VLOOKUP($A203,OFFSET(fork_awake_units!$A$1,0,0,COUNTA(fork_awake_units!$A:$A),MATCH(C$1,fork_awake_units!$1:$1,0)-MATCH($A$1,fork_awake_units!$1:$1,0)+1),MATCH(C$1,fork_awake_units!$1:$1,0)-MATCH($A$1,fork_awake_units!$1:$1,0)+1,FALSE)</f>
        <v>189</v>
      </c>
      <c r="D203" s="3" t="str">
        <f ca="1">VLOOKUP($C203,OFFSET([2]characters!$A$1,0,0,COUNTA([2]characters!$A:$A),MATCH(D$1,[2]characters!$1:$1,0)-MATCH($A$1,[2]characters!$1:$1,0)+1),MATCH(D$1,[2]characters!$1:$1,0)-MATCH($A$1,[2]characters!$1:$1,0)+1,FALSE)</f>
        <v>迅雷の王禽 ホルス</v>
      </c>
      <c r="E203" s="66">
        <v>116</v>
      </c>
      <c r="F203" s="3" t="str">
        <f ca="1">VLOOKUP($E203,OFFSET([2]characters!$A$1,0,0,COUNTA([2]characters!$A:$A),MATCH(F$1,[2]characters!$1:$1,0)-MATCH($A$1,[2]characters!$1:$1,0)+1),MATCH(F$1,[2]characters!$1:$1,0)-MATCH($A$1,[2]characters!$1:$1,0)+1,FALSE)</f>
        <v>雷のマッドハッター</v>
      </c>
      <c r="G203" s="66">
        <v>1</v>
      </c>
      <c r="H203" s="66">
        <v>1</v>
      </c>
      <c r="I203" s="66">
        <v>1</v>
      </c>
    </row>
    <row r="204" spans="1:9" x14ac:dyDescent="0.15">
      <c r="A204" s="66">
        <v>190</v>
      </c>
      <c r="B204" s="3" t="str">
        <f ca="1">VLOOKUP($A204,OFFSET([2]characters!$A$1,0,0,COUNTA([2]characters!$A:$A),MATCH(B$1,[2]characters!$1:$1,0)-MATCH($A$1,[2]characters!$1:$1,0)+1),MATCH(B$1,[2]characters!$1:$1,0)-MATCH($A$1,[2]characters!$1:$1,0)+1,FALSE)</f>
        <v>卑弥呼</v>
      </c>
      <c r="C204" s="93">
        <f ca="1">VLOOKUP($A204,OFFSET(fork_awake_units!$A$1,0,0,COUNTA(fork_awake_units!$A:$A),MATCH(C$1,fork_awake_units!$1:$1,0)-MATCH($A$1,fork_awake_units!$1:$1,0)+1),MATCH(C$1,fork_awake_units!$1:$1,0)-MATCH($A$1,fork_awake_units!$1:$1,0)+1,FALSE)</f>
        <v>191</v>
      </c>
      <c r="D204" s="3" t="str">
        <f ca="1">VLOOKUP($C204,OFFSET([2]characters!$A$1,0,0,COUNTA([2]characters!$A:$A),MATCH(D$1,[2]characters!$1:$1,0)-MATCH($A$1,[2]characters!$1:$1,0)+1),MATCH(D$1,[2]characters!$1:$1,0)-MATCH($A$1,[2]characters!$1:$1,0)+1,FALSE)</f>
        <v>始祖 卑弥呼</v>
      </c>
      <c r="E204" s="66">
        <v>102</v>
      </c>
      <c r="F204" s="3" t="str">
        <f ca="1">VLOOKUP($E204,OFFSET([2]characters!$A$1,0,0,COUNTA([2]characters!$A:$A),MATCH(F$1,[2]characters!$1:$1,0)-MATCH($A$1,[2]characters!$1:$1,0)+1),MATCH(F$1,[2]characters!$1:$1,0)-MATCH($A$1,[2]characters!$1:$1,0)+1,FALSE)</f>
        <v>レッドラビット</v>
      </c>
      <c r="G204" s="66">
        <v>2</v>
      </c>
      <c r="H204" s="66">
        <v>1</v>
      </c>
      <c r="I204" s="66">
        <v>1</v>
      </c>
    </row>
    <row r="205" spans="1:9" x14ac:dyDescent="0.15">
      <c r="A205" s="66">
        <v>190</v>
      </c>
      <c r="B205" s="3" t="str">
        <f ca="1">VLOOKUP($A205,OFFSET([2]characters!$A$1,0,0,COUNTA([2]characters!$A:$A),MATCH(B$1,[2]characters!$1:$1,0)-MATCH($A$1,[2]characters!$1:$1,0)+1),MATCH(B$1,[2]characters!$1:$1,0)-MATCH($A$1,[2]characters!$1:$1,0)+1,FALSE)</f>
        <v>卑弥呼</v>
      </c>
      <c r="C205" s="93">
        <f ca="1">VLOOKUP($A205,OFFSET(fork_awake_units!$A$1,0,0,COUNTA(fork_awake_units!$A:$A),MATCH(C$1,fork_awake_units!$1:$1,0)-MATCH($A$1,fork_awake_units!$1:$1,0)+1),MATCH(C$1,fork_awake_units!$1:$1,0)-MATCH($A$1,fork_awake_units!$1:$1,0)+1,FALSE)</f>
        <v>191</v>
      </c>
      <c r="D205" s="3" t="str">
        <f ca="1">VLOOKUP($C205,OFFSET([2]characters!$A$1,0,0,COUNTA([2]characters!$A:$A),MATCH(D$1,[2]characters!$1:$1,0)-MATCH($A$1,[2]characters!$1:$1,0)+1),MATCH(D$1,[2]characters!$1:$1,0)-MATCH($A$1,[2]characters!$1:$1,0)+1,FALSE)</f>
        <v>始祖 卑弥呼</v>
      </c>
      <c r="E205" s="66">
        <v>103</v>
      </c>
      <c r="F205" s="3" t="str">
        <f ca="1">VLOOKUP($E205,OFFSET([2]characters!$A$1,0,0,COUNTA([2]characters!$A:$A),MATCH(F$1,[2]characters!$1:$1,0)-MATCH($A$1,[2]characters!$1:$1,0)+1),MATCH(F$1,[2]characters!$1:$1,0)-MATCH($A$1,[2]characters!$1:$1,0)+1,FALSE)</f>
        <v>レッドキャタップ</v>
      </c>
      <c r="G205" s="66">
        <v>2</v>
      </c>
      <c r="H205" s="66">
        <v>1</v>
      </c>
      <c r="I205" s="66">
        <v>1</v>
      </c>
    </row>
    <row r="206" spans="1:9" x14ac:dyDescent="0.15">
      <c r="A206" s="66">
        <v>191</v>
      </c>
      <c r="B206" s="3" t="str">
        <f ca="1">VLOOKUP($A206,OFFSET([2]characters!$A$1,0,0,COUNTA([2]characters!$A:$A),MATCH(B$1,[2]characters!$1:$1,0)-MATCH($A$1,[2]characters!$1:$1,0)+1),MATCH(B$1,[2]characters!$1:$1,0)-MATCH($A$1,[2]characters!$1:$1,0)+1,FALSE)</f>
        <v>始祖 卑弥呼</v>
      </c>
      <c r="C206" s="93">
        <f ca="1">VLOOKUP($A206,OFFSET(fork_awake_units!$A$1,0,0,COUNTA(fork_awake_units!$A:$A),MATCH(C$1,fork_awake_units!$1:$1,0)-MATCH($A$1,fork_awake_units!$1:$1,0)+1),MATCH(C$1,fork_awake_units!$1:$1,0)-MATCH($A$1,fork_awake_units!$1:$1,0)+1,FALSE)</f>
        <v>192</v>
      </c>
      <c r="D206" s="3" t="str">
        <f ca="1">VLOOKUP($C206,OFFSET([2]characters!$A$1,0,0,COUNTA([2]characters!$A:$A),MATCH(D$1,[2]characters!$1:$1,0)-MATCH($A$1,[2]characters!$1:$1,0)+1),MATCH(D$1,[2]characters!$1:$1,0)-MATCH($A$1,[2]characters!$1:$1,0)+1,FALSE)</f>
        <v>荘厳なる始祖帝 卑弥呼</v>
      </c>
      <c r="E206" s="66">
        <v>102</v>
      </c>
      <c r="F206" s="3" t="str">
        <f ca="1">VLOOKUP($E206,OFFSET([2]characters!$A$1,0,0,COUNTA([2]characters!$A:$A),MATCH(F$1,[2]characters!$1:$1,0)-MATCH($A$1,[2]characters!$1:$1,0)+1),MATCH(F$1,[2]characters!$1:$1,0)-MATCH($A$1,[2]characters!$1:$1,0)+1,FALSE)</f>
        <v>レッドラビット</v>
      </c>
      <c r="G206" s="66">
        <v>3</v>
      </c>
      <c r="H206" s="66">
        <v>1</v>
      </c>
      <c r="I206" s="66">
        <v>1</v>
      </c>
    </row>
    <row r="207" spans="1:9" x14ac:dyDescent="0.15">
      <c r="A207" s="66">
        <v>191</v>
      </c>
      <c r="B207" s="3" t="str">
        <f ca="1">VLOOKUP($A207,OFFSET([2]characters!$A$1,0,0,COUNTA([2]characters!$A:$A),MATCH(B$1,[2]characters!$1:$1,0)-MATCH($A$1,[2]characters!$1:$1,0)+1),MATCH(B$1,[2]characters!$1:$1,0)-MATCH($A$1,[2]characters!$1:$1,0)+1,FALSE)</f>
        <v>始祖 卑弥呼</v>
      </c>
      <c r="C207" s="93">
        <f ca="1">VLOOKUP($A207,OFFSET(fork_awake_units!$A$1,0,0,COUNTA(fork_awake_units!$A:$A),MATCH(C$1,fork_awake_units!$1:$1,0)-MATCH($A$1,fork_awake_units!$1:$1,0)+1),MATCH(C$1,fork_awake_units!$1:$1,0)-MATCH($A$1,fork_awake_units!$1:$1,0)+1,FALSE)</f>
        <v>192</v>
      </c>
      <c r="D207" s="3" t="str">
        <f ca="1">VLOOKUP($C207,OFFSET([2]characters!$A$1,0,0,COUNTA([2]characters!$A:$A),MATCH(D$1,[2]characters!$1:$1,0)-MATCH($A$1,[2]characters!$1:$1,0)+1),MATCH(D$1,[2]characters!$1:$1,0)-MATCH($A$1,[2]characters!$1:$1,0)+1,FALSE)</f>
        <v>荘厳なる始祖帝 卑弥呼</v>
      </c>
      <c r="E207" s="66">
        <v>103</v>
      </c>
      <c r="F207" s="3" t="str">
        <f ca="1">VLOOKUP($E207,OFFSET([2]characters!$A$1,0,0,COUNTA([2]characters!$A:$A),MATCH(F$1,[2]characters!$1:$1,0)-MATCH($A$1,[2]characters!$1:$1,0)+1),MATCH(F$1,[2]characters!$1:$1,0)-MATCH($A$1,[2]characters!$1:$1,0)+1,FALSE)</f>
        <v>レッドキャタップ</v>
      </c>
      <c r="G207" s="66">
        <v>1</v>
      </c>
      <c r="H207" s="66">
        <v>1</v>
      </c>
      <c r="I207" s="66">
        <v>1</v>
      </c>
    </row>
    <row r="208" spans="1:9" x14ac:dyDescent="0.15">
      <c r="A208" s="66">
        <v>191</v>
      </c>
      <c r="B208" s="3" t="str">
        <f ca="1">VLOOKUP($A208,OFFSET([2]characters!$A$1,0,0,COUNTA([2]characters!$A:$A),MATCH(B$1,[2]characters!$1:$1,0)-MATCH($A$1,[2]characters!$1:$1,0)+1),MATCH(B$1,[2]characters!$1:$1,0)-MATCH($A$1,[2]characters!$1:$1,0)+1,FALSE)</f>
        <v>始祖 卑弥呼</v>
      </c>
      <c r="C208" s="93">
        <f ca="1">VLOOKUP($A208,OFFSET(fork_awake_units!$A$1,0,0,COUNTA(fork_awake_units!$A:$A),MATCH(C$1,fork_awake_units!$1:$1,0)-MATCH($A$1,fork_awake_units!$1:$1,0)+1),MATCH(C$1,fork_awake_units!$1:$1,0)-MATCH($A$1,fork_awake_units!$1:$1,0)+1,FALSE)</f>
        <v>192</v>
      </c>
      <c r="D208" s="3" t="str">
        <f ca="1">VLOOKUP($C208,OFFSET([2]characters!$A$1,0,0,COUNTA([2]characters!$A:$A),MATCH(D$1,[2]characters!$1:$1,0)-MATCH($A$1,[2]characters!$1:$1,0)+1),MATCH(D$1,[2]characters!$1:$1,0)-MATCH($A$1,[2]characters!$1:$1,0)+1,FALSE)</f>
        <v>荘厳なる始祖帝 卑弥呼</v>
      </c>
      <c r="E208" s="66">
        <v>104</v>
      </c>
      <c r="F208" s="3" t="str">
        <f ca="1">VLOOKUP($E208,OFFSET([2]characters!$A$1,0,0,COUNTA([2]characters!$A:$A),MATCH(F$1,[2]characters!$1:$1,0)-MATCH($A$1,[2]characters!$1:$1,0)+1),MATCH(F$1,[2]characters!$1:$1,0)-MATCH($A$1,[2]characters!$1:$1,0)+1,FALSE)</f>
        <v>炎のマッドハッター</v>
      </c>
      <c r="G208" s="66">
        <v>1</v>
      </c>
      <c r="H208" s="66">
        <v>1</v>
      </c>
      <c r="I208" s="66">
        <v>1</v>
      </c>
    </row>
    <row r="209" spans="1:9" x14ac:dyDescent="0.15">
      <c r="A209" s="66">
        <v>193</v>
      </c>
      <c r="B209" s="3" t="str">
        <f ca="1">VLOOKUP($A209,OFFSET([2]characters!$A$1,0,0,COUNTA([2]characters!$A:$A),MATCH(B$1,[2]characters!$1:$1,0)-MATCH($A$1,[2]characters!$1:$1,0)+1),MATCH(B$1,[2]characters!$1:$1,0)-MATCH($A$1,[2]characters!$1:$1,0)+1,FALSE)</f>
        <v>ロビンフッド</v>
      </c>
      <c r="C209" s="93">
        <f ca="1">VLOOKUP($A209,OFFSET(fork_awake_units!$A$1,0,0,COUNTA(fork_awake_units!$A:$A),MATCH(C$1,fork_awake_units!$1:$1,0)-MATCH($A$1,fork_awake_units!$1:$1,0)+1),MATCH(C$1,fork_awake_units!$1:$1,0)-MATCH($A$1,fork_awake_units!$1:$1,0)+1,FALSE)</f>
        <v>194</v>
      </c>
      <c r="D209" s="3" t="str">
        <f ca="1">VLOOKUP($C209,OFFSET([2]characters!$A$1,0,0,COUNTA([2]characters!$A:$A),MATCH(D$1,[2]characters!$1:$1,0)-MATCH($A$1,[2]characters!$1:$1,0)+1),MATCH(D$1,[2]characters!$1:$1,0)-MATCH($A$1,[2]characters!$1:$1,0)+1,FALSE)</f>
        <v>スナイパー ロビンフッド</v>
      </c>
      <c r="E209" s="66">
        <v>106</v>
      </c>
      <c r="F209" s="3" t="str">
        <f ca="1">VLOOKUP($E209,OFFSET([2]characters!$A$1,0,0,COUNTA([2]characters!$A:$A),MATCH(F$1,[2]characters!$1:$1,0)-MATCH($A$1,[2]characters!$1:$1,0)+1),MATCH(F$1,[2]characters!$1:$1,0)-MATCH($A$1,[2]characters!$1:$1,0)+1,FALSE)</f>
        <v>グリーンラビット</v>
      </c>
      <c r="G209" s="66">
        <v>2</v>
      </c>
      <c r="H209" s="66">
        <v>1</v>
      </c>
      <c r="I209" s="66">
        <v>1</v>
      </c>
    </row>
    <row r="210" spans="1:9" x14ac:dyDescent="0.15">
      <c r="A210" s="66">
        <v>193</v>
      </c>
      <c r="B210" s="3" t="str">
        <f ca="1">VLOOKUP($A210,OFFSET([2]characters!$A$1,0,0,COUNTA([2]characters!$A:$A),MATCH(B$1,[2]characters!$1:$1,0)-MATCH($A$1,[2]characters!$1:$1,0)+1),MATCH(B$1,[2]characters!$1:$1,0)-MATCH($A$1,[2]characters!$1:$1,0)+1,FALSE)</f>
        <v>ロビンフッド</v>
      </c>
      <c r="C210" s="93">
        <f ca="1">VLOOKUP($A210,OFFSET(fork_awake_units!$A$1,0,0,COUNTA(fork_awake_units!$A:$A),MATCH(C$1,fork_awake_units!$1:$1,0)-MATCH($A$1,fork_awake_units!$1:$1,0)+1),MATCH(C$1,fork_awake_units!$1:$1,0)-MATCH($A$1,fork_awake_units!$1:$1,0)+1,FALSE)</f>
        <v>194</v>
      </c>
      <c r="D210" s="3" t="str">
        <f ca="1">VLOOKUP($C210,OFFSET([2]characters!$A$1,0,0,COUNTA([2]characters!$A:$A),MATCH(D$1,[2]characters!$1:$1,0)-MATCH($A$1,[2]characters!$1:$1,0)+1),MATCH(D$1,[2]characters!$1:$1,0)-MATCH($A$1,[2]characters!$1:$1,0)+1,FALSE)</f>
        <v>スナイパー ロビンフッド</v>
      </c>
      <c r="E210" s="66">
        <v>107</v>
      </c>
      <c r="F210" s="3" t="str">
        <f ca="1">VLOOKUP($E210,OFFSET([2]characters!$A$1,0,0,COUNTA([2]characters!$A:$A),MATCH(F$1,[2]characters!$1:$1,0)-MATCH($A$1,[2]characters!$1:$1,0)+1),MATCH(F$1,[2]characters!$1:$1,0)-MATCH($A$1,[2]characters!$1:$1,0)+1,FALSE)</f>
        <v>グリーンキャタップ</v>
      </c>
      <c r="G210" s="66">
        <v>2</v>
      </c>
      <c r="H210" s="66">
        <v>1</v>
      </c>
      <c r="I210" s="66">
        <v>1</v>
      </c>
    </row>
    <row r="211" spans="1:9" x14ac:dyDescent="0.15">
      <c r="A211" s="66">
        <v>194</v>
      </c>
      <c r="B211" s="3" t="str">
        <f ca="1">VLOOKUP($A211,OFFSET([2]characters!$A$1,0,0,COUNTA([2]characters!$A:$A),MATCH(B$1,[2]characters!$1:$1,0)-MATCH($A$1,[2]characters!$1:$1,0)+1),MATCH(B$1,[2]characters!$1:$1,0)-MATCH($A$1,[2]characters!$1:$1,0)+1,FALSE)</f>
        <v>スナイパー ロビンフッド</v>
      </c>
      <c r="C211" s="93">
        <f ca="1">VLOOKUP($A211,OFFSET(fork_awake_units!$A$1,0,0,COUNTA(fork_awake_units!$A:$A),MATCH(C$1,fork_awake_units!$1:$1,0)-MATCH($A$1,fork_awake_units!$1:$1,0)+1),MATCH(C$1,fork_awake_units!$1:$1,0)-MATCH($A$1,fork_awake_units!$1:$1,0)+1,FALSE)</f>
        <v>195</v>
      </c>
      <c r="D211" s="3" t="str">
        <f ca="1">VLOOKUP($C211,OFFSET([2]characters!$A$1,0,0,COUNTA([2]characters!$A:$A),MATCH(D$1,[2]characters!$1:$1,0)-MATCH($A$1,[2]characters!$1:$1,0)+1),MATCH(D$1,[2]characters!$1:$1,0)-MATCH($A$1,[2]characters!$1:$1,0)+1,FALSE)</f>
        <v>グランドハンター ロビンフッド</v>
      </c>
      <c r="E211" s="66">
        <v>106</v>
      </c>
      <c r="F211" s="3" t="str">
        <f ca="1">VLOOKUP($E211,OFFSET([2]characters!$A$1,0,0,COUNTA([2]characters!$A:$A),MATCH(F$1,[2]characters!$1:$1,0)-MATCH($A$1,[2]characters!$1:$1,0)+1),MATCH(F$1,[2]characters!$1:$1,0)-MATCH($A$1,[2]characters!$1:$1,0)+1,FALSE)</f>
        <v>グリーンラビット</v>
      </c>
      <c r="G211" s="66">
        <v>3</v>
      </c>
      <c r="H211" s="66">
        <v>1</v>
      </c>
      <c r="I211" s="66">
        <v>1</v>
      </c>
    </row>
    <row r="212" spans="1:9" x14ac:dyDescent="0.15">
      <c r="A212" s="66">
        <v>194</v>
      </c>
      <c r="B212" s="3" t="str">
        <f ca="1">VLOOKUP($A212,OFFSET([2]characters!$A$1,0,0,COUNTA([2]characters!$A:$A),MATCH(B$1,[2]characters!$1:$1,0)-MATCH($A$1,[2]characters!$1:$1,0)+1),MATCH(B$1,[2]characters!$1:$1,0)-MATCH($A$1,[2]characters!$1:$1,0)+1,FALSE)</f>
        <v>スナイパー ロビンフッド</v>
      </c>
      <c r="C212" s="93">
        <f ca="1">VLOOKUP($A212,OFFSET(fork_awake_units!$A$1,0,0,COUNTA(fork_awake_units!$A:$A),MATCH(C$1,fork_awake_units!$1:$1,0)-MATCH($A$1,fork_awake_units!$1:$1,0)+1),MATCH(C$1,fork_awake_units!$1:$1,0)-MATCH($A$1,fork_awake_units!$1:$1,0)+1,FALSE)</f>
        <v>195</v>
      </c>
      <c r="D212" s="3" t="str">
        <f ca="1">VLOOKUP($C212,OFFSET([2]characters!$A$1,0,0,COUNTA([2]characters!$A:$A),MATCH(D$1,[2]characters!$1:$1,0)-MATCH($A$1,[2]characters!$1:$1,0)+1),MATCH(D$1,[2]characters!$1:$1,0)-MATCH($A$1,[2]characters!$1:$1,0)+1,FALSE)</f>
        <v>グランドハンター ロビンフッド</v>
      </c>
      <c r="E212" s="66">
        <v>107</v>
      </c>
      <c r="F212" s="3" t="str">
        <f ca="1">VLOOKUP($E212,OFFSET([2]characters!$A$1,0,0,COUNTA([2]characters!$A:$A),MATCH(F$1,[2]characters!$1:$1,0)-MATCH($A$1,[2]characters!$1:$1,0)+1),MATCH(F$1,[2]characters!$1:$1,0)-MATCH($A$1,[2]characters!$1:$1,0)+1,FALSE)</f>
        <v>グリーンキャタップ</v>
      </c>
      <c r="G212" s="66">
        <v>1</v>
      </c>
      <c r="H212" s="66">
        <v>1</v>
      </c>
      <c r="I212" s="66">
        <v>1</v>
      </c>
    </row>
    <row r="213" spans="1:9" x14ac:dyDescent="0.15">
      <c r="A213" s="66">
        <v>194</v>
      </c>
      <c r="B213" s="3" t="str">
        <f ca="1">VLOOKUP($A213,OFFSET([2]characters!$A$1,0,0,COUNTA([2]characters!$A:$A),MATCH(B$1,[2]characters!$1:$1,0)-MATCH($A$1,[2]characters!$1:$1,0)+1),MATCH(B$1,[2]characters!$1:$1,0)-MATCH($A$1,[2]characters!$1:$1,0)+1,FALSE)</f>
        <v>スナイパー ロビンフッド</v>
      </c>
      <c r="C213" s="93">
        <f ca="1">VLOOKUP($A213,OFFSET(fork_awake_units!$A$1,0,0,COUNTA(fork_awake_units!$A:$A),MATCH(C$1,fork_awake_units!$1:$1,0)-MATCH($A$1,fork_awake_units!$1:$1,0)+1),MATCH(C$1,fork_awake_units!$1:$1,0)-MATCH($A$1,fork_awake_units!$1:$1,0)+1,FALSE)</f>
        <v>195</v>
      </c>
      <c r="D213" s="3" t="str">
        <f ca="1">VLOOKUP($C213,OFFSET([2]characters!$A$1,0,0,COUNTA([2]characters!$A:$A),MATCH(D$1,[2]characters!$1:$1,0)-MATCH($A$1,[2]characters!$1:$1,0)+1),MATCH(D$1,[2]characters!$1:$1,0)-MATCH($A$1,[2]characters!$1:$1,0)+1,FALSE)</f>
        <v>グランドハンター ロビンフッド</v>
      </c>
      <c r="E213" s="66">
        <v>108</v>
      </c>
      <c r="F213" s="3" t="str">
        <f ca="1">VLOOKUP($E213,OFFSET([2]characters!$A$1,0,0,COUNTA([2]characters!$A:$A),MATCH(F$1,[2]characters!$1:$1,0)-MATCH($A$1,[2]characters!$1:$1,0)+1),MATCH(F$1,[2]characters!$1:$1,0)-MATCH($A$1,[2]characters!$1:$1,0)+1,FALSE)</f>
        <v>森のマッドハッター</v>
      </c>
      <c r="G213" s="66">
        <v>1</v>
      </c>
      <c r="H213" s="66">
        <v>1</v>
      </c>
      <c r="I213" s="66">
        <v>1</v>
      </c>
    </row>
    <row r="214" spans="1:9" x14ac:dyDescent="0.15">
      <c r="A214" s="66">
        <v>196</v>
      </c>
      <c r="B214" s="3" t="str">
        <f ca="1">VLOOKUP($A214,OFFSET([2]characters!$A$1,0,0,COUNTA([2]characters!$A:$A),MATCH(B$1,[2]characters!$1:$1,0)-MATCH($A$1,[2]characters!$1:$1,0)+1),MATCH(B$1,[2]characters!$1:$1,0)-MATCH($A$1,[2]characters!$1:$1,0)+1,FALSE)</f>
        <v>アキレス</v>
      </c>
      <c r="C214" s="93">
        <f ca="1">VLOOKUP($A214,OFFSET(fork_awake_units!$A$1,0,0,COUNTA(fork_awake_units!$A:$A),MATCH(C$1,fork_awake_units!$1:$1,0)-MATCH($A$1,fork_awake_units!$1:$1,0)+1),MATCH(C$1,fork_awake_units!$1:$1,0)-MATCH($A$1,fork_awake_units!$1:$1,0)+1,FALSE)</f>
        <v>197</v>
      </c>
      <c r="D214" s="3" t="str">
        <f ca="1">VLOOKUP($C214,OFFSET([2]characters!$A$1,0,0,COUNTA([2]characters!$A:$A),MATCH(D$1,[2]characters!$1:$1,0)-MATCH($A$1,[2]characters!$1:$1,0)+1),MATCH(D$1,[2]characters!$1:$1,0)-MATCH($A$1,[2]characters!$1:$1,0)+1,FALSE)</f>
        <v>鉄腕 アキレス</v>
      </c>
      <c r="E214" s="66">
        <v>114</v>
      </c>
      <c r="F214" s="3" t="str">
        <f ca="1">VLOOKUP($E214,OFFSET([2]characters!$A$1,0,0,COUNTA([2]characters!$A:$A),MATCH(F$1,[2]characters!$1:$1,0)-MATCH($A$1,[2]characters!$1:$1,0)+1),MATCH(F$1,[2]characters!$1:$1,0)-MATCH($A$1,[2]characters!$1:$1,0)+1,FALSE)</f>
        <v>イエローラビット</v>
      </c>
      <c r="G214" s="66">
        <v>2</v>
      </c>
      <c r="H214" s="66">
        <v>1</v>
      </c>
      <c r="I214" s="66">
        <v>1</v>
      </c>
    </row>
    <row r="215" spans="1:9" x14ac:dyDescent="0.15">
      <c r="A215" s="66">
        <v>196</v>
      </c>
      <c r="B215" s="3" t="str">
        <f ca="1">VLOOKUP($A215,OFFSET([2]characters!$A$1,0,0,COUNTA([2]characters!$A:$A),MATCH(B$1,[2]characters!$1:$1,0)-MATCH($A$1,[2]characters!$1:$1,0)+1),MATCH(B$1,[2]characters!$1:$1,0)-MATCH($A$1,[2]characters!$1:$1,0)+1,FALSE)</f>
        <v>アキレス</v>
      </c>
      <c r="C215" s="93">
        <f ca="1">VLOOKUP($A215,OFFSET(fork_awake_units!$A$1,0,0,COUNTA(fork_awake_units!$A:$A),MATCH(C$1,fork_awake_units!$1:$1,0)-MATCH($A$1,fork_awake_units!$1:$1,0)+1),MATCH(C$1,fork_awake_units!$1:$1,0)-MATCH($A$1,fork_awake_units!$1:$1,0)+1,FALSE)</f>
        <v>197</v>
      </c>
      <c r="D215" s="3" t="str">
        <f ca="1">VLOOKUP($C215,OFFSET([2]characters!$A$1,0,0,COUNTA([2]characters!$A:$A),MATCH(D$1,[2]characters!$1:$1,0)-MATCH($A$1,[2]characters!$1:$1,0)+1),MATCH(D$1,[2]characters!$1:$1,0)-MATCH($A$1,[2]characters!$1:$1,0)+1,FALSE)</f>
        <v>鉄腕 アキレス</v>
      </c>
      <c r="E215" s="66">
        <v>115</v>
      </c>
      <c r="F215" s="3" t="str">
        <f ca="1">VLOOKUP($E215,OFFSET([2]characters!$A$1,0,0,COUNTA([2]characters!$A:$A),MATCH(F$1,[2]characters!$1:$1,0)-MATCH($A$1,[2]characters!$1:$1,0)+1),MATCH(F$1,[2]characters!$1:$1,0)-MATCH($A$1,[2]characters!$1:$1,0)+1,FALSE)</f>
        <v>イエローキャタップ</v>
      </c>
      <c r="G215" s="66">
        <v>2</v>
      </c>
      <c r="H215" s="66">
        <v>1</v>
      </c>
      <c r="I215" s="66">
        <v>1</v>
      </c>
    </row>
    <row r="216" spans="1:9" x14ac:dyDescent="0.15">
      <c r="A216" s="66">
        <v>197</v>
      </c>
      <c r="B216" s="3" t="str">
        <f ca="1">VLOOKUP($A216,OFFSET([2]characters!$A$1,0,0,COUNTA([2]characters!$A:$A),MATCH(B$1,[2]characters!$1:$1,0)-MATCH($A$1,[2]characters!$1:$1,0)+1),MATCH(B$1,[2]characters!$1:$1,0)-MATCH($A$1,[2]characters!$1:$1,0)+1,FALSE)</f>
        <v>鉄腕 アキレス</v>
      </c>
      <c r="C216" s="93">
        <f ca="1">VLOOKUP($A216,OFFSET(fork_awake_units!$A$1,0,0,COUNTA(fork_awake_units!$A:$A),MATCH(C$1,fork_awake_units!$1:$1,0)-MATCH($A$1,fork_awake_units!$1:$1,0)+1),MATCH(C$1,fork_awake_units!$1:$1,0)-MATCH($A$1,fork_awake_units!$1:$1,0)+1,FALSE)</f>
        <v>198</v>
      </c>
      <c r="D216" s="3" t="str">
        <f ca="1">VLOOKUP($C216,OFFSET([2]characters!$A$1,0,0,COUNTA([2]characters!$A:$A),MATCH(D$1,[2]characters!$1:$1,0)-MATCH($A$1,[2]characters!$1:$1,0)+1),MATCH(D$1,[2]characters!$1:$1,0)-MATCH($A$1,[2]characters!$1:$1,0)+1,FALSE)</f>
        <v>砕骨の剛腕 アキレス</v>
      </c>
      <c r="E216" s="66">
        <v>114</v>
      </c>
      <c r="F216" s="3" t="str">
        <f ca="1">VLOOKUP($E216,OFFSET([2]characters!$A$1,0,0,COUNTA([2]characters!$A:$A),MATCH(F$1,[2]characters!$1:$1,0)-MATCH($A$1,[2]characters!$1:$1,0)+1),MATCH(F$1,[2]characters!$1:$1,0)-MATCH($A$1,[2]characters!$1:$1,0)+1,FALSE)</f>
        <v>イエローラビット</v>
      </c>
      <c r="G216" s="66">
        <v>3</v>
      </c>
      <c r="H216" s="66">
        <v>1</v>
      </c>
      <c r="I216" s="66">
        <v>1</v>
      </c>
    </row>
    <row r="217" spans="1:9" x14ac:dyDescent="0.15">
      <c r="A217" s="66">
        <v>197</v>
      </c>
      <c r="B217" s="3" t="str">
        <f ca="1">VLOOKUP($A217,OFFSET([2]characters!$A$1,0,0,COUNTA([2]characters!$A:$A),MATCH(B$1,[2]characters!$1:$1,0)-MATCH($A$1,[2]characters!$1:$1,0)+1),MATCH(B$1,[2]characters!$1:$1,0)-MATCH($A$1,[2]characters!$1:$1,0)+1,FALSE)</f>
        <v>鉄腕 アキレス</v>
      </c>
      <c r="C217" s="93">
        <f ca="1">VLOOKUP($A217,OFFSET(fork_awake_units!$A$1,0,0,COUNTA(fork_awake_units!$A:$A),MATCH(C$1,fork_awake_units!$1:$1,0)-MATCH($A$1,fork_awake_units!$1:$1,0)+1),MATCH(C$1,fork_awake_units!$1:$1,0)-MATCH($A$1,fork_awake_units!$1:$1,0)+1,FALSE)</f>
        <v>198</v>
      </c>
      <c r="D217" s="3" t="str">
        <f ca="1">VLOOKUP($C217,OFFSET([2]characters!$A$1,0,0,COUNTA([2]characters!$A:$A),MATCH(D$1,[2]characters!$1:$1,0)-MATCH($A$1,[2]characters!$1:$1,0)+1),MATCH(D$1,[2]characters!$1:$1,0)-MATCH($A$1,[2]characters!$1:$1,0)+1,FALSE)</f>
        <v>砕骨の剛腕 アキレス</v>
      </c>
      <c r="E217" s="66">
        <v>115</v>
      </c>
      <c r="F217" s="3" t="str">
        <f ca="1">VLOOKUP($E217,OFFSET([2]characters!$A$1,0,0,COUNTA([2]characters!$A:$A),MATCH(F$1,[2]characters!$1:$1,0)-MATCH($A$1,[2]characters!$1:$1,0)+1),MATCH(F$1,[2]characters!$1:$1,0)-MATCH($A$1,[2]characters!$1:$1,0)+1,FALSE)</f>
        <v>イエローキャタップ</v>
      </c>
      <c r="G217" s="66">
        <v>1</v>
      </c>
      <c r="H217" s="66">
        <v>1</v>
      </c>
      <c r="I217" s="66">
        <v>1</v>
      </c>
    </row>
    <row r="218" spans="1:9" x14ac:dyDescent="0.15">
      <c r="A218" s="66">
        <v>197</v>
      </c>
      <c r="B218" s="3" t="str">
        <f ca="1">VLOOKUP($A218,OFFSET([2]characters!$A$1,0,0,COUNTA([2]characters!$A:$A),MATCH(B$1,[2]characters!$1:$1,0)-MATCH($A$1,[2]characters!$1:$1,0)+1),MATCH(B$1,[2]characters!$1:$1,0)-MATCH($A$1,[2]characters!$1:$1,0)+1,FALSE)</f>
        <v>鉄腕 アキレス</v>
      </c>
      <c r="C218" s="93">
        <f ca="1">VLOOKUP($A218,OFFSET(fork_awake_units!$A$1,0,0,COUNTA(fork_awake_units!$A:$A),MATCH(C$1,fork_awake_units!$1:$1,0)-MATCH($A$1,fork_awake_units!$1:$1,0)+1),MATCH(C$1,fork_awake_units!$1:$1,0)-MATCH($A$1,fork_awake_units!$1:$1,0)+1,FALSE)</f>
        <v>198</v>
      </c>
      <c r="D218" s="3" t="str">
        <f ca="1">VLOOKUP($C218,OFFSET([2]characters!$A$1,0,0,COUNTA([2]characters!$A:$A),MATCH(D$1,[2]characters!$1:$1,0)-MATCH($A$1,[2]characters!$1:$1,0)+1),MATCH(D$1,[2]characters!$1:$1,0)-MATCH($A$1,[2]characters!$1:$1,0)+1,FALSE)</f>
        <v>砕骨の剛腕 アキレス</v>
      </c>
      <c r="E218" s="66">
        <v>116</v>
      </c>
      <c r="F218" s="3" t="str">
        <f ca="1">VLOOKUP($E218,OFFSET([2]characters!$A$1,0,0,COUNTA([2]characters!$A:$A),MATCH(F$1,[2]characters!$1:$1,0)-MATCH($A$1,[2]characters!$1:$1,0)+1),MATCH(F$1,[2]characters!$1:$1,0)-MATCH($A$1,[2]characters!$1:$1,0)+1,FALSE)</f>
        <v>雷のマッドハッター</v>
      </c>
      <c r="G218" s="66">
        <v>1</v>
      </c>
      <c r="H218" s="66">
        <v>1</v>
      </c>
      <c r="I218" s="66">
        <v>1</v>
      </c>
    </row>
    <row r="219" spans="1:9" x14ac:dyDescent="0.15">
      <c r="A219" s="66">
        <v>199</v>
      </c>
      <c r="B219" s="3" t="str">
        <f ca="1">VLOOKUP($A219,OFFSET([2]characters!$A$1,0,0,COUNTA([2]characters!$A:$A),MATCH(B$1,[2]characters!$1:$1,0)-MATCH($A$1,[2]characters!$1:$1,0)+1),MATCH(B$1,[2]characters!$1:$1,0)-MATCH($A$1,[2]characters!$1:$1,0)+1,FALSE)</f>
        <v>ジークフリート</v>
      </c>
      <c r="C219" s="93">
        <f ca="1">VLOOKUP($A219,OFFSET(fork_awake_units!$A$1,0,0,COUNTA(fork_awake_units!$A:$A),MATCH(C$1,fork_awake_units!$1:$1,0)-MATCH($A$1,fork_awake_units!$1:$1,0)+1),MATCH(C$1,fork_awake_units!$1:$1,0)-MATCH($A$1,fork_awake_units!$1:$1,0)+1,FALSE)</f>
        <v>200</v>
      </c>
      <c r="D219" s="3" t="str">
        <f ca="1">VLOOKUP($C219,OFFSET([2]characters!$A$1,0,0,COUNTA([2]characters!$A:$A),MATCH(D$1,[2]characters!$1:$1,0)-MATCH($A$1,[2]characters!$1:$1,0)+1),MATCH(D$1,[2]characters!$1:$1,0)-MATCH($A$1,[2]characters!$1:$1,0)+1,FALSE)</f>
        <v>大剣士 ジークフリート</v>
      </c>
      <c r="E219" s="66">
        <v>110</v>
      </c>
      <c r="F219" s="3" t="str">
        <f ca="1">VLOOKUP($E219,OFFSET([2]characters!$A$1,0,0,COUNTA([2]characters!$A:$A),MATCH(F$1,[2]characters!$1:$1,0)-MATCH($A$1,[2]characters!$1:$1,0)+1),MATCH(F$1,[2]characters!$1:$1,0)-MATCH($A$1,[2]characters!$1:$1,0)+1,FALSE)</f>
        <v>ブルーラビット</v>
      </c>
      <c r="G219" s="66">
        <v>2</v>
      </c>
      <c r="H219" s="66">
        <v>1</v>
      </c>
      <c r="I219" s="66">
        <v>1</v>
      </c>
    </row>
    <row r="220" spans="1:9" x14ac:dyDescent="0.15">
      <c r="A220" s="66">
        <v>199</v>
      </c>
      <c r="B220" s="3" t="str">
        <f ca="1">VLOOKUP($A220,OFFSET([2]characters!$A$1,0,0,COUNTA([2]characters!$A:$A),MATCH(B$1,[2]characters!$1:$1,0)-MATCH($A$1,[2]characters!$1:$1,0)+1),MATCH(B$1,[2]characters!$1:$1,0)-MATCH($A$1,[2]characters!$1:$1,0)+1,FALSE)</f>
        <v>ジークフリート</v>
      </c>
      <c r="C220" s="93">
        <f ca="1">VLOOKUP($A220,OFFSET(fork_awake_units!$A$1,0,0,COUNTA(fork_awake_units!$A:$A),MATCH(C$1,fork_awake_units!$1:$1,0)-MATCH($A$1,fork_awake_units!$1:$1,0)+1),MATCH(C$1,fork_awake_units!$1:$1,0)-MATCH($A$1,fork_awake_units!$1:$1,0)+1,FALSE)</f>
        <v>200</v>
      </c>
      <c r="D220" s="3" t="str">
        <f ca="1">VLOOKUP($C220,OFFSET([2]characters!$A$1,0,0,COUNTA([2]characters!$A:$A),MATCH(D$1,[2]characters!$1:$1,0)-MATCH($A$1,[2]characters!$1:$1,0)+1),MATCH(D$1,[2]characters!$1:$1,0)-MATCH($A$1,[2]characters!$1:$1,0)+1,FALSE)</f>
        <v>大剣士 ジークフリート</v>
      </c>
      <c r="E220" s="66">
        <v>111</v>
      </c>
      <c r="F220" s="3" t="str">
        <f ca="1">VLOOKUP($E220,OFFSET([2]characters!$A$1,0,0,COUNTA([2]characters!$A:$A),MATCH(F$1,[2]characters!$1:$1,0)-MATCH($A$1,[2]characters!$1:$1,0)+1),MATCH(F$1,[2]characters!$1:$1,0)-MATCH($A$1,[2]characters!$1:$1,0)+1,FALSE)</f>
        <v>ブルーキャタップ</v>
      </c>
      <c r="G220" s="66">
        <v>2</v>
      </c>
      <c r="H220" s="66">
        <v>1</v>
      </c>
      <c r="I220" s="66">
        <v>1</v>
      </c>
    </row>
    <row r="221" spans="1:9" x14ac:dyDescent="0.15">
      <c r="A221" s="66">
        <v>200</v>
      </c>
      <c r="B221" s="3" t="str">
        <f ca="1">VLOOKUP($A221,OFFSET([2]characters!$A$1,0,0,COUNTA([2]characters!$A:$A),MATCH(B$1,[2]characters!$1:$1,0)-MATCH($A$1,[2]characters!$1:$1,0)+1),MATCH(B$1,[2]characters!$1:$1,0)-MATCH($A$1,[2]characters!$1:$1,0)+1,FALSE)</f>
        <v>大剣士 ジークフリート</v>
      </c>
      <c r="C221" s="93">
        <f ca="1">VLOOKUP($A221,OFFSET(fork_awake_units!$A$1,0,0,COUNTA(fork_awake_units!$A:$A),MATCH(C$1,fork_awake_units!$1:$1,0)-MATCH($A$1,fork_awake_units!$1:$1,0)+1),MATCH(C$1,fork_awake_units!$1:$1,0)-MATCH($A$1,fork_awake_units!$1:$1,0)+1,FALSE)</f>
        <v>201</v>
      </c>
      <c r="D221" s="3" t="str">
        <f ca="1">VLOOKUP($C221,OFFSET([2]characters!$A$1,0,0,COUNTA([2]characters!$A:$A),MATCH(D$1,[2]characters!$1:$1,0)-MATCH($A$1,[2]characters!$1:$1,0)+1),MATCH(D$1,[2]characters!$1:$1,0)-MATCH($A$1,[2]characters!$1:$1,0)+1,FALSE)</f>
        <v>斬空の大破剣 ジークフリート</v>
      </c>
      <c r="E221" s="66">
        <v>110</v>
      </c>
      <c r="F221" s="3" t="str">
        <f ca="1">VLOOKUP($E221,OFFSET([2]characters!$A$1,0,0,COUNTA([2]characters!$A:$A),MATCH(F$1,[2]characters!$1:$1,0)-MATCH($A$1,[2]characters!$1:$1,0)+1),MATCH(F$1,[2]characters!$1:$1,0)-MATCH($A$1,[2]characters!$1:$1,0)+1,FALSE)</f>
        <v>ブルーラビット</v>
      </c>
      <c r="G221" s="66">
        <v>3</v>
      </c>
      <c r="H221" s="66">
        <v>1</v>
      </c>
      <c r="I221" s="66">
        <v>1</v>
      </c>
    </row>
    <row r="222" spans="1:9" x14ac:dyDescent="0.15">
      <c r="A222" s="66">
        <v>200</v>
      </c>
      <c r="B222" s="3" t="str">
        <f ca="1">VLOOKUP($A222,OFFSET([2]characters!$A$1,0,0,COUNTA([2]characters!$A:$A),MATCH(B$1,[2]characters!$1:$1,0)-MATCH($A$1,[2]characters!$1:$1,0)+1),MATCH(B$1,[2]characters!$1:$1,0)-MATCH($A$1,[2]characters!$1:$1,0)+1,FALSE)</f>
        <v>大剣士 ジークフリート</v>
      </c>
      <c r="C222" s="93">
        <f ca="1">VLOOKUP($A222,OFFSET(fork_awake_units!$A$1,0,0,COUNTA(fork_awake_units!$A:$A),MATCH(C$1,fork_awake_units!$1:$1,0)-MATCH($A$1,fork_awake_units!$1:$1,0)+1),MATCH(C$1,fork_awake_units!$1:$1,0)-MATCH($A$1,fork_awake_units!$1:$1,0)+1,FALSE)</f>
        <v>201</v>
      </c>
      <c r="D222" s="3" t="str">
        <f ca="1">VLOOKUP($C222,OFFSET([2]characters!$A$1,0,0,COUNTA([2]characters!$A:$A),MATCH(D$1,[2]characters!$1:$1,0)-MATCH($A$1,[2]characters!$1:$1,0)+1),MATCH(D$1,[2]characters!$1:$1,0)-MATCH($A$1,[2]characters!$1:$1,0)+1,FALSE)</f>
        <v>斬空の大破剣 ジークフリート</v>
      </c>
      <c r="E222" s="66">
        <v>111</v>
      </c>
      <c r="F222" s="3" t="str">
        <f ca="1">VLOOKUP($E222,OFFSET([2]characters!$A$1,0,0,COUNTA([2]characters!$A:$A),MATCH(F$1,[2]characters!$1:$1,0)-MATCH($A$1,[2]characters!$1:$1,0)+1),MATCH(F$1,[2]characters!$1:$1,0)-MATCH($A$1,[2]characters!$1:$1,0)+1,FALSE)</f>
        <v>ブルーキャタップ</v>
      </c>
      <c r="G222" s="66">
        <v>1</v>
      </c>
      <c r="H222" s="66">
        <v>1</v>
      </c>
      <c r="I222" s="66">
        <v>1</v>
      </c>
    </row>
    <row r="223" spans="1:9" x14ac:dyDescent="0.15">
      <c r="A223" s="66">
        <v>200</v>
      </c>
      <c r="B223" s="3" t="str">
        <f ca="1">VLOOKUP($A223,OFFSET([2]characters!$A$1,0,0,COUNTA([2]characters!$A:$A),MATCH(B$1,[2]characters!$1:$1,0)-MATCH($A$1,[2]characters!$1:$1,0)+1),MATCH(B$1,[2]characters!$1:$1,0)-MATCH($A$1,[2]characters!$1:$1,0)+1,FALSE)</f>
        <v>大剣士 ジークフリート</v>
      </c>
      <c r="C223" s="93">
        <f ca="1">VLOOKUP($A223,OFFSET(fork_awake_units!$A$1,0,0,COUNTA(fork_awake_units!$A:$A),MATCH(C$1,fork_awake_units!$1:$1,0)-MATCH($A$1,fork_awake_units!$1:$1,0)+1),MATCH(C$1,fork_awake_units!$1:$1,0)-MATCH($A$1,fork_awake_units!$1:$1,0)+1,FALSE)</f>
        <v>201</v>
      </c>
      <c r="D223" s="3" t="str">
        <f ca="1">VLOOKUP($C223,OFFSET([2]characters!$A$1,0,0,COUNTA([2]characters!$A:$A),MATCH(D$1,[2]characters!$1:$1,0)-MATCH($A$1,[2]characters!$1:$1,0)+1),MATCH(D$1,[2]characters!$1:$1,0)-MATCH($A$1,[2]characters!$1:$1,0)+1,FALSE)</f>
        <v>斬空の大破剣 ジークフリート</v>
      </c>
      <c r="E223" s="66">
        <v>112</v>
      </c>
      <c r="F223" s="3" t="str">
        <f ca="1">VLOOKUP($E223,OFFSET([2]characters!$A$1,0,0,COUNTA([2]characters!$A:$A),MATCH(F$1,[2]characters!$1:$1,0)-MATCH($A$1,[2]characters!$1:$1,0)+1),MATCH(F$1,[2]characters!$1:$1,0)-MATCH($A$1,[2]characters!$1:$1,0)+1,FALSE)</f>
        <v>水のマッドハッター</v>
      </c>
      <c r="G223" s="66">
        <v>1</v>
      </c>
      <c r="H223" s="66">
        <v>1</v>
      </c>
      <c r="I223" s="66">
        <v>1</v>
      </c>
    </row>
    <row r="224" spans="1:9" x14ac:dyDescent="0.15">
      <c r="A224" s="66">
        <v>202</v>
      </c>
      <c r="B224" s="3" t="str">
        <f ca="1">VLOOKUP($A224,OFFSET([2]characters!$A$1,0,0,COUNTA([2]characters!$A:$A),MATCH(B$1,[2]characters!$1:$1,0)-MATCH($A$1,[2]characters!$1:$1,0)+1),MATCH(B$1,[2]characters!$1:$1,0)-MATCH($A$1,[2]characters!$1:$1,0)+1,FALSE)</f>
        <v>プロメテウス</v>
      </c>
      <c r="C224" s="93">
        <f ca="1">VLOOKUP($A224,OFFSET(fork_awake_units!$A$1,0,0,COUNTA(fork_awake_units!$A:$A),MATCH(C$1,fork_awake_units!$1:$1,0)-MATCH($A$1,fork_awake_units!$1:$1,0)+1),MATCH(C$1,fork_awake_units!$1:$1,0)-MATCH($A$1,fork_awake_units!$1:$1,0)+1,FALSE)</f>
        <v>203</v>
      </c>
      <c r="D224" s="3" t="str">
        <f ca="1">VLOOKUP($C224,OFFSET([2]characters!$A$1,0,0,COUNTA([2]characters!$A:$A),MATCH(D$1,[2]characters!$1:$1,0)-MATCH($A$1,[2]characters!$1:$1,0)+1),MATCH(D$1,[2]characters!$1:$1,0)-MATCH($A$1,[2]characters!$1:$1,0)+1,FALSE)</f>
        <v>焔神 プロメテウス</v>
      </c>
      <c r="E224" s="66">
        <v>101</v>
      </c>
      <c r="F224" s="3" t="str">
        <f ca="1">VLOOKUP($E224,OFFSET([2]characters!$A$1,0,0,COUNTA([2]characters!$A:$A),MATCH(F$1,[2]characters!$1:$1,0)-MATCH($A$1,[2]characters!$1:$1,0)+1),MATCH(F$1,[2]characters!$1:$1,0)-MATCH($A$1,[2]characters!$1:$1,0)+1,FALSE)</f>
        <v>レッドチェシャ</v>
      </c>
      <c r="G224" s="66">
        <v>2</v>
      </c>
      <c r="H224" s="66">
        <v>1</v>
      </c>
      <c r="I224" s="66">
        <v>1</v>
      </c>
    </row>
    <row r="225" spans="1:9" x14ac:dyDescent="0.15">
      <c r="A225" s="66">
        <v>202</v>
      </c>
      <c r="B225" s="3" t="str">
        <f ca="1">VLOOKUP($A225,OFFSET([2]characters!$A$1,0,0,COUNTA([2]characters!$A:$A),MATCH(B$1,[2]characters!$1:$1,0)-MATCH($A$1,[2]characters!$1:$1,0)+1),MATCH(B$1,[2]characters!$1:$1,0)-MATCH($A$1,[2]characters!$1:$1,0)+1,FALSE)</f>
        <v>プロメテウス</v>
      </c>
      <c r="C225" s="93">
        <f ca="1">VLOOKUP($A225,OFFSET(fork_awake_units!$A$1,0,0,COUNTA(fork_awake_units!$A:$A),MATCH(C$1,fork_awake_units!$1:$1,0)-MATCH($A$1,fork_awake_units!$1:$1,0)+1),MATCH(C$1,fork_awake_units!$1:$1,0)-MATCH($A$1,fork_awake_units!$1:$1,0)+1,FALSE)</f>
        <v>203</v>
      </c>
      <c r="D225" s="3" t="str">
        <f ca="1">VLOOKUP($C225,OFFSET([2]characters!$A$1,0,0,COUNTA([2]characters!$A:$A),MATCH(D$1,[2]characters!$1:$1,0)-MATCH($A$1,[2]characters!$1:$1,0)+1),MATCH(D$1,[2]characters!$1:$1,0)-MATCH($A$1,[2]characters!$1:$1,0)+1,FALSE)</f>
        <v>焔神 プロメテウス</v>
      </c>
      <c r="E225" s="66">
        <v>102</v>
      </c>
      <c r="F225" s="3" t="str">
        <f ca="1">VLOOKUP($E225,OFFSET([2]characters!$A$1,0,0,COUNTA([2]characters!$A:$A),MATCH(F$1,[2]characters!$1:$1,0)-MATCH($A$1,[2]characters!$1:$1,0)+1),MATCH(F$1,[2]characters!$1:$1,0)-MATCH($A$1,[2]characters!$1:$1,0)+1,FALSE)</f>
        <v>レッドラビット</v>
      </c>
      <c r="G225" s="66">
        <v>1</v>
      </c>
      <c r="H225" s="66">
        <v>1</v>
      </c>
      <c r="I225" s="66">
        <v>1</v>
      </c>
    </row>
    <row r="226" spans="1:9" x14ac:dyDescent="0.15">
      <c r="A226" s="66">
        <v>202</v>
      </c>
      <c r="B226" s="3" t="str">
        <f ca="1">VLOOKUP($A226,OFFSET([2]characters!$A$1,0,0,COUNTA([2]characters!$A:$A),MATCH(B$1,[2]characters!$1:$1,0)-MATCH($A$1,[2]characters!$1:$1,0)+1),MATCH(B$1,[2]characters!$1:$1,0)-MATCH($A$1,[2]characters!$1:$1,0)+1,FALSE)</f>
        <v>プロメテウス</v>
      </c>
      <c r="C226" s="93">
        <f ca="1">VLOOKUP($A226,OFFSET(fork_awake_units!$A$1,0,0,COUNTA(fork_awake_units!$A:$A),MATCH(C$1,fork_awake_units!$1:$1,0)-MATCH($A$1,fork_awake_units!$1:$1,0)+1),MATCH(C$1,fork_awake_units!$1:$1,0)-MATCH($A$1,fork_awake_units!$1:$1,0)+1,FALSE)</f>
        <v>203</v>
      </c>
      <c r="D226" s="3" t="str">
        <f ca="1">VLOOKUP($C226,OFFSET([2]characters!$A$1,0,0,COUNTA([2]characters!$A:$A),MATCH(D$1,[2]characters!$1:$1,0)-MATCH($A$1,[2]characters!$1:$1,0)+1),MATCH(D$1,[2]characters!$1:$1,0)-MATCH($A$1,[2]characters!$1:$1,0)+1,FALSE)</f>
        <v>焔神 プロメテウス</v>
      </c>
      <c r="E226" s="66">
        <v>103</v>
      </c>
      <c r="F226" s="3" t="str">
        <f ca="1">VLOOKUP($E226,OFFSET([2]characters!$A$1,0,0,COUNTA([2]characters!$A:$A),MATCH(F$1,[2]characters!$1:$1,0)-MATCH($A$1,[2]characters!$1:$1,0)+1),MATCH(F$1,[2]characters!$1:$1,0)-MATCH($A$1,[2]characters!$1:$1,0)+1,FALSE)</f>
        <v>レッドキャタップ</v>
      </c>
      <c r="G226" s="66">
        <v>2</v>
      </c>
      <c r="H226" s="66">
        <v>1</v>
      </c>
      <c r="I226" s="66">
        <v>1</v>
      </c>
    </row>
    <row r="227" spans="1:9" x14ac:dyDescent="0.15">
      <c r="A227" s="66">
        <v>203</v>
      </c>
      <c r="B227" s="3" t="str">
        <f ca="1">VLOOKUP($A227,OFFSET([2]characters!$A$1,0,0,COUNTA([2]characters!$A:$A),MATCH(B$1,[2]characters!$1:$1,0)-MATCH($A$1,[2]characters!$1:$1,0)+1),MATCH(B$1,[2]characters!$1:$1,0)-MATCH($A$1,[2]characters!$1:$1,0)+1,FALSE)</f>
        <v>焔神 プロメテウス</v>
      </c>
      <c r="C227" s="93">
        <f ca="1">VLOOKUP($A227,OFFSET(fork_awake_units!$A$1,0,0,COUNTA(fork_awake_units!$A:$A),MATCH(C$1,fork_awake_units!$1:$1,0)-MATCH($A$1,fork_awake_units!$1:$1,0)+1),MATCH(C$1,fork_awake_units!$1:$1,0)-MATCH($A$1,fork_awake_units!$1:$1,0)+1,FALSE)</f>
        <v>204</v>
      </c>
      <c r="D227" s="3" t="str">
        <f ca="1">VLOOKUP($C227,OFFSET([2]characters!$A$1,0,0,COUNTA([2]characters!$A:$A),MATCH(D$1,[2]characters!$1:$1,0)-MATCH($A$1,[2]characters!$1:$1,0)+1),MATCH(D$1,[2]characters!$1:$1,0)-MATCH($A$1,[2]characters!$1:$1,0)+1,FALSE)</f>
        <v>慟哭の巨焔 プロメテウス</v>
      </c>
      <c r="E227" s="66">
        <v>102</v>
      </c>
      <c r="F227" s="3" t="str">
        <f ca="1">VLOOKUP($E227,OFFSET([2]characters!$A$1,0,0,COUNTA([2]characters!$A:$A),MATCH(F$1,[2]characters!$1:$1,0)-MATCH($A$1,[2]characters!$1:$1,0)+1),MATCH(F$1,[2]characters!$1:$1,0)-MATCH($A$1,[2]characters!$1:$1,0)+1,FALSE)</f>
        <v>レッドラビット</v>
      </c>
      <c r="G227" s="66">
        <v>4</v>
      </c>
      <c r="H227" s="66">
        <v>1</v>
      </c>
      <c r="I227" s="66">
        <v>1</v>
      </c>
    </row>
    <row r="228" spans="1:9" x14ac:dyDescent="0.15">
      <c r="A228" s="66">
        <v>203</v>
      </c>
      <c r="B228" s="3" t="str">
        <f ca="1">VLOOKUP($A228,OFFSET([2]characters!$A$1,0,0,COUNTA([2]characters!$A:$A),MATCH(B$1,[2]characters!$1:$1,0)-MATCH($A$1,[2]characters!$1:$1,0)+1),MATCH(B$1,[2]characters!$1:$1,0)-MATCH($A$1,[2]characters!$1:$1,0)+1,FALSE)</f>
        <v>焔神 プロメテウス</v>
      </c>
      <c r="C228" s="93">
        <f ca="1">VLOOKUP($A228,OFFSET(fork_awake_units!$A$1,0,0,COUNTA(fork_awake_units!$A:$A),MATCH(C$1,fork_awake_units!$1:$1,0)-MATCH($A$1,fork_awake_units!$1:$1,0)+1),MATCH(C$1,fork_awake_units!$1:$1,0)-MATCH($A$1,fork_awake_units!$1:$1,0)+1,FALSE)</f>
        <v>204</v>
      </c>
      <c r="D228" s="3" t="str">
        <f ca="1">VLOOKUP($C228,OFFSET([2]characters!$A$1,0,0,COUNTA([2]characters!$A:$A),MATCH(D$1,[2]characters!$1:$1,0)-MATCH($A$1,[2]characters!$1:$1,0)+1),MATCH(D$1,[2]characters!$1:$1,0)-MATCH($A$1,[2]characters!$1:$1,0)+1,FALSE)</f>
        <v>慟哭の巨焔 プロメテウス</v>
      </c>
      <c r="E228" s="66">
        <v>104</v>
      </c>
      <c r="F228" s="3" t="str">
        <f ca="1">VLOOKUP($E228,OFFSET([2]characters!$A$1,0,0,COUNTA([2]characters!$A:$A),MATCH(F$1,[2]characters!$1:$1,0)-MATCH($A$1,[2]characters!$1:$1,0)+1),MATCH(F$1,[2]characters!$1:$1,0)-MATCH($A$1,[2]characters!$1:$1,0)+1,FALSE)</f>
        <v>炎のマッドハッター</v>
      </c>
      <c r="G228" s="66">
        <v>1</v>
      </c>
      <c r="H228" s="66">
        <v>1</v>
      </c>
      <c r="I228" s="66">
        <v>1</v>
      </c>
    </row>
    <row r="229" spans="1:9" x14ac:dyDescent="0.15">
      <c r="A229" s="66">
        <v>205</v>
      </c>
      <c r="B229" s="3" t="str">
        <f ca="1">VLOOKUP($A229,OFFSET([2]characters!$A$1,0,0,COUNTA([2]characters!$A:$A),MATCH(B$1,[2]characters!$1:$1,0)-MATCH($A$1,[2]characters!$1:$1,0)+1),MATCH(B$1,[2]characters!$1:$1,0)-MATCH($A$1,[2]characters!$1:$1,0)+1,FALSE)</f>
        <v>アフロディーテ</v>
      </c>
      <c r="C229" s="93">
        <f ca="1">VLOOKUP($A229,OFFSET(fork_awake_units!$A$1,0,0,COUNTA(fork_awake_units!$A:$A),MATCH(C$1,fork_awake_units!$1:$1,0)-MATCH($A$1,fork_awake_units!$1:$1,0)+1),MATCH(C$1,fork_awake_units!$1:$1,0)-MATCH($A$1,fork_awake_units!$1:$1,0)+1,FALSE)</f>
        <v>206</v>
      </c>
      <c r="D229" s="3" t="str">
        <f ca="1">VLOOKUP($C229,OFFSET([2]characters!$A$1,0,0,COUNTA([2]characters!$A:$A),MATCH(D$1,[2]characters!$1:$1,0)-MATCH($A$1,[2]characters!$1:$1,0)+1),MATCH(D$1,[2]characters!$1:$1,0)-MATCH($A$1,[2]characters!$1:$1,0)+1,FALSE)</f>
        <v>美神 アフロディーテ</v>
      </c>
      <c r="E229" s="66">
        <v>105</v>
      </c>
      <c r="F229" s="3" t="str">
        <f ca="1">VLOOKUP($E229,OFFSET([2]characters!$A$1,0,0,COUNTA([2]characters!$A:$A),MATCH(F$1,[2]characters!$1:$1,0)-MATCH($A$1,[2]characters!$1:$1,0)+1),MATCH(F$1,[2]characters!$1:$1,0)-MATCH($A$1,[2]characters!$1:$1,0)+1,FALSE)</f>
        <v>グリーンチェシャ</v>
      </c>
      <c r="G229" s="66">
        <v>2</v>
      </c>
      <c r="H229" s="66">
        <v>1</v>
      </c>
      <c r="I229" s="66">
        <v>1</v>
      </c>
    </row>
    <row r="230" spans="1:9" x14ac:dyDescent="0.15">
      <c r="A230" s="66">
        <v>205</v>
      </c>
      <c r="B230" s="3" t="str">
        <f ca="1">VLOOKUP($A230,OFFSET([2]characters!$A$1,0,0,COUNTA([2]characters!$A:$A),MATCH(B$1,[2]characters!$1:$1,0)-MATCH($A$1,[2]characters!$1:$1,0)+1),MATCH(B$1,[2]characters!$1:$1,0)-MATCH($A$1,[2]characters!$1:$1,0)+1,FALSE)</f>
        <v>アフロディーテ</v>
      </c>
      <c r="C230" s="93">
        <f ca="1">VLOOKUP($A230,OFFSET(fork_awake_units!$A$1,0,0,COUNTA(fork_awake_units!$A:$A),MATCH(C$1,fork_awake_units!$1:$1,0)-MATCH($A$1,fork_awake_units!$1:$1,0)+1),MATCH(C$1,fork_awake_units!$1:$1,0)-MATCH($A$1,fork_awake_units!$1:$1,0)+1,FALSE)</f>
        <v>206</v>
      </c>
      <c r="D230" s="3" t="str">
        <f ca="1">VLOOKUP($C230,OFFSET([2]characters!$A$1,0,0,COUNTA([2]characters!$A:$A),MATCH(D$1,[2]characters!$1:$1,0)-MATCH($A$1,[2]characters!$1:$1,0)+1),MATCH(D$1,[2]characters!$1:$1,0)-MATCH($A$1,[2]characters!$1:$1,0)+1,FALSE)</f>
        <v>美神 アフロディーテ</v>
      </c>
      <c r="E230" s="66">
        <v>106</v>
      </c>
      <c r="F230" s="3" t="str">
        <f ca="1">VLOOKUP($E230,OFFSET([2]characters!$A$1,0,0,COUNTA([2]characters!$A:$A),MATCH(F$1,[2]characters!$1:$1,0)-MATCH($A$1,[2]characters!$1:$1,0)+1),MATCH(F$1,[2]characters!$1:$1,0)-MATCH($A$1,[2]characters!$1:$1,0)+1,FALSE)</f>
        <v>グリーンラビット</v>
      </c>
      <c r="G230" s="66">
        <v>1</v>
      </c>
      <c r="H230" s="66">
        <v>1</v>
      </c>
      <c r="I230" s="66">
        <v>1</v>
      </c>
    </row>
    <row r="231" spans="1:9" x14ac:dyDescent="0.15">
      <c r="A231" s="66">
        <v>205</v>
      </c>
      <c r="B231" s="3" t="str">
        <f ca="1">VLOOKUP($A231,OFFSET([2]characters!$A$1,0,0,COUNTA([2]characters!$A:$A),MATCH(B$1,[2]characters!$1:$1,0)-MATCH($A$1,[2]characters!$1:$1,0)+1),MATCH(B$1,[2]characters!$1:$1,0)-MATCH($A$1,[2]characters!$1:$1,0)+1,FALSE)</f>
        <v>アフロディーテ</v>
      </c>
      <c r="C231" s="93">
        <f ca="1">VLOOKUP($A231,OFFSET(fork_awake_units!$A$1,0,0,COUNTA(fork_awake_units!$A:$A),MATCH(C$1,fork_awake_units!$1:$1,0)-MATCH($A$1,fork_awake_units!$1:$1,0)+1),MATCH(C$1,fork_awake_units!$1:$1,0)-MATCH($A$1,fork_awake_units!$1:$1,0)+1,FALSE)</f>
        <v>206</v>
      </c>
      <c r="D231" s="3" t="str">
        <f ca="1">VLOOKUP($C231,OFFSET([2]characters!$A$1,0,0,COUNTA([2]characters!$A:$A),MATCH(D$1,[2]characters!$1:$1,0)-MATCH($A$1,[2]characters!$1:$1,0)+1),MATCH(D$1,[2]characters!$1:$1,0)-MATCH($A$1,[2]characters!$1:$1,0)+1,FALSE)</f>
        <v>美神 アフロディーテ</v>
      </c>
      <c r="E231" s="66">
        <v>107</v>
      </c>
      <c r="F231" s="3" t="str">
        <f ca="1">VLOOKUP($E231,OFFSET([2]characters!$A$1,0,0,COUNTA([2]characters!$A:$A),MATCH(F$1,[2]characters!$1:$1,0)-MATCH($A$1,[2]characters!$1:$1,0)+1),MATCH(F$1,[2]characters!$1:$1,0)-MATCH($A$1,[2]characters!$1:$1,0)+1,FALSE)</f>
        <v>グリーンキャタップ</v>
      </c>
      <c r="G231" s="66">
        <v>2</v>
      </c>
      <c r="H231" s="66">
        <v>1</v>
      </c>
      <c r="I231" s="66">
        <v>1</v>
      </c>
    </row>
    <row r="232" spans="1:9" x14ac:dyDescent="0.15">
      <c r="A232" s="66">
        <v>206</v>
      </c>
      <c r="B232" s="3" t="str">
        <f ca="1">VLOOKUP($A232,OFFSET([2]characters!$A$1,0,0,COUNTA([2]characters!$A:$A),MATCH(B$1,[2]characters!$1:$1,0)-MATCH($A$1,[2]characters!$1:$1,0)+1),MATCH(B$1,[2]characters!$1:$1,0)-MATCH($A$1,[2]characters!$1:$1,0)+1,FALSE)</f>
        <v>美神 アフロディーテ</v>
      </c>
      <c r="C232" s="93">
        <f ca="1">VLOOKUP($A232,OFFSET(fork_awake_units!$A$1,0,0,COUNTA(fork_awake_units!$A:$A),MATCH(C$1,fork_awake_units!$1:$1,0)-MATCH($A$1,fork_awake_units!$1:$1,0)+1),MATCH(C$1,fork_awake_units!$1:$1,0)-MATCH($A$1,fork_awake_units!$1:$1,0)+1,FALSE)</f>
        <v>207</v>
      </c>
      <c r="D232" s="3" t="str">
        <f ca="1">VLOOKUP($C232,OFFSET([2]characters!$A$1,0,0,COUNTA([2]characters!$A:$A),MATCH(D$1,[2]characters!$1:$1,0)-MATCH($A$1,[2]characters!$1:$1,0)+1),MATCH(D$1,[2]characters!$1:$1,0)-MATCH($A$1,[2]characters!$1:$1,0)+1,FALSE)</f>
        <v>豊穣の麗神・アフロディーテ</v>
      </c>
      <c r="E232" s="66">
        <v>106</v>
      </c>
      <c r="F232" s="3" t="str">
        <f ca="1">VLOOKUP($E232,OFFSET([2]characters!$A$1,0,0,COUNTA([2]characters!$A:$A),MATCH(F$1,[2]characters!$1:$1,0)-MATCH($A$1,[2]characters!$1:$1,0)+1),MATCH(F$1,[2]characters!$1:$1,0)-MATCH($A$1,[2]characters!$1:$1,0)+1,FALSE)</f>
        <v>グリーンラビット</v>
      </c>
      <c r="G232" s="66">
        <v>4</v>
      </c>
      <c r="H232" s="66">
        <v>1</v>
      </c>
      <c r="I232" s="66">
        <v>1</v>
      </c>
    </row>
    <row r="233" spans="1:9" x14ac:dyDescent="0.15">
      <c r="A233" s="66">
        <v>206</v>
      </c>
      <c r="B233" s="3" t="str">
        <f ca="1">VLOOKUP($A233,OFFSET([2]characters!$A$1,0,0,COUNTA([2]characters!$A:$A),MATCH(B$1,[2]characters!$1:$1,0)-MATCH($A$1,[2]characters!$1:$1,0)+1),MATCH(B$1,[2]characters!$1:$1,0)-MATCH($A$1,[2]characters!$1:$1,0)+1,FALSE)</f>
        <v>美神 アフロディーテ</v>
      </c>
      <c r="C233" s="93">
        <f ca="1">VLOOKUP($A233,OFFSET(fork_awake_units!$A$1,0,0,COUNTA(fork_awake_units!$A:$A),MATCH(C$1,fork_awake_units!$1:$1,0)-MATCH($A$1,fork_awake_units!$1:$1,0)+1),MATCH(C$1,fork_awake_units!$1:$1,0)-MATCH($A$1,fork_awake_units!$1:$1,0)+1,FALSE)</f>
        <v>207</v>
      </c>
      <c r="D233" s="3" t="str">
        <f ca="1">VLOOKUP($C233,OFFSET([2]characters!$A$1,0,0,COUNTA([2]characters!$A:$A),MATCH(D$1,[2]characters!$1:$1,0)-MATCH($A$1,[2]characters!$1:$1,0)+1),MATCH(D$1,[2]characters!$1:$1,0)-MATCH($A$1,[2]characters!$1:$1,0)+1,FALSE)</f>
        <v>豊穣の麗神・アフロディーテ</v>
      </c>
      <c r="E233" s="66">
        <v>108</v>
      </c>
      <c r="F233" s="3" t="str">
        <f ca="1">VLOOKUP($E233,OFFSET([2]characters!$A$1,0,0,COUNTA([2]characters!$A:$A),MATCH(F$1,[2]characters!$1:$1,0)-MATCH($A$1,[2]characters!$1:$1,0)+1),MATCH(F$1,[2]characters!$1:$1,0)-MATCH($A$1,[2]characters!$1:$1,0)+1,FALSE)</f>
        <v>森のマッドハッター</v>
      </c>
      <c r="G233" s="66">
        <v>1</v>
      </c>
      <c r="H233" s="66">
        <v>1</v>
      </c>
      <c r="I233" s="66">
        <v>1</v>
      </c>
    </row>
    <row r="234" spans="1:9" x14ac:dyDescent="0.15">
      <c r="A234" s="66">
        <v>208</v>
      </c>
      <c r="B234" s="3" t="str">
        <f ca="1">VLOOKUP($A234,OFFSET([2]characters!$A$1,0,0,COUNTA([2]characters!$A:$A),MATCH(B$1,[2]characters!$1:$1,0)-MATCH($A$1,[2]characters!$1:$1,0)+1),MATCH(B$1,[2]characters!$1:$1,0)-MATCH($A$1,[2]characters!$1:$1,0)+1,FALSE)</f>
        <v>テティス</v>
      </c>
      <c r="C234" s="93">
        <f ca="1">VLOOKUP($A234,OFFSET(fork_awake_units!$A$1,0,0,COUNTA(fork_awake_units!$A:$A),MATCH(C$1,fork_awake_units!$1:$1,0)-MATCH($A$1,fork_awake_units!$1:$1,0)+1),MATCH(C$1,fork_awake_units!$1:$1,0)-MATCH($A$1,fork_awake_units!$1:$1,0)+1,FALSE)</f>
        <v>209</v>
      </c>
      <c r="D234" s="3" t="str">
        <f ca="1">VLOOKUP($C234,OFFSET([2]characters!$A$1,0,0,COUNTA([2]characters!$A:$A),MATCH(D$1,[2]characters!$1:$1,0)-MATCH($A$1,[2]characters!$1:$1,0)+1),MATCH(D$1,[2]characters!$1:$1,0)-MATCH($A$1,[2]characters!$1:$1,0)+1,FALSE)</f>
        <v>孤神 テティス</v>
      </c>
      <c r="E234" s="66">
        <v>109</v>
      </c>
      <c r="F234" s="3" t="str">
        <f ca="1">VLOOKUP($E234,OFFSET([2]characters!$A$1,0,0,COUNTA([2]characters!$A:$A),MATCH(F$1,[2]characters!$1:$1,0)-MATCH($A$1,[2]characters!$1:$1,0)+1),MATCH(F$1,[2]characters!$1:$1,0)-MATCH($A$1,[2]characters!$1:$1,0)+1,FALSE)</f>
        <v>ブルーチェシャ</v>
      </c>
      <c r="G234" s="66">
        <v>2</v>
      </c>
      <c r="H234" s="66">
        <v>1</v>
      </c>
      <c r="I234" s="66">
        <v>1</v>
      </c>
    </row>
    <row r="235" spans="1:9" x14ac:dyDescent="0.15">
      <c r="A235" s="66">
        <v>208</v>
      </c>
      <c r="B235" s="3" t="str">
        <f ca="1">VLOOKUP($A235,OFFSET([2]characters!$A$1,0,0,COUNTA([2]characters!$A:$A),MATCH(B$1,[2]characters!$1:$1,0)-MATCH($A$1,[2]characters!$1:$1,0)+1),MATCH(B$1,[2]characters!$1:$1,0)-MATCH($A$1,[2]characters!$1:$1,0)+1,FALSE)</f>
        <v>テティス</v>
      </c>
      <c r="C235" s="93">
        <f ca="1">VLOOKUP($A235,OFFSET(fork_awake_units!$A$1,0,0,COUNTA(fork_awake_units!$A:$A),MATCH(C$1,fork_awake_units!$1:$1,0)-MATCH($A$1,fork_awake_units!$1:$1,0)+1),MATCH(C$1,fork_awake_units!$1:$1,0)-MATCH($A$1,fork_awake_units!$1:$1,0)+1,FALSE)</f>
        <v>209</v>
      </c>
      <c r="D235" s="3" t="str">
        <f ca="1">VLOOKUP($C235,OFFSET([2]characters!$A$1,0,0,COUNTA([2]characters!$A:$A),MATCH(D$1,[2]characters!$1:$1,0)-MATCH($A$1,[2]characters!$1:$1,0)+1),MATCH(D$1,[2]characters!$1:$1,0)-MATCH($A$1,[2]characters!$1:$1,0)+1,FALSE)</f>
        <v>孤神 テティス</v>
      </c>
      <c r="E235" s="66">
        <v>110</v>
      </c>
      <c r="F235" s="3" t="str">
        <f ca="1">VLOOKUP($E235,OFFSET([2]characters!$A$1,0,0,COUNTA([2]characters!$A:$A),MATCH(F$1,[2]characters!$1:$1,0)-MATCH($A$1,[2]characters!$1:$1,0)+1),MATCH(F$1,[2]characters!$1:$1,0)-MATCH($A$1,[2]characters!$1:$1,0)+1,FALSE)</f>
        <v>ブルーラビット</v>
      </c>
      <c r="G235" s="66">
        <v>1</v>
      </c>
      <c r="H235" s="66">
        <v>1</v>
      </c>
      <c r="I235" s="66">
        <v>1</v>
      </c>
    </row>
    <row r="236" spans="1:9" x14ac:dyDescent="0.15">
      <c r="A236" s="66">
        <v>208</v>
      </c>
      <c r="B236" s="3" t="str">
        <f ca="1">VLOOKUP($A236,OFFSET([2]characters!$A$1,0,0,COUNTA([2]characters!$A:$A),MATCH(B$1,[2]characters!$1:$1,0)-MATCH($A$1,[2]characters!$1:$1,0)+1),MATCH(B$1,[2]characters!$1:$1,0)-MATCH($A$1,[2]characters!$1:$1,0)+1,FALSE)</f>
        <v>テティス</v>
      </c>
      <c r="C236" s="93">
        <f ca="1">VLOOKUP($A236,OFFSET(fork_awake_units!$A$1,0,0,COUNTA(fork_awake_units!$A:$A),MATCH(C$1,fork_awake_units!$1:$1,0)-MATCH($A$1,fork_awake_units!$1:$1,0)+1),MATCH(C$1,fork_awake_units!$1:$1,0)-MATCH($A$1,fork_awake_units!$1:$1,0)+1,FALSE)</f>
        <v>209</v>
      </c>
      <c r="D236" s="3" t="str">
        <f ca="1">VLOOKUP($C236,OFFSET([2]characters!$A$1,0,0,COUNTA([2]characters!$A:$A),MATCH(D$1,[2]characters!$1:$1,0)-MATCH($A$1,[2]characters!$1:$1,0)+1),MATCH(D$1,[2]characters!$1:$1,0)-MATCH($A$1,[2]characters!$1:$1,0)+1,FALSE)</f>
        <v>孤神 テティス</v>
      </c>
      <c r="E236" s="66">
        <v>111</v>
      </c>
      <c r="F236" s="3" t="str">
        <f ca="1">VLOOKUP($E236,OFFSET([2]characters!$A$1,0,0,COUNTA([2]characters!$A:$A),MATCH(F$1,[2]characters!$1:$1,0)-MATCH($A$1,[2]characters!$1:$1,0)+1),MATCH(F$1,[2]characters!$1:$1,0)-MATCH($A$1,[2]characters!$1:$1,0)+1,FALSE)</f>
        <v>ブルーキャタップ</v>
      </c>
      <c r="G236" s="66">
        <v>2</v>
      </c>
      <c r="H236" s="66">
        <v>1</v>
      </c>
      <c r="I236" s="66">
        <v>1</v>
      </c>
    </row>
    <row r="237" spans="1:9" x14ac:dyDescent="0.15">
      <c r="A237" s="66">
        <v>209</v>
      </c>
      <c r="B237" s="3" t="str">
        <f ca="1">VLOOKUP($A237,OFFSET([2]characters!$A$1,0,0,COUNTA([2]characters!$A:$A),MATCH(B$1,[2]characters!$1:$1,0)-MATCH($A$1,[2]characters!$1:$1,0)+1),MATCH(B$1,[2]characters!$1:$1,0)-MATCH($A$1,[2]characters!$1:$1,0)+1,FALSE)</f>
        <v>孤神 テティス</v>
      </c>
      <c r="C237" s="93">
        <f ca="1">VLOOKUP($A237,OFFSET(fork_awake_units!$A$1,0,0,COUNTA(fork_awake_units!$A:$A),MATCH(C$1,fork_awake_units!$1:$1,0)-MATCH($A$1,fork_awake_units!$1:$1,0)+1),MATCH(C$1,fork_awake_units!$1:$1,0)-MATCH($A$1,fork_awake_units!$1:$1,0)+1,FALSE)</f>
        <v>210</v>
      </c>
      <c r="D237" s="3" t="str">
        <f ca="1">VLOOKUP($C237,OFFSET([2]characters!$A$1,0,0,COUNTA([2]characters!$A:$A),MATCH(D$1,[2]characters!$1:$1,0)-MATCH($A$1,[2]characters!$1:$1,0)+1),MATCH(D$1,[2]characters!$1:$1,0)-MATCH($A$1,[2]characters!$1:$1,0)+1,FALSE)</f>
        <v>海底の孤高神 テティス</v>
      </c>
      <c r="E237" s="66">
        <v>110</v>
      </c>
      <c r="F237" s="3" t="str">
        <f ca="1">VLOOKUP($E237,OFFSET([2]characters!$A$1,0,0,COUNTA([2]characters!$A:$A),MATCH(F$1,[2]characters!$1:$1,0)-MATCH($A$1,[2]characters!$1:$1,0)+1),MATCH(F$1,[2]characters!$1:$1,0)-MATCH($A$1,[2]characters!$1:$1,0)+1,FALSE)</f>
        <v>ブルーラビット</v>
      </c>
      <c r="G237" s="66">
        <v>4</v>
      </c>
      <c r="H237" s="66">
        <v>1</v>
      </c>
      <c r="I237" s="66">
        <v>1</v>
      </c>
    </row>
    <row r="238" spans="1:9" x14ac:dyDescent="0.15">
      <c r="A238" s="66">
        <v>209</v>
      </c>
      <c r="B238" s="3" t="str">
        <f ca="1">VLOOKUP($A238,OFFSET([2]characters!$A$1,0,0,COUNTA([2]characters!$A:$A),MATCH(B$1,[2]characters!$1:$1,0)-MATCH($A$1,[2]characters!$1:$1,0)+1),MATCH(B$1,[2]characters!$1:$1,0)-MATCH($A$1,[2]characters!$1:$1,0)+1,FALSE)</f>
        <v>孤神 テティス</v>
      </c>
      <c r="C238" s="93">
        <f ca="1">VLOOKUP($A238,OFFSET(fork_awake_units!$A$1,0,0,COUNTA(fork_awake_units!$A:$A),MATCH(C$1,fork_awake_units!$1:$1,0)-MATCH($A$1,fork_awake_units!$1:$1,0)+1),MATCH(C$1,fork_awake_units!$1:$1,0)-MATCH($A$1,fork_awake_units!$1:$1,0)+1,FALSE)</f>
        <v>210</v>
      </c>
      <c r="D238" s="3" t="str">
        <f ca="1">VLOOKUP($C238,OFFSET([2]characters!$A$1,0,0,COUNTA([2]characters!$A:$A),MATCH(D$1,[2]characters!$1:$1,0)-MATCH($A$1,[2]characters!$1:$1,0)+1),MATCH(D$1,[2]characters!$1:$1,0)-MATCH($A$1,[2]characters!$1:$1,0)+1,FALSE)</f>
        <v>海底の孤高神 テティス</v>
      </c>
      <c r="E238" s="66">
        <v>112</v>
      </c>
      <c r="F238" s="3" t="str">
        <f ca="1">VLOOKUP($E238,OFFSET([2]characters!$A$1,0,0,COUNTA([2]characters!$A:$A),MATCH(F$1,[2]characters!$1:$1,0)-MATCH($A$1,[2]characters!$1:$1,0)+1),MATCH(F$1,[2]characters!$1:$1,0)-MATCH($A$1,[2]characters!$1:$1,0)+1,FALSE)</f>
        <v>水のマッドハッター</v>
      </c>
      <c r="G238" s="66">
        <v>1</v>
      </c>
      <c r="H238" s="66">
        <v>1</v>
      </c>
      <c r="I238" s="66">
        <v>1</v>
      </c>
    </row>
    <row r="239" spans="1:9" x14ac:dyDescent="0.15">
      <c r="A239" s="66">
        <v>211</v>
      </c>
      <c r="B239" s="3" t="str">
        <f ca="1">VLOOKUP($A239,OFFSET([2]characters!$A$1,0,0,COUNTA([2]characters!$A:$A),MATCH(B$1,[2]characters!$1:$1,0)-MATCH($A$1,[2]characters!$1:$1,0)+1),MATCH(B$1,[2]characters!$1:$1,0)-MATCH($A$1,[2]characters!$1:$1,0)+1,FALSE)</f>
        <v>アストライアー</v>
      </c>
      <c r="C239" s="93">
        <f ca="1">VLOOKUP($A239,OFFSET(fork_awake_units!$A$1,0,0,COUNTA(fork_awake_units!$A:$A),MATCH(C$1,fork_awake_units!$1:$1,0)-MATCH($A$1,fork_awake_units!$1:$1,0)+1),MATCH(C$1,fork_awake_units!$1:$1,0)-MATCH($A$1,fork_awake_units!$1:$1,0)+1,FALSE)</f>
        <v>212</v>
      </c>
      <c r="D239" s="3" t="str">
        <f ca="1">VLOOKUP($C239,OFFSET([2]characters!$A$1,0,0,COUNTA([2]characters!$A:$A),MATCH(D$1,[2]characters!$1:$1,0)-MATCH($A$1,[2]characters!$1:$1,0)+1),MATCH(D$1,[2]characters!$1:$1,0)-MATCH($A$1,[2]characters!$1:$1,0)+1,FALSE)</f>
        <v>星神 アストライアー</v>
      </c>
      <c r="E239" s="66">
        <v>113</v>
      </c>
      <c r="F239" s="3" t="str">
        <f ca="1">VLOOKUP($E239,OFFSET([2]characters!$A$1,0,0,COUNTA([2]characters!$A:$A),MATCH(F$1,[2]characters!$1:$1,0)-MATCH($A$1,[2]characters!$1:$1,0)+1),MATCH(F$1,[2]characters!$1:$1,0)-MATCH($A$1,[2]characters!$1:$1,0)+1,FALSE)</f>
        <v>イエローチェシャ</v>
      </c>
      <c r="G239" s="66">
        <v>2</v>
      </c>
      <c r="H239" s="66">
        <v>1</v>
      </c>
      <c r="I239" s="66">
        <v>1</v>
      </c>
    </row>
    <row r="240" spans="1:9" x14ac:dyDescent="0.15">
      <c r="A240" s="66">
        <v>211</v>
      </c>
      <c r="B240" s="3" t="str">
        <f ca="1">VLOOKUP($A240,OFFSET([2]characters!$A$1,0,0,COUNTA([2]characters!$A:$A),MATCH(B$1,[2]characters!$1:$1,0)-MATCH($A$1,[2]characters!$1:$1,0)+1),MATCH(B$1,[2]characters!$1:$1,0)-MATCH($A$1,[2]characters!$1:$1,0)+1,FALSE)</f>
        <v>アストライアー</v>
      </c>
      <c r="C240" s="93">
        <f ca="1">VLOOKUP($A240,OFFSET(fork_awake_units!$A$1,0,0,COUNTA(fork_awake_units!$A:$A),MATCH(C$1,fork_awake_units!$1:$1,0)-MATCH($A$1,fork_awake_units!$1:$1,0)+1),MATCH(C$1,fork_awake_units!$1:$1,0)-MATCH($A$1,fork_awake_units!$1:$1,0)+1,FALSE)</f>
        <v>212</v>
      </c>
      <c r="D240" s="3" t="str">
        <f ca="1">VLOOKUP($C240,OFFSET([2]characters!$A$1,0,0,COUNTA([2]characters!$A:$A),MATCH(D$1,[2]characters!$1:$1,0)-MATCH($A$1,[2]characters!$1:$1,0)+1),MATCH(D$1,[2]characters!$1:$1,0)-MATCH($A$1,[2]characters!$1:$1,0)+1,FALSE)</f>
        <v>星神 アストライアー</v>
      </c>
      <c r="E240" s="66">
        <v>114</v>
      </c>
      <c r="F240" s="3" t="str">
        <f ca="1">VLOOKUP($E240,OFFSET([2]characters!$A$1,0,0,COUNTA([2]characters!$A:$A),MATCH(F$1,[2]characters!$1:$1,0)-MATCH($A$1,[2]characters!$1:$1,0)+1),MATCH(F$1,[2]characters!$1:$1,0)-MATCH($A$1,[2]characters!$1:$1,0)+1,FALSE)</f>
        <v>イエローラビット</v>
      </c>
      <c r="G240" s="66">
        <v>1</v>
      </c>
      <c r="H240" s="66">
        <v>1</v>
      </c>
      <c r="I240" s="66">
        <v>1</v>
      </c>
    </row>
    <row r="241" spans="1:9" x14ac:dyDescent="0.15">
      <c r="A241" s="66">
        <v>211</v>
      </c>
      <c r="B241" s="3" t="str">
        <f ca="1">VLOOKUP($A241,OFFSET([2]characters!$A$1,0,0,COUNTA([2]characters!$A:$A),MATCH(B$1,[2]characters!$1:$1,0)-MATCH($A$1,[2]characters!$1:$1,0)+1),MATCH(B$1,[2]characters!$1:$1,0)-MATCH($A$1,[2]characters!$1:$1,0)+1,FALSE)</f>
        <v>アストライアー</v>
      </c>
      <c r="C241" s="93">
        <f ca="1">VLOOKUP($A241,OFFSET(fork_awake_units!$A$1,0,0,COUNTA(fork_awake_units!$A:$A),MATCH(C$1,fork_awake_units!$1:$1,0)-MATCH($A$1,fork_awake_units!$1:$1,0)+1),MATCH(C$1,fork_awake_units!$1:$1,0)-MATCH($A$1,fork_awake_units!$1:$1,0)+1,FALSE)</f>
        <v>212</v>
      </c>
      <c r="D241" s="3" t="str">
        <f ca="1">VLOOKUP($C241,OFFSET([2]characters!$A$1,0,0,COUNTA([2]characters!$A:$A),MATCH(D$1,[2]characters!$1:$1,0)-MATCH($A$1,[2]characters!$1:$1,0)+1),MATCH(D$1,[2]characters!$1:$1,0)-MATCH($A$1,[2]characters!$1:$1,0)+1,FALSE)</f>
        <v>星神 アストライアー</v>
      </c>
      <c r="E241" s="66">
        <v>115</v>
      </c>
      <c r="F241" s="3" t="str">
        <f ca="1">VLOOKUP($E241,OFFSET([2]characters!$A$1,0,0,COUNTA([2]characters!$A:$A),MATCH(F$1,[2]characters!$1:$1,0)-MATCH($A$1,[2]characters!$1:$1,0)+1),MATCH(F$1,[2]characters!$1:$1,0)-MATCH($A$1,[2]characters!$1:$1,0)+1,FALSE)</f>
        <v>イエローキャタップ</v>
      </c>
      <c r="G241" s="66">
        <v>2</v>
      </c>
      <c r="H241" s="66">
        <v>1</v>
      </c>
      <c r="I241" s="66">
        <v>1</v>
      </c>
    </row>
    <row r="242" spans="1:9" x14ac:dyDescent="0.15">
      <c r="A242" s="66">
        <v>212</v>
      </c>
      <c r="B242" s="3" t="str">
        <f ca="1">VLOOKUP($A242,OFFSET([2]characters!$A$1,0,0,COUNTA([2]characters!$A:$A),MATCH(B$1,[2]characters!$1:$1,0)-MATCH($A$1,[2]characters!$1:$1,0)+1),MATCH(B$1,[2]characters!$1:$1,0)-MATCH($A$1,[2]characters!$1:$1,0)+1,FALSE)</f>
        <v>星神 アストライアー</v>
      </c>
      <c r="C242" s="93">
        <f ca="1">VLOOKUP($A242,OFFSET(fork_awake_units!$A$1,0,0,COUNTA(fork_awake_units!$A:$A),MATCH(C$1,fork_awake_units!$1:$1,0)-MATCH($A$1,fork_awake_units!$1:$1,0)+1),MATCH(C$1,fork_awake_units!$1:$1,0)-MATCH($A$1,fork_awake_units!$1:$1,0)+1,FALSE)</f>
        <v>213</v>
      </c>
      <c r="D242" s="3" t="str">
        <f ca="1">VLOOKUP($C242,OFFSET([2]characters!$A$1,0,0,COUNTA([2]characters!$A:$A),MATCH(D$1,[2]characters!$1:$1,0)-MATCH($A$1,[2]characters!$1:$1,0)+1),MATCH(D$1,[2]characters!$1:$1,0)-MATCH($A$1,[2]characters!$1:$1,0)+1,FALSE)</f>
        <v>満天の星降神 アストライアー</v>
      </c>
      <c r="E242" s="66">
        <v>114</v>
      </c>
      <c r="F242" s="3" t="str">
        <f ca="1">VLOOKUP($E242,OFFSET([2]characters!$A$1,0,0,COUNTA([2]characters!$A:$A),MATCH(F$1,[2]characters!$1:$1,0)-MATCH($A$1,[2]characters!$1:$1,0)+1),MATCH(F$1,[2]characters!$1:$1,0)-MATCH($A$1,[2]characters!$1:$1,0)+1,FALSE)</f>
        <v>イエローラビット</v>
      </c>
      <c r="G242" s="66">
        <v>4</v>
      </c>
      <c r="H242" s="66">
        <v>1</v>
      </c>
      <c r="I242" s="66">
        <v>1</v>
      </c>
    </row>
    <row r="243" spans="1:9" x14ac:dyDescent="0.15">
      <c r="A243" s="66">
        <v>212</v>
      </c>
      <c r="B243" s="3" t="str">
        <f ca="1">VLOOKUP($A243,OFFSET([2]characters!$A$1,0,0,COUNTA([2]characters!$A:$A),MATCH(B$1,[2]characters!$1:$1,0)-MATCH($A$1,[2]characters!$1:$1,0)+1),MATCH(B$1,[2]characters!$1:$1,0)-MATCH($A$1,[2]characters!$1:$1,0)+1,FALSE)</f>
        <v>星神 アストライアー</v>
      </c>
      <c r="C243" s="93">
        <f ca="1">VLOOKUP($A243,OFFSET(fork_awake_units!$A$1,0,0,COUNTA(fork_awake_units!$A:$A),MATCH(C$1,fork_awake_units!$1:$1,0)-MATCH($A$1,fork_awake_units!$1:$1,0)+1),MATCH(C$1,fork_awake_units!$1:$1,0)-MATCH($A$1,fork_awake_units!$1:$1,0)+1,FALSE)</f>
        <v>213</v>
      </c>
      <c r="D243" s="3" t="str">
        <f ca="1">VLOOKUP($C243,OFFSET([2]characters!$A$1,0,0,COUNTA([2]characters!$A:$A),MATCH(D$1,[2]characters!$1:$1,0)-MATCH($A$1,[2]characters!$1:$1,0)+1),MATCH(D$1,[2]characters!$1:$1,0)-MATCH($A$1,[2]characters!$1:$1,0)+1,FALSE)</f>
        <v>満天の星降神 アストライアー</v>
      </c>
      <c r="E243" s="66">
        <v>116</v>
      </c>
      <c r="F243" s="3" t="str">
        <f ca="1">VLOOKUP($E243,OFFSET([2]characters!$A$1,0,0,COUNTA([2]characters!$A:$A),MATCH(F$1,[2]characters!$1:$1,0)-MATCH($A$1,[2]characters!$1:$1,0)+1),MATCH(F$1,[2]characters!$1:$1,0)-MATCH($A$1,[2]characters!$1:$1,0)+1,FALSE)</f>
        <v>雷のマッドハッター</v>
      </c>
      <c r="G243" s="66">
        <v>1</v>
      </c>
      <c r="H243" s="66">
        <v>1</v>
      </c>
      <c r="I243" s="66">
        <v>1</v>
      </c>
    </row>
    <row r="244" spans="1:9" x14ac:dyDescent="0.15">
      <c r="A244" s="66">
        <v>214</v>
      </c>
      <c r="B244" s="3" t="str">
        <f ca="1">VLOOKUP($A244,OFFSET([2]characters!$A$1,0,0,COUNTA([2]characters!$A:$A),MATCH(B$1,[2]characters!$1:$1,0)-MATCH($A$1,[2]characters!$1:$1,0)+1),MATCH(B$1,[2]characters!$1:$1,0)-MATCH($A$1,[2]characters!$1:$1,0)+1,FALSE)</f>
        <v>アズラエル</v>
      </c>
      <c r="C244" s="93">
        <f ca="1">VLOOKUP($A244,OFFSET(fork_awake_units!$A$1,0,0,COUNTA(fork_awake_units!$A:$A),MATCH(C$1,fork_awake_units!$1:$1,0)-MATCH($A$1,fork_awake_units!$1:$1,0)+1),MATCH(C$1,fork_awake_units!$1:$1,0)-MATCH($A$1,fork_awake_units!$1:$1,0)+1,FALSE)</f>
        <v>215</v>
      </c>
      <c r="D244" s="3" t="str">
        <f ca="1">VLOOKUP($C244,OFFSET([2]characters!$A$1,0,0,COUNTA([2]characters!$A:$A),MATCH(D$1,[2]characters!$1:$1,0)-MATCH($A$1,[2]characters!$1:$1,0)+1),MATCH(D$1,[2]characters!$1:$1,0)-MATCH($A$1,[2]characters!$1:$1,0)+1,FALSE)</f>
        <v>死導者 アズラエル</v>
      </c>
      <c r="E244" s="66">
        <v>102</v>
      </c>
      <c r="F244" s="3" t="str">
        <f ca="1">VLOOKUP($E244,OFFSET([2]characters!$A$1,0,0,COUNTA([2]characters!$A:$A),MATCH(F$1,[2]characters!$1:$1,0)-MATCH($A$1,[2]characters!$1:$1,0)+1),MATCH(F$1,[2]characters!$1:$1,0)-MATCH($A$1,[2]characters!$1:$1,0)+1,FALSE)</f>
        <v>レッドラビット</v>
      </c>
      <c r="G244" s="66">
        <v>2</v>
      </c>
      <c r="H244" s="66">
        <v>1</v>
      </c>
      <c r="I244" s="66">
        <v>1</v>
      </c>
    </row>
    <row r="245" spans="1:9" x14ac:dyDescent="0.15">
      <c r="A245" s="66">
        <v>214</v>
      </c>
      <c r="B245" s="3" t="str">
        <f ca="1">VLOOKUP($A245,OFFSET([2]characters!$A$1,0,0,COUNTA([2]characters!$A:$A),MATCH(B$1,[2]characters!$1:$1,0)-MATCH($A$1,[2]characters!$1:$1,0)+1),MATCH(B$1,[2]characters!$1:$1,0)-MATCH($A$1,[2]characters!$1:$1,0)+1,FALSE)</f>
        <v>アズラエル</v>
      </c>
      <c r="C245" s="93">
        <f ca="1">VLOOKUP($A245,OFFSET(fork_awake_units!$A$1,0,0,COUNTA(fork_awake_units!$A:$A),MATCH(C$1,fork_awake_units!$1:$1,0)-MATCH($A$1,fork_awake_units!$1:$1,0)+1),MATCH(C$1,fork_awake_units!$1:$1,0)-MATCH($A$1,fork_awake_units!$1:$1,0)+1,FALSE)</f>
        <v>215</v>
      </c>
      <c r="D245" s="3" t="str">
        <f ca="1">VLOOKUP($C245,OFFSET([2]characters!$A$1,0,0,COUNTA([2]characters!$A:$A),MATCH(D$1,[2]characters!$1:$1,0)-MATCH($A$1,[2]characters!$1:$1,0)+1),MATCH(D$1,[2]characters!$1:$1,0)-MATCH($A$1,[2]characters!$1:$1,0)+1,FALSE)</f>
        <v>死導者 アズラエル</v>
      </c>
      <c r="E245" s="66">
        <v>103</v>
      </c>
      <c r="F245" s="3" t="str">
        <f ca="1">VLOOKUP($E245,OFFSET([2]characters!$A$1,0,0,COUNTA([2]characters!$A:$A),MATCH(F$1,[2]characters!$1:$1,0)-MATCH($A$1,[2]characters!$1:$1,0)+1),MATCH(F$1,[2]characters!$1:$1,0)-MATCH($A$1,[2]characters!$1:$1,0)+1,FALSE)</f>
        <v>レッドキャタップ</v>
      </c>
      <c r="G245" s="66">
        <v>2</v>
      </c>
      <c r="H245" s="66">
        <v>1</v>
      </c>
      <c r="I245" s="66">
        <v>1</v>
      </c>
    </row>
    <row r="246" spans="1:9" x14ac:dyDescent="0.15">
      <c r="A246" s="66">
        <v>215</v>
      </c>
      <c r="B246" s="3" t="str">
        <f ca="1">VLOOKUP($A246,OFFSET([2]characters!$A$1,0,0,COUNTA([2]characters!$A:$A),MATCH(B$1,[2]characters!$1:$1,0)-MATCH($A$1,[2]characters!$1:$1,0)+1),MATCH(B$1,[2]characters!$1:$1,0)-MATCH($A$1,[2]characters!$1:$1,0)+1,FALSE)</f>
        <v>死導者 アズラエル</v>
      </c>
      <c r="C246" s="93">
        <f ca="1">VLOOKUP($A246,OFFSET(fork_awake_units!$A$1,0,0,COUNTA(fork_awake_units!$A:$A),MATCH(C$1,fork_awake_units!$1:$1,0)-MATCH($A$1,fork_awake_units!$1:$1,0)+1),MATCH(C$1,fork_awake_units!$1:$1,0)-MATCH($A$1,fork_awake_units!$1:$1,0)+1,FALSE)</f>
        <v>216</v>
      </c>
      <c r="D246" s="3" t="str">
        <f ca="1">VLOOKUP($C246,OFFSET([2]characters!$A$1,0,0,COUNTA([2]characters!$A:$A),MATCH(D$1,[2]characters!$1:$1,0)-MATCH($A$1,[2]characters!$1:$1,0)+1),MATCH(D$1,[2]characters!$1:$1,0)-MATCH($A$1,[2]characters!$1:$1,0)+1,FALSE)</f>
        <v>百読の死導司書 アズラエル</v>
      </c>
      <c r="E246" s="66">
        <v>102</v>
      </c>
      <c r="F246" s="3" t="str">
        <f ca="1">VLOOKUP($E246,OFFSET([2]characters!$A$1,0,0,COUNTA([2]characters!$A:$A),MATCH(F$1,[2]characters!$1:$1,0)-MATCH($A$1,[2]characters!$1:$1,0)+1),MATCH(F$1,[2]characters!$1:$1,0)-MATCH($A$1,[2]characters!$1:$1,0)+1,FALSE)</f>
        <v>レッドラビット</v>
      </c>
      <c r="G246" s="66">
        <v>3</v>
      </c>
      <c r="H246" s="66">
        <v>1</v>
      </c>
      <c r="I246" s="66">
        <v>1</v>
      </c>
    </row>
    <row r="247" spans="1:9" x14ac:dyDescent="0.15">
      <c r="A247" s="66">
        <v>215</v>
      </c>
      <c r="B247" s="3" t="str">
        <f ca="1">VLOOKUP($A247,OFFSET([2]characters!$A$1,0,0,COUNTA([2]characters!$A:$A),MATCH(B$1,[2]characters!$1:$1,0)-MATCH($A$1,[2]characters!$1:$1,0)+1),MATCH(B$1,[2]characters!$1:$1,0)-MATCH($A$1,[2]characters!$1:$1,0)+1,FALSE)</f>
        <v>死導者 アズラエル</v>
      </c>
      <c r="C247" s="93">
        <f ca="1">VLOOKUP($A247,OFFSET(fork_awake_units!$A$1,0,0,COUNTA(fork_awake_units!$A:$A),MATCH(C$1,fork_awake_units!$1:$1,0)-MATCH($A$1,fork_awake_units!$1:$1,0)+1),MATCH(C$1,fork_awake_units!$1:$1,0)-MATCH($A$1,fork_awake_units!$1:$1,0)+1,FALSE)</f>
        <v>216</v>
      </c>
      <c r="D247" s="3" t="str">
        <f ca="1">VLOOKUP($C247,OFFSET([2]characters!$A$1,0,0,COUNTA([2]characters!$A:$A),MATCH(D$1,[2]characters!$1:$1,0)-MATCH($A$1,[2]characters!$1:$1,0)+1),MATCH(D$1,[2]characters!$1:$1,0)-MATCH($A$1,[2]characters!$1:$1,0)+1,FALSE)</f>
        <v>百読の死導司書 アズラエル</v>
      </c>
      <c r="E247" s="66">
        <v>103</v>
      </c>
      <c r="F247" s="3" t="str">
        <f ca="1">VLOOKUP($E247,OFFSET([2]characters!$A$1,0,0,COUNTA([2]characters!$A:$A),MATCH(F$1,[2]characters!$1:$1,0)-MATCH($A$1,[2]characters!$1:$1,0)+1),MATCH(F$1,[2]characters!$1:$1,0)-MATCH($A$1,[2]characters!$1:$1,0)+1,FALSE)</f>
        <v>レッドキャタップ</v>
      </c>
      <c r="G247" s="66">
        <v>1</v>
      </c>
      <c r="H247" s="66">
        <v>1</v>
      </c>
      <c r="I247" s="66">
        <v>1</v>
      </c>
    </row>
    <row r="248" spans="1:9" x14ac:dyDescent="0.15">
      <c r="A248" s="66">
        <v>215</v>
      </c>
      <c r="B248" s="3" t="str">
        <f ca="1">VLOOKUP($A248,OFFSET([2]characters!$A$1,0,0,COUNTA([2]characters!$A:$A),MATCH(B$1,[2]characters!$1:$1,0)-MATCH($A$1,[2]characters!$1:$1,0)+1),MATCH(B$1,[2]characters!$1:$1,0)-MATCH($A$1,[2]characters!$1:$1,0)+1,FALSE)</f>
        <v>死導者 アズラエル</v>
      </c>
      <c r="C248" s="93">
        <f ca="1">VLOOKUP($A248,OFFSET(fork_awake_units!$A$1,0,0,COUNTA(fork_awake_units!$A:$A),MATCH(C$1,fork_awake_units!$1:$1,0)-MATCH($A$1,fork_awake_units!$1:$1,0)+1),MATCH(C$1,fork_awake_units!$1:$1,0)-MATCH($A$1,fork_awake_units!$1:$1,0)+1,FALSE)</f>
        <v>216</v>
      </c>
      <c r="D248" s="3" t="str">
        <f ca="1">VLOOKUP($C248,OFFSET([2]characters!$A$1,0,0,COUNTA([2]characters!$A:$A),MATCH(D$1,[2]characters!$1:$1,0)-MATCH($A$1,[2]characters!$1:$1,0)+1),MATCH(D$1,[2]characters!$1:$1,0)-MATCH($A$1,[2]characters!$1:$1,0)+1,FALSE)</f>
        <v>百読の死導司書 アズラエル</v>
      </c>
      <c r="E248" s="66">
        <v>104</v>
      </c>
      <c r="F248" s="3" t="str">
        <f ca="1">VLOOKUP($E248,OFFSET([2]characters!$A$1,0,0,COUNTA([2]characters!$A:$A),MATCH(F$1,[2]characters!$1:$1,0)-MATCH($A$1,[2]characters!$1:$1,0)+1),MATCH(F$1,[2]characters!$1:$1,0)-MATCH($A$1,[2]characters!$1:$1,0)+1,FALSE)</f>
        <v>炎のマッドハッター</v>
      </c>
      <c r="G248" s="66">
        <v>1</v>
      </c>
      <c r="H248" s="66">
        <v>1</v>
      </c>
      <c r="I248" s="66">
        <v>1</v>
      </c>
    </row>
    <row r="249" spans="1:9" x14ac:dyDescent="0.15">
      <c r="A249" s="66">
        <v>217</v>
      </c>
      <c r="B249" s="3" t="str">
        <f ca="1">VLOOKUP($A249,OFFSET([2]characters!$A$1,0,0,COUNTA([2]characters!$A:$A),MATCH(B$1,[2]characters!$1:$1,0)-MATCH($A$1,[2]characters!$1:$1,0)+1),MATCH(B$1,[2]characters!$1:$1,0)-MATCH($A$1,[2]characters!$1:$1,0)+1,FALSE)</f>
        <v>ケツァクアトル</v>
      </c>
      <c r="C249" s="93">
        <f ca="1">VLOOKUP($A249,OFFSET(fork_awake_units!$A$1,0,0,COUNTA(fork_awake_units!$A:$A),MATCH(C$1,fork_awake_units!$1:$1,0)-MATCH($A$1,fork_awake_units!$1:$1,0)+1),MATCH(C$1,fork_awake_units!$1:$1,0)-MATCH($A$1,fork_awake_units!$1:$1,0)+1,FALSE)</f>
        <v>218</v>
      </c>
      <c r="D249" s="3" t="str">
        <f ca="1">VLOOKUP($C249,OFFSET([2]characters!$A$1,0,0,COUNTA([2]characters!$A:$A),MATCH(D$1,[2]characters!$1:$1,0)-MATCH($A$1,[2]characters!$1:$1,0)+1),MATCH(D$1,[2]characters!$1:$1,0)-MATCH($A$1,[2]characters!$1:$1,0)+1,FALSE)</f>
        <v>聖蛇 ケツァクアトル</v>
      </c>
      <c r="E249" s="66">
        <v>106</v>
      </c>
      <c r="F249" s="3" t="str">
        <f ca="1">VLOOKUP($E249,OFFSET([2]characters!$A$1,0,0,COUNTA([2]characters!$A:$A),MATCH(F$1,[2]characters!$1:$1,0)-MATCH($A$1,[2]characters!$1:$1,0)+1),MATCH(F$1,[2]characters!$1:$1,0)-MATCH($A$1,[2]characters!$1:$1,0)+1,FALSE)</f>
        <v>グリーンラビット</v>
      </c>
      <c r="G249" s="66">
        <v>2</v>
      </c>
      <c r="H249" s="66">
        <v>1</v>
      </c>
      <c r="I249" s="66">
        <v>1</v>
      </c>
    </row>
    <row r="250" spans="1:9" x14ac:dyDescent="0.15">
      <c r="A250" s="66">
        <v>217</v>
      </c>
      <c r="B250" s="3" t="str">
        <f ca="1">VLOOKUP($A250,OFFSET([2]characters!$A$1,0,0,COUNTA([2]characters!$A:$A),MATCH(B$1,[2]characters!$1:$1,0)-MATCH($A$1,[2]characters!$1:$1,0)+1),MATCH(B$1,[2]characters!$1:$1,0)-MATCH($A$1,[2]characters!$1:$1,0)+1,FALSE)</f>
        <v>ケツァクアトル</v>
      </c>
      <c r="C250" s="93">
        <f ca="1">VLOOKUP($A250,OFFSET(fork_awake_units!$A$1,0,0,COUNTA(fork_awake_units!$A:$A),MATCH(C$1,fork_awake_units!$1:$1,0)-MATCH($A$1,fork_awake_units!$1:$1,0)+1),MATCH(C$1,fork_awake_units!$1:$1,0)-MATCH($A$1,fork_awake_units!$1:$1,0)+1,FALSE)</f>
        <v>218</v>
      </c>
      <c r="D250" s="3" t="str">
        <f ca="1">VLOOKUP($C250,OFFSET([2]characters!$A$1,0,0,COUNTA([2]characters!$A:$A),MATCH(D$1,[2]characters!$1:$1,0)-MATCH($A$1,[2]characters!$1:$1,0)+1),MATCH(D$1,[2]characters!$1:$1,0)-MATCH($A$1,[2]characters!$1:$1,0)+1,FALSE)</f>
        <v>聖蛇 ケツァクアトル</v>
      </c>
      <c r="E250" s="66">
        <v>107</v>
      </c>
      <c r="F250" s="3" t="str">
        <f ca="1">VLOOKUP($E250,OFFSET([2]characters!$A$1,0,0,COUNTA([2]characters!$A:$A),MATCH(F$1,[2]characters!$1:$1,0)-MATCH($A$1,[2]characters!$1:$1,0)+1),MATCH(F$1,[2]characters!$1:$1,0)-MATCH($A$1,[2]characters!$1:$1,0)+1,FALSE)</f>
        <v>グリーンキャタップ</v>
      </c>
      <c r="G250" s="66">
        <v>2</v>
      </c>
      <c r="H250" s="66">
        <v>1</v>
      </c>
      <c r="I250" s="66">
        <v>1</v>
      </c>
    </row>
    <row r="251" spans="1:9" x14ac:dyDescent="0.15">
      <c r="A251" s="66">
        <v>218</v>
      </c>
      <c r="B251" s="3" t="str">
        <f ca="1">VLOOKUP($A251,OFFSET([2]characters!$A$1,0,0,COUNTA([2]characters!$A:$A),MATCH(B$1,[2]characters!$1:$1,0)-MATCH($A$1,[2]characters!$1:$1,0)+1),MATCH(B$1,[2]characters!$1:$1,0)-MATCH($A$1,[2]characters!$1:$1,0)+1,FALSE)</f>
        <v>聖蛇 ケツァクアトル</v>
      </c>
      <c r="C251" s="93">
        <f ca="1">VLOOKUP($A251,OFFSET(fork_awake_units!$A$1,0,0,COUNTA(fork_awake_units!$A:$A),MATCH(C$1,fork_awake_units!$1:$1,0)-MATCH($A$1,fork_awake_units!$1:$1,0)+1),MATCH(C$1,fork_awake_units!$1:$1,0)-MATCH($A$1,fork_awake_units!$1:$1,0)+1,FALSE)</f>
        <v>219</v>
      </c>
      <c r="D251" s="3" t="str">
        <f ca="1">VLOOKUP($C251,OFFSET([2]characters!$A$1,0,0,COUNTA([2]characters!$A:$A),MATCH(D$1,[2]characters!$1:$1,0)-MATCH($A$1,[2]characters!$1:$1,0)+1),MATCH(D$1,[2]characters!$1:$1,0)-MATCH($A$1,[2]characters!$1:$1,0)+1,FALSE)</f>
        <v>覇翼の聖蛇竜 ケツァクアトル</v>
      </c>
      <c r="E251" s="66">
        <v>106</v>
      </c>
      <c r="F251" s="3" t="str">
        <f ca="1">VLOOKUP($E251,OFFSET([2]characters!$A$1,0,0,COUNTA([2]characters!$A:$A),MATCH(F$1,[2]characters!$1:$1,0)-MATCH($A$1,[2]characters!$1:$1,0)+1),MATCH(F$1,[2]characters!$1:$1,0)-MATCH($A$1,[2]characters!$1:$1,0)+1,FALSE)</f>
        <v>グリーンラビット</v>
      </c>
      <c r="G251" s="66">
        <v>3</v>
      </c>
      <c r="H251" s="66">
        <v>1</v>
      </c>
      <c r="I251" s="66">
        <v>1</v>
      </c>
    </row>
    <row r="252" spans="1:9" x14ac:dyDescent="0.15">
      <c r="A252" s="66">
        <v>218</v>
      </c>
      <c r="B252" s="3" t="str">
        <f ca="1">VLOOKUP($A252,OFFSET([2]characters!$A$1,0,0,COUNTA([2]characters!$A:$A),MATCH(B$1,[2]characters!$1:$1,0)-MATCH($A$1,[2]characters!$1:$1,0)+1),MATCH(B$1,[2]characters!$1:$1,0)-MATCH($A$1,[2]characters!$1:$1,0)+1,FALSE)</f>
        <v>聖蛇 ケツァクアトル</v>
      </c>
      <c r="C252" s="93">
        <f ca="1">VLOOKUP($A252,OFFSET(fork_awake_units!$A$1,0,0,COUNTA(fork_awake_units!$A:$A),MATCH(C$1,fork_awake_units!$1:$1,0)-MATCH($A$1,fork_awake_units!$1:$1,0)+1),MATCH(C$1,fork_awake_units!$1:$1,0)-MATCH($A$1,fork_awake_units!$1:$1,0)+1,FALSE)</f>
        <v>219</v>
      </c>
      <c r="D252" s="3" t="str">
        <f ca="1">VLOOKUP($C252,OFFSET([2]characters!$A$1,0,0,COUNTA([2]characters!$A:$A),MATCH(D$1,[2]characters!$1:$1,0)-MATCH($A$1,[2]characters!$1:$1,0)+1),MATCH(D$1,[2]characters!$1:$1,0)-MATCH($A$1,[2]characters!$1:$1,0)+1,FALSE)</f>
        <v>覇翼の聖蛇竜 ケツァクアトル</v>
      </c>
      <c r="E252" s="66">
        <v>107</v>
      </c>
      <c r="F252" s="3" t="str">
        <f ca="1">VLOOKUP($E252,OFFSET([2]characters!$A$1,0,0,COUNTA([2]characters!$A:$A),MATCH(F$1,[2]characters!$1:$1,0)-MATCH($A$1,[2]characters!$1:$1,0)+1),MATCH(F$1,[2]characters!$1:$1,0)-MATCH($A$1,[2]characters!$1:$1,0)+1,FALSE)</f>
        <v>グリーンキャタップ</v>
      </c>
      <c r="G252" s="66">
        <v>1</v>
      </c>
      <c r="H252" s="66">
        <v>1</v>
      </c>
      <c r="I252" s="66">
        <v>1</v>
      </c>
    </row>
    <row r="253" spans="1:9" x14ac:dyDescent="0.15">
      <c r="A253" s="66">
        <v>218</v>
      </c>
      <c r="B253" s="3" t="str">
        <f ca="1">VLOOKUP($A253,OFFSET([2]characters!$A$1,0,0,COUNTA([2]characters!$A:$A),MATCH(B$1,[2]characters!$1:$1,0)-MATCH($A$1,[2]characters!$1:$1,0)+1),MATCH(B$1,[2]characters!$1:$1,0)-MATCH($A$1,[2]characters!$1:$1,0)+1,FALSE)</f>
        <v>聖蛇 ケツァクアトル</v>
      </c>
      <c r="C253" s="93">
        <f ca="1">VLOOKUP($A253,OFFSET(fork_awake_units!$A$1,0,0,COUNTA(fork_awake_units!$A:$A),MATCH(C$1,fork_awake_units!$1:$1,0)-MATCH($A$1,fork_awake_units!$1:$1,0)+1),MATCH(C$1,fork_awake_units!$1:$1,0)-MATCH($A$1,fork_awake_units!$1:$1,0)+1,FALSE)</f>
        <v>219</v>
      </c>
      <c r="D253" s="3" t="str">
        <f ca="1">VLOOKUP($C253,OFFSET([2]characters!$A$1,0,0,COUNTA([2]characters!$A:$A),MATCH(D$1,[2]characters!$1:$1,0)-MATCH($A$1,[2]characters!$1:$1,0)+1),MATCH(D$1,[2]characters!$1:$1,0)-MATCH($A$1,[2]characters!$1:$1,0)+1,FALSE)</f>
        <v>覇翼の聖蛇竜 ケツァクアトル</v>
      </c>
      <c r="E253" s="66">
        <v>108</v>
      </c>
      <c r="F253" s="3" t="str">
        <f ca="1">VLOOKUP($E253,OFFSET([2]characters!$A$1,0,0,COUNTA([2]characters!$A:$A),MATCH(F$1,[2]characters!$1:$1,0)-MATCH($A$1,[2]characters!$1:$1,0)+1),MATCH(F$1,[2]characters!$1:$1,0)-MATCH($A$1,[2]characters!$1:$1,0)+1,FALSE)</f>
        <v>森のマッドハッター</v>
      </c>
      <c r="G253" s="66">
        <v>1</v>
      </c>
      <c r="H253" s="66">
        <v>1</v>
      </c>
      <c r="I253" s="66">
        <v>1</v>
      </c>
    </row>
    <row r="254" spans="1:9" x14ac:dyDescent="0.15">
      <c r="A254" s="66">
        <v>220</v>
      </c>
      <c r="B254" s="3" t="str">
        <f ca="1">VLOOKUP($A254,OFFSET([2]characters!$A$1,0,0,COUNTA([2]characters!$A:$A),MATCH(B$1,[2]characters!$1:$1,0)-MATCH($A$1,[2]characters!$1:$1,0)+1),MATCH(B$1,[2]characters!$1:$1,0)-MATCH($A$1,[2]characters!$1:$1,0)+1,FALSE)</f>
        <v>ルキフグス</v>
      </c>
      <c r="C254" s="93">
        <f ca="1">VLOOKUP($A254,OFFSET(fork_awake_units!$A$1,0,0,COUNTA(fork_awake_units!$A:$A),MATCH(C$1,fork_awake_units!$1:$1,0)-MATCH($A$1,fork_awake_units!$1:$1,0)+1),MATCH(C$1,fork_awake_units!$1:$1,0)-MATCH($A$1,fork_awake_units!$1:$1,0)+1,FALSE)</f>
        <v>221</v>
      </c>
      <c r="D254" s="3" t="str">
        <f ca="1">VLOOKUP($C254,OFFSET([2]characters!$A$1,0,0,COUNTA([2]characters!$A:$A),MATCH(D$1,[2]characters!$1:$1,0)-MATCH($A$1,[2]characters!$1:$1,0)+1),MATCH(D$1,[2]characters!$1:$1,0)-MATCH($A$1,[2]characters!$1:$1,0)+1,FALSE)</f>
        <v>宰相 ルキフグス</v>
      </c>
      <c r="E254" s="66">
        <v>110</v>
      </c>
      <c r="F254" s="3" t="str">
        <f ca="1">VLOOKUP($E254,OFFSET([2]characters!$A$1,0,0,COUNTA([2]characters!$A:$A),MATCH(F$1,[2]characters!$1:$1,0)-MATCH($A$1,[2]characters!$1:$1,0)+1),MATCH(F$1,[2]characters!$1:$1,0)-MATCH($A$1,[2]characters!$1:$1,0)+1,FALSE)</f>
        <v>ブルーラビット</v>
      </c>
      <c r="G254" s="66">
        <v>2</v>
      </c>
      <c r="H254" s="66">
        <v>1</v>
      </c>
      <c r="I254" s="66">
        <v>1</v>
      </c>
    </row>
    <row r="255" spans="1:9" x14ac:dyDescent="0.15">
      <c r="A255" s="66">
        <v>220</v>
      </c>
      <c r="B255" s="3" t="str">
        <f ca="1">VLOOKUP($A255,OFFSET([2]characters!$A$1,0,0,COUNTA([2]characters!$A:$A),MATCH(B$1,[2]characters!$1:$1,0)-MATCH($A$1,[2]characters!$1:$1,0)+1),MATCH(B$1,[2]characters!$1:$1,0)-MATCH($A$1,[2]characters!$1:$1,0)+1,FALSE)</f>
        <v>ルキフグス</v>
      </c>
      <c r="C255" s="93">
        <f ca="1">VLOOKUP($A255,OFFSET(fork_awake_units!$A$1,0,0,COUNTA(fork_awake_units!$A:$A),MATCH(C$1,fork_awake_units!$1:$1,0)-MATCH($A$1,fork_awake_units!$1:$1,0)+1),MATCH(C$1,fork_awake_units!$1:$1,0)-MATCH($A$1,fork_awake_units!$1:$1,0)+1,FALSE)</f>
        <v>221</v>
      </c>
      <c r="D255" s="3" t="str">
        <f ca="1">VLOOKUP($C255,OFFSET([2]characters!$A$1,0,0,COUNTA([2]characters!$A:$A),MATCH(D$1,[2]characters!$1:$1,0)-MATCH($A$1,[2]characters!$1:$1,0)+1),MATCH(D$1,[2]characters!$1:$1,0)-MATCH($A$1,[2]characters!$1:$1,0)+1,FALSE)</f>
        <v>宰相 ルキフグス</v>
      </c>
      <c r="E255" s="66">
        <v>111</v>
      </c>
      <c r="F255" s="3" t="str">
        <f ca="1">VLOOKUP($E255,OFFSET([2]characters!$A$1,0,0,COUNTA([2]characters!$A:$A),MATCH(F$1,[2]characters!$1:$1,0)-MATCH($A$1,[2]characters!$1:$1,0)+1),MATCH(F$1,[2]characters!$1:$1,0)-MATCH($A$1,[2]characters!$1:$1,0)+1,FALSE)</f>
        <v>ブルーキャタップ</v>
      </c>
      <c r="G255" s="66">
        <v>2</v>
      </c>
      <c r="H255" s="66">
        <v>1</v>
      </c>
      <c r="I255" s="66">
        <v>1</v>
      </c>
    </row>
    <row r="256" spans="1:9" x14ac:dyDescent="0.15">
      <c r="A256" s="66">
        <v>221</v>
      </c>
      <c r="B256" s="3" t="str">
        <f ca="1">VLOOKUP($A256,OFFSET([2]characters!$A$1,0,0,COUNTA([2]characters!$A:$A),MATCH(B$1,[2]characters!$1:$1,0)-MATCH($A$1,[2]characters!$1:$1,0)+1),MATCH(B$1,[2]characters!$1:$1,0)-MATCH($A$1,[2]characters!$1:$1,0)+1,FALSE)</f>
        <v>宰相 ルキフグス</v>
      </c>
      <c r="C256" s="93">
        <f ca="1">VLOOKUP($A256,OFFSET(fork_awake_units!$A$1,0,0,COUNTA(fork_awake_units!$A:$A),MATCH(C$1,fork_awake_units!$1:$1,0)-MATCH($A$1,fork_awake_units!$1:$1,0)+1),MATCH(C$1,fork_awake_units!$1:$1,0)-MATCH($A$1,fork_awake_units!$1:$1,0)+1,FALSE)</f>
        <v>222</v>
      </c>
      <c r="D256" s="3" t="str">
        <f ca="1">VLOOKUP($C256,OFFSET([2]characters!$A$1,0,0,COUNTA([2]characters!$A:$A),MATCH(D$1,[2]characters!$1:$1,0)-MATCH($A$1,[2]characters!$1:$1,0)+1),MATCH(D$1,[2]characters!$1:$1,0)-MATCH($A$1,[2]characters!$1:$1,0)+1,FALSE)</f>
        <v>避光の鉄鎖宰相 ルキフグス</v>
      </c>
      <c r="E256" s="66">
        <v>110</v>
      </c>
      <c r="F256" s="3" t="str">
        <f ca="1">VLOOKUP($E256,OFFSET([2]characters!$A$1,0,0,COUNTA([2]characters!$A:$A),MATCH(F$1,[2]characters!$1:$1,0)-MATCH($A$1,[2]characters!$1:$1,0)+1),MATCH(F$1,[2]characters!$1:$1,0)-MATCH($A$1,[2]characters!$1:$1,0)+1,FALSE)</f>
        <v>ブルーラビット</v>
      </c>
      <c r="G256" s="66">
        <v>3</v>
      </c>
      <c r="H256" s="66">
        <v>1</v>
      </c>
      <c r="I256" s="66">
        <v>1</v>
      </c>
    </row>
    <row r="257" spans="1:9" x14ac:dyDescent="0.15">
      <c r="A257" s="66">
        <v>221</v>
      </c>
      <c r="B257" s="3" t="str">
        <f ca="1">VLOOKUP($A257,OFFSET([2]characters!$A$1,0,0,COUNTA([2]characters!$A:$A),MATCH(B$1,[2]characters!$1:$1,0)-MATCH($A$1,[2]characters!$1:$1,0)+1),MATCH(B$1,[2]characters!$1:$1,0)-MATCH($A$1,[2]characters!$1:$1,0)+1,FALSE)</f>
        <v>宰相 ルキフグス</v>
      </c>
      <c r="C257" s="93">
        <f ca="1">VLOOKUP($A257,OFFSET(fork_awake_units!$A$1,0,0,COUNTA(fork_awake_units!$A:$A),MATCH(C$1,fork_awake_units!$1:$1,0)-MATCH($A$1,fork_awake_units!$1:$1,0)+1),MATCH(C$1,fork_awake_units!$1:$1,0)-MATCH($A$1,fork_awake_units!$1:$1,0)+1,FALSE)</f>
        <v>222</v>
      </c>
      <c r="D257" s="3" t="str">
        <f ca="1">VLOOKUP($C257,OFFSET([2]characters!$A$1,0,0,COUNTA([2]characters!$A:$A),MATCH(D$1,[2]characters!$1:$1,0)-MATCH($A$1,[2]characters!$1:$1,0)+1),MATCH(D$1,[2]characters!$1:$1,0)-MATCH($A$1,[2]characters!$1:$1,0)+1,FALSE)</f>
        <v>避光の鉄鎖宰相 ルキフグス</v>
      </c>
      <c r="E257" s="66">
        <v>111</v>
      </c>
      <c r="F257" s="3" t="str">
        <f ca="1">VLOOKUP($E257,OFFSET([2]characters!$A$1,0,0,COUNTA([2]characters!$A:$A),MATCH(F$1,[2]characters!$1:$1,0)-MATCH($A$1,[2]characters!$1:$1,0)+1),MATCH(F$1,[2]characters!$1:$1,0)-MATCH($A$1,[2]characters!$1:$1,0)+1,FALSE)</f>
        <v>ブルーキャタップ</v>
      </c>
      <c r="G257" s="66">
        <v>1</v>
      </c>
      <c r="H257" s="66">
        <v>1</v>
      </c>
      <c r="I257" s="66">
        <v>1</v>
      </c>
    </row>
    <row r="258" spans="1:9" x14ac:dyDescent="0.15">
      <c r="A258" s="66">
        <v>221</v>
      </c>
      <c r="B258" s="3" t="str">
        <f ca="1">VLOOKUP($A258,OFFSET([2]characters!$A$1,0,0,COUNTA([2]characters!$A:$A),MATCH(B$1,[2]characters!$1:$1,0)-MATCH($A$1,[2]characters!$1:$1,0)+1),MATCH(B$1,[2]characters!$1:$1,0)-MATCH($A$1,[2]characters!$1:$1,0)+1,FALSE)</f>
        <v>宰相 ルキフグス</v>
      </c>
      <c r="C258" s="93">
        <f ca="1">VLOOKUP($A258,OFFSET(fork_awake_units!$A$1,0,0,COUNTA(fork_awake_units!$A:$A),MATCH(C$1,fork_awake_units!$1:$1,0)-MATCH($A$1,fork_awake_units!$1:$1,0)+1),MATCH(C$1,fork_awake_units!$1:$1,0)-MATCH($A$1,fork_awake_units!$1:$1,0)+1,FALSE)</f>
        <v>222</v>
      </c>
      <c r="D258" s="3" t="str">
        <f ca="1">VLOOKUP($C258,OFFSET([2]characters!$A$1,0,0,COUNTA([2]characters!$A:$A),MATCH(D$1,[2]characters!$1:$1,0)-MATCH($A$1,[2]characters!$1:$1,0)+1),MATCH(D$1,[2]characters!$1:$1,0)-MATCH($A$1,[2]characters!$1:$1,0)+1,FALSE)</f>
        <v>避光の鉄鎖宰相 ルキフグス</v>
      </c>
      <c r="E258" s="66">
        <v>112</v>
      </c>
      <c r="F258" s="3" t="str">
        <f ca="1">VLOOKUP($E258,OFFSET([2]characters!$A$1,0,0,COUNTA([2]characters!$A:$A),MATCH(F$1,[2]characters!$1:$1,0)-MATCH($A$1,[2]characters!$1:$1,0)+1),MATCH(F$1,[2]characters!$1:$1,0)-MATCH($A$1,[2]characters!$1:$1,0)+1,FALSE)</f>
        <v>水のマッドハッター</v>
      </c>
      <c r="G258" s="66">
        <v>1</v>
      </c>
      <c r="H258" s="66">
        <v>1</v>
      </c>
      <c r="I258" s="66">
        <v>1</v>
      </c>
    </row>
    <row r="259" spans="1:9" x14ac:dyDescent="0.15">
      <c r="A259" s="66">
        <v>223</v>
      </c>
      <c r="B259" s="3" t="str">
        <f ca="1">VLOOKUP($A259,OFFSET([2]characters!$A$1,0,0,COUNTA([2]characters!$A:$A),MATCH(B$1,[2]characters!$1:$1,0)-MATCH($A$1,[2]characters!$1:$1,0)+1),MATCH(B$1,[2]characters!$1:$1,0)-MATCH($A$1,[2]characters!$1:$1,0)+1,FALSE)</f>
        <v>ヘラクレス</v>
      </c>
      <c r="C259" s="93">
        <f ca="1">VLOOKUP($A259,OFFSET(fork_awake_units!$A$1,0,0,COUNTA(fork_awake_units!$A:$A),MATCH(C$1,fork_awake_units!$1:$1,0)-MATCH($A$1,fork_awake_units!$1:$1,0)+1),MATCH(C$1,fork_awake_units!$1:$1,0)-MATCH($A$1,fork_awake_units!$1:$1,0)+1,FALSE)</f>
        <v>224</v>
      </c>
      <c r="D259" s="3" t="str">
        <f ca="1">VLOOKUP($C259,OFFSET([2]characters!$A$1,0,0,COUNTA([2]characters!$A:$A),MATCH(D$1,[2]characters!$1:$1,0)-MATCH($A$1,[2]characters!$1:$1,0)+1),MATCH(D$1,[2]characters!$1:$1,0)-MATCH($A$1,[2]characters!$1:$1,0)+1,FALSE)</f>
        <v>巨腕 ヘラクレス</v>
      </c>
      <c r="E259" s="66">
        <v>114</v>
      </c>
      <c r="F259" s="3" t="str">
        <f ca="1">VLOOKUP($E259,OFFSET([2]characters!$A$1,0,0,COUNTA([2]characters!$A:$A),MATCH(F$1,[2]characters!$1:$1,0)-MATCH($A$1,[2]characters!$1:$1,0)+1),MATCH(F$1,[2]characters!$1:$1,0)-MATCH($A$1,[2]characters!$1:$1,0)+1,FALSE)</f>
        <v>イエローラビット</v>
      </c>
      <c r="G259" s="66">
        <v>2</v>
      </c>
      <c r="H259" s="66">
        <v>1</v>
      </c>
      <c r="I259" s="66">
        <v>1</v>
      </c>
    </row>
    <row r="260" spans="1:9" x14ac:dyDescent="0.15">
      <c r="A260" s="66">
        <v>223</v>
      </c>
      <c r="B260" s="3" t="str">
        <f ca="1">VLOOKUP($A260,OFFSET([2]characters!$A$1,0,0,COUNTA([2]characters!$A:$A),MATCH(B$1,[2]characters!$1:$1,0)-MATCH($A$1,[2]characters!$1:$1,0)+1),MATCH(B$1,[2]characters!$1:$1,0)-MATCH($A$1,[2]characters!$1:$1,0)+1,FALSE)</f>
        <v>ヘラクレス</v>
      </c>
      <c r="C260" s="93">
        <f ca="1">VLOOKUP($A260,OFFSET(fork_awake_units!$A$1,0,0,COUNTA(fork_awake_units!$A:$A),MATCH(C$1,fork_awake_units!$1:$1,0)-MATCH($A$1,fork_awake_units!$1:$1,0)+1),MATCH(C$1,fork_awake_units!$1:$1,0)-MATCH($A$1,fork_awake_units!$1:$1,0)+1,FALSE)</f>
        <v>224</v>
      </c>
      <c r="D260" s="3" t="str">
        <f ca="1">VLOOKUP($C260,OFFSET([2]characters!$A$1,0,0,COUNTA([2]characters!$A:$A),MATCH(D$1,[2]characters!$1:$1,0)-MATCH($A$1,[2]characters!$1:$1,0)+1),MATCH(D$1,[2]characters!$1:$1,0)-MATCH($A$1,[2]characters!$1:$1,0)+1,FALSE)</f>
        <v>巨腕 ヘラクレス</v>
      </c>
      <c r="E260" s="66">
        <v>115</v>
      </c>
      <c r="F260" s="3" t="str">
        <f ca="1">VLOOKUP($E260,OFFSET([2]characters!$A$1,0,0,COUNTA([2]characters!$A:$A),MATCH(F$1,[2]characters!$1:$1,0)-MATCH($A$1,[2]characters!$1:$1,0)+1),MATCH(F$1,[2]characters!$1:$1,0)-MATCH($A$1,[2]characters!$1:$1,0)+1,FALSE)</f>
        <v>イエローキャタップ</v>
      </c>
      <c r="G260" s="66">
        <v>2</v>
      </c>
      <c r="H260" s="66">
        <v>1</v>
      </c>
      <c r="I260" s="66">
        <v>1</v>
      </c>
    </row>
    <row r="261" spans="1:9" x14ac:dyDescent="0.15">
      <c r="A261" s="66">
        <v>224</v>
      </c>
      <c r="B261" s="3" t="str">
        <f ca="1">VLOOKUP($A261,OFFSET([2]characters!$A$1,0,0,COUNTA([2]characters!$A:$A),MATCH(B$1,[2]characters!$1:$1,0)-MATCH($A$1,[2]characters!$1:$1,0)+1),MATCH(B$1,[2]characters!$1:$1,0)-MATCH($A$1,[2]characters!$1:$1,0)+1,FALSE)</f>
        <v>巨腕 ヘラクレス</v>
      </c>
      <c r="C261" s="93">
        <f ca="1">VLOOKUP($A261,OFFSET(fork_awake_units!$A$1,0,0,COUNTA(fork_awake_units!$A:$A),MATCH(C$1,fork_awake_units!$1:$1,0)-MATCH($A$1,fork_awake_units!$1:$1,0)+1),MATCH(C$1,fork_awake_units!$1:$1,0)-MATCH($A$1,fork_awake_units!$1:$1,0)+1,FALSE)</f>
        <v>225</v>
      </c>
      <c r="D261" s="3" t="str">
        <f ca="1">VLOOKUP($C261,OFFSET([2]characters!$A$1,0,0,COUNTA([2]characters!$A:$A),MATCH(D$1,[2]characters!$1:$1,0)-MATCH($A$1,[2]characters!$1:$1,0)+1),MATCH(D$1,[2]characters!$1:$1,0)-MATCH($A$1,[2]characters!$1:$1,0)+1,FALSE)</f>
        <v>咆哮の巨獅腕 ヘラクレス</v>
      </c>
      <c r="E261" s="66">
        <v>114</v>
      </c>
      <c r="F261" s="3" t="str">
        <f ca="1">VLOOKUP($E261,OFFSET([2]characters!$A$1,0,0,COUNTA([2]characters!$A:$A),MATCH(F$1,[2]characters!$1:$1,0)-MATCH($A$1,[2]characters!$1:$1,0)+1),MATCH(F$1,[2]characters!$1:$1,0)-MATCH($A$1,[2]characters!$1:$1,0)+1,FALSE)</f>
        <v>イエローラビット</v>
      </c>
      <c r="G261" s="66">
        <v>3</v>
      </c>
      <c r="H261" s="66">
        <v>1</v>
      </c>
      <c r="I261" s="66">
        <v>1</v>
      </c>
    </row>
    <row r="262" spans="1:9" x14ac:dyDescent="0.15">
      <c r="A262" s="66">
        <v>224</v>
      </c>
      <c r="B262" s="3" t="str">
        <f ca="1">VLOOKUP($A262,OFFSET([2]characters!$A$1,0,0,COUNTA([2]characters!$A:$A),MATCH(B$1,[2]characters!$1:$1,0)-MATCH($A$1,[2]characters!$1:$1,0)+1),MATCH(B$1,[2]characters!$1:$1,0)-MATCH($A$1,[2]characters!$1:$1,0)+1,FALSE)</f>
        <v>巨腕 ヘラクレス</v>
      </c>
      <c r="C262" s="93">
        <f ca="1">VLOOKUP($A262,OFFSET(fork_awake_units!$A$1,0,0,COUNTA(fork_awake_units!$A:$A),MATCH(C$1,fork_awake_units!$1:$1,0)-MATCH($A$1,fork_awake_units!$1:$1,0)+1),MATCH(C$1,fork_awake_units!$1:$1,0)-MATCH($A$1,fork_awake_units!$1:$1,0)+1,FALSE)</f>
        <v>225</v>
      </c>
      <c r="D262" s="3" t="str">
        <f ca="1">VLOOKUP($C262,OFFSET([2]characters!$A$1,0,0,COUNTA([2]characters!$A:$A),MATCH(D$1,[2]characters!$1:$1,0)-MATCH($A$1,[2]characters!$1:$1,0)+1),MATCH(D$1,[2]characters!$1:$1,0)-MATCH($A$1,[2]characters!$1:$1,0)+1,FALSE)</f>
        <v>咆哮の巨獅腕 ヘラクレス</v>
      </c>
      <c r="E262" s="66">
        <v>115</v>
      </c>
      <c r="F262" s="3" t="str">
        <f ca="1">VLOOKUP($E262,OFFSET([2]characters!$A$1,0,0,COUNTA([2]characters!$A:$A),MATCH(F$1,[2]characters!$1:$1,0)-MATCH($A$1,[2]characters!$1:$1,0)+1),MATCH(F$1,[2]characters!$1:$1,0)-MATCH($A$1,[2]characters!$1:$1,0)+1,FALSE)</f>
        <v>イエローキャタップ</v>
      </c>
      <c r="G262" s="66">
        <v>1</v>
      </c>
      <c r="H262" s="66">
        <v>1</v>
      </c>
      <c r="I262" s="66">
        <v>1</v>
      </c>
    </row>
    <row r="263" spans="1:9" x14ac:dyDescent="0.15">
      <c r="A263" s="66">
        <v>224</v>
      </c>
      <c r="B263" s="3" t="str">
        <f ca="1">VLOOKUP($A263,OFFSET([2]characters!$A$1,0,0,COUNTA([2]characters!$A:$A),MATCH(B$1,[2]characters!$1:$1,0)-MATCH($A$1,[2]characters!$1:$1,0)+1),MATCH(B$1,[2]characters!$1:$1,0)-MATCH($A$1,[2]characters!$1:$1,0)+1,FALSE)</f>
        <v>巨腕 ヘラクレス</v>
      </c>
      <c r="C263" s="93">
        <f ca="1">VLOOKUP($A263,OFFSET(fork_awake_units!$A$1,0,0,COUNTA(fork_awake_units!$A:$A),MATCH(C$1,fork_awake_units!$1:$1,0)-MATCH($A$1,fork_awake_units!$1:$1,0)+1),MATCH(C$1,fork_awake_units!$1:$1,0)-MATCH($A$1,fork_awake_units!$1:$1,0)+1,FALSE)</f>
        <v>225</v>
      </c>
      <c r="D263" s="3" t="str">
        <f ca="1">VLOOKUP($C263,OFFSET([2]characters!$A$1,0,0,COUNTA([2]characters!$A:$A),MATCH(D$1,[2]characters!$1:$1,0)-MATCH($A$1,[2]characters!$1:$1,0)+1),MATCH(D$1,[2]characters!$1:$1,0)-MATCH($A$1,[2]characters!$1:$1,0)+1,FALSE)</f>
        <v>咆哮の巨獅腕 ヘラクレス</v>
      </c>
      <c r="E263" s="66">
        <v>116</v>
      </c>
      <c r="F263" s="3" t="str">
        <f ca="1">VLOOKUP($E263,OFFSET([2]characters!$A$1,0,0,COUNTA([2]characters!$A:$A),MATCH(F$1,[2]characters!$1:$1,0)-MATCH($A$1,[2]characters!$1:$1,0)+1),MATCH(F$1,[2]characters!$1:$1,0)-MATCH($A$1,[2]characters!$1:$1,0)+1,FALSE)</f>
        <v>雷のマッドハッター</v>
      </c>
      <c r="G263" s="66">
        <v>1</v>
      </c>
      <c r="H263" s="66">
        <v>1</v>
      </c>
      <c r="I263" s="66">
        <v>1</v>
      </c>
    </row>
    <row r="264" spans="1:9" x14ac:dyDescent="0.15">
      <c r="A264" s="66">
        <v>226</v>
      </c>
      <c r="B264" s="3" t="str">
        <f ca="1">VLOOKUP($A264,OFFSET([2]characters!$A$1,0,0,COUNTA([2]characters!$A:$A),MATCH(B$1,[2]characters!$1:$1,0)-MATCH($A$1,[2]characters!$1:$1,0)+1),MATCH(B$1,[2]characters!$1:$1,0)-MATCH($A$1,[2]characters!$1:$1,0)+1,FALSE)</f>
        <v>アレス</v>
      </c>
      <c r="C264" s="93">
        <f ca="1">VLOOKUP($A264,OFFSET(fork_awake_units!$A$1,0,0,COUNTA(fork_awake_units!$A:$A),MATCH(C$1,fork_awake_units!$1:$1,0)-MATCH($A$1,fork_awake_units!$1:$1,0)+1),MATCH(C$1,fork_awake_units!$1:$1,0)-MATCH($A$1,fork_awake_units!$1:$1,0)+1,FALSE)</f>
        <v>227</v>
      </c>
      <c r="D264" s="3" t="str">
        <f ca="1">VLOOKUP($C264,OFFSET([2]characters!$A$1,0,0,COUNTA([2]characters!$A:$A),MATCH(D$1,[2]characters!$1:$1,0)-MATCH($A$1,[2]characters!$1:$1,0)+1),MATCH(D$1,[2]characters!$1:$1,0)-MATCH($A$1,[2]characters!$1:$1,0)+1,FALSE)</f>
        <v>滅弾 アレス</v>
      </c>
      <c r="E264" s="66">
        <v>102</v>
      </c>
      <c r="F264" s="3" t="str">
        <f ca="1">VLOOKUP($E264,OFFSET([2]characters!$A$1,0,0,COUNTA([2]characters!$A:$A),MATCH(F$1,[2]characters!$1:$1,0)-MATCH($A$1,[2]characters!$1:$1,0)+1),MATCH(F$1,[2]characters!$1:$1,0)-MATCH($A$1,[2]characters!$1:$1,0)+1,FALSE)</f>
        <v>レッドラビット</v>
      </c>
      <c r="G264" s="66">
        <v>1</v>
      </c>
      <c r="H264" s="66">
        <v>1</v>
      </c>
      <c r="I264" s="66">
        <v>1</v>
      </c>
    </row>
    <row r="265" spans="1:9" x14ac:dyDescent="0.15">
      <c r="A265" s="66">
        <v>226</v>
      </c>
      <c r="B265" s="3" t="str">
        <f ca="1">VLOOKUP($A265,OFFSET([2]characters!$A$1,0,0,COUNTA([2]characters!$A:$A),MATCH(B$1,[2]characters!$1:$1,0)-MATCH($A$1,[2]characters!$1:$1,0)+1),MATCH(B$1,[2]characters!$1:$1,0)-MATCH($A$1,[2]characters!$1:$1,0)+1,FALSE)</f>
        <v>アレス</v>
      </c>
      <c r="C265" s="93">
        <f ca="1">VLOOKUP($A265,OFFSET(fork_awake_units!$A$1,0,0,COUNTA(fork_awake_units!$A:$A),MATCH(C$1,fork_awake_units!$1:$1,0)-MATCH($A$1,fork_awake_units!$1:$1,0)+1),MATCH(C$1,fork_awake_units!$1:$1,0)-MATCH($A$1,fork_awake_units!$1:$1,0)+1,FALSE)</f>
        <v>227</v>
      </c>
      <c r="D265" s="3" t="str">
        <f ca="1">VLOOKUP($C265,OFFSET([2]characters!$A$1,0,0,COUNTA([2]characters!$A:$A),MATCH(D$1,[2]characters!$1:$1,0)-MATCH($A$1,[2]characters!$1:$1,0)+1),MATCH(D$1,[2]characters!$1:$1,0)-MATCH($A$1,[2]characters!$1:$1,0)+1,FALSE)</f>
        <v>滅弾 アレス</v>
      </c>
      <c r="E265" s="66">
        <v>103</v>
      </c>
      <c r="F265" s="3" t="str">
        <f ca="1">VLOOKUP($E265,OFFSET([2]characters!$A$1,0,0,COUNTA([2]characters!$A:$A),MATCH(F$1,[2]characters!$1:$1,0)-MATCH($A$1,[2]characters!$1:$1,0)+1),MATCH(F$1,[2]characters!$1:$1,0)-MATCH($A$1,[2]characters!$1:$1,0)+1,FALSE)</f>
        <v>レッドキャタップ</v>
      </c>
      <c r="G265" s="66">
        <v>3</v>
      </c>
      <c r="H265" s="66">
        <v>1</v>
      </c>
      <c r="I265" s="66">
        <v>1</v>
      </c>
    </row>
    <row r="266" spans="1:9" x14ac:dyDescent="0.15">
      <c r="A266" s="66">
        <v>227</v>
      </c>
      <c r="B266" s="3" t="str">
        <f ca="1">VLOOKUP($A266,OFFSET([2]characters!$A$1,0,0,COUNTA([2]characters!$A:$A),MATCH(B$1,[2]characters!$1:$1,0)-MATCH($A$1,[2]characters!$1:$1,0)+1),MATCH(B$1,[2]characters!$1:$1,0)-MATCH($A$1,[2]characters!$1:$1,0)+1,FALSE)</f>
        <v>滅弾 アレス</v>
      </c>
      <c r="C266" s="93">
        <f ca="1">VLOOKUP($A266,OFFSET(fork_awake_units!$A$1,0,0,COUNTA(fork_awake_units!$A:$A),MATCH(C$1,fork_awake_units!$1:$1,0)-MATCH($A$1,fork_awake_units!$1:$1,0)+1),MATCH(C$1,fork_awake_units!$1:$1,0)-MATCH($A$1,fork_awake_units!$1:$1,0)+1,FALSE)</f>
        <v>228</v>
      </c>
      <c r="D266" s="3" t="str">
        <f ca="1">VLOOKUP($C266,OFFSET([2]characters!$A$1,0,0,COUNTA([2]characters!$A:$A),MATCH(D$1,[2]characters!$1:$1,0)-MATCH($A$1,[2]characters!$1:$1,0)+1),MATCH(D$1,[2]characters!$1:$1,0)-MATCH($A$1,[2]characters!$1:$1,0)+1,FALSE)</f>
        <v>殲滅の掃射砲 アレス</v>
      </c>
      <c r="E266" s="66">
        <v>102</v>
      </c>
      <c r="F266" s="3" t="str">
        <f ca="1">VLOOKUP($E266,OFFSET([2]characters!$A$1,0,0,COUNTA([2]characters!$A:$A),MATCH(F$1,[2]characters!$1:$1,0)-MATCH($A$1,[2]characters!$1:$1,0)+1),MATCH(F$1,[2]characters!$1:$1,0)-MATCH($A$1,[2]characters!$1:$1,0)+1,FALSE)</f>
        <v>レッドラビット</v>
      </c>
      <c r="G266" s="66">
        <v>1</v>
      </c>
      <c r="H266" s="66">
        <v>1</v>
      </c>
      <c r="I266" s="66">
        <v>1</v>
      </c>
    </row>
    <row r="267" spans="1:9" x14ac:dyDescent="0.15">
      <c r="A267" s="66">
        <v>227</v>
      </c>
      <c r="B267" s="3" t="str">
        <f ca="1">VLOOKUP($A267,OFFSET([2]characters!$A$1,0,0,COUNTA([2]characters!$A:$A),MATCH(B$1,[2]characters!$1:$1,0)-MATCH($A$1,[2]characters!$1:$1,0)+1),MATCH(B$1,[2]characters!$1:$1,0)-MATCH($A$1,[2]characters!$1:$1,0)+1,FALSE)</f>
        <v>滅弾 アレス</v>
      </c>
      <c r="C267" s="93">
        <f ca="1">VLOOKUP($A267,OFFSET(fork_awake_units!$A$1,0,0,COUNTA(fork_awake_units!$A:$A),MATCH(C$1,fork_awake_units!$1:$1,0)-MATCH($A$1,fork_awake_units!$1:$1,0)+1),MATCH(C$1,fork_awake_units!$1:$1,0)-MATCH($A$1,fork_awake_units!$1:$1,0)+1,FALSE)</f>
        <v>228</v>
      </c>
      <c r="D267" s="3" t="str">
        <f ca="1">VLOOKUP($C267,OFFSET([2]characters!$A$1,0,0,COUNTA([2]characters!$A:$A),MATCH(D$1,[2]characters!$1:$1,0)-MATCH($A$1,[2]characters!$1:$1,0)+1),MATCH(D$1,[2]characters!$1:$1,0)-MATCH($A$1,[2]characters!$1:$1,0)+1,FALSE)</f>
        <v>殲滅の掃射砲 アレス</v>
      </c>
      <c r="E267" s="66">
        <v>103</v>
      </c>
      <c r="F267" s="3" t="str">
        <f ca="1">VLOOKUP($E267,OFFSET([2]characters!$A$1,0,0,COUNTA([2]characters!$A:$A),MATCH(F$1,[2]characters!$1:$1,0)-MATCH($A$1,[2]characters!$1:$1,0)+1),MATCH(F$1,[2]characters!$1:$1,0)-MATCH($A$1,[2]characters!$1:$1,0)+1,FALSE)</f>
        <v>レッドキャタップ</v>
      </c>
      <c r="G267" s="66">
        <v>2</v>
      </c>
      <c r="H267" s="66">
        <v>1</v>
      </c>
      <c r="I267" s="66">
        <v>1</v>
      </c>
    </row>
    <row r="268" spans="1:9" x14ac:dyDescent="0.15">
      <c r="A268" s="66">
        <v>227</v>
      </c>
      <c r="B268" s="3" t="str">
        <f ca="1">VLOOKUP($A268,OFFSET([2]characters!$A$1,0,0,COUNTA([2]characters!$A:$A),MATCH(B$1,[2]characters!$1:$1,0)-MATCH($A$1,[2]characters!$1:$1,0)+1),MATCH(B$1,[2]characters!$1:$1,0)-MATCH($A$1,[2]characters!$1:$1,0)+1,FALSE)</f>
        <v>滅弾 アレス</v>
      </c>
      <c r="C268" s="93">
        <f ca="1">VLOOKUP($A268,OFFSET(fork_awake_units!$A$1,0,0,COUNTA(fork_awake_units!$A:$A),MATCH(C$1,fork_awake_units!$1:$1,0)-MATCH($A$1,fork_awake_units!$1:$1,0)+1),MATCH(C$1,fork_awake_units!$1:$1,0)-MATCH($A$1,fork_awake_units!$1:$1,0)+1,FALSE)</f>
        <v>228</v>
      </c>
      <c r="D268" s="3" t="str">
        <f ca="1">VLOOKUP($C268,OFFSET([2]characters!$A$1,0,0,COUNTA([2]characters!$A:$A),MATCH(D$1,[2]characters!$1:$1,0)-MATCH($A$1,[2]characters!$1:$1,0)+1),MATCH(D$1,[2]characters!$1:$1,0)-MATCH($A$1,[2]characters!$1:$1,0)+1,FALSE)</f>
        <v>殲滅の掃射砲 アレス</v>
      </c>
      <c r="E268" s="66">
        <v>104</v>
      </c>
      <c r="F268" s="3" t="str">
        <f ca="1">VLOOKUP($E268,OFFSET([2]characters!$A$1,0,0,COUNTA([2]characters!$A:$A),MATCH(F$1,[2]characters!$1:$1,0)-MATCH($A$1,[2]characters!$1:$1,0)+1),MATCH(F$1,[2]characters!$1:$1,0)-MATCH($A$1,[2]characters!$1:$1,0)+1,FALSE)</f>
        <v>炎のマッドハッター</v>
      </c>
      <c r="G268" s="66">
        <v>2</v>
      </c>
      <c r="H268" s="66">
        <v>1</v>
      </c>
      <c r="I268" s="66">
        <v>1</v>
      </c>
    </row>
    <row r="269" spans="1:9" x14ac:dyDescent="0.15">
      <c r="A269" s="66">
        <v>229</v>
      </c>
      <c r="B269" s="3" t="str">
        <f ca="1">VLOOKUP($A269,OFFSET([2]characters!$A$1,0,0,COUNTA([2]characters!$A:$A),MATCH(B$1,[2]characters!$1:$1,0)-MATCH($A$1,[2]characters!$1:$1,0)+1),MATCH(B$1,[2]characters!$1:$1,0)-MATCH($A$1,[2]characters!$1:$1,0)+1,FALSE)</f>
        <v>ヨルムンガンド</v>
      </c>
      <c r="C269" s="93">
        <f ca="1">VLOOKUP($A269,OFFSET(fork_awake_units!$A$1,0,0,COUNTA(fork_awake_units!$A:$A),MATCH(C$1,fork_awake_units!$1:$1,0)-MATCH($A$1,fork_awake_units!$1:$1,0)+1),MATCH(C$1,fork_awake_units!$1:$1,0)-MATCH($A$1,fork_awake_units!$1:$1,0)+1,FALSE)</f>
        <v>230</v>
      </c>
      <c r="D269" s="3" t="str">
        <f ca="1">VLOOKUP($C269,OFFSET([2]characters!$A$1,0,0,COUNTA([2]characters!$A:$A),MATCH(D$1,[2]characters!$1:$1,0)-MATCH($A$1,[2]characters!$1:$1,0)+1),MATCH(D$1,[2]characters!$1:$1,0)-MATCH($A$1,[2]characters!$1:$1,0)+1,FALSE)</f>
        <v>毒銃 ヨルムンガンド</v>
      </c>
      <c r="E269" s="66">
        <v>106</v>
      </c>
      <c r="F269" s="3" t="str">
        <f ca="1">VLOOKUP($E269,OFFSET([2]characters!$A$1,0,0,COUNTA([2]characters!$A:$A),MATCH(F$1,[2]characters!$1:$1,0)-MATCH($A$1,[2]characters!$1:$1,0)+1),MATCH(F$1,[2]characters!$1:$1,0)-MATCH($A$1,[2]characters!$1:$1,0)+1,FALSE)</f>
        <v>グリーンラビット</v>
      </c>
      <c r="G269" s="66">
        <v>1</v>
      </c>
      <c r="H269" s="66">
        <v>1</v>
      </c>
      <c r="I269" s="66">
        <v>1</v>
      </c>
    </row>
    <row r="270" spans="1:9" x14ac:dyDescent="0.15">
      <c r="A270" s="66">
        <v>229</v>
      </c>
      <c r="B270" s="3" t="str">
        <f ca="1">VLOOKUP($A270,OFFSET([2]characters!$A$1,0,0,COUNTA([2]characters!$A:$A),MATCH(B$1,[2]characters!$1:$1,0)-MATCH($A$1,[2]characters!$1:$1,0)+1),MATCH(B$1,[2]characters!$1:$1,0)-MATCH($A$1,[2]characters!$1:$1,0)+1,FALSE)</f>
        <v>ヨルムンガンド</v>
      </c>
      <c r="C270" s="93">
        <f ca="1">VLOOKUP($A270,OFFSET(fork_awake_units!$A$1,0,0,COUNTA(fork_awake_units!$A:$A),MATCH(C$1,fork_awake_units!$1:$1,0)-MATCH($A$1,fork_awake_units!$1:$1,0)+1),MATCH(C$1,fork_awake_units!$1:$1,0)-MATCH($A$1,fork_awake_units!$1:$1,0)+1,FALSE)</f>
        <v>230</v>
      </c>
      <c r="D270" s="3" t="str">
        <f ca="1">VLOOKUP($C270,OFFSET([2]characters!$A$1,0,0,COUNTA([2]characters!$A:$A),MATCH(D$1,[2]characters!$1:$1,0)-MATCH($A$1,[2]characters!$1:$1,0)+1),MATCH(D$1,[2]characters!$1:$1,0)-MATCH($A$1,[2]characters!$1:$1,0)+1,FALSE)</f>
        <v>毒銃 ヨルムンガンド</v>
      </c>
      <c r="E270" s="66">
        <v>107</v>
      </c>
      <c r="F270" s="3" t="str">
        <f ca="1">VLOOKUP($E270,OFFSET([2]characters!$A$1,0,0,COUNTA([2]characters!$A:$A),MATCH(F$1,[2]characters!$1:$1,0)-MATCH($A$1,[2]characters!$1:$1,0)+1),MATCH(F$1,[2]characters!$1:$1,0)-MATCH($A$1,[2]characters!$1:$1,0)+1,FALSE)</f>
        <v>グリーンキャタップ</v>
      </c>
      <c r="G270" s="66">
        <v>3</v>
      </c>
      <c r="H270" s="66">
        <v>1</v>
      </c>
      <c r="I270" s="66">
        <v>1</v>
      </c>
    </row>
    <row r="271" spans="1:9" x14ac:dyDescent="0.15">
      <c r="A271" s="66">
        <v>230</v>
      </c>
      <c r="B271" s="3" t="str">
        <f ca="1">VLOOKUP($A271,OFFSET([2]characters!$A$1,0,0,COUNTA([2]characters!$A:$A),MATCH(B$1,[2]characters!$1:$1,0)-MATCH($A$1,[2]characters!$1:$1,0)+1),MATCH(B$1,[2]characters!$1:$1,0)-MATCH($A$1,[2]characters!$1:$1,0)+1,FALSE)</f>
        <v>毒銃 ヨルムンガンド</v>
      </c>
      <c r="C271" s="93">
        <f ca="1">VLOOKUP($A271,OFFSET(fork_awake_units!$A$1,0,0,COUNTA(fork_awake_units!$A:$A),MATCH(C$1,fork_awake_units!$1:$1,0)-MATCH($A$1,fork_awake_units!$1:$1,0)+1),MATCH(C$1,fork_awake_units!$1:$1,0)-MATCH($A$1,fork_awake_units!$1:$1,0)+1,FALSE)</f>
        <v>231</v>
      </c>
      <c r="D271" s="3" t="str">
        <f ca="1">VLOOKUP($C271,OFFSET([2]characters!$A$1,0,0,COUNTA([2]characters!$A:$A),MATCH(D$1,[2]characters!$1:$1,0)-MATCH($A$1,[2]characters!$1:$1,0)+1),MATCH(D$1,[2]characters!$1:$1,0)-MATCH($A$1,[2]characters!$1:$1,0)+1,FALSE)</f>
        <v>必中の咬銃 ヨルムンガンド</v>
      </c>
      <c r="E271" s="66">
        <v>106</v>
      </c>
      <c r="F271" s="3" t="str">
        <f ca="1">VLOOKUP($E271,OFFSET([2]characters!$A$1,0,0,COUNTA([2]characters!$A:$A),MATCH(F$1,[2]characters!$1:$1,0)-MATCH($A$1,[2]characters!$1:$1,0)+1),MATCH(F$1,[2]characters!$1:$1,0)-MATCH($A$1,[2]characters!$1:$1,0)+1,FALSE)</f>
        <v>グリーンラビット</v>
      </c>
      <c r="G271" s="66">
        <v>1</v>
      </c>
      <c r="H271" s="66">
        <v>1</v>
      </c>
      <c r="I271" s="66">
        <v>1</v>
      </c>
    </row>
    <row r="272" spans="1:9" x14ac:dyDescent="0.15">
      <c r="A272" s="66">
        <v>230</v>
      </c>
      <c r="B272" s="3" t="str">
        <f ca="1">VLOOKUP($A272,OFFSET([2]characters!$A$1,0,0,COUNTA([2]characters!$A:$A),MATCH(B$1,[2]characters!$1:$1,0)-MATCH($A$1,[2]characters!$1:$1,0)+1),MATCH(B$1,[2]characters!$1:$1,0)-MATCH($A$1,[2]characters!$1:$1,0)+1,FALSE)</f>
        <v>毒銃 ヨルムンガンド</v>
      </c>
      <c r="C272" s="93">
        <f ca="1">VLOOKUP($A272,OFFSET(fork_awake_units!$A$1,0,0,COUNTA(fork_awake_units!$A:$A),MATCH(C$1,fork_awake_units!$1:$1,0)-MATCH($A$1,fork_awake_units!$1:$1,0)+1),MATCH(C$1,fork_awake_units!$1:$1,0)-MATCH($A$1,fork_awake_units!$1:$1,0)+1,FALSE)</f>
        <v>231</v>
      </c>
      <c r="D272" s="3" t="str">
        <f ca="1">VLOOKUP($C272,OFFSET([2]characters!$A$1,0,0,COUNTA([2]characters!$A:$A),MATCH(D$1,[2]characters!$1:$1,0)-MATCH($A$1,[2]characters!$1:$1,0)+1),MATCH(D$1,[2]characters!$1:$1,0)-MATCH($A$1,[2]characters!$1:$1,0)+1,FALSE)</f>
        <v>必中の咬銃 ヨルムンガンド</v>
      </c>
      <c r="E272" s="66">
        <v>107</v>
      </c>
      <c r="F272" s="3" t="str">
        <f ca="1">VLOOKUP($E272,OFFSET([2]characters!$A$1,0,0,COUNTA([2]characters!$A:$A),MATCH(F$1,[2]characters!$1:$1,0)-MATCH($A$1,[2]characters!$1:$1,0)+1),MATCH(F$1,[2]characters!$1:$1,0)-MATCH($A$1,[2]characters!$1:$1,0)+1,FALSE)</f>
        <v>グリーンキャタップ</v>
      </c>
      <c r="G272" s="66">
        <v>2</v>
      </c>
      <c r="H272" s="66">
        <v>1</v>
      </c>
      <c r="I272" s="66">
        <v>1</v>
      </c>
    </row>
    <row r="273" spans="1:9" x14ac:dyDescent="0.15">
      <c r="A273" s="66">
        <v>230</v>
      </c>
      <c r="B273" s="3" t="str">
        <f ca="1">VLOOKUP($A273,OFFSET([2]characters!$A$1,0,0,COUNTA([2]characters!$A:$A),MATCH(B$1,[2]characters!$1:$1,0)-MATCH($A$1,[2]characters!$1:$1,0)+1),MATCH(B$1,[2]characters!$1:$1,0)-MATCH($A$1,[2]characters!$1:$1,0)+1,FALSE)</f>
        <v>毒銃 ヨルムンガンド</v>
      </c>
      <c r="C273" s="93">
        <f ca="1">VLOOKUP($A273,OFFSET(fork_awake_units!$A$1,0,0,COUNTA(fork_awake_units!$A:$A),MATCH(C$1,fork_awake_units!$1:$1,0)-MATCH($A$1,fork_awake_units!$1:$1,0)+1),MATCH(C$1,fork_awake_units!$1:$1,0)-MATCH($A$1,fork_awake_units!$1:$1,0)+1,FALSE)</f>
        <v>231</v>
      </c>
      <c r="D273" s="3" t="str">
        <f ca="1">VLOOKUP($C273,OFFSET([2]characters!$A$1,0,0,COUNTA([2]characters!$A:$A),MATCH(D$1,[2]characters!$1:$1,0)-MATCH($A$1,[2]characters!$1:$1,0)+1),MATCH(D$1,[2]characters!$1:$1,0)-MATCH($A$1,[2]characters!$1:$1,0)+1,FALSE)</f>
        <v>必中の咬銃 ヨルムンガンド</v>
      </c>
      <c r="E273" s="66">
        <v>108</v>
      </c>
      <c r="F273" s="3" t="str">
        <f ca="1">VLOOKUP($E273,OFFSET([2]characters!$A$1,0,0,COUNTA([2]characters!$A:$A),MATCH(F$1,[2]characters!$1:$1,0)-MATCH($A$1,[2]characters!$1:$1,0)+1),MATCH(F$1,[2]characters!$1:$1,0)-MATCH($A$1,[2]characters!$1:$1,0)+1,FALSE)</f>
        <v>森のマッドハッター</v>
      </c>
      <c r="G273" s="66">
        <v>2</v>
      </c>
      <c r="H273" s="66">
        <v>1</v>
      </c>
      <c r="I273" s="66">
        <v>1</v>
      </c>
    </row>
    <row r="274" spans="1:9" x14ac:dyDescent="0.15">
      <c r="A274" s="66">
        <v>232</v>
      </c>
      <c r="B274" s="3" t="str">
        <f ca="1">VLOOKUP($A274,OFFSET([2]characters!$A$1,0,0,COUNTA([2]characters!$A:$A),MATCH(B$1,[2]characters!$1:$1,0)-MATCH($A$1,[2]characters!$1:$1,0)+1),MATCH(B$1,[2]characters!$1:$1,0)-MATCH($A$1,[2]characters!$1:$1,0)+1,FALSE)</f>
        <v>パーシヴァル</v>
      </c>
      <c r="C274" s="93">
        <f ca="1">VLOOKUP($A274,OFFSET(fork_awake_units!$A$1,0,0,COUNTA(fork_awake_units!$A:$A),MATCH(C$1,fork_awake_units!$1:$1,0)-MATCH($A$1,fork_awake_units!$1:$1,0)+1),MATCH(C$1,fork_awake_units!$1:$1,0)-MATCH($A$1,fork_awake_units!$1:$1,0)+1,FALSE)</f>
        <v>233</v>
      </c>
      <c r="D274" s="3" t="str">
        <f ca="1">VLOOKUP($C274,OFFSET([2]characters!$A$1,0,0,COUNTA([2]characters!$A:$A),MATCH(D$1,[2]characters!$1:$1,0)-MATCH($A$1,[2]characters!$1:$1,0)+1),MATCH(D$1,[2]characters!$1:$1,0)-MATCH($A$1,[2]characters!$1:$1,0)+1,FALSE)</f>
        <v>遂行 パーシヴァル</v>
      </c>
      <c r="E274" s="66">
        <v>110</v>
      </c>
      <c r="F274" s="3" t="str">
        <f ca="1">VLOOKUP($E274,OFFSET([2]characters!$A$1,0,0,COUNTA([2]characters!$A:$A),MATCH(F$1,[2]characters!$1:$1,0)-MATCH($A$1,[2]characters!$1:$1,0)+1),MATCH(F$1,[2]characters!$1:$1,0)-MATCH($A$1,[2]characters!$1:$1,0)+1,FALSE)</f>
        <v>ブルーラビット</v>
      </c>
      <c r="G274" s="66">
        <v>1</v>
      </c>
      <c r="H274" s="66">
        <v>1</v>
      </c>
      <c r="I274" s="66">
        <v>1</v>
      </c>
    </row>
    <row r="275" spans="1:9" x14ac:dyDescent="0.15">
      <c r="A275" s="66">
        <v>232</v>
      </c>
      <c r="B275" s="3" t="str">
        <f ca="1">VLOOKUP($A275,OFFSET([2]characters!$A$1,0,0,COUNTA([2]characters!$A:$A),MATCH(B$1,[2]characters!$1:$1,0)-MATCH($A$1,[2]characters!$1:$1,0)+1),MATCH(B$1,[2]characters!$1:$1,0)-MATCH($A$1,[2]characters!$1:$1,0)+1,FALSE)</f>
        <v>パーシヴァル</v>
      </c>
      <c r="C275" s="93">
        <f ca="1">VLOOKUP($A275,OFFSET(fork_awake_units!$A$1,0,0,COUNTA(fork_awake_units!$A:$A),MATCH(C$1,fork_awake_units!$1:$1,0)-MATCH($A$1,fork_awake_units!$1:$1,0)+1),MATCH(C$1,fork_awake_units!$1:$1,0)-MATCH($A$1,fork_awake_units!$1:$1,0)+1,FALSE)</f>
        <v>233</v>
      </c>
      <c r="D275" s="3" t="str">
        <f ca="1">VLOOKUP($C275,OFFSET([2]characters!$A$1,0,0,COUNTA([2]characters!$A:$A),MATCH(D$1,[2]characters!$1:$1,0)-MATCH($A$1,[2]characters!$1:$1,0)+1),MATCH(D$1,[2]characters!$1:$1,0)-MATCH($A$1,[2]characters!$1:$1,0)+1,FALSE)</f>
        <v>遂行 パーシヴァル</v>
      </c>
      <c r="E275" s="66">
        <v>111</v>
      </c>
      <c r="F275" s="3" t="str">
        <f ca="1">VLOOKUP($E275,OFFSET([2]characters!$A$1,0,0,COUNTA([2]characters!$A:$A),MATCH(F$1,[2]characters!$1:$1,0)-MATCH($A$1,[2]characters!$1:$1,0)+1),MATCH(F$1,[2]characters!$1:$1,0)-MATCH($A$1,[2]characters!$1:$1,0)+1,FALSE)</f>
        <v>ブルーキャタップ</v>
      </c>
      <c r="G275" s="66">
        <v>3</v>
      </c>
      <c r="H275" s="66">
        <v>1</v>
      </c>
      <c r="I275" s="66">
        <v>1</v>
      </c>
    </row>
    <row r="276" spans="1:9" x14ac:dyDescent="0.15">
      <c r="A276" s="66">
        <v>233</v>
      </c>
      <c r="B276" s="3" t="str">
        <f ca="1">VLOOKUP($A276,OFFSET([2]characters!$A$1,0,0,COUNTA([2]characters!$A:$A),MATCH(B$1,[2]characters!$1:$1,0)-MATCH($A$1,[2]characters!$1:$1,0)+1),MATCH(B$1,[2]characters!$1:$1,0)-MATCH($A$1,[2]characters!$1:$1,0)+1,FALSE)</f>
        <v>遂行 パーシヴァル</v>
      </c>
      <c r="C276" s="93">
        <f ca="1">VLOOKUP($A276,OFFSET(fork_awake_units!$A$1,0,0,COUNTA(fork_awake_units!$A:$A),MATCH(C$1,fork_awake_units!$1:$1,0)-MATCH($A$1,fork_awake_units!$1:$1,0)+1),MATCH(C$1,fork_awake_units!$1:$1,0)-MATCH($A$1,fork_awake_units!$1:$1,0)+1,FALSE)</f>
        <v>234</v>
      </c>
      <c r="D276" s="3" t="str">
        <f ca="1">VLOOKUP($C276,OFFSET([2]characters!$A$1,0,0,COUNTA([2]characters!$A:$A),MATCH(D$1,[2]characters!$1:$1,0)-MATCH($A$1,[2]characters!$1:$1,0)+1),MATCH(D$1,[2]characters!$1:$1,0)-MATCH($A$1,[2]characters!$1:$1,0)+1,FALSE)</f>
        <v>精密なる照準 パーシヴァル</v>
      </c>
      <c r="E276" s="66">
        <v>110</v>
      </c>
      <c r="F276" s="3" t="str">
        <f ca="1">VLOOKUP($E276,OFFSET([2]characters!$A$1,0,0,COUNTA([2]characters!$A:$A),MATCH(F$1,[2]characters!$1:$1,0)-MATCH($A$1,[2]characters!$1:$1,0)+1),MATCH(F$1,[2]characters!$1:$1,0)-MATCH($A$1,[2]characters!$1:$1,0)+1,FALSE)</f>
        <v>ブルーラビット</v>
      </c>
      <c r="G276" s="66">
        <v>1</v>
      </c>
      <c r="H276" s="66">
        <v>1</v>
      </c>
      <c r="I276" s="66">
        <v>1</v>
      </c>
    </row>
    <row r="277" spans="1:9" x14ac:dyDescent="0.15">
      <c r="A277" s="66">
        <v>233</v>
      </c>
      <c r="B277" s="3" t="str">
        <f ca="1">VLOOKUP($A277,OFFSET([2]characters!$A$1,0,0,COUNTA([2]characters!$A:$A),MATCH(B$1,[2]characters!$1:$1,0)-MATCH($A$1,[2]characters!$1:$1,0)+1),MATCH(B$1,[2]characters!$1:$1,0)-MATCH($A$1,[2]characters!$1:$1,0)+1,FALSE)</f>
        <v>遂行 パーシヴァル</v>
      </c>
      <c r="C277" s="93">
        <f ca="1">VLOOKUP($A277,OFFSET(fork_awake_units!$A$1,0,0,COUNTA(fork_awake_units!$A:$A),MATCH(C$1,fork_awake_units!$1:$1,0)-MATCH($A$1,fork_awake_units!$1:$1,0)+1),MATCH(C$1,fork_awake_units!$1:$1,0)-MATCH($A$1,fork_awake_units!$1:$1,0)+1,FALSE)</f>
        <v>234</v>
      </c>
      <c r="D277" s="3" t="str">
        <f ca="1">VLOOKUP($C277,OFFSET([2]characters!$A$1,0,0,COUNTA([2]characters!$A:$A),MATCH(D$1,[2]characters!$1:$1,0)-MATCH($A$1,[2]characters!$1:$1,0)+1),MATCH(D$1,[2]characters!$1:$1,0)-MATCH($A$1,[2]characters!$1:$1,0)+1,FALSE)</f>
        <v>精密なる照準 パーシヴァル</v>
      </c>
      <c r="E277" s="66">
        <v>111</v>
      </c>
      <c r="F277" s="3" t="str">
        <f ca="1">VLOOKUP($E277,OFFSET([2]characters!$A$1,0,0,COUNTA([2]characters!$A:$A),MATCH(F$1,[2]characters!$1:$1,0)-MATCH($A$1,[2]characters!$1:$1,0)+1),MATCH(F$1,[2]characters!$1:$1,0)-MATCH($A$1,[2]characters!$1:$1,0)+1,FALSE)</f>
        <v>ブルーキャタップ</v>
      </c>
      <c r="G277" s="66">
        <v>2</v>
      </c>
      <c r="H277" s="66">
        <v>1</v>
      </c>
      <c r="I277" s="66">
        <v>1</v>
      </c>
    </row>
    <row r="278" spans="1:9" x14ac:dyDescent="0.15">
      <c r="A278" s="66">
        <v>233</v>
      </c>
      <c r="B278" s="3" t="str">
        <f ca="1">VLOOKUP($A278,OFFSET([2]characters!$A$1,0,0,COUNTA([2]characters!$A:$A),MATCH(B$1,[2]characters!$1:$1,0)-MATCH($A$1,[2]characters!$1:$1,0)+1),MATCH(B$1,[2]characters!$1:$1,0)-MATCH($A$1,[2]characters!$1:$1,0)+1,FALSE)</f>
        <v>遂行 パーシヴァル</v>
      </c>
      <c r="C278" s="93">
        <f ca="1">VLOOKUP($A278,OFFSET(fork_awake_units!$A$1,0,0,COUNTA(fork_awake_units!$A:$A),MATCH(C$1,fork_awake_units!$1:$1,0)-MATCH($A$1,fork_awake_units!$1:$1,0)+1),MATCH(C$1,fork_awake_units!$1:$1,0)-MATCH($A$1,fork_awake_units!$1:$1,0)+1,FALSE)</f>
        <v>234</v>
      </c>
      <c r="D278" s="3" t="str">
        <f ca="1">VLOOKUP($C278,OFFSET([2]characters!$A$1,0,0,COUNTA([2]characters!$A:$A),MATCH(D$1,[2]characters!$1:$1,0)-MATCH($A$1,[2]characters!$1:$1,0)+1),MATCH(D$1,[2]characters!$1:$1,0)-MATCH($A$1,[2]characters!$1:$1,0)+1,FALSE)</f>
        <v>精密なる照準 パーシヴァル</v>
      </c>
      <c r="E278" s="66">
        <v>112</v>
      </c>
      <c r="F278" s="3" t="str">
        <f ca="1">VLOOKUP($E278,OFFSET([2]characters!$A$1,0,0,COUNTA([2]characters!$A:$A),MATCH(F$1,[2]characters!$1:$1,0)-MATCH($A$1,[2]characters!$1:$1,0)+1),MATCH(F$1,[2]characters!$1:$1,0)-MATCH($A$1,[2]characters!$1:$1,0)+1,FALSE)</f>
        <v>水のマッドハッター</v>
      </c>
      <c r="G278" s="66">
        <v>2</v>
      </c>
      <c r="H278" s="66">
        <v>1</v>
      </c>
      <c r="I278" s="66">
        <v>1</v>
      </c>
    </row>
    <row r="279" spans="1:9" x14ac:dyDescent="0.15">
      <c r="A279" s="66">
        <v>235</v>
      </c>
      <c r="B279" s="3" t="str">
        <f ca="1">VLOOKUP($A279,OFFSET([2]characters!$A$1,0,0,COUNTA([2]characters!$A:$A),MATCH(B$1,[2]characters!$1:$1,0)-MATCH($A$1,[2]characters!$1:$1,0)+1),MATCH(B$1,[2]characters!$1:$1,0)-MATCH($A$1,[2]characters!$1:$1,0)+1,FALSE)</f>
        <v>イザナミ</v>
      </c>
      <c r="C279" s="93">
        <f ca="1">VLOOKUP($A279,OFFSET(fork_awake_units!$A$1,0,0,COUNTA(fork_awake_units!$A:$A),MATCH(C$1,fork_awake_units!$1:$1,0)-MATCH($A$1,fork_awake_units!$1:$1,0)+1),MATCH(C$1,fork_awake_units!$1:$1,0)-MATCH($A$1,fork_awake_units!$1:$1,0)+1,FALSE)</f>
        <v>236</v>
      </c>
      <c r="D279" s="3" t="str">
        <f ca="1">VLOOKUP($C279,OFFSET([2]characters!$A$1,0,0,COUNTA([2]characters!$A:$A),MATCH(D$1,[2]characters!$1:$1,0)-MATCH($A$1,[2]characters!$1:$1,0)+1),MATCH(D$1,[2]characters!$1:$1,0)-MATCH($A$1,[2]characters!$1:$1,0)+1,FALSE)</f>
        <v>神産 イザナミ</v>
      </c>
      <c r="E279" s="66">
        <v>114</v>
      </c>
      <c r="F279" s="3" t="str">
        <f ca="1">VLOOKUP($E279,OFFSET([2]characters!$A$1,0,0,COUNTA([2]characters!$A:$A),MATCH(F$1,[2]characters!$1:$1,0)-MATCH($A$1,[2]characters!$1:$1,0)+1),MATCH(F$1,[2]characters!$1:$1,0)-MATCH($A$1,[2]characters!$1:$1,0)+1,FALSE)</f>
        <v>イエローラビット</v>
      </c>
      <c r="G279" s="66">
        <v>1</v>
      </c>
      <c r="H279" s="66">
        <v>1</v>
      </c>
      <c r="I279" s="66">
        <v>1</v>
      </c>
    </row>
    <row r="280" spans="1:9" x14ac:dyDescent="0.15">
      <c r="A280" s="66">
        <v>235</v>
      </c>
      <c r="B280" s="3" t="str">
        <f ca="1">VLOOKUP($A280,OFFSET([2]characters!$A$1,0,0,COUNTA([2]characters!$A:$A),MATCH(B$1,[2]characters!$1:$1,0)-MATCH($A$1,[2]characters!$1:$1,0)+1),MATCH(B$1,[2]characters!$1:$1,0)-MATCH($A$1,[2]characters!$1:$1,0)+1,FALSE)</f>
        <v>イザナミ</v>
      </c>
      <c r="C280" s="93">
        <f ca="1">VLOOKUP($A280,OFFSET(fork_awake_units!$A$1,0,0,COUNTA(fork_awake_units!$A:$A),MATCH(C$1,fork_awake_units!$1:$1,0)-MATCH($A$1,fork_awake_units!$1:$1,0)+1),MATCH(C$1,fork_awake_units!$1:$1,0)-MATCH($A$1,fork_awake_units!$1:$1,0)+1,FALSE)</f>
        <v>236</v>
      </c>
      <c r="D280" s="3" t="str">
        <f ca="1">VLOOKUP($C280,OFFSET([2]characters!$A$1,0,0,COUNTA([2]characters!$A:$A),MATCH(D$1,[2]characters!$1:$1,0)-MATCH($A$1,[2]characters!$1:$1,0)+1),MATCH(D$1,[2]characters!$1:$1,0)-MATCH($A$1,[2]characters!$1:$1,0)+1,FALSE)</f>
        <v>神産 イザナミ</v>
      </c>
      <c r="E280" s="66">
        <v>115</v>
      </c>
      <c r="F280" s="3" t="str">
        <f ca="1">VLOOKUP($E280,OFFSET([2]characters!$A$1,0,0,COUNTA([2]characters!$A:$A),MATCH(F$1,[2]characters!$1:$1,0)-MATCH($A$1,[2]characters!$1:$1,0)+1),MATCH(F$1,[2]characters!$1:$1,0)-MATCH($A$1,[2]characters!$1:$1,0)+1,FALSE)</f>
        <v>イエローキャタップ</v>
      </c>
      <c r="G280" s="66">
        <v>3</v>
      </c>
      <c r="H280" s="66">
        <v>1</v>
      </c>
      <c r="I280" s="66">
        <v>1</v>
      </c>
    </row>
    <row r="281" spans="1:9" x14ac:dyDescent="0.15">
      <c r="A281" s="66">
        <v>236</v>
      </c>
      <c r="B281" s="3" t="str">
        <f ca="1">VLOOKUP($A281,OFFSET([2]characters!$A$1,0,0,COUNTA([2]characters!$A:$A),MATCH(B$1,[2]characters!$1:$1,0)-MATCH($A$1,[2]characters!$1:$1,0)+1),MATCH(B$1,[2]characters!$1:$1,0)-MATCH($A$1,[2]characters!$1:$1,0)+1,FALSE)</f>
        <v>神産 イザナミ</v>
      </c>
      <c r="C281" s="93">
        <f ca="1">VLOOKUP($A281,OFFSET(fork_awake_units!$A$1,0,0,COUNTA(fork_awake_units!$A:$A),MATCH(C$1,fork_awake_units!$1:$1,0)-MATCH($A$1,fork_awake_units!$1:$1,0)+1),MATCH(C$1,fork_awake_units!$1:$1,0)-MATCH($A$1,fork_awake_units!$1:$1,0)+1,FALSE)</f>
        <v>237</v>
      </c>
      <c r="D281" s="3" t="str">
        <f ca="1">VLOOKUP($C281,OFFSET([2]characters!$A$1,0,0,COUNTA([2]characters!$A:$A),MATCH(D$1,[2]characters!$1:$1,0)-MATCH($A$1,[2]characters!$1:$1,0)+1),MATCH(D$1,[2]characters!$1:$1,0)-MATCH($A$1,[2]characters!$1:$1,0)+1,FALSE)</f>
        <v>森羅万象の神母 イザナミ</v>
      </c>
      <c r="E281" s="66">
        <v>114</v>
      </c>
      <c r="F281" s="3" t="str">
        <f ca="1">VLOOKUP($E281,OFFSET([2]characters!$A$1,0,0,COUNTA([2]characters!$A:$A),MATCH(F$1,[2]characters!$1:$1,0)-MATCH($A$1,[2]characters!$1:$1,0)+1),MATCH(F$1,[2]characters!$1:$1,0)-MATCH($A$1,[2]characters!$1:$1,0)+1,FALSE)</f>
        <v>イエローラビット</v>
      </c>
      <c r="G281" s="66">
        <v>1</v>
      </c>
      <c r="H281" s="66">
        <v>1</v>
      </c>
      <c r="I281" s="66">
        <v>1</v>
      </c>
    </row>
    <row r="282" spans="1:9" x14ac:dyDescent="0.15">
      <c r="A282" s="66">
        <v>236</v>
      </c>
      <c r="B282" s="3" t="str">
        <f ca="1">VLOOKUP($A282,OFFSET([2]characters!$A$1,0,0,COUNTA([2]characters!$A:$A),MATCH(B$1,[2]characters!$1:$1,0)-MATCH($A$1,[2]characters!$1:$1,0)+1),MATCH(B$1,[2]characters!$1:$1,0)-MATCH($A$1,[2]characters!$1:$1,0)+1,FALSE)</f>
        <v>神産 イザナミ</v>
      </c>
      <c r="C282" s="93">
        <f ca="1">VLOOKUP($A282,OFFSET(fork_awake_units!$A$1,0,0,COUNTA(fork_awake_units!$A:$A),MATCH(C$1,fork_awake_units!$1:$1,0)-MATCH($A$1,fork_awake_units!$1:$1,0)+1),MATCH(C$1,fork_awake_units!$1:$1,0)-MATCH($A$1,fork_awake_units!$1:$1,0)+1,FALSE)</f>
        <v>237</v>
      </c>
      <c r="D282" s="3" t="str">
        <f ca="1">VLOOKUP($C282,OFFSET([2]characters!$A$1,0,0,COUNTA([2]characters!$A:$A),MATCH(D$1,[2]characters!$1:$1,0)-MATCH($A$1,[2]characters!$1:$1,0)+1),MATCH(D$1,[2]characters!$1:$1,0)-MATCH($A$1,[2]characters!$1:$1,0)+1,FALSE)</f>
        <v>森羅万象の神母 イザナミ</v>
      </c>
      <c r="E282" s="66">
        <v>115</v>
      </c>
      <c r="F282" s="3" t="str">
        <f ca="1">VLOOKUP($E282,OFFSET([2]characters!$A$1,0,0,COUNTA([2]characters!$A:$A),MATCH(F$1,[2]characters!$1:$1,0)-MATCH($A$1,[2]characters!$1:$1,0)+1),MATCH(F$1,[2]characters!$1:$1,0)-MATCH($A$1,[2]characters!$1:$1,0)+1,FALSE)</f>
        <v>イエローキャタップ</v>
      </c>
      <c r="G282" s="66">
        <v>2</v>
      </c>
      <c r="H282" s="66">
        <v>1</v>
      </c>
      <c r="I282" s="66">
        <v>1</v>
      </c>
    </row>
    <row r="283" spans="1:9" x14ac:dyDescent="0.15">
      <c r="A283" s="66">
        <v>236</v>
      </c>
      <c r="B283" s="3" t="str">
        <f ca="1">VLOOKUP($A283,OFFSET([2]characters!$A$1,0,0,COUNTA([2]characters!$A:$A),MATCH(B$1,[2]characters!$1:$1,0)-MATCH($A$1,[2]characters!$1:$1,0)+1),MATCH(B$1,[2]characters!$1:$1,0)-MATCH($A$1,[2]characters!$1:$1,0)+1,FALSE)</f>
        <v>神産 イザナミ</v>
      </c>
      <c r="C283" s="93">
        <f ca="1">VLOOKUP($A283,OFFSET(fork_awake_units!$A$1,0,0,COUNTA(fork_awake_units!$A:$A),MATCH(C$1,fork_awake_units!$1:$1,0)-MATCH($A$1,fork_awake_units!$1:$1,0)+1),MATCH(C$1,fork_awake_units!$1:$1,0)-MATCH($A$1,fork_awake_units!$1:$1,0)+1,FALSE)</f>
        <v>237</v>
      </c>
      <c r="D283" s="3" t="str">
        <f ca="1">VLOOKUP($C283,OFFSET([2]characters!$A$1,0,0,COUNTA([2]characters!$A:$A),MATCH(D$1,[2]characters!$1:$1,0)-MATCH($A$1,[2]characters!$1:$1,0)+1),MATCH(D$1,[2]characters!$1:$1,0)-MATCH($A$1,[2]characters!$1:$1,0)+1,FALSE)</f>
        <v>森羅万象の神母 イザナミ</v>
      </c>
      <c r="E283" s="66">
        <v>116</v>
      </c>
      <c r="F283" s="3" t="str">
        <f ca="1">VLOOKUP($E283,OFFSET([2]characters!$A$1,0,0,COUNTA([2]characters!$A:$A),MATCH(F$1,[2]characters!$1:$1,0)-MATCH($A$1,[2]characters!$1:$1,0)+1),MATCH(F$1,[2]characters!$1:$1,0)-MATCH($A$1,[2]characters!$1:$1,0)+1,FALSE)</f>
        <v>雷のマッドハッター</v>
      </c>
      <c r="G283" s="66">
        <v>2</v>
      </c>
      <c r="H283" s="66">
        <v>1</v>
      </c>
      <c r="I283" s="66">
        <v>1</v>
      </c>
    </row>
    <row r="284" spans="1:9" x14ac:dyDescent="0.15">
      <c r="A284" s="66">
        <v>237</v>
      </c>
      <c r="B284" s="3" t="str">
        <f ca="1">VLOOKUP($A284,OFFSET([2]characters!$A$1,0,0,COUNTA([2]characters!$A:$A),MATCH(B$1,[2]characters!$1:$1,0)-MATCH($A$1,[2]characters!$1:$1,0)+1),MATCH(B$1,[2]characters!$1:$1,0)-MATCH($A$1,[2]characters!$1:$1,0)+1,FALSE)</f>
        <v>森羅万象の神母 イザナミ</v>
      </c>
      <c r="C284" s="93">
        <f ca="1">VLOOKUP($A284,OFFSET(fork_awake_units!$A$1,0,0,COUNTA(fork_awake_units!$A:$A),MATCH(C$1,fork_awake_units!$1:$1,0)-MATCH($A$1,fork_awake_units!$1:$1,0)+1),MATCH(C$1,fork_awake_units!$1:$1,0)-MATCH($A$1,fork_awake_units!$1:$1,0)+1,FALSE)</f>
        <v>808</v>
      </c>
      <c r="D284" s="3" t="str">
        <f ca="1">VLOOKUP($C284,OFFSET([2]characters!$A$1,0,0,COUNTA([2]characters!$A:$A),MATCH(D$1,[2]characters!$1:$1,0)-MATCH($A$1,[2]characters!$1:$1,0)+1),MATCH(D$1,[2]characters!$1:$1,0)-MATCH($A$1,[2]characters!$1:$1,0)+1,FALSE)</f>
        <v>天地万物の烈神母 イザナミ</v>
      </c>
      <c r="E284" s="66">
        <v>114</v>
      </c>
      <c r="F284" s="3" t="str">
        <f ca="1">VLOOKUP($E284,OFFSET([2]characters!$A$1,0,0,COUNTA([2]characters!$A:$A),MATCH(F$1,[2]characters!$1:$1,0)-MATCH($A$1,[2]characters!$1:$1,0)+1),MATCH(F$1,[2]characters!$1:$1,0)-MATCH($A$1,[2]characters!$1:$1,0)+1,FALSE)</f>
        <v>イエローラビット</v>
      </c>
      <c r="G284" s="66">
        <v>1</v>
      </c>
      <c r="H284" s="66">
        <v>1</v>
      </c>
      <c r="I284" s="66">
        <v>1</v>
      </c>
    </row>
    <row r="285" spans="1:9" x14ac:dyDescent="0.15">
      <c r="A285" s="66">
        <v>237</v>
      </c>
      <c r="B285" s="3" t="str">
        <f ca="1">VLOOKUP($A285,OFFSET([2]characters!$A$1,0,0,COUNTA([2]characters!$A:$A),MATCH(B$1,[2]characters!$1:$1,0)-MATCH($A$1,[2]characters!$1:$1,0)+1),MATCH(B$1,[2]characters!$1:$1,0)-MATCH($A$1,[2]characters!$1:$1,0)+1,FALSE)</f>
        <v>森羅万象の神母 イザナミ</v>
      </c>
      <c r="C285" s="93">
        <f ca="1">VLOOKUP($A285,OFFSET(fork_awake_units!$A$1,0,0,COUNTA(fork_awake_units!$A:$A),MATCH(C$1,fork_awake_units!$1:$1,0)-MATCH($A$1,fork_awake_units!$1:$1,0)+1),MATCH(C$1,fork_awake_units!$1:$1,0)-MATCH($A$1,fork_awake_units!$1:$1,0)+1,FALSE)</f>
        <v>808</v>
      </c>
      <c r="D285" s="3" t="str">
        <f ca="1">VLOOKUP($C285,OFFSET([2]characters!$A$1,0,0,COUNTA([2]characters!$A:$A),MATCH(D$1,[2]characters!$1:$1,0)-MATCH($A$1,[2]characters!$1:$1,0)+1),MATCH(D$1,[2]characters!$1:$1,0)-MATCH($A$1,[2]characters!$1:$1,0)+1,FALSE)</f>
        <v>天地万物の烈神母 イザナミ</v>
      </c>
      <c r="E285" s="66">
        <v>115</v>
      </c>
      <c r="F285" s="3" t="str">
        <f ca="1">VLOOKUP($E285,OFFSET([2]characters!$A$1,0,0,COUNTA([2]characters!$A:$A),MATCH(F$1,[2]characters!$1:$1,0)-MATCH($A$1,[2]characters!$1:$1,0)+1),MATCH(F$1,[2]characters!$1:$1,0)-MATCH($A$1,[2]characters!$1:$1,0)+1,FALSE)</f>
        <v>イエローキャタップ</v>
      </c>
      <c r="G285" s="66">
        <v>1</v>
      </c>
      <c r="H285" s="66">
        <v>1</v>
      </c>
      <c r="I285" s="66">
        <v>1</v>
      </c>
    </row>
    <row r="286" spans="1:9" x14ac:dyDescent="0.15">
      <c r="A286" s="66">
        <v>237</v>
      </c>
      <c r="B286" s="3" t="str">
        <f ca="1">VLOOKUP($A286,OFFSET([2]characters!$A$1,0,0,COUNTA([2]characters!$A:$A),MATCH(B$1,[2]characters!$1:$1,0)-MATCH($A$1,[2]characters!$1:$1,0)+1),MATCH(B$1,[2]characters!$1:$1,0)-MATCH($A$1,[2]characters!$1:$1,0)+1,FALSE)</f>
        <v>森羅万象の神母 イザナミ</v>
      </c>
      <c r="C286" s="93">
        <f ca="1">VLOOKUP($A286,OFFSET(fork_awake_units!$A$1,0,0,COUNTA(fork_awake_units!$A:$A),MATCH(C$1,fork_awake_units!$1:$1,0)-MATCH($A$1,fork_awake_units!$1:$1,0)+1),MATCH(C$1,fork_awake_units!$1:$1,0)-MATCH($A$1,fork_awake_units!$1:$1,0)+1,FALSE)</f>
        <v>808</v>
      </c>
      <c r="D286" s="3" t="str">
        <f ca="1">VLOOKUP($C286,OFFSET([2]characters!$A$1,0,0,COUNTA([2]characters!$A:$A),MATCH(D$1,[2]characters!$1:$1,0)-MATCH($A$1,[2]characters!$1:$1,0)+1),MATCH(D$1,[2]characters!$1:$1,0)-MATCH($A$1,[2]characters!$1:$1,0)+1,FALSE)</f>
        <v>天地万物の烈神母 イザナミ</v>
      </c>
      <c r="E286" s="66">
        <v>116</v>
      </c>
      <c r="F286" s="3" t="str">
        <f ca="1">VLOOKUP($E286,OFFSET([2]characters!$A$1,0,0,COUNTA([2]characters!$A:$A),MATCH(F$1,[2]characters!$1:$1,0)-MATCH($A$1,[2]characters!$1:$1,0)+1),MATCH(F$1,[2]characters!$1:$1,0)-MATCH($A$1,[2]characters!$1:$1,0)+1,FALSE)</f>
        <v>雷のマッドハッター</v>
      </c>
      <c r="G286" s="66">
        <v>1</v>
      </c>
      <c r="H286" s="66">
        <v>1</v>
      </c>
      <c r="I286" s="66">
        <v>1</v>
      </c>
    </row>
    <row r="287" spans="1:9" x14ac:dyDescent="0.15">
      <c r="A287" s="66">
        <v>237</v>
      </c>
      <c r="B287" s="3" t="str">
        <f ca="1">VLOOKUP($A287,OFFSET([2]characters!$A$1,0,0,COUNTA([2]characters!$A:$A),MATCH(B$1,[2]characters!$1:$1,0)-MATCH($A$1,[2]characters!$1:$1,0)+1),MATCH(B$1,[2]characters!$1:$1,0)-MATCH($A$1,[2]characters!$1:$1,0)+1,FALSE)</f>
        <v>森羅万象の神母 イザナミ</v>
      </c>
      <c r="C287" s="93">
        <f ca="1">VLOOKUP($A287,OFFSET(fork_awake_units!$A$1,0,0,COUNTA(fork_awake_units!$A:$A),MATCH(C$1,fork_awake_units!$1:$1,0)-MATCH($A$1,fork_awake_units!$1:$1,0)+1),MATCH(C$1,fork_awake_units!$1:$1,0)-MATCH($A$1,fork_awake_units!$1:$1,0)+1,FALSE)</f>
        <v>808</v>
      </c>
      <c r="D287" s="3" t="str">
        <f ca="1">VLOOKUP($C287,OFFSET([2]characters!$A$1,0,0,COUNTA([2]characters!$A:$A),MATCH(D$1,[2]characters!$1:$1,0)-MATCH($A$1,[2]characters!$1:$1,0)+1),MATCH(D$1,[2]characters!$1:$1,0)-MATCH($A$1,[2]characters!$1:$1,0)+1,FALSE)</f>
        <v>天地万物の烈神母 イザナミ</v>
      </c>
      <c r="E287" s="66">
        <v>837</v>
      </c>
      <c r="F287" s="3" t="str">
        <f ca="1">VLOOKUP($E287,OFFSET([2]characters!$A$1,0,0,COUNTA([2]characters!$A:$A),MATCH(F$1,[2]characters!$1:$1,0)-MATCH($A$1,[2]characters!$1:$1,0)+1),MATCH(F$1,[2]characters!$1:$1,0)-MATCH($A$1,[2]characters!$1:$1,0)+1,FALSE)</f>
        <v>リトルハンプティ</v>
      </c>
      <c r="G287" s="66">
        <v>1</v>
      </c>
      <c r="H287" s="66">
        <v>1</v>
      </c>
      <c r="I287" s="66">
        <v>1</v>
      </c>
    </row>
    <row r="288" spans="1:9" x14ac:dyDescent="0.15">
      <c r="A288" s="66">
        <v>238</v>
      </c>
      <c r="B288" s="3" t="str">
        <f ca="1">VLOOKUP($A288,OFFSET([2]characters!$A$1,0,0,COUNTA([2]characters!$A:$A),MATCH(B$1,[2]characters!$1:$1,0)-MATCH($A$1,[2]characters!$1:$1,0)+1),MATCH(B$1,[2]characters!$1:$1,0)-MATCH($A$1,[2]characters!$1:$1,0)+1,FALSE)</f>
        <v>ウリエル</v>
      </c>
      <c r="C288" s="93">
        <f ca="1">VLOOKUP($A288,OFFSET(fork_awake_units!$A$1,0,0,COUNTA(fork_awake_units!$A:$A),MATCH(C$1,fork_awake_units!$1:$1,0)-MATCH($A$1,fork_awake_units!$1:$1,0)+1),MATCH(C$1,fork_awake_units!$1:$1,0)-MATCH($A$1,fork_awake_units!$1:$1,0)+1,FALSE)</f>
        <v>239</v>
      </c>
      <c r="D288" s="3" t="str">
        <f ca="1">VLOOKUP($C288,OFFSET([2]characters!$A$1,0,0,COUNTA([2]characters!$A:$A),MATCH(D$1,[2]characters!$1:$1,0)-MATCH($A$1,[2]characters!$1:$1,0)+1),MATCH(D$1,[2]characters!$1:$1,0)-MATCH($A$1,[2]characters!$1:$1,0)+1,FALSE)</f>
        <v>豪炎の天使 ウリエル</v>
      </c>
      <c r="E288" s="66">
        <v>102</v>
      </c>
      <c r="F288" s="3" t="str">
        <f ca="1">VLOOKUP($E288,OFFSET([2]characters!$A$1,0,0,COUNTA([2]characters!$A:$A),MATCH(F$1,[2]characters!$1:$1,0)-MATCH($A$1,[2]characters!$1:$1,0)+1),MATCH(F$1,[2]characters!$1:$1,0)-MATCH($A$1,[2]characters!$1:$1,0)+1,FALSE)</f>
        <v>レッドラビット</v>
      </c>
      <c r="G288" s="66">
        <v>1</v>
      </c>
      <c r="H288" s="66">
        <v>1</v>
      </c>
      <c r="I288" s="66">
        <v>1</v>
      </c>
    </row>
    <row r="289" spans="1:9" x14ac:dyDescent="0.15">
      <c r="A289" s="66">
        <v>238</v>
      </c>
      <c r="B289" s="3" t="str">
        <f ca="1">VLOOKUP($A289,OFFSET([2]characters!$A$1,0,0,COUNTA([2]characters!$A:$A),MATCH(B$1,[2]characters!$1:$1,0)-MATCH($A$1,[2]characters!$1:$1,0)+1),MATCH(B$1,[2]characters!$1:$1,0)-MATCH($A$1,[2]characters!$1:$1,0)+1,FALSE)</f>
        <v>ウリエル</v>
      </c>
      <c r="C289" s="93">
        <f ca="1">VLOOKUP($A289,OFFSET(fork_awake_units!$A$1,0,0,COUNTA(fork_awake_units!$A:$A),MATCH(C$1,fork_awake_units!$1:$1,0)-MATCH($A$1,fork_awake_units!$1:$1,0)+1),MATCH(C$1,fork_awake_units!$1:$1,0)-MATCH($A$1,fork_awake_units!$1:$1,0)+1,FALSE)</f>
        <v>239</v>
      </c>
      <c r="D289" s="3" t="str">
        <f ca="1">VLOOKUP($C289,OFFSET([2]characters!$A$1,0,0,COUNTA([2]characters!$A:$A),MATCH(D$1,[2]characters!$1:$1,0)-MATCH($A$1,[2]characters!$1:$1,0)+1),MATCH(D$1,[2]characters!$1:$1,0)-MATCH($A$1,[2]characters!$1:$1,0)+1,FALSE)</f>
        <v>豪炎の天使 ウリエル</v>
      </c>
      <c r="E289" s="66">
        <v>103</v>
      </c>
      <c r="F289" s="3" t="str">
        <f ca="1">VLOOKUP($E289,OFFSET([2]characters!$A$1,0,0,COUNTA([2]characters!$A:$A),MATCH(F$1,[2]characters!$1:$1,0)-MATCH($A$1,[2]characters!$1:$1,0)+1),MATCH(F$1,[2]characters!$1:$1,0)-MATCH($A$1,[2]characters!$1:$1,0)+1,FALSE)</f>
        <v>レッドキャタップ</v>
      </c>
      <c r="G289" s="66">
        <v>3</v>
      </c>
      <c r="H289" s="66">
        <v>1</v>
      </c>
      <c r="I289" s="66">
        <v>1</v>
      </c>
    </row>
    <row r="290" spans="1:9" x14ac:dyDescent="0.15">
      <c r="A290" s="66">
        <v>239</v>
      </c>
      <c r="B290" s="3" t="str">
        <f ca="1">VLOOKUP($A290,OFFSET([2]characters!$A$1,0,0,COUNTA([2]characters!$A:$A),MATCH(B$1,[2]characters!$1:$1,0)-MATCH($A$1,[2]characters!$1:$1,0)+1),MATCH(B$1,[2]characters!$1:$1,0)-MATCH($A$1,[2]characters!$1:$1,0)+1,FALSE)</f>
        <v>豪炎の天使 ウリエル</v>
      </c>
      <c r="C290" s="93">
        <f ca="1">VLOOKUP($A290,OFFSET(fork_awake_units!$A$1,0,0,COUNTA(fork_awake_units!$A:$A),MATCH(C$1,fork_awake_units!$1:$1,0)-MATCH($A$1,fork_awake_units!$1:$1,0)+1),MATCH(C$1,fork_awake_units!$1:$1,0)-MATCH($A$1,fork_awake_units!$1:$1,0)+1,FALSE)</f>
        <v>240</v>
      </c>
      <c r="D290" s="3" t="str">
        <f ca="1">VLOOKUP($C290,OFFSET([2]characters!$A$1,0,0,COUNTA([2]characters!$A:$A),MATCH(D$1,[2]characters!$1:$1,0)-MATCH($A$1,[2]characters!$1:$1,0)+1),MATCH(D$1,[2]characters!$1:$1,0)-MATCH($A$1,[2]characters!$1:$1,0)+1,FALSE)</f>
        <v>轟炎の天使 ウリエル・スレイヤー</v>
      </c>
      <c r="E290" s="66">
        <v>102</v>
      </c>
      <c r="F290" s="3" t="str">
        <f ca="1">VLOOKUP($E290,OFFSET([2]characters!$A$1,0,0,COUNTA([2]characters!$A:$A),MATCH(F$1,[2]characters!$1:$1,0)-MATCH($A$1,[2]characters!$1:$1,0)+1),MATCH(F$1,[2]characters!$1:$1,0)-MATCH($A$1,[2]characters!$1:$1,0)+1,FALSE)</f>
        <v>レッドラビット</v>
      </c>
      <c r="G290" s="66">
        <v>1</v>
      </c>
      <c r="H290" s="66">
        <v>1</v>
      </c>
      <c r="I290" s="66">
        <v>1</v>
      </c>
    </row>
    <row r="291" spans="1:9" x14ac:dyDescent="0.15">
      <c r="A291" s="66">
        <v>239</v>
      </c>
      <c r="B291" s="3" t="str">
        <f ca="1">VLOOKUP($A291,OFFSET([2]characters!$A$1,0,0,COUNTA([2]characters!$A:$A),MATCH(B$1,[2]characters!$1:$1,0)-MATCH($A$1,[2]characters!$1:$1,0)+1),MATCH(B$1,[2]characters!$1:$1,0)-MATCH($A$1,[2]characters!$1:$1,0)+1,FALSE)</f>
        <v>豪炎の天使 ウリエル</v>
      </c>
      <c r="C291" s="93">
        <f ca="1">VLOOKUP($A291,OFFSET(fork_awake_units!$A$1,0,0,COUNTA(fork_awake_units!$A:$A),MATCH(C$1,fork_awake_units!$1:$1,0)-MATCH($A$1,fork_awake_units!$1:$1,0)+1),MATCH(C$1,fork_awake_units!$1:$1,0)-MATCH($A$1,fork_awake_units!$1:$1,0)+1,FALSE)</f>
        <v>240</v>
      </c>
      <c r="D291" s="3" t="str">
        <f ca="1">VLOOKUP($C291,OFFSET([2]characters!$A$1,0,0,COUNTA([2]characters!$A:$A),MATCH(D$1,[2]characters!$1:$1,0)-MATCH($A$1,[2]characters!$1:$1,0)+1),MATCH(D$1,[2]characters!$1:$1,0)-MATCH($A$1,[2]characters!$1:$1,0)+1,FALSE)</f>
        <v>轟炎の天使 ウリエル・スレイヤー</v>
      </c>
      <c r="E291" s="66">
        <v>103</v>
      </c>
      <c r="F291" s="3" t="str">
        <f ca="1">VLOOKUP($E291,OFFSET([2]characters!$A$1,0,0,COUNTA([2]characters!$A:$A),MATCH(F$1,[2]characters!$1:$1,0)-MATCH($A$1,[2]characters!$1:$1,0)+1),MATCH(F$1,[2]characters!$1:$1,0)-MATCH($A$1,[2]characters!$1:$1,0)+1,FALSE)</f>
        <v>レッドキャタップ</v>
      </c>
      <c r="G291" s="66">
        <v>2</v>
      </c>
      <c r="H291" s="66">
        <v>1</v>
      </c>
      <c r="I291" s="66">
        <v>1</v>
      </c>
    </row>
    <row r="292" spans="1:9" x14ac:dyDescent="0.15">
      <c r="A292" s="66">
        <v>239</v>
      </c>
      <c r="B292" s="3" t="str">
        <f ca="1">VLOOKUP($A292,OFFSET([2]characters!$A$1,0,0,COUNTA([2]characters!$A:$A),MATCH(B$1,[2]characters!$1:$1,0)-MATCH($A$1,[2]characters!$1:$1,0)+1),MATCH(B$1,[2]characters!$1:$1,0)-MATCH($A$1,[2]characters!$1:$1,0)+1,FALSE)</f>
        <v>豪炎の天使 ウリエル</v>
      </c>
      <c r="C292" s="93">
        <f ca="1">VLOOKUP($A292,OFFSET(fork_awake_units!$A$1,0,0,COUNTA(fork_awake_units!$A:$A),MATCH(C$1,fork_awake_units!$1:$1,0)-MATCH($A$1,fork_awake_units!$1:$1,0)+1),MATCH(C$1,fork_awake_units!$1:$1,0)-MATCH($A$1,fork_awake_units!$1:$1,0)+1,FALSE)</f>
        <v>240</v>
      </c>
      <c r="D292" s="3" t="str">
        <f ca="1">VLOOKUP($C292,OFFSET([2]characters!$A$1,0,0,COUNTA([2]characters!$A:$A),MATCH(D$1,[2]characters!$1:$1,0)-MATCH($A$1,[2]characters!$1:$1,0)+1),MATCH(D$1,[2]characters!$1:$1,0)-MATCH($A$1,[2]characters!$1:$1,0)+1,FALSE)</f>
        <v>轟炎の天使 ウリエル・スレイヤー</v>
      </c>
      <c r="E292" s="66">
        <v>104</v>
      </c>
      <c r="F292" s="3" t="str">
        <f ca="1">VLOOKUP($E292,OFFSET([2]characters!$A$1,0,0,COUNTA([2]characters!$A:$A),MATCH(F$1,[2]characters!$1:$1,0)-MATCH($A$1,[2]characters!$1:$1,0)+1),MATCH(F$1,[2]characters!$1:$1,0)-MATCH($A$1,[2]characters!$1:$1,0)+1,FALSE)</f>
        <v>炎のマッドハッター</v>
      </c>
      <c r="G292" s="66">
        <v>2</v>
      </c>
      <c r="H292" s="66">
        <v>1</v>
      </c>
      <c r="I292" s="66">
        <v>1</v>
      </c>
    </row>
    <row r="293" spans="1:9" x14ac:dyDescent="0.15">
      <c r="A293" s="66">
        <v>241</v>
      </c>
      <c r="B293" s="3" t="str">
        <f ca="1">VLOOKUP($A293,OFFSET([2]characters!$A$1,0,0,COUNTA([2]characters!$A:$A),MATCH(B$1,[2]characters!$1:$1,0)-MATCH($A$1,[2]characters!$1:$1,0)+1),MATCH(B$1,[2]characters!$1:$1,0)-MATCH($A$1,[2]characters!$1:$1,0)+1,FALSE)</f>
        <v>ガブリエル</v>
      </c>
      <c r="C293" s="93">
        <f ca="1">VLOOKUP($A293,OFFSET(fork_awake_units!$A$1,0,0,COUNTA(fork_awake_units!$A:$A),MATCH(C$1,fork_awake_units!$1:$1,0)-MATCH($A$1,fork_awake_units!$1:$1,0)+1),MATCH(C$1,fork_awake_units!$1:$1,0)-MATCH($A$1,fork_awake_units!$1:$1,0)+1,FALSE)</f>
        <v>242</v>
      </c>
      <c r="D293" s="3" t="str">
        <f ca="1">VLOOKUP($C293,OFFSET([2]characters!$A$1,0,0,COUNTA([2]characters!$A:$A),MATCH(D$1,[2]characters!$1:$1,0)-MATCH($A$1,[2]characters!$1:$1,0)+1),MATCH(D$1,[2]characters!$1:$1,0)-MATCH($A$1,[2]characters!$1:$1,0)+1,FALSE)</f>
        <v>百花の天使 ガブリエル</v>
      </c>
      <c r="E293" s="66">
        <v>106</v>
      </c>
      <c r="F293" s="3" t="str">
        <f ca="1">VLOOKUP($E293,OFFSET([2]characters!$A$1,0,0,COUNTA([2]characters!$A:$A),MATCH(F$1,[2]characters!$1:$1,0)-MATCH($A$1,[2]characters!$1:$1,0)+1),MATCH(F$1,[2]characters!$1:$1,0)-MATCH($A$1,[2]characters!$1:$1,0)+1,FALSE)</f>
        <v>グリーンラビット</v>
      </c>
      <c r="G293" s="66">
        <v>1</v>
      </c>
      <c r="H293" s="66">
        <v>1</v>
      </c>
      <c r="I293" s="66">
        <v>1</v>
      </c>
    </row>
    <row r="294" spans="1:9" x14ac:dyDescent="0.15">
      <c r="A294" s="66">
        <v>241</v>
      </c>
      <c r="B294" s="3" t="str">
        <f ca="1">VLOOKUP($A294,OFFSET([2]characters!$A$1,0,0,COUNTA([2]characters!$A:$A),MATCH(B$1,[2]characters!$1:$1,0)-MATCH($A$1,[2]characters!$1:$1,0)+1),MATCH(B$1,[2]characters!$1:$1,0)-MATCH($A$1,[2]characters!$1:$1,0)+1,FALSE)</f>
        <v>ガブリエル</v>
      </c>
      <c r="C294" s="93">
        <f ca="1">VLOOKUP($A294,OFFSET(fork_awake_units!$A$1,0,0,COUNTA(fork_awake_units!$A:$A),MATCH(C$1,fork_awake_units!$1:$1,0)-MATCH($A$1,fork_awake_units!$1:$1,0)+1),MATCH(C$1,fork_awake_units!$1:$1,0)-MATCH($A$1,fork_awake_units!$1:$1,0)+1,FALSE)</f>
        <v>242</v>
      </c>
      <c r="D294" s="3" t="str">
        <f ca="1">VLOOKUP($C294,OFFSET([2]characters!$A$1,0,0,COUNTA([2]characters!$A:$A),MATCH(D$1,[2]characters!$1:$1,0)-MATCH($A$1,[2]characters!$1:$1,0)+1),MATCH(D$1,[2]characters!$1:$1,0)-MATCH($A$1,[2]characters!$1:$1,0)+1,FALSE)</f>
        <v>百花の天使 ガブリエル</v>
      </c>
      <c r="E294" s="66">
        <v>107</v>
      </c>
      <c r="F294" s="3" t="str">
        <f ca="1">VLOOKUP($E294,OFFSET([2]characters!$A$1,0,0,COUNTA([2]characters!$A:$A),MATCH(F$1,[2]characters!$1:$1,0)-MATCH($A$1,[2]characters!$1:$1,0)+1),MATCH(F$1,[2]characters!$1:$1,0)-MATCH($A$1,[2]characters!$1:$1,0)+1,FALSE)</f>
        <v>グリーンキャタップ</v>
      </c>
      <c r="G294" s="66">
        <v>3</v>
      </c>
      <c r="H294" s="66">
        <v>1</v>
      </c>
      <c r="I294" s="66">
        <v>1</v>
      </c>
    </row>
    <row r="295" spans="1:9" x14ac:dyDescent="0.15">
      <c r="A295" s="66">
        <v>242</v>
      </c>
      <c r="B295" s="3" t="str">
        <f ca="1">VLOOKUP($A295,OFFSET([2]characters!$A$1,0,0,COUNTA([2]characters!$A:$A),MATCH(B$1,[2]characters!$1:$1,0)-MATCH($A$1,[2]characters!$1:$1,0)+1),MATCH(B$1,[2]characters!$1:$1,0)-MATCH($A$1,[2]characters!$1:$1,0)+1,FALSE)</f>
        <v>百花の天使 ガブリエル</v>
      </c>
      <c r="C295" s="93">
        <f ca="1">VLOOKUP($A295,OFFSET(fork_awake_units!$A$1,0,0,COUNTA(fork_awake_units!$A:$A),MATCH(C$1,fork_awake_units!$1:$1,0)-MATCH($A$1,fork_awake_units!$1:$1,0)+1),MATCH(C$1,fork_awake_units!$1:$1,0)-MATCH($A$1,fork_awake_units!$1:$1,0)+1,FALSE)</f>
        <v>243</v>
      </c>
      <c r="D295" s="3" t="str">
        <f ca="1">VLOOKUP($C295,OFFSET([2]characters!$A$1,0,0,COUNTA([2]characters!$A:$A),MATCH(D$1,[2]characters!$1:$1,0)-MATCH($A$1,[2]characters!$1:$1,0)+1),MATCH(D$1,[2]characters!$1:$1,0)-MATCH($A$1,[2]characters!$1:$1,0)+1,FALSE)</f>
        <v>万花の天使 ガブリエル・ブルーム</v>
      </c>
      <c r="E295" s="66">
        <v>106</v>
      </c>
      <c r="F295" s="3" t="str">
        <f ca="1">VLOOKUP($E295,OFFSET([2]characters!$A$1,0,0,COUNTA([2]characters!$A:$A),MATCH(F$1,[2]characters!$1:$1,0)-MATCH($A$1,[2]characters!$1:$1,0)+1),MATCH(F$1,[2]characters!$1:$1,0)-MATCH($A$1,[2]characters!$1:$1,0)+1,FALSE)</f>
        <v>グリーンラビット</v>
      </c>
      <c r="G295" s="66">
        <v>1</v>
      </c>
      <c r="H295" s="66">
        <v>1</v>
      </c>
      <c r="I295" s="66">
        <v>1</v>
      </c>
    </row>
    <row r="296" spans="1:9" x14ac:dyDescent="0.15">
      <c r="A296" s="66">
        <v>242</v>
      </c>
      <c r="B296" s="3" t="str">
        <f ca="1">VLOOKUP($A296,OFFSET([2]characters!$A$1,0,0,COUNTA([2]characters!$A:$A),MATCH(B$1,[2]characters!$1:$1,0)-MATCH($A$1,[2]characters!$1:$1,0)+1),MATCH(B$1,[2]characters!$1:$1,0)-MATCH($A$1,[2]characters!$1:$1,0)+1,FALSE)</f>
        <v>百花の天使 ガブリエル</v>
      </c>
      <c r="C296" s="93">
        <f ca="1">VLOOKUP($A296,OFFSET(fork_awake_units!$A$1,0,0,COUNTA(fork_awake_units!$A:$A),MATCH(C$1,fork_awake_units!$1:$1,0)-MATCH($A$1,fork_awake_units!$1:$1,0)+1),MATCH(C$1,fork_awake_units!$1:$1,0)-MATCH($A$1,fork_awake_units!$1:$1,0)+1,FALSE)</f>
        <v>243</v>
      </c>
      <c r="D296" s="3" t="str">
        <f ca="1">VLOOKUP($C296,OFFSET([2]characters!$A$1,0,0,COUNTA([2]characters!$A:$A),MATCH(D$1,[2]characters!$1:$1,0)-MATCH($A$1,[2]characters!$1:$1,0)+1),MATCH(D$1,[2]characters!$1:$1,0)-MATCH($A$1,[2]characters!$1:$1,0)+1,FALSE)</f>
        <v>万花の天使 ガブリエル・ブルーム</v>
      </c>
      <c r="E296" s="66">
        <v>107</v>
      </c>
      <c r="F296" s="3" t="str">
        <f ca="1">VLOOKUP($E296,OFFSET([2]characters!$A$1,0,0,COUNTA([2]characters!$A:$A),MATCH(F$1,[2]characters!$1:$1,0)-MATCH($A$1,[2]characters!$1:$1,0)+1),MATCH(F$1,[2]characters!$1:$1,0)-MATCH($A$1,[2]characters!$1:$1,0)+1,FALSE)</f>
        <v>グリーンキャタップ</v>
      </c>
      <c r="G296" s="66">
        <v>2</v>
      </c>
      <c r="H296" s="66">
        <v>1</v>
      </c>
      <c r="I296" s="66">
        <v>1</v>
      </c>
    </row>
    <row r="297" spans="1:9" x14ac:dyDescent="0.15">
      <c r="A297" s="66">
        <v>242</v>
      </c>
      <c r="B297" s="3" t="str">
        <f ca="1">VLOOKUP($A297,OFFSET([2]characters!$A$1,0,0,COUNTA([2]characters!$A:$A),MATCH(B$1,[2]characters!$1:$1,0)-MATCH($A$1,[2]characters!$1:$1,0)+1),MATCH(B$1,[2]characters!$1:$1,0)-MATCH($A$1,[2]characters!$1:$1,0)+1,FALSE)</f>
        <v>百花の天使 ガブリエル</v>
      </c>
      <c r="C297" s="93">
        <f ca="1">VLOOKUP($A297,OFFSET(fork_awake_units!$A$1,0,0,COUNTA(fork_awake_units!$A:$A),MATCH(C$1,fork_awake_units!$1:$1,0)-MATCH($A$1,fork_awake_units!$1:$1,0)+1),MATCH(C$1,fork_awake_units!$1:$1,0)-MATCH($A$1,fork_awake_units!$1:$1,0)+1,FALSE)</f>
        <v>243</v>
      </c>
      <c r="D297" s="3" t="str">
        <f ca="1">VLOOKUP($C297,OFFSET([2]characters!$A$1,0,0,COUNTA([2]characters!$A:$A),MATCH(D$1,[2]characters!$1:$1,0)-MATCH($A$1,[2]characters!$1:$1,0)+1),MATCH(D$1,[2]characters!$1:$1,0)-MATCH($A$1,[2]characters!$1:$1,0)+1,FALSE)</f>
        <v>万花の天使 ガブリエル・ブルーム</v>
      </c>
      <c r="E297" s="66">
        <v>108</v>
      </c>
      <c r="F297" s="3" t="str">
        <f ca="1">VLOOKUP($E297,OFFSET([2]characters!$A$1,0,0,COUNTA([2]characters!$A:$A),MATCH(F$1,[2]characters!$1:$1,0)-MATCH($A$1,[2]characters!$1:$1,0)+1),MATCH(F$1,[2]characters!$1:$1,0)-MATCH($A$1,[2]characters!$1:$1,0)+1,FALSE)</f>
        <v>森のマッドハッター</v>
      </c>
      <c r="G297" s="66">
        <v>2</v>
      </c>
      <c r="H297" s="66">
        <v>1</v>
      </c>
      <c r="I297" s="66">
        <v>1</v>
      </c>
    </row>
    <row r="298" spans="1:9" x14ac:dyDescent="0.15">
      <c r="A298" s="66">
        <v>244</v>
      </c>
      <c r="B298" s="3" t="str">
        <f ca="1">VLOOKUP($A298,OFFSET([2]characters!$A$1,0,0,COUNTA([2]characters!$A:$A),MATCH(B$1,[2]characters!$1:$1,0)-MATCH($A$1,[2]characters!$1:$1,0)+1),MATCH(B$1,[2]characters!$1:$1,0)-MATCH($A$1,[2]characters!$1:$1,0)+1,FALSE)</f>
        <v>ラファエル</v>
      </c>
      <c r="C298" s="93">
        <f ca="1">VLOOKUP($A298,OFFSET(fork_awake_units!$A$1,0,0,COUNTA(fork_awake_units!$A:$A),MATCH(C$1,fork_awake_units!$1:$1,0)-MATCH($A$1,fork_awake_units!$1:$1,0)+1),MATCH(C$1,fork_awake_units!$1:$1,0)-MATCH($A$1,fork_awake_units!$1:$1,0)+1,FALSE)</f>
        <v>245</v>
      </c>
      <c r="D298" s="3" t="str">
        <f ca="1">VLOOKUP($C298,OFFSET([2]characters!$A$1,0,0,COUNTA([2]characters!$A:$A),MATCH(D$1,[2]characters!$1:$1,0)-MATCH($A$1,[2]characters!$1:$1,0)+1),MATCH(D$1,[2]characters!$1:$1,0)-MATCH($A$1,[2]characters!$1:$1,0)+1,FALSE)</f>
        <v>鎮癒の天使 ラファエル</v>
      </c>
      <c r="E298" s="66">
        <v>110</v>
      </c>
      <c r="F298" s="3" t="str">
        <f ca="1">VLOOKUP($E298,OFFSET([2]characters!$A$1,0,0,COUNTA([2]characters!$A:$A),MATCH(F$1,[2]characters!$1:$1,0)-MATCH($A$1,[2]characters!$1:$1,0)+1),MATCH(F$1,[2]characters!$1:$1,0)-MATCH($A$1,[2]characters!$1:$1,0)+1,FALSE)</f>
        <v>ブルーラビット</v>
      </c>
      <c r="G298" s="66">
        <v>1</v>
      </c>
      <c r="H298" s="66">
        <v>1</v>
      </c>
      <c r="I298" s="66">
        <v>1</v>
      </c>
    </row>
    <row r="299" spans="1:9" x14ac:dyDescent="0.15">
      <c r="A299" s="66">
        <v>244</v>
      </c>
      <c r="B299" s="3" t="str">
        <f ca="1">VLOOKUP($A299,OFFSET([2]characters!$A$1,0,0,COUNTA([2]characters!$A:$A),MATCH(B$1,[2]characters!$1:$1,0)-MATCH($A$1,[2]characters!$1:$1,0)+1),MATCH(B$1,[2]characters!$1:$1,0)-MATCH($A$1,[2]characters!$1:$1,0)+1,FALSE)</f>
        <v>ラファエル</v>
      </c>
      <c r="C299" s="93">
        <f ca="1">VLOOKUP($A299,OFFSET(fork_awake_units!$A$1,0,0,COUNTA(fork_awake_units!$A:$A),MATCH(C$1,fork_awake_units!$1:$1,0)-MATCH($A$1,fork_awake_units!$1:$1,0)+1),MATCH(C$1,fork_awake_units!$1:$1,0)-MATCH($A$1,fork_awake_units!$1:$1,0)+1,FALSE)</f>
        <v>245</v>
      </c>
      <c r="D299" s="3" t="str">
        <f ca="1">VLOOKUP($C299,OFFSET([2]characters!$A$1,0,0,COUNTA([2]characters!$A:$A),MATCH(D$1,[2]characters!$1:$1,0)-MATCH($A$1,[2]characters!$1:$1,0)+1),MATCH(D$1,[2]characters!$1:$1,0)-MATCH($A$1,[2]characters!$1:$1,0)+1,FALSE)</f>
        <v>鎮癒の天使 ラファエル</v>
      </c>
      <c r="E299" s="66">
        <v>111</v>
      </c>
      <c r="F299" s="3" t="str">
        <f ca="1">VLOOKUP($E299,OFFSET([2]characters!$A$1,0,0,COUNTA([2]characters!$A:$A),MATCH(F$1,[2]characters!$1:$1,0)-MATCH($A$1,[2]characters!$1:$1,0)+1),MATCH(F$1,[2]characters!$1:$1,0)-MATCH($A$1,[2]characters!$1:$1,0)+1,FALSE)</f>
        <v>ブルーキャタップ</v>
      </c>
      <c r="G299" s="66">
        <v>3</v>
      </c>
      <c r="H299" s="66">
        <v>1</v>
      </c>
      <c r="I299" s="66">
        <v>1</v>
      </c>
    </row>
    <row r="300" spans="1:9" x14ac:dyDescent="0.15">
      <c r="A300" s="66">
        <v>245</v>
      </c>
      <c r="B300" s="3" t="str">
        <f ca="1">VLOOKUP($A300,OFFSET([2]characters!$A$1,0,0,COUNTA([2]characters!$A:$A),MATCH(B$1,[2]characters!$1:$1,0)-MATCH($A$1,[2]characters!$1:$1,0)+1),MATCH(B$1,[2]characters!$1:$1,0)-MATCH($A$1,[2]characters!$1:$1,0)+1,FALSE)</f>
        <v>鎮癒の天使 ラファエル</v>
      </c>
      <c r="C300" s="93">
        <f ca="1">VLOOKUP($A300,OFFSET(fork_awake_units!$A$1,0,0,COUNTA(fork_awake_units!$A:$A),MATCH(C$1,fork_awake_units!$1:$1,0)-MATCH($A$1,fork_awake_units!$1:$1,0)+1),MATCH(C$1,fork_awake_units!$1:$1,0)-MATCH($A$1,fork_awake_units!$1:$1,0)+1,FALSE)</f>
        <v>246</v>
      </c>
      <c r="D300" s="3" t="str">
        <f ca="1">VLOOKUP($C300,OFFSET([2]characters!$A$1,0,0,COUNTA([2]characters!$A:$A),MATCH(D$1,[2]characters!$1:$1,0)-MATCH($A$1,[2]characters!$1:$1,0)+1),MATCH(D$1,[2]characters!$1:$1,0)-MATCH($A$1,[2]characters!$1:$1,0)+1,FALSE)</f>
        <v>真癒の天使 ラファエル・メディカ</v>
      </c>
      <c r="E300" s="66">
        <v>110</v>
      </c>
      <c r="F300" s="3" t="str">
        <f ca="1">VLOOKUP($E300,OFFSET([2]characters!$A$1,0,0,COUNTA([2]characters!$A:$A),MATCH(F$1,[2]characters!$1:$1,0)-MATCH($A$1,[2]characters!$1:$1,0)+1),MATCH(F$1,[2]characters!$1:$1,0)-MATCH($A$1,[2]characters!$1:$1,0)+1,FALSE)</f>
        <v>ブルーラビット</v>
      </c>
      <c r="G300" s="66">
        <v>1</v>
      </c>
      <c r="H300" s="66">
        <v>1</v>
      </c>
      <c r="I300" s="66">
        <v>1</v>
      </c>
    </row>
    <row r="301" spans="1:9" x14ac:dyDescent="0.15">
      <c r="A301" s="66">
        <v>245</v>
      </c>
      <c r="B301" s="3" t="str">
        <f ca="1">VLOOKUP($A301,OFFSET([2]characters!$A$1,0,0,COUNTA([2]characters!$A:$A),MATCH(B$1,[2]characters!$1:$1,0)-MATCH($A$1,[2]characters!$1:$1,0)+1),MATCH(B$1,[2]characters!$1:$1,0)-MATCH($A$1,[2]characters!$1:$1,0)+1,FALSE)</f>
        <v>鎮癒の天使 ラファエル</v>
      </c>
      <c r="C301" s="93">
        <f ca="1">VLOOKUP($A301,OFFSET(fork_awake_units!$A$1,0,0,COUNTA(fork_awake_units!$A:$A),MATCH(C$1,fork_awake_units!$1:$1,0)-MATCH($A$1,fork_awake_units!$1:$1,0)+1),MATCH(C$1,fork_awake_units!$1:$1,0)-MATCH($A$1,fork_awake_units!$1:$1,0)+1,FALSE)</f>
        <v>246</v>
      </c>
      <c r="D301" s="3" t="str">
        <f ca="1">VLOOKUP($C301,OFFSET([2]characters!$A$1,0,0,COUNTA([2]characters!$A:$A),MATCH(D$1,[2]characters!$1:$1,0)-MATCH($A$1,[2]characters!$1:$1,0)+1),MATCH(D$1,[2]characters!$1:$1,0)-MATCH($A$1,[2]characters!$1:$1,0)+1,FALSE)</f>
        <v>真癒の天使 ラファエル・メディカ</v>
      </c>
      <c r="E301" s="66">
        <v>111</v>
      </c>
      <c r="F301" s="3" t="str">
        <f ca="1">VLOOKUP($E301,OFFSET([2]characters!$A$1,0,0,COUNTA([2]characters!$A:$A),MATCH(F$1,[2]characters!$1:$1,0)-MATCH($A$1,[2]characters!$1:$1,0)+1),MATCH(F$1,[2]characters!$1:$1,0)-MATCH($A$1,[2]characters!$1:$1,0)+1,FALSE)</f>
        <v>ブルーキャタップ</v>
      </c>
      <c r="G301" s="66">
        <v>2</v>
      </c>
      <c r="H301" s="66">
        <v>1</v>
      </c>
      <c r="I301" s="66">
        <v>1</v>
      </c>
    </row>
    <row r="302" spans="1:9" x14ac:dyDescent="0.15">
      <c r="A302" s="66">
        <v>245</v>
      </c>
      <c r="B302" s="3" t="str">
        <f ca="1">VLOOKUP($A302,OFFSET([2]characters!$A$1,0,0,COUNTA([2]characters!$A:$A),MATCH(B$1,[2]characters!$1:$1,0)-MATCH($A$1,[2]characters!$1:$1,0)+1),MATCH(B$1,[2]characters!$1:$1,0)-MATCH($A$1,[2]characters!$1:$1,0)+1,FALSE)</f>
        <v>鎮癒の天使 ラファエル</v>
      </c>
      <c r="C302" s="93">
        <f ca="1">VLOOKUP($A302,OFFSET(fork_awake_units!$A$1,0,0,COUNTA(fork_awake_units!$A:$A),MATCH(C$1,fork_awake_units!$1:$1,0)-MATCH($A$1,fork_awake_units!$1:$1,0)+1),MATCH(C$1,fork_awake_units!$1:$1,0)-MATCH($A$1,fork_awake_units!$1:$1,0)+1,FALSE)</f>
        <v>246</v>
      </c>
      <c r="D302" s="3" t="str">
        <f ca="1">VLOOKUP($C302,OFFSET([2]characters!$A$1,0,0,COUNTA([2]characters!$A:$A),MATCH(D$1,[2]characters!$1:$1,0)-MATCH($A$1,[2]characters!$1:$1,0)+1),MATCH(D$1,[2]characters!$1:$1,0)-MATCH($A$1,[2]characters!$1:$1,0)+1,FALSE)</f>
        <v>真癒の天使 ラファエル・メディカ</v>
      </c>
      <c r="E302" s="66">
        <v>112</v>
      </c>
      <c r="F302" s="3" t="str">
        <f ca="1">VLOOKUP($E302,OFFSET([2]characters!$A$1,0,0,COUNTA([2]characters!$A:$A),MATCH(F$1,[2]characters!$1:$1,0)-MATCH($A$1,[2]characters!$1:$1,0)+1),MATCH(F$1,[2]characters!$1:$1,0)-MATCH($A$1,[2]characters!$1:$1,0)+1,FALSE)</f>
        <v>水のマッドハッター</v>
      </c>
      <c r="G302" s="66">
        <v>2</v>
      </c>
      <c r="H302" s="66">
        <v>1</v>
      </c>
      <c r="I302" s="66">
        <v>1</v>
      </c>
    </row>
    <row r="303" spans="1:9" x14ac:dyDescent="0.15">
      <c r="A303" s="66">
        <v>247</v>
      </c>
      <c r="B303" s="3" t="str">
        <f ca="1">VLOOKUP($A303,OFFSET([2]characters!$A$1,0,0,COUNTA([2]characters!$A:$A),MATCH(B$1,[2]characters!$1:$1,0)-MATCH($A$1,[2]characters!$1:$1,0)+1),MATCH(B$1,[2]characters!$1:$1,0)-MATCH($A$1,[2]characters!$1:$1,0)+1,FALSE)</f>
        <v>ミカエル</v>
      </c>
      <c r="C303" s="93">
        <f ca="1">VLOOKUP($A303,OFFSET(fork_awake_units!$A$1,0,0,COUNTA(fork_awake_units!$A:$A),MATCH(C$1,fork_awake_units!$1:$1,0)-MATCH($A$1,fork_awake_units!$1:$1,0)+1),MATCH(C$1,fork_awake_units!$1:$1,0)-MATCH($A$1,fork_awake_units!$1:$1,0)+1,FALSE)</f>
        <v>248</v>
      </c>
      <c r="D303" s="3" t="str">
        <f ca="1">VLOOKUP($C303,OFFSET([2]characters!$A$1,0,0,COUNTA([2]characters!$A:$A),MATCH(D$1,[2]characters!$1:$1,0)-MATCH($A$1,[2]characters!$1:$1,0)+1),MATCH(D$1,[2]characters!$1:$1,0)-MATCH($A$1,[2]characters!$1:$1,0)+1,FALSE)</f>
        <v>彩電の天使 ミカエル</v>
      </c>
      <c r="E303" s="66">
        <v>114</v>
      </c>
      <c r="F303" s="3" t="str">
        <f ca="1">VLOOKUP($E303,OFFSET([2]characters!$A$1,0,0,COUNTA([2]characters!$A:$A),MATCH(F$1,[2]characters!$1:$1,0)-MATCH($A$1,[2]characters!$1:$1,0)+1),MATCH(F$1,[2]characters!$1:$1,0)-MATCH($A$1,[2]characters!$1:$1,0)+1,FALSE)</f>
        <v>イエローラビット</v>
      </c>
      <c r="G303" s="66">
        <v>1</v>
      </c>
      <c r="H303" s="66">
        <v>1</v>
      </c>
      <c r="I303" s="66">
        <v>1</v>
      </c>
    </row>
    <row r="304" spans="1:9" x14ac:dyDescent="0.15">
      <c r="A304" s="66">
        <v>247</v>
      </c>
      <c r="B304" s="3" t="str">
        <f ca="1">VLOOKUP($A304,OFFSET([2]characters!$A$1,0,0,COUNTA([2]characters!$A:$A),MATCH(B$1,[2]characters!$1:$1,0)-MATCH($A$1,[2]characters!$1:$1,0)+1),MATCH(B$1,[2]characters!$1:$1,0)-MATCH($A$1,[2]characters!$1:$1,0)+1,FALSE)</f>
        <v>ミカエル</v>
      </c>
      <c r="C304" s="93">
        <f ca="1">VLOOKUP($A304,OFFSET(fork_awake_units!$A$1,0,0,COUNTA(fork_awake_units!$A:$A),MATCH(C$1,fork_awake_units!$1:$1,0)-MATCH($A$1,fork_awake_units!$1:$1,0)+1),MATCH(C$1,fork_awake_units!$1:$1,0)-MATCH($A$1,fork_awake_units!$1:$1,0)+1,FALSE)</f>
        <v>248</v>
      </c>
      <c r="D304" s="3" t="str">
        <f ca="1">VLOOKUP($C304,OFFSET([2]characters!$A$1,0,0,COUNTA([2]characters!$A:$A),MATCH(D$1,[2]characters!$1:$1,0)-MATCH($A$1,[2]characters!$1:$1,0)+1),MATCH(D$1,[2]characters!$1:$1,0)-MATCH($A$1,[2]characters!$1:$1,0)+1,FALSE)</f>
        <v>彩電の天使 ミカエル</v>
      </c>
      <c r="E304" s="66">
        <v>115</v>
      </c>
      <c r="F304" s="3" t="str">
        <f ca="1">VLOOKUP($E304,OFFSET([2]characters!$A$1,0,0,COUNTA([2]characters!$A:$A),MATCH(F$1,[2]characters!$1:$1,0)-MATCH($A$1,[2]characters!$1:$1,0)+1),MATCH(F$1,[2]characters!$1:$1,0)-MATCH($A$1,[2]characters!$1:$1,0)+1,FALSE)</f>
        <v>イエローキャタップ</v>
      </c>
      <c r="G304" s="66">
        <v>3</v>
      </c>
      <c r="H304" s="66">
        <v>1</v>
      </c>
      <c r="I304" s="66">
        <v>1</v>
      </c>
    </row>
    <row r="305" spans="1:9" x14ac:dyDescent="0.15">
      <c r="A305" s="66">
        <v>248</v>
      </c>
      <c r="B305" s="3" t="str">
        <f ca="1">VLOOKUP($A305,OFFSET([2]characters!$A$1,0,0,COUNTA([2]characters!$A:$A),MATCH(B$1,[2]characters!$1:$1,0)-MATCH($A$1,[2]characters!$1:$1,0)+1),MATCH(B$1,[2]characters!$1:$1,0)-MATCH($A$1,[2]characters!$1:$1,0)+1,FALSE)</f>
        <v>彩電の天使 ミカエル</v>
      </c>
      <c r="C305" s="93">
        <f ca="1">VLOOKUP($A305,OFFSET(fork_awake_units!$A$1,0,0,COUNTA(fork_awake_units!$A:$A),MATCH(C$1,fork_awake_units!$1:$1,0)-MATCH($A$1,fork_awake_units!$1:$1,0)+1),MATCH(C$1,fork_awake_units!$1:$1,0)-MATCH($A$1,fork_awake_units!$1:$1,0)+1,FALSE)</f>
        <v>249</v>
      </c>
      <c r="D305" s="3" t="str">
        <f ca="1">VLOOKUP($C305,OFFSET([2]characters!$A$1,0,0,COUNTA([2]characters!$A:$A),MATCH(D$1,[2]characters!$1:$1,0)-MATCH($A$1,[2]characters!$1:$1,0)+1),MATCH(D$1,[2]characters!$1:$1,0)-MATCH($A$1,[2]characters!$1:$1,0)+1,FALSE)</f>
        <v>雷電の天使 ミカエル・ゲイナー</v>
      </c>
      <c r="E305" s="66">
        <v>114</v>
      </c>
      <c r="F305" s="3" t="str">
        <f ca="1">VLOOKUP($E305,OFFSET([2]characters!$A$1,0,0,COUNTA([2]characters!$A:$A),MATCH(F$1,[2]characters!$1:$1,0)-MATCH($A$1,[2]characters!$1:$1,0)+1),MATCH(F$1,[2]characters!$1:$1,0)-MATCH($A$1,[2]characters!$1:$1,0)+1,FALSE)</f>
        <v>イエローラビット</v>
      </c>
      <c r="G305" s="66">
        <v>1</v>
      </c>
      <c r="H305" s="66">
        <v>1</v>
      </c>
      <c r="I305" s="66">
        <v>1</v>
      </c>
    </row>
    <row r="306" spans="1:9" x14ac:dyDescent="0.15">
      <c r="A306" s="66">
        <v>248</v>
      </c>
      <c r="B306" s="3" t="str">
        <f ca="1">VLOOKUP($A306,OFFSET([2]characters!$A$1,0,0,COUNTA([2]characters!$A:$A),MATCH(B$1,[2]characters!$1:$1,0)-MATCH($A$1,[2]characters!$1:$1,0)+1),MATCH(B$1,[2]characters!$1:$1,0)-MATCH($A$1,[2]characters!$1:$1,0)+1,FALSE)</f>
        <v>彩電の天使 ミカエル</v>
      </c>
      <c r="C306" s="93">
        <f ca="1">VLOOKUP($A306,OFFSET(fork_awake_units!$A$1,0,0,COUNTA(fork_awake_units!$A:$A),MATCH(C$1,fork_awake_units!$1:$1,0)-MATCH($A$1,fork_awake_units!$1:$1,0)+1),MATCH(C$1,fork_awake_units!$1:$1,0)-MATCH($A$1,fork_awake_units!$1:$1,0)+1,FALSE)</f>
        <v>249</v>
      </c>
      <c r="D306" s="3" t="str">
        <f ca="1">VLOOKUP($C306,OFFSET([2]characters!$A$1,0,0,COUNTA([2]characters!$A:$A),MATCH(D$1,[2]characters!$1:$1,0)-MATCH($A$1,[2]characters!$1:$1,0)+1),MATCH(D$1,[2]characters!$1:$1,0)-MATCH($A$1,[2]characters!$1:$1,0)+1,FALSE)</f>
        <v>雷電の天使 ミカエル・ゲイナー</v>
      </c>
      <c r="E306" s="66">
        <v>115</v>
      </c>
      <c r="F306" s="3" t="str">
        <f ca="1">VLOOKUP($E306,OFFSET([2]characters!$A$1,0,0,COUNTA([2]characters!$A:$A),MATCH(F$1,[2]characters!$1:$1,0)-MATCH($A$1,[2]characters!$1:$1,0)+1),MATCH(F$1,[2]characters!$1:$1,0)-MATCH($A$1,[2]characters!$1:$1,0)+1,FALSE)</f>
        <v>イエローキャタップ</v>
      </c>
      <c r="G306" s="66">
        <v>2</v>
      </c>
      <c r="H306" s="66">
        <v>1</v>
      </c>
      <c r="I306" s="66">
        <v>1</v>
      </c>
    </row>
    <row r="307" spans="1:9" x14ac:dyDescent="0.15">
      <c r="A307" s="66">
        <v>248</v>
      </c>
      <c r="B307" s="3" t="str">
        <f ca="1">VLOOKUP($A307,OFFSET([2]characters!$A$1,0,0,COUNTA([2]characters!$A:$A),MATCH(B$1,[2]characters!$1:$1,0)-MATCH($A$1,[2]characters!$1:$1,0)+1),MATCH(B$1,[2]characters!$1:$1,0)-MATCH($A$1,[2]characters!$1:$1,0)+1,FALSE)</f>
        <v>彩電の天使 ミカエル</v>
      </c>
      <c r="C307" s="93">
        <f ca="1">VLOOKUP($A307,OFFSET(fork_awake_units!$A$1,0,0,COUNTA(fork_awake_units!$A:$A),MATCH(C$1,fork_awake_units!$1:$1,0)-MATCH($A$1,fork_awake_units!$1:$1,0)+1),MATCH(C$1,fork_awake_units!$1:$1,0)-MATCH($A$1,fork_awake_units!$1:$1,0)+1,FALSE)</f>
        <v>249</v>
      </c>
      <c r="D307" s="3" t="str">
        <f ca="1">VLOOKUP($C307,OFFSET([2]characters!$A$1,0,0,COUNTA([2]characters!$A:$A),MATCH(D$1,[2]characters!$1:$1,0)-MATCH($A$1,[2]characters!$1:$1,0)+1),MATCH(D$1,[2]characters!$1:$1,0)-MATCH($A$1,[2]characters!$1:$1,0)+1,FALSE)</f>
        <v>雷電の天使 ミカエル・ゲイナー</v>
      </c>
      <c r="E307" s="66">
        <v>116</v>
      </c>
      <c r="F307" s="3" t="str">
        <f ca="1">VLOOKUP($E307,OFFSET([2]characters!$A$1,0,0,COUNTA([2]characters!$A:$A),MATCH(F$1,[2]characters!$1:$1,0)-MATCH($A$1,[2]characters!$1:$1,0)+1),MATCH(F$1,[2]characters!$1:$1,0)-MATCH($A$1,[2]characters!$1:$1,0)+1,FALSE)</f>
        <v>雷のマッドハッター</v>
      </c>
      <c r="G307" s="66">
        <v>2</v>
      </c>
      <c r="H307" s="66">
        <v>1</v>
      </c>
      <c r="I307" s="66">
        <v>1</v>
      </c>
    </row>
    <row r="308" spans="1:9" x14ac:dyDescent="0.15">
      <c r="A308" s="66">
        <v>250</v>
      </c>
      <c r="B308" s="3" t="str">
        <f ca="1">VLOOKUP($A308,OFFSET([2]characters!$A$1,0,0,COUNTA([2]characters!$A:$A),MATCH(B$1,[2]characters!$1:$1,0)-MATCH($A$1,[2]characters!$1:$1,0)+1),MATCH(B$1,[2]characters!$1:$1,0)-MATCH($A$1,[2]characters!$1:$1,0)+1,FALSE)</f>
        <v>マンモン</v>
      </c>
      <c r="C308" s="93">
        <f ca="1">VLOOKUP($A308,OFFSET(fork_awake_units!$A$1,0,0,COUNTA(fork_awake_units!$A:$A),MATCH(C$1,fork_awake_units!$1:$1,0)-MATCH($A$1,fork_awake_units!$1:$1,0)+1),MATCH(C$1,fork_awake_units!$1:$1,0)-MATCH($A$1,fork_awake_units!$1:$1,0)+1,FALSE)</f>
        <v>251</v>
      </c>
      <c r="D308" s="3" t="str">
        <f ca="1">VLOOKUP($C308,OFFSET([2]characters!$A$1,0,0,COUNTA([2]characters!$A:$A),MATCH(D$1,[2]characters!$1:$1,0)-MATCH($A$1,[2]characters!$1:$1,0)+1),MATCH(D$1,[2]characters!$1:$1,0)-MATCH($A$1,[2]characters!$1:$1,0)+1,FALSE)</f>
        <v>強欲 マンモン</v>
      </c>
      <c r="E308" s="66">
        <v>102</v>
      </c>
      <c r="F308" s="3" t="str">
        <f ca="1">VLOOKUP($E308,OFFSET([2]characters!$A$1,0,0,COUNTA([2]characters!$A:$A),MATCH(F$1,[2]characters!$1:$1,0)-MATCH($A$1,[2]characters!$1:$1,0)+1),MATCH(F$1,[2]characters!$1:$1,0)-MATCH($A$1,[2]characters!$1:$1,0)+1,FALSE)</f>
        <v>レッドラビット</v>
      </c>
      <c r="G308" s="66">
        <v>1</v>
      </c>
      <c r="H308" s="66">
        <v>1</v>
      </c>
      <c r="I308" s="66">
        <v>1</v>
      </c>
    </row>
    <row r="309" spans="1:9" x14ac:dyDescent="0.15">
      <c r="A309" s="66">
        <v>250</v>
      </c>
      <c r="B309" s="3" t="str">
        <f ca="1">VLOOKUP($A309,OFFSET([2]characters!$A$1,0,0,COUNTA([2]characters!$A:$A),MATCH(B$1,[2]characters!$1:$1,0)-MATCH($A$1,[2]characters!$1:$1,0)+1),MATCH(B$1,[2]characters!$1:$1,0)-MATCH($A$1,[2]characters!$1:$1,0)+1,FALSE)</f>
        <v>マンモン</v>
      </c>
      <c r="C309" s="93">
        <f ca="1">VLOOKUP($A309,OFFSET(fork_awake_units!$A$1,0,0,COUNTA(fork_awake_units!$A:$A),MATCH(C$1,fork_awake_units!$1:$1,0)-MATCH($A$1,fork_awake_units!$1:$1,0)+1),MATCH(C$1,fork_awake_units!$1:$1,0)-MATCH($A$1,fork_awake_units!$1:$1,0)+1,FALSE)</f>
        <v>251</v>
      </c>
      <c r="D309" s="3" t="str">
        <f ca="1">VLOOKUP($C309,OFFSET([2]characters!$A$1,0,0,COUNTA([2]characters!$A:$A),MATCH(D$1,[2]characters!$1:$1,0)-MATCH($A$1,[2]characters!$1:$1,0)+1),MATCH(D$1,[2]characters!$1:$1,0)-MATCH($A$1,[2]characters!$1:$1,0)+1,FALSE)</f>
        <v>強欲 マンモン</v>
      </c>
      <c r="E309" s="66">
        <v>103</v>
      </c>
      <c r="F309" s="3" t="str">
        <f ca="1">VLOOKUP($E309,OFFSET([2]characters!$A$1,0,0,COUNTA([2]characters!$A:$A),MATCH(F$1,[2]characters!$1:$1,0)-MATCH($A$1,[2]characters!$1:$1,0)+1),MATCH(F$1,[2]characters!$1:$1,0)-MATCH($A$1,[2]characters!$1:$1,0)+1,FALSE)</f>
        <v>レッドキャタップ</v>
      </c>
      <c r="G309" s="66">
        <v>3</v>
      </c>
      <c r="H309" s="66">
        <v>1</v>
      </c>
      <c r="I309" s="66">
        <v>1</v>
      </c>
    </row>
    <row r="310" spans="1:9" x14ac:dyDescent="0.15">
      <c r="A310" s="66">
        <v>251</v>
      </c>
      <c r="B310" s="3" t="str">
        <f ca="1">VLOOKUP($A310,OFFSET([2]characters!$A$1,0,0,COUNTA([2]characters!$A:$A),MATCH(B$1,[2]characters!$1:$1,0)-MATCH($A$1,[2]characters!$1:$1,0)+1),MATCH(B$1,[2]characters!$1:$1,0)-MATCH($A$1,[2]characters!$1:$1,0)+1,FALSE)</f>
        <v>強欲 マンモン</v>
      </c>
      <c r="C310" s="93">
        <f ca="1">VLOOKUP($A310,OFFSET(fork_awake_units!$A$1,0,0,COUNTA(fork_awake_units!$A:$A),MATCH(C$1,fork_awake_units!$1:$1,0)-MATCH($A$1,fork_awake_units!$1:$1,0)+1),MATCH(C$1,fork_awake_units!$1:$1,0)-MATCH($A$1,fork_awake_units!$1:$1,0)+1,FALSE)</f>
        <v>252</v>
      </c>
      <c r="D310" s="3" t="str">
        <f ca="1">VLOOKUP($C310,OFFSET([2]characters!$A$1,0,0,COUNTA([2]characters!$A:$A),MATCH(D$1,[2]characters!$1:$1,0)-MATCH($A$1,[2]characters!$1:$1,0)+1),MATCH(D$1,[2]characters!$1:$1,0)-MATCH($A$1,[2]characters!$1:$1,0)+1,FALSE)</f>
        <v>強欲の沸騰 マンモン</v>
      </c>
      <c r="E310" s="66">
        <v>102</v>
      </c>
      <c r="F310" s="3" t="str">
        <f ca="1">VLOOKUP($E310,OFFSET([2]characters!$A$1,0,0,COUNTA([2]characters!$A:$A),MATCH(F$1,[2]characters!$1:$1,0)-MATCH($A$1,[2]characters!$1:$1,0)+1),MATCH(F$1,[2]characters!$1:$1,0)-MATCH($A$1,[2]characters!$1:$1,0)+1,FALSE)</f>
        <v>レッドラビット</v>
      </c>
      <c r="G310" s="66">
        <v>1</v>
      </c>
      <c r="H310" s="66">
        <v>1</v>
      </c>
      <c r="I310" s="66">
        <v>1</v>
      </c>
    </row>
    <row r="311" spans="1:9" x14ac:dyDescent="0.15">
      <c r="A311" s="66">
        <v>251</v>
      </c>
      <c r="B311" s="3" t="str">
        <f ca="1">VLOOKUP($A311,OFFSET([2]characters!$A$1,0,0,COUNTA([2]characters!$A:$A),MATCH(B$1,[2]characters!$1:$1,0)-MATCH($A$1,[2]characters!$1:$1,0)+1),MATCH(B$1,[2]characters!$1:$1,0)-MATCH($A$1,[2]characters!$1:$1,0)+1,FALSE)</f>
        <v>強欲 マンモン</v>
      </c>
      <c r="C311" s="93">
        <f ca="1">VLOOKUP($A311,OFFSET(fork_awake_units!$A$1,0,0,COUNTA(fork_awake_units!$A:$A),MATCH(C$1,fork_awake_units!$1:$1,0)-MATCH($A$1,fork_awake_units!$1:$1,0)+1),MATCH(C$1,fork_awake_units!$1:$1,0)-MATCH($A$1,fork_awake_units!$1:$1,0)+1,FALSE)</f>
        <v>252</v>
      </c>
      <c r="D311" s="3" t="str">
        <f ca="1">VLOOKUP($C311,OFFSET([2]characters!$A$1,0,0,COUNTA([2]characters!$A:$A),MATCH(D$1,[2]characters!$1:$1,0)-MATCH($A$1,[2]characters!$1:$1,0)+1),MATCH(D$1,[2]characters!$1:$1,0)-MATCH($A$1,[2]characters!$1:$1,0)+1,FALSE)</f>
        <v>強欲の沸騰 マンモン</v>
      </c>
      <c r="E311" s="66">
        <v>103</v>
      </c>
      <c r="F311" s="3" t="str">
        <f ca="1">VLOOKUP($E311,OFFSET([2]characters!$A$1,0,0,COUNTA([2]characters!$A:$A),MATCH(F$1,[2]characters!$1:$1,0)-MATCH($A$1,[2]characters!$1:$1,0)+1),MATCH(F$1,[2]characters!$1:$1,0)-MATCH($A$1,[2]characters!$1:$1,0)+1,FALSE)</f>
        <v>レッドキャタップ</v>
      </c>
      <c r="G311" s="66">
        <v>2</v>
      </c>
      <c r="H311" s="66">
        <v>1</v>
      </c>
      <c r="I311" s="66">
        <v>1</v>
      </c>
    </row>
    <row r="312" spans="1:9" x14ac:dyDescent="0.15">
      <c r="A312" s="66">
        <v>251</v>
      </c>
      <c r="B312" s="3" t="str">
        <f ca="1">VLOOKUP($A312,OFFSET([2]characters!$A$1,0,0,COUNTA([2]characters!$A:$A),MATCH(B$1,[2]characters!$1:$1,0)-MATCH($A$1,[2]characters!$1:$1,0)+1),MATCH(B$1,[2]characters!$1:$1,0)-MATCH($A$1,[2]characters!$1:$1,0)+1,FALSE)</f>
        <v>強欲 マンモン</v>
      </c>
      <c r="C312" s="93">
        <f ca="1">VLOOKUP($A312,OFFSET(fork_awake_units!$A$1,0,0,COUNTA(fork_awake_units!$A:$A),MATCH(C$1,fork_awake_units!$1:$1,0)-MATCH($A$1,fork_awake_units!$1:$1,0)+1),MATCH(C$1,fork_awake_units!$1:$1,0)-MATCH($A$1,fork_awake_units!$1:$1,0)+1,FALSE)</f>
        <v>252</v>
      </c>
      <c r="D312" s="3" t="str">
        <f ca="1">VLOOKUP($C312,OFFSET([2]characters!$A$1,0,0,COUNTA([2]characters!$A:$A),MATCH(D$1,[2]characters!$1:$1,0)-MATCH($A$1,[2]characters!$1:$1,0)+1),MATCH(D$1,[2]characters!$1:$1,0)-MATCH($A$1,[2]characters!$1:$1,0)+1,FALSE)</f>
        <v>強欲の沸騰 マンモン</v>
      </c>
      <c r="E312" s="66">
        <v>104</v>
      </c>
      <c r="F312" s="3" t="str">
        <f ca="1">VLOOKUP($E312,OFFSET([2]characters!$A$1,0,0,COUNTA([2]characters!$A:$A),MATCH(F$1,[2]characters!$1:$1,0)-MATCH($A$1,[2]characters!$1:$1,0)+1),MATCH(F$1,[2]characters!$1:$1,0)-MATCH($A$1,[2]characters!$1:$1,0)+1,FALSE)</f>
        <v>炎のマッドハッター</v>
      </c>
      <c r="G312" s="66">
        <v>2</v>
      </c>
      <c r="H312" s="66">
        <v>1</v>
      </c>
      <c r="I312" s="66">
        <v>1</v>
      </c>
    </row>
    <row r="313" spans="1:9" x14ac:dyDescent="0.15">
      <c r="A313" s="66">
        <v>253</v>
      </c>
      <c r="B313" s="3" t="str">
        <f ca="1">VLOOKUP($A313,OFFSET([2]characters!$A$1,0,0,COUNTA([2]characters!$A:$A),MATCH(B$1,[2]characters!$1:$1,0)-MATCH($A$1,[2]characters!$1:$1,0)+1),MATCH(B$1,[2]characters!$1:$1,0)-MATCH($A$1,[2]characters!$1:$1,0)+1,FALSE)</f>
        <v>ベルフェゴール</v>
      </c>
      <c r="C313" s="93">
        <f ca="1">VLOOKUP($A313,OFFSET(fork_awake_units!$A$1,0,0,COUNTA(fork_awake_units!$A:$A),MATCH(C$1,fork_awake_units!$1:$1,0)-MATCH($A$1,fork_awake_units!$1:$1,0)+1),MATCH(C$1,fork_awake_units!$1:$1,0)-MATCH($A$1,fork_awake_units!$1:$1,0)+1,FALSE)</f>
        <v>254</v>
      </c>
      <c r="D313" s="3" t="str">
        <f ca="1">VLOOKUP($C313,OFFSET([2]characters!$A$1,0,0,COUNTA([2]characters!$A:$A),MATCH(D$1,[2]characters!$1:$1,0)-MATCH($A$1,[2]characters!$1:$1,0)+1),MATCH(D$1,[2]characters!$1:$1,0)-MATCH($A$1,[2]characters!$1:$1,0)+1,FALSE)</f>
        <v>怠惰 ベルフェゴール</v>
      </c>
      <c r="E313" s="66">
        <v>106</v>
      </c>
      <c r="F313" s="3" t="str">
        <f ca="1">VLOOKUP($E313,OFFSET([2]characters!$A$1,0,0,COUNTA([2]characters!$A:$A),MATCH(F$1,[2]characters!$1:$1,0)-MATCH($A$1,[2]characters!$1:$1,0)+1),MATCH(F$1,[2]characters!$1:$1,0)-MATCH($A$1,[2]characters!$1:$1,0)+1,FALSE)</f>
        <v>グリーンラビット</v>
      </c>
      <c r="G313" s="66">
        <v>1</v>
      </c>
      <c r="H313" s="66">
        <v>1</v>
      </c>
      <c r="I313" s="66">
        <v>1</v>
      </c>
    </row>
    <row r="314" spans="1:9" x14ac:dyDescent="0.15">
      <c r="A314" s="66">
        <v>253</v>
      </c>
      <c r="B314" s="3" t="str">
        <f ca="1">VLOOKUP($A314,OFFSET([2]characters!$A$1,0,0,COUNTA([2]characters!$A:$A),MATCH(B$1,[2]characters!$1:$1,0)-MATCH($A$1,[2]characters!$1:$1,0)+1),MATCH(B$1,[2]characters!$1:$1,0)-MATCH($A$1,[2]characters!$1:$1,0)+1,FALSE)</f>
        <v>ベルフェゴール</v>
      </c>
      <c r="C314" s="93">
        <f ca="1">VLOOKUP($A314,OFFSET(fork_awake_units!$A$1,0,0,COUNTA(fork_awake_units!$A:$A),MATCH(C$1,fork_awake_units!$1:$1,0)-MATCH($A$1,fork_awake_units!$1:$1,0)+1),MATCH(C$1,fork_awake_units!$1:$1,0)-MATCH($A$1,fork_awake_units!$1:$1,0)+1,FALSE)</f>
        <v>254</v>
      </c>
      <c r="D314" s="3" t="str">
        <f ca="1">VLOOKUP($C314,OFFSET([2]characters!$A$1,0,0,COUNTA([2]characters!$A:$A),MATCH(D$1,[2]characters!$1:$1,0)-MATCH($A$1,[2]characters!$1:$1,0)+1),MATCH(D$1,[2]characters!$1:$1,0)-MATCH($A$1,[2]characters!$1:$1,0)+1,FALSE)</f>
        <v>怠惰 ベルフェゴール</v>
      </c>
      <c r="E314" s="66">
        <v>107</v>
      </c>
      <c r="F314" s="3" t="str">
        <f ca="1">VLOOKUP($E314,OFFSET([2]characters!$A$1,0,0,COUNTA([2]characters!$A:$A),MATCH(F$1,[2]characters!$1:$1,0)-MATCH($A$1,[2]characters!$1:$1,0)+1),MATCH(F$1,[2]characters!$1:$1,0)-MATCH($A$1,[2]characters!$1:$1,0)+1,FALSE)</f>
        <v>グリーンキャタップ</v>
      </c>
      <c r="G314" s="66">
        <v>3</v>
      </c>
      <c r="H314" s="66">
        <v>1</v>
      </c>
      <c r="I314" s="66">
        <v>1</v>
      </c>
    </row>
    <row r="315" spans="1:9" x14ac:dyDescent="0.15">
      <c r="A315" s="66">
        <v>254</v>
      </c>
      <c r="B315" s="3" t="str">
        <f ca="1">VLOOKUP($A315,OFFSET([2]characters!$A$1,0,0,COUNTA([2]characters!$A:$A),MATCH(B$1,[2]characters!$1:$1,0)-MATCH($A$1,[2]characters!$1:$1,0)+1),MATCH(B$1,[2]characters!$1:$1,0)-MATCH($A$1,[2]characters!$1:$1,0)+1,FALSE)</f>
        <v>怠惰 ベルフェゴール</v>
      </c>
      <c r="C315" s="93">
        <f ca="1">VLOOKUP($A315,OFFSET(fork_awake_units!$A$1,0,0,COUNTA(fork_awake_units!$A:$A),MATCH(C$1,fork_awake_units!$1:$1,0)-MATCH($A$1,fork_awake_units!$1:$1,0)+1),MATCH(C$1,fork_awake_units!$1:$1,0)-MATCH($A$1,fork_awake_units!$1:$1,0)+1,FALSE)</f>
        <v>255</v>
      </c>
      <c r="D315" s="3" t="str">
        <f ca="1">VLOOKUP($C315,OFFSET([2]characters!$A$1,0,0,COUNTA([2]characters!$A:$A),MATCH(D$1,[2]characters!$1:$1,0)-MATCH($A$1,[2]characters!$1:$1,0)+1),MATCH(D$1,[2]characters!$1:$1,0)-MATCH($A$1,[2]characters!$1:$1,0)+1,FALSE)</f>
        <v>怠惰の頂点 ベルフェゴール</v>
      </c>
      <c r="E315" s="66">
        <v>106</v>
      </c>
      <c r="F315" s="3" t="str">
        <f ca="1">VLOOKUP($E315,OFFSET([2]characters!$A$1,0,0,COUNTA([2]characters!$A:$A),MATCH(F$1,[2]characters!$1:$1,0)-MATCH($A$1,[2]characters!$1:$1,0)+1),MATCH(F$1,[2]characters!$1:$1,0)-MATCH($A$1,[2]characters!$1:$1,0)+1,FALSE)</f>
        <v>グリーンラビット</v>
      </c>
      <c r="G315" s="66">
        <v>1</v>
      </c>
      <c r="H315" s="66">
        <v>1</v>
      </c>
      <c r="I315" s="66">
        <v>1</v>
      </c>
    </row>
    <row r="316" spans="1:9" x14ac:dyDescent="0.15">
      <c r="A316" s="66">
        <v>254</v>
      </c>
      <c r="B316" s="3" t="str">
        <f ca="1">VLOOKUP($A316,OFFSET([2]characters!$A$1,0,0,COUNTA([2]characters!$A:$A),MATCH(B$1,[2]characters!$1:$1,0)-MATCH($A$1,[2]characters!$1:$1,0)+1),MATCH(B$1,[2]characters!$1:$1,0)-MATCH($A$1,[2]characters!$1:$1,0)+1,FALSE)</f>
        <v>怠惰 ベルフェゴール</v>
      </c>
      <c r="C316" s="93">
        <f ca="1">VLOOKUP($A316,OFFSET(fork_awake_units!$A$1,0,0,COUNTA(fork_awake_units!$A:$A),MATCH(C$1,fork_awake_units!$1:$1,0)-MATCH($A$1,fork_awake_units!$1:$1,0)+1),MATCH(C$1,fork_awake_units!$1:$1,0)-MATCH($A$1,fork_awake_units!$1:$1,0)+1,FALSE)</f>
        <v>255</v>
      </c>
      <c r="D316" s="3" t="str">
        <f ca="1">VLOOKUP($C316,OFFSET([2]characters!$A$1,0,0,COUNTA([2]characters!$A:$A),MATCH(D$1,[2]characters!$1:$1,0)-MATCH($A$1,[2]characters!$1:$1,0)+1),MATCH(D$1,[2]characters!$1:$1,0)-MATCH($A$1,[2]characters!$1:$1,0)+1,FALSE)</f>
        <v>怠惰の頂点 ベルフェゴール</v>
      </c>
      <c r="E316" s="66">
        <v>107</v>
      </c>
      <c r="F316" s="3" t="str">
        <f ca="1">VLOOKUP($E316,OFFSET([2]characters!$A$1,0,0,COUNTA([2]characters!$A:$A),MATCH(F$1,[2]characters!$1:$1,0)-MATCH($A$1,[2]characters!$1:$1,0)+1),MATCH(F$1,[2]characters!$1:$1,0)-MATCH($A$1,[2]characters!$1:$1,0)+1,FALSE)</f>
        <v>グリーンキャタップ</v>
      </c>
      <c r="G316" s="66">
        <v>2</v>
      </c>
      <c r="H316" s="66">
        <v>1</v>
      </c>
      <c r="I316" s="66">
        <v>1</v>
      </c>
    </row>
    <row r="317" spans="1:9" x14ac:dyDescent="0.15">
      <c r="A317" s="66">
        <v>254</v>
      </c>
      <c r="B317" s="3" t="str">
        <f ca="1">VLOOKUP($A317,OFFSET([2]characters!$A$1,0,0,COUNTA([2]characters!$A:$A),MATCH(B$1,[2]characters!$1:$1,0)-MATCH($A$1,[2]characters!$1:$1,0)+1),MATCH(B$1,[2]characters!$1:$1,0)-MATCH($A$1,[2]characters!$1:$1,0)+1,FALSE)</f>
        <v>怠惰 ベルフェゴール</v>
      </c>
      <c r="C317" s="93">
        <f ca="1">VLOOKUP($A317,OFFSET(fork_awake_units!$A$1,0,0,COUNTA(fork_awake_units!$A:$A),MATCH(C$1,fork_awake_units!$1:$1,0)-MATCH($A$1,fork_awake_units!$1:$1,0)+1),MATCH(C$1,fork_awake_units!$1:$1,0)-MATCH($A$1,fork_awake_units!$1:$1,0)+1,FALSE)</f>
        <v>255</v>
      </c>
      <c r="D317" s="3" t="str">
        <f ca="1">VLOOKUP($C317,OFFSET([2]characters!$A$1,0,0,COUNTA([2]characters!$A:$A),MATCH(D$1,[2]characters!$1:$1,0)-MATCH($A$1,[2]characters!$1:$1,0)+1),MATCH(D$1,[2]characters!$1:$1,0)-MATCH($A$1,[2]characters!$1:$1,0)+1,FALSE)</f>
        <v>怠惰の頂点 ベルフェゴール</v>
      </c>
      <c r="E317" s="66">
        <v>108</v>
      </c>
      <c r="F317" s="3" t="str">
        <f ca="1">VLOOKUP($E317,OFFSET([2]characters!$A$1,0,0,COUNTA([2]characters!$A:$A),MATCH(F$1,[2]characters!$1:$1,0)-MATCH($A$1,[2]characters!$1:$1,0)+1),MATCH(F$1,[2]characters!$1:$1,0)-MATCH($A$1,[2]characters!$1:$1,0)+1,FALSE)</f>
        <v>森のマッドハッター</v>
      </c>
      <c r="G317" s="66">
        <v>2</v>
      </c>
      <c r="H317" s="66">
        <v>1</v>
      </c>
      <c r="I317" s="66">
        <v>1</v>
      </c>
    </row>
    <row r="318" spans="1:9" x14ac:dyDescent="0.15">
      <c r="A318" s="66">
        <v>256</v>
      </c>
      <c r="B318" s="3" t="str">
        <f ca="1">VLOOKUP($A318,OFFSET([2]characters!$A$1,0,0,COUNTA([2]characters!$A:$A),MATCH(B$1,[2]characters!$1:$1,0)-MATCH($A$1,[2]characters!$1:$1,0)+1),MATCH(B$1,[2]characters!$1:$1,0)-MATCH($A$1,[2]characters!$1:$1,0)+1,FALSE)</f>
        <v>アスモデウス</v>
      </c>
      <c r="C318" s="93">
        <f ca="1">VLOOKUP($A318,OFFSET(fork_awake_units!$A$1,0,0,COUNTA(fork_awake_units!$A:$A),MATCH(C$1,fork_awake_units!$1:$1,0)-MATCH($A$1,fork_awake_units!$1:$1,0)+1),MATCH(C$1,fork_awake_units!$1:$1,0)-MATCH($A$1,fork_awake_units!$1:$1,0)+1,FALSE)</f>
        <v>257</v>
      </c>
      <c r="D318" s="3" t="str">
        <f ca="1">VLOOKUP($C318,OFFSET([2]characters!$A$1,0,0,COUNTA([2]characters!$A:$A),MATCH(D$1,[2]characters!$1:$1,0)-MATCH($A$1,[2]characters!$1:$1,0)+1),MATCH(D$1,[2]characters!$1:$1,0)-MATCH($A$1,[2]characters!$1:$1,0)+1,FALSE)</f>
        <v>色欲 アスモデウス</v>
      </c>
      <c r="E318" s="66">
        <v>110</v>
      </c>
      <c r="F318" s="3" t="str">
        <f ca="1">VLOOKUP($E318,OFFSET([2]characters!$A$1,0,0,COUNTA([2]characters!$A:$A),MATCH(F$1,[2]characters!$1:$1,0)-MATCH($A$1,[2]characters!$1:$1,0)+1),MATCH(F$1,[2]characters!$1:$1,0)-MATCH($A$1,[2]characters!$1:$1,0)+1,FALSE)</f>
        <v>ブルーラビット</v>
      </c>
      <c r="G318" s="66">
        <v>1</v>
      </c>
      <c r="H318" s="66">
        <v>1</v>
      </c>
      <c r="I318" s="66">
        <v>1</v>
      </c>
    </row>
    <row r="319" spans="1:9" x14ac:dyDescent="0.15">
      <c r="A319" s="66">
        <v>256</v>
      </c>
      <c r="B319" s="3" t="str">
        <f ca="1">VLOOKUP($A319,OFFSET([2]characters!$A$1,0,0,COUNTA([2]characters!$A:$A),MATCH(B$1,[2]characters!$1:$1,0)-MATCH($A$1,[2]characters!$1:$1,0)+1),MATCH(B$1,[2]characters!$1:$1,0)-MATCH($A$1,[2]characters!$1:$1,0)+1,FALSE)</f>
        <v>アスモデウス</v>
      </c>
      <c r="C319" s="93">
        <f ca="1">VLOOKUP($A319,OFFSET(fork_awake_units!$A$1,0,0,COUNTA(fork_awake_units!$A:$A),MATCH(C$1,fork_awake_units!$1:$1,0)-MATCH($A$1,fork_awake_units!$1:$1,0)+1),MATCH(C$1,fork_awake_units!$1:$1,0)-MATCH($A$1,fork_awake_units!$1:$1,0)+1,FALSE)</f>
        <v>257</v>
      </c>
      <c r="D319" s="3" t="str">
        <f ca="1">VLOOKUP($C319,OFFSET([2]characters!$A$1,0,0,COUNTA([2]characters!$A:$A),MATCH(D$1,[2]characters!$1:$1,0)-MATCH($A$1,[2]characters!$1:$1,0)+1),MATCH(D$1,[2]characters!$1:$1,0)-MATCH($A$1,[2]characters!$1:$1,0)+1,FALSE)</f>
        <v>色欲 アスモデウス</v>
      </c>
      <c r="E319" s="66">
        <v>111</v>
      </c>
      <c r="F319" s="3" t="str">
        <f ca="1">VLOOKUP($E319,OFFSET([2]characters!$A$1,0,0,COUNTA([2]characters!$A:$A),MATCH(F$1,[2]characters!$1:$1,0)-MATCH($A$1,[2]characters!$1:$1,0)+1),MATCH(F$1,[2]characters!$1:$1,0)-MATCH($A$1,[2]characters!$1:$1,0)+1,FALSE)</f>
        <v>ブルーキャタップ</v>
      </c>
      <c r="G319" s="66">
        <v>3</v>
      </c>
      <c r="H319" s="66">
        <v>1</v>
      </c>
      <c r="I319" s="66">
        <v>1</v>
      </c>
    </row>
    <row r="320" spans="1:9" x14ac:dyDescent="0.15">
      <c r="A320" s="66">
        <v>257</v>
      </c>
      <c r="B320" s="3" t="str">
        <f ca="1">VLOOKUP($A320,OFFSET([2]characters!$A$1,0,0,COUNTA([2]characters!$A:$A),MATCH(B$1,[2]characters!$1:$1,0)-MATCH($A$1,[2]characters!$1:$1,0)+1),MATCH(B$1,[2]characters!$1:$1,0)-MATCH($A$1,[2]characters!$1:$1,0)+1,FALSE)</f>
        <v>色欲 アスモデウス</v>
      </c>
      <c r="C320" s="93">
        <f ca="1">VLOOKUP($A320,OFFSET(fork_awake_units!$A$1,0,0,COUNTA(fork_awake_units!$A:$A),MATCH(C$1,fork_awake_units!$1:$1,0)-MATCH($A$1,fork_awake_units!$1:$1,0)+1),MATCH(C$1,fork_awake_units!$1:$1,0)-MATCH($A$1,fork_awake_units!$1:$1,0)+1,FALSE)</f>
        <v>258</v>
      </c>
      <c r="D320" s="3" t="str">
        <f ca="1">VLOOKUP($C320,OFFSET([2]characters!$A$1,0,0,COUNTA([2]characters!$A:$A),MATCH(D$1,[2]characters!$1:$1,0)-MATCH($A$1,[2]characters!$1:$1,0)+1),MATCH(D$1,[2]characters!$1:$1,0)-MATCH($A$1,[2]characters!$1:$1,0)+1,FALSE)</f>
        <v>色欲の源流 アスモデウス</v>
      </c>
      <c r="E320" s="66">
        <v>110</v>
      </c>
      <c r="F320" s="3" t="str">
        <f ca="1">VLOOKUP($E320,OFFSET([2]characters!$A$1,0,0,COUNTA([2]characters!$A:$A),MATCH(F$1,[2]characters!$1:$1,0)-MATCH($A$1,[2]characters!$1:$1,0)+1),MATCH(F$1,[2]characters!$1:$1,0)-MATCH($A$1,[2]characters!$1:$1,0)+1,FALSE)</f>
        <v>ブルーラビット</v>
      </c>
      <c r="G320" s="66">
        <v>1</v>
      </c>
      <c r="H320" s="66">
        <v>1</v>
      </c>
      <c r="I320" s="66">
        <v>1</v>
      </c>
    </row>
    <row r="321" spans="1:9" x14ac:dyDescent="0.15">
      <c r="A321" s="66">
        <v>257</v>
      </c>
      <c r="B321" s="3" t="str">
        <f ca="1">VLOOKUP($A321,OFFSET([2]characters!$A$1,0,0,COUNTA([2]characters!$A:$A),MATCH(B$1,[2]characters!$1:$1,0)-MATCH($A$1,[2]characters!$1:$1,0)+1),MATCH(B$1,[2]characters!$1:$1,0)-MATCH($A$1,[2]characters!$1:$1,0)+1,FALSE)</f>
        <v>色欲 アスモデウス</v>
      </c>
      <c r="C321" s="93">
        <f ca="1">VLOOKUP($A321,OFFSET(fork_awake_units!$A$1,0,0,COUNTA(fork_awake_units!$A:$A),MATCH(C$1,fork_awake_units!$1:$1,0)-MATCH($A$1,fork_awake_units!$1:$1,0)+1),MATCH(C$1,fork_awake_units!$1:$1,0)-MATCH($A$1,fork_awake_units!$1:$1,0)+1,FALSE)</f>
        <v>258</v>
      </c>
      <c r="D321" s="3" t="str">
        <f ca="1">VLOOKUP($C321,OFFSET([2]characters!$A$1,0,0,COUNTA([2]characters!$A:$A),MATCH(D$1,[2]characters!$1:$1,0)-MATCH($A$1,[2]characters!$1:$1,0)+1),MATCH(D$1,[2]characters!$1:$1,0)-MATCH($A$1,[2]characters!$1:$1,0)+1,FALSE)</f>
        <v>色欲の源流 アスモデウス</v>
      </c>
      <c r="E321" s="66">
        <v>111</v>
      </c>
      <c r="F321" s="3" t="str">
        <f ca="1">VLOOKUP($E321,OFFSET([2]characters!$A$1,0,0,COUNTA([2]characters!$A:$A),MATCH(F$1,[2]characters!$1:$1,0)-MATCH($A$1,[2]characters!$1:$1,0)+1),MATCH(F$1,[2]characters!$1:$1,0)-MATCH($A$1,[2]characters!$1:$1,0)+1,FALSE)</f>
        <v>ブルーキャタップ</v>
      </c>
      <c r="G321" s="66">
        <v>2</v>
      </c>
      <c r="H321" s="66">
        <v>1</v>
      </c>
      <c r="I321" s="66">
        <v>1</v>
      </c>
    </row>
    <row r="322" spans="1:9" x14ac:dyDescent="0.15">
      <c r="A322" s="66">
        <v>257</v>
      </c>
      <c r="B322" s="3" t="str">
        <f ca="1">VLOOKUP($A322,OFFSET([2]characters!$A$1,0,0,COUNTA([2]characters!$A:$A),MATCH(B$1,[2]characters!$1:$1,0)-MATCH($A$1,[2]characters!$1:$1,0)+1),MATCH(B$1,[2]characters!$1:$1,0)-MATCH($A$1,[2]characters!$1:$1,0)+1,FALSE)</f>
        <v>色欲 アスモデウス</v>
      </c>
      <c r="C322" s="93">
        <f ca="1">VLOOKUP($A322,OFFSET(fork_awake_units!$A$1,0,0,COUNTA(fork_awake_units!$A:$A),MATCH(C$1,fork_awake_units!$1:$1,0)-MATCH($A$1,fork_awake_units!$1:$1,0)+1),MATCH(C$1,fork_awake_units!$1:$1,0)-MATCH($A$1,fork_awake_units!$1:$1,0)+1,FALSE)</f>
        <v>258</v>
      </c>
      <c r="D322" s="3" t="str">
        <f ca="1">VLOOKUP($C322,OFFSET([2]characters!$A$1,0,0,COUNTA([2]characters!$A:$A),MATCH(D$1,[2]characters!$1:$1,0)-MATCH($A$1,[2]characters!$1:$1,0)+1),MATCH(D$1,[2]characters!$1:$1,0)-MATCH($A$1,[2]characters!$1:$1,0)+1,FALSE)</f>
        <v>色欲の源流 アスモデウス</v>
      </c>
      <c r="E322" s="66">
        <v>112</v>
      </c>
      <c r="F322" s="3" t="str">
        <f ca="1">VLOOKUP($E322,OFFSET([2]characters!$A$1,0,0,COUNTA([2]characters!$A:$A),MATCH(F$1,[2]characters!$1:$1,0)-MATCH($A$1,[2]characters!$1:$1,0)+1),MATCH(F$1,[2]characters!$1:$1,0)-MATCH($A$1,[2]characters!$1:$1,0)+1,FALSE)</f>
        <v>水のマッドハッター</v>
      </c>
      <c r="G322" s="66">
        <v>2</v>
      </c>
      <c r="H322" s="66">
        <v>1</v>
      </c>
      <c r="I322" s="66">
        <v>1</v>
      </c>
    </row>
    <row r="323" spans="1:9" x14ac:dyDescent="0.15">
      <c r="A323" s="66">
        <v>259</v>
      </c>
      <c r="B323" s="3" t="str">
        <f ca="1">VLOOKUP($A323,OFFSET([2]characters!$A$1,0,0,COUNTA([2]characters!$A:$A),MATCH(B$1,[2]characters!$1:$1,0)-MATCH($A$1,[2]characters!$1:$1,0)+1),MATCH(B$1,[2]characters!$1:$1,0)-MATCH($A$1,[2]characters!$1:$1,0)+1,FALSE)</f>
        <v>ウロボロス</v>
      </c>
      <c r="C323" s="93">
        <f ca="1">VLOOKUP($A323,OFFSET(fork_awake_units!$A$1,0,0,COUNTA(fork_awake_units!$A:$A),MATCH(C$1,fork_awake_units!$1:$1,0)-MATCH($A$1,fork_awake_units!$1:$1,0)+1),MATCH(C$1,fork_awake_units!$1:$1,0)-MATCH($A$1,fork_awake_units!$1:$1,0)+1,FALSE)</f>
        <v>260</v>
      </c>
      <c r="D323" s="3" t="str">
        <f ca="1">VLOOKUP($C323,OFFSET([2]characters!$A$1,0,0,COUNTA([2]characters!$A:$A),MATCH(D$1,[2]characters!$1:$1,0)-MATCH($A$1,[2]characters!$1:$1,0)+1),MATCH(D$1,[2]characters!$1:$1,0)-MATCH($A$1,[2]characters!$1:$1,0)+1,FALSE)</f>
        <v>輪廻 ウロボロス</v>
      </c>
      <c r="E323" s="66">
        <v>114</v>
      </c>
      <c r="F323" s="3" t="str">
        <f ca="1">VLOOKUP($E323,OFFSET([2]characters!$A$1,0,0,COUNTA([2]characters!$A:$A),MATCH(F$1,[2]characters!$1:$1,0)-MATCH($A$1,[2]characters!$1:$1,0)+1),MATCH(F$1,[2]characters!$1:$1,0)-MATCH($A$1,[2]characters!$1:$1,0)+1,FALSE)</f>
        <v>イエローラビット</v>
      </c>
      <c r="G323" s="66">
        <v>1</v>
      </c>
      <c r="H323" s="66">
        <v>1</v>
      </c>
      <c r="I323" s="66">
        <v>1</v>
      </c>
    </row>
    <row r="324" spans="1:9" x14ac:dyDescent="0.15">
      <c r="A324" s="66">
        <v>259</v>
      </c>
      <c r="B324" s="3" t="str">
        <f ca="1">VLOOKUP($A324,OFFSET([2]characters!$A$1,0,0,COUNTA([2]characters!$A:$A),MATCH(B$1,[2]characters!$1:$1,0)-MATCH($A$1,[2]characters!$1:$1,0)+1),MATCH(B$1,[2]characters!$1:$1,0)-MATCH($A$1,[2]characters!$1:$1,0)+1,FALSE)</f>
        <v>ウロボロス</v>
      </c>
      <c r="C324" s="93">
        <f ca="1">VLOOKUP($A324,OFFSET(fork_awake_units!$A$1,0,0,COUNTA(fork_awake_units!$A:$A),MATCH(C$1,fork_awake_units!$1:$1,0)-MATCH($A$1,fork_awake_units!$1:$1,0)+1),MATCH(C$1,fork_awake_units!$1:$1,0)-MATCH($A$1,fork_awake_units!$1:$1,0)+1,FALSE)</f>
        <v>260</v>
      </c>
      <c r="D324" s="3" t="str">
        <f ca="1">VLOOKUP($C324,OFFSET([2]characters!$A$1,0,0,COUNTA([2]characters!$A:$A),MATCH(D$1,[2]characters!$1:$1,0)-MATCH($A$1,[2]characters!$1:$1,0)+1),MATCH(D$1,[2]characters!$1:$1,0)-MATCH($A$1,[2]characters!$1:$1,0)+1,FALSE)</f>
        <v>輪廻 ウロボロス</v>
      </c>
      <c r="E324" s="66">
        <v>115</v>
      </c>
      <c r="F324" s="3" t="str">
        <f ca="1">VLOOKUP($E324,OFFSET([2]characters!$A$1,0,0,COUNTA([2]characters!$A:$A),MATCH(F$1,[2]characters!$1:$1,0)-MATCH($A$1,[2]characters!$1:$1,0)+1),MATCH(F$1,[2]characters!$1:$1,0)-MATCH($A$1,[2]characters!$1:$1,0)+1,FALSE)</f>
        <v>イエローキャタップ</v>
      </c>
      <c r="G324" s="66">
        <v>3</v>
      </c>
      <c r="H324" s="66">
        <v>1</v>
      </c>
      <c r="I324" s="66">
        <v>1</v>
      </c>
    </row>
    <row r="325" spans="1:9" x14ac:dyDescent="0.15">
      <c r="A325" s="66">
        <v>260</v>
      </c>
      <c r="B325" s="3" t="str">
        <f ca="1">VLOOKUP($A325,OFFSET([2]characters!$A$1,0,0,COUNTA([2]characters!$A:$A),MATCH(B$1,[2]characters!$1:$1,0)-MATCH($A$1,[2]characters!$1:$1,0)+1),MATCH(B$1,[2]characters!$1:$1,0)-MATCH($A$1,[2]characters!$1:$1,0)+1,FALSE)</f>
        <v>輪廻 ウロボロス</v>
      </c>
      <c r="C325" s="93">
        <f ca="1">VLOOKUP($A325,OFFSET(fork_awake_units!$A$1,0,0,COUNTA(fork_awake_units!$A:$A),MATCH(C$1,fork_awake_units!$1:$1,0)-MATCH($A$1,fork_awake_units!$1:$1,0)+1),MATCH(C$1,fork_awake_units!$1:$1,0)-MATCH($A$1,fork_awake_units!$1:$1,0)+1,FALSE)</f>
        <v>261</v>
      </c>
      <c r="D325" s="3" t="str">
        <f ca="1">VLOOKUP($C325,OFFSET([2]characters!$A$1,0,0,COUNTA([2]characters!$A:$A),MATCH(D$1,[2]characters!$1:$1,0)-MATCH($A$1,[2]characters!$1:$1,0)+1),MATCH(D$1,[2]characters!$1:$1,0)-MATCH($A$1,[2]characters!$1:$1,0)+1,FALSE)</f>
        <v>輪廻の蛇龍 ウロボロス</v>
      </c>
      <c r="E325" s="66">
        <v>114</v>
      </c>
      <c r="F325" s="3" t="str">
        <f ca="1">VLOOKUP($E325,OFFSET([2]characters!$A$1,0,0,COUNTA([2]characters!$A:$A),MATCH(F$1,[2]characters!$1:$1,0)-MATCH($A$1,[2]characters!$1:$1,0)+1),MATCH(F$1,[2]characters!$1:$1,0)-MATCH($A$1,[2]characters!$1:$1,0)+1,FALSE)</f>
        <v>イエローラビット</v>
      </c>
      <c r="G325" s="66">
        <v>1</v>
      </c>
      <c r="H325" s="66">
        <v>1</v>
      </c>
      <c r="I325" s="66">
        <v>1</v>
      </c>
    </row>
    <row r="326" spans="1:9" x14ac:dyDescent="0.15">
      <c r="A326" s="66">
        <v>260</v>
      </c>
      <c r="B326" s="3" t="str">
        <f ca="1">VLOOKUP($A326,OFFSET([2]characters!$A$1,0,0,COUNTA([2]characters!$A:$A),MATCH(B$1,[2]characters!$1:$1,0)-MATCH($A$1,[2]characters!$1:$1,0)+1),MATCH(B$1,[2]characters!$1:$1,0)-MATCH($A$1,[2]characters!$1:$1,0)+1,FALSE)</f>
        <v>輪廻 ウロボロス</v>
      </c>
      <c r="C326" s="93">
        <f ca="1">VLOOKUP($A326,OFFSET(fork_awake_units!$A$1,0,0,COUNTA(fork_awake_units!$A:$A),MATCH(C$1,fork_awake_units!$1:$1,0)-MATCH($A$1,fork_awake_units!$1:$1,0)+1),MATCH(C$1,fork_awake_units!$1:$1,0)-MATCH($A$1,fork_awake_units!$1:$1,0)+1,FALSE)</f>
        <v>261</v>
      </c>
      <c r="D326" s="3" t="str">
        <f ca="1">VLOOKUP($C326,OFFSET([2]characters!$A$1,0,0,COUNTA([2]characters!$A:$A),MATCH(D$1,[2]characters!$1:$1,0)-MATCH($A$1,[2]characters!$1:$1,0)+1),MATCH(D$1,[2]characters!$1:$1,0)-MATCH($A$1,[2]characters!$1:$1,0)+1,FALSE)</f>
        <v>輪廻の蛇龍 ウロボロス</v>
      </c>
      <c r="E326" s="66">
        <v>115</v>
      </c>
      <c r="F326" s="3" t="str">
        <f ca="1">VLOOKUP($E326,OFFSET([2]characters!$A$1,0,0,COUNTA([2]characters!$A:$A),MATCH(F$1,[2]characters!$1:$1,0)-MATCH($A$1,[2]characters!$1:$1,0)+1),MATCH(F$1,[2]characters!$1:$1,0)-MATCH($A$1,[2]characters!$1:$1,0)+1,FALSE)</f>
        <v>イエローキャタップ</v>
      </c>
      <c r="G326" s="66">
        <v>2</v>
      </c>
      <c r="H326" s="66">
        <v>1</v>
      </c>
      <c r="I326" s="66">
        <v>1</v>
      </c>
    </row>
    <row r="327" spans="1:9" x14ac:dyDescent="0.15">
      <c r="A327" s="66">
        <v>260</v>
      </c>
      <c r="B327" s="3" t="str">
        <f ca="1">VLOOKUP($A327,OFFSET([2]characters!$A$1,0,0,COUNTA([2]characters!$A:$A),MATCH(B$1,[2]characters!$1:$1,0)-MATCH($A$1,[2]characters!$1:$1,0)+1),MATCH(B$1,[2]characters!$1:$1,0)-MATCH($A$1,[2]characters!$1:$1,0)+1,FALSE)</f>
        <v>輪廻 ウロボロス</v>
      </c>
      <c r="C327" s="93">
        <f ca="1">VLOOKUP($A327,OFFSET(fork_awake_units!$A$1,0,0,COUNTA(fork_awake_units!$A:$A),MATCH(C$1,fork_awake_units!$1:$1,0)-MATCH($A$1,fork_awake_units!$1:$1,0)+1),MATCH(C$1,fork_awake_units!$1:$1,0)-MATCH($A$1,fork_awake_units!$1:$1,0)+1,FALSE)</f>
        <v>261</v>
      </c>
      <c r="D327" s="3" t="str">
        <f ca="1">VLOOKUP($C327,OFFSET([2]characters!$A$1,0,0,COUNTA([2]characters!$A:$A),MATCH(D$1,[2]characters!$1:$1,0)-MATCH($A$1,[2]characters!$1:$1,0)+1),MATCH(D$1,[2]characters!$1:$1,0)-MATCH($A$1,[2]characters!$1:$1,0)+1,FALSE)</f>
        <v>輪廻の蛇龍 ウロボロス</v>
      </c>
      <c r="E327" s="66">
        <v>116</v>
      </c>
      <c r="F327" s="3" t="str">
        <f ca="1">VLOOKUP($E327,OFFSET([2]characters!$A$1,0,0,COUNTA([2]characters!$A:$A),MATCH(F$1,[2]characters!$1:$1,0)-MATCH($A$1,[2]characters!$1:$1,0)+1),MATCH(F$1,[2]characters!$1:$1,0)-MATCH($A$1,[2]characters!$1:$1,0)+1,FALSE)</f>
        <v>雷のマッドハッター</v>
      </c>
      <c r="G327" s="66">
        <v>2</v>
      </c>
      <c r="H327" s="66">
        <v>1</v>
      </c>
      <c r="I327" s="66">
        <v>1</v>
      </c>
    </row>
    <row r="328" spans="1:9" x14ac:dyDescent="0.15">
      <c r="A328" s="66">
        <v>262</v>
      </c>
      <c r="B328" s="3" t="str">
        <f ca="1">VLOOKUP($A328,OFFSET([2]characters!$A$1,0,0,COUNTA([2]characters!$A:$A),MATCH(B$1,[2]characters!$1:$1,0)-MATCH($A$1,[2]characters!$1:$1,0)+1),MATCH(B$1,[2]characters!$1:$1,0)-MATCH($A$1,[2]characters!$1:$1,0)+1,FALSE)</f>
        <v>アシュリー</v>
      </c>
      <c r="C328" s="93">
        <f ca="1">VLOOKUP($A328,OFFSET(fork_awake_units!$A$1,0,0,COUNTA(fork_awake_units!$A:$A),MATCH(C$1,fork_awake_units!$1:$1,0)-MATCH($A$1,fork_awake_units!$1:$1,0)+1),MATCH(C$1,fork_awake_units!$1:$1,0)-MATCH($A$1,fork_awake_units!$1:$1,0)+1,FALSE)</f>
        <v>263</v>
      </c>
      <c r="D328" s="3" t="str">
        <f ca="1">VLOOKUP($C328,OFFSET([2]characters!$A$1,0,0,COUNTA([2]characters!$A:$A),MATCH(D$1,[2]characters!$1:$1,0)-MATCH($A$1,[2]characters!$1:$1,0)+1),MATCH(D$1,[2]characters!$1:$1,0)-MATCH($A$1,[2]characters!$1:$1,0)+1,FALSE)</f>
        <v>鉤爪姫 アシュリー</v>
      </c>
      <c r="E328" s="66">
        <v>101</v>
      </c>
      <c r="F328" s="3" t="str">
        <f ca="1">VLOOKUP($E328,OFFSET([2]characters!$A$1,0,0,COUNTA([2]characters!$A:$A),MATCH(F$1,[2]characters!$1:$1,0)-MATCH($A$1,[2]characters!$1:$1,0)+1),MATCH(F$1,[2]characters!$1:$1,0)-MATCH($A$1,[2]characters!$1:$1,0)+1,FALSE)</f>
        <v>レッドチェシャ</v>
      </c>
      <c r="G328" s="66">
        <v>3</v>
      </c>
      <c r="H328" s="66">
        <v>1</v>
      </c>
      <c r="I328" s="66">
        <v>1</v>
      </c>
    </row>
    <row r="329" spans="1:9" x14ac:dyDescent="0.15">
      <c r="A329" s="66">
        <v>262</v>
      </c>
      <c r="B329" s="3" t="str">
        <f ca="1">VLOOKUP($A329,OFFSET([2]characters!$A$1,0,0,COUNTA([2]characters!$A:$A),MATCH(B$1,[2]characters!$1:$1,0)-MATCH($A$1,[2]characters!$1:$1,0)+1),MATCH(B$1,[2]characters!$1:$1,0)-MATCH($A$1,[2]characters!$1:$1,0)+1,FALSE)</f>
        <v>アシュリー</v>
      </c>
      <c r="C329" s="93">
        <f ca="1">VLOOKUP($A329,OFFSET(fork_awake_units!$A$1,0,0,COUNTA(fork_awake_units!$A:$A),MATCH(C$1,fork_awake_units!$1:$1,0)-MATCH($A$1,fork_awake_units!$1:$1,0)+1),MATCH(C$1,fork_awake_units!$1:$1,0)-MATCH($A$1,fork_awake_units!$1:$1,0)+1,FALSE)</f>
        <v>263</v>
      </c>
      <c r="D329" s="3" t="str">
        <f ca="1">VLOOKUP($C329,OFFSET([2]characters!$A$1,0,0,COUNTA([2]characters!$A:$A),MATCH(D$1,[2]characters!$1:$1,0)-MATCH($A$1,[2]characters!$1:$1,0)+1),MATCH(D$1,[2]characters!$1:$1,0)-MATCH($A$1,[2]characters!$1:$1,0)+1,FALSE)</f>
        <v>鉤爪姫 アシュリー</v>
      </c>
      <c r="E329" s="66">
        <v>102</v>
      </c>
      <c r="F329" s="3" t="str">
        <f ca="1">VLOOKUP($E329,OFFSET([2]characters!$A$1,0,0,COUNTA([2]characters!$A:$A),MATCH(F$1,[2]characters!$1:$1,0)-MATCH($A$1,[2]characters!$1:$1,0)+1),MATCH(F$1,[2]characters!$1:$1,0)-MATCH($A$1,[2]characters!$1:$1,0)+1,FALSE)</f>
        <v>レッドラビット</v>
      </c>
      <c r="G329" s="66">
        <v>1</v>
      </c>
      <c r="H329" s="66">
        <v>1</v>
      </c>
      <c r="I329" s="66">
        <v>1</v>
      </c>
    </row>
    <row r="330" spans="1:9" x14ac:dyDescent="0.15">
      <c r="A330" s="66">
        <v>262</v>
      </c>
      <c r="B330" s="3" t="str">
        <f ca="1">VLOOKUP($A330,OFFSET([2]characters!$A$1,0,0,COUNTA([2]characters!$A:$A),MATCH(B$1,[2]characters!$1:$1,0)-MATCH($A$1,[2]characters!$1:$1,0)+1),MATCH(B$1,[2]characters!$1:$1,0)-MATCH($A$1,[2]characters!$1:$1,0)+1,FALSE)</f>
        <v>アシュリー</v>
      </c>
      <c r="C330" s="93">
        <f ca="1">VLOOKUP($A330,OFFSET(fork_awake_units!$A$1,0,0,COUNTA(fork_awake_units!$A:$A),MATCH(C$1,fork_awake_units!$1:$1,0)-MATCH($A$1,fork_awake_units!$1:$1,0)+1),MATCH(C$1,fork_awake_units!$1:$1,0)-MATCH($A$1,fork_awake_units!$1:$1,0)+1,FALSE)</f>
        <v>263</v>
      </c>
      <c r="D330" s="3" t="str">
        <f ca="1">VLOOKUP($C330,OFFSET([2]characters!$A$1,0,0,COUNTA([2]characters!$A:$A),MATCH(D$1,[2]characters!$1:$1,0)-MATCH($A$1,[2]characters!$1:$1,0)+1),MATCH(D$1,[2]characters!$1:$1,0)-MATCH($A$1,[2]characters!$1:$1,0)+1,FALSE)</f>
        <v>鉤爪姫 アシュリー</v>
      </c>
      <c r="E330" s="66">
        <v>103</v>
      </c>
      <c r="F330" s="3" t="str">
        <f ca="1">VLOOKUP($E330,OFFSET([2]characters!$A$1,0,0,COUNTA([2]characters!$A:$A),MATCH(F$1,[2]characters!$1:$1,0)-MATCH($A$1,[2]characters!$1:$1,0)+1),MATCH(F$1,[2]characters!$1:$1,0)-MATCH($A$1,[2]characters!$1:$1,0)+1,FALSE)</f>
        <v>レッドキャタップ</v>
      </c>
      <c r="G330" s="66">
        <v>1</v>
      </c>
      <c r="H330" s="66">
        <v>1</v>
      </c>
      <c r="I330" s="66">
        <v>1</v>
      </c>
    </row>
    <row r="331" spans="1:9" x14ac:dyDescent="0.15">
      <c r="A331" s="66">
        <v>264</v>
      </c>
      <c r="B331" s="3" t="str">
        <f ca="1">VLOOKUP($A331,OFFSET([2]characters!$A$1,0,0,COUNTA([2]characters!$A:$A),MATCH(B$1,[2]characters!$1:$1,0)-MATCH($A$1,[2]characters!$1:$1,0)+1),MATCH(B$1,[2]characters!$1:$1,0)-MATCH($A$1,[2]characters!$1:$1,0)+1,FALSE)</f>
        <v>ユニコーン</v>
      </c>
      <c r="C331" s="93">
        <f ca="1">VLOOKUP($A331,OFFSET(fork_awake_units!$A$1,0,0,COUNTA(fork_awake_units!$A:$A),MATCH(C$1,fork_awake_units!$1:$1,0)-MATCH($A$1,fork_awake_units!$1:$1,0)+1),MATCH(C$1,fork_awake_units!$1:$1,0)-MATCH($A$1,fork_awake_units!$1:$1,0)+1,FALSE)</f>
        <v>265</v>
      </c>
      <c r="D331" s="3" t="str">
        <f ca="1">VLOOKUP($C331,OFFSET([2]characters!$A$1,0,0,COUNTA([2]characters!$A:$A),MATCH(D$1,[2]characters!$1:$1,0)-MATCH($A$1,[2]characters!$1:$1,0)+1),MATCH(D$1,[2]characters!$1:$1,0)-MATCH($A$1,[2]characters!$1:$1,0)+1,FALSE)</f>
        <v>翠角馬 ユニコーン</v>
      </c>
      <c r="E331" s="66">
        <v>105</v>
      </c>
      <c r="F331" s="3" t="str">
        <f ca="1">VLOOKUP($E331,OFFSET([2]characters!$A$1,0,0,COUNTA([2]characters!$A:$A),MATCH(F$1,[2]characters!$1:$1,0)-MATCH($A$1,[2]characters!$1:$1,0)+1),MATCH(F$1,[2]characters!$1:$1,0)-MATCH($A$1,[2]characters!$1:$1,0)+1,FALSE)</f>
        <v>グリーンチェシャ</v>
      </c>
      <c r="G331" s="66">
        <v>3</v>
      </c>
      <c r="H331" s="66">
        <v>1</v>
      </c>
      <c r="I331" s="66">
        <v>1</v>
      </c>
    </row>
    <row r="332" spans="1:9" x14ac:dyDescent="0.15">
      <c r="A332" s="66">
        <v>264</v>
      </c>
      <c r="B332" s="3" t="str">
        <f ca="1">VLOOKUP($A332,OFFSET([2]characters!$A$1,0,0,COUNTA([2]characters!$A:$A),MATCH(B$1,[2]characters!$1:$1,0)-MATCH($A$1,[2]characters!$1:$1,0)+1),MATCH(B$1,[2]characters!$1:$1,0)-MATCH($A$1,[2]characters!$1:$1,0)+1,FALSE)</f>
        <v>ユニコーン</v>
      </c>
      <c r="C332" s="93">
        <f ca="1">VLOOKUP($A332,OFFSET(fork_awake_units!$A$1,0,0,COUNTA(fork_awake_units!$A:$A),MATCH(C$1,fork_awake_units!$1:$1,0)-MATCH($A$1,fork_awake_units!$1:$1,0)+1),MATCH(C$1,fork_awake_units!$1:$1,0)-MATCH($A$1,fork_awake_units!$1:$1,0)+1,FALSE)</f>
        <v>265</v>
      </c>
      <c r="D332" s="3" t="str">
        <f ca="1">VLOOKUP($C332,OFFSET([2]characters!$A$1,0,0,COUNTA([2]characters!$A:$A),MATCH(D$1,[2]characters!$1:$1,0)-MATCH($A$1,[2]characters!$1:$1,0)+1),MATCH(D$1,[2]characters!$1:$1,0)-MATCH($A$1,[2]characters!$1:$1,0)+1,FALSE)</f>
        <v>翠角馬 ユニコーン</v>
      </c>
      <c r="E332" s="66">
        <v>106</v>
      </c>
      <c r="F332" s="3" t="str">
        <f ca="1">VLOOKUP($E332,OFFSET([2]characters!$A$1,0,0,COUNTA([2]characters!$A:$A),MATCH(F$1,[2]characters!$1:$1,0)-MATCH($A$1,[2]characters!$1:$1,0)+1),MATCH(F$1,[2]characters!$1:$1,0)-MATCH($A$1,[2]characters!$1:$1,0)+1,FALSE)</f>
        <v>グリーンラビット</v>
      </c>
      <c r="G332" s="66">
        <v>1</v>
      </c>
      <c r="H332" s="66">
        <v>1</v>
      </c>
      <c r="I332" s="66">
        <v>1</v>
      </c>
    </row>
    <row r="333" spans="1:9" x14ac:dyDescent="0.15">
      <c r="A333" s="66">
        <v>264</v>
      </c>
      <c r="B333" s="3" t="str">
        <f ca="1">VLOOKUP($A333,OFFSET([2]characters!$A$1,0,0,COUNTA([2]characters!$A:$A),MATCH(B$1,[2]characters!$1:$1,0)-MATCH($A$1,[2]characters!$1:$1,0)+1),MATCH(B$1,[2]characters!$1:$1,0)-MATCH($A$1,[2]characters!$1:$1,0)+1,FALSE)</f>
        <v>ユニコーン</v>
      </c>
      <c r="C333" s="93">
        <f ca="1">VLOOKUP($A333,OFFSET(fork_awake_units!$A$1,0,0,COUNTA(fork_awake_units!$A:$A),MATCH(C$1,fork_awake_units!$1:$1,0)-MATCH($A$1,fork_awake_units!$1:$1,0)+1),MATCH(C$1,fork_awake_units!$1:$1,0)-MATCH($A$1,fork_awake_units!$1:$1,0)+1,FALSE)</f>
        <v>265</v>
      </c>
      <c r="D333" s="3" t="str">
        <f ca="1">VLOOKUP($C333,OFFSET([2]characters!$A$1,0,0,COUNTA([2]characters!$A:$A),MATCH(D$1,[2]characters!$1:$1,0)-MATCH($A$1,[2]characters!$1:$1,0)+1),MATCH(D$1,[2]characters!$1:$1,0)-MATCH($A$1,[2]characters!$1:$1,0)+1,FALSE)</f>
        <v>翠角馬 ユニコーン</v>
      </c>
      <c r="E333" s="66">
        <v>107</v>
      </c>
      <c r="F333" s="3" t="str">
        <f ca="1">VLOOKUP($E333,OFFSET([2]characters!$A$1,0,0,COUNTA([2]characters!$A:$A),MATCH(F$1,[2]characters!$1:$1,0)-MATCH($A$1,[2]characters!$1:$1,0)+1),MATCH(F$1,[2]characters!$1:$1,0)-MATCH($A$1,[2]characters!$1:$1,0)+1,FALSE)</f>
        <v>グリーンキャタップ</v>
      </c>
      <c r="G333" s="66">
        <v>1</v>
      </c>
      <c r="H333" s="66">
        <v>1</v>
      </c>
      <c r="I333" s="66">
        <v>1</v>
      </c>
    </row>
    <row r="334" spans="1:9" x14ac:dyDescent="0.15">
      <c r="A334" s="66">
        <v>266</v>
      </c>
      <c r="B334" s="3" t="str">
        <f ca="1">VLOOKUP($A334,OFFSET([2]characters!$A$1,0,0,COUNTA([2]characters!$A:$A),MATCH(B$1,[2]characters!$1:$1,0)-MATCH($A$1,[2]characters!$1:$1,0)+1),MATCH(B$1,[2]characters!$1:$1,0)-MATCH($A$1,[2]characters!$1:$1,0)+1,FALSE)</f>
        <v>リリアンブルー</v>
      </c>
      <c r="C334" s="93">
        <f ca="1">VLOOKUP($A334,OFFSET(fork_awake_units!$A$1,0,0,COUNTA(fork_awake_units!$A:$A),MATCH(C$1,fork_awake_units!$1:$1,0)-MATCH($A$1,fork_awake_units!$1:$1,0)+1),MATCH(C$1,fork_awake_units!$1:$1,0)-MATCH($A$1,fork_awake_units!$1:$1,0)+1,FALSE)</f>
        <v>267</v>
      </c>
      <c r="D334" s="3" t="str">
        <f ca="1">VLOOKUP($C334,OFFSET([2]characters!$A$1,0,0,COUNTA([2]characters!$A:$A),MATCH(D$1,[2]characters!$1:$1,0)-MATCH($A$1,[2]characters!$1:$1,0)+1),MATCH(D$1,[2]characters!$1:$1,0)-MATCH($A$1,[2]characters!$1:$1,0)+1,FALSE)</f>
        <v>奇術猫 リリアンブルー</v>
      </c>
      <c r="E334" s="66">
        <v>109</v>
      </c>
      <c r="F334" s="3" t="str">
        <f ca="1">VLOOKUP($E334,OFFSET([2]characters!$A$1,0,0,COUNTA([2]characters!$A:$A),MATCH(F$1,[2]characters!$1:$1,0)-MATCH($A$1,[2]characters!$1:$1,0)+1),MATCH(F$1,[2]characters!$1:$1,0)-MATCH($A$1,[2]characters!$1:$1,0)+1,FALSE)</f>
        <v>ブルーチェシャ</v>
      </c>
      <c r="G334" s="66">
        <v>3</v>
      </c>
      <c r="H334" s="66">
        <v>1</v>
      </c>
      <c r="I334" s="66">
        <v>1</v>
      </c>
    </row>
    <row r="335" spans="1:9" x14ac:dyDescent="0.15">
      <c r="A335" s="66">
        <v>266</v>
      </c>
      <c r="B335" s="3" t="str">
        <f ca="1">VLOOKUP($A335,OFFSET([2]characters!$A$1,0,0,COUNTA([2]characters!$A:$A),MATCH(B$1,[2]characters!$1:$1,0)-MATCH($A$1,[2]characters!$1:$1,0)+1),MATCH(B$1,[2]characters!$1:$1,0)-MATCH($A$1,[2]characters!$1:$1,0)+1,FALSE)</f>
        <v>リリアンブルー</v>
      </c>
      <c r="C335" s="93">
        <f ca="1">VLOOKUP($A335,OFFSET(fork_awake_units!$A$1,0,0,COUNTA(fork_awake_units!$A:$A),MATCH(C$1,fork_awake_units!$1:$1,0)-MATCH($A$1,fork_awake_units!$1:$1,0)+1),MATCH(C$1,fork_awake_units!$1:$1,0)-MATCH($A$1,fork_awake_units!$1:$1,0)+1,FALSE)</f>
        <v>267</v>
      </c>
      <c r="D335" s="3" t="str">
        <f ca="1">VLOOKUP($C335,OFFSET([2]characters!$A$1,0,0,COUNTA([2]characters!$A:$A),MATCH(D$1,[2]characters!$1:$1,0)-MATCH($A$1,[2]characters!$1:$1,0)+1),MATCH(D$1,[2]characters!$1:$1,0)-MATCH($A$1,[2]characters!$1:$1,0)+1,FALSE)</f>
        <v>奇術猫 リリアンブルー</v>
      </c>
      <c r="E335" s="66">
        <v>110</v>
      </c>
      <c r="F335" s="3" t="str">
        <f ca="1">VLOOKUP($E335,OFFSET([2]characters!$A$1,0,0,COUNTA([2]characters!$A:$A),MATCH(F$1,[2]characters!$1:$1,0)-MATCH($A$1,[2]characters!$1:$1,0)+1),MATCH(F$1,[2]characters!$1:$1,0)-MATCH($A$1,[2]characters!$1:$1,0)+1,FALSE)</f>
        <v>ブルーラビット</v>
      </c>
      <c r="G335" s="66">
        <v>1</v>
      </c>
      <c r="H335" s="66">
        <v>1</v>
      </c>
      <c r="I335" s="66">
        <v>1</v>
      </c>
    </row>
    <row r="336" spans="1:9" x14ac:dyDescent="0.15">
      <c r="A336" s="66">
        <v>266</v>
      </c>
      <c r="B336" s="3" t="str">
        <f ca="1">VLOOKUP($A336,OFFSET([2]characters!$A$1,0,0,COUNTA([2]characters!$A:$A),MATCH(B$1,[2]characters!$1:$1,0)-MATCH($A$1,[2]characters!$1:$1,0)+1),MATCH(B$1,[2]characters!$1:$1,0)-MATCH($A$1,[2]characters!$1:$1,0)+1,FALSE)</f>
        <v>リリアンブルー</v>
      </c>
      <c r="C336" s="93">
        <f ca="1">VLOOKUP($A336,OFFSET(fork_awake_units!$A$1,0,0,COUNTA(fork_awake_units!$A:$A),MATCH(C$1,fork_awake_units!$1:$1,0)-MATCH($A$1,fork_awake_units!$1:$1,0)+1),MATCH(C$1,fork_awake_units!$1:$1,0)-MATCH($A$1,fork_awake_units!$1:$1,0)+1,FALSE)</f>
        <v>267</v>
      </c>
      <c r="D336" s="3" t="str">
        <f ca="1">VLOOKUP($C336,OFFSET([2]characters!$A$1,0,0,COUNTA([2]characters!$A:$A),MATCH(D$1,[2]characters!$1:$1,0)-MATCH($A$1,[2]characters!$1:$1,0)+1),MATCH(D$1,[2]characters!$1:$1,0)-MATCH($A$1,[2]characters!$1:$1,0)+1,FALSE)</f>
        <v>奇術猫 リリアンブルー</v>
      </c>
      <c r="E336" s="66">
        <v>111</v>
      </c>
      <c r="F336" s="3" t="str">
        <f ca="1">VLOOKUP($E336,OFFSET([2]characters!$A$1,0,0,COUNTA([2]characters!$A:$A),MATCH(F$1,[2]characters!$1:$1,0)-MATCH($A$1,[2]characters!$1:$1,0)+1),MATCH(F$1,[2]characters!$1:$1,0)-MATCH($A$1,[2]characters!$1:$1,0)+1,FALSE)</f>
        <v>ブルーキャタップ</v>
      </c>
      <c r="G336" s="66">
        <v>1</v>
      </c>
      <c r="H336" s="66">
        <v>1</v>
      </c>
      <c r="I336" s="66">
        <v>1</v>
      </c>
    </row>
    <row r="337" spans="1:9" x14ac:dyDescent="0.15">
      <c r="A337" s="66">
        <v>268</v>
      </c>
      <c r="B337" s="3" t="str">
        <f ca="1">VLOOKUP($A337,OFFSET([2]characters!$A$1,0,0,COUNTA([2]characters!$A:$A),MATCH(B$1,[2]characters!$1:$1,0)-MATCH($A$1,[2]characters!$1:$1,0)+1),MATCH(B$1,[2]characters!$1:$1,0)-MATCH($A$1,[2]characters!$1:$1,0)+1,FALSE)</f>
        <v>鵺</v>
      </c>
      <c r="C337" s="93">
        <f ca="1">VLOOKUP($A337,OFFSET(fork_awake_units!$A$1,0,0,COUNTA(fork_awake_units!$A:$A),MATCH(C$1,fork_awake_units!$1:$1,0)-MATCH($A$1,fork_awake_units!$1:$1,0)+1),MATCH(C$1,fork_awake_units!$1:$1,0)-MATCH($A$1,fork_awake_units!$1:$1,0)+1,FALSE)</f>
        <v>269</v>
      </c>
      <c r="D337" s="3" t="str">
        <f ca="1">VLOOKUP($C337,OFFSET([2]characters!$A$1,0,0,COUNTA([2]characters!$A:$A),MATCH(D$1,[2]characters!$1:$1,0)-MATCH($A$1,[2]characters!$1:$1,0)+1),MATCH(D$1,[2]characters!$1:$1,0)-MATCH($A$1,[2]characters!$1:$1,0)+1,FALSE)</f>
        <v>合雷獣 鵺</v>
      </c>
      <c r="E337" s="66">
        <v>113</v>
      </c>
      <c r="F337" s="3" t="str">
        <f ca="1">VLOOKUP($E337,OFFSET([2]characters!$A$1,0,0,COUNTA([2]characters!$A:$A),MATCH(F$1,[2]characters!$1:$1,0)-MATCH($A$1,[2]characters!$1:$1,0)+1),MATCH(F$1,[2]characters!$1:$1,0)-MATCH($A$1,[2]characters!$1:$1,0)+1,FALSE)</f>
        <v>イエローチェシャ</v>
      </c>
      <c r="G337" s="66">
        <v>3</v>
      </c>
      <c r="H337" s="66">
        <v>1</v>
      </c>
      <c r="I337" s="66">
        <v>1</v>
      </c>
    </row>
    <row r="338" spans="1:9" x14ac:dyDescent="0.15">
      <c r="A338" s="66">
        <v>268</v>
      </c>
      <c r="B338" s="3" t="str">
        <f ca="1">VLOOKUP($A338,OFFSET([2]characters!$A$1,0,0,COUNTA([2]characters!$A:$A),MATCH(B$1,[2]characters!$1:$1,0)-MATCH($A$1,[2]characters!$1:$1,0)+1),MATCH(B$1,[2]characters!$1:$1,0)-MATCH($A$1,[2]characters!$1:$1,0)+1,FALSE)</f>
        <v>鵺</v>
      </c>
      <c r="C338" s="93">
        <f ca="1">VLOOKUP($A338,OFFSET(fork_awake_units!$A$1,0,0,COUNTA(fork_awake_units!$A:$A),MATCH(C$1,fork_awake_units!$1:$1,0)-MATCH($A$1,fork_awake_units!$1:$1,0)+1),MATCH(C$1,fork_awake_units!$1:$1,0)-MATCH($A$1,fork_awake_units!$1:$1,0)+1,FALSE)</f>
        <v>269</v>
      </c>
      <c r="D338" s="3" t="str">
        <f ca="1">VLOOKUP($C338,OFFSET([2]characters!$A$1,0,0,COUNTA([2]characters!$A:$A),MATCH(D$1,[2]characters!$1:$1,0)-MATCH($A$1,[2]characters!$1:$1,0)+1),MATCH(D$1,[2]characters!$1:$1,0)-MATCH($A$1,[2]characters!$1:$1,0)+1,FALSE)</f>
        <v>合雷獣 鵺</v>
      </c>
      <c r="E338" s="66">
        <v>114</v>
      </c>
      <c r="F338" s="3" t="str">
        <f ca="1">VLOOKUP($E338,OFFSET([2]characters!$A$1,0,0,COUNTA([2]characters!$A:$A),MATCH(F$1,[2]characters!$1:$1,0)-MATCH($A$1,[2]characters!$1:$1,0)+1),MATCH(F$1,[2]characters!$1:$1,0)-MATCH($A$1,[2]characters!$1:$1,0)+1,FALSE)</f>
        <v>イエローラビット</v>
      </c>
      <c r="G338" s="66">
        <v>1</v>
      </c>
      <c r="H338" s="66">
        <v>1</v>
      </c>
      <c r="I338" s="66">
        <v>1</v>
      </c>
    </row>
    <row r="339" spans="1:9" x14ac:dyDescent="0.15">
      <c r="A339" s="66">
        <v>268</v>
      </c>
      <c r="B339" s="3" t="str">
        <f ca="1">VLOOKUP($A339,OFFSET([2]characters!$A$1,0,0,COUNTA([2]characters!$A:$A),MATCH(B$1,[2]characters!$1:$1,0)-MATCH($A$1,[2]characters!$1:$1,0)+1),MATCH(B$1,[2]characters!$1:$1,0)-MATCH($A$1,[2]characters!$1:$1,0)+1,FALSE)</f>
        <v>鵺</v>
      </c>
      <c r="C339" s="93">
        <f ca="1">VLOOKUP($A339,OFFSET(fork_awake_units!$A$1,0,0,COUNTA(fork_awake_units!$A:$A),MATCH(C$1,fork_awake_units!$1:$1,0)-MATCH($A$1,fork_awake_units!$1:$1,0)+1),MATCH(C$1,fork_awake_units!$1:$1,0)-MATCH($A$1,fork_awake_units!$1:$1,0)+1,FALSE)</f>
        <v>269</v>
      </c>
      <c r="D339" s="3" t="str">
        <f ca="1">VLOOKUP($C339,OFFSET([2]characters!$A$1,0,0,COUNTA([2]characters!$A:$A),MATCH(D$1,[2]characters!$1:$1,0)-MATCH($A$1,[2]characters!$1:$1,0)+1),MATCH(D$1,[2]characters!$1:$1,0)-MATCH($A$1,[2]characters!$1:$1,0)+1,FALSE)</f>
        <v>合雷獣 鵺</v>
      </c>
      <c r="E339" s="66">
        <v>115</v>
      </c>
      <c r="F339" s="3" t="str">
        <f ca="1">VLOOKUP($E339,OFFSET([2]characters!$A$1,0,0,COUNTA([2]characters!$A:$A),MATCH(F$1,[2]characters!$1:$1,0)-MATCH($A$1,[2]characters!$1:$1,0)+1),MATCH(F$1,[2]characters!$1:$1,0)-MATCH($A$1,[2]characters!$1:$1,0)+1,FALSE)</f>
        <v>イエローキャタップ</v>
      </c>
      <c r="G339" s="66">
        <v>1</v>
      </c>
      <c r="H339" s="66">
        <v>1</v>
      </c>
      <c r="I339" s="66">
        <v>1</v>
      </c>
    </row>
    <row r="340" spans="1:9" x14ac:dyDescent="0.15">
      <c r="A340" s="66">
        <v>270</v>
      </c>
      <c r="B340" s="3" t="str">
        <f ca="1">VLOOKUP($A340,OFFSET([2]characters!$A$1,0,0,COUNTA([2]characters!$A:$A),MATCH(B$1,[2]characters!$1:$1,0)-MATCH($A$1,[2]characters!$1:$1,0)+1),MATCH(B$1,[2]characters!$1:$1,0)-MATCH($A$1,[2]characters!$1:$1,0)+1,FALSE)</f>
        <v>風爪のミリー</v>
      </c>
      <c r="C340" s="93">
        <f ca="1">VLOOKUP($A340,OFFSET(fork_awake_units!$A$1,0,0,COUNTA(fork_awake_units!$A:$A),MATCH(C$1,fork_awake_units!$1:$1,0)-MATCH($A$1,fork_awake_units!$1:$1,0)+1),MATCH(C$1,fork_awake_units!$1:$1,0)-MATCH($A$1,fork_awake_units!$1:$1,0)+1,FALSE)</f>
        <v>271</v>
      </c>
      <c r="D340" s="3" t="str">
        <f ca="1">VLOOKUP($C340,OFFSET([2]characters!$A$1,0,0,COUNTA([2]characters!$A:$A),MATCH(D$1,[2]characters!$1:$1,0)-MATCH($A$1,[2]characters!$1:$1,0)+1),MATCH(D$1,[2]characters!$1:$1,0)-MATCH($A$1,[2]characters!$1:$1,0)+1,FALSE)</f>
        <v>疾風五花 ミリー</v>
      </c>
      <c r="E340" s="66">
        <v>105</v>
      </c>
      <c r="F340" s="3" t="str">
        <f ca="1">VLOOKUP($E340,OFFSET([2]characters!$A$1,0,0,COUNTA([2]characters!$A:$A),MATCH(F$1,[2]characters!$1:$1,0)-MATCH($A$1,[2]characters!$1:$1,0)+1),MATCH(F$1,[2]characters!$1:$1,0)-MATCH($A$1,[2]characters!$1:$1,0)+1,FALSE)</f>
        <v>グリーンチェシャ</v>
      </c>
      <c r="G340" s="66">
        <v>1</v>
      </c>
      <c r="H340" s="66">
        <v>1</v>
      </c>
      <c r="I340" s="66">
        <v>1</v>
      </c>
    </row>
    <row r="341" spans="1:9" x14ac:dyDescent="0.15">
      <c r="A341" s="66">
        <v>270</v>
      </c>
      <c r="B341" s="3" t="str">
        <f ca="1">VLOOKUP($A341,OFFSET([2]characters!$A$1,0,0,COUNTA([2]characters!$A:$A),MATCH(B$1,[2]characters!$1:$1,0)-MATCH($A$1,[2]characters!$1:$1,0)+1),MATCH(B$1,[2]characters!$1:$1,0)-MATCH($A$1,[2]characters!$1:$1,0)+1,FALSE)</f>
        <v>風爪のミリー</v>
      </c>
      <c r="C341" s="93">
        <f ca="1">VLOOKUP($A341,OFFSET(fork_awake_units!$A$1,0,0,COUNTA(fork_awake_units!$A:$A),MATCH(C$1,fork_awake_units!$1:$1,0)-MATCH($A$1,fork_awake_units!$1:$1,0)+1),MATCH(C$1,fork_awake_units!$1:$1,0)-MATCH($A$1,fork_awake_units!$1:$1,0)+1,FALSE)</f>
        <v>271</v>
      </c>
      <c r="D341" s="3" t="str">
        <f ca="1">VLOOKUP($C341,OFFSET([2]characters!$A$1,0,0,COUNTA([2]characters!$A:$A),MATCH(D$1,[2]characters!$1:$1,0)-MATCH($A$1,[2]characters!$1:$1,0)+1),MATCH(D$1,[2]characters!$1:$1,0)-MATCH($A$1,[2]characters!$1:$1,0)+1,FALSE)</f>
        <v>疾風五花 ミリー</v>
      </c>
      <c r="E341" s="66">
        <v>106</v>
      </c>
      <c r="F341" s="3" t="str">
        <f ca="1">VLOOKUP($E341,OFFSET([2]characters!$A$1,0,0,COUNTA([2]characters!$A:$A),MATCH(F$1,[2]characters!$1:$1,0)-MATCH($A$1,[2]characters!$1:$1,0)+1),MATCH(F$1,[2]characters!$1:$1,0)-MATCH($A$1,[2]characters!$1:$1,0)+1,FALSE)</f>
        <v>グリーンラビット</v>
      </c>
      <c r="G341" s="66">
        <v>2</v>
      </c>
      <c r="H341" s="66">
        <v>1</v>
      </c>
      <c r="I341" s="66">
        <v>1</v>
      </c>
    </row>
    <row r="342" spans="1:9" x14ac:dyDescent="0.15">
      <c r="A342" s="66">
        <v>270</v>
      </c>
      <c r="B342" s="3" t="str">
        <f ca="1">VLOOKUP($A342,OFFSET([2]characters!$A$1,0,0,COUNTA([2]characters!$A:$A),MATCH(B$1,[2]characters!$1:$1,0)-MATCH($A$1,[2]characters!$1:$1,0)+1),MATCH(B$1,[2]characters!$1:$1,0)-MATCH($A$1,[2]characters!$1:$1,0)+1,FALSE)</f>
        <v>風爪のミリー</v>
      </c>
      <c r="C342" s="93">
        <f ca="1">VLOOKUP($A342,OFFSET(fork_awake_units!$A$1,0,0,COUNTA(fork_awake_units!$A:$A),MATCH(C$1,fork_awake_units!$1:$1,0)-MATCH($A$1,fork_awake_units!$1:$1,0)+1),MATCH(C$1,fork_awake_units!$1:$1,0)-MATCH($A$1,fork_awake_units!$1:$1,0)+1,FALSE)</f>
        <v>271</v>
      </c>
      <c r="D342" s="3" t="str">
        <f ca="1">VLOOKUP($C342,OFFSET([2]characters!$A$1,0,0,COUNTA([2]characters!$A:$A),MATCH(D$1,[2]characters!$1:$1,0)-MATCH($A$1,[2]characters!$1:$1,0)+1),MATCH(D$1,[2]characters!$1:$1,0)-MATCH($A$1,[2]characters!$1:$1,0)+1,FALSE)</f>
        <v>疾風五花 ミリー</v>
      </c>
      <c r="E342" s="66">
        <v>107</v>
      </c>
      <c r="F342" s="3" t="str">
        <f ca="1">VLOOKUP($E342,OFFSET([2]characters!$A$1,0,0,COUNTA([2]characters!$A:$A),MATCH(F$1,[2]characters!$1:$1,0)-MATCH($A$1,[2]characters!$1:$1,0)+1),MATCH(F$1,[2]characters!$1:$1,0)-MATCH($A$1,[2]characters!$1:$1,0)+1,FALSE)</f>
        <v>グリーンキャタップ</v>
      </c>
      <c r="G342" s="66">
        <v>1</v>
      </c>
      <c r="H342" s="66">
        <v>1</v>
      </c>
      <c r="I342" s="66">
        <v>1</v>
      </c>
    </row>
    <row r="343" spans="1:9" x14ac:dyDescent="0.15">
      <c r="A343" s="66">
        <v>270</v>
      </c>
      <c r="B343" s="3" t="str">
        <f ca="1">VLOOKUP($A343,OFFSET([2]characters!$A$1,0,0,COUNTA([2]characters!$A:$A),MATCH(B$1,[2]characters!$1:$1,0)-MATCH($A$1,[2]characters!$1:$1,0)+1),MATCH(B$1,[2]characters!$1:$1,0)-MATCH($A$1,[2]characters!$1:$1,0)+1,FALSE)</f>
        <v>風爪のミリー</v>
      </c>
      <c r="C343" s="93">
        <f ca="1">VLOOKUP($A343,OFFSET(fork_awake_units!$A$1,0,0,COUNTA(fork_awake_units!$A:$A),MATCH(C$1,fork_awake_units!$1:$1,0)-MATCH($A$1,fork_awake_units!$1:$1,0)+1),MATCH(C$1,fork_awake_units!$1:$1,0)-MATCH($A$1,fork_awake_units!$1:$1,0)+1,FALSE)</f>
        <v>271</v>
      </c>
      <c r="D343" s="3" t="str">
        <f ca="1">VLOOKUP($C343,OFFSET([2]characters!$A$1,0,0,COUNTA([2]characters!$A:$A),MATCH(D$1,[2]characters!$1:$1,0)-MATCH($A$1,[2]characters!$1:$1,0)+1),MATCH(D$1,[2]characters!$1:$1,0)-MATCH($A$1,[2]characters!$1:$1,0)+1,FALSE)</f>
        <v>疾風五花 ミリー</v>
      </c>
      <c r="E343" s="66">
        <v>108</v>
      </c>
      <c r="F343" s="3" t="str">
        <f ca="1">VLOOKUP($E343,OFFSET([2]characters!$A$1,0,0,COUNTA([2]characters!$A:$A),MATCH(F$1,[2]characters!$1:$1,0)-MATCH($A$1,[2]characters!$1:$1,0)+1),MATCH(F$1,[2]characters!$1:$1,0)-MATCH($A$1,[2]characters!$1:$1,0)+1,FALSE)</f>
        <v>森のマッドハッター</v>
      </c>
      <c r="G343" s="66">
        <v>1</v>
      </c>
      <c r="H343" s="66">
        <v>1</v>
      </c>
      <c r="I343" s="66">
        <v>1</v>
      </c>
    </row>
    <row r="344" spans="1:9" x14ac:dyDescent="0.15">
      <c r="A344" s="66">
        <v>272</v>
      </c>
      <c r="B344" s="3" t="str">
        <f ca="1">VLOOKUP($A344,OFFSET([2]characters!$A$1,0,0,COUNTA([2]characters!$A:$A),MATCH(B$1,[2]characters!$1:$1,0)-MATCH($A$1,[2]characters!$1:$1,0)+1),MATCH(B$1,[2]characters!$1:$1,0)-MATCH($A$1,[2]characters!$1:$1,0)+1,FALSE)</f>
        <v>魔札のシルベール</v>
      </c>
      <c r="C344" s="93">
        <f ca="1">VLOOKUP($A344,OFFSET(fork_awake_units!$A$1,0,0,COUNTA(fork_awake_units!$A:$A),MATCH(C$1,fork_awake_units!$1:$1,0)-MATCH($A$1,fork_awake_units!$1:$1,0)+1),MATCH(C$1,fork_awake_units!$1:$1,0)-MATCH($A$1,fork_awake_units!$1:$1,0)+1,FALSE)</f>
        <v>273</v>
      </c>
      <c r="D344" s="3" t="str">
        <f ca="1">VLOOKUP($C344,OFFSET([2]characters!$A$1,0,0,COUNTA([2]characters!$A:$A),MATCH(D$1,[2]characters!$1:$1,0)-MATCH($A$1,[2]characters!$1:$1,0)+1),MATCH(D$1,[2]characters!$1:$1,0)-MATCH($A$1,[2]characters!$1:$1,0)+1,FALSE)</f>
        <v>円環魔道 シルベール</v>
      </c>
      <c r="E344" s="66">
        <v>109</v>
      </c>
      <c r="F344" s="3" t="str">
        <f ca="1">VLOOKUP($E344,OFFSET([2]characters!$A$1,0,0,COUNTA([2]characters!$A:$A),MATCH(F$1,[2]characters!$1:$1,0)-MATCH($A$1,[2]characters!$1:$1,0)+1),MATCH(F$1,[2]characters!$1:$1,0)-MATCH($A$1,[2]characters!$1:$1,0)+1,FALSE)</f>
        <v>ブルーチェシャ</v>
      </c>
      <c r="G344" s="66">
        <v>1</v>
      </c>
      <c r="H344" s="66">
        <v>1</v>
      </c>
      <c r="I344" s="66">
        <v>1</v>
      </c>
    </row>
    <row r="345" spans="1:9" x14ac:dyDescent="0.15">
      <c r="A345" s="66">
        <v>272</v>
      </c>
      <c r="B345" s="3" t="str">
        <f ca="1">VLOOKUP($A345,OFFSET([2]characters!$A$1,0,0,COUNTA([2]characters!$A:$A),MATCH(B$1,[2]characters!$1:$1,0)-MATCH($A$1,[2]characters!$1:$1,0)+1),MATCH(B$1,[2]characters!$1:$1,0)-MATCH($A$1,[2]characters!$1:$1,0)+1,FALSE)</f>
        <v>魔札のシルベール</v>
      </c>
      <c r="C345" s="93">
        <f ca="1">VLOOKUP($A345,OFFSET(fork_awake_units!$A$1,0,0,COUNTA(fork_awake_units!$A:$A),MATCH(C$1,fork_awake_units!$1:$1,0)-MATCH($A$1,fork_awake_units!$1:$1,0)+1),MATCH(C$1,fork_awake_units!$1:$1,0)-MATCH($A$1,fork_awake_units!$1:$1,0)+1,FALSE)</f>
        <v>273</v>
      </c>
      <c r="D345" s="3" t="str">
        <f ca="1">VLOOKUP($C345,OFFSET([2]characters!$A$1,0,0,COUNTA([2]characters!$A:$A),MATCH(D$1,[2]characters!$1:$1,0)-MATCH($A$1,[2]characters!$1:$1,0)+1),MATCH(D$1,[2]characters!$1:$1,0)-MATCH($A$1,[2]characters!$1:$1,0)+1,FALSE)</f>
        <v>円環魔道 シルベール</v>
      </c>
      <c r="E345" s="66">
        <v>110</v>
      </c>
      <c r="F345" s="3" t="str">
        <f ca="1">VLOOKUP($E345,OFFSET([2]characters!$A$1,0,0,COUNTA([2]characters!$A:$A),MATCH(F$1,[2]characters!$1:$1,0)-MATCH($A$1,[2]characters!$1:$1,0)+1),MATCH(F$1,[2]characters!$1:$1,0)-MATCH($A$1,[2]characters!$1:$1,0)+1,FALSE)</f>
        <v>ブルーラビット</v>
      </c>
      <c r="G345" s="66">
        <v>2</v>
      </c>
      <c r="H345" s="66">
        <v>1</v>
      </c>
      <c r="I345" s="66">
        <v>1</v>
      </c>
    </row>
    <row r="346" spans="1:9" x14ac:dyDescent="0.15">
      <c r="A346" s="66">
        <v>272</v>
      </c>
      <c r="B346" s="3" t="str">
        <f ca="1">VLOOKUP($A346,OFFSET([2]characters!$A$1,0,0,COUNTA([2]characters!$A:$A),MATCH(B$1,[2]characters!$1:$1,0)-MATCH($A$1,[2]characters!$1:$1,0)+1),MATCH(B$1,[2]characters!$1:$1,0)-MATCH($A$1,[2]characters!$1:$1,0)+1,FALSE)</f>
        <v>魔札のシルベール</v>
      </c>
      <c r="C346" s="93">
        <f ca="1">VLOOKUP($A346,OFFSET(fork_awake_units!$A$1,0,0,COUNTA(fork_awake_units!$A:$A),MATCH(C$1,fork_awake_units!$1:$1,0)-MATCH($A$1,fork_awake_units!$1:$1,0)+1),MATCH(C$1,fork_awake_units!$1:$1,0)-MATCH($A$1,fork_awake_units!$1:$1,0)+1,FALSE)</f>
        <v>273</v>
      </c>
      <c r="D346" s="3" t="str">
        <f ca="1">VLOOKUP($C346,OFFSET([2]characters!$A$1,0,0,COUNTA([2]characters!$A:$A),MATCH(D$1,[2]characters!$1:$1,0)-MATCH($A$1,[2]characters!$1:$1,0)+1),MATCH(D$1,[2]characters!$1:$1,0)-MATCH($A$1,[2]characters!$1:$1,0)+1,FALSE)</f>
        <v>円環魔道 シルベール</v>
      </c>
      <c r="E346" s="66">
        <v>111</v>
      </c>
      <c r="F346" s="3" t="str">
        <f ca="1">VLOOKUP($E346,OFFSET([2]characters!$A$1,0,0,COUNTA([2]characters!$A:$A),MATCH(F$1,[2]characters!$1:$1,0)-MATCH($A$1,[2]characters!$1:$1,0)+1),MATCH(F$1,[2]characters!$1:$1,0)-MATCH($A$1,[2]characters!$1:$1,0)+1,FALSE)</f>
        <v>ブルーキャタップ</v>
      </c>
      <c r="G346" s="66">
        <v>1</v>
      </c>
      <c r="H346" s="66">
        <v>1</v>
      </c>
      <c r="I346" s="66">
        <v>1</v>
      </c>
    </row>
    <row r="347" spans="1:9" x14ac:dyDescent="0.15">
      <c r="A347" s="66">
        <v>272</v>
      </c>
      <c r="B347" s="3" t="str">
        <f ca="1">VLOOKUP($A347,OFFSET([2]characters!$A$1,0,0,COUNTA([2]characters!$A:$A),MATCH(B$1,[2]characters!$1:$1,0)-MATCH($A$1,[2]characters!$1:$1,0)+1),MATCH(B$1,[2]characters!$1:$1,0)-MATCH($A$1,[2]characters!$1:$1,0)+1,FALSE)</f>
        <v>魔札のシルベール</v>
      </c>
      <c r="C347" s="93">
        <f ca="1">VLOOKUP($A347,OFFSET(fork_awake_units!$A$1,0,0,COUNTA(fork_awake_units!$A:$A),MATCH(C$1,fork_awake_units!$1:$1,0)-MATCH($A$1,fork_awake_units!$1:$1,0)+1),MATCH(C$1,fork_awake_units!$1:$1,0)-MATCH($A$1,fork_awake_units!$1:$1,0)+1,FALSE)</f>
        <v>273</v>
      </c>
      <c r="D347" s="3" t="str">
        <f ca="1">VLOOKUP($C347,OFFSET([2]characters!$A$1,0,0,COUNTA([2]characters!$A:$A),MATCH(D$1,[2]characters!$1:$1,0)-MATCH($A$1,[2]characters!$1:$1,0)+1),MATCH(D$1,[2]characters!$1:$1,0)-MATCH($A$1,[2]characters!$1:$1,0)+1,FALSE)</f>
        <v>円環魔道 シルベール</v>
      </c>
      <c r="E347" s="66">
        <v>112</v>
      </c>
      <c r="F347" s="3" t="str">
        <f ca="1">VLOOKUP($E347,OFFSET([2]characters!$A$1,0,0,COUNTA([2]characters!$A:$A),MATCH(F$1,[2]characters!$1:$1,0)-MATCH($A$1,[2]characters!$1:$1,0)+1),MATCH(F$1,[2]characters!$1:$1,0)-MATCH($A$1,[2]characters!$1:$1,0)+1,FALSE)</f>
        <v>水のマッドハッター</v>
      </c>
      <c r="G347" s="66">
        <v>1</v>
      </c>
      <c r="H347" s="66">
        <v>1</v>
      </c>
      <c r="I347" s="66">
        <v>1</v>
      </c>
    </row>
    <row r="348" spans="1:9" x14ac:dyDescent="0.15">
      <c r="A348" s="66">
        <v>274</v>
      </c>
      <c r="B348" s="3" t="str">
        <f ca="1">VLOOKUP($A348,OFFSET([2]characters!$A$1,0,0,COUNTA([2]characters!$A:$A),MATCH(B$1,[2]characters!$1:$1,0)-MATCH($A$1,[2]characters!$1:$1,0)+1),MATCH(B$1,[2]characters!$1:$1,0)-MATCH($A$1,[2]characters!$1:$1,0)+1,FALSE)</f>
        <v>砕棒のガエル</v>
      </c>
      <c r="C348" s="93">
        <f ca="1">VLOOKUP($A348,OFFSET(fork_awake_units!$A$1,0,0,COUNTA(fork_awake_units!$A:$A),MATCH(C$1,fork_awake_units!$1:$1,0)-MATCH($A$1,fork_awake_units!$1:$1,0)+1),MATCH(C$1,fork_awake_units!$1:$1,0)-MATCH($A$1,fork_awake_units!$1:$1,0)+1,FALSE)</f>
        <v>275</v>
      </c>
      <c r="D348" s="3" t="str">
        <f ca="1">VLOOKUP($C348,OFFSET([2]characters!$A$1,0,0,COUNTA([2]characters!$A:$A),MATCH(D$1,[2]characters!$1:$1,0)-MATCH($A$1,[2]characters!$1:$1,0)+1),MATCH(D$1,[2]characters!$1:$1,0)-MATCH($A$1,[2]characters!$1:$1,0)+1,FALSE)</f>
        <v>轟雷砕棒 ガエル</v>
      </c>
      <c r="E348" s="66">
        <v>113</v>
      </c>
      <c r="F348" s="3" t="str">
        <f ca="1">VLOOKUP($E348,OFFSET([2]characters!$A$1,0,0,COUNTA([2]characters!$A:$A),MATCH(F$1,[2]characters!$1:$1,0)-MATCH($A$1,[2]characters!$1:$1,0)+1),MATCH(F$1,[2]characters!$1:$1,0)-MATCH($A$1,[2]characters!$1:$1,0)+1,FALSE)</f>
        <v>イエローチェシャ</v>
      </c>
      <c r="G348" s="66">
        <v>1</v>
      </c>
      <c r="H348" s="66">
        <v>1</v>
      </c>
      <c r="I348" s="66">
        <v>1</v>
      </c>
    </row>
    <row r="349" spans="1:9" x14ac:dyDescent="0.15">
      <c r="A349" s="66">
        <v>274</v>
      </c>
      <c r="B349" s="3" t="str">
        <f ca="1">VLOOKUP($A349,OFFSET([2]characters!$A$1,0,0,COUNTA([2]characters!$A:$A),MATCH(B$1,[2]characters!$1:$1,0)-MATCH($A$1,[2]characters!$1:$1,0)+1),MATCH(B$1,[2]characters!$1:$1,0)-MATCH($A$1,[2]characters!$1:$1,0)+1,FALSE)</f>
        <v>砕棒のガエル</v>
      </c>
      <c r="C349" s="93">
        <f ca="1">VLOOKUP($A349,OFFSET(fork_awake_units!$A$1,0,0,COUNTA(fork_awake_units!$A:$A),MATCH(C$1,fork_awake_units!$1:$1,0)-MATCH($A$1,fork_awake_units!$1:$1,0)+1),MATCH(C$1,fork_awake_units!$1:$1,0)-MATCH($A$1,fork_awake_units!$1:$1,0)+1,FALSE)</f>
        <v>275</v>
      </c>
      <c r="D349" s="3" t="str">
        <f ca="1">VLOOKUP($C349,OFFSET([2]characters!$A$1,0,0,COUNTA([2]characters!$A:$A),MATCH(D$1,[2]characters!$1:$1,0)-MATCH($A$1,[2]characters!$1:$1,0)+1),MATCH(D$1,[2]characters!$1:$1,0)-MATCH($A$1,[2]characters!$1:$1,0)+1,FALSE)</f>
        <v>轟雷砕棒 ガエル</v>
      </c>
      <c r="E349" s="66">
        <v>114</v>
      </c>
      <c r="F349" s="3" t="str">
        <f ca="1">VLOOKUP($E349,OFFSET([2]characters!$A$1,0,0,COUNTA([2]characters!$A:$A),MATCH(F$1,[2]characters!$1:$1,0)-MATCH($A$1,[2]characters!$1:$1,0)+1),MATCH(F$1,[2]characters!$1:$1,0)-MATCH($A$1,[2]characters!$1:$1,0)+1,FALSE)</f>
        <v>イエローラビット</v>
      </c>
      <c r="G349" s="66">
        <v>2</v>
      </c>
      <c r="H349" s="66">
        <v>1</v>
      </c>
      <c r="I349" s="66">
        <v>1</v>
      </c>
    </row>
    <row r="350" spans="1:9" x14ac:dyDescent="0.15">
      <c r="A350" s="66">
        <v>274</v>
      </c>
      <c r="B350" s="3" t="str">
        <f ca="1">VLOOKUP($A350,OFFSET([2]characters!$A$1,0,0,COUNTA([2]characters!$A:$A),MATCH(B$1,[2]characters!$1:$1,0)-MATCH($A$1,[2]characters!$1:$1,0)+1),MATCH(B$1,[2]characters!$1:$1,0)-MATCH($A$1,[2]characters!$1:$1,0)+1,FALSE)</f>
        <v>砕棒のガエル</v>
      </c>
      <c r="C350" s="93">
        <f ca="1">VLOOKUP($A350,OFFSET(fork_awake_units!$A$1,0,0,COUNTA(fork_awake_units!$A:$A),MATCH(C$1,fork_awake_units!$1:$1,0)-MATCH($A$1,fork_awake_units!$1:$1,0)+1),MATCH(C$1,fork_awake_units!$1:$1,0)-MATCH($A$1,fork_awake_units!$1:$1,0)+1,FALSE)</f>
        <v>275</v>
      </c>
      <c r="D350" s="3" t="str">
        <f ca="1">VLOOKUP($C350,OFFSET([2]characters!$A$1,0,0,COUNTA([2]characters!$A:$A),MATCH(D$1,[2]characters!$1:$1,0)-MATCH($A$1,[2]characters!$1:$1,0)+1),MATCH(D$1,[2]characters!$1:$1,0)-MATCH($A$1,[2]characters!$1:$1,0)+1,FALSE)</f>
        <v>轟雷砕棒 ガエル</v>
      </c>
      <c r="E350" s="66">
        <v>115</v>
      </c>
      <c r="F350" s="3" t="str">
        <f ca="1">VLOOKUP($E350,OFFSET([2]characters!$A$1,0,0,COUNTA([2]characters!$A:$A),MATCH(F$1,[2]characters!$1:$1,0)-MATCH($A$1,[2]characters!$1:$1,0)+1),MATCH(F$1,[2]characters!$1:$1,0)-MATCH($A$1,[2]characters!$1:$1,0)+1,FALSE)</f>
        <v>イエローキャタップ</v>
      </c>
      <c r="G350" s="66">
        <v>1</v>
      </c>
      <c r="H350" s="66">
        <v>1</v>
      </c>
      <c r="I350" s="66">
        <v>1</v>
      </c>
    </row>
    <row r="351" spans="1:9" x14ac:dyDescent="0.15">
      <c r="A351" s="66">
        <v>274</v>
      </c>
      <c r="B351" s="3" t="str">
        <f ca="1">VLOOKUP($A351,OFFSET([2]characters!$A$1,0,0,COUNTA([2]characters!$A:$A),MATCH(B$1,[2]characters!$1:$1,0)-MATCH($A$1,[2]characters!$1:$1,0)+1),MATCH(B$1,[2]characters!$1:$1,0)-MATCH($A$1,[2]characters!$1:$1,0)+1,FALSE)</f>
        <v>砕棒のガエル</v>
      </c>
      <c r="C351" s="93">
        <f ca="1">VLOOKUP($A351,OFFSET(fork_awake_units!$A$1,0,0,COUNTA(fork_awake_units!$A:$A),MATCH(C$1,fork_awake_units!$1:$1,0)-MATCH($A$1,fork_awake_units!$1:$1,0)+1),MATCH(C$1,fork_awake_units!$1:$1,0)-MATCH($A$1,fork_awake_units!$1:$1,0)+1,FALSE)</f>
        <v>275</v>
      </c>
      <c r="D351" s="3" t="str">
        <f ca="1">VLOOKUP($C351,OFFSET([2]characters!$A$1,0,0,COUNTA([2]characters!$A:$A),MATCH(D$1,[2]characters!$1:$1,0)-MATCH($A$1,[2]characters!$1:$1,0)+1),MATCH(D$1,[2]characters!$1:$1,0)-MATCH($A$1,[2]characters!$1:$1,0)+1,FALSE)</f>
        <v>轟雷砕棒 ガエル</v>
      </c>
      <c r="E351" s="66">
        <v>116</v>
      </c>
      <c r="F351" s="3" t="str">
        <f ca="1">VLOOKUP($E351,OFFSET([2]characters!$A$1,0,0,COUNTA([2]characters!$A:$A),MATCH(F$1,[2]characters!$1:$1,0)-MATCH($A$1,[2]characters!$1:$1,0)+1),MATCH(F$1,[2]characters!$1:$1,0)-MATCH($A$1,[2]characters!$1:$1,0)+1,FALSE)</f>
        <v>雷のマッドハッター</v>
      </c>
      <c r="G351" s="66">
        <v>1</v>
      </c>
      <c r="H351" s="66">
        <v>1</v>
      </c>
      <c r="I351" s="66">
        <v>1</v>
      </c>
    </row>
    <row r="352" spans="1:9" x14ac:dyDescent="0.15">
      <c r="A352" s="66">
        <v>276</v>
      </c>
      <c r="B352" s="3" t="str">
        <f ca="1">VLOOKUP($A352,OFFSET([2]characters!$A$1,0,0,COUNTA([2]characters!$A:$A),MATCH(B$1,[2]characters!$1:$1,0)-MATCH($A$1,[2]characters!$1:$1,0)+1),MATCH(B$1,[2]characters!$1:$1,0)-MATCH($A$1,[2]characters!$1:$1,0)+1,FALSE)</f>
        <v>機拳のイリア</v>
      </c>
      <c r="C352" s="93">
        <f ca="1">VLOOKUP($A352,OFFSET(fork_awake_units!$A$1,0,0,COUNTA(fork_awake_units!$A:$A),MATCH(C$1,fork_awake_units!$1:$1,0)-MATCH($A$1,fork_awake_units!$1:$1,0)+1),MATCH(C$1,fork_awake_units!$1:$1,0)-MATCH($A$1,fork_awake_units!$1:$1,0)+1,FALSE)</f>
        <v>277</v>
      </c>
      <c r="D352" s="3" t="str">
        <f ca="1">VLOOKUP($C352,OFFSET([2]characters!$A$1,0,0,COUNTA([2]characters!$A:$A),MATCH(D$1,[2]characters!$1:$1,0)-MATCH($A$1,[2]characters!$1:$1,0)+1),MATCH(D$1,[2]characters!$1:$1,0)-MATCH($A$1,[2]characters!$1:$1,0)+1,FALSE)</f>
        <v>機拳恐慌 イリア</v>
      </c>
      <c r="E352" s="66">
        <v>101</v>
      </c>
      <c r="F352" s="3" t="str">
        <f ca="1">VLOOKUP($E352,OFFSET([2]characters!$A$1,0,0,COUNTA([2]characters!$A:$A),MATCH(F$1,[2]characters!$1:$1,0)-MATCH($A$1,[2]characters!$1:$1,0)+1),MATCH(F$1,[2]characters!$1:$1,0)-MATCH($A$1,[2]characters!$1:$1,0)+1,FALSE)</f>
        <v>レッドチェシャ</v>
      </c>
      <c r="G352" s="66">
        <v>1</v>
      </c>
      <c r="H352" s="66">
        <v>1</v>
      </c>
      <c r="I352" s="66">
        <v>1</v>
      </c>
    </row>
    <row r="353" spans="1:9" x14ac:dyDescent="0.15">
      <c r="A353" s="66">
        <v>276</v>
      </c>
      <c r="B353" s="3" t="str">
        <f ca="1">VLOOKUP($A353,OFFSET([2]characters!$A$1,0,0,COUNTA([2]characters!$A:$A),MATCH(B$1,[2]characters!$1:$1,0)-MATCH($A$1,[2]characters!$1:$1,0)+1),MATCH(B$1,[2]characters!$1:$1,0)-MATCH($A$1,[2]characters!$1:$1,0)+1,FALSE)</f>
        <v>機拳のイリア</v>
      </c>
      <c r="C353" s="93">
        <f ca="1">VLOOKUP($A353,OFFSET(fork_awake_units!$A$1,0,0,COUNTA(fork_awake_units!$A:$A),MATCH(C$1,fork_awake_units!$1:$1,0)-MATCH($A$1,fork_awake_units!$1:$1,0)+1),MATCH(C$1,fork_awake_units!$1:$1,0)-MATCH($A$1,fork_awake_units!$1:$1,0)+1,FALSE)</f>
        <v>277</v>
      </c>
      <c r="D353" s="3" t="str">
        <f ca="1">VLOOKUP($C353,OFFSET([2]characters!$A$1,0,0,COUNTA([2]characters!$A:$A),MATCH(D$1,[2]characters!$1:$1,0)-MATCH($A$1,[2]characters!$1:$1,0)+1),MATCH(D$1,[2]characters!$1:$1,0)-MATCH($A$1,[2]characters!$1:$1,0)+1,FALSE)</f>
        <v>機拳恐慌 イリア</v>
      </c>
      <c r="E353" s="66">
        <v>102</v>
      </c>
      <c r="F353" s="3" t="str">
        <f ca="1">VLOOKUP($E353,OFFSET([2]characters!$A$1,0,0,COUNTA([2]characters!$A:$A),MATCH(F$1,[2]characters!$1:$1,0)-MATCH($A$1,[2]characters!$1:$1,0)+1),MATCH(F$1,[2]characters!$1:$1,0)-MATCH($A$1,[2]characters!$1:$1,0)+1,FALSE)</f>
        <v>レッドラビット</v>
      </c>
      <c r="G353" s="66">
        <v>2</v>
      </c>
      <c r="H353" s="66">
        <v>1</v>
      </c>
      <c r="I353" s="66">
        <v>1</v>
      </c>
    </row>
    <row r="354" spans="1:9" x14ac:dyDescent="0.15">
      <c r="A354" s="66">
        <v>276</v>
      </c>
      <c r="B354" s="3" t="str">
        <f ca="1">VLOOKUP($A354,OFFSET([2]characters!$A$1,0,0,COUNTA([2]characters!$A:$A),MATCH(B$1,[2]characters!$1:$1,0)-MATCH($A$1,[2]characters!$1:$1,0)+1),MATCH(B$1,[2]characters!$1:$1,0)-MATCH($A$1,[2]characters!$1:$1,0)+1,FALSE)</f>
        <v>機拳のイリア</v>
      </c>
      <c r="C354" s="93">
        <f ca="1">VLOOKUP($A354,OFFSET(fork_awake_units!$A$1,0,0,COUNTA(fork_awake_units!$A:$A),MATCH(C$1,fork_awake_units!$1:$1,0)-MATCH($A$1,fork_awake_units!$1:$1,0)+1),MATCH(C$1,fork_awake_units!$1:$1,0)-MATCH($A$1,fork_awake_units!$1:$1,0)+1,FALSE)</f>
        <v>277</v>
      </c>
      <c r="D354" s="3" t="str">
        <f ca="1">VLOOKUP($C354,OFFSET([2]characters!$A$1,0,0,COUNTA([2]characters!$A:$A),MATCH(D$1,[2]characters!$1:$1,0)-MATCH($A$1,[2]characters!$1:$1,0)+1),MATCH(D$1,[2]characters!$1:$1,0)-MATCH($A$1,[2]characters!$1:$1,0)+1,FALSE)</f>
        <v>機拳恐慌 イリア</v>
      </c>
      <c r="E354" s="66">
        <v>103</v>
      </c>
      <c r="F354" s="3" t="str">
        <f ca="1">VLOOKUP($E354,OFFSET([2]characters!$A$1,0,0,COUNTA([2]characters!$A:$A),MATCH(F$1,[2]characters!$1:$1,0)-MATCH($A$1,[2]characters!$1:$1,0)+1),MATCH(F$1,[2]characters!$1:$1,0)-MATCH($A$1,[2]characters!$1:$1,0)+1,FALSE)</f>
        <v>レッドキャタップ</v>
      </c>
      <c r="G354" s="66">
        <v>1</v>
      </c>
      <c r="H354" s="66">
        <v>1</v>
      </c>
      <c r="I354" s="66">
        <v>1</v>
      </c>
    </row>
    <row r="355" spans="1:9" x14ac:dyDescent="0.15">
      <c r="A355" s="66">
        <v>276</v>
      </c>
      <c r="B355" s="3" t="str">
        <f ca="1">VLOOKUP($A355,OFFSET([2]characters!$A$1,0,0,COUNTA([2]characters!$A:$A),MATCH(B$1,[2]characters!$1:$1,0)-MATCH($A$1,[2]characters!$1:$1,0)+1),MATCH(B$1,[2]characters!$1:$1,0)-MATCH($A$1,[2]characters!$1:$1,0)+1,FALSE)</f>
        <v>機拳のイリア</v>
      </c>
      <c r="C355" s="93">
        <f ca="1">VLOOKUP($A355,OFFSET(fork_awake_units!$A$1,0,0,COUNTA(fork_awake_units!$A:$A),MATCH(C$1,fork_awake_units!$1:$1,0)-MATCH($A$1,fork_awake_units!$1:$1,0)+1),MATCH(C$1,fork_awake_units!$1:$1,0)-MATCH($A$1,fork_awake_units!$1:$1,0)+1,FALSE)</f>
        <v>277</v>
      </c>
      <c r="D355" s="3" t="str">
        <f ca="1">VLOOKUP($C355,OFFSET([2]characters!$A$1,0,0,COUNTA([2]characters!$A:$A),MATCH(D$1,[2]characters!$1:$1,0)-MATCH($A$1,[2]characters!$1:$1,0)+1),MATCH(D$1,[2]characters!$1:$1,0)-MATCH($A$1,[2]characters!$1:$1,0)+1,FALSE)</f>
        <v>機拳恐慌 イリア</v>
      </c>
      <c r="E355" s="66">
        <v>104</v>
      </c>
      <c r="F355" s="3" t="str">
        <f ca="1">VLOOKUP($E355,OFFSET([2]characters!$A$1,0,0,COUNTA([2]characters!$A:$A),MATCH(F$1,[2]characters!$1:$1,0)-MATCH($A$1,[2]characters!$1:$1,0)+1),MATCH(F$1,[2]characters!$1:$1,0)-MATCH($A$1,[2]characters!$1:$1,0)+1,FALSE)</f>
        <v>炎のマッドハッター</v>
      </c>
      <c r="G355" s="66">
        <v>1</v>
      </c>
      <c r="H355" s="66">
        <v>1</v>
      </c>
      <c r="I355" s="66">
        <v>1</v>
      </c>
    </row>
    <row r="356" spans="1:9" x14ac:dyDescent="0.15">
      <c r="A356" s="66">
        <v>278</v>
      </c>
      <c r="B356" s="3" t="str">
        <f ca="1">VLOOKUP($A356,OFFSET([2]characters!$A$1,0,0,COUNTA([2]characters!$A:$A),MATCH(B$1,[2]characters!$1:$1,0)-MATCH($A$1,[2]characters!$1:$1,0)+1),MATCH(B$1,[2]characters!$1:$1,0)-MATCH($A$1,[2]characters!$1:$1,0)+1,FALSE)</f>
        <v>アマテラス</v>
      </c>
      <c r="C356" s="93">
        <f ca="1">VLOOKUP($A356,OFFSET(fork_awake_units!$A$1,0,0,COUNTA(fork_awake_units!$A:$A),MATCH(C$1,fork_awake_units!$1:$1,0)-MATCH($A$1,fork_awake_units!$1:$1,0)+1),MATCH(C$1,fork_awake_units!$1:$1,0)-MATCH($A$1,fork_awake_units!$1:$1,0)+1,FALSE)</f>
        <v>279</v>
      </c>
      <c r="D356" s="3" t="str">
        <f ca="1">VLOOKUP($C356,OFFSET([2]characters!$A$1,0,0,COUNTA([2]characters!$A:$A),MATCH(D$1,[2]characters!$1:$1,0)-MATCH($A$1,[2]characters!$1:$1,0)+1),MATCH(D$1,[2]characters!$1:$1,0)-MATCH($A$1,[2]characters!$1:$1,0)+1,FALSE)</f>
        <v>統空大神 アマテラス</v>
      </c>
      <c r="E356" s="66">
        <v>103</v>
      </c>
      <c r="F356" s="3" t="str">
        <f ca="1">VLOOKUP($E356,OFFSET([2]characters!$A$1,0,0,COUNTA([2]characters!$A:$A),MATCH(F$1,[2]characters!$1:$1,0)-MATCH($A$1,[2]characters!$1:$1,0)+1),MATCH(F$1,[2]characters!$1:$1,0)-MATCH($A$1,[2]characters!$1:$1,0)+1,FALSE)</f>
        <v>レッドキャタップ</v>
      </c>
      <c r="G356" s="66">
        <v>2</v>
      </c>
      <c r="H356" s="66">
        <v>1</v>
      </c>
      <c r="I356" s="66">
        <v>1</v>
      </c>
    </row>
    <row r="357" spans="1:9" x14ac:dyDescent="0.15">
      <c r="A357" s="66">
        <v>278</v>
      </c>
      <c r="B357" s="3" t="str">
        <f ca="1">VLOOKUP($A357,OFFSET([2]characters!$A$1,0,0,COUNTA([2]characters!$A:$A),MATCH(B$1,[2]characters!$1:$1,0)-MATCH($A$1,[2]characters!$1:$1,0)+1),MATCH(B$1,[2]characters!$1:$1,0)-MATCH($A$1,[2]characters!$1:$1,0)+1,FALSE)</f>
        <v>アマテラス</v>
      </c>
      <c r="C357" s="93">
        <f ca="1">VLOOKUP($A357,OFFSET(fork_awake_units!$A$1,0,0,COUNTA(fork_awake_units!$A:$A),MATCH(C$1,fork_awake_units!$1:$1,0)-MATCH($A$1,fork_awake_units!$1:$1,0)+1),MATCH(C$1,fork_awake_units!$1:$1,0)-MATCH($A$1,fork_awake_units!$1:$1,0)+1,FALSE)</f>
        <v>279</v>
      </c>
      <c r="D357" s="3" t="str">
        <f ca="1">VLOOKUP($C357,OFFSET([2]characters!$A$1,0,0,COUNTA([2]characters!$A:$A),MATCH(D$1,[2]characters!$1:$1,0)-MATCH($A$1,[2]characters!$1:$1,0)+1),MATCH(D$1,[2]characters!$1:$1,0)-MATCH($A$1,[2]characters!$1:$1,0)+1,FALSE)</f>
        <v>統空大神 アマテラス</v>
      </c>
      <c r="E357" s="66">
        <v>104</v>
      </c>
      <c r="F357" s="3" t="str">
        <f ca="1">VLOOKUP($E357,OFFSET([2]characters!$A$1,0,0,COUNTA([2]characters!$A:$A),MATCH(F$1,[2]characters!$1:$1,0)-MATCH($A$1,[2]characters!$1:$1,0)+1),MATCH(F$1,[2]characters!$1:$1,0)-MATCH($A$1,[2]characters!$1:$1,0)+1,FALSE)</f>
        <v>炎のマッドハッター</v>
      </c>
      <c r="G357" s="66">
        <v>3</v>
      </c>
      <c r="H357" s="66">
        <v>1</v>
      </c>
      <c r="I357" s="66">
        <v>1</v>
      </c>
    </row>
    <row r="358" spans="1:9" x14ac:dyDescent="0.15">
      <c r="A358" s="66">
        <v>279</v>
      </c>
      <c r="B358" s="3" t="str">
        <f ca="1">VLOOKUP($A358,OFFSET([2]characters!$A$1,0,0,COUNTA([2]characters!$A:$A),MATCH(B$1,[2]characters!$1:$1,0)-MATCH($A$1,[2]characters!$1:$1,0)+1),MATCH(B$1,[2]characters!$1:$1,0)-MATCH($A$1,[2]characters!$1:$1,0)+1,FALSE)</f>
        <v>統空大神 アマテラス</v>
      </c>
      <c r="C358" s="93">
        <f ca="1">VLOOKUP($A358,OFFSET(fork_awake_units!$A$1,0,0,COUNTA(fork_awake_units!$A:$A),MATCH(C$1,fork_awake_units!$1:$1,0)-MATCH($A$1,fork_awake_units!$1:$1,0)+1),MATCH(C$1,fork_awake_units!$1:$1,0)-MATCH($A$1,fork_awake_units!$1:$1,0)+1,FALSE)</f>
        <v>810</v>
      </c>
      <c r="D358" s="3" t="str">
        <f ca="1">VLOOKUP($C358,OFFSET([2]characters!$A$1,0,0,COUNTA([2]characters!$A:$A),MATCH(D$1,[2]characters!$1:$1,0)-MATCH($A$1,[2]characters!$1:$1,0)+1),MATCH(D$1,[2]characters!$1:$1,0)-MATCH($A$1,[2]characters!$1:$1,0)+1,FALSE)</f>
        <v>君臨大御神 アマテラス</v>
      </c>
      <c r="E358" s="66">
        <v>103</v>
      </c>
      <c r="F358" s="3" t="str">
        <f ca="1">VLOOKUP($E358,OFFSET([2]characters!$A$1,0,0,COUNTA([2]characters!$A:$A),MATCH(F$1,[2]characters!$1:$1,0)-MATCH($A$1,[2]characters!$1:$1,0)+1),MATCH(F$1,[2]characters!$1:$1,0)-MATCH($A$1,[2]characters!$1:$1,0)+1,FALSE)</f>
        <v>レッドキャタップ</v>
      </c>
      <c r="G358" s="66">
        <v>1</v>
      </c>
      <c r="H358" s="66">
        <v>1</v>
      </c>
      <c r="I358" s="66">
        <v>1</v>
      </c>
    </row>
    <row r="359" spans="1:9" x14ac:dyDescent="0.15">
      <c r="A359" s="66">
        <v>279</v>
      </c>
      <c r="B359" s="3" t="str">
        <f ca="1">VLOOKUP($A359,OFFSET([2]characters!$A$1,0,0,COUNTA([2]characters!$A:$A),MATCH(B$1,[2]characters!$1:$1,0)-MATCH($A$1,[2]characters!$1:$1,0)+1),MATCH(B$1,[2]characters!$1:$1,0)-MATCH($A$1,[2]characters!$1:$1,0)+1,FALSE)</f>
        <v>統空大神 アマテラス</v>
      </c>
      <c r="C359" s="93">
        <f ca="1">VLOOKUP($A359,OFFSET(fork_awake_units!$A$1,0,0,COUNTA(fork_awake_units!$A:$A),MATCH(C$1,fork_awake_units!$1:$1,0)-MATCH($A$1,fork_awake_units!$1:$1,0)+1),MATCH(C$1,fork_awake_units!$1:$1,0)-MATCH($A$1,fork_awake_units!$1:$1,0)+1,FALSE)</f>
        <v>810</v>
      </c>
      <c r="D359" s="3" t="str">
        <f ca="1">VLOOKUP($C359,OFFSET([2]characters!$A$1,0,0,COUNTA([2]characters!$A:$A),MATCH(D$1,[2]characters!$1:$1,0)-MATCH($A$1,[2]characters!$1:$1,0)+1),MATCH(D$1,[2]characters!$1:$1,0)-MATCH($A$1,[2]characters!$1:$1,0)+1,FALSE)</f>
        <v>君臨大御神 アマテラス</v>
      </c>
      <c r="E359" s="66">
        <v>104</v>
      </c>
      <c r="F359" s="3" t="str">
        <f ca="1">VLOOKUP($E359,OFFSET([2]characters!$A$1,0,0,COUNTA([2]characters!$A:$A),MATCH(F$1,[2]characters!$1:$1,0)-MATCH($A$1,[2]characters!$1:$1,0)+1),MATCH(F$1,[2]characters!$1:$1,0)-MATCH($A$1,[2]characters!$1:$1,0)+1,FALSE)</f>
        <v>炎のマッドハッター</v>
      </c>
      <c r="G359" s="66">
        <v>1</v>
      </c>
      <c r="H359" s="66">
        <v>1</v>
      </c>
      <c r="I359" s="66">
        <v>1</v>
      </c>
    </row>
    <row r="360" spans="1:9" x14ac:dyDescent="0.15">
      <c r="A360" s="66">
        <v>279</v>
      </c>
      <c r="B360" s="3" t="str">
        <f ca="1">VLOOKUP($A360,OFFSET([2]characters!$A$1,0,0,COUNTA([2]characters!$A:$A),MATCH(B$1,[2]characters!$1:$1,0)-MATCH($A$1,[2]characters!$1:$1,0)+1),MATCH(B$1,[2]characters!$1:$1,0)-MATCH($A$1,[2]characters!$1:$1,0)+1,FALSE)</f>
        <v>統空大神 アマテラス</v>
      </c>
      <c r="C360" s="93">
        <f ca="1">VLOOKUP($A360,OFFSET(fork_awake_units!$A$1,0,0,COUNTA(fork_awake_units!$A:$A),MATCH(C$1,fork_awake_units!$1:$1,0)-MATCH($A$1,fork_awake_units!$1:$1,0)+1),MATCH(C$1,fork_awake_units!$1:$1,0)-MATCH($A$1,fork_awake_units!$1:$1,0)+1,FALSE)</f>
        <v>810</v>
      </c>
      <c r="D360" s="3" t="str">
        <f ca="1">VLOOKUP($C360,OFFSET([2]characters!$A$1,0,0,COUNTA([2]characters!$A:$A),MATCH(D$1,[2]characters!$1:$1,0)-MATCH($A$1,[2]characters!$1:$1,0)+1),MATCH(D$1,[2]characters!$1:$1,0)-MATCH($A$1,[2]characters!$1:$1,0)+1,FALSE)</f>
        <v>君臨大御神 アマテラス</v>
      </c>
      <c r="E360" s="66">
        <v>356</v>
      </c>
      <c r="F360" s="3" t="str">
        <f ca="1">VLOOKUP($E360,OFFSET([2]characters!$A$1,0,0,COUNTA([2]characters!$A:$A),MATCH(F$1,[2]characters!$1:$1,0)-MATCH($A$1,[2]characters!$1:$1,0)+1),MATCH(F$1,[2]characters!$1:$1,0)-MATCH($A$1,[2]characters!$1:$1,0)+1,FALSE)</f>
        <v>炎上のドードー</v>
      </c>
      <c r="G360" s="66">
        <v>1</v>
      </c>
      <c r="H360" s="66">
        <v>1</v>
      </c>
      <c r="I360" s="66">
        <v>1</v>
      </c>
    </row>
    <row r="361" spans="1:9" x14ac:dyDescent="0.15">
      <c r="A361" s="66">
        <v>279</v>
      </c>
      <c r="B361" s="3" t="str">
        <f ca="1">VLOOKUP($A361,OFFSET([2]characters!$A$1,0,0,COUNTA([2]characters!$A:$A),MATCH(B$1,[2]characters!$1:$1,0)-MATCH($A$1,[2]characters!$1:$1,0)+1),MATCH(B$1,[2]characters!$1:$1,0)-MATCH($A$1,[2]characters!$1:$1,0)+1,FALSE)</f>
        <v>統空大神 アマテラス</v>
      </c>
      <c r="C361" s="93">
        <f ca="1">VLOOKUP($A361,OFFSET(fork_awake_units!$A$1,0,0,COUNTA(fork_awake_units!$A:$A),MATCH(C$1,fork_awake_units!$1:$1,0)-MATCH($A$1,fork_awake_units!$1:$1,0)+1),MATCH(C$1,fork_awake_units!$1:$1,0)-MATCH($A$1,fork_awake_units!$1:$1,0)+1,FALSE)</f>
        <v>810</v>
      </c>
      <c r="D361" s="3" t="str">
        <f ca="1">VLOOKUP($C361,OFFSET([2]characters!$A$1,0,0,COUNTA([2]characters!$A:$A),MATCH(D$1,[2]characters!$1:$1,0)-MATCH($A$1,[2]characters!$1:$1,0)+1),MATCH(D$1,[2]characters!$1:$1,0)-MATCH($A$1,[2]characters!$1:$1,0)+1,FALSE)</f>
        <v>君臨大御神 アマテラス</v>
      </c>
      <c r="E361" s="66">
        <v>837</v>
      </c>
      <c r="F361" s="3" t="str">
        <f ca="1">VLOOKUP($E361,OFFSET([2]characters!$A$1,0,0,COUNTA([2]characters!$A:$A),MATCH(F$1,[2]characters!$1:$1,0)-MATCH($A$1,[2]characters!$1:$1,0)+1),MATCH(F$1,[2]characters!$1:$1,0)-MATCH($A$1,[2]characters!$1:$1,0)+1,FALSE)</f>
        <v>リトルハンプティ</v>
      </c>
      <c r="G361" s="66">
        <v>1</v>
      </c>
      <c r="H361" s="66">
        <v>1</v>
      </c>
      <c r="I361" s="66">
        <v>1</v>
      </c>
    </row>
    <row r="362" spans="1:9" x14ac:dyDescent="0.15">
      <c r="A362" s="66">
        <v>280</v>
      </c>
      <c r="B362" s="3" t="str">
        <f ca="1">VLOOKUP($A362,OFFSET([2]characters!$A$1,0,0,COUNTA([2]characters!$A:$A),MATCH(B$1,[2]characters!$1:$1,0)-MATCH($A$1,[2]characters!$1:$1,0)+1),MATCH(B$1,[2]characters!$1:$1,0)-MATCH($A$1,[2]characters!$1:$1,0)+1,FALSE)</f>
        <v>リンドブルム</v>
      </c>
      <c r="C362" s="93">
        <f ca="1">VLOOKUP($A362,OFFSET(fork_awake_units!$A$1,0,0,COUNTA(fork_awake_units!$A:$A),MATCH(C$1,fork_awake_units!$1:$1,0)-MATCH($A$1,fork_awake_units!$1:$1,0)+1),MATCH(C$1,fork_awake_units!$1:$1,0)-MATCH($A$1,fork_awake_units!$1:$1,0)+1,FALSE)</f>
        <v>281</v>
      </c>
      <c r="D362" s="3" t="str">
        <f ca="1">VLOOKUP($C362,OFFSET([2]characters!$A$1,0,0,COUNTA([2]characters!$A:$A),MATCH(D$1,[2]characters!$1:$1,0)-MATCH($A$1,[2]characters!$1:$1,0)+1),MATCH(D$1,[2]characters!$1:$1,0)-MATCH($A$1,[2]characters!$1:$1,0)+1,FALSE)</f>
        <v>リンドブルム・コンデンス</v>
      </c>
      <c r="E362" s="66">
        <v>280</v>
      </c>
      <c r="F362" s="3" t="str">
        <f ca="1">VLOOKUP($E362,OFFSET([2]characters!$A$1,0,0,COUNTA([2]characters!$A:$A),MATCH(F$1,[2]characters!$1:$1,0)-MATCH($A$1,[2]characters!$1:$1,0)+1),MATCH(F$1,[2]characters!$1:$1,0)-MATCH($A$1,[2]characters!$1:$1,0)+1,FALSE)</f>
        <v>リンドブルム</v>
      </c>
      <c r="G362" s="66">
        <v>3</v>
      </c>
      <c r="H362" s="66">
        <v>1</v>
      </c>
      <c r="I362" s="66">
        <v>1</v>
      </c>
    </row>
    <row r="363" spans="1:9" x14ac:dyDescent="0.15">
      <c r="A363" s="66">
        <v>281</v>
      </c>
      <c r="B363" s="3" t="str">
        <f ca="1">VLOOKUP($A363,OFFSET([2]characters!$A$1,0,0,COUNTA([2]characters!$A:$A),MATCH(B$1,[2]characters!$1:$1,0)-MATCH($A$1,[2]characters!$1:$1,0)+1),MATCH(B$1,[2]characters!$1:$1,0)-MATCH($A$1,[2]characters!$1:$1,0)+1,FALSE)</f>
        <v>リンドブルム・コンデンス</v>
      </c>
      <c r="C363" s="93">
        <f ca="1">VLOOKUP($A363,OFFSET(fork_awake_units!$A$1,0,0,COUNTA(fork_awake_units!$A:$A),MATCH(C$1,fork_awake_units!$1:$1,0)-MATCH($A$1,fork_awake_units!$1:$1,0)+1),MATCH(C$1,fork_awake_units!$1:$1,0)-MATCH($A$1,fork_awake_units!$1:$1,0)+1,FALSE)</f>
        <v>616</v>
      </c>
      <c r="D363" s="3" t="str">
        <f ca="1">VLOOKUP($C363,OFFSET([2]characters!$A$1,0,0,COUNTA([2]characters!$A:$A),MATCH(D$1,[2]characters!$1:$1,0)-MATCH($A$1,[2]characters!$1:$1,0)+1),MATCH(D$1,[2]characters!$1:$1,0)-MATCH($A$1,[2]characters!$1:$1,0)+1,FALSE)</f>
        <v>リンドブルム・デルタクラスター</v>
      </c>
      <c r="E363" s="66">
        <v>280</v>
      </c>
      <c r="F363" s="3" t="str">
        <f ca="1">VLOOKUP($E363,OFFSET([2]characters!$A$1,0,0,COUNTA([2]characters!$A:$A),MATCH(F$1,[2]characters!$1:$1,0)-MATCH($A$1,[2]characters!$1:$1,0)+1),MATCH(F$1,[2]characters!$1:$1,0)-MATCH($A$1,[2]characters!$1:$1,0)+1,FALSE)</f>
        <v>リンドブルム</v>
      </c>
      <c r="G363" s="66">
        <v>1</v>
      </c>
      <c r="H363" s="66">
        <v>10</v>
      </c>
      <c r="I363" s="66">
        <v>1</v>
      </c>
    </row>
    <row r="364" spans="1:9" x14ac:dyDescent="0.15">
      <c r="A364" s="66">
        <v>282</v>
      </c>
      <c r="B364" s="3" t="str">
        <f ca="1">VLOOKUP($A364,OFFSET([2]characters!$A$1,0,0,COUNTA([2]characters!$A:$A),MATCH(B$1,[2]characters!$1:$1,0)-MATCH($A$1,[2]characters!$1:$1,0)+1),MATCH(B$1,[2]characters!$1:$1,0)-MATCH($A$1,[2]characters!$1:$1,0)+1,FALSE)</f>
        <v>ラーフ</v>
      </c>
      <c r="C364" s="93">
        <f ca="1">VLOOKUP($A364,OFFSET(fork_awake_units!$A$1,0,0,COUNTA(fork_awake_units!$A:$A),MATCH(C$1,fork_awake_units!$1:$1,0)-MATCH($A$1,fork_awake_units!$1:$1,0)+1),MATCH(C$1,fork_awake_units!$1:$1,0)-MATCH($A$1,fork_awake_units!$1:$1,0)+1,FALSE)</f>
        <v>283</v>
      </c>
      <c r="D364" s="3" t="str">
        <f ca="1">VLOOKUP($C364,OFFSET([2]characters!$A$1,0,0,COUNTA([2]characters!$A:$A),MATCH(D$1,[2]characters!$1:$1,0)-MATCH($A$1,[2]characters!$1:$1,0)+1),MATCH(D$1,[2]characters!$1:$1,0)-MATCH($A$1,[2]characters!$1:$1,0)+1,FALSE)</f>
        <v>ラーフ・メテオ</v>
      </c>
      <c r="E364" s="66">
        <v>282</v>
      </c>
      <c r="F364" s="3" t="str">
        <f ca="1">VLOOKUP($E364,OFFSET([2]characters!$A$1,0,0,COUNTA([2]characters!$A:$A),MATCH(F$1,[2]characters!$1:$1,0)-MATCH($A$1,[2]characters!$1:$1,0)+1),MATCH(F$1,[2]characters!$1:$1,0)-MATCH($A$1,[2]characters!$1:$1,0)+1,FALSE)</f>
        <v>ラーフ</v>
      </c>
      <c r="G364" s="66">
        <v>3</v>
      </c>
      <c r="H364" s="66">
        <v>1</v>
      </c>
      <c r="I364" s="66">
        <v>1</v>
      </c>
    </row>
    <row r="365" spans="1:9" x14ac:dyDescent="0.15">
      <c r="A365" s="66">
        <v>283</v>
      </c>
      <c r="B365" s="3" t="str">
        <f ca="1">VLOOKUP($A365,OFFSET([2]characters!$A$1,0,0,COUNTA([2]characters!$A:$A),MATCH(B$1,[2]characters!$1:$1,0)-MATCH($A$1,[2]characters!$1:$1,0)+1),MATCH(B$1,[2]characters!$1:$1,0)-MATCH($A$1,[2]characters!$1:$1,0)+1,FALSE)</f>
        <v>ラーフ・メテオ</v>
      </c>
      <c r="C365" s="93">
        <f ca="1">VLOOKUP($A365,OFFSET(fork_awake_units!$A$1,0,0,COUNTA(fork_awake_units!$A:$A),MATCH(C$1,fork_awake_units!$1:$1,0)-MATCH($A$1,fork_awake_units!$1:$1,0)+1),MATCH(C$1,fork_awake_units!$1:$1,0)-MATCH($A$1,fork_awake_units!$1:$1,0)+1,FALSE)</f>
        <v>617</v>
      </c>
      <c r="D365" s="3" t="str">
        <f ca="1">VLOOKUP($C365,OFFSET([2]characters!$A$1,0,0,COUNTA([2]characters!$A:$A),MATCH(D$1,[2]characters!$1:$1,0)-MATCH($A$1,[2]characters!$1:$1,0)+1),MATCH(D$1,[2]characters!$1:$1,0)-MATCH($A$1,[2]characters!$1:$1,0)+1,FALSE)</f>
        <v>ラーフ・アルマゲドン</v>
      </c>
      <c r="E365" s="66">
        <v>282</v>
      </c>
      <c r="F365" s="3" t="str">
        <f ca="1">VLOOKUP($E365,OFFSET([2]characters!$A$1,0,0,COUNTA([2]characters!$A:$A),MATCH(F$1,[2]characters!$1:$1,0)-MATCH($A$1,[2]characters!$1:$1,0)+1),MATCH(F$1,[2]characters!$1:$1,0)-MATCH($A$1,[2]characters!$1:$1,0)+1,FALSE)</f>
        <v>ラーフ</v>
      </c>
      <c r="G365" s="66">
        <v>1</v>
      </c>
      <c r="H365" s="66">
        <v>10</v>
      </c>
      <c r="I365" s="66">
        <v>1</v>
      </c>
    </row>
    <row r="366" spans="1:9" x14ac:dyDescent="0.15">
      <c r="A366" s="66">
        <v>284</v>
      </c>
      <c r="B366" s="3" t="str">
        <f ca="1">VLOOKUP($A366,OFFSET([2]characters!$A$1,0,0,COUNTA([2]characters!$A:$A),MATCH(B$1,[2]characters!$1:$1,0)-MATCH($A$1,[2]characters!$1:$1,0)+1),MATCH(B$1,[2]characters!$1:$1,0)-MATCH($A$1,[2]characters!$1:$1,0)+1,FALSE)</f>
        <v>フェルニゲシュ</v>
      </c>
      <c r="C366" s="93">
        <f ca="1">VLOOKUP($A366,OFFSET(fork_awake_units!$A$1,0,0,COUNTA(fork_awake_units!$A:$A),MATCH(C$1,fork_awake_units!$1:$1,0)-MATCH($A$1,fork_awake_units!$1:$1,0)+1),MATCH(C$1,fork_awake_units!$1:$1,0)-MATCH($A$1,fork_awake_units!$1:$1,0)+1,FALSE)</f>
        <v>285</v>
      </c>
      <c r="D366" s="3" t="str">
        <f ca="1">VLOOKUP($C366,OFFSET([2]characters!$A$1,0,0,COUNTA([2]characters!$A:$A),MATCH(D$1,[2]characters!$1:$1,0)-MATCH($A$1,[2]characters!$1:$1,0)+1),MATCH(D$1,[2]characters!$1:$1,0)-MATCH($A$1,[2]characters!$1:$1,0)+1,FALSE)</f>
        <v>フェルニゲシュ・オーバードライヴ</v>
      </c>
      <c r="E366" s="66">
        <v>284</v>
      </c>
      <c r="F366" s="3" t="str">
        <f ca="1">VLOOKUP($E366,OFFSET([2]characters!$A$1,0,0,COUNTA([2]characters!$A:$A),MATCH(F$1,[2]characters!$1:$1,0)-MATCH($A$1,[2]characters!$1:$1,0)+1),MATCH(F$1,[2]characters!$1:$1,0)-MATCH($A$1,[2]characters!$1:$1,0)+1,FALSE)</f>
        <v>フェルニゲシュ</v>
      </c>
      <c r="G366" s="66">
        <v>3</v>
      </c>
      <c r="H366" s="66">
        <v>1</v>
      </c>
      <c r="I366" s="66">
        <v>1</v>
      </c>
    </row>
    <row r="367" spans="1:9" x14ac:dyDescent="0.15">
      <c r="A367" s="66">
        <v>285</v>
      </c>
      <c r="B367" s="3" t="str">
        <f ca="1">VLOOKUP($A367,OFFSET([2]characters!$A$1,0,0,COUNTA([2]characters!$A:$A),MATCH(B$1,[2]characters!$1:$1,0)-MATCH($A$1,[2]characters!$1:$1,0)+1),MATCH(B$1,[2]characters!$1:$1,0)-MATCH($A$1,[2]characters!$1:$1,0)+1,FALSE)</f>
        <v>フェルニゲシュ・オーバードライヴ</v>
      </c>
      <c r="C367" s="93">
        <f ca="1">VLOOKUP($A367,OFFSET(fork_awake_units!$A$1,0,0,COUNTA(fork_awake_units!$A:$A),MATCH(C$1,fork_awake_units!$1:$1,0)-MATCH($A$1,fork_awake_units!$1:$1,0)+1),MATCH(C$1,fork_awake_units!$1:$1,0)-MATCH($A$1,fork_awake_units!$1:$1,0)+1,FALSE)</f>
        <v>618</v>
      </c>
      <c r="D367" s="3" t="str">
        <f ca="1">VLOOKUP($C367,OFFSET([2]characters!$A$1,0,0,COUNTA([2]characters!$A:$A),MATCH(D$1,[2]characters!$1:$1,0)-MATCH($A$1,[2]characters!$1:$1,0)+1),MATCH(D$1,[2]characters!$1:$1,0)-MATCH($A$1,[2]characters!$1:$1,0)+1,FALSE)</f>
        <v>フェルニゲシュ・オメガドライブ</v>
      </c>
      <c r="E367" s="66">
        <v>284</v>
      </c>
      <c r="F367" s="3" t="str">
        <f ca="1">VLOOKUP($E367,OFFSET([2]characters!$A$1,0,0,COUNTA([2]characters!$A:$A),MATCH(F$1,[2]characters!$1:$1,0)-MATCH($A$1,[2]characters!$1:$1,0)+1),MATCH(F$1,[2]characters!$1:$1,0)-MATCH($A$1,[2]characters!$1:$1,0)+1,FALSE)</f>
        <v>フェルニゲシュ</v>
      </c>
      <c r="G367" s="66">
        <v>1</v>
      </c>
      <c r="H367" s="66">
        <v>10</v>
      </c>
      <c r="I367" s="66">
        <v>1</v>
      </c>
    </row>
    <row r="368" spans="1:9" x14ac:dyDescent="0.15">
      <c r="A368" s="66">
        <v>286</v>
      </c>
      <c r="B368" s="3" t="str">
        <f ca="1">VLOOKUP($A368,OFFSET([2]characters!$A$1,0,0,COUNTA([2]characters!$A:$A),MATCH(B$1,[2]characters!$1:$1,0)-MATCH($A$1,[2]characters!$1:$1,0)+1),MATCH(B$1,[2]characters!$1:$1,0)-MATCH($A$1,[2]characters!$1:$1,0)+1,FALSE)</f>
        <v>ヒュドラ</v>
      </c>
      <c r="C368" s="93">
        <f ca="1">VLOOKUP($A368,OFFSET(fork_awake_units!$A$1,0,0,COUNTA(fork_awake_units!$A:$A),MATCH(C$1,fork_awake_units!$1:$1,0)-MATCH($A$1,fork_awake_units!$1:$1,0)+1),MATCH(C$1,fork_awake_units!$1:$1,0)-MATCH($A$1,fork_awake_units!$1:$1,0)+1,FALSE)</f>
        <v>287</v>
      </c>
      <c r="D368" s="3" t="str">
        <f ca="1">VLOOKUP($C368,OFFSET([2]characters!$A$1,0,0,COUNTA([2]characters!$A:$A),MATCH(D$1,[2]characters!$1:$1,0)-MATCH($A$1,[2]characters!$1:$1,0)+1),MATCH(D$1,[2]characters!$1:$1,0)-MATCH($A$1,[2]characters!$1:$1,0)+1,FALSE)</f>
        <v>ヒュドラ・フルオープン</v>
      </c>
      <c r="E368" s="66">
        <v>286</v>
      </c>
      <c r="F368" s="3" t="str">
        <f ca="1">VLOOKUP($E368,OFFSET([2]characters!$A$1,0,0,COUNTA([2]characters!$A:$A),MATCH(F$1,[2]characters!$1:$1,0)-MATCH($A$1,[2]characters!$1:$1,0)+1),MATCH(F$1,[2]characters!$1:$1,0)-MATCH($A$1,[2]characters!$1:$1,0)+1,FALSE)</f>
        <v>ヒュドラ</v>
      </c>
      <c r="G368" s="66">
        <v>3</v>
      </c>
      <c r="H368" s="66">
        <v>1</v>
      </c>
      <c r="I368" s="66">
        <v>1</v>
      </c>
    </row>
    <row r="369" spans="1:9" x14ac:dyDescent="0.15">
      <c r="A369" s="66">
        <v>287</v>
      </c>
      <c r="B369" s="3" t="str">
        <f ca="1">VLOOKUP($A369,OFFSET([2]characters!$A$1,0,0,COUNTA([2]characters!$A:$A),MATCH(B$1,[2]characters!$1:$1,0)-MATCH($A$1,[2]characters!$1:$1,0)+1),MATCH(B$1,[2]characters!$1:$1,0)-MATCH($A$1,[2]characters!$1:$1,0)+1,FALSE)</f>
        <v>ヒュドラ・フルオープン</v>
      </c>
      <c r="C369" s="93">
        <f ca="1">VLOOKUP($A369,OFFSET(fork_awake_units!$A$1,0,0,COUNTA(fork_awake_units!$A:$A),MATCH(C$1,fork_awake_units!$1:$1,0)-MATCH($A$1,fork_awake_units!$1:$1,0)+1),MATCH(C$1,fork_awake_units!$1:$1,0)-MATCH($A$1,fork_awake_units!$1:$1,0)+1,FALSE)</f>
        <v>615</v>
      </c>
      <c r="D369" s="3" t="str">
        <f ca="1">VLOOKUP($C369,OFFSET([2]characters!$A$1,0,0,COUNTA([2]characters!$A:$A),MATCH(D$1,[2]characters!$1:$1,0)-MATCH($A$1,[2]characters!$1:$1,0)+1),MATCH(D$1,[2]characters!$1:$1,0)-MATCH($A$1,[2]characters!$1:$1,0)+1,FALSE)</f>
        <v>ヒュドラ・コスモブラスト</v>
      </c>
      <c r="E369" s="66">
        <v>286</v>
      </c>
      <c r="F369" s="3" t="str">
        <f ca="1">VLOOKUP($E369,OFFSET([2]characters!$A$1,0,0,COUNTA([2]characters!$A:$A),MATCH(F$1,[2]characters!$1:$1,0)-MATCH($A$1,[2]characters!$1:$1,0)+1),MATCH(F$1,[2]characters!$1:$1,0)-MATCH($A$1,[2]characters!$1:$1,0)+1,FALSE)</f>
        <v>ヒュドラ</v>
      </c>
      <c r="G369" s="66">
        <v>1</v>
      </c>
      <c r="H369" s="66">
        <v>10</v>
      </c>
      <c r="I369" s="66">
        <v>1</v>
      </c>
    </row>
    <row r="370" spans="1:9" x14ac:dyDescent="0.15">
      <c r="A370" s="66">
        <v>288</v>
      </c>
      <c r="B370" s="3" t="str">
        <f ca="1">VLOOKUP($A370,OFFSET([2]characters!$A$1,0,0,COUNTA([2]characters!$A:$A),MATCH(B$1,[2]characters!$1:$1,0)-MATCH($A$1,[2]characters!$1:$1,0)+1),MATCH(B$1,[2]characters!$1:$1,0)-MATCH($A$1,[2]characters!$1:$1,0)+1,FALSE)</f>
        <v>ミカド</v>
      </c>
      <c r="C370" s="93">
        <f ca="1">VLOOKUP($A370,OFFSET(fork_awake_units!$A$1,0,0,COUNTA(fork_awake_units!$A:$A),MATCH(C$1,fork_awake_units!$1:$1,0)-MATCH($A$1,fork_awake_units!$1:$1,0)+1),MATCH(C$1,fork_awake_units!$1:$1,0)-MATCH($A$1,fork_awake_units!$1:$1,0)+1,FALSE)</f>
        <v>289</v>
      </c>
      <c r="D370" s="3" t="str">
        <f ca="1">VLOOKUP($C370,OFFSET([2]characters!$A$1,0,0,COUNTA([2]characters!$A:$A),MATCH(D$1,[2]characters!$1:$1,0)-MATCH($A$1,[2]characters!$1:$1,0)+1),MATCH(D$1,[2]characters!$1:$1,0)-MATCH($A$1,[2]characters!$1:$1,0)+1,FALSE)</f>
        <v>高圧なるミカド</v>
      </c>
      <c r="E370" s="66">
        <v>113</v>
      </c>
      <c r="F370" s="3" t="str">
        <f ca="1">VLOOKUP($E370,OFFSET([2]characters!$A$1,0,0,COUNTA([2]characters!$A:$A),MATCH(F$1,[2]characters!$1:$1,0)-MATCH($A$1,[2]characters!$1:$1,0)+1),MATCH(F$1,[2]characters!$1:$1,0)-MATCH($A$1,[2]characters!$1:$1,0)+1,FALSE)</f>
        <v>イエローチェシャ</v>
      </c>
      <c r="G370" s="66">
        <v>1</v>
      </c>
      <c r="H370" s="66">
        <v>1</v>
      </c>
      <c r="I370" s="66">
        <v>1</v>
      </c>
    </row>
    <row r="371" spans="1:9" x14ac:dyDescent="0.15">
      <c r="A371" s="66">
        <v>288</v>
      </c>
      <c r="B371" s="3" t="str">
        <f ca="1">VLOOKUP($A371,OFFSET([2]characters!$A$1,0,0,COUNTA([2]characters!$A:$A),MATCH(B$1,[2]characters!$1:$1,0)-MATCH($A$1,[2]characters!$1:$1,0)+1),MATCH(B$1,[2]characters!$1:$1,0)-MATCH($A$1,[2]characters!$1:$1,0)+1,FALSE)</f>
        <v>ミカド</v>
      </c>
      <c r="C371" s="93">
        <f ca="1">VLOOKUP($A371,OFFSET(fork_awake_units!$A$1,0,0,COUNTA(fork_awake_units!$A:$A),MATCH(C$1,fork_awake_units!$1:$1,0)-MATCH($A$1,fork_awake_units!$1:$1,0)+1),MATCH(C$1,fork_awake_units!$1:$1,0)-MATCH($A$1,fork_awake_units!$1:$1,0)+1,FALSE)</f>
        <v>289</v>
      </c>
      <c r="D371" s="3" t="str">
        <f ca="1">VLOOKUP($C371,OFFSET([2]characters!$A$1,0,0,COUNTA([2]characters!$A:$A),MATCH(D$1,[2]characters!$1:$1,0)-MATCH($A$1,[2]characters!$1:$1,0)+1),MATCH(D$1,[2]characters!$1:$1,0)-MATCH($A$1,[2]characters!$1:$1,0)+1,FALSE)</f>
        <v>高圧なるミカド</v>
      </c>
      <c r="E371" s="66">
        <v>114</v>
      </c>
      <c r="F371" s="3" t="str">
        <f ca="1">VLOOKUP($E371,OFFSET([2]characters!$A$1,0,0,COUNTA([2]characters!$A:$A),MATCH(F$1,[2]characters!$1:$1,0)-MATCH($A$1,[2]characters!$1:$1,0)+1),MATCH(F$1,[2]characters!$1:$1,0)-MATCH($A$1,[2]characters!$1:$1,0)+1,FALSE)</f>
        <v>イエローラビット</v>
      </c>
      <c r="G371" s="66">
        <v>2</v>
      </c>
      <c r="H371" s="66">
        <v>1</v>
      </c>
      <c r="I371" s="66">
        <v>1</v>
      </c>
    </row>
    <row r="372" spans="1:9" x14ac:dyDescent="0.15">
      <c r="A372" s="66">
        <v>288</v>
      </c>
      <c r="B372" s="3" t="str">
        <f ca="1">VLOOKUP($A372,OFFSET([2]characters!$A$1,0,0,COUNTA([2]characters!$A:$A),MATCH(B$1,[2]characters!$1:$1,0)-MATCH($A$1,[2]characters!$1:$1,0)+1),MATCH(B$1,[2]characters!$1:$1,0)-MATCH($A$1,[2]characters!$1:$1,0)+1,FALSE)</f>
        <v>ミカド</v>
      </c>
      <c r="C372" s="93">
        <f ca="1">VLOOKUP($A372,OFFSET(fork_awake_units!$A$1,0,0,COUNTA(fork_awake_units!$A:$A),MATCH(C$1,fork_awake_units!$1:$1,0)-MATCH($A$1,fork_awake_units!$1:$1,0)+1),MATCH(C$1,fork_awake_units!$1:$1,0)-MATCH($A$1,fork_awake_units!$1:$1,0)+1,FALSE)</f>
        <v>289</v>
      </c>
      <c r="D372" s="3" t="str">
        <f ca="1">VLOOKUP($C372,OFFSET([2]characters!$A$1,0,0,COUNTA([2]characters!$A:$A),MATCH(D$1,[2]characters!$1:$1,0)-MATCH($A$1,[2]characters!$1:$1,0)+1),MATCH(D$1,[2]characters!$1:$1,0)-MATCH($A$1,[2]characters!$1:$1,0)+1,FALSE)</f>
        <v>高圧なるミカド</v>
      </c>
      <c r="E372" s="66">
        <v>115</v>
      </c>
      <c r="F372" s="3" t="str">
        <f ca="1">VLOOKUP($E372,OFFSET([2]characters!$A$1,0,0,COUNTA([2]characters!$A:$A),MATCH(F$1,[2]characters!$1:$1,0)-MATCH($A$1,[2]characters!$1:$1,0)+1),MATCH(F$1,[2]characters!$1:$1,0)-MATCH($A$1,[2]characters!$1:$1,0)+1,FALSE)</f>
        <v>イエローキャタップ</v>
      </c>
      <c r="G372" s="66">
        <v>1</v>
      </c>
      <c r="H372" s="66">
        <v>1</v>
      </c>
      <c r="I372" s="66">
        <v>1</v>
      </c>
    </row>
    <row r="373" spans="1:9" x14ac:dyDescent="0.15">
      <c r="A373" s="66">
        <v>288</v>
      </c>
      <c r="B373" s="3" t="str">
        <f ca="1">VLOOKUP($A373,OFFSET([2]characters!$A$1,0,0,COUNTA([2]characters!$A:$A),MATCH(B$1,[2]characters!$1:$1,0)-MATCH($A$1,[2]characters!$1:$1,0)+1),MATCH(B$1,[2]characters!$1:$1,0)-MATCH($A$1,[2]characters!$1:$1,0)+1,FALSE)</f>
        <v>ミカド</v>
      </c>
      <c r="C373" s="93">
        <f ca="1">VLOOKUP($A373,OFFSET(fork_awake_units!$A$1,0,0,COUNTA(fork_awake_units!$A:$A),MATCH(C$1,fork_awake_units!$1:$1,0)-MATCH($A$1,fork_awake_units!$1:$1,0)+1),MATCH(C$1,fork_awake_units!$1:$1,0)-MATCH($A$1,fork_awake_units!$1:$1,0)+1,FALSE)</f>
        <v>289</v>
      </c>
      <c r="D373" s="3" t="str">
        <f ca="1">VLOOKUP($C373,OFFSET([2]characters!$A$1,0,0,COUNTA([2]characters!$A:$A),MATCH(D$1,[2]characters!$1:$1,0)-MATCH($A$1,[2]characters!$1:$1,0)+1),MATCH(D$1,[2]characters!$1:$1,0)-MATCH($A$1,[2]characters!$1:$1,0)+1,FALSE)</f>
        <v>高圧なるミカド</v>
      </c>
      <c r="E373" s="66">
        <v>116</v>
      </c>
      <c r="F373" s="3" t="str">
        <f ca="1">VLOOKUP($E373,OFFSET([2]characters!$A$1,0,0,COUNTA([2]characters!$A:$A),MATCH(F$1,[2]characters!$1:$1,0)-MATCH($A$1,[2]characters!$1:$1,0)+1),MATCH(F$1,[2]characters!$1:$1,0)-MATCH($A$1,[2]characters!$1:$1,0)+1,FALSE)</f>
        <v>雷のマッドハッター</v>
      </c>
      <c r="G373" s="66">
        <v>1</v>
      </c>
      <c r="H373" s="66">
        <v>1</v>
      </c>
      <c r="I373" s="66">
        <v>1</v>
      </c>
    </row>
    <row r="374" spans="1:9" x14ac:dyDescent="0.15">
      <c r="A374" s="66">
        <v>290</v>
      </c>
      <c r="B374" s="3" t="str">
        <f ca="1">VLOOKUP($A374,OFFSET([2]characters!$A$1,0,0,COUNTA([2]characters!$A:$A),MATCH(B$1,[2]characters!$1:$1,0)-MATCH($A$1,[2]characters!$1:$1,0)+1),MATCH(B$1,[2]characters!$1:$1,0)-MATCH($A$1,[2]characters!$1:$1,0)+1,FALSE)</f>
        <v>ウィッチ・オクトパス</v>
      </c>
      <c r="C374" s="93">
        <f ca="1">VLOOKUP($A374,OFFSET(fork_awake_units!$A$1,0,0,COUNTA(fork_awake_units!$A:$A),MATCH(C$1,fork_awake_units!$1:$1,0)-MATCH($A$1,fork_awake_units!$1:$1,0)+1),MATCH(C$1,fork_awake_units!$1:$1,0)-MATCH($A$1,fork_awake_units!$1:$1,0)+1,FALSE)</f>
        <v>291</v>
      </c>
      <c r="D374" s="3" t="str">
        <f ca="1">VLOOKUP($C374,OFFSET([2]characters!$A$1,0,0,COUNTA([2]characters!$A:$A),MATCH(D$1,[2]characters!$1:$1,0)-MATCH($A$1,[2]characters!$1:$1,0)+1),MATCH(D$1,[2]characters!$1:$1,0)-MATCH($A$1,[2]characters!$1:$1,0)+1,FALSE)</f>
        <v>魔改造のウィッチ・オクトパス</v>
      </c>
      <c r="E374" s="66">
        <v>101</v>
      </c>
      <c r="F374" s="3" t="str">
        <f ca="1">VLOOKUP($E374,OFFSET([2]characters!$A$1,0,0,COUNTA([2]characters!$A:$A),MATCH(F$1,[2]characters!$1:$1,0)-MATCH($A$1,[2]characters!$1:$1,0)+1),MATCH(F$1,[2]characters!$1:$1,0)-MATCH($A$1,[2]characters!$1:$1,0)+1,FALSE)</f>
        <v>レッドチェシャ</v>
      </c>
      <c r="G374" s="66">
        <v>1</v>
      </c>
      <c r="H374" s="66">
        <v>1</v>
      </c>
      <c r="I374" s="66">
        <v>1</v>
      </c>
    </row>
    <row r="375" spans="1:9" x14ac:dyDescent="0.15">
      <c r="A375" s="66">
        <v>290</v>
      </c>
      <c r="B375" s="3" t="str">
        <f ca="1">VLOOKUP($A375,OFFSET([2]characters!$A$1,0,0,COUNTA([2]characters!$A:$A),MATCH(B$1,[2]characters!$1:$1,0)-MATCH($A$1,[2]characters!$1:$1,0)+1),MATCH(B$1,[2]characters!$1:$1,0)-MATCH($A$1,[2]characters!$1:$1,0)+1,FALSE)</f>
        <v>ウィッチ・オクトパス</v>
      </c>
      <c r="C375" s="93">
        <f ca="1">VLOOKUP($A375,OFFSET(fork_awake_units!$A$1,0,0,COUNTA(fork_awake_units!$A:$A),MATCH(C$1,fork_awake_units!$1:$1,0)-MATCH($A$1,fork_awake_units!$1:$1,0)+1),MATCH(C$1,fork_awake_units!$1:$1,0)-MATCH($A$1,fork_awake_units!$1:$1,0)+1,FALSE)</f>
        <v>291</v>
      </c>
      <c r="D375" s="3" t="str">
        <f ca="1">VLOOKUP($C375,OFFSET([2]characters!$A$1,0,0,COUNTA([2]characters!$A:$A),MATCH(D$1,[2]characters!$1:$1,0)-MATCH($A$1,[2]characters!$1:$1,0)+1),MATCH(D$1,[2]characters!$1:$1,0)-MATCH($A$1,[2]characters!$1:$1,0)+1,FALSE)</f>
        <v>魔改造のウィッチ・オクトパス</v>
      </c>
      <c r="E375" s="66">
        <v>102</v>
      </c>
      <c r="F375" s="3" t="str">
        <f ca="1">VLOOKUP($E375,OFFSET([2]characters!$A$1,0,0,COUNTA([2]characters!$A:$A),MATCH(F$1,[2]characters!$1:$1,0)-MATCH($A$1,[2]characters!$1:$1,0)+1),MATCH(F$1,[2]characters!$1:$1,0)-MATCH($A$1,[2]characters!$1:$1,0)+1,FALSE)</f>
        <v>レッドラビット</v>
      </c>
      <c r="G375" s="66">
        <v>2</v>
      </c>
      <c r="H375" s="66">
        <v>1</v>
      </c>
      <c r="I375" s="66">
        <v>1</v>
      </c>
    </row>
    <row r="376" spans="1:9" x14ac:dyDescent="0.15">
      <c r="A376" s="66">
        <v>290</v>
      </c>
      <c r="B376" s="3" t="str">
        <f ca="1">VLOOKUP($A376,OFFSET([2]characters!$A$1,0,0,COUNTA([2]characters!$A:$A),MATCH(B$1,[2]characters!$1:$1,0)-MATCH($A$1,[2]characters!$1:$1,0)+1),MATCH(B$1,[2]characters!$1:$1,0)-MATCH($A$1,[2]characters!$1:$1,0)+1,FALSE)</f>
        <v>ウィッチ・オクトパス</v>
      </c>
      <c r="C376" s="93">
        <f ca="1">VLOOKUP($A376,OFFSET(fork_awake_units!$A$1,0,0,COUNTA(fork_awake_units!$A:$A),MATCH(C$1,fork_awake_units!$1:$1,0)-MATCH($A$1,fork_awake_units!$1:$1,0)+1),MATCH(C$1,fork_awake_units!$1:$1,0)-MATCH($A$1,fork_awake_units!$1:$1,0)+1,FALSE)</f>
        <v>291</v>
      </c>
      <c r="D376" s="3" t="str">
        <f ca="1">VLOOKUP($C376,OFFSET([2]characters!$A$1,0,0,COUNTA([2]characters!$A:$A),MATCH(D$1,[2]characters!$1:$1,0)-MATCH($A$1,[2]characters!$1:$1,0)+1),MATCH(D$1,[2]characters!$1:$1,0)-MATCH($A$1,[2]characters!$1:$1,0)+1,FALSE)</f>
        <v>魔改造のウィッチ・オクトパス</v>
      </c>
      <c r="E376" s="66">
        <v>103</v>
      </c>
      <c r="F376" s="3" t="str">
        <f ca="1">VLOOKUP($E376,OFFSET([2]characters!$A$1,0,0,COUNTA([2]characters!$A:$A),MATCH(F$1,[2]characters!$1:$1,0)-MATCH($A$1,[2]characters!$1:$1,0)+1),MATCH(F$1,[2]characters!$1:$1,0)-MATCH($A$1,[2]characters!$1:$1,0)+1,FALSE)</f>
        <v>レッドキャタップ</v>
      </c>
      <c r="G376" s="66">
        <v>1</v>
      </c>
      <c r="H376" s="66">
        <v>1</v>
      </c>
      <c r="I376" s="66">
        <v>1</v>
      </c>
    </row>
    <row r="377" spans="1:9" x14ac:dyDescent="0.15">
      <c r="A377" s="66">
        <v>290</v>
      </c>
      <c r="B377" s="3" t="str">
        <f ca="1">VLOOKUP($A377,OFFSET([2]characters!$A$1,0,0,COUNTA([2]characters!$A:$A),MATCH(B$1,[2]characters!$1:$1,0)-MATCH($A$1,[2]characters!$1:$1,0)+1),MATCH(B$1,[2]characters!$1:$1,0)-MATCH($A$1,[2]characters!$1:$1,0)+1,FALSE)</f>
        <v>ウィッチ・オクトパス</v>
      </c>
      <c r="C377" s="93">
        <f ca="1">VLOOKUP($A377,OFFSET(fork_awake_units!$A$1,0,0,COUNTA(fork_awake_units!$A:$A),MATCH(C$1,fork_awake_units!$1:$1,0)-MATCH($A$1,fork_awake_units!$1:$1,0)+1),MATCH(C$1,fork_awake_units!$1:$1,0)-MATCH($A$1,fork_awake_units!$1:$1,0)+1,FALSE)</f>
        <v>291</v>
      </c>
      <c r="D377" s="3" t="str">
        <f ca="1">VLOOKUP($C377,OFFSET([2]characters!$A$1,0,0,COUNTA([2]characters!$A:$A),MATCH(D$1,[2]characters!$1:$1,0)-MATCH($A$1,[2]characters!$1:$1,0)+1),MATCH(D$1,[2]characters!$1:$1,0)-MATCH($A$1,[2]characters!$1:$1,0)+1,FALSE)</f>
        <v>魔改造のウィッチ・オクトパス</v>
      </c>
      <c r="E377" s="66">
        <v>104</v>
      </c>
      <c r="F377" s="3" t="str">
        <f ca="1">VLOOKUP($E377,OFFSET([2]characters!$A$1,0,0,COUNTA([2]characters!$A:$A),MATCH(F$1,[2]characters!$1:$1,0)-MATCH($A$1,[2]characters!$1:$1,0)+1),MATCH(F$1,[2]characters!$1:$1,0)-MATCH($A$1,[2]characters!$1:$1,0)+1,FALSE)</f>
        <v>炎のマッドハッター</v>
      </c>
      <c r="G377" s="66">
        <v>1</v>
      </c>
      <c r="H377" s="66">
        <v>1</v>
      </c>
      <c r="I377" s="66">
        <v>1</v>
      </c>
    </row>
    <row r="378" spans="1:9" x14ac:dyDescent="0.15">
      <c r="A378" s="66">
        <v>292</v>
      </c>
      <c r="B378" s="3" t="str">
        <f ca="1">VLOOKUP($A378,OFFSET([2]characters!$A$1,0,0,COUNTA([2]characters!$A:$A),MATCH(B$1,[2]characters!$1:$1,0)-MATCH($A$1,[2]characters!$1:$1,0)+1),MATCH(B$1,[2]characters!$1:$1,0)-MATCH($A$1,[2]characters!$1:$1,0)+1,FALSE)</f>
        <v>アナスタシア</v>
      </c>
      <c r="C378" s="93">
        <f ca="1">VLOOKUP($A378,OFFSET(fork_awake_units!$A$1,0,0,COUNTA(fork_awake_units!$A:$A),MATCH(C$1,fork_awake_units!$1:$1,0)-MATCH($A$1,fork_awake_units!$1:$1,0)+1),MATCH(C$1,fork_awake_units!$1:$1,0)-MATCH($A$1,fork_awake_units!$1:$1,0)+1,FALSE)</f>
        <v>293</v>
      </c>
      <c r="D378" s="3" t="str">
        <f ca="1">VLOOKUP($C378,OFFSET([2]characters!$A$1,0,0,COUNTA([2]characters!$A:$A),MATCH(D$1,[2]characters!$1:$1,0)-MATCH($A$1,[2]characters!$1:$1,0)+1),MATCH(D$1,[2]characters!$1:$1,0)-MATCH($A$1,[2]characters!$1:$1,0)+1,FALSE)</f>
        <v>激流拳技を極めし者 アナスタシア</v>
      </c>
      <c r="E378" s="66">
        <v>109</v>
      </c>
      <c r="F378" s="3" t="str">
        <f ca="1">VLOOKUP($E378,OFFSET([2]characters!$A$1,0,0,COUNTA([2]characters!$A:$A),MATCH(F$1,[2]characters!$1:$1,0)-MATCH($A$1,[2]characters!$1:$1,0)+1),MATCH(F$1,[2]characters!$1:$1,0)-MATCH($A$1,[2]characters!$1:$1,0)+1,FALSE)</f>
        <v>ブルーチェシャ</v>
      </c>
      <c r="G378" s="66">
        <v>1</v>
      </c>
      <c r="H378" s="66">
        <v>1</v>
      </c>
      <c r="I378" s="66">
        <v>1</v>
      </c>
    </row>
    <row r="379" spans="1:9" x14ac:dyDescent="0.15">
      <c r="A379" s="66">
        <v>292</v>
      </c>
      <c r="B379" s="3" t="str">
        <f ca="1">VLOOKUP($A379,OFFSET([2]characters!$A$1,0,0,COUNTA([2]characters!$A:$A),MATCH(B$1,[2]characters!$1:$1,0)-MATCH($A$1,[2]characters!$1:$1,0)+1),MATCH(B$1,[2]characters!$1:$1,0)-MATCH($A$1,[2]characters!$1:$1,0)+1,FALSE)</f>
        <v>アナスタシア</v>
      </c>
      <c r="C379" s="93">
        <f ca="1">VLOOKUP($A379,OFFSET(fork_awake_units!$A$1,0,0,COUNTA(fork_awake_units!$A:$A),MATCH(C$1,fork_awake_units!$1:$1,0)-MATCH($A$1,fork_awake_units!$1:$1,0)+1),MATCH(C$1,fork_awake_units!$1:$1,0)-MATCH($A$1,fork_awake_units!$1:$1,0)+1,FALSE)</f>
        <v>293</v>
      </c>
      <c r="D379" s="3" t="str">
        <f ca="1">VLOOKUP($C379,OFFSET([2]characters!$A$1,0,0,COUNTA([2]characters!$A:$A),MATCH(D$1,[2]characters!$1:$1,0)-MATCH($A$1,[2]characters!$1:$1,0)+1),MATCH(D$1,[2]characters!$1:$1,0)-MATCH($A$1,[2]characters!$1:$1,0)+1,FALSE)</f>
        <v>激流拳技を極めし者 アナスタシア</v>
      </c>
      <c r="E379" s="66">
        <v>110</v>
      </c>
      <c r="F379" s="3" t="str">
        <f ca="1">VLOOKUP($E379,OFFSET([2]characters!$A$1,0,0,COUNTA([2]characters!$A:$A),MATCH(F$1,[2]characters!$1:$1,0)-MATCH($A$1,[2]characters!$1:$1,0)+1),MATCH(F$1,[2]characters!$1:$1,0)-MATCH($A$1,[2]characters!$1:$1,0)+1,FALSE)</f>
        <v>ブルーラビット</v>
      </c>
      <c r="G379" s="66">
        <v>2</v>
      </c>
      <c r="H379" s="66">
        <v>1</v>
      </c>
      <c r="I379" s="66">
        <v>1</v>
      </c>
    </row>
    <row r="380" spans="1:9" x14ac:dyDescent="0.15">
      <c r="A380" s="66">
        <v>292</v>
      </c>
      <c r="B380" s="3" t="str">
        <f ca="1">VLOOKUP($A380,OFFSET([2]characters!$A$1,0,0,COUNTA([2]characters!$A:$A),MATCH(B$1,[2]characters!$1:$1,0)-MATCH($A$1,[2]characters!$1:$1,0)+1),MATCH(B$1,[2]characters!$1:$1,0)-MATCH($A$1,[2]characters!$1:$1,0)+1,FALSE)</f>
        <v>アナスタシア</v>
      </c>
      <c r="C380" s="93">
        <f ca="1">VLOOKUP($A380,OFFSET(fork_awake_units!$A$1,0,0,COUNTA(fork_awake_units!$A:$A),MATCH(C$1,fork_awake_units!$1:$1,0)-MATCH($A$1,fork_awake_units!$1:$1,0)+1),MATCH(C$1,fork_awake_units!$1:$1,0)-MATCH($A$1,fork_awake_units!$1:$1,0)+1,FALSE)</f>
        <v>293</v>
      </c>
      <c r="D380" s="3" t="str">
        <f ca="1">VLOOKUP($C380,OFFSET([2]characters!$A$1,0,0,COUNTA([2]characters!$A:$A),MATCH(D$1,[2]characters!$1:$1,0)-MATCH($A$1,[2]characters!$1:$1,0)+1),MATCH(D$1,[2]characters!$1:$1,0)-MATCH($A$1,[2]characters!$1:$1,0)+1,FALSE)</f>
        <v>激流拳技を極めし者 アナスタシア</v>
      </c>
      <c r="E380" s="66">
        <v>111</v>
      </c>
      <c r="F380" s="3" t="str">
        <f ca="1">VLOOKUP($E380,OFFSET([2]characters!$A$1,0,0,COUNTA([2]characters!$A:$A),MATCH(F$1,[2]characters!$1:$1,0)-MATCH($A$1,[2]characters!$1:$1,0)+1),MATCH(F$1,[2]characters!$1:$1,0)-MATCH($A$1,[2]characters!$1:$1,0)+1,FALSE)</f>
        <v>ブルーキャタップ</v>
      </c>
      <c r="G380" s="66">
        <v>1</v>
      </c>
      <c r="H380" s="66">
        <v>1</v>
      </c>
      <c r="I380" s="66">
        <v>1</v>
      </c>
    </row>
    <row r="381" spans="1:9" x14ac:dyDescent="0.15">
      <c r="A381" s="66">
        <v>292</v>
      </c>
      <c r="B381" s="3" t="str">
        <f ca="1">VLOOKUP($A381,OFFSET([2]characters!$A$1,0,0,COUNTA([2]characters!$A:$A),MATCH(B$1,[2]characters!$1:$1,0)-MATCH($A$1,[2]characters!$1:$1,0)+1),MATCH(B$1,[2]characters!$1:$1,0)-MATCH($A$1,[2]characters!$1:$1,0)+1,FALSE)</f>
        <v>アナスタシア</v>
      </c>
      <c r="C381" s="93">
        <f ca="1">VLOOKUP($A381,OFFSET(fork_awake_units!$A$1,0,0,COUNTA(fork_awake_units!$A:$A),MATCH(C$1,fork_awake_units!$1:$1,0)-MATCH($A$1,fork_awake_units!$1:$1,0)+1),MATCH(C$1,fork_awake_units!$1:$1,0)-MATCH($A$1,fork_awake_units!$1:$1,0)+1,FALSE)</f>
        <v>293</v>
      </c>
      <c r="D381" s="3" t="str">
        <f ca="1">VLOOKUP($C381,OFFSET([2]characters!$A$1,0,0,COUNTA([2]characters!$A:$A),MATCH(D$1,[2]characters!$1:$1,0)-MATCH($A$1,[2]characters!$1:$1,0)+1),MATCH(D$1,[2]characters!$1:$1,0)-MATCH($A$1,[2]characters!$1:$1,0)+1,FALSE)</f>
        <v>激流拳技を極めし者 アナスタシア</v>
      </c>
      <c r="E381" s="66">
        <v>112</v>
      </c>
      <c r="F381" s="3" t="str">
        <f ca="1">VLOOKUP($E381,OFFSET([2]characters!$A$1,0,0,COUNTA([2]characters!$A:$A),MATCH(F$1,[2]characters!$1:$1,0)-MATCH($A$1,[2]characters!$1:$1,0)+1),MATCH(F$1,[2]characters!$1:$1,0)-MATCH($A$1,[2]characters!$1:$1,0)+1,FALSE)</f>
        <v>水のマッドハッター</v>
      </c>
      <c r="G381" s="66">
        <v>1</v>
      </c>
      <c r="H381" s="66">
        <v>1</v>
      </c>
      <c r="I381" s="66">
        <v>1</v>
      </c>
    </row>
    <row r="382" spans="1:9" x14ac:dyDescent="0.15">
      <c r="A382" s="66">
        <v>294</v>
      </c>
      <c r="B382" s="3" t="str">
        <f ca="1">VLOOKUP($A382,OFFSET([2]characters!$A$1,0,0,COUNTA([2]characters!$A:$A),MATCH(B$1,[2]characters!$1:$1,0)-MATCH($A$1,[2]characters!$1:$1,0)+1),MATCH(B$1,[2]characters!$1:$1,0)-MATCH($A$1,[2]characters!$1:$1,0)+1,FALSE)</f>
        <v>ウルフ・ザ・レッドイーター</v>
      </c>
      <c r="C382" s="93">
        <f ca="1">VLOOKUP($A382,OFFSET(fork_awake_units!$A$1,0,0,COUNTA(fork_awake_units!$A:$A),MATCH(C$1,fork_awake_units!$1:$1,0)-MATCH($A$1,fork_awake_units!$1:$1,0)+1),MATCH(C$1,fork_awake_units!$1:$1,0)-MATCH($A$1,fork_awake_units!$1:$1,0)+1,FALSE)</f>
        <v>295</v>
      </c>
      <c r="D382" s="3" t="str">
        <f ca="1">VLOOKUP($C382,OFFSET([2]characters!$A$1,0,0,COUNTA([2]characters!$A:$A),MATCH(D$1,[2]characters!$1:$1,0)-MATCH($A$1,[2]characters!$1:$1,0)+1),MATCH(D$1,[2]characters!$1:$1,0)-MATCH($A$1,[2]characters!$1:$1,0)+1,FALSE)</f>
        <v>ウルフ・ザ・レッドクラッシャー</v>
      </c>
      <c r="E382" s="66">
        <v>105</v>
      </c>
      <c r="F382" s="3" t="str">
        <f ca="1">VLOOKUP($E382,OFFSET([2]characters!$A$1,0,0,COUNTA([2]characters!$A:$A),MATCH(F$1,[2]characters!$1:$1,0)-MATCH($A$1,[2]characters!$1:$1,0)+1),MATCH(F$1,[2]characters!$1:$1,0)-MATCH($A$1,[2]characters!$1:$1,0)+1,FALSE)</f>
        <v>グリーンチェシャ</v>
      </c>
      <c r="G382" s="66">
        <v>1</v>
      </c>
      <c r="H382" s="66">
        <v>1</v>
      </c>
      <c r="I382" s="66">
        <v>1</v>
      </c>
    </row>
    <row r="383" spans="1:9" x14ac:dyDescent="0.15">
      <c r="A383" s="66">
        <v>294</v>
      </c>
      <c r="B383" s="3" t="str">
        <f ca="1">VLOOKUP($A383,OFFSET([2]characters!$A$1,0,0,COUNTA([2]characters!$A:$A),MATCH(B$1,[2]characters!$1:$1,0)-MATCH($A$1,[2]characters!$1:$1,0)+1),MATCH(B$1,[2]characters!$1:$1,0)-MATCH($A$1,[2]characters!$1:$1,0)+1,FALSE)</f>
        <v>ウルフ・ザ・レッドイーター</v>
      </c>
      <c r="C383" s="93">
        <f ca="1">VLOOKUP($A383,OFFSET(fork_awake_units!$A$1,0,0,COUNTA(fork_awake_units!$A:$A),MATCH(C$1,fork_awake_units!$1:$1,0)-MATCH($A$1,fork_awake_units!$1:$1,0)+1),MATCH(C$1,fork_awake_units!$1:$1,0)-MATCH($A$1,fork_awake_units!$1:$1,0)+1,FALSE)</f>
        <v>295</v>
      </c>
      <c r="D383" s="3" t="str">
        <f ca="1">VLOOKUP($C383,OFFSET([2]characters!$A$1,0,0,COUNTA([2]characters!$A:$A),MATCH(D$1,[2]characters!$1:$1,0)-MATCH($A$1,[2]characters!$1:$1,0)+1),MATCH(D$1,[2]characters!$1:$1,0)-MATCH($A$1,[2]characters!$1:$1,0)+1,FALSE)</f>
        <v>ウルフ・ザ・レッドクラッシャー</v>
      </c>
      <c r="E383" s="66">
        <v>106</v>
      </c>
      <c r="F383" s="3" t="str">
        <f ca="1">VLOOKUP($E383,OFFSET([2]characters!$A$1,0,0,COUNTA([2]characters!$A:$A),MATCH(F$1,[2]characters!$1:$1,0)-MATCH($A$1,[2]characters!$1:$1,0)+1),MATCH(F$1,[2]characters!$1:$1,0)-MATCH($A$1,[2]characters!$1:$1,0)+1,FALSE)</f>
        <v>グリーンラビット</v>
      </c>
      <c r="G383" s="66">
        <v>2</v>
      </c>
      <c r="H383" s="66">
        <v>1</v>
      </c>
      <c r="I383" s="66">
        <v>1</v>
      </c>
    </row>
    <row r="384" spans="1:9" x14ac:dyDescent="0.15">
      <c r="A384" s="66">
        <v>294</v>
      </c>
      <c r="B384" s="3" t="str">
        <f ca="1">VLOOKUP($A384,OFFSET([2]characters!$A$1,0,0,COUNTA([2]characters!$A:$A),MATCH(B$1,[2]characters!$1:$1,0)-MATCH($A$1,[2]characters!$1:$1,0)+1),MATCH(B$1,[2]characters!$1:$1,0)-MATCH($A$1,[2]characters!$1:$1,0)+1,FALSE)</f>
        <v>ウルフ・ザ・レッドイーター</v>
      </c>
      <c r="C384" s="93">
        <f ca="1">VLOOKUP($A384,OFFSET(fork_awake_units!$A$1,0,0,COUNTA(fork_awake_units!$A:$A),MATCH(C$1,fork_awake_units!$1:$1,0)-MATCH($A$1,fork_awake_units!$1:$1,0)+1),MATCH(C$1,fork_awake_units!$1:$1,0)-MATCH($A$1,fork_awake_units!$1:$1,0)+1,FALSE)</f>
        <v>295</v>
      </c>
      <c r="D384" s="3" t="str">
        <f ca="1">VLOOKUP($C384,OFFSET([2]characters!$A$1,0,0,COUNTA([2]characters!$A:$A),MATCH(D$1,[2]characters!$1:$1,0)-MATCH($A$1,[2]characters!$1:$1,0)+1),MATCH(D$1,[2]characters!$1:$1,0)-MATCH($A$1,[2]characters!$1:$1,0)+1,FALSE)</f>
        <v>ウルフ・ザ・レッドクラッシャー</v>
      </c>
      <c r="E384" s="66">
        <v>107</v>
      </c>
      <c r="F384" s="3" t="str">
        <f ca="1">VLOOKUP($E384,OFFSET([2]characters!$A$1,0,0,COUNTA([2]characters!$A:$A),MATCH(F$1,[2]characters!$1:$1,0)-MATCH($A$1,[2]characters!$1:$1,0)+1),MATCH(F$1,[2]characters!$1:$1,0)-MATCH($A$1,[2]characters!$1:$1,0)+1,FALSE)</f>
        <v>グリーンキャタップ</v>
      </c>
      <c r="G384" s="66">
        <v>1</v>
      </c>
      <c r="H384" s="66">
        <v>1</v>
      </c>
      <c r="I384" s="66">
        <v>1</v>
      </c>
    </row>
    <row r="385" spans="1:9" x14ac:dyDescent="0.15">
      <c r="A385" s="66">
        <v>294</v>
      </c>
      <c r="B385" s="3" t="str">
        <f ca="1">VLOOKUP($A385,OFFSET([2]characters!$A$1,0,0,COUNTA([2]characters!$A:$A),MATCH(B$1,[2]characters!$1:$1,0)-MATCH($A$1,[2]characters!$1:$1,0)+1),MATCH(B$1,[2]characters!$1:$1,0)-MATCH($A$1,[2]characters!$1:$1,0)+1,FALSE)</f>
        <v>ウルフ・ザ・レッドイーター</v>
      </c>
      <c r="C385" s="93">
        <f ca="1">VLOOKUP($A385,OFFSET(fork_awake_units!$A$1,0,0,COUNTA(fork_awake_units!$A:$A),MATCH(C$1,fork_awake_units!$1:$1,0)-MATCH($A$1,fork_awake_units!$1:$1,0)+1),MATCH(C$1,fork_awake_units!$1:$1,0)-MATCH($A$1,fork_awake_units!$1:$1,0)+1,FALSE)</f>
        <v>295</v>
      </c>
      <c r="D385" s="3" t="str">
        <f ca="1">VLOOKUP($C385,OFFSET([2]characters!$A$1,0,0,COUNTA([2]characters!$A:$A),MATCH(D$1,[2]characters!$1:$1,0)-MATCH($A$1,[2]characters!$1:$1,0)+1),MATCH(D$1,[2]characters!$1:$1,0)-MATCH($A$1,[2]characters!$1:$1,0)+1,FALSE)</f>
        <v>ウルフ・ザ・レッドクラッシャー</v>
      </c>
      <c r="E385" s="66">
        <v>108</v>
      </c>
      <c r="F385" s="3" t="str">
        <f ca="1">VLOOKUP($E385,OFFSET([2]characters!$A$1,0,0,COUNTA([2]characters!$A:$A),MATCH(F$1,[2]characters!$1:$1,0)-MATCH($A$1,[2]characters!$1:$1,0)+1),MATCH(F$1,[2]characters!$1:$1,0)-MATCH($A$1,[2]characters!$1:$1,0)+1,FALSE)</f>
        <v>森のマッドハッター</v>
      </c>
      <c r="G385" s="66">
        <v>1</v>
      </c>
      <c r="H385" s="66">
        <v>1</v>
      </c>
      <c r="I385" s="66">
        <v>1</v>
      </c>
    </row>
    <row r="386" spans="1:9" x14ac:dyDescent="0.15">
      <c r="A386" s="66">
        <v>296</v>
      </c>
      <c r="B386" s="3" t="str">
        <f ca="1">VLOOKUP($A386,OFFSET([2]characters!$A$1,0,0,COUNTA([2]characters!$A:$A),MATCH(B$1,[2]characters!$1:$1,0)-MATCH($A$1,[2]characters!$1:$1,0)+1),MATCH(B$1,[2]characters!$1:$1,0)-MATCH($A$1,[2]characters!$1:$1,0)+1,FALSE)</f>
        <v>アザゼル</v>
      </c>
      <c r="C386" s="93">
        <f ca="1">VLOOKUP($A386,OFFSET(fork_awake_units!$A$1,0,0,COUNTA(fork_awake_units!$A:$A),MATCH(C$1,fork_awake_units!$1:$1,0)-MATCH($A$1,fork_awake_units!$1:$1,0)+1),MATCH(C$1,fork_awake_units!$1:$1,0)-MATCH($A$1,fork_awake_units!$1:$1,0)+1,FALSE)</f>
        <v>297</v>
      </c>
      <c r="D386" s="3" t="str">
        <f ca="1">VLOOKUP($C386,OFFSET([2]characters!$A$1,0,0,COUNTA([2]characters!$A:$A),MATCH(D$1,[2]characters!$1:$1,0)-MATCH($A$1,[2]characters!$1:$1,0)+1),MATCH(D$1,[2]characters!$1:$1,0)-MATCH($A$1,[2]characters!$1:$1,0)+1,FALSE)</f>
        <v>狂靭なる双撃 アザゼル</v>
      </c>
      <c r="E386" s="66">
        <v>262</v>
      </c>
      <c r="F386" s="3" t="str">
        <f ca="1">VLOOKUP($E386,OFFSET([2]characters!$A$1,0,0,COUNTA([2]characters!$A:$A),MATCH(F$1,[2]characters!$1:$1,0)-MATCH($A$1,[2]characters!$1:$1,0)+1),MATCH(F$1,[2]characters!$1:$1,0)-MATCH($A$1,[2]characters!$1:$1,0)+1,FALSE)</f>
        <v>アシュリー</v>
      </c>
      <c r="G386" s="66">
        <v>1</v>
      </c>
      <c r="H386" s="66">
        <v>1</v>
      </c>
      <c r="I386" s="66">
        <v>1</v>
      </c>
    </row>
    <row r="387" spans="1:9" x14ac:dyDescent="0.15">
      <c r="A387" s="66">
        <v>296</v>
      </c>
      <c r="B387" s="3" t="str">
        <f ca="1">VLOOKUP($A387,OFFSET([2]characters!$A$1,0,0,COUNTA([2]characters!$A:$A),MATCH(B$1,[2]characters!$1:$1,0)-MATCH($A$1,[2]characters!$1:$1,0)+1),MATCH(B$1,[2]characters!$1:$1,0)-MATCH($A$1,[2]characters!$1:$1,0)+1,FALSE)</f>
        <v>アザゼル</v>
      </c>
      <c r="C387" s="93">
        <f ca="1">VLOOKUP($A387,OFFSET(fork_awake_units!$A$1,0,0,COUNTA(fork_awake_units!$A:$A),MATCH(C$1,fork_awake_units!$1:$1,0)-MATCH($A$1,fork_awake_units!$1:$1,0)+1),MATCH(C$1,fork_awake_units!$1:$1,0)-MATCH($A$1,fork_awake_units!$1:$1,0)+1,FALSE)</f>
        <v>297</v>
      </c>
      <c r="D387" s="3" t="str">
        <f ca="1">VLOOKUP($C387,OFFSET([2]characters!$A$1,0,0,COUNTA([2]characters!$A:$A),MATCH(D$1,[2]characters!$1:$1,0)-MATCH($A$1,[2]characters!$1:$1,0)+1),MATCH(D$1,[2]characters!$1:$1,0)-MATCH($A$1,[2]characters!$1:$1,0)+1,FALSE)</f>
        <v>狂靭なる双撃 アザゼル</v>
      </c>
      <c r="E387" s="66">
        <v>294</v>
      </c>
      <c r="F387" s="3" t="str">
        <f ca="1">VLOOKUP($E387,OFFSET([2]characters!$A$1,0,0,COUNTA([2]characters!$A:$A),MATCH(F$1,[2]characters!$1:$1,0)-MATCH($A$1,[2]characters!$1:$1,0)+1),MATCH(F$1,[2]characters!$1:$1,0)-MATCH($A$1,[2]characters!$1:$1,0)+1,FALSE)</f>
        <v>ウルフ・ザ・レッドイーター</v>
      </c>
      <c r="G387" s="66">
        <v>1</v>
      </c>
      <c r="H387" s="66">
        <v>1</v>
      </c>
      <c r="I387" s="66">
        <v>1</v>
      </c>
    </row>
    <row r="388" spans="1:9" x14ac:dyDescent="0.15">
      <c r="A388" s="66">
        <v>296</v>
      </c>
      <c r="B388" s="3" t="str">
        <f ca="1">VLOOKUP($A388,OFFSET([2]characters!$A$1,0,0,COUNTA([2]characters!$A:$A),MATCH(B$1,[2]characters!$1:$1,0)-MATCH($A$1,[2]characters!$1:$1,0)+1),MATCH(B$1,[2]characters!$1:$1,0)-MATCH($A$1,[2]characters!$1:$1,0)+1,FALSE)</f>
        <v>アザゼル</v>
      </c>
      <c r="C388" s="93">
        <f ca="1">VLOOKUP($A388,OFFSET(fork_awake_units!$A$1,0,0,COUNTA(fork_awake_units!$A:$A),MATCH(C$1,fork_awake_units!$1:$1,0)-MATCH($A$1,fork_awake_units!$1:$1,0)+1),MATCH(C$1,fork_awake_units!$1:$1,0)-MATCH($A$1,fork_awake_units!$1:$1,0)+1,FALSE)</f>
        <v>297</v>
      </c>
      <c r="D388" s="3" t="str">
        <f ca="1">VLOOKUP($C388,OFFSET([2]characters!$A$1,0,0,COUNTA([2]characters!$A:$A),MATCH(D$1,[2]characters!$1:$1,0)-MATCH($A$1,[2]characters!$1:$1,0)+1),MATCH(D$1,[2]characters!$1:$1,0)-MATCH($A$1,[2]characters!$1:$1,0)+1,FALSE)</f>
        <v>狂靭なる双撃 アザゼル</v>
      </c>
      <c r="E388" s="66">
        <v>357</v>
      </c>
      <c r="F388" s="3" t="str">
        <f ca="1">VLOOKUP($E388,OFFSET([2]characters!$A$1,0,0,COUNTA([2]characters!$A:$A),MATCH(F$1,[2]characters!$1:$1,0)-MATCH($A$1,[2]characters!$1:$1,0)+1),MATCH(F$1,[2]characters!$1:$1,0)-MATCH($A$1,[2]characters!$1:$1,0)+1,FALSE)</f>
        <v>千風のグリフォン</v>
      </c>
      <c r="G388" s="66">
        <v>3</v>
      </c>
      <c r="H388" s="66">
        <v>1</v>
      </c>
      <c r="I388" s="66">
        <v>1</v>
      </c>
    </row>
    <row r="389" spans="1:9" x14ac:dyDescent="0.15">
      <c r="A389" s="66">
        <v>297</v>
      </c>
      <c r="B389" s="3" t="str">
        <f ca="1">VLOOKUP($A389,OFFSET([2]characters!$A$1,0,0,COUNTA([2]characters!$A:$A),MATCH(B$1,[2]characters!$1:$1,0)-MATCH($A$1,[2]characters!$1:$1,0)+1),MATCH(B$1,[2]characters!$1:$1,0)-MATCH($A$1,[2]characters!$1:$1,0)+1,FALSE)</f>
        <v>狂靭なる双撃 アザゼル</v>
      </c>
      <c r="C389" s="93">
        <f ca="1">VLOOKUP($A389,OFFSET(fork_awake_units!$A$1,0,0,COUNTA(fork_awake_units!$A:$A),MATCH(C$1,fork_awake_units!$1:$1,0)-MATCH($A$1,fork_awake_units!$1:$1,0)+1),MATCH(C$1,fork_awake_units!$1:$1,0)-MATCH($A$1,fork_awake_units!$1:$1,0)+1,FALSE)</f>
        <v>812</v>
      </c>
      <c r="D389" s="3" t="str">
        <f ca="1">VLOOKUP($C389,OFFSET([2]characters!$A$1,0,0,COUNTA([2]characters!$A:$A),MATCH(D$1,[2]characters!$1:$1,0)-MATCH($A$1,[2]characters!$1:$1,0)+1),MATCH(D$1,[2]characters!$1:$1,0)-MATCH($A$1,[2]characters!$1:$1,0)+1,FALSE)</f>
        <v>凶膨なる殲滅 アザゼル</v>
      </c>
      <c r="E389" s="66">
        <v>107</v>
      </c>
      <c r="F389" s="3" t="str">
        <f ca="1">VLOOKUP($E389,OFFSET([2]characters!$A$1,0,0,COUNTA([2]characters!$A:$A),MATCH(F$1,[2]characters!$1:$1,0)-MATCH($A$1,[2]characters!$1:$1,0)+1),MATCH(F$1,[2]characters!$1:$1,0)-MATCH($A$1,[2]characters!$1:$1,0)+1,FALSE)</f>
        <v>グリーンキャタップ</v>
      </c>
      <c r="G389" s="66">
        <v>1</v>
      </c>
      <c r="H389" s="66">
        <v>1</v>
      </c>
      <c r="I389" s="66">
        <v>1</v>
      </c>
    </row>
    <row r="390" spans="1:9" x14ac:dyDescent="0.15">
      <c r="A390" s="66">
        <v>297</v>
      </c>
      <c r="B390" s="3" t="str">
        <f ca="1">VLOOKUP($A390,OFFSET([2]characters!$A$1,0,0,COUNTA([2]characters!$A:$A),MATCH(B$1,[2]characters!$1:$1,0)-MATCH($A$1,[2]characters!$1:$1,0)+1),MATCH(B$1,[2]characters!$1:$1,0)-MATCH($A$1,[2]characters!$1:$1,0)+1,FALSE)</f>
        <v>狂靭なる双撃 アザゼル</v>
      </c>
      <c r="C390" s="93">
        <f ca="1">VLOOKUP($A390,OFFSET(fork_awake_units!$A$1,0,0,COUNTA(fork_awake_units!$A:$A),MATCH(C$1,fork_awake_units!$1:$1,0)-MATCH($A$1,fork_awake_units!$1:$1,0)+1),MATCH(C$1,fork_awake_units!$1:$1,0)-MATCH($A$1,fork_awake_units!$1:$1,0)+1,FALSE)</f>
        <v>812</v>
      </c>
      <c r="D390" s="3" t="str">
        <f ca="1">VLOOKUP($C390,OFFSET([2]characters!$A$1,0,0,COUNTA([2]characters!$A:$A),MATCH(D$1,[2]characters!$1:$1,0)-MATCH($A$1,[2]characters!$1:$1,0)+1),MATCH(D$1,[2]characters!$1:$1,0)-MATCH($A$1,[2]characters!$1:$1,0)+1,FALSE)</f>
        <v>凶膨なる殲滅 アザゼル</v>
      </c>
      <c r="E390" s="66">
        <v>108</v>
      </c>
      <c r="F390" s="3" t="str">
        <f ca="1">VLOOKUP($E390,OFFSET([2]characters!$A$1,0,0,COUNTA([2]characters!$A:$A),MATCH(F$1,[2]characters!$1:$1,0)-MATCH($A$1,[2]characters!$1:$1,0)+1),MATCH(F$1,[2]characters!$1:$1,0)-MATCH($A$1,[2]characters!$1:$1,0)+1,FALSE)</f>
        <v>森のマッドハッター</v>
      </c>
      <c r="G390" s="66">
        <v>1</v>
      </c>
      <c r="H390" s="66">
        <v>1</v>
      </c>
      <c r="I390" s="66">
        <v>1</v>
      </c>
    </row>
    <row r="391" spans="1:9" x14ac:dyDescent="0.15">
      <c r="A391" s="66">
        <v>297</v>
      </c>
      <c r="B391" s="3" t="str">
        <f ca="1">VLOOKUP($A391,OFFSET([2]characters!$A$1,0,0,COUNTA([2]characters!$A:$A),MATCH(B$1,[2]characters!$1:$1,0)-MATCH($A$1,[2]characters!$1:$1,0)+1),MATCH(B$1,[2]characters!$1:$1,0)-MATCH($A$1,[2]characters!$1:$1,0)+1,FALSE)</f>
        <v>狂靭なる双撃 アザゼル</v>
      </c>
      <c r="C391" s="93">
        <f ca="1">VLOOKUP($A391,OFFSET(fork_awake_units!$A$1,0,0,COUNTA(fork_awake_units!$A:$A),MATCH(C$1,fork_awake_units!$1:$1,0)-MATCH($A$1,fork_awake_units!$1:$1,0)+1),MATCH(C$1,fork_awake_units!$1:$1,0)-MATCH($A$1,fork_awake_units!$1:$1,0)+1,FALSE)</f>
        <v>812</v>
      </c>
      <c r="D391" s="3" t="str">
        <f ca="1">VLOOKUP($C391,OFFSET([2]characters!$A$1,0,0,COUNTA([2]characters!$A:$A),MATCH(D$1,[2]characters!$1:$1,0)-MATCH($A$1,[2]characters!$1:$1,0)+1),MATCH(D$1,[2]characters!$1:$1,0)-MATCH($A$1,[2]characters!$1:$1,0)+1,FALSE)</f>
        <v>凶膨なる殲滅 アザゼル</v>
      </c>
      <c r="E391" s="66">
        <v>357</v>
      </c>
      <c r="F391" s="3" t="str">
        <f ca="1">VLOOKUP($E391,OFFSET([2]characters!$A$1,0,0,COUNTA([2]characters!$A:$A),MATCH(F$1,[2]characters!$1:$1,0)-MATCH($A$1,[2]characters!$1:$1,0)+1),MATCH(F$1,[2]characters!$1:$1,0)-MATCH($A$1,[2]characters!$1:$1,0)+1,FALSE)</f>
        <v>千風のグリフォン</v>
      </c>
      <c r="G391" s="66">
        <v>1</v>
      </c>
      <c r="H391" s="66">
        <v>1</v>
      </c>
      <c r="I391" s="66">
        <v>1</v>
      </c>
    </row>
    <row r="392" spans="1:9" x14ac:dyDescent="0.15">
      <c r="A392" s="66">
        <v>297</v>
      </c>
      <c r="B392" s="3" t="str">
        <f ca="1">VLOOKUP($A392,OFFSET([2]characters!$A$1,0,0,COUNTA([2]characters!$A:$A),MATCH(B$1,[2]characters!$1:$1,0)-MATCH($A$1,[2]characters!$1:$1,0)+1),MATCH(B$1,[2]characters!$1:$1,0)-MATCH($A$1,[2]characters!$1:$1,0)+1,FALSE)</f>
        <v>狂靭なる双撃 アザゼル</v>
      </c>
      <c r="C392" s="93">
        <f ca="1">VLOOKUP($A392,OFFSET(fork_awake_units!$A$1,0,0,COUNTA(fork_awake_units!$A:$A),MATCH(C$1,fork_awake_units!$1:$1,0)-MATCH($A$1,fork_awake_units!$1:$1,0)+1),MATCH(C$1,fork_awake_units!$1:$1,0)-MATCH($A$1,fork_awake_units!$1:$1,0)+1,FALSE)</f>
        <v>812</v>
      </c>
      <c r="D392" s="3" t="str">
        <f ca="1">VLOOKUP($C392,OFFSET([2]characters!$A$1,0,0,COUNTA([2]characters!$A:$A),MATCH(D$1,[2]characters!$1:$1,0)-MATCH($A$1,[2]characters!$1:$1,0)+1),MATCH(D$1,[2]characters!$1:$1,0)-MATCH($A$1,[2]characters!$1:$1,0)+1,FALSE)</f>
        <v>凶膨なる殲滅 アザゼル</v>
      </c>
      <c r="E392" s="66">
        <v>837</v>
      </c>
      <c r="F392" s="3" t="str">
        <f ca="1">VLOOKUP($E392,OFFSET([2]characters!$A$1,0,0,COUNTA([2]characters!$A:$A),MATCH(F$1,[2]characters!$1:$1,0)-MATCH($A$1,[2]characters!$1:$1,0)+1),MATCH(F$1,[2]characters!$1:$1,0)-MATCH($A$1,[2]characters!$1:$1,0)+1,FALSE)</f>
        <v>リトルハンプティ</v>
      </c>
      <c r="G392" s="66">
        <v>1</v>
      </c>
      <c r="H392" s="66">
        <v>1</v>
      </c>
      <c r="I392" s="66">
        <v>1</v>
      </c>
    </row>
    <row r="393" spans="1:9" x14ac:dyDescent="0.15">
      <c r="A393" s="66">
        <v>298</v>
      </c>
      <c r="B393" s="3" t="str">
        <f ca="1">VLOOKUP($A393,OFFSET([2]characters!$A$1,0,0,COUNTA([2]characters!$A:$A),MATCH(B$1,[2]characters!$1:$1,0)-MATCH($A$1,[2]characters!$1:$1,0)+1),MATCH(B$1,[2]characters!$1:$1,0)-MATCH($A$1,[2]characters!$1:$1,0)+1,FALSE)</f>
        <v>炎殺のミサコ</v>
      </c>
      <c r="C393" s="93">
        <f ca="1">VLOOKUP($A393,OFFSET(fork_awake_units!$A$1,0,0,COUNTA(fork_awake_units!$A:$A),MATCH(C$1,fork_awake_units!$1:$1,0)-MATCH($A$1,fork_awake_units!$1:$1,0)+1),MATCH(C$1,fork_awake_units!$1:$1,0)-MATCH($A$1,fork_awake_units!$1:$1,0)+1,FALSE)</f>
        <v>299</v>
      </c>
      <c r="D393" s="3" t="str">
        <f ca="1">VLOOKUP($C393,OFFSET([2]characters!$A$1,0,0,COUNTA([2]characters!$A:$A),MATCH(D$1,[2]characters!$1:$1,0)-MATCH($A$1,[2]characters!$1:$1,0)+1),MATCH(D$1,[2]characters!$1:$1,0)-MATCH($A$1,[2]characters!$1:$1,0)+1,FALSE)</f>
        <v>狂気の炎風 ミサコ</v>
      </c>
      <c r="E393" s="66">
        <v>101</v>
      </c>
      <c r="F393" s="3" t="str">
        <f ca="1">VLOOKUP($E393,OFFSET([2]characters!$A$1,0,0,COUNTA([2]characters!$A:$A),MATCH(F$1,[2]characters!$1:$1,0)-MATCH($A$1,[2]characters!$1:$1,0)+1),MATCH(F$1,[2]characters!$1:$1,0)-MATCH($A$1,[2]characters!$1:$1,0)+1,FALSE)</f>
        <v>レッドチェシャ</v>
      </c>
      <c r="G393" s="66">
        <v>3</v>
      </c>
      <c r="H393" s="66">
        <v>1</v>
      </c>
      <c r="I393" s="66">
        <v>1</v>
      </c>
    </row>
    <row r="394" spans="1:9" x14ac:dyDescent="0.15">
      <c r="A394" s="66">
        <v>298</v>
      </c>
      <c r="B394" s="3" t="str">
        <f ca="1">VLOOKUP($A394,OFFSET([2]characters!$A$1,0,0,COUNTA([2]characters!$A:$A),MATCH(B$1,[2]characters!$1:$1,0)-MATCH($A$1,[2]characters!$1:$1,0)+1),MATCH(B$1,[2]characters!$1:$1,0)-MATCH($A$1,[2]characters!$1:$1,0)+1,FALSE)</f>
        <v>炎殺のミサコ</v>
      </c>
      <c r="C394" s="93">
        <f ca="1">VLOOKUP($A394,OFFSET(fork_awake_units!$A$1,0,0,COUNTA(fork_awake_units!$A:$A),MATCH(C$1,fork_awake_units!$1:$1,0)-MATCH($A$1,fork_awake_units!$1:$1,0)+1),MATCH(C$1,fork_awake_units!$1:$1,0)-MATCH($A$1,fork_awake_units!$1:$1,0)+1,FALSE)</f>
        <v>299</v>
      </c>
      <c r="D394" s="3" t="str">
        <f ca="1">VLOOKUP($C394,OFFSET([2]characters!$A$1,0,0,COUNTA([2]characters!$A:$A),MATCH(D$1,[2]characters!$1:$1,0)-MATCH($A$1,[2]characters!$1:$1,0)+1),MATCH(D$1,[2]characters!$1:$1,0)-MATCH($A$1,[2]characters!$1:$1,0)+1,FALSE)</f>
        <v>狂気の炎風 ミサコ</v>
      </c>
      <c r="E394" s="66">
        <v>102</v>
      </c>
      <c r="F394" s="3" t="str">
        <f ca="1">VLOOKUP($E394,OFFSET([2]characters!$A$1,0,0,COUNTA([2]characters!$A:$A),MATCH(F$1,[2]characters!$1:$1,0)-MATCH($A$1,[2]characters!$1:$1,0)+1),MATCH(F$1,[2]characters!$1:$1,0)-MATCH($A$1,[2]characters!$1:$1,0)+1,FALSE)</f>
        <v>レッドラビット</v>
      </c>
      <c r="G394" s="66">
        <v>1</v>
      </c>
      <c r="H394" s="66">
        <v>1</v>
      </c>
      <c r="I394" s="66">
        <v>1</v>
      </c>
    </row>
    <row r="395" spans="1:9" x14ac:dyDescent="0.15">
      <c r="A395" s="66">
        <v>298</v>
      </c>
      <c r="B395" s="3" t="str">
        <f ca="1">VLOOKUP($A395,OFFSET([2]characters!$A$1,0,0,COUNTA([2]characters!$A:$A),MATCH(B$1,[2]characters!$1:$1,0)-MATCH($A$1,[2]characters!$1:$1,0)+1),MATCH(B$1,[2]characters!$1:$1,0)-MATCH($A$1,[2]characters!$1:$1,0)+1,FALSE)</f>
        <v>炎殺のミサコ</v>
      </c>
      <c r="C395" s="93">
        <f ca="1">VLOOKUP($A395,OFFSET(fork_awake_units!$A$1,0,0,COUNTA(fork_awake_units!$A:$A),MATCH(C$1,fork_awake_units!$1:$1,0)-MATCH($A$1,fork_awake_units!$1:$1,0)+1),MATCH(C$1,fork_awake_units!$1:$1,0)-MATCH($A$1,fork_awake_units!$1:$1,0)+1,FALSE)</f>
        <v>299</v>
      </c>
      <c r="D395" s="3" t="str">
        <f ca="1">VLOOKUP($C395,OFFSET([2]characters!$A$1,0,0,COUNTA([2]characters!$A:$A),MATCH(D$1,[2]characters!$1:$1,0)-MATCH($A$1,[2]characters!$1:$1,0)+1),MATCH(D$1,[2]characters!$1:$1,0)-MATCH($A$1,[2]characters!$1:$1,0)+1,FALSE)</f>
        <v>狂気の炎風 ミサコ</v>
      </c>
      <c r="E395" s="66">
        <v>103</v>
      </c>
      <c r="F395" s="3" t="str">
        <f ca="1">VLOOKUP($E395,OFFSET([2]characters!$A$1,0,0,COUNTA([2]characters!$A:$A),MATCH(F$1,[2]characters!$1:$1,0)-MATCH($A$1,[2]characters!$1:$1,0)+1),MATCH(F$1,[2]characters!$1:$1,0)-MATCH($A$1,[2]characters!$1:$1,0)+1,FALSE)</f>
        <v>レッドキャタップ</v>
      </c>
      <c r="G395" s="66">
        <v>1</v>
      </c>
      <c r="H395" s="66">
        <v>1</v>
      </c>
      <c r="I395" s="66">
        <v>1</v>
      </c>
    </row>
    <row r="396" spans="1:9" x14ac:dyDescent="0.15">
      <c r="A396" s="66">
        <v>300</v>
      </c>
      <c r="B396" s="3" t="str">
        <f ca="1">VLOOKUP($A396,OFFSET([2]characters!$A$1,0,0,COUNTA([2]characters!$A:$A),MATCH(B$1,[2]characters!$1:$1,0)-MATCH($A$1,[2]characters!$1:$1,0)+1),MATCH(B$1,[2]characters!$1:$1,0)-MATCH($A$1,[2]characters!$1:$1,0)+1,FALSE)</f>
        <v>毒殺のチカ</v>
      </c>
      <c r="C396" s="93">
        <f ca="1">VLOOKUP($A396,OFFSET(fork_awake_units!$A$1,0,0,COUNTA(fork_awake_units!$A:$A),MATCH(C$1,fork_awake_units!$1:$1,0)-MATCH($A$1,fork_awake_units!$1:$1,0)+1),MATCH(C$1,fork_awake_units!$1:$1,0)-MATCH($A$1,fork_awake_units!$1:$1,0)+1,FALSE)</f>
        <v>301</v>
      </c>
      <c r="D396" s="3" t="str">
        <f ca="1">VLOOKUP($C396,OFFSET([2]characters!$A$1,0,0,COUNTA([2]characters!$A:$A),MATCH(D$1,[2]characters!$1:$1,0)-MATCH($A$1,[2]characters!$1:$1,0)+1),MATCH(D$1,[2]characters!$1:$1,0)-MATCH($A$1,[2]characters!$1:$1,0)+1,FALSE)</f>
        <v>宿痾の葬送 チカ</v>
      </c>
      <c r="E396" s="66">
        <v>105</v>
      </c>
      <c r="F396" s="3" t="str">
        <f ca="1">VLOOKUP($E396,OFFSET([2]characters!$A$1,0,0,COUNTA([2]characters!$A:$A),MATCH(F$1,[2]characters!$1:$1,0)-MATCH($A$1,[2]characters!$1:$1,0)+1),MATCH(F$1,[2]characters!$1:$1,0)-MATCH($A$1,[2]characters!$1:$1,0)+1,FALSE)</f>
        <v>グリーンチェシャ</v>
      </c>
      <c r="G396" s="66">
        <v>3</v>
      </c>
      <c r="H396" s="66">
        <v>1</v>
      </c>
      <c r="I396" s="66">
        <v>1</v>
      </c>
    </row>
    <row r="397" spans="1:9" x14ac:dyDescent="0.15">
      <c r="A397" s="66">
        <v>300</v>
      </c>
      <c r="B397" s="3" t="str">
        <f ca="1">VLOOKUP($A397,OFFSET([2]characters!$A$1,0,0,COUNTA([2]characters!$A:$A),MATCH(B$1,[2]characters!$1:$1,0)-MATCH($A$1,[2]characters!$1:$1,0)+1),MATCH(B$1,[2]characters!$1:$1,0)-MATCH($A$1,[2]characters!$1:$1,0)+1,FALSE)</f>
        <v>毒殺のチカ</v>
      </c>
      <c r="C397" s="93">
        <f ca="1">VLOOKUP($A397,OFFSET(fork_awake_units!$A$1,0,0,COUNTA(fork_awake_units!$A:$A),MATCH(C$1,fork_awake_units!$1:$1,0)-MATCH($A$1,fork_awake_units!$1:$1,0)+1),MATCH(C$1,fork_awake_units!$1:$1,0)-MATCH($A$1,fork_awake_units!$1:$1,0)+1,FALSE)</f>
        <v>301</v>
      </c>
      <c r="D397" s="3" t="str">
        <f ca="1">VLOOKUP($C397,OFFSET([2]characters!$A$1,0,0,COUNTA([2]characters!$A:$A),MATCH(D$1,[2]characters!$1:$1,0)-MATCH($A$1,[2]characters!$1:$1,0)+1),MATCH(D$1,[2]characters!$1:$1,0)-MATCH($A$1,[2]characters!$1:$1,0)+1,FALSE)</f>
        <v>宿痾の葬送 チカ</v>
      </c>
      <c r="E397" s="66">
        <v>106</v>
      </c>
      <c r="F397" s="3" t="str">
        <f ca="1">VLOOKUP($E397,OFFSET([2]characters!$A$1,0,0,COUNTA([2]characters!$A:$A),MATCH(F$1,[2]characters!$1:$1,0)-MATCH($A$1,[2]characters!$1:$1,0)+1),MATCH(F$1,[2]characters!$1:$1,0)-MATCH($A$1,[2]characters!$1:$1,0)+1,FALSE)</f>
        <v>グリーンラビット</v>
      </c>
      <c r="G397" s="66">
        <v>1</v>
      </c>
      <c r="H397" s="66">
        <v>1</v>
      </c>
      <c r="I397" s="66">
        <v>1</v>
      </c>
    </row>
    <row r="398" spans="1:9" x14ac:dyDescent="0.15">
      <c r="A398" s="66">
        <v>300</v>
      </c>
      <c r="B398" s="3" t="str">
        <f ca="1">VLOOKUP($A398,OFFSET([2]characters!$A$1,0,0,COUNTA([2]characters!$A:$A),MATCH(B$1,[2]characters!$1:$1,0)-MATCH($A$1,[2]characters!$1:$1,0)+1),MATCH(B$1,[2]characters!$1:$1,0)-MATCH($A$1,[2]characters!$1:$1,0)+1,FALSE)</f>
        <v>毒殺のチカ</v>
      </c>
      <c r="C398" s="93">
        <f ca="1">VLOOKUP($A398,OFFSET(fork_awake_units!$A$1,0,0,COUNTA(fork_awake_units!$A:$A),MATCH(C$1,fork_awake_units!$1:$1,0)-MATCH($A$1,fork_awake_units!$1:$1,0)+1),MATCH(C$1,fork_awake_units!$1:$1,0)-MATCH($A$1,fork_awake_units!$1:$1,0)+1,FALSE)</f>
        <v>301</v>
      </c>
      <c r="D398" s="3" t="str">
        <f ca="1">VLOOKUP($C398,OFFSET([2]characters!$A$1,0,0,COUNTA([2]characters!$A:$A),MATCH(D$1,[2]characters!$1:$1,0)-MATCH($A$1,[2]characters!$1:$1,0)+1),MATCH(D$1,[2]characters!$1:$1,0)-MATCH($A$1,[2]characters!$1:$1,0)+1,FALSE)</f>
        <v>宿痾の葬送 チカ</v>
      </c>
      <c r="E398" s="66">
        <v>107</v>
      </c>
      <c r="F398" s="3" t="str">
        <f ca="1">VLOOKUP($E398,OFFSET([2]characters!$A$1,0,0,COUNTA([2]characters!$A:$A),MATCH(F$1,[2]characters!$1:$1,0)-MATCH($A$1,[2]characters!$1:$1,0)+1),MATCH(F$1,[2]characters!$1:$1,0)-MATCH($A$1,[2]characters!$1:$1,0)+1,FALSE)</f>
        <v>グリーンキャタップ</v>
      </c>
      <c r="G398" s="66">
        <v>1</v>
      </c>
      <c r="H398" s="66">
        <v>1</v>
      </c>
      <c r="I398" s="66">
        <v>1</v>
      </c>
    </row>
    <row r="399" spans="1:9" x14ac:dyDescent="0.15">
      <c r="A399" s="66">
        <v>302</v>
      </c>
      <c r="B399" s="3" t="str">
        <f ca="1">VLOOKUP($A399,OFFSET([2]characters!$A$1,0,0,COUNTA([2]characters!$A:$A),MATCH(B$1,[2]characters!$1:$1,0)-MATCH($A$1,[2]characters!$1:$1,0)+1),MATCH(B$1,[2]characters!$1:$1,0)-MATCH($A$1,[2]characters!$1:$1,0)+1,FALSE)</f>
        <v>絞殺のリサ</v>
      </c>
      <c r="C399" s="93">
        <f ca="1">VLOOKUP($A399,OFFSET(fork_awake_units!$A$1,0,0,COUNTA(fork_awake_units!$A:$A),MATCH(C$1,fork_awake_units!$1:$1,0)-MATCH($A$1,fork_awake_units!$1:$1,0)+1),MATCH(C$1,fork_awake_units!$1:$1,0)-MATCH($A$1,fork_awake_units!$1:$1,0)+1,FALSE)</f>
        <v>303</v>
      </c>
      <c r="D399" s="3" t="str">
        <f ca="1">VLOOKUP($C399,OFFSET([2]characters!$A$1,0,0,COUNTA([2]characters!$A:$A),MATCH(D$1,[2]characters!$1:$1,0)-MATCH($A$1,[2]characters!$1:$1,0)+1),MATCH(D$1,[2]characters!$1:$1,0)-MATCH($A$1,[2]characters!$1:$1,0)+1,FALSE)</f>
        <v>哄笑の禁縛 リサ</v>
      </c>
      <c r="E399" s="66">
        <v>109</v>
      </c>
      <c r="F399" s="3" t="str">
        <f ca="1">VLOOKUP($E399,OFFSET([2]characters!$A$1,0,0,COUNTA([2]characters!$A:$A),MATCH(F$1,[2]characters!$1:$1,0)-MATCH($A$1,[2]characters!$1:$1,0)+1),MATCH(F$1,[2]characters!$1:$1,0)-MATCH($A$1,[2]characters!$1:$1,0)+1,FALSE)</f>
        <v>ブルーチェシャ</v>
      </c>
      <c r="G399" s="66">
        <v>3</v>
      </c>
      <c r="H399" s="66">
        <v>1</v>
      </c>
      <c r="I399" s="66">
        <v>1</v>
      </c>
    </row>
    <row r="400" spans="1:9" x14ac:dyDescent="0.15">
      <c r="A400" s="66">
        <v>302</v>
      </c>
      <c r="B400" s="3" t="str">
        <f ca="1">VLOOKUP($A400,OFFSET([2]characters!$A$1,0,0,COUNTA([2]characters!$A:$A),MATCH(B$1,[2]characters!$1:$1,0)-MATCH($A$1,[2]characters!$1:$1,0)+1),MATCH(B$1,[2]characters!$1:$1,0)-MATCH($A$1,[2]characters!$1:$1,0)+1,FALSE)</f>
        <v>絞殺のリサ</v>
      </c>
      <c r="C400" s="93">
        <f ca="1">VLOOKUP($A400,OFFSET(fork_awake_units!$A$1,0,0,COUNTA(fork_awake_units!$A:$A),MATCH(C$1,fork_awake_units!$1:$1,0)-MATCH($A$1,fork_awake_units!$1:$1,0)+1),MATCH(C$1,fork_awake_units!$1:$1,0)-MATCH($A$1,fork_awake_units!$1:$1,0)+1,FALSE)</f>
        <v>303</v>
      </c>
      <c r="D400" s="3" t="str">
        <f ca="1">VLOOKUP($C400,OFFSET([2]characters!$A$1,0,0,COUNTA([2]characters!$A:$A),MATCH(D$1,[2]characters!$1:$1,0)-MATCH($A$1,[2]characters!$1:$1,0)+1),MATCH(D$1,[2]characters!$1:$1,0)-MATCH($A$1,[2]characters!$1:$1,0)+1,FALSE)</f>
        <v>哄笑の禁縛 リサ</v>
      </c>
      <c r="E400" s="66">
        <v>110</v>
      </c>
      <c r="F400" s="3" t="str">
        <f ca="1">VLOOKUP($E400,OFFSET([2]characters!$A$1,0,0,COUNTA([2]characters!$A:$A),MATCH(F$1,[2]characters!$1:$1,0)-MATCH($A$1,[2]characters!$1:$1,0)+1),MATCH(F$1,[2]characters!$1:$1,0)-MATCH($A$1,[2]characters!$1:$1,0)+1,FALSE)</f>
        <v>ブルーラビット</v>
      </c>
      <c r="G400" s="66">
        <v>1</v>
      </c>
      <c r="H400" s="66">
        <v>1</v>
      </c>
      <c r="I400" s="66">
        <v>1</v>
      </c>
    </row>
    <row r="401" spans="1:9" x14ac:dyDescent="0.15">
      <c r="A401" s="66">
        <v>302</v>
      </c>
      <c r="B401" s="3" t="str">
        <f ca="1">VLOOKUP($A401,OFFSET([2]characters!$A$1,0,0,COUNTA([2]characters!$A:$A),MATCH(B$1,[2]characters!$1:$1,0)-MATCH($A$1,[2]characters!$1:$1,0)+1),MATCH(B$1,[2]characters!$1:$1,0)-MATCH($A$1,[2]characters!$1:$1,0)+1,FALSE)</f>
        <v>絞殺のリサ</v>
      </c>
      <c r="C401" s="93">
        <f ca="1">VLOOKUP($A401,OFFSET(fork_awake_units!$A$1,0,0,COUNTA(fork_awake_units!$A:$A),MATCH(C$1,fork_awake_units!$1:$1,0)-MATCH($A$1,fork_awake_units!$1:$1,0)+1),MATCH(C$1,fork_awake_units!$1:$1,0)-MATCH($A$1,fork_awake_units!$1:$1,0)+1,FALSE)</f>
        <v>303</v>
      </c>
      <c r="D401" s="3" t="str">
        <f ca="1">VLOOKUP($C401,OFFSET([2]characters!$A$1,0,0,COUNTA([2]characters!$A:$A),MATCH(D$1,[2]characters!$1:$1,0)-MATCH($A$1,[2]characters!$1:$1,0)+1),MATCH(D$1,[2]characters!$1:$1,0)-MATCH($A$1,[2]characters!$1:$1,0)+1,FALSE)</f>
        <v>哄笑の禁縛 リサ</v>
      </c>
      <c r="E401" s="66">
        <v>111</v>
      </c>
      <c r="F401" s="3" t="str">
        <f ca="1">VLOOKUP($E401,OFFSET([2]characters!$A$1,0,0,COUNTA([2]characters!$A:$A),MATCH(F$1,[2]characters!$1:$1,0)-MATCH($A$1,[2]characters!$1:$1,0)+1),MATCH(F$1,[2]characters!$1:$1,0)-MATCH($A$1,[2]characters!$1:$1,0)+1,FALSE)</f>
        <v>ブルーキャタップ</v>
      </c>
      <c r="G401" s="66">
        <v>1</v>
      </c>
      <c r="H401" s="66">
        <v>1</v>
      </c>
      <c r="I401" s="66">
        <v>1</v>
      </c>
    </row>
    <row r="402" spans="1:9" x14ac:dyDescent="0.15">
      <c r="A402" s="66">
        <v>304</v>
      </c>
      <c r="B402" s="3" t="str">
        <f ca="1">VLOOKUP($A402,OFFSET([2]characters!$A$1,0,0,COUNTA([2]characters!$A:$A),MATCH(B$1,[2]characters!$1:$1,0)-MATCH($A$1,[2]characters!$1:$1,0)+1),MATCH(B$1,[2]characters!$1:$1,0)-MATCH($A$1,[2]characters!$1:$1,0)+1,FALSE)</f>
        <v>電殺のチエミ</v>
      </c>
      <c r="C402" s="93">
        <f ca="1">VLOOKUP($A402,OFFSET(fork_awake_units!$A$1,0,0,COUNTA(fork_awake_units!$A:$A),MATCH(C$1,fork_awake_units!$1:$1,0)-MATCH($A$1,fork_awake_units!$1:$1,0)+1),MATCH(C$1,fork_awake_units!$1:$1,0)-MATCH($A$1,fork_awake_units!$1:$1,0)+1,FALSE)</f>
        <v>305</v>
      </c>
      <c r="D402" s="3" t="str">
        <f ca="1">VLOOKUP($C402,OFFSET([2]characters!$A$1,0,0,COUNTA([2]characters!$A:$A),MATCH(D$1,[2]characters!$1:$1,0)-MATCH($A$1,[2]characters!$1:$1,0)+1),MATCH(D$1,[2]characters!$1:$1,0)-MATCH($A$1,[2]characters!$1:$1,0)+1,FALSE)</f>
        <v>螺旋の雷電 チエミ</v>
      </c>
      <c r="E402" s="66">
        <v>113</v>
      </c>
      <c r="F402" s="3" t="str">
        <f ca="1">VLOOKUP($E402,OFFSET([2]characters!$A$1,0,0,COUNTA([2]characters!$A:$A),MATCH(F$1,[2]characters!$1:$1,0)-MATCH($A$1,[2]characters!$1:$1,0)+1),MATCH(F$1,[2]characters!$1:$1,0)-MATCH($A$1,[2]characters!$1:$1,0)+1,FALSE)</f>
        <v>イエローチェシャ</v>
      </c>
      <c r="G402" s="66">
        <v>3</v>
      </c>
      <c r="H402" s="66">
        <v>1</v>
      </c>
      <c r="I402" s="66">
        <v>1</v>
      </c>
    </row>
    <row r="403" spans="1:9" x14ac:dyDescent="0.15">
      <c r="A403" s="66">
        <v>304</v>
      </c>
      <c r="B403" s="3" t="str">
        <f ca="1">VLOOKUP($A403,OFFSET([2]characters!$A$1,0,0,COUNTA([2]characters!$A:$A),MATCH(B$1,[2]characters!$1:$1,0)-MATCH($A$1,[2]characters!$1:$1,0)+1),MATCH(B$1,[2]characters!$1:$1,0)-MATCH($A$1,[2]characters!$1:$1,0)+1,FALSE)</f>
        <v>電殺のチエミ</v>
      </c>
      <c r="C403" s="93">
        <f ca="1">VLOOKUP($A403,OFFSET(fork_awake_units!$A$1,0,0,COUNTA(fork_awake_units!$A:$A),MATCH(C$1,fork_awake_units!$1:$1,0)-MATCH($A$1,fork_awake_units!$1:$1,0)+1),MATCH(C$1,fork_awake_units!$1:$1,0)-MATCH($A$1,fork_awake_units!$1:$1,0)+1,FALSE)</f>
        <v>305</v>
      </c>
      <c r="D403" s="3" t="str">
        <f ca="1">VLOOKUP($C403,OFFSET([2]characters!$A$1,0,0,COUNTA([2]characters!$A:$A),MATCH(D$1,[2]characters!$1:$1,0)-MATCH($A$1,[2]characters!$1:$1,0)+1),MATCH(D$1,[2]characters!$1:$1,0)-MATCH($A$1,[2]characters!$1:$1,0)+1,FALSE)</f>
        <v>螺旋の雷電 チエミ</v>
      </c>
      <c r="E403" s="66">
        <v>114</v>
      </c>
      <c r="F403" s="3" t="str">
        <f ca="1">VLOOKUP($E403,OFFSET([2]characters!$A$1,0,0,COUNTA([2]characters!$A:$A),MATCH(F$1,[2]characters!$1:$1,0)-MATCH($A$1,[2]characters!$1:$1,0)+1),MATCH(F$1,[2]characters!$1:$1,0)-MATCH($A$1,[2]characters!$1:$1,0)+1,FALSE)</f>
        <v>イエローラビット</v>
      </c>
      <c r="G403" s="66">
        <v>1</v>
      </c>
      <c r="H403" s="66">
        <v>1</v>
      </c>
      <c r="I403" s="66">
        <v>1</v>
      </c>
    </row>
    <row r="404" spans="1:9" x14ac:dyDescent="0.15">
      <c r="A404" s="66">
        <v>304</v>
      </c>
      <c r="B404" s="3" t="str">
        <f ca="1">VLOOKUP($A404,OFFSET([2]characters!$A$1,0,0,COUNTA([2]characters!$A:$A),MATCH(B$1,[2]characters!$1:$1,0)-MATCH($A$1,[2]characters!$1:$1,0)+1),MATCH(B$1,[2]characters!$1:$1,0)-MATCH($A$1,[2]characters!$1:$1,0)+1,FALSE)</f>
        <v>電殺のチエミ</v>
      </c>
      <c r="C404" s="93">
        <f ca="1">VLOOKUP($A404,OFFSET(fork_awake_units!$A$1,0,0,COUNTA(fork_awake_units!$A:$A),MATCH(C$1,fork_awake_units!$1:$1,0)-MATCH($A$1,fork_awake_units!$1:$1,0)+1),MATCH(C$1,fork_awake_units!$1:$1,0)-MATCH($A$1,fork_awake_units!$1:$1,0)+1,FALSE)</f>
        <v>305</v>
      </c>
      <c r="D404" s="3" t="str">
        <f ca="1">VLOOKUP($C404,OFFSET([2]characters!$A$1,0,0,COUNTA([2]characters!$A:$A),MATCH(D$1,[2]characters!$1:$1,0)-MATCH($A$1,[2]characters!$1:$1,0)+1),MATCH(D$1,[2]characters!$1:$1,0)-MATCH($A$1,[2]characters!$1:$1,0)+1,FALSE)</f>
        <v>螺旋の雷電 チエミ</v>
      </c>
      <c r="E404" s="66">
        <v>115</v>
      </c>
      <c r="F404" s="3" t="str">
        <f ca="1">VLOOKUP($E404,OFFSET([2]characters!$A$1,0,0,COUNTA([2]characters!$A:$A),MATCH(F$1,[2]characters!$1:$1,0)-MATCH($A$1,[2]characters!$1:$1,0)+1),MATCH(F$1,[2]characters!$1:$1,0)-MATCH($A$1,[2]characters!$1:$1,0)+1,FALSE)</f>
        <v>イエローキャタップ</v>
      </c>
      <c r="G404" s="66">
        <v>1</v>
      </c>
      <c r="H404" s="66">
        <v>1</v>
      </c>
      <c r="I404" s="66">
        <v>1</v>
      </c>
    </row>
    <row r="405" spans="1:9" x14ac:dyDescent="0.15">
      <c r="A405" s="66">
        <v>306</v>
      </c>
      <c r="B405" s="3" t="str">
        <f ca="1">VLOOKUP($A405,OFFSET([2]characters!$A$1,0,0,COUNTA([2]characters!$A:$A),MATCH(B$1,[2]characters!$1:$1,0)-MATCH($A$1,[2]characters!$1:$1,0)+1),MATCH(B$1,[2]characters!$1:$1,0)-MATCH($A$1,[2]characters!$1:$1,0)+1,FALSE)</f>
        <v>メガロドン</v>
      </c>
      <c r="C405" s="93">
        <f ca="1">VLOOKUP($A405,OFFSET(fork_awake_units!$A$1,0,0,COUNTA(fork_awake_units!$A:$A),MATCH(C$1,fork_awake_units!$1:$1,0)-MATCH($A$1,fork_awake_units!$1:$1,0)+1),MATCH(C$1,fork_awake_units!$1:$1,0)-MATCH($A$1,fork_awake_units!$1:$1,0)+1,FALSE)</f>
        <v>307</v>
      </c>
      <c r="D405" s="3" t="str">
        <f ca="1">VLOOKUP($C405,OFFSET([2]characters!$A$1,0,0,COUNTA([2]characters!$A:$A),MATCH(D$1,[2]characters!$1:$1,0)-MATCH($A$1,[2]characters!$1:$1,0)+1),MATCH(D$1,[2]characters!$1:$1,0)-MATCH($A$1,[2]characters!$1:$1,0)+1,FALSE)</f>
        <v>古の鋼拳 メガロドン</v>
      </c>
      <c r="E405" s="66">
        <v>101</v>
      </c>
      <c r="F405" s="3" t="str">
        <f ca="1">VLOOKUP($E405,OFFSET([2]characters!$A$1,0,0,COUNTA([2]characters!$A:$A),MATCH(F$1,[2]characters!$1:$1,0)-MATCH($A$1,[2]characters!$1:$1,0)+1),MATCH(F$1,[2]characters!$1:$1,0)-MATCH($A$1,[2]characters!$1:$1,0)+1,FALSE)</f>
        <v>レッドチェシャ</v>
      </c>
      <c r="G405" s="66">
        <v>1</v>
      </c>
      <c r="H405" s="66">
        <v>1</v>
      </c>
      <c r="I405" s="66">
        <v>1</v>
      </c>
    </row>
    <row r="406" spans="1:9" x14ac:dyDescent="0.15">
      <c r="A406" s="66">
        <v>306</v>
      </c>
      <c r="B406" s="3" t="str">
        <f ca="1">VLOOKUP($A406,OFFSET([2]characters!$A$1,0,0,COUNTA([2]characters!$A:$A),MATCH(B$1,[2]characters!$1:$1,0)-MATCH($A$1,[2]characters!$1:$1,0)+1),MATCH(B$1,[2]characters!$1:$1,0)-MATCH($A$1,[2]characters!$1:$1,0)+1,FALSE)</f>
        <v>メガロドン</v>
      </c>
      <c r="C406" s="93">
        <f ca="1">VLOOKUP($A406,OFFSET(fork_awake_units!$A$1,0,0,COUNTA(fork_awake_units!$A:$A),MATCH(C$1,fork_awake_units!$1:$1,0)-MATCH($A$1,fork_awake_units!$1:$1,0)+1),MATCH(C$1,fork_awake_units!$1:$1,0)-MATCH($A$1,fork_awake_units!$1:$1,0)+1,FALSE)</f>
        <v>307</v>
      </c>
      <c r="D406" s="3" t="str">
        <f ca="1">VLOOKUP($C406,OFFSET([2]characters!$A$1,0,0,COUNTA([2]characters!$A:$A),MATCH(D$1,[2]characters!$1:$1,0)-MATCH($A$1,[2]characters!$1:$1,0)+1),MATCH(D$1,[2]characters!$1:$1,0)-MATCH($A$1,[2]characters!$1:$1,0)+1,FALSE)</f>
        <v>古の鋼拳 メガロドン</v>
      </c>
      <c r="E406" s="66">
        <v>102</v>
      </c>
      <c r="F406" s="3" t="str">
        <f ca="1">VLOOKUP($E406,OFFSET([2]characters!$A$1,0,0,COUNTA([2]characters!$A:$A),MATCH(F$1,[2]characters!$1:$1,0)-MATCH($A$1,[2]characters!$1:$1,0)+1),MATCH(F$1,[2]characters!$1:$1,0)-MATCH($A$1,[2]characters!$1:$1,0)+1,FALSE)</f>
        <v>レッドラビット</v>
      </c>
      <c r="G406" s="66">
        <v>2</v>
      </c>
      <c r="H406" s="66">
        <v>1</v>
      </c>
      <c r="I406" s="66">
        <v>1</v>
      </c>
    </row>
    <row r="407" spans="1:9" x14ac:dyDescent="0.15">
      <c r="A407" s="66">
        <v>306</v>
      </c>
      <c r="B407" s="3" t="str">
        <f ca="1">VLOOKUP($A407,OFFSET([2]characters!$A$1,0,0,COUNTA([2]characters!$A:$A),MATCH(B$1,[2]characters!$1:$1,0)-MATCH($A$1,[2]characters!$1:$1,0)+1),MATCH(B$1,[2]characters!$1:$1,0)-MATCH($A$1,[2]characters!$1:$1,0)+1,FALSE)</f>
        <v>メガロドン</v>
      </c>
      <c r="C407" s="93">
        <f ca="1">VLOOKUP($A407,OFFSET(fork_awake_units!$A$1,0,0,COUNTA(fork_awake_units!$A:$A),MATCH(C$1,fork_awake_units!$1:$1,0)-MATCH($A$1,fork_awake_units!$1:$1,0)+1),MATCH(C$1,fork_awake_units!$1:$1,0)-MATCH($A$1,fork_awake_units!$1:$1,0)+1,FALSE)</f>
        <v>307</v>
      </c>
      <c r="D407" s="3" t="str">
        <f ca="1">VLOOKUP($C407,OFFSET([2]characters!$A$1,0,0,COUNTA([2]characters!$A:$A),MATCH(D$1,[2]characters!$1:$1,0)-MATCH($A$1,[2]characters!$1:$1,0)+1),MATCH(D$1,[2]characters!$1:$1,0)-MATCH($A$1,[2]characters!$1:$1,0)+1,FALSE)</f>
        <v>古の鋼拳 メガロドン</v>
      </c>
      <c r="E407" s="66">
        <v>103</v>
      </c>
      <c r="F407" s="3" t="str">
        <f ca="1">VLOOKUP($E407,OFFSET([2]characters!$A$1,0,0,COUNTA([2]characters!$A:$A),MATCH(F$1,[2]characters!$1:$1,0)-MATCH($A$1,[2]characters!$1:$1,0)+1),MATCH(F$1,[2]characters!$1:$1,0)-MATCH($A$1,[2]characters!$1:$1,0)+1,FALSE)</f>
        <v>レッドキャタップ</v>
      </c>
      <c r="G407" s="66">
        <v>1</v>
      </c>
      <c r="H407" s="66">
        <v>1</v>
      </c>
      <c r="I407" s="66">
        <v>1</v>
      </c>
    </row>
    <row r="408" spans="1:9" x14ac:dyDescent="0.15">
      <c r="A408" s="66">
        <v>306</v>
      </c>
      <c r="B408" s="3" t="str">
        <f ca="1">VLOOKUP($A408,OFFSET([2]characters!$A$1,0,0,COUNTA([2]characters!$A:$A),MATCH(B$1,[2]characters!$1:$1,0)-MATCH($A$1,[2]characters!$1:$1,0)+1),MATCH(B$1,[2]characters!$1:$1,0)-MATCH($A$1,[2]characters!$1:$1,0)+1,FALSE)</f>
        <v>メガロドン</v>
      </c>
      <c r="C408" s="93">
        <f ca="1">VLOOKUP($A408,OFFSET(fork_awake_units!$A$1,0,0,COUNTA(fork_awake_units!$A:$A),MATCH(C$1,fork_awake_units!$1:$1,0)-MATCH($A$1,fork_awake_units!$1:$1,0)+1),MATCH(C$1,fork_awake_units!$1:$1,0)-MATCH($A$1,fork_awake_units!$1:$1,0)+1,FALSE)</f>
        <v>307</v>
      </c>
      <c r="D408" s="3" t="str">
        <f ca="1">VLOOKUP($C408,OFFSET([2]characters!$A$1,0,0,COUNTA([2]characters!$A:$A),MATCH(D$1,[2]characters!$1:$1,0)-MATCH($A$1,[2]characters!$1:$1,0)+1),MATCH(D$1,[2]characters!$1:$1,0)-MATCH($A$1,[2]characters!$1:$1,0)+1,FALSE)</f>
        <v>古の鋼拳 メガロドン</v>
      </c>
      <c r="E408" s="66">
        <v>104</v>
      </c>
      <c r="F408" s="3" t="str">
        <f ca="1">VLOOKUP($E408,OFFSET([2]characters!$A$1,0,0,COUNTA([2]characters!$A:$A),MATCH(F$1,[2]characters!$1:$1,0)-MATCH($A$1,[2]characters!$1:$1,0)+1),MATCH(F$1,[2]characters!$1:$1,0)-MATCH($A$1,[2]characters!$1:$1,0)+1,FALSE)</f>
        <v>炎のマッドハッター</v>
      </c>
      <c r="G408" s="66">
        <v>1</v>
      </c>
      <c r="H408" s="66">
        <v>1</v>
      </c>
      <c r="I408" s="66">
        <v>1</v>
      </c>
    </row>
    <row r="409" spans="1:9" x14ac:dyDescent="0.15">
      <c r="A409" s="66">
        <v>308</v>
      </c>
      <c r="B409" s="3" t="str">
        <f ca="1">VLOOKUP($A409,OFFSET([2]characters!$A$1,0,0,COUNTA([2]characters!$A:$A),MATCH(B$1,[2]characters!$1:$1,0)-MATCH($A$1,[2]characters!$1:$1,0)+1),MATCH(B$1,[2]characters!$1:$1,0)-MATCH($A$1,[2]characters!$1:$1,0)+1,FALSE)</f>
        <v>アーケロン</v>
      </c>
      <c r="C409" s="93">
        <f ca="1">VLOOKUP($A409,OFFSET(fork_awake_units!$A$1,0,0,COUNTA(fork_awake_units!$A:$A),MATCH(C$1,fork_awake_units!$1:$1,0)-MATCH($A$1,fork_awake_units!$1:$1,0)+1),MATCH(C$1,fork_awake_units!$1:$1,0)-MATCH($A$1,fork_awake_units!$1:$1,0)+1,FALSE)</f>
        <v>309</v>
      </c>
      <c r="D409" s="3" t="str">
        <f ca="1">VLOOKUP($C409,OFFSET([2]characters!$A$1,0,0,COUNTA([2]characters!$A:$A),MATCH(D$1,[2]characters!$1:$1,0)-MATCH($A$1,[2]characters!$1:$1,0)+1),MATCH(D$1,[2]characters!$1:$1,0)-MATCH($A$1,[2]characters!$1:$1,0)+1,FALSE)</f>
        <v>古の博学 アーケロン</v>
      </c>
      <c r="E409" s="66">
        <v>105</v>
      </c>
      <c r="F409" s="3" t="str">
        <f ca="1">VLOOKUP($E409,OFFSET([2]characters!$A$1,0,0,COUNTA([2]characters!$A:$A),MATCH(F$1,[2]characters!$1:$1,0)-MATCH($A$1,[2]characters!$1:$1,0)+1),MATCH(F$1,[2]characters!$1:$1,0)-MATCH($A$1,[2]characters!$1:$1,0)+1,FALSE)</f>
        <v>グリーンチェシャ</v>
      </c>
      <c r="G409" s="66">
        <v>1</v>
      </c>
      <c r="H409" s="66">
        <v>1</v>
      </c>
      <c r="I409" s="66">
        <v>1</v>
      </c>
    </row>
    <row r="410" spans="1:9" x14ac:dyDescent="0.15">
      <c r="A410" s="66">
        <v>308</v>
      </c>
      <c r="B410" s="3" t="str">
        <f ca="1">VLOOKUP($A410,OFFSET([2]characters!$A$1,0,0,COUNTA([2]characters!$A:$A),MATCH(B$1,[2]characters!$1:$1,0)-MATCH($A$1,[2]characters!$1:$1,0)+1),MATCH(B$1,[2]characters!$1:$1,0)-MATCH($A$1,[2]characters!$1:$1,0)+1,FALSE)</f>
        <v>アーケロン</v>
      </c>
      <c r="C410" s="93">
        <f ca="1">VLOOKUP($A410,OFFSET(fork_awake_units!$A$1,0,0,COUNTA(fork_awake_units!$A:$A),MATCH(C$1,fork_awake_units!$1:$1,0)-MATCH($A$1,fork_awake_units!$1:$1,0)+1),MATCH(C$1,fork_awake_units!$1:$1,0)-MATCH($A$1,fork_awake_units!$1:$1,0)+1,FALSE)</f>
        <v>309</v>
      </c>
      <c r="D410" s="3" t="str">
        <f ca="1">VLOOKUP($C410,OFFSET([2]characters!$A$1,0,0,COUNTA([2]characters!$A:$A),MATCH(D$1,[2]characters!$1:$1,0)-MATCH($A$1,[2]characters!$1:$1,0)+1),MATCH(D$1,[2]characters!$1:$1,0)-MATCH($A$1,[2]characters!$1:$1,0)+1,FALSE)</f>
        <v>古の博学 アーケロン</v>
      </c>
      <c r="E410" s="66">
        <v>106</v>
      </c>
      <c r="F410" s="3" t="str">
        <f ca="1">VLOOKUP($E410,OFFSET([2]characters!$A$1,0,0,COUNTA([2]characters!$A:$A),MATCH(F$1,[2]characters!$1:$1,0)-MATCH($A$1,[2]characters!$1:$1,0)+1),MATCH(F$1,[2]characters!$1:$1,0)-MATCH($A$1,[2]characters!$1:$1,0)+1,FALSE)</f>
        <v>グリーンラビット</v>
      </c>
      <c r="G410" s="66">
        <v>2</v>
      </c>
      <c r="H410" s="66">
        <v>1</v>
      </c>
      <c r="I410" s="66">
        <v>1</v>
      </c>
    </row>
    <row r="411" spans="1:9" x14ac:dyDescent="0.15">
      <c r="A411" s="66">
        <v>308</v>
      </c>
      <c r="B411" s="3" t="str">
        <f ca="1">VLOOKUP($A411,OFFSET([2]characters!$A$1,0,0,COUNTA([2]characters!$A:$A),MATCH(B$1,[2]characters!$1:$1,0)-MATCH($A$1,[2]characters!$1:$1,0)+1),MATCH(B$1,[2]characters!$1:$1,0)-MATCH($A$1,[2]characters!$1:$1,0)+1,FALSE)</f>
        <v>アーケロン</v>
      </c>
      <c r="C411" s="93">
        <f ca="1">VLOOKUP($A411,OFFSET(fork_awake_units!$A$1,0,0,COUNTA(fork_awake_units!$A:$A),MATCH(C$1,fork_awake_units!$1:$1,0)-MATCH($A$1,fork_awake_units!$1:$1,0)+1),MATCH(C$1,fork_awake_units!$1:$1,0)-MATCH($A$1,fork_awake_units!$1:$1,0)+1,FALSE)</f>
        <v>309</v>
      </c>
      <c r="D411" s="3" t="str">
        <f ca="1">VLOOKUP($C411,OFFSET([2]characters!$A$1,0,0,COUNTA([2]characters!$A:$A),MATCH(D$1,[2]characters!$1:$1,0)-MATCH($A$1,[2]characters!$1:$1,0)+1),MATCH(D$1,[2]characters!$1:$1,0)-MATCH($A$1,[2]characters!$1:$1,0)+1,FALSE)</f>
        <v>古の博学 アーケロン</v>
      </c>
      <c r="E411" s="66">
        <v>107</v>
      </c>
      <c r="F411" s="3" t="str">
        <f ca="1">VLOOKUP($E411,OFFSET([2]characters!$A$1,0,0,COUNTA([2]characters!$A:$A),MATCH(F$1,[2]characters!$1:$1,0)-MATCH($A$1,[2]characters!$1:$1,0)+1),MATCH(F$1,[2]characters!$1:$1,0)-MATCH($A$1,[2]characters!$1:$1,0)+1,FALSE)</f>
        <v>グリーンキャタップ</v>
      </c>
      <c r="G411" s="66">
        <v>1</v>
      </c>
      <c r="H411" s="66">
        <v>1</v>
      </c>
      <c r="I411" s="66">
        <v>1</v>
      </c>
    </row>
    <row r="412" spans="1:9" x14ac:dyDescent="0.15">
      <c r="A412" s="66">
        <v>308</v>
      </c>
      <c r="B412" s="3" t="str">
        <f ca="1">VLOOKUP($A412,OFFSET([2]characters!$A$1,0,0,COUNTA([2]characters!$A:$A),MATCH(B$1,[2]characters!$1:$1,0)-MATCH($A$1,[2]characters!$1:$1,0)+1),MATCH(B$1,[2]characters!$1:$1,0)-MATCH($A$1,[2]characters!$1:$1,0)+1,FALSE)</f>
        <v>アーケロン</v>
      </c>
      <c r="C412" s="93">
        <f ca="1">VLOOKUP($A412,OFFSET(fork_awake_units!$A$1,0,0,COUNTA(fork_awake_units!$A:$A),MATCH(C$1,fork_awake_units!$1:$1,0)-MATCH($A$1,fork_awake_units!$1:$1,0)+1),MATCH(C$1,fork_awake_units!$1:$1,0)-MATCH($A$1,fork_awake_units!$1:$1,0)+1,FALSE)</f>
        <v>309</v>
      </c>
      <c r="D412" s="3" t="str">
        <f ca="1">VLOOKUP($C412,OFFSET([2]characters!$A$1,0,0,COUNTA([2]characters!$A:$A),MATCH(D$1,[2]characters!$1:$1,0)-MATCH($A$1,[2]characters!$1:$1,0)+1),MATCH(D$1,[2]characters!$1:$1,0)-MATCH($A$1,[2]characters!$1:$1,0)+1,FALSE)</f>
        <v>古の博学 アーケロン</v>
      </c>
      <c r="E412" s="66">
        <v>108</v>
      </c>
      <c r="F412" s="3" t="str">
        <f ca="1">VLOOKUP($E412,OFFSET([2]characters!$A$1,0,0,COUNTA([2]characters!$A:$A),MATCH(F$1,[2]characters!$1:$1,0)-MATCH($A$1,[2]characters!$1:$1,0)+1),MATCH(F$1,[2]characters!$1:$1,0)-MATCH($A$1,[2]characters!$1:$1,0)+1,FALSE)</f>
        <v>森のマッドハッター</v>
      </c>
      <c r="G412" s="66">
        <v>1</v>
      </c>
      <c r="H412" s="66">
        <v>1</v>
      </c>
      <c r="I412" s="66">
        <v>1</v>
      </c>
    </row>
    <row r="413" spans="1:9" x14ac:dyDescent="0.15">
      <c r="A413" s="66">
        <v>310</v>
      </c>
      <c r="B413" s="3" t="str">
        <f ca="1">VLOOKUP($A413,OFFSET([2]characters!$A$1,0,0,COUNTA([2]characters!$A:$A),MATCH(B$1,[2]characters!$1:$1,0)-MATCH($A$1,[2]characters!$1:$1,0)+1),MATCH(B$1,[2]characters!$1:$1,0)-MATCH($A$1,[2]characters!$1:$1,0)+1,FALSE)</f>
        <v>リードシクティス</v>
      </c>
      <c r="C413" s="93">
        <f ca="1">VLOOKUP($A413,OFFSET(fork_awake_units!$A$1,0,0,COUNTA(fork_awake_units!$A:$A),MATCH(C$1,fork_awake_units!$1:$1,0)-MATCH($A$1,fork_awake_units!$1:$1,0)+1),MATCH(C$1,fork_awake_units!$1:$1,0)-MATCH($A$1,fork_awake_units!$1:$1,0)+1,FALSE)</f>
        <v>311</v>
      </c>
      <c r="D413" s="3" t="str">
        <f ca="1">VLOOKUP($C413,OFFSET([2]characters!$A$1,0,0,COUNTA([2]characters!$A:$A),MATCH(D$1,[2]characters!$1:$1,0)-MATCH($A$1,[2]characters!$1:$1,0)+1),MATCH(D$1,[2]characters!$1:$1,0)-MATCH($A$1,[2]characters!$1:$1,0)+1,FALSE)</f>
        <v>古の暴食 リードシクティス</v>
      </c>
      <c r="E413" s="66">
        <v>109</v>
      </c>
      <c r="F413" s="3" t="str">
        <f ca="1">VLOOKUP($E413,OFFSET([2]characters!$A$1,0,0,COUNTA([2]characters!$A:$A),MATCH(F$1,[2]characters!$1:$1,0)-MATCH($A$1,[2]characters!$1:$1,0)+1),MATCH(F$1,[2]characters!$1:$1,0)-MATCH($A$1,[2]characters!$1:$1,0)+1,FALSE)</f>
        <v>ブルーチェシャ</v>
      </c>
      <c r="G413" s="66">
        <v>1</v>
      </c>
      <c r="H413" s="66">
        <v>1</v>
      </c>
      <c r="I413" s="66">
        <v>1</v>
      </c>
    </row>
    <row r="414" spans="1:9" x14ac:dyDescent="0.15">
      <c r="A414" s="66">
        <v>310</v>
      </c>
      <c r="B414" s="3" t="str">
        <f ca="1">VLOOKUP($A414,OFFSET([2]characters!$A$1,0,0,COUNTA([2]characters!$A:$A),MATCH(B$1,[2]characters!$1:$1,0)-MATCH($A$1,[2]characters!$1:$1,0)+1),MATCH(B$1,[2]characters!$1:$1,0)-MATCH($A$1,[2]characters!$1:$1,0)+1,FALSE)</f>
        <v>リードシクティス</v>
      </c>
      <c r="C414" s="93">
        <f ca="1">VLOOKUP($A414,OFFSET(fork_awake_units!$A$1,0,0,COUNTA(fork_awake_units!$A:$A),MATCH(C$1,fork_awake_units!$1:$1,0)-MATCH($A$1,fork_awake_units!$1:$1,0)+1),MATCH(C$1,fork_awake_units!$1:$1,0)-MATCH($A$1,fork_awake_units!$1:$1,0)+1,FALSE)</f>
        <v>311</v>
      </c>
      <c r="D414" s="3" t="str">
        <f ca="1">VLOOKUP($C414,OFFSET([2]characters!$A$1,0,0,COUNTA([2]characters!$A:$A),MATCH(D$1,[2]characters!$1:$1,0)-MATCH($A$1,[2]characters!$1:$1,0)+1),MATCH(D$1,[2]characters!$1:$1,0)-MATCH($A$1,[2]characters!$1:$1,0)+1,FALSE)</f>
        <v>古の暴食 リードシクティス</v>
      </c>
      <c r="E414" s="66">
        <v>110</v>
      </c>
      <c r="F414" s="3" t="str">
        <f ca="1">VLOOKUP($E414,OFFSET([2]characters!$A$1,0,0,COUNTA([2]characters!$A:$A),MATCH(F$1,[2]characters!$1:$1,0)-MATCH($A$1,[2]characters!$1:$1,0)+1),MATCH(F$1,[2]characters!$1:$1,0)-MATCH($A$1,[2]characters!$1:$1,0)+1,FALSE)</f>
        <v>ブルーラビット</v>
      </c>
      <c r="G414" s="66">
        <v>2</v>
      </c>
      <c r="H414" s="66">
        <v>1</v>
      </c>
      <c r="I414" s="66">
        <v>1</v>
      </c>
    </row>
    <row r="415" spans="1:9" x14ac:dyDescent="0.15">
      <c r="A415" s="66">
        <v>310</v>
      </c>
      <c r="B415" s="3" t="str">
        <f ca="1">VLOOKUP($A415,OFFSET([2]characters!$A$1,0,0,COUNTA([2]characters!$A:$A),MATCH(B$1,[2]characters!$1:$1,0)-MATCH($A$1,[2]characters!$1:$1,0)+1),MATCH(B$1,[2]characters!$1:$1,0)-MATCH($A$1,[2]characters!$1:$1,0)+1,FALSE)</f>
        <v>リードシクティス</v>
      </c>
      <c r="C415" s="93">
        <f ca="1">VLOOKUP($A415,OFFSET(fork_awake_units!$A$1,0,0,COUNTA(fork_awake_units!$A:$A),MATCH(C$1,fork_awake_units!$1:$1,0)-MATCH($A$1,fork_awake_units!$1:$1,0)+1),MATCH(C$1,fork_awake_units!$1:$1,0)-MATCH($A$1,fork_awake_units!$1:$1,0)+1,FALSE)</f>
        <v>311</v>
      </c>
      <c r="D415" s="3" t="str">
        <f ca="1">VLOOKUP($C415,OFFSET([2]characters!$A$1,0,0,COUNTA([2]characters!$A:$A),MATCH(D$1,[2]characters!$1:$1,0)-MATCH($A$1,[2]characters!$1:$1,0)+1),MATCH(D$1,[2]characters!$1:$1,0)-MATCH($A$1,[2]characters!$1:$1,0)+1,FALSE)</f>
        <v>古の暴食 リードシクティス</v>
      </c>
      <c r="E415" s="66">
        <v>111</v>
      </c>
      <c r="F415" s="3" t="str">
        <f ca="1">VLOOKUP($E415,OFFSET([2]characters!$A$1,0,0,COUNTA([2]characters!$A:$A),MATCH(F$1,[2]characters!$1:$1,0)-MATCH($A$1,[2]characters!$1:$1,0)+1),MATCH(F$1,[2]characters!$1:$1,0)-MATCH($A$1,[2]characters!$1:$1,0)+1,FALSE)</f>
        <v>ブルーキャタップ</v>
      </c>
      <c r="G415" s="66">
        <v>1</v>
      </c>
      <c r="H415" s="66">
        <v>1</v>
      </c>
      <c r="I415" s="66">
        <v>1</v>
      </c>
    </row>
    <row r="416" spans="1:9" x14ac:dyDescent="0.15">
      <c r="A416" s="66">
        <v>310</v>
      </c>
      <c r="B416" s="3" t="str">
        <f ca="1">VLOOKUP($A416,OFFSET([2]characters!$A$1,0,0,COUNTA([2]characters!$A:$A),MATCH(B$1,[2]characters!$1:$1,0)-MATCH($A$1,[2]characters!$1:$1,0)+1),MATCH(B$1,[2]characters!$1:$1,0)-MATCH($A$1,[2]characters!$1:$1,0)+1,FALSE)</f>
        <v>リードシクティス</v>
      </c>
      <c r="C416" s="93">
        <f ca="1">VLOOKUP($A416,OFFSET(fork_awake_units!$A$1,0,0,COUNTA(fork_awake_units!$A:$A),MATCH(C$1,fork_awake_units!$1:$1,0)-MATCH($A$1,fork_awake_units!$1:$1,0)+1),MATCH(C$1,fork_awake_units!$1:$1,0)-MATCH($A$1,fork_awake_units!$1:$1,0)+1,FALSE)</f>
        <v>311</v>
      </c>
      <c r="D416" s="3" t="str">
        <f ca="1">VLOOKUP($C416,OFFSET([2]characters!$A$1,0,0,COUNTA([2]characters!$A:$A),MATCH(D$1,[2]characters!$1:$1,0)-MATCH($A$1,[2]characters!$1:$1,0)+1),MATCH(D$1,[2]characters!$1:$1,0)-MATCH($A$1,[2]characters!$1:$1,0)+1,FALSE)</f>
        <v>古の暴食 リードシクティス</v>
      </c>
      <c r="E416" s="66">
        <v>112</v>
      </c>
      <c r="F416" s="3" t="str">
        <f ca="1">VLOOKUP($E416,OFFSET([2]characters!$A$1,0,0,COUNTA([2]characters!$A:$A),MATCH(F$1,[2]characters!$1:$1,0)-MATCH($A$1,[2]characters!$1:$1,0)+1),MATCH(F$1,[2]characters!$1:$1,0)-MATCH($A$1,[2]characters!$1:$1,0)+1,FALSE)</f>
        <v>水のマッドハッター</v>
      </c>
      <c r="G416" s="66">
        <v>1</v>
      </c>
      <c r="H416" s="66">
        <v>1</v>
      </c>
      <c r="I416" s="66">
        <v>1</v>
      </c>
    </row>
    <row r="417" spans="1:9" x14ac:dyDescent="0.15">
      <c r="A417" s="66">
        <v>312</v>
      </c>
      <c r="B417" s="3" t="str">
        <f ca="1">VLOOKUP($A417,OFFSET([2]characters!$A$1,0,0,COUNTA([2]characters!$A:$A),MATCH(B$1,[2]characters!$1:$1,0)-MATCH($A$1,[2]characters!$1:$1,0)+1),MATCH(B$1,[2]characters!$1:$1,0)-MATCH($A$1,[2]characters!$1:$1,0)+1,FALSE)</f>
        <v>アノマロカリス</v>
      </c>
      <c r="C417" s="93">
        <f ca="1">VLOOKUP($A417,OFFSET(fork_awake_units!$A$1,0,0,COUNTA(fork_awake_units!$A:$A),MATCH(C$1,fork_awake_units!$1:$1,0)-MATCH($A$1,fork_awake_units!$1:$1,0)+1),MATCH(C$1,fork_awake_units!$1:$1,0)-MATCH($A$1,fork_awake_units!$1:$1,0)+1,FALSE)</f>
        <v>313</v>
      </c>
      <c r="D417" s="3" t="str">
        <f ca="1">VLOOKUP($C417,OFFSET([2]characters!$A$1,0,0,COUNTA([2]characters!$A:$A),MATCH(D$1,[2]characters!$1:$1,0)-MATCH($A$1,[2]characters!$1:$1,0)+1),MATCH(D$1,[2]characters!$1:$1,0)-MATCH($A$1,[2]characters!$1:$1,0)+1,FALSE)</f>
        <v>古の先鋭 アノマロカリス</v>
      </c>
      <c r="E417" s="66">
        <v>113</v>
      </c>
      <c r="F417" s="3" t="str">
        <f ca="1">VLOOKUP($E417,OFFSET([2]characters!$A$1,0,0,COUNTA([2]characters!$A:$A),MATCH(F$1,[2]characters!$1:$1,0)-MATCH($A$1,[2]characters!$1:$1,0)+1),MATCH(F$1,[2]characters!$1:$1,0)-MATCH($A$1,[2]characters!$1:$1,0)+1,FALSE)</f>
        <v>イエローチェシャ</v>
      </c>
      <c r="G417" s="66">
        <v>1</v>
      </c>
      <c r="H417" s="66">
        <v>1</v>
      </c>
      <c r="I417" s="66">
        <v>1</v>
      </c>
    </row>
    <row r="418" spans="1:9" x14ac:dyDescent="0.15">
      <c r="A418" s="66">
        <v>312</v>
      </c>
      <c r="B418" s="3" t="str">
        <f ca="1">VLOOKUP($A418,OFFSET([2]characters!$A$1,0,0,COUNTA([2]characters!$A:$A),MATCH(B$1,[2]characters!$1:$1,0)-MATCH($A$1,[2]characters!$1:$1,0)+1),MATCH(B$1,[2]characters!$1:$1,0)-MATCH($A$1,[2]characters!$1:$1,0)+1,FALSE)</f>
        <v>アノマロカリス</v>
      </c>
      <c r="C418" s="93">
        <f ca="1">VLOOKUP($A418,OFFSET(fork_awake_units!$A$1,0,0,COUNTA(fork_awake_units!$A:$A),MATCH(C$1,fork_awake_units!$1:$1,0)-MATCH($A$1,fork_awake_units!$1:$1,0)+1),MATCH(C$1,fork_awake_units!$1:$1,0)-MATCH($A$1,fork_awake_units!$1:$1,0)+1,FALSE)</f>
        <v>313</v>
      </c>
      <c r="D418" s="3" t="str">
        <f ca="1">VLOOKUP($C418,OFFSET([2]characters!$A$1,0,0,COUNTA([2]characters!$A:$A),MATCH(D$1,[2]characters!$1:$1,0)-MATCH($A$1,[2]characters!$1:$1,0)+1),MATCH(D$1,[2]characters!$1:$1,0)-MATCH($A$1,[2]characters!$1:$1,0)+1,FALSE)</f>
        <v>古の先鋭 アノマロカリス</v>
      </c>
      <c r="E418" s="66">
        <v>114</v>
      </c>
      <c r="F418" s="3" t="str">
        <f ca="1">VLOOKUP($E418,OFFSET([2]characters!$A$1,0,0,COUNTA([2]characters!$A:$A),MATCH(F$1,[2]characters!$1:$1,0)-MATCH($A$1,[2]characters!$1:$1,0)+1),MATCH(F$1,[2]characters!$1:$1,0)-MATCH($A$1,[2]characters!$1:$1,0)+1,FALSE)</f>
        <v>イエローラビット</v>
      </c>
      <c r="G418" s="66">
        <v>2</v>
      </c>
      <c r="H418" s="66">
        <v>1</v>
      </c>
      <c r="I418" s="66">
        <v>1</v>
      </c>
    </row>
    <row r="419" spans="1:9" x14ac:dyDescent="0.15">
      <c r="A419" s="66">
        <v>312</v>
      </c>
      <c r="B419" s="3" t="str">
        <f ca="1">VLOOKUP($A419,OFFSET([2]characters!$A$1,0,0,COUNTA([2]characters!$A:$A),MATCH(B$1,[2]characters!$1:$1,0)-MATCH($A$1,[2]characters!$1:$1,0)+1),MATCH(B$1,[2]characters!$1:$1,0)-MATCH($A$1,[2]characters!$1:$1,0)+1,FALSE)</f>
        <v>アノマロカリス</v>
      </c>
      <c r="C419" s="93">
        <f ca="1">VLOOKUP($A419,OFFSET(fork_awake_units!$A$1,0,0,COUNTA(fork_awake_units!$A:$A),MATCH(C$1,fork_awake_units!$1:$1,0)-MATCH($A$1,fork_awake_units!$1:$1,0)+1),MATCH(C$1,fork_awake_units!$1:$1,0)-MATCH($A$1,fork_awake_units!$1:$1,0)+1,FALSE)</f>
        <v>313</v>
      </c>
      <c r="D419" s="3" t="str">
        <f ca="1">VLOOKUP($C419,OFFSET([2]characters!$A$1,0,0,COUNTA([2]characters!$A:$A),MATCH(D$1,[2]characters!$1:$1,0)-MATCH($A$1,[2]characters!$1:$1,0)+1),MATCH(D$1,[2]characters!$1:$1,0)-MATCH($A$1,[2]characters!$1:$1,0)+1,FALSE)</f>
        <v>古の先鋭 アノマロカリス</v>
      </c>
      <c r="E419" s="66">
        <v>115</v>
      </c>
      <c r="F419" s="3" t="str">
        <f ca="1">VLOOKUP($E419,OFFSET([2]characters!$A$1,0,0,COUNTA([2]characters!$A:$A),MATCH(F$1,[2]characters!$1:$1,0)-MATCH($A$1,[2]characters!$1:$1,0)+1),MATCH(F$1,[2]characters!$1:$1,0)-MATCH($A$1,[2]characters!$1:$1,0)+1,FALSE)</f>
        <v>イエローキャタップ</v>
      </c>
      <c r="G419" s="66">
        <v>1</v>
      </c>
      <c r="H419" s="66">
        <v>1</v>
      </c>
      <c r="I419" s="66">
        <v>1</v>
      </c>
    </row>
    <row r="420" spans="1:9" x14ac:dyDescent="0.15">
      <c r="A420" s="66">
        <v>312</v>
      </c>
      <c r="B420" s="3" t="str">
        <f ca="1">VLOOKUP($A420,OFFSET([2]characters!$A$1,0,0,COUNTA([2]characters!$A:$A),MATCH(B$1,[2]characters!$1:$1,0)-MATCH($A$1,[2]characters!$1:$1,0)+1),MATCH(B$1,[2]characters!$1:$1,0)-MATCH($A$1,[2]characters!$1:$1,0)+1,FALSE)</f>
        <v>アノマロカリス</v>
      </c>
      <c r="C420" s="93">
        <f ca="1">VLOOKUP($A420,OFFSET(fork_awake_units!$A$1,0,0,COUNTA(fork_awake_units!$A:$A),MATCH(C$1,fork_awake_units!$1:$1,0)-MATCH($A$1,fork_awake_units!$1:$1,0)+1),MATCH(C$1,fork_awake_units!$1:$1,0)-MATCH($A$1,fork_awake_units!$1:$1,0)+1,FALSE)</f>
        <v>313</v>
      </c>
      <c r="D420" s="3" t="str">
        <f ca="1">VLOOKUP($C420,OFFSET([2]characters!$A$1,0,0,COUNTA([2]characters!$A:$A),MATCH(D$1,[2]characters!$1:$1,0)-MATCH($A$1,[2]characters!$1:$1,0)+1),MATCH(D$1,[2]characters!$1:$1,0)-MATCH($A$1,[2]characters!$1:$1,0)+1,FALSE)</f>
        <v>古の先鋭 アノマロカリス</v>
      </c>
      <c r="E420" s="66">
        <v>116</v>
      </c>
      <c r="F420" s="3" t="str">
        <f ca="1">VLOOKUP($E420,OFFSET([2]characters!$A$1,0,0,COUNTA([2]characters!$A:$A),MATCH(F$1,[2]characters!$1:$1,0)-MATCH($A$1,[2]characters!$1:$1,0)+1),MATCH(F$1,[2]characters!$1:$1,0)-MATCH($A$1,[2]characters!$1:$1,0)+1,FALSE)</f>
        <v>雷のマッドハッター</v>
      </c>
      <c r="G420" s="66">
        <v>1</v>
      </c>
      <c r="H420" s="66">
        <v>1</v>
      </c>
      <c r="I420" s="66">
        <v>1</v>
      </c>
    </row>
    <row r="421" spans="1:9" x14ac:dyDescent="0.15">
      <c r="A421" s="66">
        <v>314</v>
      </c>
      <c r="B421" s="3" t="str">
        <f ca="1">VLOOKUP($A421,OFFSET([2]characters!$A$1,0,0,COUNTA([2]characters!$A:$A),MATCH(B$1,[2]characters!$1:$1,0)-MATCH($A$1,[2]characters!$1:$1,0)+1),MATCH(B$1,[2]characters!$1:$1,0)-MATCH($A$1,[2]characters!$1:$1,0)+1,FALSE)</f>
        <v>ジャンヌ</v>
      </c>
      <c r="C421" s="93">
        <f ca="1">VLOOKUP($A421,OFFSET(fork_awake_units!$A$1,0,0,COUNTA(fork_awake_units!$A:$A),MATCH(C$1,fork_awake_units!$1:$1,0)-MATCH($A$1,fork_awake_units!$1:$1,0)+1),MATCH(C$1,fork_awake_units!$1:$1,0)-MATCH($A$1,fork_awake_units!$1:$1,0)+1,FALSE)</f>
        <v>315</v>
      </c>
      <c r="D421" s="3" t="str">
        <f ca="1">VLOOKUP($C421,OFFSET([2]characters!$A$1,0,0,COUNTA([2]characters!$A:$A),MATCH(D$1,[2]characters!$1:$1,0)-MATCH($A$1,[2]characters!$1:$1,0)+1),MATCH(D$1,[2]characters!$1:$1,0)-MATCH($A$1,[2]characters!$1:$1,0)+1,FALSE)</f>
        <v>鉄馬駆る聖女 ジャンヌ</v>
      </c>
      <c r="E421" s="66">
        <v>112</v>
      </c>
      <c r="F421" s="3" t="str">
        <f ca="1">VLOOKUP($E421,OFFSET([2]characters!$A$1,0,0,COUNTA([2]characters!$A:$A),MATCH(F$1,[2]characters!$1:$1,0)-MATCH($A$1,[2]characters!$1:$1,0)+1),MATCH(F$1,[2]characters!$1:$1,0)-MATCH($A$1,[2]characters!$1:$1,0)+1,FALSE)</f>
        <v>水のマッドハッター</v>
      </c>
      <c r="G421" s="66">
        <v>1</v>
      </c>
      <c r="H421" s="66">
        <v>1</v>
      </c>
      <c r="I421" s="66">
        <v>1</v>
      </c>
    </row>
    <row r="422" spans="1:9" x14ac:dyDescent="0.15">
      <c r="A422" s="66">
        <v>314</v>
      </c>
      <c r="B422" s="3" t="str">
        <f ca="1">VLOOKUP($A422,OFFSET([2]characters!$A$1,0,0,COUNTA([2]characters!$A:$A),MATCH(B$1,[2]characters!$1:$1,0)-MATCH($A$1,[2]characters!$1:$1,0)+1),MATCH(B$1,[2]characters!$1:$1,0)-MATCH($A$1,[2]characters!$1:$1,0)+1,FALSE)</f>
        <v>ジャンヌ</v>
      </c>
      <c r="C422" s="93">
        <f ca="1">VLOOKUP($A422,OFFSET(fork_awake_units!$A$1,0,0,COUNTA(fork_awake_units!$A:$A),MATCH(C$1,fork_awake_units!$1:$1,0)-MATCH($A$1,fork_awake_units!$1:$1,0)+1),MATCH(C$1,fork_awake_units!$1:$1,0)-MATCH($A$1,fork_awake_units!$1:$1,0)+1,FALSE)</f>
        <v>315</v>
      </c>
      <c r="D422" s="3" t="str">
        <f ca="1">VLOOKUP($C422,OFFSET([2]characters!$A$1,0,0,COUNTA([2]characters!$A:$A),MATCH(D$1,[2]characters!$1:$1,0)-MATCH($A$1,[2]characters!$1:$1,0)+1),MATCH(D$1,[2]characters!$1:$1,0)-MATCH($A$1,[2]characters!$1:$1,0)+1,FALSE)</f>
        <v>鉄馬駆る聖女 ジャンヌ</v>
      </c>
      <c r="E422" s="66">
        <v>308</v>
      </c>
      <c r="F422" s="3" t="str">
        <f ca="1">VLOOKUP($E422,OFFSET([2]characters!$A$1,0,0,COUNTA([2]characters!$A:$A),MATCH(F$1,[2]characters!$1:$1,0)-MATCH($A$1,[2]characters!$1:$1,0)+1),MATCH(F$1,[2]characters!$1:$1,0)-MATCH($A$1,[2]characters!$1:$1,0)+1,FALSE)</f>
        <v>アーケロン</v>
      </c>
      <c r="G422" s="66">
        <v>2</v>
      </c>
      <c r="H422" s="66">
        <v>1</v>
      </c>
      <c r="I422" s="66">
        <v>1</v>
      </c>
    </row>
    <row r="423" spans="1:9" x14ac:dyDescent="0.15">
      <c r="A423" s="66">
        <v>314</v>
      </c>
      <c r="B423" s="3" t="str">
        <f ca="1">VLOOKUP($A423,OFFSET([2]characters!$A$1,0,0,COUNTA([2]characters!$A:$A),MATCH(B$1,[2]characters!$1:$1,0)-MATCH($A$1,[2]characters!$1:$1,0)+1),MATCH(B$1,[2]characters!$1:$1,0)-MATCH($A$1,[2]characters!$1:$1,0)+1,FALSE)</f>
        <v>ジャンヌ</v>
      </c>
      <c r="C423" s="93">
        <f ca="1">VLOOKUP($A423,OFFSET(fork_awake_units!$A$1,0,0,COUNTA(fork_awake_units!$A:$A),MATCH(C$1,fork_awake_units!$1:$1,0)-MATCH($A$1,fork_awake_units!$1:$1,0)+1),MATCH(C$1,fork_awake_units!$1:$1,0)-MATCH($A$1,fork_awake_units!$1:$1,0)+1,FALSE)</f>
        <v>315</v>
      </c>
      <c r="D423" s="3" t="str">
        <f ca="1">VLOOKUP($C423,OFFSET([2]characters!$A$1,0,0,COUNTA([2]characters!$A:$A),MATCH(D$1,[2]characters!$1:$1,0)-MATCH($A$1,[2]characters!$1:$1,0)+1),MATCH(D$1,[2]characters!$1:$1,0)-MATCH($A$1,[2]characters!$1:$1,0)+1,FALSE)</f>
        <v>鉄馬駆る聖女 ジャンヌ</v>
      </c>
      <c r="E423" s="66">
        <v>310</v>
      </c>
      <c r="F423" s="3" t="str">
        <f ca="1">VLOOKUP($E423,OFFSET([2]characters!$A$1,0,0,COUNTA([2]characters!$A:$A),MATCH(F$1,[2]characters!$1:$1,0)-MATCH($A$1,[2]characters!$1:$1,0)+1),MATCH(F$1,[2]characters!$1:$1,0)-MATCH($A$1,[2]characters!$1:$1,0)+1,FALSE)</f>
        <v>リードシクティス</v>
      </c>
      <c r="G423" s="66">
        <v>2</v>
      </c>
      <c r="H423" s="66">
        <v>1</v>
      </c>
      <c r="I423" s="66">
        <v>1</v>
      </c>
    </row>
    <row r="424" spans="1:9" x14ac:dyDescent="0.15">
      <c r="A424" s="66">
        <v>315</v>
      </c>
      <c r="B424" s="3" t="str">
        <f ca="1">VLOOKUP($A424,OFFSET([2]characters!$A$1,0,0,COUNTA([2]characters!$A:$A),MATCH(B$1,[2]characters!$1:$1,0)-MATCH($A$1,[2]characters!$1:$1,0)+1),MATCH(B$1,[2]characters!$1:$1,0)-MATCH($A$1,[2]characters!$1:$1,0)+1,FALSE)</f>
        <v>鉄馬駆る聖女 ジャンヌ</v>
      </c>
      <c r="C424" s="93">
        <f ca="1">VLOOKUP($A424,OFFSET(fork_awake_units!$A$1,0,0,COUNTA(fork_awake_units!$A:$A),MATCH(C$1,fork_awake_units!$1:$1,0)-MATCH($A$1,fork_awake_units!$1:$1,0)+1),MATCH(C$1,fork_awake_units!$1:$1,0)-MATCH($A$1,fork_awake_units!$1:$1,0)+1,FALSE)</f>
        <v>814</v>
      </c>
      <c r="D424" s="3" t="str">
        <f ca="1">VLOOKUP($C424,OFFSET([2]characters!$A$1,0,0,COUNTA([2]characters!$A:$A),MATCH(D$1,[2]characters!$1:$1,0)-MATCH($A$1,[2]characters!$1:$1,0)+1),MATCH(D$1,[2]characters!$1:$1,0)-MATCH($A$1,[2]characters!$1:$1,0)+1,FALSE)</f>
        <v>戦場疾駆の鋼蹄 ジャンヌ</v>
      </c>
      <c r="E424" s="66">
        <v>111</v>
      </c>
      <c r="F424" s="3" t="str">
        <f ca="1">VLOOKUP($E424,OFFSET([2]characters!$A$1,0,0,COUNTA([2]characters!$A:$A),MATCH(F$1,[2]characters!$1:$1,0)-MATCH($A$1,[2]characters!$1:$1,0)+1),MATCH(F$1,[2]characters!$1:$1,0)-MATCH($A$1,[2]characters!$1:$1,0)+1,FALSE)</f>
        <v>ブルーキャタップ</v>
      </c>
      <c r="G424" s="66">
        <v>1</v>
      </c>
      <c r="H424" s="66">
        <v>1</v>
      </c>
      <c r="I424" s="66">
        <v>1</v>
      </c>
    </row>
    <row r="425" spans="1:9" x14ac:dyDescent="0.15">
      <c r="A425" s="66">
        <v>315</v>
      </c>
      <c r="B425" s="3" t="str">
        <f ca="1">VLOOKUP($A425,OFFSET([2]characters!$A$1,0,0,COUNTA([2]characters!$A:$A),MATCH(B$1,[2]characters!$1:$1,0)-MATCH($A$1,[2]characters!$1:$1,0)+1),MATCH(B$1,[2]characters!$1:$1,0)-MATCH($A$1,[2]characters!$1:$1,0)+1,FALSE)</f>
        <v>鉄馬駆る聖女 ジャンヌ</v>
      </c>
      <c r="C425" s="93">
        <f ca="1">VLOOKUP($A425,OFFSET(fork_awake_units!$A$1,0,0,COUNTA(fork_awake_units!$A:$A),MATCH(C$1,fork_awake_units!$1:$1,0)-MATCH($A$1,fork_awake_units!$1:$1,0)+1),MATCH(C$1,fork_awake_units!$1:$1,0)-MATCH($A$1,fork_awake_units!$1:$1,0)+1,FALSE)</f>
        <v>814</v>
      </c>
      <c r="D425" s="3" t="str">
        <f ca="1">VLOOKUP($C425,OFFSET([2]characters!$A$1,0,0,COUNTA([2]characters!$A:$A),MATCH(D$1,[2]characters!$1:$1,0)-MATCH($A$1,[2]characters!$1:$1,0)+1),MATCH(D$1,[2]characters!$1:$1,0)-MATCH($A$1,[2]characters!$1:$1,0)+1,FALSE)</f>
        <v>戦場疾駆の鋼蹄 ジャンヌ</v>
      </c>
      <c r="E425" s="66">
        <v>112</v>
      </c>
      <c r="F425" s="3" t="str">
        <f ca="1">VLOOKUP($E425,OFFSET([2]characters!$A$1,0,0,COUNTA([2]characters!$A:$A),MATCH(F$1,[2]characters!$1:$1,0)-MATCH($A$1,[2]characters!$1:$1,0)+1),MATCH(F$1,[2]characters!$1:$1,0)-MATCH($A$1,[2]characters!$1:$1,0)+1,FALSE)</f>
        <v>水のマッドハッター</v>
      </c>
      <c r="G425" s="66">
        <v>1</v>
      </c>
      <c r="H425" s="66">
        <v>1</v>
      </c>
      <c r="I425" s="66">
        <v>1</v>
      </c>
    </row>
    <row r="426" spans="1:9" x14ac:dyDescent="0.15">
      <c r="A426" s="66">
        <v>315</v>
      </c>
      <c r="B426" s="3" t="str">
        <f ca="1">VLOOKUP($A426,OFFSET([2]characters!$A$1,0,0,COUNTA([2]characters!$A:$A),MATCH(B$1,[2]characters!$1:$1,0)-MATCH($A$1,[2]characters!$1:$1,0)+1),MATCH(B$1,[2]characters!$1:$1,0)-MATCH($A$1,[2]characters!$1:$1,0)+1,FALSE)</f>
        <v>鉄馬駆る聖女 ジャンヌ</v>
      </c>
      <c r="C426" s="93">
        <f ca="1">VLOOKUP($A426,OFFSET(fork_awake_units!$A$1,0,0,COUNTA(fork_awake_units!$A:$A),MATCH(C$1,fork_awake_units!$1:$1,0)-MATCH($A$1,fork_awake_units!$1:$1,0)+1),MATCH(C$1,fork_awake_units!$1:$1,0)-MATCH($A$1,fork_awake_units!$1:$1,0)+1,FALSE)</f>
        <v>814</v>
      </c>
      <c r="D426" s="3" t="str">
        <f ca="1">VLOOKUP($C426,OFFSET([2]characters!$A$1,0,0,COUNTA([2]characters!$A:$A),MATCH(D$1,[2]characters!$1:$1,0)-MATCH($A$1,[2]characters!$1:$1,0)+1),MATCH(D$1,[2]characters!$1:$1,0)-MATCH($A$1,[2]characters!$1:$1,0)+1,FALSE)</f>
        <v>戦場疾駆の鋼蹄 ジャンヌ</v>
      </c>
      <c r="E426" s="66">
        <v>358</v>
      </c>
      <c r="F426" s="3" t="str">
        <f ca="1">VLOOKUP($E426,OFFSET([2]characters!$A$1,0,0,COUNTA([2]characters!$A:$A),MATCH(F$1,[2]characters!$1:$1,0)-MATCH($A$1,[2]characters!$1:$1,0)+1),MATCH(F$1,[2]characters!$1:$1,0)-MATCH($A$1,[2]characters!$1:$1,0)+1,FALSE)</f>
        <v>深淵の代用ウミガメ</v>
      </c>
      <c r="G426" s="66">
        <v>1</v>
      </c>
      <c r="H426" s="66">
        <v>1</v>
      </c>
      <c r="I426" s="66">
        <v>1</v>
      </c>
    </row>
    <row r="427" spans="1:9" x14ac:dyDescent="0.15">
      <c r="A427" s="66">
        <v>315</v>
      </c>
      <c r="B427" s="3" t="str">
        <f ca="1">VLOOKUP($A427,OFFSET([2]characters!$A$1,0,0,COUNTA([2]characters!$A:$A),MATCH(B$1,[2]characters!$1:$1,0)-MATCH($A$1,[2]characters!$1:$1,0)+1),MATCH(B$1,[2]characters!$1:$1,0)-MATCH($A$1,[2]characters!$1:$1,0)+1,FALSE)</f>
        <v>鉄馬駆る聖女 ジャンヌ</v>
      </c>
      <c r="C427" s="93">
        <f ca="1">VLOOKUP($A427,OFFSET(fork_awake_units!$A$1,0,0,COUNTA(fork_awake_units!$A:$A),MATCH(C$1,fork_awake_units!$1:$1,0)-MATCH($A$1,fork_awake_units!$1:$1,0)+1),MATCH(C$1,fork_awake_units!$1:$1,0)-MATCH($A$1,fork_awake_units!$1:$1,0)+1,FALSE)</f>
        <v>814</v>
      </c>
      <c r="D427" s="3" t="str">
        <f ca="1">VLOOKUP($C427,OFFSET([2]characters!$A$1,0,0,COUNTA([2]characters!$A:$A),MATCH(D$1,[2]characters!$1:$1,0)-MATCH($A$1,[2]characters!$1:$1,0)+1),MATCH(D$1,[2]characters!$1:$1,0)-MATCH($A$1,[2]characters!$1:$1,0)+1,FALSE)</f>
        <v>戦場疾駆の鋼蹄 ジャンヌ</v>
      </c>
      <c r="E427" s="66">
        <v>837</v>
      </c>
      <c r="F427" s="3" t="str">
        <f ca="1">VLOOKUP($E427,OFFSET([2]characters!$A$1,0,0,COUNTA([2]characters!$A:$A),MATCH(F$1,[2]characters!$1:$1,0)-MATCH($A$1,[2]characters!$1:$1,0)+1),MATCH(F$1,[2]characters!$1:$1,0)-MATCH($A$1,[2]characters!$1:$1,0)+1,FALSE)</f>
        <v>リトルハンプティ</v>
      </c>
      <c r="G427" s="66">
        <v>1</v>
      </c>
      <c r="H427" s="66">
        <v>1</v>
      </c>
      <c r="I427" s="66">
        <v>1</v>
      </c>
    </row>
    <row r="428" spans="1:9" x14ac:dyDescent="0.15">
      <c r="A428" s="66">
        <v>316</v>
      </c>
      <c r="B428" s="3" t="str">
        <f ca="1">VLOOKUP($A428,OFFSET([2]characters!$A$1,0,0,COUNTA([2]characters!$A:$A),MATCH(B$1,[2]characters!$1:$1,0)-MATCH($A$1,[2]characters!$1:$1,0)+1),MATCH(B$1,[2]characters!$1:$1,0)-MATCH($A$1,[2]characters!$1:$1,0)+1,FALSE)</f>
        <v>テスラ</v>
      </c>
      <c r="C428" s="93">
        <f ca="1">VLOOKUP($A428,OFFSET(fork_awake_units!$A$1,0,0,COUNTA(fork_awake_units!$A:$A),MATCH(C$1,fork_awake_units!$1:$1,0)-MATCH($A$1,fork_awake_units!$1:$1,0)+1),MATCH(C$1,fork_awake_units!$1:$1,0)-MATCH($A$1,fork_awake_units!$1:$1,0)+1,FALSE)</f>
        <v>317</v>
      </c>
      <c r="D428" s="3" t="str">
        <f ca="1">VLOOKUP($C428,OFFSET([2]characters!$A$1,0,0,COUNTA([2]characters!$A:$A),MATCH(D$1,[2]characters!$1:$1,0)-MATCH($A$1,[2]characters!$1:$1,0)+1),MATCH(D$1,[2]characters!$1:$1,0)-MATCH($A$1,[2]characters!$1:$1,0)+1,FALSE)</f>
        <v>異能の電気師 テスラ</v>
      </c>
      <c r="E428" s="66">
        <v>114</v>
      </c>
      <c r="F428" s="3" t="str">
        <f ca="1">VLOOKUP($E428,OFFSET([2]characters!$A$1,0,0,COUNTA([2]characters!$A:$A),MATCH(F$1,[2]characters!$1:$1,0)-MATCH($A$1,[2]characters!$1:$1,0)+1),MATCH(F$1,[2]characters!$1:$1,0)-MATCH($A$1,[2]characters!$1:$1,0)+1,FALSE)</f>
        <v>イエローラビット</v>
      </c>
      <c r="G428" s="66">
        <v>3</v>
      </c>
      <c r="H428" s="66">
        <v>1</v>
      </c>
      <c r="I428" s="66">
        <v>1</v>
      </c>
    </row>
    <row r="429" spans="1:9" x14ac:dyDescent="0.15">
      <c r="A429" s="66">
        <v>316</v>
      </c>
      <c r="B429" s="3" t="str">
        <f ca="1">VLOOKUP($A429,OFFSET([2]characters!$A$1,0,0,COUNTA([2]characters!$A:$A),MATCH(B$1,[2]characters!$1:$1,0)-MATCH($A$1,[2]characters!$1:$1,0)+1),MATCH(B$1,[2]characters!$1:$1,0)-MATCH($A$1,[2]characters!$1:$1,0)+1,FALSE)</f>
        <v>テスラ</v>
      </c>
      <c r="C429" s="93">
        <f ca="1">VLOOKUP($A429,OFFSET(fork_awake_units!$A$1,0,0,COUNTA(fork_awake_units!$A:$A),MATCH(C$1,fork_awake_units!$1:$1,0)-MATCH($A$1,fork_awake_units!$1:$1,0)+1),MATCH(C$1,fork_awake_units!$1:$1,0)-MATCH($A$1,fork_awake_units!$1:$1,0)+1,FALSE)</f>
        <v>317</v>
      </c>
      <c r="D429" s="3" t="str">
        <f ca="1">VLOOKUP($C429,OFFSET([2]characters!$A$1,0,0,COUNTA([2]characters!$A:$A),MATCH(D$1,[2]characters!$1:$1,0)-MATCH($A$1,[2]characters!$1:$1,0)+1),MATCH(D$1,[2]characters!$1:$1,0)-MATCH($A$1,[2]characters!$1:$1,0)+1,FALSE)</f>
        <v>異能の電気師 テスラ</v>
      </c>
      <c r="E429" s="66">
        <v>115</v>
      </c>
      <c r="F429" s="3" t="str">
        <f ca="1">VLOOKUP($E429,OFFSET([2]characters!$A$1,0,0,COUNTA([2]characters!$A:$A),MATCH(F$1,[2]characters!$1:$1,0)-MATCH($A$1,[2]characters!$1:$1,0)+1),MATCH(F$1,[2]characters!$1:$1,0)-MATCH($A$1,[2]characters!$1:$1,0)+1,FALSE)</f>
        <v>イエローキャタップ</v>
      </c>
      <c r="G429" s="66">
        <v>1</v>
      </c>
      <c r="H429" s="66">
        <v>1</v>
      </c>
      <c r="I429" s="66">
        <v>1</v>
      </c>
    </row>
    <row r="430" spans="1:9" x14ac:dyDescent="0.15">
      <c r="A430" s="66">
        <v>316</v>
      </c>
      <c r="B430" s="3" t="str">
        <f ca="1">VLOOKUP($A430,OFFSET([2]characters!$A$1,0,0,COUNTA([2]characters!$A:$A),MATCH(B$1,[2]characters!$1:$1,0)-MATCH($A$1,[2]characters!$1:$1,0)+1),MATCH(B$1,[2]characters!$1:$1,0)-MATCH($A$1,[2]characters!$1:$1,0)+1,FALSE)</f>
        <v>テスラ</v>
      </c>
      <c r="C430" s="93">
        <f ca="1">VLOOKUP($A430,OFFSET(fork_awake_units!$A$1,0,0,COUNTA(fork_awake_units!$A:$A),MATCH(C$1,fork_awake_units!$1:$1,0)-MATCH($A$1,fork_awake_units!$1:$1,0)+1),MATCH(C$1,fork_awake_units!$1:$1,0)-MATCH($A$1,fork_awake_units!$1:$1,0)+1,FALSE)</f>
        <v>317</v>
      </c>
      <c r="D430" s="3" t="str">
        <f ca="1">VLOOKUP($C430,OFFSET([2]characters!$A$1,0,0,COUNTA([2]characters!$A:$A),MATCH(D$1,[2]characters!$1:$1,0)-MATCH($A$1,[2]characters!$1:$1,0)+1),MATCH(D$1,[2]characters!$1:$1,0)-MATCH($A$1,[2]characters!$1:$1,0)+1,FALSE)</f>
        <v>異能の電気師 テスラ</v>
      </c>
      <c r="E430" s="66">
        <v>116</v>
      </c>
      <c r="F430" s="3" t="str">
        <f ca="1">VLOOKUP($E430,OFFSET([2]characters!$A$1,0,0,COUNTA([2]characters!$A:$A),MATCH(F$1,[2]characters!$1:$1,0)-MATCH($A$1,[2]characters!$1:$1,0)+1),MATCH(F$1,[2]characters!$1:$1,0)-MATCH($A$1,[2]characters!$1:$1,0)+1,FALSE)</f>
        <v>雷のマッドハッター</v>
      </c>
      <c r="G430" s="66">
        <v>1</v>
      </c>
      <c r="H430" s="66">
        <v>1</v>
      </c>
      <c r="I430" s="66">
        <v>1</v>
      </c>
    </row>
    <row r="431" spans="1:9" x14ac:dyDescent="0.15">
      <c r="A431" s="66">
        <v>318</v>
      </c>
      <c r="B431" s="3" t="str">
        <f ca="1">VLOOKUP($A431,OFFSET([2]characters!$A$1,0,0,COUNTA([2]characters!$A:$A),MATCH(B$1,[2]characters!$1:$1,0)-MATCH($A$1,[2]characters!$1:$1,0)+1),MATCH(B$1,[2]characters!$1:$1,0)-MATCH($A$1,[2]characters!$1:$1,0)+1,FALSE)</f>
        <v>シャルル</v>
      </c>
      <c r="C431" s="93">
        <f ca="1">VLOOKUP($A431,OFFSET(fork_awake_units!$A$1,0,0,COUNTA(fork_awake_units!$A:$A),MATCH(C$1,fork_awake_units!$1:$1,0)-MATCH($A$1,fork_awake_units!$1:$1,0)+1),MATCH(C$1,fork_awake_units!$1:$1,0)-MATCH($A$1,fork_awake_units!$1:$1,0)+1,FALSE)</f>
        <v>319</v>
      </c>
      <c r="D431" s="3" t="str">
        <f ca="1">VLOOKUP($C431,OFFSET([2]characters!$A$1,0,0,COUNTA([2]characters!$A:$A),MATCH(D$1,[2]characters!$1:$1,0)-MATCH($A$1,[2]characters!$1:$1,0)+1),MATCH(D$1,[2]characters!$1:$1,0)-MATCH($A$1,[2]characters!$1:$1,0)+1,FALSE)</f>
        <v>夢想の学士 シャルル</v>
      </c>
      <c r="E431" s="66">
        <v>110</v>
      </c>
      <c r="F431" s="3" t="str">
        <f ca="1">VLOOKUP($E431,OFFSET([2]characters!$A$1,0,0,COUNTA([2]characters!$A:$A),MATCH(F$1,[2]characters!$1:$1,0)-MATCH($A$1,[2]characters!$1:$1,0)+1),MATCH(F$1,[2]characters!$1:$1,0)-MATCH($A$1,[2]characters!$1:$1,0)+1,FALSE)</f>
        <v>ブルーラビット</v>
      </c>
      <c r="G431" s="66">
        <v>3</v>
      </c>
      <c r="H431" s="66">
        <v>1</v>
      </c>
      <c r="I431" s="66">
        <v>1</v>
      </c>
    </row>
    <row r="432" spans="1:9" x14ac:dyDescent="0.15">
      <c r="A432" s="66">
        <v>318</v>
      </c>
      <c r="B432" s="3" t="str">
        <f ca="1">VLOOKUP($A432,OFFSET([2]characters!$A$1,0,0,COUNTA([2]characters!$A:$A),MATCH(B$1,[2]characters!$1:$1,0)-MATCH($A$1,[2]characters!$1:$1,0)+1),MATCH(B$1,[2]characters!$1:$1,0)-MATCH($A$1,[2]characters!$1:$1,0)+1,FALSE)</f>
        <v>シャルル</v>
      </c>
      <c r="C432" s="93">
        <f ca="1">VLOOKUP($A432,OFFSET(fork_awake_units!$A$1,0,0,COUNTA(fork_awake_units!$A:$A),MATCH(C$1,fork_awake_units!$1:$1,0)-MATCH($A$1,fork_awake_units!$1:$1,0)+1),MATCH(C$1,fork_awake_units!$1:$1,0)-MATCH($A$1,fork_awake_units!$1:$1,0)+1,FALSE)</f>
        <v>319</v>
      </c>
      <c r="D432" s="3" t="str">
        <f ca="1">VLOOKUP($C432,OFFSET([2]characters!$A$1,0,0,COUNTA([2]characters!$A:$A),MATCH(D$1,[2]characters!$1:$1,0)-MATCH($A$1,[2]characters!$1:$1,0)+1),MATCH(D$1,[2]characters!$1:$1,0)-MATCH($A$1,[2]characters!$1:$1,0)+1,FALSE)</f>
        <v>夢想の学士 シャルル</v>
      </c>
      <c r="E432" s="66">
        <v>111</v>
      </c>
      <c r="F432" s="3" t="str">
        <f ca="1">VLOOKUP($E432,OFFSET([2]characters!$A$1,0,0,COUNTA([2]characters!$A:$A),MATCH(F$1,[2]characters!$1:$1,0)-MATCH($A$1,[2]characters!$1:$1,0)+1),MATCH(F$1,[2]characters!$1:$1,0)-MATCH($A$1,[2]characters!$1:$1,0)+1,FALSE)</f>
        <v>ブルーキャタップ</v>
      </c>
      <c r="G432" s="66">
        <v>1</v>
      </c>
      <c r="H432" s="66">
        <v>1</v>
      </c>
      <c r="I432" s="66">
        <v>1</v>
      </c>
    </row>
    <row r="433" spans="1:9" x14ac:dyDescent="0.15">
      <c r="A433" s="66">
        <v>318</v>
      </c>
      <c r="B433" s="3" t="str">
        <f ca="1">VLOOKUP($A433,OFFSET([2]characters!$A$1,0,0,COUNTA([2]characters!$A:$A),MATCH(B$1,[2]characters!$1:$1,0)-MATCH($A$1,[2]characters!$1:$1,0)+1),MATCH(B$1,[2]characters!$1:$1,0)-MATCH($A$1,[2]characters!$1:$1,0)+1,FALSE)</f>
        <v>シャルル</v>
      </c>
      <c r="C433" s="93">
        <f ca="1">VLOOKUP($A433,OFFSET(fork_awake_units!$A$1,0,0,COUNTA(fork_awake_units!$A:$A),MATCH(C$1,fork_awake_units!$1:$1,0)-MATCH($A$1,fork_awake_units!$1:$1,0)+1),MATCH(C$1,fork_awake_units!$1:$1,0)-MATCH($A$1,fork_awake_units!$1:$1,0)+1,FALSE)</f>
        <v>319</v>
      </c>
      <c r="D433" s="3" t="str">
        <f ca="1">VLOOKUP($C433,OFFSET([2]characters!$A$1,0,0,COUNTA([2]characters!$A:$A),MATCH(D$1,[2]characters!$1:$1,0)-MATCH($A$1,[2]characters!$1:$1,0)+1),MATCH(D$1,[2]characters!$1:$1,0)-MATCH($A$1,[2]characters!$1:$1,0)+1,FALSE)</f>
        <v>夢想の学士 シャルル</v>
      </c>
      <c r="E433" s="66">
        <v>112</v>
      </c>
      <c r="F433" s="3" t="str">
        <f ca="1">VLOOKUP($E433,OFFSET([2]characters!$A$1,0,0,COUNTA([2]characters!$A:$A),MATCH(F$1,[2]characters!$1:$1,0)-MATCH($A$1,[2]characters!$1:$1,0)+1),MATCH(F$1,[2]characters!$1:$1,0)-MATCH($A$1,[2]characters!$1:$1,0)+1,FALSE)</f>
        <v>水のマッドハッター</v>
      </c>
      <c r="G433" s="66">
        <v>1</v>
      </c>
      <c r="H433" s="66">
        <v>1</v>
      </c>
      <c r="I433" s="66">
        <v>1</v>
      </c>
    </row>
    <row r="434" spans="1:9" x14ac:dyDescent="0.15">
      <c r="A434" s="66">
        <v>320</v>
      </c>
      <c r="B434" s="3" t="str">
        <f ca="1">VLOOKUP($A434,OFFSET([2]characters!$A$1,0,0,COUNTA([2]characters!$A:$A),MATCH(B$1,[2]characters!$1:$1,0)-MATCH($A$1,[2]characters!$1:$1,0)+1),MATCH(B$1,[2]characters!$1:$1,0)-MATCH($A$1,[2]characters!$1:$1,0)+1,FALSE)</f>
        <v>烈志士 近藤勇</v>
      </c>
      <c r="C434" s="93">
        <f ca="1">VLOOKUP($A434,OFFSET(fork_awake_units!$A$1,0,0,COUNTA(fork_awake_units!$A:$A),MATCH(C$1,fork_awake_units!$1:$1,0)-MATCH($A$1,fork_awake_units!$1:$1,0)+1),MATCH(C$1,fork_awake_units!$1:$1,0)-MATCH($A$1,fork_awake_units!$1:$1,0)+1,FALSE)</f>
        <v>321</v>
      </c>
      <c r="D434" s="3" t="str">
        <f ca="1">VLOOKUP($C434,OFFSET([2]characters!$A$1,0,0,COUNTA([2]characters!$A:$A),MATCH(D$1,[2]characters!$1:$1,0)-MATCH($A$1,[2]characters!$1:$1,0)+1),MATCH(D$1,[2]characters!$1:$1,0)-MATCH($A$1,[2]characters!$1:$1,0)+1,FALSE)</f>
        <v>巌鉄の烈志士 近藤勇</v>
      </c>
      <c r="E434" s="66">
        <v>86</v>
      </c>
      <c r="F434" s="3" t="str">
        <f ca="1">VLOOKUP($E434,OFFSET([2]characters!$A$1,0,0,COUNTA([2]characters!$A:$A),MATCH(F$1,[2]characters!$1:$1,0)-MATCH($A$1,[2]characters!$1:$1,0)+1),MATCH(F$1,[2]characters!$1:$1,0)-MATCH($A$1,[2]characters!$1:$1,0)+1,FALSE)</f>
        <v>守護者 朱雀</v>
      </c>
      <c r="G434" s="66">
        <v>1</v>
      </c>
      <c r="H434" s="66">
        <v>1</v>
      </c>
      <c r="I434" s="66">
        <v>1</v>
      </c>
    </row>
    <row r="435" spans="1:9" x14ac:dyDescent="0.15">
      <c r="A435" s="66">
        <v>320</v>
      </c>
      <c r="B435" s="3" t="str">
        <f ca="1">VLOOKUP($A435,OFFSET([2]characters!$A$1,0,0,COUNTA([2]characters!$A:$A),MATCH(B$1,[2]characters!$1:$1,0)-MATCH($A$1,[2]characters!$1:$1,0)+1),MATCH(B$1,[2]characters!$1:$1,0)-MATCH($A$1,[2]characters!$1:$1,0)+1,FALSE)</f>
        <v>烈志士 近藤勇</v>
      </c>
      <c r="C435" s="93">
        <f ca="1">VLOOKUP($A435,OFFSET(fork_awake_units!$A$1,0,0,COUNTA(fork_awake_units!$A:$A),MATCH(C$1,fork_awake_units!$1:$1,0)-MATCH($A$1,fork_awake_units!$1:$1,0)+1),MATCH(C$1,fork_awake_units!$1:$1,0)-MATCH($A$1,fork_awake_units!$1:$1,0)+1,FALSE)</f>
        <v>321</v>
      </c>
      <c r="D435" s="3" t="str">
        <f ca="1">VLOOKUP($C435,OFFSET([2]characters!$A$1,0,0,COUNTA([2]characters!$A:$A),MATCH(D$1,[2]characters!$1:$1,0)-MATCH($A$1,[2]characters!$1:$1,0)+1),MATCH(D$1,[2]characters!$1:$1,0)-MATCH($A$1,[2]characters!$1:$1,0)+1,FALSE)</f>
        <v>巌鉄の烈志士 近藤勇</v>
      </c>
      <c r="E435" s="66">
        <v>102</v>
      </c>
      <c r="F435" s="3" t="str">
        <f ca="1">VLOOKUP($E435,OFFSET([2]characters!$A$1,0,0,COUNTA([2]characters!$A:$A),MATCH(F$1,[2]characters!$1:$1,0)-MATCH($A$1,[2]characters!$1:$1,0)+1),MATCH(F$1,[2]characters!$1:$1,0)-MATCH($A$1,[2]characters!$1:$1,0)+1,FALSE)</f>
        <v>レッドラビット</v>
      </c>
      <c r="G435" s="66">
        <v>1</v>
      </c>
      <c r="H435" s="66">
        <v>1</v>
      </c>
      <c r="I435" s="66">
        <v>1</v>
      </c>
    </row>
    <row r="436" spans="1:9" x14ac:dyDescent="0.15">
      <c r="A436" s="66">
        <v>320</v>
      </c>
      <c r="B436" s="3" t="str">
        <f ca="1">VLOOKUP($A436,OFFSET([2]characters!$A$1,0,0,COUNTA([2]characters!$A:$A),MATCH(B$1,[2]characters!$1:$1,0)-MATCH($A$1,[2]characters!$1:$1,0)+1),MATCH(B$1,[2]characters!$1:$1,0)-MATCH($A$1,[2]characters!$1:$1,0)+1,FALSE)</f>
        <v>烈志士 近藤勇</v>
      </c>
      <c r="C436" s="93">
        <f ca="1">VLOOKUP($A436,OFFSET(fork_awake_units!$A$1,0,0,COUNTA(fork_awake_units!$A:$A),MATCH(C$1,fork_awake_units!$1:$1,0)-MATCH($A$1,fork_awake_units!$1:$1,0)+1),MATCH(C$1,fork_awake_units!$1:$1,0)-MATCH($A$1,fork_awake_units!$1:$1,0)+1,FALSE)</f>
        <v>321</v>
      </c>
      <c r="D436" s="3" t="str">
        <f ca="1">VLOOKUP($C436,OFFSET([2]characters!$A$1,0,0,COUNTA([2]characters!$A:$A),MATCH(D$1,[2]characters!$1:$1,0)-MATCH($A$1,[2]characters!$1:$1,0)+1),MATCH(D$1,[2]characters!$1:$1,0)-MATCH($A$1,[2]characters!$1:$1,0)+1,FALSE)</f>
        <v>巌鉄の烈志士 近藤勇</v>
      </c>
      <c r="E436" s="66">
        <v>103</v>
      </c>
      <c r="F436" s="3" t="str">
        <f ca="1">VLOOKUP($E436,OFFSET([2]characters!$A$1,0,0,COUNTA([2]characters!$A:$A),MATCH(F$1,[2]characters!$1:$1,0)-MATCH($A$1,[2]characters!$1:$1,0)+1),MATCH(F$1,[2]characters!$1:$1,0)-MATCH($A$1,[2]characters!$1:$1,0)+1,FALSE)</f>
        <v>レッドキャタップ</v>
      </c>
      <c r="G436" s="66">
        <v>1</v>
      </c>
      <c r="H436" s="66">
        <v>1</v>
      </c>
      <c r="I436" s="66">
        <v>1</v>
      </c>
    </row>
    <row r="437" spans="1:9" x14ac:dyDescent="0.15">
      <c r="A437" s="66">
        <v>320</v>
      </c>
      <c r="B437" s="3" t="str">
        <f ca="1">VLOOKUP($A437,OFFSET([2]characters!$A$1,0,0,COUNTA([2]characters!$A:$A),MATCH(B$1,[2]characters!$1:$1,0)-MATCH($A$1,[2]characters!$1:$1,0)+1),MATCH(B$1,[2]characters!$1:$1,0)-MATCH($A$1,[2]characters!$1:$1,0)+1,FALSE)</f>
        <v>烈志士 近藤勇</v>
      </c>
      <c r="C437" s="93">
        <f ca="1">VLOOKUP($A437,OFFSET(fork_awake_units!$A$1,0,0,COUNTA(fork_awake_units!$A:$A),MATCH(C$1,fork_awake_units!$1:$1,0)-MATCH($A$1,fork_awake_units!$1:$1,0)+1),MATCH(C$1,fork_awake_units!$1:$1,0)-MATCH($A$1,fork_awake_units!$1:$1,0)+1,FALSE)</f>
        <v>321</v>
      </c>
      <c r="D437" s="3" t="str">
        <f ca="1">VLOOKUP($C437,OFFSET([2]characters!$A$1,0,0,COUNTA([2]characters!$A:$A),MATCH(D$1,[2]characters!$1:$1,0)-MATCH($A$1,[2]characters!$1:$1,0)+1),MATCH(D$1,[2]characters!$1:$1,0)-MATCH($A$1,[2]characters!$1:$1,0)+1,FALSE)</f>
        <v>巌鉄の烈志士 近藤勇</v>
      </c>
      <c r="E437" s="66">
        <v>104</v>
      </c>
      <c r="F437" s="3" t="str">
        <f ca="1">VLOOKUP($E437,OFFSET([2]characters!$A$1,0,0,COUNTA([2]characters!$A:$A),MATCH(F$1,[2]characters!$1:$1,0)-MATCH($A$1,[2]characters!$1:$1,0)+1),MATCH(F$1,[2]characters!$1:$1,0)-MATCH($A$1,[2]characters!$1:$1,0)+1,FALSE)</f>
        <v>炎のマッドハッター</v>
      </c>
      <c r="G437" s="66">
        <v>2</v>
      </c>
      <c r="H437" s="66">
        <v>1</v>
      </c>
      <c r="I437" s="66">
        <v>1</v>
      </c>
    </row>
    <row r="438" spans="1:9" x14ac:dyDescent="0.15">
      <c r="A438" s="66">
        <v>322</v>
      </c>
      <c r="B438" s="3" t="str">
        <f ca="1">VLOOKUP($A438,OFFSET([2]characters!$A$1,0,0,COUNTA([2]characters!$A:$A),MATCH(B$1,[2]characters!$1:$1,0)-MATCH($A$1,[2]characters!$1:$1,0)+1),MATCH(B$1,[2]characters!$1:$1,0)-MATCH($A$1,[2]characters!$1:$1,0)+1,FALSE)</f>
        <v>愛志士 土方歳三</v>
      </c>
      <c r="C438" s="93">
        <f ca="1">VLOOKUP($A438,OFFSET(fork_awake_units!$A$1,0,0,COUNTA(fork_awake_units!$A:$A),MATCH(C$1,fork_awake_units!$1:$1,0)-MATCH($A$1,fork_awake_units!$1:$1,0)+1),MATCH(C$1,fork_awake_units!$1:$1,0)-MATCH($A$1,fork_awake_units!$1:$1,0)+1,FALSE)</f>
        <v>323</v>
      </c>
      <c r="D438" s="3" t="str">
        <f ca="1">VLOOKUP($C438,OFFSET([2]characters!$A$1,0,0,COUNTA([2]characters!$A:$A),MATCH(D$1,[2]characters!$1:$1,0)-MATCH($A$1,[2]characters!$1:$1,0)+1),MATCH(D$1,[2]characters!$1:$1,0)-MATCH($A$1,[2]characters!$1:$1,0)+1,FALSE)</f>
        <v>流麗の愛志士 土方歳三</v>
      </c>
      <c r="E438" s="66">
        <v>89</v>
      </c>
      <c r="F438" s="3" t="str">
        <f ca="1">VLOOKUP($E438,OFFSET([2]characters!$A$1,0,0,COUNTA([2]characters!$A:$A),MATCH(F$1,[2]characters!$1:$1,0)-MATCH($A$1,[2]characters!$1:$1,0)+1),MATCH(F$1,[2]characters!$1:$1,0)-MATCH($A$1,[2]characters!$1:$1,0)+1,FALSE)</f>
        <v>守護者 玄武</v>
      </c>
      <c r="G438" s="66">
        <v>1</v>
      </c>
      <c r="H438" s="66">
        <v>1</v>
      </c>
      <c r="I438" s="66">
        <v>1</v>
      </c>
    </row>
    <row r="439" spans="1:9" x14ac:dyDescent="0.15">
      <c r="A439" s="66">
        <v>322</v>
      </c>
      <c r="B439" s="3" t="str">
        <f ca="1">VLOOKUP($A439,OFFSET([2]characters!$A$1,0,0,COUNTA([2]characters!$A:$A),MATCH(B$1,[2]characters!$1:$1,0)-MATCH($A$1,[2]characters!$1:$1,0)+1),MATCH(B$1,[2]characters!$1:$1,0)-MATCH($A$1,[2]characters!$1:$1,0)+1,FALSE)</f>
        <v>愛志士 土方歳三</v>
      </c>
      <c r="C439" s="93">
        <f ca="1">VLOOKUP($A439,OFFSET(fork_awake_units!$A$1,0,0,COUNTA(fork_awake_units!$A:$A),MATCH(C$1,fork_awake_units!$1:$1,0)-MATCH($A$1,fork_awake_units!$1:$1,0)+1),MATCH(C$1,fork_awake_units!$1:$1,0)-MATCH($A$1,fork_awake_units!$1:$1,0)+1,FALSE)</f>
        <v>323</v>
      </c>
      <c r="D439" s="3" t="str">
        <f ca="1">VLOOKUP($C439,OFFSET([2]characters!$A$1,0,0,COUNTA([2]characters!$A:$A),MATCH(D$1,[2]characters!$1:$1,0)-MATCH($A$1,[2]characters!$1:$1,0)+1),MATCH(D$1,[2]characters!$1:$1,0)-MATCH($A$1,[2]characters!$1:$1,0)+1,FALSE)</f>
        <v>流麗の愛志士 土方歳三</v>
      </c>
      <c r="E439" s="66">
        <v>106</v>
      </c>
      <c r="F439" s="3" t="str">
        <f ca="1">VLOOKUP($E439,OFFSET([2]characters!$A$1,0,0,COUNTA([2]characters!$A:$A),MATCH(F$1,[2]characters!$1:$1,0)-MATCH($A$1,[2]characters!$1:$1,0)+1),MATCH(F$1,[2]characters!$1:$1,0)-MATCH($A$1,[2]characters!$1:$1,0)+1,FALSE)</f>
        <v>グリーンラビット</v>
      </c>
      <c r="G439" s="66">
        <v>1</v>
      </c>
      <c r="H439" s="66">
        <v>1</v>
      </c>
      <c r="I439" s="66">
        <v>1</v>
      </c>
    </row>
    <row r="440" spans="1:9" x14ac:dyDescent="0.15">
      <c r="A440" s="66">
        <v>322</v>
      </c>
      <c r="B440" s="3" t="str">
        <f ca="1">VLOOKUP($A440,OFFSET([2]characters!$A$1,0,0,COUNTA([2]characters!$A:$A),MATCH(B$1,[2]characters!$1:$1,0)-MATCH($A$1,[2]characters!$1:$1,0)+1),MATCH(B$1,[2]characters!$1:$1,0)-MATCH($A$1,[2]characters!$1:$1,0)+1,FALSE)</f>
        <v>愛志士 土方歳三</v>
      </c>
      <c r="C440" s="93">
        <f ca="1">VLOOKUP($A440,OFFSET(fork_awake_units!$A$1,0,0,COUNTA(fork_awake_units!$A:$A),MATCH(C$1,fork_awake_units!$1:$1,0)-MATCH($A$1,fork_awake_units!$1:$1,0)+1),MATCH(C$1,fork_awake_units!$1:$1,0)-MATCH($A$1,fork_awake_units!$1:$1,0)+1,FALSE)</f>
        <v>323</v>
      </c>
      <c r="D440" s="3" t="str">
        <f ca="1">VLOOKUP($C440,OFFSET([2]characters!$A$1,0,0,COUNTA([2]characters!$A:$A),MATCH(D$1,[2]characters!$1:$1,0)-MATCH($A$1,[2]characters!$1:$1,0)+1),MATCH(D$1,[2]characters!$1:$1,0)-MATCH($A$1,[2]characters!$1:$1,0)+1,FALSE)</f>
        <v>流麗の愛志士 土方歳三</v>
      </c>
      <c r="E440" s="66">
        <v>107</v>
      </c>
      <c r="F440" s="3" t="str">
        <f ca="1">VLOOKUP($E440,OFFSET([2]characters!$A$1,0,0,COUNTA([2]characters!$A:$A),MATCH(F$1,[2]characters!$1:$1,0)-MATCH($A$1,[2]characters!$1:$1,0)+1),MATCH(F$1,[2]characters!$1:$1,0)-MATCH($A$1,[2]characters!$1:$1,0)+1,FALSE)</f>
        <v>グリーンキャタップ</v>
      </c>
      <c r="G440" s="66">
        <v>1</v>
      </c>
      <c r="H440" s="66">
        <v>1</v>
      </c>
      <c r="I440" s="66">
        <v>1</v>
      </c>
    </row>
    <row r="441" spans="1:9" x14ac:dyDescent="0.15">
      <c r="A441" s="66">
        <v>322</v>
      </c>
      <c r="B441" s="3" t="str">
        <f ca="1">VLOOKUP($A441,OFFSET([2]characters!$A$1,0,0,COUNTA([2]characters!$A:$A),MATCH(B$1,[2]characters!$1:$1,0)-MATCH($A$1,[2]characters!$1:$1,0)+1),MATCH(B$1,[2]characters!$1:$1,0)-MATCH($A$1,[2]characters!$1:$1,0)+1,FALSE)</f>
        <v>愛志士 土方歳三</v>
      </c>
      <c r="C441" s="93">
        <f ca="1">VLOOKUP($A441,OFFSET(fork_awake_units!$A$1,0,0,COUNTA(fork_awake_units!$A:$A),MATCH(C$1,fork_awake_units!$1:$1,0)-MATCH($A$1,fork_awake_units!$1:$1,0)+1),MATCH(C$1,fork_awake_units!$1:$1,0)-MATCH($A$1,fork_awake_units!$1:$1,0)+1,FALSE)</f>
        <v>323</v>
      </c>
      <c r="D441" s="3" t="str">
        <f ca="1">VLOOKUP($C441,OFFSET([2]characters!$A$1,0,0,COUNTA([2]characters!$A:$A),MATCH(D$1,[2]characters!$1:$1,0)-MATCH($A$1,[2]characters!$1:$1,0)+1),MATCH(D$1,[2]characters!$1:$1,0)-MATCH($A$1,[2]characters!$1:$1,0)+1,FALSE)</f>
        <v>流麗の愛志士 土方歳三</v>
      </c>
      <c r="E441" s="66">
        <v>108</v>
      </c>
      <c r="F441" s="3" t="str">
        <f ca="1">VLOOKUP($E441,OFFSET([2]characters!$A$1,0,0,COUNTA([2]characters!$A:$A),MATCH(F$1,[2]characters!$1:$1,0)-MATCH($A$1,[2]characters!$1:$1,0)+1),MATCH(F$1,[2]characters!$1:$1,0)-MATCH($A$1,[2]characters!$1:$1,0)+1,FALSE)</f>
        <v>森のマッドハッター</v>
      </c>
      <c r="G441" s="66">
        <v>2</v>
      </c>
      <c r="H441" s="66">
        <v>1</v>
      </c>
      <c r="I441" s="66">
        <v>1</v>
      </c>
    </row>
    <row r="442" spans="1:9" x14ac:dyDescent="0.15">
      <c r="A442" s="66">
        <v>324</v>
      </c>
      <c r="B442" s="3" t="str">
        <f ca="1">VLOOKUP($A442,OFFSET([2]characters!$A$1,0,0,COUNTA([2]characters!$A:$A),MATCH(B$1,[2]characters!$1:$1,0)-MATCH($A$1,[2]characters!$1:$1,0)+1),MATCH(B$1,[2]characters!$1:$1,0)-MATCH($A$1,[2]characters!$1:$1,0)+1,FALSE)</f>
        <v>凛志士 沖田総司</v>
      </c>
      <c r="C442" s="93">
        <f ca="1">VLOOKUP($A442,OFFSET(fork_awake_units!$A$1,0,0,COUNTA(fork_awake_units!$A:$A),MATCH(C$1,fork_awake_units!$1:$1,0)-MATCH($A$1,fork_awake_units!$1:$1,0)+1),MATCH(C$1,fork_awake_units!$1:$1,0)-MATCH($A$1,fork_awake_units!$1:$1,0)+1,FALSE)</f>
        <v>325</v>
      </c>
      <c r="D442" s="3" t="str">
        <f ca="1">VLOOKUP($C442,OFFSET([2]characters!$A$1,0,0,COUNTA([2]characters!$A:$A),MATCH(D$1,[2]characters!$1:$1,0)-MATCH($A$1,[2]characters!$1:$1,0)+1),MATCH(D$1,[2]characters!$1:$1,0)-MATCH($A$1,[2]characters!$1:$1,0)+1,FALSE)</f>
        <v>天賦の凛志士 沖田総司</v>
      </c>
      <c r="E442" s="66">
        <v>92</v>
      </c>
      <c r="F442" s="3" t="str">
        <f ca="1">VLOOKUP($E442,OFFSET([2]characters!$A$1,0,0,COUNTA([2]characters!$A:$A),MATCH(F$1,[2]characters!$1:$1,0)-MATCH($A$1,[2]characters!$1:$1,0)+1),MATCH(F$1,[2]characters!$1:$1,0)-MATCH($A$1,[2]characters!$1:$1,0)+1,FALSE)</f>
        <v>守護者 青龍</v>
      </c>
      <c r="G442" s="66">
        <v>1</v>
      </c>
      <c r="H442" s="66">
        <v>1</v>
      </c>
      <c r="I442" s="66">
        <v>1</v>
      </c>
    </row>
    <row r="443" spans="1:9" x14ac:dyDescent="0.15">
      <c r="A443" s="66">
        <v>324</v>
      </c>
      <c r="B443" s="3" t="str">
        <f ca="1">VLOOKUP($A443,OFFSET([2]characters!$A$1,0,0,COUNTA([2]characters!$A:$A),MATCH(B$1,[2]characters!$1:$1,0)-MATCH($A$1,[2]characters!$1:$1,0)+1),MATCH(B$1,[2]characters!$1:$1,0)-MATCH($A$1,[2]characters!$1:$1,0)+1,FALSE)</f>
        <v>凛志士 沖田総司</v>
      </c>
      <c r="C443" s="93">
        <f ca="1">VLOOKUP($A443,OFFSET(fork_awake_units!$A$1,0,0,COUNTA(fork_awake_units!$A:$A),MATCH(C$1,fork_awake_units!$1:$1,0)-MATCH($A$1,fork_awake_units!$1:$1,0)+1),MATCH(C$1,fork_awake_units!$1:$1,0)-MATCH($A$1,fork_awake_units!$1:$1,0)+1,FALSE)</f>
        <v>325</v>
      </c>
      <c r="D443" s="3" t="str">
        <f ca="1">VLOOKUP($C443,OFFSET([2]characters!$A$1,0,0,COUNTA([2]characters!$A:$A),MATCH(D$1,[2]characters!$1:$1,0)-MATCH($A$1,[2]characters!$1:$1,0)+1),MATCH(D$1,[2]characters!$1:$1,0)-MATCH($A$1,[2]characters!$1:$1,0)+1,FALSE)</f>
        <v>天賦の凛志士 沖田総司</v>
      </c>
      <c r="E443" s="66">
        <v>110</v>
      </c>
      <c r="F443" s="3" t="str">
        <f ca="1">VLOOKUP($E443,OFFSET([2]characters!$A$1,0,0,COUNTA([2]characters!$A:$A),MATCH(F$1,[2]characters!$1:$1,0)-MATCH($A$1,[2]characters!$1:$1,0)+1),MATCH(F$1,[2]characters!$1:$1,0)-MATCH($A$1,[2]characters!$1:$1,0)+1,FALSE)</f>
        <v>ブルーラビット</v>
      </c>
      <c r="G443" s="66">
        <v>1</v>
      </c>
      <c r="H443" s="66">
        <v>1</v>
      </c>
      <c r="I443" s="66">
        <v>1</v>
      </c>
    </row>
    <row r="444" spans="1:9" x14ac:dyDescent="0.15">
      <c r="A444" s="66">
        <v>324</v>
      </c>
      <c r="B444" s="3" t="str">
        <f ca="1">VLOOKUP($A444,OFFSET([2]characters!$A$1,0,0,COUNTA([2]characters!$A:$A),MATCH(B$1,[2]characters!$1:$1,0)-MATCH($A$1,[2]characters!$1:$1,0)+1),MATCH(B$1,[2]characters!$1:$1,0)-MATCH($A$1,[2]characters!$1:$1,0)+1,FALSE)</f>
        <v>凛志士 沖田総司</v>
      </c>
      <c r="C444" s="93">
        <f ca="1">VLOOKUP($A444,OFFSET(fork_awake_units!$A$1,0,0,COUNTA(fork_awake_units!$A:$A),MATCH(C$1,fork_awake_units!$1:$1,0)-MATCH($A$1,fork_awake_units!$1:$1,0)+1),MATCH(C$1,fork_awake_units!$1:$1,0)-MATCH($A$1,fork_awake_units!$1:$1,0)+1,FALSE)</f>
        <v>325</v>
      </c>
      <c r="D444" s="3" t="str">
        <f ca="1">VLOOKUP($C444,OFFSET([2]characters!$A$1,0,0,COUNTA([2]characters!$A:$A),MATCH(D$1,[2]characters!$1:$1,0)-MATCH($A$1,[2]characters!$1:$1,0)+1),MATCH(D$1,[2]characters!$1:$1,0)-MATCH($A$1,[2]characters!$1:$1,0)+1,FALSE)</f>
        <v>天賦の凛志士 沖田総司</v>
      </c>
      <c r="E444" s="66">
        <v>111</v>
      </c>
      <c r="F444" s="3" t="str">
        <f ca="1">VLOOKUP($E444,OFFSET([2]characters!$A$1,0,0,COUNTA([2]characters!$A:$A),MATCH(F$1,[2]characters!$1:$1,0)-MATCH($A$1,[2]characters!$1:$1,0)+1),MATCH(F$1,[2]characters!$1:$1,0)-MATCH($A$1,[2]characters!$1:$1,0)+1,FALSE)</f>
        <v>ブルーキャタップ</v>
      </c>
      <c r="G444" s="66">
        <v>1</v>
      </c>
      <c r="H444" s="66">
        <v>1</v>
      </c>
      <c r="I444" s="66">
        <v>1</v>
      </c>
    </row>
    <row r="445" spans="1:9" x14ac:dyDescent="0.15">
      <c r="A445" s="66">
        <v>324</v>
      </c>
      <c r="B445" s="3" t="str">
        <f ca="1">VLOOKUP($A445,OFFSET([2]characters!$A$1,0,0,COUNTA([2]characters!$A:$A),MATCH(B$1,[2]characters!$1:$1,0)-MATCH($A$1,[2]characters!$1:$1,0)+1),MATCH(B$1,[2]characters!$1:$1,0)-MATCH($A$1,[2]characters!$1:$1,0)+1,FALSE)</f>
        <v>凛志士 沖田総司</v>
      </c>
      <c r="C445" s="93">
        <f ca="1">VLOOKUP($A445,OFFSET(fork_awake_units!$A$1,0,0,COUNTA(fork_awake_units!$A:$A),MATCH(C$1,fork_awake_units!$1:$1,0)-MATCH($A$1,fork_awake_units!$1:$1,0)+1),MATCH(C$1,fork_awake_units!$1:$1,0)-MATCH($A$1,fork_awake_units!$1:$1,0)+1,FALSE)</f>
        <v>325</v>
      </c>
      <c r="D445" s="3" t="str">
        <f ca="1">VLOOKUP($C445,OFFSET([2]characters!$A$1,0,0,COUNTA([2]characters!$A:$A),MATCH(D$1,[2]characters!$1:$1,0)-MATCH($A$1,[2]characters!$1:$1,0)+1),MATCH(D$1,[2]characters!$1:$1,0)-MATCH($A$1,[2]characters!$1:$1,0)+1,FALSE)</f>
        <v>天賦の凛志士 沖田総司</v>
      </c>
      <c r="E445" s="66">
        <v>112</v>
      </c>
      <c r="F445" s="3" t="str">
        <f ca="1">VLOOKUP($E445,OFFSET([2]characters!$A$1,0,0,COUNTA([2]characters!$A:$A),MATCH(F$1,[2]characters!$1:$1,0)-MATCH($A$1,[2]characters!$1:$1,0)+1),MATCH(F$1,[2]characters!$1:$1,0)-MATCH($A$1,[2]characters!$1:$1,0)+1,FALSE)</f>
        <v>水のマッドハッター</v>
      </c>
      <c r="G445" s="66">
        <v>2</v>
      </c>
      <c r="H445" s="66">
        <v>1</v>
      </c>
      <c r="I445" s="66">
        <v>1</v>
      </c>
    </row>
    <row r="446" spans="1:9" x14ac:dyDescent="0.15">
      <c r="A446" s="66">
        <v>325</v>
      </c>
      <c r="B446" s="3" t="str">
        <f ca="1">VLOOKUP($A446,OFFSET([2]characters!$A$1,0,0,COUNTA([2]characters!$A:$A),MATCH(B$1,[2]characters!$1:$1,0)-MATCH($A$1,[2]characters!$1:$1,0)+1),MATCH(B$1,[2]characters!$1:$1,0)-MATCH($A$1,[2]characters!$1:$1,0)+1,FALSE)</f>
        <v>天賦の凛志士 沖田総司</v>
      </c>
      <c r="C446" s="93">
        <f ca="1">VLOOKUP($A446,OFFSET(fork_awake_units!$A$1,0,0,COUNTA(fork_awake_units!$A:$A),MATCH(C$1,fork_awake_units!$1:$1,0)-MATCH($A$1,fork_awake_units!$1:$1,0)+1),MATCH(C$1,fork_awake_units!$1:$1,0)-MATCH($A$1,fork_awake_units!$1:$1,0)+1,FALSE)</f>
        <v>809</v>
      </c>
      <c r="D446" s="3" t="str">
        <f ca="1">VLOOKUP($C446,OFFSET([2]characters!$A$1,0,0,COUNTA([2]characters!$A:$A),MATCH(D$1,[2]characters!$1:$1,0)-MATCH($A$1,[2]characters!$1:$1,0)+1),MATCH(D$1,[2]characters!$1:$1,0)-MATCH($A$1,[2]characters!$1:$1,0)+1,FALSE)</f>
        <v>天然理心の激凛 沖田総司</v>
      </c>
      <c r="E446" s="66">
        <v>110</v>
      </c>
      <c r="F446" s="3" t="str">
        <f ca="1">VLOOKUP($E446,OFFSET([2]characters!$A$1,0,0,COUNTA([2]characters!$A:$A),MATCH(F$1,[2]characters!$1:$1,0)-MATCH($A$1,[2]characters!$1:$1,0)+1),MATCH(F$1,[2]characters!$1:$1,0)-MATCH($A$1,[2]characters!$1:$1,0)+1,FALSE)</f>
        <v>ブルーラビット</v>
      </c>
      <c r="G446" s="66">
        <v>1</v>
      </c>
      <c r="H446" s="66">
        <v>1</v>
      </c>
      <c r="I446" s="66">
        <v>1</v>
      </c>
    </row>
    <row r="447" spans="1:9" x14ac:dyDescent="0.15">
      <c r="A447" s="66">
        <v>325</v>
      </c>
      <c r="B447" s="3" t="str">
        <f ca="1">VLOOKUP($A447,OFFSET([2]characters!$A$1,0,0,COUNTA([2]characters!$A:$A),MATCH(B$1,[2]characters!$1:$1,0)-MATCH($A$1,[2]characters!$1:$1,0)+1),MATCH(B$1,[2]characters!$1:$1,0)-MATCH($A$1,[2]characters!$1:$1,0)+1,FALSE)</f>
        <v>天賦の凛志士 沖田総司</v>
      </c>
      <c r="C447" s="93">
        <f ca="1">VLOOKUP($A447,OFFSET(fork_awake_units!$A$1,0,0,COUNTA(fork_awake_units!$A:$A),MATCH(C$1,fork_awake_units!$1:$1,0)-MATCH($A$1,fork_awake_units!$1:$1,0)+1),MATCH(C$1,fork_awake_units!$1:$1,0)-MATCH($A$1,fork_awake_units!$1:$1,0)+1,FALSE)</f>
        <v>809</v>
      </c>
      <c r="D447" s="3" t="str">
        <f ca="1">VLOOKUP($C447,OFFSET([2]characters!$A$1,0,0,COUNTA([2]characters!$A:$A),MATCH(D$1,[2]characters!$1:$1,0)-MATCH($A$1,[2]characters!$1:$1,0)+1),MATCH(D$1,[2]characters!$1:$1,0)-MATCH($A$1,[2]characters!$1:$1,0)+1,FALSE)</f>
        <v>天然理心の激凛 沖田総司</v>
      </c>
      <c r="E447" s="66">
        <v>111</v>
      </c>
      <c r="F447" s="3" t="str">
        <f ca="1">VLOOKUP($E447,OFFSET([2]characters!$A$1,0,0,COUNTA([2]characters!$A:$A),MATCH(F$1,[2]characters!$1:$1,0)-MATCH($A$1,[2]characters!$1:$1,0)+1),MATCH(F$1,[2]characters!$1:$1,0)-MATCH($A$1,[2]characters!$1:$1,0)+1,FALSE)</f>
        <v>ブルーキャタップ</v>
      </c>
      <c r="G447" s="66">
        <v>1</v>
      </c>
      <c r="H447" s="66">
        <v>1</v>
      </c>
      <c r="I447" s="66">
        <v>1</v>
      </c>
    </row>
    <row r="448" spans="1:9" x14ac:dyDescent="0.15">
      <c r="A448" s="66">
        <v>325</v>
      </c>
      <c r="B448" s="3" t="str">
        <f ca="1">VLOOKUP($A448,OFFSET([2]characters!$A$1,0,0,COUNTA([2]characters!$A:$A),MATCH(B$1,[2]characters!$1:$1,0)-MATCH($A$1,[2]characters!$1:$1,0)+1),MATCH(B$1,[2]characters!$1:$1,0)-MATCH($A$1,[2]characters!$1:$1,0)+1,FALSE)</f>
        <v>天賦の凛志士 沖田総司</v>
      </c>
      <c r="C448" s="93">
        <f ca="1">VLOOKUP($A448,OFFSET(fork_awake_units!$A$1,0,0,COUNTA(fork_awake_units!$A:$A),MATCH(C$1,fork_awake_units!$1:$1,0)-MATCH($A$1,fork_awake_units!$1:$1,0)+1),MATCH(C$1,fork_awake_units!$1:$1,0)-MATCH($A$1,fork_awake_units!$1:$1,0)+1,FALSE)</f>
        <v>809</v>
      </c>
      <c r="D448" s="3" t="str">
        <f ca="1">VLOOKUP($C448,OFFSET([2]characters!$A$1,0,0,COUNTA([2]characters!$A:$A),MATCH(D$1,[2]characters!$1:$1,0)-MATCH($A$1,[2]characters!$1:$1,0)+1),MATCH(D$1,[2]characters!$1:$1,0)-MATCH($A$1,[2]characters!$1:$1,0)+1,FALSE)</f>
        <v>天然理心の激凛 沖田総司</v>
      </c>
      <c r="E448" s="66">
        <v>112</v>
      </c>
      <c r="F448" s="3" t="str">
        <f ca="1">VLOOKUP($E448,OFFSET([2]characters!$A$1,0,0,COUNTA([2]characters!$A:$A),MATCH(F$1,[2]characters!$1:$1,0)-MATCH($A$1,[2]characters!$1:$1,0)+1),MATCH(F$1,[2]characters!$1:$1,0)-MATCH($A$1,[2]characters!$1:$1,0)+1,FALSE)</f>
        <v>水のマッドハッター</v>
      </c>
      <c r="G448" s="66">
        <v>1</v>
      </c>
      <c r="H448" s="66">
        <v>1</v>
      </c>
      <c r="I448" s="66">
        <v>1</v>
      </c>
    </row>
    <row r="449" spans="1:9" x14ac:dyDescent="0.15">
      <c r="A449" s="66">
        <v>325</v>
      </c>
      <c r="B449" s="3" t="str">
        <f ca="1">VLOOKUP($A449,OFFSET([2]characters!$A$1,0,0,COUNTA([2]characters!$A:$A),MATCH(B$1,[2]characters!$1:$1,0)-MATCH($A$1,[2]characters!$1:$1,0)+1),MATCH(B$1,[2]characters!$1:$1,0)-MATCH($A$1,[2]characters!$1:$1,0)+1,FALSE)</f>
        <v>天賦の凛志士 沖田総司</v>
      </c>
      <c r="C449" s="93">
        <f ca="1">VLOOKUP($A449,OFFSET(fork_awake_units!$A$1,0,0,COUNTA(fork_awake_units!$A:$A),MATCH(C$1,fork_awake_units!$1:$1,0)-MATCH($A$1,fork_awake_units!$1:$1,0)+1),MATCH(C$1,fork_awake_units!$1:$1,0)-MATCH($A$1,fork_awake_units!$1:$1,0)+1,FALSE)</f>
        <v>809</v>
      </c>
      <c r="D449" s="3" t="str">
        <f ca="1">VLOOKUP($C449,OFFSET([2]characters!$A$1,0,0,COUNTA([2]characters!$A:$A),MATCH(D$1,[2]characters!$1:$1,0)-MATCH($A$1,[2]characters!$1:$1,0)+1),MATCH(D$1,[2]characters!$1:$1,0)-MATCH($A$1,[2]characters!$1:$1,0)+1,FALSE)</f>
        <v>天然理心の激凛 沖田総司</v>
      </c>
      <c r="E449" s="66">
        <v>837</v>
      </c>
      <c r="F449" s="3" t="str">
        <f ca="1">VLOOKUP($E449,OFFSET([2]characters!$A$1,0,0,COUNTA([2]characters!$A:$A),MATCH(F$1,[2]characters!$1:$1,0)-MATCH($A$1,[2]characters!$1:$1,0)+1),MATCH(F$1,[2]characters!$1:$1,0)-MATCH($A$1,[2]characters!$1:$1,0)+1,FALSE)</f>
        <v>リトルハンプティ</v>
      </c>
      <c r="G449" s="66">
        <v>1</v>
      </c>
      <c r="H449" s="66">
        <v>1</v>
      </c>
      <c r="I449" s="66">
        <v>1</v>
      </c>
    </row>
    <row r="450" spans="1:9" x14ac:dyDescent="0.15">
      <c r="A450" s="66">
        <v>326</v>
      </c>
      <c r="B450" s="3" t="str">
        <f ca="1">VLOOKUP($A450,OFFSET([2]characters!$A$1,0,0,COUNTA([2]characters!$A:$A),MATCH(B$1,[2]characters!$1:$1,0)-MATCH($A$1,[2]characters!$1:$1,0)+1),MATCH(B$1,[2]characters!$1:$1,0)-MATCH($A$1,[2]characters!$1:$1,0)+1,FALSE)</f>
        <v>妖志士 斎藤一</v>
      </c>
      <c r="C450" s="93">
        <f ca="1">VLOOKUP($A450,OFFSET(fork_awake_units!$A$1,0,0,COUNTA(fork_awake_units!$A:$A),MATCH(C$1,fork_awake_units!$1:$1,0)-MATCH($A$1,fork_awake_units!$1:$1,0)+1),MATCH(C$1,fork_awake_units!$1:$1,0)-MATCH($A$1,fork_awake_units!$1:$1,0)+1,FALSE)</f>
        <v>327</v>
      </c>
      <c r="D450" s="3" t="str">
        <f ca="1">VLOOKUP($C450,OFFSET([2]characters!$A$1,0,0,COUNTA([2]characters!$A:$A),MATCH(D$1,[2]characters!$1:$1,0)-MATCH($A$1,[2]characters!$1:$1,0)+1),MATCH(D$1,[2]characters!$1:$1,0)-MATCH($A$1,[2]characters!$1:$1,0)+1,FALSE)</f>
        <v>千殺の妖志士 斎藤一</v>
      </c>
      <c r="E450" s="66">
        <v>95</v>
      </c>
      <c r="F450" s="3" t="str">
        <f ca="1">VLOOKUP($E450,OFFSET([2]characters!$A$1,0,0,COUNTA([2]characters!$A:$A),MATCH(F$1,[2]characters!$1:$1,0)-MATCH($A$1,[2]characters!$1:$1,0)+1),MATCH(F$1,[2]characters!$1:$1,0)-MATCH($A$1,[2]characters!$1:$1,0)+1,FALSE)</f>
        <v>守護者 白虎</v>
      </c>
      <c r="G450" s="66">
        <v>1</v>
      </c>
      <c r="H450" s="66">
        <v>1</v>
      </c>
      <c r="I450" s="66">
        <v>1</v>
      </c>
    </row>
    <row r="451" spans="1:9" x14ac:dyDescent="0.15">
      <c r="A451" s="66">
        <v>326</v>
      </c>
      <c r="B451" s="3" t="str">
        <f ca="1">VLOOKUP($A451,OFFSET([2]characters!$A$1,0,0,COUNTA([2]characters!$A:$A),MATCH(B$1,[2]characters!$1:$1,0)-MATCH($A$1,[2]characters!$1:$1,0)+1),MATCH(B$1,[2]characters!$1:$1,0)-MATCH($A$1,[2]characters!$1:$1,0)+1,FALSE)</f>
        <v>妖志士 斎藤一</v>
      </c>
      <c r="C451" s="93">
        <f ca="1">VLOOKUP($A451,OFFSET(fork_awake_units!$A$1,0,0,COUNTA(fork_awake_units!$A:$A),MATCH(C$1,fork_awake_units!$1:$1,0)-MATCH($A$1,fork_awake_units!$1:$1,0)+1),MATCH(C$1,fork_awake_units!$1:$1,0)-MATCH($A$1,fork_awake_units!$1:$1,0)+1,FALSE)</f>
        <v>327</v>
      </c>
      <c r="D451" s="3" t="str">
        <f ca="1">VLOOKUP($C451,OFFSET([2]characters!$A$1,0,0,COUNTA([2]characters!$A:$A),MATCH(D$1,[2]characters!$1:$1,0)-MATCH($A$1,[2]characters!$1:$1,0)+1),MATCH(D$1,[2]characters!$1:$1,0)-MATCH($A$1,[2]characters!$1:$1,0)+1,FALSE)</f>
        <v>千殺の妖志士 斎藤一</v>
      </c>
      <c r="E451" s="66">
        <v>114</v>
      </c>
      <c r="F451" s="3" t="str">
        <f ca="1">VLOOKUP($E451,OFFSET([2]characters!$A$1,0,0,COUNTA([2]characters!$A:$A),MATCH(F$1,[2]characters!$1:$1,0)-MATCH($A$1,[2]characters!$1:$1,0)+1),MATCH(F$1,[2]characters!$1:$1,0)-MATCH($A$1,[2]characters!$1:$1,0)+1,FALSE)</f>
        <v>イエローラビット</v>
      </c>
      <c r="G451" s="66">
        <v>1</v>
      </c>
      <c r="H451" s="66">
        <v>1</v>
      </c>
      <c r="I451" s="66">
        <v>1</v>
      </c>
    </row>
    <row r="452" spans="1:9" x14ac:dyDescent="0.15">
      <c r="A452" s="66">
        <v>326</v>
      </c>
      <c r="B452" s="3" t="str">
        <f ca="1">VLOOKUP($A452,OFFSET([2]characters!$A$1,0,0,COUNTA([2]characters!$A:$A),MATCH(B$1,[2]characters!$1:$1,0)-MATCH($A$1,[2]characters!$1:$1,0)+1),MATCH(B$1,[2]characters!$1:$1,0)-MATCH($A$1,[2]characters!$1:$1,0)+1,FALSE)</f>
        <v>妖志士 斎藤一</v>
      </c>
      <c r="C452" s="93">
        <f ca="1">VLOOKUP($A452,OFFSET(fork_awake_units!$A$1,0,0,COUNTA(fork_awake_units!$A:$A),MATCH(C$1,fork_awake_units!$1:$1,0)-MATCH($A$1,fork_awake_units!$1:$1,0)+1),MATCH(C$1,fork_awake_units!$1:$1,0)-MATCH($A$1,fork_awake_units!$1:$1,0)+1,FALSE)</f>
        <v>327</v>
      </c>
      <c r="D452" s="3" t="str">
        <f ca="1">VLOOKUP($C452,OFFSET([2]characters!$A$1,0,0,COUNTA([2]characters!$A:$A),MATCH(D$1,[2]characters!$1:$1,0)-MATCH($A$1,[2]characters!$1:$1,0)+1),MATCH(D$1,[2]characters!$1:$1,0)-MATCH($A$1,[2]characters!$1:$1,0)+1,FALSE)</f>
        <v>千殺の妖志士 斎藤一</v>
      </c>
      <c r="E452" s="66">
        <v>115</v>
      </c>
      <c r="F452" s="3" t="str">
        <f ca="1">VLOOKUP($E452,OFFSET([2]characters!$A$1,0,0,COUNTA([2]characters!$A:$A),MATCH(F$1,[2]characters!$1:$1,0)-MATCH($A$1,[2]characters!$1:$1,0)+1),MATCH(F$1,[2]characters!$1:$1,0)-MATCH($A$1,[2]characters!$1:$1,0)+1,FALSE)</f>
        <v>イエローキャタップ</v>
      </c>
      <c r="G452" s="66">
        <v>1</v>
      </c>
      <c r="H452" s="66">
        <v>1</v>
      </c>
      <c r="I452" s="66">
        <v>1</v>
      </c>
    </row>
    <row r="453" spans="1:9" x14ac:dyDescent="0.15">
      <c r="A453" s="66">
        <v>326</v>
      </c>
      <c r="B453" s="3" t="str">
        <f ca="1">VLOOKUP($A453,OFFSET([2]characters!$A$1,0,0,COUNTA([2]characters!$A:$A),MATCH(B$1,[2]characters!$1:$1,0)-MATCH($A$1,[2]characters!$1:$1,0)+1),MATCH(B$1,[2]characters!$1:$1,0)-MATCH($A$1,[2]characters!$1:$1,0)+1,FALSE)</f>
        <v>妖志士 斎藤一</v>
      </c>
      <c r="C453" s="93">
        <f ca="1">VLOOKUP($A453,OFFSET(fork_awake_units!$A$1,0,0,COUNTA(fork_awake_units!$A:$A),MATCH(C$1,fork_awake_units!$1:$1,0)-MATCH($A$1,fork_awake_units!$1:$1,0)+1),MATCH(C$1,fork_awake_units!$1:$1,0)-MATCH($A$1,fork_awake_units!$1:$1,0)+1,FALSE)</f>
        <v>327</v>
      </c>
      <c r="D453" s="3" t="str">
        <f ca="1">VLOOKUP($C453,OFFSET([2]characters!$A$1,0,0,COUNTA([2]characters!$A:$A),MATCH(D$1,[2]characters!$1:$1,0)-MATCH($A$1,[2]characters!$1:$1,0)+1),MATCH(D$1,[2]characters!$1:$1,0)-MATCH($A$1,[2]characters!$1:$1,0)+1,FALSE)</f>
        <v>千殺の妖志士 斎藤一</v>
      </c>
      <c r="E453" s="66">
        <v>116</v>
      </c>
      <c r="F453" s="3" t="str">
        <f ca="1">VLOOKUP($E453,OFFSET([2]characters!$A$1,0,0,COUNTA([2]characters!$A:$A),MATCH(F$1,[2]characters!$1:$1,0)-MATCH($A$1,[2]characters!$1:$1,0)+1),MATCH(F$1,[2]characters!$1:$1,0)-MATCH($A$1,[2]characters!$1:$1,0)+1,FALSE)</f>
        <v>雷のマッドハッター</v>
      </c>
      <c r="G453" s="66">
        <v>2</v>
      </c>
      <c r="H453" s="66">
        <v>1</v>
      </c>
      <c r="I453" s="66">
        <v>1</v>
      </c>
    </row>
    <row r="454" spans="1:9" x14ac:dyDescent="0.15">
      <c r="A454" s="66">
        <v>332</v>
      </c>
      <c r="B454" s="3" t="str">
        <f ca="1">VLOOKUP($A454,OFFSET([2]characters!$A$1,0,0,COUNTA([2]characters!$A:$A),MATCH(B$1,[2]characters!$1:$1,0)-MATCH($A$1,[2]characters!$1:$1,0)+1),MATCH(B$1,[2]characters!$1:$1,0)-MATCH($A$1,[2]characters!$1:$1,0)+1,FALSE)</f>
        <v>炎のメタルピヨピヨ</v>
      </c>
      <c r="C454" s="93">
        <f ca="1">VLOOKUP($A454,OFFSET(fork_awake_units!$A$1,0,0,COUNTA(fork_awake_units!$A:$A),MATCH(C$1,fork_awake_units!$1:$1,0)-MATCH($A$1,fork_awake_units!$1:$1,0)+1),MATCH(C$1,fork_awake_units!$1:$1,0)-MATCH($A$1,fork_awake_units!$1:$1,0)+1,FALSE)</f>
        <v>333</v>
      </c>
      <c r="D454" s="3" t="str">
        <f ca="1">VLOOKUP($C454,OFFSET([2]characters!$A$1,0,0,COUNTA([2]characters!$A:$A),MATCH(D$1,[2]characters!$1:$1,0)-MATCH($A$1,[2]characters!$1:$1,0)+1),MATCH(D$1,[2]characters!$1:$1,0)-MATCH($A$1,[2]characters!$1:$1,0)+1,FALSE)</f>
        <v>炎のメタルチック</v>
      </c>
      <c r="E454" s="66">
        <v>336</v>
      </c>
      <c r="F454" s="3" t="str">
        <f ca="1">VLOOKUP($E454,OFFSET([2]characters!$A$1,0,0,COUNTA([2]characters!$A:$A),MATCH(F$1,[2]characters!$1:$1,0)-MATCH($A$1,[2]characters!$1:$1,0)+1),MATCH(F$1,[2]characters!$1:$1,0)-MATCH($A$1,[2]characters!$1:$1,0)+1,FALSE)</f>
        <v>森のメタルピヨピヨ</v>
      </c>
      <c r="G454" s="66">
        <v>1</v>
      </c>
      <c r="H454" s="66">
        <v>1</v>
      </c>
      <c r="I454" s="66">
        <v>1</v>
      </c>
    </row>
    <row r="455" spans="1:9" x14ac:dyDescent="0.15">
      <c r="A455" s="66">
        <v>336</v>
      </c>
      <c r="B455" s="3" t="str">
        <f ca="1">VLOOKUP($A455,OFFSET([2]characters!$A$1,0,0,COUNTA([2]characters!$A:$A),MATCH(B$1,[2]characters!$1:$1,0)-MATCH($A$1,[2]characters!$1:$1,0)+1),MATCH(B$1,[2]characters!$1:$1,0)-MATCH($A$1,[2]characters!$1:$1,0)+1,FALSE)</f>
        <v>森のメタルピヨピヨ</v>
      </c>
      <c r="C455" s="93">
        <f ca="1">VLOOKUP($A455,OFFSET(fork_awake_units!$A$1,0,0,COUNTA(fork_awake_units!$A:$A),MATCH(C$1,fork_awake_units!$1:$1,0)-MATCH($A$1,fork_awake_units!$1:$1,0)+1),MATCH(C$1,fork_awake_units!$1:$1,0)-MATCH($A$1,fork_awake_units!$1:$1,0)+1,FALSE)</f>
        <v>337</v>
      </c>
      <c r="D455" s="3" t="str">
        <f ca="1">VLOOKUP($C455,OFFSET([2]characters!$A$1,0,0,COUNTA([2]characters!$A:$A),MATCH(D$1,[2]characters!$1:$1,0)-MATCH($A$1,[2]characters!$1:$1,0)+1),MATCH(D$1,[2]characters!$1:$1,0)-MATCH($A$1,[2]characters!$1:$1,0)+1,FALSE)</f>
        <v>森のメタルチック</v>
      </c>
      <c r="E455" s="66">
        <v>344</v>
      </c>
      <c r="F455" s="3" t="str">
        <f ca="1">VLOOKUP($E455,OFFSET([2]characters!$A$1,0,0,COUNTA([2]characters!$A:$A),MATCH(F$1,[2]characters!$1:$1,0)-MATCH($A$1,[2]characters!$1:$1,0)+1),MATCH(F$1,[2]characters!$1:$1,0)-MATCH($A$1,[2]characters!$1:$1,0)+1,FALSE)</f>
        <v>雷のメタルピヨピヨ</v>
      </c>
      <c r="G455" s="66">
        <v>1</v>
      </c>
      <c r="H455" s="66">
        <v>1</v>
      </c>
      <c r="I455" s="66">
        <v>1</v>
      </c>
    </row>
    <row r="456" spans="1:9" x14ac:dyDescent="0.15">
      <c r="A456" s="66">
        <v>340</v>
      </c>
      <c r="B456" s="3" t="str">
        <f ca="1">VLOOKUP($A456,OFFSET([2]characters!$A$1,0,0,COUNTA([2]characters!$A:$A),MATCH(B$1,[2]characters!$1:$1,0)-MATCH($A$1,[2]characters!$1:$1,0)+1),MATCH(B$1,[2]characters!$1:$1,0)-MATCH($A$1,[2]characters!$1:$1,0)+1,FALSE)</f>
        <v>水のメタルピヨピヨ</v>
      </c>
      <c r="C456" s="93">
        <f ca="1">VLOOKUP($A456,OFFSET(fork_awake_units!$A$1,0,0,COUNTA(fork_awake_units!$A:$A),MATCH(C$1,fork_awake_units!$1:$1,0)-MATCH($A$1,fork_awake_units!$1:$1,0)+1),MATCH(C$1,fork_awake_units!$1:$1,0)-MATCH($A$1,fork_awake_units!$1:$1,0)+1,FALSE)</f>
        <v>341</v>
      </c>
      <c r="D456" s="3" t="str">
        <f ca="1">VLOOKUP($C456,OFFSET([2]characters!$A$1,0,0,COUNTA([2]characters!$A:$A),MATCH(D$1,[2]characters!$1:$1,0)-MATCH($A$1,[2]characters!$1:$1,0)+1),MATCH(D$1,[2]characters!$1:$1,0)-MATCH($A$1,[2]characters!$1:$1,0)+1,FALSE)</f>
        <v>水のメタルチック</v>
      </c>
      <c r="E456" s="66">
        <v>332</v>
      </c>
      <c r="F456" s="3" t="str">
        <f ca="1">VLOOKUP($E456,OFFSET([2]characters!$A$1,0,0,COUNTA([2]characters!$A:$A),MATCH(F$1,[2]characters!$1:$1,0)-MATCH($A$1,[2]characters!$1:$1,0)+1),MATCH(F$1,[2]characters!$1:$1,0)-MATCH($A$1,[2]characters!$1:$1,0)+1,FALSE)</f>
        <v>炎のメタルピヨピヨ</v>
      </c>
      <c r="G456" s="66">
        <v>1</v>
      </c>
      <c r="H456" s="66">
        <v>1</v>
      </c>
      <c r="I456" s="66">
        <v>1</v>
      </c>
    </row>
    <row r="457" spans="1:9" x14ac:dyDescent="0.15">
      <c r="A457" s="66">
        <v>344</v>
      </c>
      <c r="B457" s="3" t="str">
        <f ca="1">VLOOKUP($A457,OFFSET([2]characters!$A$1,0,0,COUNTA([2]characters!$A:$A),MATCH(B$1,[2]characters!$1:$1,0)-MATCH($A$1,[2]characters!$1:$1,0)+1),MATCH(B$1,[2]characters!$1:$1,0)-MATCH($A$1,[2]characters!$1:$1,0)+1,FALSE)</f>
        <v>雷のメタルピヨピヨ</v>
      </c>
      <c r="C457" s="93">
        <f ca="1">VLOOKUP($A457,OFFSET(fork_awake_units!$A$1,0,0,COUNTA(fork_awake_units!$A:$A),MATCH(C$1,fork_awake_units!$1:$1,0)-MATCH($A$1,fork_awake_units!$1:$1,0)+1),MATCH(C$1,fork_awake_units!$1:$1,0)-MATCH($A$1,fork_awake_units!$1:$1,0)+1,FALSE)</f>
        <v>345</v>
      </c>
      <c r="D457" s="3" t="str">
        <f ca="1">VLOOKUP($C457,OFFSET([2]characters!$A$1,0,0,COUNTA([2]characters!$A:$A),MATCH(D$1,[2]characters!$1:$1,0)-MATCH($A$1,[2]characters!$1:$1,0)+1),MATCH(D$1,[2]characters!$1:$1,0)-MATCH($A$1,[2]characters!$1:$1,0)+1,FALSE)</f>
        <v>雷のメタルチック</v>
      </c>
      <c r="E457" s="66">
        <v>340</v>
      </c>
      <c r="F457" s="3" t="str">
        <f ca="1">VLOOKUP($E457,OFFSET([2]characters!$A$1,0,0,COUNTA([2]characters!$A:$A),MATCH(F$1,[2]characters!$1:$1,0)-MATCH($A$1,[2]characters!$1:$1,0)+1),MATCH(F$1,[2]characters!$1:$1,0)-MATCH($A$1,[2]characters!$1:$1,0)+1,FALSE)</f>
        <v>水のメタルピヨピヨ</v>
      </c>
      <c r="G457" s="66">
        <v>1</v>
      </c>
      <c r="H457" s="66">
        <v>1</v>
      </c>
      <c r="I457" s="66">
        <v>1</v>
      </c>
    </row>
    <row r="458" spans="1:9" x14ac:dyDescent="0.15">
      <c r="A458" s="66">
        <v>333</v>
      </c>
      <c r="B458" s="3" t="str">
        <f ca="1">VLOOKUP($A458,OFFSET([2]characters!$A$1,0,0,COUNTA([2]characters!$A:$A),MATCH(B$1,[2]characters!$1:$1,0)-MATCH($A$1,[2]characters!$1:$1,0)+1),MATCH(B$1,[2]characters!$1:$1,0)-MATCH($A$1,[2]characters!$1:$1,0)+1,FALSE)</f>
        <v>炎のメタルチック</v>
      </c>
      <c r="C458" s="93">
        <f ca="1">VLOOKUP($A458,OFFSET(fork_awake_units!$A$1,0,0,COUNTA(fork_awake_units!$A:$A),MATCH(C$1,fork_awake_units!$1:$1,0)-MATCH($A$1,fork_awake_units!$1:$1,0)+1),MATCH(C$1,fork_awake_units!$1:$1,0)-MATCH($A$1,fork_awake_units!$1:$1,0)+1,FALSE)</f>
        <v>334</v>
      </c>
      <c r="D458" s="3" t="str">
        <f ca="1">VLOOKUP($C458,OFFSET([2]characters!$A$1,0,0,COUNTA([2]characters!$A:$A),MATCH(D$1,[2]characters!$1:$1,0)-MATCH($A$1,[2]characters!$1:$1,0)+1),MATCH(D$1,[2]characters!$1:$1,0)-MATCH($A$1,[2]characters!$1:$1,0)+1,FALSE)</f>
        <v>炎のメタルダック</v>
      </c>
      <c r="E458" s="66">
        <v>337</v>
      </c>
      <c r="F458" s="3" t="str">
        <f ca="1">VLOOKUP($E458,OFFSET([2]characters!$A$1,0,0,COUNTA([2]characters!$A:$A),MATCH(F$1,[2]characters!$1:$1,0)-MATCH($A$1,[2]characters!$1:$1,0)+1),MATCH(F$1,[2]characters!$1:$1,0)-MATCH($A$1,[2]characters!$1:$1,0)+1,FALSE)</f>
        <v>森のメタルチック</v>
      </c>
      <c r="G458" s="66">
        <v>2</v>
      </c>
      <c r="H458" s="66">
        <v>1</v>
      </c>
      <c r="I458" s="66">
        <v>1</v>
      </c>
    </row>
    <row r="459" spans="1:9" x14ac:dyDescent="0.15">
      <c r="A459" s="66">
        <v>337</v>
      </c>
      <c r="B459" s="3" t="str">
        <f ca="1">VLOOKUP($A459,OFFSET([2]characters!$A$1,0,0,COUNTA([2]characters!$A:$A),MATCH(B$1,[2]characters!$1:$1,0)-MATCH($A$1,[2]characters!$1:$1,0)+1),MATCH(B$1,[2]characters!$1:$1,0)-MATCH($A$1,[2]characters!$1:$1,0)+1,FALSE)</f>
        <v>森のメタルチック</v>
      </c>
      <c r="C459" s="93">
        <f ca="1">VLOOKUP($A459,OFFSET(fork_awake_units!$A$1,0,0,COUNTA(fork_awake_units!$A:$A),MATCH(C$1,fork_awake_units!$1:$1,0)-MATCH($A$1,fork_awake_units!$1:$1,0)+1),MATCH(C$1,fork_awake_units!$1:$1,0)-MATCH($A$1,fork_awake_units!$1:$1,0)+1,FALSE)</f>
        <v>338</v>
      </c>
      <c r="D459" s="3" t="str">
        <f ca="1">VLOOKUP($C459,OFFSET([2]characters!$A$1,0,0,COUNTA([2]characters!$A:$A),MATCH(D$1,[2]characters!$1:$1,0)-MATCH($A$1,[2]characters!$1:$1,0)+1),MATCH(D$1,[2]characters!$1:$1,0)-MATCH($A$1,[2]characters!$1:$1,0)+1,FALSE)</f>
        <v>森のメタルダック</v>
      </c>
      <c r="E459" s="66">
        <v>345</v>
      </c>
      <c r="F459" s="3" t="str">
        <f ca="1">VLOOKUP($E459,OFFSET([2]characters!$A$1,0,0,COUNTA([2]characters!$A:$A),MATCH(F$1,[2]characters!$1:$1,0)-MATCH($A$1,[2]characters!$1:$1,0)+1),MATCH(F$1,[2]characters!$1:$1,0)-MATCH($A$1,[2]characters!$1:$1,0)+1,FALSE)</f>
        <v>雷のメタルチック</v>
      </c>
      <c r="G459" s="66">
        <v>2</v>
      </c>
      <c r="H459" s="66">
        <v>1</v>
      </c>
      <c r="I459" s="66">
        <v>1</v>
      </c>
    </row>
    <row r="460" spans="1:9" x14ac:dyDescent="0.15">
      <c r="A460" s="66">
        <v>341</v>
      </c>
      <c r="B460" s="3" t="str">
        <f ca="1">VLOOKUP($A460,OFFSET([2]characters!$A$1,0,0,COUNTA([2]characters!$A:$A),MATCH(B$1,[2]characters!$1:$1,0)-MATCH($A$1,[2]characters!$1:$1,0)+1),MATCH(B$1,[2]characters!$1:$1,0)-MATCH($A$1,[2]characters!$1:$1,0)+1,FALSE)</f>
        <v>水のメタルチック</v>
      </c>
      <c r="C460" s="93">
        <f ca="1">VLOOKUP($A460,OFFSET(fork_awake_units!$A$1,0,0,COUNTA(fork_awake_units!$A:$A),MATCH(C$1,fork_awake_units!$1:$1,0)-MATCH($A$1,fork_awake_units!$1:$1,0)+1),MATCH(C$1,fork_awake_units!$1:$1,0)-MATCH($A$1,fork_awake_units!$1:$1,0)+1,FALSE)</f>
        <v>342</v>
      </c>
      <c r="D460" s="3" t="str">
        <f ca="1">VLOOKUP($C460,OFFSET([2]characters!$A$1,0,0,COUNTA([2]characters!$A:$A),MATCH(D$1,[2]characters!$1:$1,0)-MATCH($A$1,[2]characters!$1:$1,0)+1),MATCH(D$1,[2]characters!$1:$1,0)-MATCH($A$1,[2]characters!$1:$1,0)+1,FALSE)</f>
        <v>水のメタルダック</v>
      </c>
      <c r="E460" s="66">
        <v>333</v>
      </c>
      <c r="F460" s="3" t="str">
        <f ca="1">VLOOKUP($E460,OFFSET([2]characters!$A$1,0,0,COUNTA([2]characters!$A:$A),MATCH(F$1,[2]characters!$1:$1,0)-MATCH($A$1,[2]characters!$1:$1,0)+1),MATCH(F$1,[2]characters!$1:$1,0)-MATCH($A$1,[2]characters!$1:$1,0)+1,FALSE)</f>
        <v>炎のメタルチック</v>
      </c>
      <c r="G460" s="66">
        <v>2</v>
      </c>
      <c r="H460" s="66">
        <v>1</v>
      </c>
      <c r="I460" s="66">
        <v>1</v>
      </c>
    </row>
    <row r="461" spans="1:9" x14ac:dyDescent="0.15">
      <c r="A461" s="66">
        <v>345</v>
      </c>
      <c r="B461" s="3" t="str">
        <f ca="1">VLOOKUP($A461,OFFSET([2]characters!$A$1,0,0,COUNTA([2]characters!$A:$A),MATCH(B$1,[2]characters!$1:$1,0)-MATCH($A$1,[2]characters!$1:$1,0)+1),MATCH(B$1,[2]characters!$1:$1,0)-MATCH($A$1,[2]characters!$1:$1,0)+1,FALSE)</f>
        <v>雷のメタルチック</v>
      </c>
      <c r="C461" s="93">
        <f ca="1">VLOOKUP($A461,OFFSET(fork_awake_units!$A$1,0,0,COUNTA(fork_awake_units!$A:$A),MATCH(C$1,fork_awake_units!$1:$1,0)-MATCH($A$1,fork_awake_units!$1:$1,0)+1),MATCH(C$1,fork_awake_units!$1:$1,0)-MATCH($A$1,fork_awake_units!$1:$1,0)+1,FALSE)</f>
        <v>346</v>
      </c>
      <c r="D461" s="3" t="str">
        <f ca="1">VLOOKUP($C461,OFFSET([2]characters!$A$1,0,0,COUNTA([2]characters!$A:$A),MATCH(D$1,[2]characters!$1:$1,0)-MATCH($A$1,[2]characters!$1:$1,0)+1),MATCH(D$1,[2]characters!$1:$1,0)-MATCH($A$1,[2]characters!$1:$1,0)+1,FALSE)</f>
        <v>雷のメタルダック</v>
      </c>
      <c r="E461" s="66">
        <v>341</v>
      </c>
      <c r="F461" s="3" t="str">
        <f ca="1">VLOOKUP($E461,OFFSET([2]characters!$A$1,0,0,COUNTA([2]characters!$A:$A),MATCH(F$1,[2]characters!$1:$1,0)-MATCH($A$1,[2]characters!$1:$1,0)+1),MATCH(F$1,[2]characters!$1:$1,0)-MATCH($A$1,[2]characters!$1:$1,0)+1,FALSE)</f>
        <v>水のメタルチック</v>
      </c>
      <c r="G461" s="66">
        <v>2</v>
      </c>
      <c r="H461" s="66">
        <v>1</v>
      </c>
      <c r="I461" s="66">
        <v>1</v>
      </c>
    </row>
    <row r="462" spans="1:9" x14ac:dyDescent="0.15">
      <c r="A462" s="66">
        <v>348</v>
      </c>
      <c r="B462" s="3" t="str">
        <f ca="1">VLOOKUP($A462,OFFSET([2]characters!$A$1,0,0,COUNTA([2]characters!$A:$A),MATCH(B$1,[2]characters!$1:$1,0)-MATCH($A$1,[2]characters!$1:$1,0)+1),MATCH(B$1,[2]characters!$1:$1,0)-MATCH($A$1,[2]characters!$1:$1,0)+1,FALSE)</f>
        <v>炎のケロケロ</v>
      </c>
      <c r="C462" s="93">
        <f ca="1">VLOOKUP($A462,OFFSET(fork_awake_units!$A$1,0,0,COUNTA(fork_awake_units!$A:$A),MATCH(C$1,fork_awake_units!$1:$1,0)-MATCH($A$1,fork_awake_units!$1:$1,0)+1),MATCH(C$1,fork_awake_units!$1:$1,0)-MATCH($A$1,fork_awake_units!$1:$1,0)+1,FALSE)</f>
        <v>349</v>
      </c>
      <c r="D462" s="3" t="str">
        <f ca="1">VLOOKUP($C462,OFFSET([2]characters!$A$1,0,0,COUNTA([2]characters!$A:$A),MATCH(D$1,[2]characters!$1:$1,0)-MATCH($A$1,[2]characters!$1:$1,0)+1),MATCH(D$1,[2]characters!$1:$1,0)-MATCH($A$1,[2]characters!$1:$1,0)+1,FALSE)</f>
        <v>炎のメタルフロッグ</v>
      </c>
      <c r="E462" s="66">
        <v>334</v>
      </c>
      <c r="F462" s="3" t="str">
        <f ca="1">VLOOKUP($E462,OFFSET([2]characters!$A$1,0,0,COUNTA([2]characters!$A:$A),MATCH(F$1,[2]characters!$1:$1,0)-MATCH($A$1,[2]characters!$1:$1,0)+1),MATCH(F$1,[2]characters!$1:$1,0)-MATCH($A$1,[2]characters!$1:$1,0)+1,FALSE)</f>
        <v>炎のメタルダック</v>
      </c>
      <c r="G462" s="66">
        <v>2</v>
      </c>
      <c r="H462" s="66">
        <v>1</v>
      </c>
      <c r="I462" s="66">
        <v>1</v>
      </c>
    </row>
    <row r="463" spans="1:9" x14ac:dyDescent="0.15">
      <c r="A463" s="66">
        <v>350</v>
      </c>
      <c r="B463" s="3" t="str">
        <f ca="1">VLOOKUP($A463,OFFSET([2]characters!$A$1,0,0,COUNTA([2]characters!$A:$A),MATCH(B$1,[2]characters!$1:$1,0)-MATCH($A$1,[2]characters!$1:$1,0)+1),MATCH(B$1,[2]characters!$1:$1,0)-MATCH($A$1,[2]characters!$1:$1,0)+1,FALSE)</f>
        <v>森のケロケロ</v>
      </c>
      <c r="C463" s="93">
        <f ca="1">VLOOKUP($A463,OFFSET(fork_awake_units!$A$1,0,0,COUNTA(fork_awake_units!$A:$A),MATCH(C$1,fork_awake_units!$1:$1,0)-MATCH($A$1,fork_awake_units!$1:$1,0)+1),MATCH(C$1,fork_awake_units!$1:$1,0)-MATCH($A$1,fork_awake_units!$1:$1,0)+1,FALSE)</f>
        <v>351</v>
      </c>
      <c r="D463" s="3" t="str">
        <f ca="1">VLOOKUP($C463,OFFSET([2]characters!$A$1,0,0,COUNTA([2]characters!$A:$A),MATCH(D$1,[2]characters!$1:$1,0)-MATCH($A$1,[2]characters!$1:$1,0)+1),MATCH(D$1,[2]characters!$1:$1,0)-MATCH($A$1,[2]characters!$1:$1,0)+1,FALSE)</f>
        <v>森のメタルフロッグ</v>
      </c>
      <c r="E463" s="66">
        <v>338</v>
      </c>
      <c r="F463" s="3" t="str">
        <f ca="1">VLOOKUP($E463,OFFSET([2]characters!$A$1,0,0,COUNTA([2]characters!$A:$A),MATCH(F$1,[2]characters!$1:$1,0)-MATCH($A$1,[2]characters!$1:$1,0)+1),MATCH(F$1,[2]characters!$1:$1,0)-MATCH($A$1,[2]characters!$1:$1,0)+1,FALSE)</f>
        <v>森のメタルダック</v>
      </c>
      <c r="G463" s="66">
        <v>2</v>
      </c>
      <c r="H463" s="66">
        <v>1</v>
      </c>
      <c r="I463" s="66">
        <v>1</v>
      </c>
    </row>
    <row r="464" spans="1:9" x14ac:dyDescent="0.15">
      <c r="A464" s="66">
        <v>352</v>
      </c>
      <c r="B464" s="3" t="str">
        <f ca="1">VLOOKUP($A464,OFFSET([2]characters!$A$1,0,0,COUNTA([2]characters!$A:$A),MATCH(B$1,[2]characters!$1:$1,0)-MATCH($A$1,[2]characters!$1:$1,0)+1),MATCH(B$1,[2]characters!$1:$1,0)-MATCH($A$1,[2]characters!$1:$1,0)+1,FALSE)</f>
        <v>水のケロケロ</v>
      </c>
      <c r="C464" s="93">
        <f ca="1">VLOOKUP($A464,OFFSET(fork_awake_units!$A$1,0,0,COUNTA(fork_awake_units!$A:$A),MATCH(C$1,fork_awake_units!$1:$1,0)-MATCH($A$1,fork_awake_units!$1:$1,0)+1),MATCH(C$1,fork_awake_units!$1:$1,0)-MATCH($A$1,fork_awake_units!$1:$1,0)+1,FALSE)</f>
        <v>353</v>
      </c>
      <c r="D464" s="3" t="str">
        <f ca="1">VLOOKUP($C464,OFFSET([2]characters!$A$1,0,0,COUNTA([2]characters!$A:$A),MATCH(D$1,[2]characters!$1:$1,0)-MATCH($A$1,[2]characters!$1:$1,0)+1),MATCH(D$1,[2]characters!$1:$1,0)-MATCH($A$1,[2]characters!$1:$1,0)+1,FALSE)</f>
        <v>水のメタルフロッグ</v>
      </c>
      <c r="E464" s="66">
        <v>342</v>
      </c>
      <c r="F464" s="3" t="str">
        <f ca="1">VLOOKUP($E464,OFFSET([2]characters!$A$1,0,0,COUNTA([2]characters!$A:$A),MATCH(F$1,[2]characters!$1:$1,0)-MATCH($A$1,[2]characters!$1:$1,0)+1),MATCH(F$1,[2]characters!$1:$1,0)-MATCH($A$1,[2]characters!$1:$1,0)+1,FALSE)</f>
        <v>水のメタルダック</v>
      </c>
      <c r="G464" s="66">
        <v>2</v>
      </c>
      <c r="H464" s="66">
        <v>1</v>
      </c>
      <c r="I464" s="66">
        <v>1</v>
      </c>
    </row>
    <row r="465" spans="1:9" x14ac:dyDescent="0.15">
      <c r="A465" s="66">
        <v>354</v>
      </c>
      <c r="B465" s="3" t="str">
        <f ca="1">VLOOKUP($A465,OFFSET([2]characters!$A$1,0,0,COUNTA([2]characters!$A:$A),MATCH(B$1,[2]characters!$1:$1,0)-MATCH($A$1,[2]characters!$1:$1,0)+1),MATCH(B$1,[2]characters!$1:$1,0)-MATCH($A$1,[2]characters!$1:$1,0)+1,FALSE)</f>
        <v>雷のケロケロ</v>
      </c>
      <c r="C465" s="93">
        <f ca="1">VLOOKUP($A465,OFFSET(fork_awake_units!$A$1,0,0,COUNTA(fork_awake_units!$A:$A),MATCH(C$1,fork_awake_units!$1:$1,0)-MATCH($A$1,fork_awake_units!$1:$1,0)+1),MATCH(C$1,fork_awake_units!$1:$1,0)-MATCH($A$1,fork_awake_units!$1:$1,0)+1,FALSE)</f>
        <v>355</v>
      </c>
      <c r="D465" s="3" t="str">
        <f ca="1">VLOOKUP($C465,OFFSET([2]characters!$A$1,0,0,COUNTA([2]characters!$A:$A),MATCH(D$1,[2]characters!$1:$1,0)-MATCH($A$1,[2]characters!$1:$1,0)+1),MATCH(D$1,[2]characters!$1:$1,0)-MATCH($A$1,[2]characters!$1:$1,0)+1,FALSE)</f>
        <v>雷のメタルフロッグ</v>
      </c>
      <c r="E465" s="66">
        <v>346</v>
      </c>
      <c r="F465" s="3" t="str">
        <f ca="1">VLOOKUP($E465,OFFSET([2]characters!$A$1,0,0,COUNTA([2]characters!$A:$A),MATCH(F$1,[2]characters!$1:$1,0)-MATCH($A$1,[2]characters!$1:$1,0)+1),MATCH(F$1,[2]characters!$1:$1,0)-MATCH($A$1,[2]characters!$1:$1,0)+1,FALSE)</f>
        <v>雷のメタルダック</v>
      </c>
      <c r="G465" s="66">
        <v>2</v>
      </c>
      <c r="H465" s="66">
        <v>1</v>
      </c>
      <c r="I465" s="66">
        <v>1</v>
      </c>
    </row>
    <row r="466" spans="1:9" x14ac:dyDescent="0.15">
      <c r="A466" s="66">
        <v>360</v>
      </c>
      <c r="B466" s="3" t="str">
        <f ca="1">VLOOKUP($A466,OFFSET([2]characters!$A$1,0,0,COUNTA([2]characters!$A:$A),MATCH(B$1,[2]characters!$1:$1,0)-MATCH($A$1,[2]characters!$1:$1,0)+1),MATCH(B$1,[2]characters!$1:$1,0)-MATCH($A$1,[2]characters!$1:$1,0)+1,FALSE)</f>
        <v>ガンテツ</v>
      </c>
      <c r="C466" s="93">
        <f ca="1">VLOOKUP($A466,OFFSET(fork_awake_units!$A$1,0,0,COUNTA(fork_awake_units!$A:$A),MATCH(C$1,fork_awake_units!$1:$1,0)-MATCH($A$1,fork_awake_units!$1:$1,0)+1),MATCH(C$1,fork_awake_units!$1:$1,0)-MATCH($A$1,fork_awake_units!$1:$1,0)+1,FALSE)</f>
        <v>361</v>
      </c>
      <c r="D466" s="3" t="str">
        <f ca="1">VLOOKUP($C466,OFFSET([2]characters!$A$1,0,0,COUNTA([2]characters!$A:$A),MATCH(D$1,[2]characters!$1:$1,0)-MATCH($A$1,[2]characters!$1:$1,0)+1),MATCH(D$1,[2]characters!$1:$1,0)-MATCH($A$1,[2]characters!$1:$1,0)+1,FALSE)</f>
        <v>灼熱の鉄板 ガンテツ</v>
      </c>
      <c r="E466" s="66">
        <v>101</v>
      </c>
      <c r="F466" s="3" t="str">
        <f ca="1">VLOOKUP($E466,OFFSET([2]characters!$A$1,0,0,COUNTA([2]characters!$A:$A),MATCH(F$1,[2]characters!$1:$1,0)-MATCH($A$1,[2]characters!$1:$1,0)+1),MATCH(F$1,[2]characters!$1:$1,0)-MATCH($A$1,[2]characters!$1:$1,0)+1,FALSE)</f>
        <v>レッドチェシャ</v>
      </c>
      <c r="G466" s="66">
        <v>1</v>
      </c>
      <c r="H466" s="66">
        <v>1</v>
      </c>
      <c r="I466" s="66">
        <v>1</v>
      </c>
    </row>
    <row r="467" spans="1:9" x14ac:dyDescent="0.15">
      <c r="A467" s="66">
        <v>360</v>
      </c>
      <c r="B467" s="3" t="str">
        <f ca="1">VLOOKUP($A467,OFFSET([2]characters!$A$1,0,0,COUNTA([2]characters!$A:$A),MATCH(B$1,[2]characters!$1:$1,0)-MATCH($A$1,[2]characters!$1:$1,0)+1),MATCH(B$1,[2]characters!$1:$1,0)-MATCH($A$1,[2]characters!$1:$1,0)+1,FALSE)</f>
        <v>ガンテツ</v>
      </c>
      <c r="C467" s="93">
        <f ca="1">VLOOKUP($A467,OFFSET(fork_awake_units!$A$1,0,0,COUNTA(fork_awake_units!$A:$A),MATCH(C$1,fork_awake_units!$1:$1,0)-MATCH($A$1,fork_awake_units!$1:$1,0)+1),MATCH(C$1,fork_awake_units!$1:$1,0)-MATCH($A$1,fork_awake_units!$1:$1,0)+1,FALSE)</f>
        <v>361</v>
      </c>
      <c r="D467" s="3" t="str">
        <f ca="1">VLOOKUP($C467,OFFSET([2]characters!$A$1,0,0,COUNTA([2]characters!$A:$A),MATCH(D$1,[2]characters!$1:$1,0)-MATCH($A$1,[2]characters!$1:$1,0)+1),MATCH(D$1,[2]characters!$1:$1,0)-MATCH($A$1,[2]characters!$1:$1,0)+1,FALSE)</f>
        <v>灼熱の鉄板 ガンテツ</v>
      </c>
      <c r="E467" s="66">
        <v>102</v>
      </c>
      <c r="F467" s="3" t="str">
        <f ca="1">VLOOKUP($E467,OFFSET([2]characters!$A$1,0,0,COUNTA([2]characters!$A:$A),MATCH(F$1,[2]characters!$1:$1,0)-MATCH($A$1,[2]characters!$1:$1,0)+1),MATCH(F$1,[2]characters!$1:$1,0)-MATCH($A$1,[2]characters!$1:$1,0)+1,FALSE)</f>
        <v>レッドラビット</v>
      </c>
      <c r="G467" s="66">
        <v>2</v>
      </c>
      <c r="H467" s="66">
        <v>1</v>
      </c>
      <c r="I467" s="66">
        <v>1</v>
      </c>
    </row>
    <row r="468" spans="1:9" x14ac:dyDescent="0.15">
      <c r="A468" s="66">
        <v>362</v>
      </c>
      <c r="B468" s="3" t="str">
        <f ca="1">VLOOKUP($A468,OFFSET([2]characters!$A$1,0,0,COUNTA([2]characters!$A:$A),MATCH(B$1,[2]characters!$1:$1,0)-MATCH($A$1,[2]characters!$1:$1,0)+1),MATCH(B$1,[2]characters!$1:$1,0)-MATCH($A$1,[2]characters!$1:$1,0)+1,FALSE)</f>
        <v>ゆらら</v>
      </c>
      <c r="C468" s="93">
        <f ca="1">VLOOKUP($A468,OFFSET(fork_awake_units!$A$1,0,0,COUNTA(fork_awake_units!$A:$A),MATCH(C$1,fork_awake_units!$1:$1,0)-MATCH($A$1,fork_awake_units!$1:$1,0)+1),MATCH(C$1,fork_awake_units!$1:$1,0)-MATCH($A$1,fork_awake_units!$1:$1,0)+1,FALSE)</f>
        <v>363</v>
      </c>
      <c r="D468" s="3" t="str">
        <f ca="1">VLOOKUP($C468,OFFSET([2]characters!$A$1,0,0,COUNTA([2]characters!$A:$A),MATCH(D$1,[2]characters!$1:$1,0)-MATCH($A$1,[2]characters!$1:$1,0)+1),MATCH(D$1,[2]characters!$1:$1,0)-MATCH($A$1,[2]characters!$1:$1,0)+1,FALSE)</f>
        <v>花咲く幼精 ゆらら</v>
      </c>
      <c r="E468" s="66">
        <v>105</v>
      </c>
      <c r="F468" s="3" t="str">
        <f ca="1">VLOOKUP($E468,OFFSET([2]characters!$A$1,0,0,COUNTA([2]characters!$A:$A),MATCH(F$1,[2]characters!$1:$1,0)-MATCH($A$1,[2]characters!$1:$1,0)+1),MATCH(F$1,[2]characters!$1:$1,0)-MATCH($A$1,[2]characters!$1:$1,0)+1,FALSE)</f>
        <v>グリーンチェシャ</v>
      </c>
      <c r="G468" s="66">
        <v>1</v>
      </c>
      <c r="H468" s="66">
        <v>1</v>
      </c>
      <c r="I468" s="66">
        <v>1</v>
      </c>
    </row>
    <row r="469" spans="1:9" x14ac:dyDescent="0.15">
      <c r="A469" s="66">
        <v>362</v>
      </c>
      <c r="B469" s="3" t="str">
        <f ca="1">VLOOKUP($A469,OFFSET([2]characters!$A$1,0,0,COUNTA([2]characters!$A:$A),MATCH(B$1,[2]characters!$1:$1,0)-MATCH($A$1,[2]characters!$1:$1,0)+1),MATCH(B$1,[2]characters!$1:$1,0)-MATCH($A$1,[2]characters!$1:$1,0)+1,FALSE)</f>
        <v>ゆらら</v>
      </c>
      <c r="C469" s="93">
        <f ca="1">VLOOKUP($A469,OFFSET(fork_awake_units!$A$1,0,0,COUNTA(fork_awake_units!$A:$A),MATCH(C$1,fork_awake_units!$1:$1,0)-MATCH($A$1,fork_awake_units!$1:$1,0)+1),MATCH(C$1,fork_awake_units!$1:$1,0)-MATCH($A$1,fork_awake_units!$1:$1,0)+1,FALSE)</f>
        <v>363</v>
      </c>
      <c r="D469" s="3" t="str">
        <f ca="1">VLOOKUP($C469,OFFSET([2]characters!$A$1,0,0,COUNTA([2]characters!$A:$A),MATCH(D$1,[2]characters!$1:$1,0)-MATCH($A$1,[2]characters!$1:$1,0)+1),MATCH(D$1,[2]characters!$1:$1,0)-MATCH($A$1,[2]characters!$1:$1,0)+1,FALSE)</f>
        <v>花咲く幼精 ゆらら</v>
      </c>
      <c r="E469" s="66">
        <v>106</v>
      </c>
      <c r="F469" s="3" t="str">
        <f ca="1">VLOOKUP($E469,OFFSET([2]characters!$A$1,0,0,COUNTA([2]characters!$A:$A),MATCH(F$1,[2]characters!$1:$1,0)-MATCH($A$1,[2]characters!$1:$1,0)+1),MATCH(F$1,[2]characters!$1:$1,0)-MATCH($A$1,[2]characters!$1:$1,0)+1,FALSE)</f>
        <v>グリーンラビット</v>
      </c>
      <c r="G469" s="66">
        <v>2</v>
      </c>
      <c r="H469" s="66">
        <v>1</v>
      </c>
      <c r="I469" s="66">
        <v>1</v>
      </c>
    </row>
    <row r="470" spans="1:9" x14ac:dyDescent="0.15">
      <c r="A470" s="66">
        <v>364</v>
      </c>
      <c r="B470" s="3" t="str">
        <f ca="1">VLOOKUP($A470,OFFSET([2]characters!$A$1,0,0,COUNTA([2]characters!$A:$A),MATCH(B$1,[2]characters!$1:$1,0)-MATCH($A$1,[2]characters!$1:$1,0)+1),MATCH(B$1,[2]characters!$1:$1,0)-MATCH($A$1,[2]characters!$1:$1,0)+1,FALSE)</f>
        <v>ノエル</v>
      </c>
      <c r="C470" s="93">
        <f ca="1">VLOOKUP($A470,OFFSET(fork_awake_units!$A$1,0,0,COUNTA(fork_awake_units!$A:$A),MATCH(C$1,fork_awake_units!$1:$1,0)-MATCH($A$1,fork_awake_units!$1:$1,0)+1),MATCH(C$1,fork_awake_units!$1:$1,0)-MATCH($A$1,fork_awake_units!$1:$1,0)+1,FALSE)</f>
        <v>365</v>
      </c>
      <c r="D470" s="3" t="str">
        <f ca="1">VLOOKUP($C470,OFFSET([2]characters!$A$1,0,0,COUNTA([2]characters!$A:$A),MATCH(D$1,[2]characters!$1:$1,0)-MATCH($A$1,[2]characters!$1:$1,0)+1),MATCH(D$1,[2]characters!$1:$1,0)-MATCH($A$1,[2]characters!$1:$1,0)+1,FALSE)</f>
        <v>惨劇の人形 ノエル</v>
      </c>
      <c r="E470" s="66">
        <v>109</v>
      </c>
      <c r="F470" s="3" t="str">
        <f ca="1">VLOOKUP($E470,OFFSET([2]characters!$A$1,0,0,COUNTA([2]characters!$A:$A),MATCH(F$1,[2]characters!$1:$1,0)-MATCH($A$1,[2]characters!$1:$1,0)+1),MATCH(F$1,[2]characters!$1:$1,0)-MATCH($A$1,[2]characters!$1:$1,0)+1,FALSE)</f>
        <v>ブルーチェシャ</v>
      </c>
      <c r="G470" s="66">
        <v>1</v>
      </c>
      <c r="H470" s="66">
        <v>1</v>
      </c>
      <c r="I470" s="66">
        <v>1</v>
      </c>
    </row>
    <row r="471" spans="1:9" x14ac:dyDescent="0.15">
      <c r="A471" s="66">
        <v>364</v>
      </c>
      <c r="B471" s="3" t="str">
        <f ca="1">VLOOKUP($A471,OFFSET([2]characters!$A$1,0,0,COUNTA([2]characters!$A:$A),MATCH(B$1,[2]characters!$1:$1,0)-MATCH($A$1,[2]characters!$1:$1,0)+1),MATCH(B$1,[2]characters!$1:$1,0)-MATCH($A$1,[2]characters!$1:$1,0)+1,FALSE)</f>
        <v>ノエル</v>
      </c>
      <c r="C471" s="93">
        <f ca="1">VLOOKUP($A471,OFFSET(fork_awake_units!$A$1,0,0,COUNTA(fork_awake_units!$A:$A),MATCH(C$1,fork_awake_units!$1:$1,0)-MATCH($A$1,fork_awake_units!$1:$1,0)+1),MATCH(C$1,fork_awake_units!$1:$1,0)-MATCH($A$1,fork_awake_units!$1:$1,0)+1,FALSE)</f>
        <v>365</v>
      </c>
      <c r="D471" s="3" t="str">
        <f ca="1">VLOOKUP($C471,OFFSET([2]characters!$A$1,0,0,COUNTA([2]characters!$A:$A),MATCH(D$1,[2]characters!$1:$1,0)-MATCH($A$1,[2]characters!$1:$1,0)+1),MATCH(D$1,[2]characters!$1:$1,0)-MATCH($A$1,[2]characters!$1:$1,0)+1,FALSE)</f>
        <v>惨劇の人形 ノエル</v>
      </c>
      <c r="E471" s="66">
        <v>110</v>
      </c>
      <c r="F471" s="3" t="str">
        <f ca="1">VLOOKUP($E471,OFFSET([2]characters!$A$1,0,0,COUNTA([2]characters!$A:$A),MATCH(F$1,[2]characters!$1:$1,0)-MATCH($A$1,[2]characters!$1:$1,0)+1),MATCH(F$1,[2]characters!$1:$1,0)-MATCH($A$1,[2]characters!$1:$1,0)+1,FALSE)</f>
        <v>ブルーラビット</v>
      </c>
      <c r="G471" s="66">
        <v>2</v>
      </c>
      <c r="H471" s="66">
        <v>1</v>
      </c>
      <c r="I471" s="66">
        <v>1</v>
      </c>
    </row>
    <row r="472" spans="1:9" x14ac:dyDescent="0.15">
      <c r="A472" s="66">
        <v>366</v>
      </c>
      <c r="B472" s="3" t="str">
        <f ca="1">VLOOKUP($A472,OFFSET([2]characters!$A$1,0,0,COUNTA([2]characters!$A:$A),MATCH(B$1,[2]characters!$1:$1,0)-MATCH($A$1,[2]characters!$1:$1,0)+1),MATCH(B$1,[2]characters!$1:$1,0)-MATCH($A$1,[2]characters!$1:$1,0)+1,FALSE)</f>
        <v>トト</v>
      </c>
      <c r="C472" s="93">
        <f ca="1">VLOOKUP($A472,OFFSET(fork_awake_units!$A$1,0,0,COUNTA(fork_awake_units!$A:$A),MATCH(C$1,fork_awake_units!$1:$1,0)-MATCH($A$1,fork_awake_units!$1:$1,0)+1),MATCH(C$1,fork_awake_units!$1:$1,0)-MATCH($A$1,fork_awake_units!$1:$1,0)+1,FALSE)</f>
        <v>367</v>
      </c>
      <c r="D472" s="3" t="str">
        <f ca="1">VLOOKUP($C472,OFFSET([2]characters!$A$1,0,0,COUNTA([2]characters!$A:$A),MATCH(D$1,[2]characters!$1:$1,0)-MATCH($A$1,[2]characters!$1:$1,0)+1),MATCH(D$1,[2]characters!$1:$1,0)-MATCH($A$1,[2]characters!$1:$1,0)+1,FALSE)</f>
        <v>爆進の小兵 トト</v>
      </c>
      <c r="E472" s="66">
        <v>113</v>
      </c>
      <c r="F472" s="3" t="str">
        <f ca="1">VLOOKUP($E472,OFFSET([2]characters!$A$1,0,0,COUNTA([2]characters!$A:$A),MATCH(F$1,[2]characters!$1:$1,0)-MATCH($A$1,[2]characters!$1:$1,0)+1),MATCH(F$1,[2]characters!$1:$1,0)-MATCH($A$1,[2]characters!$1:$1,0)+1,FALSE)</f>
        <v>イエローチェシャ</v>
      </c>
      <c r="G472" s="66">
        <v>1</v>
      </c>
      <c r="H472" s="66">
        <v>1</v>
      </c>
      <c r="I472" s="66">
        <v>1</v>
      </c>
    </row>
    <row r="473" spans="1:9" x14ac:dyDescent="0.15">
      <c r="A473" s="66">
        <v>366</v>
      </c>
      <c r="B473" s="3" t="str">
        <f ca="1">VLOOKUP($A473,OFFSET([2]characters!$A$1,0,0,COUNTA([2]characters!$A:$A),MATCH(B$1,[2]characters!$1:$1,0)-MATCH($A$1,[2]characters!$1:$1,0)+1),MATCH(B$1,[2]characters!$1:$1,0)-MATCH($A$1,[2]characters!$1:$1,0)+1,FALSE)</f>
        <v>トト</v>
      </c>
      <c r="C473" s="93">
        <f ca="1">VLOOKUP($A473,OFFSET(fork_awake_units!$A$1,0,0,COUNTA(fork_awake_units!$A:$A),MATCH(C$1,fork_awake_units!$1:$1,0)-MATCH($A$1,fork_awake_units!$1:$1,0)+1),MATCH(C$1,fork_awake_units!$1:$1,0)-MATCH($A$1,fork_awake_units!$1:$1,0)+1,FALSE)</f>
        <v>367</v>
      </c>
      <c r="D473" s="3" t="str">
        <f ca="1">VLOOKUP($C473,OFFSET([2]characters!$A$1,0,0,COUNTA([2]characters!$A:$A),MATCH(D$1,[2]characters!$1:$1,0)-MATCH($A$1,[2]characters!$1:$1,0)+1),MATCH(D$1,[2]characters!$1:$1,0)-MATCH($A$1,[2]characters!$1:$1,0)+1,FALSE)</f>
        <v>爆進の小兵 トト</v>
      </c>
      <c r="E473" s="66">
        <v>114</v>
      </c>
      <c r="F473" s="3" t="str">
        <f ca="1">VLOOKUP($E473,OFFSET([2]characters!$A$1,0,0,COUNTA([2]characters!$A:$A),MATCH(F$1,[2]characters!$1:$1,0)-MATCH($A$1,[2]characters!$1:$1,0)+1),MATCH(F$1,[2]characters!$1:$1,0)-MATCH($A$1,[2]characters!$1:$1,0)+1,FALSE)</f>
        <v>イエローラビット</v>
      </c>
      <c r="G473" s="66">
        <v>2</v>
      </c>
      <c r="H473" s="66">
        <v>1</v>
      </c>
      <c r="I473" s="66">
        <v>1</v>
      </c>
    </row>
    <row r="474" spans="1:9" x14ac:dyDescent="0.15">
      <c r="A474" s="66">
        <v>368</v>
      </c>
      <c r="B474" s="3" t="str">
        <f ca="1">VLOOKUP($A474,OFFSET([2]characters!$A$1,0,0,COUNTA([2]characters!$A:$A),MATCH(B$1,[2]characters!$1:$1,0)-MATCH($A$1,[2]characters!$1:$1,0)+1),MATCH(B$1,[2]characters!$1:$1,0)-MATCH($A$1,[2]characters!$1:$1,0)+1,FALSE)</f>
        <v>ボイル</v>
      </c>
      <c r="C474" s="93">
        <f ca="1">VLOOKUP($A474,OFFSET(fork_awake_units!$A$1,0,0,COUNTA(fork_awake_units!$A:$A),MATCH(C$1,fork_awake_units!$1:$1,0)-MATCH($A$1,fork_awake_units!$1:$1,0)+1),MATCH(C$1,fork_awake_units!$1:$1,0)-MATCH($A$1,fork_awake_units!$1:$1,0)+1,FALSE)</f>
        <v>369</v>
      </c>
      <c r="D474" s="3" t="str">
        <f ca="1">VLOOKUP($C474,OFFSET([2]characters!$A$1,0,0,COUNTA([2]characters!$A:$A),MATCH(D$1,[2]characters!$1:$1,0)-MATCH($A$1,[2]characters!$1:$1,0)+1),MATCH(D$1,[2]characters!$1:$1,0)-MATCH($A$1,[2]characters!$1:$1,0)+1,FALSE)</f>
        <v>赫熱の重腕 ボイル</v>
      </c>
      <c r="E474" s="66">
        <v>102</v>
      </c>
      <c r="F474" s="3" t="str">
        <f ca="1">VLOOKUP($E474,OFFSET([2]characters!$A$1,0,0,COUNTA([2]characters!$A:$A),MATCH(F$1,[2]characters!$1:$1,0)-MATCH($A$1,[2]characters!$1:$1,0)+1),MATCH(F$1,[2]characters!$1:$1,0)-MATCH($A$1,[2]characters!$1:$1,0)+1,FALSE)</f>
        <v>レッドラビット</v>
      </c>
      <c r="G474" s="66">
        <v>3</v>
      </c>
      <c r="H474" s="66">
        <v>1</v>
      </c>
      <c r="I474" s="66">
        <v>1</v>
      </c>
    </row>
    <row r="475" spans="1:9" x14ac:dyDescent="0.15">
      <c r="A475" s="66">
        <v>368</v>
      </c>
      <c r="B475" s="3" t="str">
        <f ca="1">VLOOKUP($A475,OFFSET([2]characters!$A$1,0,0,COUNTA([2]characters!$A:$A),MATCH(B$1,[2]characters!$1:$1,0)-MATCH($A$1,[2]characters!$1:$1,0)+1),MATCH(B$1,[2]characters!$1:$1,0)-MATCH($A$1,[2]characters!$1:$1,0)+1,FALSE)</f>
        <v>ボイル</v>
      </c>
      <c r="C475" s="93">
        <f ca="1">VLOOKUP($A475,OFFSET(fork_awake_units!$A$1,0,0,COUNTA(fork_awake_units!$A:$A),MATCH(C$1,fork_awake_units!$1:$1,0)-MATCH($A$1,fork_awake_units!$1:$1,0)+1),MATCH(C$1,fork_awake_units!$1:$1,0)-MATCH($A$1,fork_awake_units!$1:$1,0)+1,FALSE)</f>
        <v>369</v>
      </c>
      <c r="D475" s="3" t="str">
        <f ca="1">VLOOKUP($C475,OFFSET([2]characters!$A$1,0,0,COUNTA([2]characters!$A:$A),MATCH(D$1,[2]characters!$1:$1,0)-MATCH($A$1,[2]characters!$1:$1,0)+1),MATCH(D$1,[2]characters!$1:$1,0)-MATCH($A$1,[2]characters!$1:$1,0)+1,FALSE)</f>
        <v>赫熱の重腕 ボイル</v>
      </c>
      <c r="E475" s="66">
        <v>103</v>
      </c>
      <c r="F475" s="3" t="str">
        <f ca="1">VLOOKUP($E475,OFFSET([2]characters!$A$1,0,0,COUNTA([2]characters!$A:$A),MATCH(F$1,[2]characters!$1:$1,0)-MATCH($A$1,[2]characters!$1:$1,0)+1),MATCH(F$1,[2]characters!$1:$1,0)-MATCH($A$1,[2]characters!$1:$1,0)+1,FALSE)</f>
        <v>レッドキャタップ</v>
      </c>
      <c r="G475" s="66">
        <v>1</v>
      </c>
      <c r="H475" s="66">
        <v>1</v>
      </c>
      <c r="I475" s="66">
        <v>1</v>
      </c>
    </row>
    <row r="476" spans="1:9" x14ac:dyDescent="0.15">
      <c r="A476" s="66">
        <v>368</v>
      </c>
      <c r="B476" s="3" t="str">
        <f ca="1">VLOOKUP($A476,OFFSET([2]characters!$A$1,0,0,COUNTA([2]characters!$A:$A),MATCH(B$1,[2]characters!$1:$1,0)-MATCH($A$1,[2]characters!$1:$1,0)+1),MATCH(B$1,[2]characters!$1:$1,0)-MATCH($A$1,[2]characters!$1:$1,0)+1,FALSE)</f>
        <v>ボイル</v>
      </c>
      <c r="C476" s="93">
        <f ca="1">VLOOKUP($A476,OFFSET(fork_awake_units!$A$1,0,0,COUNTA(fork_awake_units!$A:$A),MATCH(C$1,fork_awake_units!$1:$1,0)-MATCH($A$1,fork_awake_units!$1:$1,0)+1),MATCH(C$1,fork_awake_units!$1:$1,0)-MATCH($A$1,fork_awake_units!$1:$1,0)+1,FALSE)</f>
        <v>369</v>
      </c>
      <c r="D476" s="3" t="str">
        <f ca="1">VLOOKUP($C476,OFFSET([2]characters!$A$1,0,0,COUNTA([2]characters!$A:$A),MATCH(D$1,[2]characters!$1:$1,0)-MATCH($A$1,[2]characters!$1:$1,0)+1),MATCH(D$1,[2]characters!$1:$1,0)-MATCH($A$1,[2]characters!$1:$1,0)+1,FALSE)</f>
        <v>赫熱の重腕 ボイル</v>
      </c>
      <c r="E476" s="66">
        <v>104</v>
      </c>
      <c r="F476" s="3" t="str">
        <f ca="1">VLOOKUP($E476,OFFSET([2]characters!$A$1,0,0,COUNTA([2]characters!$A:$A),MATCH(F$1,[2]characters!$1:$1,0)-MATCH($A$1,[2]characters!$1:$1,0)+1),MATCH(F$1,[2]characters!$1:$1,0)-MATCH($A$1,[2]characters!$1:$1,0)+1,FALSE)</f>
        <v>炎のマッドハッター</v>
      </c>
      <c r="G476" s="66">
        <v>1</v>
      </c>
      <c r="H476" s="66">
        <v>1</v>
      </c>
      <c r="I476" s="66">
        <v>1</v>
      </c>
    </row>
    <row r="477" spans="1:9" x14ac:dyDescent="0.15">
      <c r="A477" s="66">
        <v>370</v>
      </c>
      <c r="B477" s="3" t="str">
        <f ca="1">VLOOKUP($A477,OFFSET([2]characters!$A$1,0,0,COUNTA([2]characters!$A:$A),MATCH(B$1,[2]characters!$1:$1,0)-MATCH($A$1,[2]characters!$1:$1,0)+1),MATCH(B$1,[2]characters!$1:$1,0)-MATCH($A$1,[2]characters!$1:$1,0)+1,FALSE)</f>
        <v>タイチ</v>
      </c>
      <c r="C477" s="93">
        <f ca="1">VLOOKUP($A477,OFFSET(fork_awake_units!$A$1,0,0,COUNTA(fork_awake_units!$A:$A),MATCH(C$1,fork_awake_units!$1:$1,0)-MATCH($A$1,fork_awake_units!$1:$1,0)+1),MATCH(C$1,fork_awake_units!$1:$1,0)-MATCH($A$1,fork_awake_units!$1:$1,0)+1,FALSE)</f>
        <v>371</v>
      </c>
      <c r="D477" s="3" t="str">
        <f ca="1">VLOOKUP($C477,OFFSET([2]characters!$A$1,0,0,COUNTA([2]characters!$A:$A),MATCH(D$1,[2]characters!$1:$1,0)-MATCH($A$1,[2]characters!$1:$1,0)+1),MATCH(D$1,[2]characters!$1:$1,0)-MATCH($A$1,[2]characters!$1:$1,0)+1,FALSE)</f>
        <v>行灯達磨 タイチ</v>
      </c>
      <c r="E477" s="66">
        <v>101</v>
      </c>
      <c r="F477" s="3" t="str">
        <f ca="1">VLOOKUP($E477,OFFSET([2]characters!$A$1,0,0,COUNTA([2]characters!$A:$A),MATCH(F$1,[2]characters!$1:$1,0)-MATCH($A$1,[2]characters!$1:$1,0)+1),MATCH(F$1,[2]characters!$1:$1,0)-MATCH($A$1,[2]characters!$1:$1,0)+1,FALSE)</f>
        <v>レッドチェシャ</v>
      </c>
      <c r="G477" s="66">
        <v>1</v>
      </c>
      <c r="H477" s="66">
        <v>1</v>
      </c>
      <c r="I477" s="66">
        <v>1</v>
      </c>
    </row>
    <row r="478" spans="1:9" x14ac:dyDescent="0.15">
      <c r="A478" s="66">
        <v>370</v>
      </c>
      <c r="B478" s="3" t="str">
        <f ca="1">VLOOKUP($A478,OFFSET([2]characters!$A$1,0,0,COUNTA([2]characters!$A:$A),MATCH(B$1,[2]characters!$1:$1,0)-MATCH($A$1,[2]characters!$1:$1,0)+1),MATCH(B$1,[2]characters!$1:$1,0)-MATCH($A$1,[2]characters!$1:$1,0)+1,FALSE)</f>
        <v>タイチ</v>
      </c>
      <c r="C478" s="93">
        <f ca="1">VLOOKUP($A478,OFFSET(fork_awake_units!$A$1,0,0,COUNTA(fork_awake_units!$A:$A),MATCH(C$1,fork_awake_units!$1:$1,0)-MATCH($A$1,fork_awake_units!$1:$1,0)+1),MATCH(C$1,fork_awake_units!$1:$1,0)-MATCH($A$1,fork_awake_units!$1:$1,0)+1,FALSE)</f>
        <v>371</v>
      </c>
      <c r="D478" s="3" t="str">
        <f ca="1">VLOOKUP($C478,OFFSET([2]characters!$A$1,0,0,COUNTA([2]characters!$A:$A),MATCH(D$1,[2]characters!$1:$1,0)-MATCH($A$1,[2]characters!$1:$1,0)+1),MATCH(D$1,[2]characters!$1:$1,0)-MATCH($A$1,[2]characters!$1:$1,0)+1,FALSE)</f>
        <v>行灯達磨 タイチ</v>
      </c>
      <c r="E478" s="66">
        <v>102</v>
      </c>
      <c r="F478" s="3" t="str">
        <f ca="1">VLOOKUP($E478,OFFSET([2]characters!$A$1,0,0,COUNTA([2]characters!$A:$A),MATCH(F$1,[2]characters!$1:$1,0)-MATCH($A$1,[2]characters!$1:$1,0)+1),MATCH(F$1,[2]characters!$1:$1,0)-MATCH($A$1,[2]characters!$1:$1,0)+1,FALSE)</f>
        <v>レッドラビット</v>
      </c>
      <c r="G478" s="66">
        <v>2</v>
      </c>
      <c r="H478" s="66">
        <v>1</v>
      </c>
      <c r="I478" s="66">
        <v>1</v>
      </c>
    </row>
    <row r="479" spans="1:9" x14ac:dyDescent="0.15">
      <c r="A479" s="66">
        <v>372</v>
      </c>
      <c r="B479" s="3" t="str">
        <f ca="1">VLOOKUP($A479,OFFSET([2]characters!$A$1,0,0,COUNTA([2]characters!$A:$A),MATCH(B$1,[2]characters!$1:$1,0)-MATCH($A$1,[2]characters!$1:$1,0)+1),MATCH(B$1,[2]characters!$1:$1,0)-MATCH($A$1,[2]characters!$1:$1,0)+1,FALSE)</f>
        <v>バショー</v>
      </c>
      <c r="C479" s="93">
        <f ca="1">VLOOKUP($A479,OFFSET(fork_awake_units!$A$1,0,0,COUNTA(fork_awake_units!$A:$A),MATCH(C$1,fork_awake_units!$1:$1,0)-MATCH($A$1,fork_awake_units!$1:$1,0)+1),MATCH(C$1,fork_awake_units!$1:$1,0)-MATCH($A$1,fork_awake_units!$1:$1,0)+1,FALSE)</f>
        <v>373</v>
      </c>
      <c r="D479" s="3" t="str">
        <f ca="1">VLOOKUP($C479,OFFSET([2]characters!$A$1,0,0,COUNTA([2]characters!$A:$A),MATCH(D$1,[2]characters!$1:$1,0)-MATCH($A$1,[2]characters!$1:$1,0)+1),MATCH(D$1,[2]characters!$1:$1,0)-MATCH($A$1,[2]characters!$1:$1,0)+1,FALSE)</f>
        <v>夢幻俳聖 バショー</v>
      </c>
      <c r="E479" s="66">
        <v>105</v>
      </c>
      <c r="F479" s="3" t="str">
        <f ca="1">VLOOKUP($E479,OFFSET([2]characters!$A$1,0,0,COUNTA([2]characters!$A:$A),MATCH(F$1,[2]characters!$1:$1,0)-MATCH($A$1,[2]characters!$1:$1,0)+1),MATCH(F$1,[2]characters!$1:$1,0)-MATCH($A$1,[2]characters!$1:$1,0)+1,FALSE)</f>
        <v>グリーンチェシャ</v>
      </c>
      <c r="G479" s="66">
        <v>1</v>
      </c>
      <c r="H479" s="66">
        <v>1</v>
      </c>
      <c r="I479" s="66">
        <v>1</v>
      </c>
    </row>
    <row r="480" spans="1:9" x14ac:dyDescent="0.15">
      <c r="A480" s="66">
        <v>372</v>
      </c>
      <c r="B480" s="3" t="str">
        <f ca="1">VLOOKUP($A480,OFFSET([2]characters!$A$1,0,0,COUNTA([2]characters!$A:$A),MATCH(B$1,[2]characters!$1:$1,0)-MATCH($A$1,[2]characters!$1:$1,0)+1),MATCH(B$1,[2]characters!$1:$1,0)-MATCH($A$1,[2]characters!$1:$1,0)+1,FALSE)</f>
        <v>バショー</v>
      </c>
      <c r="C480" s="93">
        <f ca="1">VLOOKUP($A480,OFFSET(fork_awake_units!$A$1,0,0,COUNTA(fork_awake_units!$A:$A),MATCH(C$1,fork_awake_units!$1:$1,0)-MATCH($A$1,fork_awake_units!$1:$1,0)+1),MATCH(C$1,fork_awake_units!$1:$1,0)-MATCH($A$1,fork_awake_units!$1:$1,0)+1,FALSE)</f>
        <v>373</v>
      </c>
      <c r="D480" s="3" t="str">
        <f ca="1">VLOOKUP($C480,OFFSET([2]characters!$A$1,0,0,COUNTA([2]characters!$A:$A),MATCH(D$1,[2]characters!$1:$1,0)-MATCH($A$1,[2]characters!$1:$1,0)+1),MATCH(D$1,[2]characters!$1:$1,0)-MATCH($A$1,[2]characters!$1:$1,0)+1,FALSE)</f>
        <v>夢幻俳聖 バショー</v>
      </c>
      <c r="E480" s="66">
        <v>106</v>
      </c>
      <c r="F480" s="3" t="str">
        <f ca="1">VLOOKUP($E480,OFFSET([2]characters!$A$1,0,0,COUNTA([2]characters!$A:$A),MATCH(F$1,[2]characters!$1:$1,0)-MATCH($A$1,[2]characters!$1:$1,0)+1),MATCH(F$1,[2]characters!$1:$1,0)-MATCH($A$1,[2]characters!$1:$1,0)+1,FALSE)</f>
        <v>グリーンラビット</v>
      </c>
      <c r="G480" s="66">
        <v>2</v>
      </c>
      <c r="H480" s="66">
        <v>1</v>
      </c>
      <c r="I480" s="66">
        <v>1</v>
      </c>
    </row>
    <row r="481" spans="1:9" x14ac:dyDescent="0.15">
      <c r="A481" s="66">
        <v>374</v>
      </c>
      <c r="B481" s="3" t="str">
        <f ca="1">VLOOKUP($A481,OFFSET([2]characters!$A$1,0,0,COUNTA([2]characters!$A:$A),MATCH(B$1,[2]characters!$1:$1,0)-MATCH($A$1,[2]characters!$1:$1,0)+1),MATCH(B$1,[2]characters!$1:$1,0)-MATCH($A$1,[2]characters!$1:$1,0)+1,FALSE)</f>
        <v>影丸</v>
      </c>
      <c r="C481" s="93">
        <f ca="1">VLOOKUP($A481,OFFSET(fork_awake_units!$A$1,0,0,COUNTA(fork_awake_units!$A:$A),MATCH(C$1,fork_awake_units!$1:$1,0)-MATCH($A$1,fork_awake_units!$1:$1,0)+1),MATCH(C$1,fork_awake_units!$1:$1,0)-MATCH($A$1,fork_awake_units!$1:$1,0)+1,FALSE)</f>
        <v>375</v>
      </c>
      <c r="D481" s="3" t="str">
        <f ca="1">VLOOKUP($C481,OFFSET([2]characters!$A$1,0,0,COUNTA([2]characters!$A:$A),MATCH(D$1,[2]characters!$1:$1,0)-MATCH($A$1,[2]characters!$1:$1,0)+1),MATCH(D$1,[2]characters!$1:$1,0)-MATCH($A$1,[2]characters!$1:$1,0)+1,FALSE)</f>
        <v>蒼術兎忍 影丸</v>
      </c>
      <c r="E481" s="66">
        <v>109</v>
      </c>
      <c r="F481" s="3" t="str">
        <f ca="1">VLOOKUP($E481,OFFSET([2]characters!$A$1,0,0,COUNTA([2]characters!$A:$A),MATCH(F$1,[2]characters!$1:$1,0)-MATCH($A$1,[2]characters!$1:$1,0)+1),MATCH(F$1,[2]characters!$1:$1,0)-MATCH($A$1,[2]characters!$1:$1,0)+1,FALSE)</f>
        <v>ブルーチェシャ</v>
      </c>
      <c r="G481" s="66">
        <v>1</v>
      </c>
      <c r="H481" s="66">
        <v>1</v>
      </c>
      <c r="I481" s="66">
        <v>1</v>
      </c>
    </row>
    <row r="482" spans="1:9" x14ac:dyDescent="0.15">
      <c r="A482" s="66">
        <v>374</v>
      </c>
      <c r="B482" s="3" t="str">
        <f ca="1">VLOOKUP($A482,OFFSET([2]characters!$A$1,0,0,COUNTA([2]characters!$A:$A),MATCH(B$1,[2]characters!$1:$1,0)-MATCH($A$1,[2]characters!$1:$1,0)+1),MATCH(B$1,[2]characters!$1:$1,0)-MATCH($A$1,[2]characters!$1:$1,0)+1,FALSE)</f>
        <v>影丸</v>
      </c>
      <c r="C482" s="93">
        <f ca="1">VLOOKUP($A482,OFFSET(fork_awake_units!$A$1,0,0,COUNTA(fork_awake_units!$A:$A),MATCH(C$1,fork_awake_units!$1:$1,0)-MATCH($A$1,fork_awake_units!$1:$1,0)+1),MATCH(C$1,fork_awake_units!$1:$1,0)-MATCH($A$1,fork_awake_units!$1:$1,0)+1,FALSE)</f>
        <v>375</v>
      </c>
      <c r="D482" s="3" t="str">
        <f ca="1">VLOOKUP($C482,OFFSET([2]characters!$A$1,0,0,COUNTA([2]characters!$A:$A),MATCH(D$1,[2]characters!$1:$1,0)-MATCH($A$1,[2]characters!$1:$1,0)+1),MATCH(D$1,[2]characters!$1:$1,0)-MATCH($A$1,[2]characters!$1:$1,0)+1,FALSE)</f>
        <v>蒼術兎忍 影丸</v>
      </c>
      <c r="E482" s="66">
        <v>110</v>
      </c>
      <c r="F482" s="3" t="str">
        <f ca="1">VLOOKUP($E482,OFFSET([2]characters!$A$1,0,0,COUNTA([2]characters!$A:$A),MATCH(F$1,[2]characters!$1:$1,0)-MATCH($A$1,[2]characters!$1:$1,0)+1),MATCH(F$1,[2]characters!$1:$1,0)-MATCH($A$1,[2]characters!$1:$1,0)+1,FALSE)</f>
        <v>ブルーラビット</v>
      </c>
      <c r="G482" s="66">
        <v>2</v>
      </c>
      <c r="H482" s="66">
        <v>1</v>
      </c>
      <c r="I482" s="66">
        <v>1</v>
      </c>
    </row>
    <row r="483" spans="1:9" x14ac:dyDescent="0.15">
      <c r="A483" s="66">
        <v>376</v>
      </c>
      <c r="B483" s="3" t="str">
        <f ca="1">VLOOKUP($A483,OFFSET([2]characters!$A$1,0,0,COUNTA([2]characters!$A:$A),MATCH(B$1,[2]characters!$1:$1,0)-MATCH($A$1,[2]characters!$1:$1,0)+1),MATCH(B$1,[2]characters!$1:$1,0)-MATCH($A$1,[2]characters!$1:$1,0)+1,FALSE)</f>
        <v>勘兵衛</v>
      </c>
      <c r="C483" s="93">
        <f ca="1">VLOOKUP($A483,OFFSET(fork_awake_units!$A$1,0,0,COUNTA(fork_awake_units!$A:$A),MATCH(C$1,fork_awake_units!$1:$1,0)-MATCH($A$1,fork_awake_units!$1:$1,0)+1),MATCH(C$1,fork_awake_units!$1:$1,0)-MATCH($A$1,fork_awake_units!$1:$1,0)+1,FALSE)</f>
        <v>377</v>
      </c>
      <c r="D483" s="3" t="str">
        <f ca="1">VLOOKUP($C483,OFFSET([2]characters!$A$1,0,0,COUNTA([2]characters!$A:$A),MATCH(D$1,[2]characters!$1:$1,0)-MATCH($A$1,[2]characters!$1:$1,0)+1),MATCH(D$1,[2]characters!$1:$1,0)-MATCH($A$1,[2]characters!$1:$1,0)+1,FALSE)</f>
        <v>光明鹿剣 勘兵衛</v>
      </c>
      <c r="E483" s="66">
        <v>376</v>
      </c>
      <c r="F483" s="3" t="str">
        <f ca="1">VLOOKUP($E483,OFFSET([2]characters!$A$1,0,0,COUNTA([2]characters!$A:$A),MATCH(F$1,[2]characters!$1:$1,0)-MATCH($A$1,[2]characters!$1:$1,0)+1),MATCH(F$1,[2]characters!$1:$1,0)-MATCH($A$1,[2]characters!$1:$1,0)+1,FALSE)</f>
        <v>勘兵衛</v>
      </c>
      <c r="G483" s="66">
        <v>3</v>
      </c>
      <c r="H483" s="66">
        <v>1</v>
      </c>
      <c r="I483" s="66">
        <v>1</v>
      </c>
    </row>
    <row r="484" spans="1:9" x14ac:dyDescent="0.15">
      <c r="A484" s="66">
        <v>378</v>
      </c>
      <c r="B484" s="3" t="str">
        <f ca="1">VLOOKUP($A484,OFFSET([2]characters!$A$1,0,0,COUNTA([2]characters!$A:$A),MATCH(B$1,[2]characters!$1:$1,0)-MATCH($A$1,[2]characters!$1:$1,0)+1),MATCH(B$1,[2]characters!$1:$1,0)-MATCH($A$1,[2]characters!$1:$1,0)+1,FALSE)</f>
        <v>オイラー</v>
      </c>
      <c r="C484" s="93">
        <f ca="1">VLOOKUP($A484,OFFSET(fork_awake_units!$A$1,0,0,COUNTA(fork_awake_units!$A:$A),MATCH(C$1,fork_awake_units!$1:$1,0)-MATCH($A$1,fork_awake_units!$1:$1,0)+1),MATCH(C$1,fork_awake_units!$1:$1,0)-MATCH($A$1,fork_awake_units!$1:$1,0)+1,FALSE)</f>
        <v>379</v>
      </c>
      <c r="D484" s="3" t="str">
        <f ca="1">VLOOKUP($C484,OFFSET([2]characters!$A$1,0,0,COUNTA([2]characters!$A:$A),MATCH(D$1,[2]characters!$1:$1,0)-MATCH($A$1,[2]characters!$1:$1,0)+1),MATCH(D$1,[2]characters!$1:$1,0)-MATCH($A$1,[2]characters!$1:$1,0)+1,FALSE)</f>
        <v>幾何の機刃 オイラー</v>
      </c>
      <c r="E484" s="66">
        <v>108</v>
      </c>
      <c r="F484" s="3" t="str">
        <f ca="1">VLOOKUP($E484,OFFSET([2]characters!$A$1,0,0,COUNTA([2]characters!$A:$A),MATCH(F$1,[2]characters!$1:$1,0)-MATCH($A$1,[2]characters!$1:$1,0)+1),MATCH(F$1,[2]characters!$1:$1,0)-MATCH($A$1,[2]characters!$1:$1,0)+1,FALSE)</f>
        <v>森のマッドハッター</v>
      </c>
      <c r="G484" s="66">
        <v>2</v>
      </c>
      <c r="H484" s="66">
        <v>1</v>
      </c>
      <c r="I484" s="66">
        <v>1</v>
      </c>
    </row>
    <row r="485" spans="1:9" x14ac:dyDescent="0.15">
      <c r="A485" s="66">
        <v>378</v>
      </c>
      <c r="B485" s="3" t="str">
        <f ca="1">VLOOKUP($A485,OFFSET([2]characters!$A$1,0,0,COUNTA([2]characters!$A:$A),MATCH(B$1,[2]characters!$1:$1,0)-MATCH($A$1,[2]characters!$1:$1,0)+1),MATCH(B$1,[2]characters!$1:$1,0)-MATCH($A$1,[2]characters!$1:$1,0)+1,FALSE)</f>
        <v>オイラー</v>
      </c>
      <c r="C485" s="93">
        <f ca="1">VLOOKUP($A485,OFFSET(fork_awake_units!$A$1,0,0,COUNTA(fork_awake_units!$A:$A),MATCH(C$1,fork_awake_units!$1:$1,0)-MATCH($A$1,fork_awake_units!$1:$1,0)+1),MATCH(C$1,fork_awake_units!$1:$1,0)-MATCH($A$1,fork_awake_units!$1:$1,0)+1,FALSE)</f>
        <v>379</v>
      </c>
      <c r="D485" s="3" t="str">
        <f ca="1">VLOOKUP($C485,OFFSET([2]characters!$A$1,0,0,COUNTA([2]characters!$A:$A),MATCH(D$1,[2]characters!$1:$1,0)-MATCH($A$1,[2]characters!$1:$1,0)+1),MATCH(D$1,[2]characters!$1:$1,0)-MATCH($A$1,[2]characters!$1:$1,0)+1,FALSE)</f>
        <v>幾何の機刃 オイラー</v>
      </c>
      <c r="E485" s="66">
        <v>270</v>
      </c>
      <c r="F485" s="3" t="str">
        <f ca="1">VLOOKUP($E485,OFFSET([2]characters!$A$1,0,0,COUNTA([2]characters!$A:$A),MATCH(F$1,[2]characters!$1:$1,0)-MATCH($A$1,[2]characters!$1:$1,0)+1),MATCH(F$1,[2]characters!$1:$1,0)-MATCH($A$1,[2]characters!$1:$1,0)+1,FALSE)</f>
        <v>風爪のミリー</v>
      </c>
      <c r="G485" s="66">
        <v>1</v>
      </c>
      <c r="H485" s="66">
        <v>1</v>
      </c>
      <c r="I485" s="66">
        <v>1</v>
      </c>
    </row>
    <row r="486" spans="1:9" x14ac:dyDescent="0.15">
      <c r="A486" s="66">
        <v>378</v>
      </c>
      <c r="B486" s="3" t="str">
        <f ca="1">VLOOKUP($A486,OFFSET([2]characters!$A$1,0,0,COUNTA([2]characters!$A:$A),MATCH(B$1,[2]characters!$1:$1,0)-MATCH($A$1,[2]characters!$1:$1,0)+1),MATCH(B$1,[2]characters!$1:$1,0)-MATCH($A$1,[2]characters!$1:$1,0)+1,FALSE)</f>
        <v>オイラー</v>
      </c>
      <c r="C486" s="93">
        <f ca="1">VLOOKUP($A486,OFFSET(fork_awake_units!$A$1,0,0,COUNTA(fork_awake_units!$A:$A),MATCH(C$1,fork_awake_units!$1:$1,0)-MATCH($A$1,fork_awake_units!$1:$1,0)+1),MATCH(C$1,fork_awake_units!$1:$1,0)-MATCH($A$1,fork_awake_units!$1:$1,0)+1,FALSE)</f>
        <v>379</v>
      </c>
      <c r="D486" s="3" t="str">
        <f ca="1">VLOOKUP($C486,OFFSET([2]characters!$A$1,0,0,COUNTA([2]characters!$A:$A),MATCH(D$1,[2]characters!$1:$1,0)-MATCH($A$1,[2]characters!$1:$1,0)+1),MATCH(D$1,[2]characters!$1:$1,0)-MATCH($A$1,[2]characters!$1:$1,0)+1,FALSE)</f>
        <v>幾何の機刃 オイラー</v>
      </c>
      <c r="E486" s="66">
        <v>294</v>
      </c>
      <c r="F486" s="3" t="str">
        <f ca="1">VLOOKUP($E486,OFFSET([2]characters!$A$1,0,0,COUNTA([2]characters!$A:$A),MATCH(F$1,[2]characters!$1:$1,0)-MATCH($A$1,[2]characters!$1:$1,0)+1),MATCH(F$1,[2]characters!$1:$1,0)-MATCH($A$1,[2]characters!$1:$1,0)+1,FALSE)</f>
        <v>ウルフ・ザ・レッドイーター</v>
      </c>
      <c r="G486" s="66">
        <v>1</v>
      </c>
      <c r="H486" s="66">
        <v>1</v>
      </c>
      <c r="I486" s="66">
        <v>1</v>
      </c>
    </row>
    <row r="487" spans="1:9" x14ac:dyDescent="0.15">
      <c r="A487" s="66">
        <v>378</v>
      </c>
      <c r="B487" s="3" t="str">
        <f ca="1">VLOOKUP($A487,OFFSET([2]characters!$A$1,0,0,COUNTA([2]characters!$A:$A),MATCH(B$1,[2]characters!$1:$1,0)-MATCH($A$1,[2]characters!$1:$1,0)+1),MATCH(B$1,[2]characters!$1:$1,0)-MATCH($A$1,[2]characters!$1:$1,0)+1,FALSE)</f>
        <v>オイラー</v>
      </c>
      <c r="C487" s="93">
        <f ca="1">VLOOKUP($A487,OFFSET(fork_awake_units!$A$1,0,0,COUNTA(fork_awake_units!$A:$A),MATCH(C$1,fork_awake_units!$1:$1,0)-MATCH($A$1,fork_awake_units!$1:$1,0)+1),MATCH(C$1,fork_awake_units!$1:$1,0)-MATCH($A$1,fork_awake_units!$1:$1,0)+1,FALSE)</f>
        <v>379</v>
      </c>
      <c r="D487" s="3" t="str">
        <f ca="1">VLOOKUP($C487,OFFSET([2]characters!$A$1,0,0,COUNTA([2]characters!$A:$A),MATCH(D$1,[2]characters!$1:$1,0)-MATCH($A$1,[2]characters!$1:$1,0)+1),MATCH(D$1,[2]characters!$1:$1,0)-MATCH($A$1,[2]characters!$1:$1,0)+1,FALSE)</f>
        <v>幾何の機刃 オイラー</v>
      </c>
      <c r="E487" s="66">
        <v>308</v>
      </c>
      <c r="F487" s="3" t="str">
        <f ca="1">VLOOKUP($E487,OFFSET([2]characters!$A$1,0,0,COUNTA([2]characters!$A:$A),MATCH(F$1,[2]characters!$1:$1,0)-MATCH($A$1,[2]characters!$1:$1,0)+1),MATCH(F$1,[2]characters!$1:$1,0)-MATCH($A$1,[2]characters!$1:$1,0)+1,FALSE)</f>
        <v>アーケロン</v>
      </c>
      <c r="G487" s="66">
        <v>1</v>
      </c>
      <c r="H487" s="66">
        <v>1</v>
      </c>
      <c r="I487" s="66">
        <v>1</v>
      </c>
    </row>
    <row r="488" spans="1:9" x14ac:dyDescent="0.15">
      <c r="A488" s="66">
        <v>380</v>
      </c>
      <c r="B488" s="3" t="str">
        <f ca="1">VLOOKUP($A488,OFFSET([2]characters!$A$1,0,0,COUNTA([2]characters!$A:$A),MATCH(B$1,[2]characters!$1:$1,0)-MATCH($A$1,[2]characters!$1:$1,0)+1),MATCH(B$1,[2]characters!$1:$1,0)-MATCH($A$1,[2]characters!$1:$1,0)+1,FALSE)</f>
        <v>バハムート</v>
      </c>
      <c r="C488" s="93">
        <f ca="1">VLOOKUP($A488,OFFSET(fork_awake_units!$A$1,0,0,COUNTA(fork_awake_units!$A:$A),MATCH(C$1,fork_awake_units!$1:$1,0)-MATCH($A$1,fork_awake_units!$1:$1,0)+1),MATCH(C$1,fork_awake_units!$1:$1,0)-MATCH($A$1,fork_awake_units!$1:$1,0)+1,FALSE)</f>
        <v>381</v>
      </c>
      <c r="D488" s="3" t="str">
        <f ca="1">VLOOKUP($C488,OFFSET([2]characters!$A$1,0,0,COUNTA([2]characters!$A:$A),MATCH(D$1,[2]characters!$1:$1,0)-MATCH($A$1,[2]characters!$1:$1,0)+1),MATCH(D$1,[2]characters!$1:$1,0)-MATCH($A$1,[2]characters!$1:$1,0)+1,FALSE)</f>
        <v>肉食の恋火 バハムート</v>
      </c>
      <c r="E488" s="66">
        <v>102</v>
      </c>
      <c r="F488" s="3" t="str">
        <f ca="1">VLOOKUP($E488,OFFSET([2]characters!$A$1,0,0,COUNTA([2]characters!$A:$A),MATCH(F$1,[2]characters!$1:$1,0)-MATCH($A$1,[2]characters!$1:$1,0)+1),MATCH(F$1,[2]characters!$1:$1,0)-MATCH($A$1,[2]characters!$1:$1,0)+1,FALSE)</f>
        <v>レッドラビット</v>
      </c>
      <c r="G488" s="66">
        <v>1</v>
      </c>
      <c r="H488" s="66">
        <v>1</v>
      </c>
      <c r="I488" s="66">
        <v>1</v>
      </c>
    </row>
    <row r="489" spans="1:9" x14ac:dyDescent="0.15">
      <c r="A489" s="66">
        <v>380</v>
      </c>
      <c r="B489" s="3" t="str">
        <f ca="1">VLOOKUP($A489,OFFSET([2]characters!$A$1,0,0,COUNTA([2]characters!$A:$A),MATCH(B$1,[2]characters!$1:$1,0)-MATCH($A$1,[2]characters!$1:$1,0)+1),MATCH(B$1,[2]characters!$1:$1,0)-MATCH($A$1,[2]characters!$1:$1,0)+1,FALSE)</f>
        <v>バハムート</v>
      </c>
      <c r="C489" s="93">
        <f ca="1">VLOOKUP($A489,OFFSET(fork_awake_units!$A$1,0,0,COUNTA(fork_awake_units!$A:$A),MATCH(C$1,fork_awake_units!$1:$1,0)-MATCH($A$1,fork_awake_units!$1:$1,0)+1),MATCH(C$1,fork_awake_units!$1:$1,0)-MATCH($A$1,fork_awake_units!$1:$1,0)+1,FALSE)</f>
        <v>381</v>
      </c>
      <c r="D489" s="3" t="str">
        <f ca="1">VLOOKUP($C489,OFFSET([2]characters!$A$1,0,0,COUNTA([2]characters!$A:$A),MATCH(D$1,[2]characters!$1:$1,0)-MATCH($A$1,[2]characters!$1:$1,0)+1),MATCH(D$1,[2]characters!$1:$1,0)-MATCH($A$1,[2]characters!$1:$1,0)+1,FALSE)</f>
        <v>肉食の恋火 バハムート</v>
      </c>
      <c r="E489" s="66">
        <v>103</v>
      </c>
      <c r="F489" s="3" t="str">
        <f ca="1">VLOOKUP($E489,OFFSET([2]characters!$A$1,0,0,COUNTA([2]characters!$A:$A),MATCH(F$1,[2]characters!$1:$1,0)-MATCH($A$1,[2]characters!$1:$1,0)+1),MATCH(F$1,[2]characters!$1:$1,0)-MATCH($A$1,[2]characters!$1:$1,0)+1,FALSE)</f>
        <v>レッドキャタップ</v>
      </c>
      <c r="G489" s="66">
        <v>3</v>
      </c>
      <c r="H489" s="66">
        <v>1</v>
      </c>
      <c r="I489" s="66">
        <v>1</v>
      </c>
    </row>
    <row r="490" spans="1:9" x14ac:dyDescent="0.15">
      <c r="A490" s="66">
        <v>381</v>
      </c>
      <c r="B490" s="3" t="str">
        <f ca="1">VLOOKUP($A490,OFFSET([2]characters!$A$1,0,0,COUNTA([2]characters!$A:$A),MATCH(B$1,[2]characters!$1:$1,0)-MATCH($A$1,[2]characters!$1:$1,0)+1),MATCH(B$1,[2]characters!$1:$1,0)-MATCH($A$1,[2]characters!$1:$1,0)+1,FALSE)</f>
        <v>肉食の恋火 バハムート</v>
      </c>
      <c r="C490" s="93">
        <f ca="1">VLOOKUP($A490,OFFSET(fork_awake_units!$A$1,0,0,COUNTA(fork_awake_units!$A:$A),MATCH(C$1,fork_awake_units!$1:$1,0)-MATCH($A$1,fork_awake_units!$1:$1,0)+1),MATCH(C$1,fork_awake_units!$1:$1,0)-MATCH($A$1,fork_awake_units!$1:$1,0)+1,FALSE)</f>
        <v>382</v>
      </c>
      <c r="D490" s="3" t="str">
        <f ca="1">VLOOKUP($C490,OFFSET([2]characters!$A$1,0,0,COUNTA([2]characters!$A:$A),MATCH(D$1,[2]characters!$1:$1,0)-MATCH($A$1,[2]characters!$1:$1,0)+1),MATCH(D$1,[2]characters!$1:$1,0)-MATCH($A$1,[2]characters!$1:$1,0)+1,FALSE)</f>
        <v>激情の愛炎 バハムート</v>
      </c>
      <c r="E490" s="66">
        <v>102</v>
      </c>
      <c r="F490" s="3" t="str">
        <f ca="1">VLOOKUP($E490,OFFSET([2]characters!$A$1,0,0,COUNTA([2]characters!$A:$A),MATCH(F$1,[2]characters!$1:$1,0)-MATCH($A$1,[2]characters!$1:$1,0)+1),MATCH(F$1,[2]characters!$1:$1,0)-MATCH($A$1,[2]characters!$1:$1,0)+1,FALSE)</f>
        <v>レッドラビット</v>
      </c>
      <c r="G490" s="66">
        <v>1</v>
      </c>
      <c r="H490" s="66">
        <v>1</v>
      </c>
      <c r="I490" s="66">
        <v>1</v>
      </c>
    </row>
    <row r="491" spans="1:9" x14ac:dyDescent="0.15">
      <c r="A491" s="66">
        <v>381</v>
      </c>
      <c r="B491" s="3" t="str">
        <f ca="1">VLOOKUP($A491,OFFSET([2]characters!$A$1,0,0,COUNTA([2]characters!$A:$A),MATCH(B$1,[2]characters!$1:$1,0)-MATCH($A$1,[2]characters!$1:$1,0)+1),MATCH(B$1,[2]characters!$1:$1,0)-MATCH($A$1,[2]characters!$1:$1,0)+1,FALSE)</f>
        <v>肉食の恋火 バハムート</v>
      </c>
      <c r="C491" s="93">
        <f ca="1">VLOOKUP($A491,OFFSET(fork_awake_units!$A$1,0,0,COUNTA(fork_awake_units!$A:$A),MATCH(C$1,fork_awake_units!$1:$1,0)-MATCH($A$1,fork_awake_units!$1:$1,0)+1),MATCH(C$1,fork_awake_units!$1:$1,0)-MATCH($A$1,fork_awake_units!$1:$1,0)+1,FALSE)</f>
        <v>382</v>
      </c>
      <c r="D491" s="3" t="str">
        <f ca="1">VLOOKUP($C491,OFFSET([2]characters!$A$1,0,0,COUNTA([2]characters!$A:$A),MATCH(D$1,[2]characters!$1:$1,0)-MATCH($A$1,[2]characters!$1:$1,0)+1),MATCH(D$1,[2]characters!$1:$1,0)-MATCH($A$1,[2]characters!$1:$1,0)+1,FALSE)</f>
        <v>激情の愛炎 バハムート</v>
      </c>
      <c r="E491" s="66">
        <v>103</v>
      </c>
      <c r="F491" s="3" t="str">
        <f ca="1">VLOOKUP($E491,OFFSET([2]characters!$A$1,0,0,COUNTA([2]characters!$A:$A),MATCH(F$1,[2]characters!$1:$1,0)-MATCH($A$1,[2]characters!$1:$1,0)+1),MATCH(F$1,[2]characters!$1:$1,0)-MATCH($A$1,[2]characters!$1:$1,0)+1,FALSE)</f>
        <v>レッドキャタップ</v>
      </c>
      <c r="G491" s="66">
        <v>2</v>
      </c>
      <c r="H491" s="66">
        <v>1</v>
      </c>
      <c r="I491" s="66">
        <v>1</v>
      </c>
    </row>
    <row r="492" spans="1:9" x14ac:dyDescent="0.15">
      <c r="A492" s="66">
        <v>381</v>
      </c>
      <c r="B492" s="3" t="str">
        <f ca="1">VLOOKUP($A492,OFFSET([2]characters!$A$1,0,0,COUNTA([2]characters!$A:$A),MATCH(B$1,[2]characters!$1:$1,0)-MATCH($A$1,[2]characters!$1:$1,0)+1),MATCH(B$1,[2]characters!$1:$1,0)-MATCH($A$1,[2]characters!$1:$1,0)+1,FALSE)</f>
        <v>肉食の恋火 バハムート</v>
      </c>
      <c r="C492" s="93">
        <f ca="1">VLOOKUP($A492,OFFSET(fork_awake_units!$A$1,0,0,COUNTA(fork_awake_units!$A:$A),MATCH(C$1,fork_awake_units!$1:$1,0)-MATCH($A$1,fork_awake_units!$1:$1,0)+1),MATCH(C$1,fork_awake_units!$1:$1,0)-MATCH($A$1,fork_awake_units!$1:$1,0)+1,FALSE)</f>
        <v>382</v>
      </c>
      <c r="D492" s="3" t="str">
        <f ca="1">VLOOKUP($C492,OFFSET([2]characters!$A$1,0,0,COUNTA([2]characters!$A:$A),MATCH(D$1,[2]characters!$1:$1,0)-MATCH($A$1,[2]characters!$1:$1,0)+1),MATCH(D$1,[2]characters!$1:$1,0)-MATCH($A$1,[2]characters!$1:$1,0)+1,FALSE)</f>
        <v>激情の愛炎 バハムート</v>
      </c>
      <c r="E492" s="66">
        <v>104</v>
      </c>
      <c r="F492" s="3" t="str">
        <f ca="1">VLOOKUP($E492,OFFSET([2]characters!$A$1,0,0,COUNTA([2]characters!$A:$A),MATCH(F$1,[2]characters!$1:$1,0)-MATCH($A$1,[2]characters!$1:$1,0)+1),MATCH(F$1,[2]characters!$1:$1,0)-MATCH($A$1,[2]characters!$1:$1,0)+1,FALSE)</f>
        <v>炎のマッドハッター</v>
      </c>
      <c r="G492" s="66">
        <v>2</v>
      </c>
      <c r="H492" s="66">
        <v>1</v>
      </c>
      <c r="I492" s="66">
        <v>1</v>
      </c>
    </row>
    <row r="493" spans="1:9" x14ac:dyDescent="0.15">
      <c r="A493" s="66">
        <v>383</v>
      </c>
      <c r="B493" s="3" t="str">
        <f ca="1">VLOOKUP($A493,OFFSET([2]characters!$A$1,0,0,COUNTA([2]characters!$A:$A),MATCH(B$1,[2]characters!$1:$1,0)-MATCH($A$1,[2]characters!$1:$1,0)+1),MATCH(B$1,[2]characters!$1:$1,0)-MATCH($A$1,[2]characters!$1:$1,0)+1,FALSE)</f>
        <v>酒宴の蟒蛇 ヤマタノオロチ</v>
      </c>
      <c r="C493" s="93">
        <f ca="1">VLOOKUP($A493,OFFSET(fork_awake_units!$A$1,0,0,COUNTA(fork_awake_units!$A:$A),MATCH(C$1,fork_awake_units!$1:$1,0)-MATCH($A$1,fork_awake_units!$1:$1,0)+1),MATCH(C$1,fork_awake_units!$1:$1,0)-MATCH($A$1,fork_awake_units!$1:$1,0)+1,FALSE)</f>
        <v>384</v>
      </c>
      <c r="D493" s="3" t="str">
        <f ca="1">VLOOKUP($C493,OFFSET([2]characters!$A$1,0,0,COUNTA([2]characters!$A:$A),MATCH(D$1,[2]characters!$1:$1,0)-MATCH($A$1,[2]characters!$1:$1,0)+1),MATCH(D$1,[2]characters!$1:$1,0)-MATCH($A$1,[2]characters!$1:$1,0)+1,FALSE)</f>
        <v>破国の呑龍 ヤマタノオロチ</v>
      </c>
      <c r="E493" s="66">
        <v>107</v>
      </c>
      <c r="F493" s="3" t="str">
        <f ca="1">VLOOKUP($E493,OFFSET([2]characters!$A$1,0,0,COUNTA([2]characters!$A:$A),MATCH(F$1,[2]characters!$1:$1,0)-MATCH($A$1,[2]characters!$1:$1,0)+1),MATCH(F$1,[2]characters!$1:$1,0)-MATCH($A$1,[2]characters!$1:$1,0)+1,FALSE)</f>
        <v>グリーンキャタップ</v>
      </c>
      <c r="G493" s="66">
        <v>2</v>
      </c>
      <c r="H493" s="66">
        <v>1</v>
      </c>
      <c r="I493" s="66">
        <v>1</v>
      </c>
    </row>
    <row r="494" spans="1:9" x14ac:dyDescent="0.15">
      <c r="A494" s="66">
        <v>383</v>
      </c>
      <c r="B494" s="3" t="str">
        <f ca="1">VLOOKUP($A494,OFFSET([2]characters!$A$1,0,0,COUNTA([2]characters!$A:$A),MATCH(B$1,[2]characters!$1:$1,0)-MATCH($A$1,[2]characters!$1:$1,0)+1),MATCH(B$1,[2]characters!$1:$1,0)-MATCH($A$1,[2]characters!$1:$1,0)+1,FALSE)</f>
        <v>酒宴の蟒蛇 ヤマタノオロチ</v>
      </c>
      <c r="C494" s="93">
        <f ca="1">VLOOKUP($A494,OFFSET(fork_awake_units!$A$1,0,0,COUNTA(fork_awake_units!$A:$A),MATCH(C$1,fork_awake_units!$1:$1,0)-MATCH($A$1,fork_awake_units!$1:$1,0)+1),MATCH(C$1,fork_awake_units!$1:$1,0)-MATCH($A$1,fork_awake_units!$1:$1,0)+1,FALSE)</f>
        <v>384</v>
      </c>
      <c r="D494" s="3" t="str">
        <f ca="1">VLOOKUP($C494,OFFSET([2]characters!$A$1,0,0,COUNTA([2]characters!$A:$A),MATCH(D$1,[2]characters!$1:$1,0)-MATCH($A$1,[2]characters!$1:$1,0)+1),MATCH(D$1,[2]characters!$1:$1,0)-MATCH($A$1,[2]characters!$1:$1,0)+1,FALSE)</f>
        <v>破国の呑龍 ヤマタノオロチ</v>
      </c>
      <c r="E494" s="66">
        <v>108</v>
      </c>
      <c r="F494" s="3" t="str">
        <f ca="1">VLOOKUP($E494,OFFSET([2]characters!$A$1,0,0,COUNTA([2]characters!$A:$A),MATCH(F$1,[2]characters!$1:$1,0)-MATCH($A$1,[2]characters!$1:$1,0)+1),MATCH(F$1,[2]characters!$1:$1,0)-MATCH($A$1,[2]characters!$1:$1,0)+1,FALSE)</f>
        <v>森のマッドハッター</v>
      </c>
      <c r="G494" s="66">
        <v>1</v>
      </c>
      <c r="H494" s="66">
        <v>1</v>
      </c>
      <c r="I494" s="66">
        <v>1</v>
      </c>
    </row>
    <row r="495" spans="1:9" x14ac:dyDescent="0.15">
      <c r="A495" s="66">
        <v>383</v>
      </c>
      <c r="B495" s="3" t="str">
        <f ca="1">VLOOKUP($A495,OFFSET([2]characters!$A$1,0,0,COUNTA([2]characters!$A:$A),MATCH(B$1,[2]characters!$1:$1,0)-MATCH($A$1,[2]characters!$1:$1,0)+1),MATCH(B$1,[2]characters!$1:$1,0)-MATCH($A$1,[2]characters!$1:$1,0)+1,FALSE)</f>
        <v>酒宴の蟒蛇 ヤマタノオロチ</v>
      </c>
      <c r="C495" s="93">
        <f ca="1">VLOOKUP($A495,OFFSET(fork_awake_units!$A$1,0,0,COUNTA(fork_awake_units!$A:$A),MATCH(C$1,fork_awake_units!$1:$1,0)-MATCH($A$1,fork_awake_units!$1:$1,0)+1),MATCH(C$1,fork_awake_units!$1:$1,0)-MATCH($A$1,fork_awake_units!$1:$1,0)+1,FALSE)</f>
        <v>384</v>
      </c>
      <c r="D495" s="3" t="str">
        <f ca="1">VLOOKUP($C495,OFFSET([2]characters!$A$1,0,0,COUNTA([2]characters!$A:$A),MATCH(D$1,[2]characters!$1:$1,0)-MATCH($A$1,[2]characters!$1:$1,0)+1),MATCH(D$1,[2]characters!$1:$1,0)-MATCH($A$1,[2]characters!$1:$1,0)+1,FALSE)</f>
        <v>破国の呑龍 ヤマタノオロチ</v>
      </c>
      <c r="E495" s="66">
        <v>264</v>
      </c>
      <c r="F495" s="3" t="str">
        <f ca="1">VLOOKUP($E495,OFFSET([2]characters!$A$1,0,0,COUNTA([2]characters!$A:$A),MATCH(F$1,[2]characters!$1:$1,0)-MATCH($A$1,[2]characters!$1:$1,0)+1),MATCH(F$1,[2]characters!$1:$1,0)-MATCH($A$1,[2]characters!$1:$1,0)+1,FALSE)</f>
        <v>ユニコーン</v>
      </c>
      <c r="G495" s="66">
        <v>1</v>
      </c>
      <c r="H495" s="66">
        <v>1</v>
      </c>
      <c r="I495" s="66">
        <v>1</v>
      </c>
    </row>
    <row r="496" spans="1:9" x14ac:dyDescent="0.15">
      <c r="A496" s="66">
        <v>383</v>
      </c>
      <c r="B496" s="3" t="str">
        <f ca="1">VLOOKUP($A496,OFFSET([2]characters!$A$1,0,0,COUNTA([2]characters!$A:$A),MATCH(B$1,[2]characters!$1:$1,0)-MATCH($A$1,[2]characters!$1:$1,0)+1),MATCH(B$1,[2]characters!$1:$1,0)-MATCH($A$1,[2]characters!$1:$1,0)+1,FALSE)</f>
        <v>酒宴の蟒蛇 ヤマタノオロチ</v>
      </c>
      <c r="C496" s="93">
        <f ca="1">VLOOKUP($A496,OFFSET(fork_awake_units!$A$1,0,0,COUNTA(fork_awake_units!$A:$A),MATCH(C$1,fork_awake_units!$1:$1,0)-MATCH($A$1,fork_awake_units!$1:$1,0)+1),MATCH(C$1,fork_awake_units!$1:$1,0)-MATCH($A$1,fork_awake_units!$1:$1,0)+1,FALSE)</f>
        <v>384</v>
      </c>
      <c r="D496" s="3" t="str">
        <f ca="1">VLOOKUP($C496,OFFSET([2]characters!$A$1,0,0,COUNTA([2]characters!$A:$A),MATCH(D$1,[2]characters!$1:$1,0)-MATCH($A$1,[2]characters!$1:$1,0)+1),MATCH(D$1,[2]characters!$1:$1,0)-MATCH($A$1,[2]characters!$1:$1,0)+1,FALSE)</f>
        <v>破国の呑龍 ヤマタノオロチ</v>
      </c>
      <c r="E496" s="66">
        <v>270</v>
      </c>
      <c r="F496" s="3" t="str">
        <f ca="1">VLOOKUP($E496,OFFSET([2]characters!$A$1,0,0,COUNTA([2]characters!$A:$A),MATCH(F$1,[2]characters!$1:$1,0)-MATCH($A$1,[2]characters!$1:$1,0)+1),MATCH(F$1,[2]characters!$1:$1,0)-MATCH($A$1,[2]characters!$1:$1,0)+1,FALSE)</f>
        <v>風爪のミリー</v>
      </c>
      <c r="G496" s="66">
        <v>1</v>
      </c>
      <c r="H496" s="66">
        <v>1</v>
      </c>
      <c r="I496" s="66">
        <v>1</v>
      </c>
    </row>
    <row r="497" spans="1:9" x14ac:dyDescent="0.15">
      <c r="A497" s="66">
        <v>385</v>
      </c>
      <c r="B497" s="3" t="str">
        <f ca="1">VLOOKUP($A497,OFFSET([2]characters!$A$1,0,0,COUNTA([2]characters!$A:$A),MATCH(B$1,[2]characters!$1:$1,0)-MATCH($A$1,[2]characters!$1:$1,0)+1),MATCH(B$1,[2]characters!$1:$1,0)-MATCH($A$1,[2]characters!$1:$1,0)+1,FALSE)</f>
        <v>波烈の出奔 リヴァイアサン</v>
      </c>
      <c r="C497" s="93">
        <f ca="1">VLOOKUP($A497,OFFSET(fork_awake_units!$A$1,0,0,COUNTA(fork_awake_units!$A:$A),MATCH(C$1,fork_awake_units!$1:$1,0)-MATCH($A$1,fork_awake_units!$1:$1,0)+1),MATCH(C$1,fork_awake_units!$1:$1,0)-MATCH($A$1,fork_awake_units!$1:$1,0)+1,FALSE)</f>
        <v>386</v>
      </c>
      <c r="D497" s="3" t="str">
        <f ca="1">VLOOKUP($C497,OFFSET([2]characters!$A$1,0,0,COUNTA([2]characters!$A:$A),MATCH(D$1,[2]characters!$1:$1,0)-MATCH($A$1,[2]characters!$1:$1,0)+1),MATCH(D$1,[2]characters!$1:$1,0)-MATCH($A$1,[2]characters!$1:$1,0)+1,FALSE)</f>
        <v>氾乱の海龍 リヴァイアサン</v>
      </c>
      <c r="E497" s="66">
        <v>111</v>
      </c>
      <c r="F497" s="3" t="str">
        <f ca="1">VLOOKUP($E497,OFFSET([2]characters!$A$1,0,0,COUNTA([2]characters!$A:$A),MATCH(F$1,[2]characters!$1:$1,0)-MATCH($A$1,[2]characters!$1:$1,0)+1),MATCH(F$1,[2]characters!$1:$1,0)-MATCH($A$1,[2]characters!$1:$1,0)+1,FALSE)</f>
        <v>ブルーキャタップ</v>
      </c>
      <c r="G497" s="66">
        <v>2</v>
      </c>
      <c r="H497" s="66">
        <v>1</v>
      </c>
      <c r="I497" s="66">
        <v>1</v>
      </c>
    </row>
    <row r="498" spans="1:9" x14ac:dyDescent="0.15">
      <c r="A498" s="66">
        <v>385</v>
      </c>
      <c r="B498" s="3" t="str">
        <f ca="1">VLOOKUP($A498,OFFSET([2]characters!$A$1,0,0,COUNTA([2]characters!$A:$A),MATCH(B$1,[2]characters!$1:$1,0)-MATCH($A$1,[2]characters!$1:$1,0)+1),MATCH(B$1,[2]characters!$1:$1,0)-MATCH($A$1,[2]characters!$1:$1,0)+1,FALSE)</f>
        <v>波烈の出奔 リヴァイアサン</v>
      </c>
      <c r="C498" s="93">
        <f ca="1">VLOOKUP($A498,OFFSET(fork_awake_units!$A$1,0,0,COUNTA(fork_awake_units!$A:$A),MATCH(C$1,fork_awake_units!$1:$1,0)-MATCH($A$1,fork_awake_units!$1:$1,0)+1),MATCH(C$1,fork_awake_units!$1:$1,0)-MATCH($A$1,fork_awake_units!$1:$1,0)+1,FALSE)</f>
        <v>386</v>
      </c>
      <c r="D498" s="3" t="str">
        <f ca="1">VLOOKUP($C498,OFFSET([2]characters!$A$1,0,0,COUNTA([2]characters!$A:$A),MATCH(D$1,[2]characters!$1:$1,0)-MATCH($A$1,[2]characters!$1:$1,0)+1),MATCH(D$1,[2]characters!$1:$1,0)-MATCH($A$1,[2]characters!$1:$1,0)+1,FALSE)</f>
        <v>氾乱の海龍 リヴァイアサン</v>
      </c>
      <c r="E498" s="66">
        <v>112</v>
      </c>
      <c r="F498" s="3" t="str">
        <f ca="1">VLOOKUP($E498,OFFSET([2]characters!$A$1,0,0,COUNTA([2]characters!$A:$A),MATCH(F$1,[2]characters!$1:$1,0)-MATCH($A$1,[2]characters!$1:$1,0)+1),MATCH(F$1,[2]characters!$1:$1,0)-MATCH($A$1,[2]characters!$1:$1,0)+1,FALSE)</f>
        <v>水のマッドハッター</v>
      </c>
      <c r="G498" s="66">
        <v>1</v>
      </c>
      <c r="H498" s="66">
        <v>1</v>
      </c>
      <c r="I498" s="66">
        <v>1</v>
      </c>
    </row>
    <row r="499" spans="1:9" x14ac:dyDescent="0.15">
      <c r="A499" s="66">
        <v>385</v>
      </c>
      <c r="B499" s="3" t="str">
        <f ca="1">VLOOKUP($A499,OFFSET([2]characters!$A$1,0,0,COUNTA([2]characters!$A:$A),MATCH(B$1,[2]characters!$1:$1,0)-MATCH($A$1,[2]characters!$1:$1,0)+1),MATCH(B$1,[2]characters!$1:$1,0)-MATCH($A$1,[2]characters!$1:$1,0)+1,FALSE)</f>
        <v>波烈の出奔 リヴァイアサン</v>
      </c>
      <c r="C499" s="93">
        <f ca="1">VLOOKUP($A499,OFFSET(fork_awake_units!$A$1,0,0,COUNTA(fork_awake_units!$A:$A),MATCH(C$1,fork_awake_units!$1:$1,0)-MATCH($A$1,fork_awake_units!$1:$1,0)+1),MATCH(C$1,fork_awake_units!$1:$1,0)-MATCH($A$1,fork_awake_units!$1:$1,0)+1,FALSE)</f>
        <v>386</v>
      </c>
      <c r="D499" s="3" t="str">
        <f ca="1">VLOOKUP($C499,OFFSET([2]characters!$A$1,0,0,COUNTA([2]characters!$A:$A),MATCH(D$1,[2]characters!$1:$1,0)-MATCH($A$1,[2]characters!$1:$1,0)+1),MATCH(D$1,[2]characters!$1:$1,0)-MATCH($A$1,[2]characters!$1:$1,0)+1,FALSE)</f>
        <v>氾乱の海龍 リヴァイアサン</v>
      </c>
      <c r="E499" s="66">
        <v>266</v>
      </c>
      <c r="F499" s="3" t="str">
        <f ca="1">VLOOKUP($E499,OFFSET([2]characters!$A$1,0,0,COUNTA([2]characters!$A:$A),MATCH(F$1,[2]characters!$1:$1,0)-MATCH($A$1,[2]characters!$1:$1,0)+1),MATCH(F$1,[2]characters!$1:$1,0)-MATCH($A$1,[2]characters!$1:$1,0)+1,FALSE)</f>
        <v>リリアンブルー</v>
      </c>
      <c r="G499" s="66">
        <v>1</v>
      </c>
      <c r="H499" s="66">
        <v>1</v>
      </c>
      <c r="I499" s="66">
        <v>1</v>
      </c>
    </row>
    <row r="500" spans="1:9" x14ac:dyDescent="0.15">
      <c r="A500" s="66">
        <v>385</v>
      </c>
      <c r="B500" s="3" t="str">
        <f ca="1">VLOOKUP($A500,OFFSET([2]characters!$A$1,0,0,COUNTA([2]characters!$A:$A),MATCH(B$1,[2]characters!$1:$1,0)-MATCH($A$1,[2]characters!$1:$1,0)+1),MATCH(B$1,[2]characters!$1:$1,0)-MATCH($A$1,[2]characters!$1:$1,0)+1,FALSE)</f>
        <v>波烈の出奔 リヴァイアサン</v>
      </c>
      <c r="C500" s="93">
        <f ca="1">VLOOKUP($A500,OFFSET(fork_awake_units!$A$1,0,0,COUNTA(fork_awake_units!$A:$A),MATCH(C$1,fork_awake_units!$1:$1,0)-MATCH($A$1,fork_awake_units!$1:$1,0)+1),MATCH(C$1,fork_awake_units!$1:$1,0)-MATCH($A$1,fork_awake_units!$1:$1,0)+1,FALSE)</f>
        <v>386</v>
      </c>
      <c r="D500" s="3" t="str">
        <f ca="1">VLOOKUP($C500,OFFSET([2]characters!$A$1,0,0,COUNTA([2]characters!$A:$A),MATCH(D$1,[2]characters!$1:$1,0)-MATCH($A$1,[2]characters!$1:$1,0)+1),MATCH(D$1,[2]characters!$1:$1,0)-MATCH($A$1,[2]characters!$1:$1,0)+1,FALSE)</f>
        <v>氾乱の海龍 リヴァイアサン</v>
      </c>
      <c r="E500" s="66">
        <v>272</v>
      </c>
      <c r="F500" s="3" t="str">
        <f ca="1">VLOOKUP($E500,OFFSET([2]characters!$A$1,0,0,COUNTA([2]characters!$A:$A),MATCH(F$1,[2]characters!$1:$1,0)-MATCH($A$1,[2]characters!$1:$1,0)+1),MATCH(F$1,[2]characters!$1:$1,0)-MATCH($A$1,[2]characters!$1:$1,0)+1,FALSE)</f>
        <v>魔札のシルベール</v>
      </c>
      <c r="G500" s="66">
        <v>1</v>
      </c>
      <c r="H500" s="66">
        <v>1</v>
      </c>
      <c r="I500" s="66">
        <v>1</v>
      </c>
    </row>
    <row r="501" spans="1:9" x14ac:dyDescent="0.15">
      <c r="A501" s="66">
        <v>387</v>
      </c>
      <c r="B501" s="3" t="str">
        <f ca="1">VLOOKUP($A501,OFFSET([2]characters!$A$1,0,0,COUNTA([2]characters!$A:$A),MATCH(B$1,[2]characters!$1:$1,0)-MATCH($A$1,[2]characters!$1:$1,0)+1),MATCH(B$1,[2]characters!$1:$1,0)-MATCH($A$1,[2]characters!$1:$1,0)+1,FALSE)</f>
        <v>スフィンクス</v>
      </c>
      <c r="C501" s="93">
        <f ca="1">VLOOKUP($A501,OFFSET(fork_awake_units!$A$1,0,0,COUNTA(fork_awake_units!$A:$A),MATCH(C$1,fork_awake_units!$1:$1,0)-MATCH($A$1,fork_awake_units!$1:$1,0)+1),MATCH(C$1,fork_awake_units!$1:$1,0)-MATCH($A$1,fork_awake_units!$1:$1,0)+1,FALSE)</f>
        <v>388</v>
      </c>
      <c r="D501" s="3" t="str">
        <f ca="1">VLOOKUP($C501,OFFSET([2]characters!$A$1,0,0,COUNTA([2]characters!$A:$A),MATCH(D$1,[2]characters!$1:$1,0)-MATCH($A$1,[2]characters!$1:$1,0)+1),MATCH(D$1,[2]characters!$1:$1,0)-MATCH($A$1,[2]characters!$1:$1,0)+1,FALSE)</f>
        <v>神円の恋姫 スフィンクス</v>
      </c>
      <c r="E501" s="66">
        <v>114</v>
      </c>
      <c r="F501" s="3" t="str">
        <f ca="1">VLOOKUP($E501,OFFSET([2]characters!$A$1,0,0,COUNTA([2]characters!$A:$A),MATCH(F$1,[2]characters!$1:$1,0)-MATCH($A$1,[2]characters!$1:$1,0)+1),MATCH(F$1,[2]characters!$1:$1,0)-MATCH($A$1,[2]characters!$1:$1,0)+1,FALSE)</f>
        <v>イエローラビット</v>
      </c>
      <c r="G501" s="66">
        <v>1</v>
      </c>
      <c r="H501" s="66">
        <v>1</v>
      </c>
      <c r="I501" s="66">
        <v>1</v>
      </c>
    </row>
    <row r="502" spans="1:9" x14ac:dyDescent="0.15">
      <c r="A502" s="66">
        <v>387</v>
      </c>
      <c r="B502" s="3" t="str">
        <f ca="1">VLOOKUP($A502,OFFSET([2]characters!$A$1,0,0,COUNTA([2]characters!$A:$A),MATCH(B$1,[2]characters!$1:$1,0)-MATCH($A$1,[2]characters!$1:$1,0)+1),MATCH(B$1,[2]characters!$1:$1,0)-MATCH($A$1,[2]characters!$1:$1,0)+1,FALSE)</f>
        <v>スフィンクス</v>
      </c>
      <c r="C502" s="93">
        <f ca="1">VLOOKUP($A502,OFFSET(fork_awake_units!$A$1,0,0,COUNTA(fork_awake_units!$A:$A),MATCH(C$1,fork_awake_units!$1:$1,0)-MATCH($A$1,fork_awake_units!$1:$1,0)+1),MATCH(C$1,fork_awake_units!$1:$1,0)-MATCH($A$1,fork_awake_units!$1:$1,0)+1,FALSE)</f>
        <v>388</v>
      </c>
      <c r="D502" s="3" t="str">
        <f ca="1">VLOOKUP($C502,OFFSET([2]characters!$A$1,0,0,COUNTA([2]characters!$A:$A),MATCH(D$1,[2]characters!$1:$1,0)-MATCH($A$1,[2]characters!$1:$1,0)+1),MATCH(D$1,[2]characters!$1:$1,0)-MATCH($A$1,[2]characters!$1:$1,0)+1,FALSE)</f>
        <v>神円の恋姫 スフィンクス</v>
      </c>
      <c r="E502" s="66">
        <v>115</v>
      </c>
      <c r="F502" s="3" t="str">
        <f ca="1">VLOOKUP($E502,OFFSET([2]characters!$A$1,0,0,COUNTA([2]characters!$A:$A),MATCH(F$1,[2]characters!$1:$1,0)-MATCH($A$1,[2]characters!$1:$1,0)+1),MATCH(F$1,[2]characters!$1:$1,0)-MATCH($A$1,[2]characters!$1:$1,0)+1,FALSE)</f>
        <v>イエローキャタップ</v>
      </c>
      <c r="G502" s="66">
        <v>3</v>
      </c>
      <c r="H502" s="66">
        <v>1</v>
      </c>
      <c r="I502" s="66">
        <v>1</v>
      </c>
    </row>
    <row r="503" spans="1:9" x14ac:dyDescent="0.15">
      <c r="A503" s="66">
        <v>388</v>
      </c>
      <c r="B503" s="3" t="str">
        <f ca="1">VLOOKUP($A503,OFFSET([2]characters!$A$1,0,0,COUNTA([2]characters!$A:$A),MATCH(B$1,[2]characters!$1:$1,0)-MATCH($A$1,[2]characters!$1:$1,0)+1),MATCH(B$1,[2]characters!$1:$1,0)-MATCH($A$1,[2]characters!$1:$1,0)+1,FALSE)</f>
        <v>神円の恋姫 スフィンクス</v>
      </c>
      <c r="C503" s="93">
        <f ca="1">VLOOKUP($A503,OFFSET(fork_awake_units!$A$1,0,0,COUNTA(fork_awake_units!$A:$A),MATCH(C$1,fork_awake_units!$1:$1,0)-MATCH($A$1,fork_awake_units!$1:$1,0)+1),MATCH(C$1,fork_awake_units!$1:$1,0)-MATCH($A$1,fork_awake_units!$1:$1,0)+1,FALSE)</f>
        <v>389</v>
      </c>
      <c r="D503" s="3" t="str">
        <f ca="1">VLOOKUP($C503,OFFSET([2]characters!$A$1,0,0,COUNTA([2]characters!$A:$A),MATCH(D$1,[2]characters!$1:$1,0)-MATCH($A$1,[2]characters!$1:$1,0)+1),MATCH(D$1,[2]characters!$1:$1,0)-MATCH($A$1,[2]characters!$1:$1,0)+1,FALSE)</f>
        <v>操神の愛姫 スフィンクス</v>
      </c>
      <c r="E503" s="66">
        <v>114</v>
      </c>
      <c r="F503" s="3" t="str">
        <f ca="1">VLOOKUP($E503,OFFSET([2]characters!$A$1,0,0,COUNTA([2]characters!$A:$A),MATCH(F$1,[2]characters!$1:$1,0)-MATCH($A$1,[2]characters!$1:$1,0)+1),MATCH(F$1,[2]characters!$1:$1,0)-MATCH($A$1,[2]characters!$1:$1,0)+1,FALSE)</f>
        <v>イエローラビット</v>
      </c>
      <c r="G503" s="66">
        <v>1</v>
      </c>
      <c r="H503" s="66">
        <v>1</v>
      </c>
      <c r="I503" s="66">
        <v>1</v>
      </c>
    </row>
    <row r="504" spans="1:9" x14ac:dyDescent="0.15">
      <c r="A504" s="66">
        <v>388</v>
      </c>
      <c r="B504" s="3" t="str">
        <f ca="1">VLOOKUP($A504,OFFSET([2]characters!$A$1,0,0,COUNTA([2]characters!$A:$A),MATCH(B$1,[2]characters!$1:$1,0)-MATCH($A$1,[2]characters!$1:$1,0)+1),MATCH(B$1,[2]characters!$1:$1,0)-MATCH($A$1,[2]characters!$1:$1,0)+1,FALSE)</f>
        <v>神円の恋姫 スフィンクス</v>
      </c>
      <c r="C504" s="93">
        <f ca="1">VLOOKUP($A504,OFFSET(fork_awake_units!$A$1,0,0,COUNTA(fork_awake_units!$A:$A),MATCH(C$1,fork_awake_units!$1:$1,0)-MATCH($A$1,fork_awake_units!$1:$1,0)+1),MATCH(C$1,fork_awake_units!$1:$1,0)-MATCH($A$1,fork_awake_units!$1:$1,0)+1,FALSE)</f>
        <v>389</v>
      </c>
      <c r="D504" s="3" t="str">
        <f ca="1">VLOOKUP($C504,OFFSET([2]characters!$A$1,0,0,COUNTA([2]characters!$A:$A),MATCH(D$1,[2]characters!$1:$1,0)-MATCH($A$1,[2]characters!$1:$1,0)+1),MATCH(D$1,[2]characters!$1:$1,0)-MATCH($A$1,[2]characters!$1:$1,0)+1,FALSE)</f>
        <v>操神の愛姫 スフィンクス</v>
      </c>
      <c r="E504" s="66">
        <v>115</v>
      </c>
      <c r="F504" s="3" t="str">
        <f ca="1">VLOOKUP($E504,OFFSET([2]characters!$A$1,0,0,COUNTA([2]characters!$A:$A),MATCH(F$1,[2]characters!$1:$1,0)-MATCH($A$1,[2]characters!$1:$1,0)+1),MATCH(F$1,[2]characters!$1:$1,0)-MATCH($A$1,[2]characters!$1:$1,0)+1,FALSE)</f>
        <v>イエローキャタップ</v>
      </c>
      <c r="G504" s="66">
        <v>2</v>
      </c>
      <c r="H504" s="66">
        <v>1</v>
      </c>
      <c r="I504" s="66">
        <v>1</v>
      </c>
    </row>
    <row r="505" spans="1:9" x14ac:dyDescent="0.15">
      <c r="A505" s="66">
        <v>388</v>
      </c>
      <c r="B505" s="3" t="str">
        <f ca="1">VLOOKUP($A505,OFFSET([2]characters!$A$1,0,0,COUNTA([2]characters!$A:$A),MATCH(B$1,[2]characters!$1:$1,0)-MATCH($A$1,[2]characters!$1:$1,0)+1),MATCH(B$1,[2]characters!$1:$1,0)-MATCH($A$1,[2]characters!$1:$1,0)+1,FALSE)</f>
        <v>神円の恋姫 スフィンクス</v>
      </c>
      <c r="C505" s="93">
        <f ca="1">VLOOKUP($A505,OFFSET(fork_awake_units!$A$1,0,0,COUNTA(fork_awake_units!$A:$A),MATCH(C$1,fork_awake_units!$1:$1,0)-MATCH($A$1,fork_awake_units!$1:$1,0)+1),MATCH(C$1,fork_awake_units!$1:$1,0)-MATCH($A$1,fork_awake_units!$1:$1,0)+1,FALSE)</f>
        <v>389</v>
      </c>
      <c r="D505" s="3" t="str">
        <f ca="1">VLOOKUP($C505,OFFSET([2]characters!$A$1,0,0,COUNTA([2]characters!$A:$A),MATCH(D$1,[2]characters!$1:$1,0)-MATCH($A$1,[2]characters!$1:$1,0)+1),MATCH(D$1,[2]characters!$1:$1,0)-MATCH($A$1,[2]characters!$1:$1,0)+1,FALSE)</f>
        <v>操神の愛姫 スフィンクス</v>
      </c>
      <c r="E505" s="66">
        <v>116</v>
      </c>
      <c r="F505" s="3" t="str">
        <f ca="1">VLOOKUP($E505,OFFSET([2]characters!$A$1,0,0,COUNTA([2]characters!$A:$A),MATCH(F$1,[2]characters!$1:$1,0)-MATCH($A$1,[2]characters!$1:$1,0)+1),MATCH(F$1,[2]characters!$1:$1,0)-MATCH($A$1,[2]characters!$1:$1,0)+1,FALSE)</f>
        <v>雷のマッドハッター</v>
      </c>
      <c r="G505" s="66">
        <v>2</v>
      </c>
      <c r="H505" s="66">
        <v>1</v>
      </c>
      <c r="I505" s="66">
        <v>1</v>
      </c>
    </row>
    <row r="506" spans="1:9" x14ac:dyDescent="0.15">
      <c r="A506" s="66">
        <v>390</v>
      </c>
      <c r="B506" s="3" t="str">
        <f ca="1">VLOOKUP($A506,OFFSET([2]characters!$A$1,0,0,COUNTA([2]characters!$A:$A),MATCH(B$1,[2]characters!$1:$1,0)-MATCH($A$1,[2]characters!$1:$1,0)+1),MATCH(B$1,[2]characters!$1:$1,0)-MATCH($A$1,[2]characters!$1:$1,0)+1,FALSE)</f>
        <v>華環の旅客 親指姫</v>
      </c>
      <c r="C506" s="93">
        <f ca="1">VLOOKUP($A506,OFFSET(fork_awake_units!$A$1,0,0,COUNTA(fork_awake_units!$A:$A),MATCH(C$1,fork_awake_units!$1:$1,0)-MATCH($A$1,fork_awake_units!$1:$1,0)+1),MATCH(C$1,fork_awake_units!$1:$1,0)-MATCH($A$1,fork_awake_units!$1:$1,0)+1,FALSE)</f>
        <v>391</v>
      </c>
      <c r="D506" s="3" t="str">
        <f ca="1">VLOOKUP($C506,OFFSET([2]characters!$A$1,0,0,COUNTA([2]characters!$A:$A),MATCH(D$1,[2]characters!$1:$1,0)-MATCH($A$1,[2]characters!$1:$1,0)+1),MATCH(D$1,[2]characters!$1:$1,0)-MATCH($A$1,[2]characters!$1:$1,0)+1,FALSE)</f>
        <v>燕翼の旅人 親指姫</v>
      </c>
      <c r="E506" s="66">
        <v>103</v>
      </c>
      <c r="F506" s="3" t="str">
        <f ca="1">VLOOKUP($E506,OFFSET([2]characters!$A$1,0,0,COUNTA([2]characters!$A:$A),MATCH(F$1,[2]characters!$1:$1,0)-MATCH($A$1,[2]characters!$1:$1,0)+1),MATCH(F$1,[2]characters!$1:$1,0)-MATCH($A$1,[2]characters!$1:$1,0)+1,FALSE)</f>
        <v>レッドキャタップ</v>
      </c>
      <c r="G506" s="66">
        <v>2</v>
      </c>
      <c r="H506" s="66">
        <v>1</v>
      </c>
      <c r="I506" s="66">
        <v>1</v>
      </c>
    </row>
    <row r="507" spans="1:9" x14ac:dyDescent="0.15">
      <c r="A507" s="66">
        <v>390</v>
      </c>
      <c r="B507" s="3" t="str">
        <f ca="1">VLOOKUP($A507,OFFSET([2]characters!$A$1,0,0,COUNTA([2]characters!$A:$A),MATCH(B$1,[2]characters!$1:$1,0)-MATCH($A$1,[2]characters!$1:$1,0)+1),MATCH(B$1,[2]characters!$1:$1,0)-MATCH($A$1,[2]characters!$1:$1,0)+1,FALSE)</f>
        <v>華環の旅客 親指姫</v>
      </c>
      <c r="C507" s="93">
        <f ca="1">VLOOKUP($A507,OFFSET(fork_awake_units!$A$1,0,0,COUNTA(fork_awake_units!$A:$A),MATCH(C$1,fork_awake_units!$1:$1,0)-MATCH($A$1,fork_awake_units!$1:$1,0)+1),MATCH(C$1,fork_awake_units!$1:$1,0)-MATCH($A$1,fork_awake_units!$1:$1,0)+1,FALSE)</f>
        <v>391</v>
      </c>
      <c r="D507" s="3" t="str">
        <f ca="1">VLOOKUP($C507,OFFSET([2]characters!$A$1,0,0,COUNTA([2]characters!$A:$A),MATCH(D$1,[2]characters!$1:$1,0)-MATCH($A$1,[2]characters!$1:$1,0)+1),MATCH(D$1,[2]characters!$1:$1,0)-MATCH($A$1,[2]characters!$1:$1,0)+1,FALSE)</f>
        <v>燕翼の旅人 親指姫</v>
      </c>
      <c r="E507" s="66">
        <v>104</v>
      </c>
      <c r="F507" s="3" t="str">
        <f ca="1">VLOOKUP($E507,OFFSET([2]characters!$A$1,0,0,COUNTA([2]characters!$A:$A),MATCH(F$1,[2]characters!$1:$1,0)-MATCH($A$1,[2]characters!$1:$1,0)+1),MATCH(F$1,[2]characters!$1:$1,0)-MATCH($A$1,[2]characters!$1:$1,0)+1,FALSE)</f>
        <v>炎のマッドハッター</v>
      </c>
      <c r="G507" s="66">
        <v>1</v>
      </c>
      <c r="H507" s="66">
        <v>1</v>
      </c>
      <c r="I507" s="66">
        <v>1</v>
      </c>
    </row>
    <row r="508" spans="1:9" x14ac:dyDescent="0.15">
      <c r="A508" s="66">
        <v>390</v>
      </c>
      <c r="B508" s="3" t="str">
        <f ca="1">VLOOKUP($A508,OFFSET([2]characters!$A$1,0,0,COUNTA([2]characters!$A:$A),MATCH(B$1,[2]characters!$1:$1,0)-MATCH($A$1,[2]characters!$1:$1,0)+1),MATCH(B$1,[2]characters!$1:$1,0)-MATCH($A$1,[2]characters!$1:$1,0)+1,FALSE)</f>
        <v>華環の旅客 親指姫</v>
      </c>
      <c r="C508" s="93">
        <f ca="1">VLOOKUP($A508,OFFSET(fork_awake_units!$A$1,0,0,COUNTA(fork_awake_units!$A:$A),MATCH(C$1,fork_awake_units!$1:$1,0)-MATCH($A$1,fork_awake_units!$1:$1,0)+1),MATCH(C$1,fork_awake_units!$1:$1,0)-MATCH($A$1,fork_awake_units!$1:$1,0)+1,FALSE)</f>
        <v>391</v>
      </c>
      <c r="D508" s="3" t="str">
        <f ca="1">VLOOKUP($C508,OFFSET([2]characters!$A$1,0,0,COUNTA([2]characters!$A:$A),MATCH(D$1,[2]characters!$1:$1,0)-MATCH($A$1,[2]characters!$1:$1,0)+1),MATCH(D$1,[2]characters!$1:$1,0)-MATCH($A$1,[2]characters!$1:$1,0)+1,FALSE)</f>
        <v>燕翼の旅人 親指姫</v>
      </c>
      <c r="E508" s="66">
        <v>262</v>
      </c>
      <c r="F508" s="3" t="str">
        <f ca="1">VLOOKUP($E508,OFFSET([2]characters!$A$1,0,0,COUNTA([2]characters!$A:$A),MATCH(F$1,[2]characters!$1:$1,0)-MATCH($A$1,[2]characters!$1:$1,0)+1),MATCH(F$1,[2]characters!$1:$1,0)-MATCH($A$1,[2]characters!$1:$1,0)+1,FALSE)</f>
        <v>アシュリー</v>
      </c>
      <c r="G508" s="66">
        <v>1</v>
      </c>
      <c r="H508" s="66">
        <v>1</v>
      </c>
      <c r="I508" s="66">
        <v>1</v>
      </c>
    </row>
    <row r="509" spans="1:9" x14ac:dyDescent="0.15">
      <c r="A509" s="66">
        <v>390</v>
      </c>
      <c r="B509" s="3" t="str">
        <f ca="1">VLOOKUP($A509,OFFSET([2]characters!$A$1,0,0,COUNTA([2]characters!$A:$A),MATCH(B$1,[2]characters!$1:$1,0)-MATCH($A$1,[2]characters!$1:$1,0)+1),MATCH(B$1,[2]characters!$1:$1,0)-MATCH($A$1,[2]characters!$1:$1,0)+1,FALSE)</f>
        <v>華環の旅客 親指姫</v>
      </c>
      <c r="C509" s="93">
        <f ca="1">VLOOKUP($A509,OFFSET(fork_awake_units!$A$1,0,0,COUNTA(fork_awake_units!$A:$A),MATCH(C$1,fork_awake_units!$1:$1,0)-MATCH($A$1,fork_awake_units!$1:$1,0)+1),MATCH(C$1,fork_awake_units!$1:$1,0)-MATCH($A$1,fork_awake_units!$1:$1,0)+1,FALSE)</f>
        <v>391</v>
      </c>
      <c r="D509" s="3" t="str">
        <f ca="1">VLOOKUP($C509,OFFSET([2]characters!$A$1,0,0,COUNTA([2]characters!$A:$A),MATCH(D$1,[2]characters!$1:$1,0)-MATCH($A$1,[2]characters!$1:$1,0)+1),MATCH(D$1,[2]characters!$1:$1,0)-MATCH($A$1,[2]characters!$1:$1,0)+1,FALSE)</f>
        <v>燕翼の旅人 親指姫</v>
      </c>
      <c r="E509" s="66">
        <v>276</v>
      </c>
      <c r="F509" s="3" t="str">
        <f ca="1">VLOOKUP($E509,OFFSET([2]characters!$A$1,0,0,COUNTA([2]characters!$A:$A),MATCH(F$1,[2]characters!$1:$1,0)-MATCH($A$1,[2]characters!$1:$1,0)+1),MATCH(F$1,[2]characters!$1:$1,0)-MATCH($A$1,[2]characters!$1:$1,0)+1,FALSE)</f>
        <v>機拳のイリア</v>
      </c>
      <c r="G509" s="66">
        <v>1</v>
      </c>
      <c r="H509" s="66">
        <v>1</v>
      </c>
      <c r="I509" s="66">
        <v>1</v>
      </c>
    </row>
    <row r="510" spans="1:9" x14ac:dyDescent="0.15">
      <c r="A510" s="66">
        <v>391</v>
      </c>
      <c r="B510" s="3" t="str">
        <f ca="1">VLOOKUP($A510,OFFSET([2]characters!$A$1,0,0,COUNTA([2]characters!$A:$A),MATCH(B$1,[2]characters!$1:$1,0)-MATCH($A$1,[2]characters!$1:$1,0)+1),MATCH(B$1,[2]characters!$1:$1,0)-MATCH($A$1,[2]characters!$1:$1,0)+1,FALSE)</f>
        <v>燕翼の旅人 親指姫</v>
      </c>
      <c r="C510" s="93">
        <f ca="1">VLOOKUP($A510,OFFSET(fork_awake_units!$A$1,0,0,COUNTA(fork_awake_units!$A:$A),MATCH(C$1,fork_awake_units!$1:$1,0)-MATCH($A$1,fork_awake_units!$1:$1,0)+1),MATCH(C$1,fork_awake_units!$1:$1,0)-MATCH($A$1,fork_awake_units!$1:$1,0)+1,FALSE)</f>
        <v>811</v>
      </c>
      <c r="D510" s="3" t="str">
        <f ca="1">VLOOKUP($C510,OFFSET([2]characters!$A$1,0,0,COUNTA([2]characters!$A:$A),MATCH(D$1,[2]characters!$1:$1,0)-MATCH($A$1,[2]characters!$1:$1,0)+1),MATCH(D$1,[2]characters!$1:$1,0)-MATCH($A$1,[2]characters!$1:$1,0)+1,FALSE)</f>
        <v>咲き誇る旅航者 親指姫</v>
      </c>
      <c r="E510" s="66">
        <v>102</v>
      </c>
      <c r="F510" s="3" t="str">
        <f ca="1">VLOOKUP($E510,OFFSET([2]characters!$A$1,0,0,COUNTA([2]characters!$A:$A),MATCH(F$1,[2]characters!$1:$1,0)-MATCH($A$1,[2]characters!$1:$1,0)+1),MATCH(F$1,[2]characters!$1:$1,0)-MATCH($A$1,[2]characters!$1:$1,0)+1,FALSE)</f>
        <v>レッドラビット</v>
      </c>
      <c r="G510" s="66">
        <v>1</v>
      </c>
      <c r="H510" s="66">
        <v>1</v>
      </c>
      <c r="I510" s="66">
        <v>1</v>
      </c>
    </row>
    <row r="511" spans="1:9" x14ac:dyDescent="0.15">
      <c r="A511" s="66">
        <v>391</v>
      </c>
      <c r="B511" s="3" t="str">
        <f ca="1">VLOOKUP($A511,OFFSET([2]characters!$A$1,0,0,COUNTA([2]characters!$A:$A),MATCH(B$1,[2]characters!$1:$1,0)-MATCH($A$1,[2]characters!$1:$1,0)+1),MATCH(B$1,[2]characters!$1:$1,0)-MATCH($A$1,[2]characters!$1:$1,0)+1,FALSE)</f>
        <v>燕翼の旅人 親指姫</v>
      </c>
      <c r="C511" s="93">
        <f ca="1">VLOOKUP($A511,OFFSET(fork_awake_units!$A$1,0,0,COUNTA(fork_awake_units!$A:$A),MATCH(C$1,fork_awake_units!$1:$1,0)-MATCH($A$1,fork_awake_units!$1:$1,0)+1),MATCH(C$1,fork_awake_units!$1:$1,0)-MATCH($A$1,fork_awake_units!$1:$1,0)+1,FALSE)</f>
        <v>811</v>
      </c>
      <c r="D511" s="3" t="str">
        <f ca="1">VLOOKUP($C511,OFFSET([2]characters!$A$1,0,0,COUNTA([2]characters!$A:$A),MATCH(D$1,[2]characters!$1:$1,0)-MATCH($A$1,[2]characters!$1:$1,0)+1),MATCH(D$1,[2]characters!$1:$1,0)-MATCH($A$1,[2]characters!$1:$1,0)+1,FALSE)</f>
        <v>咲き誇る旅航者 親指姫</v>
      </c>
      <c r="E511" s="66">
        <v>103</v>
      </c>
      <c r="F511" s="3" t="str">
        <f ca="1">VLOOKUP($E511,OFFSET([2]characters!$A$1,0,0,COUNTA([2]characters!$A:$A),MATCH(F$1,[2]characters!$1:$1,0)-MATCH($A$1,[2]characters!$1:$1,0)+1),MATCH(F$1,[2]characters!$1:$1,0)-MATCH($A$1,[2]characters!$1:$1,0)+1,FALSE)</f>
        <v>レッドキャタップ</v>
      </c>
      <c r="G511" s="66">
        <v>1</v>
      </c>
      <c r="H511" s="66">
        <v>1</v>
      </c>
      <c r="I511" s="66">
        <v>1</v>
      </c>
    </row>
    <row r="512" spans="1:9" x14ac:dyDescent="0.15">
      <c r="A512" s="66">
        <v>391</v>
      </c>
      <c r="B512" s="3" t="str">
        <f ca="1">VLOOKUP($A512,OFFSET([2]characters!$A$1,0,0,COUNTA([2]characters!$A:$A),MATCH(B$1,[2]characters!$1:$1,0)-MATCH($A$1,[2]characters!$1:$1,0)+1),MATCH(B$1,[2]characters!$1:$1,0)-MATCH($A$1,[2]characters!$1:$1,0)+1,FALSE)</f>
        <v>燕翼の旅人 親指姫</v>
      </c>
      <c r="C512" s="93">
        <f ca="1">VLOOKUP($A512,OFFSET(fork_awake_units!$A$1,0,0,COUNTA(fork_awake_units!$A:$A),MATCH(C$1,fork_awake_units!$1:$1,0)-MATCH($A$1,fork_awake_units!$1:$1,0)+1),MATCH(C$1,fork_awake_units!$1:$1,0)-MATCH($A$1,fork_awake_units!$1:$1,0)+1,FALSE)</f>
        <v>811</v>
      </c>
      <c r="D512" s="3" t="str">
        <f ca="1">VLOOKUP($C512,OFFSET([2]characters!$A$1,0,0,COUNTA([2]characters!$A:$A),MATCH(D$1,[2]characters!$1:$1,0)-MATCH($A$1,[2]characters!$1:$1,0)+1),MATCH(D$1,[2]characters!$1:$1,0)-MATCH($A$1,[2]characters!$1:$1,0)+1,FALSE)</f>
        <v>咲き誇る旅航者 親指姫</v>
      </c>
      <c r="E512" s="66">
        <v>104</v>
      </c>
      <c r="F512" s="3" t="str">
        <f ca="1">VLOOKUP($E512,OFFSET([2]characters!$A$1,0,0,COUNTA([2]characters!$A:$A),MATCH(F$1,[2]characters!$1:$1,0)-MATCH($A$1,[2]characters!$1:$1,0)+1),MATCH(F$1,[2]characters!$1:$1,0)-MATCH($A$1,[2]characters!$1:$1,0)+1,FALSE)</f>
        <v>炎のマッドハッター</v>
      </c>
      <c r="G512" s="66">
        <v>1</v>
      </c>
      <c r="H512" s="66">
        <v>1</v>
      </c>
      <c r="I512" s="66">
        <v>1</v>
      </c>
    </row>
    <row r="513" spans="1:9" x14ac:dyDescent="0.15">
      <c r="A513" s="66">
        <v>391</v>
      </c>
      <c r="B513" s="3" t="str">
        <f ca="1">VLOOKUP($A513,OFFSET([2]characters!$A$1,0,0,COUNTA([2]characters!$A:$A),MATCH(B$1,[2]characters!$1:$1,0)-MATCH($A$1,[2]characters!$1:$1,0)+1),MATCH(B$1,[2]characters!$1:$1,0)-MATCH($A$1,[2]characters!$1:$1,0)+1,FALSE)</f>
        <v>燕翼の旅人 親指姫</v>
      </c>
      <c r="C513" s="93">
        <f ca="1">VLOOKUP($A513,OFFSET(fork_awake_units!$A$1,0,0,COUNTA(fork_awake_units!$A:$A),MATCH(C$1,fork_awake_units!$1:$1,0)-MATCH($A$1,fork_awake_units!$1:$1,0)+1),MATCH(C$1,fork_awake_units!$1:$1,0)-MATCH($A$1,fork_awake_units!$1:$1,0)+1,FALSE)</f>
        <v>811</v>
      </c>
      <c r="D513" s="3" t="str">
        <f ca="1">VLOOKUP($C513,OFFSET([2]characters!$A$1,0,0,COUNTA([2]characters!$A:$A),MATCH(D$1,[2]characters!$1:$1,0)-MATCH($A$1,[2]characters!$1:$1,0)+1),MATCH(D$1,[2]characters!$1:$1,0)-MATCH($A$1,[2]characters!$1:$1,0)+1,FALSE)</f>
        <v>咲き誇る旅航者 親指姫</v>
      </c>
      <c r="E513" s="66">
        <v>837</v>
      </c>
      <c r="F513" s="3" t="str">
        <f ca="1">VLOOKUP($E513,OFFSET([2]characters!$A$1,0,0,COUNTA([2]characters!$A:$A),MATCH(F$1,[2]characters!$1:$1,0)-MATCH($A$1,[2]characters!$1:$1,0)+1),MATCH(F$1,[2]characters!$1:$1,0)-MATCH($A$1,[2]characters!$1:$1,0)+1,FALSE)</f>
        <v>リトルハンプティ</v>
      </c>
      <c r="G513" s="66">
        <v>1</v>
      </c>
      <c r="H513" s="66">
        <v>1</v>
      </c>
      <c r="I513" s="66">
        <v>1</v>
      </c>
    </row>
    <row r="514" spans="1:9" x14ac:dyDescent="0.15">
      <c r="A514" s="66">
        <v>392</v>
      </c>
      <c r="B514" s="3" t="str">
        <f ca="1">VLOOKUP($A514,OFFSET([2]characters!$A$1,0,0,COUNTA([2]characters!$A:$A),MATCH(B$1,[2]characters!$1:$1,0)-MATCH($A$1,[2]characters!$1:$1,0)+1),MATCH(B$1,[2]characters!$1:$1,0)-MATCH($A$1,[2]characters!$1:$1,0)+1,FALSE)</f>
        <v>ピーターパン</v>
      </c>
      <c r="C514" s="93">
        <f ca="1">VLOOKUP($A514,OFFSET(fork_awake_units!$A$1,0,0,COUNTA(fork_awake_units!$A:$A),MATCH(C$1,fork_awake_units!$1:$1,0)-MATCH($A$1,fork_awake_units!$1:$1,0)+1),MATCH(C$1,fork_awake_units!$1:$1,0)-MATCH($A$1,fork_awake_units!$1:$1,0)+1,FALSE)</f>
        <v>393</v>
      </c>
      <c r="D514" s="3" t="str">
        <f ca="1">VLOOKUP($C514,OFFSET([2]characters!$A$1,0,0,COUNTA([2]characters!$A:$A),MATCH(D$1,[2]characters!$1:$1,0)-MATCH($A$1,[2]characters!$1:$1,0)+1),MATCH(D$1,[2]characters!$1:$1,0)-MATCH($A$1,[2]characters!$1:$1,0)+1,FALSE)</f>
        <v>影縫い ピーターパン</v>
      </c>
      <c r="E514" s="66">
        <v>106</v>
      </c>
      <c r="F514" s="3" t="str">
        <f ca="1">VLOOKUP($E514,OFFSET([2]characters!$A$1,0,0,COUNTA([2]characters!$A:$A),MATCH(F$1,[2]characters!$1:$1,0)-MATCH($A$1,[2]characters!$1:$1,0)+1),MATCH(F$1,[2]characters!$1:$1,0)-MATCH($A$1,[2]characters!$1:$1,0)+1,FALSE)</f>
        <v>グリーンラビット</v>
      </c>
      <c r="G514" s="66">
        <v>1</v>
      </c>
      <c r="H514" s="66">
        <v>1</v>
      </c>
      <c r="I514" s="66">
        <v>1</v>
      </c>
    </row>
    <row r="515" spans="1:9" x14ac:dyDescent="0.15">
      <c r="A515" s="66">
        <v>392</v>
      </c>
      <c r="B515" s="3" t="str">
        <f ca="1">VLOOKUP($A515,OFFSET([2]characters!$A$1,0,0,COUNTA([2]characters!$A:$A),MATCH(B$1,[2]characters!$1:$1,0)-MATCH($A$1,[2]characters!$1:$1,0)+1),MATCH(B$1,[2]characters!$1:$1,0)-MATCH($A$1,[2]characters!$1:$1,0)+1,FALSE)</f>
        <v>ピーターパン</v>
      </c>
      <c r="C515" s="93">
        <f ca="1">VLOOKUP($A515,OFFSET(fork_awake_units!$A$1,0,0,COUNTA(fork_awake_units!$A:$A),MATCH(C$1,fork_awake_units!$1:$1,0)-MATCH($A$1,fork_awake_units!$1:$1,0)+1),MATCH(C$1,fork_awake_units!$1:$1,0)-MATCH($A$1,fork_awake_units!$1:$1,0)+1,FALSE)</f>
        <v>393</v>
      </c>
      <c r="D515" s="3" t="str">
        <f ca="1">VLOOKUP($C515,OFFSET([2]characters!$A$1,0,0,COUNTA([2]characters!$A:$A),MATCH(D$1,[2]characters!$1:$1,0)-MATCH($A$1,[2]characters!$1:$1,0)+1),MATCH(D$1,[2]characters!$1:$1,0)-MATCH($A$1,[2]characters!$1:$1,0)+1,FALSE)</f>
        <v>影縫い ピーターパン</v>
      </c>
      <c r="E515" s="66">
        <v>107</v>
      </c>
      <c r="F515" s="3" t="str">
        <f ca="1">VLOOKUP($E515,OFFSET([2]characters!$A$1,0,0,COUNTA([2]characters!$A:$A),MATCH(F$1,[2]characters!$1:$1,0)-MATCH($A$1,[2]characters!$1:$1,0)+1),MATCH(F$1,[2]characters!$1:$1,0)-MATCH($A$1,[2]characters!$1:$1,0)+1,FALSE)</f>
        <v>グリーンキャタップ</v>
      </c>
      <c r="G515" s="66">
        <v>3</v>
      </c>
      <c r="H515" s="66">
        <v>1</v>
      </c>
      <c r="I515" s="66">
        <v>1</v>
      </c>
    </row>
    <row r="516" spans="1:9" x14ac:dyDescent="0.15">
      <c r="A516" s="66">
        <v>393</v>
      </c>
      <c r="B516" s="3" t="str">
        <f ca="1">VLOOKUP($A516,OFFSET([2]characters!$A$1,0,0,COUNTA([2]characters!$A:$A),MATCH(B$1,[2]characters!$1:$1,0)-MATCH($A$1,[2]characters!$1:$1,0)+1),MATCH(B$1,[2]characters!$1:$1,0)-MATCH($A$1,[2]characters!$1:$1,0)+1,FALSE)</f>
        <v>影縫い ピーターパン</v>
      </c>
      <c r="C516" s="93">
        <f ca="1">VLOOKUP($A516,OFFSET(fork_awake_units!$A$1,0,0,COUNTA(fork_awake_units!$A:$A),MATCH(C$1,fork_awake_units!$1:$1,0)-MATCH($A$1,fork_awake_units!$1:$1,0)+1),MATCH(C$1,fork_awake_units!$1:$1,0)-MATCH($A$1,fork_awake_units!$1:$1,0)+1,FALSE)</f>
        <v>394</v>
      </c>
      <c r="D516" s="3" t="str">
        <f ca="1">VLOOKUP($C516,OFFSET([2]characters!$A$1,0,0,COUNTA([2]characters!$A:$A),MATCH(D$1,[2]characters!$1:$1,0)-MATCH($A$1,[2]characters!$1:$1,0)+1),MATCH(D$1,[2]characters!$1:$1,0)-MATCH($A$1,[2]characters!$1:$1,0)+1,FALSE)</f>
        <v>影求の悪童 ピーターパン</v>
      </c>
      <c r="E516" s="66">
        <v>106</v>
      </c>
      <c r="F516" s="3" t="str">
        <f ca="1">VLOOKUP($E516,OFFSET([2]characters!$A$1,0,0,COUNTA([2]characters!$A:$A),MATCH(F$1,[2]characters!$1:$1,0)-MATCH($A$1,[2]characters!$1:$1,0)+1),MATCH(F$1,[2]characters!$1:$1,0)-MATCH($A$1,[2]characters!$1:$1,0)+1,FALSE)</f>
        <v>グリーンラビット</v>
      </c>
      <c r="G516" s="66">
        <v>1</v>
      </c>
      <c r="H516" s="66">
        <v>1</v>
      </c>
      <c r="I516" s="66">
        <v>1</v>
      </c>
    </row>
    <row r="517" spans="1:9" x14ac:dyDescent="0.15">
      <c r="A517" s="66">
        <v>393</v>
      </c>
      <c r="B517" s="3" t="str">
        <f ca="1">VLOOKUP($A517,OFFSET([2]characters!$A$1,0,0,COUNTA([2]characters!$A:$A),MATCH(B$1,[2]characters!$1:$1,0)-MATCH($A$1,[2]characters!$1:$1,0)+1),MATCH(B$1,[2]characters!$1:$1,0)-MATCH($A$1,[2]characters!$1:$1,0)+1,FALSE)</f>
        <v>影縫い ピーターパン</v>
      </c>
      <c r="C517" s="93">
        <f ca="1">VLOOKUP($A517,OFFSET(fork_awake_units!$A$1,0,0,COUNTA(fork_awake_units!$A:$A),MATCH(C$1,fork_awake_units!$1:$1,0)-MATCH($A$1,fork_awake_units!$1:$1,0)+1),MATCH(C$1,fork_awake_units!$1:$1,0)-MATCH($A$1,fork_awake_units!$1:$1,0)+1,FALSE)</f>
        <v>394</v>
      </c>
      <c r="D517" s="3" t="str">
        <f ca="1">VLOOKUP($C517,OFFSET([2]characters!$A$1,0,0,COUNTA([2]characters!$A:$A),MATCH(D$1,[2]characters!$1:$1,0)-MATCH($A$1,[2]characters!$1:$1,0)+1),MATCH(D$1,[2]characters!$1:$1,0)-MATCH($A$1,[2]characters!$1:$1,0)+1,FALSE)</f>
        <v>影求の悪童 ピーターパン</v>
      </c>
      <c r="E517" s="66">
        <v>107</v>
      </c>
      <c r="F517" s="3" t="str">
        <f ca="1">VLOOKUP($E517,OFFSET([2]characters!$A$1,0,0,COUNTA([2]characters!$A:$A),MATCH(F$1,[2]characters!$1:$1,0)-MATCH($A$1,[2]characters!$1:$1,0)+1),MATCH(F$1,[2]characters!$1:$1,0)-MATCH($A$1,[2]characters!$1:$1,0)+1,FALSE)</f>
        <v>グリーンキャタップ</v>
      </c>
      <c r="G517" s="66">
        <v>2</v>
      </c>
      <c r="H517" s="66">
        <v>1</v>
      </c>
      <c r="I517" s="66">
        <v>1</v>
      </c>
    </row>
    <row r="518" spans="1:9" x14ac:dyDescent="0.15">
      <c r="A518" s="66">
        <v>393</v>
      </c>
      <c r="B518" s="3" t="str">
        <f ca="1">VLOOKUP($A518,OFFSET([2]characters!$A$1,0,0,COUNTA([2]characters!$A:$A),MATCH(B$1,[2]characters!$1:$1,0)-MATCH($A$1,[2]characters!$1:$1,0)+1),MATCH(B$1,[2]characters!$1:$1,0)-MATCH($A$1,[2]characters!$1:$1,0)+1,FALSE)</f>
        <v>影縫い ピーターパン</v>
      </c>
      <c r="C518" s="93">
        <f ca="1">VLOOKUP($A518,OFFSET(fork_awake_units!$A$1,0,0,COUNTA(fork_awake_units!$A:$A),MATCH(C$1,fork_awake_units!$1:$1,0)-MATCH($A$1,fork_awake_units!$1:$1,0)+1),MATCH(C$1,fork_awake_units!$1:$1,0)-MATCH($A$1,fork_awake_units!$1:$1,0)+1,FALSE)</f>
        <v>394</v>
      </c>
      <c r="D518" s="3" t="str">
        <f ca="1">VLOOKUP($C518,OFFSET([2]characters!$A$1,0,0,COUNTA([2]characters!$A:$A),MATCH(D$1,[2]characters!$1:$1,0)-MATCH($A$1,[2]characters!$1:$1,0)+1),MATCH(D$1,[2]characters!$1:$1,0)-MATCH($A$1,[2]characters!$1:$1,0)+1,FALSE)</f>
        <v>影求の悪童 ピーターパン</v>
      </c>
      <c r="E518" s="66">
        <v>108</v>
      </c>
      <c r="F518" s="3" t="str">
        <f ca="1">VLOOKUP($E518,OFFSET([2]characters!$A$1,0,0,COUNTA([2]characters!$A:$A),MATCH(F$1,[2]characters!$1:$1,0)-MATCH($A$1,[2]characters!$1:$1,0)+1),MATCH(F$1,[2]characters!$1:$1,0)-MATCH($A$1,[2]characters!$1:$1,0)+1,FALSE)</f>
        <v>森のマッドハッター</v>
      </c>
      <c r="G518" s="66">
        <v>2</v>
      </c>
      <c r="H518" s="66">
        <v>1</v>
      </c>
      <c r="I518" s="66">
        <v>1</v>
      </c>
    </row>
    <row r="519" spans="1:9" x14ac:dyDescent="0.15">
      <c r="A519" s="66">
        <v>395</v>
      </c>
      <c r="B519" s="3" t="str">
        <f ca="1">VLOOKUP($A519,OFFSET([2]characters!$A$1,0,0,COUNTA([2]characters!$A:$A),MATCH(B$1,[2]characters!$1:$1,0)-MATCH($A$1,[2]characters!$1:$1,0)+1),MATCH(B$1,[2]characters!$1:$1,0)-MATCH($A$1,[2]characters!$1:$1,0)+1,FALSE)</f>
        <v>乙姫</v>
      </c>
      <c r="C519" s="93">
        <f ca="1">VLOOKUP($A519,OFFSET(fork_awake_units!$A$1,0,0,COUNTA(fork_awake_units!$A:$A),MATCH(C$1,fork_awake_units!$1:$1,0)-MATCH($A$1,fork_awake_units!$1:$1,0)+1),MATCH(C$1,fork_awake_units!$1:$1,0)-MATCH($A$1,fork_awake_units!$1:$1,0)+1,FALSE)</f>
        <v>396</v>
      </c>
      <c r="D519" s="3" t="str">
        <f ca="1">VLOOKUP($C519,OFFSET([2]characters!$A$1,0,0,COUNTA([2]characters!$A:$A),MATCH(D$1,[2]characters!$1:$1,0)-MATCH($A$1,[2]characters!$1:$1,0)+1),MATCH(D$1,[2]characters!$1:$1,0)-MATCH($A$1,[2]characters!$1:$1,0)+1,FALSE)</f>
        <v>竜宮の水雷 乙姫</v>
      </c>
      <c r="E519" s="66">
        <v>110</v>
      </c>
      <c r="F519" s="3" t="str">
        <f ca="1">VLOOKUP($E519,OFFSET([2]characters!$A$1,0,0,COUNTA([2]characters!$A:$A),MATCH(F$1,[2]characters!$1:$1,0)-MATCH($A$1,[2]characters!$1:$1,0)+1),MATCH(F$1,[2]characters!$1:$1,0)-MATCH($A$1,[2]characters!$1:$1,0)+1,FALSE)</f>
        <v>ブルーラビット</v>
      </c>
      <c r="G519" s="66">
        <v>1</v>
      </c>
      <c r="H519" s="66">
        <v>1</v>
      </c>
      <c r="I519" s="66">
        <v>1</v>
      </c>
    </row>
    <row r="520" spans="1:9" x14ac:dyDescent="0.15">
      <c r="A520" s="66">
        <v>395</v>
      </c>
      <c r="B520" s="3" t="str">
        <f ca="1">VLOOKUP($A520,OFFSET([2]characters!$A$1,0,0,COUNTA([2]characters!$A:$A),MATCH(B$1,[2]characters!$1:$1,0)-MATCH($A$1,[2]characters!$1:$1,0)+1),MATCH(B$1,[2]characters!$1:$1,0)-MATCH($A$1,[2]characters!$1:$1,0)+1,FALSE)</f>
        <v>乙姫</v>
      </c>
      <c r="C520" s="93">
        <f ca="1">VLOOKUP($A520,OFFSET(fork_awake_units!$A$1,0,0,COUNTA(fork_awake_units!$A:$A),MATCH(C$1,fork_awake_units!$1:$1,0)-MATCH($A$1,fork_awake_units!$1:$1,0)+1),MATCH(C$1,fork_awake_units!$1:$1,0)-MATCH($A$1,fork_awake_units!$1:$1,0)+1,FALSE)</f>
        <v>396</v>
      </c>
      <c r="D520" s="3" t="str">
        <f ca="1">VLOOKUP($C520,OFFSET([2]characters!$A$1,0,0,COUNTA([2]characters!$A:$A),MATCH(D$1,[2]characters!$1:$1,0)-MATCH($A$1,[2]characters!$1:$1,0)+1),MATCH(D$1,[2]characters!$1:$1,0)-MATCH($A$1,[2]characters!$1:$1,0)+1,FALSE)</f>
        <v>竜宮の水雷 乙姫</v>
      </c>
      <c r="E520" s="66">
        <v>111</v>
      </c>
      <c r="F520" s="3" t="str">
        <f ca="1">VLOOKUP($E520,OFFSET([2]characters!$A$1,0,0,COUNTA([2]characters!$A:$A),MATCH(F$1,[2]characters!$1:$1,0)-MATCH($A$1,[2]characters!$1:$1,0)+1),MATCH(F$1,[2]characters!$1:$1,0)-MATCH($A$1,[2]characters!$1:$1,0)+1,FALSE)</f>
        <v>ブルーキャタップ</v>
      </c>
      <c r="G520" s="66">
        <v>3</v>
      </c>
      <c r="H520" s="66">
        <v>1</v>
      </c>
      <c r="I520" s="66">
        <v>1</v>
      </c>
    </row>
    <row r="521" spans="1:9" x14ac:dyDescent="0.15">
      <c r="A521" s="66">
        <v>396</v>
      </c>
      <c r="B521" s="3" t="str">
        <f ca="1">VLOOKUP($A521,OFFSET([2]characters!$A$1,0,0,COUNTA([2]characters!$A:$A),MATCH(B$1,[2]characters!$1:$1,0)-MATCH($A$1,[2]characters!$1:$1,0)+1),MATCH(B$1,[2]characters!$1:$1,0)-MATCH($A$1,[2]characters!$1:$1,0)+1,FALSE)</f>
        <v>竜宮の水雷 乙姫</v>
      </c>
      <c r="C521" s="93">
        <f ca="1">VLOOKUP($A521,OFFSET(fork_awake_units!$A$1,0,0,COUNTA(fork_awake_units!$A:$A),MATCH(C$1,fork_awake_units!$1:$1,0)-MATCH($A$1,fork_awake_units!$1:$1,0)+1),MATCH(C$1,fork_awake_units!$1:$1,0)-MATCH($A$1,fork_awake_units!$1:$1,0)+1,FALSE)</f>
        <v>397</v>
      </c>
      <c r="D521" s="3" t="str">
        <f ca="1">VLOOKUP($C521,OFFSET([2]characters!$A$1,0,0,COUNTA([2]characters!$A:$A),MATCH(D$1,[2]characters!$1:$1,0)-MATCH($A$1,[2]characters!$1:$1,0)+1),MATCH(D$1,[2]characters!$1:$1,0)-MATCH($A$1,[2]characters!$1:$1,0)+1,FALSE)</f>
        <v>禁断の追箱 乙姫</v>
      </c>
      <c r="E521" s="66">
        <v>110</v>
      </c>
      <c r="F521" s="3" t="str">
        <f ca="1">VLOOKUP($E521,OFFSET([2]characters!$A$1,0,0,COUNTA([2]characters!$A:$A),MATCH(F$1,[2]characters!$1:$1,0)-MATCH($A$1,[2]characters!$1:$1,0)+1),MATCH(F$1,[2]characters!$1:$1,0)-MATCH($A$1,[2]characters!$1:$1,0)+1,FALSE)</f>
        <v>ブルーラビット</v>
      </c>
      <c r="G521" s="66">
        <v>1</v>
      </c>
      <c r="H521" s="66">
        <v>1</v>
      </c>
      <c r="I521" s="66">
        <v>1</v>
      </c>
    </row>
    <row r="522" spans="1:9" x14ac:dyDescent="0.15">
      <c r="A522" s="66">
        <v>396</v>
      </c>
      <c r="B522" s="3" t="str">
        <f ca="1">VLOOKUP($A522,OFFSET([2]characters!$A$1,0,0,COUNTA([2]characters!$A:$A),MATCH(B$1,[2]characters!$1:$1,0)-MATCH($A$1,[2]characters!$1:$1,0)+1),MATCH(B$1,[2]characters!$1:$1,0)-MATCH($A$1,[2]characters!$1:$1,0)+1,FALSE)</f>
        <v>竜宮の水雷 乙姫</v>
      </c>
      <c r="C522" s="93">
        <f ca="1">VLOOKUP($A522,OFFSET(fork_awake_units!$A$1,0,0,COUNTA(fork_awake_units!$A:$A),MATCH(C$1,fork_awake_units!$1:$1,0)-MATCH($A$1,fork_awake_units!$1:$1,0)+1),MATCH(C$1,fork_awake_units!$1:$1,0)-MATCH($A$1,fork_awake_units!$1:$1,0)+1,FALSE)</f>
        <v>397</v>
      </c>
      <c r="D522" s="3" t="str">
        <f ca="1">VLOOKUP($C522,OFFSET([2]characters!$A$1,0,0,COUNTA([2]characters!$A:$A),MATCH(D$1,[2]characters!$1:$1,0)-MATCH($A$1,[2]characters!$1:$1,0)+1),MATCH(D$1,[2]characters!$1:$1,0)-MATCH($A$1,[2]characters!$1:$1,0)+1,FALSE)</f>
        <v>禁断の追箱 乙姫</v>
      </c>
      <c r="E522" s="66">
        <v>111</v>
      </c>
      <c r="F522" s="3" t="str">
        <f ca="1">VLOOKUP($E522,OFFSET([2]characters!$A$1,0,0,COUNTA([2]characters!$A:$A),MATCH(F$1,[2]characters!$1:$1,0)-MATCH($A$1,[2]characters!$1:$1,0)+1),MATCH(F$1,[2]characters!$1:$1,0)-MATCH($A$1,[2]characters!$1:$1,0)+1,FALSE)</f>
        <v>ブルーキャタップ</v>
      </c>
      <c r="G522" s="66">
        <v>2</v>
      </c>
      <c r="H522" s="66">
        <v>1</v>
      </c>
      <c r="I522" s="66">
        <v>1</v>
      </c>
    </row>
    <row r="523" spans="1:9" x14ac:dyDescent="0.15">
      <c r="A523" s="66">
        <v>396</v>
      </c>
      <c r="B523" s="3" t="str">
        <f ca="1">VLOOKUP($A523,OFFSET([2]characters!$A$1,0,0,COUNTA([2]characters!$A:$A),MATCH(B$1,[2]characters!$1:$1,0)-MATCH($A$1,[2]characters!$1:$1,0)+1),MATCH(B$1,[2]characters!$1:$1,0)-MATCH($A$1,[2]characters!$1:$1,0)+1,FALSE)</f>
        <v>竜宮の水雷 乙姫</v>
      </c>
      <c r="C523" s="93">
        <f ca="1">VLOOKUP($A523,OFFSET(fork_awake_units!$A$1,0,0,COUNTA(fork_awake_units!$A:$A),MATCH(C$1,fork_awake_units!$1:$1,0)-MATCH($A$1,fork_awake_units!$1:$1,0)+1),MATCH(C$1,fork_awake_units!$1:$1,0)-MATCH($A$1,fork_awake_units!$1:$1,0)+1,FALSE)</f>
        <v>397</v>
      </c>
      <c r="D523" s="3" t="str">
        <f ca="1">VLOOKUP($C523,OFFSET([2]characters!$A$1,0,0,COUNTA([2]characters!$A:$A),MATCH(D$1,[2]characters!$1:$1,0)-MATCH($A$1,[2]characters!$1:$1,0)+1),MATCH(D$1,[2]characters!$1:$1,0)-MATCH($A$1,[2]characters!$1:$1,0)+1,FALSE)</f>
        <v>禁断の追箱 乙姫</v>
      </c>
      <c r="E523" s="66">
        <v>112</v>
      </c>
      <c r="F523" s="3" t="str">
        <f ca="1">VLOOKUP($E523,OFFSET([2]characters!$A$1,0,0,COUNTA([2]characters!$A:$A),MATCH(F$1,[2]characters!$1:$1,0)-MATCH($A$1,[2]characters!$1:$1,0)+1),MATCH(F$1,[2]characters!$1:$1,0)-MATCH($A$1,[2]characters!$1:$1,0)+1,FALSE)</f>
        <v>水のマッドハッター</v>
      </c>
      <c r="G523" s="66">
        <v>2</v>
      </c>
      <c r="H523" s="66">
        <v>1</v>
      </c>
      <c r="I523" s="66">
        <v>1</v>
      </c>
    </row>
    <row r="524" spans="1:9" x14ac:dyDescent="0.15">
      <c r="A524" s="66">
        <v>398</v>
      </c>
      <c r="B524" s="3" t="str">
        <f ca="1">VLOOKUP($A524,OFFSET([2]characters!$A$1,0,0,COUNTA([2]characters!$A:$A),MATCH(B$1,[2]characters!$1:$1,0)-MATCH($A$1,[2]characters!$1:$1,0)+1),MATCH(B$1,[2]characters!$1:$1,0)-MATCH($A$1,[2]characters!$1:$1,0)+1,FALSE)</f>
        <v>ヘンゼル＆グレーテル</v>
      </c>
      <c r="C524" s="93">
        <f ca="1">VLOOKUP($A524,OFFSET(fork_awake_units!$A$1,0,0,COUNTA(fork_awake_units!$A:$A),MATCH(C$1,fork_awake_units!$1:$1,0)-MATCH($A$1,fork_awake_units!$1:$1,0)+1),MATCH(C$1,fork_awake_units!$1:$1,0)-MATCH($A$1,fork_awake_units!$1:$1,0)+1,FALSE)</f>
        <v>399</v>
      </c>
      <c r="D524" s="3" t="str">
        <f ca="1">VLOOKUP($C524,OFFSET([2]characters!$A$1,0,0,COUNTA([2]characters!$A:$A),MATCH(D$1,[2]characters!$1:$1,0)-MATCH($A$1,[2]characters!$1:$1,0)+1),MATCH(D$1,[2]characters!$1:$1,0)-MATCH($A$1,[2]characters!$1:$1,0)+1,FALSE)</f>
        <v>信愛の兄妹 ヘンゼル＆グレーテル</v>
      </c>
      <c r="E524" s="66">
        <v>115</v>
      </c>
      <c r="F524" s="3" t="str">
        <f ca="1">VLOOKUP($E524,OFFSET([2]characters!$A$1,0,0,COUNTA([2]characters!$A:$A),MATCH(F$1,[2]characters!$1:$1,0)-MATCH($A$1,[2]characters!$1:$1,0)+1),MATCH(F$1,[2]characters!$1:$1,0)-MATCH($A$1,[2]characters!$1:$1,0)+1,FALSE)</f>
        <v>イエローキャタップ</v>
      </c>
      <c r="G524" s="66">
        <v>2</v>
      </c>
      <c r="H524" s="66">
        <v>1</v>
      </c>
      <c r="I524" s="66">
        <v>1</v>
      </c>
    </row>
    <row r="525" spans="1:9" x14ac:dyDescent="0.15">
      <c r="A525" s="66">
        <v>398</v>
      </c>
      <c r="B525" s="3" t="str">
        <f ca="1">VLOOKUP($A525,OFFSET([2]characters!$A$1,0,0,COUNTA([2]characters!$A:$A),MATCH(B$1,[2]characters!$1:$1,0)-MATCH($A$1,[2]characters!$1:$1,0)+1),MATCH(B$1,[2]characters!$1:$1,0)-MATCH($A$1,[2]characters!$1:$1,0)+1,FALSE)</f>
        <v>ヘンゼル＆グレーテル</v>
      </c>
      <c r="C525" s="93">
        <f ca="1">VLOOKUP($A525,OFFSET(fork_awake_units!$A$1,0,0,COUNTA(fork_awake_units!$A:$A),MATCH(C$1,fork_awake_units!$1:$1,0)-MATCH($A$1,fork_awake_units!$1:$1,0)+1),MATCH(C$1,fork_awake_units!$1:$1,0)-MATCH($A$1,fork_awake_units!$1:$1,0)+1,FALSE)</f>
        <v>399</v>
      </c>
      <c r="D525" s="3" t="str">
        <f ca="1">VLOOKUP($C525,OFFSET([2]characters!$A$1,0,0,COUNTA([2]characters!$A:$A),MATCH(D$1,[2]characters!$1:$1,0)-MATCH($A$1,[2]characters!$1:$1,0)+1),MATCH(D$1,[2]characters!$1:$1,0)-MATCH($A$1,[2]characters!$1:$1,0)+1,FALSE)</f>
        <v>信愛の兄妹 ヘンゼル＆グレーテル</v>
      </c>
      <c r="E525" s="66">
        <v>116</v>
      </c>
      <c r="F525" s="3" t="str">
        <f ca="1">VLOOKUP($E525,OFFSET([2]characters!$A$1,0,0,COUNTA([2]characters!$A:$A),MATCH(F$1,[2]characters!$1:$1,0)-MATCH($A$1,[2]characters!$1:$1,0)+1),MATCH(F$1,[2]characters!$1:$1,0)-MATCH($A$1,[2]characters!$1:$1,0)+1,FALSE)</f>
        <v>雷のマッドハッター</v>
      </c>
      <c r="G525" s="66">
        <v>1</v>
      </c>
      <c r="H525" s="66">
        <v>1</v>
      </c>
      <c r="I525" s="66">
        <v>1</v>
      </c>
    </row>
    <row r="526" spans="1:9" x14ac:dyDescent="0.15">
      <c r="A526" s="66">
        <v>398</v>
      </c>
      <c r="B526" s="3" t="str">
        <f ca="1">VLOOKUP($A526,OFFSET([2]characters!$A$1,0,0,COUNTA([2]characters!$A:$A),MATCH(B$1,[2]characters!$1:$1,0)-MATCH($A$1,[2]characters!$1:$1,0)+1),MATCH(B$1,[2]characters!$1:$1,0)-MATCH($A$1,[2]characters!$1:$1,0)+1,FALSE)</f>
        <v>ヘンゼル＆グレーテル</v>
      </c>
      <c r="C526" s="93">
        <f ca="1">VLOOKUP($A526,OFFSET(fork_awake_units!$A$1,0,0,COUNTA(fork_awake_units!$A:$A),MATCH(C$1,fork_awake_units!$1:$1,0)-MATCH($A$1,fork_awake_units!$1:$1,0)+1),MATCH(C$1,fork_awake_units!$1:$1,0)-MATCH($A$1,fork_awake_units!$1:$1,0)+1,FALSE)</f>
        <v>399</v>
      </c>
      <c r="D526" s="3" t="str">
        <f ca="1">VLOOKUP($C526,OFFSET([2]characters!$A$1,0,0,COUNTA([2]characters!$A:$A),MATCH(D$1,[2]characters!$1:$1,0)-MATCH($A$1,[2]characters!$1:$1,0)+1),MATCH(D$1,[2]characters!$1:$1,0)-MATCH($A$1,[2]characters!$1:$1,0)+1,FALSE)</f>
        <v>信愛の兄妹 ヘンゼル＆グレーテル</v>
      </c>
      <c r="E526" s="66">
        <v>268</v>
      </c>
      <c r="F526" s="3" t="str">
        <f ca="1">VLOOKUP($E526,OFFSET([2]characters!$A$1,0,0,COUNTA([2]characters!$A:$A),MATCH(F$1,[2]characters!$1:$1,0)-MATCH($A$1,[2]characters!$1:$1,0)+1),MATCH(F$1,[2]characters!$1:$1,0)-MATCH($A$1,[2]characters!$1:$1,0)+1,FALSE)</f>
        <v>鵺</v>
      </c>
      <c r="G526" s="66">
        <v>1</v>
      </c>
      <c r="H526" s="66">
        <v>1</v>
      </c>
      <c r="I526" s="66">
        <v>1</v>
      </c>
    </row>
    <row r="527" spans="1:9" x14ac:dyDescent="0.15">
      <c r="A527" s="66">
        <v>398</v>
      </c>
      <c r="B527" s="3" t="str">
        <f ca="1">VLOOKUP($A527,OFFSET([2]characters!$A$1,0,0,COUNTA([2]characters!$A:$A),MATCH(B$1,[2]characters!$1:$1,0)-MATCH($A$1,[2]characters!$1:$1,0)+1),MATCH(B$1,[2]characters!$1:$1,0)-MATCH($A$1,[2]characters!$1:$1,0)+1,FALSE)</f>
        <v>ヘンゼル＆グレーテル</v>
      </c>
      <c r="C527" s="93">
        <f ca="1">VLOOKUP($A527,OFFSET(fork_awake_units!$A$1,0,0,COUNTA(fork_awake_units!$A:$A),MATCH(C$1,fork_awake_units!$1:$1,0)-MATCH($A$1,fork_awake_units!$1:$1,0)+1),MATCH(C$1,fork_awake_units!$1:$1,0)-MATCH($A$1,fork_awake_units!$1:$1,0)+1,FALSE)</f>
        <v>399</v>
      </c>
      <c r="D527" s="3" t="str">
        <f ca="1">VLOOKUP($C527,OFFSET([2]characters!$A$1,0,0,COUNTA([2]characters!$A:$A),MATCH(D$1,[2]characters!$1:$1,0)-MATCH($A$1,[2]characters!$1:$1,0)+1),MATCH(D$1,[2]characters!$1:$1,0)-MATCH($A$1,[2]characters!$1:$1,0)+1,FALSE)</f>
        <v>信愛の兄妹 ヘンゼル＆グレーテル</v>
      </c>
      <c r="E527" s="66">
        <v>274</v>
      </c>
      <c r="F527" s="3" t="str">
        <f ca="1">VLOOKUP($E527,OFFSET([2]characters!$A$1,0,0,COUNTA([2]characters!$A:$A),MATCH(F$1,[2]characters!$1:$1,0)-MATCH($A$1,[2]characters!$1:$1,0)+1),MATCH(F$1,[2]characters!$1:$1,0)-MATCH($A$1,[2]characters!$1:$1,0)+1,FALSE)</f>
        <v>砕棒のガエル</v>
      </c>
      <c r="G527" s="66">
        <v>1</v>
      </c>
      <c r="H527" s="66">
        <v>1</v>
      </c>
      <c r="I527" s="66">
        <v>1</v>
      </c>
    </row>
    <row r="528" spans="1:9" x14ac:dyDescent="0.15">
      <c r="A528" s="66">
        <v>399</v>
      </c>
      <c r="B528" s="3" t="str">
        <f ca="1">VLOOKUP($A528,OFFSET([2]characters!$A$1,0,0,COUNTA([2]characters!$A:$A),MATCH(B$1,[2]characters!$1:$1,0)-MATCH($A$1,[2]characters!$1:$1,0)+1),MATCH(B$1,[2]characters!$1:$1,0)-MATCH($A$1,[2]characters!$1:$1,0)+1,FALSE)</f>
        <v>信愛の兄妹 ヘンゼル＆グレーテル</v>
      </c>
      <c r="C528" s="93">
        <f ca="1">VLOOKUP($A528,OFFSET(fork_awake_units!$A$1,0,0,COUNTA(fork_awake_units!$A:$A),MATCH(C$1,fork_awake_units!$1:$1,0)-MATCH($A$1,fork_awake_units!$1:$1,0)+1),MATCH(C$1,fork_awake_units!$1:$1,0)-MATCH($A$1,fork_awake_units!$1:$1,0)+1,FALSE)</f>
        <v>813</v>
      </c>
      <c r="D528" s="3" t="str">
        <f ca="1">VLOOKUP($C528,OFFSET([2]characters!$A$1,0,0,COUNTA([2]characters!$A:$A),MATCH(D$1,[2]characters!$1:$1,0)-MATCH($A$1,[2]characters!$1:$1,0)+1),MATCH(D$1,[2]characters!$1:$1,0)-MATCH($A$1,[2]characters!$1:$1,0)+1,FALSE)</f>
        <v>絆の大冒険 ヘンゼル＆グレーテル</v>
      </c>
      <c r="E528" s="66">
        <v>114</v>
      </c>
      <c r="F528" s="3" t="str">
        <f ca="1">VLOOKUP($E528,OFFSET([2]characters!$A$1,0,0,COUNTA([2]characters!$A:$A),MATCH(F$1,[2]characters!$1:$1,0)-MATCH($A$1,[2]characters!$1:$1,0)+1),MATCH(F$1,[2]characters!$1:$1,0)-MATCH($A$1,[2]characters!$1:$1,0)+1,FALSE)</f>
        <v>イエローラビット</v>
      </c>
      <c r="G528" s="66">
        <v>1</v>
      </c>
      <c r="H528" s="66">
        <v>1</v>
      </c>
      <c r="I528" s="66">
        <v>1</v>
      </c>
    </row>
    <row r="529" spans="1:9" x14ac:dyDescent="0.15">
      <c r="A529" s="66">
        <v>399</v>
      </c>
      <c r="B529" s="3" t="str">
        <f ca="1">VLOOKUP($A529,OFFSET([2]characters!$A$1,0,0,COUNTA([2]characters!$A:$A),MATCH(B$1,[2]characters!$1:$1,0)-MATCH($A$1,[2]characters!$1:$1,0)+1),MATCH(B$1,[2]characters!$1:$1,0)-MATCH($A$1,[2]characters!$1:$1,0)+1,FALSE)</f>
        <v>信愛の兄妹 ヘンゼル＆グレーテル</v>
      </c>
      <c r="C529" s="93">
        <f ca="1">VLOOKUP($A529,OFFSET(fork_awake_units!$A$1,0,0,COUNTA(fork_awake_units!$A:$A),MATCH(C$1,fork_awake_units!$1:$1,0)-MATCH($A$1,fork_awake_units!$1:$1,0)+1),MATCH(C$1,fork_awake_units!$1:$1,0)-MATCH($A$1,fork_awake_units!$1:$1,0)+1,FALSE)</f>
        <v>813</v>
      </c>
      <c r="D529" s="3" t="str">
        <f ca="1">VLOOKUP($C529,OFFSET([2]characters!$A$1,0,0,COUNTA([2]characters!$A:$A),MATCH(D$1,[2]characters!$1:$1,0)-MATCH($A$1,[2]characters!$1:$1,0)+1),MATCH(D$1,[2]characters!$1:$1,0)-MATCH($A$1,[2]characters!$1:$1,0)+1,FALSE)</f>
        <v>絆の大冒険 ヘンゼル＆グレーテル</v>
      </c>
      <c r="E529" s="66">
        <v>115</v>
      </c>
      <c r="F529" s="3" t="str">
        <f ca="1">VLOOKUP($E529,OFFSET([2]characters!$A$1,0,0,COUNTA([2]characters!$A:$A),MATCH(F$1,[2]characters!$1:$1,0)-MATCH($A$1,[2]characters!$1:$1,0)+1),MATCH(F$1,[2]characters!$1:$1,0)-MATCH($A$1,[2]characters!$1:$1,0)+1,FALSE)</f>
        <v>イエローキャタップ</v>
      </c>
      <c r="G529" s="66">
        <v>1</v>
      </c>
      <c r="H529" s="66">
        <v>1</v>
      </c>
      <c r="I529" s="66">
        <v>1</v>
      </c>
    </row>
    <row r="530" spans="1:9" x14ac:dyDescent="0.15">
      <c r="A530" s="66">
        <v>399</v>
      </c>
      <c r="B530" s="3" t="str">
        <f ca="1">VLOOKUP($A530,OFFSET([2]characters!$A$1,0,0,COUNTA([2]characters!$A:$A),MATCH(B$1,[2]characters!$1:$1,0)-MATCH($A$1,[2]characters!$1:$1,0)+1),MATCH(B$1,[2]characters!$1:$1,0)-MATCH($A$1,[2]characters!$1:$1,0)+1,FALSE)</f>
        <v>信愛の兄妹 ヘンゼル＆グレーテル</v>
      </c>
      <c r="C530" s="93">
        <f ca="1">VLOOKUP($A530,OFFSET(fork_awake_units!$A$1,0,0,COUNTA(fork_awake_units!$A:$A),MATCH(C$1,fork_awake_units!$1:$1,0)-MATCH($A$1,fork_awake_units!$1:$1,0)+1),MATCH(C$1,fork_awake_units!$1:$1,0)-MATCH($A$1,fork_awake_units!$1:$1,0)+1,FALSE)</f>
        <v>813</v>
      </c>
      <c r="D530" s="3" t="str">
        <f ca="1">VLOOKUP($C530,OFFSET([2]characters!$A$1,0,0,COUNTA([2]characters!$A:$A),MATCH(D$1,[2]characters!$1:$1,0)-MATCH($A$1,[2]characters!$1:$1,0)+1),MATCH(D$1,[2]characters!$1:$1,0)-MATCH($A$1,[2]characters!$1:$1,0)+1,FALSE)</f>
        <v>絆の大冒険 ヘンゼル＆グレーテル</v>
      </c>
      <c r="E530" s="66">
        <v>116</v>
      </c>
      <c r="F530" s="3" t="str">
        <f ca="1">VLOOKUP($E530,OFFSET([2]characters!$A$1,0,0,COUNTA([2]characters!$A:$A),MATCH(F$1,[2]characters!$1:$1,0)-MATCH($A$1,[2]characters!$1:$1,0)+1),MATCH(F$1,[2]characters!$1:$1,0)-MATCH($A$1,[2]characters!$1:$1,0)+1,FALSE)</f>
        <v>雷のマッドハッター</v>
      </c>
      <c r="G530" s="66">
        <v>1</v>
      </c>
      <c r="H530" s="66">
        <v>1</v>
      </c>
      <c r="I530" s="66">
        <v>1</v>
      </c>
    </row>
    <row r="531" spans="1:9" x14ac:dyDescent="0.15">
      <c r="A531" s="66">
        <v>399</v>
      </c>
      <c r="B531" s="3" t="str">
        <f ca="1">VLOOKUP($A531,OFFSET([2]characters!$A$1,0,0,COUNTA([2]characters!$A:$A),MATCH(B$1,[2]characters!$1:$1,0)-MATCH($A$1,[2]characters!$1:$1,0)+1),MATCH(B$1,[2]characters!$1:$1,0)-MATCH($A$1,[2]characters!$1:$1,0)+1,FALSE)</f>
        <v>信愛の兄妹 ヘンゼル＆グレーテル</v>
      </c>
      <c r="C531" s="93">
        <f ca="1">VLOOKUP($A531,OFFSET(fork_awake_units!$A$1,0,0,COUNTA(fork_awake_units!$A:$A),MATCH(C$1,fork_awake_units!$1:$1,0)-MATCH($A$1,fork_awake_units!$1:$1,0)+1),MATCH(C$1,fork_awake_units!$1:$1,0)-MATCH($A$1,fork_awake_units!$1:$1,0)+1,FALSE)</f>
        <v>813</v>
      </c>
      <c r="D531" s="3" t="str">
        <f ca="1">VLOOKUP($C531,OFFSET([2]characters!$A$1,0,0,COUNTA([2]characters!$A:$A),MATCH(D$1,[2]characters!$1:$1,0)-MATCH($A$1,[2]characters!$1:$1,0)+1),MATCH(D$1,[2]characters!$1:$1,0)-MATCH($A$1,[2]characters!$1:$1,0)+1,FALSE)</f>
        <v>絆の大冒険 ヘンゼル＆グレーテル</v>
      </c>
      <c r="E531" s="66">
        <v>837</v>
      </c>
      <c r="F531" s="3" t="str">
        <f ca="1">VLOOKUP($E531,OFFSET([2]characters!$A$1,0,0,COUNTA([2]characters!$A:$A),MATCH(F$1,[2]characters!$1:$1,0)-MATCH($A$1,[2]characters!$1:$1,0)+1),MATCH(F$1,[2]characters!$1:$1,0)-MATCH($A$1,[2]characters!$1:$1,0)+1,FALSE)</f>
        <v>リトルハンプティ</v>
      </c>
      <c r="G531" s="66">
        <v>1</v>
      </c>
      <c r="H531" s="66">
        <v>1</v>
      </c>
      <c r="I531" s="66">
        <v>1</v>
      </c>
    </row>
    <row r="532" spans="1:9" x14ac:dyDescent="0.15">
      <c r="A532" s="66">
        <v>400</v>
      </c>
      <c r="B532" s="3" t="str">
        <f ca="1">VLOOKUP($A532,OFFSET([2]characters!$A$1,0,0,COUNTA([2]characters!$A:$A),MATCH(B$1,[2]characters!$1:$1,0)-MATCH($A$1,[2]characters!$1:$1,0)+1),MATCH(B$1,[2]characters!$1:$1,0)-MATCH($A$1,[2]characters!$1:$1,0)+1,FALSE)</f>
        <v>フェンリル</v>
      </c>
      <c r="C532" s="93">
        <f ca="1">VLOOKUP($A532,OFFSET(fork_awake_units!$A$1,0,0,COUNTA(fork_awake_units!$A:$A),MATCH(C$1,fork_awake_units!$1:$1,0)-MATCH($A$1,fork_awake_units!$1:$1,0)+1),MATCH(C$1,fork_awake_units!$1:$1,0)-MATCH($A$1,fork_awake_units!$1:$1,0)+1,FALSE)</f>
        <v>401</v>
      </c>
      <c r="D532" s="3" t="str">
        <f ca="1">VLOOKUP($C532,OFFSET([2]characters!$A$1,0,0,COUNTA([2]characters!$A:$A),MATCH(D$1,[2]characters!$1:$1,0)-MATCH($A$1,[2]characters!$1:$1,0)+1),MATCH(D$1,[2]characters!$1:$1,0)-MATCH($A$1,[2]characters!$1:$1,0)+1,FALSE)</f>
        <v>紅銀の孤狼 フェンリル</v>
      </c>
      <c r="E532" s="66">
        <v>102</v>
      </c>
      <c r="F532" s="3" t="str">
        <f ca="1">VLOOKUP($E532,OFFSET([2]characters!$A$1,0,0,COUNTA([2]characters!$A:$A),MATCH(F$1,[2]characters!$1:$1,0)-MATCH($A$1,[2]characters!$1:$1,0)+1),MATCH(F$1,[2]characters!$1:$1,0)-MATCH($A$1,[2]characters!$1:$1,0)+1,FALSE)</f>
        <v>レッドラビット</v>
      </c>
      <c r="G532" s="66">
        <v>1</v>
      </c>
      <c r="H532" s="66">
        <v>1</v>
      </c>
      <c r="I532" s="66">
        <v>1</v>
      </c>
    </row>
    <row r="533" spans="1:9" x14ac:dyDescent="0.15">
      <c r="A533" s="66">
        <v>400</v>
      </c>
      <c r="B533" s="3" t="str">
        <f ca="1">VLOOKUP($A533,OFFSET([2]characters!$A$1,0,0,COUNTA([2]characters!$A:$A),MATCH(B$1,[2]characters!$1:$1,0)-MATCH($A$1,[2]characters!$1:$1,0)+1),MATCH(B$1,[2]characters!$1:$1,0)-MATCH($A$1,[2]characters!$1:$1,0)+1,FALSE)</f>
        <v>フェンリル</v>
      </c>
      <c r="C533" s="93">
        <f ca="1">VLOOKUP($A533,OFFSET(fork_awake_units!$A$1,0,0,COUNTA(fork_awake_units!$A:$A),MATCH(C$1,fork_awake_units!$1:$1,0)-MATCH($A$1,fork_awake_units!$1:$1,0)+1),MATCH(C$1,fork_awake_units!$1:$1,0)-MATCH($A$1,fork_awake_units!$1:$1,0)+1,FALSE)</f>
        <v>401</v>
      </c>
      <c r="D533" s="3" t="str">
        <f ca="1">VLOOKUP($C533,OFFSET([2]characters!$A$1,0,0,COUNTA([2]characters!$A:$A),MATCH(D$1,[2]characters!$1:$1,0)-MATCH($A$1,[2]characters!$1:$1,0)+1),MATCH(D$1,[2]characters!$1:$1,0)-MATCH($A$1,[2]characters!$1:$1,0)+1,FALSE)</f>
        <v>紅銀の孤狼 フェンリル</v>
      </c>
      <c r="E533" s="66">
        <v>103</v>
      </c>
      <c r="F533" s="3" t="str">
        <f ca="1">VLOOKUP($E533,OFFSET([2]characters!$A$1,0,0,COUNTA([2]characters!$A:$A),MATCH(F$1,[2]characters!$1:$1,0)-MATCH($A$1,[2]characters!$1:$1,0)+1),MATCH(F$1,[2]characters!$1:$1,0)-MATCH($A$1,[2]characters!$1:$1,0)+1,FALSE)</f>
        <v>レッドキャタップ</v>
      </c>
      <c r="G533" s="66">
        <v>3</v>
      </c>
      <c r="H533" s="66">
        <v>1</v>
      </c>
      <c r="I533" s="66">
        <v>1</v>
      </c>
    </row>
    <row r="534" spans="1:9" x14ac:dyDescent="0.15">
      <c r="A534" s="66">
        <v>401</v>
      </c>
      <c r="B534" s="3" t="str">
        <f ca="1">VLOOKUP($A534,OFFSET([2]characters!$A$1,0,0,COUNTA([2]characters!$A:$A),MATCH(B$1,[2]characters!$1:$1,0)-MATCH($A$1,[2]characters!$1:$1,0)+1),MATCH(B$1,[2]characters!$1:$1,0)-MATCH($A$1,[2]characters!$1:$1,0)+1,FALSE)</f>
        <v>紅銀の孤狼 フェンリル</v>
      </c>
      <c r="C534" s="93">
        <f ca="1">VLOOKUP($A534,OFFSET(fork_awake_units!$A$1,0,0,COUNTA(fork_awake_units!$A:$A),MATCH(C$1,fork_awake_units!$1:$1,0)-MATCH($A$1,fork_awake_units!$1:$1,0)+1),MATCH(C$1,fork_awake_units!$1:$1,0)-MATCH($A$1,fork_awake_units!$1:$1,0)+1,FALSE)</f>
        <v>402</v>
      </c>
      <c r="D534" s="3" t="str">
        <f ca="1">VLOOKUP($C534,OFFSET([2]characters!$A$1,0,0,COUNTA([2]characters!$A:$A),MATCH(D$1,[2]characters!$1:$1,0)-MATCH($A$1,[2]characters!$1:$1,0)+1),MATCH(D$1,[2]characters!$1:$1,0)-MATCH($A$1,[2]characters!$1:$1,0)+1,FALSE)</f>
        <v>天災の神狼 フェンリル</v>
      </c>
      <c r="E534" s="66">
        <v>102</v>
      </c>
      <c r="F534" s="3" t="str">
        <f ca="1">VLOOKUP($E534,OFFSET([2]characters!$A$1,0,0,COUNTA([2]characters!$A:$A),MATCH(F$1,[2]characters!$1:$1,0)-MATCH($A$1,[2]characters!$1:$1,0)+1),MATCH(F$1,[2]characters!$1:$1,0)-MATCH($A$1,[2]characters!$1:$1,0)+1,FALSE)</f>
        <v>レッドラビット</v>
      </c>
      <c r="G534" s="66">
        <v>1</v>
      </c>
      <c r="H534" s="66">
        <v>1</v>
      </c>
      <c r="I534" s="66">
        <v>1</v>
      </c>
    </row>
    <row r="535" spans="1:9" x14ac:dyDescent="0.15">
      <c r="A535" s="66">
        <v>401</v>
      </c>
      <c r="B535" s="3" t="str">
        <f ca="1">VLOOKUP($A535,OFFSET([2]characters!$A$1,0,0,COUNTA([2]characters!$A:$A),MATCH(B$1,[2]characters!$1:$1,0)-MATCH($A$1,[2]characters!$1:$1,0)+1),MATCH(B$1,[2]characters!$1:$1,0)-MATCH($A$1,[2]characters!$1:$1,0)+1,FALSE)</f>
        <v>紅銀の孤狼 フェンリル</v>
      </c>
      <c r="C535" s="93">
        <f ca="1">VLOOKUP($A535,OFFSET(fork_awake_units!$A$1,0,0,COUNTA(fork_awake_units!$A:$A),MATCH(C$1,fork_awake_units!$1:$1,0)-MATCH($A$1,fork_awake_units!$1:$1,0)+1),MATCH(C$1,fork_awake_units!$1:$1,0)-MATCH($A$1,fork_awake_units!$1:$1,0)+1,FALSE)</f>
        <v>402</v>
      </c>
      <c r="D535" s="3" t="str">
        <f ca="1">VLOOKUP($C535,OFFSET([2]characters!$A$1,0,0,COUNTA([2]characters!$A:$A),MATCH(D$1,[2]characters!$1:$1,0)-MATCH($A$1,[2]characters!$1:$1,0)+1),MATCH(D$1,[2]characters!$1:$1,0)-MATCH($A$1,[2]characters!$1:$1,0)+1,FALSE)</f>
        <v>天災の神狼 フェンリル</v>
      </c>
      <c r="E535" s="66">
        <v>103</v>
      </c>
      <c r="F535" s="3" t="str">
        <f ca="1">VLOOKUP($E535,OFFSET([2]characters!$A$1,0,0,COUNTA([2]characters!$A:$A),MATCH(F$1,[2]characters!$1:$1,0)-MATCH($A$1,[2]characters!$1:$1,0)+1),MATCH(F$1,[2]characters!$1:$1,0)-MATCH($A$1,[2]characters!$1:$1,0)+1,FALSE)</f>
        <v>レッドキャタップ</v>
      </c>
      <c r="G535" s="66">
        <v>2</v>
      </c>
      <c r="H535" s="66">
        <v>1</v>
      </c>
      <c r="I535" s="66">
        <v>1</v>
      </c>
    </row>
    <row r="536" spans="1:9" x14ac:dyDescent="0.15">
      <c r="A536" s="66">
        <v>401</v>
      </c>
      <c r="B536" s="3" t="str">
        <f ca="1">VLOOKUP($A536,OFFSET([2]characters!$A$1,0,0,COUNTA([2]characters!$A:$A),MATCH(B$1,[2]characters!$1:$1,0)-MATCH($A$1,[2]characters!$1:$1,0)+1),MATCH(B$1,[2]characters!$1:$1,0)-MATCH($A$1,[2]characters!$1:$1,0)+1,FALSE)</f>
        <v>紅銀の孤狼 フェンリル</v>
      </c>
      <c r="C536" s="93">
        <f ca="1">VLOOKUP($A536,OFFSET(fork_awake_units!$A$1,0,0,COUNTA(fork_awake_units!$A:$A),MATCH(C$1,fork_awake_units!$1:$1,0)-MATCH($A$1,fork_awake_units!$1:$1,0)+1),MATCH(C$1,fork_awake_units!$1:$1,0)-MATCH($A$1,fork_awake_units!$1:$1,0)+1,FALSE)</f>
        <v>402</v>
      </c>
      <c r="D536" s="3" t="str">
        <f ca="1">VLOOKUP($C536,OFFSET([2]characters!$A$1,0,0,COUNTA([2]characters!$A:$A),MATCH(D$1,[2]characters!$1:$1,0)-MATCH($A$1,[2]characters!$1:$1,0)+1),MATCH(D$1,[2]characters!$1:$1,0)-MATCH($A$1,[2]characters!$1:$1,0)+1,FALSE)</f>
        <v>天災の神狼 フェンリル</v>
      </c>
      <c r="E536" s="66">
        <v>104</v>
      </c>
      <c r="F536" s="3" t="str">
        <f ca="1">VLOOKUP($E536,OFFSET([2]characters!$A$1,0,0,COUNTA([2]characters!$A:$A),MATCH(F$1,[2]characters!$1:$1,0)-MATCH($A$1,[2]characters!$1:$1,0)+1),MATCH(F$1,[2]characters!$1:$1,0)-MATCH($A$1,[2]characters!$1:$1,0)+1,FALSE)</f>
        <v>炎のマッドハッター</v>
      </c>
      <c r="G536" s="66">
        <v>2</v>
      </c>
      <c r="H536" s="66">
        <v>1</v>
      </c>
      <c r="I536" s="66">
        <v>1</v>
      </c>
    </row>
    <row r="537" spans="1:9" x14ac:dyDescent="0.15">
      <c r="A537" s="66">
        <v>403</v>
      </c>
      <c r="B537" s="3" t="str">
        <f ca="1">VLOOKUP($A537,OFFSET([2]characters!$A$1,0,0,COUNTA([2]characters!$A:$A),MATCH(B$1,[2]characters!$1:$1,0)-MATCH($A$1,[2]characters!$1:$1,0)+1),MATCH(B$1,[2]characters!$1:$1,0)-MATCH($A$1,[2]characters!$1:$1,0)+1,FALSE)</f>
        <v>静撃の翠眼 八咫烏</v>
      </c>
      <c r="C537" s="93">
        <f ca="1">VLOOKUP($A537,OFFSET(fork_awake_units!$A$1,0,0,COUNTA(fork_awake_units!$A:$A),MATCH(C$1,fork_awake_units!$1:$1,0)-MATCH($A$1,fork_awake_units!$1:$1,0)+1),MATCH(C$1,fork_awake_units!$1:$1,0)-MATCH($A$1,fork_awake_units!$1:$1,0)+1,FALSE)</f>
        <v>404</v>
      </c>
      <c r="D537" s="3" t="str">
        <f ca="1">VLOOKUP($C537,OFFSET([2]characters!$A$1,0,0,COUNTA([2]characters!$A:$A),MATCH(D$1,[2]characters!$1:$1,0)-MATCH($A$1,[2]characters!$1:$1,0)+1),MATCH(D$1,[2]characters!$1:$1,0)-MATCH($A$1,[2]characters!$1:$1,0)+1,FALSE)</f>
        <v>空襲の神眼 八咫烏</v>
      </c>
      <c r="E537" s="66">
        <v>107</v>
      </c>
      <c r="F537" s="3" t="str">
        <f ca="1">VLOOKUP($E537,OFFSET([2]characters!$A$1,0,0,COUNTA([2]characters!$A:$A),MATCH(F$1,[2]characters!$1:$1,0)-MATCH($A$1,[2]characters!$1:$1,0)+1),MATCH(F$1,[2]characters!$1:$1,0)-MATCH($A$1,[2]characters!$1:$1,0)+1,FALSE)</f>
        <v>グリーンキャタップ</v>
      </c>
      <c r="G537" s="66">
        <v>2</v>
      </c>
      <c r="H537" s="66">
        <v>1</v>
      </c>
      <c r="I537" s="66">
        <v>1</v>
      </c>
    </row>
    <row r="538" spans="1:9" x14ac:dyDescent="0.15">
      <c r="A538" s="66">
        <v>403</v>
      </c>
      <c r="B538" s="3" t="str">
        <f ca="1">VLOOKUP($A538,OFFSET([2]characters!$A$1,0,0,COUNTA([2]characters!$A:$A),MATCH(B$1,[2]characters!$1:$1,0)-MATCH($A$1,[2]characters!$1:$1,0)+1),MATCH(B$1,[2]characters!$1:$1,0)-MATCH($A$1,[2]characters!$1:$1,0)+1,FALSE)</f>
        <v>静撃の翠眼 八咫烏</v>
      </c>
      <c r="C538" s="93">
        <f ca="1">VLOOKUP($A538,OFFSET(fork_awake_units!$A$1,0,0,COUNTA(fork_awake_units!$A:$A),MATCH(C$1,fork_awake_units!$1:$1,0)-MATCH($A$1,fork_awake_units!$1:$1,0)+1),MATCH(C$1,fork_awake_units!$1:$1,0)-MATCH($A$1,fork_awake_units!$1:$1,0)+1,FALSE)</f>
        <v>404</v>
      </c>
      <c r="D538" s="3" t="str">
        <f ca="1">VLOOKUP($C538,OFFSET([2]characters!$A$1,0,0,COUNTA([2]characters!$A:$A),MATCH(D$1,[2]characters!$1:$1,0)-MATCH($A$1,[2]characters!$1:$1,0)+1),MATCH(D$1,[2]characters!$1:$1,0)-MATCH($A$1,[2]characters!$1:$1,0)+1,FALSE)</f>
        <v>空襲の神眼 八咫烏</v>
      </c>
      <c r="E538" s="66">
        <v>108</v>
      </c>
      <c r="F538" s="3" t="str">
        <f ca="1">VLOOKUP($E538,OFFSET([2]characters!$A$1,0,0,COUNTA([2]characters!$A:$A),MATCH(F$1,[2]characters!$1:$1,0)-MATCH($A$1,[2]characters!$1:$1,0)+1),MATCH(F$1,[2]characters!$1:$1,0)-MATCH($A$1,[2]characters!$1:$1,0)+1,FALSE)</f>
        <v>森のマッドハッター</v>
      </c>
      <c r="G538" s="66">
        <v>1</v>
      </c>
      <c r="H538" s="66">
        <v>1</v>
      </c>
      <c r="I538" s="66">
        <v>1</v>
      </c>
    </row>
    <row r="539" spans="1:9" x14ac:dyDescent="0.15">
      <c r="A539" s="66">
        <v>403</v>
      </c>
      <c r="B539" s="3" t="str">
        <f ca="1">VLOOKUP($A539,OFFSET([2]characters!$A$1,0,0,COUNTA([2]characters!$A:$A),MATCH(B$1,[2]characters!$1:$1,0)-MATCH($A$1,[2]characters!$1:$1,0)+1),MATCH(B$1,[2]characters!$1:$1,0)-MATCH($A$1,[2]characters!$1:$1,0)+1,FALSE)</f>
        <v>静撃の翠眼 八咫烏</v>
      </c>
      <c r="C539" s="93">
        <f ca="1">VLOOKUP($A539,OFFSET(fork_awake_units!$A$1,0,0,COUNTA(fork_awake_units!$A:$A),MATCH(C$1,fork_awake_units!$1:$1,0)-MATCH($A$1,fork_awake_units!$1:$1,0)+1),MATCH(C$1,fork_awake_units!$1:$1,0)-MATCH($A$1,fork_awake_units!$1:$1,0)+1,FALSE)</f>
        <v>404</v>
      </c>
      <c r="D539" s="3" t="str">
        <f ca="1">VLOOKUP($C539,OFFSET([2]characters!$A$1,0,0,COUNTA([2]characters!$A:$A),MATCH(D$1,[2]characters!$1:$1,0)-MATCH($A$1,[2]characters!$1:$1,0)+1),MATCH(D$1,[2]characters!$1:$1,0)-MATCH($A$1,[2]characters!$1:$1,0)+1,FALSE)</f>
        <v>空襲の神眼 八咫烏</v>
      </c>
      <c r="E539" s="66">
        <v>294</v>
      </c>
      <c r="F539" s="3" t="str">
        <f ca="1">VLOOKUP($E539,OFFSET([2]characters!$A$1,0,0,COUNTA([2]characters!$A:$A),MATCH(F$1,[2]characters!$1:$1,0)-MATCH($A$1,[2]characters!$1:$1,0)+1),MATCH(F$1,[2]characters!$1:$1,0)-MATCH($A$1,[2]characters!$1:$1,0)+1,FALSE)</f>
        <v>ウルフ・ザ・レッドイーター</v>
      </c>
      <c r="G539" s="66">
        <v>1</v>
      </c>
      <c r="H539" s="66">
        <v>1</v>
      </c>
      <c r="I539" s="66">
        <v>1</v>
      </c>
    </row>
    <row r="540" spans="1:9" x14ac:dyDescent="0.15">
      <c r="A540" s="66">
        <v>403</v>
      </c>
      <c r="B540" s="3" t="str">
        <f ca="1">VLOOKUP($A540,OFFSET([2]characters!$A$1,0,0,COUNTA([2]characters!$A:$A),MATCH(B$1,[2]characters!$1:$1,0)-MATCH($A$1,[2]characters!$1:$1,0)+1),MATCH(B$1,[2]characters!$1:$1,0)-MATCH($A$1,[2]characters!$1:$1,0)+1,FALSE)</f>
        <v>静撃の翠眼 八咫烏</v>
      </c>
      <c r="C540" s="93">
        <f ca="1">VLOOKUP($A540,OFFSET(fork_awake_units!$A$1,0,0,COUNTA(fork_awake_units!$A:$A),MATCH(C$1,fork_awake_units!$1:$1,0)-MATCH($A$1,fork_awake_units!$1:$1,0)+1),MATCH(C$1,fork_awake_units!$1:$1,0)-MATCH($A$1,fork_awake_units!$1:$1,0)+1,FALSE)</f>
        <v>404</v>
      </c>
      <c r="D540" s="3" t="str">
        <f ca="1">VLOOKUP($C540,OFFSET([2]characters!$A$1,0,0,COUNTA([2]characters!$A:$A),MATCH(D$1,[2]characters!$1:$1,0)-MATCH($A$1,[2]characters!$1:$1,0)+1),MATCH(D$1,[2]characters!$1:$1,0)-MATCH($A$1,[2]characters!$1:$1,0)+1,FALSE)</f>
        <v>空襲の神眼 八咫烏</v>
      </c>
      <c r="E540" s="66">
        <v>300</v>
      </c>
      <c r="F540" s="3" t="str">
        <f ca="1">VLOOKUP($E540,OFFSET([2]characters!$A$1,0,0,COUNTA([2]characters!$A:$A),MATCH(F$1,[2]characters!$1:$1,0)-MATCH($A$1,[2]characters!$1:$1,0)+1),MATCH(F$1,[2]characters!$1:$1,0)-MATCH($A$1,[2]characters!$1:$1,0)+1,FALSE)</f>
        <v>毒殺のチカ</v>
      </c>
      <c r="G540" s="66">
        <v>1</v>
      </c>
      <c r="H540" s="66">
        <v>1</v>
      </c>
      <c r="I540" s="66">
        <v>1</v>
      </c>
    </row>
    <row r="541" spans="1:9" x14ac:dyDescent="0.15">
      <c r="A541" s="66">
        <v>404</v>
      </c>
      <c r="B541" s="3" t="str">
        <f ca="1">VLOOKUP($A541,OFFSET([2]characters!$A$1,0,0,COUNTA([2]characters!$A:$A),MATCH(B$1,[2]characters!$1:$1,0)-MATCH($A$1,[2]characters!$1:$1,0)+1),MATCH(B$1,[2]characters!$1:$1,0)-MATCH($A$1,[2]characters!$1:$1,0)+1,FALSE)</f>
        <v>空襲の神眼 八咫烏</v>
      </c>
      <c r="C541" s="93">
        <f ca="1">VLOOKUP($A541,OFFSET(fork_awake_units!$A$1,0,0,COUNTA(fork_awake_units!$A:$A),MATCH(C$1,fork_awake_units!$1:$1,0)-MATCH($A$1,fork_awake_units!$1:$1,0)+1),MATCH(C$1,fork_awake_units!$1:$1,0)-MATCH($A$1,fork_awake_units!$1:$1,0)+1,FALSE)</f>
        <v>815</v>
      </c>
      <c r="D541" s="3" t="str">
        <f ca="1">VLOOKUP($C541,OFFSET([2]characters!$A$1,0,0,COUNTA([2]characters!$A:$A),MATCH(D$1,[2]characters!$1:$1,0)-MATCH($A$1,[2]characters!$1:$1,0)+1),MATCH(D$1,[2]characters!$1:$1,0)-MATCH($A$1,[2]characters!$1:$1,0)+1,FALSE)</f>
        <v>解砲の鴉眼 八咫烏</v>
      </c>
      <c r="E541" s="66">
        <v>106</v>
      </c>
      <c r="F541" s="3" t="str">
        <f ca="1">VLOOKUP($E541,OFFSET([2]characters!$A$1,0,0,COUNTA([2]characters!$A:$A),MATCH(F$1,[2]characters!$1:$1,0)-MATCH($A$1,[2]characters!$1:$1,0)+1),MATCH(F$1,[2]characters!$1:$1,0)-MATCH($A$1,[2]characters!$1:$1,0)+1,FALSE)</f>
        <v>グリーンラビット</v>
      </c>
      <c r="G541" s="66">
        <v>1</v>
      </c>
      <c r="H541" s="66">
        <v>1</v>
      </c>
      <c r="I541" s="66">
        <v>1</v>
      </c>
    </row>
    <row r="542" spans="1:9" x14ac:dyDescent="0.15">
      <c r="A542" s="66">
        <v>404</v>
      </c>
      <c r="B542" s="3" t="str">
        <f ca="1">VLOOKUP($A542,OFFSET([2]characters!$A$1,0,0,COUNTA([2]characters!$A:$A),MATCH(B$1,[2]characters!$1:$1,0)-MATCH($A$1,[2]characters!$1:$1,0)+1),MATCH(B$1,[2]characters!$1:$1,0)-MATCH($A$1,[2]characters!$1:$1,0)+1,FALSE)</f>
        <v>空襲の神眼 八咫烏</v>
      </c>
      <c r="C542" s="93">
        <f ca="1">VLOOKUP($A542,OFFSET(fork_awake_units!$A$1,0,0,COUNTA(fork_awake_units!$A:$A),MATCH(C$1,fork_awake_units!$1:$1,0)-MATCH($A$1,fork_awake_units!$1:$1,0)+1),MATCH(C$1,fork_awake_units!$1:$1,0)-MATCH($A$1,fork_awake_units!$1:$1,0)+1,FALSE)</f>
        <v>815</v>
      </c>
      <c r="D542" s="3" t="str">
        <f ca="1">VLOOKUP($C542,OFFSET([2]characters!$A$1,0,0,COUNTA([2]characters!$A:$A),MATCH(D$1,[2]characters!$1:$1,0)-MATCH($A$1,[2]characters!$1:$1,0)+1),MATCH(D$1,[2]characters!$1:$1,0)-MATCH($A$1,[2]characters!$1:$1,0)+1,FALSE)</f>
        <v>解砲の鴉眼 八咫烏</v>
      </c>
      <c r="E542" s="66">
        <v>107</v>
      </c>
      <c r="F542" s="3" t="str">
        <f ca="1">VLOOKUP($E542,OFFSET([2]characters!$A$1,0,0,COUNTA([2]characters!$A:$A),MATCH(F$1,[2]characters!$1:$1,0)-MATCH($A$1,[2]characters!$1:$1,0)+1),MATCH(F$1,[2]characters!$1:$1,0)-MATCH($A$1,[2]characters!$1:$1,0)+1,FALSE)</f>
        <v>グリーンキャタップ</v>
      </c>
      <c r="G542" s="66">
        <v>1</v>
      </c>
      <c r="H542" s="66">
        <v>1</v>
      </c>
      <c r="I542" s="66">
        <v>1</v>
      </c>
    </row>
    <row r="543" spans="1:9" x14ac:dyDescent="0.15">
      <c r="A543" s="66">
        <v>404</v>
      </c>
      <c r="B543" s="3" t="str">
        <f ca="1">VLOOKUP($A543,OFFSET([2]characters!$A$1,0,0,COUNTA([2]characters!$A:$A),MATCH(B$1,[2]characters!$1:$1,0)-MATCH($A$1,[2]characters!$1:$1,0)+1),MATCH(B$1,[2]characters!$1:$1,0)-MATCH($A$1,[2]characters!$1:$1,0)+1,FALSE)</f>
        <v>空襲の神眼 八咫烏</v>
      </c>
      <c r="C543" s="93">
        <f ca="1">VLOOKUP($A543,OFFSET(fork_awake_units!$A$1,0,0,COUNTA(fork_awake_units!$A:$A),MATCH(C$1,fork_awake_units!$1:$1,0)-MATCH($A$1,fork_awake_units!$1:$1,0)+1),MATCH(C$1,fork_awake_units!$1:$1,0)-MATCH($A$1,fork_awake_units!$1:$1,0)+1,FALSE)</f>
        <v>815</v>
      </c>
      <c r="D543" s="3" t="str">
        <f ca="1">VLOOKUP($C543,OFFSET([2]characters!$A$1,0,0,COUNTA([2]characters!$A:$A),MATCH(D$1,[2]characters!$1:$1,0)-MATCH($A$1,[2]characters!$1:$1,0)+1),MATCH(D$1,[2]characters!$1:$1,0)-MATCH($A$1,[2]characters!$1:$1,0)+1,FALSE)</f>
        <v>解砲の鴉眼 八咫烏</v>
      </c>
      <c r="E543" s="66">
        <v>108</v>
      </c>
      <c r="F543" s="3" t="str">
        <f ca="1">VLOOKUP($E543,OFFSET([2]characters!$A$1,0,0,COUNTA([2]characters!$A:$A),MATCH(F$1,[2]characters!$1:$1,0)-MATCH($A$1,[2]characters!$1:$1,0)+1),MATCH(F$1,[2]characters!$1:$1,0)-MATCH($A$1,[2]characters!$1:$1,0)+1,FALSE)</f>
        <v>森のマッドハッター</v>
      </c>
      <c r="G543" s="66">
        <v>1</v>
      </c>
      <c r="H543" s="66">
        <v>1</v>
      </c>
      <c r="I543" s="66">
        <v>1</v>
      </c>
    </row>
    <row r="544" spans="1:9" x14ac:dyDescent="0.15">
      <c r="A544" s="66">
        <v>404</v>
      </c>
      <c r="B544" s="3" t="str">
        <f ca="1">VLOOKUP($A544,OFFSET([2]characters!$A$1,0,0,COUNTA([2]characters!$A:$A),MATCH(B$1,[2]characters!$1:$1,0)-MATCH($A$1,[2]characters!$1:$1,0)+1),MATCH(B$1,[2]characters!$1:$1,0)-MATCH($A$1,[2]characters!$1:$1,0)+1,FALSE)</f>
        <v>空襲の神眼 八咫烏</v>
      </c>
      <c r="C544" s="93">
        <f ca="1">VLOOKUP($A544,OFFSET(fork_awake_units!$A$1,0,0,COUNTA(fork_awake_units!$A:$A),MATCH(C$1,fork_awake_units!$1:$1,0)-MATCH($A$1,fork_awake_units!$1:$1,0)+1),MATCH(C$1,fork_awake_units!$1:$1,0)-MATCH($A$1,fork_awake_units!$1:$1,0)+1,FALSE)</f>
        <v>815</v>
      </c>
      <c r="D544" s="3" t="str">
        <f ca="1">VLOOKUP($C544,OFFSET([2]characters!$A$1,0,0,COUNTA([2]characters!$A:$A),MATCH(D$1,[2]characters!$1:$1,0)-MATCH($A$1,[2]characters!$1:$1,0)+1),MATCH(D$1,[2]characters!$1:$1,0)-MATCH($A$1,[2]characters!$1:$1,0)+1,FALSE)</f>
        <v>解砲の鴉眼 八咫烏</v>
      </c>
      <c r="E544" s="66">
        <v>837</v>
      </c>
      <c r="F544" s="3" t="str">
        <f ca="1">VLOOKUP($E544,OFFSET([2]characters!$A$1,0,0,COUNTA([2]characters!$A:$A),MATCH(F$1,[2]characters!$1:$1,0)-MATCH($A$1,[2]characters!$1:$1,0)+1),MATCH(F$1,[2]characters!$1:$1,0)-MATCH($A$1,[2]characters!$1:$1,0)+1,FALSE)</f>
        <v>リトルハンプティ</v>
      </c>
      <c r="G544" s="66">
        <v>1</v>
      </c>
      <c r="H544" s="66">
        <v>1</v>
      </c>
      <c r="I544" s="66">
        <v>1</v>
      </c>
    </row>
    <row r="545" spans="1:9" x14ac:dyDescent="0.15">
      <c r="A545" s="66">
        <v>405</v>
      </c>
      <c r="B545" s="3" t="str">
        <f ca="1">VLOOKUP($A545,OFFSET([2]characters!$A$1,0,0,COUNTA([2]characters!$A:$A),MATCH(B$1,[2]characters!$1:$1,0)-MATCH($A$1,[2]characters!$1:$1,0)+1),MATCH(B$1,[2]characters!$1:$1,0)-MATCH($A$1,[2]characters!$1:$1,0)+1,FALSE)</f>
        <v>エキドナ</v>
      </c>
      <c r="C545" s="93">
        <f ca="1">VLOOKUP($A545,OFFSET(fork_awake_units!$A$1,0,0,COUNTA(fork_awake_units!$A:$A),MATCH(C$1,fork_awake_units!$1:$1,0)-MATCH($A$1,fork_awake_units!$1:$1,0)+1),MATCH(C$1,fork_awake_units!$1:$1,0)-MATCH($A$1,fork_awake_units!$1:$1,0)+1,FALSE)</f>
        <v>406</v>
      </c>
      <c r="D545" s="3" t="str">
        <f ca="1">VLOOKUP($C545,OFFSET([2]characters!$A$1,0,0,COUNTA([2]characters!$A:$A),MATCH(D$1,[2]characters!$1:$1,0)-MATCH($A$1,[2]characters!$1:$1,0)+1),MATCH(D$1,[2]characters!$1:$1,0)-MATCH($A$1,[2]characters!$1:$1,0)+1,FALSE)</f>
        <v>美笑の蒼蛇 エキドナ</v>
      </c>
      <c r="E545" s="66">
        <v>110</v>
      </c>
      <c r="F545" s="3" t="str">
        <f ca="1">VLOOKUP($E545,OFFSET([2]characters!$A$1,0,0,COUNTA([2]characters!$A:$A),MATCH(F$1,[2]characters!$1:$1,0)-MATCH($A$1,[2]characters!$1:$1,0)+1),MATCH(F$1,[2]characters!$1:$1,0)-MATCH($A$1,[2]characters!$1:$1,0)+1,FALSE)</f>
        <v>ブルーラビット</v>
      </c>
      <c r="G545" s="66">
        <v>1</v>
      </c>
      <c r="H545" s="66">
        <v>1</v>
      </c>
      <c r="I545" s="66">
        <v>1</v>
      </c>
    </row>
    <row r="546" spans="1:9" x14ac:dyDescent="0.15">
      <c r="A546" s="66">
        <v>405</v>
      </c>
      <c r="B546" s="3" t="str">
        <f ca="1">VLOOKUP($A546,OFFSET([2]characters!$A$1,0,0,COUNTA([2]characters!$A:$A),MATCH(B$1,[2]characters!$1:$1,0)-MATCH($A$1,[2]characters!$1:$1,0)+1),MATCH(B$1,[2]characters!$1:$1,0)-MATCH($A$1,[2]characters!$1:$1,0)+1,FALSE)</f>
        <v>エキドナ</v>
      </c>
      <c r="C546" s="93">
        <f ca="1">VLOOKUP($A546,OFFSET(fork_awake_units!$A$1,0,0,COUNTA(fork_awake_units!$A:$A),MATCH(C$1,fork_awake_units!$1:$1,0)-MATCH($A$1,fork_awake_units!$1:$1,0)+1),MATCH(C$1,fork_awake_units!$1:$1,0)-MATCH($A$1,fork_awake_units!$1:$1,0)+1,FALSE)</f>
        <v>406</v>
      </c>
      <c r="D546" s="3" t="str">
        <f ca="1">VLOOKUP($C546,OFFSET([2]characters!$A$1,0,0,COUNTA([2]characters!$A:$A),MATCH(D$1,[2]characters!$1:$1,0)-MATCH($A$1,[2]characters!$1:$1,0)+1),MATCH(D$1,[2]characters!$1:$1,0)-MATCH($A$1,[2]characters!$1:$1,0)+1,FALSE)</f>
        <v>美笑の蒼蛇 エキドナ</v>
      </c>
      <c r="E546" s="66">
        <v>111</v>
      </c>
      <c r="F546" s="3" t="str">
        <f ca="1">VLOOKUP($E546,OFFSET([2]characters!$A$1,0,0,COUNTA([2]characters!$A:$A),MATCH(F$1,[2]characters!$1:$1,0)-MATCH($A$1,[2]characters!$1:$1,0)+1),MATCH(F$1,[2]characters!$1:$1,0)-MATCH($A$1,[2]characters!$1:$1,0)+1,FALSE)</f>
        <v>ブルーキャタップ</v>
      </c>
      <c r="G546" s="66">
        <v>3</v>
      </c>
      <c r="H546" s="66">
        <v>1</v>
      </c>
      <c r="I546" s="66">
        <v>1</v>
      </c>
    </row>
    <row r="547" spans="1:9" x14ac:dyDescent="0.15">
      <c r="A547" s="66">
        <v>406</v>
      </c>
      <c r="B547" s="3" t="str">
        <f ca="1">VLOOKUP($A547,OFFSET([2]characters!$A$1,0,0,COUNTA([2]characters!$A:$A),MATCH(B$1,[2]characters!$1:$1,0)-MATCH($A$1,[2]characters!$1:$1,0)+1),MATCH(B$1,[2]characters!$1:$1,0)-MATCH($A$1,[2]characters!$1:$1,0)+1,FALSE)</f>
        <v>美笑の蒼蛇 エキドナ</v>
      </c>
      <c r="C547" s="93">
        <f ca="1">VLOOKUP($A547,OFFSET(fork_awake_units!$A$1,0,0,COUNTA(fork_awake_units!$A:$A),MATCH(C$1,fork_awake_units!$1:$1,0)-MATCH($A$1,fork_awake_units!$1:$1,0)+1),MATCH(C$1,fork_awake_units!$1:$1,0)-MATCH($A$1,fork_awake_units!$1:$1,0)+1,FALSE)</f>
        <v>407</v>
      </c>
      <c r="D547" s="3" t="str">
        <f ca="1">VLOOKUP($C547,OFFSET([2]characters!$A$1,0,0,COUNTA([2]characters!$A:$A),MATCH(D$1,[2]characters!$1:$1,0)-MATCH($A$1,[2]characters!$1:$1,0)+1),MATCH(D$1,[2]characters!$1:$1,0)-MATCH($A$1,[2]characters!$1:$1,0)+1,FALSE)</f>
        <v>蠱惑の飛刀 エキドナ</v>
      </c>
      <c r="E547" s="66">
        <v>110</v>
      </c>
      <c r="F547" s="3" t="str">
        <f ca="1">VLOOKUP($E547,OFFSET([2]characters!$A$1,0,0,COUNTA([2]characters!$A:$A),MATCH(F$1,[2]characters!$1:$1,0)-MATCH($A$1,[2]characters!$1:$1,0)+1),MATCH(F$1,[2]characters!$1:$1,0)-MATCH($A$1,[2]characters!$1:$1,0)+1,FALSE)</f>
        <v>ブルーラビット</v>
      </c>
      <c r="G547" s="66">
        <v>1</v>
      </c>
      <c r="H547" s="66">
        <v>1</v>
      </c>
      <c r="I547" s="66">
        <v>1</v>
      </c>
    </row>
    <row r="548" spans="1:9" x14ac:dyDescent="0.15">
      <c r="A548" s="66">
        <v>406</v>
      </c>
      <c r="B548" s="3" t="str">
        <f ca="1">VLOOKUP($A548,OFFSET([2]characters!$A$1,0,0,COUNTA([2]characters!$A:$A),MATCH(B$1,[2]characters!$1:$1,0)-MATCH($A$1,[2]characters!$1:$1,0)+1),MATCH(B$1,[2]characters!$1:$1,0)-MATCH($A$1,[2]characters!$1:$1,0)+1,FALSE)</f>
        <v>美笑の蒼蛇 エキドナ</v>
      </c>
      <c r="C548" s="93">
        <f ca="1">VLOOKUP($A548,OFFSET(fork_awake_units!$A$1,0,0,COUNTA(fork_awake_units!$A:$A),MATCH(C$1,fork_awake_units!$1:$1,0)-MATCH($A$1,fork_awake_units!$1:$1,0)+1),MATCH(C$1,fork_awake_units!$1:$1,0)-MATCH($A$1,fork_awake_units!$1:$1,0)+1,FALSE)</f>
        <v>407</v>
      </c>
      <c r="D548" s="3" t="str">
        <f ca="1">VLOOKUP($C548,OFFSET([2]characters!$A$1,0,0,COUNTA([2]characters!$A:$A),MATCH(D$1,[2]characters!$1:$1,0)-MATCH($A$1,[2]characters!$1:$1,0)+1),MATCH(D$1,[2]characters!$1:$1,0)-MATCH($A$1,[2]characters!$1:$1,0)+1,FALSE)</f>
        <v>蠱惑の飛刀 エキドナ</v>
      </c>
      <c r="E548" s="66">
        <v>111</v>
      </c>
      <c r="F548" s="3" t="str">
        <f ca="1">VLOOKUP($E548,OFFSET([2]characters!$A$1,0,0,COUNTA([2]characters!$A:$A),MATCH(F$1,[2]characters!$1:$1,0)-MATCH($A$1,[2]characters!$1:$1,0)+1),MATCH(F$1,[2]characters!$1:$1,0)-MATCH($A$1,[2]characters!$1:$1,0)+1,FALSE)</f>
        <v>ブルーキャタップ</v>
      </c>
      <c r="G548" s="66">
        <v>2</v>
      </c>
      <c r="H548" s="66">
        <v>1</v>
      </c>
      <c r="I548" s="66">
        <v>1</v>
      </c>
    </row>
    <row r="549" spans="1:9" x14ac:dyDescent="0.15">
      <c r="A549" s="66">
        <v>406</v>
      </c>
      <c r="B549" s="3" t="str">
        <f ca="1">VLOOKUP($A549,OFFSET([2]characters!$A$1,0,0,COUNTA([2]characters!$A:$A),MATCH(B$1,[2]characters!$1:$1,0)-MATCH($A$1,[2]characters!$1:$1,0)+1),MATCH(B$1,[2]characters!$1:$1,0)-MATCH($A$1,[2]characters!$1:$1,0)+1,FALSE)</f>
        <v>美笑の蒼蛇 エキドナ</v>
      </c>
      <c r="C549" s="93">
        <f ca="1">VLOOKUP($A549,OFFSET(fork_awake_units!$A$1,0,0,COUNTA(fork_awake_units!$A:$A),MATCH(C$1,fork_awake_units!$1:$1,0)-MATCH($A$1,fork_awake_units!$1:$1,0)+1),MATCH(C$1,fork_awake_units!$1:$1,0)-MATCH($A$1,fork_awake_units!$1:$1,0)+1,FALSE)</f>
        <v>407</v>
      </c>
      <c r="D549" s="3" t="str">
        <f ca="1">VLOOKUP($C549,OFFSET([2]characters!$A$1,0,0,COUNTA([2]characters!$A:$A),MATCH(D$1,[2]characters!$1:$1,0)-MATCH($A$1,[2]characters!$1:$1,0)+1),MATCH(D$1,[2]characters!$1:$1,0)-MATCH($A$1,[2]characters!$1:$1,0)+1,FALSE)</f>
        <v>蠱惑の飛刀 エキドナ</v>
      </c>
      <c r="E549" s="66">
        <v>112</v>
      </c>
      <c r="F549" s="3" t="str">
        <f ca="1">VLOOKUP($E549,OFFSET([2]characters!$A$1,0,0,COUNTA([2]characters!$A:$A),MATCH(F$1,[2]characters!$1:$1,0)-MATCH($A$1,[2]characters!$1:$1,0)+1),MATCH(F$1,[2]characters!$1:$1,0)-MATCH($A$1,[2]characters!$1:$1,0)+1,FALSE)</f>
        <v>水のマッドハッター</v>
      </c>
      <c r="G549" s="66">
        <v>2</v>
      </c>
      <c r="H549" s="66">
        <v>1</v>
      </c>
      <c r="I549" s="66">
        <v>1</v>
      </c>
    </row>
    <row r="550" spans="1:9" x14ac:dyDescent="0.15">
      <c r="A550" s="66">
        <v>408</v>
      </c>
      <c r="B550" s="3" t="str">
        <f ca="1">VLOOKUP($A550,OFFSET([2]characters!$A$1,0,0,COUNTA([2]characters!$A:$A),MATCH(B$1,[2]characters!$1:$1,0)-MATCH($A$1,[2]characters!$1:$1,0)+1),MATCH(B$1,[2]characters!$1:$1,0)-MATCH($A$1,[2]characters!$1:$1,0)+1,FALSE)</f>
        <v>皇魔 アスタロト</v>
      </c>
      <c r="C550" s="93">
        <f ca="1">VLOOKUP($A550,OFFSET(fork_awake_units!$A$1,0,0,COUNTA(fork_awake_units!$A:$A),MATCH(C$1,fork_awake_units!$1:$1,0)-MATCH($A$1,fork_awake_units!$1:$1,0)+1),MATCH(C$1,fork_awake_units!$1:$1,0)-MATCH($A$1,fork_awake_units!$1:$1,0)+1,FALSE)</f>
        <v>409</v>
      </c>
      <c r="D550" s="3" t="str">
        <f ca="1">VLOOKUP($C550,OFFSET([2]characters!$A$1,0,0,COUNTA([2]characters!$A:$A),MATCH(D$1,[2]characters!$1:$1,0)-MATCH($A$1,[2]characters!$1:$1,0)+1),MATCH(D$1,[2]characters!$1:$1,0)-MATCH($A$1,[2]characters!$1:$1,0)+1,FALSE)</f>
        <v>天眼の皇貴魔 アスタロト</v>
      </c>
      <c r="E550" s="66">
        <v>115</v>
      </c>
      <c r="F550" s="3" t="str">
        <f ca="1">VLOOKUP($E550,OFFSET([2]characters!$A$1,0,0,COUNTA([2]characters!$A:$A),MATCH(F$1,[2]characters!$1:$1,0)-MATCH($A$1,[2]characters!$1:$1,0)+1),MATCH(F$1,[2]characters!$1:$1,0)-MATCH($A$1,[2]characters!$1:$1,0)+1,FALSE)</f>
        <v>イエローキャタップ</v>
      </c>
      <c r="G550" s="66">
        <v>2</v>
      </c>
      <c r="H550" s="66">
        <v>1</v>
      </c>
      <c r="I550" s="66">
        <v>1</v>
      </c>
    </row>
    <row r="551" spans="1:9" x14ac:dyDescent="0.15">
      <c r="A551" s="66">
        <v>408</v>
      </c>
      <c r="B551" s="3" t="str">
        <f ca="1">VLOOKUP($A551,OFFSET([2]characters!$A$1,0,0,COUNTA([2]characters!$A:$A),MATCH(B$1,[2]characters!$1:$1,0)-MATCH($A$1,[2]characters!$1:$1,0)+1),MATCH(B$1,[2]characters!$1:$1,0)-MATCH($A$1,[2]characters!$1:$1,0)+1,FALSE)</f>
        <v>皇魔 アスタロト</v>
      </c>
      <c r="C551" s="93">
        <f ca="1">VLOOKUP($A551,OFFSET(fork_awake_units!$A$1,0,0,COUNTA(fork_awake_units!$A:$A),MATCH(C$1,fork_awake_units!$1:$1,0)-MATCH($A$1,fork_awake_units!$1:$1,0)+1),MATCH(C$1,fork_awake_units!$1:$1,0)-MATCH($A$1,fork_awake_units!$1:$1,0)+1,FALSE)</f>
        <v>409</v>
      </c>
      <c r="D551" s="3" t="str">
        <f ca="1">VLOOKUP($C551,OFFSET([2]characters!$A$1,0,0,COUNTA([2]characters!$A:$A),MATCH(D$1,[2]characters!$1:$1,0)-MATCH($A$1,[2]characters!$1:$1,0)+1),MATCH(D$1,[2]characters!$1:$1,0)-MATCH($A$1,[2]characters!$1:$1,0)+1,FALSE)</f>
        <v>天眼の皇貴魔 アスタロト</v>
      </c>
      <c r="E551" s="66">
        <v>116</v>
      </c>
      <c r="F551" s="3" t="str">
        <f ca="1">VLOOKUP($E551,OFFSET([2]characters!$A$1,0,0,COUNTA([2]characters!$A:$A),MATCH(F$1,[2]characters!$1:$1,0)-MATCH($A$1,[2]characters!$1:$1,0)+1),MATCH(F$1,[2]characters!$1:$1,0)-MATCH($A$1,[2]characters!$1:$1,0)+1,FALSE)</f>
        <v>雷のマッドハッター</v>
      </c>
      <c r="G551" s="66">
        <v>1</v>
      </c>
      <c r="H551" s="66">
        <v>1</v>
      </c>
      <c r="I551" s="66">
        <v>1</v>
      </c>
    </row>
    <row r="552" spans="1:9" x14ac:dyDescent="0.15">
      <c r="A552" s="66">
        <v>408</v>
      </c>
      <c r="B552" s="3" t="str">
        <f ca="1">VLOOKUP($A552,OFFSET([2]characters!$A$1,0,0,COUNTA([2]characters!$A:$A),MATCH(B$1,[2]characters!$1:$1,0)-MATCH($A$1,[2]characters!$1:$1,0)+1),MATCH(B$1,[2]characters!$1:$1,0)-MATCH($A$1,[2]characters!$1:$1,0)+1,FALSE)</f>
        <v>皇魔 アスタロト</v>
      </c>
      <c r="C552" s="93">
        <f ca="1">VLOOKUP($A552,OFFSET(fork_awake_units!$A$1,0,0,COUNTA(fork_awake_units!$A:$A),MATCH(C$1,fork_awake_units!$1:$1,0)-MATCH($A$1,fork_awake_units!$1:$1,0)+1),MATCH(C$1,fork_awake_units!$1:$1,0)-MATCH($A$1,fork_awake_units!$1:$1,0)+1,FALSE)</f>
        <v>409</v>
      </c>
      <c r="D552" s="3" t="str">
        <f ca="1">VLOOKUP($C552,OFFSET([2]characters!$A$1,0,0,COUNTA([2]characters!$A:$A),MATCH(D$1,[2]characters!$1:$1,0)-MATCH($A$1,[2]characters!$1:$1,0)+1),MATCH(D$1,[2]characters!$1:$1,0)-MATCH($A$1,[2]characters!$1:$1,0)+1,FALSE)</f>
        <v>天眼の皇貴魔 アスタロト</v>
      </c>
      <c r="E552" s="66">
        <v>288</v>
      </c>
      <c r="F552" s="3" t="str">
        <f ca="1">VLOOKUP($E552,OFFSET([2]characters!$A$1,0,0,COUNTA([2]characters!$A:$A),MATCH(F$1,[2]characters!$1:$1,0)-MATCH($A$1,[2]characters!$1:$1,0)+1),MATCH(F$1,[2]characters!$1:$1,0)-MATCH($A$1,[2]characters!$1:$1,0)+1,FALSE)</f>
        <v>ミカド</v>
      </c>
      <c r="G552" s="66">
        <v>1</v>
      </c>
      <c r="H552" s="66">
        <v>1</v>
      </c>
      <c r="I552" s="66">
        <v>1</v>
      </c>
    </row>
    <row r="553" spans="1:9" x14ac:dyDescent="0.15">
      <c r="A553" s="66">
        <v>408</v>
      </c>
      <c r="B553" s="3" t="str">
        <f ca="1">VLOOKUP($A553,OFFSET([2]characters!$A$1,0,0,COUNTA([2]characters!$A:$A),MATCH(B$1,[2]characters!$1:$1,0)-MATCH($A$1,[2]characters!$1:$1,0)+1),MATCH(B$1,[2]characters!$1:$1,0)-MATCH($A$1,[2]characters!$1:$1,0)+1,FALSE)</f>
        <v>皇魔 アスタロト</v>
      </c>
      <c r="C553" s="93">
        <f ca="1">VLOOKUP($A553,OFFSET(fork_awake_units!$A$1,0,0,COUNTA(fork_awake_units!$A:$A),MATCH(C$1,fork_awake_units!$1:$1,0)-MATCH($A$1,fork_awake_units!$1:$1,0)+1),MATCH(C$1,fork_awake_units!$1:$1,0)-MATCH($A$1,fork_awake_units!$1:$1,0)+1,FALSE)</f>
        <v>409</v>
      </c>
      <c r="D553" s="3" t="str">
        <f ca="1">VLOOKUP($C553,OFFSET([2]characters!$A$1,0,0,COUNTA([2]characters!$A:$A),MATCH(D$1,[2]characters!$1:$1,0)-MATCH($A$1,[2]characters!$1:$1,0)+1),MATCH(D$1,[2]characters!$1:$1,0)-MATCH($A$1,[2]characters!$1:$1,0)+1,FALSE)</f>
        <v>天眼の皇貴魔 アスタロト</v>
      </c>
      <c r="E553" s="66">
        <v>304</v>
      </c>
      <c r="F553" s="3" t="str">
        <f ca="1">VLOOKUP($E553,OFFSET([2]characters!$A$1,0,0,COUNTA([2]characters!$A:$A),MATCH(F$1,[2]characters!$1:$1,0)-MATCH($A$1,[2]characters!$1:$1,0)+1),MATCH(F$1,[2]characters!$1:$1,0)-MATCH($A$1,[2]characters!$1:$1,0)+1,FALSE)</f>
        <v>電殺のチエミ</v>
      </c>
      <c r="G553" s="66">
        <v>1</v>
      </c>
      <c r="H553" s="66">
        <v>1</v>
      </c>
      <c r="I553" s="66">
        <v>1</v>
      </c>
    </row>
    <row r="554" spans="1:9" x14ac:dyDescent="0.15">
      <c r="A554" s="66">
        <v>412</v>
      </c>
      <c r="B554" s="3" t="str">
        <f ca="1">VLOOKUP($A554,OFFSET([2]characters!$A$1,0,0,COUNTA([2]characters!$A:$A),MATCH(B$1,[2]characters!$1:$1,0)-MATCH($A$1,[2]characters!$1:$1,0)+1),MATCH(B$1,[2]characters!$1:$1,0)-MATCH($A$1,[2]characters!$1:$1,0)+1,FALSE)</f>
        <v>コウネン</v>
      </c>
      <c r="C554" s="93">
        <f ca="1">VLOOKUP($A554,OFFSET(fork_awake_units!$A$1,0,0,COUNTA(fork_awake_units!$A:$A),MATCH(C$1,fork_awake_units!$1:$1,0)-MATCH($A$1,fork_awake_units!$1:$1,0)+1),MATCH(C$1,fork_awake_units!$1:$1,0)-MATCH($A$1,fork_awake_units!$1:$1,0)+1,FALSE)</f>
        <v>413</v>
      </c>
      <c r="D554" s="3" t="str">
        <f ca="1">VLOOKUP($C554,OFFSET([2]characters!$A$1,0,0,COUNTA([2]characters!$A:$A),MATCH(D$1,[2]characters!$1:$1,0)-MATCH($A$1,[2]characters!$1:$1,0)+1),MATCH(D$1,[2]characters!$1:$1,0)-MATCH($A$1,[2]characters!$1:$1,0)+1,FALSE)</f>
        <v>狂騒地蔵 コウネン</v>
      </c>
      <c r="E554" s="66">
        <v>113</v>
      </c>
      <c r="F554" s="3" t="str">
        <f ca="1">VLOOKUP($E554,OFFSET([2]characters!$A$1,0,0,COUNTA([2]characters!$A:$A),MATCH(F$1,[2]characters!$1:$1,0)-MATCH($A$1,[2]characters!$1:$1,0)+1),MATCH(F$1,[2]characters!$1:$1,0)-MATCH($A$1,[2]characters!$1:$1,0)+1,FALSE)</f>
        <v>イエローチェシャ</v>
      </c>
      <c r="G554" s="66">
        <v>1</v>
      </c>
      <c r="H554" s="66">
        <v>1</v>
      </c>
      <c r="I554" s="66">
        <v>1</v>
      </c>
    </row>
    <row r="555" spans="1:9" x14ac:dyDescent="0.15">
      <c r="A555" s="66">
        <v>412</v>
      </c>
      <c r="B555" s="3" t="str">
        <f ca="1">VLOOKUP($A555,OFFSET([2]characters!$A$1,0,0,COUNTA([2]characters!$A:$A),MATCH(B$1,[2]characters!$1:$1,0)-MATCH($A$1,[2]characters!$1:$1,0)+1),MATCH(B$1,[2]characters!$1:$1,0)-MATCH($A$1,[2]characters!$1:$1,0)+1,FALSE)</f>
        <v>コウネン</v>
      </c>
      <c r="C555" s="93">
        <f ca="1">VLOOKUP($A555,OFFSET(fork_awake_units!$A$1,0,0,COUNTA(fork_awake_units!$A:$A),MATCH(C$1,fork_awake_units!$1:$1,0)-MATCH($A$1,fork_awake_units!$1:$1,0)+1),MATCH(C$1,fork_awake_units!$1:$1,0)-MATCH($A$1,fork_awake_units!$1:$1,0)+1,FALSE)</f>
        <v>413</v>
      </c>
      <c r="D555" s="3" t="str">
        <f ca="1">VLOOKUP($C555,OFFSET([2]characters!$A$1,0,0,COUNTA([2]characters!$A:$A),MATCH(D$1,[2]characters!$1:$1,0)-MATCH($A$1,[2]characters!$1:$1,0)+1),MATCH(D$1,[2]characters!$1:$1,0)-MATCH($A$1,[2]characters!$1:$1,0)+1,FALSE)</f>
        <v>狂騒地蔵 コウネン</v>
      </c>
      <c r="E555" s="66">
        <v>114</v>
      </c>
      <c r="F555" s="3" t="str">
        <f ca="1">VLOOKUP($E555,OFFSET([2]characters!$A$1,0,0,COUNTA([2]characters!$A:$A),MATCH(F$1,[2]characters!$1:$1,0)-MATCH($A$1,[2]characters!$1:$1,0)+1),MATCH(F$1,[2]characters!$1:$1,0)-MATCH($A$1,[2]characters!$1:$1,0)+1,FALSE)</f>
        <v>イエローラビット</v>
      </c>
      <c r="G555" s="66">
        <v>2</v>
      </c>
      <c r="H555" s="66">
        <v>1</v>
      </c>
      <c r="I555" s="66">
        <v>1</v>
      </c>
    </row>
    <row r="556" spans="1:9" x14ac:dyDescent="0.15">
      <c r="A556" s="66">
        <v>418</v>
      </c>
      <c r="B556" s="3" t="str">
        <f ca="1">VLOOKUP($A556,OFFSET([2]characters!$A$1,0,0,COUNTA([2]characters!$A:$A),MATCH(B$1,[2]characters!$1:$1,0)-MATCH($A$1,[2]characters!$1:$1,0)+1),MATCH(B$1,[2]characters!$1:$1,0)-MATCH($A$1,[2]characters!$1:$1,0)+1,FALSE)</f>
        <v>ウラシマ</v>
      </c>
      <c r="C556" s="93">
        <f ca="1">VLOOKUP($A556,OFFSET(fork_awake_units!$A$1,0,0,COUNTA(fork_awake_units!$A:$A),MATCH(C$1,fork_awake_units!$1:$1,0)-MATCH($A$1,fork_awake_units!$1:$1,0)+1),MATCH(C$1,fork_awake_units!$1:$1,0)-MATCH($A$1,fork_awake_units!$1:$1,0)+1,FALSE)</f>
        <v>419</v>
      </c>
      <c r="D556" s="3" t="str">
        <f ca="1">VLOOKUP($C556,OFFSET([2]characters!$A$1,0,0,COUNTA([2]characters!$A:$A),MATCH(D$1,[2]characters!$1:$1,0)-MATCH($A$1,[2]characters!$1:$1,0)+1),MATCH(D$1,[2]characters!$1:$1,0)-MATCH($A$1,[2]characters!$1:$1,0)+1,FALSE)</f>
        <v>宣戦の解城 ウラシマ</v>
      </c>
      <c r="E556" s="66">
        <v>101</v>
      </c>
      <c r="F556" s="3" t="str">
        <f ca="1">VLOOKUP($E556,OFFSET([2]characters!$A$1,0,0,COUNTA([2]characters!$A:$A),MATCH(F$1,[2]characters!$1:$1,0)-MATCH($A$1,[2]characters!$1:$1,0)+1),MATCH(F$1,[2]characters!$1:$1,0)-MATCH($A$1,[2]characters!$1:$1,0)+1,FALSE)</f>
        <v>レッドチェシャ</v>
      </c>
      <c r="G556" s="66">
        <v>1</v>
      </c>
      <c r="H556" s="66">
        <v>1</v>
      </c>
      <c r="I556" s="66">
        <v>1</v>
      </c>
    </row>
    <row r="557" spans="1:9" x14ac:dyDescent="0.15">
      <c r="A557" s="66">
        <v>418</v>
      </c>
      <c r="B557" s="3" t="str">
        <f ca="1">VLOOKUP($A557,OFFSET([2]characters!$A$1,0,0,COUNTA([2]characters!$A:$A),MATCH(B$1,[2]characters!$1:$1,0)-MATCH($A$1,[2]characters!$1:$1,0)+1),MATCH(B$1,[2]characters!$1:$1,0)-MATCH($A$1,[2]characters!$1:$1,0)+1,FALSE)</f>
        <v>ウラシマ</v>
      </c>
      <c r="C557" s="93">
        <f ca="1">VLOOKUP($A557,OFFSET(fork_awake_units!$A$1,0,0,COUNTA(fork_awake_units!$A:$A),MATCH(C$1,fork_awake_units!$1:$1,0)-MATCH($A$1,fork_awake_units!$1:$1,0)+1),MATCH(C$1,fork_awake_units!$1:$1,0)-MATCH($A$1,fork_awake_units!$1:$1,0)+1,FALSE)</f>
        <v>419</v>
      </c>
      <c r="D557" s="3" t="str">
        <f ca="1">VLOOKUP($C557,OFFSET([2]characters!$A$1,0,0,COUNTA([2]characters!$A:$A),MATCH(D$1,[2]characters!$1:$1,0)-MATCH($A$1,[2]characters!$1:$1,0)+1),MATCH(D$1,[2]characters!$1:$1,0)-MATCH($A$1,[2]characters!$1:$1,0)+1,FALSE)</f>
        <v>宣戦の解城 ウラシマ</v>
      </c>
      <c r="E557" s="66">
        <v>102</v>
      </c>
      <c r="F557" s="3" t="str">
        <f ca="1">VLOOKUP($E557,OFFSET([2]characters!$A$1,0,0,COUNTA([2]characters!$A:$A),MATCH(F$1,[2]characters!$1:$1,0)-MATCH($A$1,[2]characters!$1:$1,0)+1),MATCH(F$1,[2]characters!$1:$1,0)-MATCH($A$1,[2]characters!$1:$1,0)+1,FALSE)</f>
        <v>レッドラビット</v>
      </c>
      <c r="G557" s="66">
        <v>2</v>
      </c>
      <c r="H557" s="66">
        <v>1</v>
      </c>
      <c r="I557" s="66">
        <v>1</v>
      </c>
    </row>
    <row r="558" spans="1:9" x14ac:dyDescent="0.15">
      <c r="A558" s="66">
        <v>418</v>
      </c>
      <c r="B558" s="3" t="str">
        <f ca="1">VLOOKUP($A558,OFFSET([2]characters!$A$1,0,0,COUNTA([2]characters!$A:$A),MATCH(B$1,[2]characters!$1:$1,0)-MATCH($A$1,[2]characters!$1:$1,0)+1),MATCH(B$1,[2]characters!$1:$1,0)-MATCH($A$1,[2]characters!$1:$1,0)+1,FALSE)</f>
        <v>ウラシマ</v>
      </c>
      <c r="C558" s="93">
        <f ca="1">VLOOKUP($A558,OFFSET(fork_awake_units!$A$1,0,0,COUNTA(fork_awake_units!$A:$A),MATCH(C$1,fork_awake_units!$1:$1,0)-MATCH($A$1,fork_awake_units!$1:$1,0)+1),MATCH(C$1,fork_awake_units!$1:$1,0)-MATCH($A$1,fork_awake_units!$1:$1,0)+1,FALSE)</f>
        <v>419</v>
      </c>
      <c r="D558" s="3" t="str">
        <f ca="1">VLOOKUP($C558,OFFSET([2]characters!$A$1,0,0,COUNTA([2]characters!$A:$A),MATCH(D$1,[2]characters!$1:$1,0)-MATCH($A$1,[2]characters!$1:$1,0)+1),MATCH(D$1,[2]characters!$1:$1,0)-MATCH($A$1,[2]characters!$1:$1,0)+1,FALSE)</f>
        <v>宣戦の解城 ウラシマ</v>
      </c>
      <c r="E558" s="66">
        <v>103</v>
      </c>
      <c r="F558" s="3" t="str">
        <f ca="1">VLOOKUP($E558,OFFSET([2]characters!$A$1,0,0,COUNTA([2]characters!$A:$A),MATCH(F$1,[2]characters!$1:$1,0)-MATCH($A$1,[2]characters!$1:$1,0)+1),MATCH(F$1,[2]characters!$1:$1,0)-MATCH($A$1,[2]characters!$1:$1,0)+1,FALSE)</f>
        <v>レッドキャタップ</v>
      </c>
      <c r="G558" s="66">
        <v>1</v>
      </c>
      <c r="H558" s="66">
        <v>1</v>
      </c>
      <c r="I558" s="66">
        <v>1</v>
      </c>
    </row>
    <row r="559" spans="1:9" x14ac:dyDescent="0.15">
      <c r="A559" s="66">
        <v>418</v>
      </c>
      <c r="B559" s="3" t="str">
        <f ca="1">VLOOKUP($A559,OFFSET([2]characters!$A$1,0,0,COUNTA([2]characters!$A:$A),MATCH(B$1,[2]characters!$1:$1,0)-MATCH($A$1,[2]characters!$1:$1,0)+1),MATCH(B$1,[2]characters!$1:$1,0)-MATCH($A$1,[2]characters!$1:$1,0)+1,FALSE)</f>
        <v>ウラシマ</v>
      </c>
      <c r="C559" s="93">
        <f ca="1">VLOOKUP($A559,OFFSET(fork_awake_units!$A$1,0,0,COUNTA(fork_awake_units!$A:$A),MATCH(C$1,fork_awake_units!$1:$1,0)-MATCH($A$1,fork_awake_units!$1:$1,0)+1),MATCH(C$1,fork_awake_units!$1:$1,0)-MATCH($A$1,fork_awake_units!$1:$1,0)+1,FALSE)</f>
        <v>419</v>
      </c>
      <c r="D559" s="3" t="str">
        <f ca="1">VLOOKUP($C559,OFFSET([2]characters!$A$1,0,0,COUNTA([2]characters!$A:$A),MATCH(D$1,[2]characters!$1:$1,0)-MATCH($A$1,[2]characters!$1:$1,0)+1),MATCH(D$1,[2]characters!$1:$1,0)-MATCH($A$1,[2]characters!$1:$1,0)+1,FALSE)</f>
        <v>宣戦の解城 ウラシマ</v>
      </c>
      <c r="E559" s="66">
        <v>104</v>
      </c>
      <c r="F559" s="3" t="str">
        <f ca="1">VLOOKUP($E559,OFFSET([2]characters!$A$1,0,0,COUNTA([2]characters!$A:$A),MATCH(F$1,[2]characters!$1:$1,0)-MATCH($A$1,[2]characters!$1:$1,0)+1),MATCH(F$1,[2]characters!$1:$1,0)-MATCH($A$1,[2]characters!$1:$1,0)+1,FALSE)</f>
        <v>炎のマッドハッター</v>
      </c>
      <c r="G559" s="66">
        <v>1</v>
      </c>
      <c r="H559" s="66">
        <v>1</v>
      </c>
      <c r="I559" s="66">
        <v>1</v>
      </c>
    </row>
    <row r="560" spans="1:9" x14ac:dyDescent="0.15">
      <c r="A560" s="66">
        <v>420</v>
      </c>
      <c r="B560" s="3" t="str">
        <f ca="1">VLOOKUP($A560,OFFSET([2]characters!$A$1,0,0,COUNTA([2]characters!$A:$A),MATCH(B$1,[2]characters!$1:$1,0)-MATCH($A$1,[2]characters!$1:$1,0)+1),MATCH(B$1,[2]characters!$1:$1,0)-MATCH($A$1,[2]characters!$1:$1,0)+1,FALSE)</f>
        <v>カエデ</v>
      </c>
      <c r="C560" s="93">
        <f ca="1">VLOOKUP($A560,OFFSET(fork_awake_units!$A$1,0,0,COUNTA(fork_awake_units!$A:$A),MATCH(C$1,fork_awake_units!$1:$1,0)-MATCH($A$1,fork_awake_units!$1:$1,0)+1),MATCH(C$1,fork_awake_units!$1:$1,0)-MATCH($A$1,fork_awake_units!$1:$1,0)+1,FALSE)</f>
        <v>421</v>
      </c>
      <c r="D560" s="3" t="str">
        <f ca="1">VLOOKUP($C560,OFFSET([2]characters!$A$1,0,0,COUNTA([2]characters!$A:$A),MATCH(D$1,[2]characters!$1:$1,0)-MATCH($A$1,[2]characters!$1:$1,0)+1),MATCH(D$1,[2]characters!$1:$1,0)-MATCH($A$1,[2]characters!$1:$1,0)+1,FALSE)</f>
        <v>反親の彩壁 カエデ</v>
      </c>
      <c r="E560" s="66">
        <v>105</v>
      </c>
      <c r="F560" s="3" t="str">
        <f ca="1">VLOOKUP($E560,OFFSET([2]characters!$A$1,0,0,COUNTA([2]characters!$A:$A),MATCH(F$1,[2]characters!$1:$1,0)-MATCH($A$1,[2]characters!$1:$1,0)+1),MATCH(F$1,[2]characters!$1:$1,0)-MATCH($A$1,[2]characters!$1:$1,0)+1,FALSE)</f>
        <v>グリーンチェシャ</v>
      </c>
      <c r="G560" s="66">
        <v>1</v>
      </c>
      <c r="H560" s="66">
        <v>1</v>
      </c>
      <c r="I560" s="66">
        <v>1</v>
      </c>
    </row>
    <row r="561" spans="1:9" x14ac:dyDescent="0.15">
      <c r="A561" s="66">
        <v>420</v>
      </c>
      <c r="B561" s="3" t="str">
        <f ca="1">VLOOKUP($A561,OFFSET([2]characters!$A$1,0,0,COUNTA([2]characters!$A:$A),MATCH(B$1,[2]characters!$1:$1,0)-MATCH($A$1,[2]characters!$1:$1,0)+1),MATCH(B$1,[2]characters!$1:$1,0)-MATCH($A$1,[2]characters!$1:$1,0)+1,FALSE)</f>
        <v>カエデ</v>
      </c>
      <c r="C561" s="93">
        <f ca="1">VLOOKUP($A561,OFFSET(fork_awake_units!$A$1,0,0,COUNTA(fork_awake_units!$A:$A),MATCH(C$1,fork_awake_units!$1:$1,0)-MATCH($A$1,fork_awake_units!$1:$1,0)+1),MATCH(C$1,fork_awake_units!$1:$1,0)-MATCH($A$1,fork_awake_units!$1:$1,0)+1,FALSE)</f>
        <v>421</v>
      </c>
      <c r="D561" s="3" t="str">
        <f ca="1">VLOOKUP($C561,OFFSET([2]characters!$A$1,0,0,COUNTA([2]characters!$A:$A),MATCH(D$1,[2]characters!$1:$1,0)-MATCH($A$1,[2]characters!$1:$1,0)+1),MATCH(D$1,[2]characters!$1:$1,0)-MATCH($A$1,[2]characters!$1:$1,0)+1,FALSE)</f>
        <v>反親の彩壁 カエデ</v>
      </c>
      <c r="E561" s="66">
        <v>106</v>
      </c>
      <c r="F561" s="3" t="str">
        <f ca="1">VLOOKUP($E561,OFFSET([2]characters!$A$1,0,0,COUNTA([2]characters!$A:$A),MATCH(F$1,[2]characters!$1:$1,0)-MATCH($A$1,[2]characters!$1:$1,0)+1),MATCH(F$1,[2]characters!$1:$1,0)-MATCH($A$1,[2]characters!$1:$1,0)+1,FALSE)</f>
        <v>グリーンラビット</v>
      </c>
      <c r="G561" s="66">
        <v>2</v>
      </c>
      <c r="H561" s="66">
        <v>1</v>
      </c>
      <c r="I561" s="66">
        <v>1</v>
      </c>
    </row>
    <row r="562" spans="1:9" x14ac:dyDescent="0.15">
      <c r="A562" s="66">
        <v>420</v>
      </c>
      <c r="B562" s="3" t="str">
        <f ca="1">VLOOKUP($A562,OFFSET([2]characters!$A$1,0,0,COUNTA([2]characters!$A:$A),MATCH(B$1,[2]characters!$1:$1,0)-MATCH($A$1,[2]characters!$1:$1,0)+1),MATCH(B$1,[2]characters!$1:$1,0)-MATCH($A$1,[2]characters!$1:$1,0)+1,FALSE)</f>
        <v>カエデ</v>
      </c>
      <c r="C562" s="93">
        <f ca="1">VLOOKUP($A562,OFFSET(fork_awake_units!$A$1,0,0,COUNTA(fork_awake_units!$A:$A),MATCH(C$1,fork_awake_units!$1:$1,0)-MATCH($A$1,fork_awake_units!$1:$1,0)+1),MATCH(C$1,fork_awake_units!$1:$1,0)-MATCH($A$1,fork_awake_units!$1:$1,0)+1,FALSE)</f>
        <v>421</v>
      </c>
      <c r="D562" s="3" t="str">
        <f ca="1">VLOOKUP($C562,OFFSET([2]characters!$A$1,0,0,COUNTA([2]characters!$A:$A),MATCH(D$1,[2]characters!$1:$1,0)-MATCH($A$1,[2]characters!$1:$1,0)+1),MATCH(D$1,[2]characters!$1:$1,0)-MATCH($A$1,[2]characters!$1:$1,0)+1,FALSE)</f>
        <v>反親の彩壁 カエデ</v>
      </c>
      <c r="E562" s="66">
        <v>107</v>
      </c>
      <c r="F562" s="3" t="str">
        <f ca="1">VLOOKUP($E562,OFFSET([2]characters!$A$1,0,0,COUNTA([2]characters!$A:$A),MATCH(F$1,[2]characters!$1:$1,0)-MATCH($A$1,[2]characters!$1:$1,0)+1),MATCH(F$1,[2]characters!$1:$1,0)-MATCH($A$1,[2]characters!$1:$1,0)+1,FALSE)</f>
        <v>グリーンキャタップ</v>
      </c>
      <c r="G562" s="66">
        <v>1</v>
      </c>
      <c r="H562" s="66">
        <v>1</v>
      </c>
      <c r="I562" s="66">
        <v>1</v>
      </c>
    </row>
    <row r="563" spans="1:9" x14ac:dyDescent="0.15">
      <c r="A563" s="66">
        <v>420</v>
      </c>
      <c r="B563" s="3" t="str">
        <f ca="1">VLOOKUP($A563,OFFSET([2]characters!$A$1,0,0,COUNTA([2]characters!$A:$A),MATCH(B$1,[2]characters!$1:$1,0)-MATCH($A$1,[2]characters!$1:$1,0)+1),MATCH(B$1,[2]characters!$1:$1,0)-MATCH($A$1,[2]characters!$1:$1,0)+1,FALSE)</f>
        <v>カエデ</v>
      </c>
      <c r="C563" s="93">
        <f ca="1">VLOOKUP($A563,OFFSET(fork_awake_units!$A$1,0,0,COUNTA(fork_awake_units!$A:$A),MATCH(C$1,fork_awake_units!$1:$1,0)-MATCH($A$1,fork_awake_units!$1:$1,0)+1),MATCH(C$1,fork_awake_units!$1:$1,0)-MATCH($A$1,fork_awake_units!$1:$1,0)+1,FALSE)</f>
        <v>421</v>
      </c>
      <c r="D563" s="3" t="str">
        <f ca="1">VLOOKUP($C563,OFFSET([2]characters!$A$1,0,0,COUNTA([2]characters!$A:$A),MATCH(D$1,[2]characters!$1:$1,0)-MATCH($A$1,[2]characters!$1:$1,0)+1),MATCH(D$1,[2]characters!$1:$1,0)-MATCH($A$1,[2]characters!$1:$1,0)+1,FALSE)</f>
        <v>反親の彩壁 カエデ</v>
      </c>
      <c r="E563" s="66">
        <v>108</v>
      </c>
      <c r="F563" s="3" t="str">
        <f ca="1">VLOOKUP($E563,OFFSET([2]characters!$A$1,0,0,COUNTA([2]characters!$A:$A),MATCH(F$1,[2]characters!$1:$1,0)-MATCH($A$1,[2]characters!$1:$1,0)+1),MATCH(F$1,[2]characters!$1:$1,0)-MATCH($A$1,[2]characters!$1:$1,0)+1,FALSE)</f>
        <v>森のマッドハッター</v>
      </c>
      <c r="G563" s="66">
        <v>1</v>
      </c>
      <c r="H563" s="66">
        <v>1</v>
      </c>
      <c r="I563" s="66">
        <v>1</v>
      </c>
    </row>
    <row r="564" spans="1:9" x14ac:dyDescent="0.15">
      <c r="A564" s="66">
        <v>422</v>
      </c>
      <c r="B564" s="3" t="str">
        <f ca="1">VLOOKUP($A564,OFFSET([2]characters!$A$1,0,0,COUNTA([2]characters!$A:$A),MATCH(B$1,[2]characters!$1:$1,0)-MATCH($A$1,[2]characters!$1:$1,0)+1),MATCH(B$1,[2]characters!$1:$1,0)-MATCH($A$1,[2]characters!$1:$1,0)+1,FALSE)</f>
        <v>シュガフル</v>
      </c>
      <c r="C564" s="93">
        <f ca="1">VLOOKUP($A564,OFFSET(fork_awake_units!$A$1,0,0,COUNTA(fork_awake_units!$A:$A),MATCH(C$1,fork_awake_units!$1:$1,0)-MATCH($A$1,fork_awake_units!$1:$1,0)+1),MATCH(C$1,fork_awake_units!$1:$1,0)-MATCH($A$1,fork_awake_units!$1:$1,0)+1,FALSE)</f>
        <v>423</v>
      </c>
      <c r="D564" s="3" t="str">
        <f ca="1">VLOOKUP($C564,OFFSET([2]characters!$A$1,0,0,COUNTA([2]characters!$A:$A),MATCH(D$1,[2]characters!$1:$1,0)-MATCH($A$1,[2]characters!$1:$1,0)+1),MATCH(D$1,[2]characters!$1:$1,0)-MATCH($A$1,[2]characters!$1:$1,0)+1,FALSE)</f>
        <v>甘罠の魔女 シュガフル</v>
      </c>
      <c r="E564" s="66">
        <v>109</v>
      </c>
      <c r="F564" s="3" t="str">
        <f ca="1">VLOOKUP($E564,OFFSET([2]characters!$A$1,0,0,COUNTA([2]characters!$A:$A),MATCH(F$1,[2]characters!$1:$1,0)-MATCH($A$1,[2]characters!$1:$1,0)+1),MATCH(F$1,[2]characters!$1:$1,0)-MATCH($A$1,[2]characters!$1:$1,0)+1,FALSE)</f>
        <v>ブルーチェシャ</v>
      </c>
      <c r="G564" s="66">
        <v>1</v>
      </c>
      <c r="H564" s="66">
        <v>1</v>
      </c>
      <c r="I564" s="66">
        <v>1</v>
      </c>
    </row>
    <row r="565" spans="1:9" x14ac:dyDescent="0.15">
      <c r="A565" s="66">
        <v>422</v>
      </c>
      <c r="B565" s="3" t="str">
        <f ca="1">VLOOKUP($A565,OFFSET([2]characters!$A$1,0,0,COUNTA([2]characters!$A:$A),MATCH(B$1,[2]characters!$1:$1,0)-MATCH($A$1,[2]characters!$1:$1,0)+1),MATCH(B$1,[2]characters!$1:$1,0)-MATCH($A$1,[2]characters!$1:$1,0)+1,FALSE)</f>
        <v>シュガフル</v>
      </c>
      <c r="C565" s="93">
        <f ca="1">VLOOKUP($A565,OFFSET(fork_awake_units!$A$1,0,0,COUNTA(fork_awake_units!$A:$A),MATCH(C$1,fork_awake_units!$1:$1,0)-MATCH($A$1,fork_awake_units!$1:$1,0)+1),MATCH(C$1,fork_awake_units!$1:$1,0)-MATCH($A$1,fork_awake_units!$1:$1,0)+1,FALSE)</f>
        <v>423</v>
      </c>
      <c r="D565" s="3" t="str">
        <f ca="1">VLOOKUP($C565,OFFSET([2]characters!$A$1,0,0,COUNTA([2]characters!$A:$A),MATCH(D$1,[2]characters!$1:$1,0)-MATCH($A$1,[2]characters!$1:$1,0)+1),MATCH(D$1,[2]characters!$1:$1,0)-MATCH($A$1,[2]characters!$1:$1,0)+1,FALSE)</f>
        <v>甘罠の魔女 シュガフル</v>
      </c>
      <c r="E565" s="66">
        <v>110</v>
      </c>
      <c r="F565" s="3" t="str">
        <f ca="1">VLOOKUP($E565,OFFSET([2]characters!$A$1,0,0,COUNTA([2]characters!$A:$A),MATCH(F$1,[2]characters!$1:$1,0)-MATCH($A$1,[2]characters!$1:$1,0)+1),MATCH(F$1,[2]characters!$1:$1,0)-MATCH($A$1,[2]characters!$1:$1,0)+1,FALSE)</f>
        <v>ブルーラビット</v>
      </c>
      <c r="G565" s="66">
        <v>2</v>
      </c>
      <c r="H565" s="66">
        <v>1</v>
      </c>
      <c r="I565" s="66">
        <v>1</v>
      </c>
    </row>
    <row r="566" spans="1:9" x14ac:dyDescent="0.15">
      <c r="A566" s="66">
        <v>422</v>
      </c>
      <c r="B566" s="3" t="str">
        <f ca="1">VLOOKUP($A566,OFFSET([2]characters!$A$1,0,0,COUNTA([2]characters!$A:$A),MATCH(B$1,[2]characters!$1:$1,0)-MATCH($A$1,[2]characters!$1:$1,0)+1),MATCH(B$1,[2]characters!$1:$1,0)-MATCH($A$1,[2]characters!$1:$1,0)+1,FALSE)</f>
        <v>シュガフル</v>
      </c>
      <c r="C566" s="93">
        <f ca="1">VLOOKUP($A566,OFFSET(fork_awake_units!$A$1,0,0,COUNTA(fork_awake_units!$A:$A),MATCH(C$1,fork_awake_units!$1:$1,0)-MATCH($A$1,fork_awake_units!$1:$1,0)+1),MATCH(C$1,fork_awake_units!$1:$1,0)-MATCH($A$1,fork_awake_units!$1:$1,0)+1,FALSE)</f>
        <v>423</v>
      </c>
      <c r="D566" s="3" t="str">
        <f ca="1">VLOOKUP($C566,OFFSET([2]characters!$A$1,0,0,COUNTA([2]characters!$A:$A),MATCH(D$1,[2]characters!$1:$1,0)-MATCH($A$1,[2]characters!$1:$1,0)+1),MATCH(D$1,[2]characters!$1:$1,0)-MATCH($A$1,[2]characters!$1:$1,0)+1,FALSE)</f>
        <v>甘罠の魔女 シュガフル</v>
      </c>
      <c r="E566" s="66">
        <v>111</v>
      </c>
      <c r="F566" s="3" t="str">
        <f ca="1">VLOOKUP($E566,OFFSET([2]characters!$A$1,0,0,COUNTA([2]characters!$A:$A),MATCH(F$1,[2]characters!$1:$1,0)-MATCH($A$1,[2]characters!$1:$1,0)+1),MATCH(F$1,[2]characters!$1:$1,0)-MATCH($A$1,[2]characters!$1:$1,0)+1,FALSE)</f>
        <v>ブルーキャタップ</v>
      </c>
      <c r="G566" s="66">
        <v>1</v>
      </c>
      <c r="H566" s="66">
        <v>1</v>
      </c>
      <c r="I566" s="66">
        <v>1</v>
      </c>
    </row>
    <row r="567" spans="1:9" x14ac:dyDescent="0.15">
      <c r="A567" s="66">
        <v>422</v>
      </c>
      <c r="B567" s="3" t="str">
        <f ca="1">VLOOKUP($A567,OFFSET([2]characters!$A$1,0,0,COUNTA([2]characters!$A:$A),MATCH(B$1,[2]characters!$1:$1,0)-MATCH($A$1,[2]characters!$1:$1,0)+1),MATCH(B$1,[2]characters!$1:$1,0)-MATCH($A$1,[2]characters!$1:$1,0)+1,FALSE)</f>
        <v>シュガフル</v>
      </c>
      <c r="C567" s="93">
        <f ca="1">VLOOKUP($A567,OFFSET(fork_awake_units!$A$1,0,0,COUNTA(fork_awake_units!$A:$A),MATCH(C$1,fork_awake_units!$1:$1,0)-MATCH($A$1,fork_awake_units!$1:$1,0)+1),MATCH(C$1,fork_awake_units!$1:$1,0)-MATCH($A$1,fork_awake_units!$1:$1,0)+1,FALSE)</f>
        <v>423</v>
      </c>
      <c r="D567" s="3" t="str">
        <f ca="1">VLOOKUP($C567,OFFSET([2]characters!$A$1,0,0,COUNTA([2]characters!$A:$A),MATCH(D$1,[2]characters!$1:$1,0)-MATCH($A$1,[2]characters!$1:$1,0)+1),MATCH(D$1,[2]characters!$1:$1,0)-MATCH($A$1,[2]characters!$1:$1,0)+1,FALSE)</f>
        <v>甘罠の魔女 シュガフル</v>
      </c>
      <c r="E567" s="66">
        <v>112</v>
      </c>
      <c r="F567" s="3" t="str">
        <f ca="1">VLOOKUP($E567,OFFSET([2]characters!$A$1,0,0,COUNTA([2]characters!$A:$A),MATCH(F$1,[2]characters!$1:$1,0)-MATCH($A$1,[2]characters!$1:$1,0)+1),MATCH(F$1,[2]characters!$1:$1,0)-MATCH($A$1,[2]characters!$1:$1,0)+1,FALSE)</f>
        <v>水のマッドハッター</v>
      </c>
      <c r="G567" s="66">
        <v>1</v>
      </c>
      <c r="H567" s="66">
        <v>1</v>
      </c>
      <c r="I567" s="66">
        <v>1</v>
      </c>
    </row>
    <row r="568" spans="1:9" x14ac:dyDescent="0.15">
      <c r="A568" s="66">
        <v>424</v>
      </c>
      <c r="B568" s="3" t="str">
        <f ca="1">VLOOKUP($A568,OFFSET([2]characters!$A$1,0,0,COUNTA([2]characters!$A:$A),MATCH(B$1,[2]characters!$1:$1,0)-MATCH($A$1,[2]characters!$1:$1,0)+1),MATCH(B$1,[2]characters!$1:$1,0)-MATCH($A$1,[2]characters!$1:$1,0)+1,FALSE)</f>
        <v>フック</v>
      </c>
      <c r="C568" s="93">
        <f ca="1">VLOOKUP($A568,OFFSET(fork_awake_units!$A$1,0,0,COUNTA(fork_awake_units!$A:$A),MATCH(C$1,fork_awake_units!$1:$1,0)-MATCH($A$1,fork_awake_units!$1:$1,0)+1),MATCH(C$1,fork_awake_units!$1:$1,0)-MATCH($A$1,fork_awake_units!$1:$1,0)+1,FALSE)</f>
        <v>425</v>
      </c>
      <c r="D568" s="3" t="str">
        <f ca="1">VLOOKUP($C568,OFFSET([2]characters!$A$1,0,0,COUNTA([2]characters!$A:$A),MATCH(D$1,[2]characters!$1:$1,0)-MATCH($A$1,[2]characters!$1:$1,0)+1),MATCH(D$1,[2]characters!$1:$1,0)-MATCH($A$1,[2]characters!$1:$1,0)+1,FALSE)</f>
        <v>怒髪の海賊 フック</v>
      </c>
      <c r="E568" s="66">
        <v>113</v>
      </c>
      <c r="F568" s="3" t="str">
        <f ca="1">VLOOKUP($E568,OFFSET([2]characters!$A$1,0,0,COUNTA([2]characters!$A:$A),MATCH(F$1,[2]characters!$1:$1,0)-MATCH($A$1,[2]characters!$1:$1,0)+1),MATCH(F$1,[2]characters!$1:$1,0)-MATCH($A$1,[2]characters!$1:$1,0)+1,FALSE)</f>
        <v>イエローチェシャ</v>
      </c>
      <c r="G568" s="66">
        <v>1</v>
      </c>
      <c r="H568" s="66">
        <v>1</v>
      </c>
      <c r="I568" s="66">
        <v>1</v>
      </c>
    </row>
    <row r="569" spans="1:9" x14ac:dyDescent="0.15">
      <c r="A569" s="66">
        <v>424</v>
      </c>
      <c r="B569" s="3" t="str">
        <f ca="1">VLOOKUP($A569,OFFSET([2]characters!$A$1,0,0,COUNTA([2]characters!$A:$A),MATCH(B$1,[2]characters!$1:$1,0)-MATCH($A$1,[2]characters!$1:$1,0)+1),MATCH(B$1,[2]characters!$1:$1,0)-MATCH($A$1,[2]characters!$1:$1,0)+1,FALSE)</f>
        <v>フック</v>
      </c>
      <c r="C569" s="93">
        <f ca="1">VLOOKUP($A569,OFFSET(fork_awake_units!$A$1,0,0,COUNTA(fork_awake_units!$A:$A),MATCH(C$1,fork_awake_units!$1:$1,0)-MATCH($A$1,fork_awake_units!$1:$1,0)+1),MATCH(C$1,fork_awake_units!$1:$1,0)-MATCH($A$1,fork_awake_units!$1:$1,0)+1,FALSE)</f>
        <v>425</v>
      </c>
      <c r="D569" s="3" t="str">
        <f ca="1">VLOOKUP($C569,OFFSET([2]characters!$A$1,0,0,COUNTA([2]characters!$A:$A),MATCH(D$1,[2]characters!$1:$1,0)-MATCH($A$1,[2]characters!$1:$1,0)+1),MATCH(D$1,[2]characters!$1:$1,0)-MATCH($A$1,[2]characters!$1:$1,0)+1,FALSE)</f>
        <v>怒髪の海賊 フック</v>
      </c>
      <c r="E569" s="66">
        <v>114</v>
      </c>
      <c r="F569" s="3" t="str">
        <f ca="1">VLOOKUP($E569,OFFSET([2]characters!$A$1,0,0,COUNTA([2]characters!$A:$A),MATCH(F$1,[2]characters!$1:$1,0)-MATCH($A$1,[2]characters!$1:$1,0)+1),MATCH(F$1,[2]characters!$1:$1,0)-MATCH($A$1,[2]characters!$1:$1,0)+1,FALSE)</f>
        <v>イエローラビット</v>
      </c>
      <c r="G569" s="66">
        <v>2</v>
      </c>
      <c r="H569" s="66">
        <v>1</v>
      </c>
      <c r="I569" s="66">
        <v>1</v>
      </c>
    </row>
    <row r="570" spans="1:9" x14ac:dyDescent="0.15">
      <c r="A570" s="66">
        <v>424</v>
      </c>
      <c r="B570" s="3" t="str">
        <f ca="1">VLOOKUP($A570,OFFSET([2]characters!$A$1,0,0,COUNTA([2]characters!$A:$A),MATCH(B$1,[2]characters!$1:$1,0)-MATCH($A$1,[2]characters!$1:$1,0)+1),MATCH(B$1,[2]characters!$1:$1,0)-MATCH($A$1,[2]characters!$1:$1,0)+1,FALSE)</f>
        <v>フック</v>
      </c>
      <c r="C570" s="93">
        <f ca="1">VLOOKUP($A570,OFFSET(fork_awake_units!$A$1,0,0,COUNTA(fork_awake_units!$A:$A),MATCH(C$1,fork_awake_units!$1:$1,0)-MATCH($A$1,fork_awake_units!$1:$1,0)+1),MATCH(C$1,fork_awake_units!$1:$1,0)-MATCH($A$1,fork_awake_units!$1:$1,0)+1,FALSE)</f>
        <v>425</v>
      </c>
      <c r="D570" s="3" t="str">
        <f ca="1">VLOOKUP($C570,OFFSET([2]characters!$A$1,0,0,COUNTA([2]characters!$A:$A),MATCH(D$1,[2]characters!$1:$1,0)-MATCH($A$1,[2]characters!$1:$1,0)+1),MATCH(D$1,[2]characters!$1:$1,0)-MATCH($A$1,[2]characters!$1:$1,0)+1,FALSE)</f>
        <v>怒髪の海賊 フック</v>
      </c>
      <c r="E570" s="66">
        <v>115</v>
      </c>
      <c r="F570" s="3" t="str">
        <f ca="1">VLOOKUP($E570,OFFSET([2]characters!$A$1,0,0,COUNTA([2]characters!$A:$A),MATCH(F$1,[2]characters!$1:$1,0)-MATCH($A$1,[2]characters!$1:$1,0)+1),MATCH(F$1,[2]characters!$1:$1,0)-MATCH($A$1,[2]characters!$1:$1,0)+1,FALSE)</f>
        <v>イエローキャタップ</v>
      </c>
      <c r="G570" s="66">
        <v>1</v>
      </c>
      <c r="H570" s="66">
        <v>1</v>
      </c>
      <c r="I570" s="66">
        <v>1</v>
      </c>
    </row>
    <row r="571" spans="1:9" x14ac:dyDescent="0.15">
      <c r="A571" s="66">
        <v>424</v>
      </c>
      <c r="B571" s="3" t="str">
        <f ca="1">VLOOKUP($A571,OFFSET([2]characters!$A$1,0,0,COUNTA([2]characters!$A:$A),MATCH(B$1,[2]characters!$1:$1,0)-MATCH($A$1,[2]characters!$1:$1,0)+1),MATCH(B$1,[2]characters!$1:$1,0)-MATCH($A$1,[2]characters!$1:$1,0)+1,FALSE)</f>
        <v>フック</v>
      </c>
      <c r="C571" s="93">
        <f ca="1">VLOOKUP($A571,OFFSET(fork_awake_units!$A$1,0,0,COUNTA(fork_awake_units!$A:$A),MATCH(C$1,fork_awake_units!$1:$1,0)-MATCH($A$1,fork_awake_units!$1:$1,0)+1),MATCH(C$1,fork_awake_units!$1:$1,0)-MATCH($A$1,fork_awake_units!$1:$1,0)+1,FALSE)</f>
        <v>425</v>
      </c>
      <c r="D571" s="3" t="str">
        <f ca="1">VLOOKUP($C571,OFFSET([2]characters!$A$1,0,0,COUNTA([2]characters!$A:$A),MATCH(D$1,[2]characters!$1:$1,0)-MATCH($A$1,[2]characters!$1:$1,0)+1),MATCH(D$1,[2]characters!$1:$1,0)-MATCH($A$1,[2]characters!$1:$1,0)+1,FALSE)</f>
        <v>怒髪の海賊 フック</v>
      </c>
      <c r="E571" s="66">
        <v>116</v>
      </c>
      <c r="F571" s="3" t="str">
        <f ca="1">VLOOKUP($E571,OFFSET([2]characters!$A$1,0,0,COUNTA([2]characters!$A:$A),MATCH(F$1,[2]characters!$1:$1,0)-MATCH($A$1,[2]characters!$1:$1,0)+1),MATCH(F$1,[2]characters!$1:$1,0)-MATCH($A$1,[2]characters!$1:$1,0)+1,FALSE)</f>
        <v>雷のマッドハッター</v>
      </c>
      <c r="G571" s="66">
        <v>1</v>
      </c>
      <c r="H571" s="66">
        <v>1</v>
      </c>
      <c r="I571" s="66">
        <v>1</v>
      </c>
    </row>
    <row r="572" spans="1:9" x14ac:dyDescent="0.15">
      <c r="A572" s="66">
        <v>426</v>
      </c>
      <c r="B572" s="3" t="str">
        <f ca="1">VLOOKUP($A572,OFFSET([2]characters!$A$1,0,0,COUNTA([2]characters!$A:$A),MATCH(B$1,[2]characters!$1:$1,0)-MATCH($A$1,[2]characters!$1:$1,0)+1),MATCH(B$1,[2]characters!$1:$1,0)-MATCH($A$1,[2]characters!$1:$1,0)+1,FALSE)</f>
        <v>宮本武蔵</v>
      </c>
      <c r="C572" s="93">
        <f ca="1">VLOOKUP($A572,OFFSET(fork_awake_units!$A$1,0,0,COUNTA(fork_awake_units!$A:$A),MATCH(C$1,fork_awake_units!$1:$1,0)-MATCH($A$1,fork_awake_units!$1:$1,0)+1),MATCH(C$1,fork_awake_units!$1:$1,0)-MATCH($A$1,fork_awake_units!$1:$1,0)+1,FALSE)</f>
        <v>427</v>
      </c>
      <c r="D572" s="3" t="str">
        <f ca="1">VLOOKUP($C572,OFFSET([2]characters!$A$1,0,0,COUNTA([2]characters!$A:$A),MATCH(D$1,[2]characters!$1:$1,0)-MATCH($A$1,[2]characters!$1:$1,0)+1),MATCH(D$1,[2]characters!$1:$1,0)-MATCH($A$1,[2]characters!$1:$1,0)+1,FALSE)</f>
        <v>極・剣豪 宮本武蔵</v>
      </c>
      <c r="E572" s="66">
        <v>116</v>
      </c>
      <c r="F572" s="3" t="str">
        <f ca="1">VLOOKUP($E572,OFFSET([2]characters!$A$1,0,0,COUNTA([2]characters!$A:$A),MATCH(F$1,[2]characters!$1:$1,0)-MATCH($A$1,[2]characters!$1:$1,0)+1),MATCH(F$1,[2]characters!$1:$1,0)-MATCH($A$1,[2]characters!$1:$1,0)+1,FALSE)</f>
        <v>雷のマッドハッター</v>
      </c>
      <c r="G572" s="66">
        <v>1</v>
      </c>
      <c r="H572" s="66">
        <v>1</v>
      </c>
      <c r="I572" s="66">
        <v>1</v>
      </c>
    </row>
    <row r="573" spans="1:9" x14ac:dyDescent="0.15">
      <c r="A573" s="66">
        <v>426</v>
      </c>
      <c r="B573" s="3" t="str">
        <f ca="1">VLOOKUP($A573,OFFSET([2]characters!$A$1,0,0,COUNTA([2]characters!$A:$A),MATCH(B$1,[2]characters!$1:$1,0)-MATCH($A$1,[2]characters!$1:$1,0)+1),MATCH(B$1,[2]characters!$1:$1,0)-MATCH($A$1,[2]characters!$1:$1,0)+1,FALSE)</f>
        <v>宮本武蔵</v>
      </c>
      <c r="C573" s="93">
        <f ca="1">VLOOKUP($A573,OFFSET(fork_awake_units!$A$1,0,0,COUNTA(fork_awake_units!$A:$A),MATCH(C$1,fork_awake_units!$1:$1,0)-MATCH($A$1,fork_awake_units!$1:$1,0)+1),MATCH(C$1,fork_awake_units!$1:$1,0)-MATCH($A$1,fork_awake_units!$1:$1,0)+1,FALSE)</f>
        <v>427</v>
      </c>
      <c r="D573" s="3" t="str">
        <f ca="1">VLOOKUP($C573,OFFSET([2]characters!$A$1,0,0,COUNTA([2]characters!$A:$A),MATCH(D$1,[2]characters!$1:$1,0)-MATCH($A$1,[2]characters!$1:$1,0)+1),MATCH(D$1,[2]characters!$1:$1,0)-MATCH($A$1,[2]characters!$1:$1,0)+1,FALSE)</f>
        <v>極・剣豪 宮本武蔵</v>
      </c>
      <c r="E573" s="66">
        <v>312</v>
      </c>
      <c r="F573" s="3" t="str">
        <f ca="1">VLOOKUP($E573,OFFSET([2]characters!$A$1,0,0,COUNTA([2]characters!$A:$A),MATCH(F$1,[2]characters!$1:$1,0)-MATCH($A$1,[2]characters!$1:$1,0)+1),MATCH(F$1,[2]characters!$1:$1,0)-MATCH($A$1,[2]characters!$1:$1,0)+1,FALSE)</f>
        <v>アノマロカリス</v>
      </c>
      <c r="G573" s="66">
        <v>2</v>
      </c>
      <c r="H573" s="66">
        <v>1</v>
      </c>
      <c r="I573" s="66">
        <v>1</v>
      </c>
    </row>
    <row r="574" spans="1:9" x14ac:dyDescent="0.15">
      <c r="A574" s="66">
        <v>426</v>
      </c>
      <c r="B574" s="3" t="str">
        <f ca="1">VLOOKUP($A574,OFFSET([2]characters!$A$1,0,0,COUNTA([2]characters!$A:$A),MATCH(B$1,[2]characters!$1:$1,0)-MATCH($A$1,[2]characters!$1:$1,0)+1),MATCH(B$1,[2]characters!$1:$1,0)-MATCH($A$1,[2]characters!$1:$1,0)+1,FALSE)</f>
        <v>宮本武蔵</v>
      </c>
      <c r="C574" s="93">
        <f ca="1">VLOOKUP($A574,OFFSET(fork_awake_units!$A$1,0,0,COUNTA(fork_awake_units!$A:$A),MATCH(C$1,fork_awake_units!$1:$1,0)-MATCH($A$1,fork_awake_units!$1:$1,0)+1),MATCH(C$1,fork_awake_units!$1:$1,0)-MATCH($A$1,fork_awake_units!$1:$1,0)+1,FALSE)</f>
        <v>427</v>
      </c>
      <c r="D574" s="3" t="str">
        <f ca="1">VLOOKUP($C574,OFFSET([2]characters!$A$1,0,0,COUNTA([2]characters!$A:$A),MATCH(D$1,[2]characters!$1:$1,0)-MATCH($A$1,[2]characters!$1:$1,0)+1),MATCH(D$1,[2]characters!$1:$1,0)-MATCH($A$1,[2]characters!$1:$1,0)+1,FALSE)</f>
        <v>極・剣豪 宮本武蔵</v>
      </c>
      <c r="E574" s="66">
        <v>420</v>
      </c>
      <c r="F574" s="3" t="str">
        <f ca="1">VLOOKUP($E574,OFFSET([2]characters!$A$1,0,0,COUNTA([2]characters!$A:$A),MATCH(F$1,[2]characters!$1:$1,0)-MATCH($A$1,[2]characters!$1:$1,0)+1),MATCH(F$1,[2]characters!$1:$1,0)-MATCH($A$1,[2]characters!$1:$1,0)+1,FALSE)</f>
        <v>カエデ</v>
      </c>
      <c r="G574" s="66">
        <v>2</v>
      </c>
      <c r="H574" s="66">
        <v>1</v>
      </c>
      <c r="I574" s="66">
        <v>1</v>
      </c>
    </row>
    <row r="575" spans="1:9" x14ac:dyDescent="0.15">
      <c r="A575" s="66">
        <v>427</v>
      </c>
      <c r="B575" s="3" t="str">
        <f ca="1">VLOOKUP($A575,OFFSET([2]characters!$A$1,0,0,COUNTA([2]characters!$A:$A),MATCH(B$1,[2]characters!$1:$1,0)-MATCH($A$1,[2]characters!$1:$1,0)+1),MATCH(B$1,[2]characters!$1:$1,0)-MATCH($A$1,[2]characters!$1:$1,0)+1,FALSE)</f>
        <v>極・剣豪 宮本武蔵</v>
      </c>
      <c r="C575" s="93">
        <f ca="1">VLOOKUP($A575,OFFSET(fork_awake_units!$A$1,0,0,COUNTA(fork_awake_units!$A:$A),MATCH(C$1,fork_awake_units!$1:$1,0)-MATCH($A$1,fork_awake_units!$1:$1,0)+1),MATCH(C$1,fork_awake_units!$1:$1,0)-MATCH($A$1,fork_awake_units!$1:$1,0)+1,FALSE)</f>
        <v>816</v>
      </c>
      <c r="D575" s="3" t="str">
        <f ca="1">VLOOKUP($C575,OFFSET([2]characters!$A$1,0,0,COUNTA([2]characters!$A:$A),MATCH(D$1,[2]characters!$1:$1,0)-MATCH($A$1,[2]characters!$1:$1,0)+1),MATCH(D$1,[2]characters!$1:$1,0)-MATCH($A$1,[2]characters!$1:$1,0)+1,FALSE)</f>
        <v>極・二天一流 宮本武蔵</v>
      </c>
      <c r="E575" s="66">
        <v>115</v>
      </c>
      <c r="F575" s="3" t="str">
        <f ca="1">VLOOKUP($E575,OFFSET([2]characters!$A$1,0,0,COUNTA([2]characters!$A:$A),MATCH(F$1,[2]characters!$1:$1,0)-MATCH($A$1,[2]characters!$1:$1,0)+1),MATCH(F$1,[2]characters!$1:$1,0)-MATCH($A$1,[2]characters!$1:$1,0)+1,FALSE)</f>
        <v>イエローキャタップ</v>
      </c>
      <c r="G575" s="66">
        <v>1</v>
      </c>
      <c r="H575" s="66">
        <v>1</v>
      </c>
      <c r="I575" s="66">
        <v>1</v>
      </c>
    </row>
    <row r="576" spans="1:9" x14ac:dyDescent="0.15">
      <c r="A576" s="66">
        <v>427</v>
      </c>
      <c r="B576" s="3" t="str">
        <f ca="1">VLOOKUP($A576,OFFSET([2]characters!$A$1,0,0,COUNTA([2]characters!$A:$A),MATCH(B$1,[2]characters!$1:$1,0)-MATCH($A$1,[2]characters!$1:$1,0)+1),MATCH(B$1,[2]characters!$1:$1,0)-MATCH($A$1,[2]characters!$1:$1,0)+1,FALSE)</f>
        <v>極・剣豪 宮本武蔵</v>
      </c>
      <c r="C576" s="93">
        <f ca="1">VLOOKUP($A576,OFFSET(fork_awake_units!$A$1,0,0,COUNTA(fork_awake_units!$A:$A),MATCH(C$1,fork_awake_units!$1:$1,0)-MATCH($A$1,fork_awake_units!$1:$1,0)+1),MATCH(C$1,fork_awake_units!$1:$1,0)-MATCH($A$1,fork_awake_units!$1:$1,0)+1,FALSE)</f>
        <v>816</v>
      </c>
      <c r="D576" s="3" t="str">
        <f ca="1">VLOOKUP($C576,OFFSET([2]characters!$A$1,0,0,COUNTA([2]characters!$A:$A),MATCH(D$1,[2]characters!$1:$1,0)-MATCH($A$1,[2]characters!$1:$1,0)+1),MATCH(D$1,[2]characters!$1:$1,0)-MATCH($A$1,[2]characters!$1:$1,0)+1,FALSE)</f>
        <v>極・二天一流 宮本武蔵</v>
      </c>
      <c r="E576" s="66">
        <v>116</v>
      </c>
      <c r="F576" s="3" t="str">
        <f ca="1">VLOOKUP($E576,OFFSET([2]characters!$A$1,0,0,COUNTA([2]characters!$A:$A),MATCH(F$1,[2]characters!$1:$1,0)-MATCH($A$1,[2]characters!$1:$1,0)+1),MATCH(F$1,[2]characters!$1:$1,0)-MATCH($A$1,[2]characters!$1:$1,0)+1,FALSE)</f>
        <v>雷のマッドハッター</v>
      </c>
      <c r="G576" s="66">
        <v>1</v>
      </c>
      <c r="H576" s="66">
        <v>1</v>
      </c>
      <c r="I576" s="66">
        <v>1</v>
      </c>
    </row>
    <row r="577" spans="1:9" x14ac:dyDescent="0.15">
      <c r="A577" s="66">
        <v>427</v>
      </c>
      <c r="B577" s="3" t="str">
        <f ca="1">VLOOKUP($A577,OFFSET([2]characters!$A$1,0,0,COUNTA([2]characters!$A:$A),MATCH(B$1,[2]characters!$1:$1,0)-MATCH($A$1,[2]characters!$1:$1,0)+1),MATCH(B$1,[2]characters!$1:$1,0)-MATCH($A$1,[2]characters!$1:$1,0)+1,FALSE)</f>
        <v>極・剣豪 宮本武蔵</v>
      </c>
      <c r="C577" s="93">
        <f ca="1">VLOOKUP($A577,OFFSET(fork_awake_units!$A$1,0,0,COUNTA(fork_awake_units!$A:$A),MATCH(C$1,fork_awake_units!$1:$1,0)-MATCH($A$1,fork_awake_units!$1:$1,0)+1),MATCH(C$1,fork_awake_units!$1:$1,0)-MATCH($A$1,fork_awake_units!$1:$1,0)+1,FALSE)</f>
        <v>816</v>
      </c>
      <c r="D577" s="3" t="str">
        <f ca="1">VLOOKUP($C577,OFFSET([2]characters!$A$1,0,0,COUNTA([2]characters!$A:$A),MATCH(D$1,[2]characters!$1:$1,0)-MATCH($A$1,[2]characters!$1:$1,0)+1),MATCH(D$1,[2]characters!$1:$1,0)-MATCH($A$1,[2]characters!$1:$1,0)+1,FALSE)</f>
        <v>極・二天一流 宮本武蔵</v>
      </c>
      <c r="E577" s="66">
        <v>359</v>
      </c>
      <c r="F577" s="3" t="str">
        <f ca="1">VLOOKUP($E577,OFFSET([2]characters!$A$1,0,0,COUNTA([2]characters!$A:$A),MATCH(F$1,[2]characters!$1:$1,0)-MATCH($A$1,[2]characters!$1:$1,0)+1),MATCH(F$1,[2]characters!$1:$1,0)-MATCH($A$1,[2]characters!$1:$1,0)+1,FALSE)</f>
        <v>醒電の眠りネズミ</v>
      </c>
      <c r="G577" s="66">
        <v>1</v>
      </c>
      <c r="H577" s="66">
        <v>1</v>
      </c>
      <c r="I577" s="66">
        <v>1</v>
      </c>
    </row>
    <row r="578" spans="1:9" x14ac:dyDescent="0.15">
      <c r="A578" s="66">
        <v>427</v>
      </c>
      <c r="B578" s="3" t="str">
        <f ca="1">VLOOKUP($A578,OFFSET([2]characters!$A$1,0,0,COUNTA([2]characters!$A:$A),MATCH(B$1,[2]characters!$1:$1,0)-MATCH($A$1,[2]characters!$1:$1,0)+1),MATCH(B$1,[2]characters!$1:$1,0)-MATCH($A$1,[2]characters!$1:$1,0)+1,FALSE)</f>
        <v>極・剣豪 宮本武蔵</v>
      </c>
      <c r="C578" s="93">
        <f ca="1">VLOOKUP($A578,OFFSET(fork_awake_units!$A$1,0,0,COUNTA(fork_awake_units!$A:$A),MATCH(C$1,fork_awake_units!$1:$1,0)-MATCH($A$1,fork_awake_units!$1:$1,0)+1),MATCH(C$1,fork_awake_units!$1:$1,0)-MATCH($A$1,fork_awake_units!$1:$1,0)+1,FALSE)</f>
        <v>816</v>
      </c>
      <c r="D578" s="3" t="str">
        <f ca="1">VLOOKUP($C578,OFFSET([2]characters!$A$1,0,0,COUNTA([2]characters!$A:$A),MATCH(D$1,[2]characters!$1:$1,0)-MATCH($A$1,[2]characters!$1:$1,0)+1),MATCH(D$1,[2]characters!$1:$1,0)-MATCH($A$1,[2]characters!$1:$1,0)+1,FALSE)</f>
        <v>極・二天一流 宮本武蔵</v>
      </c>
      <c r="E578" s="66">
        <v>837</v>
      </c>
      <c r="F578" s="3" t="str">
        <f ca="1">VLOOKUP($E578,OFFSET([2]characters!$A$1,0,0,COUNTA([2]characters!$A:$A),MATCH(F$1,[2]characters!$1:$1,0)-MATCH($A$1,[2]characters!$1:$1,0)+1),MATCH(F$1,[2]characters!$1:$1,0)-MATCH($A$1,[2]characters!$1:$1,0)+1,FALSE)</f>
        <v>リトルハンプティ</v>
      </c>
      <c r="G578" s="66">
        <v>1</v>
      </c>
      <c r="H578" s="66">
        <v>1</v>
      </c>
      <c r="I578" s="66">
        <v>1</v>
      </c>
    </row>
    <row r="579" spans="1:9" x14ac:dyDescent="0.15">
      <c r="A579" s="66">
        <v>432</v>
      </c>
      <c r="B579" s="3" t="str">
        <f ca="1">VLOOKUP($A579,OFFSET([2]characters!$A$1,0,0,COUNTA([2]characters!$A:$A),MATCH(B$1,[2]characters!$1:$1,0)-MATCH($A$1,[2]characters!$1:$1,0)+1),MATCH(B$1,[2]characters!$1:$1,0)-MATCH($A$1,[2]characters!$1:$1,0)+1,FALSE)</f>
        <v>麒麟</v>
      </c>
      <c r="C579" s="93">
        <f ca="1">VLOOKUP($A579,OFFSET(fork_awake_units!$A$1,0,0,COUNTA(fork_awake_units!$A:$A),MATCH(C$1,fork_awake_units!$1:$1,0)-MATCH($A$1,fork_awake_units!$1:$1,0)+1),MATCH(C$1,fork_awake_units!$1:$1,0)-MATCH($A$1,fork_awake_units!$1:$1,0)+1,FALSE)</f>
        <v>433</v>
      </c>
      <c r="D579" s="3" t="str">
        <f ca="1">VLOOKUP($C579,OFFSET([2]characters!$A$1,0,0,COUNTA([2]characters!$A:$A),MATCH(D$1,[2]characters!$1:$1,0)-MATCH($A$1,[2]characters!$1:$1,0)+1),MATCH(D$1,[2]characters!$1:$1,0)-MATCH($A$1,[2]characters!$1:$1,0)+1,FALSE)</f>
        <v>世稀の現獣 麒麟</v>
      </c>
      <c r="E579" s="66">
        <v>278</v>
      </c>
      <c r="F579" s="3" t="str">
        <f ca="1">VLOOKUP($E579,OFFSET([2]characters!$A$1,0,0,COUNTA([2]characters!$A:$A),MATCH(F$1,[2]characters!$1:$1,0)-MATCH($A$1,[2]characters!$1:$1,0)+1),MATCH(F$1,[2]characters!$1:$1,0)-MATCH($A$1,[2]characters!$1:$1,0)+1,FALSE)</f>
        <v>アマテラス</v>
      </c>
      <c r="G579" s="66">
        <v>1</v>
      </c>
      <c r="H579" s="66">
        <v>1</v>
      </c>
      <c r="I579" s="66">
        <v>1</v>
      </c>
    </row>
    <row r="580" spans="1:9" x14ac:dyDescent="0.15">
      <c r="A580" s="66">
        <v>432</v>
      </c>
      <c r="B580" s="3" t="str">
        <f ca="1">VLOOKUP($A580,OFFSET([2]characters!$A$1,0,0,COUNTA([2]characters!$A:$A),MATCH(B$1,[2]characters!$1:$1,0)-MATCH($A$1,[2]characters!$1:$1,0)+1),MATCH(B$1,[2]characters!$1:$1,0)-MATCH($A$1,[2]characters!$1:$1,0)+1,FALSE)</f>
        <v>麒麟</v>
      </c>
      <c r="C580" s="93">
        <f ca="1">VLOOKUP($A580,OFFSET(fork_awake_units!$A$1,0,0,COUNTA(fork_awake_units!$A:$A),MATCH(C$1,fork_awake_units!$1:$1,0)-MATCH($A$1,fork_awake_units!$1:$1,0)+1),MATCH(C$1,fork_awake_units!$1:$1,0)-MATCH($A$1,fork_awake_units!$1:$1,0)+1,FALSE)</f>
        <v>433</v>
      </c>
      <c r="D580" s="3" t="str">
        <f ca="1">VLOOKUP($C580,OFFSET([2]characters!$A$1,0,0,COUNTA([2]characters!$A:$A),MATCH(D$1,[2]characters!$1:$1,0)-MATCH($A$1,[2]characters!$1:$1,0)+1),MATCH(D$1,[2]characters!$1:$1,0)-MATCH($A$1,[2]characters!$1:$1,0)+1,FALSE)</f>
        <v>世稀の現獣 麒麟</v>
      </c>
      <c r="E580" s="66">
        <v>296</v>
      </c>
      <c r="F580" s="3" t="str">
        <f ca="1">VLOOKUP($E580,OFFSET([2]characters!$A$1,0,0,COUNTA([2]characters!$A:$A),MATCH(F$1,[2]characters!$1:$1,0)-MATCH($A$1,[2]characters!$1:$1,0)+1),MATCH(F$1,[2]characters!$1:$1,0)-MATCH($A$1,[2]characters!$1:$1,0)+1,FALSE)</f>
        <v>アザゼル</v>
      </c>
      <c r="G580" s="66">
        <v>1</v>
      </c>
      <c r="H580" s="66">
        <v>1</v>
      </c>
      <c r="I580" s="66">
        <v>1</v>
      </c>
    </row>
    <row r="581" spans="1:9" x14ac:dyDescent="0.15">
      <c r="A581" s="66">
        <v>432</v>
      </c>
      <c r="B581" s="3" t="str">
        <f ca="1">VLOOKUP($A581,OFFSET([2]characters!$A$1,0,0,COUNTA([2]characters!$A:$A),MATCH(B$1,[2]characters!$1:$1,0)-MATCH($A$1,[2]characters!$1:$1,0)+1),MATCH(B$1,[2]characters!$1:$1,0)-MATCH($A$1,[2]characters!$1:$1,0)+1,FALSE)</f>
        <v>麒麟</v>
      </c>
      <c r="C581" s="93">
        <f ca="1">VLOOKUP($A581,OFFSET(fork_awake_units!$A$1,0,0,COUNTA(fork_awake_units!$A:$A),MATCH(C$1,fork_awake_units!$1:$1,0)-MATCH($A$1,fork_awake_units!$1:$1,0)+1),MATCH(C$1,fork_awake_units!$1:$1,0)-MATCH($A$1,fork_awake_units!$1:$1,0)+1,FALSE)</f>
        <v>433</v>
      </c>
      <c r="D581" s="3" t="str">
        <f ca="1">VLOOKUP($C581,OFFSET([2]characters!$A$1,0,0,COUNTA([2]characters!$A:$A),MATCH(D$1,[2]characters!$1:$1,0)-MATCH($A$1,[2]characters!$1:$1,0)+1),MATCH(D$1,[2]characters!$1:$1,0)-MATCH($A$1,[2]characters!$1:$1,0)+1,FALSE)</f>
        <v>世稀の現獣 麒麟</v>
      </c>
      <c r="E581" s="66">
        <v>314</v>
      </c>
      <c r="F581" s="3" t="str">
        <f ca="1">VLOOKUP($E581,OFFSET([2]characters!$A$1,0,0,COUNTA([2]characters!$A:$A),MATCH(F$1,[2]characters!$1:$1,0)-MATCH($A$1,[2]characters!$1:$1,0)+1),MATCH(F$1,[2]characters!$1:$1,0)-MATCH($A$1,[2]characters!$1:$1,0)+1,FALSE)</f>
        <v>ジャンヌ</v>
      </c>
      <c r="G581" s="66">
        <v>1</v>
      </c>
      <c r="H581" s="66">
        <v>1</v>
      </c>
      <c r="I581" s="66">
        <v>1</v>
      </c>
    </row>
    <row r="582" spans="1:9" x14ac:dyDescent="0.15">
      <c r="A582" s="66">
        <v>432</v>
      </c>
      <c r="B582" s="3" t="str">
        <f ca="1">VLOOKUP($A582,OFFSET([2]characters!$A$1,0,0,COUNTA([2]characters!$A:$A),MATCH(B$1,[2]characters!$1:$1,0)-MATCH($A$1,[2]characters!$1:$1,0)+1),MATCH(B$1,[2]characters!$1:$1,0)-MATCH($A$1,[2]characters!$1:$1,0)+1,FALSE)</f>
        <v>麒麟</v>
      </c>
      <c r="C582" s="93">
        <f ca="1">VLOOKUP($A582,OFFSET(fork_awake_units!$A$1,0,0,COUNTA(fork_awake_units!$A:$A),MATCH(C$1,fork_awake_units!$1:$1,0)-MATCH($A$1,fork_awake_units!$1:$1,0)+1),MATCH(C$1,fork_awake_units!$1:$1,0)-MATCH($A$1,fork_awake_units!$1:$1,0)+1,FALSE)</f>
        <v>433</v>
      </c>
      <c r="D582" s="3" t="str">
        <f ca="1">VLOOKUP($C582,OFFSET([2]characters!$A$1,0,0,COUNTA([2]characters!$A:$A),MATCH(D$1,[2]characters!$1:$1,0)-MATCH($A$1,[2]characters!$1:$1,0)+1),MATCH(D$1,[2]characters!$1:$1,0)-MATCH($A$1,[2]characters!$1:$1,0)+1,FALSE)</f>
        <v>世稀の現獣 麒麟</v>
      </c>
      <c r="E582" s="66">
        <v>426</v>
      </c>
      <c r="F582" s="3" t="str">
        <f ca="1">VLOOKUP($E582,OFFSET([2]characters!$A$1,0,0,COUNTA([2]characters!$A:$A),MATCH(F$1,[2]characters!$1:$1,0)-MATCH($A$1,[2]characters!$1:$1,0)+1),MATCH(F$1,[2]characters!$1:$1,0)-MATCH($A$1,[2]characters!$1:$1,0)+1,FALSE)</f>
        <v>宮本武蔵</v>
      </c>
      <c r="G582" s="66">
        <v>1</v>
      </c>
      <c r="H582" s="66">
        <v>1</v>
      </c>
      <c r="I582" s="66">
        <v>1</v>
      </c>
    </row>
    <row r="583" spans="1:9" x14ac:dyDescent="0.15">
      <c r="A583" s="66">
        <v>433</v>
      </c>
      <c r="B583" s="3" t="str">
        <f ca="1">VLOOKUP($A583,OFFSET([2]characters!$A$1,0,0,COUNTA([2]characters!$A:$A),MATCH(B$1,[2]characters!$1:$1,0)-MATCH($A$1,[2]characters!$1:$1,0)+1),MATCH(B$1,[2]characters!$1:$1,0)-MATCH($A$1,[2]characters!$1:$1,0)+1,FALSE)</f>
        <v>世稀の現獣 麒麟</v>
      </c>
      <c r="C583" s="93">
        <f ca="1">VLOOKUP($A583,OFFSET(fork_awake_units!$A$1,0,0,COUNTA(fork_awake_units!$A:$A),MATCH(C$1,fork_awake_units!$1:$1,0)-MATCH($A$1,fork_awake_units!$1:$1,0)+1),MATCH(C$1,fork_awake_units!$1:$1,0)-MATCH($A$1,fork_awake_units!$1:$1,0)+1,FALSE)</f>
        <v>802</v>
      </c>
      <c r="D583" s="3" t="str">
        <f ca="1">VLOOKUP($C583,OFFSET([2]characters!$A$1,0,0,COUNTA([2]characters!$A:$A),MATCH(D$1,[2]characters!$1:$1,0)-MATCH($A$1,[2]characters!$1:$1,0)+1),MATCH(D$1,[2]characters!$1:$1,0)-MATCH($A$1,[2]characters!$1:$1,0)+1,FALSE)</f>
        <v>四聖結終の超獣 麒麟</v>
      </c>
      <c r="E583" s="66">
        <v>114</v>
      </c>
      <c r="F583" s="3" t="str">
        <f ca="1">VLOOKUP($E583,OFFSET([2]characters!$A$1,0,0,COUNTA([2]characters!$A:$A),MATCH(F$1,[2]characters!$1:$1,0)-MATCH($A$1,[2]characters!$1:$1,0)+1),MATCH(F$1,[2]characters!$1:$1,0)-MATCH($A$1,[2]characters!$1:$1,0)+1,FALSE)</f>
        <v>イエローラビット</v>
      </c>
      <c r="G583" s="66">
        <v>1</v>
      </c>
      <c r="H583" s="66">
        <v>1</v>
      </c>
      <c r="I583" s="66">
        <v>1</v>
      </c>
    </row>
    <row r="584" spans="1:9" x14ac:dyDescent="0.15">
      <c r="A584" s="66">
        <v>433</v>
      </c>
      <c r="B584" s="3" t="str">
        <f ca="1">VLOOKUP($A584,OFFSET([2]characters!$A$1,0,0,COUNTA([2]characters!$A:$A),MATCH(B$1,[2]characters!$1:$1,0)-MATCH($A$1,[2]characters!$1:$1,0)+1),MATCH(B$1,[2]characters!$1:$1,0)-MATCH($A$1,[2]characters!$1:$1,0)+1,FALSE)</f>
        <v>世稀の現獣 麒麟</v>
      </c>
      <c r="C584" s="93">
        <f ca="1">VLOOKUP($A584,OFFSET(fork_awake_units!$A$1,0,0,COUNTA(fork_awake_units!$A:$A),MATCH(C$1,fork_awake_units!$1:$1,0)-MATCH($A$1,fork_awake_units!$1:$1,0)+1),MATCH(C$1,fork_awake_units!$1:$1,0)-MATCH($A$1,fork_awake_units!$1:$1,0)+1,FALSE)</f>
        <v>802</v>
      </c>
      <c r="D584" s="3" t="str">
        <f ca="1">VLOOKUP($C584,OFFSET([2]characters!$A$1,0,0,COUNTA([2]characters!$A:$A),MATCH(D$1,[2]characters!$1:$1,0)-MATCH($A$1,[2]characters!$1:$1,0)+1),MATCH(D$1,[2]characters!$1:$1,0)-MATCH($A$1,[2]characters!$1:$1,0)+1,FALSE)</f>
        <v>四聖結終の超獣 麒麟</v>
      </c>
      <c r="E584" s="66">
        <v>115</v>
      </c>
      <c r="F584" s="3" t="str">
        <f ca="1">VLOOKUP($E584,OFFSET([2]characters!$A$1,0,0,COUNTA([2]characters!$A:$A),MATCH(F$1,[2]characters!$1:$1,0)-MATCH($A$1,[2]characters!$1:$1,0)+1),MATCH(F$1,[2]characters!$1:$1,0)-MATCH($A$1,[2]characters!$1:$1,0)+1,FALSE)</f>
        <v>イエローキャタップ</v>
      </c>
      <c r="G584" s="66">
        <v>1</v>
      </c>
      <c r="H584" s="66">
        <v>1</v>
      </c>
      <c r="I584" s="66">
        <v>1</v>
      </c>
    </row>
    <row r="585" spans="1:9" x14ac:dyDescent="0.15">
      <c r="A585" s="66">
        <v>433</v>
      </c>
      <c r="B585" s="3" t="str">
        <f ca="1">VLOOKUP($A585,OFFSET([2]characters!$A$1,0,0,COUNTA([2]characters!$A:$A),MATCH(B$1,[2]characters!$1:$1,0)-MATCH($A$1,[2]characters!$1:$1,0)+1),MATCH(B$1,[2]characters!$1:$1,0)-MATCH($A$1,[2]characters!$1:$1,0)+1,FALSE)</f>
        <v>世稀の現獣 麒麟</v>
      </c>
      <c r="C585" s="93">
        <f ca="1">VLOOKUP($A585,OFFSET(fork_awake_units!$A$1,0,0,COUNTA(fork_awake_units!$A:$A),MATCH(C$1,fork_awake_units!$1:$1,0)-MATCH($A$1,fork_awake_units!$1:$1,0)+1),MATCH(C$1,fork_awake_units!$1:$1,0)-MATCH($A$1,fork_awake_units!$1:$1,0)+1,FALSE)</f>
        <v>802</v>
      </c>
      <c r="D585" s="3" t="str">
        <f ca="1">VLOOKUP($C585,OFFSET([2]characters!$A$1,0,0,COUNTA([2]characters!$A:$A),MATCH(D$1,[2]characters!$1:$1,0)-MATCH($A$1,[2]characters!$1:$1,0)+1),MATCH(D$1,[2]characters!$1:$1,0)-MATCH($A$1,[2]characters!$1:$1,0)+1,FALSE)</f>
        <v>四聖結終の超獣 麒麟</v>
      </c>
      <c r="E585" s="66">
        <v>116</v>
      </c>
      <c r="F585" s="3" t="str">
        <f ca="1">VLOOKUP($E585,OFFSET([2]characters!$A$1,0,0,COUNTA([2]characters!$A:$A),MATCH(F$1,[2]characters!$1:$1,0)-MATCH($A$1,[2]characters!$1:$1,0)+1),MATCH(F$1,[2]characters!$1:$1,0)-MATCH($A$1,[2]characters!$1:$1,0)+1,FALSE)</f>
        <v>雷のマッドハッター</v>
      </c>
      <c r="G585" s="66">
        <v>1</v>
      </c>
      <c r="H585" s="66">
        <v>1</v>
      </c>
      <c r="I585" s="66">
        <v>1</v>
      </c>
    </row>
    <row r="586" spans="1:9" x14ac:dyDescent="0.15">
      <c r="A586" s="66">
        <v>433</v>
      </c>
      <c r="B586" s="3" t="str">
        <f ca="1">VLOOKUP($A586,OFFSET([2]characters!$A$1,0,0,COUNTA([2]characters!$A:$A),MATCH(B$1,[2]characters!$1:$1,0)-MATCH($A$1,[2]characters!$1:$1,0)+1),MATCH(B$1,[2]characters!$1:$1,0)-MATCH($A$1,[2]characters!$1:$1,0)+1,FALSE)</f>
        <v>世稀の現獣 麒麟</v>
      </c>
      <c r="C586" s="93">
        <f ca="1">VLOOKUP($A586,OFFSET(fork_awake_units!$A$1,0,0,COUNTA(fork_awake_units!$A:$A),MATCH(C$1,fork_awake_units!$1:$1,0)-MATCH($A$1,fork_awake_units!$1:$1,0)+1),MATCH(C$1,fork_awake_units!$1:$1,0)-MATCH($A$1,fork_awake_units!$1:$1,0)+1,FALSE)</f>
        <v>802</v>
      </c>
      <c r="D586" s="3" t="str">
        <f ca="1">VLOOKUP($C586,OFFSET([2]characters!$A$1,0,0,COUNTA([2]characters!$A:$A),MATCH(D$1,[2]characters!$1:$1,0)-MATCH($A$1,[2]characters!$1:$1,0)+1),MATCH(D$1,[2]characters!$1:$1,0)-MATCH($A$1,[2]characters!$1:$1,0)+1,FALSE)</f>
        <v>四聖結終の超獣 麒麟</v>
      </c>
      <c r="E586" s="66">
        <v>837</v>
      </c>
      <c r="F586" s="3" t="str">
        <f ca="1">VLOOKUP($E586,OFFSET([2]characters!$A$1,0,0,COUNTA([2]characters!$A:$A),MATCH(F$1,[2]characters!$1:$1,0)-MATCH($A$1,[2]characters!$1:$1,0)+1),MATCH(F$1,[2]characters!$1:$1,0)-MATCH($A$1,[2]characters!$1:$1,0)+1,FALSE)</f>
        <v>リトルハンプティ</v>
      </c>
      <c r="G586" s="66">
        <v>1</v>
      </c>
      <c r="H586" s="66">
        <v>1</v>
      </c>
      <c r="I586" s="66">
        <v>1</v>
      </c>
    </row>
    <row r="587" spans="1:9" x14ac:dyDescent="0.15">
      <c r="A587" s="66">
        <v>434</v>
      </c>
      <c r="B587" s="3" t="str">
        <f ca="1">VLOOKUP($A587,OFFSET([2]characters!$A$1,0,0,COUNTA([2]characters!$A:$A),MATCH(B$1,[2]characters!$1:$1,0)-MATCH($A$1,[2]characters!$1:$1,0)+1),MATCH(B$1,[2]characters!$1:$1,0)-MATCH($A$1,[2]characters!$1:$1,0)+1,FALSE)</f>
        <v>D.R.T.H.</v>
      </c>
      <c r="C587" s="93">
        <f ca="1">VLOOKUP($A587,OFFSET(fork_awake_units!$A$1,0,0,COUNTA(fork_awake_units!$A:$A),MATCH(C$1,fork_awake_units!$1:$1,0)-MATCH($A$1,fork_awake_units!$1:$1,0)+1),MATCH(C$1,fork_awake_units!$1:$1,0)-MATCH($A$1,fork_awake_units!$1:$1,0)+1,FALSE)</f>
        <v>435</v>
      </c>
      <c r="D587" s="3" t="str">
        <f ca="1">VLOOKUP($C587,OFFSET([2]characters!$A$1,0,0,COUNTA([2]characters!$A:$A),MATCH(D$1,[2]characters!$1:$1,0)-MATCH($A$1,[2]characters!$1:$1,0)+1),MATCH(D$1,[2]characters!$1:$1,0)-MATCH($A$1,[2]characters!$1:$1,0)+1,FALSE)</f>
        <v>曝弾の密偵 D.R.T.H.</v>
      </c>
      <c r="E587" s="66">
        <v>103</v>
      </c>
      <c r="F587" s="3" t="str">
        <f ca="1">VLOOKUP($E587,OFFSET([2]characters!$A$1,0,0,COUNTA([2]characters!$A:$A),MATCH(F$1,[2]characters!$1:$1,0)-MATCH($A$1,[2]characters!$1:$1,0)+1),MATCH(F$1,[2]characters!$1:$1,0)-MATCH($A$1,[2]characters!$1:$1,0)+1,FALSE)</f>
        <v>レッドキャタップ</v>
      </c>
      <c r="G587" s="66">
        <v>2</v>
      </c>
      <c r="H587" s="66">
        <v>1</v>
      </c>
      <c r="I587" s="66">
        <v>1</v>
      </c>
    </row>
    <row r="588" spans="1:9" x14ac:dyDescent="0.15">
      <c r="A588" s="66">
        <v>434</v>
      </c>
      <c r="B588" s="3" t="str">
        <f ca="1">VLOOKUP($A588,OFFSET([2]characters!$A$1,0,0,COUNTA([2]characters!$A:$A),MATCH(B$1,[2]characters!$1:$1,0)-MATCH($A$1,[2]characters!$1:$1,0)+1),MATCH(B$1,[2]characters!$1:$1,0)-MATCH($A$1,[2]characters!$1:$1,0)+1,FALSE)</f>
        <v>D.R.T.H.</v>
      </c>
      <c r="C588" s="93">
        <f ca="1">VLOOKUP($A588,OFFSET(fork_awake_units!$A$1,0,0,COUNTA(fork_awake_units!$A:$A),MATCH(C$1,fork_awake_units!$1:$1,0)-MATCH($A$1,fork_awake_units!$1:$1,0)+1),MATCH(C$1,fork_awake_units!$1:$1,0)-MATCH($A$1,fork_awake_units!$1:$1,0)+1,FALSE)</f>
        <v>435</v>
      </c>
      <c r="D588" s="3" t="str">
        <f ca="1">VLOOKUP($C588,OFFSET([2]characters!$A$1,0,0,COUNTA([2]characters!$A:$A),MATCH(D$1,[2]characters!$1:$1,0)-MATCH($A$1,[2]characters!$1:$1,0)+1),MATCH(D$1,[2]characters!$1:$1,0)-MATCH($A$1,[2]characters!$1:$1,0)+1,FALSE)</f>
        <v>曝弾の密偵 D.R.T.H.</v>
      </c>
      <c r="E588" s="66">
        <v>104</v>
      </c>
      <c r="F588" s="3" t="str">
        <f ca="1">VLOOKUP($E588,OFFSET([2]characters!$A$1,0,0,COUNTA([2]characters!$A:$A),MATCH(F$1,[2]characters!$1:$1,0)-MATCH($A$1,[2]characters!$1:$1,0)+1),MATCH(F$1,[2]characters!$1:$1,0)-MATCH($A$1,[2]characters!$1:$1,0)+1,FALSE)</f>
        <v>炎のマッドハッター</v>
      </c>
      <c r="G588" s="66">
        <v>1</v>
      </c>
      <c r="H588" s="66">
        <v>1</v>
      </c>
      <c r="I588" s="66">
        <v>1</v>
      </c>
    </row>
    <row r="589" spans="1:9" x14ac:dyDescent="0.15">
      <c r="A589" s="66">
        <v>434</v>
      </c>
      <c r="B589" s="3" t="str">
        <f ca="1">VLOOKUP($A589,OFFSET([2]characters!$A$1,0,0,COUNTA([2]characters!$A:$A),MATCH(B$1,[2]characters!$1:$1,0)-MATCH($A$1,[2]characters!$1:$1,0)+1),MATCH(B$1,[2]characters!$1:$1,0)-MATCH($A$1,[2]characters!$1:$1,0)+1,FALSE)</f>
        <v>D.R.T.H.</v>
      </c>
      <c r="C589" s="93">
        <f ca="1">VLOOKUP($A589,OFFSET(fork_awake_units!$A$1,0,0,COUNTA(fork_awake_units!$A:$A),MATCH(C$1,fork_awake_units!$1:$1,0)-MATCH($A$1,fork_awake_units!$1:$1,0)+1),MATCH(C$1,fork_awake_units!$1:$1,0)-MATCH($A$1,fork_awake_units!$1:$1,0)+1,FALSE)</f>
        <v>435</v>
      </c>
      <c r="D589" s="3" t="str">
        <f ca="1">VLOOKUP($C589,OFFSET([2]characters!$A$1,0,0,COUNTA([2]characters!$A:$A),MATCH(D$1,[2]characters!$1:$1,0)-MATCH($A$1,[2]characters!$1:$1,0)+1),MATCH(D$1,[2]characters!$1:$1,0)-MATCH($A$1,[2]characters!$1:$1,0)+1,FALSE)</f>
        <v>曝弾の密偵 D.R.T.H.</v>
      </c>
      <c r="E589" s="66">
        <v>298</v>
      </c>
      <c r="F589" s="3" t="str">
        <f ca="1">VLOOKUP($E589,OFFSET([2]characters!$A$1,0,0,COUNTA([2]characters!$A:$A),MATCH(F$1,[2]characters!$1:$1,0)-MATCH($A$1,[2]characters!$1:$1,0)+1),MATCH(F$1,[2]characters!$1:$1,0)-MATCH($A$1,[2]characters!$1:$1,0)+1,FALSE)</f>
        <v>炎殺のミサコ</v>
      </c>
      <c r="G589" s="66">
        <v>1</v>
      </c>
      <c r="H589" s="66">
        <v>1</v>
      </c>
      <c r="I589" s="66">
        <v>1</v>
      </c>
    </row>
    <row r="590" spans="1:9" x14ac:dyDescent="0.15">
      <c r="A590" s="66">
        <v>434</v>
      </c>
      <c r="B590" s="3" t="str">
        <f ca="1">VLOOKUP($A590,OFFSET([2]characters!$A$1,0,0,COUNTA([2]characters!$A:$A),MATCH(B$1,[2]characters!$1:$1,0)-MATCH($A$1,[2]characters!$1:$1,0)+1),MATCH(B$1,[2]characters!$1:$1,0)-MATCH($A$1,[2]characters!$1:$1,0)+1,FALSE)</f>
        <v>D.R.T.H.</v>
      </c>
      <c r="C590" s="93">
        <f ca="1">VLOOKUP($A590,OFFSET(fork_awake_units!$A$1,0,0,COUNTA(fork_awake_units!$A:$A),MATCH(C$1,fork_awake_units!$1:$1,0)-MATCH($A$1,fork_awake_units!$1:$1,0)+1),MATCH(C$1,fork_awake_units!$1:$1,0)-MATCH($A$1,fork_awake_units!$1:$1,0)+1,FALSE)</f>
        <v>435</v>
      </c>
      <c r="D590" s="3" t="str">
        <f ca="1">VLOOKUP($C590,OFFSET([2]characters!$A$1,0,0,COUNTA([2]characters!$A:$A),MATCH(D$1,[2]characters!$1:$1,0)-MATCH($A$1,[2]characters!$1:$1,0)+1),MATCH(D$1,[2]characters!$1:$1,0)-MATCH($A$1,[2]characters!$1:$1,0)+1,FALSE)</f>
        <v>曝弾の密偵 D.R.T.H.</v>
      </c>
      <c r="E590" s="66">
        <v>418</v>
      </c>
      <c r="F590" s="3" t="str">
        <f ca="1">VLOOKUP($E590,OFFSET([2]characters!$A$1,0,0,COUNTA([2]characters!$A:$A),MATCH(F$1,[2]characters!$1:$1,0)-MATCH($A$1,[2]characters!$1:$1,0)+1),MATCH(F$1,[2]characters!$1:$1,0)-MATCH($A$1,[2]characters!$1:$1,0)+1,FALSE)</f>
        <v>ウラシマ</v>
      </c>
      <c r="G590" s="66">
        <v>1</v>
      </c>
      <c r="H590" s="66">
        <v>1</v>
      </c>
      <c r="I590" s="66">
        <v>1</v>
      </c>
    </row>
    <row r="591" spans="1:9" x14ac:dyDescent="0.15">
      <c r="A591" s="66">
        <v>435</v>
      </c>
      <c r="B591" s="3" t="str">
        <f ca="1">VLOOKUP($A591,OFFSET([2]characters!$A$1,0,0,COUNTA([2]characters!$A:$A),MATCH(B$1,[2]characters!$1:$1,0)-MATCH($A$1,[2]characters!$1:$1,0)+1),MATCH(B$1,[2]characters!$1:$1,0)-MATCH($A$1,[2]characters!$1:$1,0)+1,FALSE)</f>
        <v>曝弾の密偵 D.R.T.H.</v>
      </c>
      <c r="C591" s="93">
        <f ca="1">VLOOKUP($A591,OFFSET(fork_awake_units!$A$1,0,0,COUNTA(fork_awake_units!$A:$A),MATCH(C$1,fork_awake_units!$1:$1,0)-MATCH($A$1,fork_awake_units!$1:$1,0)+1),MATCH(C$1,fork_awake_units!$1:$1,0)-MATCH($A$1,fork_awake_units!$1:$1,0)+1,FALSE)</f>
        <v>817</v>
      </c>
      <c r="D591" s="3" t="str">
        <f ca="1">VLOOKUP($C591,OFFSET([2]characters!$A$1,0,0,COUNTA([2]characters!$A:$A),MATCH(D$1,[2]characters!$1:$1,0)-MATCH($A$1,[2]characters!$1:$1,0)+1),MATCH(D$1,[2]characters!$1:$1,0)-MATCH($A$1,[2]characters!$1:$1,0)+1,FALSE)</f>
        <v>決戦の抗弾 D.R.T.H.</v>
      </c>
      <c r="E591" s="66">
        <v>102</v>
      </c>
      <c r="F591" s="3" t="str">
        <f ca="1">VLOOKUP($E591,OFFSET([2]characters!$A$1,0,0,COUNTA([2]characters!$A:$A),MATCH(F$1,[2]characters!$1:$1,0)-MATCH($A$1,[2]characters!$1:$1,0)+1),MATCH(F$1,[2]characters!$1:$1,0)-MATCH($A$1,[2]characters!$1:$1,0)+1,FALSE)</f>
        <v>レッドラビット</v>
      </c>
      <c r="G591" s="66">
        <v>1</v>
      </c>
      <c r="H591" s="66">
        <v>1</v>
      </c>
      <c r="I591" s="66">
        <v>1</v>
      </c>
    </row>
    <row r="592" spans="1:9" x14ac:dyDescent="0.15">
      <c r="A592" s="66">
        <v>435</v>
      </c>
      <c r="B592" s="3" t="str">
        <f ca="1">VLOOKUP($A592,OFFSET([2]characters!$A$1,0,0,COUNTA([2]characters!$A:$A),MATCH(B$1,[2]characters!$1:$1,0)-MATCH($A$1,[2]characters!$1:$1,0)+1),MATCH(B$1,[2]characters!$1:$1,0)-MATCH($A$1,[2]characters!$1:$1,0)+1,FALSE)</f>
        <v>曝弾の密偵 D.R.T.H.</v>
      </c>
      <c r="C592" s="93">
        <f ca="1">VLOOKUP($A592,OFFSET(fork_awake_units!$A$1,0,0,COUNTA(fork_awake_units!$A:$A),MATCH(C$1,fork_awake_units!$1:$1,0)-MATCH($A$1,fork_awake_units!$1:$1,0)+1),MATCH(C$1,fork_awake_units!$1:$1,0)-MATCH($A$1,fork_awake_units!$1:$1,0)+1,FALSE)</f>
        <v>817</v>
      </c>
      <c r="D592" s="3" t="str">
        <f ca="1">VLOOKUP($C592,OFFSET([2]characters!$A$1,0,0,COUNTA([2]characters!$A:$A),MATCH(D$1,[2]characters!$1:$1,0)-MATCH($A$1,[2]characters!$1:$1,0)+1),MATCH(D$1,[2]characters!$1:$1,0)-MATCH($A$1,[2]characters!$1:$1,0)+1,FALSE)</f>
        <v>決戦の抗弾 D.R.T.H.</v>
      </c>
      <c r="E592" s="66">
        <v>103</v>
      </c>
      <c r="F592" s="3" t="str">
        <f ca="1">VLOOKUP($E592,OFFSET([2]characters!$A$1,0,0,COUNTA([2]characters!$A:$A),MATCH(F$1,[2]characters!$1:$1,0)-MATCH($A$1,[2]characters!$1:$1,0)+1),MATCH(F$1,[2]characters!$1:$1,0)-MATCH($A$1,[2]characters!$1:$1,0)+1,FALSE)</f>
        <v>レッドキャタップ</v>
      </c>
      <c r="G592" s="66">
        <v>1</v>
      </c>
      <c r="H592" s="66">
        <v>1</v>
      </c>
      <c r="I592" s="66">
        <v>1</v>
      </c>
    </row>
    <row r="593" spans="1:9" x14ac:dyDescent="0.15">
      <c r="A593" s="66">
        <v>435</v>
      </c>
      <c r="B593" s="3" t="str">
        <f ca="1">VLOOKUP($A593,OFFSET([2]characters!$A$1,0,0,COUNTA([2]characters!$A:$A),MATCH(B$1,[2]characters!$1:$1,0)-MATCH($A$1,[2]characters!$1:$1,0)+1),MATCH(B$1,[2]characters!$1:$1,0)-MATCH($A$1,[2]characters!$1:$1,0)+1,FALSE)</f>
        <v>曝弾の密偵 D.R.T.H.</v>
      </c>
      <c r="C593" s="93">
        <f ca="1">VLOOKUP($A593,OFFSET(fork_awake_units!$A$1,0,0,COUNTA(fork_awake_units!$A:$A),MATCH(C$1,fork_awake_units!$1:$1,0)-MATCH($A$1,fork_awake_units!$1:$1,0)+1),MATCH(C$1,fork_awake_units!$1:$1,0)-MATCH($A$1,fork_awake_units!$1:$1,0)+1,FALSE)</f>
        <v>817</v>
      </c>
      <c r="D593" s="3" t="str">
        <f ca="1">VLOOKUP($C593,OFFSET([2]characters!$A$1,0,0,COUNTA([2]characters!$A:$A),MATCH(D$1,[2]characters!$1:$1,0)-MATCH($A$1,[2]characters!$1:$1,0)+1),MATCH(D$1,[2]characters!$1:$1,0)-MATCH($A$1,[2]characters!$1:$1,0)+1,FALSE)</f>
        <v>決戦の抗弾 D.R.T.H.</v>
      </c>
      <c r="E593" s="66">
        <v>104</v>
      </c>
      <c r="F593" s="3" t="str">
        <f ca="1">VLOOKUP($E593,OFFSET([2]characters!$A$1,0,0,COUNTA([2]characters!$A:$A),MATCH(F$1,[2]characters!$1:$1,0)-MATCH($A$1,[2]characters!$1:$1,0)+1),MATCH(F$1,[2]characters!$1:$1,0)-MATCH($A$1,[2]characters!$1:$1,0)+1,FALSE)</f>
        <v>炎のマッドハッター</v>
      </c>
      <c r="G593" s="66">
        <v>1</v>
      </c>
      <c r="H593" s="66">
        <v>1</v>
      </c>
      <c r="I593" s="66">
        <v>1</v>
      </c>
    </row>
    <row r="594" spans="1:9" x14ac:dyDescent="0.15">
      <c r="A594" s="66">
        <v>435</v>
      </c>
      <c r="B594" s="3" t="str">
        <f ca="1">VLOOKUP($A594,OFFSET([2]characters!$A$1,0,0,COUNTA([2]characters!$A:$A),MATCH(B$1,[2]characters!$1:$1,0)-MATCH($A$1,[2]characters!$1:$1,0)+1),MATCH(B$1,[2]characters!$1:$1,0)-MATCH($A$1,[2]characters!$1:$1,0)+1,FALSE)</f>
        <v>曝弾の密偵 D.R.T.H.</v>
      </c>
      <c r="C594" s="93">
        <f ca="1">VLOOKUP($A594,OFFSET(fork_awake_units!$A$1,0,0,COUNTA(fork_awake_units!$A:$A),MATCH(C$1,fork_awake_units!$1:$1,0)-MATCH($A$1,fork_awake_units!$1:$1,0)+1),MATCH(C$1,fork_awake_units!$1:$1,0)-MATCH($A$1,fork_awake_units!$1:$1,0)+1,FALSE)</f>
        <v>817</v>
      </c>
      <c r="D594" s="3" t="str">
        <f ca="1">VLOOKUP($C594,OFFSET([2]characters!$A$1,0,0,COUNTA([2]characters!$A:$A),MATCH(D$1,[2]characters!$1:$1,0)-MATCH($A$1,[2]characters!$1:$1,0)+1),MATCH(D$1,[2]characters!$1:$1,0)-MATCH($A$1,[2]characters!$1:$1,0)+1,FALSE)</f>
        <v>決戦の抗弾 D.R.T.H.</v>
      </c>
      <c r="E594" s="66">
        <v>837</v>
      </c>
      <c r="F594" s="3" t="str">
        <f ca="1">VLOOKUP($E594,OFFSET([2]characters!$A$1,0,0,COUNTA([2]characters!$A:$A),MATCH(F$1,[2]characters!$1:$1,0)-MATCH($A$1,[2]characters!$1:$1,0)+1),MATCH(F$1,[2]characters!$1:$1,0)-MATCH($A$1,[2]characters!$1:$1,0)+1,FALSE)</f>
        <v>リトルハンプティ</v>
      </c>
      <c r="G594" s="66">
        <v>1</v>
      </c>
      <c r="H594" s="66">
        <v>1</v>
      </c>
      <c r="I594" s="66">
        <v>1</v>
      </c>
    </row>
    <row r="595" spans="1:9" x14ac:dyDescent="0.15">
      <c r="A595" s="66">
        <v>436</v>
      </c>
      <c r="B595" s="3" t="str">
        <f ca="1">VLOOKUP($A595,OFFSET([2]characters!$A$1,0,0,COUNTA([2]characters!$A:$A),MATCH(B$1,[2]characters!$1:$1,0)-MATCH($A$1,[2]characters!$1:$1,0)+1),MATCH(B$1,[2]characters!$1:$1,0)-MATCH($A$1,[2]characters!$1:$1,0)+1,FALSE)</f>
        <v>カカシ</v>
      </c>
      <c r="C595" s="93">
        <f ca="1">VLOOKUP($A595,OFFSET(fork_awake_units!$A$1,0,0,COUNTA(fork_awake_units!$A:$A),MATCH(C$1,fork_awake_units!$1:$1,0)-MATCH($A$1,fork_awake_units!$1:$1,0)+1),MATCH(C$1,fork_awake_units!$1:$1,0)-MATCH($A$1,fork_awake_units!$1:$1,0)+1,FALSE)</f>
        <v>437</v>
      </c>
      <c r="D595" s="3" t="str">
        <f ca="1">VLOOKUP($C595,OFFSET([2]characters!$A$1,0,0,COUNTA([2]characters!$A:$A),MATCH(D$1,[2]characters!$1:$1,0)-MATCH($A$1,[2]characters!$1:$1,0)+1),MATCH(D$1,[2]characters!$1:$1,0)-MATCH($A$1,[2]characters!$1:$1,0)+1,FALSE)</f>
        <v>忘却者 カカシ</v>
      </c>
      <c r="E595" s="66">
        <v>106</v>
      </c>
      <c r="F595" s="3" t="str">
        <f ca="1">VLOOKUP($E595,OFFSET([2]characters!$A$1,0,0,COUNTA([2]characters!$A:$A),MATCH(F$1,[2]characters!$1:$1,0)-MATCH($A$1,[2]characters!$1:$1,0)+1),MATCH(F$1,[2]characters!$1:$1,0)-MATCH($A$1,[2]characters!$1:$1,0)+1,FALSE)</f>
        <v>グリーンラビット</v>
      </c>
      <c r="G595" s="66">
        <v>1</v>
      </c>
      <c r="H595" s="66">
        <v>1</v>
      </c>
      <c r="I595" s="66">
        <v>1</v>
      </c>
    </row>
    <row r="596" spans="1:9" x14ac:dyDescent="0.15">
      <c r="A596" s="66">
        <v>436</v>
      </c>
      <c r="B596" s="3" t="str">
        <f ca="1">VLOOKUP($A596,OFFSET([2]characters!$A$1,0,0,COUNTA([2]characters!$A:$A),MATCH(B$1,[2]characters!$1:$1,0)-MATCH($A$1,[2]characters!$1:$1,0)+1),MATCH(B$1,[2]characters!$1:$1,0)-MATCH($A$1,[2]characters!$1:$1,0)+1,FALSE)</f>
        <v>カカシ</v>
      </c>
      <c r="C596" s="93">
        <f ca="1">VLOOKUP($A596,OFFSET(fork_awake_units!$A$1,0,0,COUNTA(fork_awake_units!$A:$A),MATCH(C$1,fork_awake_units!$1:$1,0)-MATCH($A$1,fork_awake_units!$1:$1,0)+1),MATCH(C$1,fork_awake_units!$1:$1,0)-MATCH($A$1,fork_awake_units!$1:$1,0)+1,FALSE)</f>
        <v>437</v>
      </c>
      <c r="D596" s="3" t="str">
        <f ca="1">VLOOKUP($C596,OFFSET([2]characters!$A$1,0,0,COUNTA([2]characters!$A:$A),MATCH(D$1,[2]characters!$1:$1,0)-MATCH($A$1,[2]characters!$1:$1,0)+1),MATCH(D$1,[2]characters!$1:$1,0)-MATCH($A$1,[2]characters!$1:$1,0)+1,FALSE)</f>
        <v>忘却者 カカシ</v>
      </c>
      <c r="E596" s="66">
        <v>107</v>
      </c>
      <c r="F596" s="3" t="str">
        <f ca="1">VLOOKUP($E596,OFFSET([2]characters!$A$1,0,0,COUNTA([2]characters!$A:$A),MATCH(F$1,[2]characters!$1:$1,0)-MATCH($A$1,[2]characters!$1:$1,0)+1),MATCH(F$1,[2]characters!$1:$1,0)-MATCH($A$1,[2]characters!$1:$1,0)+1,FALSE)</f>
        <v>グリーンキャタップ</v>
      </c>
      <c r="G596" s="66">
        <v>3</v>
      </c>
      <c r="H596" s="66">
        <v>1</v>
      </c>
      <c r="I596" s="66">
        <v>1</v>
      </c>
    </row>
    <row r="597" spans="1:9" x14ac:dyDescent="0.15">
      <c r="A597" s="66">
        <v>437</v>
      </c>
      <c r="B597" s="3" t="str">
        <f ca="1">VLOOKUP($A597,OFFSET([2]characters!$A$1,0,0,COUNTA([2]characters!$A:$A),MATCH(B$1,[2]characters!$1:$1,0)-MATCH($A$1,[2]characters!$1:$1,0)+1),MATCH(B$1,[2]characters!$1:$1,0)-MATCH($A$1,[2]characters!$1:$1,0)+1,FALSE)</f>
        <v>忘却者 カカシ</v>
      </c>
      <c r="C597" s="93">
        <f ca="1">VLOOKUP($A597,OFFSET(fork_awake_units!$A$1,0,0,COUNTA(fork_awake_units!$A:$A),MATCH(C$1,fork_awake_units!$1:$1,0)-MATCH($A$1,fork_awake_units!$1:$1,0)+1),MATCH(C$1,fork_awake_units!$1:$1,0)-MATCH($A$1,fork_awake_units!$1:$1,0)+1,FALSE)</f>
        <v>438</v>
      </c>
      <c r="D597" s="3" t="str">
        <f ca="1">VLOOKUP($C597,OFFSET([2]characters!$A$1,0,0,COUNTA([2]characters!$A:$A),MATCH(D$1,[2]characters!$1:$1,0)-MATCH($A$1,[2]characters!$1:$1,0)+1),MATCH(D$1,[2]characters!$1:$1,0)-MATCH($A$1,[2]characters!$1:$1,0)+1,FALSE)</f>
        <v>記憶の奪還 カカシ</v>
      </c>
      <c r="E597" s="66">
        <v>106</v>
      </c>
      <c r="F597" s="3" t="str">
        <f ca="1">VLOOKUP($E597,OFFSET([2]characters!$A$1,0,0,COUNTA([2]characters!$A:$A),MATCH(F$1,[2]characters!$1:$1,0)-MATCH($A$1,[2]characters!$1:$1,0)+1),MATCH(F$1,[2]characters!$1:$1,0)-MATCH($A$1,[2]characters!$1:$1,0)+1,FALSE)</f>
        <v>グリーンラビット</v>
      </c>
      <c r="G597" s="66">
        <v>1</v>
      </c>
      <c r="H597" s="66">
        <v>1</v>
      </c>
      <c r="I597" s="66">
        <v>1</v>
      </c>
    </row>
    <row r="598" spans="1:9" x14ac:dyDescent="0.15">
      <c r="A598" s="66">
        <v>437</v>
      </c>
      <c r="B598" s="3" t="str">
        <f ca="1">VLOOKUP($A598,OFFSET([2]characters!$A$1,0,0,COUNTA([2]characters!$A:$A),MATCH(B$1,[2]characters!$1:$1,0)-MATCH($A$1,[2]characters!$1:$1,0)+1),MATCH(B$1,[2]characters!$1:$1,0)-MATCH($A$1,[2]characters!$1:$1,0)+1,FALSE)</f>
        <v>忘却者 カカシ</v>
      </c>
      <c r="C598" s="93">
        <f ca="1">VLOOKUP($A598,OFFSET(fork_awake_units!$A$1,0,0,COUNTA(fork_awake_units!$A:$A),MATCH(C$1,fork_awake_units!$1:$1,0)-MATCH($A$1,fork_awake_units!$1:$1,0)+1),MATCH(C$1,fork_awake_units!$1:$1,0)-MATCH($A$1,fork_awake_units!$1:$1,0)+1,FALSE)</f>
        <v>438</v>
      </c>
      <c r="D598" s="3" t="str">
        <f ca="1">VLOOKUP($C598,OFFSET([2]characters!$A$1,0,0,COUNTA([2]characters!$A:$A),MATCH(D$1,[2]characters!$1:$1,0)-MATCH($A$1,[2]characters!$1:$1,0)+1),MATCH(D$1,[2]characters!$1:$1,0)-MATCH($A$1,[2]characters!$1:$1,0)+1,FALSE)</f>
        <v>記憶の奪還 カカシ</v>
      </c>
      <c r="E598" s="66">
        <v>107</v>
      </c>
      <c r="F598" s="3" t="str">
        <f ca="1">VLOOKUP($E598,OFFSET([2]characters!$A$1,0,0,COUNTA([2]characters!$A:$A),MATCH(F$1,[2]characters!$1:$1,0)-MATCH($A$1,[2]characters!$1:$1,0)+1),MATCH(F$1,[2]characters!$1:$1,0)-MATCH($A$1,[2]characters!$1:$1,0)+1,FALSE)</f>
        <v>グリーンキャタップ</v>
      </c>
      <c r="G598" s="66">
        <v>2</v>
      </c>
      <c r="H598" s="66">
        <v>1</v>
      </c>
      <c r="I598" s="66">
        <v>1</v>
      </c>
    </row>
    <row r="599" spans="1:9" x14ac:dyDescent="0.15">
      <c r="A599" s="66">
        <v>437</v>
      </c>
      <c r="B599" s="3" t="str">
        <f ca="1">VLOOKUP($A599,OFFSET([2]characters!$A$1,0,0,COUNTA([2]characters!$A:$A),MATCH(B$1,[2]characters!$1:$1,0)-MATCH($A$1,[2]characters!$1:$1,0)+1),MATCH(B$1,[2]characters!$1:$1,0)-MATCH($A$1,[2]characters!$1:$1,0)+1,FALSE)</f>
        <v>忘却者 カカシ</v>
      </c>
      <c r="C599" s="93">
        <f ca="1">VLOOKUP($A599,OFFSET(fork_awake_units!$A$1,0,0,COUNTA(fork_awake_units!$A:$A),MATCH(C$1,fork_awake_units!$1:$1,0)-MATCH($A$1,fork_awake_units!$1:$1,0)+1),MATCH(C$1,fork_awake_units!$1:$1,0)-MATCH($A$1,fork_awake_units!$1:$1,0)+1,FALSE)</f>
        <v>438</v>
      </c>
      <c r="D599" s="3" t="str">
        <f ca="1">VLOOKUP($C599,OFFSET([2]characters!$A$1,0,0,COUNTA([2]characters!$A:$A),MATCH(D$1,[2]characters!$1:$1,0)-MATCH($A$1,[2]characters!$1:$1,0)+1),MATCH(D$1,[2]characters!$1:$1,0)-MATCH($A$1,[2]characters!$1:$1,0)+1,FALSE)</f>
        <v>記憶の奪還 カカシ</v>
      </c>
      <c r="E599" s="66">
        <v>108</v>
      </c>
      <c r="F599" s="3" t="str">
        <f ca="1">VLOOKUP($E599,OFFSET([2]characters!$A$1,0,0,COUNTA([2]characters!$A:$A),MATCH(F$1,[2]characters!$1:$1,0)-MATCH($A$1,[2]characters!$1:$1,0)+1),MATCH(F$1,[2]characters!$1:$1,0)-MATCH($A$1,[2]characters!$1:$1,0)+1,FALSE)</f>
        <v>森のマッドハッター</v>
      </c>
      <c r="G599" s="66">
        <v>2</v>
      </c>
      <c r="H599" s="66">
        <v>1</v>
      </c>
      <c r="I599" s="66">
        <v>1</v>
      </c>
    </row>
    <row r="600" spans="1:9" x14ac:dyDescent="0.15">
      <c r="A600" s="66">
        <v>439</v>
      </c>
      <c r="B600" s="3" t="str">
        <f ca="1">VLOOKUP($A600,OFFSET([2]characters!$A$1,0,0,COUNTA([2]characters!$A:$A),MATCH(B$1,[2]characters!$1:$1,0)-MATCH($A$1,[2]characters!$1:$1,0)+1),MATCH(B$1,[2]characters!$1:$1,0)-MATCH($A$1,[2]characters!$1:$1,0)+1,FALSE)</f>
        <v>ブリキロガー</v>
      </c>
      <c r="C600" s="93">
        <f ca="1">VLOOKUP($A600,OFFSET(fork_awake_units!$A$1,0,0,COUNTA(fork_awake_units!$A:$A),MATCH(C$1,fork_awake_units!$1:$1,0)-MATCH($A$1,fork_awake_units!$1:$1,0)+1),MATCH(C$1,fork_awake_units!$1:$1,0)-MATCH($A$1,fork_awake_units!$1:$1,0)+1,FALSE)</f>
        <v>440</v>
      </c>
      <c r="D600" s="3" t="str">
        <f ca="1">VLOOKUP($C600,OFFSET([2]characters!$A$1,0,0,COUNTA([2]characters!$A:$A),MATCH(D$1,[2]characters!$1:$1,0)-MATCH($A$1,[2]characters!$1:$1,0)+1),MATCH(D$1,[2]characters!$1:$1,0)-MATCH($A$1,[2]characters!$1:$1,0)+1,FALSE)</f>
        <v>改良型 ブリキロガー</v>
      </c>
      <c r="E600" s="66">
        <v>110</v>
      </c>
      <c r="F600" s="3" t="str">
        <f ca="1">VLOOKUP($E600,OFFSET([2]characters!$A$1,0,0,COUNTA([2]characters!$A:$A),MATCH(F$1,[2]characters!$1:$1,0)-MATCH($A$1,[2]characters!$1:$1,0)+1),MATCH(F$1,[2]characters!$1:$1,0)-MATCH($A$1,[2]characters!$1:$1,0)+1,FALSE)</f>
        <v>ブルーラビット</v>
      </c>
      <c r="G600" s="66">
        <v>1</v>
      </c>
      <c r="H600" s="66">
        <v>1</v>
      </c>
      <c r="I600" s="66">
        <v>1</v>
      </c>
    </row>
    <row r="601" spans="1:9" x14ac:dyDescent="0.15">
      <c r="A601" s="66">
        <v>439</v>
      </c>
      <c r="B601" s="3" t="str">
        <f ca="1">VLOOKUP($A601,OFFSET([2]characters!$A$1,0,0,COUNTA([2]characters!$A:$A),MATCH(B$1,[2]characters!$1:$1,0)-MATCH($A$1,[2]characters!$1:$1,0)+1),MATCH(B$1,[2]characters!$1:$1,0)-MATCH($A$1,[2]characters!$1:$1,0)+1,FALSE)</f>
        <v>ブリキロガー</v>
      </c>
      <c r="C601" s="93">
        <f ca="1">VLOOKUP($A601,OFFSET(fork_awake_units!$A$1,0,0,COUNTA(fork_awake_units!$A:$A),MATCH(C$1,fork_awake_units!$1:$1,0)-MATCH($A$1,fork_awake_units!$1:$1,0)+1),MATCH(C$1,fork_awake_units!$1:$1,0)-MATCH($A$1,fork_awake_units!$1:$1,0)+1,FALSE)</f>
        <v>440</v>
      </c>
      <c r="D601" s="3" t="str">
        <f ca="1">VLOOKUP($C601,OFFSET([2]characters!$A$1,0,0,COUNTA([2]characters!$A:$A),MATCH(D$1,[2]characters!$1:$1,0)-MATCH($A$1,[2]characters!$1:$1,0)+1),MATCH(D$1,[2]characters!$1:$1,0)-MATCH($A$1,[2]characters!$1:$1,0)+1,FALSE)</f>
        <v>改良型 ブリキロガー</v>
      </c>
      <c r="E601" s="66">
        <v>111</v>
      </c>
      <c r="F601" s="3" t="str">
        <f ca="1">VLOOKUP($E601,OFFSET([2]characters!$A$1,0,0,COUNTA([2]characters!$A:$A),MATCH(F$1,[2]characters!$1:$1,0)-MATCH($A$1,[2]characters!$1:$1,0)+1),MATCH(F$1,[2]characters!$1:$1,0)-MATCH($A$1,[2]characters!$1:$1,0)+1,FALSE)</f>
        <v>ブルーキャタップ</v>
      </c>
      <c r="G601" s="66">
        <v>3</v>
      </c>
      <c r="H601" s="66">
        <v>1</v>
      </c>
      <c r="I601" s="66">
        <v>1</v>
      </c>
    </row>
    <row r="602" spans="1:9" x14ac:dyDescent="0.15">
      <c r="A602" s="66">
        <v>440</v>
      </c>
      <c r="B602" s="3" t="str">
        <f ca="1">VLOOKUP($A602,OFFSET([2]characters!$A$1,0,0,COUNTA([2]characters!$A:$A),MATCH(B$1,[2]characters!$1:$1,0)-MATCH($A$1,[2]characters!$1:$1,0)+1),MATCH(B$1,[2]characters!$1:$1,0)-MATCH($A$1,[2]characters!$1:$1,0)+1,FALSE)</f>
        <v>改良型 ブリキロガー</v>
      </c>
      <c r="C602" s="93">
        <f ca="1">VLOOKUP($A602,OFFSET(fork_awake_units!$A$1,0,0,COUNTA(fork_awake_units!$A:$A),MATCH(C$1,fork_awake_units!$1:$1,0)-MATCH($A$1,fork_awake_units!$1:$1,0)+1),MATCH(C$1,fork_awake_units!$1:$1,0)-MATCH($A$1,fork_awake_units!$1:$1,0)+1,FALSE)</f>
        <v>441</v>
      </c>
      <c r="D602" s="3" t="str">
        <f ca="1">VLOOKUP($C602,OFFSET([2]characters!$A$1,0,0,COUNTA([2]characters!$A:$A),MATCH(D$1,[2]characters!$1:$1,0)-MATCH($A$1,[2]characters!$1:$1,0)+1),MATCH(D$1,[2]characters!$1:$1,0)-MATCH($A$1,[2]characters!$1:$1,0)+1,FALSE)</f>
        <v>求心の錻装 ブリキロガー</v>
      </c>
      <c r="E602" s="66">
        <v>110</v>
      </c>
      <c r="F602" s="3" t="str">
        <f ca="1">VLOOKUP($E602,OFFSET([2]characters!$A$1,0,0,COUNTA([2]characters!$A:$A),MATCH(F$1,[2]characters!$1:$1,0)-MATCH($A$1,[2]characters!$1:$1,0)+1),MATCH(F$1,[2]characters!$1:$1,0)-MATCH($A$1,[2]characters!$1:$1,0)+1,FALSE)</f>
        <v>ブルーラビット</v>
      </c>
      <c r="G602" s="66">
        <v>1</v>
      </c>
      <c r="H602" s="66">
        <v>1</v>
      </c>
      <c r="I602" s="66">
        <v>1</v>
      </c>
    </row>
    <row r="603" spans="1:9" x14ac:dyDescent="0.15">
      <c r="A603" s="66">
        <v>440</v>
      </c>
      <c r="B603" s="3" t="str">
        <f ca="1">VLOOKUP($A603,OFFSET([2]characters!$A$1,0,0,COUNTA([2]characters!$A:$A),MATCH(B$1,[2]characters!$1:$1,0)-MATCH($A$1,[2]characters!$1:$1,0)+1),MATCH(B$1,[2]characters!$1:$1,0)-MATCH($A$1,[2]characters!$1:$1,0)+1,FALSE)</f>
        <v>改良型 ブリキロガー</v>
      </c>
      <c r="C603" s="93">
        <f ca="1">VLOOKUP($A603,OFFSET(fork_awake_units!$A$1,0,0,COUNTA(fork_awake_units!$A:$A),MATCH(C$1,fork_awake_units!$1:$1,0)-MATCH($A$1,fork_awake_units!$1:$1,0)+1),MATCH(C$1,fork_awake_units!$1:$1,0)-MATCH($A$1,fork_awake_units!$1:$1,0)+1,FALSE)</f>
        <v>441</v>
      </c>
      <c r="D603" s="3" t="str">
        <f ca="1">VLOOKUP($C603,OFFSET([2]characters!$A$1,0,0,COUNTA([2]characters!$A:$A),MATCH(D$1,[2]characters!$1:$1,0)-MATCH($A$1,[2]characters!$1:$1,0)+1),MATCH(D$1,[2]characters!$1:$1,0)-MATCH($A$1,[2]characters!$1:$1,0)+1,FALSE)</f>
        <v>求心の錻装 ブリキロガー</v>
      </c>
      <c r="E603" s="66">
        <v>111</v>
      </c>
      <c r="F603" s="3" t="str">
        <f ca="1">VLOOKUP($E603,OFFSET([2]characters!$A$1,0,0,COUNTA([2]characters!$A:$A),MATCH(F$1,[2]characters!$1:$1,0)-MATCH($A$1,[2]characters!$1:$1,0)+1),MATCH(F$1,[2]characters!$1:$1,0)-MATCH($A$1,[2]characters!$1:$1,0)+1,FALSE)</f>
        <v>ブルーキャタップ</v>
      </c>
      <c r="G603" s="66">
        <v>2</v>
      </c>
      <c r="H603" s="66">
        <v>1</v>
      </c>
      <c r="I603" s="66">
        <v>1</v>
      </c>
    </row>
    <row r="604" spans="1:9" x14ac:dyDescent="0.15">
      <c r="A604" s="66">
        <v>440</v>
      </c>
      <c r="B604" s="3" t="str">
        <f ca="1">VLOOKUP($A604,OFFSET([2]characters!$A$1,0,0,COUNTA([2]characters!$A:$A),MATCH(B$1,[2]characters!$1:$1,0)-MATCH($A$1,[2]characters!$1:$1,0)+1),MATCH(B$1,[2]characters!$1:$1,0)-MATCH($A$1,[2]characters!$1:$1,0)+1,FALSE)</f>
        <v>改良型 ブリキロガー</v>
      </c>
      <c r="C604" s="93">
        <f ca="1">VLOOKUP($A604,OFFSET(fork_awake_units!$A$1,0,0,COUNTA(fork_awake_units!$A:$A),MATCH(C$1,fork_awake_units!$1:$1,0)-MATCH($A$1,fork_awake_units!$1:$1,0)+1),MATCH(C$1,fork_awake_units!$1:$1,0)-MATCH($A$1,fork_awake_units!$1:$1,0)+1,FALSE)</f>
        <v>441</v>
      </c>
      <c r="D604" s="3" t="str">
        <f ca="1">VLOOKUP($C604,OFFSET([2]characters!$A$1,0,0,COUNTA([2]characters!$A:$A),MATCH(D$1,[2]characters!$1:$1,0)-MATCH($A$1,[2]characters!$1:$1,0)+1),MATCH(D$1,[2]characters!$1:$1,0)-MATCH($A$1,[2]characters!$1:$1,0)+1,FALSE)</f>
        <v>求心の錻装 ブリキロガー</v>
      </c>
      <c r="E604" s="66">
        <v>112</v>
      </c>
      <c r="F604" s="3" t="str">
        <f ca="1">VLOOKUP($E604,OFFSET([2]characters!$A$1,0,0,COUNTA([2]characters!$A:$A),MATCH(F$1,[2]characters!$1:$1,0)-MATCH($A$1,[2]characters!$1:$1,0)+1),MATCH(F$1,[2]characters!$1:$1,0)-MATCH($A$1,[2]characters!$1:$1,0)+1,FALSE)</f>
        <v>水のマッドハッター</v>
      </c>
      <c r="G604" s="66">
        <v>2</v>
      </c>
      <c r="H604" s="66">
        <v>1</v>
      </c>
      <c r="I604" s="66">
        <v>1</v>
      </c>
    </row>
    <row r="605" spans="1:9" x14ac:dyDescent="0.15">
      <c r="A605" s="66">
        <v>442</v>
      </c>
      <c r="B605" s="3" t="str">
        <f ca="1">VLOOKUP($A605,OFFSET([2]characters!$A$1,0,0,COUNTA([2]characters!$A:$A),MATCH(B$1,[2]characters!$1:$1,0)-MATCH($A$1,[2]characters!$1:$1,0)+1),MATCH(B$1,[2]characters!$1:$1,0)-MATCH($A$1,[2]characters!$1:$1,0)+1,FALSE)</f>
        <v>ブレイブリー・ライオン</v>
      </c>
      <c r="C605" s="93">
        <f ca="1">VLOOKUP($A605,OFFSET(fork_awake_units!$A$1,0,0,COUNTA(fork_awake_units!$A:$A),MATCH(C$1,fork_awake_units!$1:$1,0)-MATCH($A$1,fork_awake_units!$1:$1,0)+1),MATCH(C$1,fork_awake_units!$1:$1,0)-MATCH($A$1,fork_awake_units!$1:$1,0)+1,FALSE)</f>
        <v>443</v>
      </c>
      <c r="D605" s="3" t="str">
        <f ca="1">VLOOKUP($C605,OFFSET([2]characters!$A$1,0,0,COUNTA([2]characters!$A:$A),MATCH(D$1,[2]characters!$1:$1,0)-MATCH($A$1,[2]characters!$1:$1,0)+1),MATCH(D$1,[2]characters!$1:$1,0)-MATCH($A$1,[2]characters!$1:$1,0)+1,FALSE)</f>
        <v>勇機結集 ブレイブリー・ライオン</v>
      </c>
      <c r="E605" s="66">
        <v>115</v>
      </c>
      <c r="F605" s="3" t="str">
        <f ca="1">VLOOKUP($E605,OFFSET([2]characters!$A$1,0,0,COUNTA([2]characters!$A:$A),MATCH(F$1,[2]characters!$1:$1,0)-MATCH($A$1,[2]characters!$1:$1,0)+1),MATCH(F$1,[2]characters!$1:$1,0)-MATCH($A$1,[2]characters!$1:$1,0)+1,FALSE)</f>
        <v>イエローキャタップ</v>
      </c>
      <c r="G605" s="66">
        <v>2</v>
      </c>
      <c r="H605" s="66">
        <v>1</v>
      </c>
      <c r="I605" s="66">
        <v>1</v>
      </c>
    </row>
    <row r="606" spans="1:9" x14ac:dyDescent="0.15">
      <c r="A606" s="66">
        <v>442</v>
      </c>
      <c r="B606" s="3" t="str">
        <f ca="1">VLOOKUP($A606,OFFSET([2]characters!$A$1,0,0,COUNTA([2]characters!$A:$A),MATCH(B$1,[2]characters!$1:$1,0)-MATCH($A$1,[2]characters!$1:$1,0)+1),MATCH(B$1,[2]characters!$1:$1,0)-MATCH($A$1,[2]characters!$1:$1,0)+1,FALSE)</f>
        <v>ブレイブリー・ライオン</v>
      </c>
      <c r="C606" s="93">
        <f ca="1">VLOOKUP($A606,OFFSET(fork_awake_units!$A$1,0,0,COUNTA(fork_awake_units!$A:$A),MATCH(C$1,fork_awake_units!$1:$1,0)-MATCH($A$1,fork_awake_units!$1:$1,0)+1),MATCH(C$1,fork_awake_units!$1:$1,0)-MATCH($A$1,fork_awake_units!$1:$1,0)+1,FALSE)</f>
        <v>443</v>
      </c>
      <c r="D606" s="3" t="str">
        <f ca="1">VLOOKUP($C606,OFFSET([2]characters!$A$1,0,0,COUNTA([2]characters!$A:$A),MATCH(D$1,[2]characters!$1:$1,0)-MATCH($A$1,[2]characters!$1:$1,0)+1),MATCH(D$1,[2]characters!$1:$1,0)-MATCH($A$1,[2]characters!$1:$1,0)+1,FALSE)</f>
        <v>勇機結集 ブレイブリー・ライオン</v>
      </c>
      <c r="E606" s="66">
        <v>116</v>
      </c>
      <c r="F606" s="3" t="str">
        <f ca="1">VLOOKUP($E606,OFFSET([2]characters!$A$1,0,0,COUNTA([2]characters!$A:$A),MATCH(F$1,[2]characters!$1:$1,0)-MATCH($A$1,[2]characters!$1:$1,0)+1),MATCH(F$1,[2]characters!$1:$1,0)-MATCH($A$1,[2]characters!$1:$1,0)+1,FALSE)</f>
        <v>雷のマッドハッター</v>
      </c>
      <c r="G606" s="66">
        <v>1</v>
      </c>
      <c r="H606" s="66">
        <v>1</v>
      </c>
      <c r="I606" s="66">
        <v>1</v>
      </c>
    </row>
    <row r="607" spans="1:9" x14ac:dyDescent="0.15">
      <c r="A607" s="66">
        <v>442</v>
      </c>
      <c r="B607" s="3" t="str">
        <f ca="1">VLOOKUP($A607,OFFSET([2]characters!$A$1,0,0,COUNTA([2]characters!$A:$A),MATCH(B$1,[2]characters!$1:$1,0)-MATCH($A$1,[2]characters!$1:$1,0)+1),MATCH(B$1,[2]characters!$1:$1,0)-MATCH($A$1,[2]characters!$1:$1,0)+1,FALSE)</f>
        <v>ブレイブリー・ライオン</v>
      </c>
      <c r="C607" s="93">
        <f ca="1">VLOOKUP($A607,OFFSET(fork_awake_units!$A$1,0,0,COUNTA(fork_awake_units!$A:$A),MATCH(C$1,fork_awake_units!$1:$1,0)-MATCH($A$1,fork_awake_units!$1:$1,0)+1),MATCH(C$1,fork_awake_units!$1:$1,0)-MATCH($A$1,fork_awake_units!$1:$1,0)+1,FALSE)</f>
        <v>443</v>
      </c>
      <c r="D607" s="3" t="str">
        <f ca="1">VLOOKUP($C607,OFFSET([2]characters!$A$1,0,0,COUNTA([2]characters!$A:$A),MATCH(D$1,[2]characters!$1:$1,0)-MATCH($A$1,[2]characters!$1:$1,0)+1),MATCH(D$1,[2]characters!$1:$1,0)-MATCH($A$1,[2]characters!$1:$1,0)+1,FALSE)</f>
        <v>勇機結集 ブレイブリー・ライオン</v>
      </c>
      <c r="E607" s="66">
        <v>284</v>
      </c>
      <c r="F607" s="3" t="str">
        <f ca="1">VLOOKUP($E607,OFFSET([2]characters!$A$1,0,0,COUNTA([2]characters!$A:$A),MATCH(F$1,[2]characters!$1:$1,0)-MATCH($A$1,[2]characters!$1:$1,0)+1),MATCH(F$1,[2]characters!$1:$1,0)-MATCH($A$1,[2]characters!$1:$1,0)+1,FALSE)</f>
        <v>フェルニゲシュ</v>
      </c>
      <c r="G607" s="66">
        <v>1</v>
      </c>
      <c r="H607" s="66">
        <v>1</v>
      </c>
      <c r="I607" s="66">
        <v>1</v>
      </c>
    </row>
    <row r="608" spans="1:9" x14ac:dyDescent="0.15">
      <c r="A608" s="66">
        <v>442</v>
      </c>
      <c r="B608" s="3" t="str">
        <f ca="1">VLOOKUP($A608,OFFSET([2]characters!$A$1,0,0,COUNTA([2]characters!$A:$A),MATCH(B$1,[2]characters!$1:$1,0)-MATCH($A$1,[2]characters!$1:$1,0)+1),MATCH(B$1,[2]characters!$1:$1,0)-MATCH($A$1,[2]characters!$1:$1,0)+1,FALSE)</f>
        <v>ブレイブリー・ライオン</v>
      </c>
      <c r="C608" s="93">
        <f ca="1">VLOOKUP($A608,OFFSET(fork_awake_units!$A$1,0,0,COUNTA(fork_awake_units!$A:$A),MATCH(C$1,fork_awake_units!$1:$1,0)-MATCH($A$1,fork_awake_units!$1:$1,0)+1),MATCH(C$1,fork_awake_units!$1:$1,0)-MATCH($A$1,fork_awake_units!$1:$1,0)+1,FALSE)</f>
        <v>443</v>
      </c>
      <c r="D608" s="3" t="str">
        <f ca="1">VLOOKUP($C608,OFFSET([2]characters!$A$1,0,0,COUNTA([2]characters!$A:$A),MATCH(D$1,[2]characters!$1:$1,0)-MATCH($A$1,[2]characters!$1:$1,0)+1),MATCH(D$1,[2]characters!$1:$1,0)-MATCH($A$1,[2]characters!$1:$1,0)+1,FALSE)</f>
        <v>勇機結集 ブレイブリー・ライオン</v>
      </c>
      <c r="E608" s="66">
        <v>312</v>
      </c>
      <c r="F608" s="3" t="str">
        <f ca="1">VLOOKUP($E608,OFFSET([2]characters!$A$1,0,0,COUNTA([2]characters!$A:$A),MATCH(F$1,[2]characters!$1:$1,0)-MATCH($A$1,[2]characters!$1:$1,0)+1),MATCH(F$1,[2]characters!$1:$1,0)-MATCH($A$1,[2]characters!$1:$1,0)+1,FALSE)</f>
        <v>アノマロカリス</v>
      </c>
      <c r="G608" s="66">
        <v>1</v>
      </c>
      <c r="H608" s="66">
        <v>1</v>
      </c>
      <c r="I608" s="66">
        <v>1</v>
      </c>
    </row>
    <row r="609" spans="1:9" x14ac:dyDescent="0.15">
      <c r="A609" s="66">
        <v>452</v>
      </c>
      <c r="B609" s="3" t="str">
        <f ca="1">VLOOKUP($A609,OFFSET([2]characters!$A$1,0,0,COUNTA([2]characters!$A:$A),MATCH(B$1,[2]characters!$1:$1,0)-MATCH($A$1,[2]characters!$1:$1,0)+1),MATCH(B$1,[2]characters!$1:$1,0)-MATCH($A$1,[2]characters!$1:$1,0)+1,FALSE)</f>
        <v>猛狐 エゾ</v>
      </c>
      <c r="C609" s="93">
        <f ca="1">VLOOKUP($A609,OFFSET(fork_awake_units!$A$1,0,0,COUNTA(fork_awake_units!$A:$A),MATCH(C$1,fork_awake_units!$1:$1,0)-MATCH($A$1,fork_awake_units!$1:$1,0)+1),MATCH(C$1,fork_awake_units!$1:$1,0)-MATCH($A$1,fork_awake_units!$1:$1,0)+1,FALSE)</f>
        <v>453</v>
      </c>
      <c r="D609" s="3" t="str">
        <f ca="1">VLOOKUP($C609,OFFSET([2]characters!$A$1,0,0,COUNTA([2]characters!$A:$A),MATCH(D$1,[2]characters!$1:$1,0)-MATCH($A$1,[2]characters!$1:$1,0)+1),MATCH(D$1,[2]characters!$1:$1,0)-MATCH($A$1,[2]characters!$1:$1,0)+1,FALSE)</f>
        <v>急尾の猛狐 エゾ</v>
      </c>
      <c r="E609" s="66">
        <v>101</v>
      </c>
      <c r="F609" s="3" t="str">
        <f ca="1">VLOOKUP($E609,OFFSET([2]characters!$A$1,0,0,COUNTA([2]characters!$A:$A),MATCH(F$1,[2]characters!$1:$1,0)-MATCH($A$1,[2]characters!$1:$1,0)+1),MATCH(F$1,[2]characters!$1:$1,0)-MATCH($A$1,[2]characters!$1:$1,0)+1,FALSE)</f>
        <v>レッドチェシャ</v>
      </c>
      <c r="G609" s="66">
        <v>1</v>
      </c>
      <c r="H609" s="66">
        <v>1</v>
      </c>
      <c r="I609" s="66">
        <v>1</v>
      </c>
    </row>
    <row r="610" spans="1:9" x14ac:dyDescent="0.15">
      <c r="A610" s="66">
        <v>452</v>
      </c>
      <c r="B610" s="3" t="str">
        <f ca="1">VLOOKUP($A610,OFFSET([2]characters!$A$1,0,0,COUNTA([2]characters!$A:$A),MATCH(B$1,[2]characters!$1:$1,0)-MATCH($A$1,[2]characters!$1:$1,0)+1),MATCH(B$1,[2]characters!$1:$1,0)-MATCH($A$1,[2]characters!$1:$1,0)+1,FALSE)</f>
        <v>猛狐 エゾ</v>
      </c>
      <c r="C610" s="93">
        <f ca="1">VLOOKUP($A610,OFFSET(fork_awake_units!$A$1,0,0,COUNTA(fork_awake_units!$A:$A),MATCH(C$1,fork_awake_units!$1:$1,0)-MATCH($A$1,fork_awake_units!$1:$1,0)+1),MATCH(C$1,fork_awake_units!$1:$1,0)-MATCH($A$1,fork_awake_units!$1:$1,0)+1,FALSE)</f>
        <v>453</v>
      </c>
      <c r="D610" s="3" t="str">
        <f ca="1">VLOOKUP($C610,OFFSET([2]characters!$A$1,0,0,COUNTA([2]characters!$A:$A),MATCH(D$1,[2]characters!$1:$1,0)-MATCH($A$1,[2]characters!$1:$1,0)+1),MATCH(D$1,[2]characters!$1:$1,0)-MATCH($A$1,[2]characters!$1:$1,0)+1,FALSE)</f>
        <v>急尾の猛狐 エゾ</v>
      </c>
      <c r="E610" s="66">
        <v>102</v>
      </c>
      <c r="F610" s="3" t="str">
        <f ca="1">VLOOKUP($E610,OFFSET([2]characters!$A$1,0,0,COUNTA([2]characters!$A:$A),MATCH(F$1,[2]characters!$1:$1,0)-MATCH($A$1,[2]characters!$1:$1,0)+1),MATCH(F$1,[2]characters!$1:$1,0)-MATCH($A$1,[2]characters!$1:$1,0)+1,FALSE)</f>
        <v>レッドラビット</v>
      </c>
      <c r="G610" s="66">
        <v>2</v>
      </c>
      <c r="H610" s="66">
        <v>1</v>
      </c>
      <c r="I610" s="66">
        <v>1</v>
      </c>
    </row>
    <row r="611" spans="1:9" x14ac:dyDescent="0.15">
      <c r="A611" s="66">
        <v>452</v>
      </c>
      <c r="B611" s="3" t="str">
        <f ca="1">VLOOKUP($A611,OFFSET([2]characters!$A$1,0,0,COUNTA([2]characters!$A:$A),MATCH(B$1,[2]characters!$1:$1,0)-MATCH($A$1,[2]characters!$1:$1,0)+1),MATCH(B$1,[2]characters!$1:$1,0)-MATCH($A$1,[2]characters!$1:$1,0)+1,FALSE)</f>
        <v>猛狐 エゾ</v>
      </c>
      <c r="C611" s="93">
        <f ca="1">VLOOKUP($A611,OFFSET(fork_awake_units!$A$1,0,0,COUNTA(fork_awake_units!$A:$A),MATCH(C$1,fork_awake_units!$1:$1,0)-MATCH($A$1,fork_awake_units!$1:$1,0)+1),MATCH(C$1,fork_awake_units!$1:$1,0)-MATCH($A$1,fork_awake_units!$1:$1,0)+1,FALSE)</f>
        <v>453</v>
      </c>
      <c r="D611" s="3" t="str">
        <f ca="1">VLOOKUP($C611,OFFSET([2]characters!$A$1,0,0,COUNTA([2]characters!$A:$A),MATCH(D$1,[2]characters!$1:$1,0)-MATCH($A$1,[2]characters!$1:$1,0)+1),MATCH(D$1,[2]characters!$1:$1,0)-MATCH($A$1,[2]characters!$1:$1,0)+1,FALSE)</f>
        <v>急尾の猛狐 エゾ</v>
      </c>
      <c r="E611" s="66">
        <v>103</v>
      </c>
      <c r="F611" s="3" t="str">
        <f ca="1">VLOOKUP($E611,OFFSET([2]characters!$A$1,0,0,COUNTA([2]characters!$A:$A),MATCH(F$1,[2]characters!$1:$1,0)-MATCH($A$1,[2]characters!$1:$1,0)+1),MATCH(F$1,[2]characters!$1:$1,0)-MATCH($A$1,[2]characters!$1:$1,0)+1,FALSE)</f>
        <v>レッドキャタップ</v>
      </c>
      <c r="G611" s="66">
        <v>1</v>
      </c>
      <c r="H611" s="66">
        <v>1</v>
      </c>
      <c r="I611" s="66">
        <v>1</v>
      </c>
    </row>
    <row r="612" spans="1:9" x14ac:dyDescent="0.15">
      <c r="A612" s="66">
        <v>452</v>
      </c>
      <c r="B612" s="3" t="str">
        <f ca="1">VLOOKUP($A612,OFFSET([2]characters!$A$1,0,0,COUNTA([2]characters!$A:$A),MATCH(B$1,[2]characters!$1:$1,0)-MATCH($A$1,[2]characters!$1:$1,0)+1),MATCH(B$1,[2]characters!$1:$1,0)-MATCH($A$1,[2]characters!$1:$1,0)+1,FALSE)</f>
        <v>猛狐 エゾ</v>
      </c>
      <c r="C612" s="93">
        <f ca="1">VLOOKUP($A612,OFFSET(fork_awake_units!$A$1,0,0,COUNTA(fork_awake_units!$A:$A),MATCH(C$1,fork_awake_units!$1:$1,0)-MATCH($A$1,fork_awake_units!$1:$1,0)+1),MATCH(C$1,fork_awake_units!$1:$1,0)-MATCH($A$1,fork_awake_units!$1:$1,0)+1,FALSE)</f>
        <v>453</v>
      </c>
      <c r="D612" s="3" t="str">
        <f ca="1">VLOOKUP($C612,OFFSET([2]characters!$A$1,0,0,COUNTA([2]characters!$A:$A),MATCH(D$1,[2]characters!$1:$1,0)-MATCH($A$1,[2]characters!$1:$1,0)+1),MATCH(D$1,[2]characters!$1:$1,0)-MATCH($A$1,[2]characters!$1:$1,0)+1,FALSE)</f>
        <v>急尾の猛狐 エゾ</v>
      </c>
      <c r="E612" s="66">
        <v>104</v>
      </c>
      <c r="F612" s="3" t="str">
        <f ca="1">VLOOKUP($E612,OFFSET([2]characters!$A$1,0,0,COUNTA([2]characters!$A:$A),MATCH(F$1,[2]characters!$1:$1,0)-MATCH($A$1,[2]characters!$1:$1,0)+1),MATCH(F$1,[2]characters!$1:$1,0)-MATCH($A$1,[2]characters!$1:$1,0)+1,FALSE)</f>
        <v>炎のマッドハッター</v>
      </c>
      <c r="G612" s="66">
        <v>1</v>
      </c>
      <c r="H612" s="66">
        <v>1</v>
      </c>
      <c r="I612" s="66">
        <v>1</v>
      </c>
    </row>
    <row r="613" spans="1:9" x14ac:dyDescent="0.15">
      <c r="A613" s="66">
        <v>454</v>
      </c>
      <c r="B613" s="3" t="str">
        <f ca="1">VLOOKUP($A613,OFFSET([2]characters!$A$1,0,0,COUNTA([2]characters!$A:$A),MATCH(B$1,[2]characters!$1:$1,0)-MATCH($A$1,[2]characters!$1:$1,0)+1),MATCH(B$1,[2]characters!$1:$1,0)-MATCH($A$1,[2]characters!$1:$1,0)+1,FALSE)</f>
        <v>二闘 レッサとギガン</v>
      </c>
      <c r="C613" s="93">
        <f ca="1">VLOOKUP($A613,OFFSET(fork_awake_units!$A$1,0,0,COUNTA(fork_awake_units!$A:$A),MATCH(C$1,fork_awake_units!$1:$1,0)-MATCH($A$1,fork_awake_units!$1:$1,0)+1),MATCH(C$1,fork_awake_units!$1:$1,0)-MATCH($A$1,fork_awake_units!$1:$1,0)+1,FALSE)</f>
        <v>455</v>
      </c>
      <c r="D613" s="3" t="str">
        <f ca="1">VLOOKUP($C613,OFFSET([2]characters!$A$1,0,0,COUNTA([2]characters!$A:$A),MATCH(D$1,[2]characters!$1:$1,0)-MATCH($A$1,[2]characters!$1:$1,0)+1),MATCH(D$1,[2]characters!$1:$1,0)-MATCH($A$1,[2]characters!$1:$1,0)+1,FALSE)</f>
        <v>廃街の二闘 レッサとギガン</v>
      </c>
      <c r="E613" s="66">
        <v>105</v>
      </c>
      <c r="F613" s="3" t="str">
        <f ca="1">VLOOKUP($E613,OFFSET([2]characters!$A$1,0,0,COUNTA([2]characters!$A:$A),MATCH(F$1,[2]characters!$1:$1,0)-MATCH($A$1,[2]characters!$1:$1,0)+1),MATCH(F$1,[2]characters!$1:$1,0)-MATCH($A$1,[2]characters!$1:$1,0)+1,FALSE)</f>
        <v>グリーンチェシャ</v>
      </c>
      <c r="G613" s="66">
        <v>1</v>
      </c>
      <c r="H613" s="66">
        <v>1</v>
      </c>
      <c r="I613" s="66">
        <v>1</v>
      </c>
    </row>
    <row r="614" spans="1:9" x14ac:dyDescent="0.15">
      <c r="A614" s="66">
        <v>454</v>
      </c>
      <c r="B614" s="3" t="str">
        <f ca="1">VLOOKUP($A614,OFFSET([2]characters!$A$1,0,0,COUNTA([2]characters!$A:$A),MATCH(B$1,[2]characters!$1:$1,0)-MATCH($A$1,[2]characters!$1:$1,0)+1),MATCH(B$1,[2]characters!$1:$1,0)-MATCH($A$1,[2]characters!$1:$1,0)+1,FALSE)</f>
        <v>二闘 レッサとギガン</v>
      </c>
      <c r="C614" s="93">
        <f ca="1">VLOOKUP($A614,OFFSET(fork_awake_units!$A$1,0,0,COUNTA(fork_awake_units!$A:$A),MATCH(C$1,fork_awake_units!$1:$1,0)-MATCH($A$1,fork_awake_units!$1:$1,0)+1),MATCH(C$1,fork_awake_units!$1:$1,0)-MATCH($A$1,fork_awake_units!$1:$1,0)+1,FALSE)</f>
        <v>455</v>
      </c>
      <c r="D614" s="3" t="str">
        <f ca="1">VLOOKUP($C614,OFFSET([2]characters!$A$1,0,0,COUNTA([2]characters!$A:$A),MATCH(D$1,[2]characters!$1:$1,0)-MATCH($A$1,[2]characters!$1:$1,0)+1),MATCH(D$1,[2]characters!$1:$1,0)-MATCH($A$1,[2]characters!$1:$1,0)+1,FALSE)</f>
        <v>廃街の二闘 レッサとギガン</v>
      </c>
      <c r="E614" s="66">
        <v>106</v>
      </c>
      <c r="F614" s="3" t="str">
        <f ca="1">VLOOKUP($E614,OFFSET([2]characters!$A$1,0,0,COUNTA([2]characters!$A:$A),MATCH(F$1,[2]characters!$1:$1,0)-MATCH($A$1,[2]characters!$1:$1,0)+1),MATCH(F$1,[2]characters!$1:$1,0)-MATCH($A$1,[2]characters!$1:$1,0)+1,FALSE)</f>
        <v>グリーンラビット</v>
      </c>
      <c r="G614" s="66">
        <v>2</v>
      </c>
      <c r="H614" s="66">
        <v>1</v>
      </c>
      <c r="I614" s="66">
        <v>1</v>
      </c>
    </row>
    <row r="615" spans="1:9" x14ac:dyDescent="0.15">
      <c r="A615" s="66">
        <v>454</v>
      </c>
      <c r="B615" s="3" t="str">
        <f ca="1">VLOOKUP($A615,OFFSET([2]characters!$A$1,0,0,COUNTA([2]characters!$A:$A),MATCH(B$1,[2]characters!$1:$1,0)-MATCH($A$1,[2]characters!$1:$1,0)+1),MATCH(B$1,[2]characters!$1:$1,0)-MATCH($A$1,[2]characters!$1:$1,0)+1,FALSE)</f>
        <v>二闘 レッサとギガン</v>
      </c>
      <c r="C615" s="93">
        <f ca="1">VLOOKUP($A615,OFFSET(fork_awake_units!$A$1,0,0,COUNTA(fork_awake_units!$A:$A),MATCH(C$1,fork_awake_units!$1:$1,0)-MATCH($A$1,fork_awake_units!$1:$1,0)+1),MATCH(C$1,fork_awake_units!$1:$1,0)-MATCH($A$1,fork_awake_units!$1:$1,0)+1,FALSE)</f>
        <v>455</v>
      </c>
      <c r="D615" s="3" t="str">
        <f ca="1">VLOOKUP($C615,OFFSET([2]characters!$A$1,0,0,COUNTA([2]characters!$A:$A),MATCH(D$1,[2]characters!$1:$1,0)-MATCH($A$1,[2]characters!$1:$1,0)+1),MATCH(D$1,[2]characters!$1:$1,0)-MATCH($A$1,[2]characters!$1:$1,0)+1,FALSE)</f>
        <v>廃街の二闘 レッサとギガン</v>
      </c>
      <c r="E615" s="66">
        <v>107</v>
      </c>
      <c r="F615" s="3" t="str">
        <f ca="1">VLOOKUP($E615,OFFSET([2]characters!$A$1,0,0,COUNTA([2]characters!$A:$A),MATCH(F$1,[2]characters!$1:$1,0)-MATCH($A$1,[2]characters!$1:$1,0)+1),MATCH(F$1,[2]characters!$1:$1,0)-MATCH($A$1,[2]characters!$1:$1,0)+1,FALSE)</f>
        <v>グリーンキャタップ</v>
      </c>
      <c r="G615" s="66">
        <v>1</v>
      </c>
      <c r="H615" s="66">
        <v>1</v>
      </c>
      <c r="I615" s="66">
        <v>1</v>
      </c>
    </row>
    <row r="616" spans="1:9" x14ac:dyDescent="0.15">
      <c r="A616" s="66">
        <v>454</v>
      </c>
      <c r="B616" s="3" t="str">
        <f ca="1">VLOOKUP($A616,OFFSET([2]characters!$A$1,0,0,COUNTA([2]characters!$A:$A),MATCH(B$1,[2]characters!$1:$1,0)-MATCH($A$1,[2]characters!$1:$1,0)+1),MATCH(B$1,[2]characters!$1:$1,0)-MATCH($A$1,[2]characters!$1:$1,0)+1,FALSE)</f>
        <v>二闘 レッサとギガン</v>
      </c>
      <c r="C616" s="93">
        <f ca="1">VLOOKUP($A616,OFFSET(fork_awake_units!$A$1,0,0,COUNTA(fork_awake_units!$A:$A),MATCH(C$1,fork_awake_units!$1:$1,0)-MATCH($A$1,fork_awake_units!$1:$1,0)+1),MATCH(C$1,fork_awake_units!$1:$1,0)-MATCH($A$1,fork_awake_units!$1:$1,0)+1,FALSE)</f>
        <v>455</v>
      </c>
      <c r="D616" s="3" t="str">
        <f ca="1">VLOOKUP($C616,OFFSET([2]characters!$A$1,0,0,COUNTA([2]characters!$A:$A),MATCH(D$1,[2]characters!$1:$1,0)-MATCH($A$1,[2]characters!$1:$1,0)+1),MATCH(D$1,[2]characters!$1:$1,0)-MATCH($A$1,[2]characters!$1:$1,0)+1,FALSE)</f>
        <v>廃街の二闘 レッサとギガン</v>
      </c>
      <c r="E616" s="66">
        <v>108</v>
      </c>
      <c r="F616" s="3" t="str">
        <f ca="1">VLOOKUP($E616,OFFSET([2]characters!$A$1,0,0,COUNTA([2]characters!$A:$A),MATCH(F$1,[2]characters!$1:$1,0)-MATCH($A$1,[2]characters!$1:$1,0)+1),MATCH(F$1,[2]characters!$1:$1,0)-MATCH($A$1,[2]characters!$1:$1,0)+1,FALSE)</f>
        <v>森のマッドハッター</v>
      </c>
      <c r="G616" s="66">
        <v>1</v>
      </c>
      <c r="H616" s="66">
        <v>1</v>
      </c>
      <c r="I616" s="66">
        <v>1</v>
      </c>
    </row>
    <row r="617" spans="1:9" x14ac:dyDescent="0.15">
      <c r="A617" s="66">
        <v>456</v>
      </c>
      <c r="B617" s="3" t="str">
        <f ca="1">VLOOKUP($A617,OFFSET([2]characters!$A$1,0,0,COUNTA([2]characters!$A:$A),MATCH(B$1,[2]characters!$1:$1,0)-MATCH($A$1,[2]characters!$1:$1,0)+1),MATCH(B$1,[2]characters!$1:$1,0)-MATCH($A$1,[2]characters!$1:$1,0)+1,FALSE)</f>
        <v>射絶 ユヅル</v>
      </c>
      <c r="C617" s="93">
        <f ca="1">VLOOKUP($A617,OFFSET(fork_awake_units!$A$1,0,0,COUNTA(fork_awake_units!$A:$A),MATCH(C$1,fork_awake_units!$1:$1,0)-MATCH($A$1,fork_awake_units!$1:$1,0)+1),MATCH(C$1,fork_awake_units!$1:$1,0)-MATCH($A$1,fork_awake_units!$1:$1,0)+1,FALSE)</f>
        <v>457</v>
      </c>
      <c r="D617" s="3" t="str">
        <f ca="1">VLOOKUP($C617,OFFSET([2]characters!$A$1,0,0,COUNTA([2]characters!$A:$A),MATCH(D$1,[2]characters!$1:$1,0)-MATCH($A$1,[2]characters!$1:$1,0)+1),MATCH(D$1,[2]characters!$1:$1,0)-MATCH($A$1,[2]characters!$1:$1,0)+1,FALSE)</f>
        <v>京速射絶 ユヅル</v>
      </c>
      <c r="E617" s="66">
        <v>109</v>
      </c>
      <c r="F617" s="3" t="str">
        <f ca="1">VLOOKUP($E617,OFFSET([2]characters!$A$1,0,0,COUNTA([2]characters!$A:$A),MATCH(F$1,[2]characters!$1:$1,0)-MATCH($A$1,[2]characters!$1:$1,0)+1),MATCH(F$1,[2]characters!$1:$1,0)-MATCH($A$1,[2]characters!$1:$1,0)+1,FALSE)</f>
        <v>ブルーチェシャ</v>
      </c>
      <c r="G617" s="66">
        <v>1</v>
      </c>
      <c r="H617" s="66">
        <v>1</v>
      </c>
      <c r="I617" s="66">
        <v>1</v>
      </c>
    </row>
    <row r="618" spans="1:9" x14ac:dyDescent="0.15">
      <c r="A618" s="66">
        <v>456</v>
      </c>
      <c r="B618" s="3" t="str">
        <f ca="1">VLOOKUP($A618,OFFSET([2]characters!$A$1,0,0,COUNTA([2]characters!$A:$A),MATCH(B$1,[2]characters!$1:$1,0)-MATCH($A$1,[2]characters!$1:$1,0)+1),MATCH(B$1,[2]characters!$1:$1,0)-MATCH($A$1,[2]characters!$1:$1,0)+1,FALSE)</f>
        <v>射絶 ユヅル</v>
      </c>
      <c r="C618" s="93">
        <f ca="1">VLOOKUP($A618,OFFSET(fork_awake_units!$A$1,0,0,COUNTA(fork_awake_units!$A:$A),MATCH(C$1,fork_awake_units!$1:$1,0)-MATCH($A$1,fork_awake_units!$1:$1,0)+1),MATCH(C$1,fork_awake_units!$1:$1,0)-MATCH($A$1,fork_awake_units!$1:$1,0)+1,FALSE)</f>
        <v>457</v>
      </c>
      <c r="D618" s="3" t="str">
        <f ca="1">VLOOKUP($C618,OFFSET([2]characters!$A$1,0,0,COUNTA([2]characters!$A:$A),MATCH(D$1,[2]characters!$1:$1,0)-MATCH($A$1,[2]characters!$1:$1,0)+1),MATCH(D$1,[2]characters!$1:$1,0)-MATCH($A$1,[2]characters!$1:$1,0)+1,FALSE)</f>
        <v>京速射絶 ユヅル</v>
      </c>
      <c r="E618" s="66">
        <v>110</v>
      </c>
      <c r="F618" s="3" t="str">
        <f ca="1">VLOOKUP($E618,OFFSET([2]characters!$A$1,0,0,COUNTA([2]characters!$A:$A),MATCH(F$1,[2]characters!$1:$1,0)-MATCH($A$1,[2]characters!$1:$1,0)+1),MATCH(F$1,[2]characters!$1:$1,0)-MATCH($A$1,[2]characters!$1:$1,0)+1,FALSE)</f>
        <v>ブルーラビット</v>
      </c>
      <c r="G618" s="66">
        <v>2</v>
      </c>
      <c r="H618" s="66">
        <v>1</v>
      </c>
      <c r="I618" s="66">
        <v>1</v>
      </c>
    </row>
    <row r="619" spans="1:9" x14ac:dyDescent="0.15">
      <c r="A619" s="66">
        <v>456</v>
      </c>
      <c r="B619" s="3" t="str">
        <f ca="1">VLOOKUP($A619,OFFSET([2]characters!$A$1,0,0,COUNTA([2]characters!$A:$A),MATCH(B$1,[2]characters!$1:$1,0)-MATCH($A$1,[2]characters!$1:$1,0)+1),MATCH(B$1,[2]characters!$1:$1,0)-MATCH($A$1,[2]characters!$1:$1,0)+1,FALSE)</f>
        <v>射絶 ユヅル</v>
      </c>
      <c r="C619" s="93">
        <f ca="1">VLOOKUP($A619,OFFSET(fork_awake_units!$A$1,0,0,COUNTA(fork_awake_units!$A:$A),MATCH(C$1,fork_awake_units!$1:$1,0)-MATCH($A$1,fork_awake_units!$1:$1,0)+1),MATCH(C$1,fork_awake_units!$1:$1,0)-MATCH($A$1,fork_awake_units!$1:$1,0)+1,FALSE)</f>
        <v>457</v>
      </c>
      <c r="D619" s="3" t="str">
        <f ca="1">VLOOKUP($C619,OFFSET([2]characters!$A$1,0,0,COUNTA([2]characters!$A:$A),MATCH(D$1,[2]characters!$1:$1,0)-MATCH($A$1,[2]characters!$1:$1,0)+1),MATCH(D$1,[2]characters!$1:$1,0)-MATCH($A$1,[2]characters!$1:$1,0)+1,FALSE)</f>
        <v>京速射絶 ユヅル</v>
      </c>
      <c r="E619" s="66">
        <v>111</v>
      </c>
      <c r="F619" s="3" t="str">
        <f ca="1">VLOOKUP($E619,OFFSET([2]characters!$A$1,0,0,COUNTA([2]characters!$A:$A),MATCH(F$1,[2]characters!$1:$1,0)-MATCH($A$1,[2]characters!$1:$1,0)+1),MATCH(F$1,[2]characters!$1:$1,0)-MATCH($A$1,[2]characters!$1:$1,0)+1,FALSE)</f>
        <v>ブルーキャタップ</v>
      </c>
      <c r="G619" s="66">
        <v>1</v>
      </c>
      <c r="H619" s="66">
        <v>1</v>
      </c>
      <c r="I619" s="66">
        <v>1</v>
      </c>
    </row>
    <row r="620" spans="1:9" x14ac:dyDescent="0.15">
      <c r="A620" s="66">
        <v>456</v>
      </c>
      <c r="B620" s="3" t="str">
        <f ca="1">VLOOKUP($A620,OFFSET([2]characters!$A$1,0,0,COUNTA([2]characters!$A:$A),MATCH(B$1,[2]characters!$1:$1,0)-MATCH($A$1,[2]characters!$1:$1,0)+1),MATCH(B$1,[2]characters!$1:$1,0)-MATCH($A$1,[2]characters!$1:$1,0)+1,FALSE)</f>
        <v>射絶 ユヅル</v>
      </c>
      <c r="C620" s="93">
        <f ca="1">VLOOKUP($A620,OFFSET(fork_awake_units!$A$1,0,0,COUNTA(fork_awake_units!$A:$A),MATCH(C$1,fork_awake_units!$1:$1,0)-MATCH($A$1,fork_awake_units!$1:$1,0)+1),MATCH(C$1,fork_awake_units!$1:$1,0)-MATCH($A$1,fork_awake_units!$1:$1,0)+1,FALSE)</f>
        <v>457</v>
      </c>
      <c r="D620" s="3" t="str">
        <f ca="1">VLOOKUP($C620,OFFSET([2]characters!$A$1,0,0,COUNTA([2]characters!$A:$A),MATCH(D$1,[2]characters!$1:$1,0)-MATCH($A$1,[2]characters!$1:$1,0)+1),MATCH(D$1,[2]characters!$1:$1,0)-MATCH($A$1,[2]characters!$1:$1,0)+1,FALSE)</f>
        <v>京速射絶 ユヅル</v>
      </c>
      <c r="E620" s="66">
        <v>112</v>
      </c>
      <c r="F620" s="3" t="str">
        <f ca="1">VLOOKUP($E620,OFFSET([2]characters!$A$1,0,0,COUNTA([2]characters!$A:$A),MATCH(F$1,[2]characters!$1:$1,0)-MATCH($A$1,[2]characters!$1:$1,0)+1),MATCH(F$1,[2]characters!$1:$1,0)-MATCH($A$1,[2]characters!$1:$1,0)+1,FALSE)</f>
        <v>水のマッドハッター</v>
      </c>
      <c r="G620" s="66">
        <v>1</v>
      </c>
      <c r="H620" s="66">
        <v>1</v>
      </c>
      <c r="I620" s="66">
        <v>1</v>
      </c>
    </row>
    <row r="621" spans="1:9" x14ac:dyDescent="0.15">
      <c r="A621" s="66">
        <v>458</v>
      </c>
      <c r="B621" s="3" t="str">
        <f ca="1">VLOOKUP($A621,OFFSET([2]characters!$A$1,0,0,COUNTA([2]characters!$A:$A),MATCH(B$1,[2]characters!$1:$1,0)-MATCH($A$1,[2]characters!$1:$1,0)+1),MATCH(B$1,[2]characters!$1:$1,0)-MATCH($A$1,[2]characters!$1:$1,0)+1,FALSE)</f>
        <v>嵐龍 スガル</v>
      </c>
      <c r="C621" s="93">
        <f ca="1">VLOOKUP($A621,OFFSET(fork_awake_units!$A$1,0,0,COUNTA(fork_awake_units!$A:$A),MATCH(C$1,fork_awake_units!$1:$1,0)-MATCH($A$1,fork_awake_units!$1:$1,0)+1),MATCH(C$1,fork_awake_units!$1:$1,0)-MATCH($A$1,fork_awake_units!$1:$1,0)+1,FALSE)</f>
        <v>459</v>
      </c>
      <c r="D621" s="3" t="str">
        <f ca="1">VLOOKUP($C621,OFFSET([2]characters!$A$1,0,0,COUNTA([2]characters!$A:$A),MATCH(D$1,[2]characters!$1:$1,0)-MATCH($A$1,[2]characters!$1:$1,0)+1),MATCH(D$1,[2]characters!$1:$1,0)-MATCH($A$1,[2]characters!$1:$1,0)+1,FALSE)</f>
        <v>威喝の嵐龍 スガル</v>
      </c>
      <c r="E621" s="66">
        <v>113</v>
      </c>
      <c r="F621" s="3" t="str">
        <f ca="1">VLOOKUP($E621,OFFSET([2]characters!$A$1,0,0,COUNTA([2]characters!$A:$A),MATCH(F$1,[2]characters!$1:$1,0)-MATCH($A$1,[2]characters!$1:$1,0)+1),MATCH(F$1,[2]characters!$1:$1,0)-MATCH($A$1,[2]characters!$1:$1,0)+1,FALSE)</f>
        <v>イエローチェシャ</v>
      </c>
      <c r="G621" s="66">
        <v>1</v>
      </c>
      <c r="H621" s="66">
        <v>1</v>
      </c>
      <c r="I621" s="66">
        <v>1</v>
      </c>
    </row>
    <row r="622" spans="1:9" x14ac:dyDescent="0.15">
      <c r="A622" s="66">
        <v>458</v>
      </c>
      <c r="B622" s="3" t="str">
        <f ca="1">VLOOKUP($A622,OFFSET([2]characters!$A$1,0,0,COUNTA([2]characters!$A:$A),MATCH(B$1,[2]characters!$1:$1,0)-MATCH($A$1,[2]characters!$1:$1,0)+1),MATCH(B$1,[2]characters!$1:$1,0)-MATCH($A$1,[2]characters!$1:$1,0)+1,FALSE)</f>
        <v>嵐龍 スガル</v>
      </c>
      <c r="C622" s="93">
        <f ca="1">VLOOKUP($A622,OFFSET(fork_awake_units!$A$1,0,0,COUNTA(fork_awake_units!$A:$A),MATCH(C$1,fork_awake_units!$1:$1,0)-MATCH($A$1,fork_awake_units!$1:$1,0)+1),MATCH(C$1,fork_awake_units!$1:$1,0)-MATCH($A$1,fork_awake_units!$1:$1,0)+1,FALSE)</f>
        <v>459</v>
      </c>
      <c r="D622" s="3" t="str">
        <f ca="1">VLOOKUP($C622,OFFSET([2]characters!$A$1,0,0,COUNTA([2]characters!$A:$A),MATCH(D$1,[2]characters!$1:$1,0)-MATCH($A$1,[2]characters!$1:$1,0)+1),MATCH(D$1,[2]characters!$1:$1,0)-MATCH($A$1,[2]characters!$1:$1,0)+1,FALSE)</f>
        <v>威喝の嵐龍 スガル</v>
      </c>
      <c r="E622" s="66">
        <v>114</v>
      </c>
      <c r="F622" s="3" t="str">
        <f ca="1">VLOOKUP($E622,OFFSET([2]characters!$A$1,0,0,COUNTA([2]characters!$A:$A),MATCH(F$1,[2]characters!$1:$1,0)-MATCH($A$1,[2]characters!$1:$1,0)+1),MATCH(F$1,[2]characters!$1:$1,0)-MATCH($A$1,[2]characters!$1:$1,0)+1,FALSE)</f>
        <v>イエローラビット</v>
      </c>
      <c r="G622" s="66">
        <v>2</v>
      </c>
      <c r="H622" s="66">
        <v>1</v>
      </c>
      <c r="I622" s="66">
        <v>1</v>
      </c>
    </row>
    <row r="623" spans="1:9" x14ac:dyDescent="0.15">
      <c r="A623" s="66">
        <v>458</v>
      </c>
      <c r="B623" s="3" t="str">
        <f ca="1">VLOOKUP($A623,OFFSET([2]characters!$A$1,0,0,COUNTA([2]characters!$A:$A),MATCH(B$1,[2]characters!$1:$1,0)-MATCH($A$1,[2]characters!$1:$1,0)+1),MATCH(B$1,[2]characters!$1:$1,0)-MATCH($A$1,[2]characters!$1:$1,0)+1,FALSE)</f>
        <v>嵐龍 スガル</v>
      </c>
      <c r="C623" s="93">
        <f ca="1">VLOOKUP($A623,OFFSET(fork_awake_units!$A$1,0,0,COUNTA(fork_awake_units!$A:$A),MATCH(C$1,fork_awake_units!$1:$1,0)-MATCH($A$1,fork_awake_units!$1:$1,0)+1),MATCH(C$1,fork_awake_units!$1:$1,0)-MATCH($A$1,fork_awake_units!$1:$1,0)+1,FALSE)</f>
        <v>459</v>
      </c>
      <c r="D623" s="3" t="str">
        <f ca="1">VLOOKUP($C623,OFFSET([2]characters!$A$1,0,0,COUNTA([2]characters!$A:$A),MATCH(D$1,[2]characters!$1:$1,0)-MATCH($A$1,[2]characters!$1:$1,0)+1),MATCH(D$1,[2]characters!$1:$1,0)-MATCH($A$1,[2]characters!$1:$1,0)+1,FALSE)</f>
        <v>威喝の嵐龍 スガル</v>
      </c>
      <c r="E623" s="66">
        <v>115</v>
      </c>
      <c r="F623" s="3" t="str">
        <f ca="1">VLOOKUP($E623,OFFSET([2]characters!$A$1,0,0,COUNTA([2]characters!$A:$A),MATCH(F$1,[2]characters!$1:$1,0)-MATCH($A$1,[2]characters!$1:$1,0)+1),MATCH(F$1,[2]characters!$1:$1,0)-MATCH($A$1,[2]characters!$1:$1,0)+1,FALSE)</f>
        <v>イエローキャタップ</v>
      </c>
      <c r="G623" s="66">
        <v>1</v>
      </c>
      <c r="H623" s="66">
        <v>1</v>
      </c>
      <c r="I623" s="66">
        <v>1</v>
      </c>
    </row>
    <row r="624" spans="1:9" x14ac:dyDescent="0.15">
      <c r="A624" s="66">
        <v>458</v>
      </c>
      <c r="B624" s="3" t="str">
        <f ca="1">VLOOKUP($A624,OFFSET([2]characters!$A$1,0,0,COUNTA([2]characters!$A:$A),MATCH(B$1,[2]characters!$1:$1,0)-MATCH($A$1,[2]characters!$1:$1,0)+1),MATCH(B$1,[2]characters!$1:$1,0)-MATCH($A$1,[2]characters!$1:$1,0)+1,FALSE)</f>
        <v>嵐龍 スガル</v>
      </c>
      <c r="C624" s="93">
        <f ca="1">VLOOKUP($A624,OFFSET(fork_awake_units!$A$1,0,0,COUNTA(fork_awake_units!$A:$A),MATCH(C$1,fork_awake_units!$1:$1,0)-MATCH($A$1,fork_awake_units!$1:$1,0)+1),MATCH(C$1,fork_awake_units!$1:$1,0)-MATCH($A$1,fork_awake_units!$1:$1,0)+1,FALSE)</f>
        <v>459</v>
      </c>
      <c r="D624" s="3" t="str">
        <f ca="1">VLOOKUP($C624,OFFSET([2]characters!$A$1,0,0,COUNTA([2]characters!$A:$A),MATCH(D$1,[2]characters!$1:$1,0)-MATCH($A$1,[2]characters!$1:$1,0)+1),MATCH(D$1,[2]characters!$1:$1,0)-MATCH($A$1,[2]characters!$1:$1,0)+1,FALSE)</f>
        <v>威喝の嵐龍 スガル</v>
      </c>
      <c r="E624" s="66">
        <v>116</v>
      </c>
      <c r="F624" s="3" t="str">
        <f ca="1">VLOOKUP($E624,OFFSET([2]characters!$A$1,0,0,COUNTA([2]characters!$A:$A),MATCH(F$1,[2]characters!$1:$1,0)-MATCH($A$1,[2]characters!$1:$1,0)+1),MATCH(F$1,[2]characters!$1:$1,0)-MATCH($A$1,[2]characters!$1:$1,0)+1,FALSE)</f>
        <v>雷のマッドハッター</v>
      </c>
      <c r="G624" s="66">
        <v>1</v>
      </c>
      <c r="H624" s="66">
        <v>1</v>
      </c>
      <c r="I624" s="66">
        <v>1</v>
      </c>
    </row>
    <row r="625" spans="1:9" x14ac:dyDescent="0.15">
      <c r="A625" s="66">
        <v>460</v>
      </c>
      <c r="B625" s="3" t="str">
        <f ca="1">VLOOKUP($A625,OFFSET([2]characters!$A$1,0,0,COUNTA([2]characters!$A:$A),MATCH(B$1,[2]characters!$1:$1,0)-MATCH($A$1,[2]characters!$1:$1,0)+1),MATCH(B$1,[2]characters!$1:$1,0)-MATCH($A$1,[2]characters!$1:$1,0)+1,FALSE)</f>
        <v>オズ</v>
      </c>
      <c r="C625" s="93">
        <f ca="1">VLOOKUP($A625,OFFSET(fork_awake_units!$A$1,0,0,COUNTA(fork_awake_units!$A:$A),MATCH(C$1,fork_awake_units!$1:$1,0)-MATCH($A$1,fork_awake_units!$1:$1,0)+1),MATCH(C$1,fork_awake_units!$1:$1,0)-MATCH($A$1,fork_awake_units!$1:$1,0)+1,FALSE)</f>
        <v>461</v>
      </c>
      <c r="D625" s="3" t="str">
        <f ca="1">VLOOKUP($C625,OFFSET([2]characters!$A$1,0,0,COUNTA([2]characters!$A:$A),MATCH(D$1,[2]characters!$1:$1,0)-MATCH($A$1,[2]characters!$1:$1,0)+1),MATCH(D$1,[2]characters!$1:$1,0)-MATCH($A$1,[2]characters!$1:$1,0)+1,FALSE)</f>
        <v>大いなる虚像 オズ</v>
      </c>
      <c r="E625" s="66">
        <v>108</v>
      </c>
      <c r="F625" s="3" t="str">
        <f ca="1">VLOOKUP($E625,OFFSET([2]characters!$A$1,0,0,COUNTA([2]characters!$A:$A),MATCH(F$1,[2]characters!$1:$1,0)-MATCH($A$1,[2]characters!$1:$1,0)+1),MATCH(F$1,[2]characters!$1:$1,0)-MATCH($A$1,[2]characters!$1:$1,0)+1,FALSE)</f>
        <v>森のマッドハッター</v>
      </c>
      <c r="G625" s="66">
        <v>1</v>
      </c>
      <c r="H625" s="66">
        <v>1</v>
      </c>
      <c r="I625" s="66">
        <v>1</v>
      </c>
    </row>
    <row r="626" spans="1:9" x14ac:dyDescent="0.15">
      <c r="A626" s="66">
        <v>460</v>
      </c>
      <c r="B626" s="3" t="str">
        <f ca="1">VLOOKUP($A626,OFFSET([2]characters!$A$1,0,0,COUNTA([2]characters!$A:$A),MATCH(B$1,[2]characters!$1:$1,0)-MATCH($A$1,[2]characters!$1:$1,0)+1),MATCH(B$1,[2]characters!$1:$1,0)-MATCH($A$1,[2]characters!$1:$1,0)+1,FALSE)</f>
        <v>オズ</v>
      </c>
      <c r="C626" s="93">
        <f ca="1">VLOOKUP($A626,OFFSET(fork_awake_units!$A$1,0,0,COUNTA(fork_awake_units!$A:$A),MATCH(C$1,fork_awake_units!$1:$1,0)-MATCH($A$1,fork_awake_units!$1:$1,0)+1),MATCH(C$1,fork_awake_units!$1:$1,0)-MATCH($A$1,fork_awake_units!$1:$1,0)+1,FALSE)</f>
        <v>461</v>
      </c>
      <c r="D626" s="3" t="str">
        <f ca="1">VLOOKUP($C626,OFFSET([2]characters!$A$1,0,0,COUNTA([2]characters!$A:$A),MATCH(D$1,[2]characters!$1:$1,0)-MATCH($A$1,[2]characters!$1:$1,0)+1),MATCH(D$1,[2]characters!$1:$1,0)-MATCH($A$1,[2]characters!$1:$1,0)+1,FALSE)</f>
        <v>大いなる虚像 オズ</v>
      </c>
      <c r="E626" s="66">
        <v>454</v>
      </c>
      <c r="F626" s="3" t="str">
        <f ca="1">VLOOKUP($E626,OFFSET([2]characters!$A$1,0,0,COUNTA([2]characters!$A:$A),MATCH(F$1,[2]characters!$1:$1,0)-MATCH($A$1,[2]characters!$1:$1,0)+1),MATCH(F$1,[2]characters!$1:$1,0)-MATCH($A$1,[2]characters!$1:$1,0)+1,FALSE)</f>
        <v>二闘 レッサとギガン</v>
      </c>
      <c r="G626" s="66">
        <v>2</v>
      </c>
      <c r="H626" s="66">
        <v>1</v>
      </c>
      <c r="I626" s="66">
        <v>1</v>
      </c>
    </row>
    <row r="627" spans="1:9" x14ac:dyDescent="0.15">
      <c r="A627" s="66">
        <v>460</v>
      </c>
      <c r="B627" s="3" t="str">
        <f ca="1">VLOOKUP($A627,OFFSET([2]characters!$A$1,0,0,COUNTA([2]characters!$A:$A),MATCH(B$1,[2]characters!$1:$1,0)-MATCH($A$1,[2]characters!$1:$1,0)+1),MATCH(B$1,[2]characters!$1:$1,0)-MATCH($A$1,[2]characters!$1:$1,0)+1,FALSE)</f>
        <v>オズ</v>
      </c>
      <c r="C627" s="93">
        <f ca="1">VLOOKUP($A627,OFFSET(fork_awake_units!$A$1,0,0,COUNTA(fork_awake_units!$A:$A),MATCH(C$1,fork_awake_units!$1:$1,0)-MATCH($A$1,fork_awake_units!$1:$1,0)+1),MATCH(C$1,fork_awake_units!$1:$1,0)-MATCH($A$1,fork_awake_units!$1:$1,0)+1,FALSE)</f>
        <v>461</v>
      </c>
      <c r="D627" s="3" t="str">
        <f ca="1">VLOOKUP($C627,OFFSET([2]characters!$A$1,0,0,COUNTA([2]characters!$A:$A),MATCH(D$1,[2]characters!$1:$1,0)-MATCH($A$1,[2]characters!$1:$1,0)+1),MATCH(D$1,[2]characters!$1:$1,0)-MATCH($A$1,[2]characters!$1:$1,0)+1,FALSE)</f>
        <v>大いなる虚像 オズ</v>
      </c>
      <c r="E627" s="66">
        <v>456</v>
      </c>
      <c r="F627" s="3" t="str">
        <f ca="1">VLOOKUP($E627,OFFSET([2]characters!$A$1,0,0,COUNTA([2]characters!$A:$A),MATCH(F$1,[2]characters!$1:$1,0)-MATCH($A$1,[2]characters!$1:$1,0)+1),MATCH(F$1,[2]characters!$1:$1,0)-MATCH($A$1,[2]characters!$1:$1,0)+1,FALSE)</f>
        <v>射絶 ユヅル</v>
      </c>
      <c r="G627" s="66">
        <v>2</v>
      </c>
      <c r="H627" s="66">
        <v>1</v>
      </c>
      <c r="I627" s="66">
        <v>1</v>
      </c>
    </row>
    <row r="628" spans="1:9" x14ac:dyDescent="0.15">
      <c r="A628" s="66">
        <v>461</v>
      </c>
      <c r="B628" s="3" t="str">
        <f ca="1">VLOOKUP($A628,OFFSET([2]characters!$A$1,0,0,COUNTA([2]characters!$A:$A),MATCH(B$1,[2]characters!$1:$1,0)-MATCH($A$1,[2]characters!$1:$1,0)+1),MATCH(B$1,[2]characters!$1:$1,0)-MATCH($A$1,[2]characters!$1:$1,0)+1,FALSE)</f>
        <v>大いなる虚像 オズ</v>
      </c>
      <c r="C628" s="93">
        <f ca="1">VLOOKUP($A628,OFFSET(fork_awake_units!$A$1,0,0,COUNTA(fork_awake_units!$A:$A),MATCH(C$1,fork_awake_units!$1:$1,0)-MATCH($A$1,fork_awake_units!$1:$1,0)+1),MATCH(C$1,fork_awake_units!$1:$1,0)-MATCH($A$1,fork_awake_units!$1:$1,0)+1,FALSE)</f>
        <v>818</v>
      </c>
      <c r="D628" s="3" t="str">
        <f ca="1">VLOOKUP($C628,OFFSET([2]characters!$A$1,0,0,COUNTA([2]characters!$A:$A),MATCH(D$1,[2]characters!$1:$1,0)-MATCH($A$1,[2]characters!$1:$1,0)+1),MATCH(D$1,[2]characters!$1:$1,0)-MATCH($A$1,[2]characters!$1:$1,0)+1,FALSE)</f>
        <v>虚空を飾る大輪 オズ</v>
      </c>
      <c r="E628" s="66">
        <v>107</v>
      </c>
      <c r="F628" s="3" t="str">
        <f ca="1">VLOOKUP($E628,OFFSET([2]characters!$A$1,0,0,COUNTA([2]characters!$A:$A),MATCH(F$1,[2]characters!$1:$1,0)-MATCH($A$1,[2]characters!$1:$1,0)+1),MATCH(F$1,[2]characters!$1:$1,0)-MATCH($A$1,[2]characters!$1:$1,0)+1,FALSE)</f>
        <v>グリーンキャタップ</v>
      </c>
      <c r="G628" s="66">
        <v>1</v>
      </c>
      <c r="H628" s="66">
        <v>1</v>
      </c>
      <c r="I628" s="66">
        <v>1</v>
      </c>
    </row>
    <row r="629" spans="1:9" x14ac:dyDescent="0.15">
      <c r="A629" s="66">
        <v>461</v>
      </c>
      <c r="B629" s="3" t="str">
        <f ca="1">VLOOKUP($A629,OFFSET([2]characters!$A$1,0,0,COUNTA([2]characters!$A:$A),MATCH(B$1,[2]characters!$1:$1,0)-MATCH($A$1,[2]characters!$1:$1,0)+1),MATCH(B$1,[2]characters!$1:$1,0)-MATCH($A$1,[2]characters!$1:$1,0)+1,FALSE)</f>
        <v>大いなる虚像 オズ</v>
      </c>
      <c r="C629" s="93">
        <f ca="1">VLOOKUP($A629,OFFSET(fork_awake_units!$A$1,0,0,COUNTA(fork_awake_units!$A:$A),MATCH(C$1,fork_awake_units!$1:$1,0)-MATCH($A$1,fork_awake_units!$1:$1,0)+1),MATCH(C$1,fork_awake_units!$1:$1,0)-MATCH($A$1,fork_awake_units!$1:$1,0)+1,FALSE)</f>
        <v>818</v>
      </c>
      <c r="D629" s="3" t="str">
        <f ca="1">VLOOKUP($C629,OFFSET([2]characters!$A$1,0,0,COUNTA([2]characters!$A:$A),MATCH(D$1,[2]characters!$1:$1,0)-MATCH($A$1,[2]characters!$1:$1,0)+1),MATCH(D$1,[2]characters!$1:$1,0)-MATCH($A$1,[2]characters!$1:$1,0)+1,FALSE)</f>
        <v>虚空を飾る大輪 オズ</v>
      </c>
      <c r="E629" s="66">
        <v>108</v>
      </c>
      <c r="F629" s="3" t="str">
        <f ca="1">VLOOKUP($E629,OFFSET([2]characters!$A$1,0,0,COUNTA([2]characters!$A:$A),MATCH(F$1,[2]characters!$1:$1,0)-MATCH($A$1,[2]characters!$1:$1,0)+1),MATCH(F$1,[2]characters!$1:$1,0)-MATCH($A$1,[2]characters!$1:$1,0)+1,FALSE)</f>
        <v>森のマッドハッター</v>
      </c>
      <c r="G629" s="66">
        <v>1</v>
      </c>
      <c r="H629" s="66">
        <v>1</v>
      </c>
      <c r="I629" s="66">
        <v>1</v>
      </c>
    </row>
    <row r="630" spans="1:9" x14ac:dyDescent="0.15">
      <c r="A630" s="66">
        <v>461</v>
      </c>
      <c r="B630" s="3" t="str">
        <f ca="1">VLOOKUP($A630,OFFSET([2]characters!$A$1,0,0,COUNTA([2]characters!$A:$A),MATCH(B$1,[2]characters!$1:$1,0)-MATCH($A$1,[2]characters!$1:$1,0)+1),MATCH(B$1,[2]characters!$1:$1,0)-MATCH($A$1,[2]characters!$1:$1,0)+1,FALSE)</f>
        <v>大いなる虚像 オズ</v>
      </c>
      <c r="C630" s="93">
        <f ca="1">VLOOKUP($A630,OFFSET(fork_awake_units!$A$1,0,0,COUNTA(fork_awake_units!$A:$A),MATCH(C$1,fork_awake_units!$1:$1,0)-MATCH($A$1,fork_awake_units!$1:$1,0)+1),MATCH(C$1,fork_awake_units!$1:$1,0)-MATCH($A$1,fork_awake_units!$1:$1,0)+1,FALSE)</f>
        <v>818</v>
      </c>
      <c r="D630" s="3" t="str">
        <f ca="1">VLOOKUP($C630,OFFSET([2]characters!$A$1,0,0,COUNTA([2]characters!$A:$A),MATCH(D$1,[2]characters!$1:$1,0)-MATCH($A$1,[2]characters!$1:$1,0)+1),MATCH(D$1,[2]characters!$1:$1,0)-MATCH($A$1,[2]characters!$1:$1,0)+1,FALSE)</f>
        <v>虚空を飾る大輪 オズ</v>
      </c>
      <c r="E630" s="66">
        <v>357</v>
      </c>
      <c r="F630" s="3" t="str">
        <f ca="1">VLOOKUP($E630,OFFSET([2]characters!$A$1,0,0,COUNTA([2]characters!$A:$A),MATCH(F$1,[2]characters!$1:$1,0)-MATCH($A$1,[2]characters!$1:$1,0)+1),MATCH(F$1,[2]characters!$1:$1,0)-MATCH($A$1,[2]characters!$1:$1,0)+1,FALSE)</f>
        <v>千風のグリフォン</v>
      </c>
      <c r="G630" s="66">
        <v>1</v>
      </c>
      <c r="H630" s="66">
        <v>1</v>
      </c>
      <c r="I630" s="66">
        <v>1</v>
      </c>
    </row>
    <row r="631" spans="1:9" x14ac:dyDescent="0.15">
      <c r="A631" s="66">
        <v>461</v>
      </c>
      <c r="B631" s="3" t="str">
        <f ca="1">VLOOKUP($A631,OFFSET([2]characters!$A$1,0,0,COUNTA([2]characters!$A:$A),MATCH(B$1,[2]characters!$1:$1,0)-MATCH($A$1,[2]characters!$1:$1,0)+1),MATCH(B$1,[2]characters!$1:$1,0)-MATCH($A$1,[2]characters!$1:$1,0)+1,FALSE)</f>
        <v>大いなる虚像 オズ</v>
      </c>
      <c r="C631" s="93">
        <f ca="1">VLOOKUP($A631,OFFSET(fork_awake_units!$A$1,0,0,COUNTA(fork_awake_units!$A:$A),MATCH(C$1,fork_awake_units!$1:$1,0)-MATCH($A$1,fork_awake_units!$1:$1,0)+1),MATCH(C$1,fork_awake_units!$1:$1,0)-MATCH($A$1,fork_awake_units!$1:$1,0)+1,FALSE)</f>
        <v>818</v>
      </c>
      <c r="D631" s="3" t="str">
        <f ca="1">VLOOKUP($C631,OFFSET([2]characters!$A$1,0,0,COUNTA([2]characters!$A:$A),MATCH(D$1,[2]characters!$1:$1,0)-MATCH($A$1,[2]characters!$1:$1,0)+1),MATCH(D$1,[2]characters!$1:$1,0)-MATCH($A$1,[2]characters!$1:$1,0)+1,FALSE)</f>
        <v>虚空を飾る大輪 オズ</v>
      </c>
      <c r="E631" s="66">
        <v>837</v>
      </c>
      <c r="F631" s="3" t="str">
        <f ca="1">VLOOKUP($E631,OFFSET([2]characters!$A$1,0,0,COUNTA([2]characters!$A:$A),MATCH(F$1,[2]characters!$1:$1,0)-MATCH($A$1,[2]characters!$1:$1,0)+1),MATCH(F$1,[2]characters!$1:$1,0)-MATCH($A$1,[2]characters!$1:$1,0)+1,FALSE)</f>
        <v>リトルハンプティ</v>
      </c>
      <c r="G631" s="66">
        <v>1</v>
      </c>
      <c r="H631" s="66">
        <v>1</v>
      </c>
      <c r="I631" s="66">
        <v>1</v>
      </c>
    </row>
    <row r="632" spans="1:9" x14ac:dyDescent="0.15">
      <c r="A632" s="66">
        <v>462</v>
      </c>
      <c r="B632" s="3" t="str">
        <f ca="1">VLOOKUP($A632,OFFSET([2]characters!$A$1,0,0,COUNTA([2]characters!$A:$A),MATCH(B$1,[2]characters!$1:$1,0)-MATCH($A$1,[2]characters!$1:$1,0)+1),MATCH(B$1,[2]characters!$1:$1,0)-MATCH($A$1,[2]characters!$1:$1,0)+1,FALSE)</f>
        <v>ガウェイン</v>
      </c>
      <c r="C632" s="93">
        <f ca="1">VLOOKUP($A632,OFFSET(fork_awake_units!$A$1,0,0,COUNTA(fork_awake_units!$A:$A),MATCH(C$1,fork_awake_units!$1:$1,0)-MATCH($A$1,fork_awake_units!$1:$1,0)+1),MATCH(C$1,fork_awake_units!$1:$1,0)-MATCH($A$1,fork_awake_units!$1:$1,0)+1,FALSE)</f>
        <v>463</v>
      </c>
      <c r="D632" s="3" t="str">
        <f ca="1">VLOOKUP($C632,OFFSET([2]characters!$A$1,0,0,COUNTA([2]characters!$A:$A),MATCH(D$1,[2]characters!$1:$1,0)-MATCH($A$1,[2]characters!$1:$1,0)+1),MATCH(D$1,[2]characters!$1:$1,0)-MATCH($A$1,[2]characters!$1:$1,0)+1,FALSE)</f>
        <v>燻銀 ガウェイン</v>
      </c>
      <c r="E632" s="66">
        <v>102</v>
      </c>
      <c r="F632" s="3" t="str">
        <f ca="1">VLOOKUP($E632,OFFSET([2]characters!$A$1,0,0,COUNTA([2]characters!$A:$A),MATCH(F$1,[2]characters!$1:$1,0)-MATCH($A$1,[2]characters!$1:$1,0)+1),MATCH(F$1,[2]characters!$1:$1,0)-MATCH($A$1,[2]characters!$1:$1,0)+1,FALSE)</f>
        <v>レッドラビット</v>
      </c>
      <c r="G632" s="66">
        <v>1</v>
      </c>
      <c r="H632" s="66">
        <v>1</v>
      </c>
      <c r="I632" s="66">
        <v>1</v>
      </c>
    </row>
    <row r="633" spans="1:9" x14ac:dyDescent="0.15">
      <c r="A633" s="66">
        <v>462</v>
      </c>
      <c r="B633" s="3" t="str">
        <f ca="1">VLOOKUP($A633,OFFSET([2]characters!$A$1,0,0,COUNTA([2]characters!$A:$A),MATCH(B$1,[2]characters!$1:$1,0)-MATCH($A$1,[2]characters!$1:$1,0)+1),MATCH(B$1,[2]characters!$1:$1,0)-MATCH($A$1,[2]characters!$1:$1,0)+1,FALSE)</f>
        <v>ガウェイン</v>
      </c>
      <c r="C633" s="93">
        <f ca="1">VLOOKUP($A633,OFFSET(fork_awake_units!$A$1,0,0,COUNTA(fork_awake_units!$A:$A),MATCH(C$1,fork_awake_units!$1:$1,0)-MATCH($A$1,fork_awake_units!$1:$1,0)+1),MATCH(C$1,fork_awake_units!$1:$1,0)-MATCH($A$1,fork_awake_units!$1:$1,0)+1,FALSE)</f>
        <v>463</v>
      </c>
      <c r="D633" s="3" t="str">
        <f ca="1">VLOOKUP($C633,OFFSET([2]characters!$A$1,0,0,COUNTA([2]characters!$A:$A),MATCH(D$1,[2]characters!$1:$1,0)-MATCH($A$1,[2]characters!$1:$1,0)+1),MATCH(D$1,[2]characters!$1:$1,0)-MATCH($A$1,[2]characters!$1:$1,0)+1,FALSE)</f>
        <v>燻銀 ガウェイン</v>
      </c>
      <c r="E633" s="66">
        <v>103</v>
      </c>
      <c r="F633" s="3" t="str">
        <f ca="1">VLOOKUP($E633,OFFSET([2]characters!$A$1,0,0,COUNTA([2]characters!$A:$A),MATCH(F$1,[2]characters!$1:$1,0)-MATCH($A$1,[2]characters!$1:$1,0)+1),MATCH(F$1,[2]characters!$1:$1,0)-MATCH($A$1,[2]characters!$1:$1,0)+1,FALSE)</f>
        <v>レッドキャタップ</v>
      </c>
      <c r="G633" s="66">
        <v>3</v>
      </c>
      <c r="H633" s="66">
        <v>1</v>
      </c>
      <c r="I633" s="66">
        <v>1</v>
      </c>
    </row>
    <row r="634" spans="1:9" x14ac:dyDescent="0.15">
      <c r="A634" s="66">
        <v>463</v>
      </c>
      <c r="B634" s="3" t="str">
        <f ca="1">VLOOKUP($A634,OFFSET([2]characters!$A$1,0,0,COUNTA([2]characters!$A:$A),MATCH(B$1,[2]characters!$1:$1,0)-MATCH($A$1,[2]characters!$1:$1,0)+1),MATCH(B$1,[2]characters!$1:$1,0)-MATCH($A$1,[2]characters!$1:$1,0)+1,FALSE)</f>
        <v>燻銀 ガウェイン</v>
      </c>
      <c r="C634" s="93">
        <f ca="1">VLOOKUP($A634,OFFSET(fork_awake_units!$A$1,0,0,COUNTA(fork_awake_units!$A:$A),MATCH(C$1,fork_awake_units!$1:$1,0)-MATCH($A$1,fork_awake_units!$1:$1,0)+1),MATCH(C$1,fork_awake_units!$1:$1,0)-MATCH($A$1,fork_awake_units!$1:$1,0)+1,FALSE)</f>
        <v>464</v>
      </c>
      <c r="D634" s="3" t="str">
        <f ca="1">VLOOKUP($C634,OFFSET([2]characters!$A$1,0,0,COUNTA([2]characters!$A:$A),MATCH(D$1,[2]characters!$1:$1,0)-MATCH($A$1,[2]characters!$1:$1,0)+1),MATCH(D$1,[2]characters!$1:$1,0)-MATCH($A$1,[2]characters!$1:$1,0)+1,FALSE)</f>
        <v>円熟の弾導 ガウェイン</v>
      </c>
      <c r="E634" s="66">
        <v>102</v>
      </c>
      <c r="F634" s="3" t="str">
        <f ca="1">VLOOKUP($E634,OFFSET([2]characters!$A$1,0,0,COUNTA([2]characters!$A:$A),MATCH(F$1,[2]characters!$1:$1,0)-MATCH($A$1,[2]characters!$1:$1,0)+1),MATCH(F$1,[2]characters!$1:$1,0)-MATCH($A$1,[2]characters!$1:$1,0)+1,FALSE)</f>
        <v>レッドラビット</v>
      </c>
      <c r="G634" s="66">
        <v>1</v>
      </c>
      <c r="H634" s="66">
        <v>1</v>
      </c>
      <c r="I634" s="66">
        <v>1</v>
      </c>
    </row>
    <row r="635" spans="1:9" x14ac:dyDescent="0.15">
      <c r="A635" s="66">
        <v>463</v>
      </c>
      <c r="B635" s="3" t="str">
        <f ca="1">VLOOKUP($A635,OFFSET([2]characters!$A$1,0,0,COUNTA([2]characters!$A:$A),MATCH(B$1,[2]characters!$1:$1,0)-MATCH($A$1,[2]characters!$1:$1,0)+1),MATCH(B$1,[2]characters!$1:$1,0)-MATCH($A$1,[2]characters!$1:$1,0)+1,FALSE)</f>
        <v>燻銀 ガウェイン</v>
      </c>
      <c r="C635" s="93">
        <f ca="1">VLOOKUP($A635,OFFSET(fork_awake_units!$A$1,0,0,COUNTA(fork_awake_units!$A:$A),MATCH(C$1,fork_awake_units!$1:$1,0)-MATCH($A$1,fork_awake_units!$1:$1,0)+1),MATCH(C$1,fork_awake_units!$1:$1,0)-MATCH($A$1,fork_awake_units!$1:$1,0)+1,FALSE)</f>
        <v>464</v>
      </c>
      <c r="D635" s="3" t="str">
        <f ca="1">VLOOKUP($C635,OFFSET([2]characters!$A$1,0,0,COUNTA([2]characters!$A:$A),MATCH(D$1,[2]characters!$1:$1,0)-MATCH($A$1,[2]characters!$1:$1,0)+1),MATCH(D$1,[2]characters!$1:$1,0)-MATCH($A$1,[2]characters!$1:$1,0)+1,FALSE)</f>
        <v>円熟の弾導 ガウェイン</v>
      </c>
      <c r="E635" s="66">
        <v>103</v>
      </c>
      <c r="F635" s="3" t="str">
        <f ca="1">VLOOKUP($E635,OFFSET([2]characters!$A$1,0,0,COUNTA([2]characters!$A:$A),MATCH(F$1,[2]characters!$1:$1,0)-MATCH($A$1,[2]characters!$1:$1,0)+1),MATCH(F$1,[2]characters!$1:$1,0)-MATCH($A$1,[2]characters!$1:$1,0)+1,FALSE)</f>
        <v>レッドキャタップ</v>
      </c>
      <c r="G635" s="66">
        <v>2</v>
      </c>
      <c r="H635" s="66">
        <v>1</v>
      </c>
      <c r="I635" s="66">
        <v>1</v>
      </c>
    </row>
    <row r="636" spans="1:9" x14ac:dyDescent="0.15">
      <c r="A636" s="66">
        <v>463</v>
      </c>
      <c r="B636" s="3" t="str">
        <f ca="1">VLOOKUP($A636,OFFSET([2]characters!$A$1,0,0,COUNTA([2]characters!$A:$A),MATCH(B$1,[2]characters!$1:$1,0)-MATCH($A$1,[2]characters!$1:$1,0)+1),MATCH(B$1,[2]characters!$1:$1,0)-MATCH($A$1,[2]characters!$1:$1,0)+1,FALSE)</f>
        <v>燻銀 ガウェイン</v>
      </c>
      <c r="C636" s="93">
        <f ca="1">VLOOKUP($A636,OFFSET(fork_awake_units!$A$1,0,0,COUNTA(fork_awake_units!$A:$A),MATCH(C$1,fork_awake_units!$1:$1,0)-MATCH($A$1,fork_awake_units!$1:$1,0)+1),MATCH(C$1,fork_awake_units!$1:$1,0)-MATCH($A$1,fork_awake_units!$1:$1,0)+1,FALSE)</f>
        <v>464</v>
      </c>
      <c r="D636" s="3" t="str">
        <f ca="1">VLOOKUP($C636,OFFSET([2]characters!$A$1,0,0,COUNTA([2]characters!$A:$A),MATCH(D$1,[2]characters!$1:$1,0)-MATCH($A$1,[2]characters!$1:$1,0)+1),MATCH(D$1,[2]characters!$1:$1,0)-MATCH($A$1,[2]characters!$1:$1,0)+1,FALSE)</f>
        <v>円熟の弾導 ガウェイン</v>
      </c>
      <c r="E636" s="66">
        <v>104</v>
      </c>
      <c r="F636" s="3" t="str">
        <f ca="1">VLOOKUP($E636,OFFSET([2]characters!$A$1,0,0,COUNTA([2]characters!$A:$A),MATCH(F$1,[2]characters!$1:$1,0)-MATCH($A$1,[2]characters!$1:$1,0)+1),MATCH(F$1,[2]characters!$1:$1,0)-MATCH($A$1,[2]characters!$1:$1,0)+1,FALSE)</f>
        <v>炎のマッドハッター</v>
      </c>
      <c r="G636" s="66">
        <v>2</v>
      </c>
      <c r="H636" s="66">
        <v>1</v>
      </c>
      <c r="I636" s="66">
        <v>1</v>
      </c>
    </row>
    <row r="637" spans="1:9" x14ac:dyDescent="0.15">
      <c r="A637" s="66">
        <v>465</v>
      </c>
      <c r="B637" s="3" t="str">
        <f ca="1">VLOOKUP($A637,OFFSET([2]characters!$A$1,0,0,COUNTA([2]characters!$A:$A),MATCH(B$1,[2]characters!$1:$1,0)-MATCH($A$1,[2]characters!$1:$1,0)+1),MATCH(B$1,[2]characters!$1:$1,0)-MATCH($A$1,[2]characters!$1:$1,0)+1,FALSE)</f>
        <v>真撃 ランスロット</v>
      </c>
      <c r="C637" s="93">
        <f ca="1">VLOOKUP($A637,OFFSET(fork_awake_units!$A$1,0,0,COUNTA(fork_awake_units!$A:$A),MATCH(C$1,fork_awake_units!$1:$1,0)-MATCH($A$1,fork_awake_units!$1:$1,0)+1),MATCH(C$1,fork_awake_units!$1:$1,0)-MATCH($A$1,fork_awake_units!$1:$1,0)+1,FALSE)</f>
        <v>466</v>
      </c>
      <c r="D637" s="3" t="str">
        <f ca="1">VLOOKUP($C637,OFFSET([2]characters!$A$1,0,0,COUNTA([2]characters!$A:$A),MATCH(D$1,[2]characters!$1:$1,0)-MATCH($A$1,[2]characters!$1:$1,0)+1),MATCH(D$1,[2]characters!$1:$1,0)-MATCH($A$1,[2]characters!$1:$1,0)+1,FALSE)</f>
        <v>真断の勇覇 ランスロット</v>
      </c>
      <c r="E637" s="66">
        <v>107</v>
      </c>
      <c r="F637" s="3" t="str">
        <f ca="1">VLOOKUP($E637,OFFSET([2]characters!$A$1,0,0,COUNTA([2]characters!$A:$A),MATCH(F$1,[2]characters!$1:$1,0)-MATCH($A$1,[2]characters!$1:$1,0)+1),MATCH(F$1,[2]characters!$1:$1,0)-MATCH($A$1,[2]characters!$1:$1,0)+1,FALSE)</f>
        <v>グリーンキャタップ</v>
      </c>
      <c r="G637" s="66">
        <v>2</v>
      </c>
      <c r="H637" s="66">
        <v>1</v>
      </c>
      <c r="I637" s="66">
        <v>1</v>
      </c>
    </row>
    <row r="638" spans="1:9" x14ac:dyDescent="0.15">
      <c r="A638" s="66">
        <v>465</v>
      </c>
      <c r="B638" s="3" t="str">
        <f ca="1">VLOOKUP($A638,OFFSET([2]characters!$A$1,0,0,COUNTA([2]characters!$A:$A),MATCH(B$1,[2]characters!$1:$1,0)-MATCH($A$1,[2]characters!$1:$1,0)+1),MATCH(B$1,[2]characters!$1:$1,0)-MATCH($A$1,[2]characters!$1:$1,0)+1,FALSE)</f>
        <v>真撃 ランスロット</v>
      </c>
      <c r="C638" s="93">
        <f ca="1">VLOOKUP($A638,OFFSET(fork_awake_units!$A$1,0,0,COUNTA(fork_awake_units!$A:$A),MATCH(C$1,fork_awake_units!$1:$1,0)-MATCH($A$1,fork_awake_units!$1:$1,0)+1),MATCH(C$1,fork_awake_units!$1:$1,0)-MATCH($A$1,fork_awake_units!$1:$1,0)+1,FALSE)</f>
        <v>466</v>
      </c>
      <c r="D638" s="3" t="str">
        <f ca="1">VLOOKUP($C638,OFFSET([2]characters!$A$1,0,0,COUNTA([2]characters!$A:$A),MATCH(D$1,[2]characters!$1:$1,0)-MATCH($A$1,[2]characters!$1:$1,0)+1),MATCH(D$1,[2]characters!$1:$1,0)-MATCH($A$1,[2]characters!$1:$1,0)+1,FALSE)</f>
        <v>真断の勇覇 ランスロット</v>
      </c>
      <c r="E638" s="66">
        <v>108</v>
      </c>
      <c r="F638" s="3" t="str">
        <f ca="1">VLOOKUP($E638,OFFSET([2]characters!$A$1,0,0,COUNTA([2]characters!$A:$A),MATCH(F$1,[2]characters!$1:$1,0)-MATCH($A$1,[2]characters!$1:$1,0)+1),MATCH(F$1,[2]characters!$1:$1,0)-MATCH($A$1,[2]characters!$1:$1,0)+1,FALSE)</f>
        <v>森のマッドハッター</v>
      </c>
      <c r="G638" s="66">
        <v>1</v>
      </c>
      <c r="H638" s="66">
        <v>1</v>
      </c>
      <c r="I638" s="66">
        <v>1</v>
      </c>
    </row>
    <row r="639" spans="1:9" x14ac:dyDescent="0.15">
      <c r="A639" s="66">
        <v>465</v>
      </c>
      <c r="B639" s="3" t="str">
        <f ca="1">VLOOKUP($A639,OFFSET([2]characters!$A$1,0,0,COUNTA([2]characters!$A:$A),MATCH(B$1,[2]characters!$1:$1,0)-MATCH($A$1,[2]characters!$1:$1,0)+1),MATCH(B$1,[2]characters!$1:$1,0)-MATCH($A$1,[2]characters!$1:$1,0)+1,FALSE)</f>
        <v>真撃 ランスロット</v>
      </c>
      <c r="C639" s="93">
        <f ca="1">VLOOKUP($A639,OFFSET(fork_awake_units!$A$1,0,0,COUNTA(fork_awake_units!$A:$A),MATCH(C$1,fork_awake_units!$1:$1,0)-MATCH($A$1,fork_awake_units!$1:$1,0)+1),MATCH(C$1,fork_awake_units!$1:$1,0)-MATCH($A$1,fork_awake_units!$1:$1,0)+1,FALSE)</f>
        <v>466</v>
      </c>
      <c r="D639" s="3" t="str">
        <f ca="1">VLOOKUP($C639,OFFSET([2]characters!$A$1,0,0,COUNTA([2]characters!$A:$A),MATCH(D$1,[2]characters!$1:$1,0)-MATCH($A$1,[2]characters!$1:$1,0)+1),MATCH(D$1,[2]characters!$1:$1,0)-MATCH($A$1,[2]characters!$1:$1,0)+1,FALSE)</f>
        <v>真断の勇覇 ランスロット</v>
      </c>
      <c r="E639" s="66">
        <v>264</v>
      </c>
      <c r="F639" s="3" t="str">
        <f ca="1">VLOOKUP($E639,OFFSET([2]characters!$A$1,0,0,COUNTA([2]characters!$A:$A),MATCH(F$1,[2]characters!$1:$1,0)-MATCH($A$1,[2]characters!$1:$1,0)+1),MATCH(F$1,[2]characters!$1:$1,0)-MATCH($A$1,[2]characters!$1:$1,0)+1,FALSE)</f>
        <v>ユニコーン</v>
      </c>
      <c r="G639" s="66">
        <v>1</v>
      </c>
      <c r="H639" s="66">
        <v>1</v>
      </c>
      <c r="I639" s="66">
        <v>1</v>
      </c>
    </row>
    <row r="640" spans="1:9" x14ac:dyDescent="0.15">
      <c r="A640" s="66">
        <v>465</v>
      </c>
      <c r="B640" s="3" t="str">
        <f ca="1">VLOOKUP($A640,OFFSET([2]characters!$A$1,0,0,COUNTA([2]characters!$A:$A),MATCH(B$1,[2]characters!$1:$1,0)-MATCH($A$1,[2]characters!$1:$1,0)+1),MATCH(B$1,[2]characters!$1:$1,0)-MATCH($A$1,[2]characters!$1:$1,0)+1,FALSE)</f>
        <v>真撃 ランスロット</v>
      </c>
      <c r="C640" s="93">
        <f ca="1">VLOOKUP($A640,OFFSET(fork_awake_units!$A$1,0,0,COUNTA(fork_awake_units!$A:$A),MATCH(C$1,fork_awake_units!$1:$1,0)-MATCH($A$1,fork_awake_units!$1:$1,0)+1),MATCH(C$1,fork_awake_units!$1:$1,0)-MATCH($A$1,fork_awake_units!$1:$1,0)+1,FALSE)</f>
        <v>466</v>
      </c>
      <c r="D640" s="3" t="str">
        <f ca="1">VLOOKUP($C640,OFFSET([2]characters!$A$1,0,0,COUNTA([2]characters!$A:$A),MATCH(D$1,[2]characters!$1:$1,0)-MATCH($A$1,[2]characters!$1:$1,0)+1),MATCH(D$1,[2]characters!$1:$1,0)-MATCH($A$1,[2]characters!$1:$1,0)+1,FALSE)</f>
        <v>真断の勇覇 ランスロット</v>
      </c>
      <c r="E640" s="66">
        <v>420</v>
      </c>
      <c r="F640" s="3" t="str">
        <f ca="1">VLOOKUP($E640,OFFSET([2]characters!$A$1,0,0,COUNTA([2]characters!$A:$A),MATCH(F$1,[2]characters!$1:$1,0)-MATCH($A$1,[2]characters!$1:$1,0)+1),MATCH(F$1,[2]characters!$1:$1,0)-MATCH($A$1,[2]characters!$1:$1,0)+1,FALSE)</f>
        <v>カエデ</v>
      </c>
      <c r="G640" s="66">
        <v>1</v>
      </c>
      <c r="H640" s="66">
        <v>1</v>
      </c>
      <c r="I640" s="66">
        <v>1</v>
      </c>
    </row>
    <row r="641" spans="1:9" x14ac:dyDescent="0.15">
      <c r="A641" s="66">
        <v>467</v>
      </c>
      <c r="B641" s="3" t="str">
        <f ca="1">VLOOKUP($A641,OFFSET([2]characters!$A$1,0,0,COUNTA([2]characters!$A:$A),MATCH(B$1,[2]characters!$1:$1,0)-MATCH($A$1,[2]characters!$1:$1,0)+1),MATCH(B$1,[2]characters!$1:$1,0)-MATCH($A$1,[2]characters!$1:$1,0)+1,FALSE)</f>
        <v>報復 モルドレッド</v>
      </c>
      <c r="C641" s="93">
        <f ca="1">VLOOKUP($A641,OFFSET(fork_awake_units!$A$1,0,0,COUNTA(fork_awake_units!$A:$A),MATCH(C$1,fork_awake_units!$1:$1,0)-MATCH($A$1,fork_awake_units!$1:$1,0)+1),MATCH(C$1,fork_awake_units!$1:$1,0)-MATCH($A$1,fork_awake_units!$1:$1,0)+1,FALSE)</f>
        <v>468</v>
      </c>
      <c r="D641" s="3" t="str">
        <f ca="1">VLOOKUP($C641,OFFSET([2]characters!$A$1,0,0,COUNTA([2]characters!$A:$A),MATCH(D$1,[2]characters!$1:$1,0)-MATCH($A$1,[2]characters!$1:$1,0)+1),MATCH(D$1,[2]characters!$1:$1,0)-MATCH($A$1,[2]characters!$1:$1,0)+1,FALSE)</f>
        <v>憎愛の尖鋒 モルドレッド</v>
      </c>
      <c r="E641" s="66">
        <v>111</v>
      </c>
      <c r="F641" s="3" t="str">
        <f ca="1">VLOOKUP($E641,OFFSET([2]characters!$A$1,0,0,COUNTA([2]characters!$A:$A),MATCH(F$1,[2]characters!$1:$1,0)-MATCH($A$1,[2]characters!$1:$1,0)+1),MATCH(F$1,[2]characters!$1:$1,0)-MATCH($A$1,[2]characters!$1:$1,0)+1,FALSE)</f>
        <v>ブルーキャタップ</v>
      </c>
      <c r="G641" s="66">
        <v>2</v>
      </c>
      <c r="H641" s="66">
        <v>1</v>
      </c>
      <c r="I641" s="66">
        <v>1</v>
      </c>
    </row>
    <row r="642" spans="1:9" x14ac:dyDescent="0.15">
      <c r="A642" s="66">
        <v>467</v>
      </c>
      <c r="B642" s="3" t="str">
        <f ca="1">VLOOKUP($A642,OFFSET([2]characters!$A$1,0,0,COUNTA([2]characters!$A:$A),MATCH(B$1,[2]characters!$1:$1,0)-MATCH($A$1,[2]characters!$1:$1,0)+1),MATCH(B$1,[2]characters!$1:$1,0)-MATCH($A$1,[2]characters!$1:$1,0)+1,FALSE)</f>
        <v>報復 モルドレッド</v>
      </c>
      <c r="C642" s="93">
        <f ca="1">VLOOKUP($A642,OFFSET(fork_awake_units!$A$1,0,0,COUNTA(fork_awake_units!$A:$A),MATCH(C$1,fork_awake_units!$1:$1,0)-MATCH($A$1,fork_awake_units!$1:$1,0)+1),MATCH(C$1,fork_awake_units!$1:$1,0)-MATCH($A$1,fork_awake_units!$1:$1,0)+1,FALSE)</f>
        <v>468</v>
      </c>
      <c r="D642" s="3" t="str">
        <f ca="1">VLOOKUP($C642,OFFSET([2]characters!$A$1,0,0,COUNTA([2]characters!$A:$A),MATCH(D$1,[2]characters!$1:$1,0)-MATCH($A$1,[2]characters!$1:$1,0)+1),MATCH(D$1,[2]characters!$1:$1,0)-MATCH($A$1,[2]characters!$1:$1,0)+1,FALSE)</f>
        <v>憎愛の尖鋒 モルドレッド</v>
      </c>
      <c r="E642" s="66">
        <v>112</v>
      </c>
      <c r="F642" s="3" t="str">
        <f ca="1">VLOOKUP($E642,OFFSET([2]characters!$A$1,0,0,COUNTA([2]characters!$A:$A),MATCH(F$1,[2]characters!$1:$1,0)-MATCH($A$1,[2]characters!$1:$1,0)+1),MATCH(F$1,[2]characters!$1:$1,0)-MATCH($A$1,[2]characters!$1:$1,0)+1,FALSE)</f>
        <v>水のマッドハッター</v>
      </c>
      <c r="G642" s="66">
        <v>1</v>
      </c>
      <c r="H642" s="66">
        <v>1</v>
      </c>
      <c r="I642" s="66">
        <v>1</v>
      </c>
    </row>
    <row r="643" spans="1:9" x14ac:dyDescent="0.15">
      <c r="A643" s="66">
        <v>467</v>
      </c>
      <c r="B643" s="3" t="str">
        <f ca="1">VLOOKUP($A643,OFFSET([2]characters!$A$1,0,0,COUNTA([2]characters!$A:$A),MATCH(B$1,[2]characters!$1:$1,0)-MATCH($A$1,[2]characters!$1:$1,0)+1),MATCH(B$1,[2]characters!$1:$1,0)-MATCH($A$1,[2]characters!$1:$1,0)+1,FALSE)</f>
        <v>報復 モルドレッド</v>
      </c>
      <c r="C643" s="93">
        <f ca="1">VLOOKUP($A643,OFFSET(fork_awake_units!$A$1,0,0,COUNTA(fork_awake_units!$A:$A),MATCH(C$1,fork_awake_units!$1:$1,0)-MATCH($A$1,fork_awake_units!$1:$1,0)+1),MATCH(C$1,fork_awake_units!$1:$1,0)-MATCH($A$1,fork_awake_units!$1:$1,0)+1,FALSE)</f>
        <v>468</v>
      </c>
      <c r="D643" s="3" t="str">
        <f ca="1">VLOOKUP($C643,OFFSET([2]characters!$A$1,0,0,COUNTA([2]characters!$A:$A),MATCH(D$1,[2]characters!$1:$1,0)-MATCH($A$1,[2]characters!$1:$1,0)+1),MATCH(D$1,[2]characters!$1:$1,0)-MATCH($A$1,[2]characters!$1:$1,0)+1,FALSE)</f>
        <v>憎愛の尖鋒 モルドレッド</v>
      </c>
      <c r="E643" s="66">
        <v>302</v>
      </c>
      <c r="F643" s="3" t="str">
        <f ca="1">VLOOKUP($E643,OFFSET([2]characters!$A$1,0,0,COUNTA([2]characters!$A:$A),MATCH(F$1,[2]characters!$1:$1,0)-MATCH($A$1,[2]characters!$1:$1,0)+1),MATCH(F$1,[2]characters!$1:$1,0)-MATCH($A$1,[2]characters!$1:$1,0)+1,FALSE)</f>
        <v>絞殺のリサ</v>
      </c>
      <c r="G643" s="66">
        <v>1</v>
      </c>
      <c r="H643" s="66">
        <v>1</v>
      </c>
      <c r="I643" s="66">
        <v>1</v>
      </c>
    </row>
    <row r="644" spans="1:9" x14ac:dyDescent="0.15">
      <c r="A644" s="66">
        <v>467</v>
      </c>
      <c r="B644" s="3" t="str">
        <f ca="1">VLOOKUP($A644,OFFSET([2]characters!$A$1,0,0,COUNTA([2]characters!$A:$A),MATCH(B$1,[2]characters!$1:$1,0)-MATCH($A$1,[2]characters!$1:$1,0)+1),MATCH(B$1,[2]characters!$1:$1,0)-MATCH($A$1,[2]characters!$1:$1,0)+1,FALSE)</f>
        <v>報復 モルドレッド</v>
      </c>
      <c r="C644" s="93">
        <f ca="1">VLOOKUP($A644,OFFSET(fork_awake_units!$A$1,0,0,COUNTA(fork_awake_units!$A:$A),MATCH(C$1,fork_awake_units!$1:$1,0)-MATCH($A$1,fork_awake_units!$1:$1,0)+1),MATCH(C$1,fork_awake_units!$1:$1,0)-MATCH($A$1,fork_awake_units!$1:$1,0)+1,FALSE)</f>
        <v>468</v>
      </c>
      <c r="D644" s="3" t="str">
        <f ca="1">VLOOKUP($C644,OFFSET([2]characters!$A$1,0,0,COUNTA([2]characters!$A:$A),MATCH(D$1,[2]characters!$1:$1,0)-MATCH($A$1,[2]characters!$1:$1,0)+1),MATCH(D$1,[2]characters!$1:$1,0)-MATCH($A$1,[2]characters!$1:$1,0)+1,FALSE)</f>
        <v>憎愛の尖鋒 モルドレッド</v>
      </c>
      <c r="E644" s="66">
        <v>422</v>
      </c>
      <c r="F644" s="3" t="str">
        <f ca="1">VLOOKUP($E644,OFFSET([2]characters!$A$1,0,0,COUNTA([2]characters!$A:$A),MATCH(F$1,[2]characters!$1:$1,0)-MATCH($A$1,[2]characters!$1:$1,0)+1),MATCH(F$1,[2]characters!$1:$1,0)-MATCH($A$1,[2]characters!$1:$1,0)+1,FALSE)</f>
        <v>シュガフル</v>
      </c>
      <c r="G644" s="66">
        <v>1</v>
      </c>
      <c r="H644" s="66">
        <v>1</v>
      </c>
      <c r="I644" s="66">
        <v>1</v>
      </c>
    </row>
    <row r="645" spans="1:9" x14ac:dyDescent="0.15">
      <c r="A645" s="66">
        <v>468</v>
      </c>
      <c r="B645" s="3" t="str">
        <f ca="1">VLOOKUP($A645,OFFSET([2]characters!$A$1,0,0,COUNTA([2]characters!$A:$A),MATCH(B$1,[2]characters!$1:$1,0)-MATCH($A$1,[2]characters!$1:$1,0)+1),MATCH(B$1,[2]characters!$1:$1,0)-MATCH($A$1,[2]characters!$1:$1,0)+1,FALSE)</f>
        <v>憎愛の尖鋒 モルドレッド</v>
      </c>
      <c r="C645" s="93">
        <f ca="1">VLOOKUP($A645,OFFSET(fork_awake_units!$A$1,0,0,COUNTA(fork_awake_units!$A:$A),MATCH(C$1,fork_awake_units!$1:$1,0)-MATCH($A$1,fork_awake_units!$1:$1,0)+1),MATCH(C$1,fork_awake_units!$1:$1,0)-MATCH($A$1,fork_awake_units!$1:$1,0)+1,FALSE)</f>
        <v>819</v>
      </c>
      <c r="D645" s="3" t="str">
        <f ca="1">VLOOKUP($C645,OFFSET([2]characters!$A$1,0,0,COUNTA([2]characters!$A:$A),MATCH(D$1,[2]characters!$1:$1,0)-MATCH($A$1,[2]characters!$1:$1,0)+1),MATCH(D$1,[2]characters!$1:$1,0)-MATCH($A$1,[2]characters!$1:$1,0)+1,FALSE)</f>
        <v>讐命の我突 モルドレッド</v>
      </c>
      <c r="E645" s="66">
        <v>110</v>
      </c>
      <c r="F645" s="3" t="str">
        <f ca="1">VLOOKUP($E645,OFFSET([2]characters!$A$1,0,0,COUNTA([2]characters!$A:$A),MATCH(F$1,[2]characters!$1:$1,0)-MATCH($A$1,[2]characters!$1:$1,0)+1),MATCH(F$1,[2]characters!$1:$1,0)-MATCH($A$1,[2]characters!$1:$1,0)+1,FALSE)</f>
        <v>ブルーラビット</v>
      </c>
      <c r="G645" s="66">
        <v>1</v>
      </c>
      <c r="H645" s="66">
        <v>1</v>
      </c>
      <c r="I645" s="66">
        <v>1</v>
      </c>
    </row>
    <row r="646" spans="1:9" x14ac:dyDescent="0.15">
      <c r="A646" s="66">
        <v>468</v>
      </c>
      <c r="B646" s="3" t="str">
        <f ca="1">VLOOKUP($A646,OFFSET([2]characters!$A$1,0,0,COUNTA([2]characters!$A:$A),MATCH(B$1,[2]characters!$1:$1,0)-MATCH($A$1,[2]characters!$1:$1,0)+1),MATCH(B$1,[2]characters!$1:$1,0)-MATCH($A$1,[2]characters!$1:$1,0)+1,FALSE)</f>
        <v>憎愛の尖鋒 モルドレッド</v>
      </c>
      <c r="C646" s="93">
        <f ca="1">VLOOKUP($A646,OFFSET(fork_awake_units!$A$1,0,0,COUNTA(fork_awake_units!$A:$A),MATCH(C$1,fork_awake_units!$1:$1,0)-MATCH($A$1,fork_awake_units!$1:$1,0)+1),MATCH(C$1,fork_awake_units!$1:$1,0)-MATCH($A$1,fork_awake_units!$1:$1,0)+1,FALSE)</f>
        <v>819</v>
      </c>
      <c r="D646" s="3" t="str">
        <f ca="1">VLOOKUP($C646,OFFSET([2]characters!$A$1,0,0,COUNTA([2]characters!$A:$A),MATCH(D$1,[2]characters!$1:$1,0)-MATCH($A$1,[2]characters!$1:$1,0)+1),MATCH(D$1,[2]characters!$1:$1,0)-MATCH($A$1,[2]characters!$1:$1,0)+1,FALSE)</f>
        <v>讐命の我突 モルドレッド</v>
      </c>
      <c r="E646" s="66">
        <v>111</v>
      </c>
      <c r="F646" s="3" t="str">
        <f ca="1">VLOOKUP($E646,OFFSET([2]characters!$A$1,0,0,COUNTA([2]characters!$A:$A),MATCH(F$1,[2]characters!$1:$1,0)-MATCH($A$1,[2]characters!$1:$1,0)+1),MATCH(F$1,[2]characters!$1:$1,0)-MATCH($A$1,[2]characters!$1:$1,0)+1,FALSE)</f>
        <v>ブルーキャタップ</v>
      </c>
      <c r="G646" s="66">
        <v>1</v>
      </c>
      <c r="H646" s="66">
        <v>1</v>
      </c>
      <c r="I646" s="66">
        <v>1</v>
      </c>
    </row>
    <row r="647" spans="1:9" x14ac:dyDescent="0.15">
      <c r="A647" s="66">
        <v>468</v>
      </c>
      <c r="B647" s="3" t="str">
        <f ca="1">VLOOKUP($A647,OFFSET([2]characters!$A$1,0,0,COUNTA([2]characters!$A:$A),MATCH(B$1,[2]characters!$1:$1,0)-MATCH($A$1,[2]characters!$1:$1,0)+1),MATCH(B$1,[2]characters!$1:$1,0)-MATCH($A$1,[2]characters!$1:$1,0)+1,FALSE)</f>
        <v>憎愛の尖鋒 モルドレッド</v>
      </c>
      <c r="C647" s="93">
        <f ca="1">VLOOKUP($A647,OFFSET(fork_awake_units!$A$1,0,0,COUNTA(fork_awake_units!$A:$A),MATCH(C$1,fork_awake_units!$1:$1,0)-MATCH($A$1,fork_awake_units!$1:$1,0)+1),MATCH(C$1,fork_awake_units!$1:$1,0)-MATCH($A$1,fork_awake_units!$1:$1,0)+1,FALSE)</f>
        <v>819</v>
      </c>
      <c r="D647" s="3" t="str">
        <f ca="1">VLOOKUP($C647,OFFSET([2]characters!$A$1,0,0,COUNTA([2]characters!$A:$A),MATCH(D$1,[2]characters!$1:$1,0)-MATCH($A$1,[2]characters!$1:$1,0)+1),MATCH(D$1,[2]characters!$1:$1,0)-MATCH($A$1,[2]characters!$1:$1,0)+1,FALSE)</f>
        <v>讐命の我突 モルドレッド</v>
      </c>
      <c r="E647" s="66">
        <v>112</v>
      </c>
      <c r="F647" s="3" t="str">
        <f ca="1">VLOOKUP($E647,OFFSET([2]characters!$A$1,0,0,COUNTA([2]characters!$A:$A),MATCH(F$1,[2]characters!$1:$1,0)-MATCH($A$1,[2]characters!$1:$1,0)+1),MATCH(F$1,[2]characters!$1:$1,0)-MATCH($A$1,[2]characters!$1:$1,0)+1,FALSE)</f>
        <v>水のマッドハッター</v>
      </c>
      <c r="G647" s="66">
        <v>1</v>
      </c>
      <c r="H647" s="66">
        <v>1</v>
      </c>
      <c r="I647" s="66">
        <v>1</v>
      </c>
    </row>
    <row r="648" spans="1:9" x14ac:dyDescent="0.15">
      <c r="A648" s="66">
        <v>468</v>
      </c>
      <c r="B648" s="3" t="str">
        <f ca="1">VLOOKUP($A648,OFFSET([2]characters!$A$1,0,0,COUNTA([2]characters!$A:$A),MATCH(B$1,[2]characters!$1:$1,0)-MATCH($A$1,[2]characters!$1:$1,0)+1),MATCH(B$1,[2]characters!$1:$1,0)-MATCH($A$1,[2]characters!$1:$1,0)+1,FALSE)</f>
        <v>憎愛の尖鋒 モルドレッド</v>
      </c>
      <c r="C648" s="93">
        <f ca="1">VLOOKUP($A648,OFFSET(fork_awake_units!$A$1,0,0,COUNTA(fork_awake_units!$A:$A),MATCH(C$1,fork_awake_units!$1:$1,0)-MATCH($A$1,fork_awake_units!$1:$1,0)+1),MATCH(C$1,fork_awake_units!$1:$1,0)-MATCH($A$1,fork_awake_units!$1:$1,0)+1,FALSE)</f>
        <v>819</v>
      </c>
      <c r="D648" s="3" t="str">
        <f ca="1">VLOOKUP($C648,OFFSET([2]characters!$A$1,0,0,COUNTA([2]characters!$A:$A),MATCH(D$1,[2]characters!$1:$1,0)-MATCH($A$1,[2]characters!$1:$1,0)+1),MATCH(D$1,[2]characters!$1:$1,0)-MATCH($A$1,[2]characters!$1:$1,0)+1,FALSE)</f>
        <v>讐命の我突 モルドレッド</v>
      </c>
      <c r="E648" s="66">
        <v>837</v>
      </c>
      <c r="F648" s="3" t="str">
        <f ca="1">VLOOKUP($E648,OFFSET([2]characters!$A$1,0,0,COUNTA([2]characters!$A:$A),MATCH(F$1,[2]characters!$1:$1,0)-MATCH($A$1,[2]characters!$1:$1,0)+1),MATCH(F$1,[2]characters!$1:$1,0)-MATCH($A$1,[2]characters!$1:$1,0)+1,FALSE)</f>
        <v>リトルハンプティ</v>
      </c>
      <c r="G648" s="66">
        <v>1</v>
      </c>
      <c r="H648" s="66">
        <v>1</v>
      </c>
      <c r="I648" s="66">
        <v>1</v>
      </c>
    </row>
    <row r="649" spans="1:9" x14ac:dyDescent="0.15">
      <c r="A649" s="66">
        <v>469</v>
      </c>
      <c r="B649" s="3" t="str">
        <f ca="1">VLOOKUP($A649,OFFSET([2]characters!$A$1,0,0,COUNTA([2]characters!$A:$A),MATCH(B$1,[2]characters!$1:$1,0)-MATCH($A$1,[2]characters!$1:$1,0)+1),MATCH(B$1,[2]characters!$1:$1,0)-MATCH($A$1,[2]characters!$1:$1,0)+1,FALSE)</f>
        <v>トリスタン</v>
      </c>
      <c r="C649" s="93">
        <f ca="1">VLOOKUP($A649,OFFSET(fork_awake_units!$A$1,0,0,COUNTA(fork_awake_units!$A:$A),MATCH(C$1,fork_awake_units!$1:$1,0)-MATCH($A$1,fork_awake_units!$1:$1,0)+1),MATCH(C$1,fork_awake_units!$1:$1,0)-MATCH($A$1,fork_awake_units!$1:$1,0)+1,FALSE)</f>
        <v>470</v>
      </c>
      <c r="D649" s="3" t="str">
        <f ca="1">VLOOKUP($C649,OFFSET([2]characters!$A$1,0,0,COUNTA([2]characters!$A:$A),MATCH(D$1,[2]characters!$1:$1,0)-MATCH($A$1,[2]characters!$1:$1,0)+1),MATCH(D$1,[2]characters!$1:$1,0)-MATCH($A$1,[2]characters!$1:$1,0)+1,FALSE)</f>
        <v>純心 トリスタン</v>
      </c>
      <c r="E649" s="66">
        <v>114</v>
      </c>
      <c r="F649" s="3" t="str">
        <f ca="1">VLOOKUP($E649,OFFSET([2]characters!$A$1,0,0,COUNTA([2]characters!$A:$A),MATCH(F$1,[2]characters!$1:$1,0)-MATCH($A$1,[2]characters!$1:$1,0)+1),MATCH(F$1,[2]characters!$1:$1,0)-MATCH($A$1,[2]characters!$1:$1,0)+1,FALSE)</f>
        <v>イエローラビット</v>
      </c>
      <c r="G649" s="66">
        <v>1</v>
      </c>
      <c r="H649" s="66">
        <v>1</v>
      </c>
      <c r="I649" s="66">
        <v>1</v>
      </c>
    </row>
    <row r="650" spans="1:9" x14ac:dyDescent="0.15">
      <c r="A650" s="66">
        <v>469</v>
      </c>
      <c r="B650" s="3" t="str">
        <f ca="1">VLOOKUP($A650,OFFSET([2]characters!$A$1,0,0,COUNTA([2]characters!$A:$A),MATCH(B$1,[2]characters!$1:$1,0)-MATCH($A$1,[2]characters!$1:$1,0)+1),MATCH(B$1,[2]characters!$1:$1,0)-MATCH($A$1,[2]characters!$1:$1,0)+1,FALSE)</f>
        <v>トリスタン</v>
      </c>
      <c r="C650" s="93">
        <f ca="1">VLOOKUP($A650,OFFSET(fork_awake_units!$A$1,0,0,COUNTA(fork_awake_units!$A:$A),MATCH(C$1,fork_awake_units!$1:$1,0)-MATCH($A$1,fork_awake_units!$1:$1,0)+1),MATCH(C$1,fork_awake_units!$1:$1,0)-MATCH($A$1,fork_awake_units!$1:$1,0)+1,FALSE)</f>
        <v>470</v>
      </c>
      <c r="D650" s="3" t="str">
        <f ca="1">VLOOKUP($C650,OFFSET([2]characters!$A$1,0,0,COUNTA([2]characters!$A:$A),MATCH(D$1,[2]characters!$1:$1,0)-MATCH($A$1,[2]characters!$1:$1,0)+1),MATCH(D$1,[2]characters!$1:$1,0)-MATCH($A$1,[2]characters!$1:$1,0)+1,FALSE)</f>
        <v>純心 トリスタン</v>
      </c>
      <c r="E650" s="66">
        <v>115</v>
      </c>
      <c r="F650" s="3" t="str">
        <f ca="1">VLOOKUP($E650,OFFSET([2]characters!$A$1,0,0,COUNTA([2]characters!$A:$A),MATCH(F$1,[2]characters!$1:$1,0)-MATCH($A$1,[2]characters!$1:$1,0)+1),MATCH(F$1,[2]characters!$1:$1,0)-MATCH($A$1,[2]characters!$1:$1,0)+1,FALSE)</f>
        <v>イエローキャタップ</v>
      </c>
      <c r="G650" s="66">
        <v>3</v>
      </c>
      <c r="H650" s="66">
        <v>1</v>
      </c>
      <c r="I650" s="66">
        <v>1</v>
      </c>
    </row>
    <row r="651" spans="1:9" x14ac:dyDescent="0.15">
      <c r="A651" s="66">
        <v>470</v>
      </c>
      <c r="B651" s="3" t="str">
        <f ca="1">VLOOKUP($A651,OFFSET([2]characters!$A$1,0,0,COUNTA([2]characters!$A:$A),MATCH(B$1,[2]characters!$1:$1,0)-MATCH($A$1,[2]characters!$1:$1,0)+1),MATCH(B$1,[2]characters!$1:$1,0)-MATCH($A$1,[2]characters!$1:$1,0)+1,FALSE)</f>
        <v>純心 トリスタン</v>
      </c>
      <c r="C651" s="93">
        <f ca="1">VLOOKUP($A651,OFFSET(fork_awake_units!$A$1,0,0,COUNTA(fork_awake_units!$A:$A),MATCH(C$1,fork_awake_units!$1:$1,0)-MATCH($A$1,fork_awake_units!$1:$1,0)+1),MATCH(C$1,fork_awake_units!$1:$1,0)-MATCH($A$1,fork_awake_units!$1:$1,0)+1,FALSE)</f>
        <v>471</v>
      </c>
      <c r="D651" s="3" t="str">
        <f ca="1">VLOOKUP($C651,OFFSET([2]characters!$A$1,0,0,COUNTA([2]characters!$A:$A),MATCH(D$1,[2]characters!$1:$1,0)-MATCH($A$1,[2]characters!$1:$1,0)+1),MATCH(D$1,[2]characters!$1:$1,0)-MATCH($A$1,[2]characters!$1:$1,0)+1,FALSE)</f>
        <v>不可避の爆激 トリスタン</v>
      </c>
      <c r="E651" s="66">
        <v>114</v>
      </c>
      <c r="F651" s="3" t="str">
        <f ca="1">VLOOKUP($E651,OFFSET([2]characters!$A$1,0,0,COUNTA([2]characters!$A:$A),MATCH(F$1,[2]characters!$1:$1,0)-MATCH($A$1,[2]characters!$1:$1,0)+1),MATCH(F$1,[2]characters!$1:$1,0)-MATCH($A$1,[2]characters!$1:$1,0)+1,FALSE)</f>
        <v>イエローラビット</v>
      </c>
      <c r="G651" s="66">
        <v>1</v>
      </c>
      <c r="H651" s="66">
        <v>1</v>
      </c>
      <c r="I651" s="66">
        <v>1</v>
      </c>
    </row>
    <row r="652" spans="1:9" x14ac:dyDescent="0.15">
      <c r="A652" s="66">
        <v>470</v>
      </c>
      <c r="B652" s="3" t="str">
        <f ca="1">VLOOKUP($A652,OFFSET([2]characters!$A$1,0,0,COUNTA([2]characters!$A:$A),MATCH(B$1,[2]characters!$1:$1,0)-MATCH($A$1,[2]characters!$1:$1,0)+1),MATCH(B$1,[2]characters!$1:$1,0)-MATCH($A$1,[2]characters!$1:$1,0)+1,FALSE)</f>
        <v>純心 トリスタン</v>
      </c>
      <c r="C652" s="93">
        <f ca="1">VLOOKUP($A652,OFFSET(fork_awake_units!$A$1,0,0,COUNTA(fork_awake_units!$A:$A),MATCH(C$1,fork_awake_units!$1:$1,0)-MATCH($A$1,fork_awake_units!$1:$1,0)+1),MATCH(C$1,fork_awake_units!$1:$1,0)-MATCH($A$1,fork_awake_units!$1:$1,0)+1,FALSE)</f>
        <v>471</v>
      </c>
      <c r="D652" s="3" t="str">
        <f ca="1">VLOOKUP($C652,OFFSET([2]characters!$A$1,0,0,COUNTA([2]characters!$A:$A),MATCH(D$1,[2]characters!$1:$1,0)-MATCH($A$1,[2]characters!$1:$1,0)+1),MATCH(D$1,[2]characters!$1:$1,0)-MATCH($A$1,[2]characters!$1:$1,0)+1,FALSE)</f>
        <v>不可避の爆激 トリスタン</v>
      </c>
      <c r="E652" s="66">
        <v>115</v>
      </c>
      <c r="F652" s="3" t="str">
        <f ca="1">VLOOKUP($E652,OFFSET([2]characters!$A$1,0,0,COUNTA([2]characters!$A:$A),MATCH(F$1,[2]characters!$1:$1,0)-MATCH($A$1,[2]characters!$1:$1,0)+1),MATCH(F$1,[2]characters!$1:$1,0)-MATCH($A$1,[2]characters!$1:$1,0)+1,FALSE)</f>
        <v>イエローキャタップ</v>
      </c>
      <c r="G652" s="66">
        <v>2</v>
      </c>
      <c r="H652" s="66">
        <v>1</v>
      </c>
      <c r="I652" s="66">
        <v>1</v>
      </c>
    </row>
    <row r="653" spans="1:9" x14ac:dyDescent="0.15">
      <c r="A653" s="66">
        <v>470</v>
      </c>
      <c r="B653" s="3" t="str">
        <f ca="1">VLOOKUP($A653,OFFSET([2]characters!$A$1,0,0,COUNTA([2]characters!$A:$A),MATCH(B$1,[2]characters!$1:$1,0)-MATCH($A$1,[2]characters!$1:$1,0)+1),MATCH(B$1,[2]characters!$1:$1,0)-MATCH($A$1,[2]characters!$1:$1,0)+1,FALSE)</f>
        <v>純心 トリスタン</v>
      </c>
      <c r="C653" s="93">
        <f ca="1">VLOOKUP($A653,OFFSET(fork_awake_units!$A$1,0,0,COUNTA(fork_awake_units!$A:$A),MATCH(C$1,fork_awake_units!$1:$1,0)-MATCH($A$1,fork_awake_units!$1:$1,0)+1),MATCH(C$1,fork_awake_units!$1:$1,0)-MATCH($A$1,fork_awake_units!$1:$1,0)+1,FALSE)</f>
        <v>471</v>
      </c>
      <c r="D653" s="3" t="str">
        <f ca="1">VLOOKUP($C653,OFFSET([2]characters!$A$1,0,0,COUNTA([2]characters!$A:$A),MATCH(D$1,[2]characters!$1:$1,0)-MATCH($A$1,[2]characters!$1:$1,0)+1),MATCH(D$1,[2]characters!$1:$1,0)-MATCH($A$1,[2]characters!$1:$1,0)+1,FALSE)</f>
        <v>不可避の爆激 トリスタン</v>
      </c>
      <c r="E653" s="66">
        <v>116</v>
      </c>
      <c r="F653" s="3" t="str">
        <f ca="1">VLOOKUP($E653,OFFSET([2]characters!$A$1,0,0,COUNTA([2]characters!$A:$A),MATCH(F$1,[2]characters!$1:$1,0)-MATCH($A$1,[2]characters!$1:$1,0)+1),MATCH(F$1,[2]characters!$1:$1,0)-MATCH($A$1,[2]characters!$1:$1,0)+1,FALSE)</f>
        <v>雷のマッドハッター</v>
      </c>
      <c r="G653" s="66">
        <v>2</v>
      </c>
      <c r="H653" s="66">
        <v>1</v>
      </c>
      <c r="I653" s="66">
        <v>1</v>
      </c>
    </row>
    <row r="654" spans="1:9" x14ac:dyDescent="0.15">
      <c r="A654" s="66">
        <v>472</v>
      </c>
      <c r="B654" s="3" t="str">
        <f ca="1">VLOOKUP($A654,OFFSET([2]characters!$A$1,0,0,COUNTA([2]characters!$A:$A),MATCH(B$1,[2]characters!$1:$1,0)-MATCH($A$1,[2]characters!$1:$1,0)+1),MATCH(B$1,[2]characters!$1:$1,0)-MATCH($A$1,[2]characters!$1:$1,0)+1,FALSE)</f>
        <v>アーサー</v>
      </c>
      <c r="C654" s="93">
        <f ca="1">VLOOKUP($A654,OFFSET(fork_awake_units!$A$1,0,0,COUNTA(fork_awake_units!$A:$A),MATCH(C$1,fork_awake_units!$1:$1,0)-MATCH($A$1,fork_awake_units!$1:$1,0)+1),MATCH(C$1,fork_awake_units!$1:$1,0)-MATCH($A$1,fork_awake_units!$1:$1,0)+1,FALSE)</f>
        <v>473</v>
      </c>
      <c r="D654" s="3" t="str">
        <f ca="1">VLOOKUP($C654,OFFSET([2]characters!$A$1,0,0,COUNTA([2]characters!$A:$A),MATCH(D$1,[2]characters!$1:$1,0)-MATCH($A$1,[2]characters!$1:$1,0)+1),MATCH(D$1,[2]characters!$1:$1,0)-MATCH($A$1,[2]characters!$1:$1,0)+1,FALSE)</f>
        <v>凶堅なる正義 アーサー</v>
      </c>
      <c r="E654" s="66">
        <v>104</v>
      </c>
      <c r="F654" s="3" t="str">
        <f ca="1">VLOOKUP($E654,OFFSET([2]characters!$A$1,0,0,COUNTA([2]characters!$A:$A),MATCH(F$1,[2]characters!$1:$1,0)-MATCH($A$1,[2]characters!$1:$1,0)+1),MATCH(F$1,[2]characters!$1:$1,0)-MATCH($A$1,[2]characters!$1:$1,0)+1,FALSE)</f>
        <v>炎のマッドハッター</v>
      </c>
      <c r="G654" s="66">
        <v>1</v>
      </c>
      <c r="H654" s="66">
        <v>1</v>
      </c>
      <c r="I654" s="66">
        <v>1</v>
      </c>
    </row>
    <row r="655" spans="1:9" x14ac:dyDescent="0.15">
      <c r="A655" s="66">
        <v>472</v>
      </c>
      <c r="B655" s="3" t="str">
        <f ca="1">VLOOKUP($A655,OFFSET([2]characters!$A$1,0,0,COUNTA([2]characters!$A:$A),MATCH(B$1,[2]characters!$1:$1,0)-MATCH($A$1,[2]characters!$1:$1,0)+1),MATCH(B$1,[2]characters!$1:$1,0)-MATCH($A$1,[2]characters!$1:$1,0)+1,FALSE)</f>
        <v>アーサー</v>
      </c>
      <c r="C655" s="93">
        <f ca="1">VLOOKUP($A655,OFFSET(fork_awake_units!$A$1,0,0,COUNTA(fork_awake_units!$A:$A),MATCH(C$1,fork_awake_units!$1:$1,0)-MATCH($A$1,fork_awake_units!$1:$1,0)+1),MATCH(C$1,fork_awake_units!$1:$1,0)-MATCH($A$1,fork_awake_units!$1:$1,0)+1,FALSE)</f>
        <v>473</v>
      </c>
      <c r="D655" s="3" t="str">
        <f ca="1">VLOOKUP($C655,OFFSET([2]characters!$A$1,0,0,COUNTA([2]characters!$A:$A),MATCH(D$1,[2]characters!$1:$1,0)-MATCH($A$1,[2]characters!$1:$1,0)+1),MATCH(D$1,[2]characters!$1:$1,0)-MATCH($A$1,[2]characters!$1:$1,0)+1,FALSE)</f>
        <v>凶堅なる正義 アーサー</v>
      </c>
      <c r="E655" s="66">
        <v>452</v>
      </c>
      <c r="F655" s="3" t="str">
        <f ca="1">VLOOKUP($E655,OFFSET([2]characters!$A$1,0,0,COUNTA([2]characters!$A:$A),MATCH(F$1,[2]characters!$1:$1,0)-MATCH($A$1,[2]characters!$1:$1,0)+1),MATCH(F$1,[2]characters!$1:$1,0)-MATCH($A$1,[2]characters!$1:$1,0)+1,FALSE)</f>
        <v>猛狐 エゾ</v>
      </c>
      <c r="G655" s="66">
        <v>2</v>
      </c>
      <c r="H655" s="66">
        <v>1</v>
      </c>
      <c r="I655" s="66">
        <v>1</v>
      </c>
    </row>
    <row r="656" spans="1:9" x14ac:dyDescent="0.15">
      <c r="A656" s="66">
        <v>472</v>
      </c>
      <c r="B656" s="3" t="str">
        <f ca="1">VLOOKUP($A656,OFFSET([2]characters!$A$1,0,0,COUNTA([2]characters!$A:$A),MATCH(B$1,[2]characters!$1:$1,0)-MATCH($A$1,[2]characters!$1:$1,0)+1),MATCH(B$1,[2]characters!$1:$1,0)-MATCH($A$1,[2]characters!$1:$1,0)+1,FALSE)</f>
        <v>アーサー</v>
      </c>
      <c r="C656" s="93">
        <f ca="1">VLOOKUP($A656,OFFSET(fork_awake_units!$A$1,0,0,COUNTA(fork_awake_units!$A:$A),MATCH(C$1,fork_awake_units!$1:$1,0)-MATCH($A$1,fork_awake_units!$1:$1,0)+1),MATCH(C$1,fork_awake_units!$1:$1,0)-MATCH($A$1,fork_awake_units!$1:$1,0)+1,FALSE)</f>
        <v>473</v>
      </c>
      <c r="D656" s="3" t="str">
        <f ca="1">VLOOKUP($C656,OFFSET([2]characters!$A$1,0,0,COUNTA([2]characters!$A:$A),MATCH(D$1,[2]characters!$1:$1,0)-MATCH($A$1,[2]characters!$1:$1,0)+1),MATCH(D$1,[2]characters!$1:$1,0)-MATCH($A$1,[2]characters!$1:$1,0)+1,FALSE)</f>
        <v>凶堅なる正義 アーサー</v>
      </c>
      <c r="E656" s="66">
        <v>458</v>
      </c>
      <c r="F656" s="3" t="str">
        <f ca="1">VLOOKUP($E656,OFFSET([2]characters!$A$1,0,0,COUNTA([2]characters!$A:$A),MATCH(F$1,[2]characters!$1:$1,0)-MATCH($A$1,[2]characters!$1:$1,0)+1),MATCH(F$1,[2]characters!$1:$1,0)-MATCH($A$1,[2]characters!$1:$1,0)+1,FALSE)</f>
        <v>嵐龍 スガル</v>
      </c>
      <c r="G656" s="66">
        <v>2</v>
      </c>
      <c r="H656" s="66">
        <v>1</v>
      </c>
      <c r="I656" s="66">
        <v>1</v>
      </c>
    </row>
    <row r="657" spans="1:9" x14ac:dyDescent="0.15">
      <c r="A657" s="66">
        <v>473</v>
      </c>
      <c r="B657" s="3" t="str">
        <f ca="1">VLOOKUP($A657,OFFSET([2]characters!$A$1,0,0,COUNTA([2]characters!$A:$A),MATCH(B$1,[2]characters!$1:$1,0)-MATCH($A$1,[2]characters!$1:$1,0)+1),MATCH(B$1,[2]characters!$1:$1,0)-MATCH($A$1,[2]characters!$1:$1,0)+1,FALSE)</f>
        <v>凶堅なる正義 アーサー</v>
      </c>
      <c r="C657" s="93">
        <f ca="1">VLOOKUP($A657,OFFSET(fork_awake_units!$A$1,0,0,COUNTA(fork_awake_units!$A:$A),MATCH(C$1,fork_awake_units!$1:$1,0)-MATCH($A$1,fork_awake_units!$1:$1,0)+1),MATCH(C$1,fork_awake_units!$1:$1,0)-MATCH($A$1,fork_awake_units!$1:$1,0)+1,FALSE)</f>
        <v>820</v>
      </c>
      <c r="D657" s="3" t="str">
        <f ca="1">VLOOKUP($C657,OFFSET([2]characters!$A$1,0,0,COUNTA([2]characters!$A:$A),MATCH(D$1,[2]characters!$1:$1,0)-MATCH($A$1,[2]characters!$1:$1,0)+1),MATCH(D$1,[2]characters!$1:$1,0)-MATCH($A$1,[2]characters!$1:$1,0)+1,FALSE)</f>
        <v>凶心者の聖儀 アーサー</v>
      </c>
      <c r="E657" s="66">
        <v>103</v>
      </c>
      <c r="F657" s="3" t="str">
        <f ca="1">VLOOKUP($E657,OFFSET([2]characters!$A$1,0,0,COUNTA([2]characters!$A:$A),MATCH(F$1,[2]characters!$1:$1,0)-MATCH($A$1,[2]characters!$1:$1,0)+1),MATCH(F$1,[2]characters!$1:$1,0)-MATCH($A$1,[2]characters!$1:$1,0)+1,FALSE)</f>
        <v>レッドキャタップ</v>
      </c>
      <c r="G657" s="66">
        <v>1</v>
      </c>
      <c r="H657" s="66">
        <v>1</v>
      </c>
      <c r="I657" s="66">
        <v>1</v>
      </c>
    </row>
    <row r="658" spans="1:9" x14ac:dyDescent="0.15">
      <c r="A658" s="66">
        <v>473</v>
      </c>
      <c r="B658" s="3" t="str">
        <f ca="1">VLOOKUP($A658,OFFSET([2]characters!$A$1,0,0,COUNTA([2]characters!$A:$A),MATCH(B$1,[2]characters!$1:$1,0)-MATCH($A$1,[2]characters!$1:$1,0)+1),MATCH(B$1,[2]characters!$1:$1,0)-MATCH($A$1,[2]characters!$1:$1,0)+1,FALSE)</f>
        <v>凶堅なる正義 アーサー</v>
      </c>
      <c r="C658" s="93">
        <f ca="1">VLOOKUP($A658,OFFSET(fork_awake_units!$A$1,0,0,COUNTA(fork_awake_units!$A:$A),MATCH(C$1,fork_awake_units!$1:$1,0)-MATCH($A$1,fork_awake_units!$1:$1,0)+1),MATCH(C$1,fork_awake_units!$1:$1,0)-MATCH($A$1,fork_awake_units!$1:$1,0)+1,FALSE)</f>
        <v>820</v>
      </c>
      <c r="D658" s="3" t="str">
        <f ca="1">VLOOKUP($C658,OFFSET([2]characters!$A$1,0,0,COUNTA([2]characters!$A:$A),MATCH(D$1,[2]characters!$1:$1,0)-MATCH($A$1,[2]characters!$1:$1,0)+1),MATCH(D$1,[2]characters!$1:$1,0)-MATCH($A$1,[2]characters!$1:$1,0)+1,FALSE)</f>
        <v>凶心者の聖儀 アーサー</v>
      </c>
      <c r="E658" s="66">
        <v>104</v>
      </c>
      <c r="F658" s="3" t="str">
        <f ca="1">VLOOKUP($E658,OFFSET([2]characters!$A$1,0,0,COUNTA([2]characters!$A:$A),MATCH(F$1,[2]characters!$1:$1,0)-MATCH($A$1,[2]characters!$1:$1,0)+1),MATCH(F$1,[2]characters!$1:$1,0)-MATCH($A$1,[2]characters!$1:$1,0)+1,FALSE)</f>
        <v>炎のマッドハッター</v>
      </c>
      <c r="G658" s="66">
        <v>1</v>
      </c>
      <c r="H658" s="66">
        <v>1</v>
      </c>
      <c r="I658" s="66">
        <v>1</v>
      </c>
    </row>
    <row r="659" spans="1:9" x14ac:dyDescent="0.15">
      <c r="A659" s="66">
        <v>473</v>
      </c>
      <c r="B659" s="3" t="str">
        <f ca="1">VLOOKUP($A659,OFFSET([2]characters!$A$1,0,0,COUNTA([2]characters!$A:$A),MATCH(B$1,[2]characters!$1:$1,0)-MATCH($A$1,[2]characters!$1:$1,0)+1),MATCH(B$1,[2]characters!$1:$1,0)-MATCH($A$1,[2]characters!$1:$1,0)+1,FALSE)</f>
        <v>凶堅なる正義 アーサー</v>
      </c>
      <c r="C659" s="93">
        <f ca="1">VLOOKUP($A659,OFFSET(fork_awake_units!$A$1,0,0,COUNTA(fork_awake_units!$A:$A),MATCH(C$1,fork_awake_units!$1:$1,0)-MATCH($A$1,fork_awake_units!$1:$1,0)+1),MATCH(C$1,fork_awake_units!$1:$1,0)-MATCH($A$1,fork_awake_units!$1:$1,0)+1,FALSE)</f>
        <v>820</v>
      </c>
      <c r="D659" s="3" t="str">
        <f ca="1">VLOOKUP($C659,OFFSET([2]characters!$A$1,0,0,COUNTA([2]characters!$A:$A),MATCH(D$1,[2]characters!$1:$1,0)-MATCH($A$1,[2]characters!$1:$1,0)+1),MATCH(D$1,[2]characters!$1:$1,0)-MATCH($A$1,[2]characters!$1:$1,0)+1,FALSE)</f>
        <v>凶心者の聖儀 アーサー</v>
      </c>
      <c r="E659" s="66">
        <v>356</v>
      </c>
      <c r="F659" s="3" t="str">
        <f ca="1">VLOOKUP($E659,OFFSET([2]characters!$A$1,0,0,COUNTA([2]characters!$A:$A),MATCH(F$1,[2]characters!$1:$1,0)-MATCH($A$1,[2]characters!$1:$1,0)+1),MATCH(F$1,[2]characters!$1:$1,0)-MATCH($A$1,[2]characters!$1:$1,0)+1,FALSE)</f>
        <v>炎上のドードー</v>
      </c>
      <c r="G659" s="66">
        <v>1</v>
      </c>
      <c r="H659" s="66">
        <v>1</v>
      </c>
      <c r="I659" s="66">
        <v>1</v>
      </c>
    </row>
    <row r="660" spans="1:9" x14ac:dyDescent="0.15">
      <c r="A660" s="66">
        <v>473</v>
      </c>
      <c r="B660" s="3" t="str">
        <f ca="1">VLOOKUP($A660,OFFSET([2]characters!$A$1,0,0,COUNTA([2]characters!$A:$A),MATCH(B$1,[2]characters!$1:$1,0)-MATCH($A$1,[2]characters!$1:$1,0)+1),MATCH(B$1,[2]characters!$1:$1,0)-MATCH($A$1,[2]characters!$1:$1,0)+1,FALSE)</f>
        <v>凶堅なる正義 アーサー</v>
      </c>
      <c r="C660" s="93">
        <f ca="1">VLOOKUP($A660,OFFSET(fork_awake_units!$A$1,0,0,COUNTA(fork_awake_units!$A:$A),MATCH(C$1,fork_awake_units!$1:$1,0)-MATCH($A$1,fork_awake_units!$1:$1,0)+1),MATCH(C$1,fork_awake_units!$1:$1,0)-MATCH($A$1,fork_awake_units!$1:$1,0)+1,FALSE)</f>
        <v>820</v>
      </c>
      <c r="D660" s="3" t="str">
        <f ca="1">VLOOKUP($C660,OFFSET([2]characters!$A$1,0,0,COUNTA([2]characters!$A:$A),MATCH(D$1,[2]characters!$1:$1,0)-MATCH($A$1,[2]characters!$1:$1,0)+1),MATCH(D$1,[2]characters!$1:$1,0)-MATCH($A$1,[2]characters!$1:$1,0)+1,FALSE)</f>
        <v>凶心者の聖儀 アーサー</v>
      </c>
      <c r="E660" s="66">
        <v>837</v>
      </c>
      <c r="F660" s="3" t="str">
        <f ca="1">VLOOKUP($E660,OFFSET([2]characters!$A$1,0,0,COUNTA([2]characters!$A:$A),MATCH(F$1,[2]characters!$1:$1,0)-MATCH($A$1,[2]characters!$1:$1,0)+1),MATCH(F$1,[2]characters!$1:$1,0)-MATCH($A$1,[2]characters!$1:$1,0)+1,FALSE)</f>
        <v>リトルハンプティ</v>
      </c>
      <c r="G660" s="66">
        <v>1</v>
      </c>
      <c r="H660" s="66">
        <v>1</v>
      </c>
      <c r="I660" s="66">
        <v>1</v>
      </c>
    </row>
    <row r="661" spans="1:9" x14ac:dyDescent="0.15">
      <c r="A661" s="66">
        <v>474</v>
      </c>
      <c r="B661" s="3" t="str">
        <f ca="1">VLOOKUP($A661,OFFSET([2]characters!$A$1,0,0,COUNTA([2]characters!$A:$A),MATCH(B$1,[2]characters!$1:$1,0)-MATCH($A$1,[2]characters!$1:$1,0)+1),MATCH(B$1,[2]characters!$1:$1,0)-MATCH($A$1,[2]characters!$1:$1,0)+1,FALSE)</f>
        <v>キング・ドライグ</v>
      </c>
      <c r="C661" s="93">
        <f ca="1">VLOOKUP($A661,OFFSET(fork_awake_units!$A$1,0,0,COUNTA(fork_awake_units!$A:$A),MATCH(C$1,fork_awake_units!$1:$1,0)-MATCH($A$1,fork_awake_units!$1:$1,0)+1),MATCH(C$1,fork_awake_units!$1:$1,0)-MATCH($A$1,fork_awake_units!$1:$1,0)+1,FALSE)</f>
        <v>475</v>
      </c>
      <c r="D661" s="3" t="str">
        <f ca="1">VLOOKUP($C661,OFFSET([2]characters!$A$1,0,0,COUNTA([2]characters!$A:$A),MATCH(D$1,[2]characters!$1:$1,0)-MATCH($A$1,[2]characters!$1:$1,0)+1),MATCH(D$1,[2]characters!$1:$1,0)-MATCH($A$1,[2]characters!$1:$1,0)+1,FALSE)</f>
        <v>緋王 キング・ドライグ</v>
      </c>
      <c r="E661" s="66">
        <v>103</v>
      </c>
      <c r="F661" s="3" t="str">
        <f ca="1">VLOOKUP($E661,OFFSET([2]characters!$A$1,0,0,COUNTA([2]characters!$A:$A),MATCH(F$1,[2]characters!$1:$1,0)-MATCH($A$1,[2]characters!$1:$1,0)+1),MATCH(F$1,[2]characters!$1:$1,0)-MATCH($A$1,[2]characters!$1:$1,0)+1,FALSE)</f>
        <v>レッドキャタップ</v>
      </c>
      <c r="G661" s="66">
        <v>2</v>
      </c>
      <c r="H661" s="66">
        <v>1</v>
      </c>
      <c r="I661" s="66">
        <v>1</v>
      </c>
    </row>
    <row r="662" spans="1:9" x14ac:dyDescent="0.15">
      <c r="A662" s="66">
        <v>474</v>
      </c>
      <c r="B662" s="3" t="str">
        <f ca="1">VLOOKUP($A662,OFFSET([2]characters!$A$1,0,0,COUNTA([2]characters!$A:$A),MATCH(B$1,[2]characters!$1:$1,0)-MATCH($A$1,[2]characters!$1:$1,0)+1),MATCH(B$1,[2]characters!$1:$1,0)-MATCH($A$1,[2]characters!$1:$1,0)+1,FALSE)</f>
        <v>キング・ドライグ</v>
      </c>
      <c r="C662" s="93">
        <f ca="1">VLOOKUP($A662,OFFSET(fork_awake_units!$A$1,0,0,COUNTA(fork_awake_units!$A:$A),MATCH(C$1,fork_awake_units!$1:$1,0)-MATCH($A$1,fork_awake_units!$1:$1,0)+1),MATCH(C$1,fork_awake_units!$1:$1,0)-MATCH($A$1,fork_awake_units!$1:$1,0)+1,FALSE)</f>
        <v>475</v>
      </c>
      <c r="D662" s="3" t="str">
        <f ca="1">VLOOKUP($C662,OFFSET([2]characters!$A$1,0,0,COUNTA([2]characters!$A:$A),MATCH(D$1,[2]characters!$1:$1,0)-MATCH($A$1,[2]characters!$1:$1,0)+1),MATCH(D$1,[2]characters!$1:$1,0)-MATCH($A$1,[2]characters!$1:$1,0)+1,FALSE)</f>
        <v>緋王 キング・ドライグ</v>
      </c>
      <c r="E662" s="66">
        <v>104</v>
      </c>
      <c r="F662" s="3" t="str">
        <f ca="1">VLOOKUP($E662,OFFSET([2]characters!$A$1,0,0,COUNTA([2]characters!$A:$A),MATCH(F$1,[2]characters!$1:$1,0)-MATCH($A$1,[2]characters!$1:$1,0)+1),MATCH(F$1,[2]characters!$1:$1,0)-MATCH($A$1,[2]characters!$1:$1,0)+1,FALSE)</f>
        <v>炎のマッドハッター</v>
      </c>
      <c r="G662" s="66">
        <v>1</v>
      </c>
      <c r="H662" s="66">
        <v>1</v>
      </c>
      <c r="I662" s="66">
        <v>1</v>
      </c>
    </row>
    <row r="663" spans="1:9" x14ac:dyDescent="0.15">
      <c r="A663" s="66">
        <v>474</v>
      </c>
      <c r="B663" s="3" t="str">
        <f ca="1">VLOOKUP($A663,OFFSET([2]characters!$A$1,0,0,COUNTA([2]characters!$A:$A),MATCH(B$1,[2]characters!$1:$1,0)-MATCH($A$1,[2]characters!$1:$1,0)+1),MATCH(B$1,[2]characters!$1:$1,0)-MATCH($A$1,[2]characters!$1:$1,0)+1,FALSE)</f>
        <v>キング・ドライグ</v>
      </c>
      <c r="C663" s="93">
        <f ca="1">VLOOKUP($A663,OFFSET(fork_awake_units!$A$1,0,0,COUNTA(fork_awake_units!$A:$A),MATCH(C$1,fork_awake_units!$1:$1,0)-MATCH($A$1,fork_awake_units!$1:$1,0)+1),MATCH(C$1,fork_awake_units!$1:$1,0)-MATCH($A$1,fork_awake_units!$1:$1,0)+1,FALSE)</f>
        <v>475</v>
      </c>
      <c r="D663" s="3" t="str">
        <f ca="1">VLOOKUP($C663,OFFSET([2]characters!$A$1,0,0,COUNTA([2]characters!$A:$A),MATCH(D$1,[2]characters!$1:$1,0)-MATCH($A$1,[2]characters!$1:$1,0)+1),MATCH(D$1,[2]characters!$1:$1,0)-MATCH($A$1,[2]characters!$1:$1,0)+1,FALSE)</f>
        <v>緋王 キング・ドライグ</v>
      </c>
      <c r="E663" s="66">
        <v>286</v>
      </c>
      <c r="F663" s="3" t="str">
        <f ca="1">VLOOKUP($E663,OFFSET([2]characters!$A$1,0,0,COUNTA([2]characters!$A:$A),MATCH(F$1,[2]characters!$1:$1,0)-MATCH($A$1,[2]characters!$1:$1,0)+1),MATCH(F$1,[2]characters!$1:$1,0)-MATCH($A$1,[2]characters!$1:$1,0)+1,FALSE)</f>
        <v>ヒュドラ</v>
      </c>
      <c r="G663" s="66">
        <v>1</v>
      </c>
      <c r="H663" s="66">
        <v>1</v>
      </c>
      <c r="I663" s="66">
        <v>1</v>
      </c>
    </row>
    <row r="664" spans="1:9" x14ac:dyDescent="0.15">
      <c r="A664" s="66">
        <v>474</v>
      </c>
      <c r="B664" s="3" t="str">
        <f ca="1">VLOOKUP($A664,OFFSET([2]characters!$A$1,0,0,COUNTA([2]characters!$A:$A),MATCH(B$1,[2]characters!$1:$1,0)-MATCH($A$1,[2]characters!$1:$1,0)+1),MATCH(B$1,[2]characters!$1:$1,0)-MATCH($A$1,[2]characters!$1:$1,0)+1,FALSE)</f>
        <v>キング・ドライグ</v>
      </c>
      <c r="C664" s="93">
        <f ca="1">VLOOKUP($A664,OFFSET(fork_awake_units!$A$1,0,0,COUNTA(fork_awake_units!$A:$A),MATCH(C$1,fork_awake_units!$1:$1,0)-MATCH($A$1,fork_awake_units!$1:$1,0)+1),MATCH(C$1,fork_awake_units!$1:$1,0)-MATCH($A$1,fork_awake_units!$1:$1,0)+1,FALSE)</f>
        <v>475</v>
      </c>
      <c r="D664" s="3" t="str">
        <f ca="1">VLOOKUP($C664,OFFSET([2]characters!$A$1,0,0,COUNTA([2]characters!$A:$A),MATCH(D$1,[2]characters!$1:$1,0)-MATCH($A$1,[2]characters!$1:$1,0)+1),MATCH(D$1,[2]characters!$1:$1,0)-MATCH($A$1,[2]characters!$1:$1,0)+1,FALSE)</f>
        <v>緋王 キング・ドライグ</v>
      </c>
      <c r="E664" s="66">
        <v>458</v>
      </c>
      <c r="F664" s="3" t="str">
        <f ca="1">VLOOKUP($E664,OFFSET([2]characters!$A$1,0,0,COUNTA([2]characters!$A:$A),MATCH(F$1,[2]characters!$1:$1,0)-MATCH($A$1,[2]characters!$1:$1,0)+1),MATCH(F$1,[2]characters!$1:$1,0)-MATCH($A$1,[2]characters!$1:$1,0)+1,FALSE)</f>
        <v>嵐龍 スガル</v>
      </c>
      <c r="G664" s="66">
        <v>1</v>
      </c>
      <c r="H664" s="66">
        <v>1</v>
      </c>
      <c r="I664" s="66">
        <v>1</v>
      </c>
    </row>
    <row r="665" spans="1:9" x14ac:dyDescent="0.15">
      <c r="A665" s="66">
        <v>476</v>
      </c>
      <c r="B665" s="3" t="str">
        <f ca="1">VLOOKUP($A665,OFFSET([2]characters!$A$1,0,0,COUNTA([2]characters!$A:$A),MATCH(B$1,[2]characters!$1:$1,0)-MATCH($A$1,[2]characters!$1:$1,0)+1),MATCH(B$1,[2]characters!$1:$1,0)-MATCH($A$1,[2]characters!$1:$1,0)+1,FALSE)</f>
        <v>ファータ</v>
      </c>
      <c r="C665" s="93">
        <f ca="1">VLOOKUP($A665,OFFSET(fork_awake_units!$A$1,0,0,COUNTA(fork_awake_units!$A:$A),MATCH(C$1,fork_awake_units!$1:$1,0)-MATCH($A$1,fork_awake_units!$1:$1,0)+1),MATCH(C$1,fork_awake_units!$1:$1,0)-MATCH($A$1,fork_awake_units!$1:$1,0)+1,FALSE)</f>
        <v>477</v>
      </c>
      <c r="D665" s="3" t="str">
        <f ca="1">VLOOKUP($C665,OFFSET([2]characters!$A$1,0,0,COUNTA([2]characters!$A:$A),MATCH(D$1,[2]characters!$1:$1,0)-MATCH($A$1,[2]characters!$1:$1,0)+1),MATCH(D$1,[2]characters!$1:$1,0)-MATCH($A$1,[2]characters!$1:$1,0)+1,FALSE)</f>
        <v>愛羽妖精 ファータ</v>
      </c>
      <c r="E665" s="66">
        <v>106</v>
      </c>
      <c r="F665" s="3" t="str">
        <f ca="1">VLOOKUP($E665,OFFSET([2]characters!$A$1,0,0,COUNTA([2]characters!$A:$A),MATCH(F$1,[2]characters!$1:$1,0)-MATCH($A$1,[2]characters!$1:$1,0)+1),MATCH(F$1,[2]characters!$1:$1,0)-MATCH($A$1,[2]characters!$1:$1,0)+1,FALSE)</f>
        <v>グリーンラビット</v>
      </c>
      <c r="G665" s="66">
        <v>1</v>
      </c>
      <c r="H665" s="66">
        <v>1</v>
      </c>
      <c r="I665" s="66">
        <v>1</v>
      </c>
    </row>
    <row r="666" spans="1:9" x14ac:dyDescent="0.15">
      <c r="A666" s="66">
        <v>476</v>
      </c>
      <c r="B666" s="3" t="str">
        <f ca="1">VLOOKUP($A666,OFFSET([2]characters!$A$1,0,0,COUNTA([2]characters!$A:$A),MATCH(B$1,[2]characters!$1:$1,0)-MATCH($A$1,[2]characters!$1:$1,0)+1),MATCH(B$1,[2]characters!$1:$1,0)-MATCH($A$1,[2]characters!$1:$1,0)+1,FALSE)</f>
        <v>ファータ</v>
      </c>
      <c r="C666" s="93">
        <f ca="1">VLOOKUP($A666,OFFSET(fork_awake_units!$A$1,0,0,COUNTA(fork_awake_units!$A:$A),MATCH(C$1,fork_awake_units!$1:$1,0)-MATCH($A$1,fork_awake_units!$1:$1,0)+1),MATCH(C$1,fork_awake_units!$1:$1,0)-MATCH($A$1,fork_awake_units!$1:$1,0)+1,FALSE)</f>
        <v>477</v>
      </c>
      <c r="D666" s="3" t="str">
        <f ca="1">VLOOKUP($C666,OFFSET([2]characters!$A$1,0,0,COUNTA([2]characters!$A:$A),MATCH(D$1,[2]characters!$1:$1,0)-MATCH($A$1,[2]characters!$1:$1,0)+1),MATCH(D$1,[2]characters!$1:$1,0)-MATCH($A$1,[2]characters!$1:$1,0)+1,FALSE)</f>
        <v>愛羽妖精 ファータ</v>
      </c>
      <c r="E666" s="66">
        <v>107</v>
      </c>
      <c r="F666" s="3" t="str">
        <f ca="1">VLOOKUP($E666,OFFSET([2]characters!$A$1,0,0,COUNTA([2]characters!$A:$A),MATCH(F$1,[2]characters!$1:$1,0)-MATCH($A$1,[2]characters!$1:$1,0)+1),MATCH(F$1,[2]characters!$1:$1,0)-MATCH($A$1,[2]characters!$1:$1,0)+1,FALSE)</f>
        <v>グリーンキャタップ</v>
      </c>
      <c r="G666" s="66">
        <v>3</v>
      </c>
      <c r="H666" s="66">
        <v>1</v>
      </c>
      <c r="I666" s="66">
        <v>1</v>
      </c>
    </row>
    <row r="667" spans="1:9" x14ac:dyDescent="0.15">
      <c r="A667" s="66">
        <v>477</v>
      </c>
      <c r="B667" s="3" t="str">
        <f ca="1">VLOOKUP($A667,OFFSET([2]characters!$A$1,0,0,COUNTA([2]characters!$A:$A),MATCH(B$1,[2]characters!$1:$1,0)-MATCH($A$1,[2]characters!$1:$1,0)+1),MATCH(B$1,[2]characters!$1:$1,0)-MATCH($A$1,[2]characters!$1:$1,0)+1,FALSE)</f>
        <v>愛羽妖精 ファータ</v>
      </c>
      <c r="C667" s="93">
        <f ca="1">VLOOKUP($A667,OFFSET(fork_awake_units!$A$1,0,0,COUNTA(fork_awake_units!$A:$A),MATCH(C$1,fork_awake_units!$1:$1,0)-MATCH($A$1,fork_awake_units!$1:$1,0)+1),MATCH(C$1,fork_awake_units!$1:$1,0)-MATCH($A$1,fork_awake_units!$1:$1,0)+1,FALSE)</f>
        <v>478</v>
      </c>
      <c r="D667" s="3" t="str">
        <f ca="1">VLOOKUP($C667,OFFSET([2]characters!$A$1,0,0,COUNTA([2]characters!$A:$A),MATCH(D$1,[2]characters!$1:$1,0)-MATCH($A$1,[2]characters!$1:$1,0)+1),MATCH(D$1,[2]characters!$1:$1,0)-MATCH($A$1,[2]characters!$1:$1,0)+1,FALSE)</f>
        <v>時計仕掛けの愛羽妖精 ファータ</v>
      </c>
      <c r="E667" s="66">
        <v>106</v>
      </c>
      <c r="F667" s="3" t="str">
        <f ca="1">VLOOKUP($E667,OFFSET([2]characters!$A$1,0,0,COUNTA([2]characters!$A:$A),MATCH(F$1,[2]characters!$1:$1,0)-MATCH($A$1,[2]characters!$1:$1,0)+1),MATCH(F$1,[2]characters!$1:$1,0)-MATCH($A$1,[2]characters!$1:$1,0)+1,FALSE)</f>
        <v>グリーンラビット</v>
      </c>
      <c r="G667" s="66">
        <v>1</v>
      </c>
      <c r="H667" s="66">
        <v>1</v>
      </c>
      <c r="I667" s="66">
        <v>1</v>
      </c>
    </row>
    <row r="668" spans="1:9" x14ac:dyDescent="0.15">
      <c r="A668" s="66">
        <v>477</v>
      </c>
      <c r="B668" s="3" t="str">
        <f ca="1">VLOOKUP($A668,OFFSET([2]characters!$A$1,0,0,COUNTA([2]characters!$A:$A),MATCH(B$1,[2]characters!$1:$1,0)-MATCH($A$1,[2]characters!$1:$1,0)+1),MATCH(B$1,[2]characters!$1:$1,0)-MATCH($A$1,[2]characters!$1:$1,0)+1,FALSE)</f>
        <v>愛羽妖精 ファータ</v>
      </c>
      <c r="C668" s="93">
        <f ca="1">VLOOKUP($A668,OFFSET(fork_awake_units!$A$1,0,0,COUNTA(fork_awake_units!$A:$A),MATCH(C$1,fork_awake_units!$1:$1,0)-MATCH($A$1,fork_awake_units!$1:$1,0)+1),MATCH(C$1,fork_awake_units!$1:$1,0)-MATCH($A$1,fork_awake_units!$1:$1,0)+1,FALSE)</f>
        <v>478</v>
      </c>
      <c r="D668" s="3" t="str">
        <f ca="1">VLOOKUP($C668,OFFSET([2]characters!$A$1,0,0,COUNTA([2]characters!$A:$A),MATCH(D$1,[2]characters!$1:$1,0)-MATCH($A$1,[2]characters!$1:$1,0)+1),MATCH(D$1,[2]characters!$1:$1,0)-MATCH($A$1,[2]characters!$1:$1,0)+1,FALSE)</f>
        <v>時計仕掛けの愛羽妖精 ファータ</v>
      </c>
      <c r="E668" s="66">
        <v>107</v>
      </c>
      <c r="F668" s="3" t="str">
        <f ca="1">VLOOKUP($E668,OFFSET([2]characters!$A$1,0,0,COUNTA([2]characters!$A:$A),MATCH(F$1,[2]characters!$1:$1,0)-MATCH($A$1,[2]characters!$1:$1,0)+1),MATCH(F$1,[2]characters!$1:$1,0)-MATCH($A$1,[2]characters!$1:$1,0)+1,FALSE)</f>
        <v>グリーンキャタップ</v>
      </c>
      <c r="G668" s="66">
        <v>2</v>
      </c>
      <c r="H668" s="66">
        <v>1</v>
      </c>
      <c r="I668" s="66">
        <v>1</v>
      </c>
    </row>
    <row r="669" spans="1:9" x14ac:dyDescent="0.15">
      <c r="A669" s="66">
        <v>477</v>
      </c>
      <c r="B669" s="3" t="str">
        <f ca="1">VLOOKUP($A669,OFFSET([2]characters!$A$1,0,0,COUNTA([2]characters!$A:$A),MATCH(B$1,[2]characters!$1:$1,0)-MATCH($A$1,[2]characters!$1:$1,0)+1),MATCH(B$1,[2]characters!$1:$1,0)-MATCH($A$1,[2]characters!$1:$1,0)+1,FALSE)</f>
        <v>愛羽妖精 ファータ</v>
      </c>
      <c r="C669" s="93">
        <f ca="1">VLOOKUP($A669,OFFSET(fork_awake_units!$A$1,0,0,COUNTA(fork_awake_units!$A:$A),MATCH(C$1,fork_awake_units!$1:$1,0)-MATCH($A$1,fork_awake_units!$1:$1,0)+1),MATCH(C$1,fork_awake_units!$1:$1,0)-MATCH($A$1,fork_awake_units!$1:$1,0)+1,FALSE)</f>
        <v>478</v>
      </c>
      <c r="D669" s="3" t="str">
        <f ca="1">VLOOKUP($C669,OFFSET([2]characters!$A$1,0,0,COUNTA([2]characters!$A:$A),MATCH(D$1,[2]characters!$1:$1,0)-MATCH($A$1,[2]characters!$1:$1,0)+1),MATCH(D$1,[2]characters!$1:$1,0)-MATCH($A$1,[2]characters!$1:$1,0)+1,FALSE)</f>
        <v>時計仕掛けの愛羽妖精 ファータ</v>
      </c>
      <c r="E669" s="66">
        <v>108</v>
      </c>
      <c r="F669" s="3" t="str">
        <f ca="1">VLOOKUP($E669,OFFSET([2]characters!$A$1,0,0,COUNTA([2]characters!$A:$A),MATCH(F$1,[2]characters!$1:$1,0)-MATCH($A$1,[2]characters!$1:$1,0)+1),MATCH(F$1,[2]characters!$1:$1,0)-MATCH($A$1,[2]characters!$1:$1,0)+1,FALSE)</f>
        <v>森のマッドハッター</v>
      </c>
      <c r="G669" s="66">
        <v>2</v>
      </c>
      <c r="H669" s="66">
        <v>1</v>
      </c>
      <c r="I669" s="66">
        <v>1</v>
      </c>
    </row>
    <row r="670" spans="1:9" x14ac:dyDescent="0.15">
      <c r="A670" s="66">
        <v>479</v>
      </c>
      <c r="B670" s="3" t="str">
        <f ca="1">VLOOKUP($A670,OFFSET([2]characters!$A$1,0,0,COUNTA([2]characters!$A:$A),MATCH(B$1,[2]characters!$1:$1,0)-MATCH($A$1,[2]characters!$1:$1,0)+1),MATCH(B$1,[2]characters!$1:$1,0)-MATCH($A$1,[2]characters!$1:$1,0)+1,FALSE)</f>
        <v>フール</v>
      </c>
      <c r="C670" s="93">
        <f ca="1">VLOOKUP($A670,OFFSET(fork_awake_units!$A$1,0,0,COUNTA(fork_awake_units!$A:$A),MATCH(C$1,fork_awake_units!$1:$1,0)-MATCH($A$1,fork_awake_units!$1:$1,0)+1),MATCH(C$1,fork_awake_units!$1:$1,0)-MATCH($A$1,fork_awake_units!$1:$1,0)+1,FALSE)</f>
        <v>480</v>
      </c>
      <c r="D670" s="3" t="str">
        <f ca="1">VLOOKUP($C670,OFFSET([2]characters!$A$1,0,0,COUNTA([2]characters!$A:$A),MATCH(D$1,[2]characters!$1:$1,0)-MATCH($A$1,[2]characters!$1:$1,0)+1),MATCH(D$1,[2]characters!$1:$1,0)-MATCH($A$1,[2]characters!$1:$1,0)+1,FALSE)</f>
        <v>夢幻の愚者フール</v>
      </c>
      <c r="E670" s="66">
        <v>111</v>
      </c>
      <c r="F670" s="3" t="str">
        <f ca="1">VLOOKUP($E670,OFFSET([2]characters!$A$1,0,0,COUNTA([2]characters!$A:$A),MATCH(F$1,[2]characters!$1:$1,0)-MATCH($A$1,[2]characters!$1:$1,0)+1),MATCH(F$1,[2]characters!$1:$1,0)-MATCH($A$1,[2]characters!$1:$1,0)+1,FALSE)</f>
        <v>ブルーキャタップ</v>
      </c>
      <c r="G670" s="66">
        <v>2</v>
      </c>
      <c r="H670" s="66">
        <v>1</v>
      </c>
      <c r="I670" s="66">
        <v>1</v>
      </c>
    </row>
    <row r="671" spans="1:9" x14ac:dyDescent="0.15">
      <c r="A671" s="66">
        <v>479</v>
      </c>
      <c r="B671" s="3" t="str">
        <f ca="1">VLOOKUP($A671,OFFSET([2]characters!$A$1,0,0,COUNTA([2]characters!$A:$A),MATCH(B$1,[2]characters!$1:$1,0)-MATCH($A$1,[2]characters!$1:$1,0)+1),MATCH(B$1,[2]characters!$1:$1,0)-MATCH($A$1,[2]characters!$1:$1,0)+1,FALSE)</f>
        <v>フール</v>
      </c>
      <c r="C671" s="93">
        <f ca="1">VLOOKUP($A671,OFFSET(fork_awake_units!$A$1,0,0,COUNTA(fork_awake_units!$A:$A),MATCH(C$1,fork_awake_units!$1:$1,0)-MATCH($A$1,fork_awake_units!$1:$1,0)+1),MATCH(C$1,fork_awake_units!$1:$1,0)-MATCH($A$1,fork_awake_units!$1:$1,0)+1,FALSE)</f>
        <v>480</v>
      </c>
      <c r="D671" s="3" t="str">
        <f ca="1">VLOOKUP($C671,OFFSET([2]characters!$A$1,0,0,COUNTA([2]characters!$A:$A),MATCH(D$1,[2]characters!$1:$1,0)-MATCH($A$1,[2]characters!$1:$1,0)+1),MATCH(D$1,[2]characters!$1:$1,0)-MATCH($A$1,[2]characters!$1:$1,0)+1,FALSE)</f>
        <v>夢幻の愚者フール</v>
      </c>
      <c r="E671" s="66">
        <v>112</v>
      </c>
      <c r="F671" s="3" t="str">
        <f ca="1">VLOOKUP($E671,OFFSET([2]characters!$A$1,0,0,COUNTA([2]characters!$A:$A),MATCH(F$1,[2]characters!$1:$1,0)-MATCH($A$1,[2]characters!$1:$1,0)+1),MATCH(F$1,[2]characters!$1:$1,0)-MATCH($A$1,[2]characters!$1:$1,0)+1,FALSE)</f>
        <v>水のマッドハッター</v>
      </c>
      <c r="G671" s="66">
        <v>1</v>
      </c>
      <c r="H671" s="66">
        <v>1</v>
      </c>
      <c r="I671" s="66">
        <v>1</v>
      </c>
    </row>
    <row r="672" spans="1:9" x14ac:dyDescent="0.15">
      <c r="A672" s="66">
        <v>479</v>
      </c>
      <c r="B672" s="3" t="str">
        <f ca="1">VLOOKUP($A672,OFFSET([2]characters!$A$1,0,0,COUNTA([2]characters!$A:$A),MATCH(B$1,[2]characters!$1:$1,0)-MATCH($A$1,[2]characters!$1:$1,0)+1),MATCH(B$1,[2]characters!$1:$1,0)-MATCH($A$1,[2]characters!$1:$1,0)+1,FALSE)</f>
        <v>フール</v>
      </c>
      <c r="C672" s="93">
        <f ca="1">VLOOKUP($A672,OFFSET(fork_awake_units!$A$1,0,0,COUNTA(fork_awake_units!$A:$A),MATCH(C$1,fork_awake_units!$1:$1,0)-MATCH($A$1,fork_awake_units!$1:$1,0)+1),MATCH(C$1,fork_awake_units!$1:$1,0)-MATCH($A$1,fork_awake_units!$1:$1,0)+1,FALSE)</f>
        <v>480</v>
      </c>
      <c r="D672" s="3" t="str">
        <f ca="1">VLOOKUP($C672,OFFSET([2]characters!$A$1,0,0,COUNTA([2]characters!$A:$A),MATCH(D$1,[2]characters!$1:$1,0)-MATCH($A$1,[2]characters!$1:$1,0)+1),MATCH(D$1,[2]characters!$1:$1,0)-MATCH($A$1,[2]characters!$1:$1,0)+1,FALSE)</f>
        <v>夢幻の愚者フール</v>
      </c>
      <c r="E672" s="66">
        <v>272</v>
      </c>
      <c r="F672" s="3" t="str">
        <f ca="1">VLOOKUP($E672,OFFSET([2]characters!$A$1,0,0,COUNTA([2]characters!$A:$A),MATCH(F$1,[2]characters!$1:$1,0)-MATCH($A$1,[2]characters!$1:$1,0)+1),MATCH(F$1,[2]characters!$1:$1,0)-MATCH($A$1,[2]characters!$1:$1,0)+1,FALSE)</f>
        <v>魔札のシルベール</v>
      </c>
      <c r="G672" s="66">
        <v>1</v>
      </c>
      <c r="H672" s="66">
        <v>1</v>
      </c>
      <c r="I672" s="66">
        <v>1</v>
      </c>
    </row>
    <row r="673" spans="1:9" x14ac:dyDescent="0.15">
      <c r="A673" s="66">
        <v>479</v>
      </c>
      <c r="B673" s="3" t="str">
        <f ca="1">VLOOKUP($A673,OFFSET([2]characters!$A$1,0,0,COUNTA([2]characters!$A:$A),MATCH(B$1,[2]characters!$1:$1,0)-MATCH($A$1,[2]characters!$1:$1,0)+1),MATCH(B$1,[2]characters!$1:$1,0)-MATCH($A$1,[2]characters!$1:$1,0)+1,FALSE)</f>
        <v>フール</v>
      </c>
      <c r="C673" s="93">
        <f ca="1">VLOOKUP($A673,OFFSET(fork_awake_units!$A$1,0,0,COUNTA(fork_awake_units!$A:$A),MATCH(C$1,fork_awake_units!$1:$1,0)-MATCH($A$1,fork_awake_units!$1:$1,0)+1),MATCH(C$1,fork_awake_units!$1:$1,0)-MATCH($A$1,fork_awake_units!$1:$1,0)+1,FALSE)</f>
        <v>480</v>
      </c>
      <c r="D673" s="3" t="str">
        <f ca="1">VLOOKUP($C673,OFFSET([2]characters!$A$1,0,0,COUNTA([2]characters!$A:$A),MATCH(D$1,[2]characters!$1:$1,0)-MATCH($A$1,[2]characters!$1:$1,0)+1),MATCH(D$1,[2]characters!$1:$1,0)-MATCH($A$1,[2]characters!$1:$1,0)+1,FALSE)</f>
        <v>夢幻の愚者フール</v>
      </c>
      <c r="E673" s="66">
        <v>456</v>
      </c>
      <c r="F673" s="3" t="str">
        <f ca="1">VLOOKUP($E673,OFFSET([2]characters!$A$1,0,0,COUNTA([2]characters!$A:$A),MATCH(F$1,[2]characters!$1:$1,0)-MATCH($A$1,[2]characters!$1:$1,0)+1),MATCH(F$1,[2]characters!$1:$1,0)-MATCH($A$1,[2]characters!$1:$1,0)+1,FALSE)</f>
        <v>射絶 ユヅル</v>
      </c>
      <c r="G673" s="66">
        <v>1</v>
      </c>
      <c r="H673" s="66">
        <v>1</v>
      </c>
      <c r="I673" s="66">
        <v>1</v>
      </c>
    </row>
    <row r="674" spans="1:9" x14ac:dyDescent="0.15">
      <c r="A674" s="66">
        <v>481</v>
      </c>
      <c r="B674" s="3" t="str">
        <f ca="1">VLOOKUP($A674,OFFSET([2]characters!$A$1,0,0,COUNTA([2]characters!$A:$A),MATCH(B$1,[2]characters!$1:$1,0)-MATCH($A$1,[2]characters!$1:$1,0)+1),MATCH(B$1,[2]characters!$1:$1,0)-MATCH($A$1,[2]characters!$1:$1,0)+1,FALSE)</f>
        <v>沢庵宗彭</v>
      </c>
      <c r="C674" s="93">
        <f ca="1">VLOOKUP($A674,OFFSET(fork_awake_units!$A$1,0,0,COUNTA(fork_awake_units!$A:$A),MATCH(C$1,fork_awake_units!$1:$1,0)-MATCH($A$1,fork_awake_units!$1:$1,0)+1),MATCH(C$1,fork_awake_units!$1:$1,0)-MATCH($A$1,fork_awake_units!$1:$1,0)+1,FALSE)</f>
        <v>482</v>
      </c>
      <c r="D674" s="3" t="str">
        <f ca="1">VLOOKUP($C674,OFFSET([2]characters!$A$1,0,0,COUNTA([2]characters!$A:$A),MATCH(D$1,[2]characters!$1:$1,0)-MATCH($A$1,[2]characters!$1:$1,0)+1),MATCH(D$1,[2]characters!$1:$1,0)-MATCH($A$1,[2]characters!$1:$1,0)+1,FALSE)</f>
        <v>魁僧 沢庵宗彭</v>
      </c>
      <c r="E674" s="66">
        <v>114</v>
      </c>
      <c r="F674" s="3" t="str">
        <f ca="1">VLOOKUP($E674,OFFSET([2]characters!$A$1,0,0,COUNTA([2]characters!$A:$A),MATCH(F$1,[2]characters!$1:$1,0)-MATCH($A$1,[2]characters!$1:$1,0)+1),MATCH(F$1,[2]characters!$1:$1,0)-MATCH($A$1,[2]characters!$1:$1,0)+1,FALSE)</f>
        <v>イエローラビット</v>
      </c>
      <c r="G674" s="66">
        <v>1</v>
      </c>
      <c r="H674" s="66">
        <v>1</v>
      </c>
      <c r="I674" s="66">
        <v>1</v>
      </c>
    </row>
    <row r="675" spans="1:9" x14ac:dyDescent="0.15">
      <c r="A675" s="66">
        <v>481</v>
      </c>
      <c r="B675" s="3" t="str">
        <f ca="1">VLOOKUP($A675,OFFSET([2]characters!$A$1,0,0,COUNTA([2]characters!$A:$A),MATCH(B$1,[2]characters!$1:$1,0)-MATCH($A$1,[2]characters!$1:$1,0)+1),MATCH(B$1,[2]characters!$1:$1,0)-MATCH($A$1,[2]characters!$1:$1,0)+1,FALSE)</f>
        <v>沢庵宗彭</v>
      </c>
      <c r="C675" s="93">
        <f ca="1">VLOOKUP($A675,OFFSET(fork_awake_units!$A$1,0,0,COUNTA(fork_awake_units!$A:$A),MATCH(C$1,fork_awake_units!$1:$1,0)-MATCH($A$1,fork_awake_units!$1:$1,0)+1),MATCH(C$1,fork_awake_units!$1:$1,0)-MATCH($A$1,fork_awake_units!$1:$1,0)+1,FALSE)</f>
        <v>482</v>
      </c>
      <c r="D675" s="3" t="str">
        <f ca="1">VLOOKUP($C675,OFFSET([2]characters!$A$1,0,0,COUNTA([2]characters!$A:$A),MATCH(D$1,[2]characters!$1:$1,0)-MATCH($A$1,[2]characters!$1:$1,0)+1),MATCH(D$1,[2]characters!$1:$1,0)-MATCH($A$1,[2]characters!$1:$1,0)+1,FALSE)</f>
        <v>魁僧 沢庵宗彭</v>
      </c>
      <c r="E675" s="66">
        <v>115</v>
      </c>
      <c r="F675" s="3" t="str">
        <f ca="1">VLOOKUP($E675,OFFSET([2]characters!$A$1,0,0,COUNTA([2]characters!$A:$A),MATCH(F$1,[2]characters!$1:$1,0)-MATCH($A$1,[2]characters!$1:$1,0)+1),MATCH(F$1,[2]characters!$1:$1,0)-MATCH($A$1,[2]characters!$1:$1,0)+1,FALSE)</f>
        <v>イエローキャタップ</v>
      </c>
      <c r="G675" s="66">
        <v>3</v>
      </c>
      <c r="H675" s="66">
        <v>1</v>
      </c>
      <c r="I675" s="66">
        <v>1</v>
      </c>
    </row>
    <row r="676" spans="1:9" x14ac:dyDescent="0.15">
      <c r="A676" s="66">
        <v>482</v>
      </c>
      <c r="B676" s="3" t="str">
        <f ca="1">VLOOKUP($A676,OFFSET([2]characters!$A$1,0,0,COUNTA([2]characters!$A:$A),MATCH(B$1,[2]characters!$1:$1,0)-MATCH($A$1,[2]characters!$1:$1,0)+1),MATCH(B$1,[2]characters!$1:$1,0)-MATCH($A$1,[2]characters!$1:$1,0)+1,FALSE)</f>
        <v>魁僧 沢庵宗彭</v>
      </c>
      <c r="C676" s="93">
        <f ca="1">VLOOKUP($A676,OFFSET(fork_awake_units!$A$1,0,0,COUNTA(fork_awake_units!$A:$A),MATCH(C$1,fork_awake_units!$1:$1,0)-MATCH($A$1,fork_awake_units!$1:$1,0)+1),MATCH(C$1,fork_awake_units!$1:$1,0)-MATCH($A$1,fork_awake_units!$1:$1,0)+1,FALSE)</f>
        <v>483</v>
      </c>
      <c r="D676" s="3" t="str">
        <f ca="1">VLOOKUP($C676,OFFSET([2]characters!$A$1,0,0,COUNTA([2]characters!$A:$A),MATCH(D$1,[2]characters!$1:$1,0)-MATCH($A$1,[2]characters!$1:$1,0)+1),MATCH(D$1,[2]characters!$1:$1,0)-MATCH($A$1,[2]characters!$1:$1,0)+1,FALSE)</f>
        <v xml:space="preserve">命経死遂 沢庵宗彭 </v>
      </c>
      <c r="E676" s="66">
        <v>114</v>
      </c>
      <c r="F676" s="3" t="str">
        <f ca="1">VLOOKUP($E676,OFFSET([2]characters!$A$1,0,0,COUNTA([2]characters!$A:$A),MATCH(F$1,[2]characters!$1:$1,0)-MATCH($A$1,[2]characters!$1:$1,0)+1),MATCH(F$1,[2]characters!$1:$1,0)-MATCH($A$1,[2]characters!$1:$1,0)+1,FALSE)</f>
        <v>イエローラビット</v>
      </c>
      <c r="G676" s="66">
        <v>1</v>
      </c>
      <c r="H676" s="66">
        <v>1</v>
      </c>
      <c r="I676" s="66">
        <v>1</v>
      </c>
    </row>
    <row r="677" spans="1:9" x14ac:dyDescent="0.15">
      <c r="A677" s="66">
        <v>482</v>
      </c>
      <c r="B677" s="3" t="str">
        <f ca="1">VLOOKUP($A677,OFFSET([2]characters!$A$1,0,0,COUNTA([2]characters!$A:$A),MATCH(B$1,[2]characters!$1:$1,0)-MATCH($A$1,[2]characters!$1:$1,0)+1),MATCH(B$1,[2]characters!$1:$1,0)-MATCH($A$1,[2]characters!$1:$1,0)+1,FALSE)</f>
        <v>魁僧 沢庵宗彭</v>
      </c>
      <c r="C677" s="93">
        <f ca="1">VLOOKUP($A677,OFFSET(fork_awake_units!$A$1,0,0,COUNTA(fork_awake_units!$A:$A),MATCH(C$1,fork_awake_units!$1:$1,0)-MATCH($A$1,fork_awake_units!$1:$1,0)+1),MATCH(C$1,fork_awake_units!$1:$1,0)-MATCH($A$1,fork_awake_units!$1:$1,0)+1,FALSE)</f>
        <v>483</v>
      </c>
      <c r="D677" s="3" t="str">
        <f ca="1">VLOOKUP($C677,OFFSET([2]characters!$A$1,0,0,COUNTA([2]characters!$A:$A),MATCH(D$1,[2]characters!$1:$1,0)-MATCH($A$1,[2]characters!$1:$1,0)+1),MATCH(D$1,[2]characters!$1:$1,0)-MATCH($A$1,[2]characters!$1:$1,0)+1,FALSE)</f>
        <v xml:space="preserve">命経死遂 沢庵宗彭 </v>
      </c>
      <c r="E677" s="66">
        <v>115</v>
      </c>
      <c r="F677" s="3" t="str">
        <f ca="1">VLOOKUP($E677,OFFSET([2]characters!$A$1,0,0,COUNTA([2]characters!$A:$A),MATCH(F$1,[2]characters!$1:$1,0)-MATCH($A$1,[2]characters!$1:$1,0)+1),MATCH(F$1,[2]characters!$1:$1,0)-MATCH($A$1,[2]characters!$1:$1,0)+1,FALSE)</f>
        <v>イエローキャタップ</v>
      </c>
      <c r="G677" s="66">
        <v>2</v>
      </c>
      <c r="H677" s="66">
        <v>1</v>
      </c>
      <c r="I677" s="66">
        <v>1</v>
      </c>
    </row>
    <row r="678" spans="1:9" x14ac:dyDescent="0.15">
      <c r="A678" s="66">
        <v>482</v>
      </c>
      <c r="B678" s="3" t="str">
        <f ca="1">VLOOKUP($A678,OFFSET([2]characters!$A$1,0,0,COUNTA([2]characters!$A:$A),MATCH(B$1,[2]characters!$1:$1,0)-MATCH($A$1,[2]characters!$1:$1,0)+1),MATCH(B$1,[2]characters!$1:$1,0)-MATCH($A$1,[2]characters!$1:$1,0)+1,FALSE)</f>
        <v>魁僧 沢庵宗彭</v>
      </c>
      <c r="C678" s="93">
        <f ca="1">VLOOKUP($A678,OFFSET(fork_awake_units!$A$1,0,0,COUNTA(fork_awake_units!$A:$A),MATCH(C$1,fork_awake_units!$1:$1,0)-MATCH($A$1,fork_awake_units!$1:$1,0)+1),MATCH(C$1,fork_awake_units!$1:$1,0)-MATCH($A$1,fork_awake_units!$1:$1,0)+1,FALSE)</f>
        <v>483</v>
      </c>
      <c r="D678" s="3" t="str">
        <f ca="1">VLOOKUP($C678,OFFSET([2]characters!$A$1,0,0,COUNTA([2]characters!$A:$A),MATCH(D$1,[2]characters!$1:$1,0)-MATCH($A$1,[2]characters!$1:$1,0)+1),MATCH(D$1,[2]characters!$1:$1,0)-MATCH($A$1,[2]characters!$1:$1,0)+1,FALSE)</f>
        <v xml:space="preserve">命経死遂 沢庵宗彭 </v>
      </c>
      <c r="E678" s="66">
        <v>116</v>
      </c>
      <c r="F678" s="3" t="str">
        <f ca="1">VLOOKUP($E678,OFFSET([2]characters!$A$1,0,0,COUNTA([2]characters!$A:$A),MATCH(F$1,[2]characters!$1:$1,0)-MATCH($A$1,[2]characters!$1:$1,0)+1),MATCH(F$1,[2]characters!$1:$1,0)-MATCH($A$1,[2]characters!$1:$1,0)+1,FALSE)</f>
        <v>雷のマッドハッター</v>
      </c>
      <c r="G678" s="66">
        <v>2</v>
      </c>
      <c r="H678" s="66">
        <v>1</v>
      </c>
      <c r="I678" s="66">
        <v>1</v>
      </c>
    </row>
    <row r="679" spans="1:9" x14ac:dyDescent="0.15">
      <c r="A679" s="66">
        <v>490</v>
      </c>
      <c r="B679" s="3" t="str">
        <f ca="1">VLOOKUP($A679,OFFSET([2]characters!$A$1,0,0,COUNTA([2]characters!$A:$A),MATCH(B$1,[2]characters!$1:$1,0)-MATCH($A$1,[2]characters!$1:$1,0)+1),MATCH(B$1,[2]characters!$1:$1,0)-MATCH($A$1,[2]characters!$1:$1,0)+1,FALSE)</f>
        <v>グリム</v>
      </c>
      <c r="C679" s="93">
        <f ca="1">VLOOKUP($A679,OFFSET(fork_awake_units!$A$1,0,0,COUNTA(fork_awake_units!$A:$A),MATCH(C$1,fork_awake_units!$1:$1,0)-MATCH($A$1,fork_awake_units!$1:$1,0)+1),MATCH(C$1,fork_awake_units!$1:$1,0)-MATCH($A$1,fork_awake_units!$1:$1,0)+1,FALSE)</f>
        <v>491</v>
      </c>
      <c r="D679" s="3" t="str">
        <f ca="1">VLOOKUP($C679,OFFSET([2]characters!$A$1,0,0,COUNTA([2]characters!$A:$A),MATCH(D$1,[2]characters!$1:$1,0)-MATCH($A$1,[2]characters!$1:$1,0)+1),MATCH(D$1,[2]characters!$1:$1,0)-MATCH($A$1,[2]characters!$1:$1,0)+1,FALSE)</f>
        <v>収魂の群影 グリム</v>
      </c>
      <c r="E679" s="66">
        <v>108</v>
      </c>
      <c r="F679" s="3" t="str">
        <f ca="1">VLOOKUP($E679,OFFSET([2]characters!$A$1,0,0,COUNTA([2]characters!$A:$A),MATCH(F$1,[2]characters!$1:$1,0)-MATCH($A$1,[2]characters!$1:$1,0)+1),MATCH(F$1,[2]characters!$1:$1,0)-MATCH($A$1,[2]characters!$1:$1,0)+1,FALSE)</f>
        <v>森のマッドハッター</v>
      </c>
      <c r="G679" s="66">
        <v>1</v>
      </c>
      <c r="H679" s="66">
        <v>1</v>
      </c>
      <c r="I679" s="66">
        <v>1</v>
      </c>
    </row>
    <row r="680" spans="1:9" x14ac:dyDescent="0.15">
      <c r="A680" s="66">
        <v>490</v>
      </c>
      <c r="B680" s="3" t="str">
        <f ca="1">VLOOKUP($A680,OFFSET([2]characters!$A$1,0,0,COUNTA([2]characters!$A:$A),MATCH(B$1,[2]characters!$1:$1,0)-MATCH($A$1,[2]characters!$1:$1,0)+1),MATCH(B$1,[2]characters!$1:$1,0)-MATCH($A$1,[2]characters!$1:$1,0)+1,FALSE)</f>
        <v>グリム</v>
      </c>
      <c r="C680" s="93">
        <f ca="1">VLOOKUP($A680,OFFSET(fork_awake_units!$A$1,0,0,COUNTA(fork_awake_units!$A:$A),MATCH(C$1,fork_awake_units!$1:$1,0)-MATCH($A$1,fork_awake_units!$1:$1,0)+1),MATCH(C$1,fork_awake_units!$1:$1,0)-MATCH($A$1,fork_awake_units!$1:$1,0)+1,FALSE)</f>
        <v>491</v>
      </c>
      <c r="D680" s="3" t="str">
        <f ca="1">VLOOKUP($C680,OFFSET([2]characters!$A$1,0,0,COUNTA([2]characters!$A:$A),MATCH(D$1,[2]characters!$1:$1,0)-MATCH($A$1,[2]characters!$1:$1,0)+1),MATCH(D$1,[2]characters!$1:$1,0)-MATCH($A$1,[2]characters!$1:$1,0)+1,FALSE)</f>
        <v>収魂の群影 グリム</v>
      </c>
      <c r="E680" s="66">
        <v>502</v>
      </c>
      <c r="F680" s="3" t="str">
        <f ca="1">VLOOKUP($E680,OFFSET([2]characters!$A$1,0,0,COUNTA([2]characters!$A:$A),MATCH(F$1,[2]characters!$1:$1,0)-MATCH($A$1,[2]characters!$1:$1,0)+1),MATCH(F$1,[2]characters!$1:$1,0)-MATCH($A$1,[2]characters!$1:$1,0)+1,FALSE)</f>
        <v>テラベル</v>
      </c>
      <c r="G680" s="66">
        <v>2</v>
      </c>
      <c r="H680" s="66">
        <v>1</v>
      </c>
      <c r="I680" s="66">
        <v>1</v>
      </c>
    </row>
    <row r="681" spans="1:9" x14ac:dyDescent="0.15">
      <c r="A681" s="66">
        <v>490</v>
      </c>
      <c r="B681" s="3" t="str">
        <f ca="1">VLOOKUP($A681,OFFSET([2]characters!$A$1,0,0,COUNTA([2]characters!$A:$A),MATCH(B$1,[2]characters!$1:$1,0)-MATCH($A$1,[2]characters!$1:$1,0)+1),MATCH(B$1,[2]characters!$1:$1,0)-MATCH($A$1,[2]characters!$1:$1,0)+1,FALSE)</f>
        <v>グリム</v>
      </c>
      <c r="C681" s="93">
        <f ca="1">VLOOKUP($A681,OFFSET(fork_awake_units!$A$1,0,0,COUNTA(fork_awake_units!$A:$A),MATCH(C$1,fork_awake_units!$1:$1,0)-MATCH($A$1,fork_awake_units!$1:$1,0)+1),MATCH(C$1,fork_awake_units!$1:$1,0)-MATCH($A$1,fork_awake_units!$1:$1,0)+1,FALSE)</f>
        <v>491</v>
      </c>
      <c r="D681" s="3" t="str">
        <f ca="1">VLOOKUP($C681,OFFSET([2]characters!$A$1,0,0,COUNTA([2]characters!$A:$A),MATCH(D$1,[2]characters!$1:$1,0)-MATCH($A$1,[2]characters!$1:$1,0)+1),MATCH(D$1,[2]characters!$1:$1,0)-MATCH($A$1,[2]characters!$1:$1,0)+1,FALSE)</f>
        <v>収魂の群影 グリム</v>
      </c>
      <c r="E681" s="66">
        <v>504</v>
      </c>
      <c r="F681" s="3" t="str">
        <f ca="1">VLOOKUP($E681,OFFSET([2]characters!$A$1,0,0,COUNTA([2]characters!$A:$A),MATCH(F$1,[2]characters!$1:$1,0)-MATCH($A$1,[2]characters!$1:$1,0)+1),MATCH(F$1,[2]characters!$1:$1,0)-MATCH($A$1,[2]characters!$1:$1,0)+1,FALSE)</f>
        <v>ハイディン・オーガ</v>
      </c>
      <c r="G681" s="66">
        <v>2</v>
      </c>
      <c r="H681" s="66">
        <v>1</v>
      </c>
      <c r="I681" s="66">
        <v>1</v>
      </c>
    </row>
    <row r="682" spans="1:9" x14ac:dyDescent="0.15">
      <c r="A682" s="66">
        <v>491</v>
      </c>
      <c r="B682" s="3" t="str">
        <f ca="1">VLOOKUP($A682,OFFSET([2]characters!$A$1,0,0,COUNTA([2]characters!$A:$A),MATCH(B$1,[2]characters!$1:$1,0)-MATCH($A$1,[2]characters!$1:$1,0)+1),MATCH(B$1,[2]characters!$1:$1,0)-MATCH($A$1,[2]characters!$1:$1,0)+1,FALSE)</f>
        <v>収魂の群影 グリム</v>
      </c>
      <c r="C682" s="93">
        <f ca="1">VLOOKUP($A682,OFFSET(fork_awake_units!$A$1,0,0,COUNTA(fork_awake_units!$A:$A),MATCH(C$1,fork_awake_units!$1:$1,0)-MATCH($A$1,fork_awake_units!$1:$1,0)+1),MATCH(C$1,fork_awake_units!$1:$1,0)-MATCH($A$1,fork_awake_units!$1:$1,0)+1,FALSE)</f>
        <v>822</v>
      </c>
      <c r="D682" s="3" t="str">
        <f ca="1">VLOOKUP($C682,OFFSET([2]characters!$A$1,0,0,COUNTA([2]characters!$A:$A),MATCH(D$1,[2]characters!$1:$1,0)-MATCH($A$1,[2]characters!$1:$1,0)+1),MATCH(D$1,[2]characters!$1:$1,0)-MATCH($A$1,[2]characters!$1:$1,0)+1,FALSE)</f>
        <v>操魂の蒐集家 グリム</v>
      </c>
      <c r="E682" s="66">
        <v>107</v>
      </c>
      <c r="F682" s="3" t="str">
        <f ca="1">VLOOKUP($E682,OFFSET([2]characters!$A$1,0,0,COUNTA([2]characters!$A:$A),MATCH(F$1,[2]characters!$1:$1,0)-MATCH($A$1,[2]characters!$1:$1,0)+1),MATCH(F$1,[2]characters!$1:$1,0)-MATCH($A$1,[2]characters!$1:$1,0)+1,FALSE)</f>
        <v>グリーンキャタップ</v>
      </c>
      <c r="G682" s="66">
        <v>1</v>
      </c>
      <c r="H682" s="66">
        <v>1</v>
      </c>
      <c r="I682" s="66">
        <v>1</v>
      </c>
    </row>
    <row r="683" spans="1:9" x14ac:dyDescent="0.15">
      <c r="A683" s="66">
        <v>491</v>
      </c>
      <c r="B683" s="3" t="str">
        <f ca="1">VLOOKUP($A683,OFFSET([2]characters!$A$1,0,0,COUNTA([2]characters!$A:$A),MATCH(B$1,[2]characters!$1:$1,0)-MATCH($A$1,[2]characters!$1:$1,0)+1),MATCH(B$1,[2]characters!$1:$1,0)-MATCH($A$1,[2]characters!$1:$1,0)+1,FALSE)</f>
        <v>収魂の群影 グリム</v>
      </c>
      <c r="C683" s="93">
        <f ca="1">VLOOKUP($A683,OFFSET(fork_awake_units!$A$1,0,0,COUNTA(fork_awake_units!$A:$A),MATCH(C$1,fork_awake_units!$1:$1,0)-MATCH($A$1,fork_awake_units!$1:$1,0)+1),MATCH(C$1,fork_awake_units!$1:$1,0)-MATCH($A$1,fork_awake_units!$1:$1,0)+1,FALSE)</f>
        <v>822</v>
      </c>
      <c r="D683" s="3" t="str">
        <f ca="1">VLOOKUP($C683,OFFSET([2]characters!$A$1,0,0,COUNTA([2]characters!$A:$A),MATCH(D$1,[2]characters!$1:$1,0)-MATCH($A$1,[2]characters!$1:$1,0)+1),MATCH(D$1,[2]characters!$1:$1,0)-MATCH($A$1,[2]characters!$1:$1,0)+1,FALSE)</f>
        <v>操魂の蒐集家 グリム</v>
      </c>
      <c r="E683" s="66">
        <v>108</v>
      </c>
      <c r="F683" s="3" t="str">
        <f ca="1">VLOOKUP($E683,OFFSET([2]characters!$A$1,0,0,COUNTA([2]characters!$A:$A),MATCH(F$1,[2]characters!$1:$1,0)-MATCH($A$1,[2]characters!$1:$1,0)+1),MATCH(F$1,[2]characters!$1:$1,0)-MATCH($A$1,[2]characters!$1:$1,0)+1,FALSE)</f>
        <v>森のマッドハッター</v>
      </c>
      <c r="G683" s="66">
        <v>1</v>
      </c>
      <c r="H683" s="66">
        <v>1</v>
      </c>
      <c r="I683" s="66">
        <v>1</v>
      </c>
    </row>
    <row r="684" spans="1:9" x14ac:dyDescent="0.15">
      <c r="A684" s="66">
        <v>491</v>
      </c>
      <c r="B684" s="3" t="str">
        <f ca="1">VLOOKUP($A684,OFFSET([2]characters!$A$1,0,0,COUNTA([2]characters!$A:$A),MATCH(B$1,[2]characters!$1:$1,0)-MATCH($A$1,[2]characters!$1:$1,0)+1),MATCH(B$1,[2]characters!$1:$1,0)-MATCH($A$1,[2]characters!$1:$1,0)+1,FALSE)</f>
        <v>収魂の群影 グリム</v>
      </c>
      <c r="C684" s="93">
        <f ca="1">VLOOKUP($A684,OFFSET(fork_awake_units!$A$1,0,0,COUNTA(fork_awake_units!$A:$A),MATCH(C$1,fork_awake_units!$1:$1,0)-MATCH($A$1,fork_awake_units!$1:$1,0)+1),MATCH(C$1,fork_awake_units!$1:$1,0)-MATCH($A$1,fork_awake_units!$1:$1,0)+1,FALSE)</f>
        <v>822</v>
      </c>
      <c r="D684" s="3" t="str">
        <f ca="1">VLOOKUP($C684,OFFSET([2]characters!$A$1,0,0,COUNTA([2]characters!$A:$A),MATCH(D$1,[2]characters!$1:$1,0)-MATCH($A$1,[2]characters!$1:$1,0)+1),MATCH(D$1,[2]characters!$1:$1,0)-MATCH($A$1,[2]characters!$1:$1,0)+1,FALSE)</f>
        <v>操魂の蒐集家 グリム</v>
      </c>
      <c r="E684" s="66">
        <v>357</v>
      </c>
      <c r="F684" s="3" t="str">
        <f ca="1">VLOOKUP($E684,OFFSET([2]characters!$A$1,0,0,COUNTA([2]characters!$A:$A),MATCH(F$1,[2]characters!$1:$1,0)-MATCH($A$1,[2]characters!$1:$1,0)+1),MATCH(F$1,[2]characters!$1:$1,0)-MATCH($A$1,[2]characters!$1:$1,0)+1,FALSE)</f>
        <v>千風のグリフォン</v>
      </c>
      <c r="G684" s="66">
        <v>1</v>
      </c>
      <c r="H684" s="66">
        <v>1</v>
      </c>
      <c r="I684" s="66">
        <v>1</v>
      </c>
    </row>
    <row r="685" spans="1:9" x14ac:dyDescent="0.15">
      <c r="A685" s="66">
        <v>491</v>
      </c>
      <c r="B685" s="3" t="str">
        <f ca="1">VLOOKUP($A685,OFFSET([2]characters!$A$1,0,0,COUNTA([2]characters!$A:$A),MATCH(B$1,[2]characters!$1:$1,0)-MATCH($A$1,[2]characters!$1:$1,0)+1),MATCH(B$1,[2]characters!$1:$1,0)-MATCH($A$1,[2]characters!$1:$1,0)+1,FALSE)</f>
        <v>収魂の群影 グリム</v>
      </c>
      <c r="C685" s="93">
        <f ca="1">VLOOKUP($A685,OFFSET(fork_awake_units!$A$1,0,0,COUNTA(fork_awake_units!$A:$A),MATCH(C$1,fork_awake_units!$1:$1,0)-MATCH($A$1,fork_awake_units!$1:$1,0)+1),MATCH(C$1,fork_awake_units!$1:$1,0)-MATCH($A$1,fork_awake_units!$1:$1,0)+1,FALSE)</f>
        <v>822</v>
      </c>
      <c r="D685" s="3" t="str">
        <f ca="1">VLOOKUP($C685,OFFSET([2]characters!$A$1,0,0,COUNTA([2]characters!$A:$A),MATCH(D$1,[2]characters!$1:$1,0)-MATCH($A$1,[2]characters!$1:$1,0)+1),MATCH(D$1,[2]characters!$1:$1,0)-MATCH($A$1,[2]characters!$1:$1,0)+1,FALSE)</f>
        <v>操魂の蒐集家 グリム</v>
      </c>
      <c r="E685" s="66">
        <v>837</v>
      </c>
      <c r="F685" s="3" t="str">
        <f ca="1">VLOOKUP($E685,OFFSET([2]characters!$A$1,0,0,COUNTA([2]characters!$A:$A),MATCH(F$1,[2]characters!$1:$1,0)-MATCH($A$1,[2]characters!$1:$1,0)+1),MATCH(F$1,[2]characters!$1:$1,0)-MATCH($A$1,[2]characters!$1:$1,0)+1,FALSE)</f>
        <v>リトルハンプティ</v>
      </c>
      <c r="G685" s="66">
        <v>1</v>
      </c>
      <c r="H685" s="66">
        <v>1</v>
      </c>
      <c r="I685" s="66">
        <v>1</v>
      </c>
    </row>
    <row r="686" spans="1:9" x14ac:dyDescent="0.15">
      <c r="A686" s="66">
        <v>492</v>
      </c>
      <c r="B686" s="3" t="str">
        <f ca="1">VLOOKUP($A686,OFFSET([2]characters!$A$1,0,0,COUNTA([2]characters!$A:$A),MATCH(B$1,[2]characters!$1:$1,0)-MATCH($A$1,[2]characters!$1:$1,0)+1),MATCH(B$1,[2]characters!$1:$1,0)-MATCH($A$1,[2]characters!$1:$1,0)+1,FALSE)</f>
        <v>ブートレグ・ペロー</v>
      </c>
      <c r="C686" s="93">
        <f ca="1">VLOOKUP($A686,OFFSET(fork_awake_units!$A$1,0,0,COUNTA(fork_awake_units!$A:$A),MATCH(C$1,fork_awake_units!$1:$1,0)-MATCH($A$1,fork_awake_units!$1:$1,0)+1),MATCH(C$1,fork_awake_units!$1:$1,0)-MATCH($A$1,fork_awake_units!$1:$1,0)+1,FALSE)</f>
        <v>493</v>
      </c>
      <c r="D686" s="3" t="str">
        <f ca="1">VLOOKUP($C686,OFFSET([2]characters!$A$1,0,0,COUNTA([2]characters!$A:$A),MATCH(D$1,[2]characters!$1:$1,0)-MATCH($A$1,[2]characters!$1:$1,0)+1),MATCH(D$1,[2]characters!$1:$1,0)-MATCH($A$1,[2]characters!$1:$1,0)+1,FALSE)</f>
        <v>跋扈の機脚 ブートレグ・ペロー</v>
      </c>
      <c r="E686" s="66">
        <v>103</v>
      </c>
      <c r="F686" s="3" t="str">
        <f ca="1">VLOOKUP($E686,OFFSET([2]characters!$A$1,0,0,COUNTA([2]characters!$A:$A),MATCH(F$1,[2]characters!$1:$1,0)-MATCH($A$1,[2]characters!$1:$1,0)+1),MATCH(F$1,[2]characters!$1:$1,0)-MATCH($A$1,[2]characters!$1:$1,0)+1,FALSE)</f>
        <v>レッドキャタップ</v>
      </c>
      <c r="G686" s="66">
        <v>2</v>
      </c>
      <c r="H686" s="66">
        <v>1</v>
      </c>
      <c r="I686" s="66">
        <v>1</v>
      </c>
    </row>
    <row r="687" spans="1:9" x14ac:dyDescent="0.15">
      <c r="A687" s="66">
        <v>492</v>
      </c>
      <c r="B687" s="3" t="str">
        <f ca="1">VLOOKUP($A687,OFFSET([2]characters!$A$1,0,0,COUNTA([2]characters!$A:$A),MATCH(B$1,[2]characters!$1:$1,0)-MATCH($A$1,[2]characters!$1:$1,0)+1),MATCH(B$1,[2]characters!$1:$1,0)-MATCH($A$1,[2]characters!$1:$1,0)+1,FALSE)</f>
        <v>ブートレグ・ペロー</v>
      </c>
      <c r="C687" s="93">
        <f ca="1">VLOOKUP($A687,OFFSET(fork_awake_units!$A$1,0,0,COUNTA(fork_awake_units!$A:$A),MATCH(C$1,fork_awake_units!$1:$1,0)-MATCH($A$1,fork_awake_units!$1:$1,0)+1),MATCH(C$1,fork_awake_units!$1:$1,0)-MATCH($A$1,fork_awake_units!$1:$1,0)+1,FALSE)</f>
        <v>493</v>
      </c>
      <c r="D687" s="3" t="str">
        <f ca="1">VLOOKUP($C687,OFFSET([2]characters!$A$1,0,0,COUNTA([2]characters!$A:$A),MATCH(D$1,[2]characters!$1:$1,0)-MATCH($A$1,[2]characters!$1:$1,0)+1),MATCH(D$1,[2]characters!$1:$1,0)-MATCH($A$1,[2]characters!$1:$1,0)+1,FALSE)</f>
        <v>跋扈の機脚 ブートレグ・ペロー</v>
      </c>
      <c r="E687" s="66">
        <v>104</v>
      </c>
      <c r="F687" s="3" t="str">
        <f ca="1">VLOOKUP($E687,OFFSET([2]characters!$A$1,0,0,COUNTA([2]characters!$A:$A),MATCH(F$1,[2]characters!$1:$1,0)-MATCH($A$1,[2]characters!$1:$1,0)+1),MATCH(F$1,[2]characters!$1:$1,0)-MATCH($A$1,[2]characters!$1:$1,0)+1,FALSE)</f>
        <v>炎のマッドハッター</v>
      </c>
      <c r="G687" s="66">
        <v>1</v>
      </c>
      <c r="H687" s="66">
        <v>1</v>
      </c>
      <c r="I687" s="66">
        <v>1</v>
      </c>
    </row>
    <row r="688" spans="1:9" x14ac:dyDescent="0.15">
      <c r="A688" s="66">
        <v>492</v>
      </c>
      <c r="B688" s="3" t="str">
        <f ca="1">VLOOKUP($A688,OFFSET([2]characters!$A$1,0,0,COUNTA([2]characters!$A:$A),MATCH(B$1,[2]characters!$1:$1,0)-MATCH($A$1,[2]characters!$1:$1,0)+1),MATCH(B$1,[2]characters!$1:$1,0)-MATCH($A$1,[2]characters!$1:$1,0)+1,FALSE)</f>
        <v>ブートレグ・ペロー</v>
      </c>
      <c r="C688" s="93">
        <f ca="1">VLOOKUP($A688,OFFSET(fork_awake_units!$A$1,0,0,COUNTA(fork_awake_units!$A:$A),MATCH(C$1,fork_awake_units!$1:$1,0)-MATCH($A$1,fork_awake_units!$1:$1,0)+1),MATCH(C$1,fork_awake_units!$1:$1,0)-MATCH($A$1,fork_awake_units!$1:$1,0)+1,FALSE)</f>
        <v>493</v>
      </c>
      <c r="D688" s="3" t="str">
        <f ca="1">VLOOKUP($C688,OFFSET([2]characters!$A$1,0,0,COUNTA([2]characters!$A:$A),MATCH(D$1,[2]characters!$1:$1,0)-MATCH($A$1,[2]characters!$1:$1,0)+1),MATCH(D$1,[2]characters!$1:$1,0)-MATCH($A$1,[2]characters!$1:$1,0)+1,FALSE)</f>
        <v>跋扈の機脚 ブートレグ・ペロー</v>
      </c>
      <c r="E688" s="66">
        <v>418</v>
      </c>
      <c r="F688" s="3" t="str">
        <f ca="1">VLOOKUP($E688,OFFSET([2]characters!$A$1,0,0,COUNTA([2]characters!$A:$A),MATCH(F$1,[2]characters!$1:$1,0)-MATCH($A$1,[2]characters!$1:$1,0)+1),MATCH(F$1,[2]characters!$1:$1,0)-MATCH($A$1,[2]characters!$1:$1,0)+1,FALSE)</f>
        <v>ウラシマ</v>
      </c>
      <c r="G688" s="66">
        <v>1</v>
      </c>
      <c r="H688" s="66">
        <v>1</v>
      </c>
      <c r="I688" s="66">
        <v>1</v>
      </c>
    </row>
    <row r="689" spans="1:9" x14ac:dyDescent="0.15">
      <c r="A689" s="66">
        <v>492</v>
      </c>
      <c r="B689" s="3" t="str">
        <f ca="1">VLOOKUP($A689,OFFSET([2]characters!$A$1,0,0,COUNTA([2]characters!$A:$A),MATCH(B$1,[2]characters!$1:$1,0)-MATCH($A$1,[2]characters!$1:$1,0)+1),MATCH(B$1,[2]characters!$1:$1,0)-MATCH($A$1,[2]characters!$1:$1,0)+1,FALSE)</f>
        <v>ブートレグ・ペロー</v>
      </c>
      <c r="C689" s="93">
        <f ca="1">VLOOKUP($A689,OFFSET(fork_awake_units!$A$1,0,0,COUNTA(fork_awake_units!$A:$A),MATCH(C$1,fork_awake_units!$1:$1,0)-MATCH($A$1,fork_awake_units!$1:$1,0)+1),MATCH(C$1,fork_awake_units!$1:$1,0)-MATCH($A$1,fork_awake_units!$1:$1,0)+1,FALSE)</f>
        <v>493</v>
      </c>
      <c r="D689" s="3" t="str">
        <f ca="1">VLOOKUP($C689,OFFSET([2]characters!$A$1,0,0,COUNTA([2]characters!$A:$A),MATCH(D$1,[2]characters!$1:$1,0)-MATCH($A$1,[2]characters!$1:$1,0)+1),MATCH(D$1,[2]characters!$1:$1,0)-MATCH($A$1,[2]characters!$1:$1,0)+1,FALSE)</f>
        <v>跋扈の機脚 ブートレグ・ペロー</v>
      </c>
      <c r="E689" s="66">
        <v>452</v>
      </c>
      <c r="F689" s="3" t="str">
        <f ca="1">VLOOKUP($E689,OFFSET([2]characters!$A$1,0,0,COUNTA([2]characters!$A:$A),MATCH(F$1,[2]characters!$1:$1,0)-MATCH($A$1,[2]characters!$1:$1,0)+1),MATCH(F$1,[2]characters!$1:$1,0)-MATCH($A$1,[2]characters!$1:$1,0)+1,FALSE)</f>
        <v>猛狐 エゾ</v>
      </c>
      <c r="G689" s="66">
        <v>1</v>
      </c>
      <c r="H689" s="66">
        <v>1</v>
      </c>
      <c r="I689" s="66">
        <v>1</v>
      </c>
    </row>
    <row r="690" spans="1:9" x14ac:dyDescent="0.15">
      <c r="A690" s="66">
        <v>493</v>
      </c>
      <c r="B690" s="3" t="str">
        <f ca="1">VLOOKUP($A690,OFFSET([2]characters!$A$1,0,0,COUNTA([2]characters!$A:$A),MATCH(B$1,[2]characters!$1:$1,0)-MATCH($A$1,[2]characters!$1:$1,0)+1),MATCH(B$1,[2]characters!$1:$1,0)-MATCH($A$1,[2]characters!$1:$1,0)+1,FALSE)</f>
        <v>跋扈の機脚 ブートレグ・ペロー</v>
      </c>
      <c r="C690" s="93">
        <f ca="1">VLOOKUP($A690,OFFSET(fork_awake_units!$A$1,0,0,COUNTA(fork_awake_units!$A:$A),MATCH(C$1,fork_awake_units!$1:$1,0)-MATCH($A$1,fork_awake_units!$1:$1,0)+1),MATCH(C$1,fork_awake_units!$1:$1,0)-MATCH($A$1,fork_awake_units!$1:$1,0)+1,FALSE)</f>
        <v>821</v>
      </c>
      <c r="D690" s="3" t="str">
        <f ca="1">VLOOKUP($C690,OFFSET([2]characters!$A$1,0,0,COUNTA([2]characters!$A:$A),MATCH(D$1,[2]characters!$1:$1,0)-MATCH($A$1,[2]characters!$1:$1,0)+1),MATCH(D$1,[2]characters!$1:$1,0)-MATCH($A$1,[2]characters!$1:$1,0)+1,FALSE)</f>
        <v>急蹴の硬機脚 ブートレグ・ペロー</v>
      </c>
      <c r="E690" s="66">
        <v>102</v>
      </c>
      <c r="F690" s="3" t="str">
        <f ca="1">VLOOKUP($E690,OFFSET([2]characters!$A$1,0,0,COUNTA([2]characters!$A:$A),MATCH(F$1,[2]characters!$1:$1,0)-MATCH($A$1,[2]characters!$1:$1,0)+1),MATCH(F$1,[2]characters!$1:$1,0)-MATCH($A$1,[2]characters!$1:$1,0)+1,FALSE)</f>
        <v>レッドラビット</v>
      </c>
      <c r="G690" s="66">
        <v>1</v>
      </c>
      <c r="H690" s="66">
        <v>1</v>
      </c>
      <c r="I690" s="66">
        <v>1</v>
      </c>
    </row>
    <row r="691" spans="1:9" x14ac:dyDescent="0.15">
      <c r="A691" s="66">
        <v>493</v>
      </c>
      <c r="B691" s="3" t="str">
        <f ca="1">VLOOKUP($A691,OFFSET([2]characters!$A$1,0,0,COUNTA([2]characters!$A:$A),MATCH(B$1,[2]characters!$1:$1,0)-MATCH($A$1,[2]characters!$1:$1,0)+1),MATCH(B$1,[2]characters!$1:$1,0)-MATCH($A$1,[2]characters!$1:$1,0)+1,FALSE)</f>
        <v>跋扈の機脚 ブートレグ・ペロー</v>
      </c>
      <c r="C691" s="93">
        <f ca="1">VLOOKUP($A691,OFFSET(fork_awake_units!$A$1,0,0,COUNTA(fork_awake_units!$A:$A),MATCH(C$1,fork_awake_units!$1:$1,0)-MATCH($A$1,fork_awake_units!$1:$1,0)+1),MATCH(C$1,fork_awake_units!$1:$1,0)-MATCH($A$1,fork_awake_units!$1:$1,0)+1,FALSE)</f>
        <v>821</v>
      </c>
      <c r="D691" s="3" t="str">
        <f ca="1">VLOOKUP($C691,OFFSET([2]characters!$A$1,0,0,COUNTA([2]characters!$A:$A),MATCH(D$1,[2]characters!$1:$1,0)-MATCH($A$1,[2]characters!$1:$1,0)+1),MATCH(D$1,[2]characters!$1:$1,0)-MATCH($A$1,[2]characters!$1:$1,0)+1,FALSE)</f>
        <v>急蹴の硬機脚 ブートレグ・ペロー</v>
      </c>
      <c r="E691" s="66">
        <v>103</v>
      </c>
      <c r="F691" s="3" t="str">
        <f ca="1">VLOOKUP($E691,OFFSET([2]characters!$A$1,0,0,COUNTA([2]characters!$A:$A),MATCH(F$1,[2]characters!$1:$1,0)-MATCH($A$1,[2]characters!$1:$1,0)+1),MATCH(F$1,[2]characters!$1:$1,0)-MATCH($A$1,[2]characters!$1:$1,0)+1,FALSE)</f>
        <v>レッドキャタップ</v>
      </c>
      <c r="G691" s="66">
        <v>1</v>
      </c>
      <c r="H691" s="66">
        <v>1</v>
      </c>
      <c r="I691" s="66">
        <v>1</v>
      </c>
    </row>
    <row r="692" spans="1:9" x14ac:dyDescent="0.15">
      <c r="A692" s="66">
        <v>493</v>
      </c>
      <c r="B692" s="3" t="str">
        <f ca="1">VLOOKUP($A692,OFFSET([2]characters!$A$1,0,0,COUNTA([2]characters!$A:$A),MATCH(B$1,[2]characters!$1:$1,0)-MATCH($A$1,[2]characters!$1:$1,0)+1),MATCH(B$1,[2]characters!$1:$1,0)-MATCH($A$1,[2]characters!$1:$1,0)+1,FALSE)</f>
        <v>跋扈の機脚 ブートレグ・ペロー</v>
      </c>
      <c r="C692" s="93">
        <f ca="1">VLOOKUP($A692,OFFSET(fork_awake_units!$A$1,0,0,COUNTA(fork_awake_units!$A:$A),MATCH(C$1,fork_awake_units!$1:$1,0)-MATCH($A$1,fork_awake_units!$1:$1,0)+1),MATCH(C$1,fork_awake_units!$1:$1,0)-MATCH($A$1,fork_awake_units!$1:$1,0)+1,FALSE)</f>
        <v>821</v>
      </c>
      <c r="D692" s="3" t="str">
        <f ca="1">VLOOKUP($C692,OFFSET([2]characters!$A$1,0,0,COUNTA([2]characters!$A:$A),MATCH(D$1,[2]characters!$1:$1,0)-MATCH($A$1,[2]characters!$1:$1,0)+1),MATCH(D$1,[2]characters!$1:$1,0)-MATCH($A$1,[2]characters!$1:$1,0)+1,FALSE)</f>
        <v>急蹴の硬機脚 ブートレグ・ペロー</v>
      </c>
      <c r="E692" s="66">
        <v>104</v>
      </c>
      <c r="F692" s="3" t="str">
        <f ca="1">VLOOKUP($E692,OFFSET([2]characters!$A$1,0,0,COUNTA([2]characters!$A:$A),MATCH(F$1,[2]characters!$1:$1,0)-MATCH($A$1,[2]characters!$1:$1,0)+1),MATCH(F$1,[2]characters!$1:$1,0)-MATCH($A$1,[2]characters!$1:$1,0)+1,FALSE)</f>
        <v>炎のマッドハッター</v>
      </c>
      <c r="G692" s="66">
        <v>1</v>
      </c>
      <c r="H692" s="66">
        <v>1</v>
      </c>
      <c r="I692" s="66">
        <v>1</v>
      </c>
    </row>
    <row r="693" spans="1:9" x14ac:dyDescent="0.15">
      <c r="A693" s="66">
        <v>493</v>
      </c>
      <c r="B693" s="3" t="str">
        <f ca="1">VLOOKUP($A693,OFFSET([2]characters!$A$1,0,0,COUNTA([2]characters!$A:$A),MATCH(B$1,[2]characters!$1:$1,0)-MATCH($A$1,[2]characters!$1:$1,0)+1),MATCH(B$1,[2]characters!$1:$1,0)-MATCH($A$1,[2]characters!$1:$1,0)+1,FALSE)</f>
        <v>跋扈の機脚 ブートレグ・ペロー</v>
      </c>
      <c r="C693" s="93">
        <f ca="1">VLOOKUP($A693,OFFSET(fork_awake_units!$A$1,0,0,COUNTA(fork_awake_units!$A:$A),MATCH(C$1,fork_awake_units!$1:$1,0)-MATCH($A$1,fork_awake_units!$1:$1,0)+1),MATCH(C$1,fork_awake_units!$1:$1,0)-MATCH($A$1,fork_awake_units!$1:$1,0)+1,FALSE)</f>
        <v>821</v>
      </c>
      <c r="D693" s="3" t="str">
        <f ca="1">VLOOKUP($C693,OFFSET([2]characters!$A$1,0,0,COUNTA([2]characters!$A:$A),MATCH(D$1,[2]characters!$1:$1,0)-MATCH($A$1,[2]characters!$1:$1,0)+1),MATCH(D$1,[2]characters!$1:$1,0)-MATCH($A$1,[2]characters!$1:$1,0)+1,FALSE)</f>
        <v>急蹴の硬機脚 ブートレグ・ペロー</v>
      </c>
      <c r="E693" s="66">
        <v>837</v>
      </c>
      <c r="F693" s="3" t="str">
        <f ca="1">VLOOKUP($E693,OFFSET([2]characters!$A$1,0,0,COUNTA([2]characters!$A:$A),MATCH(F$1,[2]characters!$1:$1,0)-MATCH($A$1,[2]characters!$1:$1,0)+1),MATCH(F$1,[2]characters!$1:$1,0)-MATCH($A$1,[2]characters!$1:$1,0)+1,FALSE)</f>
        <v>リトルハンプティ</v>
      </c>
      <c r="G693" s="66">
        <v>1</v>
      </c>
      <c r="H693" s="66">
        <v>1</v>
      </c>
      <c r="I693" s="66">
        <v>1</v>
      </c>
    </row>
    <row r="694" spans="1:9" x14ac:dyDescent="0.15">
      <c r="A694" s="66">
        <v>494</v>
      </c>
      <c r="B694" s="3" t="str">
        <f ca="1">VLOOKUP($A694,OFFSET([2]characters!$A$1,0,0,COUNTA([2]characters!$A:$A),MATCH(B$1,[2]characters!$1:$1,0)-MATCH($A$1,[2]characters!$1:$1,0)+1),MATCH(B$1,[2]characters!$1:$1,0)-MATCH($A$1,[2]characters!$1:$1,0)+1,FALSE)</f>
        <v>ハーメルン</v>
      </c>
      <c r="C694" s="93">
        <f ca="1">VLOOKUP($A694,OFFSET(fork_awake_units!$A$1,0,0,COUNTA(fork_awake_units!$A:$A),MATCH(C$1,fork_awake_units!$1:$1,0)-MATCH($A$1,fork_awake_units!$1:$1,0)+1),MATCH(C$1,fork_awake_units!$1:$1,0)-MATCH($A$1,fork_awake_units!$1:$1,0)+1,FALSE)</f>
        <v>495</v>
      </c>
      <c r="D694" s="3" t="str">
        <f ca="1">VLOOKUP($C694,OFFSET([2]characters!$A$1,0,0,COUNTA([2]characters!$A:$A),MATCH(D$1,[2]characters!$1:$1,0)-MATCH($A$1,[2]characters!$1:$1,0)+1),MATCH(D$1,[2]characters!$1:$1,0)-MATCH($A$1,[2]characters!$1:$1,0)+1,FALSE)</f>
        <v>鼠災呼ぶ笛音 ハーメルン</v>
      </c>
      <c r="E694" s="66">
        <v>107</v>
      </c>
      <c r="F694" s="3" t="str">
        <f ca="1">VLOOKUP($E694,OFFSET([2]characters!$A$1,0,0,COUNTA([2]characters!$A:$A),MATCH(F$1,[2]characters!$1:$1,0)-MATCH($A$1,[2]characters!$1:$1,0)+1),MATCH(F$1,[2]characters!$1:$1,0)-MATCH($A$1,[2]characters!$1:$1,0)+1,FALSE)</f>
        <v>グリーンキャタップ</v>
      </c>
      <c r="G694" s="66">
        <v>2</v>
      </c>
      <c r="H694" s="66">
        <v>1</v>
      </c>
      <c r="I694" s="66">
        <v>1</v>
      </c>
    </row>
    <row r="695" spans="1:9" x14ac:dyDescent="0.15">
      <c r="A695" s="66">
        <v>494</v>
      </c>
      <c r="B695" s="3" t="str">
        <f ca="1">VLOOKUP($A695,OFFSET([2]characters!$A$1,0,0,COUNTA([2]characters!$A:$A),MATCH(B$1,[2]characters!$1:$1,0)-MATCH($A$1,[2]characters!$1:$1,0)+1),MATCH(B$1,[2]characters!$1:$1,0)-MATCH($A$1,[2]characters!$1:$1,0)+1,FALSE)</f>
        <v>ハーメルン</v>
      </c>
      <c r="C695" s="93">
        <f ca="1">VLOOKUP($A695,OFFSET(fork_awake_units!$A$1,0,0,COUNTA(fork_awake_units!$A:$A),MATCH(C$1,fork_awake_units!$1:$1,0)-MATCH($A$1,fork_awake_units!$1:$1,0)+1),MATCH(C$1,fork_awake_units!$1:$1,0)-MATCH($A$1,fork_awake_units!$1:$1,0)+1,FALSE)</f>
        <v>495</v>
      </c>
      <c r="D695" s="3" t="str">
        <f ca="1">VLOOKUP($C695,OFFSET([2]characters!$A$1,0,0,COUNTA([2]characters!$A:$A),MATCH(D$1,[2]characters!$1:$1,0)-MATCH($A$1,[2]characters!$1:$1,0)+1),MATCH(D$1,[2]characters!$1:$1,0)-MATCH($A$1,[2]characters!$1:$1,0)+1,FALSE)</f>
        <v>鼠災呼ぶ笛音 ハーメルン</v>
      </c>
      <c r="E695" s="66">
        <v>108</v>
      </c>
      <c r="F695" s="3" t="str">
        <f ca="1">VLOOKUP($E695,OFFSET([2]characters!$A$1,0,0,COUNTA([2]characters!$A:$A),MATCH(F$1,[2]characters!$1:$1,0)-MATCH($A$1,[2]characters!$1:$1,0)+1),MATCH(F$1,[2]characters!$1:$1,0)-MATCH($A$1,[2]characters!$1:$1,0)+1,FALSE)</f>
        <v>森のマッドハッター</v>
      </c>
      <c r="G695" s="66">
        <v>1</v>
      </c>
      <c r="H695" s="66">
        <v>1</v>
      </c>
      <c r="I695" s="66">
        <v>1</v>
      </c>
    </row>
    <row r="696" spans="1:9" x14ac:dyDescent="0.15">
      <c r="A696" s="66">
        <v>494</v>
      </c>
      <c r="B696" s="3" t="str">
        <f ca="1">VLOOKUP($A696,OFFSET([2]characters!$A$1,0,0,COUNTA([2]characters!$A:$A),MATCH(B$1,[2]characters!$1:$1,0)-MATCH($A$1,[2]characters!$1:$1,0)+1),MATCH(B$1,[2]characters!$1:$1,0)-MATCH($A$1,[2]characters!$1:$1,0)+1,FALSE)</f>
        <v>ハーメルン</v>
      </c>
      <c r="C696" s="93">
        <f ca="1">VLOOKUP($A696,OFFSET(fork_awake_units!$A$1,0,0,COUNTA(fork_awake_units!$A:$A),MATCH(C$1,fork_awake_units!$1:$1,0)-MATCH($A$1,fork_awake_units!$1:$1,0)+1),MATCH(C$1,fork_awake_units!$1:$1,0)-MATCH($A$1,fork_awake_units!$1:$1,0)+1,FALSE)</f>
        <v>495</v>
      </c>
      <c r="D696" s="3" t="str">
        <f ca="1">VLOOKUP($C696,OFFSET([2]characters!$A$1,0,0,COUNTA([2]characters!$A:$A),MATCH(D$1,[2]characters!$1:$1,0)-MATCH($A$1,[2]characters!$1:$1,0)+1),MATCH(D$1,[2]characters!$1:$1,0)-MATCH($A$1,[2]characters!$1:$1,0)+1,FALSE)</f>
        <v>鼠災呼ぶ笛音 ハーメルン</v>
      </c>
      <c r="E696" s="66">
        <v>300</v>
      </c>
      <c r="F696" s="3" t="str">
        <f ca="1">VLOOKUP($E696,OFFSET([2]characters!$A$1,0,0,COUNTA([2]characters!$A:$A),MATCH(F$1,[2]characters!$1:$1,0)-MATCH($A$1,[2]characters!$1:$1,0)+1),MATCH(F$1,[2]characters!$1:$1,0)-MATCH($A$1,[2]characters!$1:$1,0)+1,FALSE)</f>
        <v>毒殺のチカ</v>
      </c>
      <c r="G696" s="66">
        <v>1</v>
      </c>
      <c r="H696" s="66">
        <v>1</v>
      </c>
      <c r="I696" s="66">
        <v>1</v>
      </c>
    </row>
    <row r="697" spans="1:9" x14ac:dyDescent="0.15">
      <c r="A697" s="66">
        <v>494</v>
      </c>
      <c r="B697" s="3" t="str">
        <f ca="1">VLOOKUP($A697,OFFSET([2]characters!$A$1,0,0,COUNTA([2]characters!$A:$A),MATCH(B$1,[2]characters!$1:$1,0)-MATCH($A$1,[2]characters!$1:$1,0)+1),MATCH(B$1,[2]characters!$1:$1,0)-MATCH($A$1,[2]characters!$1:$1,0)+1,FALSE)</f>
        <v>ハーメルン</v>
      </c>
      <c r="C697" s="93">
        <f ca="1">VLOOKUP($A697,OFFSET(fork_awake_units!$A$1,0,0,COUNTA(fork_awake_units!$A:$A),MATCH(C$1,fork_awake_units!$1:$1,0)-MATCH($A$1,fork_awake_units!$1:$1,0)+1),MATCH(C$1,fork_awake_units!$1:$1,0)-MATCH($A$1,fork_awake_units!$1:$1,0)+1,FALSE)</f>
        <v>495</v>
      </c>
      <c r="D697" s="3" t="str">
        <f ca="1">VLOOKUP($C697,OFFSET([2]characters!$A$1,0,0,COUNTA([2]characters!$A:$A),MATCH(D$1,[2]characters!$1:$1,0)-MATCH($A$1,[2]characters!$1:$1,0)+1),MATCH(D$1,[2]characters!$1:$1,0)-MATCH($A$1,[2]characters!$1:$1,0)+1,FALSE)</f>
        <v>鼠災呼ぶ笛音 ハーメルン</v>
      </c>
      <c r="E697" s="66">
        <v>454</v>
      </c>
      <c r="F697" s="3" t="str">
        <f ca="1">VLOOKUP($E697,OFFSET([2]characters!$A$1,0,0,COUNTA([2]characters!$A:$A),MATCH(F$1,[2]characters!$1:$1,0)-MATCH($A$1,[2]characters!$1:$1,0)+1),MATCH(F$1,[2]characters!$1:$1,0)-MATCH($A$1,[2]characters!$1:$1,0)+1,FALSE)</f>
        <v>二闘 レッサとギガン</v>
      </c>
      <c r="G697" s="66">
        <v>1</v>
      </c>
      <c r="H697" s="66">
        <v>1</v>
      </c>
      <c r="I697" s="66">
        <v>1</v>
      </c>
    </row>
    <row r="698" spans="1:9" x14ac:dyDescent="0.15">
      <c r="A698" s="66">
        <v>495</v>
      </c>
      <c r="B698" s="3" t="str">
        <f ca="1">VLOOKUP($A698,OFFSET([2]characters!$A$1,0,0,COUNTA([2]characters!$A:$A),MATCH(B$1,[2]characters!$1:$1,0)-MATCH($A$1,[2]characters!$1:$1,0)+1),MATCH(B$1,[2]characters!$1:$1,0)-MATCH($A$1,[2]characters!$1:$1,0)+1,FALSE)</f>
        <v>鼠災呼ぶ笛音 ハーメルン</v>
      </c>
      <c r="C698" s="93">
        <f ca="1">VLOOKUP($A698,OFFSET(fork_awake_units!$A$1,0,0,COUNTA(fork_awake_units!$A:$A),MATCH(C$1,fork_awake_units!$1:$1,0)-MATCH($A$1,fork_awake_units!$1:$1,0)+1),MATCH(C$1,fork_awake_units!$1:$1,0)-MATCH($A$1,fork_awake_units!$1:$1,0)+1,FALSE)</f>
        <v>823</v>
      </c>
      <c r="D698" s="3" t="str">
        <f ca="1">VLOOKUP($C698,OFFSET([2]characters!$A$1,0,0,COUNTA([2]characters!$A:$A),MATCH(D$1,[2]characters!$1:$1,0)-MATCH($A$1,[2]characters!$1:$1,0)+1),MATCH(D$1,[2]characters!$1:$1,0)-MATCH($A$1,[2]characters!$1:$1,0)+1,FALSE)</f>
        <v>跳鼠の睡奏楽 ハーメルン</v>
      </c>
      <c r="E698" s="66">
        <v>106</v>
      </c>
      <c r="F698" s="3" t="str">
        <f ca="1">VLOOKUP($E698,OFFSET([2]characters!$A$1,0,0,COUNTA([2]characters!$A:$A),MATCH(F$1,[2]characters!$1:$1,0)-MATCH($A$1,[2]characters!$1:$1,0)+1),MATCH(F$1,[2]characters!$1:$1,0)-MATCH($A$1,[2]characters!$1:$1,0)+1,FALSE)</f>
        <v>グリーンラビット</v>
      </c>
      <c r="G698" s="66">
        <v>1</v>
      </c>
      <c r="H698" s="66">
        <v>1</v>
      </c>
      <c r="I698" s="66">
        <v>1</v>
      </c>
    </row>
    <row r="699" spans="1:9" x14ac:dyDescent="0.15">
      <c r="A699" s="66">
        <v>495</v>
      </c>
      <c r="B699" s="3" t="str">
        <f ca="1">VLOOKUP($A699,OFFSET([2]characters!$A$1,0,0,COUNTA([2]characters!$A:$A),MATCH(B$1,[2]characters!$1:$1,0)-MATCH($A$1,[2]characters!$1:$1,0)+1),MATCH(B$1,[2]characters!$1:$1,0)-MATCH($A$1,[2]characters!$1:$1,0)+1,FALSE)</f>
        <v>鼠災呼ぶ笛音 ハーメルン</v>
      </c>
      <c r="C699" s="93">
        <f ca="1">VLOOKUP($A699,OFFSET(fork_awake_units!$A$1,0,0,COUNTA(fork_awake_units!$A:$A),MATCH(C$1,fork_awake_units!$1:$1,0)-MATCH($A$1,fork_awake_units!$1:$1,0)+1),MATCH(C$1,fork_awake_units!$1:$1,0)-MATCH($A$1,fork_awake_units!$1:$1,0)+1,FALSE)</f>
        <v>823</v>
      </c>
      <c r="D699" s="3" t="str">
        <f ca="1">VLOOKUP($C699,OFFSET([2]characters!$A$1,0,0,COUNTA([2]characters!$A:$A),MATCH(D$1,[2]characters!$1:$1,0)-MATCH($A$1,[2]characters!$1:$1,0)+1),MATCH(D$1,[2]characters!$1:$1,0)-MATCH($A$1,[2]characters!$1:$1,0)+1,FALSE)</f>
        <v>跳鼠の睡奏楽 ハーメルン</v>
      </c>
      <c r="E699" s="66">
        <v>107</v>
      </c>
      <c r="F699" s="3" t="str">
        <f ca="1">VLOOKUP($E699,OFFSET([2]characters!$A$1,0,0,COUNTA([2]characters!$A:$A),MATCH(F$1,[2]characters!$1:$1,0)-MATCH($A$1,[2]characters!$1:$1,0)+1),MATCH(F$1,[2]characters!$1:$1,0)-MATCH($A$1,[2]characters!$1:$1,0)+1,FALSE)</f>
        <v>グリーンキャタップ</v>
      </c>
      <c r="G699" s="66">
        <v>1</v>
      </c>
      <c r="H699" s="66">
        <v>1</v>
      </c>
      <c r="I699" s="66">
        <v>1</v>
      </c>
    </row>
    <row r="700" spans="1:9" x14ac:dyDescent="0.15">
      <c r="A700" s="66">
        <v>495</v>
      </c>
      <c r="B700" s="3" t="str">
        <f ca="1">VLOOKUP($A700,OFFSET([2]characters!$A$1,0,0,COUNTA([2]characters!$A:$A),MATCH(B$1,[2]characters!$1:$1,0)-MATCH($A$1,[2]characters!$1:$1,0)+1),MATCH(B$1,[2]characters!$1:$1,0)-MATCH($A$1,[2]characters!$1:$1,0)+1,FALSE)</f>
        <v>鼠災呼ぶ笛音 ハーメルン</v>
      </c>
      <c r="C700" s="93">
        <f ca="1">VLOOKUP($A700,OFFSET(fork_awake_units!$A$1,0,0,COUNTA(fork_awake_units!$A:$A),MATCH(C$1,fork_awake_units!$1:$1,0)-MATCH($A$1,fork_awake_units!$1:$1,0)+1),MATCH(C$1,fork_awake_units!$1:$1,0)-MATCH($A$1,fork_awake_units!$1:$1,0)+1,FALSE)</f>
        <v>823</v>
      </c>
      <c r="D700" s="3" t="str">
        <f ca="1">VLOOKUP($C700,OFFSET([2]characters!$A$1,0,0,COUNTA([2]characters!$A:$A),MATCH(D$1,[2]characters!$1:$1,0)-MATCH($A$1,[2]characters!$1:$1,0)+1),MATCH(D$1,[2]characters!$1:$1,0)-MATCH($A$1,[2]characters!$1:$1,0)+1,FALSE)</f>
        <v>跳鼠の睡奏楽 ハーメルン</v>
      </c>
      <c r="E700" s="66">
        <v>108</v>
      </c>
      <c r="F700" s="3" t="str">
        <f ca="1">VLOOKUP($E700,OFFSET([2]characters!$A$1,0,0,COUNTA([2]characters!$A:$A),MATCH(F$1,[2]characters!$1:$1,0)-MATCH($A$1,[2]characters!$1:$1,0)+1),MATCH(F$1,[2]characters!$1:$1,0)-MATCH($A$1,[2]characters!$1:$1,0)+1,FALSE)</f>
        <v>森のマッドハッター</v>
      </c>
      <c r="G700" s="66">
        <v>1</v>
      </c>
      <c r="H700" s="66">
        <v>1</v>
      </c>
      <c r="I700" s="66">
        <v>1</v>
      </c>
    </row>
    <row r="701" spans="1:9" x14ac:dyDescent="0.15">
      <c r="A701" s="66">
        <v>495</v>
      </c>
      <c r="B701" s="3" t="str">
        <f ca="1">VLOOKUP($A701,OFFSET([2]characters!$A$1,0,0,COUNTA([2]characters!$A:$A),MATCH(B$1,[2]characters!$1:$1,0)-MATCH($A$1,[2]characters!$1:$1,0)+1),MATCH(B$1,[2]characters!$1:$1,0)-MATCH($A$1,[2]characters!$1:$1,0)+1,FALSE)</f>
        <v>鼠災呼ぶ笛音 ハーメルン</v>
      </c>
      <c r="C701" s="93">
        <f ca="1">VLOOKUP($A701,OFFSET(fork_awake_units!$A$1,0,0,COUNTA(fork_awake_units!$A:$A),MATCH(C$1,fork_awake_units!$1:$1,0)-MATCH($A$1,fork_awake_units!$1:$1,0)+1),MATCH(C$1,fork_awake_units!$1:$1,0)-MATCH($A$1,fork_awake_units!$1:$1,0)+1,FALSE)</f>
        <v>823</v>
      </c>
      <c r="D701" s="3" t="str">
        <f ca="1">VLOOKUP($C701,OFFSET([2]characters!$A$1,0,0,COUNTA([2]characters!$A:$A),MATCH(D$1,[2]characters!$1:$1,0)-MATCH($A$1,[2]characters!$1:$1,0)+1),MATCH(D$1,[2]characters!$1:$1,0)-MATCH($A$1,[2]characters!$1:$1,0)+1,FALSE)</f>
        <v>跳鼠の睡奏楽 ハーメルン</v>
      </c>
      <c r="E701" s="66">
        <v>837</v>
      </c>
      <c r="F701" s="3" t="str">
        <f ca="1">VLOOKUP($E701,OFFSET([2]characters!$A$1,0,0,COUNTA([2]characters!$A:$A),MATCH(F$1,[2]characters!$1:$1,0)-MATCH($A$1,[2]characters!$1:$1,0)+1),MATCH(F$1,[2]characters!$1:$1,0)-MATCH($A$1,[2]characters!$1:$1,0)+1,FALSE)</f>
        <v>リトルハンプティ</v>
      </c>
      <c r="G701" s="66">
        <v>1</v>
      </c>
      <c r="H701" s="66">
        <v>1</v>
      </c>
      <c r="I701" s="66">
        <v>1</v>
      </c>
    </row>
    <row r="702" spans="1:9" x14ac:dyDescent="0.15">
      <c r="A702" s="66">
        <v>496</v>
      </c>
      <c r="B702" s="3" t="str">
        <f ca="1">VLOOKUP($A702,OFFSET([2]characters!$A$1,0,0,COUNTA([2]characters!$A:$A),MATCH(B$1,[2]characters!$1:$1,0)-MATCH($A$1,[2]characters!$1:$1,0)+1),MATCH(B$1,[2]characters!$1:$1,0)-MATCH($A$1,[2]characters!$1:$1,0)+1,FALSE)</f>
        <v>エスタブ</v>
      </c>
      <c r="C702" s="93">
        <f ca="1">VLOOKUP($A702,OFFSET(fork_awake_units!$A$1,0,0,COUNTA(fork_awake_units!$A:$A),MATCH(C$1,fork_awake_units!$1:$1,0)-MATCH($A$1,fork_awake_units!$1:$1,0)+1),MATCH(C$1,fork_awake_units!$1:$1,0)-MATCH($A$1,fork_awake_units!$1:$1,0)+1,FALSE)</f>
        <v>497</v>
      </c>
      <c r="D702" s="3" t="str">
        <f ca="1">VLOOKUP($C702,OFFSET([2]characters!$A$1,0,0,COUNTA([2]characters!$A:$A),MATCH(D$1,[2]characters!$1:$1,0)-MATCH($A$1,[2]characters!$1:$1,0)+1),MATCH(D$1,[2]characters!$1:$1,0)-MATCH($A$1,[2]characters!$1:$1,0)+1,FALSE)</f>
        <v>偏愛の野獣 エスタブ</v>
      </c>
      <c r="E702" s="66">
        <v>110</v>
      </c>
      <c r="F702" s="3" t="str">
        <f ca="1">VLOOKUP($E702,OFFSET([2]characters!$A$1,0,0,COUNTA([2]characters!$A:$A),MATCH(F$1,[2]characters!$1:$1,0)-MATCH($A$1,[2]characters!$1:$1,0)+1),MATCH(F$1,[2]characters!$1:$1,0)-MATCH($A$1,[2]characters!$1:$1,0)+1,FALSE)</f>
        <v>ブルーラビット</v>
      </c>
      <c r="G702" s="66">
        <v>1</v>
      </c>
      <c r="H702" s="66">
        <v>1</v>
      </c>
      <c r="I702" s="66">
        <v>1</v>
      </c>
    </row>
    <row r="703" spans="1:9" x14ac:dyDescent="0.15">
      <c r="A703" s="66">
        <v>496</v>
      </c>
      <c r="B703" s="3" t="str">
        <f ca="1">VLOOKUP($A703,OFFSET([2]characters!$A$1,0,0,COUNTA([2]characters!$A:$A),MATCH(B$1,[2]characters!$1:$1,0)-MATCH($A$1,[2]characters!$1:$1,0)+1),MATCH(B$1,[2]characters!$1:$1,0)-MATCH($A$1,[2]characters!$1:$1,0)+1,FALSE)</f>
        <v>エスタブ</v>
      </c>
      <c r="C703" s="93">
        <f ca="1">VLOOKUP($A703,OFFSET(fork_awake_units!$A$1,0,0,COUNTA(fork_awake_units!$A:$A),MATCH(C$1,fork_awake_units!$1:$1,0)-MATCH($A$1,fork_awake_units!$1:$1,0)+1),MATCH(C$1,fork_awake_units!$1:$1,0)-MATCH($A$1,fork_awake_units!$1:$1,0)+1,FALSE)</f>
        <v>497</v>
      </c>
      <c r="D703" s="3" t="str">
        <f ca="1">VLOOKUP($C703,OFFSET([2]characters!$A$1,0,0,COUNTA([2]characters!$A:$A),MATCH(D$1,[2]characters!$1:$1,0)-MATCH($A$1,[2]characters!$1:$1,0)+1),MATCH(D$1,[2]characters!$1:$1,0)-MATCH($A$1,[2]characters!$1:$1,0)+1,FALSE)</f>
        <v>偏愛の野獣 エスタブ</v>
      </c>
      <c r="E703" s="66">
        <v>111</v>
      </c>
      <c r="F703" s="3" t="str">
        <f ca="1">VLOOKUP($E703,OFFSET([2]characters!$A$1,0,0,COUNTA([2]characters!$A:$A),MATCH(F$1,[2]characters!$1:$1,0)-MATCH($A$1,[2]characters!$1:$1,0)+1),MATCH(F$1,[2]characters!$1:$1,0)-MATCH($A$1,[2]characters!$1:$1,0)+1,FALSE)</f>
        <v>ブルーキャタップ</v>
      </c>
      <c r="G703" s="66">
        <v>3</v>
      </c>
      <c r="H703" s="66">
        <v>1</v>
      </c>
      <c r="I703" s="66">
        <v>1</v>
      </c>
    </row>
    <row r="704" spans="1:9" x14ac:dyDescent="0.15">
      <c r="A704" s="66">
        <v>497</v>
      </c>
      <c r="B704" s="3" t="str">
        <f ca="1">VLOOKUP($A704,OFFSET([2]characters!$A$1,0,0,COUNTA([2]characters!$A:$A),MATCH(B$1,[2]characters!$1:$1,0)-MATCH($A$1,[2]characters!$1:$1,0)+1),MATCH(B$1,[2]characters!$1:$1,0)-MATCH($A$1,[2]characters!$1:$1,0)+1,FALSE)</f>
        <v>偏愛の野獣 エスタブ</v>
      </c>
      <c r="C704" s="93">
        <f ca="1">VLOOKUP($A704,OFFSET(fork_awake_units!$A$1,0,0,COUNTA(fork_awake_units!$A:$A),MATCH(C$1,fork_awake_units!$1:$1,0)-MATCH($A$1,fork_awake_units!$1:$1,0)+1),MATCH(C$1,fork_awake_units!$1:$1,0)-MATCH($A$1,fork_awake_units!$1:$1,0)+1,FALSE)</f>
        <v>498</v>
      </c>
      <c r="D704" s="3" t="str">
        <f ca="1">VLOOKUP($C704,OFFSET([2]characters!$A$1,0,0,COUNTA([2]characters!$A:$A),MATCH(D$1,[2]characters!$1:$1,0)-MATCH($A$1,[2]characters!$1:$1,0)+1),MATCH(D$1,[2]characters!$1:$1,0)-MATCH($A$1,[2]characters!$1:$1,0)+1,FALSE)</f>
        <v>自愛の高魔 エスタブ</v>
      </c>
      <c r="E704" s="66">
        <v>110</v>
      </c>
      <c r="F704" s="3" t="str">
        <f ca="1">VLOOKUP($E704,OFFSET([2]characters!$A$1,0,0,COUNTA([2]characters!$A:$A),MATCH(F$1,[2]characters!$1:$1,0)-MATCH($A$1,[2]characters!$1:$1,0)+1),MATCH(F$1,[2]characters!$1:$1,0)-MATCH($A$1,[2]characters!$1:$1,0)+1,FALSE)</f>
        <v>ブルーラビット</v>
      </c>
      <c r="G704" s="66">
        <v>1</v>
      </c>
      <c r="H704" s="66">
        <v>1</v>
      </c>
      <c r="I704" s="66">
        <v>1</v>
      </c>
    </row>
    <row r="705" spans="1:9" x14ac:dyDescent="0.15">
      <c r="A705" s="66">
        <v>497</v>
      </c>
      <c r="B705" s="3" t="str">
        <f ca="1">VLOOKUP($A705,OFFSET([2]characters!$A$1,0,0,COUNTA([2]characters!$A:$A),MATCH(B$1,[2]characters!$1:$1,0)-MATCH($A$1,[2]characters!$1:$1,0)+1),MATCH(B$1,[2]characters!$1:$1,0)-MATCH($A$1,[2]characters!$1:$1,0)+1,FALSE)</f>
        <v>偏愛の野獣 エスタブ</v>
      </c>
      <c r="C705" s="93">
        <f ca="1">VLOOKUP($A705,OFFSET(fork_awake_units!$A$1,0,0,COUNTA(fork_awake_units!$A:$A),MATCH(C$1,fork_awake_units!$1:$1,0)-MATCH($A$1,fork_awake_units!$1:$1,0)+1),MATCH(C$1,fork_awake_units!$1:$1,0)-MATCH($A$1,fork_awake_units!$1:$1,0)+1,FALSE)</f>
        <v>498</v>
      </c>
      <c r="D705" s="3" t="str">
        <f ca="1">VLOOKUP($C705,OFFSET([2]characters!$A$1,0,0,COUNTA([2]characters!$A:$A),MATCH(D$1,[2]characters!$1:$1,0)-MATCH($A$1,[2]characters!$1:$1,0)+1),MATCH(D$1,[2]characters!$1:$1,0)-MATCH($A$1,[2]characters!$1:$1,0)+1,FALSE)</f>
        <v>自愛の高魔 エスタブ</v>
      </c>
      <c r="E705" s="66">
        <v>111</v>
      </c>
      <c r="F705" s="3" t="str">
        <f ca="1">VLOOKUP($E705,OFFSET([2]characters!$A$1,0,0,COUNTA([2]characters!$A:$A),MATCH(F$1,[2]characters!$1:$1,0)-MATCH($A$1,[2]characters!$1:$1,0)+1),MATCH(F$1,[2]characters!$1:$1,0)-MATCH($A$1,[2]characters!$1:$1,0)+1,FALSE)</f>
        <v>ブルーキャタップ</v>
      </c>
      <c r="G705" s="66">
        <v>2</v>
      </c>
      <c r="H705" s="66">
        <v>1</v>
      </c>
      <c r="I705" s="66">
        <v>1</v>
      </c>
    </row>
    <row r="706" spans="1:9" x14ac:dyDescent="0.15">
      <c r="A706" s="66">
        <v>497</v>
      </c>
      <c r="B706" s="3" t="str">
        <f ca="1">VLOOKUP($A706,OFFSET([2]characters!$A$1,0,0,COUNTA([2]characters!$A:$A),MATCH(B$1,[2]characters!$1:$1,0)-MATCH($A$1,[2]characters!$1:$1,0)+1),MATCH(B$1,[2]characters!$1:$1,0)-MATCH($A$1,[2]characters!$1:$1,0)+1,FALSE)</f>
        <v>偏愛の野獣 エスタブ</v>
      </c>
      <c r="C706" s="93">
        <f ca="1">VLOOKUP($A706,OFFSET(fork_awake_units!$A$1,0,0,COUNTA(fork_awake_units!$A:$A),MATCH(C$1,fork_awake_units!$1:$1,0)-MATCH($A$1,fork_awake_units!$1:$1,0)+1),MATCH(C$1,fork_awake_units!$1:$1,0)-MATCH($A$1,fork_awake_units!$1:$1,0)+1,FALSE)</f>
        <v>498</v>
      </c>
      <c r="D706" s="3" t="str">
        <f ca="1">VLOOKUP($C706,OFFSET([2]characters!$A$1,0,0,COUNTA([2]characters!$A:$A),MATCH(D$1,[2]characters!$1:$1,0)-MATCH($A$1,[2]characters!$1:$1,0)+1),MATCH(D$1,[2]characters!$1:$1,0)-MATCH($A$1,[2]characters!$1:$1,0)+1,FALSE)</f>
        <v>自愛の高魔 エスタブ</v>
      </c>
      <c r="E706" s="66">
        <v>112</v>
      </c>
      <c r="F706" s="3" t="str">
        <f ca="1">VLOOKUP($E706,OFFSET([2]characters!$A$1,0,0,COUNTA([2]characters!$A:$A),MATCH(F$1,[2]characters!$1:$1,0)-MATCH($A$1,[2]characters!$1:$1,0)+1),MATCH(F$1,[2]characters!$1:$1,0)-MATCH($A$1,[2]characters!$1:$1,0)+1,FALSE)</f>
        <v>水のマッドハッター</v>
      </c>
      <c r="G706" s="66">
        <v>2</v>
      </c>
      <c r="H706" s="66">
        <v>1</v>
      </c>
      <c r="I706" s="66">
        <v>1</v>
      </c>
    </row>
    <row r="707" spans="1:9" x14ac:dyDescent="0.15">
      <c r="A707" s="66">
        <v>499</v>
      </c>
      <c r="B707" s="3" t="str">
        <f ca="1">VLOOKUP($A707,OFFSET([2]characters!$A$1,0,0,COUNTA([2]characters!$A:$A),MATCH(B$1,[2]characters!$1:$1,0)-MATCH($A$1,[2]characters!$1:$1,0)+1),MATCH(B$1,[2]characters!$1:$1,0)-MATCH($A$1,[2]characters!$1:$1,0)+1,FALSE)</f>
        <v>ラプンツェル</v>
      </c>
      <c r="C707" s="93">
        <f ca="1">VLOOKUP($A707,OFFSET(fork_awake_units!$A$1,0,0,COUNTA(fork_awake_units!$A:$A),MATCH(C$1,fork_awake_units!$1:$1,0)-MATCH($A$1,fork_awake_units!$1:$1,0)+1),MATCH(C$1,fork_awake_units!$1:$1,0)-MATCH($A$1,fork_awake_units!$1:$1,0)+1,FALSE)</f>
        <v>500</v>
      </c>
      <c r="D707" s="3" t="str">
        <f ca="1">VLOOKUP($C707,OFFSET([2]characters!$A$1,0,0,COUNTA([2]characters!$A:$A),MATCH(D$1,[2]characters!$1:$1,0)-MATCH($A$1,[2]characters!$1:$1,0)+1),MATCH(D$1,[2]characters!$1:$1,0)-MATCH($A$1,[2]characters!$1:$1,0)+1,FALSE)</f>
        <v>脈動の禁髪 ラプンツェル</v>
      </c>
      <c r="E707" s="66">
        <v>115</v>
      </c>
      <c r="F707" s="3" t="str">
        <f ca="1">VLOOKUP($E707,OFFSET([2]characters!$A$1,0,0,COUNTA([2]characters!$A:$A),MATCH(F$1,[2]characters!$1:$1,0)-MATCH($A$1,[2]characters!$1:$1,0)+1),MATCH(F$1,[2]characters!$1:$1,0)-MATCH($A$1,[2]characters!$1:$1,0)+1,FALSE)</f>
        <v>イエローキャタップ</v>
      </c>
      <c r="G707" s="66">
        <v>2</v>
      </c>
      <c r="H707" s="66">
        <v>1</v>
      </c>
      <c r="I707" s="66">
        <v>1</v>
      </c>
    </row>
    <row r="708" spans="1:9" x14ac:dyDescent="0.15">
      <c r="A708" s="66">
        <v>499</v>
      </c>
      <c r="B708" s="3" t="str">
        <f ca="1">VLOOKUP($A708,OFFSET([2]characters!$A$1,0,0,COUNTA([2]characters!$A:$A),MATCH(B$1,[2]characters!$1:$1,0)-MATCH($A$1,[2]characters!$1:$1,0)+1),MATCH(B$1,[2]characters!$1:$1,0)-MATCH($A$1,[2]characters!$1:$1,0)+1,FALSE)</f>
        <v>ラプンツェル</v>
      </c>
      <c r="C708" s="93">
        <f ca="1">VLOOKUP($A708,OFFSET(fork_awake_units!$A$1,0,0,COUNTA(fork_awake_units!$A:$A),MATCH(C$1,fork_awake_units!$1:$1,0)-MATCH($A$1,fork_awake_units!$1:$1,0)+1),MATCH(C$1,fork_awake_units!$1:$1,0)-MATCH($A$1,fork_awake_units!$1:$1,0)+1,FALSE)</f>
        <v>500</v>
      </c>
      <c r="D708" s="3" t="str">
        <f ca="1">VLOOKUP($C708,OFFSET([2]characters!$A$1,0,0,COUNTA([2]characters!$A:$A),MATCH(D$1,[2]characters!$1:$1,0)-MATCH($A$1,[2]characters!$1:$1,0)+1),MATCH(D$1,[2]characters!$1:$1,0)-MATCH($A$1,[2]characters!$1:$1,0)+1,FALSE)</f>
        <v>脈動の禁髪 ラプンツェル</v>
      </c>
      <c r="E708" s="66">
        <v>116</v>
      </c>
      <c r="F708" s="3" t="str">
        <f ca="1">VLOOKUP($E708,OFFSET([2]characters!$A$1,0,0,COUNTA([2]characters!$A:$A),MATCH(F$1,[2]characters!$1:$1,0)-MATCH($A$1,[2]characters!$1:$1,0)+1),MATCH(F$1,[2]characters!$1:$1,0)-MATCH($A$1,[2]characters!$1:$1,0)+1,FALSE)</f>
        <v>雷のマッドハッター</v>
      </c>
      <c r="G708" s="66">
        <v>1</v>
      </c>
      <c r="H708" s="66">
        <v>1</v>
      </c>
      <c r="I708" s="66">
        <v>1</v>
      </c>
    </row>
    <row r="709" spans="1:9" x14ac:dyDescent="0.15">
      <c r="A709" s="66">
        <v>499</v>
      </c>
      <c r="B709" s="3" t="str">
        <f ca="1">VLOOKUP($A709,OFFSET([2]characters!$A$1,0,0,COUNTA([2]characters!$A:$A),MATCH(B$1,[2]characters!$1:$1,0)-MATCH($A$1,[2]characters!$1:$1,0)+1),MATCH(B$1,[2]characters!$1:$1,0)-MATCH($A$1,[2]characters!$1:$1,0)+1,FALSE)</f>
        <v>ラプンツェル</v>
      </c>
      <c r="C709" s="93">
        <f ca="1">VLOOKUP($A709,OFFSET(fork_awake_units!$A$1,0,0,COUNTA(fork_awake_units!$A:$A),MATCH(C$1,fork_awake_units!$1:$1,0)-MATCH($A$1,fork_awake_units!$1:$1,0)+1),MATCH(C$1,fork_awake_units!$1:$1,0)-MATCH($A$1,fork_awake_units!$1:$1,0)+1,FALSE)</f>
        <v>500</v>
      </c>
      <c r="D709" s="3" t="str">
        <f ca="1">VLOOKUP($C709,OFFSET([2]characters!$A$1,0,0,COUNTA([2]characters!$A:$A),MATCH(D$1,[2]characters!$1:$1,0)-MATCH($A$1,[2]characters!$1:$1,0)+1),MATCH(D$1,[2]characters!$1:$1,0)-MATCH($A$1,[2]characters!$1:$1,0)+1,FALSE)</f>
        <v>脈動の禁髪 ラプンツェル</v>
      </c>
      <c r="E709" s="66">
        <v>288</v>
      </c>
      <c r="F709" s="3" t="str">
        <f ca="1">VLOOKUP($E709,OFFSET([2]characters!$A$1,0,0,COUNTA([2]characters!$A:$A),MATCH(F$1,[2]characters!$1:$1,0)-MATCH($A$1,[2]characters!$1:$1,0)+1),MATCH(F$1,[2]characters!$1:$1,0)-MATCH($A$1,[2]characters!$1:$1,0)+1,FALSE)</f>
        <v>ミカド</v>
      </c>
      <c r="G709" s="66">
        <v>1</v>
      </c>
      <c r="H709" s="66">
        <v>1</v>
      </c>
      <c r="I709" s="66">
        <v>1</v>
      </c>
    </row>
    <row r="710" spans="1:9" x14ac:dyDescent="0.15">
      <c r="A710" s="66">
        <v>499</v>
      </c>
      <c r="B710" s="3" t="str">
        <f ca="1">VLOOKUP($A710,OFFSET([2]characters!$A$1,0,0,COUNTA([2]characters!$A:$A),MATCH(B$1,[2]characters!$1:$1,0)-MATCH($A$1,[2]characters!$1:$1,0)+1),MATCH(B$1,[2]characters!$1:$1,0)-MATCH($A$1,[2]characters!$1:$1,0)+1,FALSE)</f>
        <v>ラプンツェル</v>
      </c>
      <c r="C710" s="93">
        <f ca="1">VLOOKUP($A710,OFFSET(fork_awake_units!$A$1,0,0,COUNTA(fork_awake_units!$A:$A),MATCH(C$1,fork_awake_units!$1:$1,0)-MATCH($A$1,fork_awake_units!$1:$1,0)+1),MATCH(C$1,fork_awake_units!$1:$1,0)-MATCH($A$1,fork_awake_units!$1:$1,0)+1,FALSE)</f>
        <v>500</v>
      </c>
      <c r="D710" s="3" t="str">
        <f ca="1">VLOOKUP($C710,OFFSET([2]characters!$A$1,0,0,COUNTA([2]characters!$A:$A),MATCH(D$1,[2]characters!$1:$1,0)-MATCH($A$1,[2]characters!$1:$1,0)+1),MATCH(D$1,[2]characters!$1:$1,0)-MATCH($A$1,[2]characters!$1:$1,0)+1,FALSE)</f>
        <v>脈動の禁髪 ラプンツェル</v>
      </c>
      <c r="E710" s="66">
        <v>292</v>
      </c>
      <c r="F710" s="3" t="str">
        <f ca="1">VLOOKUP($E710,OFFSET([2]characters!$A$1,0,0,COUNTA([2]characters!$A:$A),MATCH(F$1,[2]characters!$1:$1,0)-MATCH($A$1,[2]characters!$1:$1,0)+1),MATCH(F$1,[2]characters!$1:$1,0)-MATCH($A$1,[2]characters!$1:$1,0)+1,FALSE)</f>
        <v>アナスタシア</v>
      </c>
      <c r="G710" s="66">
        <v>1</v>
      </c>
      <c r="H710" s="66">
        <v>1</v>
      </c>
      <c r="I710" s="66">
        <v>1</v>
      </c>
    </row>
    <row r="711" spans="1:9" x14ac:dyDescent="0.15">
      <c r="A711" s="66">
        <v>502</v>
      </c>
      <c r="B711" s="3" t="str">
        <f ca="1">VLOOKUP($A711,OFFSET([2]characters!$A$1,0,0,COUNTA([2]characters!$A:$A),MATCH(B$1,[2]characters!$1:$1,0)-MATCH($A$1,[2]characters!$1:$1,0)+1),MATCH(B$1,[2]characters!$1:$1,0)-MATCH($A$1,[2]characters!$1:$1,0)+1,FALSE)</f>
        <v>テラベル</v>
      </c>
      <c r="C711" s="93">
        <f ca="1">VLOOKUP($A711,OFFSET(fork_awake_units!$A$1,0,0,COUNTA(fork_awake_units!$A:$A),MATCH(C$1,fork_awake_units!$1:$1,0)-MATCH($A$1,fork_awake_units!$1:$1,0)+1),MATCH(C$1,fork_awake_units!$1:$1,0)-MATCH($A$1,fork_awake_units!$1:$1,0)+1,FALSE)</f>
        <v>503</v>
      </c>
      <c r="D711" s="3" t="str">
        <f ca="1">VLOOKUP($C711,OFFSET([2]characters!$A$1,0,0,COUNTA([2]characters!$A:$A),MATCH(D$1,[2]characters!$1:$1,0)-MATCH($A$1,[2]characters!$1:$1,0)+1),MATCH(D$1,[2]characters!$1:$1,0)-MATCH($A$1,[2]characters!$1:$1,0)+1,FALSE)</f>
        <v>破獣の爆姫 テラベル</v>
      </c>
      <c r="E711" s="66">
        <v>101</v>
      </c>
      <c r="F711" s="3" t="str">
        <f ca="1">VLOOKUP($E711,OFFSET([2]characters!$A$1,0,0,COUNTA([2]characters!$A:$A),MATCH(F$1,[2]characters!$1:$1,0)-MATCH($A$1,[2]characters!$1:$1,0)+1),MATCH(F$1,[2]characters!$1:$1,0)-MATCH($A$1,[2]characters!$1:$1,0)+1,FALSE)</f>
        <v>レッドチェシャ</v>
      </c>
      <c r="G711" s="66">
        <v>1</v>
      </c>
      <c r="H711" s="66">
        <v>1</v>
      </c>
      <c r="I711" s="66">
        <v>1</v>
      </c>
    </row>
    <row r="712" spans="1:9" x14ac:dyDescent="0.15">
      <c r="A712" s="66">
        <v>502</v>
      </c>
      <c r="B712" s="3" t="str">
        <f ca="1">VLOOKUP($A712,OFFSET([2]characters!$A$1,0,0,COUNTA([2]characters!$A:$A),MATCH(B$1,[2]characters!$1:$1,0)-MATCH($A$1,[2]characters!$1:$1,0)+1),MATCH(B$1,[2]characters!$1:$1,0)-MATCH($A$1,[2]characters!$1:$1,0)+1,FALSE)</f>
        <v>テラベル</v>
      </c>
      <c r="C712" s="93">
        <f ca="1">VLOOKUP($A712,OFFSET(fork_awake_units!$A$1,0,0,COUNTA(fork_awake_units!$A:$A),MATCH(C$1,fork_awake_units!$1:$1,0)-MATCH($A$1,fork_awake_units!$1:$1,0)+1),MATCH(C$1,fork_awake_units!$1:$1,0)-MATCH($A$1,fork_awake_units!$1:$1,0)+1,FALSE)</f>
        <v>503</v>
      </c>
      <c r="D712" s="3" t="str">
        <f ca="1">VLOOKUP($C712,OFFSET([2]characters!$A$1,0,0,COUNTA([2]characters!$A:$A),MATCH(D$1,[2]characters!$1:$1,0)-MATCH($A$1,[2]characters!$1:$1,0)+1),MATCH(D$1,[2]characters!$1:$1,0)-MATCH($A$1,[2]characters!$1:$1,0)+1,FALSE)</f>
        <v>破獣の爆姫 テラベル</v>
      </c>
      <c r="E712" s="66">
        <v>102</v>
      </c>
      <c r="F712" s="3" t="str">
        <f ca="1">VLOOKUP($E712,OFFSET([2]characters!$A$1,0,0,COUNTA([2]characters!$A:$A),MATCH(F$1,[2]characters!$1:$1,0)-MATCH($A$1,[2]characters!$1:$1,0)+1),MATCH(F$1,[2]characters!$1:$1,0)-MATCH($A$1,[2]characters!$1:$1,0)+1,FALSE)</f>
        <v>レッドラビット</v>
      </c>
      <c r="G712" s="66">
        <v>2</v>
      </c>
      <c r="H712" s="66">
        <v>1</v>
      </c>
      <c r="I712" s="66">
        <v>1</v>
      </c>
    </row>
    <row r="713" spans="1:9" x14ac:dyDescent="0.15">
      <c r="A713" s="66">
        <v>502</v>
      </c>
      <c r="B713" s="3" t="str">
        <f ca="1">VLOOKUP($A713,OFFSET([2]characters!$A$1,0,0,COUNTA([2]characters!$A:$A),MATCH(B$1,[2]characters!$1:$1,0)-MATCH($A$1,[2]characters!$1:$1,0)+1),MATCH(B$1,[2]characters!$1:$1,0)-MATCH($A$1,[2]characters!$1:$1,0)+1,FALSE)</f>
        <v>テラベル</v>
      </c>
      <c r="C713" s="93">
        <f ca="1">VLOOKUP($A713,OFFSET(fork_awake_units!$A$1,0,0,COUNTA(fork_awake_units!$A:$A),MATCH(C$1,fork_awake_units!$1:$1,0)-MATCH($A$1,fork_awake_units!$1:$1,0)+1),MATCH(C$1,fork_awake_units!$1:$1,0)-MATCH($A$1,fork_awake_units!$1:$1,0)+1,FALSE)</f>
        <v>503</v>
      </c>
      <c r="D713" s="3" t="str">
        <f ca="1">VLOOKUP($C713,OFFSET([2]characters!$A$1,0,0,COUNTA([2]characters!$A:$A),MATCH(D$1,[2]characters!$1:$1,0)-MATCH($A$1,[2]characters!$1:$1,0)+1),MATCH(D$1,[2]characters!$1:$1,0)-MATCH($A$1,[2]characters!$1:$1,0)+1,FALSE)</f>
        <v>破獣の爆姫 テラベル</v>
      </c>
      <c r="E713" s="66">
        <v>103</v>
      </c>
      <c r="F713" s="3" t="str">
        <f ca="1">VLOOKUP($E713,OFFSET([2]characters!$A$1,0,0,COUNTA([2]characters!$A:$A),MATCH(F$1,[2]characters!$1:$1,0)-MATCH($A$1,[2]characters!$1:$1,0)+1),MATCH(F$1,[2]characters!$1:$1,0)-MATCH($A$1,[2]characters!$1:$1,0)+1,FALSE)</f>
        <v>レッドキャタップ</v>
      </c>
      <c r="G713" s="66">
        <v>1</v>
      </c>
      <c r="H713" s="66">
        <v>1</v>
      </c>
      <c r="I713" s="66">
        <v>1</v>
      </c>
    </row>
    <row r="714" spans="1:9" x14ac:dyDescent="0.15">
      <c r="A714" s="66">
        <v>502</v>
      </c>
      <c r="B714" s="3" t="str">
        <f ca="1">VLOOKUP($A714,OFFSET([2]characters!$A$1,0,0,COUNTA([2]characters!$A:$A),MATCH(B$1,[2]characters!$1:$1,0)-MATCH($A$1,[2]characters!$1:$1,0)+1),MATCH(B$1,[2]characters!$1:$1,0)-MATCH($A$1,[2]characters!$1:$1,0)+1,FALSE)</f>
        <v>テラベル</v>
      </c>
      <c r="C714" s="93">
        <f ca="1">VLOOKUP($A714,OFFSET(fork_awake_units!$A$1,0,0,COUNTA(fork_awake_units!$A:$A),MATCH(C$1,fork_awake_units!$1:$1,0)-MATCH($A$1,fork_awake_units!$1:$1,0)+1),MATCH(C$1,fork_awake_units!$1:$1,0)-MATCH($A$1,fork_awake_units!$1:$1,0)+1,FALSE)</f>
        <v>503</v>
      </c>
      <c r="D714" s="3" t="str">
        <f ca="1">VLOOKUP($C714,OFFSET([2]characters!$A$1,0,0,COUNTA([2]characters!$A:$A),MATCH(D$1,[2]characters!$1:$1,0)-MATCH($A$1,[2]characters!$1:$1,0)+1),MATCH(D$1,[2]characters!$1:$1,0)-MATCH($A$1,[2]characters!$1:$1,0)+1,FALSE)</f>
        <v>破獣の爆姫 テラベル</v>
      </c>
      <c r="E714" s="66">
        <v>104</v>
      </c>
      <c r="F714" s="3" t="str">
        <f ca="1">VLOOKUP($E714,OFFSET([2]characters!$A$1,0,0,COUNTA([2]characters!$A:$A),MATCH(F$1,[2]characters!$1:$1,0)-MATCH($A$1,[2]characters!$1:$1,0)+1),MATCH(F$1,[2]characters!$1:$1,0)-MATCH($A$1,[2]characters!$1:$1,0)+1,FALSE)</f>
        <v>炎のマッドハッター</v>
      </c>
      <c r="G714" s="66">
        <v>1</v>
      </c>
      <c r="H714" s="66">
        <v>1</v>
      </c>
      <c r="I714" s="66">
        <v>1</v>
      </c>
    </row>
    <row r="715" spans="1:9" x14ac:dyDescent="0.15">
      <c r="A715" s="66">
        <v>504</v>
      </c>
      <c r="B715" s="3" t="str">
        <f ca="1">VLOOKUP($A715,OFFSET([2]characters!$A$1,0,0,COUNTA([2]characters!$A:$A),MATCH(B$1,[2]characters!$1:$1,0)-MATCH($A$1,[2]characters!$1:$1,0)+1),MATCH(B$1,[2]characters!$1:$1,0)-MATCH($A$1,[2]characters!$1:$1,0)+1,FALSE)</f>
        <v>ハイディン・オーガ</v>
      </c>
      <c r="C715" s="93">
        <f ca="1">VLOOKUP($A715,OFFSET(fork_awake_units!$A$1,0,0,COUNTA(fork_awake_units!$A:$A),MATCH(C$1,fork_awake_units!$1:$1,0)-MATCH($A$1,fork_awake_units!$1:$1,0)+1),MATCH(C$1,fork_awake_units!$1:$1,0)-MATCH($A$1,fork_awake_units!$1:$1,0)+1,FALSE)</f>
        <v>505</v>
      </c>
      <c r="D715" s="3" t="str">
        <f ca="1">VLOOKUP($C715,OFFSET([2]characters!$A$1,0,0,COUNTA([2]characters!$A:$A),MATCH(D$1,[2]characters!$1:$1,0)-MATCH($A$1,[2]characters!$1:$1,0)+1),MATCH(D$1,[2]characters!$1:$1,0)-MATCH($A$1,[2]characters!$1:$1,0)+1,FALSE)</f>
        <v>暴虐の漏洩 ハイディン・オーガ</v>
      </c>
      <c r="E715" s="66">
        <v>105</v>
      </c>
      <c r="F715" s="3" t="str">
        <f ca="1">VLOOKUP($E715,OFFSET([2]characters!$A$1,0,0,COUNTA([2]characters!$A:$A),MATCH(F$1,[2]characters!$1:$1,0)-MATCH($A$1,[2]characters!$1:$1,0)+1),MATCH(F$1,[2]characters!$1:$1,0)-MATCH($A$1,[2]characters!$1:$1,0)+1,FALSE)</f>
        <v>グリーンチェシャ</v>
      </c>
      <c r="G715" s="66">
        <v>1</v>
      </c>
      <c r="H715" s="66">
        <v>1</v>
      </c>
      <c r="I715" s="66">
        <v>1</v>
      </c>
    </row>
    <row r="716" spans="1:9" x14ac:dyDescent="0.15">
      <c r="A716" s="66">
        <v>504</v>
      </c>
      <c r="B716" s="3" t="str">
        <f ca="1">VLOOKUP($A716,OFFSET([2]characters!$A$1,0,0,COUNTA([2]characters!$A:$A),MATCH(B$1,[2]characters!$1:$1,0)-MATCH($A$1,[2]characters!$1:$1,0)+1),MATCH(B$1,[2]characters!$1:$1,0)-MATCH($A$1,[2]characters!$1:$1,0)+1,FALSE)</f>
        <v>ハイディン・オーガ</v>
      </c>
      <c r="C716" s="93">
        <f ca="1">VLOOKUP($A716,OFFSET(fork_awake_units!$A$1,0,0,COUNTA(fork_awake_units!$A:$A),MATCH(C$1,fork_awake_units!$1:$1,0)-MATCH($A$1,fork_awake_units!$1:$1,0)+1),MATCH(C$1,fork_awake_units!$1:$1,0)-MATCH($A$1,fork_awake_units!$1:$1,0)+1,FALSE)</f>
        <v>505</v>
      </c>
      <c r="D716" s="3" t="str">
        <f ca="1">VLOOKUP($C716,OFFSET([2]characters!$A$1,0,0,COUNTA([2]characters!$A:$A),MATCH(D$1,[2]characters!$1:$1,0)-MATCH($A$1,[2]characters!$1:$1,0)+1),MATCH(D$1,[2]characters!$1:$1,0)-MATCH($A$1,[2]characters!$1:$1,0)+1,FALSE)</f>
        <v>暴虐の漏洩 ハイディン・オーガ</v>
      </c>
      <c r="E716" s="66">
        <v>106</v>
      </c>
      <c r="F716" s="3" t="str">
        <f ca="1">VLOOKUP($E716,OFFSET([2]characters!$A$1,0,0,COUNTA([2]characters!$A:$A),MATCH(F$1,[2]characters!$1:$1,0)-MATCH($A$1,[2]characters!$1:$1,0)+1),MATCH(F$1,[2]characters!$1:$1,0)-MATCH($A$1,[2]characters!$1:$1,0)+1,FALSE)</f>
        <v>グリーンラビット</v>
      </c>
      <c r="G716" s="66">
        <v>2</v>
      </c>
      <c r="H716" s="66">
        <v>1</v>
      </c>
      <c r="I716" s="66">
        <v>1</v>
      </c>
    </row>
    <row r="717" spans="1:9" x14ac:dyDescent="0.15">
      <c r="A717" s="66">
        <v>504</v>
      </c>
      <c r="B717" s="3" t="str">
        <f ca="1">VLOOKUP($A717,OFFSET([2]characters!$A$1,0,0,COUNTA([2]characters!$A:$A),MATCH(B$1,[2]characters!$1:$1,0)-MATCH($A$1,[2]characters!$1:$1,0)+1),MATCH(B$1,[2]characters!$1:$1,0)-MATCH($A$1,[2]characters!$1:$1,0)+1,FALSE)</f>
        <v>ハイディン・オーガ</v>
      </c>
      <c r="C717" s="93">
        <f ca="1">VLOOKUP($A717,OFFSET(fork_awake_units!$A$1,0,0,COUNTA(fork_awake_units!$A:$A),MATCH(C$1,fork_awake_units!$1:$1,0)-MATCH($A$1,fork_awake_units!$1:$1,0)+1),MATCH(C$1,fork_awake_units!$1:$1,0)-MATCH($A$1,fork_awake_units!$1:$1,0)+1,FALSE)</f>
        <v>505</v>
      </c>
      <c r="D717" s="3" t="str">
        <f ca="1">VLOOKUP($C717,OFFSET([2]characters!$A$1,0,0,COUNTA([2]characters!$A:$A),MATCH(D$1,[2]characters!$1:$1,0)-MATCH($A$1,[2]characters!$1:$1,0)+1),MATCH(D$1,[2]characters!$1:$1,0)-MATCH($A$1,[2]characters!$1:$1,0)+1,FALSE)</f>
        <v>暴虐の漏洩 ハイディン・オーガ</v>
      </c>
      <c r="E717" s="66">
        <v>107</v>
      </c>
      <c r="F717" s="3" t="str">
        <f ca="1">VLOOKUP($E717,OFFSET([2]characters!$A$1,0,0,COUNTA([2]characters!$A:$A),MATCH(F$1,[2]characters!$1:$1,0)-MATCH($A$1,[2]characters!$1:$1,0)+1),MATCH(F$1,[2]characters!$1:$1,0)-MATCH($A$1,[2]characters!$1:$1,0)+1,FALSE)</f>
        <v>グリーンキャタップ</v>
      </c>
      <c r="G717" s="66">
        <v>1</v>
      </c>
      <c r="H717" s="66">
        <v>1</v>
      </c>
      <c r="I717" s="66">
        <v>1</v>
      </c>
    </row>
    <row r="718" spans="1:9" x14ac:dyDescent="0.15">
      <c r="A718" s="66">
        <v>504</v>
      </c>
      <c r="B718" s="3" t="str">
        <f ca="1">VLOOKUP($A718,OFFSET([2]characters!$A$1,0,0,COUNTA([2]characters!$A:$A),MATCH(B$1,[2]characters!$1:$1,0)-MATCH($A$1,[2]characters!$1:$1,0)+1),MATCH(B$1,[2]characters!$1:$1,0)-MATCH($A$1,[2]characters!$1:$1,0)+1,FALSE)</f>
        <v>ハイディン・オーガ</v>
      </c>
      <c r="C718" s="93">
        <f ca="1">VLOOKUP($A718,OFFSET(fork_awake_units!$A$1,0,0,COUNTA(fork_awake_units!$A:$A),MATCH(C$1,fork_awake_units!$1:$1,0)-MATCH($A$1,fork_awake_units!$1:$1,0)+1),MATCH(C$1,fork_awake_units!$1:$1,0)-MATCH($A$1,fork_awake_units!$1:$1,0)+1,FALSE)</f>
        <v>505</v>
      </c>
      <c r="D718" s="3" t="str">
        <f ca="1">VLOOKUP($C718,OFFSET([2]characters!$A$1,0,0,COUNTA([2]characters!$A:$A),MATCH(D$1,[2]characters!$1:$1,0)-MATCH($A$1,[2]characters!$1:$1,0)+1),MATCH(D$1,[2]characters!$1:$1,0)-MATCH($A$1,[2]characters!$1:$1,0)+1,FALSE)</f>
        <v>暴虐の漏洩 ハイディン・オーガ</v>
      </c>
      <c r="E718" s="66">
        <v>108</v>
      </c>
      <c r="F718" s="3" t="str">
        <f ca="1">VLOOKUP($E718,OFFSET([2]characters!$A$1,0,0,COUNTA([2]characters!$A:$A),MATCH(F$1,[2]characters!$1:$1,0)-MATCH($A$1,[2]characters!$1:$1,0)+1),MATCH(F$1,[2]characters!$1:$1,0)-MATCH($A$1,[2]characters!$1:$1,0)+1,FALSE)</f>
        <v>森のマッドハッター</v>
      </c>
      <c r="G718" s="66">
        <v>1</v>
      </c>
      <c r="H718" s="66">
        <v>1</v>
      </c>
      <c r="I718" s="66">
        <v>1</v>
      </c>
    </row>
    <row r="719" spans="1:9" x14ac:dyDescent="0.15">
      <c r="A719" s="66">
        <v>506</v>
      </c>
      <c r="B719" s="3" t="str">
        <f ca="1">VLOOKUP($A719,OFFSET([2]characters!$A$1,0,0,COUNTA([2]characters!$A:$A),MATCH(B$1,[2]characters!$1:$1,0)-MATCH($A$1,[2]characters!$1:$1,0)+1),MATCH(B$1,[2]characters!$1:$1,0)-MATCH($A$1,[2]characters!$1:$1,0)+1,FALSE)</f>
        <v>ゴーテル</v>
      </c>
      <c r="C719" s="93">
        <f ca="1">VLOOKUP($A719,OFFSET(fork_awake_units!$A$1,0,0,COUNTA(fork_awake_units!$A:$A),MATCH(C$1,fork_awake_units!$1:$1,0)-MATCH($A$1,fork_awake_units!$1:$1,0)+1),MATCH(C$1,fork_awake_units!$1:$1,0)-MATCH($A$1,fork_awake_units!$1:$1,0)+1,FALSE)</f>
        <v>507</v>
      </c>
      <c r="D719" s="3" t="str">
        <f ca="1">VLOOKUP($C719,OFFSET([2]characters!$A$1,0,0,COUNTA([2]characters!$A:$A),MATCH(D$1,[2]characters!$1:$1,0)-MATCH($A$1,[2]characters!$1:$1,0)+1),MATCH(D$1,[2]characters!$1:$1,0)-MATCH($A$1,[2]characters!$1:$1,0)+1,FALSE)</f>
        <v>過保護な幽閉者 ゴーテル</v>
      </c>
      <c r="E719" s="66">
        <v>109</v>
      </c>
      <c r="F719" s="3" t="str">
        <f ca="1">VLOOKUP($E719,OFFSET([2]characters!$A$1,0,0,COUNTA([2]characters!$A:$A),MATCH(F$1,[2]characters!$1:$1,0)-MATCH($A$1,[2]characters!$1:$1,0)+1),MATCH(F$1,[2]characters!$1:$1,0)-MATCH($A$1,[2]characters!$1:$1,0)+1,FALSE)</f>
        <v>ブルーチェシャ</v>
      </c>
      <c r="G719" s="66">
        <v>1</v>
      </c>
      <c r="H719" s="66">
        <v>1</v>
      </c>
      <c r="I719" s="66">
        <v>1</v>
      </c>
    </row>
    <row r="720" spans="1:9" x14ac:dyDescent="0.15">
      <c r="A720" s="66">
        <v>506</v>
      </c>
      <c r="B720" s="3" t="str">
        <f ca="1">VLOOKUP($A720,OFFSET([2]characters!$A$1,0,0,COUNTA([2]characters!$A:$A),MATCH(B$1,[2]characters!$1:$1,0)-MATCH($A$1,[2]characters!$1:$1,0)+1),MATCH(B$1,[2]characters!$1:$1,0)-MATCH($A$1,[2]characters!$1:$1,0)+1,FALSE)</f>
        <v>ゴーテル</v>
      </c>
      <c r="C720" s="93">
        <f ca="1">VLOOKUP($A720,OFFSET(fork_awake_units!$A$1,0,0,COUNTA(fork_awake_units!$A:$A),MATCH(C$1,fork_awake_units!$1:$1,0)-MATCH($A$1,fork_awake_units!$1:$1,0)+1),MATCH(C$1,fork_awake_units!$1:$1,0)-MATCH($A$1,fork_awake_units!$1:$1,0)+1,FALSE)</f>
        <v>507</v>
      </c>
      <c r="D720" s="3" t="str">
        <f ca="1">VLOOKUP($C720,OFFSET([2]characters!$A$1,0,0,COUNTA([2]characters!$A:$A),MATCH(D$1,[2]characters!$1:$1,0)-MATCH($A$1,[2]characters!$1:$1,0)+1),MATCH(D$1,[2]characters!$1:$1,0)-MATCH($A$1,[2]characters!$1:$1,0)+1,FALSE)</f>
        <v>過保護な幽閉者 ゴーテル</v>
      </c>
      <c r="E720" s="66">
        <v>110</v>
      </c>
      <c r="F720" s="3" t="str">
        <f ca="1">VLOOKUP($E720,OFFSET([2]characters!$A$1,0,0,COUNTA([2]characters!$A:$A),MATCH(F$1,[2]characters!$1:$1,0)-MATCH($A$1,[2]characters!$1:$1,0)+1),MATCH(F$1,[2]characters!$1:$1,0)-MATCH($A$1,[2]characters!$1:$1,0)+1,FALSE)</f>
        <v>ブルーラビット</v>
      </c>
      <c r="G720" s="66">
        <v>2</v>
      </c>
      <c r="H720" s="66">
        <v>1</v>
      </c>
      <c r="I720" s="66">
        <v>1</v>
      </c>
    </row>
    <row r="721" spans="1:9" x14ac:dyDescent="0.15">
      <c r="A721" s="66">
        <v>506</v>
      </c>
      <c r="B721" s="3" t="str">
        <f ca="1">VLOOKUP($A721,OFFSET([2]characters!$A$1,0,0,COUNTA([2]characters!$A:$A),MATCH(B$1,[2]characters!$1:$1,0)-MATCH($A$1,[2]characters!$1:$1,0)+1),MATCH(B$1,[2]characters!$1:$1,0)-MATCH($A$1,[2]characters!$1:$1,0)+1,FALSE)</f>
        <v>ゴーテル</v>
      </c>
      <c r="C721" s="93">
        <f ca="1">VLOOKUP($A721,OFFSET(fork_awake_units!$A$1,0,0,COUNTA(fork_awake_units!$A:$A),MATCH(C$1,fork_awake_units!$1:$1,0)-MATCH($A$1,fork_awake_units!$1:$1,0)+1),MATCH(C$1,fork_awake_units!$1:$1,0)-MATCH($A$1,fork_awake_units!$1:$1,0)+1,FALSE)</f>
        <v>507</v>
      </c>
      <c r="D721" s="3" t="str">
        <f ca="1">VLOOKUP($C721,OFFSET([2]characters!$A$1,0,0,COUNTA([2]characters!$A:$A),MATCH(D$1,[2]characters!$1:$1,0)-MATCH($A$1,[2]characters!$1:$1,0)+1),MATCH(D$1,[2]characters!$1:$1,0)-MATCH($A$1,[2]characters!$1:$1,0)+1,FALSE)</f>
        <v>過保護な幽閉者 ゴーテル</v>
      </c>
      <c r="E721" s="66">
        <v>111</v>
      </c>
      <c r="F721" s="3" t="str">
        <f ca="1">VLOOKUP($E721,OFFSET([2]characters!$A$1,0,0,COUNTA([2]characters!$A:$A),MATCH(F$1,[2]characters!$1:$1,0)-MATCH($A$1,[2]characters!$1:$1,0)+1),MATCH(F$1,[2]characters!$1:$1,0)-MATCH($A$1,[2]characters!$1:$1,0)+1,FALSE)</f>
        <v>ブルーキャタップ</v>
      </c>
      <c r="G721" s="66">
        <v>1</v>
      </c>
      <c r="H721" s="66">
        <v>1</v>
      </c>
      <c r="I721" s="66">
        <v>1</v>
      </c>
    </row>
    <row r="722" spans="1:9" x14ac:dyDescent="0.15">
      <c r="A722" s="66">
        <v>506</v>
      </c>
      <c r="B722" s="3" t="str">
        <f ca="1">VLOOKUP($A722,OFFSET([2]characters!$A$1,0,0,COUNTA([2]characters!$A:$A),MATCH(B$1,[2]characters!$1:$1,0)-MATCH($A$1,[2]characters!$1:$1,0)+1),MATCH(B$1,[2]characters!$1:$1,0)-MATCH($A$1,[2]characters!$1:$1,0)+1,FALSE)</f>
        <v>ゴーテル</v>
      </c>
      <c r="C722" s="93">
        <f ca="1">VLOOKUP($A722,OFFSET(fork_awake_units!$A$1,0,0,COUNTA(fork_awake_units!$A:$A),MATCH(C$1,fork_awake_units!$1:$1,0)-MATCH($A$1,fork_awake_units!$1:$1,0)+1),MATCH(C$1,fork_awake_units!$1:$1,0)-MATCH($A$1,fork_awake_units!$1:$1,0)+1,FALSE)</f>
        <v>507</v>
      </c>
      <c r="D722" s="3" t="str">
        <f ca="1">VLOOKUP($C722,OFFSET([2]characters!$A$1,0,0,COUNTA([2]characters!$A:$A),MATCH(D$1,[2]characters!$1:$1,0)-MATCH($A$1,[2]characters!$1:$1,0)+1),MATCH(D$1,[2]characters!$1:$1,0)-MATCH($A$1,[2]characters!$1:$1,0)+1,FALSE)</f>
        <v>過保護な幽閉者 ゴーテル</v>
      </c>
      <c r="E722" s="66">
        <v>112</v>
      </c>
      <c r="F722" s="3" t="str">
        <f ca="1">VLOOKUP($E722,OFFSET([2]characters!$A$1,0,0,COUNTA([2]characters!$A:$A),MATCH(F$1,[2]characters!$1:$1,0)-MATCH($A$1,[2]characters!$1:$1,0)+1),MATCH(F$1,[2]characters!$1:$1,0)-MATCH($A$1,[2]characters!$1:$1,0)+1,FALSE)</f>
        <v>水のマッドハッター</v>
      </c>
      <c r="G722" s="66">
        <v>1</v>
      </c>
      <c r="H722" s="66">
        <v>1</v>
      </c>
      <c r="I722" s="66">
        <v>1</v>
      </c>
    </row>
    <row r="723" spans="1:9" x14ac:dyDescent="0.15">
      <c r="A723" s="66">
        <v>508</v>
      </c>
      <c r="B723" s="3" t="str">
        <f ca="1">VLOOKUP($A723,OFFSET([2]characters!$A$1,0,0,COUNTA([2]characters!$A:$A),MATCH(B$1,[2]characters!$1:$1,0)-MATCH($A$1,[2]characters!$1:$1,0)+1),MATCH(B$1,[2]characters!$1:$1,0)-MATCH($A$1,[2]characters!$1:$1,0)+1,FALSE)</f>
        <v>Gスター・チルドレン</v>
      </c>
      <c r="C723" s="93">
        <f ca="1">VLOOKUP($A723,OFFSET(fork_awake_units!$A$1,0,0,COUNTA(fork_awake_units!$A:$A),MATCH(C$1,fork_awake_units!$1:$1,0)-MATCH($A$1,fork_awake_units!$1:$1,0)+1),MATCH(C$1,fork_awake_units!$1:$1,0)-MATCH($A$1,fork_awake_units!$1:$1,0)+1,FALSE)</f>
        <v>509</v>
      </c>
      <c r="D723" s="3" t="str">
        <f ca="1">VLOOKUP($C723,OFFSET([2]characters!$A$1,0,0,COUNTA([2]characters!$A:$A),MATCH(D$1,[2]characters!$1:$1,0)-MATCH($A$1,[2]characters!$1:$1,0)+1),MATCH(D$1,[2]characters!$1:$1,0)-MATCH($A$1,[2]characters!$1:$1,0)+1,FALSE)</f>
        <v>純粋悪意 Gスター・チルドレン</v>
      </c>
      <c r="E723" s="66">
        <v>116</v>
      </c>
      <c r="F723" s="3" t="str">
        <f ca="1">VLOOKUP($E723,OFFSET([2]characters!$A$1,0,0,COUNTA([2]characters!$A:$A),MATCH(F$1,[2]characters!$1:$1,0)-MATCH($A$1,[2]characters!$1:$1,0)+1),MATCH(F$1,[2]characters!$1:$1,0)-MATCH($A$1,[2]characters!$1:$1,0)+1,FALSE)</f>
        <v>雷のマッドハッター</v>
      </c>
      <c r="G723" s="66">
        <v>1</v>
      </c>
      <c r="H723" s="66">
        <v>1</v>
      </c>
      <c r="I723" s="66">
        <v>1</v>
      </c>
    </row>
    <row r="724" spans="1:9" x14ac:dyDescent="0.15">
      <c r="A724" s="66">
        <v>508</v>
      </c>
      <c r="B724" s="3" t="str">
        <f ca="1">VLOOKUP($A724,OFFSET([2]characters!$A$1,0,0,COUNTA([2]characters!$A:$A),MATCH(B$1,[2]characters!$1:$1,0)-MATCH($A$1,[2]characters!$1:$1,0)+1),MATCH(B$1,[2]characters!$1:$1,0)-MATCH($A$1,[2]characters!$1:$1,0)+1,FALSE)</f>
        <v>Gスター・チルドレン</v>
      </c>
      <c r="C724" s="93">
        <f ca="1">VLOOKUP($A724,OFFSET(fork_awake_units!$A$1,0,0,COUNTA(fork_awake_units!$A:$A),MATCH(C$1,fork_awake_units!$1:$1,0)-MATCH($A$1,fork_awake_units!$1:$1,0)+1),MATCH(C$1,fork_awake_units!$1:$1,0)-MATCH($A$1,fork_awake_units!$1:$1,0)+1,FALSE)</f>
        <v>509</v>
      </c>
      <c r="D724" s="3" t="str">
        <f ca="1">VLOOKUP($C724,OFFSET([2]characters!$A$1,0,0,COUNTA([2]characters!$A:$A),MATCH(D$1,[2]characters!$1:$1,0)-MATCH($A$1,[2]characters!$1:$1,0)+1),MATCH(D$1,[2]characters!$1:$1,0)-MATCH($A$1,[2]characters!$1:$1,0)+1,FALSE)</f>
        <v>純粋悪意 Gスター・チルドレン</v>
      </c>
      <c r="E724" s="66">
        <v>304</v>
      </c>
      <c r="F724" s="3" t="str">
        <f ca="1">VLOOKUP($E724,OFFSET([2]characters!$A$1,0,0,COUNTA([2]characters!$A:$A),MATCH(F$1,[2]characters!$1:$1,0)-MATCH($A$1,[2]characters!$1:$1,0)+1),MATCH(F$1,[2]characters!$1:$1,0)-MATCH($A$1,[2]characters!$1:$1,0)+1,FALSE)</f>
        <v>電殺のチエミ</v>
      </c>
      <c r="G724" s="66">
        <v>2</v>
      </c>
      <c r="H724" s="66">
        <v>1</v>
      </c>
      <c r="I724" s="66">
        <v>1</v>
      </c>
    </row>
    <row r="725" spans="1:9" x14ac:dyDescent="0.15">
      <c r="A725" s="66">
        <v>508</v>
      </c>
      <c r="B725" s="3" t="str">
        <f ca="1">VLOOKUP($A725,OFFSET([2]characters!$A$1,0,0,COUNTA([2]characters!$A:$A),MATCH(B$1,[2]characters!$1:$1,0)-MATCH($A$1,[2]characters!$1:$1,0)+1),MATCH(B$1,[2]characters!$1:$1,0)-MATCH($A$1,[2]characters!$1:$1,0)+1,FALSE)</f>
        <v>Gスター・チルドレン</v>
      </c>
      <c r="C725" s="93">
        <f ca="1">VLOOKUP($A725,OFFSET(fork_awake_units!$A$1,0,0,COUNTA(fork_awake_units!$A:$A),MATCH(C$1,fork_awake_units!$1:$1,0)-MATCH($A$1,fork_awake_units!$1:$1,0)+1),MATCH(C$1,fork_awake_units!$1:$1,0)-MATCH($A$1,fork_awake_units!$1:$1,0)+1,FALSE)</f>
        <v>509</v>
      </c>
      <c r="D725" s="3" t="str">
        <f ca="1">VLOOKUP($C725,OFFSET([2]characters!$A$1,0,0,COUNTA([2]characters!$A:$A),MATCH(D$1,[2]characters!$1:$1,0)-MATCH($A$1,[2]characters!$1:$1,0)+1),MATCH(D$1,[2]characters!$1:$1,0)-MATCH($A$1,[2]characters!$1:$1,0)+1,FALSE)</f>
        <v>純粋悪意 Gスター・チルドレン</v>
      </c>
      <c r="E725" s="66">
        <v>422</v>
      </c>
      <c r="F725" s="3" t="str">
        <f ca="1">VLOOKUP($E725,OFFSET([2]characters!$A$1,0,0,COUNTA([2]characters!$A:$A),MATCH(F$1,[2]characters!$1:$1,0)-MATCH($A$1,[2]characters!$1:$1,0)+1),MATCH(F$1,[2]characters!$1:$1,0)-MATCH($A$1,[2]characters!$1:$1,0)+1,FALSE)</f>
        <v>シュガフル</v>
      </c>
      <c r="G725" s="66">
        <v>2</v>
      </c>
      <c r="H725" s="66">
        <v>1</v>
      </c>
      <c r="I725" s="66">
        <v>1</v>
      </c>
    </row>
    <row r="726" spans="1:9" x14ac:dyDescent="0.15">
      <c r="A726" s="66">
        <v>509</v>
      </c>
      <c r="B726" s="3" t="str">
        <f ca="1">VLOOKUP($A726,OFFSET([2]characters!$A$1,0,0,COUNTA([2]characters!$A:$A),MATCH(B$1,[2]characters!$1:$1,0)-MATCH($A$1,[2]characters!$1:$1,0)+1),MATCH(B$1,[2]characters!$1:$1,0)-MATCH($A$1,[2]characters!$1:$1,0)+1,FALSE)</f>
        <v>純粋悪意 Gスター・チルドレン</v>
      </c>
      <c r="C726" s="93">
        <f ca="1">VLOOKUP($A726,OFFSET(fork_awake_units!$A$1,0,0,COUNTA(fork_awake_units!$A:$A),MATCH(C$1,fork_awake_units!$1:$1,0)-MATCH($A$1,fork_awake_units!$1:$1,0)+1),MATCH(C$1,fork_awake_units!$1:$1,0)-MATCH($A$1,fork_awake_units!$1:$1,0)+1,FALSE)</f>
        <v>824</v>
      </c>
      <c r="D726" s="3" t="str">
        <f ca="1">VLOOKUP($C726,OFFSET([2]characters!$A$1,0,0,COUNTA([2]characters!$A:$A),MATCH(D$1,[2]characters!$1:$1,0)-MATCH($A$1,[2]characters!$1:$1,0)+1),MATCH(D$1,[2]characters!$1:$1,0)-MATCH($A$1,[2]characters!$1:$1,0)+1,FALSE)</f>
        <v>悪意の団塊  Gスター・チルドレン</v>
      </c>
      <c r="E726" s="66">
        <v>115</v>
      </c>
      <c r="F726" s="3" t="str">
        <f ca="1">VLOOKUP($E726,OFFSET([2]characters!$A$1,0,0,COUNTA([2]characters!$A:$A),MATCH(F$1,[2]characters!$1:$1,0)-MATCH($A$1,[2]characters!$1:$1,0)+1),MATCH(F$1,[2]characters!$1:$1,0)-MATCH($A$1,[2]characters!$1:$1,0)+1,FALSE)</f>
        <v>イエローキャタップ</v>
      </c>
      <c r="G726" s="66">
        <v>1</v>
      </c>
      <c r="H726" s="66">
        <v>1</v>
      </c>
      <c r="I726" s="66">
        <v>1</v>
      </c>
    </row>
    <row r="727" spans="1:9" x14ac:dyDescent="0.15">
      <c r="A727" s="66">
        <v>509</v>
      </c>
      <c r="B727" s="3" t="str">
        <f ca="1">VLOOKUP($A727,OFFSET([2]characters!$A$1,0,0,COUNTA([2]characters!$A:$A),MATCH(B$1,[2]characters!$1:$1,0)-MATCH($A$1,[2]characters!$1:$1,0)+1),MATCH(B$1,[2]characters!$1:$1,0)-MATCH($A$1,[2]characters!$1:$1,0)+1,FALSE)</f>
        <v>純粋悪意 Gスター・チルドレン</v>
      </c>
      <c r="C727" s="93">
        <f ca="1">VLOOKUP($A727,OFFSET(fork_awake_units!$A$1,0,0,COUNTA(fork_awake_units!$A:$A),MATCH(C$1,fork_awake_units!$1:$1,0)-MATCH($A$1,fork_awake_units!$1:$1,0)+1),MATCH(C$1,fork_awake_units!$1:$1,0)-MATCH($A$1,fork_awake_units!$1:$1,0)+1,FALSE)</f>
        <v>824</v>
      </c>
      <c r="D727" s="3" t="str">
        <f ca="1">VLOOKUP($C727,OFFSET([2]characters!$A$1,0,0,COUNTA([2]characters!$A:$A),MATCH(D$1,[2]characters!$1:$1,0)-MATCH($A$1,[2]characters!$1:$1,0)+1),MATCH(D$1,[2]characters!$1:$1,0)-MATCH($A$1,[2]characters!$1:$1,0)+1,FALSE)</f>
        <v>悪意の団塊  Gスター・チルドレン</v>
      </c>
      <c r="E727" s="66">
        <v>116</v>
      </c>
      <c r="F727" s="3" t="str">
        <f ca="1">VLOOKUP($E727,OFFSET([2]characters!$A$1,0,0,COUNTA([2]characters!$A:$A),MATCH(F$1,[2]characters!$1:$1,0)-MATCH($A$1,[2]characters!$1:$1,0)+1),MATCH(F$1,[2]characters!$1:$1,0)-MATCH($A$1,[2]characters!$1:$1,0)+1,FALSE)</f>
        <v>雷のマッドハッター</v>
      </c>
      <c r="G727" s="66">
        <v>1</v>
      </c>
      <c r="H727" s="66">
        <v>1</v>
      </c>
      <c r="I727" s="66">
        <v>1</v>
      </c>
    </row>
    <row r="728" spans="1:9" x14ac:dyDescent="0.15">
      <c r="A728" s="66">
        <v>509</v>
      </c>
      <c r="B728" s="3" t="str">
        <f ca="1">VLOOKUP($A728,OFFSET([2]characters!$A$1,0,0,COUNTA([2]characters!$A:$A),MATCH(B$1,[2]characters!$1:$1,0)-MATCH($A$1,[2]characters!$1:$1,0)+1),MATCH(B$1,[2]characters!$1:$1,0)-MATCH($A$1,[2]characters!$1:$1,0)+1,FALSE)</f>
        <v>純粋悪意 Gスター・チルドレン</v>
      </c>
      <c r="C728" s="93">
        <f ca="1">VLOOKUP($A728,OFFSET(fork_awake_units!$A$1,0,0,COUNTA(fork_awake_units!$A:$A),MATCH(C$1,fork_awake_units!$1:$1,0)-MATCH($A$1,fork_awake_units!$1:$1,0)+1),MATCH(C$1,fork_awake_units!$1:$1,0)-MATCH($A$1,fork_awake_units!$1:$1,0)+1,FALSE)</f>
        <v>824</v>
      </c>
      <c r="D728" s="3" t="str">
        <f ca="1">VLOOKUP($C728,OFFSET([2]characters!$A$1,0,0,COUNTA([2]characters!$A:$A),MATCH(D$1,[2]characters!$1:$1,0)-MATCH($A$1,[2]characters!$1:$1,0)+1),MATCH(D$1,[2]characters!$1:$1,0)-MATCH($A$1,[2]characters!$1:$1,0)+1,FALSE)</f>
        <v>悪意の団塊  Gスター・チルドレン</v>
      </c>
      <c r="E728" s="66">
        <v>359</v>
      </c>
      <c r="F728" s="3" t="str">
        <f ca="1">VLOOKUP($E728,OFFSET([2]characters!$A$1,0,0,COUNTA([2]characters!$A:$A),MATCH(F$1,[2]characters!$1:$1,0)-MATCH($A$1,[2]characters!$1:$1,0)+1),MATCH(F$1,[2]characters!$1:$1,0)-MATCH($A$1,[2]characters!$1:$1,0)+1,FALSE)</f>
        <v>醒電の眠りネズミ</v>
      </c>
      <c r="G728" s="66">
        <v>1</v>
      </c>
      <c r="H728" s="66">
        <v>1</v>
      </c>
      <c r="I728" s="66">
        <v>1</v>
      </c>
    </row>
    <row r="729" spans="1:9" x14ac:dyDescent="0.15">
      <c r="A729" s="66">
        <v>509</v>
      </c>
      <c r="B729" s="3" t="str">
        <f ca="1">VLOOKUP($A729,OFFSET([2]characters!$A$1,0,0,COUNTA([2]characters!$A:$A),MATCH(B$1,[2]characters!$1:$1,0)-MATCH($A$1,[2]characters!$1:$1,0)+1),MATCH(B$1,[2]characters!$1:$1,0)-MATCH($A$1,[2]characters!$1:$1,0)+1,FALSE)</f>
        <v>純粋悪意 Gスター・チルドレン</v>
      </c>
      <c r="C729" s="93">
        <f ca="1">VLOOKUP($A729,OFFSET(fork_awake_units!$A$1,0,0,COUNTA(fork_awake_units!$A:$A),MATCH(C$1,fork_awake_units!$1:$1,0)-MATCH($A$1,fork_awake_units!$1:$1,0)+1),MATCH(C$1,fork_awake_units!$1:$1,0)-MATCH($A$1,fork_awake_units!$1:$1,0)+1,FALSE)</f>
        <v>824</v>
      </c>
      <c r="D729" s="3" t="str">
        <f ca="1">VLOOKUP($C729,OFFSET([2]characters!$A$1,0,0,COUNTA([2]characters!$A:$A),MATCH(D$1,[2]characters!$1:$1,0)-MATCH($A$1,[2]characters!$1:$1,0)+1),MATCH(D$1,[2]characters!$1:$1,0)-MATCH($A$1,[2]characters!$1:$1,0)+1,FALSE)</f>
        <v>悪意の団塊  Gスター・チルドレン</v>
      </c>
      <c r="E729" s="66">
        <v>837</v>
      </c>
      <c r="F729" s="3" t="str">
        <f ca="1">VLOOKUP($E729,OFFSET([2]characters!$A$1,0,0,COUNTA([2]characters!$A:$A),MATCH(F$1,[2]characters!$1:$1,0)-MATCH($A$1,[2]characters!$1:$1,0)+1),MATCH(F$1,[2]characters!$1:$1,0)-MATCH($A$1,[2]characters!$1:$1,0)+1,FALSE)</f>
        <v>リトルハンプティ</v>
      </c>
      <c r="G729" s="66">
        <v>1</v>
      </c>
      <c r="H729" s="66">
        <v>1</v>
      </c>
      <c r="I729" s="66">
        <v>1</v>
      </c>
    </row>
    <row r="730" spans="1:9" x14ac:dyDescent="0.15">
      <c r="A730" s="66">
        <v>510</v>
      </c>
      <c r="B730" s="3" t="str">
        <f ca="1">VLOOKUP($A730,OFFSET([2]characters!$A$1,0,0,COUNTA([2]characters!$A:$A),MATCH(B$1,[2]characters!$1:$1,0)-MATCH($A$1,[2]characters!$1:$1,0)+1),MATCH(B$1,[2]characters!$1:$1,0)-MATCH($A$1,[2]characters!$1:$1,0)+1,FALSE)</f>
        <v>燃えさかる豪息 ヒュウガ</v>
      </c>
      <c r="C730" s="93">
        <f ca="1">VLOOKUP($A730,OFFSET(fork_awake_units!$A$1,0,0,COUNTA(fork_awake_units!$A:$A),MATCH(C$1,fork_awake_units!$1:$1,0)-MATCH($A$1,fork_awake_units!$1:$1,0)+1),MATCH(C$1,fork_awake_units!$1:$1,0)-MATCH($A$1,fork_awake_units!$1:$1,0)+1,FALSE)</f>
        <v>511</v>
      </c>
      <c r="D730" s="3" t="str">
        <f ca="1">VLOOKUP($C730,OFFSET([2]characters!$A$1,0,0,COUNTA([2]characters!$A:$A),MATCH(D$1,[2]characters!$1:$1,0)-MATCH($A$1,[2]characters!$1:$1,0)+1),MATCH(D$1,[2]characters!$1:$1,0)-MATCH($A$1,[2]characters!$1:$1,0)+1,FALSE)</f>
        <v>灼き尽くす紅息 ヒュウガ・レアル</v>
      </c>
      <c r="E730" s="66">
        <v>102</v>
      </c>
      <c r="F730" s="3" t="str">
        <f ca="1">VLOOKUP($E730,OFFSET([2]characters!$A$1,0,0,COUNTA([2]characters!$A:$A),MATCH(F$1,[2]characters!$1:$1,0)-MATCH($A$1,[2]characters!$1:$1,0)+1),MATCH(F$1,[2]characters!$1:$1,0)-MATCH($A$1,[2]characters!$1:$1,0)+1,FALSE)</f>
        <v>レッドラビット</v>
      </c>
      <c r="G730" s="66">
        <v>1</v>
      </c>
      <c r="H730" s="66">
        <v>1</v>
      </c>
      <c r="I730" s="66">
        <v>1</v>
      </c>
    </row>
    <row r="731" spans="1:9" x14ac:dyDescent="0.15">
      <c r="A731" s="66">
        <v>510</v>
      </c>
      <c r="B731" s="3" t="str">
        <f ca="1">VLOOKUP($A731,OFFSET([2]characters!$A$1,0,0,COUNTA([2]characters!$A:$A),MATCH(B$1,[2]characters!$1:$1,0)-MATCH($A$1,[2]characters!$1:$1,0)+1),MATCH(B$1,[2]characters!$1:$1,0)-MATCH($A$1,[2]characters!$1:$1,0)+1,FALSE)</f>
        <v>燃えさかる豪息 ヒュウガ</v>
      </c>
      <c r="C731" s="93">
        <f ca="1">VLOOKUP($A731,OFFSET(fork_awake_units!$A$1,0,0,COUNTA(fork_awake_units!$A:$A),MATCH(C$1,fork_awake_units!$1:$1,0)-MATCH($A$1,fork_awake_units!$1:$1,0)+1),MATCH(C$1,fork_awake_units!$1:$1,0)-MATCH($A$1,fork_awake_units!$1:$1,0)+1,FALSE)</f>
        <v>511</v>
      </c>
      <c r="D731" s="3" t="str">
        <f ca="1">VLOOKUP($C731,OFFSET([2]characters!$A$1,0,0,COUNTA([2]characters!$A:$A),MATCH(D$1,[2]characters!$1:$1,0)-MATCH($A$1,[2]characters!$1:$1,0)+1),MATCH(D$1,[2]characters!$1:$1,0)-MATCH($A$1,[2]characters!$1:$1,0)+1,FALSE)</f>
        <v>灼き尽くす紅息 ヒュウガ・レアル</v>
      </c>
      <c r="E731" s="66">
        <v>103</v>
      </c>
      <c r="F731" s="3" t="str">
        <f ca="1">VLOOKUP($E731,OFFSET([2]characters!$A$1,0,0,COUNTA([2]characters!$A:$A),MATCH(F$1,[2]characters!$1:$1,0)-MATCH($A$1,[2]characters!$1:$1,0)+1),MATCH(F$1,[2]characters!$1:$1,0)-MATCH($A$1,[2]characters!$1:$1,0)+1,FALSE)</f>
        <v>レッドキャタップ</v>
      </c>
      <c r="G731" s="66">
        <v>2</v>
      </c>
      <c r="H731" s="66">
        <v>1</v>
      </c>
      <c r="I731" s="66">
        <v>1</v>
      </c>
    </row>
    <row r="732" spans="1:9" x14ac:dyDescent="0.15">
      <c r="A732" s="66">
        <v>510</v>
      </c>
      <c r="B732" s="3" t="str">
        <f ca="1">VLOOKUP($A732,OFFSET([2]characters!$A$1,0,0,COUNTA([2]characters!$A:$A),MATCH(B$1,[2]characters!$1:$1,0)-MATCH($A$1,[2]characters!$1:$1,0)+1),MATCH(B$1,[2]characters!$1:$1,0)-MATCH($A$1,[2]characters!$1:$1,0)+1,FALSE)</f>
        <v>燃えさかる豪息 ヒュウガ</v>
      </c>
      <c r="C732" s="93">
        <f ca="1">VLOOKUP($A732,OFFSET(fork_awake_units!$A$1,0,0,COUNTA(fork_awake_units!$A:$A),MATCH(C$1,fork_awake_units!$1:$1,0)-MATCH($A$1,fork_awake_units!$1:$1,0)+1),MATCH(C$1,fork_awake_units!$1:$1,0)-MATCH($A$1,fork_awake_units!$1:$1,0)+1,FALSE)</f>
        <v>511</v>
      </c>
      <c r="D732" s="3" t="str">
        <f ca="1">VLOOKUP($C732,OFFSET([2]characters!$A$1,0,0,COUNTA([2]characters!$A:$A),MATCH(D$1,[2]characters!$1:$1,0)-MATCH($A$1,[2]characters!$1:$1,0)+1),MATCH(D$1,[2]characters!$1:$1,0)-MATCH($A$1,[2]characters!$1:$1,0)+1,FALSE)</f>
        <v>灼き尽くす紅息 ヒュウガ・レアル</v>
      </c>
      <c r="E732" s="66">
        <v>104</v>
      </c>
      <c r="F732" s="3" t="str">
        <f ca="1">VLOOKUP($E732,OFFSET([2]characters!$A$1,0,0,COUNTA([2]characters!$A:$A),MATCH(F$1,[2]characters!$1:$1,0)-MATCH($A$1,[2]characters!$1:$1,0)+1),MATCH(F$1,[2]characters!$1:$1,0)-MATCH($A$1,[2]characters!$1:$1,0)+1,FALSE)</f>
        <v>炎のマッドハッター</v>
      </c>
      <c r="G732" s="66">
        <v>2</v>
      </c>
      <c r="H732" s="66">
        <v>1</v>
      </c>
      <c r="I732" s="66">
        <v>1</v>
      </c>
    </row>
    <row r="733" spans="1:9" x14ac:dyDescent="0.15">
      <c r="A733" s="66">
        <v>512</v>
      </c>
      <c r="B733" s="3" t="str">
        <f ca="1">VLOOKUP($A733,OFFSET([2]characters!$A$1,0,0,COUNTA([2]characters!$A:$A),MATCH(B$1,[2]characters!$1:$1,0)-MATCH($A$1,[2]characters!$1:$1,0)+1),MATCH(B$1,[2]characters!$1:$1,0)-MATCH($A$1,[2]characters!$1:$1,0)+1,FALSE)</f>
        <v>聖火の逆徒 クリスマス・ベリアル</v>
      </c>
      <c r="C733" s="93">
        <f ca="1">VLOOKUP($A733,OFFSET(fork_awake_units!$A$1,0,0,COUNTA(fork_awake_units!$A:$A),MATCH(C$1,fork_awake_units!$1:$1,0)-MATCH($A$1,fork_awake_units!$1:$1,0)+1),MATCH(C$1,fork_awake_units!$1:$1,0)-MATCH($A$1,fork_awake_units!$1:$1,0)+1,FALSE)</f>
        <v>513</v>
      </c>
      <c r="D733" s="3" t="str">
        <f ca="1">VLOOKUP($C733,OFFSET([2]characters!$A$1,0,0,COUNTA([2]characters!$A:$A),MATCH(D$1,[2]characters!$1:$1,0)-MATCH($A$1,[2]characters!$1:$1,0)+1),MATCH(D$1,[2]characters!$1:$1,0)-MATCH($A$1,[2]characters!$1:$1,0)+1,FALSE)</f>
        <v>爆進の荷炎 クリスマス・ベリアル</v>
      </c>
      <c r="E733" s="66">
        <v>102</v>
      </c>
      <c r="F733" s="3" t="str">
        <f ca="1">VLOOKUP($E733,OFFSET([2]characters!$A$1,0,0,COUNTA([2]characters!$A:$A),MATCH(F$1,[2]characters!$1:$1,0)-MATCH($A$1,[2]characters!$1:$1,0)+1),MATCH(F$1,[2]characters!$1:$1,0)-MATCH($A$1,[2]characters!$1:$1,0)+1,FALSE)</f>
        <v>レッドラビット</v>
      </c>
      <c r="G733" s="66">
        <v>1</v>
      </c>
      <c r="H733" s="66">
        <v>1</v>
      </c>
      <c r="I733" s="66">
        <v>1</v>
      </c>
    </row>
    <row r="734" spans="1:9" x14ac:dyDescent="0.15">
      <c r="A734" s="66">
        <v>512</v>
      </c>
      <c r="B734" s="3" t="str">
        <f ca="1">VLOOKUP($A734,OFFSET([2]characters!$A$1,0,0,COUNTA([2]characters!$A:$A),MATCH(B$1,[2]characters!$1:$1,0)-MATCH($A$1,[2]characters!$1:$1,0)+1),MATCH(B$1,[2]characters!$1:$1,0)-MATCH($A$1,[2]characters!$1:$1,0)+1,FALSE)</f>
        <v>聖火の逆徒 クリスマス・ベリアル</v>
      </c>
      <c r="C734" s="93">
        <f ca="1">VLOOKUP($A734,OFFSET(fork_awake_units!$A$1,0,0,COUNTA(fork_awake_units!$A:$A),MATCH(C$1,fork_awake_units!$1:$1,0)-MATCH($A$1,fork_awake_units!$1:$1,0)+1),MATCH(C$1,fork_awake_units!$1:$1,0)-MATCH($A$1,fork_awake_units!$1:$1,0)+1,FALSE)</f>
        <v>513</v>
      </c>
      <c r="D734" s="3" t="str">
        <f ca="1">VLOOKUP($C734,OFFSET([2]characters!$A$1,0,0,COUNTA([2]characters!$A:$A),MATCH(D$1,[2]characters!$1:$1,0)-MATCH($A$1,[2]characters!$1:$1,0)+1),MATCH(D$1,[2]characters!$1:$1,0)-MATCH($A$1,[2]characters!$1:$1,0)+1,FALSE)</f>
        <v>爆進の荷炎 クリスマス・ベリアル</v>
      </c>
      <c r="E734" s="66">
        <v>103</v>
      </c>
      <c r="F734" s="3" t="str">
        <f ca="1">VLOOKUP($E734,OFFSET([2]characters!$A$1,0,0,COUNTA([2]characters!$A:$A),MATCH(F$1,[2]characters!$1:$1,0)-MATCH($A$1,[2]characters!$1:$1,0)+1),MATCH(F$1,[2]characters!$1:$1,0)-MATCH($A$1,[2]characters!$1:$1,0)+1,FALSE)</f>
        <v>レッドキャタップ</v>
      </c>
      <c r="G734" s="66">
        <v>2</v>
      </c>
      <c r="H734" s="66">
        <v>1</v>
      </c>
      <c r="I734" s="66">
        <v>1</v>
      </c>
    </row>
    <row r="735" spans="1:9" x14ac:dyDescent="0.15">
      <c r="A735" s="66">
        <v>512</v>
      </c>
      <c r="B735" s="3" t="str">
        <f ca="1">VLOOKUP($A735,OFFSET([2]characters!$A$1,0,0,COUNTA([2]characters!$A:$A),MATCH(B$1,[2]characters!$1:$1,0)-MATCH($A$1,[2]characters!$1:$1,0)+1),MATCH(B$1,[2]characters!$1:$1,0)-MATCH($A$1,[2]characters!$1:$1,0)+1,FALSE)</f>
        <v>聖火の逆徒 クリスマス・ベリアル</v>
      </c>
      <c r="C735" s="93">
        <f ca="1">VLOOKUP($A735,OFFSET(fork_awake_units!$A$1,0,0,COUNTA(fork_awake_units!$A:$A),MATCH(C$1,fork_awake_units!$1:$1,0)-MATCH($A$1,fork_awake_units!$1:$1,0)+1),MATCH(C$1,fork_awake_units!$1:$1,0)-MATCH($A$1,fork_awake_units!$1:$1,0)+1,FALSE)</f>
        <v>513</v>
      </c>
      <c r="D735" s="3" t="str">
        <f ca="1">VLOOKUP($C735,OFFSET([2]characters!$A$1,0,0,COUNTA([2]characters!$A:$A),MATCH(D$1,[2]characters!$1:$1,0)-MATCH($A$1,[2]characters!$1:$1,0)+1),MATCH(D$1,[2]characters!$1:$1,0)-MATCH($A$1,[2]characters!$1:$1,0)+1,FALSE)</f>
        <v>爆進の荷炎 クリスマス・ベリアル</v>
      </c>
      <c r="E735" s="66">
        <v>104</v>
      </c>
      <c r="F735" s="3" t="str">
        <f ca="1">VLOOKUP($E735,OFFSET([2]characters!$A$1,0,0,COUNTA([2]characters!$A:$A),MATCH(F$1,[2]characters!$1:$1,0)-MATCH($A$1,[2]characters!$1:$1,0)+1),MATCH(F$1,[2]characters!$1:$1,0)-MATCH($A$1,[2]characters!$1:$1,0)+1,FALSE)</f>
        <v>炎のマッドハッター</v>
      </c>
      <c r="G735" s="66">
        <v>2</v>
      </c>
      <c r="H735" s="66">
        <v>1</v>
      </c>
      <c r="I735" s="66">
        <v>1</v>
      </c>
    </row>
    <row r="736" spans="1:9" x14ac:dyDescent="0.15">
      <c r="A736" s="66">
        <v>514</v>
      </c>
      <c r="B736" s="3" t="str">
        <f ca="1">VLOOKUP($A736,OFFSET([2]characters!$A$1,0,0,COUNTA([2]characters!$A:$A),MATCH(B$1,[2]characters!$1:$1,0)-MATCH($A$1,[2]characters!$1:$1,0)+1),MATCH(B$1,[2]characters!$1:$1,0)-MATCH($A$1,[2]characters!$1:$1,0)+1,FALSE)</f>
        <v>祝宴の識徒 サンタクロース・オセ</v>
      </c>
      <c r="C736" s="93">
        <f ca="1">VLOOKUP($A736,OFFSET(fork_awake_units!$A$1,0,0,COUNTA(fork_awake_units!$A:$A),MATCH(C$1,fork_awake_units!$1:$1,0)-MATCH($A$1,fork_awake_units!$1:$1,0)+1),MATCH(C$1,fork_awake_units!$1:$1,0)-MATCH($A$1,fork_awake_units!$1:$1,0)+1,FALSE)</f>
        <v>515</v>
      </c>
      <c r="D736" s="3" t="str">
        <f ca="1">VLOOKUP($C736,OFFSET([2]characters!$A$1,0,0,COUNTA([2]characters!$A:$A),MATCH(D$1,[2]characters!$1:$1,0)-MATCH($A$1,[2]characters!$1:$1,0)+1),MATCH(D$1,[2]characters!$1:$1,0)-MATCH($A$1,[2]characters!$1:$1,0)+1,FALSE)</f>
        <v>聖夜の贈主 サンタクロース・オセ</v>
      </c>
      <c r="E736" s="66">
        <v>106</v>
      </c>
      <c r="F736" s="3" t="str">
        <f ca="1">VLOOKUP($E736,OFFSET([2]characters!$A$1,0,0,COUNTA([2]characters!$A:$A),MATCH(F$1,[2]characters!$1:$1,0)-MATCH($A$1,[2]characters!$1:$1,0)+1),MATCH(F$1,[2]characters!$1:$1,0)-MATCH($A$1,[2]characters!$1:$1,0)+1,FALSE)</f>
        <v>グリーンラビット</v>
      </c>
      <c r="G736" s="66">
        <v>1</v>
      </c>
      <c r="H736" s="66">
        <v>1</v>
      </c>
      <c r="I736" s="66">
        <v>1</v>
      </c>
    </row>
    <row r="737" spans="1:9" x14ac:dyDescent="0.15">
      <c r="A737" s="66">
        <v>514</v>
      </c>
      <c r="B737" s="3" t="str">
        <f ca="1">VLOOKUP($A737,OFFSET([2]characters!$A$1,0,0,COUNTA([2]characters!$A:$A),MATCH(B$1,[2]characters!$1:$1,0)-MATCH($A$1,[2]characters!$1:$1,0)+1),MATCH(B$1,[2]characters!$1:$1,0)-MATCH($A$1,[2]characters!$1:$1,0)+1,FALSE)</f>
        <v>祝宴の識徒 サンタクロース・オセ</v>
      </c>
      <c r="C737" s="93">
        <f ca="1">VLOOKUP($A737,OFFSET(fork_awake_units!$A$1,0,0,COUNTA(fork_awake_units!$A:$A),MATCH(C$1,fork_awake_units!$1:$1,0)-MATCH($A$1,fork_awake_units!$1:$1,0)+1),MATCH(C$1,fork_awake_units!$1:$1,0)-MATCH($A$1,fork_awake_units!$1:$1,0)+1,FALSE)</f>
        <v>515</v>
      </c>
      <c r="D737" s="3" t="str">
        <f ca="1">VLOOKUP($C737,OFFSET([2]characters!$A$1,0,0,COUNTA([2]characters!$A:$A),MATCH(D$1,[2]characters!$1:$1,0)-MATCH($A$1,[2]characters!$1:$1,0)+1),MATCH(D$1,[2]characters!$1:$1,0)-MATCH($A$1,[2]characters!$1:$1,0)+1,FALSE)</f>
        <v>聖夜の贈主 サンタクロース・オセ</v>
      </c>
      <c r="E737" s="66">
        <v>107</v>
      </c>
      <c r="F737" s="3" t="str">
        <f ca="1">VLOOKUP($E737,OFFSET([2]characters!$A$1,0,0,COUNTA([2]characters!$A:$A),MATCH(F$1,[2]characters!$1:$1,0)-MATCH($A$1,[2]characters!$1:$1,0)+1),MATCH(F$1,[2]characters!$1:$1,0)-MATCH($A$1,[2]characters!$1:$1,0)+1,FALSE)</f>
        <v>グリーンキャタップ</v>
      </c>
      <c r="G737" s="66">
        <v>2</v>
      </c>
      <c r="H737" s="66">
        <v>1</v>
      </c>
      <c r="I737" s="66">
        <v>1</v>
      </c>
    </row>
    <row r="738" spans="1:9" x14ac:dyDescent="0.15">
      <c r="A738" s="66">
        <v>514</v>
      </c>
      <c r="B738" s="3" t="str">
        <f ca="1">VLOOKUP($A738,OFFSET([2]characters!$A$1,0,0,COUNTA([2]characters!$A:$A),MATCH(B$1,[2]characters!$1:$1,0)-MATCH($A$1,[2]characters!$1:$1,0)+1),MATCH(B$1,[2]characters!$1:$1,0)-MATCH($A$1,[2]characters!$1:$1,0)+1,FALSE)</f>
        <v>祝宴の識徒 サンタクロース・オセ</v>
      </c>
      <c r="C738" s="93">
        <f ca="1">VLOOKUP($A738,OFFSET(fork_awake_units!$A$1,0,0,COUNTA(fork_awake_units!$A:$A),MATCH(C$1,fork_awake_units!$1:$1,0)-MATCH($A$1,fork_awake_units!$1:$1,0)+1),MATCH(C$1,fork_awake_units!$1:$1,0)-MATCH($A$1,fork_awake_units!$1:$1,0)+1,FALSE)</f>
        <v>515</v>
      </c>
      <c r="D738" s="3" t="str">
        <f ca="1">VLOOKUP($C738,OFFSET([2]characters!$A$1,0,0,COUNTA([2]characters!$A:$A),MATCH(D$1,[2]characters!$1:$1,0)-MATCH($A$1,[2]characters!$1:$1,0)+1),MATCH(D$1,[2]characters!$1:$1,0)-MATCH($A$1,[2]characters!$1:$1,0)+1,FALSE)</f>
        <v>聖夜の贈主 サンタクロース・オセ</v>
      </c>
      <c r="E738" s="66">
        <v>108</v>
      </c>
      <c r="F738" s="3" t="str">
        <f ca="1">VLOOKUP($E738,OFFSET([2]characters!$A$1,0,0,COUNTA([2]characters!$A:$A),MATCH(F$1,[2]characters!$1:$1,0)-MATCH($A$1,[2]characters!$1:$1,0)+1),MATCH(F$1,[2]characters!$1:$1,0)-MATCH($A$1,[2]characters!$1:$1,0)+1,FALSE)</f>
        <v>森のマッドハッター</v>
      </c>
      <c r="G738" s="66">
        <v>2</v>
      </c>
      <c r="H738" s="66">
        <v>1</v>
      </c>
      <c r="I738" s="66">
        <v>1</v>
      </c>
    </row>
    <row r="739" spans="1:9" x14ac:dyDescent="0.15">
      <c r="A739" s="66">
        <v>516</v>
      </c>
      <c r="B739" s="3" t="str">
        <f ca="1">VLOOKUP($A739,OFFSET([2]characters!$A$1,0,0,COUNTA([2]characters!$A:$A),MATCH(B$1,[2]characters!$1:$1,0)-MATCH($A$1,[2]characters!$1:$1,0)+1),MATCH(B$1,[2]characters!$1:$1,0)-MATCH($A$1,[2]characters!$1:$1,0)+1,FALSE)</f>
        <v>聖母 マリア</v>
      </c>
      <c r="C739" s="93">
        <f ca="1">VLOOKUP($A739,OFFSET(fork_awake_units!$A$1,0,0,COUNTA(fork_awake_units!$A:$A),MATCH(C$1,fork_awake_units!$1:$1,0)-MATCH($A$1,fork_awake_units!$1:$1,0)+1),MATCH(C$1,fork_awake_units!$1:$1,0)-MATCH($A$1,fork_awake_units!$1:$1,0)+1,FALSE)</f>
        <v>517</v>
      </c>
      <c r="D739" s="3" t="str">
        <f ca="1">VLOOKUP($C739,OFFSET([2]characters!$A$1,0,0,COUNTA([2]characters!$A:$A),MATCH(D$1,[2]characters!$1:$1,0)-MATCH($A$1,[2]characters!$1:$1,0)+1),MATCH(D$1,[2]characters!$1:$1,0)-MATCH($A$1,[2]characters!$1:$1,0)+1,FALSE)</f>
        <v>真冬の誕生祭 マリア</v>
      </c>
      <c r="E739" s="66">
        <v>111</v>
      </c>
      <c r="F739" s="3" t="str">
        <f ca="1">VLOOKUP($E739,OFFSET([2]characters!$A$1,0,0,COUNTA([2]characters!$A:$A),MATCH(F$1,[2]characters!$1:$1,0)-MATCH($A$1,[2]characters!$1:$1,0)+1),MATCH(F$1,[2]characters!$1:$1,0)-MATCH($A$1,[2]characters!$1:$1,0)+1,FALSE)</f>
        <v>ブルーキャタップ</v>
      </c>
      <c r="G739" s="66">
        <v>2</v>
      </c>
      <c r="H739" s="66">
        <v>1</v>
      </c>
      <c r="I739" s="66">
        <v>1</v>
      </c>
    </row>
    <row r="740" spans="1:9" x14ac:dyDescent="0.15">
      <c r="A740" s="66">
        <v>516</v>
      </c>
      <c r="B740" s="3" t="str">
        <f ca="1">VLOOKUP($A740,OFFSET([2]characters!$A$1,0,0,COUNTA([2]characters!$A:$A),MATCH(B$1,[2]characters!$1:$1,0)-MATCH($A$1,[2]characters!$1:$1,0)+1),MATCH(B$1,[2]characters!$1:$1,0)-MATCH($A$1,[2]characters!$1:$1,0)+1,FALSE)</f>
        <v>聖母 マリア</v>
      </c>
      <c r="C740" s="93">
        <f ca="1">VLOOKUP($A740,OFFSET(fork_awake_units!$A$1,0,0,COUNTA(fork_awake_units!$A:$A),MATCH(C$1,fork_awake_units!$1:$1,0)-MATCH($A$1,fork_awake_units!$1:$1,0)+1),MATCH(C$1,fork_awake_units!$1:$1,0)-MATCH($A$1,fork_awake_units!$1:$1,0)+1,FALSE)</f>
        <v>517</v>
      </c>
      <c r="D740" s="3" t="str">
        <f ca="1">VLOOKUP($C740,OFFSET([2]characters!$A$1,0,0,COUNTA([2]characters!$A:$A),MATCH(D$1,[2]characters!$1:$1,0)-MATCH($A$1,[2]characters!$1:$1,0)+1),MATCH(D$1,[2]characters!$1:$1,0)-MATCH($A$1,[2]characters!$1:$1,0)+1,FALSE)</f>
        <v>真冬の誕生祭 マリア</v>
      </c>
      <c r="E740" s="66">
        <v>112</v>
      </c>
      <c r="F740" s="3" t="str">
        <f ca="1">VLOOKUP($E740,OFFSET([2]characters!$A$1,0,0,COUNTA([2]characters!$A:$A),MATCH(F$1,[2]characters!$1:$1,0)-MATCH($A$1,[2]characters!$1:$1,0)+1),MATCH(F$1,[2]characters!$1:$1,0)-MATCH($A$1,[2]characters!$1:$1,0)+1,FALSE)</f>
        <v>水のマッドハッター</v>
      </c>
      <c r="G740" s="66">
        <v>1</v>
      </c>
      <c r="H740" s="66">
        <v>1</v>
      </c>
      <c r="I740" s="66">
        <v>1</v>
      </c>
    </row>
    <row r="741" spans="1:9" x14ac:dyDescent="0.15">
      <c r="A741" s="66">
        <v>516</v>
      </c>
      <c r="B741" s="3" t="str">
        <f ca="1">VLOOKUP($A741,OFFSET([2]characters!$A$1,0,0,COUNTA([2]characters!$A:$A),MATCH(B$1,[2]characters!$1:$1,0)-MATCH($A$1,[2]characters!$1:$1,0)+1),MATCH(B$1,[2]characters!$1:$1,0)-MATCH($A$1,[2]characters!$1:$1,0)+1,FALSE)</f>
        <v>聖母 マリア</v>
      </c>
      <c r="C741" s="93">
        <f ca="1">VLOOKUP($A741,OFFSET(fork_awake_units!$A$1,0,0,COUNTA(fork_awake_units!$A:$A),MATCH(C$1,fork_awake_units!$1:$1,0)-MATCH($A$1,fork_awake_units!$1:$1,0)+1),MATCH(C$1,fork_awake_units!$1:$1,0)-MATCH($A$1,fork_awake_units!$1:$1,0)+1,FALSE)</f>
        <v>517</v>
      </c>
      <c r="D741" s="3" t="str">
        <f ca="1">VLOOKUP($C741,OFFSET([2]characters!$A$1,0,0,COUNTA([2]characters!$A:$A),MATCH(D$1,[2]characters!$1:$1,0)-MATCH($A$1,[2]characters!$1:$1,0)+1),MATCH(D$1,[2]characters!$1:$1,0)-MATCH($A$1,[2]characters!$1:$1,0)+1,FALSE)</f>
        <v>真冬の誕生祭 マリア</v>
      </c>
      <c r="E741" s="66">
        <v>266</v>
      </c>
      <c r="F741" s="3" t="str">
        <f ca="1">VLOOKUP($E741,OFFSET([2]characters!$A$1,0,0,COUNTA([2]characters!$A:$A),MATCH(F$1,[2]characters!$1:$1,0)-MATCH($A$1,[2]characters!$1:$1,0)+1),MATCH(F$1,[2]characters!$1:$1,0)-MATCH($A$1,[2]characters!$1:$1,0)+1,FALSE)</f>
        <v>リリアンブルー</v>
      </c>
      <c r="G741" s="66">
        <v>1</v>
      </c>
      <c r="H741" s="66">
        <v>1</v>
      </c>
      <c r="I741" s="66">
        <v>1</v>
      </c>
    </row>
    <row r="742" spans="1:9" x14ac:dyDescent="0.15">
      <c r="A742" s="66">
        <v>516</v>
      </c>
      <c r="B742" s="3" t="str">
        <f ca="1">VLOOKUP($A742,OFFSET([2]characters!$A$1,0,0,COUNTA([2]characters!$A:$A),MATCH(B$1,[2]characters!$1:$1,0)-MATCH($A$1,[2]characters!$1:$1,0)+1),MATCH(B$1,[2]characters!$1:$1,0)-MATCH($A$1,[2]characters!$1:$1,0)+1,FALSE)</f>
        <v>聖母 マリア</v>
      </c>
      <c r="C742" s="93">
        <f ca="1">VLOOKUP($A742,OFFSET(fork_awake_units!$A$1,0,0,COUNTA(fork_awake_units!$A:$A),MATCH(C$1,fork_awake_units!$1:$1,0)-MATCH($A$1,fork_awake_units!$1:$1,0)+1),MATCH(C$1,fork_awake_units!$1:$1,0)-MATCH($A$1,fork_awake_units!$1:$1,0)+1,FALSE)</f>
        <v>517</v>
      </c>
      <c r="D742" s="3" t="str">
        <f ca="1">VLOOKUP($C742,OFFSET([2]characters!$A$1,0,0,COUNTA([2]characters!$A:$A),MATCH(D$1,[2]characters!$1:$1,0)-MATCH($A$1,[2]characters!$1:$1,0)+1),MATCH(D$1,[2]characters!$1:$1,0)-MATCH($A$1,[2]characters!$1:$1,0)+1,FALSE)</f>
        <v>真冬の誕生祭 マリア</v>
      </c>
      <c r="E742" s="66">
        <v>302</v>
      </c>
      <c r="F742" s="3" t="str">
        <f ca="1">VLOOKUP($E742,OFFSET([2]characters!$A$1,0,0,COUNTA([2]characters!$A:$A),MATCH(F$1,[2]characters!$1:$1,0)-MATCH($A$1,[2]characters!$1:$1,0)+1),MATCH(F$1,[2]characters!$1:$1,0)-MATCH($A$1,[2]characters!$1:$1,0)+1,FALSE)</f>
        <v>絞殺のリサ</v>
      </c>
      <c r="G742" s="66">
        <v>1</v>
      </c>
      <c r="H742" s="66">
        <v>1</v>
      </c>
      <c r="I742" s="66">
        <v>1</v>
      </c>
    </row>
    <row r="743" spans="1:9" x14ac:dyDescent="0.15">
      <c r="A743" s="66">
        <v>518</v>
      </c>
      <c r="B743" s="3" t="str">
        <f ca="1">VLOOKUP($A743,OFFSET([2]characters!$A$1,0,0,COUNTA([2]characters!$A:$A),MATCH(B$1,[2]characters!$1:$1,0)-MATCH($A$1,[2]characters!$1:$1,0)+1),MATCH(B$1,[2]characters!$1:$1,0)-MATCH($A$1,[2]characters!$1:$1,0)+1,FALSE)</f>
        <v>秘来の聖天使 ミカエル</v>
      </c>
      <c r="C743" s="93">
        <f ca="1">VLOOKUP($A743,OFFSET(fork_awake_units!$A$1,0,0,COUNTA(fork_awake_units!$A:$A),MATCH(C$1,fork_awake_units!$1:$1,0)-MATCH($A$1,fork_awake_units!$1:$1,0)+1),MATCH(C$1,fork_awake_units!$1:$1,0)-MATCH($A$1,fork_awake_units!$1:$1,0)+1,FALSE)</f>
        <v>519</v>
      </c>
      <c r="D743" s="3" t="str">
        <f ca="1">VLOOKUP($C743,OFFSET([2]characters!$A$1,0,0,COUNTA([2]characters!$A:$A),MATCH(D$1,[2]characters!$1:$1,0)-MATCH($A$1,[2]characters!$1:$1,0)+1),MATCH(D$1,[2]characters!$1:$1,0)-MATCH($A$1,[2]characters!$1:$1,0)+1,FALSE)</f>
        <v>夜天の聖天使 ミカエル・ハレルヤ</v>
      </c>
      <c r="E743" s="66">
        <v>114</v>
      </c>
      <c r="F743" s="3" t="str">
        <f ca="1">VLOOKUP($E743,OFFSET([2]characters!$A$1,0,0,COUNTA([2]characters!$A:$A),MATCH(F$1,[2]characters!$1:$1,0)-MATCH($A$1,[2]characters!$1:$1,0)+1),MATCH(F$1,[2]characters!$1:$1,0)-MATCH($A$1,[2]characters!$1:$1,0)+1,FALSE)</f>
        <v>イエローラビット</v>
      </c>
      <c r="G743" s="66">
        <v>1</v>
      </c>
      <c r="H743" s="66">
        <v>1</v>
      </c>
      <c r="I743" s="66">
        <v>1</v>
      </c>
    </row>
    <row r="744" spans="1:9" x14ac:dyDescent="0.15">
      <c r="A744" s="66">
        <v>518</v>
      </c>
      <c r="B744" s="3" t="str">
        <f ca="1">VLOOKUP($A744,OFFSET([2]characters!$A$1,0,0,COUNTA([2]characters!$A:$A),MATCH(B$1,[2]characters!$1:$1,0)-MATCH($A$1,[2]characters!$1:$1,0)+1),MATCH(B$1,[2]characters!$1:$1,0)-MATCH($A$1,[2]characters!$1:$1,0)+1,FALSE)</f>
        <v>秘来の聖天使 ミカエル</v>
      </c>
      <c r="C744" s="93">
        <f ca="1">VLOOKUP($A744,OFFSET(fork_awake_units!$A$1,0,0,COUNTA(fork_awake_units!$A:$A),MATCH(C$1,fork_awake_units!$1:$1,0)-MATCH($A$1,fork_awake_units!$1:$1,0)+1),MATCH(C$1,fork_awake_units!$1:$1,0)-MATCH($A$1,fork_awake_units!$1:$1,0)+1,FALSE)</f>
        <v>519</v>
      </c>
      <c r="D744" s="3" t="str">
        <f ca="1">VLOOKUP($C744,OFFSET([2]characters!$A$1,0,0,COUNTA([2]characters!$A:$A),MATCH(D$1,[2]characters!$1:$1,0)-MATCH($A$1,[2]characters!$1:$1,0)+1),MATCH(D$1,[2]characters!$1:$1,0)-MATCH($A$1,[2]characters!$1:$1,0)+1,FALSE)</f>
        <v>夜天の聖天使 ミカエル・ハレルヤ</v>
      </c>
      <c r="E744" s="66">
        <v>115</v>
      </c>
      <c r="F744" s="3" t="str">
        <f ca="1">VLOOKUP($E744,OFFSET([2]characters!$A$1,0,0,COUNTA([2]characters!$A:$A),MATCH(F$1,[2]characters!$1:$1,0)-MATCH($A$1,[2]characters!$1:$1,0)+1),MATCH(F$1,[2]characters!$1:$1,0)-MATCH($A$1,[2]characters!$1:$1,0)+1,FALSE)</f>
        <v>イエローキャタップ</v>
      </c>
      <c r="G744" s="66">
        <v>2</v>
      </c>
      <c r="H744" s="66">
        <v>1</v>
      </c>
      <c r="I744" s="66">
        <v>1</v>
      </c>
    </row>
    <row r="745" spans="1:9" x14ac:dyDescent="0.15">
      <c r="A745" s="66">
        <v>518</v>
      </c>
      <c r="B745" s="3" t="str">
        <f ca="1">VLOOKUP($A745,OFFSET([2]characters!$A$1,0,0,COUNTA([2]characters!$A:$A),MATCH(B$1,[2]characters!$1:$1,0)-MATCH($A$1,[2]characters!$1:$1,0)+1),MATCH(B$1,[2]characters!$1:$1,0)-MATCH($A$1,[2]characters!$1:$1,0)+1,FALSE)</f>
        <v>秘来の聖天使 ミカエル</v>
      </c>
      <c r="C745" s="93">
        <f ca="1">VLOOKUP($A745,OFFSET(fork_awake_units!$A$1,0,0,COUNTA(fork_awake_units!$A:$A),MATCH(C$1,fork_awake_units!$1:$1,0)-MATCH($A$1,fork_awake_units!$1:$1,0)+1),MATCH(C$1,fork_awake_units!$1:$1,0)-MATCH($A$1,fork_awake_units!$1:$1,0)+1,FALSE)</f>
        <v>519</v>
      </c>
      <c r="D745" s="3" t="str">
        <f ca="1">VLOOKUP($C745,OFFSET([2]characters!$A$1,0,0,COUNTA([2]characters!$A:$A),MATCH(D$1,[2]characters!$1:$1,0)-MATCH($A$1,[2]characters!$1:$1,0)+1),MATCH(D$1,[2]characters!$1:$1,0)-MATCH($A$1,[2]characters!$1:$1,0)+1,FALSE)</f>
        <v>夜天の聖天使 ミカエル・ハレルヤ</v>
      </c>
      <c r="E745" s="66">
        <v>116</v>
      </c>
      <c r="F745" s="3" t="str">
        <f ca="1">VLOOKUP($E745,OFFSET([2]characters!$A$1,0,0,COUNTA([2]characters!$A:$A),MATCH(F$1,[2]characters!$1:$1,0)-MATCH($A$1,[2]characters!$1:$1,0)+1),MATCH(F$1,[2]characters!$1:$1,0)-MATCH($A$1,[2]characters!$1:$1,0)+1,FALSE)</f>
        <v>雷のマッドハッター</v>
      </c>
      <c r="G745" s="66">
        <v>2</v>
      </c>
      <c r="H745" s="66">
        <v>1</v>
      </c>
      <c r="I745" s="66">
        <v>1</v>
      </c>
    </row>
    <row r="746" spans="1:9" x14ac:dyDescent="0.15">
      <c r="A746" s="66">
        <v>527</v>
      </c>
      <c r="B746" s="3" t="str">
        <f ca="1">VLOOKUP($A746,OFFSET([2]characters!$A$1,0,0,COUNTA([2]characters!$A:$A),MATCH(B$1,[2]characters!$1:$1,0)-MATCH($A$1,[2]characters!$1:$1,0)+1),MATCH(B$1,[2]characters!$1:$1,0)-MATCH($A$1,[2]characters!$1:$1,0)+1,FALSE)</f>
        <v>初音ミクV3</v>
      </c>
      <c r="C746" s="93">
        <f ca="1">VLOOKUP($A746,OFFSET(fork_awake_units!$A$1,0,0,COUNTA(fork_awake_units!$A:$A),MATCH(C$1,fork_awake_units!$1:$1,0)-MATCH($A$1,fork_awake_units!$1:$1,0)+1),MATCH(C$1,fork_awake_units!$1:$1,0)-MATCH($A$1,fork_awake_units!$1:$1,0)+1,FALSE)</f>
        <v>528</v>
      </c>
      <c r="D746" s="3" t="str">
        <f ca="1">VLOOKUP($C746,OFFSET([2]characters!$A$1,0,0,COUNTA([2]characters!$A:$A),MATCH(D$1,[2]characters!$1:$1,0)-MATCH($A$1,[2]characters!$1:$1,0)+1),MATCH(D$1,[2]characters!$1:$1,0)-MATCH($A$1,[2]characters!$1:$1,0)+1,FALSE)</f>
        <v>新世の歌姫 初音ミクV3</v>
      </c>
      <c r="E746" s="66">
        <v>116</v>
      </c>
      <c r="F746" s="3" t="str">
        <f ca="1">VLOOKUP($E746,OFFSET([2]characters!$A$1,0,0,COUNTA([2]characters!$A:$A),MATCH(F$1,[2]characters!$1:$1,0)-MATCH($A$1,[2]characters!$1:$1,0)+1),MATCH(F$1,[2]characters!$1:$1,0)-MATCH($A$1,[2]characters!$1:$1,0)+1,FALSE)</f>
        <v>雷のマッドハッター</v>
      </c>
      <c r="G746" s="66">
        <v>1</v>
      </c>
      <c r="H746" s="66">
        <v>1</v>
      </c>
      <c r="I746" s="66">
        <v>1</v>
      </c>
    </row>
    <row r="747" spans="1:9" x14ac:dyDescent="0.15">
      <c r="A747" s="66">
        <v>527</v>
      </c>
      <c r="B747" s="3" t="str">
        <f ca="1">VLOOKUP($A747,OFFSET([2]characters!$A$1,0,0,COUNTA([2]characters!$A:$A),MATCH(B$1,[2]characters!$1:$1,0)-MATCH($A$1,[2]characters!$1:$1,0)+1),MATCH(B$1,[2]characters!$1:$1,0)-MATCH($A$1,[2]characters!$1:$1,0)+1,FALSE)</f>
        <v>初音ミクV3</v>
      </c>
      <c r="C747" s="93">
        <f ca="1">VLOOKUP($A747,OFFSET(fork_awake_units!$A$1,0,0,COUNTA(fork_awake_units!$A:$A),MATCH(C$1,fork_awake_units!$1:$1,0)-MATCH($A$1,fork_awake_units!$1:$1,0)+1),MATCH(C$1,fork_awake_units!$1:$1,0)-MATCH($A$1,fork_awake_units!$1:$1,0)+1,FALSE)</f>
        <v>528</v>
      </c>
      <c r="D747" s="3" t="str">
        <f ca="1">VLOOKUP($C747,OFFSET([2]characters!$A$1,0,0,COUNTA([2]characters!$A:$A),MATCH(D$1,[2]characters!$1:$1,0)-MATCH($A$1,[2]characters!$1:$1,0)+1),MATCH(D$1,[2]characters!$1:$1,0)-MATCH($A$1,[2]characters!$1:$1,0)+1,FALSE)</f>
        <v>新世の歌姫 初音ミクV3</v>
      </c>
      <c r="E747" s="66">
        <v>525</v>
      </c>
      <c r="F747" s="3" t="str">
        <f ca="1">VLOOKUP($E747,OFFSET([2]characters!$A$1,0,0,COUNTA([2]characters!$A:$A),MATCH(F$1,[2]characters!$1:$1,0)-MATCH($A$1,[2]characters!$1:$1,0)+1),MATCH(F$1,[2]characters!$1:$1,0)-MATCH($A$1,[2]characters!$1:$1,0)+1,FALSE)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747" s="66">
        <v>2</v>
      </c>
      <c r="H747" s="66">
        <v>1</v>
      </c>
      <c r="I747" s="66">
        <v>1</v>
      </c>
    </row>
    <row r="748" spans="1:9" x14ac:dyDescent="0.15">
      <c r="A748" s="66">
        <v>527</v>
      </c>
      <c r="B748" s="3" t="str">
        <f ca="1">VLOOKUP($A748,OFFSET([2]characters!$A$1,0,0,COUNTA([2]characters!$A:$A),MATCH(B$1,[2]characters!$1:$1,0)-MATCH($A$1,[2]characters!$1:$1,0)+1),MATCH(B$1,[2]characters!$1:$1,0)-MATCH($A$1,[2]characters!$1:$1,0)+1,FALSE)</f>
        <v>初音ミクV3</v>
      </c>
      <c r="C748" s="93">
        <f ca="1">VLOOKUP($A748,OFFSET(fork_awake_units!$A$1,0,0,COUNTA(fork_awake_units!$A:$A),MATCH(C$1,fork_awake_units!$1:$1,0)-MATCH($A$1,fork_awake_units!$1:$1,0)+1),MATCH(C$1,fork_awake_units!$1:$1,0)-MATCH($A$1,fork_awake_units!$1:$1,0)+1,FALSE)</f>
        <v>528</v>
      </c>
      <c r="D748" s="3" t="str">
        <f ca="1">VLOOKUP($C748,OFFSET([2]characters!$A$1,0,0,COUNTA([2]characters!$A:$A),MATCH(D$1,[2]characters!$1:$1,0)-MATCH($A$1,[2]characters!$1:$1,0)+1),MATCH(D$1,[2]characters!$1:$1,0)-MATCH($A$1,[2]characters!$1:$1,0)+1,FALSE)</f>
        <v>新世の歌姫 初音ミクV3</v>
      </c>
      <c r="E748" s="66">
        <v>526</v>
      </c>
      <c r="F748" s="3" t="str">
        <f ca="1">VLOOKUP($E748,OFFSET([2]characters!$A$1,0,0,COUNTA([2]characters!$A:$A),MATCH(F$1,[2]characters!$1:$1,0)-MATCH($A$1,[2]characters!$1:$1,0)+1),MATCH(F$1,[2]characters!$1:$1,0)-MATCH($A$1,[2]characters!$1:$1,0)+1,FALSE)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748" s="66">
        <v>2</v>
      </c>
      <c r="H748" s="66">
        <v>1</v>
      </c>
      <c r="I748" s="66">
        <v>1</v>
      </c>
    </row>
    <row r="749" spans="1:9" x14ac:dyDescent="0.15">
      <c r="A749" s="66">
        <v>539</v>
      </c>
      <c r="B749" s="3" t="str">
        <f ca="1">VLOOKUP($A749,OFFSET([2]characters!$A$1,0,0,COUNTA([2]characters!$A:$A),MATCH(B$1,[2]characters!$1:$1,0)-MATCH($A$1,[2]characters!$1:$1,0)+1),MATCH(B$1,[2]characters!$1:$1,0)-MATCH($A$1,[2]characters!$1:$1,0)+1,FALSE)</f>
        <v>初音ミク・アペンド</v>
      </c>
      <c r="C749" s="93">
        <f ca="1">VLOOKUP($A749,OFFSET(fork_awake_units!$A$1,0,0,COUNTA(fork_awake_units!$A:$A),MATCH(C$1,fork_awake_units!$1:$1,0)-MATCH($A$1,fork_awake_units!$1:$1,0)+1),MATCH(C$1,fork_awake_units!$1:$1,0)-MATCH($A$1,fork_awake_units!$1:$1,0)+1,FALSE)</f>
        <v>540</v>
      </c>
      <c r="D749" s="3" t="str">
        <f ca="1">VLOOKUP($C749,OFFSET([2]characters!$A$1,0,0,COUNTA([2]characters!$A:$A),MATCH(D$1,[2]characters!$1:$1,0)-MATCH($A$1,[2]characters!$1:$1,0)+1),MATCH(D$1,[2]characters!$1:$1,0)-MATCH($A$1,[2]characters!$1:$1,0)+1,FALSE)</f>
        <v>来訪の歌姫 初音ミク・アペンド</v>
      </c>
      <c r="E749" s="66">
        <v>107</v>
      </c>
      <c r="F749" s="3" t="str">
        <f ca="1">VLOOKUP($E749,OFFSET([2]characters!$A$1,0,0,COUNTA([2]characters!$A:$A),MATCH(F$1,[2]characters!$1:$1,0)-MATCH($A$1,[2]characters!$1:$1,0)+1),MATCH(F$1,[2]characters!$1:$1,0)-MATCH($A$1,[2]characters!$1:$1,0)+1,FALSE)</f>
        <v>グリーンキャタップ</v>
      </c>
      <c r="G749" s="66">
        <v>2</v>
      </c>
      <c r="H749" s="66">
        <v>1</v>
      </c>
      <c r="I749" s="66">
        <v>1</v>
      </c>
    </row>
    <row r="750" spans="1:9" x14ac:dyDescent="0.15">
      <c r="A750" s="66">
        <v>539</v>
      </c>
      <c r="B750" s="3" t="str">
        <f ca="1">VLOOKUP($A750,OFFSET([2]characters!$A$1,0,0,COUNTA([2]characters!$A:$A),MATCH(B$1,[2]characters!$1:$1,0)-MATCH($A$1,[2]characters!$1:$1,0)+1),MATCH(B$1,[2]characters!$1:$1,0)-MATCH($A$1,[2]characters!$1:$1,0)+1,FALSE)</f>
        <v>初音ミク・アペンド</v>
      </c>
      <c r="C750" s="93">
        <f ca="1">VLOOKUP($A750,OFFSET(fork_awake_units!$A$1,0,0,COUNTA(fork_awake_units!$A:$A),MATCH(C$1,fork_awake_units!$1:$1,0)-MATCH($A$1,fork_awake_units!$1:$1,0)+1),MATCH(C$1,fork_awake_units!$1:$1,0)-MATCH($A$1,fork_awake_units!$1:$1,0)+1,FALSE)</f>
        <v>540</v>
      </c>
      <c r="D750" s="3" t="str">
        <f ca="1">VLOOKUP($C750,OFFSET([2]characters!$A$1,0,0,COUNTA([2]characters!$A:$A),MATCH(D$1,[2]characters!$1:$1,0)-MATCH($A$1,[2]characters!$1:$1,0)+1),MATCH(D$1,[2]characters!$1:$1,0)-MATCH($A$1,[2]characters!$1:$1,0)+1,FALSE)</f>
        <v>来訪の歌姫 初音ミク・アペンド</v>
      </c>
      <c r="E750" s="66">
        <v>108</v>
      </c>
      <c r="F750" s="3" t="str">
        <f ca="1">VLOOKUP($E750,OFFSET([2]characters!$A$1,0,0,COUNTA([2]characters!$A:$A),MATCH(F$1,[2]characters!$1:$1,0)-MATCH($A$1,[2]characters!$1:$1,0)+1),MATCH(F$1,[2]characters!$1:$1,0)-MATCH($A$1,[2]characters!$1:$1,0)+1,FALSE)</f>
        <v>森のマッドハッター</v>
      </c>
      <c r="G750" s="66">
        <v>1</v>
      </c>
      <c r="H750" s="66">
        <v>1</v>
      </c>
      <c r="I750" s="66">
        <v>1</v>
      </c>
    </row>
    <row r="751" spans="1:9" x14ac:dyDescent="0.15">
      <c r="A751" s="66">
        <v>539</v>
      </c>
      <c r="B751" s="3" t="str">
        <f ca="1">VLOOKUP($A751,OFFSET([2]characters!$A$1,0,0,COUNTA([2]characters!$A:$A),MATCH(B$1,[2]characters!$1:$1,0)-MATCH($A$1,[2]characters!$1:$1,0)+1),MATCH(B$1,[2]characters!$1:$1,0)-MATCH($A$1,[2]characters!$1:$1,0)+1,FALSE)</f>
        <v>初音ミク・アペンド</v>
      </c>
      <c r="C751" s="93">
        <f ca="1">VLOOKUP($A751,OFFSET(fork_awake_units!$A$1,0,0,COUNTA(fork_awake_units!$A:$A),MATCH(C$1,fork_awake_units!$1:$1,0)-MATCH($A$1,fork_awake_units!$1:$1,0)+1),MATCH(C$1,fork_awake_units!$1:$1,0)-MATCH($A$1,fork_awake_units!$1:$1,0)+1,FALSE)</f>
        <v>540</v>
      </c>
      <c r="D751" s="3" t="str">
        <f ca="1">VLOOKUP($C751,OFFSET([2]characters!$A$1,0,0,COUNTA([2]characters!$A:$A),MATCH(D$1,[2]characters!$1:$1,0)-MATCH($A$1,[2]characters!$1:$1,0)+1),MATCH(D$1,[2]characters!$1:$1,0)-MATCH($A$1,[2]characters!$1:$1,0)+1,FALSE)</f>
        <v>来訪の歌姫 初音ミク・アペンド</v>
      </c>
      <c r="E751" s="66">
        <v>525</v>
      </c>
      <c r="F751" s="3" t="str">
        <f ca="1">VLOOKUP($E751,OFFSET([2]characters!$A$1,0,0,COUNTA([2]characters!$A:$A),MATCH(F$1,[2]characters!$1:$1,0)-MATCH($A$1,[2]characters!$1:$1,0)+1),MATCH(F$1,[2]characters!$1:$1,0)-MATCH($A$1,[2]characters!$1:$1,0)+1,FALSE)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751" s="66">
        <v>1</v>
      </c>
      <c r="H751" s="66">
        <v>5</v>
      </c>
      <c r="I751" s="66">
        <v>1</v>
      </c>
    </row>
    <row r="752" spans="1:9" x14ac:dyDescent="0.15">
      <c r="A752" s="66">
        <v>539</v>
      </c>
      <c r="B752" s="3" t="str">
        <f ca="1">VLOOKUP($A752,OFFSET([2]characters!$A$1,0,0,COUNTA([2]characters!$A:$A),MATCH(B$1,[2]characters!$1:$1,0)-MATCH($A$1,[2]characters!$1:$1,0)+1),MATCH(B$1,[2]characters!$1:$1,0)-MATCH($A$1,[2]characters!$1:$1,0)+1,FALSE)</f>
        <v>初音ミク・アペンド</v>
      </c>
      <c r="C752" s="93">
        <f ca="1">VLOOKUP($A752,OFFSET(fork_awake_units!$A$1,0,0,COUNTA(fork_awake_units!$A:$A),MATCH(C$1,fork_awake_units!$1:$1,0)-MATCH($A$1,fork_awake_units!$1:$1,0)+1),MATCH(C$1,fork_awake_units!$1:$1,0)-MATCH($A$1,fork_awake_units!$1:$1,0)+1,FALSE)</f>
        <v>540</v>
      </c>
      <c r="D752" s="3" t="str">
        <f ca="1">VLOOKUP($C752,OFFSET([2]characters!$A$1,0,0,COUNTA([2]characters!$A:$A),MATCH(D$1,[2]characters!$1:$1,0)-MATCH($A$1,[2]characters!$1:$1,0)+1),MATCH(D$1,[2]characters!$1:$1,0)-MATCH($A$1,[2]characters!$1:$1,0)+1,FALSE)</f>
        <v>来訪の歌姫 初音ミク・アペンド</v>
      </c>
      <c r="E752" s="66">
        <v>526</v>
      </c>
      <c r="F752" s="3" t="str">
        <f ca="1">VLOOKUP($E752,OFFSET([2]characters!$A$1,0,0,COUNTA([2]characters!$A:$A),MATCH(F$1,[2]characters!$1:$1,0)-MATCH($A$1,[2]characters!$1:$1,0)+1),MATCH(F$1,[2]characters!$1:$1,0)-MATCH($A$1,[2]characters!$1:$1,0)+1,FALSE)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752" s="66">
        <v>1</v>
      </c>
      <c r="H752" s="66">
        <v>3</v>
      </c>
      <c r="I752" s="66">
        <v>1</v>
      </c>
    </row>
    <row r="753" spans="1:9" x14ac:dyDescent="0.15">
      <c r="A753" s="66">
        <v>541</v>
      </c>
      <c r="B753" s="3" t="str">
        <f ca="1">VLOOKUP($A753,OFFSET([2]characters!$A$1,0,0,COUNTA([2]characters!$A:$A),MATCH(B$1,[2]characters!$1:$1,0)-MATCH($A$1,[2]characters!$1:$1,0)+1),MATCH(B$1,[2]characters!$1:$1,0)-MATCH($A$1,[2]characters!$1:$1,0)+1,FALSE)</f>
        <v>初音ミク</v>
      </c>
      <c r="C753" s="93">
        <f ca="1">VLOOKUP($A753,OFFSET(fork_awake_units!$A$1,0,0,COUNTA(fork_awake_units!$A:$A),MATCH(C$1,fork_awake_units!$1:$1,0)-MATCH($A$1,fork_awake_units!$1:$1,0)+1),MATCH(C$1,fork_awake_units!$1:$1,0)-MATCH($A$1,fork_awake_units!$1:$1,0)+1,FALSE)</f>
        <v>542</v>
      </c>
      <c r="D753" s="3" t="str">
        <f ca="1">VLOOKUP($C753,OFFSET([2]characters!$A$1,0,0,COUNTA([2]characters!$A:$A),MATCH(D$1,[2]characters!$1:$1,0)-MATCH($A$1,[2]characters!$1:$1,0)+1),MATCH(D$1,[2]characters!$1:$1,0)-MATCH($A$1,[2]characters!$1:$1,0)+1,FALSE)</f>
        <v>革命の音撃 初音ミク</v>
      </c>
      <c r="E753" s="66">
        <v>107</v>
      </c>
      <c r="F753" s="3" t="str">
        <f ca="1">VLOOKUP($E753,OFFSET([2]characters!$A$1,0,0,COUNTA([2]characters!$A:$A),MATCH(F$1,[2]characters!$1:$1,0)-MATCH($A$1,[2]characters!$1:$1,0)+1),MATCH(F$1,[2]characters!$1:$1,0)-MATCH($A$1,[2]characters!$1:$1,0)+1,FALSE)</f>
        <v>グリーンキャタップ</v>
      </c>
      <c r="G753" s="66">
        <v>2</v>
      </c>
      <c r="H753" s="66">
        <v>1</v>
      </c>
      <c r="I753" s="66">
        <v>1</v>
      </c>
    </row>
    <row r="754" spans="1:9" x14ac:dyDescent="0.15">
      <c r="A754" s="66">
        <v>541</v>
      </c>
      <c r="B754" s="3" t="str">
        <f ca="1">VLOOKUP($A754,OFFSET([2]characters!$A$1,0,0,COUNTA([2]characters!$A:$A),MATCH(B$1,[2]characters!$1:$1,0)-MATCH($A$1,[2]characters!$1:$1,0)+1),MATCH(B$1,[2]characters!$1:$1,0)-MATCH($A$1,[2]characters!$1:$1,0)+1,FALSE)</f>
        <v>初音ミク</v>
      </c>
      <c r="C754" s="93">
        <f ca="1">VLOOKUP($A754,OFFSET(fork_awake_units!$A$1,0,0,COUNTA(fork_awake_units!$A:$A),MATCH(C$1,fork_awake_units!$1:$1,0)-MATCH($A$1,fork_awake_units!$1:$1,0)+1),MATCH(C$1,fork_awake_units!$1:$1,0)-MATCH($A$1,fork_awake_units!$1:$1,0)+1,FALSE)</f>
        <v>542</v>
      </c>
      <c r="D754" s="3" t="str">
        <f ca="1">VLOOKUP($C754,OFFSET([2]characters!$A$1,0,0,COUNTA([2]characters!$A:$A),MATCH(D$1,[2]characters!$1:$1,0)-MATCH($A$1,[2]characters!$1:$1,0)+1),MATCH(D$1,[2]characters!$1:$1,0)-MATCH($A$1,[2]characters!$1:$1,0)+1,FALSE)</f>
        <v>革命の音撃 初音ミク</v>
      </c>
      <c r="E754" s="66">
        <v>108</v>
      </c>
      <c r="F754" s="3" t="str">
        <f ca="1">VLOOKUP($E754,OFFSET([2]characters!$A$1,0,0,COUNTA([2]characters!$A:$A),MATCH(F$1,[2]characters!$1:$1,0)-MATCH($A$1,[2]characters!$1:$1,0)+1),MATCH(F$1,[2]characters!$1:$1,0)-MATCH($A$1,[2]characters!$1:$1,0)+1,FALSE)</f>
        <v>森のマッドハッター</v>
      </c>
      <c r="G754" s="66">
        <v>1</v>
      </c>
      <c r="H754" s="66">
        <v>1</v>
      </c>
      <c r="I754" s="66">
        <v>1</v>
      </c>
    </row>
    <row r="755" spans="1:9" x14ac:dyDescent="0.15">
      <c r="A755" s="66">
        <v>541</v>
      </c>
      <c r="B755" s="3" t="str">
        <f ca="1">VLOOKUP($A755,OFFSET([2]characters!$A$1,0,0,COUNTA([2]characters!$A:$A),MATCH(B$1,[2]characters!$1:$1,0)-MATCH($A$1,[2]characters!$1:$1,0)+1),MATCH(B$1,[2]characters!$1:$1,0)-MATCH($A$1,[2]characters!$1:$1,0)+1,FALSE)</f>
        <v>初音ミク</v>
      </c>
      <c r="C755" s="93">
        <f ca="1">VLOOKUP($A755,OFFSET(fork_awake_units!$A$1,0,0,COUNTA(fork_awake_units!$A:$A),MATCH(C$1,fork_awake_units!$1:$1,0)-MATCH($A$1,fork_awake_units!$1:$1,0)+1),MATCH(C$1,fork_awake_units!$1:$1,0)-MATCH($A$1,fork_awake_units!$1:$1,0)+1,FALSE)</f>
        <v>542</v>
      </c>
      <c r="D755" s="3" t="str">
        <f ca="1">VLOOKUP($C755,OFFSET([2]characters!$A$1,0,0,COUNTA([2]characters!$A:$A),MATCH(D$1,[2]characters!$1:$1,0)-MATCH($A$1,[2]characters!$1:$1,0)+1),MATCH(D$1,[2]characters!$1:$1,0)-MATCH($A$1,[2]characters!$1:$1,0)+1,FALSE)</f>
        <v>革命の音撃 初音ミク</v>
      </c>
      <c r="E755" s="66">
        <v>525</v>
      </c>
      <c r="F755" s="3" t="str">
        <f ca="1">VLOOKUP($E755,OFFSET([2]characters!$A$1,0,0,COUNTA([2]characters!$A:$A),MATCH(F$1,[2]characters!$1:$1,0)-MATCH($A$1,[2]characters!$1:$1,0)+1),MATCH(F$1,[2]characters!$1:$1,0)-MATCH($A$1,[2]characters!$1:$1,0)+1,FALSE)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755" s="66">
        <v>1</v>
      </c>
      <c r="H755" s="66">
        <v>5</v>
      </c>
      <c r="I755" s="66">
        <v>1</v>
      </c>
    </row>
    <row r="756" spans="1:9" x14ac:dyDescent="0.15">
      <c r="A756" s="66">
        <v>541</v>
      </c>
      <c r="B756" s="3" t="str">
        <f ca="1">VLOOKUP($A756,OFFSET([2]characters!$A$1,0,0,COUNTA([2]characters!$A:$A),MATCH(B$1,[2]characters!$1:$1,0)-MATCH($A$1,[2]characters!$1:$1,0)+1),MATCH(B$1,[2]characters!$1:$1,0)-MATCH($A$1,[2]characters!$1:$1,0)+1,FALSE)</f>
        <v>初音ミク</v>
      </c>
      <c r="C756" s="93">
        <f ca="1">VLOOKUP($A756,OFFSET(fork_awake_units!$A$1,0,0,COUNTA(fork_awake_units!$A:$A),MATCH(C$1,fork_awake_units!$1:$1,0)-MATCH($A$1,fork_awake_units!$1:$1,0)+1),MATCH(C$1,fork_awake_units!$1:$1,0)-MATCH($A$1,fork_awake_units!$1:$1,0)+1,FALSE)</f>
        <v>542</v>
      </c>
      <c r="D756" s="3" t="str">
        <f ca="1">VLOOKUP($C756,OFFSET([2]characters!$A$1,0,0,COUNTA([2]characters!$A:$A),MATCH(D$1,[2]characters!$1:$1,0)-MATCH($A$1,[2]characters!$1:$1,0)+1),MATCH(D$1,[2]characters!$1:$1,0)-MATCH($A$1,[2]characters!$1:$1,0)+1,FALSE)</f>
        <v>革命の音撃 初音ミク</v>
      </c>
      <c r="E756" s="66">
        <v>526</v>
      </c>
      <c r="F756" s="3" t="str">
        <f ca="1">VLOOKUP($E756,OFFSET([2]characters!$A$1,0,0,COUNTA([2]characters!$A:$A),MATCH(F$1,[2]characters!$1:$1,0)-MATCH($A$1,[2]characters!$1:$1,0)+1),MATCH(F$1,[2]characters!$1:$1,0)-MATCH($A$1,[2]characters!$1:$1,0)+1,FALSE)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756" s="66">
        <v>1</v>
      </c>
      <c r="H756" s="66">
        <v>3</v>
      </c>
      <c r="I756" s="66">
        <v>1</v>
      </c>
    </row>
    <row r="757" spans="1:9" x14ac:dyDescent="0.15">
      <c r="A757" s="66">
        <v>543</v>
      </c>
      <c r="B757" s="3" t="str">
        <f ca="1">VLOOKUP($A757,OFFSET([2]characters!$A$1,0,0,COUNTA([2]characters!$A:$A),MATCH(B$1,[2]characters!$1:$1,0)-MATCH($A$1,[2]characters!$1:$1,0)+1),MATCH(B$1,[2]characters!$1:$1,0)-MATCH($A$1,[2]characters!$1:$1,0)+1,FALSE)</f>
        <v>鏡音リン</v>
      </c>
      <c r="C757" s="93">
        <f ca="1">VLOOKUP($A757,OFFSET(fork_awake_units!$A$1,0,0,COUNTA(fork_awake_units!$A:$A),MATCH(C$1,fork_awake_units!$1:$1,0)-MATCH($A$1,fork_awake_units!$1:$1,0)+1),MATCH(C$1,fork_awake_units!$1:$1,0)-MATCH($A$1,fork_awake_units!$1:$1,0)+1,FALSE)</f>
        <v>544</v>
      </c>
      <c r="D757" s="3" t="str">
        <f ca="1">VLOOKUP($C757,OFFSET([2]characters!$A$1,0,0,COUNTA([2]characters!$A:$A),MATCH(D$1,[2]characters!$1:$1,0)-MATCH($A$1,[2]characters!$1:$1,0)+1),MATCH(D$1,[2]characters!$1:$1,0)-MATCH($A$1,[2]characters!$1:$1,0)+1,FALSE)</f>
        <v>反響の凛音 鏡音リン</v>
      </c>
      <c r="E757" s="66">
        <v>115</v>
      </c>
      <c r="F757" s="3" t="str">
        <f ca="1">VLOOKUP($E757,OFFSET([2]characters!$A$1,0,0,COUNTA([2]characters!$A:$A),MATCH(F$1,[2]characters!$1:$1,0)-MATCH($A$1,[2]characters!$1:$1,0)+1),MATCH(F$1,[2]characters!$1:$1,0)-MATCH($A$1,[2]characters!$1:$1,0)+1,FALSE)</f>
        <v>イエローキャタップ</v>
      </c>
      <c r="G757" s="66">
        <v>2</v>
      </c>
      <c r="H757" s="66">
        <v>1</v>
      </c>
      <c r="I757" s="66">
        <v>1</v>
      </c>
    </row>
    <row r="758" spans="1:9" x14ac:dyDescent="0.15">
      <c r="A758" s="66">
        <v>543</v>
      </c>
      <c r="B758" s="3" t="str">
        <f ca="1">VLOOKUP($A758,OFFSET([2]characters!$A$1,0,0,COUNTA([2]characters!$A:$A),MATCH(B$1,[2]characters!$1:$1,0)-MATCH($A$1,[2]characters!$1:$1,0)+1),MATCH(B$1,[2]characters!$1:$1,0)-MATCH($A$1,[2]characters!$1:$1,0)+1,FALSE)</f>
        <v>鏡音リン</v>
      </c>
      <c r="C758" s="93">
        <f ca="1">VLOOKUP($A758,OFFSET(fork_awake_units!$A$1,0,0,COUNTA(fork_awake_units!$A:$A),MATCH(C$1,fork_awake_units!$1:$1,0)-MATCH($A$1,fork_awake_units!$1:$1,0)+1),MATCH(C$1,fork_awake_units!$1:$1,0)-MATCH($A$1,fork_awake_units!$1:$1,0)+1,FALSE)</f>
        <v>544</v>
      </c>
      <c r="D758" s="3" t="str">
        <f ca="1">VLOOKUP($C758,OFFSET([2]characters!$A$1,0,0,COUNTA([2]characters!$A:$A),MATCH(D$1,[2]characters!$1:$1,0)-MATCH($A$1,[2]characters!$1:$1,0)+1),MATCH(D$1,[2]characters!$1:$1,0)-MATCH($A$1,[2]characters!$1:$1,0)+1,FALSE)</f>
        <v>反響の凛音 鏡音リン</v>
      </c>
      <c r="E758" s="66">
        <v>116</v>
      </c>
      <c r="F758" s="3" t="str">
        <f ca="1">VLOOKUP($E758,OFFSET([2]characters!$A$1,0,0,COUNTA([2]characters!$A:$A),MATCH(F$1,[2]characters!$1:$1,0)-MATCH($A$1,[2]characters!$1:$1,0)+1),MATCH(F$1,[2]characters!$1:$1,0)-MATCH($A$1,[2]characters!$1:$1,0)+1,FALSE)</f>
        <v>雷のマッドハッター</v>
      </c>
      <c r="G758" s="66">
        <v>1</v>
      </c>
      <c r="H758" s="66">
        <v>1</v>
      </c>
      <c r="I758" s="66">
        <v>1</v>
      </c>
    </row>
    <row r="759" spans="1:9" x14ac:dyDescent="0.15">
      <c r="A759" s="66">
        <v>543</v>
      </c>
      <c r="B759" s="3" t="str">
        <f ca="1">VLOOKUP($A759,OFFSET([2]characters!$A$1,0,0,COUNTA([2]characters!$A:$A),MATCH(B$1,[2]characters!$1:$1,0)-MATCH($A$1,[2]characters!$1:$1,0)+1),MATCH(B$1,[2]characters!$1:$1,0)-MATCH($A$1,[2]characters!$1:$1,0)+1,FALSE)</f>
        <v>鏡音リン</v>
      </c>
      <c r="C759" s="93">
        <f ca="1">VLOOKUP($A759,OFFSET(fork_awake_units!$A$1,0,0,COUNTA(fork_awake_units!$A:$A),MATCH(C$1,fork_awake_units!$1:$1,0)-MATCH($A$1,fork_awake_units!$1:$1,0)+1),MATCH(C$1,fork_awake_units!$1:$1,0)-MATCH($A$1,fork_awake_units!$1:$1,0)+1,FALSE)</f>
        <v>544</v>
      </c>
      <c r="D759" s="3" t="str">
        <f ca="1">VLOOKUP($C759,OFFSET([2]characters!$A$1,0,0,COUNTA([2]characters!$A:$A),MATCH(D$1,[2]characters!$1:$1,0)-MATCH($A$1,[2]characters!$1:$1,0)+1),MATCH(D$1,[2]characters!$1:$1,0)-MATCH($A$1,[2]characters!$1:$1,0)+1,FALSE)</f>
        <v>反響の凛音 鏡音リン</v>
      </c>
      <c r="E759" s="66">
        <v>525</v>
      </c>
      <c r="F759" s="3" t="str">
        <f ca="1">VLOOKUP($E759,OFFSET([2]characters!$A$1,0,0,COUNTA([2]characters!$A:$A),MATCH(F$1,[2]characters!$1:$1,0)-MATCH($A$1,[2]characters!$1:$1,0)+1),MATCH(F$1,[2]characters!$1:$1,0)-MATCH($A$1,[2]characters!$1:$1,0)+1,FALSE)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759" s="66">
        <v>1</v>
      </c>
      <c r="H759" s="66">
        <v>3</v>
      </c>
      <c r="I759" s="66">
        <v>1</v>
      </c>
    </row>
    <row r="760" spans="1:9" x14ac:dyDescent="0.15">
      <c r="A760" s="66">
        <v>543</v>
      </c>
      <c r="B760" s="3" t="str">
        <f ca="1">VLOOKUP($A760,OFFSET([2]characters!$A$1,0,0,COUNTA([2]characters!$A:$A),MATCH(B$1,[2]characters!$1:$1,0)-MATCH($A$1,[2]characters!$1:$1,0)+1),MATCH(B$1,[2]characters!$1:$1,0)-MATCH($A$1,[2]characters!$1:$1,0)+1,FALSE)</f>
        <v>鏡音リン</v>
      </c>
      <c r="C760" s="93">
        <f ca="1">VLOOKUP($A760,OFFSET(fork_awake_units!$A$1,0,0,COUNTA(fork_awake_units!$A:$A),MATCH(C$1,fork_awake_units!$1:$1,0)-MATCH($A$1,fork_awake_units!$1:$1,0)+1),MATCH(C$1,fork_awake_units!$1:$1,0)-MATCH($A$1,fork_awake_units!$1:$1,0)+1,FALSE)</f>
        <v>544</v>
      </c>
      <c r="D760" s="3" t="str">
        <f ca="1">VLOOKUP($C760,OFFSET([2]characters!$A$1,0,0,COUNTA([2]characters!$A:$A),MATCH(D$1,[2]characters!$1:$1,0)-MATCH($A$1,[2]characters!$1:$1,0)+1),MATCH(D$1,[2]characters!$1:$1,0)-MATCH($A$1,[2]characters!$1:$1,0)+1,FALSE)</f>
        <v>反響の凛音 鏡音リン</v>
      </c>
      <c r="E760" s="66">
        <v>526</v>
      </c>
      <c r="F760" s="3" t="str">
        <f ca="1">VLOOKUP($E760,OFFSET([2]characters!$A$1,0,0,COUNTA([2]characters!$A:$A),MATCH(F$1,[2]characters!$1:$1,0)-MATCH($A$1,[2]characters!$1:$1,0)+1),MATCH(F$1,[2]characters!$1:$1,0)-MATCH($A$1,[2]characters!$1:$1,0)+1,FALSE)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760" s="66">
        <v>1</v>
      </c>
      <c r="H760" s="66">
        <v>1</v>
      </c>
      <c r="I760" s="66">
        <v>1</v>
      </c>
    </row>
    <row r="761" spans="1:9" x14ac:dyDescent="0.15">
      <c r="A761" s="66">
        <v>545</v>
      </c>
      <c r="B761" s="3" t="str">
        <f ca="1">VLOOKUP($A761,OFFSET([2]characters!$A$1,0,0,COUNTA([2]characters!$A:$A),MATCH(B$1,[2]characters!$1:$1,0)-MATCH($A$1,[2]characters!$1:$1,0)+1),MATCH(B$1,[2]characters!$1:$1,0)-MATCH($A$1,[2]characters!$1:$1,0)+1,FALSE)</f>
        <v>鏡音レン</v>
      </c>
      <c r="C761" s="93">
        <f ca="1">VLOOKUP($A761,OFFSET(fork_awake_units!$A$1,0,0,COUNTA(fork_awake_units!$A:$A),MATCH(C$1,fork_awake_units!$1:$1,0)-MATCH($A$1,fork_awake_units!$1:$1,0)+1),MATCH(C$1,fork_awake_units!$1:$1,0)-MATCH($A$1,fork_awake_units!$1:$1,0)+1,FALSE)</f>
        <v>546</v>
      </c>
      <c r="D761" s="3" t="str">
        <f ca="1">VLOOKUP($C761,OFFSET([2]characters!$A$1,0,0,COUNTA([2]characters!$A:$A),MATCH(D$1,[2]characters!$1:$1,0)-MATCH($A$1,[2]characters!$1:$1,0)+1),MATCH(D$1,[2]characters!$1:$1,0)-MATCH($A$1,[2]characters!$1:$1,0)+1,FALSE)</f>
        <v>残響の連符 鏡音レン</v>
      </c>
      <c r="E761" s="66">
        <v>115</v>
      </c>
      <c r="F761" s="3" t="str">
        <f ca="1">VLOOKUP($E761,OFFSET([2]characters!$A$1,0,0,COUNTA([2]characters!$A:$A),MATCH(F$1,[2]characters!$1:$1,0)-MATCH($A$1,[2]characters!$1:$1,0)+1),MATCH(F$1,[2]characters!$1:$1,0)-MATCH($A$1,[2]characters!$1:$1,0)+1,FALSE)</f>
        <v>イエローキャタップ</v>
      </c>
      <c r="G761" s="66">
        <v>2</v>
      </c>
      <c r="H761" s="66">
        <v>1</v>
      </c>
      <c r="I761" s="66">
        <v>1</v>
      </c>
    </row>
    <row r="762" spans="1:9" x14ac:dyDescent="0.15">
      <c r="A762" s="66">
        <v>545</v>
      </c>
      <c r="B762" s="3" t="str">
        <f ca="1">VLOOKUP($A762,OFFSET([2]characters!$A$1,0,0,COUNTA([2]characters!$A:$A),MATCH(B$1,[2]characters!$1:$1,0)-MATCH($A$1,[2]characters!$1:$1,0)+1),MATCH(B$1,[2]characters!$1:$1,0)-MATCH($A$1,[2]characters!$1:$1,0)+1,FALSE)</f>
        <v>鏡音レン</v>
      </c>
      <c r="C762" s="93">
        <f ca="1">VLOOKUP($A762,OFFSET(fork_awake_units!$A$1,0,0,COUNTA(fork_awake_units!$A:$A),MATCH(C$1,fork_awake_units!$1:$1,0)-MATCH($A$1,fork_awake_units!$1:$1,0)+1),MATCH(C$1,fork_awake_units!$1:$1,0)-MATCH($A$1,fork_awake_units!$1:$1,0)+1,FALSE)</f>
        <v>546</v>
      </c>
      <c r="D762" s="3" t="str">
        <f ca="1">VLOOKUP($C762,OFFSET([2]characters!$A$1,0,0,COUNTA([2]characters!$A:$A),MATCH(D$1,[2]characters!$1:$1,0)-MATCH($A$1,[2]characters!$1:$1,0)+1),MATCH(D$1,[2]characters!$1:$1,0)-MATCH($A$1,[2]characters!$1:$1,0)+1,FALSE)</f>
        <v>残響の連符 鏡音レン</v>
      </c>
      <c r="E762" s="66">
        <v>116</v>
      </c>
      <c r="F762" s="3" t="str">
        <f ca="1">VLOOKUP($E762,OFFSET([2]characters!$A$1,0,0,COUNTA([2]characters!$A:$A),MATCH(F$1,[2]characters!$1:$1,0)-MATCH($A$1,[2]characters!$1:$1,0)+1),MATCH(F$1,[2]characters!$1:$1,0)-MATCH($A$1,[2]characters!$1:$1,0)+1,FALSE)</f>
        <v>雷のマッドハッター</v>
      </c>
      <c r="G762" s="66">
        <v>1</v>
      </c>
      <c r="H762" s="66">
        <v>1</v>
      </c>
      <c r="I762" s="66">
        <v>1</v>
      </c>
    </row>
    <row r="763" spans="1:9" x14ac:dyDescent="0.15">
      <c r="A763" s="66">
        <v>545</v>
      </c>
      <c r="B763" s="3" t="str">
        <f ca="1">VLOOKUP($A763,OFFSET([2]characters!$A$1,0,0,COUNTA([2]characters!$A:$A),MATCH(B$1,[2]characters!$1:$1,0)-MATCH($A$1,[2]characters!$1:$1,0)+1),MATCH(B$1,[2]characters!$1:$1,0)-MATCH($A$1,[2]characters!$1:$1,0)+1,FALSE)</f>
        <v>鏡音レン</v>
      </c>
      <c r="C763" s="93">
        <f ca="1">VLOOKUP($A763,OFFSET(fork_awake_units!$A$1,0,0,COUNTA(fork_awake_units!$A:$A),MATCH(C$1,fork_awake_units!$1:$1,0)-MATCH($A$1,fork_awake_units!$1:$1,0)+1),MATCH(C$1,fork_awake_units!$1:$1,0)-MATCH($A$1,fork_awake_units!$1:$1,0)+1,FALSE)</f>
        <v>546</v>
      </c>
      <c r="D763" s="3" t="str">
        <f ca="1">VLOOKUP($C763,OFFSET([2]characters!$A$1,0,0,COUNTA([2]characters!$A:$A),MATCH(D$1,[2]characters!$1:$1,0)-MATCH($A$1,[2]characters!$1:$1,0)+1),MATCH(D$1,[2]characters!$1:$1,0)-MATCH($A$1,[2]characters!$1:$1,0)+1,FALSE)</f>
        <v>残響の連符 鏡音レン</v>
      </c>
      <c r="E763" s="66">
        <v>525</v>
      </c>
      <c r="F763" s="3" t="str">
        <f ca="1">VLOOKUP($E763,OFFSET([2]characters!$A$1,0,0,COUNTA([2]characters!$A:$A),MATCH(F$1,[2]characters!$1:$1,0)-MATCH($A$1,[2]characters!$1:$1,0)+1),MATCH(F$1,[2]characters!$1:$1,0)-MATCH($A$1,[2]characters!$1:$1,0)+1,FALSE)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763" s="66">
        <v>1</v>
      </c>
      <c r="H763" s="66">
        <v>3</v>
      </c>
      <c r="I763" s="66">
        <v>1</v>
      </c>
    </row>
    <row r="764" spans="1:9" x14ac:dyDescent="0.15">
      <c r="A764" s="66">
        <v>545</v>
      </c>
      <c r="B764" s="3" t="str">
        <f ca="1">VLOOKUP($A764,OFFSET([2]characters!$A$1,0,0,COUNTA([2]characters!$A:$A),MATCH(B$1,[2]characters!$1:$1,0)-MATCH($A$1,[2]characters!$1:$1,0)+1),MATCH(B$1,[2]characters!$1:$1,0)-MATCH($A$1,[2]characters!$1:$1,0)+1,FALSE)</f>
        <v>鏡音レン</v>
      </c>
      <c r="C764" s="93">
        <f ca="1">VLOOKUP($A764,OFFSET(fork_awake_units!$A$1,0,0,COUNTA(fork_awake_units!$A:$A),MATCH(C$1,fork_awake_units!$1:$1,0)-MATCH($A$1,fork_awake_units!$1:$1,0)+1),MATCH(C$1,fork_awake_units!$1:$1,0)-MATCH($A$1,fork_awake_units!$1:$1,0)+1,FALSE)</f>
        <v>546</v>
      </c>
      <c r="D764" s="3" t="str">
        <f ca="1">VLOOKUP($C764,OFFSET([2]characters!$A$1,0,0,COUNTA([2]characters!$A:$A),MATCH(D$1,[2]characters!$1:$1,0)-MATCH($A$1,[2]characters!$1:$1,0)+1),MATCH(D$1,[2]characters!$1:$1,0)-MATCH($A$1,[2]characters!$1:$1,0)+1,FALSE)</f>
        <v>残響の連符 鏡音レン</v>
      </c>
      <c r="E764" s="66">
        <v>526</v>
      </c>
      <c r="F764" s="3" t="str">
        <f ca="1">VLOOKUP($E764,OFFSET([2]characters!$A$1,0,0,COUNTA([2]characters!$A:$A),MATCH(F$1,[2]characters!$1:$1,0)-MATCH($A$1,[2]characters!$1:$1,0)+1),MATCH(F$1,[2]characters!$1:$1,0)-MATCH($A$1,[2]characters!$1:$1,0)+1,FALSE)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764" s="66">
        <v>1</v>
      </c>
      <c r="H764" s="66">
        <v>1</v>
      </c>
      <c r="I764" s="66">
        <v>1</v>
      </c>
    </row>
    <row r="765" spans="1:9" x14ac:dyDescent="0.15">
      <c r="A765" s="66">
        <v>547</v>
      </c>
      <c r="B765" s="3" t="str">
        <f ca="1">VLOOKUP($A765,OFFSET([2]characters!$A$1,0,0,COUNTA([2]characters!$A:$A),MATCH(B$1,[2]characters!$1:$1,0)-MATCH($A$1,[2]characters!$1:$1,0)+1),MATCH(B$1,[2]characters!$1:$1,0)-MATCH($A$1,[2]characters!$1:$1,0)+1,FALSE)</f>
        <v>巡音ルカ</v>
      </c>
      <c r="C765" s="93">
        <f ca="1">VLOOKUP($A765,OFFSET(fork_awake_units!$A$1,0,0,COUNTA(fork_awake_units!$A:$A),MATCH(C$1,fork_awake_units!$1:$1,0)-MATCH($A$1,fork_awake_units!$1:$1,0)+1),MATCH(C$1,fork_awake_units!$1:$1,0)-MATCH($A$1,fork_awake_units!$1:$1,0)+1,FALSE)</f>
        <v>548</v>
      </c>
      <c r="D765" s="3" t="str">
        <f ca="1">VLOOKUP($C765,OFFSET([2]characters!$A$1,0,0,COUNTA([2]characters!$A:$A),MATCH(D$1,[2]characters!$1:$1,0)-MATCH($A$1,[2]characters!$1:$1,0)+1),MATCH(D$1,[2]characters!$1:$1,0)-MATCH($A$1,[2]characters!$1:$1,0)+1,FALSE)</f>
        <v>乱舞の音環 巡音ルカ</v>
      </c>
      <c r="E765" s="66">
        <v>101</v>
      </c>
      <c r="F765" s="3" t="str">
        <f ca="1">VLOOKUP($E765,OFFSET([2]characters!$A$1,0,0,COUNTA([2]characters!$A:$A),MATCH(F$1,[2]characters!$1:$1,0)-MATCH($A$1,[2]characters!$1:$1,0)+1),MATCH(F$1,[2]characters!$1:$1,0)-MATCH($A$1,[2]characters!$1:$1,0)+1,FALSE)</f>
        <v>レッドチェシャ</v>
      </c>
      <c r="G765" s="66">
        <v>3</v>
      </c>
      <c r="H765" s="66">
        <v>1</v>
      </c>
      <c r="I765" s="66">
        <v>1</v>
      </c>
    </row>
    <row r="766" spans="1:9" x14ac:dyDescent="0.15">
      <c r="A766" s="66">
        <v>547</v>
      </c>
      <c r="B766" s="3" t="str">
        <f ca="1">VLOOKUP($A766,OFFSET([2]characters!$A$1,0,0,COUNTA([2]characters!$A:$A),MATCH(B$1,[2]characters!$1:$1,0)-MATCH($A$1,[2]characters!$1:$1,0)+1),MATCH(B$1,[2]characters!$1:$1,0)-MATCH($A$1,[2]characters!$1:$1,0)+1,FALSE)</f>
        <v>巡音ルカ</v>
      </c>
      <c r="C766" s="93">
        <f ca="1">VLOOKUP($A766,OFFSET(fork_awake_units!$A$1,0,0,COUNTA(fork_awake_units!$A:$A),MATCH(C$1,fork_awake_units!$1:$1,0)-MATCH($A$1,fork_awake_units!$1:$1,0)+1),MATCH(C$1,fork_awake_units!$1:$1,0)-MATCH($A$1,fork_awake_units!$1:$1,0)+1,FALSE)</f>
        <v>548</v>
      </c>
      <c r="D766" s="3" t="str">
        <f ca="1">VLOOKUP($C766,OFFSET([2]characters!$A$1,0,0,COUNTA([2]characters!$A:$A),MATCH(D$1,[2]characters!$1:$1,0)-MATCH($A$1,[2]characters!$1:$1,0)+1),MATCH(D$1,[2]characters!$1:$1,0)-MATCH($A$1,[2]characters!$1:$1,0)+1,FALSE)</f>
        <v>乱舞の音環 巡音ルカ</v>
      </c>
      <c r="E766" s="66">
        <v>102</v>
      </c>
      <c r="F766" s="3" t="str">
        <f ca="1">VLOOKUP($E766,OFFSET([2]characters!$A$1,0,0,COUNTA([2]characters!$A:$A),MATCH(F$1,[2]characters!$1:$1,0)-MATCH($A$1,[2]characters!$1:$1,0)+1),MATCH(F$1,[2]characters!$1:$1,0)-MATCH($A$1,[2]characters!$1:$1,0)+1,FALSE)</f>
        <v>レッドラビット</v>
      </c>
      <c r="G766" s="66">
        <v>1</v>
      </c>
      <c r="H766" s="66">
        <v>1</v>
      </c>
      <c r="I766" s="66">
        <v>1</v>
      </c>
    </row>
    <row r="767" spans="1:9" x14ac:dyDescent="0.15">
      <c r="A767" s="66">
        <v>547</v>
      </c>
      <c r="B767" s="3" t="str">
        <f ca="1">VLOOKUP($A767,OFFSET([2]characters!$A$1,0,0,COUNTA([2]characters!$A:$A),MATCH(B$1,[2]characters!$1:$1,0)-MATCH($A$1,[2]characters!$1:$1,0)+1),MATCH(B$1,[2]characters!$1:$1,0)-MATCH($A$1,[2]characters!$1:$1,0)+1,FALSE)</f>
        <v>巡音ルカ</v>
      </c>
      <c r="C767" s="93">
        <f ca="1">VLOOKUP($A767,OFFSET(fork_awake_units!$A$1,0,0,COUNTA(fork_awake_units!$A:$A),MATCH(C$1,fork_awake_units!$1:$1,0)-MATCH($A$1,fork_awake_units!$1:$1,0)+1),MATCH(C$1,fork_awake_units!$1:$1,0)-MATCH($A$1,fork_awake_units!$1:$1,0)+1,FALSE)</f>
        <v>548</v>
      </c>
      <c r="D767" s="3" t="str">
        <f ca="1">VLOOKUP($C767,OFFSET([2]characters!$A$1,0,0,COUNTA([2]characters!$A:$A),MATCH(D$1,[2]characters!$1:$1,0)-MATCH($A$1,[2]characters!$1:$1,0)+1),MATCH(D$1,[2]characters!$1:$1,0)-MATCH($A$1,[2]characters!$1:$1,0)+1,FALSE)</f>
        <v>乱舞の音環 巡音ルカ</v>
      </c>
      <c r="E767" s="66">
        <v>103</v>
      </c>
      <c r="F767" s="3" t="str">
        <f ca="1">VLOOKUP($E767,OFFSET([2]characters!$A$1,0,0,COUNTA([2]characters!$A:$A),MATCH(F$1,[2]characters!$1:$1,0)-MATCH($A$1,[2]characters!$1:$1,0)+1),MATCH(F$1,[2]characters!$1:$1,0)-MATCH($A$1,[2]characters!$1:$1,0)+1,FALSE)</f>
        <v>レッドキャタップ</v>
      </c>
      <c r="G767" s="66">
        <v>1</v>
      </c>
      <c r="H767" s="66">
        <v>1</v>
      </c>
      <c r="I767" s="66">
        <v>1</v>
      </c>
    </row>
    <row r="768" spans="1:9" x14ac:dyDescent="0.15">
      <c r="A768" s="66">
        <v>549</v>
      </c>
      <c r="B768" s="3" t="str">
        <f ca="1">VLOOKUP($A768,OFFSET([2]characters!$A$1,0,0,COUNTA([2]characters!$A:$A),MATCH(B$1,[2]characters!$1:$1,0)-MATCH($A$1,[2]characters!$1:$1,0)+1),MATCH(B$1,[2]characters!$1:$1,0)-MATCH($A$1,[2]characters!$1:$1,0)+1,FALSE)</f>
        <v>MEIKO</v>
      </c>
      <c r="C768" s="93">
        <f ca="1">VLOOKUP($A768,OFFSET(fork_awake_units!$A$1,0,0,COUNTA(fork_awake_units!$A:$A),MATCH(C$1,fork_awake_units!$1:$1,0)-MATCH($A$1,fork_awake_units!$1:$1,0)+1),MATCH(C$1,fork_awake_units!$1:$1,0)-MATCH($A$1,fork_awake_units!$1:$1,0)+1,FALSE)</f>
        <v>550</v>
      </c>
      <c r="D768" s="3" t="str">
        <f ca="1">VLOOKUP($C768,OFFSET([2]characters!$A$1,0,0,COUNTA([2]characters!$A:$A),MATCH(D$1,[2]characters!$1:$1,0)-MATCH($A$1,[2]characters!$1:$1,0)+1),MATCH(D$1,[2]characters!$1:$1,0)-MATCH($A$1,[2]characters!$1:$1,0)+1,FALSE)</f>
        <v>解放の絶唱 MEIKO</v>
      </c>
      <c r="E768" s="66">
        <v>101</v>
      </c>
      <c r="F768" s="3" t="str">
        <f ca="1">VLOOKUP($E768,OFFSET([2]characters!$A$1,0,0,COUNTA([2]characters!$A:$A),MATCH(F$1,[2]characters!$1:$1,0)-MATCH($A$1,[2]characters!$1:$1,0)+1),MATCH(F$1,[2]characters!$1:$1,0)-MATCH($A$1,[2]characters!$1:$1,0)+1,FALSE)</f>
        <v>レッドチェシャ</v>
      </c>
      <c r="G768" s="66">
        <v>3</v>
      </c>
      <c r="H768" s="66">
        <v>1</v>
      </c>
      <c r="I768" s="66">
        <v>1</v>
      </c>
    </row>
    <row r="769" spans="1:9" x14ac:dyDescent="0.15">
      <c r="A769" s="66">
        <v>549</v>
      </c>
      <c r="B769" s="3" t="str">
        <f ca="1">VLOOKUP($A769,OFFSET([2]characters!$A$1,0,0,COUNTA([2]characters!$A:$A),MATCH(B$1,[2]characters!$1:$1,0)-MATCH($A$1,[2]characters!$1:$1,0)+1),MATCH(B$1,[2]characters!$1:$1,0)-MATCH($A$1,[2]characters!$1:$1,0)+1,FALSE)</f>
        <v>MEIKO</v>
      </c>
      <c r="C769" s="93">
        <f ca="1">VLOOKUP($A769,OFFSET(fork_awake_units!$A$1,0,0,COUNTA(fork_awake_units!$A:$A),MATCH(C$1,fork_awake_units!$1:$1,0)-MATCH($A$1,fork_awake_units!$1:$1,0)+1),MATCH(C$1,fork_awake_units!$1:$1,0)-MATCH($A$1,fork_awake_units!$1:$1,0)+1,FALSE)</f>
        <v>550</v>
      </c>
      <c r="D769" s="3" t="str">
        <f ca="1">VLOOKUP($C769,OFFSET([2]characters!$A$1,0,0,COUNTA([2]characters!$A:$A),MATCH(D$1,[2]characters!$1:$1,0)-MATCH($A$1,[2]characters!$1:$1,0)+1),MATCH(D$1,[2]characters!$1:$1,0)-MATCH($A$1,[2]characters!$1:$1,0)+1,FALSE)</f>
        <v>解放の絶唱 MEIKO</v>
      </c>
      <c r="E769" s="66">
        <v>102</v>
      </c>
      <c r="F769" s="3" t="str">
        <f ca="1">VLOOKUP($E769,OFFSET([2]characters!$A$1,0,0,COUNTA([2]characters!$A:$A),MATCH(F$1,[2]characters!$1:$1,0)-MATCH($A$1,[2]characters!$1:$1,0)+1),MATCH(F$1,[2]characters!$1:$1,0)-MATCH($A$1,[2]characters!$1:$1,0)+1,FALSE)</f>
        <v>レッドラビット</v>
      </c>
      <c r="G769" s="66">
        <v>1</v>
      </c>
      <c r="H769" s="66">
        <v>1</v>
      </c>
      <c r="I769" s="66">
        <v>1</v>
      </c>
    </row>
    <row r="770" spans="1:9" x14ac:dyDescent="0.15">
      <c r="A770" s="66">
        <v>549</v>
      </c>
      <c r="B770" s="3" t="str">
        <f ca="1">VLOOKUP($A770,OFFSET([2]characters!$A$1,0,0,COUNTA([2]characters!$A:$A),MATCH(B$1,[2]characters!$1:$1,0)-MATCH($A$1,[2]characters!$1:$1,0)+1),MATCH(B$1,[2]characters!$1:$1,0)-MATCH($A$1,[2]characters!$1:$1,0)+1,FALSE)</f>
        <v>MEIKO</v>
      </c>
      <c r="C770" s="93">
        <f ca="1">VLOOKUP($A770,OFFSET(fork_awake_units!$A$1,0,0,COUNTA(fork_awake_units!$A:$A),MATCH(C$1,fork_awake_units!$1:$1,0)-MATCH($A$1,fork_awake_units!$1:$1,0)+1),MATCH(C$1,fork_awake_units!$1:$1,0)-MATCH($A$1,fork_awake_units!$1:$1,0)+1,FALSE)</f>
        <v>550</v>
      </c>
      <c r="D770" s="3" t="str">
        <f ca="1">VLOOKUP($C770,OFFSET([2]characters!$A$1,0,0,COUNTA([2]characters!$A:$A),MATCH(D$1,[2]characters!$1:$1,0)-MATCH($A$1,[2]characters!$1:$1,0)+1),MATCH(D$1,[2]characters!$1:$1,0)-MATCH($A$1,[2]characters!$1:$1,0)+1,FALSE)</f>
        <v>解放の絶唱 MEIKO</v>
      </c>
      <c r="E770" s="66">
        <v>103</v>
      </c>
      <c r="F770" s="3" t="str">
        <f ca="1">VLOOKUP($E770,OFFSET([2]characters!$A$1,0,0,COUNTA([2]characters!$A:$A),MATCH(F$1,[2]characters!$1:$1,0)-MATCH($A$1,[2]characters!$1:$1,0)+1),MATCH(F$1,[2]characters!$1:$1,0)-MATCH($A$1,[2]characters!$1:$1,0)+1,FALSE)</f>
        <v>レッドキャタップ</v>
      </c>
      <c r="G770" s="66">
        <v>1</v>
      </c>
      <c r="H770" s="66">
        <v>1</v>
      </c>
      <c r="I770" s="66">
        <v>1</v>
      </c>
    </row>
    <row r="771" spans="1:9" x14ac:dyDescent="0.15">
      <c r="A771" s="66">
        <v>551</v>
      </c>
      <c r="B771" s="3" t="str">
        <f ca="1">VLOOKUP($A771,OFFSET([2]characters!$A$1,0,0,COUNTA([2]characters!$A:$A),MATCH(B$1,[2]characters!$1:$1,0)-MATCH($A$1,[2]characters!$1:$1,0)+1),MATCH(B$1,[2]characters!$1:$1,0)-MATCH($A$1,[2]characters!$1:$1,0)+1,FALSE)</f>
        <v>KAITO</v>
      </c>
      <c r="C771" s="93">
        <f ca="1">VLOOKUP($A771,OFFSET(fork_awake_units!$A$1,0,0,COUNTA(fork_awake_units!$A:$A),MATCH(C$1,fork_awake_units!$1:$1,0)-MATCH($A$1,fork_awake_units!$1:$1,0)+1),MATCH(C$1,fork_awake_units!$1:$1,0)-MATCH($A$1,fork_awake_units!$1:$1,0)+1,FALSE)</f>
        <v>552</v>
      </c>
      <c r="D771" s="3" t="str">
        <f ca="1">VLOOKUP($C771,OFFSET([2]characters!$A$1,0,0,COUNTA([2]characters!$A:$A),MATCH(D$1,[2]characters!$1:$1,0)-MATCH($A$1,[2]characters!$1:$1,0)+1),MATCH(D$1,[2]characters!$1:$1,0)-MATCH($A$1,[2]characters!$1:$1,0)+1,FALSE)</f>
        <v>愉悦の愛唱 KAITO</v>
      </c>
      <c r="E771" s="66">
        <v>109</v>
      </c>
      <c r="F771" s="3" t="str">
        <f ca="1">VLOOKUP($E771,OFFSET([2]characters!$A$1,0,0,COUNTA([2]characters!$A:$A),MATCH(F$1,[2]characters!$1:$1,0)-MATCH($A$1,[2]characters!$1:$1,0)+1),MATCH(F$1,[2]characters!$1:$1,0)-MATCH($A$1,[2]characters!$1:$1,0)+1,FALSE)</f>
        <v>ブルーチェシャ</v>
      </c>
      <c r="G771" s="66">
        <v>3</v>
      </c>
      <c r="H771" s="66">
        <v>1</v>
      </c>
      <c r="I771" s="66">
        <v>1</v>
      </c>
    </row>
    <row r="772" spans="1:9" x14ac:dyDescent="0.15">
      <c r="A772" s="66">
        <v>551</v>
      </c>
      <c r="B772" s="3" t="str">
        <f ca="1">VLOOKUP($A772,OFFSET([2]characters!$A$1,0,0,COUNTA([2]characters!$A:$A),MATCH(B$1,[2]characters!$1:$1,0)-MATCH($A$1,[2]characters!$1:$1,0)+1),MATCH(B$1,[2]characters!$1:$1,0)-MATCH($A$1,[2]characters!$1:$1,0)+1,FALSE)</f>
        <v>KAITO</v>
      </c>
      <c r="C772" s="93">
        <f ca="1">VLOOKUP($A772,OFFSET(fork_awake_units!$A$1,0,0,COUNTA(fork_awake_units!$A:$A),MATCH(C$1,fork_awake_units!$1:$1,0)-MATCH($A$1,fork_awake_units!$1:$1,0)+1),MATCH(C$1,fork_awake_units!$1:$1,0)-MATCH($A$1,fork_awake_units!$1:$1,0)+1,FALSE)</f>
        <v>552</v>
      </c>
      <c r="D772" s="3" t="str">
        <f ca="1">VLOOKUP($C772,OFFSET([2]characters!$A$1,0,0,COUNTA([2]characters!$A:$A),MATCH(D$1,[2]characters!$1:$1,0)-MATCH($A$1,[2]characters!$1:$1,0)+1),MATCH(D$1,[2]characters!$1:$1,0)-MATCH($A$1,[2]characters!$1:$1,0)+1,FALSE)</f>
        <v>愉悦の愛唱 KAITO</v>
      </c>
      <c r="E772" s="66">
        <v>110</v>
      </c>
      <c r="F772" s="3" t="str">
        <f ca="1">VLOOKUP($E772,OFFSET([2]characters!$A$1,0,0,COUNTA([2]characters!$A:$A),MATCH(F$1,[2]characters!$1:$1,0)-MATCH($A$1,[2]characters!$1:$1,0)+1),MATCH(F$1,[2]characters!$1:$1,0)-MATCH($A$1,[2]characters!$1:$1,0)+1,FALSE)</f>
        <v>ブルーラビット</v>
      </c>
      <c r="G772" s="66">
        <v>1</v>
      </c>
      <c r="H772" s="66">
        <v>1</v>
      </c>
      <c r="I772" s="66">
        <v>1</v>
      </c>
    </row>
    <row r="773" spans="1:9" x14ac:dyDescent="0.15">
      <c r="A773" s="66">
        <v>551</v>
      </c>
      <c r="B773" s="3" t="str">
        <f ca="1">VLOOKUP($A773,OFFSET([2]characters!$A$1,0,0,COUNTA([2]characters!$A:$A),MATCH(B$1,[2]characters!$1:$1,0)-MATCH($A$1,[2]characters!$1:$1,0)+1),MATCH(B$1,[2]characters!$1:$1,0)-MATCH($A$1,[2]characters!$1:$1,0)+1,FALSE)</f>
        <v>KAITO</v>
      </c>
      <c r="C773" s="93">
        <f ca="1">VLOOKUP($A773,OFFSET(fork_awake_units!$A$1,0,0,COUNTA(fork_awake_units!$A:$A),MATCH(C$1,fork_awake_units!$1:$1,0)-MATCH($A$1,fork_awake_units!$1:$1,0)+1),MATCH(C$1,fork_awake_units!$1:$1,0)-MATCH($A$1,fork_awake_units!$1:$1,0)+1,FALSE)</f>
        <v>552</v>
      </c>
      <c r="D773" s="3" t="str">
        <f ca="1">VLOOKUP($C773,OFFSET([2]characters!$A$1,0,0,COUNTA([2]characters!$A:$A),MATCH(D$1,[2]characters!$1:$1,0)-MATCH($A$1,[2]characters!$1:$1,0)+1),MATCH(D$1,[2]characters!$1:$1,0)-MATCH($A$1,[2]characters!$1:$1,0)+1,FALSE)</f>
        <v>愉悦の愛唱 KAITO</v>
      </c>
      <c r="E773" s="66">
        <v>111</v>
      </c>
      <c r="F773" s="3" t="str">
        <f ca="1">VLOOKUP($E773,OFFSET([2]characters!$A$1,0,0,COUNTA([2]characters!$A:$A),MATCH(F$1,[2]characters!$1:$1,0)-MATCH($A$1,[2]characters!$1:$1,0)+1),MATCH(F$1,[2]characters!$1:$1,0)-MATCH($A$1,[2]characters!$1:$1,0)+1,FALSE)</f>
        <v>ブルーキャタップ</v>
      </c>
      <c r="G773" s="66">
        <v>1</v>
      </c>
      <c r="H773" s="66">
        <v>1</v>
      </c>
      <c r="I773" s="66">
        <v>1</v>
      </c>
    </row>
    <row r="774" spans="1:9" x14ac:dyDescent="0.15">
      <c r="A774" s="66">
        <v>553</v>
      </c>
      <c r="B774" s="3" t="str">
        <f ca="1">VLOOKUP($A774,OFFSET([2]characters!$A$1,0,0,COUNTA([2]characters!$A:$A),MATCH(B$1,[2]characters!$1:$1,0)-MATCH($A$1,[2]characters!$1:$1,0)+1),MATCH(B$1,[2]characters!$1:$1,0)-MATCH($A$1,[2]characters!$1:$1,0)+1,FALSE)</f>
        <v>雪ミク2016</v>
      </c>
      <c r="C774" s="93">
        <f ca="1">VLOOKUP($A774,OFFSET(fork_awake_units!$A$1,0,0,COUNTA(fork_awake_units!$A:$A),MATCH(C$1,fork_awake_units!$1:$1,0)-MATCH($A$1,fork_awake_units!$1:$1,0)+1),MATCH(C$1,fork_awake_units!$1:$1,0)-MATCH($A$1,fork_awake_units!$1:$1,0)+1,FALSE)</f>
        <v>554</v>
      </c>
      <c r="D774" s="3" t="str">
        <f ca="1">VLOOKUP($C774,OFFSET([2]characters!$A$1,0,0,COUNTA([2]characters!$A:$A),MATCH(D$1,[2]characters!$1:$1,0)-MATCH($A$1,[2]characters!$1:$1,0)+1),MATCH(D$1,[2]characters!$1:$1,0)-MATCH($A$1,[2]characters!$1:$1,0)+1,FALSE)</f>
        <v>雪ミク&amp;ラビット・ユキネ2016</v>
      </c>
      <c r="E774" s="66">
        <v>109</v>
      </c>
      <c r="F774" s="3" t="str">
        <f ca="1">VLOOKUP($E774,OFFSET([2]characters!$A$1,0,0,COUNTA([2]characters!$A:$A),MATCH(F$1,[2]characters!$1:$1,0)-MATCH($A$1,[2]characters!$1:$1,0)+1),MATCH(F$1,[2]characters!$1:$1,0)-MATCH($A$1,[2]characters!$1:$1,0)+1,FALSE)</f>
        <v>ブルーチェシャ</v>
      </c>
      <c r="G774" s="66">
        <v>1</v>
      </c>
      <c r="H774" s="66">
        <v>1</v>
      </c>
      <c r="I774" s="66">
        <v>1</v>
      </c>
    </row>
    <row r="775" spans="1:9" x14ac:dyDescent="0.15">
      <c r="A775" s="66">
        <v>553</v>
      </c>
      <c r="B775" s="3" t="str">
        <f ca="1">VLOOKUP($A775,OFFSET([2]characters!$A$1,0,0,COUNTA([2]characters!$A:$A),MATCH(B$1,[2]characters!$1:$1,0)-MATCH($A$1,[2]characters!$1:$1,0)+1),MATCH(B$1,[2]characters!$1:$1,0)-MATCH($A$1,[2]characters!$1:$1,0)+1,FALSE)</f>
        <v>雪ミク2016</v>
      </c>
      <c r="C775" s="93">
        <f ca="1">VLOOKUP($A775,OFFSET(fork_awake_units!$A$1,0,0,COUNTA(fork_awake_units!$A:$A),MATCH(C$1,fork_awake_units!$1:$1,0)-MATCH($A$1,fork_awake_units!$1:$1,0)+1),MATCH(C$1,fork_awake_units!$1:$1,0)-MATCH($A$1,fork_awake_units!$1:$1,0)+1,FALSE)</f>
        <v>554</v>
      </c>
      <c r="D775" s="3" t="str">
        <f ca="1">VLOOKUP($C775,OFFSET([2]characters!$A$1,0,0,COUNTA([2]characters!$A:$A),MATCH(D$1,[2]characters!$1:$1,0)-MATCH($A$1,[2]characters!$1:$1,0)+1),MATCH(D$1,[2]characters!$1:$1,0)-MATCH($A$1,[2]characters!$1:$1,0)+1,FALSE)</f>
        <v>雪ミク&amp;ラビット・ユキネ2016</v>
      </c>
      <c r="E775" s="66">
        <v>110</v>
      </c>
      <c r="F775" s="3" t="str">
        <f ca="1">VLOOKUP($E775,OFFSET([2]characters!$A$1,0,0,COUNTA([2]characters!$A:$A),MATCH(F$1,[2]characters!$1:$1,0)-MATCH($A$1,[2]characters!$1:$1,0)+1),MATCH(F$1,[2]characters!$1:$1,0)-MATCH($A$1,[2]characters!$1:$1,0)+1,FALSE)</f>
        <v>ブルーラビット</v>
      </c>
      <c r="G775" s="66">
        <v>1</v>
      </c>
      <c r="H775" s="66">
        <v>1</v>
      </c>
      <c r="I775" s="66">
        <v>1</v>
      </c>
    </row>
    <row r="776" spans="1:9" x14ac:dyDescent="0.15">
      <c r="A776" s="66">
        <v>553</v>
      </c>
      <c r="B776" s="3" t="str">
        <f ca="1">VLOOKUP($A776,OFFSET([2]characters!$A$1,0,0,COUNTA([2]characters!$A:$A),MATCH(B$1,[2]characters!$1:$1,0)-MATCH($A$1,[2]characters!$1:$1,0)+1),MATCH(B$1,[2]characters!$1:$1,0)-MATCH($A$1,[2]characters!$1:$1,0)+1,FALSE)</f>
        <v>雪ミク2016</v>
      </c>
      <c r="C776" s="93">
        <f ca="1">VLOOKUP($A776,OFFSET(fork_awake_units!$A$1,0,0,COUNTA(fork_awake_units!$A:$A),MATCH(C$1,fork_awake_units!$1:$1,0)-MATCH($A$1,fork_awake_units!$1:$1,0)+1),MATCH(C$1,fork_awake_units!$1:$1,0)-MATCH($A$1,fork_awake_units!$1:$1,0)+1,FALSE)</f>
        <v>554</v>
      </c>
      <c r="D776" s="3" t="str">
        <f ca="1">VLOOKUP($C776,OFFSET([2]characters!$A$1,0,0,COUNTA([2]characters!$A:$A),MATCH(D$1,[2]characters!$1:$1,0)-MATCH($A$1,[2]characters!$1:$1,0)+1),MATCH(D$1,[2]characters!$1:$1,0)-MATCH($A$1,[2]characters!$1:$1,0)+1,FALSE)</f>
        <v>雪ミク&amp;ラビット・ユキネ2016</v>
      </c>
      <c r="E776" s="66">
        <v>111</v>
      </c>
      <c r="F776" s="3" t="str">
        <f ca="1">VLOOKUP($E776,OFFSET([2]characters!$A$1,0,0,COUNTA([2]characters!$A:$A),MATCH(F$1,[2]characters!$1:$1,0)-MATCH($A$1,[2]characters!$1:$1,0)+1),MATCH(F$1,[2]characters!$1:$1,0)-MATCH($A$1,[2]characters!$1:$1,0)+1,FALSE)</f>
        <v>ブルーキャタップ</v>
      </c>
      <c r="G776" s="66">
        <v>1</v>
      </c>
      <c r="H776" s="66">
        <v>1</v>
      </c>
      <c r="I776" s="66">
        <v>1</v>
      </c>
    </row>
    <row r="777" spans="1:9" x14ac:dyDescent="0.15">
      <c r="A777" s="66">
        <v>553</v>
      </c>
      <c r="B777" s="3" t="str">
        <f ca="1">VLOOKUP($A777,OFFSET([2]characters!$A$1,0,0,COUNTA([2]characters!$A:$A),MATCH(B$1,[2]characters!$1:$1,0)-MATCH($A$1,[2]characters!$1:$1,0)+1),MATCH(B$1,[2]characters!$1:$1,0)-MATCH($A$1,[2]characters!$1:$1,0)+1,FALSE)</f>
        <v>雪ミク2016</v>
      </c>
      <c r="C777" s="93">
        <f ca="1">VLOOKUP($A777,OFFSET(fork_awake_units!$A$1,0,0,COUNTA(fork_awake_units!$A:$A),MATCH(C$1,fork_awake_units!$1:$1,0)-MATCH($A$1,fork_awake_units!$1:$1,0)+1),MATCH(C$1,fork_awake_units!$1:$1,0)-MATCH($A$1,fork_awake_units!$1:$1,0)+1,FALSE)</f>
        <v>554</v>
      </c>
      <c r="D777" s="3" t="str">
        <f ca="1">VLOOKUP($C777,OFFSET([2]characters!$A$1,0,0,COUNTA([2]characters!$A:$A),MATCH(D$1,[2]characters!$1:$1,0)-MATCH($A$1,[2]characters!$1:$1,0)+1),MATCH(D$1,[2]characters!$1:$1,0)-MATCH($A$1,[2]characters!$1:$1,0)+1,FALSE)</f>
        <v>雪ミク&amp;ラビット・ユキネ2016</v>
      </c>
      <c r="E777" s="66">
        <v>526</v>
      </c>
      <c r="F777" s="3" t="str">
        <f ca="1">VLOOKUP($E777,OFFSET([2]characters!$A$1,0,0,COUNTA([2]characters!$A:$A),MATCH(F$1,[2]characters!$1:$1,0)-MATCH($A$1,[2]characters!$1:$1,0)+1),MATCH(F$1,[2]characters!$1:$1,0)-MATCH($A$1,[2]characters!$1:$1,0)+1,FALSE)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777" s="66">
        <v>1</v>
      </c>
      <c r="H777" s="66">
        <v>1</v>
      </c>
      <c r="I777" s="66">
        <v>1</v>
      </c>
    </row>
    <row r="778" spans="1:9" x14ac:dyDescent="0.15">
      <c r="A778" s="66">
        <v>555</v>
      </c>
      <c r="B778" s="3" t="str">
        <f ca="1">VLOOKUP($A778,OFFSET([2]characters!$A$1,0,0,COUNTA([2]characters!$A:$A),MATCH(B$1,[2]characters!$1:$1,0)-MATCH($A$1,[2]characters!$1:$1,0)+1),MATCH(B$1,[2]characters!$1:$1,0)-MATCH($A$1,[2]characters!$1:$1,0)+1,FALSE)</f>
        <v>雪ミク2014</v>
      </c>
      <c r="C778" s="93">
        <f ca="1">VLOOKUP($A778,OFFSET(fork_awake_units!$A$1,0,0,COUNTA(fork_awake_units!$A:$A),MATCH(C$1,fork_awake_units!$1:$1,0)-MATCH($A$1,fork_awake_units!$1:$1,0)+1),MATCH(C$1,fork_awake_units!$1:$1,0)-MATCH($A$1,fork_awake_units!$1:$1,0)+1,FALSE)</f>
        <v>556</v>
      </c>
      <c r="D778" s="3" t="str">
        <f ca="1">VLOOKUP($C778,OFFSET([2]characters!$A$1,0,0,COUNTA([2]characters!$A:$A),MATCH(D$1,[2]characters!$1:$1,0)-MATCH($A$1,[2]characters!$1:$1,0)+1),MATCH(D$1,[2]characters!$1:$1,0)-MATCH($A$1,[2]characters!$1:$1,0)+1,FALSE)</f>
        <v>雪ミク&amp;ラビットユキネ2014</v>
      </c>
      <c r="E778" s="66">
        <v>109</v>
      </c>
      <c r="F778" s="3" t="str">
        <f ca="1">VLOOKUP($E778,OFFSET([2]characters!$A$1,0,0,COUNTA([2]characters!$A:$A),MATCH(F$1,[2]characters!$1:$1,0)-MATCH($A$1,[2]characters!$1:$1,0)+1),MATCH(F$1,[2]characters!$1:$1,0)-MATCH($A$1,[2]characters!$1:$1,0)+1,FALSE)</f>
        <v>ブルーチェシャ</v>
      </c>
      <c r="G778" s="66">
        <v>1</v>
      </c>
      <c r="H778" s="66">
        <v>1</v>
      </c>
      <c r="I778" s="66">
        <v>1</v>
      </c>
    </row>
    <row r="779" spans="1:9" x14ac:dyDescent="0.15">
      <c r="A779" s="66">
        <v>555</v>
      </c>
      <c r="B779" s="3" t="str">
        <f ca="1">VLOOKUP($A779,OFFSET([2]characters!$A$1,0,0,COUNTA([2]characters!$A:$A),MATCH(B$1,[2]characters!$1:$1,0)-MATCH($A$1,[2]characters!$1:$1,0)+1),MATCH(B$1,[2]characters!$1:$1,0)-MATCH($A$1,[2]characters!$1:$1,0)+1,FALSE)</f>
        <v>雪ミク2014</v>
      </c>
      <c r="C779" s="93">
        <f ca="1">VLOOKUP($A779,OFFSET(fork_awake_units!$A$1,0,0,COUNTA(fork_awake_units!$A:$A),MATCH(C$1,fork_awake_units!$1:$1,0)-MATCH($A$1,fork_awake_units!$1:$1,0)+1),MATCH(C$1,fork_awake_units!$1:$1,0)-MATCH($A$1,fork_awake_units!$1:$1,0)+1,FALSE)</f>
        <v>556</v>
      </c>
      <c r="D779" s="3" t="str">
        <f ca="1">VLOOKUP($C779,OFFSET([2]characters!$A$1,0,0,COUNTA([2]characters!$A:$A),MATCH(D$1,[2]characters!$1:$1,0)-MATCH($A$1,[2]characters!$1:$1,0)+1),MATCH(D$1,[2]characters!$1:$1,0)-MATCH($A$1,[2]characters!$1:$1,0)+1,FALSE)</f>
        <v>雪ミク&amp;ラビットユキネ2014</v>
      </c>
      <c r="E779" s="66">
        <v>110</v>
      </c>
      <c r="F779" s="3" t="str">
        <f ca="1">VLOOKUP($E779,OFFSET([2]characters!$A$1,0,0,COUNTA([2]characters!$A:$A),MATCH(F$1,[2]characters!$1:$1,0)-MATCH($A$1,[2]characters!$1:$1,0)+1),MATCH(F$1,[2]characters!$1:$1,0)-MATCH($A$1,[2]characters!$1:$1,0)+1,FALSE)</f>
        <v>ブルーラビット</v>
      </c>
      <c r="G779" s="66">
        <v>1</v>
      </c>
      <c r="H779" s="66">
        <v>1</v>
      </c>
      <c r="I779" s="66">
        <v>1</v>
      </c>
    </row>
    <row r="780" spans="1:9" x14ac:dyDescent="0.15">
      <c r="A780" s="66">
        <v>555</v>
      </c>
      <c r="B780" s="3" t="str">
        <f ca="1">VLOOKUP($A780,OFFSET([2]characters!$A$1,0,0,COUNTA([2]characters!$A:$A),MATCH(B$1,[2]characters!$1:$1,0)-MATCH($A$1,[2]characters!$1:$1,0)+1),MATCH(B$1,[2]characters!$1:$1,0)-MATCH($A$1,[2]characters!$1:$1,0)+1,FALSE)</f>
        <v>雪ミク2014</v>
      </c>
      <c r="C780" s="93">
        <f ca="1">VLOOKUP($A780,OFFSET(fork_awake_units!$A$1,0,0,COUNTA(fork_awake_units!$A:$A),MATCH(C$1,fork_awake_units!$1:$1,0)-MATCH($A$1,fork_awake_units!$1:$1,0)+1),MATCH(C$1,fork_awake_units!$1:$1,0)-MATCH($A$1,fork_awake_units!$1:$1,0)+1,FALSE)</f>
        <v>556</v>
      </c>
      <c r="D780" s="3" t="str">
        <f ca="1">VLOOKUP($C780,OFFSET([2]characters!$A$1,0,0,COUNTA([2]characters!$A:$A),MATCH(D$1,[2]characters!$1:$1,0)-MATCH($A$1,[2]characters!$1:$1,0)+1),MATCH(D$1,[2]characters!$1:$1,0)-MATCH($A$1,[2]characters!$1:$1,0)+1,FALSE)</f>
        <v>雪ミク&amp;ラビットユキネ2014</v>
      </c>
      <c r="E780" s="66">
        <v>111</v>
      </c>
      <c r="F780" s="3" t="str">
        <f ca="1">VLOOKUP($E780,OFFSET([2]characters!$A$1,0,0,COUNTA([2]characters!$A:$A),MATCH(F$1,[2]characters!$1:$1,0)-MATCH($A$1,[2]characters!$1:$1,0)+1),MATCH(F$1,[2]characters!$1:$1,0)-MATCH($A$1,[2]characters!$1:$1,0)+1,FALSE)</f>
        <v>ブルーキャタップ</v>
      </c>
      <c r="G780" s="66">
        <v>1</v>
      </c>
      <c r="H780" s="66">
        <v>1</v>
      </c>
      <c r="I780" s="66">
        <v>1</v>
      </c>
    </row>
    <row r="781" spans="1:9" x14ac:dyDescent="0.15">
      <c r="A781" s="66">
        <v>555</v>
      </c>
      <c r="B781" s="3" t="str">
        <f ca="1">VLOOKUP($A781,OFFSET([2]characters!$A$1,0,0,COUNTA([2]characters!$A:$A),MATCH(B$1,[2]characters!$1:$1,0)-MATCH($A$1,[2]characters!$1:$1,0)+1),MATCH(B$1,[2]characters!$1:$1,0)-MATCH($A$1,[2]characters!$1:$1,0)+1,FALSE)</f>
        <v>雪ミク2014</v>
      </c>
      <c r="C781" s="93">
        <f ca="1">VLOOKUP($A781,OFFSET(fork_awake_units!$A$1,0,0,COUNTA(fork_awake_units!$A:$A),MATCH(C$1,fork_awake_units!$1:$1,0)-MATCH($A$1,fork_awake_units!$1:$1,0)+1),MATCH(C$1,fork_awake_units!$1:$1,0)-MATCH($A$1,fork_awake_units!$1:$1,0)+1,FALSE)</f>
        <v>556</v>
      </c>
      <c r="D781" s="3" t="str">
        <f ca="1">VLOOKUP($C781,OFFSET([2]characters!$A$1,0,0,COUNTA([2]characters!$A:$A),MATCH(D$1,[2]characters!$1:$1,0)-MATCH($A$1,[2]characters!$1:$1,0)+1),MATCH(D$1,[2]characters!$1:$1,0)-MATCH($A$1,[2]characters!$1:$1,0)+1,FALSE)</f>
        <v>雪ミク&amp;ラビットユキネ2014</v>
      </c>
      <c r="E781" s="66">
        <v>525</v>
      </c>
      <c r="F781" s="3" t="str">
        <f ca="1">VLOOKUP($E781,OFFSET([2]characters!$A$1,0,0,COUNTA([2]characters!$A:$A),MATCH(F$1,[2]characters!$1:$1,0)-MATCH($A$1,[2]characters!$1:$1,0)+1),MATCH(F$1,[2]characters!$1:$1,0)-MATCH($A$1,[2]characters!$1:$1,0)+1,FALSE)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781" s="66">
        <v>1</v>
      </c>
      <c r="H781" s="66">
        <v>1</v>
      </c>
      <c r="I781" s="66">
        <v>1</v>
      </c>
    </row>
    <row r="782" spans="1:9" x14ac:dyDescent="0.15">
      <c r="A782" s="66">
        <v>557</v>
      </c>
      <c r="B782" s="3" t="str">
        <f ca="1">VLOOKUP($A782,OFFSET([2]characters!$A$1,0,0,COUNTA([2]characters!$A:$A),MATCH(B$1,[2]characters!$1:$1,0)-MATCH($A$1,[2]characters!$1:$1,0)+1),MATCH(B$1,[2]characters!$1:$1,0)-MATCH($A$1,[2]characters!$1:$1,0)+1,FALSE)</f>
        <v>ラビット・ユキネ</v>
      </c>
      <c r="C782" s="93">
        <f ca="1">VLOOKUP($A782,OFFSET(fork_awake_units!$A$1,0,0,COUNTA(fork_awake_units!$A:$A),MATCH(C$1,fork_awake_units!$1:$1,0)-MATCH($A$1,fork_awake_units!$1:$1,0)+1),MATCH(C$1,fork_awake_units!$1:$1,0)-MATCH($A$1,fork_awake_units!$1:$1,0)+1,FALSE)</f>
        <v>558</v>
      </c>
      <c r="D782" s="3" t="str">
        <f ca="1">VLOOKUP($C782,OFFSET([2]characters!$A$1,0,0,COUNTA([2]characters!$A:$A),MATCH(D$1,[2]characters!$1:$1,0)-MATCH($A$1,[2]characters!$1:$1,0)+1),MATCH(D$1,[2]characters!$1:$1,0)-MATCH($A$1,[2]characters!$1:$1,0)+1,FALSE)</f>
        <v>雪原の超躍 ラビット・ユキネ</v>
      </c>
      <c r="E782" s="66">
        <v>110</v>
      </c>
      <c r="F782" s="3" t="str">
        <f ca="1">VLOOKUP($E782,OFFSET([2]characters!$A$1,0,0,COUNTA([2]characters!$A:$A),MATCH(F$1,[2]characters!$1:$1,0)-MATCH($A$1,[2]characters!$1:$1,0)+1),MATCH(F$1,[2]characters!$1:$1,0)-MATCH($A$1,[2]characters!$1:$1,0)+1,FALSE)</f>
        <v>ブルーラビット</v>
      </c>
      <c r="G782" s="66">
        <v>1</v>
      </c>
      <c r="H782" s="66">
        <v>1</v>
      </c>
      <c r="I782" s="66">
        <v>1</v>
      </c>
    </row>
    <row r="783" spans="1:9" x14ac:dyDescent="0.15">
      <c r="A783" s="66">
        <v>557</v>
      </c>
      <c r="B783" s="3" t="str">
        <f ca="1">VLOOKUP($A783,OFFSET([2]characters!$A$1,0,0,COUNTA([2]characters!$A:$A),MATCH(B$1,[2]characters!$1:$1,0)-MATCH($A$1,[2]characters!$1:$1,0)+1),MATCH(B$1,[2]characters!$1:$1,0)-MATCH($A$1,[2]characters!$1:$1,0)+1,FALSE)</f>
        <v>ラビット・ユキネ</v>
      </c>
      <c r="C783" s="93">
        <f ca="1">VLOOKUP($A783,OFFSET(fork_awake_units!$A$1,0,0,COUNTA(fork_awake_units!$A:$A),MATCH(C$1,fork_awake_units!$1:$1,0)-MATCH($A$1,fork_awake_units!$1:$1,0)+1),MATCH(C$1,fork_awake_units!$1:$1,0)-MATCH($A$1,fork_awake_units!$1:$1,0)+1,FALSE)</f>
        <v>558</v>
      </c>
      <c r="D783" s="3" t="str">
        <f ca="1">VLOOKUP($C783,OFFSET([2]characters!$A$1,0,0,COUNTA([2]characters!$A:$A),MATCH(D$1,[2]characters!$1:$1,0)-MATCH($A$1,[2]characters!$1:$1,0)+1),MATCH(D$1,[2]characters!$1:$1,0)-MATCH($A$1,[2]characters!$1:$1,0)+1,FALSE)</f>
        <v>雪原の超躍 ラビット・ユキネ</v>
      </c>
      <c r="E783" s="66">
        <v>111</v>
      </c>
      <c r="F783" s="3" t="str">
        <f ca="1">VLOOKUP($E783,OFFSET([2]characters!$A$1,0,0,COUNTA([2]characters!$A:$A),MATCH(F$1,[2]characters!$1:$1,0)-MATCH($A$1,[2]characters!$1:$1,0)+1),MATCH(F$1,[2]characters!$1:$1,0)-MATCH($A$1,[2]characters!$1:$1,0)+1,FALSE)</f>
        <v>ブルーキャタップ</v>
      </c>
      <c r="G783" s="66">
        <v>3</v>
      </c>
      <c r="H783" s="66">
        <v>1</v>
      </c>
      <c r="I783" s="66">
        <v>1</v>
      </c>
    </row>
    <row r="784" spans="1:9" x14ac:dyDescent="0.15">
      <c r="A784" s="66">
        <v>558</v>
      </c>
      <c r="B784" s="3" t="str">
        <f ca="1">VLOOKUP($A784,OFFSET([2]characters!$A$1,0,0,COUNTA([2]characters!$A:$A),MATCH(B$1,[2]characters!$1:$1,0)-MATCH($A$1,[2]characters!$1:$1,0)+1),MATCH(B$1,[2]characters!$1:$1,0)-MATCH($A$1,[2]characters!$1:$1,0)+1,FALSE)</f>
        <v>雪原の超躍 ラビット・ユキネ</v>
      </c>
      <c r="C784" s="93">
        <f ca="1">VLOOKUP($A784,OFFSET(fork_awake_units!$A$1,0,0,COUNTA(fork_awake_units!$A:$A),MATCH(C$1,fork_awake_units!$1:$1,0)-MATCH($A$1,fork_awake_units!$1:$1,0)+1),MATCH(C$1,fork_awake_units!$1:$1,0)-MATCH($A$1,fork_awake_units!$1:$1,0)+1,FALSE)</f>
        <v>559</v>
      </c>
      <c r="D784" s="3" t="str">
        <f ca="1">VLOOKUP($C784,OFFSET([2]characters!$A$1,0,0,COUNTA([2]characters!$A:$A),MATCH(D$1,[2]characters!$1:$1,0)-MATCH($A$1,[2]characters!$1:$1,0)+1),MATCH(D$1,[2]characters!$1:$1,0)-MATCH($A$1,[2]characters!$1:$1,0)+1,FALSE)</f>
        <v>白銀の滑光 ラビット・ユキネ</v>
      </c>
      <c r="E784" s="66">
        <v>110</v>
      </c>
      <c r="F784" s="3" t="str">
        <f ca="1">VLOOKUP($E784,OFFSET([2]characters!$A$1,0,0,COUNTA([2]characters!$A:$A),MATCH(F$1,[2]characters!$1:$1,0)-MATCH($A$1,[2]characters!$1:$1,0)+1),MATCH(F$1,[2]characters!$1:$1,0)-MATCH($A$1,[2]characters!$1:$1,0)+1,FALSE)</f>
        <v>ブルーラビット</v>
      </c>
      <c r="G784" s="66">
        <v>1</v>
      </c>
      <c r="H784" s="66">
        <v>1</v>
      </c>
      <c r="I784" s="66">
        <v>1</v>
      </c>
    </row>
    <row r="785" spans="1:9" x14ac:dyDescent="0.15">
      <c r="A785" s="66">
        <v>558</v>
      </c>
      <c r="B785" s="3" t="str">
        <f ca="1">VLOOKUP($A785,OFFSET([2]characters!$A$1,0,0,COUNTA([2]characters!$A:$A),MATCH(B$1,[2]characters!$1:$1,0)-MATCH($A$1,[2]characters!$1:$1,0)+1),MATCH(B$1,[2]characters!$1:$1,0)-MATCH($A$1,[2]characters!$1:$1,0)+1,FALSE)</f>
        <v>雪原の超躍 ラビット・ユキネ</v>
      </c>
      <c r="C785" s="93">
        <f ca="1">VLOOKUP($A785,OFFSET(fork_awake_units!$A$1,0,0,COUNTA(fork_awake_units!$A:$A),MATCH(C$1,fork_awake_units!$1:$1,0)-MATCH($A$1,fork_awake_units!$1:$1,0)+1),MATCH(C$1,fork_awake_units!$1:$1,0)-MATCH($A$1,fork_awake_units!$1:$1,0)+1,FALSE)</f>
        <v>559</v>
      </c>
      <c r="D785" s="3" t="str">
        <f ca="1">VLOOKUP($C785,OFFSET([2]characters!$A$1,0,0,COUNTA([2]characters!$A:$A),MATCH(D$1,[2]characters!$1:$1,0)-MATCH($A$1,[2]characters!$1:$1,0)+1),MATCH(D$1,[2]characters!$1:$1,0)-MATCH($A$1,[2]characters!$1:$1,0)+1,FALSE)</f>
        <v>白銀の滑光 ラビット・ユキネ</v>
      </c>
      <c r="E785" s="66">
        <v>111</v>
      </c>
      <c r="F785" s="3" t="str">
        <f ca="1">VLOOKUP($E785,OFFSET([2]characters!$A$1,0,0,COUNTA([2]characters!$A:$A),MATCH(F$1,[2]characters!$1:$1,0)-MATCH($A$1,[2]characters!$1:$1,0)+1),MATCH(F$1,[2]characters!$1:$1,0)-MATCH($A$1,[2]characters!$1:$1,0)+1,FALSE)</f>
        <v>ブルーキャタップ</v>
      </c>
      <c r="G785" s="66">
        <v>2</v>
      </c>
      <c r="H785" s="66">
        <v>1</v>
      </c>
      <c r="I785" s="66">
        <v>1</v>
      </c>
    </row>
    <row r="786" spans="1:9" x14ac:dyDescent="0.15">
      <c r="A786" s="66">
        <v>558</v>
      </c>
      <c r="B786" s="3" t="str">
        <f ca="1">VLOOKUP($A786,OFFSET([2]characters!$A$1,0,0,COUNTA([2]characters!$A:$A),MATCH(B$1,[2]characters!$1:$1,0)-MATCH($A$1,[2]characters!$1:$1,0)+1),MATCH(B$1,[2]characters!$1:$1,0)-MATCH($A$1,[2]characters!$1:$1,0)+1,FALSE)</f>
        <v>雪原の超躍 ラビット・ユキネ</v>
      </c>
      <c r="C786" s="93">
        <f ca="1">VLOOKUP($A786,OFFSET(fork_awake_units!$A$1,0,0,COUNTA(fork_awake_units!$A:$A),MATCH(C$1,fork_awake_units!$1:$1,0)-MATCH($A$1,fork_awake_units!$1:$1,0)+1),MATCH(C$1,fork_awake_units!$1:$1,0)-MATCH($A$1,fork_awake_units!$1:$1,0)+1,FALSE)</f>
        <v>559</v>
      </c>
      <c r="D786" s="3" t="str">
        <f ca="1">VLOOKUP($C786,OFFSET([2]characters!$A$1,0,0,COUNTA([2]characters!$A:$A),MATCH(D$1,[2]characters!$1:$1,0)-MATCH($A$1,[2]characters!$1:$1,0)+1),MATCH(D$1,[2]characters!$1:$1,0)-MATCH($A$1,[2]characters!$1:$1,0)+1,FALSE)</f>
        <v>白銀の滑光 ラビット・ユキネ</v>
      </c>
      <c r="E786" s="66">
        <v>525</v>
      </c>
      <c r="F786" s="3" t="str">
        <f ca="1">VLOOKUP($E786,OFFSET([2]characters!$A$1,0,0,COUNTA([2]characters!$A:$A),MATCH(F$1,[2]characters!$1:$1,0)-MATCH($A$1,[2]characters!$1:$1,0)+1),MATCH(F$1,[2]characters!$1:$1,0)-MATCH($A$1,[2]characters!$1:$1,0)+1,FALSE)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786" s="66">
        <v>2</v>
      </c>
      <c r="H786" s="66">
        <v>1</v>
      </c>
      <c r="I786" s="66">
        <v>1</v>
      </c>
    </row>
    <row r="787" spans="1:9" x14ac:dyDescent="0.15">
      <c r="A787" s="66">
        <v>573</v>
      </c>
      <c r="B787" s="3" t="str">
        <f ca="1">VLOOKUP($A787,OFFSET([2]characters!$A$1,0,0,COUNTA([2]characters!$A:$A),MATCH(B$1,[2]characters!$1:$1,0)-MATCH($A$1,[2]characters!$1:$1,0)+1),MATCH(B$1,[2]characters!$1:$1,0)-MATCH($A$1,[2]characters!$1:$1,0)+1,FALSE)</f>
        <v>オーディン</v>
      </c>
      <c r="C787" s="93">
        <f ca="1">VLOOKUP($A787,OFFSET(fork_awake_units!$A$1,0,0,COUNTA(fork_awake_units!$A:$A),MATCH(C$1,fork_awake_units!$1:$1,0)-MATCH($A$1,fork_awake_units!$1:$1,0)+1),MATCH(C$1,fork_awake_units!$1:$1,0)-MATCH($A$1,fork_awake_units!$1:$1,0)+1,FALSE)</f>
        <v>574</v>
      </c>
      <c r="D787" s="3" t="str">
        <f ca="1">VLOOKUP($C787,OFFSET([2]characters!$A$1,0,0,COUNTA([2]characters!$A:$A),MATCH(D$1,[2]characters!$1:$1,0)-MATCH($A$1,[2]characters!$1:$1,0)+1),MATCH(D$1,[2]characters!$1:$1,0)-MATCH($A$1,[2]characters!$1:$1,0)+1,FALSE)</f>
        <v>世慧の守神 オーディン</v>
      </c>
      <c r="E787" s="66">
        <v>460</v>
      </c>
      <c r="F787" s="3" t="str">
        <f ca="1">VLOOKUP($E787,OFFSET([2]characters!$A$1,0,0,COUNTA([2]characters!$A:$A),MATCH(F$1,[2]characters!$1:$1,0)-MATCH($A$1,[2]characters!$1:$1,0)+1),MATCH(F$1,[2]characters!$1:$1,0)-MATCH($A$1,[2]characters!$1:$1,0)+1,FALSE)</f>
        <v>オズ</v>
      </c>
      <c r="G787" s="66">
        <v>1</v>
      </c>
      <c r="H787" s="66">
        <v>1</v>
      </c>
      <c r="I787" s="66">
        <v>1</v>
      </c>
    </row>
    <row r="788" spans="1:9" x14ac:dyDescent="0.15">
      <c r="A788" s="66">
        <v>573</v>
      </c>
      <c r="B788" s="3" t="str">
        <f ca="1">VLOOKUP($A788,OFFSET([2]characters!$A$1,0,0,COUNTA([2]characters!$A:$A),MATCH(B$1,[2]characters!$1:$1,0)-MATCH($A$1,[2]characters!$1:$1,0)+1),MATCH(B$1,[2]characters!$1:$1,0)-MATCH($A$1,[2]characters!$1:$1,0)+1,FALSE)</f>
        <v>オーディン</v>
      </c>
      <c r="C788" s="93">
        <f ca="1">VLOOKUP($A788,OFFSET(fork_awake_units!$A$1,0,0,COUNTA(fork_awake_units!$A:$A),MATCH(C$1,fork_awake_units!$1:$1,0)-MATCH($A$1,fork_awake_units!$1:$1,0)+1),MATCH(C$1,fork_awake_units!$1:$1,0)-MATCH($A$1,fork_awake_units!$1:$1,0)+1,FALSE)</f>
        <v>574</v>
      </c>
      <c r="D788" s="3" t="str">
        <f ca="1">VLOOKUP($C788,OFFSET([2]characters!$A$1,0,0,COUNTA([2]characters!$A:$A),MATCH(D$1,[2]characters!$1:$1,0)-MATCH($A$1,[2]characters!$1:$1,0)+1),MATCH(D$1,[2]characters!$1:$1,0)-MATCH($A$1,[2]characters!$1:$1,0)+1,FALSE)</f>
        <v>世慧の守神 オーディン</v>
      </c>
      <c r="E788" s="66">
        <v>472</v>
      </c>
      <c r="F788" s="3" t="str">
        <f ca="1">VLOOKUP($E788,OFFSET([2]characters!$A$1,0,0,COUNTA([2]characters!$A:$A),MATCH(F$1,[2]characters!$1:$1,0)-MATCH($A$1,[2]characters!$1:$1,0)+1),MATCH(F$1,[2]characters!$1:$1,0)-MATCH($A$1,[2]characters!$1:$1,0)+1,FALSE)</f>
        <v>アーサー</v>
      </c>
      <c r="G788" s="66">
        <v>1</v>
      </c>
      <c r="H788" s="66">
        <v>1</v>
      </c>
      <c r="I788" s="66">
        <v>1</v>
      </c>
    </row>
    <row r="789" spans="1:9" x14ac:dyDescent="0.15">
      <c r="A789" s="66">
        <v>573</v>
      </c>
      <c r="B789" s="3" t="str">
        <f ca="1">VLOOKUP($A789,OFFSET([2]characters!$A$1,0,0,COUNTA([2]characters!$A:$A),MATCH(B$1,[2]characters!$1:$1,0)-MATCH($A$1,[2]characters!$1:$1,0)+1),MATCH(B$1,[2]characters!$1:$1,0)-MATCH($A$1,[2]characters!$1:$1,0)+1,FALSE)</f>
        <v>オーディン</v>
      </c>
      <c r="C789" s="93">
        <f ca="1">VLOOKUP($A789,OFFSET(fork_awake_units!$A$1,0,0,COUNTA(fork_awake_units!$A:$A),MATCH(C$1,fork_awake_units!$1:$1,0)-MATCH($A$1,fork_awake_units!$1:$1,0)+1),MATCH(C$1,fork_awake_units!$1:$1,0)-MATCH($A$1,fork_awake_units!$1:$1,0)+1,FALSE)</f>
        <v>574</v>
      </c>
      <c r="D789" s="3" t="str">
        <f ca="1">VLOOKUP($C789,OFFSET([2]characters!$A$1,0,0,COUNTA([2]characters!$A:$A),MATCH(D$1,[2]characters!$1:$1,0)-MATCH($A$1,[2]characters!$1:$1,0)+1),MATCH(D$1,[2]characters!$1:$1,0)-MATCH($A$1,[2]characters!$1:$1,0)+1,FALSE)</f>
        <v>世慧の守神 オーディン</v>
      </c>
      <c r="E789" s="66">
        <v>508</v>
      </c>
      <c r="F789" s="3" t="str">
        <f ca="1">VLOOKUP($E789,OFFSET([2]characters!$A$1,0,0,COUNTA([2]characters!$A:$A),MATCH(F$1,[2]characters!$1:$1,0)-MATCH($A$1,[2]characters!$1:$1,0)+1),MATCH(F$1,[2]characters!$1:$1,0)-MATCH($A$1,[2]characters!$1:$1,0)+1,FALSE)</f>
        <v>Gスター・チルドレン</v>
      </c>
      <c r="G789" s="66">
        <v>1</v>
      </c>
      <c r="H789" s="66">
        <v>1</v>
      </c>
      <c r="I789" s="66">
        <v>1</v>
      </c>
    </row>
    <row r="790" spans="1:9" x14ac:dyDescent="0.15">
      <c r="A790" s="66">
        <v>573</v>
      </c>
      <c r="B790" s="3" t="str">
        <f ca="1">VLOOKUP($A790,OFFSET([2]characters!$A$1,0,0,COUNTA([2]characters!$A:$A),MATCH(B$1,[2]characters!$1:$1,0)-MATCH($A$1,[2]characters!$1:$1,0)+1),MATCH(B$1,[2]characters!$1:$1,0)-MATCH($A$1,[2]characters!$1:$1,0)+1,FALSE)</f>
        <v>オーディン</v>
      </c>
      <c r="C790" s="93">
        <f ca="1">VLOOKUP($A790,OFFSET(fork_awake_units!$A$1,0,0,COUNTA(fork_awake_units!$A:$A),MATCH(C$1,fork_awake_units!$1:$1,0)-MATCH($A$1,fork_awake_units!$1:$1,0)+1),MATCH(C$1,fork_awake_units!$1:$1,0)-MATCH($A$1,fork_awake_units!$1:$1,0)+1,FALSE)</f>
        <v>574</v>
      </c>
      <c r="D790" s="3" t="str">
        <f ca="1">VLOOKUP($C790,OFFSET([2]characters!$A$1,0,0,COUNTA([2]characters!$A:$A),MATCH(D$1,[2]characters!$1:$1,0)-MATCH($A$1,[2]characters!$1:$1,0)+1),MATCH(D$1,[2]characters!$1:$1,0)-MATCH($A$1,[2]characters!$1:$1,0)+1,FALSE)</f>
        <v>世慧の守神 オーディン</v>
      </c>
      <c r="E790" s="66">
        <v>581</v>
      </c>
      <c r="F790" s="3" t="str">
        <f ca="1">VLOOKUP($E790,OFFSET([2]characters!$A$1,0,0,COUNTA([2]characters!$A:$A),MATCH(F$1,[2]characters!$1:$1,0)-MATCH($A$1,[2]characters!$1:$1,0)+1),MATCH(F$1,[2]characters!$1:$1,0)-MATCH($A$1,[2]characters!$1:$1,0)+1,FALSE)</f>
        <v>フギンとムニン</v>
      </c>
      <c r="G790" s="66">
        <v>1</v>
      </c>
      <c r="H790" s="66">
        <v>1</v>
      </c>
      <c r="I790" s="66">
        <v>1</v>
      </c>
    </row>
    <row r="791" spans="1:9" x14ac:dyDescent="0.15">
      <c r="A791" s="66">
        <v>574</v>
      </c>
      <c r="B791" s="3" t="str">
        <f ca="1">VLOOKUP($A791,OFFSET([2]characters!$A$1,0,0,COUNTA([2]characters!$A:$A),MATCH(B$1,[2]characters!$1:$1,0)-MATCH($A$1,[2]characters!$1:$1,0)+1),MATCH(B$1,[2]characters!$1:$1,0)-MATCH($A$1,[2]characters!$1:$1,0)+1,FALSE)</f>
        <v>世慧の守神 オーディン</v>
      </c>
      <c r="C791" s="93">
        <f ca="1">VLOOKUP($A791,OFFSET(fork_awake_units!$A$1,0,0,COUNTA(fork_awake_units!$A:$A),MATCH(C$1,fork_awake_units!$1:$1,0)-MATCH($A$1,fork_awake_units!$1:$1,0)+1),MATCH(C$1,fork_awake_units!$1:$1,0)-MATCH($A$1,fork_awake_units!$1:$1,0)+1,FALSE)</f>
        <v>801</v>
      </c>
      <c r="D791" s="3" t="str">
        <f ca="1">VLOOKUP($C791,OFFSET([2]characters!$A$1,0,0,COUNTA([2]characters!$A:$A),MATCH(D$1,[2]characters!$1:$1,0)-MATCH($A$1,[2]characters!$1:$1,0)+1),MATCH(D$1,[2]characters!$1:$1,0)-MATCH($A$1,[2]characters!$1:$1,0)+1,FALSE)</f>
        <v>覚世の大機神 オーディン</v>
      </c>
      <c r="E791" s="66">
        <v>110</v>
      </c>
      <c r="F791" s="3" t="str">
        <f ca="1">VLOOKUP($E791,OFFSET([2]characters!$A$1,0,0,COUNTA([2]characters!$A:$A),MATCH(F$1,[2]characters!$1:$1,0)-MATCH($A$1,[2]characters!$1:$1,0)+1),MATCH(F$1,[2]characters!$1:$1,0)-MATCH($A$1,[2]characters!$1:$1,0)+1,FALSE)</f>
        <v>ブルーラビット</v>
      </c>
      <c r="G791" s="66">
        <v>1</v>
      </c>
      <c r="H791" s="66">
        <v>1</v>
      </c>
      <c r="I791" s="66">
        <v>1</v>
      </c>
    </row>
    <row r="792" spans="1:9" x14ac:dyDescent="0.15">
      <c r="A792" s="66">
        <v>574</v>
      </c>
      <c r="B792" s="3" t="str">
        <f ca="1">VLOOKUP($A792,OFFSET([2]characters!$A$1,0,0,COUNTA([2]characters!$A:$A),MATCH(B$1,[2]characters!$1:$1,0)-MATCH($A$1,[2]characters!$1:$1,0)+1),MATCH(B$1,[2]characters!$1:$1,0)-MATCH($A$1,[2]characters!$1:$1,0)+1,FALSE)</f>
        <v>世慧の守神 オーディン</v>
      </c>
      <c r="C792" s="93">
        <f ca="1">VLOOKUP($A792,OFFSET(fork_awake_units!$A$1,0,0,COUNTA(fork_awake_units!$A:$A),MATCH(C$1,fork_awake_units!$1:$1,0)-MATCH($A$1,fork_awake_units!$1:$1,0)+1),MATCH(C$1,fork_awake_units!$1:$1,0)-MATCH($A$1,fork_awake_units!$1:$1,0)+1,FALSE)</f>
        <v>801</v>
      </c>
      <c r="D792" s="3" t="str">
        <f ca="1">VLOOKUP($C792,OFFSET([2]characters!$A$1,0,0,COUNTA([2]characters!$A:$A),MATCH(D$1,[2]characters!$1:$1,0)-MATCH($A$1,[2]characters!$1:$1,0)+1),MATCH(D$1,[2]characters!$1:$1,0)-MATCH($A$1,[2]characters!$1:$1,0)+1,FALSE)</f>
        <v>覚世の大機神 オーディン</v>
      </c>
      <c r="E792" s="66">
        <v>111</v>
      </c>
      <c r="F792" s="3" t="str">
        <f ca="1">VLOOKUP($E792,OFFSET([2]characters!$A$1,0,0,COUNTA([2]characters!$A:$A),MATCH(F$1,[2]characters!$1:$1,0)-MATCH($A$1,[2]characters!$1:$1,0)+1),MATCH(F$1,[2]characters!$1:$1,0)-MATCH($A$1,[2]characters!$1:$1,0)+1,FALSE)</f>
        <v>ブルーキャタップ</v>
      </c>
      <c r="G792" s="66">
        <v>1</v>
      </c>
      <c r="H792" s="66">
        <v>1</v>
      </c>
      <c r="I792" s="66">
        <v>1</v>
      </c>
    </row>
    <row r="793" spans="1:9" x14ac:dyDescent="0.15">
      <c r="A793" s="66">
        <v>574</v>
      </c>
      <c r="B793" s="3" t="str">
        <f ca="1">VLOOKUP($A793,OFFSET([2]characters!$A$1,0,0,COUNTA([2]characters!$A:$A),MATCH(B$1,[2]characters!$1:$1,0)-MATCH($A$1,[2]characters!$1:$1,0)+1),MATCH(B$1,[2]characters!$1:$1,0)-MATCH($A$1,[2]characters!$1:$1,0)+1,FALSE)</f>
        <v>世慧の守神 オーディン</v>
      </c>
      <c r="C793" s="93">
        <f ca="1">VLOOKUP($A793,OFFSET(fork_awake_units!$A$1,0,0,COUNTA(fork_awake_units!$A:$A),MATCH(C$1,fork_awake_units!$1:$1,0)-MATCH($A$1,fork_awake_units!$1:$1,0)+1),MATCH(C$1,fork_awake_units!$1:$1,0)-MATCH($A$1,fork_awake_units!$1:$1,0)+1,FALSE)</f>
        <v>801</v>
      </c>
      <c r="D793" s="3" t="str">
        <f ca="1">VLOOKUP($C793,OFFSET([2]characters!$A$1,0,0,COUNTA([2]characters!$A:$A),MATCH(D$1,[2]characters!$1:$1,0)-MATCH($A$1,[2]characters!$1:$1,0)+1),MATCH(D$1,[2]characters!$1:$1,0)-MATCH($A$1,[2]characters!$1:$1,0)+1,FALSE)</f>
        <v>覚世の大機神 オーディン</v>
      </c>
      <c r="E793" s="66">
        <v>112</v>
      </c>
      <c r="F793" s="3" t="str">
        <f ca="1">VLOOKUP($E793,OFFSET([2]characters!$A$1,0,0,COUNTA([2]characters!$A:$A),MATCH(F$1,[2]characters!$1:$1,0)-MATCH($A$1,[2]characters!$1:$1,0)+1),MATCH(F$1,[2]characters!$1:$1,0)-MATCH($A$1,[2]characters!$1:$1,0)+1,FALSE)</f>
        <v>水のマッドハッター</v>
      </c>
      <c r="G793" s="66">
        <v>1</v>
      </c>
      <c r="H793" s="66">
        <v>1</v>
      </c>
      <c r="I793" s="66">
        <v>1</v>
      </c>
    </row>
    <row r="794" spans="1:9" x14ac:dyDescent="0.15">
      <c r="A794" s="66">
        <v>574</v>
      </c>
      <c r="B794" s="3" t="str">
        <f ca="1">VLOOKUP($A794,OFFSET([2]characters!$A$1,0,0,COUNTA([2]characters!$A:$A),MATCH(B$1,[2]characters!$1:$1,0)-MATCH($A$1,[2]characters!$1:$1,0)+1),MATCH(B$1,[2]characters!$1:$1,0)-MATCH($A$1,[2]characters!$1:$1,0)+1,FALSE)</f>
        <v>世慧の守神 オーディン</v>
      </c>
      <c r="C794" s="93">
        <f ca="1">VLOOKUP($A794,OFFSET(fork_awake_units!$A$1,0,0,COUNTA(fork_awake_units!$A:$A),MATCH(C$1,fork_awake_units!$1:$1,0)-MATCH($A$1,fork_awake_units!$1:$1,0)+1),MATCH(C$1,fork_awake_units!$1:$1,0)-MATCH($A$1,fork_awake_units!$1:$1,0)+1,FALSE)</f>
        <v>801</v>
      </c>
      <c r="D794" s="3" t="str">
        <f ca="1">VLOOKUP($C794,OFFSET([2]characters!$A$1,0,0,COUNTA([2]characters!$A:$A),MATCH(D$1,[2]characters!$1:$1,0)-MATCH($A$1,[2]characters!$1:$1,0)+1),MATCH(D$1,[2]characters!$1:$1,0)-MATCH($A$1,[2]characters!$1:$1,0)+1,FALSE)</f>
        <v>覚世の大機神 オーディン</v>
      </c>
      <c r="E794" s="66">
        <v>837</v>
      </c>
      <c r="F794" s="3" t="str">
        <f ca="1">VLOOKUP($E794,OFFSET([2]characters!$A$1,0,0,COUNTA([2]characters!$A:$A),MATCH(F$1,[2]characters!$1:$1,0)-MATCH($A$1,[2]characters!$1:$1,0)+1),MATCH(F$1,[2]characters!$1:$1,0)-MATCH($A$1,[2]characters!$1:$1,0)+1,FALSE)</f>
        <v>リトルハンプティ</v>
      </c>
      <c r="G794" s="66">
        <v>1</v>
      </c>
      <c r="H794" s="66">
        <v>1</v>
      </c>
      <c r="I794" s="66">
        <v>1</v>
      </c>
    </row>
    <row r="795" spans="1:9" x14ac:dyDescent="0.15">
      <c r="A795" s="66">
        <v>575</v>
      </c>
      <c r="B795" s="3" t="str">
        <f ca="1">VLOOKUP($A795,OFFSET([2]characters!$A$1,0,0,COUNTA([2]characters!$A:$A),MATCH(B$1,[2]characters!$1:$1,0)-MATCH($A$1,[2]characters!$1:$1,0)+1),MATCH(B$1,[2]characters!$1:$1,0)-MATCH($A$1,[2]characters!$1:$1,0)+1,FALSE)</f>
        <v>フレイ</v>
      </c>
      <c r="C795" s="93">
        <f ca="1">VLOOKUP($A795,OFFSET(fork_awake_units!$A$1,0,0,COUNTA(fork_awake_units!$A:$A),MATCH(C$1,fork_awake_units!$1:$1,0)-MATCH($A$1,fork_awake_units!$1:$1,0)+1),MATCH(C$1,fork_awake_units!$1:$1,0)-MATCH($A$1,fork_awake_units!$1:$1,0)+1,FALSE)</f>
        <v>576</v>
      </c>
      <c r="D795" s="3" t="str">
        <f ca="1">VLOOKUP($C795,OFFSET([2]characters!$A$1,0,0,COUNTA([2]characters!$A:$A),MATCH(D$1,[2]characters!$1:$1,0)-MATCH($A$1,[2]characters!$1:$1,0)+1),MATCH(D$1,[2]characters!$1:$1,0)-MATCH($A$1,[2]characters!$1:$1,0)+1,FALSE)</f>
        <v>統勝の豊穣王神 フレイ</v>
      </c>
      <c r="E795" s="66">
        <v>104</v>
      </c>
      <c r="F795" s="3" t="str">
        <f ca="1">VLOOKUP($E795,OFFSET([2]characters!$A$1,0,0,COUNTA([2]characters!$A:$A),MATCH(F$1,[2]characters!$1:$1,0)-MATCH($A$1,[2]characters!$1:$1,0)+1),MATCH(F$1,[2]characters!$1:$1,0)-MATCH($A$1,[2]characters!$1:$1,0)+1,FALSE)</f>
        <v>炎のマッドハッター</v>
      </c>
      <c r="G795" s="66">
        <v>1</v>
      </c>
      <c r="H795" s="66">
        <v>1</v>
      </c>
      <c r="I795" s="66">
        <v>1</v>
      </c>
    </row>
    <row r="796" spans="1:9" x14ac:dyDescent="0.15">
      <c r="A796" s="66">
        <v>575</v>
      </c>
      <c r="B796" s="3" t="str">
        <f ca="1">VLOOKUP($A796,OFFSET([2]characters!$A$1,0,0,COUNTA([2]characters!$A:$A),MATCH(B$1,[2]characters!$1:$1,0)-MATCH($A$1,[2]characters!$1:$1,0)+1),MATCH(B$1,[2]characters!$1:$1,0)-MATCH($A$1,[2]characters!$1:$1,0)+1,FALSE)</f>
        <v>フレイ</v>
      </c>
      <c r="C796" s="93">
        <f ca="1">VLOOKUP($A796,OFFSET(fork_awake_units!$A$1,0,0,COUNTA(fork_awake_units!$A:$A),MATCH(C$1,fork_awake_units!$1:$1,0)-MATCH($A$1,fork_awake_units!$1:$1,0)+1),MATCH(C$1,fork_awake_units!$1:$1,0)-MATCH($A$1,fork_awake_units!$1:$1,0)+1,FALSE)</f>
        <v>576</v>
      </c>
      <c r="D796" s="3" t="str">
        <f ca="1">VLOOKUP($C796,OFFSET([2]characters!$A$1,0,0,COUNTA([2]characters!$A:$A),MATCH(D$1,[2]characters!$1:$1,0)-MATCH($A$1,[2]characters!$1:$1,0)+1),MATCH(D$1,[2]characters!$1:$1,0)-MATCH($A$1,[2]characters!$1:$1,0)+1,FALSE)</f>
        <v>統勝の豊穣王神 フレイ</v>
      </c>
      <c r="E796" s="66">
        <v>306</v>
      </c>
      <c r="F796" s="3" t="str">
        <f ca="1">VLOOKUP($E796,OFFSET([2]characters!$A$1,0,0,COUNTA([2]characters!$A:$A),MATCH(F$1,[2]characters!$1:$1,0)-MATCH($A$1,[2]characters!$1:$1,0)+1),MATCH(F$1,[2]characters!$1:$1,0)-MATCH($A$1,[2]characters!$1:$1,0)+1,FALSE)</f>
        <v>メガロドン</v>
      </c>
      <c r="G796" s="66">
        <v>1</v>
      </c>
      <c r="H796" s="66">
        <v>2</v>
      </c>
      <c r="I796" s="66">
        <v>1</v>
      </c>
    </row>
    <row r="797" spans="1:9" x14ac:dyDescent="0.15">
      <c r="A797" s="66">
        <v>575</v>
      </c>
      <c r="B797" s="3" t="str">
        <f ca="1">VLOOKUP($A797,OFFSET([2]characters!$A$1,0,0,COUNTA([2]characters!$A:$A),MATCH(B$1,[2]characters!$1:$1,0)-MATCH($A$1,[2]characters!$1:$1,0)+1),MATCH(B$1,[2]characters!$1:$1,0)-MATCH($A$1,[2]characters!$1:$1,0)+1,FALSE)</f>
        <v>フレイ</v>
      </c>
      <c r="C797" s="93">
        <f ca="1">VLOOKUP($A797,OFFSET(fork_awake_units!$A$1,0,0,COUNTA(fork_awake_units!$A:$A),MATCH(C$1,fork_awake_units!$1:$1,0)-MATCH($A$1,fork_awake_units!$1:$1,0)+1),MATCH(C$1,fork_awake_units!$1:$1,0)-MATCH($A$1,fork_awake_units!$1:$1,0)+1,FALSE)</f>
        <v>576</v>
      </c>
      <c r="D797" s="3" t="str">
        <f ca="1">VLOOKUP($C797,OFFSET([2]characters!$A$1,0,0,COUNTA([2]characters!$A:$A),MATCH(D$1,[2]characters!$1:$1,0)-MATCH($A$1,[2]characters!$1:$1,0)+1),MATCH(D$1,[2]characters!$1:$1,0)-MATCH($A$1,[2]characters!$1:$1,0)+1,FALSE)</f>
        <v>統勝の豊穣王神 フレイ</v>
      </c>
      <c r="E797" s="66">
        <v>577</v>
      </c>
      <c r="F797" s="3" t="str">
        <f ca="1">VLOOKUP($E797,OFFSET([2]characters!$A$1,0,0,COUNTA([2]characters!$A:$A),MATCH(F$1,[2]characters!$1:$1,0)-MATCH($A$1,[2]characters!$1:$1,0)+1),MATCH(F$1,[2]characters!$1:$1,0)-MATCH($A$1,[2]characters!$1:$1,0)+1,FALSE)</f>
        <v>ビュグヴィルとベイラ</v>
      </c>
      <c r="G797" s="66">
        <v>1</v>
      </c>
      <c r="H797" s="66">
        <v>2</v>
      </c>
      <c r="I797" s="66">
        <v>1</v>
      </c>
    </row>
    <row r="798" spans="1:9" x14ac:dyDescent="0.15">
      <c r="A798" s="66">
        <v>577</v>
      </c>
      <c r="B798" s="3" t="str">
        <f ca="1">VLOOKUP($A798,OFFSET([2]characters!$A$1,0,0,COUNTA([2]characters!$A:$A),MATCH(B$1,[2]characters!$1:$1,0)-MATCH($A$1,[2]characters!$1:$1,0)+1),MATCH(B$1,[2]characters!$1:$1,0)-MATCH($A$1,[2]characters!$1:$1,0)+1,FALSE)</f>
        <v>ビュグヴィルとベイラ</v>
      </c>
      <c r="C798" s="93">
        <f ca="1">VLOOKUP($A798,OFFSET(fork_awake_units!$A$1,0,0,COUNTA(fork_awake_units!$A:$A),MATCH(C$1,fork_awake_units!$1:$1,0)-MATCH($A$1,fork_awake_units!$1:$1,0)+1),MATCH(C$1,fork_awake_units!$1:$1,0)-MATCH($A$1,fork_awake_units!$1:$1,0)+1,FALSE)</f>
        <v>578</v>
      </c>
      <c r="D798" s="3" t="str">
        <f ca="1">VLOOKUP($C798,OFFSET([2]characters!$A$1,0,0,COUNTA([2]characters!$A:$A),MATCH(D$1,[2]characters!$1:$1,0)-MATCH($A$1,[2]characters!$1:$1,0)+1),MATCH(D$1,[2]characters!$1:$1,0)-MATCH($A$1,[2]characters!$1:$1,0)+1,FALSE)</f>
        <v>穣神従事 ビュグヴィルとベイラ</v>
      </c>
      <c r="E798" s="66">
        <v>101</v>
      </c>
      <c r="F798" s="3" t="str">
        <f ca="1">VLOOKUP($E798,OFFSET([2]characters!$A$1,0,0,COUNTA([2]characters!$A:$A),MATCH(F$1,[2]characters!$1:$1,0)-MATCH($A$1,[2]characters!$1:$1,0)+1),MATCH(F$1,[2]characters!$1:$1,0)-MATCH($A$1,[2]characters!$1:$1,0)+1,FALSE)</f>
        <v>レッドチェシャ</v>
      </c>
      <c r="G798" s="66">
        <v>1</v>
      </c>
      <c r="H798" s="66">
        <v>1</v>
      </c>
      <c r="I798" s="66">
        <v>1</v>
      </c>
    </row>
    <row r="799" spans="1:9" x14ac:dyDescent="0.15">
      <c r="A799" s="66">
        <v>577</v>
      </c>
      <c r="B799" s="3" t="str">
        <f ca="1">VLOOKUP($A799,OFFSET([2]characters!$A$1,0,0,COUNTA([2]characters!$A:$A),MATCH(B$1,[2]characters!$1:$1,0)-MATCH($A$1,[2]characters!$1:$1,0)+1),MATCH(B$1,[2]characters!$1:$1,0)-MATCH($A$1,[2]characters!$1:$1,0)+1,FALSE)</f>
        <v>ビュグヴィルとベイラ</v>
      </c>
      <c r="C799" s="93">
        <f ca="1">VLOOKUP($A799,OFFSET(fork_awake_units!$A$1,0,0,COUNTA(fork_awake_units!$A:$A),MATCH(C$1,fork_awake_units!$1:$1,0)-MATCH($A$1,fork_awake_units!$1:$1,0)+1),MATCH(C$1,fork_awake_units!$1:$1,0)-MATCH($A$1,fork_awake_units!$1:$1,0)+1,FALSE)</f>
        <v>578</v>
      </c>
      <c r="D799" s="3" t="str">
        <f ca="1">VLOOKUP($C799,OFFSET([2]characters!$A$1,0,0,COUNTA([2]characters!$A:$A),MATCH(D$1,[2]characters!$1:$1,0)-MATCH($A$1,[2]characters!$1:$1,0)+1),MATCH(D$1,[2]characters!$1:$1,0)-MATCH($A$1,[2]characters!$1:$1,0)+1,FALSE)</f>
        <v>穣神従事 ビュグヴィルとベイラ</v>
      </c>
      <c r="E799" s="66">
        <v>102</v>
      </c>
      <c r="F799" s="3" t="str">
        <f ca="1">VLOOKUP($E799,OFFSET([2]characters!$A$1,0,0,COUNTA([2]characters!$A:$A),MATCH(F$1,[2]characters!$1:$1,0)-MATCH($A$1,[2]characters!$1:$1,0)+1),MATCH(F$1,[2]characters!$1:$1,0)-MATCH($A$1,[2]characters!$1:$1,0)+1,FALSE)</f>
        <v>レッドラビット</v>
      </c>
      <c r="G799" s="66">
        <v>2</v>
      </c>
      <c r="H799" s="66">
        <v>1</v>
      </c>
      <c r="I799" s="66">
        <v>1</v>
      </c>
    </row>
    <row r="800" spans="1:9" x14ac:dyDescent="0.15">
      <c r="A800" s="66">
        <v>577</v>
      </c>
      <c r="B800" s="3" t="str">
        <f ca="1">VLOOKUP($A800,OFFSET([2]characters!$A$1,0,0,COUNTA([2]characters!$A:$A),MATCH(B$1,[2]characters!$1:$1,0)-MATCH($A$1,[2]characters!$1:$1,0)+1),MATCH(B$1,[2]characters!$1:$1,0)-MATCH($A$1,[2]characters!$1:$1,0)+1,FALSE)</f>
        <v>ビュグヴィルとベイラ</v>
      </c>
      <c r="C800" s="93">
        <f ca="1">VLOOKUP($A800,OFFSET(fork_awake_units!$A$1,0,0,COUNTA(fork_awake_units!$A:$A),MATCH(C$1,fork_awake_units!$1:$1,0)-MATCH($A$1,fork_awake_units!$1:$1,0)+1),MATCH(C$1,fork_awake_units!$1:$1,0)-MATCH($A$1,fork_awake_units!$1:$1,0)+1,FALSE)</f>
        <v>578</v>
      </c>
      <c r="D800" s="3" t="str">
        <f ca="1">VLOOKUP($C800,OFFSET([2]characters!$A$1,0,0,COUNTA([2]characters!$A:$A),MATCH(D$1,[2]characters!$1:$1,0)-MATCH($A$1,[2]characters!$1:$1,0)+1),MATCH(D$1,[2]characters!$1:$1,0)-MATCH($A$1,[2]characters!$1:$1,0)+1,FALSE)</f>
        <v>穣神従事 ビュグヴィルとベイラ</v>
      </c>
      <c r="E800" s="66">
        <v>103</v>
      </c>
      <c r="F800" s="3" t="str">
        <f ca="1">VLOOKUP($E800,OFFSET([2]characters!$A$1,0,0,COUNTA([2]characters!$A:$A),MATCH(F$1,[2]characters!$1:$1,0)-MATCH($A$1,[2]characters!$1:$1,0)+1),MATCH(F$1,[2]characters!$1:$1,0)-MATCH($A$1,[2]characters!$1:$1,0)+1,FALSE)</f>
        <v>レッドキャタップ</v>
      </c>
      <c r="G800" s="66">
        <v>1</v>
      </c>
      <c r="H800" s="66">
        <v>1</v>
      </c>
      <c r="I800" s="66">
        <v>1</v>
      </c>
    </row>
    <row r="801" spans="1:9" x14ac:dyDescent="0.15">
      <c r="A801" s="66">
        <v>577</v>
      </c>
      <c r="B801" s="3" t="str">
        <f ca="1">VLOOKUP($A801,OFFSET([2]characters!$A$1,0,0,COUNTA([2]characters!$A:$A),MATCH(B$1,[2]characters!$1:$1,0)-MATCH($A$1,[2]characters!$1:$1,0)+1),MATCH(B$1,[2]characters!$1:$1,0)-MATCH($A$1,[2]characters!$1:$1,0)+1,FALSE)</f>
        <v>ビュグヴィルとベイラ</v>
      </c>
      <c r="C801" s="93">
        <f ca="1">VLOOKUP($A801,OFFSET(fork_awake_units!$A$1,0,0,COUNTA(fork_awake_units!$A:$A),MATCH(C$1,fork_awake_units!$1:$1,0)-MATCH($A$1,fork_awake_units!$1:$1,0)+1),MATCH(C$1,fork_awake_units!$1:$1,0)-MATCH($A$1,fork_awake_units!$1:$1,0)+1,FALSE)</f>
        <v>578</v>
      </c>
      <c r="D801" s="3" t="str">
        <f ca="1">VLOOKUP($C801,OFFSET([2]characters!$A$1,0,0,COUNTA([2]characters!$A:$A),MATCH(D$1,[2]characters!$1:$1,0)-MATCH($A$1,[2]characters!$1:$1,0)+1),MATCH(D$1,[2]characters!$1:$1,0)-MATCH($A$1,[2]characters!$1:$1,0)+1,FALSE)</f>
        <v>穣神従事 ビュグヴィルとベイラ</v>
      </c>
      <c r="E801" s="66">
        <v>104</v>
      </c>
      <c r="F801" s="3" t="str">
        <f ca="1">VLOOKUP($E801,OFFSET([2]characters!$A$1,0,0,COUNTA([2]characters!$A:$A),MATCH(F$1,[2]characters!$1:$1,0)-MATCH($A$1,[2]characters!$1:$1,0)+1),MATCH(F$1,[2]characters!$1:$1,0)-MATCH($A$1,[2]characters!$1:$1,0)+1,FALSE)</f>
        <v>炎のマッドハッター</v>
      </c>
      <c r="G801" s="66">
        <v>1</v>
      </c>
      <c r="H801" s="66">
        <v>1</v>
      </c>
      <c r="I801" s="66">
        <v>1</v>
      </c>
    </row>
    <row r="802" spans="1:9" x14ac:dyDescent="0.15">
      <c r="A802" s="66">
        <v>579</v>
      </c>
      <c r="B802" s="3" t="str">
        <f ca="1">VLOOKUP($A802,OFFSET([2]characters!$A$1,0,0,COUNTA([2]characters!$A:$A),MATCH(B$1,[2]characters!$1:$1,0)-MATCH($A$1,[2]characters!$1:$1,0)+1),MATCH(B$1,[2]characters!$1:$1,0)-MATCH($A$1,[2]characters!$1:$1,0)+1,FALSE)</f>
        <v>オーズ</v>
      </c>
      <c r="C802" s="93">
        <f ca="1">VLOOKUP($A802,OFFSET(fork_awake_units!$A$1,0,0,COUNTA(fork_awake_units!$A:$A),MATCH(C$1,fork_awake_units!$1:$1,0)-MATCH($A$1,fork_awake_units!$1:$1,0)+1),MATCH(C$1,fork_awake_units!$1:$1,0)-MATCH($A$1,fork_awake_units!$1:$1,0)+1,FALSE)</f>
        <v>580</v>
      </c>
      <c r="D802" s="3" t="str">
        <f ca="1">VLOOKUP($C802,OFFSET([2]characters!$A$1,0,0,COUNTA([2]characters!$A:$A),MATCH(D$1,[2]characters!$1:$1,0)-MATCH($A$1,[2]characters!$1:$1,0)+1),MATCH(D$1,[2]characters!$1:$1,0)-MATCH($A$1,[2]characters!$1:$1,0)+1,FALSE)</f>
        <v>愛憐の旅神 オーズ</v>
      </c>
      <c r="E802" s="66">
        <v>105</v>
      </c>
      <c r="F802" s="3" t="str">
        <f ca="1">VLOOKUP($E802,OFFSET([2]characters!$A$1,0,0,COUNTA([2]characters!$A:$A),MATCH(F$1,[2]characters!$1:$1,0)-MATCH($A$1,[2]characters!$1:$1,0)+1),MATCH(F$1,[2]characters!$1:$1,0)-MATCH($A$1,[2]characters!$1:$1,0)+1,FALSE)</f>
        <v>グリーンチェシャ</v>
      </c>
      <c r="G802" s="66">
        <v>1</v>
      </c>
      <c r="H802" s="66">
        <v>1</v>
      </c>
      <c r="I802" s="66">
        <v>1</v>
      </c>
    </row>
    <row r="803" spans="1:9" x14ac:dyDescent="0.15">
      <c r="A803" s="66">
        <v>579</v>
      </c>
      <c r="B803" s="3" t="str">
        <f ca="1">VLOOKUP($A803,OFFSET([2]characters!$A$1,0,0,COUNTA([2]characters!$A:$A),MATCH(B$1,[2]characters!$1:$1,0)-MATCH($A$1,[2]characters!$1:$1,0)+1),MATCH(B$1,[2]characters!$1:$1,0)-MATCH($A$1,[2]characters!$1:$1,0)+1,FALSE)</f>
        <v>オーズ</v>
      </c>
      <c r="C803" s="93">
        <f ca="1">VLOOKUP($A803,OFFSET(fork_awake_units!$A$1,0,0,COUNTA(fork_awake_units!$A:$A),MATCH(C$1,fork_awake_units!$1:$1,0)-MATCH($A$1,fork_awake_units!$1:$1,0)+1),MATCH(C$1,fork_awake_units!$1:$1,0)-MATCH($A$1,fork_awake_units!$1:$1,0)+1,FALSE)</f>
        <v>580</v>
      </c>
      <c r="D803" s="3" t="str">
        <f ca="1">VLOOKUP($C803,OFFSET([2]characters!$A$1,0,0,COUNTA([2]characters!$A:$A),MATCH(D$1,[2]characters!$1:$1,0)-MATCH($A$1,[2]characters!$1:$1,0)+1),MATCH(D$1,[2]characters!$1:$1,0)-MATCH($A$1,[2]characters!$1:$1,0)+1,FALSE)</f>
        <v>愛憐の旅神 オーズ</v>
      </c>
      <c r="E803" s="66">
        <v>106</v>
      </c>
      <c r="F803" s="3" t="str">
        <f ca="1">VLOOKUP($E803,OFFSET([2]characters!$A$1,0,0,COUNTA([2]characters!$A:$A),MATCH(F$1,[2]characters!$1:$1,0)-MATCH($A$1,[2]characters!$1:$1,0)+1),MATCH(F$1,[2]characters!$1:$1,0)-MATCH($A$1,[2]characters!$1:$1,0)+1,FALSE)</f>
        <v>グリーンラビット</v>
      </c>
      <c r="G803" s="66">
        <v>2</v>
      </c>
      <c r="H803" s="66">
        <v>1</v>
      </c>
      <c r="I803" s="66">
        <v>1</v>
      </c>
    </row>
    <row r="804" spans="1:9" x14ac:dyDescent="0.15">
      <c r="A804" s="66">
        <v>579</v>
      </c>
      <c r="B804" s="3" t="str">
        <f ca="1">VLOOKUP($A804,OFFSET([2]characters!$A$1,0,0,COUNTA([2]characters!$A:$A),MATCH(B$1,[2]characters!$1:$1,0)-MATCH($A$1,[2]characters!$1:$1,0)+1),MATCH(B$1,[2]characters!$1:$1,0)-MATCH($A$1,[2]characters!$1:$1,0)+1,FALSE)</f>
        <v>オーズ</v>
      </c>
      <c r="C804" s="93">
        <f ca="1">VLOOKUP($A804,OFFSET(fork_awake_units!$A$1,0,0,COUNTA(fork_awake_units!$A:$A),MATCH(C$1,fork_awake_units!$1:$1,0)-MATCH($A$1,fork_awake_units!$1:$1,0)+1),MATCH(C$1,fork_awake_units!$1:$1,0)-MATCH($A$1,fork_awake_units!$1:$1,0)+1,FALSE)</f>
        <v>580</v>
      </c>
      <c r="D804" s="3" t="str">
        <f ca="1">VLOOKUP($C804,OFFSET([2]characters!$A$1,0,0,COUNTA([2]characters!$A:$A),MATCH(D$1,[2]characters!$1:$1,0)-MATCH($A$1,[2]characters!$1:$1,0)+1),MATCH(D$1,[2]characters!$1:$1,0)-MATCH($A$1,[2]characters!$1:$1,0)+1,FALSE)</f>
        <v>愛憐の旅神 オーズ</v>
      </c>
      <c r="E804" s="66">
        <v>107</v>
      </c>
      <c r="F804" s="3" t="str">
        <f ca="1">VLOOKUP($E804,OFFSET([2]characters!$A$1,0,0,COUNTA([2]characters!$A:$A),MATCH(F$1,[2]characters!$1:$1,0)-MATCH($A$1,[2]characters!$1:$1,0)+1),MATCH(F$1,[2]characters!$1:$1,0)-MATCH($A$1,[2]characters!$1:$1,0)+1,FALSE)</f>
        <v>グリーンキャタップ</v>
      </c>
      <c r="G804" s="66">
        <v>1</v>
      </c>
      <c r="H804" s="66">
        <v>1</v>
      </c>
      <c r="I804" s="66">
        <v>1</v>
      </c>
    </row>
    <row r="805" spans="1:9" x14ac:dyDescent="0.15">
      <c r="A805" s="66">
        <v>579</v>
      </c>
      <c r="B805" s="3" t="str">
        <f ca="1">VLOOKUP($A805,OFFSET([2]characters!$A$1,0,0,COUNTA([2]characters!$A:$A),MATCH(B$1,[2]characters!$1:$1,0)-MATCH($A$1,[2]characters!$1:$1,0)+1),MATCH(B$1,[2]characters!$1:$1,0)-MATCH($A$1,[2]characters!$1:$1,0)+1,FALSE)</f>
        <v>オーズ</v>
      </c>
      <c r="C805" s="93">
        <f ca="1">VLOOKUP($A805,OFFSET(fork_awake_units!$A$1,0,0,COUNTA(fork_awake_units!$A:$A),MATCH(C$1,fork_awake_units!$1:$1,0)-MATCH($A$1,fork_awake_units!$1:$1,0)+1),MATCH(C$1,fork_awake_units!$1:$1,0)-MATCH($A$1,fork_awake_units!$1:$1,0)+1,FALSE)</f>
        <v>580</v>
      </c>
      <c r="D805" s="3" t="str">
        <f ca="1">VLOOKUP($C805,OFFSET([2]characters!$A$1,0,0,COUNTA([2]characters!$A:$A),MATCH(D$1,[2]characters!$1:$1,0)-MATCH($A$1,[2]characters!$1:$1,0)+1),MATCH(D$1,[2]characters!$1:$1,0)-MATCH($A$1,[2]characters!$1:$1,0)+1,FALSE)</f>
        <v>愛憐の旅神 オーズ</v>
      </c>
      <c r="E805" s="66">
        <v>108</v>
      </c>
      <c r="F805" s="3" t="str">
        <f ca="1">VLOOKUP($E805,OFFSET([2]characters!$A$1,0,0,COUNTA([2]characters!$A:$A),MATCH(F$1,[2]characters!$1:$1,0)-MATCH($A$1,[2]characters!$1:$1,0)+1),MATCH(F$1,[2]characters!$1:$1,0)-MATCH($A$1,[2]characters!$1:$1,0)+1,FALSE)</f>
        <v>森のマッドハッター</v>
      </c>
      <c r="G805" s="66">
        <v>1</v>
      </c>
      <c r="H805" s="66">
        <v>1</v>
      </c>
      <c r="I805" s="66">
        <v>1</v>
      </c>
    </row>
    <row r="806" spans="1:9" x14ac:dyDescent="0.15">
      <c r="A806" s="66">
        <v>581</v>
      </c>
      <c r="B806" s="3" t="str">
        <f ca="1">VLOOKUP($A806,OFFSET([2]characters!$A$1,0,0,COUNTA([2]characters!$A:$A),MATCH(B$1,[2]characters!$1:$1,0)-MATCH($A$1,[2]characters!$1:$1,0)+1),MATCH(B$1,[2]characters!$1:$1,0)-MATCH($A$1,[2]characters!$1:$1,0)+1,FALSE)</f>
        <v>フギンとムニン</v>
      </c>
      <c r="C806" s="93">
        <f ca="1">VLOOKUP($A806,OFFSET(fork_awake_units!$A$1,0,0,COUNTA(fork_awake_units!$A:$A),MATCH(C$1,fork_awake_units!$1:$1,0)-MATCH($A$1,fork_awake_units!$1:$1,0)+1),MATCH(C$1,fork_awake_units!$1:$1,0)-MATCH($A$1,fork_awake_units!$1:$1,0)+1,FALSE)</f>
        <v>582</v>
      </c>
      <c r="D806" s="3" t="str">
        <f ca="1">VLOOKUP($C806,OFFSET([2]characters!$A$1,0,0,COUNTA([2]characters!$A:$A),MATCH(D$1,[2]characters!$1:$1,0)-MATCH($A$1,[2]characters!$1:$1,0)+1),MATCH(D$1,[2]characters!$1:$1,0)-MATCH($A$1,[2]characters!$1:$1,0)+1,FALSE)</f>
        <v>空を駆る双鴉 フギンとムニン</v>
      </c>
      <c r="E806" s="66">
        <v>112</v>
      </c>
      <c r="F806" s="3" t="str">
        <f ca="1">VLOOKUP($E806,OFFSET([2]characters!$A$1,0,0,COUNTA([2]characters!$A:$A),MATCH(F$1,[2]characters!$1:$1,0)-MATCH($A$1,[2]characters!$1:$1,0)+1),MATCH(F$1,[2]characters!$1:$1,0)-MATCH($A$1,[2]characters!$1:$1,0)+1,FALSE)</f>
        <v>水のマッドハッター</v>
      </c>
      <c r="G806" s="66">
        <v>1</v>
      </c>
      <c r="H806" s="66">
        <v>1</v>
      </c>
      <c r="I806" s="66">
        <v>1</v>
      </c>
    </row>
    <row r="807" spans="1:9" x14ac:dyDescent="0.15">
      <c r="A807" s="66">
        <v>581</v>
      </c>
      <c r="B807" s="3" t="str">
        <f ca="1">VLOOKUP($A807,OFFSET([2]characters!$A$1,0,0,COUNTA([2]characters!$A:$A),MATCH(B$1,[2]characters!$1:$1,0)-MATCH($A$1,[2]characters!$1:$1,0)+1),MATCH(B$1,[2]characters!$1:$1,0)-MATCH($A$1,[2]characters!$1:$1,0)+1,FALSE)</f>
        <v>フギンとムニン</v>
      </c>
      <c r="C807" s="93">
        <f ca="1">VLOOKUP($A807,OFFSET(fork_awake_units!$A$1,0,0,COUNTA(fork_awake_units!$A:$A),MATCH(C$1,fork_awake_units!$1:$1,0)-MATCH($A$1,fork_awake_units!$1:$1,0)+1),MATCH(C$1,fork_awake_units!$1:$1,0)-MATCH($A$1,fork_awake_units!$1:$1,0)+1,FALSE)</f>
        <v>582</v>
      </c>
      <c r="D807" s="3" t="str">
        <f ca="1">VLOOKUP($C807,OFFSET([2]characters!$A$1,0,0,COUNTA([2]characters!$A:$A),MATCH(D$1,[2]characters!$1:$1,0)-MATCH($A$1,[2]characters!$1:$1,0)+1),MATCH(D$1,[2]characters!$1:$1,0)-MATCH($A$1,[2]characters!$1:$1,0)+1,FALSE)</f>
        <v>空を駆る双鴉 フギンとムニン</v>
      </c>
      <c r="E807" s="66">
        <v>282</v>
      </c>
      <c r="F807" s="3" t="str">
        <f ca="1">VLOOKUP($E807,OFFSET([2]characters!$A$1,0,0,COUNTA([2]characters!$A:$A),MATCH(F$1,[2]characters!$1:$1,0)-MATCH($A$1,[2]characters!$1:$1,0)+1),MATCH(F$1,[2]characters!$1:$1,0)-MATCH($A$1,[2]characters!$1:$1,0)+1,FALSE)</f>
        <v>ラーフ</v>
      </c>
      <c r="G807" s="66">
        <v>1</v>
      </c>
      <c r="H807" s="66">
        <v>3</v>
      </c>
      <c r="I807" s="66">
        <v>1</v>
      </c>
    </row>
    <row r="808" spans="1:9" x14ac:dyDescent="0.15">
      <c r="A808" s="66">
        <v>581</v>
      </c>
      <c r="B808" s="3" t="str">
        <f ca="1">VLOOKUP($A808,OFFSET([2]characters!$A$1,0,0,COUNTA([2]characters!$A:$A),MATCH(B$1,[2]characters!$1:$1,0)-MATCH($A$1,[2]characters!$1:$1,0)+1),MATCH(B$1,[2]characters!$1:$1,0)-MATCH($A$1,[2]characters!$1:$1,0)+1,FALSE)</f>
        <v>フギンとムニン</v>
      </c>
      <c r="C808" s="93">
        <f ca="1">VLOOKUP($A808,OFFSET(fork_awake_units!$A$1,0,0,COUNTA(fork_awake_units!$A:$A),MATCH(C$1,fork_awake_units!$1:$1,0)-MATCH($A$1,fork_awake_units!$1:$1,0)+1),MATCH(C$1,fork_awake_units!$1:$1,0)-MATCH($A$1,fork_awake_units!$1:$1,0)+1,FALSE)</f>
        <v>582</v>
      </c>
      <c r="D808" s="3" t="str">
        <f ca="1">VLOOKUP($C808,OFFSET([2]characters!$A$1,0,0,COUNTA([2]characters!$A:$A),MATCH(D$1,[2]characters!$1:$1,0)-MATCH($A$1,[2]characters!$1:$1,0)+1),MATCH(D$1,[2]characters!$1:$1,0)-MATCH($A$1,[2]characters!$1:$1,0)+1,FALSE)</f>
        <v>空を駆る双鴉 フギンとムニン</v>
      </c>
      <c r="E808" s="66">
        <v>310</v>
      </c>
      <c r="F808" s="3" t="str">
        <f ca="1">VLOOKUP($E808,OFFSET([2]characters!$A$1,0,0,COUNTA([2]characters!$A:$A),MATCH(F$1,[2]characters!$1:$1,0)-MATCH($A$1,[2]characters!$1:$1,0)+1),MATCH(F$1,[2]characters!$1:$1,0)-MATCH($A$1,[2]characters!$1:$1,0)+1,FALSE)</f>
        <v>リードシクティス</v>
      </c>
      <c r="G808" s="66">
        <v>1</v>
      </c>
      <c r="H808" s="66">
        <v>2</v>
      </c>
      <c r="I808" s="66">
        <v>1</v>
      </c>
    </row>
    <row r="809" spans="1:9" x14ac:dyDescent="0.15">
      <c r="A809" s="66">
        <v>583</v>
      </c>
      <c r="B809" s="3" t="str">
        <f ca="1">VLOOKUP($A809,OFFSET([2]characters!$A$1,0,0,COUNTA([2]characters!$A:$A),MATCH(B$1,[2]characters!$1:$1,0)-MATCH($A$1,[2]characters!$1:$1,0)+1),MATCH(B$1,[2]characters!$1:$1,0)-MATCH($A$1,[2]characters!$1:$1,0)+1,FALSE)</f>
        <v>ミョルニル</v>
      </c>
      <c r="C809" s="93">
        <f ca="1">VLOOKUP($A809,OFFSET(fork_awake_units!$A$1,0,0,COUNTA(fork_awake_units!$A:$A),MATCH(C$1,fork_awake_units!$1:$1,0)-MATCH($A$1,fork_awake_units!$1:$1,0)+1),MATCH(C$1,fork_awake_units!$1:$1,0)-MATCH($A$1,fork_awake_units!$1:$1,0)+1,FALSE)</f>
        <v>584</v>
      </c>
      <c r="D809" s="3" t="str">
        <f ca="1">VLOOKUP($C809,OFFSET([2]characters!$A$1,0,0,COUNTA([2]characters!$A:$A),MATCH(D$1,[2]characters!$1:$1,0)-MATCH($A$1,[2]characters!$1:$1,0)+1),MATCH(D$1,[2]characters!$1:$1,0)-MATCH($A$1,[2]characters!$1:$1,0)+1,FALSE)</f>
        <v>自律する召雷鎚 ミョルニル</v>
      </c>
      <c r="E809" s="66">
        <v>113</v>
      </c>
      <c r="F809" s="3" t="str">
        <f ca="1">VLOOKUP($E809,OFFSET([2]characters!$A$1,0,0,COUNTA([2]characters!$A:$A),MATCH(F$1,[2]characters!$1:$1,0)-MATCH($A$1,[2]characters!$1:$1,0)+1),MATCH(F$1,[2]characters!$1:$1,0)-MATCH($A$1,[2]characters!$1:$1,0)+1,FALSE)</f>
        <v>イエローチェシャ</v>
      </c>
      <c r="G809" s="66">
        <v>1</v>
      </c>
      <c r="H809" s="66">
        <v>1</v>
      </c>
      <c r="I809" s="66">
        <v>1</v>
      </c>
    </row>
    <row r="810" spans="1:9" x14ac:dyDescent="0.15">
      <c r="A810" s="66">
        <v>583</v>
      </c>
      <c r="B810" s="3" t="str">
        <f ca="1">VLOOKUP($A810,OFFSET([2]characters!$A$1,0,0,COUNTA([2]characters!$A:$A),MATCH(B$1,[2]characters!$1:$1,0)-MATCH($A$1,[2]characters!$1:$1,0)+1),MATCH(B$1,[2]characters!$1:$1,0)-MATCH($A$1,[2]characters!$1:$1,0)+1,FALSE)</f>
        <v>ミョルニル</v>
      </c>
      <c r="C810" s="93">
        <f ca="1">VLOOKUP($A810,OFFSET(fork_awake_units!$A$1,0,0,COUNTA(fork_awake_units!$A:$A),MATCH(C$1,fork_awake_units!$1:$1,0)-MATCH($A$1,fork_awake_units!$1:$1,0)+1),MATCH(C$1,fork_awake_units!$1:$1,0)-MATCH($A$1,fork_awake_units!$1:$1,0)+1,FALSE)</f>
        <v>584</v>
      </c>
      <c r="D810" s="3" t="str">
        <f ca="1">VLOOKUP($C810,OFFSET([2]characters!$A$1,0,0,COUNTA([2]characters!$A:$A),MATCH(D$1,[2]characters!$1:$1,0)-MATCH($A$1,[2]characters!$1:$1,0)+1),MATCH(D$1,[2]characters!$1:$1,0)-MATCH($A$1,[2]characters!$1:$1,0)+1,FALSE)</f>
        <v>自律する召雷鎚 ミョルニル</v>
      </c>
      <c r="E810" s="66">
        <v>114</v>
      </c>
      <c r="F810" s="3" t="str">
        <f ca="1">VLOOKUP($E810,OFFSET([2]characters!$A$1,0,0,COUNTA([2]characters!$A:$A),MATCH(F$1,[2]characters!$1:$1,0)-MATCH($A$1,[2]characters!$1:$1,0)+1),MATCH(F$1,[2]characters!$1:$1,0)-MATCH($A$1,[2]characters!$1:$1,0)+1,FALSE)</f>
        <v>イエローラビット</v>
      </c>
      <c r="G810" s="66">
        <v>2</v>
      </c>
      <c r="H810" s="66">
        <v>1</v>
      </c>
      <c r="I810" s="66">
        <v>1</v>
      </c>
    </row>
    <row r="811" spans="1:9" x14ac:dyDescent="0.15">
      <c r="A811" s="66">
        <v>583</v>
      </c>
      <c r="B811" s="3" t="str">
        <f ca="1">VLOOKUP($A811,OFFSET([2]characters!$A$1,0,0,COUNTA([2]characters!$A:$A),MATCH(B$1,[2]characters!$1:$1,0)-MATCH($A$1,[2]characters!$1:$1,0)+1),MATCH(B$1,[2]characters!$1:$1,0)-MATCH($A$1,[2]characters!$1:$1,0)+1,FALSE)</f>
        <v>ミョルニル</v>
      </c>
      <c r="C811" s="93">
        <f ca="1">VLOOKUP($A811,OFFSET(fork_awake_units!$A$1,0,0,COUNTA(fork_awake_units!$A:$A),MATCH(C$1,fork_awake_units!$1:$1,0)-MATCH($A$1,fork_awake_units!$1:$1,0)+1),MATCH(C$1,fork_awake_units!$1:$1,0)-MATCH($A$1,fork_awake_units!$1:$1,0)+1,FALSE)</f>
        <v>584</v>
      </c>
      <c r="D811" s="3" t="str">
        <f ca="1">VLOOKUP($C811,OFFSET([2]characters!$A$1,0,0,COUNTA([2]characters!$A:$A),MATCH(D$1,[2]characters!$1:$1,0)-MATCH($A$1,[2]characters!$1:$1,0)+1),MATCH(D$1,[2]characters!$1:$1,0)-MATCH($A$1,[2]characters!$1:$1,0)+1,FALSE)</f>
        <v>自律する召雷鎚 ミョルニル</v>
      </c>
      <c r="E811" s="66">
        <v>115</v>
      </c>
      <c r="F811" s="3" t="str">
        <f ca="1">VLOOKUP($E811,OFFSET([2]characters!$A$1,0,0,COUNTA([2]characters!$A:$A),MATCH(F$1,[2]characters!$1:$1,0)-MATCH($A$1,[2]characters!$1:$1,0)+1),MATCH(F$1,[2]characters!$1:$1,0)-MATCH($A$1,[2]characters!$1:$1,0)+1,FALSE)</f>
        <v>イエローキャタップ</v>
      </c>
      <c r="G811" s="66">
        <v>1</v>
      </c>
      <c r="H811" s="66">
        <v>1</v>
      </c>
      <c r="I811" s="66">
        <v>1</v>
      </c>
    </row>
    <row r="812" spans="1:9" x14ac:dyDescent="0.15">
      <c r="A812" s="66">
        <v>583</v>
      </c>
      <c r="B812" s="3" t="str">
        <f ca="1">VLOOKUP($A812,OFFSET([2]characters!$A$1,0,0,COUNTA([2]characters!$A:$A),MATCH(B$1,[2]characters!$1:$1,0)-MATCH($A$1,[2]characters!$1:$1,0)+1),MATCH(B$1,[2]characters!$1:$1,0)-MATCH($A$1,[2]characters!$1:$1,0)+1,FALSE)</f>
        <v>ミョルニル</v>
      </c>
      <c r="C812" s="93">
        <f ca="1">VLOOKUP($A812,OFFSET(fork_awake_units!$A$1,0,0,COUNTA(fork_awake_units!$A:$A),MATCH(C$1,fork_awake_units!$1:$1,0)-MATCH($A$1,fork_awake_units!$1:$1,0)+1),MATCH(C$1,fork_awake_units!$1:$1,0)-MATCH($A$1,fork_awake_units!$1:$1,0)+1,FALSE)</f>
        <v>584</v>
      </c>
      <c r="D812" s="3" t="str">
        <f ca="1">VLOOKUP($C812,OFFSET([2]characters!$A$1,0,0,COUNTA([2]characters!$A:$A),MATCH(D$1,[2]characters!$1:$1,0)-MATCH($A$1,[2]characters!$1:$1,0)+1),MATCH(D$1,[2]characters!$1:$1,0)-MATCH($A$1,[2]characters!$1:$1,0)+1,FALSE)</f>
        <v>自律する召雷鎚 ミョルニル</v>
      </c>
      <c r="E812" s="66">
        <v>116</v>
      </c>
      <c r="F812" s="3" t="str">
        <f ca="1">VLOOKUP($E812,OFFSET([2]characters!$A$1,0,0,COUNTA([2]characters!$A:$A),MATCH(F$1,[2]characters!$1:$1,0)-MATCH($A$1,[2]characters!$1:$1,0)+1),MATCH(F$1,[2]characters!$1:$1,0)-MATCH($A$1,[2]characters!$1:$1,0)+1,FALSE)</f>
        <v>雷のマッドハッター</v>
      </c>
      <c r="G812" s="66">
        <v>1</v>
      </c>
      <c r="H812" s="66">
        <v>1</v>
      </c>
      <c r="I812" s="66">
        <v>1</v>
      </c>
    </row>
    <row r="813" spans="1:9" x14ac:dyDescent="0.15">
      <c r="A813" s="66">
        <v>586</v>
      </c>
      <c r="B813" s="3" t="str">
        <f ca="1">VLOOKUP($A813,OFFSET([2]characters!$A$1,0,0,COUNTA([2]characters!$A:$A),MATCH(B$1,[2]characters!$1:$1,0)-MATCH($A$1,[2]characters!$1:$1,0)+1),MATCH(B$1,[2]characters!$1:$1,0)-MATCH($A$1,[2]characters!$1:$1,0)+1,FALSE)</f>
        <v>ユミル</v>
      </c>
      <c r="C813" s="93">
        <f ca="1">VLOOKUP($A813,OFFSET(fork_awake_units!$A$1,0,0,COUNTA(fork_awake_units!$A:$A),MATCH(C$1,fork_awake_units!$1:$1,0)-MATCH($A$1,fork_awake_units!$1:$1,0)+1),MATCH(C$1,fork_awake_units!$1:$1,0)-MATCH($A$1,fork_awake_units!$1:$1,0)+1,FALSE)</f>
        <v>587</v>
      </c>
      <c r="D813" s="3" t="str">
        <f ca="1">VLOOKUP($C813,OFFSET([2]characters!$A$1,0,0,COUNTA([2]characters!$A:$A),MATCH(D$1,[2]characters!$1:$1,0)-MATCH($A$1,[2]characters!$1:$1,0)+1),MATCH(D$1,[2]characters!$1:$1,0)-MATCH($A$1,[2]characters!$1:$1,0)+1,FALSE)</f>
        <v>原初の煉鋼巨刃 ユミル</v>
      </c>
      <c r="E813" s="66">
        <v>103</v>
      </c>
      <c r="F813" s="3" t="str">
        <f ca="1">VLOOKUP($E813,OFFSET([2]characters!$A$1,0,0,COUNTA([2]characters!$A:$A),MATCH(F$1,[2]characters!$1:$1,0)-MATCH($A$1,[2]characters!$1:$1,0)+1),MATCH(F$1,[2]characters!$1:$1,0)-MATCH($A$1,[2]characters!$1:$1,0)+1,FALSE)</f>
        <v>レッドキャタップ</v>
      </c>
      <c r="G813" s="66">
        <v>2</v>
      </c>
      <c r="H813" s="66">
        <v>1</v>
      </c>
      <c r="I813" s="66">
        <v>1</v>
      </c>
    </row>
    <row r="814" spans="1:9" x14ac:dyDescent="0.15">
      <c r="A814" s="66">
        <v>586</v>
      </c>
      <c r="B814" s="3" t="str">
        <f ca="1">VLOOKUP($A814,OFFSET([2]characters!$A$1,0,0,COUNTA([2]characters!$A:$A),MATCH(B$1,[2]characters!$1:$1,0)-MATCH($A$1,[2]characters!$1:$1,0)+1),MATCH(B$1,[2]characters!$1:$1,0)-MATCH($A$1,[2]characters!$1:$1,0)+1,FALSE)</f>
        <v>ユミル</v>
      </c>
      <c r="C814" s="93">
        <f ca="1">VLOOKUP($A814,OFFSET(fork_awake_units!$A$1,0,0,COUNTA(fork_awake_units!$A:$A),MATCH(C$1,fork_awake_units!$1:$1,0)-MATCH($A$1,fork_awake_units!$1:$1,0)+1),MATCH(C$1,fork_awake_units!$1:$1,0)-MATCH($A$1,fork_awake_units!$1:$1,0)+1,FALSE)</f>
        <v>587</v>
      </c>
      <c r="D814" s="3" t="str">
        <f ca="1">VLOOKUP($C814,OFFSET([2]characters!$A$1,0,0,COUNTA([2]characters!$A:$A),MATCH(D$1,[2]characters!$1:$1,0)-MATCH($A$1,[2]characters!$1:$1,0)+1),MATCH(D$1,[2]characters!$1:$1,0)-MATCH($A$1,[2]characters!$1:$1,0)+1,FALSE)</f>
        <v>原初の煉鋼巨刃 ユミル</v>
      </c>
      <c r="E814" s="66">
        <v>104</v>
      </c>
      <c r="F814" s="3" t="str">
        <f ca="1">VLOOKUP($E814,OFFSET([2]characters!$A$1,0,0,COUNTA([2]characters!$A:$A),MATCH(F$1,[2]characters!$1:$1,0)-MATCH($A$1,[2]characters!$1:$1,0)+1),MATCH(F$1,[2]characters!$1:$1,0)-MATCH($A$1,[2]characters!$1:$1,0)+1,FALSE)</f>
        <v>炎のマッドハッター</v>
      </c>
      <c r="G814" s="66">
        <v>1</v>
      </c>
      <c r="H814" s="66">
        <v>1</v>
      </c>
      <c r="I814" s="66">
        <v>1</v>
      </c>
    </row>
    <row r="815" spans="1:9" x14ac:dyDescent="0.15">
      <c r="A815" s="66">
        <v>586</v>
      </c>
      <c r="B815" s="3" t="str">
        <f ca="1">VLOOKUP($A815,OFFSET([2]characters!$A$1,0,0,COUNTA([2]characters!$A:$A),MATCH(B$1,[2]characters!$1:$1,0)-MATCH($A$1,[2]characters!$1:$1,0)+1),MATCH(B$1,[2]characters!$1:$1,0)-MATCH($A$1,[2]characters!$1:$1,0)+1,FALSE)</f>
        <v>ユミル</v>
      </c>
      <c r="C815" s="93">
        <f ca="1">VLOOKUP($A815,OFFSET(fork_awake_units!$A$1,0,0,COUNTA(fork_awake_units!$A:$A),MATCH(C$1,fork_awake_units!$1:$1,0)-MATCH($A$1,fork_awake_units!$1:$1,0)+1),MATCH(C$1,fork_awake_units!$1:$1,0)-MATCH($A$1,fork_awake_units!$1:$1,0)+1,FALSE)</f>
        <v>587</v>
      </c>
      <c r="D815" s="3" t="str">
        <f ca="1">VLOOKUP($C815,OFFSET([2]characters!$A$1,0,0,COUNTA([2]characters!$A:$A),MATCH(D$1,[2]characters!$1:$1,0)-MATCH($A$1,[2]characters!$1:$1,0)+1),MATCH(D$1,[2]characters!$1:$1,0)-MATCH($A$1,[2]characters!$1:$1,0)+1,FALSE)</f>
        <v>原初の煉鋼巨刃 ユミル</v>
      </c>
      <c r="E815" s="66">
        <v>306</v>
      </c>
      <c r="F815" s="3" t="str">
        <f ca="1">VLOOKUP($E815,OFFSET([2]characters!$A$1,0,0,COUNTA([2]characters!$A:$A),MATCH(F$1,[2]characters!$1:$1,0)-MATCH($A$1,[2]characters!$1:$1,0)+1),MATCH(F$1,[2]characters!$1:$1,0)-MATCH($A$1,[2]characters!$1:$1,0)+1,FALSE)</f>
        <v>メガロドン</v>
      </c>
      <c r="G815" s="66">
        <v>1</v>
      </c>
      <c r="H815" s="66">
        <v>1</v>
      </c>
      <c r="I815" s="66">
        <v>1</v>
      </c>
    </row>
    <row r="816" spans="1:9" x14ac:dyDescent="0.15">
      <c r="A816" s="66">
        <v>586</v>
      </c>
      <c r="B816" s="3" t="str">
        <f ca="1">VLOOKUP($A816,OFFSET([2]characters!$A$1,0,0,COUNTA([2]characters!$A:$A),MATCH(B$1,[2]characters!$1:$1,0)-MATCH($A$1,[2]characters!$1:$1,0)+1),MATCH(B$1,[2]characters!$1:$1,0)-MATCH($A$1,[2]characters!$1:$1,0)+1,FALSE)</f>
        <v>ユミル</v>
      </c>
      <c r="C816" s="93">
        <f ca="1">VLOOKUP($A816,OFFSET(fork_awake_units!$A$1,0,0,COUNTA(fork_awake_units!$A:$A),MATCH(C$1,fork_awake_units!$1:$1,0)-MATCH($A$1,fork_awake_units!$1:$1,0)+1),MATCH(C$1,fork_awake_units!$1:$1,0)-MATCH($A$1,fork_awake_units!$1:$1,0)+1,FALSE)</f>
        <v>587</v>
      </c>
      <c r="D816" s="3" t="str">
        <f ca="1">VLOOKUP($C816,OFFSET([2]characters!$A$1,0,0,COUNTA([2]characters!$A:$A),MATCH(D$1,[2]characters!$1:$1,0)-MATCH($A$1,[2]characters!$1:$1,0)+1),MATCH(D$1,[2]characters!$1:$1,0)-MATCH($A$1,[2]characters!$1:$1,0)+1,FALSE)</f>
        <v>原初の煉鋼巨刃 ユミル</v>
      </c>
      <c r="E816" s="66">
        <v>502</v>
      </c>
      <c r="F816" s="3" t="str">
        <f ca="1">VLOOKUP($E816,OFFSET([2]characters!$A$1,0,0,COUNTA([2]characters!$A:$A),MATCH(F$1,[2]characters!$1:$1,0)-MATCH($A$1,[2]characters!$1:$1,0)+1),MATCH(F$1,[2]characters!$1:$1,0)-MATCH($A$1,[2]characters!$1:$1,0)+1,FALSE)</f>
        <v>テラベル</v>
      </c>
      <c r="G816" s="66">
        <v>1</v>
      </c>
      <c r="H816" s="66">
        <v>1</v>
      </c>
      <c r="I816" s="66">
        <v>1</v>
      </c>
    </row>
    <row r="817" spans="1:9" x14ac:dyDescent="0.15">
      <c r="A817" s="66">
        <v>588</v>
      </c>
      <c r="B817" s="3" t="str">
        <f ca="1">VLOOKUP($A817,OFFSET([2]characters!$A$1,0,0,COUNTA([2]characters!$A:$A),MATCH(B$1,[2]characters!$1:$1,0)-MATCH($A$1,[2]characters!$1:$1,0)+1),MATCH(B$1,[2]characters!$1:$1,0)-MATCH($A$1,[2]characters!$1:$1,0)+1,FALSE)</f>
        <v>ニーベルゲン</v>
      </c>
      <c r="C817" s="93">
        <f ca="1">VLOOKUP($A817,OFFSET(fork_awake_units!$A$1,0,0,COUNTA(fork_awake_units!$A:$A),MATCH(C$1,fork_awake_units!$1:$1,0)-MATCH($A$1,fork_awake_units!$1:$1,0)+1),MATCH(C$1,fork_awake_units!$1:$1,0)-MATCH($A$1,fork_awake_units!$1:$1,0)+1,FALSE)</f>
        <v>589</v>
      </c>
      <c r="D817" s="3" t="str">
        <f ca="1">VLOOKUP($C817,OFFSET([2]characters!$A$1,0,0,COUNTA([2]characters!$A:$A),MATCH(D$1,[2]characters!$1:$1,0)-MATCH($A$1,[2]characters!$1:$1,0)+1),MATCH(D$1,[2]characters!$1:$1,0)-MATCH($A$1,[2]characters!$1:$1,0)+1,FALSE)</f>
        <v>不幸の円環 ニーベルゲン</v>
      </c>
      <c r="E817" s="66">
        <v>106</v>
      </c>
      <c r="F817" s="3" t="str">
        <f ca="1">VLOOKUP($E817,OFFSET([2]characters!$A$1,0,0,COUNTA([2]characters!$A:$A),MATCH(F$1,[2]characters!$1:$1,0)-MATCH($A$1,[2]characters!$1:$1,0)+1),MATCH(F$1,[2]characters!$1:$1,0)-MATCH($A$1,[2]characters!$1:$1,0)+1,FALSE)</f>
        <v>グリーンラビット</v>
      </c>
      <c r="G817" s="66">
        <v>1</v>
      </c>
      <c r="H817" s="66">
        <v>1</v>
      </c>
      <c r="I817" s="66">
        <v>1</v>
      </c>
    </row>
    <row r="818" spans="1:9" x14ac:dyDescent="0.15">
      <c r="A818" s="66">
        <v>588</v>
      </c>
      <c r="B818" s="3" t="str">
        <f ca="1">VLOOKUP($A818,OFFSET([2]characters!$A$1,0,0,COUNTA([2]characters!$A:$A),MATCH(B$1,[2]characters!$1:$1,0)-MATCH($A$1,[2]characters!$1:$1,0)+1),MATCH(B$1,[2]characters!$1:$1,0)-MATCH($A$1,[2]characters!$1:$1,0)+1,FALSE)</f>
        <v>ニーベルゲン</v>
      </c>
      <c r="C818" s="93">
        <f ca="1">VLOOKUP($A818,OFFSET(fork_awake_units!$A$1,0,0,COUNTA(fork_awake_units!$A:$A),MATCH(C$1,fork_awake_units!$1:$1,0)-MATCH($A$1,fork_awake_units!$1:$1,0)+1),MATCH(C$1,fork_awake_units!$1:$1,0)-MATCH($A$1,fork_awake_units!$1:$1,0)+1,FALSE)</f>
        <v>589</v>
      </c>
      <c r="D818" s="3" t="str">
        <f ca="1">VLOOKUP($C818,OFFSET([2]characters!$A$1,0,0,COUNTA([2]characters!$A:$A),MATCH(D$1,[2]characters!$1:$1,0)-MATCH($A$1,[2]characters!$1:$1,0)+1),MATCH(D$1,[2]characters!$1:$1,0)-MATCH($A$1,[2]characters!$1:$1,0)+1,FALSE)</f>
        <v>不幸の円環 ニーベルゲン</v>
      </c>
      <c r="E818" s="66">
        <v>107</v>
      </c>
      <c r="F818" s="3" t="str">
        <f ca="1">VLOOKUP($E818,OFFSET([2]characters!$A$1,0,0,COUNTA([2]characters!$A:$A),MATCH(F$1,[2]characters!$1:$1,0)-MATCH($A$1,[2]characters!$1:$1,0)+1),MATCH(F$1,[2]characters!$1:$1,0)-MATCH($A$1,[2]characters!$1:$1,0)+1,FALSE)</f>
        <v>グリーンキャタップ</v>
      </c>
      <c r="G818" s="66">
        <v>3</v>
      </c>
      <c r="H818" s="66">
        <v>1</v>
      </c>
      <c r="I818" s="66">
        <v>1</v>
      </c>
    </row>
    <row r="819" spans="1:9" x14ac:dyDescent="0.15">
      <c r="A819" s="66">
        <v>589</v>
      </c>
      <c r="B819" s="3" t="str">
        <f ca="1">VLOOKUP($A819,OFFSET([2]characters!$A$1,0,0,COUNTA([2]characters!$A:$A),MATCH(B$1,[2]characters!$1:$1,0)-MATCH($A$1,[2]characters!$1:$1,0)+1),MATCH(B$1,[2]characters!$1:$1,0)-MATCH($A$1,[2]characters!$1:$1,0)+1,FALSE)</f>
        <v>不幸の円環 ニーベルゲン</v>
      </c>
      <c r="C819" s="93">
        <f ca="1">VLOOKUP($A819,OFFSET(fork_awake_units!$A$1,0,0,COUNTA(fork_awake_units!$A:$A),MATCH(C$1,fork_awake_units!$1:$1,0)-MATCH($A$1,fork_awake_units!$1:$1,0)+1),MATCH(C$1,fork_awake_units!$1:$1,0)-MATCH($A$1,fork_awake_units!$1:$1,0)+1,FALSE)</f>
        <v>590</v>
      </c>
      <c r="D819" s="3" t="str">
        <f ca="1">VLOOKUP($C819,OFFSET([2]characters!$A$1,0,0,COUNTA([2]characters!$A:$A),MATCH(D$1,[2]characters!$1:$1,0)-MATCH($A$1,[2]characters!$1:$1,0)+1),MATCH(D$1,[2]characters!$1:$1,0)-MATCH($A$1,[2]characters!$1:$1,0)+1,FALSE)</f>
        <v>永遠を廻る呪い ニーベルゲン</v>
      </c>
      <c r="E819" s="66">
        <v>106</v>
      </c>
      <c r="F819" s="3" t="str">
        <f ca="1">VLOOKUP($E819,OFFSET([2]characters!$A$1,0,0,COUNTA([2]characters!$A:$A),MATCH(F$1,[2]characters!$1:$1,0)-MATCH($A$1,[2]characters!$1:$1,0)+1),MATCH(F$1,[2]characters!$1:$1,0)-MATCH($A$1,[2]characters!$1:$1,0)+1,FALSE)</f>
        <v>グリーンラビット</v>
      </c>
      <c r="G819" s="66">
        <v>1</v>
      </c>
      <c r="H819" s="66">
        <v>1</v>
      </c>
      <c r="I819" s="66">
        <v>1</v>
      </c>
    </row>
    <row r="820" spans="1:9" x14ac:dyDescent="0.15">
      <c r="A820" s="66">
        <v>589</v>
      </c>
      <c r="B820" s="3" t="str">
        <f ca="1">VLOOKUP($A820,OFFSET([2]characters!$A$1,0,0,COUNTA([2]characters!$A:$A),MATCH(B$1,[2]characters!$1:$1,0)-MATCH($A$1,[2]characters!$1:$1,0)+1),MATCH(B$1,[2]characters!$1:$1,0)-MATCH($A$1,[2]characters!$1:$1,0)+1,FALSE)</f>
        <v>不幸の円環 ニーベルゲン</v>
      </c>
      <c r="C820" s="93">
        <f ca="1">VLOOKUP($A820,OFFSET(fork_awake_units!$A$1,0,0,COUNTA(fork_awake_units!$A:$A),MATCH(C$1,fork_awake_units!$1:$1,0)-MATCH($A$1,fork_awake_units!$1:$1,0)+1),MATCH(C$1,fork_awake_units!$1:$1,0)-MATCH($A$1,fork_awake_units!$1:$1,0)+1,FALSE)</f>
        <v>590</v>
      </c>
      <c r="D820" s="3" t="str">
        <f ca="1">VLOOKUP($C820,OFFSET([2]characters!$A$1,0,0,COUNTA([2]characters!$A:$A),MATCH(D$1,[2]characters!$1:$1,0)-MATCH($A$1,[2]characters!$1:$1,0)+1),MATCH(D$1,[2]characters!$1:$1,0)-MATCH($A$1,[2]characters!$1:$1,0)+1,FALSE)</f>
        <v>永遠を廻る呪い ニーベルゲン</v>
      </c>
      <c r="E820" s="66">
        <v>107</v>
      </c>
      <c r="F820" s="3" t="str">
        <f ca="1">VLOOKUP($E820,OFFSET([2]characters!$A$1,0,0,COUNTA([2]characters!$A:$A),MATCH(F$1,[2]characters!$1:$1,0)-MATCH($A$1,[2]characters!$1:$1,0)+1),MATCH(F$1,[2]characters!$1:$1,0)-MATCH($A$1,[2]characters!$1:$1,0)+1,FALSE)</f>
        <v>グリーンキャタップ</v>
      </c>
      <c r="G820" s="66">
        <v>2</v>
      </c>
      <c r="H820" s="66">
        <v>1</v>
      </c>
      <c r="I820" s="66">
        <v>1</v>
      </c>
    </row>
    <row r="821" spans="1:9" x14ac:dyDescent="0.15">
      <c r="A821" s="66">
        <v>589</v>
      </c>
      <c r="B821" s="3" t="str">
        <f ca="1">VLOOKUP($A821,OFFSET([2]characters!$A$1,0,0,COUNTA([2]characters!$A:$A),MATCH(B$1,[2]characters!$1:$1,0)-MATCH($A$1,[2]characters!$1:$1,0)+1),MATCH(B$1,[2]characters!$1:$1,0)-MATCH($A$1,[2]characters!$1:$1,0)+1,FALSE)</f>
        <v>不幸の円環 ニーベルゲン</v>
      </c>
      <c r="C821" s="93">
        <f ca="1">VLOOKUP($A821,OFFSET(fork_awake_units!$A$1,0,0,COUNTA(fork_awake_units!$A:$A),MATCH(C$1,fork_awake_units!$1:$1,0)-MATCH($A$1,fork_awake_units!$1:$1,0)+1),MATCH(C$1,fork_awake_units!$1:$1,0)-MATCH($A$1,fork_awake_units!$1:$1,0)+1,FALSE)</f>
        <v>590</v>
      </c>
      <c r="D821" s="3" t="str">
        <f ca="1">VLOOKUP($C821,OFFSET([2]characters!$A$1,0,0,COUNTA([2]characters!$A:$A),MATCH(D$1,[2]characters!$1:$1,0)-MATCH($A$1,[2]characters!$1:$1,0)+1),MATCH(D$1,[2]characters!$1:$1,0)-MATCH($A$1,[2]characters!$1:$1,0)+1,FALSE)</f>
        <v>永遠を廻る呪い ニーベルゲン</v>
      </c>
      <c r="E821" s="66">
        <v>108</v>
      </c>
      <c r="F821" s="3" t="str">
        <f ca="1">VLOOKUP($E821,OFFSET([2]characters!$A$1,0,0,COUNTA([2]characters!$A:$A),MATCH(F$1,[2]characters!$1:$1,0)-MATCH($A$1,[2]characters!$1:$1,0)+1),MATCH(F$1,[2]characters!$1:$1,0)-MATCH($A$1,[2]characters!$1:$1,0)+1,FALSE)</f>
        <v>森のマッドハッター</v>
      </c>
      <c r="G821" s="66">
        <v>2</v>
      </c>
      <c r="H821" s="66">
        <v>1</v>
      </c>
      <c r="I821" s="66">
        <v>1</v>
      </c>
    </row>
    <row r="822" spans="1:9" x14ac:dyDescent="0.15">
      <c r="A822" s="66">
        <v>591</v>
      </c>
      <c r="B822" s="3" t="str">
        <f ca="1">VLOOKUP($A822,OFFSET([2]characters!$A$1,0,0,COUNTA([2]characters!$A:$A),MATCH(B$1,[2]characters!$1:$1,0)-MATCH($A$1,[2]characters!$1:$1,0)+1),MATCH(B$1,[2]characters!$1:$1,0)-MATCH($A$1,[2]characters!$1:$1,0)+1,FALSE)</f>
        <v>ファフニール</v>
      </c>
      <c r="C822" s="93">
        <f ca="1">VLOOKUP($A822,OFFSET(fork_awake_units!$A$1,0,0,COUNTA(fork_awake_units!$A:$A),MATCH(C$1,fork_awake_units!$1:$1,0)-MATCH($A$1,fork_awake_units!$1:$1,0)+1),MATCH(C$1,fork_awake_units!$1:$1,0)-MATCH($A$1,fork_awake_units!$1:$1,0)+1,FALSE)</f>
        <v>592</v>
      </c>
      <c r="D822" s="3" t="str">
        <f ca="1">VLOOKUP($C822,OFFSET([2]characters!$A$1,0,0,COUNTA([2]characters!$A:$A),MATCH(D$1,[2]characters!$1:$1,0)-MATCH($A$1,[2]characters!$1:$1,0)+1),MATCH(D$1,[2]characters!$1:$1,0)-MATCH($A$1,[2]characters!$1:$1,0)+1,FALSE)</f>
        <v>財宝への執着 ファフニール</v>
      </c>
      <c r="E822" s="66">
        <v>110</v>
      </c>
      <c r="F822" s="3" t="str">
        <f ca="1">VLOOKUP($E822,OFFSET([2]characters!$A$1,0,0,COUNTA([2]characters!$A:$A),MATCH(F$1,[2]characters!$1:$1,0)-MATCH($A$1,[2]characters!$1:$1,0)+1),MATCH(F$1,[2]characters!$1:$1,0)-MATCH($A$1,[2]characters!$1:$1,0)+1,FALSE)</f>
        <v>ブルーラビット</v>
      </c>
      <c r="G822" s="66">
        <v>1</v>
      </c>
      <c r="H822" s="66">
        <v>1</v>
      </c>
      <c r="I822" s="66">
        <v>1</v>
      </c>
    </row>
    <row r="823" spans="1:9" x14ac:dyDescent="0.15">
      <c r="A823" s="66">
        <v>591</v>
      </c>
      <c r="B823" s="3" t="str">
        <f ca="1">VLOOKUP($A823,OFFSET([2]characters!$A$1,0,0,COUNTA([2]characters!$A:$A),MATCH(B$1,[2]characters!$1:$1,0)-MATCH($A$1,[2]characters!$1:$1,0)+1),MATCH(B$1,[2]characters!$1:$1,0)-MATCH($A$1,[2]characters!$1:$1,0)+1,FALSE)</f>
        <v>ファフニール</v>
      </c>
      <c r="C823" s="93">
        <f ca="1">VLOOKUP($A823,OFFSET(fork_awake_units!$A$1,0,0,COUNTA(fork_awake_units!$A:$A),MATCH(C$1,fork_awake_units!$1:$1,0)-MATCH($A$1,fork_awake_units!$1:$1,0)+1),MATCH(C$1,fork_awake_units!$1:$1,0)-MATCH($A$1,fork_awake_units!$1:$1,0)+1,FALSE)</f>
        <v>592</v>
      </c>
      <c r="D823" s="3" t="str">
        <f ca="1">VLOOKUP($C823,OFFSET([2]characters!$A$1,0,0,COUNTA([2]characters!$A:$A),MATCH(D$1,[2]characters!$1:$1,0)-MATCH($A$1,[2]characters!$1:$1,0)+1),MATCH(D$1,[2]characters!$1:$1,0)-MATCH($A$1,[2]characters!$1:$1,0)+1,FALSE)</f>
        <v>財宝への執着 ファフニール</v>
      </c>
      <c r="E823" s="66">
        <v>111</v>
      </c>
      <c r="F823" s="3" t="str">
        <f ca="1">VLOOKUP($E823,OFFSET([2]characters!$A$1,0,0,COUNTA([2]characters!$A:$A),MATCH(F$1,[2]characters!$1:$1,0)-MATCH($A$1,[2]characters!$1:$1,0)+1),MATCH(F$1,[2]characters!$1:$1,0)-MATCH($A$1,[2]characters!$1:$1,0)+1,FALSE)</f>
        <v>ブルーキャタップ</v>
      </c>
      <c r="G823" s="66">
        <v>3</v>
      </c>
      <c r="H823" s="66">
        <v>1</v>
      </c>
      <c r="I823" s="66">
        <v>1</v>
      </c>
    </row>
    <row r="824" spans="1:9" x14ac:dyDescent="0.15">
      <c r="A824" s="66">
        <v>592</v>
      </c>
      <c r="B824" s="3" t="str">
        <f ca="1">VLOOKUP($A824,OFFSET([2]characters!$A$1,0,0,COUNTA([2]characters!$A:$A),MATCH(B$1,[2]characters!$1:$1,0)-MATCH($A$1,[2]characters!$1:$1,0)+1),MATCH(B$1,[2]characters!$1:$1,0)-MATCH($A$1,[2]characters!$1:$1,0)+1,FALSE)</f>
        <v>財宝への執着 ファフニール</v>
      </c>
      <c r="C824" s="93">
        <f ca="1">VLOOKUP($A824,OFFSET(fork_awake_units!$A$1,0,0,COUNTA(fork_awake_units!$A:$A),MATCH(C$1,fork_awake_units!$1:$1,0)-MATCH($A$1,fork_awake_units!$1:$1,0)+1),MATCH(C$1,fork_awake_units!$1:$1,0)-MATCH($A$1,fork_awake_units!$1:$1,0)+1,FALSE)</f>
        <v>593</v>
      </c>
      <c r="D824" s="3" t="str">
        <f ca="1">VLOOKUP($C824,OFFSET([2]characters!$A$1,0,0,COUNTA([2]characters!$A:$A),MATCH(D$1,[2]characters!$1:$1,0)-MATCH($A$1,[2]characters!$1:$1,0)+1),MATCH(D$1,[2]characters!$1:$1,0)-MATCH($A$1,[2]characters!$1:$1,0)+1,FALSE)</f>
        <v>妄執する邪毒龍 ファフニール</v>
      </c>
      <c r="E824" s="66">
        <v>110</v>
      </c>
      <c r="F824" s="3" t="str">
        <f ca="1">VLOOKUP($E824,OFFSET([2]characters!$A$1,0,0,COUNTA([2]characters!$A:$A),MATCH(F$1,[2]characters!$1:$1,0)-MATCH($A$1,[2]characters!$1:$1,0)+1),MATCH(F$1,[2]characters!$1:$1,0)-MATCH($A$1,[2]characters!$1:$1,0)+1,FALSE)</f>
        <v>ブルーラビット</v>
      </c>
      <c r="G824" s="66">
        <v>1</v>
      </c>
      <c r="H824" s="66">
        <v>1</v>
      </c>
      <c r="I824" s="66">
        <v>1</v>
      </c>
    </row>
    <row r="825" spans="1:9" x14ac:dyDescent="0.15">
      <c r="A825" s="66">
        <v>592</v>
      </c>
      <c r="B825" s="3" t="str">
        <f ca="1">VLOOKUP($A825,OFFSET([2]characters!$A$1,0,0,COUNTA([2]characters!$A:$A),MATCH(B$1,[2]characters!$1:$1,0)-MATCH($A$1,[2]characters!$1:$1,0)+1),MATCH(B$1,[2]characters!$1:$1,0)-MATCH($A$1,[2]characters!$1:$1,0)+1,FALSE)</f>
        <v>財宝への執着 ファフニール</v>
      </c>
      <c r="C825" s="93">
        <f ca="1">VLOOKUP($A825,OFFSET(fork_awake_units!$A$1,0,0,COUNTA(fork_awake_units!$A:$A),MATCH(C$1,fork_awake_units!$1:$1,0)-MATCH($A$1,fork_awake_units!$1:$1,0)+1),MATCH(C$1,fork_awake_units!$1:$1,0)-MATCH($A$1,fork_awake_units!$1:$1,0)+1,FALSE)</f>
        <v>593</v>
      </c>
      <c r="D825" s="3" t="str">
        <f ca="1">VLOOKUP($C825,OFFSET([2]characters!$A$1,0,0,COUNTA([2]characters!$A:$A),MATCH(D$1,[2]characters!$1:$1,0)-MATCH($A$1,[2]characters!$1:$1,0)+1),MATCH(D$1,[2]characters!$1:$1,0)-MATCH($A$1,[2]characters!$1:$1,0)+1,FALSE)</f>
        <v>妄執する邪毒龍 ファフニール</v>
      </c>
      <c r="E825" s="66">
        <v>111</v>
      </c>
      <c r="F825" s="3" t="str">
        <f ca="1">VLOOKUP($E825,OFFSET([2]characters!$A$1,0,0,COUNTA([2]characters!$A:$A),MATCH(F$1,[2]characters!$1:$1,0)-MATCH($A$1,[2]characters!$1:$1,0)+1),MATCH(F$1,[2]characters!$1:$1,0)-MATCH($A$1,[2]characters!$1:$1,0)+1,FALSE)</f>
        <v>ブルーキャタップ</v>
      </c>
      <c r="G825" s="66">
        <v>2</v>
      </c>
      <c r="H825" s="66">
        <v>1</v>
      </c>
      <c r="I825" s="66">
        <v>1</v>
      </c>
    </row>
    <row r="826" spans="1:9" x14ac:dyDescent="0.15">
      <c r="A826" s="66">
        <v>592</v>
      </c>
      <c r="B826" s="3" t="str">
        <f ca="1">VLOOKUP($A826,OFFSET([2]characters!$A$1,0,0,COUNTA([2]characters!$A:$A),MATCH(B$1,[2]characters!$1:$1,0)-MATCH($A$1,[2]characters!$1:$1,0)+1),MATCH(B$1,[2]characters!$1:$1,0)-MATCH($A$1,[2]characters!$1:$1,0)+1,FALSE)</f>
        <v>財宝への執着 ファフニール</v>
      </c>
      <c r="C826" s="93">
        <f ca="1">VLOOKUP($A826,OFFSET(fork_awake_units!$A$1,0,0,COUNTA(fork_awake_units!$A:$A),MATCH(C$1,fork_awake_units!$1:$1,0)-MATCH($A$1,fork_awake_units!$1:$1,0)+1),MATCH(C$1,fork_awake_units!$1:$1,0)-MATCH($A$1,fork_awake_units!$1:$1,0)+1,FALSE)</f>
        <v>593</v>
      </c>
      <c r="D826" s="3" t="str">
        <f ca="1">VLOOKUP($C826,OFFSET([2]characters!$A$1,0,0,COUNTA([2]characters!$A:$A),MATCH(D$1,[2]characters!$1:$1,0)-MATCH($A$1,[2]characters!$1:$1,0)+1),MATCH(D$1,[2]characters!$1:$1,0)-MATCH($A$1,[2]characters!$1:$1,0)+1,FALSE)</f>
        <v>妄執する邪毒龍 ファフニール</v>
      </c>
      <c r="E826" s="66">
        <v>112</v>
      </c>
      <c r="F826" s="3" t="str">
        <f ca="1">VLOOKUP($E826,OFFSET([2]characters!$A$1,0,0,COUNTA([2]characters!$A:$A),MATCH(F$1,[2]characters!$1:$1,0)-MATCH($A$1,[2]characters!$1:$1,0)+1),MATCH(F$1,[2]characters!$1:$1,0)-MATCH($A$1,[2]characters!$1:$1,0)+1,FALSE)</f>
        <v>水のマッドハッター</v>
      </c>
      <c r="G826" s="66">
        <v>2</v>
      </c>
      <c r="H826" s="66">
        <v>1</v>
      </c>
      <c r="I826" s="66">
        <v>1</v>
      </c>
    </row>
    <row r="827" spans="1:9" x14ac:dyDescent="0.15">
      <c r="A827" s="66">
        <v>594</v>
      </c>
      <c r="B827" s="3" t="str">
        <f ca="1">VLOOKUP($A827,OFFSET([2]characters!$A$1,0,0,COUNTA([2]characters!$A:$A),MATCH(B$1,[2]characters!$1:$1,0)-MATCH($A$1,[2]characters!$1:$1,0)+1),MATCH(B$1,[2]characters!$1:$1,0)-MATCH($A$1,[2]characters!$1:$1,0)+1,FALSE)</f>
        <v>アルフヘイム</v>
      </c>
      <c r="C827" s="93">
        <f ca="1">VLOOKUP($A827,OFFSET(fork_awake_units!$A$1,0,0,COUNTA(fork_awake_units!$A:$A),MATCH(C$1,fork_awake_units!$1:$1,0)-MATCH($A$1,fork_awake_units!$1:$1,0)+1),MATCH(C$1,fork_awake_units!$1:$1,0)-MATCH($A$1,fork_awake_units!$1:$1,0)+1,FALSE)</f>
        <v>595</v>
      </c>
      <c r="D827" s="3" t="str">
        <f ca="1">VLOOKUP($C827,OFFSET([2]characters!$A$1,0,0,COUNTA([2]characters!$A:$A),MATCH(D$1,[2]characters!$1:$1,0)-MATCH($A$1,[2]characters!$1:$1,0)+1),MATCH(D$1,[2]characters!$1:$1,0)-MATCH($A$1,[2]characters!$1:$1,0)+1,FALSE)</f>
        <v>光華なる神域 アルフヘイム</v>
      </c>
      <c r="E827" s="66">
        <v>115</v>
      </c>
      <c r="F827" s="3" t="str">
        <f ca="1">VLOOKUP($E827,OFFSET([2]characters!$A$1,0,0,COUNTA([2]characters!$A:$A),MATCH(F$1,[2]characters!$1:$1,0)-MATCH($A$1,[2]characters!$1:$1,0)+1),MATCH(F$1,[2]characters!$1:$1,0)-MATCH($A$1,[2]characters!$1:$1,0)+1,FALSE)</f>
        <v>イエローキャタップ</v>
      </c>
      <c r="G827" s="66">
        <v>2</v>
      </c>
      <c r="H827" s="66">
        <v>1</v>
      </c>
      <c r="I827" s="66">
        <v>1</v>
      </c>
    </row>
    <row r="828" spans="1:9" x14ac:dyDescent="0.15">
      <c r="A828" s="66">
        <v>594</v>
      </c>
      <c r="B828" s="3" t="str">
        <f ca="1">VLOOKUP($A828,OFFSET([2]characters!$A$1,0,0,COUNTA([2]characters!$A:$A),MATCH(B$1,[2]characters!$1:$1,0)-MATCH($A$1,[2]characters!$1:$1,0)+1),MATCH(B$1,[2]characters!$1:$1,0)-MATCH($A$1,[2]characters!$1:$1,0)+1,FALSE)</f>
        <v>アルフヘイム</v>
      </c>
      <c r="C828" s="93">
        <f ca="1">VLOOKUP($A828,OFFSET(fork_awake_units!$A$1,0,0,COUNTA(fork_awake_units!$A:$A),MATCH(C$1,fork_awake_units!$1:$1,0)-MATCH($A$1,fork_awake_units!$1:$1,0)+1),MATCH(C$1,fork_awake_units!$1:$1,0)-MATCH($A$1,fork_awake_units!$1:$1,0)+1,FALSE)</f>
        <v>595</v>
      </c>
      <c r="D828" s="3" t="str">
        <f ca="1">VLOOKUP($C828,OFFSET([2]characters!$A$1,0,0,COUNTA([2]characters!$A:$A),MATCH(D$1,[2]characters!$1:$1,0)-MATCH($A$1,[2]characters!$1:$1,0)+1),MATCH(D$1,[2]characters!$1:$1,0)-MATCH($A$1,[2]characters!$1:$1,0)+1,FALSE)</f>
        <v>光華なる神域 アルフヘイム</v>
      </c>
      <c r="E828" s="66">
        <v>116</v>
      </c>
      <c r="F828" s="3" t="str">
        <f ca="1">VLOOKUP($E828,OFFSET([2]characters!$A$1,0,0,COUNTA([2]characters!$A:$A),MATCH(F$1,[2]characters!$1:$1,0)-MATCH($A$1,[2]characters!$1:$1,0)+1),MATCH(F$1,[2]characters!$1:$1,0)-MATCH($A$1,[2]characters!$1:$1,0)+1,FALSE)</f>
        <v>雷のマッドハッター</v>
      </c>
      <c r="G828" s="66">
        <v>1</v>
      </c>
      <c r="H828" s="66">
        <v>1</v>
      </c>
      <c r="I828" s="66">
        <v>1</v>
      </c>
    </row>
    <row r="829" spans="1:9" x14ac:dyDescent="0.15">
      <c r="A829" s="66">
        <v>594</v>
      </c>
      <c r="B829" s="3" t="str">
        <f ca="1">VLOOKUP($A829,OFFSET([2]characters!$A$1,0,0,COUNTA([2]characters!$A:$A),MATCH(B$1,[2]characters!$1:$1,0)-MATCH($A$1,[2]characters!$1:$1,0)+1),MATCH(B$1,[2]characters!$1:$1,0)-MATCH($A$1,[2]characters!$1:$1,0)+1,FALSE)</f>
        <v>アルフヘイム</v>
      </c>
      <c r="C829" s="93">
        <f ca="1">VLOOKUP($A829,OFFSET(fork_awake_units!$A$1,0,0,COUNTA(fork_awake_units!$A:$A),MATCH(C$1,fork_awake_units!$1:$1,0)-MATCH($A$1,fork_awake_units!$1:$1,0)+1),MATCH(C$1,fork_awake_units!$1:$1,0)-MATCH($A$1,fork_awake_units!$1:$1,0)+1,FALSE)</f>
        <v>595</v>
      </c>
      <c r="D829" s="3" t="str">
        <f ca="1">VLOOKUP($C829,OFFSET([2]characters!$A$1,0,0,COUNTA([2]characters!$A:$A),MATCH(D$1,[2]characters!$1:$1,0)-MATCH($A$1,[2]characters!$1:$1,0)+1),MATCH(D$1,[2]characters!$1:$1,0)-MATCH($A$1,[2]characters!$1:$1,0)+1,FALSE)</f>
        <v>光華なる神域 アルフヘイム</v>
      </c>
      <c r="E829" s="66">
        <v>274</v>
      </c>
      <c r="F829" s="3" t="str">
        <f ca="1">VLOOKUP($E829,OFFSET([2]characters!$A$1,0,0,COUNTA([2]characters!$A:$A),MATCH(F$1,[2]characters!$1:$1,0)-MATCH($A$1,[2]characters!$1:$1,0)+1),MATCH(F$1,[2]characters!$1:$1,0)-MATCH($A$1,[2]characters!$1:$1,0)+1,FALSE)</f>
        <v>砕棒のガエル</v>
      </c>
      <c r="G829" s="66">
        <v>1</v>
      </c>
      <c r="H829" s="66">
        <v>1</v>
      </c>
      <c r="I829" s="66">
        <v>1</v>
      </c>
    </row>
    <row r="830" spans="1:9" x14ac:dyDescent="0.15">
      <c r="A830" s="66">
        <v>594</v>
      </c>
      <c r="B830" s="3" t="str">
        <f ca="1">VLOOKUP($A830,OFFSET([2]characters!$A$1,0,0,COUNTA([2]characters!$A:$A),MATCH(B$1,[2]characters!$1:$1,0)-MATCH($A$1,[2]characters!$1:$1,0)+1),MATCH(B$1,[2]characters!$1:$1,0)-MATCH($A$1,[2]characters!$1:$1,0)+1,FALSE)</f>
        <v>アルフヘイム</v>
      </c>
      <c r="C830" s="93">
        <f ca="1">VLOOKUP($A830,OFFSET(fork_awake_units!$A$1,0,0,COUNTA(fork_awake_units!$A:$A),MATCH(C$1,fork_awake_units!$1:$1,0)-MATCH($A$1,fork_awake_units!$1:$1,0)+1),MATCH(C$1,fork_awake_units!$1:$1,0)-MATCH($A$1,fork_awake_units!$1:$1,0)+1,FALSE)</f>
        <v>595</v>
      </c>
      <c r="D830" s="3" t="str">
        <f ca="1">VLOOKUP($C830,OFFSET([2]characters!$A$1,0,0,COUNTA([2]characters!$A:$A),MATCH(D$1,[2]characters!$1:$1,0)-MATCH($A$1,[2]characters!$1:$1,0)+1),MATCH(D$1,[2]characters!$1:$1,0)-MATCH($A$1,[2]characters!$1:$1,0)+1,FALSE)</f>
        <v>光華なる神域 アルフヘイム</v>
      </c>
      <c r="E830" s="66">
        <v>458</v>
      </c>
      <c r="F830" s="3" t="str">
        <f ca="1">VLOOKUP($E830,OFFSET([2]characters!$A$1,0,0,COUNTA([2]characters!$A:$A),MATCH(F$1,[2]characters!$1:$1,0)-MATCH($A$1,[2]characters!$1:$1,0)+1),MATCH(F$1,[2]characters!$1:$1,0)-MATCH($A$1,[2]characters!$1:$1,0)+1,FALSE)</f>
        <v>嵐龍 スガル</v>
      </c>
      <c r="G830" s="66">
        <v>1</v>
      </c>
      <c r="H830" s="66">
        <v>1</v>
      </c>
      <c r="I830" s="66">
        <v>1</v>
      </c>
    </row>
    <row r="831" spans="1:9" x14ac:dyDescent="0.15">
      <c r="A831" s="66">
        <v>596</v>
      </c>
      <c r="B831" s="3" t="str">
        <f ca="1">VLOOKUP($A831,OFFSET([2]characters!$A$1,0,0,COUNTA([2]characters!$A:$A),MATCH(B$1,[2]characters!$1:$1,0)-MATCH($A$1,[2]characters!$1:$1,0)+1),MATCH(B$1,[2]characters!$1:$1,0)-MATCH($A$1,[2]characters!$1:$1,0)+1,FALSE)</f>
        <v>ムスペルヘイム</v>
      </c>
      <c r="C831" s="93">
        <f ca="1">VLOOKUP($A831,OFFSET(fork_awake_units!$A$1,0,0,COUNTA(fork_awake_units!$A:$A),MATCH(C$1,fork_awake_units!$1:$1,0)-MATCH($A$1,fork_awake_units!$1:$1,0)+1),MATCH(C$1,fork_awake_units!$1:$1,0)-MATCH($A$1,fork_awake_units!$1:$1,0)+1,FALSE)</f>
        <v>597</v>
      </c>
      <c r="D831" s="3" t="str">
        <f ca="1">VLOOKUP($C831,OFFSET([2]characters!$A$1,0,0,COUNTA([2]characters!$A:$A),MATCH(D$1,[2]characters!$1:$1,0)-MATCH($A$1,[2]characters!$1:$1,0)+1),MATCH(D$1,[2]characters!$1:$1,0)-MATCH($A$1,[2]characters!$1:$1,0)+1,FALSE)</f>
        <v>灼熱の魂 ムスペルヘイム</v>
      </c>
      <c r="E831" s="66">
        <v>102</v>
      </c>
      <c r="F831" s="3" t="str">
        <f ca="1">VLOOKUP($E831,OFFSET([2]characters!$A$1,0,0,COUNTA([2]characters!$A:$A),MATCH(F$1,[2]characters!$1:$1,0)-MATCH($A$1,[2]characters!$1:$1,0)+1),MATCH(F$1,[2]characters!$1:$1,0)-MATCH($A$1,[2]characters!$1:$1,0)+1,FALSE)</f>
        <v>レッドラビット</v>
      </c>
      <c r="G831" s="66">
        <v>1</v>
      </c>
      <c r="H831" s="66">
        <v>1</v>
      </c>
      <c r="I831" s="66">
        <v>1</v>
      </c>
    </row>
    <row r="832" spans="1:9" x14ac:dyDescent="0.15">
      <c r="A832" s="66">
        <v>596</v>
      </c>
      <c r="B832" s="3" t="str">
        <f ca="1">VLOOKUP($A832,OFFSET([2]characters!$A$1,0,0,COUNTA([2]characters!$A:$A),MATCH(B$1,[2]characters!$1:$1,0)-MATCH($A$1,[2]characters!$1:$1,0)+1),MATCH(B$1,[2]characters!$1:$1,0)-MATCH($A$1,[2]characters!$1:$1,0)+1,FALSE)</f>
        <v>ムスペルヘイム</v>
      </c>
      <c r="C832" s="93">
        <f ca="1">VLOOKUP($A832,OFFSET(fork_awake_units!$A$1,0,0,COUNTA(fork_awake_units!$A:$A),MATCH(C$1,fork_awake_units!$1:$1,0)-MATCH($A$1,fork_awake_units!$1:$1,0)+1),MATCH(C$1,fork_awake_units!$1:$1,0)-MATCH($A$1,fork_awake_units!$1:$1,0)+1,FALSE)</f>
        <v>597</v>
      </c>
      <c r="D832" s="3" t="str">
        <f ca="1">VLOOKUP($C832,OFFSET([2]characters!$A$1,0,0,COUNTA([2]characters!$A:$A),MATCH(D$1,[2]characters!$1:$1,0)-MATCH($A$1,[2]characters!$1:$1,0)+1),MATCH(D$1,[2]characters!$1:$1,0)-MATCH($A$1,[2]characters!$1:$1,0)+1,FALSE)</f>
        <v>灼熱の魂 ムスペルヘイム</v>
      </c>
      <c r="E832" s="66">
        <v>103</v>
      </c>
      <c r="F832" s="3" t="str">
        <f ca="1">VLOOKUP($E832,OFFSET([2]characters!$A$1,0,0,COUNTA([2]characters!$A:$A),MATCH(F$1,[2]characters!$1:$1,0)-MATCH($A$1,[2]characters!$1:$1,0)+1),MATCH(F$1,[2]characters!$1:$1,0)-MATCH($A$1,[2]characters!$1:$1,0)+1,FALSE)</f>
        <v>レッドキャタップ</v>
      </c>
      <c r="G832" s="66">
        <v>3</v>
      </c>
      <c r="H832" s="66">
        <v>1</v>
      </c>
      <c r="I832" s="66">
        <v>1</v>
      </c>
    </row>
    <row r="833" spans="1:9" x14ac:dyDescent="0.15">
      <c r="A833" s="66">
        <v>597</v>
      </c>
      <c r="B833" s="3" t="str">
        <f ca="1">VLOOKUP($A833,OFFSET([2]characters!$A$1,0,0,COUNTA([2]characters!$A:$A),MATCH(B$1,[2]characters!$1:$1,0)-MATCH($A$1,[2]characters!$1:$1,0)+1),MATCH(B$1,[2]characters!$1:$1,0)-MATCH($A$1,[2]characters!$1:$1,0)+1,FALSE)</f>
        <v>灼熱の魂 ムスペルヘイム</v>
      </c>
      <c r="C833" s="93">
        <f ca="1">VLOOKUP($A833,OFFSET(fork_awake_units!$A$1,0,0,COUNTA(fork_awake_units!$A:$A),MATCH(C$1,fork_awake_units!$1:$1,0)-MATCH($A$1,fork_awake_units!$1:$1,0)+1),MATCH(C$1,fork_awake_units!$1:$1,0)-MATCH($A$1,fork_awake_units!$1:$1,0)+1,FALSE)</f>
        <v>598</v>
      </c>
      <c r="D833" s="3" t="str">
        <f ca="1">VLOOKUP($C833,OFFSET([2]characters!$A$1,0,0,COUNTA([2]characters!$A:$A),MATCH(D$1,[2]characters!$1:$1,0)-MATCH($A$1,[2]characters!$1:$1,0)+1),MATCH(D$1,[2]characters!$1:$1,0)-MATCH($A$1,[2]characters!$1:$1,0)+1,FALSE)</f>
        <v>焼燃の情熱 ムスペルヘイム</v>
      </c>
      <c r="E833" s="66">
        <v>102</v>
      </c>
      <c r="F833" s="3" t="str">
        <f ca="1">VLOOKUP($E833,OFFSET([2]characters!$A$1,0,0,COUNTA([2]characters!$A:$A),MATCH(F$1,[2]characters!$1:$1,0)-MATCH($A$1,[2]characters!$1:$1,0)+1),MATCH(F$1,[2]characters!$1:$1,0)-MATCH($A$1,[2]characters!$1:$1,0)+1,FALSE)</f>
        <v>レッドラビット</v>
      </c>
      <c r="G833" s="66">
        <v>1</v>
      </c>
      <c r="H833" s="66">
        <v>1</v>
      </c>
      <c r="I833" s="66">
        <v>1</v>
      </c>
    </row>
    <row r="834" spans="1:9" x14ac:dyDescent="0.15">
      <c r="A834" s="66">
        <v>597</v>
      </c>
      <c r="B834" s="3" t="str">
        <f ca="1">VLOOKUP($A834,OFFSET([2]characters!$A$1,0,0,COUNTA([2]characters!$A:$A),MATCH(B$1,[2]characters!$1:$1,0)-MATCH($A$1,[2]characters!$1:$1,0)+1),MATCH(B$1,[2]characters!$1:$1,0)-MATCH($A$1,[2]characters!$1:$1,0)+1,FALSE)</f>
        <v>灼熱の魂 ムスペルヘイム</v>
      </c>
      <c r="C834" s="93">
        <f ca="1">VLOOKUP($A834,OFFSET(fork_awake_units!$A$1,0,0,COUNTA(fork_awake_units!$A:$A),MATCH(C$1,fork_awake_units!$1:$1,0)-MATCH($A$1,fork_awake_units!$1:$1,0)+1),MATCH(C$1,fork_awake_units!$1:$1,0)-MATCH($A$1,fork_awake_units!$1:$1,0)+1,FALSE)</f>
        <v>598</v>
      </c>
      <c r="D834" s="3" t="str">
        <f ca="1">VLOOKUP($C834,OFFSET([2]characters!$A$1,0,0,COUNTA([2]characters!$A:$A),MATCH(D$1,[2]characters!$1:$1,0)-MATCH($A$1,[2]characters!$1:$1,0)+1),MATCH(D$1,[2]characters!$1:$1,0)-MATCH($A$1,[2]characters!$1:$1,0)+1,FALSE)</f>
        <v>焼燃の情熱 ムスペルヘイム</v>
      </c>
      <c r="E834" s="66">
        <v>103</v>
      </c>
      <c r="F834" s="3" t="str">
        <f ca="1">VLOOKUP($E834,OFFSET([2]characters!$A$1,0,0,COUNTA([2]characters!$A:$A),MATCH(F$1,[2]characters!$1:$1,0)-MATCH($A$1,[2]characters!$1:$1,0)+1),MATCH(F$1,[2]characters!$1:$1,0)-MATCH($A$1,[2]characters!$1:$1,0)+1,FALSE)</f>
        <v>レッドキャタップ</v>
      </c>
      <c r="G834" s="66">
        <v>2</v>
      </c>
      <c r="H834" s="66">
        <v>1</v>
      </c>
      <c r="I834" s="66">
        <v>1</v>
      </c>
    </row>
    <row r="835" spans="1:9" x14ac:dyDescent="0.15">
      <c r="A835" s="66">
        <v>597</v>
      </c>
      <c r="B835" s="3" t="str">
        <f ca="1">VLOOKUP($A835,OFFSET([2]characters!$A$1,0,0,COUNTA([2]characters!$A:$A),MATCH(B$1,[2]characters!$1:$1,0)-MATCH($A$1,[2]characters!$1:$1,0)+1),MATCH(B$1,[2]characters!$1:$1,0)-MATCH($A$1,[2]characters!$1:$1,0)+1,FALSE)</f>
        <v>灼熱の魂 ムスペルヘイム</v>
      </c>
      <c r="C835" s="93">
        <f ca="1">VLOOKUP($A835,OFFSET(fork_awake_units!$A$1,0,0,COUNTA(fork_awake_units!$A:$A),MATCH(C$1,fork_awake_units!$1:$1,0)-MATCH($A$1,fork_awake_units!$1:$1,0)+1),MATCH(C$1,fork_awake_units!$1:$1,0)-MATCH($A$1,fork_awake_units!$1:$1,0)+1,FALSE)</f>
        <v>598</v>
      </c>
      <c r="D835" s="3" t="str">
        <f ca="1">VLOOKUP($C835,OFFSET([2]characters!$A$1,0,0,COUNTA([2]characters!$A:$A),MATCH(D$1,[2]characters!$1:$1,0)-MATCH($A$1,[2]characters!$1:$1,0)+1),MATCH(D$1,[2]characters!$1:$1,0)-MATCH($A$1,[2]characters!$1:$1,0)+1,FALSE)</f>
        <v>焼燃の情熱 ムスペルヘイム</v>
      </c>
      <c r="E835" s="66">
        <v>104</v>
      </c>
      <c r="F835" s="3" t="str">
        <f ca="1">VLOOKUP($E835,OFFSET([2]characters!$A$1,0,0,COUNTA([2]characters!$A:$A),MATCH(F$1,[2]characters!$1:$1,0)-MATCH($A$1,[2]characters!$1:$1,0)+1),MATCH(F$1,[2]characters!$1:$1,0)-MATCH($A$1,[2]characters!$1:$1,0)+1,FALSE)</f>
        <v>炎のマッドハッター</v>
      </c>
      <c r="G835" s="66">
        <v>2</v>
      </c>
      <c r="H835" s="66">
        <v>1</v>
      </c>
      <c r="I835" s="66">
        <v>1</v>
      </c>
    </row>
    <row r="836" spans="1:9" x14ac:dyDescent="0.15">
      <c r="A836" s="66">
        <v>599</v>
      </c>
      <c r="B836" s="3" t="str">
        <f ca="1">VLOOKUP($A836,OFFSET([2]characters!$A$1,0,0,COUNTA([2]characters!$A:$A),MATCH(B$1,[2]characters!$1:$1,0)-MATCH($A$1,[2]characters!$1:$1,0)+1),MATCH(B$1,[2]characters!$1:$1,0)-MATCH($A$1,[2]characters!$1:$1,0)+1,FALSE)</f>
        <v>ニーズヘッグ</v>
      </c>
      <c r="C836" s="93">
        <f ca="1">VLOOKUP($A836,OFFSET(fork_awake_units!$A$1,0,0,COUNTA(fork_awake_units!$A:$A),MATCH(C$1,fork_awake_units!$1:$1,0)-MATCH($A$1,fork_awake_units!$1:$1,0)+1),MATCH(C$1,fork_awake_units!$1:$1,0)-MATCH($A$1,fork_awake_units!$1:$1,0)+1,FALSE)</f>
        <v>600</v>
      </c>
      <c r="D836" s="3" t="str">
        <f ca="1">VLOOKUP($C836,OFFSET([2]characters!$A$1,0,0,COUNTA([2]characters!$A:$A),MATCH(D$1,[2]characters!$1:$1,0)-MATCH($A$1,[2]characters!$1:$1,0)+1),MATCH(D$1,[2]characters!$1:$1,0)-MATCH($A$1,[2]characters!$1:$1,0)+1,FALSE)</f>
        <v>界下に潜む蛇 ニーズヘッグ</v>
      </c>
      <c r="E836" s="66">
        <v>106</v>
      </c>
      <c r="F836" s="3" t="str">
        <f ca="1">VLOOKUP($E836,OFFSET([2]characters!$A$1,0,0,COUNTA([2]characters!$A:$A),MATCH(F$1,[2]characters!$1:$1,0)-MATCH($A$1,[2]characters!$1:$1,0)+1),MATCH(F$1,[2]characters!$1:$1,0)-MATCH($A$1,[2]characters!$1:$1,0)+1,FALSE)</f>
        <v>グリーンラビット</v>
      </c>
      <c r="G836" s="66">
        <v>1</v>
      </c>
      <c r="H836" s="66">
        <v>1</v>
      </c>
      <c r="I836" s="66">
        <v>1</v>
      </c>
    </row>
    <row r="837" spans="1:9" x14ac:dyDescent="0.15">
      <c r="A837" s="66">
        <v>599</v>
      </c>
      <c r="B837" s="3" t="str">
        <f ca="1">VLOOKUP($A837,OFFSET([2]characters!$A$1,0,0,COUNTA([2]characters!$A:$A),MATCH(B$1,[2]characters!$1:$1,0)-MATCH($A$1,[2]characters!$1:$1,0)+1),MATCH(B$1,[2]characters!$1:$1,0)-MATCH($A$1,[2]characters!$1:$1,0)+1,FALSE)</f>
        <v>ニーズヘッグ</v>
      </c>
      <c r="C837" s="93">
        <f ca="1">VLOOKUP($A837,OFFSET(fork_awake_units!$A$1,0,0,COUNTA(fork_awake_units!$A:$A),MATCH(C$1,fork_awake_units!$1:$1,0)-MATCH($A$1,fork_awake_units!$1:$1,0)+1),MATCH(C$1,fork_awake_units!$1:$1,0)-MATCH($A$1,fork_awake_units!$1:$1,0)+1,FALSE)</f>
        <v>600</v>
      </c>
      <c r="D837" s="3" t="str">
        <f ca="1">VLOOKUP($C837,OFFSET([2]characters!$A$1,0,0,COUNTA([2]characters!$A:$A),MATCH(D$1,[2]characters!$1:$1,0)-MATCH($A$1,[2]characters!$1:$1,0)+1),MATCH(D$1,[2]characters!$1:$1,0)-MATCH($A$1,[2]characters!$1:$1,0)+1,FALSE)</f>
        <v>界下に潜む蛇 ニーズヘッグ</v>
      </c>
      <c r="E837" s="66">
        <v>107</v>
      </c>
      <c r="F837" s="3" t="str">
        <f ca="1">VLOOKUP($E837,OFFSET([2]characters!$A$1,0,0,COUNTA([2]characters!$A:$A),MATCH(F$1,[2]characters!$1:$1,0)-MATCH($A$1,[2]characters!$1:$1,0)+1),MATCH(F$1,[2]characters!$1:$1,0)-MATCH($A$1,[2]characters!$1:$1,0)+1,FALSE)</f>
        <v>グリーンキャタップ</v>
      </c>
      <c r="G837" s="66">
        <v>3</v>
      </c>
      <c r="H837" s="66">
        <v>1</v>
      </c>
      <c r="I837" s="66">
        <v>1</v>
      </c>
    </row>
    <row r="838" spans="1:9" x14ac:dyDescent="0.15">
      <c r="A838" s="66">
        <v>600</v>
      </c>
      <c r="B838" s="3" t="str">
        <f ca="1">VLOOKUP($A838,OFFSET([2]characters!$A$1,0,0,COUNTA([2]characters!$A:$A),MATCH(B$1,[2]characters!$1:$1,0)-MATCH($A$1,[2]characters!$1:$1,0)+1),MATCH(B$1,[2]characters!$1:$1,0)-MATCH($A$1,[2]characters!$1:$1,0)+1,FALSE)</f>
        <v>界下に潜む蛇 ニーズヘッグ</v>
      </c>
      <c r="C838" s="93">
        <f ca="1">VLOOKUP($A838,OFFSET(fork_awake_units!$A$1,0,0,COUNTA(fork_awake_units!$A:$A),MATCH(C$1,fork_awake_units!$1:$1,0)-MATCH($A$1,fork_awake_units!$1:$1,0)+1),MATCH(C$1,fork_awake_units!$1:$1,0)-MATCH($A$1,fork_awake_units!$1:$1,0)+1,FALSE)</f>
        <v>601</v>
      </c>
      <c r="D838" s="3" t="str">
        <f ca="1">VLOOKUP($C838,OFFSET([2]characters!$A$1,0,0,COUNTA([2]characters!$A:$A),MATCH(D$1,[2]characters!$1:$1,0)-MATCH($A$1,[2]characters!$1:$1,0)+1),MATCH(D$1,[2]characters!$1:$1,0)-MATCH($A$1,[2]characters!$1:$1,0)+1,FALSE)</f>
        <v>界根蝕む悪食 ニーズヘッグ</v>
      </c>
      <c r="E838" s="66">
        <v>106</v>
      </c>
      <c r="F838" s="3" t="str">
        <f ca="1">VLOOKUP($E838,OFFSET([2]characters!$A$1,0,0,COUNTA([2]characters!$A:$A),MATCH(F$1,[2]characters!$1:$1,0)-MATCH($A$1,[2]characters!$1:$1,0)+1),MATCH(F$1,[2]characters!$1:$1,0)-MATCH($A$1,[2]characters!$1:$1,0)+1,FALSE)</f>
        <v>グリーンラビット</v>
      </c>
      <c r="G838" s="66">
        <v>1</v>
      </c>
      <c r="H838" s="66">
        <v>1</v>
      </c>
      <c r="I838" s="66">
        <v>1</v>
      </c>
    </row>
    <row r="839" spans="1:9" x14ac:dyDescent="0.15">
      <c r="A839" s="66">
        <v>600</v>
      </c>
      <c r="B839" s="3" t="str">
        <f ca="1">VLOOKUP($A839,OFFSET([2]characters!$A$1,0,0,COUNTA([2]characters!$A:$A),MATCH(B$1,[2]characters!$1:$1,0)-MATCH($A$1,[2]characters!$1:$1,0)+1),MATCH(B$1,[2]characters!$1:$1,0)-MATCH($A$1,[2]characters!$1:$1,0)+1,FALSE)</f>
        <v>界下に潜む蛇 ニーズヘッグ</v>
      </c>
      <c r="C839" s="93">
        <f ca="1">VLOOKUP($A839,OFFSET(fork_awake_units!$A$1,0,0,COUNTA(fork_awake_units!$A:$A),MATCH(C$1,fork_awake_units!$1:$1,0)-MATCH($A$1,fork_awake_units!$1:$1,0)+1),MATCH(C$1,fork_awake_units!$1:$1,0)-MATCH($A$1,fork_awake_units!$1:$1,0)+1,FALSE)</f>
        <v>601</v>
      </c>
      <c r="D839" s="3" t="str">
        <f ca="1">VLOOKUP($C839,OFFSET([2]characters!$A$1,0,0,COUNTA([2]characters!$A:$A),MATCH(D$1,[2]characters!$1:$1,0)-MATCH($A$1,[2]characters!$1:$1,0)+1),MATCH(D$1,[2]characters!$1:$1,0)-MATCH($A$1,[2]characters!$1:$1,0)+1,FALSE)</f>
        <v>界根蝕む悪食 ニーズヘッグ</v>
      </c>
      <c r="E839" s="66">
        <v>107</v>
      </c>
      <c r="F839" s="3" t="str">
        <f ca="1">VLOOKUP($E839,OFFSET([2]characters!$A$1,0,0,COUNTA([2]characters!$A:$A),MATCH(F$1,[2]characters!$1:$1,0)-MATCH($A$1,[2]characters!$1:$1,0)+1),MATCH(F$1,[2]characters!$1:$1,0)-MATCH($A$1,[2]characters!$1:$1,0)+1,FALSE)</f>
        <v>グリーンキャタップ</v>
      </c>
      <c r="G839" s="66">
        <v>2</v>
      </c>
      <c r="H839" s="66">
        <v>1</v>
      </c>
      <c r="I839" s="66">
        <v>1</v>
      </c>
    </row>
    <row r="840" spans="1:9" x14ac:dyDescent="0.15">
      <c r="A840" s="66">
        <v>600</v>
      </c>
      <c r="B840" s="3" t="str">
        <f ca="1">VLOOKUP($A840,OFFSET([2]characters!$A$1,0,0,COUNTA([2]characters!$A:$A),MATCH(B$1,[2]characters!$1:$1,0)-MATCH($A$1,[2]characters!$1:$1,0)+1),MATCH(B$1,[2]characters!$1:$1,0)-MATCH($A$1,[2]characters!$1:$1,0)+1,FALSE)</f>
        <v>界下に潜む蛇 ニーズヘッグ</v>
      </c>
      <c r="C840" s="93">
        <f ca="1">VLOOKUP($A840,OFFSET(fork_awake_units!$A$1,0,0,COUNTA(fork_awake_units!$A:$A),MATCH(C$1,fork_awake_units!$1:$1,0)-MATCH($A$1,fork_awake_units!$1:$1,0)+1),MATCH(C$1,fork_awake_units!$1:$1,0)-MATCH($A$1,fork_awake_units!$1:$1,0)+1,FALSE)</f>
        <v>601</v>
      </c>
      <c r="D840" s="3" t="str">
        <f ca="1">VLOOKUP($C840,OFFSET([2]characters!$A$1,0,0,COUNTA([2]characters!$A:$A),MATCH(D$1,[2]characters!$1:$1,0)-MATCH($A$1,[2]characters!$1:$1,0)+1),MATCH(D$1,[2]characters!$1:$1,0)-MATCH($A$1,[2]characters!$1:$1,0)+1,FALSE)</f>
        <v>界根蝕む悪食 ニーズヘッグ</v>
      </c>
      <c r="E840" s="66">
        <v>108</v>
      </c>
      <c r="F840" s="3" t="str">
        <f ca="1">VLOOKUP($E840,OFFSET([2]characters!$A$1,0,0,COUNTA([2]characters!$A:$A),MATCH(F$1,[2]characters!$1:$1,0)-MATCH($A$1,[2]characters!$1:$1,0)+1),MATCH(F$1,[2]characters!$1:$1,0)-MATCH($A$1,[2]characters!$1:$1,0)+1,FALSE)</f>
        <v>森のマッドハッター</v>
      </c>
      <c r="G840" s="66">
        <v>2</v>
      </c>
      <c r="H840" s="66">
        <v>1</v>
      </c>
      <c r="I840" s="66">
        <v>1</v>
      </c>
    </row>
    <row r="841" spans="1:9" x14ac:dyDescent="0.15">
      <c r="A841" s="66">
        <v>602</v>
      </c>
      <c r="B841" s="3" t="str">
        <f ca="1">VLOOKUP($A841,OFFSET([2]characters!$A$1,0,0,COUNTA([2]characters!$A:$A),MATCH(B$1,[2]characters!$1:$1,0)-MATCH($A$1,[2]characters!$1:$1,0)+1),MATCH(B$1,[2]characters!$1:$1,0)-MATCH($A$1,[2]characters!$1:$1,0)+1,FALSE)</f>
        <v>フレイヤ</v>
      </c>
      <c r="C841" s="93">
        <f ca="1">VLOOKUP($A841,OFFSET(fork_awake_units!$A$1,0,0,COUNTA(fork_awake_units!$A:$A),MATCH(C$1,fork_awake_units!$1:$1,0)-MATCH($A$1,fork_awake_units!$1:$1,0)+1),MATCH(C$1,fork_awake_units!$1:$1,0)-MATCH($A$1,fork_awake_units!$1:$1,0)+1,FALSE)</f>
        <v>603</v>
      </c>
      <c r="D841" s="3" t="str">
        <f ca="1">VLOOKUP($C841,OFFSET([2]characters!$A$1,0,0,COUNTA([2]characters!$A:$A),MATCH(D$1,[2]characters!$1:$1,0)-MATCH($A$1,[2]characters!$1:$1,0)+1),MATCH(D$1,[2]characters!$1:$1,0)-MATCH($A$1,[2]characters!$1:$1,0)+1,FALSE)</f>
        <v>掌愛の豊穣女神 フレイヤ</v>
      </c>
      <c r="E841" s="66">
        <v>111</v>
      </c>
      <c r="F841" s="3" t="str">
        <f ca="1">VLOOKUP($E841,OFFSET([2]characters!$A$1,0,0,COUNTA([2]characters!$A:$A),MATCH(F$1,[2]characters!$1:$1,0)-MATCH($A$1,[2]characters!$1:$1,0)+1),MATCH(F$1,[2]characters!$1:$1,0)-MATCH($A$1,[2]characters!$1:$1,0)+1,FALSE)</f>
        <v>ブルーキャタップ</v>
      </c>
      <c r="G841" s="66">
        <v>2</v>
      </c>
      <c r="H841" s="66">
        <v>1</v>
      </c>
      <c r="I841" s="66">
        <v>1</v>
      </c>
    </row>
    <row r="842" spans="1:9" x14ac:dyDescent="0.15">
      <c r="A842" s="66">
        <v>602</v>
      </c>
      <c r="B842" s="3" t="str">
        <f ca="1">VLOOKUP($A842,OFFSET([2]characters!$A$1,0,0,COUNTA([2]characters!$A:$A),MATCH(B$1,[2]characters!$1:$1,0)-MATCH($A$1,[2]characters!$1:$1,0)+1),MATCH(B$1,[2]characters!$1:$1,0)-MATCH($A$1,[2]characters!$1:$1,0)+1,FALSE)</f>
        <v>フレイヤ</v>
      </c>
      <c r="C842" s="93">
        <f ca="1">VLOOKUP($A842,OFFSET(fork_awake_units!$A$1,0,0,COUNTA(fork_awake_units!$A:$A),MATCH(C$1,fork_awake_units!$1:$1,0)-MATCH($A$1,fork_awake_units!$1:$1,0)+1),MATCH(C$1,fork_awake_units!$1:$1,0)-MATCH($A$1,fork_awake_units!$1:$1,0)+1,FALSE)</f>
        <v>603</v>
      </c>
      <c r="D842" s="3" t="str">
        <f ca="1">VLOOKUP($C842,OFFSET([2]characters!$A$1,0,0,COUNTA([2]characters!$A:$A),MATCH(D$1,[2]characters!$1:$1,0)-MATCH($A$1,[2]characters!$1:$1,0)+1),MATCH(D$1,[2]characters!$1:$1,0)-MATCH($A$1,[2]characters!$1:$1,0)+1,FALSE)</f>
        <v>掌愛の豊穣女神 フレイヤ</v>
      </c>
      <c r="E842" s="66">
        <v>112</v>
      </c>
      <c r="F842" s="3" t="str">
        <f ca="1">VLOOKUP($E842,OFFSET([2]characters!$A$1,0,0,COUNTA([2]characters!$A:$A),MATCH(F$1,[2]characters!$1:$1,0)-MATCH($A$1,[2]characters!$1:$1,0)+1),MATCH(F$1,[2]characters!$1:$1,0)-MATCH($A$1,[2]characters!$1:$1,0)+1,FALSE)</f>
        <v>水のマッドハッター</v>
      </c>
      <c r="G842" s="66">
        <v>1</v>
      </c>
      <c r="H842" s="66">
        <v>1</v>
      </c>
      <c r="I842" s="66">
        <v>1</v>
      </c>
    </row>
    <row r="843" spans="1:9" x14ac:dyDescent="0.15">
      <c r="A843" s="66">
        <v>602</v>
      </c>
      <c r="B843" s="3" t="str">
        <f ca="1">VLOOKUP($A843,OFFSET([2]characters!$A$1,0,0,COUNTA([2]characters!$A:$A),MATCH(B$1,[2]characters!$1:$1,0)-MATCH($A$1,[2]characters!$1:$1,0)+1),MATCH(B$1,[2]characters!$1:$1,0)-MATCH($A$1,[2]characters!$1:$1,0)+1,FALSE)</f>
        <v>フレイヤ</v>
      </c>
      <c r="C843" s="93">
        <f ca="1">VLOOKUP($A843,OFFSET(fork_awake_units!$A$1,0,0,COUNTA(fork_awake_units!$A:$A),MATCH(C$1,fork_awake_units!$1:$1,0)-MATCH($A$1,fork_awake_units!$1:$1,0)+1),MATCH(C$1,fork_awake_units!$1:$1,0)-MATCH($A$1,fork_awake_units!$1:$1,0)+1,FALSE)</f>
        <v>603</v>
      </c>
      <c r="D843" s="3" t="str">
        <f ca="1">VLOOKUP($C843,OFFSET([2]characters!$A$1,0,0,COUNTA([2]characters!$A:$A),MATCH(D$1,[2]characters!$1:$1,0)-MATCH($A$1,[2]characters!$1:$1,0)+1),MATCH(D$1,[2]characters!$1:$1,0)-MATCH($A$1,[2]characters!$1:$1,0)+1,FALSE)</f>
        <v>掌愛の豊穣女神 フレイヤ</v>
      </c>
      <c r="E843" s="66">
        <v>502</v>
      </c>
      <c r="F843" s="3" t="str">
        <f ca="1">VLOOKUP($E843,OFFSET([2]characters!$A$1,0,0,COUNTA([2]characters!$A:$A),MATCH(F$1,[2]characters!$1:$1,0)-MATCH($A$1,[2]characters!$1:$1,0)+1),MATCH(F$1,[2]characters!$1:$1,0)-MATCH($A$1,[2]characters!$1:$1,0)+1,FALSE)</f>
        <v>テラベル</v>
      </c>
      <c r="G843" s="66">
        <v>1</v>
      </c>
      <c r="H843" s="66">
        <v>1</v>
      </c>
      <c r="I843" s="66">
        <v>1</v>
      </c>
    </row>
    <row r="844" spans="1:9" x14ac:dyDescent="0.15">
      <c r="A844" s="66">
        <v>602</v>
      </c>
      <c r="B844" s="3" t="str">
        <f ca="1">VLOOKUP($A844,OFFSET([2]characters!$A$1,0,0,COUNTA([2]characters!$A:$A),MATCH(B$1,[2]characters!$1:$1,0)-MATCH($A$1,[2]characters!$1:$1,0)+1),MATCH(B$1,[2]characters!$1:$1,0)-MATCH($A$1,[2]characters!$1:$1,0)+1,FALSE)</f>
        <v>フレイヤ</v>
      </c>
      <c r="C844" s="93">
        <f ca="1">VLOOKUP($A844,OFFSET(fork_awake_units!$A$1,0,0,COUNTA(fork_awake_units!$A:$A),MATCH(C$1,fork_awake_units!$1:$1,0)-MATCH($A$1,fork_awake_units!$1:$1,0)+1),MATCH(C$1,fork_awake_units!$1:$1,0)-MATCH($A$1,fork_awake_units!$1:$1,0)+1,FALSE)</f>
        <v>603</v>
      </c>
      <c r="D844" s="3" t="str">
        <f ca="1">VLOOKUP($C844,OFFSET([2]characters!$A$1,0,0,COUNTA([2]characters!$A:$A),MATCH(D$1,[2]characters!$1:$1,0)-MATCH($A$1,[2]characters!$1:$1,0)+1),MATCH(D$1,[2]characters!$1:$1,0)-MATCH($A$1,[2]characters!$1:$1,0)+1,FALSE)</f>
        <v>掌愛の豊穣女神 フレイヤ</v>
      </c>
      <c r="E844" s="66">
        <v>506</v>
      </c>
      <c r="F844" s="3" t="str">
        <f ca="1">VLOOKUP($E844,OFFSET([2]characters!$A$1,0,0,COUNTA([2]characters!$A:$A),MATCH(F$1,[2]characters!$1:$1,0)-MATCH($A$1,[2]characters!$1:$1,0)+1),MATCH(F$1,[2]characters!$1:$1,0)-MATCH($A$1,[2]characters!$1:$1,0)+1,FALSE)</f>
        <v>ゴーテル</v>
      </c>
      <c r="G844" s="66">
        <v>1</v>
      </c>
      <c r="H844" s="66">
        <v>1</v>
      </c>
      <c r="I844" s="66">
        <v>1</v>
      </c>
    </row>
    <row r="845" spans="1:9" x14ac:dyDescent="0.15">
      <c r="A845" s="66">
        <v>604</v>
      </c>
      <c r="B845" s="3" t="str">
        <f ca="1">VLOOKUP($A845,OFFSET([2]characters!$A$1,0,0,COUNTA([2]characters!$A:$A),MATCH(B$1,[2]characters!$1:$1,0)-MATCH($A$1,[2]characters!$1:$1,0)+1),MATCH(B$1,[2]characters!$1:$1,0)-MATCH($A$1,[2]characters!$1:$1,0)+1,FALSE)</f>
        <v>バルドル</v>
      </c>
      <c r="C845" s="93">
        <f ca="1">VLOOKUP($A845,OFFSET(fork_awake_units!$A$1,0,0,COUNTA(fork_awake_units!$A:$A),MATCH(C$1,fork_awake_units!$1:$1,0)-MATCH($A$1,fork_awake_units!$1:$1,0)+1),MATCH(C$1,fork_awake_units!$1:$1,0)-MATCH($A$1,fork_awake_units!$1:$1,0)+1,FALSE)</f>
        <v>605</v>
      </c>
      <c r="D845" s="3" t="str">
        <f ca="1">VLOOKUP($C845,OFFSET([2]characters!$A$1,0,0,COUNTA([2]characters!$A:$A),MATCH(D$1,[2]characters!$1:$1,0)-MATCH($A$1,[2]characters!$1:$1,0)+1),MATCH(D$1,[2]characters!$1:$1,0)-MATCH($A$1,[2]characters!$1:$1,0)+1,FALSE)</f>
        <v>祝福される光耀 バルドル</v>
      </c>
      <c r="E845" s="66">
        <v>114</v>
      </c>
      <c r="F845" s="3" t="str">
        <f ca="1">VLOOKUP($E845,OFFSET([2]characters!$A$1,0,0,COUNTA([2]characters!$A:$A),MATCH(F$1,[2]characters!$1:$1,0)-MATCH($A$1,[2]characters!$1:$1,0)+1),MATCH(F$1,[2]characters!$1:$1,0)-MATCH($A$1,[2]characters!$1:$1,0)+1,FALSE)</f>
        <v>イエローラビット</v>
      </c>
      <c r="G845" s="66">
        <v>1</v>
      </c>
      <c r="H845" s="66">
        <v>1</v>
      </c>
      <c r="I845" s="66">
        <v>1</v>
      </c>
    </row>
    <row r="846" spans="1:9" x14ac:dyDescent="0.15">
      <c r="A846" s="66">
        <v>604</v>
      </c>
      <c r="B846" s="3" t="str">
        <f ca="1">VLOOKUP($A846,OFFSET([2]characters!$A$1,0,0,COUNTA([2]characters!$A:$A),MATCH(B$1,[2]characters!$1:$1,0)-MATCH($A$1,[2]characters!$1:$1,0)+1),MATCH(B$1,[2]characters!$1:$1,0)-MATCH($A$1,[2]characters!$1:$1,0)+1,FALSE)</f>
        <v>バルドル</v>
      </c>
      <c r="C846" s="93">
        <f ca="1">VLOOKUP($A846,OFFSET(fork_awake_units!$A$1,0,0,COUNTA(fork_awake_units!$A:$A),MATCH(C$1,fork_awake_units!$1:$1,0)-MATCH($A$1,fork_awake_units!$1:$1,0)+1),MATCH(C$1,fork_awake_units!$1:$1,0)-MATCH($A$1,fork_awake_units!$1:$1,0)+1,FALSE)</f>
        <v>605</v>
      </c>
      <c r="D846" s="3" t="str">
        <f ca="1">VLOOKUP($C846,OFFSET([2]characters!$A$1,0,0,COUNTA([2]characters!$A:$A),MATCH(D$1,[2]characters!$1:$1,0)-MATCH($A$1,[2]characters!$1:$1,0)+1),MATCH(D$1,[2]characters!$1:$1,0)-MATCH($A$1,[2]characters!$1:$1,0)+1,FALSE)</f>
        <v>祝福される光耀 バルドル</v>
      </c>
      <c r="E846" s="66">
        <v>115</v>
      </c>
      <c r="F846" s="3" t="str">
        <f ca="1">VLOOKUP($E846,OFFSET([2]characters!$A$1,0,0,COUNTA([2]characters!$A:$A),MATCH(F$1,[2]characters!$1:$1,0)-MATCH($A$1,[2]characters!$1:$1,0)+1),MATCH(F$1,[2]characters!$1:$1,0)-MATCH($A$1,[2]characters!$1:$1,0)+1,FALSE)</f>
        <v>イエローキャタップ</v>
      </c>
      <c r="G846" s="66">
        <v>3</v>
      </c>
      <c r="H846" s="66">
        <v>1</v>
      </c>
      <c r="I846" s="66">
        <v>1</v>
      </c>
    </row>
    <row r="847" spans="1:9" x14ac:dyDescent="0.15">
      <c r="A847" s="66">
        <v>605</v>
      </c>
      <c r="B847" s="3" t="str">
        <f ca="1">VLOOKUP($A847,OFFSET([2]characters!$A$1,0,0,COUNTA([2]characters!$A:$A),MATCH(B$1,[2]characters!$1:$1,0)-MATCH($A$1,[2]characters!$1:$1,0)+1),MATCH(B$1,[2]characters!$1:$1,0)-MATCH($A$1,[2]characters!$1:$1,0)+1,FALSE)</f>
        <v>祝福される光耀 バルドル</v>
      </c>
      <c r="C847" s="93">
        <f ca="1">VLOOKUP($A847,OFFSET(fork_awake_units!$A$1,0,0,COUNTA(fork_awake_units!$A:$A),MATCH(C$1,fork_awake_units!$1:$1,0)-MATCH($A$1,fork_awake_units!$1:$1,0)+1),MATCH(C$1,fork_awake_units!$1:$1,0)-MATCH($A$1,fork_awake_units!$1:$1,0)+1,FALSE)</f>
        <v>606</v>
      </c>
      <c r="D847" s="3" t="str">
        <f ca="1">VLOOKUP($C847,OFFSET([2]characters!$A$1,0,0,COUNTA([2]characters!$A:$A),MATCH(D$1,[2]characters!$1:$1,0)-MATCH($A$1,[2]characters!$1:$1,0)+1),MATCH(D$1,[2]characters!$1:$1,0)-MATCH($A$1,[2]characters!$1:$1,0)+1,FALSE)</f>
        <v>冀望の光芒 バルドル</v>
      </c>
      <c r="E847" s="66">
        <v>114</v>
      </c>
      <c r="F847" s="3" t="str">
        <f ca="1">VLOOKUP($E847,OFFSET([2]characters!$A$1,0,0,COUNTA([2]characters!$A:$A),MATCH(F$1,[2]characters!$1:$1,0)-MATCH($A$1,[2]characters!$1:$1,0)+1),MATCH(F$1,[2]characters!$1:$1,0)-MATCH($A$1,[2]characters!$1:$1,0)+1,FALSE)</f>
        <v>イエローラビット</v>
      </c>
      <c r="G847" s="66">
        <v>1</v>
      </c>
      <c r="H847" s="66">
        <v>1</v>
      </c>
      <c r="I847" s="66">
        <v>1</v>
      </c>
    </row>
    <row r="848" spans="1:9" x14ac:dyDescent="0.15">
      <c r="A848" s="66">
        <v>605</v>
      </c>
      <c r="B848" s="3" t="str">
        <f ca="1">VLOOKUP($A848,OFFSET([2]characters!$A$1,0,0,COUNTA([2]characters!$A:$A),MATCH(B$1,[2]characters!$1:$1,0)-MATCH($A$1,[2]characters!$1:$1,0)+1),MATCH(B$1,[2]characters!$1:$1,0)-MATCH($A$1,[2]characters!$1:$1,0)+1,FALSE)</f>
        <v>祝福される光耀 バルドル</v>
      </c>
      <c r="C848" s="93">
        <f ca="1">VLOOKUP($A848,OFFSET(fork_awake_units!$A$1,0,0,COUNTA(fork_awake_units!$A:$A),MATCH(C$1,fork_awake_units!$1:$1,0)-MATCH($A$1,fork_awake_units!$1:$1,0)+1),MATCH(C$1,fork_awake_units!$1:$1,0)-MATCH($A$1,fork_awake_units!$1:$1,0)+1,FALSE)</f>
        <v>606</v>
      </c>
      <c r="D848" s="3" t="str">
        <f ca="1">VLOOKUP($C848,OFFSET([2]characters!$A$1,0,0,COUNTA([2]characters!$A:$A),MATCH(D$1,[2]characters!$1:$1,0)-MATCH($A$1,[2]characters!$1:$1,0)+1),MATCH(D$1,[2]characters!$1:$1,0)-MATCH($A$1,[2]characters!$1:$1,0)+1,FALSE)</f>
        <v>冀望の光芒 バルドル</v>
      </c>
      <c r="E848" s="66">
        <v>115</v>
      </c>
      <c r="F848" s="3" t="str">
        <f ca="1">VLOOKUP($E848,OFFSET([2]characters!$A$1,0,0,COUNTA([2]characters!$A:$A),MATCH(F$1,[2]characters!$1:$1,0)-MATCH($A$1,[2]characters!$1:$1,0)+1),MATCH(F$1,[2]characters!$1:$1,0)-MATCH($A$1,[2]characters!$1:$1,0)+1,FALSE)</f>
        <v>イエローキャタップ</v>
      </c>
      <c r="G848" s="66">
        <v>2</v>
      </c>
      <c r="H848" s="66">
        <v>1</v>
      </c>
      <c r="I848" s="66">
        <v>1</v>
      </c>
    </row>
    <row r="849" spans="1:9" x14ac:dyDescent="0.15">
      <c r="A849" s="66">
        <v>605</v>
      </c>
      <c r="B849" s="3" t="str">
        <f ca="1">VLOOKUP($A849,OFFSET([2]characters!$A$1,0,0,COUNTA([2]characters!$A:$A),MATCH(B$1,[2]characters!$1:$1,0)-MATCH($A$1,[2]characters!$1:$1,0)+1),MATCH(B$1,[2]characters!$1:$1,0)-MATCH($A$1,[2]characters!$1:$1,0)+1,FALSE)</f>
        <v>祝福される光耀 バルドル</v>
      </c>
      <c r="C849" s="93">
        <f ca="1">VLOOKUP($A849,OFFSET(fork_awake_units!$A$1,0,0,COUNTA(fork_awake_units!$A:$A),MATCH(C$1,fork_awake_units!$1:$1,0)-MATCH($A$1,fork_awake_units!$1:$1,0)+1),MATCH(C$1,fork_awake_units!$1:$1,0)-MATCH($A$1,fork_awake_units!$1:$1,0)+1,FALSE)</f>
        <v>606</v>
      </c>
      <c r="D849" s="3" t="str">
        <f ca="1">VLOOKUP($C849,OFFSET([2]characters!$A$1,0,0,COUNTA([2]characters!$A:$A),MATCH(D$1,[2]characters!$1:$1,0)-MATCH($A$1,[2]characters!$1:$1,0)+1),MATCH(D$1,[2]characters!$1:$1,0)-MATCH($A$1,[2]characters!$1:$1,0)+1,FALSE)</f>
        <v>冀望の光芒 バルドル</v>
      </c>
      <c r="E849" s="66">
        <v>116</v>
      </c>
      <c r="F849" s="3" t="str">
        <f ca="1">VLOOKUP($E849,OFFSET([2]characters!$A$1,0,0,COUNTA([2]characters!$A:$A),MATCH(F$1,[2]characters!$1:$1,0)-MATCH($A$1,[2]characters!$1:$1,0)+1),MATCH(F$1,[2]characters!$1:$1,0)-MATCH($A$1,[2]characters!$1:$1,0)+1,FALSE)</f>
        <v>雷のマッドハッター</v>
      </c>
      <c r="G849" s="66">
        <v>2</v>
      </c>
      <c r="H849" s="66">
        <v>1</v>
      </c>
      <c r="I849" s="66">
        <v>1</v>
      </c>
    </row>
    <row r="850" spans="1:9" x14ac:dyDescent="0.15">
      <c r="A850" s="66">
        <v>607</v>
      </c>
      <c r="B850" s="3" t="str">
        <f ca="1">VLOOKUP($A850,OFFSET([2]characters!$A$1,0,0,COUNTA([2]characters!$A:$A),MATCH(B$1,[2]characters!$1:$1,0)-MATCH($A$1,[2]characters!$1:$1,0)+1),MATCH(B$1,[2]characters!$1:$1,0)-MATCH($A$1,[2]characters!$1:$1,0)+1,FALSE)</f>
        <v>メガ攻めの果実</v>
      </c>
      <c r="C850" s="93">
        <f ca="1">VLOOKUP($A850,OFFSET(fork_awake_units!$A$1,0,0,COUNTA(fork_awake_units!$A:$A),MATCH(C$1,fork_awake_units!$1:$1,0)-MATCH($A$1,fork_awake_units!$1:$1,0)+1),MATCH(C$1,fork_awake_units!$1:$1,0)-MATCH($A$1,fork_awake_units!$1:$1,0)+1,FALSE)</f>
        <v>611</v>
      </c>
      <c r="D850" s="3" t="str">
        <f ca="1">VLOOKUP($C850,OFFSET([2]characters!$A$1,0,0,COUNTA([2]characters!$A:$A),MATCH(D$1,[2]characters!$1:$1,0)-MATCH($A$1,[2]characters!$1:$1,0)+1),MATCH(D$1,[2]characters!$1:$1,0)-MATCH($A$1,[2]characters!$1:$1,0)+1,FALSE)</f>
        <v>ギガ攻めの果実</v>
      </c>
      <c r="E850" s="66">
        <v>608</v>
      </c>
      <c r="F850" s="3" t="str">
        <f ca="1">VLOOKUP($E850,OFFSET([2]characters!$A$1,0,0,COUNTA([2]characters!$A:$A),MATCH(F$1,[2]characters!$1:$1,0)-MATCH($A$1,[2]characters!$1:$1,0)+1),MATCH(F$1,[2]characters!$1:$1,0)-MATCH($A$1,[2]characters!$1:$1,0)+1,FALSE)</f>
        <v>メガ生命の果実</v>
      </c>
      <c r="G850" s="66">
        <v>2</v>
      </c>
      <c r="H850" s="66">
        <v>1</v>
      </c>
      <c r="I850" s="66">
        <v>1</v>
      </c>
    </row>
    <row r="851" spans="1:9" x14ac:dyDescent="0.15">
      <c r="A851" s="66">
        <v>607</v>
      </c>
      <c r="B851" s="3" t="str">
        <f ca="1">VLOOKUP($A851,OFFSET([2]characters!$A$1,0,0,COUNTA([2]characters!$A:$A),MATCH(B$1,[2]characters!$1:$1,0)-MATCH($A$1,[2]characters!$1:$1,0)+1),MATCH(B$1,[2]characters!$1:$1,0)-MATCH($A$1,[2]characters!$1:$1,0)+1,FALSE)</f>
        <v>メガ攻めの果実</v>
      </c>
      <c r="C851" s="93">
        <f ca="1">VLOOKUP($A851,OFFSET(fork_awake_units!$A$1,0,0,COUNTA(fork_awake_units!$A:$A),MATCH(C$1,fork_awake_units!$1:$1,0)-MATCH($A$1,fork_awake_units!$1:$1,0)+1),MATCH(C$1,fork_awake_units!$1:$1,0)-MATCH($A$1,fork_awake_units!$1:$1,0)+1,FALSE)</f>
        <v>611</v>
      </c>
      <c r="D851" s="3" t="str">
        <f ca="1">VLOOKUP($C851,OFFSET([2]characters!$A$1,0,0,COUNTA([2]characters!$A:$A),MATCH(D$1,[2]characters!$1:$1,0)-MATCH($A$1,[2]characters!$1:$1,0)+1),MATCH(D$1,[2]characters!$1:$1,0)-MATCH($A$1,[2]characters!$1:$1,0)+1,FALSE)</f>
        <v>ギガ攻めの果実</v>
      </c>
      <c r="E851" s="66">
        <v>609</v>
      </c>
      <c r="F851" s="3" t="str">
        <f ca="1">VLOOKUP($E851,OFFSET([2]characters!$A$1,0,0,COUNTA([2]characters!$A:$A),MATCH(F$1,[2]characters!$1:$1,0)-MATCH($A$1,[2]characters!$1:$1,0)+1),MATCH(F$1,[2]characters!$1:$1,0)-MATCH($A$1,[2]characters!$1:$1,0)+1,FALSE)</f>
        <v>メガ癒しの果実</v>
      </c>
      <c r="G851" s="66">
        <v>2</v>
      </c>
      <c r="H851" s="66">
        <v>1</v>
      </c>
      <c r="I851" s="66">
        <v>1</v>
      </c>
    </row>
    <row r="852" spans="1:9" x14ac:dyDescent="0.15">
      <c r="A852" s="66">
        <v>608</v>
      </c>
      <c r="B852" s="3" t="str">
        <f ca="1">VLOOKUP($A852,OFFSET([2]characters!$A$1,0,0,COUNTA([2]characters!$A:$A),MATCH(B$1,[2]characters!$1:$1,0)-MATCH($A$1,[2]characters!$1:$1,0)+1),MATCH(B$1,[2]characters!$1:$1,0)-MATCH($A$1,[2]characters!$1:$1,0)+1,FALSE)</f>
        <v>メガ生命の果実</v>
      </c>
      <c r="C852" s="93">
        <f ca="1">VLOOKUP($A852,OFFSET(fork_awake_units!$A$1,0,0,COUNTA(fork_awake_units!$A:$A),MATCH(C$1,fork_awake_units!$1:$1,0)-MATCH($A$1,fork_awake_units!$1:$1,0)+1),MATCH(C$1,fork_awake_units!$1:$1,0)-MATCH($A$1,fork_awake_units!$1:$1,0)+1,FALSE)</f>
        <v>612</v>
      </c>
      <c r="D852" s="3" t="str">
        <f ca="1">VLOOKUP($C852,OFFSET([2]characters!$A$1,0,0,COUNTA([2]characters!$A:$A),MATCH(D$1,[2]characters!$1:$1,0)-MATCH($A$1,[2]characters!$1:$1,0)+1),MATCH(D$1,[2]characters!$1:$1,0)-MATCH($A$1,[2]characters!$1:$1,0)+1,FALSE)</f>
        <v>ギガ生命の果実</v>
      </c>
      <c r="E852" s="66">
        <v>607</v>
      </c>
      <c r="F852" s="3" t="str">
        <f ca="1">VLOOKUP($E852,OFFSET([2]characters!$A$1,0,0,COUNTA([2]characters!$A:$A),MATCH(F$1,[2]characters!$1:$1,0)-MATCH($A$1,[2]characters!$1:$1,0)+1),MATCH(F$1,[2]characters!$1:$1,0)-MATCH($A$1,[2]characters!$1:$1,0)+1,FALSE)</f>
        <v>メガ攻めの果実</v>
      </c>
      <c r="G852" s="66">
        <v>2</v>
      </c>
      <c r="H852" s="66">
        <v>1</v>
      </c>
      <c r="I852" s="66">
        <v>1</v>
      </c>
    </row>
    <row r="853" spans="1:9" x14ac:dyDescent="0.15">
      <c r="A853" s="66">
        <v>608</v>
      </c>
      <c r="B853" s="3" t="str">
        <f ca="1">VLOOKUP($A853,OFFSET([2]characters!$A$1,0,0,COUNTA([2]characters!$A:$A),MATCH(B$1,[2]characters!$1:$1,0)-MATCH($A$1,[2]characters!$1:$1,0)+1),MATCH(B$1,[2]characters!$1:$1,0)-MATCH($A$1,[2]characters!$1:$1,0)+1,FALSE)</f>
        <v>メガ生命の果実</v>
      </c>
      <c r="C853" s="93">
        <f ca="1">VLOOKUP($A853,OFFSET(fork_awake_units!$A$1,0,0,COUNTA(fork_awake_units!$A:$A),MATCH(C$1,fork_awake_units!$1:$1,0)-MATCH($A$1,fork_awake_units!$1:$1,0)+1),MATCH(C$1,fork_awake_units!$1:$1,0)-MATCH($A$1,fork_awake_units!$1:$1,0)+1,FALSE)</f>
        <v>612</v>
      </c>
      <c r="D853" s="3" t="str">
        <f ca="1">VLOOKUP($C853,OFFSET([2]characters!$A$1,0,0,COUNTA([2]characters!$A:$A),MATCH(D$1,[2]characters!$1:$1,0)-MATCH($A$1,[2]characters!$1:$1,0)+1),MATCH(D$1,[2]characters!$1:$1,0)-MATCH($A$1,[2]characters!$1:$1,0)+1,FALSE)</f>
        <v>ギガ生命の果実</v>
      </c>
      <c r="E853" s="66">
        <v>609</v>
      </c>
      <c r="F853" s="3" t="str">
        <f ca="1">VLOOKUP($E853,OFFSET([2]characters!$A$1,0,0,COUNTA([2]characters!$A:$A),MATCH(F$1,[2]characters!$1:$1,0)-MATCH($A$1,[2]characters!$1:$1,0)+1),MATCH(F$1,[2]characters!$1:$1,0)-MATCH($A$1,[2]characters!$1:$1,0)+1,FALSE)</f>
        <v>メガ癒しの果実</v>
      </c>
      <c r="G853" s="66">
        <v>2</v>
      </c>
      <c r="H853" s="66">
        <v>1</v>
      </c>
      <c r="I853" s="66">
        <v>1</v>
      </c>
    </row>
    <row r="854" spans="1:9" x14ac:dyDescent="0.15">
      <c r="A854" s="66">
        <v>609</v>
      </c>
      <c r="B854" s="3" t="str">
        <f ca="1">VLOOKUP($A854,OFFSET([2]characters!$A$1,0,0,COUNTA([2]characters!$A:$A),MATCH(B$1,[2]characters!$1:$1,0)-MATCH($A$1,[2]characters!$1:$1,0)+1),MATCH(B$1,[2]characters!$1:$1,0)-MATCH($A$1,[2]characters!$1:$1,0)+1,FALSE)</f>
        <v>メガ癒しの果実</v>
      </c>
      <c r="C854" s="93">
        <f ca="1">VLOOKUP($A854,OFFSET(fork_awake_units!$A$1,0,0,COUNTA(fork_awake_units!$A:$A),MATCH(C$1,fork_awake_units!$1:$1,0)-MATCH($A$1,fork_awake_units!$1:$1,0)+1),MATCH(C$1,fork_awake_units!$1:$1,0)-MATCH($A$1,fork_awake_units!$1:$1,0)+1,FALSE)</f>
        <v>613</v>
      </c>
      <c r="D854" s="3" t="str">
        <f ca="1">VLOOKUP($C854,OFFSET([2]characters!$A$1,0,0,COUNTA([2]characters!$A:$A),MATCH(D$1,[2]characters!$1:$1,0)-MATCH($A$1,[2]characters!$1:$1,0)+1),MATCH(D$1,[2]characters!$1:$1,0)-MATCH($A$1,[2]characters!$1:$1,0)+1,FALSE)</f>
        <v>ギガ癒しの果実</v>
      </c>
      <c r="E854" s="66">
        <v>607</v>
      </c>
      <c r="F854" s="3" t="str">
        <f ca="1">VLOOKUP($E854,OFFSET([2]characters!$A$1,0,0,COUNTA([2]characters!$A:$A),MATCH(F$1,[2]characters!$1:$1,0)-MATCH($A$1,[2]characters!$1:$1,0)+1),MATCH(F$1,[2]characters!$1:$1,0)-MATCH($A$1,[2]characters!$1:$1,0)+1,FALSE)</f>
        <v>メガ攻めの果実</v>
      </c>
      <c r="G854" s="66">
        <v>2</v>
      </c>
      <c r="H854" s="66">
        <v>1</v>
      </c>
      <c r="I854" s="66">
        <v>1</v>
      </c>
    </row>
    <row r="855" spans="1:9" x14ac:dyDescent="0.15">
      <c r="A855" s="66">
        <v>609</v>
      </c>
      <c r="B855" s="3" t="str">
        <f ca="1">VLOOKUP($A855,OFFSET([2]characters!$A$1,0,0,COUNTA([2]characters!$A:$A),MATCH(B$1,[2]characters!$1:$1,0)-MATCH($A$1,[2]characters!$1:$1,0)+1),MATCH(B$1,[2]characters!$1:$1,0)-MATCH($A$1,[2]characters!$1:$1,0)+1,FALSE)</f>
        <v>メガ癒しの果実</v>
      </c>
      <c r="C855" s="93">
        <f ca="1">VLOOKUP($A855,OFFSET(fork_awake_units!$A$1,0,0,COUNTA(fork_awake_units!$A:$A),MATCH(C$1,fork_awake_units!$1:$1,0)-MATCH($A$1,fork_awake_units!$1:$1,0)+1),MATCH(C$1,fork_awake_units!$1:$1,0)-MATCH($A$1,fork_awake_units!$1:$1,0)+1,FALSE)</f>
        <v>613</v>
      </c>
      <c r="D855" s="3" t="str">
        <f ca="1">VLOOKUP($C855,OFFSET([2]characters!$A$1,0,0,COUNTA([2]characters!$A:$A),MATCH(D$1,[2]characters!$1:$1,0)-MATCH($A$1,[2]characters!$1:$1,0)+1),MATCH(D$1,[2]characters!$1:$1,0)-MATCH($A$1,[2]characters!$1:$1,0)+1,FALSE)</f>
        <v>ギガ癒しの果実</v>
      </c>
      <c r="E855" s="66">
        <v>608</v>
      </c>
      <c r="F855" s="3" t="str">
        <f ca="1">VLOOKUP($E855,OFFSET([2]characters!$A$1,0,0,COUNTA([2]characters!$A:$A),MATCH(F$1,[2]characters!$1:$1,0)-MATCH($A$1,[2]characters!$1:$1,0)+1),MATCH(F$1,[2]characters!$1:$1,0)-MATCH($A$1,[2]characters!$1:$1,0)+1,FALSE)</f>
        <v>メガ生命の果実</v>
      </c>
      <c r="G855" s="66">
        <v>2</v>
      </c>
      <c r="H855" s="66">
        <v>1</v>
      </c>
      <c r="I855" s="66">
        <v>1</v>
      </c>
    </row>
    <row r="856" spans="1:9" x14ac:dyDescent="0.15">
      <c r="A856" s="66">
        <v>623</v>
      </c>
      <c r="B856" s="3" t="str">
        <f ca="1">VLOOKUP($A856,OFFSET([2]characters!$A$1,0,0,COUNTA([2]characters!$A:$A),MATCH(B$1,[2]characters!$1:$1,0)-MATCH($A$1,[2]characters!$1:$1,0)+1),MATCH(B$1,[2]characters!$1:$1,0)-MATCH($A$1,[2]characters!$1:$1,0)+1,FALSE)</f>
        <v>フェルマー</v>
      </c>
      <c r="C856" s="93">
        <f ca="1">VLOOKUP($A856,OFFSET(fork_awake_units!$A$1,0,0,COUNTA(fork_awake_units!$A:$A),MATCH(C$1,fork_awake_units!$1:$1,0)-MATCH($A$1,fork_awake_units!$1:$1,0)+1),MATCH(C$1,fork_awake_units!$1:$1,0)-MATCH($A$1,fork_awake_units!$1:$1,0)+1,FALSE)</f>
        <v>624</v>
      </c>
      <c r="D856" s="3" t="str">
        <f ca="1">VLOOKUP($C856,OFFSET([2]characters!$A$1,0,0,COUNTA([2]characters!$A:$A),MATCH(D$1,[2]characters!$1:$1,0)-MATCH($A$1,[2]characters!$1:$1,0)+1),MATCH(D$1,[2]characters!$1:$1,0)-MATCH($A$1,[2]characters!$1:$1,0)+1,FALSE)</f>
        <v>挑発の尖駆者 フェルマー</v>
      </c>
      <c r="E856" s="66">
        <v>272</v>
      </c>
      <c r="F856" s="3" t="str">
        <f ca="1">VLOOKUP($E856,OFFSET([2]characters!$A$1,0,0,COUNTA([2]characters!$A:$A),MATCH(F$1,[2]characters!$1:$1,0)-MATCH($A$1,[2]characters!$1:$1,0)+1),MATCH(F$1,[2]characters!$1:$1,0)-MATCH($A$1,[2]characters!$1:$1,0)+1,FALSE)</f>
        <v>魔札のシルベール</v>
      </c>
      <c r="G856" s="66">
        <v>1</v>
      </c>
      <c r="H856" s="66">
        <v>1</v>
      </c>
      <c r="I856" s="66">
        <v>1</v>
      </c>
    </row>
    <row r="857" spans="1:9" x14ac:dyDescent="0.15">
      <c r="A857" s="66">
        <v>623</v>
      </c>
      <c r="B857" s="3" t="str">
        <f ca="1">VLOOKUP($A857,OFFSET([2]characters!$A$1,0,0,COUNTA([2]characters!$A:$A),MATCH(B$1,[2]characters!$1:$1,0)-MATCH($A$1,[2]characters!$1:$1,0)+1),MATCH(B$1,[2]characters!$1:$1,0)-MATCH($A$1,[2]characters!$1:$1,0)+1,FALSE)</f>
        <v>フェルマー</v>
      </c>
      <c r="C857" s="93">
        <f ca="1">VLOOKUP($A857,OFFSET(fork_awake_units!$A$1,0,0,COUNTA(fork_awake_units!$A:$A),MATCH(C$1,fork_awake_units!$1:$1,0)-MATCH($A$1,fork_awake_units!$1:$1,0)+1),MATCH(C$1,fork_awake_units!$1:$1,0)-MATCH($A$1,fork_awake_units!$1:$1,0)+1,FALSE)</f>
        <v>624</v>
      </c>
      <c r="D857" s="3" t="str">
        <f ca="1">VLOOKUP($C857,OFFSET([2]characters!$A$1,0,0,COUNTA([2]characters!$A:$A),MATCH(D$1,[2]characters!$1:$1,0)-MATCH($A$1,[2]characters!$1:$1,0)+1),MATCH(D$1,[2]characters!$1:$1,0)-MATCH($A$1,[2]characters!$1:$1,0)+1,FALSE)</f>
        <v>挑発の尖駆者 フェルマー</v>
      </c>
      <c r="E857" s="66">
        <v>282</v>
      </c>
      <c r="F857" s="3" t="str">
        <f ca="1">VLOOKUP($E857,OFFSET([2]characters!$A$1,0,0,COUNTA([2]characters!$A:$A),MATCH(F$1,[2]characters!$1:$1,0)-MATCH($A$1,[2]characters!$1:$1,0)+1),MATCH(F$1,[2]characters!$1:$1,0)-MATCH($A$1,[2]characters!$1:$1,0)+1,FALSE)</f>
        <v>ラーフ</v>
      </c>
      <c r="G857" s="66">
        <v>1</v>
      </c>
      <c r="H857" s="66">
        <v>1</v>
      </c>
      <c r="I857" s="66">
        <v>1</v>
      </c>
    </row>
    <row r="858" spans="1:9" x14ac:dyDescent="0.15">
      <c r="A858" s="66">
        <v>623</v>
      </c>
      <c r="B858" s="3" t="str">
        <f ca="1">VLOOKUP($A858,OFFSET([2]characters!$A$1,0,0,COUNTA([2]characters!$A:$A),MATCH(B$1,[2]characters!$1:$1,0)-MATCH($A$1,[2]characters!$1:$1,0)+1),MATCH(B$1,[2]characters!$1:$1,0)-MATCH($A$1,[2]characters!$1:$1,0)+1,FALSE)</f>
        <v>フェルマー</v>
      </c>
      <c r="C858" s="93">
        <f ca="1">VLOOKUP($A858,OFFSET(fork_awake_units!$A$1,0,0,COUNTA(fork_awake_units!$A:$A),MATCH(C$1,fork_awake_units!$1:$1,0)-MATCH($A$1,fork_awake_units!$1:$1,0)+1),MATCH(C$1,fork_awake_units!$1:$1,0)-MATCH($A$1,fork_awake_units!$1:$1,0)+1,FALSE)</f>
        <v>624</v>
      </c>
      <c r="D858" s="3" t="str">
        <f ca="1">VLOOKUP($C858,OFFSET([2]characters!$A$1,0,0,COUNTA([2]characters!$A:$A),MATCH(D$1,[2]characters!$1:$1,0)-MATCH($A$1,[2]characters!$1:$1,0)+1),MATCH(D$1,[2]characters!$1:$1,0)-MATCH($A$1,[2]characters!$1:$1,0)+1,FALSE)</f>
        <v>挑発の尖駆者 フェルマー</v>
      </c>
      <c r="E858" s="66">
        <v>652</v>
      </c>
      <c r="F858" s="3" t="str">
        <f ca="1">VLOOKUP($E858,OFFSET([2]characters!$A$1,0,0,COUNTA([2]characters!$A:$A),MATCH(F$1,[2]characters!$1:$1,0)-MATCH($A$1,[2]characters!$1:$1,0)+1),MATCH(F$1,[2]characters!$1:$1,0)-MATCH($A$1,[2]characters!$1:$1,0)+1,FALSE)</f>
        <v>アナンタ</v>
      </c>
      <c r="G858" s="66">
        <v>1</v>
      </c>
      <c r="H858" s="66">
        <v>1</v>
      </c>
      <c r="I858" s="66">
        <v>1</v>
      </c>
    </row>
    <row r="859" spans="1:9" x14ac:dyDescent="0.15">
      <c r="A859" s="66">
        <v>623</v>
      </c>
      <c r="B859" s="3" t="str">
        <f ca="1">VLOOKUP($A859,OFFSET([2]characters!$A$1,0,0,COUNTA([2]characters!$A:$A),MATCH(B$1,[2]characters!$1:$1,0)-MATCH($A$1,[2]characters!$1:$1,0)+1),MATCH(B$1,[2]characters!$1:$1,0)-MATCH($A$1,[2]characters!$1:$1,0)+1,FALSE)</f>
        <v>フェルマー</v>
      </c>
      <c r="C859" s="93">
        <f ca="1">VLOOKUP($A859,OFFSET(fork_awake_units!$A$1,0,0,COUNTA(fork_awake_units!$A:$A),MATCH(C$1,fork_awake_units!$1:$1,0)-MATCH($A$1,fork_awake_units!$1:$1,0)+1),MATCH(C$1,fork_awake_units!$1:$1,0)-MATCH($A$1,fork_awake_units!$1:$1,0)+1,FALSE)</f>
        <v>624</v>
      </c>
      <c r="D859" s="3" t="str">
        <f ca="1">VLOOKUP($C859,OFFSET([2]characters!$A$1,0,0,COUNTA([2]characters!$A:$A),MATCH(D$1,[2]characters!$1:$1,0)-MATCH($A$1,[2]characters!$1:$1,0)+1),MATCH(D$1,[2]characters!$1:$1,0)-MATCH($A$1,[2]characters!$1:$1,0)+1,FALSE)</f>
        <v>挑発の尖駆者 フェルマー</v>
      </c>
      <c r="E859" s="66">
        <v>837</v>
      </c>
      <c r="F859" s="3" t="str">
        <f ca="1">VLOOKUP($E859,OFFSET([2]characters!$A$1,0,0,COUNTA([2]characters!$A:$A),MATCH(F$1,[2]characters!$1:$1,0)-MATCH($A$1,[2]characters!$1:$1,0)+1),MATCH(F$1,[2]characters!$1:$1,0)-MATCH($A$1,[2]characters!$1:$1,0)+1,FALSE)</f>
        <v>リトルハンプティ</v>
      </c>
      <c r="G859" s="66">
        <v>1</v>
      </c>
      <c r="H859" s="66">
        <v>1</v>
      </c>
      <c r="I859" s="66">
        <v>1</v>
      </c>
    </row>
    <row r="860" spans="1:9" x14ac:dyDescent="0.15">
      <c r="A860" s="66">
        <v>623</v>
      </c>
      <c r="B860" s="3" t="str">
        <f ca="1">VLOOKUP($A860,OFFSET([2]characters!$A$1,0,0,COUNTA([2]characters!$A:$A),MATCH(B$1,[2]characters!$1:$1,0)-MATCH($A$1,[2]characters!$1:$1,0)+1),MATCH(B$1,[2]characters!$1:$1,0)-MATCH($A$1,[2]characters!$1:$1,0)+1,FALSE)</f>
        <v>フェルマー</v>
      </c>
      <c r="C860" s="93">
        <f ca="1">VLOOKUP($A860,OFFSET(fork_awake_units!$A$1,0,0,COUNTA(fork_awake_units!$A:$A),MATCH(C$1,fork_awake_units!$1:$1,0)-MATCH($A$1,fork_awake_units!$1:$1,0)+1),MATCH(C$1,fork_awake_units!$1:$1,0)-MATCH($A$1,fork_awake_units!$1:$1,0)+1,FALSE)</f>
        <v>624</v>
      </c>
      <c r="D860" s="3" t="str">
        <f ca="1">VLOOKUP($C860,OFFSET([2]characters!$A$1,0,0,COUNTA([2]characters!$A:$A),MATCH(D$1,[2]characters!$1:$1,0)-MATCH($A$1,[2]characters!$1:$1,0)+1),MATCH(D$1,[2]characters!$1:$1,0)-MATCH($A$1,[2]characters!$1:$1,0)+1,FALSE)</f>
        <v>挑発の尖駆者 フェルマー</v>
      </c>
      <c r="E860" s="66">
        <v>856</v>
      </c>
      <c r="F860" s="3" t="str">
        <f ca="1">VLOOKUP($E860,OFFSET([2]characters!$A$1,0,0,COUNTA([2]characters!$A:$A),MATCH(F$1,[2]characters!$1:$1,0)-MATCH($A$1,[2]characters!$1:$1,0)+1),MATCH(F$1,[2]characters!$1:$1,0)-MATCH($A$1,[2]characters!$1:$1,0)+1,FALSE)</f>
        <v>リフレクト＆M.I.R.R.O.R.</v>
      </c>
      <c r="G860" s="66">
        <v>1</v>
      </c>
      <c r="H860" s="66">
        <v>1</v>
      </c>
      <c r="I860" s="66">
        <v>1</v>
      </c>
    </row>
    <row r="861" spans="1:9" x14ac:dyDescent="0.15">
      <c r="A861" s="66">
        <v>642</v>
      </c>
      <c r="B861" s="3" t="str">
        <f ca="1">VLOOKUP($A861,OFFSET([2]characters!$A$1,0,0,COUNTA([2]characters!$A:$A),MATCH(B$1,[2]characters!$1:$1,0)-MATCH($A$1,[2]characters!$1:$1,0)+1),MATCH(B$1,[2]characters!$1:$1,0)-MATCH($A$1,[2]characters!$1:$1,0)+1,FALSE)</f>
        <v>カーマ</v>
      </c>
      <c r="C861" s="93">
        <f ca="1">VLOOKUP($A861,OFFSET(fork_awake_units!$A$1,0,0,COUNTA(fork_awake_units!$A:$A),MATCH(C$1,fork_awake_units!$1:$1,0)-MATCH($A$1,fork_awake_units!$1:$1,0)+1),MATCH(C$1,fork_awake_units!$1:$1,0)-MATCH($A$1,fork_awake_units!$1:$1,0)+1,FALSE)</f>
        <v>643</v>
      </c>
      <c r="D861" s="3" t="str">
        <f ca="1">VLOOKUP($C861,OFFSET([2]characters!$A$1,0,0,COUNTA([2]characters!$A:$A),MATCH(D$1,[2]characters!$1:$1,0)-MATCH($A$1,[2]characters!$1:$1,0)+1),MATCH(D$1,[2]characters!$1:$1,0)-MATCH($A$1,[2]characters!$1:$1,0)+1,FALSE)</f>
        <v>愛花天神 カーマ</v>
      </c>
      <c r="E861" s="66">
        <v>104</v>
      </c>
      <c r="F861" s="3" t="str">
        <f ca="1">VLOOKUP($E861,OFFSET([2]characters!$A$1,0,0,COUNTA([2]characters!$A:$A),MATCH(F$1,[2]characters!$1:$1,0)-MATCH($A$1,[2]characters!$1:$1,0)+1),MATCH(F$1,[2]characters!$1:$1,0)-MATCH($A$1,[2]characters!$1:$1,0)+1,FALSE)</f>
        <v>炎のマッドハッター</v>
      </c>
      <c r="G861" s="66">
        <v>1</v>
      </c>
      <c r="H861" s="66">
        <v>1</v>
      </c>
      <c r="I861" s="66">
        <v>1</v>
      </c>
    </row>
    <row r="862" spans="1:9" x14ac:dyDescent="0.15">
      <c r="A862" s="66">
        <v>642</v>
      </c>
      <c r="B862" s="3" t="str">
        <f ca="1">VLOOKUP($A862,OFFSET([2]characters!$A$1,0,0,COUNTA([2]characters!$A:$A),MATCH(B$1,[2]characters!$1:$1,0)-MATCH($A$1,[2]characters!$1:$1,0)+1),MATCH(B$1,[2]characters!$1:$1,0)-MATCH($A$1,[2]characters!$1:$1,0)+1,FALSE)</f>
        <v>カーマ</v>
      </c>
      <c r="C862" s="93">
        <f ca="1">VLOOKUP($A862,OFFSET(fork_awake_units!$A$1,0,0,COUNTA(fork_awake_units!$A:$A),MATCH(C$1,fork_awake_units!$1:$1,0)-MATCH($A$1,fork_awake_units!$1:$1,0)+1),MATCH(C$1,fork_awake_units!$1:$1,0)-MATCH($A$1,fork_awake_units!$1:$1,0)+1,FALSE)</f>
        <v>643</v>
      </c>
      <c r="D862" s="3" t="str">
        <f ca="1">VLOOKUP($C862,OFFSET([2]characters!$A$1,0,0,COUNTA([2]characters!$A:$A),MATCH(D$1,[2]characters!$1:$1,0)-MATCH($A$1,[2]characters!$1:$1,0)+1),MATCH(D$1,[2]characters!$1:$1,0)-MATCH($A$1,[2]characters!$1:$1,0)+1,FALSE)</f>
        <v>愛花天神 カーマ</v>
      </c>
      <c r="E862" s="66">
        <v>648</v>
      </c>
      <c r="F862" s="3" t="str">
        <f ca="1">VLOOKUP($E862,OFFSET([2]characters!$A$1,0,0,COUNTA([2]characters!$A:$A),MATCH(F$1,[2]characters!$1:$1,0)-MATCH($A$1,[2]characters!$1:$1,0)+1),MATCH(F$1,[2]characters!$1:$1,0)-MATCH($A$1,[2]characters!$1:$1,0)+1,FALSE)</f>
        <v>パールヴァティ</v>
      </c>
      <c r="G862" s="66">
        <v>1</v>
      </c>
      <c r="H862" s="66">
        <v>2</v>
      </c>
      <c r="I862" s="66">
        <v>1</v>
      </c>
    </row>
    <row r="863" spans="1:9" x14ac:dyDescent="0.15">
      <c r="A863" s="66">
        <v>642</v>
      </c>
      <c r="B863" s="3" t="str">
        <f ca="1">VLOOKUP($A863,OFFSET([2]characters!$A$1,0,0,COUNTA([2]characters!$A:$A),MATCH(B$1,[2]characters!$1:$1,0)-MATCH($A$1,[2]characters!$1:$1,0)+1),MATCH(B$1,[2]characters!$1:$1,0)-MATCH($A$1,[2]characters!$1:$1,0)+1,FALSE)</f>
        <v>カーマ</v>
      </c>
      <c r="C863" s="93">
        <f ca="1">VLOOKUP($A863,OFFSET(fork_awake_units!$A$1,0,0,COUNTA(fork_awake_units!$A:$A),MATCH(C$1,fork_awake_units!$1:$1,0)-MATCH($A$1,fork_awake_units!$1:$1,0)+1),MATCH(C$1,fork_awake_units!$1:$1,0)-MATCH($A$1,fork_awake_units!$1:$1,0)+1,FALSE)</f>
        <v>643</v>
      </c>
      <c r="D863" s="3" t="str">
        <f ca="1">VLOOKUP($C863,OFFSET([2]characters!$A$1,0,0,COUNTA([2]characters!$A:$A),MATCH(D$1,[2]characters!$1:$1,0)-MATCH($A$1,[2]characters!$1:$1,0)+1),MATCH(D$1,[2]characters!$1:$1,0)-MATCH($A$1,[2]characters!$1:$1,0)+1,FALSE)</f>
        <v>愛花天神 カーマ</v>
      </c>
      <c r="E863" s="66">
        <v>652</v>
      </c>
      <c r="F863" s="3" t="str">
        <f ca="1">VLOOKUP($E863,OFFSET([2]characters!$A$1,0,0,COUNTA([2]characters!$A:$A),MATCH(F$1,[2]characters!$1:$1,0)-MATCH($A$1,[2]characters!$1:$1,0)+1),MATCH(F$1,[2]characters!$1:$1,0)-MATCH($A$1,[2]characters!$1:$1,0)+1,FALSE)</f>
        <v>アナンタ</v>
      </c>
      <c r="G863" s="66">
        <v>1</v>
      </c>
      <c r="H863" s="66">
        <v>2</v>
      </c>
      <c r="I863" s="66">
        <v>1</v>
      </c>
    </row>
    <row r="864" spans="1:9" x14ac:dyDescent="0.15">
      <c r="A864" s="66">
        <v>644</v>
      </c>
      <c r="B864" s="3" t="str">
        <f ca="1">VLOOKUP($A864,OFFSET([2]characters!$A$1,0,0,COUNTA([2]characters!$A:$A),MATCH(B$1,[2]characters!$1:$1,0)-MATCH($A$1,[2]characters!$1:$1,0)+1),MATCH(B$1,[2]characters!$1:$1,0)-MATCH($A$1,[2]characters!$1:$1,0)+1,FALSE)</f>
        <v>滑瓢 ショウキ</v>
      </c>
      <c r="C864" s="93">
        <f ca="1">VLOOKUP($A864,OFFSET(fork_awake_units!$A$1,0,0,COUNTA(fork_awake_units!$A:$A),MATCH(C$1,fork_awake_units!$1:$1,0)-MATCH($A$1,fork_awake_units!$1:$1,0)+1),MATCH(C$1,fork_awake_units!$1:$1,0)-MATCH($A$1,fork_awake_units!$1:$1,0)+1,FALSE)</f>
        <v>645</v>
      </c>
      <c r="D864" s="3" t="str">
        <f ca="1">VLOOKUP($C864,OFFSET([2]characters!$A$1,0,0,COUNTA([2]characters!$A:$A),MATCH(D$1,[2]characters!$1:$1,0)-MATCH($A$1,[2]characters!$1:$1,0)+1),MATCH(D$1,[2]characters!$1:$1,0)-MATCH($A$1,[2]characters!$1:$1,0)+1,FALSE)</f>
        <v>百鬼夜行の創大将 ショウキ</v>
      </c>
      <c r="E864" s="66">
        <v>108</v>
      </c>
      <c r="F864" s="3" t="str">
        <f ca="1">VLOOKUP($E864,OFFSET([2]characters!$A$1,0,0,COUNTA([2]characters!$A:$A),MATCH(F$1,[2]characters!$1:$1,0)-MATCH($A$1,[2]characters!$1:$1,0)+1),MATCH(F$1,[2]characters!$1:$1,0)-MATCH($A$1,[2]characters!$1:$1,0)+1,FALSE)</f>
        <v>森のマッドハッター</v>
      </c>
      <c r="G864" s="66">
        <v>1</v>
      </c>
      <c r="H864" s="66">
        <v>1</v>
      </c>
      <c r="I864" s="66">
        <v>1</v>
      </c>
    </row>
    <row r="865" spans="1:9" x14ac:dyDescent="0.15">
      <c r="A865" s="66">
        <v>644</v>
      </c>
      <c r="B865" s="3" t="str">
        <f ca="1">VLOOKUP($A865,OFFSET([2]characters!$A$1,0,0,COUNTA([2]characters!$A:$A),MATCH(B$1,[2]characters!$1:$1,0)-MATCH($A$1,[2]characters!$1:$1,0)+1),MATCH(B$1,[2]characters!$1:$1,0)-MATCH($A$1,[2]characters!$1:$1,0)+1,FALSE)</f>
        <v>滑瓢 ショウキ</v>
      </c>
      <c r="C865" s="93">
        <f ca="1">VLOOKUP($A865,OFFSET(fork_awake_units!$A$1,0,0,COUNTA(fork_awake_units!$A:$A),MATCH(C$1,fork_awake_units!$1:$1,0)-MATCH($A$1,fork_awake_units!$1:$1,0)+1),MATCH(C$1,fork_awake_units!$1:$1,0)-MATCH($A$1,fork_awake_units!$1:$1,0)+1,FALSE)</f>
        <v>645</v>
      </c>
      <c r="D865" s="3" t="str">
        <f ca="1">VLOOKUP($C865,OFFSET([2]characters!$A$1,0,0,COUNTA([2]characters!$A:$A),MATCH(D$1,[2]characters!$1:$1,0)-MATCH($A$1,[2]characters!$1:$1,0)+1),MATCH(D$1,[2]characters!$1:$1,0)-MATCH($A$1,[2]characters!$1:$1,0)+1,FALSE)</f>
        <v>百鬼夜行の創大将 ショウキ</v>
      </c>
      <c r="E865" s="66">
        <v>646</v>
      </c>
      <c r="F865" s="3" t="str">
        <f ca="1">VLOOKUP($E865,OFFSET([2]characters!$A$1,0,0,COUNTA([2]characters!$A:$A),MATCH(F$1,[2]characters!$1:$1,0)-MATCH($A$1,[2]characters!$1:$1,0)+1),MATCH(F$1,[2]characters!$1:$1,0)-MATCH($A$1,[2]characters!$1:$1,0)+1,FALSE)</f>
        <v>雪女 ユキ</v>
      </c>
      <c r="G865" s="66">
        <v>1</v>
      </c>
      <c r="H865" s="66">
        <v>2</v>
      </c>
      <c r="I865" s="66">
        <v>1</v>
      </c>
    </row>
    <row r="866" spans="1:9" x14ac:dyDescent="0.15">
      <c r="A866" s="66">
        <v>644</v>
      </c>
      <c r="B866" s="3" t="str">
        <f ca="1">VLOOKUP($A866,OFFSET([2]characters!$A$1,0,0,COUNTA([2]characters!$A:$A),MATCH(B$1,[2]characters!$1:$1,0)-MATCH($A$1,[2]characters!$1:$1,0)+1),MATCH(B$1,[2]characters!$1:$1,0)-MATCH($A$1,[2]characters!$1:$1,0)+1,FALSE)</f>
        <v>滑瓢 ショウキ</v>
      </c>
      <c r="C866" s="93">
        <f ca="1">VLOOKUP($A866,OFFSET(fork_awake_units!$A$1,0,0,COUNTA(fork_awake_units!$A:$A),MATCH(C$1,fork_awake_units!$1:$1,0)-MATCH($A$1,fork_awake_units!$1:$1,0)+1),MATCH(C$1,fork_awake_units!$1:$1,0)-MATCH($A$1,fork_awake_units!$1:$1,0)+1,FALSE)</f>
        <v>645</v>
      </c>
      <c r="D866" s="3" t="str">
        <f ca="1">VLOOKUP($C866,OFFSET([2]characters!$A$1,0,0,COUNTA([2]characters!$A:$A),MATCH(D$1,[2]characters!$1:$1,0)-MATCH($A$1,[2]characters!$1:$1,0)+1),MATCH(D$1,[2]characters!$1:$1,0)-MATCH($A$1,[2]characters!$1:$1,0)+1,FALSE)</f>
        <v>百鬼夜行の創大将 ショウキ</v>
      </c>
      <c r="E866" s="66">
        <v>650</v>
      </c>
      <c r="F866" s="3" t="str">
        <f ca="1">VLOOKUP($E866,OFFSET([2]characters!$A$1,0,0,COUNTA([2]characters!$A:$A),MATCH(F$1,[2]characters!$1:$1,0)-MATCH($A$1,[2]characters!$1:$1,0)+1),MATCH(F$1,[2]characters!$1:$1,0)-MATCH($A$1,[2]characters!$1:$1,0)+1,FALSE)</f>
        <v>土蜘蛛 ユウヤ</v>
      </c>
      <c r="G866" s="66">
        <v>1</v>
      </c>
      <c r="H866" s="66">
        <v>3</v>
      </c>
      <c r="I866" s="66">
        <v>1</v>
      </c>
    </row>
    <row r="867" spans="1:9" x14ac:dyDescent="0.15">
      <c r="A867" s="66">
        <v>646</v>
      </c>
      <c r="B867" s="3" t="str">
        <f ca="1">VLOOKUP($A867,OFFSET([2]characters!$A$1,0,0,COUNTA([2]characters!$A:$A),MATCH(B$1,[2]characters!$1:$1,0)-MATCH($A$1,[2]characters!$1:$1,0)+1),MATCH(B$1,[2]characters!$1:$1,0)-MATCH($A$1,[2]characters!$1:$1,0)+1,FALSE)</f>
        <v>雪女 ユキ</v>
      </c>
      <c r="C867" s="93">
        <f ca="1">VLOOKUP($A867,OFFSET(fork_awake_units!$A$1,0,0,COUNTA(fork_awake_units!$A:$A),MATCH(C$1,fork_awake_units!$1:$1,0)-MATCH($A$1,fork_awake_units!$1:$1,0)+1),MATCH(C$1,fork_awake_units!$1:$1,0)-MATCH($A$1,fork_awake_units!$1:$1,0)+1,FALSE)</f>
        <v>647</v>
      </c>
      <c r="D867" s="3" t="str">
        <f ca="1">VLOOKUP($C867,OFFSET([2]characters!$A$1,0,0,COUNTA([2]characters!$A:$A),MATCH(D$1,[2]characters!$1:$1,0)-MATCH($A$1,[2]characters!$1:$1,0)+1),MATCH(D$1,[2]characters!$1:$1,0)-MATCH($A$1,[2]characters!$1:$1,0)+1,FALSE)</f>
        <v>氷麗の雪化生 ユキ</v>
      </c>
      <c r="E867" s="66">
        <v>109</v>
      </c>
      <c r="F867" s="3" t="str">
        <f ca="1">VLOOKUP($E867,OFFSET([2]characters!$A$1,0,0,COUNTA([2]characters!$A:$A),MATCH(F$1,[2]characters!$1:$1,0)-MATCH($A$1,[2]characters!$1:$1,0)+1),MATCH(F$1,[2]characters!$1:$1,0)-MATCH($A$1,[2]characters!$1:$1,0)+1,FALSE)</f>
        <v>ブルーチェシャ</v>
      </c>
      <c r="G867" s="66">
        <v>1</v>
      </c>
      <c r="H867" s="66">
        <v>1</v>
      </c>
      <c r="I867" s="66">
        <v>1</v>
      </c>
    </row>
    <row r="868" spans="1:9" x14ac:dyDescent="0.15">
      <c r="A868" s="66">
        <v>646</v>
      </c>
      <c r="B868" s="3" t="str">
        <f ca="1">VLOOKUP($A868,OFFSET([2]characters!$A$1,0,0,COUNTA([2]characters!$A:$A),MATCH(B$1,[2]characters!$1:$1,0)-MATCH($A$1,[2]characters!$1:$1,0)+1),MATCH(B$1,[2]characters!$1:$1,0)-MATCH($A$1,[2]characters!$1:$1,0)+1,FALSE)</f>
        <v>雪女 ユキ</v>
      </c>
      <c r="C868" s="93">
        <f ca="1">VLOOKUP($A868,OFFSET(fork_awake_units!$A$1,0,0,COUNTA(fork_awake_units!$A:$A),MATCH(C$1,fork_awake_units!$1:$1,0)-MATCH($A$1,fork_awake_units!$1:$1,0)+1),MATCH(C$1,fork_awake_units!$1:$1,0)-MATCH($A$1,fork_awake_units!$1:$1,0)+1,FALSE)</f>
        <v>647</v>
      </c>
      <c r="D868" s="3" t="str">
        <f ca="1">VLOOKUP($C868,OFFSET([2]characters!$A$1,0,0,COUNTA([2]characters!$A:$A),MATCH(D$1,[2]characters!$1:$1,0)-MATCH($A$1,[2]characters!$1:$1,0)+1),MATCH(D$1,[2]characters!$1:$1,0)-MATCH($A$1,[2]characters!$1:$1,0)+1,FALSE)</f>
        <v>氷麗の雪化生 ユキ</v>
      </c>
      <c r="E868" s="66">
        <v>110</v>
      </c>
      <c r="F868" s="3" t="str">
        <f ca="1">VLOOKUP($E868,OFFSET([2]characters!$A$1,0,0,COUNTA([2]characters!$A:$A),MATCH(F$1,[2]characters!$1:$1,0)-MATCH($A$1,[2]characters!$1:$1,0)+1),MATCH(F$1,[2]characters!$1:$1,0)-MATCH($A$1,[2]characters!$1:$1,0)+1,FALSE)</f>
        <v>ブルーラビット</v>
      </c>
      <c r="G868" s="66">
        <v>2</v>
      </c>
      <c r="H868" s="66">
        <v>1</v>
      </c>
      <c r="I868" s="66">
        <v>1</v>
      </c>
    </row>
    <row r="869" spans="1:9" x14ac:dyDescent="0.15">
      <c r="A869" s="66">
        <v>646</v>
      </c>
      <c r="B869" s="3" t="str">
        <f ca="1">VLOOKUP($A869,OFFSET([2]characters!$A$1,0,0,COUNTA([2]characters!$A:$A),MATCH(B$1,[2]characters!$1:$1,0)-MATCH($A$1,[2]characters!$1:$1,0)+1),MATCH(B$1,[2]characters!$1:$1,0)-MATCH($A$1,[2]characters!$1:$1,0)+1,FALSE)</f>
        <v>雪女 ユキ</v>
      </c>
      <c r="C869" s="93">
        <f ca="1">VLOOKUP($A869,OFFSET(fork_awake_units!$A$1,0,0,COUNTA(fork_awake_units!$A:$A),MATCH(C$1,fork_awake_units!$1:$1,0)-MATCH($A$1,fork_awake_units!$1:$1,0)+1),MATCH(C$1,fork_awake_units!$1:$1,0)-MATCH($A$1,fork_awake_units!$1:$1,0)+1,FALSE)</f>
        <v>647</v>
      </c>
      <c r="D869" s="3" t="str">
        <f ca="1">VLOOKUP($C869,OFFSET([2]characters!$A$1,0,0,COUNTA([2]characters!$A:$A),MATCH(D$1,[2]characters!$1:$1,0)-MATCH($A$1,[2]characters!$1:$1,0)+1),MATCH(D$1,[2]characters!$1:$1,0)-MATCH($A$1,[2]characters!$1:$1,0)+1,FALSE)</f>
        <v>氷麗の雪化生 ユキ</v>
      </c>
      <c r="E869" s="66">
        <v>111</v>
      </c>
      <c r="F869" s="3" t="str">
        <f ca="1">VLOOKUP($E869,OFFSET([2]characters!$A$1,0,0,COUNTA([2]characters!$A:$A),MATCH(F$1,[2]characters!$1:$1,0)-MATCH($A$1,[2]characters!$1:$1,0)+1),MATCH(F$1,[2]characters!$1:$1,0)-MATCH($A$1,[2]characters!$1:$1,0)+1,FALSE)</f>
        <v>ブルーキャタップ</v>
      </c>
      <c r="G869" s="66">
        <v>1</v>
      </c>
      <c r="H869" s="66">
        <v>1</v>
      </c>
      <c r="I869" s="66">
        <v>1</v>
      </c>
    </row>
    <row r="870" spans="1:9" x14ac:dyDescent="0.15">
      <c r="A870" s="66">
        <v>646</v>
      </c>
      <c r="B870" s="3" t="str">
        <f ca="1">VLOOKUP($A870,OFFSET([2]characters!$A$1,0,0,COUNTA([2]characters!$A:$A),MATCH(B$1,[2]characters!$1:$1,0)-MATCH($A$1,[2]characters!$1:$1,0)+1),MATCH(B$1,[2]characters!$1:$1,0)-MATCH($A$1,[2]characters!$1:$1,0)+1,FALSE)</f>
        <v>雪女 ユキ</v>
      </c>
      <c r="C870" s="93">
        <f ca="1">VLOOKUP($A870,OFFSET(fork_awake_units!$A$1,0,0,COUNTA(fork_awake_units!$A:$A),MATCH(C$1,fork_awake_units!$1:$1,0)-MATCH($A$1,fork_awake_units!$1:$1,0)+1),MATCH(C$1,fork_awake_units!$1:$1,0)-MATCH($A$1,fork_awake_units!$1:$1,0)+1,FALSE)</f>
        <v>647</v>
      </c>
      <c r="D870" s="3" t="str">
        <f ca="1">VLOOKUP($C870,OFFSET([2]characters!$A$1,0,0,COUNTA([2]characters!$A:$A),MATCH(D$1,[2]characters!$1:$1,0)-MATCH($A$1,[2]characters!$1:$1,0)+1),MATCH(D$1,[2]characters!$1:$1,0)-MATCH($A$1,[2]characters!$1:$1,0)+1,FALSE)</f>
        <v>氷麗の雪化生 ユキ</v>
      </c>
      <c r="E870" s="66">
        <v>112</v>
      </c>
      <c r="F870" s="3" t="str">
        <f ca="1">VLOOKUP($E870,OFFSET([2]characters!$A$1,0,0,COUNTA([2]characters!$A:$A),MATCH(F$1,[2]characters!$1:$1,0)-MATCH($A$1,[2]characters!$1:$1,0)+1),MATCH(F$1,[2]characters!$1:$1,0)-MATCH($A$1,[2]characters!$1:$1,0)+1,FALSE)</f>
        <v>水のマッドハッター</v>
      </c>
      <c r="G870" s="66">
        <v>1</v>
      </c>
      <c r="H870" s="66">
        <v>1</v>
      </c>
      <c r="I870" s="66">
        <v>1</v>
      </c>
    </row>
    <row r="871" spans="1:9" x14ac:dyDescent="0.15">
      <c r="A871" s="66">
        <v>648</v>
      </c>
      <c r="B871" s="3" t="str">
        <f ca="1">VLOOKUP($A871,OFFSET([2]characters!$A$1,0,0,COUNTA([2]characters!$A:$A),MATCH(B$1,[2]characters!$1:$1,0)-MATCH($A$1,[2]characters!$1:$1,0)+1),MATCH(B$1,[2]characters!$1:$1,0)-MATCH($A$1,[2]characters!$1:$1,0)+1,FALSE)</f>
        <v>パールヴァティ</v>
      </c>
      <c r="C871" s="93">
        <f ca="1">VLOOKUP($A871,OFFSET(fork_awake_units!$A$1,0,0,COUNTA(fork_awake_units!$A:$A),MATCH(C$1,fork_awake_units!$1:$1,0)-MATCH($A$1,fork_awake_units!$1:$1,0)+1),MATCH(C$1,fork_awake_units!$1:$1,0)-MATCH($A$1,fork_awake_units!$1:$1,0)+1,FALSE)</f>
        <v>649</v>
      </c>
      <c r="D871" s="3" t="str">
        <f ca="1">VLOOKUP($C871,OFFSET([2]characters!$A$1,0,0,COUNTA([2]characters!$A:$A),MATCH(D$1,[2]characters!$1:$1,0)-MATCH($A$1,[2]characters!$1:$1,0)+1),MATCH(D$1,[2]characters!$1:$1,0)-MATCH($A$1,[2]characters!$1:$1,0)+1,FALSE)</f>
        <v>寄咲く一輪華 パールヴァティ</v>
      </c>
      <c r="E871" s="66">
        <v>109</v>
      </c>
      <c r="F871" s="3" t="str">
        <f ca="1">VLOOKUP($E871,OFFSET([2]characters!$A$1,0,0,COUNTA([2]characters!$A:$A),MATCH(F$1,[2]characters!$1:$1,0)-MATCH($A$1,[2]characters!$1:$1,0)+1),MATCH(F$1,[2]characters!$1:$1,0)-MATCH($A$1,[2]characters!$1:$1,0)+1,FALSE)</f>
        <v>ブルーチェシャ</v>
      </c>
      <c r="G871" s="66">
        <v>1</v>
      </c>
      <c r="H871" s="66">
        <v>1</v>
      </c>
      <c r="I871" s="66">
        <v>1</v>
      </c>
    </row>
    <row r="872" spans="1:9" x14ac:dyDescent="0.15">
      <c r="A872" s="66">
        <v>648</v>
      </c>
      <c r="B872" s="3" t="str">
        <f ca="1">VLOOKUP($A872,OFFSET([2]characters!$A$1,0,0,COUNTA([2]characters!$A:$A),MATCH(B$1,[2]characters!$1:$1,0)-MATCH($A$1,[2]characters!$1:$1,0)+1),MATCH(B$1,[2]characters!$1:$1,0)-MATCH($A$1,[2]characters!$1:$1,0)+1,FALSE)</f>
        <v>パールヴァティ</v>
      </c>
      <c r="C872" s="93">
        <f ca="1">VLOOKUP($A872,OFFSET(fork_awake_units!$A$1,0,0,COUNTA(fork_awake_units!$A:$A),MATCH(C$1,fork_awake_units!$1:$1,0)-MATCH($A$1,fork_awake_units!$1:$1,0)+1),MATCH(C$1,fork_awake_units!$1:$1,0)-MATCH($A$1,fork_awake_units!$1:$1,0)+1,FALSE)</f>
        <v>649</v>
      </c>
      <c r="D872" s="3" t="str">
        <f ca="1">VLOOKUP($C872,OFFSET([2]characters!$A$1,0,0,COUNTA([2]characters!$A:$A),MATCH(D$1,[2]characters!$1:$1,0)-MATCH($A$1,[2]characters!$1:$1,0)+1),MATCH(D$1,[2]characters!$1:$1,0)-MATCH($A$1,[2]characters!$1:$1,0)+1,FALSE)</f>
        <v>寄咲く一輪華 パールヴァティ</v>
      </c>
      <c r="E872" s="66">
        <v>110</v>
      </c>
      <c r="F872" s="3" t="str">
        <f ca="1">VLOOKUP($E872,OFFSET([2]characters!$A$1,0,0,COUNTA([2]characters!$A:$A),MATCH(F$1,[2]characters!$1:$1,0)-MATCH($A$1,[2]characters!$1:$1,0)+1),MATCH(F$1,[2]characters!$1:$1,0)-MATCH($A$1,[2]characters!$1:$1,0)+1,FALSE)</f>
        <v>ブルーラビット</v>
      </c>
      <c r="G872" s="66">
        <v>2</v>
      </c>
      <c r="H872" s="66">
        <v>1</v>
      </c>
      <c r="I872" s="66">
        <v>1</v>
      </c>
    </row>
    <row r="873" spans="1:9" x14ac:dyDescent="0.15">
      <c r="A873" s="66">
        <v>648</v>
      </c>
      <c r="B873" s="3" t="str">
        <f ca="1">VLOOKUP($A873,OFFSET([2]characters!$A$1,0,0,COUNTA([2]characters!$A:$A),MATCH(B$1,[2]characters!$1:$1,0)-MATCH($A$1,[2]characters!$1:$1,0)+1),MATCH(B$1,[2]characters!$1:$1,0)-MATCH($A$1,[2]characters!$1:$1,0)+1,FALSE)</f>
        <v>パールヴァティ</v>
      </c>
      <c r="C873" s="93">
        <f ca="1">VLOOKUP($A873,OFFSET(fork_awake_units!$A$1,0,0,COUNTA(fork_awake_units!$A:$A),MATCH(C$1,fork_awake_units!$1:$1,0)-MATCH($A$1,fork_awake_units!$1:$1,0)+1),MATCH(C$1,fork_awake_units!$1:$1,0)-MATCH($A$1,fork_awake_units!$1:$1,0)+1,FALSE)</f>
        <v>649</v>
      </c>
      <c r="D873" s="3" t="str">
        <f ca="1">VLOOKUP($C873,OFFSET([2]characters!$A$1,0,0,COUNTA([2]characters!$A:$A),MATCH(D$1,[2]characters!$1:$1,0)-MATCH($A$1,[2]characters!$1:$1,0)+1),MATCH(D$1,[2]characters!$1:$1,0)-MATCH($A$1,[2]characters!$1:$1,0)+1,FALSE)</f>
        <v>寄咲く一輪華 パールヴァティ</v>
      </c>
      <c r="E873" s="66">
        <v>111</v>
      </c>
      <c r="F873" s="3" t="str">
        <f ca="1">VLOOKUP($E873,OFFSET([2]characters!$A$1,0,0,COUNTA([2]characters!$A:$A),MATCH(F$1,[2]characters!$1:$1,0)-MATCH($A$1,[2]characters!$1:$1,0)+1),MATCH(F$1,[2]characters!$1:$1,0)-MATCH($A$1,[2]characters!$1:$1,0)+1,FALSE)</f>
        <v>ブルーキャタップ</v>
      </c>
      <c r="G873" s="66">
        <v>1</v>
      </c>
      <c r="H873" s="66">
        <v>1</v>
      </c>
      <c r="I873" s="66">
        <v>1</v>
      </c>
    </row>
    <row r="874" spans="1:9" x14ac:dyDescent="0.15">
      <c r="A874" s="66">
        <v>648</v>
      </c>
      <c r="B874" s="3" t="str">
        <f ca="1">VLOOKUP($A874,OFFSET([2]characters!$A$1,0,0,COUNTA([2]characters!$A:$A),MATCH(B$1,[2]characters!$1:$1,0)-MATCH($A$1,[2]characters!$1:$1,0)+1),MATCH(B$1,[2]characters!$1:$1,0)-MATCH($A$1,[2]characters!$1:$1,0)+1,FALSE)</f>
        <v>パールヴァティ</v>
      </c>
      <c r="C874" s="93">
        <f ca="1">VLOOKUP($A874,OFFSET(fork_awake_units!$A$1,0,0,COUNTA(fork_awake_units!$A:$A),MATCH(C$1,fork_awake_units!$1:$1,0)-MATCH($A$1,fork_awake_units!$1:$1,0)+1),MATCH(C$1,fork_awake_units!$1:$1,0)-MATCH($A$1,fork_awake_units!$1:$1,0)+1,FALSE)</f>
        <v>649</v>
      </c>
      <c r="D874" s="3" t="str">
        <f ca="1">VLOOKUP($C874,OFFSET([2]characters!$A$1,0,0,COUNTA([2]characters!$A:$A),MATCH(D$1,[2]characters!$1:$1,0)-MATCH($A$1,[2]characters!$1:$1,0)+1),MATCH(D$1,[2]characters!$1:$1,0)-MATCH($A$1,[2]characters!$1:$1,0)+1,FALSE)</f>
        <v>寄咲く一輪華 パールヴァティ</v>
      </c>
      <c r="E874" s="66">
        <v>112</v>
      </c>
      <c r="F874" s="3" t="str">
        <f ca="1">VLOOKUP($E874,OFFSET([2]characters!$A$1,0,0,COUNTA([2]characters!$A:$A),MATCH(F$1,[2]characters!$1:$1,0)-MATCH($A$1,[2]characters!$1:$1,0)+1),MATCH(F$1,[2]characters!$1:$1,0)-MATCH($A$1,[2]characters!$1:$1,0)+1,FALSE)</f>
        <v>水のマッドハッター</v>
      </c>
      <c r="G874" s="66">
        <v>1</v>
      </c>
      <c r="H874" s="66">
        <v>1</v>
      </c>
      <c r="I874" s="66">
        <v>1</v>
      </c>
    </row>
    <row r="875" spans="1:9" x14ac:dyDescent="0.15">
      <c r="A875" s="66">
        <v>650</v>
      </c>
      <c r="B875" s="3" t="str">
        <f ca="1">VLOOKUP($A875,OFFSET([2]characters!$A$1,0,0,COUNTA([2]characters!$A:$A),MATCH(B$1,[2]characters!$1:$1,0)-MATCH($A$1,[2]characters!$1:$1,0)+1),MATCH(B$1,[2]characters!$1:$1,0)-MATCH($A$1,[2]characters!$1:$1,0)+1,FALSE)</f>
        <v>土蜘蛛 ユウヤ</v>
      </c>
      <c r="C875" s="93">
        <f ca="1">VLOOKUP($A875,OFFSET(fork_awake_units!$A$1,0,0,COUNTA(fork_awake_units!$A:$A),MATCH(C$1,fork_awake_units!$1:$1,0)-MATCH($A$1,fork_awake_units!$1:$1,0)+1),MATCH(C$1,fork_awake_units!$1:$1,0)-MATCH($A$1,fork_awake_units!$1:$1,0)+1,FALSE)</f>
        <v>651</v>
      </c>
      <c r="D875" s="3" t="str">
        <f ca="1">VLOOKUP($C875,OFFSET([2]characters!$A$1,0,0,COUNTA([2]characters!$A:$A),MATCH(D$1,[2]characters!$1:$1,0)-MATCH($A$1,[2]characters!$1:$1,0)+1),MATCH(D$1,[2]characters!$1:$1,0)-MATCH($A$1,[2]characters!$1:$1,0)+1,FALSE)</f>
        <v>八重祟障 ユウヤ</v>
      </c>
      <c r="E875" s="66">
        <v>113</v>
      </c>
      <c r="F875" s="3" t="str">
        <f ca="1">VLOOKUP($E875,OFFSET([2]characters!$A$1,0,0,COUNTA([2]characters!$A:$A),MATCH(F$1,[2]characters!$1:$1,0)-MATCH($A$1,[2]characters!$1:$1,0)+1),MATCH(F$1,[2]characters!$1:$1,0)-MATCH($A$1,[2]characters!$1:$1,0)+1,FALSE)</f>
        <v>イエローチェシャ</v>
      </c>
      <c r="G875" s="66">
        <v>1</v>
      </c>
      <c r="H875" s="66">
        <v>1</v>
      </c>
      <c r="I875" s="66">
        <v>1</v>
      </c>
    </row>
    <row r="876" spans="1:9" x14ac:dyDescent="0.15">
      <c r="A876" s="66">
        <v>650</v>
      </c>
      <c r="B876" s="3" t="str">
        <f ca="1">VLOOKUP($A876,OFFSET([2]characters!$A$1,0,0,COUNTA([2]characters!$A:$A),MATCH(B$1,[2]characters!$1:$1,0)-MATCH($A$1,[2]characters!$1:$1,0)+1),MATCH(B$1,[2]characters!$1:$1,0)-MATCH($A$1,[2]characters!$1:$1,0)+1,FALSE)</f>
        <v>土蜘蛛 ユウヤ</v>
      </c>
      <c r="C876" s="93">
        <f ca="1">VLOOKUP($A876,OFFSET(fork_awake_units!$A$1,0,0,COUNTA(fork_awake_units!$A:$A),MATCH(C$1,fork_awake_units!$1:$1,0)-MATCH($A$1,fork_awake_units!$1:$1,0)+1),MATCH(C$1,fork_awake_units!$1:$1,0)-MATCH($A$1,fork_awake_units!$1:$1,0)+1,FALSE)</f>
        <v>651</v>
      </c>
      <c r="D876" s="3" t="str">
        <f ca="1">VLOOKUP($C876,OFFSET([2]characters!$A$1,0,0,COUNTA([2]characters!$A:$A),MATCH(D$1,[2]characters!$1:$1,0)-MATCH($A$1,[2]characters!$1:$1,0)+1),MATCH(D$1,[2]characters!$1:$1,0)-MATCH($A$1,[2]characters!$1:$1,0)+1,FALSE)</f>
        <v>八重祟障 ユウヤ</v>
      </c>
      <c r="E876" s="66">
        <v>114</v>
      </c>
      <c r="F876" s="3" t="str">
        <f ca="1">VLOOKUP($E876,OFFSET([2]characters!$A$1,0,0,COUNTA([2]characters!$A:$A),MATCH(F$1,[2]characters!$1:$1,0)-MATCH($A$1,[2]characters!$1:$1,0)+1),MATCH(F$1,[2]characters!$1:$1,0)-MATCH($A$1,[2]characters!$1:$1,0)+1,FALSE)</f>
        <v>イエローラビット</v>
      </c>
      <c r="G876" s="66">
        <v>2</v>
      </c>
      <c r="H876" s="66">
        <v>1</v>
      </c>
      <c r="I876" s="66">
        <v>1</v>
      </c>
    </row>
    <row r="877" spans="1:9" x14ac:dyDescent="0.15">
      <c r="A877" s="66">
        <v>650</v>
      </c>
      <c r="B877" s="3" t="str">
        <f ca="1">VLOOKUP($A877,OFFSET([2]characters!$A$1,0,0,COUNTA([2]characters!$A:$A),MATCH(B$1,[2]characters!$1:$1,0)-MATCH($A$1,[2]characters!$1:$1,0)+1),MATCH(B$1,[2]characters!$1:$1,0)-MATCH($A$1,[2]characters!$1:$1,0)+1,FALSE)</f>
        <v>土蜘蛛 ユウヤ</v>
      </c>
      <c r="C877" s="93">
        <f ca="1">VLOOKUP($A877,OFFSET(fork_awake_units!$A$1,0,0,COUNTA(fork_awake_units!$A:$A),MATCH(C$1,fork_awake_units!$1:$1,0)-MATCH($A$1,fork_awake_units!$1:$1,0)+1),MATCH(C$1,fork_awake_units!$1:$1,0)-MATCH($A$1,fork_awake_units!$1:$1,0)+1,FALSE)</f>
        <v>651</v>
      </c>
      <c r="D877" s="3" t="str">
        <f ca="1">VLOOKUP($C877,OFFSET([2]characters!$A$1,0,0,COUNTA([2]characters!$A:$A),MATCH(D$1,[2]characters!$1:$1,0)-MATCH($A$1,[2]characters!$1:$1,0)+1),MATCH(D$1,[2]characters!$1:$1,0)-MATCH($A$1,[2]characters!$1:$1,0)+1,FALSE)</f>
        <v>八重祟障 ユウヤ</v>
      </c>
      <c r="E877" s="66">
        <v>115</v>
      </c>
      <c r="F877" s="3" t="str">
        <f ca="1">VLOOKUP($E877,OFFSET([2]characters!$A$1,0,0,COUNTA([2]characters!$A:$A),MATCH(F$1,[2]characters!$1:$1,0)-MATCH($A$1,[2]characters!$1:$1,0)+1),MATCH(F$1,[2]characters!$1:$1,0)-MATCH($A$1,[2]characters!$1:$1,0)+1,FALSE)</f>
        <v>イエローキャタップ</v>
      </c>
      <c r="G877" s="66">
        <v>1</v>
      </c>
      <c r="H877" s="66">
        <v>1</v>
      </c>
      <c r="I877" s="66">
        <v>1</v>
      </c>
    </row>
    <row r="878" spans="1:9" x14ac:dyDescent="0.15">
      <c r="A878" s="66">
        <v>650</v>
      </c>
      <c r="B878" s="3" t="str">
        <f ca="1">VLOOKUP($A878,OFFSET([2]characters!$A$1,0,0,COUNTA([2]characters!$A:$A),MATCH(B$1,[2]characters!$1:$1,0)-MATCH($A$1,[2]characters!$1:$1,0)+1),MATCH(B$1,[2]characters!$1:$1,0)-MATCH($A$1,[2]characters!$1:$1,0)+1,FALSE)</f>
        <v>土蜘蛛 ユウヤ</v>
      </c>
      <c r="C878" s="93">
        <f ca="1">VLOOKUP($A878,OFFSET(fork_awake_units!$A$1,0,0,COUNTA(fork_awake_units!$A:$A),MATCH(C$1,fork_awake_units!$1:$1,0)-MATCH($A$1,fork_awake_units!$1:$1,0)+1),MATCH(C$1,fork_awake_units!$1:$1,0)-MATCH($A$1,fork_awake_units!$1:$1,0)+1,FALSE)</f>
        <v>651</v>
      </c>
      <c r="D878" s="3" t="str">
        <f ca="1">VLOOKUP($C878,OFFSET([2]characters!$A$1,0,0,COUNTA([2]characters!$A:$A),MATCH(D$1,[2]characters!$1:$1,0)-MATCH($A$1,[2]characters!$1:$1,0)+1),MATCH(D$1,[2]characters!$1:$1,0)-MATCH($A$1,[2]characters!$1:$1,0)+1,FALSE)</f>
        <v>八重祟障 ユウヤ</v>
      </c>
      <c r="E878" s="66">
        <v>116</v>
      </c>
      <c r="F878" s="3" t="str">
        <f ca="1">VLOOKUP($E878,OFFSET([2]characters!$A$1,0,0,COUNTA([2]characters!$A:$A),MATCH(F$1,[2]characters!$1:$1,0)-MATCH($A$1,[2]characters!$1:$1,0)+1),MATCH(F$1,[2]characters!$1:$1,0)-MATCH($A$1,[2]characters!$1:$1,0)+1,FALSE)</f>
        <v>雷のマッドハッター</v>
      </c>
      <c r="G878" s="66">
        <v>1</v>
      </c>
      <c r="H878" s="66">
        <v>1</v>
      </c>
      <c r="I878" s="66">
        <v>1</v>
      </c>
    </row>
    <row r="879" spans="1:9" x14ac:dyDescent="0.15">
      <c r="A879" s="66">
        <v>652</v>
      </c>
      <c r="B879" s="3" t="str">
        <f ca="1">VLOOKUP($A879,OFFSET([2]characters!$A$1,0,0,COUNTA([2]characters!$A:$A),MATCH(B$1,[2]characters!$1:$1,0)-MATCH($A$1,[2]characters!$1:$1,0)+1),MATCH(B$1,[2]characters!$1:$1,0)-MATCH($A$1,[2]characters!$1:$1,0)+1,FALSE)</f>
        <v>アナンタ</v>
      </c>
      <c r="C879" s="93">
        <f ca="1">VLOOKUP($A879,OFFSET(fork_awake_units!$A$1,0,0,COUNTA(fork_awake_units!$A:$A),MATCH(C$1,fork_awake_units!$1:$1,0)-MATCH($A$1,fork_awake_units!$1:$1,0)+1),MATCH(C$1,fork_awake_units!$1:$1,0)-MATCH($A$1,fork_awake_units!$1:$1,0)+1,FALSE)</f>
        <v>653</v>
      </c>
      <c r="D879" s="3" t="str">
        <f ca="1">VLOOKUP($C879,OFFSET([2]characters!$A$1,0,0,COUNTA([2]characters!$A:$A),MATCH(D$1,[2]characters!$1:$1,0)-MATCH($A$1,[2]characters!$1:$1,0)+1),MATCH(D$1,[2]characters!$1:$1,0)-MATCH($A$1,[2]characters!$1:$1,0)+1,FALSE)</f>
        <v>悠久の狡蛇 アナンタ</v>
      </c>
      <c r="E879" s="66">
        <v>113</v>
      </c>
      <c r="F879" s="3" t="str">
        <f ca="1">VLOOKUP($E879,OFFSET([2]characters!$A$1,0,0,COUNTA([2]characters!$A:$A),MATCH(F$1,[2]characters!$1:$1,0)-MATCH($A$1,[2]characters!$1:$1,0)+1),MATCH(F$1,[2]characters!$1:$1,0)-MATCH($A$1,[2]characters!$1:$1,0)+1,FALSE)</f>
        <v>イエローチェシャ</v>
      </c>
      <c r="G879" s="66">
        <v>1</v>
      </c>
      <c r="H879" s="66">
        <v>1</v>
      </c>
      <c r="I879" s="66">
        <v>1</v>
      </c>
    </row>
    <row r="880" spans="1:9" x14ac:dyDescent="0.15">
      <c r="A880" s="66">
        <v>652</v>
      </c>
      <c r="B880" s="3" t="str">
        <f ca="1">VLOOKUP($A880,OFFSET([2]characters!$A$1,0,0,COUNTA([2]characters!$A:$A),MATCH(B$1,[2]characters!$1:$1,0)-MATCH($A$1,[2]characters!$1:$1,0)+1),MATCH(B$1,[2]characters!$1:$1,0)-MATCH($A$1,[2]characters!$1:$1,0)+1,FALSE)</f>
        <v>アナンタ</v>
      </c>
      <c r="C880" s="93">
        <f ca="1">VLOOKUP($A880,OFFSET(fork_awake_units!$A$1,0,0,COUNTA(fork_awake_units!$A:$A),MATCH(C$1,fork_awake_units!$1:$1,0)-MATCH($A$1,fork_awake_units!$1:$1,0)+1),MATCH(C$1,fork_awake_units!$1:$1,0)-MATCH($A$1,fork_awake_units!$1:$1,0)+1,FALSE)</f>
        <v>653</v>
      </c>
      <c r="D880" s="3" t="str">
        <f ca="1">VLOOKUP($C880,OFFSET([2]characters!$A$1,0,0,COUNTA([2]characters!$A:$A),MATCH(D$1,[2]characters!$1:$1,0)-MATCH($A$1,[2]characters!$1:$1,0)+1),MATCH(D$1,[2]characters!$1:$1,0)-MATCH($A$1,[2]characters!$1:$1,0)+1,FALSE)</f>
        <v>悠久の狡蛇 アナンタ</v>
      </c>
      <c r="E880" s="66">
        <v>114</v>
      </c>
      <c r="F880" s="3" t="str">
        <f ca="1">VLOOKUP($E880,OFFSET([2]characters!$A$1,0,0,COUNTA([2]characters!$A:$A),MATCH(F$1,[2]characters!$1:$1,0)-MATCH($A$1,[2]characters!$1:$1,0)+1),MATCH(F$1,[2]characters!$1:$1,0)-MATCH($A$1,[2]characters!$1:$1,0)+1,FALSE)</f>
        <v>イエローラビット</v>
      </c>
      <c r="G880" s="66">
        <v>2</v>
      </c>
      <c r="H880" s="66">
        <v>1</v>
      </c>
      <c r="I880" s="66">
        <v>1</v>
      </c>
    </row>
    <row r="881" spans="1:9" x14ac:dyDescent="0.15">
      <c r="A881" s="66">
        <v>652</v>
      </c>
      <c r="B881" s="3" t="str">
        <f ca="1">VLOOKUP($A881,OFFSET([2]characters!$A$1,0,0,COUNTA([2]characters!$A:$A),MATCH(B$1,[2]characters!$1:$1,0)-MATCH($A$1,[2]characters!$1:$1,0)+1),MATCH(B$1,[2]characters!$1:$1,0)-MATCH($A$1,[2]characters!$1:$1,0)+1,FALSE)</f>
        <v>アナンタ</v>
      </c>
      <c r="C881" s="93">
        <f ca="1">VLOOKUP($A881,OFFSET(fork_awake_units!$A$1,0,0,COUNTA(fork_awake_units!$A:$A),MATCH(C$1,fork_awake_units!$1:$1,0)-MATCH($A$1,fork_awake_units!$1:$1,0)+1),MATCH(C$1,fork_awake_units!$1:$1,0)-MATCH($A$1,fork_awake_units!$1:$1,0)+1,FALSE)</f>
        <v>653</v>
      </c>
      <c r="D881" s="3" t="str">
        <f ca="1">VLOOKUP($C881,OFFSET([2]characters!$A$1,0,0,COUNTA([2]characters!$A:$A),MATCH(D$1,[2]characters!$1:$1,0)-MATCH($A$1,[2]characters!$1:$1,0)+1),MATCH(D$1,[2]characters!$1:$1,0)-MATCH($A$1,[2]characters!$1:$1,0)+1,FALSE)</f>
        <v>悠久の狡蛇 アナンタ</v>
      </c>
      <c r="E881" s="66">
        <v>115</v>
      </c>
      <c r="F881" s="3" t="str">
        <f ca="1">VLOOKUP($E881,OFFSET([2]characters!$A$1,0,0,COUNTA([2]characters!$A:$A),MATCH(F$1,[2]characters!$1:$1,0)-MATCH($A$1,[2]characters!$1:$1,0)+1),MATCH(F$1,[2]characters!$1:$1,0)-MATCH($A$1,[2]characters!$1:$1,0)+1,FALSE)</f>
        <v>イエローキャタップ</v>
      </c>
      <c r="G881" s="66">
        <v>1</v>
      </c>
      <c r="H881" s="66">
        <v>1</v>
      </c>
      <c r="I881" s="66">
        <v>1</v>
      </c>
    </row>
    <row r="882" spans="1:9" x14ac:dyDescent="0.15">
      <c r="A882" s="66">
        <v>652</v>
      </c>
      <c r="B882" s="3" t="str">
        <f ca="1">VLOOKUP($A882,OFFSET([2]characters!$A$1,0,0,COUNTA([2]characters!$A:$A),MATCH(B$1,[2]characters!$1:$1,0)-MATCH($A$1,[2]characters!$1:$1,0)+1),MATCH(B$1,[2]characters!$1:$1,0)-MATCH($A$1,[2]characters!$1:$1,0)+1,FALSE)</f>
        <v>アナンタ</v>
      </c>
      <c r="C882" s="93">
        <f ca="1">VLOOKUP($A882,OFFSET(fork_awake_units!$A$1,0,0,COUNTA(fork_awake_units!$A:$A),MATCH(C$1,fork_awake_units!$1:$1,0)-MATCH($A$1,fork_awake_units!$1:$1,0)+1),MATCH(C$1,fork_awake_units!$1:$1,0)-MATCH($A$1,fork_awake_units!$1:$1,0)+1,FALSE)</f>
        <v>653</v>
      </c>
      <c r="D882" s="3" t="str">
        <f ca="1">VLOOKUP($C882,OFFSET([2]characters!$A$1,0,0,COUNTA([2]characters!$A:$A),MATCH(D$1,[2]characters!$1:$1,0)-MATCH($A$1,[2]characters!$1:$1,0)+1),MATCH(D$1,[2]characters!$1:$1,0)-MATCH($A$1,[2]characters!$1:$1,0)+1,FALSE)</f>
        <v>悠久の狡蛇 アナンタ</v>
      </c>
      <c r="E882" s="66">
        <v>116</v>
      </c>
      <c r="F882" s="3" t="str">
        <f ca="1">VLOOKUP($E882,OFFSET([2]characters!$A$1,0,0,COUNTA([2]characters!$A:$A),MATCH(F$1,[2]characters!$1:$1,0)-MATCH($A$1,[2]characters!$1:$1,0)+1),MATCH(F$1,[2]characters!$1:$1,0)-MATCH($A$1,[2]characters!$1:$1,0)+1,FALSE)</f>
        <v>雷のマッドハッター</v>
      </c>
      <c r="G882" s="66">
        <v>1</v>
      </c>
      <c r="H882" s="66">
        <v>1</v>
      </c>
      <c r="I882" s="66">
        <v>1</v>
      </c>
    </row>
    <row r="883" spans="1:9" x14ac:dyDescent="0.15">
      <c r="A883" s="66">
        <v>654</v>
      </c>
      <c r="B883" s="3" t="str">
        <f ca="1">VLOOKUP($A883,OFFSET([2]characters!$A$1,0,0,COUNTA([2]characters!$A:$A),MATCH(B$1,[2]characters!$1:$1,0)-MATCH($A$1,[2]characters!$1:$1,0)+1),MATCH(B$1,[2]characters!$1:$1,0)-MATCH($A$1,[2]characters!$1:$1,0)+1,FALSE)</f>
        <v>酒呑童子 ヨミ</v>
      </c>
      <c r="C883" s="93">
        <f ca="1">VLOOKUP($A883,OFFSET(fork_awake_units!$A$1,0,0,COUNTA(fork_awake_units!$A:$A),MATCH(C$1,fork_awake_units!$1:$1,0)-MATCH($A$1,fork_awake_units!$1:$1,0)+1),MATCH(C$1,fork_awake_units!$1:$1,0)-MATCH($A$1,fork_awake_units!$1:$1,0)+1,FALSE)</f>
        <v>655</v>
      </c>
      <c r="D883" s="3" t="str">
        <f ca="1">VLOOKUP($C883,OFFSET([2]characters!$A$1,0,0,COUNTA([2]characters!$A:$A),MATCH(D$1,[2]characters!$1:$1,0)-MATCH($A$1,[2]characters!$1:$1,0)+1),MATCH(D$1,[2]characters!$1:$1,0)-MATCH($A$1,[2]characters!$1:$1,0)+1,FALSE)</f>
        <v>桜花舞う嵐鬼神 ヨミ</v>
      </c>
      <c r="E883" s="66">
        <v>116</v>
      </c>
      <c r="F883" s="3" t="str">
        <f ca="1">VLOOKUP($E883,OFFSET([2]characters!$A$1,0,0,COUNTA([2]characters!$A:$A),MATCH(F$1,[2]characters!$1:$1,0)-MATCH($A$1,[2]characters!$1:$1,0)+1),MATCH(F$1,[2]characters!$1:$1,0)-MATCH($A$1,[2]characters!$1:$1,0)+1,FALSE)</f>
        <v>雷のマッドハッター</v>
      </c>
      <c r="G883" s="66">
        <v>1</v>
      </c>
      <c r="H883" s="66">
        <v>1</v>
      </c>
      <c r="I883" s="66">
        <v>1</v>
      </c>
    </row>
    <row r="884" spans="1:9" x14ac:dyDescent="0.15">
      <c r="A884" s="66">
        <v>654</v>
      </c>
      <c r="B884" s="3" t="str">
        <f ca="1">VLOOKUP($A884,OFFSET([2]characters!$A$1,0,0,COUNTA([2]characters!$A:$A),MATCH(B$1,[2]characters!$1:$1,0)-MATCH($A$1,[2]characters!$1:$1,0)+1),MATCH(B$1,[2]characters!$1:$1,0)-MATCH($A$1,[2]characters!$1:$1,0)+1,FALSE)</f>
        <v>酒呑童子 ヨミ</v>
      </c>
      <c r="C884" s="93">
        <f ca="1">VLOOKUP($A884,OFFSET(fork_awake_units!$A$1,0,0,COUNTA(fork_awake_units!$A:$A),MATCH(C$1,fork_awake_units!$1:$1,0)-MATCH($A$1,fork_awake_units!$1:$1,0)+1),MATCH(C$1,fork_awake_units!$1:$1,0)-MATCH($A$1,fork_awake_units!$1:$1,0)+1,FALSE)</f>
        <v>655</v>
      </c>
      <c r="D884" s="3" t="str">
        <f ca="1">VLOOKUP($C884,OFFSET([2]characters!$A$1,0,0,COUNTA([2]characters!$A:$A),MATCH(D$1,[2]characters!$1:$1,0)-MATCH($A$1,[2]characters!$1:$1,0)+1),MATCH(D$1,[2]characters!$1:$1,0)-MATCH($A$1,[2]characters!$1:$1,0)+1,FALSE)</f>
        <v>桜花舞う嵐鬼神 ヨミ</v>
      </c>
      <c r="E884" s="66">
        <v>424</v>
      </c>
      <c r="F884" s="3" t="str">
        <f ca="1">VLOOKUP($E884,OFFSET([2]characters!$A$1,0,0,COUNTA([2]characters!$A:$A),MATCH(F$1,[2]characters!$1:$1,0)-MATCH($A$1,[2]characters!$1:$1,0)+1),MATCH(F$1,[2]characters!$1:$1,0)-MATCH($A$1,[2]characters!$1:$1,0)+1,FALSE)</f>
        <v>フック</v>
      </c>
      <c r="G884" s="66">
        <v>1</v>
      </c>
      <c r="H884" s="66">
        <v>2</v>
      </c>
      <c r="I884" s="66">
        <v>1</v>
      </c>
    </row>
    <row r="885" spans="1:9" x14ac:dyDescent="0.15">
      <c r="A885" s="66">
        <v>654</v>
      </c>
      <c r="B885" s="3" t="str">
        <f ca="1">VLOOKUP($A885,OFFSET([2]characters!$A$1,0,0,COUNTA([2]characters!$A:$A),MATCH(B$1,[2]characters!$1:$1,0)-MATCH($A$1,[2]characters!$1:$1,0)+1),MATCH(B$1,[2]characters!$1:$1,0)-MATCH($A$1,[2]characters!$1:$1,0)+1,FALSE)</f>
        <v>酒呑童子 ヨミ</v>
      </c>
      <c r="C885" s="93">
        <f ca="1">VLOOKUP($A885,OFFSET(fork_awake_units!$A$1,0,0,COUNTA(fork_awake_units!$A:$A),MATCH(C$1,fork_awake_units!$1:$1,0)-MATCH($A$1,fork_awake_units!$1:$1,0)+1),MATCH(C$1,fork_awake_units!$1:$1,0)-MATCH($A$1,fork_awake_units!$1:$1,0)+1,FALSE)</f>
        <v>655</v>
      </c>
      <c r="D885" s="3" t="str">
        <f ca="1">VLOOKUP($C885,OFFSET([2]characters!$A$1,0,0,COUNTA([2]characters!$A:$A),MATCH(D$1,[2]characters!$1:$1,0)-MATCH($A$1,[2]characters!$1:$1,0)+1),MATCH(D$1,[2]characters!$1:$1,0)-MATCH($A$1,[2]characters!$1:$1,0)+1,FALSE)</f>
        <v>桜花舞う嵐鬼神 ヨミ</v>
      </c>
      <c r="E885" s="66">
        <v>646</v>
      </c>
      <c r="F885" s="3" t="str">
        <f ca="1">VLOOKUP($E885,OFFSET([2]characters!$A$1,0,0,COUNTA([2]characters!$A:$A),MATCH(F$1,[2]characters!$1:$1,0)-MATCH($A$1,[2]characters!$1:$1,0)+1),MATCH(F$1,[2]characters!$1:$1,0)-MATCH($A$1,[2]characters!$1:$1,0)+1,FALSE)</f>
        <v>雪女 ユキ</v>
      </c>
      <c r="G885" s="66">
        <v>1</v>
      </c>
      <c r="H885" s="66">
        <v>2</v>
      </c>
      <c r="I885" s="66">
        <v>1</v>
      </c>
    </row>
    <row r="886" spans="1:9" x14ac:dyDescent="0.15">
      <c r="A886" s="66">
        <v>656</v>
      </c>
      <c r="B886" s="3" t="str">
        <f ca="1">VLOOKUP($A886,OFFSET([2]characters!$A$1,0,0,COUNTA([2]characters!$A:$A),MATCH(B$1,[2]characters!$1:$1,0)-MATCH($A$1,[2]characters!$1:$1,0)+1),MATCH(B$1,[2]characters!$1:$1,0)-MATCH($A$1,[2]characters!$1:$1,0)+1,FALSE)</f>
        <v>シヴァ</v>
      </c>
      <c r="C886" s="93">
        <f ca="1">VLOOKUP($A886,OFFSET(fork_awake_units!$A$1,0,0,COUNTA(fork_awake_units!$A:$A),MATCH(C$1,fork_awake_units!$1:$1,0)-MATCH($A$1,fork_awake_units!$1:$1,0)+1),MATCH(C$1,fork_awake_units!$1:$1,0)-MATCH($A$1,fork_awake_units!$1:$1,0)+1,FALSE)</f>
        <v>657</v>
      </c>
      <c r="D886" s="3" t="str">
        <f ca="1">VLOOKUP($C886,OFFSET([2]characters!$A$1,0,0,COUNTA([2]characters!$A:$A),MATCH(D$1,[2]characters!$1:$1,0)-MATCH($A$1,[2]characters!$1:$1,0)+1),MATCH(D$1,[2]characters!$1:$1,0)-MATCH($A$1,[2]characters!$1:$1,0)+1,FALSE)</f>
        <v>解滅の裁神 シヴァ</v>
      </c>
      <c r="E886" s="66">
        <v>112</v>
      </c>
      <c r="F886" s="3" t="str">
        <f ca="1">VLOOKUP($E886,OFFSET([2]characters!$A$1,0,0,COUNTA([2]characters!$A:$A),MATCH(F$1,[2]characters!$1:$1,0)-MATCH($A$1,[2]characters!$1:$1,0)+1),MATCH(F$1,[2]characters!$1:$1,0)-MATCH($A$1,[2]characters!$1:$1,0)+1,FALSE)</f>
        <v>水のマッドハッター</v>
      </c>
      <c r="G886" s="66">
        <v>1</v>
      </c>
      <c r="H886" s="66">
        <v>1</v>
      </c>
      <c r="I886" s="66">
        <v>1</v>
      </c>
    </row>
    <row r="887" spans="1:9" x14ac:dyDescent="0.15">
      <c r="A887" s="66">
        <v>656</v>
      </c>
      <c r="B887" s="3" t="str">
        <f ca="1">VLOOKUP($A887,OFFSET([2]characters!$A$1,0,0,COUNTA([2]characters!$A:$A),MATCH(B$1,[2]characters!$1:$1,0)-MATCH($A$1,[2]characters!$1:$1,0)+1),MATCH(B$1,[2]characters!$1:$1,0)-MATCH($A$1,[2]characters!$1:$1,0)+1,FALSE)</f>
        <v>シヴァ</v>
      </c>
      <c r="C887" s="93">
        <f ca="1">VLOOKUP($A887,OFFSET(fork_awake_units!$A$1,0,0,COUNTA(fork_awake_units!$A:$A),MATCH(C$1,fork_awake_units!$1:$1,0)-MATCH($A$1,fork_awake_units!$1:$1,0)+1),MATCH(C$1,fork_awake_units!$1:$1,0)-MATCH($A$1,fork_awake_units!$1:$1,0)+1,FALSE)</f>
        <v>657</v>
      </c>
      <c r="D887" s="3" t="str">
        <f ca="1">VLOOKUP($C887,OFFSET([2]characters!$A$1,0,0,COUNTA([2]characters!$A:$A),MATCH(D$1,[2]characters!$1:$1,0)-MATCH($A$1,[2]characters!$1:$1,0)+1),MATCH(D$1,[2]characters!$1:$1,0)-MATCH($A$1,[2]characters!$1:$1,0)+1,FALSE)</f>
        <v>解滅の裁神 シヴァ</v>
      </c>
      <c r="E887" s="66">
        <v>266</v>
      </c>
      <c r="F887" s="3" t="str">
        <f ca="1">VLOOKUP($E887,OFFSET([2]characters!$A$1,0,0,COUNTA([2]characters!$A:$A),MATCH(F$1,[2]characters!$1:$1,0)-MATCH($A$1,[2]characters!$1:$1,0)+1),MATCH(F$1,[2]characters!$1:$1,0)-MATCH($A$1,[2]characters!$1:$1,0)+1,FALSE)</f>
        <v>リリアンブルー</v>
      </c>
      <c r="G887" s="66">
        <v>1</v>
      </c>
      <c r="H887" s="66">
        <v>2</v>
      </c>
      <c r="I887" s="66">
        <v>1</v>
      </c>
    </row>
    <row r="888" spans="1:9" x14ac:dyDescent="0.15">
      <c r="A888" s="66">
        <v>656</v>
      </c>
      <c r="B888" s="3" t="str">
        <f ca="1">VLOOKUP($A888,OFFSET([2]characters!$A$1,0,0,COUNTA([2]characters!$A:$A),MATCH(B$1,[2]characters!$1:$1,0)-MATCH($A$1,[2]characters!$1:$1,0)+1),MATCH(B$1,[2]characters!$1:$1,0)-MATCH($A$1,[2]characters!$1:$1,0)+1,FALSE)</f>
        <v>シヴァ</v>
      </c>
      <c r="C888" s="93">
        <f ca="1">VLOOKUP($A888,OFFSET(fork_awake_units!$A$1,0,0,COUNTA(fork_awake_units!$A:$A),MATCH(C$1,fork_awake_units!$1:$1,0)-MATCH($A$1,fork_awake_units!$1:$1,0)+1),MATCH(C$1,fork_awake_units!$1:$1,0)-MATCH($A$1,fork_awake_units!$1:$1,0)+1,FALSE)</f>
        <v>657</v>
      </c>
      <c r="D888" s="3" t="str">
        <f ca="1">VLOOKUP($C888,OFFSET([2]characters!$A$1,0,0,COUNTA([2]characters!$A:$A),MATCH(D$1,[2]characters!$1:$1,0)-MATCH($A$1,[2]characters!$1:$1,0)+1),MATCH(D$1,[2]characters!$1:$1,0)-MATCH($A$1,[2]characters!$1:$1,0)+1,FALSE)</f>
        <v>解滅の裁神 シヴァ</v>
      </c>
      <c r="E888" s="66">
        <v>648</v>
      </c>
      <c r="F888" s="3" t="str">
        <f ca="1">VLOOKUP($E888,OFFSET([2]characters!$A$1,0,0,COUNTA([2]characters!$A:$A),MATCH(F$1,[2]characters!$1:$1,0)-MATCH($A$1,[2]characters!$1:$1,0)+1),MATCH(F$1,[2]characters!$1:$1,0)-MATCH($A$1,[2]characters!$1:$1,0)+1,FALSE)</f>
        <v>パールヴァティ</v>
      </c>
      <c r="G888" s="66">
        <v>1</v>
      </c>
      <c r="H888" s="66">
        <v>2</v>
      </c>
      <c r="I888" s="66">
        <v>1</v>
      </c>
    </row>
    <row r="889" spans="1:9" x14ac:dyDescent="0.15">
      <c r="A889" s="66">
        <v>658</v>
      </c>
      <c r="B889" s="3" t="str">
        <f ca="1">VLOOKUP($A889,OFFSET([2]characters!$A$1,0,0,COUNTA([2]characters!$A:$A),MATCH(B$1,[2]characters!$1:$1,0)-MATCH($A$1,[2]characters!$1:$1,0)+1),MATCH(B$1,[2]characters!$1:$1,0)-MATCH($A$1,[2]characters!$1:$1,0)+1,FALSE)</f>
        <v>猫又 クルミ</v>
      </c>
      <c r="C889" s="93">
        <f ca="1">VLOOKUP($A889,OFFSET(fork_awake_units!$A$1,0,0,COUNTA(fork_awake_units!$A:$A),MATCH(C$1,fork_awake_units!$1:$1,0)-MATCH($A$1,fork_awake_units!$1:$1,0)+1),MATCH(C$1,fork_awake_units!$1:$1,0)-MATCH($A$1,fork_awake_units!$1:$1,0)+1,FALSE)</f>
        <v>659</v>
      </c>
      <c r="D889" s="3" t="str">
        <f ca="1">VLOOKUP($C889,OFFSET([2]characters!$A$1,0,0,COUNTA([2]characters!$A:$A),MATCH(D$1,[2]characters!$1:$1,0)-MATCH($A$1,[2]characters!$1:$1,0)+1),MATCH(D$1,[2]characters!$1:$1,0)-MATCH($A$1,[2]characters!$1:$1,0)+1,FALSE)</f>
        <v>跳梁する化猫 クルミ</v>
      </c>
      <c r="E889" s="66">
        <v>103</v>
      </c>
      <c r="F889" s="3" t="str">
        <f ca="1">VLOOKUP($E889,OFFSET([2]characters!$A$1,0,0,COUNTA([2]characters!$A:$A),MATCH(F$1,[2]characters!$1:$1,0)-MATCH($A$1,[2]characters!$1:$1,0)+1),MATCH(F$1,[2]characters!$1:$1,0)-MATCH($A$1,[2]characters!$1:$1,0)+1,FALSE)</f>
        <v>レッドキャタップ</v>
      </c>
      <c r="G889" s="66">
        <v>2</v>
      </c>
      <c r="H889" s="66">
        <v>1</v>
      </c>
      <c r="I889" s="66">
        <v>1</v>
      </c>
    </row>
    <row r="890" spans="1:9" x14ac:dyDescent="0.15">
      <c r="A890" s="66">
        <v>658</v>
      </c>
      <c r="B890" s="3" t="str">
        <f ca="1">VLOOKUP($A890,OFFSET([2]characters!$A$1,0,0,COUNTA([2]characters!$A:$A),MATCH(B$1,[2]characters!$1:$1,0)-MATCH($A$1,[2]characters!$1:$1,0)+1),MATCH(B$1,[2]characters!$1:$1,0)-MATCH($A$1,[2]characters!$1:$1,0)+1,FALSE)</f>
        <v>猫又 クルミ</v>
      </c>
      <c r="C890" s="93">
        <f ca="1">VLOOKUP($A890,OFFSET(fork_awake_units!$A$1,0,0,COUNTA(fork_awake_units!$A:$A),MATCH(C$1,fork_awake_units!$1:$1,0)-MATCH($A$1,fork_awake_units!$1:$1,0)+1),MATCH(C$1,fork_awake_units!$1:$1,0)-MATCH($A$1,fork_awake_units!$1:$1,0)+1,FALSE)</f>
        <v>659</v>
      </c>
      <c r="D890" s="3" t="str">
        <f ca="1">VLOOKUP($C890,OFFSET([2]characters!$A$1,0,0,COUNTA([2]characters!$A:$A),MATCH(D$1,[2]characters!$1:$1,0)-MATCH($A$1,[2]characters!$1:$1,0)+1),MATCH(D$1,[2]characters!$1:$1,0)-MATCH($A$1,[2]characters!$1:$1,0)+1,FALSE)</f>
        <v>跳梁する化猫 クルミ</v>
      </c>
      <c r="E890" s="66">
        <v>104</v>
      </c>
      <c r="F890" s="3" t="str">
        <f ca="1">VLOOKUP($E890,OFFSET([2]characters!$A$1,0,0,COUNTA([2]characters!$A:$A),MATCH(F$1,[2]characters!$1:$1,0)-MATCH($A$1,[2]characters!$1:$1,0)+1),MATCH(F$1,[2]characters!$1:$1,0)-MATCH($A$1,[2]characters!$1:$1,0)+1,FALSE)</f>
        <v>炎のマッドハッター</v>
      </c>
      <c r="G890" s="66">
        <v>1</v>
      </c>
      <c r="H890" s="66">
        <v>1</v>
      </c>
      <c r="I890" s="66">
        <v>1</v>
      </c>
    </row>
    <row r="891" spans="1:9" x14ac:dyDescent="0.15">
      <c r="A891" s="66">
        <v>658</v>
      </c>
      <c r="B891" s="3" t="str">
        <f ca="1">VLOOKUP($A891,OFFSET([2]characters!$A$1,0,0,COUNTA([2]characters!$A:$A),MATCH(B$1,[2]characters!$1:$1,0)-MATCH($A$1,[2]characters!$1:$1,0)+1),MATCH(B$1,[2]characters!$1:$1,0)-MATCH($A$1,[2]characters!$1:$1,0)+1,FALSE)</f>
        <v>猫又 クルミ</v>
      </c>
      <c r="C891" s="93">
        <f ca="1">VLOOKUP($A891,OFFSET(fork_awake_units!$A$1,0,0,COUNTA(fork_awake_units!$A:$A),MATCH(C$1,fork_awake_units!$1:$1,0)-MATCH($A$1,fork_awake_units!$1:$1,0)+1),MATCH(C$1,fork_awake_units!$1:$1,0)-MATCH($A$1,fork_awake_units!$1:$1,0)+1,FALSE)</f>
        <v>659</v>
      </c>
      <c r="D891" s="3" t="str">
        <f ca="1">VLOOKUP($C891,OFFSET([2]characters!$A$1,0,0,COUNTA([2]characters!$A:$A),MATCH(D$1,[2]characters!$1:$1,0)-MATCH($A$1,[2]characters!$1:$1,0)+1),MATCH(D$1,[2]characters!$1:$1,0)-MATCH($A$1,[2]characters!$1:$1,0)+1,FALSE)</f>
        <v>跳梁する化猫 クルミ</v>
      </c>
      <c r="E891" s="66">
        <v>290</v>
      </c>
      <c r="F891" s="3" t="str">
        <f ca="1">VLOOKUP($E891,OFFSET([2]characters!$A$1,0,0,COUNTA([2]characters!$A:$A),MATCH(F$1,[2]characters!$1:$1,0)-MATCH($A$1,[2]characters!$1:$1,0)+1),MATCH(F$1,[2]characters!$1:$1,0)-MATCH($A$1,[2]characters!$1:$1,0)+1,FALSE)</f>
        <v>ウィッチ・オクトパス</v>
      </c>
      <c r="G891" s="66">
        <v>1</v>
      </c>
      <c r="H891" s="66">
        <v>1</v>
      </c>
      <c r="I891" s="66">
        <v>1</v>
      </c>
    </row>
    <row r="892" spans="1:9" x14ac:dyDescent="0.15">
      <c r="A892" s="66">
        <v>658</v>
      </c>
      <c r="B892" s="3" t="str">
        <f ca="1">VLOOKUP($A892,OFFSET([2]characters!$A$1,0,0,COUNTA([2]characters!$A:$A),MATCH(B$1,[2]characters!$1:$1,0)-MATCH($A$1,[2]characters!$1:$1,0)+1),MATCH(B$1,[2]characters!$1:$1,0)-MATCH($A$1,[2]characters!$1:$1,0)+1,FALSE)</f>
        <v>猫又 クルミ</v>
      </c>
      <c r="C892" s="93">
        <f ca="1">VLOOKUP($A892,OFFSET(fork_awake_units!$A$1,0,0,COUNTA(fork_awake_units!$A:$A),MATCH(C$1,fork_awake_units!$1:$1,0)-MATCH($A$1,fork_awake_units!$1:$1,0)+1),MATCH(C$1,fork_awake_units!$1:$1,0)-MATCH($A$1,fork_awake_units!$1:$1,0)+1,FALSE)</f>
        <v>659</v>
      </c>
      <c r="D892" s="3" t="str">
        <f ca="1">VLOOKUP($C892,OFFSET([2]characters!$A$1,0,0,COUNTA([2]characters!$A:$A),MATCH(D$1,[2]characters!$1:$1,0)-MATCH($A$1,[2]characters!$1:$1,0)+1),MATCH(D$1,[2]characters!$1:$1,0)-MATCH($A$1,[2]characters!$1:$1,0)+1,FALSE)</f>
        <v>跳梁する化猫 クルミ</v>
      </c>
      <c r="E892" s="66">
        <v>452</v>
      </c>
      <c r="F892" s="3" t="str">
        <f ca="1">VLOOKUP($E892,OFFSET([2]characters!$A$1,0,0,COUNTA([2]characters!$A:$A),MATCH(F$1,[2]characters!$1:$1,0)-MATCH($A$1,[2]characters!$1:$1,0)+1),MATCH(F$1,[2]characters!$1:$1,0)-MATCH($A$1,[2]characters!$1:$1,0)+1,FALSE)</f>
        <v>猛狐 エゾ</v>
      </c>
      <c r="G892" s="66">
        <v>1</v>
      </c>
      <c r="H892" s="66">
        <v>1</v>
      </c>
      <c r="I892" s="66">
        <v>1</v>
      </c>
    </row>
    <row r="893" spans="1:9" x14ac:dyDescent="0.15">
      <c r="A893" s="66">
        <v>660</v>
      </c>
      <c r="B893" s="3" t="str">
        <f ca="1">VLOOKUP($A893,OFFSET([2]characters!$A$1,0,0,COUNTA([2]characters!$A:$A),MATCH(B$1,[2]characters!$1:$1,0)-MATCH($A$1,[2]characters!$1:$1,0)+1),MATCH(B$1,[2]characters!$1:$1,0)-MATCH($A$1,[2]characters!$1:$1,0)+1,FALSE)</f>
        <v>烏天狗 フウガ</v>
      </c>
      <c r="C893" s="93">
        <f ca="1">VLOOKUP($A893,OFFSET(fork_awake_units!$A$1,0,0,COUNTA(fork_awake_units!$A:$A),MATCH(C$1,fork_awake_units!$1:$1,0)-MATCH($A$1,fork_awake_units!$1:$1,0)+1),MATCH(C$1,fork_awake_units!$1:$1,0)-MATCH($A$1,fork_awake_units!$1:$1,0)+1,FALSE)</f>
        <v>661</v>
      </c>
      <c r="D893" s="3" t="str">
        <f ca="1">VLOOKUP($C893,OFFSET([2]characters!$A$1,0,0,COUNTA([2]characters!$A:$A),MATCH(D$1,[2]characters!$1:$1,0)-MATCH($A$1,[2]characters!$1:$1,0)+1),MATCH(D$1,[2]characters!$1:$1,0)-MATCH($A$1,[2]characters!$1:$1,0)+1,FALSE)</f>
        <v>疾風の天狗礫 フウガ</v>
      </c>
      <c r="E893" s="66">
        <v>107</v>
      </c>
      <c r="F893" s="3" t="str">
        <f ca="1">VLOOKUP($E893,OFFSET([2]characters!$A$1,0,0,COUNTA([2]characters!$A:$A),MATCH(F$1,[2]characters!$1:$1,0)-MATCH($A$1,[2]characters!$1:$1,0)+1),MATCH(F$1,[2]characters!$1:$1,0)-MATCH($A$1,[2]characters!$1:$1,0)+1,FALSE)</f>
        <v>グリーンキャタップ</v>
      </c>
      <c r="G893" s="66">
        <v>2</v>
      </c>
      <c r="H893" s="66">
        <v>1</v>
      </c>
      <c r="I893" s="66">
        <v>1</v>
      </c>
    </row>
    <row r="894" spans="1:9" x14ac:dyDescent="0.15">
      <c r="A894" s="66">
        <v>660</v>
      </c>
      <c r="B894" s="3" t="str">
        <f ca="1">VLOOKUP($A894,OFFSET([2]characters!$A$1,0,0,COUNTA([2]characters!$A:$A),MATCH(B$1,[2]characters!$1:$1,0)-MATCH($A$1,[2]characters!$1:$1,0)+1),MATCH(B$1,[2]characters!$1:$1,0)-MATCH($A$1,[2]characters!$1:$1,0)+1,FALSE)</f>
        <v>烏天狗 フウガ</v>
      </c>
      <c r="C894" s="93">
        <f ca="1">VLOOKUP($A894,OFFSET(fork_awake_units!$A$1,0,0,COUNTA(fork_awake_units!$A:$A),MATCH(C$1,fork_awake_units!$1:$1,0)-MATCH($A$1,fork_awake_units!$1:$1,0)+1),MATCH(C$1,fork_awake_units!$1:$1,0)-MATCH($A$1,fork_awake_units!$1:$1,0)+1,FALSE)</f>
        <v>661</v>
      </c>
      <c r="D894" s="3" t="str">
        <f ca="1">VLOOKUP($C894,OFFSET([2]characters!$A$1,0,0,COUNTA([2]characters!$A:$A),MATCH(D$1,[2]characters!$1:$1,0)-MATCH($A$1,[2]characters!$1:$1,0)+1),MATCH(D$1,[2]characters!$1:$1,0)-MATCH($A$1,[2]characters!$1:$1,0)+1,FALSE)</f>
        <v>疾風の天狗礫 フウガ</v>
      </c>
      <c r="E894" s="66">
        <v>108</v>
      </c>
      <c r="F894" s="3" t="str">
        <f ca="1">VLOOKUP($E894,OFFSET([2]characters!$A$1,0,0,COUNTA([2]characters!$A:$A),MATCH(F$1,[2]characters!$1:$1,0)-MATCH($A$1,[2]characters!$1:$1,0)+1),MATCH(F$1,[2]characters!$1:$1,0)-MATCH($A$1,[2]characters!$1:$1,0)+1,FALSE)</f>
        <v>森のマッドハッター</v>
      </c>
      <c r="G894" s="66">
        <v>1</v>
      </c>
      <c r="H894" s="66">
        <v>1</v>
      </c>
      <c r="I894" s="66">
        <v>1</v>
      </c>
    </row>
    <row r="895" spans="1:9" x14ac:dyDescent="0.15">
      <c r="A895" s="66">
        <v>660</v>
      </c>
      <c r="B895" s="3" t="str">
        <f ca="1">VLOOKUP($A895,OFFSET([2]characters!$A$1,0,0,COUNTA([2]characters!$A:$A),MATCH(B$1,[2]characters!$1:$1,0)-MATCH($A$1,[2]characters!$1:$1,0)+1),MATCH(B$1,[2]characters!$1:$1,0)-MATCH($A$1,[2]characters!$1:$1,0)+1,FALSE)</f>
        <v>烏天狗 フウガ</v>
      </c>
      <c r="C895" s="93">
        <f ca="1">VLOOKUP($A895,OFFSET(fork_awake_units!$A$1,0,0,COUNTA(fork_awake_units!$A:$A),MATCH(C$1,fork_awake_units!$1:$1,0)-MATCH($A$1,fork_awake_units!$1:$1,0)+1),MATCH(C$1,fork_awake_units!$1:$1,0)-MATCH($A$1,fork_awake_units!$1:$1,0)+1,FALSE)</f>
        <v>661</v>
      </c>
      <c r="D895" s="3" t="str">
        <f ca="1">VLOOKUP($C895,OFFSET([2]characters!$A$1,0,0,COUNTA([2]characters!$A:$A),MATCH(D$1,[2]characters!$1:$1,0)-MATCH($A$1,[2]characters!$1:$1,0)+1),MATCH(D$1,[2]characters!$1:$1,0)-MATCH($A$1,[2]characters!$1:$1,0)+1,FALSE)</f>
        <v>疾風の天狗礫 フウガ</v>
      </c>
      <c r="E895" s="66">
        <v>504</v>
      </c>
      <c r="F895" s="3" t="str">
        <f ca="1">VLOOKUP($E895,OFFSET([2]characters!$A$1,0,0,COUNTA([2]characters!$A:$A),MATCH(F$1,[2]characters!$1:$1,0)-MATCH($A$1,[2]characters!$1:$1,0)+1),MATCH(F$1,[2]characters!$1:$1,0)-MATCH($A$1,[2]characters!$1:$1,0)+1,FALSE)</f>
        <v>ハイディン・オーガ</v>
      </c>
      <c r="G895" s="66">
        <v>1</v>
      </c>
      <c r="H895" s="66">
        <v>1</v>
      </c>
      <c r="I895" s="66">
        <v>1</v>
      </c>
    </row>
    <row r="896" spans="1:9" x14ac:dyDescent="0.15">
      <c r="A896" s="66">
        <v>660</v>
      </c>
      <c r="B896" s="3" t="str">
        <f ca="1">VLOOKUP($A896,OFFSET([2]characters!$A$1,0,0,COUNTA([2]characters!$A:$A),MATCH(B$1,[2]characters!$1:$1,0)-MATCH($A$1,[2]characters!$1:$1,0)+1),MATCH(B$1,[2]characters!$1:$1,0)-MATCH($A$1,[2]characters!$1:$1,0)+1,FALSE)</f>
        <v>烏天狗 フウガ</v>
      </c>
      <c r="C896" s="93">
        <f ca="1">VLOOKUP($A896,OFFSET(fork_awake_units!$A$1,0,0,COUNTA(fork_awake_units!$A:$A),MATCH(C$1,fork_awake_units!$1:$1,0)-MATCH($A$1,fork_awake_units!$1:$1,0)+1),MATCH(C$1,fork_awake_units!$1:$1,0)-MATCH($A$1,fork_awake_units!$1:$1,0)+1,FALSE)</f>
        <v>661</v>
      </c>
      <c r="D896" s="3" t="str">
        <f ca="1">VLOOKUP($C896,OFFSET([2]characters!$A$1,0,0,COUNTA([2]characters!$A:$A),MATCH(D$1,[2]characters!$1:$1,0)-MATCH($A$1,[2]characters!$1:$1,0)+1),MATCH(D$1,[2]characters!$1:$1,0)-MATCH($A$1,[2]characters!$1:$1,0)+1,FALSE)</f>
        <v>疾風の天狗礫 フウガ</v>
      </c>
      <c r="E896" s="66">
        <v>579</v>
      </c>
      <c r="F896" s="3" t="str">
        <f ca="1">VLOOKUP($E896,OFFSET([2]characters!$A$1,0,0,COUNTA([2]characters!$A:$A),MATCH(F$1,[2]characters!$1:$1,0)-MATCH($A$1,[2]characters!$1:$1,0)+1),MATCH(F$1,[2]characters!$1:$1,0)-MATCH($A$1,[2]characters!$1:$1,0)+1,FALSE)</f>
        <v>オーズ</v>
      </c>
      <c r="G896" s="66">
        <v>1</v>
      </c>
      <c r="H896" s="66">
        <v>1</v>
      </c>
      <c r="I896" s="66">
        <v>1</v>
      </c>
    </row>
    <row r="897" spans="1:9" x14ac:dyDescent="0.15">
      <c r="A897" s="66">
        <v>662</v>
      </c>
      <c r="B897" s="3" t="str">
        <f ca="1">VLOOKUP($A897,OFFSET([2]characters!$A$1,0,0,COUNTA([2]characters!$A:$A),MATCH(B$1,[2]characters!$1:$1,0)-MATCH($A$1,[2]characters!$1:$1,0)+1),MATCH(B$1,[2]characters!$1:$1,0)-MATCH($A$1,[2]characters!$1:$1,0)+1,FALSE)</f>
        <v>ダイダラ</v>
      </c>
      <c r="C897" s="93">
        <f ca="1">VLOOKUP($A897,OFFSET(fork_awake_units!$A$1,0,0,COUNTA(fork_awake_units!$A:$A),MATCH(C$1,fork_awake_units!$1:$1,0)-MATCH($A$1,fork_awake_units!$1:$1,0)+1),MATCH(C$1,fork_awake_units!$1:$1,0)-MATCH($A$1,fork_awake_units!$1:$1,0)+1,FALSE)</f>
        <v>663</v>
      </c>
      <c r="D897" s="3" t="str">
        <f ca="1">VLOOKUP($C897,OFFSET([2]characters!$A$1,0,0,COUNTA([2]characters!$A:$A),MATCH(D$1,[2]characters!$1:$1,0)-MATCH($A$1,[2]characters!$1:$1,0)+1),MATCH(D$1,[2]characters!$1:$1,0)-MATCH($A$1,[2]characters!$1:$1,0)+1,FALSE)</f>
        <v>都揺らす地響き ダイダラ</v>
      </c>
      <c r="E897" s="66">
        <v>110</v>
      </c>
      <c r="F897" s="3" t="str">
        <f ca="1">VLOOKUP($E897,OFFSET([2]characters!$A$1,0,0,COUNTA([2]characters!$A:$A),MATCH(F$1,[2]characters!$1:$1,0)-MATCH($A$1,[2]characters!$1:$1,0)+1),MATCH(F$1,[2]characters!$1:$1,0)-MATCH($A$1,[2]characters!$1:$1,0)+1,FALSE)</f>
        <v>ブルーラビット</v>
      </c>
      <c r="G897" s="66">
        <v>1</v>
      </c>
      <c r="H897" s="66">
        <v>1</v>
      </c>
      <c r="I897" s="66">
        <v>1</v>
      </c>
    </row>
    <row r="898" spans="1:9" x14ac:dyDescent="0.15">
      <c r="A898" s="66">
        <v>662</v>
      </c>
      <c r="B898" s="3" t="str">
        <f ca="1">VLOOKUP($A898,OFFSET([2]characters!$A$1,0,0,COUNTA([2]characters!$A:$A),MATCH(B$1,[2]characters!$1:$1,0)-MATCH($A$1,[2]characters!$1:$1,0)+1),MATCH(B$1,[2]characters!$1:$1,0)-MATCH($A$1,[2]characters!$1:$1,0)+1,FALSE)</f>
        <v>ダイダラ</v>
      </c>
      <c r="C898" s="93">
        <f ca="1">VLOOKUP($A898,OFFSET(fork_awake_units!$A$1,0,0,COUNTA(fork_awake_units!$A:$A),MATCH(C$1,fork_awake_units!$1:$1,0)-MATCH($A$1,fork_awake_units!$1:$1,0)+1),MATCH(C$1,fork_awake_units!$1:$1,0)-MATCH($A$1,fork_awake_units!$1:$1,0)+1,FALSE)</f>
        <v>663</v>
      </c>
      <c r="D898" s="3" t="str">
        <f ca="1">VLOOKUP($C898,OFFSET([2]characters!$A$1,0,0,COUNTA([2]characters!$A:$A),MATCH(D$1,[2]characters!$1:$1,0)-MATCH($A$1,[2]characters!$1:$1,0)+1),MATCH(D$1,[2]characters!$1:$1,0)-MATCH($A$1,[2]characters!$1:$1,0)+1,FALSE)</f>
        <v>都揺らす地響き ダイダラ</v>
      </c>
      <c r="E898" s="66">
        <v>111</v>
      </c>
      <c r="F898" s="3" t="str">
        <f ca="1">VLOOKUP($E898,OFFSET([2]characters!$A$1,0,0,COUNTA([2]characters!$A:$A),MATCH(F$1,[2]characters!$1:$1,0)-MATCH($A$1,[2]characters!$1:$1,0)+1),MATCH(F$1,[2]characters!$1:$1,0)-MATCH($A$1,[2]characters!$1:$1,0)+1,FALSE)</f>
        <v>ブルーキャタップ</v>
      </c>
      <c r="G898" s="66">
        <v>3</v>
      </c>
      <c r="H898" s="66">
        <v>1</v>
      </c>
      <c r="I898" s="66">
        <v>1</v>
      </c>
    </row>
    <row r="899" spans="1:9" x14ac:dyDescent="0.15">
      <c r="A899" s="66">
        <v>663</v>
      </c>
      <c r="B899" s="3" t="str">
        <f ca="1">VLOOKUP($A899,OFFSET([2]characters!$A$1,0,0,COUNTA([2]characters!$A:$A),MATCH(B$1,[2]characters!$1:$1,0)-MATCH($A$1,[2]characters!$1:$1,0)+1),MATCH(B$1,[2]characters!$1:$1,0)-MATCH($A$1,[2]characters!$1:$1,0)+1,FALSE)</f>
        <v>都揺らす地響き ダイダラ</v>
      </c>
      <c r="C899" s="93">
        <f ca="1">VLOOKUP($A899,OFFSET(fork_awake_units!$A$1,0,0,COUNTA(fork_awake_units!$A:$A),MATCH(C$1,fork_awake_units!$1:$1,0)-MATCH($A$1,fork_awake_units!$1:$1,0)+1),MATCH(C$1,fork_awake_units!$1:$1,0)-MATCH($A$1,fork_awake_units!$1:$1,0)+1,FALSE)</f>
        <v>664</v>
      </c>
      <c r="D899" s="3" t="str">
        <f ca="1">VLOOKUP($C899,OFFSET([2]characters!$A$1,0,0,COUNTA([2]characters!$A:$A),MATCH(D$1,[2]characters!$1:$1,0)-MATCH($A$1,[2]characters!$1:$1,0)+1),MATCH(D$1,[2]characters!$1:$1,0)-MATCH($A$1,[2]characters!$1:$1,0)+1,FALSE)</f>
        <v>山掴み国造り ダイダラ</v>
      </c>
      <c r="E899" s="66">
        <v>110</v>
      </c>
      <c r="F899" s="3" t="str">
        <f ca="1">VLOOKUP($E899,OFFSET([2]characters!$A$1,0,0,COUNTA([2]characters!$A:$A),MATCH(F$1,[2]characters!$1:$1,0)-MATCH($A$1,[2]characters!$1:$1,0)+1),MATCH(F$1,[2]characters!$1:$1,0)-MATCH($A$1,[2]characters!$1:$1,0)+1,FALSE)</f>
        <v>ブルーラビット</v>
      </c>
      <c r="G899" s="66">
        <v>1</v>
      </c>
      <c r="H899" s="66">
        <v>1</v>
      </c>
      <c r="I899" s="66">
        <v>1</v>
      </c>
    </row>
    <row r="900" spans="1:9" x14ac:dyDescent="0.15">
      <c r="A900" s="66">
        <v>663</v>
      </c>
      <c r="B900" s="3" t="str">
        <f ca="1">VLOOKUP($A900,OFFSET([2]characters!$A$1,0,0,COUNTA([2]characters!$A:$A),MATCH(B$1,[2]characters!$1:$1,0)-MATCH($A$1,[2]characters!$1:$1,0)+1),MATCH(B$1,[2]characters!$1:$1,0)-MATCH($A$1,[2]characters!$1:$1,0)+1,FALSE)</f>
        <v>都揺らす地響き ダイダラ</v>
      </c>
      <c r="C900" s="93">
        <f ca="1">VLOOKUP($A900,OFFSET(fork_awake_units!$A$1,0,0,COUNTA(fork_awake_units!$A:$A),MATCH(C$1,fork_awake_units!$1:$1,0)-MATCH($A$1,fork_awake_units!$1:$1,0)+1),MATCH(C$1,fork_awake_units!$1:$1,0)-MATCH($A$1,fork_awake_units!$1:$1,0)+1,FALSE)</f>
        <v>664</v>
      </c>
      <c r="D900" s="3" t="str">
        <f ca="1">VLOOKUP($C900,OFFSET([2]characters!$A$1,0,0,COUNTA([2]characters!$A:$A),MATCH(D$1,[2]characters!$1:$1,0)-MATCH($A$1,[2]characters!$1:$1,0)+1),MATCH(D$1,[2]characters!$1:$1,0)-MATCH($A$1,[2]characters!$1:$1,0)+1,FALSE)</f>
        <v>山掴み国造り ダイダラ</v>
      </c>
      <c r="E900" s="66">
        <v>111</v>
      </c>
      <c r="F900" s="3" t="str">
        <f ca="1">VLOOKUP($E900,OFFSET([2]characters!$A$1,0,0,COUNTA([2]characters!$A:$A),MATCH(F$1,[2]characters!$1:$1,0)-MATCH($A$1,[2]characters!$1:$1,0)+1),MATCH(F$1,[2]characters!$1:$1,0)-MATCH($A$1,[2]characters!$1:$1,0)+1,FALSE)</f>
        <v>ブルーキャタップ</v>
      </c>
      <c r="G900" s="66">
        <v>2</v>
      </c>
      <c r="H900" s="66">
        <v>1</v>
      </c>
      <c r="I900" s="66">
        <v>1</v>
      </c>
    </row>
    <row r="901" spans="1:9" x14ac:dyDescent="0.15">
      <c r="A901" s="66">
        <v>663</v>
      </c>
      <c r="B901" s="3" t="str">
        <f ca="1">VLOOKUP($A901,OFFSET([2]characters!$A$1,0,0,COUNTA([2]characters!$A:$A),MATCH(B$1,[2]characters!$1:$1,0)-MATCH($A$1,[2]characters!$1:$1,0)+1),MATCH(B$1,[2]characters!$1:$1,0)-MATCH($A$1,[2]characters!$1:$1,0)+1,FALSE)</f>
        <v>都揺らす地響き ダイダラ</v>
      </c>
      <c r="C901" s="93">
        <f ca="1">VLOOKUP($A901,OFFSET(fork_awake_units!$A$1,0,0,COUNTA(fork_awake_units!$A:$A),MATCH(C$1,fork_awake_units!$1:$1,0)-MATCH($A$1,fork_awake_units!$1:$1,0)+1),MATCH(C$1,fork_awake_units!$1:$1,0)-MATCH($A$1,fork_awake_units!$1:$1,0)+1,FALSE)</f>
        <v>664</v>
      </c>
      <c r="D901" s="3" t="str">
        <f ca="1">VLOOKUP($C901,OFFSET([2]characters!$A$1,0,0,COUNTA([2]characters!$A:$A),MATCH(D$1,[2]characters!$1:$1,0)-MATCH($A$1,[2]characters!$1:$1,0)+1),MATCH(D$1,[2]characters!$1:$1,0)-MATCH($A$1,[2]characters!$1:$1,0)+1,FALSE)</f>
        <v>山掴み国造り ダイダラ</v>
      </c>
      <c r="E901" s="66">
        <v>112</v>
      </c>
      <c r="F901" s="3" t="str">
        <f ca="1">VLOOKUP($E901,OFFSET([2]characters!$A$1,0,0,COUNTA([2]characters!$A:$A),MATCH(F$1,[2]characters!$1:$1,0)-MATCH($A$1,[2]characters!$1:$1,0)+1),MATCH(F$1,[2]characters!$1:$1,0)-MATCH($A$1,[2]characters!$1:$1,0)+1,FALSE)</f>
        <v>水のマッドハッター</v>
      </c>
      <c r="G901" s="66">
        <v>2</v>
      </c>
      <c r="H901" s="66">
        <v>1</v>
      </c>
      <c r="I901" s="66">
        <v>1</v>
      </c>
    </row>
    <row r="902" spans="1:9" x14ac:dyDescent="0.15">
      <c r="A902" s="66">
        <v>665</v>
      </c>
      <c r="B902" s="3" t="str">
        <f ca="1">VLOOKUP($A902,OFFSET([2]characters!$A$1,0,0,COUNTA([2]characters!$A:$A),MATCH(B$1,[2]characters!$1:$1,0)-MATCH($A$1,[2]characters!$1:$1,0)+1),MATCH(B$1,[2]characters!$1:$1,0)-MATCH($A$1,[2]characters!$1:$1,0)+1,FALSE)</f>
        <v>座敷童子 テマリ</v>
      </c>
      <c r="C902" s="93">
        <f ca="1">VLOOKUP($A902,OFFSET(fork_awake_units!$A$1,0,0,COUNTA(fork_awake_units!$A:$A),MATCH(C$1,fork_awake_units!$1:$1,0)-MATCH($A$1,fork_awake_units!$1:$1,0)+1),MATCH(C$1,fork_awake_units!$1:$1,0)-MATCH($A$1,fork_awake_units!$1:$1,0)+1,FALSE)</f>
        <v>666</v>
      </c>
      <c r="D902" s="3" t="str">
        <f ca="1">VLOOKUP($C902,OFFSET([2]characters!$A$1,0,0,COUNTA([2]characters!$A:$A),MATCH(D$1,[2]characters!$1:$1,0)-MATCH($A$1,[2]characters!$1:$1,0)+1),MATCH(D$1,[2]characters!$1:$1,0)-MATCH($A$1,[2]characters!$1:$1,0)+1,FALSE)</f>
        <v>拡散する幸福 テマリ</v>
      </c>
      <c r="E902" s="66">
        <v>114</v>
      </c>
      <c r="F902" s="3" t="str">
        <f ca="1">VLOOKUP($E902,OFFSET([2]characters!$A$1,0,0,COUNTA([2]characters!$A:$A),MATCH(F$1,[2]characters!$1:$1,0)-MATCH($A$1,[2]characters!$1:$1,0)+1),MATCH(F$1,[2]characters!$1:$1,0)-MATCH($A$1,[2]characters!$1:$1,0)+1,FALSE)</f>
        <v>イエローラビット</v>
      </c>
      <c r="G902" s="66">
        <v>1</v>
      </c>
      <c r="H902" s="66">
        <v>1</v>
      </c>
      <c r="I902" s="66">
        <v>1</v>
      </c>
    </row>
    <row r="903" spans="1:9" x14ac:dyDescent="0.15">
      <c r="A903" s="66">
        <v>665</v>
      </c>
      <c r="B903" s="3" t="str">
        <f ca="1">VLOOKUP($A903,OFFSET([2]characters!$A$1,0,0,COUNTA([2]characters!$A:$A),MATCH(B$1,[2]characters!$1:$1,0)-MATCH($A$1,[2]characters!$1:$1,0)+1),MATCH(B$1,[2]characters!$1:$1,0)-MATCH($A$1,[2]characters!$1:$1,0)+1,FALSE)</f>
        <v>座敷童子 テマリ</v>
      </c>
      <c r="C903" s="93">
        <f ca="1">VLOOKUP($A903,OFFSET(fork_awake_units!$A$1,0,0,COUNTA(fork_awake_units!$A:$A),MATCH(C$1,fork_awake_units!$1:$1,0)-MATCH($A$1,fork_awake_units!$1:$1,0)+1),MATCH(C$1,fork_awake_units!$1:$1,0)-MATCH($A$1,fork_awake_units!$1:$1,0)+1,FALSE)</f>
        <v>666</v>
      </c>
      <c r="D903" s="3" t="str">
        <f ca="1">VLOOKUP($C903,OFFSET([2]characters!$A$1,0,0,COUNTA([2]characters!$A:$A),MATCH(D$1,[2]characters!$1:$1,0)-MATCH($A$1,[2]characters!$1:$1,0)+1),MATCH(D$1,[2]characters!$1:$1,0)-MATCH($A$1,[2]characters!$1:$1,0)+1,FALSE)</f>
        <v>拡散する幸福 テマリ</v>
      </c>
      <c r="E903" s="66">
        <v>115</v>
      </c>
      <c r="F903" s="3" t="str">
        <f ca="1">VLOOKUP($E903,OFFSET([2]characters!$A$1,0,0,COUNTA([2]characters!$A:$A),MATCH(F$1,[2]characters!$1:$1,0)-MATCH($A$1,[2]characters!$1:$1,0)+1),MATCH(F$1,[2]characters!$1:$1,0)-MATCH($A$1,[2]characters!$1:$1,0)+1,FALSE)</f>
        <v>イエローキャタップ</v>
      </c>
      <c r="G903" s="66">
        <v>3</v>
      </c>
      <c r="H903" s="66">
        <v>1</v>
      </c>
      <c r="I903" s="66">
        <v>1</v>
      </c>
    </row>
    <row r="904" spans="1:9" x14ac:dyDescent="0.15">
      <c r="A904" s="66">
        <v>666</v>
      </c>
      <c r="B904" s="3" t="str">
        <f ca="1">VLOOKUP($A904,OFFSET([2]characters!$A$1,0,0,COUNTA([2]characters!$A:$A),MATCH(B$1,[2]characters!$1:$1,0)-MATCH($A$1,[2]characters!$1:$1,0)+1),MATCH(B$1,[2]characters!$1:$1,0)-MATCH($A$1,[2]characters!$1:$1,0)+1,FALSE)</f>
        <v>拡散する幸福 テマリ</v>
      </c>
      <c r="C904" s="93">
        <f ca="1">VLOOKUP($A904,OFFSET(fork_awake_units!$A$1,0,0,COUNTA(fork_awake_units!$A:$A),MATCH(C$1,fork_awake_units!$1:$1,0)-MATCH($A$1,fork_awake_units!$1:$1,0)+1),MATCH(C$1,fork_awake_units!$1:$1,0)-MATCH($A$1,fork_awake_units!$1:$1,0)+1,FALSE)</f>
        <v>667</v>
      </c>
      <c r="D904" s="3" t="str">
        <f ca="1">VLOOKUP($C904,OFFSET([2]characters!$A$1,0,0,COUNTA([2]characters!$A:$A),MATCH(D$1,[2]characters!$1:$1,0)-MATCH($A$1,[2]characters!$1:$1,0)+1),MATCH(D$1,[2]characters!$1:$1,0)-MATCH($A$1,[2]characters!$1:$1,0)+1,FALSE)</f>
        <v>最幸運の妖童 テマリ</v>
      </c>
      <c r="E904" s="66">
        <v>114</v>
      </c>
      <c r="F904" s="3" t="str">
        <f ca="1">VLOOKUP($E904,OFFSET([2]characters!$A$1,0,0,COUNTA([2]characters!$A:$A),MATCH(F$1,[2]characters!$1:$1,0)-MATCH($A$1,[2]characters!$1:$1,0)+1),MATCH(F$1,[2]characters!$1:$1,0)-MATCH($A$1,[2]characters!$1:$1,0)+1,FALSE)</f>
        <v>イエローラビット</v>
      </c>
      <c r="G904" s="66">
        <v>1</v>
      </c>
      <c r="H904" s="66">
        <v>1</v>
      </c>
      <c r="I904" s="66">
        <v>1</v>
      </c>
    </row>
    <row r="905" spans="1:9" x14ac:dyDescent="0.15">
      <c r="A905" s="66">
        <v>666</v>
      </c>
      <c r="B905" s="3" t="str">
        <f ca="1">VLOOKUP($A905,OFFSET([2]characters!$A$1,0,0,COUNTA([2]characters!$A:$A),MATCH(B$1,[2]characters!$1:$1,0)-MATCH($A$1,[2]characters!$1:$1,0)+1),MATCH(B$1,[2]characters!$1:$1,0)-MATCH($A$1,[2]characters!$1:$1,0)+1,FALSE)</f>
        <v>拡散する幸福 テマリ</v>
      </c>
      <c r="C905" s="93">
        <f ca="1">VLOOKUP($A905,OFFSET(fork_awake_units!$A$1,0,0,COUNTA(fork_awake_units!$A:$A),MATCH(C$1,fork_awake_units!$1:$1,0)-MATCH($A$1,fork_awake_units!$1:$1,0)+1),MATCH(C$1,fork_awake_units!$1:$1,0)-MATCH($A$1,fork_awake_units!$1:$1,0)+1,FALSE)</f>
        <v>667</v>
      </c>
      <c r="D905" s="3" t="str">
        <f ca="1">VLOOKUP($C905,OFFSET([2]characters!$A$1,0,0,COUNTA([2]characters!$A:$A),MATCH(D$1,[2]characters!$1:$1,0)-MATCH($A$1,[2]characters!$1:$1,0)+1),MATCH(D$1,[2]characters!$1:$1,0)-MATCH($A$1,[2]characters!$1:$1,0)+1,FALSE)</f>
        <v>最幸運の妖童 テマリ</v>
      </c>
      <c r="E905" s="66">
        <v>115</v>
      </c>
      <c r="F905" s="3" t="str">
        <f ca="1">VLOOKUP($E905,OFFSET([2]characters!$A$1,0,0,COUNTA([2]characters!$A:$A),MATCH(F$1,[2]characters!$1:$1,0)-MATCH($A$1,[2]characters!$1:$1,0)+1),MATCH(F$1,[2]characters!$1:$1,0)-MATCH($A$1,[2]characters!$1:$1,0)+1,FALSE)</f>
        <v>イエローキャタップ</v>
      </c>
      <c r="G905" s="66">
        <v>2</v>
      </c>
      <c r="H905" s="66">
        <v>1</v>
      </c>
      <c r="I905" s="66">
        <v>1</v>
      </c>
    </row>
    <row r="906" spans="1:9" x14ac:dyDescent="0.15">
      <c r="A906" s="66">
        <v>666</v>
      </c>
      <c r="B906" s="3" t="str">
        <f ca="1">VLOOKUP($A906,OFFSET([2]characters!$A$1,0,0,COUNTA([2]characters!$A:$A),MATCH(B$1,[2]characters!$1:$1,0)-MATCH($A$1,[2]characters!$1:$1,0)+1),MATCH(B$1,[2]characters!$1:$1,0)-MATCH($A$1,[2]characters!$1:$1,0)+1,FALSE)</f>
        <v>拡散する幸福 テマリ</v>
      </c>
      <c r="C906" s="93">
        <f ca="1">VLOOKUP($A906,OFFSET(fork_awake_units!$A$1,0,0,COUNTA(fork_awake_units!$A:$A),MATCH(C$1,fork_awake_units!$1:$1,0)-MATCH($A$1,fork_awake_units!$1:$1,0)+1),MATCH(C$1,fork_awake_units!$1:$1,0)-MATCH($A$1,fork_awake_units!$1:$1,0)+1,FALSE)</f>
        <v>667</v>
      </c>
      <c r="D906" s="3" t="str">
        <f ca="1">VLOOKUP($C906,OFFSET([2]characters!$A$1,0,0,COUNTA([2]characters!$A:$A),MATCH(D$1,[2]characters!$1:$1,0)-MATCH($A$1,[2]characters!$1:$1,0)+1),MATCH(D$1,[2]characters!$1:$1,0)-MATCH($A$1,[2]characters!$1:$1,0)+1,FALSE)</f>
        <v>最幸運の妖童 テマリ</v>
      </c>
      <c r="E906" s="66">
        <v>116</v>
      </c>
      <c r="F906" s="3" t="str">
        <f ca="1">VLOOKUP($E906,OFFSET([2]characters!$A$1,0,0,COUNTA([2]characters!$A:$A),MATCH(F$1,[2]characters!$1:$1,0)-MATCH($A$1,[2]characters!$1:$1,0)+1),MATCH(F$1,[2]characters!$1:$1,0)-MATCH($A$1,[2]characters!$1:$1,0)+1,FALSE)</f>
        <v>雷のマッドハッター</v>
      </c>
      <c r="G906" s="66">
        <v>2</v>
      </c>
      <c r="H906" s="66">
        <v>1</v>
      </c>
      <c r="I906" s="66">
        <v>1</v>
      </c>
    </row>
    <row r="907" spans="1:9" x14ac:dyDescent="0.15">
      <c r="A907" s="66">
        <v>668</v>
      </c>
      <c r="B907" s="3" t="str">
        <f ca="1">VLOOKUP($A907,OFFSET([2]characters!$A$1,0,0,COUNTA([2]characters!$A:$A),MATCH(B$1,[2]characters!$1:$1,0)-MATCH($A$1,[2]characters!$1:$1,0)+1),MATCH(B$1,[2]characters!$1:$1,0)-MATCH($A$1,[2]characters!$1:$1,0)+1,FALSE)</f>
        <v>アグニ</v>
      </c>
      <c r="C907" s="93">
        <f ca="1">VLOOKUP($A907,OFFSET(fork_awake_units!$A$1,0,0,COUNTA(fork_awake_units!$A:$A),MATCH(C$1,fork_awake_units!$1:$1,0)-MATCH($A$1,fork_awake_units!$1:$1,0)+1),MATCH(C$1,fork_awake_units!$1:$1,0)-MATCH($A$1,fork_awake_units!$1:$1,0)+1,FALSE)</f>
        <v>669</v>
      </c>
      <c r="D907" s="3" t="str">
        <f ca="1">VLOOKUP($C907,OFFSET([2]characters!$A$1,0,0,COUNTA([2]characters!$A:$A),MATCH(D$1,[2]characters!$1:$1,0)-MATCH($A$1,[2]characters!$1:$1,0)+1),MATCH(D$1,[2]characters!$1:$1,0)-MATCH($A$1,[2]characters!$1:$1,0)+1,FALSE)</f>
        <v>天地の仲界 アグニ</v>
      </c>
      <c r="E907" s="66">
        <v>102</v>
      </c>
      <c r="F907" s="3" t="str">
        <f ca="1">VLOOKUP($E907,OFFSET([2]characters!$A$1,0,0,COUNTA([2]characters!$A:$A),MATCH(F$1,[2]characters!$1:$1,0)-MATCH($A$1,[2]characters!$1:$1,0)+1),MATCH(F$1,[2]characters!$1:$1,0)-MATCH($A$1,[2]characters!$1:$1,0)+1,FALSE)</f>
        <v>レッドラビット</v>
      </c>
      <c r="G907" s="66">
        <v>1</v>
      </c>
      <c r="H907" s="66">
        <v>1</v>
      </c>
      <c r="I907" s="66">
        <v>1</v>
      </c>
    </row>
    <row r="908" spans="1:9" x14ac:dyDescent="0.15">
      <c r="A908" s="66">
        <v>668</v>
      </c>
      <c r="B908" s="3" t="str">
        <f ca="1">VLOOKUP($A908,OFFSET([2]characters!$A$1,0,0,COUNTA([2]characters!$A:$A),MATCH(B$1,[2]characters!$1:$1,0)-MATCH($A$1,[2]characters!$1:$1,0)+1),MATCH(B$1,[2]characters!$1:$1,0)-MATCH($A$1,[2]characters!$1:$1,0)+1,FALSE)</f>
        <v>アグニ</v>
      </c>
      <c r="C908" s="93">
        <f ca="1">VLOOKUP($A908,OFFSET(fork_awake_units!$A$1,0,0,COUNTA(fork_awake_units!$A:$A),MATCH(C$1,fork_awake_units!$1:$1,0)-MATCH($A$1,fork_awake_units!$1:$1,0)+1),MATCH(C$1,fork_awake_units!$1:$1,0)-MATCH($A$1,fork_awake_units!$1:$1,0)+1,FALSE)</f>
        <v>669</v>
      </c>
      <c r="D908" s="3" t="str">
        <f ca="1">VLOOKUP($C908,OFFSET([2]characters!$A$1,0,0,COUNTA([2]characters!$A:$A),MATCH(D$1,[2]characters!$1:$1,0)-MATCH($A$1,[2]characters!$1:$1,0)+1),MATCH(D$1,[2]characters!$1:$1,0)-MATCH($A$1,[2]characters!$1:$1,0)+1,FALSE)</f>
        <v>天地の仲界 アグニ</v>
      </c>
      <c r="E908" s="66">
        <v>103</v>
      </c>
      <c r="F908" s="3" t="str">
        <f ca="1">VLOOKUP($E908,OFFSET([2]characters!$A$1,0,0,COUNTA([2]characters!$A:$A),MATCH(F$1,[2]characters!$1:$1,0)-MATCH($A$1,[2]characters!$1:$1,0)+1),MATCH(F$1,[2]characters!$1:$1,0)-MATCH($A$1,[2]characters!$1:$1,0)+1,FALSE)</f>
        <v>レッドキャタップ</v>
      </c>
      <c r="G908" s="66">
        <v>3</v>
      </c>
      <c r="H908" s="66">
        <v>1</v>
      </c>
      <c r="I908" s="66">
        <v>1</v>
      </c>
    </row>
    <row r="909" spans="1:9" x14ac:dyDescent="0.15">
      <c r="A909" s="66">
        <v>669</v>
      </c>
      <c r="B909" s="3" t="str">
        <f ca="1">VLOOKUP($A909,OFFSET([2]characters!$A$1,0,0,COUNTA([2]characters!$A:$A),MATCH(B$1,[2]characters!$1:$1,0)-MATCH($A$1,[2]characters!$1:$1,0)+1),MATCH(B$1,[2]characters!$1:$1,0)-MATCH($A$1,[2]characters!$1:$1,0)+1,FALSE)</f>
        <v>天地の仲界 アグニ</v>
      </c>
      <c r="C909" s="93">
        <f ca="1">VLOOKUP($A909,OFFSET(fork_awake_units!$A$1,0,0,COUNTA(fork_awake_units!$A:$A),MATCH(C$1,fork_awake_units!$1:$1,0)-MATCH($A$1,fork_awake_units!$1:$1,0)+1),MATCH(C$1,fork_awake_units!$1:$1,0)-MATCH($A$1,fork_awake_units!$1:$1,0)+1,FALSE)</f>
        <v>670</v>
      </c>
      <c r="D909" s="3" t="str">
        <f ca="1">VLOOKUP($C909,OFFSET([2]characters!$A$1,0,0,COUNTA([2]characters!$A:$A),MATCH(D$1,[2]characters!$1:$1,0)-MATCH($A$1,[2]characters!$1:$1,0)+1),MATCH(D$1,[2]characters!$1:$1,0)-MATCH($A$1,[2]characters!$1:$1,0)+1,FALSE)</f>
        <v>陽天の噴煙 アグニ</v>
      </c>
      <c r="E909" s="66">
        <v>102</v>
      </c>
      <c r="F909" s="3" t="str">
        <f ca="1">VLOOKUP($E909,OFFSET([2]characters!$A$1,0,0,COUNTA([2]characters!$A:$A),MATCH(F$1,[2]characters!$1:$1,0)-MATCH($A$1,[2]characters!$1:$1,0)+1),MATCH(F$1,[2]characters!$1:$1,0)-MATCH($A$1,[2]characters!$1:$1,0)+1,FALSE)</f>
        <v>レッドラビット</v>
      </c>
      <c r="G909" s="66">
        <v>1</v>
      </c>
      <c r="H909" s="66">
        <v>1</v>
      </c>
      <c r="I909" s="66">
        <v>1</v>
      </c>
    </row>
    <row r="910" spans="1:9" x14ac:dyDescent="0.15">
      <c r="A910" s="66">
        <v>669</v>
      </c>
      <c r="B910" s="3" t="str">
        <f ca="1">VLOOKUP($A910,OFFSET([2]characters!$A$1,0,0,COUNTA([2]characters!$A:$A),MATCH(B$1,[2]characters!$1:$1,0)-MATCH($A$1,[2]characters!$1:$1,0)+1),MATCH(B$1,[2]characters!$1:$1,0)-MATCH($A$1,[2]characters!$1:$1,0)+1,FALSE)</f>
        <v>天地の仲界 アグニ</v>
      </c>
      <c r="C910" s="93">
        <f ca="1">VLOOKUP($A910,OFFSET(fork_awake_units!$A$1,0,0,COUNTA(fork_awake_units!$A:$A),MATCH(C$1,fork_awake_units!$1:$1,0)-MATCH($A$1,fork_awake_units!$1:$1,0)+1),MATCH(C$1,fork_awake_units!$1:$1,0)-MATCH($A$1,fork_awake_units!$1:$1,0)+1,FALSE)</f>
        <v>670</v>
      </c>
      <c r="D910" s="3" t="str">
        <f ca="1">VLOOKUP($C910,OFFSET([2]characters!$A$1,0,0,COUNTA([2]characters!$A:$A),MATCH(D$1,[2]characters!$1:$1,0)-MATCH($A$1,[2]characters!$1:$1,0)+1),MATCH(D$1,[2]characters!$1:$1,0)-MATCH($A$1,[2]characters!$1:$1,0)+1,FALSE)</f>
        <v>陽天の噴煙 アグニ</v>
      </c>
      <c r="E910" s="66">
        <v>103</v>
      </c>
      <c r="F910" s="3" t="str">
        <f ca="1">VLOOKUP($E910,OFFSET([2]characters!$A$1,0,0,COUNTA([2]characters!$A:$A),MATCH(F$1,[2]characters!$1:$1,0)-MATCH($A$1,[2]characters!$1:$1,0)+1),MATCH(F$1,[2]characters!$1:$1,0)-MATCH($A$1,[2]characters!$1:$1,0)+1,FALSE)</f>
        <v>レッドキャタップ</v>
      </c>
      <c r="G910" s="66">
        <v>2</v>
      </c>
      <c r="H910" s="66">
        <v>1</v>
      </c>
      <c r="I910" s="66">
        <v>1</v>
      </c>
    </row>
    <row r="911" spans="1:9" x14ac:dyDescent="0.15">
      <c r="A911" s="66">
        <v>669</v>
      </c>
      <c r="B911" s="3" t="str">
        <f ca="1">VLOOKUP($A911,OFFSET([2]characters!$A$1,0,0,COUNTA([2]characters!$A:$A),MATCH(B$1,[2]characters!$1:$1,0)-MATCH($A$1,[2]characters!$1:$1,0)+1),MATCH(B$1,[2]characters!$1:$1,0)-MATCH($A$1,[2]characters!$1:$1,0)+1,FALSE)</f>
        <v>天地の仲界 アグニ</v>
      </c>
      <c r="C911" s="93">
        <f ca="1">VLOOKUP($A911,OFFSET(fork_awake_units!$A$1,0,0,COUNTA(fork_awake_units!$A:$A),MATCH(C$1,fork_awake_units!$1:$1,0)-MATCH($A$1,fork_awake_units!$1:$1,0)+1),MATCH(C$1,fork_awake_units!$1:$1,0)-MATCH($A$1,fork_awake_units!$1:$1,0)+1,FALSE)</f>
        <v>670</v>
      </c>
      <c r="D911" s="3" t="str">
        <f ca="1">VLOOKUP($C911,OFFSET([2]characters!$A$1,0,0,COUNTA([2]characters!$A:$A),MATCH(D$1,[2]characters!$1:$1,0)-MATCH($A$1,[2]characters!$1:$1,0)+1),MATCH(D$1,[2]characters!$1:$1,0)-MATCH($A$1,[2]characters!$1:$1,0)+1,FALSE)</f>
        <v>陽天の噴煙 アグニ</v>
      </c>
      <c r="E911" s="66">
        <v>104</v>
      </c>
      <c r="F911" s="3" t="str">
        <f ca="1">VLOOKUP($E911,OFFSET([2]characters!$A$1,0,0,COUNTA([2]characters!$A:$A),MATCH(F$1,[2]characters!$1:$1,0)-MATCH($A$1,[2]characters!$1:$1,0)+1),MATCH(F$1,[2]characters!$1:$1,0)-MATCH($A$1,[2]characters!$1:$1,0)+1,FALSE)</f>
        <v>炎のマッドハッター</v>
      </c>
      <c r="G911" s="66">
        <v>2</v>
      </c>
      <c r="H911" s="66">
        <v>1</v>
      </c>
      <c r="I911" s="66">
        <v>1</v>
      </c>
    </row>
    <row r="912" spans="1:9" x14ac:dyDescent="0.15">
      <c r="A912" s="66">
        <v>671</v>
      </c>
      <c r="B912" s="3" t="str">
        <f ca="1">VLOOKUP($A912,OFFSET([2]characters!$A$1,0,0,COUNTA([2]characters!$A:$A),MATCH(B$1,[2]characters!$1:$1,0)-MATCH($A$1,[2]characters!$1:$1,0)+1),MATCH(B$1,[2]characters!$1:$1,0)-MATCH($A$1,[2]characters!$1:$1,0)+1,FALSE)</f>
        <v>ハヌマーン</v>
      </c>
      <c r="C912" s="93">
        <f ca="1">VLOOKUP($A912,OFFSET(fork_awake_units!$A$1,0,0,COUNTA(fork_awake_units!$A:$A),MATCH(C$1,fork_awake_units!$1:$1,0)-MATCH($A$1,fork_awake_units!$1:$1,0)+1),MATCH(C$1,fork_awake_units!$1:$1,0)-MATCH($A$1,fork_awake_units!$1:$1,0)+1,FALSE)</f>
        <v>672</v>
      </c>
      <c r="D912" s="3" t="str">
        <f ca="1">VLOOKUP($C912,OFFSET([2]characters!$A$1,0,0,COUNTA([2]characters!$A:$A),MATCH(D$1,[2]characters!$1:$1,0)-MATCH($A$1,[2]characters!$1:$1,0)+1),MATCH(D$1,[2]characters!$1:$1,0)-MATCH($A$1,[2]characters!$1:$1,0)+1,FALSE)</f>
        <v>西遊韋駄天 ハヌマーン</v>
      </c>
      <c r="E912" s="66">
        <v>106</v>
      </c>
      <c r="F912" s="3" t="str">
        <f ca="1">VLOOKUP($E912,OFFSET([2]characters!$A$1,0,0,COUNTA([2]characters!$A:$A),MATCH(F$1,[2]characters!$1:$1,0)-MATCH($A$1,[2]characters!$1:$1,0)+1),MATCH(F$1,[2]characters!$1:$1,0)-MATCH($A$1,[2]characters!$1:$1,0)+1,FALSE)</f>
        <v>グリーンラビット</v>
      </c>
      <c r="G912" s="66">
        <v>1</v>
      </c>
      <c r="H912" s="66">
        <v>1</v>
      </c>
      <c r="I912" s="66">
        <v>1</v>
      </c>
    </row>
    <row r="913" spans="1:9" x14ac:dyDescent="0.15">
      <c r="A913" s="66">
        <v>671</v>
      </c>
      <c r="B913" s="3" t="str">
        <f ca="1">VLOOKUP($A913,OFFSET([2]characters!$A$1,0,0,COUNTA([2]characters!$A:$A),MATCH(B$1,[2]characters!$1:$1,0)-MATCH($A$1,[2]characters!$1:$1,0)+1),MATCH(B$1,[2]characters!$1:$1,0)-MATCH($A$1,[2]characters!$1:$1,0)+1,FALSE)</f>
        <v>ハヌマーン</v>
      </c>
      <c r="C913" s="93">
        <f ca="1">VLOOKUP($A913,OFFSET(fork_awake_units!$A$1,0,0,COUNTA(fork_awake_units!$A:$A),MATCH(C$1,fork_awake_units!$1:$1,0)-MATCH($A$1,fork_awake_units!$1:$1,0)+1),MATCH(C$1,fork_awake_units!$1:$1,0)-MATCH($A$1,fork_awake_units!$1:$1,0)+1,FALSE)</f>
        <v>672</v>
      </c>
      <c r="D913" s="3" t="str">
        <f ca="1">VLOOKUP($C913,OFFSET([2]characters!$A$1,0,0,COUNTA([2]characters!$A:$A),MATCH(D$1,[2]characters!$1:$1,0)-MATCH($A$1,[2]characters!$1:$1,0)+1),MATCH(D$1,[2]characters!$1:$1,0)-MATCH($A$1,[2]characters!$1:$1,0)+1,FALSE)</f>
        <v>西遊韋駄天 ハヌマーン</v>
      </c>
      <c r="E913" s="66">
        <v>107</v>
      </c>
      <c r="F913" s="3" t="str">
        <f ca="1">VLOOKUP($E913,OFFSET([2]characters!$A$1,0,0,COUNTA([2]characters!$A:$A),MATCH(F$1,[2]characters!$1:$1,0)-MATCH($A$1,[2]characters!$1:$1,0)+1),MATCH(F$1,[2]characters!$1:$1,0)-MATCH($A$1,[2]characters!$1:$1,0)+1,FALSE)</f>
        <v>グリーンキャタップ</v>
      </c>
      <c r="G913" s="66">
        <v>3</v>
      </c>
      <c r="H913" s="66">
        <v>1</v>
      </c>
      <c r="I913" s="66">
        <v>1</v>
      </c>
    </row>
    <row r="914" spans="1:9" x14ac:dyDescent="0.15">
      <c r="A914" s="66">
        <v>672</v>
      </c>
      <c r="B914" s="3" t="str">
        <f ca="1">VLOOKUP($A914,OFFSET([2]characters!$A$1,0,0,COUNTA([2]characters!$A:$A),MATCH(B$1,[2]characters!$1:$1,0)-MATCH($A$1,[2]characters!$1:$1,0)+1),MATCH(B$1,[2]characters!$1:$1,0)-MATCH($A$1,[2]characters!$1:$1,0)+1,FALSE)</f>
        <v>西遊韋駄天 ハヌマーン</v>
      </c>
      <c r="C914" s="93">
        <f ca="1">VLOOKUP($A914,OFFSET(fork_awake_units!$A$1,0,0,COUNTA(fork_awake_units!$A:$A),MATCH(C$1,fork_awake_units!$1:$1,0)-MATCH($A$1,fork_awake_units!$1:$1,0)+1),MATCH(C$1,fork_awake_units!$1:$1,0)-MATCH($A$1,fork_awake_units!$1:$1,0)+1,FALSE)</f>
        <v>673</v>
      </c>
      <c r="D914" s="3" t="str">
        <f ca="1">VLOOKUP($C914,OFFSET([2]characters!$A$1,0,0,COUNTA([2]characters!$A:$A),MATCH(D$1,[2]characters!$1:$1,0)-MATCH($A$1,[2]characters!$1:$1,0)+1),MATCH(D$1,[2]characters!$1:$1,0)-MATCH($A$1,[2]characters!$1:$1,0)+1,FALSE)</f>
        <v>変幻自在の猿王 ハヌマーン</v>
      </c>
      <c r="E914" s="66">
        <v>106</v>
      </c>
      <c r="F914" s="3" t="str">
        <f ca="1">VLOOKUP($E914,OFFSET([2]characters!$A$1,0,0,COUNTA([2]characters!$A:$A),MATCH(F$1,[2]characters!$1:$1,0)-MATCH($A$1,[2]characters!$1:$1,0)+1),MATCH(F$1,[2]characters!$1:$1,0)-MATCH($A$1,[2]characters!$1:$1,0)+1,FALSE)</f>
        <v>グリーンラビット</v>
      </c>
      <c r="G914" s="66">
        <v>1</v>
      </c>
      <c r="H914" s="66">
        <v>1</v>
      </c>
      <c r="I914" s="66">
        <v>1</v>
      </c>
    </row>
    <row r="915" spans="1:9" x14ac:dyDescent="0.15">
      <c r="A915" s="66">
        <v>672</v>
      </c>
      <c r="B915" s="3" t="str">
        <f ca="1">VLOOKUP($A915,OFFSET([2]characters!$A$1,0,0,COUNTA([2]characters!$A:$A),MATCH(B$1,[2]characters!$1:$1,0)-MATCH($A$1,[2]characters!$1:$1,0)+1),MATCH(B$1,[2]characters!$1:$1,0)-MATCH($A$1,[2]characters!$1:$1,0)+1,FALSE)</f>
        <v>西遊韋駄天 ハヌマーン</v>
      </c>
      <c r="C915" s="93">
        <f ca="1">VLOOKUP($A915,OFFSET(fork_awake_units!$A$1,0,0,COUNTA(fork_awake_units!$A:$A),MATCH(C$1,fork_awake_units!$1:$1,0)-MATCH($A$1,fork_awake_units!$1:$1,0)+1),MATCH(C$1,fork_awake_units!$1:$1,0)-MATCH($A$1,fork_awake_units!$1:$1,0)+1,FALSE)</f>
        <v>673</v>
      </c>
      <c r="D915" s="3" t="str">
        <f ca="1">VLOOKUP($C915,OFFSET([2]characters!$A$1,0,0,COUNTA([2]characters!$A:$A),MATCH(D$1,[2]characters!$1:$1,0)-MATCH($A$1,[2]characters!$1:$1,0)+1),MATCH(D$1,[2]characters!$1:$1,0)-MATCH($A$1,[2]characters!$1:$1,0)+1,FALSE)</f>
        <v>変幻自在の猿王 ハヌマーン</v>
      </c>
      <c r="E915" s="66">
        <v>107</v>
      </c>
      <c r="F915" s="3" t="str">
        <f ca="1">VLOOKUP($E915,OFFSET([2]characters!$A$1,0,0,COUNTA([2]characters!$A:$A),MATCH(F$1,[2]characters!$1:$1,0)-MATCH($A$1,[2]characters!$1:$1,0)+1),MATCH(F$1,[2]characters!$1:$1,0)-MATCH($A$1,[2]characters!$1:$1,0)+1,FALSE)</f>
        <v>グリーンキャタップ</v>
      </c>
      <c r="G915" s="66">
        <v>2</v>
      </c>
      <c r="H915" s="66">
        <v>1</v>
      </c>
      <c r="I915" s="66">
        <v>1</v>
      </c>
    </row>
    <row r="916" spans="1:9" x14ac:dyDescent="0.15">
      <c r="A916" s="66">
        <v>672</v>
      </c>
      <c r="B916" s="3" t="str">
        <f ca="1">VLOOKUP($A916,OFFSET([2]characters!$A$1,0,0,COUNTA([2]characters!$A:$A),MATCH(B$1,[2]characters!$1:$1,0)-MATCH($A$1,[2]characters!$1:$1,0)+1),MATCH(B$1,[2]characters!$1:$1,0)-MATCH($A$1,[2]characters!$1:$1,0)+1,FALSE)</f>
        <v>西遊韋駄天 ハヌマーン</v>
      </c>
      <c r="C916" s="93">
        <f ca="1">VLOOKUP($A916,OFFSET(fork_awake_units!$A$1,0,0,COUNTA(fork_awake_units!$A:$A),MATCH(C$1,fork_awake_units!$1:$1,0)-MATCH($A$1,fork_awake_units!$1:$1,0)+1),MATCH(C$1,fork_awake_units!$1:$1,0)-MATCH($A$1,fork_awake_units!$1:$1,0)+1,FALSE)</f>
        <v>673</v>
      </c>
      <c r="D916" s="3" t="str">
        <f ca="1">VLOOKUP($C916,OFFSET([2]characters!$A$1,0,0,COUNTA([2]characters!$A:$A),MATCH(D$1,[2]characters!$1:$1,0)-MATCH($A$1,[2]characters!$1:$1,0)+1),MATCH(D$1,[2]characters!$1:$1,0)-MATCH($A$1,[2]characters!$1:$1,0)+1,FALSE)</f>
        <v>変幻自在の猿王 ハヌマーン</v>
      </c>
      <c r="E916" s="66">
        <v>108</v>
      </c>
      <c r="F916" s="3" t="str">
        <f ca="1">VLOOKUP($E916,OFFSET([2]characters!$A$1,0,0,COUNTA([2]characters!$A:$A),MATCH(F$1,[2]characters!$1:$1,0)-MATCH($A$1,[2]characters!$1:$1,0)+1),MATCH(F$1,[2]characters!$1:$1,0)-MATCH($A$1,[2]characters!$1:$1,0)+1,FALSE)</f>
        <v>森のマッドハッター</v>
      </c>
      <c r="G916" s="66">
        <v>2</v>
      </c>
      <c r="H916" s="66">
        <v>1</v>
      </c>
      <c r="I916" s="66">
        <v>1</v>
      </c>
    </row>
    <row r="917" spans="1:9" x14ac:dyDescent="0.15">
      <c r="A917" s="66">
        <v>674</v>
      </c>
      <c r="B917" s="3" t="str">
        <f ca="1">VLOOKUP($A917,OFFSET([2]characters!$A$1,0,0,COUNTA([2]characters!$A:$A),MATCH(B$1,[2]characters!$1:$1,0)-MATCH($A$1,[2]characters!$1:$1,0)+1),MATCH(B$1,[2]characters!$1:$1,0)-MATCH($A$1,[2]characters!$1:$1,0)+1,FALSE)</f>
        <v>サラスヴァティ</v>
      </c>
      <c r="C917" s="93">
        <f ca="1">VLOOKUP($A917,OFFSET(fork_awake_units!$A$1,0,0,COUNTA(fork_awake_units!$A:$A),MATCH(C$1,fork_awake_units!$1:$1,0)-MATCH($A$1,fork_awake_units!$1:$1,0)+1),MATCH(C$1,fork_awake_units!$1:$1,0)-MATCH($A$1,fork_awake_units!$1:$1,0)+1,FALSE)</f>
        <v>675</v>
      </c>
      <c r="D917" s="3" t="str">
        <f ca="1">VLOOKUP($C917,OFFSET([2]characters!$A$1,0,0,COUNTA([2]characters!$A:$A),MATCH(D$1,[2]characters!$1:$1,0)-MATCH($A$1,[2]characters!$1:$1,0)+1),MATCH(D$1,[2]characters!$1:$1,0)-MATCH($A$1,[2]characters!$1:$1,0)+1,FALSE)</f>
        <v>芸楽の奔流 サラスヴァティ</v>
      </c>
      <c r="E917" s="66">
        <v>111</v>
      </c>
      <c r="F917" s="3" t="str">
        <f ca="1">VLOOKUP($E917,OFFSET([2]characters!$A$1,0,0,COUNTA([2]characters!$A:$A),MATCH(F$1,[2]characters!$1:$1,0)-MATCH($A$1,[2]characters!$1:$1,0)+1),MATCH(F$1,[2]characters!$1:$1,0)-MATCH($A$1,[2]characters!$1:$1,0)+1,FALSE)</f>
        <v>ブルーキャタップ</v>
      </c>
      <c r="G917" s="66">
        <v>2</v>
      </c>
      <c r="H917" s="66">
        <v>1</v>
      </c>
      <c r="I917" s="66">
        <v>1</v>
      </c>
    </row>
    <row r="918" spans="1:9" x14ac:dyDescent="0.15">
      <c r="A918" s="66">
        <v>674</v>
      </c>
      <c r="B918" s="3" t="str">
        <f ca="1">VLOOKUP($A918,OFFSET([2]characters!$A$1,0,0,COUNTA([2]characters!$A:$A),MATCH(B$1,[2]characters!$1:$1,0)-MATCH($A$1,[2]characters!$1:$1,0)+1),MATCH(B$1,[2]characters!$1:$1,0)-MATCH($A$1,[2]characters!$1:$1,0)+1,FALSE)</f>
        <v>サラスヴァティ</v>
      </c>
      <c r="C918" s="93">
        <f ca="1">VLOOKUP($A918,OFFSET(fork_awake_units!$A$1,0,0,COUNTA(fork_awake_units!$A:$A),MATCH(C$1,fork_awake_units!$1:$1,0)-MATCH($A$1,fork_awake_units!$1:$1,0)+1),MATCH(C$1,fork_awake_units!$1:$1,0)-MATCH($A$1,fork_awake_units!$1:$1,0)+1,FALSE)</f>
        <v>675</v>
      </c>
      <c r="D918" s="3" t="str">
        <f ca="1">VLOOKUP($C918,OFFSET([2]characters!$A$1,0,0,COUNTA([2]characters!$A:$A),MATCH(D$1,[2]characters!$1:$1,0)-MATCH($A$1,[2]characters!$1:$1,0)+1),MATCH(D$1,[2]characters!$1:$1,0)-MATCH($A$1,[2]characters!$1:$1,0)+1,FALSE)</f>
        <v>芸楽の奔流 サラスヴァティ</v>
      </c>
      <c r="E918" s="66">
        <v>112</v>
      </c>
      <c r="F918" s="3" t="str">
        <f ca="1">VLOOKUP($E918,OFFSET([2]characters!$A$1,0,0,COUNTA([2]characters!$A:$A),MATCH(F$1,[2]characters!$1:$1,0)-MATCH($A$1,[2]characters!$1:$1,0)+1),MATCH(F$1,[2]characters!$1:$1,0)-MATCH($A$1,[2]characters!$1:$1,0)+1,FALSE)</f>
        <v>水のマッドハッター</v>
      </c>
      <c r="G918" s="66">
        <v>1</v>
      </c>
      <c r="H918" s="66">
        <v>1</v>
      </c>
      <c r="I918" s="66">
        <v>1</v>
      </c>
    </row>
    <row r="919" spans="1:9" x14ac:dyDescent="0.15">
      <c r="A919" s="66">
        <v>674</v>
      </c>
      <c r="B919" s="3" t="str">
        <f ca="1">VLOOKUP($A919,OFFSET([2]characters!$A$1,0,0,COUNTA([2]characters!$A:$A),MATCH(B$1,[2]characters!$1:$1,0)-MATCH($A$1,[2]characters!$1:$1,0)+1),MATCH(B$1,[2]characters!$1:$1,0)-MATCH($A$1,[2]characters!$1:$1,0)+1,FALSE)</f>
        <v>サラスヴァティ</v>
      </c>
      <c r="C919" s="93">
        <f ca="1">VLOOKUP($A919,OFFSET(fork_awake_units!$A$1,0,0,COUNTA(fork_awake_units!$A:$A),MATCH(C$1,fork_awake_units!$1:$1,0)-MATCH($A$1,fork_awake_units!$1:$1,0)+1),MATCH(C$1,fork_awake_units!$1:$1,0)-MATCH($A$1,fork_awake_units!$1:$1,0)+1,FALSE)</f>
        <v>675</v>
      </c>
      <c r="D919" s="3" t="str">
        <f ca="1">VLOOKUP($C919,OFFSET([2]characters!$A$1,0,0,COUNTA([2]characters!$A:$A),MATCH(D$1,[2]characters!$1:$1,0)-MATCH($A$1,[2]characters!$1:$1,0)+1),MATCH(D$1,[2]characters!$1:$1,0)-MATCH($A$1,[2]characters!$1:$1,0)+1,FALSE)</f>
        <v>芸楽の奔流 サラスヴァティ</v>
      </c>
      <c r="E919" s="66">
        <v>310</v>
      </c>
      <c r="F919" s="3" t="str">
        <f ca="1">VLOOKUP($E919,OFFSET([2]characters!$A$1,0,0,COUNTA([2]characters!$A:$A),MATCH(F$1,[2]characters!$1:$1,0)-MATCH($A$1,[2]characters!$1:$1,0)+1),MATCH(F$1,[2]characters!$1:$1,0)-MATCH($A$1,[2]characters!$1:$1,0)+1,FALSE)</f>
        <v>リードシクティス</v>
      </c>
      <c r="G919" s="66">
        <v>1</v>
      </c>
      <c r="H919" s="66">
        <v>1</v>
      </c>
      <c r="I919" s="66">
        <v>1</v>
      </c>
    </row>
    <row r="920" spans="1:9" x14ac:dyDescent="0.15">
      <c r="A920" s="66">
        <v>674</v>
      </c>
      <c r="B920" s="3" t="str">
        <f ca="1">VLOOKUP($A920,OFFSET([2]characters!$A$1,0,0,COUNTA([2]characters!$A:$A),MATCH(B$1,[2]characters!$1:$1,0)-MATCH($A$1,[2]characters!$1:$1,0)+1),MATCH(B$1,[2]characters!$1:$1,0)-MATCH($A$1,[2]characters!$1:$1,0)+1,FALSE)</f>
        <v>サラスヴァティ</v>
      </c>
      <c r="C920" s="93">
        <f ca="1">VLOOKUP($A920,OFFSET(fork_awake_units!$A$1,0,0,COUNTA(fork_awake_units!$A:$A),MATCH(C$1,fork_awake_units!$1:$1,0)-MATCH($A$1,fork_awake_units!$1:$1,0)+1),MATCH(C$1,fork_awake_units!$1:$1,0)-MATCH($A$1,fork_awake_units!$1:$1,0)+1,FALSE)</f>
        <v>675</v>
      </c>
      <c r="D920" s="3" t="str">
        <f ca="1">VLOOKUP($C920,OFFSET([2]characters!$A$1,0,0,COUNTA([2]characters!$A:$A),MATCH(D$1,[2]characters!$1:$1,0)-MATCH($A$1,[2]characters!$1:$1,0)+1),MATCH(D$1,[2]characters!$1:$1,0)-MATCH($A$1,[2]characters!$1:$1,0)+1,FALSE)</f>
        <v>芸楽の奔流 サラスヴァティ</v>
      </c>
      <c r="E920" s="66">
        <v>646</v>
      </c>
      <c r="F920" s="3" t="str">
        <f ca="1">VLOOKUP($E920,OFFSET([2]characters!$A$1,0,0,COUNTA([2]characters!$A:$A),MATCH(F$1,[2]characters!$1:$1,0)-MATCH($A$1,[2]characters!$1:$1,0)+1),MATCH(F$1,[2]characters!$1:$1,0)-MATCH($A$1,[2]characters!$1:$1,0)+1,FALSE)</f>
        <v>雪女 ユキ</v>
      </c>
      <c r="G920" s="66">
        <v>1</v>
      </c>
      <c r="H920" s="66">
        <v>1</v>
      </c>
      <c r="I920" s="66">
        <v>1</v>
      </c>
    </row>
    <row r="921" spans="1:9" x14ac:dyDescent="0.15">
      <c r="A921" s="66">
        <v>676</v>
      </c>
      <c r="B921" s="3" t="str">
        <f ca="1">VLOOKUP($A921,OFFSET([2]characters!$A$1,0,0,COUNTA([2]characters!$A:$A),MATCH(B$1,[2]characters!$1:$1,0)-MATCH($A$1,[2]characters!$1:$1,0)+1),MATCH(B$1,[2]characters!$1:$1,0)-MATCH($A$1,[2]characters!$1:$1,0)+1,FALSE)</f>
        <v>ヴィシュヌ</v>
      </c>
      <c r="C921" s="93">
        <f ca="1">VLOOKUP($A921,OFFSET(fork_awake_units!$A$1,0,0,COUNTA(fork_awake_units!$A:$A),MATCH(C$1,fork_awake_units!$1:$1,0)-MATCH($A$1,fork_awake_units!$1:$1,0)+1),MATCH(C$1,fork_awake_units!$1:$1,0)-MATCH($A$1,fork_awake_units!$1:$1,0)+1,FALSE)</f>
        <v>677</v>
      </c>
      <c r="D921" s="3" t="str">
        <f ca="1">VLOOKUP($C921,OFFSET([2]characters!$A$1,0,0,COUNTA([2]characters!$A:$A),MATCH(D$1,[2]characters!$1:$1,0)-MATCH($A$1,[2]characters!$1:$1,0)+1),MATCH(D$1,[2]characters!$1:$1,0)-MATCH($A$1,[2]characters!$1:$1,0)+1,FALSE)</f>
        <v>武遊闊歩 ヴィシュヌ</v>
      </c>
      <c r="E921" s="66">
        <v>115</v>
      </c>
      <c r="F921" s="3" t="str">
        <f ca="1">VLOOKUP($E921,OFFSET([2]characters!$A$1,0,0,COUNTA([2]characters!$A:$A),MATCH(F$1,[2]characters!$1:$1,0)-MATCH($A$1,[2]characters!$1:$1,0)+1),MATCH(F$1,[2]characters!$1:$1,0)-MATCH($A$1,[2]characters!$1:$1,0)+1,FALSE)</f>
        <v>イエローキャタップ</v>
      </c>
      <c r="G921" s="66">
        <v>2</v>
      </c>
      <c r="H921" s="66">
        <v>1</v>
      </c>
      <c r="I921" s="66">
        <v>1</v>
      </c>
    </row>
    <row r="922" spans="1:9" x14ac:dyDescent="0.15">
      <c r="A922" s="66">
        <v>676</v>
      </c>
      <c r="B922" s="3" t="str">
        <f ca="1">VLOOKUP($A922,OFFSET([2]characters!$A$1,0,0,COUNTA([2]characters!$A:$A),MATCH(B$1,[2]characters!$1:$1,0)-MATCH($A$1,[2]characters!$1:$1,0)+1),MATCH(B$1,[2]characters!$1:$1,0)-MATCH($A$1,[2]characters!$1:$1,0)+1,FALSE)</f>
        <v>ヴィシュヌ</v>
      </c>
      <c r="C922" s="93">
        <f ca="1">VLOOKUP($A922,OFFSET(fork_awake_units!$A$1,0,0,COUNTA(fork_awake_units!$A:$A),MATCH(C$1,fork_awake_units!$1:$1,0)-MATCH($A$1,fork_awake_units!$1:$1,0)+1),MATCH(C$1,fork_awake_units!$1:$1,0)-MATCH($A$1,fork_awake_units!$1:$1,0)+1,FALSE)</f>
        <v>677</v>
      </c>
      <c r="D922" s="3" t="str">
        <f ca="1">VLOOKUP($C922,OFFSET([2]characters!$A$1,0,0,COUNTA([2]characters!$A:$A),MATCH(D$1,[2]characters!$1:$1,0)-MATCH($A$1,[2]characters!$1:$1,0)+1),MATCH(D$1,[2]characters!$1:$1,0)-MATCH($A$1,[2]characters!$1:$1,0)+1,FALSE)</f>
        <v>武遊闊歩 ヴィシュヌ</v>
      </c>
      <c r="E922" s="66">
        <v>116</v>
      </c>
      <c r="F922" s="3" t="str">
        <f ca="1">VLOOKUP($E922,OFFSET([2]characters!$A$1,0,0,COUNTA([2]characters!$A:$A),MATCH(F$1,[2]characters!$1:$1,0)-MATCH($A$1,[2]characters!$1:$1,0)+1),MATCH(F$1,[2]characters!$1:$1,0)-MATCH($A$1,[2]characters!$1:$1,0)+1,FALSE)</f>
        <v>雷のマッドハッター</v>
      </c>
      <c r="G922" s="66">
        <v>1</v>
      </c>
      <c r="H922" s="66">
        <v>1</v>
      </c>
      <c r="I922" s="66">
        <v>1</v>
      </c>
    </row>
    <row r="923" spans="1:9" x14ac:dyDescent="0.15">
      <c r="A923" s="66">
        <v>676</v>
      </c>
      <c r="B923" s="3" t="str">
        <f ca="1">VLOOKUP($A923,OFFSET([2]characters!$A$1,0,0,COUNTA([2]characters!$A:$A),MATCH(B$1,[2]characters!$1:$1,0)-MATCH($A$1,[2]characters!$1:$1,0)+1),MATCH(B$1,[2]characters!$1:$1,0)-MATCH($A$1,[2]characters!$1:$1,0)+1,FALSE)</f>
        <v>ヴィシュヌ</v>
      </c>
      <c r="C923" s="93">
        <f ca="1">VLOOKUP($A923,OFFSET(fork_awake_units!$A$1,0,0,COUNTA(fork_awake_units!$A:$A),MATCH(C$1,fork_awake_units!$1:$1,0)-MATCH($A$1,fork_awake_units!$1:$1,0)+1),MATCH(C$1,fork_awake_units!$1:$1,0)-MATCH($A$1,fork_awake_units!$1:$1,0)+1,FALSE)</f>
        <v>677</v>
      </c>
      <c r="D923" s="3" t="str">
        <f ca="1">VLOOKUP($C923,OFFSET([2]characters!$A$1,0,0,COUNTA([2]characters!$A:$A),MATCH(D$1,[2]characters!$1:$1,0)-MATCH($A$1,[2]characters!$1:$1,0)+1),MATCH(D$1,[2]characters!$1:$1,0)-MATCH($A$1,[2]characters!$1:$1,0)+1,FALSE)</f>
        <v>武遊闊歩 ヴィシュヌ</v>
      </c>
      <c r="E923" s="66">
        <v>268</v>
      </c>
      <c r="F923" s="3" t="str">
        <f ca="1">VLOOKUP($E923,OFFSET([2]characters!$A$1,0,0,COUNTA([2]characters!$A:$A),MATCH(F$1,[2]characters!$1:$1,0)-MATCH($A$1,[2]characters!$1:$1,0)+1),MATCH(F$1,[2]characters!$1:$1,0)-MATCH($A$1,[2]characters!$1:$1,0)+1,FALSE)</f>
        <v>鵺</v>
      </c>
      <c r="G923" s="66">
        <v>1</v>
      </c>
      <c r="H923" s="66">
        <v>2</v>
      </c>
      <c r="I923" s="66">
        <v>1</v>
      </c>
    </row>
    <row r="924" spans="1:9" x14ac:dyDescent="0.15">
      <c r="A924" s="66">
        <v>676</v>
      </c>
      <c r="B924" s="3" t="str">
        <f ca="1">VLOOKUP($A924,OFFSET([2]characters!$A$1,0,0,COUNTA([2]characters!$A:$A),MATCH(B$1,[2]characters!$1:$1,0)-MATCH($A$1,[2]characters!$1:$1,0)+1),MATCH(B$1,[2]characters!$1:$1,0)-MATCH($A$1,[2]characters!$1:$1,0)+1,FALSE)</f>
        <v>ヴィシュヌ</v>
      </c>
      <c r="C924" s="93">
        <f ca="1">VLOOKUP($A924,OFFSET(fork_awake_units!$A$1,0,0,COUNTA(fork_awake_units!$A:$A),MATCH(C$1,fork_awake_units!$1:$1,0)-MATCH($A$1,fork_awake_units!$1:$1,0)+1),MATCH(C$1,fork_awake_units!$1:$1,0)-MATCH($A$1,fork_awake_units!$1:$1,0)+1,FALSE)</f>
        <v>677</v>
      </c>
      <c r="D924" s="3" t="str">
        <f ca="1">VLOOKUP($C924,OFFSET([2]characters!$A$1,0,0,COUNTA([2]characters!$A:$A),MATCH(D$1,[2]characters!$1:$1,0)-MATCH($A$1,[2]characters!$1:$1,0)+1),MATCH(D$1,[2]characters!$1:$1,0)-MATCH($A$1,[2]characters!$1:$1,0)+1,FALSE)</f>
        <v>武遊闊歩 ヴィシュヌ</v>
      </c>
      <c r="E924" s="66">
        <v>583</v>
      </c>
      <c r="F924" s="3" t="str">
        <f ca="1">VLOOKUP($E924,OFFSET([2]characters!$A$1,0,0,COUNTA([2]characters!$A:$A),MATCH(F$1,[2]characters!$1:$1,0)-MATCH($A$1,[2]characters!$1:$1,0)+1),MATCH(F$1,[2]characters!$1:$1,0)-MATCH($A$1,[2]characters!$1:$1,0)+1,FALSE)</f>
        <v>ミョルニル</v>
      </c>
      <c r="G924" s="66">
        <v>1</v>
      </c>
      <c r="H924" s="66">
        <v>1</v>
      </c>
      <c r="I924" s="66">
        <v>1</v>
      </c>
    </row>
    <row r="925" spans="1:9" x14ac:dyDescent="0.15">
      <c r="A925" s="66">
        <v>680</v>
      </c>
      <c r="B925" s="3" t="str">
        <f ca="1">VLOOKUP($A925,OFFSET([2]characters!$A$1,0,0,COUNTA([2]characters!$A:$A),MATCH(B$1,[2]characters!$1:$1,0)-MATCH($A$1,[2]characters!$1:$1,0)+1),MATCH(B$1,[2]characters!$1:$1,0)-MATCH($A$1,[2]characters!$1:$1,0)+1,FALSE)</f>
        <v>炎のプレゼントケロケロ</v>
      </c>
      <c r="C925" s="93">
        <f ca="1">VLOOKUP($A925,OFFSET(fork_awake_units!$A$1,0,0,COUNTA(fork_awake_units!$A:$A),MATCH(C$1,fork_awake_units!$1:$1,0)-MATCH($A$1,fork_awake_units!$1:$1,0)+1),MATCH(C$1,fork_awake_units!$1:$1,0)-MATCH($A$1,fork_awake_units!$1:$1,0)+1,FALSE)</f>
        <v>681</v>
      </c>
      <c r="D925" s="3" t="str">
        <f ca="1">VLOOKUP($C925,OFFSET([2]characters!$A$1,0,0,COUNTA([2]characters!$A:$A),MATCH(D$1,[2]characters!$1:$1,0)-MATCH($A$1,[2]characters!$1:$1,0)+1),MATCH(D$1,[2]characters!$1:$1,0)-MATCH($A$1,[2]characters!$1:$1,0)+1,FALSE)</f>
        <v>炎のプレゼントフロッグ</v>
      </c>
      <c r="E925" s="66">
        <v>104</v>
      </c>
      <c r="F925" s="3" t="str">
        <f ca="1">VLOOKUP($E925,OFFSET([2]characters!$A$1,0,0,COUNTA([2]characters!$A:$A),MATCH(F$1,[2]characters!$1:$1,0)-MATCH($A$1,[2]characters!$1:$1,0)+1),MATCH(F$1,[2]characters!$1:$1,0)-MATCH($A$1,[2]characters!$1:$1,0)+1,FALSE)</f>
        <v>炎のマッドハッター</v>
      </c>
      <c r="G925" s="66">
        <v>1</v>
      </c>
      <c r="H925" s="66">
        <v>1</v>
      </c>
      <c r="I925" s="66">
        <v>1</v>
      </c>
    </row>
    <row r="926" spans="1:9" x14ac:dyDescent="0.15">
      <c r="A926" s="66">
        <v>680</v>
      </c>
      <c r="B926" s="3" t="str">
        <f ca="1">VLOOKUP($A926,OFFSET([2]characters!$A$1,0,0,COUNTA([2]characters!$A:$A),MATCH(B$1,[2]characters!$1:$1,0)-MATCH($A$1,[2]characters!$1:$1,0)+1),MATCH(B$1,[2]characters!$1:$1,0)-MATCH($A$1,[2]characters!$1:$1,0)+1,FALSE)</f>
        <v>炎のプレゼントケロケロ</v>
      </c>
      <c r="C926" s="93">
        <f ca="1">VLOOKUP($A926,OFFSET(fork_awake_units!$A$1,0,0,COUNTA(fork_awake_units!$A:$A),MATCH(C$1,fork_awake_units!$1:$1,0)-MATCH($A$1,fork_awake_units!$1:$1,0)+1),MATCH(C$1,fork_awake_units!$1:$1,0)-MATCH($A$1,fork_awake_units!$1:$1,0)+1,FALSE)</f>
        <v>681</v>
      </c>
      <c r="D926" s="3" t="str">
        <f ca="1">VLOOKUP($C926,OFFSET([2]characters!$A$1,0,0,COUNTA([2]characters!$A:$A),MATCH(D$1,[2]characters!$1:$1,0)-MATCH($A$1,[2]characters!$1:$1,0)+1),MATCH(D$1,[2]characters!$1:$1,0)-MATCH($A$1,[2]characters!$1:$1,0)+1,FALSE)</f>
        <v>炎のプレゼントフロッグ</v>
      </c>
      <c r="E926" s="66">
        <v>334</v>
      </c>
      <c r="F926" s="3" t="str">
        <f ca="1">VLOOKUP($E926,OFFSET([2]characters!$A$1,0,0,COUNTA([2]characters!$A:$A),MATCH(F$1,[2]characters!$1:$1,0)-MATCH($A$1,[2]characters!$1:$1,0)+1),MATCH(F$1,[2]characters!$1:$1,0)-MATCH($A$1,[2]characters!$1:$1,0)+1,FALSE)</f>
        <v>炎のメタルダック</v>
      </c>
      <c r="G926" s="66">
        <v>2</v>
      </c>
      <c r="H926" s="66">
        <v>1</v>
      </c>
      <c r="I926" s="66">
        <v>1</v>
      </c>
    </row>
    <row r="927" spans="1:9" x14ac:dyDescent="0.15">
      <c r="A927" s="66">
        <v>682</v>
      </c>
      <c r="B927" s="3" t="str">
        <f ca="1">VLOOKUP($A927,OFFSET([2]characters!$A$1,0,0,COUNTA([2]characters!$A:$A),MATCH(B$1,[2]characters!$1:$1,0)-MATCH($A$1,[2]characters!$1:$1,0)+1),MATCH(B$1,[2]characters!$1:$1,0)-MATCH($A$1,[2]characters!$1:$1,0)+1,FALSE)</f>
        <v>森のプレゼントケロケロ</v>
      </c>
      <c r="C927" s="93">
        <f ca="1">VLOOKUP($A927,OFFSET(fork_awake_units!$A$1,0,0,COUNTA(fork_awake_units!$A:$A),MATCH(C$1,fork_awake_units!$1:$1,0)-MATCH($A$1,fork_awake_units!$1:$1,0)+1),MATCH(C$1,fork_awake_units!$1:$1,0)-MATCH($A$1,fork_awake_units!$1:$1,0)+1,FALSE)</f>
        <v>683</v>
      </c>
      <c r="D927" s="3" t="str">
        <f ca="1">VLOOKUP($C927,OFFSET([2]characters!$A$1,0,0,COUNTA([2]characters!$A:$A),MATCH(D$1,[2]characters!$1:$1,0)-MATCH($A$1,[2]characters!$1:$1,0)+1),MATCH(D$1,[2]characters!$1:$1,0)-MATCH($A$1,[2]characters!$1:$1,0)+1,FALSE)</f>
        <v>森のプレゼントフロッグ</v>
      </c>
      <c r="E927" s="66">
        <v>108</v>
      </c>
      <c r="F927" s="3" t="str">
        <f ca="1">VLOOKUP($E927,OFFSET([2]characters!$A$1,0,0,COUNTA([2]characters!$A:$A),MATCH(F$1,[2]characters!$1:$1,0)-MATCH($A$1,[2]characters!$1:$1,0)+1),MATCH(F$1,[2]characters!$1:$1,0)-MATCH($A$1,[2]characters!$1:$1,0)+1,FALSE)</f>
        <v>森のマッドハッター</v>
      </c>
      <c r="G927" s="66">
        <v>1</v>
      </c>
      <c r="H927" s="66">
        <v>1</v>
      </c>
      <c r="I927" s="66">
        <v>1</v>
      </c>
    </row>
    <row r="928" spans="1:9" x14ac:dyDescent="0.15">
      <c r="A928" s="66">
        <v>682</v>
      </c>
      <c r="B928" s="3" t="str">
        <f ca="1">VLOOKUP($A928,OFFSET([2]characters!$A$1,0,0,COUNTA([2]characters!$A:$A),MATCH(B$1,[2]characters!$1:$1,0)-MATCH($A$1,[2]characters!$1:$1,0)+1),MATCH(B$1,[2]characters!$1:$1,0)-MATCH($A$1,[2]characters!$1:$1,0)+1,FALSE)</f>
        <v>森のプレゼントケロケロ</v>
      </c>
      <c r="C928" s="93">
        <f ca="1">VLOOKUP($A928,OFFSET(fork_awake_units!$A$1,0,0,COUNTA(fork_awake_units!$A:$A),MATCH(C$1,fork_awake_units!$1:$1,0)-MATCH($A$1,fork_awake_units!$1:$1,0)+1),MATCH(C$1,fork_awake_units!$1:$1,0)-MATCH($A$1,fork_awake_units!$1:$1,0)+1,FALSE)</f>
        <v>683</v>
      </c>
      <c r="D928" s="3" t="str">
        <f ca="1">VLOOKUP($C928,OFFSET([2]characters!$A$1,0,0,COUNTA([2]characters!$A:$A),MATCH(D$1,[2]characters!$1:$1,0)-MATCH($A$1,[2]characters!$1:$1,0)+1),MATCH(D$1,[2]characters!$1:$1,0)-MATCH($A$1,[2]characters!$1:$1,0)+1,FALSE)</f>
        <v>森のプレゼントフロッグ</v>
      </c>
      <c r="E928" s="66">
        <v>338</v>
      </c>
      <c r="F928" s="3" t="str">
        <f ca="1">VLOOKUP($E928,OFFSET([2]characters!$A$1,0,0,COUNTA([2]characters!$A:$A),MATCH(F$1,[2]characters!$1:$1,0)-MATCH($A$1,[2]characters!$1:$1,0)+1),MATCH(F$1,[2]characters!$1:$1,0)-MATCH($A$1,[2]characters!$1:$1,0)+1,FALSE)</f>
        <v>森のメタルダック</v>
      </c>
      <c r="G928" s="66">
        <v>2</v>
      </c>
      <c r="H928" s="66">
        <v>1</v>
      </c>
      <c r="I928" s="66">
        <v>1</v>
      </c>
    </row>
    <row r="929" spans="1:9" x14ac:dyDescent="0.15">
      <c r="A929" s="66">
        <v>684</v>
      </c>
      <c r="B929" s="3" t="str">
        <f ca="1">VLOOKUP($A929,OFFSET([2]characters!$A$1,0,0,COUNTA([2]characters!$A:$A),MATCH(B$1,[2]characters!$1:$1,0)-MATCH($A$1,[2]characters!$1:$1,0)+1),MATCH(B$1,[2]characters!$1:$1,0)-MATCH($A$1,[2]characters!$1:$1,0)+1,FALSE)</f>
        <v>水のプレゼントケロケロ</v>
      </c>
      <c r="C929" s="93">
        <f ca="1">VLOOKUP($A929,OFFSET(fork_awake_units!$A$1,0,0,COUNTA(fork_awake_units!$A:$A),MATCH(C$1,fork_awake_units!$1:$1,0)-MATCH($A$1,fork_awake_units!$1:$1,0)+1),MATCH(C$1,fork_awake_units!$1:$1,0)-MATCH($A$1,fork_awake_units!$1:$1,0)+1,FALSE)</f>
        <v>685</v>
      </c>
      <c r="D929" s="3" t="str">
        <f ca="1">VLOOKUP($C929,OFFSET([2]characters!$A$1,0,0,COUNTA([2]characters!$A:$A),MATCH(D$1,[2]characters!$1:$1,0)-MATCH($A$1,[2]characters!$1:$1,0)+1),MATCH(D$1,[2]characters!$1:$1,0)-MATCH($A$1,[2]characters!$1:$1,0)+1,FALSE)</f>
        <v>水のプレゼントフロッグ</v>
      </c>
      <c r="E929" s="66">
        <v>112</v>
      </c>
      <c r="F929" s="3" t="str">
        <f ca="1">VLOOKUP($E929,OFFSET([2]characters!$A$1,0,0,COUNTA([2]characters!$A:$A),MATCH(F$1,[2]characters!$1:$1,0)-MATCH($A$1,[2]characters!$1:$1,0)+1),MATCH(F$1,[2]characters!$1:$1,0)-MATCH($A$1,[2]characters!$1:$1,0)+1,FALSE)</f>
        <v>水のマッドハッター</v>
      </c>
      <c r="G929" s="66">
        <v>1</v>
      </c>
      <c r="H929" s="66">
        <v>1</v>
      </c>
      <c r="I929" s="66">
        <v>1</v>
      </c>
    </row>
    <row r="930" spans="1:9" x14ac:dyDescent="0.15">
      <c r="A930" s="66">
        <v>684</v>
      </c>
      <c r="B930" s="3" t="str">
        <f ca="1">VLOOKUP($A930,OFFSET([2]characters!$A$1,0,0,COUNTA([2]characters!$A:$A),MATCH(B$1,[2]characters!$1:$1,0)-MATCH($A$1,[2]characters!$1:$1,0)+1),MATCH(B$1,[2]characters!$1:$1,0)-MATCH($A$1,[2]characters!$1:$1,0)+1,FALSE)</f>
        <v>水のプレゼントケロケロ</v>
      </c>
      <c r="C930" s="93">
        <f ca="1">VLOOKUP($A930,OFFSET(fork_awake_units!$A$1,0,0,COUNTA(fork_awake_units!$A:$A),MATCH(C$1,fork_awake_units!$1:$1,0)-MATCH($A$1,fork_awake_units!$1:$1,0)+1),MATCH(C$1,fork_awake_units!$1:$1,0)-MATCH($A$1,fork_awake_units!$1:$1,0)+1,FALSE)</f>
        <v>685</v>
      </c>
      <c r="D930" s="3" t="str">
        <f ca="1">VLOOKUP($C930,OFFSET([2]characters!$A$1,0,0,COUNTA([2]characters!$A:$A),MATCH(D$1,[2]characters!$1:$1,0)-MATCH($A$1,[2]characters!$1:$1,0)+1),MATCH(D$1,[2]characters!$1:$1,0)-MATCH($A$1,[2]characters!$1:$1,0)+1,FALSE)</f>
        <v>水のプレゼントフロッグ</v>
      </c>
      <c r="E930" s="66">
        <v>342</v>
      </c>
      <c r="F930" s="3" t="str">
        <f ca="1">VLOOKUP($E930,OFFSET([2]characters!$A$1,0,0,COUNTA([2]characters!$A:$A),MATCH(F$1,[2]characters!$1:$1,0)-MATCH($A$1,[2]characters!$1:$1,0)+1),MATCH(F$1,[2]characters!$1:$1,0)-MATCH($A$1,[2]characters!$1:$1,0)+1,FALSE)</f>
        <v>水のメタルダック</v>
      </c>
      <c r="G930" s="66">
        <v>2</v>
      </c>
      <c r="H930" s="66">
        <v>1</v>
      </c>
      <c r="I930" s="66">
        <v>1</v>
      </c>
    </row>
    <row r="931" spans="1:9" x14ac:dyDescent="0.15">
      <c r="A931" s="66">
        <v>686</v>
      </c>
      <c r="B931" s="3" t="str">
        <f ca="1">VLOOKUP($A931,OFFSET([2]characters!$A$1,0,0,COUNTA([2]characters!$A:$A),MATCH(B$1,[2]characters!$1:$1,0)-MATCH($A$1,[2]characters!$1:$1,0)+1),MATCH(B$1,[2]characters!$1:$1,0)-MATCH($A$1,[2]characters!$1:$1,0)+1,FALSE)</f>
        <v>雷のプレゼントケロケロ</v>
      </c>
      <c r="C931" s="93">
        <f ca="1">VLOOKUP($A931,OFFSET(fork_awake_units!$A$1,0,0,COUNTA(fork_awake_units!$A:$A),MATCH(C$1,fork_awake_units!$1:$1,0)-MATCH($A$1,fork_awake_units!$1:$1,0)+1),MATCH(C$1,fork_awake_units!$1:$1,0)-MATCH($A$1,fork_awake_units!$1:$1,0)+1,FALSE)</f>
        <v>687</v>
      </c>
      <c r="D931" s="3" t="str">
        <f ca="1">VLOOKUP($C931,OFFSET([2]characters!$A$1,0,0,COUNTA([2]characters!$A:$A),MATCH(D$1,[2]characters!$1:$1,0)-MATCH($A$1,[2]characters!$1:$1,0)+1),MATCH(D$1,[2]characters!$1:$1,0)-MATCH($A$1,[2]characters!$1:$1,0)+1,FALSE)</f>
        <v>雷のプレゼントフロッグ</v>
      </c>
      <c r="E931" s="66">
        <v>116</v>
      </c>
      <c r="F931" s="3" t="str">
        <f ca="1">VLOOKUP($E931,OFFSET([2]characters!$A$1,0,0,COUNTA([2]characters!$A:$A),MATCH(F$1,[2]characters!$1:$1,0)-MATCH($A$1,[2]characters!$1:$1,0)+1),MATCH(F$1,[2]characters!$1:$1,0)-MATCH($A$1,[2]characters!$1:$1,0)+1,FALSE)</f>
        <v>雷のマッドハッター</v>
      </c>
      <c r="G931" s="66">
        <v>1</v>
      </c>
      <c r="H931" s="66">
        <v>1</v>
      </c>
      <c r="I931" s="66">
        <v>1</v>
      </c>
    </row>
    <row r="932" spans="1:9" x14ac:dyDescent="0.15">
      <c r="A932" s="66">
        <v>686</v>
      </c>
      <c r="B932" s="3" t="str">
        <f ca="1">VLOOKUP($A932,OFFSET([2]characters!$A$1,0,0,COUNTA([2]characters!$A:$A),MATCH(B$1,[2]characters!$1:$1,0)-MATCH($A$1,[2]characters!$1:$1,0)+1),MATCH(B$1,[2]characters!$1:$1,0)-MATCH($A$1,[2]characters!$1:$1,0)+1,FALSE)</f>
        <v>雷のプレゼントケロケロ</v>
      </c>
      <c r="C932" s="93">
        <f ca="1">VLOOKUP($A932,OFFSET(fork_awake_units!$A$1,0,0,COUNTA(fork_awake_units!$A:$A),MATCH(C$1,fork_awake_units!$1:$1,0)-MATCH($A$1,fork_awake_units!$1:$1,0)+1),MATCH(C$1,fork_awake_units!$1:$1,0)-MATCH($A$1,fork_awake_units!$1:$1,0)+1,FALSE)</f>
        <v>687</v>
      </c>
      <c r="D932" s="3" t="str">
        <f ca="1">VLOOKUP($C932,OFFSET([2]characters!$A$1,0,0,COUNTA([2]characters!$A:$A),MATCH(D$1,[2]characters!$1:$1,0)-MATCH($A$1,[2]characters!$1:$1,0)+1),MATCH(D$1,[2]characters!$1:$1,0)-MATCH($A$1,[2]characters!$1:$1,0)+1,FALSE)</f>
        <v>雷のプレゼントフロッグ</v>
      </c>
      <c r="E932" s="66">
        <v>346</v>
      </c>
      <c r="F932" s="3" t="str">
        <f ca="1">VLOOKUP($E932,OFFSET([2]characters!$A$1,0,0,COUNTA([2]characters!$A:$A),MATCH(F$1,[2]characters!$1:$1,0)-MATCH($A$1,[2]characters!$1:$1,0)+1),MATCH(F$1,[2]characters!$1:$1,0)-MATCH($A$1,[2]characters!$1:$1,0)+1,FALSE)</f>
        <v>雷のメタルダック</v>
      </c>
      <c r="G932" s="66">
        <v>2</v>
      </c>
      <c r="H932" s="66">
        <v>1</v>
      </c>
      <c r="I932" s="66">
        <v>1</v>
      </c>
    </row>
    <row r="933" spans="1:9" x14ac:dyDescent="0.15">
      <c r="A933" s="66">
        <v>691</v>
      </c>
      <c r="B933" s="3" t="str">
        <f ca="1">VLOOKUP($A933,OFFSET([2]characters!$A$1,0,0,COUNTA([2]characters!$A:$A),MATCH(B$1,[2]characters!$1:$1,0)-MATCH($A$1,[2]characters!$1:$1,0)+1),MATCH(B$1,[2]characters!$1:$1,0)-MATCH($A$1,[2]characters!$1:$1,0)+1,FALSE)</f>
        <v>黒沼青葉</v>
      </c>
      <c r="C933" s="93">
        <f ca="1">VLOOKUP($A933,OFFSET(fork_awake_units!$A$1,0,0,COUNTA(fork_awake_units!$A:$A),MATCH(C$1,fork_awake_units!$1:$1,0)-MATCH($A$1,fork_awake_units!$1:$1,0)+1),MATCH(C$1,fork_awake_units!$1:$1,0)-MATCH($A$1,fork_awake_units!$1:$1,0)+1,FALSE)</f>
        <v>692</v>
      </c>
      <c r="D933" s="3" t="str">
        <f ca="1">VLOOKUP($C933,OFFSET([2]characters!$A$1,0,0,COUNTA([2]characters!$A:$A),MATCH(D$1,[2]characters!$1:$1,0)-MATCH($A$1,[2]characters!$1:$1,0)+1),MATCH(D$1,[2]characters!$1:$1,0)-MATCH($A$1,[2]characters!$1:$1,0)+1,FALSE)</f>
        <v>暗躍する偽帝 黒沼青葉</v>
      </c>
      <c r="E933" s="66">
        <v>109</v>
      </c>
      <c r="F933" s="3" t="str">
        <f ca="1">VLOOKUP($E933,OFFSET([2]characters!$A$1,0,0,COUNTA([2]characters!$A:$A),MATCH(F$1,[2]characters!$1:$1,0)-MATCH($A$1,[2]characters!$1:$1,0)+1),MATCH(F$1,[2]characters!$1:$1,0)-MATCH($A$1,[2]characters!$1:$1,0)+1,FALSE)</f>
        <v>ブルーチェシャ</v>
      </c>
      <c r="G933" s="66">
        <v>1</v>
      </c>
      <c r="H933" s="66">
        <v>1</v>
      </c>
      <c r="I933" s="66">
        <v>1</v>
      </c>
    </row>
    <row r="934" spans="1:9" x14ac:dyDescent="0.15">
      <c r="A934" s="66">
        <v>691</v>
      </c>
      <c r="B934" s="3" t="str">
        <f ca="1">VLOOKUP($A934,OFFSET([2]characters!$A$1,0,0,COUNTA([2]characters!$A:$A),MATCH(B$1,[2]characters!$1:$1,0)-MATCH($A$1,[2]characters!$1:$1,0)+1),MATCH(B$1,[2]characters!$1:$1,0)-MATCH($A$1,[2]characters!$1:$1,0)+1,FALSE)</f>
        <v>黒沼青葉</v>
      </c>
      <c r="C934" s="93">
        <f ca="1">VLOOKUP($A934,OFFSET(fork_awake_units!$A$1,0,0,COUNTA(fork_awake_units!$A:$A),MATCH(C$1,fork_awake_units!$1:$1,0)-MATCH($A$1,fork_awake_units!$1:$1,0)+1),MATCH(C$1,fork_awake_units!$1:$1,0)-MATCH($A$1,fork_awake_units!$1:$1,0)+1,FALSE)</f>
        <v>692</v>
      </c>
      <c r="D934" s="3" t="str">
        <f ca="1">VLOOKUP($C934,OFFSET([2]characters!$A$1,0,0,COUNTA([2]characters!$A:$A),MATCH(D$1,[2]characters!$1:$1,0)-MATCH($A$1,[2]characters!$1:$1,0)+1),MATCH(D$1,[2]characters!$1:$1,0)-MATCH($A$1,[2]characters!$1:$1,0)+1,FALSE)</f>
        <v>暗躍する偽帝 黒沼青葉</v>
      </c>
      <c r="E934" s="66">
        <v>110</v>
      </c>
      <c r="F934" s="3" t="str">
        <f ca="1">VLOOKUP($E934,OFFSET([2]characters!$A$1,0,0,COUNTA([2]characters!$A:$A),MATCH(F$1,[2]characters!$1:$1,0)-MATCH($A$1,[2]characters!$1:$1,0)+1),MATCH(F$1,[2]characters!$1:$1,0)-MATCH($A$1,[2]characters!$1:$1,0)+1,FALSE)</f>
        <v>ブルーラビット</v>
      </c>
      <c r="G934" s="66">
        <v>1</v>
      </c>
      <c r="H934" s="66">
        <v>1</v>
      </c>
      <c r="I934" s="66">
        <v>1</v>
      </c>
    </row>
    <row r="935" spans="1:9" x14ac:dyDescent="0.15">
      <c r="A935" s="66">
        <v>691</v>
      </c>
      <c r="B935" s="3" t="str">
        <f ca="1">VLOOKUP($A935,OFFSET([2]characters!$A$1,0,0,COUNTA([2]characters!$A:$A),MATCH(B$1,[2]characters!$1:$1,0)-MATCH($A$1,[2]characters!$1:$1,0)+1),MATCH(B$1,[2]characters!$1:$1,0)-MATCH($A$1,[2]characters!$1:$1,0)+1,FALSE)</f>
        <v>黒沼青葉</v>
      </c>
      <c r="C935" s="93">
        <f ca="1">VLOOKUP($A935,OFFSET(fork_awake_units!$A$1,0,0,COUNTA(fork_awake_units!$A:$A),MATCH(C$1,fork_awake_units!$1:$1,0)-MATCH($A$1,fork_awake_units!$1:$1,0)+1),MATCH(C$1,fork_awake_units!$1:$1,0)-MATCH($A$1,fork_awake_units!$1:$1,0)+1,FALSE)</f>
        <v>692</v>
      </c>
      <c r="D935" s="3" t="str">
        <f ca="1">VLOOKUP($C935,OFFSET([2]characters!$A$1,0,0,COUNTA([2]characters!$A:$A),MATCH(D$1,[2]characters!$1:$1,0)-MATCH($A$1,[2]characters!$1:$1,0)+1),MATCH(D$1,[2]characters!$1:$1,0)-MATCH($A$1,[2]characters!$1:$1,0)+1,FALSE)</f>
        <v>暗躍する偽帝 黒沼青葉</v>
      </c>
      <c r="E935" s="66">
        <v>111</v>
      </c>
      <c r="F935" s="3" t="str">
        <f ca="1">VLOOKUP($E935,OFFSET([2]characters!$A$1,0,0,COUNTA([2]characters!$A:$A),MATCH(F$1,[2]characters!$1:$1,0)-MATCH($A$1,[2]characters!$1:$1,0)+1),MATCH(F$1,[2]characters!$1:$1,0)-MATCH($A$1,[2]characters!$1:$1,0)+1,FALSE)</f>
        <v>ブルーキャタップ</v>
      </c>
      <c r="G935" s="66">
        <v>1</v>
      </c>
      <c r="H935" s="66">
        <v>1</v>
      </c>
      <c r="I935" s="66">
        <v>1</v>
      </c>
    </row>
    <row r="936" spans="1:9" x14ac:dyDescent="0.15">
      <c r="A936" s="66">
        <v>691</v>
      </c>
      <c r="B936" s="3" t="str">
        <f ca="1">VLOOKUP($A936,OFFSET([2]characters!$A$1,0,0,COUNTA([2]characters!$A:$A),MATCH(B$1,[2]characters!$1:$1,0)-MATCH($A$1,[2]characters!$1:$1,0)+1),MATCH(B$1,[2]characters!$1:$1,0)-MATCH($A$1,[2]characters!$1:$1,0)+1,FALSE)</f>
        <v>黒沼青葉</v>
      </c>
      <c r="C936" s="93">
        <f ca="1">VLOOKUP($A936,OFFSET(fork_awake_units!$A$1,0,0,COUNTA(fork_awake_units!$A:$A),MATCH(C$1,fork_awake_units!$1:$1,0)-MATCH($A$1,fork_awake_units!$1:$1,0)+1),MATCH(C$1,fork_awake_units!$1:$1,0)-MATCH($A$1,fork_awake_units!$1:$1,0)+1,FALSE)</f>
        <v>692</v>
      </c>
      <c r="D936" s="3" t="str">
        <f ca="1">VLOOKUP($C936,OFFSET([2]characters!$A$1,0,0,COUNTA([2]characters!$A:$A),MATCH(D$1,[2]characters!$1:$1,0)-MATCH($A$1,[2]characters!$1:$1,0)+1),MATCH(D$1,[2]characters!$1:$1,0)-MATCH($A$1,[2]characters!$1:$1,0)+1,FALSE)</f>
        <v>暗躍する偽帝 黒沼青葉</v>
      </c>
      <c r="E936" s="66">
        <v>693</v>
      </c>
      <c r="F936" s="3" t="str">
        <f ca="1">VLOOKUP($E936,OFFSET([2]characters!$A$1,0,0,COUNTA([2]characters!$A:$A),MATCH(F$1,[2]characters!$1:$1,0)-MATCH($A$1,[2]characters!$1:$1,0)+1),MATCH(F$1,[2]characters!$1:$1,0)-MATCH($A$1,[2]characters!$1:$1,0)+1,FALSE)</f>
        <v>紀田正臣</v>
      </c>
      <c r="G936" s="66">
        <v>1</v>
      </c>
      <c r="H936" s="66">
        <v>1</v>
      </c>
      <c r="I936" s="66">
        <v>1</v>
      </c>
    </row>
    <row r="937" spans="1:9" x14ac:dyDescent="0.15">
      <c r="A937" s="66">
        <v>693</v>
      </c>
      <c r="B937" s="3" t="str">
        <f ca="1">VLOOKUP($A937,OFFSET([2]characters!$A$1,0,0,COUNTA([2]characters!$A:$A),MATCH(B$1,[2]characters!$1:$1,0)-MATCH($A$1,[2]characters!$1:$1,0)+1),MATCH(B$1,[2]characters!$1:$1,0)-MATCH($A$1,[2]characters!$1:$1,0)+1,FALSE)</f>
        <v>紀田正臣</v>
      </c>
      <c r="C937" s="93">
        <f ca="1">VLOOKUP($A937,OFFSET(fork_awake_units!$A$1,0,0,COUNTA(fork_awake_units!$A:$A),MATCH(C$1,fork_awake_units!$1:$1,0)-MATCH($A$1,fork_awake_units!$1:$1,0)+1),MATCH(C$1,fork_awake_units!$1:$1,0)-MATCH($A$1,fork_awake_units!$1:$1,0)+1,FALSE)</f>
        <v>694</v>
      </c>
      <c r="D937" s="3" t="str">
        <f ca="1">VLOOKUP($C937,OFFSET([2]characters!$A$1,0,0,COUNTA([2]characters!$A:$A),MATCH(D$1,[2]characters!$1:$1,0)-MATCH($A$1,[2]characters!$1:$1,0)+1),MATCH(D$1,[2]characters!$1:$1,0)-MATCH($A$1,[2]characters!$1:$1,0)+1,FALSE)</f>
        <v>黄巾賊の将軍 紀田正臣</v>
      </c>
      <c r="E937" s="66">
        <v>113</v>
      </c>
      <c r="F937" s="3" t="str">
        <f ca="1">VLOOKUP($E937,OFFSET([2]characters!$A$1,0,0,COUNTA([2]characters!$A:$A),MATCH(F$1,[2]characters!$1:$1,0)-MATCH($A$1,[2]characters!$1:$1,0)+1),MATCH(F$1,[2]characters!$1:$1,0)-MATCH($A$1,[2]characters!$1:$1,0)+1,FALSE)</f>
        <v>イエローチェシャ</v>
      </c>
      <c r="G937" s="66">
        <v>1</v>
      </c>
      <c r="H937" s="66">
        <v>1</v>
      </c>
      <c r="I937" s="66">
        <v>1</v>
      </c>
    </row>
    <row r="938" spans="1:9" x14ac:dyDescent="0.15">
      <c r="A938" s="66">
        <v>693</v>
      </c>
      <c r="B938" s="3" t="str">
        <f ca="1">VLOOKUP($A938,OFFSET([2]characters!$A$1,0,0,COUNTA([2]characters!$A:$A),MATCH(B$1,[2]characters!$1:$1,0)-MATCH($A$1,[2]characters!$1:$1,0)+1),MATCH(B$1,[2]characters!$1:$1,0)-MATCH($A$1,[2]characters!$1:$1,0)+1,FALSE)</f>
        <v>紀田正臣</v>
      </c>
      <c r="C938" s="93">
        <f ca="1">VLOOKUP($A938,OFFSET(fork_awake_units!$A$1,0,0,COUNTA(fork_awake_units!$A:$A),MATCH(C$1,fork_awake_units!$1:$1,0)-MATCH($A$1,fork_awake_units!$1:$1,0)+1),MATCH(C$1,fork_awake_units!$1:$1,0)-MATCH($A$1,fork_awake_units!$1:$1,0)+1,FALSE)</f>
        <v>694</v>
      </c>
      <c r="D938" s="3" t="str">
        <f ca="1">VLOOKUP($C938,OFFSET([2]characters!$A$1,0,0,COUNTA([2]characters!$A:$A),MATCH(D$1,[2]characters!$1:$1,0)-MATCH($A$1,[2]characters!$1:$1,0)+1),MATCH(D$1,[2]characters!$1:$1,0)-MATCH($A$1,[2]characters!$1:$1,0)+1,FALSE)</f>
        <v>黄巾賊の将軍 紀田正臣</v>
      </c>
      <c r="E938" s="66">
        <v>114</v>
      </c>
      <c r="F938" s="3" t="str">
        <f ca="1">VLOOKUP($E938,OFFSET([2]characters!$A$1,0,0,COUNTA([2]characters!$A:$A),MATCH(F$1,[2]characters!$1:$1,0)-MATCH($A$1,[2]characters!$1:$1,0)+1),MATCH(F$1,[2]characters!$1:$1,0)-MATCH($A$1,[2]characters!$1:$1,0)+1,FALSE)</f>
        <v>イエローラビット</v>
      </c>
      <c r="G938" s="66">
        <v>1</v>
      </c>
      <c r="H938" s="66">
        <v>1</v>
      </c>
      <c r="I938" s="66">
        <v>1</v>
      </c>
    </row>
    <row r="939" spans="1:9" x14ac:dyDescent="0.15">
      <c r="A939" s="66">
        <v>693</v>
      </c>
      <c r="B939" s="3" t="str">
        <f ca="1">VLOOKUP($A939,OFFSET([2]characters!$A$1,0,0,COUNTA([2]characters!$A:$A),MATCH(B$1,[2]characters!$1:$1,0)-MATCH($A$1,[2]characters!$1:$1,0)+1),MATCH(B$1,[2]characters!$1:$1,0)-MATCH($A$1,[2]characters!$1:$1,0)+1,FALSE)</f>
        <v>紀田正臣</v>
      </c>
      <c r="C939" s="93">
        <f ca="1">VLOOKUP($A939,OFFSET(fork_awake_units!$A$1,0,0,COUNTA(fork_awake_units!$A:$A),MATCH(C$1,fork_awake_units!$1:$1,0)-MATCH($A$1,fork_awake_units!$1:$1,0)+1),MATCH(C$1,fork_awake_units!$1:$1,0)-MATCH($A$1,fork_awake_units!$1:$1,0)+1,FALSE)</f>
        <v>694</v>
      </c>
      <c r="D939" s="3" t="str">
        <f ca="1">VLOOKUP($C939,OFFSET([2]characters!$A$1,0,0,COUNTA([2]characters!$A:$A),MATCH(D$1,[2]characters!$1:$1,0)-MATCH($A$1,[2]characters!$1:$1,0)+1),MATCH(D$1,[2]characters!$1:$1,0)-MATCH($A$1,[2]characters!$1:$1,0)+1,FALSE)</f>
        <v>黄巾賊の将軍 紀田正臣</v>
      </c>
      <c r="E939" s="66">
        <v>115</v>
      </c>
      <c r="F939" s="3" t="str">
        <f ca="1">VLOOKUP($E939,OFFSET([2]characters!$A$1,0,0,COUNTA([2]characters!$A:$A),MATCH(F$1,[2]characters!$1:$1,0)-MATCH($A$1,[2]characters!$1:$1,0)+1),MATCH(F$1,[2]characters!$1:$1,0)-MATCH($A$1,[2]characters!$1:$1,0)+1,FALSE)</f>
        <v>イエローキャタップ</v>
      </c>
      <c r="G939" s="66">
        <v>1</v>
      </c>
      <c r="H939" s="66">
        <v>1</v>
      </c>
      <c r="I939" s="66">
        <v>1</v>
      </c>
    </row>
    <row r="940" spans="1:9" x14ac:dyDescent="0.15">
      <c r="A940" s="66">
        <v>693</v>
      </c>
      <c r="B940" s="3" t="str">
        <f ca="1">VLOOKUP($A940,OFFSET([2]characters!$A$1,0,0,COUNTA([2]characters!$A:$A),MATCH(B$1,[2]characters!$1:$1,0)-MATCH($A$1,[2]characters!$1:$1,0)+1),MATCH(B$1,[2]characters!$1:$1,0)-MATCH($A$1,[2]characters!$1:$1,0)+1,FALSE)</f>
        <v>紀田正臣</v>
      </c>
      <c r="C940" s="93">
        <f ca="1">VLOOKUP($A940,OFFSET(fork_awake_units!$A$1,0,0,COUNTA(fork_awake_units!$A:$A),MATCH(C$1,fork_awake_units!$1:$1,0)-MATCH($A$1,fork_awake_units!$1:$1,0)+1),MATCH(C$1,fork_awake_units!$1:$1,0)-MATCH($A$1,fork_awake_units!$1:$1,0)+1,FALSE)</f>
        <v>694</v>
      </c>
      <c r="D940" s="3" t="str">
        <f ca="1">VLOOKUP($C940,OFFSET([2]characters!$A$1,0,0,COUNTA([2]characters!$A:$A),MATCH(D$1,[2]characters!$1:$1,0)-MATCH($A$1,[2]characters!$1:$1,0)+1),MATCH(D$1,[2]characters!$1:$1,0)-MATCH($A$1,[2]characters!$1:$1,0)+1,FALSE)</f>
        <v>黄巾賊の将軍 紀田正臣</v>
      </c>
      <c r="E940" s="66">
        <v>691</v>
      </c>
      <c r="F940" s="3" t="str">
        <f ca="1">VLOOKUP($E940,OFFSET([2]characters!$A$1,0,0,COUNTA([2]characters!$A:$A),MATCH(F$1,[2]characters!$1:$1,0)-MATCH($A$1,[2]characters!$1:$1,0)+1),MATCH(F$1,[2]characters!$1:$1,0)-MATCH($A$1,[2]characters!$1:$1,0)+1,FALSE)</f>
        <v>黒沼青葉</v>
      </c>
      <c r="G940" s="66">
        <v>1</v>
      </c>
      <c r="H940" s="66">
        <v>1</v>
      </c>
      <c r="I940" s="66">
        <v>1</v>
      </c>
    </row>
    <row r="941" spans="1:9" x14ac:dyDescent="0.15">
      <c r="A941" s="66">
        <v>695</v>
      </c>
      <c r="B941" s="3" t="str">
        <f ca="1">VLOOKUP($A941,OFFSET([2]characters!$A$1,0,0,COUNTA([2]characters!$A:$A),MATCH(B$1,[2]characters!$1:$1,0)-MATCH($A$1,[2]characters!$1:$1,0)+1),MATCH(B$1,[2]characters!$1:$1,0)-MATCH($A$1,[2]characters!$1:$1,0)+1,FALSE)</f>
        <v>セルティ</v>
      </c>
      <c r="C941" s="93">
        <f ca="1">VLOOKUP($A941,OFFSET(fork_awake_units!$A$1,0,0,COUNTA(fork_awake_units!$A:$A),MATCH(C$1,fork_awake_units!$1:$1,0)-MATCH($A$1,fork_awake_units!$1:$1,0)+1),MATCH(C$1,fork_awake_units!$1:$1,0)-MATCH($A$1,fork_awake_units!$1:$1,0)+1,FALSE)</f>
        <v>696</v>
      </c>
      <c r="D941" s="3" t="str">
        <f ca="1">VLOOKUP($C941,OFFSET([2]characters!$A$1,0,0,COUNTA([2]characters!$A:$A),MATCH(D$1,[2]characters!$1:$1,0)-MATCH($A$1,[2]characters!$1:$1,0)+1),MATCH(D$1,[2]characters!$1:$1,0)-MATCH($A$1,[2]characters!$1:$1,0)+1,FALSE)</f>
        <v>生きる都市伝説 セルティ</v>
      </c>
      <c r="E941" s="66">
        <v>114</v>
      </c>
      <c r="F941" s="3" t="str">
        <f ca="1">VLOOKUP($E941,OFFSET([2]characters!$A$1,0,0,COUNTA([2]characters!$A:$A),MATCH(F$1,[2]characters!$1:$1,0)-MATCH($A$1,[2]characters!$1:$1,0)+1),MATCH(F$1,[2]characters!$1:$1,0)-MATCH($A$1,[2]characters!$1:$1,0)+1,FALSE)</f>
        <v>イエローラビット</v>
      </c>
      <c r="G941" s="66">
        <v>1</v>
      </c>
      <c r="H941" s="66">
        <v>1</v>
      </c>
      <c r="I941" s="66">
        <v>1</v>
      </c>
    </row>
    <row r="942" spans="1:9" x14ac:dyDescent="0.15">
      <c r="A942" s="66">
        <v>695</v>
      </c>
      <c r="B942" s="3" t="str">
        <f ca="1">VLOOKUP($A942,OFFSET([2]characters!$A$1,0,0,COUNTA([2]characters!$A:$A),MATCH(B$1,[2]characters!$1:$1,0)-MATCH($A$1,[2]characters!$1:$1,0)+1),MATCH(B$1,[2]characters!$1:$1,0)-MATCH($A$1,[2]characters!$1:$1,0)+1,FALSE)</f>
        <v>セルティ</v>
      </c>
      <c r="C942" s="93">
        <f ca="1">VLOOKUP($A942,OFFSET(fork_awake_units!$A$1,0,0,COUNTA(fork_awake_units!$A:$A),MATCH(C$1,fork_awake_units!$1:$1,0)-MATCH($A$1,fork_awake_units!$1:$1,0)+1),MATCH(C$1,fork_awake_units!$1:$1,0)-MATCH($A$1,fork_awake_units!$1:$1,0)+1,FALSE)</f>
        <v>696</v>
      </c>
      <c r="D942" s="3" t="str">
        <f ca="1">VLOOKUP($C942,OFFSET([2]characters!$A$1,0,0,COUNTA([2]characters!$A:$A),MATCH(D$1,[2]characters!$1:$1,0)-MATCH($A$1,[2]characters!$1:$1,0)+1),MATCH(D$1,[2]characters!$1:$1,0)-MATCH($A$1,[2]characters!$1:$1,0)+1,FALSE)</f>
        <v>生きる都市伝説 セルティ</v>
      </c>
      <c r="E942" s="66">
        <v>115</v>
      </c>
      <c r="F942" s="3" t="str">
        <f ca="1">VLOOKUP($E942,OFFSET([2]characters!$A$1,0,0,COUNTA([2]characters!$A:$A),MATCH(F$1,[2]characters!$1:$1,0)-MATCH($A$1,[2]characters!$1:$1,0)+1),MATCH(F$1,[2]characters!$1:$1,0)-MATCH($A$1,[2]characters!$1:$1,0)+1,FALSE)</f>
        <v>イエローキャタップ</v>
      </c>
      <c r="G942" s="66">
        <v>3</v>
      </c>
      <c r="H942" s="66">
        <v>1</v>
      </c>
      <c r="I942" s="66">
        <v>1</v>
      </c>
    </row>
    <row r="943" spans="1:9" x14ac:dyDescent="0.15">
      <c r="A943" s="66">
        <v>696</v>
      </c>
      <c r="B943" s="3" t="str">
        <f ca="1">VLOOKUP($A943,OFFSET([2]characters!$A$1,0,0,COUNTA([2]characters!$A:$A),MATCH(B$1,[2]characters!$1:$1,0)-MATCH($A$1,[2]characters!$1:$1,0)+1),MATCH(B$1,[2]characters!$1:$1,0)-MATCH($A$1,[2]characters!$1:$1,0)+1,FALSE)</f>
        <v>生きる都市伝説 セルティ</v>
      </c>
      <c r="C943" s="93">
        <f ca="1">VLOOKUP($A943,OFFSET(fork_awake_units!$A$1,0,0,COUNTA(fork_awake_units!$A:$A),MATCH(C$1,fork_awake_units!$1:$1,0)-MATCH($A$1,fork_awake_units!$1:$1,0)+1),MATCH(C$1,fork_awake_units!$1:$1,0)-MATCH($A$1,fork_awake_units!$1:$1,0)+1,FALSE)</f>
        <v>697</v>
      </c>
      <c r="D943" s="3" t="str">
        <f ca="1">VLOOKUP($C943,OFFSET([2]characters!$A$1,0,0,COUNTA([2]characters!$A:$A),MATCH(D$1,[2]characters!$1:$1,0)-MATCH($A$1,[2]characters!$1:$1,0)+1),MATCH(D$1,[2]characters!$1:$1,0)-MATCH($A$1,[2]characters!$1:$1,0)+1,FALSE)</f>
        <v>黒影の首なしライダー セルティ</v>
      </c>
      <c r="E943" s="66">
        <v>115</v>
      </c>
      <c r="F943" s="3" t="str">
        <f ca="1">VLOOKUP($E943,OFFSET([2]characters!$A$1,0,0,COUNTA([2]characters!$A:$A),MATCH(F$1,[2]characters!$1:$1,0)-MATCH($A$1,[2]characters!$1:$1,0)+1),MATCH(F$1,[2]characters!$1:$1,0)-MATCH($A$1,[2]characters!$1:$1,0)+1,FALSE)</f>
        <v>イエローキャタップ</v>
      </c>
      <c r="G943" s="66">
        <v>1</v>
      </c>
      <c r="H943" s="66">
        <v>1</v>
      </c>
      <c r="I943" s="66">
        <v>1</v>
      </c>
    </row>
    <row r="944" spans="1:9" x14ac:dyDescent="0.15">
      <c r="A944" s="66">
        <v>696</v>
      </c>
      <c r="B944" s="3" t="str">
        <f ca="1">VLOOKUP($A944,OFFSET([2]characters!$A$1,0,0,COUNTA([2]characters!$A:$A),MATCH(B$1,[2]characters!$1:$1,0)-MATCH($A$1,[2]characters!$1:$1,0)+1),MATCH(B$1,[2]characters!$1:$1,0)-MATCH($A$1,[2]characters!$1:$1,0)+1,FALSE)</f>
        <v>生きる都市伝説 セルティ</v>
      </c>
      <c r="C944" s="93">
        <f ca="1">VLOOKUP($A944,OFFSET(fork_awake_units!$A$1,0,0,COUNTA(fork_awake_units!$A:$A),MATCH(C$1,fork_awake_units!$1:$1,0)-MATCH($A$1,fork_awake_units!$1:$1,0)+1),MATCH(C$1,fork_awake_units!$1:$1,0)-MATCH($A$1,fork_awake_units!$1:$1,0)+1,FALSE)</f>
        <v>697</v>
      </c>
      <c r="D944" s="3" t="str">
        <f ca="1">VLOOKUP($C944,OFFSET([2]characters!$A$1,0,0,COUNTA([2]characters!$A:$A),MATCH(D$1,[2]characters!$1:$1,0)-MATCH($A$1,[2]characters!$1:$1,0)+1),MATCH(D$1,[2]characters!$1:$1,0)-MATCH($A$1,[2]characters!$1:$1,0)+1,FALSE)</f>
        <v>黒影の首なしライダー セルティ</v>
      </c>
      <c r="E944" s="66">
        <v>691</v>
      </c>
      <c r="F944" s="3" t="str">
        <f ca="1">VLOOKUP($E944,OFFSET([2]characters!$A$1,0,0,COUNTA([2]characters!$A:$A),MATCH(F$1,[2]characters!$1:$1,0)-MATCH($A$1,[2]characters!$1:$1,0)+1),MATCH(F$1,[2]characters!$1:$1,0)-MATCH($A$1,[2]characters!$1:$1,0)+1,FALSE)</f>
        <v>黒沼青葉</v>
      </c>
      <c r="G944" s="66">
        <v>1</v>
      </c>
      <c r="H944" s="66">
        <v>2</v>
      </c>
      <c r="I944" s="66">
        <v>1</v>
      </c>
    </row>
    <row r="945" spans="1:9" x14ac:dyDescent="0.15">
      <c r="A945" s="66">
        <v>696</v>
      </c>
      <c r="B945" s="3" t="str">
        <f ca="1">VLOOKUP($A945,OFFSET([2]characters!$A$1,0,0,COUNTA([2]characters!$A:$A),MATCH(B$1,[2]characters!$1:$1,0)-MATCH($A$1,[2]characters!$1:$1,0)+1),MATCH(B$1,[2]characters!$1:$1,0)-MATCH($A$1,[2]characters!$1:$1,0)+1,FALSE)</f>
        <v>生きる都市伝説 セルティ</v>
      </c>
      <c r="C945" s="93">
        <f ca="1">VLOOKUP($A945,OFFSET(fork_awake_units!$A$1,0,0,COUNTA(fork_awake_units!$A:$A),MATCH(C$1,fork_awake_units!$1:$1,0)-MATCH($A$1,fork_awake_units!$1:$1,0)+1),MATCH(C$1,fork_awake_units!$1:$1,0)-MATCH($A$1,fork_awake_units!$1:$1,0)+1,FALSE)</f>
        <v>697</v>
      </c>
      <c r="D945" s="3" t="str">
        <f ca="1">VLOOKUP($C945,OFFSET([2]characters!$A$1,0,0,COUNTA([2]characters!$A:$A),MATCH(D$1,[2]characters!$1:$1,0)-MATCH($A$1,[2]characters!$1:$1,0)+1),MATCH(D$1,[2]characters!$1:$1,0)-MATCH($A$1,[2]characters!$1:$1,0)+1,FALSE)</f>
        <v>黒影の首なしライダー セルティ</v>
      </c>
      <c r="E945" s="66">
        <v>693</v>
      </c>
      <c r="F945" s="3" t="str">
        <f ca="1">VLOOKUP($E945,OFFSET([2]characters!$A$1,0,0,COUNTA([2]characters!$A:$A),MATCH(F$1,[2]characters!$1:$1,0)-MATCH($A$1,[2]characters!$1:$1,0)+1),MATCH(F$1,[2]characters!$1:$1,0)-MATCH($A$1,[2]characters!$1:$1,0)+1,FALSE)</f>
        <v>紀田正臣</v>
      </c>
      <c r="G945" s="66">
        <v>1</v>
      </c>
      <c r="H945" s="66">
        <v>2</v>
      </c>
      <c r="I945" s="66">
        <v>1</v>
      </c>
    </row>
    <row r="946" spans="1:9" x14ac:dyDescent="0.15">
      <c r="A946" s="66">
        <v>698</v>
      </c>
      <c r="B946" s="3" t="str">
        <f ca="1">VLOOKUP($A946,OFFSET([2]characters!$A$1,0,0,COUNTA([2]characters!$A:$A),MATCH(B$1,[2]characters!$1:$1,0)-MATCH($A$1,[2]characters!$1:$1,0)+1),MATCH(B$1,[2]characters!$1:$1,0)-MATCH($A$1,[2]characters!$1:$1,0)+1,FALSE)</f>
        <v>園原杏里</v>
      </c>
      <c r="C946" s="93">
        <f ca="1">VLOOKUP($A946,OFFSET(fork_awake_units!$A$1,0,0,COUNTA(fork_awake_units!$A:$A),MATCH(C$1,fork_awake_units!$1:$1,0)-MATCH($A$1,fork_awake_units!$1:$1,0)+1),MATCH(C$1,fork_awake_units!$1:$1,0)-MATCH($A$1,fork_awake_units!$1:$1,0)+1,FALSE)</f>
        <v>699</v>
      </c>
      <c r="D946" s="3" t="str">
        <f ca="1">VLOOKUP($C946,OFFSET([2]characters!$A$1,0,0,COUNTA([2]characters!$A:$A),MATCH(D$1,[2]characters!$1:$1,0)-MATCH($A$1,[2]characters!$1:$1,0)+1),MATCH(D$1,[2]characters!$1:$1,0)-MATCH($A$1,[2]characters!$1:$1,0)+1,FALSE)</f>
        <v>依存の母愛　園原杏里</v>
      </c>
      <c r="E946" s="66">
        <v>691</v>
      </c>
      <c r="F946" s="3" t="str">
        <f ca="1">VLOOKUP($E946,OFFSET([2]characters!$A$1,0,0,COUNTA([2]characters!$A:$A),MATCH(F$1,[2]characters!$1:$1,0)-MATCH($A$1,[2]characters!$1:$1,0)+1),MATCH(F$1,[2]characters!$1:$1,0)-MATCH($A$1,[2]characters!$1:$1,0)+1,FALSE)</f>
        <v>黒沼青葉</v>
      </c>
      <c r="G946" s="66">
        <v>1</v>
      </c>
      <c r="H946" s="66">
        <v>3</v>
      </c>
      <c r="I946" s="66">
        <v>1</v>
      </c>
    </row>
    <row r="947" spans="1:9" x14ac:dyDescent="0.15">
      <c r="A947" s="66">
        <v>698</v>
      </c>
      <c r="B947" s="3" t="str">
        <f ca="1">VLOOKUP($A947,OFFSET([2]characters!$A$1,0,0,COUNTA([2]characters!$A:$A),MATCH(B$1,[2]characters!$1:$1,0)-MATCH($A$1,[2]characters!$1:$1,0)+1),MATCH(B$1,[2]characters!$1:$1,0)-MATCH($A$1,[2]characters!$1:$1,0)+1,FALSE)</f>
        <v>園原杏里</v>
      </c>
      <c r="C947" s="93">
        <f ca="1">VLOOKUP($A947,OFFSET(fork_awake_units!$A$1,0,0,COUNTA(fork_awake_units!$A:$A),MATCH(C$1,fork_awake_units!$1:$1,0)-MATCH($A$1,fork_awake_units!$1:$1,0)+1),MATCH(C$1,fork_awake_units!$1:$1,0)-MATCH($A$1,fork_awake_units!$1:$1,0)+1,FALSE)</f>
        <v>699</v>
      </c>
      <c r="D947" s="3" t="str">
        <f ca="1">VLOOKUP($C947,OFFSET([2]characters!$A$1,0,0,COUNTA([2]characters!$A:$A),MATCH(D$1,[2]characters!$1:$1,0)-MATCH($A$1,[2]characters!$1:$1,0)+1),MATCH(D$1,[2]characters!$1:$1,0)-MATCH($A$1,[2]characters!$1:$1,0)+1,FALSE)</f>
        <v>依存の母愛　園原杏里</v>
      </c>
      <c r="E947" s="66">
        <v>693</v>
      </c>
      <c r="F947" s="3" t="str">
        <f ca="1">VLOOKUP($E947,OFFSET([2]characters!$A$1,0,0,COUNTA([2]characters!$A:$A),MATCH(F$1,[2]characters!$1:$1,0)-MATCH($A$1,[2]characters!$1:$1,0)+1),MATCH(F$1,[2]characters!$1:$1,0)-MATCH($A$1,[2]characters!$1:$1,0)+1,FALSE)</f>
        <v>紀田正臣</v>
      </c>
      <c r="G947" s="66">
        <v>1</v>
      </c>
      <c r="H947" s="66">
        <v>2</v>
      </c>
      <c r="I947" s="66">
        <v>1</v>
      </c>
    </row>
    <row r="948" spans="1:9" x14ac:dyDescent="0.15">
      <c r="A948" s="66">
        <v>698</v>
      </c>
      <c r="B948" s="3" t="str">
        <f ca="1">VLOOKUP($A948,OFFSET([2]characters!$A$1,0,0,COUNTA([2]characters!$A:$A),MATCH(B$1,[2]characters!$1:$1,0)-MATCH($A$1,[2]characters!$1:$1,0)+1),MATCH(B$1,[2]characters!$1:$1,0)-MATCH($A$1,[2]characters!$1:$1,0)+1,FALSE)</f>
        <v>園原杏里</v>
      </c>
      <c r="C948" s="93">
        <f ca="1">VLOOKUP($A948,OFFSET(fork_awake_units!$A$1,0,0,COUNTA(fork_awake_units!$A:$A),MATCH(C$1,fork_awake_units!$1:$1,0)-MATCH($A$1,fork_awake_units!$1:$1,0)+1),MATCH(C$1,fork_awake_units!$1:$1,0)-MATCH($A$1,fork_awake_units!$1:$1,0)+1,FALSE)</f>
        <v>699</v>
      </c>
      <c r="D948" s="3" t="str">
        <f ca="1">VLOOKUP($C948,OFFSET([2]characters!$A$1,0,0,COUNTA([2]characters!$A:$A),MATCH(D$1,[2]characters!$1:$1,0)-MATCH($A$1,[2]characters!$1:$1,0)+1),MATCH(D$1,[2]characters!$1:$1,0)-MATCH($A$1,[2]characters!$1:$1,0)+1,FALSE)</f>
        <v>依存の母愛　園原杏里</v>
      </c>
      <c r="E948" s="66">
        <v>837</v>
      </c>
      <c r="F948" s="3" t="str">
        <f ca="1">VLOOKUP($E948,OFFSET([2]characters!$A$1,0,0,COUNTA([2]characters!$A:$A),MATCH(F$1,[2]characters!$1:$1,0)-MATCH($A$1,[2]characters!$1:$1,0)+1),MATCH(F$1,[2]characters!$1:$1,0)-MATCH($A$1,[2]characters!$1:$1,0)+1,FALSE)</f>
        <v>リトルハンプティ</v>
      </c>
      <c r="G948" s="66">
        <v>1</v>
      </c>
      <c r="H948" s="66">
        <v>1</v>
      </c>
      <c r="I948" s="66">
        <v>1</v>
      </c>
    </row>
    <row r="949" spans="1:9" x14ac:dyDescent="0.15">
      <c r="A949" s="66">
        <v>700</v>
      </c>
      <c r="B949" s="3" t="str">
        <f ca="1">VLOOKUP($A949,OFFSET([2]characters!$A$1,0,0,COUNTA([2]characters!$A:$A),MATCH(B$1,[2]characters!$1:$1,0)-MATCH($A$1,[2]characters!$1:$1,0)+1),MATCH(B$1,[2]characters!$1:$1,0)-MATCH($A$1,[2]characters!$1:$1,0)+1,FALSE)</f>
        <v>折原臨也</v>
      </c>
      <c r="C949" s="93">
        <f ca="1">VLOOKUP($A949,OFFSET(fork_awake_units!$A$1,0,0,COUNTA(fork_awake_units!$A:$A),MATCH(C$1,fork_awake_units!$1:$1,0)-MATCH($A$1,fork_awake_units!$1:$1,0)+1),MATCH(C$1,fork_awake_units!$1:$1,0)-MATCH($A$1,fork_awake_units!$1:$1,0)+1,FALSE)</f>
        <v>701</v>
      </c>
      <c r="D949" s="3" t="str">
        <f ca="1">VLOOKUP($C949,OFFSET([2]characters!$A$1,0,0,COUNTA([2]characters!$A:$A),MATCH(D$1,[2]characters!$1:$1,0)-MATCH($A$1,[2]characters!$1:$1,0)+1),MATCH(D$1,[2]characters!$1:$1,0)-MATCH($A$1,[2]characters!$1:$1,0)+1,FALSE)</f>
        <v>謀略の情報屋 折原臨也</v>
      </c>
      <c r="E949" s="66">
        <v>691</v>
      </c>
      <c r="F949" s="3" t="str">
        <f ca="1">VLOOKUP($E949,OFFSET([2]characters!$A$1,0,0,COUNTA([2]characters!$A:$A),MATCH(F$1,[2]characters!$1:$1,0)-MATCH($A$1,[2]characters!$1:$1,0)+1),MATCH(F$1,[2]characters!$1:$1,0)-MATCH($A$1,[2]characters!$1:$1,0)+1,FALSE)</f>
        <v>黒沼青葉</v>
      </c>
      <c r="G949" s="66">
        <v>1</v>
      </c>
      <c r="H949" s="66">
        <v>2</v>
      </c>
      <c r="I949" s="66">
        <v>1</v>
      </c>
    </row>
    <row r="950" spans="1:9" x14ac:dyDescent="0.15">
      <c r="A950" s="66">
        <v>700</v>
      </c>
      <c r="B950" s="3" t="str">
        <f ca="1">VLOOKUP($A950,OFFSET([2]characters!$A$1,0,0,COUNTA([2]characters!$A:$A),MATCH(B$1,[2]characters!$1:$1,0)-MATCH($A$1,[2]characters!$1:$1,0)+1),MATCH(B$1,[2]characters!$1:$1,0)-MATCH($A$1,[2]characters!$1:$1,0)+1,FALSE)</f>
        <v>折原臨也</v>
      </c>
      <c r="C950" s="93">
        <f ca="1">VLOOKUP($A950,OFFSET(fork_awake_units!$A$1,0,0,COUNTA(fork_awake_units!$A:$A),MATCH(C$1,fork_awake_units!$1:$1,0)-MATCH($A$1,fork_awake_units!$1:$1,0)+1),MATCH(C$1,fork_awake_units!$1:$1,0)-MATCH($A$1,fork_awake_units!$1:$1,0)+1,FALSE)</f>
        <v>701</v>
      </c>
      <c r="D950" s="3" t="str">
        <f ca="1">VLOOKUP($C950,OFFSET([2]characters!$A$1,0,0,COUNTA([2]characters!$A:$A),MATCH(D$1,[2]characters!$1:$1,0)-MATCH($A$1,[2]characters!$1:$1,0)+1),MATCH(D$1,[2]characters!$1:$1,0)-MATCH($A$1,[2]characters!$1:$1,0)+1,FALSE)</f>
        <v>謀略の情報屋 折原臨也</v>
      </c>
      <c r="E950" s="66">
        <v>693</v>
      </c>
      <c r="F950" s="3" t="str">
        <f ca="1">VLOOKUP($E950,OFFSET([2]characters!$A$1,0,0,COUNTA([2]characters!$A:$A),MATCH(F$1,[2]characters!$1:$1,0)-MATCH($A$1,[2]characters!$1:$1,0)+1),MATCH(F$1,[2]characters!$1:$1,0)-MATCH($A$1,[2]characters!$1:$1,0)+1,FALSE)</f>
        <v>紀田正臣</v>
      </c>
      <c r="G950" s="66">
        <v>1</v>
      </c>
      <c r="H950" s="66">
        <v>3</v>
      </c>
      <c r="I950" s="66">
        <v>1</v>
      </c>
    </row>
    <row r="951" spans="1:9" x14ac:dyDescent="0.15">
      <c r="A951" s="66">
        <v>700</v>
      </c>
      <c r="B951" s="3" t="str">
        <f ca="1">VLOOKUP($A951,OFFSET([2]characters!$A$1,0,0,COUNTA([2]characters!$A:$A),MATCH(B$1,[2]characters!$1:$1,0)-MATCH($A$1,[2]characters!$1:$1,0)+1),MATCH(B$1,[2]characters!$1:$1,0)-MATCH($A$1,[2]characters!$1:$1,0)+1,FALSE)</f>
        <v>折原臨也</v>
      </c>
      <c r="C951" s="93">
        <f ca="1">VLOOKUP($A951,OFFSET(fork_awake_units!$A$1,0,0,COUNTA(fork_awake_units!$A:$A),MATCH(C$1,fork_awake_units!$1:$1,0)-MATCH($A$1,fork_awake_units!$1:$1,0)+1),MATCH(C$1,fork_awake_units!$1:$1,0)-MATCH($A$1,fork_awake_units!$1:$1,0)+1,FALSE)</f>
        <v>701</v>
      </c>
      <c r="D951" s="3" t="str">
        <f ca="1">VLOOKUP($C951,OFFSET([2]characters!$A$1,0,0,COUNTA([2]characters!$A:$A),MATCH(D$1,[2]characters!$1:$1,0)-MATCH($A$1,[2]characters!$1:$1,0)+1),MATCH(D$1,[2]characters!$1:$1,0)-MATCH($A$1,[2]characters!$1:$1,0)+1,FALSE)</f>
        <v>謀略の情報屋 折原臨也</v>
      </c>
      <c r="E951" s="66">
        <v>837</v>
      </c>
      <c r="F951" s="3" t="str">
        <f ca="1">VLOOKUP($E951,OFFSET([2]characters!$A$1,0,0,COUNTA([2]characters!$A:$A),MATCH(F$1,[2]characters!$1:$1,0)-MATCH($A$1,[2]characters!$1:$1,0)+1),MATCH(F$1,[2]characters!$1:$1,0)-MATCH($A$1,[2]characters!$1:$1,0)+1,FALSE)</f>
        <v>リトルハンプティ</v>
      </c>
      <c r="G951" s="66">
        <v>1</v>
      </c>
      <c r="H951" s="66">
        <v>1</v>
      </c>
      <c r="I951" s="66">
        <v>1</v>
      </c>
    </row>
    <row r="952" spans="1:9" x14ac:dyDescent="0.15">
      <c r="A952" s="66">
        <v>702</v>
      </c>
      <c r="B952" s="3" t="str">
        <f ca="1">VLOOKUP($A952,OFFSET([2]characters!$A$1,0,0,COUNTA([2]characters!$A:$A),MATCH(B$1,[2]characters!$1:$1,0)-MATCH($A$1,[2]characters!$1:$1,0)+1),MATCH(B$1,[2]characters!$1:$1,0)-MATCH($A$1,[2]characters!$1:$1,0)+1,FALSE)</f>
        <v>サイモン</v>
      </c>
      <c r="C952" s="93">
        <f ca="1">VLOOKUP($A952,OFFSET(fork_awake_units!$A$1,0,0,COUNTA(fork_awake_units!$A:$A),MATCH(C$1,fork_awake_units!$1:$1,0)-MATCH($A$1,fork_awake_units!$1:$1,0)+1),MATCH(C$1,fork_awake_units!$1:$1,0)-MATCH($A$1,fork_awake_units!$1:$1,0)+1,FALSE)</f>
        <v>703</v>
      </c>
      <c r="D952" s="3" t="str">
        <f ca="1">VLOOKUP($C952,OFFSET([2]characters!$A$1,0,0,COUNTA([2]characters!$A:$A),MATCH(D$1,[2]characters!$1:$1,0)-MATCH($A$1,[2]characters!$1:$1,0)+1),MATCH(D$1,[2]characters!$1:$1,0)-MATCH($A$1,[2]characters!$1:$1,0)+1,FALSE)</f>
        <v>豪腕静穏な寿司屋 サイモン</v>
      </c>
      <c r="E952" s="66">
        <v>102</v>
      </c>
      <c r="F952" s="3" t="str">
        <f ca="1">VLOOKUP($E952,OFFSET([2]characters!$A$1,0,0,COUNTA([2]characters!$A:$A),MATCH(F$1,[2]characters!$1:$1,0)-MATCH($A$1,[2]characters!$1:$1,0)+1),MATCH(F$1,[2]characters!$1:$1,0)-MATCH($A$1,[2]characters!$1:$1,0)+1,FALSE)</f>
        <v>レッドラビット</v>
      </c>
      <c r="G952" s="66">
        <v>1</v>
      </c>
      <c r="H952" s="66">
        <v>1</v>
      </c>
      <c r="I952" s="66">
        <v>1</v>
      </c>
    </row>
    <row r="953" spans="1:9" x14ac:dyDescent="0.15">
      <c r="A953" s="66">
        <v>702</v>
      </c>
      <c r="B953" s="3" t="str">
        <f ca="1">VLOOKUP($A953,OFFSET([2]characters!$A$1,0,0,COUNTA([2]characters!$A:$A),MATCH(B$1,[2]characters!$1:$1,0)-MATCH($A$1,[2]characters!$1:$1,0)+1),MATCH(B$1,[2]characters!$1:$1,0)-MATCH($A$1,[2]characters!$1:$1,0)+1,FALSE)</f>
        <v>サイモン</v>
      </c>
      <c r="C953" s="93">
        <f ca="1">VLOOKUP($A953,OFFSET(fork_awake_units!$A$1,0,0,COUNTA(fork_awake_units!$A:$A),MATCH(C$1,fork_awake_units!$1:$1,0)-MATCH($A$1,fork_awake_units!$1:$1,0)+1),MATCH(C$1,fork_awake_units!$1:$1,0)-MATCH($A$1,fork_awake_units!$1:$1,0)+1,FALSE)</f>
        <v>703</v>
      </c>
      <c r="D953" s="3" t="str">
        <f ca="1">VLOOKUP($C953,OFFSET([2]characters!$A$1,0,0,COUNTA([2]characters!$A:$A),MATCH(D$1,[2]characters!$1:$1,0)-MATCH($A$1,[2]characters!$1:$1,0)+1),MATCH(D$1,[2]characters!$1:$1,0)-MATCH($A$1,[2]characters!$1:$1,0)+1,FALSE)</f>
        <v>豪腕静穏な寿司屋 サイモン</v>
      </c>
      <c r="E953" s="66">
        <v>103</v>
      </c>
      <c r="F953" s="3" t="str">
        <f ca="1">VLOOKUP($E953,OFFSET([2]characters!$A$1,0,0,COUNTA([2]characters!$A:$A),MATCH(F$1,[2]characters!$1:$1,0)-MATCH($A$1,[2]characters!$1:$1,0)+1),MATCH(F$1,[2]characters!$1:$1,0)-MATCH($A$1,[2]characters!$1:$1,0)+1,FALSE)</f>
        <v>レッドキャタップ</v>
      </c>
      <c r="G953" s="66">
        <v>2</v>
      </c>
      <c r="H953" s="66">
        <v>1</v>
      </c>
      <c r="I953" s="66">
        <v>1</v>
      </c>
    </row>
    <row r="954" spans="1:9" x14ac:dyDescent="0.15">
      <c r="A954" s="66">
        <v>702</v>
      </c>
      <c r="B954" s="3" t="str">
        <f ca="1">VLOOKUP($A954,OFFSET([2]characters!$A$1,0,0,COUNTA([2]characters!$A:$A),MATCH(B$1,[2]characters!$1:$1,0)-MATCH($A$1,[2]characters!$1:$1,0)+1),MATCH(B$1,[2]characters!$1:$1,0)-MATCH($A$1,[2]characters!$1:$1,0)+1,FALSE)</f>
        <v>サイモン</v>
      </c>
      <c r="C954" s="93">
        <f ca="1">VLOOKUP($A954,OFFSET(fork_awake_units!$A$1,0,0,COUNTA(fork_awake_units!$A:$A),MATCH(C$1,fork_awake_units!$1:$1,0)-MATCH($A$1,fork_awake_units!$1:$1,0)+1),MATCH(C$1,fork_awake_units!$1:$1,0)-MATCH($A$1,fork_awake_units!$1:$1,0)+1,FALSE)</f>
        <v>703</v>
      </c>
      <c r="D954" s="3" t="str">
        <f ca="1">VLOOKUP($C954,OFFSET([2]characters!$A$1,0,0,COUNTA([2]characters!$A:$A),MATCH(D$1,[2]characters!$1:$1,0)-MATCH($A$1,[2]characters!$1:$1,0)+1),MATCH(D$1,[2]characters!$1:$1,0)-MATCH($A$1,[2]characters!$1:$1,0)+1,FALSE)</f>
        <v>豪腕静穏な寿司屋 サイモン</v>
      </c>
      <c r="E954" s="66">
        <v>104</v>
      </c>
      <c r="F954" s="3" t="str">
        <f ca="1">VLOOKUP($E954,OFFSET([2]characters!$A$1,0,0,COUNTA([2]characters!$A:$A),MATCH(F$1,[2]characters!$1:$1,0)-MATCH($A$1,[2]characters!$1:$1,0)+1),MATCH(F$1,[2]characters!$1:$1,0)-MATCH($A$1,[2]characters!$1:$1,0)+1,FALSE)</f>
        <v>炎のマッドハッター</v>
      </c>
      <c r="G954" s="66">
        <v>2</v>
      </c>
      <c r="H954" s="66">
        <v>1</v>
      </c>
      <c r="I954" s="66">
        <v>1</v>
      </c>
    </row>
    <row r="955" spans="1:9" x14ac:dyDescent="0.15">
      <c r="A955" s="66">
        <v>704</v>
      </c>
      <c r="B955" s="3" t="str">
        <f ca="1">VLOOKUP($A955,OFFSET([2]characters!$A$1,0,0,COUNTA([2]characters!$A:$A),MATCH(B$1,[2]characters!$1:$1,0)-MATCH($A$1,[2]characters!$1:$1,0)+1),MATCH(B$1,[2]characters!$1:$1,0)-MATCH($A$1,[2]characters!$1:$1,0)+1,FALSE)</f>
        <v>贄川春奈</v>
      </c>
      <c r="C955" s="93">
        <f ca="1">VLOOKUP($A955,OFFSET(fork_awake_units!$A$1,0,0,COUNTA(fork_awake_units!$A:$A),MATCH(C$1,fork_awake_units!$1:$1,0)-MATCH($A$1,fork_awake_units!$1:$1,0)+1),MATCH(C$1,fork_awake_units!$1:$1,0)-MATCH($A$1,fork_awake_units!$1:$1,0)+1,FALSE)</f>
        <v>705</v>
      </c>
      <c r="D955" s="3" t="str">
        <f ca="1">VLOOKUP($C955,OFFSET([2]characters!$A$1,0,0,COUNTA([2]characters!$A:$A),MATCH(D$1,[2]characters!$1:$1,0)-MATCH($A$1,[2]characters!$1:$1,0)+1),MATCH(D$1,[2]characters!$1:$1,0)-MATCH($A$1,[2]characters!$1:$1,0)+1,FALSE)</f>
        <v>狂愛なる罪歌の子　贄川春奈</v>
      </c>
      <c r="E955" s="66">
        <v>101</v>
      </c>
      <c r="F955" s="3" t="str">
        <f ca="1">VLOOKUP($E955,OFFSET([2]characters!$A$1,0,0,COUNTA([2]characters!$A:$A),MATCH(F$1,[2]characters!$1:$1,0)-MATCH($A$1,[2]characters!$1:$1,0)+1),MATCH(F$1,[2]characters!$1:$1,0)-MATCH($A$1,[2]characters!$1:$1,0)+1,FALSE)</f>
        <v>レッドチェシャ</v>
      </c>
      <c r="G955" s="66">
        <v>3</v>
      </c>
      <c r="H955" s="66">
        <v>1</v>
      </c>
      <c r="I955" s="66">
        <v>1</v>
      </c>
    </row>
    <row r="956" spans="1:9" x14ac:dyDescent="0.15">
      <c r="A956" s="66">
        <v>704</v>
      </c>
      <c r="B956" s="3" t="str">
        <f ca="1">VLOOKUP($A956,OFFSET([2]characters!$A$1,0,0,COUNTA([2]characters!$A:$A),MATCH(B$1,[2]characters!$1:$1,0)-MATCH($A$1,[2]characters!$1:$1,0)+1),MATCH(B$1,[2]characters!$1:$1,0)-MATCH($A$1,[2]characters!$1:$1,0)+1,FALSE)</f>
        <v>贄川春奈</v>
      </c>
      <c r="C956" s="93">
        <f ca="1">VLOOKUP($A956,OFFSET(fork_awake_units!$A$1,0,0,COUNTA(fork_awake_units!$A:$A),MATCH(C$1,fork_awake_units!$1:$1,0)-MATCH($A$1,fork_awake_units!$1:$1,0)+1),MATCH(C$1,fork_awake_units!$1:$1,0)-MATCH($A$1,fork_awake_units!$1:$1,0)+1,FALSE)</f>
        <v>705</v>
      </c>
      <c r="D956" s="3" t="str">
        <f ca="1">VLOOKUP($C956,OFFSET([2]characters!$A$1,0,0,COUNTA([2]characters!$A:$A),MATCH(D$1,[2]characters!$1:$1,0)-MATCH($A$1,[2]characters!$1:$1,0)+1),MATCH(D$1,[2]characters!$1:$1,0)-MATCH($A$1,[2]characters!$1:$1,0)+1,FALSE)</f>
        <v>狂愛なる罪歌の子　贄川春奈</v>
      </c>
      <c r="E956" s="66">
        <v>102</v>
      </c>
      <c r="F956" s="3" t="str">
        <f ca="1">VLOOKUP($E956,OFFSET([2]characters!$A$1,0,0,COUNTA([2]characters!$A:$A),MATCH(F$1,[2]characters!$1:$1,0)-MATCH($A$1,[2]characters!$1:$1,0)+1),MATCH(F$1,[2]characters!$1:$1,0)-MATCH($A$1,[2]characters!$1:$1,0)+1,FALSE)</f>
        <v>レッドラビット</v>
      </c>
      <c r="G956" s="66">
        <v>1</v>
      </c>
      <c r="H956" s="66">
        <v>1</v>
      </c>
      <c r="I956" s="66">
        <v>1</v>
      </c>
    </row>
    <row r="957" spans="1:9" x14ac:dyDescent="0.15">
      <c r="A957" s="66">
        <v>704</v>
      </c>
      <c r="B957" s="3" t="str">
        <f ca="1">VLOOKUP($A957,OFFSET([2]characters!$A$1,0,0,COUNTA([2]characters!$A:$A),MATCH(B$1,[2]characters!$1:$1,0)-MATCH($A$1,[2]characters!$1:$1,0)+1),MATCH(B$1,[2]characters!$1:$1,0)-MATCH($A$1,[2]characters!$1:$1,0)+1,FALSE)</f>
        <v>贄川春奈</v>
      </c>
      <c r="C957" s="93">
        <f ca="1">VLOOKUP($A957,OFFSET(fork_awake_units!$A$1,0,0,COUNTA(fork_awake_units!$A:$A),MATCH(C$1,fork_awake_units!$1:$1,0)-MATCH($A$1,fork_awake_units!$1:$1,0)+1),MATCH(C$1,fork_awake_units!$1:$1,0)-MATCH($A$1,fork_awake_units!$1:$1,0)+1,FALSE)</f>
        <v>705</v>
      </c>
      <c r="D957" s="3" t="str">
        <f ca="1">VLOOKUP($C957,OFFSET([2]characters!$A$1,0,0,COUNTA([2]characters!$A:$A),MATCH(D$1,[2]characters!$1:$1,0)-MATCH($A$1,[2]characters!$1:$1,0)+1),MATCH(D$1,[2]characters!$1:$1,0)-MATCH($A$1,[2]characters!$1:$1,0)+1,FALSE)</f>
        <v>狂愛なる罪歌の子　贄川春奈</v>
      </c>
      <c r="E957" s="66">
        <v>103</v>
      </c>
      <c r="F957" s="3" t="str">
        <f ca="1">VLOOKUP($E957,OFFSET([2]characters!$A$1,0,0,COUNTA([2]characters!$A:$A),MATCH(F$1,[2]characters!$1:$1,0)-MATCH($A$1,[2]characters!$1:$1,0)+1),MATCH(F$1,[2]characters!$1:$1,0)-MATCH($A$1,[2]characters!$1:$1,0)+1,FALSE)</f>
        <v>レッドキャタップ</v>
      </c>
      <c r="G957" s="66">
        <v>1</v>
      </c>
      <c r="H957" s="66">
        <v>1</v>
      </c>
      <c r="I957" s="66">
        <v>1</v>
      </c>
    </row>
    <row r="958" spans="1:9" x14ac:dyDescent="0.15">
      <c r="A958" s="66">
        <v>706</v>
      </c>
      <c r="B958" s="3" t="str">
        <f ca="1">VLOOKUP($A958,OFFSET([2]characters!$A$1,0,0,COUNTA([2]characters!$A:$A),MATCH(B$1,[2]characters!$1:$1,0)-MATCH($A$1,[2]characters!$1:$1,0)+1),MATCH(B$1,[2]characters!$1:$1,0)-MATCH($A$1,[2]characters!$1:$1,0)+1,FALSE)</f>
        <v>岸谷新羅</v>
      </c>
      <c r="C958" s="93">
        <f ca="1">VLOOKUP($A958,OFFSET(fork_awake_units!$A$1,0,0,COUNTA(fork_awake_units!$A:$A),MATCH(C$1,fork_awake_units!$1:$1,0)-MATCH($A$1,fork_awake_units!$1:$1,0)+1),MATCH(C$1,fork_awake_units!$1:$1,0)-MATCH($A$1,fork_awake_units!$1:$1,0)+1,FALSE)</f>
        <v>707</v>
      </c>
      <c r="D958" s="3" t="str">
        <f ca="1">VLOOKUP($C958,OFFSET([2]characters!$A$1,0,0,COUNTA([2]characters!$A:$A),MATCH(D$1,[2]characters!$1:$1,0)-MATCH($A$1,[2]characters!$1:$1,0)+1),MATCH(D$1,[2]characters!$1:$1,0)-MATCH($A$1,[2]characters!$1:$1,0)+1,FALSE)</f>
        <v>愛月撤灯の闇医者 岸谷新羅</v>
      </c>
      <c r="E958" s="66">
        <v>106</v>
      </c>
      <c r="F958" s="3" t="str">
        <f ca="1">VLOOKUP($E958,OFFSET([2]characters!$A$1,0,0,COUNTA([2]characters!$A:$A),MATCH(F$1,[2]characters!$1:$1,0)-MATCH($A$1,[2]characters!$1:$1,0)+1),MATCH(F$1,[2]characters!$1:$1,0)-MATCH($A$1,[2]characters!$1:$1,0)+1,FALSE)</f>
        <v>グリーンラビット</v>
      </c>
      <c r="G958" s="66">
        <v>1</v>
      </c>
      <c r="H958" s="66">
        <v>1</v>
      </c>
      <c r="I958" s="66">
        <v>1</v>
      </c>
    </row>
    <row r="959" spans="1:9" x14ac:dyDescent="0.15">
      <c r="A959" s="66">
        <v>706</v>
      </c>
      <c r="B959" s="3" t="str">
        <f ca="1">VLOOKUP($A959,OFFSET([2]characters!$A$1,0,0,COUNTA([2]characters!$A:$A),MATCH(B$1,[2]characters!$1:$1,0)-MATCH($A$1,[2]characters!$1:$1,0)+1),MATCH(B$1,[2]characters!$1:$1,0)-MATCH($A$1,[2]characters!$1:$1,0)+1,FALSE)</f>
        <v>岸谷新羅</v>
      </c>
      <c r="C959" s="93">
        <f ca="1">VLOOKUP($A959,OFFSET(fork_awake_units!$A$1,0,0,COUNTA(fork_awake_units!$A:$A),MATCH(C$1,fork_awake_units!$1:$1,0)-MATCH($A$1,fork_awake_units!$1:$1,0)+1),MATCH(C$1,fork_awake_units!$1:$1,0)-MATCH($A$1,fork_awake_units!$1:$1,0)+1,FALSE)</f>
        <v>707</v>
      </c>
      <c r="D959" s="3" t="str">
        <f ca="1">VLOOKUP($C959,OFFSET([2]characters!$A$1,0,0,COUNTA([2]characters!$A:$A),MATCH(D$1,[2]characters!$1:$1,0)-MATCH($A$1,[2]characters!$1:$1,0)+1),MATCH(D$1,[2]characters!$1:$1,0)-MATCH($A$1,[2]characters!$1:$1,0)+1,FALSE)</f>
        <v>愛月撤灯の闇医者 岸谷新羅</v>
      </c>
      <c r="E959" s="66">
        <v>107</v>
      </c>
      <c r="F959" s="3" t="str">
        <f ca="1">VLOOKUP($E959,OFFSET([2]characters!$A$1,0,0,COUNTA([2]characters!$A:$A),MATCH(F$1,[2]characters!$1:$1,0)-MATCH($A$1,[2]characters!$1:$1,0)+1),MATCH(F$1,[2]characters!$1:$1,0)-MATCH($A$1,[2]characters!$1:$1,0)+1,FALSE)</f>
        <v>グリーンキャタップ</v>
      </c>
      <c r="G959" s="66">
        <v>2</v>
      </c>
      <c r="H959" s="66">
        <v>1</v>
      </c>
      <c r="I959" s="66">
        <v>1</v>
      </c>
    </row>
    <row r="960" spans="1:9" x14ac:dyDescent="0.15">
      <c r="A960" s="66">
        <v>706</v>
      </c>
      <c r="B960" s="3" t="str">
        <f ca="1">VLOOKUP($A960,OFFSET([2]characters!$A$1,0,0,COUNTA([2]characters!$A:$A),MATCH(B$1,[2]characters!$1:$1,0)-MATCH($A$1,[2]characters!$1:$1,0)+1),MATCH(B$1,[2]characters!$1:$1,0)-MATCH($A$1,[2]characters!$1:$1,0)+1,FALSE)</f>
        <v>岸谷新羅</v>
      </c>
      <c r="C960" s="93">
        <f ca="1">VLOOKUP($A960,OFFSET(fork_awake_units!$A$1,0,0,COUNTA(fork_awake_units!$A:$A),MATCH(C$1,fork_awake_units!$1:$1,0)-MATCH($A$1,fork_awake_units!$1:$1,0)+1),MATCH(C$1,fork_awake_units!$1:$1,0)-MATCH($A$1,fork_awake_units!$1:$1,0)+1,FALSE)</f>
        <v>707</v>
      </c>
      <c r="D960" s="3" t="str">
        <f ca="1">VLOOKUP($C960,OFFSET([2]characters!$A$1,0,0,COUNTA([2]characters!$A:$A),MATCH(D$1,[2]characters!$1:$1,0)-MATCH($A$1,[2]characters!$1:$1,0)+1),MATCH(D$1,[2]characters!$1:$1,0)-MATCH($A$1,[2]characters!$1:$1,0)+1,FALSE)</f>
        <v>愛月撤灯の闇医者 岸谷新羅</v>
      </c>
      <c r="E960" s="66">
        <v>108</v>
      </c>
      <c r="F960" s="3" t="str">
        <f ca="1">VLOOKUP($E960,OFFSET([2]characters!$A$1,0,0,COUNTA([2]characters!$A:$A),MATCH(F$1,[2]characters!$1:$1,0)-MATCH($A$1,[2]characters!$1:$1,0)+1),MATCH(F$1,[2]characters!$1:$1,0)-MATCH($A$1,[2]characters!$1:$1,0)+1,FALSE)</f>
        <v>森のマッドハッター</v>
      </c>
      <c r="G960" s="66">
        <v>2</v>
      </c>
      <c r="H960" s="66">
        <v>1</v>
      </c>
      <c r="I960" s="66">
        <v>1</v>
      </c>
    </row>
    <row r="961" spans="1:9" x14ac:dyDescent="0.15">
      <c r="A961" s="66">
        <v>708</v>
      </c>
      <c r="B961" s="3" t="str">
        <f ca="1">VLOOKUP($A961,OFFSET([2]characters!$A$1,0,0,COUNTA([2]characters!$A:$A),MATCH(B$1,[2]characters!$1:$1,0)-MATCH($A$1,[2]characters!$1:$1,0)+1),MATCH(B$1,[2]characters!$1:$1,0)-MATCH($A$1,[2]characters!$1:$1,0)+1,FALSE)</f>
        <v>門田京平</v>
      </c>
      <c r="C961" s="93">
        <f ca="1">VLOOKUP($A961,OFFSET(fork_awake_units!$A$1,0,0,COUNTA(fork_awake_units!$A:$A),MATCH(C$1,fork_awake_units!$1:$1,0)-MATCH($A$1,fork_awake_units!$1:$1,0)+1),MATCH(C$1,fork_awake_units!$1:$1,0)-MATCH($A$1,fork_awake_units!$1:$1,0)+1,FALSE)</f>
        <v>709</v>
      </c>
      <c r="D961" s="3" t="str">
        <f ca="1">VLOOKUP($C961,OFFSET([2]characters!$A$1,0,0,COUNTA([2]characters!$A:$A),MATCH(D$1,[2]characters!$1:$1,0)-MATCH($A$1,[2]characters!$1:$1,0)+1),MATCH(D$1,[2]characters!$1:$1,0)-MATCH($A$1,[2]characters!$1:$1,0)+1,FALSE)</f>
        <v>不穢の抑止力　門田京平</v>
      </c>
      <c r="E961" s="66">
        <v>105</v>
      </c>
      <c r="F961" s="3" t="str">
        <f ca="1">VLOOKUP($E961,OFFSET([2]characters!$A$1,0,0,COUNTA([2]characters!$A:$A),MATCH(F$1,[2]characters!$1:$1,0)-MATCH($A$1,[2]characters!$1:$1,0)+1),MATCH(F$1,[2]characters!$1:$1,0)-MATCH($A$1,[2]characters!$1:$1,0)+1,FALSE)</f>
        <v>グリーンチェシャ</v>
      </c>
      <c r="G961" s="66">
        <v>3</v>
      </c>
      <c r="H961" s="66">
        <v>1</v>
      </c>
      <c r="I961" s="66">
        <v>1</v>
      </c>
    </row>
    <row r="962" spans="1:9" x14ac:dyDescent="0.15">
      <c r="A962" s="66">
        <v>708</v>
      </c>
      <c r="B962" s="3" t="str">
        <f ca="1">VLOOKUP($A962,OFFSET([2]characters!$A$1,0,0,COUNTA([2]characters!$A:$A),MATCH(B$1,[2]characters!$1:$1,0)-MATCH($A$1,[2]characters!$1:$1,0)+1),MATCH(B$1,[2]characters!$1:$1,0)-MATCH($A$1,[2]characters!$1:$1,0)+1,FALSE)</f>
        <v>門田京平</v>
      </c>
      <c r="C962" s="93">
        <f ca="1">VLOOKUP($A962,OFFSET(fork_awake_units!$A$1,0,0,COUNTA(fork_awake_units!$A:$A),MATCH(C$1,fork_awake_units!$1:$1,0)-MATCH($A$1,fork_awake_units!$1:$1,0)+1),MATCH(C$1,fork_awake_units!$1:$1,0)-MATCH($A$1,fork_awake_units!$1:$1,0)+1,FALSE)</f>
        <v>709</v>
      </c>
      <c r="D962" s="3" t="str">
        <f ca="1">VLOOKUP($C962,OFFSET([2]characters!$A$1,0,0,COUNTA([2]characters!$A:$A),MATCH(D$1,[2]characters!$1:$1,0)-MATCH($A$1,[2]characters!$1:$1,0)+1),MATCH(D$1,[2]characters!$1:$1,0)-MATCH($A$1,[2]characters!$1:$1,0)+1,FALSE)</f>
        <v>不穢の抑止力　門田京平</v>
      </c>
      <c r="E962" s="66">
        <v>106</v>
      </c>
      <c r="F962" s="3" t="str">
        <f ca="1">VLOOKUP($E962,OFFSET([2]characters!$A$1,0,0,COUNTA([2]characters!$A:$A),MATCH(F$1,[2]characters!$1:$1,0)-MATCH($A$1,[2]characters!$1:$1,0)+1),MATCH(F$1,[2]characters!$1:$1,0)-MATCH($A$1,[2]characters!$1:$1,0)+1,FALSE)</f>
        <v>グリーンラビット</v>
      </c>
      <c r="G962" s="66">
        <v>1</v>
      </c>
      <c r="H962" s="66">
        <v>1</v>
      </c>
      <c r="I962" s="66">
        <v>1</v>
      </c>
    </row>
    <row r="963" spans="1:9" x14ac:dyDescent="0.15">
      <c r="A963" s="66">
        <v>708</v>
      </c>
      <c r="B963" s="3" t="str">
        <f ca="1">VLOOKUP($A963,OFFSET([2]characters!$A$1,0,0,COUNTA([2]characters!$A:$A),MATCH(B$1,[2]characters!$1:$1,0)-MATCH($A$1,[2]characters!$1:$1,0)+1),MATCH(B$1,[2]characters!$1:$1,0)-MATCH($A$1,[2]characters!$1:$1,0)+1,FALSE)</f>
        <v>門田京平</v>
      </c>
      <c r="C963" s="93">
        <f ca="1">VLOOKUP($A963,OFFSET(fork_awake_units!$A$1,0,0,COUNTA(fork_awake_units!$A:$A),MATCH(C$1,fork_awake_units!$1:$1,0)-MATCH($A$1,fork_awake_units!$1:$1,0)+1),MATCH(C$1,fork_awake_units!$1:$1,0)-MATCH($A$1,fork_awake_units!$1:$1,0)+1,FALSE)</f>
        <v>709</v>
      </c>
      <c r="D963" s="3" t="str">
        <f ca="1">VLOOKUP($C963,OFFSET([2]characters!$A$1,0,0,COUNTA([2]characters!$A:$A),MATCH(D$1,[2]characters!$1:$1,0)-MATCH($A$1,[2]characters!$1:$1,0)+1),MATCH(D$1,[2]characters!$1:$1,0)-MATCH($A$1,[2]characters!$1:$1,0)+1,FALSE)</f>
        <v>不穢の抑止力　門田京平</v>
      </c>
      <c r="E963" s="66">
        <v>107</v>
      </c>
      <c r="F963" s="3" t="str">
        <f ca="1">VLOOKUP($E963,OFFSET([2]characters!$A$1,0,0,COUNTA([2]characters!$A:$A),MATCH(F$1,[2]characters!$1:$1,0)-MATCH($A$1,[2]characters!$1:$1,0)+1),MATCH(F$1,[2]characters!$1:$1,0)-MATCH($A$1,[2]characters!$1:$1,0)+1,FALSE)</f>
        <v>グリーンキャタップ</v>
      </c>
      <c r="G963" s="66">
        <v>1</v>
      </c>
      <c r="H963" s="66">
        <v>1</v>
      </c>
      <c r="I963" s="66">
        <v>1</v>
      </c>
    </row>
    <row r="964" spans="1:9" x14ac:dyDescent="0.15">
      <c r="A964" s="66">
        <v>710</v>
      </c>
      <c r="B964" s="3" t="str">
        <f ca="1">VLOOKUP($A964,OFFSET([2]characters!$A$1,0,0,COUNTA([2]characters!$A:$A),MATCH(B$1,[2]characters!$1:$1,0)-MATCH($A$1,[2]characters!$1:$1,0)+1),MATCH(B$1,[2]characters!$1:$1,0)-MATCH($A$1,[2]characters!$1:$1,0)+1,FALSE)</f>
        <v>田中トム</v>
      </c>
      <c r="C964" s="93">
        <f ca="1">VLOOKUP($A964,OFFSET(fork_awake_units!$A$1,0,0,COUNTA(fork_awake_units!$A:$A),MATCH(C$1,fork_awake_units!$1:$1,0)-MATCH($A$1,fork_awake_units!$1:$1,0)+1),MATCH(C$1,fork_awake_units!$1:$1,0)-MATCH($A$1,fork_awake_units!$1:$1,0)+1,FALSE)</f>
        <v>711</v>
      </c>
      <c r="D964" s="3" t="str">
        <f ca="1">VLOOKUP($C964,OFFSET([2]characters!$A$1,0,0,COUNTA([2]characters!$A:$A),MATCH(D$1,[2]characters!$1:$1,0)-MATCH($A$1,[2]characters!$1:$1,0)+1),MATCH(D$1,[2]characters!$1:$1,0)-MATCH($A$1,[2]characters!$1:$1,0)+1,FALSE)</f>
        <v>平衡調和の取り立て屋　田中トム</v>
      </c>
      <c r="E964" s="66">
        <v>105</v>
      </c>
      <c r="F964" s="3" t="str">
        <f ca="1">VLOOKUP($E964,OFFSET([2]characters!$A$1,0,0,COUNTA([2]characters!$A:$A),MATCH(F$1,[2]characters!$1:$1,0)-MATCH($A$1,[2]characters!$1:$1,0)+1),MATCH(F$1,[2]characters!$1:$1,0)-MATCH($A$1,[2]characters!$1:$1,0)+1,FALSE)</f>
        <v>グリーンチェシャ</v>
      </c>
      <c r="G964" s="66">
        <v>3</v>
      </c>
      <c r="H964" s="66">
        <v>1</v>
      </c>
      <c r="I964" s="66">
        <v>1</v>
      </c>
    </row>
    <row r="965" spans="1:9" x14ac:dyDescent="0.15">
      <c r="A965" s="66">
        <v>710</v>
      </c>
      <c r="B965" s="3" t="str">
        <f ca="1">VLOOKUP($A965,OFFSET([2]characters!$A$1,0,0,COUNTA([2]characters!$A:$A),MATCH(B$1,[2]characters!$1:$1,0)-MATCH($A$1,[2]characters!$1:$1,0)+1),MATCH(B$1,[2]characters!$1:$1,0)-MATCH($A$1,[2]characters!$1:$1,0)+1,FALSE)</f>
        <v>田中トム</v>
      </c>
      <c r="C965" s="93">
        <f ca="1">VLOOKUP($A965,OFFSET(fork_awake_units!$A$1,0,0,COUNTA(fork_awake_units!$A:$A),MATCH(C$1,fork_awake_units!$1:$1,0)-MATCH($A$1,fork_awake_units!$1:$1,0)+1),MATCH(C$1,fork_awake_units!$1:$1,0)-MATCH($A$1,fork_awake_units!$1:$1,0)+1,FALSE)</f>
        <v>711</v>
      </c>
      <c r="D965" s="3" t="str">
        <f ca="1">VLOOKUP($C965,OFFSET([2]characters!$A$1,0,0,COUNTA([2]characters!$A:$A),MATCH(D$1,[2]characters!$1:$1,0)-MATCH($A$1,[2]characters!$1:$1,0)+1),MATCH(D$1,[2]characters!$1:$1,0)-MATCH($A$1,[2]characters!$1:$1,0)+1,FALSE)</f>
        <v>平衡調和の取り立て屋　田中トム</v>
      </c>
      <c r="E965" s="66">
        <v>106</v>
      </c>
      <c r="F965" s="3" t="str">
        <f ca="1">VLOOKUP($E965,OFFSET([2]characters!$A$1,0,0,COUNTA([2]characters!$A:$A),MATCH(F$1,[2]characters!$1:$1,0)-MATCH($A$1,[2]characters!$1:$1,0)+1),MATCH(F$1,[2]characters!$1:$1,0)-MATCH($A$1,[2]characters!$1:$1,0)+1,FALSE)</f>
        <v>グリーンラビット</v>
      </c>
      <c r="G965" s="66">
        <v>1</v>
      </c>
      <c r="H965" s="66">
        <v>1</v>
      </c>
      <c r="I965" s="66">
        <v>1</v>
      </c>
    </row>
    <row r="966" spans="1:9" x14ac:dyDescent="0.15">
      <c r="A966" s="66">
        <v>710</v>
      </c>
      <c r="B966" s="3" t="str">
        <f ca="1">VLOOKUP($A966,OFFSET([2]characters!$A$1,0,0,COUNTA([2]characters!$A:$A),MATCH(B$1,[2]characters!$1:$1,0)-MATCH($A$1,[2]characters!$1:$1,0)+1),MATCH(B$1,[2]characters!$1:$1,0)-MATCH($A$1,[2]characters!$1:$1,0)+1,FALSE)</f>
        <v>田中トム</v>
      </c>
      <c r="C966" s="93">
        <f ca="1">VLOOKUP($A966,OFFSET(fork_awake_units!$A$1,0,0,COUNTA(fork_awake_units!$A:$A),MATCH(C$1,fork_awake_units!$1:$1,0)-MATCH($A$1,fork_awake_units!$1:$1,0)+1),MATCH(C$1,fork_awake_units!$1:$1,0)-MATCH($A$1,fork_awake_units!$1:$1,0)+1,FALSE)</f>
        <v>711</v>
      </c>
      <c r="D966" s="3" t="str">
        <f ca="1">VLOOKUP($C966,OFFSET([2]characters!$A$1,0,0,COUNTA([2]characters!$A:$A),MATCH(D$1,[2]characters!$1:$1,0)-MATCH($A$1,[2]characters!$1:$1,0)+1),MATCH(D$1,[2]characters!$1:$1,0)-MATCH($A$1,[2]characters!$1:$1,0)+1,FALSE)</f>
        <v>平衡調和の取り立て屋　田中トム</v>
      </c>
      <c r="E966" s="66">
        <v>107</v>
      </c>
      <c r="F966" s="3" t="str">
        <f ca="1">VLOOKUP($E966,OFFSET([2]characters!$A$1,0,0,COUNTA([2]characters!$A:$A),MATCH(F$1,[2]characters!$1:$1,0)-MATCH($A$1,[2]characters!$1:$1,0)+1),MATCH(F$1,[2]characters!$1:$1,0)-MATCH($A$1,[2]characters!$1:$1,0)+1,FALSE)</f>
        <v>グリーンキャタップ</v>
      </c>
      <c r="G966" s="66">
        <v>1</v>
      </c>
      <c r="H966" s="66">
        <v>1</v>
      </c>
      <c r="I966" s="66">
        <v>1</v>
      </c>
    </row>
    <row r="967" spans="1:9" x14ac:dyDescent="0.15">
      <c r="A967" s="66">
        <v>712</v>
      </c>
      <c r="B967" s="3" t="str">
        <f ca="1">VLOOKUP($A967,OFFSET([2]characters!$A$1,0,0,COUNTA([2]characters!$A:$A),MATCH(B$1,[2]characters!$1:$1,0)-MATCH($A$1,[2]characters!$1:$1,0)+1),MATCH(B$1,[2]characters!$1:$1,0)-MATCH($A$1,[2]characters!$1:$1,0)+1,FALSE)</f>
        <v>竜ヶ峰帝人</v>
      </c>
      <c r="C967" s="93">
        <f ca="1">VLOOKUP($A967,OFFSET(fork_awake_units!$A$1,0,0,COUNTA(fork_awake_units!$A:$A),MATCH(C$1,fork_awake_units!$1:$1,0)-MATCH($A$1,fork_awake_units!$1:$1,0)+1),MATCH(C$1,fork_awake_units!$1:$1,0)-MATCH($A$1,fork_awake_units!$1:$1,0)+1,FALSE)</f>
        <v>713</v>
      </c>
      <c r="D967" s="3" t="str">
        <f ca="1">VLOOKUP($C967,OFFSET([2]characters!$A$1,0,0,COUNTA([2]characters!$A:$A),MATCH(D$1,[2]characters!$1:$1,0)-MATCH($A$1,[2]characters!$1:$1,0)+1),MATCH(D$1,[2]characters!$1:$1,0)-MATCH($A$1,[2]characters!$1:$1,0)+1,FALSE)</f>
        <v>始まりの創始者　竜ヶ峰帝人</v>
      </c>
      <c r="E967" s="66">
        <v>111</v>
      </c>
      <c r="F967" s="3" t="str">
        <f ca="1">VLOOKUP($E967,OFFSET([2]characters!$A$1,0,0,COUNTA([2]characters!$A:$A),MATCH(F$1,[2]characters!$1:$1,0)-MATCH($A$1,[2]characters!$1:$1,0)+1),MATCH(F$1,[2]characters!$1:$1,0)-MATCH($A$1,[2]characters!$1:$1,0)+1,FALSE)</f>
        <v>ブルーキャタップ</v>
      </c>
      <c r="G967" s="66">
        <v>1</v>
      </c>
      <c r="H967" s="66">
        <v>1</v>
      </c>
      <c r="I967" s="66">
        <v>1</v>
      </c>
    </row>
    <row r="968" spans="1:9" x14ac:dyDescent="0.15">
      <c r="A968" s="66">
        <v>712</v>
      </c>
      <c r="B968" s="3" t="str">
        <f ca="1">VLOOKUP($A968,OFFSET([2]characters!$A$1,0,0,COUNTA([2]characters!$A:$A),MATCH(B$1,[2]characters!$1:$1,0)-MATCH($A$1,[2]characters!$1:$1,0)+1),MATCH(B$1,[2]characters!$1:$1,0)-MATCH($A$1,[2]characters!$1:$1,0)+1,FALSE)</f>
        <v>竜ヶ峰帝人</v>
      </c>
      <c r="C968" s="93">
        <f ca="1">VLOOKUP($A968,OFFSET(fork_awake_units!$A$1,0,0,COUNTA(fork_awake_units!$A:$A),MATCH(C$1,fork_awake_units!$1:$1,0)-MATCH($A$1,fork_awake_units!$1:$1,0)+1),MATCH(C$1,fork_awake_units!$1:$1,0)-MATCH($A$1,fork_awake_units!$1:$1,0)+1,FALSE)</f>
        <v>713</v>
      </c>
      <c r="D968" s="3" t="str">
        <f ca="1">VLOOKUP($C968,OFFSET([2]characters!$A$1,0,0,COUNTA([2]characters!$A:$A),MATCH(D$1,[2]characters!$1:$1,0)-MATCH($A$1,[2]characters!$1:$1,0)+1),MATCH(D$1,[2]characters!$1:$1,0)-MATCH($A$1,[2]characters!$1:$1,0)+1,FALSE)</f>
        <v>始まりの創始者　竜ヶ峰帝人</v>
      </c>
      <c r="E968" s="66">
        <v>112</v>
      </c>
      <c r="F968" s="3" t="str">
        <f ca="1">VLOOKUP($E968,OFFSET([2]characters!$A$1,0,0,COUNTA([2]characters!$A:$A),MATCH(F$1,[2]characters!$1:$1,0)-MATCH($A$1,[2]characters!$1:$1,0)+1),MATCH(F$1,[2]characters!$1:$1,0)-MATCH($A$1,[2]characters!$1:$1,0)+1,FALSE)</f>
        <v>水のマッドハッター</v>
      </c>
      <c r="G968" s="66">
        <v>1</v>
      </c>
      <c r="H968" s="66">
        <v>1</v>
      </c>
      <c r="I968" s="66">
        <v>1</v>
      </c>
    </row>
    <row r="969" spans="1:9" x14ac:dyDescent="0.15">
      <c r="A969" s="66">
        <v>712</v>
      </c>
      <c r="B969" s="3" t="str">
        <f ca="1">VLOOKUP($A969,OFFSET([2]characters!$A$1,0,0,COUNTA([2]characters!$A:$A),MATCH(B$1,[2]characters!$1:$1,0)-MATCH($A$1,[2]characters!$1:$1,0)+1),MATCH(B$1,[2]characters!$1:$1,0)-MATCH($A$1,[2]characters!$1:$1,0)+1,FALSE)</f>
        <v>竜ヶ峰帝人</v>
      </c>
      <c r="C969" s="93">
        <f ca="1">VLOOKUP($A969,OFFSET(fork_awake_units!$A$1,0,0,COUNTA(fork_awake_units!$A:$A),MATCH(C$1,fork_awake_units!$1:$1,0)-MATCH($A$1,fork_awake_units!$1:$1,0)+1),MATCH(C$1,fork_awake_units!$1:$1,0)-MATCH($A$1,fork_awake_units!$1:$1,0)+1,FALSE)</f>
        <v>713</v>
      </c>
      <c r="D969" s="3" t="str">
        <f ca="1">VLOOKUP($C969,OFFSET([2]characters!$A$1,0,0,COUNTA([2]characters!$A:$A),MATCH(D$1,[2]characters!$1:$1,0)-MATCH($A$1,[2]characters!$1:$1,0)+1),MATCH(D$1,[2]characters!$1:$1,0)-MATCH($A$1,[2]characters!$1:$1,0)+1,FALSE)</f>
        <v>始まりの創始者　竜ヶ峰帝人</v>
      </c>
      <c r="E969" s="66">
        <v>691</v>
      </c>
      <c r="F969" s="3" t="str">
        <f ca="1">VLOOKUP($E969,OFFSET([2]characters!$A$1,0,0,COUNTA([2]characters!$A:$A),MATCH(F$1,[2]characters!$1:$1,0)-MATCH($A$1,[2]characters!$1:$1,0)+1),MATCH(F$1,[2]characters!$1:$1,0)-MATCH($A$1,[2]characters!$1:$1,0)+1,FALSE)</f>
        <v>黒沼青葉</v>
      </c>
      <c r="G969" s="66">
        <v>1</v>
      </c>
      <c r="H969" s="66">
        <v>3</v>
      </c>
      <c r="I969" s="66">
        <v>1</v>
      </c>
    </row>
    <row r="970" spans="1:9" x14ac:dyDescent="0.15">
      <c r="A970" s="66">
        <v>712</v>
      </c>
      <c r="B970" s="3" t="str">
        <f ca="1">VLOOKUP($A970,OFFSET([2]characters!$A$1,0,0,COUNTA([2]characters!$A:$A),MATCH(B$1,[2]characters!$1:$1,0)-MATCH($A$1,[2]characters!$1:$1,0)+1),MATCH(B$1,[2]characters!$1:$1,0)-MATCH($A$1,[2]characters!$1:$1,0)+1,FALSE)</f>
        <v>竜ヶ峰帝人</v>
      </c>
      <c r="C970" s="93">
        <f ca="1">VLOOKUP($A970,OFFSET(fork_awake_units!$A$1,0,0,COUNTA(fork_awake_units!$A:$A),MATCH(C$1,fork_awake_units!$1:$1,0)-MATCH($A$1,fork_awake_units!$1:$1,0)+1),MATCH(C$1,fork_awake_units!$1:$1,0)-MATCH($A$1,fork_awake_units!$1:$1,0)+1,FALSE)</f>
        <v>713</v>
      </c>
      <c r="D970" s="3" t="str">
        <f ca="1">VLOOKUP($C970,OFFSET([2]characters!$A$1,0,0,COUNTA([2]characters!$A:$A),MATCH(D$1,[2]characters!$1:$1,0)-MATCH($A$1,[2]characters!$1:$1,0)+1),MATCH(D$1,[2]characters!$1:$1,0)-MATCH($A$1,[2]characters!$1:$1,0)+1,FALSE)</f>
        <v>始まりの創始者　竜ヶ峰帝人</v>
      </c>
      <c r="E970" s="66">
        <v>837</v>
      </c>
      <c r="F970" s="3" t="str">
        <f ca="1">VLOOKUP($E970,OFFSET([2]characters!$A$1,0,0,COUNTA([2]characters!$A:$A),MATCH(F$1,[2]characters!$1:$1,0)-MATCH($A$1,[2]characters!$1:$1,0)+1),MATCH(F$1,[2]characters!$1:$1,0)-MATCH($A$1,[2]characters!$1:$1,0)+1,FALSE)</f>
        <v>リトルハンプティ</v>
      </c>
      <c r="G970" s="66">
        <v>1</v>
      </c>
      <c r="H970" s="66">
        <v>1</v>
      </c>
      <c r="I970" s="66">
        <v>1</v>
      </c>
    </row>
    <row r="971" spans="1:9" x14ac:dyDescent="0.15">
      <c r="A971" s="66">
        <v>714</v>
      </c>
      <c r="B971" s="3" t="str">
        <f ca="1">VLOOKUP($A971,OFFSET([2]characters!$A$1,0,0,COUNTA([2]characters!$A:$A),MATCH(B$1,[2]characters!$1:$1,0)-MATCH($A$1,[2]characters!$1:$1,0)+1),MATCH(B$1,[2]characters!$1:$1,0)-MATCH($A$1,[2]characters!$1:$1,0)+1,FALSE)</f>
        <v>粟楠茜</v>
      </c>
      <c r="C971" s="93">
        <f ca="1">VLOOKUP($A971,OFFSET(fork_awake_units!$A$1,0,0,COUNTA(fork_awake_units!$A:$A),MATCH(C$1,fork_awake_units!$1:$1,0)-MATCH($A$1,fork_awake_units!$1:$1,0)+1),MATCH(C$1,fork_awake_units!$1:$1,0)-MATCH($A$1,fork_awake_units!$1:$1,0)+1,FALSE)</f>
        <v>715</v>
      </c>
      <c r="D971" s="3" t="str">
        <f ca="1">VLOOKUP($C971,OFFSET([2]characters!$A$1,0,0,COUNTA([2]characters!$A:$A),MATCH(D$1,[2]characters!$1:$1,0)-MATCH($A$1,[2]characters!$1:$1,0)+1),MATCH(D$1,[2]characters!$1:$1,0)-MATCH($A$1,[2]characters!$1:$1,0)+1,FALSE)</f>
        <v>小さな殺し屋　粟楠茜</v>
      </c>
      <c r="E971" s="66">
        <v>109</v>
      </c>
      <c r="F971" s="3" t="str">
        <f ca="1">VLOOKUP($E971,OFFSET([2]characters!$A$1,0,0,COUNTA([2]characters!$A:$A),MATCH(F$1,[2]characters!$1:$1,0)-MATCH($A$1,[2]characters!$1:$1,0)+1),MATCH(F$1,[2]characters!$1:$1,0)-MATCH($A$1,[2]characters!$1:$1,0)+1,FALSE)</f>
        <v>ブルーチェシャ</v>
      </c>
      <c r="G971" s="66">
        <v>3</v>
      </c>
      <c r="H971" s="66">
        <v>1</v>
      </c>
      <c r="I971" s="66">
        <v>1</v>
      </c>
    </row>
    <row r="972" spans="1:9" x14ac:dyDescent="0.15">
      <c r="A972" s="66">
        <v>714</v>
      </c>
      <c r="B972" s="3" t="str">
        <f ca="1">VLOOKUP($A972,OFFSET([2]characters!$A$1,0,0,COUNTA([2]characters!$A:$A),MATCH(B$1,[2]characters!$1:$1,0)-MATCH($A$1,[2]characters!$1:$1,0)+1),MATCH(B$1,[2]characters!$1:$1,0)-MATCH($A$1,[2]characters!$1:$1,0)+1,FALSE)</f>
        <v>粟楠茜</v>
      </c>
      <c r="C972" s="93">
        <f ca="1">VLOOKUP($A972,OFFSET(fork_awake_units!$A$1,0,0,COUNTA(fork_awake_units!$A:$A),MATCH(C$1,fork_awake_units!$1:$1,0)-MATCH($A$1,fork_awake_units!$1:$1,0)+1),MATCH(C$1,fork_awake_units!$1:$1,0)-MATCH($A$1,fork_awake_units!$1:$1,0)+1,FALSE)</f>
        <v>715</v>
      </c>
      <c r="D972" s="3" t="str">
        <f ca="1">VLOOKUP($C972,OFFSET([2]characters!$A$1,0,0,COUNTA([2]characters!$A:$A),MATCH(D$1,[2]characters!$1:$1,0)-MATCH($A$1,[2]characters!$1:$1,0)+1),MATCH(D$1,[2]characters!$1:$1,0)-MATCH($A$1,[2]characters!$1:$1,0)+1,FALSE)</f>
        <v>小さな殺し屋　粟楠茜</v>
      </c>
      <c r="E972" s="66">
        <v>110</v>
      </c>
      <c r="F972" s="3" t="str">
        <f ca="1">VLOOKUP($E972,OFFSET([2]characters!$A$1,0,0,COUNTA([2]characters!$A:$A),MATCH(F$1,[2]characters!$1:$1,0)-MATCH($A$1,[2]characters!$1:$1,0)+1),MATCH(F$1,[2]characters!$1:$1,0)-MATCH($A$1,[2]characters!$1:$1,0)+1,FALSE)</f>
        <v>ブルーラビット</v>
      </c>
      <c r="G972" s="66">
        <v>1</v>
      </c>
      <c r="H972" s="66">
        <v>1</v>
      </c>
      <c r="I972" s="66">
        <v>1</v>
      </c>
    </row>
    <row r="973" spans="1:9" x14ac:dyDescent="0.15">
      <c r="A973" s="66">
        <v>714</v>
      </c>
      <c r="B973" s="3" t="str">
        <f ca="1">VLOOKUP($A973,OFFSET([2]characters!$A$1,0,0,COUNTA([2]characters!$A:$A),MATCH(B$1,[2]characters!$1:$1,0)-MATCH($A$1,[2]characters!$1:$1,0)+1),MATCH(B$1,[2]characters!$1:$1,0)-MATCH($A$1,[2]characters!$1:$1,0)+1,FALSE)</f>
        <v>粟楠茜</v>
      </c>
      <c r="C973" s="93">
        <f ca="1">VLOOKUP($A973,OFFSET(fork_awake_units!$A$1,0,0,COUNTA(fork_awake_units!$A:$A),MATCH(C$1,fork_awake_units!$1:$1,0)-MATCH($A$1,fork_awake_units!$1:$1,0)+1),MATCH(C$1,fork_awake_units!$1:$1,0)-MATCH($A$1,fork_awake_units!$1:$1,0)+1,FALSE)</f>
        <v>715</v>
      </c>
      <c r="D973" s="3" t="str">
        <f ca="1">VLOOKUP($C973,OFFSET([2]characters!$A$1,0,0,COUNTA([2]characters!$A:$A),MATCH(D$1,[2]characters!$1:$1,0)-MATCH($A$1,[2]characters!$1:$1,0)+1),MATCH(D$1,[2]characters!$1:$1,0)-MATCH($A$1,[2]characters!$1:$1,0)+1,FALSE)</f>
        <v>小さな殺し屋　粟楠茜</v>
      </c>
      <c r="E973" s="66">
        <v>111</v>
      </c>
      <c r="F973" s="3" t="str">
        <f ca="1">VLOOKUP($E973,OFFSET([2]characters!$A$1,0,0,COUNTA([2]characters!$A:$A),MATCH(F$1,[2]characters!$1:$1,0)-MATCH($A$1,[2]characters!$1:$1,0)+1),MATCH(F$1,[2]characters!$1:$1,0)-MATCH($A$1,[2]characters!$1:$1,0)+1,FALSE)</f>
        <v>ブルーキャタップ</v>
      </c>
      <c r="G973" s="66">
        <v>1</v>
      </c>
      <c r="H973" s="66">
        <v>1</v>
      </c>
      <c r="I973" s="66">
        <v>1</v>
      </c>
    </row>
    <row r="974" spans="1:9" x14ac:dyDescent="0.15">
      <c r="A974" s="66">
        <v>716</v>
      </c>
      <c r="B974" s="3" t="str">
        <f ca="1">VLOOKUP($A974,OFFSET([2]characters!$A$1,0,0,COUNTA([2]characters!$A:$A),MATCH(B$1,[2]characters!$1:$1,0)-MATCH($A$1,[2]characters!$1:$1,0)+1),MATCH(B$1,[2]characters!$1:$1,0)-MATCH($A$1,[2]characters!$1:$1,0)+1,FALSE)</f>
        <v>平和島静雄</v>
      </c>
      <c r="C974" s="93">
        <f ca="1">VLOOKUP($A974,OFFSET(fork_awake_units!$A$1,0,0,COUNTA(fork_awake_units!$A:$A),MATCH(C$1,fork_awake_units!$1:$1,0)-MATCH($A$1,fork_awake_units!$1:$1,0)+1),MATCH(C$1,fork_awake_units!$1:$1,0)-MATCH($A$1,fork_awake_units!$1:$1,0)+1,FALSE)</f>
        <v>717</v>
      </c>
      <c r="D974" s="3" t="str">
        <f ca="1">VLOOKUP($C974,OFFSET([2]characters!$A$1,0,0,COUNTA([2]characters!$A:$A),MATCH(D$1,[2]characters!$1:$1,0)-MATCH($A$1,[2]characters!$1:$1,0)+1),MATCH(D$1,[2]characters!$1:$1,0)-MATCH($A$1,[2]characters!$1:$1,0)+1,FALSE)</f>
        <v>池袋最強の暴走 平和島静雄</v>
      </c>
      <c r="E974" s="66">
        <v>115</v>
      </c>
      <c r="F974" s="3" t="str">
        <f ca="1">VLOOKUP($E974,OFFSET([2]characters!$A$1,0,0,COUNTA([2]characters!$A:$A),MATCH(F$1,[2]characters!$1:$1,0)-MATCH($A$1,[2]characters!$1:$1,0)+1),MATCH(F$1,[2]characters!$1:$1,0)-MATCH($A$1,[2]characters!$1:$1,0)+1,FALSE)</f>
        <v>イエローキャタップ</v>
      </c>
      <c r="G974" s="66">
        <v>1</v>
      </c>
      <c r="H974" s="66">
        <v>1</v>
      </c>
      <c r="I974" s="66">
        <v>1</v>
      </c>
    </row>
    <row r="975" spans="1:9" x14ac:dyDescent="0.15">
      <c r="A975" s="66">
        <v>716</v>
      </c>
      <c r="B975" s="3" t="str">
        <f ca="1">VLOOKUP($A975,OFFSET([2]characters!$A$1,0,0,COUNTA([2]characters!$A:$A),MATCH(B$1,[2]characters!$1:$1,0)-MATCH($A$1,[2]characters!$1:$1,0)+1),MATCH(B$1,[2]characters!$1:$1,0)-MATCH($A$1,[2]characters!$1:$1,0)+1,FALSE)</f>
        <v>平和島静雄</v>
      </c>
      <c r="C975" s="93">
        <f ca="1">VLOOKUP($A975,OFFSET(fork_awake_units!$A$1,0,0,COUNTA(fork_awake_units!$A:$A),MATCH(C$1,fork_awake_units!$1:$1,0)-MATCH($A$1,fork_awake_units!$1:$1,0)+1),MATCH(C$1,fork_awake_units!$1:$1,0)-MATCH($A$1,fork_awake_units!$1:$1,0)+1,FALSE)</f>
        <v>717</v>
      </c>
      <c r="D975" s="3" t="str">
        <f ca="1">VLOOKUP($C975,OFFSET([2]characters!$A$1,0,0,COUNTA([2]characters!$A:$A),MATCH(D$1,[2]characters!$1:$1,0)-MATCH($A$1,[2]characters!$1:$1,0)+1),MATCH(D$1,[2]characters!$1:$1,0)-MATCH($A$1,[2]characters!$1:$1,0)+1,FALSE)</f>
        <v>池袋最強の暴走 平和島静雄</v>
      </c>
      <c r="E975" s="66">
        <v>116</v>
      </c>
      <c r="F975" s="3" t="str">
        <f ca="1">VLOOKUP($E975,OFFSET([2]characters!$A$1,0,0,COUNTA([2]characters!$A:$A),MATCH(F$1,[2]characters!$1:$1,0)-MATCH($A$1,[2]characters!$1:$1,0)+1),MATCH(F$1,[2]characters!$1:$1,0)-MATCH($A$1,[2]characters!$1:$1,0)+1,FALSE)</f>
        <v>雷のマッドハッター</v>
      </c>
      <c r="G975" s="66">
        <v>1</v>
      </c>
      <c r="H975" s="66">
        <v>1</v>
      </c>
      <c r="I975" s="66">
        <v>1</v>
      </c>
    </row>
    <row r="976" spans="1:9" x14ac:dyDescent="0.15">
      <c r="A976" s="66">
        <v>716</v>
      </c>
      <c r="B976" s="3" t="str">
        <f ca="1">VLOOKUP($A976,OFFSET([2]characters!$A$1,0,0,COUNTA([2]characters!$A:$A),MATCH(B$1,[2]characters!$1:$1,0)-MATCH($A$1,[2]characters!$1:$1,0)+1),MATCH(B$1,[2]characters!$1:$1,0)-MATCH($A$1,[2]characters!$1:$1,0)+1,FALSE)</f>
        <v>平和島静雄</v>
      </c>
      <c r="C976" s="93">
        <f ca="1">VLOOKUP($A976,OFFSET(fork_awake_units!$A$1,0,0,COUNTA(fork_awake_units!$A:$A),MATCH(C$1,fork_awake_units!$1:$1,0)-MATCH($A$1,fork_awake_units!$1:$1,0)+1),MATCH(C$1,fork_awake_units!$1:$1,0)-MATCH($A$1,fork_awake_units!$1:$1,0)+1,FALSE)</f>
        <v>717</v>
      </c>
      <c r="D976" s="3" t="str">
        <f ca="1">VLOOKUP($C976,OFFSET([2]characters!$A$1,0,0,COUNTA([2]characters!$A:$A),MATCH(D$1,[2]characters!$1:$1,0)-MATCH($A$1,[2]characters!$1:$1,0)+1),MATCH(D$1,[2]characters!$1:$1,0)-MATCH($A$1,[2]characters!$1:$1,0)+1,FALSE)</f>
        <v>池袋最強の暴走 平和島静雄</v>
      </c>
      <c r="E976" s="66">
        <v>693</v>
      </c>
      <c r="F976" s="3" t="str">
        <f ca="1">VLOOKUP($E976,OFFSET([2]characters!$A$1,0,0,COUNTA([2]characters!$A:$A),MATCH(F$1,[2]characters!$1:$1,0)-MATCH($A$1,[2]characters!$1:$1,0)+1),MATCH(F$1,[2]characters!$1:$1,0)-MATCH($A$1,[2]characters!$1:$1,0)+1,FALSE)</f>
        <v>紀田正臣</v>
      </c>
      <c r="G976" s="66">
        <v>1</v>
      </c>
      <c r="H976" s="66">
        <v>3</v>
      </c>
      <c r="I976" s="66">
        <v>1</v>
      </c>
    </row>
    <row r="977" spans="1:9" x14ac:dyDescent="0.15">
      <c r="A977" s="66">
        <v>716</v>
      </c>
      <c r="B977" s="3" t="str">
        <f ca="1">VLOOKUP($A977,OFFSET([2]characters!$A$1,0,0,COUNTA([2]characters!$A:$A),MATCH(B$1,[2]characters!$1:$1,0)-MATCH($A$1,[2]characters!$1:$1,0)+1),MATCH(B$1,[2]characters!$1:$1,0)-MATCH($A$1,[2]characters!$1:$1,0)+1,FALSE)</f>
        <v>平和島静雄</v>
      </c>
      <c r="C977" s="93">
        <f ca="1">VLOOKUP($A977,OFFSET(fork_awake_units!$A$1,0,0,COUNTA(fork_awake_units!$A:$A),MATCH(C$1,fork_awake_units!$1:$1,0)-MATCH($A$1,fork_awake_units!$1:$1,0)+1),MATCH(C$1,fork_awake_units!$1:$1,0)-MATCH($A$1,fork_awake_units!$1:$1,0)+1,FALSE)</f>
        <v>717</v>
      </c>
      <c r="D977" s="3" t="str">
        <f ca="1">VLOOKUP($C977,OFFSET([2]characters!$A$1,0,0,COUNTA([2]characters!$A:$A),MATCH(D$1,[2]characters!$1:$1,0)-MATCH($A$1,[2]characters!$1:$1,0)+1),MATCH(D$1,[2]characters!$1:$1,0)-MATCH($A$1,[2]characters!$1:$1,0)+1,FALSE)</f>
        <v>池袋最強の暴走 平和島静雄</v>
      </c>
      <c r="E977" s="66">
        <v>837</v>
      </c>
      <c r="F977" s="3" t="str">
        <f ca="1">VLOOKUP($E977,OFFSET([2]characters!$A$1,0,0,COUNTA([2]characters!$A:$A),MATCH(F$1,[2]characters!$1:$1,0)-MATCH($A$1,[2]characters!$1:$1,0)+1),MATCH(F$1,[2]characters!$1:$1,0)-MATCH($A$1,[2]characters!$1:$1,0)+1,FALSE)</f>
        <v>リトルハンプティ</v>
      </c>
      <c r="G977" s="66">
        <v>1</v>
      </c>
      <c r="H977" s="66">
        <v>1</v>
      </c>
      <c r="I977" s="66">
        <v>1</v>
      </c>
    </row>
    <row r="978" spans="1:9" x14ac:dyDescent="0.15">
      <c r="A978" s="66">
        <v>718</v>
      </c>
      <c r="B978" s="3" t="str">
        <f ca="1">VLOOKUP($A978,OFFSET([2]characters!$A$1,0,0,COUNTA([2]characters!$A:$A),MATCH(B$1,[2]characters!$1:$1,0)-MATCH($A$1,[2]characters!$1:$1,0)+1),MATCH(B$1,[2]characters!$1:$1,0)-MATCH($A$1,[2]characters!$1:$1,0)+1,FALSE)</f>
        <v>ヴァローナ</v>
      </c>
      <c r="C978" s="93">
        <f ca="1">VLOOKUP($A978,OFFSET(fork_awake_units!$A$1,0,0,COUNTA(fork_awake_units!$A:$A),MATCH(C$1,fork_awake_units!$1:$1,0)-MATCH($A$1,fork_awake_units!$1:$1,0)+1),MATCH(C$1,fork_awake_units!$1:$1,0)-MATCH($A$1,fork_awake_units!$1:$1,0)+1,FALSE)</f>
        <v>719</v>
      </c>
      <c r="D978" s="3" t="str">
        <f ca="1">VLOOKUP($C978,OFFSET([2]characters!$A$1,0,0,COUNTA([2]characters!$A:$A),MATCH(D$1,[2]characters!$1:$1,0)-MATCH($A$1,[2]characters!$1:$1,0)+1),MATCH(D$1,[2]characters!$1:$1,0)-MATCH($A$1,[2]characters!$1:$1,0)+1,FALSE)</f>
        <v>聡明な戦狂女 ヴァローナ</v>
      </c>
      <c r="E978" s="66">
        <v>114</v>
      </c>
      <c r="F978" s="3" t="str">
        <f ca="1">VLOOKUP($E978,OFFSET([2]characters!$A$1,0,0,COUNTA([2]characters!$A:$A),MATCH(F$1,[2]characters!$1:$1,0)-MATCH($A$1,[2]characters!$1:$1,0)+1),MATCH(F$1,[2]characters!$1:$1,0)-MATCH($A$1,[2]characters!$1:$1,0)+1,FALSE)</f>
        <v>イエローラビット</v>
      </c>
      <c r="G978" s="66">
        <v>1</v>
      </c>
      <c r="H978" s="66">
        <v>1</v>
      </c>
      <c r="I978" s="66">
        <v>1</v>
      </c>
    </row>
    <row r="979" spans="1:9" x14ac:dyDescent="0.15">
      <c r="A979" s="66">
        <v>718</v>
      </c>
      <c r="B979" s="3" t="str">
        <f ca="1">VLOOKUP($A979,OFFSET([2]characters!$A$1,0,0,COUNTA([2]characters!$A:$A),MATCH(B$1,[2]characters!$1:$1,0)-MATCH($A$1,[2]characters!$1:$1,0)+1),MATCH(B$1,[2]characters!$1:$1,0)-MATCH($A$1,[2]characters!$1:$1,0)+1,FALSE)</f>
        <v>ヴァローナ</v>
      </c>
      <c r="C979" s="93">
        <f ca="1">VLOOKUP($A979,OFFSET(fork_awake_units!$A$1,0,0,COUNTA(fork_awake_units!$A:$A),MATCH(C$1,fork_awake_units!$1:$1,0)-MATCH($A$1,fork_awake_units!$1:$1,0)+1),MATCH(C$1,fork_awake_units!$1:$1,0)-MATCH($A$1,fork_awake_units!$1:$1,0)+1,FALSE)</f>
        <v>719</v>
      </c>
      <c r="D979" s="3" t="str">
        <f ca="1">VLOOKUP($C979,OFFSET([2]characters!$A$1,0,0,COUNTA([2]characters!$A:$A),MATCH(D$1,[2]characters!$1:$1,0)-MATCH($A$1,[2]characters!$1:$1,0)+1),MATCH(D$1,[2]characters!$1:$1,0)-MATCH($A$1,[2]characters!$1:$1,0)+1,FALSE)</f>
        <v>聡明な戦狂女 ヴァローナ</v>
      </c>
      <c r="E979" s="66">
        <v>115</v>
      </c>
      <c r="F979" s="3" t="str">
        <f ca="1">VLOOKUP($E979,OFFSET([2]characters!$A$1,0,0,COUNTA([2]characters!$A:$A),MATCH(F$1,[2]characters!$1:$1,0)-MATCH($A$1,[2]characters!$1:$1,0)+1),MATCH(F$1,[2]characters!$1:$1,0)-MATCH($A$1,[2]characters!$1:$1,0)+1,FALSE)</f>
        <v>イエローキャタップ</v>
      </c>
      <c r="G979" s="66">
        <v>2</v>
      </c>
      <c r="H979" s="66">
        <v>1</v>
      </c>
      <c r="I979" s="66">
        <v>1</v>
      </c>
    </row>
    <row r="980" spans="1:9" x14ac:dyDescent="0.15">
      <c r="A980" s="66">
        <v>718</v>
      </c>
      <c r="B980" s="3" t="str">
        <f ca="1">VLOOKUP($A980,OFFSET([2]characters!$A$1,0,0,COUNTA([2]characters!$A:$A),MATCH(B$1,[2]characters!$1:$1,0)-MATCH($A$1,[2]characters!$1:$1,0)+1),MATCH(B$1,[2]characters!$1:$1,0)-MATCH($A$1,[2]characters!$1:$1,0)+1,FALSE)</f>
        <v>ヴァローナ</v>
      </c>
      <c r="C980" s="93">
        <f ca="1">VLOOKUP($A980,OFFSET(fork_awake_units!$A$1,0,0,COUNTA(fork_awake_units!$A:$A),MATCH(C$1,fork_awake_units!$1:$1,0)-MATCH($A$1,fork_awake_units!$1:$1,0)+1),MATCH(C$1,fork_awake_units!$1:$1,0)-MATCH($A$1,fork_awake_units!$1:$1,0)+1,FALSE)</f>
        <v>719</v>
      </c>
      <c r="D980" s="3" t="str">
        <f ca="1">VLOOKUP($C980,OFFSET([2]characters!$A$1,0,0,COUNTA([2]characters!$A:$A),MATCH(D$1,[2]characters!$1:$1,0)-MATCH($A$1,[2]characters!$1:$1,0)+1),MATCH(D$1,[2]characters!$1:$1,0)-MATCH($A$1,[2]characters!$1:$1,0)+1,FALSE)</f>
        <v>聡明な戦狂女 ヴァローナ</v>
      </c>
      <c r="E980" s="66">
        <v>116</v>
      </c>
      <c r="F980" s="3" t="str">
        <f ca="1">VLOOKUP($E980,OFFSET([2]characters!$A$1,0,0,COUNTA([2]characters!$A:$A),MATCH(F$1,[2]characters!$1:$1,0)-MATCH($A$1,[2]characters!$1:$1,0)+1),MATCH(F$1,[2]characters!$1:$1,0)-MATCH($A$1,[2]characters!$1:$1,0)+1,FALSE)</f>
        <v>雷のマッドハッター</v>
      </c>
      <c r="G980" s="66">
        <v>2</v>
      </c>
      <c r="H980" s="66">
        <v>1</v>
      </c>
      <c r="I980" s="66">
        <v>1</v>
      </c>
    </row>
    <row r="981" spans="1:9" x14ac:dyDescent="0.15">
      <c r="A981" s="66">
        <v>720</v>
      </c>
      <c r="B981" s="3" t="str">
        <f ca="1">VLOOKUP($A981,OFFSET([2]characters!$A$1,0,0,COUNTA([2]characters!$A:$A),MATCH(B$1,[2]characters!$1:$1,0)-MATCH($A$1,[2]characters!$1:$1,0)+1),MATCH(B$1,[2]characters!$1:$1,0)-MATCH($A$1,[2]characters!$1:$1,0)+1,FALSE)</f>
        <v>直江兼続</v>
      </c>
      <c r="C981" s="93">
        <f ca="1">VLOOKUP($A981,OFFSET(fork_awake_units!$A$1,0,0,COUNTA(fork_awake_units!$A:$A),MATCH(C$1,fork_awake_units!$1:$1,0)-MATCH($A$1,fork_awake_units!$1:$1,0)+1),MATCH(C$1,fork_awake_units!$1:$1,0)-MATCH($A$1,fork_awake_units!$1:$1,0)+1,FALSE)</f>
        <v>721</v>
      </c>
      <c r="D981" s="3" t="str">
        <f ca="1">VLOOKUP($C981,OFFSET([2]characters!$A$1,0,0,COUNTA([2]characters!$A:$A),MATCH(D$1,[2]characters!$1:$1,0)-MATCH($A$1,[2]characters!$1:$1,0)+1),MATCH(D$1,[2]characters!$1:$1,0)-MATCH($A$1,[2]characters!$1:$1,0)+1,FALSE)</f>
        <v>迎激の愛銃 直江兼続</v>
      </c>
      <c r="E981" s="66">
        <v>720</v>
      </c>
      <c r="F981" s="3" t="str">
        <f ca="1">VLOOKUP($E981,OFFSET([2]characters!$A$1,0,0,COUNTA([2]characters!$A:$A),MATCH(F$1,[2]characters!$1:$1,0)-MATCH($A$1,[2]characters!$1:$1,0)+1),MATCH(F$1,[2]characters!$1:$1,0)-MATCH($A$1,[2]characters!$1:$1,0)+1,FALSE)</f>
        <v>直江兼続</v>
      </c>
      <c r="G981" s="66">
        <v>1</v>
      </c>
      <c r="H981" s="66">
        <v>10</v>
      </c>
      <c r="I981" s="66">
        <v>1</v>
      </c>
    </row>
    <row r="982" spans="1:9" x14ac:dyDescent="0.15">
      <c r="A982" s="66">
        <v>722</v>
      </c>
      <c r="B982" s="3" t="str">
        <f ca="1">VLOOKUP($A982,OFFSET([2]characters!$A$1,0,0,COUNTA([2]characters!$A:$A),MATCH(B$1,[2]characters!$1:$1,0)-MATCH($A$1,[2]characters!$1:$1,0)+1),MATCH(B$1,[2]characters!$1:$1,0)-MATCH($A$1,[2]characters!$1:$1,0)+1,FALSE)</f>
        <v>森蘭丸</v>
      </c>
      <c r="C982" s="93">
        <f ca="1">VLOOKUP($A982,OFFSET(fork_awake_units!$A$1,0,0,COUNTA(fork_awake_units!$A:$A),MATCH(C$1,fork_awake_units!$1:$1,0)-MATCH($A$1,fork_awake_units!$1:$1,0)+1),MATCH(C$1,fork_awake_units!$1:$1,0)-MATCH($A$1,fork_awake_units!$1:$1,0)+1,FALSE)</f>
        <v>723</v>
      </c>
      <c r="D982" s="3" t="str">
        <f ca="1">VLOOKUP($C982,OFFSET([2]characters!$A$1,0,0,COUNTA([2]characters!$A:$A),MATCH(D$1,[2]characters!$1:$1,0)-MATCH($A$1,[2]characters!$1:$1,0)+1),MATCH(D$1,[2]characters!$1:$1,0)-MATCH($A$1,[2]characters!$1:$1,0)+1,FALSE)</f>
        <v>萌芽の密心  森蘭丸</v>
      </c>
      <c r="E982" s="66">
        <v>113</v>
      </c>
      <c r="F982" s="3" t="str">
        <f ca="1">VLOOKUP($E982,OFFSET([2]characters!$A$1,0,0,COUNTA([2]characters!$A:$A),MATCH(F$1,[2]characters!$1:$1,0)-MATCH($A$1,[2]characters!$1:$1,0)+1),MATCH(F$1,[2]characters!$1:$1,0)-MATCH($A$1,[2]characters!$1:$1,0)+1,FALSE)</f>
        <v>イエローチェシャ</v>
      </c>
      <c r="G982" s="66">
        <v>1</v>
      </c>
      <c r="H982" s="66">
        <v>1</v>
      </c>
      <c r="I982" s="66">
        <v>1</v>
      </c>
    </row>
    <row r="983" spans="1:9" x14ac:dyDescent="0.15">
      <c r="A983" s="66">
        <v>722</v>
      </c>
      <c r="B983" s="3" t="str">
        <f ca="1">VLOOKUP($A983,OFFSET([2]characters!$A$1,0,0,COUNTA([2]characters!$A:$A),MATCH(B$1,[2]characters!$1:$1,0)-MATCH($A$1,[2]characters!$1:$1,0)+1),MATCH(B$1,[2]characters!$1:$1,0)-MATCH($A$1,[2]characters!$1:$1,0)+1,FALSE)</f>
        <v>森蘭丸</v>
      </c>
      <c r="C983" s="93">
        <f ca="1">VLOOKUP($A983,OFFSET(fork_awake_units!$A$1,0,0,COUNTA(fork_awake_units!$A:$A),MATCH(C$1,fork_awake_units!$1:$1,0)-MATCH($A$1,fork_awake_units!$1:$1,0)+1),MATCH(C$1,fork_awake_units!$1:$1,0)-MATCH($A$1,fork_awake_units!$1:$1,0)+1,FALSE)</f>
        <v>723</v>
      </c>
      <c r="D983" s="3" t="str">
        <f ca="1">VLOOKUP($C983,OFFSET([2]characters!$A$1,0,0,COUNTA([2]characters!$A:$A),MATCH(D$1,[2]characters!$1:$1,0)-MATCH($A$1,[2]characters!$1:$1,0)+1),MATCH(D$1,[2]characters!$1:$1,0)-MATCH($A$1,[2]characters!$1:$1,0)+1,FALSE)</f>
        <v>萌芽の密心  森蘭丸</v>
      </c>
      <c r="E983" s="66">
        <v>114</v>
      </c>
      <c r="F983" s="3" t="str">
        <f ca="1">VLOOKUP($E983,OFFSET([2]characters!$A$1,0,0,COUNTA([2]characters!$A:$A),MATCH(F$1,[2]characters!$1:$1,0)-MATCH($A$1,[2]characters!$1:$1,0)+1),MATCH(F$1,[2]characters!$1:$1,0)-MATCH($A$1,[2]characters!$1:$1,0)+1,FALSE)</f>
        <v>イエローラビット</v>
      </c>
      <c r="G983" s="66">
        <v>2</v>
      </c>
      <c r="H983" s="66">
        <v>1</v>
      </c>
      <c r="I983" s="66">
        <v>1</v>
      </c>
    </row>
    <row r="984" spans="1:9" x14ac:dyDescent="0.15">
      <c r="A984" s="66">
        <v>722</v>
      </c>
      <c r="B984" s="3" t="str">
        <f ca="1">VLOOKUP($A984,OFFSET([2]characters!$A$1,0,0,COUNTA([2]characters!$A:$A),MATCH(B$1,[2]characters!$1:$1,0)-MATCH($A$1,[2]characters!$1:$1,0)+1),MATCH(B$1,[2]characters!$1:$1,0)-MATCH($A$1,[2]characters!$1:$1,0)+1,FALSE)</f>
        <v>森蘭丸</v>
      </c>
      <c r="C984" s="93">
        <f ca="1">VLOOKUP($A984,OFFSET(fork_awake_units!$A$1,0,0,COUNTA(fork_awake_units!$A:$A),MATCH(C$1,fork_awake_units!$1:$1,0)-MATCH($A$1,fork_awake_units!$1:$1,0)+1),MATCH(C$1,fork_awake_units!$1:$1,0)-MATCH($A$1,fork_awake_units!$1:$1,0)+1,FALSE)</f>
        <v>723</v>
      </c>
      <c r="D984" s="3" t="str">
        <f ca="1">VLOOKUP($C984,OFFSET([2]characters!$A$1,0,0,COUNTA([2]characters!$A:$A),MATCH(D$1,[2]characters!$1:$1,0)-MATCH($A$1,[2]characters!$1:$1,0)+1),MATCH(D$1,[2]characters!$1:$1,0)-MATCH($A$1,[2]characters!$1:$1,0)+1,FALSE)</f>
        <v>萌芽の密心  森蘭丸</v>
      </c>
      <c r="E984" s="66">
        <v>115</v>
      </c>
      <c r="F984" s="3" t="str">
        <f ca="1">VLOOKUP($E984,OFFSET([2]characters!$A$1,0,0,COUNTA([2]characters!$A:$A),MATCH(F$1,[2]characters!$1:$1,0)-MATCH($A$1,[2]characters!$1:$1,0)+1),MATCH(F$1,[2]characters!$1:$1,0)-MATCH($A$1,[2]characters!$1:$1,0)+1,FALSE)</f>
        <v>イエローキャタップ</v>
      </c>
      <c r="G984" s="66">
        <v>1</v>
      </c>
      <c r="H984" s="66">
        <v>1</v>
      </c>
      <c r="I984" s="66">
        <v>1</v>
      </c>
    </row>
    <row r="985" spans="1:9" x14ac:dyDescent="0.15">
      <c r="A985" s="66">
        <v>722</v>
      </c>
      <c r="B985" s="3" t="str">
        <f ca="1">VLOOKUP($A985,OFFSET([2]characters!$A$1,0,0,COUNTA([2]characters!$A:$A),MATCH(B$1,[2]characters!$1:$1,0)-MATCH($A$1,[2]characters!$1:$1,0)+1),MATCH(B$1,[2]characters!$1:$1,0)-MATCH($A$1,[2]characters!$1:$1,0)+1,FALSE)</f>
        <v>森蘭丸</v>
      </c>
      <c r="C985" s="93">
        <f ca="1">VLOOKUP($A985,OFFSET(fork_awake_units!$A$1,0,0,COUNTA(fork_awake_units!$A:$A),MATCH(C$1,fork_awake_units!$1:$1,0)-MATCH($A$1,fork_awake_units!$1:$1,0)+1),MATCH(C$1,fork_awake_units!$1:$1,0)-MATCH($A$1,fork_awake_units!$1:$1,0)+1,FALSE)</f>
        <v>723</v>
      </c>
      <c r="D985" s="3" t="str">
        <f ca="1">VLOOKUP($C985,OFFSET([2]characters!$A$1,0,0,COUNTA([2]characters!$A:$A),MATCH(D$1,[2]characters!$1:$1,0)-MATCH($A$1,[2]characters!$1:$1,0)+1),MATCH(D$1,[2]characters!$1:$1,0)-MATCH($A$1,[2]characters!$1:$1,0)+1,FALSE)</f>
        <v>萌芽の密心  森蘭丸</v>
      </c>
      <c r="E985" s="66">
        <v>116</v>
      </c>
      <c r="F985" s="3" t="str">
        <f ca="1">VLOOKUP($E985,OFFSET([2]characters!$A$1,0,0,COUNTA([2]characters!$A:$A),MATCH(F$1,[2]characters!$1:$1,0)-MATCH($A$1,[2]characters!$1:$1,0)+1),MATCH(F$1,[2]characters!$1:$1,0)-MATCH($A$1,[2]characters!$1:$1,0)+1,FALSE)</f>
        <v>雷のマッドハッター</v>
      </c>
      <c r="G985" s="66">
        <v>1</v>
      </c>
      <c r="H985" s="66">
        <v>1</v>
      </c>
      <c r="I985" s="66">
        <v>1</v>
      </c>
    </row>
    <row r="986" spans="1:9" x14ac:dyDescent="0.15">
      <c r="A986" s="66">
        <v>724</v>
      </c>
      <c r="B986" s="3" t="str">
        <f ca="1">VLOOKUP($A986,OFFSET([2]characters!$A$1,0,0,COUNTA([2]characters!$A:$A),MATCH(B$1,[2]characters!$1:$1,0)-MATCH($A$1,[2]characters!$1:$1,0)+1),MATCH(B$1,[2]characters!$1:$1,0)-MATCH($A$1,[2]characters!$1:$1,0)+1,FALSE)</f>
        <v>武田信玄</v>
      </c>
      <c r="C986" s="93">
        <f ca="1">VLOOKUP($A986,OFFSET(fork_awake_units!$A$1,0,0,COUNTA(fork_awake_units!$A:$A),MATCH(C$1,fork_awake_units!$1:$1,0)-MATCH($A$1,fork_awake_units!$1:$1,0)+1),MATCH(C$1,fork_awake_units!$1:$1,0)-MATCH($A$1,fork_awake_units!$1:$1,0)+1,FALSE)</f>
        <v>725</v>
      </c>
      <c r="D986" s="3" t="str">
        <f ca="1">VLOOKUP($C986,OFFSET([2]characters!$A$1,0,0,COUNTA([2]characters!$A:$A),MATCH(D$1,[2]characters!$1:$1,0)-MATCH($A$1,[2]characters!$1:$1,0)+1),MATCH(D$1,[2]characters!$1:$1,0)-MATCH($A$1,[2]characters!$1:$1,0)+1,FALSE)</f>
        <v>泰然の暴虎 武田信玄</v>
      </c>
      <c r="E986" s="66">
        <v>720</v>
      </c>
      <c r="F986" s="3" t="str">
        <f ca="1">VLOOKUP($E986,OFFSET([2]characters!$A$1,0,0,COUNTA([2]characters!$A:$A),MATCH(F$1,[2]characters!$1:$1,0)-MATCH($A$1,[2]characters!$1:$1,0)+1),MATCH(F$1,[2]characters!$1:$1,0)-MATCH($A$1,[2]characters!$1:$1,0)+1,FALSE)</f>
        <v>直江兼続</v>
      </c>
      <c r="G986" s="66">
        <v>1</v>
      </c>
      <c r="H986" s="66">
        <v>3</v>
      </c>
      <c r="I986" s="66">
        <v>1</v>
      </c>
    </row>
    <row r="987" spans="1:9" x14ac:dyDescent="0.15">
      <c r="A987" s="66">
        <v>724</v>
      </c>
      <c r="B987" s="3" t="str">
        <f ca="1">VLOOKUP($A987,OFFSET([2]characters!$A$1,0,0,COUNTA([2]characters!$A:$A),MATCH(B$1,[2]characters!$1:$1,0)-MATCH($A$1,[2]characters!$1:$1,0)+1),MATCH(B$1,[2]characters!$1:$1,0)-MATCH($A$1,[2]characters!$1:$1,0)+1,FALSE)</f>
        <v>武田信玄</v>
      </c>
      <c r="C987" s="93">
        <f ca="1">VLOOKUP($A987,OFFSET(fork_awake_units!$A$1,0,0,COUNTA(fork_awake_units!$A:$A),MATCH(C$1,fork_awake_units!$1:$1,0)-MATCH($A$1,fork_awake_units!$1:$1,0)+1),MATCH(C$1,fork_awake_units!$1:$1,0)-MATCH($A$1,fork_awake_units!$1:$1,0)+1,FALSE)</f>
        <v>725</v>
      </c>
      <c r="D987" s="3" t="str">
        <f ca="1">VLOOKUP($C987,OFFSET([2]characters!$A$1,0,0,COUNTA([2]characters!$A:$A),MATCH(D$1,[2]characters!$1:$1,0)-MATCH($A$1,[2]characters!$1:$1,0)+1),MATCH(D$1,[2]characters!$1:$1,0)-MATCH($A$1,[2]characters!$1:$1,0)+1,FALSE)</f>
        <v>泰然の暴虎 武田信玄</v>
      </c>
      <c r="E987" s="66">
        <v>722</v>
      </c>
      <c r="F987" s="3" t="str">
        <f ca="1">VLOOKUP($E987,OFFSET([2]characters!$A$1,0,0,COUNTA([2]characters!$A:$A),MATCH(F$1,[2]characters!$1:$1,0)-MATCH($A$1,[2]characters!$1:$1,0)+1),MATCH(F$1,[2]characters!$1:$1,0)-MATCH($A$1,[2]characters!$1:$1,0)+1,FALSE)</f>
        <v>森蘭丸</v>
      </c>
      <c r="G987" s="66">
        <v>1</v>
      </c>
      <c r="H987" s="66">
        <v>2</v>
      </c>
      <c r="I987" s="66">
        <v>1</v>
      </c>
    </row>
    <row r="988" spans="1:9" x14ac:dyDescent="0.15">
      <c r="A988" s="66">
        <v>724</v>
      </c>
      <c r="B988" s="3" t="str">
        <f ca="1">VLOOKUP($A988,OFFSET([2]characters!$A$1,0,0,COUNTA([2]characters!$A:$A),MATCH(B$1,[2]characters!$1:$1,0)-MATCH($A$1,[2]characters!$1:$1,0)+1),MATCH(B$1,[2]characters!$1:$1,0)-MATCH($A$1,[2]characters!$1:$1,0)+1,FALSE)</f>
        <v>武田信玄</v>
      </c>
      <c r="C988" s="93">
        <f ca="1">VLOOKUP($A988,OFFSET(fork_awake_units!$A$1,0,0,COUNTA(fork_awake_units!$A:$A),MATCH(C$1,fork_awake_units!$1:$1,0)-MATCH($A$1,fork_awake_units!$1:$1,0)+1),MATCH(C$1,fork_awake_units!$1:$1,0)-MATCH($A$1,fork_awake_units!$1:$1,0)+1,FALSE)</f>
        <v>725</v>
      </c>
      <c r="D988" s="3" t="str">
        <f ca="1">VLOOKUP($C988,OFFSET([2]characters!$A$1,0,0,COUNTA([2]characters!$A:$A),MATCH(D$1,[2]characters!$1:$1,0)-MATCH($A$1,[2]characters!$1:$1,0)+1),MATCH(D$1,[2]characters!$1:$1,0)-MATCH($A$1,[2]characters!$1:$1,0)+1,FALSE)</f>
        <v>泰然の暴虎 武田信玄</v>
      </c>
      <c r="E988" s="66">
        <v>837</v>
      </c>
      <c r="F988" s="3" t="str">
        <f ca="1">VLOOKUP($E988,OFFSET([2]characters!$A$1,0,0,COUNTA([2]characters!$A:$A),MATCH(F$1,[2]characters!$1:$1,0)-MATCH($A$1,[2]characters!$1:$1,0)+1),MATCH(F$1,[2]characters!$1:$1,0)-MATCH($A$1,[2]characters!$1:$1,0)+1,FALSE)</f>
        <v>リトルハンプティ</v>
      </c>
      <c r="G988" s="66">
        <v>1</v>
      </c>
      <c r="H988" s="66">
        <v>1</v>
      </c>
      <c r="I988" s="66">
        <v>1</v>
      </c>
    </row>
    <row r="989" spans="1:9" x14ac:dyDescent="0.15">
      <c r="A989" s="66">
        <v>726</v>
      </c>
      <c r="B989" s="3" t="str">
        <f ca="1">VLOOKUP($A989,OFFSET([2]characters!$A$1,0,0,COUNTA([2]characters!$A:$A),MATCH(B$1,[2]characters!$1:$1,0)-MATCH($A$1,[2]characters!$1:$1,0)+1),MATCH(B$1,[2]characters!$1:$1,0)-MATCH($A$1,[2]characters!$1:$1,0)+1,FALSE)</f>
        <v>織田信長</v>
      </c>
      <c r="C989" s="93">
        <f ca="1">VLOOKUP($A989,OFFSET(fork_awake_units!$A$1,0,0,COUNTA(fork_awake_units!$A:$A),MATCH(C$1,fork_awake_units!$1:$1,0)-MATCH($A$1,fork_awake_units!$1:$1,0)+1),MATCH(C$1,fork_awake_units!$1:$1,0)-MATCH($A$1,fork_awake_units!$1:$1,0)+1,FALSE)</f>
        <v>727</v>
      </c>
      <c r="D989" s="3" t="str">
        <f ca="1">VLOOKUP($C989,OFFSET([2]characters!$A$1,0,0,COUNTA([2]characters!$A:$A),MATCH(D$1,[2]characters!$1:$1,0)-MATCH($A$1,[2]characters!$1:$1,0)+1),MATCH(D$1,[2]characters!$1:$1,0)-MATCH($A$1,[2]characters!$1:$1,0)+1,FALSE)</f>
        <v>真鋭の征服者 織田信長</v>
      </c>
      <c r="E989" s="66">
        <v>642</v>
      </c>
      <c r="F989" s="3" t="str">
        <f ca="1">VLOOKUP($E989,OFFSET([2]characters!$A$1,0,0,COUNTA([2]characters!$A:$A),MATCH(F$1,[2]characters!$1:$1,0)-MATCH($A$1,[2]characters!$1:$1,0)+1),MATCH(F$1,[2]characters!$1:$1,0)-MATCH($A$1,[2]characters!$1:$1,0)+1,FALSE)</f>
        <v>カーマ</v>
      </c>
      <c r="G989" s="66">
        <v>1</v>
      </c>
      <c r="H989" s="66">
        <v>1</v>
      </c>
      <c r="I989" s="66">
        <v>1</v>
      </c>
    </row>
    <row r="990" spans="1:9" x14ac:dyDescent="0.15">
      <c r="A990" s="66">
        <v>726</v>
      </c>
      <c r="B990" s="3" t="str">
        <f ca="1">VLOOKUP($A990,OFFSET([2]characters!$A$1,0,0,COUNTA([2]characters!$A:$A),MATCH(B$1,[2]characters!$1:$1,0)-MATCH($A$1,[2]characters!$1:$1,0)+1),MATCH(B$1,[2]characters!$1:$1,0)-MATCH($A$1,[2]characters!$1:$1,0)+1,FALSE)</f>
        <v>織田信長</v>
      </c>
      <c r="C990" s="93">
        <f ca="1">VLOOKUP($A990,OFFSET(fork_awake_units!$A$1,0,0,COUNTA(fork_awake_units!$A:$A),MATCH(C$1,fork_awake_units!$1:$1,0)-MATCH($A$1,fork_awake_units!$1:$1,0)+1),MATCH(C$1,fork_awake_units!$1:$1,0)-MATCH($A$1,fork_awake_units!$1:$1,0)+1,FALSE)</f>
        <v>727</v>
      </c>
      <c r="D990" s="3" t="str">
        <f ca="1">VLOOKUP($C990,OFFSET([2]characters!$A$1,0,0,COUNTA([2]characters!$A:$A),MATCH(D$1,[2]characters!$1:$1,0)-MATCH($A$1,[2]characters!$1:$1,0)+1),MATCH(D$1,[2]characters!$1:$1,0)-MATCH($A$1,[2]characters!$1:$1,0)+1,FALSE)</f>
        <v>真鋭の征服者 織田信長</v>
      </c>
      <c r="E990" s="66">
        <v>644</v>
      </c>
      <c r="F990" s="3" t="str">
        <f ca="1">VLOOKUP($E990,OFFSET([2]characters!$A$1,0,0,COUNTA([2]characters!$A:$A),MATCH(F$1,[2]characters!$1:$1,0)-MATCH($A$1,[2]characters!$1:$1,0)+1),MATCH(F$1,[2]characters!$1:$1,0)-MATCH($A$1,[2]characters!$1:$1,0)+1,FALSE)</f>
        <v>滑瓢 ショウキ</v>
      </c>
      <c r="G990" s="66">
        <v>1</v>
      </c>
      <c r="H990" s="66">
        <v>1</v>
      </c>
      <c r="I990" s="66">
        <v>1</v>
      </c>
    </row>
    <row r="991" spans="1:9" x14ac:dyDescent="0.15">
      <c r="A991" s="66">
        <v>726</v>
      </c>
      <c r="B991" s="3" t="str">
        <f ca="1">VLOOKUP($A991,OFFSET([2]characters!$A$1,0,0,COUNTA([2]characters!$A:$A),MATCH(B$1,[2]characters!$1:$1,0)-MATCH($A$1,[2]characters!$1:$1,0)+1),MATCH(B$1,[2]characters!$1:$1,0)-MATCH($A$1,[2]characters!$1:$1,0)+1,FALSE)</f>
        <v>織田信長</v>
      </c>
      <c r="C991" s="93">
        <f ca="1">VLOOKUP($A991,OFFSET(fork_awake_units!$A$1,0,0,COUNTA(fork_awake_units!$A:$A),MATCH(C$1,fork_awake_units!$1:$1,0)-MATCH($A$1,fork_awake_units!$1:$1,0)+1),MATCH(C$1,fork_awake_units!$1:$1,0)-MATCH($A$1,fork_awake_units!$1:$1,0)+1,FALSE)</f>
        <v>727</v>
      </c>
      <c r="D991" s="3" t="str">
        <f ca="1">VLOOKUP($C991,OFFSET([2]characters!$A$1,0,0,COUNTA([2]characters!$A:$A),MATCH(D$1,[2]characters!$1:$1,0)-MATCH($A$1,[2]characters!$1:$1,0)+1),MATCH(D$1,[2]characters!$1:$1,0)-MATCH($A$1,[2]characters!$1:$1,0)+1,FALSE)</f>
        <v>真鋭の征服者 織田信長</v>
      </c>
      <c r="E991" s="66">
        <v>654</v>
      </c>
      <c r="F991" s="3" t="str">
        <f ca="1">VLOOKUP($E991,OFFSET([2]characters!$A$1,0,0,COUNTA([2]characters!$A:$A),MATCH(F$1,[2]characters!$1:$1,0)-MATCH($A$1,[2]characters!$1:$1,0)+1),MATCH(F$1,[2]characters!$1:$1,0)-MATCH($A$1,[2]characters!$1:$1,0)+1,FALSE)</f>
        <v>酒呑童子 ヨミ</v>
      </c>
      <c r="G991" s="66">
        <v>1</v>
      </c>
      <c r="H991" s="66">
        <v>1</v>
      </c>
      <c r="I991" s="66">
        <v>1</v>
      </c>
    </row>
    <row r="992" spans="1:9" x14ac:dyDescent="0.15">
      <c r="A992" s="66">
        <v>726</v>
      </c>
      <c r="B992" s="3" t="str">
        <f ca="1">VLOOKUP($A992,OFFSET([2]characters!$A$1,0,0,COUNTA([2]characters!$A:$A),MATCH(B$1,[2]characters!$1:$1,0)-MATCH($A$1,[2]characters!$1:$1,0)+1),MATCH(B$1,[2]characters!$1:$1,0)-MATCH($A$1,[2]characters!$1:$1,0)+1,FALSE)</f>
        <v>織田信長</v>
      </c>
      <c r="C992" s="93">
        <f ca="1">VLOOKUP($A992,OFFSET(fork_awake_units!$A$1,0,0,COUNTA(fork_awake_units!$A:$A),MATCH(C$1,fork_awake_units!$1:$1,0)-MATCH($A$1,fork_awake_units!$1:$1,0)+1),MATCH(C$1,fork_awake_units!$1:$1,0)-MATCH($A$1,fork_awake_units!$1:$1,0)+1,FALSE)</f>
        <v>727</v>
      </c>
      <c r="D992" s="3" t="str">
        <f ca="1">VLOOKUP($C992,OFFSET([2]characters!$A$1,0,0,COUNTA([2]characters!$A:$A),MATCH(D$1,[2]characters!$1:$1,0)-MATCH($A$1,[2]characters!$1:$1,0)+1),MATCH(D$1,[2]characters!$1:$1,0)-MATCH($A$1,[2]characters!$1:$1,0)+1,FALSE)</f>
        <v>真鋭の征服者 織田信長</v>
      </c>
      <c r="E992" s="66">
        <v>656</v>
      </c>
      <c r="F992" s="3" t="str">
        <f ca="1">VLOOKUP($E992,OFFSET([2]characters!$A$1,0,0,COUNTA([2]characters!$A:$A),MATCH(F$1,[2]characters!$1:$1,0)-MATCH($A$1,[2]characters!$1:$1,0)+1),MATCH(F$1,[2]characters!$1:$1,0)-MATCH($A$1,[2]characters!$1:$1,0)+1,FALSE)</f>
        <v>シヴァ</v>
      </c>
      <c r="G992" s="66">
        <v>1</v>
      </c>
      <c r="H992" s="66">
        <v>1</v>
      </c>
      <c r="I992" s="66">
        <v>1</v>
      </c>
    </row>
    <row r="993" spans="1:9" x14ac:dyDescent="0.15">
      <c r="A993" s="66">
        <v>726</v>
      </c>
      <c r="B993" s="3" t="str">
        <f ca="1">VLOOKUP($A993,OFFSET([2]characters!$A$1,0,0,COUNTA([2]characters!$A:$A),MATCH(B$1,[2]characters!$1:$1,0)-MATCH($A$1,[2]characters!$1:$1,0)+1),MATCH(B$1,[2]characters!$1:$1,0)-MATCH($A$1,[2]characters!$1:$1,0)+1,FALSE)</f>
        <v>織田信長</v>
      </c>
      <c r="C993" s="93">
        <f ca="1">VLOOKUP($A993,OFFSET(fork_awake_units!$A$1,0,0,COUNTA(fork_awake_units!$A:$A),MATCH(C$1,fork_awake_units!$1:$1,0)-MATCH($A$1,fork_awake_units!$1:$1,0)+1),MATCH(C$1,fork_awake_units!$1:$1,0)-MATCH($A$1,fork_awake_units!$1:$1,0)+1,FALSE)</f>
        <v>727</v>
      </c>
      <c r="D993" s="3" t="str">
        <f ca="1">VLOOKUP($C993,OFFSET([2]characters!$A$1,0,0,COUNTA([2]characters!$A:$A),MATCH(D$1,[2]characters!$1:$1,0)-MATCH($A$1,[2]characters!$1:$1,0)+1),MATCH(D$1,[2]characters!$1:$1,0)-MATCH($A$1,[2]characters!$1:$1,0)+1,FALSE)</f>
        <v>真鋭の征服者 織田信長</v>
      </c>
      <c r="E993" s="66">
        <v>837</v>
      </c>
      <c r="F993" s="3" t="str">
        <f ca="1">VLOOKUP($E993,OFFSET([2]characters!$A$1,0,0,COUNTA([2]characters!$A:$A),MATCH(F$1,[2]characters!$1:$1,0)-MATCH($A$1,[2]characters!$1:$1,0)+1),MATCH(F$1,[2]characters!$1:$1,0)-MATCH($A$1,[2]characters!$1:$1,0)+1,FALSE)</f>
        <v>リトルハンプティ</v>
      </c>
      <c r="G993" s="66">
        <v>1</v>
      </c>
      <c r="H993" s="66">
        <v>1</v>
      </c>
      <c r="I993" s="66">
        <v>1</v>
      </c>
    </row>
    <row r="994" spans="1:9" x14ac:dyDescent="0.15">
      <c r="A994" s="66">
        <v>728</v>
      </c>
      <c r="B994" s="3" t="str">
        <f ca="1">VLOOKUP($A994,OFFSET([2]characters!$A$1,0,0,COUNTA([2]characters!$A:$A),MATCH(B$1,[2]characters!$1:$1,0)-MATCH($A$1,[2]characters!$1:$1,0)+1),MATCH(B$1,[2]characters!$1:$1,0)-MATCH($A$1,[2]characters!$1:$1,0)+1,FALSE)</f>
        <v>井伊直虎</v>
      </c>
      <c r="C994" s="93">
        <f ca="1">VLOOKUP($A994,OFFSET(fork_awake_units!$A$1,0,0,COUNTA(fork_awake_units!$A:$A),MATCH(C$1,fork_awake_units!$1:$1,0)-MATCH($A$1,fork_awake_units!$1:$1,0)+1),MATCH(C$1,fork_awake_units!$1:$1,0)-MATCH($A$1,fork_awake_units!$1:$1,0)+1,FALSE)</f>
        <v>729</v>
      </c>
      <c r="D994" s="3" t="str">
        <f ca="1">VLOOKUP($C994,OFFSET([2]characters!$A$1,0,0,COUNTA([2]characters!$A:$A),MATCH(D$1,[2]characters!$1:$1,0)-MATCH($A$1,[2]characters!$1:$1,0)+1),MATCH(D$1,[2]characters!$1:$1,0)-MATCH($A$1,[2]characters!$1:$1,0)+1,FALSE)</f>
        <v>暗厄の双刀 井伊直虎</v>
      </c>
      <c r="E994" s="66">
        <v>102</v>
      </c>
      <c r="F994" s="3" t="str">
        <f ca="1">VLOOKUP($E994,OFFSET([2]characters!$A$1,0,0,COUNTA([2]characters!$A:$A),MATCH(F$1,[2]characters!$1:$1,0)-MATCH($A$1,[2]characters!$1:$1,0)+1),MATCH(F$1,[2]characters!$1:$1,0)-MATCH($A$1,[2]characters!$1:$1,0)+1,FALSE)</f>
        <v>レッドラビット</v>
      </c>
      <c r="G994" s="66">
        <v>1</v>
      </c>
      <c r="H994" s="66">
        <v>1</v>
      </c>
      <c r="I994" s="66">
        <v>1</v>
      </c>
    </row>
    <row r="995" spans="1:9" x14ac:dyDescent="0.15">
      <c r="A995" s="66">
        <v>728</v>
      </c>
      <c r="B995" s="3" t="str">
        <f ca="1">VLOOKUP($A995,OFFSET([2]characters!$A$1,0,0,COUNTA([2]characters!$A:$A),MATCH(B$1,[2]characters!$1:$1,0)-MATCH($A$1,[2]characters!$1:$1,0)+1),MATCH(B$1,[2]characters!$1:$1,0)-MATCH($A$1,[2]characters!$1:$1,0)+1,FALSE)</f>
        <v>井伊直虎</v>
      </c>
      <c r="C995" s="93">
        <f ca="1">VLOOKUP($A995,OFFSET(fork_awake_units!$A$1,0,0,COUNTA(fork_awake_units!$A:$A),MATCH(C$1,fork_awake_units!$1:$1,0)-MATCH($A$1,fork_awake_units!$1:$1,0)+1),MATCH(C$1,fork_awake_units!$1:$1,0)-MATCH($A$1,fork_awake_units!$1:$1,0)+1,FALSE)</f>
        <v>729</v>
      </c>
      <c r="D995" s="3" t="str">
        <f ca="1">VLOOKUP($C995,OFFSET([2]characters!$A$1,0,0,COUNTA([2]characters!$A:$A),MATCH(D$1,[2]characters!$1:$1,0)-MATCH($A$1,[2]characters!$1:$1,0)+1),MATCH(D$1,[2]characters!$1:$1,0)-MATCH($A$1,[2]characters!$1:$1,0)+1,FALSE)</f>
        <v>暗厄の双刀 井伊直虎</v>
      </c>
      <c r="E995" s="66">
        <v>103</v>
      </c>
      <c r="F995" s="3" t="str">
        <f ca="1">VLOOKUP($E995,OFFSET([2]characters!$A$1,0,0,COUNTA([2]characters!$A:$A),MATCH(F$1,[2]characters!$1:$1,0)-MATCH($A$1,[2]characters!$1:$1,0)+1),MATCH(F$1,[2]characters!$1:$1,0)-MATCH($A$1,[2]characters!$1:$1,0)+1,FALSE)</f>
        <v>レッドキャタップ</v>
      </c>
      <c r="G995" s="66">
        <v>2</v>
      </c>
      <c r="H995" s="66">
        <v>1</v>
      </c>
      <c r="I995" s="66">
        <v>1</v>
      </c>
    </row>
    <row r="996" spans="1:9" x14ac:dyDescent="0.15">
      <c r="A996" s="66">
        <v>728</v>
      </c>
      <c r="B996" s="3" t="str">
        <f ca="1">VLOOKUP($A996,OFFSET([2]characters!$A$1,0,0,COUNTA([2]characters!$A:$A),MATCH(B$1,[2]characters!$1:$1,0)-MATCH($A$1,[2]characters!$1:$1,0)+1),MATCH(B$1,[2]characters!$1:$1,0)-MATCH($A$1,[2]characters!$1:$1,0)+1,FALSE)</f>
        <v>井伊直虎</v>
      </c>
      <c r="C996" s="93">
        <f ca="1">VLOOKUP($A996,OFFSET(fork_awake_units!$A$1,0,0,COUNTA(fork_awake_units!$A:$A),MATCH(C$1,fork_awake_units!$1:$1,0)-MATCH($A$1,fork_awake_units!$1:$1,0)+1),MATCH(C$1,fork_awake_units!$1:$1,0)-MATCH($A$1,fork_awake_units!$1:$1,0)+1,FALSE)</f>
        <v>729</v>
      </c>
      <c r="D996" s="3" t="str">
        <f ca="1">VLOOKUP($C996,OFFSET([2]characters!$A$1,0,0,COUNTA([2]characters!$A:$A),MATCH(D$1,[2]characters!$1:$1,0)-MATCH($A$1,[2]characters!$1:$1,0)+1),MATCH(D$1,[2]characters!$1:$1,0)-MATCH($A$1,[2]characters!$1:$1,0)+1,FALSE)</f>
        <v>暗厄の双刀 井伊直虎</v>
      </c>
      <c r="E996" s="66">
        <v>104</v>
      </c>
      <c r="F996" s="3" t="str">
        <f ca="1">VLOOKUP($E996,OFFSET([2]characters!$A$1,0,0,COUNTA([2]characters!$A:$A),MATCH(F$1,[2]characters!$1:$1,0)-MATCH($A$1,[2]characters!$1:$1,0)+1),MATCH(F$1,[2]characters!$1:$1,0)-MATCH($A$1,[2]characters!$1:$1,0)+1,FALSE)</f>
        <v>炎のマッドハッター</v>
      </c>
      <c r="G996" s="66">
        <v>2</v>
      </c>
      <c r="H996" s="66">
        <v>1</v>
      </c>
      <c r="I996" s="66">
        <v>1</v>
      </c>
    </row>
    <row r="997" spans="1:9" x14ac:dyDescent="0.15">
      <c r="A997" s="66">
        <v>730</v>
      </c>
      <c r="B997" s="3" t="str">
        <f ca="1">VLOOKUP($A997,OFFSET([2]characters!$A$1,0,0,COUNTA([2]characters!$A:$A),MATCH(B$1,[2]characters!$1:$1,0)-MATCH($A$1,[2]characters!$1:$1,0)+1),MATCH(B$1,[2]characters!$1:$1,0)-MATCH($A$1,[2]characters!$1:$1,0)+1,FALSE)</f>
        <v>ガラシャ</v>
      </c>
      <c r="C997" s="93">
        <f ca="1">VLOOKUP($A997,OFFSET(fork_awake_units!$A$1,0,0,COUNTA(fork_awake_units!$A:$A),MATCH(C$1,fork_awake_units!$1:$1,0)-MATCH($A$1,fork_awake_units!$1:$1,0)+1),MATCH(C$1,fork_awake_units!$1:$1,0)-MATCH($A$1,fork_awake_units!$1:$1,0)+1,FALSE)</f>
        <v>731</v>
      </c>
      <c r="D997" s="3" t="str">
        <f ca="1">VLOOKUP($C997,OFFSET([2]characters!$A$1,0,0,COUNTA([2]characters!$A:$A),MATCH(D$1,[2]characters!$1:$1,0)-MATCH($A$1,[2]characters!$1:$1,0)+1),MATCH(D$1,[2]characters!$1:$1,0)-MATCH($A$1,[2]characters!$1:$1,0)+1,FALSE)</f>
        <v>敬虔なる追銃 ガラシャ</v>
      </c>
      <c r="E997" s="66">
        <v>106</v>
      </c>
      <c r="F997" s="3" t="str">
        <f ca="1">VLOOKUP($E997,OFFSET([2]characters!$A$1,0,0,COUNTA([2]characters!$A:$A),MATCH(F$1,[2]characters!$1:$1,0)-MATCH($A$1,[2]characters!$1:$1,0)+1),MATCH(F$1,[2]characters!$1:$1,0)-MATCH($A$1,[2]characters!$1:$1,0)+1,FALSE)</f>
        <v>グリーンラビット</v>
      </c>
      <c r="G997" s="66">
        <v>1</v>
      </c>
      <c r="H997" s="66">
        <v>1</v>
      </c>
      <c r="I997" s="66">
        <v>1</v>
      </c>
    </row>
    <row r="998" spans="1:9" x14ac:dyDescent="0.15">
      <c r="A998" s="66">
        <v>730</v>
      </c>
      <c r="B998" s="3" t="str">
        <f ca="1">VLOOKUP($A998,OFFSET([2]characters!$A$1,0,0,COUNTA([2]characters!$A:$A),MATCH(B$1,[2]characters!$1:$1,0)-MATCH($A$1,[2]characters!$1:$1,0)+1),MATCH(B$1,[2]characters!$1:$1,0)-MATCH($A$1,[2]characters!$1:$1,0)+1,FALSE)</f>
        <v>ガラシャ</v>
      </c>
      <c r="C998" s="93">
        <f ca="1">VLOOKUP($A998,OFFSET(fork_awake_units!$A$1,0,0,COUNTA(fork_awake_units!$A:$A),MATCH(C$1,fork_awake_units!$1:$1,0)-MATCH($A$1,fork_awake_units!$1:$1,0)+1),MATCH(C$1,fork_awake_units!$1:$1,0)-MATCH($A$1,fork_awake_units!$1:$1,0)+1,FALSE)</f>
        <v>731</v>
      </c>
      <c r="D998" s="3" t="str">
        <f ca="1">VLOOKUP($C998,OFFSET([2]characters!$A$1,0,0,COUNTA([2]characters!$A:$A),MATCH(D$1,[2]characters!$1:$1,0)-MATCH($A$1,[2]characters!$1:$1,0)+1),MATCH(D$1,[2]characters!$1:$1,0)-MATCH($A$1,[2]characters!$1:$1,0)+1,FALSE)</f>
        <v>敬虔なる追銃 ガラシャ</v>
      </c>
      <c r="E998" s="66">
        <v>107</v>
      </c>
      <c r="F998" s="3" t="str">
        <f ca="1">VLOOKUP($E998,OFFSET([2]characters!$A$1,0,0,COUNTA([2]characters!$A:$A),MATCH(F$1,[2]characters!$1:$1,0)-MATCH($A$1,[2]characters!$1:$1,0)+1),MATCH(F$1,[2]characters!$1:$1,0)-MATCH($A$1,[2]characters!$1:$1,0)+1,FALSE)</f>
        <v>グリーンキャタップ</v>
      </c>
      <c r="G998" s="66">
        <v>2</v>
      </c>
      <c r="H998" s="66">
        <v>1</v>
      </c>
      <c r="I998" s="66">
        <v>1</v>
      </c>
    </row>
    <row r="999" spans="1:9" x14ac:dyDescent="0.15">
      <c r="A999" s="66">
        <v>730</v>
      </c>
      <c r="B999" s="3" t="str">
        <f ca="1">VLOOKUP($A999,OFFSET([2]characters!$A$1,0,0,COUNTA([2]characters!$A:$A),MATCH(B$1,[2]characters!$1:$1,0)-MATCH($A$1,[2]characters!$1:$1,0)+1),MATCH(B$1,[2]characters!$1:$1,0)-MATCH($A$1,[2]characters!$1:$1,0)+1,FALSE)</f>
        <v>ガラシャ</v>
      </c>
      <c r="C999" s="93">
        <f ca="1">VLOOKUP($A999,OFFSET(fork_awake_units!$A$1,0,0,COUNTA(fork_awake_units!$A:$A),MATCH(C$1,fork_awake_units!$1:$1,0)-MATCH($A$1,fork_awake_units!$1:$1,0)+1),MATCH(C$1,fork_awake_units!$1:$1,0)-MATCH($A$1,fork_awake_units!$1:$1,0)+1,FALSE)</f>
        <v>731</v>
      </c>
      <c r="D999" s="3" t="str">
        <f ca="1">VLOOKUP($C999,OFFSET([2]characters!$A$1,0,0,COUNTA([2]characters!$A:$A),MATCH(D$1,[2]characters!$1:$1,0)-MATCH($A$1,[2]characters!$1:$1,0)+1),MATCH(D$1,[2]characters!$1:$1,0)-MATCH($A$1,[2]characters!$1:$1,0)+1,FALSE)</f>
        <v>敬虔なる追銃 ガラシャ</v>
      </c>
      <c r="E999" s="66">
        <v>108</v>
      </c>
      <c r="F999" s="3" t="str">
        <f ca="1">VLOOKUP($E999,OFFSET([2]characters!$A$1,0,0,COUNTA([2]characters!$A:$A),MATCH(F$1,[2]characters!$1:$1,0)-MATCH($A$1,[2]characters!$1:$1,0)+1),MATCH(F$1,[2]characters!$1:$1,0)-MATCH($A$1,[2]characters!$1:$1,0)+1,FALSE)</f>
        <v>森のマッドハッター</v>
      </c>
      <c r="G999" s="66">
        <v>2</v>
      </c>
      <c r="H999" s="66">
        <v>1</v>
      </c>
      <c r="I999" s="66">
        <v>1</v>
      </c>
    </row>
    <row r="1000" spans="1:9" x14ac:dyDescent="0.15">
      <c r="A1000" s="66">
        <v>732</v>
      </c>
      <c r="B1000" s="3" t="str">
        <f ca="1">VLOOKUP($A1000,OFFSET([2]characters!$A$1,0,0,COUNTA([2]characters!$A:$A),MATCH(B$1,[2]characters!$1:$1,0)-MATCH($A$1,[2]characters!$1:$1,0)+1),MATCH(B$1,[2]characters!$1:$1,0)-MATCH($A$1,[2]characters!$1:$1,0)+1,FALSE)</f>
        <v>上杉謙信</v>
      </c>
      <c r="C1000" s="93">
        <f ca="1">VLOOKUP($A1000,OFFSET(fork_awake_units!$A$1,0,0,COUNTA(fork_awake_units!$A:$A),MATCH(C$1,fork_awake_units!$1:$1,0)-MATCH($A$1,fork_awake_units!$1:$1,0)+1),MATCH(C$1,fork_awake_units!$1:$1,0)-MATCH($A$1,fork_awake_units!$1:$1,0)+1,FALSE)</f>
        <v>733</v>
      </c>
      <c r="D1000" s="3" t="str">
        <f ca="1">VLOOKUP($C1000,OFFSET([2]characters!$A$1,0,0,COUNTA([2]characters!$A:$A),MATCH(D$1,[2]characters!$1:$1,0)-MATCH($A$1,[2]characters!$1:$1,0)+1),MATCH(D$1,[2]characters!$1:$1,0)-MATCH($A$1,[2]characters!$1:$1,0)+1,FALSE)</f>
        <v>夢幻の千刃 上杉謙信</v>
      </c>
      <c r="E1000" s="66">
        <v>111</v>
      </c>
      <c r="F1000" s="3" t="str">
        <f ca="1">VLOOKUP($E1000,OFFSET([2]characters!$A$1,0,0,COUNTA([2]characters!$A:$A),MATCH(F$1,[2]characters!$1:$1,0)-MATCH($A$1,[2]characters!$1:$1,0)+1),MATCH(F$1,[2]characters!$1:$1,0)-MATCH($A$1,[2]characters!$1:$1,0)+1,FALSE)</f>
        <v>ブルーキャタップ</v>
      </c>
      <c r="G1000" s="66">
        <v>1</v>
      </c>
      <c r="H1000" s="66">
        <v>1</v>
      </c>
      <c r="I1000" s="66">
        <v>1</v>
      </c>
    </row>
    <row r="1001" spans="1:9" x14ac:dyDescent="0.15">
      <c r="A1001" s="66">
        <v>732</v>
      </c>
      <c r="B1001" s="3" t="str">
        <f ca="1">VLOOKUP($A1001,OFFSET([2]characters!$A$1,0,0,COUNTA([2]characters!$A:$A),MATCH(B$1,[2]characters!$1:$1,0)-MATCH($A$1,[2]characters!$1:$1,0)+1),MATCH(B$1,[2]characters!$1:$1,0)-MATCH($A$1,[2]characters!$1:$1,0)+1,FALSE)</f>
        <v>上杉謙信</v>
      </c>
      <c r="C1001" s="93">
        <f ca="1">VLOOKUP($A1001,OFFSET(fork_awake_units!$A$1,0,0,COUNTA(fork_awake_units!$A:$A),MATCH(C$1,fork_awake_units!$1:$1,0)-MATCH($A$1,fork_awake_units!$1:$1,0)+1),MATCH(C$1,fork_awake_units!$1:$1,0)-MATCH($A$1,fork_awake_units!$1:$1,0)+1,FALSE)</f>
        <v>733</v>
      </c>
      <c r="D1001" s="3" t="str">
        <f ca="1">VLOOKUP($C1001,OFFSET([2]characters!$A$1,0,0,COUNTA([2]characters!$A:$A),MATCH(D$1,[2]characters!$1:$1,0)-MATCH($A$1,[2]characters!$1:$1,0)+1),MATCH(D$1,[2]characters!$1:$1,0)-MATCH($A$1,[2]characters!$1:$1,0)+1,FALSE)</f>
        <v>夢幻の千刃 上杉謙信</v>
      </c>
      <c r="E1001" s="66">
        <v>112</v>
      </c>
      <c r="F1001" s="3" t="str">
        <f ca="1">VLOOKUP($E1001,OFFSET([2]characters!$A$1,0,0,COUNTA([2]characters!$A:$A),MATCH(F$1,[2]characters!$1:$1,0)-MATCH($A$1,[2]characters!$1:$1,0)+1),MATCH(F$1,[2]characters!$1:$1,0)-MATCH($A$1,[2]characters!$1:$1,0)+1,FALSE)</f>
        <v>水のマッドハッター</v>
      </c>
      <c r="G1001" s="66">
        <v>1</v>
      </c>
      <c r="H1001" s="66">
        <v>1</v>
      </c>
      <c r="I1001" s="66">
        <v>1</v>
      </c>
    </row>
    <row r="1002" spans="1:9" x14ac:dyDescent="0.15">
      <c r="A1002" s="66">
        <v>732</v>
      </c>
      <c r="B1002" s="3" t="str">
        <f ca="1">VLOOKUP($A1002,OFFSET([2]characters!$A$1,0,0,COUNTA([2]characters!$A:$A),MATCH(B$1,[2]characters!$1:$1,0)-MATCH($A$1,[2]characters!$1:$1,0)+1),MATCH(B$1,[2]characters!$1:$1,0)-MATCH($A$1,[2]characters!$1:$1,0)+1,FALSE)</f>
        <v>上杉謙信</v>
      </c>
      <c r="C1002" s="93">
        <f ca="1">VLOOKUP($A1002,OFFSET(fork_awake_units!$A$1,0,0,COUNTA(fork_awake_units!$A:$A),MATCH(C$1,fork_awake_units!$1:$1,0)-MATCH($A$1,fork_awake_units!$1:$1,0)+1),MATCH(C$1,fork_awake_units!$1:$1,0)-MATCH($A$1,fork_awake_units!$1:$1,0)+1,FALSE)</f>
        <v>733</v>
      </c>
      <c r="D1002" s="3" t="str">
        <f ca="1">VLOOKUP($C1002,OFFSET([2]characters!$A$1,0,0,COUNTA([2]characters!$A:$A),MATCH(D$1,[2]characters!$1:$1,0)-MATCH($A$1,[2]characters!$1:$1,0)+1),MATCH(D$1,[2]characters!$1:$1,0)-MATCH($A$1,[2]characters!$1:$1,0)+1,FALSE)</f>
        <v>夢幻の千刃 上杉謙信</v>
      </c>
      <c r="E1002" s="66">
        <v>292</v>
      </c>
      <c r="F1002" s="3" t="str">
        <f ca="1">VLOOKUP($E1002,OFFSET([2]characters!$A$1,0,0,COUNTA([2]characters!$A:$A),MATCH(F$1,[2]characters!$1:$1,0)-MATCH($A$1,[2]characters!$1:$1,0)+1),MATCH(F$1,[2]characters!$1:$1,0)-MATCH($A$1,[2]characters!$1:$1,0)+1,FALSE)</f>
        <v>アナスタシア</v>
      </c>
      <c r="G1002" s="66">
        <v>1</v>
      </c>
      <c r="H1002" s="66">
        <v>1</v>
      </c>
      <c r="I1002" s="66">
        <v>1</v>
      </c>
    </row>
    <row r="1003" spans="1:9" x14ac:dyDescent="0.15">
      <c r="A1003" s="66">
        <v>732</v>
      </c>
      <c r="B1003" s="3" t="str">
        <f ca="1">VLOOKUP($A1003,OFFSET([2]characters!$A$1,0,0,COUNTA([2]characters!$A:$A),MATCH(B$1,[2]characters!$1:$1,0)-MATCH($A$1,[2]characters!$1:$1,0)+1),MATCH(B$1,[2]characters!$1:$1,0)-MATCH($A$1,[2]characters!$1:$1,0)+1,FALSE)</f>
        <v>上杉謙信</v>
      </c>
      <c r="C1003" s="93">
        <f ca="1">VLOOKUP($A1003,OFFSET(fork_awake_units!$A$1,0,0,COUNTA(fork_awake_units!$A:$A),MATCH(C$1,fork_awake_units!$1:$1,0)-MATCH($A$1,fork_awake_units!$1:$1,0)+1),MATCH(C$1,fork_awake_units!$1:$1,0)-MATCH($A$1,fork_awake_units!$1:$1,0)+1,FALSE)</f>
        <v>733</v>
      </c>
      <c r="D1003" s="3" t="str">
        <f ca="1">VLOOKUP($C1003,OFFSET([2]characters!$A$1,0,0,COUNTA([2]characters!$A:$A),MATCH(D$1,[2]characters!$1:$1,0)-MATCH($A$1,[2]characters!$1:$1,0)+1),MATCH(D$1,[2]characters!$1:$1,0)-MATCH($A$1,[2]characters!$1:$1,0)+1,FALSE)</f>
        <v>夢幻の千刃 上杉謙信</v>
      </c>
      <c r="E1003" s="66">
        <v>720</v>
      </c>
      <c r="F1003" s="3" t="str">
        <f ca="1">VLOOKUP($E1003,OFFSET([2]characters!$A$1,0,0,COUNTA([2]characters!$A:$A),MATCH(F$1,[2]characters!$1:$1,0)-MATCH($A$1,[2]characters!$1:$1,0)+1),MATCH(F$1,[2]characters!$1:$1,0)-MATCH($A$1,[2]characters!$1:$1,0)+1,FALSE)</f>
        <v>直江兼続</v>
      </c>
      <c r="G1003" s="66">
        <v>1</v>
      </c>
      <c r="H1003" s="66">
        <v>1</v>
      </c>
      <c r="I1003" s="66">
        <v>1</v>
      </c>
    </row>
    <row r="1004" spans="1:9" x14ac:dyDescent="0.15">
      <c r="A1004" s="66">
        <v>732</v>
      </c>
      <c r="B1004" s="3" t="str">
        <f ca="1">VLOOKUP($A1004,OFFSET([2]characters!$A$1,0,0,COUNTA([2]characters!$A:$A),MATCH(B$1,[2]characters!$1:$1,0)-MATCH($A$1,[2]characters!$1:$1,0)+1),MATCH(B$1,[2]characters!$1:$1,0)-MATCH($A$1,[2]characters!$1:$1,0)+1,FALSE)</f>
        <v>上杉謙信</v>
      </c>
      <c r="C1004" s="93">
        <f ca="1">VLOOKUP($A1004,OFFSET(fork_awake_units!$A$1,0,0,COUNTA(fork_awake_units!$A:$A),MATCH(C$1,fork_awake_units!$1:$1,0)-MATCH($A$1,fork_awake_units!$1:$1,0)+1),MATCH(C$1,fork_awake_units!$1:$1,0)-MATCH($A$1,fork_awake_units!$1:$1,0)+1,FALSE)</f>
        <v>733</v>
      </c>
      <c r="D1004" s="3" t="str">
        <f ca="1">VLOOKUP($C1004,OFFSET([2]characters!$A$1,0,0,COUNTA([2]characters!$A:$A),MATCH(D$1,[2]characters!$1:$1,0)-MATCH($A$1,[2]characters!$1:$1,0)+1),MATCH(D$1,[2]characters!$1:$1,0)-MATCH($A$1,[2]characters!$1:$1,0)+1,FALSE)</f>
        <v>夢幻の千刃 上杉謙信</v>
      </c>
      <c r="E1004" s="66">
        <v>837</v>
      </c>
      <c r="F1004" s="3" t="str">
        <f ca="1">VLOOKUP($E1004,OFFSET([2]characters!$A$1,0,0,COUNTA([2]characters!$A:$A),MATCH(F$1,[2]characters!$1:$1,0)-MATCH($A$1,[2]characters!$1:$1,0)+1),MATCH(F$1,[2]characters!$1:$1,0)-MATCH($A$1,[2]characters!$1:$1,0)+1,FALSE)</f>
        <v>リトルハンプティ</v>
      </c>
      <c r="G1004" s="66">
        <v>1</v>
      </c>
      <c r="H1004" s="66">
        <v>1</v>
      </c>
      <c r="I1004" s="66">
        <v>1</v>
      </c>
    </row>
    <row r="1005" spans="1:9" x14ac:dyDescent="0.15">
      <c r="A1005" s="66">
        <v>734</v>
      </c>
      <c r="B1005" s="3" t="str">
        <f ca="1">VLOOKUP($A1005,OFFSET([2]characters!$A$1,0,0,COUNTA([2]characters!$A:$A),MATCH(B$1,[2]characters!$1:$1,0)-MATCH($A$1,[2]characters!$1:$1,0)+1),MATCH(B$1,[2]characters!$1:$1,0)-MATCH($A$1,[2]characters!$1:$1,0)+1,FALSE)</f>
        <v>伊達政宗</v>
      </c>
      <c r="C1005" s="93">
        <f ca="1">VLOOKUP($A1005,OFFSET(fork_awake_units!$A$1,0,0,COUNTA(fork_awake_units!$A:$A),MATCH(C$1,fork_awake_units!$1:$1,0)-MATCH($A$1,fork_awake_units!$1:$1,0)+1),MATCH(C$1,fork_awake_units!$1:$1,0)-MATCH($A$1,fork_awake_units!$1:$1,0)+1,FALSE)</f>
        <v>735</v>
      </c>
      <c r="D1005" s="3" t="str">
        <f ca="1">VLOOKUP($C1005,OFFSET([2]characters!$A$1,0,0,COUNTA([2]characters!$A:$A),MATCH(D$1,[2]characters!$1:$1,0)-MATCH($A$1,[2]characters!$1:$1,0)+1),MATCH(D$1,[2]characters!$1:$1,0)-MATCH($A$1,[2]characters!$1:$1,0)+1,FALSE)</f>
        <v>破天の隻眼 伊達政宗</v>
      </c>
      <c r="E1005" s="66">
        <v>115</v>
      </c>
      <c r="F1005" s="3" t="str">
        <f ca="1">VLOOKUP($E1005,OFFSET([2]characters!$A$1,0,0,COUNTA([2]characters!$A:$A),MATCH(F$1,[2]characters!$1:$1,0)-MATCH($A$1,[2]characters!$1:$1,0)+1),MATCH(F$1,[2]characters!$1:$1,0)-MATCH($A$1,[2]characters!$1:$1,0)+1,FALSE)</f>
        <v>イエローキャタップ</v>
      </c>
      <c r="G1005" s="66">
        <v>1</v>
      </c>
      <c r="H1005" s="66">
        <v>1</v>
      </c>
      <c r="I1005" s="66">
        <v>1</v>
      </c>
    </row>
    <row r="1006" spans="1:9" x14ac:dyDescent="0.15">
      <c r="A1006" s="66">
        <v>734</v>
      </c>
      <c r="B1006" s="3" t="str">
        <f ca="1">VLOOKUP($A1006,OFFSET([2]characters!$A$1,0,0,COUNTA([2]characters!$A:$A),MATCH(B$1,[2]characters!$1:$1,0)-MATCH($A$1,[2]characters!$1:$1,0)+1),MATCH(B$1,[2]characters!$1:$1,0)-MATCH($A$1,[2]characters!$1:$1,0)+1,FALSE)</f>
        <v>伊達政宗</v>
      </c>
      <c r="C1006" s="93">
        <f ca="1">VLOOKUP($A1006,OFFSET(fork_awake_units!$A$1,0,0,COUNTA(fork_awake_units!$A:$A),MATCH(C$1,fork_awake_units!$1:$1,0)-MATCH($A$1,fork_awake_units!$1:$1,0)+1),MATCH(C$1,fork_awake_units!$1:$1,0)-MATCH($A$1,fork_awake_units!$1:$1,0)+1,FALSE)</f>
        <v>735</v>
      </c>
      <c r="D1006" s="3" t="str">
        <f ca="1">VLOOKUP($C1006,OFFSET([2]characters!$A$1,0,0,COUNTA([2]characters!$A:$A),MATCH(D$1,[2]characters!$1:$1,0)-MATCH($A$1,[2]characters!$1:$1,0)+1),MATCH(D$1,[2]characters!$1:$1,0)-MATCH($A$1,[2]characters!$1:$1,0)+1,FALSE)</f>
        <v>破天の隻眼 伊達政宗</v>
      </c>
      <c r="E1006" s="66">
        <v>116</v>
      </c>
      <c r="F1006" s="3" t="str">
        <f ca="1">VLOOKUP($E1006,OFFSET([2]characters!$A$1,0,0,COUNTA([2]characters!$A:$A),MATCH(F$1,[2]characters!$1:$1,0)-MATCH($A$1,[2]characters!$1:$1,0)+1),MATCH(F$1,[2]characters!$1:$1,0)-MATCH($A$1,[2]characters!$1:$1,0)+1,FALSE)</f>
        <v>雷のマッドハッター</v>
      </c>
      <c r="G1006" s="66">
        <v>1</v>
      </c>
      <c r="H1006" s="66">
        <v>1</v>
      </c>
      <c r="I1006" s="66">
        <v>1</v>
      </c>
    </row>
    <row r="1007" spans="1:9" x14ac:dyDescent="0.15">
      <c r="A1007" s="66">
        <v>734</v>
      </c>
      <c r="B1007" s="3" t="str">
        <f ca="1">VLOOKUP($A1007,OFFSET([2]characters!$A$1,0,0,COUNTA([2]characters!$A:$A),MATCH(B$1,[2]characters!$1:$1,0)-MATCH($A$1,[2]characters!$1:$1,0)+1),MATCH(B$1,[2]characters!$1:$1,0)-MATCH($A$1,[2]characters!$1:$1,0)+1,FALSE)</f>
        <v>伊達政宗</v>
      </c>
      <c r="C1007" s="93">
        <f ca="1">VLOOKUP($A1007,OFFSET(fork_awake_units!$A$1,0,0,COUNTA(fork_awake_units!$A:$A),MATCH(C$1,fork_awake_units!$1:$1,0)-MATCH($A$1,fork_awake_units!$1:$1,0)+1),MATCH(C$1,fork_awake_units!$1:$1,0)-MATCH($A$1,fork_awake_units!$1:$1,0)+1,FALSE)</f>
        <v>735</v>
      </c>
      <c r="D1007" s="3" t="str">
        <f ca="1">VLOOKUP($C1007,OFFSET([2]characters!$A$1,0,0,COUNTA([2]characters!$A:$A),MATCH(D$1,[2]characters!$1:$1,0)-MATCH($A$1,[2]characters!$1:$1,0)+1),MATCH(D$1,[2]characters!$1:$1,0)-MATCH($A$1,[2]characters!$1:$1,0)+1,FALSE)</f>
        <v>破天の隻眼 伊達政宗</v>
      </c>
      <c r="E1007" s="66">
        <v>268</v>
      </c>
      <c r="F1007" s="3" t="str">
        <f ca="1">VLOOKUP($E1007,OFFSET([2]characters!$A$1,0,0,COUNTA([2]characters!$A:$A),MATCH(F$1,[2]characters!$1:$1,0)-MATCH($A$1,[2]characters!$1:$1,0)+1),MATCH(F$1,[2]characters!$1:$1,0)-MATCH($A$1,[2]characters!$1:$1,0)+1,FALSE)</f>
        <v>鵺</v>
      </c>
      <c r="G1007" s="66">
        <v>1</v>
      </c>
      <c r="H1007" s="66">
        <v>1</v>
      </c>
      <c r="I1007" s="66">
        <v>1</v>
      </c>
    </row>
    <row r="1008" spans="1:9" x14ac:dyDescent="0.15">
      <c r="A1008" s="66">
        <v>734</v>
      </c>
      <c r="B1008" s="3" t="str">
        <f ca="1">VLOOKUP($A1008,OFFSET([2]characters!$A$1,0,0,COUNTA([2]characters!$A:$A),MATCH(B$1,[2]characters!$1:$1,0)-MATCH($A$1,[2]characters!$1:$1,0)+1),MATCH(B$1,[2]characters!$1:$1,0)-MATCH($A$1,[2]characters!$1:$1,0)+1,FALSE)</f>
        <v>伊達政宗</v>
      </c>
      <c r="C1008" s="93">
        <f ca="1">VLOOKUP($A1008,OFFSET(fork_awake_units!$A$1,0,0,COUNTA(fork_awake_units!$A:$A),MATCH(C$1,fork_awake_units!$1:$1,0)-MATCH($A$1,fork_awake_units!$1:$1,0)+1),MATCH(C$1,fork_awake_units!$1:$1,0)-MATCH($A$1,fork_awake_units!$1:$1,0)+1,FALSE)</f>
        <v>735</v>
      </c>
      <c r="D1008" s="3" t="str">
        <f ca="1">VLOOKUP($C1008,OFFSET([2]characters!$A$1,0,0,COUNTA([2]characters!$A:$A),MATCH(D$1,[2]characters!$1:$1,0)-MATCH($A$1,[2]characters!$1:$1,0)+1),MATCH(D$1,[2]characters!$1:$1,0)-MATCH($A$1,[2]characters!$1:$1,0)+1,FALSE)</f>
        <v>破天の隻眼 伊達政宗</v>
      </c>
      <c r="E1008" s="66">
        <v>722</v>
      </c>
      <c r="F1008" s="3" t="str">
        <f ca="1">VLOOKUP($E1008,OFFSET([2]characters!$A$1,0,0,COUNTA([2]characters!$A:$A),MATCH(F$1,[2]characters!$1:$1,0)-MATCH($A$1,[2]characters!$1:$1,0)+1),MATCH(F$1,[2]characters!$1:$1,0)-MATCH($A$1,[2]characters!$1:$1,0)+1,FALSE)</f>
        <v>森蘭丸</v>
      </c>
      <c r="G1008" s="66">
        <v>1</v>
      </c>
      <c r="H1008" s="66">
        <v>1</v>
      </c>
      <c r="I1008" s="66">
        <v>1</v>
      </c>
    </row>
    <row r="1009" spans="1:9" x14ac:dyDescent="0.15">
      <c r="A1009" s="66">
        <v>734</v>
      </c>
      <c r="B1009" s="3" t="str">
        <f ca="1">VLOOKUP($A1009,OFFSET([2]characters!$A$1,0,0,COUNTA([2]characters!$A:$A),MATCH(B$1,[2]characters!$1:$1,0)-MATCH($A$1,[2]characters!$1:$1,0)+1),MATCH(B$1,[2]characters!$1:$1,0)-MATCH($A$1,[2]characters!$1:$1,0)+1,FALSE)</f>
        <v>伊達政宗</v>
      </c>
      <c r="C1009" s="93">
        <f ca="1">VLOOKUP($A1009,OFFSET(fork_awake_units!$A$1,0,0,COUNTA(fork_awake_units!$A:$A),MATCH(C$1,fork_awake_units!$1:$1,0)-MATCH($A$1,fork_awake_units!$1:$1,0)+1),MATCH(C$1,fork_awake_units!$1:$1,0)-MATCH($A$1,fork_awake_units!$1:$1,0)+1,FALSE)</f>
        <v>735</v>
      </c>
      <c r="D1009" s="3" t="str">
        <f ca="1">VLOOKUP($C1009,OFFSET([2]characters!$A$1,0,0,COUNTA([2]characters!$A:$A),MATCH(D$1,[2]characters!$1:$1,0)-MATCH($A$1,[2]characters!$1:$1,0)+1),MATCH(D$1,[2]characters!$1:$1,0)-MATCH($A$1,[2]characters!$1:$1,0)+1,FALSE)</f>
        <v>破天の隻眼 伊達政宗</v>
      </c>
      <c r="E1009" s="66">
        <v>837</v>
      </c>
      <c r="F1009" s="3" t="str">
        <f ca="1">VLOOKUP($E1009,OFFSET([2]characters!$A$1,0,0,COUNTA([2]characters!$A:$A),MATCH(F$1,[2]characters!$1:$1,0)-MATCH($A$1,[2]characters!$1:$1,0)+1),MATCH(F$1,[2]characters!$1:$1,0)-MATCH($A$1,[2]characters!$1:$1,0)+1,FALSE)</f>
        <v>リトルハンプティ</v>
      </c>
      <c r="G1009" s="66">
        <v>1</v>
      </c>
      <c r="H1009" s="66">
        <v>1</v>
      </c>
      <c r="I1009" s="66">
        <v>1</v>
      </c>
    </row>
    <row r="1010" spans="1:9" x14ac:dyDescent="0.15">
      <c r="A1010" s="66">
        <v>736</v>
      </c>
      <c r="B1010" s="3" t="str">
        <f ca="1">VLOOKUP($A1010,OFFSET([2]characters!$A$1,0,0,COUNTA([2]characters!$A:$A),MATCH(B$1,[2]characters!$1:$1,0)-MATCH($A$1,[2]characters!$1:$1,0)+1),MATCH(B$1,[2]characters!$1:$1,0)-MATCH($A$1,[2]characters!$1:$1,0)+1,FALSE)</f>
        <v>オルトロス</v>
      </c>
      <c r="C1010" s="93">
        <f ca="1">VLOOKUP($A1010,OFFSET(fork_awake_units!$A$1,0,0,COUNTA(fork_awake_units!$A:$A),MATCH(C$1,fork_awake_units!$1:$1,0)-MATCH($A$1,fork_awake_units!$1:$1,0)+1),MATCH(C$1,fork_awake_units!$1:$1,0)-MATCH($A$1,fork_awake_units!$1:$1,0)+1,FALSE)</f>
        <v>737</v>
      </c>
      <c r="D1010" s="3" t="str">
        <f ca="1">VLOOKUP($C1010,OFFSET([2]characters!$A$1,0,0,COUNTA([2]characters!$A:$A),MATCH(D$1,[2]characters!$1:$1,0)-MATCH($A$1,[2]characters!$1:$1,0)+1),MATCH(D$1,[2]characters!$1:$1,0)-MATCH($A$1,[2]characters!$1:$1,0)+1,FALSE)</f>
        <v>狂鳴の慟哭 オルトロス</v>
      </c>
      <c r="E1010" s="66">
        <v>101</v>
      </c>
      <c r="F1010" s="3" t="str">
        <f ca="1">VLOOKUP($E1010,OFFSET([2]characters!$A$1,0,0,COUNTA([2]characters!$A:$A),MATCH(F$1,[2]characters!$1:$1,0)-MATCH($A$1,[2]characters!$1:$1,0)+1),MATCH(F$1,[2]characters!$1:$1,0)-MATCH($A$1,[2]characters!$1:$1,0)+1,FALSE)</f>
        <v>レッドチェシャ</v>
      </c>
      <c r="G1010" s="66">
        <v>1</v>
      </c>
      <c r="H1010" s="66">
        <v>1</v>
      </c>
      <c r="I1010" s="66">
        <v>1</v>
      </c>
    </row>
    <row r="1011" spans="1:9" x14ac:dyDescent="0.15">
      <c r="A1011" s="66">
        <v>736</v>
      </c>
      <c r="B1011" s="3" t="str">
        <f ca="1">VLOOKUP($A1011,OFFSET([2]characters!$A$1,0,0,COUNTA([2]characters!$A:$A),MATCH(B$1,[2]characters!$1:$1,0)-MATCH($A$1,[2]characters!$1:$1,0)+1),MATCH(B$1,[2]characters!$1:$1,0)-MATCH($A$1,[2]characters!$1:$1,0)+1,FALSE)</f>
        <v>オルトロス</v>
      </c>
      <c r="C1011" s="93">
        <f ca="1">VLOOKUP($A1011,OFFSET(fork_awake_units!$A$1,0,0,COUNTA(fork_awake_units!$A:$A),MATCH(C$1,fork_awake_units!$1:$1,0)-MATCH($A$1,fork_awake_units!$1:$1,0)+1),MATCH(C$1,fork_awake_units!$1:$1,0)-MATCH($A$1,fork_awake_units!$1:$1,0)+1,FALSE)</f>
        <v>737</v>
      </c>
      <c r="D1011" s="3" t="str">
        <f ca="1">VLOOKUP($C1011,OFFSET([2]characters!$A$1,0,0,COUNTA([2]characters!$A:$A),MATCH(D$1,[2]characters!$1:$1,0)-MATCH($A$1,[2]characters!$1:$1,0)+1),MATCH(D$1,[2]characters!$1:$1,0)-MATCH($A$1,[2]characters!$1:$1,0)+1,FALSE)</f>
        <v>狂鳴の慟哭 オルトロス</v>
      </c>
      <c r="E1011" s="66">
        <v>102</v>
      </c>
      <c r="F1011" s="3" t="str">
        <f ca="1">VLOOKUP($E1011,OFFSET([2]characters!$A$1,0,0,COUNTA([2]characters!$A:$A),MATCH(F$1,[2]characters!$1:$1,0)-MATCH($A$1,[2]characters!$1:$1,0)+1),MATCH(F$1,[2]characters!$1:$1,0)-MATCH($A$1,[2]characters!$1:$1,0)+1,FALSE)</f>
        <v>レッドラビット</v>
      </c>
      <c r="G1011" s="66">
        <v>2</v>
      </c>
      <c r="H1011" s="66">
        <v>1</v>
      </c>
      <c r="I1011" s="66">
        <v>1</v>
      </c>
    </row>
    <row r="1012" spans="1:9" x14ac:dyDescent="0.15">
      <c r="A1012" s="66">
        <v>736</v>
      </c>
      <c r="B1012" s="3" t="str">
        <f ca="1">VLOOKUP($A1012,OFFSET([2]characters!$A$1,0,0,COUNTA([2]characters!$A:$A),MATCH(B$1,[2]characters!$1:$1,0)-MATCH($A$1,[2]characters!$1:$1,0)+1),MATCH(B$1,[2]characters!$1:$1,0)-MATCH($A$1,[2]characters!$1:$1,0)+1,FALSE)</f>
        <v>オルトロス</v>
      </c>
      <c r="C1012" s="93">
        <f ca="1">VLOOKUP($A1012,OFFSET(fork_awake_units!$A$1,0,0,COUNTA(fork_awake_units!$A:$A),MATCH(C$1,fork_awake_units!$1:$1,0)-MATCH($A$1,fork_awake_units!$1:$1,0)+1),MATCH(C$1,fork_awake_units!$1:$1,0)-MATCH($A$1,fork_awake_units!$1:$1,0)+1,FALSE)</f>
        <v>737</v>
      </c>
      <c r="D1012" s="3" t="str">
        <f ca="1">VLOOKUP($C1012,OFFSET([2]characters!$A$1,0,0,COUNTA([2]characters!$A:$A),MATCH(D$1,[2]characters!$1:$1,0)-MATCH($A$1,[2]characters!$1:$1,0)+1),MATCH(D$1,[2]characters!$1:$1,0)-MATCH($A$1,[2]characters!$1:$1,0)+1,FALSE)</f>
        <v>狂鳴の慟哭 オルトロス</v>
      </c>
      <c r="E1012" s="66">
        <v>103</v>
      </c>
      <c r="F1012" s="3" t="str">
        <f ca="1">VLOOKUP($E1012,OFFSET([2]characters!$A$1,0,0,COUNTA([2]characters!$A:$A),MATCH(F$1,[2]characters!$1:$1,0)-MATCH($A$1,[2]characters!$1:$1,0)+1),MATCH(F$1,[2]characters!$1:$1,0)-MATCH($A$1,[2]characters!$1:$1,0)+1,FALSE)</f>
        <v>レッドキャタップ</v>
      </c>
      <c r="G1012" s="66">
        <v>1</v>
      </c>
      <c r="H1012" s="66">
        <v>1</v>
      </c>
      <c r="I1012" s="66">
        <v>1</v>
      </c>
    </row>
    <row r="1013" spans="1:9" x14ac:dyDescent="0.15">
      <c r="A1013" s="66">
        <v>736</v>
      </c>
      <c r="B1013" s="3" t="str">
        <f ca="1">VLOOKUP($A1013,OFFSET([2]characters!$A$1,0,0,COUNTA([2]characters!$A:$A),MATCH(B$1,[2]characters!$1:$1,0)-MATCH($A$1,[2]characters!$1:$1,0)+1),MATCH(B$1,[2]characters!$1:$1,0)-MATCH($A$1,[2]characters!$1:$1,0)+1,FALSE)</f>
        <v>オルトロス</v>
      </c>
      <c r="C1013" s="93">
        <f ca="1">VLOOKUP($A1013,OFFSET(fork_awake_units!$A$1,0,0,COUNTA(fork_awake_units!$A:$A),MATCH(C$1,fork_awake_units!$1:$1,0)-MATCH($A$1,fork_awake_units!$1:$1,0)+1),MATCH(C$1,fork_awake_units!$1:$1,0)-MATCH($A$1,fork_awake_units!$1:$1,0)+1,FALSE)</f>
        <v>737</v>
      </c>
      <c r="D1013" s="3" t="str">
        <f ca="1">VLOOKUP($C1013,OFFSET([2]characters!$A$1,0,0,COUNTA([2]characters!$A:$A),MATCH(D$1,[2]characters!$1:$1,0)-MATCH($A$1,[2]characters!$1:$1,0)+1),MATCH(D$1,[2]characters!$1:$1,0)-MATCH($A$1,[2]characters!$1:$1,0)+1,FALSE)</f>
        <v>狂鳴の慟哭 オルトロス</v>
      </c>
      <c r="E1013" s="66">
        <v>104</v>
      </c>
      <c r="F1013" s="3" t="str">
        <f ca="1">VLOOKUP($E1013,OFFSET([2]characters!$A$1,0,0,COUNTA([2]characters!$A:$A),MATCH(F$1,[2]characters!$1:$1,0)-MATCH($A$1,[2]characters!$1:$1,0)+1),MATCH(F$1,[2]characters!$1:$1,0)-MATCH($A$1,[2]characters!$1:$1,0)+1,FALSE)</f>
        <v>炎のマッドハッター</v>
      </c>
      <c r="G1013" s="66">
        <v>1</v>
      </c>
      <c r="H1013" s="66">
        <v>1</v>
      </c>
      <c r="I1013" s="66">
        <v>1</v>
      </c>
    </row>
    <row r="1014" spans="1:9" x14ac:dyDescent="0.15">
      <c r="A1014" s="66">
        <v>738</v>
      </c>
      <c r="B1014" s="3" t="str">
        <f ca="1">VLOOKUP($A1014,OFFSET([2]characters!$A$1,0,0,COUNTA([2]characters!$A:$A),MATCH(B$1,[2]characters!$1:$1,0)-MATCH($A$1,[2]characters!$1:$1,0)+1),MATCH(B$1,[2]characters!$1:$1,0)-MATCH($A$1,[2]characters!$1:$1,0)+1,FALSE)</f>
        <v>ラドン</v>
      </c>
      <c r="C1014" s="93">
        <f ca="1">VLOOKUP($A1014,OFFSET(fork_awake_units!$A$1,0,0,COUNTA(fork_awake_units!$A:$A),MATCH(C$1,fork_awake_units!$1:$1,0)-MATCH($A$1,fork_awake_units!$1:$1,0)+1),MATCH(C$1,fork_awake_units!$1:$1,0)-MATCH($A$1,fork_awake_units!$1:$1,0)+1,FALSE)</f>
        <v>739</v>
      </c>
      <c r="D1014" s="3" t="str">
        <f ca="1">VLOOKUP($C1014,OFFSET([2]characters!$A$1,0,0,COUNTA([2]characters!$A:$A),MATCH(D$1,[2]characters!$1:$1,0)-MATCH($A$1,[2]characters!$1:$1,0)+1),MATCH(D$1,[2]characters!$1:$1,0)-MATCH($A$1,[2]characters!$1:$1,0)+1,FALSE)</f>
        <v>寡言の密使 ラドン</v>
      </c>
      <c r="E1014" s="66">
        <v>738</v>
      </c>
      <c r="F1014" s="3" t="str">
        <f ca="1">VLOOKUP($E1014,OFFSET([2]characters!$A$1,0,0,COUNTA([2]characters!$A:$A),MATCH(F$1,[2]characters!$1:$1,0)-MATCH($A$1,[2]characters!$1:$1,0)+1),MATCH(F$1,[2]characters!$1:$1,0)-MATCH($A$1,[2]characters!$1:$1,0)+1,FALSE)</f>
        <v>ラドン</v>
      </c>
      <c r="G1014" s="66">
        <v>1</v>
      </c>
      <c r="H1014" s="66">
        <v>10</v>
      </c>
      <c r="I1014" s="66">
        <v>1</v>
      </c>
    </row>
    <row r="1015" spans="1:9" x14ac:dyDescent="0.15">
      <c r="A1015" s="66">
        <v>740</v>
      </c>
      <c r="B1015" s="3" t="str">
        <f ca="1">VLOOKUP($A1015,OFFSET([2]characters!$A$1,0,0,COUNTA([2]characters!$A:$A),MATCH(B$1,[2]characters!$1:$1,0)-MATCH($A$1,[2]characters!$1:$1,0)+1),MATCH(B$1,[2]characters!$1:$1,0)-MATCH($A$1,[2]characters!$1:$1,0)+1,FALSE)</f>
        <v>テュポーン</v>
      </c>
      <c r="C1015" s="93">
        <f ca="1">VLOOKUP($A1015,OFFSET(fork_awake_units!$A$1,0,0,COUNTA(fork_awake_units!$A:$A),MATCH(C$1,fork_awake_units!$1:$1,0)-MATCH($A$1,fork_awake_units!$1:$1,0)+1),MATCH(C$1,fork_awake_units!$1:$1,0)-MATCH($A$1,fork_awake_units!$1:$1,0)+1,FALSE)</f>
        <v>741</v>
      </c>
      <c r="D1015" s="3" t="str">
        <f ca="1">VLOOKUP($C1015,OFFSET([2]characters!$A$1,0,0,COUNTA([2]characters!$A:$A),MATCH(D$1,[2]characters!$1:$1,0)-MATCH($A$1,[2]characters!$1:$1,0)+1),MATCH(D$1,[2]characters!$1:$1,0)-MATCH($A$1,[2]characters!$1:$1,0)+1,FALSE)</f>
        <v>皆滅の戦鬼 テュポーン</v>
      </c>
      <c r="E1015" s="66">
        <v>116</v>
      </c>
      <c r="F1015" s="3" t="str">
        <f ca="1">VLOOKUP($E1015,OFFSET([2]characters!$A$1,0,0,COUNTA([2]characters!$A:$A),MATCH(F$1,[2]characters!$1:$1,0)-MATCH($A$1,[2]characters!$1:$1,0)+1),MATCH(F$1,[2]characters!$1:$1,0)-MATCH($A$1,[2]characters!$1:$1,0)+1,FALSE)</f>
        <v>雷のマッドハッター</v>
      </c>
      <c r="G1015" s="66">
        <v>1</v>
      </c>
      <c r="H1015" s="66">
        <v>1</v>
      </c>
      <c r="I1015" s="66">
        <v>1</v>
      </c>
    </row>
    <row r="1016" spans="1:9" x14ac:dyDescent="0.15">
      <c r="A1016" s="66">
        <v>740</v>
      </c>
      <c r="B1016" s="3" t="str">
        <f ca="1">VLOOKUP($A1016,OFFSET([2]characters!$A$1,0,0,COUNTA([2]characters!$A:$A),MATCH(B$1,[2]characters!$1:$1,0)-MATCH($A$1,[2]characters!$1:$1,0)+1),MATCH(B$1,[2]characters!$1:$1,0)-MATCH($A$1,[2]characters!$1:$1,0)+1,FALSE)</f>
        <v>テュポーン</v>
      </c>
      <c r="C1016" s="93">
        <f ca="1">VLOOKUP($A1016,OFFSET(fork_awake_units!$A$1,0,0,COUNTA(fork_awake_units!$A:$A),MATCH(C$1,fork_awake_units!$1:$1,0)-MATCH($A$1,fork_awake_units!$1:$1,0)+1),MATCH(C$1,fork_awake_units!$1:$1,0)-MATCH($A$1,fork_awake_units!$1:$1,0)+1,FALSE)</f>
        <v>741</v>
      </c>
      <c r="D1016" s="3" t="str">
        <f ca="1">VLOOKUP($C1016,OFFSET([2]characters!$A$1,0,0,COUNTA([2]characters!$A:$A),MATCH(D$1,[2]characters!$1:$1,0)-MATCH($A$1,[2]characters!$1:$1,0)+1),MATCH(D$1,[2]characters!$1:$1,0)-MATCH($A$1,[2]characters!$1:$1,0)+1,FALSE)</f>
        <v>皆滅の戦鬼 テュポーン</v>
      </c>
      <c r="E1016" s="66">
        <v>736</v>
      </c>
      <c r="F1016" s="3" t="str">
        <f ca="1">VLOOKUP($E1016,OFFSET([2]characters!$A$1,0,0,COUNTA([2]characters!$A:$A),MATCH(F$1,[2]characters!$1:$1,0)-MATCH($A$1,[2]characters!$1:$1,0)+1),MATCH(F$1,[2]characters!$1:$1,0)-MATCH($A$1,[2]characters!$1:$1,0)+1,FALSE)</f>
        <v>オルトロス</v>
      </c>
      <c r="G1016" s="66">
        <v>1</v>
      </c>
      <c r="H1016" s="66">
        <v>3</v>
      </c>
      <c r="I1016" s="66">
        <v>1</v>
      </c>
    </row>
    <row r="1017" spans="1:9" x14ac:dyDescent="0.15">
      <c r="A1017" s="66">
        <v>740</v>
      </c>
      <c r="B1017" s="3" t="str">
        <f ca="1">VLOOKUP($A1017,OFFSET([2]characters!$A$1,0,0,COUNTA([2]characters!$A:$A),MATCH(B$1,[2]characters!$1:$1,0)-MATCH($A$1,[2]characters!$1:$1,0)+1),MATCH(B$1,[2]characters!$1:$1,0)-MATCH($A$1,[2]characters!$1:$1,0)+1,FALSE)</f>
        <v>テュポーン</v>
      </c>
      <c r="C1017" s="93">
        <f ca="1">VLOOKUP($A1017,OFFSET(fork_awake_units!$A$1,0,0,COUNTA(fork_awake_units!$A:$A),MATCH(C$1,fork_awake_units!$1:$1,0)-MATCH($A$1,fork_awake_units!$1:$1,0)+1),MATCH(C$1,fork_awake_units!$1:$1,0)-MATCH($A$1,fork_awake_units!$1:$1,0)+1,FALSE)</f>
        <v>741</v>
      </c>
      <c r="D1017" s="3" t="str">
        <f ca="1">VLOOKUP($C1017,OFFSET([2]characters!$A$1,0,0,COUNTA([2]characters!$A:$A),MATCH(D$1,[2]characters!$1:$1,0)-MATCH($A$1,[2]characters!$1:$1,0)+1),MATCH(D$1,[2]characters!$1:$1,0)-MATCH($A$1,[2]characters!$1:$1,0)+1,FALSE)</f>
        <v>皆滅の戦鬼 テュポーン</v>
      </c>
      <c r="E1017" s="66">
        <v>738</v>
      </c>
      <c r="F1017" s="3" t="str">
        <f ca="1">VLOOKUP($E1017,OFFSET([2]characters!$A$1,0,0,COUNTA([2]characters!$A:$A),MATCH(F$1,[2]characters!$1:$1,0)-MATCH($A$1,[2]characters!$1:$1,0)+1),MATCH(F$1,[2]characters!$1:$1,0)-MATCH($A$1,[2]characters!$1:$1,0)+1,FALSE)</f>
        <v>ラドン</v>
      </c>
      <c r="G1017" s="66">
        <v>1</v>
      </c>
      <c r="H1017" s="66">
        <v>2</v>
      </c>
      <c r="I1017" s="66">
        <v>1</v>
      </c>
    </row>
    <row r="1018" spans="1:9" x14ac:dyDescent="0.15">
      <c r="A1018" s="66">
        <v>740</v>
      </c>
      <c r="B1018" s="3" t="str">
        <f ca="1">VLOOKUP($A1018,OFFSET([2]characters!$A$1,0,0,COUNTA([2]characters!$A:$A),MATCH(B$1,[2]characters!$1:$1,0)-MATCH($A$1,[2]characters!$1:$1,0)+1),MATCH(B$1,[2]characters!$1:$1,0)-MATCH($A$1,[2]characters!$1:$1,0)+1,FALSE)</f>
        <v>テュポーン</v>
      </c>
      <c r="C1018" s="93">
        <f ca="1">VLOOKUP($A1018,OFFSET(fork_awake_units!$A$1,0,0,COUNTA(fork_awake_units!$A:$A),MATCH(C$1,fork_awake_units!$1:$1,0)-MATCH($A$1,fork_awake_units!$1:$1,0)+1),MATCH(C$1,fork_awake_units!$1:$1,0)-MATCH($A$1,fork_awake_units!$1:$1,0)+1,FALSE)</f>
        <v>741</v>
      </c>
      <c r="D1018" s="3" t="str">
        <f ca="1">VLOOKUP($C1018,OFFSET([2]characters!$A$1,0,0,COUNTA([2]characters!$A:$A),MATCH(D$1,[2]characters!$1:$1,0)-MATCH($A$1,[2]characters!$1:$1,0)+1),MATCH(D$1,[2]characters!$1:$1,0)-MATCH($A$1,[2]characters!$1:$1,0)+1,FALSE)</f>
        <v>皆滅の戦鬼 テュポーン</v>
      </c>
      <c r="E1018" s="66">
        <v>837</v>
      </c>
      <c r="F1018" s="3" t="str">
        <f ca="1">VLOOKUP($E1018,OFFSET([2]characters!$A$1,0,0,COUNTA([2]characters!$A:$A),MATCH(F$1,[2]characters!$1:$1,0)-MATCH($A$1,[2]characters!$1:$1,0)+1),MATCH(F$1,[2]characters!$1:$1,0)-MATCH($A$1,[2]characters!$1:$1,0)+1,FALSE)</f>
        <v>リトルハンプティ</v>
      </c>
      <c r="G1018" s="66">
        <v>1</v>
      </c>
      <c r="H1018" s="66">
        <v>1</v>
      </c>
      <c r="I1018" s="66">
        <v>1</v>
      </c>
    </row>
    <row r="1019" spans="1:9" x14ac:dyDescent="0.15">
      <c r="A1019" s="66">
        <v>742</v>
      </c>
      <c r="B1019" s="3" t="str">
        <f ca="1">VLOOKUP($A1019,OFFSET([2]characters!$A$1,0,0,COUNTA([2]characters!$A:$A),MATCH(B$1,[2]characters!$1:$1,0)-MATCH($A$1,[2]characters!$1:$1,0)+1),MATCH(B$1,[2]characters!$1:$1,0)-MATCH($A$1,[2]characters!$1:$1,0)+1,FALSE)</f>
        <v>アポロン</v>
      </c>
      <c r="C1019" s="93">
        <f ca="1">VLOOKUP($A1019,OFFSET(fork_awake_units!$A$1,0,0,COUNTA(fork_awake_units!$A:$A),MATCH(C$1,fork_awake_units!$1:$1,0)-MATCH($A$1,fork_awake_units!$1:$1,0)+1),MATCH(C$1,fork_awake_units!$1:$1,0)-MATCH($A$1,fork_awake_units!$1:$1,0)+1,FALSE)</f>
        <v>743</v>
      </c>
      <c r="D1019" s="3" t="str">
        <f ca="1">VLOOKUP($C1019,OFFSET([2]characters!$A$1,0,0,COUNTA([2]characters!$A:$A),MATCH(D$1,[2]characters!$1:$1,0)-MATCH($A$1,[2]characters!$1:$1,0)+1),MATCH(D$1,[2]characters!$1:$1,0)-MATCH($A$1,[2]characters!$1:$1,0)+1,FALSE)</f>
        <v>弩級の洸源 アポロン</v>
      </c>
      <c r="E1019" s="66">
        <v>103</v>
      </c>
      <c r="F1019" s="3" t="str">
        <f ca="1">VLOOKUP($E1019,OFFSET([2]characters!$A$1,0,0,COUNTA([2]characters!$A:$A),MATCH(F$1,[2]characters!$1:$1,0)-MATCH($A$1,[2]characters!$1:$1,0)+1),MATCH(F$1,[2]characters!$1:$1,0)-MATCH($A$1,[2]characters!$1:$1,0)+1,FALSE)</f>
        <v>レッドキャタップ</v>
      </c>
      <c r="G1019" s="66">
        <v>1</v>
      </c>
      <c r="H1019" s="66">
        <v>1</v>
      </c>
      <c r="I1019" s="66">
        <v>1</v>
      </c>
    </row>
    <row r="1020" spans="1:9" x14ac:dyDescent="0.15">
      <c r="A1020" s="66">
        <v>742</v>
      </c>
      <c r="B1020" s="3" t="str">
        <f ca="1">VLOOKUP($A1020,OFFSET([2]characters!$A$1,0,0,COUNTA([2]characters!$A:$A),MATCH(B$1,[2]characters!$1:$1,0)-MATCH($A$1,[2]characters!$1:$1,0)+1),MATCH(B$1,[2]characters!$1:$1,0)-MATCH($A$1,[2]characters!$1:$1,0)+1,FALSE)</f>
        <v>アポロン</v>
      </c>
      <c r="C1020" s="93">
        <f ca="1">VLOOKUP($A1020,OFFSET(fork_awake_units!$A$1,0,0,COUNTA(fork_awake_units!$A:$A),MATCH(C$1,fork_awake_units!$1:$1,0)-MATCH($A$1,fork_awake_units!$1:$1,0)+1),MATCH(C$1,fork_awake_units!$1:$1,0)-MATCH($A$1,fork_awake_units!$1:$1,0)+1,FALSE)</f>
        <v>743</v>
      </c>
      <c r="D1020" s="3" t="str">
        <f ca="1">VLOOKUP($C1020,OFFSET([2]characters!$A$1,0,0,COUNTA([2]characters!$A:$A),MATCH(D$1,[2]characters!$1:$1,0)-MATCH($A$1,[2]characters!$1:$1,0)+1),MATCH(D$1,[2]characters!$1:$1,0)-MATCH($A$1,[2]characters!$1:$1,0)+1,FALSE)</f>
        <v>弩級の洸源 アポロン</v>
      </c>
      <c r="E1020" s="66">
        <v>104</v>
      </c>
      <c r="F1020" s="3" t="str">
        <f ca="1">VLOOKUP($E1020,OFFSET([2]characters!$A$1,0,0,COUNTA([2]characters!$A:$A),MATCH(F$1,[2]characters!$1:$1,0)-MATCH($A$1,[2]characters!$1:$1,0)+1),MATCH(F$1,[2]characters!$1:$1,0)-MATCH($A$1,[2]characters!$1:$1,0)+1,FALSE)</f>
        <v>炎のマッドハッター</v>
      </c>
      <c r="G1020" s="66">
        <v>1</v>
      </c>
      <c r="H1020" s="66">
        <v>1</v>
      </c>
      <c r="I1020" s="66">
        <v>1</v>
      </c>
    </row>
    <row r="1021" spans="1:9" x14ac:dyDescent="0.15">
      <c r="A1021" s="66">
        <v>742</v>
      </c>
      <c r="B1021" s="3" t="str">
        <f ca="1">VLOOKUP($A1021,OFFSET([2]characters!$A$1,0,0,COUNTA([2]characters!$A:$A),MATCH(B$1,[2]characters!$1:$1,0)-MATCH($A$1,[2]characters!$1:$1,0)+1),MATCH(B$1,[2]characters!$1:$1,0)-MATCH($A$1,[2]characters!$1:$1,0)+1,FALSE)</f>
        <v>アポロン</v>
      </c>
      <c r="C1021" s="93">
        <f ca="1">VLOOKUP($A1021,OFFSET(fork_awake_units!$A$1,0,0,COUNTA(fork_awake_units!$A:$A),MATCH(C$1,fork_awake_units!$1:$1,0)-MATCH($A$1,fork_awake_units!$1:$1,0)+1),MATCH(C$1,fork_awake_units!$1:$1,0)-MATCH($A$1,fork_awake_units!$1:$1,0)+1,FALSE)</f>
        <v>743</v>
      </c>
      <c r="D1021" s="3" t="str">
        <f ca="1">VLOOKUP($C1021,OFFSET([2]characters!$A$1,0,0,COUNTA([2]characters!$A:$A),MATCH(D$1,[2]characters!$1:$1,0)-MATCH($A$1,[2]characters!$1:$1,0)+1),MATCH(D$1,[2]characters!$1:$1,0)-MATCH($A$1,[2]characters!$1:$1,0)+1,FALSE)</f>
        <v>弩級の洸源 アポロン</v>
      </c>
      <c r="E1021" s="66">
        <v>306</v>
      </c>
      <c r="F1021" s="3" t="str">
        <f ca="1">VLOOKUP($E1021,OFFSET([2]characters!$A$1,0,0,COUNTA([2]characters!$A:$A),MATCH(F$1,[2]characters!$1:$1,0)-MATCH($A$1,[2]characters!$1:$1,0)+1),MATCH(F$1,[2]characters!$1:$1,0)-MATCH($A$1,[2]characters!$1:$1,0)+1,FALSE)</f>
        <v>メガロドン</v>
      </c>
      <c r="G1021" s="66">
        <v>1</v>
      </c>
      <c r="H1021" s="66">
        <v>1</v>
      </c>
      <c r="I1021" s="66">
        <v>1</v>
      </c>
    </row>
    <row r="1022" spans="1:9" x14ac:dyDescent="0.15">
      <c r="A1022" s="66">
        <v>742</v>
      </c>
      <c r="B1022" s="3" t="str">
        <f ca="1">VLOOKUP($A1022,OFFSET([2]characters!$A$1,0,0,COUNTA([2]characters!$A:$A),MATCH(B$1,[2]characters!$1:$1,0)-MATCH($A$1,[2]characters!$1:$1,0)+1),MATCH(B$1,[2]characters!$1:$1,0)-MATCH($A$1,[2]characters!$1:$1,0)+1,FALSE)</f>
        <v>アポロン</v>
      </c>
      <c r="C1022" s="93">
        <f ca="1">VLOOKUP($A1022,OFFSET(fork_awake_units!$A$1,0,0,COUNTA(fork_awake_units!$A:$A),MATCH(C$1,fork_awake_units!$1:$1,0)-MATCH($A$1,fork_awake_units!$1:$1,0)+1),MATCH(C$1,fork_awake_units!$1:$1,0)-MATCH($A$1,fork_awake_units!$1:$1,0)+1,FALSE)</f>
        <v>743</v>
      </c>
      <c r="D1022" s="3" t="str">
        <f ca="1">VLOOKUP($C1022,OFFSET([2]characters!$A$1,0,0,COUNTA([2]characters!$A:$A),MATCH(D$1,[2]characters!$1:$1,0)-MATCH($A$1,[2]characters!$1:$1,0)+1),MATCH(D$1,[2]characters!$1:$1,0)-MATCH($A$1,[2]characters!$1:$1,0)+1,FALSE)</f>
        <v>弩級の洸源 アポロン</v>
      </c>
      <c r="E1022" s="66">
        <v>736</v>
      </c>
      <c r="F1022" s="3" t="str">
        <f ca="1">VLOOKUP($E1022,OFFSET([2]characters!$A$1,0,0,COUNTA([2]characters!$A:$A),MATCH(F$1,[2]characters!$1:$1,0)-MATCH($A$1,[2]characters!$1:$1,0)+1),MATCH(F$1,[2]characters!$1:$1,0)-MATCH($A$1,[2]characters!$1:$1,0)+1,FALSE)</f>
        <v>オルトロス</v>
      </c>
      <c r="G1022" s="66">
        <v>1</v>
      </c>
      <c r="H1022" s="66">
        <v>1</v>
      </c>
      <c r="I1022" s="66">
        <v>1</v>
      </c>
    </row>
    <row r="1023" spans="1:9" x14ac:dyDescent="0.15">
      <c r="A1023" s="66">
        <v>742</v>
      </c>
      <c r="B1023" s="3" t="str">
        <f ca="1">VLOOKUP($A1023,OFFSET([2]characters!$A$1,0,0,COUNTA([2]characters!$A:$A),MATCH(B$1,[2]characters!$1:$1,0)-MATCH($A$1,[2]characters!$1:$1,0)+1),MATCH(B$1,[2]characters!$1:$1,0)-MATCH($A$1,[2]characters!$1:$1,0)+1,FALSE)</f>
        <v>アポロン</v>
      </c>
      <c r="C1023" s="93">
        <f ca="1">VLOOKUP($A1023,OFFSET(fork_awake_units!$A$1,0,0,COUNTA(fork_awake_units!$A:$A),MATCH(C$1,fork_awake_units!$1:$1,0)-MATCH($A$1,fork_awake_units!$1:$1,0)+1),MATCH(C$1,fork_awake_units!$1:$1,0)-MATCH($A$1,fork_awake_units!$1:$1,0)+1,FALSE)</f>
        <v>743</v>
      </c>
      <c r="D1023" s="3" t="str">
        <f ca="1">VLOOKUP($C1023,OFFSET([2]characters!$A$1,0,0,COUNTA([2]characters!$A:$A),MATCH(D$1,[2]characters!$1:$1,0)-MATCH($A$1,[2]characters!$1:$1,0)+1),MATCH(D$1,[2]characters!$1:$1,0)-MATCH($A$1,[2]characters!$1:$1,0)+1,FALSE)</f>
        <v>弩級の洸源 アポロン</v>
      </c>
      <c r="E1023" s="66">
        <v>837</v>
      </c>
      <c r="F1023" s="3" t="str">
        <f ca="1">VLOOKUP($E1023,OFFSET([2]characters!$A$1,0,0,COUNTA([2]characters!$A:$A),MATCH(F$1,[2]characters!$1:$1,0)-MATCH($A$1,[2]characters!$1:$1,0)+1),MATCH(F$1,[2]characters!$1:$1,0)-MATCH($A$1,[2]characters!$1:$1,0)+1,FALSE)</f>
        <v>リトルハンプティ</v>
      </c>
      <c r="G1023" s="66">
        <v>1</v>
      </c>
      <c r="H1023" s="66">
        <v>1</v>
      </c>
      <c r="I1023" s="66">
        <v>1</v>
      </c>
    </row>
    <row r="1024" spans="1:9" x14ac:dyDescent="0.15">
      <c r="A1024" s="66">
        <v>744</v>
      </c>
      <c r="B1024" s="3" t="str">
        <f ca="1">VLOOKUP($A1024,OFFSET([2]characters!$A$1,0,0,COUNTA([2]characters!$A:$A),MATCH(B$1,[2]characters!$1:$1,0)-MATCH($A$1,[2]characters!$1:$1,0)+1),MATCH(B$1,[2]characters!$1:$1,0)-MATCH($A$1,[2]characters!$1:$1,0)+1,FALSE)</f>
        <v>ヘルメス</v>
      </c>
      <c r="C1024" s="93">
        <f ca="1">VLOOKUP($A1024,OFFSET(fork_awake_units!$A$1,0,0,COUNTA(fork_awake_units!$A:$A),MATCH(C$1,fork_awake_units!$1:$1,0)-MATCH($A$1,fork_awake_units!$1:$1,0)+1),MATCH(C$1,fork_awake_units!$1:$1,0)-MATCH($A$1,fork_awake_units!$1:$1,0)+1,FALSE)</f>
        <v>745</v>
      </c>
      <c r="D1024" s="3" t="str">
        <f ca="1">VLOOKUP($C1024,OFFSET([2]characters!$A$1,0,0,COUNTA([2]characters!$A:$A),MATCH(D$1,[2]characters!$1:$1,0)-MATCH($A$1,[2]characters!$1:$1,0)+1),MATCH(D$1,[2]characters!$1:$1,0)-MATCH($A$1,[2]characters!$1:$1,0)+1,FALSE)</f>
        <v>望羅の発神 ヘルメス</v>
      </c>
      <c r="E1024" s="66">
        <v>107</v>
      </c>
      <c r="F1024" s="3" t="str">
        <f ca="1">VLOOKUP($E1024,OFFSET([2]characters!$A$1,0,0,COUNTA([2]characters!$A:$A),MATCH(F$1,[2]characters!$1:$1,0)-MATCH($A$1,[2]characters!$1:$1,0)+1),MATCH(F$1,[2]characters!$1:$1,0)-MATCH($A$1,[2]characters!$1:$1,0)+1,FALSE)</f>
        <v>グリーンキャタップ</v>
      </c>
      <c r="G1024" s="66">
        <v>1</v>
      </c>
      <c r="H1024" s="66">
        <v>1</v>
      </c>
      <c r="I1024" s="66">
        <v>1</v>
      </c>
    </row>
    <row r="1025" spans="1:9" x14ac:dyDescent="0.15">
      <c r="A1025" s="66">
        <v>744</v>
      </c>
      <c r="B1025" s="3" t="str">
        <f ca="1">VLOOKUP($A1025,OFFSET([2]characters!$A$1,0,0,COUNTA([2]characters!$A:$A),MATCH(B$1,[2]characters!$1:$1,0)-MATCH($A$1,[2]characters!$1:$1,0)+1),MATCH(B$1,[2]characters!$1:$1,0)-MATCH($A$1,[2]characters!$1:$1,0)+1,FALSE)</f>
        <v>ヘルメス</v>
      </c>
      <c r="C1025" s="93">
        <f ca="1">VLOOKUP($A1025,OFFSET(fork_awake_units!$A$1,0,0,COUNTA(fork_awake_units!$A:$A),MATCH(C$1,fork_awake_units!$1:$1,0)-MATCH($A$1,fork_awake_units!$1:$1,0)+1),MATCH(C$1,fork_awake_units!$1:$1,0)-MATCH($A$1,fork_awake_units!$1:$1,0)+1,FALSE)</f>
        <v>745</v>
      </c>
      <c r="D1025" s="3" t="str">
        <f ca="1">VLOOKUP($C1025,OFFSET([2]characters!$A$1,0,0,COUNTA([2]characters!$A:$A),MATCH(D$1,[2]characters!$1:$1,0)-MATCH($A$1,[2]characters!$1:$1,0)+1),MATCH(D$1,[2]characters!$1:$1,0)-MATCH($A$1,[2]characters!$1:$1,0)+1,FALSE)</f>
        <v>望羅の発神 ヘルメス</v>
      </c>
      <c r="E1025" s="66">
        <v>108</v>
      </c>
      <c r="F1025" s="3" t="str">
        <f ca="1">VLOOKUP($E1025,OFFSET([2]characters!$A$1,0,0,COUNTA([2]characters!$A:$A),MATCH(F$1,[2]characters!$1:$1,0)-MATCH($A$1,[2]characters!$1:$1,0)+1),MATCH(F$1,[2]characters!$1:$1,0)-MATCH($A$1,[2]characters!$1:$1,0)+1,FALSE)</f>
        <v>森のマッドハッター</v>
      </c>
      <c r="G1025" s="66">
        <v>1</v>
      </c>
      <c r="H1025" s="66">
        <v>1</v>
      </c>
      <c r="I1025" s="66">
        <v>1</v>
      </c>
    </row>
    <row r="1026" spans="1:9" x14ac:dyDescent="0.15">
      <c r="A1026" s="66">
        <v>744</v>
      </c>
      <c r="B1026" s="3" t="str">
        <f ca="1">VLOOKUP($A1026,OFFSET([2]characters!$A$1,0,0,COUNTA([2]characters!$A:$A),MATCH(B$1,[2]characters!$1:$1,0)-MATCH($A$1,[2]characters!$1:$1,0)+1),MATCH(B$1,[2]characters!$1:$1,0)-MATCH($A$1,[2]characters!$1:$1,0)+1,FALSE)</f>
        <v>ヘルメス</v>
      </c>
      <c r="C1026" s="93">
        <f ca="1">VLOOKUP($A1026,OFFSET(fork_awake_units!$A$1,0,0,COUNTA(fork_awake_units!$A:$A),MATCH(C$1,fork_awake_units!$1:$1,0)-MATCH($A$1,fork_awake_units!$1:$1,0)+1),MATCH(C$1,fork_awake_units!$1:$1,0)-MATCH($A$1,fork_awake_units!$1:$1,0)+1,FALSE)</f>
        <v>745</v>
      </c>
      <c r="D1026" s="3" t="str">
        <f ca="1">VLOOKUP($C1026,OFFSET([2]characters!$A$1,0,0,COUNTA([2]characters!$A:$A),MATCH(D$1,[2]characters!$1:$1,0)-MATCH($A$1,[2]characters!$1:$1,0)+1),MATCH(D$1,[2]characters!$1:$1,0)-MATCH($A$1,[2]characters!$1:$1,0)+1,FALSE)</f>
        <v>望羅の発神 ヘルメス</v>
      </c>
      <c r="E1026" s="66">
        <v>738</v>
      </c>
      <c r="F1026" s="3" t="str">
        <f ca="1">VLOOKUP($E1026,OFFSET([2]characters!$A$1,0,0,COUNTA([2]characters!$A:$A),MATCH(F$1,[2]characters!$1:$1,0)-MATCH($A$1,[2]characters!$1:$1,0)+1),MATCH(F$1,[2]characters!$1:$1,0)-MATCH($A$1,[2]characters!$1:$1,0)+1,FALSE)</f>
        <v>ラドン</v>
      </c>
      <c r="G1026" s="66">
        <v>1</v>
      </c>
      <c r="H1026" s="66">
        <v>1</v>
      </c>
      <c r="I1026" s="66">
        <v>1</v>
      </c>
    </row>
    <row r="1027" spans="1:9" x14ac:dyDescent="0.15">
      <c r="A1027" s="66">
        <v>744</v>
      </c>
      <c r="B1027" s="3" t="str">
        <f ca="1">VLOOKUP($A1027,OFFSET([2]characters!$A$1,0,0,COUNTA([2]characters!$A:$A),MATCH(B$1,[2]characters!$1:$1,0)-MATCH($A$1,[2]characters!$1:$1,0)+1),MATCH(B$1,[2]characters!$1:$1,0)-MATCH($A$1,[2]characters!$1:$1,0)+1,FALSE)</f>
        <v>ヘルメス</v>
      </c>
      <c r="C1027" s="93">
        <f ca="1">VLOOKUP($A1027,OFFSET(fork_awake_units!$A$1,0,0,COUNTA(fork_awake_units!$A:$A),MATCH(C$1,fork_awake_units!$1:$1,0)-MATCH($A$1,fork_awake_units!$1:$1,0)+1),MATCH(C$1,fork_awake_units!$1:$1,0)-MATCH($A$1,fork_awake_units!$1:$1,0)+1,FALSE)</f>
        <v>745</v>
      </c>
      <c r="D1027" s="3" t="str">
        <f ca="1">VLOOKUP($C1027,OFFSET([2]characters!$A$1,0,0,COUNTA([2]characters!$A:$A),MATCH(D$1,[2]characters!$1:$1,0)-MATCH($A$1,[2]characters!$1:$1,0)+1),MATCH(D$1,[2]characters!$1:$1,0)-MATCH($A$1,[2]characters!$1:$1,0)+1,FALSE)</f>
        <v>望羅の発神 ヘルメス</v>
      </c>
      <c r="E1027" s="66">
        <v>766</v>
      </c>
      <c r="F1027" s="3" t="str">
        <f ca="1">VLOOKUP($E1027,OFFSET([2]characters!$A$1,0,0,COUNTA([2]characters!$A:$A),MATCH(F$1,[2]characters!$1:$1,0)-MATCH($A$1,[2]characters!$1:$1,0)+1),MATCH(F$1,[2]characters!$1:$1,0)-MATCH($A$1,[2]characters!$1:$1,0)+1,FALSE)</f>
        <v>ランドラグ</v>
      </c>
      <c r="G1027" s="66">
        <v>1</v>
      </c>
      <c r="H1027" s="66">
        <v>1</v>
      </c>
      <c r="I1027" s="66">
        <v>1</v>
      </c>
    </row>
    <row r="1028" spans="1:9" x14ac:dyDescent="0.15">
      <c r="A1028" s="66">
        <v>744</v>
      </c>
      <c r="B1028" s="3" t="str">
        <f ca="1">VLOOKUP($A1028,OFFSET([2]characters!$A$1,0,0,COUNTA([2]characters!$A:$A),MATCH(B$1,[2]characters!$1:$1,0)-MATCH($A$1,[2]characters!$1:$1,0)+1),MATCH(B$1,[2]characters!$1:$1,0)-MATCH($A$1,[2]characters!$1:$1,0)+1,FALSE)</f>
        <v>ヘルメス</v>
      </c>
      <c r="C1028" s="93">
        <f ca="1">VLOOKUP($A1028,OFFSET(fork_awake_units!$A$1,0,0,COUNTA(fork_awake_units!$A:$A),MATCH(C$1,fork_awake_units!$1:$1,0)-MATCH($A$1,fork_awake_units!$1:$1,0)+1),MATCH(C$1,fork_awake_units!$1:$1,0)-MATCH($A$1,fork_awake_units!$1:$1,0)+1,FALSE)</f>
        <v>745</v>
      </c>
      <c r="D1028" s="3" t="str">
        <f ca="1">VLOOKUP($C1028,OFFSET([2]characters!$A$1,0,0,COUNTA([2]characters!$A:$A),MATCH(D$1,[2]characters!$1:$1,0)-MATCH($A$1,[2]characters!$1:$1,0)+1),MATCH(D$1,[2]characters!$1:$1,0)-MATCH($A$1,[2]characters!$1:$1,0)+1,FALSE)</f>
        <v>望羅の発神 ヘルメス</v>
      </c>
      <c r="E1028" s="66">
        <v>837</v>
      </c>
      <c r="F1028" s="3" t="str">
        <f ca="1">VLOOKUP($E1028,OFFSET([2]characters!$A$1,0,0,COUNTA([2]characters!$A:$A),MATCH(F$1,[2]characters!$1:$1,0)-MATCH($A$1,[2]characters!$1:$1,0)+1),MATCH(F$1,[2]characters!$1:$1,0)-MATCH($A$1,[2]characters!$1:$1,0)+1,FALSE)</f>
        <v>リトルハンプティ</v>
      </c>
      <c r="G1028" s="66">
        <v>1</v>
      </c>
      <c r="H1028" s="66">
        <v>1</v>
      </c>
      <c r="I1028" s="66">
        <v>1</v>
      </c>
    </row>
    <row r="1029" spans="1:9" x14ac:dyDescent="0.15">
      <c r="A1029" s="66">
        <v>746</v>
      </c>
      <c r="B1029" s="3" t="str">
        <f ca="1">VLOOKUP($A1029,OFFSET([2]characters!$A$1,0,0,COUNTA([2]characters!$A:$A),MATCH(B$1,[2]characters!$1:$1,0)-MATCH($A$1,[2]characters!$1:$1,0)+1),MATCH(B$1,[2]characters!$1:$1,0)-MATCH($A$1,[2]characters!$1:$1,0)+1,FALSE)</f>
        <v>ノルン</v>
      </c>
      <c r="C1029" s="93">
        <f ca="1">VLOOKUP($A1029,OFFSET(fork_awake_units!$A$1,0,0,COUNTA(fork_awake_units!$A:$A),MATCH(C$1,fork_awake_units!$1:$1,0)-MATCH($A$1,fork_awake_units!$1:$1,0)+1),MATCH(C$1,fork_awake_units!$1:$1,0)-MATCH($A$1,fork_awake_units!$1:$1,0)+1,FALSE)</f>
        <v>747</v>
      </c>
      <c r="D1029" s="3" t="str">
        <f ca="1">VLOOKUP($C1029,OFFSET([2]characters!$A$1,0,0,COUNTA([2]characters!$A:$A),MATCH(D$1,[2]characters!$1:$1,0)-MATCH($A$1,[2]characters!$1:$1,0)+1),MATCH(D$1,[2]characters!$1:$1,0)-MATCH($A$1,[2]characters!$1:$1,0)+1,FALSE)</f>
        <v>潔碧の巡励神 ノルン</v>
      </c>
      <c r="E1029" s="66">
        <v>110</v>
      </c>
      <c r="F1029" s="3" t="str">
        <f ca="1">VLOOKUP($E1029,OFFSET([2]characters!$A$1,0,0,COUNTA([2]characters!$A:$A),MATCH(F$1,[2]characters!$1:$1,0)-MATCH($A$1,[2]characters!$1:$1,0)+1),MATCH(F$1,[2]characters!$1:$1,0)-MATCH($A$1,[2]characters!$1:$1,0)+1,FALSE)</f>
        <v>ブルーラビット</v>
      </c>
      <c r="G1029" s="66">
        <v>1</v>
      </c>
      <c r="H1029" s="66">
        <v>1</v>
      </c>
      <c r="I1029" s="66">
        <v>1</v>
      </c>
    </row>
    <row r="1030" spans="1:9" x14ac:dyDescent="0.15">
      <c r="A1030" s="66">
        <v>746</v>
      </c>
      <c r="B1030" s="3" t="str">
        <f ca="1">VLOOKUP($A1030,OFFSET([2]characters!$A$1,0,0,COUNTA([2]characters!$A:$A),MATCH(B$1,[2]characters!$1:$1,0)-MATCH($A$1,[2]characters!$1:$1,0)+1),MATCH(B$1,[2]characters!$1:$1,0)-MATCH($A$1,[2]characters!$1:$1,0)+1,FALSE)</f>
        <v>ノルン</v>
      </c>
      <c r="C1030" s="93">
        <f ca="1">VLOOKUP($A1030,OFFSET(fork_awake_units!$A$1,0,0,COUNTA(fork_awake_units!$A:$A),MATCH(C$1,fork_awake_units!$1:$1,0)-MATCH($A$1,fork_awake_units!$1:$1,0)+1),MATCH(C$1,fork_awake_units!$1:$1,0)-MATCH($A$1,fork_awake_units!$1:$1,0)+1,FALSE)</f>
        <v>747</v>
      </c>
      <c r="D1030" s="3" t="str">
        <f ca="1">VLOOKUP($C1030,OFFSET([2]characters!$A$1,0,0,COUNTA([2]characters!$A:$A),MATCH(D$1,[2]characters!$1:$1,0)-MATCH($A$1,[2]characters!$1:$1,0)+1),MATCH(D$1,[2]characters!$1:$1,0)-MATCH($A$1,[2]characters!$1:$1,0)+1,FALSE)</f>
        <v>潔碧の巡励神 ノルン</v>
      </c>
      <c r="E1030" s="66">
        <v>111</v>
      </c>
      <c r="F1030" s="3" t="str">
        <f ca="1">VLOOKUP($E1030,OFFSET([2]characters!$A$1,0,0,COUNTA([2]characters!$A:$A),MATCH(F$1,[2]characters!$1:$1,0)-MATCH($A$1,[2]characters!$1:$1,0)+1),MATCH(F$1,[2]characters!$1:$1,0)-MATCH($A$1,[2]characters!$1:$1,0)+1,FALSE)</f>
        <v>ブルーキャタップ</v>
      </c>
      <c r="G1030" s="66">
        <v>2</v>
      </c>
      <c r="H1030" s="66">
        <v>1</v>
      </c>
      <c r="I1030" s="66">
        <v>1</v>
      </c>
    </row>
    <row r="1031" spans="1:9" x14ac:dyDescent="0.15">
      <c r="A1031" s="66">
        <v>746</v>
      </c>
      <c r="B1031" s="3" t="str">
        <f ca="1">VLOOKUP($A1031,OFFSET([2]characters!$A$1,0,0,COUNTA([2]characters!$A:$A),MATCH(B$1,[2]characters!$1:$1,0)-MATCH($A$1,[2]characters!$1:$1,0)+1),MATCH(B$1,[2]characters!$1:$1,0)-MATCH($A$1,[2]characters!$1:$1,0)+1,FALSE)</f>
        <v>ノルン</v>
      </c>
      <c r="C1031" s="93">
        <f ca="1">VLOOKUP($A1031,OFFSET(fork_awake_units!$A$1,0,0,COUNTA(fork_awake_units!$A:$A),MATCH(C$1,fork_awake_units!$1:$1,0)-MATCH($A$1,fork_awake_units!$1:$1,0)+1),MATCH(C$1,fork_awake_units!$1:$1,0)-MATCH($A$1,fork_awake_units!$1:$1,0)+1,FALSE)</f>
        <v>747</v>
      </c>
      <c r="D1031" s="3" t="str">
        <f ca="1">VLOOKUP($C1031,OFFSET([2]characters!$A$1,0,0,COUNTA([2]characters!$A:$A),MATCH(D$1,[2]characters!$1:$1,0)-MATCH($A$1,[2]characters!$1:$1,0)+1),MATCH(D$1,[2]characters!$1:$1,0)-MATCH($A$1,[2]characters!$1:$1,0)+1,FALSE)</f>
        <v>潔碧の巡励神 ノルン</v>
      </c>
      <c r="E1031" s="66">
        <v>112</v>
      </c>
      <c r="F1031" s="3" t="str">
        <f ca="1">VLOOKUP($E1031,OFFSET([2]characters!$A$1,0,0,COUNTA([2]characters!$A:$A),MATCH(F$1,[2]characters!$1:$1,0)-MATCH($A$1,[2]characters!$1:$1,0)+1),MATCH(F$1,[2]characters!$1:$1,0)-MATCH($A$1,[2]characters!$1:$1,0)+1,FALSE)</f>
        <v>水のマッドハッター</v>
      </c>
      <c r="G1031" s="66">
        <v>2</v>
      </c>
      <c r="H1031" s="66">
        <v>1</v>
      </c>
      <c r="I1031" s="66">
        <v>1</v>
      </c>
    </row>
    <row r="1032" spans="1:9" x14ac:dyDescent="0.15">
      <c r="A1032" s="66">
        <v>748</v>
      </c>
      <c r="B1032" s="3" t="str">
        <f ca="1">VLOOKUP($A1032,OFFSET([2]characters!$A$1,0,0,COUNTA([2]characters!$A:$A),MATCH(B$1,[2]characters!$1:$1,0)-MATCH($A$1,[2]characters!$1:$1,0)+1),MATCH(B$1,[2]characters!$1:$1,0)-MATCH($A$1,[2]characters!$1:$1,0)+1,FALSE)</f>
        <v>パーン</v>
      </c>
      <c r="C1032" s="93">
        <f ca="1">VLOOKUP($A1032,OFFSET(fork_awake_units!$A$1,0,0,COUNTA(fork_awake_units!$A:$A),MATCH(C$1,fork_awake_units!$1:$1,0)-MATCH($A$1,fork_awake_units!$1:$1,0)+1),MATCH(C$1,fork_awake_units!$1:$1,0)-MATCH($A$1,fork_awake_units!$1:$1,0)+1,FALSE)</f>
        <v>749</v>
      </c>
      <c r="D1032" s="3" t="str">
        <f ca="1">VLOOKUP($C1032,OFFSET([2]characters!$A$1,0,0,COUNTA([2]characters!$A:$A),MATCH(D$1,[2]characters!$1:$1,0)-MATCH($A$1,[2]characters!$1:$1,0)+1),MATCH(D$1,[2]characters!$1:$1,0)-MATCH($A$1,[2]characters!$1:$1,0)+1,FALSE)</f>
        <v>光喜の牧童 パーン</v>
      </c>
      <c r="E1032" s="66">
        <v>114</v>
      </c>
      <c r="F1032" s="3" t="str">
        <f ca="1">VLOOKUP($E1032,OFFSET([2]characters!$A$1,0,0,COUNTA([2]characters!$A:$A),MATCH(F$1,[2]characters!$1:$1,0)-MATCH($A$1,[2]characters!$1:$1,0)+1),MATCH(F$1,[2]characters!$1:$1,0)-MATCH($A$1,[2]characters!$1:$1,0)+1,FALSE)</f>
        <v>イエローラビット</v>
      </c>
      <c r="G1032" s="66">
        <v>1</v>
      </c>
      <c r="H1032" s="66">
        <v>1</v>
      </c>
      <c r="I1032" s="66">
        <v>1</v>
      </c>
    </row>
    <row r="1033" spans="1:9" x14ac:dyDescent="0.15">
      <c r="A1033" s="66">
        <v>748</v>
      </c>
      <c r="B1033" s="3" t="str">
        <f ca="1">VLOOKUP($A1033,OFFSET([2]characters!$A$1,0,0,COUNTA([2]characters!$A:$A),MATCH(B$1,[2]characters!$1:$1,0)-MATCH($A$1,[2]characters!$1:$1,0)+1),MATCH(B$1,[2]characters!$1:$1,0)-MATCH($A$1,[2]characters!$1:$1,0)+1,FALSE)</f>
        <v>パーン</v>
      </c>
      <c r="C1033" s="93">
        <f ca="1">VLOOKUP($A1033,OFFSET(fork_awake_units!$A$1,0,0,COUNTA(fork_awake_units!$A:$A),MATCH(C$1,fork_awake_units!$1:$1,0)-MATCH($A$1,fork_awake_units!$1:$1,0)+1),MATCH(C$1,fork_awake_units!$1:$1,0)-MATCH($A$1,fork_awake_units!$1:$1,0)+1,FALSE)</f>
        <v>749</v>
      </c>
      <c r="D1033" s="3" t="str">
        <f ca="1">VLOOKUP($C1033,OFFSET([2]characters!$A$1,0,0,COUNTA([2]characters!$A:$A),MATCH(D$1,[2]characters!$1:$1,0)-MATCH($A$1,[2]characters!$1:$1,0)+1),MATCH(D$1,[2]characters!$1:$1,0)-MATCH($A$1,[2]characters!$1:$1,0)+1,FALSE)</f>
        <v>光喜の牧童 パーン</v>
      </c>
      <c r="E1033" s="66">
        <v>115</v>
      </c>
      <c r="F1033" s="3" t="str">
        <f ca="1">VLOOKUP($E1033,OFFSET([2]characters!$A$1,0,0,COUNTA([2]characters!$A:$A),MATCH(F$1,[2]characters!$1:$1,0)-MATCH($A$1,[2]characters!$1:$1,0)+1),MATCH(F$1,[2]characters!$1:$1,0)-MATCH($A$1,[2]characters!$1:$1,0)+1,FALSE)</f>
        <v>イエローキャタップ</v>
      </c>
      <c r="G1033" s="66">
        <v>2</v>
      </c>
      <c r="H1033" s="66">
        <v>1</v>
      </c>
      <c r="I1033" s="66">
        <v>1</v>
      </c>
    </row>
    <row r="1034" spans="1:9" x14ac:dyDescent="0.15">
      <c r="A1034" s="66">
        <v>748</v>
      </c>
      <c r="B1034" s="3" t="str">
        <f ca="1">VLOOKUP($A1034,OFFSET([2]characters!$A$1,0,0,COUNTA([2]characters!$A:$A),MATCH(B$1,[2]characters!$1:$1,0)-MATCH($A$1,[2]characters!$1:$1,0)+1),MATCH(B$1,[2]characters!$1:$1,0)-MATCH($A$1,[2]characters!$1:$1,0)+1,FALSE)</f>
        <v>パーン</v>
      </c>
      <c r="C1034" s="93">
        <f ca="1">VLOOKUP($A1034,OFFSET(fork_awake_units!$A$1,0,0,COUNTA(fork_awake_units!$A:$A),MATCH(C$1,fork_awake_units!$1:$1,0)-MATCH($A$1,fork_awake_units!$1:$1,0)+1),MATCH(C$1,fork_awake_units!$1:$1,0)-MATCH($A$1,fork_awake_units!$1:$1,0)+1,FALSE)</f>
        <v>749</v>
      </c>
      <c r="D1034" s="3" t="str">
        <f ca="1">VLOOKUP($C1034,OFFSET([2]characters!$A$1,0,0,COUNTA([2]characters!$A:$A),MATCH(D$1,[2]characters!$1:$1,0)-MATCH($A$1,[2]characters!$1:$1,0)+1),MATCH(D$1,[2]characters!$1:$1,0)-MATCH($A$1,[2]characters!$1:$1,0)+1,FALSE)</f>
        <v>光喜の牧童 パーン</v>
      </c>
      <c r="E1034" s="66">
        <v>116</v>
      </c>
      <c r="F1034" s="3" t="str">
        <f ca="1">VLOOKUP($E1034,OFFSET([2]characters!$A$1,0,0,COUNTA([2]characters!$A:$A),MATCH(F$1,[2]characters!$1:$1,0)-MATCH($A$1,[2]characters!$1:$1,0)+1),MATCH(F$1,[2]characters!$1:$1,0)-MATCH($A$1,[2]characters!$1:$1,0)+1,FALSE)</f>
        <v>雷のマッドハッター</v>
      </c>
      <c r="G1034" s="66">
        <v>2</v>
      </c>
      <c r="H1034" s="66">
        <v>1</v>
      </c>
      <c r="I1034" s="66">
        <v>1</v>
      </c>
    </row>
    <row r="1035" spans="1:9" x14ac:dyDescent="0.15">
      <c r="A1035" s="66">
        <v>764</v>
      </c>
      <c r="B1035" s="3" t="str">
        <f ca="1">VLOOKUP($A1035,OFFSET([2]characters!$A$1,0,0,COUNTA([2]characters!$A:$A),MATCH(B$1,[2]characters!$1:$1,0)-MATCH($A$1,[2]characters!$1:$1,0)+1),MATCH(B$1,[2]characters!$1:$1,0)-MATCH($A$1,[2]characters!$1:$1,0)+1,FALSE)</f>
        <v>ライオネル</v>
      </c>
      <c r="C1035" s="93">
        <f ca="1">VLOOKUP($A1035,OFFSET(fork_awake_units!$A$1,0,0,COUNTA(fork_awake_units!$A:$A),MATCH(C$1,fork_awake_units!$1:$1,0)-MATCH($A$1,fork_awake_units!$1:$1,0)+1),MATCH(C$1,fork_awake_units!$1:$1,0)-MATCH($A$1,fork_awake_units!$1:$1,0)+1,FALSE)</f>
        <v>765</v>
      </c>
      <c r="D1035" s="3" t="str">
        <f ca="1">VLOOKUP($C1035,OFFSET([2]characters!$A$1,0,0,COUNTA([2]characters!$A:$A),MATCH(D$1,[2]characters!$1:$1,0)-MATCH($A$1,[2]characters!$1:$1,0)+1),MATCH(D$1,[2]characters!$1:$1,0)-MATCH($A$1,[2]characters!$1:$1,0)+1,FALSE)</f>
        <v>逆襲獣皇 ライオネル</v>
      </c>
      <c r="E1035" s="66">
        <v>113</v>
      </c>
      <c r="F1035" s="3" t="str">
        <f ca="1">VLOOKUP($E1035,OFFSET([2]characters!$A$1,0,0,COUNTA([2]characters!$A:$A),MATCH(F$1,[2]characters!$1:$1,0)-MATCH($A$1,[2]characters!$1:$1,0)+1),MATCH(F$1,[2]characters!$1:$1,0)-MATCH($A$1,[2]characters!$1:$1,0)+1,FALSE)</f>
        <v>イエローチェシャ</v>
      </c>
      <c r="G1035" s="66">
        <v>1</v>
      </c>
      <c r="H1035" s="66">
        <v>1</v>
      </c>
      <c r="I1035" s="66">
        <v>1</v>
      </c>
    </row>
    <row r="1036" spans="1:9" x14ac:dyDescent="0.15">
      <c r="A1036" s="66">
        <v>764</v>
      </c>
      <c r="B1036" s="3" t="str">
        <f ca="1">VLOOKUP($A1036,OFFSET([2]characters!$A$1,0,0,COUNTA([2]characters!$A:$A),MATCH(B$1,[2]characters!$1:$1,0)-MATCH($A$1,[2]characters!$1:$1,0)+1),MATCH(B$1,[2]characters!$1:$1,0)-MATCH($A$1,[2]characters!$1:$1,0)+1,FALSE)</f>
        <v>ライオネル</v>
      </c>
      <c r="C1036" s="93">
        <f ca="1">VLOOKUP($A1036,OFFSET(fork_awake_units!$A$1,0,0,COUNTA(fork_awake_units!$A:$A),MATCH(C$1,fork_awake_units!$1:$1,0)-MATCH($A$1,fork_awake_units!$1:$1,0)+1),MATCH(C$1,fork_awake_units!$1:$1,0)-MATCH($A$1,fork_awake_units!$1:$1,0)+1,FALSE)</f>
        <v>765</v>
      </c>
      <c r="D1036" s="3" t="str">
        <f ca="1">VLOOKUP($C1036,OFFSET([2]characters!$A$1,0,0,COUNTA([2]characters!$A:$A),MATCH(D$1,[2]characters!$1:$1,0)-MATCH($A$1,[2]characters!$1:$1,0)+1),MATCH(D$1,[2]characters!$1:$1,0)-MATCH($A$1,[2]characters!$1:$1,0)+1,FALSE)</f>
        <v>逆襲獣皇 ライオネル</v>
      </c>
      <c r="E1036" s="66">
        <v>114</v>
      </c>
      <c r="F1036" s="3" t="str">
        <f ca="1">VLOOKUP($E1036,OFFSET([2]characters!$A$1,0,0,COUNTA([2]characters!$A:$A),MATCH(F$1,[2]characters!$1:$1,0)-MATCH($A$1,[2]characters!$1:$1,0)+1),MATCH(F$1,[2]characters!$1:$1,0)-MATCH($A$1,[2]characters!$1:$1,0)+1,FALSE)</f>
        <v>イエローラビット</v>
      </c>
      <c r="G1036" s="66">
        <v>2</v>
      </c>
      <c r="H1036" s="66">
        <v>1</v>
      </c>
      <c r="I1036" s="66">
        <v>1</v>
      </c>
    </row>
    <row r="1037" spans="1:9" x14ac:dyDescent="0.15">
      <c r="A1037" s="66">
        <v>764</v>
      </c>
      <c r="B1037" s="3" t="str">
        <f ca="1">VLOOKUP($A1037,OFFSET([2]characters!$A$1,0,0,COUNTA([2]characters!$A:$A),MATCH(B$1,[2]characters!$1:$1,0)-MATCH($A$1,[2]characters!$1:$1,0)+1),MATCH(B$1,[2]characters!$1:$1,0)-MATCH($A$1,[2]characters!$1:$1,0)+1,FALSE)</f>
        <v>ライオネル</v>
      </c>
      <c r="C1037" s="93">
        <f ca="1">VLOOKUP($A1037,OFFSET(fork_awake_units!$A$1,0,0,COUNTA(fork_awake_units!$A:$A),MATCH(C$1,fork_awake_units!$1:$1,0)-MATCH($A$1,fork_awake_units!$1:$1,0)+1),MATCH(C$1,fork_awake_units!$1:$1,0)-MATCH($A$1,fork_awake_units!$1:$1,0)+1,FALSE)</f>
        <v>765</v>
      </c>
      <c r="D1037" s="3" t="str">
        <f ca="1">VLOOKUP($C1037,OFFSET([2]characters!$A$1,0,0,COUNTA([2]characters!$A:$A),MATCH(D$1,[2]characters!$1:$1,0)-MATCH($A$1,[2]characters!$1:$1,0)+1),MATCH(D$1,[2]characters!$1:$1,0)-MATCH($A$1,[2]characters!$1:$1,0)+1,FALSE)</f>
        <v>逆襲獣皇 ライオネル</v>
      </c>
      <c r="E1037" s="66">
        <v>115</v>
      </c>
      <c r="F1037" s="3" t="str">
        <f ca="1">VLOOKUP($E1037,OFFSET([2]characters!$A$1,0,0,COUNTA([2]characters!$A:$A),MATCH(F$1,[2]characters!$1:$1,0)-MATCH($A$1,[2]characters!$1:$1,0)+1),MATCH(F$1,[2]characters!$1:$1,0)-MATCH($A$1,[2]characters!$1:$1,0)+1,FALSE)</f>
        <v>イエローキャタップ</v>
      </c>
      <c r="G1037" s="66">
        <v>1</v>
      </c>
      <c r="H1037" s="66">
        <v>1</v>
      </c>
      <c r="I1037" s="66">
        <v>1</v>
      </c>
    </row>
    <row r="1038" spans="1:9" x14ac:dyDescent="0.15">
      <c r="A1038" s="66">
        <v>764</v>
      </c>
      <c r="B1038" s="3" t="str">
        <f ca="1">VLOOKUP($A1038,OFFSET([2]characters!$A$1,0,0,COUNTA([2]characters!$A:$A),MATCH(B$1,[2]characters!$1:$1,0)-MATCH($A$1,[2]characters!$1:$1,0)+1),MATCH(B$1,[2]characters!$1:$1,0)-MATCH($A$1,[2]characters!$1:$1,0)+1,FALSE)</f>
        <v>ライオネル</v>
      </c>
      <c r="C1038" s="93">
        <f ca="1">VLOOKUP($A1038,OFFSET(fork_awake_units!$A$1,0,0,COUNTA(fork_awake_units!$A:$A),MATCH(C$1,fork_awake_units!$1:$1,0)-MATCH($A$1,fork_awake_units!$1:$1,0)+1),MATCH(C$1,fork_awake_units!$1:$1,0)-MATCH($A$1,fork_awake_units!$1:$1,0)+1,FALSE)</f>
        <v>765</v>
      </c>
      <c r="D1038" s="3" t="str">
        <f ca="1">VLOOKUP($C1038,OFFSET([2]characters!$A$1,0,0,COUNTA([2]characters!$A:$A),MATCH(D$1,[2]characters!$1:$1,0)-MATCH($A$1,[2]characters!$1:$1,0)+1),MATCH(D$1,[2]characters!$1:$1,0)-MATCH($A$1,[2]characters!$1:$1,0)+1,FALSE)</f>
        <v>逆襲獣皇 ライオネル</v>
      </c>
      <c r="E1038" s="66">
        <v>116</v>
      </c>
      <c r="F1038" s="3" t="str">
        <f ca="1">VLOOKUP($E1038,OFFSET([2]characters!$A$1,0,0,COUNTA([2]characters!$A:$A),MATCH(F$1,[2]characters!$1:$1,0)-MATCH($A$1,[2]characters!$1:$1,0)+1),MATCH(F$1,[2]characters!$1:$1,0)-MATCH($A$1,[2]characters!$1:$1,0)+1,FALSE)</f>
        <v>雷のマッドハッター</v>
      </c>
      <c r="G1038" s="66">
        <v>1</v>
      </c>
      <c r="H1038" s="66">
        <v>1</v>
      </c>
      <c r="I1038" s="66">
        <v>1</v>
      </c>
    </row>
    <row r="1039" spans="1:9" x14ac:dyDescent="0.15">
      <c r="A1039" s="66">
        <v>766</v>
      </c>
      <c r="B1039" s="3" t="str">
        <f ca="1">VLOOKUP($A1039,OFFSET([2]characters!$A$1,0,0,COUNTA([2]characters!$A:$A),MATCH(B$1,[2]characters!$1:$1,0)-MATCH($A$1,[2]characters!$1:$1,0)+1),MATCH(B$1,[2]characters!$1:$1,0)-MATCH($A$1,[2]characters!$1:$1,0)+1,FALSE)</f>
        <v>ランドラグ</v>
      </c>
      <c r="C1039" s="93">
        <f ca="1">VLOOKUP($A1039,OFFSET(fork_awake_units!$A$1,0,0,COUNTA(fork_awake_units!$A:$A),MATCH(C$1,fork_awake_units!$1:$1,0)-MATCH($A$1,fork_awake_units!$1:$1,0)+1),MATCH(C$1,fork_awake_units!$1:$1,0)-MATCH($A$1,fork_awake_units!$1:$1,0)+1,FALSE)</f>
        <v>767</v>
      </c>
      <c r="D1039" s="3" t="str">
        <f ca="1">VLOOKUP($C1039,OFFSET([2]characters!$A$1,0,0,COUNTA([2]characters!$A:$A),MATCH(D$1,[2]characters!$1:$1,0)-MATCH($A$1,[2]characters!$1:$1,0)+1),MATCH(D$1,[2]characters!$1:$1,0)-MATCH($A$1,[2]characters!$1:$1,0)+1,FALSE)</f>
        <v>灼炎業竜 ランドラグ</v>
      </c>
      <c r="E1039" s="66">
        <v>101</v>
      </c>
      <c r="F1039" s="3" t="str">
        <f ca="1">VLOOKUP($E1039,OFFSET([2]characters!$A$1,0,0,COUNTA([2]characters!$A:$A),MATCH(F$1,[2]characters!$1:$1,0)-MATCH($A$1,[2]characters!$1:$1,0)+1),MATCH(F$1,[2]characters!$1:$1,0)-MATCH($A$1,[2]characters!$1:$1,0)+1,FALSE)</f>
        <v>レッドチェシャ</v>
      </c>
      <c r="G1039" s="66">
        <v>1</v>
      </c>
      <c r="H1039" s="66">
        <v>1</v>
      </c>
      <c r="I1039" s="66">
        <v>1</v>
      </c>
    </row>
    <row r="1040" spans="1:9" x14ac:dyDescent="0.15">
      <c r="A1040" s="66">
        <v>766</v>
      </c>
      <c r="B1040" s="3" t="str">
        <f ca="1">VLOOKUP($A1040,OFFSET([2]characters!$A$1,0,0,COUNTA([2]characters!$A:$A),MATCH(B$1,[2]characters!$1:$1,0)-MATCH($A$1,[2]characters!$1:$1,0)+1),MATCH(B$1,[2]characters!$1:$1,0)-MATCH($A$1,[2]characters!$1:$1,0)+1,FALSE)</f>
        <v>ランドラグ</v>
      </c>
      <c r="C1040" s="93">
        <f ca="1">VLOOKUP($A1040,OFFSET(fork_awake_units!$A$1,0,0,COUNTA(fork_awake_units!$A:$A),MATCH(C$1,fork_awake_units!$1:$1,0)-MATCH($A$1,fork_awake_units!$1:$1,0)+1),MATCH(C$1,fork_awake_units!$1:$1,0)-MATCH($A$1,fork_awake_units!$1:$1,0)+1,FALSE)</f>
        <v>767</v>
      </c>
      <c r="D1040" s="3" t="str">
        <f ca="1">VLOOKUP($C1040,OFFSET([2]characters!$A$1,0,0,COUNTA([2]characters!$A:$A),MATCH(D$1,[2]characters!$1:$1,0)-MATCH($A$1,[2]characters!$1:$1,0)+1),MATCH(D$1,[2]characters!$1:$1,0)-MATCH($A$1,[2]characters!$1:$1,0)+1,FALSE)</f>
        <v>灼炎業竜 ランドラグ</v>
      </c>
      <c r="E1040" s="66">
        <v>102</v>
      </c>
      <c r="F1040" s="3" t="str">
        <f ca="1">VLOOKUP($E1040,OFFSET([2]characters!$A$1,0,0,COUNTA([2]characters!$A:$A),MATCH(F$1,[2]characters!$1:$1,0)-MATCH($A$1,[2]characters!$1:$1,0)+1),MATCH(F$1,[2]characters!$1:$1,0)-MATCH($A$1,[2]characters!$1:$1,0)+1,FALSE)</f>
        <v>レッドラビット</v>
      </c>
      <c r="G1040" s="66">
        <v>2</v>
      </c>
      <c r="H1040" s="66">
        <v>1</v>
      </c>
      <c r="I1040" s="66">
        <v>1</v>
      </c>
    </row>
    <row r="1041" spans="1:9" x14ac:dyDescent="0.15">
      <c r="A1041" s="66">
        <v>766</v>
      </c>
      <c r="B1041" s="3" t="str">
        <f ca="1">VLOOKUP($A1041,OFFSET([2]characters!$A$1,0,0,COUNTA([2]characters!$A:$A),MATCH(B$1,[2]characters!$1:$1,0)-MATCH($A$1,[2]characters!$1:$1,0)+1),MATCH(B$1,[2]characters!$1:$1,0)-MATCH($A$1,[2]characters!$1:$1,0)+1,FALSE)</f>
        <v>ランドラグ</v>
      </c>
      <c r="C1041" s="93">
        <f ca="1">VLOOKUP($A1041,OFFSET(fork_awake_units!$A$1,0,0,COUNTA(fork_awake_units!$A:$A),MATCH(C$1,fork_awake_units!$1:$1,0)-MATCH($A$1,fork_awake_units!$1:$1,0)+1),MATCH(C$1,fork_awake_units!$1:$1,0)-MATCH($A$1,fork_awake_units!$1:$1,0)+1,FALSE)</f>
        <v>767</v>
      </c>
      <c r="D1041" s="3" t="str">
        <f ca="1">VLOOKUP($C1041,OFFSET([2]characters!$A$1,0,0,COUNTA([2]characters!$A:$A),MATCH(D$1,[2]characters!$1:$1,0)-MATCH($A$1,[2]characters!$1:$1,0)+1),MATCH(D$1,[2]characters!$1:$1,0)-MATCH($A$1,[2]characters!$1:$1,0)+1,FALSE)</f>
        <v>灼炎業竜 ランドラグ</v>
      </c>
      <c r="E1041" s="66">
        <v>103</v>
      </c>
      <c r="F1041" s="3" t="str">
        <f ca="1">VLOOKUP($E1041,OFFSET([2]characters!$A$1,0,0,COUNTA([2]characters!$A:$A),MATCH(F$1,[2]characters!$1:$1,0)-MATCH($A$1,[2]characters!$1:$1,0)+1),MATCH(F$1,[2]characters!$1:$1,0)-MATCH($A$1,[2]characters!$1:$1,0)+1,FALSE)</f>
        <v>レッドキャタップ</v>
      </c>
      <c r="G1041" s="66">
        <v>1</v>
      </c>
      <c r="H1041" s="66">
        <v>1</v>
      </c>
      <c r="I1041" s="66">
        <v>1</v>
      </c>
    </row>
    <row r="1042" spans="1:9" x14ac:dyDescent="0.15">
      <c r="A1042" s="66">
        <v>766</v>
      </c>
      <c r="B1042" s="3" t="str">
        <f ca="1">VLOOKUP($A1042,OFFSET([2]characters!$A$1,0,0,COUNTA([2]characters!$A:$A),MATCH(B$1,[2]characters!$1:$1,0)-MATCH($A$1,[2]characters!$1:$1,0)+1),MATCH(B$1,[2]characters!$1:$1,0)-MATCH($A$1,[2]characters!$1:$1,0)+1,FALSE)</f>
        <v>ランドラグ</v>
      </c>
      <c r="C1042" s="93">
        <f ca="1">VLOOKUP($A1042,OFFSET(fork_awake_units!$A$1,0,0,COUNTA(fork_awake_units!$A:$A),MATCH(C$1,fork_awake_units!$1:$1,0)-MATCH($A$1,fork_awake_units!$1:$1,0)+1),MATCH(C$1,fork_awake_units!$1:$1,0)-MATCH($A$1,fork_awake_units!$1:$1,0)+1,FALSE)</f>
        <v>767</v>
      </c>
      <c r="D1042" s="3" t="str">
        <f ca="1">VLOOKUP($C1042,OFFSET([2]characters!$A$1,0,0,COUNTA([2]characters!$A:$A),MATCH(D$1,[2]characters!$1:$1,0)-MATCH($A$1,[2]characters!$1:$1,0)+1),MATCH(D$1,[2]characters!$1:$1,0)-MATCH($A$1,[2]characters!$1:$1,0)+1,FALSE)</f>
        <v>灼炎業竜 ランドラグ</v>
      </c>
      <c r="E1042" s="66">
        <v>104</v>
      </c>
      <c r="F1042" s="3" t="str">
        <f ca="1">VLOOKUP($E1042,OFFSET([2]characters!$A$1,0,0,COUNTA([2]characters!$A:$A),MATCH(F$1,[2]characters!$1:$1,0)-MATCH($A$1,[2]characters!$1:$1,0)+1),MATCH(F$1,[2]characters!$1:$1,0)-MATCH($A$1,[2]characters!$1:$1,0)+1,FALSE)</f>
        <v>炎のマッドハッター</v>
      </c>
      <c r="G1042" s="66">
        <v>1</v>
      </c>
      <c r="H1042" s="66">
        <v>1</v>
      </c>
      <c r="I1042" s="66">
        <v>1</v>
      </c>
    </row>
    <row r="1043" spans="1:9" x14ac:dyDescent="0.15">
      <c r="A1043" s="66">
        <v>768</v>
      </c>
      <c r="B1043" s="3" t="str">
        <f ca="1">VLOOKUP($A1043,OFFSET([2]characters!$A$1,0,0,COUNTA([2]characters!$A:$A),MATCH(B$1,[2]characters!$1:$1,0)-MATCH($A$1,[2]characters!$1:$1,0)+1),MATCH(B$1,[2]characters!$1:$1,0)-MATCH($A$1,[2]characters!$1:$1,0)+1,FALSE)</f>
        <v>ガレス</v>
      </c>
      <c r="C1043" s="93">
        <f ca="1">VLOOKUP($A1043,OFFSET(fork_awake_units!$A$1,0,0,COUNTA(fork_awake_units!$A:$A),MATCH(C$1,fork_awake_units!$1:$1,0)-MATCH($A$1,fork_awake_units!$1:$1,0)+1),MATCH(C$1,fork_awake_units!$1:$1,0)-MATCH($A$1,fork_awake_units!$1:$1,0)+1,FALSE)</f>
        <v>769</v>
      </c>
      <c r="D1043" s="3" t="str">
        <f ca="1">VLOOKUP($C1043,OFFSET([2]characters!$A$1,0,0,COUNTA([2]characters!$A:$A),MATCH(D$1,[2]characters!$1:$1,0)-MATCH($A$1,[2]characters!$1:$1,0)+1),MATCH(D$1,[2]characters!$1:$1,0)-MATCH($A$1,[2]characters!$1:$1,0)+1,FALSE)</f>
        <v>白域・純双剣 ガレス</v>
      </c>
      <c r="E1043" s="66">
        <v>108</v>
      </c>
      <c r="F1043" s="3" t="str">
        <f ca="1">VLOOKUP($E1043,OFFSET([2]characters!$A$1,0,0,COUNTA([2]characters!$A:$A),MATCH(F$1,[2]characters!$1:$1,0)-MATCH($A$1,[2]characters!$1:$1,0)+1),MATCH(F$1,[2]characters!$1:$1,0)-MATCH($A$1,[2]characters!$1:$1,0)+1,FALSE)</f>
        <v>森のマッドハッター</v>
      </c>
      <c r="G1043" s="66">
        <v>1</v>
      </c>
      <c r="H1043" s="66">
        <v>1</v>
      </c>
      <c r="I1043" s="66">
        <v>1</v>
      </c>
    </row>
    <row r="1044" spans="1:9" x14ac:dyDescent="0.15">
      <c r="A1044" s="66">
        <v>768</v>
      </c>
      <c r="B1044" s="3" t="str">
        <f ca="1">VLOOKUP($A1044,OFFSET([2]characters!$A$1,0,0,COUNTA([2]characters!$A:$A),MATCH(B$1,[2]characters!$1:$1,0)-MATCH($A$1,[2]characters!$1:$1,0)+1),MATCH(B$1,[2]characters!$1:$1,0)-MATCH($A$1,[2]characters!$1:$1,0)+1,FALSE)</f>
        <v>ガレス</v>
      </c>
      <c r="C1044" s="93">
        <f ca="1">VLOOKUP($A1044,OFFSET(fork_awake_units!$A$1,0,0,COUNTA(fork_awake_units!$A:$A),MATCH(C$1,fork_awake_units!$1:$1,0)-MATCH($A$1,fork_awake_units!$1:$1,0)+1),MATCH(C$1,fork_awake_units!$1:$1,0)-MATCH($A$1,fork_awake_units!$1:$1,0)+1,FALSE)</f>
        <v>769</v>
      </c>
      <c r="D1044" s="3" t="str">
        <f ca="1">VLOOKUP($C1044,OFFSET([2]characters!$A$1,0,0,COUNTA([2]characters!$A:$A),MATCH(D$1,[2]characters!$1:$1,0)-MATCH($A$1,[2]characters!$1:$1,0)+1),MATCH(D$1,[2]characters!$1:$1,0)-MATCH($A$1,[2]characters!$1:$1,0)+1,FALSE)</f>
        <v>白域・純双剣 ガレス</v>
      </c>
      <c r="E1044" s="66">
        <v>764</v>
      </c>
      <c r="F1044" s="3" t="str">
        <f ca="1">VLOOKUP($E1044,OFFSET([2]characters!$A$1,0,0,COUNTA([2]characters!$A:$A),MATCH(F$1,[2]characters!$1:$1,0)-MATCH($A$1,[2]characters!$1:$1,0)+1),MATCH(F$1,[2]characters!$1:$1,0)-MATCH($A$1,[2]characters!$1:$1,0)+1,FALSE)</f>
        <v>ライオネル</v>
      </c>
      <c r="G1044" s="66">
        <v>1</v>
      </c>
      <c r="H1044" s="66">
        <v>2</v>
      </c>
      <c r="I1044" s="66">
        <v>1</v>
      </c>
    </row>
    <row r="1045" spans="1:9" x14ac:dyDescent="0.15">
      <c r="A1045" s="66">
        <v>768</v>
      </c>
      <c r="B1045" s="3" t="str">
        <f ca="1">VLOOKUP($A1045,OFFSET([2]characters!$A$1,0,0,COUNTA([2]characters!$A:$A),MATCH(B$1,[2]characters!$1:$1,0)-MATCH($A$1,[2]characters!$1:$1,0)+1),MATCH(B$1,[2]characters!$1:$1,0)-MATCH($A$1,[2]characters!$1:$1,0)+1,FALSE)</f>
        <v>ガレス</v>
      </c>
      <c r="C1045" s="93">
        <f ca="1">VLOOKUP($A1045,OFFSET(fork_awake_units!$A$1,0,0,COUNTA(fork_awake_units!$A:$A),MATCH(C$1,fork_awake_units!$1:$1,0)-MATCH($A$1,fork_awake_units!$1:$1,0)+1),MATCH(C$1,fork_awake_units!$1:$1,0)-MATCH($A$1,fork_awake_units!$1:$1,0)+1,FALSE)</f>
        <v>769</v>
      </c>
      <c r="D1045" s="3" t="str">
        <f ca="1">VLOOKUP($C1045,OFFSET([2]characters!$A$1,0,0,COUNTA([2]characters!$A:$A),MATCH(D$1,[2]characters!$1:$1,0)-MATCH($A$1,[2]characters!$1:$1,0)+1),MATCH(D$1,[2]characters!$1:$1,0)-MATCH($A$1,[2]characters!$1:$1,0)+1,FALSE)</f>
        <v>白域・純双剣 ガレス</v>
      </c>
      <c r="E1045" s="66">
        <v>766</v>
      </c>
      <c r="F1045" s="3" t="str">
        <f ca="1">VLOOKUP($E1045,OFFSET([2]characters!$A$1,0,0,COUNTA([2]characters!$A:$A),MATCH(F$1,[2]characters!$1:$1,0)-MATCH($A$1,[2]characters!$1:$1,0)+1),MATCH(F$1,[2]characters!$1:$1,0)-MATCH($A$1,[2]characters!$1:$1,0)+1,FALSE)</f>
        <v>ランドラグ</v>
      </c>
      <c r="G1045" s="66">
        <v>1</v>
      </c>
      <c r="H1045" s="66">
        <v>2</v>
      </c>
      <c r="I1045" s="66">
        <v>1</v>
      </c>
    </row>
    <row r="1046" spans="1:9" x14ac:dyDescent="0.15">
      <c r="A1046" s="66">
        <v>770</v>
      </c>
      <c r="B1046" s="3" t="str">
        <f ca="1">VLOOKUP($A1046,OFFSET([2]characters!$A$1,0,0,COUNTA([2]characters!$A:$A),MATCH(B$1,[2]characters!$1:$1,0)-MATCH($A$1,[2]characters!$1:$1,0)+1),MATCH(B$1,[2]characters!$1:$1,0)-MATCH($A$1,[2]characters!$1:$1,0)+1,FALSE)</f>
        <v>ハヅル</v>
      </c>
      <c r="C1046" s="93">
        <f ca="1">VLOOKUP($A1046,OFFSET(fork_awake_units!$A$1,0,0,COUNTA(fork_awake_units!$A:$A),MATCH(C$1,fork_awake_units!$1:$1,0)-MATCH($A$1,fork_awake_units!$1:$1,0)+1),MATCH(C$1,fork_awake_units!$1:$1,0)-MATCH($A$1,fork_awake_units!$1:$1,0)+1,FALSE)</f>
        <v>771</v>
      </c>
      <c r="D1046" s="3" t="str">
        <f ca="1">VLOOKUP($C1046,OFFSET([2]characters!$A$1,0,0,COUNTA([2]characters!$A:$A),MATCH(D$1,[2]characters!$1:$1,0)-MATCH($A$1,[2]characters!$1:$1,0)+1),MATCH(D$1,[2]characters!$1:$1,0)-MATCH($A$1,[2]characters!$1:$1,0)+1,FALSE)</f>
        <v>天織羽鶴 ハヅル</v>
      </c>
      <c r="E1046" s="66">
        <v>103</v>
      </c>
      <c r="F1046" s="3" t="str">
        <f ca="1">VLOOKUP($E1046,OFFSET([2]characters!$A$1,0,0,COUNTA([2]characters!$A:$A),MATCH(F$1,[2]characters!$1:$1,0)-MATCH($A$1,[2]characters!$1:$1,0)+1),MATCH(F$1,[2]characters!$1:$1,0)-MATCH($A$1,[2]characters!$1:$1,0)+1,FALSE)</f>
        <v>レッドキャタップ</v>
      </c>
      <c r="G1046" s="66">
        <v>2</v>
      </c>
      <c r="H1046" s="66">
        <v>1</v>
      </c>
      <c r="I1046" s="66">
        <v>1</v>
      </c>
    </row>
    <row r="1047" spans="1:9" x14ac:dyDescent="0.15">
      <c r="A1047" s="66">
        <v>770</v>
      </c>
      <c r="B1047" s="3" t="str">
        <f ca="1">VLOOKUP($A1047,OFFSET([2]characters!$A$1,0,0,COUNTA([2]characters!$A:$A),MATCH(B$1,[2]characters!$1:$1,0)-MATCH($A$1,[2]characters!$1:$1,0)+1),MATCH(B$1,[2]characters!$1:$1,0)-MATCH($A$1,[2]characters!$1:$1,0)+1,FALSE)</f>
        <v>ハヅル</v>
      </c>
      <c r="C1047" s="93">
        <f ca="1">VLOOKUP($A1047,OFFSET(fork_awake_units!$A$1,0,0,COUNTA(fork_awake_units!$A:$A),MATCH(C$1,fork_awake_units!$1:$1,0)-MATCH($A$1,fork_awake_units!$1:$1,0)+1),MATCH(C$1,fork_awake_units!$1:$1,0)-MATCH($A$1,fork_awake_units!$1:$1,0)+1,FALSE)</f>
        <v>771</v>
      </c>
      <c r="D1047" s="3" t="str">
        <f ca="1">VLOOKUP($C1047,OFFSET([2]characters!$A$1,0,0,COUNTA([2]characters!$A:$A),MATCH(D$1,[2]characters!$1:$1,0)-MATCH($A$1,[2]characters!$1:$1,0)+1),MATCH(D$1,[2]characters!$1:$1,0)-MATCH($A$1,[2]characters!$1:$1,0)+1,FALSE)</f>
        <v>天織羽鶴 ハヅル</v>
      </c>
      <c r="E1047" s="66">
        <v>104</v>
      </c>
      <c r="F1047" s="3" t="str">
        <f ca="1">VLOOKUP($E1047,OFFSET([2]characters!$A$1,0,0,COUNTA([2]characters!$A:$A),MATCH(F$1,[2]characters!$1:$1,0)-MATCH($A$1,[2]characters!$1:$1,0)+1),MATCH(F$1,[2]characters!$1:$1,0)-MATCH($A$1,[2]characters!$1:$1,0)+1,FALSE)</f>
        <v>炎のマッドハッター</v>
      </c>
      <c r="G1047" s="66">
        <v>1</v>
      </c>
      <c r="H1047" s="66">
        <v>1</v>
      </c>
      <c r="I1047" s="66">
        <v>1</v>
      </c>
    </row>
    <row r="1048" spans="1:9" x14ac:dyDescent="0.15">
      <c r="A1048" s="66">
        <v>770</v>
      </c>
      <c r="B1048" s="3" t="str">
        <f ca="1">VLOOKUP($A1048,OFFSET([2]characters!$A$1,0,0,COUNTA([2]characters!$A:$A),MATCH(B$1,[2]characters!$1:$1,0)-MATCH($A$1,[2]characters!$1:$1,0)+1),MATCH(B$1,[2]characters!$1:$1,0)-MATCH($A$1,[2]characters!$1:$1,0)+1,FALSE)</f>
        <v>ハヅル</v>
      </c>
      <c r="C1048" s="93">
        <f ca="1">VLOOKUP($A1048,OFFSET(fork_awake_units!$A$1,0,0,COUNTA(fork_awake_units!$A:$A),MATCH(C$1,fork_awake_units!$1:$1,0)-MATCH($A$1,fork_awake_units!$1:$1,0)+1),MATCH(C$1,fork_awake_units!$1:$1,0)-MATCH($A$1,fork_awake_units!$1:$1,0)+1,FALSE)</f>
        <v>771</v>
      </c>
      <c r="D1048" s="3" t="str">
        <f ca="1">VLOOKUP($C1048,OFFSET([2]characters!$A$1,0,0,COUNTA([2]characters!$A:$A),MATCH(D$1,[2]characters!$1:$1,0)-MATCH($A$1,[2]characters!$1:$1,0)+1),MATCH(D$1,[2]characters!$1:$1,0)-MATCH($A$1,[2]characters!$1:$1,0)+1,FALSE)</f>
        <v>天織羽鶴 ハヅル</v>
      </c>
      <c r="E1048" s="66">
        <v>276</v>
      </c>
      <c r="F1048" s="3" t="str">
        <f ca="1">VLOOKUP($E1048,OFFSET([2]characters!$A$1,0,0,COUNTA([2]characters!$A:$A),MATCH(F$1,[2]characters!$1:$1,0)-MATCH($A$1,[2]characters!$1:$1,0)+1),MATCH(F$1,[2]characters!$1:$1,0)-MATCH($A$1,[2]characters!$1:$1,0)+1,FALSE)</f>
        <v>機拳のイリア</v>
      </c>
      <c r="G1048" s="66">
        <v>1</v>
      </c>
      <c r="H1048" s="66">
        <v>1</v>
      </c>
      <c r="I1048" s="66">
        <v>1</v>
      </c>
    </row>
    <row r="1049" spans="1:9" x14ac:dyDescent="0.15">
      <c r="A1049" s="66">
        <v>770</v>
      </c>
      <c r="B1049" s="3" t="str">
        <f ca="1">VLOOKUP($A1049,OFFSET([2]characters!$A$1,0,0,COUNTA([2]characters!$A:$A),MATCH(B$1,[2]characters!$1:$1,0)-MATCH($A$1,[2]characters!$1:$1,0)+1),MATCH(B$1,[2]characters!$1:$1,0)-MATCH($A$1,[2]characters!$1:$1,0)+1,FALSE)</f>
        <v>ハヅル</v>
      </c>
      <c r="C1049" s="93">
        <f ca="1">VLOOKUP($A1049,OFFSET(fork_awake_units!$A$1,0,0,COUNTA(fork_awake_units!$A:$A),MATCH(C$1,fork_awake_units!$1:$1,0)-MATCH($A$1,fork_awake_units!$1:$1,0)+1),MATCH(C$1,fork_awake_units!$1:$1,0)-MATCH($A$1,fork_awake_units!$1:$1,0)+1,FALSE)</f>
        <v>771</v>
      </c>
      <c r="D1049" s="3" t="str">
        <f ca="1">VLOOKUP($C1049,OFFSET([2]characters!$A$1,0,0,COUNTA([2]characters!$A:$A),MATCH(D$1,[2]characters!$1:$1,0)-MATCH($A$1,[2]characters!$1:$1,0)+1),MATCH(D$1,[2]characters!$1:$1,0)-MATCH($A$1,[2]characters!$1:$1,0)+1,FALSE)</f>
        <v>天織羽鶴 ハヅル</v>
      </c>
      <c r="E1049" s="66">
        <v>298</v>
      </c>
      <c r="F1049" s="3" t="str">
        <f ca="1">VLOOKUP($E1049,OFFSET([2]characters!$A$1,0,0,COUNTA([2]characters!$A:$A),MATCH(F$1,[2]characters!$1:$1,0)-MATCH($A$1,[2]characters!$1:$1,0)+1),MATCH(F$1,[2]characters!$1:$1,0)-MATCH($A$1,[2]characters!$1:$1,0)+1,FALSE)</f>
        <v>炎殺のミサコ</v>
      </c>
      <c r="G1049" s="66">
        <v>1</v>
      </c>
      <c r="H1049" s="66">
        <v>1</v>
      </c>
      <c r="I1049" s="66">
        <v>1</v>
      </c>
    </row>
    <row r="1050" spans="1:9" x14ac:dyDescent="0.15">
      <c r="A1050" s="66">
        <v>772</v>
      </c>
      <c r="B1050" s="3" t="str">
        <f ca="1">VLOOKUP($A1050,OFFSET([2]characters!$A$1,0,0,COUNTA([2]characters!$A:$A),MATCH(B$1,[2]characters!$1:$1,0)-MATCH($A$1,[2]characters!$1:$1,0)+1),MATCH(B$1,[2]characters!$1:$1,0)-MATCH($A$1,[2]characters!$1:$1,0)+1,FALSE)</f>
        <v>イナバ</v>
      </c>
      <c r="C1050" s="93">
        <f ca="1">VLOOKUP($A1050,OFFSET(fork_awake_units!$A$1,0,0,COUNTA(fork_awake_units!$A:$A),MATCH(C$1,fork_awake_units!$1:$1,0)-MATCH($A$1,fork_awake_units!$1:$1,0)+1),MATCH(C$1,fork_awake_units!$1:$1,0)-MATCH($A$1,fork_awake_units!$1:$1,0)+1,FALSE)</f>
        <v>773</v>
      </c>
      <c r="D1050" s="3" t="str">
        <f ca="1">VLOOKUP($C1050,OFFSET([2]characters!$A$1,0,0,COUNTA([2]characters!$A:$A),MATCH(D$1,[2]characters!$1:$1,0)-MATCH($A$1,[2]characters!$1:$1,0)+1),MATCH(D$1,[2]characters!$1:$1,0)-MATCH($A$1,[2]characters!$1:$1,0)+1,FALSE)</f>
        <v>浮跳天兎 イナバ</v>
      </c>
      <c r="E1050" s="66">
        <v>107</v>
      </c>
      <c r="F1050" s="3" t="str">
        <f ca="1">VLOOKUP($E1050,OFFSET([2]characters!$A$1,0,0,COUNTA([2]characters!$A:$A),MATCH(F$1,[2]characters!$1:$1,0)-MATCH($A$1,[2]characters!$1:$1,0)+1),MATCH(F$1,[2]characters!$1:$1,0)-MATCH($A$1,[2]characters!$1:$1,0)+1,FALSE)</f>
        <v>グリーンキャタップ</v>
      </c>
      <c r="G1050" s="66">
        <v>2</v>
      </c>
      <c r="H1050" s="66">
        <v>1</v>
      </c>
      <c r="I1050" s="66">
        <v>1</v>
      </c>
    </row>
    <row r="1051" spans="1:9" x14ac:dyDescent="0.15">
      <c r="A1051" s="66">
        <v>772</v>
      </c>
      <c r="B1051" s="3" t="str">
        <f ca="1">VLOOKUP($A1051,OFFSET([2]characters!$A$1,0,0,COUNTA([2]characters!$A:$A),MATCH(B$1,[2]characters!$1:$1,0)-MATCH($A$1,[2]characters!$1:$1,0)+1),MATCH(B$1,[2]characters!$1:$1,0)-MATCH($A$1,[2]characters!$1:$1,0)+1,FALSE)</f>
        <v>イナバ</v>
      </c>
      <c r="C1051" s="93">
        <f ca="1">VLOOKUP($A1051,OFFSET(fork_awake_units!$A$1,0,0,COUNTA(fork_awake_units!$A:$A),MATCH(C$1,fork_awake_units!$1:$1,0)-MATCH($A$1,fork_awake_units!$1:$1,0)+1),MATCH(C$1,fork_awake_units!$1:$1,0)-MATCH($A$1,fork_awake_units!$1:$1,0)+1,FALSE)</f>
        <v>773</v>
      </c>
      <c r="D1051" s="3" t="str">
        <f ca="1">VLOOKUP($C1051,OFFSET([2]characters!$A$1,0,0,COUNTA([2]characters!$A:$A),MATCH(D$1,[2]characters!$1:$1,0)-MATCH($A$1,[2]characters!$1:$1,0)+1),MATCH(D$1,[2]characters!$1:$1,0)-MATCH($A$1,[2]characters!$1:$1,0)+1,FALSE)</f>
        <v>浮跳天兎 イナバ</v>
      </c>
      <c r="E1051" s="66">
        <v>108</v>
      </c>
      <c r="F1051" s="3" t="str">
        <f ca="1">VLOOKUP($E1051,OFFSET([2]characters!$A$1,0,0,COUNTA([2]characters!$A:$A),MATCH(F$1,[2]characters!$1:$1,0)-MATCH($A$1,[2]characters!$1:$1,0)+1),MATCH(F$1,[2]characters!$1:$1,0)-MATCH($A$1,[2]characters!$1:$1,0)+1,FALSE)</f>
        <v>森のマッドハッター</v>
      </c>
      <c r="G1051" s="66">
        <v>1</v>
      </c>
      <c r="H1051" s="66">
        <v>1</v>
      </c>
      <c r="I1051" s="66">
        <v>1</v>
      </c>
    </row>
    <row r="1052" spans="1:9" x14ac:dyDescent="0.15">
      <c r="A1052" s="66">
        <v>772</v>
      </c>
      <c r="B1052" s="3" t="str">
        <f ca="1">VLOOKUP($A1052,OFFSET([2]characters!$A$1,0,0,COUNTA([2]characters!$A:$A),MATCH(B$1,[2]characters!$1:$1,0)-MATCH($A$1,[2]characters!$1:$1,0)+1),MATCH(B$1,[2]characters!$1:$1,0)-MATCH($A$1,[2]characters!$1:$1,0)+1,FALSE)</f>
        <v>イナバ</v>
      </c>
      <c r="C1052" s="93">
        <f ca="1">VLOOKUP($A1052,OFFSET(fork_awake_units!$A$1,0,0,COUNTA(fork_awake_units!$A:$A),MATCH(C$1,fork_awake_units!$1:$1,0)-MATCH($A$1,fork_awake_units!$1:$1,0)+1),MATCH(C$1,fork_awake_units!$1:$1,0)-MATCH($A$1,fork_awake_units!$1:$1,0)+1,FALSE)</f>
        <v>773</v>
      </c>
      <c r="D1052" s="3" t="str">
        <f ca="1">VLOOKUP($C1052,OFFSET([2]characters!$A$1,0,0,COUNTA([2]characters!$A:$A),MATCH(D$1,[2]characters!$1:$1,0)-MATCH($A$1,[2]characters!$1:$1,0)+1),MATCH(D$1,[2]characters!$1:$1,0)-MATCH($A$1,[2]characters!$1:$1,0)+1,FALSE)</f>
        <v>浮跳天兎 イナバ</v>
      </c>
      <c r="E1052" s="66">
        <v>270</v>
      </c>
      <c r="F1052" s="3" t="str">
        <f ca="1">VLOOKUP($E1052,OFFSET([2]characters!$A$1,0,0,COUNTA([2]characters!$A:$A),MATCH(F$1,[2]characters!$1:$1,0)-MATCH($A$1,[2]characters!$1:$1,0)+1),MATCH(F$1,[2]characters!$1:$1,0)-MATCH($A$1,[2]characters!$1:$1,0)+1,FALSE)</f>
        <v>風爪のミリー</v>
      </c>
      <c r="G1052" s="66">
        <v>1</v>
      </c>
      <c r="H1052" s="66">
        <v>1</v>
      </c>
      <c r="I1052" s="66">
        <v>1</v>
      </c>
    </row>
    <row r="1053" spans="1:9" x14ac:dyDescent="0.15">
      <c r="A1053" s="66">
        <v>772</v>
      </c>
      <c r="B1053" s="3" t="str">
        <f ca="1">VLOOKUP($A1053,OFFSET([2]characters!$A$1,0,0,COUNTA([2]characters!$A:$A),MATCH(B$1,[2]characters!$1:$1,0)-MATCH($A$1,[2]characters!$1:$1,0)+1),MATCH(B$1,[2]characters!$1:$1,0)-MATCH($A$1,[2]characters!$1:$1,0)+1,FALSE)</f>
        <v>イナバ</v>
      </c>
      <c r="C1053" s="93">
        <f ca="1">VLOOKUP($A1053,OFFSET(fork_awake_units!$A$1,0,0,COUNTA(fork_awake_units!$A:$A),MATCH(C$1,fork_awake_units!$1:$1,0)-MATCH($A$1,fork_awake_units!$1:$1,0)+1),MATCH(C$1,fork_awake_units!$1:$1,0)-MATCH($A$1,fork_awake_units!$1:$1,0)+1,FALSE)</f>
        <v>773</v>
      </c>
      <c r="D1053" s="3" t="str">
        <f ca="1">VLOOKUP($C1053,OFFSET([2]characters!$A$1,0,0,COUNTA([2]characters!$A:$A),MATCH(D$1,[2]characters!$1:$1,0)-MATCH($A$1,[2]characters!$1:$1,0)+1),MATCH(D$1,[2]characters!$1:$1,0)-MATCH($A$1,[2]characters!$1:$1,0)+1,FALSE)</f>
        <v>浮跳天兎 イナバ</v>
      </c>
      <c r="E1053" s="66">
        <v>504</v>
      </c>
      <c r="F1053" s="3" t="str">
        <f ca="1">VLOOKUP($E1053,OFFSET([2]characters!$A$1,0,0,COUNTA([2]characters!$A:$A),MATCH(F$1,[2]characters!$1:$1,0)-MATCH($A$1,[2]characters!$1:$1,0)+1),MATCH(F$1,[2]characters!$1:$1,0)-MATCH($A$1,[2]characters!$1:$1,0)+1,FALSE)</f>
        <v>ハイディン・オーガ</v>
      </c>
      <c r="G1053" s="66">
        <v>1</v>
      </c>
      <c r="H1053" s="66">
        <v>1</v>
      </c>
      <c r="I1053" s="66">
        <v>1</v>
      </c>
    </row>
    <row r="1054" spans="1:9" x14ac:dyDescent="0.15">
      <c r="A1054" s="66">
        <v>774</v>
      </c>
      <c r="B1054" s="3" t="str">
        <f ca="1">VLOOKUP($A1054,OFFSET([2]characters!$A$1,0,0,COUNTA([2]characters!$A:$A),MATCH(B$1,[2]characters!$1:$1,0)-MATCH($A$1,[2]characters!$1:$1,0)+1),MATCH(B$1,[2]characters!$1:$1,0)-MATCH($A$1,[2]characters!$1:$1,0)+1,FALSE)</f>
        <v>ミズチ</v>
      </c>
      <c r="C1054" s="93">
        <f ca="1">VLOOKUP($A1054,OFFSET(fork_awake_units!$A$1,0,0,COUNTA(fork_awake_units!$A:$A),MATCH(C$1,fork_awake_units!$1:$1,0)-MATCH($A$1,fork_awake_units!$1:$1,0)+1),MATCH(C$1,fork_awake_units!$1:$1,0)-MATCH($A$1,fork_awake_units!$1:$1,0)+1,FALSE)</f>
        <v>775</v>
      </c>
      <c r="D1054" s="3" t="str">
        <f ca="1">VLOOKUP($C1054,OFFSET([2]characters!$A$1,0,0,COUNTA([2]characters!$A:$A),MATCH(D$1,[2]characters!$1:$1,0)-MATCH($A$1,[2]characters!$1:$1,0)+1),MATCH(D$1,[2]characters!$1:$1,0)-MATCH($A$1,[2]characters!$1:$1,0)+1,FALSE)</f>
        <v>水底霊竜 ミズチ</v>
      </c>
      <c r="E1054" s="66">
        <v>110</v>
      </c>
      <c r="F1054" s="3" t="str">
        <f ca="1">VLOOKUP($E1054,OFFSET([2]characters!$A$1,0,0,COUNTA([2]characters!$A:$A),MATCH(F$1,[2]characters!$1:$1,0)-MATCH($A$1,[2]characters!$1:$1,0)+1),MATCH(F$1,[2]characters!$1:$1,0)-MATCH($A$1,[2]characters!$1:$1,0)+1,FALSE)</f>
        <v>ブルーラビット</v>
      </c>
      <c r="G1054" s="66">
        <v>1</v>
      </c>
      <c r="H1054" s="66">
        <v>1</v>
      </c>
      <c r="I1054" s="66">
        <v>1</v>
      </c>
    </row>
    <row r="1055" spans="1:9" x14ac:dyDescent="0.15">
      <c r="A1055" s="66">
        <v>774</v>
      </c>
      <c r="B1055" s="3" t="str">
        <f ca="1">VLOOKUP($A1055,OFFSET([2]characters!$A$1,0,0,COUNTA([2]characters!$A:$A),MATCH(B$1,[2]characters!$1:$1,0)-MATCH($A$1,[2]characters!$1:$1,0)+1),MATCH(B$1,[2]characters!$1:$1,0)-MATCH($A$1,[2]characters!$1:$1,0)+1,FALSE)</f>
        <v>ミズチ</v>
      </c>
      <c r="C1055" s="93">
        <f ca="1">VLOOKUP($A1055,OFFSET(fork_awake_units!$A$1,0,0,COUNTA(fork_awake_units!$A:$A),MATCH(C$1,fork_awake_units!$1:$1,0)-MATCH($A$1,fork_awake_units!$1:$1,0)+1),MATCH(C$1,fork_awake_units!$1:$1,0)-MATCH($A$1,fork_awake_units!$1:$1,0)+1,FALSE)</f>
        <v>775</v>
      </c>
      <c r="D1055" s="3" t="str">
        <f ca="1">VLOOKUP($C1055,OFFSET([2]characters!$A$1,0,0,COUNTA([2]characters!$A:$A),MATCH(D$1,[2]characters!$1:$1,0)-MATCH($A$1,[2]characters!$1:$1,0)+1),MATCH(D$1,[2]characters!$1:$1,0)-MATCH($A$1,[2]characters!$1:$1,0)+1,FALSE)</f>
        <v>水底霊竜 ミズチ</v>
      </c>
      <c r="E1055" s="66">
        <v>111</v>
      </c>
      <c r="F1055" s="3" t="str">
        <f ca="1">VLOOKUP($E1055,OFFSET([2]characters!$A$1,0,0,COUNTA([2]characters!$A:$A),MATCH(F$1,[2]characters!$1:$1,0)-MATCH($A$1,[2]characters!$1:$1,0)+1),MATCH(F$1,[2]characters!$1:$1,0)-MATCH($A$1,[2]characters!$1:$1,0)+1,FALSE)</f>
        <v>ブルーキャタップ</v>
      </c>
      <c r="G1055" s="66">
        <v>3</v>
      </c>
      <c r="H1055" s="66">
        <v>1</v>
      </c>
      <c r="I1055" s="66">
        <v>1</v>
      </c>
    </row>
    <row r="1056" spans="1:9" x14ac:dyDescent="0.15">
      <c r="A1056" s="66">
        <v>775</v>
      </c>
      <c r="B1056" s="3" t="str">
        <f ca="1">VLOOKUP($A1056,OFFSET([2]characters!$A$1,0,0,COUNTA([2]characters!$A:$A),MATCH(B$1,[2]characters!$1:$1,0)-MATCH($A$1,[2]characters!$1:$1,0)+1),MATCH(B$1,[2]characters!$1:$1,0)-MATCH($A$1,[2]characters!$1:$1,0)+1,FALSE)</f>
        <v>水底霊竜 ミズチ</v>
      </c>
      <c r="C1056" s="93">
        <f ca="1">VLOOKUP($A1056,OFFSET(fork_awake_units!$A$1,0,0,COUNTA(fork_awake_units!$A:$A),MATCH(C$1,fork_awake_units!$1:$1,0)-MATCH($A$1,fork_awake_units!$1:$1,0)+1),MATCH(C$1,fork_awake_units!$1:$1,0)-MATCH($A$1,fork_awake_units!$1:$1,0)+1,FALSE)</f>
        <v>776</v>
      </c>
      <c r="D1056" s="3" t="str">
        <f ca="1">VLOOKUP($C1056,OFFSET([2]characters!$A$1,0,0,COUNTA([2]characters!$A:$A),MATCH(D$1,[2]characters!$1:$1,0)-MATCH($A$1,[2]characters!$1:$1,0)+1),MATCH(D$1,[2]characters!$1:$1,0)-MATCH($A$1,[2]characters!$1:$1,0)+1,FALSE)</f>
        <v>水竜底主 ミズチ</v>
      </c>
      <c r="E1056" s="66">
        <v>110</v>
      </c>
      <c r="F1056" s="3" t="str">
        <f ca="1">VLOOKUP($E1056,OFFSET([2]characters!$A$1,0,0,COUNTA([2]characters!$A:$A),MATCH(F$1,[2]characters!$1:$1,0)-MATCH($A$1,[2]characters!$1:$1,0)+1),MATCH(F$1,[2]characters!$1:$1,0)-MATCH($A$1,[2]characters!$1:$1,0)+1,FALSE)</f>
        <v>ブルーラビット</v>
      </c>
      <c r="G1056" s="66">
        <v>1</v>
      </c>
      <c r="H1056" s="66">
        <v>1</v>
      </c>
      <c r="I1056" s="66">
        <v>1</v>
      </c>
    </row>
    <row r="1057" spans="1:9" x14ac:dyDescent="0.15">
      <c r="A1057" s="66">
        <v>775</v>
      </c>
      <c r="B1057" s="3" t="str">
        <f ca="1">VLOOKUP($A1057,OFFSET([2]characters!$A$1,0,0,COUNTA([2]characters!$A:$A),MATCH(B$1,[2]characters!$1:$1,0)-MATCH($A$1,[2]characters!$1:$1,0)+1),MATCH(B$1,[2]characters!$1:$1,0)-MATCH($A$1,[2]characters!$1:$1,0)+1,FALSE)</f>
        <v>水底霊竜 ミズチ</v>
      </c>
      <c r="C1057" s="93">
        <f ca="1">VLOOKUP($A1057,OFFSET(fork_awake_units!$A$1,0,0,COUNTA(fork_awake_units!$A:$A),MATCH(C$1,fork_awake_units!$1:$1,0)-MATCH($A$1,fork_awake_units!$1:$1,0)+1),MATCH(C$1,fork_awake_units!$1:$1,0)-MATCH($A$1,fork_awake_units!$1:$1,0)+1,FALSE)</f>
        <v>776</v>
      </c>
      <c r="D1057" s="3" t="str">
        <f ca="1">VLOOKUP($C1057,OFFSET([2]characters!$A$1,0,0,COUNTA([2]characters!$A:$A),MATCH(D$1,[2]characters!$1:$1,0)-MATCH($A$1,[2]characters!$1:$1,0)+1),MATCH(D$1,[2]characters!$1:$1,0)-MATCH($A$1,[2]characters!$1:$1,0)+1,FALSE)</f>
        <v>水竜底主 ミズチ</v>
      </c>
      <c r="E1057" s="66">
        <v>111</v>
      </c>
      <c r="F1057" s="3" t="str">
        <f ca="1">VLOOKUP($E1057,OFFSET([2]characters!$A$1,0,0,COUNTA([2]characters!$A:$A),MATCH(F$1,[2]characters!$1:$1,0)-MATCH($A$1,[2]characters!$1:$1,0)+1),MATCH(F$1,[2]characters!$1:$1,0)-MATCH($A$1,[2]characters!$1:$1,0)+1,FALSE)</f>
        <v>ブルーキャタップ</v>
      </c>
      <c r="G1057" s="66">
        <v>2</v>
      </c>
      <c r="H1057" s="66">
        <v>1</v>
      </c>
      <c r="I1057" s="66">
        <v>1</v>
      </c>
    </row>
    <row r="1058" spans="1:9" x14ac:dyDescent="0.15">
      <c r="A1058" s="66">
        <v>775</v>
      </c>
      <c r="B1058" s="3" t="str">
        <f ca="1">VLOOKUP($A1058,OFFSET([2]characters!$A$1,0,0,COUNTA([2]characters!$A:$A),MATCH(B$1,[2]characters!$1:$1,0)-MATCH($A$1,[2]characters!$1:$1,0)+1),MATCH(B$1,[2]characters!$1:$1,0)-MATCH($A$1,[2]characters!$1:$1,0)+1,FALSE)</f>
        <v>水底霊竜 ミズチ</v>
      </c>
      <c r="C1058" s="93">
        <f ca="1">VLOOKUP($A1058,OFFSET(fork_awake_units!$A$1,0,0,COUNTA(fork_awake_units!$A:$A),MATCH(C$1,fork_awake_units!$1:$1,0)-MATCH($A$1,fork_awake_units!$1:$1,0)+1),MATCH(C$1,fork_awake_units!$1:$1,0)-MATCH($A$1,fork_awake_units!$1:$1,0)+1,FALSE)</f>
        <v>776</v>
      </c>
      <c r="D1058" s="3" t="str">
        <f ca="1">VLOOKUP($C1058,OFFSET([2]characters!$A$1,0,0,COUNTA([2]characters!$A:$A),MATCH(D$1,[2]characters!$1:$1,0)-MATCH($A$1,[2]characters!$1:$1,0)+1),MATCH(D$1,[2]characters!$1:$1,0)-MATCH($A$1,[2]characters!$1:$1,0)+1,FALSE)</f>
        <v>水竜底主 ミズチ</v>
      </c>
      <c r="E1058" s="66">
        <v>112</v>
      </c>
      <c r="F1058" s="3" t="str">
        <f ca="1">VLOOKUP($E1058,OFFSET([2]characters!$A$1,0,0,COUNTA([2]characters!$A:$A),MATCH(F$1,[2]characters!$1:$1,0)-MATCH($A$1,[2]characters!$1:$1,0)+1),MATCH(F$1,[2]characters!$1:$1,0)-MATCH($A$1,[2]characters!$1:$1,0)+1,FALSE)</f>
        <v>水のマッドハッター</v>
      </c>
      <c r="G1058" s="66">
        <v>2</v>
      </c>
      <c r="H1058" s="66">
        <v>1</v>
      </c>
      <c r="I1058" s="66">
        <v>1</v>
      </c>
    </row>
    <row r="1059" spans="1:9" x14ac:dyDescent="0.15">
      <c r="A1059" s="66">
        <v>777</v>
      </c>
      <c r="B1059" s="3" t="str">
        <f ca="1">VLOOKUP($A1059,OFFSET([2]characters!$A$1,0,0,COUNTA([2]characters!$A:$A),MATCH(B$1,[2]characters!$1:$1,0)-MATCH($A$1,[2]characters!$1:$1,0)+1),MATCH(B$1,[2]characters!$1:$1,0)-MATCH($A$1,[2]characters!$1:$1,0)+1,FALSE)</f>
        <v>ガメック</v>
      </c>
      <c r="C1059" s="93">
        <f ca="1">VLOOKUP($A1059,OFFSET(fork_awake_units!$A$1,0,0,COUNTA(fork_awake_units!$A:$A),MATCH(C$1,fork_awake_units!$1:$1,0)-MATCH($A$1,fork_awake_units!$1:$1,0)+1),MATCH(C$1,fork_awake_units!$1:$1,0)-MATCH($A$1,fork_awake_units!$1:$1,0)+1,FALSE)</f>
        <v>778</v>
      </c>
      <c r="D1059" s="3" t="str">
        <f ca="1">VLOOKUP($C1059,OFFSET([2]characters!$A$1,0,0,COUNTA([2]characters!$A:$A),MATCH(D$1,[2]characters!$1:$1,0)-MATCH($A$1,[2]characters!$1:$1,0)+1),MATCH(D$1,[2]characters!$1:$1,0)-MATCH($A$1,[2]characters!$1:$1,0)+1,FALSE)</f>
        <v>一亀懸明 ガメック</v>
      </c>
      <c r="E1059" s="66">
        <v>114</v>
      </c>
      <c r="F1059" s="3" t="str">
        <f ca="1">VLOOKUP($E1059,OFFSET([2]characters!$A$1,0,0,COUNTA([2]characters!$A:$A),MATCH(F$1,[2]characters!$1:$1,0)-MATCH($A$1,[2]characters!$1:$1,0)+1),MATCH(F$1,[2]characters!$1:$1,0)-MATCH($A$1,[2]characters!$1:$1,0)+1,FALSE)</f>
        <v>イエローラビット</v>
      </c>
      <c r="G1059" s="66">
        <v>1</v>
      </c>
      <c r="H1059" s="66">
        <v>1</v>
      </c>
      <c r="I1059" s="66">
        <v>1</v>
      </c>
    </row>
    <row r="1060" spans="1:9" x14ac:dyDescent="0.15">
      <c r="A1060" s="66">
        <v>777</v>
      </c>
      <c r="B1060" s="3" t="str">
        <f ca="1">VLOOKUP($A1060,OFFSET([2]characters!$A$1,0,0,COUNTA([2]characters!$A:$A),MATCH(B$1,[2]characters!$1:$1,0)-MATCH($A$1,[2]characters!$1:$1,0)+1),MATCH(B$1,[2]characters!$1:$1,0)-MATCH($A$1,[2]characters!$1:$1,0)+1,FALSE)</f>
        <v>ガメック</v>
      </c>
      <c r="C1060" s="93">
        <f ca="1">VLOOKUP($A1060,OFFSET(fork_awake_units!$A$1,0,0,COUNTA(fork_awake_units!$A:$A),MATCH(C$1,fork_awake_units!$1:$1,0)-MATCH($A$1,fork_awake_units!$1:$1,0)+1),MATCH(C$1,fork_awake_units!$1:$1,0)-MATCH($A$1,fork_awake_units!$1:$1,0)+1,FALSE)</f>
        <v>778</v>
      </c>
      <c r="D1060" s="3" t="str">
        <f ca="1">VLOOKUP($C1060,OFFSET([2]characters!$A$1,0,0,COUNTA([2]characters!$A:$A),MATCH(D$1,[2]characters!$1:$1,0)-MATCH($A$1,[2]characters!$1:$1,0)+1),MATCH(D$1,[2]characters!$1:$1,0)-MATCH($A$1,[2]characters!$1:$1,0)+1,FALSE)</f>
        <v>一亀懸明 ガメック</v>
      </c>
      <c r="E1060" s="66">
        <v>115</v>
      </c>
      <c r="F1060" s="3" t="str">
        <f ca="1">VLOOKUP($E1060,OFFSET([2]characters!$A$1,0,0,COUNTA([2]characters!$A:$A),MATCH(F$1,[2]characters!$1:$1,0)-MATCH($A$1,[2]characters!$1:$1,0)+1),MATCH(F$1,[2]characters!$1:$1,0)-MATCH($A$1,[2]characters!$1:$1,0)+1,FALSE)</f>
        <v>イエローキャタップ</v>
      </c>
      <c r="G1060" s="66">
        <v>3</v>
      </c>
      <c r="H1060" s="66">
        <v>1</v>
      </c>
      <c r="I1060" s="66">
        <v>1</v>
      </c>
    </row>
    <row r="1061" spans="1:9" x14ac:dyDescent="0.15">
      <c r="A1061" s="66">
        <v>778</v>
      </c>
      <c r="B1061" s="3" t="str">
        <f ca="1">VLOOKUP($A1061,OFFSET([2]characters!$A$1,0,0,COUNTA([2]characters!$A:$A),MATCH(B$1,[2]characters!$1:$1,0)-MATCH($A$1,[2]characters!$1:$1,0)+1),MATCH(B$1,[2]characters!$1:$1,0)-MATCH($A$1,[2]characters!$1:$1,0)+1,FALSE)</f>
        <v>一亀懸明 ガメック</v>
      </c>
      <c r="C1061" s="93">
        <f ca="1">VLOOKUP($A1061,OFFSET(fork_awake_units!$A$1,0,0,COUNTA(fork_awake_units!$A:$A),MATCH(C$1,fork_awake_units!$1:$1,0)-MATCH($A$1,fork_awake_units!$1:$1,0)+1),MATCH(C$1,fork_awake_units!$1:$1,0)-MATCH($A$1,fork_awake_units!$1:$1,0)+1,FALSE)</f>
        <v>779</v>
      </c>
      <c r="D1061" s="3" t="str">
        <f ca="1">VLOOKUP($C1061,OFFSET([2]characters!$A$1,0,0,COUNTA([2]characters!$A:$A),MATCH(D$1,[2]characters!$1:$1,0)-MATCH($A$1,[2]characters!$1:$1,0)+1),MATCH(D$1,[2]characters!$1:$1,0)-MATCH($A$1,[2]characters!$1:$1,0)+1,FALSE)</f>
        <v>頑堅咬亀 ガメック</v>
      </c>
      <c r="E1061" s="66">
        <v>114</v>
      </c>
      <c r="F1061" s="3" t="str">
        <f ca="1">VLOOKUP($E1061,OFFSET([2]characters!$A$1,0,0,COUNTA([2]characters!$A:$A),MATCH(F$1,[2]characters!$1:$1,0)-MATCH($A$1,[2]characters!$1:$1,0)+1),MATCH(F$1,[2]characters!$1:$1,0)-MATCH($A$1,[2]characters!$1:$1,0)+1,FALSE)</f>
        <v>イエローラビット</v>
      </c>
      <c r="G1061" s="66">
        <v>1</v>
      </c>
      <c r="H1061" s="66">
        <v>1</v>
      </c>
      <c r="I1061" s="66">
        <v>1</v>
      </c>
    </row>
    <row r="1062" spans="1:9" x14ac:dyDescent="0.15">
      <c r="A1062" s="66">
        <v>778</v>
      </c>
      <c r="B1062" s="3" t="str">
        <f ca="1">VLOOKUP($A1062,OFFSET([2]characters!$A$1,0,0,COUNTA([2]characters!$A:$A),MATCH(B$1,[2]characters!$1:$1,0)-MATCH($A$1,[2]characters!$1:$1,0)+1),MATCH(B$1,[2]characters!$1:$1,0)-MATCH($A$1,[2]characters!$1:$1,0)+1,FALSE)</f>
        <v>一亀懸明 ガメック</v>
      </c>
      <c r="C1062" s="93">
        <f ca="1">VLOOKUP($A1062,OFFSET(fork_awake_units!$A$1,0,0,COUNTA(fork_awake_units!$A:$A),MATCH(C$1,fork_awake_units!$1:$1,0)-MATCH($A$1,fork_awake_units!$1:$1,0)+1),MATCH(C$1,fork_awake_units!$1:$1,0)-MATCH($A$1,fork_awake_units!$1:$1,0)+1,FALSE)</f>
        <v>779</v>
      </c>
      <c r="D1062" s="3" t="str">
        <f ca="1">VLOOKUP($C1062,OFFSET([2]characters!$A$1,0,0,COUNTA([2]characters!$A:$A),MATCH(D$1,[2]characters!$1:$1,0)-MATCH($A$1,[2]characters!$1:$1,0)+1),MATCH(D$1,[2]characters!$1:$1,0)-MATCH($A$1,[2]characters!$1:$1,0)+1,FALSE)</f>
        <v>頑堅咬亀 ガメック</v>
      </c>
      <c r="E1062" s="66">
        <v>115</v>
      </c>
      <c r="F1062" s="3" t="str">
        <f ca="1">VLOOKUP($E1062,OFFSET([2]characters!$A$1,0,0,COUNTA([2]characters!$A:$A),MATCH(F$1,[2]characters!$1:$1,0)-MATCH($A$1,[2]characters!$1:$1,0)+1),MATCH(F$1,[2]characters!$1:$1,0)-MATCH($A$1,[2]characters!$1:$1,0)+1,FALSE)</f>
        <v>イエローキャタップ</v>
      </c>
      <c r="G1062" s="66">
        <v>2</v>
      </c>
      <c r="H1062" s="66">
        <v>1</v>
      </c>
      <c r="I1062" s="66">
        <v>1</v>
      </c>
    </row>
    <row r="1063" spans="1:9" x14ac:dyDescent="0.15">
      <c r="A1063" s="66">
        <v>778</v>
      </c>
      <c r="B1063" s="3" t="str">
        <f ca="1">VLOOKUP($A1063,OFFSET([2]characters!$A$1,0,0,COUNTA([2]characters!$A:$A),MATCH(B$1,[2]characters!$1:$1,0)-MATCH($A$1,[2]characters!$1:$1,0)+1),MATCH(B$1,[2]characters!$1:$1,0)-MATCH($A$1,[2]characters!$1:$1,0)+1,FALSE)</f>
        <v>一亀懸明 ガメック</v>
      </c>
      <c r="C1063" s="93">
        <f ca="1">VLOOKUP($A1063,OFFSET(fork_awake_units!$A$1,0,0,COUNTA(fork_awake_units!$A:$A),MATCH(C$1,fork_awake_units!$1:$1,0)-MATCH($A$1,fork_awake_units!$1:$1,0)+1),MATCH(C$1,fork_awake_units!$1:$1,0)-MATCH($A$1,fork_awake_units!$1:$1,0)+1,FALSE)</f>
        <v>779</v>
      </c>
      <c r="D1063" s="3" t="str">
        <f ca="1">VLOOKUP($C1063,OFFSET([2]characters!$A$1,0,0,COUNTA([2]characters!$A:$A),MATCH(D$1,[2]characters!$1:$1,0)-MATCH($A$1,[2]characters!$1:$1,0)+1),MATCH(D$1,[2]characters!$1:$1,0)-MATCH($A$1,[2]characters!$1:$1,0)+1,FALSE)</f>
        <v>頑堅咬亀 ガメック</v>
      </c>
      <c r="E1063" s="66">
        <v>116</v>
      </c>
      <c r="F1063" s="3" t="str">
        <f ca="1">VLOOKUP($E1063,OFFSET([2]characters!$A$1,0,0,COUNTA([2]characters!$A:$A),MATCH(F$1,[2]characters!$1:$1,0)-MATCH($A$1,[2]characters!$1:$1,0)+1),MATCH(F$1,[2]characters!$1:$1,0)-MATCH($A$1,[2]characters!$1:$1,0)+1,FALSE)</f>
        <v>雷のマッドハッター</v>
      </c>
      <c r="G1063" s="66">
        <v>2</v>
      </c>
      <c r="H1063" s="66">
        <v>1</v>
      </c>
      <c r="I1063" s="66">
        <v>1</v>
      </c>
    </row>
    <row r="1064" spans="1:9" x14ac:dyDescent="0.15">
      <c r="A1064" s="66">
        <v>840</v>
      </c>
      <c r="B1064" s="3" t="str">
        <f ca="1">VLOOKUP($A1064,OFFSET([2]characters!$A$1,0,0,COUNTA([2]characters!$A:$A),MATCH(B$1,[2]characters!$1:$1,0)-MATCH($A$1,[2]characters!$1:$1,0)+1),MATCH(B$1,[2]characters!$1:$1,0)-MATCH($A$1,[2]characters!$1:$1,0)+1,FALSE)</f>
        <v>フェニックス</v>
      </c>
      <c r="C1064" s="93">
        <f ca="1">VLOOKUP($A1064,OFFSET(fork_awake_units!$A$1,0,0,COUNTA(fork_awake_units!$A:$A),MATCH(C$1,fork_awake_units!$1:$1,0)-MATCH($A$1,fork_awake_units!$1:$1,0)+1),MATCH(C$1,fork_awake_units!$1:$1,0)-MATCH($A$1,fork_awake_units!$1:$1,0)+1,FALSE)</f>
        <v>841</v>
      </c>
      <c r="D1064" s="3" t="str">
        <f ca="1">VLOOKUP($C1064,OFFSET([2]characters!$A$1,0,0,COUNTA([2]characters!$A:$A),MATCH(D$1,[2]characters!$1:$1,0)-MATCH($A$1,[2]characters!$1:$1,0)+1),MATCH(D$1,[2]characters!$1:$1,0)-MATCH($A$1,[2]characters!$1:$1,0)+1,FALSE)</f>
        <v>排斥の不死鳥 フェニックス</v>
      </c>
      <c r="E1064" s="66">
        <v>101</v>
      </c>
      <c r="F1064" s="3" t="str">
        <f ca="1">VLOOKUP($E1064,OFFSET([2]characters!$A$1,0,0,COUNTA([2]characters!$A:$A),MATCH(F$1,[2]characters!$1:$1,0)-MATCH($A$1,[2]characters!$1:$1,0)+1),MATCH(F$1,[2]characters!$1:$1,0)-MATCH($A$1,[2]characters!$1:$1,0)+1,FALSE)</f>
        <v>レッドチェシャ</v>
      </c>
      <c r="G1064" s="66">
        <v>1</v>
      </c>
      <c r="H1064" s="66">
        <v>1</v>
      </c>
      <c r="I1064" s="66">
        <v>1</v>
      </c>
    </row>
    <row r="1065" spans="1:9" x14ac:dyDescent="0.15">
      <c r="A1065" s="66">
        <v>840</v>
      </c>
      <c r="B1065" s="3" t="str">
        <f ca="1">VLOOKUP($A1065,OFFSET([2]characters!$A$1,0,0,COUNTA([2]characters!$A:$A),MATCH(B$1,[2]characters!$1:$1,0)-MATCH($A$1,[2]characters!$1:$1,0)+1),MATCH(B$1,[2]characters!$1:$1,0)-MATCH($A$1,[2]characters!$1:$1,0)+1,FALSE)</f>
        <v>フェニックス</v>
      </c>
      <c r="C1065" s="93">
        <f ca="1">VLOOKUP($A1065,OFFSET(fork_awake_units!$A$1,0,0,COUNTA(fork_awake_units!$A:$A),MATCH(C$1,fork_awake_units!$1:$1,0)-MATCH($A$1,fork_awake_units!$1:$1,0)+1),MATCH(C$1,fork_awake_units!$1:$1,0)-MATCH($A$1,fork_awake_units!$1:$1,0)+1,FALSE)</f>
        <v>841</v>
      </c>
      <c r="D1065" s="3" t="str">
        <f ca="1">VLOOKUP($C1065,OFFSET([2]characters!$A$1,0,0,COUNTA([2]characters!$A:$A),MATCH(D$1,[2]characters!$1:$1,0)-MATCH($A$1,[2]characters!$1:$1,0)+1),MATCH(D$1,[2]characters!$1:$1,0)-MATCH($A$1,[2]characters!$1:$1,0)+1,FALSE)</f>
        <v>排斥の不死鳥 フェニックス</v>
      </c>
      <c r="E1065" s="66">
        <v>102</v>
      </c>
      <c r="F1065" s="3" t="str">
        <f ca="1">VLOOKUP($E1065,OFFSET([2]characters!$A$1,0,0,COUNTA([2]characters!$A:$A),MATCH(F$1,[2]characters!$1:$1,0)-MATCH($A$1,[2]characters!$1:$1,0)+1),MATCH(F$1,[2]characters!$1:$1,0)-MATCH($A$1,[2]characters!$1:$1,0)+1,FALSE)</f>
        <v>レッドラビット</v>
      </c>
      <c r="G1065" s="66">
        <v>2</v>
      </c>
      <c r="H1065" s="66">
        <v>1</v>
      </c>
      <c r="I1065" s="66">
        <v>1</v>
      </c>
    </row>
    <row r="1066" spans="1:9" x14ac:dyDescent="0.15">
      <c r="A1066" s="66">
        <v>840</v>
      </c>
      <c r="B1066" s="3" t="str">
        <f ca="1">VLOOKUP($A1066,OFFSET([2]characters!$A$1,0,0,COUNTA([2]characters!$A:$A),MATCH(B$1,[2]characters!$1:$1,0)-MATCH($A$1,[2]characters!$1:$1,0)+1),MATCH(B$1,[2]characters!$1:$1,0)-MATCH($A$1,[2]characters!$1:$1,0)+1,FALSE)</f>
        <v>フェニックス</v>
      </c>
      <c r="C1066" s="93">
        <f ca="1">VLOOKUP($A1066,OFFSET(fork_awake_units!$A$1,0,0,COUNTA(fork_awake_units!$A:$A),MATCH(C$1,fork_awake_units!$1:$1,0)-MATCH($A$1,fork_awake_units!$1:$1,0)+1),MATCH(C$1,fork_awake_units!$1:$1,0)-MATCH($A$1,fork_awake_units!$1:$1,0)+1,FALSE)</f>
        <v>841</v>
      </c>
      <c r="D1066" s="3" t="str">
        <f ca="1">VLOOKUP($C1066,OFFSET([2]characters!$A$1,0,0,COUNTA([2]characters!$A:$A),MATCH(D$1,[2]characters!$1:$1,0)-MATCH($A$1,[2]characters!$1:$1,0)+1),MATCH(D$1,[2]characters!$1:$1,0)-MATCH($A$1,[2]characters!$1:$1,0)+1,FALSE)</f>
        <v>排斥の不死鳥 フェニックス</v>
      </c>
      <c r="E1066" s="66">
        <v>103</v>
      </c>
      <c r="F1066" s="3" t="str">
        <f ca="1">VLOOKUP($E1066,OFFSET([2]characters!$A$1,0,0,COUNTA([2]characters!$A:$A),MATCH(F$1,[2]characters!$1:$1,0)-MATCH($A$1,[2]characters!$1:$1,0)+1),MATCH(F$1,[2]characters!$1:$1,0)-MATCH($A$1,[2]characters!$1:$1,0)+1,FALSE)</f>
        <v>レッドキャタップ</v>
      </c>
      <c r="G1066" s="66">
        <v>1</v>
      </c>
      <c r="H1066" s="66">
        <v>1</v>
      </c>
      <c r="I1066" s="66">
        <v>1</v>
      </c>
    </row>
    <row r="1067" spans="1:9" x14ac:dyDescent="0.15">
      <c r="A1067" s="66">
        <v>840</v>
      </c>
      <c r="B1067" s="3" t="str">
        <f ca="1">VLOOKUP($A1067,OFFSET([2]characters!$A$1,0,0,COUNTA([2]characters!$A:$A),MATCH(B$1,[2]characters!$1:$1,0)-MATCH($A$1,[2]characters!$1:$1,0)+1),MATCH(B$1,[2]characters!$1:$1,0)-MATCH($A$1,[2]characters!$1:$1,0)+1,FALSE)</f>
        <v>フェニックス</v>
      </c>
      <c r="C1067" s="93">
        <f ca="1">VLOOKUP($A1067,OFFSET(fork_awake_units!$A$1,0,0,COUNTA(fork_awake_units!$A:$A),MATCH(C$1,fork_awake_units!$1:$1,0)-MATCH($A$1,fork_awake_units!$1:$1,0)+1),MATCH(C$1,fork_awake_units!$1:$1,0)-MATCH($A$1,fork_awake_units!$1:$1,0)+1,FALSE)</f>
        <v>841</v>
      </c>
      <c r="D1067" s="3" t="str">
        <f ca="1">VLOOKUP($C1067,OFFSET([2]characters!$A$1,0,0,COUNTA([2]characters!$A:$A),MATCH(D$1,[2]characters!$1:$1,0)-MATCH($A$1,[2]characters!$1:$1,0)+1),MATCH(D$1,[2]characters!$1:$1,0)-MATCH($A$1,[2]characters!$1:$1,0)+1,FALSE)</f>
        <v>排斥の不死鳥 フェニックス</v>
      </c>
      <c r="E1067" s="66">
        <v>104</v>
      </c>
      <c r="F1067" s="3" t="str">
        <f ca="1">VLOOKUP($E1067,OFFSET([2]characters!$A$1,0,0,COUNTA([2]characters!$A:$A),MATCH(F$1,[2]characters!$1:$1,0)-MATCH($A$1,[2]characters!$1:$1,0)+1),MATCH(F$1,[2]characters!$1:$1,0)-MATCH($A$1,[2]characters!$1:$1,0)+1,FALSE)</f>
        <v>炎のマッドハッター</v>
      </c>
      <c r="G1067" s="66">
        <v>1</v>
      </c>
      <c r="H1067" s="66">
        <v>1</v>
      </c>
      <c r="I1067" s="66">
        <v>1</v>
      </c>
    </row>
    <row r="1068" spans="1:9" x14ac:dyDescent="0.15">
      <c r="A1068" s="66">
        <v>842</v>
      </c>
      <c r="B1068" s="3" t="str">
        <f ca="1">VLOOKUP($A1068,OFFSET([2]characters!$A$1,0,0,COUNTA([2]characters!$A:$A),MATCH(B$1,[2]characters!$1:$1,0)-MATCH($A$1,[2]characters!$1:$1,0)+1),MATCH(B$1,[2]characters!$1:$1,0)-MATCH($A$1,[2]characters!$1:$1,0)+1,FALSE)</f>
        <v>セイレーン</v>
      </c>
      <c r="C1068" s="93">
        <f ca="1">VLOOKUP($A1068,OFFSET(fork_awake_units!$A$1,0,0,COUNTA(fork_awake_units!$A:$A),MATCH(C$1,fork_awake_units!$1:$1,0)-MATCH($A$1,fork_awake_units!$1:$1,0)+1),MATCH(C$1,fork_awake_units!$1:$1,0)-MATCH($A$1,fork_awake_units!$1:$1,0)+1,FALSE)</f>
        <v>843</v>
      </c>
      <c r="D1068" s="3" t="str">
        <f ca="1">VLOOKUP($C1068,OFFSET([2]characters!$A$1,0,0,COUNTA([2]characters!$A:$A),MATCH(D$1,[2]characters!$1:$1,0)-MATCH($A$1,[2]characters!$1:$1,0)+1),MATCH(D$1,[2]characters!$1:$1,0)-MATCH($A$1,[2]characters!$1:$1,0)+1,FALSE)</f>
        <v>荒れ狂う乱歌 セイレーン</v>
      </c>
      <c r="E1068" s="66">
        <v>842</v>
      </c>
      <c r="F1068" s="3" t="str">
        <f ca="1">VLOOKUP($E1068,OFFSET([2]characters!$A$1,0,0,COUNTA([2]characters!$A:$A),MATCH(F$1,[2]characters!$1:$1,0)-MATCH($A$1,[2]characters!$1:$1,0)+1),MATCH(F$1,[2]characters!$1:$1,0)-MATCH($A$1,[2]characters!$1:$1,0)+1,FALSE)</f>
        <v>セイレーン</v>
      </c>
      <c r="G1068" s="66">
        <v>1</v>
      </c>
      <c r="H1068" s="66">
        <v>10</v>
      </c>
      <c r="I1068" s="66">
        <v>1</v>
      </c>
    </row>
    <row r="1069" spans="1:9" x14ac:dyDescent="0.15">
      <c r="A1069" s="66">
        <v>844</v>
      </c>
      <c r="B1069" s="3" t="str">
        <f ca="1">VLOOKUP($A1069,OFFSET([2]characters!$A$1,0,0,COUNTA([2]characters!$A:$A),MATCH(B$1,[2]characters!$1:$1,0)-MATCH($A$1,[2]characters!$1:$1,0)+1),MATCH(B$1,[2]characters!$1:$1,0)-MATCH($A$1,[2]characters!$1:$1,0)+1,FALSE)</f>
        <v>ベルゼブブ</v>
      </c>
      <c r="C1069" s="93">
        <f ca="1">VLOOKUP($A1069,OFFSET(fork_awake_units!$A$1,0,0,COUNTA(fork_awake_units!$A:$A),MATCH(C$1,fork_awake_units!$1:$1,0)-MATCH($A$1,fork_awake_units!$1:$1,0)+1),MATCH(C$1,fork_awake_units!$1:$1,0)-MATCH($A$1,fork_awake_units!$1:$1,0)+1,FALSE)</f>
        <v>845</v>
      </c>
      <c r="D1069" s="3" t="str">
        <f ca="1">VLOOKUP($C1069,OFFSET([2]characters!$A$1,0,0,COUNTA([2]characters!$A:$A),MATCH(D$1,[2]characters!$1:$1,0)-MATCH($A$1,[2]characters!$1:$1,0)+1),MATCH(D$1,[2]characters!$1:$1,0)-MATCH($A$1,[2]characters!$1:$1,0)+1,FALSE)</f>
        <v>妖艶なる蝿王 ベルゼブブ</v>
      </c>
      <c r="E1069" s="66">
        <v>837</v>
      </c>
      <c r="F1069" s="3" t="str">
        <f ca="1">VLOOKUP($E1069,OFFSET([2]characters!$A$1,0,0,COUNTA([2]characters!$A:$A),MATCH(F$1,[2]characters!$1:$1,0)-MATCH($A$1,[2]characters!$1:$1,0)+1),MATCH(F$1,[2]characters!$1:$1,0)-MATCH($A$1,[2]characters!$1:$1,0)+1,FALSE)</f>
        <v>リトルハンプティ</v>
      </c>
      <c r="G1069" s="66">
        <v>1</v>
      </c>
      <c r="H1069" s="66">
        <v>1</v>
      </c>
      <c r="I1069" s="66">
        <v>1</v>
      </c>
    </row>
    <row r="1070" spans="1:9" x14ac:dyDescent="0.15">
      <c r="A1070" s="66">
        <v>844</v>
      </c>
      <c r="B1070" s="3" t="str">
        <f ca="1">VLOOKUP($A1070,OFFSET([2]characters!$A$1,0,0,COUNTA([2]characters!$A:$A),MATCH(B$1,[2]characters!$1:$1,0)-MATCH($A$1,[2]characters!$1:$1,0)+1),MATCH(B$1,[2]characters!$1:$1,0)-MATCH($A$1,[2]characters!$1:$1,0)+1,FALSE)</f>
        <v>ベルゼブブ</v>
      </c>
      <c r="C1070" s="93">
        <f ca="1">VLOOKUP($A1070,OFFSET(fork_awake_units!$A$1,0,0,COUNTA(fork_awake_units!$A:$A),MATCH(C$1,fork_awake_units!$1:$1,0)-MATCH($A$1,fork_awake_units!$1:$1,0)+1),MATCH(C$1,fork_awake_units!$1:$1,0)-MATCH($A$1,fork_awake_units!$1:$1,0)+1,FALSE)</f>
        <v>845</v>
      </c>
      <c r="D1070" s="3" t="str">
        <f ca="1">VLOOKUP($C1070,OFFSET([2]characters!$A$1,0,0,COUNTA([2]characters!$A:$A),MATCH(D$1,[2]characters!$1:$1,0)-MATCH($A$1,[2]characters!$1:$1,0)+1),MATCH(D$1,[2]characters!$1:$1,0)-MATCH($A$1,[2]characters!$1:$1,0)+1,FALSE)</f>
        <v>妖艶なる蝿王 ベルゼブブ</v>
      </c>
      <c r="E1070" s="66">
        <v>840</v>
      </c>
      <c r="F1070" s="3" t="str">
        <f ca="1">VLOOKUP($E1070,OFFSET([2]characters!$A$1,0,0,COUNTA([2]characters!$A:$A),MATCH(F$1,[2]characters!$1:$1,0)-MATCH($A$1,[2]characters!$1:$1,0)+1),MATCH(F$1,[2]characters!$1:$1,0)-MATCH($A$1,[2]characters!$1:$1,0)+1,FALSE)</f>
        <v>フェニックス</v>
      </c>
      <c r="G1070" s="66">
        <v>1</v>
      </c>
      <c r="H1070" s="66">
        <v>2</v>
      </c>
      <c r="I1070" s="66">
        <v>1</v>
      </c>
    </row>
    <row r="1071" spans="1:9" x14ac:dyDescent="0.15">
      <c r="A1071" s="66">
        <v>844</v>
      </c>
      <c r="B1071" s="3" t="str">
        <f ca="1">VLOOKUP($A1071,OFFSET([2]characters!$A$1,0,0,COUNTA([2]characters!$A:$A),MATCH(B$1,[2]characters!$1:$1,0)-MATCH($A$1,[2]characters!$1:$1,0)+1),MATCH(B$1,[2]characters!$1:$1,0)-MATCH($A$1,[2]characters!$1:$1,0)+1,FALSE)</f>
        <v>ベルゼブブ</v>
      </c>
      <c r="C1071" s="93">
        <f ca="1">VLOOKUP($A1071,OFFSET(fork_awake_units!$A$1,0,0,COUNTA(fork_awake_units!$A:$A),MATCH(C$1,fork_awake_units!$1:$1,0)-MATCH($A$1,fork_awake_units!$1:$1,0)+1),MATCH(C$1,fork_awake_units!$1:$1,0)-MATCH($A$1,fork_awake_units!$1:$1,0)+1,FALSE)</f>
        <v>845</v>
      </c>
      <c r="D1071" s="3" t="str">
        <f ca="1">VLOOKUP($C1071,OFFSET([2]characters!$A$1,0,0,COUNTA([2]characters!$A:$A),MATCH(D$1,[2]characters!$1:$1,0)-MATCH($A$1,[2]characters!$1:$1,0)+1),MATCH(D$1,[2]characters!$1:$1,0)-MATCH($A$1,[2]characters!$1:$1,0)+1,FALSE)</f>
        <v>妖艶なる蝿王 ベルゼブブ</v>
      </c>
      <c r="E1071" s="66">
        <v>842</v>
      </c>
      <c r="F1071" s="3" t="str">
        <f ca="1">VLOOKUP($E1071,OFFSET([2]characters!$A$1,0,0,COUNTA([2]characters!$A:$A),MATCH(F$1,[2]characters!$1:$1,0)-MATCH($A$1,[2]characters!$1:$1,0)+1),MATCH(F$1,[2]characters!$1:$1,0)-MATCH($A$1,[2]characters!$1:$1,0)+1,FALSE)</f>
        <v>セイレーン</v>
      </c>
      <c r="G1071" s="66">
        <v>1</v>
      </c>
      <c r="H1071" s="66">
        <v>3</v>
      </c>
      <c r="I1071" s="66">
        <v>1</v>
      </c>
    </row>
    <row r="1072" spans="1:9" x14ac:dyDescent="0.15">
      <c r="A1072" s="66">
        <v>846</v>
      </c>
      <c r="B1072" s="3" t="str">
        <f ca="1">VLOOKUP($A1072,OFFSET([2]characters!$A$1,0,0,COUNTA([2]characters!$A:$A),MATCH(B$1,[2]characters!$1:$1,0)-MATCH($A$1,[2]characters!$1:$1,0)+1),MATCH(B$1,[2]characters!$1:$1,0)-MATCH($A$1,[2]characters!$1:$1,0)+1,FALSE)</f>
        <v>ルシファー</v>
      </c>
      <c r="C1072" s="93">
        <f ca="1">VLOOKUP($A1072,OFFSET(fork_awake_units!$A$1,0,0,COUNTA(fork_awake_units!$A:$A),MATCH(C$1,fork_awake_units!$1:$1,0)-MATCH($A$1,fork_awake_units!$1:$1,0)+1),MATCH(C$1,fork_awake_units!$1:$1,0)-MATCH($A$1,fork_awake_units!$1:$1,0)+1,FALSE)</f>
        <v>847</v>
      </c>
      <c r="D1072" s="3" t="str">
        <f ca="1">VLOOKUP($C1072,OFFSET([2]characters!$A$1,0,0,COUNTA([2]characters!$A:$A),MATCH(D$1,[2]characters!$1:$1,0)-MATCH($A$1,[2]characters!$1:$1,0)+1),MATCH(D$1,[2]characters!$1:$1,0)-MATCH($A$1,[2]characters!$1:$1,0)+1,FALSE)</f>
        <v>傲慢なる堕天史 ルシファー</v>
      </c>
      <c r="E1072" s="66">
        <v>314</v>
      </c>
      <c r="F1072" s="3" t="str">
        <f ca="1">VLOOKUP($E1072,OFFSET([2]characters!$A$1,0,0,COUNTA([2]characters!$A:$A),MATCH(F$1,[2]characters!$1:$1,0)-MATCH($A$1,[2]characters!$1:$1,0)+1),MATCH(F$1,[2]characters!$1:$1,0)-MATCH($A$1,[2]characters!$1:$1,0)+1,FALSE)</f>
        <v>ジャンヌ</v>
      </c>
      <c r="G1072" s="66">
        <v>1</v>
      </c>
      <c r="H1072" s="66">
        <v>1</v>
      </c>
      <c r="I1072" s="66">
        <v>1</v>
      </c>
    </row>
    <row r="1073" spans="1:9" x14ac:dyDescent="0.15">
      <c r="A1073" s="66">
        <v>846</v>
      </c>
      <c r="B1073" s="3" t="str">
        <f ca="1">VLOOKUP($A1073,OFFSET([2]characters!$A$1,0,0,COUNTA([2]characters!$A:$A),MATCH(B$1,[2]characters!$1:$1,0)-MATCH($A$1,[2]characters!$1:$1,0)+1),MATCH(B$1,[2]characters!$1:$1,0)-MATCH($A$1,[2]characters!$1:$1,0)+1,FALSE)</f>
        <v>ルシファー</v>
      </c>
      <c r="C1073" s="93">
        <f ca="1">VLOOKUP($A1073,OFFSET(fork_awake_units!$A$1,0,0,COUNTA(fork_awake_units!$A:$A),MATCH(C$1,fork_awake_units!$1:$1,0)-MATCH($A$1,fork_awake_units!$1:$1,0)+1),MATCH(C$1,fork_awake_units!$1:$1,0)-MATCH($A$1,fork_awake_units!$1:$1,0)+1,FALSE)</f>
        <v>847</v>
      </c>
      <c r="D1073" s="3" t="str">
        <f ca="1">VLOOKUP($C1073,OFFSET([2]characters!$A$1,0,0,COUNTA([2]characters!$A:$A),MATCH(D$1,[2]characters!$1:$1,0)-MATCH($A$1,[2]characters!$1:$1,0)+1),MATCH(D$1,[2]characters!$1:$1,0)-MATCH($A$1,[2]characters!$1:$1,0)+1,FALSE)</f>
        <v>傲慢なる堕天史 ルシファー</v>
      </c>
      <c r="E1073" s="66">
        <v>426</v>
      </c>
      <c r="F1073" s="3" t="str">
        <f ca="1">VLOOKUP($E1073,OFFSET([2]characters!$A$1,0,0,COUNTA([2]characters!$A:$A),MATCH(F$1,[2]characters!$1:$1,0)-MATCH($A$1,[2]characters!$1:$1,0)+1),MATCH(F$1,[2]characters!$1:$1,0)-MATCH($A$1,[2]characters!$1:$1,0)+1,FALSE)</f>
        <v>宮本武蔵</v>
      </c>
      <c r="G1073" s="66">
        <v>1</v>
      </c>
      <c r="H1073" s="66">
        <v>1</v>
      </c>
      <c r="I1073" s="66">
        <v>1</v>
      </c>
    </row>
    <row r="1074" spans="1:9" x14ac:dyDescent="0.15">
      <c r="A1074" s="66">
        <v>846</v>
      </c>
      <c r="B1074" s="3" t="str">
        <f ca="1">VLOOKUP($A1074,OFFSET([2]characters!$A$1,0,0,COUNTA([2]characters!$A:$A),MATCH(B$1,[2]characters!$1:$1,0)-MATCH($A$1,[2]characters!$1:$1,0)+1),MATCH(B$1,[2]characters!$1:$1,0)-MATCH($A$1,[2]characters!$1:$1,0)+1,FALSE)</f>
        <v>ルシファー</v>
      </c>
      <c r="C1074" s="93">
        <f ca="1">VLOOKUP($A1074,OFFSET(fork_awake_units!$A$1,0,0,COUNTA(fork_awake_units!$A:$A),MATCH(C$1,fork_awake_units!$1:$1,0)-MATCH($A$1,fork_awake_units!$1:$1,0)+1),MATCH(C$1,fork_awake_units!$1:$1,0)-MATCH($A$1,fork_awake_units!$1:$1,0)+1,FALSE)</f>
        <v>847</v>
      </c>
      <c r="D1074" s="3" t="str">
        <f ca="1">VLOOKUP($C1074,OFFSET([2]characters!$A$1,0,0,COUNTA([2]characters!$A:$A),MATCH(D$1,[2]characters!$1:$1,0)-MATCH($A$1,[2]characters!$1:$1,0)+1),MATCH(D$1,[2]characters!$1:$1,0)-MATCH($A$1,[2]characters!$1:$1,0)+1,FALSE)</f>
        <v>傲慢なる堕天史 ルシファー</v>
      </c>
      <c r="E1074" s="66">
        <v>575</v>
      </c>
      <c r="F1074" s="3" t="str">
        <f ca="1">VLOOKUP($E1074,OFFSET([2]characters!$A$1,0,0,COUNTA([2]characters!$A:$A),MATCH(F$1,[2]characters!$1:$1,0)-MATCH($A$1,[2]characters!$1:$1,0)+1),MATCH(F$1,[2]characters!$1:$1,0)-MATCH($A$1,[2]characters!$1:$1,0)+1,FALSE)</f>
        <v>フレイ</v>
      </c>
      <c r="G1074" s="66">
        <v>1</v>
      </c>
      <c r="H1074" s="66">
        <v>1</v>
      </c>
      <c r="I1074" s="66">
        <v>1</v>
      </c>
    </row>
    <row r="1075" spans="1:9" x14ac:dyDescent="0.15">
      <c r="A1075" s="66">
        <v>846</v>
      </c>
      <c r="B1075" s="3" t="str">
        <f ca="1">VLOOKUP($A1075,OFFSET([2]characters!$A$1,0,0,COUNTA([2]characters!$A:$A),MATCH(B$1,[2]characters!$1:$1,0)-MATCH($A$1,[2]characters!$1:$1,0)+1),MATCH(B$1,[2]characters!$1:$1,0)-MATCH($A$1,[2]characters!$1:$1,0)+1,FALSE)</f>
        <v>ルシファー</v>
      </c>
      <c r="C1075" s="93">
        <f ca="1">VLOOKUP($A1075,OFFSET(fork_awake_units!$A$1,0,0,COUNTA(fork_awake_units!$A:$A),MATCH(C$1,fork_awake_units!$1:$1,0)-MATCH($A$1,fork_awake_units!$1:$1,0)+1),MATCH(C$1,fork_awake_units!$1:$1,0)-MATCH($A$1,fork_awake_units!$1:$1,0)+1,FALSE)</f>
        <v>847</v>
      </c>
      <c r="D1075" s="3" t="str">
        <f ca="1">VLOOKUP($C1075,OFFSET([2]characters!$A$1,0,0,COUNTA([2]characters!$A:$A),MATCH(D$1,[2]characters!$1:$1,0)-MATCH($A$1,[2]characters!$1:$1,0)+1),MATCH(D$1,[2]characters!$1:$1,0)-MATCH($A$1,[2]characters!$1:$1,0)+1,FALSE)</f>
        <v>傲慢なる堕天史 ルシファー</v>
      </c>
      <c r="E1075" s="66">
        <v>837</v>
      </c>
      <c r="F1075" s="3" t="str">
        <f ca="1">VLOOKUP($E1075,OFFSET([2]characters!$A$1,0,0,COUNTA([2]characters!$A:$A),MATCH(F$1,[2]characters!$1:$1,0)-MATCH($A$1,[2]characters!$1:$1,0)+1),MATCH(F$1,[2]characters!$1:$1,0)-MATCH($A$1,[2]characters!$1:$1,0)+1,FALSE)</f>
        <v>リトルハンプティ</v>
      </c>
      <c r="G1075" s="66">
        <v>1</v>
      </c>
      <c r="H1075" s="66">
        <v>1</v>
      </c>
      <c r="I1075" s="66">
        <v>1</v>
      </c>
    </row>
    <row r="1076" spans="1:9" x14ac:dyDescent="0.15">
      <c r="A1076" s="66">
        <v>846</v>
      </c>
      <c r="B1076" s="3" t="str">
        <f ca="1">VLOOKUP($A1076,OFFSET([2]characters!$A$1,0,0,COUNTA([2]characters!$A:$A),MATCH(B$1,[2]characters!$1:$1,0)-MATCH($A$1,[2]characters!$1:$1,0)+1),MATCH(B$1,[2]characters!$1:$1,0)-MATCH($A$1,[2]characters!$1:$1,0)+1,FALSE)</f>
        <v>ルシファー</v>
      </c>
      <c r="C1076" s="93">
        <f ca="1">VLOOKUP($A1076,OFFSET(fork_awake_units!$A$1,0,0,COUNTA(fork_awake_units!$A:$A),MATCH(C$1,fork_awake_units!$1:$1,0)-MATCH($A$1,fork_awake_units!$1:$1,0)+1),MATCH(C$1,fork_awake_units!$1:$1,0)-MATCH($A$1,fork_awake_units!$1:$1,0)+1,FALSE)</f>
        <v>847</v>
      </c>
      <c r="D1076" s="3" t="str">
        <f ca="1">VLOOKUP($C1076,OFFSET([2]characters!$A$1,0,0,COUNTA([2]characters!$A:$A),MATCH(D$1,[2]characters!$1:$1,0)-MATCH($A$1,[2]characters!$1:$1,0)+1),MATCH(D$1,[2]characters!$1:$1,0)-MATCH($A$1,[2]characters!$1:$1,0)+1,FALSE)</f>
        <v>傲慢なる堕天史 ルシファー</v>
      </c>
      <c r="E1076" s="66">
        <v>844</v>
      </c>
      <c r="F1076" s="3" t="str">
        <f ca="1">VLOOKUP($E1076,OFFSET([2]characters!$A$1,0,0,COUNTA([2]characters!$A:$A),MATCH(F$1,[2]characters!$1:$1,0)-MATCH($A$1,[2]characters!$1:$1,0)+1),MATCH(F$1,[2]characters!$1:$1,0)-MATCH($A$1,[2]characters!$1:$1,0)+1,FALSE)</f>
        <v>ベルゼブブ</v>
      </c>
      <c r="G1076" s="66">
        <v>1</v>
      </c>
      <c r="H1076" s="66">
        <v>1</v>
      </c>
      <c r="I1076" s="66">
        <v>1</v>
      </c>
    </row>
    <row r="1077" spans="1:9" x14ac:dyDescent="0.15">
      <c r="A1077" s="66">
        <v>848</v>
      </c>
      <c r="B1077" s="3" t="str">
        <f ca="1">VLOOKUP($A1077,OFFSET([2]characters!$A$1,0,0,COUNTA([2]characters!$A:$A),MATCH(B$1,[2]characters!$1:$1,0)-MATCH($A$1,[2]characters!$1:$1,0)+1),MATCH(B$1,[2]characters!$1:$1,0)-MATCH($A$1,[2]characters!$1:$1,0)+1,FALSE)</f>
        <v>メタトロン</v>
      </c>
      <c r="C1077" s="93">
        <f ca="1">VLOOKUP($A1077,OFFSET(fork_awake_units!$A$1,0,0,COUNTA(fork_awake_units!$A:$A),MATCH(C$1,fork_awake_units!$1:$1,0)-MATCH($A$1,fork_awake_units!$1:$1,0)+1),MATCH(C$1,fork_awake_units!$1:$1,0)-MATCH($A$1,fork_awake_units!$1:$1,0)+1,FALSE)</f>
        <v>849</v>
      </c>
      <c r="D1077" s="3" t="str">
        <f ca="1">VLOOKUP($C1077,OFFSET([2]characters!$A$1,0,0,COUNTA([2]characters!$A:$A),MATCH(D$1,[2]characters!$1:$1,0)-MATCH($A$1,[2]characters!$1:$1,0)+1),MATCH(D$1,[2]characters!$1:$1,0)-MATCH($A$1,[2]characters!$1:$1,0)+1,FALSE)</f>
        <v>燦然たる天使 メタトロン・ラヴァ</v>
      </c>
      <c r="E1077" s="66">
        <v>103</v>
      </c>
      <c r="F1077" s="3" t="str">
        <f ca="1">VLOOKUP($E1077,OFFSET([2]characters!$A$1,0,0,COUNTA([2]characters!$A:$A),MATCH(F$1,[2]characters!$1:$1,0)-MATCH($A$1,[2]characters!$1:$1,0)+1),MATCH(F$1,[2]characters!$1:$1,0)-MATCH($A$1,[2]characters!$1:$1,0)+1,FALSE)</f>
        <v>レッドキャタップ</v>
      </c>
      <c r="G1077" s="66">
        <v>1</v>
      </c>
      <c r="H1077" s="66">
        <v>1</v>
      </c>
      <c r="I1077" s="66">
        <v>1</v>
      </c>
    </row>
    <row r="1078" spans="1:9" x14ac:dyDescent="0.15">
      <c r="A1078" s="66">
        <v>848</v>
      </c>
      <c r="B1078" s="3" t="str">
        <f ca="1">VLOOKUP($A1078,OFFSET([2]characters!$A$1,0,0,COUNTA([2]characters!$A:$A),MATCH(B$1,[2]characters!$1:$1,0)-MATCH($A$1,[2]characters!$1:$1,0)+1),MATCH(B$1,[2]characters!$1:$1,0)-MATCH($A$1,[2]characters!$1:$1,0)+1,FALSE)</f>
        <v>メタトロン</v>
      </c>
      <c r="C1078" s="93">
        <f ca="1">VLOOKUP($A1078,OFFSET(fork_awake_units!$A$1,0,0,COUNTA(fork_awake_units!$A:$A),MATCH(C$1,fork_awake_units!$1:$1,0)-MATCH($A$1,fork_awake_units!$1:$1,0)+1),MATCH(C$1,fork_awake_units!$1:$1,0)-MATCH($A$1,fork_awake_units!$1:$1,0)+1,FALSE)</f>
        <v>849</v>
      </c>
      <c r="D1078" s="3" t="str">
        <f ca="1">VLOOKUP($C1078,OFFSET([2]characters!$A$1,0,0,COUNTA([2]characters!$A:$A),MATCH(D$1,[2]characters!$1:$1,0)-MATCH($A$1,[2]characters!$1:$1,0)+1),MATCH(D$1,[2]characters!$1:$1,0)-MATCH($A$1,[2]characters!$1:$1,0)+1,FALSE)</f>
        <v>燦然たる天使 メタトロン・ラヴァ</v>
      </c>
      <c r="E1078" s="66">
        <v>104</v>
      </c>
      <c r="F1078" s="3" t="str">
        <f ca="1">VLOOKUP($E1078,OFFSET([2]characters!$A$1,0,0,COUNTA([2]characters!$A:$A),MATCH(F$1,[2]characters!$1:$1,0)-MATCH($A$1,[2]characters!$1:$1,0)+1),MATCH(F$1,[2]characters!$1:$1,0)-MATCH($A$1,[2]characters!$1:$1,0)+1,FALSE)</f>
        <v>炎のマッドハッター</v>
      </c>
      <c r="G1078" s="66">
        <v>1</v>
      </c>
      <c r="H1078" s="66">
        <v>1</v>
      </c>
      <c r="I1078" s="66">
        <v>1</v>
      </c>
    </row>
    <row r="1079" spans="1:9" x14ac:dyDescent="0.15">
      <c r="A1079" s="66">
        <v>848</v>
      </c>
      <c r="B1079" s="3" t="str">
        <f ca="1">VLOOKUP($A1079,OFFSET([2]characters!$A$1,0,0,COUNTA([2]characters!$A:$A),MATCH(B$1,[2]characters!$1:$1,0)-MATCH($A$1,[2]characters!$1:$1,0)+1),MATCH(B$1,[2]characters!$1:$1,0)-MATCH($A$1,[2]characters!$1:$1,0)+1,FALSE)</f>
        <v>メタトロン</v>
      </c>
      <c r="C1079" s="93">
        <f ca="1">VLOOKUP($A1079,OFFSET(fork_awake_units!$A$1,0,0,COUNTA(fork_awake_units!$A:$A),MATCH(C$1,fork_awake_units!$1:$1,0)-MATCH($A$1,fork_awake_units!$1:$1,0)+1),MATCH(C$1,fork_awake_units!$1:$1,0)-MATCH($A$1,fork_awake_units!$1:$1,0)+1,FALSE)</f>
        <v>849</v>
      </c>
      <c r="D1079" s="3" t="str">
        <f ca="1">VLOOKUP($C1079,OFFSET([2]characters!$A$1,0,0,COUNTA([2]characters!$A:$A),MATCH(D$1,[2]characters!$1:$1,0)-MATCH($A$1,[2]characters!$1:$1,0)+1),MATCH(D$1,[2]characters!$1:$1,0)-MATCH($A$1,[2]characters!$1:$1,0)+1,FALSE)</f>
        <v>燦然たる天使 メタトロン・ラヴァ</v>
      </c>
      <c r="E1079" s="66">
        <v>577</v>
      </c>
      <c r="F1079" s="3" t="str">
        <f ca="1">VLOOKUP($E1079,OFFSET([2]characters!$A$1,0,0,COUNTA([2]characters!$A:$A),MATCH(F$1,[2]characters!$1:$1,0)-MATCH($A$1,[2]characters!$1:$1,0)+1),MATCH(F$1,[2]characters!$1:$1,0)-MATCH($A$1,[2]characters!$1:$1,0)+1,FALSE)</f>
        <v>ビュグヴィルとベイラ</v>
      </c>
      <c r="G1079" s="66">
        <v>1</v>
      </c>
      <c r="H1079" s="66">
        <v>1</v>
      </c>
      <c r="I1079" s="66">
        <v>1</v>
      </c>
    </row>
    <row r="1080" spans="1:9" x14ac:dyDescent="0.15">
      <c r="A1080" s="66">
        <v>848</v>
      </c>
      <c r="B1080" s="3" t="str">
        <f ca="1">VLOOKUP($A1080,OFFSET([2]characters!$A$1,0,0,COUNTA([2]characters!$A:$A),MATCH(B$1,[2]characters!$1:$1,0)-MATCH($A$1,[2]characters!$1:$1,0)+1),MATCH(B$1,[2]characters!$1:$1,0)-MATCH($A$1,[2]characters!$1:$1,0)+1,FALSE)</f>
        <v>メタトロン</v>
      </c>
      <c r="C1080" s="93">
        <f ca="1">VLOOKUP($A1080,OFFSET(fork_awake_units!$A$1,0,0,COUNTA(fork_awake_units!$A:$A),MATCH(C$1,fork_awake_units!$1:$1,0)-MATCH($A$1,fork_awake_units!$1:$1,0)+1),MATCH(C$1,fork_awake_units!$1:$1,0)-MATCH($A$1,fork_awake_units!$1:$1,0)+1,FALSE)</f>
        <v>849</v>
      </c>
      <c r="D1080" s="3" t="str">
        <f ca="1">VLOOKUP($C1080,OFFSET([2]characters!$A$1,0,0,COUNTA([2]characters!$A:$A),MATCH(D$1,[2]characters!$1:$1,0)-MATCH($A$1,[2]characters!$1:$1,0)+1),MATCH(D$1,[2]characters!$1:$1,0)-MATCH($A$1,[2]characters!$1:$1,0)+1,FALSE)</f>
        <v>燦然たる天使 メタトロン・ラヴァ</v>
      </c>
      <c r="E1080" s="66">
        <v>837</v>
      </c>
      <c r="F1080" s="3" t="str">
        <f ca="1">VLOOKUP($E1080,OFFSET([2]characters!$A$1,0,0,COUNTA([2]characters!$A:$A),MATCH(F$1,[2]characters!$1:$1,0)-MATCH($A$1,[2]characters!$1:$1,0)+1),MATCH(F$1,[2]characters!$1:$1,0)-MATCH($A$1,[2]characters!$1:$1,0)+1,FALSE)</f>
        <v>リトルハンプティ</v>
      </c>
      <c r="G1080" s="66">
        <v>1</v>
      </c>
      <c r="H1080" s="66">
        <v>1</v>
      </c>
      <c r="I1080" s="66">
        <v>1</v>
      </c>
    </row>
    <row r="1081" spans="1:9" x14ac:dyDescent="0.15">
      <c r="A1081" s="66">
        <v>848</v>
      </c>
      <c r="B1081" s="3" t="str">
        <f ca="1">VLOOKUP($A1081,OFFSET([2]characters!$A$1,0,0,COUNTA([2]characters!$A:$A),MATCH(B$1,[2]characters!$1:$1,0)-MATCH($A$1,[2]characters!$1:$1,0)+1),MATCH(B$1,[2]characters!$1:$1,0)-MATCH($A$1,[2]characters!$1:$1,0)+1,FALSE)</f>
        <v>メタトロン</v>
      </c>
      <c r="C1081" s="93">
        <f ca="1">VLOOKUP($A1081,OFFSET(fork_awake_units!$A$1,0,0,COUNTA(fork_awake_units!$A:$A),MATCH(C$1,fork_awake_units!$1:$1,0)-MATCH($A$1,fork_awake_units!$1:$1,0)+1),MATCH(C$1,fork_awake_units!$1:$1,0)-MATCH($A$1,fork_awake_units!$1:$1,0)+1,FALSE)</f>
        <v>849</v>
      </c>
      <c r="D1081" s="3" t="str">
        <f ca="1">VLOOKUP($C1081,OFFSET([2]characters!$A$1,0,0,COUNTA([2]characters!$A:$A),MATCH(D$1,[2]characters!$1:$1,0)-MATCH($A$1,[2]characters!$1:$1,0)+1),MATCH(D$1,[2]characters!$1:$1,0)-MATCH($A$1,[2]characters!$1:$1,0)+1,FALSE)</f>
        <v>燦然たる天使 メタトロン・ラヴァ</v>
      </c>
      <c r="E1081" s="66">
        <v>840</v>
      </c>
      <c r="F1081" s="3" t="str">
        <f ca="1">VLOOKUP($E1081,OFFSET([2]characters!$A$1,0,0,COUNTA([2]characters!$A:$A),MATCH(F$1,[2]characters!$1:$1,0)-MATCH($A$1,[2]characters!$1:$1,0)+1),MATCH(F$1,[2]characters!$1:$1,0)-MATCH($A$1,[2]characters!$1:$1,0)+1,FALSE)</f>
        <v>フェニックス</v>
      </c>
      <c r="G1081" s="66">
        <v>1</v>
      </c>
      <c r="H1081" s="66">
        <v>1</v>
      </c>
      <c r="I1081" s="66">
        <v>1</v>
      </c>
    </row>
    <row r="1082" spans="1:9" x14ac:dyDescent="0.15">
      <c r="A1082" s="66">
        <v>850</v>
      </c>
      <c r="B1082" s="3" t="str">
        <f ca="1">VLOOKUP($A1082,OFFSET([2]characters!$A$1,0,0,COUNTA([2]characters!$A:$A),MATCH(B$1,[2]characters!$1:$1,0)-MATCH($A$1,[2]characters!$1:$1,0)+1),MATCH(B$1,[2]characters!$1:$1,0)-MATCH($A$1,[2]characters!$1:$1,0)+1,FALSE)</f>
        <v>バアル</v>
      </c>
      <c r="C1082" s="93">
        <f ca="1">VLOOKUP($A1082,OFFSET(fork_awake_units!$A$1,0,0,COUNTA(fork_awake_units!$A:$A),MATCH(C$1,fork_awake_units!$1:$1,0)-MATCH($A$1,fork_awake_units!$1:$1,0)+1),MATCH(C$1,fork_awake_units!$1:$1,0)-MATCH($A$1,fork_awake_units!$1:$1,0)+1,FALSE)</f>
        <v>851</v>
      </c>
      <c r="D1082" s="3" t="str">
        <f ca="1">VLOOKUP($C1082,OFFSET([2]characters!$A$1,0,0,COUNTA([2]characters!$A:$A),MATCH(D$1,[2]characters!$1:$1,0)-MATCH($A$1,[2]characters!$1:$1,0)+1),MATCH(D$1,[2]characters!$1:$1,0)-MATCH($A$1,[2]characters!$1:$1,0)+1,FALSE)</f>
        <v>寡黙なる凶王 バアル</v>
      </c>
      <c r="E1082" s="66">
        <v>107</v>
      </c>
      <c r="F1082" s="3" t="str">
        <f ca="1">VLOOKUP($E1082,OFFSET([2]characters!$A$1,0,0,COUNTA([2]characters!$A:$A),MATCH(F$1,[2]characters!$1:$1,0)-MATCH($A$1,[2]characters!$1:$1,0)+1),MATCH(F$1,[2]characters!$1:$1,0)-MATCH($A$1,[2]characters!$1:$1,0)+1,FALSE)</f>
        <v>グリーンキャタップ</v>
      </c>
      <c r="G1082" s="66">
        <v>1</v>
      </c>
      <c r="H1082" s="66">
        <v>1</v>
      </c>
      <c r="I1082" s="66">
        <v>1</v>
      </c>
    </row>
    <row r="1083" spans="1:9" x14ac:dyDescent="0.15">
      <c r="A1083" s="66">
        <v>850</v>
      </c>
      <c r="B1083" s="3" t="str">
        <f ca="1">VLOOKUP($A1083,OFFSET([2]characters!$A$1,0,0,COUNTA([2]characters!$A:$A),MATCH(B$1,[2]characters!$1:$1,0)-MATCH($A$1,[2]characters!$1:$1,0)+1),MATCH(B$1,[2]characters!$1:$1,0)-MATCH($A$1,[2]characters!$1:$1,0)+1,FALSE)</f>
        <v>バアル</v>
      </c>
      <c r="C1083" s="93">
        <f ca="1">VLOOKUP($A1083,OFFSET(fork_awake_units!$A$1,0,0,COUNTA(fork_awake_units!$A:$A),MATCH(C$1,fork_awake_units!$1:$1,0)-MATCH($A$1,fork_awake_units!$1:$1,0)+1),MATCH(C$1,fork_awake_units!$1:$1,0)-MATCH($A$1,fork_awake_units!$1:$1,0)+1,FALSE)</f>
        <v>851</v>
      </c>
      <c r="D1083" s="3" t="str">
        <f ca="1">VLOOKUP($C1083,OFFSET([2]characters!$A$1,0,0,COUNTA([2]characters!$A:$A),MATCH(D$1,[2]characters!$1:$1,0)-MATCH($A$1,[2]characters!$1:$1,0)+1),MATCH(D$1,[2]characters!$1:$1,0)-MATCH($A$1,[2]characters!$1:$1,0)+1,FALSE)</f>
        <v>寡黙なる凶王 バアル</v>
      </c>
      <c r="E1083" s="66">
        <v>108</v>
      </c>
      <c r="F1083" s="3" t="str">
        <f ca="1">VLOOKUP($E1083,OFFSET([2]characters!$A$1,0,0,COUNTA([2]characters!$A:$A),MATCH(F$1,[2]characters!$1:$1,0)-MATCH($A$1,[2]characters!$1:$1,0)+1),MATCH(F$1,[2]characters!$1:$1,0)-MATCH($A$1,[2]characters!$1:$1,0)+1,FALSE)</f>
        <v>森のマッドハッター</v>
      </c>
      <c r="G1083" s="66">
        <v>1</v>
      </c>
      <c r="H1083" s="66">
        <v>1</v>
      </c>
      <c r="I1083" s="66">
        <v>1</v>
      </c>
    </row>
    <row r="1084" spans="1:9" x14ac:dyDescent="0.15">
      <c r="A1084" s="66">
        <v>850</v>
      </c>
      <c r="B1084" s="3" t="str">
        <f ca="1">VLOOKUP($A1084,OFFSET([2]characters!$A$1,0,0,COUNTA([2]characters!$A:$A),MATCH(B$1,[2]characters!$1:$1,0)-MATCH($A$1,[2]characters!$1:$1,0)+1),MATCH(B$1,[2]characters!$1:$1,0)-MATCH($A$1,[2]characters!$1:$1,0)+1,FALSE)</f>
        <v>バアル</v>
      </c>
      <c r="C1084" s="93">
        <f ca="1">VLOOKUP($A1084,OFFSET(fork_awake_units!$A$1,0,0,COUNTA(fork_awake_units!$A:$A),MATCH(C$1,fork_awake_units!$1:$1,0)-MATCH($A$1,fork_awake_units!$1:$1,0)+1),MATCH(C$1,fork_awake_units!$1:$1,0)-MATCH($A$1,fork_awake_units!$1:$1,0)+1,FALSE)</f>
        <v>851</v>
      </c>
      <c r="D1084" s="3" t="str">
        <f ca="1">VLOOKUP($C1084,OFFSET([2]characters!$A$1,0,0,COUNTA([2]characters!$A:$A),MATCH(D$1,[2]characters!$1:$1,0)-MATCH($A$1,[2]characters!$1:$1,0)+1),MATCH(D$1,[2]characters!$1:$1,0)-MATCH($A$1,[2]characters!$1:$1,0)+1,FALSE)</f>
        <v>寡黙なる凶王 バアル</v>
      </c>
      <c r="E1084" s="66">
        <v>504</v>
      </c>
      <c r="F1084" s="3" t="str">
        <f ca="1">VLOOKUP($E1084,OFFSET([2]characters!$A$1,0,0,COUNTA([2]characters!$A:$A),MATCH(F$1,[2]characters!$1:$1,0)-MATCH($A$1,[2]characters!$1:$1,0)+1),MATCH(F$1,[2]characters!$1:$1,0)-MATCH($A$1,[2]characters!$1:$1,0)+1,FALSE)</f>
        <v>ハイディン・オーガ</v>
      </c>
      <c r="G1084" s="66">
        <v>1</v>
      </c>
      <c r="H1084" s="66">
        <v>1</v>
      </c>
      <c r="I1084" s="66">
        <v>1</v>
      </c>
    </row>
    <row r="1085" spans="1:9" x14ac:dyDescent="0.15">
      <c r="A1085" s="66">
        <v>850</v>
      </c>
      <c r="B1085" s="3" t="str">
        <f ca="1">VLOOKUP($A1085,OFFSET([2]characters!$A$1,0,0,COUNTA([2]characters!$A:$A),MATCH(B$1,[2]characters!$1:$1,0)-MATCH($A$1,[2]characters!$1:$1,0)+1),MATCH(B$1,[2]characters!$1:$1,0)-MATCH($A$1,[2]characters!$1:$1,0)+1,FALSE)</f>
        <v>バアル</v>
      </c>
      <c r="C1085" s="93">
        <f ca="1">VLOOKUP($A1085,OFFSET(fork_awake_units!$A$1,0,0,COUNTA(fork_awake_units!$A:$A),MATCH(C$1,fork_awake_units!$1:$1,0)-MATCH($A$1,fork_awake_units!$1:$1,0)+1),MATCH(C$1,fork_awake_units!$1:$1,0)-MATCH($A$1,fork_awake_units!$1:$1,0)+1,FALSE)</f>
        <v>851</v>
      </c>
      <c r="D1085" s="3" t="str">
        <f ca="1">VLOOKUP($C1085,OFFSET([2]characters!$A$1,0,0,COUNTA([2]characters!$A:$A),MATCH(D$1,[2]characters!$1:$1,0)-MATCH($A$1,[2]characters!$1:$1,0)+1),MATCH(D$1,[2]characters!$1:$1,0)-MATCH($A$1,[2]characters!$1:$1,0)+1,FALSE)</f>
        <v>寡黙なる凶王 バアル</v>
      </c>
      <c r="E1085" s="66">
        <v>837</v>
      </c>
      <c r="F1085" s="3" t="str">
        <f ca="1">VLOOKUP($E1085,OFFSET([2]characters!$A$1,0,0,COUNTA([2]characters!$A:$A),MATCH(F$1,[2]characters!$1:$1,0)-MATCH($A$1,[2]characters!$1:$1,0)+1),MATCH(F$1,[2]characters!$1:$1,0)-MATCH($A$1,[2]characters!$1:$1,0)+1,FALSE)</f>
        <v>リトルハンプティ</v>
      </c>
      <c r="G1085" s="66">
        <v>1</v>
      </c>
      <c r="H1085" s="66">
        <v>1</v>
      </c>
      <c r="I1085" s="66">
        <v>1</v>
      </c>
    </row>
    <row r="1086" spans="1:9" x14ac:dyDescent="0.15">
      <c r="A1086" s="66">
        <v>850</v>
      </c>
      <c r="B1086" s="3" t="str">
        <f ca="1">VLOOKUP($A1086,OFFSET([2]characters!$A$1,0,0,COUNTA([2]characters!$A:$A),MATCH(B$1,[2]characters!$1:$1,0)-MATCH($A$1,[2]characters!$1:$1,0)+1),MATCH(B$1,[2]characters!$1:$1,0)-MATCH($A$1,[2]characters!$1:$1,0)+1,FALSE)</f>
        <v>バアル</v>
      </c>
      <c r="C1086" s="93">
        <f ca="1">VLOOKUP($A1086,OFFSET(fork_awake_units!$A$1,0,0,COUNTA(fork_awake_units!$A:$A),MATCH(C$1,fork_awake_units!$1:$1,0)-MATCH($A$1,fork_awake_units!$1:$1,0)+1),MATCH(C$1,fork_awake_units!$1:$1,0)-MATCH($A$1,fork_awake_units!$1:$1,0)+1,FALSE)</f>
        <v>851</v>
      </c>
      <c r="D1086" s="3" t="str">
        <f ca="1">VLOOKUP($C1086,OFFSET([2]characters!$A$1,0,0,COUNTA([2]characters!$A:$A),MATCH(D$1,[2]characters!$1:$1,0)-MATCH($A$1,[2]characters!$1:$1,0)+1),MATCH(D$1,[2]characters!$1:$1,0)-MATCH($A$1,[2]characters!$1:$1,0)+1,FALSE)</f>
        <v>寡黙なる凶王 バアル</v>
      </c>
      <c r="E1086" s="66">
        <v>842</v>
      </c>
      <c r="F1086" s="3" t="str">
        <f ca="1">VLOOKUP($E1086,OFFSET([2]characters!$A$1,0,0,COUNTA([2]characters!$A:$A),MATCH(F$1,[2]characters!$1:$1,0)-MATCH($A$1,[2]characters!$1:$1,0)+1),MATCH(F$1,[2]characters!$1:$1,0)-MATCH($A$1,[2]characters!$1:$1,0)+1,FALSE)</f>
        <v>セイレーン</v>
      </c>
      <c r="G1086" s="66">
        <v>1</v>
      </c>
      <c r="H1086" s="66">
        <v>1</v>
      </c>
      <c r="I1086" s="66">
        <v>1</v>
      </c>
    </row>
    <row r="1087" spans="1:9" x14ac:dyDescent="0.15">
      <c r="A1087" s="66">
        <v>852</v>
      </c>
      <c r="B1087" s="3" t="str">
        <f ca="1">VLOOKUP($A1087,OFFSET([2]characters!$A$1,0,0,COUNTA([2]characters!$A:$A),MATCH(B$1,[2]characters!$1:$1,0)-MATCH($A$1,[2]characters!$1:$1,0)+1),MATCH(B$1,[2]characters!$1:$1,0)-MATCH($A$1,[2]characters!$1:$1,0)+1,FALSE)</f>
        <v>サキエル</v>
      </c>
      <c r="C1087" s="93">
        <f ca="1">VLOOKUP($A1087,OFFSET(fork_awake_units!$A$1,0,0,COUNTA(fork_awake_units!$A:$A),MATCH(C$1,fork_awake_units!$1:$1,0)-MATCH($A$1,fork_awake_units!$1:$1,0)+1),MATCH(C$1,fork_awake_units!$1:$1,0)-MATCH($A$1,fork_awake_units!$1:$1,0)+1,FALSE)</f>
        <v>853</v>
      </c>
      <c r="D1087" s="3" t="str">
        <f ca="1">VLOOKUP($C1087,OFFSET([2]characters!$A$1,0,0,COUNTA([2]characters!$A:$A),MATCH(D$1,[2]characters!$1:$1,0)-MATCH($A$1,[2]characters!$1:$1,0)+1),MATCH(D$1,[2]characters!$1:$1,0)-MATCH($A$1,[2]characters!$1:$1,0)+1,FALSE)</f>
        <v>裂爪の天使 サキエル・ティア</v>
      </c>
      <c r="E1087" s="66">
        <v>110</v>
      </c>
      <c r="F1087" s="3" t="str">
        <f ca="1">VLOOKUP($E1087,OFFSET([2]characters!$A$1,0,0,COUNTA([2]characters!$A:$A),MATCH(F$1,[2]characters!$1:$1,0)-MATCH($A$1,[2]characters!$1:$1,0)+1),MATCH(F$1,[2]characters!$1:$1,0)-MATCH($A$1,[2]characters!$1:$1,0)+1,FALSE)</f>
        <v>ブルーラビット</v>
      </c>
      <c r="G1087" s="66">
        <v>1</v>
      </c>
      <c r="H1087" s="66">
        <v>1</v>
      </c>
      <c r="I1087" s="66">
        <v>1</v>
      </c>
    </row>
    <row r="1088" spans="1:9" x14ac:dyDescent="0.15">
      <c r="A1088" s="66">
        <v>852</v>
      </c>
      <c r="B1088" s="3" t="str">
        <f ca="1">VLOOKUP($A1088,OFFSET([2]characters!$A$1,0,0,COUNTA([2]characters!$A:$A),MATCH(B$1,[2]characters!$1:$1,0)-MATCH($A$1,[2]characters!$1:$1,0)+1),MATCH(B$1,[2]characters!$1:$1,0)-MATCH($A$1,[2]characters!$1:$1,0)+1,FALSE)</f>
        <v>サキエル</v>
      </c>
      <c r="C1088" s="93">
        <f ca="1">VLOOKUP($A1088,OFFSET(fork_awake_units!$A$1,0,0,COUNTA(fork_awake_units!$A:$A),MATCH(C$1,fork_awake_units!$1:$1,0)-MATCH($A$1,fork_awake_units!$1:$1,0)+1),MATCH(C$1,fork_awake_units!$1:$1,0)-MATCH($A$1,fork_awake_units!$1:$1,0)+1,FALSE)</f>
        <v>853</v>
      </c>
      <c r="D1088" s="3" t="str">
        <f ca="1">VLOOKUP($C1088,OFFSET([2]characters!$A$1,0,0,COUNTA([2]characters!$A:$A),MATCH(D$1,[2]characters!$1:$1,0)-MATCH($A$1,[2]characters!$1:$1,0)+1),MATCH(D$1,[2]characters!$1:$1,0)-MATCH($A$1,[2]characters!$1:$1,0)+1,FALSE)</f>
        <v>裂爪の天使 サキエル・ティア</v>
      </c>
      <c r="E1088" s="66">
        <v>111</v>
      </c>
      <c r="F1088" s="3" t="str">
        <f ca="1">VLOOKUP($E1088,OFFSET([2]characters!$A$1,0,0,COUNTA([2]characters!$A:$A),MATCH(F$1,[2]characters!$1:$1,0)-MATCH($A$1,[2]characters!$1:$1,0)+1),MATCH(F$1,[2]characters!$1:$1,0)-MATCH($A$1,[2]characters!$1:$1,0)+1,FALSE)</f>
        <v>ブルーキャタップ</v>
      </c>
      <c r="G1088" s="66">
        <v>2</v>
      </c>
      <c r="H1088" s="66">
        <v>1</v>
      </c>
      <c r="I1088" s="66">
        <v>1</v>
      </c>
    </row>
    <row r="1089" spans="1:9" x14ac:dyDescent="0.15">
      <c r="A1089" s="66">
        <v>852</v>
      </c>
      <c r="B1089" s="3" t="str">
        <f ca="1">VLOOKUP($A1089,OFFSET([2]characters!$A$1,0,0,COUNTA([2]characters!$A:$A),MATCH(B$1,[2]characters!$1:$1,0)-MATCH($A$1,[2]characters!$1:$1,0)+1),MATCH(B$1,[2]characters!$1:$1,0)-MATCH($A$1,[2]characters!$1:$1,0)+1,FALSE)</f>
        <v>サキエル</v>
      </c>
      <c r="C1089" s="93">
        <f ca="1">VLOOKUP($A1089,OFFSET(fork_awake_units!$A$1,0,0,COUNTA(fork_awake_units!$A:$A),MATCH(C$1,fork_awake_units!$1:$1,0)-MATCH($A$1,fork_awake_units!$1:$1,0)+1),MATCH(C$1,fork_awake_units!$1:$1,0)-MATCH($A$1,fork_awake_units!$1:$1,0)+1,FALSE)</f>
        <v>853</v>
      </c>
      <c r="D1089" s="3" t="str">
        <f ca="1">VLOOKUP($C1089,OFFSET([2]characters!$A$1,0,0,COUNTA([2]characters!$A:$A),MATCH(D$1,[2]characters!$1:$1,0)-MATCH($A$1,[2]characters!$1:$1,0)+1),MATCH(D$1,[2]characters!$1:$1,0)-MATCH($A$1,[2]characters!$1:$1,0)+1,FALSE)</f>
        <v>裂爪の天使 サキエル・ティア</v>
      </c>
      <c r="E1089" s="66">
        <v>112</v>
      </c>
      <c r="F1089" s="3" t="str">
        <f ca="1">VLOOKUP($E1089,OFFSET([2]characters!$A$1,0,0,COUNTA([2]characters!$A:$A),MATCH(F$1,[2]characters!$1:$1,0)-MATCH($A$1,[2]characters!$1:$1,0)+1),MATCH(F$1,[2]characters!$1:$1,0)-MATCH($A$1,[2]characters!$1:$1,0)+1,FALSE)</f>
        <v>水のマッドハッター</v>
      </c>
      <c r="G1089" s="66">
        <v>2</v>
      </c>
      <c r="H1089" s="66">
        <v>1</v>
      </c>
      <c r="I1089" s="66">
        <v>1</v>
      </c>
    </row>
    <row r="1090" spans="1:9" x14ac:dyDescent="0.15">
      <c r="A1090" s="66">
        <v>854</v>
      </c>
      <c r="B1090" s="3" t="str">
        <f ca="1">VLOOKUP($A1090,OFFSET([2]characters!$A$1,0,0,COUNTA([2]characters!$A:$A),MATCH(B$1,[2]characters!$1:$1,0)-MATCH($A$1,[2]characters!$1:$1,0)+1),MATCH(B$1,[2]characters!$1:$1,0)-MATCH($A$1,[2]characters!$1:$1,0)+1,FALSE)</f>
        <v>フラウロス</v>
      </c>
      <c r="C1090" s="93">
        <f ca="1">VLOOKUP($A1090,OFFSET(fork_awake_units!$A$1,0,0,COUNTA(fork_awake_units!$A:$A),MATCH(C$1,fork_awake_units!$1:$1,0)-MATCH($A$1,fork_awake_units!$1:$1,0)+1),MATCH(C$1,fork_awake_units!$1:$1,0)-MATCH($A$1,fork_awake_units!$1:$1,0)+1,FALSE)</f>
        <v>855</v>
      </c>
      <c r="D1090" s="3" t="str">
        <f ca="1">VLOOKUP($C1090,OFFSET([2]characters!$A$1,0,0,COUNTA([2]characters!$A:$A),MATCH(D$1,[2]characters!$1:$1,0)-MATCH($A$1,[2]characters!$1:$1,0)+1),MATCH(D$1,[2]characters!$1:$1,0)-MATCH($A$1,[2]characters!$1:$1,0)+1,FALSE)</f>
        <v>豹魔の侠客 フラウロス</v>
      </c>
      <c r="E1090" s="66">
        <v>114</v>
      </c>
      <c r="F1090" s="3" t="str">
        <f ca="1">VLOOKUP($E1090,OFFSET([2]characters!$A$1,0,0,COUNTA([2]characters!$A:$A),MATCH(F$1,[2]characters!$1:$1,0)-MATCH($A$1,[2]characters!$1:$1,0)+1),MATCH(F$1,[2]characters!$1:$1,0)-MATCH($A$1,[2]characters!$1:$1,0)+1,FALSE)</f>
        <v>イエローラビット</v>
      </c>
      <c r="G1090" s="66">
        <v>1</v>
      </c>
      <c r="H1090" s="66">
        <v>1</v>
      </c>
      <c r="I1090" s="66">
        <v>1</v>
      </c>
    </row>
    <row r="1091" spans="1:9" x14ac:dyDescent="0.15">
      <c r="A1091" s="66">
        <v>854</v>
      </c>
      <c r="B1091" s="3" t="str">
        <f ca="1">VLOOKUP($A1091,OFFSET([2]characters!$A$1,0,0,COUNTA([2]characters!$A:$A),MATCH(B$1,[2]characters!$1:$1,0)-MATCH($A$1,[2]characters!$1:$1,0)+1),MATCH(B$1,[2]characters!$1:$1,0)-MATCH($A$1,[2]characters!$1:$1,0)+1,FALSE)</f>
        <v>フラウロス</v>
      </c>
      <c r="C1091" s="93">
        <f ca="1">VLOOKUP($A1091,OFFSET(fork_awake_units!$A$1,0,0,COUNTA(fork_awake_units!$A:$A),MATCH(C$1,fork_awake_units!$1:$1,0)-MATCH($A$1,fork_awake_units!$1:$1,0)+1),MATCH(C$1,fork_awake_units!$1:$1,0)-MATCH($A$1,fork_awake_units!$1:$1,0)+1,FALSE)</f>
        <v>855</v>
      </c>
      <c r="D1091" s="3" t="str">
        <f ca="1">VLOOKUP($C1091,OFFSET([2]characters!$A$1,0,0,COUNTA([2]characters!$A:$A),MATCH(D$1,[2]characters!$1:$1,0)-MATCH($A$1,[2]characters!$1:$1,0)+1),MATCH(D$1,[2]characters!$1:$1,0)-MATCH($A$1,[2]characters!$1:$1,0)+1,FALSE)</f>
        <v>豹魔の侠客 フラウロス</v>
      </c>
      <c r="E1091" s="66">
        <v>115</v>
      </c>
      <c r="F1091" s="3" t="str">
        <f ca="1">VLOOKUP($E1091,OFFSET([2]characters!$A$1,0,0,COUNTA([2]characters!$A:$A),MATCH(F$1,[2]characters!$1:$1,0)-MATCH($A$1,[2]characters!$1:$1,0)+1),MATCH(F$1,[2]characters!$1:$1,0)-MATCH($A$1,[2]characters!$1:$1,0)+1,FALSE)</f>
        <v>イエローキャタップ</v>
      </c>
      <c r="G1091" s="66">
        <v>2</v>
      </c>
      <c r="H1091" s="66">
        <v>1</v>
      </c>
      <c r="I1091" s="66">
        <v>1</v>
      </c>
    </row>
    <row r="1092" spans="1:9" x14ac:dyDescent="0.15">
      <c r="A1092" s="66">
        <v>854</v>
      </c>
      <c r="B1092" s="3" t="str">
        <f ca="1">VLOOKUP($A1092,OFFSET([2]characters!$A$1,0,0,COUNTA([2]characters!$A:$A),MATCH(B$1,[2]characters!$1:$1,0)-MATCH($A$1,[2]characters!$1:$1,0)+1),MATCH(B$1,[2]characters!$1:$1,0)-MATCH($A$1,[2]characters!$1:$1,0)+1,FALSE)</f>
        <v>フラウロス</v>
      </c>
      <c r="C1092" s="93">
        <f ca="1">VLOOKUP($A1092,OFFSET(fork_awake_units!$A$1,0,0,COUNTA(fork_awake_units!$A:$A),MATCH(C$1,fork_awake_units!$1:$1,0)-MATCH($A$1,fork_awake_units!$1:$1,0)+1),MATCH(C$1,fork_awake_units!$1:$1,0)-MATCH($A$1,fork_awake_units!$1:$1,0)+1,FALSE)</f>
        <v>855</v>
      </c>
      <c r="D1092" s="3" t="str">
        <f ca="1">VLOOKUP($C1092,OFFSET([2]characters!$A$1,0,0,COUNTA([2]characters!$A:$A),MATCH(D$1,[2]characters!$1:$1,0)-MATCH($A$1,[2]characters!$1:$1,0)+1),MATCH(D$1,[2]characters!$1:$1,0)-MATCH($A$1,[2]characters!$1:$1,0)+1,FALSE)</f>
        <v>豹魔の侠客 フラウロス</v>
      </c>
      <c r="E1092" s="66">
        <v>116</v>
      </c>
      <c r="F1092" s="3" t="str">
        <f ca="1">VLOOKUP($E1092,OFFSET([2]characters!$A$1,0,0,COUNTA([2]characters!$A:$A),MATCH(F$1,[2]characters!$1:$1,0)-MATCH($A$1,[2]characters!$1:$1,0)+1),MATCH(F$1,[2]characters!$1:$1,0)-MATCH($A$1,[2]characters!$1:$1,0)+1,FALSE)</f>
        <v>雷のマッドハッター</v>
      </c>
      <c r="G1092" s="66">
        <v>2</v>
      </c>
      <c r="H1092" s="66">
        <v>1</v>
      </c>
      <c r="I1092" s="66">
        <v>1</v>
      </c>
    </row>
    <row r="1093" spans="1:9" x14ac:dyDescent="0.15">
      <c r="A1093" s="66">
        <v>856</v>
      </c>
      <c r="B1093" s="3" t="str">
        <f ca="1">VLOOKUP($A1093,OFFSET([2]characters!$A$1,0,0,COUNTA([2]characters!$A:$A),MATCH(B$1,[2]characters!$1:$1,0)-MATCH($A$1,[2]characters!$1:$1,0)+1),MATCH(B$1,[2]characters!$1:$1,0)-MATCH($A$1,[2]characters!$1:$1,0)+1,FALSE)</f>
        <v>リフレクト＆M.I.R.R.O.R.</v>
      </c>
      <c r="C1093" s="93">
        <f ca="1">VLOOKUP($A1093,OFFSET(fork_awake_units!$A$1,0,0,COUNTA(fork_awake_units!$A:$A),MATCH(C$1,fork_awake_units!$1:$1,0)-MATCH($A$1,fork_awake_units!$1:$1,0)+1),MATCH(C$1,fork_awake_units!$1:$1,0)-MATCH($A$1,fork_awake_units!$1:$1,0)+1,FALSE)</f>
        <v>857</v>
      </c>
      <c r="D1093" s="3" t="str">
        <f ca="1">VLOOKUP($C1093,OFFSET([2]characters!$A$1,0,0,COUNTA([2]characters!$A:$A),MATCH(D$1,[2]characters!$1:$1,0)-MATCH($A$1,[2]characters!$1:$1,0)+1),MATCH(D$1,[2]characters!$1:$1,0)-MATCH($A$1,[2]characters!$1:$1,0)+1,FALSE)</f>
        <v>嫉心のリフレクト＆M.I.R.R.O.R.</v>
      </c>
      <c r="E1093" s="66">
        <v>856</v>
      </c>
      <c r="F1093" s="3" t="str">
        <f ca="1">VLOOKUP($E1093,OFFSET([2]characters!$A$1,0,0,COUNTA([2]characters!$A:$A),MATCH(F$1,[2]characters!$1:$1,0)-MATCH($A$1,[2]characters!$1:$1,0)+1),MATCH(F$1,[2]characters!$1:$1,0)-MATCH($A$1,[2]characters!$1:$1,0)+1,FALSE)</f>
        <v>リフレクト＆M.I.R.R.O.R.</v>
      </c>
      <c r="G1093" s="66">
        <v>1</v>
      </c>
      <c r="H1093" s="66">
        <v>10</v>
      </c>
      <c r="I1093" s="66">
        <v>1</v>
      </c>
    </row>
    <row r="1094" spans="1:9" x14ac:dyDescent="0.15">
      <c r="A1094" s="66">
        <v>858</v>
      </c>
      <c r="B1094" s="3" t="str">
        <f ca="1">VLOOKUP($A1094,OFFSET([2]characters!$A$1,0,0,COUNTA([2]characters!$A:$A),MATCH(B$1,[2]characters!$1:$1,0)-MATCH($A$1,[2]characters!$1:$1,0)+1),MATCH(B$1,[2]characters!$1:$1,0)-MATCH($A$1,[2]characters!$1:$1,0)+1,FALSE)</f>
        <v>Mr.ホエール</v>
      </c>
      <c r="C1094" s="93">
        <f ca="1">VLOOKUP($A1094,OFFSET(fork_awake_units!$A$1,0,0,COUNTA(fork_awake_units!$A:$A),MATCH(C$1,fork_awake_units!$1:$1,0)-MATCH($A$1,fork_awake_units!$1:$1,0)+1),MATCH(C$1,fork_awake_units!$1:$1,0)-MATCH($A$1,fork_awake_units!$1:$1,0)+1,FALSE)</f>
        <v>859</v>
      </c>
      <c r="D1094" s="3" t="str">
        <f ca="1">VLOOKUP($C1094,OFFSET([2]characters!$A$1,0,0,COUNTA([2]characters!$A:$A),MATCH(D$1,[2]characters!$1:$1,0)-MATCH($A$1,[2]characters!$1:$1,0)+1),MATCH(D$1,[2]characters!$1:$1,0)-MATCH($A$1,[2]characters!$1:$1,0)+1,FALSE)</f>
        <v>夢鯨大食 Mr.ホエール</v>
      </c>
      <c r="E1094" s="66">
        <v>113</v>
      </c>
      <c r="F1094" s="3" t="str">
        <f ca="1">VLOOKUP($E1094,OFFSET([2]characters!$A$1,0,0,COUNTA([2]characters!$A:$A),MATCH(F$1,[2]characters!$1:$1,0)-MATCH($A$1,[2]characters!$1:$1,0)+1),MATCH(F$1,[2]characters!$1:$1,0)-MATCH($A$1,[2]characters!$1:$1,0)+1,FALSE)</f>
        <v>イエローチェシャ</v>
      </c>
      <c r="G1094" s="66">
        <v>1</v>
      </c>
      <c r="H1094" s="66">
        <v>1</v>
      </c>
      <c r="I1094" s="66">
        <v>1</v>
      </c>
    </row>
    <row r="1095" spans="1:9" x14ac:dyDescent="0.15">
      <c r="A1095" s="66">
        <v>858</v>
      </c>
      <c r="B1095" s="3" t="str">
        <f ca="1">VLOOKUP($A1095,OFFSET([2]characters!$A$1,0,0,COUNTA([2]characters!$A:$A),MATCH(B$1,[2]characters!$1:$1,0)-MATCH($A$1,[2]characters!$1:$1,0)+1),MATCH(B$1,[2]characters!$1:$1,0)-MATCH($A$1,[2]characters!$1:$1,0)+1,FALSE)</f>
        <v>Mr.ホエール</v>
      </c>
      <c r="C1095" s="93">
        <f ca="1">VLOOKUP($A1095,OFFSET(fork_awake_units!$A$1,0,0,COUNTA(fork_awake_units!$A:$A),MATCH(C$1,fork_awake_units!$1:$1,0)-MATCH($A$1,fork_awake_units!$1:$1,0)+1),MATCH(C$1,fork_awake_units!$1:$1,0)-MATCH($A$1,fork_awake_units!$1:$1,0)+1,FALSE)</f>
        <v>859</v>
      </c>
      <c r="D1095" s="3" t="str">
        <f ca="1">VLOOKUP($C1095,OFFSET([2]characters!$A$1,0,0,COUNTA([2]characters!$A:$A),MATCH(D$1,[2]characters!$1:$1,0)-MATCH($A$1,[2]characters!$1:$1,0)+1),MATCH(D$1,[2]characters!$1:$1,0)-MATCH($A$1,[2]characters!$1:$1,0)+1,FALSE)</f>
        <v>夢鯨大食 Mr.ホエール</v>
      </c>
      <c r="E1095" s="66">
        <v>114</v>
      </c>
      <c r="F1095" s="3" t="str">
        <f ca="1">VLOOKUP($E1095,OFFSET([2]characters!$A$1,0,0,COUNTA([2]characters!$A:$A),MATCH(F$1,[2]characters!$1:$1,0)-MATCH($A$1,[2]characters!$1:$1,0)+1),MATCH(F$1,[2]characters!$1:$1,0)-MATCH($A$1,[2]characters!$1:$1,0)+1,FALSE)</f>
        <v>イエローラビット</v>
      </c>
      <c r="G1095" s="66">
        <v>2</v>
      </c>
      <c r="H1095" s="66">
        <v>1</v>
      </c>
      <c r="I1095" s="66">
        <v>1</v>
      </c>
    </row>
    <row r="1096" spans="1:9" x14ac:dyDescent="0.15">
      <c r="A1096" s="66">
        <v>858</v>
      </c>
      <c r="B1096" s="3" t="str">
        <f ca="1">VLOOKUP($A1096,OFFSET([2]characters!$A$1,0,0,COUNTA([2]characters!$A:$A),MATCH(B$1,[2]characters!$1:$1,0)-MATCH($A$1,[2]characters!$1:$1,0)+1),MATCH(B$1,[2]characters!$1:$1,0)-MATCH($A$1,[2]characters!$1:$1,0)+1,FALSE)</f>
        <v>Mr.ホエール</v>
      </c>
      <c r="C1096" s="93">
        <f ca="1">VLOOKUP($A1096,OFFSET(fork_awake_units!$A$1,0,0,COUNTA(fork_awake_units!$A:$A),MATCH(C$1,fork_awake_units!$1:$1,0)-MATCH($A$1,fork_awake_units!$1:$1,0)+1),MATCH(C$1,fork_awake_units!$1:$1,0)-MATCH($A$1,fork_awake_units!$1:$1,0)+1,FALSE)</f>
        <v>859</v>
      </c>
      <c r="D1096" s="3" t="str">
        <f ca="1">VLOOKUP($C1096,OFFSET([2]characters!$A$1,0,0,COUNTA([2]characters!$A:$A),MATCH(D$1,[2]characters!$1:$1,0)-MATCH($A$1,[2]characters!$1:$1,0)+1),MATCH(D$1,[2]characters!$1:$1,0)-MATCH($A$1,[2]characters!$1:$1,0)+1,FALSE)</f>
        <v>夢鯨大食 Mr.ホエール</v>
      </c>
      <c r="E1096" s="66">
        <v>115</v>
      </c>
      <c r="F1096" s="3" t="str">
        <f ca="1">VLOOKUP($E1096,OFFSET([2]characters!$A$1,0,0,COUNTA([2]characters!$A:$A),MATCH(F$1,[2]characters!$1:$1,0)-MATCH($A$1,[2]characters!$1:$1,0)+1),MATCH(F$1,[2]characters!$1:$1,0)-MATCH($A$1,[2]characters!$1:$1,0)+1,FALSE)</f>
        <v>イエローキャタップ</v>
      </c>
      <c r="G1096" s="66">
        <v>1</v>
      </c>
      <c r="H1096" s="66">
        <v>1</v>
      </c>
      <c r="I1096" s="66">
        <v>1</v>
      </c>
    </row>
    <row r="1097" spans="1:9" x14ac:dyDescent="0.15">
      <c r="A1097" s="66">
        <v>858</v>
      </c>
      <c r="B1097" s="3" t="str">
        <f ca="1">VLOOKUP($A1097,OFFSET([2]characters!$A$1,0,0,COUNTA([2]characters!$A:$A),MATCH(B$1,[2]characters!$1:$1,0)-MATCH($A$1,[2]characters!$1:$1,0)+1),MATCH(B$1,[2]characters!$1:$1,0)-MATCH($A$1,[2]characters!$1:$1,0)+1,FALSE)</f>
        <v>Mr.ホエール</v>
      </c>
      <c r="C1097" s="93">
        <f ca="1">VLOOKUP($A1097,OFFSET(fork_awake_units!$A$1,0,0,COUNTA(fork_awake_units!$A:$A),MATCH(C$1,fork_awake_units!$1:$1,0)-MATCH($A$1,fork_awake_units!$1:$1,0)+1),MATCH(C$1,fork_awake_units!$1:$1,0)-MATCH($A$1,fork_awake_units!$1:$1,0)+1,FALSE)</f>
        <v>859</v>
      </c>
      <c r="D1097" s="3" t="str">
        <f ca="1">VLOOKUP($C1097,OFFSET([2]characters!$A$1,0,0,COUNTA([2]characters!$A:$A),MATCH(D$1,[2]characters!$1:$1,0)-MATCH($A$1,[2]characters!$1:$1,0)+1),MATCH(D$1,[2]characters!$1:$1,0)-MATCH($A$1,[2]characters!$1:$1,0)+1,FALSE)</f>
        <v>夢鯨大食 Mr.ホエール</v>
      </c>
      <c r="E1097" s="66">
        <v>116</v>
      </c>
      <c r="F1097" s="3" t="str">
        <f ca="1">VLOOKUP($E1097,OFFSET([2]characters!$A$1,0,0,COUNTA([2]characters!$A:$A),MATCH(F$1,[2]characters!$1:$1,0)-MATCH($A$1,[2]characters!$1:$1,0)+1),MATCH(F$1,[2]characters!$1:$1,0)-MATCH($A$1,[2]characters!$1:$1,0)+1,FALSE)</f>
        <v>雷のマッドハッター</v>
      </c>
      <c r="G1097" s="66">
        <v>1</v>
      </c>
      <c r="H1097" s="66">
        <v>1</v>
      </c>
      <c r="I1097" s="66">
        <v>1</v>
      </c>
    </row>
    <row r="1098" spans="1:9" x14ac:dyDescent="0.15">
      <c r="A1098" s="66">
        <v>860</v>
      </c>
      <c r="B1098" s="3" t="str">
        <f ca="1">VLOOKUP($A1098,OFFSET([2]characters!$A$1,0,0,COUNTA([2]characters!$A:$A),MATCH(B$1,[2]characters!$1:$1,0)-MATCH($A$1,[2]characters!$1:$1,0)+1),MATCH(B$1,[2]characters!$1:$1,0)-MATCH($A$1,[2]characters!$1:$1,0)+1,FALSE)</f>
        <v>叶望の幻燈 ジーナ</v>
      </c>
      <c r="C1098" s="93">
        <f ca="1">VLOOKUP($A1098,OFFSET(fork_awake_units!$A$1,0,0,COUNTA(fork_awake_units!$A:$A),MATCH(C$1,fork_awake_units!$1:$1,0)-MATCH($A$1,fork_awake_units!$1:$1,0)+1),MATCH(C$1,fork_awake_units!$1:$1,0)-MATCH($A$1,fork_awake_units!$1:$1,0)+1,FALSE)</f>
        <v>861</v>
      </c>
      <c r="D1098" s="3" t="str">
        <f ca="1">VLOOKUP($C1098,OFFSET([2]characters!$A$1,0,0,COUNTA([2]characters!$A:$A),MATCH(D$1,[2]characters!$1:$1,0)-MATCH($A$1,[2]characters!$1:$1,0)+1),MATCH(D$1,[2]characters!$1:$1,0)-MATCH($A$1,[2]characters!$1:$1,0)+1,FALSE)</f>
        <v>青燈の巨躯 ジーナ</v>
      </c>
      <c r="E1098" s="66">
        <v>837</v>
      </c>
      <c r="F1098" s="3" t="str">
        <f ca="1">VLOOKUP($E1098,OFFSET([2]characters!$A$1,0,0,COUNTA([2]characters!$A:$A),MATCH(F$1,[2]characters!$1:$1,0)-MATCH($A$1,[2]characters!$1:$1,0)+1),MATCH(F$1,[2]characters!$1:$1,0)-MATCH($A$1,[2]characters!$1:$1,0)+1,FALSE)</f>
        <v>リトルハンプティ</v>
      </c>
      <c r="G1098" s="66">
        <v>1</v>
      </c>
      <c r="H1098" s="66">
        <v>1</v>
      </c>
      <c r="I1098" s="66">
        <v>1</v>
      </c>
    </row>
    <row r="1099" spans="1:9" x14ac:dyDescent="0.15">
      <c r="A1099" s="66">
        <v>860</v>
      </c>
      <c r="B1099" s="3" t="str">
        <f ca="1">VLOOKUP($A1099,OFFSET([2]characters!$A$1,0,0,COUNTA([2]characters!$A:$A),MATCH(B$1,[2]characters!$1:$1,0)-MATCH($A$1,[2]characters!$1:$1,0)+1),MATCH(B$1,[2]characters!$1:$1,0)-MATCH($A$1,[2]characters!$1:$1,0)+1,FALSE)</f>
        <v>叶望の幻燈 ジーナ</v>
      </c>
      <c r="C1099" s="93">
        <f ca="1">VLOOKUP($A1099,OFFSET(fork_awake_units!$A$1,0,0,COUNTA(fork_awake_units!$A:$A),MATCH(C$1,fork_awake_units!$1:$1,0)-MATCH($A$1,fork_awake_units!$1:$1,0)+1),MATCH(C$1,fork_awake_units!$1:$1,0)-MATCH($A$1,fork_awake_units!$1:$1,0)+1,FALSE)</f>
        <v>861</v>
      </c>
      <c r="D1099" s="3" t="str">
        <f ca="1">VLOOKUP($C1099,OFFSET([2]characters!$A$1,0,0,COUNTA([2]characters!$A:$A),MATCH(D$1,[2]characters!$1:$1,0)-MATCH($A$1,[2]characters!$1:$1,0)+1),MATCH(D$1,[2]characters!$1:$1,0)-MATCH($A$1,[2]characters!$1:$1,0)+1,FALSE)</f>
        <v>青燈の巨躯 ジーナ</v>
      </c>
      <c r="E1099" s="66">
        <v>856</v>
      </c>
      <c r="F1099" s="3" t="str">
        <f ca="1">VLOOKUP($E1099,OFFSET([2]characters!$A$1,0,0,COUNTA([2]characters!$A:$A),MATCH(F$1,[2]characters!$1:$1,0)-MATCH($A$1,[2]characters!$1:$1,0)+1),MATCH(F$1,[2]characters!$1:$1,0)-MATCH($A$1,[2]characters!$1:$1,0)+1,FALSE)</f>
        <v>リフレクト＆M.I.R.R.O.R.</v>
      </c>
      <c r="G1099" s="66">
        <v>1</v>
      </c>
      <c r="H1099" s="66">
        <v>3</v>
      </c>
      <c r="I1099" s="66">
        <v>1</v>
      </c>
    </row>
    <row r="1100" spans="1:9" x14ac:dyDescent="0.15">
      <c r="A1100" s="66">
        <v>860</v>
      </c>
      <c r="B1100" s="3" t="str">
        <f ca="1">VLOOKUP($A1100,OFFSET([2]characters!$A$1,0,0,COUNTA([2]characters!$A:$A),MATCH(B$1,[2]characters!$1:$1,0)-MATCH($A$1,[2]characters!$1:$1,0)+1),MATCH(B$1,[2]characters!$1:$1,0)-MATCH($A$1,[2]characters!$1:$1,0)+1,FALSE)</f>
        <v>叶望の幻燈 ジーナ</v>
      </c>
      <c r="C1100" s="93">
        <f ca="1">VLOOKUP($A1100,OFFSET(fork_awake_units!$A$1,0,0,COUNTA(fork_awake_units!$A:$A),MATCH(C$1,fork_awake_units!$1:$1,0)-MATCH($A$1,fork_awake_units!$1:$1,0)+1),MATCH(C$1,fork_awake_units!$1:$1,0)-MATCH($A$1,fork_awake_units!$1:$1,0)+1,FALSE)</f>
        <v>861</v>
      </c>
      <c r="D1100" s="3" t="str">
        <f ca="1">VLOOKUP($C1100,OFFSET([2]characters!$A$1,0,0,COUNTA([2]characters!$A:$A),MATCH(D$1,[2]characters!$1:$1,0)-MATCH($A$1,[2]characters!$1:$1,0)+1),MATCH(D$1,[2]characters!$1:$1,0)-MATCH($A$1,[2]characters!$1:$1,0)+1,FALSE)</f>
        <v>青燈の巨躯 ジーナ</v>
      </c>
      <c r="E1100" s="66">
        <v>858</v>
      </c>
      <c r="F1100" s="3" t="str">
        <f ca="1">VLOOKUP($E1100,OFFSET([2]characters!$A$1,0,0,COUNTA([2]characters!$A:$A),MATCH(F$1,[2]characters!$1:$1,0)-MATCH($A$1,[2]characters!$1:$1,0)+1),MATCH(F$1,[2]characters!$1:$1,0)-MATCH($A$1,[2]characters!$1:$1,0)+1,FALSE)</f>
        <v>Mr.ホエール</v>
      </c>
      <c r="G1100" s="66">
        <v>1</v>
      </c>
      <c r="H1100" s="66">
        <v>2</v>
      </c>
      <c r="I1100" s="66">
        <v>1</v>
      </c>
    </row>
    <row r="1101" spans="1:9" x14ac:dyDescent="0.15">
      <c r="A1101" s="66">
        <v>862</v>
      </c>
      <c r="B1101" s="3" t="str">
        <f ca="1">VLOOKUP($A1101,OFFSET([2]characters!$A$1,0,0,COUNTA([2]characters!$A:$A),MATCH(B$1,[2]characters!$1:$1,0)-MATCH($A$1,[2]characters!$1:$1,0)+1),MATCH(B$1,[2]characters!$1:$1,0)-MATCH($A$1,[2]characters!$1:$1,0)+1,FALSE)</f>
        <v>ブレーメン</v>
      </c>
      <c r="C1101" s="93">
        <f ca="1">VLOOKUP($A1101,OFFSET(fork_awake_units!$A$1,0,0,COUNTA(fork_awake_units!$A:$A),MATCH(C$1,fork_awake_units!$1:$1,0)-MATCH($A$1,fork_awake_units!$1:$1,0)+1),MATCH(C$1,fork_awake_units!$1:$1,0)-MATCH($A$1,fork_awake_units!$1:$1,0)+1,FALSE)</f>
        <v>863</v>
      </c>
      <c r="D1101" s="3" t="str">
        <f ca="1">VLOOKUP($C1101,OFFSET([2]characters!$A$1,0,0,COUNTA([2]characters!$A:$A),MATCH(D$1,[2]characters!$1:$1,0)-MATCH($A$1,[2]characters!$1:$1,0)+1),MATCH(D$1,[2]characters!$1:$1,0)-MATCH($A$1,[2]characters!$1:$1,0)+1,FALSE)</f>
        <v>歓揮の楽団長 ブレーメン</v>
      </c>
      <c r="E1101" s="66">
        <v>102</v>
      </c>
      <c r="F1101" s="3" t="str">
        <f ca="1">VLOOKUP($E1101,OFFSET([2]characters!$A$1,0,0,COUNTA([2]characters!$A:$A),MATCH(F$1,[2]characters!$1:$1,0)-MATCH($A$1,[2]characters!$1:$1,0)+1),MATCH(F$1,[2]characters!$1:$1,0)-MATCH($A$1,[2]characters!$1:$1,0)+1,FALSE)</f>
        <v>レッドラビット</v>
      </c>
      <c r="G1101" s="66">
        <v>1</v>
      </c>
      <c r="H1101" s="66">
        <v>1</v>
      </c>
      <c r="I1101" s="66">
        <v>1</v>
      </c>
    </row>
    <row r="1102" spans="1:9" x14ac:dyDescent="0.15">
      <c r="A1102" s="66">
        <v>862</v>
      </c>
      <c r="B1102" s="3" t="str">
        <f ca="1">VLOOKUP($A1102,OFFSET([2]characters!$A$1,0,0,COUNTA([2]characters!$A:$A),MATCH(B$1,[2]characters!$1:$1,0)-MATCH($A$1,[2]characters!$1:$1,0)+1),MATCH(B$1,[2]characters!$1:$1,0)-MATCH($A$1,[2]characters!$1:$1,0)+1,FALSE)</f>
        <v>ブレーメン</v>
      </c>
      <c r="C1102" s="93">
        <f ca="1">VLOOKUP($A1102,OFFSET(fork_awake_units!$A$1,0,0,COUNTA(fork_awake_units!$A:$A),MATCH(C$1,fork_awake_units!$1:$1,0)-MATCH($A$1,fork_awake_units!$1:$1,0)+1),MATCH(C$1,fork_awake_units!$1:$1,0)-MATCH($A$1,fork_awake_units!$1:$1,0)+1,FALSE)</f>
        <v>863</v>
      </c>
      <c r="D1102" s="3" t="str">
        <f ca="1">VLOOKUP($C1102,OFFSET([2]characters!$A$1,0,0,COUNTA([2]characters!$A:$A),MATCH(D$1,[2]characters!$1:$1,0)-MATCH($A$1,[2]characters!$1:$1,0)+1),MATCH(D$1,[2]characters!$1:$1,0)-MATCH($A$1,[2]characters!$1:$1,0)+1,FALSE)</f>
        <v>歓揮の楽団長 ブレーメン</v>
      </c>
      <c r="E1102" s="66">
        <v>103</v>
      </c>
      <c r="F1102" s="3" t="str">
        <f ca="1">VLOOKUP($E1102,OFFSET([2]characters!$A$1,0,0,COUNTA([2]characters!$A:$A),MATCH(F$1,[2]characters!$1:$1,0)-MATCH($A$1,[2]characters!$1:$1,0)+1),MATCH(F$1,[2]characters!$1:$1,0)-MATCH($A$1,[2]characters!$1:$1,0)+1,FALSE)</f>
        <v>レッドキャタップ</v>
      </c>
      <c r="G1102" s="66">
        <v>2</v>
      </c>
      <c r="H1102" s="66">
        <v>1</v>
      </c>
      <c r="I1102" s="66">
        <v>1</v>
      </c>
    </row>
    <row r="1103" spans="1:9" x14ac:dyDescent="0.15">
      <c r="A1103" s="66">
        <v>862</v>
      </c>
      <c r="B1103" s="3" t="str">
        <f ca="1">VLOOKUP($A1103,OFFSET([2]characters!$A$1,0,0,COUNTA([2]characters!$A:$A),MATCH(B$1,[2]characters!$1:$1,0)-MATCH($A$1,[2]characters!$1:$1,0)+1),MATCH(B$1,[2]characters!$1:$1,0)-MATCH($A$1,[2]characters!$1:$1,0)+1,FALSE)</f>
        <v>ブレーメン</v>
      </c>
      <c r="C1103" s="93">
        <f ca="1">VLOOKUP($A1103,OFFSET(fork_awake_units!$A$1,0,0,COUNTA(fork_awake_units!$A:$A),MATCH(C$1,fork_awake_units!$1:$1,0)-MATCH($A$1,fork_awake_units!$1:$1,0)+1),MATCH(C$1,fork_awake_units!$1:$1,0)-MATCH($A$1,fork_awake_units!$1:$1,0)+1,FALSE)</f>
        <v>863</v>
      </c>
      <c r="D1103" s="3" t="str">
        <f ca="1">VLOOKUP($C1103,OFFSET([2]characters!$A$1,0,0,COUNTA([2]characters!$A:$A),MATCH(D$1,[2]characters!$1:$1,0)-MATCH($A$1,[2]characters!$1:$1,0)+1),MATCH(D$1,[2]characters!$1:$1,0)-MATCH($A$1,[2]characters!$1:$1,0)+1,FALSE)</f>
        <v>歓揮の楽団長 ブレーメン</v>
      </c>
      <c r="E1103" s="66">
        <v>104</v>
      </c>
      <c r="F1103" s="3" t="str">
        <f ca="1">VLOOKUP($E1103,OFFSET([2]characters!$A$1,0,0,COUNTA([2]characters!$A:$A),MATCH(F$1,[2]characters!$1:$1,0)-MATCH($A$1,[2]characters!$1:$1,0)+1),MATCH(F$1,[2]characters!$1:$1,0)-MATCH($A$1,[2]characters!$1:$1,0)+1,FALSE)</f>
        <v>炎のマッドハッター</v>
      </c>
      <c r="G1103" s="66">
        <v>2</v>
      </c>
      <c r="H1103" s="66">
        <v>1</v>
      </c>
      <c r="I1103" s="66">
        <v>1</v>
      </c>
    </row>
    <row r="1104" spans="1:9" x14ac:dyDescent="0.15">
      <c r="A1104" s="66">
        <v>864</v>
      </c>
      <c r="B1104" s="3" t="str">
        <f ca="1">VLOOKUP($A1104,OFFSET([2]characters!$A$1,0,0,COUNTA([2]characters!$A:$A),MATCH(B$1,[2]characters!$1:$1,0)-MATCH($A$1,[2]characters!$1:$1,0)+1),MATCH(B$1,[2]characters!$1:$1,0)-MATCH($A$1,[2]characters!$1:$1,0)+1,FALSE)</f>
        <v>ピノキオ</v>
      </c>
      <c r="C1104" s="93">
        <f ca="1">VLOOKUP($A1104,OFFSET(fork_awake_units!$A$1,0,0,COUNTA(fork_awake_units!$A:$A),MATCH(C$1,fork_awake_units!$1:$1,0)-MATCH($A$1,fork_awake_units!$1:$1,0)+1),MATCH(C$1,fork_awake_units!$1:$1,0)-MATCH($A$1,fork_awake_units!$1:$1,0)+1,FALSE)</f>
        <v>865</v>
      </c>
      <c r="D1104" s="3" t="str">
        <f ca="1">VLOOKUP($C1104,OFFSET([2]characters!$A$1,0,0,COUNTA([2]characters!$A:$A),MATCH(D$1,[2]characters!$1:$1,0)-MATCH($A$1,[2]characters!$1:$1,0)+1),MATCH(D$1,[2]characters!$1:$1,0)-MATCH($A$1,[2]characters!$1:$1,0)+1,FALSE)</f>
        <v>無情の感線 ピノキオ</v>
      </c>
      <c r="E1104" s="66">
        <v>106</v>
      </c>
      <c r="F1104" s="3" t="str">
        <f ca="1">VLOOKUP($E1104,OFFSET([2]characters!$A$1,0,0,COUNTA([2]characters!$A:$A),MATCH(F$1,[2]characters!$1:$1,0)-MATCH($A$1,[2]characters!$1:$1,0)+1),MATCH(F$1,[2]characters!$1:$1,0)-MATCH($A$1,[2]characters!$1:$1,0)+1,FALSE)</f>
        <v>グリーンラビット</v>
      </c>
      <c r="G1104" s="66">
        <v>1</v>
      </c>
      <c r="H1104" s="66">
        <v>1</v>
      </c>
      <c r="I1104" s="66">
        <v>1</v>
      </c>
    </row>
    <row r="1105" spans="1:9" x14ac:dyDescent="0.15">
      <c r="A1105" s="66">
        <v>864</v>
      </c>
      <c r="B1105" s="3" t="str">
        <f ca="1">VLOOKUP($A1105,OFFSET([2]characters!$A$1,0,0,COUNTA([2]characters!$A:$A),MATCH(B$1,[2]characters!$1:$1,0)-MATCH($A$1,[2]characters!$1:$1,0)+1),MATCH(B$1,[2]characters!$1:$1,0)-MATCH($A$1,[2]characters!$1:$1,0)+1,FALSE)</f>
        <v>ピノキオ</v>
      </c>
      <c r="C1105" s="93">
        <f ca="1">VLOOKUP($A1105,OFFSET(fork_awake_units!$A$1,0,0,COUNTA(fork_awake_units!$A:$A),MATCH(C$1,fork_awake_units!$1:$1,0)-MATCH($A$1,fork_awake_units!$1:$1,0)+1),MATCH(C$1,fork_awake_units!$1:$1,0)-MATCH($A$1,fork_awake_units!$1:$1,0)+1,FALSE)</f>
        <v>865</v>
      </c>
      <c r="D1105" s="3" t="str">
        <f ca="1">VLOOKUP($C1105,OFFSET([2]characters!$A$1,0,0,COUNTA([2]characters!$A:$A),MATCH(D$1,[2]characters!$1:$1,0)-MATCH($A$1,[2]characters!$1:$1,0)+1),MATCH(D$1,[2]characters!$1:$1,0)-MATCH($A$1,[2]characters!$1:$1,0)+1,FALSE)</f>
        <v>無情の感線 ピノキオ</v>
      </c>
      <c r="E1105" s="66">
        <v>107</v>
      </c>
      <c r="F1105" s="3" t="str">
        <f ca="1">VLOOKUP($E1105,OFFSET([2]characters!$A$1,0,0,COUNTA([2]characters!$A:$A),MATCH(F$1,[2]characters!$1:$1,0)-MATCH($A$1,[2]characters!$1:$1,0)+1),MATCH(F$1,[2]characters!$1:$1,0)-MATCH($A$1,[2]characters!$1:$1,0)+1,FALSE)</f>
        <v>グリーンキャタップ</v>
      </c>
      <c r="G1105" s="66">
        <v>2</v>
      </c>
      <c r="H1105" s="66">
        <v>1</v>
      </c>
      <c r="I1105" s="66">
        <v>1</v>
      </c>
    </row>
    <row r="1106" spans="1:9" x14ac:dyDescent="0.15">
      <c r="A1106" s="66">
        <v>864</v>
      </c>
      <c r="B1106" s="3" t="str">
        <f ca="1">VLOOKUP($A1106,OFFSET([2]characters!$A$1,0,0,COUNTA([2]characters!$A:$A),MATCH(B$1,[2]characters!$1:$1,0)-MATCH($A$1,[2]characters!$1:$1,0)+1),MATCH(B$1,[2]characters!$1:$1,0)-MATCH($A$1,[2]characters!$1:$1,0)+1,FALSE)</f>
        <v>ピノキオ</v>
      </c>
      <c r="C1106" s="93">
        <f ca="1">VLOOKUP($A1106,OFFSET(fork_awake_units!$A$1,0,0,COUNTA(fork_awake_units!$A:$A),MATCH(C$1,fork_awake_units!$1:$1,0)-MATCH($A$1,fork_awake_units!$1:$1,0)+1),MATCH(C$1,fork_awake_units!$1:$1,0)-MATCH($A$1,fork_awake_units!$1:$1,0)+1,FALSE)</f>
        <v>865</v>
      </c>
      <c r="D1106" s="3" t="str">
        <f ca="1">VLOOKUP($C1106,OFFSET([2]characters!$A$1,0,0,COUNTA([2]characters!$A:$A),MATCH(D$1,[2]characters!$1:$1,0)-MATCH($A$1,[2]characters!$1:$1,0)+1),MATCH(D$1,[2]characters!$1:$1,0)-MATCH($A$1,[2]characters!$1:$1,0)+1,FALSE)</f>
        <v>無情の感線 ピノキオ</v>
      </c>
      <c r="E1106" s="66">
        <v>108</v>
      </c>
      <c r="F1106" s="3" t="str">
        <f ca="1">VLOOKUP($E1106,OFFSET([2]characters!$A$1,0,0,COUNTA([2]characters!$A:$A),MATCH(F$1,[2]characters!$1:$1,0)-MATCH($A$1,[2]characters!$1:$1,0)+1),MATCH(F$1,[2]characters!$1:$1,0)-MATCH($A$1,[2]characters!$1:$1,0)+1,FALSE)</f>
        <v>森のマッドハッター</v>
      </c>
      <c r="G1106" s="66">
        <v>2</v>
      </c>
      <c r="H1106" s="66">
        <v>1</v>
      </c>
      <c r="I1106" s="66">
        <v>1</v>
      </c>
    </row>
    <row r="1107" spans="1:9" x14ac:dyDescent="0.15">
      <c r="A1107" s="66">
        <v>866</v>
      </c>
      <c r="B1107" s="3" t="str">
        <f ca="1">VLOOKUP($A1107,OFFSET([2]characters!$A$1,0,0,COUNTA([2]characters!$A:$A),MATCH(B$1,[2]characters!$1:$1,0)-MATCH($A$1,[2]characters!$1:$1,0)+1),MATCH(B$1,[2]characters!$1:$1,0)-MATCH($A$1,[2]characters!$1:$1,0)+1,FALSE)</f>
        <v>無敗の司令姫 白雪姫</v>
      </c>
      <c r="C1107" s="93">
        <f ca="1">VLOOKUP($A1107,OFFSET(fork_awake_units!$A$1,0,0,COUNTA(fork_awake_units!$A:$A),MATCH(C$1,fork_awake_units!$1:$1,0)-MATCH($A$1,fork_awake_units!$1:$1,0)+1),MATCH(C$1,fork_awake_units!$1:$1,0)-MATCH($A$1,fork_awake_units!$1:$1,0)+1,FALSE)</f>
        <v>867</v>
      </c>
      <c r="D1107" s="3" t="str">
        <f ca="1">VLOOKUP($C1107,OFFSET([2]characters!$A$1,0,0,COUNTA([2]characters!$A:$A),MATCH(D$1,[2]characters!$1:$1,0)-MATCH($A$1,[2]characters!$1:$1,0)+1),MATCH(D$1,[2]characters!$1:$1,0)-MATCH($A$1,[2]characters!$1:$1,0)+1,FALSE)</f>
        <v>華麗なる作戦 白雪姫</v>
      </c>
      <c r="E1107" s="66">
        <v>111</v>
      </c>
      <c r="F1107" s="3" t="str">
        <f ca="1">VLOOKUP($E1107,OFFSET([2]characters!$A$1,0,0,COUNTA([2]characters!$A:$A),MATCH(F$1,[2]characters!$1:$1,0)-MATCH($A$1,[2]characters!$1:$1,0)+1),MATCH(F$1,[2]characters!$1:$1,0)-MATCH($A$1,[2]characters!$1:$1,0)+1,FALSE)</f>
        <v>ブルーキャタップ</v>
      </c>
      <c r="G1107" s="66">
        <v>1</v>
      </c>
      <c r="H1107" s="66">
        <v>1</v>
      </c>
      <c r="I1107" s="66">
        <v>1</v>
      </c>
    </row>
    <row r="1108" spans="1:9" x14ac:dyDescent="0.15">
      <c r="A1108" s="66">
        <v>866</v>
      </c>
      <c r="B1108" s="3" t="str">
        <f ca="1">VLOOKUP($A1108,OFFSET([2]characters!$A$1,0,0,COUNTA([2]characters!$A:$A),MATCH(B$1,[2]characters!$1:$1,0)-MATCH($A$1,[2]characters!$1:$1,0)+1),MATCH(B$1,[2]characters!$1:$1,0)-MATCH($A$1,[2]characters!$1:$1,0)+1,FALSE)</f>
        <v>無敗の司令姫 白雪姫</v>
      </c>
      <c r="C1108" s="93">
        <f ca="1">VLOOKUP($A1108,OFFSET(fork_awake_units!$A$1,0,0,COUNTA(fork_awake_units!$A:$A),MATCH(C$1,fork_awake_units!$1:$1,0)-MATCH($A$1,fork_awake_units!$1:$1,0)+1),MATCH(C$1,fork_awake_units!$1:$1,0)-MATCH($A$1,fork_awake_units!$1:$1,0)+1,FALSE)</f>
        <v>867</v>
      </c>
      <c r="D1108" s="3" t="str">
        <f ca="1">VLOOKUP($C1108,OFFSET([2]characters!$A$1,0,0,COUNTA([2]characters!$A:$A),MATCH(D$1,[2]characters!$1:$1,0)-MATCH($A$1,[2]characters!$1:$1,0)+1),MATCH(D$1,[2]characters!$1:$1,0)-MATCH($A$1,[2]characters!$1:$1,0)+1,FALSE)</f>
        <v>華麗なる作戦 白雪姫</v>
      </c>
      <c r="E1108" s="66">
        <v>112</v>
      </c>
      <c r="F1108" s="3" t="str">
        <f ca="1">VLOOKUP($E1108,OFFSET([2]characters!$A$1,0,0,COUNTA([2]characters!$A:$A),MATCH(F$1,[2]characters!$1:$1,0)-MATCH($A$1,[2]characters!$1:$1,0)+1),MATCH(F$1,[2]characters!$1:$1,0)-MATCH($A$1,[2]characters!$1:$1,0)+1,FALSE)</f>
        <v>水のマッドハッター</v>
      </c>
      <c r="G1108" s="66">
        <v>1</v>
      </c>
      <c r="H1108" s="66">
        <v>1</v>
      </c>
      <c r="I1108" s="66">
        <v>1</v>
      </c>
    </row>
    <row r="1109" spans="1:9" x14ac:dyDescent="0.15">
      <c r="A1109" s="66">
        <v>866</v>
      </c>
      <c r="B1109" s="3" t="str">
        <f ca="1">VLOOKUP($A1109,OFFSET([2]characters!$A$1,0,0,COUNTA([2]characters!$A:$A),MATCH(B$1,[2]characters!$1:$1,0)-MATCH($A$1,[2]characters!$1:$1,0)+1),MATCH(B$1,[2]characters!$1:$1,0)-MATCH($A$1,[2]characters!$1:$1,0)+1,FALSE)</f>
        <v>無敗の司令姫 白雪姫</v>
      </c>
      <c r="C1109" s="93">
        <f ca="1">VLOOKUP($A1109,OFFSET(fork_awake_units!$A$1,0,0,COUNTA(fork_awake_units!$A:$A),MATCH(C$1,fork_awake_units!$1:$1,0)-MATCH($A$1,fork_awake_units!$1:$1,0)+1),MATCH(C$1,fork_awake_units!$1:$1,0)-MATCH($A$1,fork_awake_units!$1:$1,0)+1,FALSE)</f>
        <v>867</v>
      </c>
      <c r="D1109" s="3" t="str">
        <f ca="1">VLOOKUP($C1109,OFFSET([2]characters!$A$1,0,0,COUNTA([2]characters!$A:$A),MATCH(D$1,[2]characters!$1:$1,0)-MATCH($A$1,[2]characters!$1:$1,0)+1),MATCH(D$1,[2]characters!$1:$1,0)-MATCH($A$1,[2]characters!$1:$1,0)+1,FALSE)</f>
        <v>華麗なる作戦 白雪姫</v>
      </c>
      <c r="E1109" s="66">
        <v>648</v>
      </c>
      <c r="F1109" s="3" t="str">
        <f ca="1">VLOOKUP($E1109,OFFSET([2]characters!$A$1,0,0,COUNTA([2]characters!$A:$A),MATCH(F$1,[2]characters!$1:$1,0)-MATCH($A$1,[2]characters!$1:$1,0)+1),MATCH(F$1,[2]characters!$1:$1,0)-MATCH($A$1,[2]characters!$1:$1,0)+1,FALSE)</f>
        <v>パールヴァティ</v>
      </c>
      <c r="G1109" s="66">
        <v>1</v>
      </c>
      <c r="H1109" s="66">
        <v>2</v>
      </c>
      <c r="I1109" s="66">
        <v>1</v>
      </c>
    </row>
    <row r="1110" spans="1:9" x14ac:dyDescent="0.15">
      <c r="A1110" s="66">
        <v>866</v>
      </c>
      <c r="B1110" s="3" t="str">
        <f ca="1">VLOOKUP($A1110,OFFSET([2]characters!$A$1,0,0,COUNTA([2]characters!$A:$A),MATCH(B$1,[2]characters!$1:$1,0)-MATCH($A$1,[2]characters!$1:$1,0)+1),MATCH(B$1,[2]characters!$1:$1,0)-MATCH($A$1,[2]characters!$1:$1,0)+1,FALSE)</f>
        <v>無敗の司令姫 白雪姫</v>
      </c>
      <c r="C1110" s="93">
        <f ca="1">VLOOKUP($A1110,OFFSET(fork_awake_units!$A$1,0,0,COUNTA(fork_awake_units!$A:$A),MATCH(C$1,fork_awake_units!$1:$1,0)-MATCH($A$1,fork_awake_units!$1:$1,0)+1),MATCH(C$1,fork_awake_units!$1:$1,0)-MATCH($A$1,fork_awake_units!$1:$1,0)+1,FALSE)</f>
        <v>867</v>
      </c>
      <c r="D1110" s="3" t="str">
        <f ca="1">VLOOKUP($C1110,OFFSET([2]characters!$A$1,0,0,COUNTA([2]characters!$A:$A),MATCH(D$1,[2]characters!$1:$1,0)-MATCH($A$1,[2]characters!$1:$1,0)+1),MATCH(D$1,[2]characters!$1:$1,0)-MATCH($A$1,[2]characters!$1:$1,0)+1,FALSE)</f>
        <v>華麗なる作戦 白雪姫</v>
      </c>
      <c r="E1110" s="66">
        <v>837</v>
      </c>
      <c r="F1110" s="3" t="str">
        <f ca="1">VLOOKUP($E1110,OFFSET([2]characters!$A$1,0,0,COUNTA([2]characters!$A:$A),MATCH(F$1,[2]characters!$1:$1,0)-MATCH($A$1,[2]characters!$1:$1,0)+1),MATCH(F$1,[2]characters!$1:$1,0)-MATCH($A$1,[2]characters!$1:$1,0)+1,FALSE)</f>
        <v>リトルハンプティ</v>
      </c>
      <c r="G1110" s="66">
        <v>1</v>
      </c>
      <c r="H1110" s="66">
        <v>1</v>
      </c>
      <c r="I1110" s="66">
        <v>1</v>
      </c>
    </row>
    <row r="1111" spans="1:9" x14ac:dyDescent="0.15">
      <c r="A1111" s="66">
        <v>866</v>
      </c>
      <c r="B1111" s="3" t="str">
        <f ca="1">VLOOKUP($A1111,OFFSET([2]characters!$A$1,0,0,COUNTA([2]characters!$A:$A),MATCH(B$1,[2]characters!$1:$1,0)-MATCH($A$1,[2]characters!$1:$1,0)+1),MATCH(B$1,[2]characters!$1:$1,0)-MATCH($A$1,[2]characters!$1:$1,0)+1,FALSE)</f>
        <v>無敗の司令姫 白雪姫</v>
      </c>
      <c r="C1111" s="93">
        <f ca="1">VLOOKUP($A1111,OFFSET(fork_awake_units!$A$1,0,0,COUNTA(fork_awake_units!$A:$A),MATCH(C$1,fork_awake_units!$1:$1,0)-MATCH($A$1,fork_awake_units!$1:$1,0)+1),MATCH(C$1,fork_awake_units!$1:$1,0)-MATCH($A$1,fork_awake_units!$1:$1,0)+1,FALSE)</f>
        <v>867</v>
      </c>
      <c r="D1111" s="3" t="str">
        <f ca="1">VLOOKUP($C1111,OFFSET([2]characters!$A$1,0,0,COUNTA([2]characters!$A:$A),MATCH(D$1,[2]characters!$1:$1,0)-MATCH($A$1,[2]characters!$1:$1,0)+1),MATCH(D$1,[2]characters!$1:$1,0)-MATCH($A$1,[2]characters!$1:$1,0)+1,FALSE)</f>
        <v>華麗なる作戦 白雪姫</v>
      </c>
      <c r="E1111" s="66">
        <v>856</v>
      </c>
      <c r="F1111" s="3" t="str">
        <f ca="1">VLOOKUP($E1111,OFFSET([2]characters!$A$1,0,0,COUNTA([2]characters!$A:$A),MATCH(F$1,[2]characters!$1:$1,0)-MATCH($A$1,[2]characters!$1:$1,0)+1),MATCH(F$1,[2]characters!$1:$1,0)-MATCH($A$1,[2]characters!$1:$1,0)+1,FALSE)</f>
        <v>リフレクト＆M.I.R.R.O.R.</v>
      </c>
      <c r="G1111" s="66">
        <v>1</v>
      </c>
      <c r="H1111" s="66">
        <v>2</v>
      </c>
      <c r="I1111" s="66">
        <v>1</v>
      </c>
    </row>
    <row r="1112" spans="1:9" x14ac:dyDescent="0.15">
      <c r="A1112" s="66">
        <v>868</v>
      </c>
      <c r="B1112" s="3" t="str">
        <f ca="1">VLOOKUP($A1112,OFFSET([2]characters!$A$1,0,0,COUNTA([2]characters!$A:$A),MATCH(B$1,[2]characters!$1:$1,0)-MATCH($A$1,[2]characters!$1:$1,0)+1),MATCH(B$1,[2]characters!$1:$1,0)-MATCH($A$1,[2]characters!$1:$1,0)+1,FALSE)</f>
        <v>アラジンと殲滅機兵LAMP</v>
      </c>
      <c r="C1112" s="93">
        <f ca="1">VLOOKUP($A1112,OFFSET(fork_awake_units!$A$1,0,0,COUNTA(fork_awake_units!$A:$A),MATCH(C$1,fork_awake_units!$1:$1,0)-MATCH($A$1,fork_awake_units!$1:$1,0)+1),MATCH(C$1,fork_awake_units!$1:$1,0)-MATCH($A$1,fork_awake_units!$1:$1,0)+1,FALSE)</f>
        <v>869</v>
      </c>
      <c r="D1112" s="3" t="str">
        <f ca="1">VLOOKUP($C1112,OFFSET([2]characters!$A$1,0,0,COUNTA([2]characters!$A:$A),MATCH(D$1,[2]characters!$1:$1,0)-MATCH($A$1,[2]characters!$1:$1,0)+1),MATCH(D$1,[2]characters!$1:$1,0)-MATCH($A$1,[2]characters!$1:$1,0)+1,FALSE)</f>
        <v xml:space="preserve">マスター･アラジンと殲滅機兵LAMP </v>
      </c>
      <c r="E1112" s="66">
        <v>115</v>
      </c>
      <c r="F1112" s="3" t="str">
        <f ca="1">VLOOKUP($E1112,OFFSET([2]characters!$A$1,0,0,COUNTA([2]characters!$A:$A),MATCH(F$1,[2]characters!$1:$1,0)-MATCH($A$1,[2]characters!$1:$1,0)+1),MATCH(F$1,[2]characters!$1:$1,0)-MATCH($A$1,[2]characters!$1:$1,0)+1,FALSE)</f>
        <v>イエローキャタップ</v>
      </c>
      <c r="G1112" s="66">
        <v>1</v>
      </c>
      <c r="H1112" s="66">
        <v>1</v>
      </c>
      <c r="I1112" s="66">
        <v>1</v>
      </c>
    </row>
    <row r="1113" spans="1:9" x14ac:dyDescent="0.15">
      <c r="A1113" s="66">
        <v>868</v>
      </c>
      <c r="B1113" s="3" t="str">
        <f ca="1">VLOOKUP($A1113,OFFSET([2]characters!$A$1,0,0,COUNTA([2]characters!$A:$A),MATCH(B$1,[2]characters!$1:$1,0)-MATCH($A$1,[2]characters!$1:$1,0)+1),MATCH(B$1,[2]characters!$1:$1,0)-MATCH($A$1,[2]characters!$1:$1,0)+1,FALSE)</f>
        <v>アラジンと殲滅機兵LAMP</v>
      </c>
      <c r="C1113" s="93">
        <f ca="1">VLOOKUP($A1113,OFFSET(fork_awake_units!$A$1,0,0,COUNTA(fork_awake_units!$A:$A),MATCH(C$1,fork_awake_units!$1:$1,0)-MATCH($A$1,fork_awake_units!$1:$1,0)+1),MATCH(C$1,fork_awake_units!$1:$1,0)-MATCH($A$1,fork_awake_units!$1:$1,0)+1,FALSE)</f>
        <v>869</v>
      </c>
      <c r="D1113" s="3" t="str">
        <f ca="1">VLOOKUP($C1113,OFFSET([2]characters!$A$1,0,0,COUNTA([2]characters!$A:$A),MATCH(D$1,[2]characters!$1:$1,0)-MATCH($A$1,[2]characters!$1:$1,0)+1),MATCH(D$1,[2]characters!$1:$1,0)-MATCH($A$1,[2]characters!$1:$1,0)+1,FALSE)</f>
        <v xml:space="preserve">マスター･アラジンと殲滅機兵LAMP </v>
      </c>
      <c r="E1113" s="66">
        <v>116</v>
      </c>
      <c r="F1113" s="3" t="str">
        <f ca="1">VLOOKUP($E1113,OFFSET([2]characters!$A$1,0,0,COUNTA([2]characters!$A:$A),MATCH(F$1,[2]characters!$1:$1,0)-MATCH($A$1,[2]characters!$1:$1,0)+1),MATCH(F$1,[2]characters!$1:$1,0)-MATCH($A$1,[2]characters!$1:$1,0)+1,FALSE)</f>
        <v>雷のマッドハッター</v>
      </c>
      <c r="G1113" s="66">
        <v>1</v>
      </c>
      <c r="H1113" s="66">
        <v>1</v>
      </c>
      <c r="I1113" s="66">
        <v>1</v>
      </c>
    </row>
    <row r="1114" spans="1:9" x14ac:dyDescent="0.15">
      <c r="A1114" s="66">
        <v>868</v>
      </c>
      <c r="B1114" s="3" t="str">
        <f ca="1">VLOOKUP($A1114,OFFSET([2]characters!$A$1,0,0,COUNTA([2]characters!$A:$A),MATCH(B$1,[2]characters!$1:$1,0)-MATCH($A$1,[2]characters!$1:$1,0)+1),MATCH(B$1,[2]characters!$1:$1,0)-MATCH($A$1,[2]characters!$1:$1,0)+1,FALSE)</f>
        <v>アラジンと殲滅機兵LAMP</v>
      </c>
      <c r="C1114" s="93">
        <f ca="1">VLOOKUP($A1114,OFFSET(fork_awake_units!$A$1,0,0,COUNTA(fork_awake_units!$A:$A),MATCH(C$1,fork_awake_units!$1:$1,0)-MATCH($A$1,fork_awake_units!$1:$1,0)+1),MATCH(C$1,fork_awake_units!$1:$1,0)-MATCH($A$1,fork_awake_units!$1:$1,0)+1,FALSE)</f>
        <v>869</v>
      </c>
      <c r="D1114" s="3" t="str">
        <f ca="1">VLOOKUP($C1114,OFFSET([2]characters!$A$1,0,0,COUNTA([2]characters!$A:$A),MATCH(D$1,[2]characters!$1:$1,0)-MATCH($A$1,[2]characters!$1:$1,0)+1),MATCH(D$1,[2]characters!$1:$1,0)-MATCH($A$1,[2]characters!$1:$1,0)+1,FALSE)</f>
        <v xml:space="preserve">マスター･アラジンと殲滅機兵LAMP </v>
      </c>
      <c r="E1114" s="66">
        <v>583</v>
      </c>
      <c r="F1114" s="3" t="str">
        <f ca="1">VLOOKUP($E1114,OFFSET([2]characters!$A$1,0,0,COUNTA([2]characters!$A:$A),MATCH(F$1,[2]characters!$1:$1,0)-MATCH($A$1,[2]characters!$1:$1,0)+1),MATCH(F$1,[2]characters!$1:$1,0)-MATCH($A$1,[2]characters!$1:$1,0)+1,FALSE)</f>
        <v>ミョルニル</v>
      </c>
      <c r="G1114" s="66">
        <v>1</v>
      </c>
      <c r="H1114" s="66">
        <v>2</v>
      </c>
      <c r="I1114" s="66">
        <v>1</v>
      </c>
    </row>
    <row r="1115" spans="1:9" x14ac:dyDescent="0.15">
      <c r="A1115" s="66">
        <v>868</v>
      </c>
      <c r="B1115" s="3" t="str">
        <f ca="1">VLOOKUP($A1115,OFFSET([2]characters!$A$1,0,0,COUNTA([2]characters!$A:$A),MATCH(B$1,[2]characters!$1:$1,0)-MATCH($A$1,[2]characters!$1:$1,0)+1),MATCH(B$1,[2]characters!$1:$1,0)-MATCH($A$1,[2]characters!$1:$1,0)+1,FALSE)</f>
        <v>アラジンと殲滅機兵LAMP</v>
      </c>
      <c r="C1115" s="93">
        <f ca="1">VLOOKUP($A1115,OFFSET(fork_awake_units!$A$1,0,0,COUNTA(fork_awake_units!$A:$A),MATCH(C$1,fork_awake_units!$1:$1,0)-MATCH($A$1,fork_awake_units!$1:$1,0)+1),MATCH(C$1,fork_awake_units!$1:$1,0)-MATCH($A$1,fork_awake_units!$1:$1,0)+1,FALSE)</f>
        <v>869</v>
      </c>
      <c r="D1115" s="3" t="str">
        <f ca="1">VLOOKUP($C1115,OFFSET([2]characters!$A$1,0,0,COUNTA([2]characters!$A:$A),MATCH(D$1,[2]characters!$1:$1,0)-MATCH($A$1,[2]characters!$1:$1,0)+1),MATCH(D$1,[2]characters!$1:$1,0)-MATCH($A$1,[2]characters!$1:$1,0)+1,FALSE)</f>
        <v xml:space="preserve">マスター･アラジンと殲滅機兵LAMP </v>
      </c>
      <c r="E1115" s="66">
        <v>837</v>
      </c>
      <c r="F1115" s="3" t="str">
        <f ca="1">VLOOKUP($E1115,OFFSET([2]characters!$A$1,0,0,COUNTA([2]characters!$A:$A),MATCH(F$1,[2]characters!$1:$1,0)-MATCH($A$1,[2]characters!$1:$1,0)+1),MATCH(F$1,[2]characters!$1:$1,0)-MATCH($A$1,[2]characters!$1:$1,0)+1,FALSE)</f>
        <v>リトルハンプティ</v>
      </c>
      <c r="G1115" s="66">
        <v>1</v>
      </c>
      <c r="H1115" s="66">
        <v>1</v>
      </c>
      <c r="I1115" s="66">
        <v>1</v>
      </c>
    </row>
    <row r="1116" spans="1:9" x14ac:dyDescent="0.15">
      <c r="A1116" s="66">
        <v>868</v>
      </c>
      <c r="B1116" s="3" t="str">
        <f ca="1">VLOOKUP($A1116,OFFSET([2]characters!$A$1,0,0,COUNTA([2]characters!$A:$A),MATCH(B$1,[2]characters!$1:$1,0)-MATCH($A$1,[2]characters!$1:$1,0)+1),MATCH(B$1,[2]characters!$1:$1,0)-MATCH($A$1,[2]characters!$1:$1,0)+1,FALSE)</f>
        <v>アラジンと殲滅機兵LAMP</v>
      </c>
      <c r="C1116" s="93">
        <f ca="1">VLOOKUP($A1116,OFFSET(fork_awake_units!$A$1,0,0,COUNTA(fork_awake_units!$A:$A),MATCH(C$1,fork_awake_units!$1:$1,0)-MATCH($A$1,fork_awake_units!$1:$1,0)+1),MATCH(C$1,fork_awake_units!$1:$1,0)-MATCH($A$1,fork_awake_units!$1:$1,0)+1,FALSE)</f>
        <v>869</v>
      </c>
      <c r="D1116" s="3" t="str">
        <f ca="1">VLOOKUP($C1116,OFFSET([2]characters!$A$1,0,0,COUNTA([2]characters!$A:$A),MATCH(D$1,[2]characters!$1:$1,0)-MATCH($A$1,[2]characters!$1:$1,0)+1),MATCH(D$1,[2]characters!$1:$1,0)-MATCH($A$1,[2]characters!$1:$1,0)+1,FALSE)</f>
        <v xml:space="preserve">マスター･アラジンと殲滅機兵LAMP </v>
      </c>
      <c r="E1116" s="66">
        <v>858</v>
      </c>
      <c r="F1116" s="3" t="str">
        <f ca="1">VLOOKUP($E1116,OFFSET([2]characters!$A$1,0,0,COUNTA([2]characters!$A:$A),MATCH(F$1,[2]characters!$1:$1,0)-MATCH($A$1,[2]characters!$1:$1,0)+1),MATCH(F$1,[2]characters!$1:$1,0)-MATCH($A$1,[2]characters!$1:$1,0)+1,FALSE)</f>
        <v>Mr.ホエール</v>
      </c>
      <c r="G1116" s="66">
        <v>1</v>
      </c>
      <c r="H1116" s="66">
        <v>2</v>
      </c>
      <c r="I1116" s="66">
        <v>1</v>
      </c>
    </row>
    <row r="1117" spans="1:9" x14ac:dyDescent="0.15">
      <c r="A1117" s="66">
        <v>899</v>
      </c>
      <c r="B1117" s="3" t="str">
        <f ca="1">VLOOKUP($A1117,OFFSET([2]characters!$A$1,0,0,COUNTA([2]characters!$A:$A),MATCH(B$1,[2]characters!$1:$1,0)-MATCH($A$1,[2]characters!$1:$1,0)+1),MATCH(B$1,[2]characters!$1:$1,0)-MATCH($A$1,[2]characters!$1:$1,0)+1,FALSE)</f>
        <v>楽園からの帰還 アザゼル</v>
      </c>
      <c r="C1117" s="93">
        <f ca="1">VLOOKUP($A1117,OFFSET(fork_awake_units!$A$1,0,0,COUNTA(fork_awake_units!$A:$A),MATCH(C$1,fork_awake_units!$1:$1,0)-MATCH($A$1,fork_awake_units!$1:$1,0)+1),MATCH(C$1,fork_awake_units!$1:$1,0)-MATCH($A$1,fork_awake_units!$1:$1,0)+1,FALSE)</f>
        <v>900</v>
      </c>
      <c r="D1117" s="3" t="str">
        <f ca="1">VLOOKUP($C1117,OFFSET([2]characters!$A$1,0,0,COUNTA([2]characters!$A:$A),MATCH(D$1,[2]characters!$1:$1,0)-MATCH($A$1,[2]characters!$1:$1,0)+1),MATCH(D$1,[2]characters!$1:$1,0)-MATCH($A$1,[2]characters!$1:$1,0)+1,FALSE)</f>
        <v>桃源郷での大宴会 アザゼル</v>
      </c>
      <c r="E1117" s="66">
        <v>837</v>
      </c>
      <c r="F1117" s="3" t="str">
        <f ca="1">VLOOKUP($E1117,OFFSET([2]characters!$A$1,0,0,COUNTA([2]characters!$A:$A),MATCH(F$1,[2]characters!$1:$1,0)-MATCH($A$1,[2]characters!$1:$1,0)+1),MATCH(F$1,[2]characters!$1:$1,0)-MATCH($A$1,[2]characters!$1:$1,0)+1,FALSE)</f>
        <v>リトルハンプティ</v>
      </c>
      <c r="G1117" s="66">
        <v>1</v>
      </c>
      <c r="H1117" s="66">
        <v>1</v>
      </c>
      <c r="I1117" s="66">
        <v>1</v>
      </c>
    </row>
    <row r="1118" spans="1:9" x14ac:dyDescent="0.15">
      <c r="A1118" s="66">
        <v>899</v>
      </c>
      <c r="B1118" s="3" t="str">
        <f ca="1">VLOOKUP($A1118,OFFSET([2]characters!$A$1,0,0,COUNTA([2]characters!$A:$A),MATCH(B$1,[2]characters!$1:$1,0)-MATCH($A$1,[2]characters!$1:$1,0)+1),MATCH(B$1,[2]characters!$1:$1,0)-MATCH($A$1,[2]characters!$1:$1,0)+1,FALSE)</f>
        <v>楽園からの帰還 アザゼル</v>
      </c>
      <c r="C1118" s="93">
        <f ca="1">VLOOKUP($A1118,OFFSET(fork_awake_units!$A$1,0,0,COUNTA(fork_awake_units!$A:$A),MATCH(C$1,fork_awake_units!$1:$1,0)-MATCH($A$1,fork_awake_units!$1:$1,0)+1),MATCH(C$1,fork_awake_units!$1:$1,0)-MATCH($A$1,fork_awake_units!$1:$1,0)+1,FALSE)</f>
        <v>900</v>
      </c>
      <c r="D1118" s="3" t="str">
        <f ca="1">VLOOKUP($C1118,OFFSET([2]characters!$A$1,0,0,COUNTA([2]characters!$A:$A),MATCH(D$1,[2]characters!$1:$1,0)-MATCH($A$1,[2]characters!$1:$1,0)+1),MATCH(D$1,[2]characters!$1:$1,0)-MATCH($A$1,[2]characters!$1:$1,0)+1,FALSE)</f>
        <v>桃源郷での大宴会 アザゼル</v>
      </c>
      <c r="E1118" s="66">
        <v>907</v>
      </c>
      <c r="F1118" s="3" t="str">
        <f ca="1">VLOOKUP($E1118,OFFSET([2]characters!$A$1,0,0,COUNTA([2]characters!$A:$A),MATCH(F$1,[2]characters!$1:$1,0)-MATCH($A$1,[2]characters!$1:$1,0)+1),MATCH(F$1,[2]characters!$1:$1,0)-MATCH($A$1,[2]characters!$1:$1,0)+1,FALSE)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118" s="66">
        <v>1</v>
      </c>
      <c r="H1118" s="66">
        <v>4</v>
      </c>
      <c r="I1118" s="66">
        <v>1</v>
      </c>
    </row>
    <row r="1119" spans="1:9" x14ac:dyDescent="0.15">
      <c r="A1119" s="66">
        <v>899</v>
      </c>
      <c r="B1119" s="3" t="str">
        <f ca="1">VLOOKUP($A1119,OFFSET([2]characters!$A$1,0,0,COUNTA([2]characters!$A:$A),MATCH(B$1,[2]characters!$1:$1,0)-MATCH($A$1,[2]characters!$1:$1,0)+1),MATCH(B$1,[2]characters!$1:$1,0)-MATCH($A$1,[2]characters!$1:$1,0)+1,FALSE)</f>
        <v>楽園からの帰還 アザゼル</v>
      </c>
      <c r="C1119" s="93">
        <f ca="1">VLOOKUP($A1119,OFFSET(fork_awake_units!$A$1,0,0,COUNTA(fork_awake_units!$A:$A),MATCH(C$1,fork_awake_units!$1:$1,0)-MATCH($A$1,fork_awake_units!$1:$1,0)+1),MATCH(C$1,fork_awake_units!$1:$1,0)-MATCH($A$1,fork_awake_units!$1:$1,0)+1,FALSE)</f>
        <v>900</v>
      </c>
      <c r="D1119" s="3" t="str">
        <f ca="1">VLOOKUP($C1119,OFFSET([2]characters!$A$1,0,0,COUNTA([2]characters!$A:$A),MATCH(D$1,[2]characters!$1:$1,0)-MATCH($A$1,[2]characters!$1:$1,0)+1),MATCH(D$1,[2]characters!$1:$1,0)-MATCH($A$1,[2]characters!$1:$1,0)+1,FALSE)</f>
        <v>桃源郷での大宴会 アザゼル</v>
      </c>
      <c r="E1119" s="66">
        <v>908</v>
      </c>
      <c r="F1119" s="3" t="str">
        <f ca="1">VLOOKUP($E1119,OFFSET([2]characters!$A$1,0,0,COUNTA([2]characters!$A:$A),MATCH(F$1,[2]characters!$1:$1,0)-MATCH($A$1,[2]characters!$1:$1,0)+1),MATCH(F$1,[2]characters!$1:$1,0)-MATCH($A$1,[2]characters!$1:$1,0)+1,FALSE)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19" s="66">
        <v>1</v>
      </c>
      <c r="H1119" s="66">
        <v>4</v>
      </c>
      <c r="I1119" s="66">
        <v>1</v>
      </c>
    </row>
    <row r="1120" spans="1:9" x14ac:dyDescent="0.15">
      <c r="A1120" s="66">
        <v>901</v>
      </c>
      <c r="B1120" s="3" t="str">
        <f ca="1">VLOOKUP($A1120,OFFSET([2]characters!$A$1,0,0,COUNTA([2]characters!$A:$A),MATCH(B$1,[2]characters!$1:$1,0)-MATCH($A$1,[2]characters!$1:$1,0)+1),MATCH(B$1,[2]characters!$1:$1,0)-MATCH($A$1,[2]characters!$1:$1,0)+1,FALSE)</f>
        <v>恩愛性ニムダ</v>
      </c>
      <c r="C1120" s="93">
        <f ca="1">VLOOKUP($A1120,OFFSET(fork_awake_units!$A$1,0,0,COUNTA(fork_awake_units!$A:$A),MATCH(C$1,fork_awake_units!$1:$1,0)-MATCH($A$1,fork_awake_units!$1:$1,0)+1),MATCH(C$1,fork_awake_units!$1:$1,0)-MATCH($A$1,fork_awake_units!$1:$1,0)+1,FALSE)</f>
        <v>902</v>
      </c>
      <c r="D1120" s="3" t="str">
        <f ca="1">VLOOKUP($C1120,OFFSET([2]characters!$A$1,0,0,COUNTA([2]characters!$A:$A),MATCH(D$1,[2]characters!$1:$1,0)-MATCH($A$1,[2]characters!$1:$1,0)+1),MATCH(D$1,[2]characters!$1:$1,0)-MATCH($A$1,[2]characters!$1:$1,0)+1,FALSE)</f>
        <v>集団恩愛性ニムダL</v>
      </c>
      <c r="E1120" s="66">
        <v>113</v>
      </c>
      <c r="F1120" s="3" t="str">
        <f ca="1">VLOOKUP($E1120,OFFSET([2]characters!$A$1,0,0,COUNTA([2]characters!$A:$A),MATCH(F$1,[2]characters!$1:$1,0)-MATCH($A$1,[2]characters!$1:$1,0)+1),MATCH(F$1,[2]characters!$1:$1,0)-MATCH($A$1,[2]characters!$1:$1,0)+1,FALSE)</f>
        <v>イエローチェシャ</v>
      </c>
      <c r="G1120" s="66">
        <v>1</v>
      </c>
      <c r="H1120" s="66">
        <v>1</v>
      </c>
      <c r="I1120" s="66">
        <v>1</v>
      </c>
    </row>
    <row r="1121" spans="1:9" x14ac:dyDescent="0.15">
      <c r="A1121" s="66">
        <v>901</v>
      </c>
      <c r="B1121" s="3" t="str">
        <f ca="1">VLOOKUP($A1121,OFFSET([2]characters!$A$1,0,0,COUNTA([2]characters!$A:$A),MATCH(B$1,[2]characters!$1:$1,0)-MATCH($A$1,[2]characters!$1:$1,0)+1),MATCH(B$1,[2]characters!$1:$1,0)-MATCH($A$1,[2]characters!$1:$1,0)+1,FALSE)</f>
        <v>恩愛性ニムダ</v>
      </c>
      <c r="C1121" s="93">
        <f ca="1">VLOOKUP($A1121,OFFSET(fork_awake_units!$A$1,0,0,COUNTA(fork_awake_units!$A:$A),MATCH(C$1,fork_awake_units!$1:$1,0)-MATCH($A$1,fork_awake_units!$1:$1,0)+1),MATCH(C$1,fork_awake_units!$1:$1,0)-MATCH($A$1,fork_awake_units!$1:$1,0)+1,FALSE)</f>
        <v>902</v>
      </c>
      <c r="D1121" s="3" t="str">
        <f ca="1">VLOOKUP($C1121,OFFSET([2]characters!$A$1,0,0,COUNTA([2]characters!$A:$A),MATCH(D$1,[2]characters!$1:$1,0)-MATCH($A$1,[2]characters!$1:$1,0)+1),MATCH(D$1,[2]characters!$1:$1,0)-MATCH($A$1,[2]characters!$1:$1,0)+1,FALSE)</f>
        <v>集団恩愛性ニムダL</v>
      </c>
      <c r="E1121" s="66">
        <v>114</v>
      </c>
      <c r="F1121" s="3" t="str">
        <f ca="1">VLOOKUP($E1121,OFFSET([2]characters!$A$1,0,0,COUNTA([2]characters!$A:$A),MATCH(F$1,[2]characters!$1:$1,0)-MATCH($A$1,[2]characters!$1:$1,0)+1),MATCH(F$1,[2]characters!$1:$1,0)-MATCH($A$1,[2]characters!$1:$1,0)+1,FALSE)</f>
        <v>イエローラビット</v>
      </c>
      <c r="G1121" s="66">
        <v>1</v>
      </c>
      <c r="H1121" s="66">
        <v>1</v>
      </c>
      <c r="I1121" s="66">
        <v>1</v>
      </c>
    </row>
    <row r="1122" spans="1:9" x14ac:dyDescent="0.15">
      <c r="A1122" s="66">
        <v>901</v>
      </c>
      <c r="B1122" s="3" t="str">
        <f ca="1">VLOOKUP($A1122,OFFSET([2]characters!$A$1,0,0,COUNTA([2]characters!$A:$A),MATCH(B$1,[2]characters!$1:$1,0)-MATCH($A$1,[2]characters!$1:$1,0)+1),MATCH(B$1,[2]characters!$1:$1,0)-MATCH($A$1,[2]characters!$1:$1,0)+1,FALSE)</f>
        <v>恩愛性ニムダ</v>
      </c>
      <c r="C1122" s="93">
        <f ca="1">VLOOKUP($A1122,OFFSET(fork_awake_units!$A$1,0,0,COUNTA(fork_awake_units!$A:$A),MATCH(C$1,fork_awake_units!$1:$1,0)-MATCH($A$1,fork_awake_units!$1:$1,0)+1),MATCH(C$1,fork_awake_units!$1:$1,0)-MATCH($A$1,fork_awake_units!$1:$1,0)+1,FALSE)</f>
        <v>902</v>
      </c>
      <c r="D1122" s="3" t="str">
        <f ca="1">VLOOKUP($C1122,OFFSET([2]characters!$A$1,0,0,COUNTA([2]characters!$A:$A),MATCH(D$1,[2]characters!$1:$1,0)-MATCH($A$1,[2]characters!$1:$1,0)+1),MATCH(D$1,[2]characters!$1:$1,0)-MATCH($A$1,[2]characters!$1:$1,0)+1,FALSE)</f>
        <v>集団恩愛性ニムダL</v>
      </c>
      <c r="E1122" s="66">
        <v>907</v>
      </c>
      <c r="F1122" s="3" t="str">
        <f ca="1">VLOOKUP($E1122,OFFSET([2]characters!$A$1,0,0,COUNTA([2]characters!$A:$A),MATCH(F$1,[2]characters!$1:$1,0)-MATCH($A$1,[2]characters!$1:$1,0)+1),MATCH(F$1,[2]characters!$1:$1,0)-MATCH($A$1,[2]characters!$1:$1,0)+1,FALSE)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122" s="66">
        <v>1</v>
      </c>
      <c r="H1122" s="66">
        <v>3</v>
      </c>
      <c r="I1122" s="66">
        <v>1</v>
      </c>
    </row>
    <row r="1123" spans="1:9" x14ac:dyDescent="0.15">
      <c r="A1123" s="66">
        <v>901</v>
      </c>
      <c r="B1123" s="3" t="str">
        <f ca="1">VLOOKUP($A1123,OFFSET([2]characters!$A$1,0,0,COUNTA([2]characters!$A:$A),MATCH(B$1,[2]characters!$1:$1,0)-MATCH($A$1,[2]characters!$1:$1,0)+1),MATCH(B$1,[2]characters!$1:$1,0)-MATCH($A$1,[2]characters!$1:$1,0)+1,FALSE)</f>
        <v>恩愛性ニムダ</v>
      </c>
      <c r="C1123" s="93">
        <f ca="1">VLOOKUP($A1123,OFFSET(fork_awake_units!$A$1,0,0,COUNTA(fork_awake_units!$A:$A),MATCH(C$1,fork_awake_units!$1:$1,0)-MATCH($A$1,fork_awake_units!$1:$1,0)+1),MATCH(C$1,fork_awake_units!$1:$1,0)-MATCH($A$1,fork_awake_units!$1:$1,0)+1,FALSE)</f>
        <v>902</v>
      </c>
      <c r="D1123" s="3" t="str">
        <f ca="1">VLOOKUP($C1123,OFFSET([2]characters!$A$1,0,0,COUNTA([2]characters!$A:$A),MATCH(D$1,[2]characters!$1:$1,0)-MATCH($A$1,[2]characters!$1:$1,0)+1),MATCH(D$1,[2]characters!$1:$1,0)-MATCH($A$1,[2]characters!$1:$1,0)+1,FALSE)</f>
        <v>集団恩愛性ニムダL</v>
      </c>
      <c r="E1123" s="66">
        <v>908</v>
      </c>
      <c r="F1123" s="3" t="str">
        <f ca="1">VLOOKUP($E1123,OFFSET([2]characters!$A$1,0,0,COUNTA([2]characters!$A:$A),MATCH(F$1,[2]characters!$1:$1,0)-MATCH($A$1,[2]characters!$1:$1,0)+1),MATCH(F$1,[2]characters!$1:$1,0)-MATCH($A$1,[2]characters!$1:$1,0)+1,FALSE)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23" s="66">
        <v>1</v>
      </c>
      <c r="H1123" s="66">
        <v>3</v>
      </c>
      <c r="I1123" s="66">
        <v>1</v>
      </c>
    </row>
    <row r="1124" spans="1:9" x14ac:dyDescent="0.15">
      <c r="A1124" s="66">
        <v>903</v>
      </c>
      <c r="B1124" s="3" t="str">
        <f ca="1">VLOOKUP($A1124,OFFSET([2]characters!$A$1,0,0,COUNTA([2]characters!$A:$A),MATCH(B$1,[2]characters!$1:$1,0)-MATCH($A$1,[2]characters!$1:$1,0)+1),MATCH(B$1,[2]characters!$1:$1,0)-MATCH($A$1,[2]characters!$1:$1,0)+1,FALSE)</f>
        <v>ハローキティ</v>
      </c>
      <c r="C1124" s="93">
        <f ca="1">VLOOKUP($A1124,OFFSET(fork_awake_units!$A$1,0,0,COUNTA(fork_awake_units!$A:$A),MATCH(C$1,fork_awake_units!$1:$1,0)-MATCH($A$1,fork_awake_units!$1:$1,0)+1),MATCH(C$1,fork_awake_units!$1:$1,0)-MATCH($A$1,fork_awake_units!$1:$1,0)+1,FALSE)</f>
        <v>904</v>
      </c>
      <c r="D1124" s="3" t="str">
        <f ca="1">VLOOKUP($C1124,OFFSET([2]characters!$A$1,0,0,COUNTA([2]characters!$A:$A),MATCH(D$1,[2]characters!$1:$1,0)-MATCH($A$1,[2]characters!$1:$1,0)+1),MATCH(D$1,[2]characters!$1:$1,0)-MATCH($A$1,[2]characters!$1:$1,0)+1,FALSE)</f>
        <v>りんごの馬車　ハローキティ</v>
      </c>
      <c r="E1124" s="66">
        <v>103</v>
      </c>
      <c r="F1124" s="3" t="str">
        <f ca="1">VLOOKUP($E1124,OFFSET([2]characters!$A$1,0,0,COUNTA([2]characters!$A:$A),MATCH(F$1,[2]characters!$1:$1,0)-MATCH($A$1,[2]characters!$1:$1,0)+1),MATCH(F$1,[2]characters!$1:$1,0)-MATCH($A$1,[2]characters!$1:$1,0)+1,FALSE)</f>
        <v>レッドキャタップ</v>
      </c>
      <c r="G1124" s="66">
        <v>1</v>
      </c>
      <c r="H1124" s="66">
        <v>1</v>
      </c>
      <c r="I1124" s="66">
        <v>1</v>
      </c>
    </row>
    <row r="1125" spans="1:9" x14ac:dyDescent="0.15">
      <c r="A1125" s="66">
        <v>903</v>
      </c>
      <c r="B1125" s="3" t="str">
        <f ca="1">VLOOKUP($A1125,OFFSET([2]characters!$A$1,0,0,COUNTA([2]characters!$A:$A),MATCH(B$1,[2]characters!$1:$1,0)-MATCH($A$1,[2]characters!$1:$1,0)+1),MATCH(B$1,[2]characters!$1:$1,0)-MATCH($A$1,[2]characters!$1:$1,0)+1,FALSE)</f>
        <v>ハローキティ</v>
      </c>
      <c r="C1125" s="93">
        <f ca="1">VLOOKUP($A1125,OFFSET(fork_awake_units!$A$1,0,0,COUNTA(fork_awake_units!$A:$A),MATCH(C$1,fork_awake_units!$1:$1,0)-MATCH($A$1,fork_awake_units!$1:$1,0)+1),MATCH(C$1,fork_awake_units!$1:$1,0)-MATCH($A$1,fork_awake_units!$1:$1,0)+1,FALSE)</f>
        <v>904</v>
      </c>
      <c r="D1125" s="3" t="str">
        <f ca="1">VLOOKUP($C1125,OFFSET([2]characters!$A$1,0,0,COUNTA([2]characters!$A:$A),MATCH(D$1,[2]characters!$1:$1,0)-MATCH($A$1,[2]characters!$1:$1,0)+1),MATCH(D$1,[2]characters!$1:$1,0)-MATCH($A$1,[2]characters!$1:$1,0)+1,FALSE)</f>
        <v>りんごの馬車　ハローキティ</v>
      </c>
      <c r="E1125" s="66">
        <v>907</v>
      </c>
      <c r="F1125" s="3" t="str">
        <f ca="1">VLOOKUP($E1125,OFFSET([2]characters!$A$1,0,0,COUNTA([2]characters!$A:$A),MATCH(F$1,[2]characters!$1:$1,0)-MATCH($A$1,[2]characters!$1:$1,0)+1),MATCH(F$1,[2]characters!$1:$1,0)-MATCH($A$1,[2]characters!$1:$1,0)+1,FALSE)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125" s="66">
        <v>1</v>
      </c>
      <c r="H1125" s="66">
        <v>2</v>
      </c>
      <c r="I1125" s="66">
        <v>1</v>
      </c>
    </row>
    <row r="1126" spans="1:9" x14ac:dyDescent="0.15">
      <c r="A1126" s="66">
        <v>903</v>
      </c>
      <c r="B1126" s="3" t="str">
        <f ca="1">VLOOKUP($A1126,OFFSET([2]characters!$A$1,0,0,COUNTA([2]characters!$A:$A),MATCH(B$1,[2]characters!$1:$1,0)-MATCH($A$1,[2]characters!$1:$1,0)+1),MATCH(B$1,[2]characters!$1:$1,0)-MATCH($A$1,[2]characters!$1:$1,0)+1,FALSE)</f>
        <v>ハローキティ</v>
      </c>
      <c r="C1126" s="93">
        <f ca="1">VLOOKUP($A1126,OFFSET(fork_awake_units!$A$1,0,0,COUNTA(fork_awake_units!$A:$A),MATCH(C$1,fork_awake_units!$1:$1,0)-MATCH($A$1,fork_awake_units!$1:$1,0)+1),MATCH(C$1,fork_awake_units!$1:$1,0)-MATCH($A$1,fork_awake_units!$1:$1,0)+1,FALSE)</f>
        <v>904</v>
      </c>
      <c r="D1126" s="3" t="str">
        <f ca="1">VLOOKUP($C1126,OFFSET([2]characters!$A$1,0,0,COUNTA([2]characters!$A:$A),MATCH(D$1,[2]characters!$1:$1,0)-MATCH($A$1,[2]characters!$1:$1,0)+1),MATCH(D$1,[2]characters!$1:$1,0)-MATCH($A$1,[2]characters!$1:$1,0)+1,FALSE)</f>
        <v>りんごの馬車　ハローキティ</v>
      </c>
      <c r="E1126" s="66">
        <v>908</v>
      </c>
      <c r="F1126" s="3" t="str">
        <f ca="1">VLOOKUP($E1126,OFFSET([2]characters!$A$1,0,0,COUNTA([2]characters!$A:$A),MATCH(F$1,[2]characters!$1:$1,0)-MATCH($A$1,[2]characters!$1:$1,0)+1),MATCH(F$1,[2]characters!$1:$1,0)-MATCH($A$1,[2]characters!$1:$1,0)+1,FALSE)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26" s="66">
        <v>1</v>
      </c>
      <c r="H1126" s="66">
        <v>2</v>
      </c>
      <c r="I1126" s="66">
        <v>1</v>
      </c>
    </row>
    <row r="1127" spans="1:9" x14ac:dyDescent="0.15">
      <c r="A1127" s="66">
        <v>905</v>
      </c>
      <c r="B1127" s="3" t="str">
        <f ca="1">VLOOKUP($A1127,OFFSET([2]characters!$A$1,0,0,COUNTA([2]characters!$A:$A),MATCH(B$1,[2]characters!$1:$1,0)-MATCH($A$1,[2]characters!$1:$1,0)+1),MATCH(B$1,[2]characters!$1:$1,0)-MATCH($A$1,[2]characters!$1:$1,0)+1,FALSE)</f>
        <v>KIRIMIちゃん.</v>
      </c>
      <c r="C1127" s="93">
        <f ca="1">VLOOKUP($A1127,OFFSET(fork_awake_units!$A$1,0,0,COUNTA(fork_awake_units!$A:$A),MATCH(C$1,fork_awake_units!$1:$1,0)-MATCH($A$1,fork_awake_units!$1:$1,0)+1),MATCH(C$1,fork_awake_units!$1:$1,0)-MATCH($A$1,fork_awake_units!$1:$1,0)+1,FALSE)</f>
        <v>906</v>
      </c>
      <c r="D1127" s="3" t="str">
        <f ca="1">VLOOKUP($C1127,OFFSET([2]characters!$A$1,0,0,COUNTA([2]characters!$A:$A),MATCH(D$1,[2]characters!$1:$1,0)-MATCH($A$1,[2]characters!$1:$1,0)+1),MATCH(D$1,[2]characters!$1:$1,0)-MATCH($A$1,[2]characters!$1:$1,0)+1,FALSE)</f>
        <v>おいしくたべてね KIRIMIちゃん.</v>
      </c>
      <c r="E1127" s="66">
        <v>103</v>
      </c>
      <c r="F1127" s="3" t="str">
        <f ca="1">VLOOKUP($E1127,OFFSET([2]characters!$A$1,0,0,COUNTA([2]characters!$A:$A),MATCH(F$1,[2]characters!$1:$1,0)-MATCH($A$1,[2]characters!$1:$1,0)+1),MATCH(F$1,[2]characters!$1:$1,0)-MATCH($A$1,[2]characters!$1:$1,0)+1,FALSE)</f>
        <v>レッドキャタップ</v>
      </c>
      <c r="G1127" s="66">
        <v>1</v>
      </c>
      <c r="H1127" s="66">
        <v>1</v>
      </c>
      <c r="I1127" s="66">
        <v>1</v>
      </c>
    </row>
    <row r="1128" spans="1:9" x14ac:dyDescent="0.15">
      <c r="A1128" s="66">
        <v>905</v>
      </c>
      <c r="B1128" s="3" t="str">
        <f ca="1">VLOOKUP($A1128,OFFSET([2]characters!$A$1,0,0,COUNTA([2]characters!$A:$A),MATCH(B$1,[2]characters!$1:$1,0)-MATCH($A$1,[2]characters!$1:$1,0)+1),MATCH(B$1,[2]characters!$1:$1,0)-MATCH($A$1,[2]characters!$1:$1,0)+1,FALSE)</f>
        <v>KIRIMIちゃん.</v>
      </c>
      <c r="C1128" s="93">
        <f ca="1">VLOOKUP($A1128,OFFSET(fork_awake_units!$A$1,0,0,COUNTA(fork_awake_units!$A:$A),MATCH(C$1,fork_awake_units!$1:$1,0)-MATCH($A$1,fork_awake_units!$1:$1,0)+1),MATCH(C$1,fork_awake_units!$1:$1,0)-MATCH($A$1,fork_awake_units!$1:$1,0)+1,FALSE)</f>
        <v>906</v>
      </c>
      <c r="D1128" s="3" t="str">
        <f ca="1">VLOOKUP($C1128,OFFSET([2]characters!$A$1,0,0,COUNTA([2]characters!$A:$A),MATCH(D$1,[2]characters!$1:$1,0)-MATCH($A$1,[2]characters!$1:$1,0)+1),MATCH(D$1,[2]characters!$1:$1,0)-MATCH($A$1,[2]characters!$1:$1,0)+1,FALSE)</f>
        <v>おいしくたべてね KIRIMIちゃん.</v>
      </c>
      <c r="E1128" s="66">
        <v>907</v>
      </c>
      <c r="F1128" s="3" t="str">
        <f ca="1">VLOOKUP($E1128,OFFSET([2]characters!$A$1,0,0,COUNTA([2]characters!$A:$A),MATCH(F$1,[2]characters!$1:$1,0)-MATCH($A$1,[2]characters!$1:$1,0)+1),MATCH(F$1,[2]characters!$1:$1,0)-MATCH($A$1,[2]characters!$1:$1,0)+1,FALSE)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128" s="66">
        <v>1</v>
      </c>
      <c r="H1128" s="66">
        <v>2</v>
      </c>
      <c r="I1128" s="66">
        <v>1</v>
      </c>
    </row>
    <row r="1129" spans="1:9" x14ac:dyDescent="0.15">
      <c r="A1129" s="66">
        <v>905</v>
      </c>
      <c r="B1129" s="3" t="str">
        <f ca="1">VLOOKUP($A1129,OFFSET([2]characters!$A$1,0,0,COUNTA([2]characters!$A:$A),MATCH(B$1,[2]characters!$1:$1,0)-MATCH($A$1,[2]characters!$1:$1,0)+1),MATCH(B$1,[2]characters!$1:$1,0)-MATCH($A$1,[2]characters!$1:$1,0)+1,FALSE)</f>
        <v>KIRIMIちゃん.</v>
      </c>
      <c r="C1129" s="93">
        <f ca="1">VLOOKUP($A1129,OFFSET(fork_awake_units!$A$1,0,0,COUNTA(fork_awake_units!$A:$A),MATCH(C$1,fork_awake_units!$1:$1,0)-MATCH($A$1,fork_awake_units!$1:$1,0)+1),MATCH(C$1,fork_awake_units!$1:$1,0)-MATCH($A$1,fork_awake_units!$1:$1,0)+1,FALSE)</f>
        <v>906</v>
      </c>
      <c r="D1129" s="3" t="str">
        <f ca="1">VLOOKUP($C1129,OFFSET([2]characters!$A$1,0,0,COUNTA([2]characters!$A:$A),MATCH(D$1,[2]characters!$1:$1,0)-MATCH($A$1,[2]characters!$1:$1,0)+1),MATCH(D$1,[2]characters!$1:$1,0)-MATCH($A$1,[2]characters!$1:$1,0)+1,FALSE)</f>
        <v>おいしくたべてね KIRIMIちゃん.</v>
      </c>
      <c r="E1129" s="66">
        <v>908</v>
      </c>
      <c r="F1129" s="3" t="str">
        <f ca="1">VLOOKUP($E1129,OFFSET([2]characters!$A$1,0,0,COUNTA([2]characters!$A:$A),MATCH(F$1,[2]characters!$1:$1,0)-MATCH($A$1,[2]characters!$1:$1,0)+1),MATCH(F$1,[2]characters!$1:$1,0)-MATCH($A$1,[2]characters!$1:$1,0)+1,FALSE)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29" s="66">
        <v>1</v>
      </c>
      <c r="H1129" s="66">
        <v>2</v>
      </c>
      <c r="I1129" s="66">
        <v>1</v>
      </c>
    </row>
    <row r="1130" spans="1:9" x14ac:dyDescent="0.15">
      <c r="A1130" s="66">
        <v>909</v>
      </c>
      <c r="B1130" s="3" t="str">
        <f ca="1">VLOOKUP($A1130,OFFSET([2]characters!$A$1,0,0,COUNTA([2]characters!$A:$A),MATCH(B$1,[2]characters!$1:$1,0)-MATCH($A$1,[2]characters!$1:$1,0)+1),MATCH(B$1,[2]characters!$1:$1,0)-MATCH($A$1,[2]characters!$1:$1,0)+1,FALSE)</f>
        <v>光愛の弾幕 D.R.T.H.</v>
      </c>
      <c r="C1130" s="93">
        <f ca="1">VLOOKUP($A1130,OFFSET(fork_awake_units!$A$1,0,0,COUNTA(fork_awake_units!$A:$A),MATCH(C$1,fork_awake_units!$1:$1,0)-MATCH($A$1,fork_awake_units!$1:$1,0)+1),MATCH(C$1,fork_awake_units!$1:$1,0)-MATCH($A$1,fork_awake_units!$1:$1,0)+1,FALSE)</f>
        <v>910</v>
      </c>
      <c r="D1130" s="3" t="str">
        <f ca="1">VLOOKUP($C1130,OFFSET([2]characters!$A$1,0,0,COUNTA([2]characters!$A:$A),MATCH(D$1,[2]characters!$1:$1,0)-MATCH($A$1,[2]characters!$1:$1,0)+1),MATCH(D$1,[2]characters!$1:$1,0)-MATCH($A$1,[2]characters!$1:$1,0)+1,FALSE)</f>
        <v>輝愛の大弾幕 D.R.T.H.</v>
      </c>
      <c r="E1130" s="66">
        <v>103</v>
      </c>
      <c r="F1130" s="3" t="str">
        <f ca="1">VLOOKUP($E1130,OFFSET([2]characters!$A$1,0,0,COUNTA([2]characters!$A:$A),MATCH(F$1,[2]characters!$1:$1,0)-MATCH($A$1,[2]characters!$1:$1,0)+1),MATCH(F$1,[2]characters!$1:$1,0)-MATCH($A$1,[2]characters!$1:$1,0)+1,FALSE)</f>
        <v>レッドキャタップ</v>
      </c>
      <c r="G1130" s="66">
        <v>1</v>
      </c>
      <c r="H1130" s="66">
        <v>1</v>
      </c>
      <c r="I1130" s="66">
        <v>1</v>
      </c>
    </row>
    <row r="1131" spans="1:9" x14ac:dyDescent="0.15">
      <c r="A1131" s="66">
        <v>909</v>
      </c>
      <c r="B1131" s="3" t="str">
        <f ca="1">VLOOKUP($A1131,OFFSET([2]characters!$A$1,0,0,COUNTA([2]characters!$A:$A),MATCH(B$1,[2]characters!$1:$1,0)-MATCH($A$1,[2]characters!$1:$1,0)+1),MATCH(B$1,[2]characters!$1:$1,0)-MATCH($A$1,[2]characters!$1:$1,0)+1,FALSE)</f>
        <v>光愛の弾幕 D.R.T.H.</v>
      </c>
      <c r="C1131" s="93">
        <f ca="1">VLOOKUP($A1131,OFFSET(fork_awake_units!$A$1,0,0,COUNTA(fork_awake_units!$A:$A),MATCH(C$1,fork_awake_units!$1:$1,0)-MATCH($A$1,fork_awake_units!$1:$1,0)+1),MATCH(C$1,fork_awake_units!$1:$1,0)-MATCH($A$1,fork_awake_units!$1:$1,0)+1,FALSE)</f>
        <v>910</v>
      </c>
      <c r="D1131" s="3" t="str">
        <f ca="1">VLOOKUP($C1131,OFFSET([2]characters!$A$1,0,0,COUNTA([2]characters!$A:$A),MATCH(D$1,[2]characters!$1:$1,0)-MATCH($A$1,[2]characters!$1:$1,0)+1),MATCH(D$1,[2]characters!$1:$1,0)-MATCH($A$1,[2]characters!$1:$1,0)+1,FALSE)</f>
        <v>輝愛の大弾幕 D.R.T.H.</v>
      </c>
      <c r="E1131" s="66">
        <v>837</v>
      </c>
      <c r="F1131" s="3" t="str">
        <f ca="1">VLOOKUP($E1131,OFFSET([2]characters!$A$1,0,0,COUNTA([2]characters!$A:$A),MATCH(F$1,[2]characters!$1:$1,0)-MATCH($A$1,[2]characters!$1:$1,0)+1),MATCH(F$1,[2]characters!$1:$1,0)-MATCH($A$1,[2]characters!$1:$1,0)+1,FALSE)</f>
        <v>リトルハンプティ</v>
      </c>
      <c r="G1131" s="66">
        <v>1</v>
      </c>
      <c r="H1131" s="66">
        <v>1</v>
      </c>
      <c r="I1131" s="66">
        <v>1</v>
      </c>
    </row>
    <row r="1132" spans="1:9" x14ac:dyDescent="0.15">
      <c r="A1132" s="66">
        <v>909</v>
      </c>
      <c r="B1132" s="3" t="str">
        <f ca="1">VLOOKUP($A1132,OFFSET([2]characters!$A$1,0,0,COUNTA([2]characters!$A:$A),MATCH(B$1,[2]characters!$1:$1,0)-MATCH($A$1,[2]characters!$1:$1,0)+1),MATCH(B$1,[2]characters!$1:$1,0)-MATCH($A$1,[2]characters!$1:$1,0)+1,FALSE)</f>
        <v>光愛の弾幕 D.R.T.H.</v>
      </c>
      <c r="C1132" s="93">
        <f ca="1">VLOOKUP($A1132,OFFSET(fork_awake_units!$A$1,0,0,COUNTA(fork_awake_units!$A:$A),MATCH(C$1,fork_awake_units!$1:$1,0)-MATCH($A$1,fork_awake_units!$1:$1,0)+1),MATCH(C$1,fork_awake_units!$1:$1,0)-MATCH($A$1,fork_awake_units!$1:$1,0)+1,FALSE)</f>
        <v>910</v>
      </c>
      <c r="D1132" s="3" t="str">
        <f ca="1">VLOOKUP($C1132,OFFSET([2]characters!$A$1,0,0,COUNTA([2]characters!$A:$A),MATCH(D$1,[2]characters!$1:$1,0)-MATCH($A$1,[2]characters!$1:$1,0)+1),MATCH(D$1,[2]characters!$1:$1,0)-MATCH($A$1,[2]characters!$1:$1,0)+1,FALSE)</f>
        <v>輝愛の大弾幕 D.R.T.H.</v>
      </c>
      <c r="E1132" s="66">
        <v>907</v>
      </c>
      <c r="F1132" s="3" t="str">
        <f ca="1">VLOOKUP($E1132,OFFSET([2]characters!$A$1,0,0,COUNTA([2]characters!$A:$A),MATCH(F$1,[2]characters!$1:$1,0)-MATCH($A$1,[2]characters!$1:$1,0)+1),MATCH(F$1,[2]characters!$1:$1,0)-MATCH($A$1,[2]characters!$1:$1,0)+1,FALSE)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132" s="66">
        <v>1</v>
      </c>
      <c r="H1132" s="66">
        <v>2</v>
      </c>
      <c r="I1132" s="66">
        <v>1</v>
      </c>
    </row>
    <row r="1133" spans="1:9" x14ac:dyDescent="0.15">
      <c r="A1133" s="66">
        <v>909</v>
      </c>
      <c r="B1133" s="3" t="str">
        <f ca="1">VLOOKUP($A1133,OFFSET([2]characters!$A$1,0,0,COUNTA([2]characters!$A:$A),MATCH(B$1,[2]characters!$1:$1,0)-MATCH($A$1,[2]characters!$1:$1,0)+1),MATCH(B$1,[2]characters!$1:$1,0)-MATCH($A$1,[2]characters!$1:$1,0)+1,FALSE)</f>
        <v>光愛の弾幕 D.R.T.H.</v>
      </c>
      <c r="C1133" s="93">
        <f ca="1">VLOOKUP($A1133,OFFSET(fork_awake_units!$A$1,0,0,COUNTA(fork_awake_units!$A:$A),MATCH(C$1,fork_awake_units!$1:$1,0)-MATCH($A$1,fork_awake_units!$1:$1,0)+1),MATCH(C$1,fork_awake_units!$1:$1,0)-MATCH($A$1,fork_awake_units!$1:$1,0)+1,FALSE)</f>
        <v>910</v>
      </c>
      <c r="D1133" s="3" t="str">
        <f ca="1">VLOOKUP($C1133,OFFSET([2]characters!$A$1,0,0,COUNTA([2]characters!$A:$A),MATCH(D$1,[2]characters!$1:$1,0)-MATCH($A$1,[2]characters!$1:$1,0)+1),MATCH(D$1,[2]characters!$1:$1,0)-MATCH($A$1,[2]characters!$1:$1,0)+1,FALSE)</f>
        <v>輝愛の大弾幕 D.R.T.H.</v>
      </c>
      <c r="E1133" s="66">
        <v>908</v>
      </c>
      <c r="F1133" s="3" t="str">
        <f ca="1">VLOOKUP($E1133,OFFSET([2]characters!$A$1,0,0,COUNTA([2]characters!$A:$A),MATCH(F$1,[2]characters!$1:$1,0)-MATCH($A$1,[2]characters!$1:$1,0)+1),MATCH(F$1,[2]characters!$1:$1,0)-MATCH($A$1,[2]characters!$1:$1,0)+1,FALSE)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33" s="66">
        <v>1</v>
      </c>
      <c r="H1133" s="66">
        <v>2</v>
      </c>
      <c r="I1133" s="66">
        <v>1</v>
      </c>
    </row>
    <row r="1134" spans="1:9" x14ac:dyDescent="0.15">
      <c r="A1134" s="66">
        <v>911</v>
      </c>
      <c r="B1134" s="3" t="str">
        <f ca="1">VLOOKUP($A1134,OFFSET([2]characters!$A$1,0,0,COUNTA([2]characters!$A:$A),MATCH(B$1,[2]characters!$1:$1,0)-MATCH($A$1,[2]characters!$1:$1,0)+1),MATCH(B$1,[2]characters!$1:$1,0)-MATCH($A$1,[2]characters!$1:$1,0)+1,FALSE)</f>
        <v>マイメロディ</v>
      </c>
      <c r="C1134" s="93">
        <f ca="1">VLOOKUP($A1134,OFFSET(fork_awake_units!$A$1,0,0,COUNTA(fork_awake_units!$A:$A),MATCH(C$1,fork_awake_units!$1:$1,0)-MATCH($A$1,fork_awake_units!$1:$1,0)+1),MATCH(C$1,fork_awake_units!$1:$1,0)-MATCH($A$1,fork_awake_units!$1:$1,0)+1,FALSE)</f>
        <v>912</v>
      </c>
      <c r="D1134" s="3" t="str">
        <f ca="1">VLOOKUP($C1134,OFFSET([2]characters!$A$1,0,0,COUNTA([2]characters!$A:$A),MATCH(D$1,[2]characters!$1:$1,0)-MATCH($A$1,[2]characters!$1:$1,0)+1),MATCH(D$1,[2]characters!$1:$1,0)-MATCH($A$1,[2]characters!$1:$1,0)+1,FALSE)</f>
        <v>フラットくんと一緒 マイメロディ</v>
      </c>
      <c r="E1134" s="66">
        <v>102</v>
      </c>
      <c r="F1134" s="3" t="str">
        <f ca="1">VLOOKUP($E1134,OFFSET([2]characters!$A$1,0,0,COUNTA([2]characters!$A:$A),MATCH(F$1,[2]characters!$1:$1,0)-MATCH($A$1,[2]characters!$1:$1,0)+1),MATCH(F$1,[2]characters!$1:$1,0)-MATCH($A$1,[2]characters!$1:$1,0)+1,FALSE)</f>
        <v>レッドラビット</v>
      </c>
      <c r="G1134" s="66">
        <v>1</v>
      </c>
      <c r="H1134" s="66">
        <v>1</v>
      </c>
      <c r="I1134" s="66">
        <v>1</v>
      </c>
    </row>
    <row r="1135" spans="1:9" x14ac:dyDescent="0.15">
      <c r="A1135" s="66">
        <v>911</v>
      </c>
      <c r="B1135" s="3" t="str">
        <f ca="1">VLOOKUP($A1135,OFFSET([2]characters!$A$1,0,0,COUNTA([2]characters!$A:$A),MATCH(B$1,[2]characters!$1:$1,0)-MATCH($A$1,[2]characters!$1:$1,0)+1),MATCH(B$1,[2]characters!$1:$1,0)-MATCH($A$1,[2]characters!$1:$1,0)+1,FALSE)</f>
        <v>マイメロディ</v>
      </c>
      <c r="C1135" s="93">
        <f ca="1">VLOOKUP($A1135,OFFSET(fork_awake_units!$A$1,0,0,COUNTA(fork_awake_units!$A:$A),MATCH(C$1,fork_awake_units!$1:$1,0)-MATCH($A$1,fork_awake_units!$1:$1,0)+1),MATCH(C$1,fork_awake_units!$1:$1,0)-MATCH($A$1,fork_awake_units!$1:$1,0)+1,FALSE)</f>
        <v>912</v>
      </c>
      <c r="D1135" s="3" t="str">
        <f ca="1">VLOOKUP($C1135,OFFSET([2]characters!$A$1,0,0,COUNTA([2]characters!$A:$A),MATCH(D$1,[2]characters!$1:$1,0)-MATCH($A$1,[2]characters!$1:$1,0)+1),MATCH(D$1,[2]characters!$1:$1,0)-MATCH($A$1,[2]characters!$1:$1,0)+1,FALSE)</f>
        <v>フラットくんと一緒 マイメロディ</v>
      </c>
      <c r="E1135" s="66">
        <v>103</v>
      </c>
      <c r="F1135" s="3" t="str">
        <f ca="1">VLOOKUP($E1135,OFFSET([2]characters!$A$1,0,0,COUNTA([2]characters!$A:$A),MATCH(F$1,[2]characters!$1:$1,0)-MATCH($A$1,[2]characters!$1:$1,0)+1),MATCH(F$1,[2]characters!$1:$1,0)-MATCH($A$1,[2]characters!$1:$1,0)+1,FALSE)</f>
        <v>レッドキャタップ</v>
      </c>
      <c r="G1135" s="66">
        <v>2</v>
      </c>
      <c r="H1135" s="66">
        <v>1</v>
      </c>
      <c r="I1135" s="66">
        <v>1</v>
      </c>
    </row>
    <row r="1136" spans="1:9" x14ac:dyDescent="0.15">
      <c r="A1136" s="66">
        <v>911</v>
      </c>
      <c r="B1136" s="3" t="str">
        <f ca="1">VLOOKUP($A1136,OFFSET([2]characters!$A$1,0,0,COUNTA([2]characters!$A:$A),MATCH(B$1,[2]characters!$1:$1,0)-MATCH($A$1,[2]characters!$1:$1,0)+1),MATCH(B$1,[2]characters!$1:$1,0)-MATCH($A$1,[2]characters!$1:$1,0)+1,FALSE)</f>
        <v>マイメロディ</v>
      </c>
      <c r="C1136" s="93">
        <f ca="1">VLOOKUP($A1136,OFFSET(fork_awake_units!$A$1,0,0,COUNTA(fork_awake_units!$A:$A),MATCH(C$1,fork_awake_units!$1:$1,0)-MATCH($A$1,fork_awake_units!$1:$1,0)+1),MATCH(C$1,fork_awake_units!$1:$1,0)-MATCH($A$1,fork_awake_units!$1:$1,0)+1,FALSE)</f>
        <v>912</v>
      </c>
      <c r="D1136" s="3" t="str">
        <f ca="1">VLOOKUP($C1136,OFFSET([2]characters!$A$1,0,0,COUNTA([2]characters!$A:$A),MATCH(D$1,[2]characters!$1:$1,0)-MATCH($A$1,[2]characters!$1:$1,0)+1),MATCH(D$1,[2]characters!$1:$1,0)-MATCH($A$1,[2]characters!$1:$1,0)+1,FALSE)</f>
        <v>フラットくんと一緒 マイメロディ</v>
      </c>
      <c r="E1136" s="66">
        <v>907</v>
      </c>
      <c r="F1136" s="3" t="str">
        <f ca="1">VLOOKUP($E1136,OFFSET([2]characters!$A$1,0,0,COUNTA([2]characters!$A:$A),MATCH(F$1,[2]characters!$1:$1,0)-MATCH($A$1,[2]characters!$1:$1,0)+1),MATCH(F$1,[2]characters!$1:$1,0)-MATCH($A$1,[2]characters!$1:$1,0)+1,FALSE)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136" s="66">
        <v>1</v>
      </c>
      <c r="H1136" s="66">
        <v>2</v>
      </c>
      <c r="I1136" s="66">
        <v>1</v>
      </c>
    </row>
    <row r="1137" spans="1:9" x14ac:dyDescent="0.15">
      <c r="A1137" s="66">
        <v>913</v>
      </c>
      <c r="B1137" s="3" t="str">
        <f ca="1">VLOOKUP($A1137,OFFSET([2]characters!$A$1,0,0,COUNTA([2]characters!$A:$A),MATCH(B$1,[2]characters!$1:$1,0)-MATCH($A$1,[2]characters!$1:$1,0)+1),MATCH(B$1,[2]characters!$1:$1,0)-MATCH($A$1,[2]characters!$1:$1,0)+1,FALSE)</f>
        <v>幸福の縁廻　ニーベルゲン</v>
      </c>
      <c r="C1137" s="93">
        <f ca="1">VLOOKUP($A1137,OFFSET(fork_awake_units!$A$1,0,0,COUNTA(fork_awake_units!$A:$A),MATCH(C$1,fork_awake_units!$1:$1,0)-MATCH($A$1,fork_awake_units!$1:$1,0)+1),MATCH(C$1,fork_awake_units!$1:$1,0)-MATCH($A$1,fork_awake_units!$1:$1,0)+1,FALSE)</f>
        <v>914</v>
      </c>
      <c r="D1137" s="3" t="str">
        <f ca="1">VLOOKUP($C1137,OFFSET([2]characters!$A$1,0,0,COUNTA([2]characters!$A:$A),MATCH(D$1,[2]characters!$1:$1,0)-MATCH($A$1,[2]characters!$1:$1,0)+1),MATCH(D$1,[2]characters!$1:$1,0)-MATCH($A$1,[2]characters!$1:$1,0)+1,FALSE)</f>
        <v>淡色を廻る倖せ　ニーベルゲン</v>
      </c>
      <c r="E1137" s="66">
        <v>106</v>
      </c>
      <c r="F1137" s="3" t="str">
        <f ca="1">VLOOKUP($E1137,OFFSET([2]characters!$A$1,0,0,COUNTA([2]characters!$A:$A),MATCH(F$1,[2]characters!$1:$1,0)-MATCH($A$1,[2]characters!$1:$1,0)+1),MATCH(F$1,[2]characters!$1:$1,0)-MATCH($A$1,[2]characters!$1:$1,0)+1,FALSE)</f>
        <v>グリーンラビット</v>
      </c>
      <c r="G1137" s="66">
        <v>1</v>
      </c>
      <c r="H1137" s="66">
        <v>1</v>
      </c>
      <c r="I1137" s="66">
        <v>1</v>
      </c>
    </row>
    <row r="1138" spans="1:9" x14ac:dyDescent="0.15">
      <c r="A1138" s="66">
        <v>913</v>
      </c>
      <c r="B1138" s="3" t="str">
        <f ca="1">VLOOKUP($A1138,OFFSET([2]characters!$A$1,0,0,COUNTA([2]characters!$A:$A),MATCH(B$1,[2]characters!$1:$1,0)-MATCH($A$1,[2]characters!$1:$1,0)+1),MATCH(B$1,[2]characters!$1:$1,0)-MATCH($A$1,[2]characters!$1:$1,0)+1,FALSE)</f>
        <v>幸福の縁廻　ニーベルゲン</v>
      </c>
      <c r="C1138" s="93">
        <f ca="1">VLOOKUP($A1138,OFFSET(fork_awake_units!$A$1,0,0,COUNTA(fork_awake_units!$A:$A),MATCH(C$1,fork_awake_units!$1:$1,0)-MATCH($A$1,fork_awake_units!$1:$1,0)+1),MATCH(C$1,fork_awake_units!$1:$1,0)-MATCH($A$1,fork_awake_units!$1:$1,0)+1,FALSE)</f>
        <v>914</v>
      </c>
      <c r="D1138" s="3" t="str">
        <f ca="1">VLOOKUP($C1138,OFFSET([2]characters!$A$1,0,0,COUNTA([2]characters!$A:$A),MATCH(D$1,[2]characters!$1:$1,0)-MATCH($A$1,[2]characters!$1:$1,0)+1),MATCH(D$1,[2]characters!$1:$1,0)-MATCH($A$1,[2]characters!$1:$1,0)+1,FALSE)</f>
        <v>淡色を廻る倖せ　ニーベルゲン</v>
      </c>
      <c r="E1138" s="66">
        <v>107</v>
      </c>
      <c r="F1138" s="3" t="str">
        <f ca="1">VLOOKUP($E1138,OFFSET([2]characters!$A$1,0,0,COUNTA([2]characters!$A:$A),MATCH(F$1,[2]characters!$1:$1,0)-MATCH($A$1,[2]characters!$1:$1,0)+1),MATCH(F$1,[2]characters!$1:$1,0)-MATCH($A$1,[2]characters!$1:$1,0)+1,FALSE)</f>
        <v>グリーンキャタップ</v>
      </c>
      <c r="G1138" s="66">
        <v>2</v>
      </c>
      <c r="H1138" s="66">
        <v>1</v>
      </c>
      <c r="I1138" s="66">
        <v>1</v>
      </c>
    </row>
    <row r="1139" spans="1:9" x14ac:dyDescent="0.15">
      <c r="A1139" s="66">
        <v>913</v>
      </c>
      <c r="B1139" s="3" t="str">
        <f ca="1">VLOOKUP($A1139,OFFSET([2]characters!$A$1,0,0,COUNTA([2]characters!$A:$A),MATCH(B$1,[2]characters!$1:$1,0)-MATCH($A$1,[2]characters!$1:$1,0)+1),MATCH(B$1,[2]characters!$1:$1,0)-MATCH($A$1,[2]characters!$1:$1,0)+1,FALSE)</f>
        <v>幸福の縁廻　ニーベルゲン</v>
      </c>
      <c r="C1139" s="93">
        <f ca="1">VLOOKUP($A1139,OFFSET(fork_awake_units!$A$1,0,0,COUNTA(fork_awake_units!$A:$A),MATCH(C$1,fork_awake_units!$1:$1,0)-MATCH($A$1,fork_awake_units!$1:$1,0)+1),MATCH(C$1,fork_awake_units!$1:$1,0)-MATCH($A$1,fork_awake_units!$1:$1,0)+1,FALSE)</f>
        <v>914</v>
      </c>
      <c r="D1139" s="3" t="str">
        <f ca="1">VLOOKUP($C1139,OFFSET([2]characters!$A$1,0,0,COUNTA([2]characters!$A:$A),MATCH(D$1,[2]characters!$1:$1,0)-MATCH($A$1,[2]characters!$1:$1,0)+1),MATCH(D$1,[2]characters!$1:$1,0)-MATCH($A$1,[2]characters!$1:$1,0)+1,FALSE)</f>
        <v>淡色を廻る倖せ　ニーベルゲン</v>
      </c>
      <c r="E1139" s="66">
        <v>908</v>
      </c>
      <c r="F1139" s="3" t="str">
        <f ca="1">VLOOKUP($E1139,OFFSET([2]characters!$A$1,0,0,COUNTA([2]characters!$A:$A),MATCH(F$1,[2]characters!$1:$1,0)-MATCH($A$1,[2]characters!$1:$1,0)+1),MATCH(F$1,[2]characters!$1:$1,0)-MATCH($A$1,[2]characters!$1:$1,0)+1,FALSE)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39" s="66">
        <v>1</v>
      </c>
      <c r="H1139" s="66">
        <v>2</v>
      </c>
      <c r="I1139" s="66">
        <v>1</v>
      </c>
    </row>
    <row r="1140" spans="1:9" x14ac:dyDescent="0.15">
      <c r="A1140" s="66">
        <v>915</v>
      </c>
      <c r="B1140" s="3" t="str">
        <f ca="1">VLOOKUP($A1140,OFFSET([2]characters!$A$1,0,0,COUNTA([2]characters!$A:$A),MATCH(B$1,[2]characters!$1:$1,0)-MATCH($A$1,[2]characters!$1:$1,0)+1),MATCH(B$1,[2]characters!$1:$1,0)-MATCH($A$1,[2]characters!$1:$1,0)+1,FALSE)</f>
        <v>休息者　カカシ</v>
      </c>
      <c r="C1140" s="93">
        <f ca="1">VLOOKUP($A1140,OFFSET(fork_awake_units!$A$1,0,0,COUNTA(fork_awake_units!$A:$A),MATCH(C$1,fork_awake_units!$1:$1,0)-MATCH($A$1,fork_awake_units!$1:$1,0)+1),MATCH(C$1,fork_awake_units!$1:$1,0)-MATCH($A$1,fork_awake_units!$1:$1,0)+1,FALSE)</f>
        <v>916</v>
      </c>
      <c r="D1140" s="3" t="str">
        <f ca="1">VLOOKUP($C1140,OFFSET([2]characters!$A$1,0,0,COUNTA([2]characters!$A:$A),MATCH(D$1,[2]characters!$1:$1,0)-MATCH($A$1,[2]characters!$1:$1,0)+1),MATCH(D$1,[2]characters!$1:$1,0)-MATCH($A$1,[2]characters!$1:$1,0)+1,FALSE)</f>
        <v>翠線譜の音色　カカシ</v>
      </c>
      <c r="E1140" s="66">
        <v>106</v>
      </c>
      <c r="F1140" s="3" t="str">
        <f ca="1">VLOOKUP($E1140,OFFSET([2]characters!$A$1,0,0,COUNTA([2]characters!$A:$A),MATCH(F$1,[2]characters!$1:$1,0)-MATCH($A$1,[2]characters!$1:$1,0)+1),MATCH(F$1,[2]characters!$1:$1,0)-MATCH($A$1,[2]characters!$1:$1,0)+1,FALSE)</f>
        <v>グリーンラビット</v>
      </c>
      <c r="G1140" s="66">
        <v>1</v>
      </c>
      <c r="H1140" s="66">
        <v>1</v>
      </c>
      <c r="I1140" s="66">
        <v>1</v>
      </c>
    </row>
    <row r="1141" spans="1:9" x14ac:dyDescent="0.15">
      <c r="A1141" s="66">
        <v>915</v>
      </c>
      <c r="B1141" s="3" t="str">
        <f ca="1">VLOOKUP($A1141,OFFSET([2]characters!$A$1,0,0,COUNTA([2]characters!$A:$A),MATCH(B$1,[2]characters!$1:$1,0)-MATCH($A$1,[2]characters!$1:$1,0)+1),MATCH(B$1,[2]characters!$1:$1,0)-MATCH($A$1,[2]characters!$1:$1,0)+1,FALSE)</f>
        <v>休息者　カカシ</v>
      </c>
      <c r="C1141" s="93">
        <f ca="1">VLOOKUP($A1141,OFFSET(fork_awake_units!$A$1,0,0,COUNTA(fork_awake_units!$A:$A),MATCH(C$1,fork_awake_units!$1:$1,0)-MATCH($A$1,fork_awake_units!$1:$1,0)+1),MATCH(C$1,fork_awake_units!$1:$1,0)-MATCH($A$1,fork_awake_units!$1:$1,0)+1,FALSE)</f>
        <v>916</v>
      </c>
      <c r="D1141" s="3" t="str">
        <f ca="1">VLOOKUP($C1141,OFFSET([2]characters!$A$1,0,0,COUNTA([2]characters!$A:$A),MATCH(D$1,[2]characters!$1:$1,0)-MATCH($A$1,[2]characters!$1:$1,0)+1),MATCH(D$1,[2]characters!$1:$1,0)-MATCH($A$1,[2]characters!$1:$1,0)+1,FALSE)</f>
        <v>翠線譜の音色　カカシ</v>
      </c>
      <c r="E1141" s="66">
        <v>107</v>
      </c>
      <c r="F1141" s="3" t="str">
        <f ca="1">VLOOKUP($E1141,OFFSET([2]characters!$A$1,0,0,COUNTA([2]characters!$A:$A),MATCH(F$1,[2]characters!$1:$1,0)-MATCH($A$1,[2]characters!$1:$1,0)+1),MATCH(F$1,[2]characters!$1:$1,0)-MATCH($A$1,[2]characters!$1:$1,0)+1,FALSE)</f>
        <v>グリーンキャタップ</v>
      </c>
      <c r="G1141" s="66">
        <v>2</v>
      </c>
      <c r="H1141" s="66">
        <v>1</v>
      </c>
      <c r="I1141" s="66">
        <v>1</v>
      </c>
    </row>
    <row r="1142" spans="1:9" x14ac:dyDescent="0.15">
      <c r="A1142" s="66">
        <v>915</v>
      </c>
      <c r="B1142" s="3" t="str">
        <f ca="1">VLOOKUP($A1142,OFFSET([2]characters!$A$1,0,0,COUNTA([2]characters!$A:$A),MATCH(B$1,[2]characters!$1:$1,0)-MATCH($A$1,[2]characters!$1:$1,0)+1),MATCH(B$1,[2]characters!$1:$1,0)-MATCH($A$1,[2]characters!$1:$1,0)+1,FALSE)</f>
        <v>休息者　カカシ</v>
      </c>
      <c r="C1142" s="93">
        <f ca="1">VLOOKUP($A1142,OFFSET(fork_awake_units!$A$1,0,0,COUNTA(fork_awake_units!$A:$A),MATCH(C$1,fork_awake_units!$1:$1,0)-MATCH($A$1,fork_awake_units!$1:$1,0)+1),MATCH(C$1,fork_awake_units!$1:$1,0)-MATCH($A$1,fork_awake_units!$1:$1,0)+1,FALSE)</f>
        <v>916</v>
      </c>
      <c r="D1142" s="3" t="str">
        <f ca="1">VLOOKUP($C1142,OFFSET([2]characters!$A$1,0,0,COUNTA([2]characters!$A:$A),MATCH(D$1,[2]characters!$1:$1,0)-MATCH($A$1,[2]characters!$1:$1,0)+1),MATCH(D$1,[2]characters!$1:$1,0)-MATCH($A$1,[2]characters!$1:$1,0)+1,FALSE)</f>
        <v>翠線譜の音色　カカシ</v>
      </c>
      <c r="E1142" s="66">
        <v>908</v>
      </c>
      <c r="F1142" s="3" t="str">
        <f ca="1">VLOOKUP($E1142,OFFSET([2]characters!$A$1,0,0,COUNTA([2]characters!$A:$A),MATCH(F$1,[2]characters!$1:$1,0)-MATCH($A$1,[2]characters!$1:$1,0)+1),MATCH(F$1,[2]characters!$1:$1,0)-MATCH($A$1,[2]characters!$1:$1,0)+1,FALSE)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42" s="66">
        <v>1</v>
      </c>
      <c r="H1142" s="66">
        <v>2</v>
      </c>
      <c r="I1142" s="66">
        <v>1</v>
      </c>
    </row>
    <row r="1143" spans="1:9" x14ac:dyDescent="0.15">
      <c r="A1143" s="66">
        <v>917</v>
      </c>
      <c r="B1143" s="3" t="str">
        <f ca="1">VLOOKUP($A1143,OFFSET([2]characters!$A$1,0,0,COUNTA([2]characters!$A:$A),MATCH(B$1,[2]characters!$1:$1,0)-MATCH($A$1,[2]characters!$1:$1,0)+1),MATCH(B$1,[2]characters!$1:$1,0)-MATCH($A$1,[2]characters!$1:$1,0)+1,FALSE)</f>
        <v>けろけろけろっぴ</v>
      </c>
      <c r="C1143" s="93">
        <f ca="1">VLOOKUP($A1143,OFFSET(fork_awake_units!$A$1,0,0,COUNTA(fork_awake_units!$A:$A),MATCH(C$1,fork_awake_units!$1:$1,0)-MATCH($A$1,fork_awake_units!$1:$1,0)+1),MATCH(C$1,fork_awake_units!$1:$1,0)-MATCH($A$1,fork_awake_units!$1:$1,0)+1,FALSE)</f>
        <v>918</v>
      </c>
      <c r="D1143" s="3" t="str">
        <f ca="1">VLOOKUP($C1143,OFFSET([2]characters!$A$1,0,0,COUNTA([2]characters!$A:$A),MATCH(D$1,[2]characters!$1:$1,0)-MATCH($A$1,[2]characters!$1:$1,0)+1),MATCH(D$1,[2]characters!$1:$1,0)-MATCH($A$1,[2]characters!$1:$1,0)+1,FALSE)</f>
        <v>てるてる天気 けろけろけろっぴ</v>
      </c>
      <c r="E1143" s="66">
        <v>105</v>
      </c>
      <c r="F1143" s="3" t="str">
        <f ca="1">VLOOKUP($E1143,OFFSET([2]characters!$A$1,0,0,COUNTA([2]characters!$A:$A),MATCH(F$1,[2]characters!$1:$1,0)-MATCH($A$1,[2]characters!$1:$1,0)+1),MATCH(F$1,[2]characters!$1:$1,0)-MATCH($A$1,[2]characters!$1:$1,0)+1,FALSE)</f>
        <v>グリーンチェシャ</v>
      </c>
      <c r="G1143" s="66">
        <v>3</v>
      </c>
      <c r="H1143" s="66">
        <v>1</v>
      </c>
      <c r="I1143" s="66">
        <v>1</v>
      </c>
    </row>
    <row r="1144" spans="1:9" x14ac:dyDescent="0.15">
      <c r="A1144" s="66">
        <v>917</v>
      </c>
      <c r="B1144" s="3" t="str">
        <f ca="1">VLOOKUP($A1144,OFFSET([2]characters!$A$1,0,0,COUNTA([2]characters!$A:$A),MATCH(B$1,[2]characters!$1:$1,0)-MATCH($A$1,[2]characters!$1:$1,0)+1),MATCH(B$1,[2]characters!$1:$1,0)-MATCH($A$1,[2]characters!$1:$1,0)+1,FALSE)</f>
        <v>けろけろけろっぴ</v>
      </c>
      <c r="C1144" s="93">
        <f ca="1">VLOOKUP($A1144,OFFSET(fork_awake_units!$A$1,0,0,COUNTA(fork_awake_units!$A:$A),MATCH(C$1,fork_awake_units!$1:$1,0)-MATCH($A$1,fork_awake_units!$1:$1,0)+1),MATCH(C$1,fork_awake_units!$1:$1,0)-MATCH($A$1,fork_awake_units!$1:$1,0)+1,FALSE)</f>
        <v>918</v>
      </c>
      <c r="D1144" s="3" t="str">
        <f ca="1">VLOOKUP($C1144,OFFSET([2]characters!$A$1,0,0,COUNTA([2]characters!$A:$A),MATCH(D$1,[2]characters!$1:$1,0)-MATCH($A$1,[2]characters!$1:$1,0)+1),MATCH(D$1,[2]characters!$1:$1,0)-MATCH($A$1,[2]characters!$1:$1,0)+1,FALSE)</f>
        <v>てるてる天気 けろけろけろっぴ</v>
      </c>
      <c r="E1144" s="66">
        <v>106</v>
      </c>
      <c r="F1144" s="3" t="str">
        <f ca="1">VLOOKUP($E1144,OFFSET([2]characters!$A$1,0,0,COUNTA([2]characters!$A:$A),MATCH(F$1,[2]characters!$1:$1,0)-MATCH($A$1,[2]characters!$1:$1,0)+1),MATCH(F$1,[2]characters!$1:$1,0)-MATCH($A$1,[2]characters!$1:$1,0)+1,FALSE)</f>
        <v>グリーンラビット</v>
      </c>
      <c r="G1144" s="66">
        <v>1</v>
      </c>
      <c r="H1144" s="66">
        <v>1</v>
      </c>
      <c r="I1144" s="66">
        <v>1</v>
      </c>
    </row>
    <row r="1145" spans="1:9" x14ac:dyDescent="0.15">
      <c r="A1145" s="66">
        <v>917</v>
      </c>
      <c r="B1145" s="3" t="str">
        <f ca="1">VLOOKUP($A1145,OFFSET([2]characters!$A$1,0,0,COUNTA([2]characters!$A:$A),MATCH(B$1,[2]characters!$1:$1,0)-MATCH($A$1,[2]characters!$1:$1,0)+1),MATCH(B$1,[2]characters!$1:$1,0)-MATCH($A$1,[2]characters!$1:$1,0)+1,FALSE)</f>
        <v>けろけろけろっぴ</v>
      </c>
      <c r="C1145" s="93">
        <f ca="1">VLOOKUP($A1145,OFFSET(fork_awake_units!$A$1,0,0,COUNTA(fork_awake_units!$A:$A),MATCH(C$1,fork_awake_units!$1:$1,0)-MATCH($A$1,fork_awake_units!$1:$1,0)+1),MATCH(C$1,fork_awake_units!$1:$1,0)-MATCH($A$1,fork_awake_units!$1:$1,0)+1,FALSE)</f>
        <v>918</v>
      </c>
      <c r="D1145" s="3" t="str">
        <f ca="1">VLOOKUP($C1145,OFFSET([2]characters!$A$1,0,0,COUNTA([2]characters!$A:$A),MATCH(D$1,[2]characters!$1:$1,0)-MATCH($A$1,[2]characters!$1:$1,0)+1),MATCH(D$1,[2]characters!$1:$1,0)-MATCH($A$1,[2]characters!$1:$1,0)+1,FALSE)</f>
        <v>てるてる天気 けろけろけろっぴ</v>
      </c>
      <c r="E1145" s="66">
        <v>107</v>
      </c>
      <c r="F1145" s="3" t="str">
        <f ca="1">VLOOKUP($E1145,OFFSET([2]characters!$A$1,0,0,COUNTA([2]characters!$A:$A),MATCH(F$1,[2]characters!$1:$1,0)-MATCH($A$1,[2]characters!$1:$1,0)+1),MATCH(F$1,[2]characters!$1:$1,0)-MATCH($A$1,[2]characters!$1:$1,0)+1,FALSE)</f>
        <v>グリーンキャタップ</v>
      </c>
      <c r="G1145" s="66">
        <v>1</v>
      </c>
      <c r="H1145" s="66">
        <v>1</v>
      </c>
      <c r="I1145" s="66">
        <v>1</v>
      </c>
    </row>
    <row r="1146" spans="1:9" x14ac:dyDescent="0.15">
      <c r="A1146" s="66">
        <v>919</v>
      </c>
      <c r="B1146" s="3" t="str">
        <f ca="1">VLOOKUP($A1146,OFFSET([2]characters!$A$1,0,0,COUNTA([2]characters!$A:$A),MATCH(B$1,[2]characters!$1:$1,0)-MATCH($A$1,[2]characters!$1:$1,0)+1),MATCH(B$1,[2]characters!$1:$1,0)-MATCH($A$1,[2]characters!$1:$1,0)+1,FALSE)</f>
        <v>甘美の誘惑 モルドレッド</v>
      </c>
      <c r="C1146" s="93">
        <f ca="1">VLOOKUP($A1146,OFFSET(fork_awake_units!$A$1,0,0,COUNTA(fork_awake_units!$A:$A),MATCH(C$1,fork_awake_units!$1:$1,0)-MATCH($A$1,fork_awake_units!$1:$1,0)+1),MATCH(C$1,fork_awake_units!$1:$1,0)-MATCH($A$1,fork_awake_units!$1:$1,0)+1,FALSE)</f>
        <v>920</v>
      </c>
      <c r="D1146" s="3" t="str">
        <f ca="1">VLOOKUP($C1146,OFFSET([2]characters!$A$1,0,0,COUNTA([2]characters!$A:$A),MATCH(D$1,[2]characters!$1:$1,0)-MATCH($A$1,[2]characters!$1:$1,0)+1),MATCH(D$1,[2]characters!$1:$1,0)-MATCH($A$1,[2]characters!$1:$1,0)+1,FALSE)</f>
        <v>甘美の誘迷 モルドレッド</v>
      </c>
      <c r="E1146" s="66">
        <v>111</v>
      </c>
      <c r="F1146" s="3" t="str">
        <f ca="1">VLOOKUP($E1146,OFFSET([2]characters!$A$1,0,0,COUNTA([2]characters!$A:$A),MATCH(F$1,[2]characters!$1:$1,0)-MATCH($A$1,[2]characters!$1:$1,0)+1),MATCH(F$1,[2]characters!$1:$1,0)-MATCH($A$1,[2]characters!$1:$1,0)+1,FALSE)</f>
        <v>ブルーキャタップ</v>
      </c>
      <c r="G1146" s="66">
        <v>1</v>
      </c>
      <c r="H1146" s="66">
        <v>1</v>
      </c>
      <c r="I1146" s="66">
        <v>1</v>
      </c>
    </row>
    <row r="1147" spans="1:9" x14ac:dyDescent="0.15">
      <c r="A1147" s="66">
        <v>919</v>
      </c>
      <c r="B1147" s="3" t="str">
        <f ca="1">VLOOKUP($A1147,OFFSET([2]characters!$A$1,0,0,COUNTA([2]characters!$A:$A),MATCH(B$1,[2]characters!$1:$1,0)-MATCH($A$1,[2]characters!$1:$1,0)+1),MATCH(B$1,[2]characters!$1:$1,0)-MATCH($A$1,[2]characters!$1:$1,0)+1,FALSE)</f>
        <v>甘美の誘惑 モルドレッド</v>
      </c>
      <c r="C1147" s="93">
        <f ca="1">VLOOKUP($A1147,OFFSET(fork_awake_units!$A$1,0,0,COUNTA(fork_awake_units!$A:$A),MATCH(C$1,fork_awake_units!$1:$1,0)-MATCH($A$1,fork_awake_units!$1:$1,0)+1),MATCH(C$1,fork_awake_units!$1:$1,0)-MATCH($A$1,fork_awake_units!$1:$1,0)+1,FALSE)</f>
        <v>920</v>
      </c>
      <c r="D1147" s="3" t="str">
        <f ca="1">VLOOKUP($C1147,OFFSET([2]characters!$A$1,0,0,COUNTA([2]characters!$A:$A),MATCH(D$1,[2]characters!$1:$1,0)-MATCH($A$1,[2]characters!$1:$1,0)+1),MATCH(D$1,[2]characters!$1:$1,0)-MATCH($A$1,[2]characters!$1:$1,0)+1,FALSE)</f>
        <v>甘美の誘迷 モルドレッド</v>
      </c>
      <c r="E1147" s="66">
        <v>837</v>
      </c>
      <c r="F1147" s="3" t="str">
        <f ca="1">VLOOKUP($E1147,OFFSET([2]characters!$A$1,0,0,COUNTA([2]characters!$A:$A),MATCH(F$1,[2]characters!$1:$1,0)-MATCH($A$1,[2]characters!$1:$1,0)+1),MATCH(F$1,[2]characters!$1:$1,0)-MATCH($A$1,[2]characters!$1:$1,0)+1,FALSE)</f>
        <v>リトルハンプティ</v>
      </c>
      <c r="G1147" s="66">
        <v>1</v>
      </c>
      <c r="H1147" s="66">
        <v>1</v>
      </c>
      <c r="I1147" s="66">
        <v>1</v>
      </c>
    </row>
    <row r="1148" spans="1:9" x14ac:dyDescent="0.15">
      <c r="A1148" s="66">
        <v>919</v>
      </c>
      <c r="B1148" s="3" t="str">
        <f ca="1">VLOOKUP($A1148,OFFSET([2]characters!$A$1,0,0,COUNTA([2]characters!$A:$A),MATCH(B$1,[2]characters!$1:$1,0)-MATCH($A$1,[2]characters!$1:$1,0)+1),MATCH(B$1,[2]characters!$1:$1,0)-MATCH($A$1,[2]characters!$1:$1,0)+1,FALSE)</f>
        <v>甘美の誘惑 モルドレッド</v>
      </c>
      <c r="C1148" s="93">
        <f ca="1">VLOOKUP($A1148,OFFSET(fork_awake_units!$A$1,0,0,COUNTA(fork_awake_units!$A:$A),MATCH(C$1,fork_awake_units!$1:$1,0)-MATCH($A$1,fork_awake_units!$1:$1,0)+1),MATCH(C$1,fork_awake_units!$1:$1,0)-MATCH($A$1,fork_awake_units!$1:$1,0)+1,FALSE)</f>
        <v>920</v>
      </c>
      <c r="D1148" s="3" t="str">
        <f ca="1">VLOOKUP($C1148,OFFSET([2]characters!$A$1,0,0,COUNTA([2]characters!$A:$A),MATCH(D$1,[2]characters!$1:$1,0)-MATCH($A$1,[2]characters!$1:$1,0)+1),MATCH(D$1,[2]characters!$1:$1,0)-MATCH($A$1,[2]characters!$1:$1,0)+1,FALSE)</f>
        <v>甘美の誘迷 モルドレッド</v>
      </c>
      <c r="E1148" s="66">
        <v>907</v>
      </c>
      <c r="F1148" s="3" t="str">
        <f ca="1">VLOOKUP($E1148,OFFSET([2]characters!$A$1,0,0,COUNTA([2]characters!$A:$A),MATCH(F$1,[2]characters!$1:$1,0)-MATCH($A$1,[2]characters!$1:$1,0)+1),MATCH(F$1,[2]characters!$1:$1,0)-MATCH($A$1,[2]characters!$1:$1,0)+1,FALSE)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148" s="66">
        <v>1</v>
      </c>
      <c r="H1148" s="66">
        <v>2</v>
      </c>
      <c r="I1148" s="66">
        <v>1</v>
      </c>
    </row>
    <row r="1149" spans="1:9" x14ac:dyDescent="0.15">
      <c r="A1149" s="66">
        <v>919</v>
      </c>
      <c r="B1149" s="3" t="str">
        <f ca="1">VLOOKUP($A1149,OFFSET([2]characters!$A$1,0,0,COUNTA([2]characters!$A:$A),MATCH(B$1,[2]characters!$1:$1,0)-MATCH($A$1,[2]characters!$1:$1,0)+1),MATCH(B$1,[2]characters!$1:$1,0)-MATCH($A$1,[2]characters!$1:$1,0)+1,FALSE)</f>
        <v>甘美の誘惑 モルドレッド</v>
      </c>
      <c r="C1149" s="93">
        <f ca="1">VLOOKUP($A1149,OFFSET(fork_awake_units!$A$1,0,0,COUNTA(fork_awake_units!$A:$A),MATCH(C$1,fork_awake_units!$1:$1,0)-MATCH($A$1,fork_awake_units!$1:$1,0)+1),MATCH(C$1,fork_awake_units!$1:$1,0)-MATCH($A$1,fork_awake_units!$1:$1,0)+1,FALSE)</f>
        <v>920</v>
      </c>
      <c r="D1149" s="3" t="str">
        <f ca="1">VLOOKUP($C1149,OFFSET([2]characters!$A$1,0,0,COUNTA([2]characters!$A:$A),MATCH(D$1,[2]characters!$1:$1,0)-MATCH($A$1,[2]characters!$1:$1,0)+1),MATCH(D$1,[2]characters!$1:$1,0)-MATCH($A$1,[2]characters!$1:$1,0)+1,FALSE)</f>
        <v>甘美の誘迷 モルドレッド</v>
      </c>
      <c r="E1149" s="66">
        <v>908</v>
      </c>
      <c r="F1149" s="3" t="str">
        <f ca="1">VLOOKUP($E1149,OFFSET([2]characters!$A$1,0,0,COUNTA([2]characters!$A:$A),MATCH(F$1,[2]characters!$1:$1,0)-MATCH($A$1,[2]characters!$1:$1,0)+1),MATCH(F$1,[2]characters!$1:$1,0)-MATCH($A$1,[2]characters!$1:$1,0)+1,FALSE)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49" s="66">
        <v>1</v>
      </c>
      <c r="H1149" s="66">
        <v>2</v>
      </c>
      <c r="I1149" s="66">
        <v>1</v>
      </c>
    </row>
    <row r="1150" spans="1:9" x14ac:dyDescent="0.15">
      <c r="A1150" s="66">
        <v>921</v>
      </c>
      <c r="B1150" s="3" t="str">
        <f ca="1">VLOOKUP($A1150,OFFSET([2]characters!$A$1,0,0,COUNTA([2]characters!$A:$A),MATCH(B$1,[2]characters!$1:$1,0)-MATCH($A$1,[2]characters!$1:$1,0)+1),MATCH(B$1,[2]characters!$1:$1,0)-MATCH($A$1,[2]characters!$1:$1,0)+1,FALSE)</f>
        <v>クロミ</v>
      </c>
      <c r="C1150" s="93">
        <f ca="1">VLOOKUP($A1150,OFFSET(fork_awake_units!$A$1,0,0,COUNTA(fork_awake_units!$A:$A),MATCH(C$1,fork_awake_units!$1:$1,0)-MATCH($A$1,fork_awake_units!$1:$1,0)+1),MATCH(C$1,fork_awake_units!$1:$1,0)-MATCH($A$1,fork_awake_units!$1:$1,0)+1,FALSE)</f>
        <v>922</v>
      </c>
      <c r="D1150" s="3" t="str">
        <f ca="1">VLOOKUP($C1150,OFFSET([2]characters!$A$1,0,0,COUNTA([2]characters!$A:$A),MATCH(D$1,[2]characters!$1:$1,0)-MATCH($A$1,[2]characters!$1:$1,0)+1),MATCH(D$1,[2]characters!$1:$1,0)-MATCH($A$1,[2]characters!$1:$1,0)+1,FALSE)</f>
        <v>アタイとバク クロミ</v>
      </c>
      <c r="E1150" s="66">
        <v>109</v>
      </c>
      <c r="F1150" s="3" t="str">
        <f ca="1">VLOOKUP($E1150,OFFSET([2]characters!$A$1,0,0,COUNTA([2]characters!$A:$A),MATCH(F$1,[2]characters!$1:$1,0)-MATCH($A$1,[2]characters!$1:$1,0)+1),MATCH(F$1,[2]characters!$1:$1,0)-MATCH($A$1,[2]characters!$1:$1,0)+1,FALSE)</f>
        <v>ブルーチェシャ</v>
      </c>
      <c r="G1150" s="66">
        <v>3</v>
      </c>
      <c r="H1150" s="66">
        <v>1</v>
      </c>
      <c r="I1150" s="66">
        <v>1</v>
      </c>
    </row>
    <row r="1151" spans="1:9" x14ac:dyDescent="0.15">
      <c r="A1151" s="66">
        <v>921</v>
      </c>
      <c r="B1151" s="3" t="str">
        <f ca="1">VLOOKUP($A1151,OFFSET([2]characters!$A$1,0,0,COUNTA([2]characters!$A:$A),MATCH(B$1,[2]characters!$1:$1,0)-MATCH($A$1,[2]characters!$1:$1,0)+1),MATCH(B$1,[2]characters!$1:$1,0)-MATCH($A$1,[2]characters!$1:$1,0)+1,FALSE)</f>
        <v>クロミ</v>
      </c>
      <c r="C1151" s="93">
        <f ca="1">VLOOKUP($A1151,OFFSET(fork_awake_units!$A$1,0,0,COUNTA(fork_awake_units!$A:$A),MATCH(C$1,fork_awake_units!$1:$1,0)-MATCH($A$1,fork_awake_units!$1:$1,0)+1),MATCH(C$1,fork_awake_units!$1:$1,0)-MATCH($A$1,fork_awake_units!$1:$1,0)+1,FALSE)</f>
        <v>922</v>
      </c>
      <c r="D1151" s="3" t="str">
        <f ca="1">VLOOKUP($C1151,OFFSET([2]characters!$A$1,0,0,COUNTA([2]characters!$A:$A),MATCH(D$1,[2]characters!$1:$1,0)-MATCH($A$1,[2]characters!$1:$1,0)+1),MATCH(D$1,[2]characters!$1:$1,0)-MATCH($A$1,[2]characters!$1:$1,0)+1,FALSE)</f>
        <v>アタイとバク クロミ</v>
      </c>
      <c r="E1151" s="66">
        <v>110</v>
      </c>
      <c r="F1151" s="3" t="str">
        <f ca="1">VLOOKUP($E1151,OFFSET([2]characters!$A$1,0,0,COUNTA([2]characters!$A:$A),MATCH(F$1,[2]characters!$1:$1,0)-MATCH($A$1,[2]characters!$1:$1,0)+1),MATCH(F$1,[2]characters!$1:$1,0)-MATCH($A$1,[2]characters!$1:$1,0)+1,FALSE)</f>
        <v>ブルーラビット</v>
      </c>
      <c r="G1151" s="66">
        <v>1</v>
      </c>
      <c r="H1151" s="66">
        <v>1</v>
      </c>
      <c r="I1151" s="66">
        <v>1</v>
      </c>
    </row>
    <row r="1152" spans="1:9" x14ac:dyDescent="0.15">
      <c r="A1152" s="66">
        <v>921</v>
      </c>
      <c r="B1152" s="3" t="str">
        <f ca="1">VLOOKUP($A1152,OFFSET([2]characters!$A$1,0,0,COUNTA([2]characters!$A:$A),MATCH(B$1,[2]characters!$1:$1,0)-MATCH($A$1,[2]characters!$1:$1,0)+1),MATCH(B$1,[2]characters!$1:$1,0)-MATCH($A$1,[2]characters!$1:$1,0)+1,FALSE)</f>
        <v>クロミ</v>
      </c>
      <c r="C1152" s="93">
        <f ca="1">VLOOKUP($A1152,OFFSET(fork_awake_units!$A$1,0,0,COUNTA(fork_awake_units!$A:$A),MATCH(C$1,fork_awake_units!$1:$1,0)-MATCH($A$1,fork_awake_units!$1:$1,0)+1),MATCH(C$1,fork_awake_units!$1:$1,0)-MATCH($A$1,fork_awake_units!$1:$1,0)+1,FALSE)</f>
        <v>922</v>
      </c>
      <c r="D1152" s="3" t="str">
        <f ca="1">VLOOKUP($C1152,OFFSET([2]characters!$A$1,0,0,COUNTA([2]characters!$A:$A),MATCH(D$1,[2]characters!$1:$1,0)-MATCH($A$1,[2]characters!$1:$1,0)+1),MATCH(D$1,[2]characters!$1:$1,0)-MATCH($A$1,[2]characters!$1:$1,0)+1,FALSE)</f>
        <v>アタイとバク クロミ</v>
      </c>
      <c r="E1152" s="66">
        <v>111</v>
      </c>
      <c r="F1152" s="3" t="str">
        <f ca="1">VLOOKUP($E1152,OFFSET([2]characters!$A$1,0,0,COUNTA([2]characters!$A:$A),MATCH(F$1,[2]characters!$1:$1,0)-MATCH($A$1,[2]characters!$1:$1,0)+1),MATCH(F$1,[2]characters!$1:$1,0)-MATCH($A$1,[2]characters!$1:$1,0)+1,FALSE)</f>
        <v>ブルーキャタップ</v>
      </c>
      <c r="G1152" s="66">
        <v>1</v>
      </c>
      <c r="H1152" s="66">
        <v>1</v>
      </c>
      <c r="I1152" s="66">
        <v>1</v>
      </c>
    </row>
    <row r="1153" spans="1:9" x14ac:dyDescent="0.15">
      <c r="A1153" s="66">
        <v>923</v>
      </c>
      <c r="B1153" s="3" t="str">
        <f ca="1">VLOOKUP($A1153,OFFSET([2]characters!$A$1,0,0,COUNTA([2]characters!$A:$A),MATCH(B$1,[2]characters!$1:$1,0)-MATCH($A$1,[2]characters!$1:$1,0)+1),MATCH(B$1,[2]characters!$1:$1,0)-MATCH($A$1,[2]characters!$1:$1,0)+1,FALSE)</f>
        <v>バッドばつ丸</v>
      </c>
      <c r="C1153" s="93">
        <f ca="1">VLOOKUP($A1153,OFFSET(fork_awake_units!$A$1,0,0,COUNTA(fork_awake_units!$A:$A),MATCH(C$1,fork_awake_units!$1:$1,0)-MATCH($A$1,fork_awake_units!$1:$1,0)+1),MATCH(C$1,fork_awake_units!$1:$1,0)-MATCH($A$1,fork_awake_units!$1:$1,0)+1,FALSE)</f>
        <v>924</v>
      </c>
      <c r="D1153" s="3" t="str">
        <f ca="1">VLOOKUP($C1153,OFFSET([2]characters!$A$1,0,0,COUNTA([2]characters!$A:$A),MATCH(D$1,[2]characters!$1:$1,0)-MATCH($A$1,[2]characters!$1:$1,0)+1),MATCH(D$1,[2]characters!$1:$1,0)-MATCH($A$1,[2]characters!$1:$1,0)+1,FALSE)</f>
        <v>いたずら大好き　バッドばつ丸</v>
      </c>
      <c r="E1153" s="66">
        <v>109</v>
      </c>
      <c r="F1153" s="3" t="str">
        <f ca="1">VLOOKUP($E1153,OFFSET([2]characters!$A$1,0,0,COUNTA([2]characters!$A:$A),MATCH(F$1,[2]characters!$1:$1,0)-MATCH($A$1,[2]characters!$1:$1,0)+1),MATCH(F$1,[2]characters!$1:$1,0)-MATCH($A$1,[2]characters!$1:$1,0)+1,FALSE)</f>
        <v>ブルーチェシャ</v>
      </c>
      <c r="G1153" s="66">
        <v>3</v>
      </c>
      <c r="H1153" s="66">
        <v>1</v>
      </c>
      <c r="I1153" s="66">
        <v>1</v>
      </c>
    </row>
    <row r="1154" spans="1:9" x14ac:dyDescent="0.15">
      <c r="A1154" s="66">
        <v>923</v>
      </c>
      <c r="B1154" s="3" t="str">
        <f ca="1">VLOOKUP($A1154,OFFSET([2]characters!$A$1,0,0,COUNTA([2]characters!$A:$A),MATCH(B$1,[2]characters!$1:$1,0)-MATCH($A$1,[2]characters!$1:$1,0)+1),MATCH(B$1,[2]characters!$1:$1,0)-MATCH($A$1,[2]characters!$1:$1,0)+1,FALSE)</f>
        <v>バッドばつ丸</v>
      </c>
      <c r="C1154" s="93">
        <f ca="1">VLOOKUP($A1154,OFFSET(fork_awake_units!$A$1,0,0,COUNTA(fork_awake_units!$A:$A),MATCH(C$1,fork_awake_units!$1:$1,0)-MATCH($A$1,fork_awake_units!$1:$1,0)+1),MATCH(C$1,fork_awake_units!$1:$1,0)-MATCH($A$1,fork_awake_units!$1:$1,0)+1,FALSE)</f>
        <v>924</v>
      </c>
      <c r="D1154" s="3" t="str">
        <f ca="1">VLOOKUP($C1154,OFFSET([2]characters!$A$1,0,0,COUNTA([2]characters!$A:$A),MATCH(D$1,[2]characters!$1:$1,0)-MATCH($A$1,[2]characters!$1:$1,0)+1),MATCH(D$1,[2]characters!$1:$1,0)-MATCH($A$1,[2]characters!$1:$1,0)+1,FALSE)</f>
        <v>いたずら大好き　バッドばつ丸</v>
      </c>
      <c r="E1154" s="66">
        <v>110</v>
      </c>
      <c r="F1154" s="3" t="str">
        <f ca="1">VLOOKUP($E1154,OFFSET([2]characters!$A$1,0,0,COUNTA([2]characters!$A:$A),MATCH(F$1,[2]characters!$1:$1,0)-MATCH($A$1,[2]characters!$1:$1,0)+1),MATCH(F$1,[2]characters!$1:$1,0)-MATCH($A$1,[2]characters!$1:$1,0)+1,FALSE)</f>
        <v>ブルーラビット</v>
      </c>
      <c r="G1154" s="66">
        <v>1</v>
      </c>
      <c r="H1154" s="66">
        <v>1</v>
      </c>
      <c r="I1154" s="66">
        <v>1</v>
      </c>
    </row>
    <row r="1155" spans="1:9" x14ac:dyDescent="0.15">
      <c r="A1155" s="66">
        <v>923</v>
      </c>
      <c r="B1155" s="3" t="str">
        <f ca="1">VLOOKUP($A1155,OFFSET([2]characters!$A$1,0,0,COUNTA([2]characters!$A:$A),MATCH(B$1,[2]characters!$1:$1,0)-MATCH($A$1,[2]characters!$1:$1,0)+1),MATCH(B$1,[2]characters!$1:$1,0)-MATCH($A$1,[2]characters!$1:$1,0)+1,FALSE)</f>
        <v>バッドばつ丸</v>
      </c>
      <c r="C1155" s="93">
        <f ca="1">VLOOKUP($A1155,OFFSET(fork_awake_units!$A$1,0,0,COUNTA(fork_awake_units!$A:$A),MATCH(C$1,fork_awake_units!$1:$1,0)-MATCH($A$1,fork_awake_units!$1:$1,0)+1),MATCH(C$1,fork_awake_units!$1:$1,0)-MATCH($A$1,fork_awake_units!$1:$1,0)+1,FALSE)</f>
        <v>924</v>
      </c>
      <c r="D1155" s="3" t="str">
        <f ca="1">VLOOKUP($C1155,OFFSET([2]characters!$A$1,0,0,COUNTA([2]characters!$A:$A),MATCH(D$1,[2]characters!$1:$1,0)-MATCH($A$1,[2]characters!$1:$1,0)+1),MATCH(D$1,[2]characters!$1:$1,0)-MATCH($A$1,[2]characters!$1:$1,0)+1,FALSE)</f>
        <v>いたずら大好き　バッドばつ丸</v>
      </c>
      <c r="E1155" s="66">
        <v>111</v>
      </c>
      <c r="F1155" s="3" t="str">
        <f ca="1">VLOOKUP($E1155,OFFSET([2]characters!$A$1,0,0,COUNTA([2]characters!$A:$A),MATCH(F$1,[2]characters!$1:$1,0)-MATCH($A$1,[2]characters!$1:$1,0)+1),MATCH(F$1,[2]characters!$1:$1,0)-MATCH($A$1,[2]characters!$1:$1,0)+1,FALSE)</f>
        <v>ブルーキャタップ</v>
      </c>
      <c r="G1155" s="66">
        <v>1</v>
      </c>
      <c r="H1155" s="66">
        <v>1</v>
      </c>
      <c r="I1155" s="66">
        <v>1</v>
      </c>
    </row>
    <row r="1156" spans="1:9" x14ac:dyDescent="0.15">
      <c r="A1156" s="66">
        <v>925</v>
      </c>
      <c r="B1156" s="3" t="str">
        <f ca="1">VLOOKUP($A1156,OFFSET([2]characters!$A$1,0,0,COUNTA([2]characters!$A:$A),MATCH(B$1,[2]characters!$1:$1,0)-MATCH($A$1,[2]characters!$1:$1,0)+1),MATCH(B$1,[2]characters!$1:$1,0)-MATCH($A$1,[2]characters!$1:$1,0)+1,FALSE)</f>
        <v>シナモロール</v>
      </c>
      <c r="C1156" s="93">
        <f ca="1">VLOOKUP($A1156,OFFSET(fork_awake_units!$A$1,0,0,COUNTA(fork_awake_units!$A:$A),MATCH(C$1,fork_awake_units!$1:$1,0)-MATCH($A$1,fork_awake_units!$1:$1,0)+1),MATCH(C$1,fork_awake_units!$1:$1,0)-MATCH($A$1,fork_awake_units!$1:$1,0)+1,FALSE)</f>
        <v>926</v>
      </c>
      <c r="D1156" s="3" t="str">
        <f ca="1">VLOOKUP($C1156,OFFSET([2]characters!$A$1,0,0,COUNTA([2]characters!$A:$A),MATCH(D$1,[2]characters!$1:$1,0)-MATCH($A$1,[2]characters!$1:$1,0)+1),MATCH(D$1,[2]characters!$1:$1,0)-MATCH($A$1,[2]characters!$1:$1,0)+1,FALSE)</f>
        <v>ふわふわおさんぽ♪ シナモロール</v>
      </c>
      <c r="E1156" s="66">
        <v>114</v>
      </c>
      <c r="F1156" s="3" t="str">
        <f ca="1">VLOOKUP($E1156,OFFSET([2]characters!$A$1,0,0,COUNTA([2]characters!$A:$A),MATCH(F$1,[2]characters!$1:$1,0)-MATCH($A$1,[2]characters!$1:$1,0)+1),MATCH(F$1,[2]characters!$1:$1,0)-MATCH($A$1,[2]characters!$1:$1,0)+1,FALSE)</f>
        <v>イエローラビット</v>
      </c>
      <c r="G1156" s="66">
        <v>1</v>
      </c>
      <c r="H1156" s="66">
        <v>1</v>
      </c>
      <c r="I1156" s="66">
        <v>1</v>
      </c>
    </row>
    <row r="1157" spans="1:9" x14ac:dyDescent="0.15">
      <c r="A1157" s="66">
        <v>925</v>
      </c>
      <c r="B1157" s="3" t="str">
        <f ca="1">VLOOKUP($A1157,OFFSET([2]characters!$A$1,0,0,COUNTA([2]characters!$A:$A),MATCH(B$1,[2]characters!$1:$1,0)-MATCH($A$1,[2]characters!$1:$1,0)+1),MATCH(B$1,[2]characters!$1:$1,0)-MATCH($A$1,[2]characters!$1:$1,0)+1,FALSE)</f>
        <v>シナモロール</v>
      </c>
      <c r="C1157" s="93">
        <f ca="1">VLOOKUP($A1157,OFFSET(fork_awake_units!$A$1,0,0,COUNTA(fork_awake_units!$A:$A),MATCH(C$1,fork_awake_units!$1:$1,0)-MATCH($A$1,fork_awake_units!$1:$1,0)+1),MATCH(C$1,fork_awake_units!$1:$1,0)-MATCH($A$1,fork_awake_units!$1:$1,0)+1,FALSE)</f>
        <v>926</v>
      </c>
      <c r="D1157" s="3" t="str">
        <f ca="1">VLOOKUP($C1157,OFFSET([2]characters!$A$1,0,0,COUNTA([2]characters!$A:$A),MATCH(D$1,[2]characters!$1:$1,0)-MATCH($A$1,[2]characters!$1:$1,0)+1),MATCH(D$1,[2]characters!$1:$1,0)-MATCH($A$1,[2]characters!$1:$1,0)+1,FALSE)</f>
        <v>ふわふわおさんぽ♪ シナモロール</v>
      </c>
      <c r="E1157" s="66">
        <v>115</v>
      </c>
      <c r="F1157" s="3" t="str">
        <f ca="1">VLOOKUP($E1157,OFFSET([2]characters!$A$1,0,0,COUNTA([2]characters!$A:$A),MATCH(F$1,[2]characters!$1:$1,0)-MATCH($A$1,[2]characters!$1:$1,0)+1),MATCH(F$1,[2]characters!$1:$1,0)-MATCH($A$1,[2]characters!$1:$1,0)+1,FALSE)</f>
        <v>イエローキャタップ</v>
      </c>
      <c r="G1157" s="66">
        <v>2</v>
      </c>
      <c r="H1157" s="66">
        <v>1</v>
      </c>
      <c r="I1157" s="66">
        <v>1</v>
      </c>
    </row>
    <row r="1158" spans="1:9" x14ac:dyDescent="0.15">
      <c r="A1158" s="66">
        <v>925</v>
      </c>
      <c r="B1158" s="3" t="str">
        <f ca="1">VLOOKUP($A1158,OFFSET([2]characters!$A$1,0,0,COUNTA([2]characters!$A:$A),MATCH(B$1,[2]characters!$1:$1,0)-MATCH($A$1,[2]characters!$1:$1,0)+1),MATCH(B$1,[2]characters!$1:$1,0)-MATCH($A$1,[2]characters!$1:$1,0)+1,FALSE)</f>
        <v>シナモロール</v>
      </c>
      <c r="C1158" s="93">
        <f ca="1">VLOOKUP($A1158,OFFSET(fork_awake_units!$A$1,0,0,COUNTA(fork_awake_units!$A:$A),MATCH(C$1,fork_awake_units!$1:$1,0)-MATCH($A$1,fork_awake_units!$1:$1,0)+1),MATCH(C$1,fork_awake_units!$1:$1,0)-MATCH($A$1,fork_awake_units!$1:$1,0)+1,FALSE)</f>
        <v>926</v>
      </c>
      <c r="D1158" s="3" t="str">
        <f ca="1">VLOOKUP($C1158,OFFSET([2]characters!$A$1,0,0,COUNTA([2]characters!$A:$A),MATCH(D$1,[2]characters!$1:$1,0)-MATCH($A$1,[2]characters!$1:$1,0)+1),MATCH(D$1,[2]characters!$1:$1,0)-MATCH($A$1,[2]characters!$1:$1,0)+1,FALSE)</f>
        <v>ふわふわおさんぽ♪ シナモロール</v>
      </c>
      <c r="E1158" s="66">
        <v>908</v>
      </c>
      <c r="F1158" s="3" t="str">
        <f ca="1">VLOOKUP($E1158,OFFSET([2]characters!$A$1,0,0,COUNTA([2]characters!$A:$A),MATCH(F$1,[2]characters!$1:$1,0)-MATCH($A$1,[2]characters!$1:$1,0)+1),MATCH(F$1,[2]characters!$1:$1,0)-MATCH($A$1,[2]characters!$1:$1,0)+1,FALSE)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158" s="66">
        <v>1</v>
      </c>
      <c r="H1158" s="66">
        <v>2</v>
      </c>
      <c r="I1158" s="66">
        <v>1</v>
      </c>
    </row>
    <row r="1159" spans="1:9" x14ac:dyDescent="0.15">
      <c r="A1159" s="66">
        <v>927</v>
      </c>
      <c r="B1159" s="3" t="str">
        <f ca="1">VLOOKUP($A1159,OFFSET([2]characters!$A$1,0,0,COUNTA([2]characters!$A:$A),MATCH(B$1,[2]characters!$1:$1,0)-MATCH($A$1,[2]characters!$1:$1,0)+1),MATCH(B$1,[2]characters!$1:$1,0)-MATCH($A$1,[2]characters!$1:$1,0)+1,FALSE)</f>
        <v>ポムポムプリン</v>
      </c>
      <c r="C1159" s="93">
        <f ca="1">VLOOKUP($A1159,OFFSET(fork_awake_units!$A$1,0,0,COUNTA(fork_awake_units!$A:$A),MATCH(C$1,fork_awake_units!$1:$1,0)-MATCH($A$1,fork_awake_units!$1:$1,0)+1),MATCH(C$1,fork_awake_units!$1:$1,0)-MATCH($A$1,fork_awake_units!$1:$1,0)+1,FALSE)</f>
        <v>928</v>
      </c>
      <c r="D1159" s="3" t="str">
        <f ca="1">VLOOKUP($C1159,OFFSET([2]characters!$A$1,0,0,COUNTA([2]characters!$A:$A),MATCH(D$1,[2]characters!$1:$1,0)-MATCH($A$1,[2]characters!$1:$1,0)+1),MATCH(D$1,[2]characters!$1:$1,0)-MATCH($A$1,[2]characters!$1:$1,0)+1,FALSE)</f>
        <v>一緒におでかけ ポムポムプリン</v>
      </c>
      <c r="E1159" s="66">
        <v>113</v>
      </c>
      <c r="F1159" s="3" t="str">
        <f ca="1">VLOOKUP($E1159,OFFSET([2]characters!$A$1,0,0,COUNTA([2]characters!$A:$A),MATCH(F$1,[2]characters!$1:$1,0)-MATCH($A$1,[2]characters!$1:$1,0)+1),MATCH(F$1,[2]characters!$1:$1,0)-MATCH($A$1,[2]characters!$1:$1,0)+1,FALSE)</f>
        <v>イエローチェシャ</v>
      </c>
      <c r="G1159" s="66">
        <v>3</v>
      </c>
      <c r="H1159" s="66">
        <v>1</v>
      </c>
      <c r="I1159" s="66">
        <v>1</v>
      </c>
    </row>
    <row r="1160" spans="1:9" x14ac:dyDescent="0.15">
      <c r="A1160" s="66">
        <v>927</v>
      </c>
      <c r="B1160" s="3" t="str">
        <f ca="1">VLOOKUP($A1160,OFFSET([2]characters!$A$1,0,0,COUNTA([2]characters!$A:$A),MATCH(B$1,[2]characters!$1:$1,0)-MATCH($A$1,[2]characters!$1:$1,0)+1),MATCH(B$1,[2]characters!$1:$1,0)-MATCH($A$1,[2]characters!$1:$1,0)+1,FALSE)</f>
        <v>ポムポムプリン</v>
      </c>
      <c r="C1160" s="93">
        <f ca="1">VLOOKUP($A1160,OFFSET(fork_awake_units!$A$1,0,0,COUNTA(fork_awake_units!$A:$A),MATCH(C$1,fork_awake_units!$1:$1,0)-MATCH($A$1,fork_awake_units!$1:$1,0)+1),MATCH(C$1,fork_awake_units!$1:$1,0)-MATCH($A$1,fork_awake_units!$1:$1,0)+1,FALSE)</f>
        <v>928</v>
      </c>
      <c r="D1160" s="3" t="str">
        <f ca="1">VLOOKUP($C1160,OFFSET([2]characters!$A$1,0,0,COUNTA([2]characters!$A:$A),MATCH(D$1,[2]characters!$1:$1,0)-MATCH($A$1,[2]characters!$1:$1,0)+1),MATCH(D$1,[2]characters!$1:$1,0)-MATCH($A$1,[2]characters!$1:$1,0)+1,FALSE)</f>
        <v>一緒におでかけ ポムポムプリン</v>
      </c>
      <c r="E1160" s="66">
        <v>114</v>
      </c>
      <c r="F1160" s="3" t="str">
        <f ca="1">VLOOKUP($E1160,OFFSET([2]characters!$A$1,0,0,COUNTA([2]characters!$A:$A),MATCH(F$1,[2]characters!$1:$1,0)-MATCH($A$1,[2]characters!$1:$1,0)+1),MATCH(F$1,[2]characters!$1:$1,0)-MATCH($A$1,[2]characters!$1:$1,0)+1,FALSE)</f>
        <v>イエローラビット</v>
      </c>
      <c r="G1160" s="66">
        <v>1</v>
      </c>
      <c r="H1160" s="66">
        <v>1</v>
      </c>
      <c r="I1160" s="66">
        <v>1</v>
      </c>
    </row>
    <row r="1161" spans="1:9" x14ac:dyDescent="0.15">
      <c r="A1161" s="66">
        <v>927</v>
      </c>
      <c r="B1161" s="3" t="str">
        <f ca="1">VLOOKUP($A1161,OFFSET([2]characters!$A$1,0,0,COUNTA([2]characters!$A:$A),MATCH(B$1,[2]characters!$1:$1,0)-MATCH($A$1,[2]characters!$1:$1,0)+1),MATCH(B$1,[2]characters!$1:$1,0)-MATCH($A$1,[2]characters!$1:$1,0)+1,FALSE)</f>
        <v>ポムポムプリン</v>
      </c>
      <c r="C1161" s="93">
        <f ca="1">VLOOKUP($A1161,OFFSET(fork_awake_units!$A$1,0,0,COUNTA(fork_awake_units!$A:$A),MATCH(C$1,fork_awake_units!$1:$1,0)-MATCH($A$1,fork_awake_units!$1:$1,0)+1),MATCH(C$1,fork_awake_units!$1:$1,0)-MATCH($A$1,fork_awake_units!$1:$1,0)+1,FALSE)</f>
        <v>928</v>
      </c>
      <c r="D1161" s="3" t="str">
        <f ca="1">VLOOKUP($C1161,OFFSET([2]characters!$A$1,0,0,COUNTA([2]characters!$A:$A),MATCH(D$1,[2]characters!$1:$1,0)-MATCH($A$1,[2]characters!$1:$1,0)+1),MATCH(D$1,[2]characters!$1:$1,0)-MATCH($A$1,[2]characters!$1:$1,0)+1,FALSE)</f>
        <v>一緒におでかけ ポムポムプリン</v>
      </c>
      <c r="E1161" s="66">
        <v>115</v>
      </c>
      <c r="F1161" s="3" t="str">
        <f ca="1">VLOOKUP($E1161,OFFSET([2]characters!$A$1,0,0,COUNTA([2]characters!$A:$A),MATCH(F$1,[2]characters!$1:$1,0)-MATCH($A$1,[2]characters!$1:$1,0)+1),MATCH(F$1,[2]characters!$1:$1,0)-MATCH($A$1,[2]characters!$1:$1,0)+1,FALSE)</f>
        <v>イエローキャタップ</v>
      </c>
      <c r="G1161" s="66">
        <v>1</v>
      </c>
      <c r="H1161" s="66">
        <v>1</v>
      </c>
      <c r="I1161" s="66">
        <v>1</v>
      </c>
    </row>
    <row r="1162" spans="1:9" x14ac:dyDescent="0.15">
      <c r="A1162" s="66">
        <v>1041</v>
      </c>
      <c r="B1162" s="3" t="str">
        <f ca="1">VLOOKUP($A1162,OFFSET([2]characters!$A$1,0,0,COUNTA([2]characters!$A:$A),MATCH(B$1,[2]characters!$1:$1,0)-MATCH($A$1,[2]characters!$1:$1,0)+1),MATCH(B$1,[2]characters!$1:$1,0)-MATCH($A$1,[2]characters!$1:$1,0)+1,FALSE)</f>
        <v>織姫</v>
      </c>
      <c r="C1162" s="93">
        <f ca="1">VLOOKUP($A1162,OFFSET(fork_awake_units!$A$1,0,0,COUNTA(fork_awake_units!$A:$A),MATCH(C$1,fork_awake_units!$1:$1,0)-MATCH($A$1,fork_awake_units!$1:$1,0)+1),MATCH(C$1,fork_awake_units!$1:$1,0)-MATCH($A$1,fork_awake_units!$1:$1,0)+1,FALSE)</f>
        <v>1042</v>
      </c>
      <c r="D1162" s="3" t="str">
        <f ca="1">VLOOKUP($C1162,OFFSET([2]characters!$A$1,0,0,COUNTA([2]characters!$A:$A),MATCH(D$1,[2]characters!$1:$1,0)-MATCH($A$1,[2]characters!$1:$1,0)+1),MATCH(D$1,[2]characters!$1:$1,0)-MATCH($A$1,[2]characters!$1:$1,0)+1,FALSE)</f>
        <v>希紡の天帝姫 織姫</v>
      </c>
      <c r="E1162" s="66">
        <v>102</v>
      </c>
      <c r="F1162" s="3" t="str">
        <f ca="1">VLOOKUP($E1162,OFFSET([2]characters!$A$1,0,0,COUNTA([2]characters!$A:$A),MATCH(F$1,[2]characters!$1:$1,0)-MATCH($A$1,[2]characters!$1:$1,0)+1),MATCH(F$1,[2]characters!$1:$1,0)-MATCH($A$1,[2]characters!$1:$1,0)+1,FALSE)</f>
        <v>レッドラビット</v>
      </c>
      <c r="G1162" s="66">
        <v>1</v>
      </c>
      <c r="H1162" s="66">
        <v>1</v>
      </c>
      <c r="I1162" s="66">
        <v>10</v>
      </c>
    </row>
    <row r="1163" spans="1:9" x14ac:dyDescent="0.15">
      <c r="A1163" s="66">
        <v>1041</v>
      </c>
      <c r="B1163" s="3" t="str">
        <f ca="1">VLOOKUP($A1163,OFFSET([2]characters!$A$1,0,0,COUNTA([2]characters!$A:$A),MATCH(B$1,[2]characters!$1:$1,0)-MATCH($A$1,[2]characters!$1:$1,0)+1),MATCH(B$1,[2]characters!$1:$1,0)-MATCH($A$1,[2]characters!$1:$1,0)+1,FALSE)</f>
        <v>織姫</v>
      </c>
      <c r="C1163" s="93">
        <f ca="1">VLOOKUP($A1163,OFFSET(fork_awake_units!$A$1,0,0,COUNTA(fork_awake_units!$A:$A),MATCH(C$1,fork_awake_units!$1:$1,0)-MATCH($A$1,fork_awake_units!$1:$1,0)+1),MATCH(C$1,fork_awake_units!$1:$1,0)-MATCH($A$1,fork_awake_units!$1:$1,0)+1,FALSE)</f>
        <v>1042</v>
      </c>
      <c r="D1163" s="3" t="str">
        <f ca="1">VLOOKUP($C1163,OFFSET([2]characters!$A$1,0,0,COUNTA([2]characters!$A:$A),MATCH(D$1,[2]characters!$1:$1,0)-MATCH($A$1,[2]characters!$1:$1,0)+1),MATCH(D$1,[2]characters!$1:$1,0)-MATCH($A$1,[2]characters!$1:$1,0)+1,FALSE)</f>
        <v>希紡の天帝姫 織姫</v>
      </c>
      <c r="E1163" s="66">
        <v>103</v>
      </c>
      <c r="F1163" s="3" t="str">
        <f ca="1">VLOOKUP($E1163,OFFSET([2]characters!$A$1,0,0,COUNTA([2]characters!$A:$A),MATCH(F$1,[2]characters!$1:$1,0)-MATCH($A$1,[2]characters!$1:$1,0)+1),MATCH(F$1,[2]characters!$1:$1,0)-MATCH($A$1,[2]characters!$1:$1,0)+1,FALSE)</f>
        <v>レッドキャタップ</v>
      </c>
      <c r="G1163" s="66">
        <v>1</v>
      </c>
      <c r="H1163" s="66">
        <v>1</v>
      </c>
      <c r="I1163" s="66">
        <v>10</v>
      </c>
    </row>
    <row r="1164" spans="1:9" x14ac:dyDescent="0.15">
      <c r="A1164" s="66">
        <v>1041</v>
      </c>
      <c r="B1164" s="3" t="str">
        <f ca="1">VLOOKUP($A1164,OFFSET([2]characters!$A$1,0,0,COUNTA([2]characters!$A:$A),MATCH(B$1,[2]characters!$1:$1,0)-MATCH($A$1,[2]characters!$1:$1,0)+1),MATCH(B$1,[2]characters!$1:$1,0)-MATCH($A$1,[2]characters!$1:$1,0)+1,FALSE)</f>
        <v>織姫</v>
      </c>
      <c r="C1164" s="93">
        <f ca="1">VLOOKUP($A1164,OFFSET(fork_awake_units!$A$1,0,0,COUNTA(fork_awake_units!$A:$A),MATCH(C$1,fork_awake_units!$1:$1,0)-MATCH($A$1,fork_awake_units!$1:$1,0)+1),MATCH(C$1,fork_awake_units!$1:$1,0)-MATCH($A$1,fork_awake_units!$1:$1,0)+1,FALSE)</f>
        <v>1042</v>
      </c>
      <c r="D1164" s="3" t="str">
        <f ca="1">VLOOKUP($C1164,OFFSET([2]characters!$A$1,0,0,COUNTA([2]characters!$A:$A),MATCH(D$1,[2]characters!$1:$1,0)-MATCH($A$1,[2]characters!$1:$1,0)+1),MATCH(D$1,[2]characters!$1:$1,0)-MATCH($A$1,[2]characters!$1:$1,0)+1,FALSE)</f>
        <v>希紡の天帝姫 織姫</v>
      </c>
      <c r="E1164" s="66">
        <v>104</v>
      </c>
      <c r="F1164" s="3" t="str">
        <f ca="1">VLOOKUP($E1164,OFFSET([2]characters!$A$1,0,0,COUNTA([2]characters!$A:$A),MATCH(F$1,[2]characters!$1:$1,0)-MATCH($A$1,[2]characters!$1:$1,0)+1),MATCH(F$1,[2]characters!$1:$1,0)-MATCH($A$1,[2]characters!$1:$1,0)+1,FALSE)</f>
        <v>炎のマッドハッター</v>
      </c>
      <c r="G1164" s="66">
        <v>1</v>
      </c>
      <c r="H1164" s="66">
        <v>1</v>
      </c>
      <c r="I1164" s="66">
        <v>10</v>
      </c>
    </row>
    <row r="1165" spans="1:9" x14ac:dyDescent="0.15">
      <c r="A1165" s="66">
        <v>1041</v>
      </c>
      <c r="B1165" s="3" t="str">
        <f ca="1">VLOOKUP($A1165,OFFSET([2]characters!$A$1,0,0,COUNTA([2]characters!$A:$A),MATCH(B$1,[2]characters!$1:$1,0)-MATCH($A$1,[2]characters!$1:$1,0)+1),MATCH(B$1,[2]characters!$1:$1,0)-MATCH($A$1,[2]characters!$1:$1,0)+1,FALSE)</f>
        <v>織姫</v>
      </c>
      <c r="C1165" s="93">
        <f ca="1">VLOOKUP($A1165,OFFSET(fork_awake_units!$A$1,0,0,COUNTA(fork_awake_units!$A:$A),MATCH(C$1,fork_awake_units!$1:$1,0)-MATCH($A$1,fork_awake_units!$1:$1,0)+1),MATCH(C$1,fork_awake_units!$1:$1,0)-MATCH($A$1,fork_awake_units!$1:$1,0)+1,FALSE)</f>
        <v>1042</v>
      </c>
      <c r="D1165" s="3" t="str">
        <f ca="1">VLOOKUP($C1165,OFFSET([2]characters!$A$1,0,0,COUNTA([2]characters!$A:$A),MATCH(D$1,[2]characters!$1:$1,0)-MATCH($A$1,[2]characters!$1:$1,0)+1),MATCH(D$1,[2]characters!$1:$1,0)-MATCH($A$1,[2]characters!$1:$1,0)+1,FALSE)</f>
        <v>希紡の天帝姫 織姫</v>
      </c>
      <c r="E1165" s="66">
        <v>837</v>
      </c>
      <c r="F1165" s="3" t="str">
        <f ca="1">VLOOKUP($E1165,OFFSET([2]characters!$A$1,0,0,COUNTA([2]characters!$A:$A),MATCH(F$1,[2]characters!$1:$1,0)-MATCH($A$1,[2]characters!$1:$1,0)+1),MATCH(F$1,[2]characters!$1:$1,0)-MATCH($A$1,[2]characters!$1:$1,0)+1,FALSE)</f>
        <v>リトルハンプティ</v>
      </c>
      <c r="G1165" s="66">
        <v>1</v>
      </c>
      <c r="H1165" s="66">
        <v>1</v>
      </c>
      <c r="I1165" s="66">
        <v>1000</v>
      </c>
    </row>
    <row r="1166" spans="1:9" x14ac:dyDescent="0.15">
      <c r="A1166" s="66">
        <v>1043</v>
      </c>
      <c r="B1166" s="3" t="str">
        <f ca="1">VLOOKUP($A1166,OFFSET([2]characters!$A$1,0,0,COUNTA([2]characters!$A:$A),MATCH(B$1,[2]characters!$1:$1,0)-MATCH($A$1,[2]characters!$1:$1,0)+1),MATCH(B$1,[2]characters!$1:$1,0)-MATCH($A$1,[2]characters!$1:$1,0)+1,FALSE)</f>
        <v>彦星</v>
      </c>
      <c r="C1166" s="93">
        <f ca="1">VLOOKUP($A1166,OFFSET(fork_awake_units!$A$1,0,0,COUNTA(fork_awake_units!$A:$A),MATCH(C$1,fork_awake_units!$1:$1,0)-MATCH($A$1,fork_awake_units!$1:$1,0)+1),MATCH(C$1,fork_awake_units!$1:$1,0)-MATCH($A$1,fork_awake_units!$1:$1,0)+1,FALSE)</f>
        <v>1044</v>
      </c>
      <c r="D1166" s="3" t="str">
        <f ca="1">VLOOKUP($C1166,OFFSET([2]characters!$A$1,0,0,COUNTA([2]characters!$A:$A),MATCH(D$1,[2]characters!$1:$1,0)-MATCH($A$1,[2]characters!$1:$1,0)+1),MATCH(D$1,[2]characters!$1:$1,0)-MATCH($A$1,[2]characters!$1:$1,0)+1,FALSE)</f>
        <v>恋狩の色星主  彦星</v>
      </c>
      <c r="E1166" s="66">
        <v>108</v>
      </c>
      <c r="F1166" s="3" t="str">
        <f ca="1">VLOOKUP($E1166,OFFSET([2]characters!$A$1,0,0,COUNTA([2]characters!$A:$A),MATCH(F$1,[2]characters!$1:$1,0)-MATCH($A$1,[2]characters!$1:$1,0)+1),MATCH(F$1,[2]characters!$1:$1,0)-MATCH($A$1,[2]characters!$1:$1,0)+1,FALSE)</f>
        <v>森のマッドハッター</v>
      </c>
      <c r="G1166" s="66">
        <v>1</v>
      </c>
      <c r="H1166" s="66">
        <v>1</v>
      </c>
      <c r="I1166" s="66">
        <v>10</v>
      </c>
    </row>
    <row r="1167" spans="1:9" x14ac:dyDescent="0.15">
      <c r="A1167" s="66">
        <v>1043</v>
      </c>
      <c r="B1167" s="3" t="str">
        <f ca="1">VLOOKUP($A1167,OFFSET([2]characters!$A$1,0,0,COUNTA([2]characters!$A:$A),MATCH(B$1,[2]characters!$1:$1,0)-MATCH($A$1,[2]characters!$1:$1,0)+1),MATCH(B$1,[2]characters!$1:$1,0)-MATCH($A$1,[2]characters!$1:$1,0)+1,FALSE)</f>
        <v>彦星</v>
      </c>
      <c r="C1167" s="93">
        <f ca="1">VLOOKUP($A1167,OFFSET(fork_awake_units!$A$1,0,0,COUNTA(fork_awake_units!$A:$A),MATCH(C$1,fork_awake_units!$1:$1,0)-MATCH($A$1,fork_awake_units!$1:$1,0)+1),MATCH(C$1,fork_awake_units!$1:$1,0)-MATCH($A$1,fork_awake_units!$1:$1,0)+1,FALSE)</f>
        <v>1044</v>
      </c>
      <c r="D1167" s="3" t="str">
        <f ca="1">VLOOKUP($C1167,OFFSET([2]characters!$A$1,0,0,COUNTA([2]characters!$A:$A),MATCH(D$1,[2]characters!$1:$1,0)-MATCH($A$1,[2]characters!$1:$1,0)+1),MATCH(D$1,[2]characters!$1:$1,0)-MATCH($A$1,[2]characters!$1:$1,0)+1,FALSE)</f>
        <v>恋狩の色星主  彦星</v>
      </c>
      <c r="E1167" s="66">
        <v>288</v>
      </c>
      <c r="F1167" s="3" t="str">
        <f ca="1">VLOOKUP($E1167,OFFSET([2]characters!$A$1,0,0,COUNTA([2]characters!$A:$A),MATCH(F$1,[2]characters!$1:$1,0)-MATCH($A$1,[2]characters!$1:$1,0)+1),MATCH(F$1,[2]characters!$1:$1,0)-MATCH($A$1,[2]characters!$1:$1,0)+1,FALSE)</f>
        <v>ミカド</v>
      </c>
      <c r="G1167" s="66">
        <v>1</v>
      </c>
      <c r="H1167" s="66">
        <v>1</v>
      </c>
      <c r="I1167" s="66">
        <v>100</v>
      </c>
    </row>
    <row r="1168" spans="1:9" x14ac:dyDescent="0.15">
      <c r="A1168" s="66">
        <v>1043</v>
      </c>
      <c r="B1168" s="3" t="str">
        <f ca="1">VLOOKUP($A1168,OFFSET([2]characters!$A$1,0,0,COUNTA([2]characters!$A:$A),MATCH(B$1,[2]characters!$1:$1,0)-MATCH($A$1,[2]characters!$1:$1,0)+1),MATCH(B$1,[2]characters!$1:$1,0)-MATCH($A$1,[2]characters!$1:$1,0)+1,FALSE)</f>
        <v>彦星</v>
      </c>
      <c r="C1168" s="93">
        <f ca="1">VLOOKUP($A1168,OFFSET(fork_awake_units!$A$1,0,0,COUNTA(fork_awake_units!$A:$A),MATCH(C$1,fork_awake_units!$1:$1,0)-MATCH($A$1,fork_awake_units!$1:$1,0)+1),MATCH(C$1,fork_awake_units!$1:$1,0)-MATCH($A$1,fork_awake_units!$1:$1,0)+1,FALSE)</f>
        <v>1044</v>
      </c>
      <c r="D1168" s="3" t="str">
        <f ca="1">VLOOKUP($C1168,OFFSET([2]characters!$A$1,0,0,COUNTA([2]characters!$A:$A),MATCH(D$1,[2]characters!$1:$1,0)-MATCH($A$1,[2]characters!$1:$1,0)+1),MATCH(D$1,[2]characters!$1:$1,0)-MATCH($A$1,[2]characters!$1:$1,0)+1,FALSE)</f>
        <v>恋狩の色星主  彦星</v>
      </c>
      <c r="E1168" s="66">
        <v>837</v>
      </c>
      <c r="F1168" s="3" t="str">
        <f ca="1">VLOOKUP($E1168,OFFSET([2]characters!$A$1,0,0,COUNTA([2]characters!$A:$A),MATCH(F$1,[2]characters!$1:$1,0)-MATCH($A$1,[2]characters!$1:$1,0)+1),MATCH(F$1,[2]characters!$1:$1,0)-MATCH($A$1,[2]characters!$1:$1,0)+1,FALSE)</f>
        <v>リトルハンプティ</v>
      </c>
      <c r="G1168" s="66">
        <v>1</v>
      </c>
      <c r="H1168" s="66">
        <v>1</v>
      </c>
      <c r="I1168" s="66">
        <v>1000</v>
      </c>
    </row>
    <row r="1169" spans="1:9" x14ac:dyDescent="0.15">
      <c r="A1169" s="66">
        <v>1043</v>
      </c>
      <c r="B1169" s="3" t="str">
        <f ca="1">VLOOKUP($A1169,OFFSET([2]characters!$A$1,0,0,COUNTA([2]characters!$A:$A),MATCH(B$1,[2]characters!$1:$1,0)-MATCH($A$1,[2]characters!$1:$1,0)+1),MATCH(B$1,[2]characters!$1:$1,0)-MATCH($A$1,[2]characters!$1:$1,0)+1,FALSE)</f>
        <v>彦星</v>
      </c>
      <c r="C1169" s="93">
        <f ca="1">VLOOKUP($A1169,OFFSET(fork_awake_units!$A$1,0,0,COUNTA(fork_awake_units!$A:$A),MATCH(C$1,fork_awake_units!$1:$1,0)-MATCH($A$1,fork_awake_units!$1:$1,0)+1),MATCH(C$1,fork_awake_units!$1:$1,0)-MATCH($A$1,fork_awake_units!$1:$1,0)+1,FALSE)</f>
        <v>1044</v>
      </c>
      <c r="D1169" s="3" t="str">
        <f ca="1">VLOOKUP($C1169,OFFSET([2]characters!$A$1,0,0,COUNTA([2]characters!$A:$A),MATCH(D$1,[2]characters!$1:$1,0)-MATCH($A$1,[2]characters!$1:$1,0)+1),MATCH(D$1,[2]characters!$1:$1,0)-MATCH($A$1,[2]characters!$1:$1,0)+1,FALSE)</f>
        <v>恋狩の色星主  彦星</v>
      </c>
      <c r="E1169" s="66">
        <v>856</v>
      </c>
      <c r="F1169" s="3" t="str">
        <f ca="1">VLOOKUP($E1169,OFFSET([2]characters!$A$1,0,0,COUNTA([2]characters!$A:$A),MATCH(F$1,[2]characters!$1:$1,0)-MATCH($A$1,[2]characters!$1:$1,0)+1),MATCH(F$1,[2]characters!$1:$1,0)-MATCH($A$1,[2]characters!$1:$1,0)+1,FALSE)</f>
        <v>リフレクト＆M.I.R.R.O.R.</v>
      </c>
      <c r="G1169" s="66">
        <v>1</v>
      </c>
      <c r="H1169" s="66">
        <v>1</v>
      </c>
      <c r="I1169" s="66">
        <v>100</v>
      </c>
    </row>
    <row r="1170" spans="1:9" x14ac:dyDescent="0.15">
      <c r="A1170" s="84">
        <v>1433</v>
      </c>
      <c r="B1170" s="3" t="str">
        <f ca="1">VLOOKUP($A1170,OFFSET([2]characters!$A$1,0,0,COUNTA([2]characters!$A:$A),MATCH(B$1,[2]characters!$1:$1,0)-MATCH($A$1,[2]characters!$1:$1,0)+1),MATCH(B$1,[2]characters!$1:$1,0)-MATCH($A$1,[2]characters!$1:$1,0)+1,FALSE)</f>
        <v>超越の果実</v>
      </c>
      <c r="C1170" s="93">
        <f ca="1">VLOOKUP($A1170,OFFSET(fork_awake_units!$A$1,0,0,COUNTA(fork_awake_units!$A:$A),MATCH(C$1,fork_awake_units!$1:$1,0)-MATCH($A$1,fork_awake_units!$1:$1,0)+1),MATCH(C$1,fork_awake_units!$1:$1,0)-MATCH($A$1,fork_awake_units!$1:$1,0)+1,FALSE)</f>
        <v>1434</v>
      </c>
      <c r="D1170" s="3" t="str">
        <f ca="1">VLOOKUP($C1170,OFFSET([2]characters!$A$1,0,0,COUNTA([2]characters!$A:$A),MATCH(D$1,[2]characters!$1:$1,0)-MATCH($A$1,[2]characters!$1:$1,0)+1),MATCH(D$1,[2]characters!$1:$1,0)-MATCH($A$1,[2]characters!$1:$1,0)+1,FALSE)</f>
        <v>メガ超越の果実</v>
      </c>
      <c r="E1170" s="73">
        <v>1433</v>
      </c>
      <c r="F1170" s="3" t="str">
        <f ca="1">VLOOKUP($E1170,OFFSET([2]characters!$A$1,0,0,COUNTA([2]characters!$A:$A),MATCH(F$1,[2]characters!$1:$1,0)-MATCH($A$1,[2]characters!$1:$1,0)+1),MATCH(F$1,[2]characters!$1:$1,0)-MATCH($A$1,[2]characters!$1:$1,0)+1,FALSE)</f>
        <v>超越の果実</v>
      </c>
      <c r="G1170" s="8">
        <v>2</v>
      </c>
      <c r="H1170" s="94">
        <v>1</v>
      </c>
      <c r="I1170" s="66">
        <v>1</v>
      </c>
    </row>
    <row r="1171" spans="1:9" x14ac:dyDescent="0.15">
      <c r="A1171" s="84">
        <v>1434</v>
      </c>
      <c r="B1171" s="3" t="str">
        <f ca="1">VLOOKUP($A1171,OFFSET([2]characters!$A$1,0,0,COUNTA([2]characters!$A:$A),MATCH(B$1,[2]characters!$1:$1,0)-MATCH($A$1,[2]characters!$1:$1,0)+1),MATCH(B$1,[2]characters!$1:$1,0)-MATCH($A$1,[2]characters!$1:$1,0)+1,FALSE)</f>
        <v>メガ超越の果実</v>
      </c>
      <c r="C1171" s="93">
        <f ca="1">VLOOKUP($A1171,OFFSET(fork_awake_units!$A$1,0,0,COUNTA(fork_awake_units!$A:$A),MATCH(C$1,fork_awake_units!$1:$1,0)-MATCH($A$1,fork_awake_units!$1:$1,0)+1),MATCH(C$1,fork_awake_units!$1:$1,0)-MATCH($A$1,fork_awake_units!$1:$1,0)+1,FALSE)</f>
        <v>1435</v>
      </c>
      <c r="D1171" s="3" t="str">
        <f ca="1">VLOOKUP($C1171,OFFSET([2]characters!$A$1,0,0,COUNTA([2]characters!$A:$A),MATCH(D$1,[2]characters!$1:$1,0)-MATCH($A$1,[2]characters!$1:$1,0)+1),MATCH(D$1,[2]characters!$1:$1,0)-MATCH($A$1,[2]characters!$1:$1,0)+1,FALSE)</f>
        <v>ギガ超越の果実</v>
      </c>
      <c r="E1171" s="73">
        <v>1433</v>
      </c>
      <c r="F1171" s="3" t="str">
        <f ca="1">VLOOKUP($E1171,OFFSET([2]characters!$A$1,0,0,COUNTA([2]characters!$A:$A),MATCH(F$1,[2]characters!$1:$1,0)-MATCH($A$1,[2]characters!$1:$1,0)+1),MATCH(F$1,[2]characters!$1:$1,0)-MATCH($A$1,[2]characters!$1:$1,0)+1,FALSE)</f>
        <v>超越の果実</v>
      </c>
      <c r="G1171" s="8">
        <v>1</v>
      </c>
      <c r="H1171" s="94">
        <v>1</v>
      </c>
      <c r="I1171" s="66">
        <v>1</v>
      </c>
    </row>
    <row r="1172" spans="1:9" x14ac:dyDescent="0.15">
      <c r="A1172" s="84">
        <v>1434</v>
      </c>
      <c r="B1172" s="3" t="str">
        <f ca="1">VLOOKUP($A1172,OFFSET([2]characters!$A$1,0,0,COUNTA([2]characters!$A:$A),MATCH(B$1,[2]characters!$1:$1,0)-MATCH($A$1,[2]characters!$1:$1,0)+1),MATCH(B$1,[2]characters!$1:$1,0)-MATCH($A$1,[2]characters!$1:$1,0)+1,FALSE)</f>
        <v>メガ超越の果実</v>
      </c>
      <c r="C1172" s="93">
        <f ca="1">VLOOKUP($A1172,OFFSET(fork_awake_units!$A$1,0,0,COUNTA(fork_awake_units!$A:$A),MATCH(C$1,fork_awake_units!$1:$1,0)-MATCH($A$1,fork_awake_units!$1:$1,0)+1),MATCH(C$1,fork_awake_units!$1:$1,0)-MATCH($A$1,fork_awake_units!$1:$1,0)+1,FALSE)</f>
        <v>1435</v>
      </c>
      <c r="D1172" s="3" t="str">
        <f ca="1">VLOOKUP($C1172,OFFSET([2]characters!$A$1,0,0,COUNTA([2]characters!$A:$A),MATCH(D$1,[2]characters!$1:$1,0)-MATCH($A$1,[2]characters!$1:$1,0)+1),MATCH(D$1,[2]characters!$1:$1,0)-MATCH($A$1,[2]characters!$1:$1,0)+1,FALSE)</f>
        <v>ギガ超越の果実</v>
      </c>
      <c r="E1172" s="73">
        <v>1434</v>
      </c>
      <c r="F1172" s="3" t="str">
        <f ca="1">VLOOKUP($E1172,OFFSET([2]characters!$A$1,0,0,COUNTA([2]characters!$A:$A),MATCH(F$1,[2]characters!$1:$1,0)-MATCH($A$1,[2]characters!$1:$1,0)+1),MATCH(F$1,[2]characters!$1:$1,0)-MATCH($A$1,[2]characters!$1:$1,0)+1,FALSE)</f>
        <v>メガ超越の果実</v>
      </c>
      <c r="G1172" s="8">
        <v>2</v>
      </c>
      <c r="H1172" s="94">
        <v>1</v>
      </c>
      <c r="I1172" s="66">
        <v>1</v>
      </c>
    </row>
    <row r="1173" spans="1:9" x14ac:dyDescent="0.15">
      <c r="A1173" s="66">
        <v>8013</v>
      </c>
      <c r="B1173" s="3" t="str">
        <f ca="1">VLOOKUP($A1173,OFFSET([2]characters!$A$1,0,0,COUNTA([2]characters!$A:$A),MATCH(B$1,[2]characters!$1:$1,0)-MATCH($A$1,[2]characters!$1:$1,0)+1),MATCH(B$1,[2]characters!$1:$1,0)-MATCH($A$1,[2]characters!$1:$1,0)+1,FALSE)</f>
        <v>初音ミクV3</v>
      </c>
      <c r="C1173" s="93">
        <f ca="1">VLOOKUP($A1173,OFFSET(fork_awake_units!$A$1,0,0,COUNTA(fork_awake_units!$A:$A),MATCH(C$1,fork_awake_units!$1:$1,0)-MATCH($A$1,fork_awake_units!$1:$1,0)+1),MATCH(C$1,fork_awake_units!$1:$1,0)-MATCH($A$1,fork_awake_units!$1:$1,0)+1,FALSE)</f>
        <v>8014</v>
      </c>
      <c r="D1173" s="3" t="str">
        <f ca="1">VLOOKUP($C1173,OFFSET([2]characters!$A$1,0,0,COUNTA([2]characters!$A:$A),MATCH(D$1,[2]characters!$1:$1,0)-MATCH($A$1,[2]characters!$1:$1,0)+1),MATCH(D$1,[2]characters!$1:$1,0)-MATCH($A$1,[2]characters!$1:$1,0)+1,FALSE)</f>
        <v>初音ミクV3</v>
      </c>
      <c r="E1173" s="66">
        <v>116</v>
      </c>
      <c r="F1173" s="3" t="str">
        <f ca="1">VLOOKUP($E1173,OFFSET([2]characters!$A$1,0,0,COUNTA([2]characters!$A:$A),MATCH(F$1,[2]characters!$1:$1,0)-MATCH($A$1,[2]characters!$1:$1,0)+1),MATCH(F$1,[2]characters!$1:$1,0)-MATCH($A$1,[2]characters!$1:$1,0)+1,FALSE)</f>
        <v>雷のマッドハッター</v>
      </c>
      <c r="G1173" s="66">
        <v>1</v>
      </c>
      <c r="H1173" s="66">
        <v>1</v>
      </c>
      <c r="I1173" s="66">
        <v>1</v>
      </c>
    </row>
    <row r="1174" spans="1:9" x14ac:dyDescent="0.15">
      <c r="A1174" s="66">
        <v>8013</v>
      </c>
      <c r="B1174" s="3" t="str">
        <f ca="1">VLOOKUP($A1174,OFFSET([2]characters!$A$1,0,0,COUNTA([2]characters!$A:$A),MATCH(B$1,[2]characters!$1:$1,0)-MATCH($A$1,[2]characters!$1:$1,0)+1),MATCH(B$1,[2]characters!$1:$1,0)-MATCH($A$1,[2]characters!$1:$1,0)+1,FALSE)</f>
        <v>初音ミクV3</v>
      </c>
      <c r="C1174" s="93">
        <f ca="1">VLOOKUP($A1174,OFFSET(fork_awake_units!$A$1,0,0,COUNTA(fork_awake_units!$A:$A),MATCH(C$1,fork_awake_units!$1:$1,0)-MATCH($A$1,fork_awake_units!$1:$1,0)+1),MATCH(C$1,fork_awake_units!$1:$1,0)-MATCH($A$1,fork_awake_units!$1:$1,0)+1,FALSE)</f>
        <v>8014</v>
      </c>
      <c r="D1174" s="3" t="str">
        <f ca="1">VLOOKUP($C1174,OFFSET([2]characters!$A$1,0,0,COUNTA([2]characters!$A:$A),MATCH(D$1,[2]characters!$1:$1,0)-MATCH($A$1,[2]characters!$1:$1,0)+1),MATCH(D$1,[2]characters!$1:$1,0)-MATCH($A$1,[2]characters!$1:$1,0)+1,FALSE)</f>
        <v>初音ミクV3</v>
      </c>
      <c r="E1174" s="66">
        <v>525</v>
      </c>
      <c r="F1174" s="3" t="str">
        <f ca="1">VLOOKUP($E1174,OFFSET([2]characters!$A$1,0,0,COUNTA([2]characters!$A:$A),MATCH(F$1,[2]characters!$1:$1,0)-MATCH($A$1,[2]characters!$1:$1,0)+1),MATCH(F$1,[2]characters!$1:$1,0)-MATCH($A$1,[2]characters!$1:$1,0)+1,FALSE)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1174" s="66">
        <v>1</v>
      </c>
      <c r="H1174" s="66">
        <v>2</v>
      </c>
      <c r="I1174" s="66">
        <v>1</v>
      </c>
    </row>
    <row r="1175" spans="1:9" x14ac:dyDescent="0.15">
      <c r="A1175" s="66">
        <v>8013</v>
      </c>
      <c r="B1175" s="3" t="str">
        <f ca="1">VLOOKUP($A1175,OFFSET([2]characters!$A$1,0,0,COUNTA([2]characters!$A:$A),MATCH(B$1,[2]characters!$1:$1,0)-MATCH($A$1,[2]characters!$1:$1,0)+1),MATCH(B$1,[2]characters!$1:$1,0)-MATCH($A$1,[2]characters!$1:$1,0)+1,FALSE)</f>
        <v>初音ミクV3</v>
      </c>
      <c r="C1175" s="93">
        <f ca="1">VLOOKUP($A1175,OFFSET(fork_awake_units!$A$1,0,0,COUNTA(fork_awake_units!$A:$A),MATCH(C$1,fork_awake_units!$1:$1,0)-MATCH($A$1,fork_awake_units!$1:$1,0)+1),MATCH(C$1,fork_awake_units!$1:$1,0)-MATCH($A$1,fork_awake_units!$1:$1,0)+1,FALSE)</f>
        <v>8014</v>
      </c>
      <c r="D1175" s="3" t="str">
        <f ca="1">VLOOKUP($C1175,OFFSET([2]characters!$A$1,0,0,COUNTA([2]characters!$A:$A),MATCH(D$1,[2]characters!$1:$1,0)-MATCH($A$1,[2]characters!$1:$1,0)+1),MATCH(D$1,[2]characters!$1:$1,0)-MATCH($A$1,[2]characters!$1:$1,0)+1,FALSE)</f>
        <v>初音ミクV3</v>
      </c>
      <c r="E1175" s="66">
        <v>526</v>
      </c>
      <c r="F1175" s="3" t="str">
        <f ca="1">VLOOKUP($E1175,OFFSET([2]characters!$A$1,0,0,COUNTA([2]characters!$A:$A),MATCH(F$1,[2]characters!$1:$1,0)-MATCH($A$1,[2]characters!$1:$1,0)+1),MATCH(F$1,[2]characters!$1:$1,0)-MATCH($A$1,[2]characters!$1:$1,0)+1,FALSE)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1175" s="66">
        <v>1</v>
      </c>
      <c r="H1175" s="66">
        <v>2</v>
      </c>
      <c r="I1175" s="66">
        <v>1</v>
      </c>
    </row>
    <row r="1176" spans="1:9" x14ac:dyDescent="0.15">
      <c r="A1176" s="66">
        <v>8015</v>
      </c>
      <c r="B1176" s="3" t="str">
        <f ca="1">VLOOKUP($A1176,OFFSET([2]characters!$A$1,0,0,COUNTA([2]characters!$A:$A),MATCH(B$1,[2]characters!$1:$1,0)-MATCH($A$1,[2]characters!$1:$1,0)+1),MATCH(B$1,[2]characters!$1:$1,0)-MATCH($A$1,[2]characters!$1:$1,0)+1,FALSE)</f>
        <v>初音ミク・アペンド</v>
      </c>
      <c r="C1176" s="93">
        <f ca="1">VLOOKUP($A1176,OFFSET(fork_awake_units!$A$1,0,0,COUNTA(fork_awake_units!$A:$A),MATCH(C$1,fork_awake_units!$1:$1,0)-MATCH($A$1,fork_awake_units!$1:$1,0)+1),MATCH(C$1,fork_awake_units!$1:$1,0)-MATCH($A$1,fork_awake_units!$1:$1,0)+1,FALSE)</f>
        <v>8016</v>
      </c>
      <c r="D1176" s="3" t="str">
        <f ca="1">VLOOKUP($C1176,OFFSET([2]characters!$A$1,0,0,COUNTA([2]characters!$A:$A),MATCH(D$1,[2]characters!$1:$1,0)-MATCH($A$1,[2]characters!$1:$1,0)+1),MATCH(D$1,[2]characters!$1:$1,0)-MATCH($A$1,[2]characters!$1:$1,0)+1,FALSE)</f>
        <v>初音ミク・アペンド</v>
      </c>
      <c r="E1176" s="66">
        <v>107</v>
      </c>
      <c r="F1176" s="3" t="str">
        <f ca="1">VLOOKUP($E1176,OFFSET([2]characters!$A$1,0,0,COUNTA([2]characters!$A:$A),MATCH(F$1,[2]characters!$1:$1,0)-MATCH($A$1,[2]characters!$1:$1,0)+1),MATCH(F$1,[2]characters!$1:$1,0)-MATCH($A$1,[2]characters!$1:$1,0)+1,FALSE)</f>
        <v>グリーンキャタップ</v>
      </c>
      <c r="G1176" s="66">
        <v>2</v>
      </c>
      <c r="H1176" s="66">
        <v>1</v>
      </c>
      <c r="I1176" s="66">
        <v>1</v>
      </c>
    </row>
    <row r="1177" spans="1:9" x14ac:dyDescent="0.15">
      <c r="A1177" s="66">
        <v>8015</v>
      </c>
      <c r="B1177" s="3" t="str">
        <f ca="1">VLOOKUP($A1177,OFFSET([2]characters!$A$1,0,0,COUNTA([2]characters!$A:$A),MATCH(B$1,[2]characters!$1:$1,0)-MATCH($A$1,[2]characters!$1:$1,0)+1),MATCH(B$1,[2]characters!$1:$1,0)-MATCH($A$1,[2]characters!$1:$1,0)+1,FALSE)</f>
        <v>初音ミク・アペンド</v>
      </c>
      <c r="C1177" s="93">
        <f ca="1">VLOOKUP($A1177,OFFSET(fork_awake_units!$A$1,0,0,COUNTA(fork_awake_units!$A:$A),MATCH(C$1,fork_awake_units!$1:$1,0)-MATCH($A$1,fork_awake_units!$1:$1,0)+1),MATCH(C$1,fork_awake_units!$1:$1,0)-MATCH($A$1,fork_awake_units!$1:$1,0)+1,FALSE)</f>
        <v>8016</v>
      </c>
      <c r="D1177" s="3" t="str">
        <f ca="1">VLOOKUP($C1177,OFFSET([2]characters!$A$1,0,0,COUNTA([2]characters!$A:$A),MATCH(D$1,[2]characters!$1:$1,0)-MATCH($A$1,[2]characters!$1:$1,0)+1),MATCH(D$1,[2]characters!$1:$1,0)-MATCH($A$1,[2]characters!$1:$1,0)+1,FALSE)</f>
        <v>初音ミク・アペンド</v>
      </c>
      <c r="E1177" s="66">
        <v>108</v>
      </c>
      <c r="F1177" s="3" t="str">
        <f ca="1">VLOOKUP($E1177,OFFSET([2]characters!$A$1,0,0,COUNTA([2]characters!$A:$A),MATCH(F$1,[2]characters!$1:$1,0)-MATCH($A$1,[2]characters!$1:$1,0)+1),MATCH(F$1,[2]characters!$1:$1,0)-MATCH($A$1,[2]characters!$1:$1,0)+1,FALSE)</f>
        <v>森のマッドハッター</v>
      </c>
      <c r="G1177" s="66">
        <v>1</v>
      </c>
      <c r="H1177" s="66">
        <v>1</v>
      </c>
      <c r="I1177" s="66">
        <v>1</v>
      </c>
    </row>
    <row r="1178" spans="1:9" x14ac:dyDescent="0.15">
      <c r="A1178" s="66">
        <v>8015</v>
      </c>
      <c r="B1178" s="3" t="str">
        <f ca="1">VLOOKUP($A1178,OFFSET([2]characters!$A$1,0,0,COUNTA([2]characters!$A:$A),MATCH(B$1,[2]characters!$1:$1,0)-MATCH($A$1,[2]characters!$1:$1,0)+1),MATCH(B$1,[2]characters!$1:$1,0)-MATCH($A$1,[2]characters!$1:$1,0)+1,FALSE)</f>
        <v>初音ミク・アペンド</v>
      </c>
      <c r="C1178" s="93">
        <f ca="1">VLOOKUP($A1178,OFFSET(fork_awake_units!$A$1,0,0,COUNTA(fork_awake_units!$A:$A),MATCH(C$1,fork_awake_units!$1:$1,0)-MATCH($A$1,fork_awake_units!$1:$1,0)+1),MATCH(C$1,fork_awake_units!$1:$1,0)-MATCH($A$1,fork_awake_units!$1:$1,0)+1,FALSE)</f>
        <v>8016</v>
      </c>
      <c r="D1178" s="3" t="str">
        <f ca="1">VLOOKUP($C1178,OFFSET([2]characters!$A$1,0,0,COUNTA([2]characters!$A:$A),MATCH(D$1,[2]characters!$1:$1,0)-MATCH($A$1,[2]characters!$1:$1,0)+1),MATCH(D$1,[2]characters!$1:$1,0)-MATCH($A$1,[2]characters!$1:$1,0)+1,FALSE)</f>
        <v>初音ミク・アペンド</v>
      </c>
      <c r="E1178" s="66">
        <v>525</v>
      </c>
      <c r="F1178" s="3" t="str">
        <f ca="1">VLOOKUP($E1178,OFFSET([2]characters!$A$1,0,0,COUNTA([2]characters!$A:$A),MATCH(F$1,[2]characters!$1:$1,0)-MATCH($A$1,[2]characters!$1:$1,0)+1),MATCH(F$1,[2]characters!$1:$1,0)-MATCH($A$1,[2]characters!$1:$1,0)+1,FALSE)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1178" s="66">
        <v>1</v>
      </c>
      <c r="H1178" s="66">
        <v>5</v>
      </c>
      <c r="I1178" s="66">
        <v>1</v>
      </c>
    </row>
    <row r="1179" spans="1:9" x14ac:dyDescent="0.15">
      <c r="A1179" s="66">
        <v>8015</v>
      </c>
      <c r="B1179" s="3" t="str">
        <f ca="1">VLOOKUP($A1179,OFFSET([2]characters!$A$1,0,0,COUNTA([2]characters!$A:$A),MATCH(B$1,[2]characters!$1:$1,0)-MATCH($A$1,[2]characters!$1:$1,0)+1),MATCH(B$1,[2]characters!$1:$1,0)-MATCH($A$1,[2]characters!$1:$1,0)+1,FALSE)</f>
        <v>初音ミク・アペンド</v>
      </c>
      <c r="C1179" s="93">
        <f ca="1">VLOOKUP($A1179,OFFSET(fork_awake_units!$A$1,0,0,COUNTA(fork_awake_units!$A:$A),MATCH(C$1,fork_awake_units!$1:$1,0)-MATCH($A$1,fork_awake_units!$1:$1,0)+1),MATCH(C$1,fork_awake_units!$1:$1,0)-MATCH($A$1,fork_awake_units!$1:$1,0)+1,FALSE)</f>
        <v>8016</v>
      </c>
      <c r="D1179" s="3" t="str">
        <f ca="1">VLOOKUP($C1179,OFFSET([2]characters!$A$1,0,0,COUNTA([2]characters!$A:$A),MATCH(D$1,[2]characters!$1:$1,0)-MATCH($A$1,[2]characters!$1:$1,0)+1),MATCH(D$1,[2]characters!$1:$1,0)-MATCH($A$1,[2]characters!$1:$1,0)+1,FALSE)</f>
        <v>初音ミク・アペンド</v>
      </c>
      <c r="E1179" s="66">
        <v>526</v>
      </c>
      <c r="F1179" s="3" t="str">
        <f ca="1">VLOOKUP($E1179,OFFSET([2]characters!$A$1,0,0,COUNTA([2]characters!$A:$A),MATCH(F$1,[2]characters!$1:$1,0)-MATCH($A$1,[2]characters!$1:$1,0)+1),MATCH(F$1,[2]characters!$1:$1,0)-MATCH($A$1,[2]characters!$1:$1,0)+1,FALSE)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1179" s="66">
        <v>1</v>
      </c>
      <c r="H1179" s="66">
        <v>3</v>
      </c>
      <c r="I1179" s="66">
        <v>1</v>
      </c>
    </row>
    <row r="1180" spans="1:9" x14ac:dyDescent="0.15">
      <c r="A1180" s="66">
        <v>8017</v>
      </c>
      <c r="B1180" s="3" t="str">
        <f ca="1">VLOOKUP($A1180,OFFSET([2]characters!$A$1,0,0,COUNTA([2]characters!$A:$A),MATCH(B$1,[2]characters!$1:$1,0)-MATCH($A$1,[2]characters!$1:$1,0)+1),MATCH(B$1,[2]characters!$1:$1,0)-MATCH($A$1,[2]characters!$1:$1,0)+1,FALSE)</f>
        <v>初音ミク</v>
      </c>
      <c r="C1180" s="93">
        <f ca="1">VLOOKUP($A1180,OFFSET(fork_awake_units!$A$1,0,0,COUNTA(fork_awake_units!$A:$A),MATCH(C$1,fork_awake_units!$1:$1,0)-MATCH($A$1,fork_awake_units!$1:$1,0)+1),MATCH(C$1,fork_awake_units!$1:$1,0)-MATCH($A$1,fork_awake_units!$1:$1,0)+1,FALSE)</f>
        <v>8018</v>
      </c>
      <c r="D1180" s="3" t="str">
        <f ca="1">VLOOKUP($C1180,OFFSET([2]characters!$A$1,0,0,COUNTA([2]characters!$A:$A),MATCH(D$1,[2]characters!$1:$1,0)-MATCH($A$1,[2]characters!$1:$1,0)+1),MATCH(D$1,[2]characters!$1:$1,0)-MATCH($A$1,[2]characters!$1:$1,0)+1,FALSE)</f>
        <v>初音ミク</v>
      </c>
      <c r="E1180" s="66">
        <v>107</v>
      </c>
      <c r="F1180" s="3" t="str">
        <f ca="1">VLOOKUP($E1180,OFFSET([2]characters!$A$1,0,0,COUNTA([2]characters!$A:$A),MATCH(F$1,[2]characters!$1:$1,0)-MATCH($A$1,[2]characters!$1:$1,0)+1),MATCH(F$1,[2]characters!$1:$1,0)-MATCH($A$1,[2]characters!$1:$1,0)+1,FALSE)</f>
        <v>グリーンキャタップ</v>
      </c>
      <c r="G1180" s="66">
        <v>2</v>
      </c>
      <c r="H1180" s="66">
        <v>1</v>
      </c>
      <c r="I1180" s="66">
        <v>1</v>
      </c>
    </row>
    <row r="1181" spans="1:9" x14ac:dyDescent="0.15">
      <c r="A1181" s="66">
        <v>8017</v>
      </c>
      <c r="B1181" s="3" t="str">
        <f ca="1">VLOOKUP($A1181,OFFSET([2]characters!$A$1,0,0,COUNTA([2]characters!$A:$A),MATCH(B$1,[2]characters!$1:$1,0)-MATCH($A$1,[2]characters!$1:$1,0)+1),MATCH(B$1,[2]characters!$1:$1,0)-MATCH($A$1,[2]characters!$1:$1,0)+1,FALSE)</f>
        <v>初音ミク</v>
      </c>
      <c r="C1181" s="93">
        <f ca="1">VLOOKUP($A1181,OFFSET(fork_awake_units!$A$1,0,0,COUNTA(fork_awake_units!$A:$A),MATCH(C$1,fork_awake_units!$1:$1,0)-MATCH($A$1,fork_awake_units!$1:$1,0)+1),MATCH(C$1,fork_awake_units!$1:$1,0)-MATCH($A$1,fork_awake_units!$1:$1,0)+1,FALSE)</f>
        <v>8018</v>
      </c>
      <c r="D1181" s="3" t="str">
        <f ca="1">VLOOKUP($C1181,OFFSET([2]characters!$A$1,0,0,COUNTA([2]characters!$A:$A),MATCH(D$1,[2]characters!$1:$1,0)-MATCH($A$1,[2]characters!$1:$1,0)+1),MATCH(D$1,[2]characters!$1:$1,0)-MATCH($A$1,[2]characters!$1:$1,0)+1,FALSE)</f>
        <v>初音ミク</v>
      </c>
      <c r="E1181" s="66">
        <v>108</v>
      </c>
      <c r="F1181" s="3" t="str">
        <f ca="1">VLOOKUP($E1181,OFFSET([2]characters!$A$1,0,0,COUNTA([2]characters!$A:$A),MATCH(F$1,[2]characters!$1:$1,0)-MATCH($A$1,[2]characters!$1:$1,0)+1),MATCH(F$1,[2]characters!$1:$1,0)-MATCH($A$1,[2]characters!$1:$1,0)+1,FALSE)</f>
        <v>森のマッドハッター</v>
      </c>
      <c r="G1181" s="66">
        <v>1</v>
      </c>
      <c r="H1181" s="66">
        <v>1</v>
      </c>
      <c r="I1181" s="66">
        <v>1</v>
      </c>
    </row>
    <row r="1182" spans="1:9" x14ac:dyDescent="0.15">
      <c r="A1182" s="66">
        <v>8017</v>
      </c>
      <c r="B1182" s="3" t="str">
        <f ca="1">VLOOKUP($A1182,OFFSET([2]characters!$A$1,0,0,COUNTA([2]characters!$A:$A),MATCH(B$1,[2]characters!$1:$1,0)-MATCH($A$1,[2]characters!$1:$1,0)+1),MATCH(B$1,[2]characters!$1:$1,0)-MATCH($A$1,[2]characters!$1:$1,0)+1,FALSE)</f>
        <v>初音ミク</v>
      </c>
      <c r="C1182" s="93">
        <f ca="1">VLOOKUP($A1182,OFFSET(fork_awake_units!$A$1,0,0,COUNTA(fork_awake_units!$A:$A),MATCH(C$1,fork_awake_units!$1:$1,0)-MATCH($A$1,fork_awake_units!$1:$1,0)+1),MATCH(C$1,fork_awake_units!$1:$1,0)-MATCH($A$1,fork_awake_units!$1:$1,0)+1,FALSE)</f>
        <v>8018</v>
      </c>
      <c r="D1182" s="3" t="str">
        <f ca="1">VLOOKUP($C1182,OFFSET([2]characters!$A$1,0,0,COUNTA([2]characters!$A:$A),MATCH(D$1,[2]characters!$1:$1,0)-MATCH($A$1,[2]characters!$1:$1,0)+1),MATCH(D$1,[2]characters!$1:$1,0)-MATCH($A$1,[2]characters!$1:$1,0)+1,FALSE)</f>
        <v>初音ミク</v>
      </c>
      <c r="E1182" s="66">
        <v>525</v>
      </c>
      <c r="F1182" s="3" t="str">
        <f ca="1">VLOOKUP($E1182,OFFSET([2]characters!$A$1,0,0,COUNTA([2]characters!$A:$A),MATCH(F$1,[2]characters!$1:$1,0)-MATCH($A$1,[2]characters!$1:$1,0)+1),MATCH(F$1,[2]characters!$1:$1,0)-MATCH($A$1,[2]characters!$1:$1,0)+1,FALSE)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1182" s="66">
        <v>1</v>
      </c>
      <c r="H1182" s="66">
        <v>5</v>
      </c>
      <c r="I1182" s="66">
        <v>1</v>
      </c>
    </row>
    <row r="1183" spans="1:9" x14ac:dyDescent="0.15">
      <c r="A1183" s="66">
        <v>8017</v>
      </c>
      <c r="B1183" s="3" t="str">
        <f ca="1">VLOOKUP($A1183,OFFSET([2]characters!$A$1,0,0,COUNTA([2]characters!$A:$A),MATCH(B$1,[2]characters!$1:$1,0)-MATCH($A$1,[2]characters!$1:$1,0)+1),MATCH(B$1,[2]characters!$1:$1,0)-MATCH($A$1,[2]characters!$1:$1,0)+1,FALSE)</f>
        <v>初音ミク</v>
      </c>
      <c r="C1183" s="93">
        <f ca="1">VLOOKUP($A1183,OFFSET(fork_awake_units!$A$1,0,0,COUNTA(fork_awake_units!$A:$A),MATCH(C$1,fork_awake_units!$1:$1,0)-MATCH($A$1,fork_awake_units!$1:$1,0)+1),MATCH(C$1,fork_awake_units!$1:$1,0)-MATCH($A$1,fork_awake_units!$1:$1,0)+1,FALSE)</f>
        <v>8018</v>
      </c>
      <c r="D1183" s="3" t="str">
        <f ca="1">VLOOKUP($C1183,OFFSET([2]characters!$A$1,0,0,COUNTA([2]characters!$A:$A),MATCH(D$1,[2]characters!$1:$1,0)-MATCH($A$1,[2]characters!$1:$1,0)+1),MATCH(D$1,[2]characters!$1:$1,0)-MATCH($A$1,[2]characters!$1:$1,0)+1,FALSE)</f>
        <v>初音ミク</v>
      </c>
      <c r="E1183" s="66">
        <v>526</v>
      </c>
      <c r="F1183" s="3" t="str">
        <f ca="1">VLOOKUP($E1183,OFFSET([2]characters!$A$1,0,0,COUNTA([2]characters!$A:$A),MATCH(F$1,[2]characters!$1:$1,0)-MATCH($A$1,[2]characters!$1:$1,0)+1),MATCH(F$1,[2]characters!$1:$1,0)-MATCH($A$1,[2]characters!$1:$1,0)+1,FALSE)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1183" s="66">
        <v>1</v>
      </c>
      <c r="H1183" s="66">
        <v>3</v>
      </c>
      <c r="I1183" s="66">
        <v>1</v>
      </c>
    </row>
    <row r="1184" spans="1:9" x14ac:dyDescent="0.15">
      <c r="A1184" s="66">
        <v>8019</v>
      </c>
      <c r="B1184" s="3" t="str">
        <f ca="1">VLOOKUP($A1184,OFFSET([2]characters!$A$1,0,0,COUNTA([2]characters!$A:$A),MATCH(B$1,[2]characters!$1:$1,0)-MATCH($A$1,[2]characters!$1:$1,0)+1),MATCH(B$1,[2]characters!$1:$1,0)-MATCH($A$1,[2]characters!$1:$1,0)+1,FALSE)</f>
        <v>鏡音リン</v>
      </c>
      <c r="C1184" s="93">
        <f ca="1">VLOOKUP($A1184,OFFSET(fork_awake_units!$A$1,0,0,COUNTA(fork_awake_units!$A:$A),MATCH(C$1,fork_awake_units!$1:$1,0)-MATCH($A$1,fork_awake_units!$1:$1,0)+1),MATCH(C$1,fork_awake_units!$1:$1,0)-MATCH($A$1,fork_awake_units!$1:$1,0)+1,FALSE)</f>
        <v>8020</v>
      </c>
      <c r="D1184" s="3" t="str">
        <f ca="1">VLOOKUP($C1184,OFFSET([2]characters!$A$1,0,0,COUNTA([2]characters!$A:$A),MATCH(D$1,[2]characters!$1:$1,0)-MATCH($A$1,[2]characters!$1:$1,0)+1),MATCH(D$1,[2]characters!$1:$1,0)-MATCH($A$1,[2]characters!$1:$1,0)+1,FALSE)</f>
        <v>鏡音リン</v>
      </c>
      <c r="E1184" s="66">
        <v>115</v>
      </c>
      <c r="F1184" s="3" t="str">
        <f ca="1">VLOOKUP($E1184,OFFSET([2]characters!$A$1,0,0,COUNTA([2]characters!$A:$A),MATCH(F$1,[2]characters!$1:$1,0)-MATCH($A$1,[2]characters!$1:$1,0)+1),MATCH(F$1,[2]characters!$1:$1,0)-MATCH($A$1,[2]characters!$1:$1,0)+1,FALSE)</f>
        <v>イエローキャタップ</v>
      </c>
      <c r="G1184" s="66">
        <v>2</v>
      </c>
      <c r="H1184" s="66">
        <v>1</v>
      </c>
      <c r="I1184" s="66">
        <v>1</v>
      </c>
    </row>
    <row r="1185" spans="1:9" x14ac:dyDescent="0.15">
      <c r="A1185" s="66">
        <v>8019</v>
      </c>
      <c r="B1185" s="3" t="str">
        <f ca="1">VLOOKUP($A1185,OFFSET([2]characters!$A$1,0,0,COUNTA([2]characters!$A:$A),MATCH(B$1,[2]characters!$1:$1,0)-MATCH($A$1,[2]characters!$1:$1,0)+1),MATCH(B$1,[2]characters!$1:$1,0)-MATCH($A$1,[2]characters!$1:$1,0)+1,FALSE)</f>
        <v>鏡音リン</v>
      </c>
      <c r="C1185" s="93">
        <f ca="1">VLOOKUP($A1185,OFFSET(fork_awake_units!$A$1,0,0,COUNTA(fork_awake_units!$A:$A),MATCH(C$1,fork_awake_units!$1:$1,0)-MATCH($A$1,fork_awake_units!$1:$1,0)+1),MATCH(C$1,fork_awake_units!$1:$1,0)-MATCH($A$1,fork_awake_units!$1:$1,0)+1,FALSE)</f>
        <v>8020</v>
      </c>
      <c r="D1185" s="3" t="str">
        <f ca="1">VLOOKUP($C1185,OFFSET([2]characters!$A$1,0,0,COUNTA([2]characters!$A:$A),MATCH(D$1,[2]characters!$1:$1,0)-MATCH($A$1,[2]characters!$1:$1,0)+1),MATCH(D$1,[2]characters!$1:$1,0)-MATCH($A$1,[2]characters!$1:$1,0)+1,FALSE)</f>
        <v>鏡音リン</v>
      </c>
      <c r="E1185" s="66">
        <v>116</v>
      </c>
      <c r="F1185" s="3" t="str">
        <f ca="1">VLOOKUP($E1185,OFFSET([2]characters!$A$1,0,0,COUNTA([2]characters!$A:$A),MATCH(F$1,[2]characters!$1:$1,0)-MATCH($A$1,[2]characters!$1:$1,0)+1),MATCH(F$1,[2]characters!$1:$1,0)-MATCH($A$1,[2]characters!$1:$1,0)+1,FALSE)</f>
        <v>雷のマッドハッター</v>
      </c>
      <c r="G1185" s="66">
        <v>1</v>
      </c>
      <c r="H1185" s="66">
        <v>1</v>
      </c>
      <c r="I1185" s="66">
        <v>1</v>
      </c>
    </row>
    <row r="1186" spans="1:9" x14ac:dyDescent="0.15">
      <c r="A1186" s="66">
        <v>8019</v>
      </c>
      <c r="B1186" s="3" t="str">
        <f ca="1">VLOOKUP($A1186,OFFSET([2]characters!$A$1,0,0,COUNTA([2]characters!$A:$A),MATCH(B$1,[2]characters!$1:$1,0)-MATCH($A$1,[2]characters!$1:$1,0)+1),MATCH(B$1,[2]characters!$1:$1,0)-MATCH($A$1,[2]characters!$1:$1,0)+1,FALSE)</f>
        <v>鏡音リン</v>
      </c>
      <c r="C1186" s="93">
        <f ca="1">VLOOKUP($A1186,OFFSET(fork_awake_units!$A$1,0,0,COUNTA(fork_awake_units!$A:$A),MATCH(C$1,fork_awake_units!$1:$1,0)-MATCH($A$1,fork_awake_units!$1:$1,0)+1),MATCH(C$1,fork_awake_units!$1:$1,0)-MATCH($A$1,fork_awake_units!$1:$1,0)+1,FALSE)</f>
        <v>8020</v>
      </c>
      <c r="D1186" s="3" t="str">
        <f ca="1">VLOOKUP($C1186,OFFSET([2]characters!$A$1,0,0,COUNTA([2]characters!$A:$A),MATCH(D$1,[2]characters!$1:$1,0)-MATCH($A$1,[2]characters!$1:$1,0)+1),MATCH(D$1,[2]characters!$1:$1,0)-MATCH($A$1,[2]characters!$1:$1,0)+1,FALSE)</f>
        <v>鏡音リン</v>
      </c>
      <c r="E1186" s="66">
        <v>525</v>
      </c>
      <c r="F1186" s="3" t="str">
        <f ca="1">VLOOKUP($E1186,OFFSET([2]characters!$A$1,0,0,COUNTA([2]characters!$A:$A),MATCH(F$1,[2]characters!$1:$1,0)-MATCH($A$1,[2]characters!$1:$1,0)+1),MATCH(F$1,[2]characters!$1:$1,0)-MATCH($A$1,[2]characters!$1:$1,0)+1,FALSE)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1186" s="66">
        <v>1</v>
      </c>
      <c r="H1186" s="66">
        <v>3</v>
      </c>
      <c r="I1186" s="66">
        <v>1</v>
      </c>
    </row>
    <row r="1187" spans="1:9" x14ac:dyDescent="0.15">
      <c r="A1187" s="66">
        <v>8019</v>
      </c>
      <c r="B1187" s="3" t="str">
        <f ca="1">VLOOKUP($A1187,OFFSET([2]characters!$A$1,0,0,COUNTA([2]characters!$A:$A),MATCH(B$1,[2]characters!$1:$1,0)-MATCH($A$1,[2]characters!$1:$1,0)+1),MATCH(B$1,[2]characters!$1:$1,0)-MATCH($A$1,[2]characters!$1:$1,0)+1,FALSE)</f>
        <v>鏡音リン</v>
      </c>
      <c r="C1187" s="93">
        <f ca="1">VLOOKUP($A1187,OFFSET(fork_awake_units!$A$1,0,0,COUNTA(fork_awake_units!$A:$A),MATCH(C$1,fork_awake_units!$1:$1,0)-MATCH($A$1,fork_awake_units!$1:$1,0)+1),MATCH(C$1,fork_awake_units!$1:$1,0)-MATCH($A$1,fork_awake_units!$1:$1,0)+1,FALSE)</f>
        <v>8020</v>
      </c>
      <c r="D1187" s="3" t="str">
        <f ca="1">VLOOKUP($C1187,OFFSET([2]characters!$A$1,0,0,COUNTA([2]characters!$A:$A),MATCH(D$1,[2]characters!$1:$1,0)-MATCH($A$1,[2]characters!$1:$1,0)+1),MATCH(D$1,[2]characters!$1:$1,0)-MATCH($A$1,[2]characters!$1:$1,0)+1,FALSE)</f>
        <v>鏡音リン</v>
      </c>
      <c r="E1187" s="66">
        <v>526</v>
      </c>
      <c r="F1187" s="3" t="str">
        <f ca="1">VLOOKUP($E1187,OFFSET([2]characters!$A$1,0,0,COUNTA([2]characters!$A:$A),MATCH(F$1,[2]characters!$1:$1,0)-MATCH($A$1,[2]characters!$1:$1,0)+1),MATCH(F$1,[2]characters!$1:$1,0)-MATCH($A$1,[2]characters!$1:$1,0)+1,FALSE)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1187" s="66">
        <v>1</v>
      </c>
      <c r="H1187" s="66">
        <v>1</v>
      </c>
      <c r="I1187" s="66">
        <v>1</v>
      </c>
    </row>
    <row r="1188" spans="1:9" x14ac:dyDescent="0.15">
      <c r="A1188" s="66">
        <v>8021</v>
      </c>
      <c r="B1188" s="3" t="str">
        <f ca="1">VLOOKUP($A1188,OFFSET([2]characters!$A$1,0,0,COUNTA([2]characters!$A:$A),MATCH(B$1,[2]characters!$1:$1,0)-MATCH($A$1,[2]characters!$1:$1,0)+1),MATCH(B$1,[2]characters!$1:$1,0)-MATCH($A$1,[2]characters!$1:$1,0)+1,FALSE)</f>
        <v>鏡音レン</v>
      </c>
      <c r="C1188" s="93">
        <f ca="1">VLOOKUP($A1188,OFFSET(fork_awake_units!$A$1,0,0,COUNTA(fork_awake_units!$A:$A),MATCH(C$1,fork_awake_units!$1:$1,0)-MATCH($A$1,fork_awake_units!$1:$1,0)+1),MATCH(C$1,fork_awake_units!$1:$1,0)-MATCH($A$1,fork_awake_units!$1:$1,0)+1,FALSE)</f>
        <v>8022</v>
      </c>
      <c r="D1188" s="3" t="str">
        <f ca="1">VLOOKUP($C1188,OFFSET([2]characters!$A$1,0,0,COUNTA([2]characters!$A:$A),MATCH(D$1,[2]characters!$1:$1,0)-MATCH($A$1,[2]characters!$1:$1,0)+1),MATCH(D$1,[2]characters!$1:$1,0)-MATCH($A$1,[2]characters!$1:$1,0)+1,FALSE)</f>
        <v>鏡音レン</v>
      </c>
      <c r="E1188" s="66">
        <v>115</v>
      </c>
      <c r="F1188" s="3" t="str">
        <f ca="1">VLOOKUP($E1188,OFFSET([2]characters!$A$1,0,0,COUNTA([2]characters!$A:$A),MATCH(F$1,[2]characters!$1:$1,0)-MATCH($A$1,[2]characters!$1:$1,0)+1),MATCH(F$1,[2]characters!$1:$1,0)-MATCH($A$1,[2]characters!$1:$1,0)+1,FALSE)</f>
        <v>イエローキャタップ</v>
      </c>
      <c r="G1188" s="66">
        <v>2</v>
      </c>
      <c r="H1188" s="66">
        <v>1</v>
      </c>
      <c r="I1188" s="66">
        <v>1</v>
      </c>
    </row>
    <row r="1189" spans="1:9" x14ac:dyDescent="0.15">
      <c r="A1189" s="66">
        <v>8021</v>
      </c>
      <c r="B1189" s="3" t="str">
        <f ca="1">VLOOKUP($A1189,OFFSET([2]characters!$A$1,0,0,COUNTA([2]characters!$A:$A),MATCH(B$1,[2]characters!$1:$1,0)-MATCH($A$1,[2]characters!$1:$1,0)+1),MATCH(B$1,[2]characters!$1:$1,0)-MATCH($A$1,[2]characters!$1:$1,0)+1,FALSE)</f>
        <v>鏡音レン</v>
      </c>
      <c r="C1189" s="93">
        <f ca="1">VLOOKUP($A1189,OFFSET(fork_awake_units!$A$1,0,0,COUNTA(fork_awake_units!$A:$A),MATCH(C$1,fork_awake_units!$1:$1,0)-MATCH($A$1,fork_awake_units!$1:$1,0)+1),MATCH(C$1,fork_awake_units!$1:$1,0)-MATCH($A$1,fork_awake_units!$1:$1,0)+1,FALSE)</f>
        <v>8022</v>
      </c>
      <c r="D1189" s="3" t="str">
        <f ca="1">VLOOKUP($C1189,OFFSET([2]characters!$A$1,0,0,COUNTA([2]characters!$A:$A),MATCH(D$1,[2]characters!$1:$1,0)-MATCH($A$1,[2]characters!$1:$1,0)+1),MATCH(D$1,[2]characters!$1:$1,0)-MATCH($A$1,[2]characters!$1:$1,0)+1,FALSE)</f>
        <v>鏡音レン</v>
      </c>
      <c r="E1189" s="66">
        <v>116</v>
      </c>
      <c r="F1189" s="3" t="str">
        <f ca="1">VLOOKUP($E1189,OFFSET([2]characters!$A$1,0,0,COUNTA([2]characters!$A:$A),MATCH(F$1,[2]characters!$1:$1,0)-MATCH($A$1,[2]characters!$1:$1,0)+1),MATCH(F$1,[2]characters!$1:$1,0)-MATCH($A$1,[2]characters!$1:$1,0)+1,FALSE)</f>
        <v>雷のマッドハッター</v>
      </c>
      <c r="G1189" s="66">
        <v>1</v>
      </c>
      <c r="H1189" s="66">
        <v>1</v>
      </c>
      <c r="I1189" s="66">
        <v>1</v>
      </c>
    </row>
    <row r="1190" spans="1:9" x14ac:dyDescent="0.15">
      <c r="A1190" s="66">
        <v>8021</v>
      </c>
      <c r="B1190" s="3" t="str">
        <f ca="1">VLOOKUP($A1190,OFFSET([2]characters!$A$1,0,0,COUNTA([2]characters!$A:$A),MATCH(B$1,[2]characters!$1:$1,0)-MATCH($A$1,[2]characters!$1:$1,0)+1),MATCH(B$1,[2]characters!$1:$1,0)-MATCH($A$1,[2]characters!$1:$1,0)+1,FALSE)</f>
        <v>鏡音レン</v>
      </c>
      <c r="C1190" s="93">
        <f ca="1">VLOOKUP($A1190,OFFSET(fork_awake_units!$A$1,0,0,COUNTA(fork_awake_units!$A:$A),MATCH(C$1,fork_awake_units!$1:$1,0)-MATCH($A$1,fork_awake_units!$1:$1,0)+1),MATCH(C$1,fork_awake_units!$1:$1,0)-MATCH($A$1,fork_awake_units!$1:$1,0)+1,FALSE)</f>
        <v>8022</v>
      </c>
      <c r="D1190" s="3" t="str">
        <f ca="1">VLOOKUP($C1190,OFFSET([2]characters!$A$1,0,0,COUNTA([2]characters!$A:$A),MATCH(D$1,[2]characters!$1:$1,0)-MATCH($A$1,[2]characters!$1:$1,0)+1),MATCH(D$1,[2]characters!$1:$1,0)-MATCH($A$1,[2]characters!$1:$1,0)+1,FALSE)</f>
        <v>鏡音レン</v>
      </c>
      <c r="E1190" s="66">
        <v>525</v>
      </c>
      <c r="F1190" s="3" t="str">
        <f ca="1">VLOOKUP($E1190,OFFSET([2]characters!$A$1,0,0,COUNTA([2]characters!$A:$A),MATCH(F$1,[2]characters!$1:$1,0)-MATCH($A$1,[2]characters!$1:$1,0)+1),MATCH(F$1,[2]characters!$1:$1,0)-MATCH($A$1,[2]characters!$1:$1,0)+1,FALSE)</f>
        <v>ウィンタースポーツ 雪ミク</v>
      </c>
      <c r="G1190" s="66">
        <v>1</v>
      </c>
      <c r="H1190" s="66">
        <v>3</v>
      </c>
      <c r="I1190" s="66">
        <v>1</v>
      </c>
    </row>
    <row r="1191" spans="1:9" x14ac:dyDescent="0.15">
      <c r="A1191" s="66">
        <v>8021</v>
      </c>
      <c r="B1191" s="3" t="str">
        <f ca="1">VLOOKUP($A1191,OFFSET([2]characters!$A$1,0,0,COUNTA([2]characters!$A:$A),MATCH(B$1,[2]characters!$1:$1,0)-MATCH($A$1,[2]characters!$1:$1,0)+1),MATCH(B$1,[2]characters!$1:$1,0)-MATCH($A$1,[2]characters!$1:$1,0)+1,FALSE)</f>
        <v>鏡音レン</v>
      </c>
      <c r="C1191" s="93">
        <f ca="1">VLOOKUP($A1191,OFFSET(fork_awake_units!$A$1,0,0,COUNTA(fork_awake_units!$A:$A),MATCH(C$1,fork_awake_units!$1:$1,0)-MATCH($A$1,fork_awake_units!$1:$1,0)+1),MATCH(C$1,fork_awake_units!$1:$1,0)-MATCH($A$1,fork_awake_units!$1:$1,0)+1,FALSE)</f>
        <v>8022</v>
      </c>
      <c r="D1191" s="3" t="str">
        <f ca="1">VLOOKUP($C1191,OFFSET([2]characters!$A$1,0,0,COUNTA([2]characters!$A:$A),MATCH(D$1,[2]characters!$1:$1,0)-MATCH($A$1,[2]characters!$1:$1,0)+1),MATCH(D$1,[2]characters!$1:$1,0)-MATCH($A$1,[2]characters!$1:$1,0)+1,FALSE)</f>
        <v>鏡音レン</v>
      </c>
      <c r="E1191" s="66">
        <v>526</v>
      </c>
      <c r="F1191" s="3" t="str">
        <f ca="1">VLOOKUP($E1191,OFFSET([2]characters!$A$1,0,0,COUNTA([2]characters!$A:$A),MATCH(F$1,[2]characters!$1:$1,0)-MATCH($A$1,[2]characters!$1:$1,0)+1),MATCH(F$1,[2]characters!$1:$1,0)-MATCH($A$1,[2]characters!$1:$1,0)+1,FALSE)</f>
        <v>大滑走 雪ミク&amp;ラビットユキネ</v>
      </c>
      <c r="G1191" s="66">
        <v>1</v>
      </c>
      <c r="H1191" s="66">
        <v>1</v>
      </c>
      <c r="I1191" s="66">
        <v>1</v>
      </c>
    </row>
    <row r="1192" spans="1:9" x14ac:dyDescent="0.15">
      <c r="A1192" s="66">
        <v>8023</v>
      </c>
      <c r="B1192" s="3" t="str">
        <f ca="1">VLOOKUP($A1192,OFFSET([2]characters!$A$1,0,0,COUNTA([2]characters!$A:$A),MATCH(B$1,[2]characters!$1:$1,0)-MATCH($A$1,[2]characters!$1:$1,0)+1),MATCH(B$1,[2]characters!$1:$1,0)-MATCH($A$1,[2]characters!$1:$1,0)+1,FALSE)</f>
        <v>巡音ルカ</v>
      </c>
      <c r="C1192" s="93">
        <f ca="1">VLOOKUP($A1192,OFFSET(fork_awake_units!$A$1,0,0,COUNTA(fork_awake_units!$A:$A),MATCH(C$1,fork_awake_units!$1:$1,0)-MATCH($A$1,fork_awake_units!$1:$1,0)+1),MATCH(C$1,fork_awake_units!$1:$1,0)-MATCH($A$1,fork_awake_units!$1:$1,0)+1,FALSE)</f>
        <v>8024</v>
      </c>
      <c r="D1192" s="3" t="str">
        <f ca="1">VLOOKUP($C1192,OFFSET([2]characters!$A$1,0,0,COUNTA([2]characters!$A:$A),MATCH(D$1,[2]characters!$1:$1,0)-MATCH($A$1,[2]characters!$1:$1,0)+1),MATCH(D$1,[2]characters!$1:$1,0)-MATCH($A$1,[2]characters!$1:$1,0)+1,FALSE)</f>
        <v>巡音ルカ</v>
      </c>
      <c r="E1192" s="66">
        <v>101</v>
      </c>
      <c r="F1192" s="3" t="str">
        <f ca="1">VLOOKUP($E1192,OFFSET([2]characters!$A$1,0,0,COUNTA([2]characters!$A:$A),MATCH(F$1,[2]characters!$1:$1,0)-MATCH($A$1,[2]characters!$1:$1,0)+1),MATCH(F$1,[2]characters!$1:$1,0)-MATCH($A$1,[2]characters!$1:$1,0)+1,FALSE)</f>
        <v>レッドチェシャ</v>
      </c>
      <c r="G1192" s="66">
        <v>3</v>
      </c>
      <c r="H1192" s="66">
        <v>1</v>
      </c>
      <c r="I1192" s="66">
        <v>1</v>
      </c>
    </row>
    <row r="1193" spans="1:9" x14ac:dyDescent="0.15">
      <c r="A1193" s="66">
        <v>8023</v>
      </c>
      <c r="B1193" s="3" t="str">
        <f ca="1">VLOOKUP($A1193,OFFSET([2]characters!$A$1,0,0,COUNTA([2]characters!$A:$A),MATCH(B$1,[2]characters!$1:$1,0)-MATCH($A$1,[2]characters!$1:$1,0)+1),MATCH(B$1,[2]characters!$1:$1,0)-MATCH($A$1,[2]characters!$1:$1,0)+1,FALSE)</f>
        <v>巡音ルカ</v>
      </c>
      <c r="C1193" s="93">
        <f ca="1">VLOOKUP($A1193,OFFSET(fork_awake_units!$A$1,0,0,COUNTA(fork_awake_units!$A:$A),MATCH(C$1,fork_awake_units!$1:$1,0)-MATCH($A$1,fork_awake_units!$1:$1,0)+1),MATCH(C$1,fork_awake_units!$1:$1,0)-MATCH($A$1,fork_awake_units!$1:$1,0)+1,FALSE)</f>
        <v>8024</v>
      </c>
      <c r="D1193" s="3" t="str">
        <f ca="1">VLOOKUP($C1193,OFFSET([2]characters!$A$1,0,0,COUNTA([2]characters!$A:$A),MATCH(D$1,[2]characters!$1:$1,0)-MATCH($A$1,[2]characters!$1:$1,0)+1),MATCH(D$1,[2]characters!$1:$1,0)-MATCH($A$1,[2]characters!$1:$1,0)+1,FALSE)</f>
        <v>巡音ルカ</v>
      </c>
      <c r="E1193" s="66">
        <v>102</v>
      </c>
      <c r="F1193" s="3" t="str">
        <f ca="1">VLOOKUP($E1193,OFFSET([2]characters!$A$1,0,0,COUNTA([2]characters!$A:$A),MATCH(F$1,[2]characters!$1:$1,0)-MATCH($A$1,[2]characters!$1:$1,0)+1),MATCH(F$1,[2]characters!$1:$1,0)-MATCH($A$1,[2]characters!$1:$1,0)+1,FALSE)</f>
        <v>レッドラビット</v>
      </c>
      <c r="G1193" s="66">
        <v>1</v>
      </c>
      <c r="H1193" s="66">
        <v>1</v>
      </c>
      <c r="I1193" s="66">
        <v>1</v>
      </c>
    </row>
    <row r="1194" spans="1:9" x14ac:dyDescent="0.15">
      <c r="A1194" s="66">
        <v>8023</v>
      </c>
      <c r="B1194" s="3" t="str">
        <f ca="1">VLOOKUP($A1194,OFFSET([2]characters!$A$1,0,0,COUNTA([2]characters!$A:$A),MATCH(B$1,[2]characters!$1:$1,0)-MATCH($A$1,[2]characters!$1:$1,0)+1),MATCH(B$1,[2]characters!$1:$1,0)-MATCH($A$1,[2]characters!$1:$1,0)+1,FALSE)</f>
        <v>巡音ルカ</v>
      </c>
      <c r="C1194" s="93">
        <f ca="1">VLOOKUP($A1194,OFFSET(fork_awake_units!$A$1,0,0,COUNTA(fork_awake_units!$A:$A),MATCH(C$1,fork_awake_units!$1:$1,0)-MATCH($A$1,fork_awake_units!$1:$1,0)+1),MATCH(C$1,fork_awake_units!$1:$1,0)-MATCH($A$1,fork_awake_units!$1:$1,0)+1,FALSE)</f>
        <v>8024</v>
      </c>
      <c r="D1194" s="3" t="str">
        <f ca="1">VLOOKUP($C1194,OFFSET([2]characters!$A$1,0,0,COUNTA([2]characters!$A:$A),MATCH(D$1,[2]characters!$1:$1,0)-MATCH($A$1,[2]characters!$1:$1,0)+1),MATCH(D$1,[2]characters!$1:$1,0)-MATCH($A$1,[2]characters!$1:$1,0)+1,FALSE)</f>
        <v>巡音ルカ</v>
      </c>
      <c r="E1194" s="66">
        <v>103</v>
      </c>
      <c r="F1194" s="3" t="str">
        <f ca="1">VLOOKUP($E1194,OFFSET([2]characters!$A$1,0,0,COUNTA([2]characters!$A:$A),MATCH(F$1,[2]characters!$1:$1,0)-MATCH($A$1,[2]characters!$1:$1,0)+1),MATCH(F$1,[2]characters!$1:$1,0)-MATCH($A$1,[2]characters!$1:$1,0)+1,FALSE)</f>
        <v>レッドキャタップ</v>
      </c>
      <c r="G1194" s="66">
        <v>1</v>
      </c>
      <c r="H1194" s="66">
        <v>1</v>
      </c>
      <c r="I1194" s="66">
        <v>1</v>
      </c>
    </row>
    <row r="1195" spans="1:9" x14ac:dyDescent="0.15">
      <c r="A1195" s="66">
        <v>8025</v>
      </c>
      <c r="B1195" s="3" t="str">
        <f ca="1">VLOOKUP($A1195,OFFSET([2]characters!$A$1,0,0,COUNTA([2]characters!$A:$A),MATCH(B$1,[2]characters!$1:$1,0)-MATCH($A$1,[2]characters!$1:$1,0)+1),MATCH(B$1,[2]characters!$1:$1,0)-MATCH($A$1,[2]characters!$1:$1,0)+1,FALSE)</f>
        <v>MEIKO</v>
      </c>
      <c r="C1195" s="93">
        <f ca="1">VLOOKUP($A1195,OFFSET(fork_awake_units!$A$1,0,0,COUNTA(fork_awake_units!$A:$A),MATCH(C$1,fork_awake_units!$1:$1,0)-MATCH($A$1,fork_awake_units!$1:$1,0)+1),MATCH(C$1,fork_awake_units!$1:$1,0)-MATCH($A$1,fork_awake_units!$1:$1,0)+1,FALSE)</f>
        <v>8026</v>
      </c>
      <c r="D1195" s="3" t="str">
        <f ca="1">VLOOKUP($C1195,OFFSET([2]characters!$A$1,0,0,COUNTA([2]characters!$A:$A),MATCH(D$1,[2]characters!$1:$1,0)-MATCH($A$1,[2]characters!$1:$1,0)+1),MATCH(D$1,[2]characters!$1:$1,0)-MATCH($A$1,[2]characters!$1:$1,0)+1,FALSE)</f>
        <v>MEIKO</v>
      </c>
      <c r="E1195" s="66">
        <v>101</v>
      </c>
      <c r="F1195" s="3" t="str">
        <f ca="1">VLOOKUP($E1195,OFFSET([2]characters!$A$1,0,0,COUNTA([2]characters!$A:$A),MATCH(F$1,[2]characters!$1:$1,0)-MATCH($A$1,[2]characters!$1:$1,0)+1),MATCH(F$1,[2]characters!$1:$1,0)-MATCH($A$1,[2]characters!$1:$1,0)+1,FALSE)</f>
        <v>レッドチェシャ</v>
      </c>
      <c r="G1195" s="66">
        <v>3</v>
      </c>
      <c r="H1195" s="66">
        <v>1</v>
      </c>
      <c r="I1195" s="66">
        <v>1</v>
      </c>
    </row>
    <row r="1196" spans="1:9" x14ac:dyDescent="0.15">
      <c r="A1196" s="66">
        <v>8025</v>
      </c>
      <c r="B1196" s="3" t="str">
        <f ca="1">VLOOKUP($A1196,OFFSET([2]characters!$A$1,0,0,COUNTA([2]characters!$A:$A),MATCH(B$1,[2]characters!$1:$1,0)-MATCH($A$1,[2]characters!$1:$1,0)+1),MATCH(B$1,[2]characters!$1:$1,0)-MATCH($A$1,[2]characters!$1:$1,0)+1,FALSE)</f>
        <v>MEIKO</v>
      </c>
      <c r="C1196" s="93">
        <f ca="1">VLOOKUP($A1196,OFFSET(fork_awake_units!$A$1,0,0,COUNTA(fork_awake_units!$A:$A),MATCH(C$1,fork_awake_units!$1:$1,0)-MATCH($A$1,fork_awake_units!$1:$1,0)+1),MATCH(C$1,fork_awake_units!$1:$1,0)-MATCH($A$1,fork_awake_units!$1:$1,0)+1,FALSE)</f>
        <v>8026</v>
      </c>
      <c r="D1196" s="3" t="str">
        <f ca="1">VLOOKUP($C1196,OFFSET([2]characters!$A$1,0,0,COUNTA([2]characters!$A:$A),MATCH(D$1,[2]characters!$1:$1,0)-MATCH($A$1,[2]characters!$1:$1,0)+1),MATCH(D$1,[2]characters!$1:$1,0)-MATCH($A$1,[2]characters!$1:$1,0)+1,FALSE)</f>
        <v>MEIKO</v>
      </c>
      <c r="E1196" s="66">
        <v>102</v>
      </c>
      <c r="F1196" s="3" t="str">
        <f ca="1">VLOOKUP($E1196,OFFSET([2]characters!$A$1,0,0,COUNTA([2]characters!$A:$A),MATCH(F$1,[2]characters!$1:$1,0)-MATCH($A$1,[2]characters!$1:$1,0)+1),MATCH(F$1,[2]characters!$1:$1,0)-MATCH($A$1,[2]characters!$1:$1,0)+1,FALSE)</f>
        <v>レッドラビット</v>
      </c>
      <c r="G1196" s="66">
        <v>1</v>
      </c>
      <c r="H1196" s="66">
        <v>1</v>
      </c>
      <c r="I1196" s="66">
        <v>1</v>
      </c>
    </row>
    <row r="1197" spans="1:9" x14ac:dyDescent="0.15">
      <c r="A1197" s="66">
        <v>8025</v>
      </c>
      <c r="B1197" s="3" t="str">
        <f ca="1">VLOOKUP($A1197,OFFSET([2]characters!$A$1,0,0,COUNTA([2]characters!$A:$A),MATCH(B$1,[2]characters!$1:$1,0)-MATCH($A$1,[2]characters!$1:$1,0)+1),MATCH(B$1,[2]characters!$1:$1,0)-MATCH($A$1,[2]characters!$1:$1,0)+1,FALSE)</f>
        <v>MEIKO</v>
      </c>
      <c r="C1197" s="93">
        <f ca="1">VLOOKUP($A1197,OFFSET(fork_awake_units!$A$1,0,0,COUNTA(fork_awake_units!$A:$A),MATCH(C$1,fork_awake_units!$1:$1,0)-MATCH($A$1,fork_awake_units!$1:$1,0)+1),MATCH(C$1,fork_awake_units!$1:$1,0)-MATCH($A$1,fork_awake_units!$1:$1,0)+1,FALSE)</f>
        <v>8026</v>
      </c>
      <c r="D1197" s="3" t="str">
        <f ca="1">VLOOKUP($C1197,OFFSET([2]characters!$A$1,0,0,COUNTA([2]characters!$A:$A),MATCH(D$1,[2]characters!$1:$1,0)-MATCH($A$1,[2]characters!$1:$1,0)+1),MATCH(D$1,[2]characters!$1:$1,0)-MATCH($A$1,[2]characters!$1:$1,0)+1,FALSE)</f>
        <v>MEIKO</v>
      </c>
      <c r="E1197" s="66">
        <v>103</v>
      </c>
      <c r="F1197" s="3" t="str">
        <f ca="1">VLOOKUP($E1197,OFFSET([2]characters!$A$1,0,0,COUNTA([2]characters!$A:$A),MATCH(F$1,[2]characters!$1:$1,0)-MATCH($A$1,[2]characters!$1:$1,0)+1),MATCH(F$1,[2]characters!$1:$1,0)-MATCH($A$1,[2]characters!$1:$1,0)+1,FALSE)</f>
        <v>レッドキャタップ</v>
      </c>
      <c r="G1197" s="66">
        <v>1</v>
      </c>
      <c r="H1197" s="66">
        <v>1</v>
      </c>
      <c r="I1197" s="66">
        <v>1</v>
      </c>
    </row>
    <row r="1198" spans="1:9" x14ac:dyDescent="0.15">
      <c r="A1198" s="66">
        <v>8027</v>
      </c>
      <c r="B1198" s="3" t="str">
        <f ca="1">VLOOKUP($A1198,OFFSET([2]characters!$A$1,0,0,COUNTA([2]characters!$A:$A),MATCH(B$1,[2]characters!$1:$1,0)-MATCH($A$1,[2]characters!$1:$1,0)+1),MATCH(B$1,[2]characters!$1:$1,0)-MATCH($A$1,[2]characters!$1:$1,0)+1,FALSE)</f>
        <v>KAITO</v>
      </c>
      <c r="C1198" s="93">
        <f ca="1">VLOOKUP($A1198,OFFSET(fork_awake_units!$A$1,0,0,COUNTA(fork_awake_units!$A:$A),MATCH(C$1,fork_awake_units!$1:$1,0)-MATCH($A$1,fork_awake_units!$1:$1,0)+1),MATCH(C$1,fork_awake_units!$1:$1,0)-MATCH($A$1,fork_awake_units!$1:$1,0)+1,FALSE)</f>
        <v>8028</v>
      </c>
      <c r="D1198" s="3" t="str">
        <f ca="1">VLOOKUP($C1198,OFFSET([2]characters!$A$1,0,0,COUNTA([2]characters!$A:$A),MATCH(D$1,[2]characters!$1:$1,0)-MATCH($A$1,[2]characters!$1:$1,0)+1),MATCH(D$1,[2]characters!$1:$1,0)-MATCH($A$1,[2]characters!$1:$1,0)+1,FALSE)</f>
        <v>KAITO</v>
      </c>
      <c r="E1198" s="66">
        <v>109</v>
      </c>
      <c r="F1198" s="3" t="str">
        <f ca="1">VLOOKUP($E1198,OFFSET([2]characters!$A$1,0,0,COUNTA([2]characters!$A:$A),MATCH(F$1,[2]characters!$1:$1,0)-MATCH($A$1,[2]characters!$1:$1,0)+1),MATCH(F$1,[2]characters!$1:$1,0)-MATCH($A$1,[2]characters!$1:$1,0)+1,FALSE)</f>
        <v>ブルーチェシャ</v>
      </c>
      <c r="G1198" s="66">
        <v>3</v>
      </c>
      <c r="H1198" s="66">
        <v>1</v>
      </c>
      <c r="I1198" s="66">
        <v>1</v>
      </c>
    </row>
    <row r="1199" spans="1:9" x14ac:dyDescent="0.15">
      <c r="A1199" s="66">
        <v>8027</v>
      </c>
      <c r="B1199" s="3" t="str">
        <f ca="1">VLOOKUP($A1199,OFFSET([2]characters!$A$1,0,0,COUNTA([2]characters!$A:$A),MATCH(B$1,[2]characters!$1:$1,0)-MATCH($A$1,[2]characters!$1:$1,0)+1),MATCH(B$1,[2]characters!$1:$1,0)-MATCH($A$1,[2]characters!$1:$1,0)+1,FALSE)</f>
        <v>KAITO</v>
      </c>
      <c r="C1199" s="93">
        <f ca="1">VLOOKUP($A1199,OFFSET(fork_awake_units!$A$1,0,0,COUNTA(fork_awake_units!$A:$A),MATCH(C$1,fork_awake_units!$1:$1,0)-MATCH($A$1,fork_awake_units!$1:$1,0)+1),MATCH(C$1,fork_awake_units!$1:$1,0)-MATCH($A$1,fork_awake_units!$1:$1,0)+1,FALSE)</f>
        <v>8028</v>
      </c>
      <c r="D1199" s="3" t="str">
        <f ca="1">VLOOKUP($C1199,OFFSET([2]characters!$A$1,0,0,COUNTA([2]characters!$A:$A),MATCH(D$1,[2]characters!$1:$1,0)-MATCH($A$1,[2]characters!$1:$1,0)+1),MATCH(D$1,[2]characters!$1:$1,0)-MATCH($A$1,[2]characters!$1:$1,0)+1,FALSE)</f>
        <v>KAITO</v>
      </c>
      <c r="E1199" s="66">
        <v>110</v>
      </c>
      <c r="F1199" s="3" t="str">
        <f ca="1">VLOOKUP($E1199,OFFSET([2]characters!$A$1,0,0,COUNTA([2]characters!$A:$A),MATCH(F$1,[2]characters!$1:$1,0)-MATCH($A$1,[2]characters!$1:$1,0)+1),MATCH(F$1,[2]characters!$1:$1,0)-MATCH($A$1,[2]characters!$1:$1,0)+1,FALSE)</f>
        <v>ブルーラビット</v>
      </c>
      <c r="G1199" s="66">
        <v>1</v>
      </c>
      <c r="H1199" s="66">
        <v>1</v>
      </c>
      <c r="I1199" s="66">
        <v>1</v>
      </c>
    </row>
    <row r="1200" spans="1:9" x14ac:dyDescent="0.15">
      <c r="A1200" s="66">
        <v>8027</v>
      </c>
      <c r="B1200" s="3" t="str">
        <f ca="1">VLOOKUP($A1200,OFFSET([2]characters!$A$1,0,0,COUNTA([2]characters!$A:$A),MATCH(B$1,[2]characters!$1:$1,0)-MATCH($A$1,[2]characters!$1:$1,0)+1),MATCH(B$1,[2]characters!$1:$1,0)-MATCH($A$1,[2]characters!$1:$1,0)+1,FALSE)</f>
        <v>KAITO</v>
      </c>
      <c r="C1200" s="93">
        <f ca="1">VLOOKUP($A1200,OFFSET(fork_awake_units!$A$1,0,0,COUNTA(fork_awake_units!$A:$A),MATCH(C$1,fork_awake_units!$1:$1,0)-MATCH($A$1,fork_awake_units!$1:$1,0)+1),MATCH(C$1,fork_awake_units!$1:$1,0)-MATCH($A$1,fork_awake_units!$1:$1,0)+1,FALSE)</f>
        <v>8028</v>
      </c>
      <c r="D1200" s="3" t="str">
        <f ca="1">VLOOKUP($C1200,OFFSET([2]characters!$A$1,0,0,COUNTA([2]characters!$A:$A),MATCH(D$1,[2]characters!$1:$1,0)-MATCH($A$1,[2]characters!$1:$1,0)+1),MATCH(D$1,[2]characters!$1:$1,0)-MATCH($A$1,[2]characters!$1:$1,0)+1,FALSE)</f>
        <v>KAITO</v>
      </c>
      <c r="E1200" s="66">
        <v>111</v>
      </c>
      <c r="F1200" s="3" t="str">
        <f ca="1">VLOOKUP($E1200,OFFSET([2]characters!$A$1,0,0,COUNTA([2]characters!$A:$A),MATCH(F$1,[2]characters!$1:$1,0)-MATCH($A$1,[2]characters!$1:$1,0)+1),MATCH(F$1,[2]characters!$1:$1,0)-MATCH($A$1,[2]characters!$1:$1,0)+1,FALSE)</f>
        <v>ブルーキャタップ</v>
      </c>
      <c r="G1200" s="66">
        <v>1</v>
      </c>
      <c r="H1200" s="66">
        <v>1</v>
      </c>
      <c r="I1200" s="66">
        <v>1</v>
      </c>
    </row>
    <row r="1201" spans="1:9" x14ac:dyDescent="0.15">
      <c r="A1201" s="66">
        <v>929</v>
      </c>
      <c r="B1201" s="3" t="str">
        <f ca="1">VLOOKUP($A1201,OFFSET([2]characters!$A$1,0,0,COUNTA([2]characters!$A:$A),MATCH(B$1,[2]characters!$1:$1,0)-MATCH($A$1,[2]characters!$1:$1,0)+1),MATCH(B$1,[2]characters!$1:$1,0)-MATCH($A$1,[2]characters!$1:$1,0)+1,FALSE)</f>
        <v>ゼウス</v>
      </c>
      <c r="C1201" s="93">
        <f ca="1">VLOOKUP($A1201,OFFSET(fork_awake_units!$A$1,0,0,COUNTA(fork_awake_units!$A:$A),MATCH(C$1,fork_awake_units!$1:$1,0)-MATCH($A$1,fork_awake_units!$1:$1,0)+1),MATCH(C$1,fork_awake_units!$1:$1,0)-MATCH($A$1,fork_awake_units!$1:$1,0)+1,FALSE)</f>
        <v>930</v>
      </c>
      <c r="D1201" s="3" t="str">
        <f ca="1">VLOOKUP($C1201,OFFSET([2]characters!$A$1,0,0,COUNTA([2]characters!$A:$A),MATCH(D$1,[2]characters!$1:$1,0)-MATCH($A$1,[2]characters!$1:$1,0)+1),MATCH(D$1,[2]characters!$1:$1,0)-MATCH($A$1,[2]characters!$1:$1,0)+1,FALSE)</f>
        <v>烙雷の全能神 ゼウス</v>
      </c>
      <c r="E1201" s="22">
        <v>837</v>
      </c>
      <c r="F1201" s="3" t="str">
        <f ca="1">VLOOKUP($E1201,OFFSET([2]characters!$A$1,0,0,COUNTA([2]characters!$A:$A),MATCH(F$1,[2]characters!$1:$1,0)-MATCH($A$1,[2]characters!$1:$1,0)+1),MATCH(F$1,[2]characters!$1:$1,0)-MATCH($A$1,[2]characters!$1:$1,0)+1,FALSE)</f>
        <v>リトルハンプティ</v>
      </c>
      <c r="G1201" s="8">
        <v>1</v>
      </c>
      <c r="H1201" s="94">
        <v>1</v>
      </c>
      <c r="I1201" s="66">
        <v>100</v>
      </c>
    </row>
    <row r="1202" spans="1:9" x14ac:dyDescent="0.15">
      <c r="A1202" s="66">
        <v>929</v>
      </c>
      <c r="B1202" s="3" t="str">
        <f ca="1">VLOOKUP($A1202,OFFSET([2]characters!$A$1,0,0,COUNTA([2]characters!$A:$A),MATCH(B$1,[2]characters!$1:$1,0)-MATCH($A$1,[2]characters!$1:$1,0)+1),MATCH(B$1,[2]characters!$1:$1,0)-MATCH($A$1,[2]characters!$1:$1,0)+1,FALSE)</f>
        <v>ゼウス</v>
      </c>
      <c r="C1202" s="93">
        <f ca="1">VLOOKUP($A1202,OFFSET(fork_awake_units!$A$1,0,0,COUNTA(fork_awake_units!$A:$A),MATCH(C$1,fork_awake_units!$1:$1,0)-MATCH($A$1,fork_awake_units!$1:$1,0)+1),MATCH(C$1,fork_awake_units!$1:$1,0)-MATCH($A$1,fork_awake_units!$1:$1,0)+1,FALSE)</f>
        <v>930</v>
      </c>
      <c r="D1202" s="3" t="str">
        <f ca="1">VLOOKUP($C1202,OFFSET([2]characters!$A$1,0,0,COUNTA([2]characters!$A:$A),MATCH(D$1,[2]characters!$1:$1,0)-MATCH($A$1,[2]characters!$1:$1,0)+1),MATCH(D$1,[2]characters!$1:$1,0)-MATCH($A$1,[2]characters!$1:$1,0)+1,FALSE)</f>
        <v>烙雷の全能神 ゼウス</v>
      </c>
      <c r="E1202" s="22">
        <v>490</v>
      </c>
      <c r="F1202" s="3" t="str">
        <f ca="1">VLOOKUP($E1202,OFFSET([2]characters!$A$1,0,0,COUNTA([2]characters!$A:$A),MATCH(F$1,[2]characters!$1:$1,0)-MATCH($A$1,[2]characters!$1:$1,0)+1),MATCH(F$1,[2]characters!$1:$1,0)-MATCH($A$1,[2]characters!$1:$1,0)+1,FALSE)</f>
        <v>グリム</v>
      </c>
      <c r="G1202" s="8">
        <v>1</v>
      </c>
      <c r="H1202" s="94">
        <v>1</v>
      </c>
      <c r="I1202" s="66">
        <v>1</v>
      </c>
    </row>
    <row r="1203" spans="1:9" x14ac:dyDescent="0.15">
      <c r="A1203" s="66">
        <v>929</v>
      </c>
      <c r="B1203" s="3" t="str">
        <f ca="1">VLOOKUP($A1203,OFFSET([2]characters!$A$1,0,0,COUNTA([2]characters!$A:$A),MATCH(B$1,[2]characters!$1:$1,0)-MATCH($A$1,[2]characters!$1:$1,0)+1),MATCH(B$1,[2]characters!$1:$1,0)-MATCH($A$1,[2]characters!$1:$1,0)+1,FALSE)</f>
        <v>ゼウス</v>
      </c>
      <c r="C1203" s="93">
        <f ca="1">VLOOKUP($A1203,OFFSET(fork_awake_units!$A$1,0,0,COUNTA(fork_awake_units!$A:$A),MATCH(C$1,fork_awake_units!$1:$1,0)-MATCH($A$1,fork_awake_units!$1:$1,0)+1),MATCH(C$1,fork_awake_units!$1:$1,0)-MATCH($A$1,fork_awake_units!$1:$1,0)+1,FALSE)</f>
        <v>930</v>
      </c>
      <c r="D1203" s="3" t="str">
        <f ca="1">VLOOKUP($C1203,OFFSET([2]characters!$A$1,0,0,COUNTA([2]characters!$A:$A),MATCH(D$1,[2]characters!$1:$1,0)-MATCH($A$1,[2]characters!$1:$1,0)+1),MATCH(D$1,[2]characters!$1:$1,0)-MATCH($A$1,[2]characters!$1:$1,0)+1,FALSE)</f>
        <v>烙雷の全能神 ゼウス</v>
      </c>
      <c r="E1203" s="22">
        <v>724</v>
      </c>
      <c r="F1203" s="3" t="str">
        <f ca="1">VLOOKUP($E1203,OFFSET([2]characters!$A$1,0,0,COUNTA([2]characters!$A:$A),MATCH(F$1,[2]characters!$1:$1,0)-MATCH($A$1,[2]characters!$1:$1,0)+1),MATCH(F$1,[2]characters!$1:$1,0)-MATCH($A$1,[2]characters!$1:$1,0)+1,FALSE)</f>
        <v>武田信玄</v>
      </c>
      <c r="G1203" s="8">
        <v>1</v>
      </c>
      <c r="H1203" s="94">
        <v>1</v>
      </c>
      <c r="I1203" s="66">
        <v>1</v>
      </c>
    </row>
    <row r="1204" spans="1:9" x14ac:dyDescent="0.15">
      <c r="A1204" s="66">
        <v>929</v>
      </c>
      <c r="B1204" s="3" t="str">
        <f ca="1">VLOOKUP($A1204,OFFSET([2]characters!$A$1,0,0,COUNTA([2]characters!$A:$A),MATCH(B$1,[2]characters!$1:$1,0)-MATCH($A$1,[2]characters!$1:$1,0)+1),MATCH(B$1,[2]characters!$1:$1,0)-MATCH($A$1,[2]characters!$1:$1,0)+1,FALSE)</f>
        <v>ゼウス</v>
      </c>
      <c r="C1204" s="93">
        <f ca="1">VLOOKUP($A1204,OFFSET(fork_awake_units!$A$1,0,0,COUNTA(fork_awake_units!$A:$A),MATCH(C$1,fork_awake_units!$1:$1,0)-MATCH($A$1,fork_awake_units!$1:$1,0)+1),MATCH(C$1,fork_awake_units!$1:$1,0)-MATCH($A$1,fork_awake_units!$1:$1,0)+1,FALSE)</f>
        <v>930</v>
      </c>
      <c r="D1204" s="3" t="str">
        <f ca="1">VLOOKUP($C1204,OFFSET([2]characters!$A$1,0,0,COUNTA([2]characters!$A:$A),MATCH(D$1,[2]characters!$1:$1,0)-MATCH($A$1,[2]characters!$1:$1,0)+1),MATCH(D$1,[2]characters!$1:$1,0)-MATCH($A$1,[2]characters!$1:$1,0)+1,FALSE)</f>
        <v>烙雷の全能神 ゼウス</v>
      </c>
      <c r="E1204" s="22">
        <v>860</v>
      </c>
      <c r="F1204" s="3" t="str">
        <f ca="1">VLOOKUP($E1204,OFFSET([2]characters!$A$1,0,0,COUNTA([2]characters!$A:$A),MATCH(F$1,[2]characters!$1:$1,0)-MATCH($A$1,[2]characters!$1:$1,0)+1),MATCH(F$1,[2]characters!$1:$1,0)-MATCH($A$1,[2]characters!$1:$1,0)+1,FALSE)</f>
        <v>叶望の幻燈 ジーナ</v>
      </c>
      <c r="G1204" s="8">
        <v>1</v>
      </c>
      <c r="H1204" s="94">
        <v>1</v>
      </c>
      <c r="I1204" s="66">
        <v>1</v>
      </c>
    </row>
    <row r="1205" spans="1:9" x14ac:dyDescent="0.15">
      <c r="A1205" s="66">
        <v>929</v>
      </c>
      <c r="B1205" s="3" t="str">
        <f ca="1">VLOOKUP($A1205,OFFSET([2]characters!$A$1,0,0,COUNTA([2]characters!$A:$A),MATCH(B$1,[2]characters!$1:$1,0)-MATCH($A$1,[2]characters!$1:$1,0)+1),MATCH(B$1,[2]characters!$1:$1,0)-MATCH($A$1,[2]characters!$1:$1,0)+1,FALSE)</f>
        <v>ゼウス</v>
      </c>
      <c r="C1205" s="93">
        <f ca="1">VLOOKUP($A1205,OFFSET(fork_awake_units!$A$1,0,0,COUNTA(fork_awake_units!$A:$A),MATCH(C$1,fork_awake_units!$1:$1,0)-MATCH($A$1,fork_awake_units!$1:$1,0)+1),MATCH(C$1,fork_awake_units!$1:$1,0)-MATCH($A$1,fork_awake_units!$1:$1,0)+1,FALSE)</f>
        <v>930</v>
      </c>
      <c r="D1205" s="3" t="str">
        <f ca="1">VLOOKUP($C1205,OFFSET([2]characters!$A$1,0,0,COUNTA([2]characters!$A:$A),MATCH(D$1,[2]characters!$1:$1,0)-MATCH($A$1,[2]characters!$1:$1,0)+1),MATCH(D$1,[2]characters!$1:$1,0)-MATCH($A$1,[2]characters!$1:$1,0)+1,FALSE)</f>
        <v>烙雷の全能神 ゼウス</v>
      </c>
      <c r="E1205" s="22">
        <v>740</v>
      </c>
      <c r="F1205" s="3" t="str">
        <f ca="1">VLOOKUP($E1205,OFFSET([2]characters!$A$1,0,0,COUNTA([2]characters!$A:$A),MATCH(F$1,[2]characters!$1:$1,0)-MATCH($A$1,[2]characters!$1:$1,0)+1),MATCH(F$1,[2]characters!$1:$1,0)-MATCH($A$1,[2]characters!$1:$1,0)+1,FALSE)</f>
        <v>テュポーン</v>
      </c>
      <c r="G1205" s="8">
        <v>1</v>
      </c>
      <c r="H1205" s="94">
        <v>1</v>
      </c>
      <c r="I1205" s="66">
        <v>1</v>
      </c>
    </row>
    <row r="1206" spans="1:9" x14ac:dyDescent="0.15">
      <c r="A1206" s="66">
        <v>1053</v>
      </c>
      <c r="B1206" s="3" t="str">
        <f ca="1">VLOOKUP($A1206,OFFSET([2]characters!$A$1,0,0,COUNTA([2]characters!$A:$A),MATCH(B$1,[2]characters!$1:$1,0)-MATCH($A$1,[2]characters!$1:$1,0)+1),MATCH(B$1,[2]characters!$1:$1,0)-MATCH($A$1,[2]characters!$1:$1,0)+1,FALSE)</f>
        <v>常夏の眩獣 麒麟</v>
      </c>
      <c r="C1206" s="93">
        <f ca="1">VLOOKUP($A1206,OFFSET(fork_awake_units!$A$1,0,0,COUNTA(fork_awake_units!$A:$A),MATCH(C$1,fork_awake_units!$1:$1,0)-MATCH($A$1,fork_awake_units!$1:$1,0)+1),MATCH(C$1,fork_awake_units!$1:$1,0)-MATCH($A$1,fork_awake_units!$1:$1,0)+1,FALSE)</f>
        <v>1054</v>
      </c>
      <c r="D1206" s="3" t="str">
        <f ca="1">VLOOKUP($C1206,OFFSET([2]characters!$A$1,0,0,COUNTA([2]characters!$A:$A),MATCH(D$1,[2]characters!$1:$1,0)-MATCH($A$1,[2]characters!$1:$1,0)+1),MATCH(D$1,[2]characters!$1:$1,0)-MATCH($A$1,[2]characters!$1:$1,0)+1,FALSE)</f>
        <v>炎陽の臨海 麒麟</v>
      </c>
      <c r="E1206" s="22">
        <v>837</v>
      </c>
      <c r="F1206" s="3" t="str">
        <f ca="1">VLOOKUP($E1206,OFFSET([2]characters!$A$1,0,0,COUNTA([2]characters!$A:$A),MATCH(F$1,[2]characters!$1:$1,0)-MATCH($A$1,[2]characters!$1:$1,0)+1),MATCH(F$1,[2]characters!$1:$1,0)-MATCH($A$1,[2]characters!$1:$1,0)+1,FALSE)</f>
        <v>リトルハンプティ</v>
      </c>
      <c r="G1206" s="8">
        <v>1</v>
      </c>
      <c r="H1206" s="94">
        <v>1</v>
      </c>
      <c r="I1206" s="66">
        <v>100</v>
      </c>
    </row>
    <row r="1207" spans="1:9" x14ac:dyDescent="0.15">
      <c r="A1207" s="66">
        <v>1053</v>
      </c>
      <c r="B1207" s="3" t="str">
        <f ca="1">VLOOKUP($A1207,OFFSET([2]characters!$A$1,0,0,COUNTA([2]characters!$A:$A),MATCH(B$1,[2]characters!$1:$1,0)-MATCH($A$1,[2]characters!$1:$1,0)+1),MATCH(B$1,[2]characters!$1:$1,0)-MATCH($A$1,[2]characters!$1:$1,0)+1,FALSE)</f>
        <v>常夏の眩獣 麒麟</v>
      </c>
      <c r="C1207" s="93">
        <f ca="1">VLOOKUP($A1207,OFFSET(fork_awake_units!$A$1,0,0,COUNTA(fork_awake_units!$A:$A),MATCH(C$1,fork_awake_units!$1:$1,0)-MATCH($A$1,fork_awake_units!$1:$1,0)+1),MATCH(C$1,fork_awake_units!$1:$1,0)-MATCH($A$1,fork_awake_units!$1:$1,0)+1,FALSE)</f>
        <v>1054</v>
      </c>
      <c r="D1207" s="3" t="str">
        <f ca="1">VLOOKUP($C1207,OFFSET([2]characters!$A$1,0,0,COUNTA([2]characters!$A:$A),MATCH(D$1,[2]characters!$1:$1,0)-MATCH($A$1,[2]characters!$1:$1,0)+1),MATCH(D$1,[2]characters!$1:$1,0)-MATCH($A$1,[2]characters!$1:$1,0)+1,FALSE)</f>
        <v>炎陽の臨海 麒麟</v>
      </c>
      <c r="E1207" s="66">
        <v>104</v>
      </c>
      <c r="F1207" s="3" t="str">
        <f ca="1">VLOOKUP($E1207,OFFSET([2]characters!$A$1,0,0,COUNTA([2]characters!$A:$A),MATCH(F$1,[2]characters!$1:$1,0)-MATCH($A$1,[2]characters!$1:$1,0)+1),MATCH(F$1,[2]characters!$1:$1,0)-MATCH($A$1,[2]characters!$1:$1,0)+1,FALSE)</f>
        <v>炎のマッドハッター</v>
      </c>
      <c r="G1207" s="8">
        <v>1</v>
      </c>
      <c r="H1207" s="94">
        <v>1</v>
      </c>
      <c r="I1207" s="66">
        <v>1</v>
      </c>
    </row>
    <row r="1208" spans="1:9" x14ac:dyDescent="0.15">
      <c r="A1208" s="66">
        <v>1053</v>
      </c>
      <c r="B1208" s="3" t="str">
        <f ca="1">VLOOKUP($A1208,OFFSET([2]characters!$A$1,0,0,COUNTA([2]characters!$A:$A),MATCH(B$1,[2]characters!$1:$1,0)-MATCH($A$1,[2]characters!$1:$1,0)+1),MATCH(B$1,[2]characters!$1:$1,0)-MATCH($A$1,[2]characters!$1:$1,0)+1,FALSE)</f>
        <v>常夏の眩獣 麒麟</v>
      </c>
      <c r="C1208" s="93">
        <f ca="1">VLOOKUP($A1208,OFFSET(fork_awake_units!$A$1,0,0,COUNTA(fork_awake_units!$A:$A),MATCH(C$1,fork_awake_units!$1:$1,0)-MATCH($A$1,fork_awake_units!$1:$1,0)+1),MATCH(C$1,fork_awake_units!$1:$1,0)-MATCH($A$1,fork_awake_units!$1:$1,0)+1,FALSE)</f>
        <v>1054</v>
      </c>
      <c r="D1208" s="3" t="str">
        <f ca="1">VLOOKUP($C1208,OFFSET([2]characters!$A$1,0,0,COUNTA([2]characters!$A:$A),MATCH(D$1,[2]characters!$1:$1,0)-MATCH($A$1,[2]characters!$1:$1,0)+1),MATCH(D$1,[2]characters!$1:$1,0)-MATCH($A$1,[2]characters!$1:$1,0)+1,FALSE)</f>
        <v>炎陽の臨海 麒麟</v>
      </c>
      <c r="E1208" s="22">
        <v>418</v>
      </c>
      <c r="F1208" s="3" t="str">
        <f ca="1">VLOOKUP($E1208,OFFSET([2]characters!$A$1,0,0,COUNTA([2]characters!$A:$A),MATCH(F$1,[2]characters!$1:$1,0)-MATCH($A$1,[2]characters!$1:$1,0)+1),MATCH(F$1,[2]characters!$1:$1,0)-MATCH($A$1,[2]characters!$1:$1,0)+1,FALSE)</f>
        <v>ウラシマ</v>
      </c>
      <c r="G1208" s="8">
        <v>1</v>
      </c>
      <c r="H1208" s="94">
        <v>1</v>
      </c>
      <c r="I1208" s="66">
        <v>1</v>
      </c>
    </row>
    <row r="1209" spans="1:9" x14ac:dyDescent="0.15">
      <c r="A1209" s="66">
        <v>1053</v>
      </c>
      <c r="B1209" s="3" t="str">
        <f ca="1">VLOOKUP($A1209,OFFSET([2]characters!$A$1,0,0,COUNTA([2]characters!$A:$A),MATCH(B$1,[2]characters!$1:$1,0)-MATCH($A$1,[2]characters!$1:$1,0)+1),MATCH(B$1,[2]characters!$1:$1,0)-MATCH($A$1,[2]characters!$1:$1,0)+1,FALSE)</f>
        <v>常夏の眩獣 麒麟</v>
      </c>
      <c r="C1209" s="93">
        <f ca="1">VLOOKUP($A1209,OFFSET(fork_awake_units!$A$1,0,0,COUNTA(fork_awake_units!$A:$A),MATCH(C$1,fork_awake_units!$1:$1,0)-MATCH($A$1,fork_awake_units!$1:$1,0)+1),MATCH(C$1,fork_awake_units!$1:$1,0)-MATCH($A$1,fork_awake_units!$1:$1,0)+1,FALSE)</f>
        <v>1054</v>
      </c>
      <c r="D1209" s="3" t="str">
        <f ca="1">VLOOKUP($C1209,OFFSET([2]characters!$A$1,0,0,COUNTA([2]characters!$A:$A),MATCH(D$1,[2]characters!$1:$1,0)-MATCH($A$1,[2]characters!$1:$1,0)+1),MATCH(D$1,[2]characters!$1:$1,0)-MATCH($A$1,[2]characters!$1:$1,0)+1,FALSE)</f>
        <v>炎陽の臨海 麒麟</v>
      </c>
      <c r="E1209" s="22">
        <v>290</v>
      </c>
      <c r="F1209" s="3" t="str">
        <f ca="1">VLOOKUP($E1209,OFFSET([2]characters!$A$1,0,0,COUNTA([2]characters!$A:$A),MATCH(F$1,[2]characters!$1:$1,0)-MATCH($A$1,[2]characters!$1:$1,0)+1),MATCH(F$1,[2]characters!$1:$1,0)-MATCH($A$1,[2]characters!$1:$1,0)+1,FALSE)</f>
        <v>ウィッチ・オクトパス</v>
      </c>
      <c r="G1209" s="8">
        <v>1</v>
      </c>
      <c r="H1209" s="94">
        <v>1</v>
      </c>
      <c r="I1209" s="66">
        <v>1</v>
      </c>
    </row>
    <row r="1210" spans="1:9" x14ac:dyDescent="0.15">
      <c r="A1210" s="66">
        <f>A1117+7144</f>
        <v>8043</v>
      </c>
      <c r="B1210" s="3" t="str">
        <f ca="1">VLOOKUP($A1210,OFFSET([2]characters!$A$1,0,0,COUNTA([2]characters!$A:$A),MATCH(B$1,[2]characters!$1:$1,0)-MATCH($A$1,[2]characters!$1:$1,0)+1),MATCH(B$1,[2]characters!$1:$1,0)-MATCH($A$1,[2]characters!$1:$1,0)+1,FALSE)</f>
        <v>サンリオキャラ大集合+アザゼル</v>
      </c>
      <c r="C1210" s="93">
        <f ca="1">VLOOKUP($A1210,OFFSET(fork_awake_units!$A$1,0,0,COUNTA(fork_awake_units!$A:$A),MATCH(C$1,fork_awake_units!$1:$1,0)-MATCH($A$1,fork_awake_units!$1:$1,0)+1),MATCH(C$1,fork_awake_units!$1:$1,0)-MATCH($A$1,fork_awake_units!$1:$1,0)+1,FALSE)</f>
        <v>8044</v>
      </c>
      <c r="D1210" s="3" t="str">
        <f ca="1">VLOOKUP($C1210,OFFSET([2]characters!$A$1,0,0,COUNTA([2]characters!$A:$A),MATCH(D$1,[2]characters!$1:$1,0)-MATCH($A$1,[2]characters!$1:$1,0)+1),MATCH(D$1,[2]characters!$1:$1,0)-MATCH($A$1,[2]characters!$1:$1,0)+1,FALSE)</f>
        <v>サンリオキャラ大集合+アザゼル</v>
      </c>
      <c r="E1210" s="66">
        <v>837</v>
      </c>
      <c r="F1210" s="3" t="str">
        <f ca="1">VLOOKUP($E1210,OFFSET([2]characters!$A$1,0,0,COUNTA([2]characters!$A:$A),MATCH(F$1,[2]characters!$1:$1,0)-MATCH($A$1,[2]characters!$1:$1,0)+1),MATCH(F$1,[2]characters!$1:$1,0)-MATCH($A$1,[2]characters!$1:$1,0)+1,FALSE)</f>
        <v>リトルハンプティ</v>
      </c>
      <c r="G1210" s="66">
        <v>1</v>
      </c>
      <c r="H1210" s="66">
        <v>1</v>
      </c>
      <c r="I1210" s="66">
        <v>1</v>
      </c>
    </row>
    <row r="1211" spans="1:9" x14ac:dyDescent="0.15">
      <c r="A1211" s="66">
        <f t="shared" ref="A1211:A1254" si="0">A1118+7144</f>
        <v>8043</v>
      </c>
      <c r="B1211" s="3" t="str">
        <f ca="1">VLOOKUP($A1211,OFFSET([2]characters!$A$1,0,0,COUNTA([2]characters!$A:$A),MATCH(B$1,[2]characters!$1:$1,0)-MATCH($A$1,[2]characters!$1:$1,0)+1),MATCH(B$1,[2]characters!$1:$1,0)-MATCH($A$1,[2]characters!$1:$1,0)+1,FALSE)</f>
        <v>サンリオキャラ大集合+アザゼル</v>
      </c>
      <c r="C1211" s="93">
        <f ca="1">VLOOKUP($A1211,OFFSET(fork_awake_units!$A$1,0,0,COUNTA(fork_awake_units!$A:$A),MATCH(C$1,fork_awake_units!$1:$1,0)-MATCH($A$1,fork_awake_units!$1:$1,0)+1),MATCH(C$1,fork_awake_units!$1:$1,0)-MATCH($A$1,fork_awake_units!$1:$1,0)+1,FALSE)</f>
        <v>8044</v>
      </c>
      <c r="D1211" s="3" t="str">
        <f ca="1">VLOOKUP($C1211,OFFSET([2]characters!$A$1,0,0,COUNTA([2]characters!$A:$A),MATCH(D$1,[2]characters!$1:$1,0)-MATCH($A$1,[2]characters!$1:$1,0)+1),MATCH(D$1,[2]characters!$1:$1,0)-MATCH($A$1,[2]characters!$1:$1,0)+1,FALSE)</f>
        <v>サンリオキャラ大集合+アザゼル</v>
      </c>
      <c r="E1211" s="66">
        <v>8051</v>
      </c>
      <c r="F1211" s="3" t="str">
        <f ca="1">VLOOKUP($E1211,OFFSET([2]characters!$A$1,0,0,COUNTA([2]characters!$A:$A),MATCH(F$1,[2]characters!$1:$1,0)-MATCH($A$1,[2]characters!$1:$1,0)+1),MATCH(F$1,[2]characters!$1:$1,0)-MATCH($A$1,[2]characters!$1:$1,0)+1,FALSE)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211" s="66">
        <v>1</v>
      </c>
      <c r="H1211" s="66">
        <v>4</v>
      </c>
      <c r="I1211" s="66">
        <v>1</v>
      </c>
    </row>
    <row r="1212" spans="1:9" x14ac:dyDescent="0.15">
      <c r="A1212" s="66">
        <f t="shared" si="0"/>
        <v>8043</v>
      </c>
      <c r="B1212" s="3" t="str">
        <f ca="1">VLOOKUP($A1212,OFFSET([2]characters!$A$1,0,0,COUNTA([2]characters!$A:$A),MATCH(B$1,[2]characters!$1:$1,0)-MATCH($A$1,[2]characters!$1:$1,0)+1),MATCH(B$1,[2]characters!$1:$1,0)-MATCH($A$1,[2]characters!$1:$1,0)+1,FALSE)</f>
        <v>サンリオキャラ大集合+アザゼル</v>
      </c>
      <c r="C1212" s="93">
        <f ca="1">VLOOKUP($A1212,OFFSET(fork_awake_units!$A$1,0,0,COUNTA(fork_awake_units!$A:$A),MATCH(C$1,fork_awake_units!$1:$1,0)-MATCH($A$1,fork_awake_units!$1:$1,0)+1),MATCH(C$1,fork_awake_units!$1:$1,0)-MATCH($A$1,fork_awake_units!$1:$1,0)+1,FALSE)</f>
        <v>8044</v>
      </c>
      <c r="D1212" s="3" t="str">
        <f ca="1">VLOOKUP($C1212,OFFSET([2]characters!$A$1,0,0,COUNTA([2]characters!$A:$A),MATCH(D$1,[2]characters!$1:$1,0)-MATCH($A$1,[2]characters!$1:$1,0)+1),MATCH(D$1,[2]characters!$1:$1,0)-MATCH($A$1,[2]characters!$1:$1,0)+1,FALSE)</f>
        <v>サンリオキャラ大集合+アザゼル</v>
      </c>
      <c r="E1212" s="66">
        <v>8052</v>
      </c>
      <c r="F1212" s="3" t="str">
        <f ca="1">VLOOKUP($E1212,OFFSET([2]characters!$A$1,0,0,COUNTA([2]characters!$A:$A),MATCH(F$1,[2]characters!$1:$1,0)-MATCH($A$1,[2]characters!$1:$1,0)+1),MATCH(F$1,[2]characters!$1:$1,0)-MATCH($A$1,[2]characters!$1:$1,0)+1,FALSE)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12" s="66">
        <v>1</v>
      </c>
      <c r="H1212" s="66">
        <v>4</v>
      </c>
      <c r="I1212" s="66">
        <v>1</v>
      </c>
    </row>
    <row r="1213" spans="1:9" x14ac:dyDescent="0.15">
      <c r="A1213" s="66">
        <f t="shared" si="0"/>
        <v>8045</v>
      </c>
      <c r="B1213" s="3" t="str">
        <f ca="1">VLOOKUP($A1213,OFFSET([2]characters!$A$1,0,0,COUNTA([2]characters!$A:$A),MATCH(B$1,[2]characters!$1:$1,0)-MATCH($A$1,[2]characters!$1:$1,0)+1),MATCH(B$1,[2]characters!$1:$1,0)-MATCH($A$1,[2]characters!$1:$1,0)+1,FALSE)</f>
        <v>ニムダ_サンリオキャラ混じり</v>
      </c>
      <c r="C1213" s="93">
        <f ca="1">VLOOKUP($A1213,OFFSET(fork_awake_units!$A$1,0,0,COUNTA(fork_awake_units!$A:$A),MATCH(C$1,fork_awake_units!$1:$1,0)-MATCH($A$1,fork_awake_units!$1:$1,0)+1),MATCH(C$1,fork_awake_units!$1:$1,0)-MATCH($A$1,fork_awake_units!$1:$1,0)+1,FALSE)</f>
        <v>8046</v>
      </c>
      <c r="D1213" s="3" t="str">
        <f ca="1">VLOOKUP($C1213,OFFSET([2]characters!$A$1,0,0,COUNTA([2]characters!$A:$A),MATCH(D$1,[2]characters!$1:$1,0)-MATCH($A$1,[2]characters!$1:$1,0)+1),MATCH(D$1,[2]characters!$1:$1,0)-MATCH($A$1,[2]characters!$1:$1,0)+1,FALSE)</f>
        <v>ニムダ_サンリオキャラ混じり</v>
      </c>
      <c r="E1213" s="66">
        <v>113</v>
      </c>
      <c r="F1213" s="3" t="str">
        <f ca="1">VLOOKUP($E1213,OFFSET([2]characters!$A$1,0,0,COUNTA([2]characters!$A:$A),MATCH(F$1,[2]characters!$1:$1,0)-MATCH($A$1,[2]characters!$1:$1,0)+1),MATCH(F$1,[2]characters!$1:$1,0)-MATCH($A$1,[2]characters!$1:$1,0)+1,FALSE)</f>
        <v>イエローチェシャ</v>
      </c>
      <c r="G1213" s="66">
        <v>1</v>
      </c>
      <c r="H1213" s="66">
        <v>1</v>
      </c>
      <c r="I1213" s="66">
        <v>1</v>
      </c>
    </row>
    <row r="1214" spans="1:9" x14ac:dyDescent="0.15">
      <c r="A1214" s="66">
        <f t="shared" si="0"/>
        <v>8045</v>
      </c>
      <c r="B1214" s="3" t="str">
        <f ca="1">VLOOKUP($A1214,OFFSET([2]characters!$A$1,0,0,COUNTA([2]characters!$A:$A),MATCH(B$1,[2]characters!$1:$1,0)-MATCH($A$1,[2]characters!$1:$1,0)+1),MATCH(B$1,[2]characters!$1:$1,0)-MATCH($A$1,[2]characters!$1:$1,0)+1,FALSE)</f>
        <v>ニムダ_サンリオキャラ混じり</v>
      </c>
      <c r="C1214" s="93">
        <f ca="1">VLOOKUP($A1214,OFFSET(fork_awake_units!$A$1,0,0,COUNTA(fork_awake_units!$A:$A),MATCH(C$1,fork_awake_units!$1:$1,0)-MATCH($A$1,fork_awake_units!$1:$1,0)+1),MATCH(C$1,fork_awake_units!$1:$1,0)-MATCH($A$1,fork_awake_units!$1:$1,0)+1,FALSE)</f>
        <v>8046</v>
      </c>
      <c r="D1214" s="3" t="str">
        <f ca="1">VLOOKUP($C1214,OFFSET([2]characters!$A$1,0,0,COUNTA([2]characters!$A:$A),MATCH(D$1,[2]characters!$1:$1,0)-MATCH($A$1,[2]characters!$1:$1,0)+1),MATCH(D$1,[2]characters!$1:$1,0)-MATCH($A$1,[2]characters!$1:$1,0)+1,FALSE)</f>
        <v>ニムダ_サンリオキャラ混じり</v>
      </c>
      <c r="E1214" s="66">
        <v>114</v>
      </c>
      <c r="F1214" s="3" t="str">
        <f ca="1">VLOOKUP($E1214,OFFSET([2]characters!$A$1,0,0,COUNTA([2]characters!$A:$A),MATCH(F$1,[2]characters!$1:$1,0)-MATCH($A$1,[2]characters!$1:$1,0)+1),MATCH(F$1,[2]characters!$1:$1,0)-MATCH($A$1,[2]characters!$1:$1,0)+1,FALSE)</f>
        <v>イエローラビット</v>
      </c>
      <c r="G1214" s="66">
        <v>1</v>
      </c>
      <c r="H1214" s="66">
        <v>1</v>
      </c>
      <c r="I1214" s="66">
        <v>1</v>
      </c>
    </row>
    <row r="1215" spans="1:9" x14ac:dyDescent="0.15">
      <c r="A1215" s="66">
        <f t="shared" si="0"/>
        <v>8045</v>
      </c>
      <c r="B1215" s="3" t="str">
        <f ca="1">VLOOKUP($A1215,OFFSET([2]characters!$A$1,0,0,COUNTA([2]characters!$A:$A),MATCH(B$1,[2]characters!$1:$1,0)-MATCH($A$1,[2]characters!$1:$1,0)+1),MATCH(B$1,[2]characters!$1:$1,0)-MATCH($A$1,[2]characters!$1:$1,0)+1,FALSE)</f>
        <v>ニムダ_サンリオキャラ混じり</v>
      </c>
      <c r="C1215" s="93">
        <f ca="1">VLOOKUP($A1215,OFFSET(fork_awake_units!$A$1,0,0,COUNTA(fork_awake_units!$A:$A),MATCH(C$1,fork_awake_units!$1:$1,0)-MATCH($A$1,fork_awake_units!$1:$1,0)+1),MATCH(C$1,fork_awake_units!$1:$1,0)-MATCH($A$1,fork_awake_units!$1:$1,0)+1,FALSE)</f>
        <v>8046</v>
      </c>
      <c r="D1215" s="3" t="str">
        <f ca="1">VLOOKUP($C1215,OFFSET([2]characters!$A$1,0,0,COUNTA([2]characters!$A:$A),MATCH(D$1,[2]characters!$1:$1,0)-MATCH($A$1,[2]characters!$1:$1,0)+1),MATCH(D$1,[2]characters!$1:$1,0)-MATCH($A$1,[2]characters!$1:$1,0)+1,FALSE)</f>
        <v>ニムダ_サンリオキャラ混じり</v>
      </c>
      <c r="E1215" s="66">
        <v>8051</v>
      </c>
      <c r="F1215" s="3" t="str">
        <f ca="1">VLOOKUP($E1215,OFFSET([2]characters!$A$1,0,0,COUNTA([2]characters!$A:$A),MATCH(F$1,[2]characters!$1:$1,0)-MATCH($A$1,[2]characters!$1:$1,0)+1),MATCH(F$1,[2]characters!$1:$1,0)-MATCH($A$1,[2]characters!$1:$1,0)+1,FALSE)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215" s="66">
        <v>1</v>
      </c>
      <c r="H1215" s="66">
        <v>3</v>
      </c>
      <c r="I1215" s="66">
        <v>1</v>
      </c>
    </row>
    <row r="1216" spans="1:9" x14ac:dyDescent="0.15">
      <c r="A1216" s="66">
        <f t="shared" si="0"/>
        <v>8045</v>
      </c>
      <c r="B1216" s="3" t="str">
        <f ca="1">VLOOKUP($A1216,OFFSET([2]characters!$A$1,0,0,COUNTA([2]characters!$A:$A),MATCH(B$1,[2]characters!$1:$1,0)-MATCH($A$1,[2]characters!$1:$1,0)+1),MATCH(B$1,[2]characters!$1:$1,0)-MATCH($A$1,[2]characters!$1:$1,0)+1,FALSE)</f>
        <v>ニムダ_サンリオキャラ混じり</v>
      </c>
      <c r="C1216" s="93">
        <f ca="1">VLOOKUP($A1216,OFFSET(fork_awake_units!$A$1,0,0,COUNTA(fork_awake_units!$A:$A),MATCH(C$1,fork_awake_units!$1:$1,0)-MATCH($A$1,fork_awake_units!$1:$1,0)+1),MATCH(C$1,fork_awake_units!$1:$1,0)-MATCH($A$1,fork_awake_units!$1:$1,0)+1,FALSE)</f>
        <v>8046</v>
      </c>
      <c r="D1216" s="3" t="str">
        <f ca="1">VLOOKUP($C1216,OFFSET([2]characters!$A$1,0,0,COUNTA([2]characters!$A:$A),MATCH(D$1,[2]characters!$1:$1,0)-MATCH($A$1,[2]characters!$1:$1,0)+1),MATCH(D$1,[2]characters!$1:$1,0)-MATCH($A$1,[2]characters!$1:$1,0)+1,FALSE)</f>
        <v>ニムダ_サンリオキャラ混じり</v>
      </c>
      <c r="E1216" s="66">
        <v>8052</v>
      </c>
      <c r="F1216" s="3" t="str">
        <f ca="1">VLOOKUP($E1216,OFFSET([2]characters!$A$1,0,0,COUNTA([2]characters!$A:$A),MATCH(F$1,[2]characters!$1:$1,0)-MATCH($A$1,[2]characters!$1:$1,0)+1),MATCH(F$1,[2]characters!$1:$1,0)-MATCH($A$1,[2]characters!$1:$1,0)+1,FALSE)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16" s="66">
        <v>1</v>
      </c>
      <c r="H1216" s="66">
        <v>3</v>
      </c>
      <c r="I1216" s="66">
        <v>1</v>
      </c>
    </row>
    <row r="1217" spans="1:9" x14ac:dyDescent="0.15">
      <c r="A1217" s="66">
        <f t="shared" si="0"/>
        <v>8047</v>
      </c>
      <c r="B1217" s="3" t="str">
        <f ca="1">VLOOKUP($A1217,OFFSET([2]characters!$A$1,0,0,COUNTA([2]characters!$A:$A),MATCH(B$1,[2]characters!$1:$1,0)-MATCH($A$1,[2]characters!$1:$1,0)+1),MATCH(B$1,[2]characters!$1:$1,0)-MATCH($A$1,[2]characters!$1:$1,0)+1,FALSE)</f>
        <v>ハローキティ</v>
      </c>
      <c r="C1217" s="93">
        <f ca="1">VLOOKUP($A1217,OFFSET(fork_awake_units!$A$1,0,0,COUNTA(fork_awake_units!$A:$A),MATCH(C$1,fork_awake_units!$1:$1,0)-MATCH($A$1,fork_awake_units!$1:$1,0)+1),MATCH(C$1,fork_awake_units!$1:$1,0)-MATCH($A$1,fork_awake_units!$1:$1,0)+1,FALSE)</f>
        <v>8048</v>
      </c>
      <c r="D1217" s="3" t="str">
        <f ca="1">VLOOKUP($C1217,OFFSET([2]characters!$A$1,0,0,COUNTA([2]characters!$A:$A),MATCH(D$1,[2]characters!$1:$1,0)-MATCH($A$1,[2]characters!$1:$1,0)+1),MATCH(D$1,[2]characters!$1:$1,0)-MATCH($A$1,[2]characters!$1:$1,0)+1,FALSE)</f>
        <v>ハローキティ</v>
      </c>
      <c r="E1217" s="66">
        <v>103</v>
      </c>
      <c r="F1217" s="3" t="str">
        <f ca="1">VLOOKUP($E1217,OFFSET([2]characters!$A$1,0,0,COUNTA([2]characters!$A:$A),MATCH(F$1,[2]characters!$1:$1,0)-MATCH($A$1,[2]characters!$1:$1,0)+1),MATCH(F$1,[2]characters!$1:$1,0)-MATCH($A$1,[2]characters!$1:$1,0)+1,FALSE)</f>
        <v>レッドキャタップ</v>
      </c>
      <c r="G1217" s="66">
        <v>1</v>
      </c>
      <c r="H1217" s="66">
        <v>1</v>
      </c>
      <c r="I1217" s="66">
        <v>1</v>
      </c>
    </row>
    <row r="1218" spans="1:9" x14ac:dyDescent="0.15">
      <c r="A1218" s="66">
        <f t="shared" si="0"/>
        <v>8047</v>
      </c>
      <c r="B1218" s="3" t="str">
        <f ca="1">VLOOKUP($A1218,OFFSET([2]characters!$A$1,0,0,COUNTA([2]characters!$A:$A),MATCH(B$1,[2]characters!$1:$1,0)-MATCH($A$1,[2]characters!$1:$1,0)+1),MATCH(B$1,[2]characters!$1:$1,0)-MATCH($A$1,[2]characters!$1:$1,0)+1,FALSE)</f>
        <v>ハローキティ</v>
      </c>
      <c r="C1218" s="93">
        <f ca="1">VLOOKUP($A1218,OFFSET(fork_awake_units!$A$1,0,0,COUNTA(fork_awake_units!$A:$A),MATCH(C$1,fork_awake_units!$1:$1,0)-MATCH($A$1,fork_awake_units!$1:$1,0)+1),MATCH(C$1,fork_awake_units!$1:$1,0)-MATCH($A$1,fork_awake_units!$1:$1,0)+1,FALSE)</f>
        <v>8048</v>
      </c>
      <c r="D1218" s="3" t="str">
        <f ca="1">VLOOKUP($C1218,OFFSET([2]characters!$A$1,0,0,COUNTA([2]characters!$A:$A),MATCH(D$1,[2]characters!$1:$1,0)-MATCH($A$1,[2]characters!$1:$1,0)+1),MATCH(D$1,[2]characters!$1:$1,0)-MATCH($A$1,[2]characters!$1:$1,0)+1,FALSE)</f>
        <v>ハローキティ</v>
      </c>
      <c r="E1218" s="66">
        <v>8051</v>
      </c>
      <c r="F1218" s="3" t="str">
        <f ca="1">VLOOKUP($E1218,OFFSET([2]characters!$A$1,0,0,COUNTA([2]characters!$A:$A),MATCH(F$1,[2]characters!$1:$1,0)-MATCH($A$1,[2]characters!$1:$1,0)+1),MATCH(F$1,[2]characters!$1:$1,0)-MATCH($A$1,[2]characters!$1:$1,0)+1,FALSE)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218" s="66">
        <v>1</v>
      </c>
      <c r="H1218" s="66">
        <v>2</v>
      </c>
      <c r="I1218" s="66">
        <v>1</v>
      </c>
    </row>
    <row r="1219" spans="1:9" x14ac:dyDescent="0.15">
      <c r="A1219" s="66">
        <f t="shared" si="0"/>
        <v>8047</v>
      </c>
      <c r="B1219" s="3" t="str">
        <f ca="1">VLOOKUP($A1219,OFFSET([2]characters!$A$1,0,0,COUNTA([2]characters!$A:$A),MATCH(B$1,[2]characters!$1:$1,0)-MATCH($A$1,[2]characters!$1:$1,0)+1),MATCH(B$1,[2]characters!$1:$1,0)-MATCH($A$1,[2]characters!$1:$1,0)+1,FALSE)</f>
        <v>ハローキティ</v>
      </c>
      <c r="C1219" s="93">
        <f ca="1">VLOOKUP($A1219,OFFSET(fork_awake_units!$A$1,0,0,COUNTA(fork_awake_units!$A:$A),MATCH(C$1,fork_awake_units!$1:$1,0)-MATCH($A$1,fork_awake_units!$1:$1,0)+1),MATCH(C$1,fork_awake_units!$1:$1,0)-MATCH($A$1,fork_awake_units!$1:$1,0)+1,FALSE)</f>
        <v>8048</v>
      </c>
      <c r="D1219" s="3" t="str">
        <f ca="1">VLOOKUP($C1219,OFFSET([2]characters!$A$1,0,0,COUNTA([2]characters!$A:$A),MATCH(D$1,[2]characters!$1:$1,0)-MATCH($A$1,[2]characters!$1:$1,0)+1),MATCH(D$1,[2]characters!$1:$1,0)-MATCH($A$1,[2]characters!$1:$1,0)+1,FALSE)</f>
        <v>ハローキティ</v>
      </c>
      <c r="E1219" s="66">
        <v>8052</v>
      </c>
      <c r="F1219" s="3" t="str">
        <f ca="1">VLOOKUP($E1219,OFFSET([2]characters!$A$1,0,0,COUNTA([2]characters!$A:$A),MATCH(F$1,[2]characters!$1:$1,0)-MATCH($A$1,[2]characters!$1:$1,0)+1),MATCH(F$1,[2]characters!$1:$1,0)-MATCH($A$1,[2]characters!$1:$1,0)+1,FALSE)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19" s="66">
        <v>1</v>
      </c>
      <c r="H1219" s="66">
        <v>2</v>
      </c>
      <c r="I1219" s="66">
        <v>1</v>
      </c>
    </row>
    <row r="1220" spans="1:9" x14ac:dyDescent="0.15">
      <c r="A1220" s="66">
        <f t="shared" si="0"/>
        <v>8049</v>
      </c>
      <c r="B1220" s="3" t="str">
        <f ca="1">VLOOKUP($A1220,OFFSET([2]characters!$A$1,0,0,COUNTA([2]characters!$A:$A),MATCH(B$1,[2]characters!$1:$1,0)-MATCH($A$1,[2]characters!$1:$1,0)+1),MATCH(B$1,[2]characters!$1:$1,0)-MATCH($A$1,[2]characters!$1:$1,0)+1,FALSE)</f>
        <v>KIRIMIちゃん</v>
      </c>
      <c r="C1220" s="93">
        <f ca="1">VLOOKUP($A1220,OFFSET(fork_awake_units!$A$1,0,0,COUNTA(fork_awake_units!$A:$A),MATCH(C$1,fork_awake_units!$1:$1,0)-MATCH($A$1,fork_awake_units!$1:$1,0)+1),MATCH(C$1,fork_awake_units!$1:$1,0)-MATCH($A$1,fork_awake_units!$1:$1,0)+1,FALSE)</f>
        <v>8050</v>
      </c>
      <c r="D1220" s="3" t="str">
        <f ca="1">VLOOKUP($C1220,OFFSET([2]characters!$A$1,0,0,COUNTA([2]characters!$A:$A),MATCH(D$1,[2]characters!$1:$1,0)-MATCH($A$1,[2]characters!$1:$1,0)+1),MATCH(D$1,[2]characters!$1:$1,0)-MATCH($A$1,[2]characters!$1:$1,0)+1,FALSE)</f>
        <v>KIRIMIちゃん</v>
      </c>
      <c r="E1220" s="66">
        <v>103</v>
      </c>
      <c r="F1220" s="3" t="str">
        <f ca="1">VLOOKUP($E1220,OFFSET([2]characters!$A$1,0,0,COUNTA([2]characters!$A:$A),MATCH(F$1,[2]characters!$1:$1,0)-MATCH($A$1,[2]characters!$1:$1,0)+1),MATCH(F$1,[2]characters!$1:$1,0)-MATCH($A$1,[2]characters!$1:$1,0)+1,FALSE)</f>
        <v>レッドキャタップ</v>
      </c>
      <c r="G1220" s="66">
        <v>1</v>
      </c>
      <c r="H1220" s="66">
        <v>1</v>
      </c>
      <c r="I1220" s="66">
        <v>1</v>
      </c>
    </row>
    <row r="1221" spans="1:9" x14ac:dyDescent="0.15">
      <c r="A1221" s="66">
        <f t="shared" si="0"/>
        <v>8049</v>
      </c>
      <c r="B1221" s="3" t="str">
        <f ca="1">VLOOKUP($A1221,OFFSET([2]characters!$A$1,0,0,COUNTA([2]characters!$A:$A),MATCH(B$1,[2]characters!$1:$1,0)-MATCH($A$1,[2]characters!$1:$1,0)+1),MATCH(B$1,[2]characters!$1:$1,0)-MATCH($A$1,[2]characters!$1:$1,0)+1,FALSE)</f>
        <v>KIRIMIちゃん</v>
      </c>
      <c r="C1221" s="93">
        <f ca="1">VLOOKUP($A1221,OFFSET(fork_awake_units!$A$1,0,0,COUNTA(fork_awake_units!$A:$A),MATCH(C$1,fork_awake_units!$1:$1,0)-MATCH($A$1,fork_awake_units!$1:$1,0)+1),MATCH(C$1,fork_awake_units!$1:$1,0)-MATCH($A$1,fork_awake_units!$1:$1,0)+1,FALSE)</f>
        <v>8050</v>
      </c>
      <c r="D1221" s="3" t="str">
        <f ca="1">VLOOKUP($C1221,OFFSET([2]characters!$A$1,0,0,COUNTA([2]characters!$A:$A),MATCH(D$1,[2]characters!$1:$1,0)-MATCH($A$1,[2]characters!$1:$1,0)+1),MATCH(D$1,[2]characters!$1:$1,0)-MATCH($A$1,[2]characters!$1:$1,0)+1,FALSE)</f>
        <v>KIRIMIちゃん</v>
      </c>
      <c r="E1221" s="66">
        <v>8051</v>
      </c>
      <c r="F1221" s="3" t="str">
        <f ca="1">VLOOKUP($E1221,OFFSET([2]characters!$A$1,0,0,COUNTA([2]characters!$A:$A),MATCH(F$1,[2]characters!$1:$1,0)-MATCH($A$1,[2]characters!$1:$1,0)+1),MATCH(F$1,[2]characters!$1:$1,0)-MATCH($A$1,[2]characters!$1:$1,0)+1,FALSE)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221" s="66">
        <v>1</v>
      </c>
      <c r="H1221" s="66">
        <v>2</v>
      </c>
      <c r="I1221" s="66">
        <v>1</v>
      </c>
    </row>
    <row r="1222" spans="1:9" x14ac:dyDescent="0.15">
      <c r="A1222" s="66">
        <f t="shared" si="0"/>
        <v>8049</v>
      </c>
      <c r="B1222" s="3" t="str">
        <f ca="1">VLOOKUP($A1222,OFFSET([2]characters!$A$1,0,0,COUNTA([2]characters!$A:$A),MATCH(B$1,[2]characters!$1:$1,0)-MATCH($A$1,[2]characters!$1:$1,0)+1),MATCH(B$1,[2]characters!$1:$1,0)-MATCH($A$1,[2]characters!$1:$1,0)+1,FALSE)</f>
        <v>KIRIMIちゃん</v>
      </c>
      <c r="C1222" s="93">
        <f ca="1">VLOOKUP($A1222,OFFSET(fork_awake_units!$A$1,0,0,COUNTA(fork_awake_units!$A:$A),MATCH(C$1,fork_awake_units!$1:$1,0)-MATCH($A$1,fork_awake_units!$1:$1,0)+1),MATCH(C$1,fork_awake_units!$1:$1,0)-MATCH($A$1,fork_awake_units!$1:$1,0)+1,FALSE)</f>
        <v>8050</v>
      </c>
      <c r="D1222" s="3" t="str">
        <f ca="1">VLOOKUP($C1222,OFFSET([2]characters!$A$1,0,0,COUNTA([2]characters!$A:$A),MATCH(D$1,[2]characters!$1:$1,0)-MATCH($A$1,[2]characters!$1:$1,0)+1),MATCH(D$1,[2]characters!$1:$1,0)-MATCH($A$1,[2]characters!$1:$1,0)+1,FALSE)</f>
        <v>KIRIMIちゃん</v>
      </c>
      <c r="E1222" s="66">
        <v>8052</v>
      </c>
      <c r="F1222" s="3" t="str">
        <f ca="1">VLOOKUP($E1222,OFFSET([2]characters!$A$1,0,0,COUNTA([2]characters!$A:$A),MATCH(F$1,[2]characters!$1:$1,0)-MATCH($A$1,[2]characters!$1:$1,0)+1),MATCH(F$1,[2]characters!$1:$1,0)-MATCH($A$1,[2]characters!$1:$1,0)+1,FALSE)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22" s="66">
        <v>1</v>
      </c>
      <c r="H1222" s="66">
        <v>2</v>
      </c>
      <c r="I1222" s="66">
        <v>1</v>
      </c>
    </row>
    <row r="1223" spans="1:9" x14ac:dyDescent="0.15">
      <c r="A1223" s="66">
        <f t="shared" si="0"/>
        <v>8053</v>
      </c>
      <c r="B1223" s="3" t="str">
        <f ca="1">VLOOKUP($A1223,OFFSET([2]characters!$A$1,0,0,COUNTA([2]characters!$A:$A),MATCH(B$1,[2]characters!$1:$1,0)-MATCH($A$1,[2]characters!$1:$1,0)+1),MATCH(B$1,[2]characters!$1:$1,0)-MATCH($A$1,[2]characters!$1:$1,0)+1,FALSE)</f>
        <v>D.R.T.H__キティコスプレ</v>
      </c>
      <c r="C1223" s="93">
        <f ca="1">VLOOKUP($A1223,OFFSET(fork_awake_units!$A$1,0,0,COUNTA(fork_awake_units!$A:$A),MATCH(C$1,fork_awake_units!$1:$1,0)-MATCH($A$1,fork_awake_units!$1:$1,0)+1),MATCH(C$1,fork_awake_units!$1:$1,0)-MATCH($A$1,fork_awake_units!$1:$1,0)+1,FALSE)</f>
        <v>8054</v>
      </c>
      <c r="D1223" s="3" t="str">
        <f ca="1">VLOOKUP($C1223,OFFSET([2]characters!$A$1,0,0,COUNTA([2]characters!$A:$A),MATCH(D$1,[2]characters!$1:$1,0)-MATCH($A$1,[2]characters!$1:$1,0)+1),MATCH(D$1,[2]characters!$1:$1,0)-MATCH($A$1,[2]characters!$1:$1,0)+1,FALSE)</f>
        <v>D.R.T.H__キティコスプレ</v>
      </c>
      <c r="E1223" s="66">
        <v>103</v>
      </c>
      <c r="F1223" s="3" t="str">
        <f ca="1">VLOOKUP($E1223,OFFSET([2]characters!$A$1,0,0,COUNTA([2]characters!$A:$A),MATCH(F$1,[2]characters!$1:$1,0)-MATCH($A$1,[2]characters!$1:$1,0)+1),MATCH(F$1,[2]characters!$1:$1,0)-MATCH($A$1,[2]characters!$1:$1,0)+1,FALSE)</f>
        <v>レッドキャタップ</v>
      </c>
      <c r="G1223" s="66">
        <v>1</v>
      </c>
      <c r="H1223" s="66">
        <v>1</v>
      </c>
      <c r="I1223" s="66">
        <v>1</v>
      </c>
    </row>
    <row r="1224" spans="1:9" x14ac:dyDescent="0.15">
      <c r="A1224" s="66">
        <f t="shared" si="0"/>
        <v>8053</v>
      </c>
      <c r="B1224" s="3" t="str">
        <f ca="1">VLOOKUP($A1224,OFFSET([2]characters!$A$1,0,0,COUNTA([2]characters!$A:$A),MATCH(B$1,[2]characters!$1:$1,0)-MATCH($A$1,[2]characters!$1:$1,0)+1),MATCH(B$1,[2]characters!$1:$1,0)-MATCH($A$1,[2]characters!$1:$1,0)+1,FALSE)</f>
        <v>D.R.T.H__キティコスプレ</v>
      </c>
      <c r="C1224" s="93">
        <f ca="1">VLOOKUP($A1224,OFFSET(fork_awake_units!$A$1,0,0,COUNTA(fork_awake_units!$A:$A),MATCH(C$1,fork_awake_units!$1:$1,0)-MATCH($A$1,fork_awake_units!$1:$1,0)+1),MATCH(C$1,fork_awake_units!$1:$1,0)-MATCH($A$1,fork_awake_units!$1:$1,0)+1,FALSE)</f>
        <v>8054</v>
      </c>
      <c r="D1224" s="3" t="str">
        <f ca="1">VLOOKUP($C1224,OFFSET([2]characters!$A$1,0,0,COUNTA([2]characters!$A:$A),MATCH(D$1,[2]characters!$1:$1,0)-MATCH($A$1,[2]characters!$1:$1,0)+1),MATCH(D$1,[2]characters!$1:$1,0)-MATCH($A$1,[2]characters!$1:$1,0)+1,FALSE)</f>
        <v>D.R.T.H__キティコスプレ</v>
      </c>
      <c r="E1224" s="66">
        <v>837</v>
      </c>
      <c r="F1224" s="3" t="str">
        <f ca="1">VLOOKUP($E1224,OFFSET([2]characters!$A$1,0,0,COUNTA([2]characters!$A:$A),MATCH(F$1,[2]characters!$1:$1,0)-MATCH($A$1,[2]characters!$1:$1,0)+1),MATCH(F$1,[2]characters!$1:$1,0)-MATCH($A$1,[2]characters!$1:$1,0)+1,FALSE)</f>
        <v>リトルハンプティ</v>
      </c>
      <c r="G1224" s="66">
        <v>1</v>
      </c>
      <c r="H1224" s="66">
        <v>1</v>
      </c>
      <c r="I1224" s="66">
        <v>1</v>
      </c>
    </row>
    <row r="1225" spans="1:9" x14ac:dyDescent="0.15">
      <c r="A1225" s="66">
        <f t="shared" si="0"/>
        <v>8053</v>
      </c>
      <c r="B1225" s="3" t="str">
        <f ca="1">VLOOKUP($A1225,OFFSET([2]characters!$A$1,0,0,COUNTA([2]characters!$A:$A),MATCH(B$1,[2]characters!$1:$1,0)-MATCH($A$1,[2]characters!$1:$1,0)+1),MATCH(B$1,[2]characters!$1:$1,0)-MATCH($A$1,[2]characters!$1:$1,0)+1,FALSE)</f>
        <v>D.R.T.H__キティコスプレ</v>
      </c>
      <c r="C1225" s="93">
        <f ca="1">VLOOKUP($A1225,OFFSET(fork_awake_units!$A$1,0,0,COUNTA(fork_awake_units!$A:$A),MATCH(C$1,fork_awake_units!$1:$1,0)-MATCH($A$1,fork_awake_units!$1:$1,0)+1),MATCH(C$1,fork_awake_units!$1:$1,0)-MATCH($A$1,fork_awake_units!$1:$1,0)+1,FALSE)</f>
        <v>8054</v>
      </c>
      <c r="D1225" s="3" t="str">
        <f ca="1">VLOOKUP($C1225,OFFSET([2]characters!$A$1,0,0,COUNTA([2]characters!$A:$A),MATCH(D$1,[2]characters!$1:$1,0)-MATCH($A$1,[2]characters!$1:$1,0)+1),MATCH(D$1,[2]characters!$1:$1,0)-MATCH($A$1,[2]characters!$1:$1,0)+1,FALSE)</f>
        <v>D.R.T.H__キティコスプレ</v>
      </c>
      <c r="E1225" s="66">
        <v>8051</v>
      </c>
      <c r="F1225" s="3" t="str">
        <f ca="1">VLOOKUP($E1225,OFFSET([2]characters!$A$1,0,0,COUNTA([2]characters!$A:$A),MATCH(F$1,[2]characters!$1:$1,0)-MATCH($A$1,[2]characters!$1:$1,0)+1),MATCH(F$1,[2]characters!$1:$1,0)-MATCH($A$1,[2]characters!$1:$1,0)+1,FALSE)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225" s="66">
        <v>1</v>
      </c>
      <c r="H1225" s="66">
        <v>2</v>
      </c>
      <c r="I1225" s="66">
        <v>1</v>
      </c>
    </row>
    <row r="1226" spans="1:9" x14ac:dyDescent="0.15">
      <c r="A1226" s="66">
        <f t="shared" si="0"/>
        <v>8053</v>
      </c>
      <c r="B1226" s="3" t="str">
        <f ca="1">VLOOKUP($A1226,OFFSET([2]characters!$A$1,0,0,COUNTA([2]characters!$A:$A),MATCH(B$1,[2]characters!$1:$1,0)-MATCH($A$1,[2]characters!$1:$1,0)+1),MATCH(B$1,[2]characters!$1:$1,0)-MATCH($A$1,[2]characters!$1:$1,0)+1,FALSE)</f>
        <v>D.R.T.H__キティコスプレ</v>
      </c>
      <c r="C1226" s="93">
        <f ca="1">VLOOKUP($A1226,OFFSET(fork_awake_units!$A$1,0,0,COUNTA(fork_awake_units!$A:$A),MATCH(C$1,fork_awake_units!$1:$1,0)-MATCH($A$1,fork_awake_units!$1:$1,0)+1),MATCH(C$1,fork_awake_units!$1:$1,0)-MATCH($A$1,fork_awake_units!$1:$1,0)+1,FALSE)</f>
        <v>8054</v>
      </c>
      <c r="D1226" s="3" t="str">
        <f ca="1">VLOOKUP($C1226,OFFSET([2]characters!$A$1,0,0,COUNTA([2]characters!$A:$A),MATCH(D$1,[2]characters!$1:$1,0)-MATCH($A$1,[2]characters!$1:$1,0)+1),MATCH(D$1,[2]characters!$1:$1,0)-MATCH($A$1,[2]characters!$1:$1,0)+1,FALSE)</f>
        <v>D.R.T.H__キティコスプレ</v>
      </c>
      <c r="E1226" s="66">
        <v>8052</v>
      </c>
      <c r="F1226" s="3" t="str">
        <f ca="1">VLOOKUP($E1226,OFFSET([2]characters!$A$1,0,0,COUNTA([2]characters!$A:$A),MATCH(F$1,[2]characters!$1:$1,0)-MATCH($A$1,[2]characters!$1:$1,0)+1),MATCH(F$1,[2]characters!$1:$1,0)-MATCH($A$1,[2]characters!$1:$1,0)+1,FALSE)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26" s="66">
        <v>1</v>
      </c>
      <c r="H1226" s="66">
        <v>2</v>
      </c>
      <c r="I1226" s="66">
        <v>1</v>
      </c>
    </row>
    <row r="1227" spans="1:9" x14ac:dyDescent="0.15">
      <c r="A1227" s="66">
        <f t="shared" si="0"/>
        <v>8055</v>
      </c>
      <c r="B1227" s="3" t="str">
        <f ca="1">VLOOKUP($A1227,OFFSET([2]characters!$A$1,0,0,COUNTA([2]characters!$A:$A),MATCH(B$1,[2]characters!$1:$1,0)-MATCH($A$1,[2]characters!$1:$1,0)+1),MATCH(B$1,[2]characters!$1:$1,0)-MATCH($A$1,[2]characters!$1:$1,0)+1,FALSE)</f>
        <v>マイメロディ</v>
      </c>
      <c r="C1227" s="93">
        <f ca="1">VLOOKUP($A1227,OFFSET(fork_awake_units!$A$1,0,0,COUNTA(fork_awake_units!$A:$A),MATCH(C$1,fork_awake_units!$1:$1,0)-MATCH($A$1,fork_awake_units!$1:$1,0)+1),MATCH(C$1,fork_awake_units!$1:$1,0)-MATCH($A$1,fork_awake_units!$1:$1,0)+1,FALSE)</f>
        <v>8056</v>
      </c>
      <c r="D1227" s="3" t="str">
        <f ca="1">VLOOKUP($C1227,OFFSET([2]characters!$A$1,0,0,COUNTA([2]characters!$A:$A),MATCH(D$1,[2]characters!$1:$1,0)-MATCH($A$1,[2]characters!$1:$1,0)+1),MATCH(D$1,[2]characters!$1:$1,0)-MATCH($A$1,[2]characters!$1:$1,0)+1,FALSE)</f>
        <v>マイメロディ</v>
      </c>
      <c r="E1227" s="66">
        <v>102</v>
      </c>
      <c r="F1227" s="3" t="str">
        <f ca="1">VLOOKUP($E1227,OFFSET([2]characters!$A$1,0,0,COUNTA([2]characters!$A:$A),MATCH(F$1,[2]characters!$1:$1,0)-MATCH($A$1,[2]characters!$1:$1,0)+1),MATCH(F$1,[2]characters!$1:$1,0)-MATCH($A$1,[2]characters!$1:$1,0)+1,FALSE)</f>
        <v>レッドラビット</v>
      </c>
      <c r="G1227" s="66">
        <v>1</v>
      </c>
      <c r="H1227" s="66">
        <v>1</v>
      </c>
      <c r="I1227" s="66">
        <v>1</v>
      </c>
    </row>
    <row r="1228" spans="1:9" x14ac:dyDescent="0.15">
      <c r="A1228" s="66">
        <f t="shared" si="0"/>
        <v>8055</v>
      </c>
      <c r="B1228" s="3" t="str">
        <f ca="1">VLOOKUP($A1228,OFFSET([2]characters!$A$1,0,0,COUNTA([2]characters!$A:$A),MATCH(B$1,[2]characters!$1:$1,0)-MATCH($A$1,[2]characters!$1:$1,0)+1),MATCH(B$1,[2]characters!$1:$1,0)-MATCH($A$1,[2]characters!$1:$1,0)+1,FALSE)</f>
        <v>マイメロディ</v>
      </c>
      <c r="C1228" s="93">
        <f ca="1">VLOOKUP($A1228,OFFSET(fork_awake_units!$A$1,0,0,COUNTA(fork_awake_units!$A:$A),MATCH(C$1,fork_awake_units!$1:$1,0)-MATCH($A$1,fork_awake_units!$1:$1,0)+1),MATCH(C$1,fork_awake_units!$1:$1,0)-MATCH($A$1,fork_awake_units!$1:$1,0)+1,FALSE)</f>
        <v>8056</v>
      </c>
      <c r="D1228" s="3" t="str">
        <f ca="1">VLOOKUP($C1228,OFFSET([2]characters!$A$1,0,0,COUNTA([2]characters!$A:$A),MATCH(D$1,[2]characters!$1:$1,0)-MATCH($A$1,[2]characters!$1:$1,0)+1),MATCH(D$1,[2]characters!$1:$1,0)-MATCH($A$1,[2]characters!$1:$1,0)+1,FALSE)</f>
        <v>マイメロディ</v>
      </c>
      <c r="E1228" s="66">
        <v>103</v>
      </c>
      <c r="F1228" s="3" t="str">
        <f ca="1">VLOOKUP($E1228,OFFSET([2]characters!$A$1,0,0,COUNTA([2]characters!$A:$A),MATCH(F$1,[2]characters!$1:$1,0)-MATCH($A$1,[2]characters!$1:$1,0)+1),MATCH(F$1,[2]characters!$1:$1,0)-MATCH($A$1,[2]characters!$1:$1,0)+1,FALSE)</f>
        <v>レッドキャタップ</v>
      </c>
      <c r="G1228" s="66">
        <v>2</v>
      </c>
      <c r="H1228" s="66">
        <v>1</v>
      </c>
      <c r="I1228" s="66">
        <v>1</v>
      </c>
    </row>
    <row r="1229" spans="1:9" x14ac:dyDescent="0.15">
      <c r="A1229" s="66">
        <f t="shared" si="0"/>
        <v>8055</v>
      </c>
      <c r="B1229" s="3" t="str">
        <f ca="1">VLOOKUP($A1229,OFFSET([2]characters!$A$1,0,0,COUNTA([2]characters!$A:$A),MATCH(B$1,[2]characters!$1:$1,0)-MATCH($A$1,[2]characters!$1:$1,0)+1),MATCH(B$1,[2]characters!$1:$1,0)-MATCH($A$1,[2]characters!$1:$1,0)+1,FALSE)</f>
        <v>マイメロディ</v>
      </c>
      <c r="C1229" s="93">
        <f ca="1">VLOOKUP($A1229,OFFSET(fork_awake_units!$A$1,0,0,COUNTA(fork_awake_units!$A:$A),MATCH(C$1,fork_awake_units!$1:$1,0)-MATCH($A$1,fork_awake_units!$1:$1,0)+1),MATCH(C$1,fork_awake_units!$1:$1,0)-MATCH($A$1,fork_awake_units!$1:$1,0)+1,FALSE)</f>
        <v>8056</v>
      </c>
      <c r="D1229" s="3" t="str">
        <f ca="1">VLOOKUP($C1229,OFFSET([2]characters!$A$1,0,0,COUNTA([2]characters!$A:$A),MATCH(D$1,[2]characters!$1:$1,0)-MATCH($A$1,[2]characters!$1:$1,0)+1),MATCH(D$1,[2]characters!$1:$1,0)-MATCH($A$1,[2]characters!$1:$1,0)+1,FALSE)</f>
        <v>マイメロディ</v>
      </c>
      <c r="E1229" s="66">
        <v>8051</v>
      </c>
      <c r="F1229" s="3" t="str">
        <f ca="1">VLOOKUP($E1229,OFFSET([2]characters!$A$1,0,0,COUNTA([2]characters!$A:$A),MATCH(F$1,[2]characters!$1:$1,0)-MATCH($A$1,[2]characters!$1:$1,0)+1),MATCH(F$1,[2]characters!$1:$1,0)-MATCH($A$1,[2]characters!$1:$1,0)+1,FALSE)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229" s="66">
        <v>1</v>
      </c>
      <c r="H1229" s="66">
        <v>2</v>
      </c>
      <c r="I1229" s="66">
        <v>1</v>
      </c>
    </row>
    <row r="1230" spans="1:9" x14ac:dyDescent="0.15">
      <c r="A1230" s="66">
        <f t="shared" si="0"/>
        <v>8057</v>
      </c>
      <c r="B1230" s="3" t="str">
        <f ca="1">VLOOKUP($A1230,OFFSET([2]characters!$A$1,0,0,COUNTA([2]characters!$A:$A),MATCH(B$1,[2]characters!$1:$1,0)-MATCH($A$1,[2]characters!$1:$1,0)+1),MATCH(B$1,[2]characters!$1:$1,0)-MATCH($A$1,[2]characters!$1:$1,0)+1,FALSE)</f>
        <v>ニーベルゲン_シナモロールコスプレ</v>
      </c>
      <c r="C1230" s="93">
        <f ca="1">VLOOKUP($A1230,OFFSET(fork_awake_units!$A$1,0,0,COUNTA(fork_awake_units!$A:$A),MATCH(C$1,fork_awake_units!$1:$1,0)-MATCH($A$1,fork_awake_units!$1:$1,0)+1),MATCH(C$1,fork_awake_units!$1:$1,0)-MATCH($A$1,fork_awake_units!$1:$1,0)+1,FALSE)</f>
        <v>8058</v>
      </c>
      <c r="D1230" s="3" t="str">
        <f ca="1">VLOOKUP($C1230,OFFSET([2]characters!$A$1,0,0,COUNTA([2]characters!$A:$A),MATCH(D$1,[2]characters!$1:$1,0)-MATCH($A$1,[2]characters!$1:$1,0)+1),MATCH(D$1,[2]characters!$1:$1,0)-MATCH($A$1,[2]characters!$1:$1,0)+1,FALSE)</f>
        <v>ニーベルゲン_シナモロールコスプレ</v>
      </c>
      <c r="E1230" s="66">
        <v>106</v>
      </c>
      <c r="F1230" s="3" t="str">
        <f ca="1">VLOOKUP($E1230,OFFSET([2]characters!$A$1,0,0,COUNTA([2]characters!$A:$A),MATCH(F$1,[2]characters!$1:$1,0)-MATCH($A$1,[2]characters!$1:$1,0)+1),MATCH(F$1,[2]characters!$1:$1,0)-MATCH($A$1,[2]characters!$1:$1,0)+1,FALSE)</f>
        <v>グリーンラビット</v>
      </c>
      <c r="G1230" s="66">
        <v>1</v>
      </c>
      <c r="H1230" s="66">
        <v>1</v>
      </c>
      <c r="I1230" s="66">
        <v>1</v>
      </c>
    </row>
    <row r="1231" spans="1:9" x14ac:dyDescent="0.15">
      <c r="A1231" s="66">
        <f t="shared" si="0"/>
        <v>8057</v>
      </c>
      <c r="B1231" s="3" t="str">
        <f ca="1">VLOOKUP($A1231,OFFSET([2]characters!$A$1,0,0,COUNTA([2]characters!$A:$A),MATCH(B$1,[2]characters!$1:$1,0)-MATCH($A$1,[2]characters!$1:$1,0)+1),MATCH(B$1,[2]characters!$1:$1,0)-MATCH($A$1,[2]characters!$1:$1,0)+1,FALSE)</f>
        <v>ニーベルゲン_シナモロールコスプレ</v>
      </c>
      <c r="C1231" s="93">
        <f ca="1">VLOOKUP($A1231,OFFSET(fork_awake_units!$A$1,0,0,COUNTA(fork_awake_units!$A:$A),MATCH(C$1,fork_awake_units!$1:$1,0)-MATCH($A$1,fork_awake_units!$1:$1,0)+1),MATCH(C$1,fork_awake_units!$1:$1,0)-MATCH($A$1,fork_awake_units!$1:$1,0)+1,FALSE)</f>
        <v>8058</v>
      </c>
      <c r="D1231" s="3" t="str">
        <f ca="1">VLOOKUP($C1231,OFFSET([2]characters!$A$1,0,0,COUNTA([2]characters!$A:$A),MATCH(D$1,[2]characters!$1:$1,0)-MATCH($A$1,[2]characters!$1:$1,0)+1),MATCH(D$1,[2]characters!$1:$1,0)-MATCH($A$1,[2]characters!$1:$1,0)+1,FALSE)</f>
        <v>ニーベルゲン_シナモロールコスプレ</v>
      </c>
      <c r="E1231" s="66">
        <v>107</v>
      </c>
      <c r="F1231" s="3" t="str">
        <f ca="1">VLOOKUP($E1231,OFFSET([2]characters!$A$1,0,0,COUNTA([2]characters!$A:$A),MATCH(F$1,[2]characters!$1:$1,0)-MATCH($A$1,[2]characters!$1:$1,0)+1),MATCH(F$1,[2]characters!$1:$1,0)-MATCH($A$1,[2]characters!$1:$1,0)+1,FALSE)</f>
        <v>グリーンキャタップ</v>
      </c>
      <c r="G1231" s="66">
        <v>2</v>
      </c>
      <c r="H1231" s="66">
        <v>1</v>
      </c>
      <c r="I1231" s="66">
        <v>1</v>
      </c>
    </row>
    <row r="1232" spans="1:9" x14ac:dyDescent="0.15">
      <c r="A1232" s="66">
        <f t="shared" si="0"/>
        <v>8057</v>
      </c>
      <c r="B1232" s="3" t="str">
        <f ca="1">VLOOKUP($A1232,OFFSET([2]characters!$A$1,0,0,COUNTA([2]characters!$A:$A),MATCH(B$1,[2]characters!$1:$1,0)-MATCH($A$1,[2]characters!$1:$1,0)+1),MATCH(B$1,[2]characters!$1:$1,0)-MATCH($A$1,[2]characters!$1:$1,0)+1,FALSE)</f>
        <v>ニーベルゲン_シナモロールコスプレ</v>
      </c>
      <c r="C1232" s="93">
        <f ca="1">VLOOKUP($A1232,OFFSET(fork_awake_units!$A$1,0,0,COUNTA(fork_awake_units!$A:$A),MATCH(C$1,fork_awake_units!$1:$1,0)-MATCH($A$1,fork_awake_units!$1:$1,0)+1),MATCH(C$1,fork_awake_units!$1:$1,0)-MATCH($A$1,fork_awake_units!$1:$1,0)+1,FALSE)</f>
        <v>8058</v>
      </c>
      <c r="D1232" s="3" t="str">
        <f ca="1">VLOOKUP($C1232,OFFSET([2]characters!$A$1,0,0,COUNTA([2]characters!$A:$A),MATCH(D$1,[2]characters!$1:$1,0)-MATCH($A$1,[2]characters!$1:$1,0)+1),MATCH(D$1,[2]characters!$1:$1,0)-MATCH($A$1,[2]characters!$1:$1,0)+1,FALSE)</f>
        <v>ニーベルゲン_シナモロールコスプレ</v>
      </c>
      <c r="E1232" s="66">
        <v>8052</v>
      </c>
      <c r="F1232" s="3" t="str">
        <f ca="1">VLOOKUP($E1232,OFFSET([2]characters!$A$1,0,0,COUNTA([2]characters!$A:$A),MATCH(F$1,[2]characters!$1:$1,0)-MATCH($A$1,[2]characters!$1:$1,0)+1),MATCH(F$1,[2]characters!$1:$1,0)-MATCH($A$1,[2]characters!$1:$1,0)+1,FALSE)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32" s="66">
        <v>1</v>
      </c>
      <c r="H1232" s="66">
        <v>2</v>
      </c>
      <c r="I1232" s="66">
        <v>1</v>
      </c>
    </row>
    <row r="1233" spans="1:9" x14ac:dyDescent="0.15">
      <c r="A1233" s="66">
        <f t="shared" si="0"/>
        <v>8059</v>
      </c>
      <c r="B1233" s="3" t="str">
        <f ca="1">VLOOKUP($A1233,OFFSET([2]characters!$A$1,0,0,COUNTA([2]characters!$A:$A),MATCH(B$1,[2]characters!$1:$1,0)-MATCH($A$1,[2]characters!$1:$1,0)+1),MATCH(B$1,[2]characters!$1:$1,0)-MATCH($A$1,[2]characters!$1:$1,0)+1,FALSE)</f>
        <v>カカシ_マイメロディコスプレ</v>
      </c>
      <c r="C1233" s="93">
        <f ca="1">VLOOKUP($A1233,OFFSET(fork_awake_units!$A$1,0,0,COUNTA(fork_awake_units!$A:$A),MATCH(C$1,fork_awake_units!$1:$1,0)-MATCH($A$1,fork_awake_units!$1:$1,0)+1),MATCH(C$1,fork_awake_units!$1:$1,0)-MATCH($A$1,fork_awake_units!$1:$1,0)+1,FALSE)</f>
        <v>8060</v>
      </c>
      <c r="D1233" s="3" t="str">
        <f ca="1">VLOOKUP($C1233,OFFSET([2]characters!$A$1,0,0,COUNTA([2]characters!$A:$A),MATCH(D$1,[2]characters!$1:$1,0)-MATCH($A$1,[2]characters!$1:$1,0)+1),MATCH(D$1,[2]characters!$1:$1,0)-MATCH($A$1,[2]characters!$1:$1,0)+1,FALSE)</f>
        <v>カカシ_マイメロディコスプレ</v>
      </c>
      <c r="E1233" s="66">
        <v>106</v>
      </c>
      <c r="F1233" s="3" t="str">
        <f ca="1">VLOOKUP($E1233,OFFSET([2]characters!$A$1,0,0,COUNTA([2]characters!$A:$A),MATCH(F$1,[2]characters!$1:$1,0)-MATCH($A$1,[2]characters!$1:$1,0)+1),MATCH(F$1,[2]characters!$1:$1,0)-MATCH($A$1,[2]characters!$1:$1,0)+1,FALSE)</f>
        <v>グリーンラビット</v>
      </c>
      <c r="G1233" s="66">
        <v>1</v>
      </c>
      <c r="H1233" s="66">
        <v>1</v>
      </c>
      <c r="I1233" s="66">
        <v>1</v>
      </c>
    </row>
    <row r="1234" spans="1:9" x14ac:dyDescent="0.15">
      <c r="A1234" s="66">
        <f t="shared" si="0"/>
        <v>8059</v>
      </c>
      <c r="B1234" s="3" t="str">
        <f ca="1">VLOOKUP($A1234,OFFSET([2]characters!$A$1,0,0,COUNTA([2]characters!$A:$A),MATCH(B$1,[2]characters!$1:$1,0)-MATCH($A$1,[2]characters!$1:$1,0)+1),MATCH(B$1,[2]characters!$1:$1,0)-MATCH($A$1,[2]characters!$1:$1,0)+1,FALSE)</f>
        <v>カカシ_マイメロディコスプレ</v>
      </c>
      <c r="C1234" s="93">
        <f ca="1">VLOOKUP($A1234,OFFSET(fork_awake_units!$A$1,0,0,COUNTA(fork_awake_units!$A:$A),MATCH(C$1,fork_awake_units!$1:$1,0)-MATCH($A$1,fork_awake_units!$1:$1,0)+1),MATCH(C$1,fork_awake_units!$1:$1,0)-MATCH($A$1,fork_awake_units!$1:$1,0)+1,FALSE)</f>
        <v>8060</v>
      </c>
      <c r="D1234" s="3" t="str">
        <f ca="1">VLOOKUP($C1234,OFFSET([2]characters!$A$1,0,0,COUNTA([2]characters!$A:$A),MATCH(D$1,[2]characters!$1:$1,0)-MATCH($A$1,[2]characters!$1:$1,0)+1),MATCH(D$1,[2]characters!$1:$1,0)-MATCH($A$1,[2]characters!$1:$1,0)+1,FALSE)</f>
        <v>カカシ_マイメロディコスプレ</v>
      </c>
      <c r="E1234" s="66">
        <v>107</v>
      </c>
      <c r="F1234" s="3" t="str">
        <f ca="1">VLOOKUP($E1234,OFFSET([2]characters!$A$1,0,0,COUNTA([2]characters!$A:$A),MATCH(F$1,[2]characters!$1:$1,0)-MATCH($A$1,[2]characters!$1:$1,0)+1),MATCH(F$1,[2]characters!$1:$1,0)-MATCH($A$1,[2]characters!$1:$1,0)+1,FALSE)</f>
        <v>グリーンキャタップ</v>
      </c>
      <c r="G1234" s="66">
        <v>2</v>
      </c>
      <c r="H1234" s="66">
        <v>1</v>
      </c>
      <c r="I1234" s="66">
        <v>1</v>
      </c>
    </row>
    <row r="1235" spans="1:9" x14ac:dyDescent="0.15">
      <c r="A1235" s="66">
        <f t="shared" si="0"/>
        <v>8059</v>
      </c>
      <c r="B1235" s="3" t="str">
        <f ca="1">VLOOKUP($A1235,OFFSET([2]characters!$A$1,0,0,COUNTA([2]characters!$A:$A),MATCH(B$1,[2]characters!$1:$1,0)-MATCH($A$1,[2]characters!$1:$1,0)+1),MATCH(B$1,[2]characters!$1:$1,0)-MATCH($A$1,[2]characters!$1:$1,0)+1,FALSE)</f>
        <v>カカシ_マイメロディコスプレ</v>
      </c>
      <c r="C1235" s="93">
        <f ca="1">VLOOKUP($A1235,OFFSET(fork_awake_units!$A$1,0,0,COUNTA(fork_awake_units!$A:$A),MATCH(C$1,fork_awake_units!$1:$1,0)-MATCH($A$1,fork_awake_units!$1:$1,0)+1),MATCH(C$1,fork_awake_units!$1:$1,0)-MATCH($A$1,fork_awake_units!$1:$1,0)+1,FALSE)</f>
        <v>8060</v>
      </c>
      <c r="D1235" s="3" t="str">
        <f ca="1">VLOOKUP($C1235,OFFSET([2]characters!$A$1,0,0,COUNTA([2]characters!$A:$A),MATCH(D$1,[2]characters!$1:$1,0)-MATCH($A$1,[2]characters!$1:$1,0)+1),MATCH(D$1,[2]characters!$1:$1,0)-MATCH($A$1,[2]characters!$1:$1,0)+1,FALSE)</f>
        <v>カカシ_マイメロディコスプレ</v>
      </c>
      <c r="E1235" s="66">
        <v>8052</v>
      </c>
      <c r="F1235" s="3" t="str">
        <f ca="1">VLOOKUP($E1235,OFFSET([2]characters!$A$1,0,0,COUNTA([2]characters!$A:$A),MATCH(F$1,[2]characters!$1:$1,0)-MATCH($A$1,[2]characters!$1:$1,0)+1),MATCH(F$1,[2]characters!$1:$1,0)-MATCH($A$1,[2]characters!$1:$1,0)+1,FALSE)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35" s="66">
        <v>1</v>
      </c>
      <c r="H1235" s="66">
        <v>2</v>
      </c>
      <c r="I1235" s="66">
        <v>1</v>
      </c>
    </row>
    <row r="1236" spans="1:9" x14ac:dyDescent="0.15">
      <c r="A1236" s="66">
        <f t="shared" si="0"/>
        <v>8061</v>
      </c>
      <c r="B1236" s="3" t="str">
        <f ca="1">VLOOKUP($A1236,OFFSET([2]characters!$A$1,0,0,COUNTA([2]characters!$A:$A),MATCH(B$1,[2]characters!$1:$1,0)-MATCH($A$1,[2]characters!$1:$1,0)+1),MATCH(B$1,[2]characters!$1:$1,0)-MATCH($A$1,[2]characters!$1:$1,0)+1,FALSE)</f>
        <v>ケロケロけろっぴ</v>
      </c>
      <c r="C1236" s="93">
        <f ca="1">VLOOKUP($A1236,OFFSET(fork_awake_units!$A$1,0,0,COUNTA(fork_awake_units!$A:$A),MATCH(C$1,fork_awake_units!$1:$1,0)-MATCH($A$1,fork_awake_units!$1:$1,0)+1),MATCH(C$1,fork_awake_units!$1:$1,0)-MATCH($A$1,fork_awake_units!$1:$1,0)+1,FALSE)</f>
        <v>8062</v>
      </c>
      <c r="D1236" s="3" t="str">
        <f ca="1">VLOOKUP($C1236,OFFSET([2]characters!$A$1,0,0,COUNTA([2]characters!$A:$A),MATCH(D$1,[2]characters!$1:$1,0)-MATCH($A$1,[2]characters!$1:$1,0)+1),MATCH(D$1,[2]characters!$1:$1,0)-MATCH($A$1,[2]characters!$1:$1,0)+1,FALSE)</f>
        <v>ケロケロけろっぴ</v>
      </c>
      <c r="E1236" s="66">
        <v>105</v>
      </c>
      <c r="F1236" s="3" t="str">
        <f ca="1">VLOOKUP($E1236,OFFSET([2]characters!$A$1,0,0,COUNTA([2]characters!$A:$A),MATCH(F$1,[2]characters!$1:$1,0)-MATCH($A$1,[2]characters!$1:$1,0)+1),MATCH(F$1,[2]characters!$1:$1,0)-MATCH($A$1,[2]characters!$1:$1,0)+1,FALSE)</f>
        <v>グリーンチェシャ</v>
      </c>
      <c r="G1236" s="66">
        <v>3</v>
      </c>
      <c r="H1236" s="66">
        <v>1</v>
      </c>
      <c r="I1236" s="66">
        <v>1</v>
      </c>
    </row>
    <row r="1237" spans="1:9" x14ac:dyDescent="0.15">
      <c r="A1237" s="66">
        <f t="shared" si="0"/>
        <v>8061</v>
      </c>
      <c r="B1237" s="3" t="str">
        <f ca="1">VLOOKUP($A1237,OFFSET([2]characters!$A$1,0,0,COUNTA([2]characters!$A:$A),MATCH(B$1,[2]characters!$1:$1,0)-MATCH($A$1,[2]characters!$1:$1,0)+1),MATCH(B$1,[2]characters!$1:$1,0)-MATCH($A$1,[2]characters!$1:$1,0)+1,FALSE)</f>
        <v>ケロケロけろっぴ</v>
      </c>
      <c r="C1237" s="93">
        <f ca="1">VLOOKUP($A1237,OFFSET(fork_awake_units!$A$1,0,0,COUNTA(fork_awake_units!$A:$A),MATCH(C$1,fork_awake_units!$1:$1,0)-MATCH($A$1,fork_awake_units!$1:$1,0)+1),MATCH(C$1,fork_awake_units!$1:$1,0)-MATCH($A$1,fork_awake_units!$1:$1,0)+1,FALSE)</f>
        <v>8062</v>
      </c>
      <c r="D1237" s="3" t="str">
        <f ca="1">VLOOKUP($C1237,OFFSET([2]characters!$A$1,0,0,COUNTA([2]characters!$A:$A),MATCH(D$1,[2]characters!$1:$1,0)-MATCH($A$1,[2]characters!$1:$1,0)+1),MATCH(D$1,[2]characters!$1:$1,0)-MATCH($A$1,[2]characters!$1:$1,0)+1,FALSE)</f>
        <v>ケロケロけろっぴ</v>
      </c>
      <c r="E1237" s="66">
        <v>106</v>
      </c>
      <c r="F1237" s="3" t="str">
        <f ca="1">VLOOKUP($E1237,OFFSET([2]characters!$A$1,0,0,COUNTA([2]characters!$A:$A),MATCH(F$1,[2]characters!$1:$1,0)-MATCH($A$1,[2]characters!$1:$1,0)+1),MATCH(F$1,[2]characters!$1:$1,0)-MATCH($A$1,[2]characters!$1:$1,0)+1,FALSE)</f>
        <v>グリーンラビット</v>
      </c>
      <c r="G1237" s="66">
        <v>1</v>
      </c>
      <c r="H1237" s="66">
        <v>1</v>
      </c>
      <c r="I1237" s="66">
        <v>1</v>
      </c>
    </row>
    <row r="1238" spans="1:9" x14ac:dyDescent="0.15">
      <c r="A1238" s="66">
        <f t="shared" si="0"/>
        <v>8061</v>
      </c>
      <c r="B1238" s="3" t="str">
        <f ca="1">VLOOKUP($A1238,OFFSET([2]characters!$A$1,0,0,COUNTA([2]characters!$A:$A),MATCH(B$1,[2]characters!$1:$1,0)-MATCH($A$1,[2]characters!$1:$1,0)+1),MATCH(B$1,[2]characters!$1:$1,0)-MATCH($A$1,[2]characters!$1:$1,0)+1,FALSE)</f>
        <v>ケロケロけろっぴ</v>
      </c>
      <c r="C1238" s="93">
        <f ca="1">VLOOKUP($A1238,OFFSET(fork_awake_units!$A$1,0,0,COUNTA(fork_awake_units!$A:$A),MATCH(C$1,fork_awake_units!$1:$1,0)-MATCH($A$1,fork_awake_units!$1:$1,0)+1),MATCH(C$1,fork_awake_units!$1:$1,0)-MATCH($A$1,fork_awake_units!$1:$1,0)+1,FALSE)</f>
        <v>8062</v>
      </c>
      <c r="D1238" s="3" t="str">
        <f ca="1">VLOOKUP($C1238,OFFSET([2]characters!$A$1,0,0,COUNTA([2]characters!$A:$A),MATCH(D$1,[2]characters!$1:$1,0)-MATCH($A$1,[2]characters!$1:$1,0)+1),MATCH(D$1,[2]characters!$1:$1,0)-MATCH($A$1,[2]characters!$1:$1,0)+1,FALSE)</f>
        <v>ケロケロけろっぴ</v>
      </c>
      <c r="E1238" s="66">
        <v>107</v>
      </c>
      <c r="F1238" s="3" t="str">
        <f ca="1">VLOOKUP($E1238,OFFSET([2]characters!$A$1,0,0,COUNTA([2]characters!$A:$A),MATCH(F$1,[2]characters!$1:$1,0)-MATCH($A$1,[2]characters!$1:$1,0)+1),MATCH(F$1,[2]characters!$1:$1,0)-MATCH($A$1,[2]characters!$1:$1,0)+1,FALSE)</f>
        <v>グリーンキャタップ</v>
      </c>
      <c r="G1238" s="66">
        <v>1</v>
      </c>
      <c r="H1238" s="66">
        <v>1</v>
      </c>
      <c r="I1238" s="66">
        <v>1</v>
      </c>
    </row>
    <row r="1239" spans="1:9" x14ac:dyDescent="0.15">
      <c r="A1239" s="66">
        <f t="shared" si="0"/>
        <v>8063</v>
      </c>
      <c r="B1239" s="3" t="str">
        <f ca="1">VLOOKUP($A1239,OFFSET([2]characters!$A$1,0,0,COUNTA([2]characters!$A:$A),MATCH(B$1,[2]characters!$1:$1,0)-MATCH($A$1,[2]characters!$1:$1,0)+1),MATCH(B$1,[2]characters!$1:$1,0)-MATCH($A$1,[2]characters!$1:$1,0)+1,FALSE)</f>
        <v>モルドレッド_ポムポムプリンコスプレ</v>
      </c>
      <c r="C1239" s="93">
        <f ca="1">VLOOKUP($A1239,OFFSET(fork_awake_units!$A$1,0,0,COUNTA(fork_awake_units!$A:$A),MATCH(C$1,fork_awake_units!$1:$1,0)-MATCH($A$1,fork_awake_units!$1:$1,0)+1),MATCH(C$1,fork_awake_units!$1:$1,0)-MATCH($A$1,fork_awake_units!$1:$1,0)+1,FALSE)</f>
        <v>8064</v>
      </c>
      <c r="D1239" s="3" t="str">
        <f ca="1">VLOOKUP($C1239,OFFSET([2]characters!$A$1,0,0,COUNTA([2]characters!$A:$A),MATCH(D$1,[2]characters!$1:$1,0)-MATCH($A$1,[2]characters!$1:$1,0)+1),MATCH(D$1,[2]characters!$1:$1,0)-MATCH($A$1,[2]characters!$1:$1,0)+1,FALSE)</f>
        <v>モルドレッド_ポムポムプリンコスプレ</v>
      </c>
      <c r="E1239" s="66">
        <v>111</v>
      </c>
      <c r="F1239" s="3" t="str">
        <f ca="1">VLOOKUP($E1239,OFFSET([2]characters!$A$1,0,0,COUNTA([2]characters!$A:$A),MATCH(F$1,[2]characters!$1:$1,0)-MATCH($A$1,[2]characters!$1:$1,0)+1),MATCH(F$1,[2]characters!$1:$1,0)-MATCH($A$1,[2]characters!$1:$1,0)+1,FALSE)</f>
        <v>ブルーキャタップ</v>
      </c>
      <c r="G1239" s="66">
        <v>1</v>
      </c>
      <c r="H1239" s="66">
        <v>1</v>
      </c>
      <c r="I1239" s="66">
        <v>1</v>
      </c>
    </row>
    <row r="1240" spans="1:9" x14ac:dyDescent="0.15">
      <c r="A1240" s="66">
        <f t="shared" si="0"/>
        <v>8063</v>
      </c>
      <c r="B1240" s="3" t="str">
        <f ca="1">VLOOKUP($A1240,OFFSET([2]characters!$A$1,0,0,COUNTA([2]characters!$A:$A),MATCH(B$1,[2]characters!$1:$1,0)-MATCH($A$1,[2]characters!$1:$1,0)+1),MATCH(B$1,[2]characters!$1:$1,0)-MATCH($A$1,[2]characters!$1:$1,0)+1,FALSE)</f>
        <v>モルドレッド_ポムポムプリンコスプレ</v>
      </c>
      <c r="C1240" s="93">
        <f ca="1">VLOOKUP($A1240,OFFSET(fork_awake_units!$A$1,0,0,COUNTA(fork_awake_units!$A:$A),MATCH(C$1,fork_awake_units!$1:$1,0)-MATCH($A$1,fork_awake_units!$1:$1,0)+1),MATCH(C$1,fork_awake_units!$1:$1,0)-MATCH($A$1,fork_awake_units!$1:$1,0)+1,FALSE)</f>
        <v>8064</v>
      </c>
      <c r="D1240" s="3" t="str">
        <f ca="1">VLOOKUP($C1240,OFFSET([2]characters!$A$1,0,0,COUNTA([2]characters!$A:$A),MATCH(D$1,[2]characters!$1:$1,0)-MATCH($A$1,[2]characters!$1:$1,0)+1),MATCH(D$1,[2]characters!$1:$1,0)-MATCH($A$1,[2]characters!$1:$1,0)+1,FALSE)</f>
        <v>モルドレッド_ポムポムプリンコスプレ</v>
      </c>
      <c r="E1240" s="66">
        <v>837</v>
      </c>
      <c r="F1240" s="3" t="str">
        <f ca="1">VLOOKUP($E1240,OFFSET([2]characters!$A$1,0,0,COUNTA([2]characters!$A:$A),MATCH(F$1,[2]characters!$1:$1,0)-MATCH($A$1,[2]characters!$1:$1,0)+1),MATCH(F$1,[2]characters!$1:$1,0)-MATCH($A$1,[2]characters!$1:$1,0)+1,FALSE)</f>
        <v>リトルハンプティ</v>
      </c>
      <c r="G1240" s="66">
        <v>1</v>
      </c>
      <c r="H1240" s="66">
        <v>1</v>
      </c>
      <c r="I1240" s="66">
        <v>1</v>
      </c>
    </row>
    <row r="1241" spans="1:9" x14ac:dyDescent="0.15">
      <c r="A1241" s="66">
        <f t="shared" si="0"/>
        <v>8063</v>
      </c>
      <c r="B1241" s="3" t="str">
        <f ca="1">VLOOKUP($A1241,OFFSET([2]characters!$A$1,0,0,COUNTA([2]characters!$A:$A),MATCH(B$1,[2]characters!$1:$1,0)-MATCH($A$1,[2]characters!$1:$1,0)+1),MATCH(B$1,[2]characters!$1:$1,0)-MATCH($A$1,[2]characters!$1:$1,0)+1,FALSE)</f>
        <v>モルドレッド_ポムポムプリンコスプレ</v>
      </c>
      <c r="C1241" s="93">
        <f ca="1">VLOOKUP($A1241,OFFSET(fork_awake_units!$A$1,0,0,COUNTA(fork_awake_units!$A:$A),MATCH(C$1,fork_awake_units!$1:$1,0)-MATCH($A$1,fork_awake_units!$1:$1,0)+1),MATCH(C$1,fork_awake_units!$1:$1,0)-MATCH($A$1,fork_awake_units!$1:$1,0)+1,FALSE)</f>
        <v>8064</v>
      </c>
      <c r="D1241" s="3" t="str">
        <f ca="1">VLOOKUP($C1241,OFFSET([2]characters!$A$1,0,0,COUNTA([2]characters!$A:$A),MATCH(D$1,[2]characters!$1:$1,0)-MATCH($A$1,[2]characters!$1:$1,0)+1),MATCH(D$1,[2]characters!$1:$1,0)-MATCH($A$1,[2]characters!$1:$1,0)+1,FALSE)</f>
        <v>モルドレッド_ポムポムプリンコスプレ</v>
      </c>
      <c r="E1241" s="66">
        <v>8051</v>
      </c>
      <c r="F1241" s="3" t="str">
        <f ca="1">VLOOKUP($E1241,OFFSET([2]characters!$A$1,0,0,COUNTA([2]characters!$A:$A),MATCH(F$1,[2]characters!$1:$1,0)-MATCH($A$1,[2]characters!$1:$1,0)+1),MATCH(F$1,[2]characters!$1:$1,0)-MATCH($A$1,[2]characters!$1:$1,0)+1,FALSE)</f>
        <v>ハローキティのリボン</v>
      </c>
      <c r="G1241" s="66">
        <v>1</v>
      </c>
      <c r="H1241" s="66">
        <v>2</v>
      </c>
      <c r="I1241" s="66">
        <v>1</v>
      </c>
    </row>
    <row r="1242" spans="1:9" x14ac:dyDescent="0.15">
      <c r="A1242" s="66">
        <f t="shared" si="0"/>
        <v>8063</v>
      </c>
      <c r="B1242" s="3" t="str">
        <f ca="1">VLOOKUP($A1242,OFFSET([2]characters!$A$1,0,0,COUNTA([2]characters!$A:$A),MATCH(B$1,[2]characters!$1:$1,0)-MATCH($A$1,[2]characters!$1:$1,0)+1),MATCH(B$1,[2]characters!$1:$1,0)-MATCH($A$1,[2]characters!$1:$1,0)+1,FALSE)</f>
        <v>モルドレッド_ポムポムプリンコスプレ</v>
      </c>
      <c r="C1242" s="93">
        <f ca="1">VLOOKUP($A1242,OFFSET(fork_awake_units!$A$1,0,0,COUNTA(fork_awake_units!$A:$A),MATCH(C$1,fork_awake_units!$1:$1,0)-MATCH($A$1,fork_awake_units!$1:$1,0)+1),MATCH(C$1,fork_awake_units!$1:$1,0)-MATCH($A$1,fork_awake_units!$1:$1,0)+1,FALSE)</f>
        <v>8064</v>
      </c>
      <c r="D1242" s="3" t="str">
        <f ca="1">VLOOKUP($C1242,OFFSET([2]characters!$A$1,0,0,COUNTA([2]characters!$A:$A),MATCH(D$1,[2]characters!$1:$1,0)-MATCH($A$1,[2]characters!$1:$1,0)+1),MATCH(D$1,[2]characters!$1:$1,0)-MATCH($A$1,[2]characters!$1:$1,0)+1,FALSE)</f>
        <v>モルドレッド_ポムポムプリンコスプレ</v>
      </c>
      <c r="E1242" s="66">
        <v>8052</v>
      </c>
      <c r="F1242" s="3" t="str">
        <f ca="1">VLOOKUP($E1242,OFFSET([2]characters!$A$1,0,0,COUNTA([2]characters!$A:$A),MATCH(F$1,[2]characters!$1:$1,0)-MATCH($A$1,[2]characters!$1:$1,0)+1),MATCH(F$1,[2]characters!$1:$1,0)-MATCH($A$1,[2]characters!$1:$1,0)+1,FALSE)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42" s="66">
        <v>1</v>
      </c>
      <c r="H1242" s="66">
        <v>2</v>
      </c>
      <c r="I1242" s="66">
        <v>1</v>
      </c>
    </row>
    <row r="1243" spans="1:9" x14ac:dyDescent="0.15">
      <c r="A1243" s="66">
        <f t="shared" si="0"/>
        <v>8065</v>
      </c>
      <c r="B1243" s="3" t="str">
        <f ca="1">VLOOKUP($A1243,OFFSET([2]characters!$A$1,0,0,COUNTA([2]characters!$A:$A),MATCH(B$1,[2]characters!$1:$1,0)-MATCH($A$1,[2]characters!$1:$1,0)+1),MATCH(B$1,[2]characters!$1:$1,0)-MATCH($A$1,[2]characters!$1:$1,0)+1,FALSE)</f>
        <v>クロミ</v>
      </c>
      <c r="C1243" s="93">
        <f ca="1">VLOOKUP($A1243,OFFSET(fork_awake_units!$A$1,0,0,COUNTA(fork_awake_units!$A:$A),MATCH(C$1,fork_awake_units!$1:$1,0)-MATCH($A$1,fork_awake_units!$1:$1,0)+1),MATCH(C$1,fork_awake_units!$1:$1,0)-MATCH($A$1,fork_awake_units!$1:$1,0)+1,FALSE)</f>
        <v>8066</v>
      </c>
      <c r="D1243" s="3" t="str">
        <f ca="1">VLOOKUP($C1243,OFFSET([2]characters!$A$1,0,0,COUNTA([2]characters!$A:$A),MATCH(D$1,[2]characters!$1:$1,0)-MATCH($A$1,[2]characters!$1:$1,0)+1),MATCH(D$1,[2]characters!$1:$1,0)-MATCH($A$1,[2]characters!$1:$1,0)+1,FALSE)</f>
        <v>クロミ</v>
      </c>
      <c r="E1243" s="66">
        <v>109</v>
      </c>
      <c r="F1243" s="3" t="str">
        <f ca="1">VLOOKUP($E1243,OFFSET([2]characters!$A$1,0,0,COUNTA([2]characters!$A:$A),MATCH(F$1,[2]characters!$1:$1,0)-MATCH($A$1,[2]characters!$1:$1,0)+1),MATCH(F$1,[2]characters!$1:$1,0)-MATCH($A$1,[2]characters!$1:$1,0)+1,FALSE)</f>
        <v>ブルーチェシャ</v>
      </c>
      <c r="G1243" s="66">
        <v>3</v>
      </c>
      <c r="H1243" s="66">
        <v>1</v>
      </c>
      <c r="I1243" s="66">
        <v>1</v>
      </c>
    </row>
    <row r="1244" spans="1:9" x14ac:dyDescent="0.15">
      <c r="A1244" s="66">
        <f t="shared" si="0"/>
        <v>8065</v>
      </c>
      <c r="B1244" s="3" t="str">
        <f ca="1">VLOOKUP($A1244,OFFSET([2]characters!$A$1,0,0,COUNTA([2]characters!$A:$A),MATCH(B$1,[2]characters!$1:$1,0)-MATCH($A$1,[2]characters!$1:$1,0)+1),MATCH(B$1,[2]characters!$1:$1,0)-MATCH($A$1,[2]characters!$1:$1,0)+1,FALSE)</f>
        <v>クロミ</v>
      </c>
      <c r="C1244" s="93">
        <f ca="1">VLOOKUP($A1244,OFFSET(fork_awake_units!$A$1,0,0,COUNTA(fork_awake_units!$A:$A),MATCH(C$1,fork_awake_units!$1:$1,0)-MATCH($A$1,fork_awake_units!$1:$1,0)+1),MATCH(C$1,fork_awake_units!$1:$1,0)-MATCH($A$1,fork_awake_units!$1:$1,0)+1,FALSE)</f>
        <v>8066</v>
      </c>
      <c r="D1244" s="3" t="str">
        <f ca="1">VLOOKUP($C1244,OFFSET([2]characters!$A$1,0,0,COUNTA([2]characters!$A:$A),MATCH(D$1,[2]characters!$1:$1,0)-MATCH($A$1,[2]characters!$1:$1,0)+1),MATCH(D$1,[2]characters!$1:$1,0)-MATCH($A$1,[2]characters!$1:$1,0)+1,FALSE)</f>
        <v>クロミ</v>
      </c>
      <c r="E1244" s="66">
        <v>110</v>
      </c>
      <c r="F1244" s="3" t="str">
        <f ca="1">VLOOKUP($E1244,OFFSET([2]characters!$A$1,0,0,COUNTA([2]characters!$A:$A),MATCH(F$1,[2]characters!$1:$1,0)-MATCH($A$1,[2]characters!$1:$1,0)+1),MATCH(F$1,[2]characters!$1:$1,0)-MATCH($A$1,[2]characters!$1:$1,0)+1,FALSE)</f>
        <v>ブルーラビット</v>
      </c>
      <c r="G1244" s="66">
        <v>1</v>
      </c>
      <c r="H1244" s="66">
        <v>1</v>
      </c>
      <c r="I1244" s="66">
        <v>1</v>
      </c>
    </row>
    <row r="1245" spans="1:9" x14ac:dyDescent="0.15">
      <c r="A1245" s="66">
        <f t="shared" si="0"/>
        <v>8065</v>
      </c>
      <c r="B1245" s="3" t="str">
        <f ca="1">VLOOKUP($A1245,OFFSET([2]characters!$A$1,0,0,COUNTA([2]characters!$A:$A),MATCH(B$1,[2]characters!$1:$1,0)-MATCH($A$1,[2]characters!$1:$1,0)+1),MATCH(B$1,[2]characters!$1:$1,0)-MATCH($A$1,[2]characters!$1:$1,0)+1,FALSE)</f>
        <v>クロミ</v>
      </c>
      <c r="C1245" s="93">
        <f ca="1">VLOOKUP($A1245,OFFSET(fork_awake_units!$A$1,0,0,COUNTA(fork_awake_units!$A:$A),MATCH(C$1,fork_awake_units!$1:$1,0)-MATCH($A$1,fork_awake_units!$1:$1,0)+1),MATCH(C$1,fork_awake_units!$1:$1,0)-MATCH($A$1,fork_awake_units!$1:$1,0)+1,FALSE)</f>
        <v>8066</v>
      </c>
      <c r="D1245" s="3" t="str">
        <f ca="1">VLOOKUP($C1245,OFFSET([2]characters!$A$1,0,0,COUNTA([2]characters!$A:$A),MATCH(D$1,[2]characters!$1:$1,0)-MATCH($A$1,[2]characters!$1:$1,0)+1),MATCH(D$1,[2]characters!$1:$1,0)-MATCH($A$1,[2]characters!$1:$1,0)+1,FALSE)</f>
        <v>クロミ</v>
      </c>
      <c r="E1245" s="66">
        <v>111</v>
      </c>
      <c r="F1245" s="3" t="str">
        <f ca="1">VLOOKUP($E1245,OFFSET([2]characters!$A$1,0,0,COUNTA([2]characters!$A:$A),MATCH(F$1,[2]characters!$1:$1,0)-MATCH($A$1,[2]characters!$1:$1,0)+1),MATCH(F$1,[2]characters!$1:$1,0)-MATCH($A$1,[2]characters!$1:$1,0)+1,FALSE)</f>
        <v>ブルーキャタップ</v>
      </c>
      <c r="G1245" s="66">
        <v>1</v>
      </c>
      <c r="H1245" s="66">
        <v>1</v>
      </c>
      <c r="I1245" s="66">
        <v>1</v>
      </c>
    </row>
    <row r="1246" spans="1:9" x14ac:dyDescent="0.15">
      <c r="A1246" s="66">
        <f t="shared" si="0"/>
        <v>8067</v>
      </c>
      <c r="B1246" s="3" t="str">
        <f ca="1">VLOOKUP($A1246,OFFSET([2]characters!$A$1,0,0,COUNTA([2]characters!$A:$A),MATCH(B$1,[2]characters!$1:$1,0)-MATCH($A$1,[2]characters!$1:$1,0)+1),MATCH(B$1,[2]characters!$1:$1,0)-MATCH($A$1,[2]characters!$1:$1,0)+1,FALSE)</f>
        <v>バッドばつ丸</v>
      </c>
      <c r="C1246" s="93">
        <f ca="1">VLOOKUP($A1246,OFFSET(fork_awake_units!$A$1,0,0,COUNTA(fork_awake_units!$A:$A),MATCH(C$1,fork_awake_units!$1:$1,0)-MATCH($A$1,fork_awake_units!$1:$1,0)+1),MATCH(C$1,fork_awake_units!$1:$1,0)-MATCH($A$1,fork_awake_units!$1:$1,0)+1,FALSE)</f>
        <v>8068</v>
      </c>
      <c r="D1246" s="3" t="str">
        <f ca="1">VLOOKUP($C1246,OFFSET([2]characters!$A$1,0,0,COUNTA([2]characters!$A:$A),MATCH(D$1,[2]characters!$1:$1,0)-MATCH($A$1,[2]characters!$1:$1,0)+1),MATCH(D$1,[2]characters!$1:$1,0)-MATCH($A$1,[2]characters!$1:$1,0)+1,FALSE)</f>
        <v>バッドばつ丸</v>
      </c>
      <c r="E1246" s="66">
        <v>109</v>
      </c>
      <c r="F1246" s="3" t="str">
        <f ca="1">VLOOKUP($E1246,OFFSET([2]characters!$A$1,0,0,COUNTA([2]characters!$A:$A),MATCH(F$1,[2]characters!$1:$1,0)-MATCH($A$1,[2]characters!$1:$1,0)+1),MATCH(F$1,[2]characters!$1:$1,0)-MATCH($A$1,[2]characters!$1:$1,0)+1,FALSE)</f>
        <v>ブルーチェシャ</v>
      </c>
      <c r="G1246" s="66">
        <v>3</v>
      </c>
      <c r="H1246" s="66">
        <v>1</v>
      </c>
      <c r="I1246" s="66">
        <v>1</v>
      </c>
    </row>
    <row r="1247" spans="1:9" x14ac:dyDescent="0.15">
      <c r="A1247" s="66">
        <f t="shared" si="0"/>
        <v>8067</v>
      </c>
      <c r="B1247" s="3" t="str">
        <f ca="1">VLOOKUP($A1247,OFFSET([2]characters!$A$1,0,0,COUNTA([2]characters!$A:$A),MATCH(B$1,[2]characters!$1:$1,0)-MATCH($A$1,[2]characters!$1:$1,0)+1),MATCH(B$1,[2]characters!$1:$1,0)-MATCH($A$1,[2]characters!$1:$1,0)+1,FALSE)</f>
        <v>バッドばつ丸</v>
      </c>
      <c r="C1247" s="93">
        <f ca="1">VLOOKUP($A1247,OFFSET(fork_awake_units!$A$1,0,0,COUNTA(fork_awake_units!$A:$A),MATCH(C$1,fork_awake_units!$1:$1,0)-MATCH($A$1,fork_awake_units!$1:$1,0)+1),MATCH(C$1,fork_awake_units!$1:$1,0)-MATCH($A$1,fork_awake_units!$1:$1,0)+1,FALSE)</f>
        <v>8068</v>
      </c>
      <c r="D1247" s="3" t="str">
        <f ca="1">VLOOKUP($C1247,OFFSET([2]characters!$A$1,0,0,COUNTA([2]characters!$A:$A),MATCH(D$1,[2]characters!$1:$1,0)-MATCH($A$1,[2]characters!$1:$1,0)+1),MATCH(D$1,[2]characters!$1:$1,0)-MATCH($A$1,[2]characters!$1:$1,0)+1,FALSE)</f>
        <v>バッドばつ丸</v>
      </c>
      <c r="E1247" s="66">
        <v>110</v>
      </c>
      <c r="F1247" s="3" t="str">
        <f ca="1">VLOOKUP($E1247,OFFSET([2]characters!$A$1,0,0,COUNTA([2]characters!$A:$A),MATCH(F$1,[2]characters!$1:$1,0)-MATCH($A$1,[2]characters!$1:$1,0)+1),MATCH(F$1,[2]characters!$1:$1,0)-MATCH($A$1,[2]characters!$1:$1,0)+1,FALSE)</f>
        <v>ブルーラビット</v>
      </c>
      <c r="G1247" s="66">
        <v>1</v>
      </c>
      <c r="H1247" s="66">
        <v>1</v>
      </c>
      <c r="I1247" s="66">
        <v>1</v>
      </c>
    </row>
    <row r="1248" spans="1:9" x14ac:dyDescent="0.15">
      <c r="A1248" s="66">
        <f t="shared" si="0"/>
        <v>8067</v>
      </c>
      <c r="B1248" s="3" t="str">
        <f ca="1">VLOOKUP($A1248,OFFSET([2]characters!$A$1,0,0,COUNTA([2]characters!$A:$A),MATCH(B$1,[2]characters!$1:$1,0)-MATCH($A$1,[2]characters!$1:$1,0)+1),MATCH(B$1,[2]characters!$1:$1,0)-MATCH($A$1,[2]characters!$1:$1,0)+1,FALSE)</f>
        <v>バッドばつ丸</v>
      </c>
      <c r="C1248" s="93">
        <f ca="1">VLOOKUP($A1248,OFFSET(fork_awake_units!$A$1,0,0,COUNTA(fork_awake_units!$A:$A),MATCH(C$1,fork_awake_units!$1:$1,0)-MATCH($A$1,fork_awake_units!$1:$1,0)+1),MATCH(C$1,fork_awake_units!$1:$1,0)-MATCH($A$1,fork_awake_units!$1:$1,0)+1,FALSE)</f>
        <v>8068</v>
      </c>
      <c r="D1248" s="3" t="str">
        <f ca="1">VLOOKUP($C1248,OFFSET([2]characters!$A$1,0,0,COUNTA([2]characters!$A:$A),MATCH(D$1,[2]characters!$1:$1,0)-MATCH($A$1,[2]characters!$1:$1,0)+1),MATCH(D$1,[2]characters!$1:$1,0)-MATCH($A$1,[2]characters!$1:$1,0)+1,FALSE)</f>
        <v>バッドばつ丸</v>
      </c>
      <c r="E1248" s="66">
        <v>111</v>
      </c>
      <c r="F1248" s="3" t="str">
        <f ca="1">VLOOKUP($E1248,OFFSET([2]characters!$A$1,0,0,COUNTA([2]characters!$A:$A),MATCH(F$1,[2]characters!$1:$1,0)-MATCH($A$1,[2]characters!$1:$1,0)+1),MATCH(F$1,[2]characters!$1:$1,0)-MATCH($A$1,[2]characters!$1:$1,0)+1,FALSE)</f>
        <v>ブルーキャタップ</v>
      </c>
      <c r="G1248" s="66">
        <v>1</v>
      </c>
      <c r="H1248" s="66">
        <v>1</v>
      </c>
      <c r="I1248" s="66">
        <v>1</v>
      </c>
    </row>
    <row r="1249" spans="1:9" x14ac:dyDescent="0.15">
      <c r="A1249" s="66">
        <f t="shared" si="0"/>
        <v>8069</v>
      </c>
      <c r="B1249" s="3" t="str">
        <f ca="1">VLOOKUP($A1249,OFFSET([2]characters!$A$1,0,0,COUNTA([2]characters!$A:$A),MATCH(B$1,[2]characters!$1:$1,0)-MATCH($A$1,[2]characters!$1:$1,0)+1),MATCH(B$1,[2]characters!$1:$1,0)-MATCH($A$1,[2]characters!$1:$1,0)+1,FALSE)</f>
        <v>シナモロール</v>
      </c>
      <c r="C1249" s="93">
        <f ca="1">VLOOKUP($A1249,OFFSET(fork_awake_units!$A$1,0,0,COUNTA(fork_awake_units!$A:$A),MATCH(C$1,fork_awake_units!$1:$1,0)-MATCH($A$1,fork_awake_units!$1:$1,0)+1),MATCH(C$1,fork_awake_units!$1:$1,0)-MATCH($A$1,fork_awake_units!$1:$1,0)+1,FALSE)</f>
        <v>8070</v>
      </c>
      <c r="D1249" s="3" t="str">
        <f ca="1">VLOOKUP($C1249,OFFSET([2]characters!$A$1,0,0,COUNTA([2]characters!$A:$A),MATCH(D$1,[2]characters!$1:$1,0)-MATCH($A$1,[2]characters!$1:$1,0)+1),MATCH(D$1,[2]characters!$1:$1,0)-MATCH($A$1,[2]characters!$1:$1,0)+1,FALSE)</f>
        <v>シナモロール</v>
      </c>
      <c r="E1249" s="66">
        <v>114</v>
      </c>
      <c r="F1249" s="3" t="str">
        <f ca="1">VLOOKUP($E1249,OFFSET([2]characters!$A$1,0,0,COUNTA([2]characters!$A:$A),MATCH(F$1,[2]characters!$1:$1,0)-MATCH($A$1,[2]characters!$1:$1,0)+1),MATCH(F$1,[2]characters!$1:$1,0)-MATCH($A$1,[2]characters!$1:$1,0)+1,FALSE)</f>
        <v>イエローラビット</v>
      </c>
      <c r="G1249" s="66">
        <v>1</v>
      </c>
      <c r="H1249" s="66">
        <v>1</v>
      </c>
      <c r="I1249" s="66">
        <v>1</v>
      </c>
    </row>
    <row r="1250" spans="1:9" x14ac:dyDescent="0.15">
      <c r="A1250" s="66">
        <f t="shared" si="0"/>
        <v>8069</v>
      </c>
      <c r="B1250" s="3" t="str">
        <f ca="1">VLOOKUP($A1250,OFFSET([2]characters!$A$1,0,0,COUNTA([2]characters!$A:$A),MATCH(B$1,[2]characters!$1:$1,0)-MATCH($A$1,[2]characters!$1:$1,0)+1),MATCH(B$1,[2]characters!$1:$1,0)-MATCH($A$1,[2]characters!$1:$1,0)+1,FALSE)</f>
        <v>シナモロール</v>
      </c>
      <c r="C1250" s="93">
        <f ca="1">VLOOKUP($A1250,OFFSET(fork_awake_units!$A$1,0,0,COUNTA(fork_awake_units!$A:$A),MATCH(C$1,fork_awake_units!$1:$1,0)-MATCH($A$1,fork_awake_units!$1:$1,0)+1),MATCH(C$1,fork_awake_units!$1:$1,0)-MATCH($A$1,fork_awake_units!$1:$1,0)+1,FALSE)</f>
        <v>8070</v>
      </c>
      <c r="D1250" s="3" t="str">
        <f ca="1">VLOOKUP($C1250,OFFSET([2]characters!$A$1,0,0,COUNTA([2]characters!$A:$A),MATCH(D$1,[2]characters!$1:$1,0)-MATCH($A$1,[2]characters!$1:$1,0)+1),MATCH(D$1,[2]characters!$1:$1,0)-MATCH($A$1,[2]characters!$1:$1,0)+1,FALSE)</f>
        <v>シナモロール</v>
      </c>
      <c r="E1250" s="66">
        <v>115</v>
      </c>
      <c r="F1250" s="3" t="str">
        <f ca="1">VLOOKUP($E1250,OFFSET([2]characters!$A$1,0,0,COUNTA([2]characters!$A:$A),MATCH(F$1,[2]characters!$1:$1,0)-MATCH($A$1,[2]characters!$1:$1,0)+1),MATCH(F$1,[2]characters!$1:$1,0)-MATCH($A$1,[2]characters!$1:$1,0)+1,FALSE)</f>
        <v>イエローキャタップ</v>
      </c>
      <c r="G1250" s="66">
        <v>2</v>
      </c>
      <c r="H1250" s="66">
        <v>1</v>
      </c>
      <c r="I1250" s="66">
        <v>1</v>
      </c>
    </row>
    <row r="1251" spans="1:9" x14ac:dyDescent="0.15">
      <c r="A1251" s="66">
        <f t="shared" si="0"/>
        <v>8069</v>
      </c>
      <c r="B1251" s="3" t="str">
        <f ca="1">VLOOKUP($A1251,OFFSET([2]characters!$A$1,0,0,COUNTA([2]characters!$A:$A),MATCH(B$1,[2]characters!$1:$1,0)-MATCH($A$1,[2]characters!$1:$1,0)+1),MATCH(B$1,[2]characters!$1:$1,0)-MATCH($A$1,[2]characters!$1:$1,0)+1,FALSE)</f>
        <v>シナモロール</v>
      </c>
      <c r="C1251" s="93">
        <f ca="1">VLOOKUP($A1251,OFFSET(fork_awake_units!$A$1,0,0,COUNTA(fork_awake_units!$A:$A),MATCH(C$1,fork_awake_units!$1:$1,0)-MATCH($A$1,fork_awake_units!$1:$1,0)+1),MATCH(C$1,fork_awake_units!$1:$1,0)-MATCH($A$1,fork_awake_units!$1:$1,0)+1,FALSE)</f>
        <v>8070</v>
      </c>
      <c r="D1251" s="3" t="str">
        <f ca="1">VLOOKUP($C1251,OFFSET([2]characters!$A$1,0,0,COUNTA([2]characters!$A:$A),MATCH(D$1,[2]characters!$1:$1,0)-MATCH($A$1,[2]characters!$1:$1,0)+1),MATCH(D$1,[2]characters!$1:$1,0)-MATCH($A$1,[2]characters!$1:$1,0)+1,FALSE)</f>
        <v>シナモロール</v>
      </c>
      <c r="E1251" s="66">
        <v>8052</v>
      </c>
      <c r="F1251" s="3" t="str">
        <f ca="1">VLOOKUP($E1251,OFFSET([2]characters!$A$1,0,0,COUNTA([2]characters!$A:$A),MATCH(F$1,[2]characters!$1:$1,0)-MATCH($A$1,[2]characters!$1:$1,0)+1),MATCH(F$1,[2]characters!$1:$1,0)-MATCH($A$1,[2]characters!$1:$1,0)+1,FALSE)</f>
        <v>ママの作ったアップルパイ</v>
      </c>
      <c r="G1251" s="66">
        <v>1</v>
      </c>
      <c r="H1251" s="66">
        <v>2</v>
      </c>
      <c r="I1251" s="66">
        <v>1</v>
      </c>
    </row>
    <row r="1252" spans="1:9" x14ac:dyDescent="0.15">
      <c r="A1252" s="66">
        <f t="shared" si="0"/>
        <v>8071</v>
      </c>
      <c r="B1252" s="3" t="str">
        <f ca="1">VLOOKUP($A1252,OFFSET([2]characters!$A$1,0,0,COUNTA([2]characters!$A:$A),MATCH(B$1,[2]characters!$1:$1,0)-MATCH($A$1,[2]characters!$1:$1,0)+1),MATCH(B$1,[2]characters!$1:$1,0)-MATCH($A$1,[2]characters!$1:$1,0)+1,FALSE)</f>
        <v>ポムポムプリン</v>
      </c>
      <c r="C1252" s="93">
        <f ca="1">VLOOKUP($A1252,OFFSET(fork_awake_units!$A$1,0,0,COUNTA(fork_awake_units!$A:$A),MATCH(C$1,fork_awake_units!$1:$1,0)-MATCH($A$1,fork_awake_units!$1:$1,0)+1),MATCH(C$1,fork_awake_units!$1:$1,0)-MATCH($A$1,fork_awake_units!$1:$1,0)+1,FALSE)</f>
        <v>8072</v>
      </c>
      <c r="D1252" s="3" t="str">
        <f ca="1">VLOOKUP($C1252,OFFSET([2]characters!$A$1,0,0,COUNTA([2]characters!$A:$A),MATCH(D$1,[2]characters!$1:$1,0)-MATCH($A$1,[2]characters!$1:$1,0)+1),MATCH(D$1,[2]characters!$1:$1,0)-MATCH($A$1,[2]characters!$1:$1,0)+1,FALSE)</f>
        <v>ポムポムプリン</v>
      </c>
      <c r="E1252" s="66">
        <v>113</v>
      </c>
      <c r="F1252" s="3" t="str">
        <f ca="1">VLOOKUP($E1252,OFFSET([2]characters!$A$1,0,0,COUNTA([2]characters!$A:$A),MATCH(F$1,[2]characters!$1:$1,0)-MATCH($A$1,[2]characters!$1:$1,0)+1),MATCH(F$1,[2]characters!$1:$1,0)-MATCH($A$1,[2]characters!$1:$1,0)+1,FALSE)</f>
        <v>イエローチェシャ</v>
      </c>
      <c r="G1252" s="66">
        <v>3</v>
      </c>
      <c r="H1252" s="66">
        <v>1</v>
      </c>
      <c r="I1252" s="66">
        <v>1</v>
      </c>
    </row>
    <row r="1253" spans="1:9" x14ac:dyDescent="0.15">
      <c r="A1253" s="66">
        <f t="shared" si="0"/>
        <v>8071</v>
      </c>
      <c r="B1253" s="3" t="str">
        <f ca="1">VLOOKUP($A1253,OFFSET([2]characters!$A$1,0,0,COUNTA([2]characters!$A:$A),MATCH(B$1,[2]characters!$1:$1,0)-MATCH($A$1,[2]characters!$1:$1,0)+1),MATCH(B$1,[2]characters!$1:$1,0)-MATCH($A$1,[2]characters!$1:$1,0)+1,FALSE)</f>
        <v>ポムポムプリン</v>
      </c>
      <c r="C1253" s="93">
        <f ca="1">VLOOKUP($A1253,OFFSET(fork_awake_units!$A$1,0,0,COUNTA(fork_awake_units!$A:$A),MATCH(C$1,fork_awake_units!$1:$1,0)-MATCH($A$1,fork_awake_units!$1:$1,0)+1),MATCH(C$1,fork_awake_units!$1:$1,0)-MATCH($A$1,fork_awake_units!$1:$1,0)+1,FALSE)</f>
        <v>8072</v>
      </c>
      <c r="D1253" s="3" t="str">
        <f ca="1">VLOOKUP($C1253,OFFSET([2]characters!$A$1,0,0,COUNTA([2]characters!$A:$A),MATCH(D$1,[2]characters!$1:$1,0)-MATCH($A$1,[2]characters!$1:$1,0)+1),MATCH(D$1,[2]characters!$1:$1,0)-MATCH($A$1,[2]characters!$1:$1,0)+1,FALSE)</f>
        <v>ポムポムプリン</v>
      </c>
      <c r="E1253" s="66">
        <v>114</v>
      </c>
      <c r="F1253" s="3" t="str">
        <f ca="1">VLOOKUP($E1253,OFFSET([2]characters!$A$1,0,0,COUNTA([2]characters!$A:$A),MATCH(F$1,[2]characters!$1:$1,0)-MATCH($A$1,[2]characters!$1:$1,0)+1),MATCH(F$1,[2]characters!$1:$1,0)-MATCH($A$1,[2]characters!$1:$1,0)+1,FALSE)</f>
        <v>イエローラビット</v>
      </c>
      <c r="G1253" s="66">
        <v>1</v>
      </c>
      <c r="H1253" s="66">
        <v>1</v>
      </c>
      <c r="I1253" s="66">
        <v>1</v>
      </c>
    </row>
    <row r="1254" spans="1:9" x14ac:dyDescent="0.15">
      <c r="A1254" s="66">
        <f t="shared" si="0"/>
        <v>8071</v>
      </c>
      <c r="B1254" s="3" t="str">
        <f ca="1">VLOOKUP($A1254,OFFSET([2]characters!$A$1,0,0,COUNTA([2]characters!$A:$A),MATCH(B$1,[2]characters!$1:$1,0)-MATCH($A$1,[2]characters!$1:$1,0)+1),MATCH(B$1,[2]characters!$1:$1,0)-MATCH($A$1,[2]characters!$1:$1,0)+1,FALSE)</f>
        <v>ポムポムプリン</v>
      </c>
      <c r="C1254" s="93">
        <f ca="1">VLOOKUP($A1254,OFFSET(fork_awake_units!$A$1,0,0,COUNTA(fork_awake_units!$A:$A),MATCH(C$1,fork_awake_units!$1:$1,0)-MATCH($A$1,fork_awake_units!$1:$1,0)+1),MATCH(C$1,fork_awake_units!$1:$1,0)-MATCH($A$1,fork_awake_units!$1:$1,0)+1,FALSE)</f>
        <v>8072</v>
      </c>
      <c r="D1254" s="3" t="str">
        <f ca="1">VLOOKUP($C1254,OFFSET([2]characters!$A$1,0,0,COUNTA([2]characters!$A:$A),MATCH(D$1,[2]characters!$1:$1,0)-MATCH($A$1,[2]characters!$1:$1,0)+1),MATCH(D$1,[2]characters!$1:$1,0)-MATCH($A$1,[2]characters!$1:$1,0)+1,FALSE)</f>
        <v>ポムポムプリン</v>
      </c>
      <c r="E1254" s="66">
        <v>115</v>
      </c>
      <c r="F1254" s="3" t="str">
        <f ca="1">VLOOKUP($E1254,OFFSET([2]characters!$A$1,0,0,COUNTA([2]characters!$A:$A),MATCH(F$1,[2]characters!$1:$1,0)-MATCH($A$1,[2]characters!$1:$1,0)+1),MATCH(F$1,[2]characters!$1:$1,0)-MATCH($A$1,[2]characters!$1:$1,0)+1,FALSE)</f>
        <v>イエローキャタップ</v>
      </c>
      <c r="G1254" s="66">
        <v>1</v>
      </c>
      <c r="H1254" s="66">
        <v>1</v>
      </c>
      <c r="I1254" s="66">
        <v>1</v>
      </c>
    </row>
  </sheetData>
  <autoFilter ref="A1:I1"/>
  <phoneticPr fontId="19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indexed="12"/>
    <outlinePr summaryBelow="0" summaryRight="0"/>
  </sheetPr>
  <dimension ref="A1:F173"/>
  <sheetViews>
    <sheetView showGridLines="0" workbookViewId="0">
      <pane ySplit="1" topLeftCell="A151" activePane="bottomLeft" state="frozen"/>
      <selection pane="bottomLeft" activeCell="E176" sqref="E176"/>
    </sheetView>
  </sheetViews>
  <sheetFormatPr baseColWidth="12" defaultColWidth="13" defaultRowHeight="21" customHeight="1" x14ac:dyDescent="0.15"/>
  <cols>
    <col min="1" max="1" width="15.5" style="2" customWidth="1"/>
    <col min="2" max="2" width="21.1640625" style="2" customWidth="1"/>
    <col min="3" max="4" width="13" style="1"/>
    <col min="5" max="5" width="13" style="2"/>
    <col min="6" max="6" width="31" style="2" bestFit="1" customWidth="1"/>
    <col min="7" max="16384" width="13" style="2"/>
  </cols>
  <sheetData>
    <row r="1" spans="1:6" ht="21" customHeight="1" x14ac:dyDescent="0.15">
      <c r="A1" s="11" t="s">
        <v>9</v>
      </c>
      <c r="B1" s="12" t="s">
        <v>20</v>
      </c>
      <c r="C1" s="11" t="s">
        <v>10</v>
      </c>
      <c r="D1" s="11" t="s">
        <v>11</v>
      </c>
      <c r="E1" s="68" t="s">
        <v>54</v>
      </c>
      <c r="F1" s="69" t="s">
        <v>55</v>
      </c>
    </row>
    <row r="2" spans="1:6" ht="21" customHeight="1" x14ac:dyDescent="0.15">
      <c r="A2" s="8">
        <v>101</v>
      </c>
      <c r="B2" s="13" t="e">
        <f ca="1">VLOOKUP($A2,OFFSET(fork_awake_units!$A$1,0,0,COUNTA(fork_awake_units!$A:$A),MATCH(B$1,fork_awake_units!$1:$1,0)-COLUMN(INDIRECT("character_id"))+1),MATCH(B$1,fork_awake_units!$1:$1,0)-COLUMN(INDIRECT("character_id"))+1,FALSE)</f>
        <v>#N/A</v>
      </c>
      <c r="C2" s="17">
        <v>11002</v>
      </c>
      <c r="D2" s="8">
        <v>1</v>
      </c>
      <c r="E2" s="70" t="str">
        <f>C2&amp;"_"&amp;D2</f>
        <v>11002_1</v>
      </c>
      <c r="F2" s="70" t="s">
        <v>63</v>
      </c>
    </row>
    <row r="3" spans="1:6" ht="21" customHeight="1" x14ac:dyDescent="0.15">
      <c r="A3" s="9">
        <v>102</v>
      </c>
      <c r="B3" s="13" t="e">
        <f ca="1">VLOOKUP($A3,OFFSET(fork_awake_units!$A$1,0,0,COUNTA(fork_awake_units!$A:$A),MATCH(B$1,fork_awake_units!$1:$1,0)-COLUMN(INDIRECT("character_id"))+1),MATCH(B$1,fork_awake_units!$1:$1,0)-COLUMN(INDIRECT("character_id"))+1,FALSE)</f>
        <v>#N/A</v>
      </c>
      <c r="C3" s="17">
        <v>11002</v>
      </c>
      <c r="D3" s="8">
        <v>2</v>
      </c>
      <c r="E3" s="70" t="str">
        <f t="shared" ref="E3:E66" si="0">C3&amp;"_"&amp;D3</f>
        <v>11002_2</v>
      </c>
      <c r="F3" s="70" t="s">
        <v>64</v>
      </c>
    </row>
    <row r="4" spans="1:6" ht="21" customHeight="1" x14ac:dyDescent="0.15">
      <c r="A4" s="9">
        <v>103</v>
      </c>
      <c r="B4" s="13" t="e">
        <f ca="1">VLOOKUP($A4,OFFSET(fork_awake_units!$A$1,0,0,COUNTA(fork_awake_units!$A:$A),MATCH(B$1,fork_awake_units!$1:$1,0)-COLUMN(INDIRECT("character_id"))+1),MATCH(B$1,fork_awake_units!$1:$1,0)-COLUMN(INDIRECT("character_id"))+1,FALSE)</f>
        <v>#N/A</v>
      </c>
      <c r="C4" s="17">
        <v>11002</v>
      </c>
      <c r="D4" s="8">
        <v>4</v>
      </c>
      <c r="E4" s="70" t="str">
        <f t="shared" si="0"/>
        <v>11002_4</v>
      </c>
      <c r="F4" s="70" t="s">
        <v>65</v>
      </c>
    </row>
    <row r="5" spans="1:6" ht="21" customHeight="1" x14ac:dyDescent="0.15">
      <c r="A5" s="10">
        <v>104</v>
      </c>
      <c r="B5" s="13" t="e">
        <f ca="1">VLOOKUP($A5,OFFSET(fork_awake_units!$A$1,0,0,COUNTA(fork_awake_units!$A:$A),MATCH(B$1,fork_awake_units!$1:$1,0)-COLUMN(INDIRECT("character_id"))+1),MATCH(B$1,fork_awake_units!$1:$1,0)-COLUMN(INDIRECT("character_id"))+1,FALSE)</f>
        <v>#N/A</v>
      </c>
      <c r="C5" s="17">
        <v>11005</v>
      </c>
      <c r="D5" s="8">
        <v>1</v>
      </c>
      <c r="E5" s="70" t="str">
        <f t="shared" si="0"/>
        <v>11005_1</v>
      </c>
      <c r="F5" s="70" t="s">
        <v>66</v>
      </c>
    </row>
    <row r="6" spans="1:6" ht="21" customHeight="1" x14ac:dyDescent="0.15">
      <c r="A6" s="10">
        <v>105</v>
      </c>
      <c r="B6" s="13" t="e">
        <f ca="1">VLOOKUP($A6,OFFSET(fork_awake_units!$A$1,0,0,COUNTA(fork_awake_units!$A:$A),MATCH(B$1,fork_awake_units!$1:$1,0)-COLUMN(INDIRECT("character_id"))+1),MATCH(B$1,fork_awake_units!$1:$1,0)-COLUMN(INDIRECT("character_id"))+1,FALSE)</f>
        <v>#N/A</v>
      </c>
      <c r="C6" s="17">
        <v>11004</v>
      </c>
      <c r="D6" s="8">
        <v>1</v>
      </c>
      <c r="E6" s="70" t="str">
        <f t="shared" si="0"/>
        <v>11004_1</v>
      </c>
      <c r="F6" s="70" t="s">
        <v>67</v>
      </c>
    </row>
    <row r="7" spans="1:6" ht="21" customHeight="1" x14ac:dyDescent="0.15">
      <c r="A7" s="8">
        <v>106</v>
      </c>
      <c r="B7" s="13" t="e">
        <f ca="1">VLOOKUP($A7,OFFSET(fork_awake_units!$A$1,0,0,COUNTA(fork_awake_units!$A:$A),MATCH(B$1,fork_awake_units!$1:$1,0)-COLUMN(INDIRECT("character_id"))+1),MATCH(B$1,fork_awake_units!$1:$1,0)-COLUMN(INDIRECT("character_id"))+1,FALSE)</f>
        <v>#N/A</v>
      </c>
      <c r="C7" s="17">
        <v>11004</v>
      </c>
      <c r="D7" s="8">
        <v>2</v>
      </c>
      <c r="E7" s="70" t="str">
        <f t="shared" si="0"/>
        <v>11004_2</v>
      </c>
      <c r="F7" s="70" t="s">
        <v>68</v>
      </c>
    </row>
    <row r="8" spans="1:6" ht="21" customHeight="1" x14ac:dyDescent="0.15">
      <c r="A8" s="8">
        <v>107</v>
      </c>
      <c r="B8" s="13" t="e">
        <f ca="1">VLOOKUP($A8,OFFSET(fork_awake_units!$A$1,0,0,COUNTA(fork_awake_units!$A:$A),MATCH(B$1,fork_awake_units!$1:$1,0)-COLUMN(INDIRECT("character_id"))+1),MATCH(B$1,fork_awake_units!$1:$1,0)-COLUMN(INDIRECT("character_id"))+1,FALSE)</f>
        <v>#N/A</v>
      </c>
      <c r="C8" s="17">
        <v>11004</v>
      </c>
      <c r="D8" s="8">
        <v>4</v>
      </c>
      <c r="E8" s="70" t="str">
        <f t="shared" si="0"/>
        <v>11004_4</v>
      </c>
      <c r="F8" s="70" t="s">
        <v>69</v>
      </c>
    </row>
    <row r="9" spans="1:6" ht="21" customHeight="1" x14ac:dyDescent="0.15">
      <c r="A9" s="8">
        <v>108</v>
      </c>
      <c r="B9" s="13" t="e">
        <f ca="1">VLOOKUP($A9,OFFSET(fork_awake_units!$A$1,0,0,COUNTA(fork_awake_units!$A:$A),MATCH(B$1,fork_awake_units!$1:$1,0)-COLUMN(INDIRECT("character_id"))+1),MATCH(B$1,fork_awake_units!$1:$1,0)-COLUMN(INDIRECT("character_id"))+1,FALSE)</f>
        <v>#N/A</v>
      </c>
      <c r="C9" s="17">
        <v>11005</v>
      </c>
      <c r="D9" s="8">
        <v>2</v>
      </c>
      <c r="E9" s="70" t="str">
        <f t="shared" si="0"/>
        <v>11005_2</v>
      </c>
      <c r="F9" s="70" t="s">
        <v>70</v>
      </c>
    </row>
    <row r="10" spans="1:6" ht="21" customHeight="1" x14ac:dyDescent="0.15">
      <c r="A10" s="8">
        <v>109</v>
      </c>
      <c r="B10" s="13" t="e">
        <f ca="1">VLOOKUP($A10,OFFSET(fork_awake_units!$A$1,0,0,COUNTA(fork_awake_units!$A:$A),MATCH(B$1,fork_awake_units!$1:$1,0)-COLUMN(INDIRECT("character_id"))+1),MATCH(B$1,fork_awake_units!$1:$1,0)-COLUMN(INDIRECT("character_id"))+1,FALSE)</f>
        <v>#N/A</v>
      </c>
      <c r="C10" s="17">
        <v>11003</v>
      </c>
      <c r="D10" s="8">
        <v>1</v>
      </c>
      <c r="E10" s="70" t="str">
        <f t="shared" si="0"/>
        <v>11003_1</v>
      </c>
      <c r="F10" s="70" t="s">
        <v>71</v>
      </c>
    </row>
    <row r="11" spans="1:6" ht="21" customHeight="1" x14ac:dyDescent="0.15">
      <c r="A11" s="8">
        <v>110</v>
      </c>
      <c r="B11" s="13" t="e">
        <f ca="1">VLOOKUP($A11,OFFSET(fork_awake_units!$A$1,0,0,COUNTA(fork_awake_units!$A:$A),MATCH(B$1,fork_awake_units!$1:$1,0)-COLUMN(INDIRECT("character_id"))+1),MATCH(B$1,fork_awake_units!$1:$1,0)-COLUMN(INDIRECT("character_id"))+1,FALSE)</f>
        <v>#N/A</v>
      </c>
      <c r="C11" s="17">
        <v>11003</v>
      </c>
      <c r="D11" s="8">
        <v>2</v>
      </c>
      <c r="E11" s="70" t="str">
        <f t="shared" si="0"/>
        <v>11003_2</v>
      </c>
      <c r="F11" s="70" t="s">
        <v>72</v>
      </c>
    </row>
    <row r="12" spans="1:6" ht="21" customHeight="1" x14ac:dyDescent="0.15">
      <c r="A12" s="8">
        <v>111</v>
      </c>
      <c r="B12" s="13" t="e">
        <f ca="1">VLOOKUP($A12,OFFSET(fork_awake_units!$A$1,0,0,COUNTA(fork_awake_units!$A:$A),MATCH(B$1,fork_awake_units!$1:$1,0)-COLUMN(INDIRECT("character_id"))+1),MATCH(B$1,fork_awake_units!$1:$1,0)-COLUMN(INDIRECT("character_id"))+1,FALSE)</f>
        <v>#N/A</v>
      </c>
      <c r="C12" s="17">
        <v>11003</v>
      </c>
      <c r="D12" s="8">
        <v>4</v>
      </c>
      <c r="E12" s="70" t="str">
        <f t="shared" si="0"/>
        <v>11003_4</v>
      </c>
      <c r="F12" s="70" t="s">
        <v>73</v>
      </c>
    </row>
    <row r="13" spans="1:6" ht="21" customHeight="1" x14ac:dyDescent="0.15">
      <c r="A13" s="8">
        <v>112</v>
      </c>
      <c r="B13" s="13" t="e">
        <f ca="1">VLOOKUP($A13,OFFSET(fork_awake_units!$A$1,0,0,COUNTA(fork_awake_units!$A:$A),MATCH(B$1,fork_awake_units!$1:$1,0)-COLUMN(INDIRECT("character_id"))+1),MATCH(B$1,fork_awake_units!$1:$1,0)-COLUMN(INDIRECT("character_id"))+1,FALSE)</f>
        <v>#N/A</v>
      </c>
      <c r="C13" s="17">
        <v>11005</v>
      </c>
      <c r="D13" s="23">
        <v>3</v>
      </c>
      <c r="E13" s="70" t="str">
        <f t="shared" si="0"/>
        <v>11005_3</v>
      </c>
      <c r="F13" s="70" t="s">
        <v>74</v>
      </c>
    </row>
    <row r="14" spans="1:6" ht="21" customHeight="1" x14ac:dyDescent="0.15">
      <c r="A14" s="8">
        <v>113</v>
      </c>
      <c r="B14" s="13" t="e">
        <f ca="1">VLOOKUP($A14,OFFSET(fork_awake_units!$A$1,0,0,COUNTA(fork_awake_units!$A:$A),MATCH(B$1,fork_awake_units!$1:$1,0)-COLUMN(INDIRECT("character_id"))+1),MATCH(B$1,fork_awake_units!$1:$1,0)-COLUMN(INDIRECT("character_id"))+1,FALSE)</f>
        <v>#N/A</v>
      </c>
      <c r="C14" s="17">
        <v>11001</v>
      </c>
      <c r="D14" s="8">
        <v>1</v>
      </c>
      <c r="E14" s="70" t="str">
        <f t="shared" si="0"/>
        <v>11001_1</v>
      </c>
      <c r="F14" s="70" t="s">
        <v>75</v>
      </c>
    </row>
    <row r="15" spans="1:6" ht="21" customHeight="1" x14ac:dyDescent="0.15">
      <c r="A15" s="8">
        <v>114</v>
      </c>
      <c r="B15" s="13" t="e">
        <f ca="1">VLOOKUP($A15,OFFSET(fork_awake_units!$A$1,0,0,COUNTA(fork_awake_units!$A:$A),MATCH(B$1,fork_awake_units!$1:$1,0)-COLUMN(INDIRECT("character_id"))+1),MATCH(B$1,fork_awake_units!$1:$1,0)-COLUMN(INDIRECT("character_id"))+1,FALSE)</f>
        <v>#N/A</v>
      </c>
      <c r="C15" s="17">
        <v>11001</v>
      </c>
      <c r="D15" s="8">
        <v>2</v>
      </c>
      <c r="E15" s="70" t="str">
        <f t="shared" si="0"/>
        <v>11001_2</v>
      </c>
      <c r="F15" s="70" t="s">
        <v>76</v>
      </c>
    </row>
    <row r="16" spans="1:6" ht="21" customHeight="1" x14ac:dyDescent="0.15">
      <c r="A16" s="8">
        <v>115</v>
      </c>
      <c r="B16" s="13" t="e">
        <f ca="1">VLOOKUP($A16,OFFSET(fork_awake_units!$A$1,0,0,COUNTA(fork_awake_units!$A:$A),MATCH(B$1,fork_awake_units!$1:$1,0)-COLUMN(INDIRECT("character_id"))+1),MATCH(B$1,fork_awake_units!$1:$1,0)-COLUMN(INDIRECT("character_id"))+1,FALSE)</f>
        <v>#N/A</v>
      </c>
      <c r="C16" s="17">
        <v>11001</v>
      </c>
      <c r="D16" s="8">
        <v>4</v>
      </c>
      <c r="E16" s="70" t="str">
        <f t="shared" si="0"/>
        <v>11001_4</v>
      </c>
      <c r="F16" s="70" t="s">
        <v>77</v>
      </c>
    </row>
    <row r="17" spans="1:6" ht="21" customHeight="1" x14ac:dyDescent="0.15">
      <c r="A17" s="8">
        <v>116</v>
      </c>
      <c r="B17" s="13" t="e">
        <f ca="1">VLOOKUP($A17,OFFSET(fork_awake_units!$A$1,0,0,COUNTA(fork_awake_units!$A:$A),MATCH(B$1,fork_awake_units!$1:$1,0)-COLUMN(INDIRECT("character_id"))+1),MATCH(B$1,fork_awake_units!$1:$1,0)-COLUMN(INDIRECT("character_id"))+1,FALSE)</f>
        <v>#N/A</v>
      </c>
      <c r="C17" s="17">
        <v>11005</v>
      </c>
      <c r="D17" s="23">
        <v>4</v>
      </c>
      <c r="E17" s="70" t="str">
        <f t="shared" si="0"/>
        <v>11005_4</v>
      </c>
      <c r="F17" s="70" t="s">
        <v>78</v>
      </c>
    </row>
    <row r="18" spans="1:6" ht="21" customHeight="1" x14ac:dyDescent="0.15">
      <c r="A18" s="8">
        <v>280</v>
      </c>
      <c r="B18" s="13" t="str">
        <f ca="1">VLOOKUP($A18,OFFSET(fork_awake_units!$A$1,0,0,COUNTA(fork_awake_units!$A:$A),MATCH(B$1,fork_awake_units!$1:$1,0)-COLUMN(INDIRECT("character_id"))+1),MATCH(B$1,fork_awake_units!$1:$1,0)-COLUMN(INDIRECT("character_id"))+1,FALSE)</f>
        <v>リンドブルム</v>
      </c>
      <c r="C18" s="17">
        <v>20006</v>
      </c>
      <c r="D18" s="8">
        <v>3</v>
      </c>
      <c r="E18" s="70" t="str">
        <f t="shared" si="0"/>
        <v>20006_3</v>
      </c>
      <c r="F18" s="70" t="s">
        <v>79</v>
      </c>
    </row>
    <row r="19" spans="1:6" ht="21" customHeight="1" x14ac:dyDescent="0.15">
      <c r="A19" s="8">
        <v>282</v>
      </c>
      <c r="B19" s="13" t="str">
        <f ca="1">VLOOKUP($A19,OFFSET(fork_awake_units!$A$1,0,0,COUNTA(fork_awake_units!$A:$A),MATCH(B$1,fork_awake_units!$1:$1,0)-COLUMN(INDIRECT("character_id"))+1),MATCH(B$1,fork_awake_units!$1:$1,0)-COLUMN(INDIRECT("character_id"))+1,FALSE)</f>
        <v>ラーフ</v>
      </c>
      <c r="C19" s="17">
        <v>20007</v>
      </c>
      <c r="D19" s="8">
        <v>3</v>
      </c>
      <c r="E19" s="70" t="str">
        <f t="shared" si="0"/>
        <v>20007_3</v>
      </c>
      <c r="F19" s="70" t="s">
        <v>80</v>
      </c>
    </row>
    <row r="20" spans="1:6" ht="21" customHeight="1" x14ac:dyDescent="0.15">
      <c r="A20" s="8">
        <v>284</v>
      </c>
      <c r="B20" s="13" t="str">
        <f ca="1">VLOOKUP($A20,OFFSET(fork_awake_units!$A$1,0,0,COUNTA(fork_awake_units!$A:$A),MATCH(B$1,fork_awake_units!$1:$1,0)-COLUMN(INDIRECT("character_id"))+1),MATCH(B$1,fork_awake_units!$1:$1,0)-COLUMN(INDIRECT("character_id"))+1,FALSE)</f>
        <v>フェルニゲシュ</v>
      </c>
      <c r="C20" s="17">
        <v>20008</v>
      </c>
      <c r="D20" s="8">
        <v>3</v>
      </c>
      <c r="E20" s="70" t="str">
        <f t="shared" si="0"/>
        <v>20008_3</v>
      </c>
      <c r="F20" s="70" t="s">
        <v>81</v>
      </c>
    </row>
    <row r="21" spans="1:6" ht="21" customHeight="1" x14ac:dyDescent="0.15">
      <c r="A21" s="8">
        <v>286</v>
      </c>
      <c r="B21" s="13" t="str">
        <f ca="1">VLOOKUP($A21,OFFSET(fork_awake_units!$A$1,0,0,COUNTA(fork_awake_units!$A:$A),MATCH(B$1,fork_awake_units!$1:$1,0)-COLUMN(INDIRECT("character_id"))+1),MATCH(B$1,fork_awake_units!$1:$1,0)-COLUMN(INDIRECT("character_id"))+1,FALSE)</f>
        <v>ヒュドラ</v>
      </c>
      <c r="C21" s="17">
        <v>20005</v>
      </c>
      <c r="D21" s="8">
        <v>3</v>
      </c>
      <c r="E21" s="70" t="str">
        <f t="shared" si="0"/>
        <v>20005_3</v>
      </c>
      <c r="F21" s="70" t="s">
        <v>82</v>
      </c>
    </row>
    <row r="22" spans="1:6" ht="21" customHeight="1" x14ac:dyDescent="0.15">
      <c r="A22" s="22">
        <v>356</v>
      </c>
      <c r="B22" s="13" t="e">
        <f ca="1">VLOOKUP($A22,OFFSET(fork_awake_units!$A$1,0,0,COUNTA(fork_awake_units!$A:$A),MATCH(B$1,fork_awake_units!$1:$1,0)-COLUMN(INDIRECT("character_id"))+1),MATCH(B$1,fork_awake_units!$1:$1,0)-COLUMN(INDIRECT("character_id"))+1,FALSE)</f>
        <v>#N/A</v>
      </c>
      <c r="C22" s="17">
        <v>11002</v>
      </c>
      <c r="D22" s="8">
        <v>10</v>
      </c>
      <c r="E22" s="70" t="str">
        <f t="shared" ref="E22:E23" si="1">C22&amp;"_"&amp;D22</f>
        <v>11002_10</v>
      </c>
      <c r="F22" s="70" t="s">
        <v>83</v>
      </c>
    </row>
    <row r="23" spans="1:6" ht="21" customHeight="1" x14ac:dyDescent="0.15">
      <c r="A23" s="22">
        <v>357</v>
      </c>
      <c r="B23" s="13" t="e">
        <f ca="1">VLOOKUP($A23,OFFSET(fork_awake_units!$A$1,0,0,COUNTA(fork_awake_units!$A:$A),MATCH(B$1,fork_awake_units!$1:$1,0)-COLUMN(INDIRECT("character_id"))+1),MATCH(B$1,fork_awake_units!$1:$1,0)-COLUMN(INDIRECT("character_id"))+1,FALSE)</f>
        <v>#N/A</v>
      </c>
      <c r="C23" s="17">
        <v>11004</v>
      </c>
      <c r="D23" s="8">
        <v>10</v>
      </c>
      <c r="E23" s="70" t="str">
        <f t="shared" si="1"/>
        <v>11004_10</v>
      </c>
      <c r="F23" s="70" t="s">
        <v>84</v>
      </c>
    </row>
    <row r="24" spans="1:6" ht="21" customHeight="1" x14ac:dyDescent="0.15">
      <c r="A24" s="22">
        <v>358</v>
      </c>
      <c r="B24" s="13" t="e">
        <f ca="1">VLOOKUP($A24,OFFSET(fork_awake_units!$A$1,0,0,COUNTA(fork_awake_units!$A:$A),MATCH(B$1,fork_awake_units!$1:$1,0)-COLUMN(INDIRECT("character_id"))+1),MATCH(B$1,fork_awake_units!$1:$1,0)-COLUMN(INDIRECT("character_id"))+1,FALSE)</f>
        <v>#N/A</v>
      </c>
      <c r="C24" s="17">
        <v>11003</v>
      </c>
      <c r="D24" s="8">
        <v>10</v>
      </c>
      <c r="E24" s="70" t="str">
        <f t="shared" si="0"/>
        <v>11003_10</v>
      </c>
      <c r="F24" s="70" t="s">
        <v>85</v>
      </c>
    </row>
    <row r="25" spans="1:6" ht="21" customHeight="1" x14ac:dyDescent="0.15">
      <c r="A25" s="22">
        <v>359</v>
      </c>
      <c r="B25" s="13" t="e">
        <f ca="1">VLOOKUP($A25,OFFSET(fork_awake_units!$A$1,0,0,COUNTA(fork_awake_units!$A:$A),MATCH(B$1,fork_awake_units!$1:$1,0)-COLUMN(INDIRECT("character_id"))+1),MATCH(B$1,fork_awake_units!$1:$1,0)-COLUMN(INDIRECT("character_id"))+1,FALSE)</f>
        <v>#N/A</v>
      </c>
      <c r="C25" s="17">
        <v>11001</v>
      </c>
      <c r="D25" s="8">
        <v>10</v>
      </c>
      <c r="E25" s="70" t="str">
        <f t="shared" ref="E25" si="2">C25&amp;"_"&amp;D25</f>
        <v>11001_10</v>
      </c>
      <c r="F25" s="70" t="s">
        <v>86</v>
      </c>
    </row>
    <row r="26" spans="1:6" ht="21" customHeight="1" x14ac:dyDescent="0.15">
      <c r="A26" s="22">
        <v>270</v>
      </c>
      <c r="B26" s="13" t="str">
        <f ca="1">VLOOKUP($A26,OFFSET(fork_awake_units!$A$1,0,0,COUNTA(fork_awake_units!$A:$A),MATCH(B$1,fork_awake_units!$1:$1,0)-COLUMN(INDIRECT("character_id"))+1),MATCH(B$1,fork_awake_units!$1:$1,0)-COLUMN(INDIRECT("character_id"))+1,FALSE)</f>
        <v>風爪のミリー</v>
      </c>
      <c r="C26" s="17">
        <v>30001</v>
      </c>
      <c r="D26" s="8">
        <v>3</v>
      </c>
      <c r="E26" s="70" t="str">
        <f t="shared" si="0"/>
        <v>30001_3</v>
      </c>
      <c r="F26" s="70" t="s">
        <v>87</v>
      </c>
    </row>
    <row r="27" spans="1:6" ht="21" customHeight="1" x14ac:dyDescent="0.15">
      <c r="A27" s="22">
        <v>262</v>
      </c>
      <c r="B27" s="13" t="str">
        <f ca="1">VLOOKUP($A27,OFFSET(fork_awake_units!$A$1,0,0,COUNTA(fork_awake_units!$A:$A),MATCH(B$1,fork_awake_units!$1:$1,0)-COLUMN(INDIRECT("character_id"))+1),MATCH(B$1,fork_awake_units!$1:$1,0)-COLUMN(INDIRECT("character_id"))+1,FALSE)</f>
        <v>アシュリー</v>
      </c>
      <c r="C27" s="17">
        <v>20001</v>
      </c>
      <c r="D27" s="8">
        <v>3</v>
      </c>
      <c r="E27" s="70" t="str">
        <f t="shared" si="0"/>
        <v>20001_3</v>
      </c>
      <c r="F27" s="70" t="s">
        <v>88</v>
      </c>
    </row>
    <row r="28" spans="1:6" ht="21" customHeight="1" x14ac:dyDescent="0.15">
      <c r="A28" s="22">
        <v>294</v>
      </c>
      <c r="B28" s="13" t="str">
        <f ca="1">VLOOKUP($A28,OFFSET(fork_awake_units!$A$1,0,0,COUNTA(fork_awake_units!$A:$A),MATCH(B$1,fork_awake_units!$1:$1,0)-COLUMN(INDIRECT("character_id"))+1),MATCH(B$1,fork_awake_units!$1:$1,0)-COLUMN(INDIRECT("character_id"))+1,FALSE)</f>
        <v>ウルフ・ザ・レッドイーター</v>
      </c>
      <c r="C28" s="17">
        <v>30006</v>
      </c>
      <c r="D28" s="8">
        <v>3</v>
      </c>
      <c r="E28" s="70" t="str">
        <f t="shared" si="0"/>
        <v>30006_3</v>
      </c>
      <c r="F28" s="70" t="s">
        <v>89</v>
      </c>
    </row>
    <row r="29" spans="1:6" ht="21" customHeight="1" x14ac:dyDescent="0.15">
      <c r="A29" s="22">
        <v>333</v>
      </c>
      <c r="B29" s="13" t="str">
        <f ca="1">VLOOKUP($A29,OFFSET(fork_awake_units!$A$1,0,0,COUNTA(fork_awake_units!$A:$A),MATCH(B$1,fork_awake_units!$1:$1,0)-COLUMN(INDIRECT("character_id"))+1),MATCH(B$1,fork_awake_units!$1:$1,0)-COLUMN(INDIRECT("character_id"))+1,FALSE)</f>
        <v>炎のメタルチック</v>
      </c>
      <c r="C29" s="17">
        <v>12001</v>
      </c>
      <c r="D29" s="8">
        <v>2</v>
      </c>
      <c r="E29" s="70" t="str">
        <f t="shared" si="0"/>
        <v>12001_2</v>
      </c>
      <c r="F29" s="70" t="s">
        <v>90</v>
      </c>
    </row>
    <row r="30" spans="1:6" ht="21" customHeight="1" x14ac:dyDescent="0.15">
      <c r="A30" s="22">
        <v>334</v>
      </c>
      <c r="B30" s="13" t="e">
        <f ca="1">VLOOKUP($A30,OFFSET(fork_awake_units!$A$1,0,0,COUNTA(fork_awake_units!$A:$A),MATCH(B$1,fork_awake_units!$1:$1,0)-COLUMN(INDIRECT("character_id"))+1),MATCH(B$1,fork_awake_units!$1:$1,0)-COLUMN(INDIRECT("character_id"))+1,FALSE)</f>
        <v>#N/A</v>
      </c>
      <c r="C30" s="17">
        <v>12001</v>
      </c>
      <c r="D30" s="8">
        <v>2</v>
      </c>
      <c r="E30" s="70" t="str">
        <f t="shared" ref="E30" si="3">C30&amp;"_"&amp;D30</f>
        <v>12001_2</v>
      </c>
      <c r="F30" s="70" t="s">
        <v>90</v>
      </c>
    </row>
    <row r="31" spans="1:6" ht="21" customHeight="1" x14ac:dyDescent="0.15">
      <c r="A31" s="22">
        <v>337</v>
      </c>
      <c r="B31" s="13" t="str">
        <f ca="1">VLOOKUP($A31,OFFSET(fork_awake_units!$A$1,0,0,COUNTA(fork_awake_units!$A:$A),MATCH(B$1,fork_awake_units!$1:$1,0)-COLUMN(INDIRECT("character_id"))+1),MATCH(B$1,fork_awake_units!$1:$1,0)-COLUMN(INDIRECT("character_id"))+1,FALSE)</f>
        <v>森のメタルチック</v>
      </c>
      <c r="C31" s="17">
        <v>12001</v>
      </c>
      <c r="D31" s="8">
        <v>2</v>
      </c>
      <c r="E31" s="70" t="str">
        <f t="shared" si="0"/>
        <v>12001_2</v>
      </c>
      <c r="F31" s="70" t="s">
        <v>90</v>
      </c>
    </row>
    <row r="32" spans="1:6" ht="21" customHeight="1" x14ac:dyDescent="0.15">
      <c r="A32" s="22">
        <v>338</v>
      </c>
      <c r="B32" s="13" t="e">
        <f ca="1">VLOOKUP($A32,OFFSET(fork_awake_units!$A$1,0,0,COUNTA(fork_awake_units!$A:$A),MATCH(B$1,fork_awake_units!$1:$1,0)-COLUMN(INDIRECT("character_id"))+1),MATCH(B$1,fork_awake_units!$1:$1,0)-COLUMN(INDIRECT("character_id"))+1,FALSE)</f>
        <v>#N/A</v>
      </c>
      <c r="C32" s="17">
        <v>12001</v>
      </c>
      <c r="D32" s="8">
        <v>2</v>
      </c>
      <c r="E32" s="70" t="str">
        <f t="shared" ref="E32:E40" si="4">C32&amp;"_"&amp;D32</f>
        <v>12001_2</v>
      </c>
      <c r="F32" s="70" t="s">
        <v>90</v>
      </c>
    </row>
    <row r="33" spans="1:6" ht="21" customHeight="1" x14ac:dyDescent="0.15">
      <c r="A33" s="22">
        <v>341</v>
      </c>
      <c r="B33" s="13" t="str">
        <f ca="1">VLOOKUP($A33,OFFSET(fork_awake_units!$A$1,0,0,COUNTA(fork_awake_units!$A:$A),MATCH(B$1,fork_awake_units!$1:$1,0)-COLUMN(INDIRECT("character_id"))+1),MATCH(B$1,fork_awake_units!$1:$1,0)-COLUMN(INDIRECT("character_id"))+1,FALSE)</f>
        <v>水のメタルチック</v>
      </c>
      <c r="C33" s="17">
        <v>12001</v>
      </c>
      <c r="D33" s="8">
        <v>2</v>
      </c>
      <c r="E33" s="70" t="str">
        <f t="shared" si="4"/>
        <v>12001_2</v>
      </c>
      <c r="F33" s="70" t="s">
        <v>90</v>
      </c>
    </row>
    <row r="34" spans="1:6" ht="21" customHeight="1" x14ac:dyDescent="0.15">
      <c r="A34" s="22">
        <v>342</v>
      </c>
      <c r="B34" s="13" t="e">
        <f ca="1">VLOOKUP($A34,OFFSET(fork_awake_units!$A$1,0,0,COUNTA(fork_awake_units!$A:$A),MATCH(B$1,fork_awake_units!$1:$1,0)-COLUMN(INDIRECT("character_id"))+1),MATCH(B$1,fork_awake_units!$1:$1,0)-COLUMN(INDIRECT("character_id"))+1,FALSE)</f>
        <v>#N/A</v>
      </c>
      <c r="C34" s="17">
        <v>12001</v>
      </c>
      <c r="D34" s="8">
        <v>2</v>
      </c>
      <c r="E34" s="70" t="str">
        <f t="shared" si="4"/>
        <v>12001_2</v>
      </c>
      <c r="F34" s="70" t="s">
        <v>90</v>
      </c>
    </row>
    <row r="35" spans="1:6" ht="21" customHeight="1" x14ac:dyDescent="0.15">
      <c r="A35" s="22">
        <v>345</v>
      </c>
      <c r="B35" s="13" t="str">
        <f ca="1">VLOOKUP($A35,OFFSET(fork_awake_units!$A$1,0,0,COUNTA(fork_awake_units!$A:$A),MATCH(B$1,fork_awake_units!$1:$1,0)-COLUMN(INDIRECT("character_id"))+1),MATCH(B$1,fork_awake_units!$1:$1,0)-COLUMN(INDIRECT("character_id"))+1,FALSE)</f>
        <v>雷のメタルチック</v>
      </c>
      <c r="C35" s="17">
        <v>12001</v>
      </c>
      <c r="D35" s="8">
        <v>2</v>
      </c>
      <c r="E35" s="70" t="str">
        <f t="shared" si="4"/>
        <v>12001_2</v>
      </c>
      <c r="F35" s="70" t="s">
        <v>90</v>
      </c>
    </row>
    <row r="36" spans="1:6" ht="21" customHeight="1" x14ac:dyDescent="0.15">
      <c r="A36" s="22">
        <v>346</v>
      </c>
      <c r="B36" s="13" t="e">
        <f ca="1">VLOOKUP($A36,OFFSET(fork_awake_units!$A$1,0,0,COUNTA(fork_awake_units!$A:$A),MATCH(B$1,fork_awake_units!$1:$1,0)-COLUMN(INDIRECT("character_id"))+1),MATCH(B$1,fork_awake_units!$1:$1,0)-COLUMN(INDIRECT("character_id"))+1,FALSE)</f>
        <v>#N/A</v>
      </c>
      <c r="C36" s="17">
        <v>12001</v>
      </c>
      <c r="D36" s="8">
        <v>2</v>
      </c>
      <c r="E36" s="70" t="str">
        <f t="shared" ref="E36" si="5">C36&amp;"_"&amp;D36</f>
        <v>12001_2</v>
      </c>
      <c r="F36" s="70" t="s">
        <v>90</v>
      </c>
    </row>
    <row r="37" spans="1:6" ht="21" customHeight="1" x14ac:dyDescent="0.15">
      <c r="A37" s="8">
        <v>272</v>
      </c>
      <c r="B37" s="13" t="str">
        <f ca="1">VLOOKUP($A37,OFFSET(fork_awake_units!$A$1,0,0,COUNTA(fork_awake_units!$A:$A),MATCH(B$1,fork_awake_units!$1:$1,0)-COLUMN(INDIRECT("character_id"))+1),MATCH(B$1,fork_awake_units!$1:$1,0)-COLUMN(INDIRECT("character_id"))+1,FALSE)</f>
        <v>魔札のシルベール</v>
      </c>
      <c r="C37" s="17">
        <v>30002</v>
      </c>
      <c r="D37" s="8">
        <v>3</v>
      </c>
      <c r="E37" s="70" t="str">
        <f t="shared" si="4"/>
        <v>30002_3</v>
      </c>
      <c r="F37" s="70" t="s">
        <v>91</v>
      </c>
    </row>
    <row r="38" spans="1:6" ht="21" customHeight="1" x14ac:dyDescent="0.15">
      <c r="A38" s="8">
        <v>264</v>
      </c>
      <c r="B38" s="13" t="str">
        <f ca="1">VLOOKUP($A38,OFFSET(fork_awake_units!$A$1,0,0,COUNTA(fork_awake_units!$A:$A),MATCH(B$1,fork_awake_units!$1:$1,0)-COLUMN(INDIRECT("character_id"))+1),MATCH(B$1,fork_awake_units!$1:$1,0)-COLUMN(INDIRECT("character_id"))+1,FALSE)</f>
        <v>ユニコーン</v>
      </c>
      <c r="C38" s="17">
        <v>20002</v>
      </c>
      <c r="D38" s="8">
        <v>3</v>
      </c>
      <c r="E38" s="70" t="str">
        <f t="shared" si="4"/>
        <v>20002_3</v>
      </c>
      <c r="F38" s="70" t="s">
        <v>92</v>
      </c>
    </row>
    <row r="39" spans="1:6" ht="21" customHeight="1" x14ac:dyDescent="0.15">
      <c r="A39" s="8">
        <v>266</v>
      </c>
      <c r="B39" s="13" t="str">
        <f ca="1">VLOOKUP($A39,OFFSET(fork_awake_units!$A$1,0,0,COUNTA(fork_awake_units!$A:$A),MATCH(B$1,fork_awake_units!$1:$1,0)-COLUMN(INDIRECT("character_id"))+1),MATCH(B$1,fork_awake_units!$1:$1,0)-COLUMN(INDIRECT("character_id"))+1,FALSE)</f>
        <v>リリアンブルー</v>
      </c>
      <c r="C39" s="17">
        <v>20003</v>
      </c>
      <c r="D39" s="8">
        <v>3</v>
      </c>
      <c r="E39" s="70" t="str">
        <f t="shared" si="4"/>
        <v>20003_3</v>
      </c>
      <c r="F39" s="70" t="s">
        <v>93</v>
      </c>
    </row>
    <row r="40" spans="1:6" ht="21" customHeight="1" x14ac:dyDescent="0.15">
      <c r="A40" s="8">
        <v>306</v>
      </c>
      <c r="B40" s="13" t="str">
        <f ca="1">VLOOKUP($A40,OFFSET(fork_awake_units!$A$1,0,0,COUNTA(fork_awake_units!$A:$A),MATCH(B$1,fork_awake_units!$1:$1,0)-COLUMN(INDIRECT("character_id"))+1),MATCH(B$1,fork_awake_units!$1:$1,0)-COLUMN(INDIRECT("character_id"))+1,FALSE)</f>
        <v>メガロドン</v>
      </c>
      <c r="C40" s="17">
        <v>30010</v>
      </c>
      <c r="D40" s="8">
        <v>3</v>
      </c>
      <c r="E40" s="70" t="str">
        <f t="shared" si="4"/>
        <v>30010_3</v>
      </c>
      <c r="F40" s="70" t="s">
        <v>94</v>
      </c>
    </row>
    <row r="41" spans="1:6" ht="21" customHeight="1" x14ac:dyDescent="0.15">
      <c r="A41" s="8">
        <v>308</v>
      </c>
      <c r="B41" s="13" t="str">
        <f ca="1">VLOOKUP($A41,OFFSET(fork_awake_units!$A$1,0,0,COUNTA(fork_awake_units!$A:$A),MATCH(B$1,fork_awake_units!$1:$1,0)-COLUMN(INDIRECT("character_id"))+1),MATCH(B$1,fork_awake_units!$1:$1,0)-COLUMN(INDIRECT("character_id"))+1,FALSE)</f>
        <v>アーケロン</v>
      </c>
      <c r="C41" s="17">
        <v>30011</v>
      </c>
      <c r="D41" s="8">
        <v>3</v>
      </c>
      <c r="E41" s="70" t="str">
        <f t="shared" si="0"/>
        <v>30011_3</v>
      </c>
      <c r="F41" s="70" t="s">
        <v>95</v>
      </c>
    </row>
    <row r="42" spans="1:6" ht="21" customHeight="1" x14ac:dyDescent="0.15">
      <c r="A42" s="8">
        <v>310</v>
      </c>
      <c r="B42" s="13" t="str">
        <f ca="1">VLOOKUP($A42,OFFSET(fork_awake_units!$A$1,0,0,COUNTA(fork_awake_units!$A:$A),MATCH(B$1,fork_awake_units!$1:$1,0)-COLUMN(INDIRECT("character_id"))+1),MATCH(B$1,fork_awake_units!$1:$1,0)-COLUMN(INDIRECT("character_id"))+1,FALSE)</f>
        <v>リードシクティス</v>
      </c>
      <c r="C42" s="17">
        <v>30012</v>
      </c>
      <c r="D42" s="8">
        <v>3</v>
      </c>
      <c r="E42" s="70" t="str">
        <f t="shared" si="0"/>
        <v>30012_3</v>
      </c>
      <c r="F42" s="70" t="s">
        <v>96</v>
      </c>
    </row>
    <row r="43" spans="1:6" ht="21" customHeight="1" x14ac:dyDescent="0.15">
      <c r="A43" s="8">
        <v>312</v>
      </c>
      <c r="B43" s="13" t="str">
        <f ca="1">VLOOKUP($A43,OFFSET(fork_awake_units!$A$1,0,0,COUNTA(fork_awake_units!$A:$A),MATCH(B$1,fork_awake_units!$1:$1,0)-COLUMN(INDIRECT("character_id"))+1),MATCH(B$1,fork_awake_units!$1:$1,0)-COLUMN(INDIRECT("character_id"))+1,FALSE)</f>
        <v>アノマロカリス</v>
      </c>
      <c r="C43" s="17">
        <v>30009</v>
      </c>
      <c r="D43" s="8">
        <v>2</v>
      </c>
      <c r="E43" s="70" t="str">
        <f t="shared" si="0"/>
        <v>30009_2</v>
      </c>
      <c r="F43" s="70" t="s">
        <v>97</v>
      </c>
    </row>
    <row r="44" spans="1:6" ht="21" customHeight="1" x14ac:dyDescent="0.15">
      <c r="A44" s="8">
        <v>298</v>
      </c>
      <c r="B44" s="13" t="str">
        <f ca="1">VLOOKUP($A44,OFFSET(fork_awake_units!$A$1,0,0,COUNTA(fork_awake_units!$A:$A),MATCH(B$1,fork_awake_units!$1:$1,0)-COLUMN(INDIRECT("character_id"))+1),MATCH(B$1,fork_awake_units!$1:$1,0)-COLUMN(INDIRECT("character_id"))+1,FALSE)</f>
        <v>炎殺のミサコ</v>
      </c>
      <c r="C44" s="17">
        <v>20011</v>
      </c>
      <c r="D44" s="8">
        <v>3</v>
      </c>
      <c r="E44" s="70" t="str">
        <f t="shared" si="0"/>
        <v>20011_3</v>
      </c>
      <c r="F44" s="70" t="s">
        <v>98</v>
      </c>
    </row>
    <row r="45" spans="1:6" ht="21" customHeight="1" x14ac:dyDescent="0.15">
      <c r="A45" s="8">
        <v>300</v>
      </c>
      <c r="B45" s="13" t="str">
        <f ca="1">VLOOKUP($A45,OFFSET(fork_awake_units!$A$1,0,0,COUNTA(fork_awake_units!$A:$A),MATCH(B$1,fork_awake_units!$1:$1,0)-COLUMN(INDIRECT("character_id"))+1),MATCH(B$1,fork_awake_units!$1:$1,0)-COLUMN(INDIRECT("character_id"))+1,FALSE)</f>
        <v>毒殺のチカ</v>
      </c>
      <c r="C45" s="17">
        <v>20012</v>
      </c>
      <c r="D45" s="8">
        <v>3</v>
      </c>
      <c r="E45" s="70" t="str">
        <f t="shared" si="0"/>
        <v>20012_3</v>
      </c>
      <c r="F45" s="70" t="s">
        <v>99</v>
      </c>
    </row>
    <row r="46" spans="1:6" ht="21" customHeight="1" x14ac:dyDescent="0.15">
      <c r="A46" s="8">
        <v>302</v>
      </c>
      <c r="B46" s="13" t="str">
        <f ca="1">VLOOKUP($A46,OFFSET(fork_awake_units!$A$1,0,0,COUNTA(fork_awake_units!$A:$A),MATCH(B$1,fork_awake_units!$1:$1,0)-COLUMN(INDIRECT("character_id"))+1),MATCH(B$1,fork_awake_units!$1:$1,0)-COLUMN(INDIRECT("character_id"))+1,FALSE)</f>
        <v>絞殺のリサ</v>
      </c>
      <c r="C46" s="17">
        <v>20009</v>
      </c>
      <c r="D46" s="8">
        <v>3</v>
      </c>
      <c r="E46" s="70" t="str">
        <f t="shared" si="0"/>
        <v>20009_3</v>
      </c>
      <c r="F46" s="70" t="s">
        <v>100</v>
      </c>
    </row>
    <row r="47" spans="1:6" ht="21" customHeight="1" x14ac:dyDescent="0.15">
      <c r="A47" s="8">
        <v>304</v>
      </c>
      <c r="B47" s="13" t="str">
        <f ca="1">VLOOKUP($A47,OFFSET(fork_awake_units!$A$1,0,0,COUNTA(fork_awake_units!$A:$A),MATCH(B$1,fork_awake_units!$1:$1,0)-COLUMN(INDIRECT("character_id"))+1),MATCH(B$1,fork_awake_units!$1:$1,0)-COLUMN(INDIRECT("character_id"))+1,FALSE)</f>
        <v>電殺のチエミ</v>
      </c>
      <c r="C47" s="17">
        <v>20010</v>
      </c>
      <c r="D47" s="8">
        <v>3</v>
      </c>
      <c r="E47" s="70" t="str">
        <f t="shared" si="0"/>
        <v>20010_3</v>
      </c>
      <c r="F47" s="70" t="s">
        <v>101</v>
      </c>
    </row>
    <row r="48" spans="1:6" ht="21" customHeight="1" x14ac:dyDescent="0.15">
      <c r="A48" s="22">
        <v>292</v>
      </c>
      <c r="B48" s="13" t="str">
        <f ca="1">VLOOKUP($A48,OFFSET(fork_awake_units!$A$1,0,0,COUNTA(fork_awake_units!$A:$A),MATCH(B$1,fork_awake_units!$1:$1,0)-COLUMN(INDIRECT("character_id"))+1),MATCH(B$1,fork_awake_units!$1:$1,0)-COLUMN(INDIRECT("character_id"))+1,FALSE)</f>
        <v>アナスタシア</v>
      </c>
      <c r="C48" s="17">
        <v>30007</v>
      </c>
      <c r="D48" s="8">
        <v>3</v>
      </c>
      <c r="E48" s="70" t="str">
        <f t="shared" si="0"/>
        <v>30007_3</v>
      </c>
      <c r="F48" s="70" t="s">
        <v>102</v>
      </c>
    </row>
    <row r="49" spans="1:6" ht="21" customHeight="1" x14ac:dyDescent="0.15">
      <c r="A49" s="22">
        <v>290</v>
      </c>
      <c r="B49" s="13" t="str">
        <f ca="1">VLOOKUP($A49,OFFSET(fork_awake_units!$A$1,0,0,COUNTA(fork_awake_units!$A:$A),MATCH(B$1,fork_awake_units!$1:$1,0)-COLUMN(INDIRECT("character_id"))+1),MATCH(B$1,fork_awake_units!$1:$1,0)-COLUMN(INDIRECT("character_id"))+1,FALSE)</f>
        <v>ウィッチ・オクトパス</v>
      </c>
      <c r="C49" s="17">
        <v>30005</v>
      </c>
      <c r="D49" s="8">
        <v>3</v>
      </c>
      <c r="E49" s="70" t="str">
        <f t="shared" si="0"/>
        <v>30005_3</v>
      </c>
      <c r="F49" s="70" t="s">
        <v>103</v>
      </c>
    </row>
    <row r="50" spans="1:6" ht="21" customHeight="1" x14ac:dyDescent="0.15">
      <c r="A50" s="22">
        <v>288</v>
      </c>
      <c r="B50" s="13" t="str">
        <f ca="1">VLOOKUP($A50,OFFSET(fork_awake_units!$A$1,0,0,COUNTA(fork_awake_units!$A:$A),MATCH(B$1,fork_awake_units!$1:$1,0)-COLUMN(INDIRECT("character_id"))+1),MATCH(B$1,fork_awake_units!$1:$1,0)-COLUMN(INDIRECT("character_id"))+1,FALSE)</f>
        <v>ミカド</v>
      </c>
      <c r="C50" s="17">
        <v>30008</v>
      </c>
      <c r="D50" s="8">
        <v>3</v>
      </c>
      <c r="E50" s="70" t="str">
        <f t="shared" si="0"/>
        <v>30008_3</v>
      </c>
      <c r="F50" s="70" t="s">
        <v>104</v>
      </c>
    </row>
    <row r="51" spans="1:6" ht="21" customHeight="1" x14ac:dyDescent="0.15">
      <c r="A51" s="8">
        <v>418</v>
      </c>
      <c r="B51" s="13" t="str">
        <f ca="1">VLOOKUP($A51,OFFSET(fork_awake_units!$A$1,0,0,COUNTA(fork_awake_units!$A:$A),MATCH(B$1,fork_awake_units!$1:$1,0)-COLUMN(INDIRECT("character_id"))+1),MATCH(B$1,fork_awake_units!$1:$1,0)-COLUMN(INDIRECT("character_id"))+1,FALSE)</f>
        <v>ウラシマ</v>
      </c>
      <c r="C51" s="17">
        <v>30013</v>
      </c>
      <c r="D51" s="8">
        <v>2</v>
      </c>
      <c r="E51" s="70" t="str">
        <f t="shared" si="0"/>
        <v>30013_2</v>
      </c>
      <c r="F51" s="70" t="s">
        <v>105</v>
      </c>
    </row>
    <row r="52" spans="1:6" ht="21" customHeight="1" x14ac:dyDescent="0.15">
      <c r="A52" s="8">
        <v>420</v>
      </c>
      <c r="B52" s="13" t="str">
        <f ca="1">VLOOKUP($A52,OFFSET(fork_awake_units!$A$1,0,0,COUNTA(fork_awake_units!$A:$A),MATCH(B$1,fork_awake_units!$1:$1,0)-COLUMN(INDIRECT("character_id"))+1),MATCH(B$1,fork_awake_units!$1:$1,0)-COLUMN(INDIRECT("character_id"))+1,FALSE)</f>
        <v>カエデ</v>
      </c>
      <c r="C52" s="17">
        <v>30014</v>
      </c>
      <c r="D52" s="8">
        <v>2</v>
      </c>
      <c r="E52" s="70" t="str">
        <f t="shared" si="0"/>
        <v>30014_2</v>
      </c>
      <c r="F52" s="70" t="s">
        <v>106</v>
      </c>
    </row>
    <row r="53" spans="1:6" ht="21" customHeight="1" x14ac:dyDescent="0.15">
      <c r="A53" s="8">
        <v>268</v>
      </c>
      <c r="B53" s="13" t="str">
        <f ca="1">VLOOKUP($A53,OFFSET(fork_awake_units!$A$1,0,0,COUNTA(fork_awake_units!$A:$A),MATCH(B$1,fork_awake_units!$1:$1,0)-COLUMN(INDIRECT("character_id"))+1),MATCH(B$1,fork_awake_units!$1:$1,0)-COLUMN(INDIRECT("character_id"))+1,FALSE)</f>
        <v>鵺</v>
      </c>
      <c r="C53" s="17">
        <v>20004</v>
      </c>
      <c r="D53" s="8">
        <v>3</v>
      </c>
      <c r="E53" s="70" t="str">
        <f t="shared" si="0"/>
        <v>20004_3</v>
      </c>
      <c r="F53" s="70" t="s">
        <v>107</v>
      </c>
    </row>
    <row r="54" spans="1:6" ht="21" customHeight="1" x14ac:dyDescent="0.15">
      <c r="A54" s="8">
        <v>274</v>
      </c>
      <c r="B54" s="13" t="str">
        <f ca="1">VLOOKUP($A54,OFFSET(fork_awake_units!$A$1,0,0,COUNTA(fork_awake_units!$A:$A),MATCH(B$1,fork_awake_units!$1:$1,0)-COLUMN(INDIRECT("character_id"))+1),MATCH(B$1,fork_awake_units!$1:$1,0)-COLUMN(INDIRECT("character_id"))+1,FALSE)</f>
        <v>砕棒のガエル</v>
      </c>
      <c r="C54" s="17">
        <v>30003</v>
      </c>
      <c r="D54" s="8">
        <v>3</v>
      </c>
      <c r="E54" s="70" t="str">
        <f t="shared" si="0"/>
        <v>30003_3</v>
      </c>
      <c r="F54" s="70" t="s">
        <v>108</v>
      </c>
    </row>
    <row r="55" spans="1:6" ht="21" customHeight="1" x14ac:dyDescent="0.15">
      <c r="A55" s="8">
        <v>276</v>
      </c>
      <c r="B55" s="13" t="str">
        <f ca="1">VLOOKUP($A55,OFFSET(fork_awake_units!$A$1,0,0,COUNTA(fork_awake_units!$A:$A),MATCH(B$1,fork_awake_units!$1:$1,0)-COLUMN(INDIRECT("character_id"))+1),MATCH(B$1,fork_awake_units!$1:$1,0)-COLUMN(INDIRECT("character_id"))+1,FALSE)</f>
        <v>機拳のイリア</v>
      </c>
      <c r="C55" s="17">
        <v>30004</v>
      </c>
      <c r="D55" s="8">
        <v>3</v>
      </c>
      <c r="E55" s="70" t="str">
        <f t="shared" si="0"/>
        <v>30004_3</v>
      </c>
      <c r="F55" s="70" t="s">
        <v>109</v>
      </c>
    </row>
    <row r="56" spans="1:6" ht="21" customHeight="1" x14ac:dyDescent="0.15">
      <c r="A56" s="8">
        <v>278</v>
      </c>
      <c r="B56" s="13" t="str">
        <f ca="1">VLOOKUP($A56,OFFSET(fork_awake_units!$A$1,0,0,COUNTA(fork_awake_units!$A:$A),MATCH(B$1,fork_awake_units!$1:$1,0)-COLUMN(INDIRECT("character_id"))+1),MATCH(B$1,fork_awake_units!$1:$1,0)-COLUMN(INDIRECT("character_id"))+1,FALSE)</f>
        <v>アマテラス</v>
      </c>
      <c r="C56" s="17">
        <v>41001</v>
      </c>
      <c r="D56" s="8">
        <v>2</v>
      </c>
      <c r="E56" s="70" t="str">
        <f t="shared" si="0"/>
        <v>41001_2</v>
      </c>
      <c r="F56" s="70" t="s">
        <v>110</v>
      </c>
    </row>
    <row r="57" spans="1:6" ht="21" customHeight="1" x14ac:dyDescent="0.15">
      <c r="A57" s="8">
        <v>296</v>
      </c>
      <c r="B57" s="13" t="str">
        <f ca="1">VLOOKUP($A57,OFFSET(fork_awake_units!$A$1,0,0,COUNTA(fork_awake_units!$A:$A),MATCH(B$1,fork_awake_units!$1:$1,0)-COLUMN(INDIRECT("character_id"))+1),MATCH(B$1,fork_awake_units!$1:$1,0)-COLUMN(INDIRECT("character_id"))+1,FALSE)</f>
        <v>アザゼル</v>
      </c>
      <c r="C57" s="17">
        <v>41002</v>
      </c>
      <c r="D57" s="8">
        <v>2</v>
      </c>
      <c r="E57" s="70" t="str">
        <f t="shared" si="0"/>
        <v>41002_2</v>
      </c>
      <c r="F57" s="70" t="s">
        <v>111</v>
      </c>
    </row>
    <row r="58" spans="1:6" ht="21" customHeight="1" x14ac:dyDescent="0.15">
      <c r="A58" s="8">
        <v>314</v>
      </c>
      <c r="B58" s="13" t="str">
        <f ca="1">VLOOKUP($A58,OFFSET(fork_awake_units!$A$1,0,0,COUNTA(fork_awake_units!$A:$A),MATCH(B$1,fork_awake_units!$1:$1,0)-COLUMN(INDIRECT("character_id"))+1),MATCH(B$1,fork_awake_units!$1:$1,0)-COLUMN(INDIRECT("character_id"))+1,FALSE)</f>
        <v>ジャンヌ</v>
      </c>
      <c r="C58" s="17">
        <v>41003</v>
      </c>
      <c r="D58" s="8">
        <v>2</v>
      </c>
      <c r="E58" s="70" t="str">
        <f t="shared" si="0"/>
        <v>41003_2</v>
      </c>
      <c r="F58" s="70" t="s">
        <v>112</v>
      </c>
    </row>
    <row r="59" spans="1:6" ht="21" customHeight="1" x14ac:dyDescent="0.15">
      <c r="A59" s="8">
        <v>426</v>
      </c>
      <c r="B59" s="13" t="str">
        <f ca="1">VLOOKUP($A59,OFFSET(fork_awake_units!$A$1,0,0,COUNTA(fork_awake_units!$A:$A),MATCH(B$1,fork_awake_units!$1:$1,0)-COLUMN(INDIRECT("character_id"))+1),MATCH(B$1,fork_awake_units!$1:$1,0)-COLUMN(INDIRECT("character_id"))+1,FALSE)</f>
        <v>宮本武蔵</v>
      </c>
      <c r="C59" s="17">
        <v>41004</v>
      </c>
      <c r="D59" s="8">
        <v>2</v>
      </c>
      <c r="E59" s="70" t="str">
        <f>C59&amp;"_"&amp;D59</f>
        <v>41004_2</v>
      </c>
      <c r="F59" s="70" t="s">
        <v>113</v>
      </c>
    </row>
    <row r="60" spans="1:6" ht="21" customHeight="1" x14ac:dyDescent="0.15">
      <c r="A60" s="8">
        <v>422</v>
      </c>
      <c r="B60" s="13" t="str">
        <f ca="1">VLOOKUP($A60,OFFSET(fork_awake_units!$A$1,0,0,COUNTA(fork_awake_units!$A:$A),MATCH(B$1,fork_awake_units!$1:$1,0)-COLUMN(INDIRECT("character_id"))+1),MATCH(B$1,fork_awake_units!$1:$1,0)-COLUMN(INDIRECT("character_id"))+1,FALSE)</f>
        <v>シュガフル</v>
      </c>
      <c r="C60" s="17">
        <v>30015</v>
      </c>
      <c r="D60" s="8">
        <v>2</v>
      </c>
      <c r="E60" s="70" t="str">
        <f t="shared" si="0"/>
        <v>30015_2</v>
      </c>
      <c r="F60" s="70" t="s">
        <v>114</v>
      </c>
    </row>
    <row r="61" spans="1:6" ht="21" customHeight="1" x14ac:dyDescent="0.15">
      <c r="A61" s="8">
        <v>424</v>
      </c>
      <c r="B61" s="13" t="str">
        <f ca="1">VLOOKUP($A61,OFFSET(fork_awake_units!$A$1,0,0,COUNTA(fork_awake_units!$A:$A),MATCH(B$1,fork_awake_units!$1:$1,0)-COLUMN(INDIRECT("character_id"))+1),MATCH(B$1,fork_awake_units!$1:$1,0)-COLUMN(INDIRECT("character_id"))+1,FALSE)</f>
        <v>フック</v>
      </c>
      <c r="C61" s="17">
        <v>30016</v>
      </c>
      <c r="D61" s="8">
        <v>2</v>
      </c>
      <c r="E61" s="70" t="str">
        <f t="shared" si="0"/>
        <v>30016_2</v>
      </c>
      <c r="F61" s="70" t="s">
        <v>115</v>
      </c>
    </row>
    <row r="62" spans="1:6" ht="21" customHeight="1" x14ac:dyDescent="0.15">
      <c r="A62" s="8">
        <v>452</v>
      </c>
      <c r="B62" s="67" t="str">
        <f>VLOOKUP(A62,[2]characters!$A:$C,3,FALSE)</f>
        <v>猛狐 エゾ</v>
      </c>
      <c r="C62" s="17">
        <v>30017</v>
      </c>
      <c r="D62" s="8">
        <v>2</v>
      </c>
      <c r="E62" s="70" t="str">
        <f t="shared" si="0"/>
        <v>30017_2</v>
      </c>
      <c r="F62" s="70" t="s">
        <v>116</v>
      </c>
    </row>
    <row r="63" spans="1:6" ht="21" customHeight="1" x14ac:dyDescent="0.15">
      <c r="A63" s="8">
        <v>454</v>
      </c>
      <c r="B63" s="67" t="str">
        <f>VLOOKUP(A63,[2]characters!$A:$C,3,FALSE)</f>
        <v>二闘 レッサとギガン</v>
      </c>
      <c r="C63" s="17">
        <v>30018</v>
      </c>
      <c r="D63" s="8">
        <v>2</v>
      </c>
      <c r="E63" s="70" t="str">
        <f t="shared" si="0"/>
        <v>30018_2</v>
      </c>
      <c r="F63" s="70" t="s">
        <v>117</v>
      </c>
    </row>
    <row r="64" spans="1:6" ht="21" customHeight="1" x14ac:dyDescent="0.15">
      <c r="A64" s="8">
        <v>456</v>
      </c>
      <c r="B64" s="67" t="str">
        <f>VLOOKUP(A64,[2]characters!$A:$C,3,FALSE)</f>
        <v>射絶 ユヅル</v>
      </c>
      <c r="C64" s="17">
        <v>30019</v>
      </c>
      <c r="D64" s="8">
        <v>2</v>
      </c>
      <c r="E64" s="70" t="str">
        <f t="shared" si="0"/>
        <v>30019_2</v>
      </c>
      <c r="F64" s="70" t="s">
        <v>118</v>
      </c>
    </row>
    <row r="65" spans="1:6" ht="21" customHeight="1" x14ac:dyDescent="0.15">
      <c r="A65" s="8">
        <v>376</v>
      </c>
      <c r="B65" s="13" t="str">
        <f ca="1">VLOOKUP($A65,OFFSET(fork_awake_units!$A$1,0,0,COUNTA(fork_awake_units!$A:$A),MATCH(B$1,fork_awake_units!$1:$1,0)-COLUMN(INDIRECT("character_id"))+1),MATCH(B$1,fork_awake_units!$1:$1,0)-COLUMN(INDIRECT("character_id"))+1,FALSE)</f>
        <v>勘兵衛</v>
      </c>
      <c r="C65" s="17">
        <v>11216</v>
      </c>
      <c r="D65" s="8">
        <v>1</v>
      </c>
      <c r="E65" s="70" t="str">
        <f t="shared" si="0"/>
        <v>11216_1</v>
      </c>
      <c r="F65" s="70" t="s">
        <v>119</v>
      </c>
    </row>
    <row r="66" spans="1:6" ht="21" customHeight="1" x14ac:dyDescent="0.15">
      <c r="A66" s="8">
        <v>458</v>
      </c>
      <c r="B66" s="67" t="str">
        <f>VLOOKUP(A66,[2]characters!$A:$C,3,FALSE)</f>
        <v>嵐龍 スガル</v>
      </c>
      <c r="C66" s="17">
        <v>30020</v>
      </c>
      <c r="D66" s="8">
        <v>2</v>
      </c>
      <c r="E66" s="70" t="str">
        <f t="shared" si="0"/>
        <v>30020_2</v>
      </c>
      <c r="F66" s="70" t="s">
        <v>120</v>
      </c>
    </row>
    <row r="67" spans="1:6" ht="21" customHeight="1" x14ac:dyDescent="0.15">
      <c r="A67" s="8">
        <v>502</v>
      </c>
      <c r="B67" s="67" t="str">
        <f>VLOOKUP(A67,[2]characters!$A:$C,3,FALSE)</f>
        <v>テラベル</v>
      </c>
      <c r="C67" s="17">
        <v>30021</v>
      </c>
      <c r="D67" s="8">
        <v>3</v>
      </c>
      <c r="E67" s="70" t="str">
        <f t="shared" ref="E67:E70" si="6">C67&amp;"_"&amp;D67</f>
        <v>30021_3</v>
      </c>
      <c r="F67" s="70" t="s">
        <v>121</v>
      </c>
    </row>
    <row r="68" spans="1:6" ht="21" customHeight="1" x14ac:dyDescent="0.15">
      <c r="A68" s="8">
        <v>504</v>
      </c>
      <c r="B68" s="67" t="str">
        <f>VLOOKUP(A68,[2]characters!$A:$C,3,FALSE)</f>
        <v>ハイディン・オーガ</v>
      </c>
      <c r="C68" s="17">
        <v>30022</v>
      </c>
      <c r="D68" s="8">
        <v>2</v>
      </c>
      <c r="E68" s="70" t="str">
        <f t="shared" si="6"/>
        <v>30022_2</v>
      </c>
      <c r="F68" s="70" t="s">
        <v>122</v>
      </c>
    </row>
    <row r="69" spans="1:6" ht="21" customHeight="1" x14ac:dyDescent="0.15">
      <c r="A69" s="8">
        <v>506</v>
      </c>
      <c r="B69" s="67" t="str">
        <f>VLOOKUP(A69,[2]characters!$A:$C,3,FALSE)</f>
        <v>ゴーテル</v>
      </c>
      <c r="C69" s="17">
        <v>30023</v>
      </c>
      <c r="D69" s="8">
        <v>3</v>
      </c>
      <c r="E69" s="70" t="str">
        <f t="shared" si="6"/>
        <v>30023_3</v>
      </c>
      <c r="F69" s="70" t="s">
        <v>123</v>
      </c>
    </row>
    <row r="70" spans="1:6" ht="21" customHeight="1" x14ac:dyDescent="0.15">
      <c r="A70" s="8">
        <v>508</v>
      </c>
      <c r="B70" s="67" t="str">
        <f>VLOOKUP(A70,[2]characters!$A:$C,3,FALSE)</f>
        <v>Gスター・チルドレン</v>
      </c>
      <c r="C70" s="17">
        <v>40008</v>
      </c>
      <c r="D70" s="8">
        <v>1</v>
      </c>
      <c r="E70" s="70" t="str">
        <f t="shared" si="6"/>
        <v>40008_1</v>
      </c>
      <c r="F70" s="70" t="s">
        <v>124</v>
      </c>
    </row>
    <row r="71" spans="1:6" ht="21" customHeight="1" x14ac:dyDescent="0.15">
      <c r="A71" s="71">
        <v>525</v>
      </c>
      <c r="B71" s="67" t="str">
        <f>VLOOKUP(A71,[2]characters!$A:$C,3,FALSE)</f>
        <v>ウィンタースポーツ 雪ミク</v>
      </c>
      <c r="C71" s="17">
        <v>39001</v>
      </c>
      <c r="D71" s="8">
        <v>3</v>
      </c>
      <c r="E71" s="70" t="str">
        <f t="shared" ref="E71:E102" si="7">C71&amp;"_"&amp;D71</f>
        <v>39001_3</v>
      </c>
      <c r="F71" s="70" t="s">
        <v>125</v>
      </c>
    </row>
    <row r="72" spans="1:6" ht="21" customHeight="1" x14ac:dyDescent="0.15">
      <c r="A72" s="71">
        <v>526</v>
      </c>
      <c r="B72" s="67" t="str">
        <f>VLOOKUP(A72,[2]characters!$A:$C,3,FALSE)</f>
        <v>大滑走 雪ミク&amp;ラビットユキネ</v>
      </c>
      <c r="C72" s="17">
        <v>39001</v>
      </c>
      <c r="D72" s="8">
        <v>5</v>
      </c>
      <c r="E72" s="70" t="str">
        <f t="shared" si="7"/>
        <v>39001_5</v>
      </c>
      <c r="F72" s="70" t="s">
        <v>126</v>
      </c>
    </row>
    <row r="73" spans="1:6" ht="21" customHeight="1" x14ac:dyDescent="0.15">
      <c r="A73" s="71">
        <v>527</v>
      </c>
      <c r="B73" s="67" t="str">
        <f>VLOOKUP(A73,[2]characters!$A:$C,3,FALSE)</f>
        <v>初音ミクV3</v>
      </c>
      <c r="C73" s="17">
        <v>49001</v>
      </c>
      <c r="D73" s="8">
        <v>1</v>
      </c>
      <c r="E73" s="70" t="str">
        <f t="shared" si="7"/>
        <v>49001_1</v>
      </c>
      <c r="F73" s="70" t="s">
        <v>127</v>
      </c>
    </row>
    <row r="74" spans="1:6" ht="21" customHeight="1" x14ac:dyDescent="0.15">
      <c r="A74" s="71">
        <v>528</v>
      </c>
      <c r="B74" s="67" t="str">
        <f>VLOOKUP(A74,[2]characters!$A:$C,3,FALSE)</f>
        <v>新世の歌姫 初音ミクV3</v>
      </c>
      <c r="C74" s="17">
        <v>49001</v>
      </c>
      <c r="D74" s="8">
        <v>1</v>
      </c>
      <c r="E74" s="70" t="str">
        <f t="shared" si="7"/>
        <v>49001_1</v>
      </c>
      <c r="F74" s="70" t="s">
        <v>127</v>
      </c>
    </row>
    <row r="75" spans="1:6" ht="21" customHeight="1" x14ac:dyDescent="0.15">
      <c r="A75" s="71">
        <v>529</v>
      </c>
      <c r="B75" s="67" t="str">
        <f>VLOOKUP(A75,[2]characters!$A:$C,3,FALSE)</f>
        <v>冬服ジェリー</v>
      </c>
      <c r="C75" s="17">
        <v>39001</v>
      </c>
      <c r="D75" s="8">
        <v>5</v>
      </c>
      <c r="E75" s="70" t="str">
        <f t="shared" si="7"/>
        <v>39001_5</v>
      </c>
      <c r="F75" s="70" t="s">
        <v>126</v>
      </c>
    </row>
    <row r="76" spans="1:6" ht="21" customHeight="1" x14ac:dyDescent="0.15">
      <c r="A76" s="71">
        <v>530</v>
      </c>
      <c r="B76" s="67" t="str">
        <f>VLOOKUP(A76,[2]characters!$A:$C,3,FALSE)</f>
        <v>冬服ジョー</v>
      </c>
      <c r="C76" s="17">
        <v>39001</v>
      </c>
      <c r="D76" s="8">
        <v>5</v>
      </c>
      <c r="E76" s="70" t="str">
        <f t="shared" si="7"/>
        <v>39001_5</v>
      </c>
      <c r="F76" s="70" t="s">
        <v>126</v>
      </c>
    </row>
    <row r="77" spans="1:6" ht="21" customHeight="1" x14ac:dyDescent="0.15">
      <c r="A77" s="71">
        <v>531</v>
      </c>
      <c r="B77" s="67" t="str">
        <f>VLOOKUP(A77,[2]characters!$A:$C,3,FALSE)</f>
        <v>冬服ポチ</v>
      </c>
      <c r="C77" s="17">
        <v>39001</v>
      </c>
      <c r="D77" s="8">
        <v>5</v>
      </c>
      <c r="E77" s="70" t="str">
        <f t="shared" si="7"/>
        <v>39001_5</v>
      </c>
      <c r="F77" s="70" t="s">
        <v>126</v>
      </c>
    </row>
    <row r="78" spans="1:6" ht="21" customHeight="1" x14ac:dyDescent="0.15">
      <c r="A78" s="71">
        <v>532</v>
      </c>
      <c r="B78" s="67" t="str">
        <f>VLOOKUP(A78,[2]characters!$A:$C,3,FALSE)</f>
        <v>冬服エレキポット</v>
      </c>
      <c r="C78" s="17">
        <v>39001</v>
      </c>
      <c r="D78" s="8">
        <v>5</v>
      </c>
      <c r="E78" s="70" t="str">
        <f t="shared" si="7"/>
        <v>39001_5</v>
      </c>
      <c r="F78" s="70" t="s">
        <v>126</v>
      </c>
    </row>
    <row r="79" spans="1:6" ht="21" customHeight="1" x14ac:dyDescent="0.15">
      <c r="A79" s="71">
        <v>533</v>
      </c>
      <c r="B79" s="67" t="str">
        <f>VLOOKUP(A79,[2]characters!$A:$C,3,FALSE)</f>
        <v>冬服アカネ</v>
      </c>
      <c r="C79" s="17">
        <v>39001</v>
      </c>
      <c r="D79" s="8">
        <v>5</v>
      </c>
      <c r="E79" s="70" t="str">
        <f t="shared" si="7"/>
        <v>39001_5</v>
      </c>
      <c r="F79" s="70" t="s">
        <v>126</v>
      </c>
    </row>
    <row r="80" spans="1:6" ht="21" customHeight="1" x14ac:dyDescent="0.15">
      <c r="A80" s="71">
        <v>534</v>
      </c>
      <c r="B80" s="67" t="str">
        <f>VLOOKUP(A80,[2]characters!$A:$C,3,FALSE)</f>
        <v>冬服パトライン</v>
      </c>
      <c r="C80" s="17">
        <v>39001</v>
      </c>
      <c r="D80" s="8">
        <v>5</v>
      </c>
      <c r="E80" s="70" t="str">
        <f t="shared" si="7"/>
        <v>39001_5</v>
      </c>
      <c r="F80" s="70" t="s">
        <v>126</v>
      </c>
    </row>
    <row r="81" spans="1:6" ht="21" customHeight="1" x14ac:dyDescent="0.15">
      <c r="A81" s="71">
        <v>535</v>
      </c>
      <c r="B81" s="67" t="str">
        <f>VLOOKUP(A81,[2]characters!$A:$C,3,FALSE)</f>
        <v>冬服リム</v>
      </c>
      <c r="C81" s="17">
        <v>39001</v>
      </c>
      <c r="D81" s="8">
        <v>5</v>
      </c>
      <c r="E81" s="70" t="str">
        <f t="shared" si="7"/>
        <v>39001_5</v>
      </c>
      <c r="F81" s="70" t="s">
        <v>126</v>
      </c>
    </row>
    <row r="82" spans="1:6" ht="21" customHeight="1" x14ac:dyDescent="0.15">
      <c r="A82" s="71">
        <v>536</v>
      </c>
      <c r="B82" s="67" t="str">
        <f>VLOOKUP(A82,[2]characters!$A:$C,3,FALSE)</f>
        <v>冬服ミミ</v>
      </c>
      <c r="C82" s="17">
        <v>39001</v>
      </c>
      <c r="D82" s="8">
        <v>5</v>
      </c>
      <c r="E82" s="70" t="str">
        <f t="shared" si="7"/>
        <v>39001_5</v>
      </c>
      <c r="F82" s="70" t="s">
        <v>126</v>
      </c>
    </row>
    <row r="83" spans="1:6" ht="21" customHeight="1" x14ac:dyDescent="0.15">
      <c r="A83" s="71">
        <v>537</v>
      </c>
      <c r="B83" s="67" t="str">
        <f>VLOOKUP(A83,[2]characters!$A:$C,3,FALSE)</f>
        <v>冬服ハッピー100</v>
      </c>
      <c r="C83" s="17">
        <v>39001</v>
      </c>
      <c r="D83" s="8">
        <v>5</v>
      </c>
      <c r="E83" s="70" t="str">
        <f t="shared" si="7"/>
        <v>39001_5</v>
      </c>
      <c r="F83" s="70" t="s">
        <v>126</v>
      </c>
    </row>
    <row r="84" spans="1:6" ht="21" customHeight="1" x14ac:dyDescent="0.15">
      <c r="A84" s="71">
        <v>538</v>
      </c>
      <c r="B84" s="67" t="str">
        <f>VLOOKUP(A84,[2]characters!$A:$C,3,FALSE)</f>
        <v>冬服ニムダ</v>
      </c>
      <c r="C84" s="17">
        <v>39001</v>
      </c>
      <c r="D84" s="8">
        <v>5</v>
      </c>
      <c r="E84" s="70" t="str">
        <f t="shared" si="7"/>
        <v>39001_5</v>
      </c>
      <c r="F84" s="70" t="s">
        <v>126</v>
      </c>
    </row>
    <row r="85" spans="1:6" ht="21" customHeight="1" x14ac:dyDescent="0.15">
      <c r="A85" s="71">
        <v>539</v>
      </c>
      <c r="B85" s="67" t="str">
        <f>VLOOKUP(A85,[2]characters!$A:$C,3,FALSE)</f>
        <v>初音ミク・アペンド</v>
      </c>
      <c r="C85" s="17">
        <v>39001</v>
      </c>
      <c r="D85" s="8">
        <v>5</v>
      </c>
      <c r="E85" s="70" t="str">
        <f t="shared" si="7"/>
        <v>39001_5</v>
      </c>
      <c r="F85" s="70" t="s">
        <v>126</v>
      </c>
    </row>
    <row r="86" spans="1:6" ht="21" customHeight="1" x14ac:dyDescent="0.15">
      <c r="A86" s="71">
        <v>540</v>
      </c>
      <c r="B86" s="67" t="str">
        <f>VLOOKUP(A86,[2]characters!$A:$C,3,FALSE)</f>
        <v>来訪の歌姫 初音ミク・アペンド</v>
      </c>
      <c r="C86" s="17">
        <v>39001</v>
      </c>
      <c r="D86" s="8">
        <v>5</v>
      </c>
      <c r="E86" s="70" t="str">
        <f t="shared" si="7"/>
        <v>39001_5</v>
      </c>
      <c r="F86" s="70" t="s">
        <v>126</v>
      </c>
    </row>
    <row r="87" spans="1:6" ht="21" customHeight="1" x14ac:dyDescent="0.15">
      <c r="A87" s="71">
        <v>541</v>
      </c>
      <c r="B87" s="67" t="str">
        <f>VLOOKUP(A87,[2]characters!$A:$C,3,FALSE)</f>
        <v>初音ミク</v>
      </c>
      <c r="C87" s="17">
        <v>39001</v>
      </c>
      <c r="D87" s="8">
        <v>5</v>
      </c>
      <c r="E87" s="70" t="str">
        <f t="shared" si="7"/>
        <v>39001_5</v>
      </c>
      <c r="F87" s="70" t="s">
        <v>126</v>
      </c>
    </row>
    <row r="88" spans="1:6" ht="21" customHeight="1" x14ac:dyDescent="0.15">
      <c r="A88" s="71">
        <v>542</v>
      </c>
      <c r="B88" s="67" t="str">
        <f>VLOOKUP(A88,[2]characters!$A:$C,3,FALSE)</f>
        <v>革命の音撃 初音ミク</v>
      </c>
      <c r="C88" s="17">
        <v>39001</v>
      </c>
      <c r="D88" s="8">
        <v>5</v>
      </c>
      <c r="E88" s="70" t="str">
        <f t="shared" si="7"/>
        <v>39001_5</v>
      </c>
      <c r="F88" s="70" t="s">
        <v>126</v>
      </c>
    </row>
    <row r="89" spans="1:6" ht="21" customHeight="1" x14ac:dyDescent="0.15">
      <c r="A89" s="71">
        <v>543</v>
      </c>
      <c r="B89" s="67" t="str">
        <f>VLOOKUP(A89,[2]characters!$A:$C,3,FALSE)</f>
        <v>鏡音リン</v>
      </c>
      <c r="C89" s="17">
        <v>39001</v>
      </c>
      <c r="D89" s="8">
        <v>5</v>
      </c>
      <c r="E89" s="70" t="str">
        <f t="shared" si="7"/>
        <v>39001_5</v>
      </c>
      <c r="F89" s="70" t="s">
        <v>126</v>
      </c>
    </row>
    <row r="90" spans="1:6" ht="21" customHeight="1" x14ac:dyDescent="0.15">
      <c r="A90" s="71">
        <v>544</v>
      </c>
      <c r="B90" s="67" t="str">
        <f>VLOOKUP(A90,[2]characters!$A:$C,3,FALSE)</f>
        <v>反響の凛音 鏡音リン</v>
      </c>
      <c r="C90" s="17">
        <v>39001</v>
      </c>
      <c r="D90" s="8">
        <v>5</v>
      </c>
      <c r="E90" s="70" t="str">
        <f t="shared" si="7"/>
        <v>39001_5</v>
      </c>
      <c r="F90" s="70" t="s">
        <v>126</v>
      </c>
    </row>
    <row r="91" spans="1:6" ht="21" customHeight="1" x14ac:dyDescent="0.15">
      <c r="A91" s="71">
        <v>545</v>
      </c>
      <c r="B91" s="67" t="str">
        <f>VLOOKUP(A91,[2]characters!$A:$C,3,FALSE)</f>
        <v>鏡音レン</v>
      </c>
      <c r="C91" s="17">
        <v>39001</v>
      </c>
      <c r="D91" s="8">
        <v>5</v>
      </c>
      <c r="E91" s="70" t="str">
        <f t="shared" si="7"/>
        <v>39001_5</v>
      </c>
      <c r="F91" s="70" t="s">
        <v>126</v>
      </c>
    </row>
    <row r="92" spans="1:6" ht="21" customHeight="1" x14ac:dyDescent="0.15">
      <c r="A92" s="71">
        <v>546</v>
      </c>
      <c r="B92" s="67" t="str">
        <f>VLOOKUP(A92,[2]characters!$A:$C,3,FALSE)</f>
        <v>残響の連符 鏡音レン</v>
      </c>
      <c r="C92" s="17">
        <v>39001</v>
      </c>
      <c r="D92" s="8">
        <v>5</v>
      </c>
      <c r="E92" s="70" t="str">
        <f t="shared" si="7"/>
        <v>39001_5</v>
      </c>
      <c r="F92" s="70" t="s">
        <v>126</v>
      </c>
    </row>
    <row r="93" spans="1:6" ht="21" customHeight="1" x14ac:dyDescent="0.15">
      <c r="A93" s="71">
        <v>547</v>
      </c>
      <c r="B93" s="67" t="str">
        <f>VLOOKUP(A93,[2]characters!$A:$C,3,FALSE)</f>
        <v>巡音ルカ</v>
      </c>
      <c r="C93" s="17">
        <v>39001</v>
      </c>
      <c r="D93" s="8">
        <v>5</v>
      </c>
      <c r="E93" s="70" t="str">
        <f t="shared" si="7"/>
        <v>39001_5</v>
      </c>
      <c r="F93" s="70" t="s">
        <v>126</v>
      </c>
    </row>
    <row r="94" spans="1:6" ht="21" customHeight="1" x14ac:dyDescent="0.15">
      <c r="A94" s="71">
        <v>548</v>
      </c>
      <c r="B94" s="67" t="str">
        <f>VLOOKUP(A94,[2]characters!$A:$C,3,FALSE)</f>
        <v>乱舞の音環 巡音ルカ</v>
      </c>
      <c r="C94" s="17">
        <v>39001</v>
      </c>
      <c r="D94" s="8">
        <v>5</v>
      </c>
      <c r="E94" s="70" t="str">
        <f t="shared" si="7"/>
        <v>39001_5</v>
      </c>
      <c r="F94" s="70" t="s">
        <v>126</v>
      </c>
    </row>
    <row r="95" spans="1:6" ht="21" customHeight="1" x14ac:dyDescent="0.15">
      <c r="A95" s="71">
        <v>549</v>
      </c>
      <c r="B95" s="67" t="str">
        <f>VLOOKUP(A95,[2]characters!$A:$C,3,FALSE)</f>
        <v>MEIKO</v>
      </c>
      <c r="C95" s="17">
        <v>39001</v>
      </c>
      <c r="D95" s="8">
        <v>5</v>
      </c>
      <c r="E95" s="70" t="str">
        <f t="shared" si="7"/>
        <v>39001_5</v>
      </c>
      <c r="F95" s="70" t="s">
        <v>126</v>
      </c>
    </row>
    <row r="96" spans="1:6" ht="21" customHeight="1" x14ac:dyDescent="0.15">
      <c r="A96" s="71">
        <v>550</v>
      </c>
      <c r="B96" s="67" t="str">
        <f>VLOOKUP(A96,[2]characters!$A:$C,3,FALSE)</f>
        <v>解放の絶唱 MEIKO</v>
      </c>
      <c r="C96" s="17">
        <v>39001</v>
      </c>
      <c r="D96" s="8">
        <v>5</v>
      </c>
      <c r="E96" s="70" t="str">
        <f t="shared" si="7"/>
        <v>39001_5</v>
      </c>
      <c r="F96" s="70" t="s">
        <v>126</v>
      </c>
    </row>
    <row r="97" spans="1:6" ht="21" customHeight="1" x14ac:dyDescent="0.15">
      <c r="A97" s="71">
        <v>551</v>
      </c>
      <c r="B97" s="67" t="str">
        <f>VLOOKUP(A97,[2]characters!$A:$C,3,FALSE)</f>
        <v>KAITO</v>
      </c>
      <c r="C97" s="17">
        <v>39001</v>
      </c>
      <c r="D97" s="8">
        <v>5</v>
      </c>
      <c r="E97" s="70" t="str">
        <f t="shared" si="7"/>
        <v>39001_5</v>
      </c>
      <c r="F97" s="70" t="s">
        <v>126</v>
      </c>
    </row>
    <row r="98" spans="1:6" ht="21" customHeight="1" x14ac:dyDescent="0.15">
      <c r="A98" s="71">
        <v>552</v>
      </c>
      <c r="B98" s="67" t="str">
        <f>VLOOKUP(A98,[2]characters!$A:$C,3,FALSE)</f>
        <v>愉悦の愛唱 KAITO</v>
      </c>
      <c r="C98" s="17">
        <v>39001</v>
      </c>
      <c r="D98" s="8">
        <v>5</v>
      </c>
      <c r="E98" s="70" t="str">
        <f t="shared" si="7"/>
        <v>39001_5</v>
      </c>
      <c r="F98" s="70" t="s">
        <v>126</v>
      </c>
    </row>
    <row r="99" spans="1:6" ht="21" customHeight="1" x14ac:dyDescent="0.15">
      <c r="A99" s="71">
        <v>553</v>
      </c>
      <c r="B99" s="67" t="str">
        <f>VLOOKUP(A99,[2]characters!$A:$C,3,FALSE)</f>
        <v>雪ミク2016</v>
      </c>
      <c r="C99" s="17">
        <v>39001</v>
      </c>
      <c r="D99" s="8">
        <v>5</v>
      </c>
      <c r="E99" s="70" t="str">
        <f t="shared" si="7"/>
        <v>39001_5</v>
      </c>
      <c r="F99" s="70" t="s">
        <v>126</v>
      </c>
    </row>
    <row r="100" spans="1:6" ht="21" customHeight="1" x14ac:dyDescent="0.15">
      <c r="A100" s="71">
        <v>554</v>
      </c>
      <c r="B100" s="67" t="str">
        <f>VLOOKUP(A100,[2]characters!$A:$C,3,FALSE)</f>
        <v>雪ミク&amp;ラビット・ユキネ2016</v>
      </c>
      <c r="C100" s="17">
        <v>39001</v>
      </c>
      <c r="D100" s="8">
        <v>5</v>
      </c>
      <c r="E100" s="70" t="str">
        <f t="shared" si="7"/>
        <v>39001_5</v>
      </c>
      <c r="F100" s="70" t="s">
        <v>126</v>
      </c>
    </row>
    <row r="101" spans="1:6" ht="21" customHeight="1" x14ac:dyDescent="0.15">
      <c r="A101" s="71">
        <v>555</v>
      </c>
      <c r="B101" s="67" t="str">
        <f>VLOOKUP(A101,[2]characters!$A:$C,3,FALSE)</f>
        <v>雪ミク2014</v>
      </c>
      <c r="C101" s="17">
        <v>39001</v>
      </c>
      <c r="D101" s="8">
        <v>5</v>
      </c>
      <c r="E101" s="70" t="str">
        <f t="shared" si="7"/>
        <v>39001_5</v>
      </c>
      <c r="F101" s="70" t="s">
        <v>126</v>
      </c>
    </row>
    <row r="102" spans="1:6" ht="21" customHeight="1" x14ac:dyDescent="0.15">
      <c r="A102" s="71">
        <v>556</v>
      </c>
      <c r="B102" s="67" t="str">
        <f>VLOOKUP(A102,[2]characters!$A:$C,3,FALSE)</f>
        <v>雪ミク&amp;ラビットユキネ2014</v>
      </c>
      <c r="C102" s="17">
        <v>39001</v>
      </c>
      <c r="D102" s="8">
        <v>5</v>
      </c>
      <c r="E102" s="70" t="str">
        <f t="shared" si="7"/>
        <v>39001_5</v>
      </c>
      <c r="F102" s="70" t="s">
        <v>126</v>
      </c>
    </row>
    <row r="103" spans="1:6" ht="21" customHeight="1" x14ac:dyDescent="0.15">
      <c r="A103" s="71">
        <v>557</v>
      </c>
      <c r="B103" s="67" t="str">
        <f>VLOOKUP(A103,[2]characters!$A:$C,3,FALSE)</f>
        <v>ラビット・ユキネ</v>
      </c>
      <c r="C103" s="17">
        <v>39002</v>
      </c>
      <c r="D103" s="8">
        <v>6</v>
      </c>
      <c r="E103" s="70" t="str">
        <f t="shared" ref="E103:E105" si="8">C103&amp;"_"&amp;D103</f>
        <v>39002_6</v>
      </c>
      <c r="F103" s="70" t="e">
        <v>#N/A</v>
      </c>
    </row>
    <row r="104" spans="1:6" ht="21" customHeight="1" x14ac:dyDescent="0.15">
      <c r="A104" s="71">
        <v>558</v>
      </c>
      <c r="B104" s="67" t="str">
        <f>VLOOKUP(A104,[2]characters!$A:$C,3,FALSE)</f>
        <v>雪原の超躍 ラビット・ユキネ</v>
      </c>
      <c r="C104" s="17">
        <v>39003</v>
      </c>
      <c r="D104" s="8">
        <v>7</v>
      </c>
      <c r="E104" s="70" t="str">
        <f t="shared" si="8"/>
        <v>39003_7</v>
      </c>
      <c r="F104" s="70" t="e">
        <v>#N/A</v>
      </c>
    </row>
    <row r="105" spans="1:6" ht="21" customHeight="1" x14ac:dyDescent="0.15">
      <c r="A105" s="71">
        <v>559</v>
      </c>
      <c r="B105" s="67" t="str">
        <f>VLOOKUP(A105,[2]characters!$A:$C,3,FALSE)</f>
        <v>白銀の滑光 ラビット・ユキネ</v>
      </c>
      <c r="C105" s="17">
        <v>39004</v>
      </c>
      <c r="D105" s="8">
        <v>8</v>
      </c>
      <c r="E105" s="70" t="str">
        <f t="shared" si="8"/>
        <v>39004_8</v>
      </c>
      <c r="F105" s="70" t="e">
        <v>#N/A</v>
      </c>
    </row>
    <row r="106" spans="1:6" ht="21" customHeight="1" x14ac:dyDescent="0.15">
      <c r="A106" s="71">
        <v>573</v>
      </c>
      <c r="B106" s="67" t="str">
        <f>VLOOKUP(A106,[2]characters!$A:$C,3,FALSE)</f>
        <v>オーディン</v>
      </c>
      <c r="C106" s="17">
        <v>50002</v>
      </c>
      <c r="D106" s="8">
        <v>1</v>
      </c>
      <c r="E106" s="70" t="str">
        <f t="shared" ref="E106:E107" si="9">C106&amp;"_"&amp;D106</f>
        <v>50002_1</v>
      </c>
      <c r="F106" s="70" t="s">
        <v>128</v>
      </c>
    </row>
    <row r="107" spans="1:6" ht="21" customHeight="1" x14ac:dyDescent="0.15">
      <c r="A107" s="71">
        <v>574</v>
      </c>
      <c r="B107" s="67" t="str">
        <f>VLOOKUP(A107,[2]characters!$A:$C,3,FALSE)</f>
        <v>世慧の守神 オーディン</v>
      </c>
      <c r="C107" s="17">
        <v>50002</v>
      </c>
      <c r="D107" s="8">
        <v>1</v>
      </c>
      <c r="E107" s="70" t="str">
        <f t="shared" si="9"/>
        <v>50002_1</v>
      </c>
      <c r="F107" s="70" t="s">
        <v>128</v>
      </c>
    </row>
    <row r="108" spans="1:6" ht="21" customHeight="1" x14ac:dyDescent="0.15">
      <c r="A108" s="71">
        <v>575</v>
      </c>
      <c r="B108" s="67" t="str">
        <f>VLOOKUP(A108,[2]characters!$A:$C,3,FALSE)</f>
        <v>フレイ</v>
      </c>
      <c r="C108" s="17">
        <v>40010</v>
      </c>
      <c r="D108" s="8">
        <v>1</v>
      </c>
      <c r="E108" s="70" t="str">
        <f t="shared" ref="E108:E116" si="10">C108&amp;"_"&amp;D108</f>
        <v>40010_1</v>
      </c>
      <c r="F108" s="70" t="s">
        <v>129</v>
      </c>
    </row>
    <row r="109" spans="1:6" ht="21" customHeight="1" x14ac:dyDescent="0.15">
      <c r="A109" s="71">
        <v>576</v>
      </c>
      <c r="B109" s="67" t="str">
        <f>VLOOKUP(A109,[2]characters!$A:$C,3,FALSE)</f>
        <v>統勝の豊穣王神 フレイ</v>
      </c>
      <c r="C109" s="17">
        <v>40010</v>
      </c>
      <c r="D109" s="8">
        <v>1</v>
      </c>
      <c r="E109" s="70" t="str">
        <f t="shared" si="10"/>
        <v>40010_1</v>
      </c>
      <c r="F109" s="70" t="s">
        <v>129</v>
      </c>
    </row>
    <row r="110" spans="1:6" ht="21" customHeight="1" x14ac:dyDescent="0.15">
      <c r="A110" s="71">
        <v>577</v>
      </c>
      <c r="B110" s="67" t="str">
        <f>VLOOKUP(A110,[2]characters!$A:$C,3,FALSE)</f>
        <v>ビュグヴィルとベイラ</v>
      </c>
      <c r="C110" s="17">
        <v>30026</v>
      </c>
      <c r="D110" s="8">
        <v>3</v>
      </c>
      <c r="E110" s="70" t="str">
        <f t="shared" si="10"/>
        <v>30026_3</v>
      </c>
      <c r="F110" s="70" t="s">
        <v>130</v>
      </c>
    </row>
    <row r="111" spans="1:6" ht="21" customHeight="1" x14ac:dyDescent="0.15">
      <c r="A111" s="71">
        <v>578</v>
      </c>
      <c r="B111" s="67" t="str">
        <f>VLOOKUP(A111,[2]characters!$A:$C,3,FALSE)</f>
        <v>穣神従事 ビュグヴィルとベイラ</v>
      </c>
      <c r="C111" s="17">
        <v>30026</v>
      </c>
      <c r="D111" s="8">
        <v>3</v>
      </c>
      <c r="E111" s="70" t="str">
        <f t="shared" si="10"/>
        <v>30026_3</v>
      </c>
      <c r="F111" s="70" t="s">
        <v>130</v>
      </c>
    </row>
    <row r="112" spans="1:6" ht="21" customHeight="1" x14ac:dyDescent="0.15">
      <c r="A112" s="71">
        <v>579</v>
      </c>
      <c r="B112" s="67" t="str">
        <f>VLOOKUP(A112,[2]characters!$A:$C,3,FALSE)</f>
        <v>オーズ</v>
      </c>
      <c r="C112" s="17">
        <v>30025</v>
      </c>
      <c r="D112" s="8">
        <v>3</v>
      </c>
      <c r="E112" s="70" t="str">
        <f t="shared" si="10"/>
        <v>30025_3</v>
      </c>
      <c r="F112" s="70" t="s">
        <v>131</v>
      </c>
    </row>
    <row r="113" spans="1:6" ht="21" customHeight="1" x14ac:dyDescent="0.15">
      <c r="A113" s="71">
        <v>580</v>
      </c>
      <c r="B113" s="67" t="str">
        <f>VLOOKUP(A113,[2]characters!$A:$C,3,FALSE)</f>
        <v>愛憐の旅神 オーズ</v>
      </c>
      <c r="C113" s="17">
        <v>30025</v>
      </c>
      <c r="D113" s="8">
        <v>3</v>
      </c>
      <c r="E113" s="70" t="str">
        <f t="shared" si="10"/>
        <v>30025_3</v>
      </c>
      <c r="F113" s="70" t="s">
        <v>131</v>
      </c>
    </row>
    <row r="114" spans="1:6" ht="21" customHeight="1" x14ac:dyDescent="0.15">
      <c r="A114" s="71">
        <v>581</v>
      </c>
      <c r="B114" s="67" t="str">
        <f>VLOOKUP(A114,[2]characters!$A:$C,3,FALSE)</f>
        <v>フギンとムニン</v>
      </c>
      <c r="C114" s="17">
        <v>40009</v>
      </c>
      <c r="D114" s="8">
        <v>1</v>
      </c>
      <c r="E114" s="70" t="str">
        <f t="shared" si="10"/>
        <v>40009_1</v>
      </c>
      <c r="F114" s="70" t="s">
        <v>132</v>
      </c>
    </row>
    <row r="115" spans="1:6" ht="21" customHeight="1" x14ac:dyDescent="0.15">
      <c r="A115" s="71">
        <v>582</v>
      </c>
      <c r="B115" s="67" t="str">
        <f>VLOOKUP(A115,[2]characters!$A:$C,3,FALSE)</f>
        <v>空を駆る双鴉 フギンとムニン</v>
      </c>
      <c r="C115" s="17">
        <v>40009</v>
      </c>
      <c r="D115" s="8">
        <v>1</v>
      </c>
      <c r="E115" s="70" t="str">
        <f t="shared" si="10"/>
        <v>40009_1</v>
      </c>
      <c r="F115" s="70" t="s">
        <v>132</v>
      </c>
    </row>
    <row r="116" spans="1:6" ht="21" customHeight="1" x14ac:dyDescent="0.15">
      <c r="A116" s="71">
        <v>583</v>
      </c>
      <c r="B116" s="67" t="str">
        <f>VLOOKUP(A116,[2]characters!$A:$C,3,FALSE)</f>
        <v>ミョルニル</v>
      </c>
      <c r="C116" s="17">
        <v>30024</v>
      </c>
      <c r="D116" s="8">
        <v>3</v>
      </c>
      <c r="E116" s="70" t="str">
        <f t="shared" si="10"/>
        <v>30024_3</v>
      </c>
      <c r="F116" s="70" t="s">
        <v>133</v>
      </c>
    </row>
    <row r="117" spans="1:6" ht="21" customHeight="1" x14ac:dyDescent="0.15">
      <c r="A117" s="71">
        <v>584</v>
      </c>
      <c r="B117" s="67" t="str">
        <f>VLOOKUP(A117,[2]characters!$A:$C,3,FALSE)</f>
        <v>自律する召雷鎚 ミョルニル</v>
      </c>
      <c r="C117" s="17">
        <v>30024</v>
      </c>
      <c r="D117" s="8">
        <v>3</v>
      </c>
      <c r="E117" s="70" t="str">
        <f t="shared" ref="E117:E120" si="11">C117&amp;"_"&amp;D117</f>
        <v>30024_3</v>
      </c>
      <c r="F117" s="70" t="s">
        <v>133</v>
      </c>
    </row>
    <row r="118" spans="1:6" ht="21" customHeight="1" x14ac:dyDescent="0.15">
      <c r="A118" s="71">
        <v>460</v>
      </c>
      <c r="B118" s="67" t="str">
        <f>VLOOKUP(A118,[2]characters!$A:$C,3,FALSE)</f>
        <v>オズ</v>
      </c>
      <c r="C118" s="17">
        <v>40005</v>
      </c>
      <c r="D118" s="8">
        <v>1</v>
      </c>
      <c r="E118" s="70" t="str">
        <f t="shared" si="11"/>
        <v>40005_1</v>
      </c>
      <c r="F118" s="70" t="s">
        <v>134</v>
      </c>
    </row>
    <row r="119" spans="1:6" ht="21" customHeight="1" x14ac:dyDescent="0.15">
      <c r="A119" s="71">
        <v>461</v>
      </c>
      <c r="B119" s="67" t="str">
        <f>VLOOKUP(A119,[2]characters!$A:$C,3,FALSE)</f>
        <v>大いなる虚像 オズ</v>
      </c>
      <c r="C119" s="17">
        <v>40005</v>
      </c>
      <c r="D119" s="8">
        <v>1</v>
      </c>
      <c r="E119" s="70" t="str">
        <f t="shared" si="11"/>
        <v>40005_1</v>
      </c>
      <c r="F119" s="70" t="s">
        <v>134</v>
      </c>
    </row>
    <row r="120" spans="1:6" ht="21" customHeight="1" x14ac:dyDescent="0.15">
      <c r="A120" s="71">
        <v>472</v>
      </c>
      <c r="B120" s="67" t="str">
        <f>VLOOKUP(A120,[2]characters!$A:$C,3,FALSE)</f>
        <v>アーサー</v>
      </c>
      <c r="C120" s="17">
        <v>40006</v>
      </c>
      <c r="D120" s="8">
        <v>1</v>
      </c>
      <c r="E120" s="70" t="str">
        <f t="shared" si="11"/>
        <v>40006_1</v>
      </c>
      <c r="F120" s="70" t="s">
        <v>135</v>
      </c>
    </row>
    <row r="121" spans="1:6" ht="21" customHeight="1" x14ac:dyDescent="0.15">
      <c r="A121" s="71">
        <v>473</v>
      </c>
      <c r="B121" s="67" t="str">
        <f>VLOOKUP(A121,[2]characters!$A:$C,3,FALSE)</f>
        <v>凶堅なる正義 アーサー</v>
      </c>
      <c r="C121" s="17">
        <v>40006</v>
      </c>
      <c r="D121" s="8">
        <v>1</v>
      </c>
      <c r="E121" s="70" t="str">
        <f t="shared" ref="E121:E122" si="12">C121&amp;"_"&amp;D121</f>
        <v>40006_1</v>
      </c>
      <c r="F121" s="70" t="s">
        <v>135</v>
      </c>
    </row>
    <row r="122" spans="1:6" ht="21" customHeight="1" x14ac:dyDescent="0.15">
      <c r="A122" s="71">
        <v>490</v>
      </c>
      <c r="B122" s="67" t="str">
        <f>VLOOKUP(A122,[2]characters!$A:$C,3,FALSE)</f>
        <v>グリム</v>
      </c>
      <c r="C122" s="17">
        <v>40007</v>
      </c>
      <c r="D122" s="8">
        <v>1</v>
      </c>
      <c r="E122" s="70" t="str">
        <f t="shared" si="12"/>
        <v>40007_1</v>
      </c>
      <c r="F122" s="70" t="s">
        <v>136</v>
      </c>
    </row>
    <row r="123" spans="1:6" ht="21" customHeight="1" x14ac:dyDescent="0.15">
      <c r="A123" s="71">
        <v>491</v>
      </c>
      <c r="B123" s="67" t="str">
        <f>VLOOKUP(A123,[2]characters!$A:$C,3,FALSE)</f>
        <v>収魂の群影 グリム</v>
      </c>
      <c r="C123" s="17">
        <v>40007</v>
      </c>
      <c r="D123" s="8">
        <v>1</v>
      </c>
      <c r="E123" s="70" t="str">
        <f t="shared" ref="E123:E125" si="13">C123&amp;"_"&amp;D123</f>
        <v>40007_1</v>
      </c>
      <c r="F123" s="70" t="s">
        <v>136</v>
      </c>
    </row>
    <row r="124" spans="1:6" ht="21" customHeight="1" x14ac:dyDescent="0.15">
      <c r="A124" s="72">
        <v>654</v>
      </c>
      <c r="B124" s="67" t="str">
        <f>VLOOKUP(A124,[2]characters!$A:$C,3,FALSE)</f>
        <v>酒呑童子 ヨミ</v>
      </c>
      <c r="C124" s="17">
        <v>40011</v>
      </c>
      <c r="D124" s="8">
        <v>1</v>
      </c>
      <c r="E124" s="70" t="str">
        <f t="shared" si="13"/>
        <v>40011_1</v>
      </c>
      <c r="F124" s="70" t="s">
        <v>137</v>
      </c>
    </row>
    <row r="125" spans="1:6" ht="21" customHeight="1" x14ac:dyDescent="0.15">
      <c r="A125" s="72">
        <v>655</v>
      </c>
      <c r="B125" s="67" t="str">
        <f>VLOOKUP(A125,[2]characters!$A:$C,3,FALSE)</f>
        <v>桜花舞う嵐鬼神 ヨミ</v>
      </c>
      <c r="C125" s="17">
        <v>40011</v>
      </c>
      <c r="D125" s="8">
        <v>1</v>
      </c>
      <c r="E125" s="70" t="str">
        <f t="shared" si="13"/>
        <v>40011_1</v>
      </c>
      <c r="F125" s="70" t="s">
        <v>137</v>
      </c>
    </row>
    <row r="126" spans="1:6" ht="21" customHeight="1" x14ac:dyDescent="0.15">
      <c r="A126" s="72">
        <v>646</v>
      </c>
      <c r="B126" s="67" t="str">
        <f>VLOOKUP(A126,[2]characters!$A:$C,3,FALSE)</f>
        <v>雪女 ユキ</v>
      </c>
      <c r="C126" s="17">
        <v>30027</v>
      </c>
      <c r="D126" s="8">
        <v>3</v>
      </c>
      <c r="E126" s="70" t="str">
        <f t="shared" ref="E126:E127" si="14">C126&amp;"_"&amp;D126</f>
        <v>30027_3</v>
      </c>
      <c r="F126" s="70" t="s">
        <v>138</v>
      </c>
    </row>
    <row r="127" spans="1:6" ht="21" customHeight="1" x14ac:dyDescent="0.15">
      <c r="A127" s="72">
        <v>647</v>
      </c>
      <c r="B127" s="67" t="str">
        <f>VLOOKUP(A127,[2]characters!$A:$C,3,FALSE)</f>
        <v>氷麗の雪化生 ユキ</v>
      </c>
      <c r="C127" s="17">
        <v>30027</v>
      </c>
      <c r="D127" s="8">
        <v>3</v>
      </c>
      <c r="E127" s="70" t="str">
        <f t="shared" si="14"/>
        <v>30027_3</v>
      </c>
      <c r="F127" s="70" t="s">
        <v>138</v>
      </c>
    </row>
    <row r="128" spans="1:6" ht="21" customHeight="1" x14ac:dyDescent="0.15">
      <c r="A128" s="72">
        <v>650</v>
      </c>
      <c r="B128" s="67" t="str">
        <f>VLOOKUP(A128,[2]characters!$A:$C,3,FALSE)</f>
        <v>土蜘蛛 ユウヤ</v>
      </c>
      <c r="C128" s="17">
        <v>30028</v>
      </c>
      <c r="D128" s="8">
        <v>3</v>
      </c>
      <c r="E128" s="70" t="str">
        <f t="shared" ref="E128:E129" si="15">C128&amp;"_"&amp;D128</f>
        <v>30028_3</v>
      </c>
      <c r="F128" s="70" t="s">
        <v>139</v>
      </c>
    </row>
    <row r="129" spans="1:6" ht="21" customHeight="1" x14ac:dyDescent="0.15">
      <c r="A129" s="72">
        <v>651</v>
      </c>
      <c r="B129" s="67" t="str">
        <f>VLOOKUP(A129,[2]characters!$A:$C,3,FALSE)</f>
        <v>八重祟障 ユウヤ</v>
      </c>
      <c r="C129" s="17">
        <v>30028</v>
      </c>
      <c r="D129" s="8">
        <v>3</v>
      </c>
      <c r="E129" s="70" t="str">
        <f t="shared" si="15"/>
        <v>30028_3</v>
      </c>
      <c r="F129" s="70" t="s">
        <v>139</v>
      </c>
    </row>
    <row r="130" spans="1:6" ht="21" customHeight="1" x14ac:dyDescent="0.15">
      <c r="A130" s="72">
        <v>648</v>
      </c>
      <c r="B130" s="67" t="str">
        <f>VLOOKUP(A130,[2]characters!$A:$C,3,FALSE)</f>
        <v>パールヴァティ</v>
      </c>
      <c r="C130" s="17">
        <v>30029</v>
      </c>
      <c r="D130" s="8">
        <v>3</v>
      </c>
      <c r="E130" s="70" t="str">
        <f t="shared" ref="E130:E131" si="16">C130&amp;"_"&amp;D130</f>
        <v>30029_3</v>
      </c>
      <c r="F130" s="70" t="s">
        <v>140</v>
      </c>
    </row>
    <row r="131" spans="1:6" ht="21" customHeight="1" x14ac:dyDescent="0.15">
      <c r="A131" s="72">
        <v>652</v>
      </c>
      <c r="B131" s="67" t="str">
        <f>VLOOKUP(A131,[2]characters!$A:$C,3,FALSE)</f>
        <v>アナンタ</v>
      </c>
      <c r="C131" s="17">
        <v>30030</v>
      </c>
      <c r="D131" s="8">
        <v>3</v>
      </c>
      <c r="E131" s="70" t="str">
        <f t="shared" si="16"/>
        <v>30030_3</v>
      </c>
      <c r="F131" s="70" t="s">
        <v>141</v>
      </c>
    </row>
    <row r="132" spans="1:6" ht="21" customHeight="1" x14ac:dyDescent="0.15">
      <c r="A132" s="72">
        <v>764</v>
      </c>
      <c r="B132" s="67" t="str">
        <f>VLOOKUP(A132,[2]characters!$A:$C,3,FALSE)</f>
        <v>ライオネル</v>
      </c>
      <c r="C132" s="17">
        <v>30031</v>
      </c>
      <c r="D132" s="8">
        <v>3</v>
      </c>
      <c r="E132" s="70" t="str">
        <f t="shared" ref="E132" si="17">C132&amp;"_"&amp;D132</f>
        <v>30031_3</v>
      </c>
      <c r="F132" s="70" t="s">
        <v>142</v>
      </c>
    </row>
    <row r="133" spans="1:6" ht="21" customHeight="1" x14ac:dyDescent="0.15">
      <c r="A133" s="72">
        <v>766</v>
      </c>
      <c r="B133" s="67" t="str">
        <f>VLOOKUP(A133,[2]characters!$A:$C,3,FALSE)</f>
        <v>ランドラグ</v>
      </c>
      <c r="C133" s="17">
        <v>30032</v>
      </c>
      <c r="D133" s="8">
        <v>3</v>
      </c>
      <c r="E133" s="70" t="str">
        <f t="shared" ref="E133" si="18">C133&amp;"_"&amp;D133</f>
        <v>30032_3</v>
      </c>
      <c r="F133" s="70" t="s">
        <v>143</v>
      </c>
    </row>
    <row r="134" spans="1:6" ht="21" customHeight="1" x14ac:dyDescent="0.15">
      <c r="A134" s="72">
        <v>720</v>
      </c>
      <c r="B134" s="67" t="str">
        <f>VLOOKUP(A134,[2]characters!$A:$C,3,FALSE)</f>
        <v>直江兼続</v>
      </c>
      <c r="C134" s="17">
        <v>20013</v>
      </c>
      <c r="D134" s="8">
        <v>3</v>
      </c>
      <c r="E134" s="70" t="str">
        <f t="shared" ref="E134:E137" si="19">C134&amp;"_"&amp;D134</f>
        <v>20013_3</v>
      </c>
      <c r="F134" s="70" t="s">
        <v>144</v>
      </c>
    </row>
    <row r="135" spans="1:6" ht="21" customHeight="1" x14ac:dyDescent="0.15">
      <c r="A135" s="72">
        <v>722</v>
      </c>
      <c r="B135" s="67" t="str">
        <f>VLOOKUP(A135,[2]characters!$A:$C,3,FALSE)</f>
        <v>森蘭丸</v>
      </c>
      <c r="C135" s="17">
        <v>30033</v>
      </c>
      <c r="D135" s="8">
        <v>3</v>
      </c>
      <c r="E135" s="70" t="str">
        <f t="shared" si="19"/>
        <v>30033_3</v>
      </c>
      <c r="F135" s="70" t="s">
        <v>145</v>
      </c>
    </row>
    <row r="136" spans="1:6" ht="21" customHeight="1" x14ac:dyDescent="0.15">
      <c r="A136" s="71">
        <v>644</v>
      </c>
      <c r="B136" s="67" t="str">
        <f>VLOOKUP(A136,[2]characters!$A:$C,3,FALSE)</f>
        <v>滑瓢 ショウキ</v>
      </c>
      <c r="C136" s="17">
        <v>40012</v>
      </c>
      <c r="D136" s="8">
        <v>1</v>
      </c>
      <c r="E136" s="70" t="str">
        <f t="shared" si="19"/>
        <v>40012_1</v>
      </c>
      <c r="F136" s="70" t="s">
        <v>146</v>
      </c>
    </row>
    <row r="137" spans="1:6" ht="21" customHeight="1" x14ac:dyDescent="0.15">
      <c r="A137" s="71">
        <v>645</v>
      </c>
      <c r="B137" s="67" t="str">
        <f>VLOOKUP(A137,[2]characters!$A:$C,3,FALSE)</f>
        <v>百鬼夜行の創大将 ショウキ</v>
      </c>
      <c r="C137" s="17">
        <v>40012</v>
      </c>
      <c r="D137" s="8">
        <v>1</v>
      </c>
      <c r="E137" s="70" t="str">
        <f t="shared" si="19"/>
        <v>40012_1</v>
      </c>
      <c r="F137" s="70" t="s">
        <v>146</v>
      </c>
    </row>
    <row r="138" spans="1:6" ht="21" customHeight="1" x14ac:dyDescent="0.15">
      <c r="A138" s="71">
        <v>642</v>
      </c>
      <c r="B138" s="67" t="str">
        <f>VLOOKUP(A138,[2]characters!$A:$C,3,FALSE)</f>
        <v>カーマ</v>
      </c>
      <c r="C138" s="17">
        <v>40013</v>
      </c>
      <c r="D138" s="8">
        <v>1</v>
      </c>
      <c r="E138" s="70" t="str">
        <f t="shared" ref="E138:E139" si="20">C138&amp;"_"&amp;D138</f>
        <v>40013_1</v>
      </c>
      <c r="F138" s="70" t="s">
        <v>147</v>
      </c>
    </row>
    <row r="139" spans="1:6" ht="21" customHeight="1" x14ac:dyDescent="0.15">
      <c r="A139" s="71">
        <v>643</v>
      </c>
      <c r="B139" s="67" t="str">
        <f>VLOOKUP(A139,[2]characters!$A:$C,3,FALSE)</f>
        <v>愛花天神 カーマ</v>
      </c>
      <c r="C139" s="17">
        <v>40013</v>
      </c>
      <c r="D139" s="8">
        <v>1</v>
      </c>
      <c r="E139" s="70" t="str">
        <f t="shared" si="20"/>
        <v>40013_1</v>
      </c>
      <c r="F139" s="70" t="s">
        <v>147</v>
      </c>
    </row>
    <row r="140" spans="1:6" ht="21" customHeight="1" x14ac:dyDescent="0.15">
      <c r="A140" s="71">
        <v>656</v>
      </c>
      <c r="B140" s="67" t="str">
        <f>VLOOKUP(A140,[2]characters!$A:$C,3,FALSE)</f>
        <v>シヴァ</v>
      </c>
      <c r="C140" s="17">
        <v>40014</v>
      </c>
      <c r="D140" s="8">
        <v>1</v>
      </c>
      <c r="E140" s="70" t="str">
        <f t="shared" ref="E140:E141" si="21">C140&amp;"_"&amp;D140</f>
        <v>40014_1</v>
      </c>
      <c r="F140" s="70" t="s">
        <v>148</v>
      </c>
    </row>
    <row r="141" spans="1:6" ht="21" customHeight="1" x14ac:dyDescent="0.15">
      <c r="A141" s="71">
        <v>657</v>
      </c>
      <c r="B141" s="67" t="str">
        <f>VLOOKUP(A141,[2]characters!$A:$C,3,FALSE)</f>
        <v>解滅の裁神 シヴァ</v>
      </c>
      <c r="C141" s="17">
        <v>40014</v>
      </c>
      <c r="D141" s="8">
        <v>1</v>
      </c>
      <c r="E141" s="70" t="str">
        <f t="shared" si="21"/>
        <v>40014_1</v>
      </c>
      <c r="F141" s="70" t="s">
        <v>148</v>
      </c>
    </row>
    <row r="142" spans="1:6" ht="21" customHeight="1" x14ac:dyDescent="0.15">
      <c r="A142" s="71">
        <v>768</v>
      </c>
      <c r="B142" s="67" t="str">
        <f>VLOOKUP(A142,[2]characters!$A:$C,3,FALSE)</f>
        <v>ガレス</v>
      </c>
      <c r="C142" s="17">
        <v>40015</v>
      </c>
      <c r="D142" s="8">
        <v>1</v>
      </c>
      <c r="E142" s="70" t="str">
        <f t="shared" ref="E142:E143" si="22">C142&amp;"_"&amp;D142</f>
        <v>40015_1</v>
      </c>
      <c r="F142" s="70" t="s">
        <v>149</v>
      </c>
    </row>
    <row r="143" spans="1:6" ht="21" customHeight="1" x14ac:dyDescent="0.15">
      <c r="A143" s="71">
        <v>769</v>
      </c>
      <c r="B143" s="67" t="str">
        <f>VLOOKUP(A143,[2]characters!$A:$C,3,FALSE)</f>
        <v>白域・純双剣 ガレス</v>
      </c>
      <c r="C143" s="17">
        <v>40015</v>
      </c>
      <c r="D143" s="8">
        <v>1</v>
      </c>
      <c r="E143" s="70" t="str">
        <f t="shared" si="22"/>
        <v>40015_1</v>
      </c>
      <c r="F143" s="70" t="s">
        <v>149</v>
      </c>
    </row>
    <row r="144" spans="1:6" ht="21" customHeight="1" x14ac:dyDescent="0.15">
      <c r="A144" s="71">
        <v>724</v>
      </c>
      <c r="B144" s="67" t="str">
        <f>VLOOKUP(A144,[2]characters!$A:$C,3,FALSE)</f>
        <v>武田信玄</v>
      </c>
      <c r="C144" s="17">
        <v>40016</v>
      </c>
      <c r="D144" s="8">
        <v>1</v>
      </c>
      <c r="E144" s="70" t="str">
        <f t="shared" ref="E144:E147" si="23">C144&amp;"_"&amp;D144</f>
        <v>40016_1</v>
      </c>
      <c r="F144" s="70" t="s">
        <v>150</v>
      </c>
    </row>
    <row r="145" spans="1:6" ht="21" customHeight="1" x14ac:dyDescent="0.15">
      <c r="A145" s="71">
        <v>725</v>
      </c>
      <c r="B145" s="67" t="str">
        <f>VLOOKUP(A145,[2]characters!$A:$C,3,FALSE)</f>
        <v>泰然の暴虎 武田信玄</v>
      </c>
      <c r="C145" s="17">
        <v>40016</v>
      </c>
      <c r="D145" s="8">
        <v>1</v>
      </c>
      <c r="E145" s="70" t="str">
        <f t="shared" si="23"/>
        <v>40016_1</v>
      </c>
      <c r="F145" s="70" t="s">
        <v>150</v>
      </c>
    </row>
    <row r="146" spans="1:6" ht="21" customHeight="1" x14ac:dyDescent="0.15">
      <c r="A146" s="71">
        <v>693</v>
      </c>
      <c r="B146" s="67" t="str">
        <f>VLOOKUP(A146,[2]characters!$A:$C,3,FALSE)</f>
        <v>紀田正臣</v>
      </c>
      <c r="C146" s="17">
        <v>39002</v>
      </c>
      <c r="D146" s="8">
        <v>4</v>
      </c>
      <c r="E146" s="70" t="str">
        <f t="shared" si="23"/>
        <v>39002_4</v>
      </c>
      <c r="F146" s="70" t="s">
        <v>151</v>
      </c>
    </row>
    <row r="147" spans="1:6" ht="21" customHeight="1" x14ac:dyDescent="0.15">
      <c r="A147" s="71">
        <v>694</v>
      </c>
      <c r="B147" s="67" t="str">
        <f>VLOOKUP(A147,[2]characters!$A:$C,3,FALSE)</f>
        <v>黄巾賊の将軍 紀田正臣</v>
      </c>
      <c r="C147" s="17">
        <v>39002</v>
      </c>
      <c r="D147" s="8">
        <v>4</v>
      </c>
      <c r="E147" s="70" t="str">
        <f t="shared" si="23"/>
        <v>39002_4</v>
      </c>
      <c r="F147" s="70" t="s">
        <v>151</v>
      </c>
    </row>
    <row r="148" spans="1:6" ht="21" customHeight="1" x14ac:dyDescent="0.15">
      <c r="A148" s="71">
        <v>691</v>
      </c>
      <c r="B148" s="67" t="str">
        <f>VLOOKUP(A148,[2]characters!$A:$C,3,FALSE)</f>
        <v>黒沼青葉</v>
      </c>
      <c r="C148" s="17">
        <v>39003</v>
      </c>
      <c r="D148" s="8">
        <v>4</v>
      </c>
      <c r="E148" s="70" t="str">
        <f t="shared" ref="E148:E149" si="24">C148&amp;"_"&amp;D148</f>
        <v>39003_4</v>
      </c>
      <c r="F148" s="70" t="s">
        <v>152</v>
      </c>
    </row>
    <row r="149" spans="1:6" ht="21" customHeight="1" x14ac:dyDescent="0.15">
      <c r="A149" s="71">
        <v>692</v>
      </c>
      <c r="B149" s="67" t="str">
        <f>VLOOKUP(A149,[2]characters!$A:$C,3,FALSE)</f>
        <v>暗躍する偽帝 黒沼青葉</v>
      </c>
      <c r="C149" s="17">
        <v>39003</v>
      </c>
      <c r="D149" s="8">
        <v>4</v>
      </c>
      <c r="E149" s="70" t="str">
        <f t="shared" si="24"/>
        <v>39003_4</v>
      </c>
      <c r="F149" s="70" t="s">
        <v>152</v>
      </c>
    </row>
    <row r="150" spans="1:6" ht="21" customHeight="1" x14ac:dyDescent="0.15">
      <c r="A150" s="71">
        <v>121</v>
      </c>
      <c r="B150" s="67" t="str">
        <f>VLOOKUP(A150,[2]characters!$A:$C,3,FALSE)</f>
        <v>攻めの果実</v>
      </c>
      <c r="C150" s="18">
        <v>11207</v>
      </c>
      <c r="D150" s="8">
        <v>2</v>
      </c>
      <c r="E150" s="70" t="str">
        <f t="shared" ref="E150:E152" si="25">C150&amp;"_"&amp;D150</f>
        <v>11207_2</v>
      </c>
      <c r="F150" s="70" t="s">
        <v>153</v>
      </c>
    </row>
    <row r="151" spans="1:6" ht="21" customHeight="1" x14ac:dyDescent="0.15">
      <c r="A151" s="71">
        <v>122</v>
      </c>
      <c r="B151" s="67" t="str">
        <f>VLOOKUP(A151,[2]characters!$A:$C,3,FALSE)</f>
        <v>生命の果実</v>
      </c>
      <c r="C151" s="18">
        <v>11207</v>
      </c>
      <c r="D151" s="8">
        <v>2</v>
      </c>
      <c r="E151" s="70" t="str">
        <f t="shared" si="25"/>
        <v>11207_2</v>
      </c>
      <c r="F151" s="70" t="s">
        <v>153</v>
      </c>
    </row>
    <row r="152" spans="1:6" ht="21" customHeight="1" x14ac:dyDescent="0.15">
      <c r="A152" s="71">
        <v>123</v>
      </c>
      <c r="B152" s="67" t="str">
        <f>VLOOKUP(A152,[2]characters!$A:$C,3,FALSE)</f>
        <v>癒しの果実</v>
      </c>
      <c r="C152" s="18">
        <v>11207</v>
      </c>
      <c r="D152" s="8">
        <v>2</v>
      </c>
      <c r="E152" s="70" t="str">
        <f t="shared" si="25"/>
        <v>11207_2</v>
      </c>
      <c r="F152" s="70" t="s">
        <v>153</v>
      </c>
    </row>
    <row r="153" spans="1:6" ht="21" customHeight="1" x14ac:dyDescent="0.15">
      <c r="A153" s="71">
        <v>607</v>
      </c>
      <c r="B153" s="67" t="str">
        <f>VLOOKUP(A153,[2]characters!$A:$C,3,FALSE)</f>
        <v>メガ攻めの果実</v>
      </c>
      <c r="C153" s="18">
        <v>14003</v>
      </c>
      <c r="D153" s="8">
        <v>1</v>
      </c>
      <c r="E153" s="70" t="str">
        <f t="shared" ref="E153:E155" si="26">C153&amp;"_"&amp;D153</f>
        <v>14003_1</v>
      </c>
      <c r="F153" s="70" t="s">
        <v>154</v>
      </c>
    </row>
    <row r="154" spans="1:6" ht="21" customHeight="1" x14ac:dyDescent="0.15">
      <c r="A154" s="71">
        <v>608</v>
      </c>
      <c r="B154" s="67" t="str">
        <f>VLOOKUP(A154,[2]characters!$A:$C,3,FALSE)</f>
        <v>メガ生命の果実</v>
      </c>
      <c r="C154" s="18">
        <v>14003</v>
      </c>
      <c r="D154" s="8">
        <v>1</v>
      </c>
      <c r="E154" s="70" t="str">
        <f t="shared" si="26"/>
        <v>14003_1</v>
      </c>
      <c r="F154" s="70" t="s">
        <v>154</v>
      </c>
    </row>
    <row r="155" spans="1:6" ht="21" customHeight="1" x14ac:dyDescent="0.15">
      <c r="A155" s="71">
        <v>609</v>
      </c>
      <c r="B155" s="67" t="str">
        <f>VLOOKUP(A155,[2]characters!$A:$C,3,FALSE)</f>
        <v>メガ癒しの果実</v>
      </c>
      <c r="C155" s="18">
        <v>14003</v>
      </c>
      <c r="D155" s="8">
        <v>1</v>
      </c>
      <c r="E155" s="70" t="str">
        <f t="shared" si="26"/>
        <v>14003_1</v>
      </c>
      <c r="F155" s="70" t="s">
        <v>154</v>
      </c>
    </row>
    <row r="156" spans="1:6" ht="21" customHeight="1" x14ac:dyDescent="0.15">
      <c r="A156" s="71">
        <v>840</v>
      </c>
      <c r="B156" s="67" t="str">
        <f>VLOOKUP(A156,[2]characters!$A:$C,3,FALSE)</f>
        <v>フェニックス</v>
      </c>
      <c r="C156" s="18">
        <v>30034</v>
      </c>
      <c r="D156" s="8">
        <v>3</v>
      </c>
      <c r="E156" s="70" t="str">
        <f t="shared" ref="E156:E165" si="27">C156&amp;"_"&amp;D156</f>
        <v>30034_3</v>
      </c>
      <c r="F156" s="70" t="s">
        <v>155</v>
      </c>
    </row>
    <row r="157" spans="1:6" ht="21" customHeight="1" x14ac:dyDescent="0.15">
      <c r="A157" s="71">
        <v>841</v>
      </c>
      <c r="B157" s="67" t="str">
        <f>VLOOKUP(A157,[2]characters!$A:$C,3,FALSE)</f>
        <v>排斥の不死鳥 フェニックス</v>
      </c>
      <c r="C157" s="18">
        <v>30034</v>
      </c>
      <c r="D157" s="8">
        <v>3</v>
      </c>
      <c r="E157" s="70" t="str">
        <f t="shared" si="27"/>
        <v>30034_3</v>
      </c>
      <c r="F157" s="70" t="s">
        <v>155</v>
      </c>
    </row>
    <row r="158" spans="1:6" ht="21" customHeight="1" x14ac:dyDescent="0.15">
      <c r="A158" s="71">
        <v>842</v>
      </c>
      <c r="B158" s="67" t="str">
        <f>VLOOKUP(A158,[2]characters!$A:$C,3,FALSE)</f>
        <v>セイレーン</v>
      </c>
      <c r="C158" s="18">
        <v>20014</v>
      </c>
      <c r="D158" s="8">
        <v>3</v>
      </c>
      <c r="E158" s="70" t="str">
        <f t="shared" si="27"/>
        <v>20014_3</v>
      </c>
      <c r="F158" s="70" t="s">
        <v>156</v>
      </c>
    </row>
    <row r="159" spans="1:6" ht="21" customHeight="1" x14ac:dyDescent="0.15">
      <c r="A159" s="71">
        <v>843</v>
      </c>
      <c r="B159" s="67" t="str">
        <f>VLOOKUP(A159,[2]characters!$A:$C,3,FALSE)</f>
        <v>荒れ狂う乱歌 セイレーン</v>
      </c>
      <c r="C159" s="18">
        <v>20014</v>
      </c>
      <c r="D159" s="8">
        <v>3</v>
      </c>
      <c r="E159" s="70" t="str">
        <f t="shared" si="27"/>
        <v>20014_3</v>
      </c>
      <c r="F159" s="70" t="s">
        <v>156</v>
      </c>
    </row>
    <row r="160" spans="1:6" ht="21" customHeight="1" x14ac:dyDescent="0.15">
      <c r="A160" s="71">
        <v>844</v>
      </c>
      <c r="B160" s="67" t="str">
        <f>VLOOKUP(A160,[2]characters!$A:$C,3,FALSE)</f>
        <v>ベルゼブブ</v>
      </c>
      <c r="C160" s="18">
        <v>40017</v>
      </c>
      <c r="D160" s="8">
        <v>2</v>
      </c>
      <c r="E160" s="70" t="str">
        <f t="shared" si="27"/>
        <v>40017_2</v>
      </c>
      <c r="F160" s="70" t="s">
        <v>157</v>
      </c>
    </row>
    <row r="161" spans="1:6" ht="21" customHeight="1" x14ac:dyDescent="0.15">
      <c r="A161" s="71">
        <v>845</v>
      </c>
      <c r="B161" s="67" t="str">
        <f>VLOOKUP(A161,[2]characters!$A:$C,3,FALSE)</f>
        <v>妖艶なる蝿王 ベルゼブブ</v>
      </c>
      <c r="C161" s="18">
        <v>40017</v>
      </c>
      <c r="D161" s="8">
        <v>2</v>
      </c>
      <c r="E161" s="70" t="str">
        <f t="shared" si="27"/>
        <v>40017_2</v>
      </c>
      <c r="F161" s="70" t="s">
        <v>157</v>
      </c>
    </row>
    <row r="162" spans="1:6" ht="21" customHeight="1" x14ac:dyDescent="0.15">
      <c r="A162" s="71">
        <v>856</v>
      </c>
      <c r="B162" s="67" t="str">
        <f>VLOOKUP(A162,[2]characters!$A:$C,3,FALSE)</f>
        <v>リフレクト＆M.I.R.R.O.R.</v>
      </c>
      <c r="C162" s="18">
        <v>20015</v>
      </c>
      <c r="D162" s="8">
        <v>3</v>
      </c>
      <c r="E162" s="70" t="str">
        <f t="shared" si="27"/>
        <v>20015_3</v>
      </c>
      <c r="F162" s="70" t="s">
        <v>158</v>
      </c>
    </row>
    <row r="163" spans="1:6" ht="21" customHeight="1" x14ac:dyDescent="0.15">
      <c r="A163" s="71">
        <v>857</v>
      </c>
      <c r="B163" s="67" t="str">
        <f>VLOOKUP(A163,[2]characters!$A:$C,3,FALSE)</f>
        <v>嫉心のリフレクト＆M.I.R.R.O.R.</v>
      </c>
      <c r="C163" s="18">
        <v>20015</v>
      </c>
      <c r="D163" s="8">
        <v>3</v>
      </c>
      <c r="E163" s="70" t="str">
        <f t="shared" si="27"/>
        <v>20015_3</v>
      </c>
      <c r="F163" s="70" t="s">
        <v>158</v>
      </c>
    </row>
    <row r="164" spans="1:6" ht="21" customHeight="1" x14ac:dyDescent="0.15">
      <c r="A164" s="71">
        <v>858</v>
      </c>
      <c r="B164" s="67" t="str">
        <f>VLOOKUP(A164,[2]characters!$A:$C,3,FALSE)</f>
        <v>Mr.ホエール</v>
      </c>
      <c r="C164" s="18">
        <v>30035</v>
      </c>
      <c r="D164" s="8">
        <v>3</v>
      </c>
      <c r="E164" s="70" t="str">
        <f t="shared" si="27"/>
        <v>30035_3</v>
      </c>
      <c r="F164" s="70" t="s">
        <v>159</v>
      </c>
    </row>
    <row r="165" spans="1:6" ht="21" customHeight="1" x14ac:dyDescent="0.15">
      <c r="A165" s="71">
        <v>859</v>
      </c>
      <c r="B165" s="67" t="str">
        <f>VLOOKUP(A165,[2]characters!$A:$C,3,FALSE)</f>
        <v>夢鯨大食 Mr.ホエール</v>
      </c>
      <c r="C165" s="18">
        <v>30035</v>
      </c>
      <c r="D165" s="8">
        <v>3</v>
      </c>
      <c r="E165" s="70" t="str">
        <f t="shared" si="27"/>
        <v>30035_3</v>
      </c>
      <c r="F165" s="70" t="s">
        <v>159</v>
      </c>
    </row>
    <row r="166" spans="1:6" ht="21" customHeight="1" x14ac:dyDescent="0.15">
      <c r="A166" s="71">
        <v>907</v>
      </c>
      <c r="B166" s="67" t="str">
        <f>VLOOKUP(A166,[2]characters!$A:$C,3,FALSE)</f>
        <v>ハローキティのリボン</v>
      </c>
      <c r="C166" s="18">
        <v>39004</v>
      </c>
      <c r="D166" s="8">
        <v>4</v>
      </c>
      <c r="E166" s="70" t="str">
        <f>C166&amp;"_"&amp;D166</f>
        <v>39004_4</v>
      </c>
      <c r="F166" s="70" t="s">
        <v>160</v>
      </c>
    </row>
    <row r="167" spans="1:6" ht="21" customHeight="1" x14ac:dyDescent="0.15">
      <c r="A167" s="71">
        <v>908</v>
      </c>
      <c r="B167" s="67" t="str">
        <f>VLOOKUP(A167,[2]characters!$A:$C,3,FALSE)</f>
        <v>ママの作ったアップルパイ</v>
      </c>
      <c r="C167" s="18">
        <v>39004</v>
      </c>
      <c r="D167" s="8">
        <v>4</v>
      </c>
      <c r="E167" s="70" t="str">
        <f>C167&amp;"_"&amp;D167</f>
        <v>39004_4</v>
      </c>
      <c r="F167" s="70" t="s">
        <v>160</v>
      </c>
    </row>
    <row r="168" spans="1:6" ht="21" customHeight="1" x14ac:dyDescent="0.15">
      <c r="A168" s="71">
        <v>8029</v>
      </c>
      <c r="B168" s="67" t="str">
        <f>VLOOKUP(A168,[2]characters!$A:$C,3,FALSE)</f>
        <v>Expoミク</v>
      </c>
      <c r="C168" s="18">
        <v>39005</v>
      </c>
      <c r="D168" s="8">
        <v>3</v>
      </c>
      <c r="E168" s="70" t="str">
        <f>C168&amp;"_"&amp;D168</f>
        <v>39005_3</v>
      </c>
      <c r="F168" s="70" t="s">
        <v>161</v>
      </c>
    </row>
    <row r="169" spans="1:6" ht="21" customHeight="1" x14ac:dyDescent="0.15">
      <c r="A169" s="71">
        <v>8030</v>
      </c>
      <c r="B169" s="67" t="str">
        <f>VLOOKUP(A169,[2]characters!$A:$C,3,FALSE)</f>
        <v>Expoミク</v>
      </c>
      <c r="C169" s="18">
        <v>39005</v>
      </c>
      <c r="D169" s="8">
        <v>5</v>
      </c>
      <c r="E169" s="70" t="str">
        <f>C169&amp;"_"&amp;D169</f>
        <v>39005_5</v>
      </c>
      <c r="F169" s="70" t="s">
        <v>162</v>
      </c>
    </row>
    <row r="170" spans="1:6" ht="21" customHeight="1" x14ac:dyDescent="0.15">
      <c r="A170" s="71">
        <v>736</v>
      </c>
      <c r="B170" s="67" t="str">
        <f>VLOOKUP(A170,[2]characters!$A:$C,3,FALSE)</f>
        <v>オルトロス</v>
      </c>
      <c r="C170" s="18">
        <v>30036</v>
      </c>
      <c r="D170" s="8">
        <v>3</v>
      </c>
      <c r="E170" s="70" t="str">
        <f t="shared" ref="E170:E173" si="28">C170&amp;"_"&amp;D170</f>
        <v>30036_3</v>
      </c>
      <c r="F170" s="70" t="s">
        <v>163</v>
      </c>
    </row>
    <row r="171" spans="1:6" ht="21" customHeight="1" x14ac:dyDescent="0.15">
      <c r="A171" s="71">
        <v>737</v>
      </c>
      <c r="B171" s="67" t="str">
        <f>VLOOKUP(A171,[2]characters!$A:$C,3,FALSE)</f>
        <v>狂鳴の慟哭 オルトロス</v>
      </c>
      <c r="C171" s="18">
        <v>30036</v>
      </c>
      <c r="D171" s="8">
        <v>3</v>
      </c>
      <c r="E171" s="70" t="str">
        <f t="shared" si="28"/>
        <v>30036_3</v>
      </c>
      <c r="F171" s="70" t="s">
        <v>163</v>
      </c>
    </row>
    <row r="172" spans="1:6" ht="21" customHeight="1" x14ac:dyDescent="0.15">
      <c r="A172" s="71">
        <v>738</v>
      </c>
      <c r="B172" s="67" t="str">
        <f>VLOOKUP(A172,[2]characters!$A:$C,3,FALSE)</f>
        <v>ラドン</v>
      </c>
      <c r="C172" s="18">
        <v>20016</v>
      </c>
      <c r="D172" s="8">
        <v>3</v>
      </c>
      <c r="E172" s="70" t="str">
        <f t="shared" si="28"/>
        <v>20016_3</v>
      </c>
      <c r="F172" s="70" t="s">
        <v>164</v>
      </c>
    </row>
    <row r="173" spans="1:6" ht="21" customHeight="1" x14ac:dyDescent="0.15">
      <c r="A173" s="71">
        <v>739</v>
      </c>
      <c r="B173" s="67" t="str">
        <f>VLOOKUP(A173,[2]characters!$A:$C,3,FALSE)</f>
        <v>寡言の密使 ラドン</v>
      </c>
      <c r="C173" s="18">
        <v>20016</v>
      </c>
      <c r="D173" s="8">
        <v>3</v>
      </c>
      <c r="E173" s="70" t="str">
        <f t="shared" si="28"/>
        <v>20016_3</v>
      </c>
      <c r="F173" s="70" t="s">
        <v>164</v>
      </c>
    </row>
  </sheetData>
  <sheetProtection selectLockedCells="1" selectUnlockedCells="1"/>
  <phoneticPr fontId="13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6D65E5"/>
  </sheetPr>
  <dimension ref="A1:D19"/>
  <sheetViews>
    <sheetView workbookViewId="0">
      <selection activeCell="D24" sqref="D24"/>
    </sheetView>
  </sheetViews>
  <sheetFormatPr baseColWidth="12" defaultRowHeight="15" x14ac:dyDescent="0.15"/>
  <cols>
    <col min="2" max="2" width="17.83203125" customWidth="1"/>
    <col min="3" max="3" width="8.1640625" customWidth="1"/>
    <col min="4" max="4" width="46.1640625" customWidth="1"/>
  </cols>
  <sheetData>
    <row r="1" spans="1:4" s="76" customFormat="1" ht="21" customHeight="1" x14ac:dyDescent="0.15">
      <c r="A1" s="11" t="s">
        <v>9</v>
      </c>
      <c r="B1" s="75" t="s">
        <v>20</v>
      </c>
      <c r="C1" s="74" t="s">
        <v>56</v>
      </c>
      <c r="D1" s="11" t="s">
        <v>57</v>
      </c>
    </row>
    <row r="2" spans="1:4" ht="30" x14ac:dyDescent="0.15">
      <c r="A2" s="66">
        <v>837</v>
      </c>
      <c r="B2" s="13" t="str">
        <f>VLOOKUP(A2,[2]characters!$A:$C,3)</f>
        <v>リトルハンプティ</v>
      </c>
      <c r="C2" s="66" t="s">
        <v>58</v>
      </c>
      <c r="D2" s="77" t="s">
        <v>62</v>
      </c>
    </row>
    <row r="3" spans="1:4" x14ac:dyDescent="0.15">
      <c r="A3" s="66">
        <v>85</v>
      </c>
      <c r="B3" s="13" t="str">
        <f>VLOOKUP(A3,[2]characters!$A:$C,3)</f>
        <v>朱雀</v>
      </c>
      <c r="C3" s="66" t="s">
        <v>58</v>
      </c>
      <c r="D3" s="66" t="s">
        <v>61</v>
      </c>
    </row>
    <row r="4" spans="1:4" x14ac:dyDescent="0.15">
      <c r="A4" s="66">
        <v>86</v>
      </c>
      <c r="B4" s="13" t="str">
        <f>VLOOKUP(A4,[2]characters!$A:$C,3)</f>
        <v>守護者 朱雀</v>
      </c>
      <c r="C4" s="66" t="s">
        <v>58</v>
      </c>
      <c r="D4" s="66" t="s">
        <v>61</v>
      </c>
    </row>
    <row r="5" spans="1:4" x14ac:dyDescent="0.15">
      <c r="A5" s="66">
        <v>87</v>
      </c>
      <c r="B5" s="13" t="str">
        <f>VLOOKUP(A5,[2]characters!$A:$C,3)</f>
        <v>朱南の守護神 朱雀</v>
      </c>
      <c r="C5" s="66" t="s">
        <v>58</v>
      </c>
      <c r="D5" s="66" t="s">
        <v>61</v>
      </c>
    </row>
    <row r="6" spans="1:4" x14ac:dyDescent="0.15">
      <c r="A6" s="66">
        <v>88</v>
      </c>
      <c r="B6" s="13" t="str">
        <f>VLOOKUP(A6,[2]characters!$A:$C,3)</f>
        <v>玄武</v>
      </c>
      <c r="C6" s="66" t="s">
        <v>58</v>
      </c>
      <c r="D6" s="66" t="s">
        <v>61</v>
      </c>
    </row>
    <row r="7" spans="1:4" x14ac:dyDescent="0.15">
      <c r="A7" s="66">
        <v>89</v>
      </c>
      <c r="B7" s="13" t="str">
        <f>VLOOKUP(A7,[2]characters!$A:$C,3)</f>
        <v>守護者 玄武</v>
      </c>
      <c r="C7" s="66" t="s">
        <v>58</v>
      </c>
      <c r="D7" s="66" t="s">
        <v>61</v>
      </c>
    </row>
    <row r="8" spans="1:4" x14ac:dyDescent="0.15">
      <c r="A8" s="66">
        <v>90</v>
      </c>
      <c r="B8" s="13" t="str">
        <f>VLOOKUP(A8,[2]characters!$A:$C,3)</f>
        <v>翠北の守護神 玄武</v>
      </c>
      <c r="C8" s="66" t="s">
        <v>58</v>
      </c>
      <c r="D8" s="66" t="s">
        <v>61</v>
      </c>
    </row>
    <row r="9" spans="1:4" x14ac:dyDescent="0.15">
      <c r="A9" s="66">
        <v>91</v>
      </c>
      <c r="B9" s="13" t="str">
        <f>VLOOKUP(A9,[2]characters!$A:$C,3)</f>
        <v>青龍</v>
      </c>
      <c r="C9" s="66" t="s">
        <v>58</v>
      </c>
      <c r="D9" s="66" t="s">
        <v>61</v>
      </c>
    </row>
    <row r="10" spans="1:4" x14ac:dyDescent="0.15">
      <c r="A10" s="66">
        <v>92</v>
      </c>
      <c r="B10" s="13" t="str">
        <f>VLOOKUP(A10,[2]characters!$A:$C,3)</f>
        <v>守護者 青龍</v>
      </c>
      <c r="C10" s="66" t="s">
        <v>58</v>
      </c>
      <c r="D10" s="66" t="s">
        <v>61</v>
      </c>
    </row>
    <row r="11" spans="1:4" x14ac:dyDescent="0.15">
      <c r="A11" s="66">
        <v>93</v>
      </c>
      <c r="B11" s="13" t="str">
        <f>VLOOKUP(A11,[2]characters!$A:$C,3)</f>
        <v>碧東の守護神 青龍</v>
      </c>
      <c r="C11" s="66" t="s">
        <v>58</v>
      </c>
      <c r="D11" s="66" t="s">
        <v>61</v>
      </c>
    </row>
    <row r="12" spans="1:4" x14ac:dyDescent="0.15">
      <c r="A12" s="66">
        <v>94</v>
      </c>
      <c r="B12" s="13" t="str">
        <f>VLOOKUP(A12,[2]characters!$A:$C,3)</f>
        <v>白虎</v>
      </c>
      <c r="C12" s="66" t="s">
        <v>58</v>
      </c>
      <c r="D12" s="66" t="s">
        <v>61</v>
      </c>
    </row>
    <row r="13" spans="1:4" x14ac:dyDescent="0.15">
      <c r="A13" s="66">
        <v>95</v>
      </c>
      <c r="B13" s="13" t="str">
        <f>VLOOKUP(A13,[2]characters!$A:$C,3)</f>
        <v>守護者 白虎</v>
      </c>
      <c r="C13" s="66" t="s">
        <v>58</v>
      </c>
      <c r="D13" s="66" t="s">
        <v>61</v>
      </c>
    </row>
    <row r="14" spans="1:4" ht="30" x14ac:dyDescent="0.15">
      <c r="A14" s="66">
        <v>607</v>
      </c>
      <c r="B14" s="13" t="str">
        <f>VLOOKUP(A14,[2]characters!$A:$C,3)</f>
        <v>メガ攻めの果実</v>
      </c>
      <c r="C14" s="66" t="s">
        <v>58</v>
      </c>
      <c r="D14" s="77" t="s">
        <v>60</v>
      </c>
    </row>
    <row r="15" spans="1:4" ht="30" x14ac:dyDescent="0.15">
      <c r="A15" s="66">
        <v>608</v>
      </c>
      <c r="B15" s="13" t="str">
        <f>VLOOKUP(A15,[2]characters!$A:$C,3)</f>
        <v>メガ生命の果実</v>
      </c>
      <c r="C15" s="66" t="s">
        <v>58</v>
      </c>
      <c r="D15" s="77" t="s">
        <v>60</v>
      </c>
    </row>
    <row r="16" spans="1:4" ht="30" x14ac:dyDescent="0.15">
      <c r="A16" s="66">
        <v>609</v>
      </c>
      <c r="B16" s="13" t="str">
        <f>VLOOKUP(A16,[2]characters!$A:$C,3)</f>
        <v>メガ癒しの果実</v>
      </c>
      <c r="C16" s="66" t="s">
        <v>58</v>
      </c>
      <c r="D16" s="77" t="s">
        <v>60</v>
      </c>
    </row>
    <row r="17" spans="1:4" ht="30" x14ac:dyDescent="0.15">
      <c r="A17" s="66">
        <v>610</v>
      </c>
      <c r="B17" s="13" t="str">
        <f>VLOOKUP(A17,[2]characters!$A:$C,3)</f>
        <v>メガ秘術の果実</v>
      </c>
      <c r="C17" s="66" t="s">
        <v>58</v>
      </c>
      <c r="D17" s="77" t="s">
        <v>60</v>
      </c>
    </row>
    <row r="18" spans="1:4" ht="30" x14ac:dyDescent="0.15">
      <c r="A18" s="66">
        <v>878</v>
      </c>
      <c r="B18" s="13" t="str">
        <f>VLOOKUP(A18,[2]characters!$A:$C,3)</f>
        <v>イグニス</v>
      </c>
      <c r="C18" s="66" t="s">
        <v>58</v>
      </c>
      <c r="D18" s="77" t="s">
        <v>59</v>
      </c>
    </row>
    <row r="19" spans="1:4" ht="30" x14ac:dyDescent="0.15">
      <c r="A19" s="66">
        <v>879</v>
      </c>
      <c r="B19" s="13" t="str">
        <f>VLOOKUP(A19,[2]characters!$A:$C,3)</f>
        <v>イグニス・フューリー</v>
      </c>
      <c r="C19" s="66" t="s">
        <v>58</v>
      </c>
      <c r="D19" s="77" t="s">
        <v>59</v>
      </c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8"/>
  <sheetViews>
    <sheetView showGridLines="0" zoomScale="115" zoomScaleNormal="115" zoomScalePageLayoutView="115" workbookViewId="0">
      <selection activeCell="B18" sqref="B18"/>
    </sheetView>
  </sheetViews>
  <sheetFormatPr baseColWidth="12" defaultColWidth="13" defaultRowHeight="21" customHeight="1" x14ac:dyDescent="0.15"/>
  <cols>
    <col min="1" max="16384" width="13" style="15"/>
  </cols>
  <sheetData>
    <row r="1" spans="1:8" ht="21" customHeight="1" x14ac:dyDescent="0.15">
      <c r="A1" s="15" t="s">
        <v>45</v>
      </c>
      <c r="G1" s="15" t="s">
        <v>46</v>
      </c>
    </row>
    <row r="2" spans="1:8" ht="21" customHeight="1" x14ac:dyDescent="0.15">
      <c r="A2" s="14" t="s">
        <v>2</v>
      </c>
      <c r="B2" s="14" t="s">
        <v>3</v>
      </c>
      <c r="G2" s="14" t="s">
        <v>2</v>
      </c>
      <c r="H2" s="14" t="s">
        <v>3</v>
      </c>
    </row>
    <row r="3" spans="1:8" ht="21" customHeight="1" x14ac:dyDescent="0.15">
      <c r="A3" s="16">
        <v>1</v>
      </c>
      <c r="B3" s="19">
        <v>5000</v>
      </c>
      <c r="G3" s="16">
        <v>1</v>
      </c>
      <c r="H3" s="16">
        <v>75</v>
      </c>
    </row>
    <row r="4" spans="1:8" ht="21" customHeight="1" x14ac:dyDescent="0.15">
      <c r="A4" s="16">
        <v>2</v>
      </c>
      <c r="B4" s="17">
        <v>10000</v>
      </c>
      <c r="G4" s="16">
        <v>2</v>
      </c>
      <c r="H4" s="16">
        <v>150</v>
      </c>
    </row>
    <row r="5" spans="1:8" ht="21" customHeight="1" x14ac:dyDescent="0.15">
      <c r="A5" s="16">
        <v>3</v>
      </c>
      <c r="B5" s="17">
        <v>20000</v>
      </c>
      <c r="G5" s="16">
        <v>3</v>
      </c>
      <c r="H5" s="16">
        <v>300</v>
      </c>
    </row>
    <row r="6" spans="1:8" ht="21" customHeight="1" x14ac:dyDescent="0.15">
      <c r="A6" s="16">
        <v>4</v>
      </c>
      <c r="B6" s="17">
        <v>50000</v>
      </c>
      <c r="G6" s="16">
        <v>4</v>
      </c>
      <c r="H6" s="16">
        <v>600</v>
      </c>
    </row>
    <row r="7" spans="1:8" ht="21" customHeight="1" x14ac:dyDescent="0.15">
      <c r="A7" s="16">
        <v>5</v>
      </c>
      <c r="B7" s="17">
        <v>200000</v>
      </c>
      <c r="G7" s="16">
        <v>5</v>
      </c>
      <c r="H7" s="16">
        <v>900</v>
      </c>
    </row>
    <row r="8" spans="1:8" ht="21" customHeight="1" x14ac:dyDescent="0.15">
      <c r="A8" s="16">
        <v>6</v>
      </c>
      <c r="B8" s="20">
        <v>0</v>
      </c>
      <c r="G8" s="16">
        <v>6</v>
      </c>
      <c r="H8" s="21">
        <v>1200</v>
      </c>
    </row>
    <row r="9" spans="1:8" ht="21" customHeight="1" x14ac:dyDescent="0.15">
      <c r="A9" s="16">
        <v>7</v>
      </c>
      <c r="B9" s="20"/>
      <c r="G9" s="16">
        <v>7</v>
      </c>
      <c r="H9" s="20"/>
    </row>
    <row r="10" spans="1:8" ht="21" customHeight="1" x14ac:dyDescent="0.15">
      <c r="A10" s="16">
        <v>8</v>
      </c>
      <c r="B10" s="20"/>
      <c r="G10" s="16">
        <v>8</v>
      </c>
      <c r="H10" s="20"/>
    </row>
    <row r="18" spans="2:2" ht="21" customHeight="1" x14ac:dyDescent="0.15">
      <c r="B18" s="78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ステータス理論値幅</vt:lpstr>
      <vt:lpstr>fork_awake_units</vt:lpstr>
      <vt:lpstr>fork_awake_materials</vt:lpstr>
      <vt:lpstr>awake_material_habitats</vt:lpstr>
      <vt:lpstr>awake_material_habitats_manual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2017-03-16T10:28:46Z</dcterms:modified>
</cp:coreProperties>
</file>