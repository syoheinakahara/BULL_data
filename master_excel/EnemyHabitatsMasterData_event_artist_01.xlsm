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.Mori/GitHub/BULL_data/master_excel/"/>
    </mc:Choice>
  </mc:AlternateContent>
  <bookViews>
    <workbookView xWindow="8500" yWindow="460" windowWidth="26440" windowHeight="1944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6" i="7" l="1"/>
  <c r="V17" i="1"/>
  <c r="B2" i="19"/>
  <c r="C2" i="19"/>
  <c r="D2" i="19"/>
  <c r="F2" i="19"/>
  <c r="G2" i="19"/>
  <c r="K2" i="19"/>
  <c r="L2" i="19"/>
  <c r="B3" i="19"/>
  <c r="C3" i="19"/>
  <c r="D3" i="19"/>
  <c r="F3" i="19"/>
  <c r="G3" i="19"/>
  <c r="K3" i="19"/>
  <c r="L3" i="19"/>
  <c r="B4" i="19"/>
  <c r="C4" i="19"/>
  <c r="D4" i="19"/>
  <c r="F4" i="19"/>
  <c r="G4" i="19"/>
  <c r="K4" i="19"/>
  <c r="L4" i="19"/>
  <c r="B5" i="19"/>
  <c r="C5" i="19"/>
  <c r="D5" i="19"/>
  <c r="F5" i="19"/>
  <c r="G5" i="19"/>
  <c r="K5" i="19"/>
  <c r="L5" i="19"/>
  <c r="B6" i="19"/>
  <c r="C6" i="19"/>
  <c r="D6" i="19"/>
  <c r="F6" i="19"/>
  <c r="G6" i="19"/>
  <c r="K6" i="19"/>
  <c r="L6" i="19"/>
  <c r="B7" i="19"/>
  <c r="C7" i="19"/>
  <c r="D7" i="19"/>
  <c r="F7" i="19"/>
  <c r="G7" i="19"/>
  <c r="K7" i="19"/>
  <c r="L7" i="19"/>
  <c r="B8" i="19"/>
  <c r="C8" i="19"/>
  <c r="D8" i="19"/>
  <c r="F8" i="19"/>
  <c r="G8" i="19"/>
  <c r="K8" i="19"/>
  <c r="L8" i="19"/>
  <c r="B9" i="19"/>
  <c r="C9" i="19"/>
  <c r="D9" i="19"/>
  <c r="F9" i="19"/>
  <c r="G9" i="19"/>
  <c r="K9" i="19"/>
  <c r="L9" i="19"/>
  <c r="B10" i="19"/>
  <c r="C10" i="19"/>
  <c r="D10" i="19"/>
  <c r="F10" i="19"/>
  <c r="G10" i="19"/>
  <c r="K10" i="19"/>
  <c r="L10" i="19"/>
  <c r="B11" i="19"/>
  <c r="C11" i="19"/>
  <c r="D11" i="19"/>
  <c r="F11" i="19"/>
  <c r="G11" i="19"/>
  <c r="K11" i="19"/>
  <c r="L11" i="19"/>
  <c r="B12" i="19"/>
  <c r="C12" i="19"/>
  <c r="D12" i="19"/>
  <c r="F12" i="19"/>
  <c r="G12" i="19"/>
  <c r="K12" i="19"/>
  <c r="L12" i="19"/>
  <c r="B13" i="19"/>
  <c r="C13" i="19"/>
  <c r="D13" i="19"/>
  <c r="F13" i="19"/>
  <c r="G13" i="19"/>
  <c r="K13" i="19"/>
  <c r="L13" i="19"/>
  <c r="B14" i="19"/>
  <c r="C14" i="19"/>
  <c r="D14" i="19"/>
  <c r="F14" i="19"/>
  <c r="G14" i="19"/>
  <c r="K14" i="19"/>
  <c r="L14" i="19"/>
  <c r="B15" i="19"/>
  <c r="C15" i="19"/>
  <c r="D15" i="19"/>
  <c r="F15" i="19"/>
  <c r="G15" i="19"/>
  <c r="K15" i="19"/>
  <c r="L15" i="19"/>
  <c r="B16" i="19"/>
  <c r="C16" i="19"/>
  <c r="D16" i="19"/>
  <c r="F16" i="19"/>
  <c r="G16" i="19"/>
  <c r="K16" i="19"/>
  <c r="L16" i="19"/>
  <c r="B17" i="19"/>
  <c r="C17" i="19"/>
  <c r="D17" i="19"/>
  <c r="F17" i="19"/>
  <c r="G17" i="19"/>
  <c r="K17" i="19"/>
  <c r="L17" i="19"/>
  <c r="B18" i="19"/>
  <c r="C18" i="19"/>
  <c r="D18" i="19"/>
  <c r="F18" i="19"/>
  <c r="G18" i="19"/>
  <c r="K18" i="19"/>
  <c r="L18" i="19"/>
  <c r="B19" i="19"/>
  <c r="C19" i="19"/>
  <c r="D19" i="19"/>
  <c r="F19" i="19"/>
  <c r="G19" i="19"/>
  <c r="K19" i="19"/>
  <c r="L19" i="19"/>
  <c r="B20" i="19"/>
  <c r="C20" i="19"/>
  <c r="D20" i="19"/>
  <c r="F20" i="19"/>
  <c r="G20" i="19"/>
  <c r="K20" i="19"/>
  <c r="L20" i="19"/>
  <c r="B21" i="19"/>
  <c r="C21" i="19"/>
  <c r="D21" i="19"/>
  <c r="F21" i="19"/>
  <c r="G21" i="19"/>
  <c r="K21" i="19"/>
  <c r="L21" i="19"/>
  <c r="B22" i="19"/>
  <c r="C22" i="19"/>
  <c r="D22" i="19"/>
  <c r="F22" i="19"/>
  <c r="G22" i="19"/>
  <c r="K22" i="19"/>
  <c r="L22" i="19"/>
  <c r="B23" i="19"/>
  <c r="C23" i="19"/>
  <c r="D23" i="19"/>
  <c r="F23" i="19"/>
  <c r="G23" i="19"/>
  <c r="K23" i="19"/>
  <c r="L23" i="19"/>
  <c r="B24" i="19"/>
  <c r="C24" i="19"/>
  <c r="D24" i="19"/>
  <c r="F24" i="19"/>
  <c r="G24" i="19"/>
  <c r="K24" i="19"/>
  <c r="L24" i="19"/>
  <c r="B25" i="19"/>
  <c r="C25" i="19"/>
  <c r="D25" i="19"/>
  <c r="F25" i="19"/>
  <c r="G25" i="19"/>
  <c r="K25" i="19"/>
  <c r="L25" i="19"/>
  <c r="B26" i="19"/>
  <c r="C26" i="19"/>
  <c r="D26" i="19"/>
  <c r="F26" i="19"/>
  <c r="G26" i="19"/>
  <c r="K26" i="19"/>
  <c r="L26" i="19"/>
  <c r="B27" i="19"/>
  <c r="C27" i="19"/>
  <c r="D27" i="19"/>
  <c r="F27" i="19"/>
  <c r="G27" i="19"/>
  <c r="K27" i="19"/>
  <c r="L27" i="19"/>
  <c r="B28" i="19"/>
  <c r="C28" i="19"/>
  <c r="D28" i="19"/>
  <c r="F28" i="19"/>
  <c r="G28" i="19"/>
  <c r="K28" i="19"/>
  <c r="L28" i="19"/>
  <c r="B29" i="19"/>
  <c r="C29" i="19"/>
  <c r="D29" i="19"/>
  <c r="F29" i="19"/>
  <c r="G29" i="19"/>
  <c r="K29" i="19"/>
  <c r="L29" i="19"/>
  <c r="B30" i="19"/>
  <c r="C30" i="19"/>
  <c r="D30" i="19"/>
  <c r="F30" i="19"/>
  <c r="G30" i="19"/>
  <c r="K30" i="19"/>
  <c r="L30" i="19"/>
  <c r="B31" i="19"/>
  <c r="C31" i="19"/>
  <c r="D31" i="19"/>
  <c r="F31" i="19"/>
  <c r="G31" i="19"/>
  <c r="K31" i="19"/>
  <c r="L31" i="19"/>
  <c r="B32" i="19"/>
  <c r="C32" i="19"/>
  <c r="D32" i="19"/>
  <c r="F32" i="19"/>
  <c r="G32" i="19"/>
  <c r="K32" i="19"/>
  <c r="L32" i="19"/>
  <c r="B33" i="19"/>
  <c r="C33" i="19"/>
  <c r="D33" i="19"/>
  <c r="F33" i="19"/>
  <c r="G33" i="19"/>
  <c r="K33" i="19"/>
  <c r="L33" i="19"/>
  <c r="B34" i="19"/>
  <c r="C34" i="19"/>
  <c r="D34" i="19"/>
  <c r="F34" i="19"/>
  <c r="G34" i="19"/>
  <c r="K34" i="19"/>
  <c r="L34" i="19"/>
  <c r="B35" i="19"/>
  <c r="C35" i="19"/>
  <c r="D35" i="19"/>
  <c r="F35" i="19"/>
  <c r="G35" i="19"/>
  <c r="K35" i="19"/>
  <c r="L35" i="19"/>
  <c r="B36" i="19"/>
  <c r="C36" i="19"/>
  <c r="D36" i="19"/>
  <c r="F36" i="19"/>
  <c r="G36" i="19"/>
  <c r="K36" i="19"/>
  <c r="L36" i="19"/>
  <c r="B37" i="19"/>
  <c r="C37" i="19"/>
  <c r="D37" i="19"/>
  <c r="F37" i="19"/>
  <c r="G37" i="19"/>
  <c r="K37" i="19"/>
  <c r="L37" i="19"/>
  <c r="B38" i="19"/>
  <c r="C38" i="19"/>
  <c r="D38" i="19"/>
  <c r="F38" i="19"/>
  <c r="G38" i="19"/>
  <c r="K38" i="19"/>
  <c r="L38" i="19"/>
  <c r="B39" i="19"/>
  <c r="C39" i="19"/>
  <c r="D39" i="19"/>
  <c r="F39" i="19"/>
  <c r="G39" i="19"/>
  <c r="K39" i="19"/>
  <c r="L39" i="19"/>
  <c r="B40" i="19"/>
  <c r="C40" i="19"/>
  <c r="D40" i="19"/>
  <c r="F40" i="19"/>
  <c r="G40" i="19"/>
  <c r="K40" i="19"/>
  <c r="L40" i="19"/>
  <c r="B41" i="19"/>
  <c r="C41" i="19"/>
  <c r="D41" i="19"/>
  <c r="F41" i="19"/>
  <c r="G41" i="19"/>
  <c r="K41" i="19"/>
  <c r="L41" i="19"/>
  <c r="B42" i="19"/>
  <c r="C42" i="19"/>
  <c r="D42" i="19"/>
  <c r="F42" i="19"/>
  <c r="G42" i="19"/>
  <c r="K42" i="19"/>
  <c r="L42" i="19"/>
  <c r="B43" i="19"/>
  <c r="C43" i="19"/>
  <c r="D43" i="19"/>
  <c r="F43" i="19"/>
  <c r="G43" i="19"/>
  <c r="K43" i="19"/>
  <c r="L43" i="19"/>
  <c r="B44" i="19"/>
  <c r="C44" i="19"/>
  <c r="D44" i="19"/>
  <c r="F44" i="19"/>
  <c r="G44" i="19"/>
  <c r="K44" i="19"/>
  <c r="L44" i="19"/>
  <c r="B45" i="19"/>
  <c r="C45" i="19"/>
  <c r="D45" i="19"/>
  <c r="F45" i="19"/>
  <c r="G45" i="19"/>
  <c r="K45" i="19"/>
  <c r="L45" i="19"/>
  <c r="B46" i="19"/>
  <c r="C46" i="19"/>
  <c r="D46" i="19"/>
  <c r="F46" i="19"/>
  <c r="G46" i="19"/>
  <c r="K46" i="19"/>
  <c r="L46" i="19"/>
  <c r="B47" i="19"/>
  <c r="C47" i="19"/>
  <c r="D47" i="19"/>
  <c r="F47" i="19"/>
  <c r="G47" i="19"/>
  <c r="K47" i="19"/>
  <c r="L47" i="19"/>
  <c r="B48" i="19"/>
  <c r="C48" i="19"/>
  <c r="D48" i="19"/>
  <c r="F48" i="19"/>
  <c r="G48" i="19"/>
  <c r="K48" i="19"/>
  <c r="L48" i="19"/>
  <c r="B49" i="19"/>
  <c r="C49" i="19"/>
  <c r="D49" i="19"/>
  <c r="F49" i="19"/>
  <c r="G49" i="19"/>
  <c r="K49" i="19"/>
  <c r="L49" i="19"/>
  <c r="B50" i="19"/>
  <c r="C50" i="19"/>
  <c r="D50" i="19"/>
  <c r="F50" i="19"/>
  <c r="G50" i="19"/>
  <c r="K50" i="19"/>
  <c r="L50" i="19"/>
  <c r="B51" i="19"/>
  <c r="C51" i="19"/>
  <c r="D51" i="19"/>
  <c r="F51" i="19"/>
  <c r="G51" i="19"/>
  <c r="K51" i="19"/>
  <c r="L51" i="19"/>
  <c r="B52" i="19"/>
  <c r="C52" i="19"/>
  <c r="D52" i="19"/>
  <c r="F52" i="19"/>
  <c r="G52" i="19"/>
  <c r="K52" i="19"/>
  <c r="L52" i="19"/>
  <c r="B53" i="19"/>
  <c r="C53" i="19"/>
  <c r="D53" i="19"/>
  <c r="F53" i="19"/>
  <c r="G53" i="19"/>
  <c r="K53" i="19"/>
  <c r="L53" i="19"/>
  <c r="B54" i="19"/>
  <c r="C54" i="19"/>
  <c r="D54" i="19"/>
  <c r="F54" i="19"/>
  <c r="G54" i="19"/>
  <c r="K54" i="19"/>
  <c r="L54" i="19"/>
  <c r="B55" i="19"/>
  <c r="C55" i="19"/>
  <c r="D55" i="19"/>
  <c r="F55" i="19"/>
  <c r="G55" i="19"/>
  <c r="K55" i="19"/>
  <c r="L55" i="19"/>
  <c r="B56" i="19"/>
  <c r="C56" i="19"/>
  <c r="D56" i="19"/>
  <c r="F56" i="19"/>
  <c r="G56" i="19"/>
  <c r="K56" i="19"/>
  <c r="L56" i="19"/>
  <c r="B57" i="19"/>
  <c r="C57" i="19"/>
  <c r="D57" i="19"/>
  <c r="F57" i="19"/>
  <c r="G57" i="19"/>
  <c r="K57" i="19"/>
  <c r="L57" i="19"/>
  <c r="B58" i="19"/>
  <c r="C58" i="19"/>
  <c r="D58" i="19"/>
  <c r="F58" i="19"/>
  <c r="G58" i="19"/>
  <c r="K58" i="19"/>
  <c r="L58" i="19"/>
  <c r="B59" i="19"/>
  <c r="C59" i="19"/>
  <c r="D59" i="19"/>
  <c r="F59" i="19"/>
  <c r="G59" i="19"/>
  <c r="K59" i="19"/>
  <c r="L59" i="19"/>
  <c r="B60" i="19"/>
  <c r="C60" i="19"/>
  <c r="D60" i="19"/>
  <c r="F60" i="19"/>
  <c r="G60" i="19"/>
  <c r="K60" i="19"/>
  <c r="L60" i="19"/>
  <c r="B61" i="19"/>
  <c r="C61" i="19"/>
  <c r="D61" i="19"/>
  <c r="F61" i="19"/>
  <c r="G61" i="19"/>
  <c r="K61" i="19"/>
  <c r="L61" i="19"/>
  <c r="B62" i="19"/>
  <c r="C62" i="19"/>
  <c r="D62" i="19"/>
  <c r="F62" i="19"/>
  <c r="G62" i="19"/>
  <c r="K62" i="19"/>
  <c r="L62" i="19"/>
  <c r="B63" i="19"/>
  <c r="C63" i="19"/>
  <c r="D63" i="19"/>
  <c r="F63" i="19"/>
  <c r="G63" i="19"/>
  <c r="K63" i="19"/>
  <c r="L63" i="19"/>
  <c r="B64" i="19"/>
  <c r="C64" i="19"/>
  <c r="D64" i="19"/>
  <c r="F64" i="19"/>
  <c r="G64" i="19"/>
  <c r="K64" i="19"/>
  <c r="L64" i="19"/>
  <c r="B65" i="19"/>
  <c r="C65" i="19"/>
  <c r="D65" i="19"/>
  <c r="F65" i="19"/>
  <c r="G65" i="19"/>
  <c r="K65" i="19"/>
  <c r="L65" i="19"/>
  <c r="B66" i="19"/>
  <c r="C66" i="19"/>
  <c r="D66" i="19"/>
  <c r="F66" i="19"/>
  <c r="G66" i="19"/>
  <c r="K66" i="19"/>
  <c r="L66" i="19"/>
  <c r="B67" i="19"/>
  <c r="C67" i="19"/>
  <c r="D67" i="19"/>
  <c r="F67" i="19"/>
  <c r="G67" i="19"/>
  <c r="K67" i="19"/>
  <c r="L67" i="19"/>
  <c r="B68" i="19"/>
  <c r="C68" i="19"/>
  <c r="D68" i="19"/>
  <c r="F68" i="19"/>
  <c r="G68" i="19"/>
  <c r="K68" i="19"/>
  <c r="L68" i="19"/>
  <c r="B69" i="19"/>
  <c r="C69" i="19"/>
  <c r="D69" i="19"/>
  <c r="F69" i="19"/>
  <c r="G69" i="19"/>
  <c r="K69" i="19"/>
  <c r="L69" i="19"/>
  <c r="B70" i="19"/>
  <c r="C70" i="19"/>
  <c r="D70" i="19"/>
  <c r="F70" i="19"/>
  <c r="G70" i="19"/>
  <c r="K70" i="19"/>
  <c r="L70" i="19"/>
  <c r="B71" i="19"/>
  <c r="C71" i="19"/>
  <c r="D71" i="19"/>
  <c r="F71" i="19"/>
  <c r="G71" i="19"/>
  <c r="K71" i="19"/>
  <c r="L71" i="19"/>
  <c r="B72" i="19"/>
  <c r="C72" i="19"/>
  <c r="D72" i="19"/>
  <c r="F72" i="19"/>
  <c r="G72" i="19"/>
  <c r="K72" i="19"/>
  <c r="L72" i="19"/>
  <c r="B73" i="19"/>
  <c r="C73" i="19"/>
  <c r="D73" i="19"/>
  <c r="F73" i="19"/>
  <c r="G73" i="19"/>
  <c r="K73" i="19"/>
  <c r="L73" i="19"/>
  <c r="B74" i="19"/>
  <c r="C74" i="19"/>
  <c r="D74" i="19"/>
  <c r="F74" i="19"/>
  <c r="G74" i="19"/>
  <c r="K74" i="19"/>
  <c r="L74" i="19"/>
  <c r="B75" i="19"/>
  <c r="C75" i="19"/>
  <c r="D75" i="19"/>
  <c r="F75" i="19"/>
  <c r="G75" i="19"/>
  <c r="K75" i="19"/>
  <c r="L75" i="19"/>
  <c r="B76" i="19"/>
  <c r="C76" i="19"/>
  <c r="D76" i="19"/>
  <c r="F76" i="19"/>
  <c r="G76" i="19"/>
  <c r="K76" i="19"/>
  <c r="L76" i="19"/>
  <c r="B77" i="19"/>
  <c r="C77" i="19"/>
  <c r="D77" i="19"/>
  <c r="F77" i="19"/>
  <c r="G77" i="19"/>
  <c r="K77" i="19"/>
  <c r="L77" i="19"/>
  <c r="B78" i="19"/>
  <c r="C78" i="19"/>
  <c r="D78" i="19"/>
  <c r="F78" i="19"/>
  <c r="G78" i="19"/>
  <c r="K78" i="19"/>
  <c r="L78" i="19"/>
  <c r="B79" i="19"/>
  <c r="C79" i="19"/>
  <c r="D79" i="19"/>
  <c r="F79" i="19"/>
  <c r="G79" i="19"/>
  <c r="K79" i="19"/>
  <c r="L79" i="19"/>
  <c r="B80" i="19"/>
  <c r="C80" i="19"/>
  <c r="D80" i="19"/>
  <c r="F80" i="19"/>
  <c r="G80" i="19"/>
  <c r="K80" i="19"/>
  <c r="L80" i="19"/>
  <c r="B81" i="19"/>
  <c r="C81" i="19"/>
  <c r="D81" i="19"/>
  <c r="F81" i="19"/>
  <c r="G81" i="19"/>
  <c r="K81" i="19"/>
  <c r="L81" i="19"/>
  <c r="B82" i="19"/>
  <c r="C82" i="19"/>
  <c r="D82" i="19"/>
  <c r="F82" i="19"/>
  <c r="G82" i="19"/>
  <c r="K82" i="19"/>
  <c r="L82" i="19"/>
  <c r="B83" i="19"/>
  <c r="C83" i="19"/>
  <c r="D83" i="19"/>
  <c r="F83" i="19"/>
  <c r="G83" i="19"/>
  <c r="K83" i="19"/>
  <c r="L83" i="19"/>
  <c r="B84" i="19"/>
  <c r="C84" i="19"/>
  <c r="D84" i="19"/>
  <c r="F84" i="19"/>
  <c r="G84" i="19"/>
  <c r="K84" i="19"/>
  <c r="L84" i="19"/>
  <c r="B85" i="19"/>
  <c r="C85" i="19"/>
  <c r="D85" i="19"/>
  <c r="F85" i="19"/>
  <c r="G85" i="19"/>
  <c r="K85" i="19"/>
  <c r="L85" i="19"/>
  <c r="B86" i="19"/>
  <c r="C86" i="19"/>
  <c r="D86" i="19"/>
  <c r="F86" i="19"/>
  <c r="G86" i="19"/>
  <c r="K86" i="19"/>
  <c r="L86" i="19"/>
  <c r="B87" i="19"/>
  <c r="C87" i="19"/>
  <c r="D87" i="19"/>
  <c r="F87" i="19"/>
  <c r="G87" i="19"/>
  <c r="K87" i="19"/>
  <c r="L87" i="19"/>
  <c r="B88" i="19"/>
  <c r="C88" i="19"/>
  <c r="D88" i="19"/>
  <c r="F88" i="19"/>
  <c r="G88" i="19"/>
  <c r="K88" i="19"/>
  <c r="L88" i="19"/>
  <c r="B89" i="19"/>
  <c r="C89" i="19"/>
  <c r="D89" i="19"/>
  <c r="F89" i="19"/>
  <c r="G89" i="19"/>
  <c r="K89" i="19"/>
  <c r="L89" i="19"/>
  <c r="B90" i="19"/>
  <c r="C90" i="19"/>
  <c r="D90" i="19"/>
  <c r="F90" i="19"/>
  <c r="G90" i="19"/>
  <c r="K90" i="19"/>
  <c r="L90" i="19"/>
  <c r="B91" i="19"/>
  <c r="C91" i="19"/>
  <c r="D91" i="19"/>
  <c r="F91" i="19"/>
  <c r="G91" i="19"/>
  <c r="K91" i="19"/>
  <c r="L91" i="19"/>
  <c r="B92" i="19"/>
  <c r="C92" i="19"/>
  <c r="D92" i="19"/>
  <c r="F92" i="19"/>
  <c r="G92" i="19"/>
  <c r="K92" i="19"/>
  <c r="L92" i="19"/>
  <c r="B93" i="19"/>
  <c r="C93" i="19"/>
  <c r="D93" i="19"/>
  <c r="F93" i="19"/>
  <c r="G93" i="19"/>
  <c r="K93" i="19"/>
  <c r="L93" i="19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B7" i="21"/>
  <c r="C7" i="21"/>
  <c r="D7" i="21"/>
  <c r="F7" i="21"/>
  <c r="G7" i="21"/>
  <c r="I7" i="21"/>
  <c r="J7" i="21"/>
  <c r="B8" i="21"/>
  <c r="C8" i="21"/>
  <c r="D8" i="21"/>
  <c r="F8" i="21"/>
  <c r="G8" i="21"/>
  <c r="I8" i="21"/>
  <c r="J8" i="21"/>
  <c r="B9" i="21"/>
  <c r="C9" i="21"/>
  <c r="D9" i="21"/>
  <c r="F9" i="21"/>
  <c r="G9" i="21"/>
  <c r="I9" i="21"/>
  <c r="J9" i="21"/>
  <c r="B10" i="21"/>
  <c r="C10" i="21"/>
  <c r="D10" i="21"/>
  <c r="F10" i="21"/>
  <c r="G10" i="21"/>
  <c r="I10" i="21"/>
  <c r="J10" i="21"/>
  <c r="A32" i="18"/>
  <c r="C32" i="18"/>
  <c r="D32" i="18"/>
  <c r="A31" i="18"/>
  <c r="C31" i="18"/>
  <c r="D31" i="18"/>
  <c r="A30" i="18"/>
  <c r="A29" i="18"/>
  <c r="A27" i="18"/>
  <c r="A28" i="18"/>
  <c r="A26" i="18"/>
  <c r="A25" i="18"/>
  <c r="A24" i="18"/>
  <c r="A23" i="18"/>
  <c r="A22" i="18"/>
  <c r="A21" i="18"/>
  <c r="A20" i="18"/>
  <c r="A19" i="18"/>
  <c r="A17" i="18"/>
  <c r="A18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/>
  <c r="C3" i="18"/>
  <c r="D3" i="18"/>
  <c r="C4" i="18"/>
  <c r="D4" i="18"/>
  <c r="C5" i="18"/>
  <c r="D5" i="18"/>
  <c r="C6" i="18"/>
  <c r="D6" i="18"/>
  <c r="C7" i="18"/>
  <c r="D7" i="18"/>
  <c r="C8" i="18"/>
  <c r="D8" i="18"/>
  <c r="C9" i="18"/>
  <c r="D9" i="18"/>
  <c r="C10" i="18"/>
  <c r="D10" i="18"/>
  <c r="C11" i="18"/>
  <c r="D11" i="18"/>
  <c r="C12" i="18"/>
  <c r="D12" i="18"/>
  <c r="C13" i="18"/>
  <c r="D13" i="18"/>
  <c r="C14" i="18"/>
  <c r="D14" i="18"/>
  <c r="C15" i="18"/>
  <c r="D15" i="18"/>
  <c r="C16" i="18"/>
  <c r="D16" i="18"/>
  <c r="C17" i="18"/>
  <c r="D17" i="18"/>
  <c r="C18" i="18"/>
  <c r="D18" i="18"/>
  <c r="C19" i="18"/>
  <c r="D19" i="18"/>
  <c r="C20" i="18"/>
  <c r="D20" i="18"/>
  <c r="C21" i="18"/>
  <c r="D21" i="18"/>
  <c r="C22" i="18"/>
  <c r="D22" i="18"/>
  <c r="C23" i="18"/>
  <c r="D23" i="18"/>
  <c r="C24" i="18"/>
  <c r="D24" i="18"/>
  <c r="C25" i="18"/>
  <c r="D25" i="18"/>
  <c r="C26" i="18"/>
  <c r="D26" i="18"/>
  <c r="C27" i="18"/>
  <c r="D27" i="18"/>
  <c r="C28" i="18"/>
  <c r="D28" i="18"/>
  <c r="C29" i="18"/>
  <c r="D29" i="18"/>
  <c r="C30" i="18"/>
  <c r="D30" i="18"/>
  <c r="T10" i="1"/>
  <c r="T4" i="1"/>
  <c r="W7" i="7"/>
  <c r="V7" i="1"/>
  <c r="V19" i="1"/>
  <c r="G13" i="9"/>
  <c r="H13" i="9"/>
  <c r="I13" i="9"/>
  <c r="J13" i="9"/>
  <c r="K13" i="9"/>
  <c r="L13" i="9"/>
  <c r="M13" i="9"/>
  <c r="N13" i="9"/>
  <c r="J13" i="11"/>
  <c r="O13" i="9"/>
  <c r="G7" i="9"/>
  <c r="H7" i="9"/>
  <c r="I7" i="9"/>
  <c r="J7" i="9"/>
  <c r="K7" i="9"/>
  <c r="L7" i="9"/>
  <c r="M7" i="9"/>
  <c r="N7" i="9"/>
  <c r="J7" i="11"/>
  <c r="O7" i="9"/>
  <c r="D7" i="9"/>
  <c r="E7" i="9"/>
  <c r="D13" i="9"/>
  <c r="E13" i="9"/>
  <c r="A7" i="9"/>
  <c r="A13" i="9"/>
  <c r="G7" i="10"/>
  <c r="H7" i="10"/>
  <c r="I7" i="10"/>
  <c r="J7" i="10"/>
  <c r="K7" i="10"/>
  <c r="L7" i="10"/>
  <c r="M7" i="10"/>
  <c r="M18" i="10"/>
  <c r="N18" i="10"/>
  <c r="Q18" i="10"/>
  <c r="P18" i="10"/>
  <c r="R18" i="10"/>
  <c r="O18" i="10"/>
  <c r="S18" i="10"/>
  <c r="N7" i="10"/>
  <c r="O7" i="10"/>
  <c r="P7" i="10"/>
  <c r="Q7" i="10"/>
  <c r="R7" i="10"/>
  <c r="S7" i="10"/>
  <c r="T7" i="10"/>
  <c r="U7" i="10"/>
  <c r="V7" i="10"/>
  <c r="W7" i="10"/>
  <c r="X7" i="10"/>
  <c r="Y7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T19" i="1"/>
  <c r="U3" i="7"/>
  <c r="T13" i="1"/>
  <c r="U6" i="7"/>
  <c r="T16" i="1"/>
  <c r="M3" i="9"/>
  <c r="M4" i="9"/>
  <c r="M5" i="9"/>
  <c r="M6" i="9"/>
  <c r="M8" i="9"/>
  <c r="M9" i="9"/>
  <c r="M10" i="9"/>
  <c r="M11" i="9"/>
  <c r="M12" i="9"/>
  <c r="M14" i="9"/>
  <c r="M15" i="9"/>
  <c r="M16" i="9"/>
  <c r="M17" i="9"/>
  <c r="M18" i="9"/>
  <c r="I3" i="9"/>
  <c r="D9" i="9"/>
  <c r="E2" i="9"/>
  <c r="A3" i="9"/>
  <c r="A4" i="9"/>
  <c r="A5" i="9"/>
  <c r="A6" i="9"/>
  <c r="A8" i="9"/>
  <c r="A9" i="9"/>
  <c r="A10" i="9"/>
  <c r="A11" i="9"/>
  <c r="A12" i="9"/>
  <c r="A14" i="9"/>
  <c r="A15" i="9"/>
  <c r="A16" i="9"/>
  <c r="A17" i="9"/>
  <c r="A18" i="9"/>
  <c r="H2" i="9"/>
  <c r="I2" i="9"/>
  <c r="J2" i="9"/>
  <c r="K2" i="9"/>
  <c r="L2" i="9"/>
  <c r="M2" i="9"/>
  <c r="N2" i="9"/>
  <c r="J2" i="11"/>
  <c r="O2" i="9"/>
  <c r="H3" i="9"/>
  <c r="J3" i="9"/>
  <c r="K3" i="9"/>
  <c r="L3" i="9"/>
  <c r="N3" i="9"/>
  <c r="J3" i="11"/>
  <c r="O3" i="9"/>
  <c r="H4" i="9"/>
  <c r="I4" i="9"/>
  <c r="J4" i="9"/>
  <c r="K4" i="9"/>
  <c r="L4" i="9"/>
  <c r="N4" i="9"/>
  <c r="J4" i="11"/>
  <c r="O4" i="9"/>
  <c r="H5" i="9"/>
  <c r="I5" i="9"/>
  <c r="J5" i="9"/>
  <c r="K5" i="9"/>
  <c r="L5" i="9"/>
  <c r="N5" i="9"/>
  <c r="J5" i="11"/>
  <c r="O5" i="9"/>
  <c r="H6" i="9"/>
  <c r="I6" i="9"/>
  <c r="J6" i="9"/>
  <c r="K6" i="9"/>
  <c r="L6" i="9"/>
  <c r="N6" i="9"/>
  <c r="J6" i="11"/>
  <c r="O6" i="9"/>
  <c r="H8" i="9"/>
  <c r="I8" i="9"/>
  <c r="J8" i="9"/>
  <c r="K8" i="9"/>
  <c r="L8" i="9"/>
  <c r="N8" i="9"/>
  <c r="J8" i="11"/>
  <c r="O8" i="9"/>
  <c r="H9" i="9"/>
  <c r="I9" i="9"/>
  <c r="J9" i="9"/>
  <c r="K9" i="9"/>
  <c r="L9" i="9"/>
  <c r="N9" i="9"/>
  <c r="J9" i="11"/>
  <c r="O9" i="9"/>
  <c r="H10" i="9"/>
  <c r="I10" i="9"/>
  <c r="J10" i="9"/>
  <c r="K10" i="9"/>
  <c r="L10" i="9"/>
  <c r="N10" i="9"/>
  <c r="J10" i="11"/>
  <c r="O10" i="9"/>
  <c r="H11" i="9"/>
  <c r="I11" i="9"/>
  <c r="J11" i="9"/>
  <c r="K11" i="9"/>
  <c r="L11" i="9"/>
  <c r="N11" i="9"/>
  <c r="J11" i="11"/>
  <c r="O11" i="9"/>
  <c r="H12" i="9"/>
  <c r="I12" i="9"/>
  <c r="J12" i="9"/>
  <c r="K12" i="9"/>
  <c r="L12" i="9"/>
  <c r="N12" i="9"/>
  <c r="J12" i="11"/>
  <c r="O12" i="9"/>
  <c r="H14" i="9"/>
  <c r="I14" i="9"/>
  <c r="J14" i="9"/>
  <c r="K14" i="9"/>
  <c r="L14" i="9"/>
  <c r="N14" i="9"/>
  <c r="J14" i="11"/>
  <c r="O14" i="9"/>
  <c r="H15" i="9"/>
  <c r="I15" i="9"/>
  <c r="J15" i="9"/>
  <c r="K15" i="9"/>
  <c r="L15" i="9"/>
  <c r="N15" i="9"/>
  <c r="J15" i="11"/>
  <c r="O15" i="9"/>
  <c r="H16" i="9"/>
  <c r="I16" i="9"/>
  <c r="J16" i="9"/>
  <c r="K16" i="9"/>
  <c r="L16" i="9"/>
  <c r="N16" i="9"/>
  <c r="J16" i="11"/>
  <c r="O16" i="9"/>
  <c r="H17" i="9"/>
  <c r="I17" i="9"/>
  <c r="J17" i="9"/>
  <c r="K17" i="9"/>
  <c r="L17" i="9"/>
  <c r="N17" i="9"/>
  <c r="J17" i="11"/>
  <c r="O17" i="9"/>
  <c r="H18" i="9"/>
  <c r="I18" i="9"/>
  <c r="J18" i="9"/>
  <c r="K18" i="9"/>
  <c r="L18" i="9"/>
  <c r="N18" i="9"/>
  <c r="J18" i="11"/>
  <c r="O18" i="9"/>
  <c r="G3" i="9"/>
  <c r="G4" i="9"/>
  <c r="G5" i="9"/>
  <c r="G6" i="9"/>
  <c r="G8" i="9"/>
  <c r="G9" i="9"/>
  <c r="G10" i="9"/>
  <c r="G11" i="9"/>
  <c r="G12" i="9"/>
  <c r="G14" i="9"/>
  <c r="G15" i="9"/>
  <c r="G16" i="9"/>
  <c r="G17" i="9"/>
  <c r="G18" i="9"/>
  <c r="G2" i="9"/>
  <c r="D3" i="9"/>
  <c r="E3" i="9"/>
  <c r="D4" i="9"/>
  <c r="E4" i="9"/>
  <c r="D5" i="9"/>
  <c r="E5" i="9"/>
  <c r="D6" i="9"/>
  <c r="E6" i="9"/>
  <c r="D8" i="9"/>
  <c r="E8" i="9"/>
  <c r="E9" i="9"/>
  <c r="D10" i="9"/>
  <c r="E10" i="9"/>
  <c r="D11" i="9"/>
  <c r="E11" i="9"/>
  <c r="D12" i="9"/>
  <c r="E12" i="9"/>
  <c r="D14" i="9"/>
  <c r="E14" i="9"/>
  <c r="D15" i="9"/>
  <c r="E15" i="9"/>
  <c r="D16" i="9"/>
  <c r="E16" i="9"/>
  <c r="D17" i="9"/>
  <c r="E17" i="9"/>
  <c r="D18" i="9"/>
  <c r="E18" i="9"/>
  <c r="G3" i="10"/>
  <c r="H3" i="10"/>
  <c r="I3" i="10"/>
  <c r="J3" i="10"/>
  <c r="K3" i="10"/>
  <c r="L3" i="10"/>
  <c r="M3" i="10"/>
  <c r="M15" i="10"/>
  <c r="N15" i="10"/>
  <c r="Q15" i="10"/>
  <c r="P15" i="10"/>
  <c r="R15" i="10"/>
  <c r="O15" i="10"/>
  <c r="S15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6" i="10"/>
  <c r="N16" i="10"/>
  <c r="Q16" i="10"/>
  <c r="P16" i="10"/>
  <c r="R16" i="10"/>
  <c r="O16" i="10"/>
  <c r="S16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7" i="10"/>
  <c r="N17" i="10"/>
  <c r="Q17" i="10"/>
  <c r="P17" i="10"/>
  <c r="R17" i="10"/>
  <c r="O17" i="10"/>
  <c r="S17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Y7" i="7"/>
  <c r="U7" i="7"/>
  <c r="R7" i="7"/>
  <c r="Q7" i="7"/>
  <c r="P7" i="7"/>
  <c r="O7" i="7"/>
  <c r="N7" i="7"/>
  <c r="H7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J7" i="7"/>
  <c r="I7" i="7"/>
  <c r="D7" i="7"/>
  <c r="F7" i="7"/>
  <c r="E7" i="7"/>
  <c r="A7" i="7"/>
  <c r="AA6" i="7"/>
  <c r="Y6" i="7"/>
  <c r="R6" i="7"/>
  <c r="Q6" i="7"/>
  <c r="P6" i="7"/>
  <c r="O6" i="7"/>
  <c r="N6" i="7"/>
  <c r="H6" i="7"/>
  <c r="J6" i="7"/>
  <c r="I6" i="7"/>
  <c r="D6" i="7"/>
  <c r="F6" i="7"/>
  <c r="E6" i="7"/>
  <c r="A6" i="7"/>
  <c r="Y5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AA4" i="7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Y3" i="7"/>
  <c r="W3" i="7"/>
  <c r="R3" i="7"/>
  <c r="Q3" i="7"/>
  <c r="P3" i="7"/>
  <c r="O3" i="7"/>
  <c r="N3" i="7"/>
  <c r="H3" i="7"/>
  <c r="J3" i="7"/>
  <c r="I3" i="7"/>
  <c r="D3" i="7"/>
  <c r="F3" i="7"/>
  <c r="E3" i="7"/>
  <c r="A3" i="7"/>
  <c r="AD19" i="1"/>
  <c r="AF19" i="1"/>
  <c r="AI19" i="1"/>
  <c r="AG19" i="1"/>
  <c r="AE19" i="1"/>
  <c r="X19" i="1"/>
  <c r="Q19" i="1"/>
  <c r="P19" i="1"/>
  <c r="O19" i="1"/>
  <c r="N19" i="1"/>
  <c r="M19" i="1"/>
  <c r="H19" i="1"/>
  <c r="J19" i="1"/>
  <c r="I19" i="1"/>
  <c r="D19" i="1"/>
  <c r="F19" i="1"/>
  <c r="E19" i="1"/>
  <c r="A19" i="1"/>
  <c r="AD18" i="1"/>
  <c r="AF18" i="1"/>
  <c r="AI18" i="1"/>
  <c r="AG18" i="1"/>
  <c r="AE18" i="1"/>
  <c r="AC18" i="1"/>
  <c r="X18" i="1"/>
  <c r="V18" i="1"/>
  <c r="T18" i="1"/>
  <c r="Q18" i="1"/>
  <c r="P18" i="1"/>
  <c r="O18" i="1"/>
  <c r="N18" i="1"/>
  <c r="M18" i="1"/>
  <c r="H18" i="1"/>
  <c r="J18" i="1"/>
  <c r="I18" i="1"/>
  <c r="D18" i="1"/>
  <c r="F18" i="1"/>
  <c r="E18" i="1"/>
  <c r="A18" i="1"/>
  <c r="AD17" i="1"/>
  <c r="AF17" i="1"/>
  <c r="AI17" i="1"/>
  <c r="AG17" i="1"/>
  <c r="AE17" i="1"/>
  <c r="AC17" i="1"/>
  <c r="X17" i="1"/>
  <c r="T17" i="1"/>
  <c r="Q17" i="1"/>
  <c r="P17" i="1"/>
  <c r="O17" i="1"/>
  <c r="N17" i="1"/>
  <c r="M17" i="1"/>
  <c r="H17" i="1"/>
  <c r="J17" i="1"/>
  <c r="I17" i="1"/>
  <c r="D17" i="1"/>
  <c r="F17" i="1"/>
  <c r="E17" i="1"/>
  <c r="A17" i="1"/>
  <c r="AD16" i="1"/>
  <c r="AF16" i="1"/>
  <c r="AI16" i="1"/>
  <c r="AG16" i="1"/>
  <c r="AE16" i="1"/>
  <c r="AC16" i="1"/>
  <c r="X16" i="1"/>
  <c r="V16" i="1"/>
  <c r="Q16" i="1"/>
  <c r="P16" i="1"/>
  <c r="O16" i="1"/>
  <c r="N16" i="1"/>
  <c r="M16" i="1"/>
  <c r="H16" i="1"/>
  <c r="J16" i="1"/>
  <c r="I16" i="1"/>
  <c r="D16" i="1"/>
  <c r="F16" i="1"/>
  <c r="E16" i="1"/>
  <c r="A16" i="1"/>
  <c r="AD15" i="1"/>
  <c r="AF15" i="1"/>
  <c r="AI15" i="1"/>
  <c r="AG15" i="1"/>
  <c r="AE15" i="1"/>
  <c r="AC15" i="1"/>
  <c r="X15" i="1"/>
  <c r="V15" i="1"/>
  <c r="T15" i="1"/>
  <c r="Q15" i="1"/>
  <c r="P15" i="1"/>
  <c r="O15" i="1"/>
  <c r="N15" i="1"/>
  <c r="M15" i="1"/>
  <c r="H15" i="1"/>
  <c r="J15" i="1"/>
  <c r="I15" i="1"/>
  <c r="D15" i="1"/>
  <c r="F15" i="1"/>
  <c r="E15" i="1"/>
  <c r="A15" i="1"/>
  <c r="AD14" i="1"/>
  <c r="AF14" i="1"/>
  <c r="AI14" i="1"/>
  <c r="AG14" i="1"/>
  <c r="AE14" i="1"/>
  <c r="AC14" i="1"/>
  <c r="X14" i="1"/>
  <c r="V14" i="1"/>
  <c r="T14" i="1"/>
  <c r="Q14" i="1"/>
  <c r="P14" i="1"/>
  <c r="O14" i="1"/>
  <c r="N14" i="1"/>
  <c r="M14" i="1"/>
  <c r="H14" i="1"/>
  <c r="J14" i="1"/>
  <c r="I14" i="1"/>
  <c r="D14" i="1"/>
  <c r="F14" i="1"/>
  <c r="E14" i="1"/>
  <c r="A14" i="1"/>
  <c r="AD13" i="1"/>
  <c r="AF13" i="1"/>
  <c r="AI13" i="1"/>
  <c r="AG13" i="1"/>
  <c r="AE13" i="1"/>
  <c r="X13" i="1"/>
  <c r="V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AC12" i="1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F11" i="1"/>
  <c r="AI11" i="1"/>
  <c r="AG11" i="1"/>
  <c r="AE11" i="1"/>
  <c r="AC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AC10" i="1"/>
  <c r="X10" i="1"/>
  <c r="V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AC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AC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6" i="1"/>
  <c r="AF6" i="1"/>
  <c r="AI6" i="1"/>
  <c r="AG6" i="1"/>
  <c r="AE6" i="1"/>
  <c r="AC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3" i="1"/>
  <c r="AF3" i="1"/>
  <c r="AI3" i="1"/>
  <c r="AG3" i="1"/>
  <c r="AE3" i="1"/>
  <c r="AC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AD7" i="1"/>
  <c r="AF7" i="1"/>
  <c r="AI7" i="1"/>
  <c r="AG7" i="1"/>
  <c r="AE7" i="1"/>
  <c r="X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5" i="1"/>
  <c r="AF5" i="1"/>
  <c r="AI5" i="1"/>
  <c r="AG5" i="1"/>
  <c r="AE5" i="1"/>
  <c r="AC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AC4" i="1"/>
  <c r="X4" i="1"/>
  <c r="V4" i="1"/>
  <c r="Q4" i="1"/>
  <c r="P4" i="1"/>
  <c r="O4" i="1"/>
  <c r="N4" i="1"/>
  <c r="M4" i="1"/>
  <c r="H4" i="1"/>
  <c r="J4" i="1"/>
  <c r="I4" i="1"/>
  <c r="D4" i="1"/>
  <c r="F4" i="1"/>
  <c r="E4" i="1"/>
  <c r="A4" i="1"/>
  <c r="H13" i="2"/>
  <c r="E13" i="2"/>
  <c r="D13" i="2"/>
  <c r="H2" i="1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W2" i="7"/>
  <c r="U2" i="7"/>
  <c r="V2" i="1"/>
  <c r="T2" i="1"/>
  <c r="E13" i="16"/>
  <c r="B2" i="21"/>
  <c r="I2" i="21"/>
  <c r="J2" i="21"/>
  <c r="G2" i="21"/>
  <c r="F2" i="21"/>
  <c r="D2" i="21"/>
  <c r="C2" i="21"/>
  <c r="E12" i="16"/>
  <c r="E11" i="16"/>
  <c r="E10" i="16"/>
  <c r="C2" i="18"/>
  <c r="D2" i="18"/>
  <c r="D2" i="9"/>
  <c r="AA2" i="7"/>
  <c r="E9" i="16"/>
  <c r="Y2" i="7"/>
  <c r="X2" i="1"/>
  <c r="R2" i="7"/>
  <c r="Q2" i="7"/>
  <c r="P2" i="7"/>
  <c r="O2" i="7"/>
  <c r="N2" i="7"/>
  <c r="AD2" i="1"/>
  <c r="AG2" i="1"/>
  <c r="AF2" i="1"/>
  <c r="AE2" i="1"/>
  <c r="AC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2" i="1"/>
  <c r="A2" i="9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<sst xmlns="http://schemas.openxmlformats.org/spreadsheetml/2006/main" count="938" uniqueCount="328">
  <si>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</si>
  <si>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</si>
  <si>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</si>
  <si>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</si>
  <si>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</si>
  <si>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</si>
  <si>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</si>
  <si>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</si>
  <si>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</si>
  <si>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</si>
  <si>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</si>
  <si>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</si>
  <si>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</si>
  <si>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</si>
  <si>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</si>
  <si>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</si>
  <si>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</si>
  <si>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</si>
  <si>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</si>
  <si>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</si>
  <si>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</si>
  <si>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</si>
  <si>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</si>
  <si>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</si>
  <si>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</si>
  <si>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</si>
  <si>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</si>
  <si>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</si>
  <si>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</si>
  <si>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</si>
  <si>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</si>
  <si>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</si>
  <si>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</si>
  <si>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</si>
  <si>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</si>
  <si>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</si>
  <si>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</si>
  <si>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</si>
  <si>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</si>
  <si>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</si>
  <si>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</si>
  <si>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</si>
  <si>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</si>
  <si>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</si>
  <si>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</si>
  <si>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</si>
  <si>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</si>
  <si>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</si>
  <si>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</si>
  <si>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</si>
  <si>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</si>
  <si>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</si>
  <si>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</si>
  <si>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</si>
  <si>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</si>
  <si>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</si>
  <si>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</si>
  <si>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</si>
  <si>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</si>
  <si>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</si>
  <si>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</si>
  <si>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</si>
  <si>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</si>
  <si>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</si>
  <si>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</si>
  <si>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</si>
  <si>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</si>
  <si>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</si>
  <si>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</si>
  <si>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</si>
  <si>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</si>
  <si>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</si>
  <si>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</si>
  <si>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</si>
  <si>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</si>
  <si>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</si>
  <si>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</si>
  <si>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</si>
  <si>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</si>
  <si>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</si>
  <si>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</si>
  <si>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</si>
  <si>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</si>
  <si>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</si>
  <si>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</si>
  <si>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</si>
  <si>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</si>
  <si>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</si>
  <si>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</si>
  <si>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</si>
  <si>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</si>
  <si>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</si>
  <si>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</si>
  <si>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</si>
  <si>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</si>
  <si>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</si>
  <si>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</si>
  <si>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</si>
  <si>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</si>
  <si>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</si>
  <si>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</si>
  <si>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</si>
  <si>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</si>
  <si>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</si>
  <si>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</si>
  <si>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</si>
  <si>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</si>
  <si>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</si>
  <si>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</si>
  <si>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</si>
  <si>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</si>
  <si>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</si>
  <si>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</si>
  <si>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</si>
  <si>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</si>
  <si>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</si>
  <si>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</si>
  <si>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</si>
  <si>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</si>
  <si>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</si>
  <si>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</si>
  <si>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</si>
  <si>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</si>
  <si>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</si>
  <si>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</si>
  <si>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</si>
  <si>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</si>
  <si>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</si>
  <si>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</si>
  <si>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</si>
  <si>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</si>
  <si>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</si>
  <si>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</si>
  <si>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</si>
  <si>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</si>
  <si>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</si>
  <si>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</si>
  <si>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</si>
  <si>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</si>
  <si>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</si>
  <si>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</si>
  <si>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</si>
  <si>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</si>
  <si>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</si>
  <si>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</si>
  <si>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</si>
  <si>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</si>
  <si>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</si>
  <si>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</si>
  <si>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</si>
  <si>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</si>
  <si>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</si>
  <si>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</si>
  <si>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</si>
  <si>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</si>
  <si>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</si>
  <si>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</si>
  <si>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</si>
  <si>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</si>
  <si>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</si>
  <si>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</si>
  <si>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</si>
  <si>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</si>
  <si>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</si>
  <si>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</si>
  <si>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</si>
  <si>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</si>
  <si>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</si>
  <si>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</si>
  <si>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</si>
  <si>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</si>
  <si>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</si>
  <si>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</si>
  <si>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</si>
  <si>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</si>
  <si>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</si>
  <si>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</si>
  <si>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</si>
  <si>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</si>
  <si>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</si>
  <si>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</si>
  <si>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</si>
  <si>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</si>
  <si>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</si>
  <si>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</si>
  <si>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</si>
  <si>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</si>
  <si>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</si>
  <si>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</si>
  <si>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</si>
  <si>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</si>
  <si>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</si>
  <si>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</si>
  <si>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</si>
  <si>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</si>
  <si>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</si>
  <si>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</si>
  <si>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</si>
  <si>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</si>
  <si>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</si>
  <si>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</si>
  <si>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</si>
  <si>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</si>
  <si>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</si>
  <si>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</si>
  <si>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</si>
  <si>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</si>
  <si>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</si>
  <si>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</si>
  <si>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</si>
  <si>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</si>
  <si>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</si>
  <si>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</si>
  <si>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</si>
  <si>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</si>
  <si>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</si>
  <si>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</si>
  <si>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</si>
  <si>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</si>
  <si>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</si>
  <si>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</si>
  <si>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</si>
  <si>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</si>
  <si>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</si>
  <si>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</si>
  <si>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</si>
  <si>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</si>
  <si>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</si>
  <si>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</si>
  <si>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</si>
  <si>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</si>
  <si>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</si>
  <si>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</si>
  <si>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</si>
  <si>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</si>
  <si>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</si>
  <si>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</si>
  <si>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</si>
  <si>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</si>
  <si>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</si>
  <si>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</si>
  <si>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</si>
  <si>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</si>
  <si>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</si>
  <si>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</si>
  <si>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</si>
  <si>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</si>
  <si>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</si>
  <si>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</si>
  <si>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</si>
  <si>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</si>
  <si>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old</t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</si>
  <si>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</si>
  <si>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</si>
  <si>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</si>
  <si>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</si>
  <si>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</si>
  <si>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</si>
  <si>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</si>
  <si>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</si>
  <si>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[effect:rush, count:5, val:0.3]</t>
    <phoneticPr fontId="5"/>
  </si>
  <si>
    <t>[effect:rush, count:3, val:0.4]</t>
    <phoneticPr fontId="5"/>
  </si>
  <si>
    <t>[effect:freq_turn, target:myself, turn:2, val:1, animation:enemy_freq_turn],[effect:critical, val:1.3, animation:enemy_critical]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</si>
  <si>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</si>
  <si>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</si>
  <si>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</si>
  <si>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</si>
  <si>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</si>
  <si>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</si>
  <si>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 xml:space="preserve">[effect:force_change_block, new_block:jammer, target:block_heart, count:0, val:0, animation:change_block]    </t>
    <phoneticPr fontId="5"/>
  </si>
  <si>
    <t>[effect:heal, target:enemy_blue, val:0.4, animation:enemy_heal]</t>
    <phoneticPr fontId="5"/>
  </si>
  <si>
    <t>[effect:rush, count:3, val:0.4]</t>
    <phoneticPr fontId="5"/>
  </si>
  <si>
    <t>[effect:force_change_block, new_block:block_heart, target:block_yellow, count:0, val:0, animation:change_block],[effect:rush, count:1, val:1]</t>
    <phoneticPr fontId="5"/>
  </si>
  <si>
    <t>[effect:force_change_block, new_block:block_heart, target:block_blue, count:0, val:0, animation:change_block],[effect:rush, count:1, val:1]</t>
    <phoneticPr fontId="5"/>
  </si>
  <si>
    <t>[effect:force_change_block, new_block:block_heart, target:block_yellow, count:0, val:0, animation:change_block],[effect:rush, count:1, val:1]</t>
    <phoneticPr fontId="5"/>
  </si>
  <si>
    <t>[effect:force_change_block, new_block:block_heart, target:block_blue, count:0, val:0, animation:change_block],[effect:rush, count:1, val:1]</t>
    <phoneticPr fontId="5"/>
  </si>
  <si>
    <t>[effect:force_change_block, new_block:block_heart, target:block_green, count:0, val:0, animation:change_block],[effect:rush, count:1, val:1]</t>
    <phoneticPr fontId="5"/>
  </si>
  <si>
    <t>null</t>
    <phoneticPr fontId="5"/>
  </si>
  <si>
    <t>[effect:force_change_block, new_block:block_heart, target:block_green, count:0, val:0, animation:change_block],[effect:rush, count:1, val:1]</t>
    <phoneticPr fontId="5"/>
  </si>
  <si>
    <t>5回連続攻撃</t>
    <phoneticPr fontId="5"/>
  </si>
  <si>
    <t>3回連続攻撃</t>
    <phoneticPr fontId="5"/>
  </si>
  <si>
    <t>3回連続攻撃</t>
    <phoneticPr fontId="5"/>
  </si>
  <si>
    <t>ハートパネルをお邪魔パネルに変換</t>
    <phoneticPr fontId="5"/>
  </si>
  <si>
    <t>ハートパネルをお邪魔パネルに変換</t>
    <phoneticPr fontId="5"/>
  </si>
  <si>
    <t>黄パネルをハートパネルに変換＋単体攻撃</t>
    <phoneticPr fontId="5"/>
  </si>
  <si>
    <t>青パネルをハートパネルに変換＋単体攻撃</t>
    <phoneticPr fontId="5"/>
  </si>
  <si>
    <t>緑パネルをハートパネルに変換＋単体攻撃</t>
    <phoneticPr fontId="5"/>
  </si>
  <si>
    <t>2ターン自身の攻撃頻度UP＋クリティカル！</t>
    <phoneticPr fontId="5"/>
  </si>
  <si>
    <t>青属性のエネミーのHPを40％回復</t>
    <phoneticPr fontId="5"/>
  </si>
  <si>
    <t xml:space="preserve">[effect:force_change_block, new_block:jammer, target:block_heart, count:0, val:0, animation:change_block]    </t>
    <phoneticPr fontId="5"/>
  </si>
  <si>
    <t>お邪魔パネルを吸収し、攻撃</t>
    <phoneticPr fontId="5"/>
  </si>
  <si>
    <t>お邪魔パネルを吸収し、攻撃</t>
    <phoneticPr fontId="5"/>
  </si>
  <si>
    <t>[effect:force_change_block, new_block:jammer, target:block_heart, count:0, val:1, animation:change_block]</t>
  </si>
  <si>
    <t>ハートパネルをお邪魔パネルに変換</t>
    <phoneticPr fontId="5"/>
  </si>
  <si>
    <t>null</t>
    <phoneticPr fontId="5"/>
  </si>
  <si>
    <t>null</t>
    <phoneticPr fontId="5"/>
  </si>
  <si>
    <t xml:space="preserve">[effect:break_attack, target:unit_one, val:0.14, lowest_val:1000, count:-1, color:blue, block01:jammer]    </t>
    <phoneticPr fontId="5"/>
  </si>
  <si>
    <t>[effect:break_attack, target:unit_one, val:0.15, lowest_val:1000, count:-1, color:blue, block01:jammer]</t>
    <phoneticPr fontId="5"/>
  </si>
  <si>
    <t>連続斬り</t>
    <phoneticPr fontId="53"/>
  </si>
  <si>
    <t>誰にも渡さないんだから！</t>
    <phoneticPr fontId="5"/>
  </si>
  <si>
    <t>黄パネルをハートパネルに変換＋単体攻撃</t>
    <phoneticPr fontId="5"/>
  </si>
  <si>
    <t>止められない愛の衝動</t>
    <phoneticPr fontId="5"/>
  </si>
  <si>
    <t>青空のラブ・パレット</t>
    <phoneticPr fontId="5"/>
  </si>
  <si>
    <t>青空のラブ・パレット</t>
    <phoneticPr fontId="5"/>
  </si>
  <si>
    <t>深緑のラブ・パレット</t>
    <phoneticPr fontId="5"/>
  </si>
  <si>
    <t>深緑のラブ・パレット</t>
    <phoneticPr fontId="5"/>
  </si>
  <si>
    <t>止まらない愛の衝動</t>
    <phoneticPr fontId="5"/>
  </si>
  <si>
    <t>全部ぜーんぶ、私に頂戴！</t>
    <phoneticPr fontId="5"/>
  </si>
  <si>
    <t>黄金のラブ・パレット</t>
    <phoneticPr fontId="5"/>
  </si>
  <si>
    <t>猛攻五連撃</t>
    <phoneticPr fontId="5"/>
  </si>
  <si>
    <t>猛攻三連撃</t>
    <phoneticPr fontId="5"/>
  </si>
  <si>
    <t>黄金のラブ・パレット</t>
    <phoneticPr fontId="5"/>
  </si>
  <si>
    <t>奮迅の舞</t>
    <phoneticPr fontId="5"/>
  </si>
  <si>
    <t>ブルー・ヒール</t>
    <phoneticPr fontId="5"/>
  </si>
  <si>
    <t>ハートはぜーんぶ私のもの！</t>
    <phoneticPr fontId="5"/>
  </si>
  <si>
    <t>link</t>
  </si>
  <si>
    <t>unit</t>
  </si>
  <si>
    <t>failure</t>
    <phoneticPr fontId="5"/>
  </si>
  <si>
    <t>ユニコーンは行動頻度を短縮したり
連続攻撃など先の読めない行動をします
HPの管理には気をつけましょう</t>
    <phoneticPr fontId="5"/>
  </si>
  <si>
    <t>メルクシャはパネル変換で妨害を行います
ハートパネルをお邪魔パネルに変換するので
ハートパネルはこまめに消しておきましょう</t>
    <phoneticPr fontId="5"/>
  </si>
  <si>
    <t>メルクシャはパネル変換で妨害を行います
ハートパネルをお邪魔パネルに変換するので
ハートパネルはこまめに消しておきましょう</t>
    <phoneticPr fontId="5"/>
  </si>
  <si>
    <t>メルクシャはお邪魔パネルを吸収して強力な
攻撃を行います
変換スキルを持つユニットや
フィーバーをうまく活用しましょう</t>
    <phoneticPr fontId="5"/>
  </si>
  <si>
    <t>メルクシャはお邪魔パネルを吸収して強力な
攻撃を行います
変換スキルを持つユニットや
フィーバーをうまく活用しましょう</t>
    <phoneticPr fontId="5"/>
  </si>
  <si>
    <t>ハートはぜーんぶひとりじめ！</t>
    <phoneticPr fontId="5"/>
  </si>
  <si>
    <t>ユニコーンは行動頻度を短縮したり
連続攻撃など先の読めない行動をします
HPの管理には気をつけましょう</t>
    <phoneticPr fontId="5"/>
  </si>
  <si>
    <t>メルクシャはお邪魔パネルを吸収して強力な
攻撃を行います
変換スキルを持つユニットや
フィーバーをうまく活用しましょう</t>
    <phoneticPr fontId="5"/>
  </si>
  <si>
    <t>メルクシャはパネル変換で妨害を行います
ハートパネルをお邪魔パネルに変換するので
ハートパネルはこまめに消しておきましょう</t>
    <phoneticPr fontId="5"/>
  </si>
  <si>
    <t>ユニコーンは行動頻度を短縮したり
連続攻撃など先の読めない行動をします
HPの管理には気をつけましょう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</si>
</sst>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4.4"/>
      <color rgb="FF0000FF"/>
      <name val="Arial"/>
    </font>
    <font>
      <sz val="6"/>
      <name val="MS PGothic"/>
      <family val="3"/>
      <charset val="128"/>
    </font>
    <font>
      <sz val="14.4"/>
      <color theme="1"/>
      <name val="Arial"/>
    </font>
  </fonts>
  <fills count="3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 tint="-4.9989318521683403E-2"/>
        <bgColor rgb="FF000000"/>
      </patternFill>
    </fill>
  </fills>
  <borders count="4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double">
        <color auto="1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double">
        <color auto="1"/>
      </bottom>
      <diagonal/>
    </border>
    <border>
      <left style="thin">
        <color indexed="8"/>
      </left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/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70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19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0" borderId="12" xfId="0" applyFont="1" applyFill="1" applyBorder="1" applyAlignment="1">
      <alignment vertical="center"/>
    </xf>
    <xf numFmtId="0" fontId="16" fillId="0" borderId="12" xfId="0" applyFont="1" applyFill="1" applyBorder="1" applyAlignment="1">
      <alignment horizontal="left" vertical="center"/>
    </xf>
    <xf numFmtId="0" fontId="16" fillId="0" borderId="12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vertical="center"/>
    </xf>
    <xf numFmtId="14" fontId="16" fillId="0" borderId="12" xfId="0" applyNumberFormat="1" applyFont="1" applyFill="1" applyBorder="1" applyAlignment="1">
      <alignment horizontal="left" vertical="center"/>
    </xf>
    <xf numFmtId="0" fontId="16" fillId="0" borderId="23" xfId="0" applyFont="1" applyFill="1" applyBorder="1" applyAlignment="1">
      <alignment vertical="center"/>
    </xf>
    <xf numFmtId="0" fontId="16" fillId="0" borderId="23" xfId="0" applyFont="1" applyFill="1" applyBorder="1" applyAlignment="1">
      <alignment horizontal="left" vertical="center"/>
    </xf>
    <xf numFmtId="0" fontId="16" fillId="0" borderId="23" xfId="0" applyFont="1" applyFill="1" applyBorder="1" applyAlignment="1">
      <alignment horizontal="left" vertical="center" wrapText="1"/>
    </xf>
    <xf numFmtId="0" fontId="16" fillId="3" borderId="23" xfId="0" applyFont="1" applyFill="1" applyBorder="1" applyAlignment="1">
      <alignment horizontal="left" vertical="center" wrapText="1"/>
    </xf>
    <xf numFmtId="0" fontId="16" fillId="3" borderId="23" xfId="0" applyFont="1" applyFill="1" applyBorder="1" applyAlignment="1">
      <alignment vertical="center"/>
    </xf>
    <xf numFmtId="14" fontId="16" fillId="0" borderId="23" xfId="0" applyNumberFormat="1" applyFont="1" applyFill="1" applyBorder="1" applyAlignment="1">
      <alignment horizontal="left" vertical="center"/>
    </xf>
    <xf numFmtId="0" fontId="16" fillId="0" borderId="25" xfId="0" applyFont="1" applyFill="1" applyBorder="1" applyAlignment="1">
      <alignment horizontal="left" vertical="center"/>
    </xf>
    <xf numFmtId="0" fontId="16" fillId="0" borderId="26" xfId="0" applyFont="1" applyBorder="1" applyAlignment="1">
      <alignment vertical="center"/>
    </xf>
    <xf numFmtId="0" fontId="16" fillId="0" borderId="25" xfId="0" applyFont="1" applyFill="1" applyBorder="1" applyAlignment="1">
      <alignment horizontal="left" vertical="center" wrapText="1"/>
    </xf>
    <xf numFmtId="0" fontId="16" fillId="3" borderId="25" xfId="0" applyFont="1" applyFill="1" applyBorder="1" applyAlignment="1">
      <alignment horizontal="left" vertical="center" wrapText="1"/>
    </xf>
    <xf numFmtId="0" fontId="16" fillId="3" borderId="25" xfId="0" applyFont="1" applyFill="1" applyBorder="1" applyAlignment="1">
      <alignment vertical="center"/>
    </xf>
    <xf numFmtId="14" fontId="16" fillId="0" borderId="25" xfId="0" applyNumberFormat="1" applyFont="1" applyFill="1" applyBorder="1" applyAlignment="1">
      <alignment horizontal="left" vertical="center"/>
    </xf>
    <xf numFmtId="0" fontId="16" fillId="0" borderId="27" xfId="0" applyFont="1" applyFill="1" applyBorder="1" applyAlignment="1">
      <alignment horizontal="left" vertical="center" wrapText="1"/>
    </xf>
    <xf numFmtId="0" fontId="14" fillId="7" borderId="24" xfId="0" applyFont="1" applyFill="1" applyBorder="1" applyAlignment="1">
      <alignment vertical="center"/>
    </xf>
    <xf numFmtId="0" fontId="14" fillId="7" borderId="0" xfId="0" applyFont="1" applyFill="1" applyBorder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2" borderId="12" xfId="0" applyFont="1" applyFill="1" applyBorder="1" applyAlignment="1">
      <alignment vertical="center"/>
    </xf>
    <xf numFmtId="0" fontId="16" fillId="32" borderId="23" xfId="0" applyFont="1" applyFill="1" applyBorder="1" applyAlignment="1">
      <alignment vertical="center"/>
    </xf>
    <xf numFmtId="0" fontId="52" fillId="0" borderId="27" xfId="0" applyFont="1" applyBorder="1"/>
    <xf numFmtId="0" fontId="52" fillId="0" borderId="25" xfId="0" applyFont="1" applyBorder="1"/>
    <xf numFmtId="0" fontId="52" fillId="0" borderId="23" xfId="0" applyFont="1" applyBorder="1"/>
    <xf numFmtId="0" fontId="54" fillId="0" borderId="0" xfId="0" applyFont="1"/>
    <xf numFmtId="0" fontId="54" fillId="0" borderId="7" xfId="0" applyFont="1" applyBorder="1"/>
    <xf numFmtId="0" fontId="54" fillId="0" borderId="23" xfId="0" applyFont="1" applyBorder="1"/>
    <xf numFmtId="0" fontId="54" fillId="0" borderId="12" xfId="0" applyFont="1" applyBorder="1"/>
    <xf numFmtId="0" fontId="16" fillId="0" borderId="2" xfId="0" applyFont="1" applyFill="1" applyBorder="1" applyAlignment="1">
      <alignment vertical="center"/>
    </xf>
    <xf numFmtId="0" fontId="52" fillId="0" borderId="12" xfId="0" applyFont="1" applyBorder="1"/>
    <xf numFmtId="0" fontId="16" fillId="0" borderId="2" xfId="0" applyFont="1" applyFill="1" applyBorder="1" applyAlignment="1">
      <alignment horizontal="left" vertical="center"/>
    </xf>
    <xf numFmtId="14" fontId="16" fillId="0" borderId="2" xfId="0" applyNumberFormat="1" applyFont="1" applyFill="1" applyBorder="1" applyAlignment="1">
      <alignment horizontal="left" vertical="center"/>
    </xf>
    <xf numFmtId="0" fontId="16" fillId="33" borderId="7" xfId="0" applyFont="1" applyFill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8" fillId="0" borderId="28" xfId="0" applyFont="1" applyBorder="1" applyAlignment="1">
      <alignment vertical="center"/>
    </xf>
    <xf numFmtId="177" fontId="8" fillId="0" borderId="28" xfId="0" applyNumberFormat="1" applyFont="1" applyBorder="1" applyAlignment="1">
      <alignment vertical="center"/>
    </xf>
    <xf numFmtId="1" fontId="32" fillId="31" borderId="12" xfId="0" applyNumberFormat="1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4" fillId="0" borderId="29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176" fontId="4" fillId="0" borderId="30" xfId="0" applyNumberFormat="1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6" fillId="5" borderId="30" xfId="0" applyFont="1" applyFill="1" applyBorder="1" applyAlignment="1">
      <alignment vertical="center"/>
    </xf>
    <xf numFmtId="0" fontId="6" fillId="0" borderId="23" xfId="0" applyFont="1" applyFill="1" applyBorder="1" applyAlignment="1">
      <alignment vertical="center"/>
    </xf>
    <xf numFmtId="0" fontId="4" fillId="0" borderId="23" xfId="0" applyFont="1" applyBorder="1" applyAlignment="1">
      <alignment horizontal="center" vertical="center"/>
    </xf>
    <xf numFmtId="0" fontId="6" fillId="5" borderId="31" xfId="0" applyFont="1" applyFill="1" applyBorder="1" applyAlignment="1">
      <alignment vertical="center"/>
    </xf>
    <xf numFmtId="0" fontId="8" fillId="0" borderId="32" xfId="0" applyFont="1" applyBorder="1" applyAlignment="1">
      <alignment vertical="center"/>
    </xf>
    <xf numFmtId="177" fontId="8" fillId="0" borderId="32" xfId="0" applyNumberFormat="1" applyFont="1" applyBorder="1" applyAlignment="1">
      <alignment vertical="center"/>
    </xf>
    <xf numFmtId="1" fontId="32" fillId="31" borderId="23" xfId="0" applyNumberFormat="1" applyFont="1" applyFill="1" applyBorder="1" applyAlignment="1">
      <alignment vertical="center"/>
    </xf>
    <xf numFmtId="0" fontId="4" fillId="0" borderId="33" xfId="0" applyFont="1" applyBorder="1" applyAlignment="1">
      <alignment vertical="center"/>
    </xf>
    <xf numFmtId="0" fontId="4" fillId="3" borderId="23" xfId="0" applyFont="1" applyFill="1" applyBorder="1" applyAlignment="1">
      <alignment vertical="center"/>
    </xf>
    <xf numFmtId="0" fontId="4" fillId="0" borderId="23" xfId="0" applyFont="1" applyFill="1" applyBorder="1" applyAlignment="1">
      <alignment vertical="center"/>
    </xf>
    <xf numFmtId="0" fontId="4" fillId="0" borderId="34" xfId="0" applyFont="1" applyBorder="1" applyAlignment="1">
      <alignment vertical="center"/>
    </xf>
    <xf numFmtId="0" fontId="4" fillId="0" borderId="23" xfId="0" applyFont="1" applyBorder="1" applyAlignment="1">
      <alignment vertical="center"/>
    </xf>
    <xf numFmtId="177" fontId="8" fillId="0" borderId="23" xfId="0" applyNumberFormat="1" applyFont="1" applyBorder="1" applyAlignment="1">
      <alignment vertical="center"/>
    </xf>
    <xf numFmtId="0" fontId="6" fillId="5" borderId="33" xfId="0" applyFont="1" applyFill="1" applyBorder="1" applyAlignment="1">
      <alignment vertical="center"/>
    </xf>
    <xf numFmtId="0" fontId="6" fillId="5" borderId="36" xfId="0" applyFont="1" applyFill="1" applyBorder="1" applyAlignment="1">
      <alignment vertical="center"/>
    </xf>
    <xf numFmtId="176" fontId="4" fillId="0" borderId="37" xfId="0" applyNumberFormat="1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6" fillId="5" borderId="37" xfId="0" applyFont="1" applyFill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6" fillId="5" borderId="38" xfId="0" applyFont="1" applyFill="1" applyBorder="1" applyAlignment="1">
      <alignment vertical="center"/>
    </xf>
    <xf numFmtId="0" fontId="6" fillId="5" borderId="35" xfId="0" applyFont="1" applyFill="1" applyBorder="1" applyAlignment="1">
      <alignment vertical="center"/>
    </xf>
    <xf numFmtId="0" fontId="16" fillId="33" borderId="12" xfId="0" applyFont="1" applyFill="1" applyBorder="1" applyAlignment="1">
      <alignment vertical="center"/>
    </xf>
    <xf numFmtId="0" fontId="54" fillId="33" borderId="12" xfId="0" applyFont="1" applyFill="1" applyBorder="1"/>
    <xf numFmtId="0" fontId="16" fillId="33" borderId="12" xfId="0" applyFont="1" applyFill="1" applyBorder="1" applyAlignment="1">
      <alignment horizontal="left" vertical="center"/>
    </xf>
    <xf numFmtId="0" fontId="16" fillId="33" borderId="12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horizontal="left" vertical="center"/>
    </xf>
    <xf numFmtId="0" fontId="16" fillId="3" borderId="23" xfId="0" applyFont="1" applyFill="1" applyBorder="1" applyAlignment="1">
      <alignment horizontal="left" vertical="center"/>
    </xf>
    <xf numFmtId="0" fontId="16" fillId="33" borderId="25" xfId="0" applyFont="1" applyFill="1" applyBorder="1" applyAlignment="1">
      <alignment vertical="center"/>
    </xf>
    <xf numFmtId="0" fontId="16" fillId="3" borderId="25" xfId="0" applyFont="1" applyFill="1" applyBorder="1" applyAlignment="1">
      <alignment horizontal="left" vertical="center"/>
    </xf>
    <xf numFmtId="0" fontId="16" fillId="0" borderId="25" xfId="0" applyFont="1" applyFill="1" applyBorder="1" applyAlignment="1">
      <alignment vertical="center"/>
    </xf>
    <xf numFmtId="0" fontId="0" fillId="0" borderId="12" xfId="0" applyBorder="1"/>
    <xf numFmtId="0" fontId="0" fillId="3" borderId="12" xfId="0" applyFill="1" applyBorder="1"/>
    <xf numFmtId="0" fontId="6" fillId="5" borderId="12" xfId="0" applyFont="1" applyFill="1" applyBorder="1" applyAlignment="1">
      <alignment vertical="center"/>
    </xf>
    <xf numFmtId="0" fontId="0" fillId="0" borderId="23" xfId="0" applyBorder="1"/>
    <xf numFmtId="0" fontId="0" fillId="3" borderId="23" xfId="0" applyFill="1" applyBorder="1"/>
    <xf numFmtId="0" fontId="6" fillId="5" borderId="23" xfId="0" applyFont="1" applyFill="1" applyBorder="1" applyAlignment="1">
      <alignment vertical="center"/>
    </xf>
    <xf numFmtId="0" fontId="0" fillId="3" borderId="25" xfId="0" applyFill="1" applyBorder="1"/>
    <xf numFmtId="0" fontId="6" fillId="5" borderId="25" xfId="0" applyFont="1" applyFill="1" applyBorder="1" applyAlignment="1">
      <alignment vertical="center"/>
    </xf>
    <xf numFmtId="0" fontId="0" fillId="34" borderId="25" xfId="0" applyFill="1" applyBorder="1"/>
    <xf numFmtId="0" fontId="0" fillId="34" borderId="7" xfId="0" applyFill="1" applyBorder="1"/>
    <xf numFmtId="0" fontId="0" fillId="34" borderId="23" xfId="0" applyFill="1" applyBorder="1"/>
    <xf numFmtId="0" fontId="26" fillId="0" borderId="39" xfId="0" applyFont="1" applyBorder="1"/>
    <xf numFmtId="0" fontId="26" fillId="0" borderId="12" xfId="0" applyFont="1" applyBorder="1"/>
    <xf numFmtId="0" fontId="26" fillId="0" borderId="40" xfId="0" applyFont="1" applyBorder="1"/>
    <xf numFmtId="0" fontId="26" fillId="0" borderId="41" xfId="0" applyFont="1" applyBorder="1"/>
    <xf numFmtId="0" fontId="26" fillId="0" borderId="23" xfId="0" applyFont="1" applyBorder="1"/>
    <xf numFmtId="0" fontId="26" fillId="34" borderId="12" xfId="0" applyFont="1" applyFill="1" applyBorder="1"/>
    <xf numFmtId="0" fontId="26" fillId="34" borderId="23" xfId="0" applyFont="1" applyFill="1" applyBorder="1"/>
    <xf numFmtId="0" fontId="26" fillId="34" borderId="40" xfId="0" applyFont="1" applyFill="1" applyBorder="1"/>
    <xf numFmtId="0" fontId="0" fillId="34" borderId="12" xfId="0" applyFill="1" applyBorder="1"/>
    <xf numFmtId="0" fontId="26" fillId="35" borderId="23" xfId="0" applyFont="1" applyFill="1" applyBorder="1" applyAlignment="1">
      <alignment vertical="center"/>
    </xf>
    <xf numFmtId="0" fontId="26" fillId="36" borderId="23" xfId="0" applyFont="1" applyFill="1" applyBorder="1" applyAlignment="1">
      <alignment vertical="center"/>
    </xf>
    <xf numFmtId="0" fontId="26" fillId="35" borderId="7" xfId="0" applyFont="1" applyFill="1" applyBorder="1" applyAlignment="1">
      <alignment vertical="center"/>
    </xf>
    <xf numFmtId="0" fontId="0" fillId="0" borderId="0" xfId="0" applyAlignment="1">
      <alignment horizontal="left" indent="2"/>
    </xf>
    <xf numFmtId="0" fontId="27" fillId="0" borderId="7" xfId="0" applyFont="1" applyFill="1" applyBorder="1" applyAlignment="1">
      <alignment vertical="center"/>
    </xf>
    <xf numFmtId="0" fontId="28" fillId="0" borderId="7" xfId="0" applyFont="1" applyFill="1" applyBorder="1" applyAlignment="1">
      <alignment vertical="center"/>
    </xf>
    <xf numFmtId="0" fontId="30" fillId="0" borderId="7" xfId="0" applyFont="1" applyFill="1" applyBorder="1" applyAlignment="1">
      <alignment vertical="center"/>
    </xf>
    <xf numFmtId="0" fontId="30" fillId="30" borderId="7" xfId="0" applyFont="1" applyFill="1" applyBorder="1" applyAlignment="1">
      <alignment vertical="center"/>
    </xf>
    <xf numFmtId="0" fontId="30" fillId="14" borderId="7" xfId="0" applyFont="1" applyFill="1" applyBorder="1" applyAlignment="1">
      <alignment vertical="center"/>
    </xf>
    <xf numFmtId="0" fontId="31" fillId="0" borderId="7" xfId="0" applyFont="1" applyFill="1" applyBorder="1" applyAlignment="1">
      <alignment vertical="center"/>
    </xf>
    <xf numFmtId="0" fontId="0" fillId="0" borderId="7" xfId="0" applyBorder="1" applyAlignment="1">
      <alignment vertical="center"/>
    </xf>
    <xf numFmtId="38" fontId="16" fillId="0" borderId="7" xfId="628" applyFont="1" applyFill="1" applyBorder="1" applyAlignment="1">
      <alignment vertical="top" wrapText="1"/>
    </xf>
  </cellXfs>
  <cellStyles count="702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ukutani/Documents/BULL_data/master_excel/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1458</v>
          </cell>
        </row>
        <row r="1408">
          <cell r="A1408">
            <v>1459</v>
          </cell>
        </row>
        <row r="1409">
          <cell r="A1409">
            <v>1460</v>
          </cell>
        </row>
        <row r="1410">
          <cell r="A1410">
            <v>1461</v>
          </cell>
        </row>
        <row r="1411">
          <cell r="A1411">
            <v>1462</v>
          </cell>
        </row>
        <row r="1412">
          <cell r="A1412">
            <v>1463</v>
          </cell>
        </row>
        <row r="1413">
          <cell r="A1413">
            <v>1464</v>
          </cell>
        </row>
        <row r="1414">
          <cell r="A1414">
            <v>1465</v>
          </cell>
        </row>
        <row r="1415">
          <cell r="A1415">
            <v>1466</v>
          </cell>
        </row>
        <row r="1416">
          <cell r="A1416">
            <v>1467</v>
          </cell>
        </row>
        <row r="1417">
          <cell r="A1417">
            <v>1468</v>
          </cell>
        </row>
        <row r="1418">
          <cell r="A1418">
            <v>1469</v>
          </cell>
        </row>
        <row r="1419">
          <cell r="A1419">
            <v>1470</v>
          </cell>
        </row>
        <row r="1420">
          <cell r="A1420">
            <v>1488</v>
          </cell>
        </row>
        <row r="1421">
          <cell r="A1421">
            <v>1489</v>
          </cell>
        </row>
        <row r="1422">
          <cell r="A1422">
            <v>1504</v>
          </cell>
        </row>
        <row r="1423">
          <cell r="A1423">
            <v>1505</v>
          </cell>
        </row>
        <row r="1424">
          <cell r="A1424">
            <v>1506</v>
          </cell>
        </row>
        <row r="1425">
          <cell r="A1425">
            <v>1507</v>
          </cell>
        </row>
        <row r="1426">
          <cell r="A1426">
            <v>1508</v>
          </cell>
        </row>
        <row r="1427">
          <cell r="A1427">
            <v>1509</v>
          </cell>
        </row>
        <row r="1428">
          <cell r="A1428">
            <v>1510</v>
          </cell>
        </row>
        <row r="1429">
          <cell r="A1429">
            <v>1511</v>
          </cell>
        </row>
        <row r="1430">
          <cell r="A1430">
            <v>1512</v>
          </cell>
        </row>
        <row r="1431">
          <cell r="A1431">
            <v>1513</v>
          </cell>
        </row>
        <row r="1432">
          <cell r="A1432">
            <v>1514</v>
          </cell>
        </row>
        <row r="1433">
          <cell r="A1433">
            <v>1515</v>
          </cell>
        </row>
        <row r="1434">
          <cell r="A1434">
            <v>1516</v>
          </cell>
        </row>
        <row r="1435">
          <cell r="A1435">
            <v>1517</v>
          </cell>
        </row>
        <row r="1436">
          <cell r="A1436">
            <v>1518</v>
          </cell>
        </row>
        <row r="1437">
          <cell r="A1437">
            <v>1519</v>
          </cell>
        </row>
        <row r="1438">
          <cell r="A1438">
            <v>1520</v>
          </cell>
        </row>
        <row r="1439">
          <cell r="A1439">
            <v>1521</v>
          </cell>
        </row>
        <row r="1440">
          <cell r="A1440">
            <v>1522</v>
          </cell>
        </row>
        <row r="1441">
          <cell r="A1441">
            <v>1523</v>
          </cell>
        </row>
        <row r="1442">
          <cell r="A1442">
            <v>1524</v>
          </cell>
        </row>
        <row r="1443">
          <cell r="A1443">
            <v>1525</v>
          </cell>
        </row>
        <row r="1444">
          <cell r="A1444">
            <v>1526</v>
          </cell>
        </row>
        <row r="1445">
          <cell r="A1445">
            <v>1527</v>
          </cell>
        </row>
        <row r="1446">
          <cell r="A1446">
            <v>1528</v>
          </cell>
        </row>
        <row r="1447">
          <cell r="A1447">
            <v>1529</v>
          </cell>
        </row>
        <row r="1448">
          <cell r="A1448">
            <v>1530</v>
          </cell>
        </row>
        <row r="1449">
          <cell r="A1449">
            <v>1531</v>
          </cell>
        </row>
        <row r="1450">
          <cell r="A1450">
            <v>1532</v>
          </cell>
        </row>
        <row r="1451">
          <cell r="A1451">
            <v>1533</v>
          </cell>
        </row>
        <row r="1452">
          <cell r="A1452">
            <v>1534</v>
          </cell>
        </row>
        <row r="1453">
          <cell r="A1453">
            <v>1535</v>
          </cell>
        </row>
        <row r="1454">
          <cell r="A1454">
            <v>1536</v>
          </cell>
        </row>
        <row r="1455">
          <cell r="A1455">
            <v>1537</v>
          </cell>
        </row>
        <row r="1456">
          <cell r="A1456">
            <v>1538</v>
          </cell>
        </row>
        <row r="1457">
          <cell r="A1457">
            <v>1539</v>
          </cell>
        </row>
        <row r="1458">
          <cell r="A1458">
            <v>1540</v>
          </cell>
        </row>
        <row r="1459">
          <cell r="A1459">
            <v>1541</v>
          </cell>
        </row>
        <row r="1460">
          <cell r="A1460">
            <v>1542</v>
          </cell>
        </row>
        <row r="1461">
          <cell r="A1461">
            <v>1543</v>
          </cell>
        </row>
        <row r="1462">
          <cell r="A1462">
            <v>1544</v>
          </cell>
        </row>
        <row r="1463">
          <cell r="A1463">
            <v>1545</v>
          </cell>
        </row>
        <row r="1464">
          <cell r="A1464">
            <v>1546</v>
          </cell>
        </row>
        <row r="1465">
          <cell r="A1465">
            <v>1547</v>
          </cell>
        </row>
        <row r="1466">
          <cell r="A1466">
            <v>1548</v>
          </cell>
        </row>
        <row r="1467">
          <cell r="A1467">
            <v>1549</v>
          </cell>
        </row>
        <row r="1468">
          <cell r="A1468">
            <v>1550</v>
          </cell>
        </row>
        <row r="1469">
          <cell r="A1469">
            <v>5001</v>
          </cell>
        </row>
        <row r="1470">
          <cell r="A1470">
            <v>5002</v>
          </cell>
        </row>
        <row r="1471">
          <cell r="A1471">
            <v>5003</v>
          </cell>
        </row>
        <row r="1472">
          <cell r="A1472">
            <v>5004</v>
          </cell>
        </row>
        <row r="1473">
          <cell r="A1473">
            <v>5005</v>
          </cell>
        </row>
        <row r="1474">
          <cell r="A1474">
            <v>5006</v>
          </cell>
        </row>
        <row r="1475">
          <cell r="A1475">
            <v>5007</v>
          </cell>
        </row>
        <row r="1476">
          <cell r="A1476">
            <v>5008</v>
          </cell>
        </row>
        <row r="1477">
          <cell r="A1477">
            <v>6001</v>
          </cell>
        </row>
        <row r="1478">
          <cell r="A1478">
            <v>6002</v>
          </cell>
        </row>
        <row r="1479">
          <cell r="A1479">
            <v>6003</v>
          </cell>
        </row>
        <row r="1480">
          <cell r="A1480">
            <v>6004</v>
          </cell>
        </row>
        <row r="1481">
          <cell r="A1481">
            <v>6005</v>
          </cell>
        </row>
        <row r="1482">
          <cell r="A1482">
            <v>6006</v>
          </cell>
        </row>
        <row r="1483">
          <cell r="A1483">
            <v>6007</v>
          </cell>
        </row>
        <row r="1484">
          <cell r="A1484">
            <v>6008</v>
          </cell>
        </row>
        <row r="1485">
          <cell r="A1485">
            <v>6009</v>
          </cell>
        </row>
        <row r="1486">
          <cell r="A1486">
            <v>6010</v>
          </cell>
        </row>
        <row r="1487">
          <cell r="A1487">
            <v>6011</v>
          </cell>
        </row>
        <row r="1488">
          <cell r="A1488">
            <v>6012</v>
          </cell>
        </row>
        <row r="1489">
          <cell r="A1489">
            <v>6013</v>
          </cell>
        </row>
        <row r="1490">
          <cell r="A1490">
            <v>6014</v>
          </cell>
        </row>
        <row r="1491">
          <cell r="A1491">
            <v>6015</v>
          </cell>
        </row>
        <row r="1492">
          <cell r="A1492">
            <v>6016</v>
          </cell>
        </row>
        <row r="1493">
          <cell r="A1493">
            <v>6017</v>
          </cell>
        </row>
        <row r="1494">
          <cell r="A1494">
            <v>6018</v>
          </cell>
        </row>
        <row r="1495">
          <cell r="A1495">
            <v>6019</v>
          </cell>
        </row>
        <row r="1496">
          <cell r="A1496">
            <v>6020</v>
          </cell>
        </row>
        <row r="1497">
          <cell r="A1497">
            <v>8001</v>
          </cell>
        </row>
        <row r="1498">
          <cell r="A1498">
            <v>8002</v>
          </cell>
        </row>
        <row r="1499">
          <cell r="A1499">
            <v>8003</v>
          </cell>
        </row>
        <row r="1500">
          <cell r="A1500">
            <v>8004</v>
          </cell>
        </row>
        <row r="1501">
          <cell r="A1501">
            <v>8005</v>
          </cell>
        </row>
        <row r="1502">
          <cell r="A1502">
            <v>8006</v>
          </cell>
        </row>
        <row r="1503">
          <cell r="A1503">
            <v>8007</v>
          </cell>
        </row>
        <row r="1504">
          <cell r="A1504">
            <v>8008</v>
          </cell>
        </row>
        <row r="1505">
          <cell r="A1505">
            <v>8009</v>
          </cell>
        </row>
        <row r="1506">
          <cell r="A1506">
            <v>8010</v>
          </cell>
        </row>
        <row r="1507">
          <cell r="A1507">
            <v>8011</v>
          </cell>
        </row>
        <row r="1508">
          <cell r="A1508">
            <v>8012</v>
          </cell>
        </row>
        <row r="1509">
          <cell r="A1509">
            <v>8013</v>
          </cell>
        </row>
        <row r="1510">
          <cell r="A1510">
            <v>8014</v>
          </cell>
        </row>
        <row r="1511">
          <cell r="A1511">
            <v>8015</v>
          </cell>
        </row>
        <row r="1512">
          <cell r="A1512">
            <v>8016</v>
          </cell>
        </row>
        <row r="1513">
          <cell r="A1513">
            <v>8017</v>
          </cell>
        </row>
        <row r="1514">
          <cell r="A1514">
            <v>8018</v>
          </cell>
        </row>
        <row r="1515">
          <cell r="A1515">
            <v>8019</v>
          </cell>
        </row>
        <row r="1516">
          <cell r="A1516">
            <v>8020</v>
          </cell>
        </row>
        <row r="1517">
          <cell r="A1517">
            <v>8021</v>
          </cell>
        </row>
        <row r="1518">
          <cell r="A1518">
            <v>8022</v>
          </cell>
        </row>
        <row r="1519">
          <cell r="A1519">
            <v>8023</v>
          </cell>
        </row>
        <row r="1520">
          <cell r="A1520">
            <v>8024</v>
          </cell>
        </row>
        <row r="1521">
          <cell r="A1521">
            <v>8025</v>
          </cell>
        </row>
        <row r="1522">
          <cell r="A1522">
            <v>8026</v>
          </cell>
        </row>
        <row r="1523">
          <cell r="A1523">
            <v>8027</v>
          </cell>
        </row>
        <row r="1524">
          <cell r="A1524">
            <v>8028</v>
          </cell>
        </row>
        <row r="1525">
          <cell r="A1525">
            <v>8029</v>
          </cell>
        </row>
        <row r="1526">
          <cell r="A1526">
            <v>8030</v>
          </cell>
        </row>
        <row r="1527">
          <cell r="A1527">
            <v>8031</v>
          </cell>
        </row>
        <row r="1528">
          <cell r="A1528">
            <v>8032</v>
          </cell>
        </row>
        <row r="1529">
          <cell r="A1529">
            <v>8033</v>
          </cell>
        </row>
        <row r="1530">
          <cell r="A1530">
            <v>8034</v>
          </cell>
        </row>
        <row r="1531">
          <cell r="A1531">
            <v>8035</v>
          </cell>
        </row>
        <row r="1532">
          <cell r="A1532">
            <v>8036</v>
          </cell>
        </row>
        <row r="1533">
          <cell r="A1533">
            <v>8037</v>
          </cell>
        </row>
        <row r="1534">
          <cell r="A1534">
            <v>8038</v>
          </cell>
        </row>
        <row r="1535">
          <cell r="A1535">
            <v>8039</v>
          </cell>
        </row>
        <row r="1536">
          <cell r="A1536">
            <v>8040</v>
          </cell>
        </row>
        <row r="1537">
          <cell r="A1537">
            <v>8041</v>
          </cell>
        </row>
        <row r="1538">
          <cell r="A1538">
            <v>8042</v>
          </cell>
        </row>
        <row r="1539">
          <cell r="A1539">
            <v>8043</v>
          </cell>
        </row>
        <row r="1540">
          <cell r="A1540">
            <v>8044</v>
          </cell>
        </row>
        <row r="1541">
          <cell r="A1541">
            <v>8045</v>
          </cell>
        </row>
        <row r="1542">
          <cell r="A1542">
            <v>8046</v>
          </cell>
        </row>
        <row r="1543">
          <cell r="A1543">
            <v>8047</v>
          </cell>
        </row>
        <row r="1544">
          <cell r="A1544">
            <v>8048</v>
          </cell>
        </row>
        <row r="1545">
          <cell r="A1545">
            <v>8049</v>
          </cell>
        </row>
        <row r="1546">
          <cell r="A1546">
            <v>8050</v>
          </cell>
        </row>
        <row r="1547">
          <cell r="A1547">
            <v>8051</v>
          </cell>
        </row>
        <row r="1548">
          <cell r="A1548">
            <v>8052</v>
          </cell>
        </row>
        <row r="1549">
          <cell r="A1549">
            <v>8053</v>
          </cell>
        </row>
        <row r="1550">
          <cell r="A1550">
            <v>8054</v>
          </cell>
        </row>
        <row r="1551">
          <cell r="A1551">
            <v>8055</v>
          </cell>
        </row>
        <row r="1552">
          <cell r="A1552">
            <v>8056</v>
          </cell>
        </row>
        <row r="1553">
          <cell r="A1553">
            <v>8057</v>
          </cell>
        </row>
        <row r="1554">
          <cell r="A1554">
            <v>8058</v>
          </cell>
        </row>
        <row r="1555">
          <cell r="A1555">
            <v>8059</v>
          </cell>
        </row>
        <row r="1556">
          <cell r="A1556">
            <v>8060</v>
          </cell>
        </row>
        <row r="1557">
          <cell r="A1557">
            <v>8061</v>
          </cell>
        </row>
        <row r="1558">
          <cell r="A1558">
            <v>8062</v>
          </cell>
        </row>
        <row r="1559">
          <cell r="A1559">
            <v>8063</v>
          </cell>
        </row>
        <row r="1560">
          <cell r="A1560">
            <v>8064</v>
          </cell>
        </row>
        <row r="1561">
          <cell r="A1561">
            <v>8065</v>
          </cell>
        </row>
        <row r="1562">
          <cell r="A1562">
            <v>8066</v>
          </cell>
        </row>
        <row r="1563">
          <cell r="A1563">
            <v>8067</v>
          </cell>
        </row>
        <row r="1564">
          <cell r="A1564">
            <v>8068</v>
          </cell>
        </row>
        <row r="1565">
          <cell r="A1565">
            <v>8069</v>
          </cell>
        </row>
        <row r="1566">
          <cell r="A1566">
            <v>8070</v>
          </cell>
        </row>
        <row r="1567">
          <cell r="A1567">
            <v>8071</v>
          </cell>
        </row>
        <row r="1568">
          <cell r="A1568">
            <v>8072</v>
          </cell>
        </row>
        <row r="1569">
          <cell r="A1569">
            <v>8073</v>
          </cell>
        </row>
        <row r="1570">
          <cell r="A1570">
            <v>8074</v>
          </cell>
        </row>
        <row r="1571">
          <cell r="A1571">
            <v>8075</v>
          </cell>
        </row>
        <row r="1572">
          <cell r="A1572">
            <v>8076</v>
          </cell>
        </row>
        <row r="1573">
          <cell r="A1573">
            <v>8077</v>
          </cell>
        </row>
        <row r="1574">
          <cell r="A1574">
            <v>8078</v>
          </cell>
        </row>
        <row r="1575">
          <cell r="A1575">
            <v>8079</v>
          </cell>
        </row>
        <row r="1576">
          <cell r="A1576">
            <v>8080</v>
          </cell>
        </row>
        <row r="1577">
          <cell r="A1577">
            <v>8081</v>
          </cell>
        </row>
        <row r="1578">
          <cell r="A1578">
            <v>8082</v>
          </cell>
        </row>
        <row r="1579">
          <cell r="A1579">
            <v>8083</v>
          </cell>
        </row>
        <row r="1580">
          <cell r="A1580">
            <v>8084</v>
          </cell>
        </row>
        <row r="1581">
          <cell r="A1581">
            <v>8087</v>
          </cell>
        </row>
        <row r="1582">
          <cell r="A1582">
            <v>8088</v>
          </cell>
        </row>
        <row r="1583">
          <cell r="A1583">
            <v>8089</v>
          </cell>
        </row>
        <row r="1584">
          <cell r="A1584">
            <v>8090</v>
          </cell>
        </row>
        <row r="1585">
          <cell r="A1585">
            <v>8095</v>
          </cell>
        </row>
        <row r="1586">
          <cell r="A1586">
            <v>8096</v>
          </cell>
        </row>
        <row r="1587">
          <cell r="A1587">
            <v>8097</v>
          </cell>
        </row>
        <row r="1588">
          <cell r="A1588">
            <v>8098</v>
          </cell>
        </row>
        <row r="1589">
          <cell r="A1589">
            <v>8099</v>
          </cell>
        </row>
        <row r="1590">
          <cell r="A1590">
            <v>9001</v>
          </cell>
        </row>
        <row r="1591">
          <cell r="A1591">
            <v>9002</v>
          </cell>
        </row>
        <row r="1592">
          <cell r="A1592">
            <v>9003</v>
          </cell>
        </row>
        <row r="1593">
          <cell r="A1593">
            <v>9004</v>
          </cell>
        </row>
        <row r="1594">
          <cell r="A1594">
            <v>10001</v>
          </cell>
        </row>
        <row r="1595">
          <cell r="A1595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zoomScale="110" zoomScaleNormal="110" zoomScalePageLayoutView="110" workbookViewId="0">
      <selection activeCell="A12" sqref="A1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251</v>
      </c>
      <c r="B2" s="57" t="s">
        <v>106</v>
      </c>
      <c r="C2" s="62">
        <v>20021</v>
      </c>
      <c r="D2" s="57" t="s">
        <v>107</v>
      </c>
      <c r="E2" s="56" t="str">
        <f>B2&amp;C2&amp;D2</f>
        <v>floors_20021.tmp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251</v>
      </c>
      <c r="B3" s="57" t="s">
        <v>109</v>
      </c>
      <c r="C3" s="62">
        <v>20021</v>
      </c>
      <c r="D3" s="57" t="s">
        <v>107</v>
      </c>
      <c r="E3" s="56" t="str">
        <f>B3&amp;C3&amp;D3</f>
        <v>enemy_habitats_20021.tmp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251</v>
      </c>
      <c r="B4" s="57" t="s">
        <v>111</v>
      </c>
      <c r="C4" s="62">
        <v>20021</v>
      </c>
      <c r="D4" s="57" t="s">
        <v>107</v>
      </c>
      <c r="E4" s="56" t="str">
        <f>B4&amp;C4&amp;D4</f>
        <v>enemy_habitat_S_20021.tmp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251</v>
      </c>
      <c r="B5" s="57" t="s">
        <v>113</v>
      </c>
      <c r="C5" s="62">
        <v>20021</v>
      </c>
      <c r="D5" s="57" t="s">
        <v>107</v>
      </c>
      <c r="E5" s="56" t="str">
        <f>B5&amp;C5&amp;D5</f>
        <v>enemy_skill_sets_20021.tmp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251</v>
      </c>
      <c r="B6" s="57" t="s">
        <v>115</v>
      </c>
      <c r="C6" s="62">
        <v>20021</v>
      </c>
      <c r="D6" s="57" t="s">
        <v>116</v>
      </c>
      <c r="E6" s="56" t="str">
        <f t="shared" ref="E6:E10" si="0">B6&amp;C6&amp;D6</f>
        <v>enemy_skills_tmp_20021.tmp</v>
      </c>
      <c r="F6" s="57" t="s">
        <v>90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251</v>
      </c>
      <c r="B7" s="57" t="s">
        <v>117</v>
      </c>
      <c r="C7" s="62">
        <v>20021</v>
      </c>
      <c r="D7" s="57" t="s">
        <v>107</v>
      </c>
      <c r="E7" s="56" t="str">
        <f>B7&amp;C7&amp;D7</f>
        <v>enemy_skills_i18n_20021.tmp</v>
      </c>
      <c r="F7" s="57" t="s">
        <v>118</v>
      </c>
      <c r="G7" s="58" t="s">
        <v>79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251</v>
      </c>
      <c r="B8" s="57" t="s">
        <v>119</v>
      </c>
      <c r="C8" s="62">
        <v>20021</v>
      </c>
      <c r="D8" s="57" t="s">
        <v>120</v>
      </c>
      <c r="E8" s="56" t="str">
        <f t="shared" si="0"/>
        <v>enemy_skill_triggers_20021.tmp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251</v>
      </c>
      <c r="B9" s="67" t="s">
        <v>178</v>
      </c>
      <c r="C9" s="62">
        <v>20021</v>
      </c>
      <c r="D9" s="67" t="s">
        <v>172</v>
      </c>
      <c r="E9" s="68" t="str">
        <f t="shared" si="0"/>
        <v>stage_bug_bonuses_20021.tmp</v>
      </c>
      <c r="F9" s="67" t="s">
        <v>173</v>
      </c>
      <c r="G9" s="64" t="s">
        <v>150</v>
      </c>
      <c r="H9" s="64" t="s">
        <v>174</v>
      </c>
      <c r="I9" s="64" t="s">
        <v>175</v>
      </c>
      <c r="J9" s="66" t="s">
        <v>176</v>
      </c>
      <c r="K9" s="64" t="s">
        <v>177</v>
      </c>
      <c r="L9" s="64" t="s">
        <v>156</v>
      </c>
      <c r="M9" s="64" t="s">
        <v>157</v>
      </c>
      <c r="N9" s="64" t="s">
        <v>158</v>
      </c>
      <c r="O9" s="64" t="s">
        <v>159</v>
      </c>
      <c r="P9" s="64" t="s">
        <v>160</v>
      </c>
      <c r="Q9" s="64" t="s">
        <v>161</v>
      </c>
      <c r="R9" s="64" t="s">
        <v>162</v>
      </c>
      <c r="S9" s="64" t="s">
        <v>163</v>
      </c>
      <c r="T9" s="64" t="s">
        <v>164</v>
      </c>
      <c r="U9" s="64" t="s">
        <v>165</v>
      </c>
      <c r="V9" s="64" t="s">
        <v>166</v>
      </c>
      <c r="W9" s="64" t="s">
        <v>167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251</v>
      </c>
      <c r="B10" s="67" t="s">
        <v>202</v>
      </c>
      <c r="C10" s="62">
        <v>20021</v>
      </c>
      <c r="D10" s="67" t="s">
        <v>181</v>
      </c>
      <c r="E10" s="68" t="str">
        <f t="shared" si="0"/>
        <v>stage_hints_data_c_20021.tmp</v>
      </c>
      <c r="F10" s="67" t="s">
        <v>210</v>
      </c>
      <c r="G10" s="73" t="s">
        <v>182</v>
      </c>
      <c r="H10" s="73" t="s">
        <v>174</v>
      </c>
      <c r="I10" s="74" t="s">
        <v>183</v>
      </c>
      <c r="J10" s="66" t="s">
        <v>184</v>
      </c>
      <c r="K10" s="66" t="s">
        <v>185</v>
      </c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01"/>
      <c r="AD10" s="101"/>
    </row>
    <row r="11" spans="1:30" s="75" customFormat="1" x14ac:dyDescent="0.15">
      <c r="A11" s="61" t="s">
        <v>251</v>
      </c>
      <c r="B11" s="67" t="s">
        <v>203</v>
      </c>
      <c r="C11" s="62">
        <v>20021</v>
      </c>
      <c r="D11" s="67" t="s">
        <v>172</v>
      </c>
      <c r="E11" s="68" t="str">
        <f t="shared" ref="E11:E13" si="1">B11&amp;C11&amp;D11</f>
        <v>stage_hints_data_f_20021.tmp</v>
      </c>
      <c r="F11" s="67" t="s">
        <v>212</v>
      </c>
      <c r="G11" s="73" t="s">
        <v>182</v>
      </c>
      <c r="H11" s="73" t="s">
        <v>174</v>
      </c>
      <c r="I11" s="74" t="s">
        <v>183</v>
      </c>
      <c r="J11" s="66" t="s">
        <v>184</v>
      </c>
      <c r="K11" s="66" t="s">
        <v>185</v>
      </c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  <c r="AD11" s="101"/>
    </row>
    <row r="12" spans="1:30" s="75" customFormat="1" x14ac:dyDescent="0.15">
      <c r="A12" s="61" t="s">
        <v>251</v>
      </c>
      <c r="B12" s="67" t="s">
        <v>204</v>
      </c>
      <c r="C12" s="62">
        <v>20021</v>
      </c>
      <c r="D12" s="67" t="s">
        <v>172</v>
      </c>
      <c r="E12" s="68" t="str">
        <f t="shared" si="1"/>
        <v>stage_hints_i18n_20021.tmp</v>
      </c>
      <c r="F12" s="67" t="s">
        <v>213</v>
      </c>
      <c r="G12" s="74" t="s">
        <v>205</v>
      </c>
      <c r="H12" s="93" t="s">
        <v>206</v>
      </c>
      <c r="I12" s="73" t="s">
        <v>207</v>
      </c>
      <c r="J12" s="102" t="s">
        <v>208</v>
      </c>
      <c r="K12" s="66" t="s">
        <v>209</v>
      </c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101"/>
    </row>
    <row r="13" spans="1:30" s="75" customFormat="1" x14ac:dyDescent="0.15">
      <c r="A13" s="61" t="s">
        <v>188</v>
      </c>
      <c r="B13" s="67" t="s">
        <v>248</v>
      </c>
      <c r="C13" s="62">
        <v>20021</v>
      </c>
      <c r="D13" s="67" t="s">
        <v>229</v>
      </c>
      <c r="E13" s="68" t="str">
        <f t="shared" si="1"/>
        <v>stage_bonuses_20021.tmp</v>
      </c>
      <c r="F13" s="67" t="s">
        <v>228</v>
      </c>
      <c r="G13" s="73" t="s">
        <v>230</v>
      </c>
      <c r="H13" s="73" t="s">
        <v>231</v>
      </c>
      <c r="I13" s="73" t="s">
        <v>232</v>
      </c>
      <c r="J13" s="73" t="s">
        <v>233</v>
      </c>
      <c r="K13" s="73" t="s">
        <v>234</v>
      </c>
      <c r="L13" s="73" t="s">
        <v>235</v>
      </c>
      <c r="M13" s="73" t="s">
        <v>236</v>
      </c>
      <c r="N13" s="73" t="s">
        <v>237</v>
      </c>
      <c r="O13" s="73" t="s">
        <v>238</v>
      </c>
      <c r="P13" s="73" t="s">
        <v>239</v>
      </c>
      <c r="Q13" s="73" t="s">
        <v>240</v>
      </c>
      <c r="R13" s="73" t="s">
        <v>241</v>
      </c>
      <c r="S13" s="73" t="s">
        <v>242</v>
      </c>
      <c r="T13" s="73" t="s">
        <v>243</v>
      </c>
      <c r="U13" s="73" t="s">
        <v>244</v>
      </c>
      <c r="V13" s="73" t="s">
        <v>245</v>
      </c>
      <c r="W13" s="73" t="s">
        <v>246</v>
      </c>
      <c r="X13" s="73" t="s">
        <v>247</v>
      </c>
      <c r="Y13" s="101"/>
      <c r="Z13" s="101"/>
      <c r="AA13" s="101"/>
      <c r="AB13" s="101"/>
      <c r="AC13" s="101"/>
      <c r="AD13" s="101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J18" sqref="J18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20021_1-1</v>
      </c>
      <c r="B2" s="16" t="str">
        <f>IF(COUNTIF(enemy_habitats!$H:$H,A2),"OK","NG")</f>
        <v>OK</v>
      </c>
      <c r="C2" s="7">
        <v>20021</v>
      </c>
      <c r="D2" s="11" t="str">
        <f ca="1">VLOOKUP($C2,OFFSET([2]quests!$A$1,0,0,COUNTA([2]quests!$A:$A),MATCH(D$1,[2]quests!$1:$1,0)-MATCH($C$1,[2]quests!$1:$1,0)+1),MATCH(D$1,[2]quests!$1:$1,0)-MATCH($C$1,[2]quests!$1:$1,0)+1,FALSE)</f>
        <v>ペインター・オブ・ラブ</v>
      </c>
      <c r="E2" s="18" t="str">
        <f ca="1">VLOOKUP($C2,OFFSET([2]quests!$A$1,0,0,COUNTA([2]quests!$A:$A),MATCH(E$1,[2]quests!$1:$1,0)-MATCH($C$1,[2]quests!$1:$1,0)+1),MATCH(E$1,[2]quests!$1:$1,0)-MATCH($C$1,[2]quests!$1:$1,0)+1,FALSE)</f>
        <v>画家シリーズ01</v>
      </c>
      <c r="F2" s="21">
        <v>1</v>
      </c>
      <c r="G2" s="23" t="str">
        <f>C2&amp;"_"&amp;F2</f>
        <v>20021_1</v>
      </c>
      <c r="H2" s="15" t="str">
        <f ca="1">VLOOKUP($G2,OFFSET([2]stages!$A$1,0,0,COUNTA([2]stages!$A:$A),MATCH(H$1,[2]stages!$2:$2,0)-MATCH($G$1,[2]stages!$2:$2,0)+1),MATCH(H$1,[2]stages!$2:$2,0)-MATCH($G$1,[2]stages!$2:$2,0)+1,FALSE)</f>
        <v>【初級】ペインター・オブ・ラブ</v>
      </c>
      <c r="I2" s="21">
        <v>1</v>
      </c>
      <c r="J2" s="12">
        <v>45</v>
      </c>
      <c r="K2" s="12">
        <v>45</v>
      </c>
    </row>
    <row r="3" spans="1:11" ht="21" customHeight="1" x14ac:dyDescent="0.15">
      <c r="A3" s="16" t="str">
        <f t="shared" ref="A3:A13" si="0">G3&amp;"-"&amp;I3</f>
        <v>20021_1-2</v>
      </c>
      <c r="B3" s="16" t="str">
        <f>IF(COUNTIF(enemy_habitats!$H:$H,A3),"OK","NG")</f>
        <v>OK</v>
      </c>
      <c r="C3" s="7">
        <v>20021</v>
      </c>
      <c r="D3" s="11" t="str">
        <f ca="1">VLOOKUP($C3,OFFSET([2]quests!$A$1,0,0,COUNTA([2]quests!$A:$A),MATCH(D$1,[2]quests!$1:$1,0)-MATCH($C$1,[2]quests!$1:$1,0)+1),MATCH(D$1,[2]quests!$1:$1,0)-MATCH($C$1,[2]quests!$1:$1,0)+1,FALSE)</f>
        <v>ペインター・オブ・ラブ</v>
      </c>
      <c r="E3" s="18" t="str">
        <f ca="1">VLOOKUP($C3,OFFSET([2]quests!$A$1,0,0,COUNTA([2]quests!$A:$A),MATCH(E$1,[2]quests!$1:$1,0)-MATCH($C$1,[2]quests!$1:$1,0)+1),MATCH(E$1,[2]quests!$1:$1,0)-MATCH($C$1,[2]quests!$1:$1,0)+1,FALSE)</f>
        <v>画家シリーズ01</v>
      </c>
      <c r="F3" s="21">
        <v>1</v>
      </c>
      <c r="G3" s="23" t="str">
        <f t="shared" ref="G3:G13" si="1">C3&amp;"_"&amp;F3</f>
        <v>20021_1</v>
      </c>
      <c r="H3" s="15" t="str">
        <f ca="1">VLOOKUP($G3,OFFSET([2]stages!$A$1,0,0,COUNTA([2]stages!$A:$A),MATCH(H$1,[2]stages!$2:$2,0)-MATCH($G$1,[2]stages!$2:$2,0)+1),MATCH(H$1,[2]stages!$2:$2,0)-MATCH($G$1,[2]stages!$2:$2,0)+1,FALSE)</f>
        <v>【初級】ペインター・オブ・ラブ</v>
      </c>
      <c r="I3" s="21">
        <v>2</v>
      </c>
      <c r="J3" s="12">
        <v>30</v>
      </c>
      <c r="K3" s="12">
        <v>30</v>
      </c>
    </row>
    <row r="4" spans="1:11" ht="21" customHeight="1" x14ac:dyDescent="0.15">
      <c r="A4" s="16" t="str">
        <f t="shared" si="0"/>
        <v>20021_1-3</v>
      </c>
      <c r="B4" s="16" t="str">
        <f>IF(COUNTIF(enemy_habitats!$H:$H,A4),"OK","NG")</f>
        <v>OK</v>
      </c>
      <c r="C4" s="7">
        <v>20021</v>
      </c>
      <c r="D4" s="11" t="str">
        <f ca="1">VLOOKUP($C4,OFFSET([2]quests!$A$1,0,0,COUNTA([2]quests!$A:$A),MATCH(D$1,[2]quests!$1:$1,0)-MATCH($C$1,[2]quests!$1:$1,0)+1),MATCH(D$1,[2]quests!$1:$1,0)-MATCH($C$1,[2]quests!$1:$1,0)+1,FALSE)</f>
        <v>ペインター・オブ・ラブ</v>
      </c>
      <c r="E4" s="18" t="str">
        <f ca="1">VLOOKUP($C4,OFFSET([2]quests!$A$1,0,0,COUNTA([2]quests!$A:$A),MATCH(E$1,[2]quests!$1:$1,0)-MATCH($C$1,[2]quests!$1:$1,0)+1),MATCH(E$1,[2]quests!$1:$1,0)-MATCH($C$1,[2]quests!$1:$1,0)+1,FALSE)</f>
        <v>画家シリーズ01</v>
      </c>
      <c r="F4" s="21">
        <v>1</v>
      </c>
      <c r="G4" s="23" t="str">
        <f t="shared" si="1"/>
        <v>20021_1</v>
      </c>
      <c r="H4" s="15" t="str">
        <f ca="1">VLOOKUP($G4,OFFSET([2]stages!$A$1,0,0,COUNTA([2]stages!$A:$A),MATCH(H$1,[2]stages!$2:$2,0)-MATCH($G$1,[2]stages!$2:$2,0)+1),MATCH(H$1,[2]stages!$2:$2,0)-MATCH($G$1,[2]stages!$2:$2,0)+1,FALSE)</f>
        <v>【初級】ペインター・オブ・ラブ</v>
      </c>
      <c r="I4" s="21">
        <v>3</v>
      </c>
      <c r="J4" s="12">
        <v>45</v>
      </c>
      <c r="K4" s="12">
        <v>45</v>
      </c>
    </row>
    <row r="5" spans="1:11" ht="21" customHeight="1" x14ac:dyDescent="0.15">
      <c r="A5" s="16" t="str">
        <f t="shared" si="0"/>
        <v>20021_1-4</v>
      </c>
      <c r="B5" s="16" t="str">
        <f>IF(COUNTIF(enemy_habitats!$H:$H,A5),"OK","NG")</f>
        <v>OK</v>
      </c>
      <c r="C5" s="7">
        <v>20021</v>
      </c>
      <c r="D5" s="11" t="str">
        <f ca="1">VLOOKUP($C5,OFFSET([2]quests!$A$1,0,0,COUNTA([2]quests!$A:$A),MATCH(D$1,[2]quests!$1:$1,0)-MATCH($C$1,[2]quests!$1:$1,0)+1),MATCH(D$1,[2]quests!$1:$1,0)-MATCH($C$1,[2]quests!$1:$1,0)+1,FALSE)</f>
        <v>ペインター・オブ・ラブ</v>
      </c>
      <c r="E5" s="18" t="str">
        <f ca="1">VLOOKUP($C5,OFFSET([2]quests!$A$1,0,0,COUNTA([2]quests!$A:$A),MATCH(E$1,[2]quests!$1:$1,0)-MATCH($C$1,[2]quests!$1:$1,0)+1),MATCH(E$1,[2]quests!$1:$1,0)-MATCH($C$1,[2]quests!$1:$1,0)+1,FALSE)</f>
        <v>画家シリーズ01</v>
      </c>
      <c r="F5" s="21">
        <v>1</v>
      </c>
      <c r="G5" s="23" t="str">
        <f t="shared" si="1"/>
        <v>20021_1</v>
      </c>
      <c r="H5" s="15" t="str">
        <f ca="1">VLOOKUP($G5,OFFSET([2]stages!$A$1,0,0,COUNTA([2]stages!$A:$A),MATCH(H$1,[2]stages!$2:$2,0)-MATCH($G$1,[2]stages!$2:$2,0)+1),MATCH(H$1,[2]stages!$2:$2,0)-MATCH($G$1,[2]stages!$2:$2,0)+1,FALSE)</f>
        <v>【初級】ペインター・オブ・ラブ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20021_2-1</v>
      </c>
      <c r="B6" s="16" t="str">
        <f>IF(COUNTIF(enemy_habitats!$H:$H,A6),"OK","NG")</f>
        <v>OK</v>
      </c>
      <c r="C6" s="7">
        <v>20021</v>
      </c>
      <c r="D6" s="11" t="str">
        <f ca="1">VLOOKUP($C6,OFFSET([2]quests!$A$1,0,0,COUNTA([2]quests!$A:$A),MATCH(D$1,[2]quests!$1:$1,0)-MATCH($C$1,[2]quests!$1:$1,0)+1),MATCH(D$1,[2]quests!$1:$1,0)-MATCH($C$1,[2]quests!$1:$1,0)+1,FALSE)</f>
        <v>ペインター・オブ・ラブ</v>
      </c>
      <c r="E6" s="18" t="str">
        <f ca="1">VLOOKUP($C6,OFFSET([2]quests!$A$1,0,0,COUNTA([2]quests!$A:$A),MATCH(E$1,[2]quests!$1:$1,0)-MATCH($C$1,[2]quests!$1:$1,0)+1),MATCH(E$1,[2]quests!$1:$1,0)-MATCH($C$1,[2]quests!$1:$1,0)+1,FALSE)</f>
        <v>画家シリーズ01</v>
      </c>
      <c r="F6" s="21">
        <v>2</v>
      </c>
      <c r="G6" s="23" t="str">
        <f t="shared" si="1"/>
        <v>20021_2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【中級】ペインター・オブ・ラブ</v>
      </c>
      <c r="I6" s="21">
        <v>1</v>
      </c>
      <c r="J6" s="12">
        <v>45</v>
      </c>
      <c r="K6" s="12">
        <v>45</v>
      </c>
    </row>
    <row r="7" spans="1:11" ht="21" customHeight="1" x14ac:dyDescent="0.15">
      <c r="A7" s="16" t="str">
        <f t="shared" si="0"/>
        <v>20021_2-2</v>
      </c>
      <c r="B7" s="16" t="str">
        <f>IF(COUNTIF(enemy_habitats!$H:$H,A7),"OK","NG")</f>
        <v>OK</v>
      </c>
      <c r="C7" s="7">
        <v>20021</v>
      </c>
      <c r="D7" s="11" t="str">
        <f ca="1">VLOOKUP($C7,OFFSET([2]quests!$A$1,0,0,COUNTA([2]quests!$A:$A),MATCH(D$1,[2]quests!$1:$1,0)-MATCH($C$1,[2]quests!$1:$1,0)+1),MATCH(D$1,[2]quests!$1:$1,0)-MATCH($C$1,[2]quests!$1:$1,0)+1,FALSE)</f>
        <v>ペインター・オブ・ラブ</v>
      </c>
      <c r="E7" s="18" t="str">
        <f ca="1">VLOOKUP($C7,OFFSET([2]quests!$A$1,0,0,COUNTA([2]quests!$A:$A),MATCH(E$1,[2]quests!$1:$1,0)-MATCH($C$1,[2]quests!$1:$1,0)+1),MATCH(E$1,[2]quests!$1:$1,0)-MATCH($C$1,[2]quests!$1:$1,0)+1,FALSE)</f>
        <v>画家シリーズ01</v>
      </c>
      <c r="F7" s="21">
        <v>2</v>
      </c>
      <c r="G7" s="23" t="str">
        <f t="shared" si="1"/>
        <v>20021_2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【中級】ペインター・オブ・ラブ</v>
      </c>
      <c r="I7" s="21">
        <v>2</v>
      </c>
      <c r="J7" s="12">
        <v>30</v>
      </c>
      <c r="K7" s="12">
        <v>30</v>
      </c>
    </row>
    <row r="8" spans="1:11" ht="21" customHeight="1" x14ac:dyDescent="0.15">
      <c r="A8" s="16" t="str">
        <f t="shared" si="0"/>
        <v>20021_2-3</v>
      </c>
      <c r="B8" s="16" t="str">
        <f>IF(COUNTIF(enemy_habitats!$H:$H,A8),"OK","NG")</f>
        <v>OK</v>
      </c>
      <c r="C8" s="7">
        <v>20021</v>
      </c>
      <c r="D8" s="11" t="str">
        <f ca="1">VLOOKUP($C8,OFFSET([2]quests!$A$1,0,0,COUNTA([2]quests!$A:$A),MATCH(D$1,[2]quests!$1:$1,0)-MATCH($C$1,[2]quests!$1:$1,0)+1),MATCH(D$1,[2]quests!$1:$1,0)-MATCH($C$1,[2]quests!$1:$1,0)+1,FALSE)</f>
        <v>ペインター・オブ・ラブ</v>
      </c>
      <c r="E8" s="18" t="str">
        <f ca="1">VLOOKUP($C8,OFFSET([2]quests!$A$1,0,0,COUNTA([2]quests!$A:$A),MATCH(E$1,[2]quests!$1:$1,0)-MATCH($C$1,[2]quests!$1:$1,0)+1),MATCH(E$1,[2]quests!$1:$1,0)-MATCH($C$1,[2]quests!$1:$1,0)+1,FALSE)</f>
        <v>画家シリーズ01</v>
      </c>
      <c r="F8" s="21">
        <v>2</v>
      </c>
      <c r="G8" s="23" t="str">
        <f t="shared" si="1"/>
        <v>20021_2</v>
      </c>
      <c r="H8" s="15" t="str">
        <f ca="1">VLOOKUP($G8,OFFSET([2]stages!$A$1,0,0,COUNTA([2]stages!$A:$A),MATCH(H$1,[2]stages!$2:$2,0)-MATCH($G$1,[2]stages!$2:$2,0)+1),MATCH(H$1,[2]stages!$2:$2,0)-MATCH($G$1,[2]stages!$2:$2,0)+1,FALSE)</f>
        <v>【中級】ペインター・オブ・ラブ</v>
      </c>
      <c r="I8" s="21">
        <v>3</v>
      </c>
      <c r="J8" s="12">
        <v>45</v>
      </c>
      <c r="K8" s="12">
        <v>45</v>
      </c>
    </row>
    <row r="9" spans="1:11" ht="21" customHeight="1" x14ac:dyDescent="0.15">
      <c r="A9" s="16" t="str">
        <f t="shared" si="0"/>
        <v>20021_2-4</v>
      </c>
      <c r="B9" s="16" t="str">
        <f>IF(COUNTIF(enemy_habitats!$H:$H,A9),"OK","NG")</f>
        <v>OK</v>
      </c>
      <c r="C9" s="7">
        <v>20021</v>
      </c>
      <c r="D9" s="11" t="str">
        <f ca="1">VLOOKUP($C9,OFFSET([2]quests!$A$1,0,0,COUNTA([2]quests!$A:$A),MATCH(D$1,[2]quests!$1:$1,0)-MATCH($C$1,[2]quests!$1:$1,0)+1),MATCH(D$1,[2]quests!$1:$1,0)-MATCH($C$1,[2]quests!$1:$1,0)+1,FALSE)</f>
        <v>ペインター・オブ・ラブ</v>
      </c>
      <c r="E9" s="18" t="str">
        <f ca="1">VLOOKUP($C9,OFFSET([2]quests!$A$1,0,0,COUNTA([2]quests!$A:$A),MATCH(E$1,[2]quests!$1:$1,0)-MATCH($C$1,[2]quests!$1:$1,0)+1),MATCH(E$1,[2]quests!$1:$1,0)-MATCH($C$1,[2]quests!$1:$1,0)+1,FALSE)</f>
        <v>画家シリーズ01</v>
      </c>
      <c r="F9" s="21">
        <v>2</v>
      </c>
      <c r="G9" s="23" t="str">
        <f t="shared" si="1"/>
        <v>20021_2</v>
      </c>
      <c r="H9" s="15" t="str">
        <f ca="1">VLOOKUP($G9,OFFSET([2]stages!$A$1,0,0,COUNTA([2]stages!$A:$A),MATCH(H$1,[2]stages!$2:$2,0)-MATCH($G$1,[2]stages!$2:$2,0)+1),MATCH(H$1,[2]stages!$2:$2,0)-MATCH($G$1,[2]stages!$2:$2,0)+1,FALSE)</f>
        <v>【中級】ペインター・オブ・ラブ</v>
      </c>
      <c r="I9" s="21">
        <v>4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20021_3-1</v>
      </c>
      <c r="B10" s="16" t="str">
        <f>IF(COUNTIF(enemy_habitats!$H:$H,A10),"OK","NG")</f>
        <v>OK</v>
      </c>
      <c r="C10" s="7">
        <v>20021</v>
      </c>
      <c r="D10" s="11" t="str">
        <f ca="1">VLOOKUP($C10,OFFSET([2]quests!$A$1,0,0,COUNTA([2]quests!$A:$A),MATCH(D$1,[2]quests!$1:$1,0)-MATCH($C$1,[2]quests!$1:$1,0)+1),MATCH(D$1,[2]quests!$1:$1,0)-MATCH($C$1,[2]quests!$1:$1,0)+1,FALSE)</f>
        <v>ペインター・オブ・ラブ</v>
      </c>
      <c r="E10" s="18" t="str">
        <f ca="1">VLOOKUP($C10,OFFSET([2]quests!$A$1,0,0,COUNTA([2]quests!$A:$A),MATCH(E$1,[2]quests!$1:$1,0)-MATCH($C$1,[2]quests!$1:$1,0)+1),MATCH(E$1,[2]quests!$1:$1,0)-MATCH($C$1,[2]quests!$1:$1,0)+1,FALSE)</f>
        <v>画家シリーズ01</v>
      </c>
      <c r="F10" s="21">
        <v>3</v>
      </c>
      <c r="G10" s="23" t="str">
        <f t="shared" si="1"/>
        <v>20021_3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【上級】ペインター・オブ・ラブ</v>
      </c>
      <c r="I10" s="21">
        <v>1</v>
      </c>
      <c r="J10" s="12">
        <v>45</v>
      </c>
      <c r="K10" s="12">
        <v>45</v>
      </c>
    </row>
    <row r="11" spans="1:11" ht="21" customHeight="1" x14ac:dyDescent="0.15">
      <c r="A11" s="16" t="str">
        <f t="shared" si="0"/>
        <v>20021_3-2</v>
      </c>
      <c r="B11" s="16" t="str">
        <f>IF(COUNTIF(enemy_habitats!$H:$H,A11),"OK","NG")</f>
        <v>OK</v>
      </c>
      <c r="C11" s="7">
        <v>20021</v>
      </c>
      <c r="D11" s="11" t="str">
        <f ca="1">VLOOKUP($C11,OFFSET([2]quests!$A$1,0,0,COUNTA([2]quests!$A:$A),MATCH(D$1,[2]quests!$1:$1,0)-MATCH($C$1,[2]quests!$1:$1,0)+1),MATCH(D$1,[2]quests!$1:$1,0)-MATCH($C$1,[2]quests!$1:$1,0)+1,FALSE)</f>
        <v>ペインター・オブ・ラブ</v>
      </c>
      <c r="E11" s="18" t="str">
        <f ca="1">VLOOKUP($C11,OFFSET([2]quests!$A$1,0,0,COUNTA([2]quests!$A:$A),MATCH(E$1,[2]quests!$1:$1,0)-MATCH($C$1,[2]quests!$1:$1,0)+1),MATCH(E$1,[2]quests!$1:$1,0)-MATCH($C$1,[2]quests!$1:$1,0)+1,FALSE)</f>
        <v>画家シリーズ01</v>
      </c>
      <c r="F11" s="21">
        <v>3</v>
      </c>
      <c r="G11" s="23" t="str">
        <f t="shared" si="1"/>
        <v>20021_3</v>
      </c>
      <c r="H11" s="15" t="str">
        <f ca="1">VLOOKUP($G11,OFFSET([2]stages!$A$1,0,0,COUNTA([2]stages!$A:$A),MATCH(H$1,[2]stages!$2:$2,0)-MATCH($G$1,[2]stages!$2:$2,0)+1),MATCH(H$1,[2]stages!$2:$2,0)-MATCH($G$1,[2]stages!$2:$2,0)+1,FALSE)</f>
        <v>【上級】ペインター・オブ・ラブ</v>
      </c>
      <c r="I11" s="21">
        <v>2</v>
      </c>
      <c r="J11" s="12">
        <v>30</v>
      </c>
      <c r="K11" s="12">
        <v>30</v>
      </c>
    </row>
    <row r="12" spans="1:11" ht="21" customHeight="1" x14ac:dyDescent="0.15">
      <c r="A12" s="16" t="str">
        <f t="shared" si="0"/>
        <v>20021_3-3</v>
      </c>
      <c r="B12" s="16" t="str">
        <f>IF(COUNTIF(enemy_habitats!$H:$H,A12),"OK","NG")</f>
        <v>OK</v>
      </c>
      <c r="C12" s="7">
        <v>20021</v>
      </c>
      <c r="D12" s="11" t="str">
        <f ca="1">VLOOKUP($C12,OFFSET([2]quests!$A$1,0,0,COUNTA([2]quests!$A:$A),MATCH(D$1,[2]quests!$1:$1,0)-MATCH($C$1,[2]quests!$1:$1,0)+1),MATCH(D$1,[2]quests!$1:$1,0)-MATCH($C$1,[2]quests!$1:$1,0)+1,FALSE)</f>
        <v>ペインター・オブ・ラブ</v>
      </c>
      <c r="E12" s="18" t="str">
        <f ca="1">VLOOKUP($C12,OFFSET([2]quests!$A$1,0,0,COUNTA([2]quests!$A:$A),MATCH(E$1,[2]quests!$1:$1,0)-MATCH($C$1,[2]quests!$1:$1,0)+1),MATCH(E$1,[2]quests!$1:$1,0)-MATCH($C$1,[2]quests!$1:$1,0)+1,FALSE)</f>
        <v>画家シリーズ01</v>
      </c>
      <c r="F12" s="21">
        <v>3</v>
      </c>
      <c r="G12" s="23" t="str">
        <f t="shared" si="1"/>
        <v>20021_3</v>
      </c>
      <c r="H12" s="15" t="str">
        <f ca="1">VLOOKUP($G12,OFFSET([2]stages!$A$1,0,0,COUNTA([2]stages!$A:$A),MATCH(H$1,[2]stages!$2:$2,0)-MATCH($G$1,[2]stages!$2:$2,0)+1),MATCH(H$1,[2]stages!$2:$2,0)-MATCH($G$1,[2]stages!$2:$2,0)+1,FALSE)</f>
        <v>【上級】ペインター・オブ・ラブ</v>
      </c>
      <c r="I12" s="21">
        <v>3</v>
      </c>
      <c r="J12" s="12">
        <v>45</v>
      </c>
      <c r="K12" s="12">
        <v>45</v>
      </c>
    </row>
    <row r="13" spans="1:11" ht="21" customHeight="1" x14ac:dyDescent="0.15">
      <c r="A13" s="16" t="str">
        <f t="shared" si="0"/>
        <v>20021_3-4</v>
      </c>
      <c r="B13" s="16" t="str">
        <f>IF(COUNTIF(enemy_habitats!$H:$H,A13),"OK","NG")</f>
        <v>OK</v>
      </c>
      <c r="C13" s="7">
        <v>20021</v>
      </c>
      <c r="D13" s="11" t="str">
        <f ca="1">VLOOKUP($C13,OFFSET([2]quests!$A$1,0,0,COUNTA([2]quests!$A:$A),MATCH(D$1,[2]quests!$1:$1,0)-MATCH($C$1,[2]quests!$1:$1,0)+1),MATCH(D$1,[2]quests!$1:$1,0)-MATCH($C$1,[2]quests!$1:$1,0)+1,FALSE)</f>
        <v>ペインター・オブ・ラブ</v>
      </c>
      <c r="E13" s="18" t="str">
        <f ca="1">VLOOKUP($C13,OFFSET([2]quests!$A$1,0,0,COUNTA([2]quests!$A:$A),MATCH(E$1,[2]quests!$1:$1,0)-MATCH($C$1,[2]quests!$1:$1,0)+1),MATCH(E$1,[2]quests!$1:$1,0)-MATCH($C$1,[2]quests!$1:$1,0)+1,FALSE)</f>
        <v>画家シリーズ01</v>
      </c>
      <c r="F13" s="21">
        <v>3</v>
      </c>
      <c r="G13" s="23" t="str">
        <f t="shared" si="1"/>
        <v>20021_3</v>
      </c>
      <c r="H13" s="15" t="str">
        <f ca="1">VLOOKUP($G13,OFFSET([2]stages!$A$1,0,0,COUNTA([2]stages!$A:$A),MATCH(H$1,[2]stages!$2:$2,0)-MATCH($G$1,[2]stages!$2:$2,0)+1),MATCH(H$1,[2]stages!$2:$2,0)-MATCH($G$1,[2]stages!$2:$2,0)+1,FALSE)</f>
        <v>【上級】ペインター・オブ・ラブ</v>
      </c>
      <c r="I13" s="21">
        <v>4</v>
      </c>
      <c r="J13" s="12">
        <v>60</v>
      </c>
      <c r="K1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9"/>
  <sheetViews>
    <sheetView showGridLines="0" workbookViewId="0">
      <pane xSplit="17" ySplit="1" topLeftCell="AJ2" activePane="bottomRight" state="frozen"/>
      <selection pane="topRight" activeCell="N1" sqref="N1"/>
      <selection pane="bottomLeft" activeCell="A2" sqref="A2"/>
      <selection pane="bottomRight" activeCell="AM25" sqref="AM25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4.83203125" style="3" customWidth="1" outlineLevel="1"/>
    <col min="18" max="18" width="8.33203125" style="3" bestFit="1" customWidth="1"/>
    <col min="19" max="19" width="14.83203125" style="3" customWidth="1"/>
    <col min="20" max="20" width="14.83203125" style="105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3" t="s">
        <v>249</v>
      </c>
      <c r="U1" s="26" t="s">
        <v>50</v>
      </c>
      <c r="V1" s="103" t="s">
        <v>250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180</v>
      </c>
    </row>
    <row r="2" spans="1:42" ht="21" customHeight="1" x14ac:dyDescent="0.15">
      <c r="A2" s="16" t="str">
        <f ca="1">B2&amp;"_"&amp;C2&amp;"-"&amp;G2&amp;"/"&amp;L2&amp;"&lt;lv"&amp;R2&amp;"&gt;s"&amp;AC2</f>
        <v>20021_1-1/45&lt;lv10&gt;s3</v>
      </c>
      <c r="B2" s="22">
        <v>20021</v>
      </c>
      <c r="C2" s="21">
        <v>1</v>
      </c>
      <c r="D2" s="2" t="str">
        <f>B2&amp;"_"&amp;C2</f>
        <v>20021_1</v>
      </c>
      <c r="E2" s="4" t="str">
        <f ca="1">VLOOKUP($B2,OFFSET([2]quests!$A$1,0,0,COUNTA([2]quests!$A:$A),MATCH(E$1,[2]quests!$1:$1,0)-MATCH($B$1,[2]quests!$1:$1,0)+1),MATCH(E$1,[2]quests!$1:$1,0)-MATCH($B$1,[2]quests!$1:$1,0)+1,FALSE)</f>
        <v>ペインター・オブ・ラブ</v>
      </c>
      <c r="F2" s="4" t="str">
        <f ca="1">VLOOKUP($D2,OFFSET([2]stages!$A$1,0,0,COUNTA([2]stages!$A:$A),MATCH(F$1,[2]stages!$2:$2,0)-MATCH($D$1,[2]stages!$2:$2,0)+1),MATCH(F$1,[2]stages!$2:$2,0)-MATCH($D$1,[2]stages!$2:$2,0)+1,FALSE)</f>
        <v>【初級】ペインター・オブ・ラブ</v>
      </c>
      <c r="G2" s="21">
        <v>1</v>
      </c>
      <c r="H2" s="15" t="str">
        <f>B2&amp;"_"&amp;C2&amp;"-"&amp;G2</f>
        <v>20021_1-1</v>
      </c>
      <c r="I2" s="4">
        <f ca="1">VLOOKUP($H2,OFFSET(floors!$A$1,0,0,COUNTA(floors!$A:$A),MATCH(I$1,floors!$1:$1,0)-MATCH($H$1,floors!$1:$1,0)+1),MATCH(I$1,floors!$1:$1,0)-MATCH($H$1,floors!$1:$1,0)+1,FALSE)</f>
        <v>45</v>
      </c>
      <c r="J2" s="4">
        <f ca="1">VLOOKUP($H2,OFFSET(floors!$A$1,0,0,COUNTA(floors!$A:$A),MATCH(J$1,floors!$1:$1,0)-MATCH($H$1,floors!$1:$1,0)+1),MATCH(J$1,floors!$1:$1,0)-MATCH($H$1,floors!$1:$1,0)+1,FALSE)</f>
        <v>45</v>
      </c>
      <c r="K2" s="38" t="s">
        <v>53</v>
      </c>
      <c r="L2" s="20">
        <v>45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ショウイン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10</v>
      </c>
      <c r="S2" s="25">
        <v>2</v>
      </c>
      <c r="T2" s="104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6670</v>
      </c>
      <c r="U2" s="147">
        <v>0.5</v>
      </c>
      <c r="V2" s="104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316</v>
      </c>
      <c r="W2" s="5">
        <v>0</v>
      </c>
      <c r="X2" s="4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#VALUE!</v>
      </c>
      <c r="Y2" s="4">
        <v>0</v>
      </c>
      <c r="Z2" s="6">
        <v>1</v>
      </c>
      <c r="AA2" s="6">
        <v>100</v>
      </c>
      <c r="AB2" s="149">
        <v>1</v>
      </c>
      <c r="AC2" s="17">
        <f ca="1">VLOOKUP($L2,OFFSET([3]enemies!$A$1,0,0,COUNTA([3]enemies!$A:$A),MATCH(AC$1,[3]enemies!$1:$1,0)-MATCH($L$1,[3]enemies!$1:$1,0)+1),MATCH(AC$1,[3]enemies!$1:$1,0)-MATCH($L$1,[3]enemies!$1:$1,0)+1,FALSE)</f>
        <v>3</v>
      </c>
      <c r="AD2" s="24">
        <f>L2</f>
        <v>45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ショウイン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2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Drop1N</v>
      </c>
      <c r="AH2" s="7">
        <v>1</v>
      </c>
      <c r="AI2" s="24">
        <f ca="1">AF2</f>
        <v>2</v>
      </c>
      <c r="AJ2" s="8">
        <v>60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 ca="1">B3&amp;"_"&amp;C3&amp;"-"&amp;G3&amp;"/"&amp;L3&amp;"&lt;lv"&amp;R3&amp;"&gt;s"&amp;AC3</f>
        <v>20021_1-1/25&lt;lv10&gt;s3</v>
      </c>
      <c r="B3" s="22">
        <v>20021</v>
      </c>
      <c r="C3" s="21">
        <v>1</v>
      </c>
      <c r="D3" s="2" t="str">
        <f>B3&amp;"_"&amp;C3</f>
        <v>20021_1</v>
      </c>
      <c r="E3" s="4" t="str">
        <f ca="1">VLOOKUP($B3,OFFSET([2]quests!$A$1,0,0,COUNTA([2]quests!$A:$A),MATCH(E$1,[2]quests!$1:$1,0)-MATCH($B$1,[2]quests!$1:$1,0)+1),MATCH(E$1,[2]quests!$1:$1,0)-MATCH($B$1,[2]quests!$1:$1,0)+1,FALSE)</f>
        <v>ペインター・オブ・ラブ</v>
      </c>
      <c r="F3" s="4" t="str">
        <f ca="1">VLOOKUP($D3,OFFSET([2]stages!$A$1,0,0,COUNTA([2]stages!$A:$A),MATCH(F$1,[2]stages!$2:$2,0)-MATCH($D$1,[2]stages!$2:$2,0)+1),MATCH(F$1,[2]stages!$2:$2,0)-MATCH($D$1,[2]stages!$2:$2,0)+1,FALSE)</f>
        <v>【初級】ペインター・オブ・ラブ</v>
      </c>
      <c r="G3" s="21">
        <v>1</v>
      </c>
      <c r="H3" s="15" t="str">
        <f>B3&amp;"_"&amp;C3&amp;"-"&amp;G3</f>
        <v>20021_1-1</v>
      </c>
      <c r="I3" s="4">
        <f ca="1">VLOOKUP($H3,OFFSET(floors!$A$1,0,0,COUNTA(floors!$A:$A),MATCH(I$1,floors!$1:$1,0)-MATCH($H$1,floors!$1:$1,0)+1),MATCH(I$1,floors!$1:$1,0)-MATCH($H$1,floors!$1:$1,0)+1,FALSE)</f>
        <v>45</v>
      </c>
      <c r="J3" s="4">
        <f ca="1">VLOOKUP($H3,OFFSET(floors!$A$1,0,0,COUNTA(floors!$A:$A),MATCH(J$1,floors!$1:$1,0)-MATCH($H$1,floors!$1:$1,0)+1),MATCH(J$1,floors!$1:$1,0)-MATCH($H$1,floors!$1:$1,0)+1,FALSE)</f>
        <v>45</v>
      </c>
      <c r="K3" s="38" t="s">
        <v>53</v>
      </c>
      <c r="L3" s="20">
        <v>25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ハチ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10</v>
      </c>
      <c r="S3" s="25">
        <v>1.4</v>
      </c>
      <c r="T3" s="104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4669</v>
      </c>
      <c r="U3" s="25">
        <v>0.7</v>
      </c>
      <c r="V3" s="104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442.4</v>
      </c>
      <c r="W3" s="5">
        <v>0</v>
      </c>
      <c r="X3" s="4" t="e">
        <f ca="1">VLOOKUP($Y3,OFFSET([5]enemy_skill_sets!$B$1,0,0,COUNTA([5]enemy_skill_sets!$B:$B),MATCH(M$1,[5]enemy_skill_sets!$1:$1,0)-MATCH($Y$1,[5]enemy_skill_sets!$1:$1,0)+2),MATCH(M$1,[5]enemy_skill_sets!$1:$1,0)-MATCH($Y$1,[5]enemy_skill_sets!$1:$1,0)+2,FALSE)</f>
        <v>#VALUE!</v>
      </c>
      <c r="Y3" s="4">
        <v>0</v>
      </c>
      <c r="Z3" s="6">
        <v>2</v>
      </c>
      <c r="AA3" s="6">
        <v>100</v>
      </c>
      <c r="AB3" s="6">
        <v>0</v>
      </c>
      <c r="AC3" s="17">
        <f ca="1">VLOOKUP($L3,OFFSET([3]enemies!$A$1,0,0,COUNTA([3]enemies!$A:$A),MATCH(AC$1,[3]enemies!$1:$1,0)-MATCH($L$1,[3]enemies!$1:$1,0)+1),MATCH(AC$1,[3]enemies!$1:$1,0)-MATCH($L$1,[3]enemies!$1:$1,0)+1,FALSE)</f>
        <v>3</v>
      </c>
      <c r="AD3" s="24">
        <f>L3</f>
        <v>25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ハチ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1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Drop1N</v>
      </c>
      <c r="AH3" s="7">
        <v>1</v>
      </c>
      <c r="AI3" s="24">
        <f ca="1">AF3</f>
        <v>1</v>
      </c>
      <c r="AJ3" s="8">
        <v>60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 t="shared" ref="A4:A7" ca="1" si="0">B4&amp;"_"&amp;C4&amp;"-"&amp;G4&amp;"/"&amp;L4&amp;"&lt;lv"&amp;R4&amp;"&gt;s"&amp;AC4</f>
        <v>20021_1-2/264&lt;lv10&gt;s2</v>
      </c>
      <c r="B4" s="22">
        <v>20021</v>
      </c>
      <c r="C4" s="21">
        <v>1</v>
      </c>
      <c r="D4" s="2" t="str">
        <f t="shared" ref="D4:D7" si="1">B4&amp;"_"&amp;C4</f>
        <v>20021_1</v>
      </c>
      <c r="E4" s="4" t="str">
        <f ca="1">VLOOKUP($B4,OFFSET([2]quests!$A$1,0,0,COUNTA([2]quests!$A:$A),MATCH(E$1,[2]quests!$1:$1,0)-MATCH($B$1,[2]quests!$1:$1,0)+1),MATCH(E$1,[2]quests!$1:$1,0)-MATCH($B$1,[2]quests!$1:$1,0)+1,FALSE)</f>
        <v>ペインター・オブ・ラブ</v>
      </c>
      <c r="F4" s="4" t="str">
        <f ca="1">VLOOKUP($D4,OFFSET([2]stages!$A$1,0,0,COUNTA([2]stages!$A:$A),MATCH(F$1,[2]stages!$2:$2,0)-MATCH($D$1,[2]stages!$2:$2,0)+1),MATCH(F$1,[2]stages!$2:$2,0)-MATCH($D$1,[2]stages!$2:$2,0)+1,FALSE)</f>
        <v>【初級】ペインター・オブ・ラブ</v>
      </c>
      <c r="G4" s="21">
        <v>2</v>
      </c>
      <c r="H4" s="15" t="str">
        <f t="shared" ref="H4:H7" si="2">B4&amp;"_"&amp;C4&amp;"-"&amp;G4</f>
        <v>20021_1-2</v>
      </c>
      <c r="I4" s="4">
        <f ca="1">VLOOKUP($H4,OFFSET(floors!$A$1,0,0,COUNTA(floors!$A:$A),MATCH(I$1,floors!$1:$1,0)-MATCH($H$1,floors!$1:$1,0)+1),MATCH(I$1,floors!$1:$1,0)-MATCH($H$1,floors!$1:$1,0)+1,FALSE)</f>
        <v>30</v>
      </c>
      <c r="J4" s="4">
        <f ca="1">VLOOKUP($H4,OFFSET(floors!$A$1,0,0,COUNTA(floors!$A:$A),MATCH(J$1,floors!$1:$1,0)-MATCH($H$1,floors!$1:$1,0)+1),MATCH(J$1,floors!$1:$1,0)-MATCH($H$1,floors!$1:$1,0)+1,FALSE)</f>
        <v>30</v>
      </c>
      <c r="K4" s="38">
        <v>1</v>
      </c>
      <c r="L4" s="20">
        <v>264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ユニコーン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10</v>
      </c>
      <c r="S4" s="25">
        <v>0.8</v>
      </c>
      <c r="T4" s="104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14967.2</v>
      </c>
      <c r="U4" s="25">
        <v>0.6</v>
      </c>
      <c r="V4" s="104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591.6</v>
      </c>
      <c r="W4" s="5">
        <v>0</v>
      </c>
      <c r="X4" s="4" t="e">
        <f ca="1">VLOOKUP($Y4,OFFSET([5]enemy_skill_sets!$B$1,0,0,COUNTA([5]enemy_skill_sets!$B:$B),MATCH(M$1,[5]enemy_skill_sets!$1:$1,0)-MATCH($Y$1,[5]enemy_skill_sets!$1:$1,0)+2),MATCH(M$1,[5]enemy_skill_sets!$1:$1,0)-MATCH($Y$1,[5]enemy_skill_sets!$1:$1,0)+2,FALSE)</f>
        <v>#VALUE!</v>
      </c>
      <c r="Y4" s="4">
        <v>20021100</v>
      </c>
      <c r="Z4" s="6">
        <v>1</v>
      </c>
      <c r="AA4" s="6">
        <v>100</v>
      </c>
      <c r="AB4" s="6">
        <v>1</v>
      </c>
      <c r="AC4" s="17">
        <f ca="1">VLOOKUP($L4,OFFSET([3]enemies!$A$1,0,0,COUNTA([3]enemies!$A:$A),MATCH(AC$1,[3]enemies!$1:$1,0)-MATCH($L$1,[3]enemies!$1:$1,0)+1),MATCH(AC$1,[3]enemies!$1:$1,0)-MATCH($L$1,[3]enemies!$1:$1,0)+1,FALSE)</f>
        <v>2</v>
      </c>
      <c r="AD4" s="24">
        <f t="shared" ref="AD4:AD7" si="3">L4</f>
        <v>264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ユニコーン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Drop2W</v>
      </c>
      <c r="AH4" s="7">
        <v>1</v>
      </c>
      <c r="AI4" s="24">
        <f t="shared" ref="AI4:AI7" ca="1" si="4">AF4</f>
        <v>3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 t="shared" ca="1" si="0"/>
        <v>20021_1-3/374&lt;lv10&gt;s1</v>
      </c>
      <c r="B5" s="22">
        <v>20021</v>
      </c>
      <c r="C5" s="21">
        <v>1</v>
      </c>
      <c r="D5" s="2" t="str">
        <f t="shared" si="1"/>
        <v>20021_1</v>
      </c>
      <c r="E5" s="4" t="str">
        <f ca="1">VLOOKUP($B5,OFFSET([2]quests!$A$1,0,0,COUNTA([2]quests!$A:$A),MATCH(E$1,[2]quests!$1:$1,0)-MATCH($B$1,[2]quests!$1:$1,0)+1),MATCH(E$1,[2]quests!$1:$1,0)-MATCH($B$1,[2]quests!$1:$1,0)+1,FALSE)</f>
        <v>ペインター・オブ・ラブ</v>
      </c>
      <c r="F5" s="4" t="str">
        <f ca="1">VLOOKUP($D5,OFFSET([2]stages!$A$1,0,0,COUNTA([2]stages!$A:$A),MATCH(F$1,[2]stages!$2:$2,0)-MATCH($D$1,[2]stages!$2:$2,0)+1),MATCH(F$1,[2]stages!$2:$2,0)-MATCH($D$1,[2]stages!$2:$2,0)+1,FALSE)</f>
        <v>【初級】ペインター・オブ・ラブ</v>
      </c>
      <c r="G5" s="21">
        <v>3</v>
      </c>
      <c r="H5" s="15" t="str">
        <f t="shared" si="2"/>
        <v>20021_1-3</v>
      </c>
      <c r="I5" s="4">
        <f ca="1">VLOOKUP($H5,OFFSET(floors!$A$1,0,0,COUNTA(floors!$A:$A),MATCH(I$1,floors!$1:$1,0)-MATCH($H$1,floors!$1:$1,0)+1),MATCH(I$1,floors!$1:$1,0)-MATCH($H$1,floors!$1:$1,0)+1,FALSE)</f>
        <v>45</v>
      </c>
      <c r="J5" s="4">
        <f ca="1">VLOOKUP($H5,OFFSET(floors!$A$1,0,0,COUNTA(floors!$A:$A),MATCH(J$1,floors!$1:$1,0)-MATCH($H$1,floors!$1:$1,0)+1),MATCH(J$1,floors!$1:$1,0)-MATCH($H$1,floors!$1:$1,0)+1,FALSE)</f>
        <v>45</v>
      </c>
      <c r="K5" s="38" t="s">
        <v>53</v>
      </c>
      <c r="L5" s="20">
        <v>374</v>
      </c>
      <c r="M5" s="17" t="str">
        <f ca="1">VLOOKUP($L5,OFFSET([3]enemies!$A$1,0,0,COUNTA([3]enemies!$A:$A),MATCH(M$1,[3]enemies!$1:$1,0)-MATCH($L$1,[3]enemies!$1:$1,0)+1),MATCH(M$1,[3]enemies!$1:$1,0)-MATCH($L$1,[3]enemies!$1:$1,0)+1,FALSE)</f>
        <v>影丸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10</v>
      </c>
      <c r="S5" s="25">
        <v>1.5</v>
      </c>
      <c r="T5" s="104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3105</v>
      </c>
      <c r="U5" s="25">
        <v>0.7</v>
      </c>
      <c r="V5" s="104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468.29999999999995</v>
      </c>
      <c r="W5" s="5">
        <v>0</v>
      </c>
      <c r="X5" s="4" t="e">
        <f ca="1">VLOOKUP($Y5,OFFSET([5]enemy_skill_sets!$B$1,0,0,COUNTA([5]enemy_skill_sets!$B:$B),MATCH(M$1,[5]enemy_skill_sets!$1:$1,0)-MATCH($Y$1,[5]enemy_skill_sets!$1:$1,0)+2),MATCH(M$1,[5]enemy_skill_sets!$1:$1,0)-MATCH($Y$1,[5]enemy_skill_sets!$1:$1,0)+2,FALSE)</f>
        <v>#VALUE!</v>
      </c>
      <c r="Y5" s="4">
        <v>20021104</v>
      </c>
      <c r="Z5" s="6">
        <v>1</v>
      </c>
      <c r="AA5" s="6">
        <v>100</v>
      </c>
      <c r="AB5" s="6">
        <v>1</v>
      </c>
      <c r="AC5" s="17">
        <f ca="1">VLOOKUP($L5,OFFSET([3]enemies!$A$1,0,0,COUNTA([3]enemies!$A:$A),MATCH(AC$1,[3]enemies!$1:$1,0)-MATCH($L$1,[3]enemies!$1:$1,0)+1),MATCH(AC$1,[3]enemies!$1:$1,0)-MATCH($L$1,[3]enemies!$1:$1,0)+1,FALSE)</f>
        <v>1</v>
      </c>
      <c r="AD5" s="24">
        <f t="shared" si="3"/>
        <v>374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影丸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2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Drop1S</v>
      </c>
      <c r="AH5" s="7">
        <v>1</v>
      </c>
      <c r="AI5" s="24">
        <f t="shared" ca="1" si="4"/>
        <v>2</v>
      </c>
      <c r="AJ5" s="8">
        <v>60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  <row r="6" spans="1:42" ht="21" customHeight="1" x14ac:dyDescent="0.15">
      <c r="A6" s="16" t="str">
        <f t="shared" ref="A6" ca="1" si="5">B6&amp;"_"&amp;C6&amp;"-"&amp;G6&amp;"/"&amp;L6&amp;"&lt;lv"&amp;R6&amp;"&gt;s"&amp;AC6</f>
        <v>20021_1-3/59&lt;lv10&gt;s2</v>
      </c>
      <c r="B6" s="22">
        <v>20021</v>
      </c>
      <c r="C6" s="21">
        <v>1</v>
      </c>
      <c r="D6" s="2" t="str">
        <f t="shared" ref="D6" si="6">B6&amp;"_"&amp;C6</f>
        <v>20021_1</v>
      </c>
      <c r="E6" s="4" t="str">
        <f ca="1">VLOOKUP($B6,OFFSET([2]quests!$A$1,0,0,COUNTA([2]quests!$A:$A),MATCH(E$1,[2]quests!$1:$1,0)-MATCH($B$1,[2]quests!$1:$1,0)+1),MATCH(E$1,[2]quests!$1:$1,0)-MATCH($B$1,[2]quests!$1:$1,0)+1,FALSE)</f>
        <v>ペインター・オブ・ラブ</v>
      </c>
      <c r="F6" s="4" t="str">
        <f ca="1">VLOOKUP($D6,OFFSET([2]stages!$A$1,0,0,COUNTA([2]stages!$A:$A),MATCH(F$1,[2]stages!$2:$2,0)-MATCH($D$1,[2]stages!$2:$2,0)+1),MATCH(F$1,[2]stages!$2:$2,0)-MATCH($D$1,[2]stages!$2:$2,0)+1,FALSE)</f>
        <v>【初級】ペインター・オブ・ラブ</v>
      </c>
      <c r="G6" s="21">
        <v>3</v>
      </c>
      <c r="H6" s="15" t="str">
        <f t="shared" ref="H6" si="7">B6&amp;"_"&amp;C6&amp;"-"&amp;G6</f>
        <v>20021_1-3</v>
      </c>
      <c r="I6" s="4">
        <f ca="1">VLOOKUP($H6,OFFSET(floors!$A$1,0,0,COUNTA(floors!$A:$A),MATCH(I$1,floors!$1:$1,0)-MATCH($H$1,floors!$1:$1,0)+1),MATCH(I$1,floors!$1:$1,0)-MATCH($H$1,floors!$1:$1,0)+1,FALSE)</f>
        <v>45</v>
      </c>
      <c r="J6" s="4">
        <f ca="1">VLOOKUP($H6,OFFSET(floors!$A$1,0,0,COUNTA(floors!$A:$A),MATCH(J$1,floors!$1:$1,0)-MATCH($H$1,floors!$1:$1,0)+1),MATCH(J$1,floors!$1:$1,0)-MATCH($H$1,floors!$1:$1,0)+1,FALSE)</f>
        <v>45</v>
      </c>
      <c r="K6" s="38" t="s">
        <v>53</v>
      </c>
      <c r="L6" s="20">
        <v>59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マーチ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10</v>
      </c>
      <c r="S6" s="25">
        <v>1.4</v>
      </c>
      <c r="T6" s="104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2627.7999999999997</v>
      </c>
      <c r="U6" s="25">
        <v>0.4</v>
      </c>
      <c r="V6" s="104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232</v>
      </c>
      <c r="W6" s="5">
        <v>0</v>
      </c>
      <c r="X6" s="4" t="e">
        <f ca="1">VLOOKUP($Y6,OFFSET([5]enemy_skill_sets!$B$1,0,0,COUNTA([5]enemy_skill_sets!$B:$B),MATCH(M$1,[5]enemy_skill_sets!$1:$1,0)-MATCH($Y$1,[5]enemy_skill_sets!$1:$1,0)+2),MATCH(M$1,[5]enemy_skill_sets!$1:$1,0)-MATCH($Y$1,[5]enemy_skill_sets!$1:$1,0)+2,FALSE)</f>
        <v>#VALUE!</v>
      </c>
      <c r="Y6" s="4">
        <v>20021105</v>
      </c>
      <c r="Z6" s="6">
        <v>2</v>
      </c>
      <c r="AA6" s="6">
        <v>100</v>
      </c>
      <c r="AB6" s="6">
        <v>0</v>
      </c>
      <c r="AC6" s="17">
        <f ca="1">VLOOKUP($L6,OFFSET([3]enemies!$A$1,0,0,COUNTA([3]enemies!$A:$A),MATCH(AC$1,[3]enemies!$1:$1,0)-MATCH($L$1,[3]enemies!$1:$1,0)+1),MATCH(AC$1,[3]enemies!$1:$1,0)-MATCH($L$1,[3]enemies!$1:$1,0)+1,FALSE)</f>
        <v>2</v>
      </c>
      <c r="AD6" s="24">
        <f t="shared" ref="AD6" si="8">L6</f>
        <v>59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マーチ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2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Drop1N</v>
      </c>
      <c r="AH6" s="7">
        <v>1</v>
      </c>
      <c r="AI6" s="24">
        <f t="shared" ref="AI6" ca="1" si="9">AF6</f>
        <v>2</v>
      </c>
      <c r="AJ6" s="8">
        <v>60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9">
        <v>1</v>
      </c>
    </row>
    <row r="7" spans="1:42" ht="21" customHeight="1" thickBot="1" x14ac:dyDescent="0.2">
      <c r="A7" s="16" t="str">
        <f t="shared" si="0"/>
        <v>20021_1-4/1094&lt;lv10&gt;s2</v>
      </c>
      <c r="B7" s="154">
        <v>20021</v>
      </c>
      <c r="C7" s="155">
        <v>1</v>
      </c>
      <c r="D7" s="156" t="str">
        <f t="shared" si="1"/>
        <v>20021_1</v>
      </c>
      <c r="E7" s="157" t="str">
        <f ca="1">VLOOKUP($B7,OFFSET([2]quests!$A$1,0,0,COUNTA([2]quests!$A:$A),MATCH(E$1,[2]quests!$1:$1,0)-MATCH($B$1,[2]quests!$1:$1,0)+1),MATCH(E$1,[2]quests!$1:$1,0)-MATCH($B$1,[2]quests!$1:$1,0)+1,FALSE)</f>
        <v>ペインター・オブ・ラブ</v>
      </c>
      <c r="F7" s="157" t="str">
        <f ca="1">VLOOKUP($D7,OFFSET([2]stages!$A$1,0,0,COUNTA([2]stages!$A:$A),MATCH(F$1,[2]stages!$2:$2,0)-MATCH($D$1,[2]stages!$2:$2,0)+1),MATCH(F$1,[2]stages!$2:$2,0)-MATCH($D$1,[2]stages!$2:$2,0)+1,FALSE)</f>
        <v>【初級】ペインター・オブ・ラブ</v>
      </c>
      <c r="G7" s="155">
        <v>4</v>
      </c>
      <c r="H7" s="156" t="str">
        <f t="shared" si="2"/>
        <v>20021_1-4</v>
      </c>
      <c r="I7" s="157">
        <f ca="1">VLOOKUP($H7,OFFSET(floors!$A$1,0,0,COUNTA(floors!$A:$A),MATCH(I$1,floors!$1:$1,0)-MATCH($H$1,floors!$1:$1,0)+1),MATCH(I$1,floors!$1:$1,0)-MATCH($H$1,floors!$1:$1,0)+1,FALSE)</f>
        <v>60</v>
      </c>
      <c r="J7" s="157">
        <f ca="1">VLOOKUP($H7,OFFSET(floors!$A$1,0,0,COUNTA(floors!$A:$A),MATCH(J$1,floors!$1:$1,0)-MATCH($H$1,floors!$1:$1,0)+1),MATCH(J$1,floors!$1:$1,0)-MATCH($H$1,floors!$1:$1,0)+1,FALSE)</f>
        <v>60</v>
      </c>
      <c r="K7" s="158">
        <v>2</v>
      </c>
      <c r="L7" s="159">
        <v>1094</v>
      </c>
      <c r="M7" s="160" t="str">
        <f ca="1">VLOOKUP($L7,OFFSET([3]enemies!$A$1,0,0,COUNTA([3]enemies!$A:$A),MATCH(M$1,[3]enemies!$1:$1,0)-MATCH($L$1,[3]enemies!$1:$1,0)+1),MATCH(M$1,[3]enemies!$1:$1,0)-MATCH($L$1,[3]enemies!$1:$1,0)+1,FALSE)</f>
        <v>メルクシャ</v>
      </c>
      <c r="N7" s="160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60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60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60">
        <f ca="1">VLOOKUP($L7,OFFSET([3]enemies!$A$1,0,0,COUNTA([3]enemies!$A:$A),MATCH(Q$1,[3]enemies!$1:$1,0)-MATCH($L$1,[3]enemies!$1:$1,0)+1),MATCH(Q$1,[3]enemies!$1:$1,0)-MATCH($L$1,[3]enemies!$1:$1,0)+1,FALSE)</f>
        <v>30</v>
      </c>
      <c r="R7" s="161">
        <v>10</v>
      </c>
      <c r="S7" s="162">
        <v>2.4</v>
      </c>
      <c r="T7" s="163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32292</v>
      </c>
      <c r="U7" s="169">
        <v>0.8</v>
      </c>
      <c r="V7" s="163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904.80000000000007</v>
      </c>
      <c r="W7" s="161">
        <v>0</v>
      </c>
      <c r="X7" s="157" t="e">
        <f ca="1">VLOOKUP($Y7,OFFSET([5]enemy_skill_sets!$B$1,0,0,COUNTA([5]enemy_skill_sets!$B:$B),MATCH(M$1,[5]enemy_skill_sets!$1:$1,0)-MATCH($Y$1,[5]enemy_skill_sets!$1:$1,0)+2),MATCH(M$1,[5]enemy_skill_sets!$1:$1,0)-MATCH($Y$1,[5]enemy_skill_sets!$1:$1,0)+2,FALSE)</f>
        <v>#VALUE!</v>
      </c>
      <c r="Y7" s="170">
        <v>20021106</v>
      </c>
      <c r="Z7" s="164">
        <v>1</v>
      </c>
      <c r="AA7" s="164">
        <v>100</v>
      </c>
      <c r="AB7" s="164">
        <v>1</v>
      </c>
      <c r="AC7" s="160">
        <v>2</v>
      </c>
      <c r="AD7" s="165">
        <f t="shared" si="3"/>
        <v>1094</v>
      </c>
      <c r="AE7" s="157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メルクシャ</v>
      </c>
      <c r="AF7" s="157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157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Drop2N</v>
      </c>
      <c r="AH7" s="166">
        <v>1</v>
      </c>
      <c r="AI7" s="165">
        <f t="shared" ca="1" si="4"/>
        <v>4</v>
      </c>
      <c r="AJ7" s="167">
        <v>20</v>
      </c>
      <c r="AK7" s="166">
        <v>0</v>
      </c>
      <c r="AL7" s="166">
        <v>0</v>
      </c>
      <c r="AM7" s="166">
        <v>0</v>
      </c>
      <c r="AN7" s="166">
        <v>0</v>
      </c>
      <c r="AO7" s="166">
        <v>1</v>
      </c>
      <c r="AP7" s="168">
        <v>1</v>
      </c>
    </row>
    <row r="8" spans="1:42" ht="21" customHeight="1" thickTop="1" x14ac:dyDescent="0.15">
      <c r="A8" s="16" t="str">
        <f ca="1">B8&amp;"_"&amp;C8&amp;"-"&amp;G8&amp;"/"&amp;L8&amp;"&lt;lv"&amp;R8&amp;"&gt;s"&amp;AC8</f>
        <v>20021_2-1/45&lt;lv30&gt;s3</v>
      </c>
      <c r="B8" s="22">
        <v>20021</v>
      </c>
      <c r="C8" s="142">
        <v>2</v>
      </c>
      <c r="D8" s="143" t="str">
        <f>B8&amp;"_"&amp;C8</f>
        <v>20021_2</v>
      </c>
      <c r="E8" s="4" t="str">
        <f ca="1">VLOOKUP($B8,OFFSET([2]quests!$A$1,0,0,COUNTA([2]quests!$A:$A),MATCH(E$1,[2]quests!$1:$1,0)-MATCH($B$1,[2]quests!$1:$1,0)+1),MATCH(E$1,[2]quests!$1:$1,0)-MATCH($B$1,[2]quests!$1:$1,0)+1,FALSE)</f>
        <v>ペインター・オブ・ラブ</v>
      </c>
      <c r="F8" s="4" t="str">
        <f ca="1">VLOOKUP($D8,OFFSET([2]stages!$A$1,0,0,COUNTA([2]stages!$A:$A),MATCH(F$1,[2]stages!$2:$2,0)-MATCH($D$1,[2]stages!$2:$2,0)+1),MATCH(F$1,[2]stages!$2:$2,0)-MATCH($D$1,[2]stages!$2:$2,0)+1,FALSE)</f>
        <v>【中級】ペインター・オブ・ラブ</v>
      </c>
      <c r="G8" s="142">
        <v>1</v>
      </c>
      <c r="H8" s="143" t="str">
        <f>B8&amp;"_"&amp;C8&amp;"-"&amp;G8</f>
        <v>20021_2-1</v>
      </c>
      <c r="I8" s="4">
        <f ca="1">VLOOKUP($H8,OFFSET(floors!$A$1,0,0,COUNTA(floors!$A:$A),MATCH(I$1,floors!$1:$1,0)-MATCH($H$1,floors!$1:$1,0)+1),MATCH(I$1,floors!$1:$1,0)-MATCH($H$1,floors!$1:$1,0)+1,FALSE)</f>
        <v>45</v>
      </c>
      <c r="J8" s="4">
        <f ca="1">VLOOKUP($H8,OFFSET(floors!$A$1,0,0,COUNTA(floors!$A:$A),MATCH(J$1,floors!$1:$1,0)-MATCH($H$1,floors!$1:$1,0)+1),MATCH(J$1,floors!$1:$1,0)-MATCH($H$1,floors!$1:$1,0)+1,FALSE)</f>
        <v>45</v>
      </c>
      <c r="K8" s="144" t="s">
        <v>53</v>
      </c>
      <c r="L8" s="145">
        <v>45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ショウイン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146">
        <v>30</v>
      </c>
      <c r="S8" s="147">
        <v>2</v>
      </c>
      <c r="T8" s="148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18270</v>
      </c>
      <c r="U8" s="147">
        <v>0.5</v>
      </c>
      <c r="V8" s="148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866</v>
      </c>
      <c r="W8" s="146">
        <v>0</v>
      </c>
      <c r="X8" s="4" t="e">
        <f ca="1">VLOOKUP($Y8,OFFSET([5]enemy_skill_sets!$B$1,0,0,COUNTA([5]enemy_skill_sets!$B:$B),MATCH(M$1,[5]enemy_skill_sets!$1:$1,0)-MATCH($Y$1,[5]enemy_skill_sets!$1:$1,0)+2),MATCH(M$1,[5]enemy_skill_sets!$1:$1,0)-MATCH($Y$1,[5]enemy_skill_sets!$1:$1,0)+2,FALSE)</f>
        <v>#VALUE!</v>
      </c>
      <c r="Y8" s="4">
        <v>0</v>
      </c>
      <c r="Z8" s="149">
        <v>1</v>
      </c>
      <c r="AA8" s="149">
        <v>100</v>
      </c>
      <c r="AB8" s="149">
        <v>1</v>
      </c>
      <c r="AC8" s="17">
        <f ca="1">VLOOKUP($L8,OFFSET([3]enemies!$A$1,0,0,COUNTA([3]enemies!$A:$A),MATCH(AC$1,[3]enemies!$1:$1,0)-MATCH($L$1,[3]enemies!$1:$1,0)+1),MATCH(AC$1,[3]enemies!$1:$1,0)-MATCH($L$1,[3]enemies!$1:$1,0)+1,FALSE)</f>
        <v>3</v>
      </c>
      <c r="AD8" s="150">
        <f>L8</f>
        <v>45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ショウイン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2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Drop1N</v>
      </c>
      <c r="AH8" s="151">
        <v>1</v>
      </c>
      <c r="AI8" s="150">
        <f ca="1">AF8</f>
        <v>2</v>
      </c>
      <c r="AJ8" s="152">
        <v>60</v>
      </c>
      <c r="AK8" s="151">
        <v>0</v>
      </c>
      <c r="AL8" s="151">
        <v>0</v>
      </c>
      <c r="AM8" s="151">
        <v>0</v>
      </c>
      <c r="AN8" s="151">
        <v>0</v>
      </c>
      <c r="AO8" s="151">
        <v>1</v>
      </c>
      <c r="AP8" s="153">
        <v>1</v>
      </c>
    </row>
    <row r="9" spans="1:42" ht="21" customHeight="1" x14ac:dyDescent="0.15">
      <c r="A9" s="16" t="str">
        <f ca="1">B9&amp;"_"&amp;C9&amp;"-"&amp;G9&amp;"/"&amp;L9&amp;"&lt;lv"&amp;R9&amp;"&gt;s"&amp;AC9</f>
        <v>20021_2-1/25&lt;lv30&gt;s3</v>
      </c>
      <c r="B9" s="22">
        <v>20021</v>
      </c>
      <c r="C9" s="21">
        <v>2</v>
      </c>
      <c r="D9" s="2" t="str">
        <f>B9&amp;"_"&amp;C9</f>
        <v>20021_2</v>
      </c>
      <c r="E9" s="4" t="str">
        <f ca="1">VLOOKUP($B9,OFFSET([2]quests!$A$1,0,0,COUNTA([2]quests!$A:$A),MATCH(E$1,[2]quests!$1:$1,0)-MATCH($B$1,[2]quests!$1:$1,0)+1),MATCH(E$1,[2]quests!$1:$1,0)-MATCH($B$1,[2]quests!$1:$1,0)+1,FALSE)</f>
        <v>ペインター・オブ・ラブ</v>
      </c>
      <c r="F9" s="4" t="str">
        <f ca="1">VLOOKUP($D9,OFFSET([2]stages!$A$1,0,0,COUNTA([2]stages!$A:$A),MATCH(F$1,[2]stages!$2:$2,0)-MATCH($D$1,[2]stages!$2:$2,0)+1),MATCH(F$1,[2]stages!$2:$2,0)-MATCH($D$1,[2]stages!$2:$2,0)+1,FALSE)</f>
        <v>【中級】ペインター・オブ・ラブ</v>
      </c>
      <c r="G9" s="21">
        <v>1</v>
      </c>
      <c r="H9" s="15" t="str">
        <f>B9&amp;"_"&amp;C9&amp;"-"&amp;G9</f>
        <v>20021_2-1</v>
      </c>
      <c r="I9" s="4">
        <f ca="1">VLOOKUP($H9,OFFSET(floors!$A$1,0,0,COUNTA(floors!$A:$A),MATCH(I$1,floors!$1:$1,0)-MATCH($H$1,floors!$1:$1,0)+1),MATCH(I$1,floors!$1:$1,0)-MATCH($H$1,floors!$1:$1,0)+1,FALSE)</f>
        <v>45</v>
      </c>
      <c r="J9" s="4">
        <f ca="1">VLOOKUP($H9,OFFSET(floors!$A$1,0,0,COUNTA(floors!$A:$A),MATCH(J$1,floors!$1:$1,0)-MATCH($H$1,floors!$1:$1,0)+1),MATCH(J$1,floors!$1:$1,0)-MATCH($H$1,floors!$1:$1,0)+1,FALSE)</f>
        <v>45</v>
      </c>
      <c r="K9" s="38" t="s">
        <v>53</v>
      </c>
      <c r="L9" s="20">
        <v>25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ハチ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30</v>
      </c>
      <c r="S9" s="25">
        <v>1.4</v>
      </c>
      <c r="T9" s="104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12789</v>
      </c>
      <c r="U9" s="25">
        <v>0.7</v>
      </c>
      <c r="V9" s="104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1212.3999999999999</v>
      </c>
      <c r="W9" s="5">
        <v>0</v>
      </c>
      <c r="X9" s="4" t="e">
        <f ca="1">VLOOKUP($Y9,OFFSET([5]enemy_skill_sets!$B$1,0,0,COUNTA([5]enemy_skill_sets!$B:$B),MATCH(M$1,[5]enemy_skill_sets!$1:$1,0)-MATCH($Y$1,[5]enemy_skill_sets!$1:$1,0)+2),MATCH(M$1,[5]enemy_skill_sets!$1:$1,0)-MATCH($Y$1,[5]enemy_skill_sets!$1:$1,0)+2,FALSE)</f>
        <v>#VALUE!</v>
      </c>
      <c r="Y9" s="4">
        <v>0</v>
      </c>
      <c r="Z9" s="6">
        <v>2</v>
      </c>
      <c r="AA9" s="6">
        <v>100</v>
      </c>
      <c r="AB9" s="6">
        <v>0</v>
      </c>
      <c r="AC9" s="17">
        <f ca="1">VLOOKUP($L9,OFFSET([3]enemies!$A$1,0,0,COUNTA([3]enemies!$A:$A),MATCH(AC$1,[3]enemies!$1:$1,0)-MATCH($L$1,[3]enemies!$1:$1,0)+1),MATCH(AC$1,[3]enemies!$1:$1,0)-MATCH($L$1,[3]enemies!$1:$1,0)+1,FALSE)</f>
        <v>3</v>
      </c>
      <c r="AD9" s="24">
        <f>L9</f>
        <v>25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ハチ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1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Drop1N</v>
      </c>
      <c r="AH9" s="7">
        <v>1</v>
      </c>
      <c r="AI9" s="24">
        <f ca="1">AF9</f>
        <v>1</v>
      </c>
      <c r="AJ9" s="8">
        <v>60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9">
        <v>1</v>
      </c>
    </row>
    <row r="10" spans="1:42" ht="21" customHeight="1" x14ac:dyDescent="0.15">
      <c r="A10" s="16" t="str">
        <f t="shared" ref="A10:A13" ca="1" si="10">B10&amp;"_"&amp;C10&amp;"-"&amp;G10&amp;"/"&amp;L10&amp;"&lt;lv"&amp;R10&amp;"&gt;s"&amp;AC10</f>
        <v>20021_2-2/264&lt;lv30&gt;s2</v>
      </c>
      <c r="B10" s="22">
        <v>20021</v>
      </c>
      <c r="C10" s="21">
        <v>2</v>
      </c>
      <c r="D10" s="2" t="str">
        <f t="shared" ref="D10:D13" si="11">B10&amp;"_"&amp;C10</f>
        <v>20021_2</v>
      </c>
      <c r="E10" s="4" t="str">
        <f ca="1">VLOOKUP($B10,OFFSET([2]quests!$A$1,0,0,COUNTA([2]quests!$A:$A),MATCH(E$1,[2]quests!$1:$1,0)-MATCH($B$1,[2]quests!$1:$1,0)+1),MATCH(E$1,[2]quests!$1:$1,0)-MATCH($B$1,[2]quests!$1:$1,0)+1,FALSE)</f>
        <v>ペインター・オブ・ラブ</v>
      </c>
      <c r="F10" s="4" t="str">
        <f ca="1">VLOOKUP($D10,OFFSET([2]stages!$A$1,0,0,COUNTA([2]stages!$A:$A),MATCH(F$1,[2]stages!$2:$2,0)-MATCH($D$1,[2]stages!$2:$2,0)+1),MATCH(F$1,[2]stages!$2:$2,0)-MATCH($D$1,[2]stages!$2:$2,0)+1,FALSE)</f>
        <v>【中級】ペインター・オブ・ラブ</v>
      </c>
      <c r="G10" s="21">
        <v>2</v>
      </c>
      <c r="H10" s="15" t="str">
        <f t="shared" ref="H10:H13" si="12">B10&amp;"_"&amp;C10&amp;"-"&amp;G10</f>
        <v>20021_2-2</v>
      </c>
      <c r="I10" s="4">
        <f ca="1">VLOOKUP($H10,OFFSET(floors!$A$1,0,0,COUNTA(floors!$A:$A),MATCH(I$1,floors!$1:$1,0)-MATCH($H$1,floors!$1:$1,0)+1),MATCH(I$1,floors!$1:$1,0)-MATCH($H$1,floors!$1:$1,0)+1,FALSE)</f>
        <v>30</v>
      </c>
      <c r="J10" s="4">
        <f ca="1">VLOOKUP($H10,OFFSET(floors!$A$1,0,0,COUNTA(floors!$A:$A),MATCH(J$1,floors!$1:$1,0)-MATCH($H$1,floors!$1:$1,0)+1),MATCH(J$1,floors!$1:$1,0)-MATCH($H$1,floors!$1:$1,0)+1,FALSE)</f>
        <v>30</v>
      </c>
      <c r="K10" s="38">
        <v>3</v>
      </c>
      <c r="L10" s="20">
        <v>264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ユニコーン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Drop2W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20</v>
      </c>
      <c r="R10" s="5">
        <v>30</v>
      </c>
      <c r="S10" s="25">
        <v>0.8</v>
      </c>
      <c r="T10" s="104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40997.600000000006</v>
      </c>
      <c r="U10" s="25">
        <v>0.6</v>
      </c>
      <c r="V10" s="104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1621.2</v>
      </c>
      <c r="W10" s="5">
        <v>0</v>
      </c>
      <c r="X10" s="4" t="e">
        <f ca="1">VLOOKUP($Y10,OFFSET([5]enemy_skill_sets!$B$1,0,0,COUNTA([5]enemy_skill_sets!$B:$B),MATCH(M$1,[5]enemy_skill_sets!$1:$1,0)-MATCH($Y$1,[5]enemy_skill_sets!$1:$1,0)+2),MATCH(M$1,[5]enemy_skill_sets!$1:$1,0)-MATCH($Y$1,[5]enemy_skill_sets!$1:$1,0)+2,FALSE)</f>
        <v>#VALUE!</v>
      </c>
      <c r="Y10" s="4">
        <v>20021100</v>
      </c>
      <c r="Z10" s="6">
        <v>1</v>
      </c>
      <c r="AA10" s="6">
        <v>100</v>
      </c>
      <c r="AB10" s="6">
        <v>1</v>
      </c>
      <c r="AC10" s="17">
        <f ca="1">VLOOKUP($L10,OFFSET([3]enemies!$A$1,0,0,COUNTA([3]enemies!$A:$A),MATCH(AC$1,[3]enemies!$1:$1,0)-MATCH($L$1,[3]enemies!$1:$1,0)+1),MATCH(AC$1,[3]enemies!$1:$1,0)-MATCH($L$1,[3]enemies!$1:$1,0)+1,FALSE)</f>
        <v>2</v>
      </c>
      <c r="AD10" s="24">
        <f t="shared" ref="AD10:AD13" si="13">L10</f>
        <v>264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ユニコーン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3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Drop2W</v>
      </c>
      <c r="AH10" s="7">
        <v>1</v>
      </c>
      <c r="AI10" s="24">
        <f t="shared" ref="AI10:AI13" ca="1" si="14">AF10</f>
        <v>3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9">
        <v>1</v>
      </c>
    </row>
    <row r="11" spans="1:42" ht="21" customHeight="1" x14ac:dyDescent="0.15">
      <c r="A11" s="16" t="str">
        <f t="shared" ca="1" si="10"/>
        <v>20021_2-3/374&lt;lv30&gt;s1</v>
      </c>
      <c r="B11" s="22">
        <v>20021</v>
      </c>
      <c r="C11" s="21">
        <v>2</v>
      </c>
      <c r="D11" s="2" t="str">
        <f t="shared" si="11"/>
        <v>20021_2</v>
      </c>
      <c r="E11" s="4" t="str">
        <f ca="1">VLOOKUP($B11,OFFSET([2]quests!$A$1,0,0,COUNTA([2]quests!$A:$A),MATCH(E$1,[2]quests!$1:$1,0)-MATCH($B$1,[2]quests!$1:$1,0)+1),MATCH(E$1,[2]quests!$1:$1,0)-MATCH($B$1,[2]quests!$1:$1,0)+1,FALSE)</f>
        <v>ペインター・オブ・ラブ</v>
      </c>
      <c r="F11" s="4" t="str">
        <f ca="1">VLOOKUP($D11,OFFSET([2]stages!$A$1,0,0,COUNTA([2]stages!$A:$A),MATCH(F$1,[2]stages!$2:$2,0)-MATCH($D$1,[2]stages!$2:$2,0)+1),MATCH(F$1,[2]stages!$2:$2,0)-MATCH($D$1,[2]stages!$2:$2,0)+1,FALSE)</f>
        <v>【中級】ペインター・オブ・ラブ</v>
      </c>
      <c r="G11" s="21">
        <v>3</v>
      </c>
      <c r="H11" s="15" t="str">
        <f t="shared" si="12"/>
        <v>20021_2-3</v>
      </c>
      <c r="I11" s="4">
        <f ca="1">VLOOKUP($H11,OFFSET(floors!$A$1,0,0,COUNTA(floors!$A:$A),MATCH(I$1,floors!$1:$1,0)-MATCH($H$1,floors!$1:$1,0)+1),MATCH(I$1,floors!$1:$1,0)-MATCH($H$1,floors!$1:$1,0)+1,FALSE)</f>
        <v>45</v>
      </c>
      <c r="J11" s="4">
        <f ca="1">VLOOKUP($H11,OFFSET(floors!$A$1,0,0,COUNTA(floors!$A:$A),MATCH(J$1,floors!$1:$1,0)-MATCH($H$1,floors!$1:$1,0)+1),MATCH(J$1,floors!$1:$1,0)-MATCH($H$1,floors!$1:$1,0)+1,FALSE)</f>
        <v>45</v>
      </c>
      <c r="K11" s="38" t="s">
        <v>53</v>
      </c>
      <c r="L11" s="20">
        <v>374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影丸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blue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30</v>
      </c>
      <c r="S11" s="25">
        <v>1.5</v>
      </c>
      <c r="T11" s="104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8505</v>
      </c>
      <c r="U11" s="25">
        <v>0.7</v>
      </c>
      <c r="V11" s="104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1283.8</v>
      </c>
      <c r="W11" s="5">
        <v>0</v>
      </c>
      <c r="X11" s="4" t="e">
        <f ca="1">VLOOKUP($Y11,OFFSET([5]enemy_skill_sets!$B$1,0,0,COUNTA([5]enemy_skill_sets!$B:$B),MATCH(M$1,[5]enemy_skill_sets!$1:$1,0)-MATCH($Y$1,[5]enemy_skill_sets!$1:$1,0)+2),MATCH(M$1,[5]enemy_skill_sets!$1:$1,0)-MATCH($Y$1,[5]enemy_skill_sets!$1:$1,0)+2,FALSE)</f>
        <v>#VALUE!</v>
      </c>
      <c r="Y11" s="4">
        <v>20021104</v>
      </c>
      <c r="Z11" s="6">
        <v>1</v>
      </c>
      <c r="AA11" s="6">
        <v>100</v>
      </c>
      <c r="AB11" s="6">
        <v>1</v>
      </c>
      <c r="AC11" s="17">
        <f ca="1">VLOOKUP($L11,OFFSET([3]enemies!$A$1,0,0,COUNTA([3]enemies!$A:$A),MATCH(AC$1,[3]enemies!$1:$1,0)-MATCH($L$1,[3]enemies!$1:$1,0)+1),MATCH(AC$1,[3]enemies!$1:$1,0)-MATCH($L$1,[3]enemies!$1:$1,0)+1,FALSE)</f>
        <v>1</v>
      </c>
      <c r="AD11" s="24">
        <f t="shared" si="13"/>
        <v>374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影丸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2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Drop1S</v>
      </c>
      <c r="AH11" s="7">
        <v>1</v>
      </c>
      <c r="AI11" s="24">
        <f t="shared" ca="1" si="14"/>
        <v>2</v>
      </c>
      <c r="AJ11" s="8">
        <v>60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9">
        <v>1</v>
      </c>
    </row>
    <row r="12" spans="1:42" ht="21" customHeight="1" x14ac:dyDescent="0.15">
      <c r="A12" s="16" t="str">
        <f t="shared" ca="1" si="10"/>
        <v>20021_2-3/59&lt;lv30&gt;s2</v>
      </c>
      <c r="B12" s="22">
        <v>20021</v>
      </c>
      <c r="C12" s="21">
        <v>2</v>
      </c>
      <c r="D12" s="2" t="str">
        <f t="shared" si="11"/>
        <v>20021_2</v>
      </c>
      <c r="E12" s="4" t="str">
        <f ca="1">VLOOKUP($B12,OFFSET([2]quests!$A$1,0,0,COUNTA([2]quests!$A:$A),MATCH(E$1,[2]quests!$1:$1,0)-MATCH($B$1,[2]quests!$1:$1,0)+1),MATCH(E$1,[2]quests!$1:$1,0)-MATCH($B$1,[2]quests!$1:$1,0)+1,FALSE)</f>
        <v>ペインター・オブ・ラブ</v>
      </c>
      <c r="F12" s="4" t="str">
        <f ca="1">VLOOKUP($D12,OFFSET([2]stages!$A$1,0,0,COUNTA([2]stages!$A:$A),MATCH(F$1,[2]stages!$2:$2,0)-MATCH($D$1,[2]stages!$2:$2,0)+1),MATCH(F$1,[2]stages!$2:$2,0)-MATCH($D$1,[2]stages!$2:$2,0)+1,FALSE)</f>
        <v>【中級】ペインター・オブ・ラブ</v>
      </c>
      <c r="G12" s="21">
        <v>3</v>
      </c>
      <c r="H12" s="15" t="str">
        <f t="shared" si="12"/>
        <v>20021_2-3</v>
      </c>
      <c r="I12" s="4">
        <f ca="1">VLOOKUP($H12,OFFSET(floors!$A$1,0,0,COUNTA(floors!$A:$A),MATCH(I$1,floors!$1:$1,0)-MATCH($H$1,floors!$1:$1,0)+1),MATCH(I$1,floors!$1:$1,0)-MATCH($H$1,floors!$1:$1,0)+1,FALSE)</f>
        <v>45</v>
      </c>
      <c r="J12" s="4">
        <f ca="1">VLOOKUP($H12,OFFSET(floors!$A$1,0,0,COUNTA(floors!$A:$A),MATCH(J$1,floors!$1:$1,0)-MATCH($H$1,floors!$1:$1,0)+1),MATCH(J$1,floors!$1:$1,0)-MATCH($H$1,floors!$1:$1,0)+1,FALSE)</f>
        <v>45</v>
      </c>
      <c r="K12" s="38" t="s">
        <v>53</v>
      </c>
      <c r="L12" s="20">
        <v>59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マーチ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30</v>
      </c>
      <c r="S12" s="25">
        <v>1.4</v>
      </c>
      <c r="T12" s="104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7197.4</v>
      </c>
      <c r="U12" s="25">
        <v>0.4</v>
      </c>
      <c r="V12" s="104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635.6</v>
      </c>
      <c r="W12" s="5">
        <v>0</v>
      </c>
      <c r="X12" s="4" t="e">
        <f ca="1">VLOOKUP($Y12,OFFSET([5]enemy_skill_sets!$B$1,0,0,COUNTA([5]enemy_skill_sets!$B:$B),MATCH(M$1,[5]enemy_skill_sets!$1:$1,0)-MATCH($Y$1,[5]enemy_skill_sets!$1:$1,0)+2),MATCH(M$1,[5]enemy_skill_sets!$1:$1,0)-MATCH($Y$1,[5]enemy_skill_sets!$1:$1,0)+2,FALSE)</f>
        <v>#VALUE!</v>
      </c>
      <c r="Y12" s="4">
        <v>20021105</v>
      </c>
      <c r="Z12" s="6">
        <v>2</v>
      </c>
      <c r="AA12" s="6">
        <v>100</v>
      </c>
      <c r="AB12" s="6">
        <v>0</v>
      </c>
      <c r="AC12" s="17">
        <f ca="1">VLOOKUP($L12,OFFSET([3]enemies!$A$1,0,0,COUNTA([3]enemies!$A:$A),MATCH(AC$1,[3]enemies!$1:$1,0)-MATCH($L$1,[3]enemies!$1:$1,0)+1),MATCH(AC$1,[3]enemies!$1:$1,0)-MATCH($L$1,[3]enemies!$1:$1,0)+1,FALSE)</f>
        <v>2</v>
      </c>
      <c r="AD12" s="24">
        <f t="shared" si="13"/>
        <v>59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マーチ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2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Drop1N</v>
      </c>
      <c r="AH12" s="7">
        <v>1</v>
      </c>
      <c r="AI12" s="24">
        <f t="shared" ca="1" si="14"/>
        <v>2</v>
      </c>
      <c r="AJ12" s="8">
        <v>60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9">
        <v>1</v>
      </c>
    </row>
    <row r="13" spans="1:42" ht="21" customHeight="1" thickBot="1" x14ac:dyDescent="0.2">
      <c r="A13" s="16" t="str">
        <f t="shared" si="10"/>
        <v>20021_2-4/1094&lt;lv30&gt;s2</v>
      </c>
      <c r="B13" s="154">
        <v>20021</v>
      </c>
      <c r="C13" s="155">
        <v>2</v>
      </c>
      <c r="D13" s="156" t="str">
        <f t="shared" si="11"/>
        <v>20021_2</v>
      </c>
      <c r="E13" s="157" t="str">
        <f ca="1">VLOOKUP($B13,OFFSET([2]quests!$A$1,0,0,COUNTA([2]quests!$A:$A),MATCH(E$1,[2]quests!$1:$1,0)-MATCH($B$1,[2]quests!$1:$1,0)+1),MATCH(E$1,[2]quests!$1:$1,0)-MATCH($B$1,[2]quests!$1:$1,0)+1,FALSE)</f>
        <v>ペインター・オブ・ラブ</v>
      </c>
      <c r="F13" s="157" t="str">
        <f ca="1">VLOOKUP($D13,OFFSET([2]stages!$A$1,0,0,COUNTA([2]stages!$A:$A),MATCH(F$1,[2]stages!$2:$2,0)-MATCH($D$1,[2]stages!$2:$2,0)+1),MATCH(F$1,[2]stages!$2:$2,0)-MATCH($D$1,[2]stages!$2:$2,0)+1,FALSE)</f>
        <v>【中級】ペインター・オブ・ラブ</v>
      </c>
      <c r="G13" s="155">
        <v>4</v>
      </c>
      <c r="H13" s="156" t="str">
        <f t="shared" si="12"/>
        <v>20021_2-4</v>
      </c>
      <c r="I13" s="157">
        <f ca="1">VLOOKUP($H13,OFFSET(floors!$A$1,0,0,COUNTA(floors!$A:$A),MATCH(I$1,floors!$1:$1,0)-MATCH($H$1,floors!$1:$1,0)+1),MATCH(I$1,floors!$1:$1,0)-MATCH($H$1,floors!$1:$1,0)+1,FALSE)</f>
        <v>60</v>
      </c>
      <c r="J13" s="157">
        <f ca="1">VLOOKUP($H13,OFFSET(floors!$A$1,0,0,COUNTA(floors!$A:$A),MATCH(J$1,floors!$1:$1,0)-MATCH($H$1,floors!$1:$1,0)+1),MATCH(J$1,floors!$1:$1,0)-MATCH($H$1,floors!$1:$1,0)+1,FALSE)</f>
        <v>60</v>
      </c>
      <c r="K13" s="158">
        <v>4</v>
      </c>
      <c r="L13" s="159">
        <v>1094</v>
      </c>
      <c r="M13" s="160" t="str">
        <f ca="1">VLOOKUP($L13,OFFSET([3]enemies!$A$1,0,0,COUNTA([3]enemies!$A:$A),MATCH(M$1,[3]enemies!$1:$1,0)-MATCH($L$1,[3]enemies!$1:$1,0)+1),MATCH(M$1,[3]enemies!$1:$1,0)-MATCH($L$1,[3]enemies!$1:$1,0)+1,FALSE)</f>
        <v>メルクシャ</v>
      </c>
      <c r="N13" s="160" t="str">
        <f ca="1">VLOOKUP($L13,OFFSET([3]enemies!$A$1,0,0,COUNTA([3]enemies!$A:$A),MATCH(N$1,[3]enemies!$1:$1,0)-MATCH($L$1,[3]enemies!$1:$1,0)+1),MATCH(N$1,[3]enemies!$1:$1,0)-MATCH($L$1,[3]enemies!$1:$1,0)+1,FALSE)</f>
        <v>blue</v>
      </c>
      <c r="O13" s="160" t="str">
        <f ca="1">VLOOKUP($L13,OFFSET([4]characters!$A$1,0,0,COUNTA([4]characters!$A:$A),MATCH(O$1,[4]characters!$1:$1,0)-MATCH($L$1,[4]characters!$1:$1,0)+1),MATCH(O$1,[4]characters!$1:$1,0)-MATCH($L$1,[4]characters!$1:$1,0)+1,FALSE)</f>
        <v>Drop2N</v>
      </c>
      <c r="P13" s="160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60">
        <f ca="1">VLOOKUP($L13,OFFSET([3]enemies!$A$1,0,0,COUNTA([3]enemies!$A:$A),MATCH(Q$1,[3]enemies!$1:$1,0)-MATCH($L$1,[3]enemies!$1:$1,0)+1),MATCH(Q$1,[3]enemies!$1:$1,0)-MATCH($L$1,[3]enemies!$1:$1,0)+1,FALSE)</f>
        <v>30</v>
      </c>
      <c r="R13" s="161">
        <v>30</v>
      </c>
      <c r="S13" s="162">
        <v>2.4</v>
      </c>
      <c r="T13" s="163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88452</v>
      </c>
      <c r="U13" s="169">
        <v>0.8</v>
      </c>
      <c r="V13" s="163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2479.2000000000003</v>
      </c>
      <c r="W13" s="161">
        <v>0</v>
      </c>
      <c r="X13" s="157" t="e">
        <f ca="1">VLOOKUP($Y13,OFFSET([5]enemy_skill_sets!$B$1,0,0,COUNTA([5]enemy_skill_sets!$B:$B),MATCH(M$1,[5]enemy_skill_sets!$1:$1,0)-MATCH($Y$1,[5]enemy_skill_sets!$1:$1,0)+2),MATCH(M$1,[5]enemy_skill_sets!$1:$1,0)-MATCH($Y$1,[5]enemy_skill_sets!$1:$1,0)+2,FALSE)</f>
        <v>#VALUE!</v>
      </c>
      <c r="Y13" s="170">
        <v>20021106</v>
      </c>
      <c r="Z13" s="164">
        <v>1</v>
      </c>
      <c r="AA13" s="164">
        <v>100</v>
      </c>
      <c r="AB13" s="164">
        <v>1</v>
      </c>
      <c r="AC13" s="160">
        <v>2</v>
      </c>
      <c r="AD13" s="165">
        <f t="shared" si="13"/>
        <v>1094</v>
      </c>
      <c r="AE13" s="157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メルクシャ</v>
      </c>
      <c r="AF13" s="157">
        <f ca="1">VLOOKUP($AD13,OFFSET([4]characters!$A$1,0,0,COUNTA([4]characters!$A:$A),MATCH(AF$1,[4]characters!$1:$1,0)-MATCH("character_id",[4]characters!$1:$1,0)+1),MATCH(AF$1,[4]characters!$1:$1,0)-MATCH("character_id",[4]characters!$1:$1,0)+1,FALSE)</f>
        <v>4</v>
      </c>
      <c r="AG13" s="157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Drop2N</v>
      </c>
      <c r="AH13" s="166">
        <v>1</v>
      </c>
      <c r="AI13" s="165">
        <f t="shared" ca="1" si="14"/>
        <v>4</v>
      </c>
      <c r="AJ13" s="167">
        <v>50</v>
      </c>
      <c r="AK13" s="166">
        <v>0</v>
      </c>
      <c r="AL13" s="166">
        <v>0</v>
      </c>
      <c r="AM13" s="166">
        <v>0</v>
      </c>
      <c r="AN13" s="166">
        <v>0</v>
      </c>
      <c r="AO13" s="166">
        <v>1</v>
      </c>
      <c r="AP13" s="168">
        <v>1</v>
      </c>
    </row>
    <row r="14" spans="1:42" ht="21" customHeight="1" thickTop="1" x14ac:dyDescent="0.15">
      <c r="A14" s="16" t="str">
        <f ca="1">B14&amp;"_"&amp;C14&amp;"-"&amp;G14&amp;"/"&amp;L14&amp;"&lt;lv"&amp;R14&amp;"&gt;s"&amp;AC14</f>
        <v>20021_3-1/45&lt;lv40&gt;s3</v>
      </c>
      <c r="B14" s="22">
        <v>20021</v>
      </c>
      <c r="C14" s="142">
        <v>3</v>
      </c>
      <c r="D14" s="143" t="str">
        <f>B14&amp;"_"&amp;C14</f>
        <v>20021_3</v>
      </c>
      <c r="E14" s="4" t="str">
        <f ca="1">VLOOKUP($B14,OFFSET([2]quests!$A$1,0,0,COUNTA([2]quests!$A:$A),MATCH(E$1,[2]quests!$1:$1,0)-MATCH($B$1,[2]quests!$1:$1,0)+1),MATCH(E$1,[2]quests!$1:$1,0)-MATCH($B$1,[2]quests!$1:$1,0)+1,FALSE)</f>
        <v>ペインター・オブ・ラブ</v>
      </c>
      <c r="F14" s="4" t="str">
        <f ca="1">VLOOKUP($D14,OFFSET([2]stages!$A$1,0,0,COUNTA([2]stages!$A:$A),MATCH(F$1,[2]stages!$2:$2,0)-MATCH($D$1,[2]stages!$2:$2,0)+1),MATCH(F$1,[2]stages!$2:$2,0)-MATCH($D$1,[2]stages!$2:$2,0)+1,FALSE)</f>
        <v>【上級】ペインター・オブ・ラブ</v>
      </c>
      <c r="G14" s="142">
        <v>1</v>
      </c>
      <c r="H14" s="143" t="str">
        <f>B14&amp;"_"&amp;C14&amp;"-"&amp;G14</f>
        <v>20021_3-1</v>
      </c>
      <c r="I14" s="4">
        <f ca="1">VLOOKUP($H14,OFFSET(floors!$A$1,0,0,COUNTA(floors!$A:$A),MATCH(I$1,floors!$1:$1,0)-MATCH($H$1,floors!$1:$1,0)+1),MATCH(I$1,floors!$1:$1,0)-MATCH($H$1,floors!$1:$1,0)+1,FALSE)</f>
        <v>45</v>
      </c>
      <c r="J14" s="4">
        <f ca="1">VLOOKUP($H14,OFFSET(floors!$A$1,0,0,COUNTA(floors!$A:$A),MATCH(J$1,floors!$1:$1,0)-MATCH($H$1,floors!$1:$1,0)+1),MATCH(J$1,floors!$1:$1,0)-MATCH($H$1,floors!$1:$1,0)+1,FALSE)</f>
        <v>45</v>
      </c>
      <c r="K14" s="144" t="s">
        <v>53</v>
      </c>
      <c r="L14" s="145">
        <v>45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ショウイン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blue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Drop1N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146">
        <v>40</v>
      </c>
      <c r="S14" s="147">
        <v>2</v>
      </c>
      <c r="T14" s="148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24070</v>
      </c>
      <c r="U14" s="147">
        <v>0.5</v>
      </c>
      <c r="V14" s="148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1141</v>
      </c>
      <c r="W14" s="146">
        <v>0</v>
      </c>
      <c r="X14" s="4" t="e">
        <f ca="1">VLOOKUP($Y14,OFFSET([5]enemy_skill_sets!$B$1,0,0,COUNTA([5]enemy_skill_sets!$B:$B),MATCH(M$1,[5]enemy_skill_sets!$1:$1,0)-MATCH($Y$1,[5]enemy_skill_sets!$1:$1,0)+2),MATCH(M$1,[5]enemy_skill_sets!$1:$1,0)-MATCH($Y$1,[5]enemy_skill_sets!$1:$1,0)+2,FALSE)</f>
        <v>#VALUE!</v>
      </c>
      <c r="Y14" s="4">
        <v>0</v>
      </c>
      <c r="Z14" s="149">
        <v>1</v>
      </c>
      <c r="AA14" s="149">
        <v>100</v>
      </c>
      <c r="AB14" s="149">
        <v>1</v>
      </c>
      <c r="AC14" s="17">
        <f ca="1">VLOOKUP($L14,OFFSET([3]enemies!$A$1,0,0,COUNTA([3]enemies!$A:$A),MATCH(AC$1,[3]enemies!$1:$1,0)-MATCH($L$1,[3]enemies!$1:$1,0)+1),MATCH(AC$1,[3]enemies!$1:$1,0)-MATCH($L$1,[3]enemies!$1:$1,0)+1,FALSE)</f>
        <v>3</v>
      </c>
      <c r="AD14" s="150">
        <f>L14</f>
        <v>45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ショウイン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2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Drop1N</v>
      </c>
      <c r="AH14" s="151">
        <v>1</v>
      </c>
      <c r="AI14" s="150">
        <f ca="1">AF14</f>
        <v>2</v>
      </c>
      <c r="AJ14" s="152">
        <v>60</v>
      </c>
      <c r="AK14" s="151">
        <v>0</v>
      </c>
      <c r="AL14" s="151">
        <v>0</v>
      </c>
      <c r="AM14" s="151">
        <v>0</v>
      </c>
      <c r="AN14" s="151">
        <v>0</v>
      </c>
      <c r="AO14" s="151">
        <v>1</v>
      </c>
      <c r="AP14" s="153">
        <v>1</v>
      </c>
    </row>
    <row r="15" spans="1:42" ht="21" customHeight="1" x14ac:dyDescent="0.15">
      <c r="A15" s="16" t="str">
        <f ca="1">B15&amp;"_"&amp;C15&amp;"-"&amp;G15&amp;"/"&amp;L15&amp;"&lt;lv"&amp;R15&amp;"&gt;s"&amp;AC15</f>
        <v>20021_3-1/25&lt;lv40&gt;s3</v>
      </c>
      <c r="B15" s="22">
        <v>20021</v>
      </c>
      <c r="C15" s="21">
        <v>3</v>
      </c>
      <c r="D15" s="2" t="str">
        <f>B15&amp;"_"&amp;C15</f>
        <v>20021_3</v>
      </c>
      <c r="E15" s="4" t="str">
        <f ca="1">VLOOKUP($B15,OFFSET([2]quests!$A$1,0,0,COUNTA([2]quests!$A:$A),MATCH(E$1,[2]quests!$1:$1,0)-MATCH($B$1,[2]quests!$1:$1,0)+1),MATCH(E$1,[2]quests!$1:$1,0)-MATCH($B$1,[2]quests!$1:$1,0)+1,FALSE)</f>
        <v>ペインター・オブ・ラブ</v>
      </c>
      <c r="F15" s="4" t="str">
        <f ca="1">VLOOKUP($D15,OFFSET([2]stages!$A$1,0,0,COUNTA([2]stages!$A:$A),MATCH(F$1,[2]stages!$2:$2,0)-MATCH($D$1,[2]stages!$2:$2,0)+1),MATCH(F$1,[2]stages!$2:$2,0)-MATCH($D$1,[2]stages!$2:$2,0)+1,FALSE)</f>
        <v>【上級】ペインター・オブ・ラブ</v>
      </c>
      <c r="G15" s="21">
        <v>1</v>
      </c>
      <c r="H15" s="15" t="str">
        <f>B15&amp;"_"&amp;C15&amp;"-"&amp;G15</f>
        <v>20021_3-1</v>
      </c>
      <c r="I15" s="4">
        <f ca="1">VLOOKUP($H15,OFFSET(floors!$A$1,0,0,COUNTA(floors!$A:$A),MATCH(I$1,floors!$1:$1,0)-MATCH($H$1,floors!$1:$1,0)+1),MATCH(I$1,floors!$1:$1,0)-MATCH($H$1,floors!$1:$1,0)+1,FALSE)</f>
        <v>45</v>
      </c>
      <c r="J15" s="4">
        <f ca="1">VLOOKUP($H15,OFFSET(floors!$A$1,0,0,COUNTA(floors!$A:$A),MATCH(J$1,floors!$1:$1,0)-MATCH($H$1,floors!$1:$1,0)+1),MATCH(J$1,floors!$1:$1,0)-MATCH($H$1,floors!$1:$1,0)+1,FALSE)</f>
        <v>45</v>
      </c>
      <c r="K15" s="38" t="s">
        <v>53</v>
      </c>
      <c r="L15" s="20">
        <v>25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ハチ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blue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Drop1N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17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40</v>
      </c>
      <c r="S15" s="25">
        <v>1.4</v>
      </c>
      <c r="T15" s="104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16849</v>
      </c>
      <c r="U15" s="25">
        <v>0.7</v>
      </c>
      <c r="V15" s="104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1597.3999999999999</v>
      </c>
      <c r="W15" s="5">
        <v>0</v>
      </c>
      <c r="X15" s="4" t="e">
        <f ca="1">VLOOKUP($Y15,OFFSET([5]enemy_skill_sets!$B$1,0,0,COUNTA([5]enemy_skill_sets!$B:$B),MATCH(M$1,[5]enemy_skill_sets!$1:$1,0)-MATCH($Y$1,[5]enemy_skill_sets!$1:$1,0)+2),MATCH(M$1,[5]enemy_skill_sets!$1:$1,0)-MATCH($Y$1,[5]enemy_skill_sets!$1:$1,0)+2,FALSE)</f>
        <v>#VALUE!</v>
      </c>
      <c r="Y15" s="4">
        <v>0</v>
      </c>
      <c r="Z15" s="6">
        <v>2</v>
      </c>
      <c r="AA15" s="6">
        <v>100</v>
      </c>
      <c r="AB15" s="6">
        <v>0</v>
      </c>
      <c r="AC15" s="17">
        <f ca="1">VLOOKUP($L15,OFFSET([3]enemies!$A$1,0,0,COUNTA([3]enemies!$A:$A),MATCH(AC$1,[3]enemies!$1:$1,0)-MATCH($L$1,[3]enemies!$1:$1,0)+1),MATCH(AC$1,[3]enemies!$1:$1,0)-MATCH($L$1,[3]enemies!$1:$1,0)+1,FALSE)</f>
        <v>3</v>
      </c>
      <c r="AD15" s="24">
        <f>L15</f>
        <v>25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ハチ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1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Drop1N</v>
      </c>
      <c r="AH15" s="7">
        <v>1</v>
      </c>
      <c r="AI15" s="24">
        <f ca="1">AF15</f>
        <v>1</v>
      </c>
      <c r="AJ15" s="8">
        <v>60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69">
        <v>1</v>
      </c>
    </row>
    <row r="16" spans="1:42" ht="21" customHeight="1" x14ac:dyDescent="0.15">
      <c r="A16" s="16" t="str">
        <f t="shared" ref="A16:A19" ca="1" si="15">B16&amp;"_"&amp;C16&amp;"-"&amp;G16&amp;"/"&amp;L16&amp;"&lt;lv"&amp;R16&amp;"&gt;s"&amp;AC16</f>
        <v>20021_3-2/264&lt;lv40&gt;s2</v>
      </c>
      <c r="B16" s="22">
        <v>20021</v>
      </c>
      <c r="C16" s="21">
        <v>3</v>
      </c>
      <c r="D16" s="2" t="str">
        <f t="shared" ref="D16:D19" si="16">B16&amp;"_"&amp;C16</f>
        <v>20021_3</v>
      </c>
      <c r="E16" s="4" t="str">
        <f ca="1">VLOOKUP($B16,OFFSET([2]quests!$A$1,0,0,COUNTA([2]quests!$A:$A),MATCH(E$1,[2]quests!$1:$1,0)-MATCH($B$1,[2]quests!$1:$1,0)+1),MATCH(E$1,[2]quests!$1:$1,0)-MATCH($B$1,[2]quests!$1:$1,0)+1,FALSE)</f>
        <v>ペインター・オブ・ラブ</v>
      </c>
      <c r="F16" s="4" t="str">
        <f ca="1">VLOOKUP($D16,OFFSET([2]stages!$A$1,0,0,COUNTA([2]stages!$A:$A),MATCH(F$1,[2]stages!$2:$2,0)-MATCH($D$1,[2]stages!$2:$2,0)+1),MATCH(F$1,[2]stages!$2:$2,0)-MATCH($D$1,[2]stages!$2:$2,0)+1,FALSE)</f>
        <v>【上級】ペインター・オブ・ラブ</v>
      </c>
      <c r="G16" s="21">
        <v>2</v>
      </c>
      <c r="H16" s="15" t="str">
        <f t="shared" ref="H16:H19" si="17">B16&amp;"_"&amp;C16&amp;"-"&amp;G16</f>
        <v>20021_3-2</v>
      </c>
      <c r="I16" s="4">
        <f ca="1">VLOOKUP($H16,OFFSET(floors!$A$1,0,0,COUNTA(floors!$A:$A),MATCH(I$1,floors!$1:$1,0)-MATCH($H$1,floors!$1:$1,0)+1),MATCH(I$1,floors!$1:$1,0)-MATCH($H$1,floors!$1:$1,0)+1,FALSE)</f>
        <v>30</v>
      </c>
      <c r="J16" s="4">
        <f ca="1">VLOOKUP($H16,OFFSET(floors!$A$1,0,0,COUNTA(floors!$A:$A),MATCH(J$1,floors!$1:$1,0)-MATCH($H$1,floors!$1:$1,0)+1),MATCH(J$1,floors!$1:$1,0)-MATCH($H$1,floors!$1:$1,0)+1,FALSE)</f>
        <v>30</v>
      </c>
      <c r="K16" s="38">
        <v>5</v>
      </c>
      <c r="L16" s="20">
        <v>264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ユニコーン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green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Drop2W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animal</v>
      </c>
      <c r="Q16" s="17">
        <f ca="1">VLOOKUP($L16,OFFSET([3]enemies!$A$1,0,0,COUNTA([3]enemies!$A:$A),MATCH(Q$1,[3]enemies!$1:$1,0)-MATCH($L$1,[3]enemies!$1:$1,0)+1),MATCH(Q$1,[3]enemies!$1:$1,0)-MATCH($L$1,[3]enemies!$1:$1,0)+1,FALSE)</f>
        <v>20</v>
      </c>
      <c r="R16" s="5">
        <v>40</v>
      </c>
      <c r="S16" s="25">
        <v>0.9</v>
      </c>
      <c r="T16" s="104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60764.4</v>
      </c>
      <c r="U16" s="25">
        <v>0.6</v>
      </c>
      <c r="V16" s="104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2135.4</v>
      </c>
      <c r="W16" s="5">
        <v>0</v>
      </c>
      <c r="X16" s="4" t="e">
        <f ca="1">VLOOKUP($Y16,OFFSET([5]enemy_skill_sets!$B$1,0,0,COUNTA([5]enemy_skill_sets!$B:$B),MATCH(M$1,[5]enemy_skill_sets!$1:$1,0)-MATCH($Y$1,[5]enemy_skill_sets!$1:$1,0)+2),MATCH(M$1,[5]enemy_skill_sets!$1:$1,0)-MATCH($Y$1,[5]enemy_skill_sets!$1:$1,0)+2,FALSE)</f>
        <v>#VALUE!</v>
      </c>
      <c r="Y16" s="4">
        <v>20021100</v>
      </c>
      <c r="Z16" s="6">
        <v>1</v>
      </c>
      <c r="AA16" s="6">
        <v>100</v>
      </c>
      <c r="AB16" s="6">
        <v>1</v>
      </c>
      <c r="AC16" s="17">
        <f ca="1">VLOOKUP($L16,OFFSET([3]enemies!$A$1,0,0,COUNTA([3]enemies!$A:$A),MATCH(AC$1,[3]enemies!$1:$1,0)-MATCH($L$1,[3]enemies!$1:$1,0)+1),MATCH(AC$1,[3]enemies!$1:$1,0)-MATCH($L$1,[3]enemies!$1:$1,0)+1,FALSE)</f>
        <v>2</v>
      </c>
      <c r="AD16" s="24">
        <f t="shared" ref="AD16:AD19" si="18">L16</f>
        <v>264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ユニコーン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3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Drop2W</v>
      </c>
      <c r="AH16" s="7">
        <v>1</v>
      </c>
      <c r="AI16" s="24">
        <f t="shared" ref="AI16:AI19" ca="1" si="19">AF16</f>
        <v>3</v>
      </c>
      <c r="AJ16" s="8">
        <v>0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69">
        <v>1</v>
      </c>
    </row>
    <row r="17" spans="1:42" ht="21" customHeight="1" x14ac:dyDescent="0.15">
      <c r="A17" s="16" t="str">
        <f t="shared" ca="1" si="15"/>
        <v>20021_3-3/374&lt;lv40&gt;s1</v>
      </c>
      <c r="B17" s="22">
        <v>20021</v>
      </c>
      <c r="C17" s="21">
        <v>3</v>
      </c>
      <c r="D17" s="2" t="str">
        <f t="shared" si="16"/>
        <v>20021_3</v>
      </c>
      <c r="E17" s="4" t="str">
        <f ca="1">VLOOKUP($B17,OFFSET([2]quests!$A$1,0,0,COUNTA([2]quests!$A:$A),MATCH(E$1,[2]quests!$1:$1,0)-MATCH($B$1,[2]quests!$1:$1,0)+1),MATCH(E$1,[2]quests!$1:$1,0)-MATCH($B$1,[2]quests!$1:$1,0)+1,FALSE)</f>
        <v>ペインター・オブ・ラブ</v>
      </c>
      <c r="F17" s="4" t="str">
        <f ca="1">VLOOKUP($D17,OFFSET([2]stages!$A$1,0,0,COUNTA([2]stages!$A:$A),MATCH(F$1,[2]stages!$2:$2,0)-MATCH($D$1,[2]stages!$2:$2,0)+1),MATCH(F$1,[2]stages!$2:$2,0)-MATCH($D$1,[2]stages!$2:$2,0)+1,FALSE)</f>
        <v>【上級】ペインター・オブ・ラブ</v>
      </c>
      <c r="G17" s="21">
        <v>3</v>
      </c>
      <c r="H17" s="15" t="str">
        <f t="shared" si="17"/>
        <v>20021_3-3</v>
      </c>
      <c r="I17" s="4">
        <f ca="1">VLOOKUP($H17,OFFSET(floors!$A$1,0,0,COUNTA(floors!$A:$A),MATCH(I$1,floors!$1:$1,0)-MATCH($H$1,floors!$1:$1,0)+1),MATCH(I$1,floors!$1:$1,0)-MATCH($H$1,floors!$1:$1,0)+1,FALSE)</f>
        <v>45</v>
      </c>
      <c r="J17" s="4">
        <f ca="1">VLOOKUP($H17,OFFSET(floors!$A$1,0,0,COUNTA(floors!$A:$A),MATCH(J$1,floors!$1:$1,0)-MATCH($H$1,floors!$1:$1,0)+1),MATCH(J$1,floors!$1:$1,0)-MATCH($H$1,floors!$1:$1,0)+1,FALSE)</f>
        <v>45</v>
      </c>
      <c r="K17" s="38" t="s">
        <v>53</v>
      </c>
      <c r="L17" s="20">
        <v>374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影丸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blue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Drop1S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animal</v>
      </c>
      <c r="Q17" s="17">
        <f ca="1">VLOOKUP($L17,OFFSET([3]enemies!$A$1,0,0,COUNTA([3]enemies!$A:$A),MATCH(Q$1,[3]enemies!$1:$1,0)-MATCH($L$1,[3]enemies!$1:$1,0)+1),MATCH(Q$1,[3]enemies!$1:$1,0)-MATCH($L$1,[3]enemies!$1:$1,0)+1,FALSE)</f>
        <v>15</v>
      </c>
      <c r="R17" s="5">
        <v>40</v>
      </c>
      <c r="S17" s="25">
        <v>1.5</v>
      </c>
      <c r="T17" s="104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11205</v>
      </c>
      <c r="U17" s="25">
        <v>0.7</v>
      </c>
      <c r="V17" s="104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1691.1999999999998</v>
      </c>
      <c r="W17" s="5">
        <v>0</v>
      </c>
      <c r="X17" s="4" t="e">
        <f ca="1">VLOOKUP($Y17,OFFSET([5]enemy_skill_sets!$B$1,0,0,COUNTA([5]enemy_skill_sets!$B:$B),MATCH(M$1,[5]enemy_skill_sets!$1:$1,0)-MATCH($Y$1,[5]enemy_skill_sets!$1:$1,0)+2),MATCH(M$1,[5]enemy_skill_sets!$1:$1,0)-MATCH($Y$1,[5]enemy_skill_sets!$1:$1,0)+2,FALSE)</f>
        <v>#VALUE!</v>
      </c>
      <c r="Y17" s="4">
        <v>20021104</v>
      </c>
      <c r="Z17" s="6">
        <v>1</v>
      </c>
      <c r="AA17" s="6">
        <v>100</v>
      </c>
      <c r="AB17" s="6">
        <v>1</v>
      </c>
      <c r="AC17" s="17">
        <f ca="1">VLOOKUP($L17,OFFSET([3]enemies!$A$1,0,0,COUNTA([3]enemies!$A:$A),MATCH(AC$1,[3]enemies!$1:$1,0)-MATCH($L$1,[3]enemies!$1:$1,0)+1),MATCH(AC$1,[3]enemies!$1:$1,0)-MATCH($L$1,[3]enemies!$1:$1,0)+1,FALSE)</f>
        <v>1</v>
      </c>
      <c r="AD17" s="24">
        <f t="shared" si="18"/>
        <v>374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影丸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2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Drop1S</v>
      </c>
      <c r="AH17" s="7">
        <v>1</v>
      </c>
      <c r="AI17" s="24">
        <f t="shared" ca="1" si="19"/>
        <v>2</v>
      </c>
      <c r="AJ17" s="8">
        <v>60</v>
      </c>
      <c r="AK17" s="7">
        <v>0</v>
      </c>
      <c r="AL17" s="7">
        <v>0</v>
      </c>
      <c r="AM17" s="7">
        <v>0</v>
      </c>
      <c r="AN17" s="7">
        <v>0</v>
      </c>
      <c r="AO17" s="7">
        <v>1</v>
      </c>
      <c r="AP17" s="69">
        <v>1</v>
      </c>
    </row>
    <row r="18" spans="1:42" ht="21" customHeight="1" x14ac:dyDescent="0.15">
      <c r="A18" s="16" t="str">
        <f t="shared" ca="1" si="15"/>
        <v>20021_3-3/59&lt;lv40&gt;s2</v>
      </c>
      <c r="B18" s="22">
        <v>20021</v>
      </c>
      <c r="C18" s="21">
        <v>3</v>
      </c>
      <c r="D18" s="2" t="str">
        <f t="shared" si="16"/>
        <v>20021_3</v>
      </c>
      <c r="E18" s="4" t="str">
        <f ca="1">VLOOKUP($B18,OFFSET([2]quests!$A$1,0,0,COUNTA([2]quests!$A:$A),MATCH(E$1,[2]quests!$1:$1,0)-MATCH($B$1,[2]quests!$1:$1,0)+1),MATCH(E$1,[2]quests!$1:$1,0)-MATCH($B$1,[2]quests!$1:$1,0)+1,FALSE)</f>
        <v>ペインター・オブ・ラブ</v>
      </c>
      <c r="F18" s="4" t="str">
        <f ca="1">VLOOKUP($D18,OFFSET([2]stages!$A$1,0,0,COUNTA([2]stages!$A:$A),MATCH(F$1,[2]stages!$2:$2,0)-MATCH($D$1,[2]stages!$2:$2,0)+1),MATCH(F$1,[2]stages!$2:$2,0)-MATCH($D$1,[2]stages!$2:$2,0)+1,FALSE)</f>
        <v>【上級】ペインター・オブ・ラブ</v>
      </c>
      <c r="G18" s="21">
        <v>3</v>
      </c>
      <c r="H18" s="15" t="str">
        <f t="shared" si="17"/>
        <v>20021_3-3</v>
      </c>
      <c r="I18" s="4">
        <f ca="1">VLOOKUP($H18,OFFSET(floors!$A$1,0,0,COUNTA(floors!$A:$A),MATCH(I$1,floors!$1:$1,0)-MATCH($H$1,floors!$1:$1,0)+1),MATCH(I$1,floors!$1:$1,0)-MATCH($H$1,floors!$1:$1,0)+1,FALSE)</f>
        <v>45</v>
      </c>
      <c r="J18" s="4">
        <f ca="1">VLOOKUP($H18,OFFSET(floors!$A$1,0,0,COUNTA(floors!$A:$A),MATCH(J$1,floors!$1:$1,0)-MATCH($H$1,floors!$1:$1,0)+1),MATCH(J$1,floors!$1:$1,0)-MATCH($H$1,floors!$1:$1,0)+1,FALSE)</f>
        <v>45</v>
      </c>
      <c r="K18" s="38" t="s">
        <v>53</v>
      </c>
      <c r="L18" s="20">
        <v>59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マーチ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green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Drop1N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animal</v>
      </c>
      <c r="Q18" s="17">
        <f ca="1">VLOOKUP($L18,OFFSET([3]enemies!$A$1,0,0,COUNTA([3]enemies!$A:$A),MATCH(Q$1,[3]enemies!$1:$1,0)-MATCH($L$1,[3]enemies!$1:$1,0)+1),MATCH(Q$1,[3]enemies!$1:$1,0)-MATCH($L$1,[3]enemies!$1:$1,0)+1,FALSE)</f>
        <v>15</v>
      </c>
      <c r="R18" s="5">
        <v>40</v>
      </c>
      <c r="S18" s="25">
        <v>1.4</v>
      </c>
      <c r="T18" s="104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9482.1999999999989</v>
      </c>
      <c r="U18" s="25">
        <v>0.4</v>
      </c>
      <c r="V18" s="104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837.6</v>
      </c>
      <c r="W18" s="5">
        <v>0</v>
      </c>
      <c r="X18" s="4" t="e">
        <f ca="1">VLOOKUP($Y18,OFFSET([5]enemy_skill_sets!$B$1,0,0,COUNTA([5]enemy_skill_sets!$B:$B),MATCH(M$1,[5]enemy_skill_sets!$1:$1,0)-MATCH($Y$1,[5]enemy_skill_sets!$1:$1,0)+2),MATCH(M$1,[5]enemy_skill_sets!$1:$1,0)-MATCH($Y$1,[5]enemy_skill_sets!$1:$1,0)+2,FALSE)</f>
        <v>#VALUE!</v>
      </c>
      <c r="Y18" s="4">
        <v>20021105</v>
      </c>
      <c r="Z18" s="6">
        <v>2</v>
      </c>
      <c r="AA18" s="6">
        <v>100</v>
      </c>
      <c r="AB18" s="6">
        <v>0</v>
      </c>
      <c r="AC18" s="17">
        <f ca="1">VLOOKUP($L18,OFFSET([3]enemies!$A$1,0,0,COUNTA([3]enemies!$A:$A),MATCH(AC$1,[3]enemies!$1:$1,0)-MATCH($L$1,[3]enemies!$1:$1,0)+1),MATCH(AC$1,[3]enemies!$1:$1,0)-MATCH($L$1,[3]enemies!$1:$1,0)+1,FALSE)</f>
        <v>2</v>
      </c>
      <c r="AD18" s="24">
        <f t="shared" si="18"/>
        <v>59</v>
      </c>
      <c r="AE18" s="4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マーチ</v>
      </c>
      <c r="AF18" s="4">
        <f ca="1">VLOOKUP($AD18,OFFSET([4]characters!$A$1,0,0,COUNTA([4]characters!$A:$A),MATCH(AF$1,[4]characters!$1:$1,0)-MATCH("character_id",[4]characters!$1:$1,0)+1),MATCH(AF$1,[4]characters!$1:$1,0)-MATCH("character_id",[4]characters!$1:$1,0)+1,FALSE)</f>
        <v>2</v>
      </c>
      <c r="AG18" s="4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Drop1N</v>
      </c>
      <c r="AH18" s="7">
        <v>1</v>
      </c>
      <c r="AI18" s="24">
        <f t="shared" ca="1" si="19"/>
        <v>2</v>
      </c>
      <c r="AJ18" s="8">
        <v>60</v>
      </c>
      <c r="AK18" s="7">
        <v>0</v>
      </c>
      <c r="AL18" s="7">
        <v>0</v>
      </c>
      <c r="AM18" s="7">
        <v>0</v>
      </c>
      <c r="AN18" s="7">
        <v>0</v>
      </c>
      <c r="AO18" s="7">
        <v>1</v>
      </c>
      <c r="AP18" s="69">
        <v>1</v>
      </c>
    </row>
    <row r="19" spans="1:42" ht="21" customHeight="1" x14ac:dyDescent="0.15">
      <c r="A19" s="16" t="str">
        <f t="shared" si="15"/>
        <v>20021_3-4/1094&lt;lv40&gt;s2</v>
      </c>
      <c r="B19" s="22">
        <v>20021</v>
      </c>
      <c r="C19" s="21">
        <v>3</v>
      </c>
      <c r="D19" s="2" t="str">
        <f t="shared" si="16"/>
        <v>20021_3</v>
      </c>
      <c r="E19" s="4" t="str">
        <f ca="1">VLOOKUP($B19,OFFSET([2]quests!$A$1,0,0,COUNTA([2]quests!$A:$A),MATCH(E$1,[2]quests!$1:$1,0)-MATCH($B$1,[2]quests!$1:$1,0)+1),MATCH(E$1,[2]quests!$1:$1,0)-MATCH($B$1,[2]quests!$1:$1,0)+1,FALSE)</f>
        <v>ペインター・オブ・ラブ</v>
      </c>
      <c r="F19" s="4" t="str">
        <f ca="1">VLOOKUP($D19,OFFSET([2]stages!$A$1,0,0,COUNTA([2]stages!$A:$A),MATCH(F$1,[2]stages!$2:$2,0)-MATCH($D$1,[2]stages!$2:$2,0)+1),MATCH(F$1,[2]stages!$2:$2,0)-MATCH($D$1,[2]stages!$2:$2,0)+1,FALSE)</f>
        <v>【上級】ペインター・オブ・ラブ</v>
      </c>
      <c r="G19" s="21">
        <v>4</v>
      </c>
      <c r="H19" s="15" t="str">
        <f t="shared" si="17"/>
        <v>20021_3-4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8">
        <v>6</v>
      </c>
      <c r="L19" s="20">
        <v>1094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メルクシャ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blue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Drop2N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animal</v>
      </c>
      <c r="Q19" s="17">
        <f ca="1">VLOOKUP($L19,OFFSET([3]enemies!$A$1,0,0,COUNTA([3]enemies!$A:$A),MATCH(Q$1,[3]enemies!$1:$1,0)-MATCH($L$1,[3]enemies!$1:$1,0)+1),MATCH(Q$1,[3]enemies!$1:$1,0)-MATCH($L$1,[3]enemies!$1:$1,0)+1,FALSE)</f>
        <v>30</v>
      </c>
      <c r="R19" s="5">
        <v>40</v>
      </c>
      <c r="S19" s="25">
        <v>2.4</v>
      </c>
      <c r="T19" s="104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116532</v>
      </c>
      <c r="U19" s="25">
        <v>0.8</v>
      </c>
      <c r="V19" s="104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3266.4</v>
      </c>
      <c r="W19" s="5">
        <v>0</v>
      </c>
      <c r="X19" s="4" t="e">
        <f ca="1">VLOOKUP($Y19,OFFSET([5]enemy_skill_sets!$B$1,0,0,COUNTA([5]enemy_skill_sets!$B:$B),MATCH(M$1,[5]enemy_skill_sets!$1:$1,0)-MATCH($Y$1,[5]enemy_skill_sets!$1:$1,0)+2),MATCH(M$1,[5]enemy_skill_sets!$1:$1,0)-MATCH($Y$1,[5]enemy_skill_sets!$1:$1,0)+2,FALSE)</f>
        <v>#VALUE!</v>
      </c>
      <c r="Y19" s="4">
        <v>20021106</v>
      </c>
      <c r="Z19" s="6">
        <v>1</v>
      </c>
      <c r="AA19" s="6">
        <v>100</v>
      </c>
      <c r="AB19" s="6">
        <v>1</v>
      </c>
      <c r="AC19" s="17">
        <v>2</v>
      </c>
      <c r="AD19" s="24">
        <f t="shared" si="18"/>
        <v>1094</v>
      </c>
      <c r="AE19" s="4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メルクシャ</v>
      </c>
      <c r="AF19" s="4">
        <f ca="1">VLOOKUP($AD19,OFFSET([4]characters!$A$1,0,0,COUNTA([4]characters!$A:$A),MATCH(AF$1,[4]characters!$1:$1,0)-MATCH("character_id",[4]characters!$1:$1,0)+1),MATCH(AF$1,[4]characters!$1:$1,0)-MATCH("character_id",[4]characters!$1:$1,0)+1,FALSE)</f>
        <v>4</v>
      </c>
      <c r="AG19" s="4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Drop2N</v>
      </c>
      <c r="AH19" s="7">
        <v>1</v>
      </c>
      <c r="AI19" s="24">
        <f t="shared" ca="1" si="19"/>
        <v>4</v>
      </c>
      <c r="AJ19" s="8">
        <v>100</v>
      </c>
      <c r="AK19" s="7">
        <v>0</v>
      </c>
      <c r="AL19" s="7">
        <v>0</v>
      </c>
      <c r="AM19" s="7">
        <v>0</v>
      </c>
      <c r="AN19" s="7">
        <v>0</v>
      </c>
      <c r="AO19" s="7">
        <v>1</v>
      </c>
      <c r="AP19" s="69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7"/>
  <sheetViews>
    <sheetView showGridLines="0" zoomScale="110" zoomScaleNormal="110" zoomScalePageLayoutView="11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U20" sqref="U20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3" t="s">
        <v>249</v>
      </c>
      <c r="V1" s="26" t="s">
        <v>50</v>
      </c>
      <c r="W1" s="103" t="s">
        <v>250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1" customHeight="1" x14ac:dyDescent="0.15">
      <c r="A2" s="16" t="str">
        <f t="shared" ref="A2:A7" si="0">B2&amp;"_"&amp;C2&amp;"-"&amp;G2&amp;"/"&amp;M2&amp;"&lt;lv"&amp;S2&amp;"&gt;sq"&amp;K2&amp;"st"&amp;L2</f>
        <v>20021_1-2/265&lt;lv10&gt;sq1st2</v>
      </c>
      <c r="B2" s="172">
        <v>20021</v>
      </c>
      <c r="C2" s="173">
        <v>1</v>
      </c>
      <c r="D2" s="15" t="str">
        <f t="shared" ref="D2:D7" si="1">B2&amp;"_"&amp;C2</f>
        <v>20021_1</v>
      </c>
      <c r="E2" s="174" t="str">
        <f ca="1">VLOOKUP($B2,OFFSET([2]quests!$A$1,0,0,COUNTA([2]quests!$A:$A),MATCH(E$1,[2]quests!$1:$1,0)-MATCH($B$1,[2]quests!$1:$1,0)+1),MATCH(E$1,[2]quests!$1:$1,0)-MATCH($B$1,[2]quests!$1:$1,0)+1,FALSE)</f>
        <v>ペインター・オブ・ラブ</v>
      </c>
      <c r="F2" s="174" t="str">
        <f ca="1">VLOOKUP($D2,OFFSET([2]stages!$A$1,0,0,COUNTA([2]stages!$A:$A),MATCH(F$1,[2]stages!$2:$2,0)-MATCH($D$1,[2]stages!$2:$2,0)+1),MATCH(F$1,[2]stages!$2:$2,0)-MATCH($D$1,[2]stages!$2:$2,0)+1,FALSE)</f>
        <v>【初級】ペインター・オブ・ラブ</v>
      </c>
      <c r="G2" s="173">
        <v>2</v>
      </c>
      <c r="H2" s="15" t="str">
        <f t="shared" ref="H2:H7" si="2">B2&amp;"_"&amp;C2&amp;"-"&amp;G2</f>
        <v>20021_1-2</v>
      </c>
      <c r="I2" s="174">
        <f ca="1">VLOOKUP($H2,OFFSET(floors!$A$1,0,0,COUNTA(floors!$A:$A),MATCH(I$1,floors!$1:$1,0)-MATCH($H$1,floors!$1:$1,0)+1),MATCH(I$1,floors!$1:$1,0)-MATCH($H$1,floors!$1:$1,0)+1,FALSE)</f>
        <v>30</v>
      </c>
      <c r="J2" s="174">
        <f ca="1">VLOOKUP($H2,OFFSET(floors!$A$1,0,0,COUNTA(floors!$A:$A),MATCH(J$1,floors!$1:$1,0)-MATCH($H$1,floors!$1:$1,0)+1),MATCH(J$1,floors!$1:$1,0)-MATCH($H$1,floors!$1:$1,0)+1,FALSE)</f>
        <v>30</v>
      </c>
      <c r="K2" s="38">
        <v>1</v>
      </c>
      <c r="L2" s="38">
        <v>2</v>
      </c>
      <c r="M2" s="175">
        <v>265</v>
      </c>
      <c r="N2" s="176" t="str">
        <f ca="1">VLOOKUP($M2,OFFSET([3]enemies!$A$1,0,0,COUNTA([3]enemies!$A:$A),MATCH(N$1,[3]enemies!$1:$1,0)-MATCH($M$1,[3]enemies!$1:$1,0)+1),MATCH(N$1,[3]enemies!$1:$1,0)-MATCH($M$1,[3]enemies!$1:$1,0)+1,FALSE)</f>
        <v>翠角馬 ユニコーン</v>
      </c>
      <c r="O2" s="176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6" t="str">
        <f ca="1">VLOOKUP($M2,OFFSET([4]characters!$A$1,0,0,COUNTA([4]characters!$A:$A),MATCH(P$1,[4]characters!$1:$1,0)-MATCH($M$1,[4]characters!$1:$1,0)+1),MATCH(P$1,[4]characters!$1:$1,0)-MATCH($M$1,[4]characters!$1:$1,0)+1,FALSE)</f>
        <v>Drop2W</v>
      </c>
      <c r="Q2" s="176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6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10</v>
      </c>
      <c r="T2" s="25">
        <v>0.8</v>
      </c>
      <c r="U2" s="104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17688.8</v>
      </c>
      <c r="V2" s="25">
        <v>0.6</v>
      </c>
      <c r="W2" s="104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640.79999999999995</v>
      </c>
      <c r="X2" s="5">
        <v>0</v>
      </c>
      <c r="Y2" s="17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2" s="4">
        <v>20021102</v>
      </c>
      <c r="AA2" s="70">
        <f ca="1">VLOOKUP($M2,OFFSET([3]enemies!$A$1,0,0,COUNTA([3]enemies!$A:$A),MATCH(AA$1,[3]enemies!$1:$1,0)-MATCH($M$1,[3]enemies!$1:$1,0)+1),MATCH(AA$1,[3]enemies!$1:$1,0)-MATCH($M$1,[3]enemies!$1:$1,0)+1,FALSE)</f>
        <v>2</v>
      </c>
    </row>
    <row r="3" spans="1:27" ht="21" customHeight="1" thickBot="1" x14ac:dyDescent="0.2">
      <c r="A3" s="16" t="str">
        <f t="shared" si="0"/>
        <v>20021_1-4/1095&lt;lv10&gt;sq2st2</v>
      </c>
      <c r="B3" s="154">
        <v>20021</v>
      </c>
      <c r="C3" s="155">
        <v>1</v>
      </c>
      <c r="D3" s="156" t="str">
        <f t="shared" si="1"/>
        <v>20021_1</v>
      </c>
      <c r="E3" s="157" t="str">
        <f ca="1">VLOOKUP($B3,OFFSET([2]quests!$A$1,0,0,COUNTA([2]quests!$A:$A),MATCH(E$1,[2]quests!$1:$1,0)-MATCH($B$1,[2]quests!$1:$1,0)+1),MATCH(E$1,[2]quests!$1:$1,0)-MATCH($B$1,[2]quests!$1:$1,0)+1,FALSE)</f>
        <v>ペインター・オブ・ラブ</v>
      </c>
      <c r="F3" s="157" t="str">
        <f ca="1">VLOOKUP($D3,OFFSET([2]stages!$A$1,0,0,COUNTA([2]stages!$A:$A),MATCH(F$1,[2]stages!$2:$2,0)-MATCH($D$1,[2]stages!$2:$2,0)+1),MATCH(F$1,[2]stages!$2:$2,0)-MATCH($D$1,[2]stages!$2:$2,0)+1,FALSE)</f>
        <v>【初級】ペインター・オブ・ラブ</v>
      </c>
      <c r="G3" s="155">
        <v>4</v>
      </c>
      <c r="H3" s="156" t="str">
        <f t="shared" si="2"/>
        <v>20021_1-4</v>
      </c>
      <c r="I3" s="157">
        <f ca="1">VLOOKUP($H3,OFFSET(floors!$A$1,0,0,COUNTA(floors!$A:$A),MATCH(I$1,floors!$1:$1,0)-MATCH($H$1,floors!$1:$1,0)+1),MATCH(I$1,floors!$1:$1,0)-MATCH($H$1,floors!$1:$1,0)+1,FALSE)</f>
        <v>60</v>
      </c>
      <c r="J3" s="157">
        <f ca="1">VLOOKUP($H3,OFFSET(floors!$A$1,0,0,COUNTA(floors!$A:$A),MATCH(J$1,floors!$1:$1,0)-MATCH($H$1,floors!$1:$1,0)+1),MATCH(J$1,floors!$1:$1,0)-MATCH($H$1,floors!$1:$1,0)+1,FALSE)</f>
        <v>60</v>
      </c>
      <c r="K3" s="158">
        <v>2</v>
      </c>
      <c r="L3" s="158">
        <v>2</v>
      </c>
      <c r="M3" s="159">
        <v>1095</v>
      </c>
      <c r="N3" s="160" t="str">
        <f ca="1">VLOOKUP($M3,OFFSET([3]enemies!$A$1,0,0,COUNTA([3]enemies!$A:$A),MATCH(N$1,[3]enemies!$1:$1,0)-MATCH($M$1,[3]enemies!$1:$1,0)+1),MATCH(N$1,[3]enemies!$1:$1,0)-MATCH($M$1,[3]enemies!$1:$1,0)+1,FALSE)</f>
        <v>誓愛の絵花 メルクシャ</v>
      </c>
      <c r="O3" s="160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60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60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160">
        <f ca="1">VLOOKUP($M3,OFFSET([3]enemies!$A$1,0,0,COUNTA([3]enemies!$A:$A),MATCH(R$1,[3]enemies!$1:$1,0)-MATCH($M$1,[3]enemies!$1:$1,0)+1),MATCH(R$1,[3]enemies!$1:$1,0)-MATCH($M$1,[3]enemies!$1:$1,0)+1,FALSE)</f>
        <v>60</v>
      </c>
      <c r="S3" s="161">
        <v>10</v>
      </c>
      <c r="T3" s="162">
        <v>2.2000000000000002</v>
      </c>
      <c r="U3" s="163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38709</v>
      </c>
      <c r="V3" s="162">
        <v>0.8</v>
      </c>
      <c r="W3" s="163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974.40000000000009</v>
      </c>
      <c r="X3" s="161">
        <v>0</v>
      </c>
      <c r="Y3" s="157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3" s="170">
        <v>20021111</v>
      </c>
      <c r="AA3" s="177">
        <v>1</v>
      </c>
    </row>
    <row r="4" spans="1:27" ht="21" customHeight="1" thickTop="1" x14ac:dyDescent="0.15">
      <c r="A4" s="16" t="str">
        <f t="shared" si="0"/>
        <v>20021_2-2/265&lt;lv30&gt;sq3st2</v>
      </c>
      <c r="B4" s="22">
        <v>20021</v>
      </c>
      <c r="C4" s="142">
        <v>2</v>
      </c>
      <c r="D4" s="143" t="str">
        <f t="shared" si="1"/>
        <v>20021_2</v>
      </c>
      <c r="E4" s="4" t="str">
        <f ca="1">VLOOKUP($B4,OFFSET([2]quests!$A$1,0,0,COUNTA([2]quests!$A:$A),MATCH(E$1,[2]quests!$1:$1,0)-MATCH($B$1,[2]quests!$1:$1,0)+1),MATCH(E$1,[2]quests!$1:$1,0)-MATCH($B$1,[2]quests!$1:$1,0)+1,FALSE)</f>
        <v>ペインター・オブ・ラブ</v>
      </c>
      <c r="F4" s="4" t="str">
        <f ca="1">VLOOKUP($D4,OFFSET([2]stages!$A$1,0,0,COUNTA([2]stages!$A:$A),MATCH(F$1,[2]stages!$2:$2,0)-MATCH($D$1,[2]stages!$2:$2,0)+1),MATCH(F$1,[2]stages!$2:$2,0)-MATCH($D$1,[2]stages!$2:$2,0)+1,FALSE)</f>
        <v>【中級】ペインター・オブ・ラブ</v>
      </c>
      <c r="G4" s="142">
        <v>2</v>
      </c>
      <c r="H4" s="143" t="str">
        <f t="shared" si="2"/>
        <v>20021_2-2</v>
      </c>
      <c r="I4" s="4">
        <f ca="1">VLOOKUP($H4,OFFSET(floors!$A$1,0,0,COUNTA(floors!$A:$A),MATCH(I$1,floors!$1:$1,0)-MATCH($H$1,floors!$1:$1,0)+1),MATCH(I$1,floors!$1:$1,0)-MATCH($H$1,floors!$1:$1,0)+1,FALSE)</f>
        <v>30</v>
      </c>
      <c r="J4" s="4">
        <f ca="1">VLOOKUP($H4,OFFSET(floors!$A$1,0,0,COUNTA(floors!$A:$A),MATCH(J$1,floors!$1:$1,0)-MATCH($H$1,floors!$1:$1,0)+1),MATCH(J$1,floors!$1:$1,0)-MATCH($H$1,floors!$1:$1,0)+1,FALSE)</f>
        <v>30</v>
      </c>
      <c r="K4" s="144">
        <v>3</v>
      </c>
      <c r="L4" s="144">
        <v>2</v>
      </c>
      <c r="M4" s="145">
        <v>265</v>
      </c>
      <c r="N4" s="17" t="str">
        <f ca="1">VLOOKUP($M4,OFFSET([3]enemies!$A$1,0,0,COUNTA([3]enemies!$A:$A),MATCH(N$1,[3]enemies!$1:$1,0)-MATCH($M$1,[3]enemies!$1:$1,0)+1),MATCH(N$1,[3]enemies!$1:$1,0)-MATCH($M$1,[3]enemies!$1:$1,0)+1,FALSE)</f>
        <v>翠角馬 ユニコーン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Drop2W</v>
      </c>
      <c r="Q4" s="17" t="str">
        <f ca="1">VLOOKUP($M4,OFFSET([3]enemies!$A$1,0,0,COUNTA([3]enemies!$A:$A),MATCH(Q$1,[3]enemies!$1:$1,0)-MATCH($M$1,[3]enemies!$1:$1,0)+1),MATCH(Q$1,[3]enemies!$1:$1,0)-MATCH($M$1,[3]enemies!$1:$1,0)+1,FALSE)</f>
        <v>animal</v>
      </c>
      <c r="R4" s="17">
        <f ca="1">VLOOKUP($M4,OFFSET([3]enemies!$A$1,0,0,COUNTA([3]enemies!$A:$A),MATCH(R$1,[3]enemies!$1:$1,0)-MATCH($M$1,[3]enemies!$1:$1,0)+1),MATCH(R$1,[3]enemies!$1:$1,0)-MATCH($M$1,[3]enemies!$1:$1,0)+1,FALSE)</f>
        <v>30</v>
      </c>
      <c r="S4" s="146">
        <v>30</v>
      </c>
      <c r="T4" s="147">
        <v>0.8</v>
      </c>
      <c r="U4" s="148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48452</v>
      </c>
      <c r="V4" s="147">
        <v>0.6</v>
      </c>
      <c r="W4" s="148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1756.2</v>
      </c>
      <c r="X4" s="146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4" s="4">
        <v>20021102</v>
      </c>
      <c r="AA4" s="171">
        <f ca="1">VLOOKUP($M4,OFFSET([3]enemies!$A$1,0,0,COUNTA([3]enemies!$A:$A),MATCH(AA$1,[3]enemies!$1:$1,0)-MATCH($M$1,[3]enemies!$1:$1,0)+1),MATCH(AA$1,[3]enemies!$1:$1,0)-MATCH($M$1,[3]enemies!$1:$1,0)+1,FALSE)</f>
        <v>2</v>
      </c>
    </row>
    <row r="5" spans="1:27" ht="21" customHeight="1" thickBot="1" x14ac:dyDescent="0.2">
      <c r="A5" s="16" t="str">
        <f t="shared" si="0"/>
        <v>20021_2-4/1095&lt;lv30&gt;sq4st2</v>
      </c>
      <c r="B5" s="154">
        <v>20021</v>
      </c>
      <c r="C5" s="155">
        <v>2</v>
      </c>
      <c r="D5" s="156" t="str">
        <f t="shared" si="1"/>
        <v>20021_2</v>
      </c>
      <c r="E5" s="157" t="str">
        <f ca="1">VLOOKUP($B5,OFFSET([2]quests!$A$1,0,0,COUNTA([2]quests!$A:$A),MATCH(E$1,[2]quests!$1:$1,0)-MATCH($B$1,[2]quests!$1:$1,0)+1),MATCH(E$1,[2]quests!$1:$1,0)-MATCH($B$1,[2]quests!$1:$1,0)+1,FALSE)</f>
        <v>ペインター・オブ・ラブ</v>
      </c>
      <c r="F5" s="157" t="str">
        <f ca="1">VLOOKUP($D5,OFFSET([2]stages!$A$1,0,0,COUNTA([2]stages!$A:$A),MATCH(F$1,[2]stages!$2:$2,0)-MATCH($D$1,[2]stages!$2:$2,0)+1),MATCH(F$1,[2]stages!$2:$2,0)-MATCH($D$1,[2]stages!$2:$2,0)+1,FALSE)</f>
        <v>【中級】ペインター・オブ・ラブ</v>
      </c>
      <c r="G5" s="155">
        <v>4</v>
      </c>
      <c r="H5" s="156" t="str">
        <f t="shared" si="2"/>
        <v>20021_2-4</v>
      </c>
      <c r="I5" s="157">
        <f ca="1">VLOOKUP($H5,OFFSET(floors!$A$1,0,0,COUNTA(floors!$A:$A),MATCH(I$1,floors!$1:$1,0)-MATCH($H$1,floors!$1:$1,0)+1),MATCH(I$1,floors!$1:$1,0)-MATCH($H$1,floors!$1:$1,0)+1,FALSE)</f>
        <v>60</v>
      </c>
      <c r="J5" s="157">
        <f ca="1">VLOOKUP($H5,OFFSET(floors!$A$1,0,0,COUNTA(floors!$A:$A),MATCH(J$1,floors!$1:$1,0)-MATCH($H$1,floors!$1:$1,0)+1),MATCH(J$1,floors!$1:$1,0)-MATCH($H$1,floors!$1:$1,0)+1,FALSE)</f>
        <v>60</v>
      </c>
      <c r="K5" s="158">
        <v>4</v>
      </c>
      <c r="L5" s="158">
        <v>2</v>
      </c>
      <c r="M5" s="159">
        <v>1095</v>
      </c>
      <c r="N5" s="160" t="str">
        <f ca="1">VLOOKUP($M5,OFFSET([3]enemies!$A$1,0,0,COUNTA([3]enemies!$A:$A),MATCH(N$1,[3]enemies!$1:$1,0)-MATCH($M$1,[3]enemies!$1:$1,0)+1),MATCH(N$1,[3]enemies!$1:$1,0)-MATCH($M$1,[3]enemies!$1:$1,0)+1,FALSE)</f>
        <v>誓愛の絵花 メルクシャ</v>
      </c>
      <c r="O5" s="160" t="str">
        <f ca="1">VLOOKUP($M5,OFFSET([3]enemies!$A$1,0,0,COUNTA([3]enemies!$A:$A),MATCH(O$1,[3]enemies!$1:$1,0)-MATCH($M$1,[3]enemies!$1:$1,0)+1),MATCH(O$1,[3]enemies!$1:$1,0)-MATCH($M$1,[3]enemies!$1:$1,0)+1,FALSE)</f>
        <v>blue</v>
      </c>
      <c r="P5" s="160" t="str">
        <f ca="1">VLOOKUP($M5,OFFSET([4]characters!$A$1,0,0,COUNTA([4]characters!$A:$A),MATCH(P$1,[4]characters!$1:$1,0)-MATCH($M$1,[4]characters!$1:$1,0)+1),MATCH(P$1,[4]characters!$1:$1,0)-MATCH($M$1,[4]characters!$1:$1,0)+1,FALSE)</f>
        <v>Drop2N</v>
      </c>
      <c r="Q5" s="160" t="str">
        <f ca="1">VLOOKUP($M5,OFFSET([3]enemies!$A$1,0,0,COUNTA([3]enemies!$A:$A),MATCH(Q$1,[3]enemies!$1:$1,0)-MATCH($M$1,[3]enemies!$1:$1,0)+1),MATCH(Q$1,[3]enemies!$1:$1,0)-MATCH($M$1,[3]enemies!$1:$1,0)+1,FALSE)</f>
        <v>animal</v>
      </c>
      <c r="R5" s="160">
        <f ca="1">VLOOKUP($M5,OFFSET([3]enemies!$A$1,0,0,COUNTA([3]enemies!$A:$A),MATCH(R$1,[3]enemies!$1:$1,0)-MATCH($M$1,[3]enemies!$1:$1,0)+1),MATCH(R$1,[3]enemies!$1:$1,0)-MATCH($M$1,[3]enemies!$1:$1,0)+1,FALSE)</f>
        <v>60</v>
      </c>
      <c r="S5" s="161">
        <v>30</v>
      </c>
      <c r="T5" s="162">
        <v>2.2000000000000002</v>
      </c>
      <c r="U5" s="163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106029.00000000001</v>
      </c>
      <c r="V5" s="162">
        <v>0.8</v>
      </c>
      <c r="W5" s="163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2669.6000000000004</v>
      </c>
      <c r="X5" s="161">
        <v>0</v>
      </c>
      <c r="Y5" s="157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5" s="170">
        <v>20021111</v>
      </c>
      <c r="AA5" s="177">
        <v>1</v>
      </c>
    </row>
    <row r="6" spans="1:27" ht="21" customHeight="1" thickTop="1" x14ac:dyDescent="0.15">
      <c r="A6" s="16" t="str">
        <f t="shared" si="0"/>
        <v>20021_3-2/265&lt;lv40&gt;sq5st2</v>
      </c>
      <c r="B6" s="22">
        <v>20021</v>
      </c>
      <c r="C6" s="142">
        <v>3</v>
      </c>
      <c r="D6" s="143" t="str">
        <f t="shared" si="1"/>
        <v>20021_3</v>
      </c>
      <c r="E6" s="4" t="str">
        <f ca="1">VLOOKUP($B6,OFFSET([2]quests!$A$1,0,0,COUNTA([2]quests!$A:$A),MATCH(E$1,[2]quests!$1:$1,0)-MATCH($B$1,[2]quests!$1:$1,0)+1),MATCH(E$1,[2]quests!$1:$1,0)-MATCH($B$1,[2]quests!$1:$1,0)+1,FALSE)</f>
        <v>ペインター・オブ・ラブ</v>
      </c>
      <c r="F6" s="4" t="str">
        <f ca="1">VLOOKUP($D6,OFFSET([2]stages!$A$1,0,0,COUNTA([2]stages!$A:$A),MATCH(F$1,[2]stages!$2:$2,0)-MATCH($D$1,[2]stages!$2:$2,0)+1),MATCH(F$1,[2]stages!$2:$2,0)-MATCH($D$1,[2]stages!$2:$2,0)+1,FALSE)</f>
        <v>【上級】ペインター・オブ・ラブ</v>
      </c>
      <c r="G6" s="142">
        <v>2</v>
      </c>
      <c r="H6" s="143" t="str">
        <f t="shared" si="2"/>
        <v>20021_3-2</v>
      </c>
      <c r="I6" s="4">
        <f ca="1">VLOOKUP($H6,OFFSET(floors!$A$1,0,0,COUNTA(floors!$A:$A),MATCH(I$1,floors!$1:$1,0)-MATCH($H$1,floors!$1:$1,0)+1),MATCH(I$1,floors!$1:$1,0)-MATCH($H$1,floors!$1:$1,0)+1,FALSE)</f>
        <v>30</v>
      </c>
      <c r="J6" s="4">
        <f ca="1">VLOOKUP($H6,OFFSET(floors!$A$1,0,0,COUNTA(floors!$A:$A),MATCH(J$1,floors!$1:$1,0)-MATCH($H$1,floors!$1:$1,0)+1),MATCH(J$1,floors!$1:$1,0)-MATCH($H$1,floors!$1:$1,0)+1,FALSE)</f>
        <v>30</v>
      </c>
      <c r="K6" s="144">
        <v>5</v>
      </c>
      <c r="L6" s="144">
        <v>2</v>
      </c>
      <c r="M6" s="145">
        <v>265</v>
      </c>
      <c r="N6" s="17" t="str">
        <f ca="1">VLOOKUP($M6,OFFSET([3]enemies!$A$1,0,0,COUNTA([3]enemies!$A:$A),MATCH(N$1,[3]enemies!$1:$1,0)-MATCH($M$1,[3]enemies!$1:$1,0)+1),MATCH(N$1,[3]enemies!$1:$1,0)-MATCH($M$1,[3]enemies!$1:$1,0)+1,FALSE)</f>
        <v>翠角馬 ユニコーン</v>
      </c>
      <c r="O6" s="17" t="str">
        <f ca="1">VLOOKUP($M6,OFFSET([3]enemies!$A$1,0,0,COUNTA([3]enemies!$A:$A),MATCH(O$1,[3]enemies!$1:$1,0)-MATCH($M$1,[3]enemies!$1:$1,0)+1),MATCH(O$1,[3]enemies!$1:$1,0)-MATCH($M$1,[3]enemies!$1:$1,0)+1,FALSE)</f>
        <v>green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Drop2W</v>
      </c>
      <c r="Q6" s="17" t="str">
        <f ca="1">VLOOKUP($M6,OFFSET([3]enemies!$A$1,0,0,COUNTA([3]enemies!$A:$A),MATCH(Q$1,[3]enemies!$1:$1,0)-MATCH($M$1,[3]enemies!$1:$1,0)+1),MATCH(Q$1,[3]enemies!$1:$1,0)-MATCH($M$1,[3]enemies!$1:$1,0)+1,FALSE)</f>
        <v>animal</v>
      </c>
      <c r="R6" s="17">
        <f ca="1">VLOOKUP($M6,OFFSET([3]enemies!$A$1,0,0,COUNTA([3]enemies!$A:$A),MATCH(R$1,[3]enemies!$1:$1,0)-MATCH($M$1,[3]enemies!$1:$1,0)+1),MATCH(R$1,[3]enemies!$1:$1,0)-MATCH($M$1,[3]enemies!$1:$1,0)+1,FALSE)</f>
        <v>30</v>
      </c>
      <c r="S6" s="146">
        <v>40</v>
      </c>
      <c r="T6" s="147">
        <v>0.9</v>
      </c>
      <c r="U6" s="148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71812.800000000003</v>
      </c>
      <c r="V6" s="147">
        <v>0.6</v>
      </c>
      <c r="W6" s="148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2313.6</v>
      </c>
      <c r="X6" s="146">
        <v>0</v>
      </c>
      <c r="Y6" s="4" t="e">
        <f ca="1">VLOOKUP($Z6,OFFSET([5]enemy_skill_sets!$B$1,0,0,COUNTA([5]enemy_skill_sets!$B:$B),MATCH(N$1,[5]enemy_skill_sets!$1:$1,0)-MATCH($Z$1,[5]enemy_skill_sets!$1:$1,0)+2),MATCH(N$1,[5]enemy_skill_sets!$1:$1,0)-MATCH($Z$1,[5]enemy_skill_sets!$1:$1,0)+2,FALSE)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6" s="4">
        <v>20021102</v>
      </c>
      <c r="AA6" s="171">
        <f ca="1">VLOOKUP($M6,OFFSET([3]enemies!$A$1,0,0,COUNTA([3]enemies!$A:$A),MATCH(AA$1,[3]enemies!$1:$1,0)-MATCH($M$1,[3]enemies!$1:$1,0)+1),MATCH(AA$1,[3]enemies!$1:$1,0)-MATCH($M$1,[3]enemies!$1:$1,0)+1,FALSE)</f>
        <v>2</v>
      </c>
    </row>
    <row r="7" spans="1:27" ht="21" customHeight="1" x14ac:dyDescent="0.15">
      <c r="A7" s="16" t="str">
        <f t="shared" si="0"/>
        <v>20021_3-4/1095&lt;lv40&gt;sq6st2</v>
      </c>
      <c r="B7" s="22">
        <v>20021</v>
      </c>
      <c r="C7" s="21">
        <v>3</v>
      </c>
      <c r="D7" s="2" t="str">
        <f t="shared" si="1"/>
        <v>20021_3</v>
      </c>
      <c r="E7" s="4" t="str">
        <f ca="1">VLOOKUP($B7,OFFSET([2]quests!$A$1,0,0,COUNTA([2]quests!$A:$A),MATCH(E$1,[2]quests!$1:$1,0)-MATCH($B$1,[2]quests!$1:$1,0)+1),MATCH(E$1,[2]quests!$1:$1,0)-MATCH($B$1,[2]quests!$1:$1,0)+1,FALSE)</f>
        <v>ペインター・オブ・ラブ</v>
      </c>
      <c r="F7" s="4" t="str">
        <f ca="1">VLOOKUP($D7,OFFSET([2]stages!$A$1,0,0,COUNTA([2]stages!$A:$A),MATCH(F$1,[2]stages!$2:$2,0)-MATCH($D$1,[2]stages!$2:$2,0)+1),MATCH(F$1,[2]stages!$2:$2,0)-MATCH($D$1,[2]stages!$2:$2,0)+1,FALSE)</f>
        <v>【上級】ペインター・オブ・ラブ</v>
      </c>
      <c r="G7" s="21">
        <v>4</v>
      </c>
      <c r="H7" s="15" t="str">
        <f t="shared" si="2"/>
        <v>20021_3-4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6</v>
      </c>
      <c r="L7" s="38">
        <v>2</v>
      </c>
      <c r="M7" s="20">
        <v>1095</v>
      </c>
      <c r="N7" s="17" t="str">
        <f ca="1">VLOOKUP($M7,OFFSET([3]enemies!$A$1,0,0,COUNTA([3]enemies!$A:$A),MATCH(N$1,[3]enemies!$1:$1,0)-MATCH($M$1,[3]enemies!$1:$1,0)+1),MATCH(N$1,[3]enemies!$1:$1,0)-MATCH($M$1,[3]enemies!$1:$1,0)+1,FALSE)</f>
        <v>誓愛の絵花 メルクシャ</v>
      </c>
      <c r="O7" s="17" t="str">
        <f ca="1">VLOOKUP($M7,OFFSET([3]enemies!$A$1,0,0,COUNTA([3]enemies!$A:$A),MATCH(O$1,[3]enemies!$1:$1,0)-MATCH($M$1,[3]enemies!$1:$1,0)+1),MATCH(O$1,[3]enemies!$1:$1,0)-MATCH($M$1,[3]enemies!$1:$1,0)+1,FALSE)</f>
        <v>blue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Drop2N</v>
      </c>
      <c r="Q7" s="17" t="str">
        <f ca="1">VLOOKUP($M7,OFFSET([3]enemies!$A$1,0,0,COUNTA([3]enemies!$A:$A),MATCH(Q$1,[3]enemies!$1:$1,0)-MATCH($M$1,[3]enemies!$1:$1,0)+1),MATCH(Q$1,[3]enemies!$1:$1,0)-MATCH($M$1,[3]enemies!$1:$1,0)+1,FALSE)</f>
        <v>animal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40</v>
      </c>
      <c r="T7" s="25">
        <v>2.2000000000000002</v>
      </c>
      <c r="U7" s="104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139689</v>
      </c>
      <c r="V7" s="25">
        <v>0.8</v>
      </c>
      <c r="W7" s="104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3517.6000000000004</v>
      </c>
      <c r="X7" s="5">
        <v>0</v>
      </c>
      <c r="Y7" s="4" t="e">
        <f ca="1">VLOOKUP($Z7,OFFSET([5]enemy_skill_sets!$B$1,0,0,COUNTA([5]enemy_skill_sets!$B:$B),MATCH(N$1,[5]enemy_skill_sets!$1:$1,0)-MATCH($Z$1,[5]enemy_skill_sets!$1:$1,0)+2),MATCH(N$1,[5]enemy_skill_sets!$1:$1,0)-MATCH($Z$1,[5]enemy_skill_sets!$1:$1,0)+2,FALSE)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7" s="4">
        <v>20021111</v>
      </c>
      <c r="AA7" s="70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8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D15" sqref="D15"/>
    </sheetView>
  </sheetViews>
  <sheetFormatPr baseColWidth="12" defaultColWidth="12.83203125" defaultRowHeight="21" customHeight="1" outlineLevelCol="1" x14ac:dyDescent="0.15"/>
  <cols>
    <col min="1" max="1" width="14.83203125" style="39" customWidth="1"/>
    <col min="2" max="2" width="9.5" style="49" bestFit="1" customWidth="1"/>
    <col min="3" max="3" width="9.6640625" style="49" customWidth="1"/>
    <col min="4" max="4" width="23" style="49" customWidth="1" outlineLevel="1"/>
    <col min="5" max="5" width="64.1640625" style="49" customWidth="1" outlineLevel="1"/>
    <col min="6" max="6" width="10.83203125" style="49" bestFit="1" customWidth="1"/>
    <col min="7" max="7" width="8.33203125" style="49" bestFit="1" customWidth="1" outlineLevel="1"/>
    <col min="8" max="8" width="12.83203125" style="49" outlineLevel="1"/>
    <col min="9" max="9" width="15.6640625" style="49" customWidth="1" outlineLevel="1"/>
    <col min="10" max="10" width="14.6640625" style="49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20021100_20021100</v>
      </c>
      <c r="B2" s="141">
        <v>20021100</v>
      </c>
      <c r="C2" s="141">
        <v>20021100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奮迅の舞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2ターン自身の攻撃頻度UP＋クリティカル！</v>
      </c>
      <c r="F2" s="47">
        <v>20021100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" s="47"/>
      <c r="Q2" s="47"/>
      <c r="R2" s="47"/>
    </row>
    <row r="3" spans="1:18" ht="21" customHeight="1" x14ac:dyDescent="0.15">
      <c r="A3" s="39" t="str">
        <f t="shared" ref="A3:A18" si="1">B3&amp;"_"&amp;C3</f>
        <v>20021102_20021101</v>
      </c>
      <c r="B3" s="127">
        <v>20021102</v>
      </c>
      <c r="C3" s="127">
        <v>20021101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猛攻三連撃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" s="47">
        <v>20021101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" s="47"/>
      <c r="Q3" s="47"/>
      <c r="R3" s="47"/>
    </row>
    <row r="4" spans="1:18" ht="21" customHeight="1" thickBot="1" x14ac:dyDescent="0.2">
      <c r="A4" s="39" t="str">
        <f t="shared" si="1"/>
        <v>20021102_20021102</v>
      </c>
      <c r="B4" s="112">
        <v>20021102</v>
      </c>
      <c r="C4" s="129">
        <v>20021102</v>
      </c>
      <c r="D4" s="183" t="str">
        <f ca="1">VLOOKUP($C4,OFFSET(enemy_skills!$A$1,0,0,COUNTA(enemy_skills!$A:$A),MATCH(D$1,enemy_skills!$1:$1,0)-MATCH("enemy_skill_id",enemy_skills!$1:$1,0)+1),MATCH(D$1,enemy_skills!$1:$1,0)-MATCH("enemy_skill_id",enemy_skills!$1:$1,0)+1,FALSE)</f>
        <v>猛攻五連撃</v>
      </c>
      <c r="E4" s="183" t="str">
        <f ca="1">VLOOKUP($C4,OFFSET(enemy_skills!$A$1,0,0,COUNTA(enemy_skills!$A:$A),MATCH(E$1,enemy_skills!$1:$1,0)-MATCH("enemy_skill_id",enemy_skills!$1:$1,0)+1),MATCH(E$1,enemy_skills!$1:$1,0)-MATCH("enemy_skill_id",enemy_skills!$1:$1,0)+1,FALSE)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4" s="112">
        <v>20021102</v>
      </c>
      <c r="G4" s="11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116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4" s="11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" s="11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11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116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116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116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11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" s="112"/>
      <c r="Q4" s="112"/>
      <c r="R4" s="112"/>
    </row>
    <row r="5" spans="1:18" ht="21" customHeight="1" thickTop="1" x14ac:dyDescent="0.15">
      <c r="A5" s="39" t="str">
        <f t="shared" si="1"/>
        <v>20021104_20021103</v>
      </c>
      <c r="B5" s="184">
        <v>20021104</v>
      </c>
      <c r="C5" s="178">
        <v>20021103</v>
      </c>
      <c r="D5" s="185" t="str">
        <f ca="1">VLOOKUP($C5,OFFSET(enemy_skills!$A$1,0,0,COUNTA(enemy_skills!$A:$A),MATCH(D$1,enemy_skills!$1:$1,0)-MATCH("enemy_skill_id",enemy_skills!$1:$1,0)+1),MATCH(D$1,enemy_skills!$1:$1,0)-MATCH("enemy_skill_id",enemy_skills!$1:$1,0)+1,FALSE)</f>
        <v>連続斬り</v>
      </c>
      <c r="E5" s="185" t="str">
        <f ca="1">VLOOKUP($C5,OFFSET(enemy_skills!$A$1,0,0,COUNTA(enemy_skills!$A:$A),MATCH(E$1,enemy_skills!$1:$1,0)-MATCH("enemy_skill_id",enemy_skills!$1:$1,0)+1),MATCH(E$1,enemy_skills!$1:$1,0)-MATCH("enemy_skill_id",enemy_skills!$1:$1,0)+1,FALSE)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5" s="106">
        <v>20021103</v>
      </c>
      <c r="G5" s="122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122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5" s="122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5" s="122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122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122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122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122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122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5" s="186"/>
      <c r="Q5" s="186"/>
      <c r="R5" s="186"/>
    </row>
    <row r="6" spans="1:18" ht="21" customHeight="1" thickBot="1" x14ac:dyDescent="0.2">
      <c r="A6" s="39" t="str">
        <f t="shared" si="1"/>
        <v>20021105_20021104</v>
      </c>
      <c r="B6" s="129">
        <v>20021105</v>
      </c>
      <c r="C6" s="129">
        <v>20021104</v>
      </c>
      <c r="D6" s="183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ブルー・ヒール</v>
      </c>
      <c r="E6" s="183" t="str">
        <f ca="1">VLOOKUP($C6,OFFSET(enemy_skills!$A$1,0,0,COUNTA(enemy_skills!$A:$A),MATCH(E$1,enemy_skills!$1:$1,0)-MATCH("enemy_skill_id",enemy_skills!$1:$1,0)+1),MATCH(E$1,enemy_skills!$1:$1,0)-MATCH("enemy_skill_id",enemy_skills!$1:$1,0)+1,FALSE)</f>
        <v>青属性のエネミーのHPを40％回復</v>
      </c>
      <c r="F6" s="112">
        <v>20021104</v>
      </c>
      <c r="G6" s="11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116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6" s="11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" s="11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11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116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116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11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11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" s="112"/>
      <c r="Q6" s="112"/>
      <c r="R6" s="112"/>
    </row>
    <row r="7" spans="1:18" ht="21" customHeight="1" thickTop="1" x14ac:dyDescent="0.15">
      <c r="A7" s="39" t="str">
        <f t="shared" si="1"/>
        <v>20021106_20021105</v>
      </c>
      <c r="B7" s="178">
        <v>20021106</v>
      </c>
      <c r="C7" s="178">
        <v>20021105</v>
      </c>
      <c r="D7" s="182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ハートはぜーんぶ私のもの！</v>
      </c>
      <c r="E7" s="182" t="str">
        <f ca="1">VLOOKUP($C7,OFFSET(enemy_skills!$A$1,0,0,COUNTA(enemy_skills!$A:$A),MATCH(E$1,enemy_skills!$1:$1,0)-MATCH("enemy_skill_id",enemy_skills!$1:$1,0)+1),MATCH(E$1,enemy_skills!$1:$1,0)-MATCH("enemy_skill_id",enemy_skills!$1:$1,0)+1,FALSE)</f>
        <v>ハートパネルをお邪魔パネルに変換</v>
      </c>
      <c r="F7" s="106">
        <v>20021105</v>
      </c>
      <c r="G7" s="110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110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7" s="110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110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110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110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110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110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110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106"/>
      <c r="Q7" s="106"/>
      <c r="R7" s="106"/>
    </row>
    <row r="8" spans="1:18" ht="21" customHeight="1" x14ac:dyDescent="0.15">
      <c r="A8" s="39" t="str">
        <f t="shared" si="1"/>
        <v>20021106_20021106</v>
      </c>
      <c r="B8" s="128">
        <v>20021106</v>
      </c>
      <c r="C8" s="127">
        <v>20021106</v>
      </c>
      <c r="D8" s="182" t="str">
        <f ca="1">VLOOKUP($C8,OFFSET(enemy_skills!$A$1,0,0,COUNTA(enemy_skills!$A:$A),MATCH(D$1,enemy_skills!$1:$1,0)-MATCH("enemy_skill_id",enemy_skills!$1:$1,0)+1),MATCH(D$1,enemy_skills!$1:$1,0)-MATCH("enemy_skill_id",enemy_skills!$1:$1,0)+1,FALSE)</f>
        <v>全部ぜーんぶ、私に頂戴！</v>
      </c>
      <c r="E8" s="182" t="str">
        <f ca="1">VLOOKUP($C8,OFFSET(enemy_skills!$A$1,0,0,COUNTA(enemy_skills!$A:$A),MATCH(E$1,enemy_skills!$1:$1,0)-MATCH("enemy_skill_id",enemy_skills!$1:$1,0)+1),MATCH(E$1,enemy_skills!$1:$1,0)-MATCH("enemy_skill_id",enemy_skills!$1:$1,0)+1,FALSE)</f>
        <v>ハートパネルをお邪魔パネルに変換</v>
      </c>
      <c r="F8" s="47">
        <v>20021106</v>
      </c>
      <c r="G8" s="110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110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8" s="110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110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110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110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110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" s="110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110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106"/>
      <c r="Q8" s="106"/>
      <c r="R8" s="106"/>
    </row>
    <row r="9" spans="1:18" ht="21" customHeight="1" x14ac:dyDescent="0.15">
      <c r="A9" s="39" t="str">
        <f t="shared" si="1"/>
        <v>20021106_20021107</v>
      </c>
      <c r="B9" s="47">
        <v>20021106</v>
      </c>
      <c r="C9" s="127">
        <v>20021107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止められない愛の衝動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お邪魔パネルを吸収し、攻撃</v>
      </c>
      <c r="F9" s="47">
        <v>20021107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20021106_20021108</v>
      </c>
      <c r="B10" s="47">
        <v>20021106</v>
      </c>
      <c r="C10" s="127">
        <v>20021108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黄金のラブ・パレット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黄パネルをハートパネルに変換＋単体攻撃</v>
      </c>
      <c r="F10" s="47">
        <v>20021108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20021106_20021109</v>
      </c>
      <c r="B11" s="47">
        <v>20021106</v>
      </c>
      <c r="C11" s="127">
        <v>20021109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青空のラブ・パレット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青パネルをハートパネルに変換＋単体攻撃</v>
      </c>
      <c r="F11" s="47">
        <v>20021109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thickBot="1" x14ac:dyDescent="0.2">
      <c r="A12" s="39" t="str">
        <f t="shared" si="1"/>
        <v>20021106_20021110</v>
      </c>
      <c r="B12" s="112">
        <v>20021106</v>
      </c>
      <c r="C12" s="129">
        <v>20021110</v>
      </c>
      <c r="D12" s="183" t="str">
        <f ca="1">VLOOKUP($C12,OFFSET(enemy_skills!$A$1,0,0,COUNTA(enemy_skills!$A:$A),MATCH(D$1,enemy_skills!$1:$1,0)-MATCH("enemy_skill_id",enemy_skills!$1:$1,0)+1),MATCH(D$1,enemy_skills!$1:$1,0)-MATCH("enemy_skill_id",enemy_skills!$1:$1,0)+1,FALSE)</f>
        <v>深緑のラブ・パレット</v>
      </c>
      <c r="E12" s="183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緑パネルをハートパネルに変換＋単体攻撃</v>
      </c>
      <c r="F12" s="112">
        <v>20021110</v>
      </c>
      <c r="G12" s="116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116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2" s="11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116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12" s="116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116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116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116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116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112"/>
      <c r="Q12" s="112"/>
      <c r="R12" s="112"/>
    </row>
    <row r="13" spans="1:18" ht="21" customHeight="1" thickTop="1" x14ac:dyDescent="0.15">
      <c r="A13" s="39" t="str">
        <f t="shared" si="1"/>
        <v>20021111_20021111</v>
      </c>
      <c r="B13" s="178">
        <v>20021111</v>
      </c>
      <c r="C13" s="178">
        <v>20021111</v>
      </c>
      <c r="D13" s="182" t="str">
        <f ca="1">VLOOKUP($C13,OFFSET(enemy_skills!$A$1,0,0,COUNTA(enemy_skills!$A:$A),MATCH(D$1,enemy_skills!$1:$1,0)-MATCH("enemy_skill_id",enemy_skills!$1:$1,0)+1),MATCH(D$1,enemy_skills!$1:$1,0)-MATCH("enemy_skill_id",enemy_skills!$1:$1,0)+1,FALSE)</f>
        <v>誰にも渡さないんだから！</v>
      </c>
      <c r="E13" s="182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ハートパネルをお邪魔パネルに変換</v>
      </c>
      <c r="F13" s="106">
        <v>20021111</v>
      </c>
      <c r="G13" s="110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110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13" s="110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110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110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110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110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110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110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106"/>
      <c r="Q13" s="106"/>
      <c r="R13" s="106"/>
    </row>
    <row r="14" spans="1:18" ht="21" customHeight="1" x14ac:dyDescent="0.15">
      <c r="A14" s="39" t="str">
        <f t="shared" si="1"/>
        <v>20021111_20021112</v>
      </c>
      <c r="B14" s="128">
        <v>20021111</v>
      </c>
      <c r="C14" s="127">
        <v>20021112</v>
      </c>
      <c r="D14" s="182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ハートはぜーんぶひとりじめ！</v>
      </c>
      <c r="E14" s="182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ハートパネルをお邪魔パネルに変換</v>
      </c>
      <c r="F14" s="47">
        <v>20021112</v>
      </c>
      <c r="G14" s="110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110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0</v>
      </c>
      <c r="I14" s="110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110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110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110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110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4" s="110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110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106"/>
      <c r="Q14" s="106"/>
      <c r="R14" s="106"/>
    </row>
    <row r="15" spans="1:18" ht="21" customHeight="1" x14ac:dyDescent="0.15">
      <c r="A15" s="39" t="str">
        <f t="shared" si="1"/>
        <v>20021111_20021113</v>
      </c>
      <c r="B15" s="127">
        <v>20021111</v>
      </c>
      <c r="C15" s="127">
        <v>20021113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止まらない愛の衝動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お邪魔パネルを吸収し、攻撃</v>
      </c>
      <c r="F15" s="47">
        <v>20021113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1"/>
        <v>20021111_20021114</v>
      </c>
      <c r="B16" s="127">
        <v>20021111</v>
      </c>
      <c r="C16" s="127">
        <v>20021114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黄金のラブ・パレット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黄パネルをハートパネルに変換＋単体攻撃</v>
      </c>
      <c r="F16" s="47">
        <v>20021114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20021111_20021115</v>
      </c>
      <c r="B17" s="127">
        <v>20021111</v>
      </c>
      <c r="C17" s="127">
        <v>20021115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青空のラブ・パレット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青パネルをハートパネルに変換＋単体攻撃</v>
      </c>
      <c r="F17" s="47">
        <v>20021115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20021111_20021116</v>
      </c>
      <c r="B18" s="127">
        <v>20021111</v>
      </c>
      <c r="C18" s="127">
        <v>20021116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深緑のラブ・パレット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緑パネルをハートパネルに変換＋単体攻撃</v>
      </c>
      <c r="F18" s="47">
        <v>20021116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9"/>
  <sheetViews>
    <sheetView showGridLines="0" topLeftCell="B1" workbookViewId="0">
      <pane ySplit="1" topLeftCell="A2" activePane="bottomLeft" state="frozenSplit"/>
      <selection pane="bottomLeft" activeCell="C19" sqref="C19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87.33203125" style="49" customWidth="1"/>
    <col min="3" max="4" width="12.83203125" style="49"/>
    <col min="5" max="5" width="23.6640625" style="49" bestFit="1" customWidth="1"/>
    <col min="6" max="6" width="65.33203125" style="49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126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</row>
    <row r="2" spans="1:28" ht="21" customHeight="1" x14ac:dyDescent="0.2">
      <c r="A2" s="137">
        <v>20021100</v>
      </c>
      <c r="B2" s="134" t="s">
        <v>262</v>
      </c>
      <c r="C2" s="50">
        <v>3</v>
      </c>
      <c r="D2" s="50" t="s">
        <v>127</v>
      </c>
      <c r="E2" s="51" t="s">
        <v>312</v>
      </c>
      <c r="F2" s="51" t="s">
        <v>287</v>
      </c>
      <c r="G2" s="63" t="str">
        <f>IFERROR(LEFT(B2,FIND("],",B2)),B2)</f>
        <v>[effect:freq_turn, target:myself, turn:2, val:1, animation:enemy_freq_turn]</v>
      </c>
      <c r="H2" s="63">
        <f>FIND("effect:",G2)+7</f>
        <v>9</v>
      </c>
      <c r="I2" s="63">
        <f>IFERROR(FIND(",",G2),LEN(G2))</f>
        <v>18</v>
      </c>
      <c r="J2" s="63">
        <f>FIND("target:",G2)+7</f>
        <v>27</v>
      </c>
      <c r="K2" s="63">
        <f>FIND(",",G2,I2+1)</f>
        <v>33</v>
      </c>
      <c r="L2" s="63" t="str">
        <f>IFERROR(VLOOKUP(MID(G2,J2,K2-J2),[6]skilldef!$C:$D,2,FALSE),"-") &amp; " / " &amp; IFERROR(VLOOKUP(MID(G2,H2,I2-H2),[6]skilldef!$A:$B,2,FALSE),"-")</f>
        <v>自分自身に / 攻撃頻度がUP</v>
      </c>
      <c r="M2" s="63" t="str">
        <f>IFERROR(RIGHT(B2,LEN(B2)-FIND("],",B2)-1),"none")</f>
        <v>[effect:critical, val:1.3, animation:enemy_critical]</v>
      </c>
      <c r="N2" s="48" t="str">
        <f>IFERROR(LEFT(M2,FIND("],",M2)+S14),M2)</f>
        <v>[effect:critical, val:1.3, animation:enemy_critical]</v>
      </c>
      <c r="O2" s="63">
        <f>FIND("effect:",N2)+7</f>
        <v>9</v>
      </c>
      <c r="P2" s="63">
        <f>IFERROR(FIND(",",N2),LEN(N2))</f>
        <v>17</v>
      </c>
      <c r="Q2" s="63" t="e">
        <f>FIND("target:",N2)+7</f>
        <v>#VALUE!</v>
      </c>
      <c r="R2" s="63">
        <f>FIND(",",N2,P2+1)</f>
        <v>26</v>
      </c>
      <c r="S2" s="63" t="str">
        <f>IFERROR(VLOOKUP(MID(N2,Q2,R2-Q2),[6]skilldef!$C:$D,2,FALSE),"-") &amp; " / " &amp; IFERROR(VLOOKUP(MID(N2,O2,P2-O2),[6]skilldef!$A:$B,2,FALSE),"-")</f>
        <v>- / 大攻撃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139"/>
      <c r="AA2" s="140"/>
      <c r="AB2" s="139"/>
    </row>
    <row r="3" spans="1:28" ht="21" customHeight="1" x14ac:dyDescent="0.2">
      <c r="A3" s="137">
        <v>20021101</v>
      </c>
      <c r="B3" s="138" t="s">
        <v>271</v>
      </c>
      <c r="C3" s="107">
        <v>3</v>
      </c>
      <c r="D3" s="107" t="s">
        <v>127</v>
      </c>
      <c r="E3" s="108" t="s">
        <v>310</v>
      </c>
      <c r="F3" s="108" t="s">
        <v>280</v>
      </c>
      <c r="G3" s="109" t="str">
        <f t="shared" ref="G3:G18" si="0">IFERROR(LEFT(B3,FIND("],",B3)),B3)</f>
        <v>[effect:rush, count:3, val:0.4]</v>
      </c>
      <c r="H3" s="109">
        <f t="shared" ref="H3:H18" si="1">FIND("effect:",G3)+7</f>
        <v>9</v>
      </c>
      <c r="I3" s="109">
        <f t="shared" ref="I3:I18" si="2">IFERROR(FIND(",",G3),LEN(G3))</f>
        <v>13</v>
      </c>
      <c r="J3" s="109" t="e">
        <f t="shared" ref="J3:J18" si="3">FIND("target:",G3)+7</f>
        <v>#VALUE!</v>
      </c>
      <c r="K3" s="109">
        <f t="shared" ref="K3:K18" si="4">FIND(",",G3,I3+1)</f>
        <v>22</v>
      </c>
      <c r="L3" s="109" t="str">
        <f>IFERROR(VLOOKUP(MID(G3,J3,K3-J3),[6]skilldef!$C:$D,2,FALSE),"-") &amp; " / " &amp; IFERROR(VLOOKUP(MID(G3,H3,I3-H3),[6]skilldef!$A:$B,2,FALSE),"-")</f>
        <v>- / 連続攻撃</v>
      </c>
      <c r="M3" s="109" t="str">
        <f t="shared" ref="M3:M18" si="5">IFERROR(RIGHT(B3,LEN(B3)-FIND("],",B3)-1),"none")</f>
        <v>none</v>
      </c>
      <c r="N3" s="110" t="str">
        <f>IFERROR(LEFT(M3,FIND("],",M3)+S15),M3)</f>
        <v>none</v>
      </c>
      <c r="O3" s="109" t="e">
        <f t="shared" ref="O3:O18" si="6">FIND("effect:",N3)+7</f>
        <v>#VALUE!</v>
      </c>
      <c r="P3" s="109">
        <f t="shared" ref="P3:P18" si="7">IFERROR(FIND(",",N3),LEN(N3))</f>
        <v>4</v>
      </c>
      <c r="Q3" s="109" t="e">
        <f t="shared" ref="Q3:Q18" si="8">FIND("target:",N3)+7</f>
        <v>#VALUE!</v>
      </c>
      <c r="R3" s="109" t="e">
        <f t="shared" ref="R3:R18" si="9">FIND(",",N3,P3+1)</f>
        <v>#VALUE!</v>
      </c>
      <c r="S3" s="109" t="str">
        <f>IFERROR(VLOOKUP(MID(N3,Q3,R3-Q3),[6]skilldef!$C:$D,2,FALSE),"-") &amp; " / " &amp; IFERROR(VLOOKUP(MID(N3,O3,P3-O3),[6]skilldef!$A:$B,2,FALSE),"-")</f>
        <v>- / -</v>
      </c>
      <c r="T3" s="110" t="str">
        <f t="shared" ref="T3:T18" si="10">IFERROR(RIGHT(M3,LEN(M3)-FIND("],",M3)-1),"none")</f>
        <v>none</v>
      </c>
      <c r="U3" s="109" t="e">
        <f t="shared" ref="U3:U18" si="11">FIND("effect:",T3)+7</f>
        <v>#VALUE!</v>
      </c>
      <c r="V3" s="109">
        <f t="shared" ref="V3:V18" si="12">IFERROR(FIND(",",T3),LEN(T3))</f>
        <v>4</v>
      </c>
      <c r="W3" s="109" t="e">
        <f t="shared" ref="W3:W18" si="13">FIND("target:",T3)+7</f>
        <v>#VALUE!</v>
      </c>
      <c r="X3" s="109" t="e">
        <f t="shared" ref="X3:X18" si="14">FIND(",",T3,V3+1)</f>
        <v>#VALUE!</v>
      </c>
      <c r="Y3" s="109" t="str">
        <f>IFERROR(VLOOKUP(MID(T3,W3,X3-W3),[6]skilldef!$C:$D,2,FALSE),"-") &amp; " / " &amp; IFERROR(VLOOKUP(MID(T3,U3,V3-U3),[6]skilldef!$A:$B,2,FALSE),"-")</f>
        <v>- / -</v>
      </c>
      <c r="Z3" s="107"/>
      <c r="AA3" s="111"/>
      <c r="AB3" s="107"/>
    </row>
    <row r="4" spans="1:28" ht="21" customHeight="1" thickBot="1" x14ac:dyDescent="0.25">
      <c r="A4" s="137">
        <v>20021102</v>
      </c>
      <c r="B4" s="130" t="s">
        <v>260</v>
      </c>
      <c r="C4" s="113">
        <v>3</v>
      </c>
      <c r="D4" s="113" t="s">
        <v>127</v>
      </c>
      <c r="E4" s="124" t="s">
        <v>309</v>
      </c>
      <c r="F4" s="114" t="s">
        <v>279</v>
      </c>
      <c r="G4" s="115" t="str">
        <f t="shared" si="0"/>
        <v>[effect:rush, count:5, val:0.3]</v>
      </c>
      <c r="H4" s="115">
        <f t="shared" si="1"/>
        <v>9</v>
      </c>
      <c r="I4" s="115">
        <f t="shared" si="2"/>
        <v>13</v>
      </c>
      <c r="J4" s="115" t="e">
        <f t="shared" si="3"/>
        <v>#VALUE!</v>
      </c>
      <c r="K4" s="115">
        <f t="shared" si="4"/>
        <v>22</v>
      </c>
      <c r="L4" s="115" t="str">
        <f>IFERROR(VLOOKUP(MID(G4,J4,K4-J4),[6]skilldef!$C:$D,2,FALSE),"-") &amp; " / " &amp; IFERROR(VLOOKUP(MID(G4,H4,I4-H4),[6]skilldef!$A:$B,2,FALSE),"-")</f>
        <v>- / 連続攻撃</v>
      </c>
      <c r="M4" s="115" t="str">
        <f t="shared" si="5"/>
        <v>none</v>
      </c>
      <c r="N4" s="116" t="str">
        <f>IFERROR(LEFT(M4,FIND("],",M4)+S16),M4)</f>
        <v>none</v>
      </c>
      <c r="O4" s="115" t="e">
        <f t="shared" si="6"/>
        <v>#VALUE!</v>
      </c>
      <c r="P4" s="115">
        <f t="shared" si="7"/>
        <v>4</v>
      </c>
      <c r="Q4" s="115" t="e">
        <f t="shared" si="8"/>
        <v>#VALUE!</v>
      </c>
      <c r="R4" s="115" t="e">
        <f t="shared" si="9"/>
        <v>#VALUE!</v>
      </c>
      <c r="S4" s="115" t="str">
        <f>IFERROR(VLOOKUP(MID(N4,Q4,R4-Q4),[6]skilldef!$C:$D,2,FALSE),"-") &amp; " / " &amp; IFERROR(VLOOKUP(MID(N4,O4,P4-O4),[6]skilldef!$A:$B,2,FALSE),"-")</f>
        <v>- / -</v>
      </c>
      <c r="T4" s="116" t="str">
        <f t="shared" si="10"/>
        <v>none</v>
      </c>
      <c r="U4" s="115" t="e">
        <f t="shared" si="11"/>
        <v>#VALUE!</v>
      </c>
      <c r="V4" s="115">
        <f t="shared" si="12"/>
        <v>4</v>
      </c>
      <c r="W4" s="115" t="e">
        <f t="shared" si="13"/>
        <v>#VALUE!</v>
      </c>
      <c r="X4" s="115" t="e">
        <f t="shared" si="14"/>
        <v>#VALUE!</v>
      </c>
      <c r="Y4" s="115" t="str">
        <f>IFERROR(VLOOKUP(MID(T4,W4,X4-W4),[6]skilldef!$C:$D,2,FALSE),"-") &amp; " / " &amp; IFERROR(VLOOKUP(MID(T4,U4,V4-U4),[6]skilldef!$A:$B,2,FALSE),"-")</f>
        <v>- / -</v>
      </c>
      <c r="Z4" s="113"/>
      <c r="AA4" s="117"/>
      <c r="AB4" s="113"/>
    </row>
    <row r="5" spans="1:28" ht="21" customHeight="1" thickTop="1" x14ac:dyDescent="0.2">
      <c r="A5" s="137">
        <v>20021103</v>
      </c>
      <c r="B5" s="131" t="s">
        <v>261</v>
      </c>
      <c r="C5" s="118">
        <v>3</v>
      </c>
      <c r="D5" s="118" t="s">
        <v>127</v>
      </c>
      <c r="E5" s="119" t="s">
        <v>298</v>
      </c>
      <c r="F5" s="120" t="s">
        <v>281</v>
      </c>
      <c r="G5" s="121" t="str">
        <f t="shared" si="0"/>
        <v>[effect:rush, count:3, val:0.4]</v>
      </c>
      <c r="H5" s="121">
        <f t="shared" si="1"/>
        <v>9</v>
      </c>
      <c r="I5" s="121">
        <f t="shared" si="2"/>
        <v>13</v>
      </c>
      <c r="J5" s="121" t="e">
        <f t="shared" si="3"/>
        <v>#VALUE!</v>
      </c>
      <c r="K5" s="121">
        <f t="shared" si="4"/>
        <v>22</v>
      </c>
      <c r="L5" s="121" t="str">
        <f>IFERROR(VLOOKUP(MID(G5,J5,K5-J5),[6]skilldef!$C:$D,2,FALSE),"-") &amp; " / " &amp; IFERROR(VLOOKUP(MID(G5,H5,I5-H5),[6]skilldef!$A:$B,2,FALSE),"-")</f>
        <v>- / 連続攻撃</v>
      </c>
      <c r="M5" s="121" t="str">
        <f t="shared" si="5"/>
        <v>none</v>
      </c>
      <c r="N5" s="122" t="str">
        <f>IFERROR(LEFT(M5,FIND("],",M5)+S17),M5)</f>
        <v>none</v>
      </c>
      <c r="O5" s="121" t="e">
        <f t="shared" si="6"/>
        <v>#VALUE!</v>
      </c>
      <c r="P5" s="121">
        <f t="shared" si="7"/>
        <v>4</v>
      </c>
      <c r="Q5" s="121" t="e">
        <f t="shared" si="8"/>
        <v>#VALUE!</v>
      </c>
      <c r="R5" s="121" t="e">
        <f t="shared" si="9"/>
        <v>#VALUE!</v>
      </c>
      <c r="S5" s="121" t="str">
        <f>IFERROR(VLOOKUP(MID(N5,Q5,R5-Q5),[6]skilldef!$C:$D,2,FALSE),"-") &amp; " / " &amp; IFERROR(VLOOKUP(MID(N5,O5,P5-O5),[6]skilldef!$A:$B,2,FALSE),"-")</f>
        <v>- / -</v>
      </c>
      <c r="T5" s="122" t="str">
        <f t="shared" si="10"/>
        <v>none</v>
      </c>
      <c r="U5" s="121" t="e">
        <f t="shared" si="11"/>
        <v>#VALUE!</v>
      </c>
      <c r="V5" s="121">
        <f t="shared" si="12"/>
        <v>4</v>
      </c>
      <c r="W5" s="121" t="e">
        <f t="shared" si="13"/>
        <v>#VALUE!</v>
      </c>
      <c r="X5" s="121" t="e">
        <f t="shared" si="14"/>
        <v>#VALUE!</v>
      </c>
      <c r="Y5" s="121" t="str">
        <f>IFERROR(VLOOKUP(MID(T5,W5,X5-W5),[6]skilldef!$C:$D,2,FALSE),"-") &amp; " / " &amp; IFERROR(VLOOKUP(MID(T5,U5,V5-U5),[6]skilldef!$A:$B,2,FALSE),"-")</f>
        <v>- / -</v>
      </c>
      <c r="Z5" s="118"/>
      <c r="AA5" s="123"/>
      <c r="AB5" s="118"/>
    </row>
    <row r="6" spans="1:28" ht="21" customHeight="1" thickBot="1" x14ac:dyDescent="0.25">
      <c r="A6" s="137">
        <v>20021104</v>
      </c>
      <c r="B6" s="132" t="s">
        <v>270</v>
      </c>
      <c r="C6" s="113">
        <v>3</v>
      </c>
      <c r="D6" s="113" t="s">
        <v>127</v>
      </c>
      <c r="E6" s="114" t="s">
        <v>313</v>
      </c>
      <c r="F6" s="114" t="s">
        <v>288</v>
      </c>
      <c r="G6" s="115" t="str">
        <f t="shared" si="0"/>
        <v>[effect:heal, target:enemy_blue, val:0.4, animation:enemy_heal]</v>
      </c>
      <c r="H6" s="115">
        <f t="shared" si="1"/>
        <v>9</v>
      </c>
      <c r="I6" s="115">
        <f t="shared" si="2"/>
        <v>13</v>
      </c>
      <c r="J6" s="115">
        <f t="shared" si="3"/>
        <v>22</v>
      </c>
      <c r="K6" s="115">
        <f t="shared" si="4"/>
        <v>32</v>
      </c>
      <c r="L6" s="115" t="str">
        <f>IFERROR(VLOOKUP(MID(G6,J6,K6-J6),[6]skilldef!$C:$D,2,FALSE),"-") &amp; " / " &amp; IFERROR(VLOOKUP(MID(G6,H6,I6-H6),[6]skilldef!$A:$B,2,FALSE),"-")</f>
        <v>青の敵に / 回復</v>
      </c>
      <c r="M6" s="115" t="str">
        <f t="shared" si="5"/>
        <v>none</v>
      </c>
      <c r="N6" s="116" t="str">
        <f>IFERROR(LEFT(M6,FIND("],",M6)+S18),M6)</f>
        <v>none</v>
      </c>
      <c r="O6" s="115" t="e">
        <f t="shared" si="6"/>
        <v>#VALUE!</v>
      </c>
      <c r="P6" s="115">
        <f t="shared" si="7"/>
        <v>4</v>
      </c>
      <c r="Q6" s="115" t="e">
        <f t="shared" si="8"/>
        <v>#VALUE!</v>
      </c>
      <c r="R6" s="115" t="e">
        <f t="shared" si="9"/>
        <v>#VALUE!</v>
      </c>
      <c r="S6" s="115" t="str">
        <f>IFERROR(VLOOKUP(MID(N6,Q6,R6-Q6),[6]skilldef!$C:$D,2,FALSE),"-") &amp; " / " &amp; IFERROR(VLOOKUP(MID(N6,O6,P6-O6),[6]skilldef!$A:$B,2,FALSE),"-")</f>
        <v>- / -</v>
      </c>
      <c r="T6" s="116" t="str">
        <f t="shared" si="10"/>
        <v>none</v>
      </c>
      <c r="U6" s="115" t="e">
        <f t="shared" si="11"/>
        <v>#VALUE!</v>
      </c>
      <c r="V6" s="115">
        <f t="shared" si="12"/>
        <v>4</v>
      </c>
      <c r="W6" s="115" t="e">
        <f t="shared" si="13"/>
        <v>#VALUE!</v>
      </c>
      <c r="X6" s="115" t="e">
        <f t="shared" si="14"/>
        <v>#VALUE!</v>
      </c>
      <c r="Y6" s="115" t="str">
        <f>IFERROR(VLOOKUP(MID(T6,W6,X6-W6),[6]skilldef!$C:$D,2,FALSE),"-") &amp; " / " &amp; IFERROR(VLOOKUP(MID(T6,U6,V6-U6),[6]skilldef!$A:$B,2,FALSE),"-")</f>
        <v>- / -</v>
      </c>
      <c r="Z6" s="113"/>
      <c r="AA6" s="117"/>
      <c r="AB6" s="113"/>
    </row>
    <row r="7" spans="1:28" ht="21" customHeight="1" thickTop="1" x14ac:dyDescent="0.2">
      <c r="A7" s="137">
        <v>20021105</v>
      </c>
      <c r="B7" s="179" t="s">
        <v>292</v>
      </c>
      <c r="C7" s="180">
        <v>3</v>
      </c>
      <c r="D7" s="180" t="s">
        <v>127</v>
      </c>
      <c r="E7" s="181" t="s">
        <v>314</v>
      </c>
      <c r="F7" s="181" t="s">
        <v>282</v>
      </c>
      <c r="G7" s="109" t="str">
        <f t="shared" ref="G7" si="15">IFERROR(LEFT(B7,FIND("],",B7)),B7)</f>
        <v>[effect:force_change_block, new_block:jammer, target:block_heart, count:0, val:1, animation:change_block]</v>
      </c>
      <c r="H7" s="109">
        <f t="shared" ref="H7" si="16">FIND("effect:",G7)+7</f>
        <v>9</v>
      </c>
      <c r="I7" s="109">
        <f t="shared" ref="I7" si="17">IFERROR(FIND(",",G7),LEN(G7))</f>
        <v>27</v>
      </c>
      <c r="J7" s="109">
        <f t="shared" ref="J7" si="18">FIND("target:",G7)+7</f>
        <v>54</v>
      </c>
      <c r="K7" s="109">
        <f t="shared" ref="K7" si="19">FIND(",",G7,I7+1)</f>
        <v>45</v>
      </c>
      <c r="L7" s="109" t="str">
        <f>IFERROR(VLOOKUP(MID(G7,J7,K7-J7),[6]skilldef!$C:$D,2,FALSE),"-") &amp; " / " &amp; IFERROR(VLOOKUP(MID(G7,H7,I7-H7),[6]skilldef!$A:$B,2,FALSE),"-")</f>
        <v>- / -</v>
      </c>
      <c r="M7" s="109" t="str">
        <f t="shared" ref="M7" si="20">IFERROR(RIGHT(B7,LEN(B7)-FIND("],",B7)-1),"none")</f>
        <v>none</v>
      </c>
      <c r="N7" s="110" t="str">
        <f t="shared" ref="N7" si="21">IFERROR(LEFT(M7,FIND("],",M7)+S18),M7)</f>
        <v>none</v>
      </c>
      <c r="O7" s="109" t="e">
        <f t="shared" ref="O7" si="22">FIND("effect:",N7)+7</f>
        <v>#VALUE!</v>
      </c>
      <c r="P7" s="109">
        <f t="shared" ref="P7" si="23">IFERROR(FIND(",",N7),LEN(N7))</f>
        <v>4</v>
      </c>
      <c r="Q7" s="109" t="e">
        <f t="shared" ref="Q7" si="24">FIND("target:",N7)+7</f>
        <v>#VALUE!</v>
      </c>
      <c r="R7" s="109" t="e">
        <f t="shared" ref="R7" si="25">FIND(",",N7,P7+1)</f>
        <v>#VALUE!</v>
      </c>
      <c r="S7" s="109" t="str">
        <f>IFERROR(VLOOKUP(MID(N7,Q7,R7-Q7),[6]skilldef!$C:$D,2,FALSE),"-") &amp; " / " &amp; IFERROR(VLOOKUP(MID(N7,O7,P7-O7),[6]skilldef!$A:$B,2,FALSE),"-")</f>
        <v>- / -</v>
      </c>
      <c r="T7" s="110" t="str">
        <f t="shared" ref="T7" si="26">IFERROR(RIGHT(M7,LEN(M7)-FIND("],",M7)-1),"none")</f>
        <v>none</v>
      </c>
      <c r="U7" s="109" t="e">
        <f t="shared" ref="U7" si="27">FIND("effect:",T7)+7</f>
        <v>#VALUE!</v>
      </c>
      <c r="V7" s="109">
        <f t="shared" ref="V7" si="28">IFERROR(FIND(",",T7),LEN(T7))</f>
        <v>4</v>
      </c>
      <c r="W7" s="109" t="e">
        <f t="shared" ref="W7" si="29">FIND("target:",T7)+7</f>
        <v>#VALUE!</v>
      </c>
      <c r="X7" s="109" t="e">
        <f t="shared" ref="X7" si="30">FIND(",",T7,V7+1)</f>
        <v>#VALUE!</v>
      </c>
      <c r="Y7" s="109" t="str">
        <f>IFERROR(VLOOKUP(MID(T7,W7,X7-W7),[6]skilldef!$C:$D,2,FALSE),"-") &amp; " / " &amp; IFERROR(VLOOKUP(MID(T7,U7,V7-U7),[6]skilldef!$A:$B,2,FALSE),"-")</f>
        <v>- / -</v>
      </c>
      <c r="Z7" s="107"/>
      <c r="AA7" s="111"/>
      <c r="AB7" s="107"/>
    </row>
    <row r="8" spans="1:28" ht="21" customHeight="1" x14ac:dyDescent="0.2">
      <c r="A8" s="137">
        <v>20021106</v>
      </c>
      <c r="B8" s="136" t="s">
        <v>269</v>
      </c>
      <c r="C8" s="107">
        <v>3</v>
      </c>
      <c r="D8" s="107" t="s">
        <v>127</v>
      </c>
      <c r="E8" s="108" t="s">
        <v>307</v>
      </c>
      <c r="F8" s="108" t="s">
        <v>282</v>
      </c>
      <c r="G8" s="109" t="str">
        <f t="shared" si="0"/>
        <v xml:space="preserve">[effect:force_change_block, new_block:jammer, target:block_heart, count:0, val:0, animation:change_block]    </v>
      </c>
      <c r="H8" s="109">
        <f t="shared" si="1"/>
        <v>9</v>
      </c>
      <c r="I8" s="109">
        <f t="shared" si="2"/>
        <v>27</v>
      </c>
      <c r="J8" s="109">
        <f t="shared" si="3"/>
        <v>54</v>
      </c>
      <c r="K8" s="109">
        <f t="shared" si="4"/>
        <v>45</v>
      </c>
      <c r="L8" s="109" t="str">
        <f>IFERROR(VLOOKUP(MID(G8,J8,K8-J8),[6]skilldef!$C:$D,2,FALSE),"-") &amp; " / " &amp; IFERROR(VLOOKUP(MID(G8,H8,I8-H8),[6]skilldef!$A:$B,2,FALSE),"-")</f>
        <v>- / -</v>
      </c>
      <c r="M8" s="109" t="str">
        <f t="shared" si="5"/>
        <v>none</v>
      </c>
      <c r="N8" s="110" t="str">
        <f>IFERROR(LEFT(M8,FIND("],",M8)+#REF!),M8)</f>
        <v>none</v>
      </c>
      <c r="O8" s="109" t="e">
        <f t="shared" si="6"/>
        <v>#VALUE!</v>
      </c>
      <c r="P8" s="109">
        <f t="shared" si="7"/>
        <v>4</v>
      </c>
      <c r="Q8" s="109" t="e">
        <f t="shared" si="8"/>
        <v>#VALUE!</v>
      </c>
      <c r="R8" s="109" t="e">
        <f t="shared" si="9"/>
        <v>#VALUE!</v>
      </c>
      <c r="S8" s="109" t="str">
        <f>IFERROR(VLOOKUP(MID(N8,Q8,R8-Q8),[6]skilldef!$C:$D,2,FALSE),"-") &amp; " / " &amp; IFERROR(VLOOKUP(MID(N8,O8,P8-O8),[6]skilldef!$A:$B,2,FALSE),"-")</f>
        <v>- / -</v>
      </c>
      <c r="T8" s="110" t="str">
        <f t="shared" si="10"/>
        <v>none</v>
      </c>
      <c r="U8" s="109" t="e">
        <f t="shared" si="11"/>
        <v>#VALUE!</v>
      </c>
      <c r="V8" s="109">
        <f t="shared" si="12"/>
        <v>4</v>
      </c>
      <c r="W8" s="109" t="e">
        <f t="shared" si="13"/>
        <v>#VALUE!</v>
      </c>
      <c r="X8" s="109" t="e">
        <f t="shared" si="14"/>
        <v>#VALUE!</v>
      </c>
      <c r="Y8" s="109" t="str">
        <f>IFERROR(VLOOKUP(MID(T8,W8,X8-W8),[6]skilldef!$C:$D,2,FALSE),"-") &amp; " / " &amp; IFERROR(VLOOKUP(MID(T8,U8,V8-U8),[6]skilldef!$A:$B,2,FALSE),"-")</f>
        <v>- / -</v>
      </c>
      <c r="Z8" s="107"/>
      <c r="AA8" s="111"/>
      <c r="AB8" s="107"/>
    </row>
    <row r="9" spans="1:28" ht="21" customHeight="1" x14ac:dyDescent="0.2">
      <c r="A9" s="137">
        <v>20021107</v>
      </c>
      <c r="B9" s="133" t="s">
        <v>296</v>
      </c>
      <c r="C9" s="50">
        <v>3</v>
      </c>
      <c r="D9" s="50" t="s">
        <v>127</v>
      </c>
      <c r="E9" s="108" t="s">
        <v>301</v>
      </c>
      <c r="F9" s="51" t="s">
        <v>290</v>
      </c>
      <c r="G9" s="63" t="str">
        <f t="shared" si="0"/>
        <v xml:space="preserve">[effect:break_attack, target:unit_one, val:0.14, lowest_val:1000, count:-1, color:blue, block01:jammer]    </v>
      </c>
      <c r="H9" s="63">
        <f t="shared" si="1"/>
        <v>9</v>
      </c>
      <c r="I9" s="63">
        <f t="shared" si="2"/>
        <v>21</v>
      </c>
      <c r="J9" s="63">
        <f t="shared" si="3"/>
        <v>30</v>
      </c>
      <c r="K9" s="63">
        <f t="shared" si="4"/>
        <v>38</v>
      </c>
      <c r="L9" s="63" t="str">
        <f>IFERROR(VLOOKUP(MID(G9,J9,K9-J9),[6]skilldef!$C:$D,2,FALSE),"-") &amp; " / " &amp; IFERROR(VLOOKUP(MID(G9,H9,I9-H9),[6]skilldef!$A:$B,2,FALSE),"-")</f>
        <v>味方単体に / -</v>
      </c>
      <c r="M9" s="63" t="str">
        <f t="shared" si="5"/>
        <v>none</v>
      </c>
      <c r="N9" s="48" t="str">
        <f>IFERROR(LEFT(M9,FIND("],",M9)+#REF!),M9)</f>
        <v>none</v>
      </c>
      <c r="O9" s="63" t="e">
        <f t="shared" si="6"/>
        <v>#VALUE!</v>
      </c>
      <c r="P9" s="63">
        <f t="shared" si="7"/>
        <v>4</v>
      </c>
      <c r="Q9" s="63" t="e">
        <f t="shared" si="8"/>
        <v>#VALUE!</v>
      </c>
      <c r="R9" s="63" t="e">
        <f t="shared" si="9"/>
        <v>#VALUE!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 t="shared" si="10"/>
        <v>none</v>
      </c>
      <c r="U9" s="63" t="e">
        <f t="shared" si="11"/>
        <v>#VALUE!</v>
      </c>
      <c r="V9" s="63">
        <f t="shared" si="12"/>
        <v>4</v>
      </c>
      <c r="W9" s="63" t="e">
        <f t="shared" si="13"/>
        <v>#VALUE!</v>
      </c>
      <c r="X9" s="63" t="e">
        <f t="shared" si="14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2">
      <c r="A10" s="137">
        <v>20021108</v>
      </c>
      <c r="B10" s="134" t="s">
        <v>272</v>
      </c>
      <c r="C10" s="50">
        <v>3</v>
      </c>
      <c r="D10" s="50" t="s">
        <v>127</v>
      </c>
      <c r="E10" s="51" t="s">
        <v>308</v>
      </c>
      <c r="F10" s="51" t="s">
        <v>300</v>
      </c>
      <c r="G10" s="63" t="str">
        <f t="shared" si="0"/>
        <v>[effect:force_change_block, new_block:block_heart, target:block_yellow, count:0, val:0, animation:change_block]</v>
      </c>
      <c r="H10" s="63">
        <f t="shared" si="1"/>
        <v>9</v>
      </c>
      <c r="I10" s="63">
        <f t="shared" si="2"/>
        <v>27</v>
      </c>
      <c r="J10" s="63">
        <f t="shared" si="3"/>
        <v>59</v>
      </c>
      <c r="K10" s="63">
        <f t="shared" si="4"/>
        <v>50</v>
      </c>
      <c r="L10" s="63" t="str">
        <f>IFERROR(VLOOKUP(MID(G10,J10,K10-J10),[6]skilldef!$C:$D,2,FALSE),"-") &amp; " / " &amp; IFERROR(VLOOKUP(MID(G10,H10,I10-H10),[6]skilldef!$A:$B,2,FALSE),"-")</f>
        <v>- / -</v>
      </c>
      <c r="M10" s="63" t="str">
        <f t="shared" si="5"/>
        <v>[effect:rush, count:1, val:1]</v>
      </c>
      <c r="N10" s="48" t="str">
        <f>IFERROR(LEFT(M10,FIND("],",M10)+#REF!),M10)</f>
        <v>[effect:rush, count:1, val:1]</v>
      </c>
      <c r="O10" s="63">
        <f t="shared" si="6"/>
        <v>9</v>
      </c>
      <c r="P10" s="63">
        <f t="shared" si="7"/>
        <v>13</v>
      </c>
      <c r="Q10" s="63" t="e">
        <f t="shared" si="8"/>
        <v>#VALUE!</v>
      </c>
      <c r="R10" s="63">
        <f t="shared" si="9"/>
        <v>22</v>
      </c>
      <c r="S10" s="63" t="str">
        <f>IFERROR(VLOOKUP(MID(N10,Q10,R10-Q10),[6]skilldef!$C:$D,2,FALSE),"-") &amp; " / " &amp; IFERROR(VLOOKUP(MID(N10,O10,P10-O10),[6]skilldef!$A:$B,2,FALSE),"-")</f>
        <v>- / 連続攻撃</v>
      </c>
      <c r="T10" s="48" t="str">
        <f t="shared" si="10"/>
        <v>none</v>
      </c>
      <c r="U10" s="63" t="e">
        <f t="shared" si="11"/>
        <v>#VALUE!</v>
      </c>
      <c r="V10" s="63">
        <f t="shared" si="12"/>
        <v>4</v>
      </c>
      <c r="W10" s="63" t="e">
        <f t="shared" si="13"/>
        <v>#VALUE!</v>
      </c>
      <c r="X10" s="63" t="e">
        <f t="shared" si="14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2">
      <c r="A11" s="137">
        <v>20021109</v>
      </c>
      <c r="B11" s="134" t="s">
        <v>273</v>
      </c>
      <c r="C11" s="50">
        <v>3</v>
      </c>
      <c r="D11" s="50" t="s">
        <v>127</v>
      </c>
      <c r="E11" s="51" t="s">
        <v>303</v>
      </c>
      <c r="F11" s="51" t="s">
        <v>285</v>
      </c>
      <c r="G11" s="63" t="str">
        <f t="shared" si="0"/>
        <v>[effect:force_change_block, new_block:block_heart, target:block_blue, count:0, val:0, animation:change_block]</v>
      </c>
      <c r="H11" s="63">
        <f t="shared" si="1"/>
        <v>9</v>
      </c>
      <c r="I11" s="63">
        <f t="shared" si="2"/>
        <v>27</v>
      </c>
      <c r="J11" s="63">
        <f t="shared" si="3"/>
        <v>59</v>
      </c>
      <c r="K11" s="63">
        <f t="shared" si="4"/>
        <v>50</v>
      </c>
      <c r="L11" s="63" t="str">
        <f>IFERROR(VLOOKUP(MID(G11,J11,K11-J11),[6]skilldef!$C:$D,2,FALSE),"-") &amp; " / " &amp; IFERROR(VLOOKUP(MID(G11,H11,I11-H11),[6]skilldef!$A:$B,2,FALSE),"-")</f>
        <v>- / -</v>
      </c>
      <c r="M11" s="63" t="str">
        <f t="shared" si="5"/>
        <v>[effect:rush, count:1, val:1]</v>
      </c>
      <c r="N11" s="48" t="str">
        <f>IFERROR(LEFT(M11,FIND("],",M11)+#REF!),M11)</f>
        <v>[effect:rush, count:1, val:1]</v>
      </c>
      <c r="O11" s="63">
        <f t="shared" si="6"/>
        <v>9</v>
      </c>
      <c r="P11" s="63">
        <f t="shared" si="7"/>
        <v>13</v>
      </c>
      <c r="Q11" s="63" t="e">
        <f t="shared" si="8"/>
        <v>#VALUE!</v>
      </c>
      <c r="R11" s="63">
        <f t="shared" si="9"/>
        <v>22</v>
      </c>
      <c r="S11" s="63" t="str">
        <f>IFERROR(VLOOKUP(MID(N11,Q11,R11-Q11),[6]skilldef!$C:$D,2,FALSE),"-") &amp; " / " &amp; IFERROR(VLOOKUP(MID(N11,O11,P11-O11),[6]skilldef!$A:$B,2,FALSE),"-")</f>
        <v>- / 連続攻撃</v>
      </c>
      <c r="T11" s="48" t="str">
        <f t="shared" si="10"/>
        <v>none</v>
      </c>
      <c r="U11" s="63" t="e">
        <f t="shared" si="11"/>
        <v>#VALUE!</v>
      </c>
      <c r="V11" s="63">
        <f t="shared" si="12"/>
        <v>4</v>
      </c>
      <c r="W11" s="63" t="e">
        <f t="shared" si="13"/>
        <v>#VALUE!</v>
      </c>
      <c r="X11" s="63" t="e">
        <f t="shared" si="14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thickBot="1" x14ac:dyDescent="0.25">
      <c r="A12" s="137">
        <v>20021110</v>
      </c>
      <c r="B12" s="135" t="s">
        <v>278</v>
      </c>
      <c r="C12" s="113">
        <v>3</v>
      </c>
      <c r="D12" s="113" t="s">
        <v>127</v>
      </c>
      <c r="E12" s="114" t="s">
        <v>304</v>
      </c>
      <c r="F12" s="114" t="s">
        <v>286</v>
      </c>
      <c r="G12" s="115" t="str">
        <f t="shared" si="0"/>
        <v>[effect:force_change_block, new_block:block_heart, target:block_green, count:0, val:0, animation:change_block]</v>
      </c>
      <c r="H12" s="115">
        <f t="shared" si="1"/>
        <v>9</v>
      </c>
      <c r="I12" s="115">
        <f t="shared" si="2"/>
        <v>27</v>
      </c>
      <c r="J12" s="115">
        <f t="shared" si="3"/>
        <v>59</v>
      </c>
      <c r="K12" s="115">
        <f t="shared" si="4"/>
        <v>50</v>
      </c>
      <c r="L12" s="115" t="str">
        <f>IFERROR(VLOOKUP(MID(G12,J12,K12-J12),[6]skilldef!$C:$D,2,FALSE),"-") &amp; " / " &amp; IFERROR(VLOOKUP(MID(G12,H12,I12-H12),[6]skilldef!$A:$B,2,FALSE),"-")</f>
        <v>- / -</v>
      </c>
      <c r="M12" s="115" t="str">
        <f t="shared" si="5"/>
        <v>[effect:rush, count:1, val:1]</v>
      </c>
      <c r="N12" s="116" t="str">
        <f>IFERROR(LEFT(M12,FIND("],",M12)+#REF!),M12)</f>
        <v>[effect:rush, count:1, val:1]</v>
      </c>
      <c r="O12" s="115">
        <f t="shared" si="6"/>
        <v>9</v>
      </c>
      <c r="P12" s="115">
        <f t="shared" si="7"/>
        <v>13</v>
      </c>
      <c r="Q12" s="115" t="e">
        <f t="shared" si="8"/>
        <v>#VALUE!</v>
      </c>
      <c r="R12" s="115">
        <f t="shared" si="9"/>
        <v>22</v>
      </c>
      <c r="S12" s="115" t="str">
        <f>IFERROR(VLOOKUP(MID(N12,Q12,R12-Q12),[6]skilldef!$C:$D,2,FALSE),"-") &amp; " / " &amp; IFERROR(VLOOKUP(MID(N12,O12,P12-O12),[6]skilldef!$A:$B,2,FALSE),"-")</f>
        <v>- / 連続攻撃</v>
      </c>
      <c r="T12" s="116" t="str">
        <f t="shared" si="10"/>
        <v>none</v>
      </c>
      <c r="U12" s="115" t="e">
        <f t="shared" si="11"/>
        <v>#VALUE!</v>
      </c>
      <c r="V12" s="115">
        <f t="shared" si="12"/>
        <v>4</v>
      </c>
      <c r="W12" s="115" t="e">
        <f t="shared" si="13"/>
        <v>#VALUE!</v>
      </c>
      <c r="X12" s="115" t="e">
        <f t="shared" si="14"/>
        <v>#VALUE!</v>
      </c>
      <c r="Y12" s="115" t="str">
        <f>IFERROR(VLOOKUP(MID(T12,W12,X12-W12),[6]skilldef!$C:$D,2,FALSE),"-") &amp; " / " &amp; IFERROR(VLOOKUP(MID(T12,U12,V12-U12),[6]skilldef!$A:$B,2,FALSE),"-")</f>
        <v>- / -</v>
      </c>
      <c r="Z12" s="113"/>
      <c r="AA12" s="117"/>
      <c r="AB12" s="113"/>
    </row>
    <row r="13" spans="1:28" ht="21" customHeight="1" thickTop="1" x14ac:dyDescent="0.2">
      <c r="A13" s="137">
        <v>20021111</v>
      </c>
      <c r="B13" s="179" t="s">
        <v>292</v>
      </c>
      <c r="C13" s="180">
        <v>3</v>
      </c>
      <c r="D13" s="180" t="s">
        <v>127</v>
      </c>
      <c r="E13" s="181" t="s">
        <v>299</v>
      </c>
      <c r="F13" s="181" t="s">
        <v>293</v>
      </c>
      <c r="G13" s="109" t="str">
        <f t="shared" ref="G13" si="31">IFERROR(LEFT(B13,FIND("],",B13)),B13)</f>
        <v>[effect:force_change_block, new_block:jammer, target:block_heart, count:0, val:1, animation:change_block]</v>
      </c>
      <c r="H13" s="109">
        <f t="shared" ref="H13" si="32">FIND("effect:",G13)+7</f>
        <v>9</v>
      </c>
      <c r="I13" s="109">
        <f t="shared" ref="I13" si="33">IFERROR(FIND(",",G13),LEN(G13))</f>
        <v>27</v>
      </c>
      <c r="J13" s="109">
        <f t="shared" ref="J13" si="34">FIND("target:",G13)+7</f>
        <v>54</v>
      </c>
      <c r="K13" s="109">
        <f t="shared" ref="K13" si="35">FIND(",",G13,I13+1)</f>
        <v>45</v>
      </c>
      <c r="L13" s="109" t="str">
        <f>IFERROR(VLOOKUP(MID(G13,J13,K13-J13),[6]skilldef!$C:$D,2,FALSE),"-") &amp; " / " &amp; IFERROR(VLOOKUP(MID(G13,H13,I13-H13),[6]skilldef!$A:$B,2,FALSE),"-")</f>
        <v>- / -</v>
      </c>
      <c r="M13" s="109" t="str">
        <f t="shared" ref="M13" si="36">IFERROR(RIGHT(B13,LEN(B13)-FIND("],",B13)-1),"none")</f>
        <v>none</v>
      </c>
      <c r="N13" s="110" t="str">
        <f>IFERROR(LEFT(M13,FIND("],",M13)+#REF!),M13)</f>
        <v>none</v>
      </c>
      <c r="O13" s="109" t="e">
        <f t="shared" ref="O13" si="37">FIND("effect:",N13)+7</f>
        <v>#VALUE!</v>
      </c>
      <c r="P13" s="109">
        <f t="shared" ref="P13" si="38">IFERROR(FIND(",",N13),LEN(N13))</f>
        <v>4</v>
      </c>
      <c r="Q13" s="109" t="e">
        <f t="shared" ref="Q13" si="39">FIND("target:",N13)+7</f>
        <v>#VALUE!</v>
      </c>
      <c r="R13" s="109" t="e">
        <f t="shared" ref="R13" si="40">FIND(",",N13,P13+1)</f>
        <v>#VALUE!</v>
      </c>
      <c r="S13" s="109" t="str">
        <f>IFERROR(VLOOKUP(MID(N13,Q13,R13-Q13),[6]skilldef!$C:$D,2,FALSE),"-") &amp; " / " &amp; IFERROR(VLOOKUP(MID(N13,O13,P13-O13),[6]skilldef!$A:$B,2,FALSE),"-")</f>
        <v>- / -</v>
      </c>
      <c r="T13" s="110" t="str">
        <f t="shared" ref="T13" si="41">IFERROR(RIGHT(M13,LEN(M13)-FIND("],",M13)-1),"none")</f>
        <v>none</v>
      </c>
      <c r="U13" s="109" t="e">
        <f t="shared" ref="U13" si="42">FIND("effect:",T13)+7</f>
        <v>#VALUE!</v>
      </c>
      <c r="V13" s="109">
        <f t="shared" ref="V13" si="43">IFERROR(FIND(",",T13),LEN(T13))</f>
        <v>4</v>
      </c>
      <c r="W13" s="109" t="e">
        <f t="shared" ref="W13" si="44">FIND("target:",T13)+7</f>
        <v>#VALUE!</v>
      </c>
      <c r="X13" s="109" t="e">
        <f t="shared" ref="X13" si="45">FIND(",",T13,V13+1)</f>
        <v>#VALUE!</v>
      </c>
      <c r="Y13" s="109" t="str">
        <f>IFERROR(VLOOKUP(MID(T13,W13,X13-W13),[6]skilldef!$C:$D,2,FALSE),"-") &amp; " / " &amp; IFERROR(VLOOKUP(MID(T13,U13,V13-U13),[6]skilldef!$A:$B,2,FALSE),"-")</f>
        <v>- / -</v>
      </c>
      <c r="Z13" s="107"/>
      <c r="AA13" s="111"/>
      <c r="AB13" s="107"/>
    </row>
    <row r="14" spans="1:28" ht="21" customHeight="1" x14ac:dyDescent="0.2">
      <c r="A14" s="137">
        <v>20021112</v>
      </c>
      <c r="B14" s="136" t="s">
        <v>289</v>
      </c>
      <c r="C14" s="107">
        <v>3</v>
      </c>
      <c r="D14" s="107" t="s">
        <v>127</v>
      </c>
      <c r="E14" s="108" t="s">
        <v>323</v>
      </c>
      <c r="F14" s="108" t="s">
        <v>283</v>
      </c>
      <c r="G14" s="109" t="str">
        <f t="shared" si="0"/>
        <v xml:space="preserve">[effect:force_change_block, new_block:jammer, target:block_heart, count:0, val:0, animation:change_block]    </v>
      </c>
      <c r="H14" s="109">
        <f t="shared" si="1"/>
        <v>9</v>
      </c>
      <c r="I14" s="109">
        <f t="shared" si="2"/>
        <v>27</v>
      </c>
      <c r="J14" s="109">
        <f t="shared" si="3"/>
        <v>54</v>
      </c>
      <c r="K14" s="109">
        <f t="shared" si="4"/>
        <v>45</v>
      </c>
      <c r="L14" s="109" t="str">
        <f>IFERROR(VLOOKUP(MID(G14,J14,K14-J14),[6]skilldef!$C:$D,2,FALSE),"-") &amp; " / " &amp; IFERROR(VLOOKUP(MID(G14,H14,I14-H14),[6]skilldef!$A:$B,2,FALSE),"-")</f>
        <v>- / -</v>
      </c>
      <c r="M14" s="109" t="str">
        <f t="shared" si="5"/>
        <v>none</v>
      </c>
      <c r="N14" s="110" t="str">
        <f>IFERROR(LEFT(M14,FIND("],",M14)+#REF!),M14)</f>
        <v>none</v>
      </c>
      <c r="O14" s="109" t="e">
        <f t="shared" si="6"/>
        <v>#VALUE!</v>
      </c>
      <c r="P14" s="109">
        <f t="shared" si="7"/>
        <v>4</v>
      </c>
      <c r="Q14" s="109" t="e">
        <f t="shared" si="8"/>
        <v>#VALUE!</v>
      </c>
      <c r="R14" s="109" t="e">
        <f t="shared" si="9"/>
        <v>#VALUE!</v>
      </c>
      <c r="S14" s="109" t="str">
        <f>IFERROR(VLOOKUP(MID(N14,Q14,R14-Q14),[6]skilldef!$C:$D,2,FALSE),"-") &amp; " / " &amp; IFERROR(VLOOKUP(MID(N14,O14,P14-O14),[6]skilldef!$A:$B,2,FALSE),"-")</f>
        <v>- / -</v>
      </c>
      <c r="T14" s="110" t="str">
        <f t="shared" si="10"/>
        <v>none</v>
      </c>
      <c r="U14" s="109" t="e">
        <f t="shared" si="11"/>
        <v>#VALUE!</v>
      </c>
      <c r="V14" s="109">
        <f t="shared" si="12"/>
        <v>4</v>
      </c>
      <c r="W14" s="109" t="e">
        <f t="shared" si="13"/>
        <v>#VALUE!</v>
      </c>
      <c r="X14" s="109" t="e">
        <f t="shared" si="14"/>
        <v>#VALUE!</v>
      </c>
      <c r="Y14" s="109" t="str">
        <f>IFERROR(VLOOKUP(MID(T14,W14,X14-W14),[6]skilldef!$C:$D,2,FALSE),"-") &amp; " / " &amp; IFERROR(VLOOKUP(MID(T14,U14,V14-U14),[6]skilldef!$A:$B,2,FALSE),"-")</f>
        <v>- / -</v>
      </c>
      <c r="Z14" s="107"/>
      <c r="AA14" s="111"/>
      <c r="AB14" s="107"/>
    </row>
    <row r="15" spans="1:28" ht="21" customHeight="1" x14ac:dyDescent="0.2">
      <c r="A15" s="137">
        <v>20021113</v>
      </c>
      <c r="B15" s="133" t="s">
        <v>297</v>
      </c>
      <c r="C15" s="50">
        <v>3</v>
      </c>
      <c r="D15" s="50" t="s">
        <v>127</v>
      </c>
      <c r="E15" s="108" t="s">
        <v>306</v>
      </c>
      <c r="F15" s="51" t="s">
        <v>291</v>
      </c>
      <c r="G15" s="63" t="str">
        <f t="shared" si="0"/>
        <v>[effect:break_attack, target:unit_one, val:0.15, lowest_val:1000, count:-1, color:blue, block01:jammer]</v>
      </c>
      <c r="H15" s="63">
        <f t="shared" si="1"/>
        <v>9</v>
      </c>
      <c r="I15" s="63">
        <f t="shared" si="2"/>
        <v>21</v>
      </c>
      <c r="J15" s="63">
        <f t="shared" si="3"/>
        <v>30</v>
      </c>
      <c r="K15" s="63">
        <f t="shared" si="4"/>
        <v>38</v>
      </c>
      <c r="L15" s="63" t="str">
        <f>IFERROR(VLOOKUP(MID(G15,J15,K15-J15),[6]skilldef!$C:$D,2,FALSE),"-") &amp; " / " &amp; IFERROR(VLOOKUP(MID(G15,H15,I15-H15),[6]skilldef!$A:$B,2,FALSE),"-")</f>
        <v>味方単体に / -</v>
      </c>
      <c r="M15" s="63" t="str">
        <f t="shared" si="5"/>
        <v>none</v>
      </c>
      <c r="N15" s="48" t="str">
        <f>IFERROR(LEFT(M15,FIND("],",M15)+#REF!),M15)</f>
        <v>none</v>
      </c>
      <c r="O15" s="63" t="e">
        <f t="shared" si="6"/>
        <v>#VALUE!</v>
      </c>
      <c r="P15" s="63">
        <f t="shared" si="7"/>
        <v>4</v>
      </c>
      <c r="Q15" s="63" t="e">
        <f t="shared" si="8"/>
        <v>#VALUE!</v>
      </c>
      <c r="R15" s="63" t="e">
        <f t="shared" si="9"/>
        <v>#VALUE!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si="10"/>
        <v>none</v>
      </c>
      <c r="U15" s="63" t="e">
        <f t="shared" si="11"/>
        <v>#VALUE!</v>
      </c>
      <c r="V15" s="63">
        <f t="shared" si="12"/>
        <v>4</v>
      </c>
      <c r="W15" s="63" t="e">
        <f t="shared" si="13"/>
        <v>#VALUE!</v>
      </c>
      <c r="X15" s="63" t="e">
        <f t="shared" si="14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2">
      <c r="A16" s="137">
        <v>20021114</v>
      </c>
      <c r="B16" s="134" t="s">
        <v>274</v>
      </c>
      <c r="C16" s="50">
        <v>3</v>
      </c>
      <c r="D16" s="50" t="s">
        <v>127</v>
      </c>
      <c r="E16" s="51" t="s">
        <v>311</v>
      </c>
      <c r="F16" s="51" t="s">
        <v>284</v>
      </c>
      <c r="G16" s="63" t="str">
        <f t="shared" si="0"/>
        <v>[effect:force_change_block, new_block:block_heart, target:block_yellow, count:0, val:0, animation:change_block]</v>
      </c>
      <c r="H16" s="63">
        <f t="shared" si="1"/>
        <v>9</v>
      </c>
      <c r="I16" s="63">
        <f t="shared" si="2"/>
        <v>27</v>
      </c>
      <c r="J16" s="63">
        <f t="shared" si="3"/>
        <v>59</v>
      </c>
      <c r="K16" s="63">
        <f t="shared" si="4"/>
        <v>50</v>
      </c>
      <c r="L16" s="63" t="str">
        <f>IFERROR(VLOOKUP(MID(G16,J16,K16-J16),[6]skilldef!$C:$D,2,FALSE),"-") &amp; " / " &amp; IFERROR(VLOOKUP(MID(G16,H16,I16-H16),[6]skilldef!$A:$B,2,FALSE),"-")</f>
        <v>- / -</v>
      </c>
      <c r="M16" s="63" t="str">
        <f t="shared" si="5"/>
        <v>[effect:rush, count:1, val:1]</v>
      </c>
      <c r="N16" s="48" t="str">
        <f>IFERROR(LEFT(M16,FIND("],",M16)+#REF!),M16)</f>
        <v>[effect:rush, count:1, val:1]</v>
      </c>
      <c r="O16" s="63">
        <f t="shared" si="6"/>
        <v>9</v>
      </c>
      <c r="P16" s="63">
        <f t="shared" si="7"/>
        <v>13</v>
      </c>
      <c r="Q16" s="63" t="e">
        <f t="shared" si="8"/>
        <v>#VALUE!</v>
      </c>
      <c r="R16" s="63">
        <f t="shared" si="9"/>
        <v>22</v>
      </c>
      <c r="S16" s="63" t="str">
        <f>IFERROR(VLOOKUP(MID(N16,Q16,R16-Q16),[6]skilldef!$C:$D,2,FALSE),"-") &amp; " / " &amp; IFERROR(VLOOKUP(MID(N16,O16,P16-O16),[6]skilldef!$A:$B,2,FALSE),"-")</f>
        <v>- / 連続攻撃</v>
      </c>
      <c r="T16" s="48" t="str">
        <f t="shared" si="10"/>
        <v>none</v>
      </c>
      <c r="U16" s="63" t="e">
        <f t="shared" si="11"/>
        <v>#VALUE!</v>
      </c>
      <c r="V16" s="63">
        <f t="shared" si="12"/>
        <v>4</v>
      </c>
      <c r="W16" s="63" t="e">
        <f t="shared" si="13"/>
        <v>#VALUE!</v>
      </c>
      <c r="X16" s="63" t="e">
        <f t="shared" si="14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2">
      <c r="A17" s="137">
        <v>20021115</v>
      </c>
      <c r="B17" s="134" t="s">
        <v>275</v>
      </c>
      <c r="C17" s="50">
        <v>3</v>
      </c>
      <c r="D17" s="50" t="s">
        <v>127</v>
      </c>
      <c r="E17" s="51" t="s">
        <v>302</v>
      </c>
      <c r="F17" s="51" t="s">
        <v>285</v>
      </c>
      <c r="G17" s="63" t="str">
        <f t="shared" si="0"/>
        <v>[effect:force_change_block, new_block:block_heart, target:block_blue, count:0, val:0, animation:change_block]</v>
      </c>
      <c r="H17" s="63">
        <f t="shared" si="1"/>
        <v>9</v>
      </c>
      <c r="I17" s="63">
        <f t="shared" si="2"/>
        <v>27</v>
      </c>
      <c r="J17" s="63">
        <f t="shared" si="3"/>
        <v>59</v>
      </c>
      <c r="K17" s="63">
        <f t="shared" si="4"/>
        <v>50</v>
      </c>
      <c r="L17" s="63" t="str">
        <f>IFERROR(VLOOKUP(MID(G17,J17,K17-J17),[6]skilldef!$C:$D,2,FALSE),"-") &amp; " / " &amp; IFERROR(VLOOKUP(MID(G17,H17,I17-H17),[6]skilldef!$A:$B,2,FALSE),"-")</f>
        <v>- / -</v>
      </c>
      <c r="M17" s="63" t="str">
        <f t="shared" si="5"/>
        <v>[effect:rush, count:1, val:1]</v>
      </c>
      <c r="N17" s="48" t="str">
        <f>IFERROR(LEFT(M17,FIND("],",M17)+#REF!),M17)</f>
        <v>[effect:rush, count:1, val:1]</v>
      </c>
      <c r="O17" s="63">
        <f t="shared" si="6"/>
        <v>9</v>
      </c>
      <c r="P17" s="63">
        <f t="shared" si="7"/>
        <v>13</v>
      </c>
      <c r="Q17" s="63" t="e">
        <f t="shared" si="8"/>
        <v>#VALUE!</v>
      </c>
      <c r="R17" s="63">
        <f t="shared" si="9"/>
        <v>22</v>
      </c>
      <c r="S17" s="63" t="str">
        <f>IFERROR(VLOOKUP(MID(N17,Q17,R17-Q17),[6]skilldef!$C:$D,2,FALSE),"-") &amp; " / " &amp; IFERROR(VLOOKUP(MID(N17,O17,P17-O17),[6]skilldef!$A:$B,2,FALSE),"-")</f>
        <v>- / 連続攻撃</v>
      </c>
      <c r="T17" s="48" t="str">
        <f t="shared" si="10"/>
        <v>none</v>
      </c>
      <c r="U17" s="63" t="e">
        <f t="shared" si="11"/>
        <v>#VALUE!</v>
      </c>
      <c r="V17" s="63">
        <f t="shared" si="12"/>
        <v>4</v>
      </c>
      <c r="W17" s="63" t="e">
        <f t="shared" si="13"/>
        <v>#VALUE!</v>
      </c>
      <c r="X17" s="63" t="e">
        <f t="shared" si="14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thickBot="1" x14ac:dyDescent="0.25">
      <c r="A18" s="137">
        <v>20021116</v>
      </c>
      <c r="B18" s="135" t="s">
        <v>276</v>
      </c>
      <c r="C18" s="113">
        <v>3</v>
      </c>
      <c r="D18" s="113" t="s">
        <v>127</v>
      </c>
      <c r="E18" s="114" t="s">
        <v>305</v>
      </c>
      <c r="F18" s="114" t="s">
        <v>286</v>
      </c>
      <c r="G18" s="115" t="str">
        <f t="shared" si="0"/>
        <v>[effect:force_change_block, new_block:block_heart, target:block_green, count:0, val:0, animation:change_block]</v>
      </c>
      <c r="H18" s="115">
        <f t="shared" si="1"/>
        <v>9</v>
      </c>
      <c r="I18" s="115">
        <f t="shared" si="2"/>
        <v>27</v>
      </c>
      <c r="J18" s="115">
        <f t="shared" si="3"/>
        <v>59</v>
      </c>
      <c r="K18" s="115">
        <f t="shared" si="4"/>
        <v>50</v>
      </c>
      <c r="L18" s="115" t="str">
        <f>IFERROR(VLOOKUP(MID(G18,J18,K18-J18),[6]skilldef!$C:$D,2,FALSE),"-") &amp; " / " &amp; IFERROR(VLOOKUP(MID(G18,H18,I18-H18),[6]skilldef!$A:$B,2,FALSE),"-")</f>
        <v>- / -</v>
      </c>
      <c r="M18" s="115" t="str">
        <f t="shared" si="5"/>
        <v>[effect:rush, count:1, val:1]</v>
      </c>
      <c r="N18" s="116" t="str">
        <f>IFERROR(LEFT(M18,FIND("],",M18)+#REF!),M18)</f>
        <v>[effect:rush, count:1, val:1]</v>
      </c>
      <c r="O18" s="115">
        <f t="shared" si="6"/>
        <v>9</v>
      </c>
      <c r="P18" s="115">
        <f t="shared" si="7"/>
        <v>13</v>
      </c>
      <c r="Q18" s="115" t="e">
        <f t="shared" si="8"/>
        <v>#VALUE!</v>
      </c>
      <c r="R18" s="115">
        <f t="shared" si="9"/>
        <v>22</v>
      </c>
      <c r="S18" s="115" t="str">
        <f>IFERROR(VLOOKUP(MID(N18,Q18,R18-Q18),[6]skilldef!$C:$D,2,FALSE),"-") &amp; " / " &amp; IFERROR(VLOOKUP(MID(N18,O18,P18-O18),[6]skilldef!$A:$B,2,FALSE),"-")</f>
        <v>- / 連続攻撃</v>
      </c>
      <c r="T18" s="116" t="str">
        <f t="shared" si="10"/>
        <v>none</v>
      </c>
      <c r="U18" s="115" t="e">
        <f t="shared" si="11"/>
        <v>#VALUE!</v>
      </c>
      <c r="V18" s="115">
        <f t="shared" si="12"/>
        <v>4</v>
      </c>
      <c r="W18" s="115" t="e">
        <f t="shared" si="13"/>
        <v>#VALUE!</v>
      </c>
      <c r="X18" s="115" t="e">
        <f t="shared" si="14"/>
        <v>#VALUE!</v>
      </c>
      <c r="Y18" s="115" t="str">
        <f>IFERROR(VLOOKUP(MID(T18,W18,X18-W18),[6]skilldef!$C:$D,2,FALSE),"-") &amp; " / " &amp; IFERROR(VLOOKUP(MID(T18,U18,V18-U18),[6]skilldef!$A:$B,2,FALSE),"-")</f>
        <v>- / -</v>
      </c>
      <c r="Z18" s="113"/>
      <c r="AA18" s="117"/>
      <c r="AB18" s="113"/>
    </row>
    <row r="19" spans="1:28" ht="21" customHeight="1" thickTop="1" x14ac:dyDescent="0.15"/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9"/>
  <sheetViews>
    <sheetView showGridLines="0" workbookViewId="0">
      <pane ySplit="1" topLeftCell="A2" activePane="bottomLeft" state="frozenSplit"/>
      <selection pane="bottomLeft" activeCell="G28" sqref="G28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thickBot="1" x14ac:dyDescent="0.2">
      <c r="A2" s="47">
        <v>20021100</v>
      </c>
      <c r="B2" s="47">
        <v>0</v>
      </c>
      <c r="C2" s="127">
        <v>0</v>
      </c>
      <c r="D2" s="127">
        <v>50</v>
      </c>
      <c r="E2" s="127" t="s">
        <v>252</v>
      </c>
      <c r="F2" s="127" t="s">
        <v>259</v>
      </c>
      <c r="G2" s="127" t="s">
        <v>253</v>
      </c>
      <c r="H2" s="127" t="s">
        <v>256</v>
      </c>
      <c r="I2" s="47" t="s">
        <v>89</v>
      </c>
      <c r="J2" s="48">
        <f t="shared" ref="J2" si="0">D2</f>
        <v>50</v>
      </c>
      <c r="K2" s="125"/>
    </row>
    <row r="3" spans="1:11" ht="21" customHeight="1" thickTop="1" x14ac:dyDescent="0.15">
      <c r="A3" s="47">
        <v>20021101</v>
      </c>
      <c r="B3" s="106">
        <v>0</v>
      </c>
      <c r="C3" s="128">
        <v>1</v>
      </c>
      <c r="D3" s="128">
        <v>40</v>
      </c>
      <c r="E3" s="128" t="s">
        <v>252</v>
      </c>
      <c r="F3" s="128" t="s">
        <v>259</v>
      </c>
      <c r="G3" s="128" t="s">
        <v>253</v>
      </c>
      <c r="H3" s="128" t="s">
        <v>254</v>
      </c>
      <c r="I3" s="106" t="s">
        <v>53</v>
      </c>
      <c r="J3" s="110">
        <f t="shared" ref="J3:J18" si="1">D3</f>
        <v>40</v>
      </c>
      <c r="K3" s="126"/>
    </row>
    <row r="4" spans="1:11" ht="21" customHeight="1" thickBot="1" x14ac:dyDescent="0.2">
      <c r="A4" s="47">
        <v>20021102</v>
      </c>
      <c r="B4" s="112">
        <v>0</v>
      </c>
      <c r="C4" s="129">
        <v>0</v>
      </c>
      <c r="D4" s="129">
        <v>40</v>
      </c>
      <c r="E4" s="129" t="s">
        <v>252</v>
      </c>
      <c r="F4" s="129" t="s">
        <v>259</v>
      </c>
      <c r="G4" s="129" t="s">
        <v>253</v>
      </c>
      <c r="H4" s="129" t="s">
        <v>255</v>
      </c>
      <c r="I4" s="112" t="s">
        <v>53</v>
      </c>
      <c r="J4" s="116">
        <f t="shared" si="1"/>
        <v>40</v>
      </c>
      <c r="K4" s="125"/>
    </row>
    <row r="5" spans="1:11" ht="21" customHeight="1" thickTop="1" x14ac:dyDescent="0.15">
      <c r="A5" s="47">
        <v>20021103</v>
      </c>
      <c r="B5" s="106">
        <v>0</v>
      </c>
      <c r="C5" s="128">
        <v>0</v>
      </c>
      <c r="D5" s="128">
        <v>30</v>
      </c>
      <c r="E5" s="128" t="s">
        <v>252</v>
      </c>
      <c r="F5" s="128" t="s">
        <v>258</v>
      </c>
      <c r="G5" s="128" t="s">
        <v>253</v>
      </c>
      <c r="H5" s="128" t="s">
        <v>257</v>
      </c>
      <c r="I5" s="106" t="s">
        <v>53</v>
      </c>
      <c r="J5" s="110">
        <f t="shared" si="1"/>
        <v>30</v>
      </c>
      <c r="K5" s="126"/>
    </row>
    <row r="6" spans="1:11" ht="21" customHeight="1" thickBot="1" x14ac:dyDescent="0.2">
      <c r="A6" s="47">
        <v>20021104</v>
      </c>
      <c r="B6" s="112">
        <v>0</v>
      </c>
      <c r="C6" s="129">
        <v>0</v>
      </c>
      <c r="D6" s="129">
        <v>50</v>
      </c>
      <c r="E6" s="129" t="s">
        <v>252</v>
      </c>
      <c r="F6" s="129" t="s">
        <v>258</v>
      </c>
      <c r="G6" s="129">
        <v>1</v>
      </c>
      <c r="H6" s="129" t="s">
        <v>277</v>
      </c>
      <c r="I6" s="112" t="s">
        <v>53</v>
      </c>
      <c r="J6" s="116">
        <f t="shared" si="1"/>
        <v>50</v>
      </c>
      <c r="K6" s="125"/>
    </row>
    <row r="7" spans="1:11" ht="21" customHeight="1" thickTop="1" x14ac:dyDescent="0.15">
      <c r="A7" s="47">
        <v>20021105</v>
      </c>
      <c r="B7" s="178">
        <v>1</v>
      </c>
      <c r="C7" s="178">
        <v>0</v>
      </c>
      <c r="D7" s="178">
        <v>100</v>
      </c>
      <c r="E7" s="178" t="s">
        <v>252</v>
      </c>
      <c r="F7" s="178" t="s">
        <v>258</v>
      </c>
      <c r="G7" s="178">
        <v>1</v>
      </c>
      <c r="H7" s="178" t="s">
        <v>294</v>
      </c>
      <c r="I7" s="178" t="s">
        <v>53</v>
      </c>
      <c r="J7" s="110">
        <f t="shared" ref="J7" si="2">D7</f>
        <v>100</v>
      </c>
      <c r="K7" s="126"/>
    </row>
    <row r="8" spans="1:11" ht="21" customHeight="1" x14ac:dyDescent="0.15">
      <c r="A8" s="47">
        <v>20021106</v>
      </c>
      <c r="B8" s="106">
        <v>0</v>
      </c>
      <c r="C8" s="128">
        <v>0</v>
      </c>
      <c r="D8" s="128">
        <v>100</v>
      </c>
      <c r="E8" s="128" t="s">
        <v>252</v>
      </c>
      <c r="F8" s="128" t="s">
        <v>258</v>
      </c>
      <c r="G8" s="128" t="s">
        <v>253</v>
      </c>
      <c r="H8" s="106">
        <v>2</v>
      </c>
      <c r="I8" s="106" t="s">
        <v>53</v>
      </c>
      <c r="J8" s="110">
        <f t="shared" si="1"/>
        <v>100</v>
      </c>
      <c r="K8" s="126"/>
    </row>
    <row r="9" spans="1:11" ht="21" customHeight="1" x14ac:dyDescent="0.15">
      <c r="A9" s="47">
        <v>20021107</v>
      </c>
      <c r="B9" s="47">
        <v>0</v>
      </c>
      <c r="C9" s="127">
        <v>1</v>
      </c>
      <c r="D9" s="127">
        <v>100</v>
      </c>
      <c r="E9" s="127" t="s">
        <v>252</v>
      </c>
      <c r="F9" s="127" t="s">
        <v>258</v>
      </c>
      <c r="G9" s="127" t="s">
        <v>253</v>
      </c>
      <c r="H9" s="47">
        <v>3</v>
      </c>
      <c r="I9" s="47" t="s">
        <v>53</v>
      </c>
      <c r="J9" s="48">
        <f t="shared" si="1"/>
        <v>100</v>
      </c>
      <c r="K9" s="126"/>
    </row>
    <row r="10" spans="1:11" ht="21" customHeight="1" x14ac:dyDescent="0.15">
      <c r="A10" s="47">
        <v>20021108</v>
      </c>
      <c r="B10" s="47">
        <v>0</v>
      </c>
      <c r="C10" s="127">
        <v>2</v>
      </c>
      <c r="D10" s="127">
        <v>100</v>
      </c>
      <c r="E10" s="127">
        <v>75</v>
      </c>
      <c r="F10" s="127" t="s">
        <v>263</v>
      </c>
      <c r="G10" s="127">
        <v>1</v>
      </c>
      <c r="H10" s="47" t="s">
        <v>53</v>
      </c>
      <c r="I10" s="47" t="s">
        <v>53</v>
      </c>
      <c r="J10" s="48">
        <f t="shared" si="1"/>
        <v>100</v>
      </c>
      <c r="K10" s="126"/>
    </row>
    <row r="11" spans="1:11" ht="21" customHeight="1" x14ac:dyDescent="0.15">
      <c r="A11" s="47">
        <v>20021109</v>
      </c>
      <c r="B11" s="47">
        <v>0</v>
      </c>
      <c r="C11" s="127">
        <v>2</v>
      </c>
      <c r="D11" s="127">
        <v>100</v>
      </c>
      <c r="E11" s="127">
        <v>50</v>
      </c>
      <c r="F11" s="127" t="s">
        <v>264</v>
      </c>
      <c r="G11" s="127">
        <v>1</v>
      </c>
      <c r="H11" s="47" t="s">
        <v>53</v>
      </c>
      <c r="I11" s="47" t="s">
        <v>53</v>
      </c>
      <c r="J11" s="48">
        <f t="shared" si="1"/>
        <v>100</v>
      </c>
      <c r="K11" s="126"/>
    </row>
    <row r="12" spans="1:11" ht="21" customHeight="1" thickBot="1" x14ac:dyDescent="0.2">
      <c r="A12" s="47">
        <v>20021110</v>
      </c>
      <c r="B12" s="112">
        <v>0</v>
      </c>
      <c r="C12" s="129">
        <v>2</v>
      </c>
      <c r="D12" s="129">
        <v>100</v>
      </c>
      <c r="E12" s="129">
        <v>25</v>
      </c>
      <c r="F12" s="129" t="s">
        <v>265</v>
      </c>
      <c r="G12" s="129">
        <v>1</v>
      </c>
      <c r="H12" s="112" t="s">
        <v>53</v>
      </c>
      <c r="I12" s="112" t="s">
        <v>53</v>
      </c>
      <c r="J12" s="116">
        <f t="shared" si="1"/>
        <v>100</v>
      </c>
      <c r="K12" s="125"/>
    </row>
    <row r="13" spans="1:11" ht="21" customHeight="1" thickTop="1" x14ac:dyDescent="0.15">
      <c r="A13" s="47">
        <v>20021111</v>
      </c>
      <c r="B13" s="178">
        <v>1</v>
      </c>
      <c r="C13" s="178">
        <v>0</v>
      </c>
      <c r="D13" s="178">
        <v>100</v>
      </c>
      <c r="E13" s="178" t="s">
        <v>53</v>
      </c>
      <c r="F13" s="178" t="s">
        <v>53</v>
      </c>
      <c r="G13" s="178">
        <v>1</v>
      </c>
      <c r="H13" s="178" t="s">
        <v>295</v>
      </c>
      <c r="I13" s="178" t="s">
        <v>53</v>
      </c>
      <c r="J13" s="110">
        <f t="shared" ref="J13" si="3">D13</f>
        <v>100</v>
      </c>
      <c r="K13" s="126"/>
    </row>
    <row r="14" spans="1:11" ht="21" customHeight="1" x14ac:dyDescent="0.15">
      <c r="A14" s="47">
        <v>20021112</v>
      </c>
      <c r="B14" s="106">
        <v>0</v>
      </c>
      <c r="C14" s="128">
        <v>0</v>
      </c>
      <c r="D14" s="106">
        <v>100</v>
      </c>
      <c r="E14" s="128" t="s">
        <v>53</v>
      </c>
      <c r="F14" s="128" t="s">
        <v>53</v>
      </c>
      <c r="G14" s="128" t="s">
        <v>253</v>
      </c>
      <c r="H14" s="106">
        <v>2</v>
      </c>
      <c r="I14" s="106" t="s">
        <v>53</v>
      </c>
      <c r="J14" s="110">
        <f t="shared" si="1"/>
        <v>100</v>
      </c>
      <c r="K14" s="126"/>
    </row>
    <row r="15" spans="1:11" ht="21" customHeight="1" x14ac:dyDescent="0.15">
      <c r="A15" s="47">
        <v>20021113</v>
      </c>
      <c r="B15" s="47">
        <v>0</v>
      </c>
      <c r="C15" s="127">
        <v>1</v>
      </c>
      <c r="D15" s="47">
        <v>100</v>
      </c>
      <c r="E15" s="127" t="s">
        <v>53</v>
      </c>
      <c r="F15" s="127" t="s">
        <v>53</v>
      </c>
      <c r="G15" s="127" t="s">
        <v>253</v>
      </c>
      <c r="H15" s="47">
        <v>3</v>
      </c>
      <c r="I15" s="47" t="s">
        <v>53</v>
      </c>
      <c r="J15" s="48">
        <f t="shared" si="1"/>
        <v>100</v>
      </c>
      <c r="K15" s="126"/>
    </row>
    <row r="16" spans="1:11" ht="21" customHeight="1" x14ac:dyDescent="0.15">
      <c r="A16" s="47">
        <v>20021114</v>
      </c>
      <c r="B16" s="47">
        <v>0</v>
      </c>
      <c r="C16" s="127">
        <v>2</v>
      </c>
      <c r="D16" s="47">
        <v>100</v>
      </c>
      <c r="E16" s="47">
        <v>75</v>
      </c>
      <c r="F16" s="127" t="s">
        <v>266</v>
      </c>
      <c r="G16" s="127">
        <v>1</v>
      </c>
      <c r="H16" s="47" t="s">
        <v>53</v>
      </c>
      <c r="I16" s="47" t="s">
        <v>53</v>
      </c>
      <c r="J16" s="48">
        <f t="shared" si="1"/>
        <v>100</v>
      </c>
      <c r="K16" s="126"/>
    </row>
    <row r="17" spans="1:11" ht="21" customHeight="1" x14ac:dyDescent="0.15">
      <c r="A17" s="47">
        <v>20021115</v>
      </c>
      <c r="B17" s="47">
        <v>0</v>
      </c>
      <c r="C17" s="127">
        <v>2</v>
      </c>
      <c r="D17" s="47">
        <v>100</v>
      </c>
      <c r="E17" s="47">
        <v>50</v>
      </c>
      <c r="F17" s="127" t="s">
        <v>267</v>
      </c>
      <c r="G17" s="127">
        <v>1</v>
      </c>
      <c r="H17" s="47" t="s">
        <v>53</v>
      </c>
      <c r="I17" s="47" t="s">
        <v>53</v>
      </c>
      <c r="J17" s="48">
        <f t="shared" si="1"/>
        <v>100</v>
      </c>
      <c r="K17" s="126"/>
    </row>
    <row r="18" spans="1:11" ht="21" customHeight="1" thickBot="1" x14ac:dyDescent="0.2">
      <c r="A18" s="47">
        <v>20021116</v>
      </c>
      <c r="B18" s="112">
        <v>0</v>
      </c>
      <c r="C18" s="129">
        <v>2</v>
      </c>
      <c r="D18" s="112">
        <v>100</v>
      </c>
      <c r="E18" s="129">
        <v>25</v>
      </c>
      <c r="F18" s="112" t="s">
        <v>268</v>
      </c>
      <c r="G18" s="129">
        <v>1</v>
      </c>
      <c r="H18" s="112" t="s">
        <v>53</v>
      </c>
      <c r="I18" s="112" t="s">
        <v>53</v>
      </c>
      <c r="J18" s="116">
        <f t="shared" si="1"/>
        <v>100</v>
      </c>
      <c r="K18" s="125"/>
    </row>
    <row r="19" spans="1:11" ht="21" customHeight="1" thickTop="1" x14ac:dyDescent="0.15"/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2"/>
  <sheetViews>
    <sheetView tabSelected="1" topLeftCell="G1" zoomScale="107" zoomScaleNormal="107" zoomScalePageLayoutView="107" workbookViewId="0">
      <selection activeCell="N36" sqref="N36"/>
    </sheetView>
  </sheetViews>
  <sheetFormatPr baseColWidth="12" defaultRowHeight="15" x14ac:dyDescent="0.15"/>
  <cols>
    <col min="17" max="18" width="19" bestFit="1" customWidth="1"/>
  </cols>
  <sheetData>
    <row r="1" spans="1:18" ht="16" thickBot="1" x14ac:dyDescent="0.2">
      <c r="A1" s="64" t="s">
        <v>150</v>
      </c>
      <c r="B1" s="64" t="s">
        <v>151</v>
      </c>
      <c r="C1" s="65" t="s">
        <v>152</v>
      </c>
      <c r="D1" s="72" t="s">
        <v>153</v>
      </c>
      <c r="E1" s="66" t="s">
        <v>154</v>
      </c>
      <c r="F1" s="64" t="s">
        <v>155</v>
      </c>
      <c r="G1" s="64" t="s">
        <v>156</v>
      </c>
      <c r="H1" s="64" t="s">
        <v>157</v>
      </c>
      <c r="I1" s="64" t="s">
        <v>158</v>
      </c>
      <c r="J1" s="64" t="s">
        <v>159</v>
      </c>
      <c r="K1" s="64" t="s">
        <v>160</v>
      </c>
      <c r="L1" s="64" t="s">
        <v>161</v>
      </c>
      <c r="M1" s="64" t="s">
        <v>162</v>
      </c>
      <c r="N1" s="64" t="s">
        <v>163</v>
      </c>
      <c r="O1" s="64" t="s">
        <v>164</v>
      </c>
      <c r="P1" s="64" t="s">
        <v>165</v>
      </c>
      <c r="Q1" s="64" t="s">
        <v>166</v>
      </c>
      <c r="R1" s="64" t="s">
        <v>167</v>
      </c>
    </row>
    <row r="2" spans="1:18" x14ac:dyDescent="0.15">
      <c r="A2" s="57">
        <f>floors!C2</f>
        <v>20021</v>
      </c>
      <c r="B2" s="57">
        <v>1</v>
      </c>
      <c r="C2" s="71" t="str">
        <f>A2&amp; "_"&amp;B2</f>
        <v>20021_1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168</v>
      </c>
      <c r="G2" s="198">
        <v>1700</v>
      </c>
      <c r="H2" s="57" t="s">
        <v>169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198">
        <v>200</v>
      </c>
      <c r="Q2" s="57" t="s">
        <v>170</v>
      </c>
      <c r="R2" s="57" t="s">
        <v>171</v>
      </c>
    </row>
    <row r="3" spans="1:18" x14ac:dyDescent="0.15">
      <c r="A3" s="57">
        <f>floors!C2</f>
        <v>20021</v>
      </c>
      <c r="B3" s="57">
        <v>1</v>
      </c>
      <c r="C3" s="71" t="str">
        <f t="shared" ref="C3:C31" si="0">A3&amp; "_"&amp;B3</f>
        <v>20021_1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315</v>
      </c>
      <c r="G3" s="199">
        <v>20</v>
      </c>
      <c r="H3" s="57" t="s">
        <v>53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199">
        <v>200</v>
      </c>
      <c r="Q3" s="57" t="s">
        <v>170</v>
      </c>
      <c r="R3" s="57" t="s">
        <v>171</v>
      </c>
    </row>
    <row r="4" spans="1:18" x14ac:dyDescent="0.15">
      <c r="A4" s="57">
        <f>floors!C2</f>
        <v>20021</v>
      </c>
      <c r="B4" s="57">
        <v>1</v>
      </c>
      <c r="C4" s="71" t="str">
        <f t="shared" si="0"/>
        <v>20021_1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316</v>
      </c>
      <c r="G4" s="199">
        <v>340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199">
        <v>98</v>
      </c>
      <c r="Q4" s="57" t="s">
        <v>170</v>
      </c>
      <c r="R4" s="57" t="s">
        <v>171</v>
      </c>
    </row>
    <row r="5" spans="1:18" x14ac:dyDescent="0.15">
      <c r="A5" s="57">
        <f>floors!C2</f>
        <v>20021</v>
      </c>
      <c r="B5" s="57">
        <v>1</v>
      </c>
      <c r="C5" s="71" t="str">
        <f t="shared" si="0"/>
        <v>20021_1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316</v>
      </c>
      <c r="G5" s="199">
        <v>341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199">
        <v>42</v>
      </c>
      <c r="Q5" s="57" t="s">
        <v>170</v>
      </c>
      <c r="R5" s="57" t="s">
        <v>171</v>
      </c>
    </row>
    <row r="6" spans="1:18" x14ac:dyDescent="0.15">
      <c r="A6" s="57">
        <f>floors!C2</f>
        <v>20021</v>
      </c>
      <c r="B6" s="57">
        <v>1</v>
      </c>
      <c r="C6" s="71" t="str">
        <f t="shared" si="0"/>
        <v>20021_1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316</v>
      </c>
      <c r="G6" s="199">
        <v>352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199">
        <v>100</v>
      </c>
      <c r="Q6" s="57" t="s">
        <v>170</v>
      </c>
      <c r="R6" s="57" t="s">
        <v>171</v>
      </c>
    </row>
    <row r="7" spans="1:18" x14ac:dyDescent="0.15">
      <c r="A7" s="57">
        <f>floors!C2</f>
        <v>20021</v>
      </c>
      <c r="B7" s="57">
        <v>1</v>
      </c>
      <c r="C7" s="71" t="str">
        <f t="shared" si="0"/>
        <v>20021_1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316</v>
      </c>
      <c r="G7" s="199">
        <v>121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199">
        <v>50</v>
      </c>
      <c r="Q7" s="57" t="s">
        <v>170</v>
      </c>
      <c r="R7" s="57" t="s">
        <v>171</v>
      </c>
    </row>
    <row r="8" spans="1:18" x14ac:dyDescent="0.15">
      <c r="A8" s="57">
        <f>floors!C2</f>
        <v>20021</v>
      </c>
      <c r="B8" s="57">
        <v>1</v>
      </c>
      <c r="C8" s="71" t="str">
        <f t="shared" si="0"/>
        <v>20021_1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316</v>
      </c>
      <c r="G8" s="199">
        <v>123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199">
        <v>50</v>
      </c>
      <c r="Q8" s="57" t="s">
        <v>170</v>
      </c>
      <c r="R8" s="57" t="s">
        <v>171</v>
      </c>
    </row>
    <row r="9" spans="1:18" x14ac:dyDescent="0.15">
      <c r="A9" s="57">
        <f>floors!C2</f>
        <v>20021</v>
      </c>
      <c r="B9" s="57">
        <v>1</v>
      </c>
      <c r="C9" s="71" t="str">
        <f t="shared" si="0"/>
        <v>20021_1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316</v>
      </c>
      <c r="G9" s="199">
        <v>122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199">
        <v>50</v>
      </c>
      <c r="Q9" s="57" t="s">
        <v>170</v>
      </c>
      <c r="R9" s="57" t="s">
        <v>171</v>
      </c>
    </row>
    <row r="10" spans="1:18" x14ac:dyDescent="0.15">
      <c r="A10" s="57">
        <f>floors!C2</f>
        <v>20021</v>
      </c>
      <c r="B10" s="57">
        <v>1</v>
      </c>
      <c r="C10" s="71" t="str">
        <f t="shared" si="0"/>
        <v>20021_1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316</v>
      </c>
      <c r="G10" s="200">
        <v>125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199">
        <v>10</v>
      </c>
      <c r="Q10" s="57" t="s">
        <v>170</v>
      </c>
      <c r="R10" s="57" t="s">
        <v>171</v>
      </c>
    </row>
    <row r="11" spans="1:18" ht="16" thickBot="1" x14ac:dyDescent="0.2">
      <c r="A11" s="190">
        <f>floors!C2</f>
        <v>20021</v>
      </c>
      <c r="B11" s="190">
        <v>1</v>
      </c>
      <c r="C11" s="191" t="str">
        <f t="shared" si="0"/>
        <v>20021_1</v>
      </c>
      <c r="D11" s="192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90">
        <v>10</v>
      </c>
      <c r="F11" s="190" t="s">
        <v>316</v>
      </c>
      <c r="G11" s="207">
        <v>1094</v>
      </c>
      <c r="H11" s="57">
        <v>1</v>
      </c>
      <c r="I11" s="190">
        <v>1</v>
      </c>
      <c r="J11" s="190">
        <v>1</v>
      </c>
      <c r="K11" s="190">
        <v>0</v>
      </c>
      <c r="L11" s="190">
        <v>0</v>
      </c>
      <c r="M11" s="190">
        <v>0</v>
      </c>
      <c r="N11" s="190">
        <v>0</v>
      </c>
      <c r="O11" s="190">
        <v>1</v>
      </c>
      <c r="P11" s="202">
        <v>200</v>
      </c>
      <c r="Q11" s="190" t="s">
        <v>170</v>
      </c>
      <c r="R11" s="190" t="s">
        <v>171</v>
      </c>
    </row>
    <row r="12" spans="1:18" ht="16" thickTop="1" x14ac:dyDescent="0.15">
      <c r="A12" s="195">
        <f>floors!C2</f>
        <v>20021</v>
      </c>
      <c r="B12" s="195">
        <v>2</v>
      </c>
      <c r="C12" s="193" t="str">
        <f t="shared" si="0"/>
        <v>20021_2</v>
      </c>
      <c r="D12" s="194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95">
        <v>11</v>
      </c>
      <c r="F12" s="195" t="s">
        <v>168</v>
      </c>
      <c r="G12" s="203">
        <v>3200</v>
      </c>
      <c r="H12" s="195" t="s">
        <v>53</v>
      </c>
      <c r="I12" s="195">
        <v>1</v>
      </c>
      <c r="J12" s="195">
        <v>1</v>
      </c>
      <c r="K12" s="195">
        <v>0</v>
      </c>
      <c r="L12" s="195">
        <v>0</v>
      </c>
      <c r="M12" s="195">
        <v>0</v>
      </c>
      <c r="N12" s="195">
        <v>0</v>
      </c>
      <c r="O12" s="195">
        <v>1</v>
      </c>
      <c r="P12" s="203">
        <v>200</v>
      </c>
      <c r="Q12" s="206" t="s">
        <v>170</v>
      </c>
      <c r="R12" s="206" t="s">
        <v>171</v>
      </c>
    </row>
    <row r="13" spans="1:18" x14ac:dyDescent="0.15">
      <c r="A13" s="196">
        <f>floors!C2</f>
        <v>20021</v>
      </c>
      <c r="B13" s="196">
        <v>2</v>
      </c>
      <c r="C13" s="71" t="str">
        <f t="shared" si="0"/>
        <v>20021_2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196">
        <v>12</v>
      </c>
      <c r="F13" s="196" t="s">
        <v>315</v>
      </c>
      <c r="G13" s="203">
        <v>20</v>
      </c>
      <c r="H13" s="196" t="s">
        <v>53</v>
      </c>
      <c r="I13" s="196">
        <v>1</v>
      </c>
      <c r="J13" s="196">
        <v>1</v>
      </c>
      <c r="K13" s="196">
        <v>0</v>
      </c>
      <c r="L13" s="196">
        <v>0</v>
      </c>
      <c r="M13" s="196">
        <v>0</v>
      </c>
      <c r="N13" s="196">
        <v>0</v>
      </c>
      <c r="O13" s="196">
        <v>1</v>
      </c>
      <c r="P13" s="203">
        <v>150</v>
      </c>
      <c r="Q13" s="196" t="s">
        <v>170</v>
      </c>
      <c r="R13" s="196" t="s">
        <v>171</v>
      </c>
    </row>
    <row r="14" spans="1:18" x14ac:dyDescent="0.15">
      <c r="A14" s="196">
        <f>floors!C2</f>
        <v>20021</v>
      </c>
      <c r="B14" s="196">
        <v>2</v>
      </c>
      <c r="C14" s="71" t="str">
        <f t="shared" si="0"/>
        <v>20021_2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196">
        <v>13</v>
      </c>
      <c r="F14" s="196" t="s">
        <v>316</v>
      </c>
      <c r="G14" s="203">
        <v>340</v>
      </c>
      <c r="H14" s="196">
        <v>1</v>
      </c>
      <c r="I14" s="196">
        <v>1</v>
      </c>
      <c r="J14" s="196">
        <v>1</v>
      </c>
      <c r="K14" s="196">
        <v>0</v>
      </c>
      <c r="L14" s="196">
        <v>0</v>
      </c>
      <c r="M14" s="196">
        <v>0</v>
      </c>
      <c r="N14" s="196">
        <v>0</v>
      </c>
      <c r="O14" s="196">
        <v>1</v>
      </c>
      <c r="P14" s="203">
        <v>70</v>
      </c>
      <c r="Q14" s="196" t="s">
        <v>170</v>
      </c>
      <c r="R14" s="196" t="s">
        <v>171</v>
      </c>
    </row>
    <row r="15" spans="1:18" x14ac:dyDescent="0.15">
      <c r="A15" s="196">
        <f>floors!C2</f>
        <v>20021</v>
      </c>
      <c r="B15" s="196">
        <v>2</v>
      </c>
      <c r="C15" s="71" t="str">
        <f t="shared" si="0"/>
        <v>20021_2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196">
        <v>14</v>
      </c>
      <c r="F15" s="196" t="s">
        <v>316</v>
      </c>
      <c r="G15" s="203">
        <v>341</v>
      </c>
      <c r="H15" s="196">
        <v>1</v>
      </c>
      <c r="I15" s="196">
        <v>1</v>
      </c>
      <c r="J15" s="196">
        <v>1</v>
      </c>
      <c r="K15" s="196">
        <v>0</v>
      </c>
      <c r="L15" s="196">
        <v>0</v>
      </c>
      <c r="M15" s="196">
        <v>0</v>
      </c>
      <c r="N15" s="196">
        <v>0</v>
      </c>
      <c r="O15" s="196">
        <v>1</v>
      </c>
      <c r="P15" s="203">
        <v>70</v>
      </c>
      <c r="Q15" s="196" t="s">
        <v>170</v>
      </c>
      <c r="R15" s="196" t="s">
        <v>171</v>
      </c>
    </row>
    <row r="16" spans="1:18" x14ac:dyDescent="0.15">
      <c r="A16" s="196">
        <f>floors!C2</f>
        <v>20021</v>
      </c>
      <c r="B16" s="196">
        <v>2</v>
      </c>
      <c r="C16" s="71" t="str">
        <f t="shared" si="0"/>
        <v>20021_2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196">
        <v>15</v>
      </c>
      <c r="F16" s="196" t="s">
        <v>316</v>
      </c>
      <c r="G16" s="203">
        <v>352</v>
      </c>
      <c r="H16" s="196">
        <v>1</v>
      </c>
      <c r="I16" s="196">
        <v>1</v>
      </c>
      <c r="J16" s="196">
        <v>1</v>
      </c>
      <c r="K16" s="196">
        <v>0</v>
      </c>
      <c r="L16" s="196">
        <v>0</v>
      </c>
      <c r="M16" s="196">
        <v>0</v>
      </c>
      <c r="N16" s="196">
        <v>0</v>
      </c>
      <c r="O16" s="196">
        <v>1</v>
      </c>
      <c r="P16" s="203">
        <v>100</v>
      </c>
      <c r="Q16" s="196" t="s">
        <v>170</v>
      </c>
      <c r="R16" s="196" t="s">
        <v>171</v>
      </c>
    </row>
    <row r="17" spans="1:18" x14ac:dyDescent="0.15">
      <c r="A17" s="196">
        <f>floors!C2</f>
        <v>20021</v>
      </c>
      <c r="B17" s="196">
        <v>2</v>
      </c>
      <c r="C17" s="71" t="str">
        <f t="shared" si="0"/>
        <v>20021_2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196">
        <v>16</v>
      </c>
      <c r="F17" s="196" t="s">
        <v>316</v>
      </c>
      <c r="G17" s="203">
        <v>121</v>
      </c>
      <c r="H17" s="196">
        <v>1</v>
      </c>
      <c r="I17" s="196">
        <v>1</v>
      </c>
      <c r="J17" s="196">
        <v>1</v>
      </c>
      <c r="K17" s="196">
        <v>0</v>
      </c>
      <c r="L17" s="196">
        <v>0</v>
      </c>
      <c r="M17" s="196">
        <v>0</v>
      </c>
      <c r="N17" s="196">
        <v>0</v>
      </c>
      <c r="O17" s="196">
        <v>1</v>
      </c>
      <c r="P17" s="203">
        <v>50</v>
      </c>
      <c r="Q17" s="196" t="s">
        <v>170</v>
      </c>
      <c r="R17" s="196" t="s">
        <v>171</v>
      </c>
    </row>
    <row r="18" spans="1:18" x14ac:dyDescent="0.15">
      <c r="A18" s="196">
        <f>floors!C2</f>
        <v>20021</v>
      </c>
      <c r="B18" s="196">
        <v>2</v>
      </c>
      <c r="C18" s="71" t="str">
        <f t="shared" si="0"/>
        <v>20021_2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96">
        <v>17</v>
      </c>
      <c r="F18" s="196" t="s">
        <v>316</v>
      </c>
      <c r="G18" s="203">
        <v>123</v>
      </c>
      <c r="H18" s="196">
        <v>1</v>
      </c>
      <c r="I18" s="196">
        <v>1</v>
      </c>
      <c r="J18" s="196">
        <v>1</v>
      </c>
      <c r="K18" s="196">
        <v>0</v>
      </c>
      <c r="L18" s="196">
        <v>0</v>
      </c>
      <c r="M18" s="196">
        <v>0</v>
      </c>
      <c r="N18" s="196">
        <v>0</v>
      </c>
      <c r="O18" s="196">
        <v>1</v>
      </c>
      <c r="P18" s="203">
        <v>50</v>
      </c>
      <c r="Q18" s="196" t="s">
        <v>170</v>
      </c>
      <c r="R18" s="196" t="s">
        <v>171</v>
      </c>
    </row>
    <row r="19" spans="1:18" x14ac:dyDescent="0.15">
      <c r="A19" s="196">
        <f>floors!C2</f>
        <v>20021</v>
      </c>
      <c r="B19" s="196">
        <v>2</v>
      </c>
      <c r="C19" s="71" t="str">
        <f t="shared" si="0"/>
        <v>20021_2</v>
      </c>
      <c r="D19" s="18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196">
        <v>18</v>
      </c>
      <c r="F19" s="196" t="s">
        <v>316</v>
      </c>
      <c r="G19" s="203">
        <v>122</v>
      </c>
      <c r="H19" s="196">
        <v>1</v>
      </c>
      <c r="I19" s="196">
        <v>1</v>
      </c>
      <c r="J19" s="196">
        <v>1</v>
      </c>
      <c r="K19" s="196">
        <v>0</v>
      </c>
      <c r="L19" s="196">
        <v>0</v>
      </c>
      <c r="M19" s="196">
        <v>0</v>
      </c>
      <c r="N19" s="196">
        <v>0</v>
      </c>
      <c r="O19" s="196">
        <v>1</v>
      </c>
      <c r="P19" s="203">
        <v>50</v>
      </c>
      <c r="Q19" s="196" t="s">
        <v>170</v>
      </c>
      <c r="R19" s="196" t="s">
        <v>171</v>
      </c>
    </row>
    <row r="20" spans="1:18" x14ac:dyDescent="0.15">
      <c r="A20" s="196">
        <f>floors!C2</f>
        <v>20021</v>
      </c>
      <c r="B20" s="196">
        <v>2</v>
      </c>
      <c r="C20" s="71" t="str">
        <f t="shared" si="0"/>
        <v>20021_2</v>
      </c>
      <c r="D20" s="18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196">
        <v>19</v>
      </c>
      <c r="F20" s="196" t="s">
        <v>316</v>
      </c>
      <c r="G20" s="205">
        <v>125</v>
      </c>
      <c r="H20" s="196">
        <v>1</v>
      </c>
      <c r="I20" s="196">
        <v>1</v>
      </c>
      <c r="J20" s="196">
        <v>1</v>
      </c>
      <c r="K20" s="196">
        <v>0</v>
      </c>
      <c r="L20" s="196">
        <v>0</v>
      </c>
      <c r="M20" s="196">
        <v>0</v>
      </c>
      <c r="N20" s="196">
        <v>0</v>
      </c>
      <c r="O20" s="196">
        <v>1</v>
      </c>
      <c r="P20" s="203">
        <v>10</v>
      </c>
      <c r="Q20" s="196" t="s">
        <v>170</v>
      </c>
      <c r="R20" s="196" t="s">
        <v>171</v>
      </c>
    </row>
    <row r="21" spans="1:18" ht="16" thickBot="1" x14ac:dyDescent="0.2">
      <c r="A21" s="197">
        <f>floors!C2</f>
        <v>20021</v>
      </c>
      <c r="B21" s="197">
        <v>2</v>
      </c>
      <c r="C21" s="191" t="str">
        <f t="shared" si="0"/>
        <v>20021_2</v>
      </c>
      <c r="D21" s="192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197">
        <v>20</v>
      </c>
      <c r="F21" s="197" t="s">
        <v>316</v>
      </c>
      <c r="G21" s="208">
        <v>1094</v>
      </c>
      <c r="H21" s="197">
        <v>1</v>
      </c>
      <c r="I21" s="197">
        <v>1</v>
      </c>
      <c r="J21" s="197">
        <v>1</v>
      </c>
      <c r="K21" s="197">
        <v>0</v>
      </c>
      <c r="L21" s="197">
        <v>0</v>
      </c>
      <c r="M21" s="197">
        <v>0</v>
      </c>
      <c r="N21" s="197">
        <v>0</v>
      </c>
      <c r="O21" s="197">
        <v>1</v>
      </c>
      <c r="P21" s="204">
        <v>250</v>
      </c>
      <c r="Q21" s="197" t="s">
        <v>170</v>
      </c>
      <c r="R21" s="197" t="s">
        <v>171</v>
      </c>
    </row>
    <row r="22" spans="1:18" ht="16" thickTop="1" x14ac:dyDescent="0.15">
      <c r="A22" s="187">
        <f>floors!C2</f>
        <v>20021</v>
      </c>
      <c r="B22" s="187">
        <v>3</v>
      </c>
      <c r="C22" s="188" t="str">
        <f t="shared" si="0"/>
        <v>20021_3</v>
      </c>
      <c r="D22" s="189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187">
        <v>21</v>
      </c>
      <c r="F22" s="187" t="s">
        <v>168</v>
      </c>
      <c r="G22" s="199">
        <v>5000</v>
      </c>
      <c r="H22" s="187" t="s">
        <v>53</v>
      </c>
      <c r="I22" s="187">
        <v>1</v>
      </c>
      <c r="J22" s="187">
        <v>1</v>
      </c>
      <c r="K22" s="187">
        <v>0</v>
      </c>
      <c r="L22" s="187">
        <v>0</v>
      </c>
      <c r="M22" s="187">
        <v>0</v>
      </c>
      <c r="N22" s="187">
        <v>0</v>
      </c>
      <c r="O22" s="187">
        <v>1</v>
      </c>
      <c r="P22" s="199">
        <v>100</v>
      </c>
      <c r="Q22" s="187" t="s">
        <v>170</v>
      </c>
      <c r="R22" s="187" t="s">
        <v>171</v>
      </c>
    </row>
    <row r="23" spans="1:18" x14ac:dyDescent="0.15">
      <c r="A23" s="57">
        <f>floors!C2</f>
        <v>20021</v>
      </c>
      <c r="B23" s="57">
        <v>3</v>
      </c>
      <c r="C23" s="71" t="str">
        <f t="shared" si="0"/>
        <v>20021_3</v>
      </c>
      <c r="D23" s="11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57">
        <v>22</v>
      </c>
      <c r="F23" s="57" t="s">
        <v>315</v>
      </c>
      <c r="G23" s="199">
        <v>25</v>
      </c>
      <c r="H23" s="57" t="s">
        <v>53</v>
      </c>
      <c r="I23" s="57">
        <v>1</v>
      </c>
      <c r="J23" s="57">
        <v>1</v>
      </c>
      <c r="K23" s="57">
        <v>0</v>
      </c>
      <c r="L23" s="57">
        <v>0</v>
      </c>
      <c r="M23" s="57">
        <v>0</v>
      </c>
      <c r="N23" s="57">
        <v>0</v>
      </c>
      <c r="O23" s="57">
        <v>1</v>
      </c>
      <c r="P23" s="199">
        <v>100</v>
      </c>
      <c r="Q23" s="57" t="s">
        <v>170</v>
      </c>
      <c r="R23" s="57" t="s">
        <v>171</v>
      </c>
    </row>
    <row r="24" spans="1:18" x14ac:dyDescent="0.15">
      <c r="A24" s="57">
        <f>floors!C2</f>
        <v>20021</v>
      </c>
      <c r="B24" s="57">
        <v>3</v>
      </c>
      <c r="C24" s="71" t="str">
        <f t="shared" si="0"/>
        <v>20021_3</v>
      </c>
      <c r="D24" s="11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57">
        <v>23</v>
      </c>
      <c r="F24" s="57" t="s">
        <v>316</v>
      </c>
      <c r="G24" s="199">
        <v>340</v>
      </c>
      <c r="H24" s="57">
        <v>1</v>
      </c>
      <c r="I24" s="57">
        <v>1</v>
      </c>
      <c r="J24" s="57">
        <v>1</v>
      </c>
      <c r="K24" s="57">
        <v>0</v>
      </c>
      <c r="L24" s="57">
        <v>0</v>
      </c>
      <c r="M24" s="57">
        <v>0</v>
      </c>
      <c r="N24" s="57">
        <v>0</v>
      </c>
      <c r="O24" s="57">
        <v>1</v>
      </c>
      <c r="P24" s="199">
        <v>56</v>
      </c>
      <c r="Q24" s="57" t="s">
        <v>170</v>
      </c>
      <c r="R24" s="57" t="s">
        <v>171</v>
      </c>
    </row>
    <row r="25" spans="1:18" x14ac:dyDescent="0.15">
      <c r="A25" s="57">
        <f>floors!C2</f>
        <v>20021</v>
      </c>
      <c r="B25" s="57">
        <v>3</v>
      </c>
      <c r="C25" s="71" t="str">
        <f t="shared" si="0"/>
        <v>20021_3</v>
      </c>
      <c r="D25" s="11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57">
        <v>24</v>
      </c>
      <c r="F25" s="57" t="s">
        <v>316</v>
      </c>
      <c r="G25" s="199">
        <v>341</v>
      </c>
      <c r="H25" s="57">
        <v>1</v>
      </c>
      <c r="I25" s="57">
        <v>1</v>
      </c>
      <c r="J25" s="57">
        <v>1</v>
      </c>
      <c r="K25" s="57">
        <v>0</v>
      </c>
      <c r="L25" s="57">
        <v>0</v>
      </c>
      <c r="M25" s="57">
        <v>0</v>
      </c>
      <c r="N25" s="57">
        <v>0</v>
      </c>
      <c r="O25" s="57">
        <v>1</v>
      </c>
      <c r="P25" s="199">
        <v>56</v>
      </c>
      <c r="Q25" s="57" t="s">
        <v>170</v>
      </c>
      <c r="R25" s="57" t="s">
        <v>171</v>
      </c>
    </row>
    <row r="26" spans="1:18" x14ac:dyDescent="0.15">
      <c r="A26" s="57">
        <f>floors!C2</f>
        <v>20021</v>
      </c>
      <c r="B26" s="57">
        <v>3</v>
      </c>
      <c r="C26" s="71" t="str">
        <f t="shared" si="0"/>
        <v>20021_3</v>
      </c>
      <c r="D26" s="11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57">
        <v>25</v>
      </c>
      <c r="F26" s="57" t="s">
        <v>316</v>
      </c>
      <c r="G26" s="199">
        <v>342</v>
      </c>
      <c r="H26" s="57">
        <v>1</v>
      </c>
      <c r="I26" s="57">
        <v>1</v>
      </c>
      <c r="J26" s="57">
        <v>1</v>
      </c>
      <c r="K26" s="57">
        <v>0</v>
      </c>
      <c r="L26" s="57">
        <v>0</v>
      </c>
      <c r="M26" s="57">
        <v>0</v>
      </c>
      <c r="N26" s="57">
        <v>0</v>
      </c>
      <c r="O26" s="57">
        <v>1</v>
      </c>
      <c r="P26" s="199">
        <v>28</v>
      </c>
      <c r="Q26" s="57" t="s">
        <v>170</v>
      </c>
      <c r="R26" s="57" t="s">
        <v>171</v>
      </c>
    </row>
    <row r="27" spans="1:18" x14ac:dyDescent="0.15">
      <c r="A27" s="57">
        <f>floors!C2</f>
        <v>20021</v>
      </c>
      <c r="B27" s="57">
        <v>3</v>
      </c>
      <c r="C27" s="71" t="str">
        <f t="shared" si="0"/>
        <v>20021_3</v>
      </c>
      <c r="D27" s="11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57">
        <v>26</v>
      </c>
      <c r="F27" s="57" t="s">
        <v>316</v>
      </c>
      <c r="G27" s="199">
        <v>352</v>
      </c>
      <c r="H27" s="57">
        <v>1</v>
      </c>
      <c r="I27" s="57">
        <v>1</v>
      </c>
      <c r="J27" s="57">
        <v>1</v>
      </c>
      <c r="K27" s="57">
        <v>0</v>
      </c>
      <c r="L27" s="57">
        <v>0</v>
      </c>
      <c r="M27" s="57">
        <v>0</v>
      </c>
      <c r="N27" s="57">
        <v>0</v>
      </c>
      <c r="O27" s="57">
        <v>1</v>
      </c>
      <c r="P27" s="199">
        <v>100</v>
      </c>
      <c r="Q27" s="57" t="s">
        <v>170</v>
      </c>
      <c r="R27" s="57" t="s">
        <v>171</v>
      </c>
    </row>
    <row r="28" spans="1:18" x14ac:dyDescent="0.15">
      <c r="A28" s="57">
        <f>floors!C2</f>
        <v>20021</v>
      </c>
      <c r="B28" s="57">
        <v>3</v>
      </c>
      <c r="C28" s="71" t="str">
        <f t="shared" si="0"/>
        <v>20021_3</v>
      </c>
      <c r="D28" s="11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57">
        <v>27</v>
      </c>
      <c r="F28" s="57" t="s">
        <v>316</v>
      </c>
      <c r="G28" s="199">
        <v>121</v>
      </c>
      <c r="H28" s="57">
        <v>1</v>
      </c>
      <c r="I28" s="57">
        <v>1</v>
      </c>
      <c r="J28" s="57">
        <v>1</v>
      </c>
      <c r="K28" s="57">
        <v>0</v>
      </c>
      <c r="L28" s="57">
        <v>0</v>
      </c>
      <c r="M28" s="57">
        <v>0</v>
      </c>
      <c r="N28" s="57">
        <v>0</v>
      </c>
      <c r="O28" s="57">
        <v>1</v>
      </c>
      <c r="P28" s="199">
        <v>50</v>
      </c>
      <c r="Q28" s="57" t="s">
        <v>170</v>
      </c>
      <c r="R28" s="57" t="s">
        <v>171</v>
      </c>
    </row>
    <row r="29" spans="1:18" x14ac:dyDescent="0.15">
      <c r="A29" s="57">
        <f>floors!C2</f>
        <v>20021</v>
      </c>
      <c r="B29" s="57">
        <v>3</v>
      </c>
      <c r="C29" s="71" t="str">
        <f t="shared" si="0"/>
        <v>20021_3</v>
      </c>
      <c r="D29" s="11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57">
        <v>28</v>
      </c>
      <c r="F29" s="57" t="s">
        <v>316</v>
      </c>
      <c r="G29" s="199">
        <v>123</v>
      </c>
      <c r="H29" s="57">
        <v>1</v>
      </c>
      <c r="I29" s="57">
        <v>1</v>
      </c>
      <c r="J29" s="57">
        <v>1</v>
      </c>
      <c r="K29" s="57">
        <v>0</v>
      </c>
      <c r="L29" s="57">
        <v>0</v>
      </c>
      <c r="M29" s="57">
        <v>0</v>
      </c>
      <c r="N29" s="57">
        <v>0</v>
      </c>
      <c r="O29" s="57">
        <v>1</v>
      </c>
      <c r="P29" s="199">
        <v>50</v>
      </c>
      <c r="Q29" s="57" t="s">
        <v>170</v>
      </c>
      <c r="R29" s="57" t="s">
        <v>171</v>
      </c>
    </row>
    <row r="30" spans="1:18" x14ac:dyDescent="0.15">
      <c r="A30" s="57">
        <f>floors!C2</f>
        <v>20021</v>
      </c>
      <c r="B30" s="57">
        <v>3</v>
      </c>
      <c r="C30" s="71" t="str">
        <f t="shared" si="0"/>
        <v>20021_3</v>
      </c>
      <c r="D30" s="11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57">
        <v>29</v>
      </c>
      <c r="F30" s="57" t="s">
        <v>316</v>
      </c>
      <c r="G30" s="199">
        <v>122</v>
      </c>
      <c r="H30" s="57">
        <v>1</v>
      </c>
      <c r="I30" s="57">
        <v>1</v>
      </c>
      <c r="J30" s="57">
        <v>1</v>
      </c>
      <c r="K30" s="57">
        <v>0</v>
      </c>
      <c r="L30" s="57">
        <v>0</v>
      </c>
      <c r="M30" s="57">
        <v>0</v>
      </c>
      <c r="N30" s="57">
        <v>0</v>
      </c>
      <c r="O30" s="57">
        <v>1</v>
      </c>
      <c r="P30" s="199">
        <v>50</v>
      </c>
      <c r="Q30" s="57" t="s">
        <v>170</v>
      </c>
      <c r="R30" s="57" t="s">
        <v>171</v>
      </c>
    </row>
    <row r="31" spans="1:18" x14ac:dyDescent="0.15">
      <c r="A31" s="57">
        <f>floors!C2</f>
        <v>20021</v>
      </c>
      <c r="B31" s="57">
        <v>3</v>
      </c>
      <c r="C31" s="71" t="str">
        <f t="shared" si="0"/>
        <v>20021_3</v>
      </c>
      <c r="D31" s="11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57">
        <v>30</v>
      </c>
      <c r="F31" s="57" t="s">
        <v>316</v>
      </c>
      <c r="G31" s="199">
        <v>125</v>
      </c>
      <c r="H31" s="57">
        <v>1</v>
      </c>
      <c r="I31" s="57">
        <v>1</v>
      </c>
      <c r="J31" s="57">
        <v>1</v>
      </c>
      <c r="K31" s="57">
        <v>0</v>
      </c>
      <c r="L31" s="57">
        <v>0</v>
      </c>
      <c r="M31" s="57">
        <v>0</v>
      </c>
      <c r="N31" s="57">
        <v>0</v>
      </c>
      <c r="O31" s="57">
        <v>1</v>
      </c>
      <c r="P31" s="199">
        <v>10</v>
      </c>
      <c r="Q31" s="57" t="s">
        <v>170</v>
      </c>
      <c r="R31" s="57" t="s">
        <v>171</v>
      </c>
    </row>
    <row r="32" spans="1:18" ht="16" thickBot="1" x14ac:dyDescent="0.2">
      <c r="A32" s="57">
        <f>floors!C2</f>
        <v>20021</v>
      </c>
      <c r="B32" s="57">
        <v>3</v>
      </c>
      <c r="C32" s="71" t="str">
        <f t="shared" ref="C32" si="1">A32&amp; "_"&amp;B32</f>
        <v>20021_3</v>
      </c>
      <c r="D32" s="11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57">
        <v>31</v>
      </c>
      <c r="F32" s="57" t="s">
        <v>316</v>
      </c>
      <c r="G32" s="209">
        <v>1094</v>
      </c>
      <c r="H32" s="57">
        <v>1</v>
      </c>
      <c r="I32" s="57">
        <v>1</v>
      </c>
      <c r="J32" s="57">
        <v>1</v>
      </c>
      <c r="K32" s="57">
        <v>0</v>
      </c>
      <c r="L32" s="57">
        <v>0</v>
      </c>
      <c r="M32" s="57">
        <v>0</v>
      </c>
      <c r="N32" s="57">
        <v>0</v>
      </c>
      <c r="O32" s="57">
        <v>1</v>
      </c>
      <c r="P32" s="201">
        <v>400</v>
      </c>
      <c r="Q32" s="57" t="s">
        <v>170</v>
      </c>
      <c r="R32" s="57" t="s">
        <v>171</v>
      </c>
    </row>
  </sheetData>
  <phoneticPr fontId="5"/>
  <dataValidations count="1">
    <dataValidation type="list" allowBlank="1" showInputMessage="1" showErrorMessage="1" sqref="F2:F3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93"/>
  <sheetViews>
    <sheetView showGridLines="0" workbookViewId="0">
      <pane ySplit="1" topLeftCell="A2" activePane="bottomLeft" state="frozen"/>
      <selection pane="bottomLeft" activeCell="E105" sqref="E105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189</v>
      </c>
      <c r="B1" s="73" t="s">
        <v>190</v>
      </c>
      <c r="C1" s="77" t="s">
        <v>191</v>
      </c>
      <c r="D1" s="77" t="s">
        <v>33</v>
      </c>
      <c r="E1" s="73" t="s">
        <v>192</v>
      </c>
      <c r="F1" s="77" t="s">
        <v>193</v>
      </c>
      <c r="G1" s="77" t="s">
        <v>33</v>
      </c>
      <c r="H1" s="73" t="s">
        <v>194</v>
      </c>
      <c r="I1" s="89" t="s">
        <v>196</v>
      </c>
      <c r="J1" s="79" t="s">
        <v>126</v>
      </c>
      <c r="K1" s="78" t="s">
        <v>187</v>
      </c>
      <c r="L1" s="90" t="s">
        <v>186</v>
      </c>
      <c r="M1" s="80" t="s">
        <v>197</v>
      </c>
    </row>
    <row r="2" spans="1:13" x14ac:dyDescent="0.15">
      <c r="A2" s="81" t="s">
        <v>201</v>
      </c>
      <c r="B2" s="82">
        <f>floors!$C$2</f>
        <v>20021</v>
      </c>
      <c r="C2" s="83" t="str">
        <f ca="1">VLOOKUP($B2,OFFSET([2]quests!$A$1,0,0,COUNTA([2]quests!$A:$A),MATCH(C$1,[2]quests!$1:$1,0)-MATCH($B$1,[2]quests!$1:$1,0)+1),MATCH(C$1,[2]quests!$1:$1,0)-MATCH($B$1,[2]quests!$1:$1,0)+1,FALSE)</f>
        <v>ペインター・オブ・ラブ</v>
      </c>
      <c r="D2" s="83" t="str">
        <f ca="1">VLOOKUP($B2,OFFSET([2]quests!$A$1,0,0,COUNTA([2]quests!$A:$A),MATCH(D$1,[2]quests!$1:$1,0)-MATCH($B$1,[2]quests!$1:$1,0)+1),MATCH(D$1,[2]quests!$1:$1,0)-MATCH($B$1,[2]quests!$1:$1,0)+1,FALSE)</f>
        <v>画家シリーズ01</v>
      </c>
      <c r="E2" s="86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【初級】ペインター・オブ・ラブ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画家シリーズ01</v>
      </c>
      <c r="H2" s="85">
        <v>0</v>
      </c>
      <c r="I2">
        <v>1</v>
      </c>
      <c r="J2" s="84" t="s">
        <v>198</v>
      </c>
      <c r="K2" s="91" t="str">
        <f>VLOOKUP(I2,[7]stage_hints!$A:$C,3,FALSE)</f>
        <v>長くつなげて大ダメージ</v>
      </c>
      <c r="L2" s="92" t="str">
        <f>VLOOKUP(I2,[7]stage_hints!$A:$D,4,FALSE)</f>
        <v>パネルを長くつなげるほど_x000D_大ダメージを与えることができます</v>
      </c>
      <c r="M2" s="57" t="s">
        <v>211</v>
      </c>
    </row>
    <row r="3" spans="1:13" x14ac:dyDescent="0.15">
      <c r="A3" s="81" t="s">
        <v>201</v>
      </c>
      <c r="B3" s="82">
        <f>floors!$C$2</f>
        <v>20021</v>
      </c>
      <c r="C3" s="83" t="str">
        <f ca="1">VLOOKUP($B3,OFFSET([2]quests!$A$1,0,0,COUNTA([2]quests!$A:$A),MATCH(C$1,[2]quests!$1:$1,0)-MATCH($B$1,[2]quests!$1:$1,0)+1),MATCH(C$1,[2]quests!$1:$1,0)-MATCH($B$1,[2]quests!$1:$1,0)+1,FALSE)</f>
        <v>ペインター・オブ・ラブ</v>
      </c>
      <c r="D3" s="83" t="str">
        <f ca="1">VLOOKUP($B3,OFFSET([2]quests!$A$1,0,0,COUNTA([2]quests!$A:$A),MATCH(D$1,[2]quests!$1:$1,0)-MATCH($B$1,[2]quests!$1:$1,0)+1),MATCH(D$1,[2]quests!$1:$1,0)-MATCH($B$1,[2]quests!$1:$1,0)+1,FALSE)</f>
        <v>画家シリーズ01</v>
      </c>
      <c r="E3" s="86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【初級】ペインター・オブ・ラブ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画家シリーズ01</v>
      </c>
      <c r="H3" s="85">
        <v>0</v>
      </c>
      <c r="I3">
        <v>2</v>
      </c>
      <c r="J3" s="84" t="s">
        <v>198</v>
      </c>
      <c r="K3" s="91" t="str">
        <f>VLOOKUP(I3,[7]stage_hints!$A:$C,3,FALSE)</f>
        <v>属性の相性</v>
      </c>
      <c r="L3" s="92" t="str">
        <f>VLOOKUP(I3,[7]stage_hints!$A:$D,4,FALSE)</f>
        <v>赤＞青　青＞黄　黄＞緑　緑＞赤_x000D_敵属性に最適なパーティがオススメです</v>
      </c>
      <c r="M3" s="57" t="s">
        <v>211</v>
      </c>
    </row>
    <row r="4" spans="1:13" x14ac:dyDescent="0.15">
      <c r="A4" s="81" t="s">
        <v>201</v>
      </c>
      <c r="B4" s="82">
        <f>floors!$C$2</f>
        <v>20021</v>
      </c>
      <c r="C4" s="83" t="str">
        <f ca="1">VLOOKUP($B4,OFFSET([2]quests!$A$1,0,0,COUNTA([2]quests!$A:$A),MATCH(C$1,[2]quests!$1:$1,0)-MATCH($B$1,[2]quests!$1:$1,0)+1),MATCH(C$1,[2]quests!$1:$1,0)-MATCH($B$1,[2]quests!$1:$1,0)+1,FALSE)</f>
        <v>ペインター・オブ・ラブ</v>
      </c>
      <c r="D4" s="83" t="str">
        <f ca="1">VLOOKUP($B4,OFFSET([2]quests!$A$1,0,0,COUNTA([2]quests!$A:$A),MATCH(D$1,[2]quests!$1:$1,0)-MATCH($B$1,[2]quests!$1:$1,0)+1),MATCH(D$1,[2]quests!$1:$1,0)-MATCH($B$1,[2]quests!$1:$1,0)+1,FALSE)</f>
        <v>画家シリーズ01</v>
      </c>
      <c r="E4" s="86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【初級】ペインター・オブ・ラブ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画家シリーズ01</v>
      </c>
      <c r="H4" s="85">
        <v>0</v>
      </c>
      <c r="I4">
        <v>3</v>
      </c>
      <c r="J4" s="84" t="s">
        <v>198</v>
      </c>
      <c r="K4" s="91" t="str">
        <f>VLOOKUP(I4,[7]stage_hints!$A:$C,3,FALSE)</f>
        <v>ターゲット</v>
      </c>
      <c r="L4" s="92" t="str">
        <f>VLOOKUP(I4,[7]stage_hints!$A:$D,4,FALSE)</f>
        <v>敵ユニットをタップすると_x000D_その敵を狙い撃ちできます</v>
      </c>
      <c r="M4" s="57" t="s">
        <v>211</v>
      </c>
    </row>
    <row r="5" spans="1:13" x14ac:dyDescent="0.15">
      <c r="A5" s="81" t="s">
        <v>201</v>
      </c>
      <c r="B5" s="82">
        <f>floors!$C$2</f>
        <v>20021</v>
      </c>
      <c r="C5" s="83" t="str">
        <f ca="1">VLOOKUP($B5,OFFSET([2]quests!$A$1,0,0,COUNTA([2]quests!$A:$A),MATCH(C$1,[2]quests!$1:$1,0)-MATCH($B$1,[2]quests!$1:$1,0)+1),MATCH(C$1,[2]quests!$1:$1,0)-MATCH($B$1,[2]quests!$1:$1,0)+1,FALSE)</f>
        <v>ペインター・オブ・ラブ</v>
      </c>
      <c r="D5" s="83" t="str">
        <f ca="1">VLOOKUP($B5,OFFSET([2]quests!$A$1,0,0,COUNTA([2]quests!$A:$A),MATCH(D$1,[2]quests!$1:$1,0)-MATCH($B$1,[2]quests!$1:$1,0)+1),MATCH(D$1,[2]quests!$1:$1,0)-MATCH($B$1,[2]quests!$1:$1,0)+1,FALSE)</f>
        <v>画家シリーズ01</v>
      </c>
      <c r="E5" s="86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【初級】ペインター・オブ・ラブ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画家シリーズ01</v>
      </c>
      <c r="H5" s="85">
        <v>0</v>
      </c>
      <c r="I5">
        <v>5</v>
      </c>
      <c r="J5" s="84" t="s">
        <v>198</v>
      </c>
      <c r="K5" s="91" t="str">
        <f>VLOOKUP(I5,[7]stage_hints!$A:$C,3,FALSE)</f>
        <v>ユニット強化でレベルアップ</v>
      </c>
      <c r="L5" s="92" t="str">
        <f>VLOOKUP(I5,[7]stage_hints!$A:$D,4,FALSE)</f>
        <v>「ユニット強化」でレベルアップすると_x000D_勝てない敵にも勝てるようになります</v>
      </c>
      <c r="M5" s="57" t="s">
        <v>211</v>
      </c>
    </row>
    <row r="6" spans="1:13" x14ac:dyDescent="0.15">
      <c r="A6" s="81" t="s">
        <v>201</v>
      </c>
      <c r="B6" s="82">
        <f>floors!$C$2</f>
        <v>20021</v>
      </c>
      <c r="C6" s="83" t="str">
        <f ca="1">VLOOKUP($B6,OFFSET([2]quests!$A$1,0,0,COUNTA([2]quests!$A:$A),MATCH(C$1,[2]quests!$1:$1,0)-MATCH($B$1,[2]quests!$1:$1,0)+1),MATCH(C$1,[2]quests!$1:$1,0)-MATCH($B$1,[2]quests!$1:$1,0)+1,FALSE)</f>
        <v>ペインター・オブ・ラブ</v>
      </c>
      <c r="D6" s="83" t="str">
        <f ca="1">VLOOKUP($B6,OFFSET([2]quests!$A$1,0,0,COUNTA([2]quests!$A:$A),MATCH(D$1,[2]quests!$1:$1,0)-MATCH($B$1,[2]quests!$1:$1,0)+1),MATCH(D$1,[2]quests!$1:$1,0)-MATCH($B$1,[2]quests!$1:$1,0)+1,FALSE)</f>
        <v>画家シリーズ01</v>
      </c>
      <c r="E6" s="86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【初級】ペインター・オブ・ラブ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画家シリーズ01</v>
      </c>
      <c r="H6" s="85">
        <v>0</v>
      </c>
      <c r="I6">
        <v>6</v>
      </c>
      <c r="J6" s="84" t="s">
        <v>198</v>
      </c>
      <c r="K6" s="91" t="str">
        <f>VLOOKUP(I6,[7]stage_hints!$A:$C,3,FALSE)</f>
        <v>ユニット強化の属性ボーナス</v>
      </c>
      <c r="L6" s="92" t="str">
        <f>VLOOKUP(I6,[7]stage_hints!$A:$D,4,FALSE)</f>
        <v>同属性ユニットを強化素材にすると_x000D_経験値が多くもらえます</v>
      </c>
      <c r="M6" s="57" t="s">
        <v>211</v>
      </c>
    </row>
    <row r="7" spans="1:13" x14ac:dyDescent="0.15">
      <c r="A7" s="81" t="s">
        <v>201</v>
      </c>
      <c r="B7" s="82">
        <f>floors!$C$2</f>
        <v>20021</v>
      </c>
      <c r="C7" s="83" t="str">
        <f ca="1">VLOOKUP($B7,OFFSET([2]quests!$A$1,0,0,COUNTA([2]quests!$A:$A),MATCH(C$1,[2]quests!$1:$1,0)-MATCH($B$1,[2]quests!$1:$1,0)+1),MATCH(C$1,[2]quests!$1:$1,0)-MATCH($B$1,[2]quests!$1:$1,0)+1,FALSE)</f>
        <v>ペインター・オブ・ラブ</v>
      </c>
      <c r="D7" s="83" t="str">
        <f ca="1">VLOOKUP($B7,OFFSET([2]quests!$A$1,0,0,COUNTA([2]quests!$A:$A),MATCH(D$1,[2]quests!$1:$1,0)-MATCH($B$1,[2]quests!$1:$1,0)+1),MATCH(D$1,[2]quests!$1:$1,0)-MATCH($B$1,[2]quests!$1:$1,0)+1,FALSE)</f>
        <v>画家シリーズ01</v>
      </c>
      <c r="E7" s="86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【初級】ペインター・オブ・ラブ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画家シリーズ01</v>
      </c>
      <c r="H7" s="85">
        <v>0</v>
      </c>
      <c r="I7">
        <v>7</v>
      </c>
      <c r="J7" s="84" t="s">
        <v>198</v>
      </c>
      <c r="K7" s="91" t="str">
        <f>VLOOKUP(I7,[7]stage_hints!$A:$C,3,FALSE)</f>
        <v>メタルダックで経験値を獲得</v>
      </c>
      <c r="L7" s="92" t="str">
        <f>VLOOKUP(I7,[7]stage_hints!$A:$D,4,FALSE)</f>
        <v>「メタルなアヒル」を強化素材にすると_x000D_大量の経験値がもらえます</v>
      </c>
      <c r="M7" s="57" t="s">
        <v>211</v>
      </c>
    </row>
    <row r="8" spans="1:13" x14ac:dyDescent="0.15">
      <c r="A8" s="81" t="s">
        <v>201</v>
      </c>
      <c r="B8" s="82">
        <f>floors!$C$2</f>
        <v>20021</v>
      </c>
      <c r="C8" s="83" t="str">
        <f ca="1">VLOOKUP($B8,OFFSET([2]quests!$A$1,0,0,COUNTA([2]quests!$A:$A),MATCH(C$1,[2]quests!$1:$1,0)-MATCH($B$1,[2]quests!$1:$1,0)+1),MATCH(C$1,[2]quests!$1:$1,0)-MATCH($B$1,[2]quests!$1:$1,0)+1,FALSE)</f>
        <v>ペインター・オブ・ラブ</v>
      </c>
      <c r="D8" s="83" t="str">
        <f ca="1">VLOOKUP($B8,OFFSET([2]quests!$A$1,0,0,COUNTA([2]quests!$A:$A),MATCH(D$1,[2]quests!$1:$1,0)-MATCH($B$1,[2]quests!$1:$1,0)+1),MATCH(D$1,[2]quests!$1:$1,0)-MATCH($B$1,[2]quests!$1:$1,0)+1,FALSE)</f>
        <v>画家シリーズ01</v>
      </c>
      <c r="E8" s="86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【初級】ペインター・オブ・ラブ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画家シリーズ01</v>
      </c>
      <c r="H8" s="85">
        <v>0</v>
      </c>
      <c r="I8">
        <v>8</v>
      </c>
      <c r="J8" s="84" t="s">
        <v>198</v>
      </c>
      <c r="K8" s="91" t="str">
        <f>VLOOKUP(I8,[7]stage_hints!$A:$C,3,FALSE)</f>
        <v>ゲリラクエストは要チェック</v>
      </c>
      <c r="L8" s="92" t="str">
        <f>VLOOKUP(I8,[7]stage_hints!$A:$D,4,FALSE)</f>
        <v>時間限定の「アヒル捕獲作戦」では_x000D_経験値素材ユニットが多く手に入ります</v>
      </c>
      <c r="M8" s="57" t="s">
        <v>211</v>
      </c>
    </row>
    <row r="9" spans="1:13" x14ac:dyDescent="0.15">
      <c r="A9" s="81" t="s">
        <v>201</v>
      </c>
      <c r="B9" s="82">
        <f>floors!$C$2</f>
        <v>20021</v>
      </c>
      <c r="C9" s="83" t="str">
        <f ca="1">VLOOKUP($B9,OFFSET([2]quests!$A$1,0,0,COUNTA([2]quests!$A:$A),MATCH(C$1,[2]quests!$1:$1,0)-MATCH($B$1,[2]quests!$1:$1,0)+1),MATCH(C$1,[2]quests!$1:$1,0)-MATCH($B$1,[2]quests!$1:$1,0)+1,FALSE)</f>
        <v>ペインター・オブ・ラブ</v>
      </c>
      <c r="D9" s="83" t="str">
        <f ca="1">VLOOKUP($B9,OFFSET([2]quests!$A$1,0,0,COUNTA([2]quests!$A:$A),MATCH(D$1,[2]quests!$1:$1,0)-MATCH($B$1,[2]quests!$1:$1,0)+1),MATCH(D$1,[2]quests!$1:$1,0)-MATCH($B$1,[2]quests!$1:$1,0)+1,FALSE)</f>
        <v>画家シリーズ01</v>
      </c>
      <c r="E9" s="86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【初級】ペインター・オブ・ラブ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画家シリーズ01</v>
      </c>
      <c r="H9" s="85">
        <v>0</v>
      </c>
      <c r="I9">
        <v>9</v>
      </c>
      <c r="J9" s="84" t="s">
        <v>198</v>
      </c>
      <c r="K9" s="91" t="str">
        <f>VLOOKUP(I9,[7]stage_hints!$A:$C,3,FALSE)</f>
        <v>ゴールドダックでビットを獲得</v>
      </c>
      <c r="L9" s="92" t="str">
        <f>VLOOKUP(I9,[7]stage_hints!$A:$D,4,FALSE)</f>
        <v>「ゴールドなアヒル」を売却すると_x000D_大量のビットがもらえます</v>
      </c>
      <c r="M9" s="57" t="s">
        <v>211</v>
      </c>
    </row>
    <row r="10" spans="1:13" x14ac:dyDescent="0.15">
      <c r="A10" s="81" t="s">
        <v>201</v>
      </c>
      <c r="B10" s="82">
        <f>floors!$C$2</f>
        <v>20021</v>
      </c>
      <c r="C10" s="83" t="str">
        <f ca="1">VLOOKUP($B10,OFFSET([2]quests!$A$1,0,0,COUNTA([2]quests!$A:$A),MATCH(C$1,[2]quests!$1:$1,0)-MATCH($B$1,[2]quests!$1:$1,0)+1),MATCH(C$1,[2]quests!$1:$1,0)-MATCH($B$1,[2]quests!$1:$1,0)+1,FALSE)</f>
        <v>ペインター・オブ・ラブ</v>
      </c>
      <c r="D10" s="83" t="str">
        <f ca="1">VLOOKUP($B10,OFFSET([2]quests!$A$1,0,0,COUNTA([2]quests!$A:$A),MATCH(D$1,[2]quests!$1:$1,0)-MATCH($B$1,[2]quests!$1:$1,0)+1),MATCH(D$1,[2]quests!$1:$1,0)-MATCH($B$1,[2]quests!$1:$1,0)+1,FALSE)</f>
        <v>画家シリーズ01</v>
      </c>
      <c r="E10" s="86">
        <v>1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【初級】ペインター・オブ・ラブ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画家シリーズ01</v>
      </c>
      <c r="H10" s="85">
        <v>0</v>
      </c>
      <c r="I10">
        <v>10</v>
      </c>
      <c r="J10" s="84" t="s">
        <v>198</v>
      </c>
      <c r="K10" s="91" t="str">
        <f>VLOOKUP(I10,[7]stage_hints!$A:$C,3,FALSE)</f>
        <v>土日に大量のビットを獲得</v>
      </c>
      <c r="L10" s="92" t="str">
        <f>VLOOKUP(I10,[7]stage_hints!$A:$D,4,FALSE)</f>
        <v>土日限定の「ゴールドカジノ」では_x000D_売却素材ユニットが多く手に入ります</v>
      </c>
      <c r="M10" s="57" t="s">
        <v>211</v>
      </c>
    </row>
    <row r="11" spans="1:13" x14ac:dyDescent="0.15">
      <c r="A11" s="81" t="s">
        <v>201</v>
      </c>
      <c r="B11" s="82">
        <f>floors!$C$2</f>
        <v>20021</v>
      </c>
      <c r="C11" s="83" t="str">
        <f ca="1">VLOOKUP($B11,OFFSET([2]quests!$A$1,0,0,COUNTA([2]quests!$A:$A),MATCH(C$1,[2]quests!$1:$1,0)-MATCH($B$1,[2]quests!$1:$1,0)+1),MATCH(C$1,[2]quests!$1:$1,0)-MATCH($B$1,[2]quests!$1:$1,0)+1,FALSE)</f>
        <v>ペインター・オブ・ラブ</v>
      </c>
      <c r="D11" s="83" t="str">
        <f ca="1">VLOOKUP($B11,OFFSET([2]quests!$A$1,0,0,COUNTA([2]quests!$A:$A),MATCH(D$1,[2]quests!$1:$1,0)-MATCH($B$1,[2]quests!$1:$1,0)+1),MATCH(D$1,[2]quests!$1:$1,0)-MATCH($B$1,[2]quests!$1:$1,0)+1,FALSE)</f>
        <v>画家シリーズ01</v>
      </c>
      <c r="E11" s="86">
        <v>1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【初級】ペインター・オブ・ラブ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画家シリーズ01</v>
      </c>
      <c r="H11" s="85">
        <v>0</v>
      </c>
      <c r="I11">
        <v>11</v>
      </c>
      <c r="J11" s="84" t="s">
        <v>198</v>
      </c>
      <c r="K11" s="91" t="str">
        <f>VLOOKUP(I11,[7]stage_hints!$A:$C,3,FALSE)</f>
        <v>ランク解放クエスト</v>
      </c>
      <c r="L11" s="92" t="str">
        <f>VLOOKUP(I11,[7]stage_hints!$A:$D,4,FALSE)</f>
        <v>一定ランクに到達すると_x000D_報酬付きのランク開放クエストが現れます</v>
      </c>
      <c r="M11" s="57" t="s">
        <v>211</v>
      </c>
    </row>
    <row r="12" spans="1:13" x14ac:dyDescent="0.15">
      <c r="A12" s="81" t="s">
        <v>201</v>
      </c>
      <c r="B12" s="82">
        <f>floors!$C$2</f>
        <v>20021</v>
      </c>
      <c r="C12" s="83" t="str">
        <f ca="1">VLOOKUP($B12,OFFSET([2]quests!$A$1,0,0,COUNTA([2]quests!$A:$A),MATCH(C$1,[2]quests!$1:$1,0)-MATCH($B$1,[2]quests!$1:$1,0)+1),MATCH(C$1,[2]quests!$1:$1,0)-MATCH($B$1,[2]quests!$1:$1,0)+1,FALSE)</f>
        <v>ペインター・オブ・ラブ</v>
      </c>
      <c r="D12" s="83" t="str">
        <f ca="1">VLOOKUP($B12,OFFSET([2]quests!$A$1,0,0,COUNTA([2]quests!$A:$A),MATCH(D$1,[2]quests!$1:$1,0)-MATCH($B$1,[2]quests!$1:$1,0)+1),MATCH(D$1,[2]quests!$1:$1,0)-MATCH($B$1,[2]quests!$1:$1,0)+1,FALSE)</f>
        <v>画家シリーズ01</v>
      </c>
      <c r="E12" s="86">
        <v>1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【初級】ペインター・オブ・ラブ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画家シリーズ01</v>
      </c>
      <c r="H12" s="85">
        <v>0</v>
      </c>
      <c r="I12">
        <v>12</v>
      </c>
      <c r="J12" s="84" t="s">
        <v>198</v>
      </c>
      <c r="K12" s="91" t="str">
        <f>VLOOKUP(I12,[7]stage_hints!$A:$C,3,FALSE)</f>
        <v>ユニットのお気に入り登録</v>
      </c>
      <c r="L12" s="92" t="str">
        <f>VLOOKUP(I12,[7]stage_hints!$A:$D,4,FALSE)</f>
        <v>大事なユニットを誤って消さないように_x000D_フォルダから「お気に入り登録」しましょう</v>
      </c>
      <c r="M12" s="57" t="s">
        <v>211</v>
      </c>
    </row>
    <row r="13" spans="1:13" x14ac:dyDescent="0.15">
      <c r="A13" s="81" t="s">
        <v>201</v>
      </c>
      <c r="B13" s="82">
        <f>floors!$C$2</f>
        <v>20021</v>
      </c>
      <c r="C13" s="83" t="str">
        <f ca="1">VLOOKUP($B13,OFFSET([2]quests!$A$1,0,0,COUNTA([2]quests!$A:$A),MATCH(C$1,[2]quests!$1:$1,0)-MATCH($B$1,[2]quests!$1:$1,0)+1),MATCH(C$1,[2]quests!$1:$1,0)-MATCH($B$1,[2]quests!$1:$1,0)+1,FALSE)</f>
        <v>ペインター・オブ・ラブ</v>
      </c>
      <c r="D13" s="83" t="str">
        <f ca="1">VLOOKUP($B13,OFFSET([2]quests!$A$1,0,0,COUNTA([2]quests!$A:$A),MATCH(D$1,[2]quests!$1:$1,0)-MATCH($B$1,[2]quests!$1:$1,0)+1),MATCH(D$1,[2]quests!$1:$1,0)-MATCH($B$1,[2]quests!$1:$1,0)+1,FALSE)</f>
        <v>画家シリーズ01</v>
      </c>
      <c r="E13" s="86">
        <v>1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【初級】ペインター・オブ・ラブ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画家シリーズ01</v>
      </c>
      <c r="H13" s="85">
        <v>0</v>
      </c>
      <c r="I13">
        <v>13</v>
      </c>
      <c r="J13" s="84" t="s">
        <v>198</v>
      </c>
      <c r="K13" s="91" t="str">
        <f>VLOOKUP(I13,[7]stage_hints!$A:$C,3,FALSE)</f>
        <v>ユニットの覚醒</v>
      </c>
      <c r="L13" s="92" t="str">
        <f>VLOOKUP(I13,[7]stage_hints!$A:$D,4,FALSE)</f>
        <v>ユニットを覚醒させると_x000D_比べものにならない強さが手に入ります</v>
      </c>
      <c r="M13" s="57" t="s">
        <v>211</v>
      </c>
    </row>
    <row r="14" spans="1:13" x14ac:dyDescent="0.15">
      <c r="A14" s="81" t="s">
        <v>201</v>
      </c>
      <c r="B14" s="82">
        <f>floors!$C$2</f>
        <v>20021</v>
      </c>
      <c r="C14" s="83" t="str">
        <f ca="1">VLOOKUP($B14,OFFSET([2]quests!$A$1,0,0,COUNTA([2]quests!$A:$A),MATCH(C$1,[2]quests!$1:$1,0)-MATCH($B$1,[2]quests!$1:$1,0)+1),MATCH(C$1,[2]quests!$1:$1,0)-MATCH($B$1,[2]quests!$1:$1,0)+1,FALSE)</f>
        <v>ペインター・オブ・ラブ</v>
      </c>
      <c r="D14" s="83" t="str">
        <f ca="1">VLOOKUP($B14,OFFSET([2]quests!$A$1,0,0,COUNTA([2]quests!$A:$A),MATCH(D$1,[2]quests!$1:$1,0)-MATCH($B$1,[2]quests!$1:$1,0)+1),MATCH(D$1,[2]quests!$1:$1,0)-MATCH($B$1,[2]quests!$1:$1,0)+1,FALSE)</f>
        <v>画家シリーズ01</v>
      </c>
      <c r="E14" s="86">
        <v>1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【初級】ペインター・オブ・ラブ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画家シリーズ01</v>
      </c>
      <c r="H14" s="85">
        <v>0</v>
      </c>
      <c r="I14">
        <v>14</v>
      </c>
      <c r="J14" s="84" t="s">
        <v>198</v>
      </c>
      <c r="K14" s="91" t="str">
        <f>VLOOKUP(I14,[7]stage_hints!$A:$C,3,FALSE)</f>
        <v>覚醒するにはレベルを最大に</v>
      </c>
      <c r="L14" s="92" t="str">
        <f>VLOOKUP(I14,[7]stage_hints!$A:$D,4,FALSE)</f>
        <v>覚醒するにはユニットのレベルを_x000D_最大まで上げる必要があります</v>
      </c>
      <c r="M14" s="57" t="s">
        <v>211</v>
      </c>
    </row>
    <row r="15" spans="1:13" x14ac:dyDescent="0.15">
      <c r="A15" s="81" t="s">
        <v>201</v>
      </c>
      <c r="B15" s="82">
        <f>floors!$C$2</f>
        <v>20021</v>
      </c>
      <c r="C15" s="83" t="str">
        <f ca="1">VLOOKUP($B15,OFFSET([2]quests!$A$1,0,0,COUNTA([2]quests!$A:$A),MATCH(C$1,[2]quests!$1:$1,0)-MATCH($B$1,[2]quests!$1:$1,0)+1),MATCH(C$1,[2]quests!$1:$1,0)-MATCH($B$1,[2]quests!$1:$1,0)+1,FALSE)</f>
        <v>ペインター・オブ・ラブ</v>
      </c>
      <c r="D15" s="83" t="str">
        <f ca="1">VLOOKUP($B15,OFFSET([2]quests!$A$1,0,0,COUNTA([2]quests!$A:$A),MATCH(D$1,[2]quests!$1:$1,0)-MATCH($B$1,[2]quests!$1:$1,0)+1),MATCH(D$1,[2]quests!$1:$1,0)-MATCH($B$1,[2]quests!$1:$1,0)+1,FALSE)</f>
        <v>画家シリーズ01</v>
      </c>
      <c r="E15" s="86">
        <v>1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【初級】ペインター・オブ・ラブ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画家シリーズ01</v>
      </c>
      <c r="H15" s="85">
        <v>0</v>
      </c>
      <c r="I15">
        <v>15</v>
      </c>
      <c r="J15" s="84" t="s">
        <v>198</v>
      </c>
      <c r="K15" s="91" t="str">
        <f>VLOOKUP(I15,[7]stage_hints!$A:$C,3,FALSE)</f>
        <v>覚醒素材を獲得</v>
      </c>
      <c r="L15" s="92" t="str">
        <f>VLOOKUP(I15,[7]stage_hints!$A:$D,4,FALSE)</f>
        <v>「曜日クエスト」では_x000D_ユニットの覚醒に必要な素材が手に入ります</v>
      </c>
      <c r="M15" s="57" t="s">
        <v>211</v>
      </c>
    </row>
    <row r="16" spans="1:13" x14ac:dyDescent="0.15">
      <c r="A16" s="81" t="s">
        <v>201</v>
      </c>
      <c r="B16" s="82">
        <f>floors!$C$2</f>
        <v>20021</v>
      </c>
      <c r="C16" s="83" t="str">
        <f ca="1">VLOOKUP($B16,OFFSET([2]quests!$A$1,0,0,COUNTA([2]quests!$A:$A),MATCH(C$1,[2]quests!$1:$1,0)-MATCH($B$1,[2]quests!$1:$1,0)+1),MATCH(C$1,[2]quests!$1:$1,0)-MATCH($B$1,[2]quests!$1:$1,0)+1,FALSE)</f>
        <v>ペインター・オブ・ラブ</v>
      </c>
      <c r="D16" s="83" t="str">
        <f ca="1">VLOOKUP($B16,OFFSET([2]quests!$A$1,0,0,COUNTA([2]quests!$A:$A),MATCH(D$1,[2]quests!$1:$1,0)-MATCH($B$1,[2]quests!$1:$1,0)+1),MATCH(D$1,[2]quests!$1:$1,0)-MATCH($B$1,[2]quests!$1:$1,0)+1,FALSE)</f>
        <v>画家シリーズ01</v>
      </c>
      <c r="E16" s="86">
        <v>1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【初級】ペインター・オブ・ラブ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画家シリーズ01</v>
      </c>
      <c r="H16" s="85">
        <v>0</v>
      </c>
      <c r="I16">
        <v>16</v>
      </c>
      <c r="J16" s="84" t="s">
        <v>198</v>
      </c>
      <c r="K16" s="91" t="str">
        <f>VLOOKUP(I16,[7]stage_hints!$A:$C,3,FALSE)</f>
        <v>マルチプレイのメリット（その1）</v>
      </c>
      <c r="L16" s="92" t="str">
        <f>VLOOKUP(I16,[7]stage_hints!$A:$D,4,FALSE)</f>
        <v>他のプレイヤーとマルチプレイで遊ぶと_x000D_ポリゴンがもらえます（100人まで）</v>
      </c>
      <c r="M16" s="57" t="s">
        <v>211</v>
      </c>
    </row>
    <row r="17" spans="1:13" x14ac:dyDescent="0.15">
      <c r="A17" s="81" t="s">
        <v>201</v>
      </c>
      <c r="B17" s="82">
        <f>floors!$C$2</f>
        <v>20021</v>
      </c>
      <c r="C17" s="83" t="str">
        <f ca="1">VLOOKUP($B17,OFFSET([2]quests!$A$1,0,0,COUNTA([2]quests!$A:$A),MATCH(C$1,[2]quests!$1:$1,0)-MATCH($B$1,[2]quests!$1:$1,0)+1),MATCH(C$1,[2]quests!$1:$1,0)-MATCH($B$1,[2]quests!$1:$1,0)+1,FALSE)</f>
        <v>ペインター・オブ・ラブ</v>
      </c>
      <c r="D17" s="83" t="str">
        <f ca="1">VLOOKUP($B17,OFFSET([2]quests!$A$1,0,0,COUNTA([2]quests!$A:$A),MATCH(D$1,[2]quests!$1:$1,0)-MATCH($B$1,[2]quests!$1:$1,0)+1),MATCH(D$1,[2]quests!$1:$1,0)-MATCH($B$1,[2]quests!$1:$1,0)+1,FALSE)</f>
        <v>画家シリーズ01</v>
      </c>
      <c r="E17" s="86">
        <v>1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【初級】ペインター・オブ・ラブ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画家シリーズ01</v>
      </c>
      <c r="H17" s="85">
        <v>0</v>
      </c>
      <c r="I17">
        <v>17</v>
      </c>
      <c r="J17" s="84" t="s">
        <v>198</v>
      </c>
      <c r="K17" s="91" t="str">
        <f>VLOOKUP(I17,[7]stage_hints!$A:$C,3,FALSE)</f>
        <v>リンクガチャ</v>
      </c>
      <c r="L17" s="92" t="str">
        <f>VLOOKUP(I17,[7]stage_hints!$A:$D,4,FALSE)</f>
        <v>無料のリンクガチャを回して_x000D_経験値素材や売却素材を獲得しましょう</v>
      </c>
      <c r="M17" s="57" t="s">
        <v>211</v>
      </c>
    </row>
    <row r="18" spans="1:13" x14ac:dyDescent="0.15">
      <c r="A18" s="81" t="s">
        <v>201</v>
      </c>
      <c r="B18" s="82">
        <f>floors!$C$2</f>
        <v>20021</v>
      </c>
      <c r="C18" s="83" t="str">
        <f ca="1">VLOOKUP($B18,OFFSET([2]quests!$A$1,0,0,COUNTA([2]quests!$A:$A),MATCH(C$1,[2]quests!$1:$1,0)-MATCH($B$1,[2]quests!$1:$1,0)+1),MATCH(C$1,[2]quests!$1:$1,0)-MATCH($B$1,[2]quests!$1:$1,0)+1,FALSE)</f>
        <v>ペインター・オブ・ラブ</v>
      </c>
      <c r="D18" s="83" t="str">
        <f ca="1">VLOOKUP($B18,OFFSET([2]quests!$A$1,0,0,COUNTA([2]quests!$A:$A),MATCH(D$1,[2]quests!$1:$1,0)-MATCH($B$1,[2]quests!$1:$1,0)+1),MATCH(D$1,[2]quests!$1:$1,0)-MATCH($B$1,[2]quests!$1:$1,0)+1,FALSE)</f>
        <v>画家シリーズ01</v>
      </c>
      <c r="E18" s="86">
        <v>1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【初級】ペインター・オブ・ラブ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画家シリーズ01</v>
      </c>
      <c r="H18" s="85">
        <v>0</v>
      </c>
      <c r="I18">
        <v>18</v>
      </c>
      <c r="J18" s="84" t="s">
        <v>198</v>
      </c>
      <c r="K18" s="91" t="str">
        <f>VLOOKUP(I18,[7]stage_hints!$A:$C,3,FALSE)</f>
        <v>マルチプレイのメリット（その2）</v>
      </c>
      <c r="L18" s="92" t="str">
        <f>VLOOKUP(I18,[7]stage_hints!$A:$D,4,FALSE)</f>
        <v>マルチプレイならリンクが2倍もらえます_x000D_リンクガチャをたくさん回しましょう</v>
      </c>
      <c r="M18" s="57" t="s">
        <v>211</v>
      </c>
    </row>
    <row r="19" spans="1:13" x14ac:dyDescent="0.15">
      <c r="A19" s="81" t="s">
        <v>201</v>
      </c>
      <c r="B19" s="82">
        <f>floors!$C$2</f>
        <v>20021</v>
      </c>
      <c r="C19" s="83" t="str">
        <f ca="1">VLOOKUP($B19,OFFSET([2]quests!$A$1,0,0,COUNTA([2]quests!$A:$A),MATCH(C$1,[2]quests!$1:$1,0)-MATCH($B$1,[2]quests!$1:$1,0)+1),MATCH(C$1,[2]quests!$1:$1,0)-MATCH($B$1,[2]quests!$1:$1,0)+1,FALSE)</f>
        <v>ペインター・オブ・ラブ</v>
      </c>
      <c r="D19" s="83" t="str">
        <f ca="1">VLOOKUP($B19,OFFSET([2]quests!$A$1,0,0,COUNTA([2]quests!$A:$A),MATCH(D$1,[2]quests!$1:$1,0)-MATCH($B$1,[2]quests!$1:$1,0)+1),MATCH(D$1,[2]quests!$1:$1,0)-MATCH($B$1,[2]quests!$1:$1,0)+1,FALSE)</f>
        <v>画家シリーズ01</v>
      </c>
      <c r="E19" s="86">
        <v>1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【初級】ペインター・オブ・ラブ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画家シリーズ01</v>
      </c>
      <c r="H19" s="85">
        <v>0</v>
      </c>
      <c r="I19">
        <v>19</v>
      </c>
      <c r="J19" s="84" t="s">
        <v>198</v>
      </c>
      <c r="K19" s="91" t="str">
        <f>VLOOKUP(I19,[7]stage_hints!$A:$C,3,FALSE)</f>
        <v>ソロ専用タワーオブザクイーン</v>
      </c>
      <c r="L19" s="92" t="str">
        <f>VLOOKUP(I19,[7]stage_hints!$A:$D,4,FALSE)</f>
        <v>ソロ専用の「タワーオブザクイーン」は_x000D_期間限定で定期的に開催されます_x000D_ここでしか獲得できない報酬もあるようです</v>
      </c>
      <c r="M19" s="57" t="s">
        <v>211</v>
      </c>
    </row>
    <row r="20" spans="1:13" x14ac:dyDescent="0.15">
      <c r="A20" s="81" t="s">
        <v>201</v>
      </c>
      <c r="B20" s="82">
        <f>floors!$C$2</f>
        <v>20021</v>
      </c>
      <c r="C20" s="83" t="str">
        <f ca="1">VLOOKUP($B20,OFFSET([2]quests!$A$1,0,0,COUNTA([2]quests!$A:$A),MATCH(C$1,[2]quests!$1:$1,0)-MATCH($B$1,[2]quests!$1:$1,0)+1),MATCH(C$1,[2]quests!$1:$1,0)-MATCH($B$1,[2]quests!$1:$1,0)+1,FALSE)</f>
        <v>ペインター・オブ・ラブ</v>
      </c>
      <c r="D20" s="83" t="str">
        <f ca="1">VLOOKUP($B20,OFFSET([2]quests!$A$1,0,0,COUNTA([2]quests!$A:$A),MATCH(D$1,[2]quests!$1:$1,0)-MATCH($B$1,[2]quests!$1:$1,0)+1),MATCH(D$1,[2]quests!$1:$1,0)-MATCH($B$1,[2]quests!$1:$1,0)+1,FALSE)</f>
        <v>画家シリーズ01</v>
      </c>
      <c r="E20" s="86">
        <v>1</v>
      </c>
      <c r="F20" s="83" t="str">
        <f ca="1">VLOOKUP($B20&amp;"_"&amp;$E20,OFFSET([2]stages!$A$1,0,0,COUNTA([2]stages!$A:$A),MATCH(F$1,[2]stages!$2:$2,0)-MATCH("temp_stage",[2]stages!$2:$2,0)+1),MATCH(F$1,[2]stages!$2:$2,0)-MATCH("temp_stage",[2]stages!$2:$2,0)+1,FALSE)</f>
        <v>【初級】ペインター・オブ・ラブ</v>
      </c>
      <c r="G20" s="83" t="str">
        <f ca="1">VLOOKUP($B20&amp;"_"&amp;$E20,OFFSET([2]stages!$A$1,0,0,COUNTA([2]stages!$A:$A),MATCH(G$1,[2]stages!$2:$2,0)-MATCH("temp_stage",[2]stages!$2:$2,0)+1),MATCH(G$1,[2]stages!$2:$2,0)-MATCH("temp_stage",[2]stages!$2:$2,0)+1,FALSE)</f>
        <v>画家シリーズ01</v>
      </c>
      <c r="H20" s="85">
        <v>0</v>
      </c>
      <c r="I20">
        <v>20</v>
      </c>
      <c r="J20" s="84" t="s">
        <v>198</v>
      </c>
      <c r="K20" s="91" t="str">
        <f>VLOOKUP(I20,[7]stage_hints!$A:$C,3,FALSE)</f>
        <v>マルチプレイのメリット（その3）</v>
      </c>
      <c r="L20" s="92" t="str">
        <f>VLOOKUP(I20,[7]stage_hints!$A:$D,4,FALSE)</f>
        <v>マルチプレイへの参加はエナジー消費ゼロ_x000D_いつでも好きなだけ遊ぶことができます</v>
      </c>
      <c r="M20" s="57" t="s">
        <v>211</v>
      </c>
    </row>
    <row r="21" spans="1:13" x14ac:dyDescent="0.15">
      <c r="A21" s="81" t="s">
        <v>201</v>
      </c>
      <c r="B21" s="82">
        <f>floors!$C$2</f>
        <v>20021</v>
      </c>
      <c r="C21" s="83" t="str">
        <f ca="1">VLOOKUP($B21,OFFSET([2]quests!$A$1,0,0,COUNTA([2]quests!$A:$A),MATCH(C$1,[2]quests!$1:$1,0)-MATCH($B$1,[2]quests!$1:$1,0)+1),MATCH(C$1,[2]quests!$1:$1,0)-MATCH($B$1,[2]quests!$1:$1,0)+1,FALSE)</f>
        <v>ペインター・オブ・ラブ</v>
      </c>
      <c r="D21" s="83" t="str">
        <f ca="1">VLOOKUP($B21,OFFSET([2]quests!$A$1,0,0,COUNTA([2]quests!$A:$A),MATCH(D$1,[2]quests!$1:$1,0)-MATCH($B$1,[2]quests!$1:$1,0)+1),MATCH(D$1,[2]quests!$1:$1,0)-MATCH($B$1,[2]quests!$1:$1,0)+1,FALSE)</f>
        <v>画家シリーズ01</v>
      </c>
      <c r="E21" s="86">
        <v>1</v>
      </c>
      <c r="F21" s="83" t="str">
        <f ca="1">VLOOKUP($B21&amp;"_"&amp;$E21,OFFSET([2]stages!$A$1,0,0,COUNTA([2]stages!$A:$A),MATCH(F$1,[2]stages!$2:$2,0)-MATCH("temp_stage",[2]stages!$2:$2,0)+1),MATCH(F$1,[2]stages!$2:$2,0)-MATCH("temp_stage",[2]stages!$2:$2,0)+1,FALSE)</f>
        <v>【初級】ペインター・オブ・ラブ</v>
      </c>
      <c r="G21" s="83" t="str">
        <f ca="1">VLOOKUP($B21&amp;"_"&amp;$E21,OFFSET([2]stages!$A$1,0,0,COUNTA([2]stages!$A:$A),MATCH(G$1,[2]stages!$2:$2,0)-MATCH("temp_stage",[2]stages!$2:$2,0)+1),MATCH(G$1,[2]stages!$2:$2,0)-MATCH("temp_stage",[2]stages!$2:$2,0)+1,FALSE)</f>
        <v>画家シリーズ01</v>
      </c>
      <c r="H21" s="85">
        <v>0</v>
      </c>
      <c r="I21">
        <v>21</v>
      </c>
      <c r="J21" s="84" t="s">
        <v>198</v>
      </c>
      <c r="K21" s="91" t="str">
        <f>VLOOKUP(I21,[7]stage_hints!$A:$C,3,FALSE)</f>
        <v>スキルを有効に</v>
      </c>
      <c r="L21" s="92" t="str">
        <f>VLOOKUP(I21,[7]stage_hints!$A:$D,4,FALSE)</f>
        <v>ターン経過でユニットのスキルが使えます_x000D_強力スキルでバトルを有利に進めましょう</v>
      </c>
      <c r="M21" s="57" t="s">
        <v>211</v>
      </c>
    </row>
    <row r="22" spans="1:13" x14ac:dyDescent="0.15">
      <c r="A22" s="81" t="s">
        <v>201</v>
      </c>
      <c r="B22" s="82">
        <f>floors!$C$2</f>
        <v>20021</v>
      </c>
      <c r="C22" s="83" t="str">
        <f ca="1">VLOOKUP($B22,OFFSET([2]quests!$A$1,0,0,COUNTA([2]quests!$A:$A),MATCH(C$1,[2]quests!$1:$1,0)-MATCH($B$1,[2]quests!$1:$1,0)+1),MATCH(C$1,[2]quests!$1:$1,0)-MATCH($B$1,[2]quests!$1:$1,0)+1,FALSE)</f>
        <v>ペインター・オブ・ラブ</v>
      </c>
      <c r="D22" s="83" t="str">
        <f ca="1">VLOOKUP($B22,OFFSET([2]quests!$A$1,0,0,COUNTA([2]quests!$A:$A),MATCH(D$1,[2]quests!$1:$1,0)-MATCH($B$1,[2]quests!$1:$1,0)+1),MATCH(D$1,[2]quests!$1:$1,0)-MATCH($B$1,[2]quests!$1:$1,0)+1,FALSE)</f>
        <v>画家シリーズ01</v>
      </c>
      <c r="E22" s="86">
        <v>1</v>
      </c>
      <c r="F22" s="83" t="str">
        <f ca="1">VLOOKUP($B22&amp;"_"&amp;$E22,OFFSET([2]stages!$A$1,0,0,COUNTA([2]stages!$A:$A),MATCH(F$1,[2]stages!$2:$2,0)-MATCH("temp_stage",[2]stages!$2:$2,0)+1),MATCH(F$1,[2]stages!$2:$2,0)-MATCH("temp_stage",[2]stages!$2:$2,0)+1,FALSE)</f>
        <v>【初級】ペインター・オブ・ラブ</v>
      </c>
      <c r="G22" s="83" t="str">
        <f ca="1">VLOOKUP($B22&amp;"_"&amp;$E22,OFFSET([2]stages!$A$1,0,0,COUNTA([2]stages!$A:$A),MATCH(G$1,[2]stages!$2:$2,0)-MATCH("temp_stage",[2]stages!$2:$2,0)+1),MATCH(G$1,[2]stages!$2:$2,0)-MATCH("temp_stage",[2]stages!$2:$2,0)+1,FALSE)</f>
        <v>画家シリーズ01</v>
      </c>
      <c r="H22" s="85">
        <v>0</v>
      </c>
      <c r="I22">
        <v>22</v>
      </c>
      <c r="J22" s="84" t="s">
        <v>198</v>
      </c>
      <c r="K22" s="91" t="str">
        <f>VLOOKUP(I22,[7]stage_hints!$A:$C,3,FALSE)</f>
        <v>フィーバーで一発逆転（その1）</v>
      </c>
      <c r="L22" s="92" t="str">
        <f>VLOOKUP(I22,[7]stage_hints!$A:$D,4,FALSE)</f>
        <v>フィーバーは攻撃と回復を兼ね備えます_x000D_ピンチからの一発逆転を狙いましょう</v>
      </c>
      <c r="M22" s="57" t="s">
        <v>211</v>
      </c>
    </row>
    <row r="23" spans="1:13" x14ac:dyDescent="0.15">
      <c r="A23" s="81" t="s">
        <v>201</v>
      </c>
      <c r="B23" s="82">
        <f>floors!$C$2</f>
        <v>20021</v>
      </c>
      <c r="C23" s="83" t="str">
        <f ca="1">VLOOKUP($B23,OFFSET([2]quests!$A$1,0,0,COUNTA([2]quests!$A:$A),MATCH(C$1,[2]quests!$1:$1,0)-MATCH($B$1,[2]quests!$1:$1,0)+1),MATCH(C$1,[2]quests!$1:$1,0)-MATCH($B$1,[2]quests!$1:$1,0)+1,FALSE)</f>
        <v>ペインター・オブ・ラブ</v>
      </c>
      <c r="D23" s="83" t="str">
        <f ca="1">VLOOKUP($B23,OFFSET([2]quests!$A$1,0,0,COUNTA([2]quests!$A:$A),MATCH(D$1,[2]quests!$1:$1,0)-MATCH($B$1,[2]quests!$1:$1,0)+1),MATCH(D$1,[2]quests!$1:$1,0)-MATCH($B$1,[2]quests!$1:$1,0)+1,FALSE)</f>
        <v>画家シリーズ01</v>
      </c>
      <c r="E23" s="86">
        <v>1</v>
      </c>
      <c r="F23" s="83" t="str">
        <f ca="1">VLOOKUP($B23&amp;"_"&amp;$E23,OFFSET([2]stages!$A$1,0,0,COUNTA([2]stages!$A:$A),MATCH(F$1,[2]stages!$2:$2,0)-MATCH("temp_stage",[2]stages!$2:$2,0)+1),MATCH(F$1,[2]stages!$2:$2,0)-MATCH("temp_stage",[2]stages!$2:$2,0)+1,FALSE)</f>
        <v>【初級】ペインター・オブ・ラブ</v>
      </c>
      <c r="G23" s="83" t="str">
        <f ca="1">VLOOKUP($B23&amp;"_"&amp;$E23,OFFSET([2]stages!$A$1,0,0,COUNTA([2]stages!$A:$A),MATCH(G$1,[2]stages!$2:$2,0)-MATCH("temp_stage",[2]stages!$2:$2,0)+1),MATCH(G$1,[2]stages!$2:$2,0)-MATCH("temp_stage",[2]stages!$2:$2,0)+1,FALSE)</f>
        <v>画家シリーズ01</v>
      </c>
      <c r="H23" s="85">
        <v>0</v>
      </c>
      <c r="I23">
        <v>23</v>
      </c>
      <c r="J23" s="84" t="s">
        <v>198</v>
      </c>
      <c r="K23" s="91" t="str">
        <f>VLOOKUP(I23,[7]stage_hints!$A:$C,3,FALSE)</f>
        <v>フィーバーで一発逆転（その2）</v>
      </c>
      <c r="L23" s="92" t="str">
        <f>VLOOKUP(I23,[7]stage_hints!$A:$D,4,FALSE)</f>
        <v>フィーバー中は虹色のボムパネルを狙って_x000D_画面上のパネルを一気に破壊しましょう</v>
      </c>
      <c r="M23" s="57" t="s">
        <v>211</v>
      </c>
    </row>
    <row r="24" spans="1:13" x14ac:dyDescent="0.15">
      <c r="A24" s="81" t="s">
        <v>201</v>
      </c>
      <c r="B24" s="82">
        <f>floors!$C$2</f>
        <v>20021</v>
      </c>
      <c r="C24" s="83" t="str">
        <f ca="1">VLOOKUP($B24,OFFSET([2]quests!$A$1,0,0,COUNTA([2]quests!$A:$A),MATCH(C$1,[2]quests!$1:$1,0)-MATCH($B$1,[2]quests!$1:$1,0)+1),MATCH(C$1,[2]quests!$1:$1,0)-MATCH($B$1,[2]quests!$1:$1,0)+1,FALSE)</f>
        <v>ペインター・オブ・ラブ</v>
      </c>
      <c r="D24" s="83" t="str">
        <f ca="1">VLOOKUP($B24,OFFSET([2]quests!$A$1,0,0,COUNTA([2]quests!$A:$A),MATCH(D$1,[2]quests!$1:$1,0)-MATCH($B$1,[2]quests!$1:$1,0)+1),MATCH(D$1,[2]quests!$1:$1,0)-MATCH($B$1,[2]quests!$1:$1,0)+1,FALSE)</f>
        <v>画家シリーズ01</v>
      </c>
      <c r="E24" s="86">
        <v>1</v>
      </c>
      <c r="F24" s="83" t="str">
        <f ca="1">VLOOKUP($B24&amp;"_"&amp;$E24,OFFSET([2]stages!$A$1,0,0,COUNTA([2]stages!$A:$A),MATCH(F$1,[2]stages!$2:$2,0)-MATCH("temp_stage",[2]stages!$2:$2,0)+1),MATCH(F$1,[2]stages!$2:$2,0)-MATCH("temp_stage",[2]stages!$2:$2,0)+1,FALSE)</f>
        <v>【初級】ペインター・オブ・ラブ</v>
      </c>
      <c r="G24" s="83" t="str">
        <f ca="1">VLOOKUP($B24&amp;"_"&amp;$E24,OFFSET([2]stages!$A$1,0,0,COUNTA([2]stages!$A:$A),MATCH(G$1,[2]stages!$2:$2,0)-MATCH("temp_stage",[2]stages!$2:$2,0)+1),MATCH(G$1,[2]stages!$2:$2,0)-MATCH("temp_stage",[2]stages!$2:$2,0)+1,FALSE)</f>
        <v>画家シリーズ01</v>
      </c>
      <c r="H24" s="85">
        <v>0</v>
      </c>
      <c r="I24">
        <v>24</v>
      </c>
      <c r="J24" s="84" t="s">
        <v>198</v>
      </c>
      <c r="K24" s="91" t="str">
        <f>VLOOKUP(I24,[7]stage_hints!$A:$C,3,FALSE)</f>
        <v>果実を使って限界突破</v>
      </c>
      <c r="L24" s="92" t="str">
        <f>VLOOKUP(I24,[7]stage_hints!$A:$D,4,FALSE)</f>
        <v>攻めの果実 癒しの果実_x000D_生命の果実をユニット強化に使うと_x000D_ステータスが限界突破します（計99個迄）</v>
      </c>
      <c r="M24" s="57" t="s">
        <v>211</v>
      </c>
    </row>
    <row r="25" spans="1:13" x14ac:dyDescent="0.15">
      <c r="A25" s="81" t="s">
        <v>201</v>
      </c>
      <c r="B25" s="82">
        <f>floors!$C$2</f>
        <v>20021</v>
      </c>
      <c r="C25" s="83" t="str">
        <f ca="1">VLOOKUP($B25,OFFSET([2]quests!$A$1,0,0,COUNTA([2]quests!$A:$A),MATCH(C$1,[2]quests!$1:$1,0)-MATCH($B$1,[2]quests!$1:$1,0)+1),MATCH(C$1,[2]quests!$1:$1,0)-MATCH($B$1,[2]quests!$1:$1,0)+1,FALSE)</f>
        <v>ペインター・オブ・ラブ</v>
      </c>
      <c r="D25" s="83" t="str">
        <f ca="1">VLOOKUP($B25,OFFSET([2]quests!$A$1,0,0,COUNTA([2]quests!$A:$A),MATCH(D$1,[2]quests!$1:$1,0)-MATCH($B$1,[2]quests!$1:$1,0)+1),MATCH(D$1,[2]quests!$1:$1,0)-MATCH($B$1,[2]quests!$1:$1,0)+1,FALSE)</f>
        <v>画家シリーズ01</v>
      </c>
      <c r="E25" s="86">
        <v>1</v>
      </c>
      <c r="F25" s="83" t="str">
        <f ca="1">VLOOKUP($B25&amp;"_"&amp;$E25,OFFSET([2]stages!$A$1,0,0,COUNTA([2]stages!$A:$A),MATCH(F$1,[2]stages!$2:$2,0)-MATCH("temp_stage",[2]stages!$2:$2,0)+1),MATCH(F$1,[2]stages!$2:$2,0)-MATCH("temp_stage",[2]stages!$2:$2,0)+1,FALSE)</f>
        <v>【初級】ペインター・オブ・ラブ</v>
      </c>
      <c r="G25" s="83" t="str">
        <f ca="1">VLOOKUP($B25&amp;"_"&amp;$E25,OFFSET([2]stages!$A$1,0,0,COUNTA([2]stages!$A:$A),MATCH(G$1,[2]stages!$2:$2,0)-MATCH("temp_stage",[2]stages!$2:$2,0)+1),MATCH(G$1,[2]stages!$2:$2,0)-MATCH("temp_stage",[2]stages!$2:$2,0)+1,FALSE)</f>
        <v>画家シリーズ01</v>
      </c>
      <c r="H25" s="85">
        <v>0</v>
      </c>
      <c r="I25">
        <v>25</v>
      </c>
      <c r="J25" s="84" t="s">
        <v>198</v>
      </c>
      <c r="K25" s="91" t="str">
        <f>VLOOKUP(I25,[7]stage_hints!$A:$C,3,FALSE)</f>
        <v>スキルレベルアップ</v>
      </c>
      <c r="L25" s="92" t="str">
        <f>VLOOKUP(I25,[7]stage_hints!$A:$D,4,FALSE)</f>
        <v>「秘術の果実」を強化に使うと_x000D_スキルレベルを上げることができます</v>
      </c>
      <c r="M25" s="57" t="s">
        <v>211</v>
      </c>
    </row>
    <row r="26" spans="1:13" x14ac:dyDescent="0.15">
      <c r="A26" s="81" t="s">
        <v>201</v>
      </c>
      <c r="B26" s="82">
        <f>floors!$C$2</f>
        <v>20021</v>
      </c>
      <c r="C26" s="83" t="str">
        <f ca="1">VLOOKUP($B26,OFFSET([2]quests!$A$1,0,0,COUNTA([2]quests!$A:$A),MATCH(C$1,[2]quests!$1:$1,0)-MATCH($B$1,[2]quests!$1:$1,0)+1),MATCH(C$1,[2]quests!$1:$1,0)-MATCH($B$1,[2]quests!$1:$1,0)+1,FALSE)</f>
        <v>ペインター・オブ・ラブ</v>
      </c>
      <c r="D26" s="83" t="str">
        <f ca="1">VLOOKUP($B26,OFFSET([2]quests!$A$1,0,0,COUNTA([2]quests!$A:$A),MATCH(D$1,[2]quests!$1:$1,0)-MATCH($B$1,[2]quests!$1:$1,0)+1),MATCH(D$1,[2]quests!$1:$1,0)-MATCH($B$1,[2]quests!$1:$1,0)+1,FALSE)</f>
        <v>画家シリーズ01</v>
      </c>
      <c r="E26" s="86">
        <v>1</v>
      </c>
      <c r="F26" s="83" t="str">
        <f ca="1">VLOOKUP($B26&amp;"_"&amp;$E26,OFFSET([2]stages!$A$1,0,0,COUNTA([2]stages!$A:$A),MATCH(F$1,[2]stages!$2:$2,0)-MATCH("temp_stage",[2]stages!$2:$2,0)+1),MATCH(F$1,[2]stages!$2:$2,0)-MATCH("temp_stage",[2]stages!$2:$2,0)+1,FALSE)</f>
        <v>【初級】ペインター・オブ・ラブ</v>
      </c>
      <c r="G26" s="83" t="str">
        <f ca="1">VLOOKUP($B26&amp;"_"&amp;$E26,OFFSET([2]stages!$A$1,0,0,COUNTA([2]stages!$A:$A),MATCH(G$1,[2]stages!$2:$2,0)-MATCH("temp_stage",[2]stages!$2:$2,0)+1),MATCH(G$1,[2]stages!$2:$2,0)-MATCH("temp_stage",[2]stages!$2:$2,0)+1,FALSE)</f>
        <v>画家シリーズ01</v>
      </c>
      <c r="H26" s="85">
        <v>0</v>
      </c>
      <c r="I26">
        <v>26</v>
      </c>
      <c r="J26" s="84" t="s">
        <v>198</v>
      </c>
      <c r="K26" s="91" t="str">
        <f>VLOOKUP(I26,[7]stage_hints!$A:$C,3,FALSE)</f>
        <v>スキルレベルの効果</v>
      </c>
      <c r="L26" s="92" t="str">
        <f>VLOOKUP(I26,[7]stage_hints!$A:$D,4,FALSE)</f>
        <v>スキルレベルが上がると_x000D_短いターンでスキルを使うことができます</v>
      </c>
      <c r="M26" s="57" t="s">
        <v>211</v>
      </c>
    </row>
    <row r="27" spans="1:13" x14ac:dyDescent="0.15">
      <c r="A27" s="81" t="s">
        <v>201</v>
      </c>
      <c r="B27" s="82">
        <f>floors!$C$2</f>
        <v>20021</v>
      </c>
      <c r="C27" s="83" t="str">
        <f ca="1">VLOOKUP($B27,OFFSET([2]quests!$A$1,0,0,COUNTA([2]quests!$A:$A),MATCH(C$1,[2]quests!$1:$1,0)-MATCH($B$1,[2]quests!$1:$1,0)+1),MATCH(C$1,[2]quests!$1:$1,0)-MATCH($B$1,[2]quests!$1:$1,0)+1,FALSE)</f>
        <v>ペインター・オブ・ラブ</v>
      </c>
      <c r="D27" s="83" t="str">
        <f ca="1">VLOOKUP($B27,OFFSET([2]quests!$A$1,0,0,COUNTA([2]quests!$A:$A),MATCH(D$1,[2]quests!$1:$1,0)-MATCH($B$1,[2]quests!$1:$1,0)+1),MATCH(D$1,[2]quests!$1:$1,0)-MATCH($B$1,[2]quests!$1:$1,0)+1,FALSE)</f>
        <v>画家シリーズ01</v>
      </c>
      <c r="E27" s="86">
        <v>1</v>
      </c>
      <c r="F27" s="83" t="str">
        <f ca="1">VLOOKUP($B27&amp;"_"&amp;$E27,OFFSET([2]stages!$A$1,0,0,COUNTA([2]stages!$A:$A),MATCH(F$1,[2]stages!$2:$2,0)-MATCH("temp_stage",[2]stages!$2:$2,0)+1),MATCH(F$1,[2]stages!$2:$2,0)-MATCH("temp_stage",[2]stages!$2:$2,0)+1,FALSE)</f>
        <v>【初級】ペインター・オブ・ラブ</v>
      </c>
      <c r="G27" s="83" t="str">
        <f ca="1">VLOOKUP($B27&amp;"_"&amp;$E27,OFFSET([2]stages!$A$1,0,0,COUNTA([2]stages!$A:$A),MATCH(G$1,[2]stages!$2:$2,0)-MATCH("temp_stage",[2]stages!$2:$2,0)+1),MATCH(G$1,[2]stages!$2:$2,0)-MATCH("temp_stage",[2]stages!$2:$2,0)+1,FALSE)</f>
        <v>画家シリーズ01</v>
      </c>
      <c r="H27" s="85">
        <v>0</v>
      </c>
      <c r="I27">
        <v>39</v>
      </c>
      <c r="J27" s="84" t="s">
        <v>198</v>
      </c>
      <c r="K27" s="91" t="str">
        <f>VLOOKUP(I27,[7]stage_hints!$A:$C,3,FALSE)</f>
        <v>システム適合者を確認</v>
      </c>
      <c r="L27" s="92" t="str">
        <f>VLOOKUP(I27,[7]stage_hints!$A:$D,4,FALSE)</f>
        <v>ALICEが 「アナタ」を呼んでいます</v>
      </c>
      <c r="M27" s="57" t="s">
        <v>211</v>
      </c>
    </row>
    <row r="28" spans="1:13" x14ac:dyDescent="0.15">
      <c r="A28" s="81" t="s">
        <v>201</v>
      </c>
      <c r="B28" s="82">
        <f>floors!$C$2</f>
        <v>20021</v>
      </c>
      <c r="C28" s="83" t="str">
        <f ca="1">VLOOKUP($B28,OFFSET([2]quests!$A$1,0,0,COUNTA([2]quests!$A:$A),MATCH(C$1,[2]quests!$1:$1,0)-MATCH($B$1,[2]quests!$1:$1,0)+1),MATCH(C$1,[2]quests!$1:$1,0)-MATCH($B$1,[2]quests!$1:$1,0)+1,FALSE)</f>
        <v>ペインター・オブ・ラブ</v>
      </c>
      <c r="D28" s="83" t="str">
        <f ca="1">VLOOKUP($B28,OFFSET([2]quests!$A$1,0,0,COUNTA([2]quests!$A:$A),MATCH(D$1,[2]quests!$1:$1,0)-MATCH($B$1,[2]quests!$1:$1,0)+1),MATCH(D$1,[2]quests!$1:$1,0)-MATCH($B$1,[2]quests!$1:$1,0)+1,FALSE)</f>
        <v>画家シリーズ01</v>
      </c>
      <c r="E28" s="86">
        <v>2</v>
      </c>
      <c r="F28" s="83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28" s="83" t="str">
        <f ca="1">VLOOKUP($B28&amp;"_"&amp;$E28,OFFSET([2]stages!$A$1,0,0,COUNTA([2]stages!$A:$A),MATCH(G$1,[2]stages!$2:$2,0)-MATCH("temp_stage",[2]stages!$2:$2,0)+1),MATCH(G$1,[2]stages!$2:$2,0)-MATCH("temp_stage",[2]stages!$2:$2,0)+1,FALSE)</f>
        <v>画家シリーズ01</v>
      </c>
      <c r="H28" s="85">
        <v>0</v>
      </c>
      <c r="I28">
        <v>3</v>
      </c>
      <c r="J28" s="84" t="s">
        <v>198</v>
      </c>
      <c r="K28" s="91" t="str">
        <f>VLOOKUP(I28,[7]stage_hints!$A:$C,3,FALSE)</f>
        <v>ターゲット</v>
      </c>
      <c r="L28" s="92" t="str">
        <f>VLOOKUP(I28,[7]stage_hints!$A:$D,4,FALSE)</f>
        <v>敵ユニットをタップすると_x000D_その敵を狙い撃ちできます</v>
      </c>
      <c r="M28" s="57" t="s">
        <v>211</v>
      </c>
    </row>
    <row r="29" spans="1:13" x14ac:dyDescent="0.15">
      <c r="A29" s="81" t="s">
        <v>201</v>
      </c>
      <c r="B29" s="82">
        <f>floors!$C$2</f>
        <v>20021</v>
      </c>
      <c r="C29" s="83" t="str">
        <f ca="1">VLOOKUP($B29,OFFSET([2]quests!$A$1,0,0,COUNTA([2]quests!$A:$A),MATCH(C$1,[2]quests!$1:$1,0)-MATCH($B$1,[2]quests!$1:$1,0)+1),MATCH(C$1,[2]quests!$1:$1,0)-MATCH($B$1,[2]quests!$1:$1,0)+1,FALSE)</f>
        <v>ペインター・オブ・ラブ</v>
      </c>
      <c r="D29" s="83" t="str">
        <f ca="1">VLOOKUP($B29,OFFSET([2]quests!$A$1,0,0,COUNTA([2]quests!$A:$A),MATCH(D$1,[2]quests!$1:$1,0)-MATCH($B$1,[2]quests!$1:$1,0)+1),MATCH(D$1,[2]quests!$1:$1,0)-MATCH($B$1,[2]quests!$1:$1,0)+1,FALSE)</f>
        <v>画家シリーズ01</v>
      </c>
      <c r="E29" s="86">
        <v>2</v>
      </c>
      <c r="F29" s="83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29" s="83" t="str">
        <f ca="1">VLOOKUP($B29&amp;"_"&amp;$E29,OFFSET([2]stages!$A$1,0,0,COUNTA([2]stages!$A:$A),MATCH(G$1,[2]stages!$2:$2,0)-MATCH("temp_stage",[2]stages!$2:$2,0)+1),MATCH(G$1,[2]stages!$2:$2,0)-MATCH("temp_stage",[2]stages!$2:$2,0)+1,FALSE)</f>
        <v>画家シリーズ01</v>
      </c>
      <c r="H29" s="85">
        <v>0</v>
      </c>
      <c r="I29">
        <v>6</v>
      </c>
      <c r="J29" s="84" t="s">
        <v>198</v>
      </c>
      <c r="K29" s="91" t="str">
        <f>VLOOKUP(I29,[7]stage_hints!$A:$C,3,FALSE)</f>
        <v>ユニット強化の属性ボーナス</v>
      </c>
      <c r="L29" s="92" t="str">
        <f>VLOOKUP(I29,[7]stage_hints!$A:$D,4,FALSE)</f>
        <v>同属性ユニットを強化素材にすると_x000D_経験値が多くもらえます</v>
      </c>
      <c r="M29" s="57" t="s">
        <v>211</v>
      </c>
    </row>
    <row r="30" spans="1:13" x14ac:dyDescent="0.15">
      <c r="A30" s="81" t="s">
        <v>201</v>
      </c>
      <c r="B30" s="82">
        <f>floors!$C$2</f>
        <v>20021</v>
      </c>
      <c r="C30" s="83" t="str">
        <f ca="1">VLOOKUP($B30,OFFSET([2]quests!$A$1,0,0,COUNTA([2]quests!$A:$A),MATCH(C$1,[2]quests!$1:$1,0)-MATCH($B$1,[2]quests!$1:$1,0)+1),MATCH(C$1,[2]quests!$1:$1,0)-MATCH($B$1,[2]quests!$1:$1,0)+1,FALSE)</f>
        <v>ペインター・オブ・ラブ</v>
      </c>
      <c r="D30" s="83" t="str">
        <f ca="1">VLOOKUP($B30,OFFSET([2]quests!$A$1,0,0,COUNTA([2]quests!$A:$A),MATCH(D$1,[2]quests!$1:$1,0)-MATCH($B$1,[2]quests!$1:$1,0)+1),MATCH(D$1,[2]quests!$1:$1,0)-MATCH($B$1,[2]quests!$1:$1,0)+1,FALSE)</f>
        <v>画家シリーズ01</v>
      </c>
      <c r="E30" s="86">
        <v>2</v>
      </c>
      <c r="F30" s="83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30" s="83" t="str">
        <f ca="1">VLOOKUP($B30&amp;"_"&amp;$E30,OFFSET([2]stages!$A$1,0,0,COUNTA([2]stages!$A:$A),MATCH(G$1,[2]stages!$2:$2,0)-MATCH("temp_stage",[2]stages!$2:$2,0)+1),MATCH(G$1,[2]stages!$2:$2,0)-MATCH("temp_stage",[2]stages!$2:$2,0)+1,FALSE)</f>
        <v>画家シリーズ01</v>
      </c>
      <c r="H30" s="85">
        <v>0</v>
      </c>
      <c r="I30">
        <v>7</v>
      </c>
      <c r="J30" s="84" t="s">
        <v>198</v>
      </c>
      <c r="K30" s="91" t="str">
        <f>VLOOKUP(I30,[7]stage_hints!$A:$C,3,FALSE)</f>
        <v>メタルダックで経験値を獲得</v>
      </c>
      <c r="L30" s="92" t="str">
        <f>VLOOKUP(I30,[7]stage_hints!$A:$D,4,FALSE)</f>
        <v>「メタルなアヒル」を強化素材にすると_x000D_大量の経験値がもらえます</v>
      </c>
      <c r="M30" s="57" t="s">
        <v>211</v>
      </c>
    </row>
    <row r="31" spans="1:13" x14ac:dyDescent="0.15">
      <c r="A31" s="81" t="s">
        <v>201</v>
      </c>
      <c r="B31" s="82">
        <f>floors!$C$2</f>
        <v>20021</v>
      </c>
      <c r="C31" s="83" t="str">
        <f ca="1">VLOOKUP($B31,OFFSET([2]quests!$A$1,0,0,COUNTA([2]quests!$A:$A),MATCH(C$1,[2]quests!$1:$1,0)-MATCH($B$1,[2]quests!$1:$1,0)+1),MATCH(C$1,[2]quests!$1:$1,0)-MATCH($B$1,[2]quests!$1:$1,0)+1,FALSE)</f>
        <v>ペインター・オブ・ラブ</v>
      </c>
      <c r="D31" s="83" t="str">
        <f ca="1">VLOOKUP($B31,OFFSET([2]quests!$A$1,0,0,COUNTA([2]quests!$A:$A),MATCH(D$1,[2]quests!$1:$1,0)-MATCH($B$1,[2]quests!$1:$1,0)+1),MATCH(D$1,[2]quests!$1:$1,0)-MATCH($B$1,[2]quests!$1:$1,0)+1,FALSE)</f>
        <v>画家シリーズ01</v>
      </c>
      <c r="E31" s="86">
        <v>2</v>
      </c>
      <c r="F31" s="83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31" s="83" t="str">
        <f ca="1">VLOOKUP($B31&amp;"_"&amp;$E31,OFFSET([2]stages!$A$1,0,0,COUNTA([2]stages!$A:$A),MATCH(G$1,[2]stages!$2:$2,0)-MATCH("temp_stage",[2]stages!$2:$2,0)+1),MATCH(G$1,[2]stages!$2:$2,0)-MATCH("temp_stage",[2]stages!$2:$2,0)+1,FALSE)</f>
        <v>画家シリーズ01</v>
      </c>
      <c r="H31" s="85">
        <v>0</v>
      </c>
      <c r="I31">
        <v>8</v>
      </c>
      <c r="J31" s="84" t="s">
        <v>198</v>
      </c>
      <c r="K31" s="91" t="str">
        <f>VLOOKUP(I31,[7]stage_hints!$A:$C,3,FALSE)</f>
        <v>ゲリラクエストは要チェック</v>
      </c>
      <c r="L31" s="92" t="str">
        <f>VLOOKUP(I31,[7]stage_hints!$A:$D,4,FALSE)</f>
        <v>時間限定の「アヒル捕獲作戦」では_x000D_経験値素材ユニットが多く手に入ります</v>
      </c>
      <c r="M31" s="57" t="s">
        <v>211</v>
      </c>
    </row>
    <row r="32" spans="1:13" x14ac:dyDescent="0.15">
      <c r="A32" s="81" t="s">
        <v>201</v>
      </c>
      <c r="B32" s="82">
        <f>floors!$C$2</f>
        <v>20021</v>
      </c>
      <c r="C32" s="83" t="str">
        <f ca="1">VLOOKUP($B32,OFFSET([2]quests!$A$1,0,0,COUNTA([2]quests!$A:$A),MATCH(C$1,[2]quests!$1:$1,0)-MATCH($B$1,[2]quests!$1:$1,0)+1),MATCH(C$1,[2]quests!$1:$1,0)-MATCH($B$1,[2]quests!$1:$1,0)+1,FALSE)</f>
        <v>ペインター・オブ・ラブ</v>
      </c>
      <c r="D32" s="83" t="str">
        <f ca="1">VLOOKUP($B32,OFFSET([2]quests!$A$1,0,0,COUNTA([2]quests!$A:$A),MATCH(D$1,[2]quests!$1:$1,0)-MATCH($B$1,[2]quests!$1:$1,0)+1),MATCH(D$1,[2]quests!$1:$1,0)-MATCH($B$1,[2]quests!$1:$1,0)+1,FALSE)</f>
        <v>画家シリーズ01</v>
      </c>
      <c r="E32" s="86">
        <v>2</v>
      </c>
      <c r="F32" s="83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32" s="83" t="str">
        <f ca="1">VLOOKUP($B32&amp;"_"&amp;$E32,OFFSET([2]stages!$A$1,0,0,COUNTA([2]stages!$A:$A),MATCH(G$1,[2]stages!$2:$2,0)-MATCH("temp_stage",[2]stages!$2:$2,0)+1),MATCH(G$1,[2]stages!$2:$2,0)-MATCH("temp_stage",[2]stages!$2:$2,0)+1,FALSE)</f>
        <v>画家シリーズ01</v>
      </c>
      <c r="H32" s="85">
        <v>0</v>
      </c>
      <c r="I32">
        <v>9</v>
      </c>
      <c r="J32" s="84" t="s">
        <v>198</v>
      </c>
      <c r="K32" s="91" t="str">
        <f>VLOOKUP(I32,[7]stage_hints!$A:$C,3,FALSE)</f>
        <v>ゴールドダックでビットを獲得</v>
      </c>
      <c r="L32" s="92" t="str">
        <f>VLOOKUP(I32,[7]stage_hints!$A:$D,4,FALSE)</f>
        <v>「ゴールドなアヒル」を売却すると_x000D_大量のビットがもらえます</v>
      </c>
      <c r="M32" s="57" t="s">
        <v>211</v>
      </c>
    </row>
    <row r="33" spans="1:13" x14ac:dyDescent="0.15">
      <c r="A33" s="81" t="s">
        <v>201</v>
      </c>
      <c r="B33" s="82">
        <f>floors!$C$2</f>
        <v>20021</v>
      </c>
      <c r="C33" s="83" t="str">
        <f ca="1">VLOOKUP($B33,OFFSET([2]quests!$A$1,0,0,COUNTA([2]quests!$A:$A),MATCH(C$1,[2]quests!$1:$1,0)-MATCH($B$1,[2]quests!$1:$1,0)+1),MATCH(C$1,[2]quests!$1:$1,0)-MATCH($B$1,[2]quests!$1:$1,0)+1,FALSE)</f>
        <v>ペインター・オブ・ラブ</v>
      </c>
      <c r="D33" s="83" t="str">
        <f ca="1">VLOOKUP($B33,OFFSET([2]quests!$A$1,0,0,COUNTA([2]quests!$A:$A),MATCH(D$1,[2]quests!$1:$1,0)-MATCH($B$1,[2]quests!$1:$1,0)+1),MATCH(D$1,[2]quests!$1:$1,0)-MATCH($B$1,[2]quests!$1:$1,0)+1,FALSE)</f>
        <v>画家シリーズ01</v>
      </c>
      <c r="E33" s="86">
        <v>2</v>
      </c>
      <c r="F33" s="83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33" s="83" t="str">
        <f ca="1">VLOOKUP($B33&amp;"_"&amp;$E33,OFFSET([2]stages!$A$1,0,0,COUNTA([2]stages!$A:$A),MATCH(G$1,[2]stages!$2:$2,0)-MATCH("temp_stage",[2]stages!$2:$2,0)+1),MATCH(G$1,[2]stages!$2:$2,0)-MATCH("temp_stage",[2]stages!$2:$2,0)+1,FALSE)</f>
        <v>画家シリーズ01</v>
      </c>
      <c r="H33" s="85">
        <v>0</v>
      </c>
      <c r="I33">
        <v>10</v>
      </c>
      <c r="J33" s="84" t="s">
        <v>198</v>
      </c>
      <c r="K33" s="91" t="str">
        <f>VLOOKUP(I33,[7]stage_hints!$A:$C,3,FALSE)</f>
        <v>土日に大量のビットを獲得</v>
      </c>
      <c r="L33" s="92" t="str">
        <f>VLOOKUP(I33,[7]stage_hints!$A:$D,4,FALSE)</f>
        <v>土日限定の「ゴールドカジノ」では_x000D_売却素材ユニットが多く手に入ります</v>
      </c>
      <c r="M33" s="57" t="s">
        <v>211</v>
      </c>
    </row>
    <row r="34" spans="1:13" x14ac:dyDescent="0.15">
      <c r="A34" s="81" t="s">
        <v>201</v>
      </c>
      <c r="B34" s="82">
        <f>floors!$C$2</f>
        <v>20021</v>
      </c>
      <c r="C34" s="83" t="str">
        <f ca="1">VLOOKUP($B34,OFFSET([2]quests!$A$1,0,0,COUNTA([2]quests!$A:$A),MATCH(C$1,[2]quests!$1:$1,0)-MATCH($B$1,[2]quests!$1:$1,0)+1),MATCH(C$1,[2]quests!$1:$1,0)-MATCH($B$1,[2]quests!$1:$1,0)+1,FALSE)</f>
        <v>ペインター・オブ・ラブ</v>
      </c>
      <c r="D34" s="83" t="str">
        <f ca="1">VLOOKUP($B34,OFFSET([2]quests!$A$1,0,0,COUNTA([2]quests!$A:$A),MATCH(D$1,[2]quests!$1:$1,0)-MATCH($B$1,[2]quests!$1:$1,0)+1),MATCH(D$1,[2]quests!$1:$1,0)-MATCH($B$1,[2]quests!$1:$1,0)+1,FALSE)</f>
        <v>画家シリーズ01</v>
      </c>
      <c r="E34" s="86">
        <v>2</v>
      </c>
      <c r="F34" s="83" t="str">
        <f ca="1">VLOOKUP($B34&amp;"_"&amp;$E34,OFFSET([2]stages!$A$1,0,0,COUNTA([2]stages!$A:$A),MATCH(F$1,[2]stages!$2:$2,0)-MATCH("temp_stage",[2]stages!$2:$2,0)+1),MATCH(F$1,[2]stages!$2:$2,0)-MATCH("temp_stage",[2]stages!$2:$2,0)+1,FALSE)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34" s="83" t="str">
        <f ca="1">VLOOKUP($B34&amp;"_"&amp;$E34,OFFSET([2]stages!$A$1,0,0,COUNTA([2]stages!$A:$A),MATCH(G$1,[2]stages!$2:$2,0)-MATCH("temp_stage",[2]stages!$2:$2,0)+1),MATCH(G$1,[2]stages!$2:$2,0)-MATCH("temp_stage",[2]stages!$2:$2,0)+1,FALSE)</f>
        <v>画家シリーズ01</v>
      </c>
      <c r="H34" s="85">
        <v>0</v>
      </c>
      <c r="I34">
        <v>11</v>
      </c>
      <c r="J34" s="84" t="s">
        <v>198</v>
      </c>
      <c r="K34" s="91" t="str">
        <f>VLOOKUP(I34,[7]stage_hints!$A:$C,3,FALSE)</f>
        <v>ランク解放クエスト</v>
      </c>
      <c r="L34" s="92" t="str">
        <f>VLOOKUP(I34,[7]stage_hints!$A:$D,4,FALSE)</f>
        <v>一定ランクに到達すると_x000D_報酬付きのランク開放クエストが現れます</v>
      </c>
      <c r="M34" s="57" t="s">
        <v>211</v>
      </c>
    </row>
    <row r="35" spans="1:13" x14ac:dyDescent="0.15">
      <c r="A35" s="81" t="s">
        <v>201</v>
      </c>
      <c r="B35" s="82">
        <f>floors!$C$2</f>
        <v>20021</v>
      </c>
      <c r="C35" s="83" t="str">
        <f ca="1">VLOOKUP($B35,OFFSET([2]quests!$A$1,0,0,COUNTA([2]quests!$A:$A),MATCH(C$1,[2]quests!$1:$1,0)-MATCH($B$1,[2]quests!$1:$1,0)+1),MATCH(C$1,[2]quests!$1:$1,0)-MATCH($B$1,[2]quests!$1:$1,0)+1,FALSE)</f>
        <v>ペインター・オブ・ラブ</v>
      </c>
      <c r="D35" s="83" t="str">
        <f ca="1">VLOOKUP($B35,OFFSET([2]quests!$A$1,0,0,COUNTA([2]quests!$A:$A),MATCH(D$1,[2]quests!$1:$1,0)-MATCH($B$1,[2]quests!$1:$1,0)+1),MATCH(D$1,[2]quests!$1:$1,0)-MATCH($B$1,[2]quests!$1:$1,0)+1,FALSE)</f>
        <v>画家シリーズ01</v>
      </c>
      <c r="E35" s="86">
        <v>2</v>
      </c>
      <c r="F35" s="83" t="str">
        <f ca="1">VLOOKUP($B35&amp;"_"&amp;$E35,OFFSET([2]stages!$A$1,0,0,COUNTA([2]stages!$A:$A),MATCH(F$1,[2]stages!$2:$2,0)-MATCH("temp_stage",[2]stages!$2:$2,0)+1),MATCH(F$1,[2]stages!$2:$2,0)-MATCH("temp_stage",[2]stages!$2:$2,0)+1,FALSE)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35" s="83" t="str">
        <f ca="1">VLOOKUP($B35&amp;"_"&amp;$E35,OFFSET([2]stages!$A$1,0,0,COUNTA([2]stages!$A:$A),MATCH(G$1,[2]stages!$2:$2,0)-MATCH("temp_stage",[2]stages!$2:$2,0)+1),MATCH(G$1,[2]stages!$2:$2,0)-MATCH("temp_stage",[2]stages!$2:$2,0)+1,FALSE)</f>
        <v>画家シリーズ01</v>
      </c>
      <c r="H35" s="85">
        <v>0</v>
      </c>
      <c r="I35">
        <v>12</v>
      </c>
      <c r="J35" s="84" t="s">
        <v>198</v>
      </c>
      <c r="K35" s="91" t="str">
        <f>VLOOKUP(I35,[7]stage_hints!$A:$C,3,FALSE)</f>
        <v>ユニットのお気に入り登録</v>
      </c>
      <c r="L35" s="92" t="str">
        <f>VLOOKUP(I35,[7]stage_hints!$A:$D,4,FALSE)</f>
        <v>大事なユニットを誤って消さないように_x000D_フォルダから「お気に入り登録」しましょう</v>
      </c>
      <c r="M35" s="57" t="s">
        <v>211</v>
      </c>
    </row>
    <row r="36" spans="1:13" x14ac:dyDescent="0.15">
      <c r="A36" s="81" t="s">
        <v>201</v>
      </c>
      <c r="B36" s="82">
        <f>floors!$C$2</f>
        <v>20021</v>
      </c>
      <c r="C36" s="83" t="str">
        <f ca="1">VLOOKUP($B36,OFFSET([2]quests!$A$1,0,0,COUNTA([2]quests!$A:$A),MATCH(C$1,[2]quests!$1:$1,0)-MATCH($B$1,[2]quests!$1:$1,0)+1),MATCH(C$1,[2]quests!$1:$1,0)-MATCH($B$1,[2]quests!$1:$1,0)+1,FALSE)</f>
        <v>ペインター・オブ・ラブ</v>
      </c>
      <c r="D36" s="83" t="str">
        <f ca="1">VLOOKUP($B36,OFFSET([2]quests!$A$1,0,0,COUNTA([2]quests!$A:$A),MATCH(D$1,[2]quests!$1:$1,0)-MATCH($B$1,[2]quests!$1:$1,0)+1),MATCH(D$1,[2]quests!$1:$1,0)-MATCH($B$1,[2]quests!$1:$1,0)+1,FALSE)</f>
        <v>画家シリーズ01</v>
      </c>
      <c r="E36" s="86">
        <v>2</v>
      </c>
      <c r="F36" s="83" t="str">
        <f ca="1">VLOOKUP($B36&amp;"_"&amp;$E36,OFFSET([2]stages!$A$1,0,0,COUNTA([2]stages!$A:$A),MATCH(F$1,[2]stages!$2:$2,0)-MATCH("temp_stage",[2]stages!$2:$2,0)+1),MATCH(F$1,[2]stages!$2:$2,0)-MATCH("temp_stage",[2]stages!$2:$2,0)+1,FALSE)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36" s="83" t="str">
        <f ca="1">VLOOKUP($B36&amp;"_"&amp;$E36,OFFSET([2]stages!$A$1,0,0,COUNTA([2]stages!$A:$A),MATCH(G$1,[2]stages!$2:$2,0)-MATCH("temp_stage",[2]stages!$2:$2,0)+1),MATCH(G$1,[2]stages!$2:$2,0)-MATCH("temp_stage",[2]stages!$2:$2,0)+1,FALSE)</f>
        <v>画家シリーズ01</v>
      </c>
      <c r="H36" s="85">
        <v>0</v>
      </c>
      <c r="I36">
        <v>13</v>
      </c>
      <c r="J36" s="84" t="s">
        <v>198</v>
      </c>
      <c r="K36" s="91" t="str">
        <f>VLOOKUP(I36,[7]stage_hints!$A:$C,3,FALSE)</f>
        <v>ユニットの覚醒</v>
      </c>
      <c r="L36" s="92" t="str">
        <f>VLOOKUP(I36,[7]stage_hints!$A:$D,4,FALSE)</f>
        <v>ユニットを覚醒させると_x000D_比べものにならない強さが手に入ります</v>
      </c>
      <c r="M36" s="57" t="s">
        <v>211</v>
      </c>
    </row>
    <row r="37" spans="1:13" x14ac:dyDescent="0.15">
      <c r="A37" s="81" t="s">
        <v>201</v>
      </c>
      <c r="B37" s="82">
        <f>floors!$C$2</f>
        <v>20021</v>
      </c>
      <c r="C37" s="83" t="str">
        <f ca="1">VLOOKUP($B37,OFFSET([2]quests!$A$1,0,0,COUNTA([2]quests!$A:$A),MATCH(C$1,[2]quests!$1:$1,0)-MATCH($B$1,[2]quests!$1:$1,0)+1),MATCH(C$1,[2]quests!$1:$1,0)-MATCH($B$1,[2]quests!$1:$1,0)+1,FALSE)</f>
        <v>ペインター・オブ・ラブ</v>
      </c>
      <c r="D37" s="83" t="str">
        <f ca="1">VLOOKUP($B37,OFFSET([2]quests!$A$1,0,0,COUNTA([2]quests!$A:$A),MATCH(D$1,[2]quests!$1:$1,0)-MATCH($B$1,[2]quests!$1:$1,0)+1),MATCH(D$1,[2]quests!$1:$1,0)-MATCH($B$1,[2]quests!$1:$1,0)+1,FALSE)</f>
        <v>画家シリーズ01</v>
      </c>
      <c r="E37" s="86">
        <v>2</v>
      </c>
      <c r="F37" s="83" t="str">
        <f ca="1">VLOOKUP($B37&amp;"_"&amp;$E37,OFFSET([2]stages!$A$1,0,0,COUNTA([2]stages!$A:$A),MATCH(F$1,[2]stages!$2:$2,0)-MATCH("temp_stage",[2]stages!$2:$2,0)+1),MATCH(F$1,[2]stages!$2:$2,0)-MATCH("temp_stage",[2]stages!$2:$2,0)+1,FALSE)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37" s="83" t="str">
        <f ca="1">VLOOKUP($B37&amp;"_"&amp;$E37,OFFSET([2]stages!$A$1,0,0,COUNTA([2]stages!$A:$A),MATCH(G$1,[2]stages!$2:$2,0)-MATCH("temp_stage",[2]stages!$2:$2,0)+1),MATCH(G$1,[2]stages!$2:$2,0)-MATCH("temp_stage",[2]stages!$2:$2,0)+1,FALSE)</f>
        <v>画家シリーズ01</v>
      </c>
      <c r="H37" s="85">
        <v>0</v>
      </c>
      <c r="I37">
        <v>14</v>
      </c>
      <c r="J37" s="84" t="s">
        <v>198</v>
      </c>
      <c r="K37" s="91" t="str">
        <f>VLOOKUP(I37,[7]stage_hints!$A:$C,3,FALSE)</f>
        <v>覚醒するにはレベルを最大に</v>
      </c>
      <c r="L37" s="92" t="str">
        <f>VLOOKUP(I37,[7]stage_hints!$A:$D,4,FALSE)</f>
        <v>覚醒するにはユニットのレベルを_x000D_最大まで上げる必要があります</v>
      </c>
      <c r="M37" s="57" t="s">
        <v>211</v>
      </c>
    </row>
    <row r="38" spans="1:13" x14ac:dyDescent="0.15">
      <c r="A38" s="81" t="s">
        <v>201</v>
      </c>
      <c r="B38" s="82">
        <f>floors!$C$2</f>
        <v>20021</v>
      </c>
      <c r="C38" s="83" t="str">
        <f ca="1">VLOOKUP($B38,OFFSET([2]quests!$A$1,0,0,COUNTA([2]quests!$A:$A),MATCH(C$1,[2]quests!$1:$1,0)-MATCH($B$1,[2]quests!$1:$1,0)+1),MATCH(C$1,[2]quests!$1:$1,0)-MATCH($B$1,[2]quests!$1:$1,0)+1,FALSE)</f>
        <v>ペインター・オブ・ラブ</v>
      </c>
      <c r="D38" s="83" t="str">
        <f ca="1">VLOOKUP($B38,OFFSET([2]quests!$A$1,0,0,COUNTA([2]quests!$A:$A),MATCH(D$1,[2]quests!$1:$1,0)-MATCH($B$1,[2]quests!$1:$1,0)+1),MATCH(D$1,[2]quests!$1:$1,0)-MATCH($B$1,[2]quests!$1:$1,0)+1,FALSE)</f>
        <v>画家シリーズ01</v>
      </c>
      <c r="E38" s="86">
        <v>2</v>
      </c>
      <c r="F38" s="83" t="str">
        <f ca="1">VLOOKUP($B38&amp;"_"&amp;$E38,OFFSET([2]stages!$A$1,0,0,COUNTA([2]stages!$A:$A),MATCH(F$1,[2]stages!$2:$2,0)-MATCH("temp_stage",[2]stages!$2:$2,0)+1),MATCH(F$1,[2]stages!$2:$2,0)-MATCH("temp_stage",[2]stages!$2:$2,0)+1,FALSE)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38" s="83" t="str">
        <f ca="1">VLOOKUP($B38&amp;"_"&amp;$E38,OFFSET([2]stages!$A$1,0,0,COUNTA([2]stages!$A:$A),MATCH(G$1,[2]stages!$2:$2,0)-MATCH("temp_stage",[2]stages!$2:$2,0)+1),MATCH(G$1,[2]stages!$2:$2,0)-MATCH("temp_stage",[2]stages!$2:$2,0)+1,FALSE)</f>
        <v>画家シリーズ01</v>
      </c>
      <c r="H38" s="85">
        <v>0</v>
      </c>
      <c r="I38">
        <v>15</v>
      </c>
      <c r="J38" s="84" t="s">
        <v>198</v>
      </c>
      <c r="K38" s="91" t="str">
        <f>VLOOKUP(I38,[7]stage_hints!$A:$C,3,FALSE)</f>
        <v>覚醒素材を獲得</v>
      </c>
      <c r="L38" s="92" t="str">
        <f>VLOOKUP(I38,[7]stage_hints!$A:$D,4,FALSE)</f>
        <v>「曜日クエスト」では_x000D_ユニットの覚醒に必要な素材が手に入ります</v>
      </c>
      <c r="M38" s="57" t="s">
        <v>211</v>
      </c>
    </row>
    <row r="39" spans="1:13" x14ac:dyDescent="0.15">
      <c r="A39" s="81" t="s">
        <v>201</v>
      </c>
      <c r="B39" s="82">
        <f>floors!$C$2</f>
        <v>20021</v>
      </c>
      <c r="C39" s="83" t="str">
        <f ca="1">VLOOKUP($B39,OFFSET([2]quests!$A$1,0,0,COUNTA([2]quests!$A:$A),MATCH(C$1,[2]quests!$1:$1,0)-MATCH($B$1,[2]quests!$1:$1,0)+1),MATCH(C$1,[2]quests!$1:$1,0)-MATCH($B$1,[2]quests!$1:$1,0)+1,FALSE)</f>
        <v>ペインター・オブ・ラブ</v>
      </c>
      <c r="D39" s="83" t="str">
        <f ca="1">VLOOKUP($B39,OFFSET([2]quests!$A$1,0,0,COUNTA([2]quests!$A:$A),MATCH(D$1,[2]quests!$1:$1,0)-MATCH($B$1,[2]quests!$1:$1,0)+1),MATCH(D$1,[2]quests!$1:$1,0)-MATCH($B$1,[2]quests!$1:$1,0)+1,FALSE)</f>
        <v>画家シリーズ01</v>
      </c>
      <c r="E39" s="86">
        <v>2</v>
      </c>
      <c r="F39" s="83" t="str">
        <f ca="1">VLOOKUP($B39&amp;"_"&amp;$E39,OFFSET([2]stages!$A$1,0,0,COUNTA([2]stages!$A:$A),MATCH(F$1,[2]stages!$2:$2,0)-MATCH("temp_stage",[2]stages!$2:$2,0)+1),MATCH(F$1,[2]stages!$2:$2,0)-MATCH("temp_stage",[2]stages!$2:$2,0)+1,FALSE)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39" s="83" t="str">
        <f ca="1">VLOOKUP($B39&amp;"_"&amp;$E39,OFFSET([2]stages!$A$1,0,0,COUNTA([2]stages!$A:$A),MATCH(G$1,[2]stages!$2:$2,0)-MATCH("temp_stage",[2]stages!$2:$2,0)+1),MATCH(G$1,[2]stages!$2:$2,0)-MATCH("temp_stage",[2]stages!$2:$2,0)+1,FALSE)</f>
        <v>画家シリーズ01</v>
      </c>
      <c r="H39" s="85">
        <v>0</v>
      </c>
      <c r="I39">
        <v>16</v>
      </c>
      <c r="J39" s="84" t="s">
        <v>198</v>
      </c>
      <c r="K39" s="91" t="str">
        <f>VLOOKUP(I39,[7]stage_hints!$A:$C,3,FALSE)</f>
        <v>マルチプレイのメリット（その1）</v>
      </c>
      <c r="L39" s="92" t="str">
        <f>VLOOKUP(I39,[7]stage_hints!$A:$D,4,FALSE)</f>
        <v>他のプレイヤーとマルチプレイで遊ぶと_x000D_ポリゴンがもらえます（100人まで）</v>
      </c>
      <c r="M39" s="57" t="s">
        <v>211</v>
      </c>
    </row>
    <row r="40" spans="1:13" x14ac:dyDescent="0.15">
      <c r="A40" s="81" t="s">
        <v>201</v>
      </c>
      <c r="B40" s="82">
        <f>floors!$C$2</f>
        <v>20021</v>
      </c>
      <c r="C40" s="83" t="str">
        <f ca="1">VLOOKUP($B40,OFFSET([2]quests!$A$1,0,0,COUNTA([2]quests!$A:$A),MATCH(C$1,[2]quests!$1:$1,0)-MATCH($B$1,[2]quests!$1:$1,0)+1),MATCH(C$1,[2]quests!$1:$1,0)-MATCH($B$1,[2]quests!$1:$1,0)+1,FALSE)</f>
        <v>ペインター・オブ・ラブ</v>
      </c>
      <c r="D40" s="83" t="str">
        <f ca="1">VLOOKUP($B40,OFFSET([2]quests!$A$1,0,0,COUNTA([2]quests!$A:$A),MATCH(D$1,[2]quests!$1:$1,0)-MATCH($B$1,[2]quests!$1:$1,0)+1),MATCH(D$1,[2]quests!$1:$1,0)-MATCH($B$1,[2]quests!$1:$1,0)+1,FALSE)</f>
        <v>画家シリーズ01</v>
      </c>
      <c r="E40" s="86">
        <v>2</v>
      </c>
      <c r="F40" s="83" t="str">
        <f ca="1">VLOOKUP($B40&amp;"_"&amp;$E40,OFFSET([2]stages!$A$1,0,0,COUNTA([2]stages!$A:$A),MATCH(F$1,[2]stages!$2:$2,0)-MATCH("temp_stage",[2]stages!$2:$2,0)+1),MATCH(F$1,[2]stages!$2:$2,0)-MATCH("temp_stage",[2]stages!$2:$2,0)+1,FALSE)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40" s="83" t="str">
        <f ca="1">VLOOKUP($B40&amp;"_"&amp;$E40,OFFSET([2]stages!$A$1,0,0,COUNTA([2]stages!$A:$A),MATCH(G$1,[2]stages!$2:$2,0)-MATCH("temp_stage",[2]stages!$2:$2,0)+1),MATCH(G$1,[2]stages!$2:$2,0)-MATCH("temp_stage",[2]stages!$2:$2,0)+1,FALSE)</f>
        <v>画家シリーズ01</v>
      </c>
      <c r="H40" s="85">
        <v>0</v>
      </c>
      <c r="I40">
        <v>17</v>
      </c>
      <c r="J40" s="84" t="s">
        <v>198</v>
      </c>
      <c r="K40" s="91" t="str">
        <f>VLOOKUP(I40,[7]stage_hints!$A:$C,3,FALSE)</f>
        <v>リンクガチャ</v>
      </c>
      <c r="L40" s="92" t="str">
        <f>VLOOKUP(I40,[7]stage_hints!$A:$D,4,FALSE)</f>
        <v>無料のリンクガチャを回して_x000D_経験値素材や売却素材を獲得しましょう</v>
      </c>
      <c r="M40" s="57" t="s">
        <v>211</v>
      </c>
    </row>
    <row r="41" spans="1:13" x14ac:dyDescent="0.15">
      <c r="A41" s="81" t="s">
        <v>201</v>
      </c>
      <c r="B41" s="82">
        <f>floors!$C$2</f>
        <v>20021</v>
      </c>
      <c r="C41" s="83" t="str">
        <f ca="1">VLOOKUP($B41,OFFSET([2]quests!$A$1,0,0,COUNTA([2]quests!$A:$A),MATCH(C$1,[2]quests!$1:$1,0)-MATCH($B$1,[2]quests!$1:$1,0)+1),MATCH(C$1,[2]quests!$1:$1,0)-MATCH($B$1,[2]quests!$1:$1,0)+1,FALSE)</f>
        <v>ペインター・オブ・ラブ</v>
      </c>
      <c r="D41" s="83" t="str">
        <f ca="1">VLOOKUP($B41,OFFSET([2]quests!$A$1,0,0,COUNTA([2]quests!$A:$A),MATCH(D$1,[2]quests!$1:$1,0)-MATCH($B$1,[2]quests!$1:$1,0)+1),MATCH(D$1,[2]quests!$1:$1,0)-MATCH($B$1,[2]quests!$1:$1,0)+1,FALSE)</f>
        <v>画家シリーズ01</v>
      </c>
      <c r="E41" s="86">
        <v>2</v>
      </c>
      <c r="F41" s="83" t="str">
        <f ca="1">VLOOKUP($B41&amp;"_"&amp;$E41,OFFSET([2]stages!$A$1,0,0,COUNTA([2]stages!$A:$A),MATCH(F$1,[2]stages!$2:$2,0)-MATCH("temp_stage",[2]stages!$2:$2,0)+1),MATCH(F$1,[2]stages!$2:$2,0)-MATCH("temp_stage",[2]stages!$2:$2,0)+1,FALSE)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41" s="83" t="str">
        <f ca="1">VLOOKUP($B41&amp;"_"&amp;$E41,OFFSET([2]stages!$A$1,0,0,COUNTA([2]stages!$A:$A),MATCH(G$1,[2]stages!$2:$2,0)-MATCH("temp_stage",[2]stages!$2:$2,0)+1),MATCH(G$1,[2]stages!$2:$2,0)-MATCH("temp_stage",[2]stages!$2:$2,0)+1,FALSE)</f>
        <v>画家シリーズ01</v>
      </c>
      <c r="H41" s="85">
        <v>0</v>
      </c>
      <c r="I41">
        <v>18</v>
      </c>
      <c r="J41" s="84" t="s">
        <v>198</v>
      </c>
      <c r="K41" s="91" t="str">
        <f>VLOOKUP(I41,[7]stage_hints!$A:$C,3,FALSE)</f>
        <v>マルチプレイのメリット（その2）</v>
      </c>
      <c r="L41" s="92" t="str">
        <f>VLOOKUP(I41,[7]stage_hints!$A:$D,4,FALSE)</f>
        <v>マルチプレイならリンクが2倍もらえます_x000D_リンクガチャをたくさん回しましょう</v>
      </c>
      <c r="M41" s="57" t="s">
        <v>211</v>
      </c>
    </row>
    <row r="42" spans="1:13" x14ac:dyDescent="0.15">
      <c r="A42" s="81" t="s">
        <v>201</v>
      </c>
      <c r="B42" s="82">
        <f>floors!$C$2</f>
        <v>20021</v>
      </c>
      <c r="C42" s="83" t="str">
        <f ca="1">VLOOKUP($B42,OFFSET([2]quests!$A$1,0,0,COUNTA([2]quests!$A:$A),MATCH(C$1,[2]quests!$1:$1,0)-MATCH($B$1,[2]quests!$1:$1,0)+1),MATCH(C$1,[2]quests!$1:$1,0)-MATCH($B$1,[2]quests!$1:$1,0)+1,FALSE)</f>
        <v>ペインター・オブ・ラブ</v>
      </c>
      <c r="D42" s="83" t="str">
        <f ca="1">VLOOKUP($B42,OFFSET([2]quests!$A$1,0,0,COUNTA([2]quests!$A:$A),MATCH(D$1,[2]quests!$1:$1,0)-MATCH($B$1,[2]quests!$1:$1,0)+1),MATCH(D$1,[2]quests!$1:$1,0)-MATCH($B$1,[2]quests!$1:$1,0)+1,FALSE)</f>
        <v>画家シリーズ01</v>
      </c>
      <c r="E42" s="86">
        <v>2</v>
      </c>
      <c r="F42" s="83" t="str">
        <f ca="1">VLOOKUP($B42&amp;"_"&amp;$E42,OFFSET([2]stages!$A$1,0,0,COUNTA([2]stages!$A:$A),MATCH(F$1,[2]stages!$2:$2,0)-MATCH("temp_stage",[2]stages!$2:$2,0)+1),MATCH(F$1,[2]stages!$2:$2,0)-MATCH("temp_stage",[2]stages!$2:$2,0)+1,FALSE)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42" s="83" t="str">
        <f ca="1">VLOOKUP($B42&amp;"_"&amp;$E42,OFFSET([2]stages!$A$1,0,0,COUNTA([2]stages!$A:$A),MATCH(G$1,[2]stages!$2:$2,0)-MATCH("temp_stage",[2]stages!$2:$2,0)+1),MATCH(G$1,[2]stages!$2:$2,0)-MATCH("temp_stage",[2]stages!$2:$2,0)+1,FALSE)</f>
        <v>画家シリーズ01</v>
      </c>
      <c r="H42" s="85">
        <v>0</v>
      </c>
      <c r="I42">
        <v>19</v>
      </c>
      <c r="J42" s="84" t="s">
        <v>198</v>
      </c>
      <c r="K42" s="91" t="str">
        <f>VLOOKUP(I42,[7]stage_hints!$A:$C,3,FALSE)</f>
        <v>ソロ専用タワーオブザクイーン</v>
      </c>
      <c r="L42" s="92" t="str">
        <f>VLOOKUP(I42,[7]stage_hints!$A:$D,4,FALSE)</f>
        <v>ソロ専用の「タワーオブザクイーン」は_x000D_期間限定で定期的に開催されます_x000D_ここでしか獲得できない報酬もあるようです</v>
      </c>
      <c r="M42" s="57" t="s">
        <v>211</v>
      </c>
    </row>
    <row r="43" spans="1:13" x14ac:dyDescent="0.15">
      <c r="A43" s="81" t="s">
        <v>201</v>
      </c>
      <c r="B43" s="82">
        <f>floors!$C$2</f>
        <v>20021</v>
      </c>
      <c r="C43" s="83" t="str">
        <f ca="1">VLOOKUP($B43,OFFSET([2]quests!$A$1,0,0,COUNTA([2]quests!$A:$A),MATCH(C$1,[2]quests!$1:$1,0)-MATCH($B$1,[2]quests!$1:$1,0)+1),MATCH(C$1,[2]quests!$1:$1,0)-MATCH($B$1,[2]quests!$1:$1,0)+1,FALSE)</f>
        <v>ペインター・オブ・ラブ</v>
      </c>
      <c r="D43" s="83" t="str">
        <f ca="1">VLOOKUP($B43,OFFSET([2]quests!$A$1,0,0,COUNTA([2]quests!$A:$A),MATCH(D$1,[2]quests!$1:$1,0)-MATCH($B$1,[2]quests!$1:$1,0)+1),MATCH(D$1,[2]quests!$1:$1,0)-MATCH($B$1,[2]quests!$1:$1,0)+1,FALSE)</f>
        <v>画家シリーズ01</v>
      </c>
      <c r="E43" s="86">
        <v>2</v>
      </c>
      <c r="F43" s="83" t="str">
        <f ca="1">VLOOKUP($B43&amp;"_"&amp;$E43,OFFSET([2]stages!$A$1,0,0,COUNTA([2]stages!$A:$A),MATCH(F$1,[2]stages!$2:$2,0)-MATCH("temp_stage",[2]stages!$2:$2,0)+1),MATCH(F$1,[2]stages!$2:$2,0)-MATCH("temp_stage",[2]stages!$2:$2,0)+1,FALSE)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43" s="83" t="str">
        <f ca="1">VLOOKUP($B43&amp;"_"&amp;$E43,OFFSET([2]stages!$A$1,0,0,COUNTA([2]stages!$A:$A),MATCH(G$1,[2]stages!$2:$2,0)-MATCH("temp_stage",[2]stages!$2:$2,0)+1),MATCH(G$1,[2]stages!$2:$2,0)-MATCH("temp_stage",[2]stages!$2:$2,0)+1,FALSE)</f>
        <v>画家シリーズ01</v>
      </c>
      <c r="H43" s="85">
        <v>0</v>
      </c>
      <c r="I43">
        <v>20</v>
      </c>
      <c r="J43" s="84" t="s">
        <v>198</v>
      </c>
      <c r="K43" s="91" t="str">
        <f>VLOOKUP(I43,[7]stage_hints!$A:$C,3,FALSE)</f>
        <v>マルチプレイのメリット（その3）</v>
      </c>
      <c r="L43" s="92" t="str">
        <f>VLOOKUP(I43,[7]stage_hints!$A:$D,4,FALSE)</f>
        <v>マルチプレイへの参加はエナジー消費ゼロ_x000D_いつでも好きなだけ遊ぶことができます</v>
      </c>
      <c r="M43" s="57" t="s">
        <v>211</v>
      </c>
    </row>
    <row r="44" spans="1:13" x14ac:dyDescent="0.15">
      <c r="A44" s="81" t="s">
        <v>201</v>
      </c>
      <c r="B44" s="82">
        <f>floors!$C$2</f>
        <v>20021</v>
      </c>
      <c r="C44" s="83" t="str">
        <f ca="1">VLOOKUP($B44,OFFSET([2]quests!$A$1,0,0,COUNTA([2]quests!$A:$A),MATCH(C$1,[2]quests!$1:$1,0)-MATCH($B$1,[2]quests!$1:$1,0)+1),MATCH(C$1,[2]quests!$1:$1,0)-MATCH($B$1,[2]quests!$1:$1,0)+1,FALSE)</f>
        <v>ペインター・オブ・ラブ</v>
      </c>
      <c r="D44" s="83" t="str">
        <f ca="1">VLOOKUP($B44,OFFSET([2]quests!$A$1,0,0,COUNTA([2]quests!$A:$A),MATCH(D$1,[2]quests!$1:$1,0)-MATCH($B$1,[2]quests!$1:$1,0)+1),MATCH(D$1,[2]quests!$1:$1,0)-MATCH($B$1,[2]quests!$1:$1,0)+1,FALSE)</f>
        <v>画家シリーズ01</v>
      </c>
      <c r="E44" s="86">
        <v>2</v>
      </c>
      <c r="F44" s="83" t="str">
        <f ca="1">VLOOKUP($B44&amp;"_"&amp;$E44,OFFSET([2]stages!$A$1,0,0,COUNTA([2]stages!$A:$A),MATCH(F$1,[2]stages!$2:$2,0)-MATCH("temp_stage",[2]stages!$2:$2,0)+1),MATCH(F$1,[2]stages!$2:$2,0)-MATCH("temp_stage",[2]stages!$2:$2,0)+1,FALSE)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44" s="83" t="str">
        <f ca="1">VLOOKUP($B44&amp;"_"&amp;$E44,OFFSET([2]stages!$A$1,0,0,COUNTA([2]stages!$A:$A),MATCH(G$1,[2]stages!$2:$2,0)-MATCH("temp_stage",[2]stages!$2:$2,0)+1),MATCH(G$1,[2]stages!$2:$2,0)-MATCH("temp_stage",[2]stages!$2:$2,0)+1,FALSE)</f>
        <v>画家シリーズ01</v>
      </c>
      <c r="H44" s="85">
        <v>0</v>
      </c>
      <c r="I44">
        <v>21</v>
      </c>
      <c r="J44" s="84" t="s">
        <v>198</v>
      </c>
      <c r="K44" s="91" t="str">
        <f>VLOOKUP(I44,[7]stage_hints!$A:$C,3,FALSE)</f>
        <v>スキルを有効に</v>
      </c>
      <c r="L44" s="92" t="str">
        <f>VLOOKUP(I44,[7]stage_hints!$A:$D,4,FALSE)</f>
        <v>ターン経過でユニットのスキルが使えます_x000D_強力スキルでバトルを有利に進めましょう</v>
      </c>
      <c r="M44" s="57" t="s">
        <v>211</v>
      </c>
    </row>
    <row r="45" spans="1:13" x14ac:dyDescent="0.15">
      <c r="A45" s="81" t="s">
        <v>201</v>
      </c>
      <c r="B45" s="82">
        <f>floors!$C$2</f>
        <v>20021</v>
      </c>
      <c r="C45" s="83" t="str">
        <f ca="1">VLOOKUP($B45,OFFSET([2]quests!$A$1,0,0,COUNTA([2]quests!$A:$A),MATCH(C$1,[2]quests!$1:$1,0)-MATCH($B$1,[2]quests!$1:$1,0)+1),MATCH(C$1,[2]quests!$1:$1,0)-MATCH($B$1,[2]quests!$1:$1,0)+1,FALSE)</f>
        <v>ペインター・オブ・ラブ</v>
      </c>
      <c r="D45" s="83" t="str">
        <f ca="1">VLOOKUP($B45,OFFSET([2]quests!$A$1,0,0,COUNTA([2]quests!$A:$A),MATCH(D$1,[2]quests!$1:$1,0)-MATCH($B$1,[2]quests!$1:$1,0)+1),MATCH(D$1,[2]quests!$1:$1,0)-MATCH($B$1,[2]quests!$1:$1,0)+1,FALSE)</f>
        <v>画家シリーズ01</v>
      </c>
      <c r="E45" s="86">
        <v>2</v>
      </c>
      <c r="F45" s="83" t="str">
        <f ca="1">VLOOKUP($B45&amp;"_"&amp;$E45,OFFSET([2]stages!$A$1,0,0,COUNTA([2]stages!$A:$A),MATCH(F$1,[2]stages!$2:$2,0)-MATCH("temp_stage",[2]stages!$2:$2,0)+1),MATCH(F$1,[2]stages!$2:$2,0)-MATCH("temp_stage",[2]stages!$2:$2,0)+1,FALSE)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45" s="83" t="str">
        <f ca="1">VLOOKUP($B45&amp;"_"&amp;$E45,OFFSET([2]stages!$A$1,0,0,COUNTA([2]stages!$A:$A),MATCH(G$1,[2]stages!$2:$2,0)-MATCH("temp_stage",[2]stages!$2:$2,0)+1),MATCH(G$1,[2]stages!$2:$2,0)-MATCH("temp_stage",[2]stages!$2:$2,0)+1,FALSE)</f>
        <v>画家シリーズ01</v>
      </c>
      <c r="H45" s="85">
        <v>0</v>
      </c>
      <c r="I45">
        <v>22</v>
      </c>
      <c r="J45" s="84" t="s">
        <v>198</v>
      </c>
      <c r="K45" s="91" t="str">
        <f>VLOOKUP(I45,[7]stage_hints!$A:$C,3,FALSE)</f>
        <v>フィーバーで一発逆転（その1）</v>
      </c>
      <c r="L45" s="92" t="str">
        <f>VLOOKUP(I45,[7]stage_hints!$A:$D,4,FALSE)</f>
        <v>フィーバーは攻撃と回復を兼ね備えます_x000D_ピンチからの一発逆転を狙いましょう</v>
      </c>
      <c r="M45" s="57" t="s">
        <v>211</v>
      </c>
    </row>
    <row r="46" spans="1:13" x14ac:dyDescent="0.15">
      <c r="A46" s="81" t="s">
        <v>201</v>
      </c>
      <c r="B46" s="82">
        <f>floors!$C$2</f>
        <v>20021</v>
      </c>
      <c r="C46" s="83" t="str">
        <f ca="1">VLOOKUP($B46,OFFSET([2]quests!$A$1,0,0,COUNTA([2]quests!$A:$A),MATCH(C$1,[2]quests!$1:$1,0)-MATCH($B$1,[2]quests!$1:$1,0)+1),MATCH(C$1,[2]quests!$1:$1,0)-MATCH($B$1,[2]quests!$1:$1,0)+1,FALSE)</f>
        <v>ペインター・オブ・ラブ</v>
      </c>
      <c r="D46" s="83" t="str">
        <f ca="1">VLOOKUP($B46,OFFSET([2]quests!$A$1,0,0,COUNTA([2]quests!$A:$A),MATCH(D$1,[2]quests!$1:$1,0)-MATCH($B$1,[2]quests!$1:$1,0)+1),MATCH(D$1,[2]quests!$1:$1,0)-MATCH($B$1,[2]quests!$1:$1,0)+1,FALSE)</f>
        <v>画家シリーズ01</v>
      </c>
      <c r="E46" s="86">
        <v>2</v>
      </c>
      <c r="F46" s="83" t="str">
        <f ca="1">VLOOKUP($B46&amp;"_"&amp;$E46,OFFSET([2]stages!$A$1,0,0,COUNTA([2]stages!$A:$A),MATCH(F$1,[2]stages!$2:$2,0)-MATCH("temp_stage",[2]stages!$2:$2,0)+1),MATCH(F$1,[2]stages!$2:$2,0)-MATCH("temp_stage",[2]stages!$2:$2,0)+1,FALSE)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46" s="83" t="str">
        <f ca="1">VLOOKUP($B46&amp;"_"&amp;$E46,OFFSET([2]stages!$A$1,0,0,COUNTA([2]stages!$A:$A),MATCH(G$1,[2]stages!$2:$2,0)-MATCH("temp_stage",[2]stages!$2:$2,0)+1),MATCH(G$1,[2]stages!$2:$2,0)-MATCH("temp_stage",[2]stages!$2:$2,0)+1,FALSE)</f>
        <v>画家シリーズ01</v>
      </c>
      <c r="H46" s="85">
        <v>0</v>
      </c>
      <c r="I46">
        <v>23</v>
      </c>
      <c r="J46" s="84" t="s">
        <v>198</v>
      </c>
      <c r="K46" s="91" t="str">
        <f>VLOOKUP(I46,[7]stage_hints!$A:$C,3,FALSE)</f>
        <v>フィーバーで一発逆転（その2）</v>
      </c>
      <c r="L46" s="92" t="str">
        <f>VLOOKUP(I46,[7]stage_hints!$A:$D,4,FALSE)</f>
        <v>フィーバー中は虹色のボムパネルを狙って_x000D_画面上のパネルを一気に破壊しましょう</v>
      </c>
      <c r="M46" s="57" t="s">
        <v>211</v>
      </c>
    </row>
    <row r="47" spans="1:13" x14ac:dyDescent="0.15">
      <c r="A47" s="81" t="s">
        <v>201</v>
      </c>
      <c r="B47" s="82">
        <f>floors!$C$2</f>
        <v>20021</v>
      </c>
      <c r="C47" s="83" t="str">
        <f ca="1">VLOOKUP($B47,OFFSET([2]quests!$A$1,0,0,COUNTA([2]quests!$A:$A),MATCH(C$1,[2]quests!$1:$1,0)-MATCH($B$1,[2]quests!$1:$1,0)+1),MATCH(C$1,[2]quests!$1:$1,0)-MATCH($B$1,[2]quests!$1:$1,0)+1,FALSE)</f>
        <v>ペインター・オブ・ラブ</v>
      </c>
      <c r="D47" s="83" t="str">
        <f ca="1">VLOOKUP($B47,OFFSET([2]quests!$A$1,0,0,COUNTA([2]quests!$A:$A),MATCH(D$1,[2]quests!$1:$1,0)-MATCH($B$1,[2]quests!$1:$1,0)+1),MATCH(D$1,[2]quests!$1:$1,0)-MATCH($B$1,[2]quests!$1:$1,0)+1,FALSE)</f>
        <v>画家シリーズ01</v>
      </c>
      <c r="E47" s="86">
        <v>2</v>
      </c>
      <c r="F47" s="83" t="str">
        <f ca="1">VLOOKUP($B47&amp;"_"&amp;$E47,OFFSET([2]stages!$A$1,0,0,COUNTA([2]stages!$A:$A),MATCH(F$1,[2]stages!$2:$2,0)-MATCH("temp_stage",[2]stages!$2:$2,0)+1),MATCH(F$1,[2]stages!$2:$2,0)-MATCH("temp_stage",[2]stages!$2:$2,0)+1,FALSE)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47" s="83" t="str">
        <f ca="1">VLOOKUP($B47&amp;"_"&amp;$E47,OFFSET([2]stages!$A$1,0,0,COUNTA([2]stages!$A:$A),MATCH(G$1,[2]stages!$2:$2,0)-MATCH("temp_stage",[2]stages!$2:$2,0)+1),MATCH(G$1,[2]stages!$2:$2,0)-MATCH("temp_stage",[2]stages!$2:$2,0)+1,FALSE)</f>
        <v>画家シリーズ01</v>
      </c>
      <c r="H47" s="85">
        <v>0</v>
      </c>
      <c r="I47">
        <v>24</v>
      </c>
      <c r="J47" s="84" t="s">
        <v>198</v>
      </c>
      <c r="K47" s="91" t="str">
        <f>VLOOKUP(I47,[7]stage_hints!$A:$C,3,FALSE)</f>
        <v>果実を使って限界突破</v>
      </c>
      <c r="L47" s="92" t="str">
        <f>VLOOKUP(I47,[7]stage_hints!$A:$D,4,FALSE)</f>
        <v>攻めの果実 癒しの果実_x000D_生命の果実をユニット強化に使うと_x000D_ステータスが限界突破します（計99個迄）</v>
      </c>
      <c r="M47" s="57" t="s">
        <v>211</v>
      </c>
    </row>
    <row r="48" spans="1:13" x14ac:dyDescent="0.15">
      <c r="A48" s="81" t="s">
        <v>201</v>
      </c>
      <c r="B48" s="82">
        <f>floors!$C$2</f>
        <v>20021</v>
      </c>
      <c r="C48" s="83" t="str">
        <f ca="1">VLOOKUP($B48,OFFSET([2]quests!$A$1,0,0,COUNTA([2]quests!$A:$A),MATCH(C$1,[2]quests!$1:$1,0)-MATCH($B$1,[2]quests!$1:$1,0)+1),MATCH(C$1,[2]quests!$1:$1,0)-MATCH($B$1,[2]quests!$1:$1,0)+1,FALSE)</f>
        <v>ペインター・オブ・ラブ</v>
      </c>
      <c r="D48" s="83" t="str">
        <f ca="1">VLOOKUP($B48,OFFSET([2]quests!$A$1,0,0,COUNTA([2]quests!$A:$A),MATCH(D$1,[2]quests!$1:$1,0)-MATCH($B$1,[2]quests!$1:$1,0)+1),MATCH(D$1,[2]quests!$1:$1,0)-MATCH($B$1,[2]quests!$1:$1,0)+1,FALSE)</f>
        <v>画家シリーズ01</v>
      </c>
      <c r="E48" s="86">
        <v>2</v>
      </c>
      <c r="F48" s="83" t="str">
        <f ca="1">VLOOKUP($B48&amp;"_"&amp;$E48,OFFSET([2]stages!$A$1,0,0,COUNTA([2]stages!$A:$A),MATCH(F$1,[2]stages!$2:$2,0)-MATCH("temp_stage",[2]stages!$2:$2,0)+1),MATCH(F$1,[2]stages!$2:$2,0)-MATCH("temp_stage",[2]stages!$2:$2,0)+1,FALSE)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48" s="83" t="str">
        <f ca="1">VLOOKUP($B48&amp;"_"&amp;$E48,OFFSET([2]stages!$A$1,0,0,COUNTA([2]stages!$A:$A),MATCH(G$1,[2]stages!$2:$2,0)-MATCH("temp_stage",[2]stages!$2:$2,0)+1),MATCH(G$1,[2]stages!$2:$2,0)-MATCH("temp_stage",[2]stages!$2:$2,0)+1,FALSE)</f>
        <v>画家シリーズ01</v>
      </c>
      <c r="H48" s="85">
        <v>0</v>
      </c>
      <c r="I48">
        <v>25</v>
      </c>
      <c r="J48" s="84" t="s">
        <v>198</v>
      </c>
      <c r="K48" s="91" t="str">
        <f>VLOOKUP(I48,[7]stage_hints!$A:$C,3,FALSE)</f>
        <v>スキルレベルアップ</v>
      </c>
      <c r="L48" s="92" t="str">
        <f>VLOOKUP(I48,[7]stage_hints!$A:$D,4,FALSE)</f>
        <v>「秘術の果実」を強化に使うと_x000D_スキルレベルを上げることができます</v>
      </c>
      <c r="M48" s="57" t="s">
        <v>211</v>
      </c>
    </row>
    <row r="49" spans="1:13" x14ac:dyDescent="0.15">
      <c r="A49" s="81" t="s">
        <v>201</v>
      </c>
      <c r="B49" s="82">
        <f>floors!$C$2</f>
        <v>20021</v>
      </c>
      <c r="C49" s="83" t="str">
        <f ca="1">VLOOKUP($B49,OFFSET([2]quests!$A$1,0,0,COUNTA([2]quests!$A:$A),MATCH(C$1,[2]quests!$1:$1,0)-MATCH($B$1,[2]quests!$1:$1,0)+1),MATCH(C$1,[2]quests!$1:$1,0)-MATCH($B$1,[2]quests!$1:$1,0)+1,FALSE)</f>
        <v>ペインター・オブ・ラブ</v>
      </c>
      <c r="D49" s="83" t="str">
        <f ca="1">VLOOKUP($B49,OFFSET([2]quests!$A$1,0,0,COUNTA([2]quests!$A:$A),MATCH(D$1,[2]quests!$1:$1,0)-MATCH($B$1,[2]quests!$1:$1,0)+1),MATCH(D$1,[2]quests!$1:$1,0)-MATCH($B$1,[2]quests!$1:$1,0)+1,FALSE)</f>
        <v>画家シリーズ01</v>
      </c>
      <c r="E49" s="86">
        <v>2</v>
      </c>
      <c r="F49" s="83" t="str">
        <f ca="1">VLOOKUP($B49&amp;"_"&amp;$E49,OFFSET([2]stages!$A$1,0,0,COUNTA([2]stages!$A:$A),MATCH(F$1,[2]stages!$2:$2,0)-MATCH("temp_stage",[2]stages!$2:$2,0)+1),MATCH(F$1,[2]stages!$2:$2,0)-MATCH("temp_stage",[2]stages!$2:$2,0)+1,FALSE)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49" s="83" t="str">
        <f ca="1">VLOOKUP($B49&amp;"_"&amp;$E49,OFFSET([2]stages!$A$1,0,0,COUNTA([2]stages!$A:$A),MATCH(G$1,[2]stages!$2:$2,0)-MATCH("temp_stage",[2]stages!$2:$2,0)+1),MATCH(G$1,[2]stages!$2:$2,0)-MATCH("temp_stage",[2]stages!$2:$2,0)+1,FALSE)</f>
        <v>画家シリーズ01</v>
      </c>
      <c r="H49" s="85">
        <v>0</v>
      </c>
      <c r="I49">
        <v>26</v>
      </c>
      <c r="J49" s="84" t="s">
        <v>198</v>
      </c>
      <c r="K49" s="91" t="str">
        <f>VLOOKUP(I49,[7]stage_hints!$A:$C,3,FALSE)</f>
        <v>スキルレベルの効果</v>
      </c>
      <c r="L49" s="92" t="str">
        <f>VLOOKUP(I49,[7]stage_hints!$A:$D,4,FALSE)</f>
        <v>スキルレベルが上がると_x000D_短いターンでスキルを使うことができます</v>
      </c>
      <c r="M49" s="57" t="s">
        <v>211</v>
      </c>
    </row>
    <row r="50" spans="1:13" x14ac:dyDescent="0.15">
      <c r="A50" s="81" t="s">
        <v>201</v>
      </c>
      <c r="B50" s="82">
        <f>floors!$C$2</f>
        <v>20021</v>
      </c>
      <c r="C50" s="83" t="str">
        <f ca="1">VLOOKUP($B50,OFFSET([2]quests!$A$1,0,0,COUNTA([2]quests!$A:$A),MATCH(C$1,[2]quests!$1:$1,0)-MATCH($B$1,[2]quests!$1:$1,0)+1),MATCH(C$1,[2]quests!$1:$1,0)-MATCH($B$1,[2]quests!$1:$1,0)+1,FALSE)</f>
        <v>ペインター・オブ・ラブ</v>
      </c>
      <c r="D50" s="83" t="str">
        <f ca="1">VLOOKUP($B50,OFFSET([2]quests!$A$1,0,0,COUNTA([2]quests!$A:$A),MATCH(D$1,[2]quests!$1:$1,0)-MATCH($B$1,[2]quests!$1:$1,0)+1),MATCH(D$1,[2]quests!$1:$1,0)-MATCH($B$1,[2]quests!$1:$1,0)+1,FALSE)</f>
        <v>画家シリーズ01</v>
      </c>
      <c r="E50" s="86">
        <v>2</v>
      </c>
      <c r="F50" s="83" t="str">
        <f ca="1">VLOOKUP($B50&amp;"_"&amp;$E50,OFFSET([2]stages!$A$1,0,0,COUNTA([2]stages!$A:$A),MATCH(F$1,[2]stages!$2:$2,0)-MATCH("temp_stage",[2]stages!$2:$2,0)+1),MATCH(F$1,[2]stages!$2:$2,0)-MATCH("temp_stage",[2]stages!$2:$2,0)+1,FALSE)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50" s="83" t="str">
        <f ca="1">VLOOKUP($B50&amp;"_"&amp;$E50,OFFSET([2]stages!$A$1,0,0,COUNTA([2]stages!$A:$A),MATCH(G$1,[2]stages!$2:$2,0)-MATCH("temp_stage",[2]stages!$2:$2,0)+1),MATCH(G$1,[2]stages!$2:$2,0)-MATCH("temp_stage",[2]stages!$2:$2,0)+1,FALSE)</f>
        <v>画家シリーズ01</v>
      </c>
      <c r="H50" s="85">
        <v>0</v>
      </c>
      <c r="I50">
        <v>27</v>
      </c>
      <c r="J50" s="84" t="s">
        <v>198</v>
      </c>
      <c r="K50" s="91" t="str">
        <f>VLOOKUP(I50,[7]stage_hints!$A:$C,3,FALSE)</f>
        <v>ホーム画面からデッキを編成</v>
      </c>
      <c r="L50" s="92" t="str">
        <f>VLOOKUP(I50,[7]stage_hints!$A:$D,4,FALSE)</f>
        <v>ホーム画面でユニットを長押しすると_x000D_すぐにパーティ編成に移動できます</v>
      </c>
      <c r="M50" s="57" t="s">
        <v>211</v>
      </c>
    </row>
    <row r="51" spans="1:13" x14ac:dyDescent="0.15">
      <c r="A51" s="81" t="s">
        <v>201</v>
      </c>
      <c r="B51" s="82">
        <f>floors!$C$2</f>
        <v>20021</v>
      </c>
      <c r="C51" s="83" t="str">
        <f ca="1">VLOOKUP($B51,OFFSET([2]quests!$A$1,0,0,COUNTA([2]quests!$A:$A),MATCH(C$1,[2]quests!$1:$1,0)-MATCH($B$1,[2]quests!$1:$1,0)+1),MATCH(C$1,[2]quests!$1:$1,0)-MATCH($B$1,[2]quests!$1:$1,0)+1,FALSE)</f>
        <v>ペインター・オブ・ラブ</v>
      </c>
      <c r="D51" s="83" t="str">
        <f ca="1">VLOOKUP($B51,OFFSET([2]quests!$A$1,0,0,COUNTA([2]quests!$A:$A),MATCH(D$1,[2]quests!$1:$1,0)-MATCH($B$1,[2]quests!$1:$1,0)+1),MATCH(D$1,[2]quests!$1:$1,0)-MATCH($B$1,[2]quests!$1:$1,0)+1,FALSE)</f>
        <v>画家シリーズ01</v>
      </c>
      <c r="E51" s="86">
        <v>2</v>
      </c>
      <c r="F51" s="83" t="str">
        <f ca="1">VLOOKUP($B51&amp;"_"&amp;$E51,OFFSET([2]stages!$A$1,0,0,COUNTA([2]stages!$A:$A),MATCH(F$1,[2]stages!$2:$2,0)-MATCH("temp_stage",[2]stages!$2:$2,0)+1),MATCH(F$1,[2]stages!$2:$2,0)-MATCH("temp_stage",[2]stages!$2:$2,0)+1,FALSE)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51" s="83" t="str">
        <f ca="1">VLOOKUP($B51&amp;"_"&amp;$E51,OFFSET([2]stages!$A$1,0,0,COUNTA([2]stages!$A:$A),MATCH(G$1,[2]stages!$2:$2,0)-MATCH("temp_stage",[2]stages!$2:$2,0)+1),MATCH(G$1,[2]stages!$2:$2,0)-MATCH("temp_stage",[2]stages!$2:$2,0)+1,FALSE)</f>
        <v>画家シリーズ01</v>
      </c>
      <c r="H51" s="85">
        <v>0</v>
      </c>
      <c r="I51">
        <v>28</v>
      </c>
      <c r="J51" s="84" t="s">
        <v>198</v>
      </c>
      <c r="K51" s="91" t="str">
        <f>VLOOKUP(I51,[7]stage_hints!$A:$C,3,FALSE)</f>
        <v>ステータス情報は長押しで</v>
      </c>
      <c r="L51" s="92" t="str">
        <f>VLOOKUP(I51,[7]stage_hints!$A:$D,4,FALSE)</f>
        <v>ユニットのアイコンを長押しすると_x000D_ステータス情報を確認することができます</v>
      </c>
      <c r="M51" s="57" t="s">
        <v>211</v>
      </c>
    </row>
    <row r="52" spans="1:13" x14ac:dyDescent="0.15">
      <c r="A52" s="81" t="s">
        <v>201</v>
      </c>
      <c r="B52" s="82">
        <f>floors!$C$2</f>
        <v>20021</v>
      </c>
      <c r="C52" s="83" t="str">
        <f ca="1">VLOOKUP($B52,OFFSET([2]quests!$A$1,0,0,COUNTA([2]quests!$A:$A),MATCH(C$1,[2]quests!$1:$1,0)-MATCH($B$1,[2]quests!$1:$1,0)+1),MATCH(C$1,[2]quests!$1:$1,0)-MATCH($B$1,[2]quests!$1:$1,0)+1,FALSE)</f>
        <v>ペインター・オブ・ラブ</v>
      </c>
      <c r="D52" s="83" t="str">
        <f ca="1">VLOOKUP($B52,OFFSET([2]quests!$A$1,0,0,COUNTA([2]quests!$A:$A),MATCH(D$1,[2]quests!$1:$1,0)-MATCH($B$1,[2]quests!$1:$1,0)+1),MATCH(D$1,[2]quests!$1:$1,0)-MATCH($B$1,[2]quests!$1:$1,0)+1,FALSE)</f>
        <v>画家シリーズ01</v>
      </c>
      <c r="E52" s="86">
        <v>2</v>
      </c>
      <c r="F52" s="83" t="str">
        <f ca="1">VLOOKUP($B52&amp;"_"&amp;$E52,OFFSET([2]stages!$A$1,0,0,COUNTA([2]stages!$A:$A),MATCH(F$1,[2]stages!$2:$2,0)-MATCH("temp_stage",[2]stages!$2:$2,0)+1),MATCH(F$1,[2]stages!$2:$2,0)-MATCH("temp_stage",[2]stages!$2:$2,0)+1,FALSE)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52" s="83" t="str">
        <f ca="1">VLOOKUP($B52&amp;"_"&amp;$E52,OFFSET([2]stages!$A$1,0,0,COUNTA([2]stages!$A:$A),MATCH(G$1,[2]stages!$2:$2,0)-MATCH("temp_stage",[2]stages!$2:$2,0)+1),MATCH(G$1,[2]stages!$2:$2,0)-MATCH("temp_stage",[2]stages!$2:$2,0)+1,FALSE)</f>
        <v>画家シリーズ01</v>
      </c>
      <c r="H52" s="85">
        <v>0</v>
      </c>
      <c r="I52">
        <v>29</v>
      </c>
      <c r="J52" s="84" t="s">
        <v>198</v>
      </c>
      <c r="K52" s="91" t="str">
        <f>VLOOKUP(I52,[7]stage_hints!$A:$C,3,FALSE)</f>
        <v>「バグ」のメリット</v>
      </c>
      <c r="L52" s="92" t="str">
        <f>VLOOKUP(I52,[7]stage_hints!$A:$D,4,FALSE)</f>
        <v>ユニットの「バグ」を増やすと_x000D_報酬をもらえる確率がアップします</v>
      </c>
      <c r="M52" s="57" t="s">
        <v>211</v>
      </c>
    </row>
    <row r="53" spans="1:13" x14ac:dyDescent="0.15">
      <c r="A53" s="81" t="s">
        <v>201</v>
      </c>
      <c r="B53" s="82">
        <f>floors!$C$2</f>
        <v>20021</v>
      </c>
      <c r="C53" s="83" t="str">
        <f ca="1">VLOOKUP($B53,OFFSET([2]quests!$A$1,0,0,COUNTA([2]quests!$A:$A),MATCH(C$1,[2]quests!$1:$1,0)-MATCH($B$1,[2]quests!$1:$1,0)+1),MATCH(C$1,[2]quests!$1:$1,0)-MATCH($B$1,[2]quests!$1:$1,0)+1,FALSE)</f>
        <v>ペインター・オブ・ラブ</v>
      </c>
      <c r="D53" s="83" t="str">
        <f ca="1">VLOOKUP($B53,OFFSET([2]quests!$A$1,0,0,COUNTA([2]quests!$A:$A),MATCH(D$1,[2]quests!$1:$1,0)-MATCH($B$1,[2]quests!$1:$1,0)+1),MATCH(D$1,[2]quests!$1:$1,0)-MATCH($B$1,[2]quests!$1:$1,0)+1,FALSE)</f>
        <v>画家シリーズ01</v>
      </c>
      <c r="E53" s="86">
        <v>2</v>
      </c>
      <c r="F53" s="83" t="str">
        <f ca="1">VLOOKUP($B53&amp;"_"&amp;$E53,OFFSET([2]stages!$A$1,0,0,COUNTA([2]stages!$A:$A),MATCH(F$1,[2]stages!$2:$2,0)-MATCH("temp_stage",[2]stages!$2:$2,0)+1),MATCH(F$1,[2]stages!$2:$2,0)-MATCH("temp_stage",[2]stages!$2:$2,0)+1,FALSE)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53" s="83" t="str">
        <f ca="1">VLOOKUP($B53&amp;"_"&amp;$E53,OFFSET([2]stages!$A$1,0,0,COUNTA([2]stages!$A:$A),MATCH(G$1,[2]stages!$2:$2,0)-MATCH("temp_stage",[2]stages!$2:$2,0)+1),MATCH(G$1,[2]stages!$2:$2,0)-MATCH("temp_stage",[2]stages!$2:$2,0)+1,FALSE)</f>
        <v>画家シリーズ01</v>
      </c>
      <c r="H53" s="85">
        <v>0</v>
      </c>
      <c r="I53">
        <v>30</v>
      </c>
      <c r="J53" s="84" t="s">
        <v>198</v>
      </c>
      <c r="K53" s="91" t="str">
        <f>VLOOKUP(I53,[7]stage_hints!$A:$C,3,FALSE)</f>
        <v>「バグ」の増やし方</v>
      </c>
      <c r="L53" s="92" t="str">
        <f>VLOOKUP(I53,[7]stage_hints!$A:$D,4,FALSE)</f>
        <v>同じユニット同士を強化で合成すると_x000D_「バグ」を増やすことができます</v>
      </c>
      <c r="M53" s="57" t="s">
        <v>211</v>
      </c>
    </row>
    <row r="54" spans="1:13" x14ac:dyDescent="0.15">
      <c r="A54" s="81" t="s">
        <v>201</v>
      </c>
      <c r="B54" s="82">
        <f>floors!$C$2</f>
        <v>20021</v>
      </c>
      <c r="C54" s="83" t="str">
        <f ca="1">VLOOKUP($B54,OFFSET([2]quests!$A$1,0,0,COUNTA([2]quests!$A:$A),MATCH(C$1,[2]quests!$1:$1,0)-MATCH($B$1,[2]quests!$1:$1,0)+1),MATCH(C$1,[2]quests!$1:$1,0)-MATCH($B$1,[2]quests!$1:$1,0)+1,FALSE)</f>
        <v>ペインター・オブ・ラブ</v>
      </c>
      <c r="D54" s="83" t="str">
        <f ca="1">VLOOKUP($B54,OFFSET([2]quests!$A$1,0,0,COUNTA([2]quests!$A:$A),MATCH(D$1,[2]quests!$1:$1,0)-MATCH($B$1,[2]quests!$1:$1,0)+1),MATCH(D$1,[2]quests!$1:$1,0)-MATCH($B$1,[2]quests!$1:$1,0)+1,FALSE)</f>
        <v>画家シリーズ01</v>
      </c>
      <c r="E54" s="86">
        <v>2</v>
      </c>
      <c r="F54" s="83" t="str">
        <f ca="1">VLOOKUP($B54&amp;"_"&amp;$E54,OFFSET([2]stages!$A$1,0,0,COUNTA([2]stages!$A:$A),MATCH(F$1,[2]stages!$2:$2,0)-MATCH("temp_stage",[2]stages!$2:$2,0)+1),MATCH(F$1,[2]stages!$2:$2,0)-MATCH("temp_stage",[2]stages!$2:$2,0)+1,FALSE)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54" s="83" t="str">
        <f ca="1">VLOOKUP($B54&amp;"_"&amp;$E54,OFFSET([2]stages!$A$1,0,0,COUNTA([2]stages!$A:$A),MATCH(G$1,[2]stages!$2:$2,0)-MATCH("temp_stage",[2]stages!$2:$2,0)+1),MATCH(G$1,[2]stages!$2:$2,0)-MATCH("temp_stage",[2]stages!$2:$2,0)+1,FALSE)</f>
        <v>画家シリーズ01</v>
      </c>
      <c r="H54" s="85">
        <v>0</v>
      </c>
      <c r="I54">
        <v>31</v>
      </c>
      <c r="J54" s="84" t="s">
        <v>198</v>
      </c>
      <c r="K54" s="91" t="str">
        <f>VLOOKUP(I54,[7]stage_hints!$A:$C,3,FALSE)</f>
        <v>イベントはお知らせでチェック</v>
      </c>
      <c r="L54" s="92" t="str">
        <f>VLOOKUP(I54,[7]stage_hints!$A:$D,4,FALSE)</f>
        <v>イベント限定ユニットを取り忘れないように_x000D_お知らせをこまめにチェックしましょう</v>
      </c>
      <c r="M54" s="57" t="s">
        <v>211</v>
      </c>
    </row>
    <row r="55" spans="1:13" x14ac:dyDescent="0.15">
      <c r="A55" s="81" t="s">
        <v>201</v>
      </c>
      <c r="B55" s="82">
        <f>floors!$C$2</f>
        <v>20021</v>
      </c>
      <c r="C55" s="83" t="str">
        <f ca="1">VLOOKUP($B55,OFFSET([2]quests!$A$1,0,0,COUNTA([2]quests!$A:$A),MATCH(C$1,[2]quests!$1:$1,0)-MATCH($B$1,[2]quests!$1:$1,0)+1),MATCH(C$1,[2]quests!$1:$1,0)-MATCH($B$1,[2]quests!$1:$1,0)+1,FALSE)</f>
        <v>ペインター・オブ・ラブ</v>
      </c>
      <c r="D55" s="83" t="str">
        <f ca="1">VLOOKUP($B55,OFFSET([2]quests!$A$1,0,0,COUNTA([2]quests!$A:$A),MATCH(D$1,[2]quests!$1:$1,0)-MATCH($B$1,[2]quests!$1:$1,0)+1),MATCH(D$1,[2]quests!$1:$1,0)-MATCH($B$1,[2]quests!$1:$1,0)+1,FALSE)</f>
        <v>画家シリーズ01</v>
      </c>
      <c r="E55" s="86">
        <v>2</v>
      </c>
      <c r="F55" s="83" t="str">
        <f ca="1">VLOOKUP($B55&amp;"_"&amp;$E55,OFFSET([2]stages!$A$1,0,0,COUNTA([2]stages!$A:$A),MATCH(F$1,[2]stages!$2:$2,0)-MATCH("temp_stage",[2]stages!$2:$2,0)+1),MATCH(F$1,[2]stages!$2:$2,0)-MATCH("temp_stage",[2]stages!$2:$2,0)+1,FALSE)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55" s="83" t="str">
        <f ca="1">VLOOKUP($B55&amp;"_"&amp;$E55,OFFSET([2]stages!$A$1,0,0,COUNTA([2]stages!$A:$A),MATCH(G$1,[2]stages!$2:$2,0)-MATCH("temp_stage",[2]stages!$2:$2,0)+1),MATCH(G$1,[2]stages!$2:$2,0)-MATCH("temp_stage",[2]stages!$2:$2,0)+1,FALSE)</f>
        <v>画家シリーズ01</v>
      </c>
      <c r="H55" s="85">
        <v>0</v>
      </c>
      <c r="I55">
        <v>32</v>
      </c>
      <c r="J55" s="84" t="s">
        <v>198</v>
      </c>
      <c r="K55" s="91" t="str">
        <f>VLOOKUP(I55,[7]stage_hints!$A:$C,3,FALSE)</f>
        <v>敵の連続攻撃には</v>
      </c>
      <c r="L55" s="92" t="str">
        <f>VLOOKUP(I55,[7]stage_hints!$A:$D,4,FALSE)</f>
        <v>カウンタースキルを持つユニットがいれば_x000D_ダメージ回数分の反撃ができます</v>
      </c>
      <c r="M55" s="57" t="s">
        <v>211</v>
      </c>
    </row>
    <row r="56" spans="1:13" x14ac:dyDescent="0.15">
      <c r="A56" s="81" t="s">
        <v>201</v>
      </c>
      <c r="B56" s="82">
        <f>floors!$C$2</f>
        <v>20021</v>
      </c>
      <c r="C56" s="83" t="str">
        <f ca="1">VLOOKUP($B56,OFFSET([2]quests!$A$1,0,0,COUNTA([2]quests!$A:$A),MATCH(C$1,[2]quests!$1:$1,0)-MATCH($B$1,[2]quests!$1:$1,0)+1),MATCH(C$1,[2]quests!$1:$1,0)-MATCH($B$1,[2]quests!$1:$1,0)+1,FALSE)</f>
        <v>ペインター・オブ・ラブ</v>
      </c>
      <c r="D56" s="83" t="str">
        <f ca="1">VLOOKUP($B56,OFFSET([2]quests!$A$1,0,0,COUNTA([2]quests!$A:$A),MATCH(D$1,[2]quests!$1:$1,0)-MATCH($B$1,[2]quests!$1:$1,0)+1),MATCH(D$1,[2]quests!$1:$1,0)-MATCH($B$1,[2]quests!$1:$1,0)+1,FALSE)</f>
        <v>画家シリーズ01</v>
      </c>
      <c r="E56" s="86">
        <v>2</v>
      </c>
      <c r="F56" s="83" t="str">
        <f ca="1">VLOOKUP($B56&amp;"_"&amp;$E56,OFFSET([2]stages!$A$1,0,0,COUNTA([2]stages!$A:$A),MATCH(F$1,[2]stages!$2:$2,0)-MATCH("temp_stage",[2]stages!$2:$2,0)+1),MATCH(F$1,[2]stages!$2:$2,0)-MATCH("temp_stage",[2]stages!$2:$2,0)+1,FALSE)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56" s="83" t="str">
        <f ca="1">VLOOKUP($B56&amp;"_"&amp;$E56,OFFSET([2]stages!$A$1,0,0,COUNTA([2]stages!$A:$A),MATCH(G$1,[2]stages!$2:$2,0)-MATCH("temp_stage",[2]stages!$2:$2,0)+1),MATCH(G$1,[2]stages!$2:$2,0)-MATCH("temp_stage",[2]stages!$2:$2,0)+1,FALSE)</f>
        <v>画家シリーズ01</v>
      </c>
      <c r="H56" s="85">
        <v>0</v>
      </c>
      <c r="I56">
        <v>33</v>
      </c>
      <c r="J56" s="84" t="s">
        <v>198</v>
      </c>
      <c r="K56" s="91" t="str">
        <f>VLOOKUP(I56,[7]stage_hints!$A:$C,3,FALSE)</f>
        <v>敵のカウンター攻撃には</v>
      </c>
      <c r="L56" s="92" t="str">
        <f>VLOOKUP(I56,[7]stage_hints!$A:$D,4,FALSE)</f>
        <v>カウンターブレイクスキルを持っていれば_x000D_敵のカウンターを解除して攻撃ができます</v>
      </c>
      <c r="M56" s="57" t="s">
        <v>211</v>
      </c>
    </row>
    <row r="57" spans="1:13" x14ac:dyDescent="0.15">
      <c r="A57" s="81" t="s">
        <v>201</v>
      </c>
      <c r="B57" s="82">
        <f>floors!$C$2</f>
        <v>20021</v>
      </c>
      <c r="C57" s="83" t="str">
        <f ca="1">VLOOKUP($B57,OFFSET([2]quests!$A$1,0,0,COUNTA([2]quests!$A:$A),MATCH(C$1,[2]quests!$1:$1,0)-MATCH($B$1,[2]quests!$1:$1,0)+1),MATCH(C$1,[2]quests!$1:$1,0)-MATCH($B$1,[2]quests!$1:$1,0)+1,FALSE)</f>
        <v>ペインター・オブ・ラブ</v>
      </c>
      <c r="D57" s="83" t="str">
        <f ca="1">VLOOKUP($B57,OFFSET([2]quests!$A$1,0,0,COUNTA([2]quests!$A:$A),MATCH(D$1,[2]quests!$1:$1,0)-MATCH($B$1,[2]quests!$1:$1,0)+1),MATCH(D$1,[2]quests!$1:$1,0)-MATCH($B$1,[2]quests!$1:$1,0)+1,FALSE)</f>
        <v>画家シリーズ01</v>
      </c>
      <c r="E57" s="86">
        <v>2</v>
      </c>
      <c r="F57" s="83" t="str">
        <f ca="1">VLOOKUP($B57&amp;"_"&amp;$E57,OFFSET([2]stages!$A$1,0,0,COUNTA([2]stages!$A:$A),MATCH(F$1,[2]stages!$2:$2,0)-MATCH("temp_stage",[2]stages!$2:$2,0)+1),MATCH(F$1,[2]stages!$2:$2,0)-MATCH("temp_stage",[2]stages!$2:$2,0)+1,FALSE)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57" s="83" t="str">
        <f ca="1">VLOOKUP($B57&amp;"_"&amp;$E57,OFFSET([2]stages!$A$1,0,0,COUNTA([2]stages!$A:$A),MATCH(G$1,[2]stages!$2:$2,0)-MATCH("temp_stage",[2]stages!$2:$2,0)+1),MATCH(G$1,[2]stages!$2:$2,0)-MATCH("temp_stage",[2]stages!$2:$2,0)+1,FALSE)</f>
        <v>画家シリーズ01</v>
      </c>
      <c r="H57" s="85">
        <v>0</v>
      </c>
      <c r="I57">
        <v>34</v>
      </c>
      <c r="J57" s="84" t="s">
        <v>198</v>
      </c>
      <c r="K57" s="91" t="str">
        <f>VLOOKUP(I57,[7]stage_hints!$A:$C,3,FALSE)</f>
        <v>ステータスをスキルで下げられたら</v>
      </c>
      <c r="L57" s="92" t="str">
        <f>VLOOKUP(I57,[7]stage_hints!$A:$D,4,FALSE)</f>
        <v>ステータスダウンのスキルを受けたら_x000D_ステータスアップスキルで上書きしましょう</v>
      </c>
      <c r="M57" s="57" t="s">
        <v>211</v>
      </c>
    </row>
    <row r="58" spans="1:13" x14ac:dyDescent="0.15">
      <c r="A58" s="81" t="s">
        <v>201</v>
      </c>
      <c r="B58" s="82">
        <f>floors!$C$2</f>
        <v>20021</v>
      </c>
      <c r="C58" s="83" t="str">
        <f ca="1">VLOOKUP($B58,OFFSET([2]quests!$A$1,0,0,COUNTA([2]quests!$A:$A),MATCH(C$1,[2]quests!$1:$1,0)-MATCH($B$1,[2]quests!$1:$1,0)+1),MATCH(C$1,[2]quests!$1:$1,0)-MATCH($B$1,[2]quests!$1:$1,0)+1,FALSE)</f>
        <v>ペインター・オブ・ラブ</v>
      </c>
      <c r="D58" s="83" t="str">
        <f ca="1">VLOOKUP($B58,OFFSET([2]quests!$A$1,0,0,COUNTA([2]quests!$A:$A),MATCH(D$1,[2]quests!$1:$1,0)-MATCH($B$1,[2]quests!$1:$1,0)+1),MATCH(D$1,[2]quests!$1:$1,0)-MATCH($B$1,[2]quests!$1:$1,0)+1,FALSE)</f>
        <v>画家シリーズ01</v>
      </c>
      <c r="E58" s="86">
        <v>2</v>
      </c>
      <c r="F58" s="83" t="str">
        <f ca="1">VLOOKUP($B58&amp;"_"&amp;$E58,OFFSET([2]stages!$A$1,0,0,COUNTA([2]stages!$A:$A),MATCH(F$1,[2]stages!$2:$2,0)-MATCH("temp_stage",[2]stages!$2:$2,0)+1),MATCH(F$1,[2]stages!$2:$2,0)-MATCH("temp_stage",[2]stages!$2:$2,0)+1,FALSE)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58" s="83" t="str">
        <f ca="1">VLOOKUP($B58&amp;"_"&amp;$E58,OFFSET([2]stages!$A$1,0,0,COUNTA([2]stages!$A:$A),MATCH(G$1,[2]stages!$2:$2,0)-MATCH("temp_stage",[2]stages!$2:$2,0)+1),MATCH(G$1,[2]stages!$2:$2,0)-MATCH("temp_stage",[2]stages!$2:$2,0)+1,FALSE)</f>
        <v>画家シリーズ01</v>
      </c>
      <c r="H58" s="85">
        <v>0</v>
      </c>
      <c r="I58">
        <v>35</v>
      </c>
      <c r="J58" s="84" t="s">
        <v>198</v>
      </c>
      <c r="K58" s="91" t="str">
        <f>VLOOKUP(I58,[7]stage_hints!$A:$C,3,FALSE)</f>
        <v>敵のステータスがスキルで上がったら</v>
      </c>
      <c r="L58" s="92" t="str">
        <f>VLOOKUP(I58,[7]stage_hints!$A:$D,4,FALSE)</f>
        <v>敵のステータスがスキルでアップしたときは_x000D_ステータスダウンスキルで上書きしましょう</v>
      </c>
      <c r="M58" s="57" t="s">
        <v>211</v>
      </c>
    </row>
    <row r="59" spans="1:13" x14ac:dyDescent="0.15">
      <c r="A59" s="81" t="s">
        <v>201</v>
      </c>
      <c r="B59" s="82">
        <f>floors!$C$2</f>
        <v>20021</v>
      </c>
      <c r="C59" s="83" t="str">
        <f ca="1">VLOOKUP($B59,OFFSET([2]quests!$A$1,0,0,COUNTA([2]quests!$A:$A),MATCH(C$1,[2]quests!$1:$1,0)-MATCH($B$1,[2]quests!$1:$1,0)+1),MATCH(C$1,[2]quests!$1:$1,0)-MATCH($B$1,[2]quests!$1:$1,0)+1,FALSE)</f>
        <v>ペインター・オブ・ラブ</v>
      </c>
      <c r="D59" s="83" t="str">
        <f ca="1">VLOOKUP($B59,OFFSET([2]quests!$A$1,0,0,COUNTA([2]quests!$A:$A),MATCH(D$1,[2]quests!$1:$1,0)-MATCH($B$1,[2]quests!$1:$1,0)+1),MATCH(D$1,[2]quests!$1:$1,0)-MATCH($B$1,[2]quests!$1:$1,0)+1,FALSE)</f>
        <v>画家シリーズ01</v>
      </c>
      <c r="E59" s="86">
        <v>2</v>
      </c>
      <c r="F59" s="83" t="str">
        <f ca="1">VLOOKUP($B59&amp;"_"&amp;$E59,OFFSET([2]stages!$A$1,0,0,COUNTA([2]stages!$A:$A),MATCH(F$1,[2]stages!$2:$2,0)-MATCH("temp_stage",[2]stages!$2:$2,0)+1),MATCH(F$1,[2]stages!$2:$2,0)-MATCH("temp_stage",[2]stages!$2:$2,0)+1,FALSE)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59" s="83" t="str">
        <f ca="1">VLOOKUP($B59&amp;"_"&amp;$E59,OFFSET([2]stages!$A$1,0,0,COUNTA([2]stages!$A:$A),MATCH(G$1,[2]stages!$2:$2,0)-MATCH("temp_stage",[2]stages!$2:$2,0)+1),MATCH(G$1,[2]stages!$2:$2,0)-MATCH("temp_stage",[2]stages!$2:$2,0)+1,FALSE)</f>
        <v>画家シリーズ01</v>
      </c>
      <c r="H59" s="85">
        <v>0</v>
      </c>
      <c r="I59">
        <v>39</v>
      </c>
      <c r="J59" s="84" t="s">
        <v>198</v>
      </c>
      <c r="K59" s="91" t="str">
        <f>VLOOKUP(I59,[7]stage_hints!$A:$C,3,FALSE)</f>
        <v>システム適合者を確認</v>
      </c>
      <c r="L59" s="92" t="str">
        <f>VLOOKUP(I59,[7]stage_hints!$A:$D,4,FALSE)</f>
        <v>ALICEが 「アナタ」を呼んでいます</v>
      </c>
      <c r="M59" s="57" t="s">
        <v>211</v>
      </c>
    </row>
    <row r="60" spans="1:13" x14ac:dyDescent="0.15">
      <c r="A60" s="81" t="s">
        <v>201</v>
      </c>
      <c r="B60" s="82">
        <f>floors!$C$2</f>
        <v>20021</v>
      </c>
      <c r="C60" s="83" t="str">
        <f ca="1">VLOOKUP($B60,OFFSET([2]quests!$A$1,0,0,COUNTA([2]quests!$A:$A),MATCH(C$1,[2]quests!$1:$1,0)-MATCH($B$1,[2]quests!$1:$1,0)+1),MATCH(C$1,[2]quests!$1:$1,0)-MATCH($B$1,[2]quests!$1:$1,0)+1,FALSE)</f>
        <v>ペインター・オブ・ラブ</v>
      </c>
      <c r="D60" s="83" t="str">
        <f ca="1">VLOOKUP($B60,OFFSET([2]quests!$A$1,0,0,COUNTA([2]quests!$A:$A),MATCH(D$1,[2]quests!$1:$1,0)-MATCH($B$1,[2]quests!$1:$1,0)+1),MATCH(D$1,[2]quests!$1:$1,0)-MATCH($B$1,[2]quests!$1:$1,0)+1,FALSE)</f>
        <v>画家シリーズ01</v>
      </c>
      <c r="E60" s="86">
        <v>3</v>
      </c>
      <c r="F60" s="83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60" s="83" t="str">
        <f ca="1">VLOOKUP($B60&amp;"_"&amp;$E60,OFFSET([2]stages!$A$1,0,0,COUNTA([2]stages!$A:$A),MATCH(G$1,[2]stages!$2:$2,0)-MATCH("temp_stage",[2]stages!$2:$2,0)+1),MATCH(G$1,[2]stages!$2:$2,0)-MATCH("temp_stage",[2]stages!$2:$2,0)+1,FALSE)</f>
        <v>画家シリーズ01</v>
      </c>
      <c r="H60" s="85">
        <v>0</v>
      </c>
      <c r="I60" s="94">
        <v>3</v>
      </c>
      <c r="J60" s="84" t="s">
        <v>198</v>
      </c>
      <c r="K60" s="91" t="str">
        <f>VLOOKUP(I60,[7]stage_hints!$A:$C,3,FALSE)</f>
        <v>ターゲット</v>
      </c>
      <c r="L60" s="92" t="str">
        <f>VLOOKUP(I60,[7]stage_hints!$A:$D,4,FALSE)</f>
        <v>敵ユニットをタップすると_x000D_その敵を狙い撃ちできます</v>
      </c>
      <c r="M60" s="57" t="s">
        <v>211</v>
      </c>
    </row>
    <row r="61" spans="1:13" x14ac:dyDescent="0.15">
      <c r="A61" s="81" t="s">
        <v>201</v>
      </c>
      <c r="B61" s="82">
        <f>floors!$C$2</f>
        <v>20021</v>
      </c>
      <c r="C61" s="83" t="str">
        <f ca="1">VLOOKUP($B61,OFFSET([2]quests!$A$1,0,0,COUNTA([2]quests!$A:$A),MATCH(C$1,[2]quests!$1:$1,0)-MATCH($B$1,[2]quests!$1:$1,0)+1),MATCH(C$1,[2]quests!$1:$1,0)-MATCH($B$1,[2]quests!$1:$1,0)+1,FALSE)</f>
        <v>ペインター・オブ・ラブ</v>
      </c>
      <c r="D61" s="83" t="str">
        <f ca="1">VLOOKUP($B61,OFFSET([2]quests!$A$1,0,0,COUNTA([2]quests!$A:$A),MATCH(D$1,[2]quests!$1:$1,0)-MATCH($B$1,[2]quests!$1:$1,0)+1),MATCH(D$1,[2]quests!$1:$1,0)-MATCH($B$1,[2]quests!$1:$1,0)+1,FALSE)</f>
        <v>画家シリーズ01</v>
      </c>
      <c r="E61" s="86">
        <v>3</v>
      </c>
      <c r="F61" s="83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61" s="83" t="str">
        <f ca="1">VLOOKUP($B61&amp;"_"&amp;$E61,OFFSET([2]stages!$A$1,0,0,COUNTA([2]stages!$A:$A),MATCH(G$1,[2]stages!$2:$2,0)-MATCH("temp_stage",[2]stages!$2:$2,0)+1),MATCH(G$1,[2]stages!$2:$2,0)-MATCH("temp_stage",[2]stages!$2:$2,0)+1,FALSE)</f>
        <v>画家シリーズ01</v>
      </c>
      <c r="H61" s="85">
        <v>0</v>
      </c>
      <c r="I61" s="94">
        <v>6</v>
      </c>
      <c r="J61" s="84" t="s">
        <v>198</v>
      </c>
      <c r="K61" s="91" t="str">
        <f>VLOOKUP(I61,[7]stage_hints!$A:$C,3,FALSE)</f>
        <v>ユニット強化の属性ボーナス</v>
      </c>
      <c r="L61" s="92" t="str">
        <f>VLOOKUP(I61,[7]stage_hints!$A:$D,4,FALSE)</f>
        <v>同属性ユニットを強化素材にすると_x000D_経験値が多くもらえます</v>
      </c>
      <c r="M61" s="57" t="s">
        <v>211</v>
      </c>
    </row>
    <row r="62" spans="1:13" x14ac:dyDescent="0.15">
      <c r="A62" s="81" t="s">
        <v>201</v>
      </c>
      <c r="B62" s="82">
        <f>floors!$C$2</f>
        <v>20021</v>
      </c>
      <c r="C62" s="83" t="str">
        <f ca="1">VLOOKUP($B62,OFFSET([2]quests!$A$1,0,0,COUNTA([2]quests!$A:$A),MATCH(C$1,[2]quests!$1:$1,0)-MATCH($B$1,[2]quests!$1:$1,0)+1),MATCH(C$1,[2]quests!$1:$1,0)-MATCH($B$1,[2]quests!$1:$1,0)+1,FALSE)</f>
        <v>ペインター・オブ・ラブ</v>
      </c>
      <c r="D62" s="83" t="str">
        <f ca="1">VLOOKUP($B62,OFFSET([2]quests!$A$1,0,0,COUNTA([2]quests!$A:$A),MATCH(D$1,[2]quests!$1:$1,0)-MATCH($B$1,[2]quests!$1:$1,0)+1),MATCH(D$1,[2]quests!$1:$1,0)-MATCH($B$1,[2]quests!$1:$1,0)+1,FALSE)</f>
        <v>画家シリーズ01</v>
      </c>
      <c r="E62" s="86">
        <v>3</v>
      </c>
      <c r="F62" s="83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62" s="83" t="str">
        <f ca="1">VLOOKUP($B62&amp;"_"&amp;$E62,OFFSET([2]stages!$A$1,0,0,COUNTA([2]stages!$A:$A),MATCH(G$1,[2]stages!$2:$2,0)-MATCH("temp_stage",[2]stages!$2:$2,0)+1),MATCH(G$1,[2]stages!$2:$2,0)-MATCH("temp_stage",[2]stages!$2:$2,0)+1,FALSE)</f>
        <v>画家シリーズ01</v>
      </c>
      <c r="H62" s="85">
        <v>0</v>
      </c>
      <c r="I62" s="94">
        <v>7</v>
      </c>
      <c r="J62" s="84" t="s">
        <v>198</v>
      </c>
      <c r="K62" s="91" t="str">
        <f>VLOOKUP(I62,[7]stage_hints!$A:$C,3,FALSE)</f>
        <v>メタルダックで経験値を獲得</v>
      </c>
      <c r="L62" s="92" t="str">
        <f>VLOOKUP(I62,[7]stage_hints!$A:$D,4,FALSE)</f>
        <v>「メタルなアヒル」を強化素材にすると_x000D_大量の経験値がもらえます</v>
      </c>
      <c r="M62" s="57" t="s">
        <v>211</v>
      </c>
    </row>
    <row r="63" spans="1:13" x14ac:dyDescent="0.15">
      <c r="A63" s="81" t="s">
        <v>201</v>
      </c>
      <c r="B63" s="82">
        <f>floors!$C$2</f>
        <v>20021</v>
      </c>
      <c r="C63" s="83" t="str">
        <f ca="1">VLOOKUP($B63,OFFSET([2]quests!$A$1,0,0,COUNTA([2]quests!$A:$A),MATCH(C$1,[2]quests!$1:$1,0)-MATCH($B$1,[2]quests!$1:$1,0)+1),MATCH(C$1,[2]quests!$1:$1,0)-MATCH($B$1,[2]quests!$1:$1,0)+1,FALSE)</f>
        <v>ペインター・オブ・ラブ</v>
      </c>
      <c r="D63" s="83" t="str">
        <f ca="1">VLOOKUP($B63,OFFSET([2]quests!$A$1,0,0,COUNTA([2]quests!$A:$A),MATCH(D$1,[2]quests!$1:$1,0)-MATCH($B$1,[2]quests!$1:$1,0)+1),MATCH(D$1,[2]quests!$1:$1,0)-MATCH($B$1,[2]quests!$1:$1,0)+1,FALSE)</f>
        <v>画家シリーズ01</v>
      </c>
      <c r="E63" s="86">
        <v>3</v>
      </c>
      <c r="F63" s="83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63" s="83" t="str">
        <f ca="1">VLOOKUP($B63&amp;"_"&amp;$E63,OFFSET([2]stages!$A$1,0,0,COUNTA([2]stages!$A:$A),MATCH(G$1,[2]stages!$2:$2,0)-MATCH("temp_stage",[2]stages!$2:$2,0)+1),MATCH(G$1,[2]stages!$2:$2,0)-MATCH("temp_stage",[2]stages!$2:$2,0)+1,FALSE)</f>
        <v>画家シリーズ01</v>
      </c>
      <c r="H63" s="85">
        <v>0</v>
      </c>
      <c r="I63" s="94">
        <v>8</v>
      </c>
      <c r="J63" s="84" t="s">
        <v>198</v>
      </c>
      <c r="K63" s="91" t="str">
        <f>VLOOKUP(I63,[7]stage_hints!$A:$C,3,FALSE)</f>
        <v>ゲリラクエストは要チェック</v>
      </c>
      <c r="L63" s="92" t="str">
        <f>VLOOKUP(I63,[7]stage_hints!$A:$D,4,FALSE)</f>
        <v>時間限定の「アヒル捕獲作戦」では_x000D_経験値素材ユニットが多く手に入ります</v>
      </c>
      <c r="M63" s="57" t="s">
        <v>211</v>
      </c>
    </row>
    <row r="64" spans="1:13" x14ac:dyDescent="0.15">
      <c r="A64" s="81" t="s">
        <v>201</v>
      </c>
      <c r="B64" s="82">
        <f>floors!$C$2</f>
        <v>20021</v>
      </c>
      <c r="C64" s="83" t="str">
        <f ca="1">VLOOKUP($B64,OFFSET([2]quests!$A$1,0,0,COUNTA([2]quests!$A:$A),MATCH(C$1,[2]quests!$1:$1,0)-MATCH($B$1,[2]quests!$1:$1,0)+1),MATCH(C$1,[2]quests!$1:$1,0)-MATCH($B$1,[2]quests!$1:$1,0)+1,FALSE)</f>
        <v>ペインター・オブ・ラブ</v>
      </c>
      <c r="D64" s="83" t="str">
        <f ca="1">VLOOKUP($B64,OFFSET([2]quests!$A$1,0,0,COUNTA([2]quests!$A:$A),MATCH(D$1,[2]quests!$1:$1,0)-MATCH($B$1,[2]quests!$1:$1,0)+1),MATCH(D$1,[2]quests!$1:$1,0)-MATCH($B$1,[2]quests!$1:$1,0)+1,FALSE)</f>
        <v>画家シリーズ01</v>
      </c>
      <c r="E64" s="86">
        <v>3</v>
      </c>
      <c r="F64" s="83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64" s="83" t="str">
        <f ca="1">VLOOKUP($B64&amp;"_"&amp;$E64,OFFSET([2]stages!$A$1,0,0,COUNTA([2]stages!$A:$A),MATCH(G$1,[2]stages!$2:$2,0)-MATCH("temp_stage",[2]stages!$2:$2,0)+1),MATCH(G$1,[2]stages!$2:$2,0)-MATCH("temp_stage",[2]stages!$2:$2,0)+1,FALSE)</f>
        <v>画家シリーズ01</v>
      </c>
      <c r="H64" s="85">
        <v>0</v>
      </c>
      <c r="I64" s="94">
        <v>9</v>
      </c>
      <c r="J64" s="84" t="s">
        <v>198</v>
      </c>
      <c r="K64" s="91" t="str">
        <f>VLOOKUP(I64,[7]stage_hints!$A:$C,3,FALSE)</f>
        <v>ゴールドダックでビットを獲得</v>
      </c>
      <c r="L64" s="92" t="str">
        <f>VLOOKUP(I64,[7]stage_hints!$A:$D,4,FALSE)</f>
        <v>「ゴールドなアヒル」を売却すると_x000D_大量のビットがもらえます</v>
      </c>
      <c r="M64" s="57" t="s">
        <v>211</v>
      </c>
    </row>
    <row r="65" spans="1:13" x14ac:dyDescent="0.15">
      <c r="A65" s="81" t="s">
        <v>201</v>
      </c>
      <c r="B65" s="82">
        <f>floors!$C$2</f>
        <v>20021</v>
      </c>
      <c r="C65" s="83" t="str">
        <f ca="1">VLOOKUP($B65,OFFSET([2]quests!$A$1,0,0,COUNTA([2]quests!$A:$A),MATCH(C$1,[2]quests!$1:$1,0)-MATCH($B$1,[2]quests!$1:$1,0)+1),MATCH(C$1,[2]quests!$1:$1,0)-MATCH($B$1,[2]quests!$1:$1,0)+1,FALSE)</f>
        <v>ペインター・オブ・ラブ</v>
      </c>
      <c r="D65" s="83" t="str">
        <f ca="1">VLOOKUP($B65,OFFSET([2]quests!$A$1,0,0,COUNTA([2]quests!$A:$A),MATCH(D$1,[2]quests!$1:$1,0)-MATCH($B$1,[2]quests!$1:$1,0)+1),MATCH(D$1,[2]quests!$1:$1,0)-MATCH($B$1,[2]quests!$1:$1,0)+1,FALSE)</f>
        <v>画家シリーズ01</v>
      </c>
      <c r="E65" s="86">
        <v>3</v>
      </c>
      <c r="F65" s="83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65" s="83" t="str">
        <f ca="1">VLOOKUP($B65&amp;"_"&amp;$E65,OFFSET([2]stages!$A$1,0,0,COUNTA([2]stages!$A:$A),MATCH(G$1,[2]stages!$2:$2,0)-MATCH("temp_stage",[2]stages!$2:$2,0)+1),MATCH(G$1,[2]stages!$2:$2,0)-MATCH("temp_stage",[2]stages!$2:$2,0)+1,FALSE)</f>
        <v>画家シリーズ01</v>
      </c>
      <c r="H65" s="85">
        <v>0</v>
      </c>
      <c r="I65" s="94">
        <v>10</v>
      </c>
      <c r="J65" s="84" t="s">
        <v>198</v>
      </c>
      <c r="K65" s="91" t="str">
        <f>VLOOKUP(I65,[7]stage_hints!$A:$C,3,FALSE)</f>
        <v>土日に大量のビットを獲得</v>
      </c>
      <c r="L65" s="92" t="str">
        <f>VLOOKUP(I65,[7]stage_hints!$A:$D,4,FALSE)</f>
        <v>土日限定の「ゴールドカジノ」では_x000D_売却素材ユニットが多く手に入ります</v>
      </c>
      <c r="M65" s="57" t="s">
        <v>211</v>
      </c>
    </row>
    <row r="66" spans="1:13" x14ac:dyDescent="0.15">
      <c r="A66" s="81" t="s">
        <v>201</v>
      </c>
      <c r="B66" s="82">
        <f>floors!$C$2</f>
        <v>20021</v>
      </c>
      <c r="C66" s="83" t="str">
        <f ca="1">VLOOKUP($B66,OFFSET([2]quests!$A$1,0,0,COUNTA([2]quests!$A:$A),MATCH(C$1,[2]quests!$1:$1,0)-MATCH($B$1,[2]quests!$1:$1,0)+1),MATCH(C$1,[2]quests!$1:$1,0)-MATCH($B$1,[2]quests!$1:$1,0)+1,FALSE)</f>
        <v>ペインター・オブ・ラブ</v>
      </c>
      <c r="D66" s="83" t="str">
        <f ca="1">VLOOKUP($B66,OFFSET([2]quests!$A$1,0,0,COUNTA([2]quests!$A:$A),MATCH(D$1,[2]quests!$1:$1,0)-MATCH($B$1,[2]quests!$1:$1,0)+1),MATCH(D$1,[2]quests!$1:$1,0)-MATCH($B$1,[2]quests!$1:$1,0)+1,FALSE)</f>
        <v>画家シリーズ01</v>
      </c>
      <c r="E66" s="86">
        <v>3</v>
      </c>
      <c r="F66" s="83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66" s="83" t="str">
        <f ca="1">VLOOKUP($B66&amp;"_"&amp;$E66,OFFSET([2]stages!$A$1,0,0,COUNTA([2]stages!$A:$A),MATCH(G$1,[2]stages!$2:$2,0)-MATCH("temp_stage",[2]stages!$2:$2,0)+1),MATCH(G$1,[2]stages!$2:$2,0)-MATCH("temp_stage",[2]stages!$2:$2,0)+1,FALSE)</f>
        <v>画家シリーズ01</v>
      </c>
      <c r="H66" s="85">
        <v>0</v>
      </c>
      <c r="I66" s="94">
        <v>11</v>
      </c>
      <c r="J66" s="84" t="s">
        <v>198</v>
      </c>
      <c r="K66" s="91" t="str">
        <f>VLOOKUP(I66,[7]stage_hints!$A:$C,3,FALSE)</f>
        <v>ランク解放クエスト</v>
      </c>
      <c r="L66" s="92" t="str">
        <f>VLOOKUP(I66,[7]stage_hints!$A:$D,4,FALSE)</f>
        <v>一定ランクに到達すると_x000D_報酬付きのランク開放クエストが現れます</v>
      </c>
      <c r="M66" s="57" t="s">
        <v>211</v>
      </c>
    </row>
    <row r="67" spans="1:13" x14ac:dyDescent="0.15">
      <c r="A67" s="81" t="s">
        <v>201</v>
      </c>
      <c r="B67" s="82">
        <f>floors!$C$2</f>
        <v>20021</v>
      </c>
      <c r="C67" s="83" t="str">
        <f ca="1">VLOOKUP($B67,OFFSET([2]quests!$A$1,0,0,COUNTA([2]quests!$A:$A),MATCH(C$1,[2]quests!$1:$1,0)-MATCH($B$1,[2]quests!$1:$1,0)+1),MATCH(C$1,[2]quests!$1:$1,0)-MATCH($B$1,[2]quests!$1:$1,0)+1,FALSE)</f>
        <v>ペインター・オブ・ラブ</v>
      </c>
      <c r="D67" s="83" t="str">
        <f ca="1">VLOOKUP($B67,OFFSET([2]quests!$A$1,0,0,COUNTA([2]quests!$A:$A),MATCH(D$1,[2]quests!$1:$1,0)-MATCH($B$1,[2]quests!$1:$1,0)+1),MATCH(D$1,[2]quests!$1:$1,0)-MATCH($B$1,[2]quests!$1:$1,0)+1,FALSE)</f>
        <v>画家シリーズ01</v>
      </c>
      <c r="E67" s="86">
        <v>3</v>
      </c>
      <c r="F67" s="83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67" s="83" t="str">
        <f ca="1">VLOOKUP($B67&amp;"_"&amp;$E67,OFFSET([2]stages!$A$1,0,0,COUNTA([2]stages!$A:$A),MATCH(G$1,[2]stages!$2:$2,0)-MATCH("temp_stage",[2]stages!$2:$2,0)+1),MATCH(G$1,[2]stages!$2:$2,0)-MATCH("temp_stage",[2]stages!$2:$2,0)+1,FALSE)</f>
        <v>画家シリーズ01</v>
      </c>
      <c r="H67" s="85">
        <v>0</v>
      </c>
      <c r="I67" s="94">
        <v>12</v>
      </c>
      <c r="J67" s="84" t="s">
        <v>198</v>
      </c>
      <c r="K67" s="91" t="str">
        <f>VLOOKUP(I67,[7]stage_hints!$A:$C,3,FALSE)</f>
        <v>ユニットのお気に入り登録</v>
      </c>
      <c r="L67" s="92" t="str">
        <f>VLOOKUP(I67,[7]stage_hints!$A:$D,4,FALSE)</f>
        <v>大事なユニットを誤って消さないように_x000D_フォルダから「お気に入り登録」しましょう</v>
      </c>
      <c r="M67" s="57" t="s">
        <v>211</v>
      </c>
    </row>
    <row r="68" spans="1:13" x14ac:dyDescent="0.15">
      <c r="A68" s="81" t="s">
        <v>201</v>
      </c>
      <c r="B68" s="82">
        <f>floors!$C$2</f>
        <v>20021</v>
      </c>
      <c r="C68" s="83" t="str">
        <f ca="1">VLOOKUP($B68,OFFSET([2]quests!$A$1,0,0,COUNTA([2]quests!$A:$A),MATCH(C$1,[2]quests!$1:$1,0)-MATCH($B$1,[2]quests!$1:$1,0)+1),MATCH(C$1,[2]quests!$1:$1,0)-MATCH($B$1,[2]quests!$1:$1,0)+1,FALSE)</f>
        <v>ペインター・オブ・ラブ</v>
      </c>
      <c r="D68" s="83" t="str">
        <f ca="1">VLOOKUP($B68,OFFSET([2]quests!$A$1,0,0,COUNTA([2]quests!$A:$A),MATCH(D$1,[2]quests!$1:$1,0)-MATCH($B$1,[2]quests!$1:$1,0)+1),MATCH(D$1,[2]quests!$1:$1,0)-MATCH($B$1,[2]quests!$1:$1,0)+1,FALSE)</f>
        <v>画家シリーズ01</v>
      </c>
      <c r="E68" s="86">
        <v>3</v>
      </c>
      <c r="F68" s="83" t="str">
        <f ca="1">VLOOKUP($B68&amp;"_"&amp;$E68,OFFSET([2]stages!$A$1,0,0,COUNTA([2]stages!$A:$A),MATCH(F$1,[2]stages!$2:$2,0)-MATCH("temp_stage",[2]stages!$2:$2,0)+1),MATCH(F$1,[2]stages!$2:$2,0)-MATCH("temp_stage",[2]stages!$2:$2,0)+1,FALSE)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68" s="83" t="str">
        <f ca="1">VLOOKUP($B68&amp;"_"&amp;$E68,OFFSET([2]stages!$A$1,0,0,COUNTA([2]stages!$A:$A),MATCH(G$1,[2]stages!$2:$2,0)-MATCH("temp_stage",[2]stages!$2:$2,0)+1),MATCH(G$1,[2]stages!$2:$2,0)-MATCH("temp_stage",[2]stages!$2:$2,0)+1,FALSE)</f>
        <v>画家シリーズ01</v>
      </c>
      <c r="H68" s="85">
        <v>0</v>
      </c>
      <c r="I68" s="94">
        <v>13</v>
      </c>
      <c r="J68" s="84" t="s">
        <v>198</v>
      </c>
      <c r="K68" s="91" t="str">
        <f>VLOOKUP(I68,[7]stage_hints!$A:$C,3,FALSE)</f>
        <v>ユニットの覚醒</v>
      </c>
      <c r="L68" s="92" t="str">
        <f>VLOOKUP(I68,[7]stage_hints!$A:$D,4,FALSE)</f>
        <v>ユニットを覚醒させると_x000D_比べものにならない強さが手に入ります</v>
      </c>
      <c r="M68" s="57" t="s">
        <v>211</v>
      </c>
    </row>
    <row r="69" spans="1:13" x14ac:dyDescent="0.15">
      <c r="A69" s="81" t="s">
        <v>201</v>
      </c>
      <c r="B69" s="82">
        <f>floors!$C$2</f>
        <v>20021</v>
      </c>
      <c r="C69" s="83" t="str">
        <f ca="1">VLOOKUP($B69,OFFSET([2]quests!$A$1,0,0,COUNTA([2]quests!$A:$A),MATCH(C$1,[2]quests!$1:$1,0)-MATCH($B$1,[2]quests!$1:$1,0)+1),MATCH(C$1,[2]quests!$1:$1,0)-MATCH($B$1,[2]quests!$1:$1,0)+1,FALSE)</f>
        <v>ペインター・オブ・ラブ</v>
      </c>
      <c r="D69" s="83" t="str">
        <f ca="1">VLOOKUP($B69,OFFSET([2]quests!$A$1,0,0,COUNTA([2]quests!$A:$A),MATCH(D$1,[2]quests!$1:$1,0)-MATCH($B$1,[2]quests!$1:$1,0)+1),MATCH(D$1,[2]quests!$1:$1,0)-MATCH($B$1,[2]quests!$1:$1,0)+1,FALSE)</f>
        <v>画家シリーズ01</v>
      </c>
      <c r="E69" s="86">
        <v>3</v>
      </c>
      <c r="F69" s="83" t="str">
        <f ca="1">VLOOKUP($B69&amp;"_"&amp;$E69,OFFSET([2]stages!$A$1,0,0,COUNTA([2]stages!$A:$A),MATCH(F$1,[2]stages!$2:$2,0)-MATCH("temp_stage",[2]stages!$2:$2,0)+1),MATCH(F$1,[2]stages!$2:$2,0)-MATCH("temp_stage",[2]stages!$2:$2,0)+1,FALSE)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69" s="83" t="str">
        <f ca="1">VLOOKUP($B69&amp;"_"&amp;$E69,OFFSET([2]stages!$A$1,0,0,COUNTA([2]stages!$A:$A),MATCH(G$1,[2]stages!$2:$2,0)-MATCH("temp_stage",[2]stages!$2:$2,0)+1),MATCH(G$1,[2]stages!$2:$2,0)-MATCH("temp_stage",[2]stages!$2:$2,0)+1,FALSE)</f>
        <v>画家シリーズ01</v>
      </c>
      <c r="H69" s="85">
        <v>0</v>
      </c>
      <c r="I69" s="94">
        <v>14</v>
      </c>
      <c r="J69" s="84" t="s">
        <v>198</v>
      </c>
      <c r="K69" s="91" t="str">
        <f>VLOOKUP(I69,[7]stage_hints!$A:$C,3,FALSE)</f>
        <v>覚醒するにはレベルを最大に</v>
      </c>
      <c r="L69" s="92" t="str">
        <f>VLOOKUP(I69,[7]stage_hints!$A:$D,4,FALSE)</f>
        <v>覚醒するにはユニットのレベルを_x000D_最大まで上げる必要があります</v>
      </c>
      <c r="M69" s="57" t="s">
        <v>211</v>
      </c>
    </row>
    <row r="70" spans="1:13" x14ac:dyDescent="0.15">
      <c r="A70" s="81" t="s">
        <v>201</v>
      </c>
      <c r="B70" s="82">
        <f>floors!$C$2</f>
        <v>20021</v>
      </c>
      <c r="C70" s="83" t="str">
        <f ca="1">VLOOKUP($B70,OFFSET([2]quests!$A$1,0,0,COUNTA([2]quests!$A:$A),MATCH(C$1,[2]quests!$1:$1,0)-MATCH($B$1,[2]quests!$1:$1,0)+1),MATCH(C$1,[2]quests!$1:$1,0)-MATCH($B$1,[2]quests!$1:$1,0)+1,FALSE)</f>
        <v>ペインター・オブ・ラブ</v>
      </c>
      <c r="D70" s="83" t="str">
        <f ca="1">VLOOKUP($B70,OFFSET([2]quests!$A$1,0,0,COUNTA([2]quests!$A:$A),MATCH(D$1,[2]quests!$1:$1,0)-MATCH($B$1,[2]quests!$1:$1,0)+1),MATCH(D$1,[2]quests!$1:$1,0)-MATCH($B$1,[2]quests!$1:$1,0)+1,FALSE)</f>
        <v>画家シリーズ01</v>
      </c>
      <c r="E70" s="86">
        <v>3</v>
      </c>
      <c r="F70" s="83" t="str">
        <f ca="1">VLOOKUP($B70&amp;"_"&amp;$E70,OFFSET([2]stages!$A$1,0,0,COUNTA([2]stages!$A:$A),MATCH(F$1,[2]stages!$2:$2,0)-MATCH("temp_stage",[2]stages!$2:$2,0)+1),MATCH(F$1,[2]stages!$2:$2,0)-MATCH("temp_stage",[2]stages!$2:$2,0)+1,FALSE)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70" s="83" t="str">
        <f ca="1">VLOOKUP($B70&amp;"_"&amp;$E70,OFFSET([2]stages!$A$1,0,0,COUNTA([2]stages!$A:$A),MATCH(G$1,[2]stages!$2:$2,0)-MATCH("temp_stage",[2]stages!$2:$2,0)+1),MATCH(G$1,[2]stages!$2:$2,0)-MATCH("temp_stage",[2]stages!$2:$2,0)+1,FALSE)</f>
        <v>画家シリーズ01</v>
      </c>
      <c r="H70" s="85">
        <v>0</v>
      </c>
      <c r="I70" s="94">
        <v>15</v>
      </c>
      <c r="J70" s="84" t="s">
        <v>198</v>
      </c>
      <c r="K70" s="91" t="str">
        <f>VLOOKUP(I70,[7]stage_hints!$A:$C,3,FALSE)</f>
        <v>覚醒素材を獲得</v>
      </c>
      <c r="L70" s="92" t="str">
        <f>VLOOKUP(I70,[7]stage_hints!$A:$D,4,FALSE)</f>
        <v>「曜日クエスト」では_x000D_ユニットの覚醒に必要な素材が手に入ります</v>
      </c>
      <c r="M70" s="57" t="s">
        <v>211</v>
      </c>
    </row>
    <row r="71" spans="1:13" x14ac:dyDescent="0.15">
      <c r="A71" s="81" t="s">
        <v>201</v>
      </c>
      <c r="B71" s="82">
        <f>floors!$C$2</f>
        <v>20021</v>
      </c>
      <c r="C71" s="83" t="str">
        <f ca="1">VLOOKUP($B71,OFFSET([2]quests!$A$1,0,0,COUNTA([2]quests!$A:$A),MATCH(C$1,[2]quests!$1:$1,0)-MATCH($B$1,[2]quests!$1:$1,0)+1),MATCH(C$1,[2]quests!$1:$1,0)-MATCH($B$1,[2]quests!$1:$1,0)+1,FALSE)</f>
        <v>ペインター・オブ・ラブ</v>
      </c>
      <c r="D71" s="83" t="str">
        <f ca="1">VLOOKUP($B71,OFFSET([2]quests!$A$1,0,0,COUNTA([2]quests!$A:$A),MATCH(D$1,[2]quests!$1:$1,0)-MATCH($B$1,[2]quests!$1:$1,0)+1),MATCH(D$1,[2]quests!$1:$1,0)-MATCH($B$1,[2]quests!$1:$1,0)+1,FALSE)</f>
        <v>画家シリーズ01</v>
      </c>
      <c r="E71" s="86">
        <v>3</v>
      </c>
      <c r="F71" s="83" t="str">
        <f ca="1">VLOOKUP($B71&amp;"_"&amp;$E71,OFFSET([2]stages!$A$1,0,0,COUNTA([2]stages!$A:$A),MATCH(F$1,[2]stages!$2:$2,0)-MATCH("temp_stage",[2]stages!$2:$2,0)+1),MATCH(F$1,[2]stages!$2:$2,0)-MATCH("temp_stage",[2]stages!$2:$2,0)+1,FALSE)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71" s="83" t="str">
        <f ca="1">VLOOKUP($B71&amp;"_"&amp;$E71,OFFSET([2]stages!$A$1,0,0,COUNTA([2]stages!$A:$A),MATCH(G$1,[2]stages!$2:$2,0)-MATCH("temp_stage",[2]stages!$2:$2,0)+1),MATCH(G$1,[2]stages!$2:$2,0)-MATCH("temp_stage",[2]stages!$2:$2,0)+1,FALSE)</f>
        <v>画家シリーズ01</v>
      </c>
      <c r="H71" s="85">
        <v>0</v>
      </c>
      <c r="I71" s="94">
        <v>16</v>
      </c>
      <c r="J71" s="84" t="s">
        <v>198</v>
      </c>
      <c r="K71" s="91" t="str">
        <f>VLOOKUP(I71,[7]stage_hints!$A:$C,3,FALSE)</f>
        <v>マルチプレイのメリット（その1）</v>
      </c>
      <c r="L71" s="92" t="str">
        <f>VLOOKUP(I71,[7]stage_hints!$A:$D,4,FALSE)</f>
        <v>他のプレイヤーとマルチプレイで遊ぶと_x000D_ポリゴンがもらえます（100人まで）</v>
      </c>
      <c r="M71" s="57" t="s">
        <v>211</v>
      </c>
    </row>
    <row r="72" spans="1:13" x14ac:dyDescent="0.15">
      <c r="A72" s="81" t="s">
        <v>201</v>
      </c>
      <c r="B72" s="82">
        <f>floors!$C$2</f>
        <v>20021</v>
      </c>
      <c r="C72" s="83" t="str">
        <f ca="1">VLOOKUP($B72,OFFSET([2]quests!$A$1,0,0,COUNTA([2]quests!$A:$A),MATCH(C$1,[2]quests!$1:$1,0)-MATCH($B$1,[2]quests!$1:$1,0)+1),MATCH(C$1,[2]quests!$1:$1,0)-MATCH($B$1,[2]quests!$1:$1,0)+1,FALSE)</f>
        <v>ペインター・オブ・ラブ</v>
      </c>
      <c r="D72" s="83" t="str">
        <f ca="1">VLOOKUP($B72,OFFSET([2]quests!$A$1,0,0,COUNTA([2]quests!$A:$A),MATCH(D$1,[2]quests!$1:$1,0)-MATCH($B$1,[2]quests!$1:$1,0)+1),MATCH(D$1,[2]quests!$1:$1,0)-MATCH($B$1,[2]quests!$1:$1,0)+1,FALSE)</f>
        <v>画家シリーズ01</v>
      </c>
      <c r="E72" s="86">
        <v>3</v>
      </c>
      <c r="F72" s="83" t="str">
        <f ca="1">VLOOKUP($B72&amp;"_"&amp;$E72,OFFSET([2]stages!$A$1,0,0,COUNTA([2]stages!$A:$A),MATCH(F$1,[2]stages!$2:$2,0)-MATCH("temp_stage",[2]stages!$2:$2,0)+1),MATCH(F$1,[2]stages!$2:$2,0)-MATCH("temp_stage",[2]stages!$2:$2,0)+1,FALSE)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72" s="83" t="str">
        <f ca="1">VLOOKUP($B72&amp;"_"&amp;$E72,OFFSET([2]stages!$A$1,0,0,COUNTA([2]stages!$A:$A),MATCH(G$1,[2]stages!$2:$2,0)-MATCH("temp_stage",[2]stages!$2:$2,0)+1),MATCH(G$1,[2]stages!$2:$2,0)-MATCH("temp_stage",[2]stages!$2:$2,0)+1,FALSE)</f>
        <v>画家シリーズ01</v>
      </c>
      <c r="H72" s="85">
        <v>0</v>
      </c>
      <c r="I72" s="94">
        <v>17</v>
      </c>
      <c r="J72" s="84" t="s">
        <v>198</v>
      </c>
      <c r="K72" s="91" t="str">
        <f>VLOOKUP(I72,[7]stage_hints!$A:$C,3,FALSE)</f>
        <v>リンクガチャ</v>
      </c>
      <c r="L72" s="92" t="str">
        <f>VLOOKUP(I72,[7]stage_hints!$A:$D,4,FALSE)</f>
        <v>無料のリンクガチャを回して_x000D_経験値素材や売却素材を獲得しましょう</v>
      </c>
      <c r="M72" s="57" t="s">
        <v>211</v>
      </c>
    </row>
    <row r="73" spans="1:13" x14ac:dyDescent="0.15">
      <c r="A73" s="81" t="s">
        <v>201</v>
      </c>
      <c r="B73" s="82">
        <f>floors!$C$2</f>
        <v>20021</v>
      </c>
      <c r="C73" s="83" t="str">
        <f ca="1">VLOOKUP($B73,OFFSET([2]quests!$A$1,0,0,COUNTA([2]quests!$A:$A),MATCH(C$1,[2]quests!$1:$1,0)-MATCH($B$1,[2]quests!$1:$1,0)+1),MATCH(C$1,[2]quests!$1:$1,0)-MATCH($B$1,[2]quests!$1:$1,0)+1,FALSE)</f>
        <v>ペインター・オブ・ラブ</v>
      </c>
      <c r="D73" s="83" t="str">
        <f ca="1">VLOOKUP($B73,OFFSET([2]quests!$A$1,0,0,COUNTA([2]quests!$A:$A),MATCH(D$1,[2]quests!$1:$1,0)-MATCH($B$1,[2]quests!$1:$1,0)+1),MATCH(D$1,[2]quests!$1:$1,0)-MATCH($B$1,[2]quests!$1:$1,0)+1,FALSE)</f>
        <v>画家シリーズ01</v>
      </c>
      <c r="E73" s="86">
        <v>3</v>
      </c>
      <c r="F73" s="83" t="str">
        <f ca="1">VLOOKUP($B73&amp;"_"&amp;$E73,OFFSET([2]stages!$A$1,0,0,COUNTA([2]stages!$A:$A),MATCH(F$1,[2]stages!$2:$2,0)-MATCH("temp_stage",[2]stages!$2:$2,0)+1),MATCH(F$1,[2]stages!$2:$2,0)-MATCH("temp_stage",[2]stages!$2:$2,0)+1,FALSE)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73" s="83" t="str">
        <f ca="1">VLOOKUP($B73&amp;"_"&amp;$E73,OFFSET([2]stages!$A$1,0,0,COUNTA([2]stages!$A:$A),MATCH(G$1,[2]stages!$2:$2,0)-MATCH("temp_stage",[2]stages!$2:$2,0)+1),MATCH(G$1,[2]stages!$2:$2,0)-MATCH("temp_stage",[2]stages!$2:$2,0)+1,FALSE)</f>
        <v>画家シリーズ01</v>
      </c>
      <c r="H73" s="85">
        <v>0</v>
      </c>
      <c r="I73" s="94">
        <v>18</v>
      </c>
      <c r="J73" s="84" t="s">
        <v>198</v>
      </c>
      <c r="K73" s="91" t="str">
        <f>VLOOKUP(I73,[7]stage_hints!$A:$C,3,FALSE)</f>
        <v>マルチプレイのメリット（その2）</v>
      </c>
      <c r="L73" s="92" t="str">
        <f>VLOOKUP(I73,[7]stage_hints!$A:$D,4,FALSE)</f>
        <v>マルチプレイならリンクが2倍もらえます_x000D_リンクガチャをたくさん回しましょう</v>
      </c>
      <c r="M73" s="57" t="s">
        <v>211</v>
      </c>
    </row>
    <row r="74" spans="1:13" x14ac:dyDescent="0.15">
      <c r="A74" s="81" t="s">
        <v>201</v>
      </c>
      <c r="B74" s="82">
        <f>floors!$C$2</f>
        <v>20021</v>
      </c>
      <c r="C74" s="83" t="str">
        <f ca="1">VLOOKUP($B74,OFFSET([2]quests!$A$1,0,0,COUNTA([2]quests!$A:$A),MATCH(C$1,[2]quests!$1:$1,0)-MATCH($B$1,[2]quests!$1:$1,0)+1),MATCH(C$1,[2]quests!$1:$1,0)-MATCH($B$1,[2]quests!$1:$1,0)+1,FALSE)</f>
        <v>ペインター・オブ・ラブ</v>
      </c>
      <c r="D74" s="83" t="str">
        <f ca="1">VLOOKUP($B74,OFFSET([2]quests!$A$1,0,0,COUNTA([2]quests!$A:$A),MATCH(D$1,[2]quests!$1:$1,0)-MATCH($B$1,[2]quests!$1:$1,0)+1),MATCH(D$1,[2]quests!$1:$1,0)-MATCH($B$1,[2]quests!$1:$1,0)+1,FALSE)</f>
        <v>画家シリーズ01</v>
      </c>
      <c r="E74" s="86">
        <v>3</v>
      </c>
      <c r="F74" s="83" t="str">
        <f ca="1">VLOOKUP($B74&amp;"_"&amp;$E74,OFFSET([2]stages!$A$1,0,0,COUNTA([2]stages!$A:$A),MATCH(F$1,[2]stages!$2:$2,0)-MATCH("temp_stage",[2]stages!$2:$2,0)+1),MATCH(F$1,[2]stages!$2:$2,0)-MATCH("temp_stage",[2]stages!$2:$2,0)+1,FALSE)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74" s="83" t="str">
        <f ca="1">VLOOKUP($B74&amp;"_"&amp;$E74,OFFSET([2]stages!$A$1,0,0,COUNTA([2]stages!$A:$A),MATCH(G$1,[2]stages!$2:$2,0)-MATCH("temp_stage",[2]stages!$2:$2,0)+1),MATCH(G$1,[2]stages!$2:$2,0)-MATCH("temp_stage",[2]stages!$2:$2,0)+1,FALSE)</f>
        <v>画家シリーズ01</v>
      </c>
      <c r="H74" s="85">
        <v>0</v>
      </c>
      <c r="I74" s="94">
        <v>19</v>
      </c>
      <c r="J74" s="84" t="s">
        <v>198</v>
      </c>
      <c r="K74" s="91" t="str">
        <f>VLOOKUP(I74,[7]stage_hints!$A:$C,3,FALSE)</f>
        <v>ソロ専用タワーオブザクイーン</v>
      </c>
      <c r="L74" s="92" t="str">
        <f>VLOOKUP(I74,[7]stage_hints!$A:$D,4,FALSE)</f>
        <v>ソロ専用の「タワーオブザクイーン」は_x000D_期間限定で定期的に開催されます_x000D_ここでしか獲得できない報酬もあるようです</v>
      </c>
      <c r="M74" s="57" t="s">
        <v>211</v>
      </c>
    </row>
    <row r="75" spans="1:13" x14ac:dyDescent="0.15">
      <c r="A75" s="81" t="s">
        <v>201</v>
      </c>
      <c r="B75" s="82">
        <f>floors!$C$2</f>
        <v>20021</v>
      </c>
      <c r="C75" s="83" t="str">
        <f ca="1">VLOOKUP($B75,OFFSET([2]quests!$A$1,0,0,COUNTA([2]quests!$A:$A),MATCH(C$1,[2]quests!$1:$1,0)-MATCH($B$1,[2]quests!$1:$1,0)+1),MATCH(C$1,[2]quests!$1:$1,0)-MATCH($B$1,[2]quests!$1:$1,0)+1,FALSE)</f>
        <v>ペインター・オブ・ラブ</v>
      </c>
      <c r="D75" s="83" t="str">
        <f ca="1">VLOOKUP($B75,OFFSET([2]quests!$A$1,0,0,COUNTA([2]quests!$A:$A),MATCH(D$1,[2]quests!$1:$1,0)-MATCH($B$1,[2]quests!$1:$1,0)+1),MATCH(D$1,[2]quests!$1:$1,0)-MATCH($B$1,[2]quests!$1:$1,0)+1,FALSE)</f>
        <v>画家シリーズ01</v>
      </c>
      <c r="E75" s="86">
        <v>3</v>
      </c>
      <c r="F75" s="83" t="str">
        <f ca="1">VLOOKUP($B75&amp;"_"&amp;$E75,OFFSET([2]stages!$A$1,0,0,COUNTA([2]stages!$A:$A),MATCH(F$1,[2]stages!$2:$2,0)-MATCH("temp_stage",[2]stages!$2:$2,0)+1),MATCH(F$1,[2]stages!$2:$2,0)-MATCH("temp_stage",[2]stages!$2:$2,0)+1,FALSE)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75" s="83" t="str">
        <f ca="1">VLOOKUP($B75&amp;"_"&amp;$E75,OFFSET([2]stages!$A$1,0,0,COUNTA([2]stages!$A:$A),MATCH(G$1,[2]stages!$2:$2,0)-MATCH("temp_stage",[2]stages!$2:$2,0)+1),MATCH(G$1,[2]stages!$2:$2,0)-MATCH("temp_stage",[2]stages!$2:$2,0)+1,FALSE)</f>
        <v>画家シリーズ01</v>
      </c>
      <c r="H75" s="85">
        <v>0</v>
      </c>
      <c r="I75" s="94">
        <v>20</v>
      </c>
      <c r="J75" s="84" t="s">
        <v>198</v>
      </c>
      <c r="K75" s="91" t="str">
        <f>VLOOKUP(I75,[7]stage_hints!$A:$C,3,FALSE)</f>
        <v>マルチプレイのメリット（その3）</v>
      </c>
      <c r="L75" s="92" t="str">
        <f>VLOOKUP(I75,[7]stage_hints!$A:$D,4,FALSE)</f>
        <v>マルチプレイへの参加はエナジー消費ゼロ_x000D_いつでも好きなだけ遊ぶことができます</v>
      </c>
      <c r="M75" s="57" t="s">
        <v>211</v>
      </c>
    </row>
    <row r="76" spans="1:13" x14ac:dyDescent="0.15">
      <c r="A76" s="81" t="s">
        <v>201</v>
      </c>
      <c r="B76" s="82">
        <f>floors!$C$2</f>
        <v>20021</v>
      </c>
      <c r="C76" s="83" t="str">
        <f ca="1">VLOOKUP($B76,OFFSET([2]quests!$A$1,0,0,COUNTA([2]quests!$A:$A),MATCH(C$1,[2]quests!$1:$1,0)-MATCH($B$1,[2]quests!$1:$1,0)+1),MATCH(C$1,[2]quests!$1:$1,0)-MATCH($B$1,[2]quests!$1:$1,0)+1,FALSE)</f>
        <v>ペインター・オブ・ラブ</v>
      </c>
      <c r="D76" s="83" t="str">
        <f ca="1">VLOOKUP($B76,OFFSET([2]quests!$A$1,0,0,COUNTA([2]quests!$A:$A),MATCH(D$1,[2]quests!$1:$1,0)-MATCH($B$1,[2]quests!$1:$1,0)+1),MATCH(D$1,[2]quests!$1:$1,0)-MATCH($B$1,[2]quests!$1:$1,0)+1,FALSE)</f>
        <v>画家シリーズ01</v>
      </c>
      <c r="E76" s="86">
        <v>3</v>
      </c>
      <c r="F76" s="83" t="str">
        <f ca="1">VLOOKUP($B76&amp;"_"&amp;$E76,OFFSET([2]stages!$A$1,0,0,COUNTA([2]stages!$A:$A),MATCH(F$1,[2]stages!$2:$2,0)-MATCH("temp_stage",[2]stages!$2:$2,0)+1),MATCH(F$1,[2]stages!$2:$2,0)-MATCH("temp_stage",[2]stages!$2:$2,0)+1,FALSE)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76" s="83" t="str">
        <f ca="1">VLOOKUP($B76&amp;"_"&amp;$E76,OFFSET([2]stages!$A$1,0,0,COUNTA([2]stages!$A:$A),MATCH(G$1,[2]stages!$2:$2,0)-MATCH("temp_stage",[2]stages!$2:$2,0)+1),MATCH(G$1,[2]stages!$2:$2,0)-MATCH("temp_stage",[2]stages!$2:$2,0)+1,FALSE)</f>
        <v>画家シリーズ01</v>
      </c>
      <c r="H76" s="85">
        <v>0</v>
      </c>
      <c r="I76" s="94">
        <v>21</v>
      </c>
      <c r="J76" s="84" t="s">
        <v>198</v>
      </c>
      <c r="K76" s="91" t="str">
        <f>VLOOKUP(I76,[7]stage_hints!$A:$C,3,FALSE)</f>
        <v>スキルを有効に</v>
      </c>
      <c r="L76" s="92" t="str">
        <f>VLOOKUP(I76,[7]stage_hints!$A:$D,4,FALSE)</f>
        <v>ターン経過でユニットのスキルが使えます_x000D_強力スキルでバトルを有利に進めましょう</v>
      </c>
      <c r="M76" s="57" t="s">
        <v>211</v>
      </c>
    </row>
    <row r="77" spans="1:13" x14ac:dyDescent="0.15">
      <c r="A77" s="81" t="s">
        <v>201</v>
      </c>
      <c r="B77" s="82">
        <f>floors!$C$2</f>
        <v>20021</v>
      </c>
      <c r="C77" s="83" t="str">
        <f ca="1">VLOOKUP($B77,OFFSET([2]quests!$A$1,0,0,COUNTA([2]quests!$A:$A),MATCH(C$1,[2]quests!$1:$1,0)-MATCH($B$1,[2]quests!$1:$1,0)+1),MATCH(C$1,[2]quests!$1:$1,0)-MATCH($B$1,[2]quests!$1:$1,0)+1,FALSE)</f>
        <v>ペインター・オブ・ラブ</v>
      </c>
      <c r="D77" s="83" t="str">
        <f ca="1">VLOOKUP($B77,OFFSET([2]quests!$A$1,0,0,COUNTA([2]quests!$A:$A),MATCH(D$1,[2]quests!$1:$1,0)-MATCH($B$1,[2]quests!$1:$1,0)+1),MATCH(D$1,[2]quests!$1:$1,0)-MATCH($B$1,[2]quests!$1:$1,0)+1,FALSE)</f>
        <v>画家シリーズ01</v>
      </c>
      <c r="E77" s="86">
        <v>3</v>
      </c>
      <c r="F77" s="83" t="str">
        <f ca="1">VLOOKUP($B77&amp;"_"&amp;$E77,OFFSET([2]stages!$A$1,0,0,COUNTA([2]stages!$A:$A),MATCH(F$1,[2]stages!$2:$2,0)-MATCH("temp_stage",[2]stages!$2:$2,0)+1),MATCH(F$1,[2]stages!$2:$2,0)-MATCH("temp_stage",[2]stages!$2:$2,0)+1,FALSE)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77" s="83" t="str">
        <f ca="1">VLOOKUP($B77&amp;"_"&amp;$E77,OFFSET([2]stages!$A$1,0,0,COUNTA([2]stages!$A:$A),MATCH(G$1,[2]stages!$2:$2,0)-MATCH("temp_stage",[2]stages!$2:$2,0)+1),MATCH(G$1,[2]stages!$2:$2,0)-MATCH("temp_stage",[2]stages!$2:$2,0)+1,FALSE)</f>
        <v>画家シリーズ01</v>
      </c>
      <c r="H77" s="85">
        <v>0</v>
      </c>
      <c r="I77" s="94">
        <v>22</v>
      </c>
      <c r="J77" s="84" t="s">
        <v>198</v>
      </c>
      <c r="K77" s="91" t="str">
        <f>VLOOKUP(I77,[7]stage_hints!$A:$C,3,FALSE)</f>
        <v>フィーバーで一発逆転（その1）</v>
      </c>
      <c r="L77" s="92" t="str">
        <f>VLOOKUP(I77,[7]stage_hints!$A:$D,4,FALSE)</f>
        <v>フィーバーは攻撃と回復を兼ね備えます_x000D_ピンチからの一発逆転を狙いましょう</v>
      </c>
      <c r="M77" s="57" t="s">
        <v>211</v>
      </c>
    </row>
    <row r="78" spans="1:13" x14ac:dyDescent="0.15">
      <c r="A78" s="81" t="s">
        <v>201</v>
      </c>
      <c r="B78" s="82">
        <f>floors!$C$2</f>
        <v>20021</v>
      </c>
      <c r="C78" s="83" t="str">
        <f ca="1">VLOOKUP($B78,OFFSET([2]quests!$A$1,0,0,COUNTA([2]quests!$A:$A),MATCH(C$1,[2]quests!$1:$1,0)-MATCH($B$1,[2]quests!$1:$1,0)+1),MATCH(C$1,[2]quests!$1:$1,0)-MATCH($B$1,[2]quests!$1:$1,0)+1,FALSE)</f>
        <v>ペインター・オブ・ラブ</v>
      </c>
      <c r="D78" s="83" t="str">
        <f ca="1">VLOOKUP($B78,OFFSET([2]quests!$A$1,0,0,COUNTA([2]quests!$A:$A),MATCH(D$1,[2]quests!$1:$1,0)-MATCH($B$1,[2]quests!$1:$1,0)+1),MATCH(D$1,[2]quests!$1:$1,0)-MATCH($B$1,[2]quests!$1:$1,0)+1,FALSE)</f>
        <v>画家シリーズ01</v>
      </c>
      <c r="E78" s="86">
        <v>3</v>
      </c>
      <c r="F78" s="83" t="str">
        <f ca="1">VLOOKUP($B78&amp;"_"&amp;$E78,OFFSET([2]stages!$A$1,0,0,COUNTA([2]stages!$A:$A),MATCH(F$1,[2]stages!$2:$2,0)-MATCH("temp_stage",[2]stages!$2:$2,0)+1),MATCH(F$1,[2]stages!$2:$2,0)-MATCH("temp_stage",[2]stages!$2:$2,0)+1,FALSE)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78" s="83" t="str">
        <f ca="1">VLOOKUP($B78&amp;"_"&amp;$E78,OFFSET([2]stages!$A$1,0,0,COUNTA([2]stages!$A:$A),MATCH(G$1,[2]stages!$2:$2,0)-MATCH("temp_stage",[2]stages!$2:$2,0)+1),MATCH(G$1,[2]stages!$2:$2,0)-MATCH("temp_stage",[2]stages!$2:$2,0)+1,FALSE)</f>
        <v>画家シリーズ01</v>
      </c>
      <c r="H78" s="85">
        <v>0</v>
      </c>
      <c r="I78" s="94">
        <v>23</v>
      </c>
      <c r="J78" s="84" t="s">
        <v>198</v>
      </c>
      <c r="K78" s="91" t="str">
        <f>VLOOKUP(I78,[7]stage_hints!$A:$C,3,FALSE)</f>
        <v>フィーバーで一発逆転（その2）</v>
      </c>
      <c r="L78" s="92" t="str">
        <f>VLOOKUP(I78,[7]stage_hints!$A:$D,4,FALSE)</f>
        <v>フィーバー中は虹色のボムパネルを狙って_x000D_画面上のパネルを一気に破壊しましょう</v>
      </c>
      <c r="M78" s="57" t="s">
        <v>211</v>
      </c>
    </row>
    <row r="79" spans="1:13" x14ac:dyDescent="0.15">
      <c r="A79" s="81" t="s">
        <v>201</v>
      </c>
      <c r="B79" s="82">
        <f>floors!$C$2</f>
        <v>20021</v>
      </c>
      <c r="C79" s="83" t="str">
        <f ca="1">VLOOKUP($B79,OFFSET([2]quests!$A$1,0,0,COUNTA([2]quests!$A:$A),MATCH(C$1,[2]quests!$1:$1,0)-MATCH($B$1,[2]quests!$1:$1,0)+1),MATCH(C$1,[2]quests!$1:$1,0)-MATCH($B$1,[2]quests!$1:$1,0)+1,FALSE)</f>
        <v>ペインター・オブ・ラブ</v>
      </c>
      <c r="D79" s="83" t="str">
        <f ca="1">VLOOKUP($B79,OFFSET([2]quests!$A$1,0,0,COUNTA([2]quests!$A:$A),MATCH(D$1,[2]quests!$1:$1,0)-MATCH($B$1,[2]quests!$1:$1,0)+1),MATCH(D$1,[2]quests!$1:$1,0)-MATCH($B$1,[2]quests!$1:$1,0)+1,FALSE)</f>
        <v>画家シリーズ01</v>
      </c>
      <c r="E79" s="86">
        <v>3</v>
      </c>
      <c r="F79" s="83" t="str">
        <f ca="1">VLOOKUP($B79&amp;"_"&amp;$E79,OFFSET([2]stages!$A$1,0,0,COUNTA([2]stages!$A:$A),MATCH(F$1,[2]stages!$2:$2,0)-MATCH("temp_stage",[2]stages!$2:$2,0)+1),MATCH(F$1,[2]stages!$2:$2,0)-MATCH("temp_stage",[2]stages!$2:$2,0)+1,FALSE)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79" s="83" t="str">
        <f ca="1">VLOOKUP($B79&amp;"_"&amp;$E79,OFFSET([2]stages!$A$1,0,0,COUNTA([2]stages!$A:$A),MATCH(G$1,[2]stages!$2:$2,0)-MATCH("temp_stage",[2]stages!$2:$2,0)+1),MATCH(G$1,[2]stages!$2:$2,0)-MATCH("temp_stage",[2]stages!$2:$2,0)+1,FALSE)</f>
        <v>画家シリーズ01</v>
      </c>
      <c r="H79" s="85">
        <v>0</v>
      </c>
      <c r="I79" s="94">
        <v>24</v>
      </c>
      <c r="J79" s="84" t="s">
        <v>198</v>
      </c>
      <c r="K79" s="91" t="str">
        <f>VLOOKUP(I79,[7]stage_hints!$A:$C,3,FALSE)</f>
        <v>果実を使って限界突破</v>
      </c>
      <c r="L79" s="92" t="str">
        <f>VLOOKUP(I79,[7]stage_hints!$A:$D,4,FALSE)</f>
        <v>攻めの果実 癒しの果実_x000D_生命の果実をユニット強化に使うと_x000D_ステータスが限界突破します（計99個迄）</v>
      </c>
      <c r="M79" s="57" t="s">
        <v>211</v>
      </c>
    </row>
    <row r="80" spans="1:13" x14ac:dyDescent="0.15">
      <c r="A80" s="81" t="s">
        <v>201</v>
      </c>
      <c r="B80" s="82">
        <f>floors!$C$2</f>
        <v>20021</v>
      </c>
      <c r="C80" s="83" t="str">
        <f ca="1">VLOOKUP($B80,OFFSET([2]quests!$A$1,0,0,COUNTA([2]quests!$A:$A),MATCH(C$1,[2]quests!$1:$1,0)-MATCH($B$1,[2]quests!$1:$1,0)+1),MATCH(C$1,[2]quests!$1:$1,0)-MATCH($B$1,[2]quests!$1:$1,0)+1,FALSE)</f>
        <v>ペインター・オブ・ラブ</v>
      </c>
      <c r="D80" s="83" t="str">
        <f ca="1">VLOOKUP($B80,OFFSET([2]quests!$A$1,0,0,COUNTA([2]quests!$A:$A),MATCH(D$1,[2]quests!$1:$1,0)-MATCH($B$1,[2]quests!$1:$1,0)+1),MATCH(D$1,[2]quests!$1:$1,0)-MATCH($B$1,[2]quests!$1:$1,0)+1,FALSE)</f>
        <v>画家シリーズ01</v>
      </c>
      <c r="E80" s="86">
        <v>3</v>
      </c>
      <c r="F80" s="83" t="str">
        <f ca="1">VLOOKUP($B80&amp;"_"&amp;$E80,OFFSET([2]stages!$A$1,0,0,COUNTA([2]stages!$A:$A),MATCH(F$1,[2]stages!$2:$2,0)-MATCH("temp_stage",[2]stages!$2:$2,0)+1),MATCH(F$1,[2]stages!$2:$2,0)-MATCH("temp_stage",[2]stages!$2:$2,0)+1,FALSE)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80" s="83" t="str">
        <f ca="1">VLOOKUP($B80&amp;"_"&amp;$E80,OFFSET([2]stages!$A$1,0,0,COUNTA([2]stages!$A:$A),MATCH(G$1,[2]stages!$2:$2,0)-MATCH("temp_stage",[2]stages!$2:$2,0)+1),MATCH(G$1,[2]stages!$2:$2,0)-MATCH("temp_stage",[2]stages!$2:$2,0)+1,FALSE)</f>
        <v>画家シリーズ01</v>
      </c>
      <c r="H80" s="85">
        <v>0</v>
      </c>
      <c r="I80" s="94">
        <v>25</v>
      </c>
      <c r="J80" s="84" t="s">
        <v>198</v>
      </c>
      <c r="K80" s="91" t="str">
        <f>VLOOKUP(I80,[7]stage_hints!$A:$C,3,FALSE)</f>
        <v>スキルレベルアップ</v>
      </c>
      <c r="L80" s="92" t="str">
        <f>VLOOKUP(I80,[7]stage_hints!$A:$D,4,FALSE)</f>
        <v>「秘術の果実」を強化に使うと_x000D_スキルレベルを上げることができます</v>
      </c>
      <c r="M80" s="57" t="s">
        <v>211</v>
      </c>
    </row>
    <row r="81" spans="1:13" x14ac:dyDescent="0.15">
      <c r="A81" s="81" t="s">
        <v>201</v>
      </c>
      <c r="B81" s="82">
        <f>floors!$C$2</f>
        <v>20021</v>
      </c>
      <c r="C81" s="83" t="str">
        <f ca="1">VLOOKUP($B81,OFFSET([2]quests!$A$1,0,0,COUNTA([2]quests!$A:$A),MATCH(C$1,[2]quests!$1:$1,0)-MATCH($B$1,[2]quests!$1:$1,0)+1),MATCH(C$1,[2]quests!$1:$1,0)-MATCH($B$1,[2]quests!$1:$1,0)+1,FALSE)</f>
        <v>ペインター・オブ・ラブ</v>
      </c>
      <c r="D81" s="83" t="str">
        <f ca="1">VLOOKUP($B81,OFFSET([2]quests!$A$1,0,0,COUNTA([2]quests!$A:$A),MATCH(D$1,[2]quests!$1:$1,0)-MATCH($B$1,[2]quests!$1:$1,0)+1),MATCH(D$1,[2]quests!$1:$1,0)-MATCH($B$1,[2]quests!$1:$1,0)+1,FALSE)</f>
        <v>画家シリーズ01</v>
      </c>
      <c r="E81" s="86">
        <v>3</v>
      </c>
      <c r="F81" s="83" t="str">
        <f ca="1">VLOOKUP($B81&amp;"_"&amp;$E81,OFFSET([2]stages!$A$1,0,0,COUNTA([2]stages!$A:$A),MATCH(F$1,[2]stages!$2:$2,0)-MATCH("temp_stage",[2]stages!$2:$2,0)+1),MATCH(F$1,[2]stages!$2:$2,0)-MATCH("temp_stage",[2]stages!$2:$2,0)+1,FALSE)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81" s="83" t="str">
        <f ca="1">VLOOKUP($B81&amp;"_"&amp;$E81,OFFSET([2]stages!$A$1,0,0,COUNTA([2]stages!$A:$A),MATCH(G$1,[2]stages!$2:$2,0)-MATCH("temp_stage",[2]stages!$2:$2,0)+1),MATCH(G$1,[2]stages!$2:$2,0)-MATCH("temp_stage",[2]stages!$2:$2,0)+1,FALSE)</f>
        <v>画家シリーズ01</v>
      </c>
      <c r="H81" s="85">
        <v>0</v>
      </c>
      <c r="I81" s="94">
        <v>26</v>
      </c>
      <c r="J81" s="84" t="s">
        <v>198</v>
      </c>
      <c r="K81" s="91" t="str">
        <f>VLOOKUP(I81,[7]stage_hints!$A:$C,3,FALSE)</f>
        <v>スキルレベルの効果</v>
      </c>
      <c r="L81" s="92" t="str">
        <f>VLOOKUP(I81,[7]stage_hints!$A:$D,4,FALSE)</f>
        <v>スキルレベルが上がると_x000D_短いターンでスキルを使うことができます</v>
      </c>
      <c r="M81" s="57" t="s">
        <v>211</v>
      </c>
    </row>
    <row r="82" spans="1:13" x14ac:dyDescent="0.15">
      <c r="A82" s="81" t="s">
        <v>201</v>
      </c>
      <c r="B82" s="82">
        <f>floors!$C$2</f>
        <v>20021</v>
      </c>
      <c r="C82" s="83" t="str">
        <f ca="1">VLOOKUP($B82,OFFSET([2]quests!$A$1,0,0,COUNTA([2]quests!$A:$A),MATCH(C$1,[2]quests!$1:$1,0)-MATCH($B$1,[2]quests!$1:$1,0)+1),MATCH(C$1,[2]quests!$1:$1,0)-MATCH($B$1,[2]quests!$1:$1,0)+1,FALSE)</f>
        <v>ペインター・オブ・ラブ</v>
      </c>
      <c r="D82" s="83" t="str">
        <f ca="1">VLOOKUP($B82,OFFSET([2]quests!$A$1,0,0,COUNTA([2]quests!$A:$A),MATCH(D$1,[2]quests!$1:$1,0)-MATCH($B$1,[2]quests!$1:$1,0)+1),MATCH(D$1,[2]quests!$1:$1,0)-MATCH($B$1,[2]quests!$1:$1,0)+1,FALSE)</f>
        <v>画家シリーズ01</v>
      </c>
      <c r="E82" s="86">
        <v>3</v>
      </c>
      <c r="F82" s="83" t="str">
        <f ca="1">VLOOKUP($B82&amp;"_"&amp;$E82,OFFSET([2]stages!$A$1,0,0,COUNTA([2]stages!$A:$A),MATCH(F$1,[2]stages!$2:$2,0)-MATCH("temp_stage",[2]stages!$2:$2,0)+1),MATCH(F$1,[2]stages!$2:$2,0)-MATCH("temp_stage",[2]stages!$2:$2,0)+1,FALSE)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82" s="83" t="str">
        <f ca="1">VLOOKUP($B82&amp;"_"&amp;$E82,OFFSET([2]stages!$A$1,0,0,COUNTA([2]stages!$A:$A),MATCH(G$1,[2]stages!$2:$2,0)-MATCH("temp_stage",[2]stages!$2:$2,0)+1),MATCH(G$1,[2]stages!$2:$2,0)-MATCH("temp_stage",[2]stages!$2:$2,0)+1,FALSE)</f>
        <v>画家シリーズ01</v>
      </c>
      <c r="H82" s="85">
        <v>0</v>
      </c>
      <c r="I82" s="94">
        <v>27</v>
      </c>
      <c r="J82" s="84" t="s">
        <v>198</v>
      </c>
      <c r="K82" s="91" t="str">
        <f>VLOOKUP(I82,[7]stage_hints!$A:$C,3,FALSE)</f>
        <v>ホーム画面からデッキを編成</v>
      </c>
      <c r="L82" s="92" t="str">
        <f>VLOOKUP(I82,[7]stage_hints!$A:$D,4,FALSE)</f>
        <v>ホーム画面でユニットを長押しすると_x000D_すぐにパーティ編成に移動できます</v>
      </c>
      <c r="M82" s="57" t="s">
        <v>211</v>
      </c>
    </row>
    <row r="83" spans="1:13" x14ac:dyDescent="0.15">
      <c r="A83" s="81" t="s">
        <v>201</v>
      </c>
      <c r="B83" s="82">
        <f>floors!$C$2</f>
        <v>20021</v>
      </c>
      <c r="C83" s="83" t="str">
        <f ca="1">VLOOKUP($B83,OFFSET([2]quests!$A$1,0,0,COUNTA([2]quests!$A:$A),MATCH(C$1,[2]quests!$1:$1,0)-MATCH($B$1,[2]quests!$1:$1,0)+1),MATCH(C$1,[2]quests!$1:$1,0)-MATCH($B$1,[2]quests!$1:$1,0)+1,FALSE)</f>
        <v>ペインター・オブ・ラブ</v>
      </c>
      <c r="D83" s="83" t="str">
        <f ca="1">VLOOKUP($B83,OFFSET([2]quests!$A$1,0,0,COUNTA([2]quests!$A:$A),MATCH(D$1,[2]quests!$1:$1,0)-MATCH($B$1,[2]quests!$1:$1,0)+1),MATCH(D$1,[2]quests!$1:$1,0)-MATCH($B$1,[2]quests!$1:$1,0)+1,FALSE)</f>
        <v>画家シリーズ01</v>
      </c>
      <c r="E83" s="86">
        <v>3</v>
      </c>
      <c r="F83" s="83" t="str">
        <f ca="1">VLOOKUP($B83&amp;"_"&amp;$E83,OFFSET([2]stages!$A$1,0,0,COUNTA([2]stages!$A:$A),MATCH(F$1,[2]stages!$2:$2,0)-MATCH("temp_stage",[2]stages!$2:$2,0)+1),MATCH(F$1,[2]stages!$2:$2,0)-MATCH("temp_stage",[2]stages!$2:$2,0)+1,FALSE)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83" s="83" t="str">
        <f ca="1">VLOOKUP($B83&amp;"_"&amp;$E83,OFFSET([2]stages!$A$1,0,0,COUNTA([2]stages!$A:$A),MATCH(G$1,[2]stages!$2:$2,0)-MATCH("temp_stage",[2]stages!$2:$2,0)+1),MATCH(G$1,[2]stages!$2:$2,0)-MATCH("temp_stage",[2]stages!$2:$2,0)+1,FALSE)</f>
        <v>画家シリーズ01</v>
      </c>
      <c r="H83" s="85">
        <v>0</v>
      </c>
      <c r="I83" s="94">
        <v>28</v>
      </c>
      <c r="J83" s="84" t="s">
        <v>198</v>
      </c>
      <c r="K83" s="91" t="str">
        <f>VLOOKUP(I83,[7]stage_hints!$A:$C,3,FALSE)</f>
        <v>ステータス情報は長押しで</v>
      </c>
      <c r="L83" s="92" t="str">
        <f>VLOOKUP(I83,[7]stage_hints!$A:$D,4,FALSE)</f>
        <v>ユニットのアイコンを長押しすると_x000D_ステータス情報を確認することができます</v>
      </c>
      <c r="M83" s="57" t="s">
        <v>211</v>
      </c>
    </row>
    <row r="84" spans="1:13" x14ac:dyDescent="0.15">
      <c r="A84" s="81" t="s">
        <v>201</v>
      </c>
      <c r="B84" s="82">
        <f>floors!$C$2</f>
        <v>20021</v>
      </c>
      <c r="C84" s="83" t="str">
        <f ca="1">VLOOKUP($B84,OFFSET([2]quests!$A$1,0,0,COUNTA([2]quests!$A:$A),MATCH(C$1,[2]quests!$1:$1,0)-MATCH($B$1,[2]quests!$1:$1,0)+1),MATCH(C$1,[2]quests!$1:$1,0)-MATCH($B$1,[2]quests!$1:$1,0)+1,FALSE)</f>
        <v>ペインター・オブ・ラブ</v>
      </c>
      <c r="D84" s="83" t="str">
        <f ca="1">VLOOKUP($B84,OFFSET([2]quests!$A$1,0,0,COUNTA([2]quests!$A:$A),MATCH(D$1,[2]quests!$1:$1,0)-MATCH($B$1,[2]quests!$1:$1,0)+1),MATCH(D$1,[2]quests!$1:$1,0)-MATCH($B$1,[2]quests!$1:$1,0)+1,FALSE)</f>
        <v>画家シリーズ01</v>
      </c>
      <c r="E84" s="86">
        <v>3</v>
      </c>
      <c r="F84" s="83" t="str">
        <f ca="1">VLOOKUP($B84&amp;"_"&amp;$E84,OFFSET([2]stages!$A$1,0,0,COUNTA([2]stages!$A:$A),MATCH(F$1,[2]stages!$2:$2,0)-MATCH("temp_stage",[2]stages!$2:$2,0)+1),MATCH(F$1,[2]stages!$2:$2,0)-MATCH("temp_stage",[2]stages!$2:$2,0)+1,FALSE)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84" s="83" t="str">
        <f ca="1">VLOOKUP($B84&amp;"_"&amp;$E84,OFFSET([2]stages!$A$1,0,0,COUNTA([2]stages!$A:$A),MATCH(G$1,[2]stages!$2:$2,0)-MATCH("temp_stage",[2]stages!$2:$2,0)+1),MATCH(G$1,[2]stages!$2:$2,0)-MATCH("temp_stage",[2]stages!$2:$2,0)+1,FALSE)</f>
        <v>画家シリーズ01</v>
      </c>
      <c r="H84" s="85">
        <v>0</v>
      </c>
      <c r="I84" s="94">
        <v>29</v>
      </c>
      <c r="J84" s="84" t="s">
        <v>198</v>
      </c>
      <c r="K84" s="91" t="str">
        <f>VLOOKUP(I84,[7]stage_hints!$A:$C,3,FALSE)</f>
        <v>「バグ」のメリット</v>
      </c>
      <c r="L84" s="92" t="str">
        <f>VLOOKUP(I84,[7]stage_hints!$A:$D,4,FALSE)</f>
        <v>ユニットの「バグ」を増やすと_x000D_報酬をもらえる確率がアップします</v>
      </c>
      <c r="M84" s="57" t="s">
        <v>211</v>
      </c>
    </row>
    <row r="85" spans="1:13" x14ac:dyDescent="0.15">
      <c r="A85" s="81" t="s">
        <v>201</v>
      </c>
      <c r="B85" s="82">
        <f>floors!$C$2</f>
        <v>20021</v>
      </c>
      <c r="C85" s="83" t="str">
        <f ca="1">VLOOKUP($B85,OFFSET([2]quests!$A$1,0,0,COUNTA([2]quests!$A:$A),MATCH(C$1,[2]quests!$1:$1,0)-MATCH($B$1,[2]quests!$1:$1,0)+1),MATCH(C$1,[2]quests!$1:$1,0)-MATCH($B$1,[2]quests!$1:$1,0)+1,FALSE)</f>
        <v>ペインター・オブ・ラブ</v>
      </c>
      <c r="D85" s="83" t="str">
        <f ca="1">VLOOKUP($B85,OFFSET([2]quests!$A$1,0,0,COUNTA([2]quests!$A:$A),MATCH(D$1,[2]quests!$1:$1,0)-MATCH($B$1,[2]quests!$1:$1,0)+1),MATCH(D$1,[2]quests!$1:$1,0)-MATCH($B$1,[2]quests!$1:$1,0)+1,FALSE)</f>
        <v>画家シリーズ01</v>
      </c>
      <c r="E85" s="86">
        <v>3</v>
      </c>
      <c r="F85" s="83" t="str">
        <f ca="1">VLOOKUP($B85&amp;"_"&amp;$E85,OFFSET([2]stages!$A$1,0,0,COUNTA([2]stages!$A:$A),MATCH(F$1,[2]stages!$2:$2,0)-MATCH("temp_stage",[2]stages!$2:$2,0)+1),MATCH(F$1,[2]stages!$2:$2,0)-MATCH("temp_stage",[2]stages!$2:$2,0)+1,FALSE)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85" s="83" t="str">
        <f ca="1">VLOOKUP($B85&amp;"_"&amp;$E85,OFFSET([2]stages!$A$1,0,0,COUNTA([2]stages!$A:$A),MATCH(G$1,[2]stages!$2:$2,0)-MATCH("temp_stage",[2]stages!$2:$2,0)+1),MATCH(G$1,[2]stages!$2:$2,0)-MATCH("temp_stage",[2]stages!$2:$2,0)+1,FALSE)</f>
        <v>画家シリーズ01</v>
      </c>
      <c r="H85" s="85">
        <v>0</v>
      </c>
      <c r="I85" s="94">
        <v>30</v>
      </c>
      <c r="J85" s="84" t="s">
        <v>198</v>
      </c>
      <c r="K85" s="91" t="str">
        <f>VLOOKUP(I85,[7]stage_hints!$A:$C,3,FALSE)</f>
        <v>「バグ」の増やし方</v>
      </c>
      <c r="L85" s="92" t="str">
        <f>VLOOKUP(I85,[7]stage_hints!$A:$D,4,FALSE)</f>
        <v>同じユニット同士を強化で合成すると_x000D_「バグ」を増やすことができます</v>
      </c>
      <c r="M85" s="57" t="s">
        <v>211</v>
      </c>
    </row>
    <row r="86" spans="1:13" x14ac:dyDescent="0.15">
      <c r="A86" s="81" t="s">
        <v>201</v>
      </c>
      <c r="B86" s="82">
        <f>floors!$C$2</f>
        <v>20021</v>
      </c>
      <c r="C86" s="83" t="str">
        <f ca="1">VLOOKUP($B86,OFFSET([2]quests!$A$1,0,0,COUNTA([2]quests!$A:$A),MATCH(C$1,[2]quests!$1:$1,0)-MATCH($B$1,[2]quests!$1:$1,0)+1),MATCH(C$1,[2]quests!$1:$1,0)-MATCH($B$1,[2]quests!$1:$1,0)+1,FALSE)</f>
        <v>ペインター・オブ・ラブ</v>
      </c>
      <c r="D86" s="83" t="str">
        <f ca="1">VLOOKUP($B86,OFFSET([2]quests!$A$1,0,0,COUNTA([2]quests!$A:$A),MATCH(D$1,[2]quests!$1:$1,0)-MATCH($B$1,[2]quests!$1:$1,0)+1),MATCH(D$1,[2]quests!$1:$1,0)-MATCH($B$1,[2]quests!$1:$1,0)+1,FALSE)</f>
        <v>画家シリーズ01</v>
      </c>
      <c r="E86" s="86">
        <v>3</v>
      </c>
      <c r="F86" s="83" t="str">
        <f ca="1">VLOOKUP($B86&amp;"_"&amp;$E86,OFFSET([2]stages!$A$1,0,0,COUNTA([2]stages!$A:$A),MATCH(F$1,[2]stages!$2:$2,0)-MATCH("temp_stage",[2]stages!$2:$2,0)+1),MATCH(F$1,[2]stages!$2:$2,0)-MATCH("temp_stage",[2]stages!$2:$2,0)+1,FALSE)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86" s="83" t="str">
        <f ca="1">VLOOKUP($B86&amp;"_"&amp;$E86,OFFSET([2]stages!$A$1,0,0,COUNTA([2]stages!$A:$A),MATCH(G$1,[2]stages!$2:$2,0)-MATCH("temp_stage",[2]stages!$2:$2,0)+1),MATCH(G$1,[2]stages!$2:$2,0)-MATCH("temp_stage",[2]stages!$2:$2,0)+1,FALSE)</f>
        <v>画家シリーズ01</v>
      </c>
      <c r="H86" s="85">
        <v>0</v>
      </c>
      <c r="I86" s="94">
        <v>31</v>
      </c>
      <c r="J86" s="84" t="s">
        <v>198</v>
      </c>
      <c r="K86" s="91" t="str">
        <f>VLOOKUP(I86,[7]stage_hints!$A:$C,3,FALSE)</f>
        <v>イベントはお知らせでチェック</v>
      </c>
      <c r="L86" s="92" t="str">
        <f>VLOOKUP(I86,[7]stage_hints!$A:$D,4,FALSE)</f>
        <v>イベント限定ユニットを取り忘れないように_x000D_お知らせをこまめにチェックしましょう</v>
      </c>
      <c r="M86" s="57" t="s">
        <v>211</v>
      </c>
    </row>
    <row r="87" spans="1:13" x14ac:dyDescent="0.15">
      <c r="A87" s="81" t="s">
        <v>201</v>
      </c>
      <c r="B87" s="82">
        <f>floors!$C$2</f>
        <v>20021</v>
      </c>
      <c r="C87" s="83" t="str">
        <f ca="1">VLOOKUP($B87,OFFSET([2]quests!$A$1,0,0,COUNTA([2]quests!$A:$A),MATCH(C$1,[2]quests!$1:$1,0)-MATCH($B$1,[2]quests!$1:$1,0)+1),MATCH(C$1,[2]quests!$1:$1,0)-MATCH($B$1,[2]quests!$1:$1,0)+1,FALSE)</f>
        <v>ペインター・オブ・ラブ</v>
      </c>
      <c r="D87" s="83" t="str">
        <f ca="1">VLOOKUP($B87,OFFSET([2]quests!$A$1,0,0,COUNTA([2]quests!$A:$A),MATCH(D$1,[2]quests!$1:$1,0)-MATCH($B$1,[2]quests!$1:$1,0)+1),MATCH(D$1,[2]quests!$1:$1,0)-MATCH($B$1,[2]quests!$1:$1,0)+1,FALSE)</f>
        <v>画家シリーズ01</v>
      </c>
      <c r="E87" s="86">
        <v>3</v>
      </c>
      <c r="F87" s="83" t="str">
        <f ca="1">VLOOKUP($B87&amp;"_"&amp;$E87,OFFSET([2]stages!$A$1,0,0,COUNTA([2]stages!$A:$A),MATCH(F$1,[2]stages!$2:$2,0)-MATCH("temp_stage",[2]stages!$2:$2,0)+1),MATCH(F$1,[2]stages!$2:$2,0)-MATCH("temp_stage",[2]stages!$2:$2,0)+1,FALSE)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87" s="83" t="str">
        <f ca="1">VLOOKUP($B87&amp;"_"&amp;$E87,OFFSET([2]stages!$A$1,0,0,COUNTA([2]stages!$A:$A),MATCH(G$1,[2]stages!$2:$2,0)-MATCH("temp_stage",[2]stages!$2:$2,0)+1),MATCH(G$1,[2]stages!$2:$2,0)-MATCH("temp_stage",[2]stages!$2:$2,0)+1,FALSE)</f>
        <v>画家シリーズ01</v>
      </c>
      <c r="H87" s="85">
        <v>0</v>
      </c>
      <c r="I87" s="94">
        <v>32</v>
      </c>
      <c r="J87" s="84" t="s">
        <v>198</v>
      </c>
      <c r="K87" s="91" t="str">
        <f>VLOOKUP(I87,[7]stage_hints!$A:$C,3,FALSE)</f>
        <v>敵の連続攻撃には</v>
      </c>
      <c r="L87" s="92" t="str">
        <f>VLOOKUP(I87,[7]stage_hints!$A:$D,4,FALSE)</f>
        <v>カウンタースキルを持つユニットがいれば_x000D_ダメージ回数分の反撃ができます</v>
      </c>
      <c r="M87" s="57" t="s">
        <v>211</v>
      </c>
    </row>
    <row r="88" spans="1:13" x14ac:dyDescent="0.15">
      <c r="A88" s="81" t="s">
        <v>201</v>
      </c>
      <c r="B88" s="82">
        <f>floors!$C$2</f>
        <v>20021</v>
      </c>
      <c r="C88" s="83" t="str">
        <f ca="1">VLOOKUP($B88,OFFSET([2]quests!$A$1,0,0,COUNTA([2]quests!$A:$A),MATCH(C$1,[2]quests!$1:$1,0)-MATCH($B$1,[2]quests!$1:$1,0)+1),MATCH(C$1,[2]quests!$1:$1,0)-MATCH($B$1,[2]quests!$1:$1,0)+1,FALSE)</f>
        <v>ペインター・オブ・ラブ</v>
      </c>
      <c r="D88" s="83" t="str">
        <f ca="1">VLOOKUP($B88,OFFSET([2]quests!$A$1,0,0,COUNTA([2]quests!$A:$A),MATCH(D$1,[2]quests!$1:$1,0)-MATCH($B$1,[2]quests!$1:$1,0)+1),MATCH(D$1,[2]quests!$1:$1,0)-MATCH($B$1,[2]quests!$1:$1,0)+1,FALSE)</f>
        <v>画家シリーズ01</v>
      </c>
      <c r="E88" s="86">
        <v>3</v>
      </c>
      <c r="F88" s="83" t="str">
        <f ca="1">VLOOKUP($B88&amp;"_"&amp;$E88,OFFSET([2]stages!$A$1,0,0,COUNTA([2]stages!$A:$A),MATCH(F$1,[2]stages!$2:$2,0)-MATCH("temp_stage",[2]stages!$2:$2,0)+1),MATCH(F$1,[2]stages!$2:$2,0)-MATCH("temp_stage",[2]stages!$2:$2,0)+1,FALSE)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88" s="83" t="str">
        <f ca="1">VLOOKUP($B88&amp;"_"&amp;$E88,OFFSET([2]stages!$A$1,0,0,COUNTA([2]stages!$A:$A),MATCH(G$1,[2]stages!$2:$2,0)-MATCH("temp_stage",[2]stages!$2:$2,0)+1),MATCH(G$1,[2]stages!$2:$2,0)-MATCH("temp_stage",[2]stages!$2:$2,0)+1,FALSE)</f>
        <v>画家シリーズ01</v>
      </c>
      <c r="H88" s="85">
        <v>0</v>
      </c>
      <c r="I88" s="94">
        <v>33</v>
      </c>
      <c r="J88" s="84" t="s">
        <v>198</v>
      </c>
      <c r="K88" s="91" t="str">
        <f>VLOOKUP(I88,[7]stage_hints!$A:$C,3,FALSE)</f>
        <v>敵のカウンター攻撃には</v>
      </c>
      <c r="L88" s="92" t="str">
        <f>VLOOKUP(I88,[7]stage_hints!$A:$D,4,FALSE)</f>
        <v>カウンターブレイクスキルを持っていれば_x000D_敵のカウンターを解除して攻撃ができます</v>
      </c>
      <c r="M88" s="57" t="s">
        <v>211</v>
      </c>
    </row>
    <row r="89" spans="1:13" x14ac:dyDescent="0.15">
      <c r="A89" s="81" t="s">
        <v>201</v>
      </c>
      <c r="B89" s="82">
        <f>floors!$C$2</f>
        <v>20021</v>
      </c>
      <c r="C89" s="83" t="str">
        <f ca="1">VLOOKUP($B89,OFFSET([2]quests!$A$1,0,0,COUNTA([2]quests!$A:$A),MATCH(C$1,[2]quests!$1:$1,0)-MATCH($B$1,[2]quests!$1:$1,0)+1),MATCH(C$1,[2]quests!$1:$1,0)-MATCH($B$1,[2]quests!$1:$1,0)+1,FALSE)</f>
        <v>ペインター・オブ・ラブ</v>
      </c>
      <c r="D89" s="83" t="str">
        <f ca="1">VLOOKUP($B89,OFFSET([2]quests!$A$1,0,0,COUNTA([2]quests!$A:$A),MATCH(D$1,[2]quests!$1:$1,0)-MATCH($B$1,[2]quests!$1:$1,0)+1),MATCH(D$1,[2]quests!$1:$1,0)-MATCH($B$1,[2]quests!$1:$1,0)+1,FALSE)</f>
        <v>画家シリーズ01</v>
      </c>
      <c r="E89" s="86">
        <v>3</v>
      </c>
      <c r="F89" s="83" t="str">
        <f ca="1">VLOOKUP($B89&amp;"_"&amp;$E89,OFFSET([2]stages!$A$1,0,0,COUNTA([2]stages!$A:$A),MATCH(F$1,[2]stages!$2:$2,0)-MATCH("temp_stage",[2]stages!$2:$2,0)+1),MATCH(F$1,[2]stages!$2:$2,0)-MATCH("temp_stage",[2]stages!$2:$2,0)+1,FALSE)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89" s="83" t="str">
        <f ca="1">VLOOKUP($B89&amp;"_"&amp;$E89,OFFSET([2]stages!$A$1,0,0,COUNTA([2]stages!$A:$A),MATCH(G$1,[2]stages!$2:$2,0)-MATCH("temp_stage",[2]stages!$2:$2,0)+1),MATCH(G$1,[2]stages!$2:$2,0)-MATCH("temp_stage",[2]stages!$2:$2,0)+1,FALSE)</f>
        <v>画家シリーズ01</v>
      </c>
      <c r="H89" s="85">
        <v>0</v>
      </c>
      <c r="I89" s="94">
        <v>34</v>
      </c>
      <c r="J89" s="84" t="s">
        <v>198</v>
      </c>
      <c r="K89" s="91" t="str">
        <f>VLOOKUP(I89,[7]stage_hints!$A:$C,3,FALSE)</f>
        <v>ステータスをスキルで下げられたら</v>
      </c>
      <c r="L89" s="92" t="str">
        <f>VLOOKUP(I89,[7]stage_hints!$A:$D,4,FALSE)</f>
        <v>ステータスダウンのスキルを受けたら_x000D_ステータスアップスキルで上書きしましょう</v>
      </c>
      <c r="M89" s="57" t="s">
        <v>211</v>
      </c>
    </row>
    <row r="90" spans="1:13" x14ac:dyDescent="0.15">
      <c r="A90" s="81" t="s">
        <v>201</v>
      </c>
      <c r="B90" s="82">
        <f>floors!$C$2</f>
        <v>20021</v>
      </c>
      <c r="C90" s="83" t="str">
        <f ca="1">VLOOKUP($B90,OFFSET([2]quests!$A$1,0,0,COUNTA([2]quests!$A:$A),MATCH(C$1,[2]quests!$1:$1,0)-MATCH($B$1,[2]quests!$1:$1,0)+1),MATCH(C$1,[2]quests!$1:$1,0)-MATCH($B$1,[2]quests!$1:$1,0)+1,FALSE)</f>
        <v>ペインター・オブ・ラブ</v>
      </c>
      <c r="D90" s="83" t="str">
        <f ca="1">VLOOKUP($B90,OFFSET([2]quests!$A$1,0,0,COUNTA([2]quests!$A:$A),MATCH(D$1,[2]quests!$1:$1,0)-MATCH($B$1,[2]quests!$1:$1,0)+1),MATCH(D$1,[2]quests!$1:$1,0)-MATCH($B$1,[2]quests!$1:$1,0)+1,FALSE)</f>
        <v>画家シリーズ01</v>
      </c>
      <c r="E90" s="86">
        <v>3</v>
      </c>
      <c r="F90" s="83" t="str">
        <f ca="1">VLOOKUP($B90&amp;"_"&amp;$E90,OFFSET([2]stages!$A$1,0,0,COUNTA([2]stages!$A:$A),MATCH(F$1,[2]stages!$2:$2,0)-MATCH("temp_stage",[2]stages!$2:$2,0)+1),MATCH(F$1,[2]stages!$2:$2,0)-MATCH("temp_stage",[2]stages!$2:$2,0)+1,FALSE)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90" s="83" t="str">
        <f ca="1">VLOOKUP($B90&amp;"_"&amp;$E90,OFFSET([2]stages!$A$1,0,0,COUNTA([2]stages!$A:$A),MATCH(G$1,[2]stages!$2:$2,0)-MATCH("temp_stage",[2]stages!$2:$2,0)+1),MATCH(G$1,[2]stages!$2:$2,0)-MATCH("temp_stage",[2]stages!$2:$2,0)+1,FALSE)</f>
        <v>画家シリーズ01</v>
      </c>
      <c r="H90" s="85">
        <v>0</v>
      </c>
      <c r="I90" s="94">
        <v>35</v>
      </c>
      <c r="J90" s="84" t="s">
        <v>198</v>
      </c>
      <c r="K90" s="91" t="str">
        <f>VLOOKUP(I90,[7]stage_hints!$A:$C,3,FALSE)</f>
        <v>敵のステータスがスキルで上がったら</v>
      </c>
      <c r="L90" s="92" t="str">
        <f>VLOOKUP(I90,[7]stage_hints!$A:$D,4,FALSE)</f>
        <v>敵のステータスがスキルでアップしたときは_x000D_ステータスダウンスキルで上書きしましょう</v>
      </c>
      <c r="M90" s="57" t="s">
        <v>211</v>
      </c>
    </row>
    <row r="91" spans="1:13" x14ac:dyDescent="0.15">
      <c r="A91" s="81" t="s">
        <v>201</v>
      </c>
      <c r="B91" s="82">
        <f>floors!$C$2</f>
        <v>20021</v>
      </c>
      <c r="C91" s="83" t="str">
        <f ca="1">VLOOKUP($B91,OFFSET([2]quests!$A$1,0,0,COUNTA([2]quests!$A:$A),MATCH(C$1,[2]quests!$1:$1,0)-MATCH($B$1,[2]quests!$1:$1,0)+1),MATCH(C$1,[2]quests!$1:$1,0)-MATCH($B$1,[2]quests!$1:$1,0)+1,FALSE)</f>
        <v>ペインター・オブ・ラブ</v>
      </c>
      <c r="D91" s="83" t="str">
        <f ca="1">VLOOKUP($B91,OFFSET([2]quests!$A$1,0,0,COUNTA([2]quests!$A:$A),MATCH(D$1,[2]quests!$1:$1,0)-MATCH($B$1,[2]quests!$1:$1,0)+1),MATCH(D$1,[2]quests!$1:$1,0)-MATCH($B$1,[2]quests!$1:$1,0)+1,FALSE)</f>
        <v>画家シリーズ01</v>
      </c>
      <c r="E91" s="86">
        <v>3</v>
      </c>
      <c r="F91" s="83" t="str">
        <f ca="1">VLOOKUP($B91&amp;"_"&amp;$E91,OFFSET([2]stages!$A$1,0,0,COUNTA([2]stages!$A:$A),MATCH(F$1,[2]stages!$2:$2,0)-MATCH("temp_stage",[2]stages!$2:$2,0)+1),MATCH(F$1,[2]stages!$2:$2,0)-MATCH("temp_stage",[2]stages!$2:$2,0)+1,FALSE)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91" s="83" t="str">
        <f ca="1">VLOOKUP($B91&amp;"_"&amp;$E91,OFFSET([2]stages!$A$1,0,0,COUNTA([2]stages!$A:$A),MATCH(G$1,[2]stages!$2:$2,0)-MATCH("temp_stage",[2]stages!$2:$2,0)+1),MATCH(G$1,[2]stages!$2:$2,0)-MATCH("temp_stage",[2]stages!$2:$2,0)+1,FALSE)</f>
        <v>画家シリーズ01</v>
      </c>
      <c r="H91" s="85">
        <v>0</v>
      </c>
      <c r="I91" s="94">
        <v>36</v>
      </c>
      <c r="J91" s="84" t="s">
        <v>198</v>
      </c>
      <c r="K91" s="91" t="str">
        <f>VLOOKUP(I91,[7]stage_hints!$A:$C,3,FALSE)</f>
        <v>タワーオブザクイーンのボス</v>
      </c>
      <c r="L91" s="92" t="str">
        <f>VLOOKUP(I91,[7]stage_hints!$A:$D,4,FALSE)</f>
        <v>「タワーオブザクイーン」最上階のボスは_x000D_15階の初回クリア報酬で獲得できるほか_x000D_その階にて低確率でドロップもします</v>
      </c>
      <c r="M91" s="57" t="s">
        <v>211</v>
      </c>
    </row>
    <row r="92" spans="1:13" x14ac:dyDescent="0.15">
      <c r="A92" s="81" t="s">
        <v>201</v>
      </c>
      <c r="B92" s="82">
        <f>floors!$C$2</f>
        <v>20021</v>
      </c>
      <c r="C92" s="83" t="str">
        <f ca="1">VLOOKUP($B92,OFFSET([2]quests!$A$1,0,0,COUNTA([2]quests!$A:$A),MATCH(C$1,[2]quests!$1:$1,0)-MATCH($B$1,[2]quests!$1:$1,0)+1),MATCH(C$1,[2]quests!$1:$1,0)-MATCH($B$1,[2]quests!$1:$1,0)+1,FALSE)</f>
        <v>ペインター・オブ・ラブ</v>
      </c>
      <c r="D92" s="83" t="str">
        <f ca="1">VLOOKUP($B92,OFFSET([2]quests!$A$1,0,0,COUNTA([2]quests!$A:$A),MATCH(D$1,[2]quests!$1:$1,0)-MATCH($B$1,[2]quests!$1:$1,0)+1),MATCH(D$1,[2]quests!$1:$1,0)-MATCH($B$1,[2]quests!$1:$1,0)+1,FALSE)</f>
        <v>画家シリーズ01</v>
      </c>
      <c r="E92" s="86">
        <v>3</v>
      </c>
      <c r="F92" s="83" t="str">
        <f ca="1">VLOOKUP($B92&amp;"_"&amp;$E92,OFFSET([2]stages!$A$1,0,0,COUNTA([2]stages!$A:$A),MATCH(F$1,[2]stages!$2:$2,0)-MATCH("temp_stage",[2]stages!$2:$2,0)+1),MATCH(F$1,[2]stages!$2:$2,0)-MATCH("temp_stage",[2]stages!$2:$2,0)+1,FALSE)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92" s="83" t="str">
        <f ca="1">VLOOKUP($B92&amp;"_"&amp;$E92,OFFSET([2]stages!$A$1,0,0,COUNTA([2]stages!$A:$A),MATCH(G$1,[2]stages!$2:$2,0)-MATCH("temp_stage",[2]stages!$2:$2,0)+1),MATCH(G$1,[2]stages!$2:$2,0)-MATCH("temp_stage",[2]stages!$2:$2,0)+1,FALSE)</f>
        <v>画家シリーズ01</v>
      </c>
      <c r="H92" s="85">
        <v>0</v>
      </c>
      <c r="I92" s="94">
        <v>37</v>
      </c>
      <c r="J92" s="84" t="s">
        <v>198</v>
      </c>
      <c r="K92" s="91" t="str">
        <f>VLOOKUP(I92,[7]stage_hints!$A:$C,3,FALSE)</f>
        <v>限界突破値の引き継ぎ</v>
      </c>
      <c r="L92" s="92" t="str">
        <f>VLOOKUP(I92,[7]stage_hints!$A:$D,4,FALSE)</f>
        <v>同じユニットを強化で合成すると_x000D_限界突破値を引き継げます（覚醒前後も可）</v>
      </c>
      <c r="M92" s="57" t="s">
        <v>211</v>
      </c>
    </row>
    <row r="93" spans="1:13" x14ac:dyDescent="0.15">
      <c r="A93" s="81" t="s">
        <v>201</v>
      </c>
      <c r="B93" s="82">
        <f>floors!$C$2</f>
        <v>20021</v>
      </c>
      <c r="C93" s="83" t="str">
        <f ca="1">VLOOKUP($B93,OFFSET([2]quests!$A$1,0,0,COUNTA([2]quests!$A:$A),MATCH(C$1,[2]quests!$1:$1,0)-MATCH($B$1,[2]quests!$1:$1,0)+1),MATCH(C$1,[2]quests!$1:$1,0)-MATCH($B$1,[2]quests!$1:$1,0)+1,FALSE)</f>
        <v>ペインター・オブ・ラブ</v>
      </c>
      <c r="D93" s="83" t="str">
        <f ca="1">VLOOKUP($B93,OFFSET([2]quests!$A$1,0,0,COUNTA([2]quests!$A:$A),MATCH(D$1,[2]quests!$1:$1,0)-MATCH($B$1,[2]quests!$1:$1,0)+1),MATCH(D$1,[2]quests!$1:$1,0)-MATCH($B$1,[2]quests!$1:$1,0)+1,FALSE)</f>
        <v>画家シリーズ01</v>
      </c>
      <c r="E93" s="86">
        <v>3</v>
      </c>
      <c r="F93" s="83" t="str">
        <f ca="1">VLOOKUP($B93&amp;"_"&amp;$E93,OFFSET([2]stages!$A$1,0,0,COUNTA([2]stages!$A:$A),MATCH(F$1,[2]stages!$2:$2,0)-MATCH("temp_stage",[2]stages!$2:$2,0)+1),MATCH(F$1,[2]stages!$2:$2,0)-MATCH("temp_stage",[2]stages!$2:$2,0)+1,FALSE)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93" s="83" t="str">
        <f ca="1">VLOOKUP($B93&amp;"_"&amp;$E93,OFFSET([2]stages!$A$1,0,0,COUNTA([2]stages!$A:$A),MATCH(G$1,[2]stages!$2:$2,0)-MATCH("temp_stage",[2]stages!$2:$2,0)+1),MATCH(G$1,[2]stages!$2:$2,0)-MATCH("temp_stage",[2]stages!$2:$2,0)+1,FALSE)</f>
        <v>画家シリーズ01</v>
      </c>
      <c r="H93" s="85">
        <v>0</v>
      </c>
      <c r="I93" s="94">
        <v>39</v>
      </c>
      <c r="J93" s="84" t="s">
        <v>198</v>
      </c>
      <c r="K93" s="91" t="str">
        <f>VLOOKUP(I93,[7]stage_hints!$A:$C,3,FALSE)</f>
        <v>システム適合者を確認</v>
      </c>
      <c r="L93" s="92" t="str">
        <f>VLOOKUP(I93,[7]stage_hints!$A:$D,4,FALSE)</f>
        <v>ALICEが 「アナタ」を呼んでいます</v>
      </c>
      <c r="M93" s="57" t="s">
        <v>211</v>
      </c>
    </row>
  </sheetData>
  <phoneticPr fontId="5"/>
  <dataValidations count="1">
    <dataValidation type="list" allowBlank="1" showInputMessage="1" showErrorMessage="1" sqref="A2:A9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2"/>
  <sheetViews>
    <sheetView showGridLines="0" workbookViewId="0">
      <pane ySplit="1" topLeftCell="A2" activePane="bottomLeft" state="frozen"/>
      <selection pane="bottomLeft" activeCell="M10" sqref="M10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189</v>
      </c>
      <c r="B1" s="73" t="s">
        <v>150</v>
      </c>
      <c r="C1" s="77" t="s">
        <v>191</v>
      </c>
      <c r="D1" s="77" t="s">
        <v>33</v>
      </c>
      <c r="E1" s="73" t="s">
        <v>192</v>
      </c>
      <c r="F1" s="77" t="s">
        <v>18</v>
      </c>
      <c r="G1" s="77" t="s">
        <v>33</v>
      </c>
      <c r="H1" s="73" t="s">
        <v>194</v>
      </c>
      <c r="I1" s="88" t="s">
        <v>195</v>
      </c>
      <c r="J1" s="89" t="s">
        <v>196</v>
      </c>
      <c r="K1" s="79" t="s">
        <v>126</v>
      </c>
      <c r="L1" s="78" t="s">
        <v>187</v>
      </c>
      <c r="M1" s="90" t="s">
        <v>186</v>
      </c>
      <c r="N1" s="80" t="s">
        <v>197</v>
      </c>
    </row>
    <row r="2" spans="1:14" ht="50" customHeight="1" x14ac:dyDescent="0.15">
      <c r="A2" s="211" t="s">
        <v>317</v>
      </c>
      <c r="B2" s="212">
        <f>floors!$C$2</f>
        <v>20021</v>
      </c>
      <c r="C2" s="83" t="str">
        <f ca="1">VLOOKUP($B2,OFFSET([2]quests!$A$1,0,0,COUNTA([2]quests!$A:$A),MATCH(C$1,[2]quests!$1:$1,0)-MATCH($B$1,[2]quests!$1:$1,0)+1),MATCH(C$1,[2]quests!$1:$1,0)-MATCH($B$1,[2]quests!$1:$1,0)+1,FALSE)</f>
        <v>ペインター・オブ・ラブ</v>
      </c>
      <c r="D2" s="83" t="str">
        <f ca="1">VLOOKUP($B2,OFFSET([2]quests!$A$1,0,0,COUNTA([2]quests!$A:$A),MATCH(D$1,[2]quests!$1:$1,0)-MATCH($B$1,[2]quests!$1:$1,0)+1),MATCH(D$1,[2]quests!$1:$1,0)-MATCH($B$1,[2]quests!$1:$1,0)+1,FALSE)</f>
        <v>画家シリーズ01</v>
      </c>
      <c r="E2" s="213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【初級】ペインター・オブ・ラブ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画家シリーズ01</v>
      </c>
      <c r="H2" s="85">
        <v>2</v>
      </c>
      <c r="I2" s="214">
        <f>ROW()-1</f>
        <v>1</v>
      </c>
      <c r="J2" s="215" t="str">
        <f>B2&amp;TEXT(I2,"00")</f>
        <v>2002101</v>
      </c>
      <c r="K2" s="213" t="s">
        <v>198</v>
      </c>
      <c r="L2" s="216" t="s">
        <v>199</v>
      </c>
      <c r="M2" s="218" t="s">
        <v>324</v>
      </c>
      <c r="N2" s="217" t="s">
        <v>200</v>
      </c>
    </row>
    <row r="3" spans="1:14" ht="50" customHeight="1" x14ac:dyDescent="0.15">
      <c r="A3" s="211" t="s">
        <v>317</v>
      </c>
      <c r="B3" s="212">
        <f>floors!$C$2</f>
        <v>20021</v>
      </c>
      <c r="C3" s="83" t="str">
        <f ca="1">VLOOKUP($B3,OFFSET([2]quests!$A$1,0,0,COUNTA([2]quests!$A:$A),MATCH(C$1,[2]quests!$1:$1,0)-MATCH($B$1,[2]quests!$1:$1,0)+1),MATCH(C$1,[2]quests!$1:$1,0)-MATCH($B$1,[2]quests!$1:$1,0)+1,FALSE)</f>
        <v>ペインター・オブ・ラブ</v>
      </c>
      <c r="D3" s="83" t="str">
        <f ca="1">VLOOKUP($B3,OFFSET([2]quests!$A$1,0,0,COUNTA([2]quests!$A:$A),MATCH(D$1,[2]quests!$1:$1,0)-MATCH($B$1,[2]quests!$1:$1,0)+1),MATCH(D$1,[2]quests!$1:$1,0)-MATCH($B$1,[2]quests!$1:$1,0)+1,FALSE)</f>
        <v>画家シリーズ01</v>
      </c>
      <c r="E3" s="213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【初級】ペインター・オブ・ラブ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画家シリーズ01</v>
      </c>
      <c r="H3" s="85">
        <v>4</v>
      </c>
      <c r="I3" s="214">
        <f t="shared" ref="I3:I10" si="0">ROW()-1</f>
        <v>2</v>
      </c>
      <c r="J3" s="215" t="str">
        <f t="shared" ref="J3:J10" si="1">B3&amp;TEXT(I3,"00")</f>
        <v>2002102</v>
      </c>
      <c r="K3" s="213" t="s">
        <v>127</v>
      </c>
      <c r="L3" s="216" t="s">
        <v>199</v>
      </c>
      <c r="M3" s="218" t="s">
        <v>326</v>
      </c>
      <c r="N3" s="217" t="s">
        <v>200</v>
      </c>
    </row>
    <row r="4" spans="1:14" ht="62" customHeight="1" x14ac:dyDescent="0.15">
      <c r="A4" s="211" t="s">
        <v>317</v>
      </c>
      <c r="B4" s="212">
        <f>floors!$C$2</f>
        <v>20021</v>
      </c>
      <c r="C4" s="83" t="str">
        <f ca="1">VLOOKUP($B4,OFFSET([2]quests!$A$1,0,0,COUNTA([2]quests!$A:$A),MATCH(C$1,[2]quests!$1:$1,0)-MATCH($B$1,[2]quests!$1:$1,0)+1),MATCH(C$1,[2]quests!$1:$1,0)-MATCH($B$1,[2]quests!$1:$1,0)+1,FALSE)</f>
        <v>ペインター・オブ・ラブ</v>
      </c>
      <c r="D4" s="83" t="str">
        <f ca="1">VLOOKUP($B4,OFFSET([2]quests!$A$1,0,0,COUNTA([2]quests!$A:$A),MATCH(D$1,[2]quests!$1:$1,0)-MATCH($B$1,[2]quests!$1:$1,0)+1),MATCH(D$1,[2]quests!$1:$1,0)-MATCH($B$1,[2]quests!$1:$1,0)+1,FALSE)</f>
        <v>画家シリーズ01</v>
      </c>
      <c r="E4" s="213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【初級】ペインター・オブ・ラブ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画家シリーズ01</v>
      </c>
      <c r="H4" s="85">
        <v>4</v>
      </c>
      <c r="I4" s="214">
        <f t="shared" si="0"/>
        <v>3</v>
      </c>
      <c r="J4" s="215" t="str">
        <f t="shared" si="1"/>
        <v>2002103</v>
      </c>
      <c r="K4" s="213" t="s">
        <v>127</v>
      </c>
      <c r="L4" s="216" t="s">
        <v>199</v>
      </c>
      <c r="M4" s="218" t="s">
        <v>325</v>
      </c>
      <c r="N4" s="217" t="s">
        <v>200</v>
      </c>
    </row>
    <row r="5" spans="1:14" ht="50" customHeight="1" x14ac:dyDescent="0.15">
      <c r="A5" s="211" t="s">
        <v>317</v>
      </c>
      <c r="B5" s="212">
        <f>floors!$C$2</f>
        <v>20021</v>
      </c>
      <c r="C5" s="83" t="str">
        <f ca="1">VLOOKUP($B5,OFFSET([2]quests!$A$1,0,0,COUNTA([2]quests!$A:$A),MATCH(C$1,[2]quests!$1:$1,0)-MATCH($B$1,[2]quests!$1:$1,0)+1),MATCH(C$1,[2]quests!$1:$1,0)-MATCH($B$1,[2]quests!$1:$1,0)+1,FALSE)</f>
        <v>ペインター・オブ・ラブ</v>
      </c>
      <c r="D5" s="83" t="str">
        <f ca="1">VLOOKUP($B5,OFFSET([2]quests!$A$1,0,0,COUNTA([2]quests!$A:$A),MATCH(D$1,[2]quests!$1:$1,0)-MATCH($B$1,[2]quests!$1:$1,0)+1),MATCH(D$1,[2]quests!$1:$1,0)-MATCH($B$1,[2]quests!$1:$1,0)+1,FALSE)</f>
        <v>画家シリーズ01</v>
      </c>
      <c r="E5" s="213">
        <v>2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画家シリーズ01</v>
      </c>
      <c r="H5" s="85">
        <v>2</v>
      </c>
      <c r="I5" s="214">
        <f t="shared" si="0"/>
        <v>4</v>
      </c>
      <c r="J5" s="215" t="str">
        <f t="shared" si="1"/>
        <v>2002104</v>
      </c>
      <c r="K5" s="213" t="s">
        <v>127</v>
      </c>
      <c r="L5" s="216" t="s">
        <v>199</v>
      </c>
      <c r="M5" s="218" t="s">
        <v>318</v>
      </c>
      <c r="N5" s="217" t="s">
        <v>200</v>
      </c>
    </row>
    <row r="6" spans="1:14" ht="50" customHeight="1" x14ac:dyDescent="0.15">
      <c r="A6" s="211" t="s">
        <v>317</v>
      </c>
      <c r="B6" s="212">
        <f>floors!$C$2</f>
        <v>20021</v>
      </c>
      <c r="C6" s="83" t="str">
        <f ca="1">VLOOKUP($B6,OFFSET([2]quests!$A$1,0,0,COUNTA([2]quests!$A:$A),MATCH(C$1,[2]quests!$1:$1,0)-MATCH($B$1,[2]quests!$1:$1,0)+1),MATCH(C$1,[2]quests!$1:$1,0)-MATCH($B$1,[2]quests!$1:$1,0)+1,FALSE)</f>
        <v>ペインター・オブ・ラブ</v>
      </c>
      <c r="D6" s="83" t="str">
        <f ca="1">VLOOKUP($B6,OFFSET([2]quests!$A$1,0,0,COUNTA([2]quests!$A:$A),MATCH(D$1,[2]quests!$1:$1,0)-MATCH($B$1,[2]quests!$1:$1,0)+1),MATCH(D$1,[2]quests!$1:$1,0)-MATCH($B$1,[2]quests!$1:$1,0)+1,FALSE)</f>
        <v>画家シリーズ01</v>
      </c>
      <c r="E6" s="213">
        <v>2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画家シリーズ01</v>
      </c>
      <c r="H6" s="85">
        <v>4</v>
      </c>
      <c r="I6" s="214">
        <f t="shared" si="0"/>
        <v>5</v>
      </c>
      <c r="J6" s="215" t="str">
        <f t="shared" si="1"/>
        <v>2002105</v>
      </c>
      <c r="K6" s="213" t="s">
        <v>127</v>
      </c>
      <c r="L6" s="216" t="s">
        <v>199</v>
      </c>
      <c r="M6" s="218" t="s">
        <v>319</v>
      </c>
      <c r="N6" s="217" t="s">
        <v>200</v>
      </c>
    </row>
    <row r="7" spans="1:14" ht="63" customHeight="1" x14ac:dyDescent="0.15">
      <c r="A7" s="211" t="s">
        <v>317</v>
      </c>
      <c r="B7" s="212">
        <f>floors!$C$2</f>
        <v>20021</v>
      </c>
      <c r="C7" s="83" t="str">
        <f ca="1">VLOOKUP($B7,OFFSET([2]quests!$A$1,0,0,COUNTA([2]quests!$A:$A),MATCH(C$1,[2]quests!$1:$1,0)-MATCH($B$1,[2]quests!$1:$1,0)+1),MATCH(C$1,[2]quests!$1:$1,0)-MATCH($B$1,[2]quests!$1:$1,0)+1,FALSE)</f>
        <v>ペインター・オブ・ラブ</v>
      </c>
      <c r="D7" s="83" t="str">
        <f ca="1">VLOOKUP($B7,OFFSET([2]quests!$A$1,0,0,COUNTA([2]quests!$A:$A),MATCH(D$1,[2]quests!$1:$1,0)-MATCH($B$1,[2]quests!$1:$1,0)+1),MATCH(D$1,[2]quests!$1:$1,0)-MATCH($B$1,[2]quests!$1:$1,0)+1,FALSE)</f>
        <v>画家シリーズ01</v>
      </c>
      <c r="E7" s="213">
        <v>2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【中級】ペインター・オブ・ラブ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画家シリーズ01</v>
      </c>
      <c r="H7" s="85">
        <v>4</v>
      </c>
      <c r="I7" s="214">
        <f t="shared" si="0"/>
        <v>6</v>
      </c>
      <c r="J7" s="215" t="str">
        <f t="shared" si="1"/>
        <v>2002106</v>
      </c>
      <c r="K7" s="213" t="s">
        <v>127</v>
      </c>
      <c r="L7" s="216" t="s">
        <v>199</v>
      </c>
      <c r="M7" s="218" t="s">
        <v>321</v>
      </c>
      <c r="N7" s="217" t="s">
        <v>200</v>
      </c>
    </row>
    <row r="8" spans="1:14" ht="50" customHeight="1" x14ac:dyDescent="0.15">
      <c r="A8" s="211" t="s">
        <v>317</v>
      </c>
      <c r="B8" s="212">
        <f>floors!$C$2</f>
        <v>20021</v>
      </c>
      <c r="C8" s="83" t="str">
        <f ca="1">VLOOKUP($B8,OFFSET([2]quests!$A$1,0,0,COUNTA([2]quests!$A:$A),MATCH(C$1,[2]quests!$1:$1,0)-MATCH($B$1,[2]quests!$1:$1,0)+1),MATCH(C$1,[2]quests!$1:$1,0)-MATCH($B$1,[2]quests!$1:$1,0)+1,FALSE)</f>
        <v>ペインター・オブ・ラブ</v>
      </c>
      <c r="D8" s="83" t="str">
        <f ca="1">VLOOKUP($B8,OFFSET([2]quests!$A$1,0,0,COUNTA([2]quests!$A:$A),MATCH(D$1,[2]quests!$1:$1,0)-MATCH($B$1,[2]quests!$1:$1,0)+1),MATCH(D$1,[2]quests!$1:$1,0)-MATCH($B$1,[2]quests!$1:$1,0)+1,FALSE)</f>
        <v>画家シリーズ01</v>
      </c>
      <c r="E8" s="213">
        <v>3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画家シリーズ01</v>
      </c>
      <c r="H8" s="85">
        <v>2</v>
      </c>
      <c r="I8" s="214">
        <f t="shared" si="0"/>
        <v>7</v>
      </c>
      <c r="J8" s="215" t="str">
        <f t="shared" si="1"/>
        <v>2002107</v>
      </c>
      <c r="K8" s="213" t="s">
        <v>127</v>
      </c>
      <c r="L8" s="216" t="s">
        <v>199</v>
      </c>
      <c r="M8" s="218" t="s">
        <v>327</v>
      </c>
      <c r="N8" s="217" t="s">
        <v>200</v>
      </c>
    </row>
    <row r="9" spans="1:14" ht="50" customHeight="1" x14ac:dyDescent="0.15">
      <c r="A9" s="211" t="s">
        <v>317</v>
      </c>
      <c r="B9" s="212">
        <f>floors!$C$2</f>
        <v>20021</v>
      </c>
      <c r="C9" s="83" t="str">
        <f ca="1">VLOOKUP($B9,OFFSET([2]quests!$A$1,0,0,COUNTA([2]quests!$A:$A),MATCH(C$1,[2]quests!$1:$1,0)-MATCH($B$1,[2]quests!$1:$1,0)+1),MATCH(C$1,[2]quests!$1:$1,0)-MATCH($B$1,[2]quests!$1:$1,0)+1,FALSE)</f>
        <v>ペインター・オブ・ラブ</v>
      </c>
      <c r="D9" s="83" t="str">
        <f ca="1">VLOOKUP($B9,OFFSET([2]quests!$A$1,0,0,COUNTA([2]quests!$A:$A),MATCH(D$1,[2]quests!$1:$1,0)-MATCH($B$1,[2]quests!$1:$1,0)+1),MATCH(D$1,[2]quests!$1:$1,0)-MATCH($B$1,[2]quests!$1:$1,0)+1,FALSE)</f>
        <v>画家シリーズ01</v>
      </c>
      <c r="E9" s="213">
        <v>3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画家シリーズ01</v>
      </c>
      <c r="H9" s="85">
        <v>4</v>
      </c>
      <c r="I9" s="214">
        <f t="shared" si="0"/>
        <v>8</v>
      </c>
      <c r="J9" s="215" t="str">
        <f t="shared" si="1"/>
        <v>2002108</v>
      </c>
      <c r="K9" s="213" t="s">
        <v>127</v>
      </c>
      <c r="L9" s="216" t="s">
        <v>199</v>
      </c>
      <c r="M9" s="218" t="s">
        <v>320</v>
      </c>
      <c r="N9" s="217" t="s">
        <v>200</v>
      </c>
    </row>
    <row r="10" spans="1:14" ht="64" customHeight="1" x14ac:dyDescent="0.15">
      <c r="A10" s="211" t="s">
        <v>317</v>
      </c>
      <c r="B10" s="212">
        <f>floors!$C$2</f>
        <v>20021</v>
      </c>
      <c r="C10" s="83" t="str">
        <f ca="1">VLOOKUP($B10,OFFSET([2]quests!$A$1,0,0,COUNTA([2]quests!$A:$A),MATCH(C$1,[2]quests!$1:$1,0)-MATCH($B$1,[2]quests!$1:$1,0)+1),MATCH(C$1,[2]quests!$1:$1,0)-MATCH($B$1,[2]quests!$1:$1,0)+1,FALSE)</f>
        <v>ペインター・オブ・ラブ</v>
      </c>
      <c r="D10" s="83" t="str">
        <f ca="1">VLOOKUP($B10,OFFSET([2]quests!$A$1,0,0,COUNTA([2]quests!$A:$A),MATCH(D$1,[2]quests!$1:$1,0)-MATCH($B$1,[2]quests!$1:$1,0)+1),MATCH(D$1,[2]quests!$1:$1,0)-MATCH($B$1,[2]quests!$1:$1,0)+1,FALSE)</f>
        <v>画家シリーズ01</v>
      </c>
      <c r="E10" s="213">
        <v>3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【上級】ペインター・オブ・ラブ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画家シリーズ01</v>
      </c>
      <c r="H10" s="85">
        <v>4</v>
      </c>
      <c r="I10" s="214">
        <f t="shared" si="0"/>
        <v>9</v>
      </c>
      <c r="J10" s="215" t="str">
        <f t="shared" si="1"/>
        <v>2002109</v>
      </c>
      <c r="K10" s="213" t="s">
        <v>127</v>
      </c>
      <c r="L10" s="216" t="s">
        <v>199</v>
      </c>
      <c r="M10" s="218" t="s">
        <v>322</v>
      </c>
      <c r="N10" s="217" t="s">
        <v>200</v>
      </c>
    </row>
    <row r="12" spans="1:14" x14ac:dyDescent="0.15">
      <c r="H12" s="210"/>
    </row>
  </sheetData>
  <phoneticPr fontId="5"/>
  <dataValidations count="1">
    <dataValidation type="list" allowBlank="1" showInputMessage="1" showErrorMessage="1" sqref="A2:A10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A3" sqref="A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5" t="s">
        <v>214</v>
      </c>
      <c r="B1" s="96" t="s">
        <v>215</v>
      </c>
      <c r="C1" s="77" t="s">
        <v>216</v>
      </c>
      <c r="D1" s="77" t="s">
        <v>33</v>
      </c>
      <c r="E1" s="96" t="s">
        <v>217</v>
      </c>
      <c r="F1" s="77" t="s">
        <v>218</v>
      </c>
      <c r="G1" s="77" t="s">
        <v>33</v>
      </c>
      <c r="H1" s="96" t="s">
        <v>219</v>
      </c>
      <c r="I1" s="96" t="s">
        <v>220</v>
      </c>
      <c r="J1" s="96" t="s">
        <v>221</v>
      </c>
      <c r="K1" s="73" t="s">
        <v>222</v>
      </c>
      <c r="L1" s="73" t="s">
        <v>223</v>
      </c>
      <c r="M1" s="73" t="s">
        <v>156</v>
      </c>
      <c r="N1" s="77" t="s">
        <v>16</v>
      </c>
      <c r="O1" s="73" t="s">
        <v>224</v>
      </c>
      <c r="P1" s="73" t="s">
        <v>57</v>
      </c>
      <c r="Q1" s="73" t="s">
        <v>225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226</v>
      </c>
      <c r="X1" s="73" t="s">
        <v>227</v>
      </c>
    </row>
    <row r="2" spans="1:24" x14ac:dyDescent="0.15">
      <c r="A2" s="97"/>
      <c r="B2" s="82"/>
      <c r="C2" s="83"/>
      <c r="D2" s="83"/>
      <c r="E2" s="84"/>
      <c r="F2" s="83"/>
      <c r="G2" s="83"/>
      <c r="H2" s="85"/>
      <c r="I2" s="84"/>
      <c r="J2" s="84"/>
      <c r="K2" s="84"/>
      <c r="L2" s="84"/>
      <c r="M2" s="84"/>
      <c r="N2" s="98"/>
      <c r="O2" s="84"/>
      <c r="P2" s="84"/>
      <c r="Q2" s="84"/>
      <c r="R2" s="84"/>
      <c r="S2" s="84"/>
      <c r="T2" s="84"/>
      <c r="U2" s="84"/>
      <c r="V2" s="84"/>
      <c r="W2" s="99"/>
      <c r="X2" s="100"/>
    </row>
    <row r="3" spans="1:24" x14ac:dyDescent="0.15">
      <c r="A3" s="97"/>
      <c r="B3" s="82"/>
      <c r="C3" s="83"/>
      <c r="D3" s="83"/>
      <c r="E3" s="84"/>
      <c r="F3" s="83"/>
      <c r="G3" s="83"/>
      <c r="H3" s="85"/>
      <c r="I3" s="84"/>
      <c r="J3" s="84"/>
      <c r="K3" s="84"/>
      <c r="L3" s="84"/>
      <c r="M3" s="84"/>
      <c r="N3" s="98"/>
      <c r="O3" s="84"/>
      <c r="P3" s="84"/>
      <c r="Q3" s="84"/>
      <c r="R3" s="84"/>
      <c r="S3" s="84"/>
      <c r="T3" s="84"/>
      <c r="U3" s="84"/>
      <c r="V3" s="84"/>
      <c r="W3" s="99"/>
      <c r="X3" s="100"/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2017-03-08T04:02:14Z</dcterms:modified>
</cp:coreProperties>
</file>