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200" yWindow="2360" windowWidth="34740" windowHeight="171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autoNoTable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1" l="1"/>
  <c r="D5" i="21"/>
  <c r="F5" i="21"/>
  <c r="G5" i="21"/>
  <c r="J5" i="21"/>
  <c r="O5" i="21"/>
  <c r="P5" i="21"/>
  <c r="I7" i="21"/>
  <c r="A6" i="9"/>
  <c r="D6" i="9"/>
  <c r="E6" i="9"/>
  <c r="G6" i="9"/>
  <c r="H6" i="9"/>
  <c r="I6" i="9"/>
  <c r="J6" i="9"/>
  <c r="K6" i="9"/>
  <c r="L6" i="9"/>
  <c r="N6" i="9"/>
  <c r="O6" i="9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I3" i="21"/>
  <c r="J3" i="21"/>
  <c r="I4" i="21"/>
  <c r="J4" i="21"/>
  <c r="J6" i="21"/>
  <c r="J7" i="21"/>
  <c r="I2" i="21"/>
  <c r="J2" i="21"/>
  <c r="P3" i="21"/>
  <c r="P4" i="21"/>
  <c r="P6" i="21"/>
  <c r="P7" i="21"/>
  <c r="P2" i="21"/>
  <c r="A7" i="9"/>
  <c r="D7" i="9"/>
  <c r="E7" i="9"/>
  <c r="G7" i="9"/>
  <c r="H7" i="9"/>
  <c r="I7" i="9"/>
  <c r="J7" i="9"/>
  <c r="K7" i="9"/>
  <c r="L7" i="9"/>
  <c r="N7" i="9"/>
  <c r="J4" i="11"/>
  <c r="O7" i="9"/>
  <c r="A10" i="9"/>
  <c r="D10" i="9"/>
  <c r="E10" i="9"/>
  <c r="G10" i="9"/>
  <c r="H10" i="9"/>
  <c r="I10" i="9"/>
  <c r="J10" i="9"/>
  <c r="K10" i="9"/>
  <c r="L10" i="9"/>
  <c r="N10" i="9"/>
  <c r="O10" i="9"/>
  <c r="A13" i="9"/>
  <c r="D13" i="9"/>
  <c r="E13" i="9"/>
  <c r="G13" i="9"/>
  <c r="H13" i="9"/>
  <c r="I13" i="9"/>
  <c r="J13" i="9"/>
  <c r="K13" i="9"/>
  <c r="L13" i="9"/>
  <c r="N13" i="9"/>
  <c r="O13" i="9"/>
  <c r="A16" i="9"/>
  <c r="D16" i="9"/>
  <c r="E16" i="9"/>
  <c r="G16" i="9"/>
  <c r="H16" i="9"/>
  <c r="I16" i="9"/>
  <c r="J16" i="9"/>
  <c r="K16" i="9"/>
  <c r="L16" i="9"/>
  <c r="N16" i="9"/>
  <c r="O16" i="9"/>
  <c r="A4" i="9"/>
  <c r="D4" i="9"/>
  <c r="E4" i="9"/>
  <c r="G4" i="9"/>
  <c r="H4" i="9"/>
  <c r="I4" i="9"/>
  <c r="J4" i="9"/>
  <c r="K4" i="9"/>
  <c r="L4" i="9"/>
  <c r="N4" i="9"/>
  <c r="O4" i="9"/>
  <c r="A19" i="9"/>
  <c r="D19" i="9"/>
  <c r="E19" i="9"/>
  <c r="G19" i="9"/>
  <c r="H19" i="9"/>
  <c r="I19" i="9"/>
  <c r="J19" i="9"/>
  <c r="K19" i="9"/>
  <c r="L19" i="9"/>
  <c r="N19" i="9"/>
  <c r="O19" i="9"/>
  <c r="A15" i="9"/>
  <c r="D15" i="9"/>
  <c r="E15" i="9"/>
  <c r="G15" i="9"/>
  <c r="H15" i="9"/>
  <c r="I15" i="9"/>
  <c r="J15" i="9"/>
  <c r="K15" i="9"/>
  <c r="L15" i="9"/>
  <c r="N15" i="9"/>
  <c r="J3" i="11"/>
  <c r="O15" i="9"/>
  <c r="A12" i="9"/>
  <c r="D12" i="9"/>
  <c r="E12" i="9"/>
  <c r="G12" i="9"/>
  <c r="H12" i="9"/>
  <c r="I12" i="9"/>
  <c r="J12" i="9"/>
  <c r="K12" i="9"/>
  <c r="L12" i="9"/>
  <c r="N12" i="9"/>
  <c r="O12" i="9"/>
  <c r="A9" i="9"/>
  <c r="D9" i="9"/>
  <c r="E9" i="9"/>
  <c r="G9" i="9"/>
  <c r="H9" i="9"/>
  <c r="I9" i="9"/>
  <c r="J9" i="9"/>
  <c r="K9" i="9"/>
  <c r="L9" i="9"/>
  <c r="N9" i="9"/>
  <c r="O9" i="9"/>
  <c r="A18" i="9"/>
  <c r="D18" i="9"/>
  <c r="E18" i="9"/>
  <c r="G18" i="9"/>
  <c r="H18" i="9"/>
  <c r="I18" i="9"/>
  <c r="J18" i="9"/>
  <c r="K18" i="9"/>
  <c r="L18" i="9"/>
  <c r="N18" i="9"/>
  <c r="O18" i="9"/>
  <c r="G3" i="9"/>
  <c r="H3" i="9"/>
  <c r="I3" i="9"/>
  <c r="J3" i="9"/>
  <c r="K3" i="9"/>
  <c r="L3" i="9"/>
  <c r="N3" i="9"/>
  <c r="O3" i="9"/>
  <c r="G5" i="9"/>
  <c r="H5" i="9"/>
  <c r="I5" i="9"/>
  <c r="J5" i="9"/>
  <c r="K5" i="9"/>
  <c r="L5" i="9"/>
  <c r="N5" i="9"/>
  <c r="J2" i="11"/>
  <c r="O5" i="9"/>
  <c r="G8" i="9"/>
  <c r="H8" i="9"/>
  <c r="I8" i="9"/>
  <c r="J8" i="9"/>
  <c r="K8" i="9"/>
  <c r="L8" i="9"/>
  <c r="N8" i="9"/>
  <c r="O8" i="9"/>
  <c r="G11" i="9"/>
  <c r="H11" i="9"/>
  <c r="I11" i="9"/>
  <c r="J11" i="9"/>
  <c r="K11" i="9"/>
  <c r="L11" i="9"/>
  <c r="N11" i="9"/>
  <c r="O11" i="9"/>
  <c r="G14" i="9"/>
  <c r="H14" i="9"/>
  <c r="I14" i="9"/>
  <c r="J14" i="9"/>
  <c r="K14" i="9"/>
  <c r="L14" i="9"/>
  <c r="N14" i="9"/>
  <c r="O14" i="9"/>
  <c r="G17" i="9"/>
  <c r="H17" i="9"/>
  <c r="I17" i="9"/>
  <c r="J17" i="9"/>
  <c r="K17" i="9"/>
  <c r="L17" i="9"/>
  <c r="N17" i="9"/>
  <c r="O17" i="9"/>
  <c r="G2" i="9"/>
  <c r="H2" i="9"/>
  <c r="A3" i="9"/>
  <c r="D3" i="9"/>
  <c r="E3" i="9"/>
  <c r="C3" i="18"/>
  <c r="D3" i="18"/>
  <c r="C4" i="18"/>
  <c r="D4" i="18"/>
  <c r="C5" i="18"/>
  <c r="D5" i="18"/>
  <c r="C6" i="18"/>
  <c r="D6" i="18"/>
  <c r="C3" i="21"/>
  <c r="D3" i="21"/>
  <c r="F3" i="21"/>
  <c r="G3" i="21"/>
  <c r="O3" i="21"/>
  <c r="C4" i="21"/>
  <c r="D4" i="21"/>
  <c r="F4" i="21"/>
  <c r="G4" i="21"/>
  <c r="O4" i="21"/>
  <c r="C6" i="21"/>
  <c r="D6" i="21"/>
  <c r="F6" i="21"/>
  <c r="G6" i="21"/>
  <c r="O6" i="21"/>
  <c r="C7" i="21"/>
  <c r="D7" i="21"/>
  <c r="F7" i="21"/>
  <c r="G7" i="21"/>
  <c r="O7" i="21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A11" i="9"/>
  <c r="D11" i="9"/>
  <c r="E11" i="9"/>
  <c r="A14" i="9"/>
  <c r="D14" i="9"/>
  <c r="E14" i="9"/>
  <c r="A17" i="9"/>
  <c r="D17" i="9"/>
  <c r="E17" i="9"/>
  <c r="A4" i="1"/>
  <c r="D4" i="1"/>
  <c r="E4" i="1"/>
  <c r="F4" i="1"/>
  <c r="H4" i="1"/>
  <c r="G4" i="2"/>
  <c r="A4" i="2"/>
  <c r="G2" i="2"/>
  <c r="A2" i="2"/>
  <c r="G3" i="2"/>
  <c r="A3" i="2"/>
  <c r="I4" i="1"/>
  <c r="J4" i="1"/>
  <c r="M4" i="1"/>
  <c r="N4" i="1"/>
  <c r="O4" i="1"/>
  <c r="P4" i="1"/>
  <c r="Q4" i="1"/>
  <c r="T4" i="1"/>
  <c r="V4" i="1"/>
  <c r="E8" i="9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H3" i="1"/>
  <c r="H2" i="1"/>
  <c r="B4" i="2"/>
  <c r="D4" i="2"/>
  <c r="E4" i="2"/>
  <c r="H4" i="2"/>
  <c r="B3" i="2"/>
  <c r="D3" i="2"/>
  <c r="E3" i="2"/>
  <c r="H3" i="2"/>
  <c r="A5" i="9"/>
  <c r="D5" i="9"/>
  <c r="E5" i="9"/>
  <c r="A8" i="9"/>
  <c r="D8" i="9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T3" i="1"/>
  <c r="V3" i="1"/>
  <c r="E2" i="9"/>
  <c r="X3" i="1"/>
  <c r="AD3" i="1"/>
  <c r="AE3" i="1"/>
  <c r="AF3" i="1"/>
  <c r="AG3" i="1"/>
  <c r="AI3" i="1"/>
  <c r="A3" i="1"/>
  <c r="D3" i="1"/>
  <c r="E3" i="1"/>
  <c r="F3" i="1"/>
  <c r="I3" i="1"/>
  <c r="J3" i="1"/>
  <c r="M3" i="1"/>
  <c r="N3" i="1"/>
  <c r="O3" i="1"/>
  <c r="P3" i="1"/>
  <c r="Q3" i="1"/>
  <c r="O2" i="21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G2" i="21"/>
  <c r="F2" i="21"/>
  <c r="D2" i="21"/>
  <c r="C2" i="21"/>
  <c r="E12" i="16"/>
  <c r="E11" i="16"/>
  <c r="E10" i="16"/>
  <c r="C2" i="18"/>
  <c r="D2" i="18"/>
  <c r="O2" i="9"/>
  <c r="N2" i="9"/>
  <c r="L2" i="9"/>
  <c r="K2" i="9"/>
  <c r="J2" i="9"/>
  <c r="I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<sst xmlns="http://schemas.openxmlformats.org/spreadsheetml/2006/main" count="546" uniqueCount="332">
  <si>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</si>
  <si>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</si>
  <si>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</si>
  <si>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</si>
  <si>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</si>
  <si>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</si>
  <si>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</si>
  <si>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</si>
  <si>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</si>
  <si>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</si>
  <si>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</si>
  <si>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</si>
  <si>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</si>
  <si>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</si>
  <si>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</si>
  <si>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</si>
  <si>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</si>
  <si>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</si>
  <si>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</si>
  <si>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</si>
  <si>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</si>
  <si>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</si>
  <si>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</si>
  <si>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</si>
  <si>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</si>
  <si>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</si>
  <si>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</si>
  <si>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</si>
  <si>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</si>
  <si>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</si>
  <si>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</si>
  <si>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</si>
  <si>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</si>
  <si>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</si>
  <si>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</si>
  <si>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</si>
  <si>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</si>
  <si>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</si>
  <si>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</si>
  <si>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</si>
  <si>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</si>
  <si>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</si>
  <si>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</si>
  <si>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</si>
  <si>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</si>
  <si>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</si>
  <si>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</si>
  <si>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</si>
  <si>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</si>
  <si>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</si>
  <si>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</si>
  <si>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</si>
  <si>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</si>
  <si>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</si>
  <si>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</si>
  <si>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</si>
  <si>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</si>
  <si>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</si>
  <si>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</si>
  <si>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</si>
  <si>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</si>
  <si>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</si>
  <si>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</si>
  <si>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</si>
  <si>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</si>
  <si>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</si>
  <si>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</si>
  <si>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</si>
  <si>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</si>
  <si>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</si>
  <si>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</si>
  <si>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</si>
  <si>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</si>
  <si>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</si>
  <si>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</si>
  <si>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</si>
  <si>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</si>
  <si>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</si>
  <si>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</si>
  <si>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</si>
  <si>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</si>
  <si>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</si>
  <si>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</si>
  <si>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</si>
  <si>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</si>
  <si>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</si>
  <si>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</si>
  <si>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</si>
  <si>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</si>
  <si>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</si>
  <si>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</si>
  <si>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</si>
  <si>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</si>
  <si>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</si>
  <si>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</si>
  <si>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</si>
  <si>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</si>
  <si>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</si>
  <si>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</si>
  <si>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</si>
  <si>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</si>
  <si>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</si>
  <si>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</si>
  <si>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</si>
  <si>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</si>
  <si>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</si>
  <si>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</si>
  <si>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</si>
  <si>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</si>
  <si>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</si>
  <si>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</si>
  <si>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</si>
  <si>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</si>
  <si>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</si>
  <si>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</si>
  <si>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</si>
  <si>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</si>
  <si>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</si>
  <si>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</si>
  <si>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</si>
  <si>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</si>
  <si>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</si>
  <si>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</si>
  <si>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</si>
  <si>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</si>
  <si>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</si>
  <si>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</si>
  <si>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</si>
  <si>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</si>
  <si>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</si>
  <si>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</si>
  <si>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</si>
  <si>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</si>
  <si>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</si>
  <si>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</si>
  <si>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</si>
  <si>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</si>
  <si>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</si>
  <si>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</si>
  <si>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</si>
  <si>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</si>
  <si>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</si>
  <si>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</si>
  <si>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</si>
  <si>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</si>
  <si>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</si>
  <si>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</si>
  <si>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</si>
  <si>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</si>
  <si>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</si>
  <si>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</si>
  <si>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</si>
  <si>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</si>
  <si>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</si>
  <si>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</si>
  <si>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</si>
  <si>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</si>
  <si>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</si>
  <si>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</si>
  <si>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</si>
  <si>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</si>
  <si>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</si>
  <si>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</si>
  <si>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</si>
  <si>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</si>
  <si>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</si>
  <si>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</si>
  <si>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</si>
  <si>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</si>
  <si>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</si>
  <si>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</si>
  <si>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</si>
  <si>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</si>
  <si>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</si>
  <si>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</si>
  <si>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</si>
  <si>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</si>
  <si>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</si>
  <si>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</si>
  <si>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</si>
  <si>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</si>
  <si>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</si>
  <si>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</si>
  <si>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</si>
  <si>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</si>
  <si>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</si>
  <si>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</si>
  <si>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</si>
  <si>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</si>
  <si>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</si>
  <si>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</si>
  <si>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</si>
  <si>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</si>
  <si>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</si>
  <si>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</si>
  <si>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</si>
  <si>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</si>
  <si>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</si>
  <si>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</si>
  <si>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</si>
  <si>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</si>
  <si>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</si>
  <si>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</si>
  <si>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</si>
  <si>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</si>
  <si>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</si>
  <si>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</si>
  <si>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</si>
  <si>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</si>
  <si>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</si>
  <si>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</si>
  <si>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</si>
  <si>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</si>
  <si>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</si>
  <si>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</si>
  <si>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</si>
  <si>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</si>
  <si>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</si>
  <si>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</si>
  <si>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</si>
  <si>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</si>
  <si>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</si>
  <si>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</si>
  <si>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</si>
  <si>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</si>
  <si>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</si>
  <si>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</si>
  <si>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</si>
  <si>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</si>
  <si>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</si>
  <si>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</si>
  <si>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</si>
  <si>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</si>
  <si>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</si>
  <si>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</si>
  <si>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</si>
  <si>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</si>
  <si>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</si>
  <si>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</si>
  <si>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</si>
  <si>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</si>
  <si>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</si>
  <si>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</si>
  <si>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</si>
  <si>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</si>
  <si>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</si>
  <si>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</si>
  <si>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</si>
  <si>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</si>
  <si>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</si>
  <si>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</si>
  <si>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</t>
    <phoneticPr fontId="5"/>
  </si>
  <si>
    <t>null</t>
  </si>
  <si>
    <t>null</t>
    <phoneticPr fontId="5"/>
  </si>
  <si>
    <t>unit</t>
  </si>
  <si>
    <t>singleonly</t>
    <phoneticPr fontId="5"/>
  </si>
  <si>
    <t>bit</t>
    <phoneticPr fontId="5"/>
  </si>
  <si>
    <t>null</t>
    <phoneticPr fontId="5"/>
  </si>
  <si>
    <t>null</t>
    <phoneticPr fontId="5"/>
  </si>
  <si>
    <t>[effect:fix_speed, target:myself, turn:1]</t>
    <phoneticPr fontId="5"/>
  </si>
  <si>
    <t>[effect:fix_speed, target:myself, turn:2]</t>
    <phoneticPr fontId="5"/>
  </si>
  <si>
    <t>[effect:fix_speed, target:myself, turn:2]</t>
    <phoneticPr fontId="5"/>
  </si>
  <si>
    <t>[effect:fix_speed, target:myself, turn:3]</t>
    <phoneticPr fontId="5"/>
  </si>
  <si>
    <t>[effect:rush, count:1, val:1],[effect:force_change_block, new_block:crack_bomb, target:block_yellow, ignore01:crash, ignore02:crack_bomb, ignore03:color_break, ignore04:magnet, color:block_yellow, count:0, val:12, animation:change_block]</t>
    <phoneticPr fontId="5"/>
  </si>
  <si>
    <t>[effect:rush, count:1, val:1],[effect:force_change_block, new_block:crash, target:normal, ignore01:crash, ignore02:crack_bomb, ignore03:color_break, ignore04:magnet, count:5, val:6, animation:change_block]</t>
    <phoneticPr fontId="5"/>
  </si>
  <si>
    <t>[effect:rush, count:1, val:1],[effect:force_change_block, new_block:crack_bomb, target:block_green, ignore01:crash, ignore02:crack_bomb, ignore03:color_break, ignore04:magnet, color:block_green, count:0, val:12, animation:change_block]</t>
    <phoneticPr fontId="5"/>
  </si>
  <si>
    <t>[effect:rush, count:1, val:1],[effect:force_change_block, new_block:block_heart, target:block_all, ignore01:crash, ignore02:crack_bomb, ignore03:color_break, ignore04:magnet, count:0, val:0, animation:change_block]</t>
    <phoneticPr fontId="5"/>
  </si>
  <si>
    <t>null</t>
    <phoneticPr fontId="5"/>
  </si>
  <si>
    <t>old</t>
  </si>
  <si>
    <t>[effect:rush, count:1, val:1]</t>
    <phoneticPr fontId="5"/>
  </si>
  <si>
    <t>単体攻撃</t>
    <rPh sb="0" eb="4">
      <t>タンタイコウゲキ</t>
    </rPh>
    <phoneticPr fontId="5"/>
  </si>
  <si>
    <t>みつケた おまエ
おレ おまエ にがサなイ</t>
    <phoneticPr fontId="5"/>
  </si>
  <si>
    <t>ギャラルホルンは静かに興奮している</t>
    <phoneticPr fontId="5"/>
  </si>
  <si>
    <t>焦らないでも大丈夫〜
手順通りでお願いね〜</t>
    <rPh sb="11" eb="13">
      <t>テジュン</t>
    </rPh>
    <rPh sb="13" eb="14">
      <t>シジドオリ</t>
    </rPh>
    <phoneticPr fontId="5"/>
  </si>
  <si>
    <t>ほんの一瞬だけ、
ゴーグルに隠れているはずの
シャルルの視線を感じたような気がした…</t>
    <rPh sb="14" eb="15">
      <t>カクレテ</t>
    </rPh>
    <rPh sb="28" eb="30">
      <t>シセｎ</t>
    </rPh>
    <rPh sb="31" eb="32">
      <t>カンジタ</t>
    </rPh>
    <rPh sb="37" eb="38">
      <t>キガシタ</t>
    </rPh>
    <phoneticPr fontId="5"/>
  </si>
  <si>
    <t>一方、シャルロッテは
こちらにまったく気がついていないようだ</t>
    <rPh sb="0" eb="2">
      <t>イッポウ</t>
    </rPh>
    <phoneticPr fontId="5"/>
  </si>
  <si>
    <t>よし…帰っちゃおう</t>
    <phoneticPr fontId="5"/>
  </si>
  <si>
    <t>直江兼続は敗れてもなお
満足げな表情を浮かべている</t>
    <rPh sb="0" eb="4">
      <t>ナオエカネツグ</t>
    </rPh>
    <rPh sb="5" eb="6">
      <t>yaburete</t>
    </rPh>
    <rPh sb="12" eb="14">
      <t>マンゾクゲ</t>
    </rPh>
    <rPh sb="16" eb="18">
      <t>ヒョウジョウ</t>
    </rPh>
    <rPh sb="19" eb="20">
      <t>ウカベテイル</t>
    </rPh>
    <phoneticPr fontId="5"/>
  </si>
  <si>
    <t>シャルルは独り言を呟きながら
歩き去っていった</t>
    <rPh sb="5" eb="6">
      <t>ヒトリゴト</t>
    </rPh>
    <rPh sb="9" eb="10">
      <t>ツブヤキナガラ</t>
    </rPh>
    <rPh sb="15" eb="16">
      <t>アルキ</t>
    </rPh>
    <phoneticPr fontId="5"/>
  </si>
  <si>
    <t>シャルロッテは地形に挟まって
動けなくなったようだ</t>
    <rPh sb="7" eb="9">
      <t>チケイ</t>
    </rPh>
    <rPh sb="10" eb="11">
      <t>ハサマッテ</t>
    </rPh>
    <rPh sb="15" eb="16">
      <t>ウゴケナクナッタ</t>
    </rPh>
    <phoneticPr fontId="5"/>
  </si>
  <si>
    <t>美しい音色が…崩れる…</t>
    <phoneticPr fontId="5"/>
  </si>
  <si>
    <t>ギャラルホルンの演奏を阻止したが
何の曲だったかはわからない</t>
    <rPh sb="8" eb="10">
      <t>エンソウ</t>
    </rPh>
    <rPh sb="11" eb="13">
      <t>ソシ</t>
    </rPh>
    <rPh sb="17" eb="18">
      <t>ナンノ</t>
    </rPh>
    <rPh sb="19" eb="20">
      <t>キョク</t>
    </rPh>
    <phoneticPr fontId="5"/>
  </si>
  <si>
    <t>負け惜しみの言葉を最後に
フンババは停止した</t>
    <rPh sb="0" eb="1">
      <t>マケオシミ</t>
    </rPh>
    <rPh sb="6" eb="8">
      <t>コトバ</t>
    </rPh>
    <rPh sb="9" eb="11">
      <t>サイゴ</t>
    </rPh>
    <rPh sb="18" eb="20">
      <t>テイシ</t>
    </rPh>
    <phoneticPr fontId="5"/>
  </si>
  <si>
    <t>梶井基次郎は一人で先に
そそくさと帰っていった</t>
    <rPh sb="0" eb="5">
      <t>カジイモトジロウ</t>
    </rPh>
    <rPh sb="6" eb="8">
      <t>ヒトリ</t>
    </rPh>
    <rPh sb="9" eb="10">
      <t>サキニ</t>
    </rPh>
    <rPh sb="17" eb="18">
      <t>カエッテイッタ</t>
    </rPh>
    <phoneticPr fontId="5"/>
  </si>
  <si>
    <t>粉葉みじんにするね</t>
    <phoneticPr fontId="5"/>
  </si>
  <si>
    <t>物騒な言葉を呟きながら
梶井基次郎が現れた</t>
    <rPh sb="0" eb="2">
      <t>ブッソウ</t>
    </rPh>
    <rPh sb="3" eb="5">
      <t>コトバ</t>
    </rPh>
    <rPh sb="6" eb="7">
      <t>ツブヤキナガラ</t>
    </rPh>
    <rPh sb="12" eb="17">
      <t>カジイモトジロウ</t>
    </rPh>
    <rPh sb="18" eb="19">
      <t>アラワレタ</t>
    </rPh>
    <phoneticPr fontId="5"/>
  </si>
  <si>
    <t>戦争だ、戦争だよー</t>
    <phoneticPr fontId="5"/>
  </si>
  <si>
    <t>魔獣の牙傷</t>
    <phoneticPr fontId="5"/>
  </si>
  <si>
    <t>単体攻撃+
属性パネルをハートパネルに変換</t>
    <rPh sb="0" eb="4">
      <t>タンタイコウゲキ</t>
    </rPh>
    <rPh sb="6" eb="8">
      <t>ゾクセイ</t>
    </rPh>
    <phoneticPr fontId="5"/>
  </si>
  <si>
    <t>単体攻撃+
緑パネルを緑ボムパネルに変換</t>
    <rPh sb="0" eb="4">
      <t>タンタイコウゲキ</t>
    </rPh>
    <rPh sb="6" eb="7">
      <t>ミドリ</t>
    </rPh>
    <rPh sb="11" eb="12">
      <t>ミドリ</t>
    </rPh>
    <rPh sb="18" eb="20">
      <t>ヘンカｎ</t>
    </rPh>
    <phoneticPr fontId="5"/>
  </si>
  <si>
    <t>フフ…キミ達も来たか
ラグナロクを始めよう</t>
    <rPh sb="5" eb="6">
      <t>タチ</t>
    </rPh>
    <rPh sb="7" eb="8">
      <t>キタンダネ</t>
    </rPh>
    <rPh sb="17" eb="18">
      <t>ハジメヨウ</t>
    </rPh>
    <phoneticPr fontId="5"/>
  </si>
  <si>
    <t>青パネルを最大3個吸収して単体攻撃</t>
    <rPh sb="0" eb="1">
      <t>アオ</t>
    </rPh>
    <rPh sb="5" eb="7">
      <t>サイダイ</t>
    </rPh>
    <rPh sb="9" eb="11">
      <t>キュウシュウ</t>
    </rPh>
    <rPh sb="13" eb="15">
      <t>タンタイ</t>
    </rPh>
    <rPh sb="15" eb="17">
      <t>コウゲキ</t>
    </rPh>
    <phoneticPr fontId="5"/>
  </si>
  <si>
    <t xml:space="preserve">[effect:break_attack_fix, target:unit_one, val:150, lowest_val:1000, count:3, color:blue, block_color:block_blue, block01:block_all, ignore01:block_negative, ignore02:block_positive, ignore03:block_red, ignore04:block_green, ignore05:block_yellow, ignore06:block_heart]    </t>
    <phoneticPr fontId="5"/>
  </si>
  <si>
    <t>おレ　負けル?
あリえナい!</t>
    <phoneticPr fontId="5"/>
  </si>
  <si>
    <t>この子たちなら……
ふふっ…「彼女」も……</t>
    <rPh sb="2" eb="3">
      <t>コ</t>
    </rPh>
    <rPh sb="15" eb="17">
      <t>カノジョ</t>
    </rPh>
    <phoneticPr fontId="5"/>
  </si>
  <si>
    <t>単体攻撃+
ランダムで先頭ユニットのCパネルに最大5個変換</t>
    <rPh sb="0" eb="4">
      <t>タンタイコウゲキ</t>
    </rPh>
    <rPh sb="11" eb="13">
      <t>senntou</t>
    </rPh>
    <rPh sb="27" eb="29">
      <t>ヘンカｎ</t>
    </rPh>
    <phoneticPr fontId="5"/>
  </si>
  <si>
    <t>単体攻撃+
黄パネルを黄ボムパネルに変換</t>
    <rPh sb="0" eb="2">
      <t>タンタイ</t>
    </rPh>
    <rPh sb="2" eb="4">
      <t>コウゲキ</t>
    </rPh>
    <rPh sb="6" eb="7">
      <t>キパネル</t>
    </rPh>
    <rPh sb="11" eb="12">
      <t>キ</t>
    </rPh>
    <rPh sb="18" eb="20">
      <t>ヘンカン</t>
    </rPh>
    <phoneticPr fontId="5"/>
  </si>
  <si>
    <t>[effect:enemy_message, val1:2.0, val2:1.7],[effect:fix_speed, target:myself, turn:1]</t>
    <phoneticPr fontId="5"/>
  </si>
  <si>
    <t>[effect:enemy_message, val1:2.0, val2:1.8],[effect:fix_speed, target:myself, turn:2]</t>
    <phoneticPr fontId="5"/>
  </si>
  <si>
    <t>[effect:enemy_message, val1:1.9, val2:2.9],[effect:fix_speed, target:myself, turn:1]</t>
    <phoneticPr fontId="5"/>
  </si>
  <si>
    <t>[effect:enemy_message, val1:2.0, val2:4.0],[effect:fix_speed, target:myself, turn:2]</t>
    <phoneticPr fontId="5"/>
  </si>
  <si>
    <t>[effect:enemy_message, val1:1.2, val2:2.0],[effect:fix_speed, target:myself, turn:2]</t>
    <phoneticPr fontId="5"/>
  </si>
  <si>
    <t>[effect:enemy_message, val1:1.2, val2:1.4],[effect:fix_speed, target:myself, turn:3]</t>
    <phoneticPr fontId="5"/>
  </si>
  <si>
    <t>[effect:enemy_message, val1:1.2, val2:1.2],[effect:rush, count:1, val:1]</t>
    <phoneticPr fontId="5"/>
  </si>
  <si>
    <t>シャルルの青パネル吸収攻撃は
吸収数によるダメージ増加量が
小さいため青パネルの処理に
こだわる必要はありません</t>
    <rPh sb="5" eb="6">
      <t>アオ</t>
    </rPh>
    <rPh sb="9" eb="11">
      <t>キュウシュウ</t>
    </rPh>
    <rPh sb="11" eb="13">
      <t>コウゲキ</t>
    </rPh>
    <rPh sb="15" eb="17">
      <t>キュウシュウ</t>
    </rPh>
    <rPh sb="17" eb="18">
      <t>スウ</t>
    </rPh>
    <rPh sb="25" eb="27">
      <t>ゾウカ</t>
    </rPh>
    <rPh sb="27" eb="28">
      <t>リョウ</t>
    </rPh>
    <rPh sb="30" eb="31">
      <t>チイサイ</t>
    </rPh>
    <rPh sb="35" eb="36">
      <t>アオ</t>
    </rPh>
    <rPh sb="40" eb="42">
      <t>ショリ</t>
    </rPh>
    <phoneticPr fontId="5"/>
  </si>
  <si>
    <t>そんなとこに穴が!?
やっちゃったわ…</t>
    <rPh sb="6" eb="7">
      <t>アナ</t>
    </rPh>
    <phoneticPr fontId="5"/>
  </si>
  <si>
    <t>シャルロッテは属性パネルをCパネルに
変換しますので攻撃に活用しましょう</t>
    <phoneticPr fontId="5"/>
  </si>
  <si>
    <t>梶井基次郎は緑パネルを
緑ボムパネルに変換します
うまく活用しましょう</t>
    <rPh sb="0" eb="5">
      <t>カジイモトジロウ</t>
    </rPh>
    <rPh sb="6" eb="7">
      <t>ミドリ</t>
    </rPh>
    <rPh sb="12" eb="13">
      <t>ミドリ</t>
    </rPh>
    <phoneticPr fontId="5"/>
  </si>
  <si>
    <t>直江兼続は属性パネルを
ハートパネルに大量変換します
回復しながらSCパネルを作り
反撃の糸口をつかみましょう</t>
    <phoneticPr fontId="5"/>
  </si>
  <si>
    <t>フンババは通常攻撃を繰り返します
攻撃のスピードは速くないので
余裕を持って対処できるようにしましょう</t>
    <rPh sb="5" eb="9">
      <t>ツウジョウコウゲキ</t>
    </rPh>
    <rPh sb="10" eb="11">
      <t>クリカエシ</t>
    </rPh>
    <rPh sb="18" eb="20">
      <t>コウゲキ</t>
    </rPh>
    <rPh sb="26" eb="27">
      <t>ハヤクナイ</t>
    </rPh>
    <rPh sb="33" eb="35">
      <t>ヨユウヲモッテ</t>
    </rPh>
    <rPh sb="39" eb="41">
      <t>タイショ</t>
    </rPh>
    <phoneticPr fontId="5"/>
  </si>
  <si>
    <t>ギャラルホルンは黄パネルを
黄ボムパネルに変換します
うまく活用しましょう</t>
    <rPh sb="8" eb="9">
      <t>キ</t>
    </rPh>
    <rPh sb="14" eb="15">
      <t>キ</t>
    </rPh>
    <phoneticPr fontId="5"/>
  </si>
  <si>
    <t>skip</t>
  </si>
  <si>
    <t xml:space="preserve">[effect:enemy_message, val1:2.1, val2:2.8],[effect:rush, count:1, val:1],[effect:force_change_block, new_block:crash, target:block_all, ignore01:block_positive, count:5, val:6, animation:change_block]    </t>
    <phoneticPr fontId="5"/>
  </si>
  <si>
    <t xml:space="preserve">[effect:enemy_message, val1:2.0, val2:1.7],[effect:break_attack_fix, target:unit_one, val:150, lowest_val:1000, count:3, block01:block_blue]    </t>
    <phoneticPr fontId="5"/>
  </si>
  <si>
    <t>[effect:enemy_message, val1:1.3, val2:1.9],[effect:rush, count:1, val:1],[effect:force_change_block, new_block:crack_bomb, target:block_green, ignore01:block_positive, color:block_green, count:0, val:12, animation:change_block]</t>
    <phoneticPr fontId="5"/>
  </si>
  <si>
    <t>[effect:enemy_message, val1:1.2, val2:2.0],[effect:rush, count:1, val:1],[effect:force_change_block, new_block:block_heart, target:block_all, ignore01:block_positive, count:0, val:0, animation:change_block]</t>
    <phoneticPr fontId="5"/>
  </si>
  <si>
    <t>[effect:enemy_message, val1:1.7, val2:3.4]</t>
    <phoneticPr fontId="5"/>
  </si>
  <si>
    <t>[effect:enemy_message, val1:1.8, val2:2.6]</t>
    <phoneticPr fontId="5"/>
  </si>
  <si>
    <t>[effect:enemy_message, val1:1.7, val2:2.9]</t>
    <phoneticPr fontId="5"/>
  </si>
  <si>
    <t>フンババはこちらに突撃してきそうだ!</t>
    <rPh sb="9" eb="11">
      <t>トツゲキタイセイ</t>
    </rPh>
    <phoneticPr fontId="5"/>
  </si>
  <si>
    <t>お任せください!
浄化作業、頑張ります!</t>
    <rPh sb="11" eb="13">
      <t>サギョウ</t>
    </rPh>
    <rPh sb="14" eb="16">
      <t>ガンバッテ</t>
    </rPh>
    <phoneticPr fontId="5"/>
  </si>
  <si>
    <t>私の実力
お見せしよう!</t>
  </si>
  <si>
    <t>直江兼続は既にやる気満々だ!</t>
    <rPh sb="0" eb="4">
      <t>ナオエカネツグ</t>
    </rPh>
    <rPh sb="5" eb="6">
      <t>スデニ</t>
    </rPh>
    <phoneticPr fontId="5"/>
  </si>
  <si>
    <t>いきます!邪心浄化!
邪な魂は見逃せません!</t>
  </si>
  <si>
    <t>これをこうしてこうぢゃ!
なんちゃって!</t>
  </si>
  <si>
    <t>あはは!
弾けるよ!ほら!!</t>
  </si>
  <si>
    <t>大きな心で
包んでやる!</t>
  </si>
  <si>
    <t>はははっ爽快だね!</t>
  </si>
  <si>
    <t xml:space="preserve">[effect:enemy_message, val1:1.2, val2:1.9],[effect:rush, count:1, val:1],[effect:force_change_block, new_block:crack_bomb, target:block_yellow, ignore01:block_positive, count:0, val:12, animation:change_block]    </t>
    <phoneticPr fontId="5"/>
  </si>
  <si>
    <t>[effect:enemy_message, val1:2.5, val2:2.9]</t>
    <phoneticPr fontId="5"/>
  </si>
  <si>
    <t>[effect:enemy_message, val1:2.5, val2:2.7, dead_type:escape]</t>
    <phoneticPr fontId="5"/>
  </si>
  <si>
    <t>[effect:enemy_message, val1:1.7, val2:2.7, dead_type:escape]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</si>
</sst>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.4"/>
      <color theme="1"/>
      <name val="Arial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0" borderId="0" xfId="0" applyFont="1"/>
    <xf numFmtId="0" fontId="16" fillId="6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wrapText="1"/>
    </xf>
    <xf numFmtId="0" fontId="16" fillId="0" borderId="0" xfId="0" applyFont="1" applyFill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40044</v>
          </cell>
        </row>
        <row r="236">
          <cell r="A236">
            <v>48001</v>
          </cell>
        </row>
        <row r="237">
          <cell r="A237">
            <v>48002</v>
          </cell>
        </row>
        <row r="238">
          <cell r="A238">
            <v>48003</v>
          </cell>
        </row>
        <row r="239">
          <cell r="A239">
            <v>48004</v>
          </cell>
        </row>
        <row r="240">
          <cell r="A240">
            <v>48005</v>
          </cell>
        </row>
        <row r="241">
          <cell r="A241">
            <v>48006</v>
          </cell>
        </row>
        <row r="242">
          <cell r="A242">
            <v>48007</v>
          </cell>
        </row>
        <row r="243">
          <cell r="A243">
            <v>48008</v>
          </cell>
        </row>
        <row r="244">
          <cell r="A244">
            <v>48009</v>
          </cell>
        </row>
        <row r="245">
          <cell r="A245">
            <v>48010</v>
          </cell>
        </row>
        <row r="246">
          <cell r="A246">
            <v>48011</v>
          </cell>
        </row>
        <row r="247">
          <cell r="A247">
            <v>48012</v>
          </cell>
        </row>
        <row r="248">
          <cell r="A248">
            <v>48501</v>
          </cell>
        </row>
        <row r="249">
          <cell r="A249">
            <v>48502</v>
          </cell>
        </row>
        <row r="250">
          <cell r="A250">
            <v>48701</v>
          </cell>
        </row>
        <row r="251">
          <cell r="A251">
            <v>41001</v>
          </cell>
        </row>
        <row r="252">
          <cell r="A252">
            <v>41002</v>
          </cell>
        </row>
        <row r="253">
          <cell r="A253">
            <v>41003</v>
          </cell>
        </row>
        <row r="254">
          <cell r="A254">
            <v>41004</v>
          </cell>
        </row>
        <row r="255">
          <cell r="A255">
            <v>41005</v>
          </cell>
        </row>
        <row r="256">
          <cell r="A256">
            <v>41006</v>
          </cell>
        </row>
        <row r="257">
          <cell r="A257">
            <v>41007</v>
          </cell>
        </row>
        <row r="258">
          <cell r="A258">
            <v>41008</v>
          </cell>
        </row>
        <row r="259">
          <cell r="A259">
            <v>41009</v>
          </cell>
        </row>
        <row r="260">
          <cell r="A260">
            <v>41010</v>
          </cell>
        </row>
        <row r="261">
          <cell r="A261">
            <v>41011</v>
          </cell>
        </row>
        <row r="262">
          <cell r="A262">
            <v>41012</v>
          </cell>
        </row>
        <row r="263">
          <cell r="A263">
            <v>41013</v>
          </cell>
        </row>
        <row r="264">
          <cell r="A264">
            <v>41014</v>
          </cell>
        </row>
        <row r="265">
          <cell r="A265">
            <v>41015</v>
          </cell>
        </row>
        <row r="266">
          <cell r="A266">
            <v>47001</v>
          </cell>
        </row>
        <row r="267">
          <cell r="A267">
            <v>47002</v>
          </cell>
        </row>
        <row r="268">
          <cell r="A268">
            <v>47003</v>
          </cell>
        </row>
        <row r="269">
          <cell r="A269">
            <v>47004</v>
          </cell>
        </row>
        <row r="270">
          <cell r="A270">
            <v>47005</v>
          </cell>
        </row>
        <row r="271">
          <cell r="A271">
            <v>47006</v>
          </cell>
        </row>
        <row r="272">
          <cell r="A272">
            <v>47007</v>
          </cell>
        </row>
        <row r="273">
          <cell r="A273">
            <v>47008</v>
          </cell>
        </row>
        <row r="274">
          <cell r="A274">
            <v>47009</v>
          </cell>
        </row>
        <row r="275">
          <cell r="A275">
            <v>47010</v>
          </cell>
        </row>
        <row r="276">
          <cell r="A276">
            <v>47011</v>
          </cell>
        </row>
        <row r="277">
          <cell r="A277">
            <v>47012</v>
          </cell>
        </row>
        <row r="278">
          <cell r="A278">
            <v>49001</v>
          </cell>
        </row>
        <row r="279">
          <cell r="A279">
            <v>49002</v>
          </cell>
        </row>
        <row r="280">
          <cell r="A280">
            <v>49003</v>
          </cell>
        </row>
        <row r="281">
          <cell r="A281">
            <v>49004</v>
          </cell>
        </row>
        <row r="282">
          <cell r="A282">
            <v>49005</v>
          </cell>
        </row>
        <row r="283">
          <cell r="A283">
            <v>49006</v>
          </cell>
        </row>
        <row r="284">
          <cell r="A284">
            <v>49007</v>
          </cell>
        </row>
        <row r="285">
          <cell r="A285">
            <v>49008</v>
          </cell>
        </row>
        <row r="286">
          <cell r="A286">
            <v>49009</v>
          </cell>
        </row>
        <row r="287">
          <cell r="A287">
            <v>49010</v>
          </cell>
        </row>
        <row r="288">
          <cell r="A288">
            <v>49011</v>
          </cell>
        </row>
        <row r="289">
          <cell r="A289">
            <v>49012</v>
          </cell>
        </row>
        <row r="290">
          <cell r="A290">
            <v>49013</v>
          </cell>
        </row>
        <row r="291">
          <cell r="A291">
            <v>49014</v>
          </cell>
        </row>
        <row r="292">
          <cell r="A292">
            <v>49015</v>
          </cell>
        </row>
        <row r="293">
          <cell r="A293">
            <v>50001</v>
          </cell>
        </row>
        <row r="294">
          <cell r="A294">
            <v>50002</v>
          </cell>
        </row>
        <row r="295">
          <cell r="A295">
            <v>50003</v>
          </cell>
        </row>
        <row r="296">
          <cell r="A296">
            <v>50004</v>
          </cell>
        </row>
        <row r="297">
          <cell r="A297">
            <v>50005</v>
          </cell>
        </row>
        <row r="298">
          <cell r="A298">
            <v>50006</v>
          </cell>
        </row>
        <row r="299">
          <cell r="A299">
            <v>50007</v>
          </cell>
        </row>
        <row r="300">
          <cell r="A300">
            <v>50008</v>
          </cell>
        </row>
        <row r="301">
          <cell r="A301">
            <v>50009</v>
          </cell>
        </row>
        <row r="302">
          <cell r="A302">
            <v>50010</v>
          </cell>
        </row>
        <row r="303">
          <cell r="A303">
            <v>50011</v>
          </cell>
        </row>
        <row r="304">
          <cell r="A304">
            <v>50012</v>
          </cell>
        </row>
        <row r="305">
          <cell r="A305">
            <v>50013</v>
          </cell>
        </row>
        <row r="306">
          <cell r="A306">
            <v>50014</v>
          </cell>
        </row>
        <row r="307">
          <cell r="A307">
            <v>51001</v>
          </cell>
        </row>
        <row r="308">
          <cell r="A308">
            <v>51002</v>
          </cell>
        </row>
        <row r="309">
          <cell r="A309">
            <v>58001</v>
          </cell>
        </row>
        <row r="310">
          <cell r="A310">
            <v>59001</v>
          </cell>
        </row>
        <row r="311">
          <cell r="A311">
            <v>59002</v>
          </cell>
        </row>
        <row r="312">
          <cell r="A312">
            <v>60001</v>
          </cell>
        </row>
        <row r="313">
          <cell r="A313">
            <v>60002</v>
          </cell>
        </row>
        <row r="314">
          <cell r="A314">
            <v>60003</v>
          </cell>
        </row>
        <row r="315">
          <cell r="A315">
            <v>60004</v>
          </cell>
        </row>
        <row r="316">
          <cell r="A316">
            <v>60005</v>
          </cell>
        </row>
        <row r="317">
          <cell r="A317">
            <v>60006</v>
          </cell>
        </row>
        <row r="318">
          <cell r="A318">
            <v>60007</v>
          </cell>
        </row>
        <row r="319">
          <cell r="A319">
            <v>60010</v>
          </cell>
        </row>
        <row r="320">
          <cell r="A320">
            <v>60011</v>
          </cell>
        </row>
        <row r="321">
          <cell r="A321">
            <v>61011</v>
          </cell>
        </row>
        <row r="322">
          <cell r="A322">
            <v>60012</v>
          </cell>
        </row>
        <row r="323">
          <cell r="A323">
            <v>60013</v>
          </cell>
        </row>
        <row r="324">
          <cell r="A324">
            <v>60014</v>
          </cell>
        </row>
        <row r="325">
          <cell r="A325">
            <v>60015</v>
          </cell>
        </row>
        <row r="326">
          <cell r="A326">
            <v>60016</v>
          </cell>
        </row>
        <row r="327">
          <cell r="A327">
            <v>60017</v>
          </cell>
        </row>
        <row r="328">
          <cell r="A328">
            <v>60018</v>
          </cell>
        </row>
        <row r="329">
          <cell r="A329">
            <v>60019</v>
          </cell>
        </row>
        <row r="330">
          <cell r="A330">
            <v>60020</v>
          </cell>
        </row>
        <row r="331">
          <cell r="A331">
            <v>60025</v>
          </cell>
        </row>
        <row r="332">
          <cell r="A332">
            <v>60026</v>
          </cell>
        </row>
        <row r="333">
          <cell r="A333">
            <v>60027</v>
          </cell>
        </row>
        <row r="334">
          <cell r="A334">
            <v>60028</v>
          </cell>
        </row>
        <row r="335">
          <cell r="A335">
            <v>65525</v>
          </cell>
        </row>
        <row r="336">
          <cell r="A336">
            <v>65526</v>
          </cell>
        </row>
        <row r="337">
          <cell r="A337">
            <v>65527</v>
          </cell>
        </row>
        <row r="338">
          <cell r="A338">
            <v>65528</v>
          </cell>
        </row>
        <row r="339">
          <cell r="A339">
            <v>65529</v>
          </cell>
        </row>
        <row r="340">
          <cell r="A340">
            <v>65530</v>
          </cell>
        </row>
        <row r="341">
          <cell r="A341">
            <v>65531</v>
          </cell>
        </row>
        <row r="342">
          <cell r="A342">
            <v>65532</v>
          </cell>
        </row>
        <row r="343">
          <cell r="A343">
            <v>65533</v>
          </cell>
        </row>
        <row r="344">
          <cell r="A344">
            <v>65534</v>
          </cell>
        </row>
        <row r="345">
          <cell r="A345">
            <v>65535</v>
          </cell>
        </row>
        <row r="346">
          <cell r="A346">
            <v>60021</v>
          </cell>
        </row>
        <row r="347">
          <cell r="A347">
            <v>60022</v>
          </cell>
        </row>
        <row r="348">
          <cell r="A348">
            <v>60023</v>
          </cell>
        </row>
        <row r="349">
          <cell r="A34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40044_1</v>
          </cell>
        </row>
        <row r="789">
          <cell r="A789" t="str">
            <v>40044_2</v>
          </cell>
        </row>
        <row r="790">
          <cell r="A790" t="str">
            <v>41001_1</v>
          </cell>
        </row>
        <row r="791">
          <cell r="A791" t="str">
            <v>41001_2</v>
          </cell>
        </row>
        <row r="792">
          <cell r="A792" t="str">
            <v>41001_3</v>
          </cell>
        </row>
        <row r="793">
          <cell r="A793" t="str">
            <v>41002_1</v>
          </cell>
        </row>
        <row r="794">
          <cell r="A794" t="str">
            <v>41002_2</v>
          </cell>
        </row>
        <row r="795">
          <cell r="A795" t="str">
            <v>41002_3</v>
          </cell>
        </row>
        <row r="796">
          <cell r="A796" t="str">
            <v>41003_1</v>
          </cell>
        </row>
        <row r="797">
          <cell r="A797" t="str">
            <v>41003_2</v>
          </cell>
        </row>
        <row r="798">
          <cell r="A798" t="str">
            <v>41003_3</v>
          </cell>
        </row>
        <row r="799">
          <cell r="A799" t="str">
            <v>41004_1</v>
          </cell>
        </row>
        <row r="800">
          <cell r="A800" t="str">
            <v>41004_2</v>
          </cell>
        </row>
        <row r="801">
          <cell r="A801" t="str">
            <v>41004_3</v>
          </cell>
        </row>
        <row r="802">
          <cell r="A802" t="str">
            <v>41005_1</v>
          </cell>
        </row>
        <row r="803">
          <cell r="A803" t="str">
            <v>41005_2</v>
          </cell>
        </row>
        <row r="804">
          <cell r="A804" t="str">
            <v>41005_3</v>
          </cell>
        </row>
        <row r="805">
          <cell r="A805" t="str">
            <v>41006_1</v>
          </cell>
        </row>
        <row r="806">
          <cell r="A806" t="str">
            <v>41006_2</v>
          </cell>
        </row>
        <row r="807">
          <cell r="A807" t="str">
            <v>41006_3</v>
          </cell>
        </row>
        <row r="808">
          <cell r="A808" t="str">
            <v>41007_1</v>
          </cell>
        </row>
        <row r="809">
          <cell r="A809" t="str">
            <v>41007_2</v>
          </cell>
        </row>
        <row r="810">
          <cell r="A810" t="str">
            <v>41007_3</v>
          </cell>
        </row>
        <row r="811">
          <cell r="A811" t="str">
            <v>41008_1</v>
          </cell>
        </row>
        <row r="812">
          <cell r="A812" t="str">
            <v>41008_2</v>
          </cell>
        </row>
        <row r="813">
          <cell r="A813" t="str">
            <v>41008_3</v>
          </cell>
        </row>
        <row r="814">
          <cell r="A814" t="str">
            <v>41009_1</v>
          </cell>
        </row>
        <row r="815">
          <cell r="A815" t="str">
            <v>41009_2</v>
          </cell>
        </row>
        <row r="816">
          <cell r="A816" t="str">
            <v>41009_3</v>
          </cell>
        </row>
        <row r="817">
          <cell r="A817" t="str">
            <v>41010_1</v>
          </cell>
        </row>
        <row r="818">
          <cell r="A818" t="str">
            <v>41010_2</v>
          </cell>
        </row>
        <row r="819">
          <cell r="A819" t="str">
            <v>41010_3</v>
          </cell>
        </row>
        <row r="820">
          <cell r="A820" t="str">
            <v>41011_1</v>
          </cell>
        </row>
        <row r="821">
          <cell r="A821" t="str">
            <v>41011_2</v>
          </cell>
        </row>
        <row r="822">
          <cell r="A822" t="str">
            <v>41012_1</v>
          </cell>
        </row>
        <row r="823">
          <cell r="A823" t="str">
            <v>41012_2</v>
          </cell>
        </row>
        <row r="824">
          <cell r="A824" t="str">
            <v>41013_1</v>
          </cell>
        </row>
        <row r="825">
          <cell r="A825" t="str">
            <v>41013_2</v>
          </cell>
        </row>
        <row r="826">
          <cell r="A826" t="str">
            <v>41014_1</v>
          </cell>
        </row>
        <row r="827">
          <cell r="A827" t="str">
            <v>41014_2</v>
          </cell>
        </row>
        <row r="828">
          <cell r="A828" t="str">
            <v>41015_1</v>
          </cell>
        </row>
        <row r="829">
          <cell r="A829" t="str">
            <v>41015_2</v>
          </cell>
        </row>
        <row r="830">
          <cell r="A830" t="str">
            <v>47001_1</v>
          </cell>
        </row>
        <row r="831">
          <cell r="A831" t="str">
            <v>47001_2</v>
          </cell>
        </row>
        <row r="832">
          <cell r="A832" t="str">
            <v>47002_1</v>
          </cell>
        </row>
        <row r="833">
          <cell r="A833" t="str">
            <v>47002_2</v>
          </cell>
        </row>
        <row r="834">
          <cell r="A834" t="str">
            <v>47003_1</v>
          </cell>
        </row>
        <row r="835">
          <cell r="A835" t="str">
            <v>47003_2</v>
          </cell>
        </row>
        <row r="836">
          <cell r="A836" t="str">
            <v>47003_3</v>
          </cell>
        </row>
        <row r="837">
          <cell r="A837" t="str">
            <v>47003_4</v>
          </cell>
        </row>
        <row r="838">
          <cell r="A838" t="str">
            <v>47004_1</v>
          </cell>
        </row>
        <row r="839">
          <cell r="A839" t="str">
            <v>47004_2</v>
          </cell>
        </row>
        <row r="840">
          <cell r="A840" t="str">
            <v>47004_3</v>
          </cell>
        </row>
        <row r="841">
          <cell r="A841" t="str">
            <v>47004_4</v>
          </cell>
        </row>
        <row r="842">
          <cell r="A842" t="str">
            <v>47005_1</v>
          </cell>
        </row>
        <row r="843">
          <cell r="A843" t="str">
            <v>47006_1</v>
          </cell>
        </row>
        <row r="844">
          <cell r="A844" t="str">
            <v>47006_2</v>
          </cell>
        </row>
        <row r="845">
          <cell r="A845" t="str">
            <v>47007_1</v>
          </cell>
        </row>
        <row r="846">
          <cell r="A846" t="str">
            <v>47007_2</v>
          </cell>
        </row>
        <row r="847">
          <cell r="A847" t="str">
            <v>47008_1</v>
          </cell>
        </row>
        <row r="848">
          <cell r="A848" t="str">
            <v>47008_2</v>
          </cell>
        </row>
        <row r="849">
          <cell r="A849" t="str">
            <v>47009_1</v>
          </cell>
        </row>
        <row r="850">
          <cell r="A850" t="str">
            <v>47009_2</v>
          </cell>
        </row>
        <row r="851">
          <cell r="A851" t="str">
            <v>47010_1</v>
          </cell>
        </row>
        <row r="852">
          <cell r="A852" t="str">
            <v>47010_2</v>
          </cell>
        </row>
        <row r="853">
          <cell r="A853" t="str">
            <v>47011_1</v>
          </cell>
        </row>
        <row r="854">
          <cell r="A854" t="str">
            <v>47012_1</v>
          </cell>
        </row>
        <row r="855">
          <cell r="A855" t="str">
            <v>47012_2</v>
          </cell>
        </row>
        <row r="856">
          <cell r="A856" t="str">
            <v>48001_1</v>
          </cell>
        </row>
        <row r="857">
          <cell r="A857" t="str">
            <v>48002_1</v>
          </cell>
        </row>
        <row r="858">
          <cell r="A858" t="str">
            <v>48002_2</v>
          </cell>
        </row>
        <row r="859">
          <cell r="A859" t="str">
            <v>48002_3</v>
          </cell>
        </row>
        <row r="860">
          <cell r="A860" t="str">
            <v>48003_1</v>
          </cell>
        </row>
        <row r="861">
          <cell r="A861" t="str">
            <v>48003_2</v>
          </cell>
        </row>
        <row r="862">
          <cell r="A862" t="str">
            <v>48004_1</v>
          </cell>
        </row>
        <row r="863">
          <cell r="A863" t="str">
            <v>48004_2</v>
          </cell>
        </row>
        <row r="864">
          <cell r="A864" t="str">
            <v>48005_1</v>
          </cell>
        </row>
        <row r="865">
          <cell r="A865" t="str">
            <v>48005_2</v>
          </cell>
        </row>
        <row r="866">
          <cell r="A866" t="str">
            <v>48006_1</v>
          </cell>
        </row>
        <row r="867">
          <cell r="A867" t="str">
            <v>48006_2</v>
          </cell>
        </row>
        <row r="868">
          <cell r="A868" t="str">
            <v>48007_1</v>
          </cell>
        </row>
        <row r="869">
          <cell r="A869" t="str">
            <v>48007_2</v>
          </cell>
        </row>
        <row r="870">
          <cell r="A870" t="str">
            <v>48008_1</v>
          </cell>
        </row>
        <row r="871">
          <cell r="A871" t="str">
            <v>48008_2</v>
          </cell>
        </row>
        <row r="872">
          <cell r="A872" t="str">
            <v>48009_1</v>
          </cell>
        </row>
        <row r="873">
          <cell r="A873" t="str">
            <v>48009_2</v>
          </cell>
        </row>
        <row r="874">
          <cell r="A874" t="str">
            <v>48010_1</v>
          </cell>
        </row>
        <row r="875">
          <cell r="A875" t="str">
            <v>48011_1</v>
          </cell>
        </row>
        <row r="876">
          <cell r="A876" t="str">
            <v>48011_2</v>
          </cell>
        </row>
        <row r="877">
          <cell r="A877" t="str">
            <v>48012_1</v>
          </cell>
        </row>
        <row r="878">
          <cell r="A878" t="str">
            <v>48012_2</v>
          </cell>
        </row>
        <row r="879">
          <cell r="A879" t="str">
            <v>48501_1</v>
          </cell>
        </row>
        <row r="880">
          <cell r="A880" t="str">
            <v>48501_2</v>
          </cell>
        </row>
        <row r="881">
          <cell r="A881" t="str">
            <v>48502_1</v>
          </cell>
        </row>
        <row r="882">
          <cell r="A882" t="str">
            <v>48502_2</v>
          </cell>
        </row>
        <row r="883">
          <cell r="A883" t="str">
            <v>48701_1</v>
          </cell>
        </row>
        <row r="884">
          <cell r="A884" t="str">
            <v>48701_2</v>
          </cell>
        </row>
        <row r="885">
          <cell r="A885" t="str">
            <v>49001_1</v>
          </cell>
        </row>
        <row r="886">
          <cell r="A886" t="str">
            <v>49002_1</v>
          </cell>
        </row>
        <row r="887">
          <cell r="A887" t="str">
            <v>49002_2</v>
          </cell>
        </row>
        <row r="888">
          <cell r="A888" t="str">
            <v>49003_1</v>
          </cell>
        </row>
        <row r="889">
          <cell r="A889" t="str">
            <v>49003_2</v>
          </cell>
        </row>
        <row r="890">
          <cell r="A890" t="str">
            <v>49004_1</v>
          </cell>
        </row>
        <row r="891">
          <cell r="A891" t="str">
            <v>49004_2</v>
          </cell>
        </row>
        <row r="892">
          <cell r="A892" t="str">
            <v>49004_3</v>
          </cell>
        </row>
        <row r="893">
          <cell r="A893" t="str">
            <v>49005_1</v>
          </cell>
        </row>
        <row r="894">
          <cell r="A894" t="str">
            <v>49006_1</v>
          </cell>
        </row>
        <row r="895">
          <cell r="A895" t="str">
            <v>49006_2</v>
          </cell>
        </row>
        <row r="896">
          <cell r="A896" t="str">
            <v>49007_1</v>
          </cell>
        </row>
        <row r="897">
          <cell r="A897" t="str">
            <v>49007_2</v>
          </cell>
        </row>
        <row r="898">
          <cell r="A898" t="str">
            <v>49007_3</v>
          </cell>
        </row>
        <row r="899">
          <cell r="A899" t="str">
            <v>49008_1</v>
          </cell>
        </row>
        <row r="900">
          <cell r="A900" t="str">
            <v>49009_1</v>
          </cell>
        </row>
        <row r="901">
          <cell r="A901" t="str">
            <v>49010_1</v>
          </cell>
        </row>
        <row r="902">
          <cell r="A902" t="str">
            <v>49011_1</v>
          </cell>
        </row>
        <row r="903">
          <cell r="A903" t="str">
            <v>49012_1</v>
          </cell>
        </row>
        <row r="904">
          <cell r="A904" t="str">
            <v>49013_1</v>
          </cell>
        </row>
        <row r="905">
          <cell r="A905" t="str">
            <v>49014_1</v>
          </cell>
        </row>
        <row r="906">
          <cell r="A906" t="str">
            <v>49014_2</v>
          </cell>
        </row>
        <row r="907">
          <cell r="A907" t="str">
            <v>49015_1</v>
          </cell>
        </row>
        <row r="908">
          <cell r="A908" t="str">
            <v>49015_2</v>
          </cell>
        </row>
        <row r="909">
          <cell r="A909" t="str">
            <v>49015_3</v>
          </cell>
        </row>
        <row r="910">
          <cell r="A910" t="str">
            <v>50001_1</v>
          </cell>
        </row>
        <row r="911">
          <cell r="A911" t="str">
            <v>50002_1</v>
          </cell>
        </row>
        <row r="912">
          <cell r="A912" t="str">
            <v>50003_1</v>
          </cell>
        </row>
        <row r="913">
          <cell r="A913" t="str">
            <v>50004_1</v>
          </cell>
        </row>
        <row r="914">
          <cell r="A914" t="str">
            <v>50005_1</v>
          </cell>
        </row>
        <row r="915">
          <cell r="A915" t="str">
            <v>50006_1</v>
          </cell>
        </row>
        <row r="916">
          <cell r="A916" t="str">
            <v>50007_1</v>
          </cell>
        </row>
        <row r="917">
          <cell r="A917" t="str">
            <v>50008_1</v>
          </cell>
        </row>
        <row r="918">
          <cell r="A918" t="str">
            <v>50009_1</v>
          </cell>
        </row>
        <row r="919">
          <cell r="A919" t="str">
            <v>50010_1</v>
          </cell>
        </row>
        <row r="920">
          <cell r="A920" t="str">
            <v>50011_1</v>
          </cell>
        </row>
        <row r="921">
          <cell r="A921" t="str">
            <v>50012_1</v>
          </cell>
        </row>
        <row r="922">
          <cell r="A922" t="str">
            <v>50013_1</v>
          </cell>
        </row>
        <row r="923">
          <cell r="A923" t="str">
            <v>50014_1</v>
          </cell>
        </row>
        <row r="924">
          <cell r="A924" t="str">
            <v>51001_1</v>
          </cell>
        </row>
        <row r="925">
          <cell r="A925" t="str">
            <v>51002_1</v>
          </cell>
        </row>
        <row r="926">
          <cell r="A926" t="str">
            <v>58001_1</v>
          </cell>
        </row>
        <row r="927">
          <cell r="A927" t="str">
            <v>59001_1</v>
          </cell>
        </row>
        <row r="928">
          <cell r="A928" t="str">
            <v>59002_1</v>
          </cell>
        </row>
        <row r="929">
          <cell r="A929" t="str">
            <v>60001_1</v>
          </cell>
        </row>
        <row r="930">
          <cell r="A930" t="str">
            <v>60002_1</v>
          </cell>
        </row>
        <row r="931">
          <cell r="A931" t="str">
            <v>60002_2</v>
          </cell>
        </row>
        <row r="932">
          <cell r="A932" t="str">
            <v>60003_1</v>
          </cell>
        </row>
        <row r="933">
          <cell r="A933" t="str">
            <v>60003_2</v>
          </cell>
        </row>
        <row r="934">
          <cell r="A934" t="str">
            <v>60003_3</v>
          </cell>
        </row>
        <row r="935">
          <cell r="A935" t="str">
            <v>60004_1</v>
          </cell>
        </row>
        <row r="936">
          <cell r="A936" t="str">
            <v>60005_1</v>
          </cell>
        </row>
        <row r="937">
          <cell r="A937" t="str">
            <v>60006_1</v>
          </cell>
        </row>
        <row r="938">
          <cell r="A938" t="str">
            <v>60006_2</v>
          </cell>
        </row>
        <row r="939">
          <cell r="A939" t="str">
            <v>60006_3</v>
          </cell>
        </row>
        <row r="940">
          <cell r="A940" t="str">
            <v>60007_1</v>
          </cell>
        </row>
        <row r="941">
          <cell r="A941" t="str">
            <v>60007_2</v>
          </cell>
        </row>
        <row r="942">
          <cell r="A942" t="str">
            <v>60007_3</v>
          </cell>
        </row>
        <row r="943">
          <cell r="A943" t="str">
            <v>60010_1</v>
          </cell>
        </row>
        <row r="944">
          <cell r="A944" t="str">
            <v>60011_1</v>
          </cell>
        </row>
        <row r="945">
          <cell r="A945" t="str">
            <v>60011_2</v>
          </cell>
        </row>
        <row r="946">
          <cell r="A946" t="str">
            <v>60012_1</v>
          </cell>
        </row>
        <row r="947">
          <cell r="A947" t="str">
            <v>60013_1</v>
          </cell>
        </row>
        <row r="948">
          <cell r="A948" t="str">
            <v>60013_2</v>
          </cell>
        </row>
        <row r="949">
          <cell r="A949" t="str">
            <v>60013_3</v>
          </cell>
        </row>
        <row r="950">
          <cell r="A950" t="str">
            <v>60014_1</v>
          </cell>
        </row>
        <row r="951">
          <cell r="A951" t="str">
            <v>60015_1</v>
          </cell>
        </row>
        <row r="952">
          <cell r="A952" t="str">
            <v>60016_1</v>
          </cell>
        </row>
        <row r="953">
          <cell r="A953" t="str">
            <v>60017_1</v>
          </cell>
        </row>
        <row r="954">
          <cell r="A954" t="str">
            <v>60018_1</v>
          </cell>
        </row>
        <row r="955">
          <cell r="A955" t="str">
            <v>60019_1</v>
          </cell>
        </row>
        <row r="956">
          <cell r="A956" t="str">
            <v>60020_1</v>
          </cell>
        </row>
        <row r="957">
          <cell r="A957" t="str">
            <v>60021_3</v>
          </cell>
        </row>
        <row r="958">
          <cell r="A958" t="str">
            <v>60022_3</v>
          </cell>
        </row>
        <row r="959">
          <cell r="A959" t="str">
            <v>60023_3</v>
          </cell>
        </row>
        <row r="960">
          <cell r="A960" t="str">
            <v>60024_3</v>
          </cell>
        </row>
        <row r="961">
          <cell r="A961" t="str">
            <v>60025_1</v>
          </cell>
        </row>
        <row r="962">
          <cell r="A962" t="str">
            <v>60026_1</v>
          </cell>
        </row>
        <row r="963">
          <cell r="A963" t="str">
            <v>61011_1</v>
          </cell>
        </row>
        <row r="964">
          <cell r="A964" t="str">
            <v>60027_1</v>
          </cell>
        </row>
        <row r="965">
          <cell r="A965" t="str">
            <v>60028_1</v>
          </cell>
        </row>
        <row r="966">
          <cell r="A966" t="str">
            <v>65525_1</v>
          </cell>
        </row>
        <row r="967">
          <cell r="A967" t="str">
            <v>65526_1</v>
          </cell>
        </row>
        <row r="968">
          <cell r="A968" t="str">
            <v>65526_2</v>
          </cell>
        </row>
        <row r="969">
          <cell r="A969" t="str">
            <v>65527_1</v>
          </cell>
        </row>
        <row r="970">
          <cell r="A970" t="str">
            <v>65528_1</v>
          </cell>
        </row>
        <row r="971">
          <cell r="A971" t="str">
            <v>65529_1</v>
          </cell>
        </row>
        <row r="972">
          <cell r="A972" t="str">
            <v>65530_1</v>
          </cell>
        </row>
        <row r="973">
          <cell r="A973" t="str">
            <v>65531_1</v>
          </cell>
        </row>
        <row r="974">
          <cell r="A974" t="str">
            <v>65531_2</v>
          </cell>
        </row>
        <row r="975">
          <cell r="A975" t="str">
            <v>65532_1</v>
          </cell>
        </row>
        <row r="976">
          <cell r="A976" t="str">
            <v>65532_2</v>
          </cell>
        </row>
        <row r="977">
          <cell r="A977" t="str">
            <v>65533_1</v>
          </cell>
        </row>
        <row r="978">
          <cell r="A978" t="str">
            <v>65533_2</v>
          </cell>
        </row>
        <row r="979">
          <cell r="A979" t="str">
            <v>65534_1</v>
          </cell>
        </row>
        <row r="980">
          <cell r="A980" t="str">
            <v>65534_2</v>
          </cell>
        </row>
        <row r="981">
          <cell r="A981" t="str">
            <v>65535_1</v>
          </cell>
        </row>
        <row r="982">
          <cell r="A982" t="str">
            <v>65535_2</v>
          </cell>
        </row>
        <row r="983">
          <cell r="A983" t="str">
            <v>65535_3</v>
          </cell>
        </row>
        <row r="984">
          <cell r="A984" t="str">
            <v>65535_4</v>
          </cell>
        </row>
        <row r="985">
          <cell r="A985" t="str">
            <v>65535_5</v>
          </cell>
        </row>
        <row r="986">
          <cell r="A986" t="str">
            <v>65535_6</v>
          </cell>
        </row>
        <row r="987">
          <cell r="A987" t="str">
            <v>65535_7</v>
          </cell>
        </row>
        <row r="988">
          <cell r="A988" t="str">
            <v>65535_8</v>
          </cell>
        </row>
        <row r="989">
          <cell r="A989" t="str">
            <v>65535_9</v>
          </cell>
        </row>
        <row r="990">
          <cell r="A99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0" sqref="E20"/>
    </sheetView>
  </sheetViews>
  <sheetFormatPr baseColWidth="12" defaultRowHeight="15" x14ac:dyDescent="0.15"/>
  <cols>
    <col min="2" max="2" width="26.664062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268</v>
      </c>
      <c r="B2" s="55" t="s">
        <v>105</v>
      </c>
      <c r="C2" s="60" t="s">
        <v>251</v>
      </c>
      <c r="D2" s="55" t="s">
        <v>106</v>
      </c>
      <c r="E2" s="54" t="str">
        <f>B2&amp;C2&amp;D2</f>
        <v>floors_13400_1.tmp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268</v>
      </c>
      <c r="B3" s="55" t="s">
        <v>108</v>
      </c>
      <c r="C3" s="60" t="s">
        <v>251</v>
      </c>
      <c r="D3" s="55" t="s">
        <v>106</v>
      </c>
      <c r="E3" s="54" t="str">
        <f>B3&amp;C3&amp;D3</f>
        <v>enemy_habitats_13400_1.tmp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175</v>
      </c>
    </row>
    <row r="4" spans="1:30" x14ac:dyDescent="0.15">
      <c r="A4" s="59" t="s">
        <v>311</v>
      </c>
      <c r="B4" s="55" t="s">
        <v>110</v>
      </c>
      <c r="C4" s="60" t="s">
        <v>251</v>
      </c>
      <c r="D4" s="55" t="s">
        <v>106</v>
      </c>
      <c r="E4" s="54" t="str">
        <f>B4&amp;C4&amp;D4</f>
        <v>enemy_habitat_S_13400_1.tmp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268</v>
      </c>
      <c r="B5" s="55" t="s">
        <v>112</v>
      </c>
      <c r="C5" s="60" t="s">
        <v>251</v>
      </c>
      <c r="D5" s="55" t="s">
        <v>106</v>
      </c>
      <c r="E5" s="54" t="str">
        <f>B5&amp;C5&amp;D5</f>
        <v>enemy_skill_sets_13400_1.tmp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268</v>
      </c>
      <c r="B6" s="55" t="s">
        <v>114</v>
      </c>
      <c r="C6" s="60" t="s">
        <v>251</v>
      </c>
      <c r="D6" s="55" t="s">
        <v>115</v>
      </c>
      <c r="E6" s="54" t="str">
        <f t="shared" ref="E6:E10" si="0">B6&amp;C6&amp;D6</f>
        <v>enemy_skills_tmp_13400_1.tmp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268</v>
      </c>
      <c r="B7" s="55" t="s">
        <v>116</v>
      </c>
      <c r="C7" s="60" t="s">
        <v>251</v>
      </c>
      <c r="D7" s="55" t="s">
        <v>106</v>
      </c>
      <c r="E7" s="54" t="str">
        <f>B7&amp;C7&amp;D7</f>
        <v>enemy_skills_i18n_13400_1.tmp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268</v>
      </c>
      <c r="B8" s="55" t="s">
        <v>118</v>
      </c>
      <c r="C8" s="60" t="s">
        <v>251</v>
      </c>
      <c r="D8" s="55" t="s">
        <v>119</v>
      </c>
      <c r="E8" s="54" t="str">
        <f t="shared" si="0"/>
        <v>enemy_skill_triggers_13400_1.tmp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268</v>
      </c>
      <c r="B9" s="65" t="s">
        <v>174</v>
      </c>
      <c r="C9" s="60" t="s">
        <v>251</v>
      </c>
      <c r="D9" s="65" t="s">
        <v>168</v>
      </c>
      <c r="E9" s="66" t="str">
        <f t="shared" si="0"/>
        <v>stage_bug_bonuses_13400_1.tmp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311</v>
      </c>
      <c r="B10" s="65" t="s">
        <v>196</v>
      </c>
      <c r="C10" s="60" t="s">
        <v>251</v>
      </c>
      <c r="D10" s="65" t="s">
        <v>177</v>
      </c>
      <c r="E10" s="66" t="str">
        <f t="shared" si="0"/>
        <v>stage_hints_data_c_13400_1.tmp</v>
      </c>
      <c r="F10" s="65" t="s">
        <v>204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268</v>
      </c>
      <c r="B11" s="65" t="s">
        <v>197</v>
      </c>
      <c r="C11" s="60" t="s">
        <v>251</v>
      </c>
      <c r="D11" s="65" t="s">
        <v>168</v>
      </c>
      <c r="E11" s="66" t="str">
        <f t="shared" ref="E11:E13" si="1">B11&amp;C11&amp;D11</f>
        <v>stage_hints_data_f_13400_1.tmp</v>
      </c>
      <c r="F11" s="65" t="s">
        <v>205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268</v>
      </c>
      <c r="B12" s="65" t="s">
        <v>198</v>
      </c>
      <c r="C12" s="60" t="s">
        <v>251</v>
      </c>
      <c r="D12" s="65" t="s">
        <v>168</v>
      </c>
      <c r="E12" s="66" t="str">
        <f t="shared" si="1"/>
        <v>stage_hints_i18n_13400_1.tmp</v>
      </c>
      <c r="F12" s="65" t="s">
        <v>206</v>
      </c>
      <c r="G12" s="71" t="s">
        <v>199</v>
      </c>
      <c r="H12" s="90" t="s">
        <v>200</v>
      </c>
      <c r="I12" s="70" t="s">
        <v>201</v>
      </c>
      <c r="J12" s="98" t="s">
        <v>202</v>
      </c>
      <c r="K12" s="64" t="s">
        <v>203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268</v>
      </c>
      <c r="B13" s="65" t="s">
        <v>244</v>
      </c>
      <c r="C13" s="60" t="s">
        <v>251</v>
      </c>
      <c r="D13" s="65" t="s">
        <v>225</v>
      </c>
      <c r="E13" s="66" t="str">
        <f t="shared" si="1"/>
        <v>stage_bonuses_13400_1.tmp</v>
      </c>
      <c r="F13" s="65" t="s">
        <v>224</v>
      </c>
      <c r="G13" s="70" t="s">
        <v>226</v>
      </c>
      <c r="H13" s="70" t="s">
        <v>227</v>
      </c>
      <c r="I13" s="70" t="s">
        <v>228</v>
      </c>
      <c r="J13" s="70" t="s">
        <v>229</v>
      </c>
      <c r="K13" s="70" t="s">
        <v>230</v>
      </c>
      <c r="L13" s="70" t="s">
        <v>231</v>
      </c>
      <c r="M13" s="70" t="s">
        <v>232</v>
      </c>
      <c r="N13" s="70" t="s">
        <v>233</v>
      </c>
      <c r="O13" s="70" t="s">
        <v>234</v>
      </c>
      <c r="P13" s="70" t="s">
        <v>235</v>
      </c>
      <c r="Q13" s="70" t="s">
        <v>236</v>
      </c>
      <c r="R13" s="70" t="s">
        <v>237</v>
      </c>
      <c r="S13" s="70" t="s">
        <v>238</v>
      </c>
      <c r="T13" s="70" t="s">
        <v>239</v>
      </c>
      <c r="U13" s="70" t="s">
        <v>240</v>
      </c>
      <c r="V13" s="70" t="s">
        <v>241</v>
      </c>
      <c r="W13" s="70" t="s">
        <v>242</v>
      </c>
      <c r="X13" s="70" t="s">
        <v>243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H10" sqref="H10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13400_1-1</v>
      </c>
      <c r="B2" s="15" t="str">
        <f>IF(COUNTIF(enemy_habitats!$H:$H,A2),"OK","NG")</f>
        <v>OK</v>
      </c>
      <c r="C2" s="10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</v>
      </c>
      <c r="G2" s="21" t="str">
        <f>C2&amp;"_"&amp;F2</f>
        <v>13400_1</v>
      </c>
      <c r="H2" s="14" t="str">
        <f ca="1">VLOOKUP($G2,OFFSET([2]stages!$A$1,0,0,COUNTA([2]stages!$A:$A),MATCH(H$1,[2]stages!$2:$2,0)-MATCH($G$1,[2]stages!$2:$2,0)+1),MATCH(H$1,[2]stages!$2:$2,0)-MATCH($G$1,[2]stages!$2:$2,0)+1,FALSE)</f>
        <v>1階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13400_1-2</v>
      </c>
      <c r="B3" s="15" t="str">
        <f>IF(COUNTIF(enemy_habitats!$H:$H,A3),"OK","NG")</f>
        <v>OK</v>
      </c>
      <c r="C3" s="10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</v>
      </c>
      <c r="G3" s="21" t="str">
        <f>C3&amp;"_"&amp;F3</f>
        <v>13400_1</v>
      </c>
      <c r="H3" s="14" t="str">
        <f ca="1">VLOOKUP($G3,OFFSET([2]stages!$A$1,0,0,COUNTA([2]stages!$A:$A),MATCH(H$1,[2]stages!$2:$2,0)-MATCH($G$1,[2]stages!$2:$2,0)+1),MATCH(H$1,[2]stages!$2:$2,0)-MATCH($G$1,[2]stages!$2:$2,0)+1,FALSE)</f>
        <v>1階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>G4&amp;"-"&amp;I4</f>
        <v>13400_1-3</v>
      </c>
      <c r="B4" s="15" t="str">
        <f>IF(COUNTIF(enemy_habitats!$H:$H,A4),"OK","NG")</f>
        <v>OK</v>
      </c>
      <c r="C4" s="107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-エルフラム-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1</v>
      </c>
      <c r="G4" s="21" t="str">
        <f>C4&amp;"_"&amp;F4</f>
        <v>13400_1</v>
      </c>
      <c r="H4" s="14" t="str">
        <f ca="1">VLOOKUP($G4,OFFSET([2]stages!$A$1,0,0,COUNTA([2]stages!$A:$A),MATCH(H$1,[2]stages!$2:$2,0)-MATCH($G$1,[2]stages!$2:$2,0)+1),MATCH(H$1,[2]stages!$2:$2,0)-MATCH($G$1,[2]stages!$2:$2,0)+1,FALSE)</f>
        <v>1階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6" sqref="Y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25.3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28.83203125" style="105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245</v>
      </c>
      <c r="U1" s="24" t="s">
        <v>50</v>
      </c>
      <c r="V1" s="99" t="s">
        <v>246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13400_1-1/1252&lt;lv10&gt;s1</v>
      </c>
      <c r="B2" s="20">
        <v>13400</v>
      </c>
      <c r="C2" s="19">
        <v>1</v>
      </c>
      <c r="D2" s="2" t="str">
        <f>B2&amp;"_"&amp;C2</f>
        <v>13400_1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1階 コスト制限なし</v>
      </c>
      <c r="G2" s="19">
        <v>1</v>
      </c>
      <c r="H2" s="14" t="str">
        <f>B2&amp;"_"&amp;C2&amp;"-"&amp;G2</f>
        <v>13400_1-1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4">
        <v>1252</v>
      </c>
      <c r="M2" s="103" t="str">
        <f ca="1">VLOOKUP($L2,OFFSET([3]enemies!$A$1,0,0,COUNTA([3]enemies!$A:$A),MATCH(M$1,[3]enemies!$1:$1,0)-MATCH($L$1,[3]enemies!$1:$1,0)+1),MATCH(M$1,[3]enemies!$1:$1,0)-MATCH($L$1,[3]enemies!$1:$1,0)+1,FALSE)</f>
        <v>ギャラルホルン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3">
        <v>0.7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10046.4</v>
      </c>
      <c r="U2" s="23">
        <v>0.52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806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ギャラルホルンは静かに興奮している</v>
      </c>
      <c r="Y2" s="108">
        <v>13400000</v>
      </c>
      <c r="Z2" s="6">
        <v>1</v>
      </c>
      <c r="AA2" s="6">
        <v>100</v>
      </c>
      <c r="AB2" s="6">
        <v>1</v>
      </c>
      <c r="AC2" s="102">
        <v>1</v>
      </c>
      <c r="AD2" s="22">
        <f t="shared" ref="AD2" si="1">L2</f>
        <v>1252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ギャラルホルン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" si="2">B3&amp;"_"&amp;C3&amp;"-"&amp;G3&amp;"/"&amp;L3&amp;"&lt;lv"&amp;R3&amp;"&gt;s"&amp;AC3</f>
        <v>13400_1-1/1061&lt;lv10&gt;s2</v>
      </c>
      <c r="B3" s="20">
        <v>13400</v>
      </c>
      <c r="C3" s="19">
        <v>1</v>
      </c>
      <c r="D3" s="2" t="str">
        <f t="shared" ref="D3" si="3">B3&amp;"_"&amp;C3</f>
        <v>13400_1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1階 コスト制限なし</v>
      </c>
      <c r="G3" s="19">
        <v>1</v>
      </c>
      <c r="H3" s="14" t="str">
        <f t="shared" ref="H3" si="4">B3&amp;"_"&amp;C3&amp;"-"&amp;G3</f>
        <v>13400_1-1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253</v>
      </c>
      <c r="L3" s="104">
        <v>1061</v>
      </c>
      <c r="M3" s="103" t="str">
        <f ca="1">VLOOKUP($L3,OFFSET([3]enemies!$A$1,0,0,COUNTA([3]enemies!$A:$A),MATCH(M$1,[3]enemies!$1:$1,0)-MATCH($L$1,[3]enemies!$1:$1,0)+1),MATCH(M$1,[3]enemies!$1:$1,0)-MATCH($L$1,[3]enemies!$1:$1,0)+1,FALSE)</f>
        <v>フンババ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3">
        <v>0.59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12533.96</v>
      </c>
      <c r="U3" s="23">
        <v>1.3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1431.3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フンババはこちらに突撃してきそうだ!</v>
      </c>
      <c r="Y3" s="108">
        <v>13400001</v>
      </c>
      <c r="Z3" s="6">
        <v>1</v>
      </c>
      <c r="AA3" s="6">
        <v>100</v>
      </c>
      <c r="AB3" s="6">
        <v>2</v>
      </c>
      <c r="AC3" s="102">
        <v>2</v>
      </c>
      <c r="AD3" s="22">
        <f t="shared" ref="AD3" si="5">L3</f>
        <v>1061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フンババ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2">
        <f t="shared" ref="AI3" ca="1" si="6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ref="A4:A7" si="7">B4&amp;"_"&amp;C4&amp;"-"&amp;G4&amp;"/"&amp;L4&amp;"&lt;lv"&amp;R4&amp;"&gt;s"&amp;AC4</f>
        <v>13400_1-2/159&lt;lv10&gt;s1</v>
      </c>
      <c r="B4" s="20">
        <v>13400</v>
      </c>
      <c r="C4" s="19">
        <v>1</v>
      </c>
      <c r="D4" s="2" t="str">
        <f t="shared" ref="D4:D7" si="8">B4&amp;"_"&amp;C4</f>
        <v>13400_1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1階 コスト制限なし</v>
      </c>
      <c r="G4" s="19">
        <v>2</v>
      </c>
      <c r="H4" s="14" t="str">
        <f t="shared" ref="H4:H7" si="9">B4&amp;"_"&amp;C4&amp;"-"&amp;G4</f>
        <v>13400_1-2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4">
        <v>159</v>
      </c>
      <c r="M4" s="103" t="str">
        <f ca="1">VLOOKUP($L4,OFFSET([3]enemies!$A$1,0,0,COUNTA([3]enemies!$A:$A),MATCH(M$1,[3]enemies!$1:$1,0)-MATCH($L$1,[3]enemies!$1:$1,0)+1),MATCH(M$1,[3]enemies!$1:$1,0)-MATCH($L$1,[3]enemies!$1:$1,0)+1,FALSE)</f>
        <v>邪を狩りし者 シャルロッテ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10</v>
      </c>
      <c r="S4" s="23">
        <v>1.56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17537.52</v>
      </c>
      <c r="U4" s="23">
        <v>1.0900000000000001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1000.6200000000001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一方、シャルロッテは_x000D_こちらにまったく気がついていないようだ</v>
      </c>
      <c r="Y4" s="108">
        <v>13400002</v>
      </c>
      <c r="Z4" s="6">
        <v>1</v>
      </c>
      <c r="AA4" s="6">
        <v>100</v>
      </c>
      <c r="AB4" s="6">
        <v>1</v>
      </c>
      <c r="AC4" s="102">
        <v>1</v>
      </c>
      <c r="AD4" s="22">
        <f t="shared" ref="AD4:AD7" si="10">L4</f>
        <v>159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邪を狩りし者 シャルロッテ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2">
        <f t="shared" ref="AI4:AI7" ca="1" si="1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7"/>
        <v>13400_1-2/318&lt;lv10&gt;s2</v>
      </c>
      <c r="B5" s="20">
        <v>13400</v>
      </c>
      <c r="C5" s="19">
        <v>1</v>
      </c>
      <c r="D5" s="2" t="str">
        <f t="shared" si="8"/>
        <v>13400_1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-エルフラム-</v>
      </c>
      <c r="F5" s="4" t="str">
        <f ca="1">VLOOKUP($D5,OFFSET([2]stages!$A$1,0,0,COUNTA([2]stages!$A:$A),MATCH(F$1,[2]stages!$2:$2,0)-MATCH($D$1,[2]stages!$2:$2,0)+1),MATCH(F$1,[2]stages!$2:$2,0)-MATCH($D$1,[2]stages!$2:$2,0)+1,FALSE)</f>
        <v>1階 コスト制限なし</v>
      </c>
      <c r="G5" s="19">
        <v>2</v>
      </c>
      <c r="H5" s="14" t="str">
        <f t="shared" si="9"/>
        <v>13400_1-2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4">
        <v>318</v>
      </c>
      <c r="M5" s="103" t="str">
        <f ca="1">VLOOKUP($L5,OFFSET([3]enemies!$A$1,0,0,COUNTA([3]enemies!$A:$A),MATCH(M$1,[3]enemies!$1:$1,0)-MATCH($L$1,[3]enemies!$1:$1,0)+1),MATCH(M$1,[3]enemies!$1:$1,0)-MATCH($L$1,[3]enemies!$1:$1,0)+1,FALSE)</f>
        <v>シャルル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DropWizN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10</v>
      </c>
      <c r="S5" s="23">
        <v>1.78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20010.760000000002</v>
      </c>
      <c r="U5" s="23">
        <v>1.25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1102.5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ほんの一瞬だけ、_x000D_ゴーグルに隠れているはずの_x000D_シャルルの視線を感じたような気がした…</v>
      </c>
      <c r="Y5" s="108">
        <v>13400003</v>
      </c>
      <c r="Z5" s="6">
        <v>1</v>
      </c>
      <c r="AA5" s="6">
        <v>100</v>
      </c>
      <c r="AB5" s="6">
        <v>2</v>
      </c>
      <c r="AC5" s="102">
        <v>2</v>
      </c>
      <c r="AD5" s="22">
        <f t="shared" si="10"/>
        <v>318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シャルル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DropWizN</v>
      </c>
      <c r="AH5" s="7">
        <v>1</v>
      </c>
      <c r="AI5" s="22">
        <f t="shared" ca="1" si="11"/>
        <v>4</v>
      </c>
      <c r="AJ5" s="8">
        <v>100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7"/>
        <v>13400_1-3/1216&lt;lv10&gt;s2</v>
      </c>
      <c r="B6" s="20">
        <v>13400</v>
      </c>
      <c r="C6" s="19">
        <v>1</v>
      </c>
      <c r="D6" s="2" t="str">
        <f t="shared" si="8"/>
        <v>13400_1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-エルフラム-</v>
      </c>
      <c r="F6" s="4" t="str">
        <f ca="1">VLOOKUP($D6,OFFSET([2]stages!$A$1,0,0,COUNTA([2]stages!$A:$A),MATCH(F$1,[2]stages!$2:$2,0)-MATCH($D$1,[2]stages!$2:$2,0)+1),MATCH(F$1,[2]stages!$2:$2,0)-MATCH($D$1,[2]stages!$2:$2,0)+1,FALSE)</f>
        <v>1階 コスト制限なし</v>
      </c>
      <c r="G6" s="19">
        <v>3</v>
      </c>
      <c r="H6" s="14" t="str">
        <f t="shared" si="9"/>
        <v>13400_1-3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04">
        <v>1216</v>
      </c>
      <c r="M6" s="103" t="str">
        <f ca="1">VLOOKUP($L6,OFFSET([3]enemies!$A$1,0,0,COUNTA([3]enemies!$A:$A),MATCH(M$1,[3]enemies!$1:$1,0)-MATCH($L$1,[3]enemies!$1:$1,0)+1),MATCH(M$1,[3]enemies!$1:$1,0)-MATCH($L$1,[3]enemies!$1:$1,0)+1,FALSE)</f>
        <v>梶井基次郎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10</v>
      </c>
      <c r="S6" s="23">
        <v>1.57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22504.38</v>
      </c>
      <c r="U6" s="23">
        <v>1.1000000000000001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1655.5000000000002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物騒な言葉を呟きながら_x000D_梶井基次郎が現れた</v>
      </c>
      <c r="Y6" s="108">
        <v>13400004</v>
      </c>
      <c r="Z6" s="6">
        <v>1</v>
      </c>
      <c r="AA6" s="6">
        <v>100</v>
      </c>
      <c r="AB6" s="6">
        <v>1</v>
      </c>
      <c r="AC6" s="102">
        <v>2</v>
      </c>
      <c r="AD6" s="22">
        <f t="shared" si="10"/>
        <v>1216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梶井基次郎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2">
        <f t="shared" ca="1" si="11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7"/>
        <v>13400_1-3/720&lt;lv10&gt;s3</v>
      </c>
      <c r="B7" s="20">
        <v>13400</v>
      </c>
      <c r="C7" s="19">
        <v>1</v>
      </c>
      <c r="D7" s="2" t="str">
        <f t="shared" si="8"/>
        <v>13400_1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-エルフラム-</v>
      </c>
      <c r="F7" s="4" t="str">
        <f ca="1">VLOOKUP($D7,OFFSET([2]stages!$A$1,0,0,COUNTA([2]stages!$A:$A),MATCH(F$1,[2]stages!$2:$2,0)-MATCH($D$1,[2]stages!$2:$2,0)+1),MATCH(F$1,[2]stages!$2:$2,0)-MATCH($D$1,[2]stages!$2:$2,0)+1,FALSE)</f>
        <v>1階 コスト制限なし</v>
      </c>
      <c r="G7" s="19">
        <v>3</v>
      </c>
      <c r="H7" s="14" t="str">
        <f t="shared" si="9"/>
        <v>13400_1-3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04">
        <v>720</v>
      </c>
      <c r="M7" s="103" t="str">
        <f ca="1">VLOOKUP($L7,OFFSET([3]enemies!$A$1,0,0,COUNTA([3]enemies!$A:$A),MATCH(M$1,[3]enemies!$1:$1,0)-MATCH($L$1,[3]enemies!$1:$1,0)+1),MATCH(M$1,[3]enemies!$1:$1,0)-MATCH($L$1,[3]enemies!$1:$1,0)+1,FALSE)</f>
        <v>直江兼続</v>
      </c>
      <c r="N7" s="1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10</v>
      </c>
      <c r="S7" s="23">
        <v>1.2030000000000001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25003.152000000002</v>
      </c>
      <c r="U7" s="23">
        <v>2.1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2020.2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直江兼続は既にやる気満々だ!</v>
      </c>
      <c r="Y7" s="108">
        <v>13400005</v>
      </c>
      <c r="Z7" s="6">
        <v>1</v>
      </c>
      <c r="AA7" s="6">
        <v>100</v>
      </c>
      <c r="AB7" s="6">
        <v>2</v>
      </c>
      <c r="AC7" s="102">
        <v>3</v>
      </c>
      <c r="AD7" s="22">
        <f t="shared" si="10"/>
        <v>720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直江兼続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2">
        <f t="shared" ca="1" si="11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C16" sqref="C1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245</v>
      </c>
      <c r="V1" s="24" t="s">
        <v>50</v>
      </c>
      <c r="W1" s="99" t="s">
        <v>246</v>
      </c>
      <c r="X1" s="24" t="s">
        <v>52</v>
      </c>
      <c r="Y1" s="26" t="s">
        <v>127</v>
      </c>
      <c r="Z1" s="27" t="s">
        <v>126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11" sqref="B11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35.5" style="47" bestFit="1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13400000_13400000</v>
      </c>
      <c r="B2" s="45">
        <v>13400000</v>
      </c>
      <c r="C2" s="45">
        <v>13400000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フフ…キミ達も来たか_x000D_ラグナロクを始めよう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ギャラルホルンは静かに興奮している</v>
      </c>
      <c r="F2" s="45">
        <v>13400000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" si="1">B3&amp;"_"&amp;C3</f>
        <v>13400000_13400006</v>
      </c>
      <c r="B3" s="45">
        <v>13400000</v>
      </c>
      <c r="C3" s="45">
        <v>13400006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戦争だ、戦争だよー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単体攻撃+_x000D_黄パネルを黄ボムパネルに変換</v>
      </c>
      <c r="F3" s="45">
        <v>13400001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ref="A4" si="2">B4&amp;"_"&amp;C4</f>
        <v>13400000_13400012</v>
      </c>
      <c r="B4" s="45">
        <v>13400000</v>
      </c>
      <c r="C4" s="45">
        <v>13400012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美しい音色が…崩れる…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ギャラルホルンの演奏を阻止したが_x000D_何の曲だったかはわからない</v>
      </c>
      <c r="F4" s="45">
        <v>13400002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" s="46">
        <v>1</v>
      </c>
      <c r="N4" s="46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8" si="3">B5&amp;"_"&amp;C5</f>
        <v>13400001_13400001</v>
      </c>
      <c r="B5" s="45">
        <v>13400001</v>
      </c>
      <c r="C5" s="45">
        <v>13400001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みつケた おまエ_x000D_おレ おまエ にがサなイ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フンババはこちらに突撃してきそうだ!</v>
      </c>
      <c r="F5" s="45">
        <v>13400000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ref="A6" si="4">B6&amp;"_"&amp;C6</f>
        <v>13400001_13400007</v>
      </c>
      <c r="B6" s="45">
        <v>13400001</v>
      </c>
      <c r="C6" s="45">
        <v>13400007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魔獣の牙傷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</v>
      </c>
      <c r="F6" s="45">
        <v>13400001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ref="A7" si="5">B7&amp;"_"&amp;C7</f>
        <v>13400001_13400013</v>
      </c>
      <c r="B7" s="45">
        <v>13400001</v>
      </c>
      <c r="C7" s="45">
        <v>13400013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おレ　負けル?_x000D_あリえナい!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負け惜しみの言葉を最後に_x000D_フンババは停止した</v>
      </c>
      <c r="F7" s="45">
        <v>13400002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" s="46">
        <v>1</v>
      </c>
      <c r="N7" s="46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3"/>
        <v>13400002_13400002</v>
      </c>
      <c r="B8" s="45">
        <v>13400002</v>
      </c>
      <c r="C8" s="45">
        <v>13400002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お任せください!_x000D_浄化作業、頑張ります!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一方、シャルロッテは_x000D_こちらにまったく気がついていないようだ</v>
      </c>
      <c r="F8" s="45">
        <v>13400000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ref="A9" si="6">B9&amp;"_"&amp;C9</f>
        <v>13400002_13400008</v>
      </c>
      <c r="B9" s="45">
        <v>13400002</v>
      </c>
      <c r="C9" s="45">
        <v>13400008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いきます!邪心浄化!_x000D_邪な魂は見逃せません!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単体攻撃+_x000D_ランダムで先頭ユニットのCパネルに最大5個変換</v>
      </c>
      <c r="F9" s="45">
        <v>13400001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ref="A10" si="7">B10&amp;"_"&amp;C10</f>
        <v>13400002_13400014</v>
      </c>
      <c r="B10" s="45">
        <v>13400002</v>
      </c>
      <c r="C10" s="45">
        <v>13400014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そんなとこに穴が!?_x000D_やっちゃったわ…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シャルロッテは地形に挟まって_x000D_動けなくなったようだ</v>
      </c>
      <c r="F10" s="45">
        <v>13400002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" s="46">
        <v>1</v>
      </c>
      <c r="N10" s="46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ref="A11:A17" si="8">B11&amp;"_"&amp;C11</f>
        <v>13400003_13400003</v>
      </c>
      <c r="B11" s="45">
        <v>13400003</v>
      </c>
      <c r="C11" s="45">
        <v>13400003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焦らないでも大丈夫〜_x000D_手順通りでお願いね〜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ほんの一瞬だけ、_x000D_ゴーグルに隠れているはずの_x000D_シャルルの視線を感じたような気がした…</v>
      </c>
      <c r="F11" s="45">
        <v>13400000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>
        <v>1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ref="A12" si="9">B12&amp;"_"&amp;C12</f>
        <v>13400003_13400009</v>
      </c>
      <c r="B12" s="45">
        <v>13400003</v>
      </c>
      <c r="C12" s="45">
        <v>13400009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これをこうしてこうぢゃ!_x000D_なんちゃって!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青パネルを最大3個吸収して単体攻撃</v>
      </c>
      <c r="F12" s="45">
        <v>13400001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v>1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ref="A13" si="10">B13&amp;"_"&amp;C13</f>
        <v>13400003_13400015</v>
      </c>
      <c r="B13" s="45">
        <v>13400003</v>
      </c>
      <c r="C13" s="45">
        <v>13400015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この子たちなら……_x000D_ふふっ…「彼女」も……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シャルルは独り言を呟きながら_x000D_歩き去っていった</v>
      </c>
      <c r="F13" s="45">
        <v>13400002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6">
        <v>1</v>
      </c>
      <c r="N13" s="4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8"/>
        <v>13400004_13400004</v>
      </c>
      <c r="B14" s="45">
        <v>13400004</v>
      </c>
      <c r="C14" s="45">
        <v>13400004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粉葉みじんにするね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物騒な言葉を呟きながら_x000D_梶井基次郎が現れた</v>
      </c>
      <c r="F14" s="45">
        <v>13400000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>
        <v>1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ref="A15" si="11">B15&amp;"_"&amp;C15</f>
        <v>13400004_13400010</v>
      </c>
      <c r="B15" s="45">
        <v>13400004</v>
      </c>
      <c r="C15" s="45">
        <v>13400010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あはは!_x000D_弾けるよ!ほら!!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単体攻撃+_x000D_緑パネルを緑ボムパネルに変換</v>
      </c>
      <c r="F15" s="45">
        <v>13400001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ref="A16" si="12">B16&amp;"_"&amp;C16</f>
        <v>13400004_13400016</v>
      </c>
      <c r="B16" s="45">
        <v>13400004</v>
      </c>
      <c r="C16" s="45">
        <v>13400016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よし…帰っちゃおう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梶井基次郎は一人で先に_x000D_そそくさと帰っていった</v>
      </c>
      <c r="F16" s="45">
        <v>13400002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46">
        <v>1</v>
      </c>
      <c r="N16" s="46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8"/>
        <v>13400005_13400005</v>
      </c>
      <c r="B17" s="45">
        <v>13400005</v>
      </c>
      <c r="C17" s="45">
        <v>13400005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私の実力_x000D_お見せしよう!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直江兼続は既にやる気満々だ!</v>
      </c>
      <c r="F17" s="45">
        <v>13400000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" si="13">B18&amp;"_"&amp;C18</f>
        <v>13400005_13400011</v>
      </c>
      <c r="B18" s="45">
        <v>13400005</v>
      </c>
      <c r="C18" s="45">
        <v>13400011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大きな心で_x000D_包んでやる!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単体攻撃+_x000D_属性パネルをハートパネルに変換</v>
      </c>
      <c r="F18" s="45">
        <v>13400001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>
        <v>1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ref="A19" si="14">B19&amp;"_"&amp;C19</f>
        <v>13400005_13400017</v>
      </c>
      <c r="B19" s="45">
        <v>13400005</v>
      </c>
      <c r="C19" s="45">
        <v>13400017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はははっ爽快だね!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直江兼続は敗れてもなお_x000D_満足げな表情を浮かべている</v>
      </c>
      <c r="F19" s="45">
        <v>13400002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" s="46">
        <v>1</v>
      </c>
      <c r="N19" s="46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19"/>
  <sheetViews>
    <sheetView showGridLines="0" tabSelected="1" workbookViewId="0">
      <pane ySplit="1" topLeftCell="A8" activePane="bottomLeft" state="frozenSplit"/>
      <selection pane="bottomLeft" activeCell="F13" sqref="F13"/>
    </sheetView>
  </sheetViews>
  <sheetFormatPr baseColWidth="12" defaultColWidth="12.83203125" defaultRowHeight="14" outlineLevelCol="1" x14ac:dyDescent="0.15"/>
  <cols>
    <col min="1" max="1" width="12.83203125" style="47"/>
    <col min="2" max="2" width="68.83203125" style="113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customWidth="1"/>
    <col min="28" max="28" width="29.8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29" x14ac:dyDescent="0.15">
      <c r="A1" s="38" t="s">
        <v>79</v>
      </c>
      <c r="B1" s="111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  <c r="AC1" s="39" t="s">
        <v>249</v>
      </c>
    </row>
    <row r="2" spans="1:29" ht="28" x14ac:dyDescent="0.15">
      <c r="A2" s="45">
        <v>13400000</v>
      </c>
      <c r="B2" s="112" t="s">
        <v>297</v>
      </c>
      <c r="C2" s="48">
        <v>3</v>
      </c>
      <c r="D2" s="48" t="s">
        <v>248</v>
      </c>
      <c r="E2" s="49" t="s">
        <v>290</v>
      </c>
      <c r="F2" s="49" t="s">
        <v>272</v>
      </c>
      <c r="G2" s="61" t="str">
        <f>IFERROR(LEFT(B2,FIND("],",B2)),B2)</f>
        <v>[effect:enemy_message, val1:2.0, val2:1.7]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[effect:fix_speed, target:myself, turn:1]</v>
      </c>
      <c r="N2" s="46" t="str">
        <f>IFERROR(LEFT(M2,FIND("],",M2)+#REF!),M2)</f>
        <v>[effect:fix_speed, target:myself, turn:1]</v>
      </c>
      <c r="O2" s="61">
        <f>FIND("effect:",N2)+7</f>
        <v>9</v>
      </c>
      <c r="P2" s="61">
        <f>IFERROR(FIND(",",N2),LEN(N2))</f>
        <v>18</v>
      </c>
      <c r="Q2" s="61">
        <f>FIND("target:",N2)+7</f>
        <v>27</v>
      </c>
      <c r="R2" s="61">
        <f>FIND(",",N2,P2+1)</f>
        <v>33</v>
      </c>
      <c r="S2" s="61" t="str">
        <f>IFERROR(VLOOKUP(MID(N2,Q2,R2-Q2),[5]skilldef!$C:$D,2,FALSE),"-") &amp; " / " &amp; IFERROR(VLOOKUP(MID(N2,O2,P2-O2),[5]skilldef!$A:$B,2,FALSE),"-")</f>
        <v>自分自身に / 行動値設定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1" t="s">
        <v>259</v>
      </c>
    </row>
    <row r="3" spans="1:29" ht="28" x14ac:dyDescent="0.15">
      <c r="A3" s="45">
        <v>13400001</v>
      </c>
      <c r="B3" s="112" t="s">
        <v>298</v>
      </c>
      <c r="C3" s="48">
        <v>3</v>
      </c>
      <c r="D3" s="48" t="s">
        <v>194</v>
      </c>
      <c r="E3" s="49" t="s">
        <v>271</v>
      </c>
      <c r="F3" s="49" t="s">
        <v>319</v>
      </c>
      <c r="G3" s="61" t="str">
        <f t="shared" ref="G3:G4" si="0">IFERROR(LEFT(B3,FIND("],",B3)),B3)</f>
        <v>[effect:enemy_message, val1:2.0, val2:1.8]</v>
      </c>
      <c r="H3" s="61">
        <f t="shared" ref="H3:H4" si="1">FIND("effect:",G3)+7</f>
        <v>9</v>
      </c>
      <c r="I3" s="61">
        <f t="shared" ref="I3:I4" si="2">IFERROR(FIND(",",G3),LEN(G3))</f>
        <v>22</v>
      </c>
      <c r="J3" s="61" t="e">
        <f t="shared" ref="J3:J4" si="3">FIND("target:",G3)+7</f>
        <v>#VALUE!</v>
      </c>
      <c r="K3" s="61">
        <f t="shared" ref="K3:K4" si="4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4" si="5">IFERROR(RIGHT(B3,LEN(B3)-FIND("],",B3)-1),"none")</f>
        <v>[effect:fix_speed, target:myself, turn:2]</v>
      </c>
      <c r="N3" s="46" t="str">
        <f>IFERROR(LEFT(M3,FIND("],",M3)+#REF!),M3)</f>
        <v>[effect:fix_speed, target:myself, turn:2]</v>
      </c>
      <c r="O3" s="61">
        <f t="shared" ref="O3:O4" si="6">FIND("effect:",N3)+7</f>
        <v>9</v>
      </c>
      <c r="P3" s="61">
        <f t="shared" ref="P3:P4" si="7">IFERROR(FIND(",",N3),LEN(N3))</f>
        <v>18</v>
      </c>
      <c r="Q3" s="61">
        <f t="shared" ref="Q3:Q4" si="8">FIND("target:",N3)+7</f>
        <v>27</v>
      </c>
      <c r="R3" s="61">
        <f t="shared" ref="R3:R4" si="9">FIND(",",N3,P3+1)</f>
        <v>33</v>
      </c>
      <c r="S3" s="61" t="str">
        <f>IFERROR(VLOOKUP(MID(N3,Q3,R3-Q3),[5]skilldef!$C:$D,2,FALSE),"-") &amp; " / " &amp; IFERROR(VLOOKUP(MID(N3,O3,P3-O3),[5]skilldef!$A:$B,2,FALSE),"-")</f>
        <v>自分自身に / 行動値設定</v>
      </c>
      <c r="T3" s="46" t="str">
        <f t="shared" ref="T3:T4" si="10">IFERROR(RIGHT(M3,LEN(M3)-FIND("],",M3)-1),"none")</f>
        <v>none</v>
      </c>
      <c r="U3" s="61" t="e">
        <f t="shared" ref="U3:U4" si="11">FIND("effect:",T3)+7</f>
        <v>#VALUE!</v>
      </c>
      <c r="V3" s="61">
        <f t="shared" ref="V3:V4" si="12">IFERROR(FIND(",",T3),LEN(T3))</f>
        <v>4</v>
      </c>
      <c r="W3" s="61" t="e">
        <f t="shared" ref="W3:W4" si="13">FIND("target:",T3)+7</f>
        <v>#VALUE!</v>
      </c>
      <c r="X3" s="61" t="e">
        <f t="shared" ref="X3:X4" si="14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1" t="s">
        <v>260</v>
      </c>
    </row>
    <row r="4" spans="1:29" ht="28" x14ac:dyDescent="0.15">
      <c r="A4" s="45">
        <v>13400002</v>
      </c>
      <c r="B4" s="112" t="s">
        <v>299</v>
      </c>
      <c r="C4" s="48">
        <v>3</v>
      </c>
      <c r="D4" s="48" t="s">
        <v>194</v>
      </c>
      <c r="E4" s="49" t="s">
        <v>320</v>
      </c>
      <c r="F4" s="49" t="s">
        <v>275</v>
      </c>
      <c r="G4" s="61" t="str">
        <f t="shared" si="0"/>
        <v>[effect:enemy_message, val1:1.9, val2:2.9]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5"/>
        <v>[effect:fix_speed, target:myself, turn:1]</v>
      </c>
      <c r="N4" s="46" t="str">
        <f>IFERROR(LEFT(M4,FIND("],",M4)+#REF!),M4)</f>
        <v>[effect:fix_speed, target:myself, turn:1]</v>
      </c>
      <c r="O4" s="61">
        <f t="shared" si="6"/>
        <v>9</v>
      </c>
      <c r="P4" s="61">
        <f t="shared" si="7"/>
        <v>18</v>
      </c>
      <c r="Q4" s="61">
        <f t="shared" si="8"/>
        <v>27</v>
      </c>
      <c r="R4" s="61">
        <f t="shared" si="9"/>
        <v>33</v>
      </c>
      <c r="S4" s="61" t="str">
        <f>IFERROR(VLOOKUP(MID(N4,Q4,R4-Q4),[5]skilldef!$C:$D,2,FALSE),"-") &amp; " / " &amp; IFERROR(VLOOKUP(MID(N4,O4,P4-O4),[5]skilldef!$A:$B,2,FALSE),"-")</f>
        <v>自分自身に / 行動値設定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1" t="s">
        <v>259</v>
      </c>
    </row>
    <row r="5" spans="1:29" ht="42" x14ac:dyDescent="0.15">
      <c r="A5" s="45">
        <v>13400003</v>
      </c>
      <c r="B5" s="112" t="s">
        <v>300</v>
      </c>
      <c r="C5" s="48">
        <v>3</v>
      </c>
      <c r="D5" s="48" t="s">
        <v>194</v>
      </c>
      <c r="E5" s="49" t="s">
        <v>273</v>
      </c>
      <c r="F5" s="49" t="s">
        <v>274</v>
      </c>
      <c r="G5" s="61" t="str">
        <f t="shared" ref="G5:G7" si="15">IFERROR(LEFT(B5,FIND("],",B5)),B5)</f>
        <v>[effect:enemy_message, val1:2.0, val2:4.0]</v>
      </c>
      <c r="H5" s="61">
        <f t="shared" ref="H5:H7" si="16">FIND("effect:",G5)+7</f>
        <v>9</v>
      </c>
      <c r="I5" s="61">
        <f t="shared" ref="I5:I7" si="17">IFERROR(FIND(",",G5),LEN(G5))</f>
        <v>22</v>
      </c>
      <c r="J5" s="61" t="e">
        <f t="shared" ref="J5:J7" si="18">FIND("target:",G5)+7</f>
        <v>#VALUE!</v>
      </c>
      <c r="K5" s="61">
        <f t="shared" ref="K5:K7" si="19">FIND(",",G5,I5+1)</f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ref="M5:M7" si="20">IFERROR(RIGHT(B5,LEN(B5)-FIND("],",B5)-1),"none")</f>
        <v>[effect:fix_speed, target:myself, turn:2]</v>
      </c>
      <c r="N5" s="46" t="str">
        <f>IFERROR(LEFT(M5,FIND("],",M5)+#REF!),M5)</f>
        <v>[effect:fix_speed, target:myself, turn:2]</v>
      </c>
      <c r="O5" s="61">
        <f t="shared" ref="O5:O7" si="21">FIND("effect:",N5)+7</f>
        <v>9</v>
      </c>
      <c r="P5" s="61">
        <f t="shared" ref="P5:P7" si="22">IFERROR(FIND(",",N5),LEN(N5))</f>
        <v>18</v>
      </c>
      <c r="Q5" s="61">
        <f t="shared" ref="Q5:Q7" si="23">FIND("target:",N5)+7</f>
        <v>27</v>
      </c>
      <c r="R5" s="61">
        <f t="shared" ref="R5:R7" si="24">FIND(",",N5,P5+1)</f>
        <v>33</v>
      </c>
      <c r="S5" s="61" t="str">
        <f>IFERROR(VLOOKUP(MID(N5,Q5,R5-Q5),[5]skilldef!$C:$D,2,FALSE),"-") &amp; " / " &amp; IFERROR(VLOOKUP(MID(N5,O5,P5-O5),[5]skilldef!$A:$B,2,FALSE),"-")</f>
        <v>自分自身に / 行動値設定</v>
      </c>
      <c r="T5" s="46" t="str">
        <f t="shared" ref="T5:T7" si="25">IFERROR(RIGHT(M5,LEN(M5)-FIND("],",M5)-1),"none")</f>
        <v>none</v>
      </c>
      <c r="U5" s="61" t="e">
        <f t="shared" ref="U5:U7" si="26">FIND("effect:",T5)+7</f>
        <v>#VALUE!</v>
      </c>
      <c r="V5" s="61">
        <f t="shared" ref="V5:V7" si="27">IFERROR(FIND(",",T5),LEN(T5))</f>
        <v>4</v>
      </c>
      <c r="W5" s="61" t="e">
        <f t="shared" ref="W5:W7" si="28">FIND("target:",T5)+7</f>
        <v>#VALUE!</v>
      </c>
      <c r="X5" s="61" t="e">
        <f t="shared" ref="X5:X7" si="29">FIND(",",T5,V5+1)</f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1" t="s">
        <v>261</v>
      </c>
    </row>
    <row r="6" spans="1:29" ht="28" x14ac:dyDescent="0.15">
      <c r="A6" s="45">
        <v>13400004</v>
      </c>
      <c r="B6" s="112" t="s">
        <v>301</v>
      </c>
      <c r="C6" s="48">
        <v>3</v>
      </c>
      <c r="D6" s="48" t="s">
        <v>194</v>
      </c>
      <c r="E6" s="49" t="s">
        <v>284</v>
      </c>
      <c r="F6" s="49" t="s">
        <v>285</v>
      </c>
      <c r="G6" s="61" t="str">
        <f t="shared" si="15"/>
        <v>[effect:enemy_message, val1:1.2, val2:2.0]</v>
      </c>
      <c r="H6" s="61">
        <f t="shared" si="16"/>
        <v>9</v>
      </c>
      <c r="I6" s="61">
        <f t="shared" si="17"/>
        <v>22</v>
      </c>
      <c r="J6" s="61" t="e">
        <f t="shared" si="18"/>
        <v>#VALUE!</v>
      </c>
      <c r="K6" s="61">
        <f t="shared" si="19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20"/>
        <v>[effect:fix_speed, target:myself, turn:2]</v>
      </c>
      <c r="N6" s="46" t="str">
        <f>IFERROR(LEFT(M6,FIND("],",M6)+#REF!),M6)</f>
        <v>[effect:fix_speed, target:myself, turn:2]</v>
      </c>
      <c r="O6" s="61">
        <f t="shared" si="21"/>
        <v>9</v>
      </c>
      <c r="P6" s="61">
        <f t="shared" si="22"/>
        <v>18</v>
      </c>
      <c r="Q6" s="61">
        <f t="shared" si="23"/>
        <v>27</v>
      </c>
      <c r="R6" s="61">
        <f t="shared" si="24"/>
        <v>33</v>
      </c>
      <c r="S6" s="61" t="str">
        <f>IFERROR(VLOOKUP(MID(N6,Q6,R6-Q6),[5]skilldef!$C:$D,2,FALSE),"-") &amp; " / " &amp; IFERROR(VLOOKUP(MID(N6,O6,P6-O6),[5]skilldef!$A:$B,2,FALSE),"-")</f>
        <v>自分自身に / 行動値設定</v>
      </c>
      <c r="T6" s="46" t="str">
        <f t="shared" si="25"/>
        <v>none</v>
      </c>
      <c r="U6" s="61" t="e">
        <f t="shared" si="26"/>
        <v>#VALUE!</v>
      </c>
      <c r="V6" s="61">
        <f t="shared" si="27"/>
        <v>4</v>
      </c>
      <c r="W6" s="61" t="e">
        <f t="shared" si="28"/>
        <v>#VALUE!</v>
      </c>
      <c r="X6" s="61" t="e">
        <f t="shared" si="29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  <c r="AC6" s="101" t="s">
        <v>261</v>
      </c>
    </row>
    <row r="7" spans="1:29" ht="28" x14ac:dyDescent="0.15">
      <c r="A7" s="45">
        <v>13400005</v>
      </c>
      <c r="B7" s="112" t="s">
        <v>302</v>
      </c>
      <c r="C7" s="48">
        <v>3</v>
      </c>
      <c r="D7" s="48" t="s">
        <v>194</v>
      </c>
      <c r="E7" s="49" t="s">
        <v>321</v>
      </c>
      <c r="F7" s="49" t="s">
        <v>322</v>
      </c>
      <c r="G7" s="61" t="str">
        <f t="shared" si="15"/>
        <v>[effect:enemy_message, val1:1.2, val2:1.4]</v>
      </c>
      <c r="H7" s="61">
        <f t="shared" si="16"/>
        <v>9</v>
      </c>
      <c r="I7" s="61">
        <f t="shared" si="17"/>
        <v>22</v>
      </c>
      <c r="J7" s="61" t="e">
        <f t="shared" si="18"/>
        <v>#VALUE!</v>
      </c>
      <c r="K7" s="61">
        <f t="shared" si="19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20"/>
        <v>[effect:fix_speed, target:myself, turn:3]</v>
      </c>
      <c r="N7" s="46" t="str">
        <f>IFERROR(LEFT(M7,FIND("],",M7)+#REF!),M7)</f>
        <v>[effect:fix_speed, target:myself, turn:3]</v>
      </c>
      <c r="O7" s="61">
        <f t="shared" si="21"/>
        <v>9</v>
      </c>
      <c r="P7" s="61">
        <f t="shared" si="22"/>
        <v>18</v>
      </c>
      <c r="Q7" s="61">
        <f t="shared" si="23"/>
        <v>27</v>
      </c>
      <c r="R7" s="61">
        <f t="shared" si="24"/>
        <v>33</v>
      </c>
      <c r="S7" s="61" t="str">
        <f>IFERROR(VLOOKUP(MID(N7,Q7,R7-Q7),[5]skilldef!$C:$D,2,FALSE),"-") &amp; " / " &amp; IFERROR(VLOOKUP(MID(N7,O7,P7-O7),[5]skilldef!$A:$B,2,FALSE),"-")</f>
        <v>自分自身に / 行動値設定</v>
      </c>
      <c r="T7" s="46" t="str">
        <f t="shared" si="25"/>
        <v>none</v>
      </c>
      <c r="U7" s="61" t="e">
        <f t="shared" si="26"/>
        <v>#VALUE!</v>
      </c>
      <c r="V7" s="61">
        <f t="shared" si="27"/>
        <v>4</v>
      </c>
      <c r="W7" s="61" t="e">
        <f t="shared" si="28"/>
        <v>#VALUE!</v>
      </c>
      <c r="X7" s="61" t="e">
        <f t="shared" si="29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  <c r="AC7" s="101" t="s">
        <v>262</v>
      </c>
    </row>
    <row r="8" spans="1:29" ht="84" x14ac:dyDescent="0.15">
      <c r="A8" s="45">
        <v>13400006</v>
      </c>
      <c r="B8" s="112" t="s">
        <v>328</v>
      </c>
      <c r="C8" s="48">
        <v>3</v>
      </c>
      <c r="D8" s="48" t="s">
        <v>194</v>
      </c>
      <c r="E8" s="49" t="s">
        <v>286</v>
      </c>
      <c r="F8" s="49" t="s">
        <v>296</v>
      </c>
      <c r="G8" s="61" t="str">
        <f t="shared" ref="G8:G16" si="30">IFERROR(LEFT(B8,FIND("],",B8)),B8)</f>
        <v>[effect:enemy_message, val1:1.2, val2:1.9]</v>
      </c>
      <c r="H8" s="61">
        <f t="shared" ref="H8:H16" si="31">FIND("effect:",G8)+7</f>
        <v>9</v>
      </c>
      <c r="I8" s="61">
        <f t="shared" ref="I8:I16" si="32">IFERROR(FIND(",",G8),LEN(G8))</f>
        <v>22</v>
      </c>
      <c r="J8" s="61" t="e">
        <f t="shared" ref="J8:J16" si="33">FIND("target:",G8)+7</f>
        <v>#VALUE!</v>
      </c>
      <c r="K8" s="61">
        <f t="shared" ref="K8:K16" si="34">FIND(",",G8,I8+1)</f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ref="M8:M16" si="35">IFERROR(RIGHT(B8,LEN(B8)-FIND("],",B8)-1),"none")</f>
        <v xml:space="preserve">[effect:rush, count:1, val:1],[effect:force_change_block, new_block:crack_bomb, target:block_yellow, ignore01:block_positive, count:0, val:12, animation:change_block]    </v>
      </c>
      <c r="N8" s="46" t="str">
        <f>IFERROR(LEFT(M8,FIND("],",M8)+#REF!),M8)</f>
        <v xml:space="preserve">[effect:rush, count:1, val:1],[effect:force_change_block, new_block:crack_bomb, target:block_yellow, ignore01:block_positive, count:0, val:12, animation:change_block]    </v>
      </c>
      <c r="O8" s="61">
        <f t="shared" ref="O8:O16" si="36">FIND("effect:",N8)+7</f>
        <v>9</v>
      </c>
      <c r="P8" s="61">
        <f t="shared" ref="P8:P16" si="37">IFERROR(FIND(",",N8),LEN(N8))</f>
        <v>13</v>
      </c>
      <c r="Q8" s="61">
        <f t="shared" ref="Q8:Q16" si="38">FIND("target:",N8)+7</f>
        <v>88</v>
      </c>
      <c r="R8" s="61">
        <f t="shared" ref="R8:R16" si="39">FIND(",",N8,P8+1)</f>
        <v>22</v>
      </c>
      <c r="S8" s="61" t="str">
        <f>IFERROR(VLOOKUP(MID(N8,Q8,R8-Q8),[5]skilldef!$C:$D,2,FALSE),"-") &amp; " / " &amp; IFERROR(VLOOKUP(MID(N8,O8,P8-O8),[5]skilldef!$A:$B,2,FALSE),"-")</f>
        <v>- / 連続攻撃</v>
      </c>
      <c r="T8" s="46" t="str">
        <f t="shared" ref="T8:T16" si="40">IFERROR(RIGHT(M8,LEN(M8)-FIND("],",M8)-1),"none")</f>
        <v xml:space="preserve">[effect:force_change_block, new_block:crack_bomb, target:block_yellow, ignore01:block_positive, count:0, val:12, animation:change_block]    </v>
      </c>
      <c r="U8" s="61">
        <f t="shared" ref="U8:U16" si="41">FIND("effect:",T8)+7</f>
        <v>9</v>
      </c>
      <c r="V8" s="61">
        <f t="shared" ref="V8:V16" si="42">IFERROR(FIND(",",T8),LEN(T8))</f>
        <v>27</v>
      </c>
      <c r="W8" s="61">
        <f t="shared" ref="W8:W16" si="43">FIND("target:",T8)+7</f>
        <v>58</v>
      </c>
      <c r="X8" s="61">
        <f t="shared" ref="X8:X16" si="44">FIND(",",T8,V8+1)</f>
        <v>49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1" t="s">
        <v>263</v>
      </c>
    </row>
    <row r="9" spans="1:29" ht="15" x14ac:dyDescent="0.15">
      <c r="A9" s="45">
        <v>13400007</v>
      </c>
      <c r="B9" s="112" t="s">
        <v>303</v>
      </c>
      <c r="C9" s="48">
        <v>3</v>
      </c>
      <c r="D9" s="48" t="s">
        <v>194</v>
      </c>
      <c r="E9" s="49" t="s">
        <v>287</v>
      </c>
      <c r="F9" s="49" t="s">
        <v>270</v>
      </c>
      <c r="G9" s="61" t="str">
        <f t="shared" ref="G9" si="45">IFERROR(LEFT(B9,FIND("],",B9)),B9)</f>
        <v>[effect:enemy_message, val1:1.2, val2:1.2]</v>
      </c>
      <c r="H9" s="61">
        <f t="shared" ref="H9" si="46">FIND("effect:",G9)+7</f>
        <v>9</v>
      </c>
      <c r="I9" s="61">
        <f t="shared" ref="I9" si="47">IFERROR(FIND(",",G9),LEN(G9))</f>
        <v>22</v>
      </c>
      <c r="J9" s="61" t="e">
        <f t="shared" ref="J9" si="48">FIND("target:",G9)+7</f>
        <v>#VALUE!</v>
      </c>
      <c r="K9" s="61">
        <f t="shared" ref="K9" si="49">FIND(",",G9,I9+1)</f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ref="M9" si="50">IFERROR(RIGHT(B9,LEN(B9)-FIND("],",B9)-1),"none")</f>
        <v>[effect:rush, count:1, val:1]</v>
      </c>
      <c r="N9" s="46" t="str">
        <f>IFERROR(LEFT(M9,FIND("],",M9)+#REF!),M9)</f>
        <v>[effect:rush, count:1, val:1]</v>
      </c>
      <c r="O9" s="61">
        <f t="shared" ref="O9" si="51">FIND("effect:",N9)+7</f>
        <v>9</v>
      </c>
      <c r="P9" s="61">
        <f t="shared" ref="P9" si="52">IFERROR(FIND(",",N9),LEN(N9))</f>
        <v>13</v>
      </c>
      <c r="Q9" s="61" t="e">
        <f t="shared" ref="Q9" si="53">FIND("target:",N9)+7</f>
        <v>#VALUE!</v>
      </c>
      <c r="R9" s="61">
        <f t="shared" ref="R9" si="54">FIND(",",N9,P9+1)</f>
        <v>22</v>
      </c>
      <c r="S9" s="61" t="str">
        <f>IFERROR(VLOOKUP(MID(N9,Q9,R9-Q9),[5]skilldef!$C:$D,2,FALSE),"-") &amp; " / " &amp; IFERROR(VLOOKUP(MID(N9,O9,P9-O9),[5]skilldef!$A:$B,2,FALSE),"-")</f>
        <v>- / 連続攻撃</v>
      </c>
      <c r="T9" s="46" t="str">
        <f t="shared" ref="T9" si="55">IFERROR(RIGHT(M9,LEN(M9)-FIND("],",M9)-1),"none")</f>
        <v>none</v>
      </c>
      <c r="U9" s="61" t="e">
        <f t="shared" ref="U9" si="56">FIND("effect:",T9)+7</f>
        <v>#VALUE!</v>
      </c>
      <c r="V9" s="61">
        <f t="shared" ref="V9" si="57">IFERROR(FIND(",",T9),LEN(T9))</f>
        <v>4</v>
      </c>
      <c r="W9" s="61" t="e">
        <f t="shared" ref="W9" si="58">FIND("target:",T9)+7</f>
        <v>#VALUE!</v>
      </c>
      <c r="X9" s="61" t="e">
        <f t="shared" ref="X9" si="59">FIND(",",T9,V9+1)</f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1" t="s">
        <v>269</v>
      </c>
    </row>
    <row r="10" spans="1:29" ht="70" x14ac:dyDescent="0.15">
      <c r="A10" s="45">
        <v>13400008</v>
      </c>
      <c r="B10" s="112" t="s">
        <v>312</v>
      </c>
      <c r="C10" s="48">
        <v>3</v>
      </c>
      <c r="D10" s="48" t="s">
        <v>194</v>
      </c>
      <c r="E10" s="49" t="s">
        <v>323</v>
      </c>
      <c r="F10" s="49" t="s">
        <v>295</v>
      </c>
      <c r="G10" s="61" t="str">
        <f t="shared" si="30"/>
        <v>[effect:enemy_message, val1:2.1, val2:2.8]</v>
      </c>
      <c r="H10" s="61">
        <f t="shared" si="31"/>
        <v>9</v>
      </c>
      <c r="I10" s="61">
        <f t="shared" si="32"/>
        <v>22</v>
      </c>
      <c r="J10" s="61" t="e">
        <f t="shared" si="33"/>
        <v>#VALUE!</v>
      </c>
      <c r="K10" s="61">
        <f t="shared" si="34"/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35"/>
        <v xml:space="preserve">[effect:rush, count:1, val:1],[effect:force_change_block, new_block:crash, target:block_all, ignore01:block_positive, count:5, val:6, animation:change_block]    </v>
      </c>
      <c r="N10" s="46" t="str">
        <f>IFERROR(LEFT(M10,FIND("],",M10)+#REF!),M10)</f>
        <v xml:space="preserve">[effect:rush, count:1, val:1],[effect:force_change_block, new_block:crash, target:block_all, ignore01:block_positive, count:5, val:6, animation:change_block]    </v>
      </c>
      <c r="O10" s="61">
        <f t="shared" si="36"/>
        <v>9</v>
      </c>
      <c r="P10" s="61">
        <f t="shared" si="37"/>
        <v>13</v>
      </c>
      <c r="Q10" s="61">
        <f t="shared" si="38"/>
        <v>83</v>
      </c>
      <c r="R10" s="61">
        <f t="shared" si="39"/>
        <v>22</v>
      </c>
      <c r="S10" s="61" t="str">
        <f>IFERROR(VLOOKUP(MID(N10,Q10,R10-Q10),[5]skilldef!$C:$D,2,FALSE),"-") &amp; " / " &amp; IFERROR(VLOOKUP(MID(N10,O10,P10-O10),[5]skilldef!$A:$B,2,FALSE),"-")</f>
        <v>- / 連続攻撃</v>
      </c>
      <c r="T10" s="46" t="str">
        <f t="shared" si="40"/>
        <v xml:space="preserve">[effect:force_change_block, new_block:crash, target:block_all, ignore01:block_positive, count:5, val:6, animation:change_block]    </v>
      </c>
      <c r="U10" s="61">
        <f t="shared" si="41"/>
        <v>9</v>
      </c>
      <c r="V10" s="61">
        <f t="shared" si="42"/>
        <v>27</v>
      </c>
      <c r="W10" s="61">
        <f t="shared" si="43"/>
        <v>53</v>
      </c>
      <c r="X10" s="61">
        <f t="shared" si="44"/>
        <v>44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  <c r="AC10" s="101" t="s">
        <v>264</v>
      </c>
    </row>
    <row r="11" spans="1:29" ht="70" x14ac:dyDescent="0.15">
      <c r="A11" s="45">
        <v>13400009</v>
      </c>
      <c r="B11" s="112" t="s">
        <v>313</v>
      </c>
      <c r="C11" s="48">
        <v>3</v>
      </c>
      <c r="D11" s="48" t="s">
        <v>194</v>
      </c>
      <c r="E11" s="49" t="s">
        <v>324</v>
      </c>
      <c r="F11" s="48" t="s">
        <v>291</v>
      </c>
      <c r="G11" s="61" t="str">
        <f t="shared" si="30"/>
        <v>[effect:enemy_message, val1:2.0, val2:1.7]</v>
      </c>
      <c r="H11" s="61">
        <f t="shared" si="31"/>
        <v>9</v>
      </c>
      <c r="I11" s="61">
        <f t="shared" si="32"/>
        <v>22</v>
      </c>
      <c r="J11" s="61" t="e">
        <f t="shared" si="33"/>
        <v>#VALUE!</v>
      </c>
      <c r="K11" s="61">
        <f t="shared" si="34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35"/>
        <v xml:space="preserve">[effect:break_attack_fix, target:unit_one, val:150, lowest_val:1000, count:3, block01:block_blue]    </v>
      </c>
      <c r="N11" s="46" t="str">
        <f>IFERROR(LEFT(M11,FIND("],",M11)+#REF!),M11)</f>
        <v xml:space="preserve">[effect:break_attack_fix, target:unit_one, val:150, lowest_val:1000, count:3, block01:block_blue]    </v>
      </c>
      <c r="O11" s="61">
        <f t="shared" si="36"/>
        <v>9</v>
      </c>
      <c r="P11" s="61">
        <f t="shared" si="37"/>
        <v>25</v>
      </c>
      <c r="Q11" s="61">
        <f t="shared" si="38"/>
        <v>34</v>
      </c>
      <c r="R11" s="61">
        <f t="shared" si="39"/>
        <v>42</v>
      </c>
      <c r="S11" s="61" t="str">
        <f>IFERROR(VLOOKUP(MID(N11,Q11,R11-Q11),[5]skilldef!$C:$D,2,FALSE),"-") &amp; " / " &amp; IFERROR(VLOOKUP(MID(N11,O11,P11-O11),[5]skilldef!$A:$B,2,FALSE),"-")</f>
        <v>味方単体に / -</v>
      </c>
      <c r="T11" s="46" t="str">
        <f t="shared" si="40"/>
        <v>none</v>
      </c>
      <c r="U11" s="61" t="e">
        <f t="shared" si="41"/>
        <v>#VALUE!</v>
      </c>
      <c r="V11" s="61">
        <f t="shared" si="42"/>
        <v>4</v>
      </c>
      <c r="W11" s="61" t="e">
        <f t="shared" si="43"/>
        <v>#VALUE!</v>
      </c>
      <c r="X11" s="61" t="e">
        <f t="shared" si="44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  <c r="AC11" s="101" t="s">
        <v>292</v>
      </c>
    </row>
    <row r="12" spans="1:29" ht="98" x14ac:dyDescent="0.15">
      <c r="A12" s="45">
        <v>13400010</v>
      </c>
      <c r="B12" s="112" t="s">
        <v>314</v>
      </c>
      <c r="C12" s="48">
        <v>3</v>
      </c>
      <c r="D12" s="48" t="s">
        <v>194</v>
      </c>
      <c r="E12" s="49" t="s">
        <v>325</v>
      </c>
      <c r="F12" s="49" t="s">
        <v>289</v>
      </c>
      <c r="G12" s="61" t="str">
        <f t="shared" si="30"/>
        <v>[effect:enemy_message, val1:1.3, val2:1.9]</v>
      </c>
      <c r="H12" s="61">
        <f t="shared" si="31"/>
        <v>9</v>
      </c>
      <c r="I12" s="61">
        <f t="shared" si="32"/>
        <v>22</v>
      </c>
      <c r="J12" s="61" t="e">
        <f t="shared" si="33"/>
        <v>#VALUE!</v>
      </c>
      <c r="K12" s="61">
        <f t="shared" si="34"/>
        <v>32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35"/>
        <v>[effect:rush, count:1, val:1],[effect:force_change_block, new_block:crack_bomb, target:block_green, ignore01:block_positive, color:block_green, count:0, val:12, animation:change_block]</v>
      </c>
      <c r="N12" s="46" t="str">
        <f>IFERROR(LEFT(M12,FIND("],",M12)+#REF!),M12)</f>
        <v>[effect:rush, count:1, val:1],[effect:force_change_block, new_block:crack_bomb, target:block_green, ignore01:block_positive, color:block_green, count:0, val:12, animation:change_block]</v>
      </c>
      <c r="O12" s="61">
        <f t="shared" si="36"/>
        <v>9</v>
      </c>
      <c r="P12" s="61">
        <f t="shared" si="37"/>
        <v>13</v>
      </c>
      <c r="Q12" s="61">
        <f t="shared" si="38"/>
        <v>88</v>
      </c>
      <c r="R12" s="61">
        <f t="shared" si="39"/>
        <v>22</v>
      </c>
      <c r="S12" s="61" t="str">
        <f>IFERROR(VLOOKUP(MID(N12,Q12,R12-Q12),[5]skilldef!$C:$D,2,FALSE),"-") &amp; " / " &amp; IFERROR(VLOOKUP(MID(N12,O12,P12-O12),[5]skilldef!$A:$B,2,FALSE),"-")</f>
        <v>- / 連続攻撃</v>
      </c>
      <c r="T12" s="46" t="str">
        <f t="shared" si="40"/>
        <v>[effect:force_change_block, new_block:crack_bomb, target:block_green, ignore01:block_positive, color:block_green, count:0, val:12, animation:change_block]</v>
      </c>
      <c r="U12" s="61">
        <f t="shared" si="41"/>
        <v>9</v>
      </c>
      <c r="V12" s="61">
        <f t="shared" si="42"/>
        <v>27</v>
      </c>
      <c r="W12" s="61">
        <f t="shared" si="43"/>
        <v>58</v>
      </c>
      <c r="X12" s="61">
        <f t="shared" si="44"/>
        <v>49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  <c r="AC12" s="101" t="s">
        <v>265</v>
      </c>
    </row>
    <row r="13" spans="1:29" ht="84" x14ac:dyDescent="0.15">
      <c r="A13" s="45">
        <v>13400011</v>
      </c>
      <c r="B13" s="112" t="s">
        <v>315</v>
      </c>
      <c r="C13" s="48">
        <v>3</v>
      </c>
      <c r="D13" s="48" t="s">
        <v>194</v>
      </c>
      <c r="E13" s="49" t="s">
        <v>326</v>
      </c>
      <c r="F13" s="49" t="s">
        <v>288</v>
      </c>
      <c r="G13" s="61" t="str">
        <f t="shared" si="30"/>
        <v>[effect:enemy_message, val1:1.2, val2:2.0]</v>
      </c>
      <c r="H13" s="61">
        <f t="shared" si="31"/>
        <v>9</v>
      </c>
      <c r="I13" s="61">
        <f t="shared" si="32"/>
        <v>22</v>
      </c>
      <c r="J13" s="61" t="e">
        <f t="shared" si="33"/>
        <v>#VALUE!</v>
      </c>
      <c r="K13" s="61">
        <f t="shared" si="34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35"/>
        <v>[effect:rush, count:1, val:1],[effect:force_change_block, new_block:block_heart, target:block_all, ignore01:block_positive, count:0, val:0, animation:change_block]</v>
      </c>
      <c r="N13" s="46" t="str">
        <f>IFERROR(LEFT(M13,FIND("],",M13)+#REF!),M13)</f>
        <v>[effect:rush, count:1, val:1],[effect:force_change_block, new_block:block_heart, target:block_all, ignore01:block_positive, count:0, val:0, animation:change_block]</v>
      </c>
      <c r="O13" s="61">
        <f t="shared" si="36"/>
        <v>9</v>
      </c>
      <c r="P13" s="61">
        <f t="shared" si="37"/>
        <v>13</v>
      </c>
      <c r="Q13" s="61">
        <f t="shared" si="38"/>
        <v>89</v>
      </c>
      <c r="R13" s="61">
        <f t="shared" si="39"/>
        <v>22</v>
      </c>
      <c r="S13" s="61" t="str">
        <f>IFERROR(VLOOKUP(MID(N13,Q13,R13-Q13),[5]skilldef!$C:$D,2,FALSE),"-") &amp; " / " &amp; IFERROR(VLOOKUP(MID(N13,O13,P13-O13),[5]skilldef!$A:$B,2,FALSE),"-")</f>
        <v>- / 連続攻撃</v>
      </c>
      <c r="T13" s="46" t="str">
        <f t="shared" si="40"/>
        <v>[effect:force_change_block, new_block:block_heart, target:block_all, ignore01:block_positive, count:0, val:0, animation:change_block]</v>
      </c>
      <c r="U13" s="61">
        <f t="shared" si="41"/>
        <v>9</v>
      </c>
      <c r="V13" s="61">
        <f t="shared" si="42"/>
        <v>27</v>
      </c>
      <c r="W13" s="61">
        <f t="shared" si="43"/>
        <v>59</v>
      </c>
      <c r="X13" s="61">
        <f t="shared" si="44"/>
        <v>50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48"/>
      <c r="AC13" s="101" t="s">
        <v>266</v>
      </c>
    </row>
    <row r="14" spans="1:29" ht="28" x14ac:dyDescent="0.15">
      <c r="A14" s="45">
        <v>13400012</v>
      </c>
      <c r="B14" s="112" t="s">
        <v>316</v>
      </c>
      <c r="C14" s="48">
        <v>3</v>
      </c>
      <c r="D14" s="48" t="s">
        <v>194</v>
      </c>
      <c r="E14" s="49" t="s">
        <v>280</v>
      </c>
      <c r="F14" s="49" t="s">
        <v>281</v>
      </c>
      <c r="G14" s="61" t="str">
        <f t="shared" si="30"/>
        <v>[effect:enemy_message, val1:1.7, val2:3.4]</v>
      </c>
      <c r="H14" s="61">
        <f t="shared" si="31"/>
        <v>9</v>
      </c>
      <c r="I14" s="61">
        <f t="shared" si="32"/>
        <v>22</v>
      </c>
      <c r="J14" s="61" t="e">
        <f t="shared" si="33"/>
        <v>#VALUE!</v>
      </c>
      <c r="K14" s="61">
        <f t="shared" si="34"/>
        <v>32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35"/>
        <v>none</v>
      </c>
      <c r="N14" s="46" t="str">
        <f>IFERROR(LEFT(M14,FIND("],",M14)+#REF!),M14)</f>
        <v>none</v>
      </c>
      <c r="O14" s="61" t="e">
        <f t="shared" si="36"/>
        <v>#VALUE!</v>
      </c>
      <c r="P14" s="61">
        <f t="shared" si="37"/>
        <v>4</v>
      </c>
      <c r="Q14" s="61" t="e">
        <f t="shared" si="38"/>
        <v>#VALUE!</v>
      </c>
      <c r="R14" s="61" t="e">
        <f t="shared" si="39"/>
        <v>#VALUE!</v>
      </c>
      <c r="S14" s="61" t="str">
        <f>IFERROR(VLOOKUP(MID(N14,Q14,R14-Q14),[5]skilldef!$C:$D,2,FALSE),"-") &amp; " / " &amp; IFERROR(VLOOKUP(MID(N14,O14,P14-O14),[5]skilldef!$A:$B,2,FALSE),"-")</f>
        <v>- / -</v>
      </c>
      <c r="T14" s="46" t="str">
        <f t="shared" si="40"/>
        <v>none</v>
      </c>
      <c r="U14" s="61" t="e">
        <f t="shared" si="41"/>
        <v>#VALUE!</v>
      </c>
      <c r="V14" s="61">
        <f t="shared" si="42"/>
        <v>4</v>
      </c>
      <c r="W14" s="61" t="e">
        <f t="shared" si="43"/>
        <v>#VALUE!</v>
      </c>
      <c r="X14" s="61" t="e">
        <f t="shared" si="44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  <c r="AC14" s="101"/>
    </row>
    <row r="15" spans="1:29" ht="28" x14ac:dyDescent="0.15">
      <c r="A15" s="45">
        <v>13400013</v>
      </c>
      <c r="B15" s="112" t="s">
        <v>317</v>
      </c>
      <c r="C15" s="48">
        <v>3</v>
      </c>
      <c r="D15" s="48" t="s">
        <v>194</v>
      </c>
      <c r="E15" s="49" t="s">
        <v>293</v>
      </c>
      <c r="F15" s="49" t="s">
        <v>282</v>
      </c>
      <c r="G15" s="61" t="str">
        <f t="shared" si="30"/>
        <v>[effect:enemy_message, val1:1.8, val2:2.6]</v>
      </c>
      <c r="H15" s="61">
        <f t="shared" si="31"/>
        <v>9</v>
      </c>
      <c r="I15" s="61">
        <f t="shared" si="32"/>
        <v>22</v>
      </c>
      <c r="J15" s="61" t="e">
        <f t="shared" si="33"/>
        <v>#VALUE!</v>
      </c>
      <c r="K15" s="61">
        <f t="shared" si="34"/>
        <v>32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35"/>
        <v>none</v>
      </c>
      <c r="N15" s="46" t="str">
        <f>IFERROR(LEFT(M15,FIND("],",M15)+#REF!),M15)</f>
        <v>none</v>
      </c>
      <c r="O15" s="61" t="e">
        <f t="shared" si="36"/>
        <v>#VALUE!</v>
      </c>
      <c r="P15" s="61">
        <f t="shared" si="37"/>
        <v>4</v>
      </c>
      <c r="Q15" s="61" t="e">
        <f t="shared" si="38"/>
        <v>#VALUE!</v>
      </c>
      <c r="R15" s="61" t="e">
        <f t="shared" si="39"/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 t="shared" si="40"/>
        <v>none</v>
      </c>
      <c r="U15" s="61" t="e">
        <f t="shared" si="41"/>
        <v>#VALUE!</v>
      </c>
      <c r="V15" s="61">
        <f t="shared" si="42"/>
        <v>4</v>
      </c>
      <c r="W15" s="61" t="e">
        <f t="shared" si="43"/>
        <v>#VALUE!</v>
      </c>
      <c r="X15" s="61" t="e">
        <f t="shared" si="44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  <c r="AC15" s="101"/>
    </row>
    <row r="16" spans="1:29" ht="28" x14ac:dyDescent="0.2">
      <c r="A16" s="45">
        <v>13400014</v>
      </c>
      <c r="B16" s="112" t="s">
        <v>329</v>
      </c>
      <c r="C16" s="48">
        <v>3</v>
      </c>
      <c r="D16" s="48" t="s">
        <v>194</v>
      </c>
      <c r="E16" s="49" t="s">
        <v>305</v>
      </c>
      <c r="F16" s="49" t="s">
        <v>279</v>
      </c>
      <c r="G16" s="61" t="str">
        <f t="shared" si="30"/>
        <v>[effect:enemy_message, val1:2.5, val2:2.9]</v>
      </c>
      <c r="H16" s="61">
        <f t="shared" si="31"/>
        <v>9</v>
      </c>
      <c r="I16" s="61">
        <f t="shared" si="32"/>
        <v>22</v>
      </c>
      <c r="J16" s="61" t="e">
        <f t="shared" si="33"/>
        <v>#VALUE!</v>
      </c>
      <c r="K16" s="61">
        <f t="shared" si="34"/>
        <v>32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35"/>
        <v>none</v>
      </c>
      <c r="N16" s="46" t="str">
        <f>IFERROR(LEFT(M16,FIND("],",M16)+#REF!),M16)</f>
        <v>none</v>
      </c>
      <c r="O16" s="61" t="e">
        <f t="shared" si="36"/>
        <v>#VALUE!</v>
      </c>
      <c r="P16" s="61">
        <f t="shared" si="37"/>
        <v>4</v>
      </c>
      <c r="Q16" s="61" t="e">
        <f t="shared" si="38"/>
        <v>#VALUE!</v>
      </c>
      <c r="R16" s="61" t="e">
        <f t="shared" si="39"/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6" t="str">
        <f t="shared" si="40"/>
        <v>none</v>
      </c>
      <c r="U16" s="61" t="e">
        <f t="shared" si="41"/>
        <v>#VALUE!</v>
      </c>
      <c r="V16" s="61">
        <f t="shared" si="42"/>
        <v>4</v>
      </c>
      <c r="W16" s="61" t="e">
        <f t="shared" si="43"/>
        <v>#VALUE!</v>
      </c>
      <c r="X16" s="61" t="e">
        <f t="shared" si="44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  <c r="AC16" s="110"/>
    </row>
    <row r="17" spans="1:29" ht="28" x14ac:dyDescent="0.15">
      <c r="A17" s="45">
        <v>13400015</v>
      </c>
      <c r="B17" s="112" t="s">
        <v>330</v>
      </c>
      <c r="C17" s="48">
        <v>3</v>
      </c>
      <c r="D17" s="48" t="s">
        <v>194</v>
      </c>
      <c r="E17" s="49" t="s">
        <v>294</v>
      </c>
      <c r="F17" s="49" t="s">
        <v>278</v>
      </c>
      <c r="G17" s="61" t="str">
        <f t="shared" ref="G17:G19" si="60">IFERROR(LEFT(B17,FIND("],",B17)),B17)</f>
        <v>[effect:enemy_message, val1:2.5, val2:2.7, dead_type:escape]</v>
      </c>
      <c r="H17" s="61">
        <f t="shared" ref="H17:H19" si="61">FIND("effect:",G17)+7</f>
        <v>9</v>
      </c>
      <c r="I17" s="61">
        <f t="shared" ref="I17:I19" si="62">IFERROR(FIND(",",G17),LEN(G17))</f>
        <v>22</v>
      </c>
      <c r="J17" s="61" t="e">
        <f t="shared" ref="J17:J19" si="63">FIND("target:",G17)+7</f>
        <v>#VALUE!</v>
      </c>
      <c r="K17" s="61">
        <f t="shared" ref="K17:K19" si="64">FIND(",",G17,I17+1)</f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ref="M17:M19" si="65">IFERROR(RIGHT(B17,LEN(B17)-FIND("],",B17)-1),"none")</f>
        <v>none</v>
      </c>
      <c r="N17" s="46" t="str">
        <f>IFERROR(LEFT(M17,FIND("],",M17)+#REF!),M17)</f>
        <v>none</v>
      </c>
      <c r="O17" s="61" t="e">
        <f t="shared" ref="O17:O19" si="66">FIND("effect:",N17)+7</f>
        <v>#VALUE!</v>
      </c>
      <c r="P17" s="61">
        <f t="shared" ref="P17:P19" si="67">IFERROR(FIND(",",N17),LEN(N17))</f>
        <v>4</v>
      </c>
      <c r="Q17" s="61" t="e">
        <f t="shared" ref="Q17:Q19" si="68">FIND("target:",N17)+7</f>
        <v>#VALUE!</v>
      </c>
      <c r="R17" s="61" t="e">
        <f t="shared" ref="R17:R19" si="69">FIND(",",N17,P17+1)</f>
        <v>#VALUE!</v>
      </c>
      <c r="S17" s="61" t="str">
        <f>IFERROR(VLOOKUP(MID(N17,Q17,R17-Q17),[5]skilldef!$C:$D,2,FALSE),"-") &amp; " / " &amp; IFERROR(VLOOKUP(MID(N17,O17,P17-O17),[5]skilldef!$A:$B,2,FALSE),"-")</f>
        <v>- / -</v>
      </c>
      <c r="T17" s="46" t="str">
        <f t="shared" ref="T17:T19" si="70">IFERROR(RIGHT(M17,LEN(M17)-FIND("],",M17)-1),"none")</f>
        <v>none</v>
      </c>
      <c r="U17" s="61" t="e">
        <f t="shared" ref="U17:U19" si="71">FIND("effect:",T17)+7</f>
        <v>#VALUE!</v>
      </c>
      <c r="V17" s="61">
        <f t="shared" ref="V17:V19" si="72">IFERROR(FIND(",",T17),LEN(T17))</f>
        <v>4</v>
      </c>
      <c r="W17" s="61" t="e">
        <f t="shared" ref="W17:W19" si="73">FIND("target:",T17)+7</f>
        <v>#VALUE!</v>
      </c>
      <c r="X17" s="61" t="e">
        <f t="shared" ref="X17:X19" si="74">FIND(",",T17,V17+1)</f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  <c r="AC17" s="101"/>
    </row>
    <row r="18" spans="1:29" ht="28" x14ac:dyDescent="0.15">
      <c r="A18" s="45">
        <v>13400016</v>
      </c>
      <c r="B18" s="112" t="s">
        <v>331</v>
      </c>
      <c r="C18" s="48">
        <v>3</v>
      </c>
      <c r="D18" s="48" t="s">
        <v>194</v>
      </c>
      <c r="E18" s="49" t="s">
        <v>276</v>
      </c>
      <c r="F18" s="49" t="s">
        <v>283</v>
      </c>
      <c r="G18" s="61" t="str">
        <f t="shared" si="60"/>
        <v>[effect:enemy_message, val1:1.7, val2:2.7, dead_type:escape]</v>
      </c>
      <c r="H18" s="61">
        <f t="shared" si="61"/>
        <v>9</v>
      </c>
      <c r="I18" s="61">
        <f t="shared" si="62"/>
        <v>22</v>
      </c>
      <c r="J18" s="61" t="e">
        <f t="shared" si="63"/>
        <v>#VALUE!</v>
      </c>
      <c r="K18" s="61">
        <f t="shared" si="64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65"/>
        <v>none</v>
      </c>
      <c r="N18" s="46" t="str">
        <f>IFERROR(LEFT(M18,FIND("],",M18)+#REF!),M18)</f>
        <v>none</v>
      </c>
      <c r="O18" s="61" t="e">
        <f t="shared" si="66"/>
        <v>#VALUE!</v>
      </c>
      <c r="P18" s="61">
        <f t="shared" si="67"/>
        <v>4</v>
      </c>
      <c r="Q18" s="61" t="e">
        <f t="shared" si="68"/>
        <v>#VALUE!</v>
      </c>
      <c r="R18" s="61" t="e">
        <f t="shared" si="69"/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6" t="str">
        <f t="shared" si="70"/>
        <v>none</v>
      </c>
      <c r="U18" s="61" t="e">
        <f t="shared" si="71"/>
        <v>#VALUE!</v>
      </c>
      <c r="V18" s="61">
        <f t="shared" si="72"/>
        <v>4</v>
      </c>
      <c r="W18" s="61" t="e">
        <f t="shared" si="73"/>
        <v>#VALUE!</v>
      </c>
      <c r="X18" s="61" t="e">
        <f t="shared" si="74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  <c r="AC18" s="101"/>
    </row>
    <row r="19" spans="1:29" ht="28" x14ac:dyDescent="0.15">
      <c r="A19" s="45">
        <v>13400017</v>
      </c>
      <c r="B19" s="112" t="s">
        <v>318</v>
      </c>
      <c r="C19" s="48">
        <v>3</v>
      </c>
      <c r="D19" s="48" t="s">
        <v>194</v>
      </c>
      <c r="E19" s="49" t="s">
        <v>327</v>
      </c>
      <c r="F19" s="49" t="s">
        <v>277</v>
      </c>
      <c r="G19" s="61" t="str">
        <f t="shared" si="60"/>
        <v>[effect:enemy_message, val1:1.7, val2:2.9]</v>
      </c>
      <c r="H19" s="61">
        <f t="shared" si="61"/>
        <v>9</v>
      </c>
      <c r="I19" s="61">
        <f t="shared" si="62"/>
        <v>22</v>
      </c>
      <c r="J19" s="61" t="e">
        <f t="shared" si="63"/>
        <v>#VALUE!</v>
      </c>
      <c r="K19" s="61">
        <f t="shared" si="64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65"/>
        <v>none</v>
      </c>
      <c r="N19" s="46" t="str">
        <f>IFERROR(LEFT(M19,FIND("],",M19)+#REF!),M19)</f>
        <v>none</v>
      </c>
      <c r="O19" s="61" t="e">
        <f t="shared" si="66"/>
        <v>#VALUE!</v>
      </c>
      <c r="P19" s="61">
        <f t="shared" si="67"/>
        <v>4</v>
      </c>
      <c r="Q19" s="61" t="e">
        <f t="shared" si="68"/>
        <v>#VALUE!</v>
      </c>
      <c r="R19" s="61" t="e">
        <f t="shared" si="69"/>
        <v>#VALUE!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70"/>
        <v>none</v>
      </c>
      <c r="U19" s="61" t="e">
        <f t="shared" si="71"/>
        <v>#VALUE!</v>
      </c>
      <c r="V19" s="61">
        <f t="shared" si="72"/>
        <v>4</v>
      </c>
      <c r="W19" s="61" t="e">
        <f t="shared" si="73"/>
        <v>#VALUE!</v>
      </c>
      <c r="X19" s="61" t="e">
        <f t="shared" si="7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  <c r="AC19" s="10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"/>
  <sheetViews>
    <sheetView showGridLines="0" workbookViewId="0">
      <pane ySplit="1" topLeftCell="A2" activePane="bottomLeft" state="frozenSplit"/>
      <selection pane="bottomLeft" activeCell="B12" sqref="B1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13400000</v>
      </c>
      <c r="B2" s="45">
        <v>1</v>
      </c>
      <c r="C2" s="45">
        <v>100</v>
      </c>
      <c r="D2" s="45">
        <v>100</v>
      </c>
      <c r="E2" s="45" t="s">
        <v>252</v>
      </c>
      <c r="F2" s="45" t="s">
        <v>252</v>
      </c>
      <c r="G2" s="45">
        <v>1</v>
      </c>
      <c r="H2" s="45" t="s">
        <v>252</v>
      </c>
      <c r="I2" s="45" t="s">
        <v>252</v>
      </c>
      <c r="J2" s="46">
        <f t="shared" ref="J2:J3" si="0">D2</f>
        <v>100</v>
      </c>
    </row>
    <row r="3" spans="1:11" ht="21" customHeight="1" x14ac:dyDescent="0.15">
      <c r="A3" s="45">
        <v>13400001</v>
      </c>
      <c r="B3" s="45">
        <v>0</v>
      </c>
      <c r="C3" s="45">
        <v>99</v>
      </c>
      <c r="D3" s="45">
        <v>100</v>
      </c>
      <c r="E3" s="45" t="s">
        <v>252</v>
      </c>
      <c r="F3" s="45" t="s">
        <v>252</v>
      </c>
      <c r="G3" s="45" t="s">
        <v>252</v>
      </c>
      <c r="H3" s="45" t="s">
        <v>252</v>
      </c>
      <c r="I3" s="45" t="s">
        <v>252</v>
      </c>
      <c r="J3" s="46">
        <f t="shared" si="0"/>
        <v>100</v>
      </c>
    </row>
    <row r="4" spans="1:11" ht="21" customHeight="1" x14ac:dyDescent="0.15">
      <c r="A4" s="45">
        <v>13400002</v>
      </c>
      <c r="B4" s="45">
        <v>0</v>
      </c>
      <c r="C4" s="45" t="s">
        <v>267</v>
      </c>
      <c r="D4" s="45">
        <v>100</v>
      </c>
      <c r="E4" s="45" t="s">
        <v>252</v>
      </c>
      <c r="F4" s="45" t="s">
        <v>252</v>
      </c>
      <c r="G4" s="45">
        <v>0</v>
      </c>
      <c r="H4" s="45" t="s">
        <v>252</v>
      </c>
      <c r="I4" s="45">
        <v>0</v>
      </c>
      <c r="J4" s="46">
        <f t="shared" ref="J4" si="1">D4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J7" sqref="J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13400</v>
      </c>
      <c r="B2" s="55">
        <v>1</v>
      </c>
      <c r="C2" s="68" t="str">
        <f>A2&amp; "_"&amp;B2</f>
        <v>13400_1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254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200</v>
      </c>
      <c r="Q2" s="55" t="s">
        <v>166</v>
      </c>
      <c r="R2" s="55" t="s">
        <v>167</v>
      </c>
    </row>
    <row r="3" spans="1:18" x14ac:dyDescent="0.15">
      <c r="A3" s="55">
        <v>13400</v>
      </c>
      <c r="B3" s="55">
        <v>1</v>
      </c>
      <c r="C3" s="68" t="str">
        <f t="shared" ref="C3:C6" si="0">A3&amp; "_"&amp;B3</f>
        <v>13400_1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254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50</v>
      </c>
      <c r="Q3" s="55" t="s">
        <v>166</v>
      </c>
      <c r="R3" s="55" t="s">
        <v>167</v>
      </c>
    </row>
    <row r="4" spans="1:18" x14ac:dyDescent="0.15">
      <c r="A4" s="55">
        <v>13400</v>
      </c>
      <c r="B4" s="55">
        <v>1</v>
      </c>
      <c r="C4" s="68" t="str">
        <f t="shared" si="0"/>
        <v>13400_1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254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166</v>
      </c>
      <c r="R4" s="55" t="s">
        <v>167</v>
      </c>
    </row>
    <row r="5" spans="1:18" x14ac:dyDescent="0.15">
      <c r="A5" s="55">
        <v>13400</v>
      </c>
      <c r="B5" s="55">
        <v>1</v>
      </c>
      <c r="C5" s="68" t="str">
        <f t="shared" si="0"/>
        <v>13400_1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254</v>
      </c>
      <c r="G5" s="55">
        <v>346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580</v>
      </c>
      <c r="Q5" s="55" t="s">
        <v>166</v>
      </c>
      <c r="R5" s="55" t="s">
        <v>167</v>
      </c>
    </row>
    <row r="6" spans="1:18" x14ac:dyDescent="0.15">
      <c r="A6" s="55">
        <v>13400</v>
      </c>
      <c r="B6" s="55">
        <v>1</v>
      </c>
      <c r="C6" s="68" t="str">
        <f t="shared" si="0"/>
        <v>13400_1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254</v>
      </c>
      <c r="G6" s="55">
        <v>347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150</v>
      </c>
      <c r="Q6" s="55" t="s">
        <v>166</v>
      </c>
      <c r="R6" s="55" t="s">
        <v>167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H20" sqref="H20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184</v>
      </c>
      <c r="B1" s="70" t="s">
        <v>185</v>
      </c>
      <c r="C1" s="74" t="s">
        <v>186</v>
      </c>
      <c r="D1" s="74" t="s">
        <v>33</v>
      </c>
      <c r="E1" s="70" t="s">
        <v>187</v>
      </c>
      <c r="F1" s="74" t="s">
        <v>188</v>
      </c>
      <c r="G1" s="74" t="s">
        <v>33</v>
      </c>
      <c r="H1" s="70" t="s">
        <v>189</v>
      </c>
      <c r="I1" s="88" t="s">
        <v>191</v>
      </c>
      <c r="J1" s="76" t="s">
        <v>125</v>
      </c>
      <c r="K1" s="75" t="s">
        <v>183</v>
      </c>
      <c r="L1" s="89" t="s">
        <v>182</v>
      </c>
      <c r="M1" s="77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7"/>
  <sheetViews>
    <sheetView showGridLines="0" workbookViewId="0">
      <pane ySplit="1" topLeftCell="A2" activePane="bottomLeft" state="frozen"/>
      <selection pane="bottomLeft" activeCell="E11" sqref="E1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6" x14ac:dyDescent="0.15">
      <c r="A1" s="73" t="s">
        <v>184</v>
      </c>
      <c r="B1" s="70" t="s">
        <v>148</v>
      </c>
      <c r="C1" s="74" t="s">
        <v>186</v>
      </c>
      <c r="D1" s="74" t="s">
        <v>33</v>
      </c>
      <c r="E1" s="70" t="s">
        <v>187</v>
      </c>
      <c r="F1" s="74" t="s">
        <v>18</v>
      </c>
      <c r="G1" s="74" t="s">
        <v>33</v>
      </c>
      <c r="H1" s="70" t="s">
        <v>189</v>
      </c>
      <c r="I1" s="86" t="s">
        <v>190</v>
      </c>
      <c r="J1" s="88" t="s">
        <v>191</v>
      </c>
      <c r="K1" s="76" t="s">
        <v>125</v>
      </c>
      <c r="L1" s="75" t="s">
        <v>183</v>
      </c>
      <c r="M1" s="89" t="s">
        <v>182</v>
      </c>
      <c r="N1" s="77" t="s">
        <v>192</v>
      </c>
      <c r="O1" s="89" t="s">
        <v>250</v>
      </c>
    </row>
    <row r="2" spans="1:16" ht="75" x14ac:dyDescent="0.15">
      <c r="A2" s="78" t="s">
        <v>193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7">
        <f>ROW()-1</f>
        <v>1</v>
      </c>
      <c r="J2" s="83" t="str">
        <f>B2&amp;E2&amp;TEXT(I2,"00")</f>
        <v>13400101</v>
      </c>
      <c r="K2" s="81" t="s">
        <v>194</v>
      </c>
      <c r="L2" s="84" t="s">
        <v>247</v>
      </c>
      <c r="M2" s="109" t="s">
        <v>310</v>
      </c>
      <c r="N2" s="55" t="s">
        <v>195</v>
      </c>
      <c r="O2" s="106" t="str">
        <f>"１２３４５６７８９０１２３４５６７８９０"&amp;M2</f>
        <v>１２３４５６７８９０１２３４５６７８９０ギャラルホルンは黄パネルを_x000D_黄ボムパネルに変換します_x000D__x000D_うまく活用しましょう</v>
      </c>
      <c r="P2">
        <f>LEN(M2)</f>
        <v>38</v>
      </c>
    </row>
    <row r="3" spans="1:16" ht="75" x14ac:dyDescent="0.15">
      <c r="A3" s="78" t="s">
        <v>193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1</v>
      </c>
      <c r="I3" s="87">
        <f t="shared" ref="I3:I7" si="0">ROW()-1</f>
        <v>2</v>
      </c>
      <c r="J3" s="83" t="str">
        <f t="shared" ref="J3:J7" si="1">B3&amp;E3&amp;TEXT(I3,"00")</f>
        <v>13400102</v>
      </c>
      <c r="K3" s="81" t="s">
        <v>194</v>
      </c>
      <c r="L3" s="84" t="s">
        <v>247</v>
      </c>
      <c r="M3" s="109" t="s">
        <v>309</v>
      </c>
      <c r="N3" s="55" t="s">
        <v>195</v>
      </c>
      <c r="O3" s="106" t="str">
        <f t="shared" ref="O3:O7" si="2">"１２３４５６７８９０１２３４５６７８９０"&amp;M3</f>
        <v>１２３４５６７８９０１２３４５６７８９０フンババは通常攻撃を繰り返します_x000D__x000D_攻撃のスピードは速くないので_x000D_余裕を持って対処できるようにしましょう</v>
      </c>
      <c r="P3">
        <f t="shared" ref="P3:P7" si="3">LEN(M3)</f>
        <v>52</v>
      </c>
    </row>
    <row r="4" spans="1:16" ht="45" x14ac:dyDescent="0.15">
      <c r="A4" s="78" t="s">
        <v>193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2</v>
      </c>
      <c r="I4" s="87">
        <f t="shared" si="0"/>
        <v>3</v>
      </c>
      <c r="J4" s="83" t="str">
        <f t="shared" si="1"/>
        <v>13400103</v>
      </c>
      <c r="K4" s="81" t="s">
        <v>194</v>
      </c>
      <c r="L4" s="84" t="s">
        <v>247</v>
      </c>
      <c r="M4" s="109" t="s">
        <v>306</v>
      </c>
      <c r="N4" s="55" t="s">
        <v>195</v>
      </c>
      <c r="O4" s="106" t="str">
        <f t="shared" si="2"/>
        <v>１２３４５６７８９０１２３４５６７８９０シャルロッテは属性パネルをCパネルに_x000D_変換しますので攻撃に活用しましょう</v>
      </c>
      <c r="P4">
        <f t="shared" si="3"/>
        <v>36</v>
      </c>
    </row>
    <row r="5" spans="1:16" ht="75" x14ac:dyDescent="0.15">
      <c r="A5" s="78" t="s">
        <v>193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-エルフラム-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1階 コスト制限なし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2">
        <v>2</v>
      </c>
      <c r="I5" s="87">
        <v>4</v>
      </c>
      <c r="J5" s="83" t="str">
        <f t="shared" ref="J5" si="4">B5&amp;E5&amp;TEXT(I5,"00")</f>
        <v>13400104</v>
      </c>
      <c r="K5" s="81" t="s">
        <v>194</v>
      </c>
      <c r="L5" s="84" t="s">
        <v>247</v>
      </c>
      <c r="M5" s="109" t="s">
        <v>304</v>
      </c>
      <c r="N5" s="55" t="s">
        <v>195</v>
      </c>
      <c r="O5" s="106" t="str">
        <f t="shared" ref="O5" si="5">"１２３４５６７８９０１２３４５６７８９０"&amp;M5</f>
        <v>１２３４５６７８９０１２３４５６７８９０シャルルの青パネル吸収攻撃は_x000D_吸収数によるダメージ増加量が_x000D_小さいため青パネルの処理に_x000D_こだわる必要はありません</v>
      </c>
      <c r="P5">
        <f t="shared" ref="P5" si="6">LEN(M5)</f>
        <v>56</v>
      </c>
    </row>
    <row r="6" spans="1:16" ht="75" x14ac:dyDescent="0.15">
      <c r="A6" s="78" t="s">
        <v>193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-エルフラム-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1階 コスト制限なし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82">
        <v>3</v>
      </c>
      <c r="I6" s="87">
        <v>5</v>
      </c>
      <c r="J6" s="83" t="str">
        <f t="shared" si="1"/>
        <v>13400105</v>
      </c>
      <c r="K6" s="81" t="s">
        <v>194</v>
      </c>
      <c r="L6" s="84" t="s">
        <v>247</v>
      </c>
      <c r="M6" s="109" t="s">
        <v>307</v>
      </c>
      <c r="N6" s="55" t="s">
        <v>195</v>
      </c>
      <c r="O6" s="106" t="str">
        <f t="shared" si="2"/>
        <v>１２３４５６７８９０１２３４５６７８９０梶井基次郎は緑パネルを_x000D_緑ボムパネルに変換します_x000D__x000D_うまく活用しましょう</v>
      </c>
      <c r="P6">
        <f t="shared" si="3"/>
        <v>36</v>
      </c>
    </row>
    <row r="7" spans="1:16" ht="90" x14ac:dyDescent="0.15">
      <c r="A7" s="78" t="s">
        <v>193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-エルフラム-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1階 コスト制限なし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タワーオブザクイーン2本目</v>
      </c>
      <c r="H7" s="82">
        <v>3</v>
      </c>
      <c r="I7" s="87">
        <f t="shared" si="0"/>
        <v>6</v>
      </c>
      <c r="J7" s="83" t="str">
        <f t="shared" si="1"/>
        <v>13400106</v>
      </c>
      <c r="K7" s="81" t="s">
        <v>194</v>
      </c>
      <c r="L7" s="84" t="s">
        <v>247</v>
      </c>
      <c r="M7" s="109" t="s">
        <v>308</v>
      </c>
      <c r="N7" s="55" t="s">
        <v>195</v>
      </c>
      <c r="O7" s="106" t="str">
        <f t="shared" si="2"/>
        <v>１２３４５６７８９０１２３４５６７８９０直江兼続は属性パネルを_x000D_ハートパネルに大量変換します_x000D__x000D_回復しながらSCパネルを作り_x000D_反撃の糸口をつかみましょう</v>
      </c>
      <c r="P7">
        <f t="shared" si="3"/>
        <v>56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207</v>
      </c>
      <c r="B1" s="92" t="s">
        <v>208</v>
      </c>
      <c r="C1" s="74" t="s">
        <v>209</v>
      </c>
      <c r="D1" s="74" t="s">
        <v>33</v>
      </c>
      <c r="E1" s="92" t="s">
        <v>210</v>
      </c>
      <c r="F1" s="74" t="s">
        <v>211</v>
      </c>
      <c r="G1" s="74" t="s">
        <v>33</v>
      </c>
      <c r="H1" s="92" t="s">
        <v>212</v>
      </c>
      <c r="I1" s="92" t="s">
        <v>213</v>
      </c>
      <c r="J1" s="92" t="s">
        <v>214</v>
      </c>
      <c r="K1" s="70" t="s">
        <v>215</v>
      </c>
      <c r="L1" s="70" t="s">
        <v>216</v>
      </c>
      <c r="M1" s="70" t="s">
        <v>154</v>
      </c>
      <c r="N1" s="74" t="s">
        <v>16</v>
      </c>
      <c r="O1" s="70" t="s">
        <v>217</v>
      </c>
      <c r="P1" s="70" t="s">
        <v>57</v>
      </c>
      <c r="Q1" s="70" t="s">
        <v>218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219</v>
      </c>
      <c r="X1" s="70" t="s">
        <v>220</v>
      </c>
    </row>
    <row r="2" spans="1:24" x14ac:dyDescent="0.15">
      <c r="A2" s="93" t="str">
        <f>B2&amp;"_"&amp;E2&amp;"_"&amp;H2&amp;"_"&amp;I2&amp;"_"&amp;J2</f>
        <v>13400_1_singleonly_clear_1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255</v>
      </c>
      <c r="I2" s="81" t="s">
        <v>221</v>
      </c>
      <c r="J2" s="81">
        <v>1</v>
      </c>
      <c r="K2" s="81">
        <v>850</v>
      </c>
      <c r="L2" s="81" t="s">
        <v>256</v>
      </c>
      <c r="M2" s="81">
        <v>8000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257</v>
      </c>
      <c r="P2" s="81">
        <v>1</v>
      </c>
      <c r="Q2" s="81">
        <v>0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222</v>
      </c>
      <c r="X2" s="96" t="s">
        <v>223</v>
      </c>
    </row>
    <row r="3" spans="1:24" x14ac:dyDescent="0.15">
      <c r="A3" s="93" t="str">
        <f>B3&amp;"_"&amp;E3&amp;"_"&amp;H3&amp;"_"&amp;I3&amp;"_"&amp;J3</f>
        <v>13400_1_singleonly_clear_2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255</v>
      </c>
      <c r="I3" s="81" t="s">
        <v>221</v>
      </c>
      <c r="J3" s="81">
        <v>2</v>
      </c>
      <c r="K3" s="81">
        <v>150</v>
      </c>
      <c r="L3" s="81" t="s">
        <v>256</v>
      </c>
      <c r="M3" s="81">
        <v>44000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258</v>
      </c>
      <c r="P3" s="81">
        <v>1</v>
      </c>
      <c r="Q3" s="81">
        <v>0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222</v>
      </c>
      <c r="X3" s="96" t="s">
        <v>223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2017-03-24T10:28:12Z</dcterms:modified>
</cp:coreProperties>
</file>