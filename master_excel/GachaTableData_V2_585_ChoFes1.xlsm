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585100" sheetId="157" r:id="rId4"/>
    <sheet name="tables_585100" sheetId="158" r:id="rId5"/>
    <sheet name="tables_settle_585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tables_585100!$A$1:$V$359</definedName>
    <definedName name="_xlnm._FilterDatabase" localSheetId="5" hidden="1">tables_settle_585100!$A$1:$V$157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59" i="159" l="1"/>
  <c r="D159" i="159"/>
  <c r="I158" i="159"/>
  <c r="D158" i="159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X2" i="159"/>
  <c r="X3" i="159"/>
  <c r="X4" i="159"/>
  <c r="X5" i="159"/>
  <c r="Y4" i="159"/>
  <c r="O159" i="159"/>
  <c r="Y2" i="159"/>
  <c r="O2" i="159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Y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P159" i="159"/>
  <c r="N159" i="159"/>
  <c r="M159" i="159"/>
  <c r="L159" i="159"/>
  <c r="K159" i="159"/>
  <c r="J159" i="159"/>
  <c r="H159" i="159"/>
  <c r="F159" i="159"/>
  <c r="E159" i="159"/>
  <c r="C159" i="159"/>
  <c r="P158" i="159"/>
  <c r="N158" i="159"/>
  <c r="M158" i="159"/>
  <c r="L158" i="159"/>
  <c r="K158" i="159"/>
  <c r="J158" i="159"/>
  <c r="H158" i="159"/>
  <c r="F158" i="159"/>
  <c r="E158" i="159"/>
  <c r="C158" i="159"/>
  <c r="A2" i="157"/>
  <c r="A159" i="159"/>
  <c r="A158" i="159"/>
  <c r="B29" i="157"/>
  <c r="B28" i="157"/>
  <c r="B27" i="157"/>
  <c r="N8" i="157"/>
  <c r="N7" i="157"/>
  <c r="N4" i="157"/>
  <c r="N3" i="157"/>
  <c r="I361" i="158"/>
  <c r="D361" i="158"/>
  <c r="J361" i="158"/>
  <c r="E361" i="158"/>
  <c r="F361" i="158"/>
  <c r="C361" i="158"/>
  <c r="F5" i="157"/>
  <c r="F6" i="157"/>
  <c r="A36" i="157"/>
  <c r="G30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0" i="157"/>
  <c r="H30" i="157"/>
  <c r="G31" i="157"/>
  <c r="E31" i="157"/>
  <c r="H31" i="157"/>
  <c r="R8" i="157"/>
  <c r="O361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5" i="157"/>
  <c r="E27" i="157"/>
  <c r="C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C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E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O356" i="158"/>
  <c r="R4" i="157"/>
  <c r="O357" i="158"/>
  <c r="R5" i="157"/>
  <c r="O358" i="158"/>
  <c r="R6" i="157"/>
  <c r="O359" i="158"/>
  <c r="R7" i="157"/>
  <c r="O360" i="158"/>
  <c r="P361" i="158"/>
  <c r="N361" i="158"/>
  <c r="M361" i="158"/>
  <c r="L361" i="158"/>
  <c r="K361" i="158"/>
  <c r="H361" i="158"/>
  <c r="A361" i="158"/>
  <c r="I360" i="158"/>
  <c r="D360" i="158"/>
  <c r="J360" i="158"/>
  <c r="E360" i="158"/>
  <c r="F360" i="158"/>
  <c r="C360" i="158"/>
  <c r="P360" i="158"/>
  <c r="N360" i="158"/>
  <c r="M360" i="158"/>
  <c r="L360" i="158"/>
  <c r="K360" i="158"/>
  <c r="H360" i="158"/>
  <c r="A360" i="158"/>
  <c r="P157" i="159"/>
  <c r="P156" i="159"/>
  <c r="N157" i="159"/>
  <c r="M157" i="159"/>
  <c r="L157" i="159"/>
  <c r="K157" i="159"/>
  <c r="J157" i="159"/>
  <c r="H157" i="159"/>
  <c r="F157" i="159"/>
  <c r="E157" i="159"/>
  <c r="C157" i="159"/>
  <c r="N156" i="159"/>
  <c r="M156" i="159"/>
  <c r="L156" i="159"/>
  <c r="K156" i="159"/>
  <c r="J156" i="159"/>
  <c r="H156" i="159"/>
  <c r="F156" i="159"/>
  <c r="E156" i="159"/>
  <c r="C156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157" i="159"/>
  <c r="A156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B46" i="157"/>
  <c r="B10" i="157"/>
  <c r="P359" i="158"/>
  <c r="N359" i="158"/>
  <c r="M359" i="158"/>
  <c r="L359" i="158"/>
  <c r="K359" i="158"/>
  <c r="H359" i="158"/>
  <c r="P358" i="158"/>
  <c r="N358" i="158"/>
  <c r="M358" i="158"/>
  <c r="L358" i="158"/>
  <c r="K358" i="158"/>
  <c r="H358" i="158"/>
  <c r="P357" i="158"/>
  <c r="N357" i="158"/>
  <c r="M357" i="158"/>
  <c r="L357" i="158"/>
  <c r="K357" i="158"/>
  <c r="H357" i="158"/>
  <c r="P356" i="158"/>
  <c r="N356" i="158"/>
  <c r="M356" i="158"/>
  <c r="L356" i="158"/>
  <c r="K356" i="158"/>
  <c r="H356" i="158"/>
  <c r="A359" i="158"/>
  <c r="A358" i="158"/>
  <c r="A357" i="158"/>
  <c r="A356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C4" i="103"/>
  <c r="E4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<sst xmlns="http://schemas.openxmlformats.org/spreadsheetml/2006/main" count="425" uniqueCount="256">
  <si>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</si>
  <si>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</si>
  <si>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</si>
  <si>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</si>
  <si>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</si>
  <si>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</si>
  <si>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</si>
  <si>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</si>
  <si>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</si>
  <si>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</si>
  <si>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</si>
  <si>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</si>
  <si>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</si>
  <si>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</si>
  <si>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</si>
  <si>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</si>
  <si>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</si>
  <si>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</si>
  <si>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</si>
  <si>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</si>
  <si>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</si>
  <si>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</si>
  <si>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</si>
  <si>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</si>
  <si>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</si>
  <si>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</si>
  <si>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</si>
  <si>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</si>
  <si>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</si>
  <si>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</si>
  <si>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</si>
  <si>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</si>
  <si>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</si>
  <si>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</si>
  <si>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</si>
  <si>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</si>
  <si>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</si>
  <si>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</si>
  <si>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</si>
  <si>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</si>
  <si>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</si>
  <si>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</si>
  <si>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</si>
  <si>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</si>
  <si>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</si>
  <si>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</si>
  <si>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</si>
  <si>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</si>
  <si>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</si>
  <si>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</si>
  <si>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</si>
  <si>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</si>
  <si>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</si>
  <si>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</si>
  <si>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</si>
  <si>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</si>
  <si>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</si>
  <si>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</si>
  <si>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</si>
  <si>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</si>
  <si>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</si>
  <si>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</si>
  <si>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</si>
  <si>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</si>
  <si>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</si>
  <si>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</si>
  <si>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</si>
  <si>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</si>
  <si>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</si>
  <si>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</si>
  <si>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</si>
  <si>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</si>
  <si>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</si>
  <si>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</si>
  <si>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</si>
  <si>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</si>
  <si>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</si>
  <si>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</si>
  <si>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</si>
  <si>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</si>
  <si>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</si>
  <si>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</si>
  <si>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</si>
  <si>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</si>
  <si>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</si>
  <si>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</si>
  <si>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</si>
  <si>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</si>
  <si>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</si>
  <si>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</si>
  <si>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</si>
  <si>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</si>
  <si>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</si>
  <si>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</si>
  <si>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</si>
  <si>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</si>
  <si>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</si>
  <si>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</si>
  <si>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</si>
  <si>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</si>
  <si>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</si>
  <si>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</si>
  <si>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</si>
  <si>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</si>
  <si>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</si>
  <si>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</si>
  <si>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</si>
  <si>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</si>
  <si>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</si>
  <si>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</si>
  <si>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</si>
  <si>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</si>
  <si>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</si>
  <si>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</si>
  <si>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</si>
  <si>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</si>
  <si>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</si>
  <si>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</si>
  <si>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</si>
  <si>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</si>
  <si>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</si>
  <si>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</si>
  <si>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</si>
  <si>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</si>
  <si>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</si>
  <si>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</si>
  <si>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</si>
  <si>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</si>
  <si>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</si>
  <si>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</si>
  <si>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</si>
  <si>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</si>
  <si>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</si>
  <si>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</si>
  <si>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</si>
  <si>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</si>
  <si>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</si>
  <si>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</si>
  <si>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</si>
  <si>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</si>
  <si>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</si>
  <si>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</si>
  <si>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</si>
  <si>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</si>
  <si>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</si>
  <si>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</si>
  <si>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</si>
  <si>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</si>
  <si>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</si>
  <si>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</si>
  <si>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</si>
  <si>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</si>
  <si>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</si>
  <si>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</si>
  <si>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</si>
  <si>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</si>
  <si>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</si>
  <si>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</si>
  <si>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</si>
  <si>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</si>
  <si>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</si>
  <si>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</si>
  <si>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</si>
  <si>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</si>
  <si>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</si>
  <si>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</si>
  <si>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</si>
  <si>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</si>
  <si>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</si>
  <si>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</si>
  <si>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</si>
  <si>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</si>
  <si>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</si>
  <si>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</si>
  <si>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</si>
  <si>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</si>
  <si>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</si>
  <si>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</si>
  <si>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</si>
  <si>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</si>
  <si>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</si>
  <si>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</si>
  <si>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</si>
  <si>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</si>
  <si>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</si>
  <si>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</si>
  <si>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</si>
  <si>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</si>
  <si>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</si>
  <si>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</si>
  <si>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</si>
  <si>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</si>
  <si>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</si>
  <si>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</si>
  <si>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</si>
  <si>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</si>
  <si>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</si>
  <si>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</si>
  <si>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</si>
  <si>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</si>
  <si>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</si>
  <si>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</si>
  <si>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</si>
  <si>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</si>
  <si>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</si>
  <si>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</si>
  <si>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</si>
  <si>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</si>
  <si>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</si>
  <si>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</si>
  <si>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</si>
  <si>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</si>
  <si>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</si>
  <si>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</si>
  <si>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</si>
  <si>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</si>
  <si>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</si>
  <si>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</si>
  <si>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</si>
  <si>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</si>
  <si>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</si>
  <si>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</si>
  <si>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</si>
  <si>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</si>
  <si>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</si>
  <si>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</si>
  <si>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</si>
  <si>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</si>
  <si>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</si>
  <si>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</si>
  <si>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</si>
  <si>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</si>
  <si>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</si>
  <si>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</si>
  <si>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</si>
  <si>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</si>
  <si>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</si>
  <si>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</si>
  <si>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</si>
  <si>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</si>
  <si>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</si>
  <si>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</si>
  <si>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</si>
  <si>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</si>
  <si>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</si>
  <si>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</si>
  <si>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gacha_settle_tables_</t>
    <phoneticPr fontId="21"/>
  </si>
  <si>
    <t>.tmp</t>
    <phoneticPr fontId="54"/>
  </si>
  <si>
    <t>PremiumSSw</t>
    <phoneticPr fontId="21"/>
  </si>
  <si>
    <t>old</t>
    <phoneticPr fontId="21"/>
  </si>
  <si>
    <t>PremiumSSS</t>
    <phoneticPr fontId="21"/>
  </si>
  <si>
    <t>tables_560010</t>
    <phoneticPr fontId="21"/>
  </si>
  <si>
    <t>Premium</t>
  </si>
  <si>
    <t>PremiumSS</t>
  </si>
  <si>
    <t>tables_585100</t>
    <phoneticPr fontId="21"/>
  </si>
  <si>
    <t>tables_settle_585100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</si>
</sst>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178" fontId="0" fillId="0" borderId="0" xfId="0" applyNumberFormat="1"/>
    <xf numFmtId="0" fontId="3" fillId="0" borderId="1" xfId="3036" applyFont="1" applyBorder="1"/>
    <xf numFmtId="0" fontId="25" fillId="33" borderId="1" xfId="0" applyFont="1" applyFill="1" applyBorder="1" applyAlignment="1">
      <alignment horizontal="right" vertical="center"/>
    </xf>
    <xf numFmtId="180" fontId="0" fillId="4" borderId="1" xfId="0" applyNumberFormat="1" applyFill="1" applyBorder="1"/>
    <xf numFmtId="0" fontId="2" fillId="4" borderId="1" xfId="2978" applyFont="1" applyFill="1" applyBorder="1"/>
    <xf numFmtId="0" fontId="1" fillId="4" borderId="1" xfId="2978" applyFont="1" applyFill="1" applyBorder="1"/>
    <xf numFmtId="177" fontId="0" fillId="0" borderId="1" xfId="3575" applyNumberFormat="1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human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human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attack</v>
          </cell>
          <cell r="L1789" t="str">
            <v>攻撃タイプ</v>
          </cell>
          <cell r="M1789" t="str">
            <v>dragon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green</v>
          </cell>
          <cell r="I1790">
            <v>6</v>
          </cell>
          <cell r="J1790" t="str">
            <v>PremiumSSw</v>
          </cell>
          <cell r="K1790" t="str">
            <v>heal</v>
          </cell>
          <cell r="L1790" t="str">
            <v>回復タイプ</v>
          </cell>
          <cell r="M1790" t="str">
            <v>dragon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yellow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academia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yellow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animal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249</v>
      </c>
      <c r="B2" s="61" t="s">
        <v>110</v>
      </c>
      <c r="C2" s="50" t="str">
        <f t="shared" ref="C2" si="0">RIGHT(F2,6)</f>
        <v>585100</v>
      </c>
      <c r="D2" s="19" t="s">
        <v>45</v>
      </c>
      <c r="E2" s="17" t="str">
        <f t="shared" ref="E2" si="1">B2&amp;C2&amp;D2</f>
        <v>gacha_select_tables_585100.tmp</v>
      </c>
      <c r="F2" s="98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241</v>
      </c>
      <c r="B3" s="61" t="s">
        <v>110</v>
      </c>
      <c r="C3" s="50" t="str">
        <f t="shared" ref="C3:C7" si="2">RIGHT(F3,6)</f>
        <v>560010</v>
      </c>
      <c r="D3" s="19" t="s">
        <v>45</v>
      </c>
      <c r="E3" s="17" t="str">
        <f t="shared" ref="E3:E10" si="3">B3&amp;C3&amp;D3</f>
        <v>gacha_select_tables_560010.tmp</v>
      </c>
      <c r="F3" s="97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4" t="s">
        <v>249</v>
      </c>
      <c r="B4" s="91" t="s">
        <v>246</v>
      </c>
      <c r="C4" s="92" t="str">
        <f t="shared" si="2"/>
        <v>585100</v>
      </c>
      <c r="D4" s="19" t="s">
        <v>247</v>
      </c>
      <c r="E4" s="17" t="str">
        <f t="shared" si="3"/>
        <v>gacha_settle_tables_585100.tmp</v>
      </c>
      <c r="F4" s="9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17" sqref="F17:F31"/>
    </sheetView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585100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5">
        <v>688</v>
      </c>
      <c r="M3" s="37" t="str">
        <f>VLOOKUP(L3,[1]characters!$A:$C,3,FALSE)</f>
        <v>ユークリッド</v>
      </c>
      <c r="N3" s="76">
        <f>(0.375/2)%</f>
        <v>1.8749999999999999E-3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VLOOKUP(L3,tables_585100!B:C,2,FALSE)</f>
        <v>PremiumSSS4R3less</v>
      </c>
      <c r="R3" s="62">
        <f t="shared" ref="R3:R20" si="1">N3*A$36</f>
        <v>39600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5">
        <v>689</v>
      </c>
      <c r="M4" s="37" t="str">
        <f>VLOOKUP(L4,[1]characters!$A:$C,3,FALSE)</f>
        <v>根原論理 ユークリッド</v>
      </c>
      <c r="N4" s="76">
        <f>(0.375/2)%</f>
        <v>1.8749999999999999E-3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VLOOKUP(L4,tables_585100!B:C,2,FALSE)</f>
        <v>PremiumSSS5R3less</v>
      </c>
      <c r="R4" s="62">
        <f t="shared" si="1"/>
        <v>39600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9.0909090909090909E-4</v>
      </c>
      <c r="F5">
        <f>(COUNTIF(tables_585100!C:C,input_585100!A28)+COUNTIF(tables_585100!C:C,input_585100!A29))</f>
        <v>72</v>
      </c>
      <c r="H5" s="83">
        <v>1.4999999999999999E-2</v>
      </c>
      <c r="I5" s="31">
        <v>6</v>
      </c>
      <c r="L5" s="95">
        <v>760</v>
      </c>
      <c r="M5" s="37" t="str">
        <f>VLOOKUP(L5,[1]characters!$A:$C,3,FALSE)</f>
        <v>限論顕現 クロネッカー</v>
      </c>
      <c r="N5" s="76">
        <v>3.7499999999999999E-3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VLOOKUP(L5,tables_585100!B:C,2,FALSE)</f>
        <v>PremiumSSS5R3less</v>
      </c>
      <c r="R5" s="62">
        <f t="shared" si="1"/>
        <v>79200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9.479166666666667E-3</v>
      </c>
      <c r="F6">
        <f>(COUNTIF(tables_585100!C:C,input_585100!A25)+COUNTIF(tables_585100!C:C,input_585100!A18)+COUNTIF(tables_585100!C:C,input_585100!A20)+COUNTIF(tables_585100!C:C,input_585100!A22))</f>
        <v>96</v>
      </c>
      <c r="H6" s="87">
        <v>0</v>
      </c>
      <c r="I6" s="31">
        <v>0</v>
      </c>
      <c r="L6" s="95">
        <v>870</v>
      </c>
      <c r="M6" s="37" t="str">
        <f>VLOOKUP(L6,[1]characters!$A:$C,3,FALSE)</f>
        <v>フロイト</v>
      </c>
      <c r="N6" s="76">
        <v>3.7499999999999999E-3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VLOOKUP(L6,tables_585100!B:C,2,FALSE)</f>
        <v>PremiumSSS5R3less</v>
      </c>
      <c r="R6" s="62">
        <f t="shared" si="1"/>
        <v>79200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95">
        <v>378</v>
      </c>
      <c r="M7" s="37" t="str">
        <f>VLOOKUP(L7,[1]characters!$A:$C,3,FALSE)</f>
        <v>オイラー</v>
      </c>
      <c r="N7" s="76">
        <f>(0.375/2)%</f>
        <v>1.8749999999999999E-3</v>
      </c>
      <c r="O7" s="37">
        <f>VLOOKUP(L7,[1]characters!$A:$I,9,FALSE)</f>
        <v>4</v>
      </c>
      <c r="P7" s="37" t="str">
        <f>VLOOKUP(L7,[1]characters!$A:$J,10,FALSE)</f>
        <v>PremiumSSS</v>
      </c>
      <c r="Q7" s="37" t="str">
        <f>VLOOKUP(L7,tables_585100!B:C,2,FALSE)</f>
        <v>PremiumSSS4R3less</v>
      </c>
      <c r="R7" s="62">
        <f t="shared" si="1"/>
        <v>39600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5">
        <v>379</v>
      </c>
      <c r="M8" s="37" t="str">
        <f>VLOOKUP(L8,[1]characters!$A:$C,3,FALSE)</f>
        <v>幾何の機刃 オイラー</v>
      </c>
      <c r="N8" s="76">
        <f>(0.375/2)%</f>
        <v>1.8749999999999999E-3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VLOOKUP(L8,tables_585100!B:C,2,FALSE)</f>
        <v>PremiumSSS5R3less</v>
      </c>
      <c r="R8" s="62">
        <f t="shared" si="1"/>
        <v>39600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VLOOKUP(L9,tables_585100!B:C,2,FALSE)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VLOOKUP(L10,tables_585100!B:C,2,FALSE)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VLOOKUP(L11,tables_585100!B:C,2,FALSE)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VLOOKUP(L12,tables_585100!B:C,2,FALSE)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VLOOKUP(L13,tables_585100!B:C,2,FALSE)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VLOOKUP(L14,tables_585100!B:C,2,FALSE)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VLOOKUP(L15,tables_585100!B:C,2,FALSE)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VLOOKUP(L16,tables_585100!B:C,2,FALSE)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99">
        <f t="shared" ref="C17:C31" si="2">SUMIF(Q:Q,A17,N:N)</f>
        <v>0</v>
      </c>
      <c r="D17" s="74">
        <f t="shared" ref="D17:D32" si="3">B17-C17</f>
        <v>0</v>
      </c>
      <c r="E17">
        <f>COUNTIF(tables_585100!C:C,input_585100!A17)-COUNTIF(Q:Q,A17)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VLOOKUP(L17,tables_585100!B:C,2,FALSE)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0.21606250000000007</v>
      </c>
      <c r="C18" s="99">
        <f t="shared" si="2"/>
        <v>0</v>
      </c>
      <c r="D18" s="74">
        <f t="shared" si="3"/>
        <v>0.21606250000000007</v>
      </c>
      <c r="E18">
        <f>COUNTIF(tables_585100!C:C,input_585100!A18)-COUNTIF(Q:Q,A18)</f>
        <v>20</v>
      </c>
      <c r="F18" s="43">
        <f>IFERROR(B18/E18,0)</f>
        <v>1.0803125000000004E-2</v>
      </c>
      <c r="G18">
        <f t="shared" si="4"/>
        <v>4563240.0000000019</v>
      </c>
      <c r="H18">
        <f t="shared" si="5"/>
        <v>228162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VLOOKUP(L18,tables_585100!B:C,2,FALSE)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99">
        <f t="shared" si="2"/>
        <v>0</v>
      </c>
      <c r="D19" s="74">
        <f t="shared" si="3"/>
        <v>0</v>
      </c>
      <c r="E19">
        <f>COUNTIF(tables_585100!C:C,input_585100!A19)-COUNTIF(Q:Q,A19)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VLOOKUP(L19,tables_585100!B:C,2,FALSE)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0.44362499999999999</v>
      </c>
      <c r="C20" s="99">
        <f t="shared" si="2"/>
        <v>0</v>
      </c>
      <c r="D20" s="74">
        <f t="shared" si="3"/>
        <v>0.44362499999999999</v>
      </c>
      <c r="E20">
        <f>COUNTIF(tables_585100!C:C,input_585100!A20)-COUNTIF(Q:Q,A20)</f>
        <v>52</v>
      </c>
      <c r="F20" s="43">
        <f t="shared" si="8"/>
        <v>8.5312500000000006E-3</v>
      </c>
      <c r="G20">
        <f t="shared" si="4"/>
        <v>9369360</v>
      </c>
      <c r="H20">
        <f t="shared" si="5"/>
        <v>180180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VLOOKUP(L20,tables_585100!B:C,2,FALSE)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2.2812499999999996E-2</v>
      </c>
      <c r="C21" s="99">
        <f t="shared" si="2"/>
        <v>0</v>
      </c>
      <c r="D21" s="74">
        <f t="shared" si="3"/>
        <v>2.2812499999999996E-2</v>
      </c>
      <c r="E21">
        <f>COUNTIF(tables_585100!C:C,input_585100!A21)-COUNTIF(Q:Q,A21)</f>
        <v>52</v>
      </c>
      <c r="F21" s="43">
        <f t="shared" si="8"/>
        <v>4.38701923076923E-4</v>
      </c>
      <c r="G21">
        <f t="shared" si="4"/>
        <v>481799.99999999994</v>
      </c>
      <c r="H21">
        <f t="shared" si="5"/>
        <v>9265.3846200000007</v>
      </c>
      <c r="I21">
        <f t="shared" si="6"/>
        <v>0.38462000000072294</v>
      </c>
      <c r="J21">
        <f t="shared" si="7"/>
        <v>2.5999688003695085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0.16493749999999999</v>
      </c>
      <c r="C22" s="99">
        <f t="shared" si="2"/>
        <v>0</v>
      </c>
      <c r="D22" s="74">
        <f t="shared" si="3"/>
        <v>0.16493749999999999</v>
      </c>
      <c r="E22">
        <f>COUNTIF(tables_585100!C:C,input_585100!A22)-COUNTIF(Q:Q,A22)</f>
        <v>20</v>
      </c>
      <c r="F22" s="43">
        <f t="shared" si="8"/>
        <v>8.246874999999999E-3</v>
      </c>
      <c r="G22">
        <f t="shared" si="4"/>
        <v>3483479.9999999995</v>
      </c>
      <c r="H22">
        <f t="shared" si="5"/>
        <v>174174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2.4645833333333336E-2</v>
      </c>
      <c r="C23" s="99">
        <f t="shared" si="2"/>
        <v>0</v>
      </c>
      <c r="D23" s="74">
        <f t="shared" si="3"/>
        <v>2.4645833333333336E-2</v>
      </c>
      <c r="E23">
        <f>COUNTIF(tables_585100!C:C,input_585100!A23)-COUNTIF(Q:Q,A23)</f>
        <v>26</v>
      </c>
      <c r="F23" s="43">
        <f t="shared" si="8"/>
        <v>9.4791666666666679E-4</v>
      </c>
      <c r="G23">
        <f t="shared" si="4"/>
        <v>520520.00000000006</v>
      </c>
      <c r="H23">
        <f t="shared" si="5"/>
        <v>20020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99">
        <f t="shared" si="2"/>
        <v>0</v>
      </c>
      <c r="D24" s="74">
        <f t="shared" si="3"/>
        <v>0</v>
      </c>
      <c r="E24">
        <f>COUNTIF(tables_585100!C:C,input_585100!A24)-COUNTIF(Q:Q,A24)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3.4125000000000003E-2</v>
      </c>
      <c r="C25" s="99">
        <f t="shared" si="2"/>
        <v>0</v>
      </c>
      <c r="D25" s="74">
        <f t="shared" si="3"/>
        <v>3.4125000000000003E-2</v>
      </c>
      <c r="E25">
        <f>COUNTIF(tables_585100!C:C,input_585100!A25)-COUNTIF(Q:Q,A25)</f>
        <v>4</v>
      </c>
      <c r="F25" s="43">
        <f t="shared" si="8"/>
        <v>8.5312500000000006E-3</v>
      </c>
      <c r="G25">
        <f t="shared" si="4"/>
        <v>720720</v>
      </c>
      <c r="H25">
        <f t="shared" si="5"/>
        <v>180180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3.7916666666666671E-3</v>
      </c>
      <c r="C26" s="99">
        <f t="shared" si="2"/>
        <v>0</v>
      </c>
      <c r="D26" s="74">
        <f t="shared" si="3"/>
        <v>3.7916666666666671E-3</v>
      </c>
      <c r="E26">
        <f>COUNTIF(tables_585100!C:C,input_585100!A26)-COUNTIF(Q:Q,A26)</f>
        <v>4</v>
      </c>
      <c r="F26" s="43">
        <f t="shared" si="8"/>
        <v>9.4791666666666679E-4</v>
      </c>
      <c r="G26">
        <f t="shared" si="4"/>
        <v>80080.000000000015</v>
      </c>
      <c r="H26">
        <f t="shared" si="5"/>
        <v>20020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96">
        <f>B11-B28-B29-C28-C27</f>
        <v>3.7499999999999992E-2</v>
      </c>
      <c r="C27" s="99">
        <f t="shared" si="2"/>
        <v>0</v>
      </c>
      <c r="D27" s="74">
        <f t="shared" si="3"/>
        <v>3.7499999999999992E-2</v>
      </c>
      <c r="E27">
        <f>COUNTIF(tables_585100!C:C,input_585100!A27)-COUNTIF(Q:Q,A27)</f>
        <v>28</v>
      </c>
      <c r="F27" s="43">
        <f>IFERROR(B27/E27,0)</f>
        <v>1.3392857142857141E-3</v>
      </c>
      <c r="G27">
        <f t="shared" si="4"/>
        <v>791999.99999999977</v>
      </c>
      <c r="H27">
        <f t="shared" si="5"/>
        <v>28285.71429</v>
      </c>
      <c r="I27">
        <f t="shared" si="6"/>
        <v>0.71428999999989173</v>
      </c>
      <c r="J27">
        <f t="shared" si="7"/>
        <v>1.3999916000506119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1.4583333333333334E-2</v>
      </c>
      <c r="C28" s="99">
        <f t="shared" si="2"/>
        <v>0</v>
      </c>
      <c r="D28" s="74">
        <f t="shared" si="3"/>
        <v>1.4583333333333334E-2</v>
      </c>
      <c r="E28">
        <f>COUNTIF(tables_585100!C:C,input_585100!A28)-COUNTIF(Q:Q,A28)</f>
        <v>28</v>
      </c>
      <c r="F28" s="43">
        <f t="shared" si="8"/>
        <v>5.2083333333333333E-4</v>
      </c>
      <c r="G28">
        <f t="shared" si="4"/>
        <v>308000</v>
      </c>
      <c r="H28">
        <f t="shared" si="5"/>
        <v>11000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2.2916666666666665E-2</v>
      </c>
      <c r="C29" s="99">
        <f t="shared" si="2"/>
        <v>0</v>
      </c>
      <c r="D29" s="74">
        <f t="shared" si="3"/>
        <v>2.2916666666666665E-2</v>
      </c>
      <c r="E29">
        <f>COUNTIF(tables_585100!C:C,input_585100!A29)-COUNTIF(Q:Q,A29)</f>
        <v>44</v>
      </c>
      <c r="F29" s="43">
        <f t="shared" si="8"/>
        <v>5.2083333333333333E-4</v>
      </c>
      <c r="G29">
        <f t="shared" si="4"/>
        <v>483999.99999999994</v>
      </c>
      <c r="H29">
        <f t="shared" si="5"/>
        <v>11000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99">
        <f t="shared" si="2"/>
        <v>3.7499999999999999E-3</v>
      </c>
      <c r="D30" s="74">
        <f t="shared" si="3"/>
        <v>-3.7499999999999999E-3</v>
      </c>
      <c r="E30">
        <f>COUNTIF(tables_585100!C:C,input_585100!A30)-COUNTIF(Q:Q,A30)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99">
        <f t="shared" si="2"/>
        <v>1.125E-2</v>
      </c>
      <c r="D31" s="74">
        <f t="shared" si="3"/>
        <v>-1.125E-2</v>
      </c>
      <c r="E31">
        <f>COUNTIF(tables_585100!C:C,input_585100!A31)-COUNTIF(Q:Q,A31)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0.98499999999999999</v>
      </c>
      <c r="C32" s="41">
        <f>SUM(C19:C31)</f>
        <v>1.4999999999999999E-2</v>
      </c>
      <c r="D32" s="42">
        <f t="shared" si="3"/>
        <v>0.97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3"/>
    </row>
    <row r="36" spans="1:7" x14ac:dyDescent="0.15">
      <c r="A36" s="31">
        <f>LCM(F5-I5,F6-I6)*1000*2*2*5</f>
        <v>21120000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SUMIF(tables_585100!C:C,input_585100!A40,tables_585100!O:O)</f>
        <v>0</v>
      </c>
      <c r="C40" s="54">
        <f t="shared" ref="C40:C46" ca="1" si="9">B40/B$47</f>
        <v>0</v>
      </c>
      <c r="E40">
        <v>3</v>
      </c>
      <c r="F40">
        <f ca="1">SUMIF(tables_585100!J:J,input_585100!E40,tables_585100!O:O)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SUMIF(tables_585100!C:C,input_585100!A41,tables_585100!O:O)</f>
        <v>9369360</v>
      </c>
      <c r="C41" s="54">
        <f t="shared" ca="1" si="9"/>
        <v>0.85555868051347972</v>
      </c>
      <c r="E41">
        <v>4</v>
      </c>
      <c r="F41">
        <f ca="1">SUMIF(tables_585100!J:J,input_585100!E41,tables_585100!O:O)</f>
        <v>19008000.000120014</v>
      </c>
      <c r="G41">
        <f ca="1">F41/A36</f>
        <v>0.90000000000568248</v>
      </c>
    </row>
    <row r="42" spans="1:7" x14ac:dyDescent="0.15">
      <c r="A42" s="33" t="s">
        <v>106</v>
      </c>
      <c r="B42">
        <f ca="1">SUMIF(tables_585100!C:C,input_585100!A42,tables_585100!O:O)</f>
        <v>792000.0001200001</v>
      </c>
      <c r="C42" s="54">
        <f t="shared" ca="1" si="9"/>
        <v>7.2321105717929823E-2</v>
      </c>
      <c r="E42">
        <v>5</v>
      </c>
      <c r="F42">
        <f ca="1">SUMIF(tables_585100!J:J,input_585100!E42,tables_585100!O:O)</f>
        <v>2112000.0002400004</v>
      </c>
      <c r="G42">
        <f ca="1">F42/A36</f>
        <v>0.10000000001136365</v>
      </c>
    </row>
    <row r="43" spans="1:7" x14ac:dyDescent="0.15">
      <c r="A43" s="33" t="s">
        <v>109</v>
      </c>
      <c r="B43">
        <f>SUMIF(tables_585100!C:C,input_585100!A43,tables_585100!O:O)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SUMIF(tables_585100!C:C,input_585100!A44,tables_585100!O:O)</f>
        <v>481800.00024000055</v>
      </c>
      <c r="C44" s="54">
        <f t="shared" ca="1" si="9"/>
        <v>4.3995339326990214E-2</v>
      </c>
      <c r="E44" t="s">
        <v>54</v>
      </c>
      <c r="F44" s="55"/>
    </row>
    <row r="45" spans="1:7" x14ac:dyDescent="0.15">
      <c r="A45" s="33" t="s">
        <v>107</v>
      </c>
      <c r="B45">
        <f ca="1">SUMIF(tables_585100!C:C,input_585100!A45,tables_585100!O:O)</f>
        <v>308000</v>
      </c>
      <c r="C45" s="54">
        <f t="shared" ca="1" si="9"/>
        <v>2.8124874441600254E-2</v>
      </c>
      <c r="E45" t="s">
        <v>204</v>
      </c>
      <c r="F45" s="55">
        <f ca="1">SUMIF(tables_585100!I:I,input_585100!E45,tables_585100!P:P)</f>
        <v>0.22174999999622022</v>
      </c>
    </row>
    <row r="46" spans="1:7" x14ac:dyDescent="0.15">
      <c r="A46" s="33" t="s">
        <v>108</v>
      </c>
      <c r="B46">
        <f>SUMIF(tables_585100!C:C,input_585100!A46,tables_585100!O:O)</f>
        <v>0</v>
      </c>
      <c r="C46" s="54">
        <f t="shared" ca="1" si="9"/>
        <v>0</v>
      </c>
      <c r="E46" t="s">
        <v>205</v>
      </c>
      <c r="F46" s="55">
        <f ca="1">SUMIF(tables_585100!I:I,input_585100!E46,tables_585100!P:P)</f>
        <v>0.18092668269293877</v>
      </c>
    </row>
    <row r="47" spans="1:7" x14ac:dyDescent="0.15">
      <c r="A47" s="39" t="s">
        <v>59</v>
      </c>
      <c r="B47">
        <f ca="1">SUM(B40:B46)</f>
        <v>10951160.000360001</v>
      </c>
      <c r="C47" s="55">
        <f ca="1">SUM(C40:C46)</f>
        <v>1</v>
      </c>
      <c r="E47" t="s">
        <v>206</v>
      </c>
      <c r="F47" s="55">
        <f ca="1">SUMIF(tables_585100!I:I,input_585100!E47,tables_585100!P:P)</f>
        <v>0.50732331730669378</v>
      </c>
    </row>
    <row r="48" spans="1:7" x14ac:dyDescent="0.15">
      <c r="E48" t="s">
        <v>207</v>
      </c>
      <c r="F48" s="55">
        <f ca="1">SUMIF(tables_585100!I:I,input_585100!E48,tables_585100!P:P)</f>
        <v>7.0312500004483289E-2</v>
      </c>
      <c r="G48" s="55"/>
    </row>
    <row r="49" spans="5:6" x14ac:dyDescent="0.15">
      <c r="E49" t="s">
        <v>248</v>
      </c>
      <c r="F49" s="55">
        <f ca="1">SUMIF(tables_585100!I:I,input_585100!E49,tables_585100!P:P)</f>
        <v>4.6874999999201011E-3</v>
      </c>
    </row>
    <row r="50" spans="5:6" x14ac:dyDescent="0.15">
      <c r="E50" t="s">
        <v>250</v>
      </c>
      <c r="F50" s="55">
        <f ca="1">SUMIF(tables_585100!I:I,input_585100!E50,tables_585100!P:P)</f>
        <v>1.4999999999744319E-2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19" activePane="bottomLeft" state="frozen"/>
      <selection activeCell="H276" sqref="H276"/>
      <selection pane="bottomLeft" activeCell="P356" sqref="P356:P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input_585100!A$2</f>
        <v>585100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IFERROR(VLOOKUP(B2,input_585100!L:R,7,FALSE),VLOOKUP(tables_585100!C2,input_585100!A:H,8,FALSE))</f>
        <v>0</v>
      </c>
      <c r="P2" s="46">
        <f t="shared" ref="P2:P33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input_585100!A$2</f>
        <v>585100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IFERROR(VLOOKUP(B3,input_585100!L:R,7,FALSE),VLOOKUP(tables_585100!C3,input_585100!A:H,8,FALSE))</f>
        <v>228162</v>
      </c>
      <c r="P3" s="46">
        <f t="shared" ca="1" si="1"/>
        <v>1.0803124999815858E-2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input_585100!A$2</f>
        <v>585100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IFERROR(VLOOKUP(B4,input_585100!L:R,7,FALSE),VLOOKUP(tables_585100!C4,input_585100!A:H,8,FALSE))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input_585100!A$2</f>
        <v>585100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IFERROR(VLOOKUP(B5,input_585100!L:R,7,FALSE),VLOOKUP(tables_585100!C5,input_585100!A:H,8,FALSE))</f>
        <v>228162</v>
      </c>
      <c r="P5" s="46">
        <f t="shared" ca="1" si="1"/>
        <v>1.0803124999815858E-2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input_585100!A$2</f>
        <v>585100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IFERROR(VLOOKUP(B6,input_585100!L:R,7,FALSE),VLOOKUP(tables_585100!C6,input_585100!A:H,8,FALSE))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input_585100!A$2</f>
        <v>585100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IFERROR(VLOOKUP(B7,input_585100!L:R,7,FALSE),VLOOKUP(tables_585100!C7,input_585100!A:H,8,FALSE))</f>
        <v>228162</v>
      </c>
      <c r="P7" s="46">
        <f t="shared" ca="1" si="1"/>
        <v>1.0803124999815858E-2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input_585100!A$2</f>
        <v>585100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IFERROR(VLOOKUP(B8,input_585100!L:R,7,FALSE),VLOOKUP(tables_585100!C8,input_585100!A:H,8,FALSE))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input_585100!A$2</f>
        <v>585100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IFERROR(VLOOKUP(B9,input_585100!L:R,7,FALSE),VLOOKUP(tables_585100!C9,input_585100!A:H,8,FALSE))</f>
        <v>228162</v>
      </c>
      <c r="P9" s="46">
        <f t="shared" ca="1" si="1"/>
        <v>1.0803124999815858E-2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input_585100!A$2</f>
        <v>585100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IFERROR(VLOOKUP(B10,input_585100!L:R,7,FALSE),VLOOKUP(tables_585100!C10,input_585100!A:H,8,FALSE))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input_585100!A$2</f>
        <v>585100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IFERROR(VLOOKUP(B11,input_585100!L:R,7,FALSE),VLOOKUP(tables_585100!C11,input_585100!A:H,8,FALSE))</f>
        <v>228162</v>
      </c>
      <c r="P11" s="46">
        <f t="shared" ca="1" si="1"/>
        <v>1.0803124999815858E-2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input_585100!A$2</f>
        <v>585100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IFERROR(VLOOKUP(B12,input_585100!L:R,7,FALSE),VLOOKUP(tables_585100!C12,input_585100!A:H,8,FALSE))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input_585100!A$2</f>
        <v>585100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IFERROR(VLOOKUP(B13,input_585100!L:R,7,FALSE),VLOOKUP(tables_585100!C13,input_585100!A:H,8,FALSE))</f>
        <v>228162</v>
      </c>
      <c r="P13" s="46">
        <f t="shared" ca="1" si="1"/>
        <v>1.0803124999815858E-2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input_585100!A$2</f>
        <v>585100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IFERROR(VLOOKUP(B14,input_585100!L:R,7,FALSE),VLOOKUP(tables_585100!C14,input_585100!A:H,8,FALSE))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input_585100!A$2</f>
        <v>585100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IFERROR(VLOOKUP(B15,input_585100!L:R,7,FALSE),VLOOKUP(tables_585100!C15,input_585100!A:H,8,FALSE))</f>
        <v>228162</v>
      </c>
      <c r="P15" s="46">
        <f t="shared" ca="1" si="1"/>
        <v>1.0803124999815858E-2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input_585100!A$2</f>
        <v>585100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IFERROR(VLOOKUP(B16,input_585100!L:R,7,FALSE),VLOOKUP(tables_585100!C16,input_585100!A:H,8,FALSE))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input_585100!A$2</f>
        <v>585100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IFERROR(VLOOKUP(B17,input_585100!L:R,7,FALSE),VLOOKUP(tables_585100!C17,input_585100!A:H,8,FALSE))</f>
        <v>228162</v>
      </c>
      <c r="P17" s="46">
        <f t="shared" ca="1" si="1"/>
        <v>1.0803124999815858E-2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input_585100!A$2</f>
        <v>585100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IFERROR(VLOOKUP(B18,input_585100!L:R,7,FALSE),VLOOKUP(tables_585100!C18,input_585100!A:H,8,FALSE))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input_585100!A$2</f>
        <v>585100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IFERROR(VLOOKUP(B19,input_585100!L:R,7,FALSE),VLOOKUP(tables_585100!C19,input_585100!A:H,8,FALSE))</f>
        <v>228162</v>
      </c>
      <c r="P19" s="46">
        <f t="shared" ca="1" si="1"/>
        <v>1.0803124999815858E-2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input_585100!A$2</f>
        <v>585100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IFERROR(VLOOKUP(B20,input_585100!L:R,7,FALSE),VLOOKUP(tables_585100!C20,input_585100!A:H,8,FALSE))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input_585100!A$2</f>
        <v>585100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IFERROR(VLOOKUP(B21,input_585100!L:R,7,FALSE),VLOOKUP(tables_585100!C21,input_585100!A:H,8,FALSE))</f>
        <v>228162</v>
      </c>
      <c r="P21" s="46">
        <f t="shared" ca="1" si="1"/>
        <v>1.0803124999815858E-2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input_585100!A$2</f>
        <v>585100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IFERROR(VLOOKUP(B22,input_585100!L:R,7,FALSE),VLOOKUP(tables_585100!C22,input_585100!A:H,8,FALSE))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input_585100!A$2</f>
        <v>585100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IFERROR(VLOOKUP(B23,input_585100!L:R,7,FALSE),VLOOKUP(tables_585100!C23,input_585100!A:H,8,FALSE))</f>
        <v>228162</v>
      </c>
      <c r="P23" s="46">
        <f t="shared" ca="1" si="1"/>
        <v>1.0803124999815858E-2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input_585100!A$2</f>
        <v>585100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IFERROR(VLOOKUP(B24,input_585100!L:R,7,FALSE),VLOOKUP(tables_585100!C24,input_585100!A:H,8,FALSE))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input_585100!A$2</f>
        <v>585100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IFERROR(VLOOKUP(B25,input_585100!L:R,7,FALSE),VLOOKUP(tables_585100!C25,input_585100!A:H,8,FALSE))</f>
        <v>228162</v>
      </c>
      <c r="P25" s="46">
        <f t="shared" ca="1" si="1"/>
        <v>1.0803124999815858E-2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input_585100!A$2</f>
        <v>585100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IFERROR(VLOOKUP(B26,input_585100!L:R,7,FALSE),VLOOKUP(tables_585100!C26,input_585100!A:H,8,FALSE))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input_585100!A$2</f>
        <v>585100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IFERROR(VLOOKUP(B27,input_585100!L:R,7,FALSE),VLOOKUP(tables_585100!C27,input_585100!A:H,8,FALSE))</f>
        <v>228162</v>
      </c>
      <c r="P27" s="46">
        <f t="shared" ca="1" si="1"/>
        <v>1.0803124999815858E-2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input_585100!A$2</f>
        <v>585100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IFERROR(VLOOKUP(B28,input_585100!L:R,7,FALSE),VLOOKUP(tables_585100!C28,input_585100!A:H,8,FALSE))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input_585100!A$2</f>
        <v>585100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IFERROR(VLOOKUP(B29,input_585100!L:R,7,FALSE),VLOOKUP(tables_585100!C29,input_585100!A:H,8,FALSE))</f>
        <v>228162</v>
      </c>
      <c r="P29" s="46">
        <f t="shared" ca="1" si="1"/>
        <v>1.0803124999815858E-2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input_585100!A$2</f>
        <v>585100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IFERROR(VLOOKUP(B30,input_585100!L:R,7,FALSE),VLOOKUP(tables_585100!C30,input_585100!A:H,8,FALSE))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input_585100!A$2</f>
        <v>585100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IFERROR(VLOOKUP(B31,input_585100!L:R,7,FALSE),VLOOKUP(tables_585100!C31,input_585100!A:H,8,FALSE))</f>
        <v>228162</v>
      </c>
      <c r="P31" s="46">
        <f t="shared" ca="1" si="1"/>
        <v>1.0803124999815858E-2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input_585100!A$2</f>
        <v>585100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IFERROR(VLOOKUP(B32,input_585100!L:R,7,FALSE),VLOOKUP(tables_585100!C32,input_585100!A:H,8,FALSE))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input_585100!A$2</f>
        <v>585100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IFERROR(VLOOKUP(B33,input_585100!L:R,7,FALSE),VLOOKUP(tables_585100!C33,input_585100!A:H,8,FALSE))</f>
        <v>228162</v>
      </c>
      <c r="P33" s="46">
        <f t="shared" ca="1" si="1"/>
        <v>1.0803124999815858E-2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input_585100!A$2</f>
        <v>585100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IFERROR(VLOOKUP(B34,input_585100!L:R,7,FALSE),VLOOKUP(tables_585100!C34,input_585100!A:H,8,FALSE))</f>
        <v>0</v>
      </c>
      <c r="P34" s="46">
        <f t="shared" ref="P34:P65" ca="1" si="3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input_585100!A$2</f>
        <v>585100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IFERROR(VLOOKUP(B35,input_585100!L:R,7,FALSE),VLOOKUP(tables_585100!C35,input_585100!A:H,8,FALSE))</f>
        <v>228162</v>
      </c>
      <c r="P35" s="46">
        <f t="shared" ca="1" si="3"/>
        <v>1.0803124999815858E-2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input_585100!A$2</f>
        <v>585100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IFERROR(VLOOKUP(B36,input_585100!L:R,7,FALSE),VLOOKUP(tables_585100!C36,input_585100!A:H,8,FALSE))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input_585100!A$2</f>
        <v>585100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IFERROR(VLOOKUP(B37,input_585100!L:R,7,FALSE),VLOOKUP(tables_585100!C37,input_585100!A:H,8,FALSE))</f>
        <v>228162</v>
      </c>
      <c r="P37" s="46">
        <f t="shared" ca="1" si="3"/>
        <v>1.0803124999815858E-2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input_585100!A$2</f>
        <v>585100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IFERROR(VLOOKUP(B38,input_585100!L:R,7,FALSE),VLOOKUP(tables_585100!C38,input_585100!A:H,8,FALSE))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input_585100!A$2</f>
        <v>585100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IFERROR(VLOOKUP(B39,input_585100!L:R,7,FALSE),VLOOKUP(tables_585100!C39,input_585100!A:H,8,FALSE))</f>
        <v>228162</v>
      </c>
      <c r="P39" s="46">
        <f t="shared" ca="1" si="3"/>
        <v>1.0803124999815858E-2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input_585100!A$2</f>
        <v>585100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IFERROR(VLOOKUP(B40,input_585100!L:R,7,FALSE),VLOOKUP(tables_585100!C40,input_585100!A:H,8,FALSE))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input_585100!A$2</f>
        <v>585100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IFERROR(VLOOKUP(B41,input_585100!L:R,7,FALSE),VLOOKUP(tables_585100!C41,input_585100!A:H,8,FALSE))</f>
        <v>228162</v>
      </c>
      <c r="P41" s="46">
        <f t="shared" ca="1" si="3"/>
        <v>1.0803124999815858E-2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input_585100!A$2</f>
        <v>585100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IFERROR(VLOOKUP(B42,input_585100!L:R,7,FALSE),VLOOKUP(tables_585100!C42,input_585100!A:H,8,FALSE))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input_585100!A$2</f>
        <v>585100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IFERROR(VLOOKUP(B43,input_585100!L:R,7,FALSE),VLOOKUP(tables_585100!C43,input_585100!A:H,8,FALSE))</f>
        <v>180180</v>
      </c>
      <c r="P43" s="46">
        <f t="shared" ca="1" si="3"/>
        <v>8.5312499998545822E-3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input_585100!A$2</f>
        <v>585100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IFERROR(VLOOKUP(B44,input_585100!L:R,7,FALSE),VLOOKUP(tables_585100!C44,input_585100!A:H,8,FALSE))</f>
        <v>20020</v>
      </c>
      <c r="P44" s="46">
        <f t="shared" ca="1" si="3"/>
        <v>9.4791666665050914E-4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input_585100!A$2</f>
        <v>585100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IFERROR(VLOOKUP(B45,input_585100!L:R,7,FALSE),VLOOKUP(tables_585100!C45,input_585100!A:H,8,FALSE))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input_585100!A$2</f>
        <v>585100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IFERROR(VLOOKUP(B46,input_585100!L:R,7,FALSE),VLOOKUP(tables_585100!C46,input_585100!A:H,8,FALSE))</f>
        <v>180180</v>
      </c>
      <c r="P46" s="46">
        <f t="shared" ca="1" si="3"/>
        <v>8.5312499998545822E-3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input_585100!A$2</f>
        <v>585100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IFERROR(VLOOKUP(B47,input_585100!L:R,7,FALSE),VLOOKUP(tables_585100!C47,input_585100!A:H,8,FALSE))</f>
        <v>20020</v>
      </c>
      <c r="P47" s="46">
        <f t="shared" ca="1" si="3"/>
        <v>9.4791666665050914E-4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input_585100!A$2</f>
        <v>585100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IFERROR(VLOOKUP(B48,input_585100!L:R,7,FALSE),VLOOKUP(tables_585100!C48,input_585100!A:H,8,FALSE))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input_585100!A$2</f>
        <v>585100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IFERROR(VLOOKUP(B49,input_585100!L:R,7,FALSE),VLOOKUP(tables_585100!C49,input_585100!A:H,8,FALSE))</f>
        <v>180180</v>
      </c>
      <c r="P49" s="46">
        <f t="shared" ca="1" si="3"/>
        <v>8.5312499998545822E-3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input_585100!A$2</f>
        <v>585100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IFERROR(VLOOKUP(B50,input_585100!L:R,7,FALSE),VLOOKUP(tables_585100!C50,input_585100!A:H,8,FALSE))</f>
        <v>20020</v>
      </c>
      <c r="P50" s="46">
        <f t="shared" ca="1" si="3"/>
        <v>9.4791666665050914E-4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input_585100!A$2</f>
        <v>585100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IFERROR(VLOOKUP(B51,input_585100!L:R,7,FALSE),VLOOKUP(tables_585100!C51,input_585100!A:H,8,FALSE))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input_585100!A$2</f>
        <v>585100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IFERROR(VLOOKUP(B52,input_585100!L:R,7,FALSE),VLOOKUP(tables_585100!C52,input_585100!A:H,8,FALSE))</f>
        <v>180180</v>
      </c>
      <c r="P52" s="46">
        <f t="shared" ca="1" si="3"/>
        <v>8.5312499998545822E-3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input_585100!A$2</f>
        <v>585100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IFERROR(VLOOKUP(B53,input_585100!L:R,7,FALSE),VLOOKUP(tables_585100!C53,input_585100!A:H,8,FALSE))</f>
        <v>9265.3846200000007</v>
      </c>
      <c r="P53" s="46">
        <f t="shared" ca="1" si="3"/>
        <v>4.3870192328797678E-4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input_585100!A$2</f>
        <v>585100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IFERROR(VLOOKUP(B54,input_585100!L:R,7,FALSE),VLOOKUP(tables_585100!C54,input_585100!A:H,8,FALSE))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input_585100!A$2</f>
        <v>585100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IFERROR(VLOOKUP(B55,input_585100!L:R,7,FALSE),VLOOKUP(tables_585100!C55,input_585100!A:H,8,FALSE))</f>
        <v>180180</v>
      </c>
      <c r="P55" s="46">
        <f t="shared" ca="1" si="3"/>
        <v>8.5312499998545822E-3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input_585100!A$2</f>
        <v>585100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IFERROR(VLOOKUP(B56,input_585100!L:R,7,FALSE),VLOOKUP(tables_585100!C56,input_585100!A:H,8,FALSE))</f>
        <v>9265.3846200000007</v>
      </c>
      <c r="P56" s="46">
        <f t="shared" ca="1" si="3"/>
        <v>4.3870192328797678E-4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input_585100!A$2</f>
        <v>585100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IFERROR(VLOOKUP(B57,input_585100!L:R,7,FALSE),VLOOKUP(tables_585100!C57,input_585100!A:H,8,FALSE))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input_585100!A$2</f>
        <v>585100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IFERROR(VLOOKUP(B58,input_585100!L:R,7,FALSE),VLOOKUP(tables_585100!C58,input_585100!A:H,8,FALSE))</f>
        <v>180180</v>
      </c>
      <c r="P58" s="46">
        <f t="shared" ca="1" si="3"/>
        <v>8.5312499998545822E-3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input_585100!A$2</f>
        <v>585100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IFERROR(VLOOKUP(B59,input_585100!L:R,7,FALSE),VLOOKUP(tables_585100!C59,input_585100!A:H,8,FALSE))</f>
        <v>9265.3846200000007</v>
      </c>
      <c r="P59" s="46">
        <f t="shared" ca="1" si="3"/>
        <v>4.3870192328797678E-4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input_585100!A$2</f>
        <v>585100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IFERROR(VLOOKUP(B60,input_585100!L:R,7,FALSE),VLOOKUP(tables_585100!C60,input_585100!A:H,8,FALSE))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input_585100!A$2</f>
        <v>585100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IFERROR(VLOOKUP(B61,input_585100!L:R,7,FALSE),VLOOKUP(tables_585100!C61,input_585100!A:H,8,FALSE))</f>
        <v>180180</v>
      </c>
      <c r="P61" s="46">
        <f t="shared" ca="1" si="3"/>
        <v>8.5312499998545822E-3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input_585100!A$2</f>
        <v>585100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IFERROR(VLOOKUP(B62,input_585100!L:R,7,FALSE),VLOOKUP(tables_585100!C62,input_585100!A:H,8,FALSE))</f>
        <v>9265.3846200000007</v>
      </c>
      <c r="P62" s="46">
        <f t="shared" ca="1" si="3"/>
        <v>4.3870192328797678E-4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input_585100!A$2</f>
        <v>585100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IFERROR(VLOOKUP(B63,input_585100!L:R,7,FALSE),VLOOKUP(tables_585100!C63,input_585100!A:H,8,FALSE))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input_585100!A$2</f>
        <v>585100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IFERROR(VLOOKUP(B64,input_585100!L:R,7,FALSE),VLOOKUP(tables_585100!C64,input_585100!A:H,8,FALSE))</f>
        <v>180180</v>
      </c>
      <c r="P64" s="46">
        <f t="shared" ca="1" si="3"/>
        <v>8.5312499998545822E-3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input_585100!A$2</f>
        <v>585100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IFERROR(VLOOKUP(B65,input_585100!L:R,7,FALSE),VLOOKUP(tables_585100!C65,input_585100!A:H,8,FALSE))</f>
        <v>9265.3846200000007</v>
      </c>
      <c r="P65" s="46">
        <f t="shared" ca="1" si="3"/>
        <v>4.3870192328797678E-4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input_585100!A$2</f>
        <v>585100</v>
      </c>
      <c r="B66" s="6">
        <v>190</v>
      </c>
      <c r="C66" s="7" t="str">
        <f t="shared" ref="C66:C6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IFERROR(VLOOKUP(B66,input_585100!L:R,7,FALSE),VLOOKUP(tables_585100!C66,input_585100!A:H,8,FALSE))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input_585100!A$2</f>
        <v>585100</v>
      </c>
      <c r="B67" s="6">
        <v>191</v>
      </c>
      <c r="C67" s="7" t="str">
        <f t="shared" si="4"/>
        <v>Premium4</v>
      </c>
      <c r="D67" s="7" t="str">
        <f t="shared" ref="D67:D69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IFERROR(VLOOKUP(B67,input_585100!L:R,7,FALSE),VLOOKUP(tables_585100!C67,input_585100!A:H,8,FALSE))</f>
        <v>180180</v>
      </c>
      <c r="P67" s="46">
        <f t="shared" ca="1" si="5"/>
        <v>8.5312499998545822E-3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input_585100!A$2</f>
        <v>585100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IFERROR(VLOOKUP(B68,input_585100!L:R,7,FALSE),VLOOKUP(tables_585100!C68,input_585100!A:H,8,FALSE))</f>
        <v>9265.3846200000007</v>
      </c>
      <c r="P68" s="46">
        <f t="shared" ca="1" si="5"/>
        <v>4.3870192328797678E-4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input_585100!A$2</f>
        <v>585100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IFERROR(VLOOKUP(B69,input_585100!L:R,7,FALSE),VLOOKUP(tables_585100!C69,input_585100!A:H,8,FALSE))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input_585100!A$2</f>
        <v>585100</v>
      </c>
      <c r="B70" s="6">
        <v>194</v>
      </c>
      <c r="C70" s="7" t="str">
        <f t="shared" ref="C70:C73" si="7">D70&amp;J70&amp;E70&amp;F70&amp;G70</f>
        <v>Premium4</v>
      </c>
      <c r="D70" s="7" t="str">
        <f t="shared" ref="D70:D73" si="8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IFERROR(VLOOKUP(B70,input_585100!L:R,7,FALSE),VLOOKUP(tables_585100!C70,input_585100!A:H,8,FALSE))</f>
        <v>180180</v>
      </c>
      <c r="P70" s="46">
        <f t="shared" ca="1" si="5"/>
        <v>8.5312499998545822E-3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input_585100!A$2</f>
        <v>585100</v>
      </c>
      <c r="B71" s="6">
        <v>195</v>
      </c>
      <c r="C71" s="7" t="str">
        <f t="shared" si="7"/>
        <v>Premium5</v>
      </c>
      <c r="D71" s="7" t="str">
        <f t="shared" si="8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IFERROR(VLOOKUP(B71,input_585100!L:R,7,FALSE),VLOOKUP(tables_585100!C71,input_585100!A:H,8,FALSE))</f>
        <v>9265.3846200000007</v>
      </c>
      <c r="P71" s="46">
        <f t="shared" ca="1" si="5"/>
        <v>4.3870192328797678E-4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input_585100!A$2</f>
        <v>585100</v>
      </c>
      <c r="B72" s="6">
        <v>196</v>
      </c>
      <c r="C72" s="7" t="str">
        <f t="shared" si="7"/>
        <v>Premium3</v>
      </c>
      <c r="D72" s="7" t="str">
        <f t="shared" si="8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IFERROR(VLOOKUP(B72,input_585100!L:R,7,FALSE),VLOOKUP(tables_585100!C72,input_585100!A:H,8,FALSE))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input_585100!A$2</f>
        <v>585100</v>
      </c>
      <c r="B73" s="8">
        <v>197</v>
      </c>
      <c r="C73" s="7" t="str">
        <f t="shared" si="7"/>
        <v>Premium4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IFERROR(VLOOKUP(B73,input_585100!L:R,7,FALSE),VLOOKUP(tables_585100!C73,input_585100!A:H,8,FALSE))</f>
        <v>180180</v>
      </c>
      <c r="P73" s="46">
        <f t="shared" ca="1" si="5"/>
        <v>8.5312499998545822E-3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input_585100!A$2</f>
        <v>585100</v>
      </c>
      <c r="B74" s="5">
        <v>198</v>
      </c>
      <c r="C74" s="7" t="str">
        <f t="shared" ref="C74:C137" si="9">D74&amp;J74&amp;E74&amp;F74&amp;G74</f>
        <v>Premium5</v>
      </c>
      <c r="D74" s="7" t="str">
        <f t="shared" ref="D74:D137" si="10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IFERROR(VLOOKUP(B74,input_585100!L:R,7,FALSE),VLOOKUP(tables_585100!C74,input_585100!A:H,8,FALSE))</f>
        <v>9265.3846200000007</v>
      </c>
      <c r="P74" s="46">
        <f t="shared" ca="1" si="5"/>
        <v>4.3870192328797678E-4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input_585100!A$2</f>
        <v>585100</v>
      </c>
      <c r="B75" s="5">
        <v>199</v>
      </c>
      <c r="C75" s="7" t="str">
        <f t="shared" si="9"/>
        <v>Premium3</v>
      </c>
      <c r="D75" s="7" t="str">
        <f t="shared" si="10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IFERROR(VLOOKUP(B75,input_585100!L:R,7,FALSE),VLOOKUP(tables_585100!C75,input_585100!A:H,8,FALSE))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input_585100!A$2</f>
        <v>585100</v>
      </c>
      <c r="B76" s="5">
        <v>200</v>
      </c>
      <c r="C76" s="7" t="str">
        <f t="shared" si="9"/>
        <v>Premium4</v>
      </c>
      <c r="D76" s="7" t="str">
        <f t="shared" si="10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IFERROR(VLOOKUP(B76,input_585100!L:R,7,FALSE),VLOOKUP(tables_585100!C76,input_585100!A:H,8,FALSE))</f>
        <v>180180</v>
      </c>
      <c r="P76" s="46">
        <f t="shared" ca="1" si="5"/>
        <v>8.5312499998545822E-3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input_585100!A$2</f>
        <v>585100</v>
      </c>
      <c r="B77" s="5">
        <v>201</v>
      </c>
      <c r="C77" s="7" t="str">
        <f t="shared" si="9"/>
        <v>Premium5</v>
      </c>
      <c r="D77" s="7" t="str">
        <f t="shared" si="10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IFERROR(VLOOKUP(B77,input_585100!L:R,7,FALSE),VLOOKUP(tables_585100!C77,input_585100!A:H,8,FALSE))</f>
        <v>9265.3846200000007</v>
      </c>
      <c r="P77" s="46">
        <f t="shared" ca="1" si="5"/>
        <v>4.3870192328797678E-4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input_585100!A$2</f>
        <v>585100</v>
      </c>
      <c r="B78" s="5">
        <v>202</v>
      </c>
      <c r="C78" s="7" t="str">
        <f t="shared" si="9"/>
        <v>Premium3</v>
      </c>
      <c r="D78" s="7" t="str">
        <f t="shared" si="10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IFERROR(VLOOKUP(B78,input_585100!L:R,7,FALSE),VLOOKUP(tables_585100!C78,input_585100!A:H,8,FALSE))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input_585100!A$2</f>
        <v>585100</v>
      </c>
      <c r="B79" s="5">
        <v>203</v>
      </c>
      <c r="C79" s="7" t="str">
        <f t="shared" si="9"/>
        <v>Premium4</v>
      </c>
      <c r="D79" s="7" t="str">
        <f t="shared" si="10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IFERROR(VLOOKUP(B79,input_585100!L:R,7,FALSE),VLOOKUP(tables_585100!C79,input_585100!A:H,8,FALSE))</f>
        <v>180180</v>
      </c>
      <c r="P79" s="46">
        <f t="shared" ca="1" si="5"/>
        <v>8.5312499998545822E-3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input_585100!A$2</f>
        <v>585100</v>
      </c>
      <c r="B80" s="5">
        <v>204</v>
      </c>
      <c r="C80" s="7" t="str">
        <f t="shared" si="9"/>
        <v>Premium5</v>
      </c>
      <c r="D80" s="7" t="str">
        <f t="shared" si="10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IFERROR(VLOOKUP(B80,input_585100!L:R,7,FALSE),VLOOKUP(tables_585100!C80,input_585100!A:H,8,FALSE))</f>
        <v>9265.3846200000007</v>
      </c>
      <c r="P80" s="46">
        <f t="shared" ca="1" si="5"/>
        <v>4.3870192328797678E-4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input_585100!A$2</f>
        <v>585100</v>
      </c>
      <c r="B81" s="5">
        <v>205</v>
      </c>
      <c r="C81" s="7" t="str">
        <f t="shared" si="9"/>
        <v>Premium3</v>
      </c>
      <c r="D81" s="7" t="str">
        <f t="shared" si="10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IFERROR(VLOOKUP(B81,input_585100!L:R,7,FALSE),VLOOKUP(tables_585100!C81,input_585100!A:H,8,FALSE))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input_585100!A$2</f>
        <v>585100</v>
      </c>
      <c r="B82" s="5">
        <v>206</v>
      </c>
      <c r="C82" s="7" t="str">
        <f t="shared" si="9"/>
        <v>Premium4</v>
      </c>
      <c r="D82" s="7" t="str">
        <f t="shared" si="10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IFERROR(VLOOKUP(B82,input_585100!L:R,7,FALSE),VLOOKUP(tables_585100!C82,input_585100!A:H,8,FALSE))</f>
        <v>180180</v>
      </c>
      <c r="P82" s="46">
        <f t="shared" ca="1" si="5"/>
        <v>8.5312499998545822E-3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input_585100!A$2</f>
        <v>585100</v>
      </c>
      <c r="B83" s="5">
        <v>207</v>
      </c>
      <c r="C83" s="7" t="str">
        <f t="shared" si="9"/>
        <v>Premium5</v>
      </c>
      <c r="D83" s="7" t="str">
        <f t="shared" si="10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IFERROR(VLOOKUP(B83,input_585100!L:R,7,FALSE),VLOOKUP(tables_585100!C83,input_585100!A:H,8,FALSE))</f>
        <v>9265.3846200000007</v>
      </c>
      <c r="P83" s="46">
        <f t="shared" ca="1" si="5"/>
        <v>4.3870192328797678E-4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input_585100!A$2</f>
        <v>585100</v>
      </c>
      <c r="B84" s="5">
        <v>208</v>
      </c>
      <c r="C84" s="7" t="str">
        <f t="shared" si="9"/>
        <v>Premium3</v>
      </c>
      <c r="D84" s="7" t="str">
        <f t="shared" si="10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IFERROR(VLOOKUP(B84,input_585100!L:R,7,FALSE),VLOOKUP(tables_585100!C84,input_585100!A:H,8,FALSE))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input_585100!A$2</f>
        <v>585100</v>
      </c>
      <c r="B85" s="5">
        <v>209</v>
      </c>
      <c r="C85" s="7" t="str">
        <f t="shared" si="9"/>
        <v>Premium4</v>
      </c>
      <c r="D85" s="7" t="str">
        <f t="shared" si="10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IFERROR(VLOOKUP(B85,input_585100!L:R,7,FALSE),VLOOKUP(tables_585100!C85,input_585100!A:H,8,FALSE))</f>
        <v>180180</v>
      </c>
      <c r="P85" s="46">
        <f t="shared" ca="1" si="5"/>
        <v>8.5312499998545822E-3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input_585100!A$2</f>
        <v>585100</v>
      </c>
      <c r="B86" s="5">
        <v>210</v>
      </c>
      <c r="C86" s="7" t="str">
        <f t="shared" si="9"/>
        <v>Premium5</v>
      </c>
      <c r="D86" s="7" t="str">
        <f t="shared" si="10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IFERROR(VLOOKUP(B86,input_585100!L:R,7,FALSE),VLOOKUP(tables_585100!C86,input_585100!A:H,8,FALSE))</f>
        <v>9265.3846200000007</v>
      </c>
      <c r="P86" s="46">
        <f t="shared" ca="1" si="5"/>
        <v>4.3870192328797678E-4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input_585100!A$2</f>
        <v>585100</v>
      </c>
      <c r="B87" s="5">
        <v>211</v>
      </c>
      <c r="C87" s="7" t="str">
        <f t="shared" si="9"/>
        <v>Premium3</v>
      </c>
      <c r="D87" s="7" t="str">
        <f t="shared" si="10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IFERROR(VLOOKUP(B87,input_585100!L:R,7,FALSE),VLOOKUP(tables_585100!C87,input_585100!A:H,8,FALSE))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input_585100!A$2</f>
        <v>585100</v>
      </c>
      <c r="B88" s="5">
        <v>212</v>
      </c>
      <c r="C88" s="7" t="str">
        <f t="shared" si="9"/>
        <v>Premium4</v>
      </c>
      <c r="D88" s="7" t="str">
        <f t="shared" si="10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IFERROR(VLOOKUP(B88,input_585100!L:R,7,FALSE),VLOOKUP(tables_585100!C88,input_585100!A:H,8,FALSE))</f>
        <v>180180</v>
      </c>
      <c r="P88" s="46">
        <f t="shared" ca="1" si="5"/>
        <v>8.5312499998545822E-3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input_585100!A$2</f>
        <v>585100</v>
      </c>
      <c r="B89" s="5">
        <v>213</v>
      </c>
      <c r="C89" s="7" t="str">
        <f t="shared" si="9"/>
        <v>Premium5</v>
      </c>
      <c r="D89" s="7" t="str">
        <f t="shared" si="10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IFERROR(VLOOKUP(B89,input_585100!L:R,7,FALSE),VLOOKUP(tables_585100!C89,input_585100!A:H,8,FALSE))</f>
        <v>9265.3846200000007</v>
      </c>
      <c r="P89" s="46">
        <f t="shared" ca="1" si="5"/>
        <v>4.3870192328797678E-4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input_585100!A$2</f>
        <v>585100</v>
      </c>
      <c r="B90" s="5">
        <v>214</v>
      </c>
      <c r="C90" s="7" t="str">
        <f t="shared" si="9"/>
        <v>Premium3</v>
      </c>
      <c r="D90" s="7" t="str">
        <f t="shared" si="10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IFERROR(VLOOKUP(B90,input_585100!L:R,7,FALSE),VLOOKUP(tables_585100!C90,input_585100!A:H,8,FALSE))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input_585100!A$2</f>
        <v>585100</v>
      </c>
      <c r="B91" s="5">
        <v>215</v>
      </c>
      <c r="C91" s="7" t="str">
        <f t="shared" si="9"/>
        <v>Premium4</v>
      </c>
      <c r="D91" s="7" t="str">
        <f t="shared" si="10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IFERROR(VLOOKUP(B91,input_585100!L:R,7,FALSE),VLOOKUP(tables_585100!C91,input_585100!A:H,8,FALSE))</f>
        <v>180180</v>
      </c>
      <c r="P91" s="46">
        <f t="shared" ca="1" si="5"/>
        <v>8.5312499998545822E-3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input_585100!A$2</f>
        <v>585100</v>
      </c>
      <c r="B92" s="5">
        <v>216</v>
      </c>
      <c r="C92" s="7" t="str">
        <f t="shared" si="9"/>
        <v>Premium5</v>
      </c>
      <c r="D92" s="7" t="str">
        <f t="shared" si="10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IFERROR(VLOOKUP(B92,input_585100!L:R,7,FALSE),VLOOKUP(tables_585100!C92,input_585100!A:H,8,FALSE))</f>
        <v>9265.3846200000007</v>
      </c>
      <c r="P92" s="46">
        <f t="shared" ca="1" si="5"/>
        <v>4.3870192328797678E-4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input_585100!A$2</f>
        <v>585100</v>
      </c>
      <c r="B93" s="5">
        <v>217</v>
      </c>
      <c r="C93" s="7" t="str">
        <f t="shared" si="9"/>
        <v>Premium3</v>
      </c>
      <c r="D93" s="7" t="str">
        <f t="shared" si="10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IFERROR(VLOOKUP(B93,input_585100!L:R,7,FALSE),VLOOKUP(tables_585100!C93,input_585100!A:H,8,FALSE))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input_585100!A$2</f>
        <v>585100</v>
      </c>
      <c r="B94" s="5">
        <v>218</v>
      </c>
      <c r="C94" s="7" t="str">
        <f t="shared" si="9"/>
        <v>Premium4</v>
      </c>
      <c r="D94" s="7" t="str">
        <f t="shared" si="10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IFERROR(VLOOKUP(B94,input_585100!L:R,7,FALSE),VLOOKUP(tables_585100!C94,input_585100!A:H,8,FALSE))</f>
        <v>180180</v>
      </c>
      <c r="P94" s="46">
        <f t="shared" ca="1" si="5"/>
        <v>8.5312499998545822E-3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input_585100!A$2</f>
        <v>585100</v>
      </c>
      <c r="B95" s="5">
        <v>219</v>
      </c>
      <c r="C95" s="7" t="str">
        <f t="shared" si="9"/>
        <v>Premium5</v>
      </c>
      <c r="D95" s="7" t="str">
        <f t="shared" si="10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IFERROR(VLOOKUP(B95,input_585100!L:R,7,FALSE),VLOOKUP(tables_585100!C95,input_585100!A:H,8,FALSE))</f>
        <v>9265.3846200000007</v>
      </c>
      <c r="P95" s="46">
        <f t="shared" ca="1" si="5"/>
        <v>4.3870192328797678E-4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input_585100!A$2</f>
        <v>585100</v>
      </c>
      <c r="B96" s="5">
        <v>220</v>
      </c>
      <c r="C96" s="7" t="str">
        <f t="shared" si="9"/>
        <v>Premium3</v>
      </c>
      <c r="D96" s="7" t="str">
        <f t="shared" si="10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IFERROR(VLOOKUP(B96,input_585100!L:R,7,FALSE),VLOOKUP(tables_585100!C96,input_585100!A:H,8,FALSE))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input_585100!A$2</f>
        <v>585100</v>
      </c>
      <c r="B97" s="5">
        <v>221</v>
      </c>
      <c r="C97" s="7" t="str">
        <f t="shared" si="9"/>
        <v>Premium4</v>
      </c>
      <c r="D97" s="7" t="str">
        <f t="shared" si="10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IFERROR(VLOOKUP(B97,input_585100!L:R,7,FALSE),VLOOKUP(tables_585100!C97,input_585100!A:H,8,FALSE))</f>
        <v>180180</v>
      </c>
      <c r="P97" s="46">
        <f t="shared" ca="1" si="5"/>
        <v>8.5312499998545822E-3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input_585100!A$2</f>
        <v>585100</v>
      </c>
      <c r="B98" s="5">
        <v>222</v>
      </c>
      <c r="C98" s="7" t="str">
        <f t="shared" si="9"/>
        <v>Premium5</v>
      </c>
      <c r="D98" s="7" t="str">
        <f t="shared" si="10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IFERROR(VLOOKUP(B98,input_585100!L:R,7,FALSE),VLOOKUP(tables_585100!C98,input_585100!A:H,8,FALSE))</f>
        <v>9265.3846200000007</v>
      </c>
      <c r="P98" s="46">
        <f t="shared" ca="1" si="5"/>
        <v>4.3870192328797678E-4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input_585100!A$2</f>
        <v>585100</v>
      </c>
      <c r="B99" s="5">
        <v>223</v>
      </c>
      <c r="C99" s="7" t="str">
        <f t="shared" si="9"/>
        <v>Premium3</v>
      </c>
      <c r="D99" s="7" t="str">
        <f t="shared" si="10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IFERROR(VLOOKUP(B99,input_585100!L:R,7,FALSE),VLOOKUP(tables_585100!C99,input_585100!A:H,8,FALSE))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input_585100!A$2</f>
        <v>585100</v>
      </c>
      <c r="B100" s="5">
        <v>224</v>
      </c>
      <c r="C100" s="7" t="str">
        <f t="shared" si="9"/>
        <v>Premium4</v>
      </c>
      <c r="D100" s="7" t="str">
        <f t="shared" si="10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IFERROR(VLOOKUP(B100,input_585100!L:R,7,FALSE),VLOOKUP(tables_585100!C100,input_585100!A:H,8,FALSE))</f>
        <v>180180</v>
      </c>
      <c r="P100" s="46">
        <f t="shared" ca="1" si="5"/>
        <v>8.5312499998545822E-3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input_585100!A$2</f>
        <v>585100</v>
      </c>
      <c r="B101" s="5">
        <v>225</v>
      </c>
      <c r="C101" s="7" t="str">
        <f t="shared" si="9"/>
        <v>Premium5</v>
      </c>
      <c r="D101" s="7" t="str">
        <f t="shared" si="10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IFERROR(VLOOKUP(B101,input_585100!L:R,7,FALSE),VLOOKUP(tables_585100!C101,input_585100!A:H,8,FALSE))</f>
        <v>9265.3846200000007</v>
      </c>
      <c r="P101" s="46">
        <f t="shared" ca="1" si="5"/>
        <v>4.3870192328797678E-4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input_585100!A$2</f>
        <v>585100</v>
      </c>
      <c r="B102" s="5">
        <v>226</v>
      </c>
      <c r="C102" s="7" t="str">
        <f t="shared" si="9"/>
        <v>Premium3</v>
      </c>
      <c r="D102" s="7" t="str">
        <f t="shared" si="10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IFERROR(VLOOKUP(B102,input_585100!L:R,7,FALSE),VLOOKUP(tables_585100!C102,input_585100!A:H,8,FALSE))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input_585100!A$2</f>
        <v>585100</v>
      </c>
      <c r="B103" s="5">
        <v>227</v>
      </c>
      <c r="C103" s="7" t="str">
        <f t="shared" si="9"/>
        <v>Premium4</v>
      </c>
      <c r="D103" s="7" t="str">
        <f t="shared" si="10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IFERROR(VLOOKUP(B103,input_585100!L:R,7,FALSE),VLOOKUP(tables_585100!C103,input_585100!A:H,8,FALSE))</f>
        <v>180180</v>
      </c>
      <c r="P103" s="46">
        <f t="shared" ca="1" si="5"/>
        <v>8.5312499998545822E-3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input_585100!A$2</f>
        <v>585100</v>
      </c>
      <c r="B104" s="5">
        <v>228</v>
      </c>
      <c r="C104" s="7" t="str">
        <f t="shared" si="9"/>
        <v>Premium5</v>
      </c>
      <c r="D104" s="7" t="str">
        <f t="shared" si="10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IFERROR(VLOOKUP(B104,input_585100!L:R,7,FALSE),VLOOKUP(tables_585100!C104,input_585100!A:H,8,FALSE))</f>
        <v>9265.3846200000007</v>
      </c>
      <c r="P104" s="46">
        <f t="shared" ca="1" si="5"/>
        <v>4.3870192328797678E-4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input_585100!A$2</f>
        <v>585100</v>
      </c>
      <c r="B105" s="5">
        <v>229</v>
      </c>
      <c r="C105" s="7" t="str">
        <f t="shared" si="9"/>
        <v>Premium3</v>
      </c>
      <c r="D105" s="7" t="str">
        <f t="shared" si="10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IFERROR(VLOOKUP(B105,input_585100!L:R,7,FALSE),VLOOKUP(tables_585100!C105,input_585100!A:H,8,FALSE))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input_585100!A$2</f>
        <v>585100</v>
      </c>
      <c r="B106" s="5">
        <v>230</v>
      </c>
      <c r="C106" s="7" t="str">
        <f t="shared" si="9"/>
        <v>Premium4</v>
      </c>
      <c r="D106" s="7" t="str">
        <f t="shared" si="10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IFERROR(VLOOKUP(B106,input_585100!L:R,7,FALSE),VLOOKUP(tables_585100!C106,input_585100!A:H,8,FALSE))</f>
        <v>180180</v>
      </c>
      <c r="P106" s="46">
        <f t="shared" ca="1" si="5"/>
        <v>8.5312499998545822E-3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input_585100!A$2</f>
        <v>585100</v>
      </c>
      <c r="B107" s="5">
        <v>231</v>
      </c>
      <c r="C107" s="7" t="str">
        <f t="shared" si="9"/>
        <v>Premium5</v>
      </c>
      <c r="D107" s="7" t="str">
        <f t="shared" si="10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IFERROR(VLOOKUP(B107,input_585100!L:R,7,FALSE),VLOOKUP(tables_585100!C107,input_585100!A:H,8,FALSE))</f>
        <v>9265.3846200000007</v>
      </c>
      <c r="P107" s="46">
        <f t="shared" ca="1" si="5"/>
        <v>4.3870192328797678E-4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input_585100!A$2</f>
        <v>585100</v>
      </c>
      <c r="B108" s="5">
        <v>232</v>
      </c>
      <c r="C108" s="7" t="str">
        <f t="shared" si="9"/>
        <v>Premium3</v>
      </c>
      <c r="D108" s="7" t="str">
        <f t="shared" si="10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IFERROR(VLOOKUP(B108,input_585100!L:R,7,FALSE),VLOOKUP(tables_585100!C108,input_585100!A:H,8,FALSE))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input_585100!A$2</f>
        <v>585100</v>
      </c>
      <c r="B109" s="5">
        <v>233</v>
      </c>
      <c r="C109" s="7" t="str">
        <f t="shared" si="9"/>
        <v>Premium4</v>
      </c>
      <c r="D109" s="7" t="str">
        <f t="shared" si="10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IFERROR(VLOOKUP(B109,input_585100!L:R,7,FALSE),VLOOKUP(tables_585100!C109,input_585100!A:H,8,FALSE))</f>
        <v>180180</v>
      </c>
      <c r="P109" s="46">
        <f t="shared" ca="1" si="5"/>
        <v>8.5312499998545822E-3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input_585100!A$2</f>
        <v>585100</v>
      </c>
      <c r="B110" s="5">
        <v>234</v>
      </c>
      <c r="C110" s="7" t="str">
        <f t="shared" si="9"/>
        <v>Premium5</v>
      </c>
      <c r="D110" s="7" t="str">
        <f t="shared" si="10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IFERROR(VLOOKUP(B110,input_585100!L:R,7,FALSE),VLOOKUP(tables_585100!C110,input_585100!A:H,8,FALSE))</f>
        <v>9265.3846200000007</v>
      </c>
      <c r="P110" s="46">
        <f t="shared" ca="1" si="5"/>
        <v>4.3870192328797678E-4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input_585100!A$2</f>
        <v>585100</v>
      </c>
      <c r="B111" s="5">
        <v>235</v>
      </c>
      <c r="C111" s="7" t="str">
        <f t="shared" si="9"/>
        <v>Premium3R6release</v>
      </c>
      <c r="D111" s="7" t="str">
        <f t="shared" si="10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IFERROR(VLOOKUP(B111,input_585100!L:R,7,FALSE),VLOOKUP(tables_585100!C111,input_585100!A:H,8,FALSE))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input_585100!A$2</f>
        <v>585100</v>
      </c>
      <c r="B112" s="5">
        <v>236</v>
      </c>
      <c r="C112" s="7" t="str">
        <f t="shared" si="9"/>
        <v>Premium4R6release</v>
      </c>
      <c r="D112" s="7" t="str">
        <f t="shared" si="10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IFERROR(VLOOKUP(B112,input_585100!L:R,7,FALSE),VLOOKUP(tables_585100!C112,input_585100!A:H,8,FALSE))</f>
        <v>180180</v>
      </c>
      <c r="P112" s="46">
        <f t="shared" ca="1" si="5"/>
        <v>8.5312499998545822E-3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input_585100!A$2</f>
        <v>585100</v>
      </c>
      <c r="B113" s="5">
        <v>237</v>
      </c>
      <c r="C113" s="7" t="str">
        <f t="shared" si="9"/>
        <v>Premium5R6release</v>
      </c>
      <c r="D113" s="7" t="str">
        <f t="shared" si="10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IFERROR(VLOOKUP(B113,input_585100!L:R,7,FALSE),VLOOKUP(tables_585100!C113,input_585100!A:H,8,FALSE))</f>
        <v>20020</v>
      </c>
      <c r="P113" s="46">
        <f t="shared" ca="1" si="5"/>
        <v>9.4791666665050914E-4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input_585100!A$2</f>
        <v>585100</v>
      </c>
      <c r="B114" s="5">
        <v>238</v>
      </c>
      <c r="C114" s="7" t="str">
        <f t="shared" si="9"/>
        <v>Premium3</v>
      </c>
      <c r="D114" s="7" t="str">
        <f t="shared" si="10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IFERROR(VLOOKUP(B114,input_585100!L:R,7,FALSE),VLOOKUP(tables_585100!C114,input_585100!A:H,8,FALSE))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input_585100!A$2</f>
        <v>585100</v>
      </c>
      <c r="B115" s="5">
        <v>239</v>
      </c>
      <c r="C115" s="7" t="str">
        <f t="shared" si="9"/>
        <v>Premium4</v>
      </c>
      <c r="D115" s="7" t="str">
        <f t="shared" si="10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IFERROR(VLOOKUP(B115,input_585100!L:R,7,FALSE),VLOOKUP(tables_585100!C115,input_585100!A:H,8,FALSE))</f>
        <v>180180</v>
      </c>
      <c r="P115" s="46">
        <f t="shared" ca="1" si="5"/>
        <v>8.5312499998545822E-3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input_585100!A$2</f>
        <v>585100</v>
      </c>
      <c r="B116" s="5">
        <v>240</v>
      </c>
      <c r="C116" s="7" t="str">
        <f t="shared" si="9"/>
        <v>Premium5</v>
      </c>
      <c r="D116" s="7" t="str">
        <f t="shared" si="10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IFERROR(VLOOKUP(B116,input_585100!L:R,7,FALSE),VLOOKUP(tables_585100!C116,input_585100!A:H,8,FALSE))</f>
        <v>9265.3846200000007</v>
      </c>
      <c r="P116" s="46">
        <f t="shared" ca="1" si="5"/>
        <v>4.3870192328797678E-4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input_585100!A$2</f>
        <v>585100</v>
      </c>
      <c r="B117" s="5">
        <v>241</v>
      </c>
      <c r="C117" s="7" t="str">
        <f t="shared" si="9"/>
        <v>Premium3</v>
      </c>
      <c r="D117" s="7" t="str">
        <f t="shared" si="10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IFERROR(VLOOKUP(B117,input_585100!L:R,7,FALSE),VLOOKUP(tables_585100!C117,input_585100!A:H,8,FALSE))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input_585100!A$2</f>
        <v>585100</v>
      </c>
      <c r="B118" s="5">
        <v>242</v>
      </c>
      <c r="C118" s="7" t="str">
        <f t="shared" si="9"/>
        <v>Premium4</v>
      </c>
      <c r="D118" s="7" t="str">
        <f t="shared" si="10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IFERROR(VLOOKUP(B118,input_585100!L:R,7,FALSE),VLOOKUP(tables_585100!C118,input_585100!A:H,8,FALSE))</f>
        <v>180180</v>
      </c>
      <c r="P118" s="46">
        <f t="shared" ca="1" si="5"/>
        <v>8.5312499998545822E-3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input_585100!A$2</f>
        <v>585100</v>
      </c>
      <c r="B119" s="5">
        <v>243</v>
      </c>
      <c r="C119" s="7" t="str">
        <f t="shared" si="9"/>
        <v>Premium5</v>
      </c>
      <c r="D119" s="7" t="str">
        <f t="shared" si="10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IFERROR(VLOOKUP(B119,input_585100!L:R,7,FALSE),VLOOKUP(tables_585100!C119,input_585100!A:H,8,FALSE))</f>
        <v>9265.3846200000007</v>
      </c>
      <c r="P119" s="46">
        <f t="shared" ca="1" si="5"/>
        <v>4.3870192328797678E-4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input_585100!A$2</f>
        <v>585100</v>
      </c>
      <c r="B120" s="5">
        <v>244</v>
      </c>
      <c r="C120" s="7" t="str">
        <f t="shared" si="9"/>
        <v>Premium3</v>
      </c>
      <c r="D120" s="7" t="str">
        <f t="shared" si="10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IFERROR(VLOOKUP(B120,input_585100!L:R,7,FALSE),VLOOKUP(tables_585100!C120,input_585100!A:H,8,FALSE))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input_585100!A$2</f>
        <v>585100</v>
      </c>
      <c r="B121" s="5">
        <v>245</v>
      </c>
      <c r="C121" s="7" t="str">
        <f t="shared" si="9"/>
        <v>Premium4</v>
      </c>
      <c r="D121" s="7" t="str">
        <f t="shared" si="10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IFERROR(VLOOKUP(B121,input_585100!L:R,7,FALSE),VLOOKUP(tables_585100!C121,input_585100!A:H,8,FALSE))</f>
        <v>180180</v>
      </c>
      <c r="P121" s="46">
        <f t="shared" ca="1" si="5"/>
        <v>8.5312499998545822E-3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input_585100!A$2</f>
        <v>585100</v>
      </c>
      <c r="B122" s="5">
        <v>246</v>
      </c>
      <c r="C122" s="7" t="str">
        <f t="shared" si="9"/>
        <v>Premium5</v>
      </c>
      <c r="D122" s="7" t="str">
        <f t="shared" si="10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IFERROR(VLOOKUP(B122,input_585100!L:R,7,FALSE),VLOOKUP(tables_585100!C122,input_585100!A:H,8,FALSE))</f>
        <v>9265.3846200000007</v>
      </c>
      <c r="P122" s="46">
        <f t="shared" ca="1" si="5"/>
        <v>4.3870192328797678E-4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input_585100!A$2</f>
        <v>585100</v>
      </c>
      <c r="B123" s="5">
        <v>247</v>
      </c>
      <c r="C123" s="7" t="str">
        <f t="shared" si="9"/>
        <v>Premium3</v>
      </c>
      <c r="D123" s="7" t="str">
        <f t="shared" si="10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IFERROR(VLOOKUP(B123,input_585100!L:R,7,FALSE),VLOOKUP(tables_585100!C123,input_585100!A:H,8,FALSE))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input_585100!A$2</f>
        <v>585100</v>
      </c>
      <c r="B124" s="5">
        <v>248</v>
      </c>
      <c r="C124" s="7" t="str">
        <f t="shared" si="9"/>
        <v>Premium4</v>
      </c>
      <c r="D124" s="7" t="str">
        <f t="shared" si="10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IFERROR(VLOOKUP(B124,input_585100!L:R,7,FALSE),VLOOKUP(tables_585100!C124,input_585100!A:H,8,FALSE))</f>
        <v>180180</v>
      </c>
      <c r="P124" s="46">
        <f t="shared" ca="1" si="5"/>
        <v>8.5312499998545822E-3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input_585100!A$2</f>
        <v>585100</v>
      </c>
      <c r="B125" s="5">
        <v>249</v>
      </c>
      <c r="C125" s="7" t="str">
        <f t="shared" si="9"/>
        <v>Premium5</v>
      </c>
      <c r="D125" s="7" t="str">
        <f t="shared" si="10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IFERROR(VLOOKUP(B125,input_585100!L:R,7,FALSE),VLOOKUP(tables_585100!C125,input_585100!A:H,8,FALSE))</f>
        <v>9265.3846200000007</v>
      </c>
      <c r="P125" s="46">
        <f t="shared" ca="1" si="5"/>
        <v>4.3870192328797678E-4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input_585100!A$2</f>
        <v>585100</v>
      </c>
      <c r="B126" s="5">
        <v>250</v>
      </c>
      <c r="C126" s="7" t="str">
        <f t="shared" si="9"/>
        <v>Premium3</v>
      </c>
      <c r="D126" s="7" t="str">
        <f t="shared" si="10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IFERROR(VLOOKUP(B126,input_585100!L:R,7,FALSE),VLOOKUP(tables_585100!C126,input_585100!A:H,8,FALSE))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input_585100!A$2</f>
        <v>585100</v>
      </c>
      <c r="B127" s="5">
        <v>251</v>
      </c>
      <c r="C127" s="7" t="str">
        <f t="shared" si="9"/>
        <v>Premium4</v>
      </c>
      <c r="D127" s="7" t="str">
        <f t="shared" si="10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IFERROR(VLOOKUP(B127,input_585100!L:R,7,FALSE),VLOOKUP(tables_585100!C127,input_585100!A:H,8,FALSE))</f>
        <v>180180</v>
      </c>
      <c r="P127" s="46">
        <f t="shared" ca="1" si="5"/>
        <v>8.5312499998545822E-3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input_585100!A$2</f>
        <v>585100</v>
      </c>
      <c r="B128" s="5">
        <v>252</v>
      </c>
      <c r="C128" s="7" t="str">
        <f t="shared" si="9"/>
        <v>Premium5</v>
      </c>
      <c r="D128" s="7" t="str">
        <f t="shared" si="10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IFERROR(VLOOKUP(B128,input_585100!L:R,7,FALSE),VLOOKUP(tables_585100!C128,input_585100!A:H,8,FALSE))</f>
        <v>9265.3846200000007</v>
      </c>
      <c r="P128" s="46">
        <f t="shared" ca="1" si="5"/>
        <v>4.3870192328797678E-4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input_585100!A$2</f>
        <v>585100</v>
      </c>
      <c r="B129" s="5">
        <v>253</v>
      </c>
      <c r="C129" s="7" t="str">
        <f t="shared" si="9"/>
        <v>Premium3</v>
      </c>
      <c r="D129" s="7" t="str">
        <f t="shared" si="10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IFERROR(VLOOKUP(B129,input_585100!L:R,7,FALSE),VLOOKUP(tables_585100!C129,input_585100!A:H,8,FALSE))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input_585100!A$2</f>
        <v>585100</v>
      </c>
      <c r="B130" s="5">
        <v>254</v>
      </c>
      <c r="C130" s="7" t="str">
        <f t="shared" si="9"/>
        <v>Premium4</v>
      </c>
      <c r="D130" s="7" t="str">
        <f t="shared" si="10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IFERROR(VLOOKUP(B130,input_585100!L:R,7,FALSE),VLOOKUP(tables_585100!C130,input_585100!A:H,8,FALSE))</f>
        <v>180180</v>
      </c>
      <c r="P130" s="46">
        <f t="shared" ref="P130:P193" ca="1" si="11">O130/SUM(O:O)</f>
        <v>8.5312499998545822E-3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input_585100!A$2</f>
        <v>585100</v>
      </c>
      <c r="B131" s="5">
        <v>255</v>
      </c>
      <c r="C131" s="7" t="str">
        <f t="shared" si="9"/>
        <v>Premium5</v>
      </c>
      <c r="D131" s="7" t="str">
        <f t="shared" si="10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IFERROR(VLOOKUP(B131,input_585100!L:R,7,FALSE),VLOOKUP(tables_585100!C131,input_585100!A:H,8,FALSE))</f>
        <v>9265.3846200000007</v>
      </c>
      <c r="P131" s="46">
        <f t="shared" ca="1" si="11"/>
        <v>4.3870192328797678E-4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input_585100!A$2</f>
        <v>585100</v>
      </c>
      <c r="B132" s="5">
        <v>256</v>
      </c>
      <c r="C132" s="7" t="str">
        <f t="shared" si="9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IFERROR(VLOOKUP(B132,input_585100!L:R,7,FALSE),VLOOKUP(tables_585100!C132,input_585100!A:H,8,FALSE))</f>
        <v>0</v>
      </c>
      <c r="P132" s="46">
        <f t="shared" ca="1" si="11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input_585100!A$2</f>
        <v>585100</v>
      </c>
      <c r="B133" s="5">
        <v>257</v>
      </c>
      <c r="C133" s="7" t="str">
        <f t="shared" si="9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IFERROR(VLOOKUP(B133,input_585100!L:R,7,FALSE),VLOOKUP(tables_585100!C133,input_585100!A:H,8,FALSE))</f>
        <v>180180</v>
      </c>
      <c r="P133" s="46">
        <f t="shared" ca="1" si="11"/>
        <v>8.5312499998545822E-3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input_585100!A$2</f>
        <v>585100</v>
      </c>
      <c r="B134" s="5">
        <v>258</v>
      </c>
      <c r="C134" s="7" t="str">
        <f t="shared" si="9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IFERROR(VLOOKUP(B134,input_585100!L:R,7,FALSE),VLOOKUP(tables_585100!C134,input_585100!A:H,8,FALSE))</f>
        <v>9265.3846200000007</v>
      </c>
      <c r="P134" s="46">
        <f t="shared" ca="1" si="11"/>
        <v>4.3870192328797678E-4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input_585100!A$2</f>
        <v>585100</v>
      </c>
      <c r="B135" s="5">
        <v>259</v>
      </c>
      <c r="C135" s="7" t="str">
        <f t="shared" si="9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IFERROR(VLOOKUP(B135,input_585100!L:R,7,FALSE),VLOOKUP(tables_585100!C135,input_585100!A:H,8,FALSE))</f>
        <v>0</v>
      </c>
      <c r="P135" s="46">
        <f t="shared" ca="1" si="11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input_585100!A$2</f>
        <v>585100</v>
      </c>
      <c r="B136" s="5">
        <v>260</v>
      </c>
      <c r="C136" s="7" t="str">
        <f t="shared" si="9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IFERROR(VLOOKUP(B136,input_585100!L:R,7,FALSE),VLOOKUP(tables_585100!C136,input_585100!A:H,8,FALSE))</f>
        <v>180180</v>
      </c>
      <c r="P136" s="46">
        <f t="shared" ca="1" si="11"/>
        <v>8.5312499998545822E-3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input_585100!A$2</f>
        <v>585100</v>
      </c>
      <c r="B137" s="5">
        <v>261</v>
      </c>
      <c r="C137" s="7" t="str">
        <f t="shared" si="9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IFERROR(VLOOKUP(B137,input_585100!L:R,7,FALSE),VLOOKUP(tables_585100!C137,input_585100!A:H,8,FALSE))</f>
        <v>9265.3846200000007</v>
      </c>
      <c r="P137" s="46">
        <f t="shared" ca="1" si="11"/>
        <v>4.3870192328797678E-4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input_585100!A$2</f>
        <v>585100</v>
      </c>
      <c r="B138" s="5">
        <v>320</v>
      </c>
      <c r="C138" s="7" t="str">
        <f t="shared" ref="C138:C201" si="12">D138&amp;J138&amp;E138&amp;F138&amp;G138</f>
        <v>PremiumSS4</v>
      </c>
      <c r="D138" s="7" t="str">
        <f t="shared" ref="D138:D201" si="13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IFERROR(VLOOKUP(B138,input_585100!L:R,7,FALSE),VLOOKUP(tables_585100!C138,input_585100!A:H,8,FALSE))</f>
        <v>28285.71429</v>
      </c>
      <c r="P138" s="46">
        <f t="shared" ca="1" si="11"/>
        <v>1.3392857144658079E-3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input_585100!A$2</f>
        <v>585100</v>
      </c>
      <c r="B139" s="5">
        <v>321</v>
      </c>
      <c r="C139" s="7" t="str">
        <f t="shared" si="12"/>
        <v>PremiumSS5</v>
      </c>
      <c r="D139" s="7" t="str">
        <f t="shared" si="13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IFERROR(VLOOKUP(B139,input_585100!L:R,7,FALSE),VLOOKUP(tables_585100!C139,input_585100!A:H,8,FALSE))</f>
        <v>11000</v>
      </c>
      <c r="P139" s="46">
        <f t="shared" ca="1" si="11"/>
        <v>5.2083333332445555E-4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input_585100!A$2</f>
        <v>585100</v>
      </c>
      <c r="B140" s="5">
        <v>322</v>
      </c>
      <c r="C140" s="7" t="str">
        <f t="shared" si="12"/>
        <v>PremiumSS4</v>
      </c>
      <c r="D140" s="7" t="str">
        <f t="shared" si="13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IFERROR(VLOOKUP(B140,input_585100!L:R,7,FALSE),VLOOKUP(tables_585100!C140,input_585100!A:H,8,FALSE))</f>
        <v>28285.71429</v>
      </c>
      <c r="P140" s="46">
        <f t="shared" ca="1" si="11"/>
        <v>1.3392857144658079E-3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input_585100!A$2</f>
        <v>585100</v>
      </c>
      <c r="B141" s="5">
        <v>323</v>
      </c>
      <c r="C141" s="7" t="str">
        <f t="shared" si="12"/>
        <v>PremiumSS5</v>
      </c>
      <c r="D141" s="7" t="str">
        <f t="shared" si="13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IFERROR(VLOOKUP(B141,input_585100!L:R,7,FALSE),VLOOKUP(tables_585100!C141,input_585100!A:H,8,FALSE))</f>
        <v>11000</v>
      </c>
      <c r="P141" s="46">
        <f t="shared" ca="1" si="11"/>
        <v>5.2083333332445555E-4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input_585100!A$2</f>
        <v>585100</v>
      </c>
      <c r="B142" s="5">
        <v>324</v>
      </c>
      <c r="C142" s="7" t="str">
        <f t="shared" si="12"/>
        <v>PremiumSS4</v>
      </c>
      <c r="D142" s="7" t="str">
        <f t="shared" si="13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IFERROR(VLOOKUP(B142,input_585100!L:R,7,FALSE),VLOOKUP(tables_585100!C142,input_585100!A:H,8,FALSE))</f>
        <v>28285.71429</v>
      </c>
      <c r="P142" s="46">
        <f t="shared" ca="1" si="11"/>
        <v>1.3392857144658079E-3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input_585100!A$2</f>
        <v>585100</v>
      </c>
      <c r="B143" s="5">
        <v>325</v>
      </c>
      <c r="C143" s="7" t="str">
        <f t="shared" si="12"/>
        <v>PremiumSS5</v>
      </c>
      <c r="D143" s="7" t="str">
        <f t="shared" si="13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IFERROR(VLOOKUP(B143,input_585100!L:R,7,FALSE),VLOOKUP(tables_585100!C143,input_585100!A:H,8,FALSE))</f>
        <v>11000</v>
      </c>
      <c r="P143" s="46">
        <f t="shared" ca="1" si="11"/>
        <v>5.2083333332445555E-4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input_585100!A$2</f>
        <v>585100</v>
      </c>
      <c r="B144" s="5">
        <v>326</v>
      </c>
      <c r="C144" s="7" t="str">
        <f t="shared" si="12"/>
        <v>PremiumSS4</v>
      </c>
      <c r="D144" s="7" t="str">
        <f t="shared" si="13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IFERROR(VLOOKUP(B144,input_585100!L:R,7,FALSE),VLOOKUP(tables_585100!C144,input_585100!A:H,8,FALSE))</f>
        <v>28285.71429</v>
      </c>
      <c r="P144" s="46">
        <f t="shared" ca="1" si="11"/>
        <v>1.3392857144658079E-3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input_585100!A$2</f>
        <v>585100</v>
      </c>
      <c r="B145" s="5">
        <v>327</v>
      </c>
      <c r="C145" s="7" t="str">
        <f t="shared" si="12"/>
        <v>PremiumSS5</v>
      </c>
      <c r="D145" s="7" t="str">
        <f t="shared" si="13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IFERROR(VLOOKUP(B145,input_585100!L:R,7,FALSE),VLOOKUP(tables_585100!C145,input_585100!A:H,8,FALSE))</f>
        <v>11000</v>
      </c>
      <c r="P145" s="46">
        <f t="shared" ca="1" si="11"/>
        <v>5.2083333332445555E-4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input_585100!A$2</f>
        <v>585100</v>
      </c>
      <c r="B146" s="5">
        <v>380</v>
      </c>
      <c r="C146" s="7" t="str">
        <f t="shared" si="12"/>
        <v>Premium3</v>
      </c>
      <c r="D146" s="7" t="str">
        <f t="shared" si="13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IFERROR(VLOOKUP(B146,input_585100!L:R,7,FALSE),VLOOKUP(tables_585100!C146,input_585100!A:H,8,FALSE))</f>
        <v>0</v>
      </c>
      <c r="P146" s="46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input_585100!A$2</f>
        <v>585100</v>
      </c>
      <c r="B147" s="5">
        <v>381</v>
      </c>
      <c r="C147" s="7" t="str">
        <f t="shared" si="12"/>
        <v>Premium4</v>
      </c>
      <c r="D147" s="7" t="str">
        <f t="shared" si="13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IFERROR(VLOOKUP(B147,input_585100!L:R,7,FALSE),VLOOKUP(tables_585100!C147,input_585100!A:H,8,FALSE))</f>
        <v>180180</v>
      </c>
      <c r="P147" s="46">
        <f t="shared" ca="1" si="11"/>
        <v>8.5312499998545822E-3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input_585100!A$2</f>
        <v>585100</v>
      </c>
      <c r="B148" s="5">
        <v>382</v>
      </c>
      <c r="C148" s="7" t="str">
        <f t="shared" si="12"/>
        <v>Premium5</v>
      </c>
      <c r="D148" s="7" t="str">
        <f t="shared" si="13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IFERROR(VLOOKUP(B148,input_585100!L:R,7,FALSE),VLOOKUP(tables_585100!C148,input_585100!A:H,8,FALSE))</f>
        <v>9265.3846200000007</v>
      </c>
      <c r="P148" s="46">
        <f t="shared" ca="1" si="11"/>
        <v>4.3870192328797678E-4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input_585100!A$2</f>
        <v>585100</v>
      </c>
      <c r="B149" s="5">
        <v>383</v>
      </c>
      <c r="C149" s="7" t="str">
        <f t="shared" si="12"/>
        <v>PremiumSS4</v>
      </c>
      <c r="D149" s="7" t="str">
        <f t="shared" si="13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IFERROR(VLOOKUP(B149,input_585100!L:R,7,FALSE),VLOOKUP(tables_585100!C149,input_585100!A:H,8,FALSE))</f>
        <v>28285.71429</v>
      </c>
      <c r="P149" s="46">
        <f t="shared" ca="1" si="11"/>
        <v>1.3392857144658079E-3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input_585100!A$2</f>
        <v>585100</v>
      </c>
      <c r="B150" s="5">
        <v>384</v>
      </c>
      <c r="C150" s="7" t="str">
        <f t="shared" si="12"/>
        <v>PremiumSS5</v>
      </c>
      <c r="D150" s="7" t="str">
        <f t="shared" si="13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IFERROR(VLOOKUP(B150,input_585100!L:R,7,FALSE),VLOOKUP(tables_585100!C150,input_585100!A:H,8,FALSE))</f>
        <v>11000</v>
      </c>
      <c r="P150" s="46">
        <f t="shared" ca="1" si="11"/>
        <v>5.2083333332445555E-4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input_585100!A$2</f>
        <v>585100</v>
      </c>
      <c r="B151" s="5">
        <v>385</v>
      </c>
      <c r="C151" s="7" t="str">
        <f t="shared" si="12"/>
        <v>PremiumSS4</v>
      </c>
      <c r="D151" s="7" t="str">
        <f t="shared" si="13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IFERROR(VLOOKUP(B151,input_585100!L:R,7,FALSE),VLOOKUP(tables_585100!C151,input_585100!A:H,8,FALSE))</f>
        <v>28285.71429</v>
      </c>
      <c r="P151" s="46">
        <f t="shared" ca="1" si="11"/>
        <v>1.3392857144658079E-3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input_585100!A$2</f>
        <v>585100</v>
      </c>
      <c r="B152" s="5">
        <v>386</v>
      </c>
      <c r="C152" s="7" t="str">
        <f t="shared" si="12"/>
        <v>PremiumSS5</v>
      </c>
      <c r="D152" s="7" t="str">
        <f t="shared" si="13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IFERROR(VLOOKUP(B152,input_585100!L:R,7,FALSE),VLOOKUP(tables_585100!C152,input_585100!A:H,8,FALSE))</f>
        <v>11000</v>
      </c>
      <c r="P152" s="46">
        <f t="shared" ca="1" si="11"/>
        <v>5.2083333332445555E-4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input_585100!A$2</f>
        <v>585100</v>
      </c>
      <c r="B153" s="5">
        <v>387</v>
      </c>
      <c r="C153" s="7" t="str">
        <f t="shared" si="12"/>
        <v>Premium3</v>
      </c>
      <c r="D153" s="7" t="str">
        <f t="shared" si="13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IFERROR(VLOOKUP(B153,input_585100!L:R,7,FALSE),VLOOKUP(tables_585100!C153,input_585100!A:H,8,FALSE))</f>
        <v>0</v>
      </c>
      <c r="P153" s="46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input_585100!A$2</f>
        <v>585100</v>
      </c>
      <c r="B154" s="5">
        <v>388</v>
      </c>
      <c r="C154" s="7" t="str">
        <f t="shared" si="12"/>
        <v>Premium4</v>
      </c>
      <c r="D154" s="7" t="str">
        <f t="shared" si="13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IFERROR(VLOOKUP(B154,input_585100!L:R,7,FALSE),VLOOKUP(tables_585100!C154,input_585100!A:H,8,FALSE))</f>
        <v>180180</v>
      </c>
      <c r="P154" s="46">
        <f t="shared" ca="1" si="11"/>
        <v>8.5312499998545822E-3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input_585100!A$2</f>
        <v>585100</v>
      </c>
      <c r="B155" s="5">
        <v>389</v>
      </c>
      <c r="C155" s="7" t="str">
        <f t="shared" si="12"/>
        <v>Premium5</v>
      </c>
      <c r="D155" s="7" t="str">
        <f t="shared" si="13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IFERROR(VLOOKUP(B155,input_585100!L:R,7,FALSE),VLOOKUP(tables_585100!C155,input_585100!A:H,8,FALSE))</f>
        <v>9265.3846200000007</v>
      </c>
      <c r="P155" s="46">
        <f t="shared" ca="1" si="11"/>
        <v>4.3870192328797678E-4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input_585100!A$2</f>
        <v>585100</v>
      </c>
      <c r="B156" s="5">
        <v>390</v>
      </c>
      <c r="C156" s="7" t="str">
        <f t="shared" si="12"/>
        <v>PremiumSS4</v>
      </c>
      <c r="D156" s="7" t="str">
        <f t="shared" si="13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IFERROR(VLOOKUP(B156,input_585100!L:R,7,FALSE),VLOOKUP(tables_585100!C156,input_585100!A:H,8,FALSE))</f>
        <v>28285.71429</v>
      </c>
      <c r="P156" s="46">
        <f t="shared" ca="1" si="11"/>
        <v>1.3392857144658079E-3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input_585100!A$2</f>
        <v>585100</v>
      </c>
      <c r="B157" s="5">
        <v>391</v>
      </c>
      <c r="C157" s="7" t="str">
        <f t="shared" si="12"/>
        <v>PremiumSS5</v>
      </c>
      <c r="D157" s="7" t="str">
        <f t="shared" si="13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IFERROR(VLOOKUP(B157,input_585100!L:R,7,FALSE),VLOOKUP(tables_585100!C157,input_585100!A:H,8,FALSE))</f>
        <v>11000</v>
      </c>
      <c r="P157" s="46">
        <f t="shared" ca="1" si="11"/>
        <v>5.2083333332445555E-4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input_585100!A$2</f>
        <v>585100</v>
      </c>
      <c r="B158" s="5">
        <v>392</v>
      </c>
      <c r="C158" s="7" t="str">
        <f t="shared" si="12"/>
        <v>Premium3</v>
      </c>
      <c r="D158" s="7" t="str">
        <f t="shared" si="13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IFERROR(VLOOKUP(B158,input_585100!L:R,7,FALSE),VLOOKUP(tables_585100!C158,input_585100!A:H,8,FALSE))</f>
        <v>0</v>
      </c>
      <c r="P158" s="46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input_585100!A$2</f>
        <v>585100</v>
      </c>
      <c r="B159" s="5">
        <v>393</v>
      </c>
      <c r="C159" s="7" t="str">
        <f t="shared" si="12"/>
        <v>Premium4</v>
      </c>
      <c r="D159" s="7" t="str">
        <f t="shared" si="13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IFERROR(VLOOKUP(B159,input_585100!L:R,7,FALSE),VLOOKUP(tables_585100!C159,input_585100!A:H,8,FALSE))</f>
        <v>180180</v>
      </c>
      <c r="P159" s="46">
        <f t="shared" ca="1" si="11"/>
        <v>8.5312499998545822E-3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input_585100!A$2</f>
        <v>585100</v>
      </c>
      <c r="B160" s="5">
        <v>394</v>
      </c>
      <c r="C160" s="7" t="str">
        <f t="shared" si="12"/>
        <v>Premium5</v>
      </c>
      <c r="D160" s="7" t="str">
        <f t="shared" si="13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IFERROR(VLOOKUP(B160,input_585100!L:R,7,FALSE),VLOOKUP(tables_585100!C160,input_585100!A:H,8,FALSE))</f>
        <v>9265.3846200000007</v>
      </c>
      <c r="P160" s="46">
        <f t="shared" ca="1" si="11"/>
        <v>4.3870192328797678E-4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input_585100!A$2</f>
        <v>585100</v>
      </c>
      <c r="B161" s="5">
        <v>395</v>
      </c>
      <c r="C161" s="7" t="str">
        <f t="shared" si="12"/>
        <v>Premium3</v>
      </c>
      <c r="D161" s="7" t="str">
        <f t="shared" si="13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IFERROR(VLOOKUP(B161,input_585100!L:R,7,FALSE),VLOOKUP(tables_585100!C161,input_585100!A:H,8,FALSE))</f>
        <v>0</v>
      </c>
      <c r="P161" s="46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input_585100!A$2</f>
        <v>585100</v>
      </c>
      <c r="B162" s="5">
        <v>396</v>
      </c>
      <c r="C162" s="7" t="str">
        <f t="shared" si="12"/>
        <v>Premium4</v>
      </c>
      <c r="D162" s="7" t="str">
        <f t="shared" si="13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IFERROR(VLOOKUP(B162,input_585100!L:R,7,FALSE),VLOOKUP(tables_585100!C162,input_585100!A:H,8,FALSE))</f>
        <v>180180</v>
      </c>
      <c r="P162" s="46">
        <f t="shared" ca="1" si="11"/>
        <v>8.5312499998545822E-3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input_585100!A$2</f>
        <v>585100</v>
      </c>
      <c r="B163" s="5">
        <v>397</v>
      </c>
      <c r="C163" s="7" t="str">
        <f t="shared" si="12"/>
        <v>Premium5</v>
      </c>
      <c r="D163" s="7" t="str">
        <f t="shared" si="13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IFERROR(VLOOKUP(B163,input_585100!L:R,7,FALSE),VLOOKUP(tables_585100!C163,input_585100!A:H,8,FALSE))</f>
        <v>9265.3846200000007</v>
      </c>
      <c r="P163" s="46">
        <f t="shared" ca="1" si="11"/>
        <v>4.3870192328797678E-4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input_585100!A$2</f>
        <v>585100</v>
      </c>
      <c r="B164" s="5">
        <v>398</v>
      </c>
      <c r="C164" s="7" t="str">
        <f t="shared" si="12"/>
        <v>PremiumSS4</v>
      </c>
      <c r="D164" s="7" t="str">
        <f t="shared" si="13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IFERROR(VLOOKUP(B164,input_585100!L:R,7,FALSE),VLOOKUP(tables_585100!C164,input_585100!A:H,8,FALSE))</f>
        <v>28285.71429</v>
      </c>
      <c r="P164" s="46">
        <f t="shared" ca="1" si="11"/>
        <v>1.3392857144658079E-3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input_585100!A$2</f>
        <v>585100</v>
      </c>
      <c r="B165" s="5">
        <v>399</v>
      </c>
      <c r="C165" s="7" t="str">
        <f t="shared" si="12"/>
        <v>PremiumSS5</v>
      </c>
      <c r="D165" s="7" t="str">
        <f t="shared" si="13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IFERROR(VLOOKUP(B165,input_585100!L:R,7,FALSE),VLOOKUP(tables_585100!C165,input_585100!A:H,8,FALSE))</f>
        <v>11000</v>
      </c>
      <c r="P165" s="46">
        <f t="shared" ca="1" si="11"/>
        <v>5.2083333332445555E-4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input_585100!A$2</f>
        <v>585100</v>
      </c>
      <c r="B166" s="5">
        <v>400</v>
      </c>
      <c r="C166" s="7" t="str">
        <f t="shared" si="12"/>
        <v>Premium3</v>
      </c>
      <c r="D166" s="7" t="str">
        <f t="shared" si="13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IFERROR(VLOOKUP(B166,input_585100!L:R,7,FALSE),VLOOKUP(tables_585100!C166,input_585100!A:H,8,FALSE))</f>
        <v>0</v>
      </c>
      <c r="P166" s="46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input_585100!A$2</f>
        <v>585100</v>
      </c>
      <c r="B167" s="5">
        <v>401</v>
      </c>
      <c r="C167" s="7" t="str">
        <f t="shared" si="12"/>
        <v>Premium4</v>
      </c>
      <c r="D167" s="7" t="str">
        <f t="shared" si="13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IFERROR(VLOOKUP(B167,input_585100!L:R,7,FALSE),VLOOKUP(tables_585100!C167,input_585100!A:H,8,FALSE))</f>
        <v>180180</v>
      </c>
      <c r="P167" s="46">
        <f t="shared" ca="1" si="11"/>
        <v>8.5312499998545822E-3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input_585100!A$2</f>
        <v>585100</v>
      </c>
      <c r="B168" s="5">
        <v>402</v>
      </c>
      <c r="C168" s="7" t="str">
        <f t="shared" si="12"/>
        <v>Premium5</v>
      </c>
      <c r="D168" s="7" t="str">
        <f t="shared" si="13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IFERROR(VLOOKUP(B168,input_585100!L:R,7,FALSE),VLOOKUP(tables_585100!C168,input_585100!A:H,8,FALSE))</f>
        <v>9265.3846200000007</v>
      </c>
      <c r="P168" s="46">
        <f t="shared" ca="1" si="11"/>
        <v>4.3870192328797678E-4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input_585100!A$2</f>
        <v>585100</v>
      </c>
      <c r="B169" s="5">
        <v>403</v>
      </c>
      <c r="C169" s="7" t="str">
        <f t="shared" si="12"/>
        <v>PremiumSS4</v>
      </c>
      <c r="D169" s="7" t="str">
        <f t="shared" si="13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IFERROR(VLOOKUP(B169,input_585100!L:R,7,FALSE),VLOOKUP(tables_585100!C169,input_585100!A:H,8,FALSE))</f>
        <v>28285.71429</v>
      </c>
      <c r="P169" s="46">
        <f t="shared" ca="1" si="11"/>
        <v>1.3392857144658079E-3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input_585100!A$2</f>
        <v>585100</v>
      </c>
      <c r="B170" s="5">
        <v>404</v>
      </c>
      <c r="C170" s="7" t="str">
        <f t="shared" si="12"/>
        <v>PremiumSS5</v>
      </c>
      <c r="D170" s="7" t="str">
        <f t="shared" si="13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IFERROR(VLOOKUP(B170,input_585100!L:R,7,FALSE),VLOOKUP(tables_585100!C170,input_585100!A:H,8,FALSE))</f>
        <v>11000</v>
      </c>
      <c r="P170" s="46">
        <f t="shared" ca="1" si="11"/>
        <v>5.2083333332445555E-4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input_585100!A$2</f>
        <v>585100</v>
      </c>
      <c r="B171" s="5">
        <v>405</v>
      </c>
      <c r="C171" s="7" t="str">
        <f t="shared" si="12"/>
        <v>Premium3</v>
      </c>
      <c r="D171" s="7" t="str">
        <f t="shared" si="13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IFERROR(VLOOKUP(B171,input_585100!L:R,7,FALSE),VLOOKUP(tables_585100!C171,input_585100!A:H,8,FALSE))</f>
        <v>0</v>
      </c>
      <c r="P171" s="46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input_585100!A$2</f>
        <v>585100</v>
      </c>
      <c r="B172" s="5">
        <v>406</v>
      </c>
      <c r="C172" s="7" t="str">
        <f t="shared" si="12"/>
        <v>Premium4</v>
      </c>
      <c r="D172" s="7" t="str">
        <f t="shared" si="13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IFERROR(VLOOKUP(B172,input_585100!L:R,7,FALSE),VLOOKUP(tables_585100!C172,input_585100!A:H,8,FALSE))</f>
        <v>180180</v>
      </c>
      <c r="P172" s="46">
        <f t="shared" ca="1" si="11"/>
        <v>8.5312499998545822E-3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input_585100!A$2</f>
        <v>585100</v>
      </c>
      <c r="B173" s="5">
        <v>407</v>
      </c>
      <c r="C173" s="7" t="str">
        <f t="shared" si="12"/>
        <v>Premium5</v>
      </c>
      <c r="D173" s="7" t="str">
        <f t="shared" si="13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IFERROR(VLOOKUP(B173,input_585100!L:R,7,FALSE),VLOOKUP(tables_585100!C173,input_585100!A:H,8,FALSE))</f>
        <v>9265.3846200000007</v>
      </c>
      <c r="P173" s="46">
        <f t="shared" ca="1" si="11"/>
        <v>4.3870192328797678E-4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input_585100!A$2</f>
        <v>585100</v>
      </c>
      <c r="B174" s="5">
        <v>408</v>
      </c>
      <c r="C174" s="7" t="str">
        <f t="shared" si="12"/>
        <v>PremiumSS4</v>
      </c>
      <c r="D174" s="7" t="str">
        <f t="shared" si="13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IFERROR(VLOOKUP(B174,input_585100!L:R,7,FALSE),VLOOKUP(tables_585100!C174,input_585100!A:H,8,FALSE))</f>
        <v>28285.71429</v>
      </c>
      <c r="P174" s="46">
        <f t="shared" ca="1" si="11"/>
        <v>1.3392857144658079E-3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input_585100!A$2</f>
        <v>585100</v>
      </c>
      <c r="B175" s="5">
        <v>409</v>
      </c>
      <c r="C175" s="7" t="str">
        <f t="shared" si="12"/>
        <v>PremiumSS5</v>
      </c>
      <c r="D175" s="7" t="str">
        <f t="shared" si="13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IFERROR(VLOOKUP(B175,input_585100!L:R,7,FALSE),VLOOKUP(tables_585100!C175,input_585100!A:H,8,FALSE))</f>
        <v>11000</v>
      </c>
      <c r="P175" s="46">
        <f t="shared" ca="1" si="11"/>
        <v>5.2083333332445555E-4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input_585100!A$2</f>
        <v>585100</v>
      </c>
      <c r="B176" s="5">
        <v>434</v>
      </c>
      <c r="C176" s="7" t="str">
        <f t="shared" si="12"/>
        <v>PremiumSS4</v>
      </c>
      <c r="D176" s="7" t="str">
        <f t="shared" si="13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IFERROR(VLOOKUP(B176,input_585100!L:R,7,FALSE),VLOOKUP(tables_585100!C176,input_585100!A:H,8,FALSE))</f>
        <v>28285.71429</v>
      </c>
      <c r="P176" s="46">
        <f t="shared" ca="1" si="11"/>
        <v>1.3392857144658079E-3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input_585100!A$2</f>
        <v>585100</v>
      </c>
      <c r="B177" s="5">
        <v>435</v>
      </c>
      <c r="C177" s="7" t="str">
        <f t="shared" si="12"/>
        <v>PremiumSS5</v>
      </c>
      <c r="D177" s="7" t="str">
        <f t="shared" si="13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IFERROR(VLOOKUP(B177,input_585100!L:R,7,FALSE),VLOOKUP(tables_585100!C177,input_585100!A:H,8,FALSE))</f>
        <v>11000</v>
      </c>
      <c r="P177" s="46">
        <f t="shared" ca="1" si="11"/>
        <v>5.2083333332445555E-4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input_585100!A$2</f>
        <v>585100</v>
      </c>
      <c r="B178" s="5">
        <v>436</v>
      </c>
      <c r="C178" s="7" t="str">
        <f t="shared" si="12"/>
        <v>Premium3</v>
      </c>
      <c r="D178" s="7" t="str">
        <f t="shared" si="13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IFERROR(VLOOKUP(B178,input_585100!L:R,7,FALSE),VLOOKUP(tables_585100!C178,input_585100!A:H,8,FALSE))</f>
        <v>0</v>
      </c>
      <c r="P178" s="46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input_585100!A$2</f>
        <v>585100</v>
      </c>
      <c r="B179" s="5">
        <v>437</v>
      </c>
      <c r="C179" s="7" t="str">
        <f t="shared" si="12"/>
        <v>Premium4</v>
      </c>
      <c r="D179" s="7" t="str">
        <f t="shared" si="13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IFERROR(VLOOKUP(B179,input_585100!L:R,7,FALSE),VLOOKUP(tables_585100!C179,input_585100!A:H,8,FALSE))</f>
        <v>180180</v>
      </c>
      <c r="P179" s="46">
        <f t="shared" ca="1" si="11"/>
        <v>8.5312499998545822E-3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input_585100!A$2</f>
        <v>585100</v>
      </c>
      <c r="B180" s="5">
        <v>438</v>
      </c>
      <c r="C180" s="7" t="str">
        <f t="shared" si="12"/>
        <v>Premium5</v>
      </c>
      <c r="D180" s="7" t="str">
        <f t="shared" si="13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IFERROR(VLOOKUP(B180,input_585100!L:R,7,FALSE),VLOOKUP(tables_585100!C180,input_585100!A:H,8,FALSE))</f>
        <v>9265.3846200000007</v>
      </c>
      <c r="P180" s="46">
        <f t="shared" ca="1" si="11"/>
        <v>4.3870192328797678E-4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input_585100!A$2</f>
        <v>585100</v>
      </c>
      <c r="B181" s="5">
        <v>439</v>
      </c>
      <c r="C181" s="7" t="str">
        <f t="shared" si="12"/>
        <v>Premium3</v>
      </c>
      <c r="D181" s="7" t="str">
        <f t="shared" si="13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IFERROR(VLOOKUP(B181,input_585100!L:R,7,FALSE),VLOOKUP(tables_585100!C181,input_585100!A:H,8,FALSE))</f>
        <v>0</v>
      </c>
      <c r="P181" s="46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input_585100!A$2</f>
        <v>585100</v>
      </c>
      <c r="B182" s="5">
        <v>440</v>
      </c>
      <c r="C182" s="7" t="str">
        <f t="shared" si="12"/>
        <v>Premium4</v>
      </c>
      <c r="D182" s="7" t="str">
        <f t="shared" si="13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IFERROR(VLOOKUP(B182,input_585100!L:R,7,FALSE),VLOOKUP(tables_585100!C182,input_585100!A:H,8,FALSE))</f>
        <v>180180</v>
      </c>
      <c r="P182" s="46">
        <f t="shared" ca="1" si="11"/>
        <v>8.5312499998545822E-3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input_585100!A$2</f>
        <v>585100</v>
      </c>
      <c r="B183" s="5">
        <v>441</v>
      </c>
      <c r="C183" s="7" t="str">
        <f t="shared" si="12"/>
        <v>Premium5</v>
      </c>
      <c r="D183" s="7" t="str">
        <f t="shared" si="13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IFERROR(VLOOKUP(B183,input_585100!L:R,7,FALSE),VLOOKUP(tables_585100!C183,input_585100!A:H,8,FALSE))</f>
        <v>9265.3846200000007</v>
      </c>
      <c r="P183" s="46">
        <f t="shared" ca="1" si="11"/>
        <v>4.3870192328797678E-4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input_585100!A$2</f>
        <v>585100</v>
      </c>
      <c r="B184" s="5">
        <v>442</v>
      </c>
      <c r="C184" s="7" t="str">
        <f t="shared" si="12"/>
        <v>PremiumSS4</v>
      </c>
      <c r="D184" s="7" t="str">
        <f t="shared" si="13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IFERROR(VLOOKUP(B184,input_585100!L:R,7,FALSE),VLOOKUP(tables_585100!C184,input_585100!A:H,8,FALSE))</f>
        <v>28285.71429</v>
      </c>
      <c r="P184" s="46">
        <f t="shared" ca="1" si="11"/>
        <v>1.3392857144658079E-3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input_585100!A$2</f>
        <v>585100</v>
      </c>
      <c r="B185" s="5">
        <v>443</v>
      </c>
      <c r="C185" s="7" t="str">
        <f t="shared" si="12"/>
        <v>PremiumSS5</v>
      </c>
      <c r="D185" s="7" t="str">
        <f t="shared" si="13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IFERROR(VLOOKUP(B185,input_585100!L:R,7,FALSE),VLOOKUP(tables_585100!C185,input_585100!A:H,8,FALSE))</f>
        <v>11000</v>
      </c>
      <c r="P185" s="46">
        <f t="shared" ca="1" si="11"/>
        <v>5.2083333332445555E-4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input_585100!A$2</f>
        <v>585100</v>
      </c>
      <c r="B186" s="5">
        <v>462</v>
      </c>
      <c r="C186" s="7" t="str">
        <f t="shared" si="12"/>
        <v>Premium3</v>
      </c>
      <c r="D186" s="7" t="str">
        <f t="shared" si="13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IFERROR(VLOOKUP(B186,input_585100!L:R,7,FALSE),VLOOKUP(tables_585100!C186,input_585100!A:H,8,FALSE))</f>
        <v>0</v>
      </c>
      <c r="P186" s="46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input_585100!A$2</f>
        <v>585100</v>
      </c>
      <c r="B187" s="5">
        <v>463</v>
      </c>
      <c r="C187" s="7" t="str">
        <f t="shared" si="12"/>
        <v>Premium4</v>
      </c>
      <c r="D187" s="7" t="str">
        <f t="shared" si="13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IFERROR(VLOOKUP(B187,input_585100!L:R,7,FALSE),VLOOKUP(tables_585100!C187,input_585100!A:H,8,FALSE))</f>
        <v>180180</v>
      </c>
      <c r="P187" s="46">
        <f t="shared" ca="1" si="11"/>
        <v>8.5312499998545822E-3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input_585100!A$2</f>
        <v>585100</v>
      </c>
      <c r="B188" s="5">
        <v>464</v>
      </c>
      <c r="C188" s="7" t="str">
        <f t="shared" si="12"/>
        <v>Premium5</v>
      </c>
      <c r="D188" s="7" t="str">
        <f t="shared" si="13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IFERROR(VLOOKUP(B188,input_585100!L:R,7,FALSE),VLOOKUP(tables_585100!C188,input_585100!A:H,8,FALSE))</f>
        <v>9265.3846200000007</v>
      </c>
      <c r="P188" s="46">
        <f t="shared" ca="1" si="11"/>
        <v>4.3870192328797678E-4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input_585100!A$2</f>
        <v>585100</v>
      </c>
      <c r="B189" s="5">
        <v>465</v>
      </c>
      <c r="C189" s="7" t="str">
        <f t="shared" si="12"/>
        <v>PremiumSS4</v>
      </c>
      <c r="D189" s="7" t="str">
        <f t="shared" si="13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IFERROR(VLOOKUP(B189,input_585100!L:R,7,FALSE),VLOOKUP(tables_585100!C189,input_585100!A:H,8,FALSE))</f>
        <v>28285.71429</v>
      </c>
      <c r="P189" s="46">
        <f t="shared" ca="1" si="11"/>
        <v>1.3392857144658079E-3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input_585100!A$2</f>
        <v>585100</v>
      </c>
      <c r="B190" s="5">
        <v>466</v>
      </c>
      <c r="C190" s="7" t="str">
        <f t="shared" si="12"/>
        <v>PremiumSS5</v>
      </c>
      <c r="D190" s="7" t="str">
        <f t="shared" si="13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IFERROR(VLOOKUP(B190,input_585100!L:R,7,FALSE),VLOOKUP(tables_585100!C190,input_585100!A:H,8,FALSE))</f>
        <v>11000</v>
      </c>
      <c r="P190" s="46">
        <f t="shared" ca="1" si="11"/>
        <v>5.2083333332445555E-4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input_585100!A$2</f>
        <v>585100</v>
      </c>
      <c r="B191" s="5">
        <v>467</v>
      </c>
      <c r="C191" s="7" t="str">
        <f t="shared" si="12"/>
        <v>PremiumSS4</v>
      </c>
      <c r="D191" s="7" t="str">
        <f t="shared" si="13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IFERROR(VLOOKUP(B191,input_585100!L:R,7,FALSE),VLOOKUP(tables_585100!C191,input_585100!A:H,8,FALSE))</f>
        <v>28285.71429</v>
      </c>
      <c r="P191" s="46">
        <f t="shared" ca="1" si="11"/>
        <v>1.3392857144658079E-3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input_585100!A$2</f>
        <v>585100</v>
      </c>
      <c r="B192" s="5">
        <v>468</v>
      </c>
      <c r="C192" s="7" t="str">
        <f t="shared" si="12"/>
        <v>PremiumSS5</v>
      </c>
      <c r="D192" s="7" t="str">
        <f t="shared" si="13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IFERROR(VLOOKUP(B192,input_585100!L:R,7,FALSE),VLOOKUP(tables_585100!C192,input_585100!A:H,8,FALSE))</f>
        <v>11000</v>
      </c>
      <c r="P192" s="46">
        <f t="shared" ca="1" si="11"/>
        <v>5.2083333332445555E-4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input_585100!A$2</f>
        <v>585100</v>
      </c>
      <c r="B193" s="5">
        <v>469</v>
      </c>
      <c r="C193" s="7" t="str">
        <f t="shared" si="12"/>
        <v>Premium3</v>
      </c>
      <c r="D193" s="7" t="str">
        <f t="shared" si="13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IFERROR(VLOOKUP(B193,input_585100!L:R,7,FALSE),VLOOKUP(tables_585100!C193,input_585100!A:H,8,FALSE))</f>
        <v>0</v>
      </c>
      <c r="P193" s="46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input_585100!A$2</f>
        <v>585100</v>
      </c>
      <c r="B194" s="5">
        <v>470</v>
      </c>
      <c r="C194" s="7" t="str">
        <f t="shared" si="12"/>
        <v>Premium4</v>
      </c>
      <c r="D194" s="7" t="str">
        <f t="shared" si="13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IFERROR(VLOOKUP(B194,input_585100!L:R,7,FALSE),VLOOKUP(tables_585100!C194,input_585100!A:H,8,FALSE))</f>
        <v>180180</v>
      </c>
      <c r="P194" s="46">
        <f t="shared" ref="P194:P257" ca="1" si="14">O194/SUM(O:O)</f>
        <v>8.5312499998545822E-3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input_585100!A$2</f>
        <v>585100</v>
      </c>
      <c r="B195" s="5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IFERROR(VLOOKUP(B195,input_585100!L:R,7,FALSE),VLOOKUP(tables_585100!C195,input_585100!A:H,8,FALSE))</f>
        <v>9265.3846200000007</v>
      </c>
      <c r="P195" s="46">
        <f t="shared" ca="1" si="14"/>
        <v>4.3870192328797678E-4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input_585100!A$2</f>
        <v>585100</v>
      </c>
      <c r="B196" s="5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IFERROR(VLOOKUP(B196,input_585100!L:R,7,FALSE),VLOOKUP(tables_585100!C196,input_585100!A:H,8,FALSE))</f>
        <v>28285.71429</v>
      </c>
      <c r="P196" s="46">
        <f t="shared" ca="1" si="14"/>
        <v>1.3392857144658079E-3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input_585100!A$2</f>
        <v>585100</v>
      </c>
      <c r="B197" s="5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IFERROR(VLOOKUP(B197,input_585100!L:R,7,FALSE),VLOOKUP(tables_585100!C197,input_585100!A:H,8,FALSE))</f>
        <v>11000</v>
      </c>
      <c r="P197" s="46">
        <f t="shared" ca="1" si="14"/>
        <v>5.2083333332445555E-4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input_585100!A$2</f>
        <v>585100</v>
      </c>
      <c r="B198" s="5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IFERROR(VLOOKUP(B198,input_585100!L:R,7,FALSE),VLOOKUP(tables_585100!C198,input_585100!A:H,8,FALSE))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input_585100!A$2</f>
        <v>585100</v>
      </c>
      <c r="B199" s="5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IFERROR(VLOOKUP(B199,input_585100!L:R,7,FALSE),VLOOKUP(tables_585100!C199,input_585100!A:H,8,FALSE))</f>
        <v>180180</v>
      </c>
      <c r="P199" s="46">
        <f t="shared" ca="1" si="14"/>
        <v>8.5312499998545822E-3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input_585100!A$2</f>
        <v>585100</v>
      </c>
      <c r="B200" s="5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IFERROR(VLOOKUP(B200,input_585100!L:R,7,FALSE),VLOOKUP(tables_585100!C200,input_585100!A:H,8,FALSE))</f>
        <v>9265.3846200000007</v>
      </c>
      <c r="P200" s="46">
        <f t="shared" ca="1" si="14"/>
        <v>4.3870192328797678E-4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input_585100!A$2</f>
        <v>585100</v>
      </c>
      <c r="B201" s="5">
        <v>479</v>
      </c>
      <c r="C201" s="7" t="str">
        <f t="shared" si="12"/>
        <v>PremiumSS4</v>
      </c>
      <c r="D201" s="7" t="str">
        <f t="shared" si="13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IFERROR(VLOOKUP(B201,input_585100!L:R,7,FALSE),VLOOKUP(tables_585100!C201,input_585100!A:H,8,FALSE))</f>
        <v>28285.71429</v>
      </c>
      <c r="P201" s="46">
        <f t="shared" ca="1" si="14"/>
        <v>1.3392857144658079E-3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input_585100!A$2</f>
        <v>585100</v>
      </c>
      <c r="B202" s="5">
        <v>480</v>
      </c>
      <c r="C202" s="7" t="str">
        <f t="shared" ref="C202:C265" si="15">D202&amp;J202&amp;E202&amp;F202&amp;G202</f>
        <v>PremiumSS5</v>
      </c>
      <c r="D202" s="7" t="str">
        <f t="shared" ref="D202:D265" si="16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IFERROR(VLOOKUP(B202,input_585100!L:R,7,FALSE),VLOOKUP(tables_585100!C202,input_585100!A:H,8,FALSE))</f>
        <v>11000</v>
      </c>
      <c r="P202" s="46">
        <f t="shared" ca="1" si="14"/>
        <v>5.2083333332445555E-4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input_585100!A$2</f>
        <v>585100</v>
      </c>
      <c r="B203" s="5">
        <v>481</v>
      </c>
      <c r="C203" s="7" t="str">
        <f t="shared" si="15"/>
        <v>Premium3</v>
      </c>
      <c r="D203" s="7" t="str">
        <f t="shared" si="16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IFERROR(VLOOKUP(B203,input_585100!L:R,7,FALSE),VLOOKUP(tables_585100!C203,input_585100!A:H,8,FALSE))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input_585100!A$2</f>
        <v>585100</v>
      </c>
      <c r="B204" s="5">
        <v>482</v>
      </c>
      <c r="C204" s="7" t="str">
        <f t="shared" si="15"/>
        <v>Premium4</v>
      </c>
      <c r="D204" s="7" t="str">
        <f t="shared" si="16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IFERROR(VLOOKUP(B204,input_585100!L:R,7,FALSE),VLOOKUP(tables_585100!C204,input_585100!A:H,8,FALSE))</f>
        <v>180180</v>
      </c>
      <c r="P204" s="46">
        <f t="shared" ca="1" si="14"/>
        <v>8.5312499998545822E-3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input_585100!A$2</f>
        <v>585100</v>
      </c>
      <c r="B205" s="5">
        <v>483</v>
      </c>
      <c r="C205" s="7" t="str">
        <f t="shared" si="15"/>
        <v>Premium5</v>
      </c>
      <c r="D205" s="7" t="str">
        <f t="shared" si="16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IFERROR(VLOOKUP(B205,input_585100!L:R,7,FALSE),VLOOKUP(tables_585100!C205,input_585100!A:H,8,FALSE))</f>
        <v>9265.3846200000007</v>
      </c>
      <c r="P205" s="46">
        <f t="shared" ca="1" si="14"/>
        <v>4.3870192328797678E-4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input_585100!A$2</f>
        <v>585100</v>
      </c>
      <c r="B206" s="5">
        <v>492</v>
      </c>
      <c r="C206" s="7" t="str">
        <f t="shared" si="15"/>
        <v>PremiumSS4</v>
      </c>
      <c r="D206" s="7" t="str">
        <f t="shared" si="16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IFERROR(VLOOKUP(B206,input_585100!L:R,7,FALSE),VLOOKUP(tables_585100!C206,input_585100!A:H,8,FALSE))</f>
        <v>28285.71429</v>
      </c>
      <c r="P206" s="46">
        <f t="shared" ca="1" si="14"/>
        <v>1.3392857144658079E-3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input_585100!A$2</f>
        <v>585100</v>
      </c>
      <c r="B207" s="5">
        <v>493</v>
      </c>
      <c r="C207" s="7" t="str">
        <f t="shared" si="15"/>
        <v>PremiumSS5</v>
      </c>
      <c r="D207" s="7" t="str">
        <f t="shared" si="16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IFERROR(VLOOKUP(B207,input_585100!L:R,7,FALSE),VLOOKUP(tables_585100!C207,input_585100!A:H,8,FALSE))</f>
        <v>11000</v>
      </c>
      <c r="P207" s="46">
        <f t="shared" ca="1" si="14"/>
        <v>5.2083333332445555E-4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input_585100!A$2</f>
        <v>585100</v>
      </c>
      <c r="B208" s="5">
        <v>494</v>
      </c>
      <c r="C208" s="7" t="str">
        <f t="shared" si="15"/>
        <v>PremiumSS4</v>
      </c>
      <c r="D208" s="7" t="str">
        <f t="shared" si="16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IFERROR(VLOOKUP(B208,input_585100!L:R,7,FALSE),VLOOKUP(tables_585100!C208,input_585100!A:H,8,FALSE))</f>
        <v>28285.71429</v>
      </c>
      <c r="P208" s="46">
        <f t="shared" ca="1" si="14"/>
        <v>1.3392857144658079E-3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input_585100!A$2</f>
        <v>585100</v>
      </c>
      <c r="B209" s="5">
        <v>495</v>
      </c>
      <c r="C209" s="7" t="str">
        <f t="shared" si="15"/>
        <v>PremiumSS5</v>
      </c>
      <c r="D209" s="7" t="str">
        <f t="shared" si="16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IFERROR(VLOOKUP(B209,input_585100!L:R,7,FALSE),VLOOKUP(tables_585100!C209,input_585100!A:H,8,FALSE))</f>
        <v>11000</v>
      </c>
      <c r="P209" s="46">
        <f t="shared" ca="1" si="14"/>
        <v>5.2083333332445555E-4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input_585100!A$2</f>
        <v>585100</v>
      </c>
      <c r="B210" s="5">
        <v>496</v>
      </c>
      <c r="C210" s="7" t="str">
        <f t="shared" si="15"/>
        <v>Premium3</v>
      </c>
      <c r="D210" s="7" t="str">
        <f t="shared" si="16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IFERROR(VLOOKUP(B210,input_585100!L:R,7,FALSE),VLOOKUP(tables_585100!C210,input_585100!A:H,8,FALSE))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input_585100!A$2</f>
        <v>585100</v>
      </c>
      <c r="B211" s="5">
        <v>497</v>
      </c>
      <c r="C211" s="7" t="str">
        <f t="shared" si="15"/>
        <v>Premium4</v>
      </c>
      <c r="D211" s="7" t="str">
        <f t="shared" si="16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IFERROR(VLOOKUP(B211,input_585100!L:R,7,FALSE),VLOOKUP(tables_585100!C211,input_585100!A:H,8,FALSE))</f>
        <v>180180</v>
      </c>
      <c r="P211" s="46">
        <f t="shared" ca="1" si="14"/>
        <v>8.5312499998545822E-3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input_585100!A$2</f>
        <v>585100</v>
      </c>
      <c r="B212" s="5">
        <v>498</v>
      </c>
      <c r="C212" s="7" t="str">
        <f t="shared" si="15"/>
        <v>Premium5</v>
      </c>
      <c r="D212" s="7" t="str">
        <f t="shared" si="16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IFERROR(VLOOKUP(B212,input_585100!L:R,7,FALSE),VLOOKUP(tables_585100!C212,input_585100!A:H,8,FALSE))</f>
        <v>9265.3846200000007</v>
      </c>
      <c r="P212" s="46">
        <f t="shared" ca="1" si="14"/>
        <v>4.3870192328797678E-4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input_585100!A$2</f>
        <v>585100</v>
      </c>
      <c r="B213" s="5">
        <v>499</v>
      </c>
      <c r="C213" s="7" t="str">
        <f t="shared" si="15"/>
        <v>PremiumSS4</v>
      </c>
      <c r="D213" s="7" t="str">
        <f t="shared" si="16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IFERROR(VLOOKUP(B213,input_585100!L:R,7,FALSE),VLOOKUP(tables_585100!C213,input_585100!A:H,8,FALSE))</f>
        <v>28285.71429</v>
      </c>
      <c r="P213" s="46">
        <f t="shared" ca="1" si="14"/>
        <v>1.3392857144658079E-3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input_585100!A$2</f>
        <v>585100</v>
      </c>
      <c r="B214" s="5">
        <v>500</v>
      </c>
      <c r="C214" s="7" t="str">
        <f t="shared" si="15"/>
        <v>PremiumSS5</v>
      </c>
      <c r="D214" s="7" t="str">
        <f t="shared" si="16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IFERROR(VLOOKUP(B214,input_585100!L:R,7,FALSE),VLOOKUP(tables_585100!C214,input_585100!A:H,8,FALSE))</f>
        <v>11000</v>
      </c>
      <c r="P214" s="46">
        <f t="shared" ca="1" si="14"/>
        <v>5.2083333332445555E-4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input_585100!A$2</f>
        <v>585100</v>
      </c>
      <c r="B215" s="5">
        <v>560</v>
      </c>
      <c r="C215" s="7" t="str">
        <f t="shared" si="15"/>
        <v>premium5R3less</v>
      </c>
      <c r="D215" s="7" t="str">
        <f t="shared" si="16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IFERROR(VLOOKUP(B215,input_585100!L:R,7,FALSE),VLOOKUP(tables_585100!C215,input_585100!A:H,8,FALSE))</f>
        <v>20020</v>
      </c>
      <c r="P215" s="46">
        <f t="shared" ca="1" si="14"/>
        <v>9.4791666665050914E-4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input_585100!A$2</f>
        <v>585100</v>
      </c>
      <c r="B216" s="5">
        <v>561</v>
      </c>
      <c r="C216" s="7" t="str">
        <f t="shared" si="15"/>
        <v>premium5R3less</v>
      </c>
      <c r="D216" s="7" t="str">
        <f t="shared" si="16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IFERROR(VLOOKUP(B216,input_585100!L:R,7,FALSE),VLOOKUP(tables_585100!C216,input_585100!A:H,8,FALSE))</f>
        <v>20020</v>
      </c>
      <c r="P216" s="46">
        <f t="shared" ca="1" si="14"/>
        <v>9.4791666665050914E-4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input_585100!A$2</f>
        <v>585100</v>
      </c>
      <c r="B217" s="5">
        <v>562</v>
      </c>
      <c r="C217" s="7" t="str">
        <f t="shared" si="15"/>
        <v>premium5R3less</v>
      </c>
      <c r="D217" s="7" t="str">
        <f t="shared" si="16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IFERROR(VLOOKUP(B217,input_585100!L:R,7,FALSE),VLOOKUP(tables_585100!C217,input_585100!A:H,8,FALSE))</f>
        <v>20020</v>
      </c>
      <c r="P217" s="46">
        <f t="shared" ca="1" si="14"/>
        <v>9.4791666665050914E-4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input_585100!A$2</f>
        <v>585100</v>
      </c>
      <c r="B218" s="5">
        <v>563</v>
      </c>
      <c r="C218" s="7" t="str">
        <f t="shared" si="15"/>
        <v>premium5R3less</v>
      </c>
      <c r="D218" s="7" t="str">
        <f t="shared" si="16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IFERROR(VLOOKUP(B218,input_585100!L:R,7,FALSE),VLOOKUP(tables_585100!C218,input_585100!A:H,8,FALSE))</f>
        <v>20020</v>
      </c>
      <c r="P218" s="46">
        <f t="shared" ca="1" si="14"/>
        <v>9.4791666665050914E-4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input_585100!A$2</f>
        <v>585100</v>
      </c>
      <c r="B219" s="5">
        <v>566</v>
      </c>
      <c r="C219" s="7" t="str">
        <f t="shared" si="15"/>
        <v>premium5R3less</v>
      </c>
      <c r="D219" s="7" t="str">
        <f t="shared" si="16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IFERROR(VLOOKUP(B219,input_585100!L:R,7,FALSE),VLOOKUP(tables_585100!C219,input_585100!A:H,8,FALSE))</f>
        <v>20020</v>
      </c>
      <c r="P219" s="46">
        <f t="shared" ca="1" si="14"/>
        <v>9.4791666665050914E-4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input_585100!A$2</f>
        <v>585100</v>
      </c>
      <c r="B220" s="5">
        <v>567</v>
      </c>
      <c r="C220" s="7" t="str">
        <f t="shared" si="15"/>
        <v>premium5R3less</v>
      </c>
      <c r="D220" s="7" t="str">
        <f t="shared" si="16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IFERROR(VLOOKUP(B220,input_585100!L:R,7,FALSE),VLOOKUP(tables_585100!C220,input_585100!A:H,8,FALSE))</f>
        <v>20020</v>
      </c>
      <c r="P220" s="46">
        <f t="shared" ca="1" si="14"/>
        <v>9.4791666665050914E-4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input_585100!A$2</f>
        <v>585100</v>
      </c>
      <c r="B221" s="5">
        <v>586</v>
      </c>
      <c r="C221" s="7" t="str">
        <f t="shared" si="15"/>
        <v>PremiumSS4</v>
      </c>
      <c r="D221" s="7" t="str">
        <f t="shared" si="16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IFERROR(VLOOKUP(B221,input_585100!L:R,7,FALSE),VLOOKUP(tables_585100!C221,input_585100!A:H,8,FALSE))</f>
        <v>28285.71429</v>
      </c>
      <c r="P221" s="46">
        <f t="shared" ca="1" si="14"/>
        <v>1.3392857144658079E-3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input_585100!A$2</f>
        <v>585100</v>
      </c>
      <c r="B222" s="5">
        <v>587</v>
      </c>
      <c r="C222" s="7" t="str">
        <f t="shared" si="15"/>
        <v>PremiumSS5</v>
      </c>
      <c r="D222" s="7" t="str">
        <f t="shared" si="16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IFERROR(VLOOKUP(B222,input_585100!L:R,7,FALSE),VLOOKUP(tables_585100!C222,input_585100!A:H,8,FALSE))</f>
        <v>11000</v>
      </c>
      <c r="P222" s="46">
        <f t="shared" ca="1" si="14"/>
        <v>5.2083333332445555E-4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input_585100!A$2</f>
        <v>585100</v>
      </c>
      <c r="B223" s="5">
        <v>588</v>
      </c>
      <c r="C223" s="7" t="str">
        <f t="shared" si="15"/>
        <v>Premium3</v>
      </c>
      <c r="D223" s="7" t="str">
        <f t="shared" si="16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IFERROR(VLOOKUP(B223,input_585100!L:R,7,FALSE),VLOOKUP(tables_585100!C223,input_585100!A:H,8,FALSE))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input_585100!A$2</f>
        <v>585100</v>
      </c>
      <c r="B224" s="5">
        <v>589</v>
      </c>
      <c r="C224" s="7" t="str">
        <f t="shared" si="15"/>
        <v>Premium4</v>
      </c>
      <c r="D224" s="7" t="str">
        <f t="shared" si="16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IFERROR(VLOOKUP(B224,input_585100!L:R,7,FALSE),VLOOKUP(tables_585100!C224,input_585100!A:H,8,FALSE))</f>
        <v>180180</v>
      </c>
      <c r="P224" s="46">
        <f t="shared" ca="1" si="14"/>
        <v>8.5312499998545822E-3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input_585100!A$2</f>
        <v>585100</v>
      </c>
      <c r="B225" s="5">
        <v>590</v>
      </c>
      <c r="C225" s="7" t="str">
        <f t="shared" si="15"/>
        <v>Premium5</v>
      </c>
      <c r="D225" s="7" t="str">
        <f t="shared" si="16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IFERROR(VLOOKUP(B225,input_585100!L:R,7,FALSE),VLOOKUP(tables_585100!C225,input_585100!A:H,8,FALSE))</f>
        <v>9265.3846200000007</v>
      </c>
      <c r="P225" s="46">
        <f t="shared" ca="1" si="14"/>
        <v>4.3870192328797678E-4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input_585100!A$2</f>
        <v>585100</v>
      </c>
      <c r="B226" s="5">
        <v>591</v>
      </c>
      <c r="C226" s="7" t="str">
        <f t="shared" si="15"/>
        <v>Premium3</v>
      </c>
      <c r="D226" s="7" t="str">
        <f t="shared" si="16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IFERROR(VLOOKUP(B226,input_585100!L:R,7,FALSE),VLOOKUP(tables_585100!C226,input_585100!A:H,8,FALSE))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input_585100!A$2</f>
        <v>585100</v>
      </c>
      <c r="B227" s="5">
        <v>592</v>
      </c>
      <c r="C227" s="7" t="str">
        <f t="shared" si="15"/>
        <v>Premium4</v>
      </c>
      <c r="D227" s="7" t="str">
        <f t="shared" si="16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IFERROR(VLOOKUP(B227,input_585100!L:R,7,FALSE),VLOOKUP(tables_585100!C227,input_585100!A:H,8,FALSE))</f>
        <v>180180</v>
      </c>
      <c r="P227" s="46">
        <f t="shared" ca="1" si="14"/>
        <v>8.5312499998545822E-3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input_585100!A$2</f>
        <v>585100</v>
      </c>
      <c r="B228" s="5">
        <v>593</v>
      </c>
      <c r="C228" s="7" t="str">
        <f t="shared" si="15"/>
        <v>Premium5</v>
      </c>
      <c r="D228" s="7" t="str">
        <f t="shared" si="16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IFERROR(VLOOKUP(B228,input_585100!L:R,7,FALSE),VLOOKUP(tables_585100!C228,input_585100!A:H,8,FALSE))</f>
        <v>9265.3846200000007</v>
      </c>
      <c r="P228" s="46">
        <f t="shared" ca="1" si="14"/>
        <v>4.3870192328797678E-4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input_585100!A$2</f>
        <v>585100</v>
      </c>
      <c r="B229" s="5">
        <v>594</v>
      </c>
      <c r="C229" s="7" t="str">
        <f t="shared" si="15"/>
        <v>PremiumSS4</v>
      </c>
      <c r="D229" s="7" t="str">
        <f t="shared" si="16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IFERROR(VLOOKUP(B229,input_585100!L:R,7,FALSE),VLOOKUP(tables_585100!C229,input_585100!A:H,8,FALSE))</f>
        <v>28285.71429</v>
      </c>
      <c r="P229" s="46">
        <f t="shared" ca="1" si="14"/>
        <v>1.3392857144658079E-3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input_585100!A$2</f>
        <v>585100</v>
      </c>
      <c r="B230" s="5">
        <v>595</v>
      </c>
      <c r="C230" s="7" t="str">
        <f t="shared" si="15"/>
        <v>PremiumSS5</v>
      </c>
      <c r="D230" s="7" t="str">
        <f t="shared" si="16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IFERROR(VLOOKUP(B230,input_585100!L:R,7,FALSE),VLOOKUP(tables_585100!C230,input_585100!A:H,8,FALSE))</f>
        <v>11000</v>
      </c>
      <c r="P230" s="46">
        <f t="shared" ca="1" si="14"/>
        <v>5.2083333332445555E-4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input_585100!A$2</f>
        <v>585100</v>
      </c>
      <c r="B231" s="5">
        <v>596</v>
      </c>
      <c r="C231" s="7" t="str">
        <f t="shared" si="15"/>
        <v>Premium3</v>
      </c>
      <c r="D231" s="7" t="str">
        <f t="shared" si="16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IFERROR(VLOOKUP(B231,input_585100!L:R,7,FALSE),VLOOKUP(tables_585100!C231,input_585100!A:H,8,FALSE))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input_585100!A$2</f>
        <v>585100</v>
      </c>
      <c r="B232" s="5">
        <v>597</v>
      </c>
      <c r="C232" s="7" t="str">
        <f t="shared" si="15"/>
        <v>Premium4</v>
      </c>
      <c r="D232" s="7" t="str">
        <f t="shared" si="16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IFERROR(VLOOKUP(B232,input_585100!L:R,7,FALSE),VLOOKUP(tables_585100!C232,input_585100!A:H,8,FALSE))</f>
        <v>180180</v>
      </c>
      <c r="P232" s="46">
        <f t="shared" ca="1" si="14"/>
        <v>8.5312499998545822E-3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input_585100!A$2</f>
        <v>585100</v>
      </c>
      <c r="B233" s="5">
        <v>598</v>
      </c>
      <c r="C233" s="7" t="str">
        <f t="shared" si="15"/>
        <v>Premium5</v>
      </c>
      <c r="D233" s="7" t="str">
        <f t="shared" si="16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IFERROR(VLOOKUP(B233,input_585100!L:R,7,FALSE),VLOOKUP(tables_585100!C233,input_585100!A:H,8,FALSE))</f>
        <v>9265.3846200000007</v>
      </c>
      <c r="P233" s="46">
        <f t="shared" ca="1" si="14"/>
        <v>4.3870192328797678E-4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input_585100!A$2</f>
        <v>585100</v>
      </c>
      <c r="B234" s="5">
        <v>599</v>
      </c>
      <c r="C234" s="7" t="str">
        <f t="shared" si="15"/>
        <v>Premium3</v>
      </c>
      <c r="D234" s="7" t="str">
        <f t="shared" si="16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IFERROR(VLOOKUP(B234,input_585100!L:R,7,FALSE),VLOOKUP(tables_585100!C234,input_585100!A:H,8,FALSE))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input_585100!A$2</f>
        <v>585100</v>
      </c>
      <c r="B235" s="5">
        <v>600</v>
      </c>
      <c r="C235" s="7" t="str">
        <f t="shared" si="15"/>
        <v>Premium4</v>
      </c>
      <c r="D235" s="7" t="str">
        <f t="shared" si="16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IFERROR(VLOOKUP(B235,input_585100!L:R,7,FALSE),VLOOKUP(tables_585100!C235,input_585100!A:H,8,FALSE))</f>
        <v>180180</v>
      </c>
      <c r="P235" s="46">
        <f t="shared" ca="1" si="14"/>
        <v>8.5312499998545822E-3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input_585100!A$2</f>
        <v>585100</v>
      </c>
      <c r="B236" s="5">
        <v>601</v>
      </c>
      <c r="C236" s="7" t="str">
        <f t="shared" si="15"/>
        <v>Premium5</v>
      </c>
      <c r="D236" s="7" t="str">
        <f t="shared" si="16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IFERROR(VLOOKUP(B236,input_585100!L:R,7,FALSE),VLOOKUP(tables_585100!C236,input_585100!A:H,8,FALSE))</f>
        <v>9265.3846200000007</v>
      </c>
      <c r="P236" s="46">
        <f t="shared" ca="1" si="14"/>
        <v>4.3870192328797678E-4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input_585100!A$2</f>
        <v>585100</v>
      </c>
      <c r="B237" s="5">
        <v>602</v>
      </c>
      <c r="C237" s="7" t="str">
        <f t="shared" si="15"/>
        <v>PremiumSS4</v>
      </c>
      <c r="D237" s="7" t="str">
        <f t="shared" si="16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IFERROR(VLOOKUP(B237,input_585100!L:R,7,FALSE),VLOOKUP(tables_585100!C237,input_585100!A:H,8,FALSE))</f>
        <v>28285.71429</v>
      </c>
      <c r="P237" s="46">
        <f t="shared" ca="1" si="14"/>
        <v>1.3392857144658079E-3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input_585100!A$2</f>
        <v>585100</v>
      </c>
      <c r="B238" s="5">
        <v>603</v>
      </c>
      <c r="C238" s="7" t="str">
        <f t="shared" si="15"/>
        <v>PremiumSS5</v>
      </c>
      <c r="D238" s="7" t="str">
        <f t="shared" si="16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IFERROR(VLOOKUP(B238,input_585100!L:R,7,FALSE),VLOOKUP(tables_585100!C238,input_585100!A:H,8,FALSE))</f>
        <v>11000</v>
      </c>
      <c r="P238" s="46">
        <f t="shared" ca="1" si="14"/>
        <v>5.2083333332445555E-4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input_585100!A$2</f>
        <v>585100</v>
      </c>
      <c r="B239" s="5">
        <v>604</v>
      </c>
      <c r="C239" s="7" t="str">
        <f t="shared" si="15"/>
        <v>Premium3</v>
      </c>
      <c r="D239" s="7" t="str">
        <f t="shared" si="16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IFERROR(VLOOKUP(B239,input_585100!L:R,7,FALSE),VLOOKUP(tables_585100!C239,input_585100!A:H,8,FALSE))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input_585100!A$2</f>
        <v>585100</v>
      </c>
      <c r="B240" s="5">
        <v>605</v>
      </c>
      <c r="C240" s="7" t="str">
        <f t="shared" si="15"/>
        <v>Premium4</v>
      </c>
      <c r="D240" s="7" t="str">
        <f t="shared" si="16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IFERROR(VLOOKUP(B240,input_585100!L:R,7,FALSE),VLOOKUP(tables_585100!C240,input_585100!A:H,8,FALSE))</f>
        <v>180180</v>
      </c>
      <c r="P240" s="46">
        <f t="shared" ca="1" si="14"/>
        <v>8.5312499998545822E-3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input_585100!A$2</f>
        <v>585100</v>
      </c>
      <c r="B241" s="5">
        <v>606</v>
      </c>
      <c r="C241" s="7" t="str">
        <f t="shared" si="15"/>
        <v>Premium5</v>
      </c>
      <c r="D241" s="7" t="str">
        <f t="shared" si="16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IFERROR(VLOOKUP(B241,input_585100!L:R,7,FALSE),VLOOKUP(tables_585100!C241,input_585100!A:H,8,FALSE))</f>
        <v>9265.3846200000007</v>
      </c>
      <c r="P241" s="46">
        <f t="shared" ca="1" si="14"/>
        <v>4.3870192328797678E-4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input_585100!A$2</f>
        <v>585100</v>
      </c>
      <c r="B242" s="5">
        <v>658</v>
      </c>
      <c r="C242" s="7" t="str">
        <f t="shared" si="15"/>
        <v>PremiumSS4</v>
      </c>
      <c r="D242" s="7" t="str">
        <f t="shared" si="16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IFERROR(VLOOKUP(B242,input_585100!L:R,7,FALSE),VLOOKUP(tables_585100!C242,input_585100!A:H,8,FALSE))</f>
        <v>28285.71429</v>
      </c>
      <c r="P242" s="46">
        <f t="shared" ca="1" si="14"/>
        <v>1.3392857144658079E-3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input_585100!A$2</f>
        <v>585100</v>
      </c>
      <c r="B243" s="5">
        <v>659</v>
      </c>
      <c r="C243" s="7" t="str">
        <f t="shared" si="15"/>
        <v>PremiumSS5</v>
      </c>
      <c r="D243" s="7" t="str">
        <f t="shared" si="16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IFERROR(VLOOKUP(B243,input_585100!L:R,7,FALSE),VLOOKUP(tables_585100!C243,input_585100!A:H,8,FALSE))</f>
        <v>11000</v>
      </c>
      <c r="P243" s="46">
        <f t="shared" ca="1" si="14"/>
        <v>5.2083333332445555E-4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input_585100!A$2</f>
        <v>585100</v>
      </c>
      <c r="B244" s="5">
        <v>660</v>
      </c>
      <c r="C244" s="7" t="str">
        <f t="shared" si="15"/>
        <v>PremiumSS4</v>
      </c>
      <c r="D244" s="7" t="str">
        <f t="shared" si="16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IFERROR(VLOOKUP(B244,input_585100!L:R,7,FALSE),VLOOKUP(tables_585100!C244,input_585100!A:H,8,FALSE))</f>
        <v>28285.71429</v>
      </c>
      <c r="P244" s="46">
        <f t="shared" ca="1" si="14"/>
        <v>1.3392857144658079E-3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input_585100!A$2</f>
        <v>585100</v>
      </c>
      <c r="B245" s="5">
        <v>661</v>
      </c>
      <c r="C245" s="7" t="str">
        <f t="shared" si="15"/>
        <v>PremiumSS5</v>
      </c>
      <c r="D245" s="7" t="str">
        <f t="shared" si="16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IFERROR(VLOOKUP(B245,input_585100!L:R,7,FALSE),VLOOKUP(tables_585100!C245,input_585100!A:H,8,FALSE))</f>
        <v>11000</v>
      </c>
      <c r="P245" s="46">
        <f t="shared" ca="1" si="14"/>
        <v>5.2083333332445555E-4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input_585100!A$2</f>
        <v>585100</v>
      </c>
      <c r="B246" s="5">
        <v>662</v>
      </c>
      <c r="C246" s="7" t="str">
        <f t="shared" si="15"/>
        <v>Premium3</v>
      </c>
      <c r="D246" s="7" t="str">
        <f t="shared" si="16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IFERROR(VLOOKUP(B246,input_585100!L:R,7,FALSE),VLOOKUP(tables_585100!C246,input_585100!A:H,8,FALSE))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input_585100!A$2</f>
        <v>585100</v>
      </c>
      <c r="B247" s="5">
        <v>663</v>
      </c>
      <c r="C247" s="7" t="str">
        <f t="shared" si="15"/>
        <v>Premium4</v>
      </c>
      <c r="D247" s="7" t="str">
        <f t="shared" si="16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IFERROR(VLOOKUP(B247,input_585100!L:R,7,FALSE),VLOOKUP(tables_585100!C247,input_585100!A:H,8,FALSE))</f>
        <v>180180</v>
      </c>
      <c r="P247" s="46">
        <f t="shared" ca="1" si="14"/>
        <v>8.5312499998545822E-3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input_585100!A$2</f>
        <v>585100</v>
      </c>
      <c r="B248" s="5">
        <v>664</v>
      </c>
      <c r="C248" s="7" t="str">
        <f t="shared" si="15"/>
        <v>Premium5</v>
      </c>
      <c r="D248" s="7" t="str">
        <f t="shared" si="16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IFERROR(VLOOKUP(B248,input_585100!L:R,7,FALSE),VLOOKUP(tables_585100!C248,input_585100!A:H,8,FALSE))</f>
        <v>9265.3846200000007</v>
      </c>
      <c r="P248" s="46">
        <f t="shared" ca="1" si="14"/>
        <v>4.3870192328797678E-4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input_585100!A$2</f>
        <v>585100</v>
      </c>
      <c r="B249" s="5">
        <v>665</v>
      </c>
      <c r="C249" s="7" t="str">
        <f t="shared" si="15"/>
        <v>Premium3</v>
      </c>
      <c r="D249" s="7" t="str">
        <f t="shared" si="16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IFERROR(VLOOKUP(B249,input_585100!L:R,7,FALSE),VLOOKUP(tables_585100!C249,input_585100!A:H,8,FALSE))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input_585100!A$2</f>
        <v>585100</v>
      </c>
      <c r="B250" s="5">
        <v>666</v>
      </c>
      <c r="C250" s="7" t="str">
        <f t="shared" si="15"/>
        <v>Premium4</v>
      </c>
      <c r="D250" s="7" t="str">
        <f t="shared" si="16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IFERROR(VLOOKUP(B250,input_585100!L:R,7,FALSE),VLOOKUP(tables_585100!C250,input_585100!A:H,8,FALSE))</f>
        <v>180180</v>
      </c>
      <c r="P250" s="46">
        <f t="shared" ca="1" si="14"/>
        <v>8.5312499998545822E-3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input_585100!A$2</f>
        <v>585100</v>
      </c>
      <c r="B251" s="5">
        <v>667</v>
      </c>
      <c r="C251" s="7" t="str">
        <f t="shared" si="15"/>
        <v>Premium5</v>
      </c>
      <c r="D251" s="7" t="str">
        <f t="shared" si="16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IFERROR(VLOOKUP(B251,input_585100!L:R,7,FALSE),VLOOKUP(tables_585100!C251,input_585100!A:H,8,FALSE))</f>
        <v>9265.3846200000007</v>
      </c>
      <c r="P251" s="46">
        <f t="shared" ca="1" si="14"/>
        <v>4.3870192328797678E-4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input_585100!A$2</f>
        <v>585100</v>
      </c>
      <c r="B252" s="5">
        <v>668</v>
      </c>
      <c r="C252" s="7" t="str">
        <f t="shared" si="15"/>
        <v>Premium3</v>
      </c>
      <c r="D252" s="7" t="str">
        <f t="shared" si="16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IFERROR(VLOOKUP(B252,input_585100!L:R,7,FALSE),VLOOKUP(tables_585100!C252,input_585100!A:H,8,FALSE))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input_585100!A$2</f>
        <v>585100</v>
      </c>
      <c r="B253" s="5">
        <v>669</v>
      </c>
      <c r="C253" s="7" t="str">
        <f t="shared" si="15"/>
        <v>Premium4</v>
      </c>
      <c r="D253" s="7" t="str">
        <f t="shared" si="16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IFERROR(VLOOKUP(B253,input_585100!L:R,7,FALSE),VLOOKUP(tables_585100!C253,input_585100!A:H,8,FALSE))</f>
        <v>180180</v>
      </c>
      <c r="P253" s="46">
        <f t="shared" ca="1" si="14"/>
        <v>8.5312499998545822E-3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input_585100!A$2</f>
        <v>585100</v>
      </c>
      <c r="B254" s="5">
        <v>670</v>
      </c>
      <c r="C254" s="7" t="str">
        <f t="shared" si="15"/>
        <v>Premium5</v>
      </c>
      <c r="D254" s="7" t="str">
        <f t="shared" si="16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IFERROR(VLOOKUP(B254,input_585100!L:R,7,FALSE),VLOOKUP(tables_585100!C254,input_585100!A:H,8,FALSE))</f>
        <v>9265.3846200000007</v>
      </c>
      <c r="P254" s="46">
        <f t="shared" ca="1" si="14"/>
        <v>4.3870192328797678E-4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input_585100!A$2</f>
        <v>585100</v>
      </c>
      <c r="B255" s="5">
        <v>671</v>
      </c>
      <c r="C255" s="7" t="str">
        <f t="shared" si="15"/>
        <v>Premium3</v>
      </c>
      <c r="D255" s="7" t="str">
        <f t="shared" si="16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IFERROR(VLOOKUP(B255,input_585100!L:R,7,FALSE),VLOOKUP(tables_585100!C255,input_585100!A:H,8,FALSE))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input_585100!A$2</f>
        <v>585100</v>
      </c>
      <c r="B256" s="5">
        <v>672</v>
      </c>
      <c r="C256" s="7" t="str">
        <f t="shared" si="15"/>
        <v>Premium4</v>
      </c>
      <c r="D256" s="7" t="str">
        <f t="shared" si="16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IFERROR(VLOOKUP(B256,input_585100!L:R,7,FALSE),VLOOKUP(tables_585100!C256,input_585100!A:H,8,FALSE))</f>
        <v>180180</v>
      </c>
      <c r="P256" s="46">
        <f t="shared" ca="1" si="14"/>
        <v>8.5312499998545822E-3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input_585100!A$2</f>
        <v>585100</v>
      </c>
      <c r="B257" s="5">
        <v>673</v>
      </c>
      <c r="C257" s="7" t="str">
        <f t="shared" si="15"/>
        <v>Premium5</v>
      </c>
      <c r="D257" s="7" t="str">
        <f t="shared" si="16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IFERROR(VLOOKUP(B257,input_585100!L:R,7,FALSE),VLOOKUP(tables_585100!C257,input_585100!A:H,8,FALSE))</f>
        <v>9265.3846200000007</v>
      </c>
      <c r="P257" s="46">
        <f t="shared" ca="1" si="14"/>
        <v>4.3870192328797678E-4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input_585100!A$2</f>
        <v>585100</v>
      </c>
      <c r="B258" s="5">
        <v>674</v>
      </c>
      <c r="C258" s="7" t="str">
        <f t="shared" si="15"/>
        <v>PremiumSS4</v>
      </c>
      <c r="D258" s="7" t="str">
        <f t="shared" si="16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IFERROR(VLOOKUP(B258,input_585100!L:R,7,FALSE),VLOOKUP(tables_585100!C258,input_585100!A:H,8,FALSE))</f>
        <v>28285.71429</v>
      </c>
      <c r="P258" s="46">
        <f t="shared" ref="P258:P321" ca="1" si="17">O258/SUM(O:O)</f>
        <v>1.3392857144658079E-3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input_585100!A$2</f>
        <v>585100</v>
      </c>
      <c r="B259" s="5">
        <v>675</v>
      </c>
      <c r="C259" s="7" t="str">
        <f t="shared" si="15"/>
        <v>PremiumSS5</v>
      </c>
      <c r="D259" s="7" t="str">
        <f t="shared" si="16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IFERROR(VLOOKUP(B259,input_585100!L:R,7,FALSE),VLOOKUP(tables_585100!C259,input_585100!A:H,8,FALSE))</f>
        <v>11000</v>
      </c>
      <c r="P259" s="46">
        <f t="shared" ca="1" si="17"/>
        <v>5.2083333332445555E-4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input_585100!A$2</f>
        <v>585100</v>
      </c>
      <c r="B260" s="5">
        <v>676</v>
      </c>
      <c r="C260" s="7" t="str">
        <f t="shared" si="15"/>
        <v>PremiumSS4</v>
      </c>
      <c r="D260" s="7" t="str">
        <f t="shared" si="16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IFERROR(VLOOKUP(B260,input_585100!L:R,7,FALSE),VLOOKUP(tables_585100!C260,input_585100!A:H,8,FALSE))</f>
        <v>28285.71429</v>
      </c>
      <c r="P260" s="46">
        <f t="shared" ca="1" si="17"/>
        <v>1.3392857144658079E-3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input_585100!A$2</f>
        <v>585100</v>
      </c>
      <c r="B261" s="5">
        <v>677</v>
      </c>
      <c r="C261" s="7" t="str">
        <f t="shared" si="15"/>
        <v>PremiumSS5</v>
      </c>
      <c r="D261" s="7" t="str">
        <f t="shared" si="16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IFERROR(VLOOKUP(B261,input_585100!L:R,7,FALSE),VLOOKUP(tables_585100!C261,input_585100!A:H,8,FALSE))</f>
        <v>11000</v>
      </c>
      <c r="P261" s="46">
        <f t="shared" ca="1" si="17"/>
        <v>5.2083333332445555E-4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input_585100!A$2</f>
        <v>585100</v>
      </c>
      <c r="B262" s="5">
        <v>728</v>
      </c>
      <c r="C262" s="7" t="str">
        <f t="shared" si="15"/>
        <v>Premium4R3less</v>
      </c>
      <c r="D262" s="7" t="str">
        <f t="shared" si="16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IFERROR(VLOOKUP(B262,input_585100!L:R,7,FALSE),VLOOKUP(tables_585100!C262,input_585100!A:H,8,FALSE))</f>
        <v>174174</v>
      </c>
      <c r="P262" s="46">
        <f t="shared" ca="1" si="17"/>
        <v>8.2468749998594292E-3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input_585100!A$2</f>
        <v>585100</v>
      </c>
      <c r="B263" s="5">
        <v>729</v>
      </c>
      <c r="C263" s="7" t="str">
        <f t="shared" si="15"/>
        <v>Premium5R3less</v>
      </c>
      <c r="D263" s="7" t="str">
        <f t="shared" si="16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IFERROR(VLOOKUP(B263,input_585100!L:R,7,FALSE),VLOOKUP(tables_585100!C263,input_585100!A:H,8,FALSE))</f>
        <v>20020</v>
      </c>
      <c r="P263" s="46">
        <f t="shared" ca="1" si="17"/>
        <v>9.4791666665050914E-4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input_585100!A$2</f>
        <v>585100</v>
      </c>
      <c r="B264" s="5">
        <v>730</v>
      </c>
      <c r="C264" s="7" t="str">
        <f t="shared" si="15"/>
        <v>Premium4R3less</v>
      </c>
      <c r="D264" s="7" t="str">
        <f t="shared" si="16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IFERROR(VLOOKUP(B264,input_585100!L:R,7,FALSE),VLOOKUP(tables_585100!C264,input_585100!A:H,8,FALSE))</f>
        <v>174174</v>
      </c>
      <c r="P264" s="46">
        <f t="shared" ca="1" si="17"/>
        <v>8.2468749998594292E-3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input_585100!A$2</f>
        <v>585100</v>
      </c>
      <c r="B265" s="5">
        <v>731</v>
      </c>
      <c r="C265" s="7" t="str">
        <f t="shared" si="15"/>
        <v>Premium5R3less</v>
      </c>
      <c r="D265" s="7" t="str">
        <f t="shared" si="16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IFERROR(VLOOKUP(B265,input_585100!L:R,7,FALSE),VLOOKUP(tables_585100!C265,input_585100!A:H,8,FALSE))</f>
        <v>20020</v>
      </c>
      <c r="P265" s="46">
        <f t="shared" ca="1" si="17"/>
        <v>9.4791666665050914E-4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input_585100!A$2</f>
        <v>585100</v>
      </c>
      <c r="B266" s="5">
        <v>732</v>
      </c>
      <c r="C266" s="7" t="str">
        <f t="shared" ref="C266:C329" si="18">D266&amp;J266&amp;E266&amp;F266&amp;G266</f>
        <v>PremiumSS5R5only</v>
      </c>
      <c r="D266" s="7" t="str">
        <f t="shared" ref="D266:D329" si="19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IFERROR(VLOOKUP(B266,input_585100!L:R,7,FALSE),VLOOKUP(tables_585100!C266,input_585100!A:H,8,FALSE))</f>
        <v>11000</v>
      </c>
      <c r="P266" s="46">
        <f t="shared" ca="1" si="17"/>
        <v>5.2083333332445555E-4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input_585100!A$2</f>
        <v>585100</v>
      </c>
      <c r="B267" s="5">
        <v>734</v>
      </c>
      <c r="C267" s="7" t="str">
        <f t="shared" si="18"/>
        <v>PremiumSS5R5only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IFERROR(VLOOKUP(B267,input_585100!L:R,7,FALSE),VLOOKUP(tables_585100!C267,input_585100!A:H,8,FALSE))</f>
        <v>11000</v>
      </c>
      <c r="P267" s="46">
        <f t="shared" ca="1" si="17"/>
        <v>5.2083333332445555E-4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input_585100!A$2</f>
        <v>585100</v>
      </c>
      <c r="B268" s="5">
        <v>742</v>
      </c>
      <c r="C268" s="7" t="str">
        <f t="shared" si="18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IFERROR(VLOOKUP(B268,input_585100!L:R,7,FALSE),VLOOKUP(tables_585100!C268,input_585100!A:H,8,FALSE))</f>
        <v>11000</v>
      </c>
      <c r="P268" s="46">
        <f t="shared" ca="1" si="17"/>
        <v>5.2083333332445555E-4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input_585100!A$2</f>
        <v>585100</v>
      </c>
      <c r="B269" s="5">
        <v>744</v>
      </c>
      <c r="C269" s="7" t="str">
        <f t="shared" si="18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IFERROR(VLOOKUP(B269,input_585100!L:R,7,FALSE),VLOOKUP(tables_585100!C269,input_585100!A:H,8,FALSE))</f>
        <v>11000</v>
      </c>
      <c r="P269" s="46">
        <f t="shared" ca="1" si="17"/>
        <v>5.2083333332445555E-4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input_585100!A$2</f>
        <v>585100</v>
      </c>
      <c r="B270" s="5">
        <v>746</v>
      </c>
      <c r="C270" s="7" t="str">
        <f t="shared" si="18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IFERROR(VLOOKUP(B270,input_585100!L:R,7,FALSE),VLOOKUP(tables_585100!C270,input_585100!A:H,8,FALSE))</f>
        <v>174174</v>
      </c>
      <c r="P270" s="46">
        <f t="shared" ca="1" si="17"/>
        <v>8.2468749998594292E-3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input_585100!A$2</f>
        <v>585100</v>
      </c>
      <c r="B271" s="5">
        <v>747</v>
      </c>
      <c r="C271" s="7" t="str">
        <f t="shared" si="18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IFERROR(VLOOKUP(B271,input_585100!L:R,7,FALSE),VLOOKUP(tables_585100!C271,input_585100!A:H,8,FALSE))</f>
        <v>20020</v>
      </c>
      <c r="P271" s="46">
        <f t="shared" ca="1" si="17"/>
        <v>9.4791666665050914E-4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input_585100!A$2</f>
        <v>585100</v>
      </c>
      <c r="B272" s="5">
        <v>748</v>
      </c>
      <c r="C272" s="7" t="str">
        <f t="shared" si="18"/>
        <v>Premium4R3less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IFERROR(VLOOKUP(B272,input_585100!L:R,7,FALSE),VLOOKUP(tables_585100!C272,input_585100!A:H,8,FALSE))</f>
        <v>174174</v>
      </c>
      <c r="P272" s="46">
        <f t="shared" ca="1" si="17"/>
        <v>8.2468749998594292E-3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input_585100!A$2</f>
        <v>585100</v>
      </c>
      <c r="B273" s="5">
        <v>749</v>
      </c>
      <c r="C273" s="7" t="str">
        <f t="shared" si="18"/>
        <v>Premium5R3less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IFERROR(VLOOKUP(B273,input_585100!L:R,7,FALSE),VLOOKUP(tables_585100!C273,input_585100!A:H,8,FALSE))</f>
        <v>20020</v>
      </c>
      <c r="P273" s="46">
        <f t="shared" ca="1" si="17"/>
        <v>9.4791666665050914E-4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input_585100!A$2</f>
        <v>585100</v>
      </c>
      <c r="B274" s="5">
        <v>770</v>
      </c>
      <c r="C274" s="7" t="str">
        <f t="shared" si="18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IFERROR(VLOOKUP(B274,input_585100!L:R,7,FALSE),VLOOKUP(tables_585100!C274,input_585100!A:H,8,FALSE))</f>
        <v>28285.71429</v>
      </c>
      <c r="P274" s="46">
        <f t="shared" ca="1" si="17"/>
        <v>1.3392857144658079E-3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input_585100!A$2</f>
        <v>585100</v>
      </c>
      <c r="B275" s="5">
        <v>771</v>
      </c>
      <c r="C275" s="7" t="str">
        <f t="shared" si="18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IFERROR(VLOOKUP(B275,input_585100!L:R,7,FALSE),VLOOKUP(tables_585100!C275,input_585100!A:H,8,FALSE))</f>
        <v>11000</v>
      </c>
      <c r="P275" s="46">
        <f t="shared" ca="1" si="17"/>
        <v>5.2083333332445555E-4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input_585100!A$2</f>
        <v>585100</v>
      </c>
      <c r="B276" s="5">
        <v>772</v>
      </c>
      <c r="C276" s="7" t="str">
        <f t="shared" si="18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IFERROR(VLOOKUP(B276,input_585100!L:R,7,FALSE),VLOOKUP(tables_585100!C276,input_585100!A:H,8,FALSE))</f>
        <v>28285.71429</v>
      </c>
      <c r="P276" s="46">
        <f t="shared" ca="1" si="17"/>
        <v>1.3392857144658079E-3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input_585100!A$2</f>
        <v>585100</v>
      </c>
      <c r="B277" s="5">
        <v>773</v>
      </c>
      <c r="C277" s="7" t="str">
        <f t="shared" si="18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IFERROR(VLOOKUP(B277,input_585100!L:R,7,FALSE),VLOOKUP(tables_585100!C277,input_585100!A:H,8,FALSE))</f>
        <v>11000</v>
      </c>
      <c r="P277" s="46">
        <f t="shared" ca="1" si="17"/>
        <v>5.2083333332445555E-4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input_585100!A$2</f>
        <v>585100</v>
      </c>
      <c r="B278" s="5">
        <v>774</v>
      </c>
      <c r="C278" s="7" t="str">
        <f t="shared" si="18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IFERROR(VLOOKUP(B278,input_585100!L:R,7,FALSE),VLOOKUP(tables_585100!C278,input_585100!A:H,8,FALSE))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input_585100!A$2</f>
        <v>585100</v>
      </c>
      <c r="B279" s="5">
        <v>775</v>
      </c>
      <c r="C279" s="7" t="str">
        <f t="shared" si="18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IFERROR(VLOOKUP(B279,input_585100!L:R,7,FALSE),VLOOKUP(tables_585100!C279,input_585100!A:H,8,FALSE))</f>
        <v>180180</v>
      </c>
      <c r="P279" s="46">
        <f t="shared" ca="1" si="17"/>
        <v>8.5312499998545822E-3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input_585100!A$2</f>
        <v>585100</v>
      </c>
      <c r="B280" s="5">
        <v>776</v>
      </c>
      <c r="C280" s="7" t="str">
        <f t="shared" si="18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IFERROR(VLOOKUP(B280,input_585100!L:R,7,FALSE),VLOOKUP(tables_585100!C280,input_585100!A:H,8,FALSE))</f>
        <v>9265.3846200000007</v>
      </c>
      <c r="P280" s="46">
        <f t="shared" ca="1" si="17"/>
        <v>4.3870192328797678E-4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input_585100!A$2</f>
        <v>585100</v>
      </c>
      <c r="B281" s="5">
        <v>777</v>
      </c>
      <c r="C281" s="7" t="str">
        <f t="shared" si="18"/>
        <v>Premium3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IFERROR(VLOOKUP(B281,input_585100!L:R,7,FALSE),VLOOKUP(tables_585100!C281,input_585100!A:H,8,FALSE))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input_585100!A$2</f>
        <v>585100</v>
      </c>
      <c r="B282" s="5">
        <v>778</v>
      </c>
      <c r="C282" s="7" t="str">
        <f t="shared" si="18"/>
        <v>Premium4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IFERROR(VLOOKUP(B282,input_585100!L:R,7,FALSE),VLOOKUP(tables_585100!C282,input_585100!A:H,8,FALSE))</f>
        <v>180180</v>
      </c>
      <c r="P282" s="46">
        <f t="shared" ca="1" si="17"/>
        <v>8.5312499998545822E-3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input_585100!A$2</f>
        <v>585100</v>
      </c>
      <c r="B283" s="5">
        <v>779</v>
      </c>
      <c r="C283" s="7" t="str">
        <f t="shared" si="18"/>
        <v>Premium5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IFERROR(VLOOKUP(B283,input_585100!L:R,7,FALSE),VLOOKUP(tables_585100!C283,input_585100!A:H,8,FALSE))</f>
        <v>9265.3846200000007</v>
      </c>
      <c r="P283" s="46">
        <f t="shared" ca="1" si="17"/>
        <v>4.3870192328797678E-4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input_585100!A$2</f>
        <v>585100</v>
      </c>
      <c r="B284" s="5">
        <v>848</v>
      </c>
      <c r="C284" s="7" t="str">
        <f t="shared" si="18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IFERROR(VLOOKUP(B284,input_585100!L:R,7,FALSE),VLOOKUP(tables_585100!C284,input_585100!A:H,8,FALSE))</f>
        <v>11000</v>
      </c>
      <c r="P284" s="46">
        <f t="shared" ca="1" si="17"/>
        <v>5.2083333332445555E-4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input_585100!A$2</f>
        <v>585100</v>
      </c>
      <c r="B285" s="5">
        <v>850</v>
      </c>
      <c r="C285" s="7" t="str">
        <f t="shared" si="18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IFERROR(VLOOKUP(B285,input_585100!L:R,7,FALSE),VLOOKUP(tables_585100!C285,input_585100!A:H,8,FALSE))</f>
        <v>11000</v>
      </c>
      <c r="P285" s="46">
        <f t="shared" ca="1" si="17"/>
        <v>5.2083333332445555E-4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input_585100!A$2</f>
        <v>585100</v>
      </c>
      <c r="B286" s="5">
        <v>852</v>
      </c>
      <c r="C286" s="7" t="str">
        <f t="shared" si="18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IFERROR(VLOOKUP(B286,input_585100!L:R,7,FALSE),VLOOKUP(tables_585100!C286,input_585100!A:H,8,FALSE))</f>
        <v>174174</v>
      </c>
      <c r="P286" s="46">
        <f t="shared" ca="1" si="17"/>
        <v>8.2468749998594292E-3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input_585100!A$2</f>
        <v>585100</v>
      </c>
      <c r="B287" s="5">
        <v>853</v>
      </c>
      <c r="C287" s="7" t="str">
        <f t="shared" si="18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IFERROR(VLOOKUP(B287,input_585100!L:R,7,FALSE),VLOOKUP(tables_585100!C287,input_585100!A:H,8,FALSE))</f>
        <v>20020</v>
      </c>
      <c r="P287" s="46">
        <f t="shared" ca="1" si="17"/>
        <v>9.4791666665050914E-4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input_585100!A$2</f>
        <v>585100</v>
      </c>
      <c r="B288" s="5">
        <v>854</v>
      </c>
      <c r="C288" s="7" t="str">
        <f t="shared" si="18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IFERROR(VLOOKUP(B288,input_585100!L:R,7,FALSE),VLOOKUP(tables_585100!C288,input_585100!A:H,8,FALSE))</f>
        <v>174174</v>
      </c>
      <c r="P288" s="46">
        <f t="shared" ca="1" si="17"/>
        <v>8.2468749998594292E-3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input_585100!A$2</f>
        <v>585100</v>
      </c>
      <c r="B289" s="5">
        <v>855</v>
      </c>
      <c r="C289" s="7" t="str">
        <f t="shared" si="18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IFERROR(VLOOKUP(B289,input_585100!L:R,7,FALSE),VLOOKUP(tables_585100!C289,input_585100!A:H,8,FALSE))</f>
        <v>20020</v>
      </c>
      <c r="P289" s="46">
        <f t="shared" ca="1" si="17"/>
        <v>9.4791666665050914E-4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input_585100!A$2</f>
        <v>585100</v>
      </c>
      <c r="B290" s="5">
        <v>862</v>
      </c>
      <c r="C290" s="7" t="str">
        <f t="shared" si="18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IFERROR(VLOOKUP(B290,input_585100!L:R,7,FALSE),VLOOKUP(tables_585100!C290,input_585100!A:H,8,FALSE))</f>
        <v>174174</v>
      </c>
      <c r="P290" s="46">
        <f t="shared" ca="1" si="17"/>
        <v>8.2468749998594292E-3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input_585100!A$2</f>
        <v>585100</v>
      </c>
      <c r="B291" s="5">
        <v>863</v>
      </c>
      <c r="C291" s="7" t="str">
        <f t="shared" si="18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IFERROR(VLOOKUP(B291,input_585100!L:R,7,FALSE),VLOOKUP(tables_585100!C291,input_585100!A:H,8,FALSE))</f>
        <v>20020</v>
      </c>
      <c r="P291" s="46">
        <f t="shared" ca="1" si="17"/>
        <v>9.4791666665050914E-4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input_585100!A$2</f>
        <v>585100</v>
      </c>
      <c r="B292" s="5">
        <v>864</v>
      </c>
      <c r="C292" s="7" t="str">
        <f t="shared" si="18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IFERROR(VLOOKUP(B292,input_585100!L:R,7,FALSE),VLOOKUP(tables_585100!C292,input_585100!A:H,8,FALSE))</f>
        <v>174174</v>
      </c>
      <c r="P292" s="46">
        <f t="shared" ca="1" si="17"/>
        <v>8.2468749998594292E-3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input_585100!A$2</f>
        <v>585100</v>
      </c>
      <c r="B293" s="5">
        <v>865</v>
      </c>
      <c r="C293" s="7" t="str">
        <f t="shared" si="18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IFERROR(VLOOKUP(B293,input_585100!L:R,7,FALSE),VLOOKUP(tables_585100!C293,input_585100!A:H,8,FALSE))</f>
        <v>20020</v>
      </c>
      <c r="P293" s="46">
        <f t="shared" ca="1" si="17"/>
        <v>9.4791666665050914E-4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input_585100!A$2</f>
        <v>585100</v>
      </c>
      <c r="B294" s="5">
        <v>866</v>
      </c>
      <c r="C294" s="7" t="str">
        <f t="shared" si="18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IFERROR(VLOOKUP(B294,input_585100!L:R,7,FALSE),VLOOKUP(tables_585100!C294,input_585100!A:H,8,FALSE))</f>
        <v>11000</v>
      </c>
      <c r="P294" s="46">
        <f t="shared" ca="1" si="17"/>
        <v>5.2083333332445555E-4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input_585100!A$2</f>
        <v>585100</v>
      </c>
      <c r="B295" s="5">
        <v>868</v>
      </c>
      <c r="C295" s="7" t="str">
        <f t="shared" si="18"/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IFERROR(VLOOKUP(B295,input_585100!L:R,7,FALSE),VLOOKUP(tables_585100!C295,input_585100!A:H,8,FALSE))</f>
        <v>11000</v>
      </c>
      <c r="P295" s="46">
        <f t="shared" ca="1" si="17"/>
        <v>5.2083333332445555E-4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input_585100!A$2</f>
        <v>585100</v>
      </c>
      <c r="B296" s="5">
        <v>937</v>
      </c>
      <c r="C296" s="7" t="str">
        <f t="shared" si="18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IFERROR(VLOOKUP(B296,input_585100!L:R,7,FALSE),VLOOKUP(tables_585100!C296,input_585100!A:H,8,FALSE))</f>
        <v>11000</v>
      </c>
      <c r="P296" s="46">
        <f t="shared" ca="1" si="17"/>
        <v>5.2083333332445555E-4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input_585100!A$2</f>
        <v>585100</v>
      </c>
      <c r="B297" s="5">
        <v>939</v>
      </c>
      <c r="C297" s="7" t="str">
        <f t="shared" si="18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IFERROR(VLOOKUP(B297,input_585100!L:R,7,FALSE),VLOOKUP(tables_585100!C297,input_585100!A:H,8,FALSE))</f>
        <v>174174</v>
      </c>
      <c r="P297" s="46">
        <f t="shared" ca="1" si="17"/>
        <v>8.2468749998594292E-3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input_585100!A$2</f>
        <v>585100</v>
      </c>
      <c r="B298" s="5">
        <v>940</v>
      </c>
      <c r="C298" s="7" t="str">
        <f t="shared" si="18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IFERROR(VLOOKUP(B298,input_585100!L:R,7,FALSE),VLOOKUP(tables_585100!C298,input_585100!A:H,8,FALSE))</f>
        <v>20020</v>
      </c>
      <c r="P298" s="46">
        <f t="shared" ca="1" si="17"/>
        <v>9.4791666665050914E-4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input_585100!A$2</f>
        <v>585100</v>
      </c>
      <c r="B299" s="5">
        <v>941</v>
      </c>
      <c r="C299" s="7" t="str">
        <f t="shared" si="18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IFERROR(VLOOKUP(B299,input_585100!L:R,7,FALSE),VLOOKUP(tables_585100!C299,input_585100!A:H,8,FALSE))</f>
        <v>11000</v>
      </c>
      <c r="P299" s="46">
        <f t="shared" ca="1" si="17"/>
        <v>5.2083333332445555E-4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input_585100!A$2</f>
        <v>585100</v>
      </c>
      <c r="B300" s="5">
        <v>943</v>
      </c>
      <c r="C300" s="7" t="str">
        <f t="shared" si="18"/>
        <v>PremiumSS5R5only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IFERROR(VLOOKUP(B300,input_585100!L:R,7,FALSE),VLOOKUP(tables_585100!C300,input_585100!A:H,8,FALSE))</f>
        <v>11000</v>
      </c>
      <c r="P300" s="46">
        <f t="shared" ca="1" si="17"/>
        <v>5.2083333332445555E-4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input_585100!A$2</f>
        <v>585100</v>
      </c>
      <c r="B301" s="5">
        <v>1012</v>
      </c>
      <c r="C301" s="7" t="str">
        <f t="shared" si="18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IFERROR(VLOOKUP(B301,input_585100!L:R,7,FALSE),VLOOKUP(tables_585100!C301,input_585100!A:H,8,FALSE))</f>
        <v>11000</v>
      </c>
      <c r="P301" s="46">
        <f t="shared" ca="1" si="17"/>
        <v>5.2083333332445555E-4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input_585100!A$2</f>
        <v>585100</v>
      </c>
      <c r="B302" s="5">
        <v>1014</v>
      </c>
      <c r="C302" s="7" t="str">
        <f t="shared" si="18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IFERROR(VLOOKUP(B302,input_585100!L:R,7,FALSE),VLOOKUP(tables_585100!C302,input_585100!A:H,8,FALSE))</f>
        <v>11000</v>
      </c>
      <c r="P302" s="46">
        <f t="shared" ca="1" si="17"/>
        <v>5.2083333332445555E-4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input_585100!A$2</f>
        <v>585100</v>
      </c>
      <c r="B303" s="5">
        <v>1016</v>
      </c>
      <c r="C303" s="7" t="str">
        <f t="shared" si="18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IFERROR(VLOOKUP(B303,input_585100!L:R,7,FALSE),VLOOKUP(tables_585100!C303,input_585100!A:H,8,FALSE))</f>
        <v>174174</v>
      </c>
      <c r="P303" s="46">
        <f t="shared" ca="1" si="17"/>
        <v>8.2468749998594292E-3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input_585100!A$2</f>
        <v>585100</v>
      </c>
      <c r="B304" s="5">
        <v>1017</v>
      </c>
      <c r="C304" s="7" t="str">
        <f t="shared" si="18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IFERROR(VLOOKUP(B304,input_585100!L:R,7,FALSE),VLOOKUP(tables_585100!C304,input_585100!A:H,8,FALSE))</f>
        <v>20020</v>
      </c>
      <c r="P304" s="46">
        <f t="shared" ca="1" si="17"/>
        <v>9.4791666665050914E-4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input_585100!A$2</f>
        <v>585100</v>
      </c>
      <c r="B305" s="5">
        <v>1018</v>
      </c>
      <c r="C305" s="7" t="str">
        <f t="shared" si="18"/>
        <v>PremiumSS5R5only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IFERROR(VLOOKUP(B305,input_585100!L:R,7,FALSE),VLOOKUP(tables_585100!C305,input_585100!A:H,8,FALSE))</f>
        <v>11000</v>
      </c>
      <c r="P305" s="46">
        <f t="shared" ca="1" si="17"/>
        <v>5.2083333332445555E-4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input_585100!A$2</f>
        <v>585100</v>
      </c>
      <c r="B306" s="5">
        <v>1026</v>
      </c>
      <c r="C306" s="7" t="str">
        <f t="shared" si="18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IFERROR(VLOOKUP(B306,input_585100!L:R,7,FALSE),VLOOKUP(tables_585100!C306,input_585100!A:H,8,FALSE))</f>
        <v>174174</v>
      </c>
      <c r="P306" s="46">
        <f t="shared" ca="1" si="17"/>
        <v>8.2468749998594292E-3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input_585100!A$2</f>
        <v>585100</v>
      </c>
      <c r="B307" s="5">
        <v>1027</v>
      </c>
      <c r="C307" s="7" t="str">
        <f t="shared" si="18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IFERROR(VLOOKUP(B307,input_585100!L:R,7,FALSE),VLOOKUP(tables_585100!C307,input_585100!A:H,8,FALSE))</f>
        <v>20020</v>
      </c>
      <c r="P307" s="46">
        <f t="shared" ca="1" si="17"/>
        <v>9.4791666665050914E-4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input_585100!A$2</f>
        <v>585100</v>
      </c>
      <c r="B308" s="5">
        <v>1028</v>
      </c>
      <c r="C308" s="7" t="str">
        <f t="shared" si="18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IFERROR(VLOOKUP(B308,input_585100!L:R,7,FALSE),VLOOKUP(tables_585100!C308,input_585100!A:H,8,FALSE))</f>
        <v>11000</v>
      </c>
      <c r="P308" s="46">
        <f t="shared" ca="1" si="17"/>
        <v>5.2083333332445555E-4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input_585100!A$2</f>
        <v>585100</v>
      </c>
      <c r="B309" s="5">
        <v>1031</v>
      </c>
      <c r="C309" s="7" t="str">
        <f t="shared" si="18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IFERROR(VLOOKUP(B309,input_585100!L:R,7,FALSE),VLOOKUP(tables_585100!C309,input_585100!A:H,8,FALSE))</f>
        <v>11000</v>
      </c>
      <c r="P309" s="46">
        <f t="shared" ca="1" si="17"/>
        <v>5.2083333332445555E-4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input_585100!A$2</f>
        <v>585100</v>
      </c>
      <c r="B310" s="5">
        <v>1033</v>
      </c>
      <c r="C310" s="7" t="str">
        <f t="shared" si="18"/>
        <v>PremiumSS5R5only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IFERROR(VLOOKUP(B310,input_585100!L:R,7,FALSE),VLOOKUP(tables_585100!C310,input_585100!A:H,8,FALSE))</f>
        <v>11000</v>
      </c>
      <c r="P310" s="46">
        <f t="shared" ca="1" si="17"/>
        <v>5.2083333332445555E-4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input_585100!A$2</f>
        <v>585100</v>
      </c>
      <c r="B311" s="5">
        <v>1067</v>
      </c>
      <c r="C311" s="7" t="str">
        <f t="shared" si="18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IFERROR(VLOOKUP(B311,input_585100!L:R,7,FALSE),VLOOKUP(tables_585100!C311,input_585100!A:H,8,FALSE))</f>
        <v>174174</v>
      </c>
      <c r="P311" s="46">
        <f t="shared" ca="1" si="17"/>
        <v>8.2468749998594292E-3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input_585100!A$2</f>
        <v>585100</v>
      </c>
      <c r="B312" s="5">
        <v>1068</v>
      </c>
      <c r="C312" s="7" t="str">
        <f t="shared" si="18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IFERROR(VLOOKUP(B312,input_585100!L:R,7,FALSE),VLOOKUP(tables_585100!C312,input_585100!A:H,8,FALSE))</f>
        <v>20020</v>
      </c>
      <c r="P312" s="46">
        <f t="shared" ca="1" si="17"/>
        <v>9.4791666665050914E-4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input_585100!A$2</f>
        <v>585100</v>
      </c>
      <c r="B313" s="5">
        <v>1069</v>
      </c>
      <c r="C313" s="7" t="str">
        <f t="shared" si="18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IFERROR(VLOOKUP(B313,input_585100!L:R,7,FALSE),VLOOKUP(tables_585100!C313,input_585100!A:H,8,FALSE))</f>
        <v>11000</v>
      </c>
      <c r="P313" s="46">
        <f t="shared" ca="1" si="17"/>
        <v>5.2083333332445555E-4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input_585100!A$2</f>
        <v>585100</v>
      </c>
      <c r="B314" s="5">
        <v>1072</v>
      </c>
      <c r="C314" s="7" t="str">
        <f t="shared" si="18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IFERROR(VLOOKUP(B314,input_585100!L:R,7,FALSE),VLOOKUP(tables_585100!C314,input_585100!A:H,8,FALSE))</f>
        <v>11000</v>
      </c>
      <c r="P314" s="46">
        <f t="shared" ca="1" si="17"/>
        <v>5.2083333332445555E-4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input_585100!A$2</f>
        <v>585100</v>
      </c>
      <c r="B315" s="5">
        <v>1074</v>
      </c>
      <c r="C315" s="7" t="str">
        <f t="shared" si="18"/>
        <v>PremiumSS5R5only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IFERROR(VLOOKUP(B315,input_585100!L:R,7,FALSE),VLOOKUP(tables_585100!C315,input_585100!A:H,8,FALSE))</f>
        <v>11000</v>
      </c>
      <c r="P315" s="46">
        <f t="shared" ca="1" si="17"/>
        <v>5.2083333332445555E-4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input_585100!A$2</f>
        <v>585100</v>
      </c>
      <c r="B316" s="5">
        <v>1100</v>
      </c>
      <c r="C316" s="7" t="str">
        <f t="shared" si="18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IFERROR(VLOOKUP(B316,input_585100!L:R,7,FALSE),VLOOKUP(tables_585100!C316,input_585100!A:H,8,FALSE))</f>
        <v>11000</v>
      </c>
      <c r="P316" s="46">
        <f t="shared" ca="1" si="17"/>
        <v>5.2083333332445555E-4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input_585100!A$2</f>
        <v>585100</v>
      </c>
      <c r="B317" s="5">
        <v>1102</v>
      </c>
      <c r="C317" s="7" t="str">
        <f t="shared" si="18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IFERROR(VLOOKUP(B317,input_585100!L:R,7,FALSE),VLOOKUP(tables_585100!C317,input_585100!A:H,8,FALSE))</f>
        <v>11000</v>
      </c>
      <c r="P317" s="46">
        <f t="shared" ca="1" si="17"/>
        <v>5.2083333332445555E-4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input_585100!A$2</f>
        <v>585100</v>
      </c>
      <c r="B318" s="5">
        <v>1104</v>
      </c>
      <c r="C318" s="7" t="str">
        <f t="shared" si="18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IFERROR(VLOOKUP(B318,input_585100!L:R,7,FALSE),VLOOKUP(tables_585100!C318,input_585100!A:H,8,FALSE))</f>
        <v>174174</v>
      </c>
      <c r="P318" s="46">
        <f t="shared" ca="1" si="17"/>
        <v>8.2468749998594292E-3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input_585100!A$2</f>
        <v>585100</v>
      </c>
      <c r="B319" s="5">
        <v>1105</v>
      </c>
      <c r="C319" s="7" t="str">
        <f t="shared" si="18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IFERROR(VLOOKUP(B319,input_585100!L:R,7,FALSE),VLOOKUP(tables_585100!C319,input_585100!A:H,8,FALSE))</f>
        <v>20020</v>
      </c>
      <c r="P319" s="46">
        <f t="shared" ca="1" si="17"/>
        <v>9.4791666665050914E-4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input_585100!A$2</f>
        <v>585100</v>
      </c>
      <c r="B320" s="5">
        <v>1106</v>
      </c>
      <c r="C320" s="7" t="str">
        <f t="shared" si="18"/>
        <v>PremiumSS5R5only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IFERROR(VLOOKUP(B320,input_585100!L:R,7,FALSE),VLOOKUP(tables_585100!C320,input_585100!A:H,8,FALSE))</f>
        <v>11000</v>
      </c>
      <c r="P320" s="46">
        <f t="shared" ca="1" si="17"/>
        <v>5.2083333332445555E-4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input_585100!A$2</f>
        <v>585100</v>
      </c>
      <c r="B321" s="5">
        <v>1137</v>
      </c>
      <c r="C321" s="7" t="str">
        <f t="shared" si="18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IFERROR(VLOOKUP(B321,input_585100!L:R,7,FALSE),VLOOKUP(tables_585100!C321,input_585100!A:H,8,FALSE))</f>
        <v>11000</v>
      </c>
      <c r="P321" s="46">
        <f t="shared" ca="1" si="17"/>
        <v>5.2083333332445555E-4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input_585100!A$2</f>
        <v>585100</v>
      </c>
      <c r="B322" s="5">
        <v>1139</v>
      </c>
      <c r="C322" s="7" t="str">
        <f t="shared" si="18"/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IFERROR(VLOOKUP(B322,input_585100!L:R,7,FALSE),VLOOKUP(tables_585100!C322,input_585100!A:H,8,FALSE))</f>
        <v>11000</v>
      </c>
      <c r="P322" s="46">
        <f t="shared" ref="P322:P359" ca="1" si="20">O322/SUM(O:O)</f>
        <v>5.2083333332445555E-4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input_585100!A$2</f>
        <v>585100</v>
      </c>
      <c r="B323" s="5">
        <v>1141</v>
      </c>
      <c r="C323" s="7" t="str">
        <f t="shared" si="18"/>
        <v>PremiumSS5R5only</v>
      </c>
      <c r="D323" s="7" t="str">
        <f t="shared" si="19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IFERROR(VLOOKUP(B323,input_585100!L:R,7,FALSE),VLOOKUP(tables_585100!C323,input_585100!A:H,8,FALSE))</f>
        <v>11000</v>
      </c>
      <c r="P323" s="46">
        <f t="shared" ca="1" si="20"/>
        <v>5.2083333332445555E-4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input_585100!A$2</f>
        <v>585100</v>
      </c>
      <c r="B324" s="5">
        <v>1143</v>
      </c>
      <c r="C324" s="7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IFERROR(VLOOKUP(B324,input_585100!L:R,7,FALSE),VLOOKUP(tables_585100!C324,input_585100!A:H,8,FALSE))</f>
        <v>174174</v>
      </c>
      <c r="P324" s="46">
        <f t="shared" ca="1" si="20"/>
        <v>8.2468749998594292E-3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input_585100!A$2</f>
        <v>585100</v>
      </c>
      <c r="B325" s="5">
        <v>1144</v>
      </c>
      <c r="C325" s="7" t="str">
        <f t="shared" si="18"/>
        <v>Premium5R3less</v>
      </c>
      <c r="D325" s="7" t="str">
        <f t="shared" si="1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IFERROR(VLOOKUP(B325,input_585100!L:R,7,FALSE),VLOOKUP(tables_585100!C325,input_585100!A:H,8,FALSE))</f>
        <v>20020</v>
      </c>
      <c r="P325" s="46">
        <f t="shared" ca="1" si="20"/>
        <v>9.4791666665050914E-4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input_585100!A$2</f>
        <v>585100</v>
      </c>
      <c r="B326" s="5">
        <v>1151</v>
      </c>
      <c r="C326" s="7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IFERROR(VLOOKUP(B326,input_585100!L:R,7,FALSE),VLOOKUP(tables_585100!C326,input_585100!A:H,8,FALSE))</f>
        <v>174174</v>
      </c>
      <c r="P326" s="46">
        <f t="shared" ca="1" si="20"/>
        <v>8.2468749998594292E-3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input_585100!A$2</f>
        <v>585100</v>
      </c>
      <c r="B327" s="5">
        <v>1152</v>
      </c>
      <c r="C327" s="7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IFERROR(VLOOKUP(B327,input_585100!L:R,7,FALSE),VLOOKUP(tables_585100!C327,input_585100!A:H,8,FALSE))</f>
        <v>20020</v>
      </c>
      <c r="P327" s="46">
        <f t="shared" ca="1" si="20"/>
        <v>9.4791666665050914E-4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input_585100!A$2</f>
        <v>585100</v>
      </c>
      <c r="B328" s="5">
        <v>1153</v>
      </c>
      <c r="C328" s="7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IFERROR(VLOOKUP(B328,input_585100!L:R,7,FALSE),VLOOKUP(tables_585100!C328,input_585100!A:H,8,FALSE))</f>
        <v>11000</v>
      </c>
      <c r="P328" s="46">
        <f t="shared" ca="1" si="20"/>
        <v>5.2083333332445555E-4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input_585100!A$2</f>
        <v>585100</v>
      </c>
      <c r="B329" s="5">
        <v>1155</v>
      </c>
      <c r="C329" s="7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IFERROR(VLOOKUP(B329,input_585100!L:R,7,FALSE),VLOOKUP(tables_585100!C329,input_585100!A:H,8,FALSE))</f>
        <v>11000</v>
      </c>
      <c r="P329" s="46">
        <f t="shared" ca="1" si="20"/>
        <v>5.2083333332445555E-4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input_585100!A$2</f>
        <v>585100</v>
      </c>
      <c r="B330" s="5">
        <v>1157</v>
      </c>
      <c r="C330" s="7" t="str">
        <f t="shared" ref="C330:C355" si="21">D330&amp;J330&amp;E330&amp;F330&amp;G330</f>
        <v>PremiumSS5R5only</v>
      </c>
      <c r="D330" s="7" t="str">
        <f t="shared" ref="D330:D355" si="22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IFERROR(VLOOKUP(B330,input_585100!L:R,7,FALSE),VLOOKUP(tables_585100!C330,input_585100!A:H,8,FALSE))</f>
        <v>11000</v>
      </c>
      <c r="P330" s="46">
        <f t="shared" ca="1" si="20"/>
        <v>5.2083333332445555E-4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input_585100!A$2</f>
        <v>585100</v>
      </c>
      <c r="B331" s="5">
        <v>1214</v>
      </c>
      <c r="C331" s="7" t="str">
        <f t="shared" si="21"/>
        <v>PremiumSS5R5only</v>
      </c>
      <c r="D331" s="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IFERROR(VLOOKUP(B331,input_585100!L:R,7,FALSE),VLOOKUP(tables_585100!C331,input_585100!A:H,8,FALSE))</f>
        <v>11000</v>
      </c>
      <c r="P331" s="46">
        <f t="shared" ca="1" si="20"/>
        <v>5.2083333332445555E-4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input_585100!A$2</f>
        <v>585100</v>
      </c>
      <c r="B332" s="5">
        <v>1212</v>
      </c>
      <c r="C332" s="7" t="str">
        <f t="shared" si="21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IFERROR(VLOOKUP(B332,input_585100!L:R,7,FALSE),VLOOKUP(tables_585100!C332,input_585100!A:H,8,FALSE))</f>
        <v>11000</v>
      </c>
      <c r="P332" s="46">
        <f t="shared" ca="1" si="20"/>
        <v>5.2083333332445555E-4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input_585100!A$2</f>
        <v>585100</v>
      </c>
      <c r="B333" s="5">
        <v>1208</v>
      </c>
      <c r="C333" s="7" t="str">
        <f t="shared" si="21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IFERROR(VLOOKUP(B333,input_585100!L:R,7,FALSE),VLOOKUP(tables_585100!C333,input_585100!A:H,8,FALSE))</f>
        <v>11000</v>
      </c>
      <c r="P333" s="46">
        <f t="shared" ca="1" si="20"/>
        <v>5.2083333332445555E-4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input_585100!A$2</f>
        <v>585100</v>
      </c>
      <c r="B334" s="5">
        <v>1210</v>
      </c>
      <c r="C334" s="7" t="str">
        <f t="shared" si="21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IFERROR(VLOOKUP(B334,input_585100!L:R,7,FALSE),VLOOKUP(tables_585100!C334,input_585100!A:H,8,FALSE))</f>
        <v>174174</v>
      </c>
      <c r="P334" s="46">
        <f t="shared" ca="1" si="20"/>
        <v>8.2468749998594292E-3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input_585100!A$2</f>
        <v>585100</v>
      </c>
      <c r="B335" s="5">
        <v>1211</v>
      </c>
      <c r="C335" s="7" t="str">
        <f t="shared" si="21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IFERROR(VLOOKUP(B335,input_585100!L:R,7,FALSE),VLOOKUP(tables_585100!C335,input_585100!A:H,8,FALSE))</f>
        <v>20020</v>
      </c>
      <c r="P335" s="46">
        <f t="shared" ca="1" si="20"/>
        <v>9.4791666665050914E-4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input_585100!A$2</f>
        <v>585100</v>
      </c>
      <c r="B336" s="5">
        <v>1224</v>
      </c>
      <c r="C336" s="7" t="str">
        <f t="shared" si="21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IFERROR(VLOOKUP(B336,input_585100!L:R,7,FALSE),VLOOKUP(tables_585100!C336,input_585100!A:H,8,FALSE))</f>
        <v>174174</v>
      </c>
      <c r="P336" s="46">
        <f t="shared" ca="1" si="20"/>
        <v>8.2468749998594292E-3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input_585100!A$2</f>
        <v>585100</v>
      </c>
      <c r="B337" s="5">
        <v>1225</v>
      </c>
      <c r="C337" s="7" t="str">
        <f t="shared" si="21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IFERROR(VLOOKUP(B337,input_585100!L:R,7,FALSE),VLOOKUP(tables_585100!C337,input_585100!A:H,8,FALSE))</f>
        <v>20020</v>
      </c>
      <c r="P337" s="46">
        <f t="shared" ca="1" si="20"/>
        <v>9.4791666665050914E-4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input_585100!A$2</f>
        <v>585100</v>
      </c>
      <c r="B338" s="5">
        <v>1226</v>
      </c>
      <c r="C338" s="7" t="str">
        <f t="shared" si="21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IFERROR(VLOOKUP(B338,input_585100!L:R,7,FALSE),VLOOKUP(tables_585100!C338,input_585100!A:H,8,FALSE))</f>
        <v>11000</v>
      </c>
      <c r="P338" s="46">
        <f t="shared" ca="1" si="20"/>
        <v>5.2083333332445555E-4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input_585100!A$2</f>
        <v>585100</v>
      </c>
      <c r="B339" s="5">
        <v>1228</v>
      </c>
      <c r="C339" s="7" t="str">
        <f t="shared" si="21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IFERROR(VLOOKUP(B339,input_585100!L:R,7,FALSE),VLOOKUP(tables_585100!C339,input_585100!A:H,8,FALSE))</f>
        <v>11000</v>
      </c>
      <c r="P339" s="46">
        <f t="shared" ca="1" si="20"/>
        <v>5.2083333332445555E-4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input_585100!A$2</f>
        <v>585100</v>
      </c>
      <c r="B340" s="5">
        <v>1230</v>
      </c>
      <c r="C340" s="7" t="str">
        <f t="shared" si="21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IFERROR(VLOOKUP(B340,input_585100!L:R,7,FALSE),VLOOKUP(tables_585100!C340,input_585100!A:H,8,FALSE))</f>
        <v>11000</v>
      </c>
      <c r="P340" s="46">
        <f t="shared" ca="1" si="20"/>
        <v>5.2083333332445555E-4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input_585100!A$2</f>
        <v>585100</v>
      </c>
      <c r="B341" s="5">
        <v>1250</v>
      </c>
      <c r="C341" s="7" t="str">
        <f t="shared" si="21"/>
        <v>PremiumSS5R5only</v>
      </c>
      <c r="D341" s="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IFERROR(VLOOKUP(B341,input_585100!L:R,7,FALSE),VLOOKUP(tables_585100!C341,input_585100!A:H,8,FALSE))</f>
        <v>11000</v>
      </c>
      <c r="P341" s="46">
        <f t="shared" ca="1" si="20"/>
        <v>5.2083333332445555E-4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input_585100!A$2</f>
        <v>585100</v>
      </c>
      <c r="B342" s="5">
        <v>1248</v>
      </c>
      <c r="C342" s="7" t="str">
        <f t="shared" si="21"/>
        <v>Premium4R3less</v>
      </c>
      <c r="D342" s="7" t="str">
        <f t="shared" si="22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IFERROR(VLOOKUP(B342,input_585100!L:R,7,FALSE),VLOOKUP(tables_585100!C342,input_585100!A:H,8,FALSE))</f>
        <v>174174</v>
      </c>
      <c r="P342" s="46">
        <f t="shared" ca="1" si="20"/>
        <v>8.2468749998594292E-3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input_585100!A$2</f>
        <v>585100</v>
      </c>
      <c r="B343" s="5">
        <v>1249</v>
      </c>
      <c r="C343" s="7" t="str">
        <f t="shared" si="21"/>
        <v>Premium5R3less</v>
      </c>
      <c r="D343" s="7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IFERROR(VLOOKUP(B343,input_585100!L:R,7,FALSE),VLOOKUP(tables_585100!C343,input_585100!A:H,8,FALSE))</f>
        <v>20020</v>
      </c>
      <c r="P343" s="46">
        <f t="shared" ca="1" si="20"/>
        <v>9.4791666665050914E-4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input_585100!A$2</f>
        <v>585100</v>
      </c>
      <c r="B344" s="5">
        <v>1246</v>
      </c>
      <c r="C344" s="7" t="str">
        <f t="shared" si="21"/>
        <v>PremiumSS5R5only</v>
      </c>
      <c r="D344" s="7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IFERROR(VLOOKUP(B344,input_585100!L:R,7,FALSE),VLOOKUP(tables_585100!C344,input_585100!A:H,8,FALSE))</f>
        <v>11000</v>
      </c>
      <c r="P344" s="46">
        <f t="shared" ca="1" si="20"/>
        <v>5.2083333332445555E-4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input_585100!A$2</f>
        <v>585100</v>
      </c>
      <c r="B345" s="5">
        <v>1244</v>
      </c>
      <c r="C345" s="7" t="str">
        <f t="shared" si="21"/>
        <v>PremiumSS5R5only</v>
      </c>
      <c r="D345" s="7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IFERROR(VLOOKUP(B345,input_585100!L:R,7,FALSE),VLOOKUP(tables_585100!C345,input_585100!A:H,8,FALSE))</f>
        <v>11000</v>
      </c>
      <c r="P345" s="46">
        <f t="shared" ca="1" si="20"/>
        <v>5.2083333332445555E-4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input_585100!A$2</f>
        <v>585100</v>
      </c>
      <c r="B346" s="5">
        <v>1260</v>
      </c>
      <c r="C346" s="7" t="str">
        <f t="shared" si="21"/>
        <v>PremiumSS5R5only</v>
      </c>
      <c r="D346" s="7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IFERROR(VLOOKUP(B346,input_585100!L:R,7,FALSE),VLOOKUP(tables_585100!C346,input_585100!A:H,8,FALSE))</f>
        <v>11000</v>
      </c>
      <c r="P346" s="46">
        <f t="shared" ca="1" si="20"/>
        <v>5.2083333332445555E-4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input_585100!A$2</f>
        <v>585100</v>
      </c>
      <c r="B347" s="5">
        <v>1262</v>
      </c>
      <c r="C347" s="7" t="str">
        <f t="shared" si="21"/>
        <v>PremiumSS5R5only</v>
      </c>
      <c r="D347" s="7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IFERROR(VLOOKUP(B347,input_585100!L:R,7,FALSE),VLOOKUP(tables_585100!C347,input_585100!A:H,8,FALSE))</f>
        <v>11000</v>
      </c>
      <c r="P347" s="46">
        <f t="shared" ca="1" si="20"/>
        <v>5.2083333332445555E-4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input_585100!A$2</f>
        <v>585100</v>
      </c>
      <c r="B348" s="5">
        <v>1264</v>
      </c>
      <c r="C348" s="7" t="str">
        <f t="shared" si="21"/>
        <v>PremiumSS5R5only</v>
      </c>
      <c r="D348" s="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IFERROR(VLOOKUP(B348,input_585100!L:R,7,FALSE),VLOOKUP(tables_585100!C348,input_585100!A:H,8,FALSE))</f>
        <v>11000</v>
      </c>
      <c r="P348" s="46">
        <f t="shared" ca="1" si="20"/>
        <v>5.2083333332445555E-4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input_585100!A$2</f>
        <v>585100</v>
      </c>
      <c r="B349" s="5">
        <v>1266</v>
      </c>
      <c r="C349" s="7" t="str">
        <f t="shared" si="21"/>
        <v>Premium4R3less</v>
      </c>
      <c r="D349" s="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IFERROR(VLOOKUP(B349,input_585100!L:R,7,FALSE),VLOOKUP(tables_585100!C349,input_585100!A:H,8,FALSE))</f>
        <v>174174</v>
      </c>
      <c r="P349" s="46">
        <f t="shared" ca="1" si="20"/>
        <v>8.2468749998594292E-3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input_585100!A$2</f>
        <v>585100</v>
      </c>
      <c r="B350" s="5">
        <v>1267</v>
      </c>
      <c r="C350" s="7" t="str">
        <f t="shared" si="21"/>
        <v>Premium5R3less</v>
      </c>
      <c r="D350" s="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IFERROR(VLOOKUP(B350,input_585100!L:R,7,FALSE),VLOOKUP(tables_585100!C350,input_585100!A:H,8,FALSE))</f>
        <v>20020</v>
      </c>
      <c r="P350" s="46">
        <f t="shared" ca="1" si="20"/>
        <v>9.4791666665050914E-4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input_585100!A$2</f>
        <v>585100</v>
      </c>
      <c r="B351" s="5">
        <v>1332</v>
      </c>
      <c r="C351" s="7" t="str">
        <f t="shared" si="21"/>
        <v>PremiumSS5R5only</v>
      </c>
      <c r="D351" s="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IFERROR(VLOOKUP(B351,input_585100!L:R,7,FALSE),VLOOKUP(tables_585100!C351,input_585100!A:H,8,FALSE))</f>
        <v>11000</v>
      </c>
      <c r="P351" s="46">
        <f t="shared" ca="1" si="20"/>
        <v>5.2083333332445555E-4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input_585100!A$2</f>
        <v>585100</v>
      </c>
      <c r="B352" s="5">
        <v>1336</v>
      </c>
      <c r="C352" s="7" t="str">
        <f t="shared" si="21"/>
        <v>PremiumSS5R5only</v>
      </c>
      <c r="D352" s="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IFERROR(VLOOKUP(B352,input_585100!L:R,7,FALSE),VLOOKUP(tables_585100!C352,input_585100!A:H,8,FALSE))</f>
        <v>11000</v>
      </c>
      <c r="P352" s="46">
        <f t="shared" ca="1" si="20"/>
        <v>5.2083333332445555E-4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input_585100!A$2</f>
        <v>585100</v>
      </c>
      <c r="B353" s="5">
        <v>1338</v>
      </c>
      <c r="C353" s="7" t="str">
        <f t="shared" si="21"/>
        <v>PremiumSS5R5only</v>
      </c>
      <c r="D353" s="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IFERROR(VLOOKUP(B353,input_585100!L:R,7,FALSE),VLOOKUP(tables_585100!C353,input_585100!A:H,8,FALSE))</f>
        <v>11000</v>
      </c>
      <c r="P353" s="46">
        <f t="shared" ca="1" si="20"/>
        <v>5.2083333332445555E-4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input_585100!A$2</f>
        <v>585100</v>
      </c>
      <c r="B354" s="5">
        <v>1334</v>
      </c>
      <c r="C354" s="7" t="str">
        <f t="shared" si="21"/>
        <v>Premium4R3less</v>
      </c>
      <c r="D354" s="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IFERROR(VLOOKUP(B354,input_585100!L:R,7,FALSE),VLOOKUP(tables_585100!C354,input_585100!A:H,8,FALSE))</f>
        <v>174174</v>
      </c>
      <c r="P354" s="46">
        <f t="shared" ca="1" si="20"/>
        <v>8.2468749998594292E-3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input_585100!A$2</f>
        <v>585100</v>
      </c>
      <c r="B355" s="5">
        <v>1335</v>
      </c>
      <c r="C355" s="7" t="str">
        <f t="shared" si="21"/>
        <v>Premium5R3less</v>
      </c>
      <c r="D355" s="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IFERROR(VLOOKUP(B355,input_585100!L:R,7,FALSE),VLOOKUP(tables_585100!C355,input_585100!A:H,8,FALSE))</f>
        <v>20020</v>
      </c>
      <c r="P355" s="46">
        <f t="shared" ca="1" si="20"/>
        <v>9.4791666665050914E-4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input_585100!A$2</f>
        <v>585100</v>
      </c>
      <c r="B356" s="95">
        <v>688</v>
      </c>
      <c r="C356" s="7" t="str">
        <f t="shared" ref="C356:C359" si="23">D356&amp;J356&amp;E356&amp;F356&amp;G356</f>
        <v>PremiumSSS4R3less</v>
      </c>
      <c r="D356" s="7" t="str">
        <f t="shared" ref="D356:D359" si="24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ユークリッド</v>
      </c>
      <c r="I356" s="7" t="str">
        <f>VLOOKUP(B356,[1]characters!$A:$J,10,FALSE)</f>
        <v>PremiumSSS</v>
      </c>
      <c r="J356" s="7">
        <f>VLOOKUP(B356,[1]characters!$A:$I,9,FALSE)</f>
        <v>4</v>
      </c>
      <c r="K356" s="7" t="str">
        <f>VLOOKUP(B356,[1]characters!$A:$H,8,FALSE)</f>
        <v>blue</v>
      </c>
      <c r="L356" s="7" t="str">
        <f>VLOOKUP(B356,[1]characters!$A:$K,11,FALSE)</f>
        <v>balance</v>
      </c>
      <c r="M356" s="7" t="str">
        <f>VLOOKUP(B356,[1]characters!$A:$M,13,FALSE)</f>
        <v>human</v>
      </c>
      <c r="N356" s="7" t="str">
        <f>VLOOKUP(B356,[1]characters!$A:$G,7,FALSE)</f>
        <v>女性</v>
      </c>
      <c r="O356" s="45">
        <f>IFERROR(VLOOKUP(B356,input_585100!L:R,7,FALSE),VLOOKUP(tables_585100!C356,input_585100!A:H,8,FALSE))</f>
        <v>39600</v>
      </c>
      <c r="P356" s="46">
        <f t="shared" ca="1" si="20"/>
        <v>1.87499999996804E-3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input_585100!A$2</f>
        <v>585100</v>
      </c>
      <c r="B357" s="95">
        <v>689</v>
      </c>
      <c r="C357" s="7" t="str">
        <f t="shared" si="23"/>
        <v>PremiumSSS5R3less</v>
      </c>
      <c r="D357" s="7" t="str">
        <f t="shared" si="24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根原論理 ユークリッド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blue</v>
      </c>
      <c r="L357" s="7" t="str">
        <f>VLOOKUP(B357,[1]characters!$A:$K,11,FALSE)</f>
        <v>balance</v>
      </c>
      <c r="M357" s="7" t="str">
        <f>VLOOKUP(B357,[1]characters!$A:$M,13,FALSE)</f>
        <v>human</v>
      </c>
      <c r="N357" s="7" t="str">
        <f>VLOOKUP(B357,[1]characters!$A:$G,7,FALSE)</f>
        <v>女性</v>
      </c>
      <c r="O357" s="45">
        <f>IFERROR(VLOOKUP(B357,input_585100!L:R,7,FALSE),VLOOKUP(tables_585100!C357,input_585100!A:H,8,FALSE))</f>
        <v>39600</v>
      </c>
      <c r="P357" s="46">
        <f t="shared" ca="1" si="20"/>
        <v>1.87499999996804E-3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input_585100!A$2</f>
        <v>585100</v>
      </c>
      <c r="B358" s="95">
        <v>760</v>
      </c>
      <c r="C358" s="7" t="str">
        <f t="shared" si="23"/>
        <v>PremiumSSS5R3less</v>
      </c>
      <c r="D358" s="7" t="str">
        <f t="shared" si="24"/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限論顕現 クロネッカー</v>
      </c>
      <c r="I358" s="7" t="str">
        <f>VLOOKUP(B358,[1]characters!$A:$J,10,FALSE)</f>
        <v>PremiumSSS</v>
      </c>
      <c r="J358" s="7">
        <f>VLOOKUP(B358,[1]characters!$A:$I,9,FALSE)</f>
        <v>5</v>
      </c>
      <c r="K358" s="7" t="str">
        <f>VLOOKUP(B358,[1]characters!$A:$H,8,FALSE)</f>
        <v>yellow</v>
      </c>
      <c r="L358" s="7" t="str">
        <f>VLOOKUP(B358,[1]characters!$A:$K,11,FALSE)</f>
        <v>balance</v>
      </c>
      <c r="M358" s="7" t="str">
        <f>VLOOKUP(B358,[1]characters!$A:$M,13,FALSE)</f>
        <v>human</v>
      </c>
      <c r="N358" s="7" t="str">
        <f>VLOOKUP(B358,[1]characters!$A:$G,7,FALSE)</f>
        <v>男性</v>
      </c>
      <c r="O358" s="45">
        <f>IFERROR(VLOOKUP(B358,input_585100!L:R,7,FALSE),VLOOKUP(tables_585100!C358,input_585100!A:H,8,FALSE))</f>
        <v>79200</v>
      </c>
      <c r="P358" s="46">
        <f t="shared" ca="1" si="20"/>
        <v>3.7499999999360801E-3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input_585100!A$2</f>
        <v>585100</v>
      </c>
      <c r="B359" s="95">
        <v>870</v>
      </c>
      <c r="C359" s="7" t="str">
        <f t="shared" si="23"/>
        <v>PremiumSSS5R3less</v>
      </c>
      <c r="D359" s="7" t="str">
        <f t="shared" si="24"/>
        <v>PremiumSSS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フロイト</v>
      </c>
      <c r="I359" s="7" t="str">
        <f>VLOOKUP(B359,[1]characters!$A:$J,10,FALSE)</f>
        <v>PremiumSSS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balance</v>
      </c>
      <c r="M359" s="7" t="str">
        <f>VLOOKUP(B359,[1]characters!$A:$M,13,FALSE)</f>
        <v>academia</v>
      </c>
      <c r="N359" s="7" t="str">
        <f>VLOOKUP(B359,[1]characters!$A:$G,7,FALSE)</f>
        <v>男性</v>
      </c>
      <c r="O359" s="45">
        <f>IFERROR(VLOOKUP(B359,input_585100!L:R,7,FALSE),VLOOKUP(tables_585100!C359,input_585100!A:H,8,FALSE))</f>
        <v>79200</v>
      </c>
      <c r="P359" s="46">
        <f t="shared" ca="1" si="20"/>
        <v>3.7499999999360801E-3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input_585100!A$2</f>
        <v>585100</v>
      </c>
      <c r="B360" s="95">
        <v>378</v>
      </c>
      <c r="C360" s="7" t="str">
        <f t="shared" ref="C360" si="25">D360&amp;J360&amp;E360&amp;F360&amp;G360</f>
        <v>PremiumSSS4R3less</v>
      </c>
      <c r="D360" s="7" t="str">
        <f t="shared" ref="D360" si="26">IF(OR(I360="PremiumSS",I360="PremiumSSw"),"PremiumSS",IF(I360="PremiumSSS",I360,IF(I360="PremiumW",IF(J360=5,"premium",I360),"Premium")))</f>
        <v>PremiumSSS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オイラー</v>
      </c>
      <c r="I360" s="7" t="str">
        <f>VLOOKUP(B360,[1]characters!$A:$J,10,FALSE)</f>
        <v>PremiumSSS</v>
      </c>
      <c r="J360" s="7">
        <f>VLOOKUP(B360,[1]characters!$A:$I,9,FALSE)</f>
        <v>4</v>
      </c>
      <c r="K360" s="7" t="str">
        <f>VLOOKUP(B360,[1]characters!$A:$H,8,FALSE)</f>
        <v>green</v>
      </c>
      <c r="L360" s="7" t="str">
        <f>VLOOKUP(B360,[1]characters!$A:$K,11,FALSE)</f>
        <v>balance</v>
      </c>
      <c r="M360" s="7" t="str">
        <f>VLOOKUP(B360,[1]characters!$A:$M,13,FALSE)</f>
        <v>human</v>
      </c>
      <c r="N360" s="7" t="str">
        <f>VLOOKUP(B360,[1]characters!$A:$G,7,FALSE)</f>
        <v>女性</v>
      </c>
      <c r="O360" s="45">
        <f>IFERROR(VLOOKUP(B360,input_585100!L:R,7,FALSE),VLOOKUP(tables_585100!C360,input_585100!A:H,8,FALSE))</f>
        <v>39600</v>
      </c>
      <c r="P360" s="46">
        <f t="shared" ref="P360" ca="1" si="27">O360/SUM(O:O)</f>
        <v>1.87499999996804E-3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input_585100!A$2</f>
        <v>585100</v>
      </c>
      <c r="B361" s="95">
        <v>379</v>
      </c>
      <c r="C361" s="7" t="str">
        <f t="shared" ref="C361" si="28">D361&amp;J361&amp;E361&amp;F361&amp;G361</f>
        <v>PremiumSSS5R3less</v>
      </c>
      <c r="D361" s="7" t="str">
        <f t="shared" ref="D361" si="29">IF(OR(I361="PremiumSS",I361="PremiumSSw"),"PremiumSS",IF(I361="PremiumSSS",I361,IF(I361="PremiumW",IF(J361=5,"premium",I361),"Premium")))</f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幾何の機刃 オイラー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balance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>IFERROR(VLOOKUP(B361,input_585100!L:R,7,FALSE),VLOOKUP(tables_585100!C361,input_585100!A:H,8,FALSE))</f>
        <v>39600</v>
      </c>
      <c r="P361" s="46">
        <f t="shared" ref="P361" ca="1" si="30">O361/SUM(O:O)</f>
        <v>1.87499999996804E-3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359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59"/>
  <sheetViews>
    <sheetView showGridLines="0" zoomScale="75" zoomScaleNormal="75" zoomScalePageLayoutView="75" workbookViewId="0">
      <pane ySplit="1" topLeftCell="A124" activePane="bottomLeft" state="frozen"/>
      <selection activeCell="D34" sqref="D34"/>
      <selection pane="bottomLeft" activeCell="P156" sqref="P156:P1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input_585100!A$2</f>
        <v>585100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26208</v>
      </c>
      <c r="P2" s="46">
        <f>O2/SUM(O:O)</f>
        <v>1.1097560975609756E-2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252</v>
      </c>
      <c r="X2" s="1">
        <f>COUNTIF(D:D,"Premium")</f>
        <v>82</v>
      </c>
      <c r="Y2" s="1">
        <f>X5/X2*0.91</f>
        <v>26208</v>
      </c>
    </row>
    <row r="3" spans="1:25" ht="21" customHeight="1" x14ac:dyDescent="0.15">
      <c r="A3" s="2" t="str">
        <f ca="1">input_585100!A$2</f>
        <v>585100</v>
      </c>
      <c r="B3" s="6">
        <v>171</v>
      </c>
      <c r="C3" s="7" t="str">
        <f t="shared" si="0"/>
        <v>Premium5R6release</v>
      </c>
      <c r="D3" s="7" t="str">
        <f t="shared" ref="D3:D37" si="1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26208</v>
      </c>
      <c r="P3" s="46">
        <f>O3/SUM(O:O)</f>
        <v>1.1097560975609756E-2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253</v>
      </c>
      <c r="X3" s="1">
        <f>COUNTIF(D:D,"PremiumSS")</f>
        <v>72</v>
      </c>
      <c r="Y3" s="1">
        <f>X5/X3*0.075</f>
        <v>2460</v>
      </c>
    </row>
    <row r="4" spans="1:25" ht="21" customHeight="1" x14ac:dyDescent="0.15">
      <c r="A4" s="2" t="str">
        <f ca="1">input_585100!A$2</f>
        <v>585100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26208</v>
      </c>
      <c r="P4" s="46">
        <f>O4/SUM(O:O)</f>
        <v>1.1097560975609756E-2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4</v>
      </c>
      <c r="Y4" s="1">
        <f>X5/X4*0.015</f>
        <v>8856</v>
      </c>
    </row>
    <row r="5" spans="1:25" ht="21" customHeight="1" x14ac:dyDescent="0.15">
      <c r="A5" s="2" t="str">
        <f ca="1">input_585100!A$2</f>
        <v>585100</v>
      </c>
      <c r="B5" s="6">
        <v>177</v>
      </c>
      <c r="C5" s="7" t="str">
        <f t="shared" si="0"/>
        <v>Premium5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2">VLOOKUP(D5,$W$2:$Y$4,3,FALSE)</f>
        <v>26208</v>
      </c>
      <c r="P5" s="46">
        <f>O5/SUM(O:O)</f>
        <v>1.1097560975609756E-2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</f>
        <v>2361600</v>
      </c>
    </row>
    <row r="6" spans="1:25" ht="21" customHeight="1" x14ac:dyDescent="0.15">
      <c r="A6" s="2" t="str">
        <f ca="1">input_585100!A$2</f>
        <v>585100</v>
      </c>
      <c r="B6" s="6">
        <v>180</v>
      </c>
      <c r="C6" s="7" t="str">
        <f t="shared" si="0"/>
        <v>Premium5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2"/>
        <v>26208</v>
      </c>
      <c r="P6" s="46">
        <f>O6/SUM(O:O)</f>
        <v>1.1097560975609756E-2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input_585100!A$2</f>
        <v>585100</v>
      </c>
      <c r="B7" s="6">
        <v>183</v>
      </c>
      <c r="C7" s="7" t="str">
        <f t="shared" si="0"/>
        <v>Premium5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2"/>
        <v>26208</v>
      </c>
      <c r="P7" s="46">
        <f>O7/SUM(O:O)</f>
        <v>1.1097560975609756E-2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input_585100!A$2</f>
        <v>585100</v>
      </c>
      <c r="B8" s="6">
        <v>186</v>
      </c>
      <c r="C8" s="7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2"/>
        <v>26208</v>
      </c>
      <c r="P8" s="46">
        <f>O8/SUM(O:O)</f>
        <v>1.1097560975609756E-2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input_585100!A$2</f>
        <v>585100</v>
      </c>
      <c r="B9" s="6">
        <v>189</v>
      </c>
      <c r="C9" s="7" t="str">
        <f t="shared" si="0"/>
        <v>Premium5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2"/>
        <v>26208</v>
      </c>
      <c r="P9" s="46">
        <f>O9/SUM(O:O)</f>
        <v>1.1097560975609756E-2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input_585100!A$2</f>
        <v>585100</v>
      </c>
      <c r="B10" s="6">
        <v>192</v>
      </c>
      <c r="C10" s="7" t="str">
        <f t="shared" si="0"/>
        <v>Premium5</v>
      </c>
      <c r="D10" s="7" t="str">
        <f t="shared" si="1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2"/>
        <v>26208</v>
      </c>
      <c r="P10" s="46">
        <f>O10/SUM(O:O)</f>
        <v>1.1097560975609756E-2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input_585100!A$2</f>
        <v>585100</v>
      </c>
      <c r="B11" s="6">
        <v>195</v>
      </c>
      <c r="C11" s="7" t="str">
        <f t="shared" si="0"/>
        <v>Premium5</v>
      </c>
      <c r="D11" s="7" t="str">
        <f t="shared" si="1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2"/>
        <v>26208</v>
      </c>
      <c r="P11" s="46">
        <f>O11/SUM(O:O)</f>
        <v>1.1097560975609756E-2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input_585100!A$2</f>
        <v>585100</v>
      </c>
      <c r="B12" s="8">
        <v>198</v>
      </c>
      <c r="C12" s="7" t="str">
        <f t="shared" si="0"/>
        <v>Premium5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2"/>
        <v>26208</v>
      </c>
      <c r="P12" s="46">
        <f>O12/SUM(O:O)</f>
        <v>1.1097560975609756E-2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input_585100!A$2</f>
        <v>585100</v>
      </c>
      <c r="B13" s="8">
        <v>201</v>
      </c>
      <c r="C13" s="7" t="str">
        <f t="shared" si="0"/>
        <v>Premium5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2"/>
        <v>26208</v>
      </c>
      <c r="P13" s="46">
        <f>O13/SUM(O:O)</f>
        <v>1.1097560975609756E-2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input_585100!A$2</f>
        <v>585100</v>
      </c>
      <c r="B14" s="6">
        <v>204</v>
      </c>
      <c r="C14" s="7" t="str">
        <f t="shared" si="0"/>
        <v>Premium5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2"/>
        <v>26208</v>
      </c>
      <c r="P14" s="46">
        <f>O14/SUM(O:O)</f>
        <v>1.1097560975609756E-2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input_585100!A$2</f>
        <v>585100</v>
      </c>
      <c r="B15" s="6">
        <v>207</v>
      </c>
      <c r="C15" s="7" t="str">
        <f t="shared" si="0"/>
        <v>Premium5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2"/>
        <v>26208</v>
      </c>
      <c r="P15" s="46">
        <f>O15/SUM(O:O)</f>
        <v>1.1097560975609756E-2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input_585100!A$2</f>
        <v>585100</v>
      </c>
      <c r="B16" s="10">
        <v>210</v>
      </c>
      <c r="C16" s="7" t="str">
        <f t="shared" si="0"/>
        <v>Premium5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2"/>
        <v>26208</v>
      </c>
      <c r="P16" s="46">
        <f>O16/SUM(O:O)</f>
        <v>1.1097560975609756E-2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input_585100!A$2</f>
        <v>585100</v>
      </c>
      <c r="B17" s="11">
        <v>213</v>
      </c>
      <c r="C17" s="7" t="str">
        <f t="shared" si="0"/>
        <v>Premium5</v>
      </c>
      <c r="D17" s="7" t="str">
        <f t="shared" si="1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2"/>
        <v>26208</v>
      </c>
      <c r="P17" s="46">
        <f>O17/SUM(O:O)</f>
        <v>1.1097560975609756E-2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input_585100!A$2</f>
        <v>585100</v>
      </c>
      <c r="B18" s="6">
        <v>216</v>
      </c>
      <c r="C18" s="7" t="str">
        <f t="shared" si="0"/>
        <v>Premium5</v>
      </c>
      <c r="D18" s="7" t="str">
        <f t="shared" si="1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2"/>
        <v>26208</v>
      </c>
      <c r="P18" s="46">
        <f>O18/SUM(O:O)</f>
        <v>1.1097560975609756E-2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input_585100!A$2</f>
        <v>585100</v>
      </c>
      <c r="B19" s="6">
        <v>219</v>
      </c>
      <c r="C19" s="7" t="str">
        <f t="shared" si="0"/>
        <v>Premium5</v>
      </c>
      <c r="D19" s="7" t="str">
        <f t="shared" si="1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2"/>
        <v>26208</v>
      </c>
      <c r="P19" s="46">
        <f>O19/SUM(O:O)</f>
        <v>1.1097560975609756E-2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input_585100!A$2</f>
        <v>585100</v>
      </c>
      <c r="B20" s="10">
        <v>222</v>
      </c>
      <c r="C20" s="7" t="str">
        <f t="shared" si="0"/>
        <v>Premium5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2"/>
        <v>26208</v>
      </c>
      <c r="P20" s="46">
        <f>O20/SUM(O:O)</f>
        <v>1.1097560975609756E-2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input_585100!A$2</f>
        <v>585100</v>
      </c>
      <c r="B21" s="6">
        <v>225</v>
      </c>
      <c r="C21" s="7" t="str">
        <f t="shared" si="0"/>
        <v>Premium5</v>
      </c>
      <c r="D21" s="7" t="str">
        <f t="shared" si="1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2"/>
        <v>26208</v>
      </c>
      <c r="P21" s="46">
        <f>O21/SUM(O:O)</f>
        <v>1.1097560975609756E-2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input_585100!A$2</f>
        <v>585100</v>
      </c>
      <c r="B22" s="6">
        <v>228</v>
      </c>
      <c r="C22" s="7" t="str">
        <f t="shared" si="0"/>
        <v>Premium5</v>
      </c>
      <c r="D22" s="7" t="str">
        <f t="shared" si="1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2"/>
        <v>26208</v>
      </c>
      <c r="P22" s="46">
        <f>O22/SUM(O:O)</f>
        <v>1.1097560975609756E-2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input_585100!A$2</f>
        <v>585100</v>
      </c>
      <c r="B23" s="6">
        <v>231</v>
      </c>
      <c r="C23" s="7" t="str">
        <f t="shared" si="0"/>
        <v>Premium5</v>
      </c>
      <c r="D23" s="7" t="str">
        <f t="shared" si="1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2"/>
        <v>26208</v>
      </c>
      <c r="P23" s="46">
        <f>O23/SUM(O:O)</f>
        <v>1.1097560975609756E-2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input_585100!A$2</f>
        <v>585100</v>
      </c>
      <c r="B24" s="6">
        <v>234</v>
      </c>
      <c r="C24" s="7" t="str">
        <f t="shared" si="0"/>
        <v>Premium5</v>
      </c>
      <c r="D24" s="7" t="str">
        <f t="shared" si="1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2"/>
        <v>26208</v>
      </c>
      <c r="P24" s="46">
        <f>O24/SUM(O:O)</f>
        <v>1.1097560975609756E-2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input_585100!A$2</f>
        <v>585100</v>
      </c>
      <c r="B25" s="6">
        <v>237</v>
      </c>
      <c r="C25" s="7" t="str">
        <f t="shared" si="0"/>
        <v>Premium5R6release</v>
      </c>
      <c r="D25" s="7" t="str">
        <f t="shared" si="1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2"/>
        <v>26208</v>
      </c>
      <c r="P25" s="46">
        <f>O25/SUM(O:O)</f>
        <v>1.1097560975609756E-2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input_585100!A$2</f>
        <v>585100</v>
      </c>
      <c r="B26" s="6">
        <v>240</v>
      </c>
      <c r="C26" s="7" t="str">
        <f t="shared" si="0"/>
        <v>Premium5</v>
      </c>
      <c r="D26" s="7" t="str">
        <f t="shared" si="1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2"/>
        <v>26208</v>
      </c>
      <c r="P26" s="46">
        <f>O26/SUM(O:O)</f>
        <v>1.1097560975609756E-2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input_585100!A$2</f>
        <v>585100</v>
      </c>
      <c r="B27" s="6">
        <v>243</v>
      </c>
      <c r="C27" s="7" t="str">
        <f t="shared" si="0"/>
        <v>Premium5</v>
      </c>
      <c r="D27" s="7" t="str">
        <f t="shared" si="1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2"/>
        <v>26208</v>
      </c>
      <c r="P27" s="46">
        <f>O27/SUM(O:O)</f>
        <v>1.1097560975609756E-2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input_585100!A$2</f>
        <v>585100</v>
      </c>
      <c r="B28" s="6">
        <v>246</v>
      </c>
      <c r="C28" s="7" t="str">
        <f t="shared" si="0"/>
        <v>Premium5</v>
      </c>
      <c r="D28" s="7" t="str">
        <f t="shared" si="1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2"/>
        <v>26208</v>
      </c>
      <c r="P28" s="46">
        <f>O28/SUM(O:O)</f>
        <v>1.1097560975609756E-2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input_585100!A$2</f>
        <v>585100</v>
      </c>
      <c r="B29" s="6">
        <v>249</v>
      </c>
      <c r="C29" s="7" t="str">
        <f t="shared" si="0"/>
        <v>Premium5</v>
      </c>
      <c r="D29" s="7" t="str">
        <f t="shared" si="1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2"/>
        <v>26208</v>
      </c>
      <c r="P29" s="46">
        <f>O29/SUM(O:O)</f>
        <v>1.1097560975609756E-2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input_585100!A$2</f>
        <v>585100</v>
      </c>
      <c r="B30" s="6">
        <v>252</v>
      </c>
      <c r="C30" s="7" t="str">
        <f t="shared" si="0"/>
        <v>Premium5</v>
      </c>
      <c r="D30" s="7" t="str">
        <f t="shared" si="1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2"/>
        <v>26208</v>
      </c>
      <c r="P30" s="46">
        <f>O30/SUM(O:O)</f>
        <v>1.1097560975609756E-2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input_585100!A$2</f>
        <v>585100</v>
      </c>
      <c r="B31" s="6">
        <v>255</v>
      </c>
      <c r="C31" s="7" t="str">
        <f t="shared" si="0"/>
        <v>Premium5</v>
      </c>
      <c r="D31" s="7" t="str">
        <f t="shared" si="1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2"/>
        <v>26208</v>
      </c>
      <c r="P31" s="46">
        <f>O31/SUM(O:O)</f>
        <v>1.1097560975609756E-2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input_585100!A$2</f>
        <v>585100</v>
      </c>
      <c r="B32" s="6">
        <v>258</v>
      </c>
      <c r="C32" s="7" t="str">
        <f t="shared" si="0"/>
        <v>Premium5</v>
      </c>
      <c r="D32" s="7" t="str">
        <f t="shared" si="1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2"/>
        <v>26208</v>
      </c>
      <c r="P32" s="46">
        <f>O32/SUM(O:O)</f>
        <v>1.1097560975609756E-2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input_585100!A$2</f>
        <v>585100</v>
      </c>
      <c r="B33" s="6">
        <v>261</v>
      </c>
      <c r="C33" s="7" t="str">
        <f t="shared" si="0"/>
        <v>Premium5</v>
      </c>
      <c r="D33" s="7" t="str">
        <f t="shared" si="1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2"/>
        <v>26208</v>
      </c>
      <c r="P33" s="46">
        <f>O33/SUM(O:O)</f>
        <v>1.1097560975609756E-2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input_585100!A$2</f>
        <v>585100</v>
      </c>
      <c r="B34" s="6">
        <v>321</v>
      </c>
      <c r="C34" s="7" t="str">
        <f t="shared" si="0"/>
        <v>PremiumSS5</v>
      </c>
      <c r="D34" s="7" t="str">
        <f t="shared" si="1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2"/>
        <v>2460</v>
      </c>
      <c r="P34" s="46">
        <f>O34/SUM(O:O)</f>
        <v>1.0416666666666667E-3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input_585100!A$2</f>
        <v>585100</v>
      </c>
      <c r="B35" s="6">
        <v>323</v>
      </c>
      <c r="C35" s="7" t="str">
        <f t="shared" si="0"/>
        <v>PremiumSS5</v>
      </c>
      <c r="D35" s="7" t="str">
        <f t="shared" si="1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2"/>
        <v>2460</v>
      </c>
      <c r="P35" s="46">
        <f>O35/SUM(O:O)</f>
        <v>1.0416666666666667E-3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input_585100!A$2</f>
        <v>585100</v>
      </c>
      <c r="B36" s="6">
        <v>325</v>
      </c>
      <c r="C36" s="7" t="str">
        <f t="shared" si="0"/>
        <v>PremiumSS5</v>
      </c>
      <c r="D36" s="7" t="str">
        <f t="shared" si="1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2"/>
        <v>2460</v>
      </c>
      <c r="P36" s="46">
        <f>O36/SUM(O:O)</f>
        <v>1.0416666666666667E-3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input_585100!A$2</f>
        <v>585100</v>
      </c>
      <c r="B37" s="6">
        <v>327</v>
      </c>
      <c r="C37" s="7" t="str">
        <f t="shared" si="0"/>
        <v>PremiumSS5</v>
      </c>
      <c r="D37" s="7" t="str">
        <f t="shared" si="1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2"/>
        <v>2460</v>
      </c>
      <c r="P37" s="46">
        <f>O37/SUM(O:O)</f>
        <v>1.0416666666666667E-3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input_585100!A$2</f>
        <v>585100</v>
      </c>
      <c r="B38" s="60">
        <v>382</v>
      </c>
      <c r="C38" s="7" t="str">
        <f t="shared" ref="C38:C43" si="3">D38&amp;J38&amp;E38&amp;F38&amp;G38</f>
        <v>Premium5</v>
      </c>
      <c r="D38" s="7" t="str">
        <f t="shared" ref="D38:D43" si="4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2"/>
        <v>26208</v>
      </c>
      <c r="P38" s="46">
        <f>O38/SUM(O:O)</f>
        <v>1.1097560975609756E-2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input_585100!A$2</f>
        <v>585100</v>
      </c>
      <c r="B39" s="60">
        <v>384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2"/>
        <v>2460</v>
      </c>
      <c r="P39" s="46">
        <f>O39/SUM(O:O)</f>
        <v>1.0416666666666667E-3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input_585100!A$2</f>
        <v>585100</v>
      </c>
      <c r="B40" s="60">
        <v>386</v>
      </c>
      <c r="C40" s="7" t="str">
        <f t="shared" si="3"/>
        <v>PremiumSS5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2"/>
        <v>2460</v>
      </c>
      <c r="P40" s="46">
        <f>O40/SUM(O:O)</f>
        <v>1.0416666666666667E-3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input_585100!A$2</f>
        <v>585100</v>
      </c>
      <c r="B41" s="60">
        <v>389</v>
      </c>
      <c r="C41" s="7" t="str">
        <f t="shared" si="3"/>
        <v>Premium5</v>
      </c>
      <c r="D41" s="7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2"/>
        <v>26208</v>
      </c>
      <c r="P41" s="46">
        <f>O41/SUM(O:O)</f>
        <v>1.1097560975609756E-2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input_585100!A$2</f>
        <v>585100</v>
      </c>
      <c r="B42" s="60">
        <v>391</v>
      </c>
      <c r="C42" s="7" t="str">
        <f t="shared" si="3"/>
        <v>PremiumSS5</v>
      </c>
      <c r="D42" s="7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2"/>
        <v>2460</v>
      </c>
      <c r="P42" s="46">
        <f>O42/SUM(O:O)</f>
        <v>1.0416666666666667E-3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input_585100!A$2</f>
        <v>585100</v>
      </c>
      <c r="B43" s="89">
        <v>394</v>
      </c>
      <c r="C43" s="7" t="str">
        <f t="shared" si="3"/>
        <v>Premium5</v>
      </c>
      <c r="D43" s="7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2"/>
        <v>26208</v>
      </c>
      <c r="P43" s="46">
        <f>O43/SUM(O:O)</f>
        <v>1.1097560975609756E-2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input_585100!A$2</f>
        <v>585100</v>
      </c>
      <c r="B44" s="1">
        <v>397</v>
      </c>
      <c r="C44" s="7" t="str">
        <f t="shared" ref="C44:C107" si="5">D44&amp;J44&amp;E44&amp;F44&amp;G44</f>
        <v>Premium5</v>
      </c>
      <c r="D44" s="7" t="str">
        <f t="shared" ref="D44:D107" si="6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2"/>
        <v>26208</v>
      </c>
      <c r="P44" s="46">
        <f>O44/SUM(O:O)</f>
        <v>1.1097560975609756E-2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input_585100!A$2</f>
        <v>585100</v>
      </c>
      <c r="B45" s="1">
        <v>399</v>
      </c>
      <c r="C45" s="7" t="str">
        <f t="shared" si="5"/>
        <v>PremiumSS5</v>
      </c>
      <c r="D45" s="7" t="str">
        <f t="shared" si="6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2"/>
        <v>2460</v>
      </c>
      <c r="P45" s="46">
        <f>O45/SUM(O:O)</f>
        <v>1.0416666666666667E-3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input_585100!A$2</f>
        <v>585100</v>
      </c>
      <c r="B46" s="1">
        <v>402</v>
      </c>
      <c r="C46" s="7" t="str">
        <f t="shared" si="5"/>
        <v>Premium5</v>
      </c>
      <c r="D46" s="7" t="str">
        <f t="shared" si="6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2"/>
        <v>26208</v>
      </c>
      <c r="P46" s="46">
        <f>O46/SUM(O:O)</f>
        <v>1.1097560975609756E-2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input_585100!A$2</f>
        <v>585100</v>
      </c>
      <c r="B47" s="1">
        <v>404</v>
      </c>
      <c r="C47" s="7" t="str">
        <f t="shared" si="5"/>
        <v>PremiumSS5</v>
      </c>
      <c r="D47" s="7" t="str">
        <f t="shared" si="6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2"/>
        <v>2460</v>
      </c>
      <c r="P47" s="46">
        <f>O47/SUM(O:O)</f>
        <v>1.0416666666666667E-3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input_585100!A$2</f>
        <v>585100</v>
      </c>
      <c r="B48" s="1">
        <v>407</v>
      </c>
      <c r="C48" s="7" t="str">
        <f t="shared" si="5"/>
        <v>Premium5</v>
      </c>
      <c r="D48" s="7" t="str">
        <f t="shared" si="6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2"/>
        <v>26208</v>
      </c>
      <c r="P48" s="46">
        <f>O48/SUM(O:O)</f>
        <v>1.1097560975609756E-2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input_585100!A$2</f>
        <v>585100</v>
      </c>
      <c r="B49" s="1">
        <v>409</v>
      </c>
      <c r="C49" s="7" t="str">
        <f t="shared" si="5"/>
        <v>PremiumSS5</v>
      </c>
      <c r="D49" s="7" t="str">
        <f t="shared" si="6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2"/>
        <v>2460</v>
      </c>
      <c r="P49" s="46">
        <f>O49/SUM(O:O)</f>
        <v>1.0416666666666667E-3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input_585100!A$2</f>
        <v>585100</v>
      </c>
      <c r="B50" s="1">
        <v>435</v>
      </c>
      <c r="C50" s="7" t="str">
        <f t="shared" si="5"/>
        <v>PremiumSS5</v>
      </c>
      <c r="D50" s="7" t="str">
        <f t="shared" si="6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2"/>
        <v>2460</v>
      </c>
      <c r="P50" s="46">
        <f>O50/SUM(O:O)</f>
        <v>1.0416666666666667E-3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input_585100!A$2</f>
        <v>585100</v>
      </c>
      <c r="B51" s="1">
        <v>438</v>
      </c>
      <c r="C51" s="7" t="str">
        <f t="shared" si="5"/>
        <v>Premium5</v>
      </c>
      <c r="D51" s="7" t="str">
        <f t="shared" si="6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26208</v>
      </c>
      <c r="P51" s="46">
        <f>O51/SUM(O:O)</f>
        <v>1.1097560975609756E-2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input_585100!A$2</f>
        <v>585100</v>
      </c>
      <c r="B52" s="1">
        <v>441</v>
      </c>
      <c r="C52" s="7" t="str">
        <f t="shared" si="5"/>
        <v>Premium5</v>
      </c>
      <c r="D52" s="7" t="str">
        <f t="shared" si="6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2"/>
        <v>26208</v>
      </c>
      <c r="P52" s="46">
        <f>O52/SUM(O:O)</f>
        <v>1.1097560975609756E-2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input_585100!A$2</f>
        <v>585100</v>
      </c>
      <c r="B53" s="1">
        <v>443</v>
      </c>
      <c r="C53" s="7" t="str">
        <f t="shared" si="5"/>
        <v>PremiumSS5</v>
      </c>
      <c r="D53" s="7" t="str">
        <f t="shared" si="6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2"/>
        <v>2460</v>
      </c>
      <c r="P53" s="46">
        <f>O53/SUM(O:O)</f>
        <v>1.0416666666666667E-3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input_585100!A$2</f>
        <v>585100</v>
      </c>
      <c r="B54" s="1">
        <v>464</v>
      </c>
      <c r="C54" s="7" t="str">
        <f t="shared" si="5"/>
        <v>Premium5</v>
      </c>
      <c r="D54" s="7" t="str">
        <f t="shared" si="6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2"/>
        <v>26208</v>
      </c>
      <c r="P54" s="46">
        <f>O54/SUM(O:O)</f>
        <v>1.1097560975609756E-2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input_585100!A$2</f>
        <v>585100</v>
      </c>
      <c r="B55" s="1">
        <v>466</v>
      </c>
      <c r="C55" s="7" t="str">
        <f t="shared" si="5"/>
        <v>PremiumSS5</v>
      </c>
      <c r="D55" s="7" t="str">
        <f t="shared" si="6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2"/>
        <v>2460</v>
      </c>
      <c r="P55" s="46">
        <f>O55/SUM(O:O)</f>
        <v>1.0416666666666667E-3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input_585100!A$2</f>
        <v>585100</v>
      </c>
      <c r="B56" s="1">
        <v>468</v>
      </c>
      <c r="C56" s="7" t="str">
        <f t="shared" si="5"/>
        <v>PremiumSS5</v>
      </c>
      <c r="D56" s="7" t="str">
        <f t="shared" si="6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2"/>
        <v>2460</v>
      </c>
      <c r="P56" s="46">
        <f>O56/SUM(O:O)</f>
        <v>1.0416666666666667E-3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input_585100!A$2</f>
        <v>585100</v>
      </c>
      <c r="B57" s="1">
        <v>471</v>
      </c>
      <c r="C57" s="7" t="str">
        <f t="shared" si="5"/>
        <v>Premium5</v>
      </c>
      <c r="D57" s="7" t="str">
        <f t="shared" si="6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2"/>
        <v>26208</v>
      </c>
      <c r="P57" s="46">
        <f>O57/SUM(O:O)</f>
        <v>1.1097560975609756E-2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input_585100!A$2</f>
        <v>585100</v>
      </c>
      <c r="B58" s="1">
        <v>475</v>
      </c>
      <c r="C58" s="7" t="str">
        <f t="shared" si="5"/>
        <v>PremiumSS5</v>
      </c>
      <c r="D58" s="7" t="str">
        <f t="shared" si="6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2"/>
        <v>2460</v>
      </c>
      <c r="P58" s="46">
        <f>O58/SUM(O:O)</f>
        <v>1.0416666666666667E-3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input_585100!A$2</f>
        <v>585100</v>
      </c>
      <c r="B59" s="1">
        <v>478</v>
      </c>
      <c r="C59" s="7" t="str">
        <f t="shared" si="5"/>
        <v>Premium5</v>
      </c>
      <c r="D59" s="7" t="str">
        <f t="shared" si="6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2"/>
        <v>26208</v>
      </c>
      <c r="P59" s="46">
        <f>O59/SUM(O:O)</f>
        <v>1.1097560975609756E-2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input_585100!A$2</f>
        <v>585100</v>
      </c>
      <c r="B60" s="1">
        <v>480</v>
      </c>
      <c r="C60" s="7" t="str">
        <f t="shared" si="5"/>
        <v>PremiumSS5</v>
      </c>
      <c r="D60" s="7" t="str">
        <f t="shared" si="6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2"/>
        <v>2460</v>
      </c>
      <c r="P60" s="46">
        <f>O60/SUM(O:O)</f>
        <v>1.0416666666666667E-3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input_585100!A$2</f>
        <v>585100</v>
      </c>
      <c r="B61" s="1">
        <v>483</v>
      </c>
      <c r="C61" s="7" t="str">
        <f t="shared" si="5"/>
        <v>Premium5</v>
      </c>
      <c r="D61" s="7" t="str">
        <f t="shared" si="6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2"/>
        <v>26208</v>
      </c>
      <c r="P61" s="46">
        <f>O61/SUM(O:O)</f>
        <v>1.1097560975609756E-2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input_585100!A$2</f>
        <v>585100</v>
      </c>
      <c r="B62" s="1">
        <v>493</v>
      </c>
      <c r="C62" s="7" t="str">
        <f t="shared" si="5"/>
        <v>PremiumSS5</v>
      </c>
      <c r="D62" s="7" t="str">
        <f t="shared" si="6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2"/>
        <v>2460</v>
      </c>
      <c r="P62" s="46">
        <f>O62/SUM(O:O)</f>
        <v>1.0416666666666667E-3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input_585100!A$2</f>
        <v>585100</v>
      </c>
      <c r="B63" s="1">
        <v>495</v>
      </c>
      <c r="C63" s="7" t="str">
        <f t="shared" si="5"/>
        <v>PremiumSS5</v>
      </c>
      <c r="D63" s="7" t="str">
        <f t="shared" si="6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2"/>
        <v>2460</v>
      </c>
      <c r="P63" s="46">
        <f>O63/SUM(O:O)</f>
        <v>1.0416666666666667E-3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input_585100!A$2</f>
        <v>585100</v>
      </c>
      <c r="B64" s="1">
        <v>498</v>
      </c>
      <c r="C64" s="7" t="str">
        <f t="shared" si="5"/>
        <v>Premium5</v>
      </c>
      <c r="D64" s="7" t="str">
        <f t="shared" si="6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2"/>
        <v>26208</v>
      </c>
      <c r="P64" s="46">
        <f>O64/SUM(O:O)</f>
        <v>1.1097560975609756E-2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input_585100!A$2</f>
        <v>585100</v>
      </c>
      <c r="B65" s="1">
        <v>500</v>
      </c>
      <c r="C65" s="7" t="str">
        <f t="shared" si="5"/>
        <v>PremiumSS5</v>
      </c>
      <c r="D65" s="7" t="str">
        <f t="shared" si="6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2"/>
        <v>2460</v>
      </c>
      <c r="P65" s="46">
        <f>O65/SUM(O:O)</f>
        <v>1.0416666666666667E-3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input_585100!A$2</f>
        <v>585100</v>
      </c>
      <c r="B66" s="1">
        <v>560</v>
      </c>
      <c r="C66" s="7" t="str">
        <f t="shared" si="5"/>
        <v>premium5R3less</v>
      </c>
      <c r="D66" s="7" t="str">
        <f t="shared" si="6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2"/>
        <v>26208</v>
      </c>
      <c r="P66" s="46">
        <f>O66/SUM(O:O)</f>
        <v>1.1097560975609756E-2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input_585100!A$2</f>
        <v>585100</v>
      </c>
      <c r="B67" s="1">
        <v>561</v>
      </c>
      <c r="C67" s="7" t="str">
        <f t="shared" si="5"/>
        <v>premium5R3less</v>
      </c>
      <c r="D67" s="7" t="str">
        <f t="shared" si="6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7">VLOOKUP(D67,$W$2:$Y$4,3,FALSE)</f>
        <v>26208</v>
      </c>
      <c r="P67" s="46">
        <f>O67/SUM(O:O)</f>
        <v>1.1097560975609756E-2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input_585100!A$2</f>
        <v>585100</v>
      </c>
      <c r="B68" s="1">
        <v>562</v>
      </c>
      <c r="C68" s="7" t="str">
        <f t="shared" si="5"/>
        <v>premium5R3less</v>
      </c>
      <c r="D68" s="7" t="str">
        <f t="shared" si="6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7"/>
        <v>26208</v>
      </c>
      <c r="P68" s="46">
        <f>O68/SUM(O:O)</f>
        <v>1.1097560975609756E-2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input_585100!A$2</f>
        <v>585100</v>
      </c>
      <c r="B69" s="1">
        <v>563</v>
      </c>
      <c r="C69" s="7" t="str">
        <f t="shared" si="5"/>
        <v>premium5R3less</v>
      </c>
      <c r="D69" s="7" t="str">
        <f t="shared" si="6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7"/>
        <v>26208</v>
      </c>
      <c r="P69" s="46">
        <f>O69/SUM(O:O)</f>
        <v>1.1097560975609756E-2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input_585100!A$2</f>
        <v>585100</v>
      </c>
      <c r="B70" s="1">
        <v>566</v>
      </c>
      <c r="C70" s="7" t="str">
        <f t="shared" si="5"/>
        <v>premium5R3less</v>
      </c>
      <c r="D70" s="7" t="str">
        <f t="shared" si="6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7"/>
        <v>26208</v>
      </c>
      <c r="P70" s="46">
        <f>O70/SUM(O:O)</f>
        <v>1.1097560975609756E-2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input_585100!A$2</f>
        <v>585100</v>
      </c>
      <c r="B71" s="1">
        <v>567</v>
      </c>
      <c r="C71" s="7" t="str">
        <f t="shared" si="5"/>
        <v>premium5R3less</v>
      </c>
      <c r="D71" s="7" t="str">
        <f t="shared" si="6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7"/>
        <v>26208</v>
      </c>
      <c r="P71" s="46">
        <f>O71/SUM(O:O)</f>
        <v>1.1097560975609756E-2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input_585100!A$2</f>
        <v>585100</v>
      </c>
      <c r="B72" s="1">
        <v>587</v>
      </c>
      <c r="C72" s="7" t="str">
        <f t="shared" si="5"/>
        <v>PremiumSS5</v>
      </c>
      <c r="D72" s="7" t="str">
        <f t="shared" si="6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2460</v>
      </c>
      <c r="P72" s="46">
        <f>O72/SUM(O:O)</f>
        <v>1.0416666666666667E-3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input_585100!A$2</f>
        <v>585100</v>
      </c>
      <c r="B73" s="1">
        <v>590</v>
      </c>
      <c r="C73" s="7" t="str">
        <f t="shared" si="5"/>
        <v>Premium5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8">VLOOKUP(D73,$W$2:$Y$4,3,FALSE)</f>
        <v>26208</v>
      </c>
      <c r="P73" s="46">
        <f>O73/SUM(O:O)</f>
        <v>1.1097560975609756E-2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input_585100!A$2</f>
        <v>585100</v>
      </c>
      <c r="B74" s="1">
        <v>593</v>
      </c>
      <c r="C74" s="7" t="str">
        <f t="shared" si="5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8"/>
        <v>26208</v>
      </c>
      <c r="P74" s="46">
        <f>O74/SUM(O:O)</f>
        <v>1.1097560975609756E-2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input_585100!A$2</f>
        <v>585100</v>
      </c>
      <c r="B75" s="1">
        <v>595</v>
      </c>
      <c r="C75" s="7" t="str">
        <f t="shared" si="5"/>
        <v>PremiumSS5</v>
      </c>
      <c r="D75" s="7" t="str">
        <f t="shared" si="6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8"/>
        <v>2460</v>
      </c>
      <c r="P75" s="46">
        <f>O75/SUM(O:O)</f>
        <v>1.0416666666666667E-3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input_585100!A$2</f>
        <v>585100</v>
      </c>
      <c r="B76" s="1">
        <v>598</v>
      </c>
      <c r="C76" s="7" t="str">
        <f t="shared" si="5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8"/>
        <v>26208</v>
      </c>
      <c r="P76" s="46">
        <f>O76/SUM(O:O)</f>
        <v>1.1097560975609756E-2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input_585100!A$2</f>
        <v>585100</v>
      </c>
      <c r="B77" s="1">
        <v>601</v>
      </c>
      <c r="C77" s="7" t="str">
        <f t="shared" si="5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8"/>
        <v>26208</v>
      </c>
      <c r="P77" s="46">
        <f>O77/SUM(O:O)</f>
        <v>1.1097560975609756E-2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input_585100!A$2</f>
        <v>585100</v>
      </c>
      <c r="B78" s="1">
        <v>603</v>
      </c>
      <c r="C78" s="7" t="str">
        <f t="shared" si="5"/>
        <v>PremiumSS5</v>
      </c>
      <c r="D78" s="7" t="str">
        <f t="shared" si="6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8"/>
        <v>2460</v>
      </c>
      <c r="P78" s="46">
        <f>O78/SUM(O:O)</f>
        <v>1.0416666666666667E-3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input_585100!A$2</f>
        <v>585100</v>
      </c>
      <c r="B79" s="1">
        <v>606</v>
      </c>
      <c r="C79" s="7" t="str">
        <f t="shared" si="5"/>
        <v>Premium5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8"/>
        <v>26208</v>
      </c>
      <c r="P79" s="46">
        <f>O79/SUM(O:O)</f>
        <v>1.1097560975609756E-2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input_585100!A$2</f>
        <v>585100</v>
      </c>
      <c r="B80" s="1">
        <v>659</v>
      </c>
      <c r="C80" s="7" t="str">
        <f t="shared" si="5"/>
        <v>PremiumSS5</v>
      </c>
      <c r="D80" s="7" t="str">
        <f t="shared" si="6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8"/>
        <v>2460</v>
      </c>
      <c r="P80" s="46">
        <f>O80/SUM(O:O)</f>
        <v>1.0416666666666667E-3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input_585100!A$2</f>
        <v>585100</v>
      </c>
      <c r="B81" s="1">
        <v>661</v>
      </c>
      <c r="C81" s="7" t="str">
        <f t="shared" si="5"/>
        <v>PremiumSS5</v>
      </c>
      <c r="D81" s="7" t="str">
        <f t="shared" si="6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8"/>
        <v>2460</v>
      </c>
      <c r="P81" s="46">
        <f>O81/SUM(O:O)</f>
        <v>1.0416666666666667E-3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input_585100!A$2</f>
        <v>585100</v>
      </c>
      <c r="B82" s="1">
        <v>664</v>
      </c>
      <c r="C82" s="7" t="str">
        <f t="shared" si="5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8"/>
        <v>26208</v>
      </c>
      <c r="P82" s="46">
        <f>O82/SUM(O:O)</f>
        <v>1.1097560975609756E-2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input_585100!A$2</f>
        <v>585100</v>
      </c>
      <c r="B83" s="1">
        <v>667</v>
      </c>
      <c r="C83" s="7" t="str">
        <f t="shared" si="5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8"/>
        <v>26208</v>
      </c>
      <c r="P83" s="46">
        <f>O83/SUM(O:O)</f>
        <v>1.1097560975609756E-2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input_585100!A$2</f>
        <v>585100</v>
      </c>
      <c r="B84" s="1">
        <v>670</v>
      </c>
      <c r="C84" s="7" t="str">
        <f t="shared" si="5"/>
        <v>Premium5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8"/>
        <v>26208</v>
      </c>
      <c r="P84" s="46">
        <f>O84/SUM(O:O)</f>
        <v>1.1097560975609756E-2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input_585100!A$2</f>
        <v>585100</v>
      </c>
      <c r="B85" s="1">
        <v>673</v>
      </c>
      <c r="C85" s="7" t="str">
        <f t="shared" si="5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8"/>
        <v>26208</v>
      </c>
      <c r="P85" s="46">
        <f>O85/SUM(O:O)</f>
        <v>1.1097560975609756E-2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input_585100!A$2</f>
        <v>585100</v>
      </c>
      <c r="B86" s="1">
        <v>675</v>
      </c>
      <c r="C86" s="7" t="str">
        <f t="shared" si="5"/>
        <v>PremiumSS5</v>
      </c>
      <c r="D86" s="7" t="str">
        <f t="shared" si="6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8"/>
        <v>2460</v>
      </c>
      <c r="P86" s="46">
        <f>O86/SUM(O:O)</f>
        <v>1.0416666666666667E-3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input_585100!A$2</f>
        <v>585100</v>
      </c>
      <c r="B87" s="1">
        <v>677</v>
      </c>
      <c r="C87" s="7" t="str">
        <f t="shared" si="5"/>
        <v>PremiumSS5</v>
      </c>
      <c r="D87" s="7" t="str">
        <f t="shared" si="6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8"/>
        <v>2460</v>
      </c>
      <c r="P87" s="46">
        <f>O87/SUM(O:O)</f>
        <v>1.0416666666666667E-3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input_585100!A$2</f>
        <v>585100</v>
      </c>
      <c r="B88" s="1">
        <v>729</v>
      </c>
      <c r="C88" s="7" t="str">
        <f t="shared" si="5"/>
        <v>Premium5R3less</v>
      </c>
      <c r="D88" s="7" t="str">
        <f t="shared" si="6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8"/>
        <v>26208</v>
      </c>
      <c r="P88" s="46">
        <f>O88/SUM(O:O)</f>
        <v>1.1097560975609756E-2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input_585100!A$2</f>
        <v>585100</v>
      </c>
      <c r="B89" s="1">
        <v>731</v>
      </c>
      <c r="C89" s="7" t="str">
        <f t="shared" si="5"/>
        <v>Premium5R3less</v>
      </c>
      <c r="D89" s="7" t="str">
        <f t="shared" si="6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8"/>
        <v>26208</v>
      </c>
      <c r="P89" s="46">
        <f>O89/SUM(O:O)</f>
        <v>1.1097560975609756E-2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input_585100!A$2</f>
        <v>585100</v>
      </c>
      <c r="B90" s="1">
        <v>732</v>
      </c>
      <c r="C90" s="7" t="str">
        <f t="shared" si="5"/>
        <v>PremiumSS5R5only</v>
      </c>
      <c r="D90" s="7" t="str">
        <f t="shared" si="6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8"/>
        <v>2460</v>
      </c>
      <c r="P90" s="46">
        <f>O90/SUM(O:O)</f>
        <v>1.0416666666666667E-3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input_585100!A$2</f>
        <v>585100</v>
      </c>
      <c r="B91" s="1">
        <v>734</v>
      </c>
      <c r="C91" s="7" t="str">
        <f t="shared" si="5"/>
        <v>PremiumSS5R5only</v>
      </c>
      <c r="D91" s="7" t="str">
        <f t="shared" si="6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8"/>
        <v>2460</v>
      </c>
      <c r="P91" s="46">
        <f>O91/SUM(O:O)</f>
        <v>1.0416666666666667E-3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input_585100!A$2</f>
        <v>585100</v>
      </c>
      <c r="B92" s="1">
        <v>742</v>
      </c>
      <c r="C92" s="7" t="str">
        <f t="shared" si="5"/>
        <v>PremiumSS5R5only</v>
      </c>
      <c r="D92" s="7" t="str">
        <f t="shared" si="6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2460</v>
      </c>
      <c r="P92" s="46">
        <f>O92/SUM(O:O)</f>
        <v>1.0416666666666667E-3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input_585100!A$2</f>
        <v>585100</v>
      </c>
      <c r="B93" s="1">
        <v>744</v>
      </c>
      <c r="C93" s="7" t="str">
        <f t="shared" si="5"/>
        <v>PremiumSS5R5only</v>
      </c>
      <c r="D93" s="7" t="str">
        <f t="shared" si="6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8"/>
        <v>2460</v>
      </c>
      <c r="P93" s="46">
        <f>O93/SUM(O:O)</f>
        <v>1.0416666666666667E-3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input_585100!A$2</f>
        <v>585100</v>
      </c>
      <c r="B94" s="1">
        <v>747</v>
      </c>
      <c r="C94" s="7" t="str">
        <f t="shared" si="5"/>
        <v>Premium5R3less</v>
      </c>
      <c r="D94" s="7" t="str">
        <f t="shared" si="6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8"/>
        <v>26208</v>
      </c>
      <c r="P94" s="46">
        <f>O94/SUM(O:O)</f>
        <v>1.1097560975609756E-2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input_585100!A$2</f>
        <v>585100</v>
      </c>
      <c r="B95" s="1">
        <v>749</v>
      </c>
      <c r="C95" s="7" t="str">
        <f t="shared" si="5"/>
        <v>Premium5R3less</v>
      </c>
      <c r="D95" s="7" t="str">
        <f t="shared" si="6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8"/>
        <v>26208</v>
      </c>
      <c r="P95" s="46">
        <f>O95/SUM(O:O)</f>
        <v>1.1097560975609756E-2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input_585100!A$2</f>
        <v>585100</v>
      </c>
      <c r="B96" s="1">
        <v>771</v>
      </c>
      <c r="C96" s="7" t="str">
        <f t="shared" si="5"/>
        <v>PremiumSS5</v>
      </c>
      <c r="D96" s="7" t="str">
        <f t="shared" si="6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8"/>
        <v>2460</v>
      </c>
      <c r="P96" s="46">
        <f>O96/SUM(O:O)</f>
        <v>1.0416666666666667E-3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input_585100!A$2</f>
        <v>585100</v>
      </c>
      <c r="B97" s="1">
        <v>773</v>
      </c>
      <c r="C97" s="7" t="str">
        <f t="shared" si="5"/>
        <v>PremiumSS5</v>
      </c>
      <c r="D97" s="7" t="str">
        <f t="shared" si="6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8"/>
        <v>2460</v>
      </c>
      <c r="P97" s="46">
        <f>O97/SUM(O:O)</f>
        <v>1.0416666666666667E-3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input_585100!A$2</f>
        <v>585100</v>
      </c>
      <c r="B98" s="1">
        <v>776</v>
      </c>
      <c r="C98" s="7" t="str">
        <f t="shared" si="5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8"/>
        <v>26208</v>
      </c>
      <c r="P98" s="46">
        <f>O98/SUM(O:O)</f>
        <v>1.1097560975609756E-2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input_585100!A$2</f>
        <v>585100</v>
      </c>
      <c r="B99" s="1">
        <v>779</v>
      </c>
      <c r="C99" s="7" t="str">
        <f t="shared" si="5"/>
        <v>Premium5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8"/>
        <v>26208</v>
      </c>
      <c r="P99" s="46">
        <f>O99/SUM(O:O)</f>
        <v>1.1097560975609756E-2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input_585100!A$2</f>
        <v>585100</v>
      </c>
      <c r="B100" s="1">
        <v>848</v>
      </c>
      <c r="C100" s="7" t="str">
        <f t="shared" si="5"/>
        <v>PremiumSS5R5only</v>
      </c>
      <c r="D100" s="7" t="str">
        <f t="shared" si="6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2460</v>
      </c>
      <c r="P100" s="46">
        <f>O100/SUM(O:O)</f>
        <v>1.0416666666666667E-3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input_585100!A$2</f>
        <v>585100</v>
      </c>
      <c r="B101" s="1">
        <v>850</v>
      </c>
      <c r="C101" s="7" t="str">
        <f t="shared" si="5"/>
        <v>PremiumSS5R5only</v>
      </c>
      <c r="D101" s="7" t="str">
        <f t="shared" si="6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9">VLOOKUP(D101,$W$2:$Y$4,3,FALSE)</f>
        <v>2460</v>
      </c>
      <c r="P101" s="46">
        <f>O101/SUM(O:O)</f>
        <v>1.0416666666666667E-3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input_585100!A$2</f>
        <v>585100</v>
      </c>
      <c r="B102" s="1">
        <v>853</v>
      </c>
      <c r="C102" s="7" t="str">
        <f t="shared" si="5"/>
        <v>Premium5R3less</v>
      </c>
      <c r="D102" s="7" t="str">
        <f t="shared" si="6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9"/>
        <v>26208</v>
      </c>
      <c r="P102" s="46">
        <f>O102/SUM(O:O)</f>
        <v>1.1097560975609756E-2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input_585100!A$2</f>
        <v>585100</v>
      </c>
      <c r="B103" s="1">
        <v>855</v>
      </c>
      <c r="C103" s="7" t="str">
        <f t="shared" si="5"/>
        <v>Premium5R3less</v>
      </c>
      <c r="D103" s="7" t="str">
        <f t="shared" si="6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9"/>
        <v>26208</v>
      </c>
      <c r="P103" s="46">
        <f>O103/SUM(O:O)</f>
        <v>1.1097560975609756E-2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input_585100!A$2</f>
        <v>585100</v>
      </c>
      <c r="B104" s="1">
        <v>863</v>
      </c>
      <c r="C104" s="7" t="str">
        <f t="shared" si="5"/>
        <v>Premium5R3less</v>
      </c>
      <c r="D104" s="7" t="str">
        <f t="shared" si="6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9"/>
        <v>26208</v>
      </c>
      <c r="P104" s="46">
        <f>O104/SUM(O:O)</f>
        <v>1.1097560975609756E-2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input_585100!A$2</f>
        <v>585100</v>
      </c>
      <c r="B105" s="1">
        <v>865</v>
      </c>
      <c r="C105" s="7" t="str">
        <f t="shared" si="5"/>
        <v>Premium5R3less</v>
      </c>
      <c r="D105" s="7" t="str">
        <f t="shared" si="6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9"/>
        <v>26208</v>
      </c>
      <c r="P105" s="46">
        <f>O105/SUM(O:O)</f>
        <v>1.1097560975609756E-2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input_585100!A$2</f>
        <v>585100</v>
      </c>
      <c r="B106" s="1">
        <v>866</v>
      </c>
      <c r="C106" s="7" t="str">
        <f t="shared" si="5"/>
        <v>PremiumSS5R5only</v>
      </c>
      <c r="D106" s="7" t="str">
        <f t="shared" si="6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9"/>
        <v>2460</v>
      </c>
      <c r="P106" s="46">
        <f>O106/SUM(O:O)</f>
        <v>1.0416666666666667E-3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input_585100!A$2</f>
        <v>585100</v>
      </c>
      <c r="B107" s="1">
        <v>868</v>
      </c>
      <c r="C107" s="7" t="str">
        <f t="shared" si="5"/>
        <v>PremiumSS5R5only</v>
      </c>
      <c r="D107" s="7" t="str">
        <f t="shared" si="6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9"/>
        <v>2460</v>
      </c>
      <c r="P107" s="46">
        <f>O107/SUM(O:O)</f>
        <v>1.0416666666666667E-3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input_585100!A$2</f>
        <v>585100</v>
      </c>
      <c r="B108" s="1">
        <v>937</v>
      </c>
      <c r="C108" s="7" t="str">
        <f t="shared" ref="C108:C157" si="10">D108&amp;J108&amp;E108&amp;F108&amp;G108</f>
        <v>PremiumSS5R5only</v>
      </c>
      <c r="D108" s="7" t="str">
        <f t="shared" ref="D108:D157" si="11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9"/>
        <v>2460</v>
      </c>
      <c r="P108" s="46">
        <f>O108/SUM(O:O)</f>
        <v>1.0416666666666667E-3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input_585100!A$2</f>
        <v>585100</v>
      </c>
      <c r="B109" s="1">
        <v>940</v>
      </c>
      <c r="C109" s="7" t="str">
        <f t="shared" si="10"/>
        <v>Premium5R3less</v>
      </c>
      <c r="D109" s="7" t="str">
        <f t="shared" si="11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9"/>
        <v>26208</v>
      </c>
      <c r="P109" s="46">
        <f>O109/SUM(O:O)</f>
        <v>1.1097560975609756E-2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input_585100!A$2</f>
        <v>585100</v>
      </c>
      <c r="B110" s="1">
        <v>941</v>
      </c>
      <c r="C110" s="7" t="str">
        <f t="shared" si="10"/>
        <v>PremiumSS5R5only</v>
      </c>
      <c r="D110" s="7" t="str">
        <f t="shared" si="11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9"/>
        <v>2460</v>
      </c>
      <c r="P110" s="46">
        <f>O110/SUM(O:O)</f>
        <v>1.0416666666666667E-3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input_585100!A$2</f>
        <v>585100</v>
      </c>
      <c r="B111" s="1">
        <v>943</v>
      </c>
      <c r="C111" s="7" t="str">
        <f t="shared" si="10"/>
        <v>PremiumSS5R5only</v>
      </c>
      <c r="D111" s="7" t="str">
        <f t="shared" si="11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9"/>
        <v>2460</v>
      </c>
      <c r="P111" s="46">
        <f>O111/SUM(O:O)</f>
        <v>1.0416666666666667E-3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input_585100!A$2</f>
        <v>585100</v>
      </c>
      <c r="B112" s="1">
        <v>1012</v>
      </c>
      <c r="C112" s="7" t="str">
        <f t="shared" si="10"/>
        <v>PremiumSS5R5only</v>
      </c>
      <c r="D112" s="7" t="str">
        <f t="shared" si="11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9"/>
        <v>2460</v>
      </c>
      <c r="P112" s="46">
        <f>O112/SUM(O:O)</f>
        <v>1.0416666666666667E-3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input_585100!A$2</f>
        <v>585100</v>
      </c>
      <c r="B113" s="1">
        <v>1014</v>
      </c>
      <c r="C113" s="7" t="str">
        <f t="shared" si="10"/>
        <v>PremiumSS5R5only</v>
      </c>
      <c r="D113" s="7" t="str">
        <f t="shared" si="11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9"/>
        <v>2460</v>
      </c>
      <c r="P113" s="46">
        <f>O113/SUM(O:O)</f>
        <v>1.0416666666666667E-3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input_585100!A$2</f>
        <v>585100</v>
      </c>
      <c r="B114" s="1">
        <v>1017</v>
      </c>
      <c r="C114" s="7" t="str">
        <f t="shared" si="10"/>
        <v>Premium5R3less</v>
      </c>
      <c r="D114" s="7" t="str">
        <f t="shared" si="11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9"/>
        <v>26208</v>
      </c>
      <c r="P114" s="46">
        <f>O114/SUM(O:O)</f>
        <v>1.1097560975609756E-2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input_585100!A$2</f>
        <v>585100</v>
      </c>
      <c r="B115" s="1">
        <v>1018</v>
      </c>
      <c r="C115" s="7" t="str">
        <f t="shared" si="10"/>
        <v>PremiumSS5R5only</v>
      </c>
      <c r="D115" s="7" t="str">
        <f t="shared" si="11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9"/>
        <v>2460</v>
      </c>
      <c r="P115" s="46">
        <f>O115/SUM(O:O)</f>
        <v>1.0416666666666667E-3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input_585100!A$2</f>
        <v>585100</v>
      </c>
      <c r="B116" s="1">
        <v>1027</v>
      </c>
      <c r="C116" s="7" t="str">
        <f t="shared" si="10"/>
        <v>Premium5R3less</v>
      </c>
      <c r="D116" s="7" t="str">
        <f t="shared" si="11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9"/>
        <v>26208</v>
      </c>
      <c r="P116" s="46">
        <f>O116/SUM(O:O)</f>
        <v>1.1097560975609756E-2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input_585100!A$2</f>
        <v>585100</v>
      </c>
      <c r="B117" s="1">
        <v>1028</v>
      </c>
      <c r="C117" s="7" t="str">
        <f t="shared" si="10"/>
        <v>PremiumSS5R5only</v>
      </c>
      <c r="D117" s="7" t="str">
        <f t="shared" si="11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9"/>
        <v>2460</v>
      </c>
      <c r="P117" s="46">
        <f>O117/SUM(O:O)</f>
        <v>1.0416666666666667E-3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input_585100!A$2</f>
        <v>585100</v>
      </c>
      <c r="B118" s="1">
        <v>1031</v>
      </c>
      <c r="C118" s="7" t="str">
        <f t="shared" si="10"/>
        <v>PremiumSS5R5only</v>
      </c>
      <c r="D118" s="7" t="str">
        <f t="shared" si="11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2460</v>
      </c>
      <c r="P118" s="46">
        <f>O118/SUM(O:O)</f>
        <v>1.0416666666666667E-3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input_585100!A$2</f>
        <v>585100</v>
      </c>
      <c r="B119" s="1">
        <v>1033</v>
      </c>
      <c r="C119" s="7" t="str">
        <f t="shared" si="10"/>
        <v>PremiumSS5R5only</v>
      </c>
      <c r="D119" s="7" t="str">
        <f t="shared" si="11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2">VLOOKUP(D119,$W$2:$Y$4,3,FALSE)</f>
        <v>2460</v>
      </c>
      <c r="P119" s="46">
        <f>O119/SUM(O:O)</f>
        <v>1.0416666666666667E-3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input_585100!A$2</f>
        <v>585100</v>
      </c>
      <c r="B120" s="1">
        <v>1068</v>
      </c>
      <c r="C120" s="7" t="str">
        <f t="shared" si="10"/>
        <v>Premium5R3less</v>
      </c>
      <c r="D120" s="7" t="str">
        <f t="shared" si="11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2"/>
        <v>26208</v>
      </c>
      <c r="P120" s="46">
        <f>O120/SUM(O:O)</f>
        <v>1.1097560975609756E-2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input_585100!A$2</f>
        <v>585100</v>
      </c>
      <c r="B121" s="1">
        <v>1069</v>
      </c>
      <c r="C121" s="7" t="str">
        <f t="shared" si="10"/>
        <v>PremiumSS5R5only</v>
      </c>
      <c r="D121" s="7" t="str">
        <f t="shared" si="11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2"/>
        <v>2460</v>
      </c>
      <c r="P121" s="46">
        <f>O121/SUM(O:O)</f>
        <v>1.0416666666666667E-3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input_585100!A$2</f>
        <v>585100</v>
      </c>
      <c r="B122" s="1">
        <v>1072</v>
      </c>
      <c r="C122" s="7" t="str">
        <f t="shared" si="10"/>
        <v>PremiumSS5R5only</v>
      </c>
      <c r="D122" s="7" t="str">
        <f t="shared" si="11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2"/>
        <v>2460</v>
      </c>
      <c r="P122" s="46">
        <f>O122/SUM(O:O)</f>
        <v>1.0416666666666667E-3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input_585100!A$2</f>
        <v>585100</v>
      </c>
      <c r="B123" s="1">
        <v>1074</v>
      </c>
      <c r="C123" s="7" t="str">
        <f t="shared" si="10"/>
        <v>PremiumSS5R5only</v>
      </c>
      <c r="D123" s="7" t="str">
        <f t="shared" si="11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2"/>
        <v>2460</v>
      </c>
      <c r="P123" s="46">
        <f>O123/SUM(O:O)</f>
        <v>1.0416666666666667E-3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input_585100!A$2</f>
        <v>585100</v>
      </c>
      <c r="B124" s="1">
        <v>1100</v>
      </c>
      <c r="C124" s="7" t="str">
        <f t="shared" si="10"/>
        <v>PremiumSS5R5only</v>
      </c>
      <c r="D124" s="7" t="str">
        <f t="shared" si="11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2"/>
        <v>2460</v>
      </c>
      <c r="P124" s="46">
        <f>O124/SUM(O:O)</f>
        <v>1.0416666666666667E-3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input_585100!A$2</f>
        <v>585100</v>
      </c>
      <c r="B125" s="1">
        <v>1102</v>
      </c>
      <c r="C125" s="7" t="str">
        <f t="shared" si="10"/>
        <v>PremiumSS5R5only</v>
      </c>
      <c r="D125" s="7" t="str">
        <f t="shared" si="11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2"/>
        <v>2460</v>
      </c>
      <c r="P125" s="46">
        <f>O125/SUM(O:O)</f>
        <v>1.0416666666666667E-3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input_585100!A$2</f>
        <v>585100</v>
      </c>
      <c r="B126" s="1">
        <v>1105</v>
      </c>
      <c r="C126" s="7" t="str">
        <f t="shared" si="10"/>
        <v>Premium5R3less</v>
      </c>
      <c r="D126" s="7" t="str">
        <f t="shared" si="11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2"/>
        <v>26208</v>
      </c>
      <c r="P126" s="46">
        <f>O126/SUM(O:O)</f>
        <v>1.1097560975609756E-2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input_585100!A$2</f>
        <v>585100</v>
      </c>
      <c r="B127" s="1">
        <v>1106</v>
      </c>
      <c r="C127" s="7" t="str">
        <f t="shared" si="10"/>
        <v>PremiumSS5R5only</v>
      </c>
      <c r="D127" s="7" t="str">
        <f t="shared" si="11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2"/>
        <v>2460</v>
      </c>
      <c r="P127" s="46">
        <f>O127/SUM(O:O)</f>
        <v>1.0416666666666667E-3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input_585100!A$2</f>
        <v>585100</v>
      </c>
      <c r="B128" s="1">
        <v>1137</v>
      </c>
      <c r="C128" s="7" t="str">
        <f t="shared" si="10"/>
        <v>PremiumSS5R5only</v>
      </c>
      <c r="D128" s="7" t="str">
        <f t="shared" si="11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2"/>
        <v>2460</v>
      </c>
      <c r="P128" s="46">
        <f>O128/SUM(O:O)</f>
        <v>1.0416666666666667E-3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input_585100!A$2</f>
        <v>585100</v>
      </c>
      <c r="B129" s="1">
        <v>1139</v>
      </c>
      <c r="C129" s="7" t="str">
        <f t="shared" si="10"/>
        <v>PremiumSS5R5only</v>
      </c>
      <c r="D129" s="7" t="str">
        <f t="shared" si="11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2"/>
        <v>2460</v>
      </c>
      <c r="P129" s="46">
        <f>O129/SUM(O:O)</f>
        <v>1.0416666666666667E-3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input_585100!A$2</f>
        <v>585100</v>
      </c>
      <c r="B130" s="1">
        <v>1141</v>
      </c>
      <c r="C130" s="7" t="str">
        <f t="shared" si="10"/>
        <v>PremiumSS5R5only</v>
      </c>
      <c r="D130" s="7" t="str">
        <f t="shared" si="11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2"/>
        <v>2460</v>
      </c>
      <c r="P130" s="46">
        <f>O130/SUM(O:O)</f>
        <v>1.0416666666666667E-3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input_585100!A$2</f>
        <v>585100</v>
      </c>
      <c r="B131" s="1">
        <v>1144</v>
      </c>
      <c r="C131" s="7" t="str">
        <f t="shared" si="10"/>
        <v>Premium5R3less</v>
      </c>
      <c r="D131" s="7" t="str">
        <f t="shared" si="11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2"/>
        <v>26208</v>
      </c>
      <c r="P131" s="46">
        <f>O131/SUM(O:O)</f>
        <v>1.1097560975609756E-2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input_585100!A$2</f>
        <v>585100</v>
      </c>
      <c r="B132" s="1">
        <v>1152</v>
      </c>
      <c r="C132" s="7" t="str">
        <f t="shared" si="10"/>
        <v>Premium5R3less</v>
      </c>
      <c r="D132" s="7" t="str">
        <f t="shared" si="11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2"/>
        <v>26208</v>
      </c>
      <c r="P132" s="46">
        <f>O132/SUM(O:O)</f>
        <v>1.1097560975609756E-2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input_585100!A$2</f>
        <v>585100</v>
      </c>
      <c r="B133" s="1">
        <v>1153</v>
      </c>
      <c r="C133" s="7" t="str">
        <f t="shared" si="10"/>
        <v>PremiumSS5R5only</v>
      </c>
      <c r="D133" s="7" t="str">
        <f t="shared" si="11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2"/>
        <v>2460</v>
      </c>
      <c r="P133" s="46">
        <f>O133/SUM(O:O)</f>
        <v>1.0416666666666667E-3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input_585100!A$2</f>
        <v>585100</v>
      </c>
      <c r="B134" s="1">
        <v>1155</v>
      </c>
      <c r="C134" s="7" t="str">
        <f t="shared" si="10"/>
        <v>PremiumSS5R5only</v>
      </c>
      <c r="D134" s="7" t="str">
        <f t="shared" si="11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2"/>
        <v>2460</v>
      </c>
      <c r="P134" s="46">
        <f>O134/SUM(O:O)</f>
        <v>1.0416666666666667E-3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input_585100!A$2</f>
        <v>585100</v>
      </c>
      <c r="B135" s="1">
        <v>1157</v>
      </c>
      <c r="C135" s="7" t="str">
        <f t="shared" si="10"/>
        <v>PremiumSS5R5only</v>
      </c>
      <c r="D135" s="7" t="str">
        <f t="shared" si="11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2"/>
        <v>2460</v>
      </c>
      <c r="P135" s="46">
        <f>O135/SUM(O:O)</f>
        <v>1.0416666666666667E-3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input_585100!A$2</f>
        <v>585100</v>
      </c>
      <c r="B136" s="1">
        <v>1214</v>
      </c>
      <c r="C136" s="7" t="str">
        <f t="shared" si="10"/>
        <v>PremiumSS5R5only</v>
      </c>
      <c r="D136" s="7" t="str">
        <f t="shared" si="11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2"/>
        <v>2460</v>
      </c>
      <c r="P136" s="46">
        <f>O136/SUM(O:O)</f>
        <v>1.0416666666666667E-3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input_585100!A$2</f>
        <v>585100</v>
      </c>
      <c r="B137" s="1">
        <v>1212</v>
      </c>
      <c r="C137" s="7" t="str">
        <f t="shared" si="10"/>
        <v>PremiumSS5R5only</v>
      </c>
      <c r="D137" s="7" t="str">
        <f t="shared" si="11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2"/>
        <v>2460</v>
      </c>
      <c r="P137" s="46">
        <f>O137/SUM(O:O)</f>
        <v>1.0416666666666667E-3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input_585100!A$2</f>
        <v>585100</v>
      </c>
      <c r="B138" s="1">
        <v>1208</v>
      </c>
      <c r="C138" s="7" t="str">
        <f t="shared" si="10"/>
        <v>PremiumSS5R5only</v>
      </c>
      <c r="D138" s="7" t="str">
        <f t="shared" si="11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2"/>
        <v>2460</v>
      </c>
      <c r="P138" s="46">
        <f>O138/SUM(O:O)</f>
        <v>1.0416666666666667E-3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input_585100!A$2</f>
        <v>585100</v>
      </c>
      <c r="B139" s="1">
        <v>1211</v>
      </c>
      <c r="C139" s="7" t="str">
        <f t="shared" si="10"/>
        <v>Premium5R3less</v>
      </c>
      <c r="D139" s="7" t="str">
        <f t="shared" si="11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2"/>
        <v>26208</v>
      </c>
      <c r="P139" s="46">
        <f>O139/SUM(O:O)</f>
        <v>1.1097560975609756E-2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input_585100!A$2</f>
        <v>585100</v>
      </c>
      <c r="B140" s="1">
        <v>1225</v>
      </c>
      <c r="C140" s="7" t="str">
        <f t="shared" si="10"/>
        <v>Premium5R3less</v>
      </c>
      <c r="D140" s="7" t="str">
        <f t="shared" si="11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2"/>
        <v>26208</v>
      </c>
      <c r="P140" s="46">
        <f>O140/SUM(O:O)</f>
        <v>1.1097560975609756E-2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input_585100!A$2</f>
        <v>585100</v>
      </c>
      <c r="B141" s="1">
        <v>1226</v>
      </c>
      <c r="C141" s="7" t="str">
        <f t="shared" si="10"/>
        <v>PremiumSS5R5only</v>
      </c>
      <c r="D141" s="7" t="str">
        <f t="shared" si="11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2"/>
        <v>2460</v>
      </c>
      <c r="P141" s="46">
        <f>O141/SUM(O:O)</f>
        <v>1.0416666666666667E-3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input_585100!A$2</f>
        <v>585100</v>
      </c>
      <c r="B142" s="1">
        <v>1228</v>
      </c>
      <c r="C142" s="7" t="str">
        <f t="shared" si="10"/>
        <v>PremiumSS5R5only</v>
      </c>
      <c r="D142" s="7" t="str">
        <f t="shared" si="11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2"/>
        <v>2460</v>
      </c>
      <c r="P142" s="46">
        <f>O142/SUM(O:O)</f>
        <v>1.0416666666666667E-3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input_585100!A$2</f>
        <v>585100</v>
      </c>
      <c r="B143" s="1">
        <v>1230</v>
      </c>
      <c r="C143" s="7" t="str">
        <f t="shared" si="10"/>
        <v>PremiumSS5R5only</v>
      </c>
      <c r="D143" s="7" t="str">
        <f t="shared" si="11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2"/>
        <v>2460</v>
      </c>
      <c r="P143" s="46">
        <f>O143/SUM(O:O)</f>
        <v>1.0416666666666667E-3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input_585100!A$2</f>
        <v>585100</v>
      </c>
      <c r="B144" s="1">
        <v>1250</v>
      </c>
      <c r="C144" s="7" t="str">
        <f t="shared" si="10"/>
        <v>PremiumSS5R5only</v>
      </c>
      <c r="D144" s="7" t="str">
        <f t="shared" si="11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2"/>
        <v>2460</v>
      </c>
      <c r="P144" s="46">
        <f>O144/SUM(O:O)</f>
        <v>1.0416666666666667E-3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input_585100!A$2</f>
        <v>585100</v>
      </c>
      <c r="B145" s="1">
        <v>1249</v>
      </c>
      <c r="C145" s="7" t="str">
        <f t="shared" si="10"/>
        <v>Premium5R3less</v>
      </c>
      <c r="D145" s="7" t="str">
        <f t="shared" si="11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2"/>
        <v>26208</v>
      </c>
      <c r="P145" s="46">
        <f>O145/SUM(O:O)</f>
        <v>1.1097560975609756E-2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input_585100!A$2</f>
        <v>585100</v>
      </c>
      <c r="B146" s="1">
        <v>1246</v>
      </c>
      <c r="C146" s="7" t="str">
        <f t="shared" si="10"/>
        <v>PremiumSS5R5only</v>
      </c>
      <c r="D146" s="7" t="str">
        <f t="shared" si="11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2"/>
        <v>2460</v>
      </c>
      <c r="P146" s="46">
        <f>O146/SUM(O:O)</f>
        <v>1.0416666666666667E-3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input_585100!A$2</f>
        <v>585100</v>
      </c>
      <c r="B147" s="1">
        <v>1244</v>
      </c>
      <c r="C147" s="7" t="str">
        <f t="shared" si="10"/>
        <v>PremiumSS5R5only</v>
      </c>
      <c r="D147" s="7" t="str">
        <f t="shared" si="11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2"/>
        <v>2460</v>
      </c>
      <c r="P147" s="46">
        <f>O147/SUM(O:O)</f>
        <v>1.0416666666666667E-3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input_585100!A$2</f>
        <v>585100</v>
      </c>
      <c r="B148" s="1">
        <v>1260</v>
      </c>
      <c r="C148" s="7" t="str">
        <f t="shared" si="10"/>
        <v>PremiumSS5R5only</v>
      </c>
      <c r="D148" s="7" t="str">
        <f t="shared" si="11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2"/>
        <v>2460</v>
      </c>
      <c r="P148" s="46">
        <f>O148/SUM(O:O)</f>
        <v>1.0416666666666667E-3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input_585100!A$2</f>
        <v>585100</v>
      </c>
      <c r="B149" s="1">
        <v>1262</v>
      </c>
      <c r="C149" s="7" t="str">
        <f t="shared" si="10"/>
        <v>PremiumSS5R5only</v>
      </c>
      <c r="D149" s="7" t="str">
        <f t="shared" si="11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2460</v>
      </c>
      <c r="P149" s="46">
        <f>O149/SUM(O:O)</f>
        <v>1.0416666666666667E-3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input_585100!A$2</f>
        <v>585100</v>
      </c>
      <c r="B150" s="1">
        <v>1264</v>
      </c>
      <c r="C150" s="7" t="str">
        <f t="shared" si="10"/>
        <v>PremiumSS5R5only</v>
      </c>
      <c r="D150" s="7" t="str">
        <f t="shared" si="11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57" si="13">VLOOKUP(D150,$W$2:$Y$4,3,FALSE)</f>
        <v>2460</v>
      </c>
      <c r="P150" s="46">
        <f>O150/SUM(O:O)</f>
        <v>1.0416666666666667E-3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input_585100!A$2</f>
        <v>585100</v>
      </c>
      <c r="B151" s="1">
        <v>1267</v>
      </c>
      <c r="C151" s="7" t="str">
        <f t="shared" si="10"/>
        <v>Premium5R3less</v>
      </c>
      <c r="D151" s="7" t="str">
        <f t="shared" si="11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3"/>
        <v>26208</v>
      </c>
      <c r="P151" s="46">
        <f>O151/SUM(O:O)</f>
        <v>1.1097560975609756E-2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input_585100!A$2</f>
        <v>585100</v>
      </c>
      <c r="B152" s="1">
        <v>1332</v>
      </c>
      <c r="C152" s="7" t="str">
        <f t="shared" si="10"/>
        <v>PremiumSS5R5only</v>
      </c>
      <c r="D152" s="7" t="str">
        <f t="shared" si="11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3"/>
        <v>2460</v>
      </c>
      <c r="P152" s="46">
        <f>O152/SUM(O:O)</f>
        <v>1.0416666666666667E-3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input_585100!A$2</f>
        <v>585100</v>
      </c>
      <c r="B153" s="1">
        <v>1336</v>
      </c>
      <c r="C153" s="7" t="str">
        <f t="shared" si="10"/>
        <v>PremiumSS5R5only</v>
      </c>
      <c r="D153" s="7" t="str">
        <f t="shared" si="11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3"/>
        <v>2460</v>
      </c>
      <c r="P153" s="46">
        <f>O153/SUM(O:O)</f>
        <v>1.0416666666666667E-3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input_585100!A$2</f>
        <v>585100</v>
      </c>
      <c r="B154" s="1">
        <v>1338</v>
      </c>
      <c r="C154" s="7" t="str">
        <f t="shared" si="10"/>
        <v>PremiumSS5R5only</v>
      </c>
      <c r="D154" s="7" t="str">
        <f t="shared" si="11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3"/>
        <v>2460</v>
      </c>
      <c r="P154" s="46">
        <f>O154/SUM(O:O)</f>
        <v>1.0416666666666667E-3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input_585100!A$2</f>
        <v>585100</v>
      </c>
      <c r="B155" s="1">
        <v>1335</v>
      </c>
      <c r="C155" s="7" t="str">
        <f t="shared" si="10"/>
        <v>Premium5R3less</v>
      </c>
      <c r="D155" s="7" t="str">
        <f t="shared" si="11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3"/>
        <v>26208</v>
      </c>
      <c r="P155" s="46">
        <f>O155/SUM(O:O)</f>
        <v>1.1097560975609756E-2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input_585100!A$2</f>
        <v>585100</v>
      </c>
      <c r="B156" s="95">
        <v>689</v>
      </c>
      <c r="C156" s="7" t="str">
        <f t="shared" si="10"/>
        <v>PremiumSSS5R3less</v>
      </c>
      <c r="D156" s="7" t="str">
        <f t="shared" si="11"/>
        <v>PremiumSSS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根原論理 ユークリッド</v>
      </c>
      <c r="I156" s="7" t="str">
        <f>VLOOKUP(B156,[1]characters!$A:$J,10,FALSE)</f>
        <v>PremiumSSS</v>
      </c>
      <c r="J156" s="7">
        <f>VLOOKUP(B156,[1]characters!$A:$I,9,FALSE)</f>
        <v>5</v>
      </c>
      <c r="K156" s="7" t="str">
        <f>VLOOKUP(B156,[1]characters!$A:$H,8,FALSE)</f>
        <v>blue</v>
      </c>
      <c r="L156" s="7" t="str">
        <f>VLOOKUP(B156,[1]characters!$A:$K,11,FALSE)</f>
        <v>balance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t="shared" si="13"/>
        <v>8856</v>
      </c>
      <c r="P156" s="46">
        <f>O156/SUM(O:O)</f>
        <v>3.7499999999999999E-3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input_585100!A$2</f>
        <v>585100</v>
      </c>
      <c r="B157" s="95">
        <v>760</v>
      </c>
      <c r="C157" s="7" t="str">
        <f t="shared" si="10"/>
        <v>PremiumSSS5R3less</v>
      </c>
      <c r="D157" s="7" t="str">
        <f t="shared" si="11"/>
        <v>PremiumSSS</v>
      </c>
      <c r="E157" s="7" t="str">
        <f>IF(COUNTIF('R6追加前'!A:A,B157)=0,IF(OR(I157="PremiumSS",I157="PremiumSSw"),"R5only","R3less"),"")</f>
        <v>R3less</v>
      </c>
      <c r="F157" s="7" t="str">
        <f>IF(COUNTIF('R6開放'!A:A,B157)&gt;0,"R6release","")</f>
        <v/>
      </c>
      <c r="G157" s="7"/>
      <c r="H157" s="7" t="str">
        <f>VLOOKUP(B157,[1]characters!$A:$C,3,FALSE)</f>
        <v>限論顕現 クロネッカー</v>
      </c>
      <c r="I157" s="7" t="str">
        <f>VLOOKUP(B157,[1]characters!$A:$J,10,FALSE)</f>
        <v>PremiumSSS</v>
      </c>
      <c r="J157" s="7">
        <f>VLOOKUP(B157,[1]characters!$A:$I,9,FALSE)</f>
        <v>5</v>
      </c>
      <c r="K157" s="7" t="str">
        <f>VLOOKUP(B157,[1]characters!$A:$H,8,FALSE)</f>
        <v>yellow</v>
      </c>
      <c r="L157" s="7" t="str">
        <f>VLOOKUP(B157,[1]characters!$A:$K,11,FALSE)</f>
        <v>balance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t="shared" si="13"/>
        <v>8856</v>
      </c>
      <c r="P157" s="46">
        <f>O157/SUM(O:O)</f>
        <v>3.7499999999999999E-3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input_585100!A$2</f>
        <v>585100</v>
      </c>
      <c r="B158" s="95">
        <v>870</v>
      </c>
      <c r="C158" s="7" t="str">
        <f t="shared" ref="C158:C159" si="14">D158&amp;J158&amp;E158&amp;F158&amp;G158</f>
        <v>PremiumSSS5R3less</v>
      </c>
      <c r="D158" s="7" t="str">
        <f t="shared" ref="D158:D159" si="15">IF(OR(I158="PremiumSS",I158="PremiumSSw"),"PremiumSS",IF(I158="PremiumSSS",I158,IF(I158="PremiumW",IF(J158=5,"premium",I158),"Premium")))</f>
        <v>PremiumSSS</v>
      </c>
      <c r="E158" s="7" t="str">
        <f>IF(COUNTIF('R6追加前'!A:A,B158)=0,IF(OR(I158="PremiumSS",I158="PremiumSSw"),"R5only","R3less"),"")</f>
        <v>R3less</v>
      </c>
      <c r="F158" s="7" t="str">
        <f>IF(COUNTIF('R6開放'!A:A,B158)&gt;0,"R6release","")</f>
        <v/>
      </c>
      <c r="G158" s="7"/>
      <c r="H158" s="7" t="str">
        <f>VLOOKUP(B158,[1]characters!$A:$C,3,FALSE)</f>
        <v>フロイト</v>
      </c>
      <c r="I158" s="7" t="str">
        <f>VLOOKUP(B158,[1]characters!$A:$J,10,FALSE)</f>
        <v>PremiumSSS</v>
      </c>
      <c r="J158" s="7">
        <f>VLOOKUP(B158,[1]characters!$A:$I,9,FALSE)</f>
        <v>5</v>
      </c>
      <c r="K158" s="7" t="str">
        <f>VLOOKUP(B158,[1]characters!$A:$H,8,FALSE)</f>
        <v>red</v>
      </c>
      <c r="L158" s="7" t="str">
        <f>VLOOKUP(B158,[1]characters!$A:$K,11,FALSE)</f>
        <v>balance</v>
      </c>
      <c r="M158" s="7" t="str">
        <f>VLOOKUP(B158,[1]characters!$A:$M,13,FALSE)</f>
        <v>academia</v>
      </c>
      <c r="N158" s="7" t="str">
        <f>VLOOKUP(B158,[1]characters!$A:$G,7,FALSE)</f>
        <v>男性</v>
      </c>
      <c r="O158" s="45">
        <f t="shared" ref="O158:O159" si="16">VLOOKUP(D158,$W$2:$Y$4,3,FALSE)</f>
        <v>8856</v>
      </c>
      <c r="P158" s="46">
        <f>O158/SUM(O:O)</f>
        <v>3.7499999999999999E-3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input_585100!A$2</f>
        <v>585100</v>
      </c>
      <c r="B159" s="95">
        <v>379</v>
      </c>
      <c r="C159" s="7" t="str">
        <f t="shared" si="14"/>
        <v>PremiumSSS5R3less</v>
      </c>
      <c r="D159" s="7" t="str">
        <f t="shared" si="15"/>
        <v>PremiumSSS</v>
      </c>
      <c r="E159" s="7" t="str">
        <f>IF(COUNTIF('R6追加前'!A:A,B159)=0,IF(OR(I159="PremiumSS",I159="PremiumSSw"),"R5only","R3less"),"")</f>
        <v>R3less</v>
      </c>
      <c r="F159" s="7" t="str">
        <f>IF(COUNTIF('R6開放'!A:A,B159)&gt;0,"R6release","")</f>
        <v/>
      </c>
      <c r="G159" s="7"/>
      <c r="H159" s="7" t="str">
        <f>VLOOKUP(B159,[1]characters!$A:$C,3,FALSE)</f>
        <v>幾何の機刃 オイラー</v>
      </c>
      <c r="I159" s="7" t="str">
        <f>VLOOKUP(B159,[1]characters!$A:$J,10,FALSE)</f>
        <v>PremiumSSS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balance</v>
      </c>
      <c r="M159" s="7" t="str">
        <f>VLOOKUP(B159,[1]characters!$A:$M,13,FALSE)</f>
        <v>human</v>
      </c>
      <c r="N159" s="7" t="str">
        <f>VLOOKUP(B159,[1]characters!$A:$G,7,FALSE)</f>
        <v>女性</v>
      </c>
      <c r="O159" s="45">
        <f t="shared" si="16"/>
        <v>8856</v>
      </c>
      <c r="P159" s="46">
        <f>O159/SUM(O:O)</f>
        <v>3.7499999999999999E-3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</sheetData>
  <autoFilter ref="A1:V15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4"/>
      <c r="H3" s="84"/>
      <c r="I3" s="84"/>
      <c r="J3" s="84"/>
      <c r="K3" s="84"/>
      <c r="L3" s="84"/>
      <c r="M3" s="84"/>
      <c r="N3" s="79"/>
      <c r="O3" s="79"/>
      <c r="P3" s="79"/>
      <c r="Q3" s="80"/>
    </row>
    <row r="4" spans="1:17" ht="21" customHeight="1" x14ac:dyDescent="0.15">
      <c r="A4" s="78"/>
      <c r="B4" s="78"/>
      <c r="G4" s="84"/>
      <c r="H4" s="84"/>
      <c r="I4" s="84"/>
      <c r="J4" s="84"/>
      <c r="K4" s="84"/>
      <c r="L4" s="84"/>
      <c r="M4" s="84"/>
      <c r="N4" s="79"/>
      <c r="O4" s="79"/>
      <c r="P4" s="79"/>
      <c r="Q4" s="80"/>
    </row>
    <row r="5" spans="1:17" ht="21" customHeight="1" x14ac:dyDescent="0.15">
      <c r="A5" s="78"/>
      <c r="B5" s="78"/>
      <c r="G5" s="84"/>
      <c r="H5" s="84"/>
      <c r="I5" s="84"/>
      <c r="J5" s="84"/>
      <c r="K5" s="84"/>
      <c r="L5" s="84"/>
      <c r="M5" s="84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input_585100</vt:lpstr>
      <vt:lpstr>tables_585100</vt:lpstr>
      <vt:lpstr>tables_settle_585100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2017-04-26T04:07:43Z</dcterms:modified>
</cp:coreProperties>
</file>