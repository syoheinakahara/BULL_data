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180" yWindow="700" windowWidth="31980" windowHeight="20420" tabRatio="740" activeTab="1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8" l="1"/>
  <c r="D12" i="18"/>
  <c r="Q4" i="21"/>
  <c r="Q3" i="21"/>
  <c r="Q2" i="21"/>
  <c r="Q10" i="21"/>
  <c r="Q9" i="21"/>
  <c r="Q8" i="21"/>
  <c r="Q7" i="21"/>
  <c r="Q5" i="21"/>
  <c r="Q6" i="21"/>
  <c r="N14" i="22"/>
  <c r="G14" i="22"/>
  <c r="F14" i="22"/>
  <c r="D14" i="22"/>
  <c r="C14" i="22"/>
  <c r="A14" i="22"/>
  <c r="N13" i="22"/>
  <c r="G13" i="22"/>
  <c r="F13" i="22"/>
  <c r="D13" i="22"/>
  <c r="C13" i="22"/>
  <c r="A13" i="22"/>
  <c r="N12" i="22"/>
  <c r="G12" i="22"/>
  <c r="F12" i="22"/>
  <c r="D12" i="22"/>
  <c r="C12" i="22"/>
  <c r="A12" i="22"/>
  <c r="N11" i="22"/>
  <c r="G11" i="22"/>
  <c r="F11" i="22"/>
  <c r="D11" i="22"/>
  <c r="C11" i="22"/>
  <c r="A11" i="22"/>
  <c r="N10" i="22"/>
  <c r="G10" i="22"/>
  <c r="F10" i="22"/>
  <c r="D10" i="22"/>
  <c r="C10" i="22"/>
  <c r="A10" i="22"/>
  <c r="N9" i="22"/>
  <c r="G9" i="22"/>
  <c r="F9" i="22"/>
  <c r="D9" i="22"/>
  <c r="C9" i="22"/>
  <c r="A9" i="22"/>
  <c r="N8" i="22"/>
  <c r="G8" i="22"/>
  <c r="F8" i="22"/>
  <c r="D8" i="22"/>
  <c r="C8" i="22"/>
  <c r="A8" i="22"/>
  <c r="N7" i="22"/>
  <c r="G7" i="22"/>
  <c r="F7" i="22"/>
  <c r="D7" i="22"/>
  <c r="C7" i="22"/>
  <c r="A7" i="22"/>
  <c r="N6" i="22"/>
  <c r="G6" i="22"/>
  <c r="F6" i="22"/>
  <c r="D6" i="22"/>
  <c r="C6" i="22"/>
  <c r="A6" i="22"/>
  <c r="C6" i="18"/>
  <c r="D6" i="18"/>
  <c r="N5" i="22"/>
  <c r="G5" i="22"/>
  <c r="F5" i="22"/>
  <c r="D5" i="22"/>
  <c r="C5" i="22"/>
  <c r="A5" i="22"/>
  <c r="N4" i="22"/>
  <c r="G4" i="22"/>
  <c r="F4" i="22"/>
  <c r="D4" i="22"/>
  <c r="C4" i="22"/>
  <c r="A4" i="22"/>
  <c r="N3" i="22"/>
  <c r="G3" i="22"/>
  <c r="F3" i="22"/>
  <c r="D3" i="22"/>
  <c r="C3" i="22"/>
  <c r="A3" i="22"/>
  <c r="C11" i="18"/>
  <c r="D11" i="18"/>
  <c r="C10" i="18"/>
  <c r="D10" i="18"/>
  <c r="C9" i="18"/>
  <c r="D9" i="18"/>
  <c r="C8" i="18"/>
  <c r="D8" i="18"/>
  <c r="C7" i="18"/>
  <c r="D7" i="18"/>
  <c r="C5" i="18"/>
  <c r="D5" i="18"/>
  <c r="C4" i="18"/>
  <c r="D4" i="18"/>
  <c r="C3" i="18"/>
  <c r="D3" i="18"/>
  <c r="B16" i="21"/>
  <c r="I16" i="21"/>
  <c r="J16" i="21"/>
  <c r="G16" i="21"/>
  <c r="F16" i="21"/>
  <c r="D16" i="21"/>
  <c r="C16" i="21"/>
  <c r="B7" i="21"/>
  <c r="I7" i="21"/>
  <c r="J7" i="21"/>
  <c r="G7" i="21"/>
  <c r="F7" i="21"/>
  <c r="D7" i="21"/>
  <c r="C7" i="21"/>
  <c r="O82" i="9"/>
  <c r="N82" i="9"/>
  <c r="M82" i="9"/>
  <c r="L82" i="9"/>
  <c r="K82" i="9"/>
  <c r="J82" i="9"/>
  <c r="I82" i="9"/>
  <c r="H82" i="9"/>
  <c r="G82" i="9"/>
  <c r="E82" i="9"/>
  <c r="D82" i="9"/>
  <c r="A82" i="9"/>
  <c r="O24" i="9"/>
  <c r="N24" i="9"/>
  <c r="M24" i="9"/>
  <c r="L24" i="9"/>
  <c r="K24" i="9"/>
  <c r="J24" i="9"/>
  <c r="I24" i="9"/>
  <c r="H24" i="9"/>
  <c r="G24" i="9"/>
  <c r="E24" i="9"/>
  <c r="D24" i="9"/>
  <c r="A24" i="9"/>
  <c r="M82" i="10"/>
  <c r="T82" i="10"/>
  <c r="W82" i="10"/>
  <c r="V82" i="10"/>
  <c r="X82" i="10"/>
  <c r="U82" i="10"/>
  <c r="Y82" i="10"/>
  <c r="M92" i="10"/>
  <c r="N92" i="10"/>
  <c r="Q92" i="10"/>
  <c r="P92" i="10"/>
  <c r="R92" i="10"/>
  <c r="O92" i="10"/>
  <c r="S9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24" i="10"/>
  <c r="T24" i="10"/>
  <c r="W24" i="10"/>
  <c r="V24" i="10"/>
  <c r="X24" i="10"/>
  <c r="U24" i="10"/>
  <c r="Y24" i="10"/>
  <c r="M3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J124" i="11"/>
  <c r="J123" i="11"/>
  <c r="J122" i="11"/>
  <c r="J121" i="11"/>
  <c r="J120" i="11"/>
  <c r="J119" i="11"/>
  <c r="J118" i="11"/>
  <c r="M134" i="10"/>
  <c r="N134" i="10"/>
  <c r="Q134" i="10"/>
  <c r="P134" i="10"/>
  <c r="R134" i="10"/>
  <c r="O134" i="10"/>
  <c r="S134" i="10"/>
  <c r="M124" i="10"/>
  <c r="T124" i="10"/>
  <c r="W124" i="10"/>
  <c r="V124" i="10"/>
  <c r="X124" i="10"/>
  <c r="U124" i="10"/>
  <c r="Y124" i="10"/>
  <c r="M138" i="10"/>
  <c r="N138" i="10"/>
  <c r="Q138" i="10"/>
  <c r="P138" i="10"/>
  <c r="R138" i="10"/>
  <c r="O138" i="10"/>
  <c r="S138" i="10"/>
  <c r="M133" i="10"/>
  <c r="N133" i="10"/>
  <c r="Q133" i="10"/>
  <c r="P133" i="10"/>
  <c r="R133" i="10"/>
  <c r="O133" i="10"/>
  <c r="S133" i="10"/>
  <c r="N124" i="10"/>
  <c r="Q124" i="10"/>
  <c r="P124" i="10"/>
  <c r="R124" i="10"/>
  <c r="O124" i="10"/>
  <c r="S124" i="10"/>
  <c r="G124" i="10"/>
  <c r="J124" i="10"/>
  <c r="I124" i="10"/>
  <c r="K124" i="10"/>
  <c r="H124" i="10"/>
  <c r="L124" i="10"/>
  <c r="M123" i="10"/>
  <c r="T123" i="10"/>
  <c r="W123" i="10"/>
  <c r="V123" i="10"/>
  <c r="X123" i="10"/>
  <c r="U123" i="10"/>
  <c r="Y123" i="10"/>
  <c r="M137" i="10"/>
  <c r="N137" i="10"/>
  <c r="Q137" i="10"/>
  <c r="P137" i="10"/>
  <c r="R137" i="10"/>
  <c r="O137" i="10"/>
  <c r="S137" i="10"/>
  <c r="M132" i="10"/>
  <c r="N132" i="10"/>
  <c r="Q132" i="10"/>
  <c r="P132" i="10"/>
  <c r="R132" i="10"/>
  <c r="O132" i="10"/>
  <c r="S132" i="10"/>
  <c r="N123" i="10"/>
  <c r="Q123" i="10"/>
  <c r="P123" i="10"/>
  <c r="R123" i="10"/>
  <c r="O123" i="10"/>
  <c r="S123" i="10"/>
  <c r="G123" i="10"/>
  <c r="J123" i="10"/>
  <c r="I123" i="10"/>
  <c r="K123" i="10"/>
  <c r="H123" i="10"/>
  <c r="L123" i="10"/>
  <c r="M122" i="10"/>
  <c r="T122" i="10"/>
  <c r="W122" i="10"/>
  <c r="V122" i="10"/>
  <c r="X122" i="10"/>
  <c r="U122" i="10"/>
  <c r="Y122" i="10"/>
  <c r="N122" i="10"/>
  <c r="Q122" i="10"/>
  <c r="P122" i="10"/>
  <c r="R122" i="10"/>
  <c r="O122" i="10"/>
  <c r="S122" i="10"/>
  <c r="G122" i="10"/>
  <c r="J122" i="10"/>
  <c r="I122" i="10"/>
  <c r="K122" i="10"/>
  <c r="H122" i="10"/>
  <c r="L122" i="10"/>
  <c r="M121" i="10"/>
  <c r="T121" i="10"/>
  <c r="W121" i="10"/>
  <c r="V121" i="10"/>
  <c r="X121" i="10"/>
  <c r="U121" i="10"/>
  <c r="Y121" i="10"/>
  <c r="M131" i="10"/>
  <c r="N131" i="10"/>
  <c r="Q131" i="10"/>
  <c r="P131" i="10"/>
  <c r="R131" i="10"/>
  <c r="O131" i="10"/>
  <c r="S131" i="10"/>
  <c r="N121" i="10"/>
  <c r="Q121" i="10"/>
  <c r="P121" i="10"/>
  <c r="R121" i="10"/>
  <c r="O121" i="10"/>
  <c r="S121" i="10"/>
  <c r="G121" i="10"/>
  <c r="J121" i="10"/>
  <c r="I121" i="10"/>
  <c r="K121" i="10"/>
  <c r="H121" i="10"/>
  <c r="L121" i="10"/>
  <c r="M120" i="10"/>
  <c r="T120" i="10"/>
  <c r="W120" i="10"/>
  <c r="V120" i="10"/>
  <c r="X120" i="10"/>
  <c r="U120" i="10"/>
  <c r="Y120" i="10"/>
  <c r="M130" i="10"/>
  <c r="N130" i="10"/>
  <c r="Q130" i="10"/>
  <c r="P130" i="10"/>
  <c r="R130" i="10"/>
  <c r="O130" i="10"/>
  <c r="S130" i="10"/>
  <c r="N120" i="10"/>
  <c r="Q120" i="10"/>
  <c r="P120" i="10"/>
  <c r="R120" i="10"/>
  <c r="O120" i="10"/>
  <c r="S120" i="10"/>
  <c r="G120" i="10"/>
  <c r="J120" i="10"/>
  <c r="I120" i="10"/>
  <c r="K120" i="10"/>
  <c r="H120" i="10"/>
  <c r="L120" i="10"/>
  <c r="M119" i="10"/>
  <c r="T119" i="10"/>
  <c r="W119" i="10"/>
  <c r="V119" i="10"/>
  <c r="X119" i="10"/>
  <c r="U119" i="10"/>
  <c r="Y119" i="10"/>
  <c r="M129" i="10"/>
  <c r="N129" i="10"/>
  <c r="Q129" i="10"/>
  <c r="P129" i="10"/>
  <c r="R129" i="10"/>
  <c r="O129" i="10"/>
  <c r="S129" i="10"/>
  <c r="N119" i="10"/>
  <c r="Q119" i="10"/>
  <c r="P119" i="10"/>
  <c r="R119" i="10"/>
  <c r="O119" i="10"/>
  <c r="S119" i="10"/>
  <c r="G119" i="10"/>
  <c r="J119" i="10"/>
  <c r="I119" i="10"/>
  <c r="K119" i="10"/>
  <c r="H119" i="10"/>
  <c r="L119" i="10"/>
  <c r="M118" i="10"/>
  <c r="T118" i="10"/>
  <c r="W118" i="10"/>
  <c r="V118" i="10"/>
  <c r="X118" i="10"/>
  <c r="U118" i="10"/>
  <c r="Y118" i="10"/>
  <c r="M128" i="10"/>
  <c r="N128" i="10"/>
  <c r="Q128" i="10"/>
  <c r="P128" i="10"/>
  <c r="R128" i="10"/>
  <c r="O128" i="10"/>
  <c r="S128" i="10"/>
  <c r="N118" i="10"/>
  <c r="Q118" i="10"/>
  <c r="P118" i="10"/>
  <c r="R118" i="10"/>
  <c r="O118" i="10"/>
  <c r="S118" i="10"/>
  <c r="G118" i="10"/>
  <c r="J118" i="10"/>
  <c r="I118" i="10"/>
  <c r="K118" i="10"/>
  <c r="H118" i="10"/>
  <c r="L118" i="10"/>
  <c r="O124" i="9"/>
  <c r="N124" i="9"/>
  <c r="M124" i="9"/>
  <c r="L124" i="9"/>
  <c r="K124" i="9"/>
  <c r="J124" i="9"/>
  <c r="I124" i="9"/>
  <c r="H124" i="9"/>
  <c r="G124" i="9"/>
  <c r="E124" i="9"/>
  <c r="D124" i="9"/>
  <c r="A124" i="9"/>
  <c r="O123" i="9"/>
  <c r="N123" i="9"/>
  <c r="M123" i="9"/>
  <c r="L123" i="9"/>
  <c r="K123" i="9"/>
  <c r="J123" i="9"/>
  <c r="I123" i="9"/>
  <c r="H123" i="9"/>
  <c r="G123" i="9"/>
  <c r="E123" i="9"/>
  <c r="D123" i="9"/>
  <c r="A123" i="9"/>
  <c r="O122" i="9"/>
  <c r="N122" i="9"/>
  <c r="M122" i="9"/>
  <c r="L122" i="9"/>
  <c r="K122" i="9"/>
  <c r="J122" i="9"/>
  <c r="I122" i="9"/>
  <c r="H122" i="9"/>
  <c r="G122" i="9"/>
  <c r="E122" i="9"/>
  <c r="D122" i="9"/>
  <c r="A122" i="9"/>
  <c r="J138" i="11"/>
  <c r="O131" i="9"/>
  <c r="N131" i="9"/>
  <c r="M131" i="9"/>
  <c r="L131" i="9"/>
  <c r="K131" i="9"/>
  <c r="J131" i="9"/>
  <c r="I131" i="9"/>
  <c r="H131" i="9"/>
  <c r="G131" i="9"/>
  <c r="E131" i="9"/>
  <c r="D131" i="9"/>
  <c r="A131" i="9"/>
  <c r="J137" i="11"/>
  <c r="O130" i="9"/>
  <c r="N130" i="9"/>
  <c r="M130" i="9"/>
  <c r="L130" i="9"/>
  <c r="K130" i="9"/>
  <c r="J130" i="9"/>
  <c r="I130" i="9"/>
  <c r="H130" i="9"/>
  <c r="G130" i="9"/>
  <c r="E130" i="9"/>
  <c r="D130" i="9"/>
  <c r="A130" i="9"/>
  <c r="J136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J131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130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129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T131" i="10"/>
  <c r="W131" i="10"/>
  <c r="V131" i="10"/>
  <c r="X131" i="10"/>
  <c r="U131" i="10"/>
  <c r="Y131" i="10"/>
  <c r="G131" i="10"/>
  <c r="J131" i="10"/>
  <c r="I131" i="10"/>
  <c r="K131" i="10"/>
  <c r="H131" i="10"/>
  <c r="L131" i="10"/>
  <c r="T130" i="10"/>
  <c r="W130" i="10"/>
  <c r="V130" i="10"/>
  <c r="X130" i="10"/>
  <c r="U130" i="10"/>
  <c r="Y130" i="10"/>
  <c r="G130" i="10"/>
  <c r="J130" i="10"/>
  <c r="I130" i="10"/>
  <c r="K130" i="10"/>
  <c r="H130" i="10"/>
  <c r="L130" i="10"/>
  <c r="T129" i="10"/>
  <c r="W129" i="10"/>
  <c r="V129" i="10"/>
  <c r="X129" i="10"/>
  <c r="U129" i="10"/>
  <c r="Y129" i="10"/>
  <c r="G129" i="10"/>
  <c r="J129" i="10"/>
  <c r="I129" i="10"/>
  <c r="K129" i="10"/>
  <c r="H129" i="10"/>
  <c r="L129" i="10"/>
  <c r="T138" i="10"/>
  <c r="W138" i="10"/>
  <c r="V138" i="10"/>
  <c r="X138" i="10"/>
  <c r="U138" i="10"/>
  <c r="Y138" i="10"/>
  <c r="G138" i="10"/>
  <c r="J138" i="10"/>
  <c r="I138" i="10"/>
  <c r="K138" i="10"/>
  <c r="H138" i="10"/>
  <c r="L138" i="10"/>
  <c r="T137" i="10"/>
  <c r="W137" i="10"/>
  <c r="V137" i="10"/>
  <c r="X137" i="10"/>
  <c r="U137" i="10"/>
  <c r="Y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J135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J134" i="11"/>
  <c r="O141" i="9"/>
  <c r="N141" i="9"/>
  <c r="M141" i="9"/>
  <c r="L141" i="9"/>
  <c r="K141" i="9"/>
  <c r="J141" i="9"/>
  <c r="I141" i="9"/>
  <c r="H141" i="9"/>
  <c r="G141" i="9"/>
  <c r="E141" i="9"/>
  <c r="D141" i="9"/>
  <c r="A141" i="9"/>
  <c r="J133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125" i="11"/>
  <c r="J132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128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127" i="11"/>
  <c r="O134" i="9"/>
  <c r="N134" i="9"/>
  <c r="M134" i="9"/>
  <c r="L134" i="9"/>
  <c r="K134" i="9"/>
  <c r="J134" i="9"/>
  <c r="I134" i="9"/>
  <c r="H134" i="9"/>
  <c r="G134" i="9"/>
  <c r="E134" i="9"/>
  <c r="D134" i="9"/>
  <c r="A134" i="9"/>
  <c r="J126" i="11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D7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J68" i="11"/>
  <c r="J10" i="11"/>
  <c r="M68" i="10"/>
  <c r="T68" i="10"/>
  <c r="W68" i="10"/>
  <c r="V68" i="10"/>
  <c r="X68" i="10"/>
  <c r="U68" i="10"/>
  <c r="Y68" i="10"/>
  <c r="M79" i="10"/>
  <c r="M89" i="10"/>
  <c r="M99" i="10"/>
  <c r="N99" i="10"/>
  <c r="Q99" i="10"/>
  <c r="P99" i="10"/>
  <c r="R99" i="10"/>
  <c r="O99" i="10"/>
  <c r="S99" i="10"/>
  <c r="N89" i="10"/>
  <c r="Q89" i="10"/>
  <c r="P89" i="10"/>
  <c r="R89" i="10"/>
  <c r="O89" i="10"/>
  <c r="S89" i="10"/>
  <c r="N79" i="10"/>
  <c r="Q79" i="10"/>
  <c r="P79" i="10"/>
  <c r="R79" i="10"/>
  <c r="O79" i="10"/>
  <c r="S79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3" i="10"/>
  <c r="T63" i="10"/>
  <c r="W63" i="10"/>
  <c r="V63" i="10"/>
  <c r="X63" i="10"/>
  <c r="U63" i="10"/>
  <c r="Y63" i="10"/>
  <c r="M75" i="10"/>
  <c r="M85" i="10"/>
  <c r="M113" i="10"/>
  <c r="N113" i="10"/>
  <c r="Q113" i="10"/>
  <c r="P113" i="10"/>
  <c r="R113" i="10"/>
  <c r="O113" i="10"/>
  <c r="S113" i="10"/>
  <c r="M108" i="10"/>
  <c r="N108" i="10"/>
  <c r="Q108" i="10"/>
  <c r="P108" i="10"/>
  <c r="R108" i="10"/>
  <c r="O108" i="10"/>
  <c r="S108" i="10"/>
  <c r="M103" i="10"/>
  <c r="N103" i="10"/>
  <c r="Q103" i="10"/>
  <c r="P103" i="10"/>
  <c r="R103" i="10"/>
  <c r="O103" i="10"/>
  <c r="S103" i="10"/>
  <c r="M94" i="10"/>
  <c r="N94" i="10"/>
  <c r="Q94" i="10"/>
  <c r="P94" i="10"/>
  <c r="R94" i="10"/>
  <c r="O94" i="10"/>
  <c r="S94" i="10"/>
  <c r="N85" i="10"/>
  <c r="Q85" i="10"/>
  <c r="P85" i="10"/>
  <c r="R85" i="10"/>
  <c r="O85" i="10"/>
  <c r="S85" i="10"/>
  <c r="N75" i="10"/>
  <c r="Q75" i="10"/>
  <c r="P75" i="10"/>
  <c r="R75" i="10"/>
  <c r="O75" i="10"/>
  <c r="S75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10" i="10"/>
  <c r="T10" i="10"/>
  <c r="W10" i="10"/>
  <c r="V10" i="10"/>
  <c r="X10" i="10"/>
  <c r="U10" i="10"/>
  <c r="Y10" i="10"/>
  <c r="M21" i="10"/>
  <c r="M31" i="10"/>
  <c r="M4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21" i="9"/>
  <c r="N121" i="9"/>
  <c r="M121" i="9"/>
  <c r="L121" i="9"/>
  <c r="K121" i="9"/>
  <c r="J121" i="9"/>
  <c r="I121" i="9"/>
  <c r="H121" i="9"/>
  <c r="G121" i="9"/>
  <c r="E121" i="9"/>
  <c r="D121" i="9"/>
  <c r="A121" i="9"/>
  <c r="O120" i="9"/>
  <c r="N120" i="9"/>
  <c r="M120" i="9"/>
  <c r="L120" i="9"/>
  <c r="K120" i="9"/>
  <c r="J120" i="9"/>
  <c r="I120" i="9"/>
  <c r="H120" i="9"/>
  <c r="G120" i="9"/>
  <c r="E120" i="9"/>
  <c r="D120" i="9"/>
  <c r="A120" i="9"/>
  <c r="O119" i="9"/>
  <c r="N119" i="9"/>
  <c r="M119" i="9"/>
  <c r="L119" i="9"/>
  <c r="K119" i="9"/>
  <c r="J119" i="9"/>
  <c r="I119" i="9"/>
  <c r="H119" i="9"/>
  <c r="G119" i="9"/>
  <c r="E119" i="9"/>
  <c r="D119" i="9"/>
  <c r="A119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J117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116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M74" i="10"/>
  <c r="M84" i="10"/>
  <c r="M93" i="10"/>
  <c r="M102" i="10"/>
  <c r="M112" i="10"/>
  <c r="N112" i="10"/>
  <c r="Q112" i="10"/>
  <c r="P112" i="10"/>
  <c r="R112" i="10"/>
  <c r="O112" i="10"/>
  <c r="S112" i="10"/>
  <c r="N102" i="10"/>
  <c r="Q102" i="10"/>
  <c r="P102" i="10"/>
  <c r="R102" i="10"/>
  <c r="O102" i="10"/>
  <c r="S102" i="10"/>
  <c r="N93" i="10"/>
  <c r="Q93" i="10"/>
  <c r="P93" i="10"/>
  <c r="R93" i="10"/>
  <c r="O93" i="10"/>
  <c r="S93" i="10"/>
  <c r="N84" i="10"/>
  <c r="Q84" i="10"/>
  <c r="P84" i="10"/>
  <c r="R84" i="10"/>
  <c r="O84" i="10"/>
  <c r="S84" i="10"/>
  <c r="N74" i="10"/>
  <c r="Q74" i="10"/>
  <c r="P74" i="10"/>
  <c r="R74" i="10"/>
  <c r="O74" i="10"/>
  <c r="S74" i="10"/>
  <c r="M5" i="10"/>
  <c r="T5" i="10"/>
  <c r="W5" i="10"/>
  <c r="V5" i="10"/>
  <c r="X5" i="10"/>
  <c r="U5" i="10"/>
  <c r="Y5" i="10"/>
  <c r="M16" i="10"/>
  <c r="M26" i="10"/>
  <c r="M35" i="10"/>
  <c r="M44" i="10"/>
  <c r="M54" i="10"/>
  <c r="M125" i="10"/>
  <c r="M135" i="10"/>
  <c r="N135" i="10"/>
  <c r="Q135" i="10"/>
  <c r="P135" i="10"/>
  <c r="R135" i="10"/>
  <c r="O135" i="10"/>
  <c r="S135" i="10"/>
  <c r="N125" i="10"/>
  <c r="Q125" i="10"/>
  <c r="P125" i="10"/>
  <c r="R125" i="10"/>
  <c r="O125" i="10"/>
  <c r="S125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5" i="10"/>
  <c r="Q5" i="10"/>
  <c r="P5" i="10"/>
  <c r="R5" i="10"/>
  <c r="O5" i="10"/>
  <c r="S5" i="10"/>
  <c r="G5" i="10"/>
  <c r="J5" i="10"/>
  <c r="I5" i="10"/>
  <c r="K5" i="10"/>
  <c r="H5" i="10"/>
  <c r="L5" i="10"/>
  <c r="J115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114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113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112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111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J110" i="11"/>
  <c r="O110" i="9"/>
  <c r="N110" i="9"/>
  <c r="M110" i="9"/>
  <c r="L110" i="9"/>
  <c r="K110" i="9"/>
  <c r="J110" i="9"/>
  <c r="I110" i="9"/>
  <c r="H110" i="9"/>
  <c r="G110" i="9"/>
  <c r="E110" i="9"/>
  <c r="D110" i="9"/>
  <c r="A110" i="9"/>
  <c r="J109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108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107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106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105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10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10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10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10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10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99" i="11"/>
  <c r="O99" i="9"/>
  <c r="N99" i="9"/>
  <c r="M99" i="9"/>
  <c r="L99" i="9"/>
  <c r="K99" i="9"/>
  <c r="J99" i="9"/>
  <c r="I99" i="9"/>
  <c r="H99" i="9"/>
  <c r="G99" i="9"/>
  <c r="E99" i="9"/>
  <c r="D99" i="9"/>
  <c r="A99" i="9"/>
  <c r="J98" i="11"/>
  <c r="O98" i="9"/>
  <c r="N98" i="9"/>
  <c r="M98" i="9"/>
  <c r="L98" i="9"/>
  <c r="K98" i="9"/>
  <c r="J98" i="9"/>
  <c r="I98" i="9"/>
  <c r="H98" i="9"/>
  <c r="G98" i="9"/>
  <c r="E98" i="9"/>
  <c r="D98" i="9"/>
  <c r="A98" i="9"/>
  <c r="J97" i="11"/>
  <c r="O97" i="9"/>
  <c r="N97" i="9"/>
  <c r="M97" i="9"/>
  <c r="L97" i="9"/>
  <c r="K97" i="9"/>
  <c r="J97" i="9"/>
  <c r="I97" i="9"/>
  <c r="H97" i="9"/>
  <c r="G97" i="9"/>
  <c r="E97" i="9"/>
  <c r="D97" i="9"/>
  <c r="A97" i="9"/>
  <c r="J96" i="11"/>
  <c r="O96" i="9"/>
  <c r="N96" i="9"/>
  <c r="M96" i="9"/>
  <c r="L96" i="9"/>
  <c r="K96" i="9"/>
  <c r="J96" i="9"/>
  <c r="I96" i="9"/>
  <c r="H96" i="9"/>
  <c r="G96" i="9"/>
  <c r="E96" i="9"/>
  <c r="D96" i="9"/>
  <c r="A96" i="9"/>
  <c r="J95" i="11"/>
  <c r="O95" i="9"/>
  <c r="N95" i="9"/>
  <c r="M95" i="9"/>
  <c r="L95" i="9"/>
  <c r="K95" i="9"/>
  <c r="J95" i="9"/>
  <c r="I95" i="9"/>
  <c r="H95" i="9"/>
  <c r="G95" i="9"/>
  <c r="E95" i="9"/>
  <c r="D95" i="9"/>
  <c r="A95" i="9"/>
  <c r="J94" i="11"/>
  <c r="O94" i="9"/>
  <c r="N94" i="9"/>
  <c r="M94" i="9"/>
  <c r="L94" i="9"/>
  <c r="K94" i="9"/>
  <c r="J94" i="9"/>
  <c r="I94" i="9"/>
  <c r="H94" i="9"/>
  <c r="G94" i="9"/>
  <c r="E94" i="9"/>
  <c r="D94" i="9"/>
  <c r="A94" i="9"/>
  <c r="J93" i="11"/>
  <c r="O93" i="9"/>
  <c r="N93" i="9"/>
  <c r="M93" i="9"/>
  <c r="L93" i="9"/>
  <c r="K93" i="9"/>
  <c r="J93" i="9"/>
  <c r="I93" i="9"/>
  <c r="H93" i="9"/>
  <c r="G93" i="9"/>
  <c r="E93" i="9"/>
  <c r="D93" i="9"/>
  <c r="A93" i="9"/>
  <c r="J92" i="11"/>
  <c r="O92" i="9"/>
  <c r="N92" i="9"/>
  <c r="M92" i="9"/>
  <c r="L92" i="9"/>
  <c r="K92" i="9"/>
  <c r="J92" i="9"/>
  <c r="I92" i="9"/>
  <c r="H92" i="9"/>
  <c r="G92" i="9"/>
  <c r="E92" i="9"/>
  <c r="D92" i="9"/>
  <c r="A92" i="9"/>
  <c r="J91" i="11"/>
  <c r="O91" i="9"/>
  <c r="N91" i="9"/>
  <c r="M91" i="9"/>
  <c r="L91" i="9"/>
  <c r="K91" i="9"/>
  <c r="J91" i="9"/>
  <c r="I91" i="9"/>
  <c r="H91" i="9"/>
  <c r="G91" i="9"/>
  <c r="E91" i="9"/>
  <c r="D91" i="9"/>
  <c r="A91" i="9"/>
  <c r="J90" i="11"/>
  <c r="O90" i="9"/>
  <c r="N90" i="9"/>
  <c r="M90" i="9"/>
  <c r="L90" i="9"/>
  <c r="K90" i="9"/>
  <c r="J90" i="9"/>
  <c r="I90" i="9"/>
  <c r="H90" i="9"/>
  <c r="G90" i="9"/>
  <c r="E90" i="9"/>
  <c r="D90" i="9"/>
  <c r="A90" i="9"/>
  <c r="J89" i="11"/>
  <c r="O89" i="9"/>
  <c r="N89" i="9"/>
  <c r="M89" i="9"/>
  <c r="L89" i="9"/>
  <c r="K89" i="9"/>
  <c r="J89" i="9"/>
  <c r="I89" i="9"/>
  <c r="H89" i="9"/>
  <c r="G89" i="9"/>
  <c r="E89" i="9"/>
  <c r="D89" i="9"/>
  <c r="A89" i="9"/>
  <c r="J88" i="11"/>
  <c r="O88" i="9"/>
  <c r="N88" i="9"/>
  <c r="M88" i="9"/>
  <c r="L88" i="9"/>
  <c r="K88" i="9"/>
  <c r="J88" i="9"/>
  <c r="I88" i="9"/>
  <c r="H88" i="9"/>
  <c r="G88" i="9"/>
  <c r="E88" i="9"/>
  <c r="D88" i="9"/>
  <c r="A88" i="9"/>
  <c r="J87" i="11"/>
  <c r="O87" i="9"/>
  <c r="N87" i="9"/>
  <c r="M87" i="9"/>
  <c r="L87" i="9"/>
  <c r="K87" i="9"/>
  <c r="J87" i="9"/>
  <c r="I87" i="9"/>
  <c r="H87" i="9"/>
  <c r="G87" i="9"/>
  <c r="E87" i="9"/>
  <c r="D87" i="9"/>
  <c r="A87" i="9"/>
  <c r="J86" i="11"/>
  <c r="O86" i="9"/>
  <c r="N86" i="9"/>
  <c r="M86" i="9"/>
  <c r="L86" i="9"/>
  <c r="K86" i="9"/>
  <c r="J86" i="9"/>
  <c r="I86" i="9"/>
  <c r="H86" i="9"/>
  <c r="G86" i="9"/>
  <c r="E86" i="9"/>
  <c r="D86" i="9"/>
  <c r="A86" i="9"/>
  <c r="J85" i="11"/>
  <c r="O85" i="9"/>
  <c r="N85" i="9"/>
  <c r="M85" i="9"/>
  <c r="L85" i="9"/>
  <c r="K85" i="9"/>
  <c r="J85" i="9"/>
  <c r="I85" i="9"/>
  <c r="H85" i="9"/>
  <c r="G85" i="9"/>
  <c r="E85" i="9"/>
  <c r="D85" i="9"/>
  <c r="A85" i="9"/>
  <c r="J84" i="11"/>
  <c r="O84" i="9"/>
  <c r="N84" i="9"/>
  <c r="M84" i="9"/>
  <c r="L84" i="9"/>
  <c r="K84" i="9"/>
  <c r="J84" i="9"/>
  <c r="I84" i="9"/>
  <c r="H84" i="9"/>
  <c r="G84" i="9"/>
  <c r="E84" i="9"/>
  <c r="D84" i="9"/>
  <c r="A84" i="9"/>
  <c r="J83" i="11"/>
  <c r="O83" i="9"/>
  <c r="N83" i="9"/>
  <c r="M83" i="9"/>
  <c r="L83" i="9"/>
  <c r="K83" i="9"/>
  <c r="J83" i="9"/>
  <c r="I83" i="9"/>
  <c r="H83" i="9"/>
  <c r="G83" i="9"/>
  <c r="E83" i="9"/>
  <c r="D83" i="9"/>
  <c r="A83" i="9"/>
  <c r="J81" i="11"/>
  <c r="O81" i="9"/>
  <c r="N81" i="9"/>
  <c r="M81" i="9"/>
  <c r="L81" i="9"/>
  <c r="K81" i="9"/>
  <c r="J81" i="9"/>
  <c r="I81" i="9"/>
  <c r="H81" i="9"/>
  <c r="G81" i="9"/>
  <c r="E81" i="9"/>
  <c r="D81" i="9"/>
  <c r="A81" i="9"/>
  <c r="J80" i="11"/>
  <c r="O80" i="9"/>
  <c r="N80" i="9"/>
  <c r="M80" i="9"/>
  <c r="L80" i="9"/>
  <c r="K80" i="9"/>
  <c r="J80" i="9"/>
  <c r="I80" i="9"/>
  <c r="H80" i="9"/>
  <c r="G80" i="9"/>
  <c r="E80" i="9"/>
  <c r="D80" i="9"/>
  <c r="A80" i="9"/>
  <c r="J79" i="11"/>
  <c r="O79" i="9"/>
  <c r="N79" i="9"/>
  <c r="M79" i="9"/>
  <c r="L79" i="9"/>
  <c r="K79" i="9"/>
  <c r="J79" i="9"/>
  <c r="I79" i="9"/>
  <c r="H79" i="9"/>
  <c r="G79" i="9"/>
  <c r="E79" i="9"/>
  <c r="D79" i="9"/>
  <c r="A79" i="9"/>
  <c r="J78" i="11"/>
  <c r="O78" i="9"/>
  <c r="N78" i="9"/>
  <c r="M78" i="9"/>
  <c r="L78" i="9"/>
  <c r="K78" i="9"/>
  <c r="J78" i="9"/>
  <c r="I78" i="9"/>
  <c r="H78" i="9"/>
  <c r="G78" i="9"/>
  <c r="E78" i="9"/>
  <c r="D78" i="9"/>
  <c r="A78" i="9"/>
  <c r="J77" i="11"/>
  <c r="O77" i="9"/>
  <c r="N77" i="9"/>
  <c r="M77" i="9"/>
  <c r="L77" i="9"/>
  <c r="K77" i="9"/>
  <c r="J77" i="9"/>
  <c r="I77" i="9"/>
  <c r="H77" i="9"/>
  <c r="G77" i="9"/>
  <c r="E77" i="9"/>
  <c r="D77" i="9"/>
  <c r="A77" i="9"/>
  <c r="J76" i="11"/>
  <c r="O76" i="9"/>
  <c r="N76" i="9"/>
  <c r="M76" i="9"/>
  <c r="L76" i="9"/>
  <c r="K76" i="9"/>
  <c r="J76" i="9"/>
  <c r="I76" i="9"/>
  <c r="H76" i="9"/>
  <c r="G76" i="9"/>
  <c r="E76" i="9"/>
  <c r="D76" i="9"/>
  <c r="A76" i="9"/>
  <c r="J75" i="11"/>
  <c r="O75" i="9"/>
  <c r="N75" i="9"/>
  <c r="M75" i="9"/>
  <c r="L75" i="9"/>
  <c r="K75" i="9"/>
  <c r="J75" i="9"/>
  <c r="I75" i="9"/>
  <c r="H75" i="9"/>
  <c r="G75" i="9"/>
  <c r="E75" i="9"/>
  <c r="D75" i="9"/>
  <c r="A75" i="9"/>
  <c r="J74" i="11"/>
  <c r="O74" i="9"/>
  <c r="N74" i="9"/>
  <c r="M74" i="9"/>
  <c r="L74" i="9"/>
  <c r="K74" i="9"/>
  <c r="J74" i="9"/>
  <c r="I74" i="9"/>
  <c r="H74" i="9"/>
  <c r="G74" i="9"/>
  <c r="E74" i="9"/>
  <c r="D74" i="9"/>
  <c r="A74" i="9"/>
  <c r="J73" i="11"/>
  <c r="O73" i="9"/>
  <c r="N73" i="9"/>
  <c r="M73" i="9"/>
  <c r="L73" i="9"/>
  <c r="K73" i="9"/>
  <c r="J73" i="9"/>
  <c r="I73" i="9"/>
  <c r="H73" i="9"/>
  <c r="G73" i="9"/>
  <c r="E73" i="9"/>
  <c r="D73" i="9"/>
  <c r="A73" i="9"/>
  <c r="J72" i="11"/>
  <c r="O72" i="9"/>
  <c r="N72" i="9"/>
  <c r="M72" i="9"/>
  <c r="L72" i="9"/>
  <c r="K72" i="9"/>
  <c r="J72" i="9"/>
  <c r="I72" i="9"/>
  <c r="H72" i="9"/>
  <c r="G72" i="9"/>
  <c r="E72" i="9"/>
  <c r="D72" i="9"/>
  <c r="A72" i="9"/>
  <c r="J71" i="11"/>
  <c r="O71" i="9"/>
  <c r="N71" i="9"/>
  <c r="M71" i="9"/>
  <c r="L71" i="9"/>
  <c r="K71" i="9"/>
  <c r="J71" i="9"/>
  <c r="I71" i="9"/>
  <c r="H71" i="9"/>
  <c r="G71" i="9"/>
  <c r="E71" i="9"/>
  <c r="D71" i="9"/>
  <c r="A71" i="9"/>
  <c r="J70" i="11"/>
  <c r="O70" i="9"/>
  <c r="N70" i="9"/>
  <c r="M70" i="9"/>
  <c r="L70" i="9"/>
  <c r="K70" i="9"/>
  <c r="J70" i="9"/>
  <c r="I70" i="9"/>
  <c r="H70" i="9"/>
  <c r="G70" i="9"/>
  <c r="E70" i="9"/>
  <c r="D70" i="9"/>
  <c r="A70" i="9"/>
  <c r="J69" i="11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J67" i="11"/>
  <c r="O67" i="9"/>
  <c r="N67" i="9"/>
  <c r="M67" i="9"/>
  <c r="L67" i="9"/>
  <c r="K67" i="9"/>
  <c r="J67" i="9"/>
  <c r="I67" i="9"/>
  <c r="H67" i="9"/>
  <c r="G67" i="9"/>
  <c r="E67" i="9"/>
  <c r="D67" i="9"/>
  <c r="A67" i="9"/>
  <c r="J66" i="11"/>
  <c r="O66" i="9"/>
  <c r="N66" i="9"/>
  <c r="M66" i="9"/>
  <c r="L66" i="9"/>
  <c r="K66" i="9"/>
  <c r="J66" i="9"/>
  <c r="I66" i="9"/>
  <c r="H66" i="9"/>
  <c r="G66" i="9"/>
  <c r="E66" i="9"/>
  <c r="D66" i="9"/>
  <c r="A66" i="9"/>
  <c r="J65" i="11"/>
  <c r="O65" i="9"/>
  <c r="N65" i="9"/>
  <c r="M65" i="9"/>
  <c r="L65" i="9"/>
  <c r="K65" i="9"/>
  <c r="J65" i="9"/>
  <c r="I65" i="9"/>
  <c r="H65" i="9"/>
  <c r="G65" i="9"/>
  <c r="E65" i="9"/>
  <c r="D65" i="9"/>
  <c r="A65" i="9"/>
  <c r="J64" i="11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M117" i="10"/>
  <c r="T117" i="10"/>
  <c r="W117" i="10"/>
  <c r="V117" i="10"/>
  <c r="X117" i="10"/>
  <c r="U117" i="10"/>
  <c r="Y117" i="10"/>
  <c r="N117" i="10"/>
  <c r="Q117" i="10"/>
  <c r="P117" i="10"/>
  <c r="R117" i="10"/>
  <c r="O117" i="10"/>
  <c r="S117" i="10"/>
  <c r="G117" i="10"/>
  <c r="J117" i="10"/>
  <c r="I117" i="10"/>
  <c r="K117" i="10"/>
  <c r="H117" i="10"/>
  <c r="L117" i="10"/>
  <c r="M116" i="10"/>
  <c r="T116" i="10"/>
  <c r="W116" i="10"/>
  <c r="V116" i="10"/>
  <c r="X116" i="10"/>
  <c r="U116" i="10"/>
  <c r="Y116" i="10"/>
  <c r="N116" i="10"/>
  <c r="Q116" i="10"/>
  <c r="P116" i="10"/>
  <c r="R116" i="10"/>
  <c r="O116" i="10"/>
  <c r="S116" i="10"/>
  <c r="G116" i="10"/>
  <c r="J116" i="10"/>
  <c r="I116" i="10"/>
  <c r="K116" i="10"/>
  <c r="H116" i="10"/>
  <c r="L116" i="10"/>
  <c r="M115" i="10"/>
  <c r="T115" i="10"/>
  <c r="W115" i="10"/>
  <c r="V115" i="10"/>
  <c r="X115" i="10"/>
  <c r="U115" i="10"/>
  <c r="Y115" i="10"/>
  <c r="N115" i="10"/>
  <c r="Q115" i="10"/>
  <c r="P115" i="10"/>
  <c r="R115" i="10"/>
  <c r="O115" i="10"/>
  <c r="S115" i="10"/>
  <c r="G115" i="10"/>
  <c r="J115" i="10"/>
  <c r="I115" i="10"/>
  <c r="K115" i="10"/>
  <c r="H115" i="10"/>
  <c r="L115" i="10"/>
  <c r="M114" i="10"/>
  <c r="T114" i="10"/>
  <c r="W114" i="10"/>
  <c r="V114" i="10"/>
  <c r="X114" i="10"/>
  <c r="U114" i="10"/>
  <c r="Y114" i="10"/>
  <c r="N114" i="10"/>
  <c r="Q114" i="10"/>
  <c r="P114" i="10"/>
  <c r="R114" i="10"/>
  <c r="O114" i="10"/>
  <c r="S114" i="10"/>
  <c r="G114" i="10"/>
  <c r="J114" i="10"/>
  <c r="I114" i="10"/>
  <c r="K114" i="10"/>
  <c r="H114" i="10"/>
  <c r="L114" i="10"/>
  <c r="T113" i="10"/>
  <c r="W113" i="10"/>
  <c r="V113" i="10"/>
  <c r="X113" i="10"/>
  <c r="U113" i="10"/>
  <c r="Y113" i="10"/>
  <c r="G113" i="10"/>
  <c r="J113" i="10"/>
  <c r="I113" i="10"/>
  <c r="K113" i="10"/>
  <c r="H113" i="10"/>
  <c r="L113" i="10"/>
  <c r="T112" i="10"/>
  <c r="W112" i="10"/>
  <c r="V112" i="10"/>
  <c r="X112" i="10"/>
  <c r="U112" i="10"/>
  <c r="Y112" i="10"/>
  <c r="G112" i="10"/>
  <c r="J112" i="10"/>
  <c r="I112" i="10"/>
  <c r="K112" i="10"/>
  <c r="H112" i="10"/>
  <c r="L112" i="10"/>
  <c r="M111" i="10"/>
  <c r="T111" i="10"/>
  <c r="W111" i="10"/>
  <c r="V111" i="10"/>
  <c r="X111" i="10"/>
  <c r="U111" i="10"/>
  <c r="Y111" i="10"/>
  <c r="N111" i="10"/>
  <c r="Q111" i="10"/>
  <c r="P111" i="10"/>
  <c r="R111" i="10"/>
  <c r="O111" i="10"/>
  <c r="S111" i="10"/>
  <c r="G111" i="10"/>
  <c r="J111" i="10"/>
  <c r="I111" i="10"/>
  <c r="K111" i="10"/>
  <c r="H111" i="10"/>
  <c r="L111" i="10"/>
  <c r="M110" i="10"/>
  <c r="T110" i="10"/>
  <c r="W110" i="10"/>
  <c r="V110" i="10"/>
  <c r="X110" i="10"/>
  <c r="U110" i="10"/>
  <c r="Y110" i="10"/>
  <c r="N110" i="10"/>
  <c r="Q110" i="10"/>
  <c r="P110" i="10"/>
  <c r="R110" i="10"/>
  <c r="O110" i="10"/>
  <c r="S110" i="10"/>
  <c r="G110" i="10"/>
  <c r="J110" i="10"/>
  <c r="I110" i="10"/>
  <c r="K110" i="10"/>
  <c r="H110" i="10"/>
  <c r="L110" i="10"/>
  <c r="M109" i="10"/>
  <c r="T109" i="10"/>
  <c r="W109" i="10"/>
  <c r="V109" i="10"/>
  <c r="X109" i="10"/>
  <c r="U109" i="10"/>
  <c r="Y109" i="10"/>
  <c r="N109" i="10"/>
  <c r="Q109" i="10"/>
  <c r="P109" i="10"/>
  <c r="R109" i="10"/>
  <c r="O109" i="10"/>
  <c r="S109" i="10"/>
  <c r="G109" i="10"/>
  <c r="J109" i="10"/>
  <c r="I109" i="10"/>
  <c r="K109" i="10"/>
  <c r="H109" i="10"/>
  <c r="L109" i="10"/>
  <c r="T108" i="10"/>
  <c r="W108" i="10"/>
  <c r="V108" i="10"/>
  <c r="X108" i="10"/>
  <c r="U108" i="10"/>
  <c r="Y108" i="10"/>
  <c r="G108" i="10"/>
  <c r="J108" i="10"/>
  <c r="I108" i="10"/>
  <c r="K108" i="10"/>
  <c r="H108" i="10"/>
  <c r="L108" i="10"/>
  <c r="M107" i="10"/>
  <c r="T107" i="10"/>
  <c r="W107" i="10"/>
  <c r="V107" i="10"/>
  <c r="X107" i="10"/>
  <c r="U107" i="10"/>
  <c r="Y107" i="10"/>
  <c r="N107" i="10"/>
  <c r="Q107" i="10"/>
  <c r="P107" i="10"/>
  <c r="R107" i="10"/>
  <c r="O107" i="10"/>
  <c r="S107" i="10"/>
  <c r="G107" i="10"/>
  <c r="J107" i="10"/>
  <c r="I107" i="10"/>
  <c r="K107" i="10"/>
  <c r="H107" i="10"/>
  <c r="L107" i="10"/>
  <c r="M106" i="10"/>
  <c r="T106" i="10"/>
  <c r="W106" i="10"/>
  <c r="V106" i="10"/>
  <c r="X106" i="10"/>
  <c r="U106" i="10"/>
  <c r="Y106" i="10"/>
  <c r="N106" i="10"/>
  <c r="Q106" i="10"/>
  <c r="P106" i="10"/>
  <c r="R106" i="10"/>
  <c r="O106" i="10"/>
  <c r="S106" i="10"/>
  <c r="G106" i="10"/>
  <c r="J106" i="10"/>
  <c r="I106" i="10"/>
  <c r="K106" i="10"/>
  <c r="H106" i="10"/>
  <c r="L106" i="10"/>
  <c r="M105" i="10"/>
  <c r="T105" i="10"/>
  <c r="W105" i="10"/>
  <c r="V105" i="10"/>
  <c r="X105" i="10"/>
  <c r="U105" i="10"/>
  <c r="Y105" i="10"/>
  <c r="N105" i="10"/>
  <c r="Q105" i="10"/>
  <c r="P105" i="10"/>
  <c r="R105" i="10"/>
  <c r="O105" i="10"/>
  <c r="S105" i="10"/>
  <c r="G105" i="10"/>
  <c r="J105" i="10"/>
  <c r="I105" i="10"/>
  <c r="K105" i="10"/>
  <c r="H105" i="10"/>
  <c r="L105" i="10"/>
  <c r="M104" i="10"/>
  <c r="T104" i="10"/>
  <c r="W104" i="10"/>
  <c r="V104" i="10"/>
  <c r="X104" i="10"/>
  <c r="U104" i="10"/>
  <c r="Y104" i="10"/>
  <c r="N104" i="10"/>
  <c r="Q104" i="10"/>
  <c r="P104" i="10"/>
  <c r="R104" i="10"/>
  <c r="O104" i="10"/>
  <c r="S104" i="10"/>
  <c r="G104" i="10"/>
  <c r="J104" i="10"/>
  <c r="I104" i="10"/>
  <c r="K104" i="10"/>
  <c r="H104" i="10"/>
  <c r="L104" i="10"/>
  <c r="T103" i="10"/>
  <c r="W103" i="10"/>
  <c r="V103" i="10"/>
  <c r="X103" i="10"/>
  <c r="U103" i="10"/>
  <c r="Y103" i="10"/>
  <c r="G103" i="10"/>
  <c r="J103" i="10"/>
  <c r="I103" i="10"/>
  <c r="K103" i="10"/>
  <c r="H103" i="10"/>
  <c r="L103" i="10"/>
  <c r="T102" i="10"/>
  <c r="W102" i="10"/>
  <c r="V102" i="10"/>
  <c r="X102" i="10"/>
  <c r="U102" i="10"/>
  <c r="Y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T99" i="10"/>
  <c r="W99" i="10"/>
  <c r="V99" i="10"/>
  <c r="X99" i="10"/>
  <c r="U99" i="10"/>
  <c r="Y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T94" i="10"/>
  <c r="W94" i="10"/>
  <c r="V94" i="10"/>
  <c r="X94" i="10"/>
  <c r="U94" i="10"/>
  <c r="Y94" i="10"/>
  <c r="G94" i="10"/>
  <c r="J94" i="10"/>
  <c r="I94" i="10"/>
  <c r="K94" i="10"/>
  <c r="H94" i="10"/>
  <c r="L94" i="10"/>
  <c r="T93" i="10"/>
  <c r="W93" i="10"/>
  <c r="V93" i="10"/>
  <c r="X93" i="10"/>
  <c r="U93" i="10"/>
  <c r="Y93" i="10"/>
  <c r="G93" i="10"/>
  <c r="J93" i="10"/>
  <c r="I93" i="10"/>
  <c r="K93" i="10"/>
  <c r="H93" i="10"/>
  <c r="L93" i="10"/>
  <c r="T92" i="10"/>
  <c r="W92" i="10"/>
  <c r="V92" i="10"/>
  <c r="X92" i="10"/>
  <c r="U92" i="10"/>
  <c r="Y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T89" i="10"/>
  <c r="W89" i="10"/>
  <c r="V89" i="10"/>
  <c r="X89" i="10"/>
  <c r="U89" i="10"/>
  <c r="Y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T85" i="10"/>
  <c r="W85" i="10"/>
  <c r="V85" i="10"/>
  <c r="X85" i="10"/>
  <c r="U85" i="10"/>
  <c r="Y85" i="10"/>
  <c r="G85" i="10"/>
  <c r="J85" i="10"/>
  <c r="I85" i="10"/>
  <c r="K85" i="10"/>
  <c r="H85" i="10"/>
  <c r="L85" i="10"/>
  <c r="T84" i="10"/>
  <c r="W84" i="10"/>
  <c r="V84" i="10"/>
  <c r="X84" i="10"/>
  <c r="U84" i="10"/>
  <c r="Y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T79" i="10"/>
  <c r="W79" i="10"/>
  <c r="V79" i="10"/>
  <c r="X79" i="10"/>
  <c r="U79" i="10"/>
  <c r="Y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T135" i="10"/>
  <c r="W135" i="10"/>
  <c r="V135" i="10"/>
  <c r="X135" i="10"/>
  <c r="U135" i="10"/>
  <c r="Y135" i="10"/>
  <c r="G135" i="10"/>
  <c r="J135" i="10"/>
  <c r="I135" i="10"/>
  <c r="K135" i="10"/>
  <c r="H135" i="10"/>
  <c r="L135" i="10"/>
  <c r="T134" i="10"/>
  <c r="W134" i="10"/>
  <c r="V134" i="10"/>
  <c r="X134" i="10"/>
  <c r="U134" i="10"/>
  <c r="Y134" i="10"/>
  <c r="G134" i="10"/>
  <c r="J134" i="10"/>
  <c r="I134" i="10"/>
  <c r="K134" i="10"/>
  <c r="H134" i="10"/>
  <c r="L134" i="10"/>
  <c r="T128" i="10"/>
  <c r="W128" i="10"/>
  <c r="V128" i="10"/>
  <c r="X128" i="10"/>
  <c r="U128" i="10"/>
  <c r="Y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T133" i="10"/>
  <c r="W133" i="10"/>
  <c r="V133" i="10"/>
  <c r="X133" i="10"/>
  <c r="U133" i="10"/>
  <c r="Y133" i="10"/>
  <c r="G133" i="10"/>
  <c r="J133" i="10"/>
  <c r="I133" i="10"/>
  <c r="K133" i="10"/>
  <c r="H133" i="10"/>
  <c r="L133" i="10"/>
  <c r="T132" i="10"/>
  <c r="W132" i="10"/>
  <c r="V132" i="10"/>
  <c r="X132" i="10"/>
  <c r="U132" i="10"/>
  <c r="Y132" i="10"/>
  <c r="G132" i="10"/>
  <c r="J132" i="10"/>
  <c r="I132" i="10"/>
  <c r="K132" i="10"/>
  <c r="H132" i="10"/>
  <c r="L132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T125" i="10"/>
  <c r="W125" i="10"/>
  <c r="V125" i="10"/>
  <c r="X125" i="10"/>
  <c r="U125" i="10"/>
  <c r="Y125" i="10"/>
  <c r="G125" i="10"/>
  <c r="J125" i="10"/>
  <c r="I125" i="10"/>
  <c r="K125" i="10"/>
  <c r="H125" i="10"/>
  <c r="L125" i="10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7" i="21"/>
  <c r="I17" i="21"/>
  <c r="J17" i="21"/>
  <c r="G17" i="21"/>
  <c r="F17" i="21"/>
  <c r="D17" i="21"/>
  <c r="C17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8" i="21"/>
  <c r="I8" i="21"/>
  <c r="J8" i="21"/>
  <c r="G8" i="21"/>
  <c r="F8" i="21"/>
  <c r="D8" i="21"/>
  <c r="C8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M47" i="10"/>
  <c r="T47" i="10"/>
  <c r="W47" i="10"/>
  <c r="V47" i="10"/>
  <c r="X47" i="10"/>
  <c r="U47" i="10"/>
  <c r="Y47" i="10"/>
  <c r="M50" i="10"/>
  <c r="M55" i="10"/>
  <c r="N55" i="10"/>
  <c r="Q55" i="10"/>
  <c r="P55" i="10"/>
  <c r="R55" i="10"/>
  <c r="O55" i="10"/>
  <c r="S55" i="10"/>
  <c r="N50" i="10"/>
  <c r="Q50" i="10"/>
  <c r="P50" i="10"/>
  <c r="R50" i="10"/>
  <c r="O50" i="10"/>
  <c r="S50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38" i="10"/>
  <c r="T38" i="10"/>
  <c r="W38" i="10"/>
  <c r="V38" i="10"/>
  <c r="X38" i="10"/>
  <c r="U38" i="10"/>
  <c r="Y38" i="10"/>
  <c r="M53" i="10"/>
  <c r="M58" i="10"/>
  <c r="N58" i="10"/>
  <c r="Q58" i="10"/>
  <c r="P58" i="10"/>
  <c r="R58" i="10"/>
  <c r="O58" i="10"/>
  <c r="S58" i="10"/>
  <c r="N53" i="10"/>
  <c r="Q53" i="10"/>
  <c r="P53" i="10"/>
  <c r="R53" i="10"/>
  <c r="O53" i="10"/>
  <c r="S53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M43" i="10"/>
  <c r="M51" i="10"/>
  <c r="M56" i="10"/>
  <c r="N56" i="10"/>
  <c r="Q56" i="10"/>
  <c r="P56" i="10"/>
  <c r="R56" i="10"/>
  <c r="O56" i="10"/>
  <c r="S56" i="10"/>
  <c r="N51" i="10"/>
  <c r="Q51" i="10"/>
  <c r="P51" i="10"/>
  <c r="R51" i="10"/>
  <c r="O51" i="10"/>
  <c r="S51" i="10"/>
  <c r="N43" i="10"/>
  <c r="Q43" i="10"/>
  <c r="P43" i="10"/>
  <c r="R43" i="10"/>
  <c r="O43" i="10"/>
  <c r="S43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7" i="11"/>
  <c r="O47" i="9"/>
  <c r="N47" i="9"/>
  <c r="M47" i="9"/>
  <c r="L47" i="9"/>
  <c r="K47" i="9"/>
  <c r="J47" i="9"/>
  <c r="I47" i="9"/>
  <c r="H47" i="9"/>
  <c r="G47" i="9"/>
  <c r="E47" i="9"/>
  <c r="D47" i="9"/>
  <c r="A47" i="9"/>
  <c r="J46" i="11"/>
  <c r="O46" i="9"/>
  <c r="N46" i="9"/>
  <c r="M46" i="9"/>
  <c r="L46" i="9"/>
  <c r="K46" i="9"/>
  <c r="J46" i="9"/>
  <c r="I46" i="9"/>
  <c r="H46" i="9"/>
  <c r="G46" i="9"/>
  <c r="E46" i="9"/>
  <c r="D46" i="9"/>
  <c r="A46" i="9"/>
  <c r="J45" i="11"/>
  <c r="O45" i="9"/>
  <c r="N45" i="9"/>
  <c r="M45" i="9"/>
  <c r="L45" i="9"/>
  <c r="K45" i="9"/>
  <c r="J45" i="9"/>
  <c r="I45" i="9"/>
  <c r="H45" i="9"/>
  <c r="G45" i="9"/>
  <c r="E45" i="9"/>
  <c r="D45" i="9"/>
  <c r="A45" i="9"/>
  <c r="J44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38" i="11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J36" i="11"/>
  <c r="O36" i="9"/>
  <c r="N36" i="9"/>
  <c r="M36" i="9"/>
  <c r="L36" i="9"/>
  <c r="K36" i="9"/>
  <c r="J36" i="9"/>
  <c r="I36" i="9"/>
  <c r="H36" i="9"/>
  <c r="G36" i="9"/>
  <c r="E36" i="9"/>
  <c r="D36" i="9"/>
  <c r="A36" i="9"/>
  <c r="J35" i="11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T58" i="10"/>
  <c r="W58" i="10"/>
  <c r="V58" i="10"/>
  <c r="X58" i="10"/>
  <c r="U58" i="10"/>
  <c r="Y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T56" i="10"/>
  <c r="W56" i="10"/>
  <c r="V56" i="10"/>
  <c r="X56" i="10"/>
  <c r="U56" i="10"/>
  <c r="Y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T54" i="10"/>
  <c r="W54" i="10"/>
  <c r="V54" i="10"/>
  <c r="X54" i="10"/>
  <c r="U54" i="10"/>
  <c r="Y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T35" i="10"/>
  <c r="W35" i="10"/>
  <c r="V35" i="10"/>
  <c r="X35" i="10"/>
  <c r="U35" i="10"/>
  <c r="Y35" i="10"/>
  <c r="G35" i="10"/>
  <c r="J35" i="10"/>
  <c r="I35" i="10"/>
  <c r="K35" i="10"/>
  <c r="H35" i="10"/>
  <c r="L35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6" i="10"/>
  <c r="W26" i="10"/>
  <c r="V26" i="10"/>
  <c r="X26" i="10"/>
  <c r="U26" i="10"/>
  <c r="Y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J9" i="11"/>
  <c r="O9" i="9"/>
  <c r="N9" i="9"/>
  <c r="M9" i="9"/>
  <c r="L9" i="9"/>
  <c r="K9" i="9"/>
  <c r="J9" i="9"/>
  <c r="I9" i="9"/>
  <c r="H9" i="9"/>
  <c r="G9" i="9"/>
  <c r="E9" i="9"/>
  <c r="D9" i="9"/>
  <c r="A9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J8" i="11"/>
  <c r="O8" i="9"/>
  <c r="N8" i="9"/>
  <c r="M8" i="9"/>
  <c r="L8" i="9"/>
  <c r="K8" i="9"/>
  <c r="J8" i="9"/>
  <c r="I8" i="9"/>
  <c r="H8" i="9"/>
  <c r="G8" i="9"/>
  <c r="E8" i="9"/>
  <c r="D8" i="9"/>
  <c r="A8" i="9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21" i="10"/>
  <c r="W21" i="10"/>
  <c r="V21" i="10"/>
  <c r="X21" i="10"/>
  <c r="U21" i="10"/>
  <c r="Y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J7" i="11"/>
  <c r="O7" i="9"/>
  <c r="N7" i="9"/>
  <c r="M7" i="9"/>
  <c r="L7" i="9"/>
  <c r="K7" i="9"/>
  <c r="J7" i="9"/>
  <c r="I7" i="9"/>
  <c r="H7" i="9"/>
  <c r="G7" i="9"/>
  <c r="E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2" i="9"/>
  <c r="Y7" i="7"/>
  <c r="Y6" i="7"/>
  <c r="Y5" i="7"/>
  <c r="Y4" i="7"/>
  <c r="Y3" i="7"/>
  <c r="Y2" i="7"/>
  <c r="X8" i="1"/>
  <c r="X6" i="1"/>
  <c r="X4" i="1"/>
  <c r="X2" i="1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J7" i="7"/>
  <c r="I7" i="7"/>
  <c r="D7" i="7"/>
  <c r="F7" i="7"/>
  <c r="E7" i="7"/>
  <c r="A7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<sst xmlns="http://schemas.openxmlformats.org/spreadsheetml/2006/main" count="2652" uniqueCount="665">
  <si>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</si>
  <si>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</si>
  <si>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</si>
  <si>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</si>
  <si>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</si>
  <si>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</si>
  <si>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</si>
  <si>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</si>
  <si>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</si>
  <si>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</si>
  <si>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</si>
  <si>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</si>
  <si>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</si>
  <si>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</si>
  <si>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</si>
  <si>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</si>
  <si>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</si>
  <si>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</si>
  <si>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</si>
  <si>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</si>
  <si>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</si>
  <si>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</si>
  <si>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</si>
  <si>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</si>
  <si>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</si>
  <si>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</si>
  <si>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</si>
  <si>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</si>
  <si>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</si>
  <si>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</si>
  <si>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</si>
  <si>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</si>
  <si>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</si>
  <si>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</si>
  <si>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</si>
  <si>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</si>
  <si>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</si>
  <si>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</si>
  <si>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</si>
  <si>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</si>
  <si>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</si>
  <si>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</si>
  <si>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</si>
  <si>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</si>
  <si>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</si>
  <si>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</si>
  <si>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</si>
  <si>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</si>
  <si>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</si>
  <si>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</si>
  <si>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</si>
  <si>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</si>
  <si>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</si>
  <si>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</si>
  <si>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</si>
  <si>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</si>
  <si>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</si>
  <si>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</si>
  <si>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</si>
  <si>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</si>
  <si>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</si>
  <si>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</si>
  <si>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</si>
  <si>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</si>
  <si>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</si>
  <si>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</si>
  <si>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</si>
  <si>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</si>
  <si>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</si>
  <si>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</si>
  <si>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</si>
  <si>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</si>
  <si>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</si>
  <si>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</si>
  <si>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</si>
  <si>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</si>
  <si>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</si>
  <si>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</si>
  <si>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</si>
  <si>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</si>
  <si>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</si>
  <si>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</si>
  <si>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</si>
  <si>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</si>
  <si>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</si>
  <si>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</si>
  <si>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</si>
  <si>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</si>
  <si>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</si>
  <si>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</si>
  <si>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</si>
  <si>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</si>
  <si>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</si>
  <si>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</si>
  <si>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</si>
  <si>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</si>
  <si>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</si>
  <si>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</si>
  <si>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</si>
  <si>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</si>
  <si>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</si>
  <si>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</si>
  <si>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</si>
  <si>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</si>
  <si>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</si>
  <si>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</si>
  <si>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</si>
  <si>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</si>
  <si>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</si>
  <si>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</si>
  <si>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</si>
  <si>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</si>
  <si>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</si>
  <si>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</si>
  <si>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</si>
  <si>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</si>
  <si>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</si>
  <si>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</si>
  <si>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</si>
  <si>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</si>
  <si>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</si>
  <si>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</si>
  <si>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</si>
  <si>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</si>
  <si>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</si>
  <si>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</si>
  <si>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</si>
  <si>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</si>
  <si>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</si>
  <si>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</si>
  <si>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</si>
  <si>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</si>
  <si>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</si>
  <si>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</si>
  <si>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</si>
  <si>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</si>
  <si>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</si>
  <si>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</si>
  <si>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</si>
  <si>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</si>
  <si>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</si>
  <si>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</si>
  <si>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</si>
  <si>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</si>
  <si>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</si>
  <si>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</si>
  <si>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</si>
  <si>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</si>
  <si>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</si>
  <si>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</si>
  <si>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</si>
  <si>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</si>
  <si>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</si>
  <si>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</si>
  <si>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</si>
  <si>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</si>
  <si>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</si>
  <si>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</si>
  <si>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</si>
  <si>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</si>
  <si>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</si>
  <si>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</si>
  <si>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</si>
  <si>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</si>
  <si>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</si>
  <si>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</si>
  <si>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</si>
  <si>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</si>
  <si>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</si>
  <si>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</si>
  <si>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</si>
  <si>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</si>
  <si>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</si>
  <si>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</si>
  <si>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</si>
  <si>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</si>
  <si>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</si>
  <si>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</si>
  <si>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</si>
  <si>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</si>
  <si>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</si>
  <si>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</si>
  <si>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</si>
  <si>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</si>
  <si>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</si>
  <si>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</si>
  <si>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</si>
  <si>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</si>
  <si>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</si>
  <si>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</si>
  <si>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</si>
  <si>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</si>
  <si>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</si>
  <si>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</si>
  <si>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</si>
  <si>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</si>
  <si>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</si>
  <si>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</si>
  <si>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</si>
  <si>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</si>
  <si>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</si>
  <si>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</si>
  <si>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</si>
  <si>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</si>
  <si>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</si>
  <si>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</si>
  <si>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</si>
  <si>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</si>
  <si>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</si>
  <si>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</si>
  <si>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</si>
  <si>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</si>
  <si>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</si>
  <si>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</si>
  <si>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</si>
  <si>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</si>
  <si>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</si>
  <si>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</si>
  <si>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</si>
  <si>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</si>
  <si>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</si>
  <si>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</si>
  <si>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</si>
  <si>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</si>
  <si>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</si>
  <si>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</si>
  <si>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</si>
  <si>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</si>
  <si>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</si>
  <si>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</si>
  <si>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</si>
  <si>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</si>
  <si>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</si>
  <si>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</si>
  <si>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</si>
  <si>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</si>
  <si>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</si>
  <si>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</si>
  <si>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</si>
  <si>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</si>
  <si>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</si>
  <si>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</si>
  <si>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</si>
  <si>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</si>
  <si>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</si>
  <si>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</si>
  <si>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</si>
  <si>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</si>
  <si>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</si>
  <si>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</si>
  <si>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</si>
  <si>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</si>
  <si>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</si>
  <si>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</si>
  <si>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</si>
  <si>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</si>
  <si>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</si>
  <si>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</si>
  <si>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</si>
  <si>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</si>
  <si>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</si>
  <si>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</si>
  <si>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</si>
  <si>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</si>
  <si>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</si>
  <si>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トモエ：開幕</t>
    <rPh sb="4" eb="6">
      <t>カイマク</t>
    </rPh>
    <phoneticPr fontId="5"/>
  </si>
  <si>
    <t>状態異常耐性+赤属性ダメージ30％軽減</t>
    <rPh sb="0" eb="4">
      <t>ジョウタイイジョウ</t>
    </rPh>
    <rPh sb="4" eb="6">
      <t>タイセイ</t>
    </rPh>
    <rPh sb="7" eb="10">
      <t>アカゾクセイ</t>
    </rPh>
    <rPh sb="17" eb="19">
      <t>ケイゲン</t>
    </rPh>
    <phoneticPr fontId="5"/>
  </si>
  <si>
    <t>トモエ：確率1</t>
    <rPh sb="4" eb="6">
      <t>カクリツ</t>
    </rPh>
    <phoneticPr fontId="5"/>
  </si>
  <si>
    <t>全体攻撃</t>
    <rPh sb="0" eb="4">
      <t>ゼンタイコウゲキ</t>
    </rPh>
    <phoneticPr fontId="5"/>
  </si>
  <si>
    <t>トモエ：確率2</t>
    <rPh sb="4" eb="6">
      <t>カクリツ</t>
    </rPh>
    <phoneticPr fontId="5"/>
  </si>
  <si>
    <t>ゆらら：開幕</t>
    <rPh sb="4" eb="6">
      <t>カイマク</t>
    </rPh>
    <phoneticPr fontId="5"/>
  </si>
  <si>
    <t>自身の防御力UP</t>
    <rPh sb="0" eb="2">
      <t>ジシンノ</t>
    </rPh>
    <rPh sb="3" eb="6">
      <t>ボウギョリョク</t>
    </rPh>
    <phoneticPr fontId="5"/>
  </si>
  <si>
    <t>ゆらら：90％以上</t>
    <rPh sb="7" eb="9">
      <t>イジョウ</t>
    </rPh>
    <phoneticPr fontId="5"/>
  </si>
  <si>
    <t>ゆ！</t>
    <phoneticPr fontId="5"/>
  </si>
  <si>
    <t>ゆらら：90％以下</t>
    <rPh sb="7" eb="9">
      <t>イカ</t>
    </rPh>
    <phoneticPr fontId="5"/>
  </si>
  <si>
    <t>単体攻撃</t>
    <rPh sb="0" eb="4">
      <t>タンタイコウゲキ</t>
    </rPh>
    <phoneticPr fontId="5"/>
  </si>
  <si>
    <t>4回連続攻撃</t>
    <rPh sb="2" eb="6">
      <t>レンゾクコウゲキ</t>
    </rPh>
    <phoneticPr fontId="5"/>
  </si>
  <si>
    <t>属性パネルをダメージパネルに最大3個変換</t>
    <rPh sb="0" eb="2">
      <t>ゾクセイパネルヲ</t>
    </rPh>
    <rPh sb="14" eb="16">
      <t>サイダイ</t>
    </rPh>
    <rPh sb="17" eb="18">
      <t>コ</t>
    </rPh>
    <rPh sb="18" eb="20">
      <t>ヘンカン</t>
    </rPh>
    <phoneticPr fontId="5"/>
  </si>
  <si>
    <t>属性パネルを時限式ダメージパネルに最大3個変換</t>
    <rPh sb="0" eb="2">
      <t>ゾクセイパネルヲ</t>
    </rPh>
    <rPh sb="17" eb="19">
      <t>サイダイ</t>
    </rPh>
    <phoneticPr fontId="5"/>
  </si>
  <si>
    <t>桜ヨルムン1：開幕</t>
    <rPh sb="0" eb="1">
      <t>サクラ</t>
    </rPh>
    <rPh sb="7" eb="9">
      <t>カイマク</t>
    </rPh>
    <phoneticPr fontId="5"/>
  </si>
  <si>
    <t>桜ヨルムン1：確率1</t>
    <rPh sb="0" eb="1">
      <t>サクラ</t>
    </rPh>
    <rPh sb="7" eb="9">
      <t>カクリツ</t>
    </rPh>
    <phoneticPr fontId="5"/>
  </si>
  <si>
    <t>桜ヨルムン1：確率2</t>
    <rPh sb="0" eb="1">
      <t>サクラ</t>
    </rPh>
    <rPh sb="7" eb="9">
      <t>カクリツ</t>
    </rPh>
    <phoneticPr fontId="5"/>
  </si>
  <si>
    <t>桜ヨルムン1：3ターン毎</t>
    <rPh sb="0" eb="1">
      <t>サクラ</t>
    </rPh>
    <rPh sb="11" eb="12">
      <t>ゴト</t>
    </rPh>
    <phoneticPr fontId="5"/>
  </si>
  <si>
    <t>桜ヨルムン2：開幕</t>
    <rPh sb="0" eb="1">
      <t>サクラ</t>
    </rPh>
    <rPh sb="7" eb="9">
      <t>カイマク</t>
    </rPh>
    <phoneticPr fontId="5"/>
  </si>
  <si>
    <t>ゆらら：90％以下：1回</t>
    <rPh sb="7" eb="9">
      <t>イカ</t>
    </rPh>
    <rPh sb="11" eb="12">
      <t>カイ</t>
    </rPh>
    <phoneticPr fontId="5"/>
  </si>
  <si>
    <t>行動頻度UP</t>
    <rPh sb="0" eb="4">
      <t>コウドウヒンド</t>
    </rPh>
    <phoneticPr fontId="5"/>
  </si>
  <si>
    <t>2ターン全ユニットにウィルス</t>
  </si>
  <si>
    <t>2ターン全ユニットにウィルス</t>
    <rPh sb="4" eb="5">
      <t>ゼンユニットニ</t>
    </rPh>
    <phoneticPr fontId="5"/>
  </si>
  <si>
    <t>状態異常耐性+赤属性ダメージ40％軽減+
ボムの爆風を90％DOWN</t>
    <rPh sb="0" eb="4">
      <t>ジョウタイイジョウ</t>
    </rPh>
    <rPh sb="4" eb="6">
      <t>タイセイ</t>
    </rPh>
    <rPh sb="7" eb="10">
      <t>アカゾクセイ</t>
    </rPh>
    <rPh sb="17" eb="19">
      <t>ケイゲン</t>
    </rPh>
    <phoneticPr fontId="5"/>
  </si>
  <si>
    <t>状態異常耐性+赤属性ダメージ40％軽減</t>
    <phoneticPr fontId="5"/>
  </si>
  <si>
    <t>桜ヨルムン2：1ターン</t>
    <rPh sb="0" eb="1">
      <t>サクラ</t>
    </rPh>
    <phoneticPr fontId="5"/>
  </si>
  <si>
    <t>8回連続攻撃+ボムの爆風を90％DOWN</t>
    <rPh sb="1" eb="6">
      <t>カイレンゾクコウゲキ</t>
    </rPh>
    <phoneticPr fontId="5"/>
  </si>
  <si>
    <t>桜ヨルムン2：2ターン</t>
    <rPh sb="0" eb="1">
      <t>サクラ</t>
    </rPh>
    <phoneticPr fontId="5"/>
  </si>
  <si>
    <t>属性パネルをダメージパネルに最大3個変換+
4回連続攻撃</t>
    <rPh sb="23" eb="24">
      <t>カイ</t>
    </rPh>
    <rPh sb="24" eb="28">
      <t>レンゾクコウゲキ</t>
    </rPh>
    <phoneticPr fontId="5"/>
  </si>
  <si>
    <t>桜ヨルムン2：3ターン</t>
    <rPh sb="0" eb="1">
      <t>サクラ</t>
    </rPh>
    <phoneticPr fontId="5"/>
  </si>
  <si>
    <t>桜ヨルムン2：4ターン</t>
    <rPh sb="0" eb="1">
      <t>サクラ</t>
    </rPh>
    <phoneticPr fontId="5"/>
  </si>
  <si>
    <t>桜ヨルムン2：5ターン</t>
    <rPh sb="0" eb="1">
      <t>サクラ</t>
    </rPh>
    <phoneticPr fontId="5"/>
  </si>
  <si>
    <t>桜ヨルムン2：確率1</t>
    <rPh sb="0" eb="1">
      <t>サクラ</t>
    </rPh>
    <rPh sb="7" eb="9">
      <t>カクリツ</t>
    </rPh>
    <phoneticPr fontId="5"/>
  </si>
  <si>
    <t>桜ヨルムン2：確率2</t>
    <rPh sb="0" eb="1">
      <t>サクラ</t>
    </rPh>
    <rPh sb="7" eb="9">
      <t>カクリツ</t>
    </rPh>
    <phoneticPr fontId="5"/>
  </si>
  <si>
    <t>桜ヨルムン2：確率3</t>
    <rPh sb="0" eb="1">
      <t>サクラ</t>
    </rPh>
    <rPh sb="7" eb="9">
      <t>カクリツ</t>
    </rPh>
    <phoneticPr fontId="5"/>
  </si>
  <si>
    <t>2ターン全ユニットの回復力30％DOWN</t>
    <rPh sb="4" eb="5">
      <t>ゼンユニットノ</t>
    </rPh>
    <rPh sb="10" eb="13">
      <t>カイフクリョク</t>
    </rPh>
    <phoneticPr fontId="5"/>
  </si>
  <si>
    <t>ダメージパネルを吸収して全体攻撃</t>
    <rPh sb="8" eb="10">
      <t>キュウシュウシテ</t>
    </rPh>
    <rPh sb="12" eb="16">
      <t>ゼンタイコウゲキ</t>
    </rPh>
    <phoneticPr fontId="5"/>
  </si>
  <si>
    <t>逃亡</t>
    <rPh sb="0" eb="2">
      <t>トウボウ</t>
    </rPh>
    <phoneticPr fontId="5"/>
  </si>
  <si>
    <t>ヨシノ1：開幕</t>
    <rPh sb="5" eb="7">
      <t>カイマク</t>
    </rPh>
    <phoneticPr fontId="5"/>
  </si>
  <si>
    <t>ヨシノ1：1ターン</t>
    <phoneticPr fontId="5"/>
  </si>
  <si>
    <t>種族マシンに4ターンスキルバインド+
全体攻撃</t>
    <phoneticPr fontId="5"/>
  </si>
  <si>
    <t>ヨシノ1：50％以上1</t>
    <rPh sb="8" eb="10">
      <t>イジョウ</t>
    </rPh>
    <phoneticPr fontId="5"/>
  </si>
  <si>
    <t>ヨシノ1：50％以上2</t>
    <rPh sb="8" eb="10">
      <t>イジョウ</t>
    </rPh>
    <phoneticPr fontId="5"/>
  </si>
  <si>
    <t>ヨシノ1：50％以上3</t>
    <rPh sb="8" eb="10">
      <t>イジョウ</t>
    </rPh>
    <phoneticPr fontId="5"/>
  </si>
  <si>
    <t>ヨシノ1：50％以下1</t>
    <rPh sb="8" eb="10">
      <t>イカ</t>
    </rPh>
    <phoneticPr fontId="5"/>
  </si>
  <si>
    <t>ヨシノ1：50％以下2</t>
    <rPh sb="8" eb="10">
      <t>イカ</t>
    </rPh>
    <phoneticPr fontId="5"/>
  </si>
  <si>
    <t>ヨシノ1：50％以下3</t>
    <rPh sb="8" eb="10">
      <t>イカ</t>
    </rPh>
    <phoneticPr fontId="5"/>
  </si>
  <si>
    <t>強力な全体攻撃</t>
    <rPh sb="0" eb="2">
      <t>キョウリョクナ</t>
    </rPh>
    <rPh sb="3" eb="7">
      <t>ゼンタイコウゲキ</t>
    </rPh>
    <phoneticPr fontId="5"/>
  </si>
  <si>
    <t>ボムパネルを吸収して単体攻撃+
1ターン全ユニットの攻撃力30％DOWN</t>
    <rPh sb="10" eb="12">
      <t>タンタイ</t>
    </rPh>
    <phoneticPr fontId="5"/>
  </si>
  <si>
    <t>ボムパネルを吸収して単体攻撃+
1ターン全ユニットにスキルバインド</t>
    <rPh sb="10" eb="12">
      <t>タンタイ</t>
    </rPh>
    <phoneticPr fontId="5"/>
  </si>
  <si>
    <t>null</t>
  </si>
  <si>
    <t>ヨシノ2：開幕</t>
    <rPh sb="5" eb="7">
      <t>カイマク</t>
    </rPh>
    <phoneticPr fontId="5"/>
  </si>
  <si>
    <t>ヨシノ2：1ターン</t>
    <phoneticPr fontId="5"/>
  </si>
  <si>
    <t>ヨシノ2：2ターン</t>
    <phoneticPr fontId="5"/>
  </si>
  <si>
    <t>ヨシノ2：3ターン</t>
    <phoneticPr fontId="5"/>
  </si>
  <si>
    <t>ヨシノ2：確率1</t>
    <rPh sb="5" eb="7">
      <t>カクリツ</t>
    </rPh>
    <phoneticPr fontId="5"/>
  </si>
  <si>
    <t>ヨシノ2：確率2</t>
    <rPh sb="5" eb="7">
      <t>カクリツ</t>
    </rPh>
    <phoneticPr fontId="5"/>
  </si>
  <si>
    <t>ヨシノ2：確率3</t>
    <rPh sb="5" eb="7">
      <t>カクリツ</t>
    </rPh>
    <phoneticPr fontId="5"/>
  </si>
  <si>
    <t>ヨシノ2：確率4</t>
    <rPh sb="5" eb="7">
      <t>カクリツ</t>
    </rPh>
    <phoneticPr fontId="5"/>
  </si>
  <si>
    <t>ヨシノ3：開幕</t>
    <rPh sb="5" eb="7">
      <t>カイマク</t>
    </rPh>
    <phoneticPr fontId="5"/>
  </si>
  <si>
    <t>ヨシノ3：1ターン</t>
    <phoneticPr fontId="5"/>
  </si>
  <si>
    <t>ヨシノ3：30％以下1ターン</t>
    <rPh sb="8" eb="10">
      <t>イカ</t>
    </rPh>
    <phoneticPr fontId="5"/>
  </si>
  <si>
    <t>ヨシノ3：30％以下2ターン</t>
    <rPh sb="8" eb="10">
      <t>イカ</t>
    </rPh>
    <phoneticPr fontId="5"/>
  </si>
  <si>
    <t>ヨシノ3：30％以下3ターン</t>
    <rPh sb="8" eb="10">
      <t>イカ</t>
    </rPh>
    <phoneticPr fontId="5"/>
  </si>
  <si>
    <t>ヨシノ3：2ターン</t>
    <phoneticPr fontId="5"/>
  </si>
  <si>
    <t>ヨシノ3：3ターン</t>
    <phoneticPr fontId="5"/>
  </si>
  <si>
    <t>ヨシノ3：4ターン</t>
    <phoneticPr fontId="5"/>
  </si>
  <si>
    <t>ヨシノ3：5ターン</t>
    <phoneticPr fontId="5"/>
  </si>
  <si>
    <t>ヨシノ3：6ターン</t>
    <phoneticPr fontId="5"/>
  </si>
  <si>
    <t>ヨシノ3：確率1</t>
    <rPh sb="5" eb="7">
      <t>カクリツ</t>
    </rPh>
    <phoneticPr fontId="5"/>
  </si>
  <si>
    <t>ヨシノ3：確率2</t>
    <rPh sb="5" eb="7">
      <t>カクリツ</t>
    </rPh>
    <phoneticPr fontId="5"/>
  </si>
  <si>
    <t>ヨシノ3：確率3</t>
    <rPh sb="5" eb="7">
      <t>カクリツ</t>
    </rPh>
    <phoneticPr fontId="5"/>
  </si>
  <si>
    <t>ヨシノ3：確率4</t>
    <rPh sb="5" eb="7">
      <t>カクリツ</t>
    </rPh>
    <phoneticPr fontId="5"/>
  </si>
  <si>
    <t>ヨシノ3：確率5</t>
    <rPh sb="5" eb="7">
      <t>カクリツ</t>
    </rPh>
    <phoneticPr fontId="5"/>
  </si>
  <si>
    <t>2回連続全体攻撃</t>
    <rPh sb="2" eb="8">
      <t>レンゾクゼンタイコウゲキ</t>
    </rPh>
    <phoneticPr fontId="5"/>
  </si>
  <si>
    <t>2ターン後に超強力な全体攻撃</t>
    <rPh sb="6" eb="7">
      <t>チョウ</t>
    </rPh>
    <rPh sb="7" eb="9">
      <t>キョウリョクナ</t>
    </rPh>
    <rPh sb="10" eb="14">
      <t>ゼンタイコウゲキ</t>
    </rPh>
    <phoneticPr fontId="5"/>
  </si>
  <si>
    <t>縦に赤パネルと時限式ダメージパネルに部分変換+
単体攻撃</t>
    <rPh sb="2" eb="3">
      <t>アカ</t>
    </rPh>
    <phoneticPr fontId="5"/>
  </si>
  <si>
    <t>横に緑パネルと時限式ダメージパネルに部分変換+
単体攻撃</t>
    <rPh sb="2" eb="3">
      <t>ミドリ</t>
    </rPh>
    <phoneticPr fontId="5"/>
  </si>
  <si>
    <t>ヨシノ2：4ターン</t>
    <phoneticPr fontId="5"/>
  </si>
  <si>
    <t>ヨシノ2：5ターン</t>
    <phoneticPr fontId="5"/>
  </si>
  <si>
    <t>ヨシノ2：6ターン</t>
    <phoneticPr fontId="5"/>
  </si>
  <si>
    <t>ハートボムパネル(大)に部分変換+
単体攻撃</t>
  </si>
  <si>
    <t>ハートボムパネル(大)に部分変換+
単体攻撃</t>
    <rPh sb="9" eb="10">
      <t>ダイ</t>
    </rPh>
    <phoneticPr fontId="5"/>
  </si>
  <si>
    <t>黄の時限式ダメージパネルに部分変換+
単体攻撃</t>
    <phoneticPr fontId="5"/>
  </si>
  <si>
    <t>赤の時限式ダメージパネルに部分変換+
単体攻撃</t>
    <phoneticPr fontId="5"/>
  </si>
  <si>
    <t>黄の時限式ダメージパネルに部分変換+
全体攻撃</t>
    <phoneticPr fontId="5"/>
  </si>
  <si>
    <t>緑の時限式ダメージパネルに部分変換+
全体攻撃</t>
    <phoneticPr fontId="5"/>
  </si>
  <si>
    <t>2ターン全ユニットにスキルバインド</t>
    <rPh sb="4" eb="5">
      <t>ゼンユニットニ</t>
    </rPh>
    <phoneticPr fontId="5"/>
  </si>
  <si>
    <t>黄の時限式ダメージパネルに部分変換+
全体攻撃</t>
    <phoneticPr fontId="5"/>
  </si>
  <si>
    <t>緑の時限式ダメージパネルに部分変換+
単体攻撃</t>
    <rPh sb="19" eb="21">
      <t>タンタイ</t>
    </rPh>
    <phoneticPr fontId="5"/>
  </si>
  <si>
    <t>4ターン全ユニットのタップ数2減少+
全体攻撃</t>
    <rPh sb="4" eb="5">
      <t>ゼンユニットノ</t>
    </rPh>
    <phoneticPr fontId="5"/>
  </si>
  <si>
    <t>状態異常耐性+赤属性ダメージカット(50％)+
ボムパネルを吸収して単体攻撃</t>
    <rPh sb="34" eb="36">
      <t>タンタイ</t>
    </rPh>
    <phoneticPr fontId="5"/>
  </si>
  <si>
    <t>状態異常耐性+赤属性ダメージ50％軽減+
全ユニットのボムの爆風を90％DOWN</t>
    <rPh sb="17" eb="19">
      <t>ケイゲン</t>
    </rPh>
    <rPh sb="21" eb="22">
      <t>ゼンユニットノ</t>
    </rPh>
    <phoneticPr fontId="5"/>
  </si>
  <si>
    <t>ボムパネルを吸収して単体攻撃+
全ユニットのボムの爆風を90％DOWN+
2ターン全ユニットの回復力30％DOWN</t>
    <rPh sb="10" eb="12">
      <t>タンタイ</t>
    </rPh>
    <phoneticPr fontId="5"/>
  </si>
  <si>
    <t>種族マシンに4ターンスキルバインド+
属性パネルをマグネットパネルに1個変換(赤→緑)</t>
    <phoneticPr fontId="5"/>
  </si>
  <si>
    <t>ボムパネルを吸収して単体攻撃+
属性パネルをマグネットパネルに1個変換(赤→緑)</t>
    <rPh sb="16" eb="18">
      <t>ゾクセイパネルヲ</t>
    </rPh>
    <rPh sb="32" eb="33">
      <t>コ</t>
    </rPh>
    <rPh sb="33" eb="35">
      <t>ヘンカン</t>
    </rPh>
    <rPh sb="36" eb="37">
      <t>アカ</t>
    </rPh>
    <rPh sb="38" eb="39">
      <t>ミドリ</t>
    </rPh>
    <phoneticPr fontId="5"/>
  </si>
  <si>
    <t>状態異常耐性+赤属性ダメージ50％軽減+
ボムパネルを吸収して単体攻撃</t>
    <rPh sb="17" eb="19">
      <t>ケイゲン</t>
    </rPh>
    <phoneticPr fontId="5"/>
  </si>
  <si>
    <t>4ターン全ユニットのCパネル生成延長(特大)+
全ユニットのボムの爆風を90％DOWN+
全体攻撃</t>
    <rPh sb="4" eb="5">
      <t>ゼンユニットノ</t>
    </rPh>
    <rPh sb="19" eb="21">
      <t>トクダイ</t>
    </rPh>
    <phoneticPr fontId="5"/>
  </si>
  <si>
    <t>1ターン全ユニットのCパネル生成延長+
全体攻撃</t>
    <phoneticPr fontId="5"/>
  </si>
  <si>
    <t>ボムパネルを吸収して単体攻撃+
属性パネルをマグネットパネルに1個変換(赤→緑)</t>
    <phoneticPr fontId="5"/>
  </si>
  <si>
    <t>パターン1</t>
  </si>
  <si>
    <t>パターン1</t>
    <phoneticPr fontId="5"/>
  </si>
  <si>
    <t>パターン2</t>
    <phoneticPr fontId="5"/>
  </si>
  <si>
    <t>桜の木の形に部分変換</t>
    <phoneticPr fontId="5"/>
  </si>
  <si>
    <t>[effect:enemy_message, val1:1.2, val2:1.2],[effect:change_range_block, block_change:1, base_type:0, square_count:6, position01:0, value_h01:2.0, value_w01:6.0, position02:13, value_h02:1.0, value_w02:1.0, position03:16, value_h03:1.0, value_w03:1.0, new_block:block_heart, target:block_all, count:0, val:0, animation:change_range_block],[effect:change_range_block, block_change:1, base_type:0, square_count:6, position01:14, value_h01:4.0, value_w01:2.0, new_block:block_yellow, target:block_all, count:0, val:0, animation:change_range_block]</t>
    <phoneticPr fontId="5"/>
  </si>
  <si>
    <t>桜の木2</t>
    <rPh sb="0" eb="1">
      <t>サクラノキ</t>
    </rPh>
    <phoneticPr fontId="5"/>
  </si>
  <si>
    <t>薙刀乱舞</t>
    <rPh sb="0" eb="2">
      <t>ナギナタ</t>
    </rPh>
    <rPh sb="2" eb="4">
      <t>ランブ</t>
    </rPh>
    <phoneticPr fontId="5"/>
  </si>
  <si>
    <t>水流薙</t>
    <rPh sb="0" eb="2">
      <t>スイリュウ</t>
    </rPh>
    <phoneticPr fontId="5"/>
  </si>
  <si>
    <t>ゆ！</t>
    <phoneticPr fontId="5"/>
  </si>
  <si>
    <t>スクウェアターゲット</t>
    <phoneticPr fontId="5"/>
  </si>
  <si>
    <t>撃ち抜いちゃうよ！</t>
    <rPh sb="0" eb="1">
      <t>ウチヌイチャウヨ</t>
    </rPh>
    <phoneticPr fontId="5"/>
  </si>
  <si>
    <t>オクタゴナルターゲット</t>
    <phoneticPr fontId="5"/>
  </si>
  <si>
    <t>しっぽでぎゅっと！</t>
    <phoneticPr fontId="5"/>
  </si>
  <si>
    <t>にしし…見切れるかなっ？</t>
    <rPh sb="4" eb="6">
      <t>ミキレルカナ</t>
    </rPh>
    <phoneticPr fontId="5"/>
  </si>
  <si>
    <t>ヨシノ3：2ターン</t>
    <phoneticPr fontId="5"/>
  </si>
  <si>
    <t>ヨシノ3：3ターン</t>
    <phoneticPr fontId="5"/>
  </si>
  <si>
    <t>ヨシノ3：4ターン</t>
    <phoneticPr fontId="5"/>
  </si>
  <si>
    <t>ヨシノ3：5ターン</t>
    <phoneticPr fontId="5"/>
  </si>
  <si>
    <t>ヨシノ3：6ターン</t>
    <phoneticPr fontId="5"/>
  </si>
  <si>
    <t>[effect:enemy_message, val1:1.2, val2:1.7],[effect:hungup, target:unit_all, turn:2, rate:1, animation:hungup01]</t>
  </si>
  <si>
    <t>[effect:enemy_message, val1:1.2, val2:1.2],[effect:spread, val:0.25]</t>
  </si>
  <si>
    <t>[effect:enemy_message, val1:1.2, val2:1.2],[effect:fix_speed, target:myself, turn:2],[effect:enhance_enemy, target:myself, turn:-1, status:defense, val:5000, calc:add, animation:enemy_enhance_defense]</t>
  </si>
  <si>
    <t>[effect:enemy_message, val1:1.2, val2:1.2],[effect:freq_turn, target:myself, turn:-1, val:1, animation:enemy_freq_turn]</t>
  </si>
  <si>
    <t>[effect:enemy_message, val1:1.2, val2:1.2],[effect:rush, count:1, val:1]</t>
  </si>
  <si>
    <t>[effect:enemy_message, val1:1.2, val2:1.2],[effect:rush, count:4, val:0.25]</t>
  </si>
  <si>
    <t>[effect:enemy_message, val1:1.2, val2:1.4],[effect:virus, target:unit_all, turn:2, rate:1, val:0.07, animation:enemy_virus]</t>
  </si>
  <si>
    <t>[effect:enemy_message, val1:1.2, val2:2.0],[effect:degrade_unit, target:unit_all, turn:2, status:heal, val:0.3, calc:mul, animation:degrade_unit_all_heal]</t>
  </si>
  <si>
    <t>[effect:enemy_message, val1:1.2, val2:1.6],[effect:break_attack_fix, target:unit_all, val:400, lowest_val:1500, count:-1, block01:damage]</t>
  </si>
  <si>
    <t>[effect:enemy_message, val1:1.2, val2:1.2],[effect:spread, val:0.3]</t>
  </si>
  <si>
    <t>ゆ！！</t>
    <phoneticPr fontId="5"/>
  </si>
  <si>
    <t>ゆ？</t>
    <phoneticPr fontId="5"/>
  </si>
  <si>
    <t>ゆ！？</t>
    <phoneticPr fontId="5"/>
  </si>
  <si>
    <t>パターン1</t>
    <phoneticPr fontId="5"/>
  </si>
  <si>
    <t>お花見再開</t>
    <rPh sb="3" eb="5">
      <t>サイカイ</t>
    </rPh>
    <phoneticPr fontId="5"/>
  </si>
  <si>
    <t>サクヤのその後</t>
    <phoneticPr fontId="5"/>
  </si>
  <si>
    <t>迷子のヨシノ</t>
    <rPh sb="0" eb="2">
      <t>マイゴ</t>
    </rPh>
    <phoneticPr fontId="5"/>
  </si>
  <si>
    <t>ヨシノ1：開幕：センコR5</t>
    <rPh sb="5" eb="7">
      <t>カイマク</t>
    </rPh>
    <phoneticPr fontId="5"/>
  </si>
  <si>
    <t>ヨシノ1：開幕：サクヤR5</t>
    <rPh sb="5" eb="7">
      <t>カイマク</t>
    </rPh>
    <phoneticPr fontId="5"/>
  </si>
  <si>
    <t>ヨシノ1：開幕：センコR6</t>
    <rPh sb="5" eb="7">
      <t>カイマク</t>
    </rPh>
    <phoneticPr fontId="5"/>
  </si>
  <si>
    <t>ヨシノ1：開幕：サクヤR6</t>
    <rPh sb="5" eb="7">
      <t>カイマク</t>
    </rPh>
    <phoneticPr fontId="5"/>
  </si>
  <si>
    <t>ヨシノ1：撃破時：汎用</t>
    <rPh sb="5" eb="8">
      <t>ゲキハジ</t>
    </rPh>
    <rPh sb="9" eb="11">
      <t>ハンヨウ</t>
    </rPh>
    <phoneticPr fontId="5"/>
  </si>
  <si>
    <t>汎用セリフ</t>
    <rPh sb="0" eb="2">
      <t>ハンヨウセリフ</t>
    </rPh>
    <phoneticPr fontId="5"/>
  </si>
  <si>
    <t>[effect:enemy_message, val1:1.2, val2:2.0],[effect:force_change_block, new_block:damage, target:normal, count:1, val:0.03, animation:change_block]</t>
  </si>
  <si>
    <t>[effect:enemy_message, val1:1.2, val2:1.4],[effect:virus, target:unit_all, turn:2, rate:1, val:0.04, animation:enemy_virus]</t>
  </si>
  <si>
    <t>[effect:enemy_message, val1:1.2, val2:2.7],[effect:force_change_block, new_block:damage, target:normal, count:1, val:0.03, animation:change_block],[effect:rush, count:4, val:0.2]</t>
  </si>
  <si>
    <t>[effect:enemy_message, val1:1.2, val2:2.0],[effect:degrade_unit, target:unit_all, turn:2, status:heal, val:0.1, calc:mul, animation:degrade_unit_all_heal]</t>
  </si>
  <si>
    <t>[effect:enemy_message, val1:1.2, val2:2.3],[effect:force_change_block, new_block:time_bomb, target:normal, count:2, val:0.05, min_time_count:2, max_time_count:3, animation:change_block]</t>
  </si>
  <si>
    <t>[effect:enemy_message, val1:1.2, val2:1.7],[effect:hungup, target:unit_all, turn:1, rate:1, animation:hungup01]</t>
  </si>
  <si>
    <t>1ターン全ユニットにスキルバインド</t>
    <rPh sb="4" eb="5">
      <t>ゼンユニットニ</t>
    </rPh>
    <phoneticPr fontId="5"/>
  </si>
  <si>
    <t>1ターン全ユニットのCパネル生成延長(特大)+
全体攻撃</t>
    <rPh sb="19" eb="21">
      <t>トクダイ</t>
    </rPh>
    <phoneticPr fontId="5"/>
  </si>
  <si>
    <t>[effect:enemy_message, val1:1.2, val2:2.6],[effect:rush, count:8, val:0.13],[effect:change_bomb_range, target:unit_all, val:0.7, rate:1, turn:-1, animation:bomb_small]</t>
  </si>
  <si>
    <t>[effect:enemy_message, val1:1.2, val2:2.3],[effect:force_change_block, new_block:time_bomb, target:normal, count:3, val:0.1, min_time_count:2, max_time_count:3, animation:change_block]</t>
  </si>
  <si>
    <t>いっただっきまぁす♪</t>
    <phoneticPr fontId="5"/>
  </si>
  <si>
    <t>甘噛だから大丈夫♪</t>
    <rPh sb="0" eb="2">
      <t>アマガミ</t>
    </rPh>
    <rPh sb="5" eb="8">
      <t>ダイジョウブ</t>
    </rPh>
    <phoneticPr fontId="5"/>
  </si>
  <si>
    <t>邪魔をするなら…
あなた達を持ち帰るのもいいかも？</t>
    <rPh sb="0" eb="2">
      <t>ジャマヲ</t>
    </rPh>
    <rPh sb="14" eb="15">
      <t>モチカエルノモ</t>
    </rPh>
    <phoneticPr fontId="5"/>
  </si>
  <si>
    <t>だいじょうぶ…痛くしないから♪</t>
    <rPh sb="7" eb="8">
      <t>イタクシナイカラ</t>
    </rPh>
    <phoneticPr fontId="5"/>
  </si>
  <si>
    <t>彼女…凄い速さで走っていったけど
あなた達が何かしたの？</t>
    <rPh sb="0" eb="2">
      <t>カノジョ</t>
    </rPh>
    <rPh sb="3" eb="4">
      <t>スゴイハヤサデ</t>
    </rPh>
    <rPh sb="8" eb="9">
      <t>ハシッテ</t>
    </rPh>
    <rPh sb="22" eb="23">
      <t>ナニヲシタノ</t>
    </rPh>
    <phoneticPr fontId="5"/>
  </si>
  <si>
    <t>桜花・縦艶</t>
    <rPh sb="0" eb="2">
      <t>オウカ</t>
    </rPh>
    <rPh sb="3" eb="4">
      <t>タテ</t>
    </rPh>
    <rPh sb="4" eb="5">
      <t>アデヤカ</t>
    </rPh>
    <phoneticPr fontId="5"/>
  </si>
  <si>
    <t>桜花・横艶</t>
    <rPh sb="0" eb="2">
      <t>オウカ</t>
    </rPh>
    <rPh sb="3" eb="4">
      <t>ヨコ</t>
    </rPh>
    <rPh sb="4" eb="5">
      <t>アデヤカ</t>
    </rPh>
    <phoneticPr fontId="5"/>
  </si>
  <si>
    <t>桜花・散らし黄桜</t>
    <rPh sb="0" eb="2">
      <t>オウカ</t>
    </rPh>
    <rPh sb="3" eb="4">
      <t>チラシ</t>
    </rPh>
    <rPh sb="6" eb="8">
      <t>キザクラ</t>
    </rPh>
    <phoneticPr fontId="5"/>
  </si>
  <si>
    <t>桜花・散らし赤桜</t>
    <rPh sb="0" eb="2">
      <t>オウカ</t>
    </rPh>
    <rPh sb="3" eb="4">
      <t>チラシ</t>
    </rPh>
    <rPh sb="6" eb="7">
      <t>アカ</t>
    </rPh>
    <rPh sb="7" eb="8">
      <t>キザクラ</t>
    </rPh>
    <phoneticPr fontId="5"/>
  </si>
  <si>
    <t>桜花・散らし緑桜</t>
    <rPh sb="0" eb="2">
      <t>オウカ</t>
    </rPh>
    <rPh sb="3" eb="4">
      <t>チラシ</t>
    </rPh>
    <rPh sb="6" eb="7">
      <t>ミドリ</t>
    </rPh>
    <rPh sb="7" eb="8">
      <t>キザクラ</t>
    </rPh>
    <phoneticPr fontId="5"/>
  </si>
  <si>
    <t>サクヤ式・桜舞</t>
    <rPh sb="3" eb="4">
      <t>シキ</t>
    </rPh>
    <rPh sb="5" eb="6">
      <t>サクラ</t>
    </rPh>
    <rPh sb="6" eb="7">
      <t>マイ</t>
    </rPh>
    <phoneticPr fontId="5"/>
  </si>
  <si>
    <t>トモエ：撃破時：汎用</t>
    <rPh sb="4" eb="7">
      <t>ゲキハジ</t>
    </rPh>
    <rPh sb="8" eb="10">
      <t>ハンヨウ</t>
    </rPh>
    <phoneticPr fontId="5"/>
  </si>
  <si>
    <t>[effect:enemy_message, val1:1.2, val2:1.6],[effect:suicide, target:enemy_all, val:1, dead_type:escape, animation:enemy_suicide]</t>
  </si>
  <si>
    <t>ゆららもトモエと共に去っていった</t>
  </si>
  <si>
    <t>null</t>
    <phoneticPr fontId="5"/>
  </si>
  <si>
    <t>ヨシノ3：撃破時：サクヤR5</t>
    <rPh sb="5" eb="8">
      <t>ゲキハジ</t>
    </rPh>
    <phoneticPr fontId="5"/>
  </si>
  <si>
    <t>ヨシノ3：撃破時：サクヤR6</t>
    <rPh sb="5" eb="8">
      <t>ゲキハジ</t>
    </rPh>
    <phoneticPr fontId="5"/>
  </si>
  <si>
    <t>ヨシノ3：撃破時：センコR5</t>
    <rPh sb="5" eb="8">
      <t>ゲキハジ</t>
    </rPh>
    <phoneticPr fontId="5"/>
  </si>
  <si>
    <t>ヨシノ3：撃破時：センコR6</t>
    <rPh sb="5" eb="8">
      <t>ゲキハジ</t>
    </rPh>
    <phoneticPr fontId="5"/>
  </si>
  <si>
    <t>ゆゆ！！</t>
    <phoneticPr fontId="5"/>
  </si>
  <si>
    <t>ゆらら：撃破時</t>
    <rPh sb="4" eb="7">
      <t>ゲキハジ</t>
    </rPh>
    <phoneticPr fontId="5"/>
  </si>
  <si>
    <t>あぁ…彼女を迎えに来たのね</t>
    <rPh sb="3" eb="5">
      <t>カノジョヲ</t>
    </rPh>
    <rPh sb="6" eb="7">
      <t>ムカエニキタ</t>
    </rPh>
    <phoneticPr fontId="5"/>
  </si>
  <si>
    <t>この先に行けば、きっと会えるわ</t>
    <phoneticPr fontId="5"/>
  </si>
  <si>
    <t>ゆらら：トモエ撃破時</t>
    <rPh sb="7" eb="10">
      <t>ゲキハジ</t>
    </rPh>
    <phoneticPr fontId="5"/>
  </si>
  <si>
    <t>ヨシノ3：撃破時：牛若丸</t>
    <rPh sb="5" eb="8">
      <t>ゲキハジ</t>
    </rPh>
    <rPh sb="9" eb="11">
      <t>ウシワカ</t>
    </rPh>
    <rPh sb="11" eb="12">
      <t>マル</t>
    </rPh>
    <phoneticPr fontId="5"/>
  </si>
  <si>
    <t>桜牛若1495</t>
  </si>
  <si>
    <t>桜牛若1495</t>
    <rPh sb="0" eb="1">
      <t>サクラ</t>
    </rPh>
    <rPh sb="1" eb="3">
      <t>ウシワカ</t>
    </rPh>
    <phoneticPr fontId="5"/>
  </si>
  <si>
    <t>桜ドガ1501</t>
  </si>
  <si>
    <t>桜ドガ1501</t>
    <rPh sb="0" eb="1">
      <t>サクラ</t>
    </rPh>
    <phoneticPr fontId="5"/>
  </si>
  <si>
    <t>ヨシノ3：撃破時：ドガ</t>
    <rPh sb="5" eb="8">
      <t>ゲキハジ</t>
    </rPh>
    <phoneticPr fontId="5"/>
  </si>
  <si>
    <t>桜沖田1496</t>
  </si>
  <si>
    <t>桜沖田1496</t>
    <rPh sb="0" eb="1">
      <t>サクラ</t>
    </rPh>
    <rPh sb="1" eb="3">
      <t>オキタ</t>
    </rPh>
    <phoneticPr fontId="5"/>
  </si>
  <si>
    <t>ヨシノ3：撃破時：沖田</t>
    <rPh sb="5" eb="8">
      <t>ゲキハジ</t>
    </rPh>
    <rPh sb="9" eb="11">
      <t>オキタ</t>
    </rPh>
    <phoneticPr fontId="5"/>
  </si>
  <si>
    <t>ヨシノ1：開幕：沖田</t>
    <rPh sb="5" eb="7">
      <t>カイマク</t>
    </rPh>
    <rPh sb="8" eb="10">
      <t>オキタ</t>
    </rPh>
    <phoneticPr fontId="5"/>
  </si>
  <si>
    <t>ヨシノ1：開幕：ドガ</t>
    <rPh sb="5" eb="7">
      <t>カイマク</t>
    </rPh>
    <phoneticPr fontId="5"/>
  </si>
  <si>
    <t>ヨシノ1：開幕：牛若丸</t>
    <rPh sb="5" eb="7">
      <t>カイマク</t>
    </rPh>
    <rPh sb="8" eb="11">
      <t>ウシワカマル</t>
    </rPh>
    <phoneticPr fontId="5"/>
  </si>
  <si>
    <t>状態異常耐性</t>
    <rPh sb="0" eb="4">
      <t>ジョウタイイジョウ</t>
    </rPh>
    <rPh sb="4" eb="6">
      <t>タイセイ</t>
    </rPh>
    <phoneticPr fontId="5"/>
  </si>
  <si>
    <t>状態異常耐性</t>
    <phoneticPr fontId="5"/>
  </si>
  <si>
    <t>桜ドガ1496</t>
    <phoneticPr fontId="5"/>
  </si>
  <si>
    <t>桜ドガ1501</t>
    <phoneticPr fontId="5"/>
  </si>
  <si>
    <t>桜ヨルムン2：撃破時</t>
    <rPh sb="0" eb="1">
      <t>サクラ</t>
    </rPh>
    <rPh sb="7" eb="10">
      <t>ゲキハジ</t>
    </rPh>
    <phoneticPr fontId="5"/>
  </si>
  <si>
    <t>ja</t>
    <phoneticPr fontId="5"/>
  </si>
  <si>
    <t>[effect:enemy_message, val1:2.7, val2:1.9],[effect:fix_speed, target:myself, turn:1],[effect:tolerance, target:myself, turn:-1, count:-1, tolerance_effect:all, animation:enemy_tolerance],[effect:reduction, target:myself, reduction_target:enemy_red, turn:-1, val:0.3, animation:reduction_one01]</t>
  </si>
  <si>
    <t>[effect:enemy_message, val1:1.3, val2:1.5, dead_type:escape]</t>
  </si>
  <si>
    <t>[effect:enemy_message, val1:2.4, val2:1.9],[effect:fix_speed, target:myself, turn:1],[effect:tolerance, target:myself, turn:-1, count:-1, tolerance_effect:all, animation:enemy_tolerance],[effect:reduction, target:myself, reduction_target:enemy_red, turn:-1, val:0.4, animation:reduction_one01]</t>
  </si>
  <si>
    <t>[effect:enemy_message, val1:1.5, val2:1.4],[effect:virus, target:unit_all, turn:2, rate:1, val:0.1, animation:enemy_virus]</t>
  </si>
  <si>
    <t>[effect:enemy_message, val1:3.0, val2:2.6],[effect:fix_speed, target:myself, turn:1],[effect:tolerance, target:myself, turn:-1, count:-1, tolerance_effect:all, animation:enemy_tolerance],[effect:change_bomb_range, target:unit_all, val:0.7, rate:1, turn:-1, animation:bomb_small]</t>
  </si>
  <si>
    <t>[effect:enemy_message, val1:2.7, val2:2.6],[effect:fix_speed, target:myself, turn:1],[effect:tolerance, target:myself, turn:-1, count:-1, tolerance_effect:all, animation:enemy_tolerance],[effect:change_bomb_range, target:unit_all, val:0.7, rate:1, turn:-1, animation:bomb_small]</t>
  </si>
  <si>
    <t>[effect:enemy_message, val1:2.7, val2:1.2],[effect:fix_speed, target:myself, turn:1],[effect:tolerance, target:myself, turn:-1, count:-1, tolerance_effect:all, animation:enemy_tolerance]</t>
  </si>
  <si>
    <t>[effect:enemy_message, val1:2.4, val2:1.2],[effect:fix_speed, target:myself, turn:1],[effect:tolerance, target:myself, turn:-1, count:-1, tolerance_effect:all, animation:enemy_tolerance]</t>
  </si>
  <si>
    <t>[effect:enemy_message, val1:1.5, val2:1.4],[effect:virus, target:unit_all, turn:2, rate:1, val:0.07, animation:enemy_virus]</t>
  </si>
  <si>
    <t>やったぁ〜！満開です！</t>
    <rPh sb="6" eb="8">
      <t>マンカイデス</t>
    </rPh>
    <phoneticPr fontId="5"/>
  </si>
  <si>
    <t>あ〜！桜さんを散らさないでください〜！！</t>
    <rPh sb="3" eb="4">
      <t>サクラヲ</t>
    </rPh>
    <rPh sb="7" eb="8">
      <t>チラサナイデ</t>
    </rPh>
    <phoneticPr fontId="5"/>
  </si>
  <si>
    <t>え！わたしを迎えに来てくれたんですか〜？</t>
    <rPh sb="6" eb="7">
      <t>ムカエニキテクレタンデスカ</t>
    </rPh>
    <phoneticPr fontId="5"/>
  </si>
  <si>
    <t>はわわわ！突風が〜！</t>
    <rPh sb="5" eb="7">
      <t>トップウガ</t>
    </rPh>
    <phoneticPr fontId="5"/>
  </si>
  <si>
    <t>センコさま…サクヤさまが探している？
見つけて頂き感謝します〜！</t>
    <phoneticPr fontId="5"/>
  </si>
  <si>
    <t>はっ！沖田さま！
皆さまが私を探しているんですか？</t>
    <rPh sb="3" eb="5">
      <t>オキタ</t>
    </rPh>
    <rPh sb="9" eb="10">
      <t>ミナサマガ</t>
    </rPh>
    <rPh sb="13" eb="14">
      <t>ワタシヲ</t>
    </rPh>
    <rPh sb="15" eb="16">
      <t>サガシテイル</t>
    </rPh>
    <phoneticPr fontId="5"/>
  </si>
  <si>
    <t>はっ！牛若丸さま！
皆さまが私を探しているんですか？</t>
    <rPh sb="3" eb="6">
      <t>ウシワカマル</t>
    </rPh>
    <rPh sb="10" eb="11">
      <t>ミナサマガ</t>
    </rPh>
    <rPh sb="14" eb="15">
      <t>ワタシヲ</t>
    </rPh>
    <rPh sb="16" eb="17">
      <t>サガシテイル</t>
    </rPh>
    <phoneticPr fontId="5"/>
  </si>
  <si>
    <t>はっ！ドガさま！
皆さまが私を探しているんですか？</t>
    <rPh sb="9" eb="10">
      <t>ミナサマガ</t>
    </rPh>
    <rPh sb="13" eb="14">
      <t>ワタシヲ</t>
    </rPh>
    <rPh sb="15" eb="16">
      <t>サガシテイル</t>
    </rPh>
    <phoneticPr fontId="5"/>
  </si>
  <si>
    <t>一緒にお花見会場に戻ります〜
皆さまの為にも満開の桜を咲かせます！</t>
    <rPh sb="15" eb="16">
      <t>ミナサマノ</t>
    </rPh>
    <rPh sb="19" eb="20">
      <t>タメニモ</t>
    </rPh>
    <rPh sb="22" eb="24">
      <t>マンカイノ</t>
    </rPh>
    <rPh sb="25" eb="26">
      <t>サクラヲ</t>
    </rPh>
    <rPh sb="27" eb="28">
      <t>サカセマス</t>
    </rPh>
    <phoneticPr fontId="5"/>
  </si>
  <si>
    <t>見つけてくれてありがとうございます！
お花見のお団子を美味しくする為にも
戻って満開の桜を咲かせます〜！</t>
    <rPh sb="0" eb="1">
      <t>ミツケテクレテ</t>
    </rPh>
    <rPh sb="27" eb="29">
      <t>オイシクスル</t>
    </rPh>
    <rPh sb="33" eb="34">
      <t>タメニモ</t>
    </rPh>
    <rPh sb="37" eb="38">
      <t>モドッテ</t>
    </rPh>
    <rPh sb="40" eb="42">
      <t>マンカイノサクラヲ</t>
    </rPh>
    <rPh sb="45" eb="46">
      <t>サカセマス</t>
    </rPh>
    <phoneticPr fontId="5"/>
  </si>
  <si>
    <t>サクヤさま本当に心配しているのでしょうか〜
あわわ！頭を撫でるのはおやめください〜！</t>
    <rPh sb="5" eb="7">
      <t>ホントウニ</t>
    </rPh>
    <rPh sb="8" eb="10">
      <t>シンパイシテ</t>
    </rPh>
    <rPh sb="26" eb="27">
      <t>アタマヲ</t>
    </rPh>
    <rPh sb="28" eb="29">
      <t>ナデルノハ</t>
    </rPh>
    <phoneticPr fontId="5"/>
  </si>
  <si>
    <t>お花見が出来なくて皆さんが困ってる…
ドガさまの桜のデッサンの為にも
満開の桜を咲かせます〜！</t>
    <rPh sb="24" eb="25">
      <t>サクラノ</t>
    </rPh>
    <rPh sb="31" eb="32">
      <t>タメニモ</t>
    </rPh>
    <rPh sb="35" eb="37">
      <t>マンカイノ</t>
    </rPh>
    <rPh sb="38" eb="39">
      <t>サクラヲ</t>
    </rPh>
    <rPh sb="40" eb="41">
      <t>サカセマスネ</t>
    </rPh>
    <phoneticPr fontId="5"/>
  </si>
  <si>
    <t>[effect:enemy_message, val1:2.9, val2:2.6],[effect:fix_speed, target:myself, turn:1],[effect:tolerance, target:myself, turn:-1, count:-1, tolerance_effect:all, animation:enemy_tolerance],[effect:change_bomb_range, target:unit_all, val:0.7, rate:1, turn:-1, animation:bomb_small]</t>
  </si>
  <si>
    <t>お花見が出来なくて皆さんが困ってる…
はい！一緒に皆さんのところに帰りましょう！</t>
    <rPh sb="9" eb="10">
      <t>ミナサンガコマッテル</t>
    </rPh>
    <rPh sb="22" eb="24">
      <t>イッショニ</t>
    </rPh>
    <rPh sb="25" eb="26">
      <t>ミナサンノ</t>
    </rPh>
    <rPh sb="33" eb="34">
      <t>カエリマショウ</t>
    </rPh>
    <phoneticPr fontId="5"/>
  </si>
  <si>
    <t>自身の防御力大UP</t>
    <rPh sb="0" eb="2">
      <t>ジシンノ</t>
    </rPh>
    <rPh sb="3" eb="6">
      <t>ボウギョリョク</t>
    </rPh>
    <rPh sb="6" eb="7">
      <t>ダイ</t>
    </rPh>
    <phoneticPr fontId="5"/>
  </si>
  <si>
    <t>2ターン種族マシンのユニットにスキルバインド+
全体攻撃</t>
    <phoneticPr fontId="5"/>
  </si>
  <si>
    <t>2ターン全ユニットのタップ数1DOWN+
全体攻撃</t>
    <rPh sb="4" eb="5">
      <t>ゼンユニットノ</t>
    </rPh>
    <phoneticPr fontId="5"/>
  </si>
  <si>
    <t>属性パネルを青の時限式ダメージパネルに2個変換</t>
    <rPh sb="0" eb="2">
      <t>ゾクセイパネルヲ</t>
    </rPh>
    <rPh sb="6" eb="7">
      <t>アオノ</t>
    </rPh>
    <phoneticPr fontId="5"/>
  </si>
  <si>
    <t>表示しない</t>
    <rPh sb="0" eb="2">
      <t>ヒョウジアシナイ</t>
    </rPh>
    <phoneticPr fontId="5"/>
  </si>
  <si>
    <t>属性パネルを黄のダメージパネルに1個変換</t>
    <rPh sb="0" eb="2">
      <t>ゾクセイパネルヲ</t>
    </rPh>
    <rPh sb="6" eb="7">
      <t>キイロノ</t>
    </rPh>
    <rPh sb="17" eb="18">
      <t>コ</t>
    </rPh>
    <rPh sb="18" eb="20">
      <t>ヘンカン</t>
    </rPh>
    <phoneticPr fontId="5"/>
  </si>
  <si>
    <t>属性パネルを黄のダメージパネルに1個変換+
4回連続攻撃</t>
    <rPh sb="6" eb="7">
      <t>キイロ</t>
    </rPh>
    <rPh sb="23" eb="24">
      <t>カイ</t>
    </rPh>
    <rPh sb="24" eb="28">
      <t>レンゾクコウゲキ</t>
    </rPh>
    <phoneticPr fontId="5"/>
  </si>
  <si>
    <t>属性パネルを青の時限式ダメージパネルに3個変換</t>
    <rPh sb="0" eb="2">
      <t>ゾクセイパネルヲ</t>
    </rPh>
    <rPh sb="6" eb="7">
      <t>アオノ</t>
    </rPh>
    <phoneticPr fontId="5"/>
  </si>
  <si>
    <t>4ターン種族マシンのユニットにスキルバインド+
全体攻撃</t>
    <phoneticPr fontId="5"/>
  </si>
  <si>
    <t>4ターン全ユニットのタップ数2DOWN+
全体攻撃</t>
    <rPh sb="4" eb="5">
      <t>ゼンユニットノ</t>
    </rPh>
    <phoneticPr fontId="5"/>
  </si>
  <si>
    <t>4ターン種族マシンのユニットにスキルバインド+
属性パネルをマグネットパネルに1個変換</t>
    <phoneticPr fontId="5"/>
  </si>
  <si>
    <t>あなた達も彼女を追っているのかしら？</t>
    <rPh sb="3" eb="4">
      <t>タチ</t>
    </rPh>
    <rPh sb="5" eb="7">
      <t>カノジョヲ</t>
    </rPh>
    <rPh sb="8" eb="9">
      <t>オッテイルノカシラ</t>
    </rPh>
    <phoneticPr fontId="5"/>
  </si>
  <si>
    <t>邪魔されちゃったか…まぁいいけど</t>
    <phoneticPr fontId="5"/>
  </si>
  <si>
    <t>彼女だいぶ混乱してるみたいだから
うっかり近づくと危ないかもね〜</t>
    <phoneticPr fontId="5"/>
  </si>
  <si>
    <t>ヨルムンガンドは永続爆風軽減や
ダメージパネル変換を使用します
ダメージパネルは回復量次第では
割って対処するのも良いでしょう</t>
    <phoneticPr fontId="5"/>
  </si>
  <si>
    <t>2ターン種族マシンのユニットにスキルバインド+
属性パネルをマグネットパネルに1個変換</t>
    <phoneticPr fontId="5"/>
  </si>
  <si>
    <t>彼女だいぶ混乱してるみたいだから
うっかり近づくと危ないかもね〜</t>
    <phoneticPr fontId="5"/>
  </si>
  <si>
    <t>はっ！サクヤさまでしたか〜
わたしを迎えに来てくれたんですか〜？</t>
    <rPh sb="18" eb="19">
      <t>ムカエニ</t>
    </rPh>
    <rPh sb="21" eb="22">
      <t>キテクレタンデスカ</t>
    </rPh>
    <phoneticPr fontId="5"/>
  </si>
  <si>
    <t>お花見で舞を踊られる…？
サクヤさまの舞はとても美しいですから
負けないくらい満開の桜を咲かせます〜！</t>
    <rPh sb="6" eb="7">
      <t>オドラレル</t>
    </rPh>
    <rPh sb="19" eb="20">
      <t>マイ</t>
    </rPh>
    <rPh sb="24" eb="25">
      <t>ウツクシイデスカラ</t>
    </rPh>
    <rPh sb="32" eb="33">
      <t>マケナイ</t>
    </rPh>
    <rPh sb="39" eb="41">
      <t>マンカイ</t>
    </rPh>
    <rPh sb="44" eb="45">
      <t>サカセマスネ</t>
    </rPh>
    <phoneticPr fontId="5"/>
  </si>
  <si>
    <t>蛇さん…怖いです〜！
あれれ？ここはどこですか〜？？</t>
    <rPh sb="0" eb="1">
      <t>ヘビサン</t>
    </rPh>
    <rPh sb="4" eb="5">
      <t>コワイデス</t>
    </rPh>
    <phoneticPr fontId="5"/>
  </si>
  <si>
    <t>あれ？サクヤさま？
サクヤさまがいっぱいいます〜？？</t>
  </si>
  <si>
    <t>あれ？サクヤさま？
サクヤさまがいっぱいいます〜？？</t>
    <phoneticPr fontId="5"/>
  </si>
  <si>
    <t>あれ？センコさま？センコさまの
狐さんがいっぱいいます〜？？</t>
  </si>
  <si>
    <t>あれ？センコさま？センコさまの
狐さんがいっぱいいます〜？？</t>
    <rPh sb="16" eb="17">
      <t>キツネサンガ</t>
    </rPh>
    <phoneticPr fontId="5"/>
  </si>
  <si>
    <t>あれ？牛若丸さま？あの方は
皆さまとお花見のはずでは？？</t>
  </si>
  <si>
    <t>あれ？牛若丸さま？あの方は
皆さまとお花見のはずでは？？</t>
    <rPh sb="3" eb="6">
      <t>ウシワカマル</t>
    </rPh>
    <rPh sb="14" eb="15">
      <t>ミナサマ</t>
    </rPh>
    <phoneticPr fontId="5"/>
  </si>
  <si>
    <t>沖田さま？お団子が〜
お団子がいっぱい見えます〜？？</t>
  </si>
  <si>
    <t>沖田さま？お団子が〜
お団子がいっぱい見えます〜？？</t>
    <rPh sb="0" eb="2">
      <t>オキタ</t>
    </rPh>
    <phoneticPr fontId="5"/>
  </si>
  <si>
    <t>ドガさま？ドガさまのネズミさんが
いつもよりも沢山います〜？？</t>
  </si>
  <si>
    <t>ドガさま？ドガさまのネズミさんが
いつもよりも沢山います〜？？</t>
    <rPh sb="23" eb="25">
      <t>タクサン</t>
    </rPh>
    <phoneticPr fontId="5"/>
  </si>
  <si>
    <t>うわ〜ん！ここはどこですか〜！？</t>
    <phoneticPr fontId="5"/>
  </si>
  <si>
    <t>うぅ〜頭がクラクラします〜</t>
    <rPh sb="3" eb="4">
      <t>アタマガ</t>
    </rPh>
    <phoneticPr fontId="5"/>
  </si>
  <si>
    <t>そこに蛇さんが！？近づかないで〜！</t>
    <rPh sb="3" eb="4">
      <t>ヘビ</t>
    </rPh>
    <rPh sb="9" eb="10">
      <t>チカヅカナイデ</t>
    </rPh>
    <phoneticPr fontId="5"/>
  </si>
  <si>
    <t>へ、蛇さんはいませんね〜？</t>
    <rPh sb="2" eb="3">
      <t>ヘビ</t>
    </rPh>
    <phoneticPr fontId="5"/>
  </si>
  <si>
    <t>あわわわわっ！足がふらつきます〜！</t>
    <rPh sb="7" eb="8">
      <t>アシガ</t>
    </rPh>
    <phoneticPr fontId="5"/>
  </si>
  <si>
    <t>散った桜さんも力を借してください〜</t>
    <rPh sb="0" eb="1">
      <t>チッタサクラサン</t>
    </rPh>
    <rPh sb="7" eb="8">
      <t>チカラヲ</t>
    </rPh>
    <rPh sb="9" eb="10">
      <t>カリマス</t>
    </rPh>
    <phoneticPr fontId="5"/>
  </si>
  <si>
    <t>あわわ！？
桜さんが〜咲いてないです〜？？</t>
    <rPh sb="6" eb="7">
      <t>サクラサン</t>
    </rPh>
    <rPh sb="11" eb="12">
      <t>サイテ</t>
    </rPh>
    <phoneticPr fontId="5"/>
  </si>
  <si>
    <t>うわ〜ん！毛虫さんがいっぱいです〜！？</t>
    <rPh sb="5" eb="7">
      <t>ケムシ</t>
    </rPh>
    <phoneticPr fontId="5"/>
  </si>
  <si>
    <t>あわわ！？毛虫さん離れてください〜！</t>
    <rPh sb="5" eb="7">
      <t>ケムシ</t>
    </rPh>
    <rPh sb="9" eb="10">
      <t>ハナレテクダサイ</t>
    </rPh>
    <phoneticPr fontId="5"/>
  </si>
  <si>
    <t>最後の枯れ木に桜さんを咲かせますよ〜？</t>
    <rPh sb="0" eb="2">
      <t>サイゴノ</t>
    </rPh>
    <rPh sb="3" eb="4">
      <t>カレキ</t>
    </rPh>
    <rPh sb="7" eb="8">
      <t>サクラヲ</t>
    </rPh>
    <rPh sb="11" eb="12">
      <t>サカセマス</t>
    </rPh>
    <phoneticPr fontId="5"/>
  </si>
  <si>
    <t>蛇さんも、毛虫さんもいませんね〜？？</t>
    <rPh sb="0" eb="1">
      <t>ヘビサンモ</t>
    </rPh>
    <rPh sb="5" eb="7">
      <t>ケムシサンモ</t>
    </rPh>
    <phoneticPr fontId="5"/>
  </si>
  <si>
    <t>枯れ木さんに〜？
どんどん桜を咲かせます〜？？</t>
    <rPh sb="0" eb="1">
      <t>カレキ</t>
    </rPh>
    <rPh sb="13" eb="14">
      <t>サクラヲ</t>
    </rPh>
    <rPh sb="15" eb="16">
      <t>サカセマス</t>
    </rPh>
    <phoneticPr fontId="5"/>
  </si>
  <si>
    <t>桜さんをいっぱい咲かせますよ〜？？</t>
    <phoneticPr fontId="5"/>
  </si>
  <si>
    <t>桜さんをいっぱい咲かせますよ〜？？</t>
    <rPh sb="0" eb="1">
      <t>サクラヲ</t>
    </rPh>
    <rPh sb="8" eb="9">
      <t>サカセマス</t>
    </rPh>
    <phoneticPr fontId="5"/>
  </si>
  <si>
    <t>桜さんをいっぱい咲かせますよ〜？</t>
    <rPh sb="0" eb="1">
      <t>サクラヲ</t>
    </rPh>
    <rPh sb="8" eb="9">
      <t>サカセマス</t>
    </rPh>
    <phoneticPr fontId="5"/>
  </si>
  <si>
    <t>あわわ！？鳥さん離れてください〜！</t>
    <phoneticPr fontId="5"/>
  </si>
  <si>
    <t>桜さんをいっぱい咲かせますよ〜？？</t>
    <phoneticPr fontId="5"/>
  </si>
  <si>
    <t>[effect:enemy_message, val1:1.6, val2:2.7],[effect:hungup, target:unit_machine, turn:4, rate:1, animation:hungup01],[effect:spread, val:0.25]</t>
  </si>
  <si>
    <t>[effect:enemy_message, val1:1.7, val2:1.2],[effect:spread, val:0.3]</t>
  </si>
  <si>
    <t>[effect:enemy_message, val1:1.3, val2:2.4],[effect:degrade_unit, target:unit_all, turn:4, status:action, val:2, calc:add, animation:enemy_tap_down],[effect:spread, val:0.25]</t>
  </si>
  <si>
    <t>[effect:enemy_message, val1:1.7, val2:4.2],[effect:hungup, target:unit_machine, turn:4, rate:1, animation:hungup01],[effect:force_change_magnet, target:normal, color:block_red, count:1, red:1, green:1, blue:0, yellow:0, heart:0, reverse:0, generate:0, turn:2, animation:change_block]</t>
  </si>
  <si>
    <t>[effect:enemy_message, val1:1.9, val2:1.4]</t>
  </si>
  <si>
    <t>[effect:enemy_message, val1:2.0, val2:1.2],[effect:spread, val:3],[effect:spread, val:3]</t>
  </si>
  <si>
    <t>[effect:enemy_message, val1:2.5, val2:2.6],[effect:fix_speed, target:myself, turn:1],[effect:tolerance, target:myself, turn:-1, count:-1, tolerance_effect:all, animation:enemy_tolerance],[effect:change_bomb_range, target:unit_all, val:0.7, rate:1, turn:-1, animation:bomb_small]</t>
  </si>
  <si>
    <t>unit</t>
  </si>
  <si>
    <t>item</t>
    <phoneticPr fontId="5"/>
  </si>
  <si>
    <t>item</t>
    <phoneticPr fontId="5"/>
  </si>
  <si>
    <t>full_member</t>
    <phoneticPr fontId="5"/>
  </si>
  <si>
    <t>clear</t>
    <phoneticPr fontId="5"/>
  </si>
  <si>
    <t>clear</t>
    <phoneticPr fontId="5"/>
  </si>
  <si>
    <t>item</t>
    <phoneticPr fontId="5"/>
  </si>
  <si>
    <t>item</t>
    <phoneticPr fontId="5"/>
  </si>
  <si>
    <t>うわ〜ん！鳥さんつつかないで〜！？</t>
    <rPh sb="5" eb="6">
      <t>トリサン</t>
    </rPh>
    <phoneticPr fontId="5"/>
  </si>
  <si>
    <t>[effect:enemy_message, val1:1.2, val2:1.6],[effect:break_attack_fix, target:unit_all, val:200, lowest_val:700, count:-1, block01:damage]</t>
  </si>
  <si>
    <t>[effect:enemy_message, val1:1.6, val2:3.1, dead_type:escape]</t>
  </si>
  <si>
    <t>[effect:enemy_message, val1:1.7, val2:2.7],[effect:crash_condition, target:unit_all, turn:1, val:4, animation:enemy_crash_extend],[effect:spread, val:0.25]</t>
  </si>
  <si>
    <t>[effect:enemy_message, val1:1.2, val2:0.0]</t>
  </si>
  <si>
    <t>[effect:enemy_message, val1:1.8, val2:2.6],[effect:fix_speed, target:myself, turn:1],[effect:tolerance, target:myself, turn:-1, count:-1, tolerance_effect:all, animation:enemy_tolerance],[effect:change_bomb_range, target:unit_all, val:0.7, rate:1, turn:-1, animation:bomb_small]</t>
  </si>
  <si>
    <t>[effect:enemy_message, val1:1.6, val2:2.7],[effect:hungup, target:unit_machine, turn:2, rate:1, animation:hungup01],[effect:spread, val:0.25]</t>
  </si>
  <si>
    <t>[effect:enemy_message, val1:1.3, val2:2.4],[effect:degrade_unit, target:unit_all, turn:2, status:action, val:1, calc:add, animation:enemy_tap_down],[effect:spread, val:0.25]</t>
  </si>
  <si>
    <t>[effect:enemy_message, val1:1.7, val2:4.2],[effect:hungup, target:unit_machine, turn:2, rate:1, animation:hungup01],[effect:force_change_magnet, target:normal, color:block_red, count:1, red:1, green:1, blue:0, yellow:0, heart:0, reverse:0, generate:0, turn:2, animation:change_block]</t>
  </si>
  <si>
    <t>[effect:enemy_message, val1:2.2, val2:4.7],[effect:crash_condition, target:unit_all, turn:2, val:4, animation:enemy_crash_extend],[effect:change_bomb_range, target:unit_all, val:0.7, rate:1, turn:-1, animation:bomb_small],[effect:spread, val:0.25]</t>
  </si>
  <si>
    <t>[effect:enemy_message, val1:2.9, val2:5.0, dead_type:escape]</t>
    <phoneticPr fontId="5"/>
  </si>
  <si>
    <t>[effect:enemy_message, val1:3.6, val2:4.6, dead_type:escape]</t>
    <phoneticPr fontId="5"/>
  </si>
  <si>
    <t>[effect:enemy_message, val1:3.6, val2:4.6, dead_type:escape]</t>
    <phoneticPr fontId="5"/>
  </si>
  <si>
    <t>[effect:enemy_message, val1:3.0, val2:3.7, dead_type:escape]</t>
    <phoneticPr fontId="5"/>
  </si>
  <si>
    <t>[effect:enemy_message, val1:2.9, val2:5.0, dead_type:escape]</t>
    <phoneticPr fontId="5"/>
  </si>
  <si>
    <t>トモエは時限式ダメージパネル変換と
全体攻撃を行い
ゆららはHPがある程度減るまで
攻撃をしません
トモエを集中攻撃しましょう</t>
    <rPh sb="18" eb="22">
      <t>ゼンタイコウゲキ</t>
    </rPh>
    <rPh sb="23" eb="24">
      <t>オコナイ</t>
    </rPh>
    <rPh sb="54" eb="56">
      <t>シュウチュウ</t>
    </rPh>
    <rPh sb="56" eb="58">
      <t>コウゲキ</t>
    </rPh>
    <phoneticPr fontId="5"/>
  </si>
  <si>
    <t>ヨシノは2ゲージ以降の開幕に
強力なボムパネル吸収攻撃を使用します
ボムパネルを残したまま
切り替わらないよう注意しましょう</t>
    <rPh sb="8" eb="10">
      <t>イコウ</t>
    </rPh>
    <rPh sb="11" eb="13">
      <t>カイマク</t>
    </rPh>
    <rPh sb="55" eb="57">
      <t>チュウイ</t>
    </rPh>
    <phoneticPr fontId="5"/>
  </si>
  <si>
    <t>ヨシノの3ゲージ目はパネル全面を対象に
複数の固定位置を
時限式ダメージパネルに変換します
マグネットパネル等で対処しましょう</t>
    <rPh sb="54" eb="55">
      <t>ナド</t>
    </rPh>
    <phoneticPr fontId="5"/>
  </si>
  <si>
    <t>ヨシノの1ゲージ目はボム吸収攻撃を
頻繁に使用します
また全ゲージで爆風軽減を使用するので
アビリティやスキルで対策をしましょう</t>
    <phoneticPr fontId="5"/>
  </si>
  <si>
    <t>ヨシノの2ゲージ目はパネル全面を対象に
固定範囲を時限式ダメージパネルと
属性パネルに変換します
残さないように対処しましょう</t>
    <phoneticPr fontId="5"/>
  </si>
  <si>
    <t>状態異常耐性+
全ユニットのボムの爆風を30%DOWN</t>
    <rPh sb="0" eb="4">
      <t>ジョウタイイジョウ</t>
    </rPh>
    <rPh sb="4" eb="6">
      <t>タイセイ</t>
    </rPh>
    <rPh sb="8" eb="9">
      <t>ゼンユニットノ</t>
    </rPh>
    <phoneticPr fontId="5"/>
  </si>
  <si>
    <t>8回連続攻撃+
全ユニットのボムの爆風を30%DOWN</t>
    <rPh sb="1" eb="6">
      <t>カイレンゾクコウゲキ</t>
    </rPh>
    <rPh sb="8" eb="9">
      <t>ゼンユニットノ</t>
    </rPh>
    <phoneticPr fontId="5"/>
  </si>
  <si>
    <t>2ターン全ユニットの回復力10%DOWN</t>
    <rPh sb="4" eb="5">
      <t>ゼンユニットノ</t>
    </rPh>
    <rPh sb="10" eb="13">
      <t>カイフクリョク</t>
    </rPh>
    <phoneticPr fontId="5"/>
  </si>
  <si>
    <t>状態異常耐性+
全ユニットのボムの爆風を30%DOWN</t>
    <rPh sb="8" eb="9">
      <t>ゼンユニットノ</t>
    </rPh>
    <phoneticPr fontId="5"/>
  </si>
  <si>
    <t>2ターン全ユニットのCパネル生成延長(特大)+
全ユニットのボムの爆風を30%DOWN+
全体攻撃</t>
    <rPh sb="4" eb="5">
      <t>ゼンユニットノ</t>
    </rPh>
    <rPh sb="19" eb="21">
      <t>トクダイ</t>
    </rPh>
    <phoneticPr fontId="5"/>
  </si>
  <si>
    <t>状態異常耐性+赤属性ダメージ30%軽減</t>
    <rPh sb="0" eb="4">
      <t>ジョウタイイジョウ</t>
    </rPh>
    <rPh sb="4" eb="6">
      <t>タイセイ</t>
    </rPh>
    <rPh sb="7" eb="10">
      <t>アカゾクセイ</t>
    </rPh>
    <rPh sb="17" eb="19">
      <t>ケイゲン</t>
    </rPh>
    <phoneticPr fontId="5"/>
  </si>
  <si>
    <t>状態異常耐性+赤属性ダメージ40%軽減</t>
  </si>
  <si>
    <t>2ターン全ユニットの回復力30%DOWN</t>
    <rPh sb="4" eb="5">
      <t>ゼンユニットノ</t>
    </rPh>
    <rPh sb="10" eb="13">
      <t>カイフクリョク</t>
    </rPh>
    <phoneticPr fontId="5"/>
  </si>
  <si>
    <t>表示しない</t>
  </si>
  <si>
    <t>[effect:enemy_message, val1:1.2, val2:0.0]</t>
    <phoneticPr fontId="5"/>
  </si>
  <si>
    <t>[effect:enemy_message, val1:3.6, val2:5.0, dead_type:escape]</t>
    <phoneticPr fontId="5"/>
  </si>
  <si>
    <t>[effect:enemy_message, val1:2.5, val2:4.4, dead_type:escape]</t>
    <phoneticPr fontId="5"/>
  </si>
  <si>
    <t>お酒を飲んでいた隙にヨシノ達がいなくなり
酔いで隠していましたが
実はかなり落ち込んでおり
少しずつ酒量を減らしているようです</t>
  </si>
  <si>
    <t>お酒を飲んでいた隙にヨシノ達がいなくなり
酔いで隠していましたが
実はかなり落ち込んでおり
少しずつ酒量を減らしているようです</t>
    <phoneticPr fontId="5"/>
  </si>
  <si>
    <t>戻ってきたヨシノ達は
満開の桜を咲かせてくれました
みんなが見惚れる中
サクヤの一言で宴会が始まります
お花見を楽しみましょう</t>
  </si>
  <si>
    <t>戻ってきたヨシノ達は
満開の桜を咲かせてくれました
みんなが見惚れる中
サクヤの一言で宴会が始まります
お花見を楽しみましょう</t>
    <phoneticPr fontId="5"/>
  </si>
  <si>
    <t>桜の管理AIであるヨシノはとても小柄で
大きい物音や怖いものが苦手です
怯えて逃げた後は迷子になり
恐怖と混乱で動けませんでした</t>
  </si>
  <si>
    <t>トモエは時限式ダメージパネル変換と
全体攻撃を行い
ゆららはHPがある程度減るまで
攻撃をしません
トモエを集中攻撃しましょう</t>
  </si>
  <si>
    <t>桜の管理AIであるヨシノはとても小柄で
大きい物音や怖いものが苦手です
怯えて逃げた後は迷子になり
恐怖と混乱で動けませんでした</t>
    <phoneticPr fontId="5"/>
  </si>
  <si>
    <t>ヨシノの3ゲージ目はパネル全面を対象に
複数の固定位置を
時限式ダメージパネルに変換します
マグネットパネル等で対処しましょう</t>
  </si>
  <si>
    <t>ヨルムンガンドは永続爆風軽減や
ダメージパネル変換を使用します
ダメージパネルは回復量次第では
割って対処するのも良いでしょう</t>
  </si>
  <si>
    <t>ヨシノは2ゲージ以降の開幕に
強力なボムパネル吸収攻撃を使用します
ボムパネルを残したまま
切り替わらないよう注意しましょう</t>
  </si>
  <si>
    <t>ヨシノの1ゲージ目はボム吸収攻撃を
頻繁に使用します
また全ゲージで爆風軽減を使用するので
アビリティやスキルで対策をしましょう</t>
  </si>
  <si>
    <t>ヨシノの2ゲージ目はパネル全面を対象に
固定範囲を時限式ダメージパネルと
属性パネルに変換します
残さないように対処しましょう</t>
  </si>
  <si>
    <t>ボムパネルを吸収して攻撃+
1ターン全ユニットの攻撃力10%DOWN</t>
    <phoneticPr fontId="5"/>
  </si>
  <si>
    <t>ボムパネルを吸収して攻撃+
1ターン全ユニットにスキルバインド</t>
    <phoneticPr fontId="5"/>
  </si>
  <si>
    <t>状態異常耐性+
ボムパネルを吸収して攻撃</t>
    <phoneticPr fontId="5"/>
  </si>
  <si>
    <t>ボムパネルを吸収して攻撃+
全ユニットのボムの爆風を30%DOWN+
2ターン全ユニットの回復力10%DOWN</t>
    <phoneticPr fontId="5"/>
  </si>
  <si>
    <t>ボムパネルを吸収して攻撃+
属性パネルをマグネットパネルに1個変換</t>
    <rPh sb="14" eb="16">
      <t>ゾクセイパネルヲ</t>
    </rPh>
    <rPh sb="30" eb="31">
      <t>コ</t>
    </rPh>
    <rPh sb="31" eb="33">
      <t>ヘンカン</t>
    </rPh>
    <phoneticPr fontId="5"/>
  </si>
  <si>
    <t>状態異常耐性+
ボムパネルを吸収して攻撃</t>
    <phoneticPr fontId="5"/>
  </si>
  <si>
    <t>ボムパネルを吸収して攻撃+
属性パネルをマグネットパネルに1個変換</t>
    <phoneticPr fontId="5"/>
  </si>
  <si>
    <t>ボムパネルを吸収して攻撃+
1ターン全ユニットの攻撃力30%DOWN</t>
    <phoneticPr fontId="5"/>
  </si>
  <si>
    <t>ボムパネルを吸収して攻撃+
1ターン全ユニットにスキルバインド</t>
    <phoneticPr fontId="5"/>
  </si>
  <si>
    <t>状態異常耐性+赤属性ダメージ50%軽減+
ボムパネルを吸収して攻撃</t>
    <rPh sb="17" eb="19">
      <t>ケイゲン</t>
    </rPh>
    <phoneticPr fontId="5"/>
  </si>
  <si>
    <t>ボムパネルを吸収して攻撃+
属性パネルをマグネットパネルに1個変換</t>
    <phoneticPr fontId="5"/>
  </si>
  <si>
    <t>属性パネルを黄のダメージパネルに3個変換</t>
    <rPh sb="0" eb="2">
      <t>ゾクセイパネルヲ</t>
    </rPh>
    <rPh sb="6" eb="7">
      <t>キノ</t>
    </rPh>
    <rPh sb="17" eb="18">
      <t>コ</t>
    </rPh>
    <rPh sb="18" eb="20">
      <t>ヘンカン</t>
    </rPh>
    <phoneticPr fontId="5"/>
  </si>
  <si>
    <t>[effect:enemy_message, val1:1.2, val2:2.0],[effect:force_change_block, new_block:damage, target:normal, count:3, val:0.07, animation:change_block]</t>
    <phoneticPr fontId="5"/>
  </si>
  <si>
    <t>属性パネルを黄のダメージパネルに3個変換+
4回連続攻撃</t>
    <rPh sb="6" eb="7">
      <t>キノ</t>
    </rPh>
    <rPh sb="23" eb="24">
      <t>カイ</t>
    </rPh>
    <rPh sb="24" eb="28">
      <t>レンゾクコウゲキ</t>
    </rPh>
    <phoneticPr fontId="5"/>
  </si>
  <si>
    <t>[effect:enemy_message, val1:1.2, val2:2.7],[effect:force_change_block, new_block:damage, target:normal, count:3, val:0.07, animation:change_block],[effect:rush, count:4, val:0.2]</t>
    <phoneticPr fontId="5"/>
  </si>
  <si>
    <t>特定部分をハートボムパネル(大)に変換+
単体攻撃</t>
  </si>
  <si>
    <t>特定部分をハートボムパネル(大)に変換+
単体攻撃</t>
    <rPh sb="0" eb="2">
      <t>トクテイパネルヲ</t>
    </rPh>
    <rPh sb="2" eb="4">
      <t>ブブン</t>
    </rPh>
    <phoneticPr fontId="5"/>
  </si>
  <si>
    <t>特定部分を時限式ダメージパネルと
赤パネルに変換+単体攻撃</t>
    <rPh sb="0" eb="4">
      <t>トクテイブブンヲ</t>
    </rPh>
    <phoneticPr fontId="5"/>
  </si>
  <si>
    <t>特定部分を時限式ダメージパネルと
緑パネルに変換+単体攻撃</t>
    <rPh sb="0" eb="4">
      <t>トクテイブブンヲ</t>
    </rPh>
    <rPh sb="17" eb="18">
      <t>ミドリ</t>
    </rPh>
    <phoneticPr fontId="5"/>
  </si>
  <si>
    <t>特定部分をハートボムパネル(大)に変換+
単体攻撃</t>
    <phoneticPr fontId="5"/>
  </si>
  <si>
    <t>特定部分を黄の時限式ダメージパネルに変換+
全体攻撃</t>
    <rPh sb="0" eb="4">
      <t>トクテイブブンヲ</t>
    </rPh>
    <phoneticPr fontId="5"/>
  </si>
  <si>
    <t>特定部分を緑の時限式ダメージパネルに変換+
全体攻撃</t>
    <rPh sb="0" eb="4">
      <t>トクテイブブンヲ</t>
    </rPh>
    <phoneticPr fontId="5"/>
  </si>
  <si>
    <t>特定部分を黄の時限式ダメージパネルに変換+
単体攻撃</t>
    <rPh sb="0" eb="4">
      <t>トクテイブブンヲ</t>
    </rPh>
    <phoneticPr fontId="5"/>
  </si>
  <si>
    <t>特定部分を赤の時限式ダメージパネルに変換+
単体攻撃</t>
    <rPh sb="0" eb="2">
      <t>トクテイ</t>
    </rPh>
    <rPh sb="2" eb="4">
      <t>ブブンヲ</t>
    </rPh>
    <phoneticPr fontId="5"/>
  </si>
  <si>
    <t>特定部分をハート＆緑＆黄パネルに変換</t>
    <rPh sb="0" eb="4">
      <t>トクテイブブンヲ</t>
    </rPh>
    <rPh sb="9" eb="10">
      <t>ミドリ</t>
    </rPh>
    <rPh sb="11" eb="12">
      <t>キイロ</t>
    </rPh>
    <phoneticPr fontId="5"/>
  </si>
  <si>
    <t>特定部分をハートボムパネル(大)に変換+
単体攻撃</t>
    <rPh sb="0" eb="4">
      <t>トクテイブブンヲ</t>
    </rPh>
    <phoneticPr fontId="5"/>
  </si>
  <si>
    <t>特定部分を赤の時限式ダメージパネルに変換+
単体攻撃</t>
    <rPh sb="0" eb="4">
      <t>トクテイブブンヲ</t>
    </rPh>
    <phoneticPr fontId="5"/>
  </si>
  <si>
    <t>[effect:enemy_message, val1:1.6, val2:2.4],[effect:change_range_block,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t>
  </si>
  <si>
    <t>[effect:enemy_message, val1:1.7, val2:3.3],[effect:break_attack_fix, target:unit_one, val:1000, lowest_val:4000, count:-1, block01:crack_bomb],[effect:attack_break, target:unit_all, turn:1, val:0.1, calc:mul, animation:attack_break01]</t>
  </si>
  <si>
    <t>[effect:enemy_message, val1:1.7, val2:2.4],[effect:change_range_block,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t>
  </si>
  <si>
    <t>[effect:enemy_message, val1:1.3, val2:3.0],[effect:break_attack_fix, target:unit_one, val:1000, lowest_val:4000, count:-1, block01:crack_bomb],[effect:hungup, target:unit_all, turn:1, rate:1, animation:hungup01]</t>
  </si>
  <si>
    <t>[effect:enemy_message, val1:2.0, val2:1.9],[effect:fix_speed, target:myself, turn:1],[effect:tolerance, target:myself, turn:-1, count:-1, tolerance_effect:all, animation:enemy_tolerance],[effect:break_attack_fix, target:unit_one, val:4500, lowest_val:1, count:-1, block01:crack_bomb]</t>
  </si>
  <si>
    <t>[effect:enemy_message, val1:1.2, val2:2.8],[effect:change_range_block, block_change:1, base_type:0, square_count:3, position01:0, value_h01:3.0, value_w01:1.0, new_block:time_bomb, target:block_all, ignore01:magnet, color:block_random, count:0, val:0.05,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t>
  </si>
  <si>
    <t>[effect:enemy_message, val1:1.9, val2:5.3],[effect:break_attack_fix, target:unit_one, val:1000, lowest_val:4000, count:-1, block01:crack_bomb],[effect:change_bomb_range, target:unit_all, val:0.7, rate:1, turn:-1, animation:bomb_small],[effect:degrade_unit, target:unit_all, turn:2, status:heal, val:0.1, calc:mul, animation:degrade_unit_all_heal]</t>
  </si>
  <si>
    <t>[effect:enemy_message, val1:1.2, val2:2.8],[effect:change_range_block, block_change:1, base_type:0, square_count:3, position01:0, value_h01:1.0, value_w01:3.0, new_block:time_bomb, target:block_all, ignore01:magnet, color:block_random, count:0, val:0.05,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t>
  </si>
  <si>
    <t>[effect:enemy_message, val1:1.8, val2:3.2],[effect:break_attack_fix, target:unit_one, val:1000, lowest_val:4000, count:-1, block01:crack_bomb],[effect:force_change_magnet, target:normal, color:block_red, count:1, red:1, green:1, blue:0, yellow:0, heart:0, reverse:0, generate:0, turn:2, animation:change_block]</t>
  </si>
  <si>
    <t>[effect:enemy_message, val1:1.8, val2:1.9],[effect:fix_speed, target:myself, turn:1],[effect:tolerance, target:myself, turn:-1, count:-1, tolerance_effect:all, animation:enemy_tolerance],[effect:break_attack_fix, target:unit_one, val:4500, lowest_val:1, count:-1, block01:crack_bomb]</t>
  </si>
  <si>
    <t>[effect:enemy_message, val1:1.2, val2:2.5],[effect:change_range_block,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animation:change_range_block],[effect:spread, val:0.3]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</si>
  <si>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animation:change_range_block],[effect:spread, val:0.3]</t>
  </si>
  <si>
    <t>[effect:enemy_message, val1:1.2, val2:2.5],[effect:change_range_block,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animation:change_range_block],[effect:rush, count:1, val:1]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</si>
  <si>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val:0.05, min_time_count:2, max_time_count:3, animation:change_range_block],[effect:rush, count:1, val:1]</t>
  </si>
  <si>
    <t>[effect:enemy_message, val1:1.7, val2:2.4],[effect:change_range_block,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new_block:crack_bomb, target:block_all, color:block_heart, count:0, val:24, animation:change_range_block],[effect:rush, count:1, val:1]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</si>
  <si>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animation:change_range_block],[effect:rush, count:1, val:1]</t>
  </si>
  <si>
    <t>[effect:enemy_message, val1:1.7, val2:3.2],[effect:break_attack_fix, target:unit_one, val:1000, lowest_val:4000, count:-1, block01:crack_bomb],[effect:force_change_magnet, target:normal, color:block_red, count:1, red:1, green:1, blue:0, yellow:0, heart:0, reverse:0, generate:0, turn:2, animation:change_block]</t>
  </si>
  <si>
    <t>[effect:enemy_message, val1:1.2, val2:1.8],[effect:force_change_block, new_block:block_green, target:block_all, count:0, val:0, animation:change_block],[effect:change_range_block,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t>
  </si>
  <si>
    <t>[effect:enemy_message, val1:1.7, val2:3.3],[effect:break_attack_fix, target:unit_one, val:2000, lowest_val:8000, count:-1, block01:crack_bomb],[effect:attack_break, target:unit_all, turn:1, val:0.3, calc:mul, animation:attack_break01]</t>
  </si>
  <si>
    <t>[effect:enemy_message, val1:1.3, val2:3.0],[effect:break_attack_fix, target:unit_one, val:2000, lowest_val:8000, count:-1, block01:crack_bomb],[effect:hungup, target:unit_all, turn:1, rate:1, animation:hungup01]</t>
  </si>
  <si>
    <t>[effect:enemy_message, val1:1.2, val2:2.8],[effect:change_range_block, block_change:1, base_type:0, square_count:3, position01:0, value_h01:3.0, value_w01:1.0, new_block:time_bomb, target:block_all, ignore01:magnet, color:block_random, count:0, val:0.2,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t>
  </si>
  <si>
    <t>[effect:enemy_message, val1:1.2, val2:2.8],[effect:change_range_block, block_change:1, base_type:0, square_count:3, position01:0, value_h01:1.0, value_w01:3.0, new_block:time_bomb, target:block_all, ignore01:magnet, color:block_random, count:0, val:0.2,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t>
  </si>
  <si>
    <t>[effect:enemy_message, val1:1.8, val2:3.2],[effect:break_attack_fix, target:unit_one, val:2000, lowest_val:8000, count:-1, block01:crack_bomb],[effect:force_change_magnet, target:normal, color:block_red, count:1, red:1, green:1, blue:0, yellow:0, heart:0, reverse:0, generate:0, turn:2, animation:change_block]</t>
  </si>
  <si>
    <t>[effect:enemy_message, val1:1.2, val2:2.5],[effect:change_range_block,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animation:change_range_block],[effect:spread, val:0.3]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</si>
  <si>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animation:change_range_block],[effect:spread, val:0.3]</t>
  </si>
  <si>
    <t>[effect:enemy_message, val1:1.2, val2:2.5],[effect:change_range_block,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animation:change_range_block],[effect:rush, count:1, val:1]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</si>
  <si>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val:0.2, min_time_count:2, max_time_count:3, animation:change_range_block],[effect:rush, count:1, val:1]</t>
  </si>
  <si>
    <t>[effect:enemy_message, val1:1.2, val2:2.5],[effect:change_range_block,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animation:change_range_block],[effect:rush, count:1, val:1]</t>
  </si>
  <si>
    <t>[effect:enemy_message, val1:1.7, val2:3.2],[effect:break_attack_fix, target:unit_one, val:2000, lowest_val:8000, count:-1, block01:crack_bomb],[effect:force_change_magnet, target:normal, color:block_red, count:1, red:1, green:1, blue:0, yellow:0, heart:0, reverse:0, generate:0, turn:2, animation:change_block]</t>
  </si>
  <si>
    <t>[effect:enemy_message, val1:2.0, val2:3.2],[effect:fix_speed,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t>
    <phoneticPr fontId="5"/>
  </si>
  <si>
    <t>[effect:enemy_message, val1:1.8, val2:3.2],[effect:fix_speed,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t>
    <phoneticPr fontId="5"/>
  </si>
  <si>
    <t>[effect:enemy_message, val1:1.2, val2:1.2],[effect:rush, count:4, val:0.23]</t>
    <phoneticPr fontId="5"/>
  </si>
  <si>
    <t>[effect:enemy_message, val1:1.8, val2:3.9],[effect:fix_speed, target:myself, turn:1],[effect:tolerance, target:myself, turn:-1, count:-1, tolerance_effect:all, animation:enemy_tolerance],[effect:reduction, target:myself, reduction_target:enemy_red, turn:-1, val:0.4, animation:reduction_one01],[effect:change_bomb_range, target:unit_all, val:0.4, rate:1, turn:-1, animation:bomb_small]</t>
    <phoneticPr fontId="5"/>
  </si>
  <si>
    <t>[effect:enemy_message, val1:1.2, val2:2.6],[effect:rush, count:8, val:0.12],[effect:change_bomb_range, target:unit_all, val:0.4, rate:1, turn:-1, animation:bomb_small]</t>
    <phoneticPr fontId="5"/>
  </si>
  <si>
    <t>[effect:enemy_message, val1:1.2, val2:2.6],[effect:rush, count:8, val:0.12],[effect:change_bomb_range, target:unit_all, val:0.4, rate:1, turn:-1, animation:bomb_small]</t>
    <phoneticPr fontId="5"/>
  </si>
  <si>
    <t>[effect:enemy_message, val1:2.5,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</si>
  <si>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val1:1.9, val2:5.3],[effect:break_attack_fix, target:unit_one, val:2000, lowest_val:8000, count:-1, block01:crack_bomb],[effect:change_bomb_range, target:unit_all, val:0.4, rate:1, turn:-1, animation:bomb_small],[effect:degrade_unit, target:unit_all, turn:2, status:heal, val:0.3, calc:mul, animation:degrade_unit_all_heal]</t>
    <phoneticPr fontId="5"/>
  </si>
  <si>
    <t>[effect:enemy_message, val1:2.2, val2:4.7],[effect:crash_condition, target:unit_all, turn:4, val:4, animation:enemy_crash_extend],[effect:change_bomb_range, target:unit_all, val:0.4, rate:1, turn:-1, animation:bomb_small],[effect:spread, val:0.25]</t>
    <phoneticPr fontId="5"/>
  </si>
  <si>
    <t>[effect:enemy_message, val1:2.5,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</si>
  <si>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val1:2.5,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</si>
  <si>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val1:2.9,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</si>
  <si>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val1:2.9,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</si>
  <si>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val1:2.7,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</si>
  <si>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val1:2.5,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</si>
  <si>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[effect:enemy_message, val1:3.0, val2:3.9],[effect:fix_speed,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t>
    <phoneticPr fontId="5"/>
  </si>
  <si>
    <t>状態異常耐性+赤属性ダメージ40%軽減+
全ユニットのボムの爆風を60%DOWN</t>
    <rPh sb="0" eb="4">
      <t>ジョウタイイジョウ</t>
    </rPh>
    <rPh sb="4" eb="6">
      <t>タイセイ</t>
    </rPh>
    <rPh sb="7" eb="10">
      <t>アカゾクセイ</t>
    </rPh>
    <rPh sb="17" eb="19">
      <t>ケイゲン</t>
    </rPh>
    <rPh sb="21" eb="22">
      <t>ゼンユニットノ</t>
    </rPh>
    <phoneticPr fontId="5"/>
  </si>
  <si>
    <t>8回連続攻撃+
全ユニットのボムの爆風を60%DOWN</t>
    <rPh sb="1" eb="6">
      <t>カイレンゾクコウゲキ</t>
    </rPh>
    <rPh sb="8" eb="9">
      <t>ゼンユニットノ</t>
    </rPh>
    <phoneticPr fontId="5"/>
  </si>
  <si>
    <t>状態異常耐性+赤属性ダメージ50%軽減+
全ユニットのボムの爆風を60%DOWN</t>
    <rPh sb="17" eb="19">
      <t>ケイゲン</t>
    </rPh>
    <rPh sb="21" eb="22">
      <t>ゼンユニットノ</t>
    </rPh>
    <phoneticPr fontId="5"/>
  </si>
  <si>
    <t>ボムパネルを吸収して攻撃+
全ユニットのボムの爆風を60%DOWN+
2ターン全ユニットの回復力30%DOWN</t>
  </si>
  <si>
    <t>4ターン全ユニットのCパネル生成延長(特大)+
全ユニットのボムの爆風を60%DOWN+
全体攻撃</t>
    <rPh sb="4" eb="5">
      <t>ゼンユニットノ</t>
    </rPh>
    <rPh sb="19" eb="21">
      <t>トクダイ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</si>
</sst>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DD7EE"/>
        <bgColor rgb="FF000000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70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3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11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6" borderId="0" xfId="0" applyFont="1" applyFill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2" borderId="0" xfId="0" applyFont="1" applyFill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1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3" borderId="0" xfId="0" applyFont="1" applyFill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4" borderId="0" xfId="0" applyFont="1" applyFill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14" fontId="16" fillId="35" borderId="7" xfId="0" applyNumberFormat="1" applyFont="1" applyFill="1" applyBorder="1" applyAlignment="1">
      <alignment horizontal="left" vertical="center"/>
    </xf>
    <xf numFmtId="0" fontId="16" fillId="35" borderId="0" xfId="0" applyFont="1" applyFill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14" fontId="16" fillId="36" borderId="7" xfId="0" applyNumberFormat="1" applyFont="1" applyFill="1" applyBorder="1" applyAlignment="1">
      <alignment horizontal="left" vertical="center"/>
    </xf>
    <xf numFmtId="0" fontId="16" fillId="36" borderId="0" xfId="0" applyFont="1" applyFill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14" fontId="16" fillId="37" borderId="7" xfId="0" applyNumberFormat="1" applyFont="1" applyFill="1" applyBorder="1" applyAlignment="1">
      <alignment horizontal="left" vertical="center"/>
    </xf>
    <xf numFmtId="0" fontId="16" fillId="37" borderId="0" xfId="0" applyFont="1" applyFill="1" applyAlignment="1">
      <alignment vertical="center"/>
    </xf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0" fillId="0" borderId="12" xfId="0" applyBorder="1"/>
    <xf numFmtId="0" fontId="29" fillId="3" borderId="24" xfId="0" applyFont="1" applyFill="1" applyBorder="1" applyAlignment="1">
      <alignment vertical="center"/>
    </xf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16" fillId="3" borderId="7" xfId="0" applyFont="1" applyFill="1" applyBorder="1" applyAlignment="1">
      <alignment horizontal="left" vertical="center" wrapText="1"/>
    </xf>
    <xf numFmtId="14" fontId="16" fillId="3" borderId="7" xfId="0" applyNumberFormat="1" applyFont="1" applyFill="1" applyBorder="1" applyAlignment="1">
      <alignment horizontal="left" vertical="center"/>
    </xf>
    <xf numFmtId="0" fontId="16" fillId="3" borderId="0" xfId="0" applyFont="1" applyFill="1" applyAlignment="1">
      <alignment vertical="center"/>
    </xf>
    <xf numFmtId="0" fontId="16" fillId="30" borderId="7" xfId="0" applyFont="1" applyFill="1" applyBorder="1" applyAlignment="1">
      <alignment vertical="center"/>
    </xf>
    <xf numFmtId="0" fontId="16" fillId="30" borderId="7" xfId="0" applyFont="1" applyFill="1" applyBorder="1" applyAlignment="1">
      <alignment horizontal="left" vertical="center" wrapText="1"/>
    </xf>
    <xf numFmtId="14" fontId="16" fillId="30" borderId="7" xfId="0" applyNumberFormat="1" applyFont="1" applyFill="1" applyBorder="1" applyAlignment="1">
      <alignment horizontal="left" vertical="center"/>
    </xf>
    <xf numFmtId="0" fontId="27" fillId="33" borderId="7" xfId="0" applyFont="1" applyFill="1" applyBorder="1"/>
    <xf numFmtId="0" fontId="28" fillId="33" borderId="7" xfId="0" applyFont="1" applyFill="1" applyBorder="1"/>
    <xf numFmtId="0" fontId="29" fillId="33" borderId="12" xfId="0" applyFont="1" applyFill="1" applyBorder="1" applyAlignment="1">
      <alignment vertical="center"/>
    </xf>
    <xf numFmtId="0" fontId="30" fillId="33" borderId="7" xfId="0" applyFont="1" applyFill="1" applyBorder="1"/>
    <xf numFmtId="0" fontId="31" fillId="33" borderId="12" xfId="0" applyFont="1" applyFill="1" applyBorder="1"/>
    <xf numFmtId="0" fontId="16" fillId="33" borderId="12" xfId="628" applyNumberFormat="1" applyFont="1" applyFill="1" applyBorder="1" applyAlignment="1">
      <alignment wrapText="1"/>
    </xf>
    <xf numFmtId="0" fontId="0" fillId="33" borderId="7" xfId="0" applyFill="1" applyBorder="1"/>
    <xf numFmtId="0" fontId="31" fillId="33" borderId="7" xfId="0" applyFont="1" applyFill="1" applyBorder="1"/>
    <xf numFmtId="0" fontId="16" fillId="33" borderId="7" xfId="628" applyNumberFormat="1" applyFont="1" applyFill="1" applyBorder="1" applyAlignment="1">
      <alignment wrapText="1"/>
    </xf>
    <xf numFmtId="0" fontId="29" fillId="33" borderId="7" xfId="0" applyFont="1" applyFill="1" applyBorder="1" applyAlignment="1">
      <alignment vertical="center"/>
    </xf>
    <xf numFmtId="0" fontId="27" fillId="33" borderId="24" xfId="0" applyFont="1" applyFill="1" applyBorder="1"/>
    <xf numFmtId="0" fontId="28" fillId="33" borderId="24" xfId="0" applyFont="1" applyFill="1" applyBorder="1"/>
    <xf numFmtId="0" fontId="29" fillId="33" borderId="24" xfId="0" applyFont="1" applyFill="1" applyBorder="1" applyAlignment="1">
      <alignment vertical="center"/>
    </xf>
    <xf numFmtId="0" fontId="30" fillId="33" borderId="24" xfId="0" applyFont="1" applyFill="1" applyBorder="1"/>
    <xf numFmtId="0" fontId="31" fillId="33" borderId="24" xfId="0" applyFont="1" applyFill="1" applyBorder="1"/>
    <xf numFmtId="0" fontId="16" fillId="33" borderId="23" xfId="628" applyNumberFormat="1" applyFont="1" applyFill="1" applyBorder="1" applyAlignment="1">
      <alignment wrapText="1"/>
    </xf>
    <xf numFmtId="0" fontId="0" fillId="33" borderId="24" xfId="0" applyFill="1" applyBorder="1"/>
    <xf numFmtId="0" fontId="30" fillId="31" borderId="7" xfId="0" applyFont="1" applyFill="1" applyBorder="1"/>
    <xf numFmtId="0" fontId="30" fillId="31" borderId="24" xfId="0" applyFont="1" applyFill="1" applyBorder="1"/>
    <xf numFmtId="0" fontId="27" fillId="38" borderId="12" xfId="0" applyFont="1" applyFill="1" applyBorder="1"/>
    <xf numFmtId="0" fontId="28" fillId="38" borderId="12" xfId="0" applyFont="1" applyFill="1" applyBorder="1"/>
    <xf numFmtId="0" fontId="29" fillId="38" borderId="12" xfId="0" applyFont="1" applyFill="1" applyBorder="1" applyAlignment="1">
      <alignment vertical="center"/>
    </xf>
    <xf numFmtId="0" fontId="30" fillId="38" borderId="12" xfId="0" applyFont="1" applyFill="1" applyBorder="1"/>
    <xf numFmtId="0" fontId="27" fillId="38" borderId="7" xfId="0" applyFont="1" applyFill="1" applyBorder="1"/>
    <xf numFmtId="0" fontId="28" fillId="38" borderId="7" xfId="0" applyFont="1" applyFill="1" applyBorder="1"/>
    <xf numFmtId="0" fontId="30" fillId="38" borderId="7" xfId="0" applyFont="1" applyFill="1" applyBorder="1"/>
    <xf numFmtId="0" fontId="29" fillId="38" borderId="7" xfId="0" applyFont="1" applyFill="1" applyBorder="1" applyAlignment="1">
      <alignment vertical="center"/>
    </xf>
    <xf numFmtId="0" fontId="31" fillId="38" borderId="12" xfId="0" applyFont="1" applyFill="1" applyBorder="1"/>
    <xf numFmtId="0" fontId="16" fillId="38" borderId="12" xfId="628" applyNumberFormat="1" applyFont="1" applyFill="1" applyBorder="1" applyAlignment="1">
      <alignment wrapText="1"/>
    </xf>
    <xf numFmtId="0" fontId="0" fillId="38" borderId="12" xfId="0" applyFill="1" applyBorder="1"/>
    <xf numFmtId="0" fontId="31" fillId="38" borderId="7" xfId="0" applyFont="1" applyFill="1" applyBorder="1"/>
    <xf numFmtId="0" fontId="16" fillId="38" borderId="7" xfId="628" applyNumberFormat="1" applyFont="1" applyFill="1" applyBorder="1" applyAlignment="1">
      <alignment wrapText="1"/>
    </xf>
    <xf numFmtId="0" fontId="0" fillId="38" borderId="7" xfId="0" applyFill="1" applyBorder="1"/>
    <xf numFmtId="0" fontId="30" fillId="31" borderId="12" xfId="0" applyFont="1" applyFill="1" applyBorder="1"/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177" fontId="8" fillId="0" borderId="25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7" xfId="0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77" fontId="8" fillId="0" borderId="30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  <xf numFmtId="0" fontId="30" fillId="3" borderId="12" xfId="0" applyFont="1" applyFill="1" applyBorder="1"/>
    <xf numFmtId="22" fontId="30" fillId="0" borderId="12" xfId="0" quotePrefix="1" applyNumberFormat="1" applyFont="1" applyFill="1" applyBorder="1"/>
    <xf numFmtId="0" fontId="30" fillId="0" borderId="12" xfId="0" quotePrefix="1" applyFont="1" applyFill="1" applyBorder="1"/>
    <xf numFmtId="0" fontId="13" fillId="7" borderId="27" xfId="0" applyFont="1" applyFill="1" applyBorder="1" applyAlignment="1">
      <alignment horizontal="left" indent="1"/>
    </xf>
    <xf numFmtId="0" fontId="28" fillId="0" borderId="23" xfId="0" applyFont="1" applyFill="1" applyBorder="1"/>
    <xf numFmtId="0" fontId="30" fillId="0" borderId="23" xfId="0" applyFont="1" applyFill="1" applyBorder="1"/>
    <xf numFmtId="0" fontId="30" fillId="3" borderId="23" xfId="0" applyFont="1" applyFill="1" applyBorder="1"/>
    <xf numFmtId="22" fontId="30" fillId="0" borderId="23" xfId="0" quotePrefix="1" applyNumberFormat="1" applyFont="1" applyFill="1" applyBorder="1"/>
    <xf numFmtId="0" fontId="30" fillId="0" borderId="23" xfId="0" quotePrefix="1" applyFont="1" applyFill="1" applyBorder="1"/>
    <xf numFmtId="0" fontId="30" fillId="39" borderId="12" xfId="0" applyFont="1" applyFill="1" applyBorder="1"/>
    <xf numFmtId="0" fontId="30" fillId="39" borderId="7" xfId="0" applyFont="1" applyFill="1" applyBorder="1"/>
    <xf numFmtId="0" fontId="4" fillId="13" borderId="32" xfId="0" applyFont="1" applyFill="1" applyBorder="1" applyAlignment="1">
      <alignment vertical="center"/>
    </xf>
    <xf numFmtId="0" fontId="4" fillId="13" borderId="23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4" fillId="13" borderId="1" xfId="0" applyFont="1" applyFill="1" applyBorder="1" applyAlignment="1">
      <alignment vertical="center"/>
    </xf>
    <xf numFmtId="0" fontId="0" fillId="6" borderId="12" xfId="0" applyFill="1" applyBorder="1"/>
    <xf numFmtId="0" fontId="24" fillId="13" borderId="7" xfId="434" applyFill="1" applyBorder="1" applyAlignment="1"/>
    <xf numFmtId="0" fontId="6" fillId="0" borderId="33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11" fillId="40" borderId="7" xfId="0" applyFont="1" applyFill="1" applyBorder="1" applyAlignment="1">
      <alignment horizontal="left" vertical="center" wrapText="1"/>
    </xf>
  </cellXfs>
  <cellStyles count="70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47013</v>
          </cell>
        </row>
        <row r="282">
          <cell r="A282">
            <v>49001</v>
          </cell>
        </row>
        <row r="283">
          <cell r="A283">
            <v>49002</v>
          </cell>
        </row>
        <row r="284">
          <cell r="A284">
            <v>49003</v>
          </cell>
        </row>
        <row r="285">
          <cell r="A285">
            <v>49004</v>
          </cell>
        </row>
        <row r="286">
          <cell r="A286">
            <v>49005</v>
          </cell>
        </row>
        <row r="287">
          <cell r="A287">
            <v>49006</v>
          </cell>
        </row>
        <row r="288">
          <cell r="A288">
            <v>49007</v>
          </cell>
        </row>
        <row r="289">
          <cell r="A289">
            <v>49008</v>
          </cell>
        </row>
        <row r="290">
          <cell r="A290">
            <v>49009</v>
          </cell>
        </row>
        <row r="291">
          <cell r="A291">
            <v>49010</v>
          </cell>
        </row>
        <row r="292">
          <cell r="A292">
            <v>49011</v>
          </cell>
        </row>
        <row r="293">
          <cell r="A293">
            <v>49012</v>
          </cell>
        </row>
        <row r="294">
          <cell r="A294">
            <v>49013</v>
          </cell>
        </row>
        <row r="295">
          <cell r="A295">
            <v>49014</v>
          </cell>
        </row>
        <row r="296">
          <cell r="A296">
            <v>49015</v>
          </cell>
        </row>
        <row r="297">
          <cell r="A297">
            <v>50001</v>
          </cell>
        </row>
        <row r="298">
          <cell r="A298">
            <v>50002</v>
          </cell>
        </row>
        <row r="299">
          <cell r="A299">
            <v>50003</v>
          </cell>
        </row>
        <row r="300">
          <cell r="A300">
            <v>50004</v>
          </cell>
        </row>
        <row r="301">
          <cell r="A301">
            <v>50005</v>
          </cell>
        </row>
        <row r="302">
          <cell r="A302">
            <v>50006</v>
          </cell>
        </row>
        <row r="303">
          <cell r="A303">
            <v>50007</v>
          </cell>
        </row>
        <row r="304">
          <cell r="A304">
            <v>50008</v>
          </cell>
        </row>
        <row r="305">
          <cell r="A305">
            <v>50009</v>
          </cell>
        </row>
        <row r="306">
          <cell r="A306">
            <v>50010</v>
          </cell>
        </row>
        <row r="307">
          <cell r="A307">
            <v>50011</v>
          </cell>
        </row>
        <row r="308">
          <cell r="A308">
            <v>50012</v>
          </cell>
        </row>
        <row r="309">
          <cell r="A309">
            <v>50013</v>
          </cell>
        </row>
        <row r="310">
          <cell r="A310">
            <v>50014</v>
          </cell>
        </row>
        <row r="311">
          <cell r="A311">
            <v>50015</v>
          </cell>
        </row>
        <row r="312">
          <cell r="A312">
            <v>51001</v>
          </cell>
        </row>
        <row r="313">
          <cell r="A313">
            <v>51002</v>
          </cell>
        </row>
        <row r="314">
          <cell r="A314">
            <v>58001</v>
          </cell>
        </row>
        <row r="315">
          <cell r="A315">
            <v>59001</v>
          </cell>
        </row>
        <row r="316">
          <cell r="A316">
            <v>59002</v>
          </cell>
        </row>
        <row r="317">
          <cell r="A317">
            <v>60001</v>
          </cell>
        </row>
        <row r="318">
          <cell r="A318">
            <v>60002</v>
          </cell>
        </row>
        <row r="319">
          <cell r="A319">
            <v>60003</v>
          </cell>
        </row>
        <row r="320">
          <cell r="A320">
            <v>60004</v>
          </cell>
        </row>
        <row r="321">
          <cell r="A321">
            <v>60005</v>
          </cell>
        </row>
        <row r="322">
          <cell r="A322">
            <v>60006</v>
          </cell>
        </row>
        <row r="323">
          <cell r="A323">
            <v>60007</v>
          </cell>
        </row>
        <row r="324">
          <cell r="A324">
            <v>60010</v>
          </cell>
        </row>
        <row r="325">
          <cell r="A325">
            <v>60011</v>
          </cell>
        </row>
        <row r="326">
          <cell r="A326">
            <v>61011</v>
          </cell>
        </row>
        <row r="327">
          <cell r="A327">
            <v>60012</v>
          </cell>
        </row>
        <row r="328">
          <cell r="A328">
            <v>60013</v>
          </cell>
        </row>
        <row r="329">
          <cell r="A329">
            <v>60014</v>
          </cell>
        </row>
        <row r="330">
          <cell r="A330">
            <v>60015</v>
          </cell>
        </row>
        <row r="331">
          <cell r="A331">
            <v>60016</v>
          </cell>
        </row>
        <row r="332">
          <cell r="A332">
            <v>60017</v>
          </cell>
        </row>
        <row r="333">
          <cell r="A333">
            <v>60018</v>
          </cell>
        </row>
        <row r="334">
          <cell r="A334">
            <v>60019</v>
          </cell>
        </row>
        <row r="335">
          <cell r="A335">
            <v>60020</v>
          </cell>
        </row>
        <row r="336">
          <cell r="A336">
            <v>60025</v>
          </cell>
        </row>
        <row r="337">
          <cell r="A337">
            <v>60026</v>
          </cell>
        </row>
        <row r="338">
          <cell r="A338">
            <v>60027</v>
          </cell>
        </row>
        <row r="339">
          <cell r="A339">
            <v>60028</v>
          </cell>
        </row>
        <row r="340">
          <cell r="A340">
            <v>60029</v>
          </cell>
        </row>
        <row r="341">
          <cell r="A341">
            <v>65523</v>
          </cell>
        </row>
        <row r="342">
          <cell r="A342">
            <v>65524</v>
          </cell>
        </row>
        <row r="343">
          <cell r="A343">
            <v>65525</v>
          </cell>
        </row>
        <row r="344">
          <cell r="A344">
            <v>65526</v>
          </cell>
        </row>
        <row r="345">
          <cell r="A345">
            <v>65527</v>
          </cell>
        </row>
        <row r="346">
          <cell r="A346">
            <v>65528</v>
          </cell>
        </row>
        <row r="347">
          <cell r="A347">
            <v>65529</v>
          </cell>
        </row>
        <row r="348">
          <cell r="A348">
            <v>65530</v>
          </cell>
        </row>
        <row r="349">
          <cell r="A349">
            <v>65531</v>
          </cell>
        </row>
        <row r="350">
          <cell r="A350">
            <v>65532</v>
          </cell>
        </row>
        <row r="351">
          <cell r="A351">
            <v>65533</v>
          </cell>
        </row>
        <row r="352">
          <cell r="A352">
            <v>65534</v>
          </cell>
        </row>
        <row r="353">
          <cell r="A353">
            <v>65535</v>
          </cell>
        </row>
        <row r="354">
          <cell r="A354">
            <v>60021</v>
          </cell>
        </row>
        <row r="355">
          <cell r="A355">
            <v>60022</v>
          </cell>
        </row>
        <row r="356">
          <cell r="A356">
            <v>60023</v>
          </cell>
        </row>
        <row r="357">
          <cell r="A357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47013_1</v>
          </cell>
        </row>
        <row r="862">
          <cell r="A862" t="str">
            <v>47013_2</v>
          </cell>
        </row>
        <row r="863">
          <cell r="A863" t="str">
            <v>48001_1</v>
          </cell>
        </row>
        <row r="864">
          <cell r="A864" t="str">
            <v>48002_1</v>
          </cell>
        </row>
        <row r="865">
          <cell r="A865" t="str">
            <v>48002_2</v>
          </cell>
        </row>
        <row r="866">
          <cell r="A866" t="str">
            <v>48002_3</v>
          </cell>
        </row>
        <row r="867">
          <cell r="A867" t="str">
            <v>48003_1</v>
          </cell>
        </row>
        <row r="868">
          <cell r="A868" t="str">
            <v>48003_2</v>
          </cell>
        </row>
        <row r="869">
          <cell r="A869" t="str">
            <v>48004_1</v>
          </cell>
        </row>
        <row r="870">
          <cell r="A870" t="str">
            <v>48004_2</v>
          </cell>
        </row>
        <row r="871">
          <cell r="A871" t="str">
            <v>48005_1</v>
          </cell>
        </row>
        <row r="872">
          <cell r="A872" t="str">
            <v>48005_2</v>
          </cell>
        </row>
        <row r="873">
          <cell r="A873" t="str">
            <v>48006_1</v>
          </cell>
        </row>
        <row r="874">
          <cell r="A874" t="str">
            <v>48006_2</v>
          </cell>
        </row>
        <row r="875">
          <cell r="A875" t="str">
            <v>48007_1</v>
          </cell>
        </row>
        <row r="876">
          <cell r="A876" t="str">
            <v>48007_2</v>
          </cell>
        </row>
        <row r="877">
          <cell r="A877" t="str">
            <v>48008_1</v>
          </cell>
        </row>
        <row r="878">
          <cell r="A878" t="str">
            <v>48008_2</v>
          </cell>
        </row>
        <row r="879">
          <cell r="A879" t="str">
            <v>48009_1</v>
          </cell>
        </row>
        <row r="880">
          <cell r="A880" t="str">
            <v>48009_2</v>
          </cell>
        </row>
        <row r="881">
          <cell r="A881" t="str">
            <v>48010_1</v>
          </cell>
        </row>
        <row r="882">
          <cell r="A882" t="str">
            <v>48011_1</v>
          </cell>
        </row>
        <row r="883">
          <cell r="A883" t="str">
            <v>48011_2</v>
          </cell>
        </row>
        <row r="884">
          <cell r="A884" t="str">
            <v>48012_1</v>
          </cell>
        </row>
        <row r="885">
          <cell r="A885" t="str">
            <v>48012_2</v>
          </cell>
        </row>
        <row r="886">
          <cell r="A886" t="str">
            <v>48501_1</v>
          </cell>
        </row>
        <row r="887">
          <cell r="A887" t="str">
            <v>48501_2</v>
          </cell>
        </row>
        <row r="888">
          <cell r="A888" t="str">
            <v>48502_1</v>
          </cell>
        </row>
        <row r="889">
          <cell r="A889" t="str">
            <v>48502_2</v>
          </cell>
        </row>
        <row r="890">
          <cell r="A890" t="str">
            <v>48701_1</v>
          </cell>
        </row>
        <row r="891">
          <cell r="A891" t="str">
            <v>48701_2</v>
          </cell>
        </row>
        <row r="892">
          <cell r="A892" t="str">
            <v>48702_1</v>
          </cell>
        </row>
        <row r="893">
          <cell r="A893" t="str">
            <v>48702_2</v>
          </cell>
        </row>
        <row r="894">
          <cell r="A894" t="str">
            <v>49001_1</v>
          </cell>
        </row>
        <row r="895">
          <cell r="A895" t="str">
            <v>49002_1</v>
          </cell>
        </row>
        <row r="896">
          <cell r="A896" t="str">
            <v>49002_2</v>
          </cell>
        </row>
        <row r="897">
          <cell r="A897" t="str">
            <v>49003_1</v>
          </cell>
        </row>
        <row r="898">
          <cell r="A898" t="str">
            <v>49003_2</v>
          </cell>
        </row>
        <row r="899">
          <cell r="A899" t="str">
            <v>49004_1</v>
          </cell>
        </row>
        <row r="900">
          <cell r="A900" t="str">
            <v>49004_2</v>
          </cell>
        </row>
        <row r="901">
          <cell r="A901" t="str">
            <v>49004_3</v>
          </cell>
        </row>
        <row r="902">
          <cell r="A902" t="str">
            <v>49005_1</v>
          </cell>
        </row>
        <row r="903">
          <cell r="A903" t="str">
            <v>49006_1</v>
          </cell>
        </row>
        <row r="904">
          <cell r="A904" t="str">
            <v>49006_2</v>
          </cell>
        </row>
        <row r="905">
          <cell r="A905" t="str">
            <v>49007_1</v>
          </cell>
        </row>
        <row r="906">
          <cell r="A906" t="str">
            <v>49007_2</v>
          </cell>
        </row>
        <row r="907">
          <cell r="A907" t="str">
            <v>49007_3</v>
          </cell>
        </row>
        <row r="908">
          <cell r="A908" t="str">
            <v>49008_1</v>
          </cell>
        </row>
        <row r="909">
          <cell r="A909" t="str">
            <v>49009_1</v>
          </cell>
        </row>
        <row r="910">
          <cell r="A910" t="str">
            <v>49010_1</v>
          </cell>
        </row>
        <row r="911">
          <cell r="A911" t="str">
            <v>49011_1</v>
          </cell>
        </row>
        <row r="912">
          <cell r="A912" t="str">
            <v>49012_1</v>
          </cell>
        </row>
        <row r="913">
          <cell r="A913" t="str">
            <v>49013_1</v>
          </cell>
        </row>
        <row r="914">
          <cell r="A914" t="str">
            <v>49014_1</v>
          </cell>
        </row>
        <row r="915">
          <cell r="A915" t="str">
            <v>49014_2</v>
          </cell>
        </row>
        <row r="916">
          <cell r="A916" t="str">
            <v>49015_1</v>
          </cell>
        </row>
        <row r="917">
          <cell r="A917" t="str">
            <v>49015_2</v>
          </cell>
        </row>
        <row r="918">
          <cell r="A918" t="str">
            <v>49015_3</v>
          </cell>
        </row>
        <row r="919">
          <cell r="A919" t="str">
            <v>50001_1</v>
          </cell>
        </row>
        <row r="920">
          <cell r="A920" t="str">
            <v>50002_1</v>
          </cell>
        </row>
        <row r="921">
          <cell r="A921" t="str">
            <v>50003_1</v>
          </cell>
        </row>
        <row r="922">
          <cell r="A922" t="str">
            <v>50004_1</v>
          </cell>
        </row>
        <row r="923">
          <cell r="A923" t="str">
            <v>50005_1</v>
          </cell>
        </row>
        <row r="924">
          <cell r="A924" t="str">
            <v>50006_1</v>
          </cell>
        </row>
        <row r="925">
          <cell r="A925" t="str">
            <v>50007_1</v>
          </cell>
        </row>
        <row r="926">
          <cell r="A926" t="str">
            <v>50008_1</v>
          </cell>
        </row>
        <row r="927">
          <cell r="A927" t="str">
            <v>50009_1</v>
          </cell>
        </row>
        <row r="928">
          <cell r="A928" t="str">
            <v>50010_1</v>
          </cell>
        </row>
        <row r="929">
          <cell r="A929" t="str">
            <v>50011_1</v>
          </cell>
        </row>
        <row r="930">
          <cell r="A930" t="str">
            <v>50012_1</v>
          </cell>
        </row>
        <row r="931">
          <cell r="A931" t="str">
            <v>50013_1</v>
          </cell>
        </row>
        <row r="932">
          <cell r="A932" t="str">
            <v>50014_1</v>
          </cell>
        </row>
        <row r="933">
          <cell r="A933" t="str">
            <v>50015_1</v>
          </cell>
        </row>
        <row r="934">
          <cell r="A934" t="str">
            <v>51001_1</v>
          </cell>
        </row>
        <row r="935">
          <cell r="A935" t="str">
            <v>51002_1</v>
          </cell>
        </row>
        <row r="936">
          <cell r="A936" t="str">
            <v>58001_1</v>
          </cell>
        </row>
        <row r="937">
          <cell r="A937" t="str">
            <v>59001_1</v>
          </cell>
        </row>
        <row r="938">
          <cell r="A938" t="str">
            <v>59002_1</v>
          </cell>
        </row>
        <row r="939">
          <cell r="A939" t="str">
            <v>60001_1</v>
          </cell>
        </row>
        <row r="940">
          <cell r="A940" t="str">
            <v>60002_1</v>
          </cell>
        </row>
        <row r="941">
          <cell r="A941" t="str">
            <v>60002_2</v>
          </cell>
        </row>
        <row r="942">
          <cell r="A942" t="str">
            <v>60003_1</v>
          </cell>
        </row>
        <row r="943">
          <cell r="A943" t="str">
            <v>60003_2</v>
          </cell>
        </row>
        <row r="944">
          <cell r="A944" t="str">
            <v>60003_3</v>
          </cell>
        </row>
        <row r="945">
          <cell r="A945" t="str">
            <v>60004_1</v>
          </cell>
        </row>
        <row r="946">
          <cell r="A946" t="str">
            <v>60005_1</v>
          </cell>
        </row>
        <row r="947">
          <cell r="A947" t="str">
            <v>60006_1</v>
          </cell>
        </row>
        <row r="948">
          <cell r="A948" t="str">
            <v>60006_2</v>
          </cell>
        </row>
        <row r="949">
          <cell r="A949" t="str">
            <v>60006_3</v>
          </cell>
        </row>
        <row r="950">
          <cell r="A950" t="str">
            <v>60007_1</v>
          </cell>
        </row>
        <row r="951">
          <cell r="A951" t="str">
            <v>60007_2</v>
          </cell>
        </row>
        <row r="952">
          <cell r="A952" t="str">
            <v>60007_3</v>
          </cell>
        </row>
        <row r="953">
          <cell r="A953" t="str">
            <v>60010_1</v>
          </cell>
        </row>
        <row r="954">
          <cell r="A954" t="str">
            <v>60011_1</v>
          </cell>
        </row>
        <row r="955">
          <cell r="A955" t="str">
            <v>60011_2</v>
          </cell>
        </row>
        <row r="956">
          <cell r="A956" t="str">
            <v>60012_1</v>
          </cell>
        </row>
        <row r="957">
          <cell r="A957" t="str">
            <v>60013_1</v>
          </cell>
        </row>
        <row r="958">
          <cell r="A958" t="str">
            <v>60013_2</v>
          </cell>
        </row>
        <row r="959">
          <cell r="A959" t="str">
            <v>60013_3</v>
          </cell>
        </row>
        <row r="960">
          <cell r="A960" t="str">
            <v>60014_1</v>
          </cell>
        </row>
        <row r="961">
          <cell r="A961" t="str">
            <v>60015_1</v>
          </cell>
        </row>
        <row r="962">
          <cell r="A962" t="str">
            <v>60016_1</v>
          </cell>
        </row>
        <row r="963">
          <cell r="A963" t="str">
            <v>60017_1</v>
          </cell>
        </row>
        <row r="964">
          <cell r="A964" t="str">
            <v>60018_1</v>
          </cell>
        </row>
        <row r="965">
          <cell r="A965" t="str">
            <v>60019_1</v>
          </cell>
        </row>
        <row r="966">
          <cell r="A966" t="str">
            <v>60020_1</v>
          </cell>
        </row>
        <row r="967">
          <cell r="A967" t="str">
            <v>60021_3</v>
          </cell>
        </row>
        <row r="968">
          <cell r="A968" t="str">
            <v>60022_3</v>
          </cell>
        </row>
        <row r="969">
          <cell r="A969" t="str">
            <v>60023_3</v>
          </cell>
        </row>
        <row r="970">
          <cell r="A970" t="str">
            <v>60024_3</v>
          </cell>
        </row>
        <row r="971">
          <cell r="A971" t="str">
            <v>60025_1</v>
          </cell>
        </row>
        <row r="972">
          <cell r="A972" t="str">
            <v>60026_1</v>
          </cell>
        </row>
        <row r="973">
          <cell r="A973" t="str">
            <v>61011_1</v>
          </cell>
        </row>
        <row r="974">
          <cell r="A974" t="str">
            <v>60027_1</v>
          </cell>
        </row>
        <row r="975">
          <cell r="A975" t="str">
            <v>60028_1</v>
          </cell>
        </row>
        <row r="976">
          <cell r="A976" t="str">
            <v>60029_1</v>
          </cell>
        </row>
        <row r="977">
          <cell r="A977" t="str">
            <v>65523_1</v>
          </cell>
        </row>
        <row r="978">
          <cell r="A978" t="str">
            <v>65523_2</v>
          </cell>
        </row>
        <row r="979">
          <cell r="A979" t="str">
            <v>65523_3</v>
          </cell>
        </row>
        <row r="980">
          <cell r="A980" t="str">
            <v>65524_1</v>
          </cell>
        </row>
        <row r="981">
          <cell r="A981" t="str">
            <v>65524_2</v>
          </cell>
        </row>
        <row r="982">
          <cell r="A982" t="str">
            <v>65525_1</v>
          </cell>
        </row>
        <row r="983">
          <cell r="A983" t="str">
            <v>65526_1</v>
          </cell>
        </row>
        <row r="984">
          <cell r="A984" t="str">
            <v>65526_2</v>
          </cell>
        </row>
        <row r="985">
          <cell r="A985" t="str">
            <v>65527_1</v>
          </cell>
        </row>
        <row r="986">
          <cell r="A986" t="str">
            <v>65528_1</v>
          </cell>
        </row>
        <row r="987">
          <cell r="A987" t="str">
            <v>65529_1</v>
          </cell>
        </row>
        <row r="988">
          <cell r="A988" t="str">
            <v>65530_1</v>
          </cell>
        </row>
        <row r="989">
          <cell r="A989" t="str">
            <v>65531_1</v>
          </cell>
        </row>
        <row r="990">
          <cell r="A990" t="str">
            <v>65531_2</v>
          </cell>
        </row>
        <row r="991">
          <cell r="A991" t="str">
            <v>65532_1</v>
          </cell>
        </row>
        <row r="992">
          <cell r="A992" t="str">
            <v>65532_2</v>
          </cell>
        </row>
        <row r="993">
          <cell r="A993" t="str">
            <v>65533_1</v>
          </cell>
        </row>
        <row r="994">
          <cell r="A994" t="str">
            <v>65533_2</v>
          </cell>
        </row>
        <row r="995">
          <cell r="A995" t="str">
            <v>65534_1</v>
          </cell>
        </row>
        <row r="996">
          <cell r="A996" t="str">
            <v>65534_2</v>
          </cell>
        </row>
        <row r="997">
          <cell r="A997" t="str">
            <v>65535_1</v>
          </cell>
        </row>
        <row r="998">
          <cell r="A998" t="str">
            <v>65535_2</v>
          </cell>
        </row>
        <row r="999">
          <cell r="A999" t="str">
            <v>65535_3</v>
          </cell>
        </row>
        <row r="1000">
          <cell r="A1000" t="str">
            <v>65535_4</v>
          </cell>
        </row>
        <row r="1001">
          <cell r="A1001" t="str">
            <v>65535_5</v>
          </cell>
        </row>
        <row r="1002">
          <cell r="A1002" t="str">
            <v>65535_6</v>
          </cell>
        </row>
        <row r="1003">
          <cell r="A1003" t="str">
            <v>65535_7</v>
          </cell>
        </row>
        <row r="1004">
          <cell r="A1004" t="str">
            <v>65535_8</v>
          </cell>
        </row>
        <row r="1005">
          <cell r="A1005" t="str">
            <v>65535_9</v>
          </cell>
        </row>
        <row r="1006">
          <cell r="A100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31" sqref="H3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131</v>
      </c>
      <c r="B1" s="52" t="s">
        <v>101</v>
      </c>
      <c r="C1" s="52" t="s">
        <v>102</v>
      </c>
      <c r="D1" s="52" t="s">
        <v>103</v>
      </c>
      <c r="E1" s="52" t="s">
        <v>104</v>
      </c>
      <c r="F1" s="52" t="s">
        <v>105</v>
      </c>
      <c r="G1" s="52" t="s">
        <v>106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264</v>
      </c>
      <c r="B2" s="54" t="s">
        <v>107</v>
      </c>
      <c r="C2" s="60">
        <v>47012</v>
      </c>
      <c r="D2" s="54" t="s">
        <v>108</v>
      </c>
      <c r="E2" s="53" t="str">
        <f>B2&amp;C2&amp;D2</f>
        <v>floors_47012.tmp</v>
      </c>
      <c r="F2" s="54" t="s">
        <v>109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264</v>
      </c>
      <c r="B3" s="54" t="s">
        <v>110</v>
      </c>
      <c r="C3" s="60">
        <v>47012</v>
      </c>
      <c r="D3" s="54" t="s">
        <v>108</v>
      </c>
      <c r="E3" s="53" t="str">
        <f>B3&amp;C3&amp;D3</f>
        <v>enemy_habitats_47012.tmp</v>
      </c>
      <c r="F3" s="54" t="s">
        <v>111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178</v>
      </c>
    </row>
    <row r="4" spans="1:30" x14ac:dyDescent="0.15">
      <c r="A4" s="58" t="s">
        <v>264</v>
      </c>
      <c r="B4" s="54" t="s">
        <v>112</v>
      </c>
      <c r="C4" s="60">
        <v>47012</v>
      </c>
      <c r="D4" s="54" t="s">
        <v>108</v>
      </c>
      <c r="E4" s="53" t="str">
        <f>B4&amp;C4&amp;D4</f>
        <v>enemy_habitat_S_47012.tmp</v>
      </c>
      <c r="F4" s="54" t="s">
        <v>113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264</v>
      </c>
      <c r="B5" s="54" t="s">
        <v>114</v>
      </c>
      <c r="C5" s="60">
        <v>47012</v>
      </c>
      <c r="D5" s="54" t="s">
        <v>108</v>
      </c>
      <c r="E5" s="53" t="str">
        <f>B5&amp;C5&amp;D5</f>
        <v>enemy_skill_sets_47012.tmp</v>
      </c>
      <c r="F5" s="54" t="s">
        <v>115</v>
      </c>
      <c r="G5" s="56" t="s">
        <v>22</v>
      </c>
      <c r="H5" s="56" t="s">
        <v>100</v>
      </c>
      <c r="I5" s="56" t="s">
        <v>95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264</v>
      </c>
      <c r="B6" s="54" t="s">
        <v>116</v>
      </c>
      <c r="C6" s="60">
        <v>47012</v>
      </c>
      <c r="D6" s="54" t="s">
        <v>117</v>
      </c>
      <c r="E6" s="53" t="str">
        <f t="shared" ref="E6:E10" si="0">B6&amp;C6&amp;D6</f>
        <v>enemy_skills_tmp_47012.tmp</v>
      </c>
      <c r="F6" s="54" t="s">
        <v>91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264</v>
      </c>
      <c r="B7" s="54" t="s">
        <v>118</v>
      </c>
      <c r="C7" s="60">
        <v>47012</v>
      </c>
      <c r="D7" s="54" t="s">
        <v>108</v>
      </c>
      <c r="E7" s="53" t="str">
        <f>B7&amp;C7&amp;D7</f>
        <v>enemy_skills_i18n_47012.tmp</v>
      </c>
      <c r="F7" s="54" t="s">
        <v>119</v>
      </c>
      <c r="G7" s="55" t="s">
        <v>79</v>
      </c>
      <c r="H7" s="55" t="s">
        <v>92</v>
      </c>
      <c r="I7" s="55" t="s">
        <v>93</v>
      </c>
      <c r="J7" s="55" t="s">
        <v>94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264</v>
      </c>
      <c r="B8" s="54" t="s">
        <v>120</v>
      </c>
      <c r="C8" s="60">
        <v>47012</v>
      </c>
      <c r="D8" s="54" t="s">
        <v>121</v>
      </c>
      <c r="E8" s="53" t="str">
        <f t="shared" si="0"/>
        <v>enemy_skill_triggers_47012.tmp</v>
      </c>
      <c r="F8" s="54" t="s">
        <v>122</v>
      </c>
      <c r="G8" s="55" t="s">
        <v>95</v>
      </c>
      <c r="H8" s="55" t="s">
        <v>96</v>
      </c>
      <c r="I8" s="55" t="s">
        <v>97</v>
      </c>
      <c r="J8" s="55" t="s">
        <v>98</v>
      </c>
      <c r="K8" s="55" t="s">
        <v>123</v>
      </c>
      <c r="L8" s="55" t="s">
        <v>99</v>
      </c>
      <c r="M8" s="55" t="s">
        <v>124</v>
      </c>
      <c r="N8" s="55" t="s">
        <v>125</v>
      </c>
      <c r="O8" s="55" t="s">
        <v>126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264</v>
      </c>
      <c r="B9" s="64" t="s">
        <v>177</v>
      </c>
      <c r="C9" s="60">
        <v>47012</v>
      </c>
      <c r="D9" s="64" t="s">
        <v>171</v>
      </c>
      <c r="E9" s="65" t="str">
        <f t="shared" si="0"/>
        <v>stage_bug_bonuses_47012.tmp</v>
      </c>
      <c r="F9" s="64" t="s">
        <v>172</v>
      </c>
      <c r="G9" s="61" t="s">
        <v>151</v>
      </c>
      <c r="H9" s="61" t="s">
        <v>173</v>
      </c>
      <c r="I9" s="61" t="s">
        <v>174</v>
      </c>
      <c r="J9" s="63" t="s">
        <v>175</v>
      </c>
      <c r="K9" s="61" t="s">
        <v>176</v>
      </c>
      <c r="L9" s="61" t="s">
        <v>157</v>
      </c>
      <c r="M9" s="61" t="s">
        <v>158</v>
      </c>
      <c r="N9" s="61" t="s">
        <v>159</v>
      </c>
      <c r="O9" s="61" t="s">
        <v>160</v>
      </c>
      <c r="P9" s="61" t="s">
        <v>161</v>
      </c>
      <c r="Q9" s="61" t="s">
        <v>162</v>
      </c>
      <c r="R9" s="61" t="s">
        <v>163</v>
      </c>
      <c r="S9" s="61" t="s">
        <v>164</v>
      </c>
      <c r="T9" s="61" t="s">
        <v>165</v>
      </c>
      <c r="U9" s="61" t="s">
        <v>166</v>
      </c>
      <c r="V9" s="61" t="s">
        <v>167</v>
      </c>
      <c r="W9" s="61" t="s">
        <v>168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234" t="s">
        <v>187</v>
      </c>
      <c r="B10" s="64" t="s">
        <v>201</v>
      </c>
      <c r="C10" s="60">
        <v>47012</v>
      </c>
      <c r="D10" s="64" t="s">
        <v>180</v>
      </c>
      <c r="E10" s="65" t="str">
        <f t="shared" si="0"/>
        <v>stage_hints_data_c_47012.tmp</v>
      </c>
      <c r="F10" s="64" t="s">
        <v>209</v>
      </c>
      <c r="G10" s="69" t="s">
        <v>181</v>
      </c>
      <c r="H10" s="69" t="s">
        <v>173</v>
      </c>
      <c r="I10" s="70" t="s">
        <v>182</v>
      </c>
      <c r="J10" s="63" t="s">
        <v>183</v>
      </c>
      <c r="K10" s="63" t="s">
        <v>184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1" customFormat="1" x14ac:dyDescent="0.15">
      <c r="A11" s="58" t="s">
        <v>264</v>
      </c>
      <c r="B11" s="64" t="s">
        <v>202</v>
      </c>
      <c r="C11" s="60">
        <v>47012</v>
      </c>
      <c r="D11" s="64" t="s">
        <v>171</v>
      </c>
      <c r="E11" s="65" t="str">
        <f t="shared" ref="E11:E13" si="1">B11&amp;C11&amp;D11</f>
        <v>stage_hints_data_f_47012.tmp</v>
      </c>
      <c r="F11" s="64" t="s">
        <v>211</v>
      </c>
      <c r="G11" s="69" t="s">
        <v>181</v>
      </c>
      <c r="H11" s="69" t="s">
        <v>173</v>
      </c>
      <c r="I11" s="70" t="s">
        <v>182</v>
      </c>
      <c r="J11" s="63" t="s">
        <v>183</v>
      </c>
      <c r="K11" s="63" t="s">
        <v>184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1" customFormat="1" x14ac:dyDescent="0.15">
      <c r="A12" s="58" t="s">
        <v>264</v>
      </c>
      <c r="B12" s="64" t="s">
        <v>203</v>
      </c>
      <c r="C12" s="60">
        <v>47012</v>
      </c>
      <c r="D12" s="64" t="s">
        <v>171</v>
      </c>
      <c r="E12" s="65" t="str">
        <f t="shared" si="1"/>
        <v>stage_hints_i18n_47012.tmp</v>
      </c>
      <c r="F12" s="64" t="s">
        <v>212</v>
      </c>
      <c r="G12" s="70" t="s">
        <v>204</v>
      </c>
      <c r="H12" s="90" t="s">
        <v>205</v>
      </c>
      <c r="I12" s="69" t="s">
        <v>206</v>
      </c>
      <c r="J12" s="99" t="s">
        <v>207</v>
      </c>
      <c r="K12" s="63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1" customFormat="1" x14ac:dyDescent="0.15">
      <c r="A13" s="58" t="s">
        <v>264</v>
      </c>
      <c r="B13" s="64" t="s">
        <v>259</v>
      </c>
      <c r="C13" s="60">
        <v>47012</v>
      </c>
      <c r="D13" s="64" t="s">
        <v>240</v>
      </c>
      <c r="E13" s="65" t="str">
        <f t="shared" si="1"/>
        <v>stage_bonuses_47012.tmp</v>
      </c>
      <c r="F13" s="64" t="s">
        <v>239</v>
      </c>
      <c r="G13" s="69" t="s">
        <v>241</v>
      </c>
      <c r="H13" s="69" t="s">
        <v>242</v>
      </c>
      <c r="I13" s="69" t="s">
        <v>243</v>
      </c>
      <c r="J13" s="69" t="s">
        <v>244</v>
      </c>
      <c r="K13" s="69" t="s">
        <v>245</v>
      </c>
      <c r="L13" s="69" t="s">
        <v>246</v>
      </c>
      <c r="M13" s="69" t="s">
        <v>247</v>
      </c>
      <c r="N13" s="69" t="s">
        <v>248</v>
      </c>
      <c r="O13" s="69" t="s">
        <v>249</v>
      </c>
      <c r="P13" s="69" t="s">
        <v>250</v>
      </c>
      <c r="Q13" s="69" t="s">
        <v>251</v>
      </c>
      <c r="R13" s="69" t="s">
        <v>252</v>
      </c>
      <c r="S13" s="69" t="s">
        <v>253</v>
      </c>
      <c r="T13" s="69" t="s">
        <v>254</v>
      </c>
      <c r="U13" s="69" t="s">
        <v>255</v>
      </c>
      <c r="V13" s="69" t="s">
        <v>256</v>
      </c>
      <c r="W13" s="69" t="s">
        <v>257</v>
      </c>
      <c r="X13" s="69" t="s">
        <v>258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D13" sqref="D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47012_1-1</v>
      </c>
      <c r="B2" s="16" t="str">
        <f>IF(COUNTIF(enemy_habitats!$H:$H,A2),"OK","NG")</f>
        <v>OK</v>
      </c>
      <c r="C2" s="7">
        <v>47012</v>
      </c>
      <c r="D2" s="11" t="str">
        <f ca="1">VLOOKUP($C2,OFFSET([2]quests!$A$1,0,0,COUNTA([2]quests!$A:$A),MATCH(D$1,[2]quests!$1:$1,0)-MATCH($C$1,[2]quests!$1:$1,0)+1),MATCH(D$1,[2]quests!$1:$1,0)-MATCH($C$1,[2]quests!$1:$1,0)+1,FALSE)</f>
        <v>春呼ぶキミの行方</v>
      </c>
      <c r="E2" s="18" t="str">
        <f ca="1">VLOOKUP($C2,OFFSET([2]quests!$A$1,0,0,COUNTA([2]quests!$A:$A),MATCH(E$1,[2]quests!$1:$1,0)-MATCH($C$1,[2]quests!$1:$1,0)+1),MATCH(E$1,[2]quests!$1:$1,0)-MATCH($C$1,[2]quests!$1:$1,0)+1,FALSE)</f>
        <v>季節イベント</v>
      </c>
      <c r="F2" s="21">
        <v>1</v>
      </c>
      <c r="G2" s="23" t="str">
        <f>C2&amp;"_"&amp;F2</f>
        <v>47012_1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【上級】春呼ぶキミの行方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7" si="0">G3&amp;"-"&amp;I3</f>
        <v>47012_1-2</v>
      </c>
      <c r="B3" s="16" t="str">
        <f>IF(COUNTIF(enemy_habitats!$H:$H,A3),"OK","NG")</f>
        <v>OK</v>
      </c>
      <c r="C3" s="7">
        <v>47012</v>
      </c>
      <c r="D3" s="11" t="str">
        <f ca="1">VLOOKUP($C3,OFFSET([2]quests!$A$1,0,0,COUNTA([2]quests!$A:$A),MATCH(D$1,[2]quests!$1:$1,0)-MATCH($C$1,[2]quests!$1:$1,0)+1),MATCH(D$1,[2]quests!$1:$1,0)-MATCH($C$1,[2]quests!$1:$1,0)+1,FALSE)</f>
        <v>春呼ぶキミの行方</v>
      </c>
      <c r="E3" s="18" t="str">
        <f ca="1">VLOOKUP($C3,OFFSET([2]quests!$A$1,0,0,COUNTA([2]quests!$A:$A),MATCH(E$1,[2]quests!$1:$1,0)-MATCH($C$1,[2]quests!$1:$1,0)+1),MATCH(E$1,[2]quests!$1:$1,0)-MATCH($C$1,[2]quests!$1:$1,0)+1,FALSE)</f>
        <v>季節イベント</v>
      </c>
      <c r="F3" s="21">
        <v>1</v>
      </c>
      <c r="G3" s="23" t="str">
        <f t="shared" ref="G3:G7" si="1">C3&amp;"_"&amp;F3</f>
        <v>47012_1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【上級】春呼ぶキミの行方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47012_1-3</v>
      </c>
      <c r="B4" s="16" t="str">
        <f>IF(COUNTIF(enemy_habitats!$H:$H,A4),"OK","NG")</f>
        <v>OK</v>
      </c>
      <c r="C4" s="7">
        <v>47012</v>
      </c>
      <c r="D4" s="11" t="str">
        <f ca="1">VLOOKUP($C4,OFFSET([2]quests!$A$1,0,0,COUNTA([2]quests!$A:$A),MATCH(D$1,[2]quests!$1:$1,0)-MATCH($C$1,[2]quests!$1:$1,0)+1),MATCH(D$1,[2]quests!$1:$1,0)-MATCH($C$1,[2]quests!$1:$1,0)+1,FALSE)</f>
        <v>春呼ぶキミの行方</v>
      </c>
      <c r="E4" s="18" t="str">
        <f ca="1">VLOOKUP($C4,OFFSET([2]quests!$A$1,0,0,COUNTA([2]quests!$A:$A),MATCH(E$1,[2]quests!$1:$1,0)-MATCH($C$1,[2]quests!$1:$1,0)+1),MATCH(E$1,[2]quests!$1:$1,0)-MATCH($C$1,[2]quests!$1:$1,0)+1,FALSE)</f>
        <v>季節イベント</v>
      </c>
      <c r="F4" s="21">
        <v>1</v>
      </c>
      <c r="G4" s="23" t="str">
        <f t="shared" si="1"/>
        <v>47012_1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【上級】春呼ぶキミの行方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47012_2-1</v>
      </c>
      <c r="B5" s="16" t="str">
        <f>IF(COUNTIF(enemy_habitats!$H:$H,A5),"OK","NG")</f>
        <v>OK</v>
      </c>
      <c r="C5" s="7">
        <v>47012</v>
      </c>
      <c r="D5" s="11" t="str">
        <f ca="1">VLOOKUP($C5,OFFSET([2]quests!$A$1,0,0,COUNTA([2]quests!$A:$A),MATCH(D$1,[2]quests!$1:$1,0)-MATCH($C$1,[2]quests!$1:$1,0)+1),MATCH(D$1,[2]quests!$1:$1,0)-MATCH($C$1,[2]quests!$1:$1,0)+1,FALSE)</f>
        <v>春呼ぶキミの行方</v>
      </c>
      <c r="E5" s="18" t="str">
        <f ca="1">VLOOKUP($C5,OFFSET([2]quests!$A$1,0,0,COUNTA([2]quests!$A:$A),MATCH(E$1,[2]quests!$1:$1,0)-MATCH($C$1,[2]quests!$1:$1,0)+1),MATCH(E$1,[2]quests!$1:$1,0)-MATCH($C$1,[2]quests!$1:$1,0)+1,FALSE)</f>
        <v>季節イベント</v>
      </c>
      <c r="F5" s="21">
        <v>2</v>
      </c>
      <c r="G5" s="23" t="str">
        <f t="shared" si="1"/>
        <v>47012_2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【ウィザード級】春呼ぶキミの行方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47012_2-2</v>
      </c>
      <c r="B6" s="16" t="str">
        <f>IF(COUNTIF(enemy_habitats!$H:$H,A6),"OK","NG")</f>
        <v>OK</v>
      </c>
      <c r="C6" s="7">
        <v>47012</v>
      </c>
      <c r="D6" s="11" t="str">
        <f ca="1">VLOOKUP($C6,OFFSET([2]quests!$A$1,0,0,COUNTA([2]quests!$A:$A),MATCH(D$1,[2]quests!$1:$1,0)-MATCH($C$1,[2]quests!$1:$1,0)+1),MATCH(D$1,[2]quests!$1:$1,0)-MATCH($C$1,[2]quests!$1:$1,0)+1,FALSE)</f>
        <v>春呼ぶキミの行方</v>
      </c>
      <c r="E6" s="18" t="str">
        <f ca="1">VLOOKUP($C6,OFFSET([2]quests!$A$1,0,0,COUNTA([2]quests!$A:$A),MATCH(E$1,[2]quests!$1:$1,0)-MATCH($C$1,[2]quests!$1:$1,0)+1),MATCH(E$1,[2]quests!$1:$1,0)-MATCH($C$1,[2]quests!$1:$1,0)+1,FALSE)</f>
        <v>季節イベント</v>
      </c>
      <c r="F6" s="21">
        <v>2</v>
      </c>
      <c r="G6" s="23" t="str">
        <f t="shared" si="1"/>
        <v>47012_2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【ウィザード級】春呼ぶキミの行方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47012_2-3</v>
      </c>
      <c r="B7" s="16" t="str">
        <f>IF(COUNTIF(enemy_habitats!$H:$H,A7),"OK","NG")</f>
        <v>OK</v>
      </c>
      <c r="C7" s="7">
        <v>47012</v>
      </c>
      <c r="D7" s="11" t="str">
        <f ca="1">VLOOKUP($C7,OFFSET([2]quests!$A$1,0,0,COUNTA([2]quests!$A:$A),MATCH(D$1,[2]quests!$1:$1,0)-MATCH($C$1,[2]quests!$1:$1,0)+1),MATCH(D$1,[2]quests!$1:$1,0)-MATCH($C$1,[2]quests!$1:$1,0)+1,FALSE)</f>
        <v>春呼ぶキミの行方</v>
      </c>
      <c r="E7" s="18" t="str">
        <f ca="1">VLOOKUP($C7,OFFSET([2]quests!$A$1,0,0,COUNTA([2]quests!$A:$A),MATCH(E$1,[2]quests!$1:$1,0)-MATCH($C$1,[2]quests!$1:$1,0)+1),MATCH(E$1,[2]quests!$1:$1,0)-MATCH($C$1,[2]quests!$1:$1,0)+1,FALSE)</f>
        <v>季節イベント</v>
      </c>
      <c r="F7" s="21">
        <v>2</v>
      </c>
      <c r="G7" s="23" t="str">
        <f t="shared" si="1"/>
        <v>47012_2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【ウィザード級】春呼ぶキミの行方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9"/>
  <sheetViews>
    <sheetView showGridLines="0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T9" sqref="T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260</v>
      </c>
      <c r="U1" s="26" t="s">
        <v>50</v>
      </c>
      <c r="V1" s="100" t="s">
        <v>261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9" si="0">B2&amp;"_"&amp;C2&amp;"-"&amp;G2&amp;"/"&amp;L2&amp;"&lt;lv"&amp;R2&amp;"&gt;s"&amp;AC2</f>
        <v>47012_1-1/139&lt;lv60&gt;s1</v>
      </c>
      <c r="B2" s="22">
        <v>47012</v>
      </c>
      <c r="C2" s="21">
        <v>1</v>
      </c>
      <c r="D2" s="2" t="str">
        <f t="shared" ref="D2:D9" si="1">B2&amp;"_"&amp;C2</f>
        <v>47012_1</v>
      </c>
      <c r="E2" s="4" t="str">
        <f ca="1">VLOOKUP($B2,OFFSET([2]quests!$A$1,0,0,COUNTA([2]quests!$A:$A),MATCH(E$1,[2]quests!$1:$1,0)-MATCH($B$1,[2]quests!$1:$1,0)+1),MATCH(E$1,[2]quests!$1:$1,0)-MATCH($B$1,[2]quests!$1:$1,0)+1,FALSE)</f>
        <v>春呼ぶキミの行方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【上級】春呼ぶキミの行方</v>
      </c>
      <c r="G2" s="21">
        <v>1</v>
      </c>
      <c r="H2" s="15" t="str">
        <f t="shared" ref="H2:H9" si="2">B2&amp;"_"&amp;C2&amp;"-"&amp;G2</f>
        <v>47012_1-1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139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蒼昇刃姫 トモエ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60</v>
      </c>
      <c r="S2" s="25">
        <v>0.5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37576.5</v>
      </c>
      <c r="U2" s="25">
        <v>0.7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4235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2" s="59">
        <v>47012001</v>
      </c>
      <c r="Z2" s="6">
        <v>0</v>
      </c>
      <c r="AA2" s="6">
        <v>100</v>
      </c>
      <c r="AB2" s="6">
        <v>1</v>
      </c>
      <c r="AC2" s="104">
        <v>1</v>
      </c>
      <c r="AD2" s="24">
        <f t="shared" ref="AD2:AD9" si="3">L2</f>
        <v>139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蒼昇刃姫 トモエ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7">
        <v>1</v>
      </c>
      <c r="AI2" s="24">
        <f t="shared" ref="AI2:AI9" ca="1" si="4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6" t="str">
        <f t="shared" si="0"/>
        <v>47012_1-1/362&lt;lv60&gt;s1</v>
      </c>
      <c r="B3" s="22">
        <v>47012</v>
      </c>
      <c r="C3" s="21">
        <v>1</v>
      </c>
      <c r="D3" s="2" t="str">
        <f t="shared" si="1"/>
        <v>47012_1</v>
      </c>
      <c r="E3" s="4" t="str">
        <f ca="1">VLOOKUP($B3,OFFSET([2]quests!$A$1,0,0,COUNTA([2]quests!$A:$A),MATCH(E$1,[2]quests!$1:$1,0)-MATCH($B$1,[2]quests!$1:$1,0)+1),MATCH(E$1,[2]quests!$1:$1,0)-MATCH($B$1,[2]quests!$1:$1,0)+1,FALSE)</f>
        <v>春呼ぶキミの行方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【上級】春呼ぶキミの行方</v>
      </c>
      <c r="G3" s="21">
        <v>1</v>
      </c>
      <c r="H3" s="15" t="str">
        <f t="shared" si="2"/>
        <v>47012_1-1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362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ゆらら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5">
        <v>2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22582</v>
      </c>
      <c r="U3" s="25">
        <v>0.9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3222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自身の防御力大UP</v>
      </c>
      <c r="Y3" s="59">
        <v>47012002</v>
      </c>
      <c r="Z3" s="6">
        <v>2</v>
      </c>
      <c r="AA3" s="6">
        <v>100</v>
      </c>
      <c r="AB3" s="6">
        <v>0</v>
      </c>
      <c r="AC3" s="104">
        <v>1</v>
      </c>
      <c r="AD3" s="24">
        <f t="shared" si="3"/>
        <v>362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6" t="str">
        <f t="shared" si="0"/>
        <v>47012_1-2/1503&lt;lv60&gt;s1</v>
      </c>
      <c r="B4" s="22">
        <v>47012</v>
      </c>
      <c r="C4" s="21">
        <v>1</v>
      </c>
      <c r="D4" s="2" t="str">
        <f t="shared" si="1"/>
        <v>47012_1</v>
      </c>
      <c r="E4" s="4" t="str">
        <f ca="1">VLOOKUP($B4,OFFSET([2]quests!$A$1,0,0,COUNTA([2]quests!$A:$A),MATCH(E$1,[2]quests!$1:$1,0)-MATCH($B$1,[2]quests!$1:$1,0)+1),MATCH(E$1,[2]quests!$1:$1,0)-MATCH($B$1,[2]quests!$1:$1,0)+1,FALSE)</f>
        <v>春呼ぶキミの行方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【上級】春呼ぶキミの行方</v>
      </c>
      <c r="G4" s="21">
        <v>2</v>
      </c>
      <c r="H4" s="15" t="str">
        <f t="shared" si="2"/>
        <v>47012_1-2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1503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春纏う蛇撫子 ヨルムンガンド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60</v>
      </c>
      <c r="S4" s="25">
        <v>0.6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58966.2</v>
      </c>
      <c r="U4" s="25">
        <v>0.4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3608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状態異常耐性+_x000D_全ユニットのボムの爆風を30%DOWN</v>
      </c>
      <c r="Y4" s="59">
        <v>47012003</v>
      </c>
      <c r="Z4" s="6">
        <v>0</v>
      </c>
      <c r="AA4" s="6">
        <v>100</v>
      </c>
      <c r="AB4" s="6">
        <v>1</v>
      </c>
      <c r="AC4" s="104">
        <v>1</v>
      </c>
      <c r="AD4" s="24">
        <f t="shared" si="3"/>
        <v>1503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春纏う蛇撫子 ヨルムンガンド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  <row r="5" spans="1:42" ht="21" customHeight="1" thickBot="1" x14ac:dyDescent="0.2">
      <c r="A5" s="196" t="str">
        <f t="shared" si="0"/>
        <v>47012_1-3/1497&lt;lv60&gt;s1</v>
      </c>
      <c r="B5" s="197">
        <v>47012</v>
      </c>
      <c r="C5" s="198">
        <v>1</v>
      </c>
      <c r="D5" s="199" t="str">
        <f t="shared" si="1"/>
        <v>47012_1</v>
      </c>
      <c r="E5" s="200" t="str">
        <f ca="1">VLOOKUP($B5,OFFSET([2]quests!$A$1,0,0,COUNTA([2]quests!$A:$A),MATCH(E$1,[2]quests!$1:$1,0)-MATCH($B$1,[2]quests!$1:$1,0)+1),MATCH(E$1,[2]quests!$1:$1,0)-MATCH($B$1,[2]quests!$1:$1,0)+1,FALSE)</f>
        <v>春呼ぶキミの行方</v>
      </c>
      <c r="F5" s="200" t="str">
        <f ca="1">VLOOKUP($D5,OFFSET([2]stages!$A$1,0,0,COUNTA([2]stages!$A:$A),MATCH(F$1,[2]stages!$2:$2,0)-MATCH($D$1,[2]stages!$2:$2,0)+1),MATCH(F$1,[2]stages!$2:$2,0)-MATCH($D$1,[2]stages!$2:$2,0)+1,FALSE)</f>
        <v>【上級】春呼ぶキミの行方</v>
      </c>
      <c r="G5" s="198">
        <v>3</v>
      </c>
      <c r="H5" s="199" t="str">
        <f t="shared" si="2"/>
        <v>47012_1-3</v>
      </c>
      <c r="I5" s="200">
        <f ca="1">VLOOKUP($H5,OFFSET(floors!$A$1,0,0,COUNTA(floors!$A:$A),MATCH(I$1,floors!$1:$1,0)-MATCH($H$1,floors!$1:$1,0)+1),MATCH(I$1,floors!$1:$1,0)-MATCH($H$1,floors!$1:$1,0)+1,FALSE)</f>
        <v>60</v>
      </c>
      <c r="J5" s="200">
        <f ca="1">VLOOKUP($H5,OFFSET(floors!$A$1,0,0,COUNTA(floors!$A:$A),MATCH(J$1,floors!$1:$1,0)-MATCH($H$1,floors!$1:$1,0)+1),MATCH(J$1,floors!$1:$1,0)-MATCH($H$1,floors!$1:$1,0)+1,FALSE)</f>
        <v>60</v>
      </c>
      <c r="K5" s="201">
        <v>2</v>
      </c>
      <c r="L5" s="202">
        <v>1497</v>
      </c>
      <c r="M5" s="203" t="str">
        <f ca="1">VLOOKUP($L5,OFFSET([3]enemies!$A$1,0,0,COUNTA([3]enemies!$A:$A),MATCH(M$1,[3]enemies!$1:$1,0)-MATCH($L$1,[3]enemies!$1:$1,0)+1),MATCH(M$1,[3]enemies!$1:$1,0)-MATCH($L$1,[3]enemies!$1:$1,0)+1,FALSE)</f>
        <v>ヨシノ</v>
      </c>
      <c r="N5" s="203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203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203" t="str">
        <f ca="1">VLOOKUP($L5,OFFSET([3]enemies!$A$1,0,0,COUNTA([3]enemies!$A:$A),MATCH(P$1,[3]enemies!$1:$1,0)-MATCH($L$1,[3]enemies!$1:$1,0)+1),MATCH(P$1,[3]enemies!$1:$1,0)-MATCH($L$1,[3]enemies!$1:$1,0)+1,FALSE)</f>
        <v>fantasy</v>
      </c>
      <c r="Q5" s="203">
        <f ca="1">VLOOKUP($L5,OFFSET([3]enemies!$A$1,0,0,COUNTA([3]enemies!$A:$A),MATCH(Q$1,[3]enemies!$1:$1,0)-MATCH($L$1,[3]enemies!$1:$1,0)+1),MATCH(Q$1,[3]enemies!$1:$1,0)-MATCH($L$1,[3]enemies!$1:$1,0)+1,FALSE)</f>
        <v>60</v>
      </c>
      <c r="R5" s="204">
        <v>60</v>
      </c>
      <c r="S5" s="205">
        <v>1</v>
      </c>
      <c r="T5" s="206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98361</v>
      </c>
      <c r="U5" s="205">
        <v>0.6</v>
      </c>
      <c r="V5" s="206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5521.2</v>
      </c>
      <c r="W5" s="204">
        <v>0</v>
      </c>
      <c r="X5" s="200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状態異常耐性+_x000D_全ユニットのボムの爆風を30%DOWN</v>
      </c>
      <c r="Y5" s="207">
        <v>47012005</v>
      </c>
      <c r="Z5" s="208">
        <v>0</v>
      </c>
      <c r="AA5" s="208">
        <v>100</v>
      </c>
      <c r="AB5" s="208">
        <v>1</v>
      </c>
      <c r="AC5" s="209">
        <v>1</v>
      </c>
      <c r="AD5" s="210">
        <f t="shared" si="3"/>
        <v>1497</v>
      </c>
      <c r="AE5" s="200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ヨシノ</v>
      </c>
      <c r="AF5" s="200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200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211">
        <v>1</v>
      </c>
      <c r="AI5" s="210">
        <f t="shared" ca="1" si="4"/>
        <v>5</v>
      </c>
      <c r="AJ5" s="229">
        <v>15</v>
      </c>
      <c r="AK5" s="211">
        <v>0</v>
      </c>
      <c r="AL5" s="211">
        <v>0</v>
      </c>
      <c r="AM5" s="211">
        <v>0</v>
      </c>
      <c r="AN5" s="211">
        <v>0</v>
      </c>
      <c r="AO5" s="230">
        <v>1</v>
      </c>
      <c r="AP5" s="212">
        <v>1</v>
      </c>
    </row>
    <row r="6" spans="1:42" ht="21" customHeight="1" thickTop="1" x14ac:dyDescent="0.15">
      <c r="A6" s="16" t="str">
        <f t="shared" si="0"/>
        <v>47012_2-1/139&lt;lv80&gt;s1</v>
      </c>
      <c r="B6" s="22">
        <v>47012</v>
      </c>
      <c r="C6" s="184">
        <v>2</v>
      </c>
      <c r="D6" s="185" t="str">
        <f t="shared" si="1"/>
        <v>47012_2</v>
      </c>
      <c r="E6" s="4" t="str">
        <f ca="1">VLOOKUP($B6,OFFSET([2]quests!$A$1,0,0,COUNTA([2]quests!$A:$A),MATCH(E$1,[2]quests!$1:$1,0)-MATCH($B$1,[2]quests!$1:$1,0)+1),MATCH(E$1,[2]quests!$1:$1,0)-MATCH($B$1,[2]quests!$1:$1,0)+1,FALSE)</f>
        <v>春呼ぶキミの行方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【ウィザード級】春呼ぶキミの行方</v>
      </c>
      <c r="G6" s="184">
        <v>1</v>
      </c>
      <c r="H6" s="185" t="str">
        <f t="shared" si="2"/>
        <v>47012_2-1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86" t="s">
        <v>53</v>
      </c>
      <c r="L6" s="187">
        <v>139</v>
      </c>
      <c r="M6" s="17" t="str">
        <f ca="1">VLOOKUP($L6,OFFSET([3]enemies!$A$1,0,0,COUNTA([3]enemies!$A:$A),MATCH(M$1,[3]enemies!$1:$1,0)-MATCH($L$1,[3]enemies!$1:$1,0)+1),MATCH(M$1,[3]enemies!$1:$1,0)-MATCH($L$1,[3]enemies!$1:$1,0)+1,FALSE)</f>
        <v>蒼昇刃姫 トモエ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188">
        <v>80</v>
      </c>
      <c r="S6" s="189">
        <v>1.6</v>
      </c>
      <c r="T6" s="19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159348.80000000002</v>
      </c>
      <c r="U6" s="189">
        <v>1.2</v>
      </c>
      <c r="V6" s="19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9621.6</v>
      </c>
      <c r="W6" s="188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状態異常耐性+赤属性ダメージ30%軽減</v>
      </c>
      <c r="Y6" s="59">
        <v>47012008</v>
      </c>
      <c r="Z6" s="191">
        <v>0</v>
      </c>
      <c r="AA6" s="191">
        <v>100</v>
      </c>
      <c r="AB6" s="191">
        <v>1</v>
      </c>
      <c r="AC6" s="104">
        <v>1</v>
      </c>
      <c r="AD6" s="192">
        <f t="shared" si="3"/>
        <v>139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蒼昇刃姫 トモエ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193">
        <v>1</v>
      </c>
      <c r="AI6" s="192">
        <f t="shared" ca="1" si="4"/>
        <v>4</v>
      </c>
      <c r="AJ6" s="194">
        <v>0</v>
      </c>
      <c r="AK6" s="193">
        <v>0</v>
      </c>
      <c r="AL6" s="193">
        <v>0</v>
      </c>
      <c r="AM6" s="193">
        <v>0</v>
      </c>
      <c r="AN6" s="193">
        <v>0</v>
      </c>
      <c r="AO6" s="193">
        <v>1</v>
      </c>
      <c r="AP6" s="195">
        <v>1</v>
      </c>
    </row>
    <row r="7" spans="1:42" ht="21" customHeight="1" x14ac:dyDescent="0.15">
      <c r="A7" s="16" t="str">
        <f t="shared" si="0"/>
        <v>47012_2-1/362&lt;lv80&gt;s1</v>
      </c>
      <c r="B7" s="22">
        <v>47012</v>
      </c>
      <c r="C7" s="21">
        <v>2</v>
      </c>
      <c r="D7" s="2" t="str">
        <f t="shared" si="1"/>
        <v>47012_2</v>
      </c>
      <c r="E7" s="4" t="str">
        <f ca="1">VLOOKUP($B7,OFFSET([2]quests!$A$1,0,0,COUNTA([2]quests!$A:$A),MATCH(E$1,[2]quests!$1:$1,0)-MATCH($B$1,[2]quests!$1:$1,0)+1),MATCH(E$1,[2]quests!$1:$1,0)-MATCH($B$1,[2]quests!$1:$1,0)+1,FALSE)</f>
        <v>春呼ぶキミの行方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【ウィザード級】春呼ぶキミの行方</v>
      </c>
      <c r="G7" s="21">
        <v>1</v>
      </c>
      <c r="H7" s="15" t="str">
        <f t="shared" si="2"/>
        <v>47012_2-1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362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ゆらら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80</v>
      </c>
      <c r="S7" s="25">
        <v>3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44889</v>
      </c>
      <c r="U7" s="25">
        <v>1.6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7590.4000000000005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自身の防御力大UP</v>
      </c>
      <c r="Y7" s="59">
        <v>47012009</v>
      </c>
      <c r="Z7" s="6">
        <v>2</v>
      </c>
      <c r="AA7" s="6">
        <v>100</v>
      </c>
      <c r="AB7" s="6">
        <v>0</v>
      </c>
      <c r="AC7" s="104">
        <v>1</v>
      </c>
      <c r="AD7" s="24">
        <f t="shared" si="3"/>
        <v>362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7">
        <v>1</v>
      </c>
      <c r="AI7" s="24">
        <f t="shared" ca="1" si="4"/>
        <v>2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6">
        <v>1</v>
      </c>
    </row>
    <row r="8" spans="1:42" ht="21" customHeight="1" x14ac:dyDescent="0.15">
      <c r="A8" s="16" t="str">
        <f t="shared" si="0"/>
        <v>47012_2-2/1503&lt;lv80&gt;s1</v>
      </c>
      <c r="B8" s="22">
        <v>47012</v>
      </c>
      <c r="C8" s="21">
        <v>2</v>
      </c>
      <c r="D8" s="2" t="str">
        <f t="shared" si="1"/>
        <v>47012_2</v>
      </c>
      <c r="E8" s="4" t="str">
        <f ca="1">VLOOKUP($B8,OFFSET([2]quests!$A$1,0,0,COUNTA([2]quests!$A:$A),MATCH(E$1,[2]quests!$1:$1,0)-MATCH($B$1,[2]quests!$1:$1,0)+1),MATCH(E$1,[2]quests!$1:$1,0)-MATCH($B$1,[2]quests!$1:$1,0)+1,FALSE)</f>
        <v>春呼ぶキミの行方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【ウィザード級】春呼ぶキミの行方</v>
      </c>
      <c r="G8" s="21">
        <v>2</v>
      </c>
      <c r="H8" s="15" t="str">
        <f t="shared" si="2"/>
        <v>47012_2-2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1</v>
      </c>
      <c r="L8" s="20">
        <v>1503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春纏う蛇撫子 ヨルムンガンド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2.5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325592.5</v>
      </c>
      <c r="U8" s="25">
        <v>0.8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9562.4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状態異常耐性+赤属性ダメージ40%軽減+_x000D_全ユニットのボムの爆風を60%DOWN</v>
      </c>
      <c r="Y8" s="59">
        <v>47012010</v>
      </c>
      <c r="Z8" s="6">
        <v>0</v>
      </c>
      <c r="AA8" s="6">
        <v>100</v>
      </c>
      <c r="AB8" s="6">
        <v>1</v>
      </c>
      <c r="AC8" s="104">
        <v>1</v>
      </c>
      <c r="AD8" s="24">
        <f t="shared" si="3"/>
        <v>1503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春纏う蛇撫子 ヨルムンガンド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7">
        <v>1</v>
      </c>
      <c r="AI8" s="24">
        <f t="shared" ca="1" si="4"/>
        <v>5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6">
        <v>1</v>
      </c>
    </row>
    <row r="9" spans="1:42" ht="21" customHeight="1" x14ac:dyDescent="0.15">
      <c r="A9" s="16" t="str">
        <f t="shared" si="0"/>
        <v>47012_2-3/1497&lt;lv80&gt;s1</v>
      </c>
      <c r="B9" s="22">
        <v>47012</v>
      </c>
      <c r="C9" s="21">
        <v>2</v>
      </c>
      <c r="D9" s="2" t="str">
        <f t="shared" si="1"/>
        <v>47012_2</v>
      </c>
      <c r="E9" s="4" t="str">
        <f ca="1">VLOOKUP($B9,OFFSET([2]quests!$A$1,0,0,COUNTA([2]quests!$A:$A),MATCH(E$1,[2]quests!$1:$1,0)-MATCH($B$1,[2]quests!$1:$1,0)+1),MATCH(E$1,[2]quests!$1:$1,0)-MATCH($B$1,[2]quests!$1:$1,0)+1,FALSE)</f>
        <v>春呼ぶキミの行方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【ウィザード級】春呼ぶキミの行方</v>
      </c>
      <c r="G9" s="21">
        <v>3</v>
      </c>
      <c r="H9" s="15" t="str">
        <f t="shared" si="2"/>
        <v>47012_2-3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2</v>
      </c>
      <c r="L9" s="20">
        <v>1497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ヨシノ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fantasy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80</v>
      </c>
      <c r="S9" s="25">
        <v>5.6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729948.79999999993</v>
      </c>
      <c r="U9" s="25">
        <v>1.2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14632.8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状態異常耐性+赤属性ダメージ50%軽減+_x000D_全ユニットのボムの爆風を60%DOWN</v>
      </c>
      <c r="Y9" s="59">
        <v>47012012</v>
      </c>
      <c r="Z9" s="6">
        <v>0</v>
      </c>
      <c r="AA9" s="6">
        <v>100</v>
      </c>
      <c r="AB9" s="6">
        <v>1</v>
      </c>
      <c r="AC9" s="104">
        <v>1</v>
      </c>
      <c r="AD9" s="24">
        <f t="shared" si="3"/>
        <v>1497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ヨシノ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231">
        <v>100</v>
      </c>
      <c r="AK9" s="7">
        <v>0</v>
      </c>
      <c r="AL9" s="7">
        <v>0</v>
      </c>
      <c r="AM9" s="7">
        <v>0</v>
      </c>
      <c r="AN9" s="7">
        <v>0</v>
      </c>
      <c r="AO9" s="232">
        <v>2</v>
      </c>
      <c r="AP9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4" sqref="T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260</v>
      </c>
      <c r="V1" s="26" t="s">
        <v>50</v>
      </c>
      <c r="W1" s="100" t="s">
        <v>261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47012_1-2/1503&lt;lv60&gt;sq1st2</v>
      </c>
      <c r="B2" s="22">
        <v>47012</v>
      </c>
      <c r="C2" s="21">
        <v>1</v>
      </c>
      <c r="D2" s="2" t="str">
        <f>B2&amp;"_"&amp;C2</f>
        <v>47012_1</v>
      </c>
      <c r="E2" s="4" t="str">
        <f ca="1">VLOOKUP($B2,OFFSET([2]quests!$A$1,0,0,COUNTA([2]quests!$A:$A),MATCH(E$1,[2]quests!$1:$1,0)-MATCH($B$1,[2]quests!$1:$1,0)+1),MATCH(E$1,[2]quests!$1:$1,0)-MATCH($B$1,[2]quests!$1:$1,0)+1,FALSE)</f>
        <v>春呼ぶキミの行方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【上級】春呼ぶキミの行方</v>
      </c>
      <c r="G2" s="21">
        <v>2</v>
      </c>
      <c r="H2" s="15" t="str">
        <f>B2&amp;"_"&amp;C2&amp;"-"&amp;G2</f>
        <v>47012_1-2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1503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春纏う蛇撫子 ヨルムンガンド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0.8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78621.600000000006</v>
      </c>
      <c r="V2" s="25">
        <v>0.4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3608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2" s="59">
        <v>47012004</v>
      </c>
      <c r="AA2" s="103">
        <v>1</v>
      </c>
    </row>
    <row r="3" spans="1:27" ht="21" customHeight="1" x14ac:dyDescent="0.15">
      <c r="A3" s="16" t="str">
        <f t="shared" ref="A3:A7" si="0">B3&amp;"_"&amp;C3&amp;"-"&amp;G3&amp;"/"&amp;M3&amp;"&lt;lv"&amp;S3&amp;"&gt;sq"&amp;K3&amp;"st"&amp;L3</f>
        <v>47012_1-3/1497&lt;lv60&gt;sq2st2</v>
      </c>
      <c r="B3" s="22">
        <v>47012</v>
      </c>
      <c r="C3" s="21">
        <v>1</v>
      </c>
      <c r="D3" s="2" t="str">
        <f t="shared" ref="D3:D7" si="1">B3&amp;"_"&amp;C3</f>
        <v>47012_1</v>
      </c>
      <c r="E3" s="4" t="str">
        <f ca="1">VLOOKUP($B3,OFFSET([2]quests!$A$1,0,0,COUNTA([2]quests!$A:$A),MATCH(E$1,[2]quests!$1:$1,0)-MATCH($B$1,[2]quests!$1:$1,0)+1),MATCH(E$1,[2]quests!$1:$1,0)-MATCH($B$1,[2]quests!$1:$1,0)+1,FALSE)</f>
        <v>春呼ぶキミの行方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【上級】春呼ぶキミの行方</v>
      </c>
      <c r="G3" s="21">
        <v>3</v>
      </c>
      <c r="H3" s="15" t="str">
        <f t="shared" ref="H3:H7" si="2">B3&amp;"_"&amp;C3&amp;"-"&amp;G3</f>
        <v>47012_1-3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1497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ヨシノ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fantasy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5">
        <v>1.2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118033.2</v>
      </c>
      <c r="V3" s="25">
        <v>0.6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5521.2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状態異常耐性+_x000D_ボムパネルを吸収して攻撃</v>
      </c>
      <c r="Z3" s="59">
        <v>47012006</v>
      </c>
      <c r="AA3" s="103">
        <v>1</v>
      </c>
    </row>
    <row r="4" spans="1:27" ht="21" customHeight="1" thickBot="1" x14ac:dyDescent="0.2">
      <c r="A4" s="196" t="str">
        <f t="shared" si="0"/>
        <v>47012_1-3/1498&lt;lv60&gt;sq2st3</v>
      </c>
      <c r="B4" s="197">
        <v>47012</v>
      </c>
      <c r="C4" s="198">
        <v>1</v>
      </c>
      <c r="D4" s="199" t="str">
        <f t="shared" si="1"/>
        <v>47012_1</v>
      </c>
      <c r="E4" s="200" t="str">
        <f ca="1">VLOOKUP($B4,OFFSET([2]quests!$A$1,0,0,COUNTA([2]quests!$A:$A),MATCH(E$1,[2]quests!$1:$1,0)-MATCH($B$1,[2]quests!$1:$1,0)+1),MATCH(E$1,[2]quests!$1:$1,0)-MATCH($B$1,[2]quests!$1:$1,0)+1,FALSE)</f>
        <v>春呼ぶキミの行方</v>
      </c>
      <c r="F4" s="200" t="str">
        <f ca="1">VLOOKUP($D4,OFFSET([2]stages!$A$1,0,0,COUNTA([2]stages!$A:$A),MATCH(F$1,[2]stages!$2:$2,0)-MATCH($D$1,[2]stages!$2:$2,0)+1),MATCH(F$1,[2]stages!$2:$2,0)-MATCH($D$1,[2]stages!$2:$2,0)+1,FALSE)</f>
        <v>【上級】春呼ぶキミの行方</v>
      </c>
      <c r="G4" s="198">
        <v>3</v>
      </c>
      <c r="H4" s="199" t="str">
        <f t="shared" si="2"/>
        <v>47012_1-3</v>
      </c>
      <c r="I4" s="200">
        <f ca="1">VLOOKUP($H4,OFFSET(floors!$A$1,0,0,COUNTA(floors!$A:$A),MATCH(I$1,floors!$1:$1,0)-MATCH($H$1,floors!$1:$1,0)+1),MATCH(I$1,floors!$1:$1,0)-MATCH($H$1,floors!$1:$1,0)+1,FALSE)</f>
        <v>60</v>
      </c>
      <c r="J4" s="200">
        <f ca="1">VLOOKUP($H4,OFFSET(floors!$A$1,0,0,COUNTA(floors!$A:$A),MATCH(J$1,floors!$1:$1,0)-MATCH($H$1,floors!$1:$1,0)+1),MATCH(J$1,floors!$1:$1,0)-MATCH($H$1,floors!$1:$1,0)+1,FALSE)</f>
        <v>60</v>
      </c>
      <c r="K4" s="201">
        <v>2</v>
      </c>
      <c r="L4" s="201">
        <v>3</v>
      </c>
      <c r="M4" s="202">
        <v>1498</v>
      </c>
      <c r="N4" s="203" t="str">
        <f ca="1">VLOOKUP($M4,OFFSET([3]enemies!$A$1,0,0,COUNTA([3]enemies!$A:$A),MATCH(N$1,[3]enemies!$1:$1,0)-MATCH($M$1,[3]enemies!$1:$1,0)+1),MATCH(N$1,[3]enemies!$1:$1,0)-MATCH($M$1,[3]enemies!$1:$1,0)+1,FALSE)</f>
        <v>咲誇る夢見草 ヨシノ</v>
      </c>
      <c r="O4" s="203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203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203" t="str">
        <f ca="1">VLOOKUP($M4,OFFSET([3]enemies!$A$1,0,0,COUNTA([3]enemies!$A:$A),MATCH(Q$1,[3]enemies!$1:$1,0)-MATCH($M$1,[3]enemies!$1:$1,0)+1),MATCH(Q$1,[3]enemies!$1:$1,0)-MATCH($M$1,[3]enemies!$1:$1,0)+1,FALSE)</f>
        <v>fantasy</v>
      </c>
      <c r="R4" s="203">
        <f ca="1">VLOOKUP($M4,OFFSET([3]enemies!$A$1,0,0,COUNTA([3]enemies!$A:$A),MATCH(R$1,[3]enemies!$1:$1,0)-MATCH($M$1,[3]enemies!$1:$1,0)+1),MATCH(R$1,[3]enemies!$1:$1,0)-MATCH($M$1,[3]enemies!$1:$1,0)+1,FALSE)</f>
        <v>60</v>
      </c>
      <c r="S4" s="204">
        <v>60</v>
      </c>
      <c r="T4" s="205">
        <v>1.2</v>
      </c>
      <c r="U4" s="206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118033.2</v>
      </c>
      <c r="V4" s="205">
        <v>0.7</v>
      </c>
      <c r="W4" s="206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6441.4</v>
      </c>
      <c r="X4" s="204">
        <v>0</v>
      </c>
      <c r="Y4" s="200" t="str">
        <f ca="1">VLOOKUP($Z4,OFFSET(enemy_skill_sets!$B$1,0,0,COUNTA(enemy_skill_sets!$B:$B),MATCH(N$1,enemy_skill_sets!$1:$1,0)-MATCH($Z$1,enemy_skill_sets!$1:$1,0)+2),MATCH(N$1,enemy_skill_sets!$1:$1,0)-MATCH($Z$1,enemy_skill_sets!$1:$1,0)+2,FALSE)</f>
        <v>状態異常耐性+_x000D_ボムパネルを吸収して攻撃</v>
      </c>
      <c r="Z4" s="207">
        <v>47012007</v>
      </c>
      <c r="AA4" s="236">
        <v>1</v>
      </c>
    </row>
    <row r="5" spans="1:27" ht="21" customHeight="1" thickTop="1" x14ac:dyDescent="0.15">
      <c r="A5" s="16" t="str">
        <f t="shared" si="0"/>
        <v>47012_2-2/1503&lt;lv80&gt;sq1st2</v>
      </c>
      <c r="B5" s="22">
        <v>47012</v>
      </c>
      <c r="C5" s="184">
        <v>2</v>
      </c>
      <c r="D5" s="185" t="str">
        <f t="shared" si="1"/>
        <v>47012_2</v>
      </c>
      <c r="E5" s="4" t="str">
        <f ca="1">VLOOKUP($B5,OFFSET([2]quests!$A$1,0,0,COUNTA([2]quests!$A:$A),MATCH(E$1,[2]quests!$1:$1,0)-MATCH($B$1,[2]quests!$1:$1,0)+1),MATCH(E$1,[2]quests!$1:$1,0)-MATCH($B$1,[2]quests!$1:$1,0)+1,FALSE)</f>
        <v>春呼ぶキミの行方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【ウィザード級】春呼ぶキミの行方</v>
      </c>
      <c r="G5" s="184">
        <v>2</v>
      </c>
      <c r="H5" s="185" t="str">
        <f t="shared" si="2"/>
        <v>47012_2-2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86">
        <v>1</v>
      </c>
      <c r="L5" s="186">
        <v>2</v>
      </c>
      <c r="M5" s="187">
        <v>1503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春纏う蛇撫子 ヨルムンガンド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dragon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88">
        <v>80</v>
      </c>
      <c r="T5" s="189">
        <v>2.5</v>
      </c>
      <c r="U5" s="190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325592.5</v>
      </c>
      <c r="V5" s="189">
        <v>0.9</v>
      </c>
      <c r="W5" s="190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10757.7</v>
      </c>
      <c r="X5" s="188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状態異常耐性+赤属性ダメージ40%軽減</v>
      </c>
      <c r="Z5" s="59">
        <v>47012011</v>
      </c>
      <c r="AA5" s="235">
        <v>1</v>
      </c>
    </row>
    <row r="6" spans="1:27" ht="21" customHeight="1" x14ac:dyDescent="0.15">
      <c r="A6" s="16" t="str">
        <f t="shared" si="0"/>
        <v>47012_2-3/1497&lt;lv80&gt;sq2st2</v>
      </c>
      <c r="B6" s="22">
        <v>47012</v>
      </c>
      <c r="C6" s="21">
        <v>2</v>
      </c>
      <c r="D6" s="2" t="str">
        <f t="shared" si="1"/>
        <v>47012_2</v>
      </c>
      <c r="E6" s="4" t="str">
        <f ca="1">VLOOKUP($B6,OFFSET([2]quests!$A$1,0,0,COUNTA([2]quests!$A:$A),MATCH(E$1,[2]quests!$1:$1,0)-MATCH($B$1,[2]quests!$1:$1,0)+1),MATCH(E$1,[2]quests!$1:$1,0)-MATCH($B$1,[2]quests!$1:$1,0)+1,FALSE)</f>
        <v>春呼ぶキミの行方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【ウィザード級】春呼ぶキミの行方</v>
      </c>
      <c r="G6" s="21">
        <v>3</v>
      </c>
      <c r="H6" s="15" t="str">
        <f t="shared" si="2"/>
        <v>47012_2-3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38">
        <v>2</v>
      </c>
      <c r="M6" s="20">
        <v>1497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ヨシノ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fantasy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6</v>
      </c>
      <c r="U6" s="10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782088</v>
      </c>
      <c r="V6" s="25">
        <v>1.3</v>
      </c>
      <c r="W6" s="10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15852.2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状態異常耐性+赤属性ダメージ50%軽減+_x000D_ボムパネルを吸収して攻撃</v>
      </c>
      <c r="Z6" s="59">
        <v>47012013</v>
      </c>
      <c r="AA6" s="103">
        <v>1</v>
      </c>
    </row>
    <row r="7" spans="1:27" ht="21" customHeight="1" x14ac:dyDescent="0.15">
      <c r="A7" s="16" t="str">
        <f t="shared" si="0"/>
        <v>47012_2-3/1498&lt;lv80&gt;sq2st3</v>
      </c>
      <c r="B7" s="22">
        <v>47012</v>
      </c>
      <c r="C7" s="21">
        <v>2</v>
      </c>
      <c r="D7" s="2" t="str">
        <f t="shared" si="1"/>
        <v>47012_2</v>
      </c>
      <c r="E7" s="4" t="str">
        <f ca="1">VLOOKUP($B7,OFFSET([2]quests!$A$1,0,0,COUNTA([2]quests!$A:$A),MATCH(E$1,[2]quests!$1:$1,0)-MATCH($B$1,[2]quests!$1:$1,0)+1),MATCH(E$1,[2]quests!$1:$1,0)-MATCH($B$1,[2]quests!$1:$1,0)+1,FALSE)</f>
        <v>春呼ぶキミの行方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【ウィザード級】春呼ぶキミの行方</v>
      </c>
      <c r="G7" s="21">
        <v>3</v>
      </c>
      <c r="H7" s="15" t="str">
        <f t="shared" si="2"/>
        <v>47012_2-3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38">
        <v>3</v>
      </c>
      <c r="M7" s="20">
        <v>1498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咲誇る夢見草 ヨシノ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fantasy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5">
        <v>6.4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834227.20000000007</v>
      </c>
      <c r="V7" s="25">
        <v>1.4</v>
      </c>
      <c r="W7" s="10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17071.599999999999</v>
      </c>
      <c r="X7" s="5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状態異常耐性+赤属性ダメージ50%軽減+_x000D_ボムパネルを吸収して攻撃</v>
      </c>
      <c r="Z7" s="59">
        <v>47012014</v>
      </c>
      <c r="AA7" s="103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38"/>
  <sheetViews>
    <sheetView showGridLines="0" workbookViewId="0">
      <pane ySplit="1" topLeftCell="A55" activePane="bottomLeft" state="frozenSplit"/>
      <selection pane="bottomLeft" activeCell="E69" sqref="E69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76" style="49" customWidth="1"/>
    <col min="3" max="4" width="12.83203125" style="49"/>
    <col min="5" max="5" width="37.1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 collapsed="1"/>
    <col min="13" max="18" width="23.6640625" style="49" hidden="1" customWidth="1" outlineLevel="1"/>
    <col min="19" max="19" width="23.6640625" style="49" hidden="1" customWidth="1" collapsed="1"/>
    <col min="20" max="24" width="23.6640625" style="49" hidden="1" customWidth="1" outlineLevel="1"/>
    <col min="25" max="25" width="23.6640625" style="49" hidden="1" customWidth="1" collapsed="1"/>
    <col min="26" max="27" width="36.1640625" style="49" customWidth="1"/>
    <col min="28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s="108" customFormat="1" ht="34" customHeight="1" x14ac:dyDescent="0.15">
      <c r="A2" s="105">
        <v>47012001</v>
      </c>
      <c r="B2" s="105" t="s">
        <v>465</v>
      </c>
      <c r="C2" s="106">
        <v>3</v>
      </c>
      <c r="D2" s="106" t="s">
        <v>128</v>
      </c>
      <c r="E2" s="107" t="s">
        <v>421</v>
      </c>
      <c r="F2" s="107" t="s">
        <v>453</v>
      </c>
      <c r="G2" s="107" t="str">
        <f t="shared" ref="G2:G33" si="0">IFERROR(LEFT(B2,FIND("],",B2)),B2)</f>
        <v>[effect:enemy_message, val1:2.7, val2:1.2]</v>
      </c>
      <c r="H2" s="107">
        <f t="shared" ref="H2:H23" si="1">FIND("effect:",G2)+7</f>
        <v>9</v>
      </c>
      <c r="I2" s="107">
        <f t="shared" ref="I2:I9" si="2">IFERROR(FIND(",",G2),LEN(G2))</f>
        <v>22</v>
      </c>
      <c r="J2" s="107" t="e">
        <f t="shared" ref="J2:J9" si="3">FIND("target:",G2)+7</f>
        <v>#VALUE!</v>
      </c>
      <c r="K2" s="107">
        <f t="shared" ref="K2:K9" si="4">FIND(",",G2,I2+1)</f>
        <v>32</v>
      </c>
      <c r="L2" s="107" t="str">
        <f>IFERROR(VLOOKUP(MID(G2,J2,K2-J2),[5]skilldef!$C:$D,2,FALSE),"-") &amp; " / " &amp; IFERROR(VLOOKUP(MID(G2,H2,I2-H2),[5]skilldef!$A:$B,2,FALSE),"-")</f>
        <v>- / -</v>
      </c>
      <c r="M2" s="107" t="str">
        <f t="shared" ref="M2:M33" si="5">IFERROR(RIGHT(B2,LEN(B2)-FIND("],",B2)-1),"none")</f>
        <v>[effect:fix_speed, target:myself, turn:1],[effect:tolerance, target:myself, turn:-1, count:-1, tolerance_effect:all, animation:enemy_tolerance]</v>
      </c>
      <c r="N2" s="105" t="str">
        <f>IFERROR(LEFT(M2,FIND("],",M2)+S15),M2)</f>
        <v>[effect:fix_speed, target:myself, turn:1],[effect:tolerance, target:myself, turn:-1, count:-1, tolerance_effect:all, animation:enemy_tolerance]</v>
      </c>
      <c r="O2" s="107">
        <f t="shared" ref="O2:O23" si="6">FIND("effect:",N2)+7</f>
        <v>9</v>
      </c>
      <c r="P2" s="107">
        <f t="shared" ref="P2:P9" si="7">IFERROR(FIND(",",N2),LEN(N2))</f>
        <v>18</v>
      </c>
      <c r="Q2" s="107">
        <f t="shared" ref="Q2:Q9" si="8">FIND("target:",N2)+7</f>
        <v>27</v>
      </c>
      <c r="R2" s="107">
        <f t="shared" ref="R2:R9" si="9">FIND(",",N2,P2+1)</f>
        <v>33</v>
      </c>
      <c r="S2" s="107" t="str">
        <f>IFERROR(VLOOKUP(MID(N2,Q2,R2-Q2),[5]skilldef!$C:$D,2,FALSE),"-") &amp; " / " &amp; IFERROR(VLOOKUP(MID(N2,O2,P2-O2),[5]skilldef!$A:$B,2,FALSE),"-")</f>
        <v>自分自身に / 行動値設定</v>
      </c>
      <c r="T2" s="105" t="str">
        <f t="shared" ref="T2:T9" si="10">IFERROR(RIGHT(M2,LEN(M2)-FIND("],",M2)-1),"none")</f>
        <v>[effect:tolerance, target:myself, turn:-1, count:-1, tolerance_effect:all, animation:enemy_tolerance]</v>
      </c>
      <c r="U2" s="107">
        <f t="shared" ref="U2:U23" si="11">FIND("effect:",T2)+7</f>
        <v>9</v>
      </c>
      <c r="V2" s="107">
        <f t="shared" ref="V2:V9" si="12">IFERROR(FIND(",",T2),LEN(T2))</f>
        <v>18</v>
      </c>
      <c r="W2" s="107">
        <f t="shared" ref="W2:W9" si="13">FIND("target:",T2)+7</f>
        <v>27</v>
      </c>
      <c r="X2" s="107">
        <f t="shared" ref="X2:X9" si="14">FIND(",",T2,V2+1)</f>
        <v>33</v>
      </c>
      <c r="Y2" s="107" t="str">
        <f>IFERROR(VLOOKUP(MID(T2,W2,X2-W2),[5]skilldef!$C:$D,2,FALSE),"-") &amp; " / " &amp; IFERROR(VLOOKUP(MID(T2,U2,V2-U2),[5]skilldef!$A:$B,2,FALSE),"-")</f>
        <v>自分自身に / 状態異常耐性</v>
      </c>
      <c r="Z2" s="107" t="s">
        <v>265</v>
      </c>
      <c r="AA2" s="107"/>
      <c r="AB2" s="107"/>
    </row>
    <row r="3" spans="1:28" s="108" customFormat="1" ht="21" customHeight="1" x14ac:dyDescent="0.15">
      <c r="A3" s="105">
        <v>47012002</v>
      </c>
      <c r="B3" s="105" t="s">
        <v>385</v>
      </c>
      <c r="C3" s="106">
        <v>3</v>
      </c>
      <c r="D3" s="106" t="s">
        <v>128</v>
      </c>
      <c r="E3" s="106" t="s">
        <v>371</v>
      </c>
      <c r="F3" s="107" t="s">
        <v>268</v>
      </c>
      <c r="G3" s="107" t="str">
        <f t="shared" si="0"/>
        <v>[effect:enemy_message, val1:1.2, val2:1.2]</v>
      </c>
      <c r="H3" s="107">
        <f t="shared" si="1"/>
        <v>9</v>
      </c>
      <c r="I3" s="107">
        <f t="shared" si="2"/>
        <v>22</v>
      </c>
      <c r="J3" s="107" t="e">
        <f t="shared" si="3"/>
        <v>#VALUE!</v>
      </c>
      <c r="K3" s="107">
        <f t="shared" si="4"/>
        <v>32</v>
      </c>
      <c r="L3" s="107" t="str">
        <f>IFERROR(VLOOKUP(MID(G3,J3,K3-J3),[5]skilldef!$C:$D,2,FALSE),"-") &amp; " / " &amp; IFERROR(VLOOKUP(MID(G3,H3,I3-H3),[5]skilldef!$A:$B,2,FALSE),"-")</f>
        <v>- / -</v>
      </c>
      <c r="M3" s="107" t="str">
        <f t="shared" si="5"/>
        <v>[effect:spread, val:0.25]</v>
      </c>
      <c r="N3" s="105" t="str">
        <f>IFERROR(LEFT(M3,FIND("],",M3)+S16),M3)</f>
        <v>[effect:spread, val:0.25]</v>
      </c>
      <c r="O3" s="107">
        <f t="shared" si="6"/>
        <v>9</v>
      </c>
      <c r="P3" s="107">
        <f t="shared" si="7"/>
        <v>15</v>
      </c>
      <c r="Q3" s="107" t="e">
        <f t="shared" si="8"/>
        <v>#VALUE!</v>
      </c>
      <c r="R3" s="107" t="e">
        <f t="shared" si="9"/>
        <v>#VALUE!</v>
      </c>
      <c r="S3" s="107" t="str">
        <f>IFERROR(VLOOKUP(MID(N3,Q3,R3-Q3),[5]skilldef!$C:$D,2,FALSE),"-") &amp; " / " &amp; IFERROR(VLOOKUP(MID(N3,O3,P3-O3),[5]skilldef!$A:$B,2,FALSE),"-")</f>
        <v>- / 全体攻撃</v>
      </c>
      <c r="T3" s="105" t="str">
        <f t="shared" si="10"/>
        <v>none</v>
      </c>
      <c r="U3" s="107" t="e">
        <f t="shared" si="11"/>
        <v>#VALUE!</v>
      </c>
      <c r="V3" s="107">
        <f t="shared" si="12"/>
        <v>4</v>
      </c>
      <c r="W3" s="107" t="e">
        <f t="shared" si="13"/>
        <v>#VALUE!</v>
      </c>
      <c r="X3" s="107" t="e">
        <f t="shared" si="14"/>
        <v>#VALUE!</v>
      </c>
      <c r="Y3" s="107" t="str">
        <f>IFERROR(VLOOKUP(MID(T3,W3,X3-W3),[5]skilldef!$C:$D,2,FALSE),"-") &amp; " / " &amp; IFERROR(VLOOKUP(MID(T3,U3,V3-U3),[5]skilldef!$A:$B,2,FALSE),"-")</f>
        <v>- / -</v>
      </c>
      <c r="Z3" s="107" t="s">
        <v>267</v>
      </c>
      <c r="AA3" s="107"/>
      <c r="AB3" s="107"/>
    </row>
    <row r="4" spans="1:28" s="108" customFormat="1" ht="21" customHeight="1" x14ac:dyDescent="0.15">
      <c r="A4" s="105">
        <v>47012003</v>
      </c>
      <c r="B4" s="105" t="s">
        <v>411</v>
      </c>
      <c r="C4" s="106">
        <v>3</v>
      </c>
      <c r="D4" s="106" t="s">
        <v>128</v>
      </c>
      <c r="E4" s="106" t="s">
        <v>372</v>
      </c>
      <c r="F4" s="107" t="s">
        <v>485</v>
      </c>
      <c r="G4" s="107" t="str">
        <f t="shared" si="0"/>
        <v>[effect:enemy_message, val1:1.2, val2:2.3]</v>
      </c>
      <c r="H4" s="107">
        <f t="shared" si="1"/>
        <v>9</v>
      </c>
      <c r="I4" s="107">
        <f t="shared" si="2"/>
        <v>22</v>
      </c>
      <c r="J4" s="107" t="e">
        <f t="shared" si="3"/>
        <v>#VALUE!</v>
      </c>
      <c r="K4" s="107">
        <f t="shared" si="4"/>
        <v>32</v>
      </c>
      <c r="L4" s="107" t="str">
        <f>IFERROR(VLOOKUP(MID(G4,J4,K4-J4),[5]skilldef!$C:$D,2,FALSE),"-") &amp; " / " &amp; IFERROR(VLOOKUP(MID(G4,H4,I4-H4),[5]skilldef!$A:$B,2,FALSE),"-")</f>
        <v>- / -</v>
      </c>
      <c r="M4" s="107" t="str">
        <f t="shared" si="5"/>
        <v>[effect:force_change_block, new_block:time_bomb, target:normal, count:2, val:0.05, min_time_count:2, max_time_count:3, animation:change_block]</v>
      </c>
      <c r="N4" s="105" t="str">
        <f>IFERROR(LEFT(M4,FIND("],",M4)+S17),M4)</f>
        <v>[effect:force_change_block, new_block:time_bomb, target:normal, count:2, val:0.05, min_time_count:2, max_time_count:3, animation:change_block]</v>
      </c>
      <c r="O4" s="107">
        <f t="shared" si="6"/>
        <v>9</v>
      </c>
      <c r="P4" s="107">
        <f t="shared" si="7"/>
        <v>27</v>
      </c>
      <c r="Q4" s="107">
        <f t="shared" si="8"/>
        <v>57</v>
      </c>
      <c r="R4" s="107">
        <f t="shared" si="9"/>
        <v>48</v>
      </c>
      <c r="S4" s="107" t="str">
        <f>IFERROR(VLOOKUP(MID(N4,Q4,R4-Q4),[5]skilldef!$C:$D,2,FALSE),"-") &amp; " / " &amp; IFERROR(VLOOKUP(MID(N4,O4,P4-O4),[5]skilldef!$A:$B,2,FALSE),"-")</f>
        <v>- / -</v>
      </c>
      <c r="T4" s="105" t="str">
        <f t="shared" si="10"/>
        <v>none</v>
      </c>
      <c r="U4" s="107" t="e">
        <f t="shared" si="11"/>
        <v>#VALUE!</v>
      </c>
      <c r="V4" s="107">
        <f t="shared" si="12"/>
        <v>4</v>
      </c>
      <c r="W4" s="107" t="e">
        <f t="shared" si="13"/>
        <v>#VALUE!</v>
      </c>
      <c r="X4" s="107" t="e">
        <f t="shared" si="14"/>
        <v>#VALUE!</v>
      </c>
      <c r="Y4" s="107" t="str">
        <f>IFERROR(VLOOKUP(MID(T4,W4,X4-W4),[5]skilldef!$C:$D,2,FALSE),"-") &amp; " / " &amp; IFERROR(VLOOKUP(MID(T4,U4,V4-U4),[5]skilldef!$A:$B,2,FALSE),"-")</f>
        <v>- / -</v>
      </c>
      <c r="Z4" s="107" t="s">
        <v>269</v>
      </c>
      <c r="AA4" s="107"/>
      <c r="AB4" s="107"/>
    </row>
    <row r="5" spans="1:28" s="108" customFormat="1" ht="23" customHeight="1" x14ac:dyDescent="0.15">
      <c r="A5" s="105">
        <v>47012004</v>
      </c>
      <c r="B5" s="105" t="s">
        <v>460</v>
      </c>
      <c r="C5" s="106">
        <v>3</v>
      </c>
      <c r="D5" s="106" t="s">
        <v>128</v>
      </c>
      <c r="E5" s="107" t="s">
        <v>438</v>
      </c>
      <c r="F5" s="106" t="s">
        <v>439</v>
      </c>
      <c r="G5" s="107" t="str">
        <f t="shared" si="0"/>
        <v>[effect:enemy_message, val1:1.3, val2:1.5, dead_type:escape]</v>
      </c>
      <c r="H5" s="107">
        <f t="shared" ref="H5" si="15">FIND("effect:",G5)+7</f>
        <v>9</v>
      </c>
      <c r="I5" s="107">
        <f t="shared" si="2"/>
        <v>22</v>
      </c>
      <c r="J5" s="107" t="e">
        <f t="shared" si="3"/>
        <v>#VALUE!</v>
      </c>
      <c r="K5" s="107">
        <f t="shared" si="4"/>
        <v>32</v>
      </c>
      <c r="L5" s="107" t="str">
        <f>IFERROR(VLOOKUP(MID(G5,J5,K5-J5),[5]skilldef!$C:$D,2,FALSE),"-") &amp; " / " &amp; IFERROR(VLOOKUP(MID(G5,H5,I5-H5),[5]skilldef!$A:$B,2,FALSE),"-")</f>
        <v>- / -</v>
      </c>
      <c r="M5" s="107" t="str">
        <f t="shared" si="5"/>
        <v>none</v>
      </c>
      <c r="N5" s="105" t="str">
        <f>IFERROR(LEFT(M5,FIND("],",M5)+S16),M5)</f>
        <v>none</v>
      </c>
      <c r="O5" s="107" t="e">
        <f t="shared" ref="O5" si="16">FIND("effect:",N5)+7</f>
        <v>#VALUE!</v>
      </c>
      <c r="P5" s="107">
        <f t="shared" si="7"/>
        <v>4</v>
      </c>
      <c r="Q5" s="107" t="e">
        <f t="shared" si="8"/>
        <v>#VALUE!</v>
      </c>
      <c r="R5" s="107" t="e">
        <f t="shared" si="9"/>
        <v>#VALUE!</v>
      </c>
      <c r="S5" s="107" t="str">
        <f>IFERROR(VLOOKUP(MID(N5,Q5,R5-Q5),[5]skilldef!$C:$D,2,FALSE),"-") &amp; " / " &amp; IFERROR(VLOOKUP(MID(N5,O5,P5-O5),[5]skilldef!$A:$B,2,FALSE),"-")</f>
        <v>- / -</v>
      </c>
      <c r="T5" s="105" t="str">
        <f t="shared" si="10"/>
        <v>none</v>
      </c>
      <c r="U5" s="107" t="e">
        <f t="shared" ref="U5" si="17">FIND("effect:",T5)+7</f>
        <v>#VALUE!</v>
      </c>
      <c r="V5" s="107">
        <f t="shared" si="12"/>
        <v>4</v>
      </c>
      <c r="W5" s="107" t="e">
        <f t="shared" si="13"/>
        <v>#VALUE!</v>
      </c>
      <c r="X5" s="107" t="e">
        <f t="shared" si="14"/>
        <v>#VALUE!</v>
      </c>
      <c r="Y5" s="107" t="str">
        <f>IFERROR(VLOOKUP(MID(T5,W5,X5-W5),[5]skilldef!$C:$D,2,FALSE),"-") &amp; " / " &amp; IFERROR(VLOOKUP(MID(T5,U5,V5-U5),[5]skilldef!$A:$B,2,FALSE),"-")</f>
        <v>- / -</v>
      </c>
      <c r="Z5" s="107" t="s">
        <v>428</v>
      </c>
      <c r="AA5" s="107"/>
      <c r="AB5" s="107"/>
    </row>
    <row r="6" spans="1:28" s="112" customFormat="1" ht="21" customHeight="1" x14ac:dyDescent="0.15">
      <c r="A6" s="109">
        <v>47012005</v>
      </c>
      <c r="B6" s="109" t="s">
        <v>386</v>
      </c>
      <c r="C6" s="110">
        <v>3</v>
      </c>
      <c r="D6" s="110" t="s">
        <v>128</v>
      </c>
      <c r="E6" s="110" t="s">
        <v>395</v>
      </c>
      <c r="F6" s="111" t="s">
        <v>482</v>
      </c>
      <c r="G6" s="111" t="str">
        <f t="shared" si="0"/>
        <v>[effect:enemy_message, val1:1.2, val2:1.2]</v>
      </c>
      <c r="H6" s="111">
        <f t="shared" si="1"/>
        <v>9</v>
      </c>
      <c r="I6" s="111">
        <f t="shared" si="2"/>
        <v>22</v>
      </c>
      <c r="J6" s="111" t="e">
        <f t="shared" si="3"/>
        <v>#VALUE!</v>
      </c>
      <c r="K6" s="111">
        <f t="shared" si="4"/>
        <v>32</v>
      </c>
      <c r="L6" s="111" t="str">
        <f>IFERROR(VLOOKUP(MID(G6,J6,K6-J6),[5]skilldef!$C:$D,2,FALSE),"-") &amp; " / " &amp; IFERROR(VLOOKUP(MID(G6,H6,I6-H6),[5]skilldef!$A:$B,2,FALSE),"-")</f>
        <v>- / -</v>
      </c>
      <c r="M6" s="111" t="str">
        <f t="shared" si="5"/>
        <v>[effect:fix_speed, target:myself, turn:2],[effect:enhance_enemy, target:myself, turn:-1, status:defense, val:5000, calc:add, animation:enemy_enhance_defense]</v>
      </c>
      <c r="N6" s="109" t="str">
        <f>IFERROR(LEFT(M6,FIND("],",M6)+S18),M6)</f>
        <v>[effect:fix_speed, target:myself, turn:2],[effect:enhance_enemy, target:myself, turn:-1, status:defense, val:5000, calc:add, animation:enemy_enhance_defense]</v>
      </c>
      <c r="O6" s="111">
        <f t="shared" si="6"/>
        <v>9</v>
      </c>
      <c r="P6" s="111">
        <f t="shared" si="7"/>
        <v>18</v>
      </c>
      <c r="Q6" s="111">
        <f t="shared" si="8"/>
        <v>27</v>
      </c>
      <c r="R6" s="111">
        <f t="shared" si="9"/>
        <v>33</v>
      </c>
      <c r="S6" s="111" t="str">
        <f>IFERROR(VLOOKUP(MID(N6,Q6,R6-Q6),[5]skilldef!$C:$D,2,FALSE),"-") &amp; " / " &amp; IFERROR(VLOOKUP(MID(N6,O6,P6-O6),[5]skilldef!$A:$B,2,FALSE),"-")</f>
        <v>自分自身に / 行動値設定</v>
      </c>
      <c r="T6" s="109" t="str">
        <f t="shared" si="10"/>
        <v>[effect:enhance_enemy, target:myself, turn:-1, status:defense, val:5000, calc:add, animation:enemy_enhance_defense]</v>
      </c>
      <c r="U6" s="111">
        <f t="shared" si="11"/>
        <v>9</v>
      </c>
      <c r="V6" s="111">
        <f t="shared" si="12"/>
        <v>22</v>
      </c>
      <c r="W6" s="111">
        <f t="shared" si="13"/>
        <v>31</v>
      </c>
      <c r="X6" s="111">
        <f t="shared" si="14"/>
        <v>37</v>
      </c>
      <c r="Y6" s="111" t="str">
        <f>IFERROR(VLOOKUP(MID(T6,W6,X6-W6),[5]skilldef!$C:$D,2,FALSE),"-") &amp; " / " &amp; IFERROR(VLOOKUP(MID(T6,U6,V6-U6),[5]skilldef!$A:$B,2,FALSE),"-")</f>
        <v>自分自身に / ステータス強化</v>
      </c>
      <c r="Z6" s="111" t="s">
        <v>270</v>
      </c>
      <c r="AA6" s="111"/>
      <c r="AB6" s="111"/>
    </row>
    <row r="7" spans="1:28" s="112" customFormat="1" ht="21" customHeight="1" x14ac:dyDescent="0.15">
      <c r="A7" s="109">
        <v>47012006</v>
      </c>
      <c r="B7" s="109" t="s">
        <v>548</v>
      </c>
      <c r="C7" s="110">
        <v>3</v>
      </c>
      <c r="D7" s="110" t="s">
        <v>128</v>
      </c>
      <c r="E7" s="110" t="s">
        <v>273</v>
      </c>
      <c r="F7" s="111" t="s">
        <v>486</v>
      </c>
      <c r="G7" s="111" t="str">
        <f t="shared" si="0"/>
        <v>[effect:enemy_message, val1:1.2, val2:0.0]</v>
      </c>
      <c r="H7" s="111">
        <f t="shared" si="1"/>
        <v>9</v>
      </c>
      <c r="I7" s="111">
        <f t="shared" si="2"/>
        <v>22</v>
      </c>
      <c r="J7" s="111" t="e">
        <f t="shared" si="3"/>
        <v>#VALUE!</v>
      </c>
      <c r="K7" s="111">
        <f t="shared" si="4"/>
        <v>32</v>
      </c>
      <c r="L7" s="111" t="str">
        <f>IFERROR(VLOOKUP(MID(G7,J7,K7-J7),[5]skilldef!$C:$D,2,FALSE),"-") &amp; " / " &amp; IFERROR(VLOOKUP(MID(G7,H7,I7-H7),[5]skilldef!$A:$B,2,FALSE),"-")</f>
        <v>- / -</v>
      </c>
      <c r="M7" s="111" t="str">
        <f t="shared" si="5"/>
        <v>none</v>
      </c>
      <c r="N7" s="109" t="str">
        <f>IFERROR(LEFT(M7,FIND("],",M7)+S19),M7)</f>
        <v>none</v>
      </c>
      <c r="O7" s="111" t="e">
        <f t="shared" si="6"/>
        <v>#VALUE!</v>
      </c>
      <c r="P7" s="111">
        <f t="shared" si="7"/>
        <v>4</v>
      </c>
      <c r="Q7" s="111" t="e">
        <f t="shared" si="8"/>
        <v>#VALUE!</v>
      </c>
      <c r="R7" s="111" t="e">
        <f t="shared" si="9"/>
        <v>#VALUE!</v>
      </c>
      <c r="S7" s="111" t="str">
        <f>IFERROR(VLOOKUP(MID(N7,Q7,R7-Q7),[5]skilldef!$C:$D,2,FALSE),"-") &amp; " / " &amp; IFERROR(VLOOKUP(MID(N7,O7,P7-O7),[5]skilldef!$A:$B,2,FALSE),"-")</f>
        <v>- / -</v>
      </c>
      <c r="T7" s="109" t="str">
        <f t="shared" si="10"/>
        <v>none</v>
      </c>
      <c r="U7" s="111" t="e">
        <f t="shared" si="11"/>
        <v>#VALUE!</v>
      </c>
      <c r="V7" s="111">
        <f t="shared" si="12"/>
        <v>4</v>
      </c>
      <c r="W7" s="111" t="e">
        <f t="shared" si="13"/>
        <v>#VALUE!</v>
      </c>
      <c r="X7" s="111" t="e">
        <f t="shared" si="14"/>
        <v>#VALUE!</v>
      </c>
      <c r="Y7" s="111" t="str">
        <f>IFERROR(VLOOKUP(MID(T7,W7,X7-W7),[5]skilldef!$C:$D,2,FALSE),"-") &amp; " / " &amp; IFERROR(VLOOKUP(MID(T7,U7,V7-U7),[5]skilldef!$A:$B,2,FALSE),"-")</f>
        <v>- / -</v>
      </c>
      <c r="Z7" s="111" t="s">
        <v>272</v>
      </c>
      <c r="AA7" s="111"/>
      <c r="AB7" s="111"/>
    </row>
    <row r="8" spans="1:28" s="112" customFormat="1" ht="21" customHeight="1" x14ac:dyDescent="0.15">
      <c r="A8" s="109">
        <v>47012007</v>
      </c>
      <c r="B8" s="109" t="s">
        <v>387</v>
      </c>
      <c r="C8" s="110">
        <v>3</v>
      </c>
      <c r="D8" s="110" t="s">
        <v>128</v>
      </c>
      <c r="E8" s="110" t="s">
        <v>396</v>
      </c>
      <c r="F8" s="111" t="s">
        <v>285</v>
      </c>
      <c r="G8" s="111" t="str">
        <f t="shared" si="0"/>
        <v>[effect:enemy_message, val1:1.2, val2:1.2]</v>
      </c>
      <c r="H8" s="111">
        <f t="shared" si="1"/>
        <v>9</v>
      </c>
      <c r="I8" s="111">
        <f t="shared" ref="I8" si="18">IFERROR(FIND(",",G8),LEN(G8))</f>
        <v>22</v>
      </c>
      <c r="J8" s="111" t="e">
        <f t="shared" ref="J8" si="19">FIND("target:",G8)+7</f>
        <v>#VALUE!</v>
      </c>
      <c r="K8" s="111">
        <f t="shared" ref="K8" si="20">FIND(",",G8,I8+1)</f>
        <v>32</v>
      </c>
      <c r="L8" s="111" t="str">
        <f>IFERROR(VLOOKUP(MID(G8,J8,K8-J8),[5]skilldef!$C:$D,2,FALSE),"-") &amp; " / " &amp; IFERROR(VLOOKUP(MID(G8,H8,I8-H8),[5]skilldef!$A:$B,2,FALSE),"-")</f>
        <v>- / -</v>
      </c>
      <c r="M8" s="111" t="str">
        <f t="shared" si="5"/>
        <v>[effect:freq_turn, target:myself, turn:-1, val:1, animation:enemy_freq_turn]</v>
      </c>
      <c r="N8" s="109" t="str">
        <f>IFERROR(LEFT(M8,FIND("],",M8)+S19),M8)</f>
        <v>[effect:freq_turn, target:myself, turn:-1, val:1, animation:enemy_freq_turn]</v>
      </c>
      <c r="O8" s="111">
        <f t="shared" si="6"/>
        <v>9</v>
      </c>
      <c r="P8" s="111">
        <f t="shared" ref="P8" si="21">IFERROR(FIND(",",N8),LEN(N8))</f>
        <v>18</v>
      </c>
      <c r="Q8" s="111">
        <f t="shared" ref="Q8" si="22">FIND("target:",N8)+7</f>
        <v>27</v>
      </c>
      <c r="R8" s="111">
        <f t="shared" ref="R8" si="23">FIND(",",N8,P8+1)</f>
        <v>33</v>
      </c>
      <c r="S8" s="111" t="str">
        <f>IFERROR(VLOOKUP(MID(N8,Q8,R8-Q8),[5]skilldef!$C:$D,2,FALSE),"-") &amp; " / " &amp; IFERROR(VLOOKUP(MID(N8,O8,P8-O8),[5]skilldef!$A:$B,2,FALSE),"-")</f>
        <v>自分自身に / 攻撃頻度がUP</v>
      </c>
      <c r="T8" s="109" t="str">
        <f t="shared" ref="T8" si="24">IFERROR(RIGHT(M8,LEN(M8)-FIND("],",M8)-1),"none")</f>
        <v>none</v>
      </c>
      <c r="U8" s="111" t="e">
        <f t="shared" si="11"/>
        <v>#VALUE!</v>
      </c>
      <c r="V8" s="111">
        <f t="shared" ref="V8" si="25">IFERROR(FIND(",",T8),LEN(T8))</f>
        <v>4</v>
      </c>
      <c r="W8" s="111" t="e">
        <f t="shared" ref="W8" si="26">FIND("target:",T8)+7</f>
        <v>#VALUE!</v>
      </c>
      <c r="X8" s="111" t="e">
        <f t="shared" ref="X8" si="27">FIND(",",T8,V8+1)</f>
        <v>#VALUE!</v>
      </c>
      <c r="Y8" s="111" t="str">
        <f>IFERROR(VLOOKUP(MID(T8,W8,X8-W8),[5]skilldef!$C:$D,2,FALSE),"-") &amp; " / " &amp; IFERROR(VLOOKUP(MID(T8,U8,V8-U8),[5]skilldef!$A:$B,2,FALSE),"-")</f>
        <v>- / -</v>
      </c>
      <c r="Z8" s="111" t="s">
        <v>284</v>
      </c>
      <c r="AA8" s="111"/>
      <c r="AB8" s="111"/>
    </row>
    <row r="9" spans="1:28" s="112" customFormat="1" ht="21" customHeight="1" x14ac:dyDescent="0.15">
      <c r="A9" s="109">
        <v>47012008</v>
      </c>
      <c r="B9" s="109" t="s">
        <v>388</v>
      </c>
      <c r="C9" s="110">
        <v>3</v>
      </c>
      <c r="D9" s="110" t="s">
        <v>128</v>
      </c>
      <c r="E9" s="110" t="s">
        <v>394</v>
      </c>
      <c r="F9" s="111" t="s">
        <v>275</v>
      </c>
      <c r="G9" s="111" t="str">
        <f t="shared" si="0"/>
        <v>[effect:enemy_message, val1:1.2, val2:1.2]</v>
      </c>
      <c r="H9" s="111">
        <f t="shared" si="1"/>
        <v>9</v>
      </c>
      <c r="I9" s="111">
        <f t="shared" si="2"/>
        <v>22</v>
      </c>
      <c r="J9" s="111" t="e">
        <f t="shared" si="3"/>
        <v>#VALUE!</v>
      </c>
      <c r="K9" s="111">
        <f t="shared" si="4"/>
        <v>32</v>
      </c>
      <c r="L9" s="111" t="str">
        <f>IFERROR(VLOOKUP(MID(G9,J9,K9-J9),[5]skilldef!$C:$D,2,FALSE),"-") &amp; " / " &amp; IFERROR(VLOOKUP(MID(G9,H9,I9-H9),[5]skilldef!$A:$B,2,FALSE),"-")</f>
        <v>- / -</v>
      </c>
      <c r="M9" s="111" t="str">
        <f t="shared" si="5"/>
        <v>[effect:rush, count:1, val:1]</v>
      </c>
      <c r="N9" s="109" t="str">
        <f>IFERROR(LEFT(M9,FIND("],",M9)+S20),M9)</f>
        <v>[effect:rush, count:1, val:1]</v>
      </c>
      <c r="O9" s="111">
        <f t="shared" si="6"/>
        <v>9</v>
      </c>
      <c r="P9" s="111">
        <f t="shared" si="7"/>
        <v>13</v>
      </c>
      <c r="Q9" s="111" t="e">
        <f t="shared" si="8"/>
        <v>#VALUE!</v>
      </c>
      <c r="R9" s="111">
        <f t="shared" si="9"/>
        <v>22</v>
      </c>
      <c r="S9" s="111" t="str">
        <f>IFERROR(VLOOKUP(MID(N9,Q9,R9-Q9),[5]skilldef!$C:$D,2,FALSE),"-") &amp; " / " &amp; IFERROR(VLOOKUP(MID(N9,O9,P9-O9),[5]skilldef!$A:$B,2,FALSE),"-")</f>
        <v>- / 連続攻撃</v>
      </c>
      <c r="T9" s="109" t="str">
        <f t="shared" si="10"/>
        <v>none</v>
      </c>
      <c r="U9" s="111" t="e">
        <f t="shared" si="11"/>
        <v>#VALUE!</v>
      </c>
      <c r="V9" s="111">
        <f t="shared" si="12"/>
        <v>4</v>
      </c>
      <c r="W9" s="111" t="e">
        <f t="shared" si="13"/>
        <v>#VALUE!</v>
      </c>
      <c r="X9" s="111" t="e">
        <f t="shared" si="14"/>
        <v>#VALUE!</v>
      </c>
      <c r="Y9" s="111" t="str">
        <f>IFERROR(VLOOKUP(MID(T9,W9,X9-W9),[5]skilldef!$C:$D,2,FALSE),"-") &amp; " / " &amp; IFERROR(VLOOKUP(MID(T9,U9,V9-U9),[5]skilldef!$A:$B,2,FALSE),"-")</f>
        <v>- / -</v>
      </c>
      <c r="Z9" s="111" t="s">
        <v>274</v>
      </c>
      <c r="AA9" s="111"/>
      <c r="AB9" s="111"/>
    </row>
    <row r="10" spans="1:28" s="112" customFormat="1" ht="21" customHeight="1" x14ac:dyDescent="0.15">
      <c r="A10" s="109">
        <v>47012009</v>
      </c>
      <c r="B10" s="109" t="s">
        <v>429</v>
      </c>
      <c r="C10" s="110">
        <v>3</v>
      </c>
      <c r="D10" s="110" t="s">
        <v>128</v>
      </c>
      <c r="E10" s="110" t="s">
        <v>436</v>
      </c>
      <c r="F10" s="111" t="s">
        <v>430</v>
      </c>
      <c r="G10" s="111" t="str">
        <f t="shared" si="0"/>
        <v>[effect:enemy_message, val1:1.2, val2:1.6]</v>
      </c>
      <c r="H10" s="111">
        <f t="shared" ref="H10" si="28">FIND("effect:",G10)+7</f>
        <v>9</v>
      </c>
      <c r="I10" s="111">
        <f t="shared" ref="I10" si="29">IFERROR(FIND(",",G10),LEN(G10))</f>
        <v>22</v>
      </c>
      <c r="J10" s="111" t="e">
        <f t="shared" ref="J10" si="30">FIND("target:",G10)+7</f>
        <v>#VALUE!</v>
      </c>
      <c r="K10" s="111">
        <f t="shared" ref="K10" si="31">FIND(",",G10,I10+1)</f>
        <v>32</v>
      </c>
      <c r="L10" s="111" t="str">
        <f>IFERROR(VLOOKUP(MID(G10,J10,K10-J10),[5]skilldef!$C:$D,2,FALSE),"-") &amp; " / " &amp; IFERROR(VLOOKUP(MID(G10,H10,I10-H10),[5]skilldef!$A:$B,2,FALSE),"-")</f>
        <v>- / -</v>
      </c>
      <c r="M10" s="111" t="str">
        <f t="shared" si="5"/>
        <v>[effect:suicide, target:enemy_all, val:1, dead_type:escape, animation:enemy_suicide]</v>
      </c>
      <c r="N10" s="109" t="str">
        <f>IFERROR(LEFT(M10,FIND("],",M10)+S21),M10)</f>
        <v>[effect:suicide, target:enemy_all, val:1, dead_type:escape, animation:enemy_suicide]</v>
      </c>
      <c r="O10" s="111">
        <f t="shared" ref="O10" si="32">FIND("effect:",N10)+7</f>
        <v>9</v>
      </c>
      <c r="P10" s="111">
        <f t="shared" ref="P10" si="33">IFERROR(FIND(",",N10),LEN(N10))</f>
        <v>16</v>
      </c>
      <c r="Q10" s="111">
        <f t="shared" ref="Q10" si="34">FIND("target:",N10)+7</f>
        <v>25</v>
      </c>
      <c r="R10" s="111">
        <f t="shared" ref="R10" si="35">FIND(",",N10,P10+1)</f>
        <v>34</v>
      </c>
      <c r="S10" s="111" t="str">
        <f>IFERROR(VLOOKUP(MID(N10,Q10,R10-Q10),[5]skilldef!$C:$D,2,FALSE),"-") &amp; " / " &amp; IFERROR(VLOOKUP(MID(N10,O10,P10-O10),[5]skilldef!$A:$B,2,FALSE),"-")</f>
        <v>敵全体に / -</v>
      </c>
      <c r="T10" s="109" t="str">
        <f t="shared" ref="T10" si="36">IFERROR(RIGHT(M10,LEN(M10)-FIND("],",M10)-1),"none")</f>
        <v>none</v>
      </c>
      <c r="U10" s="111" t="e">
        <f t="shared" ref="U10" si="37">FIND("effect:",T10)+7</f>
        <v>#VALUE!</v>
      </c>
      <c r="V10" s="111">
        <f t="shared" ref="V10" si="38">IFERROR(FIND(",",T10),LEN(T10))</f>
        <v>4</v>
      </c>
      <c r="W10" s="111" t="e">
        <f t="shared" ref="W10" si="39">FIND("target:",T10)+7</f>
        <v>#VALUE!</v>
      </c>
      <c r="X10" s="111" t="e">
        <f t="shared" ref="X10" si="40">FIND(",",T10,V10+1)</f>
        <v>#VALUE!</v>
      </c>
      <c r="Y10" s="111" t="str">
        <f>IFERROR(VLOOKUP(MID(T10,W10,X10-W10),[5]skilldef!$C:$D,2,FALSE),"-") &amp; " / " &amp; IFERROR(VLOOKUP(MID(T10,U10,V10-U10),[5]skilldef!$A:$B,2,FALSE),"-")</f>
        <v>- / -</v>
      </c>
      <c r="Z10" s="111" t="s">
        <v>437</v>
      </c>
      <c r="AA10" s="111"/>
      <c r="AB10" s="111"/>
    </row>
    <row r="11" spans="1:28" s="117" customFormat="1" ht="38" customHeight="1" x14ac:dyDescent="0.15">
      <c r="A11" s="113">
        <v>47012010</v>
      </c>
      <c r="B11" s="114" t="s">
        <v>549</v>
      </c>
      <c r="C11" s="115">
        <v>3</v>
      </c>
      <c r="D11" s="115" t="s">
        <v>128</v>
      </c>
      <c r="E11" s="116" t="s">
        <v>493</v>
      </c>
      <c r="F11" s="116" t="s">
        <v>564</v>
      </c>
      <c r="G11" s="116" t="str">
        <f t="shared" si="0"/>
        <v>[effect:enemy_message, val1:1.8, val2:2.6]</v>
      </c>
      <c r="H11" s="116">
        <f t="shared" si="1"/>
        <v>9</v>
      </c>
      <c r="I11" s="116">
        <f t="shared" ref="I11:I16" si="41">IFERROR(FIND(",",G11),LEN(G11))</f>
        <v>22</v>
      </c>
      <c r="J11" s="116" t="e">
        <f t="shared" ref="J11:J16" si="42">FIND("target:",G11)+7</f>
        <v>#VALUE!</v>
      </c>
      <c r="K11" s="116">
        <f t="shared" ref="K11:K16" si="43">FIND(",",G11,I11+1)</f>
        <v>32</v>
      </c>
      <c r="L11" s="116" t="str">
        <f>IFERROR(VLOOKUP(MID(G11,J11,K11-J11),[5]skilldef!$C:$D,2,FALSE),"-") &amp; " / " &amp; IFERROR(VLOOKUP(MID(G11,H11,I11-H11),[5]skilldef!$A:$B,2,FALSE),"-")</f>
        <v>- / -</v>
      </c>
      <c r="M11" s="116" t="str">
        <f t="shared" si="5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1" s="113" t="str">
        <f t="shared" ref="N11:N13" si="44">IFERROR(LEFT(M11,FIND("],",M11)+S21),M11)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1" s="116">
        <f t="shared" si="6"/>
        <v>9</v>
      </c>
      <c r="P11" s="116">
        <f t="shared" ref="P11:P16" si="45">IFERROR(FIND(",",N11),LEN(N11))</f>
        <v>18</v>
      </c>
      <c r="Q11" s="116">
        <f t="shared" ref="Q11:Q16" si="46">FIND("target:",N11)+7</f>
        <v>27</v>
      </c>
      <c r="R11" s="116">
        <f t="shared" ref="R11:R16" si="47">FIND(",",N11,P11+1)</f>
        <v>33</v>
      </c>
      <c r="S11" s="116" t="str">
        <f>IFERROR(VLOOKUP(MID(N11,Q11,R11-Q11),[5]skilldef!$C:$D,2,FALSE),"-") &amp; " / " &amp; IFERROR(VLOOKUP(MID(N11,O11,P11-O11),[5]skilldef!$A:$B,2,FALSE),"-")</f>
        <v>自分自身に / 行動値設定</v>
      </c>
      <c r="T11" s="113" t="str">
        <f t="shared" ref="T11:T16" si="48">IFERROR(RIGHT(M11,LEN(M11)-FIND("],",M11)-1),"none")</f>
        <v>[effect:tolerance, target:myself, turn:-1, count:-1, tolerance_effect:all, animation:enemy_tolerance],[effect:change_bomb_range, target:unit_all, val:0.7, rate:1, turn:-1, animation:bomb_small]</v>
      </c>
      <c r="U11" s="116">
        <f t="shared" si="11"/>
        <v>9</v>
      </c>
      <c r="V11" s="116">
        <f t="shared" ref="V11:V16" si="49">IFERROR(FIND(",",T11),LEN(T11))</f>
        <v>18</v>
      </c>
      <c r="W11" s="116">
        <f t="shared" ref="W11:W16" si="50">FIND("target:",T11)+7</f>
        <v>27</v>
      </c>
      <c r="X11" s="116">
        <f t="shared" ref="X11:X16" si="51">FIND(",",T11,V11+1)</f>
        <v>33</v>
      </c>
      <c r="Y11" s="116" t="str">
        <f>IFERROR(VLOOKUP(MID(T11,W11,X11-W11),[5]skilldef!$C:$D,2,FALSE),"-") &amp; " / " &amp; IFERROR(VLOOKUP(MID(T11,U11,V11-U11),[5]skilldef!$A:$B,2,FALSE),"-")</f>
        <v>自分自身に / 状態異常耐性</v>
      </c>
      <c r="Z11" s="116" t="s">
        <v>279</v>
      </c>
      <c r="AA11" s="116"/>
      <c r="AB11" s="116"/>
    </row>
    <row r="12" spans="1:28" s="117" customFormat="1" ht="21" customHeight="1" x14ac:dyDescent="0.15">
      <c r="A12" s="113">
        <v>47012011</v>
      </c>
      <c r="B12" s="113" t="s">
        <v>389</v>
      </c>
      <c r="C12" s="115">
        <v>3</v>
      </c>
      <c r="D12" s="115" t="s">
        <v>128</v>
      </c>
      <c r="E12" s="115" t="s">
        <v>374</v>
      </c>
      <c r="F12" s="116" t="s">
        <v>276</v>
      </c>
      <c r="G12" s="116" t="str">
        <f t="shared" si="0"/>
        <v>[effect:enemy_message, val1:1.2, val2:1.2]</v>
      </c>
      <c r="H12" s="116">
        <f t="shared" si="1"/>
        <v>9</v>
      </c>
      <c r="I12" s="116">
        <f t="shared" si="41"/>
        <v>22</v>
      </c>
      <c r="J12" s="116" t="e">
        <f t="shared" si="42"/>
        <v>#VALUE!</v>
      </c>
      <c r="K12" s="116">
        <f t="shared" si="43"/>
        <v>32</v>
      </c>
      <c r="L12" s="116" t="str">
        <f>IFERROR(VLOOKUP(MID(G12,J12,K12-J12),[5]skilldef!$C:$D,2,FALSE),"-") &amp; " / " &amp; IFERROR(VLOOKUP(MID(G12,H12,I12-H12),[5]skilldef!$A:$B,2,FALSE),"-")</f>
        <v>- / -</v>
      </c>
      <c r="M12" s="116" t="str">
        <f t="shared" si="5"/>
        <v>[effect:rush, count:4, val:0.25]</v>
      </c>
      <c r="N12" s="113" t="str">
        <f t="shared" si="44"/>
        <v>[effect:rush, count:4, val:0.25]</v>
      </c>
      <c r="O12" s="116">
        <f t="shared" si="6"/>
        <v>9</v>
      </c>
      <c r="P12" s="116">
        <f t="shared" si="45"/>
        <v>13</v>
      </c>
      <c r="Q12" s="116" t="e">
        <f t="shared" si="46"/>
        <v>#VALUE!</v>
      </c>
      <c r="R12" s="116">
        <f t="shared" si="47"/>
        <v>22</v>
      </c>
      <c r="S12" s="116" t="str">
        <f>IFERROR(VLOOKUP(MID(N12,Q12,R12-Q12),[5]skilldef!$C:$D,2,FALSE),"-") &amp; " / " &amp; IFERROR(VLOOKUP(MID(N12,O12,P12-O12),[5]skilldef!$A:$B,2,FALSE),"-")</f>
        <v>- / 連続攻撃</v>
      </c>
      <c r="T12" s="113" t="str">
        <f t="shared" si="48"/>
        <v>none</v>
      </c>
      <c r="U12" s="116" t="e">
        <f t="shared" si="11"/>
        <v>#VALUE!</v>
      </c>
      <c r="V12" s="116">
        <f t="shared" si="49"/>
        <v>4</v>
      </c>
      <c r="W12" s="116" t="e">
        <f t="shared" si="50"/>
        <v>#VALUE!</v>
      </c>
      <c r="X12" s="116" t="e">
        <f t="shared" si="51"/>
        <v>#VALUE!</v>
      </c>
      <c r="Y12" s="116" t="str">
        <f>IFERROR(VLOOKUP(MID(T12,W12,X12-W12),[5]skilldef!$C:$D,2,FALSE),"-") &amp; " / " &amp; IFERROR(VLOOKUP(MID(T12,U12,V12-U12),[5]skilldef!$A:$B,2,FALSE),"-")</f>
        <v>- / -</v>
      </c>
      <c r="Z12" s="116" t="s">
        <v>280</v>
      </c>
      <c r="AA12" s="116"/>
      <c r="AB12" s="116"/>
    </row>
    <row r="13" spans="1:28" s="117" customFormat="1" ht="21" customHeight="1" x14ac:dyDescent="0.15">
      <c r="A13" s="113">
        <v>47012012</v>
      </c>
      <c r="B13" s="113" t="s">
        <v>407</v>
      </c>
      <c r="C13" s="115">
        <v>3</v>
      </c>
      <c r="D13" s="115" t="s">
        <v>128</v>
      </c>
      <c r="E13" s="115" t="s">
        <v>375</v>
      </c>
      <c r="F13" s="116" t="s">
        <v>487</v>
      </c>
      <c r="G13" s="116" t="str">
        <f t="shared" si="0"/>
        <v>[effect:enemy_message, val1:1.2, val2:2.0]</v>
      </c>
      <c r="H13" s="116">
        <f t="shared" si="1"/>
        <v>9</v>
      </c>
      <c r="I13" s="116">
        <f t="shared" si="41"/>
        <v>22</v>
      </c>
      <c r="J13" s="116" t="e">
        <f t="shared" si="42"/>
        <v>#VALUE!</v>
      </c>
      <c r="K13" s="116">
        <f t="shared" si="43"/>
        <v>32</v>
      </c>
      <c r="L13" s="116" t="str">
        <f>IFERROR(VLOOKUP(MID(G13,J13,K13-J13),[5]skilldef!$C:$D,2,FALSE),"-") &amp; " / " &amp; IFERROR(VLOOKUP(MID(G13,H13,I13-H13),[5]skilldef!$A:$B,2,FALSE),"-")</f>
        <v>- / -</v>
      </c>
      <c r="M13" s="116" t="str">
        <f t="shared" si="5"/>
        <v>[effect:force_change_block, new_block:damage, target:normal, count:1, val:0.03, animation:change_block]</v>
      </c>
      <c r="N13" s="113" t="str">
        <f t="shared" si="44"/>
        <v>[effect:force_change_block, new_block:damage, target:normal, count:1, val:0.03, animation:change_block]</v>
      </c>
      <c r="O13" s="116">
        <f t="shared" si="6"/>
        <v>9</v>
      </c>
      <c r="P13" s="116">
        <f t="shared" si="45"/>
        <v>27</v>
      </c>
      <c r="Q13" s="116">
        <f t="shared" si="46"/>
        <v>54</v>
      </c>
      <c r="R13" s="116">
        <f t="shared" si="47"/>
        <v>45</v>
      </c>
      <c r="S13" s="116" t="str">
        <f>IFERROR(VLOOKUP(MID(N13,Q13,R13-Q13),[5]skilldef!$C:$D,2,FALSE),"-") &amp; " / " &amp; IFERROR(VLOOKUP(MID(N13,O13,P13-O13),[5]skilldef!$A:$B,2,FALSE),"-")</f>
        <v>- / -</v>
      </c>
      <c r="T13" s="113" t="str">
        <f t="shared" si="48"/>
        <v>none</v>
      </c>
      <c r="U13" s="116" t="e">
        <f t="shared" si="11"/>
        <v>#VALUE!</v>
      </c>
      <c r="V13" s="116">
        <f t="shared" si="49"/>
        <v>4</v>
      </c>
      <c r="W13" s="116" t="e">
        <f t="shared" si="50"/>
        <v>#VALUE!</v>
      </c>
      <c r="X13" s="116" t="e">
        <f t="shared" si="51"/>
        <v>#VALUE!</v>
      </c>
      <c r="Y13" s="116" t="str">
        <f>IFERROR(VLOOKUP(MID(T13,W13,X13-W13),[5]skilldef!$C:$D,2,FALSE),"-") &amp; " / " &amp; IFERROR(VLOOKUP(MID(T13,U13,V13-U13),[5]skilldef!$A:$B,2,FALSE),"-")</f>
        <v>- / -</v>
      </c>
      <c r="Z13" s="116" t="s">
        <v>281</v>
      </c>
      <c r="AA13" s="116"/>
      <c r="AB13" s="116"/>
    </row>
    <row r="14" spans="1:28" s="117" customFormat="1" ht="21" customHeight="1" x14ac:dyDescent="0.15">
      <c r="A14" s="113">
        <v>47012013</v>
      </c>
      <c r="B14" s="113" t="s">
        <v>408</v>
      </c>
      <c r="C14" s="115">
        <v>3</v>
      </c>
      <c r="D14" s="115" t="s">
        <v>128</v>
      </c>
      <c r="E14" s="115" t="s">
        <v>418</v>
      </c>
      <c r="F14" s="116" t="s">
        <v>287</v>
      </c>
      <c r="G14" s="116" t="str">
        <f t="shared" si="0"/>
        <v>[effect:enemy_message, val1:1.2, val2:1.4]</v>
      </c>
      <c r="H14" s="116">
        <f t="shared" si="1"/>
        <v>9</v>
      </c>
      <c r="I14" s="116">
        <f t="shared" si="41"/>
        <v>22</v>
      </c>
      <c r="J14" s="116" t="e">
        <f t="shared" si="42"/>
        <v>#VALUE!</v>
      </c>
      <c r="K14" s="116">
        <f t="shared" si="43"/>
        <v>32</v>
      </c>
      <c r="L14" s="116" t="str">
        <f>IFERROR(VLOOKUP(MID(G14,J14,K14-J14),[5]skilldef!$C:$D,2,FALSE),"-") &amp; " / " &amp; IFERROR(VLOOKUP(MID(G14,H14,I14-H14),[5]skilldef!$A:$B,2,FALSE),"-")</f>
        <v>- / -</v>
      </c>
      <c r="M14" s="116" t="str">
        <f t="shared" si="5"/>
        <v>[effect:virus, target:unit_all, turn:2, rate:1, val:0.04, animation:enemy_virus]</v>
      </c>
      <c r="N14" s="113" t="str">
        <f>IFERROR(LEFT(M14,FIND("],",M14)+#REF!),M14)</f>
        <v>[effect:virus, target:unit_all, turn:2, rate:1, val:0.04, animation:enemy_virus]</v>
      </c>
      <c r="O14" s="116">
        <f t="shared" si="6"/>
        <v>9</v>
      </c>
      <c r="P14" s="116">
        <f t="shared" si="45"/>
        <v>14</v>
      </c>
      <c r="Q14" s="116">
        <f t="shared" si="46"/>
        <v>23</v>
      </c>
      <c r="R14" s="116">
        <f t="shared" si="47"/>
        <v>31</v>
      </c>
      <c r="S14" s="116" t="str">
        <f>IFERROR(VLOOKUP(MID(N14,Q14,R14-Q14),[5]skilldef!$C:$D,2,FALSE),"-") &amp; " / " &amp; IFERROR(VLOOKUP(MID(N14,O14,P14-O14),[5]skilldef!$A:$B,2,FALSE),"-")</f>
        <v>味方全体に / ウィルス</v>
      </c>
      <c r="T14" s="113" t="str">
        <f t="shared" si="48"/>
        <v>none</v>
      </c>
      <c r="U14" s="116" t="e">
        <f t="shared" si="11"/>
        <v>#VALUE!</v>
      </c>
      <c r="V14" s="116">
        <f t="shared" si="49"/>
        <v>4</v>
      </c>
      <c r="W14" s="116" t="e">
        <f t="shared" si="50"/>
        <v>#VALUE!</v>
      </c>
      <c r="X14" s="116" t="e">
        <f t="shared" si="51"/>
        <v>#VALUE!</v>
      </c>
      <c r="Y14" s="116" t="str">
        <f>IFERROR(VLOOKUP(MID(T14,W14,X14-W14),[5]skilldef!$C:$D,2,FALSE),"-") &amp; " / " &amp; IFERROR(VLOOKUP(MID(T14,U14,V14-U14),[5]skilldef!$A:$B,2,FALSE),"-")</f>
        <v>- / -</v>
      </c>
      <c r="Z14" s="116" t="s">
        <v>282</v>
      </c>
      <c r="AA14" s="116"/>
      <c r="AB14" s="116"/>
    </row>
    <row r="15" spans="1:28" s="121" customFormat="1" ht="31" customHeight="1" x14ac:dyDescent="0.15">
      <c r="A15" s="118">
        <v>47012014</v>
      </c>
      <c r="B15" s="118" t="s">
        <v>466</v>
      </c>
      <c r="C15" s="119">
        <v>3</v>
      </c>
      <c r="D15" s="119" t="s">
        <v>128</v>
      </c>
      <c r="E15" s="120" t="s">
        <v>419</v>
      </c>
      <c r="F15" s="120" t="s">
        <v>454</v>
      </c>
      <c r="G15" s="120" t="str">
        <f t="shared" si="0"/>
        <v>[effect:enemy_message, val1:2.4, val2:1.2]</v>
      </c>
      <c r="H15" s="120">
        <f t="shared" si="1"/>
        <v>9</v>
      </c>
      <c r="I15" s="120">
        <f t="shared" si="41"/>
        <v>22</v>
      </c>
      <c r="J15" s="120" t="e">
        <f t="shared" si="42"/>
        <v>#VALUE!</v>
      </c>
      <c r="K15" s="120">
        <f t="shared" si="43"/>
        <v>32</v>
      </c>
      <c r="L15" s="120" t="str">
        <f>IFERROR(VLOOKUP(MID(G15,J15,K15-J15),[5]skilldef!$C:$D,2,FALSE),"-") &amp; " / " &amp; IFERROR(VLOOKUP(MID(G15,H15,I15-H15),[5]skilldef!$A:$B,2,FALSE),"-")</f>
        <v>- / -</v>
      </c>
      <c r="M15" s="120" t="str">
        <f t="shared" si="5"/>
        <v>[effect:fix_speed, target:myself, turn:1],[effect:tolerance, target:myself, turn:-1, count:-1, tolerance_effect:all, animation:enemy_tolerance]</v>
      </c>
      <c r="N15" s="118" t="str">
        <f t="shared" ref="N15:N24" si="52">IFERROR(LEFT(M15,FIND("],",M15)+S25),M15)</f>
        <v>[effect:fix_speed, target:myself, turn:1],[effect:tolerance, target:myself, turn:-1, count:-1, tolerance_effect:all, animation:enemy_tolerance]</v>
      </c>
      <c r="O15" s="120">
        <f t="shared" si="6"/>
        <v>9</v>
      </c>
      <c r="P15" s="120">
        <f t="shared" si="45"/>
        <v>18</v>
      </c>
      <c r="Q15" s="120">
        <f t="shared" si="46"/>
        <v>27</v>
      </c>
      <c r="R15" s="120">
        <f t="shared" si="47"/>
        <v>33</v>
      </c>
      <c r="S15" s="120" t="str">
        <f>IFERROR(VLOOKUP(MID(N15,Q15,R15-Q15),[5]skilldef!$C:$D,2,FALSE),"-") &amp; " / " &amp; IFERROR(VLOOKUP(MID(N15,O15,P15-O15),[5]skilldef!$A:$B,2,FALSE),"-")</f>
        <v>自分自身に / 行動値設定</v>
      </c>
      <c r="T15" s="118" t="str">
        <f t="shared" si="48"/>
        <v>[effect:tolerance, target:myself, turn:-1, count:-1, tolerance_effect:all, animation:enemy_tolerance]</v>
      </c>
      <c r="U15" s="120">
        <f t="shared" si="11"/>
        <v>9</v>
      </c>
      <c r="V15" s="120">
        <f t="shared" si="49"/>
        <v>18</v>
      </c>
      <c r="W15" s="120">
        <f t="shared" si="50"/>
        <v>27</v>
      </c>
      <c r="X15" s="120">
        <f t="shared" si="51"/>
        <v>33</v>
      </c>
      <c r="Y15" s="120" t="str">
        <f>IFERROR(VLOOKUP(MID(T15,W15,X15-W15),[5]skilldef!$C:$D,2,FALSE),"-") &amp; " / " &amp; IFERROR(VLOOKUP(MID(T15,U15,V15-U15),[5]skilldef!$A:$B,2,FALSE),"-")</f>
        <v>自分自身に / 状態異常耐性</v>
      </c>
      <c r="Z15" s="120" t="s">
        <v>283</v>
      </c>
      <c r="AA15" s="120"/>
      <c r="AB15" s="120"/>
    </row>
    <row r="16" spans="1:28" s="121" customFormat="1" ht="35" customHeight="1" x14ac:dyDescent="0.15">
      <c r="A16" s="118">
        <v>47012015</v>
      </c>
      <c r="B16" s="118" t="s">
        <v>415</v>
      </c>
      <c r="C16" s="119">
        <v>3</v>
      </c>
      <c r="D16" s="119" t="s">
        <v>128</v>
      </c>
      <c r="E16" s="119" t="s">
        <v>376</v>
      </c>
      <c r="F16" s="120" t="s">
        <v>565</v>
      </c>
      <c r="G16" s="120" t="str">
        <f t="shared" si="0"/>
        <v>[effect:enemy_message, val1:1.2, val2:2.6]</v>
      </c>
      <c r="H16" s="120">
        <f t="shared" si="1"/>
        <v>9</v>
      </c>
      <c r="I16" s="120">
        <f t="shared" si="41"/>
        <v>22</v>
      </c>
      <c r="J16" s="120" t="e">
        <f t="shared" si="42"/>
        <v>#VALUE!</v>
      </c>
      <c r="K16" s="120">
        <f t="shared" si="43"/>
        <v>32</v>
      </c>
      <c r="L16" s="120" t="str">
        <f>IFERROR(VLOOKUP(MID(G16,J16,K16-J16),[5]skilldef!$C:$D,2,FALSE),"-") &amp; " / " &amp; IFERROR(VLOOKUP(MID(G16,H16,I16-H16),[5]skilldef!$A:$B,2,FALSE),"-")</f>
        <v>- / -</v>
      </c>
      <c r="M16" s="120" t="str">
        <f t="shared" si="5"/>
        <v>[effect:rush, count:8, val:0.13],[effect:change_bomb_range, target:unit_all, val:0.7, rate:1, turn:-1, animation:bomb_small]</v>
      </c>
      <c r="N16" s="118" t="str">
        <f t="shared" si="52"/>
        <v>[effect:rush, count:8, val:0.13],[effect:change_bomb_range, target:unit_all, val:0.7, rate:1, turn:-1, animation:bomb_small]</v>
      </c>
      <c r="O16" s="120">
        <f t="shared" si="6"/>
        <v>9</v>
      </c>
      <c r="P16" s="120">
        <f t="shared" si="45"/>
        <v>13</v>
      </c>
      <c r="Q16" s="120">
        <f t="shared" si="46"/>
        <v>68</v>
      </c>
      <c r="R16" s="120">
        <f t="shared" si="47"/>
        <v>22</v>
      </c>
      <c r="S16" s="120" t="str">
        <f>IFERROR(VLOOKUP(MID(N16,Q16,R16-Q16),[5]skilldef!$C:$D,2,FALSE),"-") &amp; " / " &amp; IFERROR(VLOOKUP(MID(N16,O16,P16-O16),[5]skilldef!$A:$B,2,FALSE),"-")</f>
        <v>- / 連続攻撃</v>
      </c>
      <c r="T16" s="118" t="str">
        <f t="shared" si="48"/>
        <v>[effect:change_bomb_range, target:unit_all, val:0.7, rate:1, turn:-1, animation:bomb_small]</v>
      </c>
      <c r="U16" s="120">
        <f t="shared" si="11"/>
        <v>9</v>
      </c>
      <c r="V16" s="120">
        <f t="shared" si="49"/>
        <v>26</v>
      </c>
      <c r="W16" s="120">
        <f t="shared" si="50"/>
        <v>35</v>
      </c>
      <c r="X16" s="120">
        <f t="shared" si="51"/>
        <v>43</v>
      </c>
      <c r="Y16" s="120" t="str">
        <f>IFERROR(VLOOKUP(MID(T16,W16,X16-W16),[5]skilldef!$C:$D,2,FALSE),"-") &amp; " / " &amp; IFERROR(VLOOKUP(MID(T16,U16,V16-U16),[5]skilldef!$A:$B,2,FALSE),"-")</f>
        <v>味方全体に / -</v>
      </c>
      <c r="Z16" s="120" t="s">
        <v>290</v>
      </c>
      <c r="AA16" s="120"/>
      <c r="AB16" s="120"/>
    </row>
    <row r="17" spans="1:28" s="121" customFormat="1" ht="21" customHeight="1" x14ac:dyDescent="0.15">
      <c r="A17" s="118">
        <v>47012016</v>
      </c>
      <c r="B17" s="118" t="s">
        <v>467</v>
      </c>
      <c r="C17" s="119">
        <v>3</v>
      </c>
      <c r="D17" s="119" t="s">
        <v>128</v>
      </c>
      <c r="E17" s="119" t="s">
        <v>420</v>
      </c>
      <c r="F17" s="120" t="s">
        <v>286</v>
      </c>
      <c r="G17" s="120" t="str">
        <f t="shared" si="0"/>
        <v>[effect:enemy_message, val1:1.5, val2:1.4]</v>
      </c>
      <c r="H17" s="120">
        <f t="shared" si="1"/>
        <v>9</v>
      </c>
      <c r="I17" s="120">
        <f t="shared" ref="I17:I23" si="53">IFERROR(FIND(",",G17),LEN(G17))</f>
        <v>22</v>
      </c>
      <c r="J17" s="120" t="e">
        <f t="shared" ref="J17:J23" si="54">FIND("target:",G17)+7</f>
        <v>#VALUE!</v>
      </c>
      <c r="K17" s="120">
        <f t="shared" ref="K17:K23" si="55">FIND(",",G17,I17+1)</f>
        <v>32</v>
      </c>
      <c r="L17" s="120" t="str">
        <f>IFERROR(VLOOKUP(MID(G17,J17,K17-J17),[5]skilldef!$C:$D,2,FALSE),"-") &amp; " / " &amp; IFERROR(VLOOKUP(MID(G17,H17,I17-H17),[5]skilldef!$A:$B,2,FALSE),"-")</f>
        <v>- / -</v>
      </c>
      <c r="M17" s="120" t="str">
        <f t="shared" si="5"/>
        <v>[effect:virus, target:unit_all, turn:2, rate:1, val:0.07, animation:enemy_virus]</v>
      </c>
      <c r="N17" s="118" t="str">
        <f t="shared" si="52"/>
        <v>[effect:virus, target:unit_all, turn:2, rate:1, val:0.07, animation:enemy_virus]</v>
      </c>
      <c r="O17" s="120">
        <f t="shared" si="6"/>
        <v>9</v>
      </c>
      <c r="P17" s="120">
        <f t="shared" ref="P17:P23" si="56">IFERROR(FIND(",",N17),LEN(N17))</f>
        <v>14</v>
      </c>
      <c r="Q17" s="120">
        <f t="shared" ref="Q17:Q23" si="57">FIND("target:",N17)+7</f>
        <v>23</v>
      </c>
      <c r="R17" s="120">
        <f t="shared" ref="R17:R23" si="58">FIND(",",N17,P17+1)</f>
        <v>31</v>
      </c>
      <c r="S17" s="120" t="str">
        <f>IFERROR(VLOOKUP(MID(N17,Q17,R17-Q17),[5]skilldef!$C:$D,2,FALSE),"-") &amp; " / " &amp; IFERROR(VLOOKUP(MID(N17,O17,P17-O17),[5]skilldef!$A:$B,2,FALSE),"-")</f>
        <v>味方全体に / ウィルス</v>
      </c>
      <c r="T17" s="118" t="str">
        <f t="shared" ref="T17:T23" si="59">IFERROR(RIGHT(M17,LEN(M17)-FIND("],",M17)-1),"none")</f>
        <v>none</v>
      </c>
      <c r="U17" s="120" t="e">
        <f t="shared" si="11"/>
        <v>#VALUE!</v>
      </c>
      <c r="V17" s="120">
        <f t="shared" ref="V17:V23" si="60">IFERROR(FIND(",",T17),LEN(T17))</f>
        <v>4</v>
      </c>
      <c r="W17" s="120" t="e">
        <f t="shared" ref="W17:W23" si="61">FIND("target:",T17)+7</f>
        <v>#VALUE!</v>
      </c>
      <c r="X17" s="120" t="e">
        <f t="shared" ref="X17:X23" si="62">FIND(",",T17,V17+1)</f>
        <v>#VALUE!</v>
      </c>
      <c r="Y17" s="120" t="str">
        <f>IFERROR(VLOOKUP(MID(T17,W17,X17-W17),[5]skilldef!$C:$D,2,FALSE),"-") &amp; " / " &amp; IFERROR(VLOOKUP(MID(T17,U17,V17-U17),[5]skilldef!$A:$B,2,FALSE),"-")</f>
        <v>- / -</v>
      </c>
      <c r="Z17" s="120" t="s">
        <v>292</v>
      </c>
      <c r="AA17" s="120"/>
      <c r="AB17" s="120"/>
    </row>
    <row r="18" spans="1:28" s="121" customFormat="1" ht="34" customHeight="1" x14ac:dyDescent="0.15">
      <c r="A18" s="118">
        <v>47012017</v>
      </c>
      <c r="B18" s="118" t="s">
        <v>409</v>
      </c>
      <c r="C18" s="119">
        <v>3</v>
      </c>
      <c r="D18" s="119" t="s">
        <v>128</v>
      </c>
      <c r="E18" s="119" t="s">
        <v>378</v>
      </c>
      <c r="F18" s="120" t="s">
        <v>488</v>
      </c>
      <c r="G18" s="120" t="str">
        <f t="shared" si="0"/>
        <v>[effect:enemy_message, val1:1.2, val2:2.7]</v>
      </c>
      <c r="H18" s="120">
        <f t="shared" si="1"/>
        <v>9</v>
      </c>
      <c r="I18" s="120">
        <f t="shared" si="53"/>
        <v>22</v>
      </c>
      <c r="J18" s="120" t="e">
        <f t="shared" si="54"/>
        <v>#VALUE!</v>
      </c>
      <c r="K18" s="120">
        <f t="shared" si="55"/>
        <v>32</v>
      </c>
      <c r="L18" s="120" t="str">
        <f>IFERROR(VLOOKUP(MID(G18,J18,K18-J18),[5]skilldef!$C:$D,2,FALSE),"-") &amp; " / " &amp; IFERROR(VLOOKUP(MID(G18,H18,I18-H18),[5]skilldef!$A:$B,2,FALSE),"-")</f>
        <v>- / -</v>
      </c>
      <c r="M18" s="120" t="str">
        <f t="shared" si="5"/>
        <v>[effect:force_change_block, new_block:damage, target:normal, count:1, val:0.03, animation:change_block],[effect:rush, count:4, val:0.2]</v>
      </c>
      <c r="N18" s="118" t="str">
        <f t="shared" si="52"/>
        <v>[effect:force_change_block, new_block:damage, target:normal, count:1, val:0.03, animation:change_block],[effect:rush, count:4, val:0.2]</v>
      </c>
      <c r="O18" s="120">
        <f t="shared" si="6"/>
        <v>9</v>
      </c>
      <c r="P18" s="120">
        <f t="shared" si="56"/>
        <v>27</v>
      </c>
      <c r="Q18" s="120">
        <f t="shared" si="57"/>
        <v>54</v>
      </c>
      <c r="R18" s="120">
        <f t="shared" si="58"/>
        <v>45</v>
      </c>
      <c r="S18" s="120" t="str">
        <f>IFERROR(VLOOKUP(MID(N18,Q18,R18-Q18),[5]skilldef!$C:$D,2,FALSE),"-") &amp; " / " &amp; IFERROR(VLOOKUP(MID(N18,O18,P18-O18),[5]skilldef!$A:$B,2,FALSE),"-")</f>
        <v>- / -</v>
      </c>
      <c r="T18" s="118" t="str">
        <f t="shared" si="59"/>
        <v>[effect:rush, count:4, val:0.2]</v>
      </c>
      <c r="U18" s="120">
        <f t="shared" si="11"/>
        <v>9</v>
      </c>
      <c r="V18" s="120">
        <f t="shared" si="60"/>
        <v>13</v>
      </c>
      <c r="W18" s="120" t="e">
        <f t="shared" si="61"/>
        <v>#VALUE!</v>
      </c>
      <c r="X18" s="120">
        <f t="shared" si="62"/>
        <v>22</v>
      </c>
      <c r="Y18" s="120" t="str">
        <f>IFERROR(VLOOKUP(MID(T18,W18,X18-W18),[5]skilldef!$C:$D,2,FALSE),"-") &amp; " / " &amp; IFERROR(VLOOKUP(MID(T18,U18,V18-U18),[5]skilldef!$A:$B,2,FALSE),"-")</f>
        <v>- / 連続攻撃</v>
      </c>
      <c r="Z18" s="120" t="s">
        <v>294</v>
      </c>
      <c r="AA18" s="120"/>
      <c r="AB18" s="120"/>
    </row>
    <row r="19" spans="1:28" s="121" customFormat="1" ht="21" customHeight="1" x14ac:dyDescent="0.15">
      <c r="A19" s="118">
        <v>47012018</v>
      </c>
      <c r="B19" s="118" t="s">
        <v>410</v>
      </c>
      <c r="C19" s="119">
        <v>3</v>
      </c>
      <c r="D19" s="119" t="s">
        <v>128</v>
      </c>
      <c r="E19" s="119" t="s">
        <v>377</v>
      </c>
      <c r="F19" s="120" t="s">
        <v>566</v>
      </c>
      <c r="G19" s="120" t="str">
        <f t="shared" si="0"/>
        <v>[effect:enemy_message, val1:1.2, val2:2.0]</v>
      </c>
      <c r="H19" s="120">
        <f t="shared" si="1"/>
        <v>9</v>
      </c>
      <c r="I19" s="120">
        <f t="shared" si="53"/>
        <v>22</v>
      </c>
      <c r="J19" s="120" t="e">
        <f t="shared" si="54"/>
        <v>#VALUE!</v>
      </c>
      <c r="K19" s="120">
        <f t="shared" si="55"/>
        <v>32</v>
      </c>
      <c r="L19" s="120" t="str">
        <f>IFERROR(VLOOKUP(MID(G19,J19,K19-J19),[5]skilldef!$C:$D,2,FALSE),"-") &amp; " / " &amp; IFERROR(VLOOKUP(MID(G19,H19,I19-H19),[5]skilldef!$A:$B,2,FALSE),"-")</f>
        <v>- / -</v>
      </c>
      <c r="M19" s="120" t="str">
        <f t="shared" si="5"/>
        <v>[effect:degrade_unit, target:unit_all, turn:2, status:heal, val:0.1, calc:mul, animation:degrade_unit_all_heal]</v>
      </c>
      <c r="N19" s="118" t="str">
        <f t="shared" si="52"/>
        <v>[effect:degrade_unit, target:unit_all, turn:2, status:heal, val:0.1, calc:mul, animation:degrade_unit_all_heal]</v>
      </c>
      <c r="O19" s="120">
        <f t="shared" si="6"/>
        <v>9</v>
      </c>
      <c r="P19" s="120">
        <f t="shared" si="56"/>
        <v>21</v>
      </c>
      <c r="Q19" s="120">
        <f t="shared" si="57"/>
        <v>30</v>
      </c>
      <c r="R19" s="120">
        <f t="shared" si="58"/>
        <v>38</v>
      </c>
      <c r="S19" s="120" t="str">
        <f>IFERROR(VLOOKUP(MID(N19,Q19,R19-Q19),[5]skilldef!$C:$D,2,FALSE),"-") &amp; " / " &amp; IFERROR(VLOOKUP(MID(N19,O19,P19-O19),[5]skilldef!$A:$B,2,FALSE),"-")</f>
        <v>味方全体に / ステータスDOWN</v>
      </c>
      <c r="T19" s="118" t="str">
        <f t="shared" si="59"/>
        <v>none</v>
      </c>
      <c r="U19" s="120" t="e">
        <f t="shared" si="11"/>
        <v>#VALUE!</v>
      </c>
      <c r="V19" s="120">
        <f t="shared" si="60"/>
        <v>4</v>
      </c>
      <c r="W19" s="120" t="e">
        <f t="shared" si="61"/>
        <v>#VALUE!</v>
      </c>
      <c r="X19" s="120" t="e">
        <f t="shared" si="62"/>
        <v>#VALUE!</v>
      </c>
      <c r="Y19" s="120" t="str">
        <f>IFERROR(VLOOKUP(MID(T19,W19,X19-W19),[5]skilldef!$C:$D,2,FALSE),"-") &amp; " / " &amp; IFERROR(VLOOKUP(MID(T19,U19,V19-U19),[5]skilldef!$A:$B,2,FALSE),"-")</f>
        <v>- / -</v>
      </c>
      <c r="Z19" s="120" t="s">
        <v>295</v>
      </c>
      <c r="AA19" s="120"/>
      <c r="AB19" s="120"/>
    </row>
    <row r="20" spans="1:28" s="121" customFormat="1" ht="21" customHeight="1" x14ac:dyDescent="0.15">
      <c r="A20" s="118">
        <v>47012019</v>
      </c>
      <c r="B20" s="118" t="s">
        <v>545</v>
      </c>
      <c r="C20" s="119">
        <v>3</v>
      </c>
      <c r="D20" s="119" t="s">
        <v>128</v>
      </c>
      <c r="E20" s="119" t="s">
        <v>417</v>
      </c>
      <c r="F20" s="120" t="s">
        <v>301</v>
      </c>
      <c r="G20" s="120" t="str">
        <f t="shared" si="0"/>
        <v>[effect:enemy_message, val1:1.2, val2:1.6]</v>
      </c>
      <c r="H20" s="120">
        <f t="shared" si="1"/>
        <v>9</v>
      </c>
      <c r="I20" s="120">
        <f t="shared" si="53"/>
        <v>22</v>
      </c>
      <c r="J20" s="120" t="e">
        <f t="shared" si="54"/>
        <v>#VALUE!</v>
      </c>
      <c r="K20" s="120">
        <f t="shared" si="55"/>
        <v>32</v>
      </c>
      <c r="L20" s="120" t="str">
        <f>IFERROR(VLOOKUP(MID(G20,J20,K20-J20),[5]skilldef!$C:$D,2,FALSE),"-") &amp; " / " &amp; IFERROR(VLOOKUP(MID(G20,H20,I20-H20),[5]skilldef!$A:$B,2,FALSE),"-")</f>
        <v>- / -</v>
      </c>
      <c r="M20" s="120" t="str">
        <f t="shared" si="5"/>
        <v>[effect:break_attack_fix, target:unit_all, val:200, lowest_val:700, count:-1, block01:damage]</v>
      </c>
      <c r="N20" s="118" t="str">
        <f t="shared" si="52"/>
        <v>[effect:break_attack_fix, target:unit_all, val:200, lowest_val:700, count:-1, block01:damage]</v>
      </c>
      <c r="O20" s="120">
        <f t="shared" si="6"/>
        <v>9</v>
      </c>
      <c r="P20" s="120">
        <f t="shared" si="56"/>
        <v>25</v>
      </c>
      <c r="Q20" s="120">
        <f t="shared" si="57"/>
        <v>34</v>
      </c>
      <c r="R20" s="120">
        <f t="shared" si="58"/>
        <v>42</v>
      </c>
      <c r="S20" s="120" t="str">
        <f>IFERROR(VLOOKUP(MID(N20,Q20,R20-Q20),[5]skilldef!$C:$D,2,FALSE),"-") &amp; " / " &amp; IFERROR(VLOOKUP(MID(N20,O20,P20-O20),[5]skilldef!$A:$B,2,FALSE),"-")</f>
        <v>味方全体に / -</v>
      </c>
      <c r="T20" s="118" t="str">
        <f t="shared" si="59"/>
        <v>none</v>
      </c>
      <c r="U20" s="120" t="e">
        <f t="shared" si="11"/>
        <v>#VALUE!</v>
      </c>
      <c r="V20" s="120">
        <f t="shared" si="60"/>
        <v>4</v>
      </c>
      <c r="W20" s="120" t="e">
        <f t="shared" si="61"/>
        <v>#VALUE!</v>
      </c>
      <c r="X20" s="120" t="e">
        <f t="shared" si="62"/>
        <v>#VALUE!</v>
      </c>
      <c r="Y20" s="120" t="str">
        <f>IFERROR(VLOOKUP(MID(T20,W20,X20-W20),[5]skilldef!$C:$D,2,FALSE),"-") &amp; " / " &amp; IFERROR(VLOOKUP(MID(T20,U20,V20-U20),[5]skilldef!$A:$B,2,FALSE),"-")</f>
        <v>- / -</v>
      </c>
      <c r="Z20" s="120" t="s">
        <v>296</v>
      </c>
      <c r="AA20" s="120"/>
      <c r="AB20" s="120"/>
    </row>
    <row r="21" spans="1:28" s="121" customFormat="1" ht="38" customHeight="1" x14ac:dyDescent="0.15">
      <c r="A21" s="118">
        <v>47012020</v>
      </c>
      <c r="B21" s="118" t="s">
        <v>415</v>
      </c>
      <c r="C21" s="119">
        <v>3</v>
      </c>
      <c r="D21" s="119" t="s">
        <v>128</v>
      </c>
      <c r="E21" s="119" t="s">
        <v>376</v>
      </c>
      <c r="F21" s="120" t="s">
        <v>565</v>
      </c>
      <c r="G21" s="120" t="str">
        <f t="shared" si="0"/>
        <v>[effect:enemy_message, val1:1.2, val2:2.6]</v>
      </c>
      <c r="H21" s="120">
        <f t="shared" si="1"/>
        <v>9</v>
      </c>
      <c r="I21" s="120">
        <f t="shared" si="53"/>
        <v>22</v>
      </c>
      <c r="J21" s="120" t="e">
        <f t="shared" si="54"/>
        <v>#VALUE!</v>
      </c>
      <c r="K21" s="120">
        <f t="shared" si="55"/>
        <v>32</v>
      </c>
      <c r="L21" s="120" t="str">
        <f>IFERROR(VLOOKUP(MID(G21,J21,K21-J21),[5]skilldef!$C:$D,2,FALSE),"-") &amp; " / " &amp; IFERROR(VLOOKUP(MID(G21,H21,I21-H21),[5]skilldef!$A:$B,2,FALSE),"-")</f>
        <v>- / -</v>
      </c>
      <c r="M21" s="120" t="str">
        <f t="shared" si="5"/>
        <v>[effect:rush, count:8, val:0.13],[effect:change_bomb_range, target:unit_all, val:0.7, rate:1, turn:-1, animation:bomb_small]</v>
      </c>
      <c r="N21" s="118" t="str">
        <f t="shared" si="52"/>
        <v>[effect:rush, count:8, val:0.13],[effect:change_bomb_range, target:unit_all, val:0.7, rate:1, turn:-1, animation:bomb_small]</v>
      </c>
      <c r="O21" s="120">
        <f t="shared" si="6"/>
        <v>9</v>
      </c>
      <c r="P21" s="120">
        <f t="shared" si="56"/>
        <v>13</v>
      </c>
      <c r="Q21" s="120">
        <f t="shared" si="57"/>
        <v>68</v>
      </c>
      <c r="R21" s="120">
        <f t="shared" si="58"/>
        <v>22</v>
      </c>
      <c r="S21" s="120" t="str">
        <f>IFERROR(VLOOKUP(MID(N21,Q21,R21-Q21),[5]skilldef!$C:$D,2,FALSE),"-") &amp; " / " &amp; IFERROR(VLOOKUP(MID(N21,O21,P21-O21),[5]skilldef!$A:$B,2,FALSE),"-")</f>
        <v>- / 連続攻撃</v>
      </c>
      <c r="T21" s="118" t="str">
        <f t="shared" si="59"/>
        <v>[effect:change_bomb_range, target:unit_all, val:0.7, rate:1, turn:-1, animation:bomb_small]</v>
      </c>
      <c r="U21" s="120">
        <f t="shared" si="11"/>
        <v>9</v>
      </c>
      <c r="V21" s="120">
        <f t="shared" si="60"/>
        <v>26</v>
      </c>
      <c r="W21" s="120">
        <f t="shared" si="61"/>
        <v>35</v>
      </c>
      <c r="X21" s="120">
        <f t="shared" si="62"/>
        <v>43</v>
      </c>
      <c r="Y21" s="120" t="str">
        <f>IFERROR(VLOOKUP(MID(T21,W21,X21-W21),[5]skilldef!$C:$D,2,FALSE),"-") &amp; " / " &amp; IFERROR(VLOOKUP(MID(T21,U21,V21-U21),[5]skilldef!$A:$B,2,FALSE),"-")</f>
        <v>味方全体に / -</v>
      </c>
      <c r="Z21" s="120" t="s">
        <v>297</v>
      </c>
      <c r="AA21" s="120"/>
      <c r="AB21" s="120"/>
    </row>
    <row r="22" spans="1:28" s="121" customFormat="1" ht="35" customHeight="1" x14ac:dyDescent="0.15">
      <c r="A22" s="118">
        <v>47012021</v>
      </c>
      <c r="B22" s="118" t="s">
        <v>409</v>
      </c>
      <c r="C22" s="119">
        <v>3</v>
      </c>
      <c r="D22" s="119" t="s">
        <v>128</v>
      </c>
      <c r="E22" s="119" t="s">
        <v>378</v>
      </c>
      <c r="F22" s="120" t="s">
        <v>488</v>
      </c>
      <c r="G22" s="120" t="str">
        <f t="shared" si="0"/>
        <v>[effect:enemy_message, val1:1.2, val2:2.7]</v>
      </c>
      <c r="H22" s="120">
        <f t="shared" si="1"/>
        <v>9</v>
      </c>
      <c r="I22" s="120">
        <f t="shared" si="53"/>
        <v>22</v>
      </c>
      <c r="J22" s="120" t="e">
        <f t="shared" si="54"/>
        <v>#VALUE!</v>
      </c>
      <c r="K22" s="120">
        <f t="shared" si="55"/>
        <v>32</v>
      </c>
      <c r="L22" s="120" t="str">
        <f>IFERROR(VLOOKUP(MID(G22,J22,K22-J22),[5]skilldef!$C:$D,2,FALSE),"-") &amp; " / " &amp; IFERROR(VLOOKUP(MID(G22,H22,I22-H22),[5]skilldef!$A:$B,2,FALSE),"-")</f>
        <v>- / -</v>
      </c>
      <c r="M22" s="120" t="str">
        <f t="shared" si="5"/>
        <v>[effect:force_change_block, new_block:damage, target:normal, count:1, val:0.03, animation:change_block],[effect:rush, count:4, val:0.2]</v>
      </c>
      <c r="N22" s="118" t="str">
        <f t="shared" si="52"/>
        <v>[effect:force_change_block, new_block:damage, target:normal, count:1, val:0.03, animation:change_block],[effect:rush, count:4, val:0.2]</v>
      </c>
      <c r="O22" s="120">
        <f t="shared" si="6"/>
        <v>9</v>
      </c>
      <c r="P22" s="120">
        <f t="shared" si="56"/>
        <v>27</v>
      </c>
      <c r="Q22" s="120">
        <f t="shared" si="57"/>
        <v>54</v>
      </c>
      <c r="R22" s="120">
        <f t="shared" si="58"/>
        <v>45</v>
      </c>
      <c r="S22" s="120" t="str">
        <f>IFERROR(VLOOKUP(MID(N22,Q22,R22-Q22),[5]skilldef!$C:$D,2,FALSE),"-") &amp; " / " &amp; IFERROR(VLOOKUP(MID(N22,O22,P22-O22),[5]skilldef!$A:$B,2,FALSE),"-")</f>
        <v>- / -</v>
      </c>
      <c r="T22" s="118" t="str">
        <f t="shared" si="59"/>
        <v>[effect:rush, count:4, val:0.2]</v>
      </c>
      <c r="U22" s="120">
        <f t="shared" si="11"/>
        <v>9</v>
      </c>
      <c r="V22" s="120">
        <f t="shared" si="60"/>
        <v>13</v>
      </c>
      <c r="W22" s="120" t="e">
        <f t="shared" si="61"/>
        <v>#VALUE!</v>
      </c>
      <c r="X22" s="120">
        <f t="shared" si="62"/>
        <v>22</v>
      </c>
      <c r="Y22" s="120" t="str">
        <f>IFERROR(VLOOKUP(MID(T22,W22,X22-W22),[5]skilldef!$C:$D,2,FALSE),"-") &amp; " / " &amp; IFERROR(VLOOKUP(MID(T22,U22,V22-U22),[5]skilldef!$A:$B,2,FALSE),"-")</f>
        <v>- / 連続攻撃</v>
      </c>
      <c r="Z22" s="120" t="s">
        <v>298</v>
      </c>
      <c r="AA22" s="120"/>
      <c r="AB22" s="120"/>
    </row>
    <row r="23" spans="1:28" s="121" customFormat="1" ht="21" customHeight="1" x14ac:dyDescent="0.15">
      <c r="A23" s="118">
        <v>47012022</v>
      </c>
      <c r="B23" s="118" t="s">
        <v>545</v>
      </c>
      <c r="C23" s="119">
        <v>3</v>
      </c>
      <c r="D23" s="119" t="s">
        <v>128</v>
      </c>
      <c r="E23" s="119" t="s">
        <v>417</v>
      </c>
      <c r="F23" s="120" t="s">
        <v>301</v>
      </c>
      <c r="G23" s="120" t="str">
        <f t="shared" si="0"/>
        <v>[effect:enemy_message, val1:1.2, val2:1.6]</v>
      </c>
      <c r="H23" s="120">
        <f t="shared" si="1"/>
        <v>9</v>
      </c>
      <c r="I23" s="120">
        <f t="shared" si="53"/>
        <v>22</v>
      </c>
      <c r="J23" s="120" t="e">
        <f t="shared" si="54"/>
        <v>#VALUE!</v>
      </c>
      <c r="K23" s="120">
        <f t="shared" si="55"/>
        <v>32</v>
      </c>
      <c r="L23" s="120" t="str">
        <f>IFERROR(VLOOKUP(MID(G23,J23,K23-J23),[5]skilldef!$C:$D,2,FALSE),"-") &amp; " / " &amp; IFERROR(VLOOKUP(MID(G23,H23,I23-H23),[5]skilldef!$A:$B,2,FALSE),"-")</f>
        <v>- / -</v>
      </c>
      <c r="M23" s="120" t="str">
        <f t="shared" si="5"/>
        <v>[effect:break_attack_fix, target:unit_all, val:200, lowest_val:700, count:-1, block01:damage]</v>
      </c>
      <c r="N23" s="118" t="str">
        <f t="shared" si="52"/>
        <v>[effect:break_attack_fix, target:unit_all, val:200, lowest_val:700, count:-1, block01:damage]</v>
      </c>
      <c r="O23" s="120">
        <f t="shared" si="6"/>
        <v>9</v>
      </c>
      <c r="P23" s="120">
        <f t="shared" si="56"/>
        <v>25</v>
      </c>
      <c r="Q23" s="120">
        <f t="shared" si="57"/>
        <v>34</v>
      </c>
      <c r="R23" s="120">
        <f t="shared" si="58"/>
        <v>42</v>
      </c>
      <c r="S23" s="120" t="str">
        <f>IFERROR(VLOOKUP(MID(N23,Q23,R23-Q23),[5]skilldef!$C:$D,2,FALSE),"-") &amp; " / " &amp; IFERROR(VLOOKUP(MID(N23,O23,P23-O23),[5]skilldef!$A:$B,2,FALSE),"-")</f>
        <v>味方全体に / -</v>
      </c>
      <c r="T23" s="118" t="str">
        <f t="shared" si="59"/>
        <v>none</v>
      </c>
      <c r="U23" s="120" t="e">
        <f t="shared" si="11"/>
        <v>#VALUE!</v>
      </c>
      <c r="V23" s="120">
        <f t="shared" si="60"/>
        <v>4</v>
      </c>
      <c r="W23" s="120" t="e">
        <f t="shared" si="61"/>
        <v>#VALUE!</v>
      </c>
      <c r="X23" s="120" t="e">
        <f t="shared" si="62"/>
        <v>#VALUE!</v>
      </c>
      <c r="Y23" s="120" t="str">
        <f>IFERROR(VLOOKUP(MID(T23,W23,X23-W23),[5]skilldef!$C:$D,2,FALSE),"-") &amp; " / " &amp; IFERROR(VLOOKUP(MID(T23,U23,V23-U23),[5]skilldef!$A:$B,2,FALSE),"-")</f>
        <v>- / -</v>
      </c>
      <c r="Z23" s="120" t="s">
        <v>299</v>
      </c>
      <c r="AA23" s="120"/>
      <c r="AB23" s="120"/>
    </row>
    <row r="24" spans="1:28" s="121" customFormat="1" ht="28" x14ac:dyDescent="0.15">
      <c r="A24" s="118">
        <v>47012023</v>
      </c>
      <c r="B24" s="118" t="s">
        <v>546</v>
      </c>
      <c r="C24" s="119">
        <v>3</v>
      </c>
      <c r="D24" s="119" t="s">
        <v>128</v>
      </c>
      <c r="E24" s="119" t="s">
        <v>494</v>
      </c>
      <c r="F24" s="120" t="s">
        <v>498</v>
      </c>
      <c r="G24" s="120" t="str">
        <f t="shared" si="0"/>
        <v>[effect:enemy_message, val1:1.6, val2:3.1, dead_type:escape]</v>
      </c>
      <c r="H24" s="120">
        <f t="shared" ref="H24" si="63">FIND("effect:",G24)+7</f>
        <v>9</v>
      </c>
      <c r="I24" s="120">
        <f t="shared" ref="I24" si="64">IFERROR(FIND(",",G24),LEN(G24))</f>
        <v>22</v>
      </c>
      <c r="J24" s="120" t="e">
        <f t="shared" ref="J24" si="65">FIND("target:",G24)+7</f>
        <v>#VALUE!</v>
      </c>
      <c r="K24" s="120">
        <f t="shared" ref="K24" si="66">FIND(",",G24,I24+1)</f>
        <v>32</v>
      </c>
      <c r="L24" s="120" t="str">
        <f>IFERROR(VLOOKUP(MID(G24,J24,K24-J24),[5]skilldef!$C:$D,2,FALSE),"-") &amp; " / " &amp; IFERROR(VLOOKUP(MID(G24,H24,I24-H24),[5]skilldef!$A:$B,2,FALSE),"-")</f>
        <v>- / -</v>
      </c>
      <c r="M24" s="120" t="str">
        <f t="shared" si="5"/>
        <v>none</v>
      </c>
      <c r="N24" s="118" t="str">
        <f t="shared" si="52"/>
        <v>none</v>
      </c>
      <c r="O24" s="120" t="e">
        <f t="shared" ref="O24" si="67">FIND("effect:",N24)+7</f>
        <v>#VALUE!</v>
      </c>
      <c r="P24" s="120">
        <f t="shared" ref="P24" si="68">IFERROR(FIND(",",N24),LEN(N24))</f>
        <v>4</v>
      </c>
      <c r="Q24" s="120" t="e">
        <f t="shared" ref="Q24" si="69">FIND("target:",N24)+7</f>
        <v>#VALUE!</v>
      </c>
      <c r="R24" s="120" t="e">
        <f t="shared" ref="R24" si="70">FIND(",",N24,P24+1)</f>
        <v>#VALUE!</v>
      </c>
      <c r="S24" s="120" t="str">
        <f>IFERROR(VLOOKUP(MID(N24,Q24,R24-Q24),[5]skilldef!$C:$D,2,FALSE),"-") &amp; " / " &amp; IFERROR(VLOOKUP(MID(N24,O24,P24-O24),[5]skilldef!$A:$B,2,FALSE),"-")</f>
        <v>- / -</v>
      </c>
      <c r="T24" s="118" t="str">
        <f t="shared" ref="T24" si="71">IFERROR(RIGHT(M24,LEN(M24)-FIND("],",M24)-1),"none")</f>
        <v>none</v>
      </c>
      <c r="U24" s="120" t="e">
        <f t="shared" ref="U24" si="72">FIND("effect:",T24)+7</f>
        <v>#VALUE!</v>
      </c>
      <c r="V24" s="120">
        <f t="shared" ref="V24" si="73">IFERROR(FIND(",",T24),LEN(T24))</f>
        <v>4</v>
      </c>
      <c r="W24" s="120" t="e">
        <f t="shared" ref="W24" si="74">FIND("target:",T24)+7</f>
        <v>#VALUE!</v>
      </c>
      <c r="X24" s="120" t="e">
        <f t="shared" ref="X24" si="75">FIND(",",T24,V24+1)</f>
        <v>#VALUE!</v>
      </c>
      <c r="Y24" s="120" t="str">
        <f>IFERROR(VLOOKUP(MID(T24,W24,X24-W24),[5]skilldef!$C:$D,2,FALSE),"-") &amp; " / " &amp; IFERROR(VLOOKUP(MID(T24,U24,V24-U24),[5]skilldef!$A:$B,2,FALSE),"-")</f>
        <v>- / -</v>
      </c>
      <c r="Z24" s="120" t="s">
        <v>457</v>
      </c>
      <c r="AA24" s="120"/>
      <c r="AB24" s="120"/>
    </row>
    <row r="25" spans="1:28" s="126" customFormat="1" ht="36" customHeight="1" x14ac:dyDescent="0.15">
      <c r="A25" s="122">
        <v>47012024</v>
      </c>
      <c r="B25" s="122" t="s">
        <v>535</v>
      </c>
      <c r="C25" s="123">
        <v>3</v>
      </c>
      <c r="D25" s="123" t="s">
        <v>128</v>
      </c>
      <c r="E25" s="124" t="s">
        <v>501</v>
      </c>
      <c r="F25" s="124" t="s">
        <v>567</v>
      </c>
      <c r="G25" s="124" t="str">
        <f t="shared" si="0"/>
        <v>[effect:enemy_message, val1:2.5, val2:2.6]</v>
      </c>
      <c r="H25" s="124">
        <f t="shared" ref="H25" si="76">FIND("effect:",G25)+7</f>
        <v>9</v>
      </c>
      <c r="I25" s="124">
        <f t="shared" ref="I25" si="77">IFERROR(FIND(",",G25),LEN(G25))</f>
        <v>22</v>
      </c>
      <c r="J25" s="124" t="e">
        <f t="shared" ref="J25" si="78">FIND("target:",G25)+7</f>
        <v>#VALUE!</v>
      </c>
      <c r="K25" s="124">
        <f t="shared" ref="K25" si="79">FIND(",",G25,I25+1)</f>
        <v>32</v>
      </c>
      <c r="L25" s="124" t="str">
        <f>IFERROR(VLOOKUP(MID(G25,J25,K25-J25),[5]skilldef!$C:$D,2,FALSE),"-") &amp; " / " &amp; IFERROR(VLOOKUP(MID(G25,H25,I25-H25),[5]skilldef!$A:$B,2,FALSE),"-")</f>
        <v>- / -</v>
      </c>
      <c r="M25" s="124" t="str">
        <f t="shared" si="5"/>
        <v>[effect:fix_speed, target:myself, turn:1],[effect:tolerance, target:myself, turn:-1, count:-1, tolerance_effect:all, animation:enemy_tolerance],[effect:change_bomb_range, target:unit_all, val:0.7, rate:1, turn:-1, animation:bomb_small]</v>
      </c>
      <c r="N25" s="122" t="str">
        <f t="shared" ref="N25" si="80">IFERROR(LEFT(M25,FIND("],",M25)+S34),M25)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25" s="124">
        <f t="shared" ref="O25" si="81">FIND("effect:",N25)+7</f>
        <v>9</v>
      </c>
      <c r="P25" s="124">
        <f t="shared" ref="P25" si="82">IFERROR(FIND(",",N25),LEN(N25))</f>
        <v>18</v>
      </c>
      <c r="Q25" s="124">
        <f t="shared" ref="Q25" si="83">FIND("target:",N25)+7</f>
        <v>27</v>
      </c>
      <c r="R25" s="124">
        <f t="shared" ref="R25" si="84">FIND(",",N25,P25+1)</f>
        <v>33</v>
      </c>
      <c r="S25" s="124" t="str">
        <f>IFERROR(VLOOKUP(MID(N25,Q25,R25-Q25),[5]skilldef!$C:$D,2,FALSE),"-") &amp; " / " &amp; IFERROR(VLOOKUP(MID(N25,O25,P25-O25),[5]skilldef!$A:$B,2,FALSE),"-")</f>
        <v>自分自身に / 行動値設定</v>
      </c>
      <c r="T25" s="122" t="str">
        <f t="shared" ref="T25" si="85">IFERROR(RIGHT(M25,LEN(M25)-FIND("],",M25)-1),"none")</f>
        <v>[effect:tolerance, target:myself, turn:-1, count:-1, tolerance_effect:all, animation:enemy_tolerance],[effect:change_bomb_range, target:unit_all, val:0.7, rate:1, turn:-1, animation:bomb_small]</v>
      </c>
      <c r="U25" s="124">
        <f t="shared" ref="U25" si="86">FIND("effect:",T25)+7</f>
        <v>9</v>
      </c>
      <c r="V25" s="124">
        <f t="shared" ref="V25" si="87">IFERROR(FIND(",",T25),LEN(T25))</f>
        <v>18</v>
      </c>
      <c r="W25" s="124">
        <f t="shared" ref="W25" si="88">FIND("target:",T25)+7</f>
        <v>27</v>
      </c>
      <c r="X25" s="124">
        <f t="shared" ref="X25" si="89">FIND(",",T25,V25+1)</f>
        <v>33</v>
      </c>
      <c r="Y25" s="124" t="str">
        <f>IFERROR(VLOOKUP(MID(T25,W25,X25-W25),[5]skilldef!$C:$D,2,FALSE),"-") &amp; " / " &amp; IFERROR(VLOOKUP(MID(T25,U25,V25-U25),[5]skilldef!$A:$B,2,FALSE),"-")</f>
        <v>自分自身に / 状態異常耐性</v>
      </c>
      <c r="Z25" s="124" t="s">
        <v>303</v>
      </c>
      <c r="AA25" s="124"/>
      <c r="AB25" s="125"/>
    </row>
    <row r="26" spans="1:28" s="126" customFormat="1" ht="29" customHeight="1" x14ac:dyDescent="0.15">
      <c r="A26" s="122">
        <v>47012025</v>
      </c>
      <c r="B26" s="122" t="s">
        <v>550</v>
      </c>
      <c r="C26" s="123">
        <v>3</v>
      </c>
      <c r="D26" s="123" t="s">
        <v>128</v>
      </c>
      <c r="E26" s="123" t="s">
        <v>512</v>
      </c>
      <c r="F26" s="124" t="s">
        <v>483</v>
      </c>
      <c r="G26" s="124" t="str">
        <f t="shared" si="0"/>
        <v>[effect:enemy_message, val1:1.6, val2:2.7]</v>
      </c>
      <c r="H26" s="124">
        <f t="shared" ref="H26:H32" si="90">FIND("effect:",G26)+7</f>
        <v>9</v>
      </c>
      <c r="I26" s="124">
        <f t="shared" ref="I26:I32" si="91">IFERROR(FIND(",",G26),LEN(G26))</f>
        <v>22</v>
      </c>
      <c r="J26" s="124" t="e">
        <f t="shared" ref="J26:J32" si="92">FIND("target:",G26)+7</f>
        <v>#VALUE!</v>
      </c>
      <c r="K26" s="124">
        <f t="shared" ref="K26:K32" si="93">FIND(",",G26,I26+1)</f>
        <v>32</v>
      </c>
      <c r="L26" s="124" t="str">
        <f>IFERROR(VLOOKUP(MID(G26,J26,K26-J26),[5]skilldef!$C:$D,2,FALSE),"-") &amp; " / " &amp; IFERROR(VLOOKUP(MID(G26,H26,I26-H26),[5]skilldef!$A:$B,2,FALSE),"-")</f>
        <v>- / -</v>
      </c>
      <c r="M26" s="124" t="str">
        <f t="shared" si="5"/>
        <v>[effect:hungup, target:unit_machine, turn:2, rate:1, animation:hungup01],[effect:spread, val:0.25]</v>
      </c>
      <c r="N26" s="122" t="str">
        <f t="shared" ref="N26:N27" si="94">IFERROR(LEFT(M26,FIND("],",M26)+S35),M26)</f>
        <v>[effect:hungup, target:unit_machine, turn:2, rate:1, animation:hungup01],[effect:spread, val:0.25]</v>
      </c>
      <c r="O26" s="124">
        <f t="shared" ref="O26:O32" si="95">FIND("effect:",N26)+7</f>
        <v>9</v>
      </c>
      <c r="P26" s="124">
        <f t="shared" ref="P26:P32" si="96">IFERROR(FIND(",",N26),LEN(N26))</f>
        <v>15</v>
      </c>
      <c r="Q26" s="124">
        <f t="shared" ref="Q26:Q32" si="97">FIND("target:",N26)+7</f>
        <v>24</v>
      </c>
      <c r="R26" s="124">
        <f t="shared" ref="R26:R32" si="98">FIND(",",N26,P26+1)</f>
        <v>36</v>
      </c>
      <c r="S26" s="124" t="str">
        <f>IFERROR(VLOOKUP(MID(N26,Q26,R26-Q26),[5]skilldef!$C:$D,2,FALSE),"-") &amp; " / " &amp; IFERROR(VLOOKUP(MID(N26,O26,P26-O26),[5]skilldef!$A:$B,2,FALSE),"-")</f>
        <v>- / ハングアップ</v>
      </c>
      <c r="T26" s="122" t="str">
        <f t="shared" ref="T26:T32" si="99">IFERROR(RIGHT(M26,LEN(M26)-FIND("],",M26)-1),"none")</f>
        <v>[effect:spread, val:0.25]</v>
      </c>
      <c r="U26" s="124">
        <f t="shared" ref="U26:U32" si="100">FIND("effect:",T26)+7</f>
        <v>9</v>
      </c>
      <c r="V26" s="124">
        <f t="shared" ref="V26:V32" si="101">IFERROR(FIND(",",T26),LEN(T26))</f>
        <v>15</v>
      </c>
      <c r="W26" s="124" t="e">
        <f t="shared" ref="W26:W32" si="102">FIND("target:",T26)+7</f>
        <v>#VALUE!</v>
      </c>
      <c r="X26" s="124" t="e">
        <f t="shared" ref="X26:X32" si="103">FIND(",",T26,V26+1)</f>
        <v>#VALUE!</v>
      </c>
      <c r="Y26" s="124" t="str">
        <f>IFERROR(VLOOKUP(MID(T26,W26,X26-W26),[5]skilldef!$C:$D,2,FALSE),"-") &amp; " / " &amp; IFERROR(VLOOKUP(MID(T26,U26,V26-U26),[5]skilldef!$A:$B,2,FALSE),"-")</f>
        <v>- / 全体攻撃</v>
      </c>
      <c r="Z26" s="124" t="s">
        <v>304</v>
      </c>
      <c r="AA26" s="124"/>
      <c r="AB26" s="125"/>
    </row>
    <row r="27" spans="1:28" s="126" customFormat="1" ht="33" customHeight="1" x14ac:dyDescent="0.15">
      <c r="A27" s="122">
        <v>47012026</v>
      </c>
      <c r="B27" s="122" t="s">
        <v>615</v>
      </c>
      <c r="C27" s="123">
        <v>3</v>
      </c>
      <c r="D27" s="123" t="s">
        <v>128</v>
      </c>
      <c r="E27" s="123" t="s">
        <v>526</v>
      </c>
      <c r="F27" s="124" t="s">
        <v>604</v>
      </c>
      <c r="G27" s="124" t="str">
        <f t="shared" si="0"/>
        <v>[effect:enemy_message, val1:1.6, val2:2.4]</v>
      </c>
      <c r="H27" s="124">
        <f t="shared" si="90"/>
        <v>9</v>
      </c>
      <c r="I27" s="124">
        <f t="shared" si="91"/>
        <v>22</v>
      </c>
      <c r="J27" s="124" t="e">
        <f t="shared" si="92"/>
        <v>#VALUE!</v>
      </c>
      <c r="K27" s="124">
        <f t="shared" si="93"/>
        <v>32</v>
      </c>
      <c r="L27" s="124" t="str">
        <f>IFERROR(VLOOKUP(MID(G27,J27,K27-J27),[5]skilldef!$C:$D,2,FALSE),"-") &amp; " / " &amp; IFERROR(VLOOKUP(MID(G27,H27,I27-H27),[5]skilldef!$A:$B,2,FALSE),"-")</f>
        <v>- / -</v>
      </c>
      <c r="M27" s="124" t="str">
        <f t="shared" si="5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27" s="122" t="str">
        <f t="shared" si="94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27" s="124">
        <f t="shared" si="95"/>
        <v>9</v>
      </c>
      <c r="P27" s="124">
        <f t="shared" si="96"/>
        <v>27</v>
      </c>
      <c r="Q27" s="124">
        <f t="shared" si="97"/>
        <v>460</v>
      </c>
      <c r="R27" s="124">
        <f t="shared" si="98"/>
        <v>43</v>
      </c>
      <c r="S27" s="124" t="str">
        <f>IFERROR(VLOOKUP(MID(N27,Q27,R27-Q27),[5]skilldef!$C:$D,2,FALSE),"-") &amp; " / " &amp; IFERROR(VLOOKUP(MID(N27,O27,P27-O27),[5]skilldef!$A:$B,2,FALSE),"-")</f>
        <v>- / -</v>
      </c>
      <c r="T27" s="122" t="str">
        <f t="shared" si="99"/>
        <v>[effect:rush, count:1, val:1]</v>
      </c>
      <c r="U27" s="124">
        <f t="shared" si="100"/>
        <v>9</v>
      </c>
      <c r="V27" s="124">
        <f t="shared" si="101"/>
        <v>13</v>
      </c>
      <c r="W27" s="124" t="e">
        <f t="shared" si="102"/>
        <v>#VALUE!</v>
      </c>
      <c r="X27" s="124">
        <f t="shared" si="103"/>
        <v>22</v>
      </c>
      <c r="Y27" s="124" t="str">
        <f>IFERROR(VLOOKUP(MID(T27,W27,X27-W27),[5]skilldef!$C:$D,2,FALSE),"-") &amp; " / " &amp; IFERROR(VLOOKUP(MID(T27,U27,V27-U27),[5]skilldef!$A:$B,2,FALSE),"-")</f>
        <v>- / 連続攻撃</v>
      </c>
      <c r="Z27" s="124" t="s">
        <v>306</v>
      </c>
      <c r="AA27" s="125" t="s">
        <v>366</v>
      </c>
      <c r="AB27" s="123"/>
    </row>
    <row r="28" spans="1:28" s="126" customFormat="1" ht="29" customHeight="1" x14ac:dyDescent="0.15">
      <c r="A28" s="122">
        <v>47012027</v>
      </c>
      <c r="B28" s="122" t="s">
        <v>616</v>
      </c>
      <c r="C28" s="123">
        <v>3</v>
      </c>
      <c r="D28" s="123" t="s">
        <v>128</v>
      </c>
      <c r="E28" s="123" t="s">
        <v>516</v>
      </c>
      <c r="F28" s="124" t="s">
        <v>588</v>
      </c>
      <c r="G28" s="124" t="str">
        <f t="shared" si="0"/>
        <v>[effect:enemy_message, val1:1.7, val2:3.3]</v>
      </c>
      <c r="H28" s="124">
        <f t="shared" si="90"/>
        <v>9</v>
      </c>
      <c r="I28" s="124">
        <f t="shared" si="91"/>
        <v>22</v>
      </c>
      <c r="J28" s="124" t="e">
        <f t="shared" si="92"/>
        <v>#VALUE!</v>
      </c>
      <c r="K28" s="124">
        <f t="shared" si="93"/>
        <v>32</v>
      </c>
      <c r="L28" s="124" t="str">
        <f>IFERROR(VLOOKUP(MID(G28,J28,K28-J28),[5]skilldef!$C:$D,2,FALSE),"-") &amp; " / " &amp; IFERROR(VLOOKUP(MID(G28,H28,I28-H28),[5]skilldef!$A:$B,2,FALSE),"-")</f>
        <v>- / -</v>
      </c>
      <c r="M28" s="124" t="str">
        <f t="shared" si="5"/>
        <v>[effect:break_attack_fix, target:unit_one, val:1000, lowest_val:4000, count:-1, block01:crack_bomb],[effect:attack_break, target:unit_all, turn:1, val:0.1, calc:mul, animation:attack_break01]</v>
      </c>
      <c r="N28" s="122" t="str">
        <f>IFERROR(LEFT(M28,FIND("],",M28)+S39),M28)</f>
        <v>[effect:break_attack_fix, target:unit_one, val:1000, lowest_val:4000, count:-1, block01:crack_bomb],[effect:attack_break, target:unit_all, turn:1, val:0.1, calc:mul, animation:attack_break01]</v>
      </c>
      <c r="O28" s="124">
        <f t="shared" si="95"/>
        <v>9</v>
      </c>
      <c r="P28" s="124">
        <f t="shared" si="96"/>
        <v>25</v>
      </c>
      <c r="Q28" s="124">
        <f t="shared" si="97"/>
        <v>34</v>
      </c>
      <c r="R28" s="124">
        <f t="shared" si="98"/>
        <v>42</v>
      </c>
      <c r="S28" s="124" t="str">
        <f>IFERROR(VLOOKUP(MID(N28,Q28,R28-Q28),[5]skilldef!$C:$D,2,FALSE),"-") &amp; " / " &amp; IFERROR(VLOOKUP(MID(N28,O28,P28-O28),[5]skilldef!$A:$B,2,FALSE),"-")</f>
        <v>味方単体に / -</v>
      </c>
      <c r="T28" s="122" t="str">
        <f t="shared" si="99"/>
        <v>[effect:attack_break, target:unit_all, turn:1, val:0.1, calc:mul, animation:attack_break01]</v>
      </c>
      <c r="U28" s="124">
        <f t="shared" si="100"/>
        <v>9</v>
      </c>
      <c r="V28" s="124">
        <f t="shared" si="101"/>
        <v>21</v>
      </c>
      <c r="W28" s="124">
        <f t="shared" si="102"/>
        <v>30</v>
      </c>
      <c r="X28" s="124">
        <f t="shared" si="103"/>
        <v>38</v>
      </c>
      <c r="Y28" s="124" t="str">
        <f>IFERROR(VLOOKUP(MID(T28,W28,X28-W28),[5]skilldef!$C:$D,2,FALSE),"-") &amp; " / " &amp; IFERROR(VLOOKUP(MID(T28,U28,V28-U28),[5]skilldef!$A:$B,2,FALSE),"-")</f>
        <v>味方全体に / -</v>
      </c>
      <c r="Z28" s="124" t="s">
        <v>307</v>
      </c>
      <c r="AA28" s="125"/>
      <c r="AB28" s="123"/>
    </row>
    <row r="29" spans="1:28" s="126" customFormat="1" ht="21" customHeight="1" x14ac:dyDescent="0.15">
      <c r="A29" s="122">
        <v>47012028</v>
      </c>
      <c r="B29" s="122" t="s">
        <v>530</v>
      </c>
      <c r="C29" s="123">
        <v>3</v>
      </c>
      <c r="D29" s="123" t="s">
        <v>128</v>
      </c>
      <c r="E29" s="123" t="s">
        <v>514</v>
      </c>
      <c r="F29" s="124" t="s">
        <v>312</v>
      </c>
      <c r="G29" s="124" t="str">
        <f t="shared" si="0"/>
        <v>[effect:enemy_message, val1:1.7, val2:1.2]</v>
      </c>
      <c r="H29" s="124">
        <f t="shared" si="90"/>
        <v>9</v>
      </c>
      <c r="I29" s="124">
        <f t="shared" si="91"/>
        <v>22</v>
      </c>
      <c r="J29" s="124" t="e">
        <f t="shared" si="92"/>
        <v>#VALUE!</v>
      </c>
      <c r="K29" s="124">
        <f t="shared" si="93"/>
        <v>32</v>
      </c>
      <c r="L29" s="124" t="str">
        <f>IFERROR(VLOOKUP(MID(G29,J29,K29-J29),[5]skilldef!$C:$D,2,FALSE),"-") &amp; " / " &amp; IFERROR(VLOOKUP(MID(G29,H29,I29-H29),[5]skilldef!$A:$B,2,FALSE),"-")</f>
        <v>- / -</v>
      </c>
      <c r="M29" s="124" t="str">
        <f t="shared" si="5"/>
        <v>[effect:spread, val:0.3]</v>
      </c>
      <c r="N29" s="122" t="str">
        <f>IFERROR(LEFT(M29,FIND("],",M29)+#REF!),M29)</f>
        <v>[effect:spread, val:0.3]</v>
      </c>
      <c r="O29" s="124">
        <f t="shared" si="95"/>
        <v>9</v>
      </c>
      <c r="P29" s="124">
        <f t="shared" si="96"/>
        <v>15</v>
      </c>
      <c r="Q29" s="124" t="e">
        <f t="shared" si="97"/>
        <v>#VALUE!</v>
      </c>
      <c r="R29" s="124" t="e">
        <f t="shared" si="98"/>
        <v>#VALUE!</v>
      </c>
      <c r="S29" s="124" t="str">
        <f>IFERROR(VLOOKUP(MID(N29,Q29,R29-Q29),[5]skilldef!$C:$D,2,FALSE),"-") &amp; " / " &amp; IFERROR(VLOOKUP(MID(N29,O29,P29-O29),[5]skilldef!$A:$B,2,FALSE),"-")</f>
        <v>- / 全体攻撃</v>
      </c>
      <c r="T29" s="122" t="str">
        <f t="shared" si="99"/>
        <v>none</v>
      </c>
      <c r="U29" s="124" t="e">
        <f t="shared" si="100"/>
        <v>#VALUE!</v>
      </c>
      <c r="V29" s="124">
        <f t="shared" si="101"/>
        <v>4</v>
      </c>
      <c r="W29" s="124" t="e">
        <f t="shared" si="102"/>
        <v>#VALUE!</v>
      </c>
      <c r="X29" s="124" t="e">
        <f t="shared" si="103"/>
        <v>#VALUE!</v>
      </c>
      <c r="Y29" s="124" t="str">
        <f>IFERROR(VLOOKUP(MID(T29,W29,X29-W29),[5]skilldef!$C:$D,2,FALSE),"-") &amp; " / " &amp; IFERROR(VLOOKUP(MID(T29,U29,V29-U29),[5]skilldef!$A:$B,2,FALSE),"-")</f>
        <v>- / -</v>
      </c>
      <c r="Z29" s="124" t="s">
        <v>308</v>
      </c>
      <c r="AA29" s="125"/>
      <c r="AB29" s="123"/>
    </row>
    <row r="30" spans="1:28" s="126" customFormat="1" ht="34" customHeight="1" x14ac:dyDescent="0.15">
      <c r="A30" s="122">
        <v>47012029</v>
      </c>
      <c r="B30" s="122" t="s">
        <v>617</v>
      </c>
      <c r="C30" s="123">
        <v>3</v>
      </c>
      <c r="D30" s="123" t="s">
        <v>128</v>
      </c>
      <c r="E30" s="123" t="s">
        <v>525</v>
      </c>
      <c r="F30" s="124" t="s">
        <v>604</v>
      </c>
      <c r="G30" s="124" t="str">
        <f t="shared" si="0"/>
        <v>[effect:enemy_message, val1:1.7, val2:2.4]</v>
      </c>
      <c r="H30" s="124">
        <f t="shared" si="90"/>
        <v>9</v>
      </c>
      <c r="I30" s="124">
        <f t="shared" si="91"/>
        <v>22</v>
      </c>
      <c r="J30" s="124" t="e">
        <f t="shared" si="92"/>
        <v>#VALUE!</v>
      </c>
      <c r="K30" s="124">
        <f t="shared" si="93"/>
        <v>32</v>
      </c>
      <c r="L30" s="124" t="str">
        <f>IFERROR(VLOOKUP(MID(G30,J30,K30-J30),[5]skilldef!$C:$D,2,FALSE),"-") &amp; " / " &amp; IFERROR(VLOOKUP(MID(G30,H30,I30-H30),[5]skilldef!$A:$B,2,FALSE),"-")</f>
        <v>- / -</v>
      </c>
      <c r="M30" s="124" t="str">
        <f t="shared" si="5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30" s="122" t="str">
        <f>IFERROR(LEFT(M30,FIND("],",M30)+S40),M30)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30" s="124">
        <f t="shared" si="95"/>
        <v>9</v>
      </c>
      <c r="P30" s="124">
        <f t="shared" si="96"/>
        <v>27</v>
      </c>
      <c r="Q30" s="124">
        <f t="shared" si="97"/>
        <v>460</v>
      </c>
      <c r="R30" s="124">
        <f t="shared" si="98"/>
        <v>43</v>
      </c>
      <c r="S30" s="124" t="str">
        <f>IFERROR(VLOOKUP(MID(N30,Q30,R30-Q30),[5]skilldef!$C:$D,2,FALSE),"-") &amp; " / " &amp; IFERROR(VLOOKUP(MID(N30,O30,P30-O30),[5]skilldef!$A:$B,2,FALSE),"-")</f>
        <v>- / -</v>
      </c>
      <c r="T30" s="122" t="str">
        <f t="shared" si="99"/>
        <v>[effect:rush, count:1, val:1]</v>
      </c>
      <c r="U30" s="124">
        <f t="shared" si="100"/>
        <v>9</v>
      </c>
      <c r="V30" s="124">
        <f t="shared" si="101"/>
        <v>13</v>
      </c>
      <c r="W30" s="124" t="e">
        <f t="shared" si="102"/>
        <v>#VALUE!</v>
      </c>
      <c r="X30" s="124">
        <f t="shared" si="103"/>
        <v>22</v>
      </c>
      <c r="Y30" s="124" t="str">
        <f>IFERROR(VLOOKUP(MID(T30,W30,X30-W30),[5]skilldef!$C:$D,2,FALSE),"-") &amp; " / " &amp; IFERROR(VLOOKUP(MID(T30,U30,V30-U30),[5]skilldef!$A:$B,2,FALSE),"-")</f>
        <v>- / 連続攻撃</v>
      </c>
      <c r="Z30" s="124" t="s">
        <v>309</v>
      </c>
      <c r="AA30" s="125" t="s">
        <v>366</v>
      </c>
      <c r="AB30" s="123"/>
    </row>
    <row r="31" spans="1:28" s="126" customFormat="1" ht="37" customHeight="1" x14ac:dyDescent="0.15">
      <c r="A31" s="122">
        <v>47012030</v>
      </c>
      <c r="B31" s="122" t="s">
        <v>618</v>
      </c>
      <c r="C31" s="123">
        <v>3</v>
      </c>
      <c r="D31" s="123" t="s">
        <v>128</v>
      </c>
      <c r="E31" s="123" t="s">
        <v>513</v>
      </c>
      <c r="F31" s="124" t="s">
        <v>589</v>
      </c>
      <c r="G31" s="124" t="str">
        <f t="shared" si="0"/>
        <v>[effect:enemy_message, val1:1.3, val2:3.0]</v>
      </c>
      <c r="H31" s="124">
        <f t="shared" si="90"/>
        <v>9</v>
      </c>
      <c r="I31" s="124">
        <f t="shared" si="91"/>
        <v>22</v>
      </c>
      <c r="J31" s="124" t="e">
        <f t="shared" si="92"/>
        <v>#VALUE!</v>
      </c>
      <c r="K31" s="124">
        <f t="shared" si="93"/>
        <v>32</v>
      </c>
      <c r="L31" s="124" t="str">
        <f>IFERROR(VLOOKUP(MID(G31,J31,K31-J31),[5]skilldef!$C:$D,2,FALSE),"-") &amp; " / " &amp; IFERROR(VLOOKUP(MID(G31,H31,I31-H31),[5]skilldef!$A:$B,2,FALSE),"-")</f>
        <v>- / -</v>
      </c>
      <c r="M31" s="124" t="str">
        <f t="shared" si="5"/>
        <v>[effect:break_attack_fix, target:unit_one, val:1000, lowest_val:4000, count:-1, block01:crack_bomb],[effect:hungup, target:unit_all, turn:1, rate:1, animation:hungup01]</v>
      </c>
      <c r="N31" s="122" t="str">
        <f>IFERROR(LEFT(M31,FIND("],",M31)+S41),M31)</f>
        <v>[effect:break_attack_fix, target:unit_one, val:1000, lowest_val:4000, count:-1, block01:crack_bomb],[effect:hungup, target:unit_all, turn:1, rate:1, animation:hungup01]</v>
      </c>
      <c r="O31" s="124">
        <f t="shared" si="95"/>
        <v>9</v>
      </c>
      <c r="P31" s="124">
        <f t="shared" si="96"/>
        <v>25</v>
      </c>
      <c r="Q31" s="124">
        <f t="shared" si="97"/>
        <v>34</v>
      </c>
      <c r="R31" s="124">
        <f t="shared" si="98"/>
        <v>42</v>
      </c>
      <c r="S31" s="124" t="str">
        <f>IFERROR(VLOOKUP(MID(N31,Q31,R31-Q31),[5]skilldef!$C:$D,2,FALSE),"-") &amp; " / " &amp; IFERROR(VLOOKUP(MID(N31,O31,P31-O31),[5]skilldef!$A:$B,2,FALSE),"-")</f>
        <v>味方単体に / -</v>
      </c>
      <c r="T31" s="122" t="str">
        <f t="shared" si="99"/>
        <v>[effect:hungup, target:unit_all, turn:1, rate:1, animation:hungup01]</v>
      </c>
      <c r="U31" s="124">
        <f t="shared" si="100"/>
        <v>9</v>
      </c>
      <c r="V31" s="124">
        <f t="shared" si="101"/>
        <v>15</v>
      </c>
      <c r="W31" s="124">
        <f t="shared" si="102"/>
        <v>24</v>
      </c>
      <c r="X31" s="124">
        <f t="shared" si="103"/>
        <v>32</v>
      </c>
      <c r="Y31" s="124" t="str">
        <f>IFERROR(VLOOKUP(MID(T31,W31,X31-W31),[5]skilldef!$C:$D,2,FALSE),"-") &amp; " / " &amp; IFERROR(VLOOKUP(MID(T31,U31,V31-U31),[5]skilldef!$A:$B,2,FALSE),"-")</f>
        <v>味方全体に / ハングアップ</v>
      </c>
      <c r="Z31" s="124" t="s">
        <v>310</v>
      </c>
      <c r="AA31" s="125"/>
      <c r="AB31" s="123"/>
    </row>
    <row r="32" spans="1:28" s="126" customFormat="1" ht="21" customHeight="1" x14ac:dyDescent="0.15">
      <c r="A32" s="122">
        <v>47012031</v>
      </c>
      <c r="B32" s="122" t="s">
        <v>530</v>
      </c>
      <c r="C32" s="123">
        <v>3</v>
      </c>
      <c r="D32" s="123" t="s">
        <v>128</v>
      </c>
      <c r="E32" s="123" t="s">
        <v>514</v>
      </c>
      <c r="F32" s="124" t="s">
        <v>312</v>
      </c>
      <c r="G32" s="124" t="str">
        <f t="shared" si="0"/>
        <v>[effect:enemy_message, val1:1.7, val2:1.2]</v>
      </c>
      <c r="H32" s="124">
        <f t="shared" si="90"/>
        <v>9</v>
      </c>
      <c r="I32" s="124">
        <f t="shared" si="91"/>
        <v>22</v>
      </c>
      <c r="J32" s="124" t="e">
        <f t="shared" si="92"/>
        <v>#VALUE!</v>
      </c>
      <c r="K32" s="124">
        <f t="shared" si="93"/>
        <v>32</v>
      </c>
      <c r="L32" s="124" t="str">
        <f>IFERROR(VLOOKUP(MID(G32,J32,K32-J32),[5]skilldef!$C:$D,2,FALSE),"-") &amp; " / " &amp; IFERROR(VLOOKUP(MID(G32,H32,I32-H32),[5]skilldef!$A:$B,2,FALSE),"-")</f>
        <v>- / -</v>
      </c>
      <c r="M32" s="124" t="str">
        <f t="shared" si="5"/>
        <v>[effect:spread, val:0.3]</v>
      </c>
      <c r="N32" s="122" t="str">
        <f>IFERROR(LEFT(M32,FIND("],",M32)+S42),M32)</f>
        <v>[effect:spread, val:0.3]</v>
      </c>
      <c r="O32" s="124">
        <f t="shared" si="95"/>
        <v>9</v>
      </c>
      <c r="P32" s="124">
        <f t="shared" si="96"/>
        <v>15</v>
      </c>
      <c r="Q32" s="124" t="e">
        <f t="shared" si="97"/>
        <v>#VALUE!</v>
      </c>
      <c r="R32" s="124" t="e">
        <f t="shared" si="98"/>
        <v>#VALUE!</v>
      </c>
      <c r="S32" s="124" t="str">
        <f>IFERROR(VLOOKUP(MID(N32,Q32,R32-Q32),[5]skilldef!$C:$D,2,FALSE),"-") &amp; " / " &amp; IFERROR(VLOOKUP(MID(N32,O32,P32-O32),[5]skilldef!$A:$B,2,FALSE),"-")</f>
        <v>- / 全体攻撃</v>
      </c>
      <c r="T32" s="122" t="str">
        <f t="shared" si="99"/>
        <v>none</v>
      </c>
      <c r="U32" s="124" t="e">
        <f t="shared" si="100"/>
        <v>#VALUE!</v>
      </c>
      <c r="V32" s="124">
        <f t="shared" si="101"/>
        <v>4</v>
      </c>
      <c r="W32" s="124" t="e">
        <f t="shared" si="102"/>
        <v>#VALUE!</v>
      </c>
      <c r="X32" s="124" t="e">
        <f t="shared" si="103"/>
        <v>#VALUE!</v>
      </c>
      <c r="Y32" s="124" t="str">
        <f>IFERROR(VLOOKUP(MID(T32,W32,X32-W32),[5]skilldef!$C:$D,2,FALSE),"-") &amp; " / " &amp; IFERROR(VLOOKUP(MID(T32,U32,V32-U32),[5]skilldef!$A:$B,2,FALSE),"-")</f>
        <v>- / -</v>
      </c>
      <c r="Z32" s="124" t="s">
        <v>311</v>
      </c>
      <c r="AA32" s="125"/>
      <c r="AB32" s="123"/>
    </row>
    <row r="33" spans="1:28" s="131" customFormat="1" ht="32" customHeight="1" x14ac:dyDescent="0.15">
      <c r="A33" s="127">
        <v>47012032</v>
      </c>
      <c r="B33" s="127" t="s">
        <v>619</v>
      </c>
      <c r="C33" s="128">
        <v>3</v>
      </c>
      <c r="D33" s="128" t="s">
        <v>128</v>
      </c>
      <c r="E33" s="129" t="s">
        <v>518</v>
      </c>
      <c r="F33" s="129" t="s">
        <v>590</v>
      </c>
      <c r="G33" s="129" t="str">
        <f t="shared" si="0"/>
        <v>[effect:enemy_message, val1:2.0, val2:1.9]</v>
      </c>
      <c r="H33" s="129">
        <f t="shared" ref="H33" si="104">FIND("effect:",G33)+7</f>
        <v>9</v>
      </c>
      <c r="I33" s="129">
        <f t="shared" ref="I33" si="105">IFERROR(FIND(",",G33),LEN(G33))</f>
        <v>22</v>
      </c>
      <c r="J33" s="129" t="e">
        <f t="shared" ref="J33" si="106">FIND("target:",G33)+7</f>
        <v>#VALUE!</v>
      </c>
      <c r="K33" s="129">
        <f t="shared" ref="K33" si="107">FIND(",",G33,I33+1)</f>
        <v>32</v>
      </c>
      <c r="L33" s="129" t="str">
        <f>IFERROR(VLOOKUP(MID(G33,J33,K33-J33),[5]skilldef!$C:$D,2,FALSE),"-") &amp; " / " &amp; IFERROR(VLOOKUP(MID(G33,H33,I33-H33),[5]skilldef!$A:$B,2,FALSE),"-")</f>
        <v>- / -</v>
      </c>
      <c r="M33" s="129" t="str">
        <f t="shared" si="5"/>
        <v>[effect:fix_speed, target:myself, turn:1],[effect:tolerance, target:myself, turn:-1, count:-1, tolerance_effect:all, animation:enemy_tolerance],[effect:break_attack_fix, target:unit_one, val:4500, lowest_val:1, count:-1, block01:crack_bomb]</v>
      </c>
      <c r="N33" s="127" t="str">
        <f>IFERROR(LEFT(M33,FIND("],",M33)+S43),M33)</f>
        <v>[effect:fix_speed, target:myself, turn:1],[effect:tolerance, target:myself, turn:-1, count:-1, tolerance_effect:all, animation:enemy_tolerance],[effect:break_attack_fix, target:unit_one, val:4500, lowest_val:1, count:-1, block01:crack_bomb]</v>
      </c>
      <c r="O33" s="129">
        <f t="shared" ref="O33" si="108">FIND("effect:",N33)+7</f>
        <v>9</v>
      </c>
      <c r="P33" s="129">
        <f t="shared" ref="P33" si="109">IFERROR(FIND(",",N33),LEN(N33))</f>
        <v>18</v>
      </c>
      <c r="Q33" s="129">
        <f t="shared" ref="Q33" si="110">FIND("target:",N33)+7</f>
        <v>27</v>
      </c>
      <c r="R33" s="129">
        <f t="shared" ref="R33" si="111">FIND(",",N33,P33+1)</f>
        <v>33</v>
      </c>
      <c r="S33" s="129" t="str">
        <f>IFERROR(VLOOKUP(MID(N33,Q33,R33-Q33),[5]skilldef!$C:$D,2,FALSE),"-") &amp; " / " &amp; IFERROR(VLOOKUP(MID(N33,O33,P33-O33),[5]skilldef!$A:$B,2,FALSE),"-")</f>
        <v>自分自身に / 行動値設定</v>
      </c>
      <c r="T33" s="127" t="str">
        <f t="shared" ref="T33" si="112">IFERROR(RIGHT(M33,LEN(M33)-FIND("],",M33)-1),"none")</f>
        <v>[effect:tolerance, target:myself, turn:-1, count:-1, tolerance_effect:all, animation:enemy_tolerance],[effect:break_attack_fix, target:unit_one, val:4500, lowest_val:1, count:-1, block01:crack_bomb]</v>
      </c>
      <c r="U33" s="129">
        <f t="shared" ref="U33" si="113">FIND("effect:",T33)+7</f>
        <v>9</v>
      </c>
      <c r="V33" s="129">
        <f t="shared" ref="V33" si="114">IFERROR(FIND(",",T33),LEN(T33))</f>
        <v>18</v>
      </c>
      <c r="W33" s="129">
        <f t="shared" ref="W33" si="115">FIND("target:",T33)+7</f>
        <v>27</v>
      </c>
      <c r="X33" s="129">
        <f t="shared" ref="X33" si="116">FIND(",",T33,V33+1)</f>
        <v>33</v>
      </c>
      <c r="Y33" s="129" t="str">
        <f>IFERROR(VLOOKUP(MID(T33,W33,X33-W33),[5]skilldef!$C:$D,2,FALSE),"-") &amp; " / " &amp; IFERROR(VLOOKUP(MID(T33,U33,V33-U33),[5]skilldef!$A:$B,2,FALSE),"-")</f>
        <v>自分自身に / 状態異常耐性</v>
      </c>
      <c r="Z33" s="129" t="s">
        <v>316</v>
      </c>
      <c r="AA33" s="130"/>
      <c r="AB33" s="128"/>
    </row>
    <row r="34" spans="1:28" s="131" customFormat="1" ht="30" customHeight="1" x14ac:dyDescent="0.15">
      <c r="A34" s="127">
        <v>47012033</v>
      </c>
      <c r="B34" s="127" t="s">
        <v>551</v>
      </c>
      <c r="C34" s="128">
        <v>3</v>
      </c>
      <c r="D34" s="128" t="s">
        <v>128</v>
      </c>
      <c r="E34" s="129" t="s">
        <v>515</v>
      </c>
      <c r="F34" s="129" t="s">
        <v>484</v>
      </c>
      <c r="G34" s="129" t="str">
        <f t="shared" ref="G34:G65" si="117">IFERROR(LEFT(B34,FIND("],",B34)),B34)</f>
        <v>[effect:enemy_message, val1:1.3, val2:2.4]</v>
      </c>
      <c r="H34" s="129">
        <f t="shared" ref="H34:H44" si="118">FIND("effect:",G34)+7</f>
        <v>9</v>
      </c>
      <c r="I34" s="129">
        <f t="shared" ref="I34:I44" si="119">IFERROR(FIND(",",G34),LEN(G34))</f>
        <v>22</v>
      </c>
      <c r="J34" s="129" t="e">
        <f t="shared" ref="J34:J44" si="120">FIND("target:",G34)+7</f>
        <v>#VALUE!</v>
      </c>
      <c r="K34" s="129">
        <f t="shared" ref="K34:K44" si="121">FIND(",",G34,I34+1)</f>
        <v>32</v>
      </c>
      <c r="L34" s="129" t="str">
        <f>IFERROR(VLOOKUP(MID(G34,J34,K34-J34),[5]skilldef!$C:$D,2,FALSE),"-") &amp; " / " &amp; IFERROR(VLOOKUP(MID(G34,H34,I34-H34),[5]skilldef!$A:$B,2,FALSE),"-")</f>
        <v>- / -</v>
      </c>
      <c r="M34" s="129" t="str">
        <f t="shared" ref="M34:M65" si="122">IFERROR(RIGHT(B34,LEN(B34)-FIND("],",B34)-1),"none")</f>
        <v>[effect:degrade_unit, target:unit_all, turn:2, status:action, val:1, calc:add, animation:enemy_tap_down],[effect:spread, val:0.25]</v>
      </c>
      <c r="N34" s="127" t="str">
        <f>IFERROR(LEFT(M34,FIND("],",M34)+#REF!),M34)</f>
        <v>[effect:degrade_unit, target:unit_all, turn:2, status:action, val:1, calc:add, animation:enemy_tap_down],[effect:spread, val:0.25]</v>
      </c>
      <c r="O34" s="129">
        <f t="shared" ref="O34:O44" si="123">FIND("effect:",N34)+7</f>
        <v>9</v>
      </c>
      <c r="P34" s="129">
        <f t="shared" ref="P34:P44" si="124">IFERROR(FIND(",",N34),LEN(N34))</f>
        <v>21</v>
      </c>
      <c r="Q34" s="129">
        <f t="shared" ref="Q34:Q44" si="125">FIND("target:",N34)+7</f>
        <v>30</v>
      </c>
      <c r="R34" s="129">
        <f t="shared" ref="R34:R44" si="126">FIND(",",N34,P34+1)</f>
        <v>38</v>
      </c>
      <c r="S34" s="129" t="str">
        <f>IFERROR(VLOOKUP(MID(N34,Q34,R34-Q34),[5]skilldef!$C:$D,2,FALSE),"-") &amp; " / " &amp; IFERROR(VLOOKUP(MID(N34,O34,P34-O34),[5]skilldef!$A:$B,2,FALSE),"-")</f>
        <v>味方全体に / ステータスDOWN</v>
      </c>
      <c r="T34" s="127" t="str">
        <f t="shared" ref="T34:T44" si="127">IFERROR(RIGHT(M34,LEN(M34)-FIND("],",M34)-1),"none")</f>
        <v>[effect:spread, val:0.25]</v>
      </c>
      <c r="U34" s="129">
        <f t="shared" ref="U34:U44" si="128">FIND("effect:",T34)+7</f>
        <v>9</v>
      </c>
      <c r="V34" s="129">
        <f t="shared" ref="V34:V44" si="129">IFERROR(FIND(",",T34),LEN(T34))</f>
        <v>15</v>
      </c>
      <c r="W34" s="129" t="e">
        <f t="shared" ref="W34:W44" si="130">FIND("target:",T34)+7</f>
        <v>#VALUE!</v>
      </c>
      <c r="X34" s="129" t="e">
        <f t="shared" ref="X34:X44" si="131">FIND(",",T34,V34+1)</f>
        <v>#VALUE!</v>
      </c>
      <c r="Y34" s="129" t="str">
        <f>IFERROR(VLOOKUP(MID(T34,W34,X34-W34),[5]skilldef!$C:$D,2,FALSE),"-") &amp; " / " &amp; IFERROR(VLOOKUP(MID(T34,U34,V34-U34),[5]skilldef!$A:$B,2,FALSE),"-")</f>
        <v>- / 全体攻撃</v>
      </c>
      <c r="Z34" s="129" t="s">
        <v>317</v>
      </c>
      <c r="AA34" s="130"/>
      <c r="AB34" s="128"/>
    </row>
    <row r="35" spans="1:28" s="131" customFormat="1" ht="33" customHeight="1" x14ac:dyDescent="0.15">
      <c r="A35" s="127">
        <v>47012034</v>
      </c>
      <c r="B35" s="127" t="s">
        <v>552</v>
      </c>
      <c r="C35" s="128">
        <v>3</v>
      </c>
      <c r="D35" s="128" t="s">
        <v>128</v>
      </c>
      <c r="E35" s="129" t="s">
        <v>517</v>
      </c>
      <c r="F35" s="129" t="s">
        <v>497</v>
      </c>
      <c r="G35" s="129" t="str">
        <f t="shared" si="117"/>
        <v>[effect:enemy_message, val1:1.7, val2:4.2]</v>
      </c>
      <c r="H35" s="129">
        <f t="shared" si="118"/>
        <v>9</v>
      </c>
      <c r="I35" s="129">
        <f t="shared" si="119"/>
        <v>22</v>
      </c>
      <c r="J35" s="129" t="e">
        <f t="shared" si="120"/>
        <v>#VALUE!</v>
      </c>
      <c r="K35" s="129">
        <f t="shared" si="121"/>
        <v>32</v>
      </c>
      <c r="L35" s="129" t="str">
        <f>IFERROR(VLOOKUP(MID(G35,J35,K35-J35),[5]skilldef!$C:$D,2,FALSE),"-") &amp; " / " &amp; IFERROR(VLOOKUP(MID(G35,H35,I35-H35),[5]skilldef!$A:$B,2,FALSE),"-")</f>
        <v>- / -</v>
      </c>
      <c r="M35" s="129" t="str">
        <f t="shared" si="122"/>
        <v>[effect:hungup, target:unit_machine, turn:2, rate:1, animation:hungup01],[effect:force_change_magnet, target:normal, color:block_red, count:1, red:1, green:1, blue:0, yellow:0, heart:0, reverse:0, generate:0, turn:2, animation:change_block]</v>
      </c>
      <c r="N35" s="127" t="str">
        <f>IFERROR(LEFT(M35,FIND("],",M35)+S44),M35)</f>
        <v>[effect:hungup, target:unit_machine, turn:2, rate:1, animation:hungup01],[effect:force_change_magnet, target:normal, color:block_red, count:1, red:1, green:1, blue:0, yellow:0, heart:0, reverse:0, generate:0, turn:2, animation:change_block]</v>
      </c>
      <c r="O35" s="129">
        <f t="shared" si="123"/>
        <v>9</v>
      </c>
      <c r="P35" s="129">
        <f t="shared" si="124"/>
        <v>15</v>
      </c>
      <c r="Q35" s="129">
        <f t="shared" si="125"/>
        <v>24</v>
      </c>
      <c r="R35" s="129">
        <f t="shared" si="126"/>
        <v>36</v>
      </c>
      <c r="S35" s="129" t="str">
        <f>IFERROR(VLOOKUP(MID(N35,Q35,R35-Q35),[5]skilldef!$C:$D,2,FALSE),"-") &amp; " / " &amp; IFERROR(VLOOKUP(MID(N35,O35,P35-O35),[5]skilldef!$A:$B,2,FALSE),"-")</f>
        <v>- / ハングアップ</v>
      </c>
      <c r="T35" s="127" t="str">
        <f t="shared" si="127"/>
        <v>[effect:force_change_magnet, target:normal, color:block_red, count:1, red:1, green:1, blue:0, yellow:0, heart:0, reverse:0, generate:0, turn:2, animation:change_block]</v>
      </c>
      <c r="U35" s="129">
        <f t="shared" si="128"/>
        <v>9</v>
      </c>
      <c r="V35" s="129">
        <f t="shared" si="129"/>
        <v>28</v>
      </c>
      <c r="W35" s="129">
        <f t="shared" si="130"/>
        <v>37</v>
      </c>
      <c r="X35" s="129">
        <f t="shared" si="131"/>
        <v>43</v>
      </c>
      <c r="Y35" s="129" t="str">
        <f>IFERROR(VLOOKUP(MID(T35,W35,X35-W35),[5]skilldef!$C:$D,2,FALSE),"-") &amp; " / " &amp; IFERROR(VLOOKUP(MID(T35,U35,V35-U35),[5]skilldef!$A:$B,2,FALSE),"-")</f>
        <v>- / -</v>
      </c>
      <c r="Z35" s="129" t="s">
        <v>318</v>
      </c>
      <c r="AA35" s="130"/>
      <c r="AB35" s="128"/>
    </row>
    <row r="36" spans="1:28" s="131" customFormat="1" ht="46" customHeight="1" x14ac:dyDescent="0.15">
      <c r="A36" s="127">
        <v>47012035</v>
      </c>
      <c r="B36" s="127" t="s">
        <v>620</v>
      </c>
      <c r="C36" s="128">
        <v>3</v>
      </c>
      <c r="D36" s="128" t="s">
        <v>128</v>
      </c>
      <c r="E36" s="129" t="s">
        <v>422</v>
      </c>
      <c r="F36" s="129" t="s">
        <v>605</v>
      </c>
      <c r="G36" s="129" t="str">
        <f t="shared" si="117"/>
        <v>[effect:enemy_message, val1:1.2, val2:2.8]</v>
      </c>
      <c r="H36" s="129">
        <f t="shared" si="118"/>
        <v>9</v>
      </c>
      <c r="I36" s="129">
        <f t="shared" si="119"/>
        <v>22</v>
      </c>
      <c r="J36" s="129" t="e">
        <f t="shared" si="120"/>
        <v>#VALUE!</v>
      </c>
      <c r="K36" s="129">
        <f t="shared" si="121"/>
        <v>32</v>
      </c>
      <c r="L36" s="129" t="str">
        <f>IFERROR(VLOOKUP(MID(G36,J36,K36-J36),[5]skilldef!$C:$D,2,FALSE),"-") &amp; " / " &amp; IFERROR(VLOOKUP(MID(G36,H36,I36-H36),[5]skilldef!$A:$B,2,FALSE),"-")</f>
        <v>- / -</v>
      </c>
      <c r="M36" s="129" t="str">
        <f t="shared" si="122"/>
        <v>[effect:change_range_block, block_change:1, base_type:0, square_count:3, position01:0, value_h01:3.0, value_w01:1.0, new_block:time_bomb, target:block_all, ignore01:magnet, color:block_random, count:0, val:0.05,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N36" s="127" t="str">
        <f>IFERROR(LEFT(M36,FIND("],",M36)+S45),M36)</f>
        <v>[effect:change_range_block, block_change:1, base_type:0, square_count:3, position01:0, value_h01:3.0, value_w01:1.0, new_block:time_bomb, target:block_all, ignore01:magnet, color:block_random, count:0, val:0.05,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O36" s="129">
        <f t="shared" si="123"/>
        <v>9</v>
      </c>
      <c r="P36" s="129">
        <f t="shared" si="124"/>
        <v>27</v>
      </c>
      <c r="Q36" s="129">
        <f t="shared" si="125"/>
        <v>146</v>
      </c>
      <c r="R36" s="129">
        <f t="shared" si="126"/>
        <v>43</v>
      </c>
      <c r="S36" s="129" t="str">
        <f>IFERROR(VLOOKUP(MID(N36,Q36,R36-Q36),[5]skilldef!$C:$D,2,FALSE),"-") &amp; " / " &amp; IFERROR(VLOOKUP(MID(N36,O36,P36-O36),[5]skilldef!$A:$B,2,FALSE),"-")</f>
        <v>- / -</v>
      </c>
      <c r="T36" s="127" t="str">
        <f t="shared" si="127"/>
        <v>[effect:change_range_block, block_change:1, base_type:0, square_count:3, position01:1, value_h01:3.0, value_w01:1.0, new_block:block_red, target:block_all, ignore01:magnet, count:0, val:0, animation:change_range_block],[effect:rush, count:1, val:1]</v>
      </c>
      <c r="U36" s="129">
        <f t="shared" si="128"/>
        <v>9</v>
      </c>
      <c r="V36" s="129">
        <f t="shared" si="129"/>
        <v>27</v>
      </c>
      <c r="W36" s="129">
        <f t="shared" si="130"/>
        <v>146</v>
      </c>
      <c r="X36" s="129">
        <f t="shared" si="131"/>
        <v>43</v>
      </c>
      <c r="Y36" s="129" t="str">
        <f>IFERROR(VLOOKUP(MID(T36,W36,X36-W36),[5]skilldef!$C:$D,2,FALSE),"-") &amp; " / " &amp; IFERROR(VLOOKUP(MID(T36,U36,V36-U36),[5]skilldef!$A:$B,2,FALSE),"-")</f>
        <v>- / -</v>
      </c>
      <c r="Z36" s="129" t="s">
        <v>319</v>
      </c>
      <c r="AA36" s="130"/>
      <c r="AB36" s="128"/>
    </row>
    <row r="37" spans="1:28" s="131" customFormat="1" ht="44" customHeight="1" x14ac:dyDescent="0.15">
      <c r="A37" s="127">
        <v>47012036</v>
      </c>
      <c r="B37" s="127" t="s">
        <v>621</v>
      </c>
      <c r="C37" s="128">
        <v>3</v>
      </c>
      <c r="D37" s="128" t="s">
        <v>128</v>
      </c>
      <c r="E37" s="129" t="s">
        <v>519</v>
      </c>
      <c r="F37" s="129" t="s">
        <v>591</v>
      </c>
      <c r="G37" s="129" t="str">
        <f t="shared" si="117"/>
        <v>[effect:enemy_message, val1:1.9, val2:5.3]</v>
      </c>
      <c r="H37" s="129">
        <f t="shared" ref="H37" si="132">FIND("effect:",G37)+7</f>
        <v>9</v>
      </c>
      <c r="I37" s="129">
        <f t="shared" ref="I37" si="133">IFERROR(FIND(",",G37),LEN(G37))</f>
        <v>22</v>
      </c>
      <c r="J37" s="129" t="e">
        <f t="shared" ref="J37" si="134">FIND("target:",G37)+7</f>
        <v>#VALUE!</v>
      </c>
      <c r="K37" s="129">
        <f t="shared" ref="K37" si="135">FIND(",",G37,I37+1)</f>
        <v>32</v>
      </c>
      <c r="L37" s="129" t="str">
        <f>IFERROR(VLOOKUP(MID(G37,J37,K37-J37),[5]skilldef!$C:$D,2,FALSE),"-") &amp; " / " &amp; IFERROR(VLOOKUP(MID(G37,H37,I37-H37),[5]skilldef!$A:$B,2,FALSE),"-")</f>
        <v>- / -</v>
      </c>
      <c r="M37" s="129" t="str">
        <f t="shared" si="122"/>
        <v>[effect:break_attack_fix, target:unit_one, val:1000, lowest_val:4000, count:-1, block01:crack_bomb],[effect:change_bomb_range, target:unit_all, val:0.7, rate:1, turn:-1, animation:bomb_small],[effect:degrade_unit, target:unit_all, turn:2, status:heal, val:0.1, calc:mul, animation:degrade_unit_all_heal]</v>
      </c>
      <c r="N37" s="127" t="str">
        <f>IFERROR(LEFT(M37,FIND("],",M37)+S43),M37)</f>
        <v>[effect:break_attack_fix, target:unit_one, val:1000, lowest_val:4000, count:-1, block01:crack_bomb],[effect:change_bomb_range, target:unit_all, val:0.7, rate:1, turn:-1, animation:bomb_small],[effect:degrade_unit, target:unit_all, turn:2, status:heal, val:0.1, calc:mul, animation:degrade_unit_all_heal]</v>
      </c>
      <c r="O37" s="129">
        <f t="shared" ref="O37" si="136">FIND("effect:",N37)+7</f>
        <v>9</v>
      </c>
      <c r="P37" s="129">
        <f t="shared" ref="P37" si="137">IFERROR(FIND(",",N37),LEN(N37))</f>
        <v>25</v>
      </c>
      <c r="Q37" s="129">
        <f t="shared" ref="Q37" si="138">FIND("target:",N37)+7</f>
        <v>34</v>
      </c>
      <c r="R37" s="129">
        <f t="shared" ref="R37" si="139">FIND(",",N37,P37+1)</f>
        <v>42</v>
      </c>
      <c r="S37" s="129" t="str">
        <f>IFERROR(VLOOKUP(MID(N37,Q37,R37-Q37),[5]skilldef!$C:$D,2,FALSE),"-") &amp; " / " &amp; IFERROR(VLOOKUP(MID(N37,O37,P37-O37),[5]skilldef!$A:$B,2,FALSE),"-")</f>
        <v>味方単体に / -</v>
      </c>
      <c r="T37" s="127" t="str">
        <f t="shared" ref="T37" si="140">IFERROR(RIGHT(M37,LEN(M37)-FIND("],",M37)-1),"none")</f>
        <v>[effect:change_bomb_range, target:unit_all, val:0.7, rate:1, turn:-1, animation:bomb_small],[effect:degrade_unit, target:unit_all, turn:2, status:heal, val:0.1, calc:mul, animation:degrade_unit_all_heal]</v>
      </c>
      <c r="U37" s="129">
        <f t="shared" ref="U37" si="141">FIND("effect:",T37)+7</f>
        <v>9</v>
      </c>
      <c r="V37" s="129">
        <f t="shared" ref="V37" si="142">IFERROR(FIND(",",T37),LEN(T37))</f>
        <v>26</v>
      </c>
      <c r="W37" s="129">
        <f t="shared" ref="W37" si="143">FIND("target:",T37)+7</f>
        <v>35</v>
      </c>
      <c r="X37" s="129">
        <f t="shared" ref="X37" si="144">FIND(",",T37,V37+1)</f>
        <v>43</v>
      </c>
      <c r="Y37" s="129" t="str">
        <f>IFERROR(VLOOKUP(MID(T37,W37,X37-W37),[5]skilldef!$C:$D,2,FALSE),"-") &amp; " / " &amp; IFERROR(VLOOKUP(MID(T37,U37,V37-U37),[5]skilldef!$A:$B,2,FALSE),"-")</f>
        <v>味方全体に / -</v>
      </c>
      <c r="Z37" s="129" t="s">
        <v>343</v>
      </c>
      <c r="AA37" s="130"/>
      <c r="AB37" s="128"/>
    </row>
    <row r="38" spans="1:28" s="131" customFormat="1" ht="21" customHeight="1" x14ac:dyDescent="0.15">
      <c r="A38" s="127">
        <v>47012037</v>
      </c>
      <c r="B38" s="127" t="s">
        <v>393</v>
      </c>
      <c r="C38" s="128">
        <v>3</v>
      </c>
      <c r="D38" s="128" t="s">
        <v>128</v>
      </c>
      <c r="E38" s="129" t="s">
        <v>471</v>
      </c>
      <c r="F38" s="129" t="s">
        <v>312</v>
      </c>
      <c r="G38" s="129" t="str">
        <f t="shared" si="117"/>
        <v>[effect:enemy_message, val1:1.2, val2:1.2]</v>
      </c>
      <c r="H38" s="129">
        <f>FIND("effect:",G38)+7</f>
        <v>9</v>
      </c>
      <c r="I38" s="129">
        <f>IFERROR(FIND(",",G38),LEN(G38))</f>
        <v>22</v>
      </c>
      <c r="J38" s="129" t="e">
        <f>FIND("target:",G38)+7</f>
        <v>#VALUE!</v>
      </c>
      <c r="K38" s="129">
        <f>FIND(",",G38,I38+1)</f>
        <v>32</v>
      </c>
      <c r="L38" s="129" t="str">
        <f>IFERROR(VLOOKUP(MID(G38,J38,K38-J38),[5]skilldef!$C:$D,2,FALSE),"-") &amp; " / " &amp; IFERROR(VLOOKUP(MID(G38,H38,I38-H38),[5]skilldef!$A:$B,2,FALSE),"-")</f>
        <v>- / -</v>
      </c>
      <c r="M38" s="129" t="str">
        <f t="shared" si="122"/>
        <v>[effect:spread, val:0.3]</v>
      </c>
      <c r="N38" s="127" t="str">
        <f>IFERROR(LEFT(M38,FIND("],",M38)+#REF!),M38)</f>
        <v>[effect:spread, val:0.3]</v>
      </c>
      <c r="O38" s="129">
        <f>FIND("effect:",N38)+7</f>
        <v>9</v>
      </c>
      <c r="P38" s="129">
        <f>IFERROR(FIND(",",N38),LEN(N38))</f>
        <v>15</v>
      </c>
      <c r="Q38" s="129" t="e">
        <f>FIND("target:",N38)+7</f>
        <v>#VALUE!</v>
      </c>
      <c r="R38" s="129" t="e">
        <f>FIND(",",N38,P38+1)</f>
        <v>#VALUE!</v>
      </c>
      <c r="S38" s="129" t="str">
        <f>IFERROR(VLOOKUP(MID(N38,Q38,R38-Q38),[5]skilldef!$C:$D,2,FALSE),"-") &amp; " / " &amp; IFERROR(VLOOKUP(MID(N38,O38,P38-O38),[5]skilldef!$A:$B,2,FALSE),"-")</f>
        <v>- / 全体攻撃</v>
      </c>
      <c r="T38" s="127" t="str">
        <f>IFERROR(RIGHT(M38,LEN(M38)-FIND("],",M38)-1),"none")</f>
        <v>none</v>
      </c>
      <c r="U38" s="129" t="e">
        <f>FIND("effect:",T38)+7</f>
        <v>#VALUE!</v>
      </c>
      <c r="V38" s="129">
        <f>IFERROR(FIND(",",T38),LEN(T38))</f>
        <v>4</v>
      </c>
      <c r="W38" s="129" t="e">
        <f>FIND("target:",T38)+7</f>
        <v>#VALUE!</v>
      </c>
      <c r="X38" s="129" t="e">
        <f>FIND(",",T38,V38+1)</f>
        <v>#VALUE!</v>
      </c>
      <c r="Y38" s="129" t="str">
        <f>IFERROR(VLOOKUP(MID(T38,W38,X38-W38),[5]skilldef!$C:$D,2,FALSE),"-") &amp; " / " &amp; IFERROR(VLOOKUP(MID(T38,U38,V38-U38),[5]skilldef!$A:$B,2,FALSE),"-")</f>
        <v>- / -</v>
      </c>
      <c r="Z38" s="129" t="s">
        <v>344</v>
      </c>
      <c r="AA38" s="130"/>
      <c r="AB38" s="128"/>
    </row>
    <row r="39" spans="1:28" s="131" customFormat="1" ht="32" customHeight="1" x14ac:dyDescent="0.15">
      <c r="A39" s="127">
        <v>47012038</v>
      </c>
      <c r="B39" s="127" t="s">
        <v>622</v>
      </c>
      <c r="C39" s="128">
        <v>3</v>
      </c>
      <c r="D39" s="128" t="s">
        <v>128</v>
      </c>
      <c r="E39" s="129" t="s">
        <v>423</v>
      </c>
      <c r="F39" s="129" t="s">
        <v>606</v>
      </c>
      <c r="G39" s="129" t="str">
        <f t="shared" si="117"/>
        <v>[effect:enemy_message, val1:1.2, val2:2.8]</v>
      </c>
      <c r="H39" s="129">
        <f t="shared" si="118"/>
        <v>9</v>
      </c>
      <c r="I39" s="129">
        <f t="shared" si="119"/>
        <v>22</v>
      </c>
      <c r="J39" s="129" t="e">
        <f t="shared" si="120"/>
        <v>#VALUE!</v>
      </c>
      <c r="K39" s="129">
        <f t="shared" si="121"/>
        <v>32</v>
      </c>
      <c r="L39" s="129" t="str">
        <f>IFERROR(VLOOKUP(MID(G39,J39,K39-J39),[5]skilldef!$C:$D,2,FALSE),"-") &amp; " / " &amp; IFERROR(VLOOKUP(MID(G39,H39,I39-H39),[5]skilldef!$A:$B,2,FALSE),"-")</f>
        <v>- / -</v>
      </c>
      <c r="M39" s="129" t="str">
        <f t="shared" si="122"/>
        <v>[effect:change_range_block, block_change:1, base_type:0, square_count:3, position01:0, value_h01:1.0, value_w01:3.0, new_block:time_bomb, target:block_all, ignore01:magnet, color:block_random, count:0, val:0.05,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N39" s="127" t="str">
        <f>IFERROR(LEFT(M39,FIND("],",M39)+S48),M39)</f>
        <v>[effect:change_range_block, block_change:1, base_type:0, square_count:3, position01:0, value_h01:1.0, value_w01:3.0, new_block:time_bomb, target:block_all, ignore01:magnet, color:block_random, count:0, val:0.05,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O39" s="129">
        <f t="shared" si="123"/>
        <v>9</v>
      </c>
      <c r="P39" s="129">
        <f t="shared" si="124"/>
        <v>27</v>
      </c>
      <c r="Q39" s="129">
        <f t="shared" si="125"/>
        <v>146</v>
      </c>
      <c r="R39" s="129">
        <f t="shared" si="126"/>
        <v>43</v>
      </c>
      <c r="S39" s="129" t="str">
        <f>IFERROR(VLOOKUP(MID(N39,Q39,R39-Q39),[5]skilldef!$C:$D,2,FALSE),"-") &amp; " / " &amp; IFERROR(VLOOKUP(MID(N39,O39,P39-O39),[5]skilldef!$A:$B,2,FALSE),"-")</f>
        <v>- / -</v>
      </c>
      <c r="T39" s="127" t="str">
        <f t="shared" si="127"/>
        <v>[effect:change_range_block, block_change:1, base_type:0, square_count:3, position01:3, value_h01:1.0, value_w01:3.0, new_block:block_green, target:block_all, ignore01:magnet, count:0, val:0, animation:change_range_block],[effect:rush, count:1, val:1]</v>
      </c>
      <c r="U39" s="129">
        <f t="shared" si="128"/>
        <v>9</v>
      </c>
      <c r="V39" s="129">
        <f t="shared" si="129"/>
        <v>27</v>
      </c>
      <c r="W39" s="129">
        <f t="shared" si="130"/>
        <v>148</v>
      </c>
      <c r="X39" s="129">
        <f t="shared" si="131"/>
        <v>43</v>
      </c>
      <c r="Y39" s="129" t="str">
        <f>IFERROR(VLOOKUP(MID(T39,W39,X39-W39),[5]skilldef!$C:$D,2,FALSE),"-") &amp; " / " &amp; IFERROR(VLOOKUP(MID(T39,U39,V39-U39),[5]skilldef!$A:$B,2,FALSE),"-")</f>
        <v>- / -</v>
      </c>
      <c r="Z39" s="129" t="s">
        <v>345</v>
      </c>
      <c r="AA39" s="130"/>
      <c r="AB39" s="128"/>
    </row>
    <row r="40" spans="1:28" s="131" customFormat="1" ht="30" customHeight="1" x14ac:dyDescent="0.15">
      <c r="A40" s="127">
        <v>47012039</v>
      </c>
      <c r="B40" s="127" t="s">
        <v>617</v>
      </c>
      <c r="C40" s="128">
        <v>3</v>
      </c>
      <c r="D40" s="128" t="s">
        <v>128</v>
      </c>
      <c r="E40" s="129" t="s">
        <v>524</v>
      </c>
      <c r="F40" s="129" t="s">
        <v>607</v>
      </c>
      <c r="G40" s="129" t="str">
        <f t="shared" si="117"/>
        <v>[effect:enemy_message, val1:1.7, val2:2.4]</v>
      </c>
      <c r="H40" s="129">
        <f t="shared" si="118"/>
        <v>9</v>
      </c>
      <c r="I40" s="129">
        <f t="shared" si="119"/>
        <v>22</v>
      </c>
      <c r="J40" s="129" t="e">
        <f t="shared" si="120"/>
        <v>#VALUE!</v>
      </c>
      <c r="K40" s="129">
        <f t="shared" si="121"/>
        <v>32</v>
      </c>
      <c r="L40" s="129" t="str">
        <f>IFERROR(VLOOKUP(MID(G40,J40,K40-J40),[5]skilldef!$C:$D,2,FALSE),"-") &amp; " / " &amp; IFERROR(VLOOKUP(MID(G40,H40,I40-H40),[5]skilldef!$A:$B,2,FALSE),"-")</f>
        <v>- / -</v>
      </c>
      <c r="M40" s="129" t="str">
        <f t="shared" si="122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40" s="127" t="str">
        <f>IFERROR(LEFT(M40,FIND("],",M40)+#REF!),M40)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40" s="129">
        <f t="shared" si="123"/>
        <v>9</v>
      </c>
      <c r="P40" s="129">
        <f t="shared" si="124"/>
        <v>27</v>
      </c>
      <c r="Q40" s="129">
        <f t="shared" si="125"/>
        <v>460</v>
      </c>
      <c r="R40" s="129">
        <f t="shared" si="126"/>
        <v>43</v>
      </c>
      <c r="S40" s="129" t="str">
        <f>IFERROR(VLOOKUP(MID(N40,Q40,R40-Q40),[5]skilldef!$C:$D,2,FALSE),"-") &amp; " / " &amp; IFERROR(VLOOKUP(MID(N40,O40,P40-O40),[5]skilldef!$A:$B,2,FALSE),"-")</f>
        <v>- / -</v>
      </c>
      <c r="T40" s="127" t="str">
        <f t="shared" si="127"/>
        <v>[effect:rush, count:1, val:1]</v>
      </c>
      <c r="U40" s="129">
        <f t="shared" si="128"/>
        <v>9</v>
      </c>
      <c r="V40" s="129">
        <f t="shared" si="129"/>
        <v>13</v>
      </c>
      <c r="W40" s="129" t="e">
        <f t="shared" si="130"/>
        <v>#VALUE!</v>
      </c>
      <c r="X40" s="129">
        <f t="shared" si="131"/>
        <v>22</v>
      </c>
      <c r="Y40" s="129" t="str">
        <f>IFERROR(VLOOKUP(MID(T40,W40,X40-W40),[5]skilldef!$C:$D,2,FALSE),"-") &amp; " / " &amp; IFERROR(VLOOKUP(MID(T40,U40,V40-U40),[5]skilldef!$A:$B,2,FALSE),"-")</f>
        <v>- / 連続攻撃</v>
      </c>
      <c r="Z40" s="129" t="s">
        <v>320</v>
      </c>
      <c r="AA40" s="130" t="s">
        <v>397</v>
      </c>
      <c r="AB40" s="128"/>
    </row>
    <row r="41" spans="1:28" s="131" customFormat="1" ht="34" customHeight="1" x14ac:dyDescent="0.15">
      <c r="A41" s="127">
        <v>47012040</v>
      </c>
      <c r="B41" s="127" t="s">
        <v>620</v>
      </c>
      <c r="C41" s="128">
        <v>3</v>
      </c>
      <c r="D41" s="128" t="s">
        <v>128</v>
      </c>
      <c r="E41" s="129" t="s">
        <v>422</v>
      </c>
      <c r="F41" s="129" t="s">
        <v>605</v>
      </c>
      <c r="G41" s="129" t="str">
        <f t="shared" si="117"/>
        <v>[effect:enemy_message, val1:1.2, val2:2.8]</v>
      </c>
      <c r="H41" s="129">
        <f t="shared" si="118"/>
        <v>9</v>
      </c>
      <c r="I41" s="129">
        <f t="shared" si="119"/>
        <v>22</v>
      </c>
      <c r="J41" s="129" t="e">
        <f t="shared" si="120"/>
        <v>#VALUE!</v>
      </c>
      <c r="K41" s="129">
        <f t="shared" si="121"/>
        <v>32</v>
      </c>
      <c r="L41" s="129" t="str">
        <f>IFERROR(VLOOKUP(MID(G41,J41,K41-J41),[5]skilldef!$C:$D,2,FALSE),"-") &amp; " / " &amp; IFERROR(VLOOKUP(MID(G41,H41,I41-H41),[5]skilldef!$A:$B,2,FALSE),"-")</f>
        <v>- / -</v>
      </c>
      <c r="M41" s="129" t="str">
        <f t="shared" si="122"/>
        <v>[effect:change_range_block, block_change:1, base_type:0, square_count:3, position01:0, value_h01:3.0, value_w01:1.0, new_block:time_bomb, target:block_all, ignore01:magnet, color:block_random, count:0, val:0.05,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N41" s="127" t="str">
        <f>IFERROR(LEFT(M41,FIND("],",M41)+#REF!),M41)</f>
        <v>[effect:change_range_block, block_change:1, base_type:0, square_count:3, position01:0, value_h01:3.0, value_w01:1.0, new_block:time_bomb, target:block_all, ignore01:magnet, color:block_random, count:0, val:0.05,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O41" s="129">
        <f t="shared" si="123"/>
        <v>9</v>
      </c>
      <c r="P41" s="129">
        <f t="shared" si="124"/>
        <v>27</v>
      </c>
      <c r="Q41" s="129">
        <f t="shared" si="125"/>
        <v>146</v>
      </c>
      <c r="R41" s="129">
        <f t="shared" si="126"/>
        <v>43</v>
      </c>
      <c r="S41" s="129" t="str">
        <f>IFERROR(VLOOKUP(MID(N41,Q41,R41-Q41),[5]skilldef!$C:$D,2,FALSE),"-") &amp; " / " &amp; IFERROR(VLOOKUP(MID(N41,O41,P41-O41),[5]skilldef!$A:$B,2,FALSE),"-")</f>
        <v>- / -</v>
      </c>
      <c r="T41" s="127" t="str">
        <f t="shared" si="127"/>
        <v>[effect:change_range_block, block_change:1, base_type:0, square_count:3, position01:1, value_h01:3.0, value_w01:1.0, new_block:block_red, target:block_all, ignore01:magnet, count:0, val:0, animation:change_range_block],[effect:rush, count:1, val:1]</v>
      </c>
      <c r="U41" s="129">
        <f t="shared" si="128"/>
        <v>9</v>
      </c>
      <c r="V41" s="129">
        <f t="shared" si="129"/>
        <v>27</v>
      </c>
      <c r="W41" s="129">
        <f t="shared" si="130"/>
        <v>146</v>
      </c>
      <c r="X41" s="129">
        <f t="shared" si="131"/>
        <v>43</v>
      </c>
      <c r="Y41" s="129" t="str">
        <f>IFERROR(VLOOKUP(MID(T41,W41,X41-W41),[5]skilldef!$C:$D,2,FALSE),"-") &amp; " / " &amp; IFERROR(VLOOKUP(MID(T41,U41,V41-U41),[5]skilldef!$A:$B,2,FALSE),"-")</f>
        <v>- / -</v>
      </c>
      <c r="Z41" s="129" t="s">
        <v>321</v>
      </c>
      <c r="AA41" s="130"/>
      <c r="AB41" s="128"/>
    </row>
    <row r="42" spans="1:28" s="131" customFormat="1" ht="35" customHeight="1" x14ac:dyDescent="0.15">
      <c r="A42" s="127">
        <v>47012041</v>
      </c>
      <c r="B42" s="127" t="s">
        <v>622</v>
      </c>
      <c r="C42" s="128">
        <v>3</v>
      </c>
      <c r="D42" s="128" t="s">
        <v>128</v>
      </c>
      <c r="E42" s="129" t="s">
        <v>423</v>
      </c>
      <c r="F42" s="129" t="s">
        <v>606</v>
      </c>
      <c r="G42" s="129" t="str">
        <f t="shared" si="117"/>
        <v>[effect:enemy_message, val1:1.2, val2:2.8]</v>
      </c>
      <c r="H42" s="129">
        <f t="shared" si="118"/>
        <v>9</v>
      </c>
      <c r="I42" s="129">
        <f t="shared" si="119"/>
        <v>22</v>
      </c>
      <c r="J42" s="129" t="e">
        <f t="shared" si="120"/>
        <v>#VALUE!</v>
      </c>
      <c r="K42" s="129">
        <f t="shared" si="121"/>
        <v>32</v>
      </c>
      <c r="L42" s="129" t="str">
        <f>IFERROR(VLOOKUP(MID(G42,J42,K42-J42),[5]skilldef!$C:$D,2,FALSE),"-") &amp; " / " &amp; IFERROR(VLOOKUP(MID(G42,H42,I42-H42),[5]skilldef!$A:$B,2,FALSE),"-")</f>
        <v>- / -</v>
      </c>
      <c r="M42" s="129" t="str">
        <f t="shared" si="122"/>
        <v>[effect:change_range_block, block_change:1, base_type:0, square_count:3, position01:0, value_h01:1.0, value_w01:3.0, new_block:time_bomb, target:block_all, ignore01:magnet, color:block_random, count:0, val:0.05,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N42" s="127" t="str">
        <f>IFERROR(LEFT(M42,FIND("],",M42)+S50),M42)</f>
        <v>[effect:change_range_block, block_change:1, base_type:0, square_count:3, position01:0, value_h01:1.0, value_w01:3.0, new_block:time_bomb, target:block_all, ignore01:magnet, color:block_random, count:0, val:0.05,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O42" s="129">
        <f t="shared" si="123"/>
        <v>9</v>
      </c>
      <c r="P42" s="129">
        <f t="shared" si="124"/>
        <v>27</v>
      </c>
      <c r="Q42" s="129">
        <f t="shared" si="125"/>
        <v>146</v>
      </c>
      <c r="R42" s="129">
        <f t="shared" si="126"/>
        <v>43</v>
      </c>
      <c r="S42" s="129" t="str">
        <f>IFERROR(VLOOKUP(MID(N42,Q42,R42-Q42),[5]skilldef!$C:$D,2,FALSE),"-") &amp; " / " &amp; IFERROR(VLOOKUP(MID(N42,O42,P42-O42),[5]skilldef!$A:$B,2,FALSE),"-")</f>
        <v>- / -</v>
      </c>
      <c r="T42" s="127" t="str">
        <f t="shared" si="127"/>
        <v>[effect:change_range_block, block_change:1, base_type:0, square_count:3, position01:3, value_h01:1.0, value_w01:3.0, new_block:block_green, target:block_all, ignore01:magnet, count:0, val:0, animation:change_range_block],[effect:rush, count:1, val:1]</v>
      </c>
      <c r="U42" s="129">
        <f t="shared" si="128"/>
        <v>9</v>
      </c>
      <c r="V42" s="129">
        <f t="shared" si="129"/>
        <v>27</v>
      </c>
      <c r="W42" s="129">
        <f t="shared" si="130"/>
        <v>148</v>
      </c>
      <c r="X42" s="129">
        <f t="shared" si="131"/>
        <v>43</v>
      </c>
      <c r="Y42" s="129" t="str">
        <f>IFERROR(VLOOKUP(MID(T42,W42,X42-W42),[5]skilldef!$C:$D,2,FALSE),"-") &amp; " / " &amp; IFERROR(VLOOKUP(MID(T42,U42,V42-U42),[5]skilldef!$A:$B,2,FALSE),"-")</f>
        <v>- / -</v>
      </c>
      <c r="Z42" s="129" t="s">
        <v>322</v>
      </c>
      <c r="AA42" s="130"/>
      <c r="AB42" s="128"/>
    </row>
    <row r="43" spans="1:28" s="131" customFormat="1" ht="30" customHeight="1" x14ac:dyDescent="0.15">
      <c r="A43" s="127">
        <v>47012042</v>
      </c>
      <c r="B43" s="127" t="s">
        <v>623</v>
      </c>
      <c r="C43" s="128">
        <v>3</v>
      </c>
      <c r="D43" s="128" t="s">
        <v>128</v>
      </c>
      <c r="E43" s="129" t="s">
        <v>520</v>
      </c>
      <c r="F43" s="129" t="s">
        <v>592</v>
      </c>
      <c r="G43" s="129" t="str">
        <f t="shared" si="117"/>
        <v>[effect:enemy_message, val1:1.8, val2:3.2]</v>
      </c>
      <c r="H43" s="129">
        <f t="shared" si="118"/>
        <v>9</v>
      </c>
      <c r="I43" s="129">
        <f t="shared" si="119"/>
        <v>22</v>
      </c>
      <c r="J43" s="129" t="e">
        <f t="shared" si="120"/>
        <v>#VALUE!</v>
      </c>
      <c r="K43" s="129">
        <f t="shared" si="121"/>
        <v>32</v>
      </c>
      <c r="L43" s="129" t="str">
        <f>IFERROR(VLOOKUP(MID(G43,J43,K43-J43),[5]skilldef!$C:$D,2,FALSE),"-") &amp; " / " &amp; IFERROR(VLOOKUP(MID(G43,H43,I43-H43),[5]skilldef!$A:$B,2,FALSE),"-")</f>
        <v>- / -</v>
      </c>
      <c r="M43" s="129" t="str">
        <f t="shared" si="122"/>
        <v>[effect:break_attack_fix, target:unit_one, val:1000, lowest_val:4000, count:-1, block01:crack_bomb],[effect:force_change_magnet, target:normal, color:block_red, count:1, red:1, green:1, blue:0, yellow:0, heart:0, reverse:0, generate:0, turn:2, animation:change_block]</v>
      </c>
      <c r="N43" s="127" t="str">
        <f>IFERROR(LEFT(M43,FIND("],",M43)+S51),M43)</f>
        <v>[effect:break_attack_fix, target:unit_one, val:1000, lowest_val:4000, count:-1, block01:crack_bomb],[effect:force_change_magnet, target:normal, color:block_red, count:1, red:1, green:1, blue:0, yellow:0, heart:0, reverse:0, generate:0, turn:2, animation:change_block]</v>
      </c>
      <c r="O43" s="129">
        <f t="shared" si="123"/>
        <v>9</v>
      </c>
      <c r="P43" s="129">
        <f t="shared" si="124"/>
        <v>25</v>
      </c>
      <c r="Q43" s="129">
        <f t="shared" si="125"/>
        <v>34</v>
      </c>
      <c r="R43" s="129">
        <f t="shared" si="126"/>
        <v>42</v>
      </c>
      <c r="S43" s="129" t="str">
        <f>IFERROR(VLOOKUP(MID(N43,Q43,R43-Q43),[5]skilldef!$C:$D,2,FALSE),"-") &amp; " / " &amp; IFERROR(VLOOKUP(MID(N43,O43,P43-O43),[5]skilldef!$A:$B,2,FALSE),"-")</f>
        <v>味方単体に / -</v>
      </c>
      <c r="T43" s="127" t="str">
        <f t="shared" si="127"/>
        <v>[effect:force_change_magnet, target:normal, color:block_red, count:1, red:1, green:1, blue:0, yellow:0, heart:0, reverse:0, generate:0, turn:2, animation:change_block]</v>
      </c>
      <c r="U43" s="129">
        <f t="shared" si="128"/>
        <v>9</v>
      </c>
      <c r="V43" s="129">
        <f t="shared" si="129"/>
        <v>28</v>
      </c>
      <c r="W43" s="129">
        <f t="shared" si="130"/>
        <v>37</v>
      </c>
      <c r="X43" s="129">
        <f t="shared" si="131"/>
        <v>43</v>
      </c>
      <c r="Y43" s="129" t="str">
        <f>IFERROR(VLOOKUP(MID(T43,W43,X43-W43),[5]skilldef!$C:$D,2,FALSE),"-") &amp; " / " &amp; IFERROR(VLOOKUP(MID(T43,U43,V43-U43),[5]skilldef!$A:$B,2,FALSE),"-")</f>
        <v>- / -</v>
      </c>
      <c r="Z43" s="129" t="s">
        <v>323</v>
      </c>
      <c r="AA43" s="130"/>
      <c r="AB43" s="128"/>
    </row>
    <row r="44" spans="1:28" s="136" customFormat="1" ht="30" customHeight="1" x14ac:dyDescent="0.15">
      <c r="A44" s="132">
        <v>47012043</v>
      </c>
      <c r="B44" s="132" t="s">
        <v>624</v>
      </c>
      <c r="C44" s="133">
        <v>3</v>
      </c>
      <c r="D44" s="133" t="s">
        <v>128</v>
      </c>
      <c r="E44" s="134" t="s">
        <v>522</v>
      </c>
      <c r="F44" s="134" t="s">
        <v>593</v>
      </c>
      <c r="G44" s="134" t="str">
        <f t="shared" si="117"/>
        <v>[effect:enemy_message, val1:1.8, val2:1.9]</v>
      </c>
      <c r="H44" s="134">
        <f t="shared" si="118"/>
        <v>9</v>
      </c>
      <c r="I44" s="134">
        <f t="shared" si="119"/>
        <v>22</v>
      </c>
      <c r="J44" s="134" t="e">
        <f t="shared" si="120"/>
        <v>#VALUE!</v>
      </c>
      <c r="K44" s="134">
        <f t="shared" si="121"/>
        <v>32</v>
      </c>
      <c r="L44" s="134" t="str">
        <f>IFERROR(VLOOKUP(MID(G44,J44,K44-J44),[5]skilldef!$C:$D,2,FALSE),"-") &amp; " / " &amp; IFERROR(VLOOKUP(MID(G44,H44,I44-H44),[5]skilldef!$A:$B,2,FALSE),"-")</f>
        <v>- / -</v>
      </c>
      <c r="M44" s="134" t="str">
        <f t="shared" si="122"/>
        <v>[effect:fix_speed, target:myself, turn:1],[effect:tolerance, target:myself, turn:-1, count:-1, tolerance_effect:all, animation:enemy_tolerance],[effect:break_attack_fix, target:unit_one, val:4500, lowest_val:1, count:-1, block01:crack_bomb]</v>
      </c>
      <c r="N44" s="132" t="str">
        <f>IFERROR(LEFT(M44,FIND("],",M44)+S54),M44)</f>
        <v>[effect:fix_speed, target:myself, turn:1],[effect:tolerance, target:myself, turn:-1, count:-1, tolerance_effect:all, animation:enemy_tolerance],[effect:break_attack_fix, target:unit_one, val:4500, lowest_val:1, count:-1, block01:crack_bomb]</v>
      </c>
      <c r="O44" s="134">
        <f t="shared" si="123"/>
        <v>9</v>
      </c>
      <c r="P44" s="134">
        <f t="shared" si="124"/>
        <v>18</v>
      </c>
      <c r="Q44" s="134">
        <f t="shared" si="125"/>
        <v>27</v>
      </c>
      <c r="R44" s="134">
        <f t="shared" si="126"/>
        <v>33</v>
      </c>
      <c r="S44" s="134" t="str">
        <f>IFERROR(VLOOKUP(MID(N44,Q44,R44-Q44),[5]skilldef!$C:$D,2,FALSE),"-") &amp; " / " &amp; IFERROR(VLOOKUP(MID(N44,O44,P44-O44),[5]skilldef!$A:$B,2,FALSE),"-")</f>
        <v>自分自身に / 行動値設定</v>
      </c>
      <c r="T44" s="132" t="str">
        <f t="shared" si="127"/>
        <v>[effect:tolerance, target:myself, turn:-1, count:-1, tolerance_effect:all, animation:enemy_tolerance],[effect:break_attack_fix, target:unit_one, val:4500, lowest_val:1, count:-1, block01:crack_bomb]</v>
      </c>
      <c r="U44" s="134">
        <f t="shared" si="128"/>
        <v>9</v>
      </c>
      <c r="V44" s="134">
        <f t="shared" si="129"/>
        <v>18</v>
      </c>
      <c r="W44" s="134">
        <f t="shared" si="130"/>
        <v>27</v>
      </c>
      <c r="X44" s="134">
        <f t="shared" si="131"/>
        <v>33</v>
      </c>
      <c r="Y44" s="134" t="str">
        <f>IFERROR(VLOOKUP(MID(T44,W44,X44-W44),[5]skilldef!$C:$D,2,FALSE),"-") &amp; " / " &amp; IFERROR(VLOOKUP(MID(T44,U44,V44-U44),[5]skilldef!$A:$B,2,FALSE),"-")</f>
        <v>自分自身に / 状態異常耐性</v>
      </c>
      <c r="Z44" s="134" t="s">
        <v>324</v>
      </c>
      <c r="AA44" s="135"/>
      <c r="AB44" s="133"/>
    </row>
    <row r="45" spans="1:28" s="136" customFormat="1" ht="44" customHeight="1" x14ac:dyDescent="0.15">
      <c r="A45" s="132">
        <v>47012044</v>
      </c>
      <c r="B45" s="132" t="s">
        <v>553</v>
      </c>
      <c r="C45" s="133">
        <v>3</v>
      </c>
      <c r="D45" s="133" t="s">
        <v>128</v>
      </c>
      <c r="E45" s="134" t="s">
        <v>523</v>
      </c>
      <c r="F45" s="134" t="s">
        <v>568</v>
      </c>
      <c r="G45" s="134" t="str">
        <f t="shared" si="117"/>
        <v>[effect:enemy_message, val1:2.2, val2:4.7]</v>
      </c>
      <c r="H45" s="134">
        <f t="shared" ref="H45:H47" si="145">FIND("effect:",G45)+7</f>
        <v>9</v>
      </c>
      <c r="I45" s="134">
        <f t="shared" ref="I45:I47" si="146">IFERROR(FIND(",",G45),LEN(G45))</f>
        <v>22</v>
      </c>
      <c r="J45" s="134" t="e">
        <f t="shared" ref="J45:J47" si="147">FIND("target:",G45)+7</f>
        <v>#VALUE!</v>
      </c>
      <c r="K45" s="134">
        <f t="shared" ref="K45:K47" si="148">FIND(",",G45,I45+1)</f>
        <v>32</v>
      </c>
      <c r="L45" s="134" t="str">
        <f>IFERROR(VLOOKUP(MID(G45,J45,K45-J45),[5]skilldef!$C:$D,2,FALSE),"-") &amp; " / " &amp; IFERROR(VLOOKUP(MID(G45,H45,I45-H45),[5]skilldef!$A:$B,2,FALSE),"-")</f>
        <v>- / -</v>
      </c>
      <c r="M45" s="134" t="str">
        <f t="shared" si="122"/>
        <v>[effect:crash_condition, target:unit_all, turn:2, val:4, animation:enemy_crash_extend],[effect:change_bomb_range, target:unit_all, val:0.7, rate:1, turn:-1, animation:bomb_small],[effect:spread, val:0.25]</v>
      </c>
      <c r="N45" s="132" t="str">
        <f>IFERROR(LEFT(M45,FIND("],",M45)+S50),M45)</f>
        <v>[effect:crash_condition, target:unit_all, turn:2, val:4, animation:enemy_crash_extend],[effect:change_bomb_range, target:unit_all, val:0.7, rate:1, turn:-1, animation:bomb_small],[effect:spread, val:0.25]</v>
      </c>
      <c r="O45" s="134">
        <f t="shared" ref="O45:O47" si="149">FIND("effect:",N45)+7</f>
        <v>9</v>
      </c>
      <c r="P45" s="134">
        <f t="shared" ref="P45:P47" si="150">IFERROR(FIND(",",N45),LEN(N45))</f>
        <v>24</v>
      </c>
      <c r="Q45" s="134">
        <f t="shared" ref="Q45:Q47" si="151">FIND("target:",N45)+7</f>
        <v>33</v>
      </c>
      <c r="R45" s="134">
        <f t="shared" ref="R45:R47" si="152">FIND(",",N45,P45+1)</f>
        <v>41</v>
      </c>
      <c r="S45" s="134" t="str">
        <f>IFERROR(VLOOKUP(MID(N45,Q45,R45-Q45),[5]skilldef!$C:$D,2,FALSE),"-") &amp; " / " &amp; IFERROR(VLOOKUP(MID(N45,O45,P45-O45),[5]skilldef!$A:$B,2,FALSE),"-")</f>
        <v>味方全体に / -</v>
      </c>
      <c r="T45" s="132" t="str">
        <f t="shared" ref="T45:T47" si="153">IFERROR(RIGHT(M45,LEN(M45)-FIND("],",M45)-1),"none")</f>
        <v>[effect:change_bomb_range, target:unit_all, val:0.7, rate:1, turn:-1, animation:bomb_small],[effect:spread, val:0.25]</v>
      </c>
      <c r="U45" s="134">
        <f t="shared" ref="U45:U47" si="154">FIND("effect:",T45)+7</f>
        <v>9</v>
      </c>
      <c r="V45" s="134">
        <f t="shared" ref="V45:V47" si="155">IFERROR(FIND(",",T45),LEN(T45))</f>
        <v>26</v>
      </c>
      <c r="W45" s="134">
        <f t="shared" ref="W45:W47" si="156">FIND("target:",T45)+7</f>
        <v>35</v>
      </c>
      <c r="X45" s="134">
        <f t="shared" ref="X45:X47" si="157">FIND(",",T45,V45+1)</f>
        <v>43</v>
      </c>
      <c r="Y45" s="134" t="str">
        <f>IFERROR(VLOOKUP(MID(T45,W45,X45-W45),[5]skilldef!$C:$D,2,FALSE),"-") &amp; " / " &amp; IFERROR(VLOOKUP(MID(T45,U45,V45-U45),[5]skilldef!$A:$B,2,FALSE),"-")</f>
        <v>味方全体に / -</v>
      </c>
      <c r="Z45" s="134" t="s">
        <v>325</v>
      </c>
      <c r="AA45" s="135"/>
      <c r="AB45" s="133"/>
    </row>
    <row r="46" spans="1:28" s="136" customFormat="1" ht="52" customHeight="1" x14ac:dyDescent="0.15">
      <c r="A46" s="132">
        <v>47012045</v>
      </c>
      <c r="B46" s="132" t="s">
        <v>625</v>
      </c>
      <c r="C46" s="133">
        <v>3</v>
      </c>
      <c r="D46" s="133" t="s">
        <v>128</v>
      </c>
      <c r="E46" s="134" t="s">
        <v>424</v>
      </c>
      <c r="F46" s="134" t="s">
        <v>608</v>
      </c>
      <c r="G46" s="134" t="str">
        <f t="shared" si="117"/>
        <v>[effect:enemy_message, val1:1.2, val2:2.5]</v>
      </c>
      <c r="H46" s="134">
        <f t="shared" si="145"/>
        <v>9</v>
      </c>
      <c r="I46" s="134">
        <f t="shared" si="146"/>
        <v>22</v>
      </c>
      <c r="J46" s="134" t="e">
        <f t="shared" si="147"/>
        <v>#VALUE!</v>
      </c>
      <c r="K46" s="134">
        <f t="shared" si="148"/>
        <v>32</v>
      </c>
      <c r="L46" s="134" t="str">
        <f>IFERROR(VLOOKUP(MID(G46,J46,K46-J46),[5]skilldef!$C:$D,2,FALSE),"-") &amp; " / " &amp; IFERROR(VLOOKUP(MID(G46,H46,I46-H46),[5]skilldef!$A:$B,2,FALSE),"-")</f>
        <v>- / -</v>
      </c>
      <c r="M46" s="134" t="str">
        <f t="shared" si="122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animation:change_range_block],[effect:spread, val:0.3]</v>
      </c>
      <c r="N46" s="132" t="str">
        <f>IFERROR(LEFT(M46,FIND("],",M46)+#REF!),M46)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animation:change_range_block],[effect:spread, val:0.3]</v>
      </c>
      <c r="O46" s="134">
        <f t="shared" si="149"/>
        <v>9</v>
      </c>
      <c r="P46" s="134">
        <f t="shared" si="150"/>
        <v>27</v>
      </c>
      <c r="Q46" s="134">
        <f t="shared" si="151"/>
        <v>459</v>
      </c>
      <c r="R46" s="134">
        <f t="shared" si="152"/>
        <v>43</v>
      </c>
      <c r="S46" s="134" t="str">
        <f>IFERROR(VLOOKUP(MID(N46,Q46,R46-Q46),[5]skilldef!$C:$D,2,FALSE),"-") &amp; " / " &amp; IFERROR(VLOOKUP(MID(N46,O46,P46-O46),[5]skilldef!$A:$B,2,FALSE),"-")</f>
        <v>- / -</v>
      </c>
      <c r="T46" s="132" t="str">
        <f t="shared" si="153"/>
        <v>[effect:spread, val:0.3]</v>
      </c>
      <c r="U46" s="134">
        <f t="shared" si="154"/>
        <v>9</v>
      </c>
      <c r="V46" s="134">
        <f t="shared" si="155"/>
        <v>15</v>
      </c>
      <c r="W46" s="134" t="e">
        <f t="shared" si="156"/>
        <v>#VALUE!</v>
      </c>
      <c r="X46" s="134" t="e">
        <f t="shared" si="157"/>
        <v>#VALUE!</v>
      </c>
      <c r="Y46" s="134" t="str">
        <f>IFERROR(VLOOKUP(MID(T46,W46,X46-W46),[5]skilldef!$C:$D,2,FALSE),"-") &amp; " / " &amp; IFERROR(VLOOKUP(MID(T46,U46,V46-U46),[5]skilldef!$A:$B,2,FALSE),"-")</f>
        <v>- / 全体攻撃</v>
      </c>
      <c r="Z46" s="134" t="s">
        <v>379</v>
      </c>
      <c r="AA46" s="135" t="s">
        <v>365</v>
      </c>
      <c r="AB46" s="133"/>
    </row>
    <row r="47" spans="1:28" s="136" customFormat="1" ht="52" customHeight="1" x14ac:dyDescent="0.15">
      <c r="A47" s="132">
        <v>47012046</v>
      </c>
      <c r="B47" s="132" t="s">
        <v>626</v>
      </c>
      <c r="C47" s="133">
        <v>3</v>
      </c>
      <c r="D47" s="133" t="s">
        <v>128</v>
      </c>
      <c r="E47" s="134" t="s">
        <v>426</v>
      </c>
      <c r="F47" s="134" t="s">
        <v>609</v>
      </c>
      <c r="G47" s="134" t="str">
        <f t="shared" si="117"/>
        <v>[effect:enemy_message, val1:1.2, val2:2.5]</v>
      </c>
      <c r="H47" s="134">
        <f t="shared" si="145"/>
        <v>9</v>
      </c>
      <c r="I47" s="134">
        <f t="shared" si="146"/>
        <v>22</v>
      </c>
      <c r="J47" s="134" t="e">
        <f t="shared" si="147"/>
        <v>#VALUE!</v>
      </c>
      <c r="K47" s="134">
        <f t="shared" si="148"/>
        <v>32</v>
      </c>
      <c r="L47" s="134" t="str">
        <f>IFERROR(VLOOKUP(MID(G47,J47,K47-J47),[5]skilldef!$C:$D,2,FALSE),"-") &amp; " / " &amp; IFERROR(VLOOKUP(MID(G47,H47,I47-H47),[5]skilldef!$A:$B,2,FALSE),"-")</f>
        <v>- / -</v>
      </c>
      <c r="M47" s="134" t="str">
        <f t="shared" si="122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animation:change_range_block],[effect:spread, val:0.3]</v>
      </c>
      <c r="N47" s="132" t="str">
        <f>IFERROR(LEFT(M47,FIND("],",M47)+S50),M47)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animation:change_range_block],[effect:spread, val:0.3]</v>
      </c>
      <c r="O47" s="134">
        <f t="shared" si="149"/>
        <v>9</v>
      </c>
      <c r="P47" s="134">
        <f t="shared" si="150"/>
        <v>27</v>
      </c>
      <c r="Q47" s="134">
        <f t="shared" si="151"/>
        <v>459</v>
      </c>
      <c r="R47" s="134">
        <f t="shared" si="152"/>
        <v>43</v>
      </c>
      <c r="S47" s="134" t="str">
        <f>IFERROR(VLOOKUP(MID(N47,Q47,R47-Q47),[5]skilldef!$C:$D,2,FALSE),"-") &amp; " / " &amp; IFERROR(VLOOKUP(MID(N47,O47,P47-O47),[5]skilldef!$A:$B,2,FALSE),"-")</f>
        <v>- / -</v>
      </c>
      <c r="T47" s="132" t="str">
        <f t="shared" si="153"/>
        <v>[effect:spread, val:0.3]</v>
      </c>
      <c r="U47" s="134">
        <f t="shared" si="154"/>
        <v>9</v>
      </c>
      <c r="V47" s="134">
        <f t="shared" si="155"/>
        <v>15</v>
      </c>
      <c r="W47" s="134" t="e">
        <f t="shared" si="156"/>
        <v>#VALUE!</v>
      </c>
      <c r="X47" s="134" t="e">
        <f t="shared" si="157"/>
        <v>#VALUE!</v>
      </c>
      <c r="Y47" s="134" t="str">
        <f>IFERROR(VLOOKUP(MID(T47,W47,X47-W47),[5]skilldef!$C:$D,2,FALSE),"-") &amp; " / " &amp; IFERROR(VLOOKUP(MID(T47,U47,V47-U47),[5]skilldef!$A:$B,2,FALSE),"-")</f>
        <v>- / 全体攻撃</v>
      </c>
      <c r="Z47" s="134" t="s">
        <v>380</v>
      </c>
      <c r="AA47" s="135" t="s">
        <v>367</v>
      </c>
      <c r="AB47" s="133"/>
    </row>
    <row r="48" spans="1:28" s="136" customFormat="1" ht="28" customHeight="1" x14ac:dyDescent="0.15">
      <c r="A48" s="132">
        <v>47012047</v>
      </c>
      <c r="B48" s="132" t="s">
        <v>627</v>
      </c>
      <c r="C48" s="133">
        <v>3</v>
      </c>
      <c r="D48" s="133" t="s">
        <v>128</v>
      </c>
      <c r="E48" s="134" t="s">
        <v>424</v>
      </c>
      <c r="F48" s="134" t="s">
        <v>610</v>
      </c>
      <c r="G48" s="134" t="str">
        <f t="shared" si="117"/>
        <v>[effect:enemy_message, val1:1.2, val2:2.5]</v>
      </c>
      <c r="H48" s="134">
        <f t="shared" ref="H48:H50" si="158">FIND("effect:",G48)+7</f>
        <v>9</v>
      </c>
      <c r="I48" s="134">
        <f t="shared" ref="I48:I50" si="159">IFERROR(FIND(",",G48),LEN(G48))</f>
        <v>22</v>
      </c>
      <c r="J48" s="134" t="e">
        <f t="shared" ref="J48:J50" si="160">FIND("target:",G48)+7</f>
        <v>#VALUE!</v>
      </c>
      <c r="K48" s="134">
        <f t="shared" ref="K48:K50" si="161">FIND(",",G48,I48+1)</f>
        <v>32</v>
      </c>
      <c r="L48" s="134" t="str">
        <f>IFERROR(VLOOKUP(MID(G48,J48,K48-J48),[5]skilldef!$C:$D,2,FALSE),"-") &amp; " / " &amp; IFERROR(VLOOKUP(MID(G48,H48,I48-H48),[5]skilldef!$A:$B,2,FALSE),"-")</f>
        <v>- / -</v>
      </c>
      <c r="M48" s="134" t="str">
        <f t="shared" si="122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animation:change_range_block],[effect:rush, count:1, val:1]</v>
      </c>
      <c r="N48" s="132" t="str">
        <f>IFERROR(LEFT(M48,FIND("],",M48)+S51),M48)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animation:change_range_block],[effect:rush, count:1, val:1]</v>
      </c>
      <c r="O48" s="134">
        <f t="shared" ref="O48:O50" si="162">FIND("effect:",N48)+7</f>
        <v>9</v>
      </c>
      <c r="P48" s="134">
        <f t="shared" ref="P48:P50" si="163">IFERROR(FIND(",",N48),LEN(N48))</f>
        <v>27</v>
      </c>
      <c r="Q48" s="134">
        <f t="shared" ref="Q48:Q50" si="164">FIND("target:",N48)+7</f>
        <v>459</v>
      </c>
      <c r="R48" s="134">
        <f t="shared" ref="R48:R50" si="165">FIND(",",N48,P48+1)</f>
        <v>43</v>
      </c>
      <c r="S48" s="134" t="str">
        <f>IFERROR(VLOOKUP(MID(N48,Q48,R48-Q48),[5]skilldef!$C:$D,2,FALSE),"-") &amp; " / " &amp; IFERROR(VLOOKUP(MID(N48,O48,P48-O48),[5]skilldef!$A:$B,2,FALSE),"-")</f>
        <v>- / -</v>
      </c>
      <c r="T48" s="132" t="str">
        <f t="shared" ref="T48:T50" si="166">IFERROR(RIGHT(M48,LEN(M48)-FIND("],",M48)-1),"none")</f>
        <v>[effect:rush, count:1, val:1]</v>
      </c>
      <c r="U48" s="134">
        <f t="shared" ref="U48:U50" si="167">FIND("effect:",T48)+7</f>
        <v>9</v>
      </c>
      <c r="V48" s="134">
        <f t="shared" ref="V48:V50" si="168">IFERROR(FIND(",",T48),LEN(T48))</f>
        <v>13</v>
      </c>
      <c r="W48" s="134" t="e">
        <f t="shared" ref="W48:W50" si="169">FIND("target:",T48)+7</f>
        <v>#VALUE!</v>
      </c>
      <c r="X48" s="134">
        <f t="shared" ref="X48:X50" si="170">FIND(",",T48,V48+1)</f>
        <v>22</v>
      </c>
      <c r="Y48" s="134" t="str">
        <f>IFERROR(VLOOKUP(MID(T48,W48,X48-W48),[5]skilldef!$C:$D,2,FALSE),"-") &amp; " / " &amp; IFERROR(VLOOKUP(MID(T48,U48,V48-U48),[5]skilldef!$A:$B,2,FALSE),"-")</f>
        <v>- / 連続攻撃</v>
      </c>
      <c r="Z48" s="134" t="s">
        <v>381</v>
      </c>
      <c r="AA48" s="135" t="s">
        <v>365</v>
      </c>
      <c r="AB48" s="133"/>
    </row>
    <row r="49" spans="1:28" s="136" customFormat="1" ht="52" customHeight="1" x14ac:dyDescent="0.15">
      <c r="A49" s="132">
        <v>47012048</v>
      </c>
      <c r="B49" s="132" t="s">
        <v>628</v>
      </c>
      <c r="C49" s="133">
        <v>3</v>
      </c>
      <c r="D49" s="133" t="s">
        <v>128</v>
      </c>
      <c r="E49" s="134" t="s">
        <v>425</v>
      </c>
      <c r="F49" s="134" t="s">
        <v>611</v>
      </c>
      <c r="G49" s="134" t="str">
        <f t="shared" si="117"/>
        <v>[effect:enemy_message, val1:1.2, val2:2.5]</v>
      </c>
      <c r="H49" s="134">
        <f t="shared" si="158"/>
        <v>9</v>
      </c>
      <c r="I49" s="134">
        <f t="shared" si="159"/>
        <v>22</v>
      </c>
      <c r="J49" s="134" t="e">
        <f t="shared" si="160"/>
        <v>#VALUE!</v>
      </c>
      <c r="K49" s="134">
        <f t="shared" si="161"/>
        <v>32</v>
      </c>
      <c r="L49" s="134" t="str">
        <f>IFERROR(VLOOKUP(MID(G49,J49,K49-J49),[5]skilldef!$C:$D,2,FALSE),"-") &amp; " / " &amp; IFERROR(VLOOKUP(MID(G49,H49,I49-H49),[5]skilldef!$A:$B,2,FALSE),"-")</f>
        <v>- / -</v>
      </c>
      <c r="M49" s="134" t="str">
        <f t="shared" si="122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val:0.05, min_time_count:2, max_time_count:3, animation:change_range_block],[effect:rush, count:1, val:1]</v>
      </c>
      <c r="N49" s="132" t="str">
        <f>IFERROR(LEFT(M49,FIND("],",M49)+S52),M49)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val:0.05, min_time_count:2, max_time_count:3, animation:change_range_block],[effect:rush, count:1, val:1]</v>
      </c>
      <c r="O49" s="134">
        <f t="shared" si="162"/>
        <v>9</v>
      </c>
      <c r="P49" s="134">
        <f t="shared" si="163"/>
        <v>27</v>
      </c>
      <c r="Q49" s="134">
        <f t="shared" si="164"/>
        <v>459</v>
      </c>
      <c r="R49" s="134">
        <f t="shared" si="165"/>
        <v>43</v>
      </c>
      <c r="S49" s="134" t="str">
        <f>IFERROR(VLOOKUP(MID(N49,Q49,R49-Q49),[5]skilldef!$C:$D,2,FALSE),"-") &amp; " / " &amp; IFERROR(VLOOKUP(MID(N49,O49,P49-O49),[5]skilldef!$A:$B,2,FALSE),"-")</f>
        <v>- / -</v>
      </c>
      <c r="T49" s="132" t="str">
        <f t="shared" si="166"/>
        <v>[effect:rush, count:1, val:1]</v>
      </c>
      <c r="U49" s="134">
        <f t="shared" si="167"/>
        <v>9</v>
      </c>
      <c r="V49" s="134">
        <f t="shared" si="168"/>
        <v>13</v>
      </c>
      <c r="W49" s="134" t="e">
        <f t="shared" si="169"/>
        <v>#VALUE!</v>
      </c>
      <c r="X49" s="134">
        <f t="shared" si="170"/>
        <v>22</v>
      </c>
      <c r="Y49" s="134" t="str">
        <f>IFERROR(VLOOKUP(MID(T49,W49,X49-W49),[5]skilldef!$C:$D,2,FALSE),"-") &amp; " / " &amp; IFERROR(VLOOKUP(MID(T49,U49,V49-U49),[5]skilldef!$A:$B,2,FALSE),"-")</f>
        <v>- / 連続攻撃</v>
      </c>
      <c r="Z49" s="134" t="s">
        <v>382</v>
      </c>
      <c r="AA49" s="135" t="s">
        <v>367</v>
      </c>
      <c r="AB49" s="133"/>
    </row>
    <row r="50" spans="1:28" s="136" customFormat="1" ht="52" customHeight="1" x14ac:dyDescent="0.15">
      <c r="A50" s="132">
        <v>47012049</v>
      </c>
      <c r="B50" s="132" t="s">
        <v>412</v>
      </c>
      <c r="C50" s="133">
        <v>3</v>
      </c>
      <c r="D50" s="133" t="s">
        <v>128</v>
      </c>
      <c r="E50" s="134" t="s">
        <v>427</v>
      </c>
      <c r="F50" s="134" t="s">
        <v>413</v>
      </c>
      <c r="G50" s="134" t="str">
        <f t="shared" si="117"/>
        <v>[effect:enemy_message, val1:1.2, val2:1.7]</v>
      </c>
      <c r="H50" s="134">
        <f t="shared" si="158"/>
        <v>9</v>
      </c>
      <c r="I50" s="134">
        <f t="shared" si="159"/>
        <v>22</v>
      </c>
      <c r="J50" s="134" t="e">
        <f t="shared" si="160"/>
        <v>#VALUE!</v>
      </c>
      <c r="K50" s="134">
        <f t="shared" si="161"/>
        <v>32</v>
      </c>
      <c r="L50" s="134" t="str">
        <f>IFERROR(VLOOKUP(MID(G50,J50,K50-J50),[5]skilldef!$C:$D,2,FALSE),"-") &amp; " / " &amp; IFERROR(VLOOKUP(MID(G50,H50,I50-H50),[5]skilldef!$A:$B,2,FALSE),"-")</f>
        <v>- / -</v>
      </c>
      <c r="M50" s="134" t="str">
        <f t="shared" si="122"/>
        <v>[effect:hungup, target:unit_all, turn:1, rate:1, animation:hungup01]</v>
      </c>
      <c r="N50" s="132" t="str">
        <f t="shared" ref="N50" si="171">IFERROR(LEFT(M50,FIND("],",M50)+S55),M50)</f>
        <v>[effect:hungup, target:unit_all, turn:1, rate:1, animation:hungup01]</v>
      </c>
      <c r="O50" s="134">
        <f t="shared" si="162"/>
        <v>9</v>
      </c>
      <c r="P50" s="134">
        <f t="shared" si="163"/>
        <v>15</v>
      </c>
      <c r="Q50" s="134">
        <f t="shared" si="164"/>
        <v>24</v>
      </c>
      <c r="R50" s="134">
        <f t="shared" si="165"/>
        <v>32</v>
      </c>
      <c r="S50" s="134" t="str">
        <f>IFERROR(VLOOKUP(MID(N50,Q50,R50-Q50),[5]skilldef!$C:$D,2,FALSE),"-") &amp; " / " &amp; IFERROR(VLOOKUP(MID(N50,O50,P50-O50),[5]skilldef!$A:$B,2,FALSE),"-")</f>
        <v>味方全体に / ハングアップ</v>
      </c>
      <c r="T50" s="132" t="str">
        <f t="shared" si="166"/>
        <v>none</v>
      </c>
      <c r="U50" s="134" t="e">
        <f t="shared" si="167"/>
        <v>#VALUE!</v>
      </c>
      <c r="V50" s="134">
        <f t="shared" si="168"/>
        <v>4</v>
      </c>
      <c r="W50" s="134" t="e">
        <f t="shared" si="169"/>
        <v>#VALUE!</v>
      </c>
      <c r="X50" s="134" t="e">
        <f t="shared" si="170"/>
        <v>#VALUE!</v>
      </c>
      <c r="Y50" s="134" t="str">
        <f>IFERROR(VLOOKUP(MID(T50,W50,X50-W50),[5]skilldef!$C:$D,2,FALSE),"-") &amp; " / " &amp; IFERROR(VLOOKUP(MID(T50,U50,V50-U50),[5]skilldef!$A:$B,2,FALSE),"-")</f>
        <v>- / -</v>
      </c>
      <c r="Z50" s="134" t="s">
        <v>383</v>
      </c>
      <c r="AA50" s="135"/>
      <c r="AB50" s="133"/>
    </row>
    <row r="51" spans="1:28" s="136" customFormat="1" ht="52" customHeight="1" x14ac:dyDescent="0.15">
      <c r="A51" s="132">
        <v>47012050</v>
      </c>
      <c r="B51" s="132" t="s">
        <v>629</v>
      </c>
      <c r="C51" s="133">
        <v>3</v>
      </c>
      <c r="D51" s="133" t="s">
        <v>128</v>
      </c>
      <c r="E51" s="134" t="s">
        <v>524</v>
      </c>
      <c r="F51" s="134" t="s">
        <v>603</v>
      </c>
      <c r="G51" s="134" t="str">
        <f t="shared" si="117"/>
        <v>[effect:enemy_message, val1:1.7, val2:2.4]</v>
      </c>
      <c r="H51" s="134">
        <f t="shared" ref="H51:H55" si="172">FIND("effect:",G51)+7</f>
        <v>9</v>
      </c>
      <c r="I51" s="134">
        <f t="shared" ref="I51:I55" si="173">IFERROR(FIND(",",G51),LEN(G51))</f>
        <v>22</v>
      </c>
      <c r="J51" s="134" t="e">
        <f t="shared" ref="J51:J55" si="174">FIND("target:",G51)+7</f>
        <v>#VALUE!</v>
      </c>
      <c r="K51" s="134">
        <f t="shared" ref="K51:K55" si="175">FIND(",",G51,I51+1)</f>
        <v>32</v>
      </c>
      <c r="L51" s="134" t="str">
        <f>IFERROR(VLOOKUP(MID(G51,J51,K51-J51),[5]skilldef!$C:$D,2,FALSE),"-") &amp; " / " &amp; IFERROR(VLOOKUP(MID(G51,H51,I51-H51),[5]skilldef!$A:$B,2,FALSE),"-")</f>
        <v>- / -</v>
      </c>
      <c r="M51" s="134" t="str">
        <f t="shared" si="122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new_block:crack_bomb, target:block_all, color:block_heart, count:0, val:24, animation:change_range_block],[effect:rush, count:1, val:1]</v>
      </c>
      <c r="N51" s="132" t="str">
        <f t="shared" ref="N51:N53" si="176">IFERROR(LEFT(M51,FIND("],",M51)+S56),M51)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new_block:crack_bomb, target:block_all, color:block_heart, count:0, val:24, animation:change_range_block],[effect:rush, count:1, val:1]</v>
      </c>
      <c r="O51" s="134">
        <f t="shared" ref="O51:O55" si="177">FIND("effect:",N51)+7</f>
        <v>9</v>
      </c>
      <c r="P51" s="134">
        <f t="shared" ref="P51:P55" si="178">IFERROR(FIND(",",N51),LEN(N51))</f>
        <v>27</v>
      </c>
      <c r="Q51" s="134">
        <f t="shared" ref="Q51:Q55" si="179">FIND("target:",N51)+7</f>
        <v>460</v>
      </c>
      <c r="R51" s="134">
        <f t="shared" ref="R51:R55" si="180">FIND(",",N51,P51+1)</f>
        <v>43</v>
      </c>
      <c r="S51" s="134" t="str">
        <f>IFERROR(VLOOKUP(MID(N51,Q51,R51-Q51),[5]skilldef!$C:$D,2,FALSE),"-") &amp; " / " &amp; IFERROR(VLOOKUP(MID(N51,O51,P51-O51),[5]skilldef!$A:$B,2,FALSE),"-")</f>
        <v>- / -</v>
      </c>
      <c r="T51" s="132" t="str">
        <f t="shared" ref="T51:T55" si="181">IFERROR(RIGHT(M51,LEN(M51)-FIND("],",M51)-1),"none")</f>
        <v>[effect:rush, count:1, val:1]</v>
      </c>
      <c r="U51" s="134">
        <f t="shared" ref="U51:U55" si="182">FIND("effect:",T51)+7</f>
        <v>9</v>
      </c>
      <c r="V51" s="134">
        <f t="shared" ref="V51:V55" si="183">IFERROR(FIND(",",T51),LEN(T51))</f>
        <v>13</v>
      </c>
      <c r="W51" s="134" t="e">
        <f t="shared" ref="W51:W55" si="184">FIND("target:",T51)+7</f>
        <v>#VALUE!</v>
      </c>
      <c r="X51" s="134">
        <f t="shared" ref="X51:X55" si="185">FIND(",",T51,V51+1)</f>
        <v>22</v>
      </c>
      <c r="Y51" s="134" t="str">
        <f>IFERROR(VLOOKUP(MID(T51,W51,X51-W51),[5]skilldef!$C:$D,2,FALSE),"-") &amp; " / " &amp; IFERROR(VLOOKUP(MID(T51,U51,V51-U51),[5]skilldef!$A:$B,2,FALSE),"-")</f>
        <v>- / 連続攻撃</v>
      </c>
      <c r="Z51" s="134" t="s">
        <v>334</v>
      </c>
      <c r="AA51" s="135" t="s">
        <v>367</v>
      </c>
      <c r="AB51" s="133"/>
    </row>
    <row r="52" spans="1:28" s="136" customFormat="1" ht="52" customHeight="1" x14ac:dyDescent="0.15">
      <c r="A52" s="132">
        <v>47012051</v>
      </c>
      <c r="B52" s="132" t="s">
        <v>547</v>
      </c>
      <c r="C52" s="133">
        <v>3</v>
      </c>
      <c r="D52" s="133" t="s">
        <v>128</v>
      </c>
      <c r="E52" s="134" t="s">
        <v>544</v>
      </c>
      <c r="F52" s="134" t="s">
        <v>414</v>
      </c>
      <c r="G52" s="134" t="str">
        <f t="shared" si="117"/>
        <v>[effect:enemy_message, val1:1.7, val2:2.7]</v>
      </c>
      <c r="H52" s="134">
        <f t="shared" si="172"/>
        <v>9</v>
      </c>
      <c r="I52" s="134">
        <f t="shared" si="173"/>
        <v>22</v>
      </c>
      <c r="J52" s="134" t="e">
        <f t="shared" si="174"/>
        <v>#VALUE!</v>
      </c>
      <c r="K52" s="134">
        <f t="shared" si="175"/>
        <v>32</v>
      </c>
      <c r="L52" s="134" t="str">
        <f>IFERROR(VLOOKUP(MID(G52,J52,K52-J52),[5]skilldef!$C:$D,2,FALSE),"-") &amp; " / " &amp; IFERROR(VLOOKUP(MID(G52,H52,I52-H52),[5]skilldef!$A:$B,2,FALSE),"-")</f>
        <v>- / -</v>
      </c>
      <c r="M52" s="134" t="str">
        <f t="shared" si="122"/>
        <v>[effect:crash_condition, target:unit_all, turn:1, val:4, animation:enemy_crash_extend],[effect:spread, val:0.25]</v>
      </c>
      <c r="N52" s="132" t="str">
        <f t="shared" si="176"/>
        <v>[effect:crash_condition, target:unit_all, turn:1, val:4, animation:enemy_crash_extend],[effect:spread, val:0.25]</v>
      </c>
      <c r="O52" s="134">
        <f t="shared" si="177"/>
        <v>9</v>
      </c>
      <c r="P52" s="134">
        <f t="shared" si="178"/>
        <v>24</v>
      </c>
      <c r="Q52" s="134">
        <f t="shared" si="179"/>
        <v>33</v>
      </c>
      <c r="R52" s="134">
        <f t="shared" si="180"/>
        <v>41</v>
      </c>
      <c r="S52" s="134" t="str">
        <f>IFERROR(VLOOKUP(MID(N52,Q52,R52-Q52),[5]skilldef!$C:$D,2,FALSE),"-") &amp; " / " &amp; IFERROR(VLOOKUP(MID(N52,O52,P52-O52),[5]skilldef!$A:$B,2,FALSE),"-")</f>
        <v>味方全体に / -</v>
      </c>
      <c r="T52" s="132" t="str">
        <f t="shared" si="181"/>
        <v>[effect:spread, val:0.25]</v>
      </c>
      <c r="U52" s="134">
        <f t="shared" si="182"/>
        <v>9</v>
      </c>
      <c r="V52" s="134">
        <f t="shared" si="183"/>
        <v>15</v>
      </c>
      <c r="W52" s="134" t="e">
        <f t="shared" si="184"/>
        <v>#VALUE!</v>
      </c>
      <c r="X52" s="134" t="e">
        <f t="shared" si="185"/>
        <v>#VALUE!</v>
      </c>
      <c r="Y52" s="134" t="str">
        <f>IFERROR(VLOOKUP(MID(T52,W52,X52-W52),[5]skilldef!$C:$D,2,FALSE),"-") &amp; " / " &amp; IFERROR(VLOOKUP(MID(T52,U52,V52-U52),[5]skilldef!$A:$B,2,FALSE),"-")</f>
        <v>- / 全体攻撃</v>
      </c>
      <c r="Z52" s="134" t="s">
        <v>335</v>
      </c>
      <c r="AA52" s="135"/>
      <c r="AB52" s="133"/>
    </row>
    <row r="53" spans="1:28" s="136" customFormat="1" ht="52" customHeight="1" x14ac:dyDescent="0.15">
      <c r="A53" s="132">
        <v>47012052</v>
      </c>
      <c r="B53" s="132" t="s">
        <v>625</v>
      </c>
      <c r="C53" s="133">
        <v>3</v>
      </c>
      <c r="D53" s="133" t="s">
        <v>128</v>
      </c>
      <c r="E53" s="134" t="s">
        <v>424</v>
      </c>
      <c r="F53" s="134" t="s">
        <v>608</v>
      </c>
      <c r="G53" s="134" t="str">
        <f t="shared" si="117"/>
        <v>[effect:enemy_message, val1:1.2, val2:2.5]</v>
      </c>
      <c r="H53" s="134">
        <f t="shared" si="172"/>
        <v>9</v>
      </c>
      <c r="I53" s="134">
        <f t="shared" si="173"/>
        <v>22</v>
      </c>
      <c r="J53" s="134" t="e">
        <f t="shared" si="174"/>
        <v>#VALUE!</v>
      </c>
      <c r="K53" s="134">
        <f t="shared" si="175"/>
        <v>32</v>
      </c>
      <c r="L53" s="134" t="str">
        <f>IFERROR(VLOOKUP(MID(G53,J53,K53-J53),[5]skilldef!$C:$D,2,FALSE),"-") &amp; " / " &amp; IFERROR(VLOOKUP(MID(G53,H53,I53-H53),[5]skilldef!$A:$B,2,FALSE),"-")</f>
        <v>- / -</v>
      </c>
      <c r="M53" s="134" t="str">
        <f t="shared" si="122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animation:change_range_block],[effect:spread, val:0.3]</v>
      </c>
      <c r="N53" s="132" t="str">
        <f t="shared" si="176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val:0.05, min_time_count:2, max_time_count:3, animation:change_range_block],[effect:spread, val:0.3]</v>
      </c>
      <c r="O53" s="134">
        <f t="shared" si="177"/>
        <v>9</v>
      </c>
      <c r="P53" s="134">
        <f t="shared" si="178"/>
        <v>27</v>
      </c>
      <c r="Q53" s="134">
        <f t="shared" si="179"/>
        <v>459</v>
      </c>
      <c r="R53" s="134">
        <f t="shared" si="180"/>
        <v>43</v>
      </c>
      <c r="S53" s="134" t="str">
        <f>IFERROR(VLOOKUP(MID(N53,Q53,R53-Q53),[5]skilldef!$C:$D,2,FALSE),"-") &amp; " / " &amp; IFERROR(VLOOKUP(MID(N53,O53,P53-O53),[5]skilldef!$A:$B,2,FALSE),"-")</f>
        <v>- / -</v>
      </c>
      <c r="T53" s="132" t="str">
        <f t="shared" si="181"/>
        <v>[effect:spread, val:0.3]</v>
      </c>
      <c r="U53" s="134">
        <f t="shared" si="182"/>
        <v>9</v>
      </c>
      <c r="V53" s="134">
        <f t="shared" si="183"/>
        <v>15</v>
      </c>
      <c r="W53" s="134" t="e">
        <f t="shared" si="184"/>
        <v>#VALUE!</v>
      </c>
      <c r="X53" s="134" t="e">
        <f t="shared" si="185"/>
        <v>#VALUE!</v>
      </c>
      <c r="Y53" s="134" t="str">
        <f>IFERROR(VLOOKUP(MID(T53,W53,X53-W53),[5]skilldef!$C:$D,2,FALSE),"-") &amp; " / " &amp; IFERROR(VLOOKUP(MID(T53,U53,V53-U53),[5]skilldef!$A:$B,2,FALSE),"-")</f>
        <v>- / 全体攻撃</v>
      </c>
      <c r="Z53" s="134" t="s">
        <v>336</v>
      </c>
      <c r="AA53" s="135" t="s">
        <v>365</v>
      </c>
      <c r="AB53" s="133"/>
    </row>
    <row r="54" spans="1:28" s="136" customFormat="1" ht="52" customHeight="1" x14ac:dyDescent="0.15">
      <c r="A54" s="132">
        <v>47012053</v>
      </c>
      <c r="B54" s="132" t="s">
        <v>630</v>
      </c>
      <c r="C54" s="133">
        <v>3</v>
      </c>
      <c r="D54" s="133" t="s">
        <v>128</v>
      </c>
      <c r="E54" s="134" t="s">
        <v>426</v>
      </c>
      <c r="F54" s="134" t="s">
        <v>609</v>
      </c>
      <c r="G54" s="134" t="str">
        <f t="shared" si="117"/>
        <v>[effect:enemy_message, val1:1.2, val2:2.5]</v>
      </c>
      <c r="H54" s="134">
        <f t="shared" si="172"/>
        <v>9</v>
      </c>
      <c r="I54" s="134">
        <f t="shared" si="173"/>
        <v>22</v>
      </c>
      <c r="J54" s="134" t="e">
        <f t="shared" si="174"/>
        <v>#VALUE!</v>
      </c>
      <c r="K54" s="134">
        <f t="shared" si="175"/>
        <v>32</v>
      </c>
      <c r="L54" s="134" t="str">
        <f>IFERROR(VLOOKUP(MID(G54,J54,K54-J54),[5]skilldef!$C:$D,2,FALSE),"-") &amp; " / " &amp; IFERROR(VLOOKUP(MID(G54,H54,I54-H54),[5]skilldef!$A:$B,2,FALSE),"-")</f>
        <v>- / -</v>
      </c>
      <c r="M54" s="134" t="str">
        <f t="shared" si="122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animation:change_range_block],[effect:rush, count:1, val:1]</v>
      </c>
      <c r="N54" s="132" t="str">
        <f>IFERROR(LEFT(M54,FIND("],",M54)+S125),M54)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val:0.05, min_time_count:2, max_time_count:3, animation:change_range_block],[effect:rush, count:1, val:1]</v>
      </c>
      <c r="O54" s="134">
        <f t="shared" si="177"/>
        <v>9</v>
      </c>
      <c r="P54" s="134">
        <f t="shared" si="178"/>
        <v>27</v>
      </c>
      <c r="Q54" s="134">
        <f t="shared" si="179"/>
        <v>459</v>
      </c>
      <c r="R54" s="134">
        <f t="shared" si="180"/>
        <v>43</v>
      </c>
      <c r="S54" s="134" t="str">
        <f>IFERROR(VLOOKUP(MID(N54,Q54,R54-Q54),[5]skilldef!$C:$D,2,FALSE),"-") &amp; " / " &amp; IFERROR(VLOOKUP(MID(N54,O54,P54-O54),[5]skilldef!$A:$B,2,FALSE),"-")</f>
        <v>- / -</v>
      </c>
      <c r="T54" s="132" t="str">
        <f t="shared" si="181"/>
        <v>[effect:rush, count:1, val:1]</v>
      </c>
      <c r="U54" s="134">
        <f t="shared" si="182"/>
        <v>9</v>
      </c>
      <c r="V54" s="134">
        <f t="shared" si="183"/>
        <v>13</v>
      </c>
      <c r="W54" s="134" t="e">
        <f t="shared" si="184"/>
        <v>#VALUE!</v>
      </c>
      <c r="X54" s="134">
        <f t="shared" si="185"/>
        <v>22</v>
      </c>
      <c r="Y54" s="134" t="str">
        <f>IFERROR(VLOOKUP(MID(T54,W54,X54-W54),[5]skilldef!$C:$D,2,FALSE),"-") &amp; " / " &amp; IFERROR(VLOOKUP(MID(T54,U54,V54-U54),[5]skilldef!$A:$B,2,FALSE),"-")</f>
        <v>- / 連続攻撃</v>
      </c>
      <c r="Z54" s="134" t="s">
        <v>337</v>
      </c>
      <c r="AA54" s="135" t="s">
        <v>367</v>
      </c>
      <c r="AB54" s="133"/>
    </row>
    <row r="55" spans="1:28" s="136" customFormat="1" ht="29" customHeight="1" x14ac:dyDescent="0.15">
      <c r="A55" s="132">
        <v>47012054</v>
      </c>
      <c r="B55" s="132" t="s">
        <v>631</v>
      </c>
      <c r="C55" s="133">
        <v>3</v>
      </c>
      <c r="D55" s="133" t="s">
        <v>128</v>
      </c>
      <c r="E55" s="134" t="s">
        <v>527</v>
      </c>
      <c r="F55" s="134" t="s">
        <v>594</v>
      </c>
      <c r="G55" s="134" t="str">
        <f t="shared" si="117"/>
        <v>[effect:enemy_message, val1:1.7, val2:3.2]</v>
      </c>
      <c r="H55" s="134">
        <f t="shared" si="172"/>
        <v>9</v>
      </c>
      <c r="I55" s="134">
        <f t="shared" si="173"/>
        <v>22</v>
      </c>
      <c r="J55" s="134" t="e">
        <f t="shared" si="174"/>
        <v>#VALUE!</v>
      </c>
      <c r="K55" s="134">
        <f t="shared" si="175"/>
        <v>32</v>
      </c>
      <c r="L55" s="134" t="str">
        <f>IFERROR(VLOOKUP(MID(G55,J55,K55-J55),[5]skilldef!$C:$D,2,FALSE),"-") &amp; " / " &amp; IFERROR(VLOOKUP(MID(G55,H55,I55-H55),[5]skilldef!$A:$B,2,FALSE),"-")</f>
        <v>- / -</v>
      </c>
      <c r="M55" s="134" t="str">
        <f t="shared" si="122"/>
        <v>[effect:break_attack_fix, target:unit_one, val:1000, lowest_val:4000, count:-1, block01:crack_bomb],[effect:force_change_magnet, target:normal, color:block_red, count:1, red:1, green:1, blue:0, yellow:0, heart:0, reverse:0, generate:0, turn:2, animation:change_block]</v>
      </c>
      <c r="N55" s="132" t="str">
        <f>IFERROR(LEFT(M55,FIND("],",M55)+S126),M55)</f>
        <v>[effect:break_attack_fix, target:unit_one, val:1000, lowest_val:4000, count:-1, block01:crack_bomb],[effect:force_change_magnet, target:normal, color:block_red, count:1, red:1, green:1, blue:0, yellow:0, heart:0, reverse:0, generate:0, turn:2, animation:change_block]</v>
      </c>
      <c r="O55" s="134">
        <f t="shared" si="177"/>
        <v>9</v>
      </c>
      <c r="P55" s="134">
        <f t="shared" si="178"/>
        <v>25</v>
      </c>
      <c r="Q55" s="134">
        <f t="shared" si="179"/>
        <v>34</v>
      </c>
      <c r="R55" s="134">
        <f t="shared" si="180"/>
        <v>42</v>
      </c>
      <c r="S55" s="134" t="str">
        <f>IFERROR(VLOOKUP(MID(N55,Q55,R55-Q55),[5]skilldef!$C:$D,2,FALSE),"-") &amp; " / " &amp; IFERROR(VLOOKUP(MID(N55,O55,P55-O55),[5]skilldef!$A:$B,2,FALSE),"-")</f>
        <v>味方単体に / -</v>
      </c>
      <c r="T55" s="132" t="str">
        <f t="shared" si="181"/>
        <v>[effect:force_change_magnet, target:normal, color:block_red, count:1, red:1, green:1, blue:0, yellow:0, heart:0, reverse:0, generate:0, turn:2, animation:change_block]</v>
      </c>
      <c r="U55" s="134">
        <f t="shared" si="182"/>
        <v>9</v>
      </c>
      <c r="V55" s="134">
        <f t="shared" si="183"/>
        <v>28</v>
      </c>
      <c r="W55" s="134">
        <f t="shared" si="184"/>
        <v>37</v>
      </c>
      <c r="X55" s="134">
        <f t="shared" si="185"/>
        <v>43</v>
      </c>
      <c r="Y55" s="134" t="str">
        <f>IFERROR(VLOOKUP(MID(T55,W55,X55-W55),[5]skilldef!$C:$D,2,FALSE),"-") &amp; " / " &amp; IFERROR(VLOOKUP(MID(T55,U55,V55-U55),[5]skilldef!$A:$B,2,FALSE),"-")</f>
        <v>- / -</v>
      </c>
      <c r="Z55" s="134" t="s">
        <v>338</v>
      </c>
      <c r="AA55" s="135"/>
      <c r="AB55" s="133"/>
    </row>
    <row r="56" spans="1:28" s="136" customFormat="1" ht="21" customHeight="1" x14ac:dyDescent="0.15">
      <c r="A56" s="132">
        <v>47012055</v>
      </c>
      <c r="B56" s="132" t="s">
        <v>533</v>
      </c>
      <c r="C56" s="133">
        <v>3</v>
      </c>
      <c r="D56" s="133" t="s">
        <v>128</v>
      </c>
      <c r="E56" s="134" t="s">
        <v>521</v>
      </c>
      <c r="F56" s="134" t="s">
        <v>340</v>
      </c>
      <c r="G56" s="134" t="str">
        <f t="shared" si="117"/>
        <v>[effect:enemy_message, val1:1.9, val2:1.4]</v>
      </c>
      <c r="H56" s="134">
        <f t="shared" ref="H56:H95" si="186">FIND("effect:",G56)+7</f>
        <v>9</v>
      </c>
      <c r="I56" s="134">
        <f t="shared" ref="I56:I95" si="187">IFERROR(FIND(",",G56),LEN(G56))</f>
        <v>22</v>
      </c>
      <c r="J56" s="134" t="e">
        <f t="shared" ref="J56:J95" si="188">FIND("target:",G56)+7</f>
        <v>#VALUE!</v>
      </c>
      <c r="K56" s="134">
        <f t="shared" ref="K56:K95" si="189">FIND(",",G56,I56+1)</f>
        <v>32</v>
      </c>
      <c r="L56" s="134" t="str">
        <f>IFERROR(VLOOKUP(MID(G56,J56,K56-J56),[5]skilldef!$C:$D,2,FALSE),"-") &amp; " / " &amp; IFERROR(VLOOKUP(MID(G56,H56,I56-H56),[5]skilldef!$A:$B,2,FALSE),"-")</f>
        <v>- / -</v>
      </c>
      <c r="M56" s="134" t="str">
        <f t="shared" si="122"/>
        <v>none</v>
      </c>
      <c r="N56" s="132" t="str">
        <f>IFERROR(LEFT(M56,FIND("],",M56)+S132),M56)</f>
        <v>none</v>
      </c>
      <c r="O56" s="134" t="e">
        <f t="shared" ref="O56:O95" si="190">FIND("effect:",N56)+7</f>
        <v>#VALUE!</v>
      </c>
      <c r="P56" s="134">
        <f t="shared" ref="P56:P95" si="191">IFERROR(FIND(",",N56),LEN(N56))</f>
        <v>4</v>
      </c>
      <c r="Q56" s="134" t="e">
        <f t="shared" ref="Q56:Q95" si="192">FIND("target:",N56)+7</f>
        <v>#VALUE!</v>
      </c>
      <c r="R56" s="134" t="e">
        <f t="shared" ref="R56:R95" si="193">FIND(",",N56,P56+1)</f>
        <v>#VALUE!</v>
      </c>
      <c r="S56" s="134" t="str">
        <f>IFERROR(VLOOKUP(MID(N56,Q56,R56-Q56),[5]skilldef!$C:$D,2,FALSE),"-") &amp; " / " &amp; IFERROR(VLOOKUP(MID(N56,O56,P56-O56),[5]skilldef!$A:$B,2,FALSE),"-")</f>
        <v>- / -</v>
      </c>
      <c r="T56" s="132" t="str">
        <f t="shared" ref="T56:T95" si="194">IFERROR(RIGHT(M56,LEN(M56)-FIND("],",M56)-1),"none")</f>
        <v>none</v>
      </c>
      <c r="U56" s="134" t="e">
        <f t="shared" ref="U56:U95" si="195">FIND("effect:",T56)+7</f>
        <v>#VALUE!</v>
      </c>
      <c r="V56" s="134">
        <f t="shared" ref="V56:V95" si="196">IFERROR(FIND(",",T56),LEN(T56))</f>
        <v>4</v>
      </c>
      <c r="W56" s="134" t="e">
        <f t="shared" ref="W56:W95" si="197">FIND("target:",T56)+7</f>
        <v>#VALUE!</v>
      </c>
      <c r="X56" s="134" t="e">
        <f t="shared" ref="X56:X95" si="198">FIND(",",T56,V56+1)</f>
        <v>#VALUE!</v>
      </c>
      <c r="Y56" s="134" t="str">
        <f>IFERROR(VLOOKUP(MID(T56,W56,X56-W56),[5]skilldef!$C:$D,2,FALSE),"-") &amp; " / " &amp; IFERROR(VLOOKUP(MID(T56,U56,V56-U56),[5]skilldef!$A:$B,2,FALSE),"-")</f>
        <v>- / -</v>
      </c>
      <c r="Z56" s="134" t="s">
        <v>326</v>
      </c>
      <c r="AA56" s="135"/>
      <c r="AB56" s="133"/>
    </row>
    <row r="57" spans="1:28" s="136" customFormat="1" ht="29" customHeight="1" x14ac:dyDescent="0.15">
      <c r="A57" s="132">
        <v>47012056</v>
      </c>
      <c r="B57" s="132" t="s">
        <v>632</v>
      </c>
      <c r="C57" s="133">
        <v>3</v>
      </c>
      <c r="D57" s="133" t="s">
        <v>128</v>
      </c>
      <c r="E57" s="134" t="s">
        <v>468</v>
      </c>
      <c r="F57" s="134" t="s">
        <v>612</v>
      </c>
      <c r="G57" s="134" t="str">
        <f t="shared" si="117"/>
        <v>[effect:enemy_message, val1:1.2, val2:1.8]</v>
      </c>
      <c r="H57" s="134">
        <f t="shared" si="186"/>
        <v>9</v>
      </c>
      <c r="I57" s="134">
        <f t="shared" si="187"/>
        <v>22</v>
      </c>
      <c r="J57" s="134" t="e">
        <f t="shared" si="188"/>
        <v>#VALUE!</v>
      </c>
      <c r="K57" s="134">
        <f t="shared" si="189"/>
        <v>32</v>
      </c>
      <c r="L57" s="134" t="str">
        <f>IFERROR(VLOOKUP(MID(G57,J57,K57-J57),[5]skilldef!$C:$D,2,FALSE),"-") &amp; " / " &amp; IFERROR(VLOOKUP(MID(G57,H57,I57-H57),[5]skilldef!$A:$B,2,FALSE),"-")</f>
        <v>- / -</v>
      </c>
      <c r="M57" s="134" t="str">
        <f t="shared" si="122"/>
        <v>[effect:force_change_block, new_block:block_green, target:block_all, count:0, val:0, animation:change_block],[effect:change_range_block,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v>
      </c>
      <c r="N57" s="132" t="str">
        <f>IFERROR(LEFT(M57,FIND("],",M57)+S133),M57)</f>
        <v>[effect:force_change_block, new_block:block_green, target:block_all, count:0, val:0, animation:change_block],[effect:change_range_block,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v>
      </c>
      <c r="O57" s="134">
        <f t="shared" si="190"/>
        <v>9</v>
      </c>
      <c r="P57" s="134">
        <f t="shared" si="191"/>
        <v>27</v>
      </c>
      <c r="Q57" s="134">
        <f t="shared" si="192"/>
        <v>59</v>
      </c>
      <c r="R57" s="134">
        <f t="shared" si="193"/>
        <v>50</v>
      </c>
      <c r="S57" s="134" t="str">
        <f>IFERROR(VLOOKUP(MID(N57,Q57,R57-Q57),[5]skilldef!$C:$D,2,FALSE),"-") &amp; " / " &amp; IFERROR(VLOOKUP(MID(N57,O57,P57-O57),[5]skilldef!$A:$B,2,FALSE),"-")</f>
        <v>- / -</v>
      </c>
      <c r="T57" s="132" t="str">
        <f t="shared" si="194"/>
        <v>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v>
      </c>
      <c r="U57" s="134">
        <f t="shared" si="195"/>
        <v>9</v>
      </c>
      <c r="V57" s="134">
        <f t="shared" si="196"/>
        <v>27</v>
      </c>
      <c r="W57" s="134">
        <f t="shared" si="197"/>
        <v>150</v>
      </c>
      <c r="X57" s="134">
        <f t="shared" si="198"/>
        <v>43</v>
      </c>
      <c r="Y57" s="134" t="str">
        <f>IFERROR(VLOOKUP(MID(T57,W57,X57-W57),[5]skilldef!$C:$D,2,FALSE),"-") &amp; " / " &amp; IFERROR(VLOOKUP(MID(T57,U57,V57-U57),[5]skilldef!$A:$B,2,FALSE),"-")</f>
        <v>- / -</v>
      </c>
      <c r="Z57" s="134" t="s">
        <v>327</v>
      </c>
      <c r="AA57" s="135" t="s">
        <v>370</v>
      </c>
      <c r="AB57" s="132" t="s">
        <v>369</v>
      </c>
    </row>
    <row r="58" spans="1:28" s="136" customFormat="1" ht="21" customHeight="1" x14ac:dyDescent="0.15">
      <c r="A58" s="132">
        <v>47012057</v>
      </c>
      <c r="B58" s="132" t="s">
        <v>534</v>
      </c>
      <c r="C58" s="133">
        <v>3</v>
      </c>
      <c r="D58" s="133" t="s">
        <v>128</v>
      </c>
      <c r="E58" s="134" t="s">
        <v>469</v>
      </c>
      <c r="F58" s="134" t="s">
        <v>339</v>
      </c>
      <c r="G58" s="134" t="str">
        <f t="shared" si="117"/>
        <v>[effect:enemy_message, val1:2.0, val2:1.2]</v>
      </c>
      <c r="H58" s="134">
        <f t="shared" si="186"/>
        <v>9</v>
      </c>
      <c r="I58" s="134">
        <f t="shared" si="187"/>
        <v>22</v>
      </c>
      <c r="J58" s="134" t="e">
        <f t="shared" si="188"/>
        <v>#VALUE!</v>
      </c>
      <c r="K58" s="134">
        <f t="shared" si="189"/>
        <v>32</v>
      </c>
      <c r="L58" s="134" t="str">
        <f>IFERROR(VLOOKUP(MID(G58,J58,K58-J58),[5]skilldef!$C:$D,2,FALSE),"-") &amp; " / " &amp; IFERROR(VLOOKUP(MID(G58,H58,I58-H58),[5]skilldef!$A:$B,2,FALSE),"-")</f>
        <v>- / -</v>
      </c>
      <c r="M58" s="134" t="str">
        <f t="shared" si="122"/>
        <v>[effect:spread, val:3],[effect:spread, val:3]</v>
      </c>
      <c r="N58" s="132" t="str">
        <f>IFERROR(LEFT(M58,FIND("],",M58)+S134),M58)</f>
        <v>[effect:spread, val:3],[effect:spread, val:3]</v>
      </c>
      <c r="O58" s="134">
        <f t="shared" si="190"/>
        <v>9</v>
      </c>
      <c r="P58" s="134">
        <f t="shared" si="191"/>
        <v>15</v>
      </c>
      <c r="Q58" s="134" t="e">
        <f t="shared" si="192"/>
        <v>#VALUE!</v>
      </c>
      <c r="R58" s="134">
        <f t="shared" si="193"/>
        <v>23</v>
      </c>
      <c r="S58" s="134" t="str">
        <f>IFERROR(VLOOKUP(MID(N58,Q58,R58-Q58),[5]skilldef!$C:$D,2,FALSE),"-") &amp; " / " &amp; IFERROR(VLOOKUP(MID(N58,O58,P58-O58),[5]skilldef!$A:$B,2,FALSE),"-")</f>
        <v>- / 全体攻撃</v>
      </c>
      <c r="T58" s="132" t="str">
        <f t="shared" si="194"/>
        <v>[effect:spread, val:3]</v>
      </c>
      <c r="U58" s="134">
        <f t="shared" si="195"/>
        <v>9</v>
      </c>
      <c r="V58" s="134">
        <f t="shared" si="196"/>
        <v>15</v>
      </c>
      <c r="W58" s="134" t="e">
        <f t="shared" si="197"/>
        <v>#VALUE!</v>
      </c>
      <c r="X58" s="134" t="e">
        <f t="shared" si="198"/>
        <v>#VALUE!</v>
      </c>
      <c r="Y58" s="134" t="str">
        <f>IFERROR(VLOOKUP(MID(T58,W58,X58-W58),[5]skilldef!$C:$D,2,FALSE),"-") &amp; " / " &amp; IFERROR(VLOOKUP(MID(T58,U58,V58-U58),[5]skilldef!$A:$B,2,FALSE),"-")</f>
        <v>- / 全体攻撃</v>
      </c>
      <c r="Z58" s="134" t="s">
        <v>328</v>
      </c>
      <c r="AA58" s="135"/>
      <c r="AB58" s="133"/>
    </row>
    <row r="59" spans="1:28" s="136" customFormat="1" ht="28" x14ac:dyDescent="0.15">
      <c r="A59" s="132">
        <v>47012058</v>
      </c>
      <c r="B59" s="132" t="s">
        <v>575</v>
      </c>
      <c r="C59" s="133">
        <v>3</v>
      </c>
      <c r="D59" s="133" t="s">
        <v>128</v>
      </c>
      <c r="E59" s="134" t="s">
        <v>470</v>
      </c>
      <c r="F59" s="134" t="s">
        <v>481</v>
      </c>
      <c r="G59" s="134" t="str">
        <f t="shared" si="117"/>
        <v>[effect:enemy_message, val1:2.5, val2:4.4, dead_type:escape]</v>
      </c>
      <c r="H59" s="134">
        <f t="shared" si="186"/>
        <v>9</v>
      </c>
      <c r="I59" s="134">
        <f t="shared" si="187"/>
        <v>22</v>
      </c>
      <c r="J59" s="134" t="e">
        <f t="shared" si="188"/>
        <v>#VALUE!</v>
      </c>
      <c r="K59" s="134">
        <f t="shared" si="189"/>
        <v>32</v>
      </c>
      <c r="L59" s="134" t="str">
        <f>IFERROR(VLOOKUP(MID(G59,J59,K59-J59),[5]skilldef!$C:$D,2,FALSE),"-") &amp; " / " &amp; IFERROR(VLOOKUP(MID(G59,H59,I59-H59),[5]skilldef!$A:$B,2,FALSE),"-")</f>
        <v>- / -</v>
      </c>
      <c r="M59" s="134" t="str">
        <f t="shared" si="122"/>
        <v>none</v>
      </c>
      <c r="N59" s="132" t="str">
        <f>IFERROR(LEFT(M59,FIND("],",M59)+S132),M59)</f>
        <v>none</v>
      </c>
      <c r="O59" s="134" t="e">
        <f t="shared" si="190"/>
        <v>#VALUE!</v>
      </c>
      <c r="P59" s="134">
        <f t="shared" si="191"/>
        <v>4</v>
      </c>
      <c r="Q59" s="134" t="e">
        <f t="shared" si="192"/>
        <v>#VALUE!</v>
      </c>
      <c r="R59" s="134" t="e">
        <f t="shared" si="193"/>
        <v>#VALUE!</v>
      </c>
      <c r="S59" s="134" t="str">
        <f>IFERROR(VLOOKUP(MID(N59,Q59,R59-Q59),[5]skilldef!$C:$D,2,FALSE),"-") &amp; " / " &amp; IFERROR(VLOOKUP(MID(N59,O59,P59-O59),[5]skilldef!$A:$B,2,FALSE),"-")</f>
        <v>- / -</v>
      </c>
      <c r="T59" s="132" t="str">
        <f t="shared" si="194"/>
        <v>none</v>
      </c>
      <c r="U59" s="134" t="e">
        <f t="shared" si="195"/>
        <v>#VALUE!</v>
      </c>
      <c r="V59" s="134">
        <f t="shared" si="196"/>
        <v>4</v>
      </c>
      <c r="W59" s="134" t="e">
        <f t="shared" si="197"/>
        <v>#VALUE!</v>
      </c>
      <c r="X59" s="134" t="e">
        <f t="shared" si="198"/>
        <v>#VALUE!</v>
      </c>
      <c r="Y59" s="134" t="str">
        <f>IFERROR(VLOOKUP(MID(T59,W59,X59-W59),[5]skilldef!$C:$D,2,FALSE),"-") &amp; " / " &amp; IFERROR(VLOOKUP(MID(T59,U59,V59-U59),[5]skilldef!$A:$B,2,FALSE),"-")</f>
        <v>- / -</v>
      </c>
      <c r="Z59" s="134" t="s">
        <v>405</v>
      </c>
      <c r="AA59" s="135"/>
      <c r="AB59" s="133"/>
    </row>
    <row r="60" spans="1:28" s="108" customFormat="1" ht="34" customHeight="1" x14ac:dyDescent="0.15">
      <c r="A60" s="105">
        <v>47012059</v>
      </c>
      <c r="B60" s="105" t="s">
        <v>459</v>
      </c>
      <c r="C60" s="106">
        <v>3</v>
      </c>
      <c r="D60" s="106" t="s">
        <v>128</v>
      </c>
      <c r="E60" s="107" t="s">
        <v>421</v>
      </c>
      <c r="F60" s="107" t="s">
        <v>569</v>
      </c>
      <c r="G60" s="107" t="str">
        <f t="shared" si="117"/>
        <v>[effect:enemy_message, val1:2.7, val2:1.9]</v>
      </c>
      <c r="H60" s="107">
        <f t="shared" si="186"/>
        <v>9</v>
      </c>
      <c r="I60" s="107">
        <f t="shared" si="187"/>
        <v>22</v>
      </c>
      <c r="J60" s="107" t="e">
        <f t="shared" si="188"/>
        <v>#VALUE!</v>
      </c>
      <c r="K60" s="107">
        <f t="shared" si="189"/>
        <v>32</v>
      </c>
      <c r="L60" s="107" t="str">
        <f>IFERROR(VLOOKUP(MID(G60,J60,K60-J60),[5]skilldef!$C:$D,2,FALSE),"-") &amp; " / " &amp; IFERROR(VLOOKUP(MID(G60,H60,I60-H60),[5]skilldef!$A:$B,2,FALSE),"-")</f>
        <v>- / -</v>
      </c>
      <c r="M60" s="107" t="str">
        <f t="shared" si="122"/>
        <v>[effect:fix_speed, target:myself, turn:1],[effect:tolerance, target:myself, turn:-1, count:-1, tolerance_effect:all, animation:enemy_tolerance],[effect:reduction, target:myself, reduction_target:enemy_red, turn:-1, val:0.3, animation:reduction_one01]</v>
      </c>
      <c r="N60" s="105" t="str">
        <f>IFERROR(LEFT(M60,FIND("],",M60)+S73),M60)</f>
        <v>[effect:fix_speed, target:myself, turn:1],[effect:tolerance, target:myself, turn:-1, count:-1, tolerance_effect:all, animation:enemy_tolerance],[effect:reduction, target:myself, reduction_target:enemy_red, turn:-1, val:0.3, animation:reduction_one01]</v>
      </c>
      <c r="O60" s="107">
        <f t="shared" si="190"/>
        <v>9</v>
      </c>
      <c r="P60" s="107">
        <f t="shared" si="191"/>
        <v>18</v>
      </c>
      <c r="Q60" s="107">
        <f t="shared" si="192"/>
        <v>27</v>
      </c>
      <c r="R60" s="107">
        <f t="shared" si="193"/>
        <v>33</v>
      </c>
      <c r="S60" s="107" t="str">
        <f>IFERROR(VLOOKUP(MID(N60,Q60,R60-Q60),[5]skilldef!$C:$D,2,FALSE),"-") &amp; " / " &amp; IFERROR(VLOOKUP(MID(N60,O60,P60-O60),[5]skilldef!$A:$B,2,FALSE),"-")</f>
        <v>自分自身に / 行動値設定</v>
      </c>
      <c r="T60" s="105" t="str">
        <f t="shared" si="194"/>
        <v>[effect:tolerance, target:myself, turn:-1, count:-1, tolerance_effect:all, animation:enemy_tolerance],[effect:reduction, target:myself, reduction_target:enemy_red, turn:-1, val:0.3, animation:reduction_one01]</v>
      </c>
      <c r="U60" s="107">
        <f t="shared" si="195"/>
        <v>9</v>
      </c>
      <c r="V60" s="107">
        <f t="shared" si="196"/>
        <v>18</v>
      </c>
      <c r="W60" s="107">
        <f t="shared" si="197"/>
        <v>27</v>
      </c>
      <c r="X60" s="107">
        <f t="shared" si="198"/>
        <v>33</v>
      </c>
      <c r="Y60" s="107" t="str">
        <f>IFERROR(VLOOKUP(MID(T60,W60,X60-W60),[5]skilldef!$C:$D,2,FALSE),"-") &amp; " / " &amp; IFERROR(VLOOKUP(MID(T60,U60,V60-U60),[5]skilldef!$A:$B,2,FALSE),"-")</f>
        <v>自分自身に / 状態異常耐性</v>
      </c>
      <c r="Z60" s="107" t="s">
        <v>265</v>
      </c>
      <c r="AA60" s="107"/>
      <c r="AB60" s="107"/>
    </row>
    <row r="61" spans="1:28" s="108" customFormat="1" ht="21" customHeight="1" x14ac:dyDescent="0.15">
      <c r="A61" s="105">
        <v>47012060</v>
      </c>
      <c r="B61" s="105" t="s">
        <v>385</v>
      </c>
      <c r="C61" s="106">
        <v>3</v>
      </c>
      <c r="D61" s="106" t="s">
        <v>128</v>
      </c>
      <c r="E61" s="106" t="s">
        <v>371</v>
      </c>
      <c r="F61" s="107" t="s">
        <v>268</v>
      </c>
      <c r="G61" s="107" t="str">
        <f t="shared" si="117"/>
        <v>[effect:enemy_message, val1:1.2, val2:1.2]</v>
      </c>
      <c r="H61" s="107">
        <f t="shared" si="186"/>
        <v>9</v>
      </c>
      <c r="I61" s="107">
        <f t="shared" si="187"/>
        <v>22</v>
      </c>
      <c r="J61" s="107" t="e">
        <f t="shared" si="188"/>
        <v>#VALUE!</v>
      </c>
      <c r="K61" s="107">
        <f t="shared" si="189"/>
        <v>32</v>
      </c>
      <c r="L61" s="107" t="str">
        <f>IFERROR(VLOOKUP(MID(G61,J61,K61-J61),[5]skilldef!$C:$D,2,FALSE),"-") &amp; " / " &amp; IFERROR(VLOOKUP(MID(G61,H61,I61-H61),[5]skilldef!$A:$B,2,FALSE),"-")</f>
        <v>- / -</v>
      </c>
      <c r="M61" s="107" t="str">
        <f t="shared" si="122"/>
        <v>[effect:spread, val:0.25]</v>
      </c>
      <c r="N61" s="105" t="str">
        <f>IFERROR(LEFT(M61,FIND("],",M61)+S74),M61)</f>
        <v>[effect:spread, val:0.25]</v>
      </c>
      <c r="O61" s="107">
        <f t="shared" si="190"/>
        <v>9</v>
      </c>
      <c r="P61" s="107">
        <f t="shared" si="191"/>
        <v>15</v>
      </c>
      <c r="Q61" s="107" t="e">
        <f t="shared" si="192"/>
        <v>#VALUE!</v>
      </c>
      <c r="R61" s="107" t="e">
        <f t="shared" si="193"/>
        <v>#VALUE!</v>
      </c>
      <c r="S61" s="107" t="str">
        <f>IFERROR(VLOOKUP(MID(N61,Q61,R61-Q61),[5]skilldef!$C:$D,2,FALSE),"-") &amp; " / " &amp; IFERROR(VLOOKUP(MID(N61,O61,P61-O61),[5]skilldef!$A:$B,2,FALSE),"-")</f>
        <v>- / 全体攻撃</v>
      </c>
      <c r="T61" s="105" t="str">
        <f t="shared" si="194"/>
        <v>none</v>
      </c>
      <c r="U61" s="107" t="e">
        <f t="shared" si="195"/>
        <v>#VALUE!</v>
      </c>
      <c r="V61" s="107">
        <f t="shared" si="196"/>
        <v>4</v>
      </c>
      <c r="W61" s="107" t="e">
        <f t="shared" si="197"/>
        <v>#VALUE!</v>
      </c>
      <c r="X61" s="107" t="e">
        <f t="shared" si="198"/>
        <v>#VALUE!</v>
      </c>
      <c r="Y61" s="107" t="str">
        <f>IFERROR(VLOOKUP(MID(T61,W61,X61-W61),[5]skilldef!$C:$D,2,FALSE),"-") &amp; " / " &amp; IFERROR(VLOOKUP(MID(T61,U61,V61-U61),[5]skilldef!$A:$B,2,FALSE),"-")</f>
        <v>- / -</v>
      </c>
      <c r="Z61" s="107" t="s">
        <v>267</v>
      </c>
      <c r="AA61" s="107"/>
      <c r="AB61" s="107"/>
    </row>
    <row r="62" spans="1:28" s="108" customFormat="1" ht="21" customHeight="1" x14ac:dyDescent="0.15">
      <c r="A62" s="105">
        <v>47012061</v>
      </c>
      <c r="B62" s="105" t="s">
        <v>416</v>
      </c>
      <c r="C62" s="106">
        <v>3</v>
      </c>
      <c r="D62" s="106" t="s">
        <v>128</v>
      </c>
      <c r="E62" s="106" t="s">
        <v>372</v>
      </c>
      <c r="F62" s="107" t="s">
        <v>489</v>
      </c>
      <c r="G62" s="107" t="str">
        <f t="shared" si="117"/>
        <v>[effect:enemy_message, val1:1.2, val2:2.3]</v>
      </c>
      <c r="H62" s="107">
        <f t="shared" si="186"/>
        <v>9</v>
      </c>
      <c r="I62" s="107">
        <f t="shared" si="187"/>
        <v>22</v>
      </c>
      <c r="J62" s="107" t="e">
        <f t="shared" si="188"/>
        <v>#VALUE!</v>
      </c>
      <c r="K62" s="107">
        <f t="shared" si="189"/>
        <v>32</v>
      </c>
      <c r="L62" s="107" t="str">
        <f>IFERROR(VLOOKUP(MID(G62,J62,K62-J62),[5]skilldef!$C:$D,2,FALSE),"-") &amp; " / " &amp; IFERROR(VLOOKUP(MID(G62,H62,I62-H62),[5]skilldef!$A:$B,2,FALSE),"-")</f>
        <v>- / -</v>
      </c>
      <c r="M62" s="107" t="str">
        <f t="shared" si="122"/>
        <v>[effect:force_change_block, new_block:time_bomb, target:normal, count:3, val:0.1, min_time_count:2, max_time_count:3, animation:change_block]</v>
      </c>
      <c r="N62" s="105" t="str">
        <f>IFERROR(LEFT(M62,FIND("],",M62)+S75),M62)</f>
        <v>[effect:force_change_block, new_block:time_bomb, target:normal, count:3, val:0.1, min_time_count:2, max_time_count:3, animation:change_block]</v>
      </c>
      <c r="O62" s="107">
        <f t="shared" si="190"/>
        <v>9</v>
      </c>
      <c r="P62" s="107">
        <f t="shared" si="191"/>
        <v>27</v>
      </c>
      <c r="Q62" s="107">
        <f t="shared" si="192"/>
        <v>57</v>
      </c>
      <c r="R62" s="107">
        <f t="shared" si="193"/>
        <v>48</v>
      </c>
      <c r="S62" s="107" t="str">
        <f>IFERROR(VLOOKUP(MID(N62,Q62,R62-Q62),[5]skilldef!$C:$D,2,FALSE),"-") &amp; " / " &amp; IFERROR(VLOOKUP(MID(N62,O62,P62-O62),[5]skilldef!$A:$B,2,FALSE),"-")</f>
        <v>- / -</v>
      </c>
      <c r="T62" s="105" t="str">
        <f t="shared" si="194"/>
        <v>none</v>
      </c>
      <c r="U62" s="107" t="e">
        <f t="shared" si="195"/>
        <v>#VALUE!</v>
      </c>
      <c r="V62" s="107">
        <f t="shared" si="196"/>
        <v>4</v>
      </c>
      <c r="W62" s="107" t="e">
        <f t="shared" si="197"/>
        <v>#VALUE!</v>
      </c>
      <c r="X62" s="107" t="e">
        <f t="shared" si="198"/>
        <v>#VALUE!</v>
      </c>
      <c r="Y62" s="107" t="str">
        <f>IFERROR(VLOOKUP(MID(T62,W62,X62-W62),[5]skilldef!$C:$D,2,FALSE),"-") &amp; " / " &amp; IFERROR(VLOOKUP(MID(T62,U62,V62-U62),[5]skilldef!$A:$B,2,FALSE),"-")</f>
        <v>- / -</v>
      </c>
      <c r="Z62" s="107" t="s">
        <v>269</v>
      </c>
      <c r="AA62" s="107"/>
      <c r="AB62" s="107"/>
    </row>
    <row r="63" spans="1:28" s="108" customFormat="1" ht="23" customHeight="1" x14ac:dyDescent="0.15">
      <c r="A63" s="105">
        <v>47012062</v>
      </c>
      <c r="B63" s="105" t="s">
        <v>460</v>
      </c>
      <c r="C63" s="106">
        <v>3</v>
      </c>
      <c r="D63" s="106" t="s">
        <v>128</v>
      </c>
      <c r="E63" s="107" t="s">
        <v>438</v>
      </c>
      <c r="F63" s="106" t="s">
        <v>439</v>
      </c>
      <c r="G63" s="107" t="str">
        <f t="shared" si="117"/>
        <v>[effect:enemy_message, val1:1.3, val2:1.5, dead_type:escape]</v>
      </c>
      <c r="H63" s="107">
        <f t="shared" si="186"/>
        <v>9</v>
      </c>
      <c r="I63" s="107">
        <f t="shared" si="187"/>
        <v>22</v>
      </c>
      <c r="J63" s="107" t="e">
        <f t="shared" si="188"/>
        <v>#VALUE!</v>
      </c>
      <c r="K63" s="107">
        <f t="shared" si="189"/>
        <v>32</v>
      </c>
      <c r="L63" s="107" t="str">
        <f>IFERROR(VLOOKUP(MID(G63,J63,K63-J63),[5]skilldef!$C:$D,2,FALSE),"-") &amp; " / " &amp; IFERROR(VLOOKUP(MID(G63,H63,I63-H63),[5]skilldef!$A:$B,2,FALSE),"-")</f>
        <v>- / -</v>
      </c>
      <c r="M63" s="107" t="str">
        <f t="shared" si="122"/>
        <v>none</v>
      </c>
      <c r="N63" s="105" t="str">
        <f>IFERROR(LEFT(M63,FIND("],",M63)+S75),M63)</f>
        <v>none</v>
      </c>
      <c r="O63" s="107" t="e">
        <f t="shared" si="190"/>
        <v>#VALUE!</v>
      </c>
      <c r="P63" s="107">
        <f t="shared" si="191"/>
        <v>4</v>
      </c>
      <c r="Q63" s="107" t="e">
        <f t="shared" si="192"/>
        <v>#VALUE!</v>
      </c>
      <c r="R63" s="107" t="e">
        <f t="shared" si="193"/>
        <v>#VALUE!</v>
      </c>
      <c r="S63" s="107" t="str">
        <f>IFERROR(VLOOKUP(MID(N63,Q63,R63-Q63),[5]skilldef!$C:$D,2,FALSE),"-") &amp; " / " &amp; IFERROR(VLOOKUP(MID(N63,O63,P63-O63),[5]skilldef!$A:$B,2,FALSE),"-")</f>
        <v>- / -</v>
      </c>
      <c r="T63" s="105" t="str">
        <f t="shared" si="194"/>
        <v>none</v>
      </c>
      <c r="U63" s="107" t="e">
        <f t="shared" si="195"/>
        <v>#VALUE!</v>
      </c>
      <c r="V63" s="107">
        <f t="shared" si="196"/>
        <v>4</v>
      </c>
      <c r="W63" s="107" t="e">
        <f t="shared" si="197"/>
        <v>#VALUE!</v>
      </c>
      <c r="X63" s="107" t="e">
        <f t="shared" si="198"/>
        <v>#VALUE!</v>
      </c>
      <c r="Y63" s="107" t="str">
        <f>IFERROR(VLOOKUP(MID(T63,W63,X63-W63),[5]skilldef!$C:$D,2,FALSE),"-") &amp; " / " &amp; IFERROR(VLOOKUP(MID(T63,U63,V63-U63),[5]skilldef!$A:$B,2,FALSE),"-")</f>
        <v>- / -</v>
      </c>
      <c r="Z63" s="107" t="s">
        <v>428</v>
      </c>
      <c r="AA63" s="107"/>
      <c r="AB63" s="107"/>
    </row>
    <row r="64" spans="1:28" s="112" customFormat="1" ht="21" customHeight="1" x14ac:dyDescent="0.15">
      <c r="A64" s="109">
        <v>47012063</v>
      </c>
      <c r="B64" s="109" t="s">
        <v>386</v>
      </c>
      <c r="C64" s="110">
        <v>3</v>
      </c>
      <c r="D64" s="110" t="s">
        <v>128</v>
      </c>
      <c r="E64" s="110" t="s">
        <v>395</v>
      </c>
      <c r="F64" s="111" t="s">
        <v>482</v>
      </c>
      <c r="G64" s="111" t="str">
        <f t="shared" si="117"/>
        <v>[effect:enemy_message, val1:1.2, val2:1.2]</v>
      </c>
      <c r="H64" s="111">
        <f t="shared" si="186"/>
        <v>9</v>
      </c>
      <c r="I64" s="111">
        <f t="shared" si="187"/>
        <v>22</v>
      </c>
      <c r="J64" s="111" t="e">
        <f t="shared" si="188"/>
        <v>#VALUE!</v>
      </c>
      <c r="K64" s="111">
        <f t="shared" si="189"/>
        <v>32</v>
      </c>
      <c r="L64" s="111" t="str">
        <f>IFERROR(VLOOKUP(MID(G64,J64,K64-J64),[5]skilldef!$C:$D,2,FALSE),"-") &amp; " / " &amp; IFERROR(VLOOKUP(MID(G64,H64,I64-H64),[5]skilldef!$A:$B,2,FALSE),"-")</f>
        <v>- / -</v>
      </c>
      <c r="M64" s="111" t="str">
        <f t="shared" si="122"/>
        <v>[effect:fix_speed, target:myself, turn:2],[effect:enhance_enemy, target:myself, turn:-1, status:defense, val:5000, calc:add, animation:enemy_enhance_defense]</v>
      </c>
      <c r="N64" s="109" t="str">
        <f>IFERROR(LEFT(M64,FIND("],",M64)+S76),M64)</f>
        <v>[effect:fix_speed, target:myself, turn:2],[effect:enhance_enemy, target:myself, turn:-1, status:defense, val:5000, calc:add, animation:enemy_enhance_defense]</v>
      </c>
      <c r="O64" s="111">
        <f t="shared" si="190"/>
        <v>9</v>
      </c>
      <c r="P64" s="111">
        <f t="shared" si="191"/>
        <v>18</v>
      </c>
      <c r="Q64" s="111">
        <f t="shared" si="192"/>
        <v>27</v>
      </c>
      <c r="R64" s="111">
        <f t="shared" si="193"/>
        <v>33</v>
      </c>
      <c r="S64" s="111" t="str">
        <f>IFERROR(VLOOKUP(MID(N64,Q64,R64-Q64),[5]skilldef!$C:$D,2,FALSE),"-") &amp; " / " &amp; IFERROR(VLOOKUP(MID(N64,O64,P64-O64),[5]skilldef!$A:$B,2,FALSE),"-")</f>
        <v>自分自身に / 行動値設定</v>
      </c>
      <c r="T64" s="109" t="str">
        <f t="shared" si="194"/>
        <v>[effect:enhance_enemy, target:myself, turn:-1, status:defense, val:5000, calc:add, animation:enemy_enhance_defense]</v>
      </c>
      <c r="U64" s="111">
        <f t="shared" si="195"/>
        <v>9</v>
      </c>
      <c r="V64" s="111">
        <f t="shared" si="196"/>
        <v>22</v>
      </c>
      <c r="W64" s="111">
        <f t="shared" si="197"/>
        <v>31</v>
      </c>
      <c r="X64" s="111">
        <f t="shared" si="198"/>
        <v>37</v>
      </c>
      <c r="Y64" s="111" t="str">
        <f>IFERROR(VLOOKUP(MID(T64,W64,X64-W64),[5]skilldef!$C:$D,2,FALSE),"-") &amp; " / " &amp; IFERROR(VLOOKUP(MID(T64,U64,V64-U64),[5]skilldef!$A:$B,2,FALSE),"-")</f>
        <v>自分自身に / ステータス強化</v>
      </c>
      <c r="Z64" s="111" t="s">
        <v>270</v>
      </c>
      <c r="AA64" s="111"/>
      <c r="AB64" s="111"/>
    </row>
    <row r="65" spans="1:28" s="112" customFormat="1" ht="21" customHeight="1" x14ac:dyDescent="0.15">
      <c r="A65" s="109">
        <v>47012064</v>
      </c>
      <c r="B65" s="109" t="s">
        <v>573</v>
      </c>
      <c r="C65" s="110">
        <v>3</v>
      </c>
      <c r="D65" s="110" t="s">
        <v>128</v>
      </c>
      <c r="E65" s="110" t="s">
        <v>373</v>
      </c>
      <c r="F65" s="237" t="s">
        <v>572</v>
      </c>
      <c r="G65" s="111" t="str">
        <f t="shared" si="117"/>
        <v>[effect:enemy_message, val1:1.2, val2:0.0]</v>
      </c>
      <c r="H65" s="111">
        <f t="shared" si="186"/>
        <v>9</v>
      </c>
      <c r="I65" s="111">
        <f t="shared" si="187"/>
        <v>22</v>
      </c>
      <c r="J65" s="111" t="e">
        <f t="shared" si="188"/>
        <v>#VALUE!</v>
      </c>
      <c r="K65" s="111">
        <f t="shared" si="189"/>
        <v>32</v>
      </c>
      <c r="L65" s="111" t="str">
        <f>IFERROR(VLOOKUP(MID(G65,J65,K65-J65),[5]skilldef!$C:$D,2,FALSE),"-") &amp; " / " &amp; IFERROR(VLOOKUP(MID(G65,H65,I65-H65),[5]skilldef!$A:$B,2,FALSE),"-")</f>
        <v>- / -</v>
      </c>
      <c r="M65" s="111" t="str">
        <f t="shared" si="122"/>
        <v>none</v>
      </c>
      <c r="N65" s="109" t="str">
        <f>IFERROR(LEFT(M65,FIND("],",M65)+S77),M65)</f>
        <v>none</v>
      </c>
      <c r="O65" s="111" t="e">
        <f t="shared" si="190"/>
        <v>#VALUE!</v>
      </c>
      <c r="P65" s="111">
        <f t="shared" si="191"/>
        <v>4</v>
      </c>
      <c r="Q65" s="111" t="e">
        <f t="shared" si="192"/>
        <v>#VALUE!</v>
      </c>
      <c r="R65" s="111" t="e">
        <f t="shared" si="193"/>
        <v>#VALUE!</v>
      </c>
      <c r="S65" s="111" t="str">
        <f>IFERROR(VLOOKUP(MID(N65,Q65,R65-Q65),[5]skilldef!$C:$D,2,FALSE),"-") &amp; " / " &amp; IFERROR(VLOOKUP(MID(N65,O65,P65-O65),[5]skilldef!$A:$B,2,FALSE),"-")</f>
        <v>- / -</v>
      </c>
      <c r="T65" s="109" t="str">
        <f t="shared" si="194"/>
        <v>none</v>
      </c>
      <c r="U65" s="111" t="e">
        <f t="shared" si="195"/>
        <v>#VALUE!</v>
      </c>
      <c r="V65" s="111">
        <f t="shared" si="196"/>
        <v>4</v>
      </c>
      <c r="W65" s="111" t="e">
        <f t="shared" si="197"/>
        <v>#VALUE!</v>
      </c>
      <c r="X65" s="111" t="e">
        <f t="shared" si="198"/>
        <v>#VALUE!</v>
      </c>
      <c r="Y65" s="111" t="str">
        <f>IFERROR(VLOOKUP(MID(T65,W65,X65-W65),[5]skilldef!$C:$D,2,FALSE),"-") &amp; " / " &amp; IFERROR(VLOOKUP(MID(T65,U65,V65-U65),[5]skilldef!$A:$B,2,FALSE),"-")</f>
        <v>- / -</v>
      </c>
      <c r="Z65" s="111" t="s">
        <v>272</v>
      </c>
      <c r="AA65" s="111"/>
      <c r="AB65" s="111"/>
    </row>
    <row r="66" spans="1:28" s="112" customFormat="1" ht="21" customHeight="1" x14ac:dyDescent="0.15">
      <c r="A66" s="109">
        <v>47012065</v>
      </c>
      <c r="B66" s="109" t="s">
        <v>387</v>
      </c>
      <c r="C66" s="110">
        <v>3</v>
      </c>
      <c r="D66" s="110" t="s">
        <v>128</v>
      </c>
      <c r="E66" s="110" t="s">
        <v>396</v>
      </c>
      <c r="F66" s="111" t="s">
        <v>285</v>
      </c>
      <c r="G66" s="111" t="str">
        <f t="shared" ref="G66:G97" si="199">IFERROR(LEFT(B66,FIND("],",B66)),B66)</f>
        <v>[effect:enemy_message, val1:1.2, val2:1.2]</v>
      </c>
      <c r="H66" s="111">
        <f t="shared" si="186"/>
        <v>9</v>
      </c>
      <c r="I66" s="111">
        <f t="shared" si="187"/>
        <v>22</v>
      </c>
      <c r="J66" s="111" t="e">
        <f t="shared" si="188"/>
        <v>#VALUE!</v>
      </c>
      <c r="K66" s="111">
        <f t="shared" si="189"/>
        <v>32</v>
      </c>
      <c r="L66" s="111" t="str">
        <f>IFERROR(VLOOKUP(MID(G66,J66,K66-J66),[5]skilldef!$C:$D,2,FALSE),"-") &amp; " / " &amp; IFERROR(VLOOKUP(MID(G66,H66,I66-H66),[5]skilldef!$A:$B,2,FALSE),"-")</f>
        <v>- / -</v>
      </c>
      <c r="M66" s="111" t="str">
        <f t="shared" ref="M66:M97" si="200">IFERROR(RIGHT(B66,LEN(B66)-FIND("],",B66)-1),"none")</f>
        <v>[effect:freq_turn, target:myself, turn:-1, val:1, animation:enemy_freq_turn]</v>
      </c>
      <c r="N66" s="109" t="str">
        <f>IFERROR(LEFT(M66,FIND("],",M66)+S77),M66)</f>
        <v>[effect:freq_turn, target:myself, turn:-1, val:1, animation:enemy_freq_turn]</v>
      </c>
      <c r="O66" s="111">
        <f t="shared" si="190"/>
        <v>9</v>
      </c>
      <c r="P66" s="111">
        <f t="shared" si="191"/>
        <v>18</v>
      </c>
      <c r="Q66" s="111">
        <f t="shared" si="192"/>
        <v>27</v>
      </c>
      <c r="R66" s="111">
        <f t="shared" si="193"/>
        <v>33</v>
      </c>
      <c r="S66" s="111" t="str">
        <f>IFERROR(VLOOKUP(MID(N66,Q66,R66-Q66),[5]skilldef!$C:$D,2,FALSE),"-") &amp; " / " &amp; IFERROR(VLOOKUP(MID(N66,O66,P66-O66),[5]skilldef!$A:$B,2,FALSE),"-")</f>
        <v>自分自身に / 攻撃頻度がUP</v>
      </c>
      <c r="T66" s="109" t="str">
        <f t="shared" si="194"/>
        <v>none</v>
      </c>
      <c r="U66" s="111" t="e">
        <f t="shared" si="195"/>
        <v>#VALUE!</v>
      </c>
      <c r="V66" s="111">
        <f t="shared" si="196"/>
        <v>4</v>
      </c>
      <c r="W66" s="111" t="e">
        <f t="shared" si="197"/>
        <v>#VALUE!</v>
      </c>
      <c r="X66" s="111" t="e">
        <f t="shared" si="198"/>
        <v>#VALUE!</v>
      </c>
      <c r="Y66" s="111" t="str">
        <f>IFERROR(VLOOKUP(MID(T66,W66,X66-W66),[5]skilldef!$C:$D,2,FALSE),"-") &amp; " / " &amp; IFERROR(VLOOKUP(MID(T66,U66,V66-U66),[5]skilldef!$A:$B,2,FALSE),"-")</f>
        <v>- / -</v>
      </c>
      <c r="Z66" s="111" t="s">
        <v>284</v>
      </c>
      <c r="AA66" s="111"/>
      <c r="AB66" s="111"/>
    </row>
    <row r="67" spans="1:28" s="112" customFormat="1" ht="21" customHeight="1" x14ac:dyDescent="0.15">
      <c r="A67" s="109">
        <v>47012066</v>
      </c>
      <c r="B67" s="109" t="s">
        <v>388</v>
      </c>
      <c r="C67" s="110">
        <v>3</v>
      </c>
      <c r="D67" s="110" t="s">
        <v>128</v>
      </c>
      <c r="E67" s="110" t="s">
        <v>394</v>
      </c>
      <c r="F67" s="111" t="s">
        <v>275</v>
      </c>
      <c r="G67" s="111" t="str">
        <f t="shared" si="199"/>
        <v>[effect:enemy_message, val1:1.2, val2:1.2]</v>
      </c>
      <c r="H67" s="111">
        <f t="shared" si="186"/>
        <v>9</v>
      </c>
      <c r="I67" s="111">
        <f t="shared" si="187"/>
        <v>22</v>
      </c>
      <c r="J67" s="111" t="e">
        <f t="shared" si="188"/>
        <v>#VALUE!</v>
      </c>
      <c r="K67" s="111">
        <f t="shared" si="189"/>
        <v>32</v>
      </c>
      <c r="L67" s="111" t="str">
        <f>IFERROR(VLOOKUP(MID(G67,J67,K67-J67),[5]skilldef!$C:$D,2,FALSE),"-") &amp; " / " &amp; IFERROR(VLOOKUP(MID(G67,H67,I67-H67),[5]skilldef!$A:$B,2,FALSE),"-")</f>
        <v>- / -</v>
      </c>
      <c r="M67" s="111" t="str">
        <f t="shared" si="200"/>
        <v>[effect:rush, count:1, val:1]</v>
      </c>
      <c r="N67" s="109" t="str">
        <f>IFERROR(LEFT(M67,FIND("],",M67)+S78),M67)</f>
        <v>[effect:rush, count:1, val:1]</v>
      </c>
      <c r="O67" s="111">
        <f t="shared" si="190"/>
        <v>9</v>
      </c>
      <c r="P67" s="111">
        <f t="shared" si="191"/>
        <v>13</v>
      </c>
      <c r="Q67" s="111" t="e">
        <f t="shared" si="192"/>
        <v>#VALUE!</v>
      </c>
      <c r="R67" s="111">
        <f t="shared" si="193"/>
        <v>22</v>
      </c>
      <c r="S67" s="111" t="str">
        <f>IFERROR(VLOOKUP(MID(N67,Q67,R67-Q67),[5]skilldef!$C:$D,2,FALSE),"-") &amp; " / " &amp; IFERROR(VLOOKUP(MID(N67,O67,P67-O67),[5]skilldef!$A:$B,2,FALSE),"-")</f>
        <v>- / 連続攻撃</v>
      </c>
      <c r="T67" s="109" t="str">
        <f t="shared" si="194"/>
        <v>none</v>
      </c>
      <c r="U67" s="111" t="e">
        <f t="shared" si="195"/>
        <v>#VALUE!</v>
      </c>
      <c r="V67" s="111">
        <f t="shared" si="196"/>
        <v>4</v>
      </c>
      <c r="W67" s="111" t="e">
        <f t="shared" si="197"/>
        <v>#VALUE!</v>
      </c>
      <c r="X67" s="111" t="e">
        <f t="shared" si="198"/>
        <v>#VALUE!</v>
      </c>
      <c r="Y67" s="111" t="str">
        <f>IFERROR(VLOOKUP(MID(T67,W67,X67-W67),[5]skilldef!$C:$D,2,FALSE),"-") &amp; " / " &amp; IFERROR(VLOOKUP(MID(T67,U67,V67-U67),[5]skilldef!$A:$B,2,FALSE),"-")</f>
        <v>- / -</v>
      </c>
      <c r="Z67" s="111" t="s">
        <v>274</v>
      </c>
      <c r="AA67" s="111"/>
      <c r="AB67" s="111"/>
    </row>
    <row r="68" spans="1:28" s="112" customFormat="1" ht="21" customHeight="1" x14ac:dyDescent="0.15">
      <c r="A68" s="109">
        <v>47012067</v>
      </c>
      <c r="B68" s="109" t="s">
        <v>429</v>
      </c>
      <c r="C68" s="110">
        <v>3</v>
      </c>
      <c r="D68" s="110" t="s">
        <v>128</v>
      </c>
      <c r="E68" s="110" t="s">
        <v>436</v>
      </c>
      <c r="F68" s="111" t="s">
        <v>430</v>
      </c>
      <c r="G68" s="111" t="str">
        <f t="shared" si="199"/>
        <v>[effect:enemy_message, val1:1.2, val2:1.6]</v>
      </c>
      <c r="H68" s="111">
        <f t="shared" si="186"/>
        <v>9</v>
      </c>
      <c r="I68" s="111">
        <f t="shared" si="187"/>
        <v>22</v>
      </c>
      <c r="J68" s="111" t="e">
        <f t="shared" si="188"/>
        <v>#VALUE!</v>
      </c>
      <c r="K68" s="111">
        <f t="shared" si="189"/>
        <v>32</v>
      </c>
      <c r="L68" s="111" t="str">
        <f>IFERROR(VLOOKUP(MID(G68,J68,K68-J68),[5]skilldef!$C:$D,2,FALSE),"-") &amp; " / " &amp; IFERROR(VLOOKUP(MID(G68,H68,I68-H68),[5]skilldef!$A:$B,2,FALSE),"-")</f>
        <v>- / -</v>
      </c>
      <c r="M68" s="111" t="str">
        <f t="shared" si="200"/>
        <v>[effect:suicide, target:enemy_all, val:1, dead_type:escape, animation:enemy_suicide]</v>
      </c>
      <c r="N68" s="109" t="str">
        <f>IFERROR(LEFT(M68,FIND("],",M68)+S79),M68)</f>
        <v>[effect:suicide, target:enemy_all, val:1, dead_type:escape, animation:enemy_suicide]</v>
      </c>
      <c r="O68" s="111">
        <f t="shared" si="190"/>
        <v>9</v>
      </c>
      <c r="P68" s="111">
        <f t="shared" si="191"/>
        <v>16</v>
      </c>
      <c r="Q68" s="111">
        <f t="shared" si="192"/>
        <v>25</v>
      </c>
      <c r="R68" s="111">
        <f t="shared" si="193"/>
        <v>34</v>
      </c>
      <c r="S68" s="111" t="str">
        <f>IFERROR(VLOOKUP(MID(N68,Q68,R68-Q68),[5]skilldef!$C:$D,2,FALSE),"-") &amp; " / " &amp; IFERROR(VLOOKUP(MID(N68,O68,P68-O68),[5]skilldef!$A:$B,2,FALSE),"-")</f>
        <v>敵全体に / -</v>
      </c>
      <c r="T68" s="109" t="str">
        <f t="shared" si="194"/>
        <v>none</v>
      </c>
      <c r="U68" s="111" t="e">
        <f t="shared" si="195"/>
        <v>#VALUE!</v>
      </c>
      <c r="V68" s="111">
        <f t="shared" si="196"/>
        <v>4</v>
      </c>
      <c r="W68" s="111" t="e">
        <f t="shared" si="197"/>
        <v>#VALUE!</v>
      </c>
      <c r="X68" s="111" t="e">
        <f t="shared" si="198"/>
        <v>#VALUE!</v>
      </c>
      <c r="Y68" s="111" t="str">
        <f>IFERROR(VLOOKUP(MID(T68,W68,X68-W68),[5]skilldef!$C:$D,2,FALSE),"-") &amp; " / " &amp; IFERROR(VLOOKUP(MID(T68,U68,V68-U68),[5]skilldef!$A:$B,2,FALSE),"-")</f>
        <v>- / -</v>
      </c>
      <c r="Z68" s="111" t="s">
        <v>437</v>
      </c>
      <c r="AA68" s="111"/>
      <c r="AB68" s="111"/>
    </row>
    <row r="69" spans="1:28" s="117" customFormat="1" ht="38" customHeight="1" x14ac:dyDescent="0.15">
      <c r="A69" s="113">
        <v>47012068</v>
      </c>
      <c r="B69" s="114" t="s">
        <v>647</v>
      </c>
      <c r="C69" s="115">
        <v>3</v>
      </c>
      <c r="D69" s="115" t="s">
        <v>128</v>
      </c>
      <c r="E69" s="116" t="s">
        <v>493</v>
      </c>
      <c r="F69" s="116" t="s">
        <v>660</v>
      </c>
      <c r="G69" s="116" t="str">
        <f t="shared" si="199"/>
        <v>[effect:enemy_message, val1:1.8, val2:3.9]</v>
      </c>
      <c r="H69" s="116">
        <f t="shared" si="186"/>
        <v>9</v>
      </c>
      <c r="I69" s="116">
        <f t="shared" si="187"/>
        <v>22</v>
      </c>
      <c r="J69" s="116" t="e">
        <f t="shared" si="188"/>
        <v>#VALUE!</v>
      </c>
      <c r="K69" s="116">
        <f t="shared" si="189"/>
        <v>32</v>
      </c>
      <c r="L69" s="116" t="str">
        <f>IFERROR(VLOOKUP(MID(G69,J69,K69-J69),[5]skilldef!$C:$D,2,FALSE),"-") &amp; " / " &amp; IFERROR(VLOOKUP(MID(G69,H69,I69-H69),[5]skilldef!$A:$B,2,FALSE),"-")</f>
        <v>- / -</v>
      </c>
      <c r="M69" s="116" t="str">
        <f t="shared" si="200"/>
        <v>[effect:fix_speed, target:myself, turn:1],[effect:tolerance, target:myself, turn:-1, count:-1, tolerance_effect:all, animation:enemy_tolerance],[effect:reduction, target:myself, reduction_target:enemy_red, turn:-1, val:0.4, animation:reduction_one01],[effect:change_bomb_range, target:unit_all, val:0.4, rate:1, turn:-1, animation:bomb_small]</v>
      </c>
      <c r="N69" s="113" t="str">
        <f t="shared" ref="N69:N71" si="201">IFERROR(LEFT(M69,FIND("],",M69)+S79),M69)</f>
        <v>[effect:fix_speed, target:myself, turn:1],[effect:tolerance, target:myself, turn:-1, count:-1, tolerance_effect:all, animation:enemy_tolerance],[effect:reduction, target:myself, reduction_target:enemy_red, turn:-1, val:0.4, animation:reduction_one01],[effect:change_bomb_range, target:unit_all, val:0.4, rate:1, turn:-1, animation:bomb_small]</v>
      </c>
      <c r="O69" s="116">
        <f t="shared" si="190"/>
        <v>9</v>
      </c>
      <c r="P69" s="116">
        <f t="shared" si="191"/>
        <v>18</v>
      </c>
      <c r="Q69" s="116">
        <f t="shared" si="192"/>
        <v>27</v>
      </c>
      <c r="R69" s="116">
        <f t="shared" si="193"/>
        <v>33</v>
      </c>
      <c r="S69" s="116" t="str">
        <f>IFERROR(VLOOKUP(MID(N69,Q69,R69-Q69),[5]skilldef!$C:$D,2,FALSE),"-") &amp; " / " &amp; IFERROR(VLOOKUP(MID(N69,O69,P69-O69),[5]skilldef!$A:$B,2,FALSE),"-")</f>
        <v>自分自身に / 行動値設定</v>
      </c>
      <c r="T69" s="113" t="str">
        <f t="shared" si="194"/>
        <v>[effect:tolerance, target:myself, turn:-1, count:-1, tolerance_effect:all, animation:enemy_tolerance],[effect:reduction, target:myself, reduction_target:enemy_red, turn:-1, val:0.4, animation:reduction_one01],[effect:change_bomb_range, target:unit_all, val:0.4, rate:1, turn:-1, animation:bomb_small]</v>
      </c>
      <c r="U69" s="116">
        <f t="shared" si="195"/>
        <v>9</v>
      </c>
      <c r="V69" s="116">
        <f t="shared" si="196"/>
        <v>18</v>
      </c>
      <c r="W69" s="116">
        <f t="shared" si="197"/>
        <v>27</v>
      </c>
      <c r="X69" s="116">
        <f t="shared" si="198"/>
        <v>33</v>
      </c>
      <c r="Y69" s="116" t="str">
        <f>IFERROR(VLOOKUP(MID(T69,W69,X69-W69),[5]skilldef!$C:$D,2,FALSE),"-") &amp; " / " &amp; IFERROR(VLOOKUP(MID(T69,U69,V69-U69),[5]skilldef!$A:$B,2,FALSE),"-")</f>
        <v>自分自身に / 状態異常耐性</v>
      </c>
      <c r="Z69" s="116" t="s">
        <v>279</v>
      </c>
      <c r="AA69" s="116"/>
      <c r="AB69" s="116"/>
    </row>
    <row r="70" spans="1:28" s="117" customFormat="1" ht="21" customHeight="1" x14ac:dyDescent="0.15">
      <c r="A70" s="113">
        <v>47012069</v>
      </c>
      <c r="B70" s="113" t="s">
        <v>646</v>
      </c>
      <c r="C70" s="115">
        <v>3</v>
      </c>
      <c r="D70" s="115" t="s">
        <v>128</v>
      </c>
      <c r="E70" s="115" t="s">
        <v>374</v>
      </c>
      <c r="F70" s="116" t="s">
        <v>276</v>
      </c>
      <c r="G70" s="116" t="str">
        <f t="shared" si="199"/>
        <v>[effect:enemy_message, val1:1.2, val2:1.2]</v>
      </c>
      <c r="H70" s="116">
        <f t="shared" si="186"/>
        <v>9</v>
      </c>
      <c r="I70" s="116">
        <f t="shared" si="187"/>
        <v>22</v>
      </c>
      <c r="J70" s="116" t="e">
        <f t="shared" si="188"/>
        <v>#VALUE!</v>
      </c>
      <c r="K70" s="116">
        <f t="shared" si="189"/>
        <v>32</v>
      </c>
      <c r="L70" s="116" t="str">
        <f>IFERROR(VLOOKUP(MID(G70,J70,K70-J70),[5]skilldef!$C:$D,2,FALSE),"-") &amp; " / " &amp; IFERROR(VLOOKUP(MID(G70,H70,I70-H70),[5]skilldef!$A:$B,2,FALSE),"-")</f>
        <v>- / -</v>
      </c>
      <c r="M70" s="116" t="str">
        <f t="shared" si="200"/>
        <v>[effect:rush, count:4, val:0.23]</v>
      </c>
      <c r="N70" s="113" t="str">
        <f t="shared" si="201"/>
        <v>[effect:rush, count:4, val:0.23]</v>
      </c>
      <c r="O70" s="116">
        <f t="shared" si="190"/>
        <v>9</v>
      </c>
      <c r="P70" s="116">
        <f t="shared" si="191"/>
        <v>13</v>
      </c>
      <c r="Q70" s="116" t="e">
        <f t="shared" si="192"/>
        <v>#VALUE!</v>
      </c>
      <c r="R70" s="116">
        <f t="shared" si="193"/>
        <v>22</v>
      </c>
      <c r="S70" s="116" t="str">
        <f>IFERROR(VLOOKUP(MID(N70,Q70,R70-Q70),[5]skilldef!$C:$D,2,FALSE),"-") &amp; " / " &amp; IFERROR(VLOOKUP(MID(N70,O70,P70-O70),[5]skilldef!$A:$B,2,FALSE),"-")</f>
        <v>- / 連続攻撃</v>
      </c>
      <c r="T70" s="113" t="str">
        <f t="shared" si="194"/>
        <v>none</v>
      </c>
      <c r="U70" s="116" t="e">
        <f t="shared" si="195"/>
        <v>#VALUE!</v>
      </c>
      <c r="V70" s="116">
        <f t="shared" si="196"/>
        <v>4</v>
      </c>
      <c r="W70" s="116" t="e">
        <f t="shared" si="197"/>
        <v>#VALUE!</v>
      </c>
      <c r="X70" s="116" t="e">
        <f t="shared" si="198"/>
        <v>#VALUE!</v>
      </c>
      <c r="Y70" s="116" t="str">
        <f>IFERROR(VLOOKUP(MID(T70,W70,X70-W70),[5]skilldef!$C:$D,2,FALSE),"-") &amp; " / " &amp; IFERROR(VLOOKUP(MID(T70,U70,V70-U70),[5]skilldef!$A:$B,2,FALSE),"-")</f>
        <v>- / -</v>
      </c>
      <c r="Z70" s="116" t="s">
        <v>280</v>
      </c>
      <c r="AA70" s="116"/>
      <c r="AB70" s="116"/>
    </row>
    <row r="71" spans="1:28" s="117" customFormat="1" ht="21" customHeight="1" x14ac:dyDescent="0.15">
      <c r="A71" s="113">
        <v>47012070</v>
      </c>
      <c r="B71" s="113" t="s">
        <v>600</v>
      </c>
      <c r="C71" s="115">
        <v>3</v>
      </c>
      <c r="D71" s="115" t="s">
        <v>128</v>
      </c>
      <c r="E71" s="115" t="s">
        <v>375</v>
      </c>
      <c r="F71" s="116" t="s">
        <v>599</v>
      </c>
      <c r="G71" s="116" t="str">
        <f t="shared" si="199"/>
        <v>[effect:enemy_message, val1:1.2, val2:2.0]</v>
      </c>
      <c r="H71" s="116">
        <f t="shared" si="186"/>
        <v>9</v>
      </c>
      <c r="I71" s="116">
        <f t="shared" si="187"/>
        <v>22</v>
      </c>
      <c r="J71" s="116" t="e">
        <f t="shared" si="188"/>
        <v>#VALUE!</v>
      </c>
      <c r="K71" s="116">
        <f t="shared" si="189"/>
        <v>32</v>
      </c>
      <c r="L71" s="116" t="str">
        <f>IFERROR(VLOOKUP(MID(G71,J71,K71-J71),[5]skilldef!$C:$D,2,FALSE),"-") &amp; " / " &amp; IFERROR(VLOOKUP(MID(G71,H71,I71-H71),[5]skilldef!$A:$B,2,FALSE),"-")</f>
        <v>- / -</v>
      </c>
      <c r="M71" s="116" t="str">
        <f t="shared" si="200"/>
        <v>[effect:force_change_block, new_block:damage, target:normal, count:3, val:0.07, animation:change_block]</v>
      </c>
      <c r="N71" s="113" t="str">
        <f t="shared" si="201"/>
        <v>[effect:force_change_block, new_block:damage, target:normal, count:3, val:0.07, animation:change_block]</v>
      </c>
      <c r="O71" s="116">
        <f t="shared" si="190"/>
        <v>9</v>
      </c>
      <c r="P71" s="116">
        <f t="shared" si="191"/>
        <v>27</v>
      </c>
      <c r="Q71" s="116">
        <f t="shared" si="192"/>
        <v>54</v>
      </c>
      <c r="R71" s="116">
        <f t="shared" si="193"/>
        <v>45</v>
      </c>
      <c r="S71" s="116" t="str">
        <f>IFERROR(VLOOKUP(MID(N71,Q71,R71-Q71),[5]skilldef!$C:$D,2,FALSE),"-") &amp; " / " &amp; IFERROR(VLOOKUP(MID(N71,O71,P71-O71),[5]skilldef!$A:$B,2,FALSE),"-")</f>
        <v>- / -</v>
      </c>
      <c r="T71" s="113" t="str">
        <f t="shared" si="194"/>
        <v>none</v>
      </c>
      <c r="U71" s="116" t="e">
        <f t="shared" si="195"/>
        <v>#VALUE!</v>
      </c>
      <c r="V71" s="116">
        <f t="shared" si="196"/>
        <v>4</v>
      </c>
      <c r="W71" s="116" t="e">
        <f t="shared" si="197"/>
        <v>#VALUE!</v>
      </c>
      <c r="X71" s="116" t="e">
        <f t="shared" si="198"/>
        <v>#VALUE!</v>
      </c>
      <c r="Y71" s="116" t="str">
        <f>IFERROR(VLOOKUP(MID(T71,W71,X71-W71),[5]skilldef!$C:$D,2,FALSE),"-") &amp; " / " &amp; IFERROR(VLOOKUP(MID(T71,U71,V71-U71),[5]skilldef!$A:$B,2,FALSE),"-")</f>
        <v>- / -</v>
      </c>
      <c r="Z71" s="116" t="s">
        <v>281</v>
      </c>
      <c r="AA71" s="116"/>
      <c r="AB71" s="116"/>
    </row>
    <row r="72" spans="1:28" s="117" customFormat="1" ht="21" customHeight="1" x14ac:dyDescent="0.15">
      <c r="A72" s="113">
        <v>47012071</v>
      </c>
      <c r="B72" s="113" t="s">
        <v>390</v>
      </c>
      <c r="C72" s="115">
        <v>3</v>
      </c>
      <c r="D72" s="115" t="s">
        <v>128</v>
      </c>
      <c r="E72" s="115" t="s">
        <v>418</v>
      </c>
      <c r="F72" s="116" t="s">
        <v>287</v>
      </c>
      <c r="G72" s="116" t="str">
        <f t="shared" si="199"/>
        <v>[effect:enemy_message, val1:1.2, val2:1.4]</v>
      </c>
      <c r="H72" s="116">
        <f t="shared" si="186"/>
        <v>9</v>
      </c>
      <c r="I72" s="116">
        <f t="shared" si="187"/>
        <v>22</v>
      </c>
      <c r="J72" s="116" t="e">
        <f t="shared" si="188"/>
        <v>#VALUE!</v>
      </c>
      <c r="K72" s="116">
        <f t="shared" si="189"/>
        <v>32</v>
      </c>
      <c r="L72" s="116" t="str">
        <f>IFERROR(VLOOKUP(MID(G72,J72,K72-J72),[5]skilldef!$C:$D,2,FALSE),"-") &amp; " / " &amp; IFERROR(VLOOKUP(MID(G72,H72,I72-H72),[5]skilldef!$A:$B,2,FALSE),"-")</f>
        <v>- / -</v>
      </c>
      <c r="M72" s="116" t="str">
        <f t="shared" si="200"/>
        <v>[effect:virus, target:unit_all, turn:2, rate:1, val:0.07, animation:enemy_virus]</v>
      </c>
      <c r="N72" s="113" t="str">
        <f>IFERROR(LEFT(M72,FIND("],",M72)+#REF!),M72)</f>
        <v>[effect:virus, target:unit_all, turn:2, rate:1, val:0.07, animation:enemy_virus]</v>
      </c>
      <c r="O72" s="116">
        <f t="shared" si="190"/>
        <v>9</v>
      </c>
      <c r="P72" s="116">
        <f t="shared" si="191"/>
        <v>14</v>
      </c>
      <c r="Q72" s="116">
        <f t="shared" si="192"/>
        <v>23</v>
      </c>
      <c r="R72" s="116">
        <f t="shared" si="193"/>
        <v>31</v>
      </c>
      <c r="S72" s="116" t="str">
        <f>IFERROR(VLOOKUP(MID(N72,Q72,R72-Q72),[5]skilldef!$C:$D,2,FALSE),"-") &amp; " / " &amp; IFERROR(VLOOKUP(MID(N72,O72,P72-O72),[5]skilldef!$A:$B,2,FALSE),"-")</f>
        <v>味方全体に / ウィルス</v>
      </c>
      <c r="T72" s="113" t="str">
        <f t="shared" si="194"/>
        <v>none</v>
      </c>
      <c r="U72" s="116" t="e">
        <f t="shared" si="195"/>
        <v>#VALUE!</v>
      </c>
      <c r="V72" s="116">
        <f t="shared" si="196"/>
        <v>4</v>
      </c>
      <c r="W72" s="116" t="e">
        <f t="shared" si="197"/>
        <v>#VALUE!</v>
      </c>
      <c r="X72" s="116" t="e">
        <f t="shared" si="198"/>
        <v>#VALUE!</v>
      </c>
      <c r="Y72" s="116" t="str">
        <f>IFERROR(VLOOKUP(MID(T72,W72,X72-W72),[5]skilldef!$C:$D,2,FALSE),"-") &amp; " / " &amp; IFERROR(VLOOKUP(MID(T72,U72,V72-U72),[5]skilldef!$A:$B,2,FALSE),"-")</f>
        <v>- / -</v>
      </c>
      <c r="Z72" s="116" t="s">
        <v>282</v>
      </c>
      <c r="AA72" s="116"/>
      <c r="AB72" s="116"/>
    </row>
    <row r="73" spans="1:28" s="121" customFormat="1" ht="31" customHeight="1" x14ac:dyDescent="0.15">
      <c r="A73" s="118">
        <v>47012072</v>
      </c>
      <c r="B73" s="118" t="s">
        <v>461</v>
      </c>
      <c r="C73" s="119">
        <v>3</v>
      </c>
      <c r="D73" s="119" t="s">
        <v>128</v>
      </c>
      <c r="E73" s="120" t="s">
        <v>419</v>
      </c>
      <c r="F73" s="120" t="s">
        <v>570</v>
      </c>
      <c r="G73" s="120" t="str">
        <f t="shared" si="199"/>
        <v>[effect:enemy_message, val1:2.4, val2:1.9]</v>
      </c>
      <c r="H73" s="120">
        <f t="shared" si="186"/>
        <v>9</v>
      </c>
      <c r="I73" s="120">
        <f t="shared" si="187"/>
        <v>22</v>
      </c>
      <c r="J73" s="120" t="e">
        <f t="shared" si="188"/>
        <v>#VALUE!</v>
      </c>
      <c r="K73" s="120">
        <f t="shared" si="189"/>
        <v>32</v>
      </c>
      <c r="L73" s="120" t="str">
        <f>IFERROR(VLOOKUP(MID(G73,J73,K73-J73),[5]skilldef!$C:$D,2,FALSE),"-") &amp; " / " &amp; IFERROR(VLOOKUP(MID(G73,H73,I73-H73),[5]skilldef!$A:$B,2,FALSE),"-")</f>
        <v>- / -</v>
      </c>
      <c r="M73" s="120" t="str">
        <f t="shared" si="200"/>
        <v>[effect:fix_speed, target:myself, turn:1],[effect:tolerance, target:myself, turn:-1, count:-1, tolerance_effect:all, animation:enemy_tolerance],[effect:reduction, target:myself, reduction_target:enemy_red, turn:-1, val:0.4, animation:reduction_one01]</v>
      </c>
      <c r="N73" s="118" t="str">
        <f t="shared" ref="N73:N82" si="202">IFERROR(LEFT(M73,FIND("],",M73)+S83),M73)</f>
        <v>[effect:fix_speed, target:myself, turn:1],[effect:tolerance, target:myself, turn:-1, count:-1, tolerance_effect:all, animation:enemy_tolerance],[effect:reduction, target:myself, reduction_target:enemy_red, turn:-1, val:0.4, animation:reduction_one01]</v>
      </c>
      <c r="O73" s="120">
        <f t="shared" si="190"/>
        <v>9</v>
      </c>
      <c r="P73" s="120">
        <f t="shared" si="191"/>
        <v>18</v>
      </c>
      <c r="Q73" s="120">
        <f t="shared" si="192"/>
        <v>27</v>
      </c>
      <c r="R73" s="120">
        <f t="shared" si="193"/>
        <v>33</v>
      </c>
      <c r="S73" s="120" t="str">
        <f>IFERROR(VLOOKUP(MID(N73,Q73,R73-Q73),[5]skilldef!$C:$D,2,FALSE),"-") &amp; " / " &amp; IFERROR(VLOOKUP(MID(N73,O73,P73-O73),[5]skilldef!$A:$B,2,FALSE),"-")</f>
        <v>自分自身に / 行動値設定</v>
      </c>
      <c r="T73" s="118" t="str">
        <f t="shared" si="194"/>
        <v>[effect:tolerance, target:myself, turn:-1, count:-1, tolerance_effect:all, animation:enemy_tolerance],[effect:reduction, target:myself, reduction_target:enemy_red, turn:-1, val:0.4, animation:reduction_one01]</v>
      </c>
      <c r="U73" s="120">
        <f t="shared" si="195"/>
        <v>9</v>
      </c>
      <c r="V73" s="120">
        <f t="shared" si="196"/>
        <v>18</v>
      </c>
      <c r="W73" s="120">
        <f t="shared" si="197"/>
        <v>27</v>
      </c>
      <c r="X73" s="120">
        <f t="shared" si="198"/>
        <v>33</v>
      </c>
      <c r="Y73" s="120" t="str">
        <f>IFERROR(VLOOKUP(MID(T73,W73,X73-W73),[5]skilldef!$C:$D,2,FALSE),"-") &amp; " / " &amp; IFERROR(VLOOKUP(MID(T73,U73,V73-U73),[5]skilldef!$A:$B,2,FALSE),"-")</f>
        <v>自分自身に / 状態異常耐性</v>
      </c>
      <c r="Z73" s="120" t="s">
        <v>283</v>
      </c>
      <c r="AA73" s="120"/>
      <c r="AB73" s="120"/>
    </row>
    <row r="74" spans="1:28" s="121" customFormat="1" ht="35" customHeight="1" x14ac:dyDescent="0.15">
      <c r="A74" s="118">
        <v>47012073</v>
      </c>
      <c r="B74" s="118" t="s">
        <v>648</v>
      </c>
      <c r="C74" s="119">
        <v>3</v>
      </c>
      <c r="D74" s="119" t="s">
        <v>128</v>
      </c>
      <c r="E74" s="119" t="s">
        <v>376</v>
      </c>
      <c r="F74" s="120" t="s">
        <v>661</v>
      </c>
      <c r="G74" s="120" t="str">
        <f t="shared" si="199"/>
        <v>[effect:enemy_message, val1:1.2, val2:2.6]</v>
      </c>
      <c r="H74" s="120">
        <f t="shared" si="186"/>
        <v>9</v>
      </c>
      <c r="I74" s="120">
        <f t="shared" si="187"/>
        <v>22</v>
      </c>
      <c r="J74" s="120" t="e">
        <f t="shared" si="188"/>
        <v>#VALUE!</v>
      </c>
      <c r="K74" s="120">
        <f t="shared" si="189"/>
        <v>32</v>
      </c>
      <c r="L74" s="120" t="str">
        <f>IFERROR(VLOOKUP(MID(G74,J74,K74-J74),[5]skilldef!$C:$D,2,FALSE),"-") &amp; " / " &amp; IFERROR(VLOOKUP(MID(G74,H74,I74-H74),[5]skilldef!$A:$B,2,FALSE),"-")</f>
        <v>- / -</v>
      </c>
      <c r="M74" s="120" t="str">
        <f t="shared" si="200"/>
        <v>[effect:rush, count:8, val:0.12],[effect:change_bomb_range, target:unit_all, val:0.4, rate:1, turn:-1, animation:bomb_small]</v>
      </c>
      <c r="N74" s="118" t="str">
        <f t="shared" si="202"/>
        <v>[effect:rush, count:8, val:0.12],[effect:change_bomb_range, target:unit_all, val:0.4, rate:1, turn:-1, animation:bomb_small]</v>
      </c>
      <c r="O74" s="120">
        <f t="shared" si="190"/>
        <v>9</v>
      </c>
      <c r="P74" s="120">
        <f t="shared" si="191"/>
        <v>13</v>
      </c>
      <c r="Q74" s="120">
        <f t="shared" si="192"/>
        <v>68</v>
      </c>
      <c r="R74" s="120">
        <f t="shared" si="193"/>
        <v>22</v>
      </c>
      <c r="S74" s="120" t="str">
        <f>IFERROR(VLOOKUP(MID(N74,Q74,R74-Q74),[5]skilldef!$C:$D,2,FALSE),"-") &amp; " / " &amp; IFERROR(VLOOKUP(MID(N74,O74,P74-O74),[5]skilldef!$A:$B,2,FALSE),"-")</f>
        <v>- / 連続攻撃</v>
      </c>
      <c r="T74" s="118" t="str">
        <f t="shared" si="194"/>
        <v>[effect:change_bomb_range, target:unit_all, val:0.4, rate:1, turn:-1, animation:bomb_small]</v>
      </c>
      <c r="U74" s="120">
        <f t="shared" si="195"/>
        <v>9</v>
      </c>
      <c r="V74" s="120">
        <f t="shared" si="196"/>
        <v>26</v>
      </c>
      <c r="W74" s="120">
        <f t="shared" si="197"/>
        <v>35</v>
      </c>
      <c r="X74" s="120">
        <f t="shared" si="198"/>
        <v>43</v>
      </c>
      <c r="Y74" s="120" t="str">
        <f>IFERROR(VLOOKUP(MID(T74,W74,X74-W74),[5]skilldef!$C:$D,2,FALSE),"-") &amp; " / " &amp; IFERROR(VLOOKUP(MID(T74,U74,V74-U74),[5]skilldef!$A:$B,2,FALSE),"-")</f>
        <v>味方全体に / -</v>
      </c>
      <c r="Z74" s="120" t="s">
        <v>290</v>
      </c>
      <c r="AA74" s="120"/>
      <c r="AB74" s="120"/>
    </row>
    <row r="75" spans="1:28" s="121" customFormat="1" ht="21" customHeight="1" x14ac:dyDescent="0.15">
      <c r="A75" s="118">
        <v>47012074</v>
      </c>
      <c r="B75" s="118" t="s">
        <v>462</v>
      </c>
      <c r="C75" s="119">
        <v>3</v>
      </c>
      <c r="D75" s="119" t="s">
        <v>128</v>
      </c>
      <c r="E75" s="119" t="s">
        <v>420</v>
      </c>
      <c r="F75" s="120" t="s">
        <v>286</v>
      </c>
      <c r="G75" s="120" t="str">
        <f t="shared" si="199"/>
        <v>[effect:enemy_message, val1:1.5, val2:1.4]</v>
      </c>
      <c r="H75" s="120">
        <f t="shared" si="186"/>
        <v>9</v>
      </c>
      <c r="I75" s="120">
        <f t="shared" si="187"/>
        <v>22</v>
      </c>
      <c r="J75" s="120" t="e">
        <f t="shared" si="188"/>
        <v>#VALUE!</v>
      </c>
      <c r="K75" s="120">
        <f t="shared" si="189"/>
        <v>32</v>
      </c>
      <c r="L75" s="120" t="str">
        <f>IFERROR(VLOOKUP(MID(G75,J75,K75-J75),[5]skilldef!$C:$D,2,FALSE),"-") &amp; " / " &amp; IFERROR(VLOOKUP(MID(G75,H75,I75-H75),[5]skilldef!$A:$B,2,FALSE),"-")</f>
        <v>- / -</v>
      </c>
      <c r="M75" s="120" t="str">
        <f t="shared" si="200"/>
        <v>[effect:virus, target:unit_all, turn:2, rate:1, val:0.1, animation:enemy_virus]</v>
      </c>
      <c r="N75" s="118" t="str">
        <f t="shared" si="202"/>
        <v>[effect:virus, target:unit_all, turn:2, rate:1, val:0.1, animation:enemy_virus]</v>
      </c>
      <c r="O75" s="120">
        <f t="shared" si="190"/>
        <v>9</v>
      </c>
      <c r="P75" s="120">
        <f t="shared" si="191"/>
        <v>14</v>
      </c>
      <c r="Q75" s="120">
        <f t="shared" si="192"/>
        <v>23</v>
      </c>
      <c r="R75" s="120">
        <f t="shared" si="193"/>
        <v>31</v>
      </c>
      <c r="S75" s="120" t="str">
        <f>IFERROR(VLOOKUP(MID(N75,Q75,R75-Q75),[5]skilldef!$C:$D,2,FALSE),"-") &amp; " / " &amp; IFERROR(VLOOKUP(MID(N75,O75,P75-O75),[5]skilldef!$A:$B,2,FALSE),"-")</f>
        <v>味方全体に / ウィルス</v>
      </c>
      <c r="T75" s="118" t="str">
        <f t="shared" si="194"/>
        <v>none</v>
      </c>
      <c r="U75" s="120" t="e">
        <f t="shared" si="195"/>
        <v>#VALUE!</v>
      </c>
      <c r="V75" s="120">
        <f t="shared" si="196"/>
        <v>4</v>
      </c>
      <c r="W75" s="120" t="e">
        <f t="shared" si="197"/>
        <v>#VALUE!</v>
      </c>
      <c r="X75" s="120" t="e">
        <f t="shared" si="198"/>
        <v>#VALUE!</v>
      </c>
      <c r="Y75" s="120" t="str">
        <f>IFERROR(VLOOKUP(MID(T75,W75,X75-W75),[5]skilldef!$C:$D,2,FALSE),"-") &amp; " / " &amp; IFERROR(VLOOKUP(MID(T75,U75,V75-U75),[5]skilldef!$A:$B,2,FALSE),"-")</f>
        <v>- / -</v>
      </c>
      <c r="Z75" s="120" t="s">
        <v>292</v>
      </c>
      <c r="AA75" s="120"/>
      <c r="AB75" s="120"/>
    </row>
    <row r="76" spans="1:28" s="121" customFormat="1" ht="34" customHeight="1" x14ac:dyDescent="0.15">
      <c r="A76" s="118">
        <v>47012075</v>
      </c>
      <c r="B76" s="118" t="s">
        <v>602</v>
      </c>
      <c r="C76" s="119">
        <v>3</v>
      </c>
      <c r="D76" s="119" t="s">
        <v>128</v>
      </c>
      <c r="E76" s="119" t="s">
        <v>378</v>
      </c>
      <c r="F76" s="120" t="s">
        <v>601</v>
      </c>
      <c r="G76" s="120" t="str">
        <f t="shared" si="199"/>
        <v>[effect:enemy_message, val1:1.2, val2:2.7]</v>
      </c>
      <c r="H76" s="120">
        <f t="shared" si="186"/>
        <v>9</v>
      </c>
      <c r="I76" s="120">
        <f t="shared" si="187"/>
        <v>22</v>
      </c>
      <c r="J76" s="120" t="e">
        <f t="shared" si="188"/>
        <v>#VALUE!</v>
      </c>
      <c r="K76" s="120">
        <f t="shared" si="189"/>
        <v>32</v>
      </c>
      <c r="L76" s="120" t="str">
        <f>IFERROR(VLOOKUP(MID(G76,J76,K76-J76),[5]skilldef!$C:$D,2,FALSE),"-") &amp; " / " &amp; IFERROR(VLOOKUP(MID(G76,H76,I76-H76),[5]skilldef!$A:$B,2,FALSE),"-")</f>
        <v>- / -</v>
      </c>
      <c r="M76" s="120" t="str">
        <f t="shared" si="200"/>
        <v>[effect:force_change_block, new_block:damage, target:normal, count:3, val:0.07, animation:change_block],[effect:rush, count:4, val:0.2]</v>
      </c>
      <c r="N76" s="118" t="str">
        <f t="shared" si="202"/>
        <v>[effect:force_change_block, new_block:damage, target:normal, count:3, val:0.07, animation:change_block],[effect:rush, count:4, val:0.2]</v>
      </c>
      <c r="O76" s="120">
        <f t="shared" si="190"/>
        <v>9</v>
      </c>
      <c r="P76" s="120">
        <f t="shared" si="191"/>
        <v>27</v>
      </c>
      <c r="Q76" s="120">
        <f t="shared" si="192"/>
        <v>54</v>
      </c>
      <c r="R76" s="120">
        <f t="shared" si="193"/>
        <v>45</v>
      </c>
      <c r="S76" s="120" t="str">
        <f>IFERROR(VLOOKUP(MID(N76,Q76,R76-Q76),[5]skilldef!$C:$D,2,FALSE),"-") &amp; " / " &amp; IFERROR(VLOOKUP(MID(N76,O76,P76-O76),[5]skilldef!$A:$B,2,FALSE),"-")</f>
        <v>- / -</v>
      </c>
      <c r="T76" s="118" t="str">
        <f t="shared" si="194"/>
        <v>[effect:rush, count:4, val:0.2]</v>
      </c>
      <c r="U76" s="120">
        <f t="shared" si="195"/>
        <v>9</v>
      </c>
      <c r="V76" s="120">
        <f t="shared" si="196"/>
        <v>13</v>
      </c>
      <c r="W76" s="120" t="e">
        <f t="shared" si="197"/>
        <v>#VALUE!</v>
      </c>
      <c r="X76" s="120">
        <f t="shared" si="198"/>
        <v>22</v>
      </c>
      <c r="Y76" s="120" t="str">
        <f>IFERROR(VLOOKUP(MID(T76,W76,X76-W76),[5]skilldef!$C:$D,2,FALSE),"-") &amp; " / " &amp; IFERROR(VLOOKUP(MID(T76,U76,V76-U76),[5]skilldef!$A:$B,2,FALSE),"-")</f>
        <v>- / 連続攻撃</v>
      </c>
      <c r="Z76" s="120" t="s">
        <v>294</v>
      </c>
      <c r="AA76" s="120"/>
      <c r="AB76" s="120"/>
    </row>
    <row r="77" spans="1:28" s="121" customFormat="1" ht="21" customHeight="1" x14ac:dyDescent="0.15">
      <c r="A77" s="118">
        <v>47012076</v>
      </c>
      <c r="B77" s="118" t="s">
        <v>391</v>
      </c>
      <c r="C77" s="119">
        <v>3</v>
      </c>
      <c r="D77" s="119" t="s">
        <v>128</v>
      </c>
      <c r="E77" s="119" t="s">
        <v>377</v>
      </c>
      <c r="F77" s="120" t="s">
        <v>571</v>
      </c>
      <c r="G77" s="120" t="str">
        <f t="shared" si="199"/>
        <v>[effect:enemy_message, val1:1.2, val2:2.0]</v>
      </c>
      <c r="H77" s="120">
        <f t="shared" si="186"/>
        <v>9</v>
      </c>
      <c r="I77" s="120">
        <f t="shared" si="187"/>
        <v>22</v>
      </c>
      <c r="J77" s="120" t="e">
        <f t="shared" si="188"/>
        <v>#VALUE!</v>
      </c>
      <c r="K77" s="120">
        <f t="shared" si="189"/>
        <v>32</v>
      </c>
      <c r="L77" s="120" t="str">
        <f>IFERROR(VLOOKUP(MID(G77,J77,K77-J77),[5]skilldef!$C:$D,2,FALSE),"-") &amp; " / " &amp; IFERROR(VLOOKUP(MID(G77,H77,I77-H77),[5]skilldef!$A:$B,2,FALSE),"-")</f>
        <v>- / -</v>
      </c>
      <c r="M77" s="120" t="str">
        <f t="shared" si="200"/>
        <v>[effect:degrade_unit, target:unit_all, turn:2, status:heal, val:0.3, calc:mul, animation:degrade_unit_all_heal]</v>
      </c>
      <c r="N77" s="118" t="str">
        <f t="shared" si="202"/>
        <v>[effect:degrade_unit, target:unit_all, turn:2, status:heal, val:0.3, calc:mul, animation:degrade_unit_all_heal]</v>
      </c>
      <c r="O77" s="120">
        <f t="shared" si="190"/>
        <v>9</v>
      </c>
      <c r="P77" s="120">
        <f t="shared" si="191"/>
        <v>21</v>
      </c>
      <c r="Q77" s="120">
        <f t="shared" si="192"/>
        <v>30</v>
      </c>
      <c r="R77" s="120">
        <f t="shared" si="193"/>
        <v>38</v>
      </c>
      <c r="S77" s="120" t="str">
        <f>IFERROR(VLOOKUP(MID(N77,Q77,R77-Q77),[5]skilldef!$C:$D,2,FALSE),"-") &amp; " / " &amp; IFERROR(VLOOKUP(MID(N77,O77,P77-O77),[5]skilldef!$A:$B,2,FALSE),"-")</f>
        <v>味方全体に / ステータスDOWN</v>
      </c>
      <c r="T77" s="118" t="str">
        <f t="shared" si="194"/>
        <v>none</v>
      </c>
      <c r="U77" s="120" t="e">
        <f t="shared" si="195"/>
        <v>#VALUE!</v>
      </c>
      <c r="V77" s="120">
        <f t="shared" si="196"/>
        <v>4</v>
      </c>
      <c r="W77" s="120" t="e">
        <f t="shared" si="197"/>
        <v>#VALUE!</v>
      </c>
      <c r="X77" s="120" t="e">
        <f t="shared" si="198"/>
        <v>#VALUE!</v>
      </c>
      <c r="Y77" s="120" t="str">
        <f>IFERROR(VLOOKUP(MID(T77,W77,X77-W77),[5]skilldef!$C:$D,2,FALSE),"-") &amp; " / " &amp; IFERROR(VLOOKUP(MID(T77,U77,V77-U77),[5]skilldef!$A:$B,2,FALSE),"-")</f>
        <v>- / -</v>
      </c>
      <c r="Z77" s="120" t="s">
        <v>295</v>
      </c>
      <c r="AA77" s="120"/>
      <c r="AB77" s="120"/>
    </row>
    <row r="78" spans="1:28" s="121" customFormat="1" ht="21" customHeight="1" x14ac:dyDescent="0.15">
      <c r="A78" s="118">
        <v>47012077</v>
      </c>
      <c r="B78" s="118" t="s">
        <v>392</v>
      </c>
      <c r="C78" s="119">
        <v>3</v>
      </c>
      <c r="D78" s="119" t="s">
        <v>128</v>
      </c>
      <c r="E78" s="119" t="s">
        <v>417</v>
      </c>
      <c r="F78" s="120" t="s">
        <v>301</v>
      </c>
      <c r="G78" s="120" t="str">
        <f t="shared" si="199"/>
        <v>[effect:enemy_message, val1:1.2, val2:1.6]</v>
      </c>
      <c r="H78" s="120">
        <f t="shared" si="186"/>
        <v>9</v>
      </c>
      <c r="I78" s="120">
        <f t="shared" si="187"/>
        <v>22</v>
      </c>
      <c r="J78" s="120" t="e">
        <f t="shared" si="188"/>
        <v>#VALUE!</v>
      </c>
      <c r="K78" s="120">
        <f t="shared" si="189"/>
        <v>32</v>
      </c>
      <c r="L78" s="120" t="str">
        <f>IFERROR(VLOOKUP(MID(G78,J78,K78-J78),[5]skilldef!$C:$D,2,FALSE),"-") &amp; " / " &amp; IFERROR(VLOOKUP(MID(G78,H78,I78-H78),[5]skilldef!$A:$B,2,FALSE),"-")</f>
        <v>- / -</v>
      </c>
      <c r="M78" s="120" t="str">
        <f t="shared" si="200"/>
        <v>[effect:break_attack_fix, target:unit_all, val:400, lowest_val:1500, count:-1, block01:damage]</v>
      </c>
      <c r="N78" s="118" t="str">
        <f t="shared" si="202"/>
        <v>[effect:break_attack_fix, target:unit_all, val:400, lowest_val:1500, count:-1, block01:damage]</v>
      </c>
      <c r="O78" s="120">
        <f t="shared" si="190"/>
        <v>9</v>
      </c>
      <c r="P78" s="120">
        <f t="shared" si="191"/>
        <v>25</v>
      </c>
      <c r="Q78" s="120">
        <f t="shared" si="192"/>
        <v>34</v>
      </c>
      <c r="R78" s="120">
        <f t="shared" si="193"/>
        <v>42</v>
      </c>
      <c r="S78" s="120" t="str">
        <f>IFERROR(VLOOKUP(MID(N78,Q78,R78-Q78),[5]skilldef!$C:$D,2,FALSE),"-") &amp; " / " &amp; IFERROR(VLOOKUP(MID(N78,O78,P78-O78),[5]skilldef!$A:$B,2,FALSE),"-")</f>
        <v>味方全体に / -</v>
      </c>
      <c r="T78" s="118" t="str">
        <f t="shared" si="194"/>
        <v>none</v>
      </c>
      <c r="U78" s="120" t="e">
        <f t="shared" si="195"/>
        <v>#VALUE!</v>
      </c>
      <c r="V78" s="120">
        <f t="shared" si="196"/>
        <v>4</v>
      </c>
      <c r="W78" s="120" t="e">
        <f t="shared" si="197"/>
        <v>#VALUE!</v>
      </c>
      <c r="X78" s="120" t="e">
        <f t="shared" si="198"/>
        <v>#VALUE!</v>
      </c>
      <c r="Y78" s="120" t="str">
        <f>IFERROR(VLOOKUP(MID(T78,W78,X78-W78),[5]skilldef!$C:$D,2,FALSE),"-") &amp; " / " &amp; IFERROR(VLOOKUP(MID(T78,U78,V78-U78),[5]skilldef!$A:$B,2,FALSE),"-")</f>
        <v>- / -</v>
      </c>
      <c r="Z78" s="120" t="s">
        <v>296</v>
      </c>
      <c r="AA78" s="120"/>
      <c r="AB78" s="120"/>
    </row>
    <row r="79" spans="1:28" s="121" customFormat="1" ht="38" customHeight="1" x14ac:dyDescent="0.15">
      <c r="A79" s="118">
        <v>47012078</v>
      </c>
      <c r="B79" s="118" t="s">
        <v>649</v>
      </c>
      <c r="C79" s="119">
        <v>3</v>
      </c>
      <c r="D79" s="119" t="s">
        <v>128</v>
      </c>
      <c r="E79" s="119" t="s">
        <v>376</v>
      </c>
      <c r="F79" s="120" t="s">
        <v>661</v>
      </c>
      <c r="G79" s="120" t="str">
        <f t="shared" si="199"/>
        <v>[effect:enemy_message, val1:1.2, val2:2.6]</v>
      </c>
      <c r="H79" s="120">
        <f t="shared" si="186"/>
        <v>9</v>
      </c>
      <c r="I79" s="120">
        <f t="shared" si="187"/>
        <v>22</v>
      </c>
      <c r="J79" s="120" t="e">
        <f t="shared" si="188"/>
        <v>#VALUE!</v>
      </c>
      <c r="K79" s="120">
        <f t="shared" si="189"/>
        <v>32</v>
      </c>
      <c r="L79" s="120" t="str">
        <f>IFERROR(VLOOKUP(MID(G79,J79,K79-J79),[5]skilldef!$C:$D,2,FALSE),"-") &amp; " / " &amp; IFERROR(VLOOKUP(MID(G79,H79,I79-H79),[5]skilldef!$A:$B,2,FALSE),"-")</f>
        <v>- / -</v>
      </c>
      <c r="M79" s="120" t="str">
        <f t="shared" si="200"/>
        <v>[effect:rush, count:8, val:0.12],[effect:change_bomb_range, target:unit_all, val:0.4, rate:1, turn:-1, animation:bomb_small]</v>
      </c>
      <c r="N79" s="118" t="str">
        <f t="shared" si="202"/>
        <v>[effect:rush, count:8, val:0.12],[effect:change_bomb_range, target:unit_all, val:0.4, rate:1, turn:-1, animation:bomb_small]</v>
      </c>
      <c r="O79" s="120">
        <f t="shared" si="190"/>
        <v>9</v>
      </c>
      <c r="P79" s="120">
        <f t="shared" si="191"/>
        <v>13</v>
      </c>
      <c r="Q79" s="120">
        <f t="shared" si="192"/>
        <v>68</v>
      </c>
      <c r="R79" s="120">
        <f t="shared" si="193"/>
        <v>22</v>
      </c>
      <c r="S79" s="120" t="str">
        <f>IFERROR(VLOOKUP(MID(N79,Q79,R79-Q79),[5]skilldef!$C:$D,2,FALSE),"-") &amp; " / " &amp; IFERROR(VLOOKUP(MID(N79,O79,P79-O79),[5]skilldef!$A:$B,2,FALSE),"-")</f>
        <v>- / 連続攻撃</v>
      </c>
      <c r="T79" s="118" t="str">
        <f t="shared" si="194"/>
        <v>[effect:change_bomb_range, target:unit_all, val:0.4, rate:1, turn:-1, animation:bomb_small]</v>
      </c>
      <c r="U79" s="120">
        <f t="shared" si="195"/>
        <v>9</v>
      </c>
      <c r="V79" s="120">
        <f t="shared" si="196"/>
        <v>26</v>
      </c>
      <c r="W79" s="120">
        <f t="shared" si="197"/>
        <v>35</v>
      </c>
      <c r="X79" s="120">
        <f t="shared" si="198"/>
        <v>43</v>
      </c>
      <c r="Y79" s="120" t="str">
        <f>IFERROR(VLOOKUP(MID(T79,W79,X79-W79),[5]skilldef!$C:$D,2,FALSE),"-") &amp; " / " &amp; IFERROR(VLOOKUP(MID(T79,U79,V79-U79),[5]skilldef!$A:$B,2,FALSE),"-")</f>
        <v>味方全体に / -</v>
      </c>
      <c r="Z79" s="120" t="s">
        <v>297</v>
      </c>
      <c r="AA79" s="120"/>
      <c r="AB79" s="120"/>
    </row>
    <row r="80" spans="1:28" s="121" customFormat="1" ht="35" customHeight="1" x14ac:dyDescent="0.15">
      <c r="A80" s="118">
        <v>47012079</v>
      </c>
      <c r="B80" s="118" t="s">
        <v>602</v>
      </c>
      <c r="C80" s="119">
        <v>3</v>
      </c>
      <c r="D80" s="119" t="s">
        <v>128</v>
      </c>
      <c r="E80" s="119" t="s">
        <v>378</v>
      </c>
      <c r="F80" s="120" t="s">
        <v>601</v>
      </c>
      <c r="G80" s="120" t="str">
        <f t="shared" si="199"/>
        <v>[effect:enemy_message, val1:1.2, val2:2.7]</v>
      </c>
      <c r="H80" s="120">
        <f t="shared" si="186"/>
        <v>9</v>
      </c>
      <c r="I80" s="120">
        <f t="shared" si="187"/>
        <v>22</v>
      </c>
      <c r="J80" s="120" t="e">
        <f t="shared" si="188"/>
        <v>#VALUE!</v>
      </c>
      <c r="K80" s="120">
        <f t="shared" si="189"/>
        <v>32</v>
      </c>
      <c r="L80" s="120" t="str">
        <f>IFERROR(VLOOKUP(MID(G80,J80,K80-J80),[5]skilldef!$C:$D,2,FALSE),"-") &amp; " / " &amp; IFERROR(VLOOKUP(MID(G80,H80,I80-H80),[5]skilldef!$A:$B,2,FALSE),"-")</f>
        <v>- / -</v>
      </c>
      <c r="M80" s="120" t="str">
        <f t="shared" si="200"/>
        <v>[effect:force_change_block, new_block:damage, target:normal, count:3, val:0.07, animation:change_block],[effect:rush, count:4, val:0.2]</v>
      </c>
      <c r="N80" s="118" t="str">
        <f t="shared" si="202"/>
        <v>[effect:force_change_block, new_block:damage, target:normal, count:3, val:0.07, animation:change_block],[effect:rush, count:4, val:0.2]</v>
      </c>
      <c r="O80" s="120">
        <f t="shared" si="190"/>
        <v>9</v>
      </c>
      <c r="P80" s="120">
        <f t="shared" si="191"/>
        <v>27</v>
      </c>
      <c r="Q80" s="120">
        <f t="shared" si="192"/>
        <v>54</v>
      </c>
      <c r="R80" s="120">
        <f t="shared" si="193"/>
        <v>45</v>
      </c>
      <c r="S80" s="120" t="str">
        <f>IFERROR(VLOOKUP(MID(N80,Q80,R80-Q80),[5]skilldef!$C:$D,2,FALSE),"-") &amp; " / " &amp; IFERROR(VLOOKUP(MID(N80,O80,P80-O80),[5]skilldef!$A:$B,2,FALSE),"-")</f>
        <v>- / -</v>
      </c>
      <c r="T80" s="118" t="str">
        <f t="shared" si="194"/>
        <v>[effect:rush, count:4, val:0.2]</v>
      </c>
      <c r="U80" s="120">
        <f t="shared" si="195"/>
        <v>9</v>
      </c>
      <c r="V80" s="120">
        <f t="shared" si="196"/>
        <v>13</v>
      </c>
      <c r="W80" s="120" t="e">
        <f t="shared" si="197"/>
        <v>#VALUE!</v>
      </c>
      <c r="X80" s="120">
        <f t="shared" si="198"/>
        <v>22</v>
      </c>
      <c r="Y80" s="120" t="str">
        <f>IFERROR(VLOOKUP(MID(T80,W80,X80-W80),[5]skilldef!$C:$D,2,FALSE),"-") &amp; " / " &amp; IFERROR(VLOOKUP(MID(T80,U80,V80-U80),[5]skilldef!$A:$B,2,FALSE),"-")</f>
        <v>- / 連続攻撃</v>
      </c>
      <c r="Z80" s="120" t="s">
        <v>298</v>
      </c>
      <c r="AA80" s="120"/>
      <c r="AB80" s="120"/>
    </row>
    <row r="81" spans="1:28" s="121" customFormat="1" ht="21" customHeight="1" x14ac:dyDescent="0.15">
      <c r="A81" s="118">
        <v>47012080</v>
      </c>
      <c r="B81" s="118" t="s">
        <v>392</v>
      </c>
      <c r="C81" s="119">
        <v>3</v>
      </c>
      <c r="D81" s="119" t="s">
        <v>128</v>
      </c>
      <c r="E81" s="119" t="s">
        <v>417</v>
      </c>
      <c r="F81" s="120" t="s">
        <v>301</v>
      </c>
      <c r="G81" s="120" t="str">
        <f t="shared" si="199"/>
        <v>[effect:enemy_message, val1:1.2, val2:1.6]</v>
      </c>
      <c r="H81" s="120">
        <f t="shared" si="186"/>
        <v>9</v>
      </c>
      <c r="I81" s="120">
        <f t="shared" si="187"/>
        <v>22</v>
      </c>
      <c r="J81" s="120" t="e">
        <f t="shared" si="188"/>
        <v>#VALUE!</v>
      </c>
      <c r="K81" s="120">
        <f t="shared" si="189"/>
        <v>32</v>
      </c>
      <c r="L81" s="120" t="str">
        <f>IFERROR(VLOOKUP(MID(G81,J81,K81-J81),[5]skilldef!$C:$D,2,FALSE),"-") &amp; " / " &amp; IFERROR(VLOOKUP(MID(G81,H81,I81-H81),[5]skilldef!$A:$B,2,FALSE),"-")</f>
        <v>- / -</v>
      </c>
      <c r="M81" s="120" t="str">
        <f t="shared" si="200"/>
        <v>[effect:break_attack_fix, target:unit_all, val:400, lowest_val:1500, count:-1, block01:damage]</v>
      </c>
      <c r="N81" s="118" t="str">
        <f t="shared" si="202"/>
        <v>[effect:break_attack_fix, target:unit_all, val:400, lowest_val:1500, count:-1, block01:damage]</v>
      </c>
      <c r="O81" s="120">
        <f t="shared" si="190"/>
        <v>9</v>
      </c>
      <c r="P81" s="120">
        <f t="shared" si="191"/>
        <v>25</v>
      </c>
      <c r="Q81" s="120">
        <f t="shared" si="192"/>
        <v>34</v>
      </c>
      <c r="R81" s="120">
        <f t="shared" si="193"/>
        <v>42</v>
      </c>
      <c r="S81" s="120" t="str">
        <f>IFERROR(VLOOKUP(MID(N81,Q81,R81-Q81),[5]skilldef!$C:$D,2,FALSE),"-") &amp; " / " &amp; IFERROR(VLOOKUP(MID(N81,O81,P81-O81),[5]skilldef!$A:$B,2,FALSE),"-")</f>
        <v>味方全体に / -</v>
      </c>
      <c r="T81" s="118" t="str">
        <f t="shared" si="194"/>
        <v>none</v>
      </c>
      <c r="U81" s="120" t="e">
        <f t="shared" si="195"/>
        <v>#VALUE!</v>
      </c>
      <c r="V81" s="120">
        <f t="shared" si="196"/>
        <v>4</v>
      </c>
      <c r="W81" s="120" t="e">
        <f t="shared" si="197"/>
        <v>#VALUE!</v>
      </c>
      <c r="X81" s="120" t="e">
        <f t="shared" si="198"/>
        <v>#VALUE!</v>
      </c>
      <c r="Y81" s="120" t="str">
        <f>IFERROR(VLOOKUP(MID(T81,W81,X81-W81),[5]skilldef!$C:$D,2,FALSE),"-") &amp; " / " &amp; IFERROR(VLOOKUP(MID(T81,U81,V81-U81),[5]skilldef!$A:$B,2,FALSE),"-")</f>
        <v>- / -</v>
      </c>
      <c r="Z81" s="120" t="s">
        <v>299</v>
      </c>
      <c r="AA81" s="120"/>
      <c r="AB81" s="120"/>
    </row>
    <row r="82" spans="1:28" s="121" customFormat="1" ht="28" x14ac:dyDescent="0.15">
      <c r="A82" s="118">
        <v>47012081</v>
      </c>
      <c r="B82" s="118" t="s">
        <v>546</v>
      </c>
      <c r="C82" s="119">
        <v>3</v>
      </c>
      <c r="D82" s="119" t="s">
        <v>128</v>
      </c>
      <c r="E82" s="119" t="s">
        <v>494</v>
      </c>
      <c r="F82" s="120" t="s">
        <v>495</v>
      </c>
      <c r="G82" s="120" t="str">
        <f t="shared" si="199"/>
        <v>[effect:enemy_message, val1:1.6, val2:3.1, dead_type:escape]</v>
      </c>
      <c r="H82" s="120">
        <f t="shared" si="186"/>
        <v>9</v>
      </c>
      <c r="I82" s="120">
        <f t="shared" si="187"/>
        <v>22</v>
      </c>
      <c r="J82" s="120" t="e">
        <f t="shared" si="188"/>
        <v>#VALUE!</v>
      </c>
      <c r="K82" s="120">
        <f t="shared" si="189"/>
        <v>32</v>
      </c>
      <c r="L82" s="120" t="str">
        <f>IFERROR(VLOOKUP(MID(G82,J82,K82-J82),[5]skilldef!$C:$D,2,FALSE),"-") &amp; " / " &amp; IFERROR(VLOOKUP(MID(G82,H82,I82-H82),[5]skilldef!$A:$B,2,FALSE),"-")</f>
        <v>- / -</v>
      </c>
      <c r="M82" s="120" t="str">
        <f t="shared" si="200"/>
        <v>none</v>
      </c>
      <c r="N82" s="118" t="str">
        <f t="shared" si="202"/>
        <v>none</v>
      </c>
      <c r="O82" s="120" t="e">
        <f t="shared" si="190"/>
        <v>#VALUE!</v>
      </c>
      <c r="P82" s="120">
        <f t="shared" si="191"/>
        <v>4</v>
      </c>
      <c r="Q82" s="120" t="e">
        <f t="shared" si="192"/>
        <v>#VALUE!</v>
      </c>
      <c r="R82" s="120" t="e">
        <f t="shared" si="193"/>
        <v>#VALUE!</v>
      </c>
      <c r="S82" s="120" t="str">
        <f>IFERROR(VLOOKUP(MID(N82,Q82,R82-Q82),[5]skilldef!$C:$D,2,FALSE),"-") &amp; " / " &amp; IFERROR(VLOOKUP(MID(N82,O82,P82-O82),[5]skilldef!$A:$B,2,FALSE),"-")</f>
        <v>- / -</v>
      </c>
      <c r="T82" s="118" t="str">
        <f t="shared" si="194"/>
        <v>none</v>
      </c>
      <c r="U82" s="120" t="e">
        <f t="shared" si="195"/>
        <v>#VALUE!</v>
      </c>
      <c r="V82" s="120">
        <f t="shared" si="196"/>
        <v>4</v>
      </c>
      <c r="W82" s="120" t="e">
        <f t="shared" si="197"/>
        <v>#VALUE!</v>
      </c>
      <c r="X82" s="120" t="e">
        <f t="shared" si="198"/>
        <v>#VALUE!</v>
      </c>
      <c r="Y82" s="120" t="str">
        <f>IFERROR(VLOOKUP(MID(T82,W82,X82-W82),[5]skilldef!$C:$D,2,FALSE),"-") &amp; " / " &amp; IFERROR(VLOOKUP(MID(T82,U82,V82-U82),[5]skilldef!$A:$B,2,FALSE),"-")</f>
        <v>- / -</v>
      </c>
      <c r="Z82" s="120" t="s">
        <v>457</v>
      </c>
      <c r="AA82" s="120"/>
      <c r="AB82" s="120"/>
    </row>
    <row r="83" spans="1:28" s="126" customFormat="1" ht="36" customHeight="1" x14ac:dyDescent="0.15">
      <c r="A83" s="122">
        <v>47012082</v>
      </c>
      <c r="B83" s="122" t="s">
        <v>650</v>
      </c>
      <c r="C83" s="123">
        <v>3</v>
      </c>
      <c r="D83" s="123" t="s">
        <v>128</v>
      </c>
      <c r="E83" s="124" t="s">
        <v>501</v>
      </c>
      <c r="F83" s="124" t="s">
        <v>662</v>
      </c>
      <c r="G83" s="124" t="str">
        <f t="shared" si="199"/>
        <v>[effect:enemy_message, val1:2.5, val2:3.9]</v>
      </c>
      <c r="H83" s="124">
        <f t="shared" si="186"/>
        <v>9</v>
      </c>
      <c r="I83" s="124">
        <f t="shared" si="187"/>
        <v>22</v>
      </c>
      <c r="J83" s="124" t="e">
        <f t="shared" si="188"/>
        <v>#VALUE!</v>
      </c>
      <c r="K83" s="124">
        <f t="shared" si="189"/>
        <v>32</v>
      </c>
      <c r="L83" s="124" t="str">
        <f>IFERROR(VLOOKUP(MID(G83,J83,K83-J83),[5]skilldef!$C:$D,2,FALSE),"-") &amp; " / " &amp; IFERROR(VLOOKUP(MID(G83,H83,I83-H83),[5]skilldef!$A:$B,2,FALSE),"-")</f>
        <v>- / -</v>
      </c>
      <c r="M83" s="124" t="str">
        <f t="shared" si="200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83" s="122" t="str">
        <f t="shared" ref="N83:N85" si="203">IFERROR(LEFT(M83,FIND("],",M83)+S92),M83)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83" s="124">
        <f t="shared" si="190"/>
        <v>9</v>
      </c>
      <c r="P83" s="124">
        <f t="shared" si="191"/>
        <v>18</v>
      </c>
      <c r="Q83" s="124">
        <f t="shared" si="192"/>
        <v>27</v>
      </c>
      <c r="R83" s="124">
        <f t="shared" si="193"/>
        <v>33</v>
      </c>
      <c r="S83" s="124" t="str">
        <f>IFERROR(VLOOKUP(MID(N83,Q83,R83-Q83),[5]skilldef!$C:$D,2,FALSE),"-") &amp; " / " &amp; IFERROR(VLOOKUP(MID(N83,O83,P83-O83),[5]skilldef!$A:$B,2,FALSE),"-")</f>
        <v>自分自身に / 行動値設定</v>
      </c>
      <c r="T83" s="122" t="str">
        <f t="shared" si="194"/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83" s="124">
        <f t="shared" si="195"/>
        <v>9</v>
      </c>
      <c r="V83" s="124">
        <f t="shared" si="196"/>
        <v>18</v>
      </c>
      <c r="W83" s="124">
        <f t="shared" si="197"/>
        <v>27</v>
      </c>
      <c r="X83" s="124">
        <f t="shared" si="198"/>
        <v>33</v>
      </c>
      <c r="Y83" s="124" t="str">
        <f>IFERROR(VLOOKUP(MID(T83,W83,X83-W83),[5]skilldef!$C:$D,2,FALSE),"-") &amp; " / " &amp; IFERROR(VLOOKUP(MID(T83,U83,V83-U83),[5]skilldef!$A:$B,2,FALSE),"-")</f>
        <v>自分自身に / 状態異常耐性</v>
      </c>
      <c r="Z83" s="124" t="s">
        <v>303</v>
      </c>
      <c r="AA83" s="124"/>
      <c r="AB83" s="125"/>
    </row>
    <row r="84" spans="1:28" s="126" customFormat="1" ht="29" customHeight="1" x14ac:dyDescent="0.15">
      <c r="A84" s="122">
        <v>47012083</v>
      </c>
      <c r="B84" s="122" t="s">
        <v>529</v>
      </c>
      <c r="C84" s="123">
        <v>3</v>
      </c>
      <c r="D84" s="123" t="s">
        <v>128</v>
      </c>
      <c r="E84" s="123" t="s">
        <v>512</v>
      </c>
      <c r="F84" s="124" t="s">
        <v>490</v>
      </c>
      <c r="G84" s="124" t="str">
        <f t="shared" si="199"/>
        <v>[effect:enemy_message, val1:1.6, val2:2.7]</v>
      </c>
      <c r="H84" s="124">
        <f t="shared" si="186"/>
        <v>9</v>
      </c>
      <c r="I84" s="124">
        <f t="shared" si="187"/>
        <v>22</v>
      </c>
      <c r="J84" s="124" t="e">
        <f t="shared" si="188"/>
        <v>#VALUE!</v>
      </c>
      <c r="K84" s="124">
        <f t="shared" si="189"/>
        <v>32</v>
      </c>
      <c r="L84" s="124" t="str">
        <f>IFERROR(VLOOKUP(MID(G84,J84,K84-J84),[5]skilldef!$C:$D,2,FALSE),"-") &amp; " / " &amp; IFERROR(VLOOKUP(MID(G84,H84,I84-H84),[5]skilldef!$A:$B,2,FALSE),"-")</f>
        <v>- / -</v>
      </c>
      <c r="M84" s="124" t="str">
        <f t="shared" si="200"/>
        <v>[effect:hungup, target:unit_machine, turn:4, rate:1, animation:hungup01],[effect:spread, val:0.25]</v>
      </c>
      <c r="N84" s="122" t="str">
        <f t="shared" si="203"/>
        <v>[effect:hungup, target:unit_machine, turn:4, rate:1, animation:hungup01],[effect:spread, val:0.25]</v>
      </c>
      <c r="O84" s="124">
        <f t="shared" si="190"/>
        <v>9</v>
      </c>
      <c r="P84" s="124">
        <f t="shared" si="191"/>
        <v>15</v>
      </c>
      <c r="Q84" s="124">
        <f t="shared" si="192"/>
        <v>24</v>
      </c>
      <c r="R84" s="124">
        <f t="shared" si="193"/>
        <v>36</v>
      </c>
      <c r="S84" s="124" t="str">
        <f>IFERROR(VLOOKUP(MID(N84,Q84,R84-Q84),[5]skilldef!$C:$D,2,FALSE),"-") &amp; " / " &amp; IFERROR(VLOOKUP(MID(N84,O84,P84-O84),[5]skilldef!$A:$B,2,FALSE),"-")</f>
        <v>- / ハングアップ</v>
      </c>
      <c r="T84" s="122" t="str">
        <f t="shared" si="194"/>
        <v>[effect:spread, val:0.25]</v>
      </c>
      <c r="U84" s="124">
        <f t="shared" si="195"/>
        <v>9</v>
      </c>
      <c r="V84" s="124">
        <f t="shared" si="196"/>
        <v>15</v>
      </c>
      <c r="W84" s="124" t="e">
        <f t="shared" si="197"/>
        <v>#VALUE!</v>
      </c>
      <c r="X84" s="124" t="e">
        <f t="shared" si="198"/>
        <v>#VALUE!</v>
      </c>
      <c r="Y84" s="124" t="str">
        <f>IFERROR(VLOOKUP(MID(T84,W84,X84-W84),[5]skilldef!$C:$D,2,FALSE),"-") &amp; " / " &amp; IFERROR(VLOOKUP(MID(T84,U84,V84-U84),[5]skilldef!$A:$B,2,FALSE),"-")</f>
        <v>- / 全体攻撃</v>
      </c>
      <c r="Z84" s="124" t="s">
        <v>304</v>
      </c>
      <c r="AA84" s="124"/>
      <c r="AB84" s="125"/>
    </row>
    <row r="85" spans="1:28" s="126" customFormat="1" ht="33" customHeight="1" x14ac:dyDescent="0.15">
      <c r="A85" s="122">
        <v>47012084</v>
      </c>
      <c r="B85" s="122" t="s">
        <v>615</v>
      </c>
      <c r="C85" s="123">
        <v>3</v>
      </c>
      <c r="D85" s="123" t="s">
        <v>128</v>
      </c>
      <c r="E85" s="123" t="s">
        <v>526</v>
      </c>
      <c r="F85" s="124" t="s">
        <v>613</v>
      </c>
      <c r="G85" s="124" t="str">
        <f t="shared" si="199"/>
        <v>[effect:enemy_message, val1:1.6, val2:2.4]</v>
      </c>
      <c r="H85" s="124">
        <f t="shared" si="186"/>
        <v>9</v>
      </c>
      <c r="I85" s="124">
        <f t="shared" si="187"/>
        <v>22</v>
      </c>
      <c r="J85" s="124" t="e">
        <f t="shared" si="188"/>
        <v>#VALUE!</v>
      </c>
      <c r="K85" s="124">
        <f t="shared" si="189"/>
        <v>32</v>
      </c>
      <c r="L85" s="124" t="str">
        <f>IFERROR(VLOOKUP(MID(G85,J85,K85-J85),[5]skilldef!$C:$D,2,FALSE),"-") &amp; " / " &amp; IFERROR(VLOOKUP(MID(G85,H85,I85-H85),[5]skilldef!$A:$B,2,FALSE),"-")</f>
        <v>- / -</v>
      </c>
      <c r="M85" s="124" t="str">
        <f t="shared" si="200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85" s="122" t="str">
        <f t="shared" si="203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85" s="124">
        <f t="shared" si="190"/>
        <v>9</v>
      </c>
      <c r="P85" s="124">
        <f t="shared" si="191"/>
        <v>27</v>
      </c>
      <c r="Q85" s="124">
        <f t="shared" si="192"/>
        <v>460</v>
      </c>
      <c r="R85" s="124">
        <f t="shared" si="193"/>
        <v>43</v>
      </c>
      <c r="S85" s="124" t="str">
        <f>IFERROR(VLOOKUP(MID(N85,Q85,R85-Q85),[5]skilldef!$C:$D,2,FALSE),"-") &amp; " / " &amp; IFERROR(VLOOKUP(MID(N85,O85,P85-O85),[5]skilldef!$A:$B,2,FALSE),"-")</f>
        <v>- / -</v>
      </c>
      <c r="T85" s="122" t="str">
        <f t="shared" si="194"/>
        <v>[effect:rush, count:1, val:1]</v>
      </c>
      <c r="U85" s="124">
        <f t="shared" si="195"/>
        <v>9</v>
      </c>
      <c r="V85" s="124">
        <f t="shared" si="196"/>
        <v>13</v>
      </c>
      <c r="W85" s="124" t="e">
        <f t="shared" si="197"/>
        <v>#VALUE!</v>
      </c>
      <c r="X85" s="124">
        <f t="shared" si="198"/>
        <v>22</v>
      </c>
      <c r="Y85" s="124" t="str">
        <f>IFERROR(VLOOKUP(MID(T85,W85,X85-W85),[5]skilldef!$C:$D,2,FALSE),"-") &amp; " / " &amp; IFERROR(VLOOKUP(MID(T85,U85,V85-U85),[5]skilldef!$A:$B,2,FALSE),"-")</f>
        <v>- / 連続攻撃</v>
      </c>
      <c r="Z85" s="124" t="s">
        <v>306</v>
      </c>
      <c r="AA85" s="125" t="s">
        <v>366</v>
      </c>
      <c r="AB85" s="123"/>
    </row>
    <row r="86" spans="1:28" s="126" customFormat="1" ht="29" customHeight="1" x14ac:dyDescent="0.15">
      <c r="A86" s="122">
        <v>47012085</v>
      </c>
      <c r="B86" s="122" t="s">
        <v>633</v>
      </c>
      <c r="C86" s="123">
        <v>3</v>
      </c>
      <c r="D86" s="123" t="s">
        <v>128</v>
      </c>
      <c r="E86" s="123" t="s">
        <v>516</v>
      </c>
      <c r="F86" s="124" t="s">
        <v>595</v>
      </c>
      <c r="G86" s="124" t="str">
        <f t="shared" si="199"/>
        <v>[effect:enemy_message, val1:1.7, val2:3.3]</v>
      </c>
      <c r="H86" s="124">
        <f t="shared" si="186"/>
        <v>9</v>
      </c>
      <c r="I86" s="124">
        <f t="shared" si="187"/>
        <v>22</v>
      </c>
      <c r="J86" s="124" t="e">
        <f t="shared" si="188"/>
        <v>#VALUE!</v>
      </c>
      <c r="K86" s="124">
        <f t="shared" si="189"/>
        <v>32</v>
      </c>
      <c r="L86" s="124" t="str">
        <f>IFERROR(VLOOKUP(MID(G86,J86,K86-J86),[5]skilldef!$C:$D,2,FALSE),"-") &amp; " / " &amp; IFERROR(VLOOKUP(MID(G86,H86,I86-H86),[5]skilldef!$A:$B,2,FALSE),"-")</f>
        <v>- / -</v>
      </c>
      <c r="M86" s="124" t="str">
        <f t="shared" si="200"/>
        <v>[effect:break_attack_fix, target:unit_one, val:2000, lowest_val:8000, count:-1, block01:crack_bomb],[effect:attack_break, target:unit_all, turn:1, val:0.3, calc:mul, animation:attack_break01]</v>
      </c>
      <c r="N86" s="122" t="str">
        <f>IFERROR(LEFT(M86,FIND("],",M86)+S97),M86)</f>
        <v>[effect:break_attack_fix, target:unit_one, val:2000, lowest_val:8000, count:-1, block01:crack_bomb],[effect:attack_break, target:unit_all, turn:1, val:0.3, calc:mul, animation:attack_break01]</v>
      </c>
      <c r="O86" s="124">
        <f t="shared" si="190"/>
        <v>9</v>
      </c>
      <c r="P86" s="124">
        <f t="shared" si="191"/>
        <v>25</v>
      </c>
      <c r="Q86" s="124">
        <f t="shared" si="192"/>
        <v>34</v>
      </c>
      <c r="R86" s="124">
        <f t="shared" si="193"/>
        <v>42</v>
      </c>
      <c r="S86" s="124" t="str">
        <f>IFERROR(VLOOKUP(MID(N86,Q86,R86-Q86),[5]skilldef!$C:$D,2,FALSE),"-") &amp; " / " &amp; IFERROR(VLOOKUP(MID(N86,O86,P86-O86),[5]skilldef!$A:$B,2,FALSE),"-")</f>
        <v>味方単体に / -</v>
      </c>
      <c r="T86" s="122" t="str">
        <f t="shared" si="194"/>
        <v>[effect:attack_break, target:unit_all, turn:1, val:0.3, calc:mul, animation:attack_break01]</v>
      </c>
      <c r="U86" s="124">
        <f t="shared" si="195"/>
        <v>9</v>
      </c>
      <c r="V86" s="124">
        <f t="shared" si="196"/>
        <v>21</v>
      </c>
      <c r="W86" s="124">
        <f t="shared" si="197"/>
        <v>30</v>
      </c>
      <c r="X86" s="124">
        <f t="shared" si="198"/>
        <v>38</v>
      </c>
      <c r="Y86" s="124" t="str">
        <f>IFERROR(VLOOKUP(MID(T86,W86,X86-W86),[5]skilldef!$C:$D,2,FALSE),"-") &amp; " / " &amp; IFERROR(VLOOKUP(MID(T86,U86,V86-U86),[5]skilldef!$A:$B,2,FALSE),"-")</f>
        <v>味方全体に / -</v>
      </c>
      <c r="Z86" s="124" t="s">
        <v>307</v>
      </c>
      <c r="AA86" s="125"/>
      <c r="AB86" s="123"/>
    </row>
    <row r="87" spans="1:28" s="126" customFormat="1" ht="21" customHeight="1" x14ac:dyDescent="0.15">
      <c r="A87" s="122">
        <v>47012086</v>
      </c>
      <c r="B87" s="122" t="s">
        <v>530</v>
      </c>
      <c r="C87" s="123">
        <v>3</v>
      </c>
      <c r="D87" s="123" t="s">
        <v>128</v>
      </c>
      <c r="E87" s="123" t="s">
        <v>514</v>
      </c>
      <c r="F87" s="124" t="s">
        <v>312</v>
      </c>
      <c r="G87" s="124" t="str">
        <f t="shared" si="199"/>
        <v>[effect:enemy_message, val1:1.7, val2:1.2]</v>
      </c>
      <c r="H87" s="124">
        <f t="shared" si="186"/>
        <v>9</v>
      </c>
      <c r="I87" s="124">
        <f t="shared" si="187"/>
        <v>22</v>
      </c>
      <c r="J87" s="124" t="e">
        <f t="shared" si="188"/>
        <v>#VALUE!</v>
      </c>
      <c r="K87" s="124">
        <f t="shared" si="189"/>
        <v>32</v>
      </c>
      <c r="L87" s="124" t="str">
        <f>IFERROR(VLOOKUP(MID(G87,J87,K87-J87),[5]skilldef!$C:$D,2,FALSE),"-") &amp; " / " &amp; IFERROR(VLOOKUP(MID(G87,H87,I87-H87),[5]skilldef!$A:$B,2,FALSE),"-")</f>
        <v>- / -</v>
      </c>
      <c r="M87" s="124" t="str">
        <f t="shared" si="200"/>
        <v>[effect:spread, val:0.3]</v>
      </c>
      <c r="N87" s="122" t="str">
        <f>IFERROR(LEFT(M87,FIND("],",M87)+#REF!),M87)</f>
        <v>[effect:spread, val:0.3]</v>
      </c>
      <c r="O87" s="124">
        <f t="shared" si="190"/>
        <v>9</v>
      </c>
      <c r="P87" s="124">
        <f t="shared" si="191"/>
        <v>15</v>
      </c>
      <c r="Q87" s="124" t="e">
        <f t="shared" si="192"/>
        <v>#VALUE!</v>
      </c>
      <c r="R87" s="124" t="e">
        <f t="shared" si="193"/>
        <v>#VALUE!</v>
      </c>
      <c r="S87" s="124" t="str">
        <f>IFERROR(VLOOKUP(MID(N87,Q87,R87-Q87),[5]skilldef!$C:$D,2,FALSE),"-") &amp; " / " &amp; IFERROR(VLOOKUP(MID(N87,O87,P87-O87),[5]skilldef!$A:$B,2,FALSE),"-")</f>
        <v>- / 全体攻撃</v>
      </c>
      <c r="T87" s="122" t="str">
        <f t="shared" si="194"/>
        <v>none</v>
      </c>
      <c r="U87" s="124" t="e">
        <f t="shared" si="195"/>
        <v>#VALUE!</v>
      </c>
      <c r="V87" s="124">
        <f t="shared" si="196"/>
        <v>4</v>
      </c>
      <c r="W87" s="124" t="e">
        <f t="shared" si="197"/>
        <v>#VALUE!</v>
      </c>
      <c r="X87" s="124" t="e">
        <f t="shared" si="198"/>
        <v>#VALUE!</v>
      </c>
      <c r="Y87" s="124" t="str">
        <f>IFERROR(VLOOKUP(MID(T87,W87,X87-W87),[5]skilldef!$C:$D,2,FALSE),"-") &amp; " / " &amp; IFERROR(VLOOKUP(MID(T87,U87,V87-U87),[5]skilldef!$A:$B,2,FALSE),"-")</f>
        <v>- / -</v>
      </c>
      <c r="Z87" s="124" t="s">
        <v>308</v>
      </c>
      <c r="AA87" s="125"/>
      <c r="AB87" s="123"/>
    </row>
    <row r="88" spans="1:28" s="126" customFormat="1" ht="34" customHeight="1" x14ac:dyDescent="0.15">
      <c r="A88" s="122">
        <v>47012087</v>
      </c>
      <c r="B88" s="122" t="s">
        <v>617</v>
      </c>
      <c r="C88" s="123">
        <v>3</v>
      </c>
      <c r="D88" s="123" t="s">
        <v>128</v>
      </c>
      <c r="E88" s="123" t="s">
        <v>525</v>
      </c>
      <c r="F88" s="124" t="s">
        <v>613</v>
      </c>
      <c r="G88" s="124" t="str">
        <f t="shared" si="199"/>
        <v>[effect:enemy_message, val1:1.7, val2:2.4]</v>
      </c>
      <c r="H88" s="124">
        <f t="shared" si="186"/>
        <v>9</v>
      </c>
      <c r="I88" s="124">
        <f t="shared" si="187"/>
        <v>22</v>
      </c>
      <c r="J88" s="124" t="e">
        <f t="shared" si="188"/>
        <v>#VALUE!</v>
      </c>
      <c r="K88" s="124">
        <f t="shared" si="189"/>
        <v>32</v>
      </c>
      <c r="L88" s="124" t="str">
        <f>IFERROR(VLOOKUP(MID(G88,J88,K88-J88),[5]skilldef!$C:$D,2,FALSE),"-") &amp; " / " &amp; IFERROR(VLOOKUP(MID(G88,H88,I88-H88),[5]skilldef!$A:$B,2,FALSE),"-")</f>
        <v>- / -</v>
      </c>
      <c r="M88" s="124" t="str">
        <f t="shared" si="200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88" s="122" t="str">
        <f>IFERROR(LEFT(M88,FIND("],",M88)+S98),M88)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88" s="124">
        <f t="shared" si="190"/>
        <v>9</v>
      </c>
      <c r="P88" s="124">
        <f t="shared" si="191"/>
        <v>27</v>
      </c>
      <c r="Q88" s="124">
        <f t="shared" si="192"/>
        <v>460</v>
      </c>
      <c r="R88" s="124">
        <f t="shared" si="193"/>
        <v>43</v>
      </c>
      <c r="S88" s="124" t="str">
        <f>IFERROR(VLOOKUP(MID(N88,Q88,R88-Q88),[5]skilldef!$C:$D,2,FALSE),"-") &amp; " / " &amp; IFERROR(VLOOKUP(MID(N88,O88,P88-O88),[5]skilldef!$A:$B,2,FALSE),"-")</f>
        <v>- / -</v>
      </c>
      <c r="T88" s="122" t="str">
        <f t="shared" si="194"/>
        <v>[effect:rush, count:1, val:1]</v>
      </c>
      <c r="U88" s="124">
        <f t="shared" si="195"/>
        <v>9</v>
      </c>
      <c r="V88" s="124">
        <f t="shared" si="196"/>
        <v>13</v>
      </c>
      <c r="W88" s="124" t="e">
        <f t="shared" si="197"/>
        <v>#VALUE!</v>
      </c>
      <c r="X88" s="124">
        <f t="shared" si="198"/>
        <v>22</v>
      </c>
      <c r="Y88" s="124" t="str">
        <f>IFERROR(VLOOKUP(MID(T88,W88,X88-W88),[5]skilldef!$C:$D,2,FALSE),"-") &amp; " / " &amp; IFERROR(VLOOKUP(MID(T88,U88,V88-U88),[5]skilldef!$A:$B,2,FALSE),"-")</f>
        <v>- / 連続攻撃</v>
      </c>
      <c r="Z88" s="124" t="s">
        <v>309</v>
      </c>
      <c r="AA88" s="125" t="s">
        <v>366</v>
      </c>
      <c r="AB88" s="123"/>
    </row>
    <row r="89" spans="1:28" s="126" customFormat="1" ht="37" customHeight="1" x14ac:dyDescent="0.15">
      <c r="A89" s="122">
        <v>47012088</v>
      </c>
      <c r="B89" s="122" t="s">
        <v>634</v>
      </c>
      <c r="C89" s="123">
        <v>3</v>
      </c>
      <c r="D89" s="123" t="s">
        <v>128</v>
      </c>
      <c r="E89" s="123" t="s">
        <v>513</v>
      </c>
      <c r="F89" s="124" t="s">
        <v>596</v>
      </c>
      <c r="G89" s="124" t="str">
        <f t="shared" si="199"/>
        <v>[effect:enemy_message, val1:1.3, val2:3.0]</v>
      </c>
      <c r="H89" s="124">
        <f t="shared" si="186"/>
        <v>9</v>
      </c>
      <c r="I89" s="124">
        <f t="shared" si="187"/>
        <v>22</v>
      </c>
      <c r="J89" s="124" t="e">
        <f t="shared" si="188"/>
        <v>#VALUE!</v>
      </c>
      <c r="K89" s="124">
        <f t="shared" si="189"/>
        <v>32</v>
      </c>
      <c r="L89" s="124" t="str">
        <f>IFERROR(VLOOKUP(MID(G89,J89,K89-J89),[5]skilldef!$C:$D,2,FALSE),"-") &amp; " / " &amp; IFERROR(VLOOKUP(MID(G89,H89,I89-H89),[5]skilldef!$A:$B,2,FALSE),"-")</f>
        <v>- / -</v>
      </c>
      <c r="M89" s="124" t="str">
        <f t="shared" si="200"/>
        <v>[effect:break_attack_fix, target:unit_one, val:2000, lowest_val:8000, count:-1, block01:crack_bomb],[effect:hungup, target:unit_all, turn:1, rate:1, animation:hungup01]</v>
      </c>
      <c r="N89" s="122" t="str">
        <f>IFERROR(LEFT(M89,FIND("],",M89)+S99),M89)</f>
        <v>[effect:break_attack_fix, target:unit_one, val:2000, lowest_val:8000, count:-1, block01:crack_bomb],[effect:hungup, target:unit_all, turn:1, rate:1, animation:hungup01]</v>
      </c>
      <c r="O89" s="124">
        <f t="shared" si="190"/>
        <v>9</v>
      </c>
      <c r="P89" s="124">
        <f t="shared" si="191"/>
        <v>25</v>
      </c>
      <c r="Q89" s="124">
        <f t="shared" si="192"/>
        <v>34</v>
      </c>
      <c r="R89" s="124">
        <f t="shared" si="193"/>
        <v>42</v>
      </c>
      <c r="S89" s="124" t="str">
        <f>IFERROR(VLOOKUP(MID(N89,Q89,R89-Q89),[5]skilldef!$C:$D,2,FALSE),"-") &amp; " / " &amp; IFERROR(VLOOKUP(MID(N89,O89,P89-O89),[5]skilldef!$A:$B,2,FALSE),"-")</f>
        <v>味方単体に / -</v>
      </c>
      <c r="T89" s="122" t="str">
        <f t="shared" si="194"/>
        <v>[effect:hungup, target:unit_all, turn:1, rate:1, animation:hungup01]</v>
      </c>
      <c r="U89" s="124">
        <f t="shared" si="195"/>
        <v>9</v>
      </c>
      <c r="V89" s="124">
        <f t="shared" si="196"/>
        <v>15</v>
      </c>
      <c r="W89" s="124">
        <f t="shared" si="197"/>
        <v>24</v>
      </c>
      <c r="X89" s="124">
        <f t="shared" si="198"/>
        <v>32</v>
      </c>
      <c r="Y89" s="124" t="str">
        <f>IFERROR(VLOOKUP(MID(T89,W89,X89-W89),[5]skilldef!$C:$D,2,FALSE),"-") &amp; " / " &amp; IFERROR(VLOOKUP(MID(T89,U89,V89-U89),[5]skilldef!$A:$B,2,FALSE),"-")</f>
        <v>味方全体に / ハングアップ</v>
      </c>
      <c r="Z89" s="124" t="s">
        <v>310</v>
      </c>
      <c r="AA89" s="125"/>
      <c r="AB89" s="123"/>
    </row>
    <row r="90" spans="1:28" s="126" customFormat="1" ht="21" customHeight="1" x14ac:dyDescent="0.15">
      <c r="A90" s="122">
        <v>47012089</v>
      </c>
      <c r="B90" s="122" t="s">
        <v>530</v>
      </c>
      <c r="C90" s="123">
        <v>3</v>
      </c>
      <c r="D90" s="123" t="s">
        <v>128</v>
      </c>
      <c r="E90" s="123" t="s">
        <v>514</v>
      </c>
      <c r="F90" s="124" t="s">
        <v>312</v>
      </c>
      <c r="G90" s="124" t="str">
        <f t="shared" si="199"/>
        <v>[effect:enemy_message, val1:1.7, val2:1.2]</v>
      </c>
      <c r="H90" s="124">
        <f t="shared" si="186"/>
        <v>9</v>
      </c>
      <c r="I90" s="124">
        <f t="shared" si="187"/>
        <v>22</v>
      </c>
      <c r="J90" s="124" t="e">
        <f t="shared" si="188"/>
        <v>#VALUE!</v>
      </c>
      <c r="K90" s="124">
        <f t="shared" si="189"/>
        <v>32</v>
      </c>
      <c r="L90" s="124" t="str">
        <f>IFERROR(VLOOKUP(MID(G90,J90,K90-J90),[5]skilldef!$C:$D,2,FALSE),"-") &amp; " / " &amp; IFERROR(VLOOKUP(MID(G90,H90,I90-H90),[5]skilldef!$A:$B,2,FALSE),"-")</f>
        <v>- / -</v>
      </c>
      <c r="M90" s="124" t="str">
        <f t="shared" si="200"/>
        <v>[effect:spread, val:0.3]</v>
      </c>
      <c r="N90" s="122" t="str">
        <f>IFERROR(LEFT(M90,FIND("],",M90)+S100),M90)</f>
        <v>[effect:spread, val:0.3]</v>
      </c>
      <c r="O90" s="124">
        <f t="shared" si="190"/>
        <v>9</v>
      </c>
      <c r="P90" s="124">
        <f t="shared" si="191"/>
        <v>15</v>
      </c>
      <c r="Q90" s="124" t="e">
        <f t="shared" si="192"/>
        <v>#VALUE!</v>
      </c>
      <c r="R90" s="124" t="e">
        <f t="shared" si="193"/>
        <v>#VALUE!</v>
      </c>
      <c r="S90" s="124" t="str">
        <f>IFERROR(VLOOKUP(MID(N90,Q90,R90-Q90),[5]skilldef!$C:$D,2,FALSE),"-") &amp; " / " &amp; IFERROR(VLOOKUP(MID(N90,O90,P90-O90),[5]skilldef!$A:$B,2,FALSE),"-")</f>
        <v>- / 全体攻撃</v>
      </c>
      <c r="T90" s="122" t="str">
        <f t="shared" si="194"/>
        <v>none</v>
      </c>
      <c r="U90" s="124" t="e">
        <f t="shared" si="195"/>
        <v>#VALUE!</v>
      </c>
      <c r="V90" s="124">
        <f t="shared" si="196"/>
        <v>4</v>
      </c>
      <c r="W90" s="124" t="e">
        <f t="shared" si="197"/>
        <v>#VALUE!</v>
      </c>
      <c r="X90" s="124" t="e">
        <f t="shared" si="198"/>
        <v>#VALUE!</v>
      </c>
      <c r="Y90" s="124" t="str">
        <f>IFERROR(VLOOKUP(MID(T90,W90,X90-W90),[5]skilldef!$C:$D,2,FALSE),"-") &amp; " / " &amp; IFERROR(VLOOKUP(MID(T90,U90,V90-U90),[5]skilldef!$A:$B,2,FALSE),"-")</f>
        <v>- / -</v>
      </c>
      <c r="Z90" s="124" t="s">
        <v>311</v>
      </c>
      <c r="AA90" s="125"/>
      <c r="AB90" s="123"/>
    </row>
    <row r="91" spans="1:28" s="131" customFormat="1" ht="32" customHeight="1" x14ac:dyDescent="0.15">
      <c r="A91" s="127">
        <v>47012090</v>
      </c>
      <c r="B91" s="127" t="s">
        <v>644</v>
      </c>
      <c r="C91" s="128">
        <v>3</v>
      </c>
      <c r="D91" s="128" t="s">
        <v>128</v>
      </c>
      <c r="E91" s="129" t="s">
        <v>518</v>
      </c>
      <c r="F91" s="129" t="s">
        <v>597</v>
      </c>
      <c r="G91" s="129" t="str">
        <f t="shared" si="199"/>
        <v>[effect:enemy_message, val1:2.0, val2:3.2]</v>
      </c>
      <c r="H91" s="129">
        <f t="shared" si="186"/>
        <v>9</v>
      </c>
      <c r="I91" s="129">
        <f t="shared" si="187"/>
        <v>22</v>
      </c>
      <c r="J91" s="129" t="e">
        <f t="shared" si="188"/>
        <v>#VALUE!</v>
      </c>
      <c r="K91" s="129">
        <f t="shared" si="189"/>
        <v>32</v>
      </c>
      <c r="L91" s="129" t="str">
        <f>IFERROR(VLOOKUP(MID(G91,J91,K91-J91),[5]skilldef!$C:$D,2,FALSE),"-") &amp; " / " &amp; IFERROR(VLOOKUP(MID(G91,H91,I91-H91),[5]skilldef!$A:$B,2,FALSE),"-")</f>
        <v>- / -</v>
      </c>
      <c r="M91" s="129" t="str">
        <f t="shared" si="200"/>
        <v>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N91" s="127" t="str">
        <f>IFERROR(LEFT(M91,FIND("],",M91)+S101),M91)</f>
        <v>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O91" s="129">
        <f t="shared" si="190"/>
        <v>9</v>
      </c>
      <c r="P91" s="129">
        <f t="shared" si="191"/>
        <v>18</v>
      </c>
      <c r="Q91" s="129">
        <f t="shared" si="192"/>
        <v>27</v>
      </c>
      <c r="R91" s="129">
        <f t="shared" si="193"/>
        <v>33</v>
      </c>
      <c r="S91" s="129" t="str">
        <f>IFERROR(VLOOKUP(MID(N91,Q91,R91-Q91),[5]skilldef!$C:$D,2,FALSE),"-") &amp; " / " &amp; IFERROR(VLOOKUP(MID(N91,O91,P91-O91),[5]skilldef!$A:$B,2,FALSE),"-")</f>
        <v>自分自身に / 行動値設定</v>
      </c>
      <c r="T91" s="127" t="str">
        <f t="shared" si="194"/>
        <v>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U91" s="129">
        <f t="shared" si="195"/>
        <v>9</v>
      </c>
      <c r="V91" s="129">
        <f t="shared" si="196"/>
        <v>18</v>
      </c>
      <c r="W91" s="129">
        <f t="shared" si="197"/>
        <v>27</v>
      </c>
      <c r="X91" s="129">
        <f t="shared" si="198"/>
        <v>33</v>
      </c>
      <c r="Y91" s="129" t="str">
        <f>IFERROR(VLOOKUP(MID(T91,W91,X91-W91),[5]skilldef!$C:$D,2,FALSE),"-") &amp; " / " &amp; IFERROR(VLOOKUP(MID(T91,U91,V91-U91),[5]skilldef!$A:$B,2,FALSE),"-")</f>
        <v>自分自身に / 状態異常耐性</v>
      </c>
      <c r="Z91" s="129" t="s">
        <v>316</v>
      </c>
      <c r="AA91" s="130"/>
      <c r="AB91" s="128"/>
    </row>
    <row r="92" spans="1:28" s="131" customFormat="1" ht="30" customHeight="1" x14ac:dyDescent="0.15">
      <c r="A92" s="127">
        <v>47012091</v>
      </c>
      <c r="B92" s="127" t="s">
        <v>531</v>
      </c>
      <c r="C92" s="128">
        <v>3</v>
      </c>
      <c r="D92" s="128" t="s">
        <v>128</v>
      </c>
      <c r="E92" s="129" t="s">
        <v>515</v>
      </c>
      <c r="F92" s="129" t="s">
        <v>491</v>
      </c>
      <c r="G92" s="129" t="str">
        <f t="shared" si="199"/>
        <v>[effect:enemy_message, val1:1.3, val2:2.4]</v>
      </c>
      <c r="H92" s="129">
        <f t="shared" si="186"/>
        <v>9</v>
      </c>
      <c r="I92" s="129">
        <f t="shared" si="187"/>
        <v>22</v>
      </c>
      <c r="J92" s="129" t="e">
        <f t="shared" si="188"/>
        <v>#VALUE!</v>
      </c>
      <c r="K92" s="129">
        <f t="shared" si="189"/>
        <v>32</v>
      </c>
      <c r="L92" s="129" t="str">
        <f>IFERROR(VLOOKUP(MID(G92,J92,K92-J92),[5]skilldef!$C:$D,2,FALSE),"-") &amp; " / " &amp; IFERROR(VLOOKUP(MID(G92,H92,I92-H92),[5]skilldef!$A:$B,2,FALSE),"-")</f>
        <v>- / -</v>
      </c>
      <c r="M92" s="129" t="str">
        <f t="shared" si="200"/>
        <v>[effect:degrade_unit, target:unit_all, turn:4, status:action, val:2, calc:add, animation:enemy_tap_down],[effect:spread, val:0.25]</v>
      </c>
      <c r="N92" s="127" t="str">
        <f>IFERROR(LEFT(M92,FIND("],",M92)+#REF!),M92)</f>
        <v>[effect:degrade_unit, target:unit_all, turn:4, status:action, val:2, calc:add, animation:enemy_tap_down],[effect:spread, val:0.25]</v>
      </c>
      <c r="O92" s="129">
        <f t="shared" si="190"/>
        <v>9</v>
      </c>
      <c r="P92" s="129">
        <f t="shared" si="191"/>
        <v>21</v>
      </c>
      <c r="Q92" s="129">
        <f t="shared" si="192"/>
        <v>30</v>
      </c>
      <c r="R92" s="129">
        <f t="shared" si="193"/>
        <v>38</v>
      </c>
      <c r="S92" s="129" t="str">
        <f>IFERROR(VLOOKUP(MID(N92,Q92,R92-Q92),[5]skilldef!$C:$D,2,FALSE),"-") &amp; " / " &amp; IFERROR(VLOOKUP(MID(N92,O92,P92-O92),[5]skilldef!$A:$B,2,FALSE),"-")</f>
        <v>味方全体に / ステータスDOWN</v>
      </c>
      <c r="T92" s="127" t="str">
        <f t="shared" si="194"/>
        <v>[effect:spread, val:0.25]</v>
      </c>
      <c r="U92" s="129">
        <f t="shared" si="195"/>
        <v>9</v>
      </c>
      <c r="V92" s="129">
        <f t="shared" si="196"/>
        <v>15</v>
      </c>
      <c r="W92" s="129" t="e">
        <f t="shared" si="197"/>
        <v>#VALUE!</v>
      </c>
      <c r="X92" s="129" t="e">
        <f t="shared" si="198"/>
        <v>#VALUE!</v>
      </c>
      <c r="Y92" s="129" t="str">
        <f>IFERROR(VLOOKUP(MID(T92,W92,X92-W92),[5]skilldef!$C:$D,2,FALSE),"-") &amp; " / " &amp; IFERROR(VLOOKUP(MID(T92,U92,V92-U92),[5]skilldef!$A:$B,2,FALSE),"-")</f>
        <v>- / 全体攻撃</v>
      </c>
      <c r="Z92" s="129" t="s">
        <v>317</v>
      </c>
      <c r="AA92" s="130"/>
      <c r="AB92" s="128"/>
    </row>
    <row r="93" spans="1:28" s="131" customFormat="1" ht="33" customHeight="1" x14ac:dyDescent="0.15">
      <c r="A93" s="127">
        <v>47012092</v>
      </c>
      <c r="B93" s="127" t="s">
        <v>532</v>
      </c>
      <c r="C93" s="128">
        <v>3</v>
      </c>
      <c r="D93" s="128" t="s">
        <v>128</v>
      </c>
      <c r="E93" s="129" t="s">
        <v>517</v>
      </c>
      <c r="F93" s="129" t="s">
        <v>492</v>
      </c>
      <c r="G93" s="129" t="str">
        <f t="shared" si="199"/>
        <v>[effect:enemy_message, val1:1.7, val2:4.2]</v>
      </c>
      <c r="H93" s="129">
        <f t="shared" si="186"/>
        <v>9</v>
      </c>
      <c r="I93" s="129">
        <f t="shared" si="187"/>
        <v>22</v>
      </c>
      <c r="J93" s="129" t="e">
        <f t="shared" si="188"/>
        <v>#VALUE!</v>
      </c>
      <c r="K93" s="129">
        <f t="shared" si="189"/>
        <v>32</v>
      </c>
      <c r="L93" s="129" t="str">
        <f>IFERROR(VLOOKUP(MID(G93,J93,K93-J93),[5]skilldef!$C:$D,2,FALSE),"-") &amp; " / " &amp; IFERROR(VLOOKUP(MID(G93,H93,I93-H93),[5]skilldef!$A:$B,2,FALSE),"-")</f>
        <v>- / -</v>
      </c>
      <c r="M93" s="129" t="str">
        <f t="shared" si="200"/>
        <v>[effect:hungup, target:unit_machine, turn:4, rate:1, animation:hungup01],[effect:force_change_magnet, target:normal, color:block_red, count:1, red:1, green:1, blue:0, yellow:0, heart:0, reverse:0, generate:0, turn:2, animation:change_block]</v>
      </c>
      <c r="N93" s="127" t="str">
        <f>IFERROR(LEFT(M93,FIND("],",M93)+S102),M93)</f>
        <v>[effect:hungup, target:unit_machine, turn:4, rate:1, animation:hungup01],[effect:force_change_magnet, target:normal, color:block_red, count:1, red:1, green:1, blue:0, yellow:0, heart:0, reverse:0, generate:0, turn:2, animation:change_block]</v>
      </c>
      <c r="O93" s="129">
        <f t="shared" si="190"/>
        <v>9</v>
      </c>
      <c r="P93" s="129">
        <f t="shared" si="191"/>
        <v>15</v>
      </c>
      <c r="Q93" s="129">
        <f t="shared" si="192"/>
        <v>24</v>
      </c>
      <c r="R93" s="129">
        <f t="shared" si="193"/>
        <v>36</v>
      </c>
      <c r="S93" s="129" t="str">
        <f>IFERROR(VLOOKUP(MID(N93,Q93,R93-Q93),[5]skilldef!$C:$D,2,FALSE),"-") &amp; " / " &amp; IFERROR(VLOOKUP(MID(N93,O93,P93-O93),[5]skilldef!$A:$B,2,FALSE),"-")</f>
        <v>- / ハングアップ</v>
      </c>
      <c r="T93" s="127" t="str">
        <f t="shared" si="194"/>
        <v>[effect:force_change_magnet, target:normal, color:block_red, count:1, red:1, green:1, blue:0, yellow:0, heart:0, reverse:0, generate:0, turn:2, animation:change_block]</v>
      </c>
      <c r="U93" s="129">
        <f t="shared" si="195"/>
        <v>9</v>
      </c>
      <c r="V93" s="129">
        <f t="shared" si="196"/>
        <v>28</v>
      </c>
      <c r="W93" s="129">
        <f t="shared" si="197"/>
        <v>37</v>
      </c>
      <c r="X93" s="129">
        <f t="shared" si="198"/>
        <v>43</v>
      </c>
      <c r="Y93" s="129" t="str">
        <f>IFERROR(VLOOKUP(MID(T93,W93,X93-W93),[5]skilldef!$C:$D,2,FALSE),"-") &amp; " / " &amp; IFERROR(VLOOKUP(MID(T93,U93,V93-U93),[5]skilldef!$A:$B,2,FALSE),"-")</f>
        <v>- / -</v>
      </c>
      <c r="Z93" s="129" t="s">
        <v>318</v>
      </c>
      <c r="AA93" s="130"/>
      <c r="AB93" s="128"/>
    </row>
    <row r="94" spans="1:28" s="131" customFormat="1" ht="31" customHeight="1" x14ac:dyDescent="0.15">
      <c r="A94" s="127">
        <v>47012093</v>
      </c>
      <c r="B94" s="127" t="s">
        <v>635</v>
      </c>
      <c r="C94" s="128">
        <v>3</v>
      </c>
      <c r="D94" s="128" t="s">
        <v>128</v>
      </c>
      <c r="E94" s="129" t="s">
        <v>422</v>
      </c>
      <c r="F94" s="129" t="s">
        <v>605</v>
      </c>
      <c r="G94" s="129" t="str">
        <f t="shared" si="199"/>
        <v>[effect:enemy_message, val1:1.2, val2:2.8]</v>
      </c>
      <c r="H94" s="129">
        <f t="shared" si="186"/>
        <v>9</v>
      </c>
      <c r="I94" s="129">
        <f t="shared" si="187"/>
        <v>22</v>
      </c>
      <c r="J94" s="129" t="e">
        <f t="shared" si="188"/>
        <v>#VALUE!</v>
      </c>
      <c r="K94" s="129">
        <f t="shared" si="189"/>
        <v>32</v>
      </c>
      <c r="L94" s="129" t="str">
        <f>IFERROR(VLOOKUP(MID(G94,J94,K94-J94),[5]skilldef!$C:$D,2,FALSE),"-") &amp; " / " &amp; IFERROR(VLOOKUP(MID(G94,H94,I94-H94),[5]skilldef!$A:$B,2,FALSE),"-")</f>
        <v>- / -</v>
      </c>
      <c r="M94" s="129" t="str">
        <f t="shared" si="200"/>
        <v>[effect:change_range_block, block_change:1, base_type:0, square_count:3, position01:0, value_h01:3.0, value_w01:1.0, new_block:time_bomb, target:block_all, ignore01:magnet, color:block_random, count:0, val:0.2,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N94" s="127" t="str">
        <f>IFERROR(LEFT(M94,FIND("],",M94)+S103),M94)</f>
        <v>[effect:change_range_block, block_change:1, base_type:0, square_count:3, position01:0, value_h01:3.0, value_w01:1.0, new_block:time_bomb, target:block_all, ignore01:magnet, color:block_random, count:0, val:0.2,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O94" s="129">
        <f t="shared" si="190"/>
        <v>9</v>
      </c>
      <c r="P94" s="129">
        <f t="shared" si="191"/>
        <v>27</v>
      </c>
      <c r="Q94" s="129">
        <f t="shared" si="192"/>
        <v>146</v>
      </c>
      <c r="R94" s="129">
        <f t="shared" si="193"/>
        <v>43</v>
      </c>
      <c r="S94" s="129" t="str">
        <f>IFERROR(VLOOKUP(MID(N94,Q94,R94-Q94),[5]skilldef!$C:$D,2,FALSE),"-") &amp; " / " &amp; IFERROR(VLOOKUP(MID(N94,O94,P94-O94),[5]skilldef!$A:$B,2,FALSE),"-")</f>
        <v>- / -</v>
      </c>
      <c r="T94" s="127" t="str">
        <f t="shared" si="194"/>
        <v>[effect:change_range_block, block_change:1, base_type:0, square_count:3, position01:1, value_h01:3.0, value_w01:1.0, new_block:block_red, target:block_all, ignore01:magnet, count:0, val:0, animation:change_range_block],[effect:rush, count:1, val:1]</v>
      </c>
      <c r="U94" s="129">
        <f t="shared" si="195"/>
        <v>9</v>
      </c>
      <c r="V94" s="129">
        <f t="shared" si="196"/>
        <v>27</v>
      </c>
      <c r="W94" s="129">
        <f t="shared" si="197"/>
        <v>146</v>
      </c>
      <c r="X94" s="129">
        <f t="shared" si="198"/>
        <v>43</v>
      </c>
      <c r="Y94" s="129" t="str">
        <f>IFERROR(VLOOKUP(MID(T94,W94,X94-W94),[5]skilldef!$C:$D,2,FALSE),"-") &amp; " / " &amp; IFERROR(VLOOKUP(MID(T94,U94,V94-U94),[5]skilldef!$A:$B,2,FALSE),"-")</f>
        <v>- / -</v>
      </c>
      <c r="Z94" s="129" t="s">
        <v>319</v>
      </c>
      <c r="AA94" s="130"/>
      <c r="AB94" s="128"/>
    </row>
    <row r="95" spans="1:28" s="131" customFormat="1" ht="44" customHeight="1" x14ac:dyDescent="0.15">
      <c r="A95" s="127">
        <v>47012094</v>
      </c>
      <c r="B95" s="127" t="s">
        <v>651</v>
      </c>
      <c r="C95" s="128">
        <v>3</v>
      </c>
      <c r="D95" s="128" t="s">
        <v>128</v>
      </c>
      <c r="E95" s="129" t="s">
        <v>519</v>
      </c>
      <c r="F95" s="129" t="s">
        <v>663</v>
      </c>
      <c r="G95" s="129" t="str">
        <f t="shared" si="199"/>
        <v>[effect:enemy_message, val1:1.9, val2:5.3]</v>
      </c>
      <c r="H95" s="129">
        <f t="shared" si="186"/>
        <v>9</v>
      </c>
      <c r="I95" s="129">
        <f t="shared" si="187"/>
        <v>22</v>
      </c>
      <c r="J95" s="129" t="e">
        <f t="shared" si="188"/>
        <v>#VALUE!</v>
      </c>
      <c r="K95" s="129">
        <f t="shared" si="189"/>
        <v>32</v>
      </c>
      <c r="L95" s="129" t="str">
        <f>IFERROR(VLOOKUP(MID(G95,J95,K95-J95),[5]skilldef!$C:$D,2,FALSE),"-") &amp; " / " &amp; IFERROR(VLOOKUP(MID(G95,H95,I95-H95),[5]skilldef!$A:$B,2,FALSE),"-")</f>
        <v>- / -</v>
      </c>
      <c r="M95" s="129" t="str">
        <f t="shared" si="200"/>
        <v>[effect:break_attack_fix, target:unit_one, val:2000, lowest_val:8000, count:-1, block01:crack_bomb],[effect:change_bomb_range, target:unit_all, val:0.4, rate:1, turn:-1, animation:bomb_small],[effect:degrade_unit, target:unit_all, turn:2, status:heal, val:0.3, calc:mul, animation:degrade_unit_all_heal]</v>
      </c>
      <c r="N95" s="127" t="str">
        <f>IFERROR(LEFT(M95,FIND("],",M95)+S101),M95)</f>
        <v>[effect:break_attack_fix, target:unit_one, val:2000, lowest_val:8000, count:-1, block01:crack_bomb],[effect:change_bomb_range, target:unit_all, val:0.4, rate:1, turn:-1, animation:bomb_small],[effect:degrade_unit, target:unit_all, turn:2, status:heal, val:0.3, calc:mul, animation:degrade_unit_all_heal]</v>
      </c>
      <c r="O95" s="129">
        <f t="shared" si="190"/>
        <v>9</v>
      </c>
      <c r="P95" s="129">
        <f t="shared" si="191"/>
        <v>25</v>
      </c>
      <c r="Q95" s="129">
        <f t="shared" si="192"/>
        <v>34</v>
      </c>
      <c r="R95" s="129">
        <f t="shared" si="193"/>
        <v>42</v>
      </c>
      <c r="S95" s="129" t="str">
        <f>IFERROR(VLOOKUP(MID(N95,Q95,R95-Q95),[5]skilldef!$C:$D,2,FALSE),"-") &amp; " / " &amp; IFERROR(VLOOKUP(MID(N95,O95,P95-O95),[5]skilldef!$A:$B,2,FALSE),"-")</f>
        <v>味方単体に / -</v>
      </c>
      <c r="T95" s="127" t="str">
        <f t="shared" si="194"/>
        <v>[effect:change_bomb_range, target:unit_all, val:0.4, rate:1, turn:-1, animation:bomb_small],[effect:degrade_unit, target:unit_all, turn:2, status:heal, val:0.3, calc:mul, animation:degrade_unit_all_heal]</v>
      </c>
      <c r="U95" s="129">
        <f t="shared" si="195"/>
        <v>9</v>
      </c>
      <c r="V95" s="129">
        <f t="shared" si="196"/>
        <v>26</v>
      </c>
      <c r="W95" s="129">
        <f t="shared" si="197"/>
        <v>35</v>
      </c>
      <c r="X95" s="129">
        <f t="shared" si="198"/>
        <v>43</v>
      </c>
      <c r="Y95" s="129" t="str">
        <f>IFERROR(VLOOKUP(MID(T95,W95,X95-W95),[5]skilldef!$C:$D,2,FALSE),"-") &amp; " / " &amp; IFERROR(VLOOKUP(MID(T95,U95,V95-U95),[5]skilldef!$A:$B,2,FALSE),"-")</f>
        <v>味方全体に / -</v>
      </c>
      <c r="Z95" s="129" t="s">
        <v>343</v>
      </c>
      <c r="AA95" s="130"/>
      <c r="AB95" s="128"/>
    </row>
    <row r="96" spans="1:28" s="131" customFormat="1" ht="21" customHeight="1" x14ac:dyDescent="0.15">
      <c r="A96" s="127">
        <v>47012095</v>
      </c>
      <c r="B96" s="127" t="s">
        <v>393</v>
      </c>
      <c r="C96" s="128">
        <v>3</v>
      </c>
      <c r="D96" s="128" t="s">
        <v>128</v>
      </c>
      <c r="E96" s="129" t="s">
        <v>471</v>
      </c>
      <c r="F96" s="129" t="s">
        <v>312</v>
      </c>
      <c r="G96" s="129" t="str">
        <f t="shared" si="199"/>
        <v>[effect:enemy_message, val1:1.2, val2:1.2]</v>
      </c>
      <c r="H96" s="129">
        <f>FIND("effect:",G96)+7</f>
        <v>9</v>
      </c>
      <c r="I96" s="129">
        <f>IFERROR(FIND(",",G96),LEN(G96))</f>
        <v>22</v>
      </c>
      <c r="J96" s="129" t="e">
        <f>FIND("target:",G96)+7</f>
        <v>#VALUE!</v>
      </c>
      <c r="K96" s="129">
        <f>FIND(",",G96,I96+1)</f>
        <v>32</v>
      </c>
      <c r="L96" s="129" t="str">
        <f>IFERROR(VLOOKUP(MID(G96,J96,K96-J96),[5]skilldef!$C:$D,2,FALSE),"-") &amp; " / " &amp; IFERROR(VLOOKUP(MID(G96,H96,I96-H96),[5]skilldef!$A:$B,2,FALSE),"-")</f>
        <v>- / -</v>
      </c>
      <c r="M96" s="129" t="str">
        <f t="shared" si="200"/>
        <v>[effect:spread, val:0.3]</v>
      </c>
      <c r="N96" s="127" t="str">
        <f>IFERROR(LEFT(M96,FIND("],",M96)+#REF!),M96)</f>
        <v>[effect:spread, val:0.3]</v>
      </c>
      <c r="O96" s="129">
        <f>FIND("effect:",N96)+7</f>
        <v>9</v>
      </c>
      <c r="P96" s="129">
        <f>IFERROR(FIND(",",N96),LEN(N96))</f>
        <v>15</v>
      </c>
      <c r="Q96" s="129" t="e">
        <f>FIND("target:",N96)+7</f>
        <v>#VALUE!</v>
      </c>
      <c r="R96" s="129" t="e">
        <f>FIND(",",N96,P96+1)</f>
        <v>#VALUE!</v>
      </c>
      <c r="S96" s="129" t="str">
        <f>IFERROR(VLOOKUP(MID(N96,Q96,R96-Q96),[5]skilldef!$C:$D,2,FALSE),"-") &amp; " / " &amp; IFERROR(VLOOKUP(MID(N96,O96,P96-O96),[5]skilldef!$A:$B,2,FALSE),"-")</f>
        <v>- / 全体攻撃</v>
      </c>
      <c r="T96" s="127" t="str">
        <f>IFERROR(RIGHT(M96,LEN(M96)-FIND("],",M96)-1),"none")</f>
        <v>none</v>
      </c>
      <c r="U96" s="129" t="e">
        <f>FIND("effect:",T96)+7</f>
        <v>#VALUE!</v>
      </c>
      <c r="V96" s="129">
        <f>IFERROR(FIND(",",T96),LEN(T96))</f>
        <v>4</v>
      </c>
      <c r="W96" s="129" t="e">
        <f>FIND("target:",T96)+7</f>
        <v>#VALUE!</v>
      </c>
      <c r="X96" s="129" t="e">
        <f>FIND(",",T96,V96+1)</f>
        <v>#VALUE!</v>
      </c>
      <c r="Y96" s="129" t="str">
        <f>IFERROR(VLOOKUP(MID(T96,W96,X96-W96),[5]skilldef!$C:$D,2,FALSE),"-") &amp; " / " &amp; IFERROR(VLOOKUP(MID(T96,U96,V96-U96),[5]skilldef!$A:$B,2,FALSE),"-")</f>
        <v>- / -</v>
      </c>
      <c r="Z96" s="129" t="s">
        <v>344</v>
      </c>
      <c r="AA96" s="130"/>
      <c r="AB96" s="128"/>
    </row>
    <row r="97" spans="1:28" s="131" customFormat="1" ht="32" customHeight="1" x14ac:dyDescent="0.15">
      <c r="A97" s="127">
        <v>47012096</v>
      </c>
      <c r="B97" s="127" t="s">
        <v>636</v>
      </c>
      <c r="C97" s="128">
        <v>3</v>
      </c>
      <c r="D97" s="128" t="s">
        <v>128</v>
      </c>
      <c r="E97" s="129" t="s">
        <v>423</v>
      </c>
      <c r="F97" s="129" t="s">
        <v>606</v>
      </c>
      <c r="G97" s="129" t="str">
        <f t="shared" si="199"/>
        <v>[effect:enemy_message, val1:1.2, val2:2.8]</v>
      </c>
      <c r="H97" s="129">
        <f t="shared" ref="H97:H124" si="204">FIND("effect:",G97)+7</f>
        <v>9</v>
      </c>
      <c r="I97" s="129">
        <f t="shared" ref="I97:I124" si="205">IFERROR(FIND(",",G97),LEN(G97))</f>
        <v>22</v>
      </c>
      <c r="J97" s="129" t="e">
        <f t="shared" ref="J97:J124" si="206">FIND("target:",G97)+7</f>
        <v>#VALUE!</v>
      </c>
      <c r="K97" s="129">
        <f t="shared" ref="K97:K124" si="207">FIND(",",G97,I97+1)</f>
        <v>32</v>
      </c>
      <c r="L97" s="129" t="str">
        <f>IFERROR(VLOOKUP(MID(G97,J97,K97-J97),[5]skilldef!$C:$D,2,FALSE),"-") &amp; " / " &amp; IFERROR(VLOOKUP(MID(G97,H97,I97-H97),[5]skilldef!$A:$B,2,FALSE),"-")</f>
        <v>- / -</v>
      </c>
      <c r="M97" s="129" t="str">
        <f t="shared" si="200"/>
        <v>[effect:change_range_block, block_change:1, base_type:0, square_count:3, position01:0, value_h01:1.0, value_w01:3.0, new_block:time_bomb, target:block_all, ignore01:magnet, color:block_random, count:0, val:0.2,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N97" s="127" t="str">
        <f>IFERROR(LEFT(M97,FIND("],",M97)+S106),M97)</f>
        <v>[effect:change_range_block, block_change:1, base_type:0, square_count:3, position01:0, value_h01:1.0, value_w01:3.0, new_block:time_bomb, target:block_all, ignore01:magnet, color:block_random, count:0, val:0.2,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O97" s="129">
        <f t="shared" ref="O97:O124" si="208">FIND("effect:",N97)+7</f>
        <v>9</v>
      </c>
      <c r="P97" s="129">
        <f t="shared" ref="P97:P124" si="209">IFERROR(FIND(",",N97),LEN(N97))</f>
        <v>27</v>
      </c>
      <c r="Q97" s="129">
        <f t="shared" ref="Q97:Q124" si="210">FIND("target:",N97)+7</f>
        <v>146</v>
      </c>
      <c r="R97" s="129">
        <f t="shared" ref="R97:R124" si="211">FIND(",",N97,P97+1)</f>
        <v>43</v>
      </c>
      <c r="S97" s="129" t="str">
        <f>IFERROR(VLOOKUP(MID(N97,Q97,R97-Q97),[5]skilldef!$C:$D,2,FALSE),"-") &amp; " / " &amp; IFERROR(VLOOKUP(MID(N97,O97,P97-O97),[5]skilldef!$A:$B,2,FALSE),"-")</f>
        <v>- / -</v>
      </c>
      <c r="T97" s="127" t="str">
        <f t="shared" ref="T97:T124" si="212">IFERROR(RIGHT(M97,LEN(M97)-FIND("],",M97)-1),"none")</f>
        <v>[effect:change_range_block, block_change:1, base_type:0, square_count:3, position01:3, value_h01:1.0, value_w01:3.0, new_block:block_green, target:block_all, ignore01:magnet, count:0, val:0, animation:change_range_block],[effect:rush, count:1, val:1]</v>
      </c>
      <c r="U97" s="129">
        <f t="shared" ref="U97:U124" si="213">FIND("effect:",T97)+7</f>
        <v>9</v>
      </c>
      <c r="V97" s="129">
        <f t="shared" ref="V97:V124" si="214">IFERROR(FIND(",",T97),LEN(T97))</f>
        <v>27</v>
      </c>
      <c r="W97" s="129">
        <f t="shared" ref="W97:W124" si="215">FIND("target:",T97)+7</f>
        <v>148</v>
      </c>
      <c r="X97" s="129">
        <f t="shared" ref="X97:X124" si="216">FIND(",",T97,V97+1)</f>
        <v>43</v>
      </c>
      <c r="Y97" s="129" t="str">
        <f>IFERROR(VLOOKUP(MID(T97,W97,X97-W97),[5]skilldef!$C:$D,2,FALSE),"-") &amp; " / " &amp; IFERROR(VLOOKUP(MID(T97,U97,V97-U97),[5]skilldef!$A:$B,2,FALSE),"-")</f>
        <v>- / -</v>
      </c>
      <c r="Z97" s="129" t="s">
        <v>345</v>
      </c>
      <c r="AA97" s="130"/>
      <c r="AB97" s="128"/>
    </row>
    <row r="98" spans="1:28" s="131" customFormat="1" ht="30" customHeight="1" x14ac:dyDescent="0.15">
      <c r="A98" s="127">
        <v>47012097</v>
      </c>
      <c r="B98" s="127" t="s">
        <v>617</v>
      </c>
      <c r="C98" s="128">
        <v>3</v>
      </c>
      <c r="D98" s="128" t="s">
        <v>128</v>
      </c>
      <c r="E98" s="129" t="s">
        <v>524</v>
      </c>
      <c r="F98" s="129" t="s">
        <v>603</v>
      </c>
      <c r="G98" s="129" t="str">
        <f t="shared" ref="G98:G129" si="217">IFERROR(LEFT(B98,FIND("],",B98)),B98)</f>
        <v>[effect:enemy_message, val1:1.7, val2:2.4]</v>
      </c>
      <c r="H98" s="129">
        <f t="shared" si="204"/>
        <v>9</v>
      </c>
      <c r="I98" s="129">
        <f t="shared" si="205"/>
        <v>22</v>
      </c>
      <c r="J98" s="129" t="e">
        <f t="shared" si="206"/>
        <v>#VALUE!</v>
      </c>
      <c r="K98" s="129">
        <f t="shared" si="207"/>
        <v>32</v>
      </c>
      <c r="L98" s="129" t="str">
        <f>IFERROR(VLOOKUP(MID(G98,J98,K98-J98),[5]skilldef!$C:$D,2,FALSE),"-") &amp; " / " &amp; IFERROR(VLOOKUP(MID(G98,H98,I98-H98),[5]skilldef!$A:$B,2,FALSE),"-")</f>
        <v>- / -</v>
      </c>
      <c r="M98" s="129" t="str">
        <f t="shared" ref="M98:M129" si="218">IFERROR(RIGHT(B98,LEN(B98)-FIND("],",B98)-1),"none")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N98" s="127" t="str">
        <f>IFERROR(LEFT(M98,FIND("],",M98)+#REF!),M98)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new_block:crack_bomb, target:block_all, color:block_heart, count:0, val:24, animation:change_range_block],[effect:rush, count:1, val:1]</v>
      </c>
      <c r="O98" s="129">
        <f t="shared" si="208"/>
        <v>9</v>
      </c>
      <c r="P98" s="129">
        <f t="shared" si="209"/>
        <v>27</v>
      </c>
      <c r="Q98" s="129">
        <f t="shared" si="210"/>
        <v>460</v>
      </c>
      <c r="R98" s="129">
        <f t="shared" si="211"/>
        <v>43</v>
      </c>
      <c r="S98" s="129" t="str">
        <f>IFERROR(VLOOKUP(MID(N98,Q98,R98-Q98),[5]skilldef!$C:$D,2,FALSE),"-") &amp; " / " &amp; IFERROR(VLOOKUP(MID(N98,O98,P98-O98),[5]skilldef!$A:$B,2,FALSE),"-")</f>
        <v>- / -</v>
      </c>
      <c r="T98" s="127" t="str">
        <f t="shared" si="212"/>
        <v>[effect:rush, count:1, val:1]</v>
      </c>
      <c r="U98" s="129">
        <f t="shared" si="213"/>
        <v>9</v>
      </c>
      <c r="V98" s="129">
        <f t="shared" si="214"/>
        <v>13</v>
      </c>
      <c r="W98" s="129" t="e">
        <f t="shared" si="215"/>
        <v>#VALUE!</v>
      </c>
      <c r="X98" s="129">
        <f t="shared" si="216"/>
        <v>22</v>
      </c>
      <c r="Y98" s="129" t="str">
        <f>IFERROR(VLOOKUP(MID(T98,W98,X98-W98),[5]skilldef!$C:$D,2,FALSE),"-") &amp; " / " &amp; IFERROR(VLOOKUP(MID(T98,U98,V98-U98),[5]skilldef!$A:$B,2,FALSE),"-")</f>
        <v>- / 連続攻撃</v>
      </c>
      <c r="Z98" s="129" t="s">
        <v>320</v>
      </c>
      <c r="AA98" s="130" t="s">
        <v>397</v>
      </c>
      <c r="AB98" s="128"/>
    </row>
    <row r="99" spans="1:28" s="131" customFormat="1" ht="34" customHeight="1" x14ac:dyDescent="0.15">
      <c r="A99" s="127">
        <v>47012098</v>
      </c>
      <c r="B99" s="127" t="s">
        <v>635</v>
      </c>
      <c r="C99" s="128">
        <v>3</v>
      </c>
      <c r="D99" s="128" t="s">
        <v>128</v>
      </c>
      <c r="E99" s="129" t="s">
        <v>422</v>
      </c>
      <c r="F99" s="129" t="s">
        <v>605</v>
      </c>
      <c r="G99" s="129" t="str">
        <f t="shared" si="217"/>
        <v>[effect:enemy_message, val1:1.2, val2:2.8]</v>
      </c>
      <c r="H99" s="129">
        <f t="shared" si="204"/>
        <v>9</v>
      </c>
      <c r="I99" s="129">
        <f t="shared" si="205"/>
        <v>22</v>
      </c>
      <c r="J99" s="129" t="e">
        <f t="shared" si="206"/>
        <v>#VALUE!</v>
      </c>
      <c r="K99" s="129">
        <f t="shared" si="207"/>
        <v>32</v>
      </c>
      <c r="L99" s="129" t="str">
        <f>IFERROR(VLOOKUP(MID(G99,J99,K99-J99),[5]skilldef!$C:$D,2,FALSE),"-") &amp; " / " &amp; IFERROR(VLOOKUP(MID(G99,H99,I99-H99),[5]skilldef!$A:$B,2,FALSE),"-")</f>
        <v>- / -</v>
      </c>
      <c r="M99" s="129" t="str">
        <f t="shared" si="218"/>
        <v>[effect:change_range_block, block_change:1, base_type:0, square_count:3, position01:0, value_h01:3.0, value_w01:1.0, new_block:time_bomb, target:block_all, ignore01:magnet, color:block_random, count:0, val:0.2,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N99" s="127" t="str">
        <f>IFERROR(LEFT(M99,FIND("],",M99)+#REF!),M99)</f>
        <v>[effect:change_range_block, block_change:1, base_type:0, square_count:3, position01:0, value_h01:3.0, value_w01:1.0, new_block:time_bomb, target:block_all, ignore01:magnet, color:block_random, count:0, val:0.2, min_time_count:2, max_time_count:3, animation:change_range_block],[effect:change_range_block, block_change:1, base_type:0, square_count:3, position01:1, value_h01:3.0, value_w01:1.0, new_block:block_red, target:block_all, ignore01:magnet, count:0, val:0, animation:change_range_block],[effect:rush, count:1, val:1]</v>
      </c>
      <c r="O99" s="129">
        <f t="shared" si="208"/>
        <v>9</v>
      </c>
      <c r="P99" s="129">
        <f t="shared" si="209"/>
        <v>27</v>
      </c>
      <c r="Q99" s="129">
        <f t="shared" si="210"/>
        <v>146</v>
      </c>
      <c r="R99" s="129">
        <f t="shared" si="211"/>
        <v>43</v>
      </c>
      <c r="S99" s="129" t="str">
        <f>IFERROR(VLOOKUP(MID(N99,Q99,R99-Q99),[5]skilldef!$C:$D,2,FALSE),"-") &amp; " / " &amp; IFERROR(VLOOKUP(MID(N99,O99,P99-O99),[5]skilldef!$A:$B,2,FALSE),"-")</f>
        <v>- / -</v>
      </c>
      <c r="T99" s="127" t="str">
        <f t="shared" si="212"/>
        <v>[effect:change_range_block, block_change:1, base_type:0, square_count:3, position01:1, value_h01:3.0, value_w01:1.0, new_block:block_red, target:block_all, ignore01:magnet, count:0, val:0, animation:change_range_block],[effect:rush, count:1, val:1]</v>
      </c>
      <c r="U99" s="129">
        <f t="shared" si="213"/>
        <v>9</v>
      </c>
      <c r="V99" s="129">
        <f t="shared" si="214"/>
        <v>27</v>
      </c>
      <c r="W99" s="129">
        <f t="shared" si="215"/>
        <v>146</v>
      </c>
      <c r="X99" s="129">
        <f t="shared" si="216"/>
        <v>43</v>
      </c>
      <c r="Y99" s="129" t="str">
        <f>IFERROR(VLOOKUP(MID(T99,W99,X99-W99),[5]skilldef!$C:$D,2,FALSE),"-") &amp; " / " &amp; IFERROR(VLOOKUP(MID(T99,U99,V99-U99),[5]skilldef!$A:$B,2,FALSE),"-")</f>
        <v>- / -</v>
      </c>
      <c r="Z99" s="129" t="s">
        <v>321</v>
      </c>
      <c r="AA99" s="130"/>
      <c r="AB99" s="128"/>
    </row>
    <row r="100" spans="1:28" s="131" customFormat="1" ht="35" customHeight="1" x14ac:dyDescent="0.15">
      <c r="A100" s="127">
        <v>47012099</v>
      </c>
      <c r="B100" s="127" t="s">
        <v>636</v>
      </c>
      <c r="C100" s="128">
        <v>3</v>
      </c>
      <c r="D100" s="128" t="s">
        <v>128</v>
      </c>
      <c r="E100" s="129" t="s">
        <v>423</v>
      </c>
      <c r="F100" s="129" t="s">
        <v>606</v>
      </c>
      <c r="G100" s="129" t="str">
        <f t="shared" si="217"/>
        <v>[effect:enemy_message, val1:1.2, val2:2.8]</v>
      </c>
      <c r="H100" s="129">
        <f t="shared" si="204"/>
        <v>9</v>
      </c>
      <c r="I100" s="129">
        <f t="shared" si="205"/>
        <v>22</v>
      </c>
      <c r="J100" s="129" t="e">
        <f t="shared" si="206"/>
        <v>#VALUE!</v>
      </c>
      <c r="K100" s="129">
        <f t="shared" si="207"/>
        <v>32</v>
      </c>
      <c r="L100" s="129" t="str">
        <f>IFERROR(VLOOKUP(MID(G100,J100,K100-J100),[5]skilldef!$C:$D,2,FALSE),"-") &amp; " / " &amp; IFERROR(VLOOKUP(MID(G100,H100,I100-H100),[5]skilldef!$A:$B,2,FALSE),"-")</f>
        <v>- / -</v>
      </c>
      <c r="M100" s="129" t="str">
        <f t="shared" si="218"/>
        <v>[effect:change_range_block, block_change:1, base_type:0, square_count:3, position01:0, value_h01:1.0, value_w01:3.0, new_block:time_bomb, target:block_all, ignore01:magnet, color:block_random, count:0, val:0.2,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N100" s="127" t="str">
        <f>IFERROR(LEFT(M100,FIND("],",M100)+S108),M100)</f>
        <v>[effect:change_range_block, block_change:1, base_type:0, square_count:3, position01:0, value_h01:1.0, value_w01:3.0, new_block:time_bomb, target:block_all, ignore01:magnet, color:block_random, count:0, val:0.2, min_time_count:2, max_time_count:3, animation:change_range_block],[effect:change_range_block, block_change:1, base_type:0, square_count:3, position01:3, value_h01:1.0, value_w01:3.0, new_block:block_green, target:block_all, ignore01:magnet, count:0, val:0, animation:change_range_block],[effect:rush, count:1, val:1]</v>
      </c>
      <c r="O100" s="129">
        <f t="shared" si="208"/>
        <v>9</v>
      </c>
      <c r="P100" s="129">
        <f t="shared" si="209"/>
        <v>27</v>
      </c>
      <c r="Q100" s="129">
        <f t="shared" si="210"/>
        <v>146</v>
      </c>
      <c r="R100" s="129">
        <f t="shared" si="211"/>
        <v>43</v>
      </c>
      <c r="S100" s="129" t="str">
        <f>IFERROR(VLOOKUP(MID(N100,Q100,R100-Q100),[5]skilldef!$C:$D,2,FALSE),"-") &amp; " / " &amp; IFERROR(VLOOKUP(MID(N100,O100,P100-O100),[5]skilldef!$A:$B,2,FALSE),"-")</f>
        <v>- / -</v>
      </c>
      <c r="T100" s="127" t="str">
        <f t="shared" si="212"/>
        <v>[effect:change_range_block, block_change:1, base_type:0, square_count:3, position01:3, value_h01:1.0, value_w01:3.0, new_block:block_green, target:block_all, ignore01:magnet, count:0, val:0, animation:change_range_block],[effect:rush, count:1, val:1]</v>
      </c>
      <c r="U100" s="129">
        <f t="shared" si="213"/>
        <v>9</v>
      </c>
      <c r="V100" s="129">
        <f t="shared" si="214"/>
        <v>27</v>
      </c>
      <c r="W100" s="129">
        <f t="shared" si="215"/>
        <v>148</v>
      </c>
      <c r="X100" s="129">
        <f t="shared" si="216"/>
        <v>43</v>
      </c>
      <c r="Y100" s="129" t="str">
        <f>IFERROR(VLOOKUP(MID(T100,W100,X100-W100),[5]skilldef!$C:$D,2,FALSE),"-") &amp; " / " &amp; IFERROR(VLOOKUP(MID(T100,U100,V100-U100),[5]skilldef!$A:$B,2,FALSE),"-")</f>
        <v>- / -</v>
      </c>
      <c r="Z100" s="129" t="s">
        <v>322</v>
      </c>
      <c r="AA100" s="130"/>
      <c r="AB100" s="128"/>
    </row>
    <row r="101" spans="1:28" s="131" customFormat="1" ht="30" customHeight="1" x14ac:dyDescent="0.15">
      <c r="A101" s="127">
        <v>47012100</v>
      </c>
      <c r="B101" s="127" t="s">
        <v>637</v>
      </c>
      <c r="C101" s="128">
        <v>3</v>
      </c>
      <c r="D101" s="128" t="s">
        <v>128</v>
      </c>
      <c r="E101" s="129" t="s">
        <v>520</v>
      </c>
      <c r="F101" s="129" t="s">
        <v>592</v>
      </c>
      <c r="G101" s="129" t="str">
        <f t="shared" si="217"/>
        <v>[effect:enemy_message, val1:1.8, val2:3.2]</v>
      </c>
      <c r="H101" s="129">
        <f t="shared" si="204"/>
        <v>9</v>
      </c>
      <c r="I101" s="129">
        <f t="shared" si="205"/>
        <v>22</v>
      </c>
      <c r="J101" s="129" t="e">
        <f t="shared" si="206"/>
        <v>#VALUE!</v>
      </c>
      <c r="K101" s="129">
        <f t="shared" si="207"/>
        <v>32</v>
      </c>
      <c r="L101" s="129" t="str">
        <f>IFERROR(VLOOKUP(MID(G101,J101,K101-J101),[5]skilldef!$C:$D,2,FALSE),"-") &amp; " / " &amp; IFERROR(VLOOKUP(MID(G101,H101,I101-H101),[5]skilldef!$A:$B,2,FALSE),"-")</f>
        <v>- / -</v>
      </c>
      <c r="M101" s="129" t="str">
        <f t="shared" si="218"/>
        <v>[effect:break_attack_fix, target:unit_one, val:2000, lowest_val:8000, count:-1, block01:crack_bomb],[effect:force_change_magnet, target:normal, color:block_red, count:1, red:1, green:1, blue:0, yellow:0, heart:0, reverse:0, generate:0, turn:2, animation:change_block]</v>
      </c>
      <c r="N101" s="127" t="str">
        <f>IFERROR(LEFT(M101,FIND("],",M101)+S109),M101)</f>
        <v>[effect:break_attack_fix, target:unit_one, val:2000, lowest_val:8000, count:-1, block01:crack_bomb],[effect:force_change_magnet, target:normal, color:block_red, count:1, red:1, green:1, blue:0, yellow:0, heart:0, reverse:0, generate:0, turn:2, animation:change_block]</v>
      </c>
      <c r="O101" s="129">
        <f t="shared" si="208"/>
        <v>9</v>
      </c>
      <c r="P101" s="129">
        <f t="shared" si="209"/>
        <v>25</v>
      </c>
      <c r="Q101" s="129">
        <f t="shared" si="210"/>
        <v>34</v>
      </c>
      <c r="R101" s="129">
        <f t="shared" si="211"/>
        <v>42</v>
      </c>
      <c r="S101" s="129" t="str">
        <f>IFERROR(VLOOKUP(MID(N101,Q101,R101-Q101),[5]skilldef!$C:$D,2,FALSE),"-") &amp; " / " &amp; IFERROR(VLOOKUP(MID(N101,O101,P101-O101),[5]skilldef!$A:$B,2,FALSE),"-")</f>
        <v>味方単体に / -</v>
      </c>
      <c r="T101" s="127" t="str">
        <f t="shared" si="212"/>
        <v>[effect:force_change_magnet, target:normal, color:block_red, count:1, red:1, green:1, blue:0, yellow:0, heart:0, reverse:0, generate:0, turn:2, animation:change_block]</v>
      </c>
      <c r="U101" s="129">
        <f t="shared" si="213"/>
        <v>9</v>
      </c>
      <c r="V101" s="129">
        <f t="shared" si="214"/>
        <v>28</v>
      </c>
      <c r="W101" s="129">
        <f t="shared" si="215"/>
        <v>37</v>
      </c>
      <c r="X101" s="129">
        <f t="shared" si="216"/>
        <v>43</v>
      </c>
      <c r="Y101" s="129" t="str">
        <f>IFERROR(VLOOKUP(MID(T101,W101,X101-W101),[5]skilldef!$C:$D,2,FALSE),"-") &amp; " / " &amp; IFERROR(VLOOKUP(MID(T101,U101,V101-U101),[5]skilldef!$A:$B,2,FALSE),"-")</f>
        <v>- / -</v>
      </c>
      <c r="Z101" s="129" t="s">
        <v>323</v>
      </c>
      <c r="AA101" s="130"/>
      <c r="AB101" s="128"/>
    </row>
    <row r="102" spans="1:28" s="136" customFormat="1" ht="30" customHeight="1" x14ac:dyDescent="0.15">
      <c r="A102" s="132">
        <v>47012101</v>
      </c>
      <c r="B102" s="132" t="s">
        <v>645</v>
      </c>
      <c r="C102" s="133">
        <v>3</v>
      </c>
      <c r="D102" s="133" t="s">
        <v>128</v>
      </c>
      <c r="E102" s="134" t="s">
        <v>522</v>
      </c>
      <c r="F102" s="134" t="s">
        <v>597</v>
      </c>
      <c r="G102" s="134" t="str">
        <f t="shared" si="217"/>
        <v>[effect:enemy_message, val1:1.8, val2:3.2]</v>
      </c>
      <c r="H102" s="134">
        <f t="shared" si="204"/>
        <v>9</v>
      </c>
      <c r="I102" s="134">
        <f t="shared" si="205"/>
        <v>22</v>
      </c>
      <c r="J102" s="134" t="e">
        <f t="shared" si="206"/>
        <v>#VALUE!</v>
      </c>
      <c r="K102" s="134">
        <f t="shared" si="207"/>
        <v>32</v>
      </c>
      <c r="L102" s="134" t="str">
        <f>IFERROR(VLOOKUP(MID(G102,J102,K102-J102),[5]skilldef!$C:$D,2,FALSE),"-") &amp; " / " &amp; IFERROR(VLOOKUP(MID(G102,H102,I102-H102),[5]skilldef!$A:$B,2,FALSE),"-")</f>
        <v>- / -</v>
      </c>
      <c r="M102" s="13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N102" s="132" t="str">
        <f>IFERROR(LEFT(M102,FIND("],",M102)+S112),M102)</f>
        <v>[effect:fix_speed, target:myself, turn:1],[effect:tolerance,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O102" s="134">
        <f t="shared" si="208"/>
        <v>9</v>
      </c>
      <c r="P102" s="134">
        <f t="shared" si="209"/>
        <v>18</v>
      </c>
      <c r="Q102" s="134">
        <f t="shared" si="210"/>
        <v>27</v>
      </c>
      <c r="R102" s="134">
        <f t="shared" si="211"/>
        <v>33</v>
      </c>
      <c r="S102" s="134" t="str">
        <f>IFERROR(VLOOKUP(MID(N102,Q102,R102-Q102),[5]skilldef!$C:$D,2,FALSE),"-") &amp; " / " &amp; IFERROR(VLOOKUP(MID(N102,O102,P102-O102),[5]skilldef!$A:$B,2,FALSE),"-")</f>
        <v>自分自身に / 行動値設定</v>
      </c>
      <c r="T102" s="132" t="str">
        <f t="shared" si="212"/>
        <v>[effect:tolerance, target:myself, turn:-1, count:-1, tolerance_effect:all, animation:enemy_tolerance],[effect:reduction, target:myself, reduction_target:enemy_red, turn:-1, val:0.5, animation:reduction_one01],[effect:break_attack_fix, target:unit_one, val:8000, lowest_val:1, count:-1, block01:crack_bomb]</v>
      </c>
      <c r="U102" s="134">
        <f t="shared" si="213"/>
        <v>9</v>
      </c>
      <c r="V102" s="134">
        <f t="shared" si="214"/>
        <v>18</v>
      </c>
      <c r="W102" s="134">
        <f t="shared" si="215"/>
        <v>27</v>
      </c>
      <c r="X102" s="134">
        <f t="shared" si="216"/>
        <v>33</v>
      </c>
      <c r="Y102" s="134" t="str">
        <f>IFERROR(VLOOKUP(MID(T102,W102,X102-W102),[5]skilldef!$C:$D,2,FALSE),"-") &amp; " / " &amp; IFERROR(VLOOKUP(MID(T102,U102,V102-U102),[5]skilldef!$A:$B,2,FALSE),"-")</f>
        <v>自分自身に / 状態異常耐性</v>
      </c>
      <c r="Z102" s="134" t="s">
        <v>324</v>
      </c>
      <c r="AA102" s="135"/>
      <c r="AB102" s="133"/>
    </row>
    <row r="103" spans="1:28" s="136" customFormat="1" ht="44" customHeight="1" x14ac:dyDescent="0.15">
      <c r="A103" s="132">
        <v>47012102</v>
      </c>
      <c r="B103" s="132" t="s">
        <v>652</v>
      </c>
      <c r="C103" s="133">
        <v>3</v>
      </c>
      <c r="D103" s="133" t="s">
        <v>128</v>
      </c>
      <c r="E103" s="134" t="s">
        <v>523</v>
      </c>
      <c r="F103" s="134" t="s">
        <v>664</v>
      </c>
      <c r="G103" s="134" t="str">
        <f t="shared" si="217"/>
        <v>[effect:enemy_message, val1:2.2, val2:4.7]</v>
      </c>
      <c r="H103" s="134">
        <f t="shared" si="204"/>
        <v>9</v>
      </c>
      <c r="I103" s="134">
        <f t="shared" si="205"/>
        <v>22</v>
      </c>
      <c r="J103" s="134" t="e">
        <f t="shared" si="206"/>
        <v>#VALUE!</v>
      </c>
      <c r="K103" s="134">
        <f t="shared" si="207"/>
        <v>32</v>
      </c>
      <c r="L103" s="134" t="str">
        <f>IFERROR(VLOOKUP(MID(G103,J103,K103-J103),[5]skilldef!$C:$D,2,FALSE),"-") &amp; " / " &amp; IFERROR(VLOOKUP(MID(G103,H103,I103-H103),[5]skilldef!$A:$B,2,FALSE),"-")</f>
        <v>- / -</v>
      </c>
      <c r="M103" s="134" t="str">
        <f t="shared" si="218"/>
        <v>[effect:crash_condition, target:unit_all, turn:4, val:4, animation:enemy_crash_extend],[effect:change_bomb_range, target:unit_all, val:0.4, rate:1, turn:-1, animation:bomb_small],[effect:spread, val:0.25]</v>
      </c>
      <c r="N103" s="132" t="str">
        <f>IFERROR(LEFT(M103,FIND("],",M103)+S108),M103)</f>
        <v>[effect:crash_condition, target:unit_all, turn:4, val:4, animation:enemy_crash_extend],[effect:change_bomb_range, target:unit_all, val:0.4, rate:1, turn:-1, animation:bomb_small],[effect:spread, val:0.25]</v>
      </c>
      <c r="O103" s="134">
        <f t="shared" si="208"/>
        <v>9</v>
      </c>
      <c r="P103" s="134">
        <f t="shared" si="209"/>
        <v>24</v>
      </c>
      <c r="Q103" s="134">
        <f t="shared" si="210"/>
        <v>33</v>
      </c>
      <c r="R103" s="134">
        <f t="shared" si="211"/>
        <v>41</v>
      </c>
      <c r="S103" s="134" t="str">
        <f>IFERROR(VLOOKUP(MID(N103,Q103,R103-Q103),[5]skilldef!$C:$D,2,FALSE),"-") &amp; " / " &amp; IFERROR(VLOOKUP(MID(N103,O103,P103-O103),[5]skilldef!$A:$B,2,FALSE),"-")</f>
        <v>味方全体に / -</v>
      </c>
      <c r="T103" s="132" t="str">
        <f t="shared" si="212"/>
        <v>[effect:change_bomb_range, target:unit_all, val:0.4, rate:1, turn:-1, animation:bomb_small],[effect:spread, val:0.25]</v>
      </c>
      <c r="U103" s="134">
        <f t="shared" si="213"/>
        <v>9</v>
      </c>
      <c r="V103" s="134">
        <f t="shared" si="214"/>
        <v>26</v>
      </c>
      <c r="W103" s="134">
        <f t="shared" si="215"/>
        <v>35</v>
      </c>
      <c r="X103" s="134">
        <f t="shared" si="216"/>
        <v>43</v>
      </c>
      <c r="Y103" s="134" t="str">
        <f>IFERROR(VLOOKUP(MID(T103,W103,X103-W103),[5]skilldef!$C:$D,2,FALSE),"-") &amp; " / " &amp; IFERROR(VLOOKUP(MID(T103,U103,V103-U103),[5]skilldef!$A:$B,2,FALSE),"-")</f>
        <v>味方全体に / -</v>
      </c>
      <c r="Z103" s="134" t="s">
        <v>325</v>
      </c>
      <c r="AA103" s="135"/>
      <c r="AB103" s="133"/>
    </row>
    <row r="104" spans="1:28" s="136" customFormat="1" ht="52" customHeight="1" x14ac:dyDescent="0.15">
      <c r="A104" s="132">
        <v>47012103</v>
      </c>
      <c r="B104" s="132" t="s">
        <v>638</v>
      </c>
      <c r="C104" s="133">
        <v>3</v>
      </c>
      <c r="D104" s="133" t="s">
        <v>128</v>
      </c>
      <c r="E104" s="134" t="s">
        <v>424</v>
      </c>
      <c r="F104" s="134" t="s">
        <v>608</v>
      </c>
      <c r="G104" s="134" t="str">
        <f t="shared" si="217"/>
        <v>[effect:enemy_message, val1:1.2, val2:2.5]</v>
      </c>
      <c r="H104" s="134">
        <f t="shared" si="204"/>
        <v>9</v>
      </c>
      <c r="I104" s="134">
        <f t="shared" si="205"/>
        <v>22</v>
      </c>
      <c r="J104" s="134" t="e">
        <f t="shared" si="206"/>
        <v>#VALUE!</v>
      </c>
      <c r="K104" s="134">
        <f t="shared" si="207"/>
        <v>32</v>
      </c>
      <c r="L104" s="134" t="str">
        <f>IFERROR(VLOOKUP(MID(G104,J104,K104-J104),[5]skilldef!$C:$D,2,FALSE),"-") &amp; " / " &amp; IFERROR(VLOOKUP(MID(G104,H104,I104-H104),[5]skilldef!$A:$B,2,FALSE),"-")</f>
        <v>- / -</v>
      </c>
      <c r="M104" s="134" t="str">
        <f t="shared" si="218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animation:change_range_block],[effect:spread, val:0.3]</v>
      </c>
      <c r="N104" s="132" t="str">
        <f>IFERROR(LEFT(M104,FIND("],",M104)+#REF!),M104)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animation:change_range_block],[effect:spread, val:0.3]</v>
      </c>
      <c r="O104" s="134">
        <f t="shared" si="208"/>
        <v>9</v>
      </c>
      <c r="P104" s="134">
        <f t="shared" si="209"/>
        <v>27</v>
      </c>
      <c r="Q104" s="134">
        <f t="shared" si="210"/>
        <v>459</v>
      </c>
      <c r="R104" s="134">
        <f t="shared" si="211"/>
        <v>43</v>
      </c>
      <c r="S104" s="134" t="str">
        <f>IFERROR(VLOOKUP(MID(N104,Q104,R104-Q104),[5]skilldef!$C:$D,2,FALSE),"-") &amp; " / " &amp; IFERROR(VLOOKUP(MID(N104,O104,P104-O104),[5]skilldef!$A:$B,2,FALSE),"-")</f>
        <v>- / -</v>
      </c>
      <c r="T104" s="132" t="str">
        <f t="shared" si="212"/>
        <v>[effect:spread, val:0.3]</v>
      </c>
      <c r="U104" s="134">
        <f t="shared" si="213"/>
        <v>9</v>
      </c>
      <c r="V104" s="134">
        <f t="shared" si="214"/>
        <v>15</v>
      </c>
      <c r="W104" s="134" t="e">
        <f t="shared" si="215"/>
        <v>#VALUE!</v>
      </c>
      <c r="X104" s="134" t="e">
        <f t="shared" si="216"/>
        <v>#VALUE!</v>
      </c>
      <c r="Y104" s="134" t="str">
        <f>IFERROR(VLOOKUP(MID(T104,W104,X104-W104),[5]skilldef!$C:$D,2,FALSE),"-") &amp; " / " &amp; IFERROR(VLOOKUP(MID(T104,U104,V104-U104),[5]skilldef!$A:$B,2,FALSE),"-")</f>
        <v>- / 全体攻撃</v>
      </c>
      <c r="Z104" s="134" t="s">
        <v>379</v>
      </c>
      <c r="AA104" s="135" t="s">
        <v>365</v>
      </c>
      <c r="AB104" s="133"/>
    </row>
    <row r="105" spans="1:28" s="136" customFormat="1" ht="52" customHeight="1" x14ac:dyDescent="0.15">
      <c r="A105" s="132">
        <v>47012104</v>
      </c>
      <c r="B105" s="132" t="s">
        <v>639</v>
      </c>
      <c r="C105" s="133">
        <v>3</v>
      </c>
      <c r="D105" s="133" t="s">
        <v>128</v>
      </c>
      <c r="E105" s="134" t="s">
        <v>426</v>
      </c>
      <c r="F105" s="134" t="s">
        <v>609</v>
      </c>
      <c r="G105" s="134" t="str">
        <f t="shared" si="217"/>
        <v>[effect:enemy_message, val1:1.2, val2:2.5]</v>
      </c>
      <c r="H105" s="134">
        <f t="shared" si="204"/>
        <v>9</v>
      </c>
      <c r="I105" s="134">
        <f t="shared" si="205"/>
        <v>22</v>
      </c>
      <c r="J105" s="134" t="e">
        <f t="shared" si="206"/>
        <v>#VALUE!</v>
      </c>
      <c r="K105" s="134">
        <f t="shared" si="207"/>
        <v>32</v>
      </c>
      <c r="L105" s="134" t="str">
        <f>IFERROR(VLOOKUP(MID(G105,J105,K105-J105),[5]skilldef!$C:$D,2,FALSE),"-") &amp; " / " &amp; IFERROR(VLOOKUP(MID(G105,H105,I105-H105),[5]skilldef!$A:$B,2,FALSE),"-")</f>
        <v>- / -</v>
      </c>
      <c r="M105" s="134" t="str">
        <f t="shared" si="218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animation:change_range_block],[effect:spread, val:0.3]</v>
      </c>
      <c r="N105" s="132" t="str">
        <f>IFERROR(LEFT(M105,FIND("],",M105)+S108),M105)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animation:change_range_block],[effect:spread, val:0.3]</v>
      </c>
      <c r="O105" s="134">
        <f t="shared" si="208"/>
        <v>9</v>
      </c>
      <c r="P105" s="134">
        <f t="shared" si="209"/>
        <v>27</v>
      </c>
      <c r="Q105" s="134">
        <f t="shared" si="210"/>
        <v>459</v>
      </c>
      <c r="R105" s="134">
        <f t="shared" si="211"/>
        <v>43</v>
      </c>
      <c r="S105" s="134" t="str">
        <f>IFERROR(VLOOKUP(MID(N105,Q105,R105-Q105),[5]skilldef!$C:$D,2,FALSE),"-") &amp; " / " &amp; IFERROR(VLOOKUP(MID(N105,O105,P105-O105),[5]skilldef!$A:$B,2,FALSE),"-")</f>
        <v>- / -</v>
      </c>
      <c r="T105" s="132" t="str">
        <f t="shared" si="212"/>
        <v>[effect:spread, val:0.3]</v>
      </c>
      <c r="U105" s="134">
        <f t="shared" si="213"/>
        <v>9</v>
      </c>
      <c r="V105" s="134">
        <f t="shared" si="214"/>
        <v>15</v>
      </c>
      <c r="W105" s="134" t="e">
        <f t="shared" si="215"/>
        <v>#VALUE!</v>
      </c>
      <c r="X105" s="134" t="e">
        <f t="shared" si="216"/>
        <v>#VALUE!</v>
      </c>
      <c r="Y105" s="134" t="str">
        <f>IFERROR(VLOOKUP(MID(T105,W105,X105-W105),[5]skilldef!$C:$D,2,FALSE),"-") &amp; " / " &amp; IFERROR(VLOOKUP(MID(T105,U105,V105-U105),[5]skilldef!$A:$B,2,FALSE),"-")</f>
        <v>- / 全体攻撃</v>
      </c>
      <c r="Z105" s="134" t="s">
        <v>380</v>
      </c>
      <c r="AA105" s="135" t="s">
        <v>367</v>
      </c>
      <c r="AB105" s="133"/>
    </row>
    <row r="106" spans="1:28" s="136" customFormat="1" ht="28" customHeight="1" x14ac:dyDescent="0.15">
      <c r="A106" s="132">
        <v>47012105</v>
      </c>
      <c r="B106" s="132" t="s">
        <v>640</v>
      </c>
      <c r="C106" s="133">
        <v>3</v>
      </c>
      <c r="D106" s="133" t="s">
        <v>128</v>
      </c>
      <c r="E106" s="134" t="s">
        <v>424</v>
      </c>
      <c r="F106" s="134" t="s">
        <v>610</v>
      </c>
      <c r="G106" s="134" t="str">
        <f t="shared" si="217"/>
        <v>[effect:enemy_message, val1:1.2, val2:2.5]</v>
      </c>
      <c r="H106" s="134">
        <f t="shared" si="204"/>
        <v>9</v>
      </c>
      <c r="I106" s="134">
        <f t="shared" si="205"/>
        <v>22</v>
      </c>
      <c r="J106" s="134" t="e">
        <f t="shared" si="206"/>
        <v>#VALUE!</v>
      </c>
      <c r="K106" s="134">
        <f t="shared" si="207"/>
        <v>32</v>
      </c>
      <c r="L106" s="134" t="str">
        <f>IFERROR(VLOOKUP(MID(G106,J106,K106-J106),[5]skilldef!$C:$D,2,FALSE),"-") &amp; " / " &amp; IFERROR(VLOOKUP(MID(G106,H106,I106-H106),[5]skilldef!$A:$B,2,FALSE),"-")</f>
        <v>- / -</v>
      </c>
      <c r="M106" s="134" t="str">
        <f t="shared" si="218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animation:change_range_block],[effect:rush, count:1, val:1]</v>
      </c>
      <c r="N106" s="132" t="str">
        <f>IFERROR(LEFT(M106,FIND("],",M106)+S109),M106)</f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animation:change_range_block],[effect:rush, count:1, val:1]</v>
      </c>
      <c r="O106" s="134">
        <f t="shared" si="208"/>
        <v>9</v>
      </c>
      <c r="P106" s="134">
        <f t="shared" si="209"/>
        <v>27</v>
      </c>
      <c r="Q106" s="134">
        <f t="shared" si="210"/>
        <v>459</v>
      </c>
      <c r="R106" s="134">
        <f t="shared" si="211"/>
        <v>43</v>
      </c>
      <c r="S106" s="134" t="str">
        <f>IFERROR(VLOOKUP(MID(N106,Q106,R106-Q106),[5]skilldef!$C:$D,2,FALSE),"-") &amp; " / " &amp; IFERROR(VLOOKUP(MID(N106,O106,P106-O106),[5]skilldef!$A:$B,2,FALSE),"-")</f>
        <v>- / -</v>
      </c>
      <c r="T106" s="132" t="str">
        <f t="shared" si="212"/>
        <v>[effect:rush, count:1, val:1]</v>
      </c>
      <c r="U106" s="134">
        <f t="shared" si="213"/>
        <v>9</v>
      </c>
      <c r="V106" s="134">
        <f t="shared" si="214"/>
        <v>13</v>
      </c>
      <c r="W106" s="134" t="e">
        <f t="shared" si="215"/>
        <v>#VALUE!</v>
      </c>
      <c r="X106" s="134">
        <f t="shared" si="216"/>
        <v>22</v>
      </c>
      <c r="Y106" s="134" t="str">
        <f>IFERROR(VLOOKUP(MID(T106,W106,X106-W106),[5]skilldef!$C:$D,2,FALSE),"-") &amp; " / " &amp; IFERROR(VLOOKUP(MID(T106,U106,V106-U106),[5]skilldef!$A:$B,2,FALSE),"-")</f>
        <v>- / 連続攻撃</v>
      </c>
      <c r="Z106" s="134" t="s">
        <v>381</v>
      </c>
      <c r="AA106" s="135" t="s">
        <v>365</v>
      </c>
      <c r="AB106" s="133"/>
    </row>
    <row r="107" spans="1:28" s="136" customFormat="1" ht="52" customHeight="1" x14ac:dyDescent="0.15">
      <c r="A107" s="132">
        <v>47012106</v>
      </c>
      <c r="B107" s="132" t="s">
        <v>641</v>
      </c>
      <c r="C107" s="133">
        <v>3</v>
      </c>
      <c r="D107" s="133" t="s">
        <v>128</v>
      </c>
      <c r="E107" s="134" t="s">
        <v>425</v>
      </c>
      <c r="F107" s="134" t="s">
        <v>614</v>
      </c>
      <c r="G107" s="134" t="str">
        <f t="shared" si="217"/>
        <v>[effect:enemy_message, val1:1.2, val2:2.5]</v>
      </c>
      <c r="H107" s="134">
        <f t="shared" si="204"/>
        <v>9</v>
      </c>
      <c r="I107" s="134">
        <f t="shared" si="205"/>
        <v>22</v>
      </c>
      <c r="J107" s="134" t="e">
        <f t="shared" si="206"/>
        <v>#VALUE!</v>
      </c>
      <c r="K107" s="134">
        <f t="shared" si="207"/>
        <v>32</v>
      </c>
      <c r="L107" s="134" t="str">
        <f>IFERROR(VLOOKUP(MID(G107,J107,K107-J107),[5]skilldef!$C:$D,2,FALSE),"-") &amp; " / " &amp; IFERROR(VLOOKUP(MID(G107,H107,I107-H107),[5]skilldef!$A:$B,2,FALSE),"-")</f>
        <v>- / -</v>
      </c>
      <c r="M107" s="134" t="str">
        <f t="shared" si="218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val:0.2, min_time_count:2, max_time_count:3, animation:change_range_block],[effect:rush, count:1, val:1]</v>
      </c>
      <c r="N107" s="132" t="str">
        <f>IFERROR(LEFT(M107,FIND("],",M107)+S110),M107)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color:block_red, count:0, val:0.2, min_time_count:2, max_time_count:3, animation:change_range_block],[effect:rush, count:1, val:1]</v>
      </c>
      <c r="O107" s="134">
        <f t="shared" si="208"/>
        <v>9</v>
      </c>
      <c r="P107" s="134">
        <f t="shared" si="209"/>
        <v>27</v>
      </c>
      <c r="Q107" s="134">
        <f t="shared" si="210"/>
        <v>459</v>
      </c>
      <c r="R107" s="134">
        <f t="shared" si="211"/>
        <v>43</v>
      </c>
      <c r="S107" s="134" t="str">
        <f>IFERROR(VLOOKUP(MID(N107,Q107,R107-Q107),[5]skilldef!$C:$D,2,FALSE),"-") &amp; " / " &amp; IFERROR(VLOOKUP(MID(N107,O107,P107-O107),[5]skilldef!$A:$B,2,FALSE),"-")</f>
        <v>- / -</v>
      </c>
      <c r="T107" s="132" t="str">
        <f t="shared" si="212"/>
        <v>[effect:rush, count:1, val:1]</v>
      </c>
      <c r="U107" s="134">
        <f t="shared" si="213"/>
        <v>9</v>
      </c>
      <c r="V107" s="134">
        <f t="shared" si="214"/>
        <v>13</v>
      </c>
      <c r="W107" s="134" t="e">
        <f t="shared" si="215"/>
        <v>#VALUE!</v>
      </c>
      <c r="X107" s="134">
        <f t="shared" si="216"/>
        <v>22</v>
      </c>
      <c r="Y107" s="134" t="str">
        <f>IFERROR(VLOOKUP(MID(T107,W107,X107-W107),[5]skilldef!$C:$D,2,FALSE),"-") &amp; " / " &amp; IFERROR(VLOOKUP(MID(T107,U107,V107-U107),[5]skilldef!$A:$B,2,FALSE),"-")</f>
        <v>- / 連続攻撃</v>
      </c>
      <c r="Z107" s="134" t="s">
        <v>382</v>
      </c>
      <c r="AA107" s="135" t="s">
        <v>367</v>
      </c>
      <c r="AB107" s="133"/>
    </row>
    <row r="108" spans="1:28" s="136" customFormat="1" ht="52" customHeight="1" x14ac:dyDescent="0.15">
      <c r="A108" s="132">
        <v>47012107</v>
      </c>
      <c r="B108" s="132" t="s">
        <v>384</v>
      </c>
      <c r="C108" s="133">
        <v>3</v>
      </c>
      <c r="D108" s="133" t="s">
        <v>128</v>
      </c>
      <c r="E108" s="134" t="s">
        <v>427</v>
      </c>
      <c r="F108" s="134" t="s">
        <v>352</v>
      </c>
      <c r="G108" s="134" t="str">
        <f t="shared" si="217"/>
        <v>[effect:enemy_message, val1:1.2, val2:1.7]</v>
      </c>
      <c r="H108" s="134">
        <f t="shared" si="204"/>
        <v>9</v>
      </c>
      <c r="I108" s="134">
        <f t="shared" si="205"/>
        <v>22</v>
      </c>
      <c r="J108" s="134" t="e">
        <f t="shared" si="206"/>
        <v>#VALUE!</v>
      </c>
      <c r="K108" s="134">
        <f t="shared" si="207"/>
        <v>32</v>
      </c>
      <c r="L108" s="134" t="str">
        <f>IFERROR(VLOOKUP(MID(G108,J108,K108-J108),[5]skilldef!$C:$D,2,FALSE),"-") &amp; " / " &amp; IFERROR(VLOOKUP(MID(G108,H108,I108-H108),[5]skilldef!$A:$B,2,FALSE),"-")</f>
        <v>- / -</v>
      </c>
      <c r="M108" s="134" t="str">
        <f t="shared" si="218"/>
        <v>[effect:hungup, target:unit_all, turn:2, rate:1, animation:hungup01]</v>
      </c>
      <c r="N108" s="132" t="str">
        <f t="shared" ref="N108:N111" si="219">IFERROR(LEFT(M108,FIND("],",M108)+S113),M108)</f>
        <v>[effect:hungup, target:unit_all, turn:2, rate:1, animation:hungup01]</v>
      </c>
      <c r="O108" s="134">
        <f t="shared" si="208"/>
        <v>9</v>
      </c>
      <c r="P108" s="134">
        <f t="shared" si="209"/>
        <v>15</v>
      </c>
      <c r="Q108" s="134">
        <f t="shared" si="210"/>
        <v>24</v>
      </c>
      <c r="R108" s="134">
        <f t="shared" si="211"/>
        <v>32</v>
      </c>
      <c r="S108" s="134" t="str">
        <f>IFERROR(VLOOKUP(MID(N108,Q108,R108-Q108),[5]skilldef!$C:$D,2,FALSE),"-") &amp; " / " &amp; IFERROR(VLOOKUP(MID(N108,O108,P108-O108),[5]skilldef!$A:$B,2,FALSE),"-")</f>
        <v>味方全体に / ハングアップ</v>
      </c>
      <c r="T108" s="132" t="str">
        <f t="shared" si="212"/>
        <v>none</v>
      </c>
      <c r="U108" s="134" t="e">
        <f t="shared" si="213"/>
        <v>#VALUE!</v>
      </c>
      <c r="V108" s="134">
        <f t="shared" si="214"/>
        <v>4</v>
      </c>
      <c r="W108" s="134" t="e">
        <f t="shared" si="215"/>
        <v>#VALUE!</v>
      </c>
      <c r="X108" s="134" t="e">
        <f t="shared" si="216"/>
        <v>#VALUE!</v>
      </c>
      <c r="Y108" s="134" t="str">
        <f>IFERROR(VLOOKUP(MID(T108,W108,X108-W108),[5]skilldef!$C:$D,2,FALSE),"-") &amp; " / " &amp; IFERROR(VLOOKUP(MID(T108,U108,V108-U108),[5]skilldef!$A:$B,2,FALSE),"-")</f>
        <v>- / -</v>
      </c>
      <c r="Z108" s="134" t="s">
        <v>383</v>
      </c>
      <c r="AA108" s="135"/>
      <c r="AB108" s="133"/>
    </row>
    <row r="109" spans="1:28" s="136" customFormat="1" ht="52" customHeight="1" x14ac:dyDescent="0.15">
      <c r="A109" s="132">
        <v>47012108</v>
      </c>
      <c r="B109" s="132" t="s">
        <v>629</v>
      </c>
      <c r="C109" s="133">
        <v>3</v>
      </c>
      <c r="D109" s="133" t="s">
        <v>128</v>
      </c>
      <c r="E109" s="134" t="s">
        <v>528</v>
      </c>
      <c r="F109" s="134" t="s">
        <v>603</v>
      </c>
      <c r="G109" s="134" t="str">
        <f t="shared" si="217"/>
        <v>[effect:enemy_message, val1:1.7, val2:2.4]</v>
      </c>
      <c r="H109" s="134">
        <f t="shared" si="204"/>
        <v>9</v>
      </c>
      <c r="I109" s="134">
        <f t="shared" si="205"/>
        <v>22</v>
      </c>
      <c r="J109" s="134" t="e">
        <f t="shared" si="206"/>
        <v>#VALUE!</v>
      </c>
      <c r="K109" s="134">
        <f t="shared" si="207"/>
        <v>32</v>
      </c>
      <c r="L109" s="134" t="str">
        <f>IFERROR(VLOOKUP(MID(G109,J109,K109-J109),[5]skilldef!$C:$D,2,FALSE),"-") &amp; " / " &amp; IFERROR(VLOOKUP(MID(G109,H109,I109-H109),[5]skilldef!$A:$B,2,FALSE),"-")</f>
        <v>- / -</v>
      </c>
      <c r="M109" s="134" t="str">
        <f t="shared" si="218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new_block:crack_bomb, target:block_all, color:block_heart, count:0, val:24, animation:change_range_block],[effect:rush, count:1, val:1]</v>
      </c>
      <c r="N109" s="132" t="str">
        <f t="shared" si="219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new_block:crack_bomb, target:block_all, color:block_heart, count:0, val:24, animation:change_range_block],[effect:rush, count:1, val:1]</v>
      </c>
      <c r="O109" s="134">
        <f t="shared" si="208"/>
        <v>9</v>
      </c>
      <c r="P109" s="134">
        <f t="shared" si="209"/>
        <v>27</v>
      </c>
      <c r="Q109" s="134">
        <f t="shared" si="210"/>
        <v>460</v>
      </c>
      <c r="R109" s="134">
        <f t="shared" si="211"/>
        <v>43</v>
      </c>
      <c r="S109" s="134" t="str">
        <f>IFERROR(VLOOKUP(MID(N109,Q109,R109-Q109),[5]skilldef!$C:$D,2,FALSE),"-") &amp; " / " &amp; IFERROR(VLOOKUP(MID(N109,O109,P109-O109),[5]skilldef!$A:$B,2,FALSE),"-")</f>
        <v>- / -</v>
      </c>
      <c r="T109" s="132" t="str">
        <f t="shared" si="212"/>
        <v>[effect:rush, count:1, val:1]</v>
      </c>
      <c r="U109" s="134">
        <f t="shared" si="213"/>
        <v>9</v>
      </c>
      <c r="V109" s="134">
        <f t="shared" si="214"/>
        <v>13</v>
      </c>
      <c r="W109" s="134" t="e">
        <f t="shared" si="215"/>
        <v>#VALUE!</v>
      </c>
      <c r="X109" s="134">
        <f t="shared" si="216"/>
        <v>22</v>
      </c>
      <c r="Y109" s="134" t="str">
        <f>IFERROR(VLOOKUP(MID(T109,W109,X109-W109),[5]skilldef!$C:$D,2,FALSE),"-") &amp; " / " &amp; IFERROR(VLOOKUP(MID(T109,U109,V109-U109),[5]skilldef!$A:$B,2,FALSE),"-")</f>
        <v>- / 連続攻撃</v>
      </c>
      <c r="Z109" s="134" t="s">
        <v>334</v>
      </c>
      <c r="AA109" s="135" t="s">
        <v>367</v>
      </c>
      <c r="AB109" s="133"/>
    </row>
    <row r="110" spans="1:28" s="136" customFormat="1" ht="52" customHeight="1" x14ac:dyDescent="0.15">
      <c r="A110" s="132">
        <v>47012109</v>
      </c>
      <c r="B110" s="132" t="s">
        <v>547</v>
      </c>
      <c r="C110" s="133">
        <v>3</v>
      </c>
      <c r="D110" s="133" t="s">
        <v>128</v>
      </c>
      <c r="E110" s="134" t="s">
        <v>544</v>
      </c>
      <c r="F110" s="134" t="s">
        <v>414</v>
      </c>
      <c r="G110" s="134" t="str">
        <f t="shared" si="217"/>
        <v>[effect:enemy_message, val1:1.7, val2:2.7]</v>
      </c>
      <c r="H110" s="134">
        <f t="shared" si="204"/>
        <v>9</v>
      </c>
      <c r="I110" s="134">
        <f t="shared" si="205"/>
        <v>22</v>
      </c>
      <c r="J110" s="134" t="e">
        <f t="shared" si="206"/>
        <v>#VALUE!</v>
      </c>
      <c r="K110" s="134">
        <f t="shared" si="207"/>
        <v>32</v>
      </c>
      <c r="L110" s="134" t="str">
        <f>IFERROR(VLOOKUP(MID(G110,J110,K110-J110),[5]skilldef!$C:$D,2,FALSE),"-") &amp; " / " &amp; IFERROR(VLOOKUP(MID(G110,H110,I110-H110),[5]skilldef!$A:$B,2,FALSE),"-")</f>
        <v>- / -</v>
      </c>
      <c r="M110" s="134" t="str">
        <f t="shared" si="218"/>
        <v>[effect:crash_condition, target:unit_all, turn:1, val:4, animation:enemy_crash_extend],[effect:spread, val:0.25]</v>
      </c>
      <c r="N110" s="132" t="str">
        <f t="shared" si="219"/>
        <v>[effect:crash_condition, target:unit_all, turn:1, val:4, animation:enemy_crash_extend],[effect:spread, val:0.25]</v>
      </c>
      <c r="O110" s="134">
        <f t="shared" si="208"/>
        <v>9</v>
      </c>
      <c r="P110" s="134">
        <f t="shared" si="209"/>
        <v>24</v>
      </c>
      <c r="Q110" s="134">
        <f t="shared" si="210"/>
        <v>33</v>
      </c>
      <c r="R110" s="134">
        <f t="shared" si="211"/>
        <v>41</v>
      </c>
      <c r="S110" s="134" t="str">
        <f>IFERROR(VLOOKUP(MID(N110,Q110,R110-Q110),[5]skilldef!$C:$D,2,FALSE),"-") &amp; " / " &amp; IFERROR(VLOOKUP(MID(N110,O110,P110-O110),[5]skilldef!$A:$B,2,FALSE),"-")</f>
        <v>味方全体に / -</v>
      </c>
      <c r="T110" s="132" t="str">
        <f t="shared" si="212"/>
        <v>[effect:spread, val:0.25]</v>
      </c>
      <c r="U110" s="134">
        <f t="shared" si="213"/>
        <v>9</v>
      </c>
      <c r="V110" s="134">
        <f t="shared" si="214"/>
        <v>15</v>
      </c>
      <c r="W110" s="134" t="e">
        <f t="shared" si="215"/>
        <v>#VALUE!</v>
      </c>
      <c r="X110" s="134" t="e">
        <f t="shared" si="216"/>
        <v>#VALUE!</v>
      </c>
      <c r="Y110" s="134" t="str">
        <f>IFERROR(VLOOKUP(MID(T110,W110,X110-W110),[5]skilldef!$C:$D,2,FALSE),"-") &amp; " / " &amp; IFERROR(VLOOKUP(MID(T110,U110,V110-U110),[5]skilldef!$A:$B,2,FALSE),"-")</f>
        <v>- / 全体攻撃</v>
      </c>
      <c r="Z110" s="134" t="s">
        <v>335</v>
      </c>
      <c r="AA110" s="135"/>
      <c r="AB110" s="133"/>
    </row>
    <row r="111" spans="1:28" s="136" customFormat="1" ht="52" customHeight="1" x14ac:dyDescent="0.15">
      <c r="A111" s="132">
        <v>47012110</v>
      </c>
      <c r="B111" s="132" t="s">
        <v>638</v>
      </c>
      <c r="C111" s="133">
        <v>3</v>
      </c>
      <c r="D111" s="133" t="s">
        <v>128</v>
      </c>
      <c r="E111" s="134" t="s">
        <v>424</v>
      </c>
      <c r="F111" s="134" t="s">
        <v>608</v>
      </c>
      <c r="G111" s="134" t="str">
        <f t="shared" si="217"/>
        <v>[effect:enemy_message, val1:1.2, val2:2.5]</v>
      </c>
      <c r="H111" s="134">
        <f t="shared" si="204"/>
        <v>9</v>
      </c>
      <c r="I111" s="134">
        <f t="shared" si="205"/>
        <v>22</v>
      </c>
      <c r="J111" s="134" t="e">
        <f t="shared" si="206"/>
        <v>#VALUE!</v>
      </c>
      <c r="K111" s="134">
        <f t="shared" si="207"/>
        <v>32</v>
      </c>
      <c r="L111" s="134" t="str">
        <f>IFERROR(VLOOKUP(MID(G111,J111,K111-J111),[5]skilldef!$C:$D,2,FALSE),"-") &amp; " / " &amp; IFERROR(VLOOKUP(MID(G111,H111,I111-H111),[5]skilldef!$A:$B,2,FALSE),"-")</f>
        <v>- / -</v>
      </c>
      <c r="M111" s="134" t="str">
        <f t="shared" si="218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animation:change_range_block],[effect:spread, val:0.3]</v>
      </c>
      <c r="N111" s="132" t="str">
        <f t="shared" si="219"/>
        <v>[effect:change_range_block, block_change:1, base_type:0, square_count:6, position01:0, value_h01:1.0, value_w01:1.0, position02:18, value_h02:1.0, value_w02:1.0, position03:31, value_h03:1.0, value_w03:1.0, position04:8, value_h04:1.0, value_w04:1.0, position05:21, value_h05:1.0, value_w05:1.0, position06:4, value_h06:1.0, value_w06:1.0, position07:17, value_h07:1.0, value_w07:1.0, position08:35, value_h08:1.0, value_w08:1.0, new_block:time_bomb, target:block_all, color:block_yellow, count:0, val:0.2, min_time_count:2, max_time_count:3, animation:change_range_block],[effect:spread, val:0.3]</v>
      </c>
      <c r="O111" s="134">
        <f t="shared" si="208"/>
        <v>9</v>
      </c>
      <c r="P111" s="134">
        <f t="shared" si="209"/>
        <v>27</v>
      </c>
      <c r="Q111" s="134">
        <f t="shared" si="210"/>
        <v>459</v>
      </c>
      <c r="R111" s="134">
        <f t="shared" si="211"/>
        <v>43</v>
      </c>
      <c r="S111" s="134" t="str">
        <f>IFERROR(VLOOKUP(MID(N111,Q111,R111-Q111),[5]skilldef!$C:$D,2,FALSE),"-") &amp; " / " &amp; IFERROR(VLOOKUP(MID(N111,O111,P111-O111),[5]skilldef!$A:$B,2,FALSE),"-")</f>
        <v>- / -</v>
      </c>
      <c r="T111" s="132" t="str">
        <f t="shared" si="212"/>
        <v>[effect:spread, val:0.3]</v>
      </c>
      <c r="U111" s="134">
        <f t="shared" si="213"/>
        <v>9</v>
      </c>
      <c r="V111" s="134">
        <f t="shared" si="214"/>
        <v>15</v>
      </c>
      <c r="W111" s="134" t="e">
        <f t="shared" si="215"/>
        <v>#VALUE!</v>
      </c>
      <c r="X111" s="134" t="e">
        <f t="shared" si="216"/>
        <v>#VALUE!</v>
      </c>
      <c r="Y111" s="134" t="str">
        <f>IFERROR(VLOOKUP(MID(T111,W111,X111-W111),[5]skilldef!$C:$D,2,FALSE),"-") &amp; " / " &amp; IFERROR(VLOOKUP(MID(T111,U111,V111-U111),[5]skilldef!$A:$B,2,FALSE),"-")</f>
        <v>- / 全体攻撃</v>
      </c>
      <c r="Z111" s="134" t="s">
        <v>336</v>
      </c>
      <c r="AA111" s="135" t="s">
        <v>365</v>
      </c>
      <c r="AB111" s="133"/>
    </row>
    <row r="112" spans="1:28" s="136" customFormat="1" ht="52" customHeight="1" x14ac:dyDescent="0.15">
      <c r="A112" s="132">
        <v>47012111</v>
      </c>
      <c r="B112" s="132" t="s">
        <v>642</v>
      </c>
      <c r="C112" s="133">
        <v>3</v>
      </c>
      <c r="D112" s="133" t="s">
        <v>128</v>
      </c>
      <c r="E112" s="134" t="s">
        <v>426</v>
      </c>
      <c r="F112" s="134" t="s">
        <v>609</v>
      </c>
      <c r="G112" s="134" t="str">
        <f t="shared" si="217"/>
        <v>[effect:enemy_message, val1:1.2, val2:2.5]</v>
      </c>
      <c r="H112" s="134">
        <f t="shared" si="204"/>
        <v>9</v>
      </c>
      <c r="I112" s="134">
        <f t="shared" si="205"/>
        <v>22</v>
      </c>
      <c r="J112" s="134" t="e">
        <f t="shared" si="206"/>
        <v>#VALUE!</v>
      </c>
      <c r="K112" s="134">
        <f t="shared" si="207"/>
        <v>32</v>
      </c>
      <c r="L112" s="134" t="str">
        <f>IFERROR(VLOOKUP(MID(G112,J112,K112-J112),[5]skilldef!$C:$D,2,FALSE),"-") &amp; " / " &amp; IFERROR(VLOOKUP(MID(G112,H112,I112-H112),[5]skilldef!$A:$B,2,FALSE),"-")</f>
        <v>- / -</v>
      </c>
      <c r="M112" s="134" t="str">
        <f t="shared" si="218"/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animation:change_range_block],[effect:rush, count:1, val:1]</v>
      </c>
      <c r="N112" s="132" t="str">
        <f>IFERROR(LEFT(M112,FIND("],",M112)+S182),M112)</f>
        <v>[effect:change_range_block, block_change:1, base_type:0, square_count:6, position01:12, value_h01:1.0, value_w01:1.0, position02:30, value_h02:1.0, value_w02:1.0, position03:1, value_h03:1.0, value_w03:1.0, position04:26, value_h04:1.0, value_w04:1.0, position05:9, value_h05:1.0, value_w05:1.0, position06:22, value_h06:1.0, value_w06:1.0, position07:34, value_h07:1.0, value_w07:1.0, position08:5, value_h08:1.0, value_w08:1.0, new_block:time_bomb, target:block_all, color:block_green, count:0, val:0.2, min_time_count:2, max_time_count:3, animation:change_range_block]</v>
      </c>
      <c r="O112" s="134">
        <f t="shared" si="208"/>
        <v>9</v>
      </c>
      <c r="P112" s="134">
        <f t="shared" si="209"/>
        <v>27</v>
      </c>
      <c r="Q112" s="134">
        <f t="shared" si="210"/>
        <v>459</v>
      </c>
      <c r="R112" s="134">
        <f t="shared" si="211"/>
        <v>43</v>
      </c>
      <c r="S112" s="134" t="str">
        <f>IFERROR(VLOOKUP(MID(N112,Q112,R112-Q112),[5]skilldef!$C:$D,2,FALSE),"-") &amp; " / " &amp; IFERROR(VLOOKUP(MID(N112,O112,P112-O112),[5]skilldef!$A:$B,2,FALSE),"-")</f>
        <v>- / -</v>
      </c>
      <c r="T112" s="132" t="str">
        <f t="shared" si="212"/>
        <v>[effect:rush, count:1, val:1]</v>
      </c>
      <c r="U112" s="134">
        <f t="shared" si="213"/>
        <v>9</v>
      </c>
      <c r="V112" s="134">
        <f t="shared" si="214"/>
        <v>13</v>
      </c>
      <c r="W112" s="134" t="e">
        <f t="shared" si="215"/>
        <v>#VALUE!</v>
      </c>
      <c r="X112" s="134">
        <f t="shared" si="216"/>
        <v>22</v>
      </c>
      <c r="Y112" s="134" t="str">
        <f>IFERROR(VLOOKUP(MID(T112,W112,X112-W112),[5]skilldef!$C:$D,2,FALSE),"-") &amp; " / " &amp; IFERROR(VLOOKUP(MID(T112,U112,V112-U112),[5]skilldef!$A:$B,2,FALSE),"-")</f>
        <v>- / 連続攻撃</v>
      </c>
      <c r="Z112" s="134" t="s">
        <v>337</v>
      </c>
      <c r="AA112" s="135" t="s">
        <v>367</v>
      </c>
      <c r="AB112" s="133"/>
    </row>
    <row r="113" spans="1:28" s="136" customFormat="1" ht="29" customHeight="1" x14ac:dyDescent="0.15">
      <c r="A113" s="132">
        <v>47012112</v>
      </c>
      <c r="B113" s="132" t="s">
        <v>643</v>
      </c>
      <c r="C113" s="133">
        <v>3</v>
      </c>
      <c r="D113" s="133" t="s">
        <v>128</v>
      </c>
      <c r="E113" s="134" t="s">
        <v>527</v>
      </c>
      <c r="F113" s="134" t="s">
        <v>598</v>
      </c>
      <c r="G113" s="134" t="str">
        <f t="shared" si="217"/>
        <v>[effect:enemy_message, val1:1.7, val2:3.2]</v>
      </c>
      <c r="H113" s="134">
        <f t="shared" si="204"/>
        <v>9</v>
      </c>
      <c r="I113" s="134">
        <f t="shared" si="205"/>
        <v>22</v>
      </c>
      <c r="J113" s="134" t="e">
        <f t="shared" si="206"/>
        <v>#VALUE!</v>
      </c>
      <c r="K113" s="134">
        <f t="shared" si="207"/>
        <v>32</v>
      </c>
      <c r="L113" s="134" t="str">
        <f>IFERROR(VLOOKUP(MID(G113,J113,K113-J113),[5]skilldef!$C:$D,2,FALSE),"-") &amp; " / " &amp; IFERROR(VLOOKUP(MID(G113,H113,I113-H113),[5]skilldef!$A:$B,2,FALSE),"-")</f>
        <v>- / -</v>
      </c>
      <c r="M113" s="134" t="str">
        <f t="shared" si="218"/>
        <v>[effect:break_attack_fix, target:unit_one, val:2000, lowest_val:8000, count:-1, block01:crack_bomb],[effect:force_change_magnet, target:normal, color:block_red, count:1, red:1, green:1, blue:0, yellow:0, heart:0, reverse:0, generate:0, turn:2, animation:change_block]</v>
      </c>
      <c r="N113" s="132" t="str">
        <f>IFERROR(LEFT(M113,FIND("],",M113)+S183),M113)</f>
        <v>[effect:break_attack_fix, target:unit_one, val:2000, lowest_val:8000, count:-1, block01:crack_bomb]</v>
      </c>
      <c r="O113" s="134">
        <f t="shared" si="208"/>
        <v>9</v>
      </c>
      <c r="P113" s="134">
        <f t="shared" si="209"/>
        <v>25</v>
      </c>
      <c r="Q113" s="134">
        <f t="shared" si="210"/>
        <v>34</v>
      </c>
      <c r="R113" s="134">
        <f t="shared" si="211"/>
        <v>42</v>
      </c>
      <c r="S113" s="134" t="str">
        <f>IFERROR(VLOOKUP(MID(N113,Q113,R113-Q113),[5]skilldef!$C:$D,2,FALSE),"-") &amp; " / " &amp; IFERROR(VLOOKUP(MID(N113,O113,P113-O113),[5]skilldef!$A:$B,2,FALSE),"-")</f>
        <v>味方単体に / -</v>
      </c>
      <c r="T113" s="132" t="str">
        <f t="shared" si="212"/>
        <v>[effect:force_change_magnet, target:normal, color:block_red, count:1, red:1, green:1, blue:0, yellow:0, heart:0, reverse:0, generate:0, turn:2, animation:change_block]</v>
      </c>
      <c r="U113" s="134">
        <f t="shared" si="213"/>
        <v>9</v>
      </c>
      <c r="V113" s="134">
        <f t="shared" si="214"/>
        <v>28</v>
      </c>
      <c r="W113" s="134">
        <f t="shared" si="215"/>
        <v>37</v>
      </c>
      <c r="X113" s="134">
        <f t="shared" si="216"/>
        <v>43</v>
      </c>
      <c r="Y113" s="134" t="str">
        <f>IFERROR(VLOOKUP(MID(T113,W113,X113-W113),[5]skilldef!$C:$D,2,FALSE),"-") &amp; " / " &amp; IFERROR(VLOOKUP(MID(T113,U113,V113-U113),[5]skilldef!$A:$B,2,FALSE),"-")</f>
        <v>- / -</v>
      </c>
      <c r="Z113" s="134" t="s">
        <v>338</v>
      </c>
      <c r="AA113" s="135"/>
      <c r="AB113" s="133"/>
    </row>
    <row r="114" spans="1:28" s="136" customFormat="1" ht="21" customHeight="1" x14ac:dyDescent="0.15">
      <c r="A114" s="132">
        <v>47012113</v>
      </c>
      <c r="B114" s="132" t="s">
        <v>533</v>
      </c>
      <c r="C114" s="133">
        <v>3</v>
      </c>
      <c r="D114" s="133" t="s">
        <v>128</v>
      </c>
      <c r="E114" s="134" t="s">
        <v>521</v>
      </c>
      <c r="F114" s="134" t="s">
        <v>340</v>
      </c>
      <c r="G114" s="134" t="str">
        <f t="shared" si="217"/>
        <v>[effect:enemy_message, val1:1.9, val2:1.4]</v>
      </c>
      <c r="H114" s="134">
        <f t="shared" si="204"/>
        <v>9</v>
      </c>
      <c r="I114" s="134">
        <f t="shared" si="205"/>
        <v>22</v>
      </c>
      <c r="J114" s="134" t="e">
        <f t="shared" si="206"/>
        <v>#VALUE!</v>
      </c>
      <c r="K114" s="134">
        <f t="shared" si="207"/>
        <v>32</v>
      </c>
      <c r="L114" s="134" t="str">
        <f>IFERROR(VLOOKUP(MID(G114,J114,K114-J114),[5]skilldef!$C:$D,2,FALSE),"-") &amp; " / " &amp; IFERROR(VLOOKUP(MID(G114,H114,I114-H114),[5]skilldef!$A:$B,2,FALSE),"-")</f>
        <v>- / -</v>
      </c>
      <c r="M114" s="134" t="str">
        <f t="shared" si="218"/>
        <v>none</v>
      </c>
      <c r="N114" s="132" t="str">
        <f>IFERROR(LEFT(M114,FIND("],",M114)+S186),M114)</f>
        <v>none</v>
      </c>
      <c r="O114" s="134" t="e">
        <f t="shared" si="208"/>
        <v>#VALUE!</v>
      </c>
      <c r="P114" s="134">
        <f t="shared" si="209"/>
        <v>4</v>
      </c>
      <c r="Q114" s="134" t="e">
        <f t="shared" si="210"/>
        <v>#VALUE!</v>
      </c>
      <c r="R114" s="134" t="e">
        <f t="shared" si="211"/>
        <v>#VALUE!</v>
      </c>
      <c r="S114" s="134" t="str">
        <f>IFERROR(VLOOKUP(MID(N114,Q114,R114-Q114),[5]skilldef!$C:$D,2,FALSE),"-") &amp; " / " &amp; IFERROR(VLOOKUP(MID(N114,O114,P114-O114),[5]skilldef!$A:$B,2,FALSE),"-")</f>
        <v>- / -</v>
      </c>
      <c r="T114" s="132" t="str">
        <f t="shared" si="212"/>
        <v>none</v>
      </c>
      <c r="U114" s="134" t="e">
        <f t="shared" si="213"/>
        <v>#VALUE!</v>
      </c>
      <c r="V114" s="134">
        <f t="shared" si="214"/>
        <v>4</v>
      </c>
      <c r="W114" s="134" t="e">
        <f t="shared" si="215"/>
        <v>#VALUE!</v>
      </c>
      <c r="X114" s="134" t="e">
        <f t="shared" si="216"/>
        <v>#VALUE!</v>
      </c>
      <c r="Y114" s="134" t="str">
        <f>IFERROR(VLOOKUP(MID(T114,W114,X114-W114),[5]skilldef!$C:$D,2,FALSE),"-") &amp; " / " &amp; IFERROR(VLOOKUP(MID(T114,U114,V114-U114),[5]skilldef!$A:$B,2,FALSE),"-")</f>
        <v>- / -</v>
      </c>
      <c r="Z114" s="134" t="s">
        <v>326</v>
      </c>
      <c r="AA114" s="135"/>
      <c r="AB114" s="133"/>
    </row>
    <row r="115" spans="1:28" s="136" customFormat="1" ht="29" customHeight="1" x14ac:dyDescent="0.15">
      <c r="A115" s="132">
        <v>47012114</v>
      </c>
      <c r="B115" s="132" t="s">
        <v>632</v>
      </c>
      <c r="C115" s="133">
        <v>3</v>
      </c>
      <c r="D115" s="133" t="s">
        <v>128</v>
      </c>
      <c r="E115" s="134" t="s">
        <v>468</v>
      </c>
      <c r="F115" s="134" t="s">
        <v>612</v>
      </c>
      <c r="G115" s="134" t="str">
        <f t="shared" si="217"/>
        <v>[effect:enemy_message, val1:1.2, val2:1.8]</v>
      </c>
      <c r="H115" s="134">
        <f t="shared" si="204"/>
        <v>9</v>
      </c>
      <c r="I115" s="134">
        <f t="shared" si="205"/>
        <v>22</v>
      </c>
      <c r="J115" s="134" t="e">
        <f t="shared" si="206"/>
        <v>#VALUE!</v>
      </c>
      <c r="K115" s="134">
        <f t="shared" si="207"/>
        <v>32</v>
      </c>
      <c r="L115" s="134" t="str">
        <f>IFERROR(VLOOKUP(MID(G115,J115,K115-J115),[5]skilldef!$C:$D,2,FALSE),"-") &amp; " / " &amp; IFERROR(VLOOKUP(MID(G115,H115,I115-H115),[5]skilldef!$A:$B,2,FALSE),"-")</f>
        <v>- / -</v>
      </c>
      <c r="M115" s="134" t="str">
        <f t="shared" si="218"/>
        <v>[effect:force_change_block, new_block:block_green, target:block_all, count:0, val:0, animation:change_block],[effect:change_range_block,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v>
      </c>
      <c r="N115" s="132" t="str">
        <f>IFERROR(LEFT(M115,FIND("],",M115)+S187),M115)</f>
        <v>[effect:force_change_block, new_block:block_green, target:block_all, count:0, val:0, animation:change_block]</v>
      </c>
      <c r="O115" s="134">
        <f t="shared" si="208"/>
        <v>9</v>
      </c>
      <c r="P115" s="134">
        <f t="shared" si="209"/>
        <v>27</v>
      </c>
      <c r="Q115" s="134">
        <f t="shared" si="210"/>
        <v>59</v>
      </c>
      <c r="R115" s="134">
        <f t="shared" si="211"/>
        <v>50</v>
      </c>
      <c r="S115" s="134" t="str">
        <f>IFERROR(VLOOKUP(MID(N115,Q115,R115-Q115),[5]skilldef!$C:$D,2,FALSE),"-") &amp; " / " &amp; IFERROR(VLOOKUP(MID(N115,O115,P115-O115),[5]skilldef!$A:$B,2,FALSE),"-")</f>
        <v>- / -</v>
      </c>
      <c r="T115" s="132" t="str">
        <f t="shared" si="212"/>
        <v>[effect:change_range_block, block_change:1, base_type:0, square_count:6, position01:20, value_h01:3.0, value_w01:2.0, new_block:block_yellow, target:block_all, count:0, val:0, animation:change_range_block],[effect:change_range_block, block_change:1, base_type:0, square_count:6, position01:0, value_h01:2.0, value_w01:6.0, position02:13, value_h02:1.0, value_w02:4.0, new_block:block_heart, target:block_all, count:0, val:0, animation:change_range_block]</v>
      </c>
      <c r="U115" s="134">
        <f t="shared" si="213"/>
        <v>9</v>
      </c>
      <c r="V115" s="134">
        <f t="shared" si="214"/>
        <v>27</v>
      </c>
      <c r="W115" s="134">
        <f t="shared" si="215"/>
        <v>150</v>
      </c>
      <c r="X115" s="134">
        <f t="shared" si="216"/>
        <v>43</v>
      </c>
      <c r="Y115" s="134" t="str">
        <f>IFERROR(VLOOKUP(MID(T115,W115,X115-W115),[5]skilldef!$C:$D,2,FALSE),"-") &amp; " / " &amp; IFERROR(VLOOKUP(MID(T115,U115,V115-U115),[5]skilldef!$A:$B,2,FALSE),"-")</f>
        <v>- / -</v>
      </c>
      <c r="Z115" s="134" t="s">
        <v>327</v>
      </c>
      <c r="AA115" s="135" t="s">
        <v>370</v>
      </c>
      <c r="AB115" s="132" t="s">
        <v>369</v>
      </c>
    </row>
    <row r="116" spans="1:28" s="136" customFormat="1" ht="21" customHeight="1" x14ac:dyDescent="0.15">
      <c r="A116" s="132">
        <v>47012115</v>
      </c>
      <c r="B116" s="132" t="s">
        <v>534</v>
      </c>
      <c r="C116" s="133">
        <v>3</v>
      </c>
      <c r="D116" s="133" t="s">
        <v>128</v>
      </c>
      <c r="E116" s="134" t="s">
        <v>469</v>
      </c>
      <c r="F116" s="134" t="s">
        <v>339</v>
      </c>
      <c r="G116" s="134" t="str">
        <f t="shared" si="217"/>
        <v>[effect:enemy_message, val1:2.0, val2:1.2]</v>
      </c>
      <c r="H116" s="134">
        <f t="shared" si="204"/>
        <v>9</v>
      </c>
      <c r="I116" s="134">
        <f t="shared" si="205"/>
        <v>22</v>
      </c>
      <c r="J116" s="134" t="e">
        <f t="shared" si="206"/>
        <v>#VALUE!</v>
      </c>
      <c r="K116" s="134">
        <f t="shared" si="207"/>
        <v>32</v>
      </c>
      <c r="L116" s="134" t="str">
        <f>IFERROR(VLOOKUP(MID(G116,J116,K116-J116),[5]skilldef!$C:$D,2,FALSE),"-") &amp; " / " &amp; IFERROR(VLOOKUP(MID(G116,H116,I116-H116),[5]skilldef!$A:$B,2,FALSE),"-")</f>
        <v>- / -</v>
      </c>
      <c r="M116" s="134" t="str">
        <f t="shared" si="218"/>
        <v>[effect:spread, val:3],[effect:spread, val:3]</v>
      </c>
      <c r="N116" s="132" t="str">
        <f>IFERROR(LEFT(M116,FIND("],",M116)+S188),M116)</f>
        <v>[effect:spread, val:3]</v>
      </c>
      <c r="O116" s="134">
        <f t="shared" si="208"/>
        <v>9</v>
      </c>
      <c r="P116" s="134">
        <f t="shared" si="209"/>
        <v>15</v>
      </c>
      <c r="Q116" s="134" t="e">
        <f t="shared" si="210"/>
        <v>#VALUE!</v>
      </c>
      <c r="R116" s="134" t="e">
        <f t="shared" si="211"/>
        <v>#VALUE!</v>
      </c>
      <c r="S116" s="134" t="str">
        <f>IFERROR(VLOOKUP(MID(N116,Q116,R116-Q116),[5]skilldef!$C:$D,2,FALSE),"-") &amp; " / " &amp; IFERROR(VLOOKUP(MID(N116,O116,P116-O116),[5]skilldef!$A:$B,2,FALSE),"-")</f>
        <v>- / 全体攻撃</v>
      </c>
      <c r="T116" s="132" t="str">
        <f t="shared" si="212"/>
        <v>[effect:spread, val:3]</v>
      </c>
      <c r="U116" s="134">
        <f t="shared" si="213"/>
        <v>9</v>
      </c>
      <c r="V116" s="134">
        <f t="shared" si="214"/>
        <v>15</v>
      </c>
      <c r="W116" s="134" t="e">
        <f t="shared" si="215"/>
        <v>#VALUE!</v>
      </c>
      <c r="X116" s="134" t="e">
        <f t="shared" si="216"/>
        <v>#VALUE!</v>
      </c>
      <c r="Y116" s="134" t="str">
        <f>IFERROR(VLOOKUP(MID(T116,W116,X116-W116),[5]skilldef!$C:$D,2,FALSE),"-") &amp; " / " &amp; IFERROR(VLOOKUP(MID(T116,U116,V116-U116),[5]skilldef!$A:$B,2,FALSE),"-")</f>
        <v>- / 全体攻撃</v>
      </c>
      <c r="Z116" s="134" t="s">
        <v>328</v>
      </c>
      <c r="AA116" s="135"/>
      <c r="AB116" s="133"/>
    </row>
    <row r="117" spans="1:28" s="136" customFormat="1" ht="28" x14ac:dyDescent="0.15">
      <c r="A117" s="132">
        <v>47012116</v>
      </c>
      <c r="B117" s="132" t="s">
        <v>575</v>
      </c>
      <c r="C117" s="133">
        <v>3</v>
      </c>
      <c r="D117" s="133" t="s">
        <v>128</v>
      </c>
      <c r="E117" s="134" t="s">
        <v>470</v>
      </c>
      <c r="F117" s="134" t="s">
        <v>481</v>
      </c>
      <c r="G117" s="134" t="str">
        <f t="shared" si="217"/>
        <v>[effect:enemy_message, val1:2.5, val2:4.4, dead_type:escape]</v>
      </c>
      <c r="H117" s="134">
        <f t="shared" si="204"/>
        <v>9</v>
      </c>
      <c r="I117" s="134">
        <f t="shared" si="205"/>
        <v>22</v>
      </c>
      <c r="J117" s="134" t="e">
        <f t="shared" si="206"/>
        <v>#VALUE!</v>
      </c>
      <c r="K117" s="134">
        <f t="shared" si="207"/>
        <v>32</v>
      </c>
      <c r="L117" s="134" t="str">
        <f>IFERROR(VLOOKUP(MID(G117,J117,K117-J117),[5]skilldef!$C:$D,2,FALSE),"-") &amp; " / " &amp; IFERROR(VLOOKUP(MID(G117,H117,I117-H117),[5]skilldef!$A:$B,2,FALSE),"-")</f>
        <v>- / -</v>
      </c>
      <c r="M117" s="134" t="str">
        <f t="shared" si="218"/>
        <v>none</v>
      </c>
      <c r="N117" s="132" t="str">
        <f>IFERROR(LEFT(M117,FIND("],",M117)+S186),M117)</f>
        <v>none</v>
      </c>
      <c r="O117" s="134" t="e">
        <f t="shared" si="208"/>
        <v>#VALUE!</v>
      </c>
      <c r="P117" s="134">
        <f t="shared" si="209"/>
        <v>4</v>
      </c>
      <c r="Q117" s="134" t="e">
        <f t="shared" si="210"/>
        <v>#VALUE!</v>
      </c>
      <c r="R117" s="134" t="e">
        <f t="shared" si="211"/>
        <v>#VALUE!</v>
      </c>
      <c r="S117" s="134" t="str">
        <f>IFERROR(VLOOKUP(MID(N117,Q117,R117-Q117),[5]skilldef!$C:$D,2,FALSE),"-") &amp; " / " &amp; IFERROR(VLOOKUP(MID(N117,O117,P117-O117),[5]skilldef!$A:$B,2,FALSE),"-")</f>
        <v>- / -</v>
      </c>
      <c r="T117" s="132" t="str">
        <f t="shared" si="212"/>
        <v>none</v>
      </c>
      <c r="U117" s="134" t="e">
        <f t="shared" si="213"/>
        <v>#VALUE!</v>
      </c>
      <c r="V117" s="134">
        <f t="shared" si="214"/>
        <v>4</v>
      </c>
      <c r="W117" s="134" t="e">
        <f t="shared" si="215"/>
        <v>#VALUE!</v>
      </c>
      <c r="X117" s="134" t="e">
        <f t="shared" si="216"/>
        <v>#VALUE!</v>
      </c>
      <c r="Y117" s="134" t="str">
        <f>IFERROR(VLOOKUP(MID(T117,W117,X117-W117),[5]skilldef!$C:$D,2,FALSE),"-") &amp; " / " &amp; IFERROR(VLOOKUP(MID(T117,U117,V117-U117),[5]skilldef!$A:$B,2,FALSE),"-")</f>
        <v>- / -</v>
      </c>
      <c r="Z117" s="134" t="s">
        <v>405</v>
      </c>
      <c r="AA117" s="135"/>
      <c r="AB117" s="133"/>
    </row>
    <row r="118" spans="1:28" s="146" customFormat="1" ht="42" customHeight="1" x14ac:dyDescent="0.15">
      <c r="A118" s="48">
        <v>47012117</v>
      </c>
      <c r="B118" s="48" t="s">
        <v>535</v>
      </c>
      <c r="C118" s="46">
        <v>3</v>
      </c>
      <c r="D118" s="46" t="s">
        <v>128</v>
      </c>
      <c r="E118" s="144" t="s">
        <v>502</v>
      </c>
      <c r="F118" s="144" t="s">
        <v>567</v>
      </c>
      <c r="G118" s="144" t="str">
        <f t="shared" si="217"/>
        <v>[effect:enemy_message, val1:2.5, val2:2.6]</v>
      </c>
      <c r="H118" s="144">
        <f t="shared" si="204"/>
        <v>9</v>
      </c>
      <c r="I118" s="144">
        <f t="shared" si="205"/>
        <v>22</v>
      </c>
      <c r="J118" s="144" t="e">
        <f t="shared" si="206"/>
        <v>#VALUE!</v>
      </c>
      <c r="K118" s="144">
        <f t="shared" si="207"/>
        <v>32</v>
      </c>
      <c r="L118" s="144" t="str">
        <f>IFERROR(VLOOKUP(MID(G118,J118,K118-J118),[5]skilldef!$C:$D,2,FALSE),"-") &amp; " / " &amp; IFERROR(VLOOKUP(MID(G118,H118,I118-H118),[5]skilldef!$A:$B,2,FALSE),"-")</f>
        <v>- / -</v>
      </c>
      <c r="M118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18" s="48" t="str">
        <f>IFERROR(LEFT(M118,FIND("],",M118)+S128),M118)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18" s="144">
        <f t="shared" si="208"/>
        <v>9</v>
      </c>
      <c r="P118" s="144">
        <f t="shared" si="209"/>
        <v>18</v>
      </c>
      <c r="Q118" s="144">
        <f t="shared" si="210"/>
        <v>27</v>
      </c>
      <c r="R118" s="144">
        <f t="shared" si="211"/>
        <v>33</v>
      </c>
      <c r="S118" s="144" t="str">
        <f>IFERROR(VLOOKUP(MID(N118,Q118,R118-Q118),[5]skilldef!$C:$D,2,FALSE),"-") &amp; " / " &amp; IFERROR(VLOOKUP(MID(N118,O118,P118-O118),[5]skilldef!$A:$B,2,FALSE),"-")</f>
        <v>自分自身に / 行動値設定</v>
      </c>
      <c r="T118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18" s="144">
        <f t="shared" si="213"/>
        <v>9</v>
      </c>
      <c r="V118" s="144">
        <f t="shared" si="214"/>
        <v>18</v>
      </c>
      <c r="W118" s="144">
        <f t="shared" si="215"/>
        <v>27</v>
      </c>
      <c r="X118" s="144">
        <f t="shared" si="216"/>
        <v>33</v>
      </c>
      <c r="Y118" s="144" t="str">
        <f>IFERROR(VLOOKUP(MID(T118,W118,X118-W118),[5]skilldef!$C:$D,2,FALSE),"-") &amp; " / " &amp; IFERROR(VLOOKUP(MID(T118,U118,V118-U118),[5]skilldef!$A:$B,2,FALSE),"-")</f>
        <v>自分自身に / 状態異常耐性</v>
      </c>
      <c r="Z118" s="144" t="s">
        <v>402</v>
      </c>
      <c r="AA118" s="145"/>
      <c r="AB118" s="46"/>
    </row>
    <row r="119" spans="1:28" s="146" customFormat="1" ht="40" customHeight="1" x14ac:dyDescent="0.15">
      <c r="A119" s="48">
        <v>47012118</v>
      </c>
      <c r="B119" s="48" t="s">
        <v>535</v>
      </c>
      <c r="C119" s="46">
        <v>3</v>
      </c>
      <c r="D119" s="46" t="s">
        <v>128</v>
      </c>
      <c r="E119" s="144" t="s">
        <v>502</v>
      </c>
      <c r="F119" s="144" t="s">
        <v>567</v>
      </c>
      <c r="G119" s="144" t="str">
        <f t="shared" si="217"/>
        <v>[effect:enemy_message, val1:2.5, val2:2.6]</v>
      </c>
      <c r="H119" s="144">
        <f t="shared" si="204"/>
        <v>9</v>
      </c>
      <c r="I119" s="144">
        <f t="shared" si="205"/>
        <v>22</v>
      </c>
      <c r="J119" s="144" t="e">
        <f t="shared" si="206"/>
        <v>#VALUE!</v>
      </c>
      <c r="K119" s="144">
        <f t="shared" si="207"/>
        <v>32</v>
      </c>
      <c r="L119" s="144" t="str">
        <f>IFERROR(VLOOKUP(MID(G119,J119,K119-J119),[5]skilldef!$C:$D,2,FALSE),"-") &amp; " / " &amp; IFERROR(VLOOKUP(MID(G119,H119,I119-H119),[5]skilldef!$A:$B,2,FALSE),"-")</f>
        <v>- / -</v>
      </c>
      <c r="M119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19" s="48" t="str">
        <f>IFERROR(LEFT(M119,FIND("],",M119)+S129),M119)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19" s="144">
        <f t="shared" si="208"/>
        <v>9</v>
      </c>
      <c r="P119" s="144">
        <f t="shared" si="209"/>
        <v>18</v>
      </c>
      <c r="Q119" s="144">
        <f t="shared" si="210"/>
        <v>27</v>
      </c>
      <c r="R119" s="144">
        <f t="shared" si="211"/>
        <v>33</v>
      </c>
      <c r="S119" s="144" t="str">
        <f>IFERROR(VLOOKUP(MID(N119,Q119,R119-Q119),[5]skilldef!$C:$D,2,FALSE),"-") &amp; " / " &amp; IFERROR(VLOOKUP(MID(N119,O119,P119-O119),[5]skilldef!$A:$B,2,FALSE),"-")</f>
        <v>自分自身に / 行動値設定</v>
      </c>
      <c r="T119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19" s="144">
        <f t="shared" si="213"/>
        <v>9</v>
      </c>
      <c r="V119" s="144">
        <f t="shared" si="214"/>
        <v>18</v>
      </c>
      <c r="W119" s="144">
        <f t="shared" si="215"/>
        <v>27</v>
      </c>
      <c r="X119" s="144">
        <f t="shared" si="216"/>
        <v>33</v>
      </c>
      <c r="Y119" s="144" t="str">
        <f>IFERROR(VLOOKUP(MID(T119,W119,X119-W119),[5]skilldef!$C:$D,2,FALSE),"-") &amp; " / " &amp; IFERROR(VLOOKUP(MID(T119,U119,V119-U119),[5]skilldef!$A:$B,2,FALSE),"-")</f>
        <v>自分自身に / 状態異常耐性</v>
      </c>
      <c r="Z119" s="144" t="s">
        <v>404</v>
      </c>
      <c r="AA119" s="145"/>
      <c r="AB119" s="46"/>
    </row>
    <row r="120" spans="1:28" s="146" customFormat="1" ht="42" customHeight="1" x14ac:dyDescent="0.15">
      <c r="A120" s="48">
        <v>47012119</v>
      </c>
      <c r="B120" s="48" t="s">
        <v>480</v>
      </c>
      <c r="C120" s="46">
        <v>3</v>
      </c>
      <c r="D120" s="46" t="s">
        <v>128</v>
      </c>
      <c r="E120" s="144" t="s">
        <v>504</v>
      </c>
      <c r="F120" s="144" t="s">
        <v>567</v>
      </c>
      <c r="G120" s="144" t="str">
        <f t="shared" si="217"/>
        <v>[effect:enemy_message, val1:2.9, val2:2.6]</v>
      </c>
      <c r="H120" s="144">
        <f t="shared" si="204"/>
        <v>9</v>
      </c>
      <c r="I120" s="144">
        <f t="shared" si="205"/>
        <v>22</v>
      </c>
      <c r="J120" s="144" t="e">
        <f t="shared" si="206"/>
        <v>#VALUE!</v>
      </c>
      <c r="K120" s="144">
        <f t="shared" si="207"/>
        <v>32</v>
      </c>
      <c r="L120" s="144" t="str">
        <f>IFERROR(VLOOKUP(MID(G120,J120,K120-J120),[5]skilldef!$C:$D,2,FALSE),"-") &amp; " / " &amp; IFERROR(VLOOKUP(MID(G120,H120,I120-H120),[5]skilldef!$A:$B,2,FALSE),"-")</f>
        <v>- / -</v>
      </c>
      <c r="M120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20" s="48" t="str">
        <f>IFERROR(LEFT(M120,FIND("],",M120)+S130),M120)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20" s="144">
        <f t="shared" si="208"/>
        <v>9</v>
      </c>
      <c r="P120" s="144">
        <f t="shared" si="209"/>
        <v>18</v>
      </c>
      <c r="Q120" s="144">
        <f t="shared" si="210"/>
        <v>27</v>
      </c>
      <c r="R120" s="144">
        <f t="shared" si="211"/>
        <v>33</v>
      </c>
      <c r="S120" s="144" t="str">
        <f>IFERROR(VLOOKUP(MID(N120,Q120,R120-Q120),[5]skilldef!$C:$D,2,FALSE),"-") &amp; " / " &amp; IFERROR(VLOOKUP(MID(N120,O120,P120-O120),[5]skilldef!$A:$B,2,FALSE),"-")</f>
        <v>自分自身に / 行動値設定</v>
      </c>
      <c r="T120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20" s="144">
        <f t="shared" si="213"/>
        <v>9</v>
      </c>
      <c r="V120" s="144">
        <f t="shared" si="214"/>
        <v>18</v>
      </c>
      <c r="W120" s="144">
        <f t="shared" si="215"/>
        <v>27</v>
      </c>
      <c r="X120" s="144">
        <f t="shared" si="216"/>
        <v>33</v>
      </c>
      <c r="Y120" s="144" t="str">
        <f>IFERROR(VLOOKUP(MID(T120,W120,X120-W120),[5]skilldef!$C:$D,2,FALSE),"-") &amp; " / " &amp; IFERROR(VLOOKUP(MID(T120,U120,V120-U120),[5]skilldef!$A:$B,2,FALSE),"-")</f>
        <v>自分自身に / 状態異常耐性</v>
      </c>
      <c r="Z120" s="144" t="s">
        <v>401</v>
      </c>
      <c r="AA120" s="145"/>
      <c r="AB120" s="46"/>
    </row>
    <row r="121" spans="1:28" s="146" customFormat="1" ht="49" customHeight="1" x14ac:dyDescent="0.15">
      <c r="A121" s="48">
        <v>47012120</v>
      </c>
      <c r="B121" s="48" t="s">
        <v>480</v>
      </c>
      <c r="C121" s="46">
        <v>3</v>
      </c>
      <c r="D121" s="46" t="s">
        <v>128</v>
      </c>
      <c r="E121" s="144" t="s">
        <v>504</v>
      </c>
      <c r="F121" s="144" t="s">
        <v>567</v>
      </c>
      <c r="G121" s="144" t="str">
        <f t="shared" si="217"/>
        <v>[effect:enemy_message, val1:2.9, val2:2.6]</v>
      </c>
      <c r="H121" s="144">
        <f t="shared" si="204"/>
        <v>9</v>
      </c>
      <c r="I121" s="144">
        <f t="shared" si="205"/>
        <v>22</v>
      </c>
      <c r="J121" s="144" t="e">
        <f t="shared" si="206"/>
        <v>#VALUE!</v>
      </c>
      <c r="K121" s="144">
        <f t="shared" si="207"/>
        <v>32</v>
      </c>
      <c r="L121" s="144" t="str">
        <f>IFERROR(VLOOKUP(MID(G121,J121,K121-J121),[5]skilldef!$C:$D,2,FALSE),"-") &amp; " / " &amp; IFERROR(VLOOKUP(MID(G121,H121,I121-H121),[5]skilldef!$A:$B,2,FALSE),"-")</f>
        <v>- / -</v>
      </c>
      <c r="M121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21" s="48" t="str">
        <f>IFERROR(LEFT(M121,FIND("],",M121)+S131),M121)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21" s="144">
        <f t="shared" si="208"/>
        <v>9</v>
      </c>
      <c r="P121" s="144">
        <f t="shared" si="209"/>
        <v>18</v>
      </c>
      <c r="Q121" s="144">
        <f t="shared" si="210"/>
        <v>27</v>
      </c>
      <c r="R121" s="144">
        <f t="shared" si="211"/>
        <v>33</v>
      </c>
      <c r="S121" s="144" t="str">
        <f>IFERROR(VLOOKUP(MID(N121,Q121,R121-Q121),[5]skilldef!$C:$D,2,FALSE),"-") &amp; " / " &amp; IFERROR(VLOOKUP(MID(N121,O121,P121-O121),[5]skilldef!$A:$B,2,FALSE),"-")</f>
        <v>自分自身に / 行動値設定</v>
      </c>
      <c r="T121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21" s="144">
        <f t="shared" si="213"/>
        <v>9</v>
      </c>
      <c r="V121" s="144">
        <f t="shared" si="214"/>
        <v>18</v>
      </c>
      <c r="W121" s="144">
        <f t="shared" si="215"/>
        <v>27</v>
      </c>
      <c r="X121" s="144">
        <f t="shared" si="216"/>
        <v>33</v>
      </c>
      <c r="Y121" s="144" t="str">
        <f>IFERROR(VLOOKUP(MID(T121,W121,X121-W121),[5]skilldef!$C:$D,2,FALSE),"-") &amp; " / " &amp; IFERROR(VLOOKUP(MID(T121,U121,V121-U121),[5]skilldef!$A:$B,2,FALSE),"-")</f>
        <v>自分自身に / 状態異常耐性</v>
      </c>
      <c r="Z121" s="144" t="s">
        <v>403</v>
      </c>
      <c r="AA121" s="145"/>
      <c r="AB121" s="46"/>
    </row>
    <row r="122" spans="1:28" s="146" customFormat="1" ht="49" customHeight="1" x14ac:dyDescent="0.15">
      <c r="A122" s="48">
        <v>47012121</v>
      </c>
      <c r="B122" s="48" t="s">
        <v>464</v>
      </c>
      <c r="C122" s="46">
        <v>3</v>
      </c>
      <c r="D122" s="46" t="s">
        <v>128</v>
      </c>
      <c r="E122" s="144" t="s">
        <v>506</v>
      </c>
      <c r="F122" s="144" t="s">
        <v>567</v>
      </c>
      <c r="G122" s="144" t="str">
        <f t="shared" si="217"/>
        <v>[effect:enemy_message, val1:2.7, val2:2.6]</v>
      </c>
      <c r="H122" s="144">
        <f t="shared" si="204"/>
        <v>9</v>
      </c>
      <c r="I122" s="144">
        <f t="shared" si="205"/>
        <v>22</v>
      </c>
      <c r="J122" s="144" t="e">
        <f t="shared" si="206"/>
        <v>#VALUE!</v>
      </c>
      <c r="K122" s="144">
        <f t="shared" si="207"/>
        <v>32</v>
      </c>
      <c r="L122" s="144" t="str">
        <f>IFERROR(VLOOKUP(MID(G122,J122,K122-J122),[5]skilldef!$C:$D,2,FALSE),"-") &amp; " / " &amp; IFERROR(VLOOKUP(MID(G122,H122,I122-H122),[5]skilldef!$A:$B,2,FALSE),"-")</f>
        <v>- / -</v>
      </c>
      <c r="M122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22" s="48" t="str">
        <f>IFERROR(LEFT(M122,FIND("],",M122)+#REF!),M122)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22" s="144">
        <f t="shared" si="208"/>
        <v>9</v>
      </c>
      <c r="P122" s="144">
        <f t="shared" si="209"/>
        <v>18</v>
      </c>
      <c r="Q122" s="144">
        <f t="shared" si="210"/>
        <v>27</v>
      </c>
      <c r="R122" s="144">
        <f t="shared" si="211"/>
        <v>33</v>
      </c>
      <c r="S122" s="144" t="str">
        <f>IFERROR(VLOOKUP(MID(N122,Q122,R122-Q122),[5]skilldef!$C:$D,2,FALSE),"-") &amp; " / " &amp; IFERROR(VLOOKUP(MID(N122,O122,P122-O122),[5]skilldef!$A:$B,2,FALSE),"-")</f>
        <v>自分自身に / 行動値設定</v>
      </c>
      <c r="T122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22" s="144">
        <f t="shared" si="213"/>
        <v>9</v>
      </c>
      <c r="V122" s="144">
        <f t="shared" si="214"/>
        <v>18</v>
      </c>
      <c r="W122" s="144">
        <f t="shared" si="215"/>
        <v>27</v>
      </c>
      <c r="X122" s="144">
        <f t="shared" si="216"/>
        <v>33</v>
      </c>
      <c r="Y122" s="144" t="str">
        <f>IFERROR(VLOOKUP(MID(T122,W122,X122-W122),[5]skilldef!$C:$D,2,FALSE),"-") &amp; " / " &amp; IFERROR(VLOOKUP(MID(T122,U122,V122-U122),[5]skilldef!$A:$B,2,FALSE),"-")</f>
        <v>自分自身に / 状態異常耐性</v>
      </c>
      <c r="Z122" s="144" t="s">
        <v>452</v>
      </c>
      <c r="AA122" s="145" t="s">
        <v>442</v>
      </c>
      <c r="AB122" s="46"/>
    </row>
    <row r="123" spans="1:28" s="146" customFormat="1" ht="49" customHeight="1" x14ac:dyDescent="0.15">
      <c r="A123" s="48">
        <v>47012122</v>
      </c>
      <c r="B123" s="48" t="s">
        <v>535</v>
      </c>
      <c r="C123" s="46">
        <v>3</v>
      </c>
      <c r="D123" s="46" t="s">
        <v>128</v>
      </c>
      <c r="E123" s="144" t="s">
        <v>508</v>
      </c>
      <c r="F123" s="144" t="s">
        <v>567</v>
      </c>
      <c r="G123" s="144" t="str">
        <f t="shared" si="217"/>
        <v>[effect:enemy_message, val1:2.5, val2:2.6]</v>
      </c>
      <c r="H123" s="144">
        <f t="shared" si="204"/>
        <v>9</v>
      </c>
      <c r="I123" s="144">
        <f t="shared" si="205"/>
        <v>22</v>
      </c>
      <c r="J123" s="144" t="e">
        <f t="shared" si="206"/>
        <v>#VALUE!</v>
      </c>
      <c r="K123" s="144">
        <f t="shared" si="207"/>
        <v>32</v>
      </c>
      <c r="L123" s="144" t="str">
        <f>IFERROR(VLOOKUP(MID(G123,J123,K123-J123),[5]skilldef!$C:$D,2,FALSE),"-") &amp; " / " &amp; IFERROR(VLOOKUP(MID(G123,H123,I123-H123),[5]skilldef!$A:$B,2,FALSE),"-")</f>
        <v>- / -</v>
      </c>
      <c r="M123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23" s="48" t="str">
        <f>IFERROR(LEFT(M123,FIND("],",M123)+S132),M123)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23" s="144">
        <f t="shared" si="208"/>
        <v>9</v>
      </c>
      <c r="P123" s="144">
        <f t="shared" si="209"/>
        <v>18</v>
      </c>
      <c r="Q123" s="144">
        <f t="shared" si="210"/>
        <v>27</v>
      </c>
      <c r="R123" s="144">
        <f t="shared" si="211"/>
        <v>33</v>
      </c>
      <c r="S123" s="144" t="str">
        <f>IFERROR(VLOOKUP(MID(N123,Q123,R123-Q123),[5]skilldef!$C:$D,2,FALSE),"-") &amp; " / " &amp; IFERROR(VLOOKUP(MID(N123,O123,P123-O123),[5]skilldef!$A:$B,2,FALSE),"-")</f>
        <v>自分自身に / 行動値設定</v>
      </c>
      <c r="T123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23" s="144">
        <f t="shared" si="213"/>
        <v>9</v>
      </c>
      <c r="V123" s="144">
        <f t="shared" si="214"/>
        <v>18</v>
      </c>
      <c r="W123" s="144">
        <f t="shared" si="215"/>
        <v>27</v>
      </c>
      <c r="X123" s="144">
        <f t="shared" si="216"/>
        <v>33</v>
      </c>
      <c r="Y123" s="144" t="str">
        <f>IFERROR(VLOOKUP(MID(T123,W123,X123-W123),[5]skilldef!$C:$D,2,FALSE),"-") &amp; " / " &amp; IFERROR(VLOOKUP(MID(T123,U123,V123-U123),[5]skilldef!$A:$B,2,FALSE),"-")</f>
        <v>自分自身に / 状態異常耐性</v>
      </c>
      <c r="Z123" s="144" t="s">
        <v>450</v>
      </c>
      <c r="AA123" s="145" t="s">
        <v>447</v>
      </c>
      <c r="AB123" s="46"/>
    </row>
    <row r="124" spans="1:28" s="146" customFormat="1" ht="49" customHeight="1" x14ac:dyDescent="0.15">
      <c r="A124" s="48">
        <v>47012123</v>
      </c>
      <c r="B124" s="48" t="s">
        <v>463</v>
      </c>
      <c r="C124" s="46">
        <v>3</v>
      </c>
      <c r="D124" s="46" t="s">
        <v>128</v>
      </c>
      <c r="E124" s="144" t="s">
        <v>510</v>
      </c>
      <c r="F124" s="144" t="s">
        <v>567</v>
      </c>
      <c r="G124" s="144" t="str">
        <f t="shared" si="217"/>
        <v>[effect:enemy_message, val1:3.0, val2:2.6]</v>
      </c>
      <c r="H124" s="144">
        <f t="shared" si="204"/>
        <v>9</v>
      </c>
      <c r="I124" s="144">
        <f t="shared" si="205"/>
        <v>22</v>
      </c>
      <c r="J124" s="144" t="e">
        <f t="shared" si="206"/>
        <v>#VALUE!</v>
      </c>
      <c r="K124" s="144">
        <f t="shared" si="207"/>
        <v>32</v>
      </c>
      <c r="L124" s="144" t="str">
        <f>IFERROR(VLOOKUP(MID(G124,J124,K124-J124),[5]skilldef!$C:$D,2,FALSE),"-") &amp; " / " &amp; IFERROR(VLOOKUP(MID(G124,H124,I124-H124),[5]skilldef!$A:$B,2,FALSE),"-")</f>
        <v>- / -</v>
      </c>
      <c r="M124" s="144" t="str">
        <f t="shared" si="218"/>
        <v>[effect:fix_speed, target:myself, turn:1],[effect:tolerance, target:myself, turn:-1, count:-1, tolerance_effect:all, animation:enemy_tolerance],[effect:change_bomb_range, target:unit_all, val:0.7, rate:1, turn:-1, animation:bomb_small]</v>
      </c>
      <c r="N124" s="48" t="str">
        <f>IFERROR(LEFT(M124,FIND("],",M124)+S133),M124)</f>
        <v>[effect:fix_speed, target:myself, turn:1],[effect:tolerance, target:myself, turn:-1, count:-1, tolerance_effect:all, animation:enemy_tolerance],[effect:change_bomb_range, target:unit_all, val:0.7, rate:1, turn:-1, animation:bomb_small]</v>
      </c>
      <c r="O124" s="144">
        <f t="shared" si="208"/>
        <v>9</v>
      </c>
      <c r="P124" s="144">
        <f t="shared" si="209"/>
        <v>18</v>
      </c>
      <c r="Q124" s="144">
        <f t="shared" si="210"/>
        <v>27</v>
      </c>
      <c r="R124" s="144">
        <f t="shared" si="211"/>
        <v>33</v>
      </c>
      <c r="S124" s="144" t="str">
        <f>IFERROR(VLOOKUP(MID(N124,Q124,R124-Q124),[5]skilldef!$C:$D,2,FALSE),"-") &amp; " / " &amp; IFERROR(VLOOKUP(MID(N124,O124,P124-O124),[5]skilldef!$A:$B,2,FALSE),"-")</f>
        <v>自分自身に / 行動値設定</v>
      </c>
      <c r="T124" s="48" t="str">
        <f t="shared" si="212"/>
        <v>[effect:tolerance, target:myself, turn:-1, count:-1, tolerance_effect:all, animation:enemy_tolerance],[effect:change_bomb_range, target:unit_all, val:0.7, rate:1, turn:-1, animation:bomb_small]</v>
      </c>
      <c r="U124" s="144">
        <f t="shared" si="213"/>
        <v>9</v>
      </c>
      <c r="V124" s="144">
        <f t="shared" si="214"/>
        <v>18</v>
      </c>
      <c r="W124" s="144">
        <f t="shared" si="215"/>
        <v>27</v>
      </c>
      <c r="X124" s="144">
        <f t="shared" si="216"/>
        <v>33</v>
      </c>
      <c r="Y124" s="144" t="str">
        <f>IFERROR(VLOOKUP(MID(T124,W124,X124-W124),[5]skilldef!$C:$D,2,FALSE),"-") &amp; " / " &amp; IFERROR(VLOOKUP(MID(T124,U124,V124-U124),[5]skilldef!$A:$B,2,FALSE),"-")</f>
        <v>自分自身に / 状態異常耐性</v>
      </c>
      <c r="Z124" s="144" t="s">
        <v>451</v>
      </c>
      <c r="AA124" s="145" t="s">
        <v>456</v>
      </c>
      <c r="AB124" s="46"/>
    </row>
    <row r="125" spans="1:28" s="126" customFormat="1" ht="42" customHeight="1" x14ac:dyDescent="0.15">
      <c r="A125" s="122">
        <v>47012124</v>
      </c>
      <c r="B125" s="122" t="s">
        <v>653</v>
      </c>
      <c r="C125" s="123">
        <v>3</v>
      </c>
      <c r="D125" s="123" t="s">
        <v>128</v>
      </c>
      <c r="E125" s="124" t="s">
        <v>503</v>
      </c>
      <c r="F125" s="124" t="s">
        <v>662</v>
      </c>
      <c r="G125" s="124" t="str">
        <f t="shared" si="217"/>
        <v>[effect:enemy_message, val1:2.5, val2:3.9]</v>
      </c>
      <c r="H125" s="124">
        <f t="shared" ref="H125" si="220">FIND("effect:",G125)+7</f>
        <v>9</v>
      </c>
      <c r="I125" s="124">
        <f t="shared" ref="I125" si="221">IFERROR(FIND(",",G125),LEN(G125))</f>
        <v>22</v>
      </c>
      <c r="J125" s="124" t="e">
        <f t="shared" ref="J125" si="222">FIND("target:",G125)+7</f>
        <v>#VALUE!</v>
      </c>
      <c r="K125" s="124">
        <f t="shared" ref="K125" si="223">FIND(",",G125,I125+1)</f>
        <v>32</v>
      </c>
      <c r="L125" s="124" t="str">
        <f>IFERROR(VLOOKUP(MID(G125,J125,K125-J125),[5]skilldef!$C:$D,2,FALSE),"-") &amp; " / " &amp; IFERROR(VLOOKUP(MID(G125,H125,I125-H125),[5]skilldef!$A:$B,2,FALSE),"-")</f>
        <v>- / -</v>
      </c>
      <c r="M125" s="12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25" s="122" t="str">
        <f>IFERROR(LEFT(M125,FIND("],",M125)+S135),M125)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25" s="124">
        <f t="shared" ref="O125" si="224">FIND("effect:",N125)+7</f>
        <v>9</v>
      </c>
      <c r="P125" s="124">
        <f t="shared" ref="P125" si="225">IFERROR(FIND(",",N125),LEN(N125))</f>
        <v>18</v>
      </c>
      <c r="Q125" s="124">
        <f t="shared" ref="Q125" si="226">FIND("target:",N125)+7</f>
        <v>27</v>
      </c>
      <c r="R125" s="124">
        <f t="shared" ref="R125" si="227">FIND(",",N125,P125+1)</f>
        <v>33</v>
      </c>
      <c r="S125" s="124" t="str">
        <f>IFERROR(VLOOKUP(MID(N125,Q125,R125-Q125),[5]skilldef!$C:$D,2,FALSE),"-") &amp; " / " &amp; IFERROR(VLOOKUP(MID(N125,O125,P125-O125),[5]skilldef!$A:$B,2,FALSE),"-")</f>
        <v>自分自身に / 行動値設定</v>
      </c>
      <c r="T125" s="122" t="str">
        <f t="shared" ref="T125" si="228">IFERROR(RIGHT(M125,LEN(M125)-FIND("],",M125)-1),"none")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25" s="124">
        <f t="shared" ref="U125" si="229">FIND("effect:",T125)+7</f>
        <v>9</v>
      </c>
      <c r="V125" s="124">
        <f t="shared" ref="V125" si="230">IFERROR(FIND(",",T125),LEN(T125))</f>
        <v>18</v>
      </c>
      <c r="W125" s="124">
        <f t="shared" ref="W125" si="231">FIND("target:",T125)+7</f>
        <v>27</v>
      </c>
      <c r="X125" s="124">
        <f t="shared" ref="X125" si="232">FIND(",",T125,V125+1)</f>
        <v>33</v>
      </c>
      <c r="Y125" s="124" t="str">
        <f>IFERROR(VLOOKUP(MID(T125,W125,X125-W125),[5]skilldef!$C:$D,2,FALSE),"-") &amp; " / " &amp; IFERROR(VLOOKUP(MID(T125,U125,V125-U125),[5]skilldef!$A:$B,2,FALSE),"-")</f>
        <v>自分自身に / 状態異常耐性</v>
      </c>
      <c r="Z125" s="124" t="s">
        <v>402</v>
      </c>
      <c r="AA125" s="125"/>
      <c r="AB125" s="123"/>
    </row>
    <row r="126" spans="1:28" s="126" customFormat="1" ht="40" customHeight="1" x14ac:dyDescent="0.15">
      <c r="A126" s="122">
        <v>47012125</v>
      </c>
      <c r="B126" s="122" t="s">
        <v>654</v>
      </c>
      <c r="C126" s="123">
        <v>3</v>
      </c>
      <c r="D126" s="123" t="s">
        <v>128</v>
      </c>
      <c r="E126" s="124" t="s">
        <v>503</v>
      </c>
      <c r="F126" s="124" t="s">
        <v>662</v>
      </c>
      <c r="G126" s="124" t="str">
        <f t="shared" si="217"/>
        <v>[effect:enemy_message, val1:2.5, val2:3.9]</v>
      </c>
      <c r="H126" s="124">
        <f t="shared" ref="H126:H132" si="233">FIND("effect:",G126)+7</f>
        <v>9</v>
      </c>
      <c r="I126" s="124">
        <f t="shared" ref="I126:I132" si="234">IFERROR(FIND(",",G126),LEN(G126))</f>
        <v>22</v>
      </c>
      <c r="J126" s="124" t="e">
        <f t="shared" ref="J126:J132" si="235">FIND("target:",G126)+7</f>
        <v>#VALUE!</v>
      </c>
      <c r="K126" s="124">
        <f t="shared" ref="K126:K132" si="236">FIND(",",G126,I126+1)</f>
        <v>32</v>
      </c>
      <c r="L126" s="124" t="str">
        <f>IFERROR(VLOOKUP(MID(G126,J126,K126-J126),[5]skilldef!$C:$D,2,FALSE),"-") &amp; " / " &amp; IFERROR(VLOOKUP(MID(G126,H126,I126-H126),[5]skilldef!$A:$B,2,FALSE),"-")</f>
        <v>- / -</v>
      </c>
      <c r="M126" s="12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26" s="122" t="str">
        <f>IFERROR(LEFT(M126,FIND("],",M126)+S136),M126)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26" s="124">
        <f t="shared" ref="O126:O132" si="237">FIND("effect:",N126)+7</f>
        <v>9</v>
      </c>
      <c r="P126" s="124">
        <f t="shared" ref="P126:P132" si="238">IFERROR(FIND(",",N126),LEN(N126))</f>
        <v>18</v>
      </c>
      <c r="Q126" s="124">
        <f t="shared" ref="Q126:Q132" si="239">FIND("target:",N126)+7</f>
        <v>27</v>
      </c>
      <c r="R126" s="124">
        <f t="shared" ref="R126:R132" si="240">FIND(",",N126,P126+1)</f>
        <v>33</v>
      </c>
      <c r="S126" s="124" t="str">
        <f>IFERROR(VLOOKUP(MID(N126,Q126,R126-Q126),[5]skilldef!$C:$D,2,FALSE),"-") &amp; " / " &amp; IFERROR(VLOOKUP(MID(N126,O126,P126-O126),[5]skilldef!$A:$B,2,FALSE),"-")</f>
        <v>自分自身に / 行動値設定</v>
      </c>
      <c r="T126" s="122" t="str">
        <f t="shared" ref="T126:T132" si="241">IFERROR(RIGHT(M126,LEN(M126)-FIND("],",M126)-1),"none")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26" s="124">
        <f t="shared" ref="U126:U132" si="242">FIND("effect:",T126)+7</f>
        <v>9</v>
      </c>
      <c r="V126" s="124">
        <f t="shared" ref="V126:V132" si="243">IFERROR(FIND(",",T126),LEN(T126))</f>
        <v>18</v>
      </c>
      <c r="W126" s="124">
        <f t="shared" ref="W126:W132" si="244">FIND("target:",T126)+7</f>
        <v>27</v>
      </c>
      <c r="X126" s="124">
        <f t="shared" ref="X126:X132" si="245">FIND(",",T126,V126+1)</f>
        <v>33</v>
      </c>
      <c r="Y126" s="124" t="str">
        <f>IFERROR(VLOOKUP(MID(T126,W126,X126-W126),[5]skilldef!$C:$D,2,FALSE),"-") &amp; " / " &amp; IFERROR(VLOOKUP(MID(T126,U126,V126-U126),[5]skilldef!$A:$B,2,FALSE),"-")</f>
        <v>自分自身に / 状態異常耐性</v>
      </c>
      <c r="Z126" s="124" t="s">
        <v>404</v>
      </c>
      <c r="AA126" s="125"/>
      <c r="AB126" s="123"/>
    </row>
    <row r="127" spans="1:28" s="126" customFormat="1" ht="42" customHeight="1" x14ac:dyDescent="0.15">
      <c r="A127" s="122">
        <v>47012126</v>
      </c>
      <c r="B127" s="122" t="s">
        <v>655</v>
      </c>
      <c r="C127" s="123">
        <v>3</v>
      </c>
      <c r="D127" s="123" t="s">
        <v>128</v>
      </c>
      <c r="E127" s="124" t="s">
        <v>505</v>
      </c>
      <c r="F127" s="124" t="s">
        <v>662</v>
      </c>
      <c r="G127" s="124" t="str">
        <f t="shared" si="217"/>
        <v>[effect:enemy_message, val1:2.9, val2:3.9]</v>
      </c>
      <c r="H127" s="124">
        <f t="shared" si="233"/>
        <v>9</v>
      </c>
      <c r="I127" s="124">
        <f t="shared" si="234"/>
        <v>22</v>
      </c>
      <c r="J127" s="124" t="e">
        <f t="shared" si="235"/>
        <v>#VALUE!</v>
      </c>
      <c r="K127" s="124">
        <f t="shared" si="236"/>
        <v>32</v>
      </c>
      <c r="L127" s="124" t="str">
        <f>IFERROR(VLOOKUP(MID(G127,J127,K127-J127),[5]skilldef!$C:$D,2,FALSE),"-") &amp; " / " &amp; IFERROR(VLOOKUP(MID(G127,H127,I127-H127),[5]skilldef!$A:$B,2,FALSE),"-")</f>
        <v>- / -</v>
      </c>
      <c r="M127" s="12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27" s="122" t="str">
        <f>IFERROR(LEFT(M127,FIND("],",M127)+S137),M127)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27" s="124">
        <f t="shared" si="237"/>
        <v>9</v>
      </c>
      <c r="P127" s="124">
        <f t="shared" si="238"/>
        <v>18</v>
      </c>
      <c r="Q127" s="124">
        <f t="shared" si="239"/>
        <v>27</v>
      </c>
      <c r="R127" s="124">
        <f t="shared" si="240"/>
        <v>33</v>
      </c>
      <c r="S127" s="124" t="str">
        <f>IFERROR(VLOOKUP(MID(N127,Q127,R127-Q127),[5]skilldef!$C:$D,2,FALSE),"-") &amp; " / " &amp; IFERROR(VLOOKUP(MID(N127,O127,P127-O127),[5]skilldef!$A:$B,2,FALSE),"-")</f>
        <v>自分自身に / 行動値設定</v>
      </c>
      <c r="T127" s="122" t="str">
        <f t="shared" si="241"/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27" s="124">
        <f t="shared" si="242"/>
        <v>9</v>
      </c>
      <c r="V127" s="124">
        <f t="shared" si="243"/>
        <v>18</v>
      </c>
      <c r="W127" s="124">
        <f t="shared" si="244"/>
        <v>27</v>
      </c>
      <c r="X127" s="124">
        <f t="shared" si="245"/>
        <v>33</v>
      </c>
      <c r="Y127" s="124" t="str">
        <f>IFERROR(VLOOKUP(MID(T127,W127,X127-W127),[5]skilldef!$C:$D,2,FALSE),"-") &amp; " / " &amp; IFERROR(VLOOKUP(MID(T127,U127,V127-U127),[5]skilldef!$A:$B,2,FALSE),"-")</f>
        <v>自分自身に / 状態異常耐性</v>
      </c>
      <c r="Z127" s="124" t="s">
        <v>401</v>
      </c>
      <c r="AA127" s="125"/>
      <c r="AB127" s="123"/>
    </row>
    <row r="128" spans="1:28" s="126" customFormat="1" ht="49" customHeight="1" x14ac:dyDescent="0.15">
      <c r="A128" s="122">
        <v>47012127</v>
      </c>
      <c r="B128" s="122" t="s">
        <v>656</v>
      </c>
      <c r="C128" s="123">
        <v>3</v>
      </c>
      <c r="D128" s="123" t="s">
        <v>458</v>
      </c>
      <c r="E128" s="124" t="s">
        <v>505</v>
      </c>
      <c r="F128" s="124" t="s">
        <v>662</v>
      </c>
      <c r="G128" s="124" t="str">
        <f t="shared" si="217"/>
        <v>[effect:enemy_message, val1:2.9, val2:3.9]</v>
      </c>
      <c r="H128" s="124">
        <f t="shared" ref="H128" si="246">FIND("effect:",G128)+7</f>
        <v>9</v>
      </c>
      <c r="I128" s="124">
        <f t="shared" ref="I128" si="247">IFERROR(FIND(",",G128),LEN(G128))</f>
        <v>22</v>
      </c>
      <c r="J128" s="124" t="e">
        <f t="shared" ref="J128" si="248">FIND("target:",G128)+7</f>
        <v>#VALUE!</v>
      </c>
      <c r="K128" s="124">
        <f t="shared" ref="K128" si="249">FIND(",",G128,I128+1)</f>
        <v>32</v>
      </c>
      <c r="L128" s="124" t="str">
        <f>IFERROR(VLOOKUP(MID(G128,J128,K128-J128),[5]skilldef!$C:$D,2,FALSE),"-") &amp; " / " &amp; IFERROR(VLOOKUP(MID(G128,H128,I128-H128),[5]skilldef!$A:$B,2,FALSE),"-")</f>
        <v>- / -</v>
      </c>
      <c r="M128" s="12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28" s="122" t="str">
        <f>IFERROR(LEFT(M128,FIND("],",M128)+S138),M128)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28" s="124">
        <f t="shared" ref="O128" si="250">FIND("effect:",N128)+7</f>
        <v>9</v>
      </c>
      <c r="P128" s="124">
        <f t="shared" ref="P128" si="251">IFERROR(FIND(",",N128),LEN(N128))</f>
        <v>18</v>
      </c>
      <c r="Q128" s="124">
        <f t="shared" ref="Q128" si="252">FIND("target:",N128)+7</f>
        <v>27</v>
      </c>
      <c r="R128" s="124">
        <f t="shared" ref="R128" si="253">FIND(",",N128,P128+1)</f>
        <v>33</v>
      </c>
      <c r="S128" s="124" t="str">
        <f>IFERROR(VLOOKUP(MID(N128,Q128,R128-Q128),[5]skilldef!$C:$D,2,FALSE),"-") &amp; " / " &amp; IFERROR(VLOOKUP(MID(N128,O128,P128-O128),[5]skilldef!$A:$B,2,FALSE),"-")</f>
        <v>自分自身に / 行動値設定</v>
      </c>
      <c r="T128" s="122" t="str">
        <f t="shared" ref="T128" si="254">IFERROR(RIGHT(M128,LEN(M128)-FIND("],",M128)-1),"none")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28" s="124">
        <f t="shared" ref="U128" si="255">FIND("effect:",T128)+7</f>
        <v>9</v>
      </c>
      <c r="V128" s="124">
        <f t="shared" ref="V128" si="256">IFERROR(FIND(",",T128),LEN(T128))</f>
        <v>18</v>
      </c>
      <c r="W128" s="124">
        <f t="shared" ref="W128" si="257">FIND("target:",T128)+7</f>
        <v>27</v>
      </c>
      <c r="X128" s="124">
        <f t="shared" ref="X128" si="258">FIND(",",T128,V128+1)</f>
        <v>33</v>
      </c>
      <c r="Y128" s="124" t="str">
        <f>IFERROR(VLOOKUP(MID(T128,W128,X128-W128),[5]skilldef!$C:$D,2,FALSE),"-") &amp; " / " &amp; IFERROR(VLOOKUP(MID(T128,U128,V128-U128),[5]skilldef!$A:$B,2,FALSE),"-")</f>
        <v>自分自身に / 状態異常耐性</v>
      </c>
      <c r="Z128" s="124" t="s">
        <v>403</v>
      </c>
      <c r="AA128" s="125"/>
      <c r="AB128" s="123"/>
    </row>
    <row r="129" spans="1:28" s="126" customFormat="1" ht="49" customHeight="1" x14ac:dyDescent="0.15">
      <c r="A129" s="122">
        <v>47012128</v>
      </c>
      <c r="B129" s="122" t="s">
        <v>657</v>
      </c>
      <c r="C129" s="123">
        <v>3</v>
      </c>
      <c r="D129" s="123" t="s">
        <v>128</v>
      </c>
      <c r="E129" s="124" t="s">
        <v>507</v>
      </c>
      <c r="F129" s="124" t="s">
        <v>662</v>
      </c>
      <c r="G129" s="124" t="str">
        <f t="shared" si="217"/>
        <v>[effect:enemy_message, val1:2.7, val2:3.9]</v>
      </c>
      <c r="H129" s="124">
        <f t="shared" ref="H129" si="259">FIND("effect:",G129)+7</f>
        <v>9</v>
      </c>
      <c r="I129" s="124">
        <f t="shared" ref="I129" si="260">IFERROR(FIND(",",G129),LEN(G129))</f>
        <v>22</v>
      </c>
      <c r="J129" s="124" t="e">
        <f t="shared" ref="J129" si="261">FIND("target:",G129)+7</f>
        <v>#VALUE!</v>
      </c>
      <c r="K129" s="124">
        <f t="shared" ref="K129" si="262">FIND(",",G129,I129+1)</f>
        <v>32</v>
      </c>
      <c r="L129" s="124" t="str">
        <f>IFERROR(VLOOKUP(MID(G129,J129,K129-J129),[5]skilldef!$C:$D,2,FALSE),"-") &amp; " / " &amp; IFERROR(VLOOKUP(MID(G129,H129,I129-H129),[5]skilldef!$A:$B,2,FALSE),"-")</f>
        <v>- / -</v>
      </c>
      <c r="M129" s="124" t="str">
        <f t="shared" si="218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29" s="122" t="str">
        <f>IFERROR(LEFT(M129,FIND("],",M129)+#REF!),M129)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29" s="124">
        <f t="shared" ref="O129" si="263">FIND("effect:",N129)+7</f>
        <v>9</v>
      </c>
      <c r="P129" s="124">
        <f t="shared" ref="P129" si="264">IFERROR(FIND(",",N129),LEN(N129))</f>
        <v>18</v>
      </c>
      <c r="Q129" s="124">
        <f t="shared" ref="Q129" si="265">FIND("target:",N129)+7</f>
        <v>27</v>
      </c>
      <c r="R129" s="124">
        <f t="shared" ref="R129" si="266">FIND(",",N129,P129+1)</f>
        <v>33</v>
      </c>
      <c r="S129" s="124" t="str">
        <f>IFERROR(VLOOKUP(MID(N129,Q129,R129-Q129),[5]skilldef!$C:$D,2,FALSE),"-") &amp; " / " &amp; IFERROR(VLOOKUP(MID(N129,O129,P129-O129),[5]skilldef!$A:$B,2,FALSE),"-")</f>
        <v>自分自身に / 行動値設定</v>
      </c>
      <c r="T129" s="122" t="str">
        <f t="shared" ref="T129" si="267">IFERROR(RIGHT(M129,LEN(M129)-FIND("],",M129)-1),"none")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29" s="124">
        <f t="shared" ref="U129" si="268">FIND("effect:",T129)+7</f>
        <v>9</v>
      </c>
      <c r="V129" s="124">
        <f t="shared" ref="V129" si="269">IFERROR(FIND(",",T129),LEN(T129))</f>
        <v>18</v>
      </c>
      <c r="W129" s="124">
        <f t="shared" ref="W129" si="270">FIND("target:",T129)+7</f>
        <v>27</v>
      </c>
      <c r="X129" s="124">
        <f t="shared" ref="X129" si="271">FIND(",",T129,V129+1)</f>
        <v>33</v>
      </c>
      <c r="Y129" s="124" t="str">
        <f>IFERROR(VLOOKUP(MID(T129,W129,X129-W129),[5]skilldef!$C:$D,2,FALSE),"-") &amp; " / " &amp; IFERROR(VLOOKUP(MID(T129,U129,V129-U129),[5]skilldef!$A:$B,2,FALSE),"-")</f>
        <v>自分自身に / 状態異常耐性</v>
      </c>
      <c r="Z129" s="124" t="s">
        <v>452</v>
      </c>
      <c r="AA129" s="125" t="s">
        <v>442</v>
      </c>
      <c r="AB129" s="123"/>
    </row>
    <row r="130" spans="1:28" s="126" customFormat="1" ht="49" customHeight="1" x14ac:dyDescent="0.15">
      <c r="A130" s="122">
        <v>47012129</v>
      </c>
      <c r="B130" s="122" t="s">
        <v>658</v>
      </c>
      <c r="C130" s="123">
        <v>3</v>
      </c>
      <c r="D130" s="123" t="s">
        <v>128</v>
      </c>
      <c r="E130" s="124" t="s">
        <v>509</v>
      </c>
      <c r="F130" s="124" t="s">
        <v>662</v>
      </c>
      <c r="G130" s="124" t="str">
        <f t="shared" ref="G130:G138" si="272">IFERROR(LEFT(B130,FIND("],",B130)),B130)</f>
        <v>[effect:enemy_message, val1:2.5, val2:3.9]</v>
      </c>
      <c r="H130" s="124">
        <f t="shared" ref="H130" si="273">FIND("effect:",G130)+7</f>
        <v>9</v>
      </c>
      <c r="I130" s="124">
        <f t="shared" ref="I130" si="274">IFERROR(FIND(",",G130),LEN(G130))</f>
        <v>22</v>
      </c>
      <c r="J130" s="124" t="e">
        <f t="shared" ref="J130" si="275">FIND("target:",G130)+7</f>
        <v>#VALUE!</v>
      </c>
      <c r="K130" s="124">
        <f t="shared" ref="K130" si="276">FIND(",",G130,I130+1)</f>
        <v>32</v>
      </c>
      <c r="L130" s="124" t="str">
        <f>IFERROR(VLOOKUP(MID(G130,J130,K130-J130),[5]skilldef!$C:$D,2,FALSE),"-") &amp; " / " &amp; IFERROR(VLOOKUP(MID(G130,H130,I130-H130),[5]skilldef!$A:$B,2,FALSE),"-")</f>
        <v>- / -</v>
      </c>
      <c r="M130" s="124" t="str">
        <f t="shared" ref="M130:M138" si="277">IFERROR(RIGHT(B130,LEN(B130)-FIND("],",B130)-1),"none")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30" s="122" t="str">
        <f>IFERROR(LEFT(M130,FIND("],",M130)+#REF!),M130)</f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O130" s="124">
        <f t="shared" ref="O130" si="278">FIND("effect:",N130)+7</f>
        <v>9</v>
      </c>
      <c r="P130" s="124">
        <f t="shared" ref="P130" si="279">IFERROR(FIND(",",N130),LEN(N130))</f>
        <v>18</v>
      </c>
      <c r="Q130" s="124">
        <f t="shared" ref="Q130" si="280">FIND("target:",N130)+7</f>
        <v>27</v>
      </c>
      <c r="R130" s="124">
        <f t="shared" ref="R130" si="281">FIND(",",N130,P130+1)</f>
        <v>33</v>
      </c>
      <c r="S130" s="124" t="str">
        <f>IFERROR(VLOOKUP(MID(N130,Q130,R130-Q130),[5]skilldef!$C:$D,2,FALSE),"-") &amp; " / " &amp; IFERROR(VLOOKUP(MID(N130,O130,P130-O130),[5]skilldef!$A:$B,2,FALSE),"-")</f>
        <v>自分自身に / 行動値設定</v>
      </c>
      <c r="T130" s="122" t="str">
        <f t="shared" ref="T130" si="282">IFERROR(RIGHT(M130,LEN(M130)-FIND("],",M130)-1),"none")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30" s="124">
        <f t="shared" ref="U130" si="283">FIND("effect:",T130)+7</f>
        <v>9</v>
      </c>
      <c r="V130" s="124">
        <f t="shared" ref="V130" si="284">IFERROR(FIND(",",T130),LEN(T130))</f>
        <v>18</v>
      </c>
      <c r="W130" s="124">
        <f t="shared" ref="W130" si="285">FIND("target:",T130)+7</f>
        <v>27</v>
      </c>
      <c r="X130" s="124">
        <f t="shared" ref="X130" si="286">FIND(",",T130,V130+1)</f>
        <v>33</v>
      </c>
      <c r="Y130" s="124" t="str">
        <f>IFERROR(VLOOKUP(MID(T130,W130,X130-W130),[5]skilldef!$C:$D,2,FALSE),"-") &amp; " / " &amp; IFERROR(VLOOKUP(MID(T130,U130,V130-U130),[5]skilldef!$A:$B,2,FALSE),"-")</f>
        <v>自分自身に / 状態異常耐性</v>
      </c>
      <c r="Z130" s="124" t="s">
        <v>450</v>
      </c>
      <c r="AA130" s="125" t="s">
        <v>455</v>
      </c>
      <c r="AB130" s="123"/>
    </row>
    <row r="131" spans="1:28" s="126" customFormat="1" ht="49" customHeight="1" x14ac:dyDescent="0.15">
      <c r="A131" s="122">
        <v>47012130</v>
      </c>
      <c r="B131" s="122" t="s">
        <v>659</v>
      </c>
      <c r="C131" s="123">
        <v>3</v>
      </c>
      <c r="D131" s="123" t="s">
        <v>128</v>
      </c>
      <c r="E131" s="124" t="s">
        <v>511</v>
      </c>
      <c r="F131" s="124" t="s">
        <v>662</v>
      </c>
      <c r="G131" s="124" t="str">
        <f t="shared" si="272"/>
        <v>[effect:enemy_message, val1:3.0, val2:3.9]</v>
      </c>
      <c r="H131" s="124">
        <f t="shared" ref="H131" si="287">FIND("effect:",G131)+7</f>
        <v>9</v>
      </c>
      <c r="I131" s="124">
        <f t="shared" ref="I131" si="288">IFERROR(FIND(",",G131),LEN(G131))</f>
        <v>22</v>
      </c>
      <c r="J131" s="124" t="e">
        <f t="shared" ref="J131" si="289">FIND("target:",G131)+7</f>
        <v>#VALUE!</v>
      </c>
      <c r="K131" s="124">
        <f t="shared" ref="K131" si="290">FIND(",",G131,I131+1)</f>
        <v>32</v>
      </c>
      <c r="L131" s="124" t="str">
        <f>IFERROR(VLOOKUP(MID(G131,J131,K131-J131),[5]skilldef!$C:$D,2,FALSE),"-") &amp; " / " &amp; IFERROR(VLOOKUP(MID(G131,H131,I131-H131),[5]skilldef!$A:$B,2,FALSE),"-")</f>
        <v>- / -</v>
      </c>
      <c r="M131" s="124" t="str">
        <f t="shared" si="277"/>
        <v>[effect:fix_speed, target:myself, turn:1],[effect:tolerance,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N131" s="122" t="str">
        <f>IFERROR(LEFT(M131,FIND("],",M131)+S139),M131)</f>
        <v>[effect:fix_speed, target:myself, turn:1]</v>
      </c>
      <c r="O131" s="124">
        <f t="shared" ref="O131" si="291">FIND("effect:",N131)+7</f>
        <v>9</v>
      </c>
      <c r="P131" s="124">
        <f t="shared" ref="P131" si="292">IFERROR(FIND(",",N131),LEN(N131))</f>
        <v>18</v>
      </c>
      <c r="Q131" s="124">
        <f t="shared" ref="Q131" si="293">FIND("target:",N131)+7</f>
        <v>27</v>
      </c>
      <c r="R131" s="124">
        <f t="shared" ref="R131" si="294">FIND(",",N131,P131+1)</f>
        <v>33</v>
      </c>
      <c r="S131" s="124" t="str">
        <f>IFERROR(VLOOKUP(MID(N131,Q131,R131-Q131),[5]skilldef!$C:$D,2,FALSE),"-") &amp; " / " &amp; IFERROR(VLOOKUP(MID(N131,O131,P131-O131),[5]skilldef!$A:$B,2,FALSE),"-")</f>
        <v>自分自身に / 行動値設定</v>
      </c>
      <c r="T131" s="122" t="str">
        <f t="shared" ref="T131" si="295">IFERROR(RIGHT(M131,LEN(M131)-FIND("],",M131)-1),"none")</f>
        <v>[effect:tolerance, target:myself, turn:-1, count:-1, tolerance_effect:all, animation:enemy_tolerance],[effect:reduction, target:myself, reduction_target:enemy_red, turn:-1, val:0.5, animation:reduction_one01],[effect:change_bomb_range, target:unit_all, val:0.4, rate:1, turn:-1, animation:bomb_small]</v>
      </c>
      <c r="U131" s="124">
        <f t="shared" ref="U131" si="296">FIND("effect:",T131)+7</f>
        <v>9</v>
      </c>
      <c r="V131" s="124">
        <f t="shared" ref="V131" si="297">IFERROR(FIND(",",T131),LEN(T131))</f>
        <v>18</v>
      </c>
      <c r="W131" s="124">
        <f t="shared" ref="W131" si="298">FIND("target:",T131)+7</f>
        <v>27</v>
      </c>
      <c r="X131" s="124">
        <f t="shared" ref="X131" si="299">FIND(",",T131,V131+1)</f>
        <v>33</v>
      </c>
      <c r="Y131" s="124" t="str">
        <f>IFERROR(VLOOKUP(MID(T131,W131,X131-W131),[5]skilldef!$C:$D,2,FALSE),"-") &amp; " / " &amp; IFERROR(VLOOKUP(MID(T131,U131,V131-U131),[5]skilldef!$A:$B,2,FALSE),"-")</f>
        <v>自分自身に / 状態異常耐性</v>
      </c>
      <c r="Z131" s="124" t="s">
        <v>451</v>
      </c>
      <c r="AA131" s="125" t="s">
        <v>444</v>
      </c>
      <c r="AB131" s="123"/>
    </row>
    <row r="132" spans="1:28" s="136" customFormat="1" ht="42" x14ac:dyDescent="0.15">
      <c r="A132" s="132">
        <v>47012131</v>
      </c>
      <c r="B132" s="132" t="s">
        <v>574</v>
      </c>
      <c r="C132" s="133">
        <v>3</v>
      </c>
      <c r="D132" s="133" t="s">
        <v>128</v>
      </c>
      <c r="E132" s="134" t="s">
        <v>499</v>
      </c>
      <c r="F132" s="134" t="s">
        <v>500</v>
      </c>
      <c r="G132" s="134" t="str">
        <f t="shared" si="272"/>
        <v>[effect:enemy_message, val1:3.6, val2:5.0, dead_type:escape]</v>
      </c>
      <c r="H132" s="134">
        <f t="shared" si="233"/>
        <v>9</v>
      </c>
      <c r="I132" s="134">
        <f t="shared" si="234"/>
        <v>22</v>
      </c>
      <c r="J132" s="134" t="e">
        <f t="shared" si="235"/>
        <v>#VALUE!</v>
      </c>
      <c r="K132" s="134">
        <f t="shared" si="236"/>
        <v>32</v>
      </c>
      <c r="L132" s="134" t="str">
        <f>IFERROR(VLOOKUP(MID(G132,J132,K132-J132),[5]skilldef!$C:$D,2,FALSE),"-") &amp; " / " &amp; IFERROR(VLOOKUP(MID(G132,H132,I132-H132),[5]skilldef!$A:$B,2,FALSE),"-")</f>
        <v>- / -</v>
      </c>
      <c r="M132" s="134" t="str">
        <f t="shared" si="277"/>
        <v>none</v>
      </c>
      <c r="N132" s="132" t="str">
        <f t="shared" ref="N132" si="300">IFERROR(LEFT(M132,FIND("],",M132)+S137),M132)</f>
        <v>none</v>
      </c>
      <c r="O132" s="134" t="e">
        <f t="shared" si="237"/>
        <v>#VALUE!</v>
      </c>
      <c r="P132" s="134">
        <f t="shared" si="238"/>
        <v>4</v>
      </c>
      <c r="Q132" s="134" t="e">
        <f t="shared" si="239"/>
        <v>#VALUE!</v>
      </c>
      <c r="R132" s="134" t="e">
        <f t="shared" si="240"/>
        <v>#VALUE!</v>
      </c>
      <c r="S132" s="134" t="str">
        <f>IFERROR(VLOOKUP(MID(N132,Q132,R132-Q132),[5]skilldef!$C:$D,2,FALSE),"-") &amp; " / " &amp; IFERROR(VLOOKUP(MID(N132,O132,P132-O132),[5]skilldef!$A:$B,2,FALSE),"-")</f>
        <v>- / -</v>
      </c>
      <c r="T132" s="132" t="str">
        <f t="shared" si="241"/>
        <v>none</v>
      </c>
      <c r="U132" s="134" t="e">
        <f t="shared" si="242"/>
        <v>#VALUE!</v>
      </c>
      <c r="V132" s="134">
        <f t="shared" si="243"/>
        <v>4</v>
      </c>
      <c r="W132" s="134" t="e">
        <f t="shared" si="244"/>
        <v>#VALUE!</v>
      </c>
      <c r="X132" s="134" t="e">
        <f t="shared" si="245"/>
        <v>#VALUE!</v>
      </c>
      <c r="Y132" s="134" t="str">
        <f>IFERROR(VLOOKUP(MID(T132,W132,X132-W132),[5]skilldef!$C:$D,2,FALSE),"-") &amp; " / " &amp; IFERROR(VLOOKUP(MID(T132,U132,V132-U132),[5]skilldef!$A:$B,2,FALSE),"-")</f>
        <v>- / -</v>
      </c>
      <c r="Z132" s="134" t="s">
        <v>432</v>
      </c>
      <c r="AA132" s="135"/>
      <c r="AB132" s="133"/>
    </row>
    <row r="133" spans="1:28" s="136" customFormat="1" ht="47" customHeight="1" x14ac:dyDescent="0.15">
      <c r="A133" s="132">
        <v>47012132</v>
      </c>
      <c r="B133" s="132" t="s">
        <v>574</v>
      </c>
      <c r="C133" s="133">
        <v>3</v>
      </c>
      <c r="D133" s="133" t="s">
        <v>128</v>
      </c>
      <c r="E133" s="134" t="s">
        <v>499</v>
      </c>
      <c r="F133" s="134" t="s">
        <v>500</v>
      </c>
      <c r="G133" s="134" t="str">
        <f t="shared" si="272"/>
        <v>[effect:enemy_message, val1:3.6, val2:5.0, dead_type:escape]</v>
      </c>
      <c r="H133" s="134">
        <f t="shared" ref="H133:H134" si="301">FIND("effect:",G133)+7</f>
        <v>9</v>
      </c>
      <c r="I133" s="134">
        <f t="shared" ref="I133:I134" si="302">IFERROR(FIND(",",G133),LEN(G133))</f>
        <v>22</v>
      </c>
      <c r="J133" s="134" t="e">
        <f t="shared" ref="J133:J134" si="303">FIND("target:",G133)+7</f>
        <v>#VALUE!</v>
      </c>
      <c r="K133" s="134">
        <f t="shared" ref="K133:K134" si="304">FIND(",",G133,I133+1)</f>
        <v>32</v>
      </c>
      <c r="L133" s="134" t="str">
        <f>IFERROR(VLOOKUP(MID(G133,J133,K133-J133),[5]skilldef!$C:$D,2,FALSE),"-") &amp; " / " &amp; IFERROR(VLOOKUP(MID(G133,H133,I133-H133),[5]skilldef!$A:$B,2,FALSE),"-")</f>
        <v>- / -</v>
      </c>
      <c r="M133" s="134" t="str">
        <f t="shared" si="277"/>
        <v>none</v>
      </c>
      <c r="N133" s="132" t="str">
        <f t="shared" ref="N133" si="305">IFERROR(LEFT(M133,FIND("],",M133)+S138),M133)</f>
        <v>none</v>
      </c>
      <c r="O133" s="134" t="e">
        <f t="shared" ref="O133:O134" si="306">FIND("effect:",N133)+7</f>
        <v>#VALUE!</v>
      </c>
      <c r="P133" s="134">
        <f t="shared" ref="P133:P134" si="307">IFERROR(FIND(",",N133),LEN(N133))</f>
        <v>4</v>
      </c>
      <c r="Q133" s="134" t="e">
        <f t="shared" ref="Q133:Q134" si="308">FIND("target:",N133)+7</f>
        <v>#VALUE!</v>
      </c>
      <c r="R133" s="134" t="e">
        <f t="shared" ref="R133:R134" si="309">FIND(",",N133,P133+1)</f>
        <v>#VALUE!</v>
      </c>
      <c r="S133" s="134" t="str">
        <f>IFERROR(VLOOKUP(MID(N133,Q133,R133-Q133),[5]skilldef!$C:$D,2,FALSE),"-") &amp; " / " &amp; IFERROR(VLOOKUP(MID(N133,O133,P133-O133),[5]skilldef!$A:$B,2,FALSE),"-")</f>
        <v>- / -</v>
      </c>
      <c r="T133" s="132" t="str">
        <f t="shared" ref="T133:T134" si="310">IFERROR(RIGHT(M133,LEN(M133)-FIND("],",M133)-1),"none")</f>
        <v>none</v>
      </c>
      <c r="U133" s="134" t="e">
        <f t="shared" ref="U133:U134" si="311">FIND("effect:",T133)+7</f>
        <v>#VALUE!</v>
      </c>
      <c r="V133" s="134">
        <f t="shared" ref="V133:V134" si="312">IFERROR(FIND(",",T133),LEN(T133))</f>
        <v>4</v>
      </c>
      <c r="W133" s="134" t="e">
        <f t="shared" ref="W133:W134" si="313">FIND("target:",T133)+7</f>
        <v>#VALUE!</v>
      </c>
      <c r="X133" s="134" t="e">
        <f t="shared" ref="X133:X134" si="314">FIND(",",T133,V133+1)</f>
        <v>#VALUE!</v>
      </c>
      <c r="Y133" s="134" t="str">
        <f>IFERROR(VLOOKUP(MID(T133,W133,X133-W133),[5]skilldef!$C:$D,2,FALSE),"-") &amp; " / " &amp; IFERROR(VLOOKUP(MID(T133,U133,V133-U133),[5]skilldef!$A:$B,2,FALSE),"-")</f>
        <v>- / -</v>
      </c>
      <c r="Z133" s="134" t="s">
        <v>433</v>
      </c>
      <c r="AA133" s="135"/>
      <c r="AB133" s="133"/>
    </row>
    <row r="134" spans="1:28" s="136" customFormat="1" ht="28" x14ac:dyDescent="0.15">
      <c r="A134" s="132">
        <v>47012133</v>
      </c>
      <c r="B134" s="132" t="s">
        <v>555</v>
      </c>
      <c r="C134" s="133">
        <v>3</v>
      </c>
      <c r="D134" s="133" t="s">
        <v>128</v>
      </c>
      <c r="E134" s="134" t="s">
        <v>472</v>
      </c>
      <c r="F134" s="134" t="s">
        <v>478</v>
      </c>
      <c r="G134" s="134" t="str">
        <f t="shared" si="272"/>
        <v>[effect:enemy_message, val1:3.6, val2:4.6, dead_type:escape]</v>
      </c>
      <c r="H134" s="134">
        <f t="shared" si="301"/>
        <v>9</v>
      </c>
      <c r="I134" s="134">
        <f t="shared" si="302"/>
        <v>22</v>
      </c>
      <c r="J134" s="134" t="e">
        <f t="shared" si="303"/>
        <v>#VALUE!</v>
      </c>
      <c r="K134" s="134">
        <f t="shared" si="304"/>
        <v>32</v>
      </c>
      <c r="L134" s="134" t="str">
        <f>IFERROR(VLOOKUP(MID(G134,J134,K134-J134),[5]skilldef!$C:$D,2,FALSE),"-") &amp; " / " &amp; IFERROR(VLOOKUP(MID(G134,H134,I134-H134),[5]skilldef!$A:$B,2,FALSE),"-")</f>
        <v>- / -</v>
      </c>
      <c r="M134" s="134" t="str">
        <f t="shared" si="277"/>
        <v>none</v>
      </c>
      <c r="N134" s="132" t="str">
        <f>IFERROR(LEFT(M134,FIND("],",M134)+#REF!),M134)</f>
        <v>none</v>
      </c>
      <c r="O134" s="134" t="e">
        <f t="shared" si="306"/>
        <v>#VALUE!</v>
      </c>
      <c r="P134" s="134">
        <f t="shared" si="307"/>
        <v>4</v>
      </c>
      <c r="Q134" s="134" t="e">
        <f t="shared" si="308"/>
        <v>#VALUE!</v>
      </c>
      <c r="R134" s="134" t="e">
        <f t="shared" si="309"/>
        <v>#VALUE!</v>
      </c>
      <c r="S134" s="134" t="str">
        <f>IFERROR(VLOOKUP(MID(N134,Q134,R134-Q134),[5]skilldef!$C:$D,2,FALSE),"-") &amp; " / " &amp; IFERROR(VLOOKUP(MID(N134,O134,P134-O134),[5]skilldef!$A:$B,2,FALSE),"-")</f>
        <v>- / -</v>
      </c>
      <c r="T134" s="132" t="str">
        <f t="shared" si="310"/>
        <v>none</v>
      </c>
      <c r="U134" s="134" t="e">
        <f t="shared" si="311"/>
        <v>#VALUE!</v>
      </c>
      <c r="V134" s="134">
        <f t="shared" si="312"/>
        <v>4</v>
      </c>
      <c r="W134" s="134" t="e">
        <f t="shared" si="313"/>
        <v>#VALUE!</v>
      </c>
      <c r="X134" s="134" t="e">
        <f t="shared" si="314"/>
        <v>#VALUE!</v>
      </c>
      <c r="Y134" s="134" t="str">
        <f>IFERROR(VLOOKUP(MID(T134,W134,X134-W134),[5]skilldef!$C:$D,2,FALSE),"-") &amp; " / " &amp; IFERROR(VLOOKUP(MID(T134,U134,V134-U134),[5]skilldef!$A:$B,2,FALSE),"-")</f>
        <v>- / -</v>
      </c>
      <c r="Z134" s="134" t="s">
        <v>434</v>
      </c>
      <c r="AA134" s="135"/>
      <c r="AB134" s="133"/>
    </row>
    <row r="135" spans="1:28" s="136" customFormat="1" ht="28" x14ac:dyDescent="0.15">
      <c r="A135" s="132">
        <v>47012134</v>
      </c>
      <c r="B135" s="132" t="s">
        <v>556</v>
      </c>
      <c r="C135" s="133">
        <v>3</v>
      </c>
      <c r="D135" s="133" t="s">
        <v>128</v>
      </c>
      <c r="E135" s="134" t="s">
        <v>472</v>
      </c>
      <c r="F135" s="134" t="s">
        <v>478</v>
      </c>
      <c r="G135" s="134" t="str">
        <f t="shared" si="272"/>
        <v>[effect:enemy_message, val1:3.6, val2:4.6, dead_type:escape]</v>
      </c>
      <c r="H135" s="134">
        <f t="shared" ref="H135" si="315">FIND("effect:",G135)+7</f>
        <v>9</v>
      </c>
      <c r="I135" s="134">
        <f t="shared" ref="I135" si="316">IFERROR(FIND(",",G135),LEN(G135))</f>
        <v>22</v>
      </c>
      <c r="J135" s="134" t="e">
        <f t="shared" ref="J135" si="317">FIND("target:",G135)+7</f>
        <v>#VALUE!</v>
      </c>
      <c r="K135" s="134">
        <f t="shared" ref="K135" si="318">FIND(",",G135,I135+1)</f>
        <v>32</v>
      </c>
      <c r="L135" s="134" t="str">
        <f>IFERROR(VLOOKUP(MID(G135,J135,K135-J135),[5]skilldef!$C:$D,2,FALSE),"-") &amp; " / " &amp; IFERROR(VLOOKUP(MID(G135,H135,I135-H135),[5]skilldef!$A:$B,2,FALSE),"-")</f>
        <v>- / -</v>
      </c>
      <c r="M135" s="134" t="str">
        <f t="shared" si="277"/>
        <v>none</v>
      </c>
      <c r="N135" s="132" t="str">
        <f>IFERROR(LEFT(M135,FIND("],",M135)+#REF!),M135)</f>
        <v>none</v>
      </c>
      <c r="O135" s="134" t="e">
        <f t="shared" ref="O135" si="319">FIND("effect:",N135)+7</f>
        <v>#VALUE!</v>
      </c>
      <c r="P135" s="134">
        <f t="shared" ref="P135" si="320">IFERROR(FIND(",",N135),LEN(N135))</f>
        <v>4</v>
      </c>
      <c r="Q135" s="134" t="e">
        <f t="shared" ref="Q135" si="321">FIND("target:",N135)+7</f>
        <v>#VALUE!</v>
      </c>
      <c r="R135" s="134" t="e">
        <f t="shared" ref="R135" si="322">FIND(",",N135,P135+1)</f>
        <v>#VALUE!</v>
      </c>
      <c r="S135" s="134" t="str">
        <f>IFERROR(VLOOKUP(MID(N135,Q135,R135-Q135),[5]skilldef!$C:$D,2,FALSE),"-") &amp; " / " &amp; IFERROR(VLOOKUP(MID(N135,O135,P135-O135),[5]skilldef!$A:$B,2,FALSE),"-")</f>
        <v>- / -</v>
      </c>
      <c r="T135" s="132" t="str">
        <f t="shared" ref="T135" si="323">IFERROR(RIGHT(M135,LEN(M135)-FIND("],",M135)-1),"none")</f>
        <v>none</v>
      </c>
      <c r="U135" s="134" t="e">
        <f t="shared" ref="U135" si="324">FIND("effect:",T135)+7</f>
        <v>#VALUE!</v>
      </c>
      <c r="V135" s="134">
        <f t="shared" ref="V135" si="325">IFERROR(FIND(",",T135),LEN(T135))</f>
        <v>4</v>
      </c>
      <c r="W135" s="134" t="e">
        <f t="shared" ref="W135" si="326">FIND("target:",T135)+7</f>
        <v>#VALUE!</v>
      </c>
      <c r="X135" s="134" t="e">
        <f t="shared" ref="X135" si="327">FIND(",",T135,V135+1)</f>
        <v>#VALUE!</v>
      </c>
      <c r="Y135" s="134" t="str">
        <f>IFERROR(VLOOKUP(MID(T135,W135,X135-W135),[5]skilldef!$C:$D,2,FALSE),"-") &amp; " / " &amp; IFERROR(VLOOKUP(MID(T135,U135,V135-U135),[5]skilldef!$A:$B,2,FALSE),"-")</f>
        <v>- / -</v>
      </c>
      <c r="Z135" s="134" t="s">
        <v>435</v>
      </c>
      <c r="AA135" s="135"/>
      <c r="AB135" s="133"/>
    </row>
    <row r="136" spans="1:28" s="136" customFormat="1" ht="30" customHeight="1" x14ac:dyDescent="0.15">
      <c r="A136" s="132">
        <v>47012135</v>
      </c>
      <c r="B136" s="132" t="s">
        <v>557</v>
      </c>
      <c r="C136" s="133">
        <v>3</v>
      </c>
      <c r="D136" s="133" t="s">
        <v>128</v>
      </c>
      <c r="E136" s="134" t="s">
        <v>474</v>
      </c>
      <c r="F136" s="134" t="s">
        <v>476</v>
      </c>
      <c r="G136" s="134" t="str">
        <f t="shared" si="272"/>
        <v>[effect:enemy_message, val1:3.0, val2:3.7, dead_type:escape]</v>
      </c>
      <c r="H136" s="134">
        <f t="shared" ref="H136" si="328">FIND("effect:",G136)+7</f>
        <v>9</v>
      </c>
      <c r="I136" s="134">
        <f t="shared" ref="I136" si="329">IFERROR(FIND(",",G136),LEN(G136))</f>
        <v>22</v>
      </c>
      <c r="J136" s="134" t="e">
        <f t="shared" ref="J136" si="330">FIND("target:",G136)+7</f>
        <v>#VALUE!</v>
      </c>
      <c r="K136" s="134">
        <f t="shared" ref="K136" si="331">FIND(",",G136,I136+1)</f>
        <v>32</v>
      </c>
      <c r="L136" s="134" t="str">
        <f>IFERROR(VLOOKUP(MID(G136,J136,K136-J136),[5]skilldef!$C:$D,2,FALSE),"-") &amp; " / " &amp; IFERROR(VLOOKUP(MID(G136,H136,I136-H136),[5]skilldef!$A:$B,2,FALSE),"-")</f>
        <v>- / -</v>
      </c>
      <c r="M136" s="134" t="str">
        <f t="shared" si="277"/>
        <v>none</v>
      </c>
      <c r="N136" s="132" t="str">
        <f>IFERROR(LEFT(M136,FIND("],",M136)+S139),M136)</f>
        <v>none</v>
      </c>
      <c r="O136" s="134" t="e">
        <f t="shared" ref="O136" si="332">FIND("effect:",N136)+7</f>
        <v>#VALUE!</v>
      </c>
      <c r="P136" s="134">
        <f t="shared" ref="P136" si="333">IFERROR(FIND(",",N136),LEN(N136))</f>
        <v>4</v>
      </c>
      <c r="Q136" s="134" t="e">
        <f t="shared" ref="Q136" si="334">FIND("target:",N136)+7</f>
        <v>#VALUE!</v>
      </c>
      <c r="R136" s="134" t="e">
        <f t="shared" ref="R136" si="335">FIND(",",N136,P136+1)</f>
        <v>#VALUE!</v>
      </c>
      <c r="S136" s="134" t="str">
        <f>IFERROR(VLOOKUP(MID(N136,Q136,R136-Q136),[5]skilldef!$C:$D,2,FALSE),"-") &amp; " / " &amp; IFERROR(VLOOKUP(MID(N136,O136,P136-O136),[5]skilldef!$A:$B,2,FALSE),"-")</f>
        <v>- / -</v>
      </c>
      <c r="T136" s="132" t="str">
        <f t="shared" ref="T136" si="336">IFERROR(RIGHT(M136,LEN(M136)-FIND("],",M136)-1),"none")</f>
        <v>none</v>
      </c>
      <c r="U136" s="134" t="e">
        <f t="shared" ref="U136" si="337">FIND("effect:",T136)+7</f>
        <v>#VALUE!</v>
      </c>
      <c r="V136" s="134">
        <f t="shared" ref="V136" si="338">IFERROR(FIND(",",T136),LEN(T136))</f>
        <v>4</v>
      </c>
      <c r="W136" s="134" t="e">
        <f t="shared" ref="W136" si="339">FIND("target:",T136)+7</f>
        <v>#VALUE!</v>
      </c>
      <c r="X136" s="134" t="e">
        <f t="shared" ref="X136" si="340">FIND(",",T136,V136+1)</f>
        <v>#VALUE!</v>
      </c>
      <c r="Y136" s="134" t="str">
        <f>IFERROR(VLOOKUP(MID(T136,W136,X136-W136),[5]skilldef!$C:$D,2,FALSE),"-") &amp; " / " &amp; IFERROR(VLOOKUP(MID(T136,U136,V136-U136),[5]skilldef!$A:$B,2,FALSE),"-")</f>
        <v>- / -</v>
      </c>
      <c r="Z136" s="134" t="s">
        <v>441</v>
      </c>
      <c r="AA136" s="135" t="s">
        <v>443</v>
      </c>
      <c r="AB136" s="133"/>
    </row>
    <row r="137" spans="1:28" s="136" customFormat="1" ht="42" x14ac:dyDescent="0.15">
      <c r="A137" s="132">
        <v>47012136</v>
      </c>
      <c r="B137" s="132" t="s">
        <v>554</v>
      </c>
      <c r="C137" s="133">
        <v>3</v>
      </c>
      <c r="D137" s="133" t="s">
        <v>128</v>
      </c>
      <c r="E137" s="134" t="s">
        <v>473</v>
      </c>
      <c r="F137" s="134" t="s">
        <v>477</v>
      </c>
      <c r="G137" s="134" t="str">
        <f t="shared" si="272"/>
        <v>[effect:enemy_message, val1:2.9, val2:5.0, dead_type:escape]</v>
      </c>
      <c r="H137" s="134">
        <f t="shared" ref="H137:H138" si="341">FIND("effect:",G137)+7</f>
        <v>9</v>
      </c>
      <c r="I137" s="134">
        <f t="shared" ref="I137:I138" si="342">IFERROR(FIND(",",G137),LEN(G137))</f>
        <v>22</v>
      </c>
      <c r="J137" s="134" t="e">
        <f t="shared" ref="J137:J138" si="343">FIND("target:",G137)+7</f>
        <v>#VALUE!</v>
      </c>
      <c r="K137" s="134">
        <f t="shared" ref="K137:K138" si="344">FIND(",",G137,I137+1)</f>
        <v>32</v>
      </c>
      <c r="L137" s="134" t="str">
        <f>IFERROR(VLOOKUP(MID(G137,J137,K137-J137),[5]skilldef!$C:$D,2,FALSE),"-") &amp; " / " &amp; IFERROR(VLOOKUP(MID(G137,H137,I137-H137),[5]skilldef!$A:$B,2,FALSE),"-")</f>
        <v>- / -</v>
      </c>
      <c r="M137" s="134" t="str">
        <f t="shared" si="277"/>
        <v>none</v>
      </c>
      <c r="N137" s="132" t="str">
        <f>IFERROR(LEFT(M137,FIND("],",M137)+S140),M137)</f>
        <v>none</v>
      </c>
      <c r="O137" s="134" t="e">
        <f t="shared" ref="O137:O138" si="345">FIND("effect:",N137)+7</f>
        <v>#VALUE!</v>
      </c>
      <c r="P137" s="134">
        <f t="shared" ref="P137:P138" si="346">IFERROR(FIND(",",N137),LEN(N137))</f>
        <v>4</v>
      </c>
      <c r="Q137" s="134" t="e">
        <f t="shared" ref="Q137:Q138" si="347">FIND("target:",N137)+7</f>
        <v>#VALUE!</v>
      </c>
      <c r="R137" s="134" t="e">
        <f t="shared" ref="R137:R138" si="348">FIND(",",N137,P137+1)</f>
        <v>#VALUE!</v>
      </c>
      <c r="S137" s="134" t="str">
        <f>IFERROR(VLOOKUP(MID(N137,Q137,R137-Q137),[5]skilldef!$C:$D,2,FALSE),"-") &amp; " / " &amp; IFERROR(VLOOKUP(MID(N137,O137,P137-O137),[5]skilldef!$A:$B,2,FALSE),"-")</f>
        <v>- / -</v>
      </c>
      <c r="T137" s="132" t="str">
        <f t="shared" ref="T137:T138" si="349">IFERROR(RIGHT(M137,LEN(M137)-FIND("],",M137)-1),"none")</f>
        <v>none</v>
      </c>
      <c r="U137" s="134" t="e">
        <f t="shared" ref="U137:U138" si="350">FIND("effect:",T137)+7</f>
        <v>#VALUE!</v>
      </c>
      <c r="V137" s="134">
        <f t="shared" ref="V137:V138" si="351">IFERROR(FIND(",",T137),LEN(T137))</f>
        <v>4</v>
      </c>
      <c r="W137" s="134" t="e">
        <f t="shared" ref="W137:W138" si="352">FIND("target:",T137)+7</f>
        <v>#VALUE!</v>
      </c>
      <c r="X137" s="134" t="e">
        <f t="shared" ref="X137:X138" si="353">FIND(",",T137,V137+1)</f>
        <v>#VALUE!</v>
      </c>
      <c r="Y137" s="134" t="str">
        <f>IFERROR(VLOOKUP(MID(T137,W137,X137-W137),[5]skilldef!$C:$D,2,FALSE),"-") &amp; " / " &amp; IFERROR(VLOOKUP(MID(T137,U137,V137-U137),[5]skilldef!$A:$B,2,FALSE),"-")</f>
        <v>- / -</v>
      </c>
      <c r="Z137" s="134" t="s">
        <v>449</v>
      </c>
      <c r="AA137" s="135" t="s">
        <v>448</v>
      </c>
      <c r="AB137" s="133"/>
    </row>
    <row r="138" spans="1:28" s="136" customFormat="1" ht="42" x14ac:dyDescent="0.15">
      <c r="A138" s="132">
        <v>47012137</v>
      </c>
      <c r="B138" s="132" t="s">
        <v>558</v>
      </c>
      <c r="C138" s="133">
        <v>3</v>
      </c>
      <c r="D138" s="133" t="s">
        <v>128</v>
      </c>
      <c r="E138" s="134" t="s">
        <v>475</v>
      </c>
      <c r="F138" s="134" t="s">
        <v>479</v>
      </c>
      <c r="G138" s="134" t="str">
        <f t="shared" si="272"/>
        <v>[effect:enemy_message, val1:2.9, val2:5.0, dead_type:escape]</v>
      </c>
      <c r="H138" s="134">
        <f t="shared" si="341"/>
        <v>9</v>
      </c>
      <c r="I138" s="134">
        <f t="shared" si="342"/>
        <v>22</v>
      </c>
      <c r="J138" s="134" t="e">
        <f t="shared" si="343"/>
        <v>#VALUE!</v>
      </c>
      <c r="K138" s="134">
        <f t="shared" si="344"/>
        <v>32</v>
      </c>
      <c r="L138" s="134" t="str">
        <f>IFERROR(VLOOKUP(MID(G138,J138,K138-J138),[5]skilldef!$C:$D,2,FALSE),"-") &amp; " / " &amp; IFERROR(VLOOKUP(MID(G138,H138,I138-H138),[5]skilldef!$A:$B,2,FALSE),"-")</f>
        <v>- / -</v>
      </c>
      <c r="M138" s="134" t="str">
        <f t="shared" si="277"/>
        <v>none</v>
      </c>
      <c r="N138" s="132" t="str">
        <f>IFERROR(LEFT(M138,FIND("],",M138)+S141),M138)</f>
        <v>none</v>
      </c>
      <c r="O138" s="134" t="e">
        <f t="shared" si="345"/>
        <v>#VALUE!</v>
      </c>
      <c r="P138" s="134">
        <f t="shared" si="346"/>
        <v>4</v>
      </c>
      <c r="Q138" s="134" t="e">
        <f t="shared" si="347"/>
        <v>#VALUE!</v>
      </c>
      <c r="R138" s="134" t="e">
        <f t="shared" si="348"/>
        <v>#VALUE!</v>
      </c>
      <c r="S138" s="134" t="str">
        <f>IFERROR(VLOOKUP(MID(N138,Q138,R138-Q138),[5]skilldef!$C:$D,2,FALSE),"-") &amp; " / " &amp; IFERROR(VLOOKUP(MID(N138,O138,P138-O138),[5]skilldef!$A:$B,2,FALSE),"-")</f>
        <v>- / -</v>
      </c>
      <c r="T138" s="132" t="str">
        <f t="shared" si="349"/>
        <v>none</v>
      </c>
      <c r="U138" s="134" t="e">
        <f t="shared" si="350"/>
        <v>#VALUE!</v>
      </c>
      <c r="V138" s="134">
        <f t="shared" si="351"/>
        <v>4</v>
      </c>
      <c r="W138" s="134" t="e">
        <f t="shared" si="352"/>
        <v>#VALUE!</v>
      </c>
      <c r="X138" s="134" t="e">
        <f t="shared" si="353"/>
        <v>#VALUE!</v>
      </c>
      <c r="Y138" s="134" t="str">
        <f>IFERROR(VLOOKUP(MID(T138,W138,X138-W138),[5]skilldef!$C:$D,2,FALSE),"-") &amp; " / " &amp; IFERROR(VLOOKUP(MID(T138,U138,V138-U138),[5]skilldef!$A:$B,2,FALSE),"-")</f>
        <v>- / -</v>
      </c>
      <c r="Z138" s="134" t="s">
        <v>446</v>
      </c>
      <c r="AA138" s="135" t="s">
        <v>445</v>
      </c>
      <c r="AB138" s="133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38"/>
  <sheetViews>
    <sheetView showGridLines="0" workbookViewId="0">
      <pane ySplit="1" topLeftCell="A125" activePane="bottomLeft" state="frozenSplit"/>
      <selection pane="bottomLeft" activeCell="E12" sqref="E1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19.5" style="45" customWidth="1"/>
    <col min="13" max="13" width="37.1640625" style="45" customWidth="1"/>
    <col min="14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3" ht="30" customHeight="1" x14ac:dyDescent="0.15">
      <c r="A2" s="105">
        <v>47012001</v>
      </c>
      <c r="B2" s="105">
        <v>1</v>
      </c>
      <c r="C2" s="105" t="s">
        <v>89</v>
      </c>
      <c r="D2" s="105">
        <v>100</v>
      </c>
      <c r="E2" s="105" t="s">
        <v>263</v>
      </c>
      <c r="F2" s="105" t="s">
        <v>90</v>
      </c>
      <c r="G2" s="105">
        <v>1</v>
      </c>
      <c r="H2" s="105" t="s">
        <v>90</v>
      </c>
      <c r="I2" s="105" t="s">
        <v>90</v>
      </c>
      <c r="J2" s="105">
        <f t="shared" ref="J2" si="0">D2</f>
        <v>100</v>
      </c>
      <c r="L2" s="107" t="s">
        <v>265</v>
      </c>
      <c r="M2" s="107" t="s">
        <v>266</v>
      </c>
    </row>
    <row r="3" spans="1:13" ht="30" customHeight="1" x14ac:dyDescent="0.15">
      <c r="A3" s="105">
        <v>47012002</v>
      </c>
      <c r="B3" s="105">
        <v>0</v>
      </c>
      <c r="C3" s="105" t="s">
        <v>53</v>
      </c>
      <c r="D3" s="105">
        <v>70</v>
      </c>
      <c r="E3" s="105" t="s">
        <v>263</v>
      </c>
      <c r="F3" s="105" t="s">
        <v>90</v>
      </c>
      <c r="G3" s="105" t="s">
        <v>263</v>
      </c>
      <c r="H3" s="105" t="s">
        <v>90</v>
      </c>
      <c r="I3" s="105" t="s">
        <v>90</v>
      </c>
      <c r="J3" s="105">
        <f t="shared" ref="J3:J8" si="1">D3</f>
        <v>70</v>
      </c>
      <c r="L3" s="107" t="s">
        <v>267</v>
      </c>
      <c r="M3" s="107" t="s">
        <v>268</v>
      </c>
    </row>
    <row r="4" spans="1:13" ht="30" customHeight="1" x14ac:dyDescent="0.15">
      <c r="A4" s="105">
        <v>47012003</v>
      </c>
      <c r="B4" s="105">
        <v>0</v>
      </c>
      <c r="C4" s="105" t="s">
        <v>53</v>
      </c>
      <c r="D4" s="105">
        <v>100</v>
      </c>
      <c r="E4" s="105" t="s">
        <v>263</v>
      </c>
      <c r="F4" s="105" t="s">
        <v>90</v>
      </c>
      <c r="G4" s="105" t="s">
        <v>263</v>
      </c>
      <c r="H4" s="105" t="s">
        <v>90</v>
      </c>
      <c r="I4" s="105" t="s">
        <v>90</v>
      </c>
      <c r="J4" s="105">
        <f t="shared" si="1"/>
        <v>100</v>
      </c>
      <c r="L4" s="107" t="s">
        <v>269</v>
      </c>
      <c r="M4" s="107" t="s">
        <v>278</v>
      </c>
    </row>
    <row r="5" spans="1:13" ht="30" customHeight="1" x14ac:dyDescent="0.15">
      <c r="A5" s="105">
        <v>47012004</v>
      </c>
      <c r="B5" s="105">
        <v>0</v>
      </c>
      <c r="C5" s="105" t="s">
        <v>431</v>
      </c>
      <c r="D5" s="105">
        <v>100</v>
      </c>
      <c r="E5" s="105" t="s">
        <v>90</v>
      </c>
      <c r="F5" s="105" t="s">
        <v>90</v>
      </c>
      <c r="G5" s="105">
        <v>0</v>
      </c>
      <c r="H5" s="105" t="s">
        <v>90</v>
      </c>
      <c r="I5" s="105">
        <v>0</v>
      </c>
      <c r="J5" s="105">
        <v>100</v>
      </c>
      <c r="L5" s="107" t="s">
        <v>428</v>
      </c>
      <c r="M5" s="107" t="s">
        <v>302</v>
      </c>
    </row>
    <row r="6" spans="1:13" ht="30" customHeight="1" x14ac:dyDescent="0.15">
      <c r="A6" s="109">
        <v>47012005</v>
      </c>
      <c r="B6" s="109">
        <v>1</v>
      </c>
      <c r="C6" s="109" t="s">
        <v>53</v>
      </c>
      <c r="D6" s="109">
        <v>100</v>
      </c>
      <c r="E6" s="109" t="s">
        <v>263</v>
      </c>
      <c r="F6" s="109" t="s">
        <v>90</v>
      </c>
      <c r="G6" s="109">
        <v>1</v>
      </c>
      <c r="H6" s="109" t="s">
        <v>90</v>
      </c>
      <c r="I6" s="109" t="s">
        <v>90</v>
      </c>
      <c r="J6" s="109">
        <f t="shared" si="1"/>
        <v>100</v>
      </c>
      <c r="L6" s="111" t="s">
        <v>270</v>
      </c>
      <c r="M6" s="111" t="s">
        <v>271</v>
      </c>
    </row>
    <row r="7" spans="1:13" ht="30" customHeight="1" x14ac:dyDescent="0.15">
      <c r="A7" s="109">
        <v>47012006</v>
      </c>
      <c r="B7" s="109">
        <v>0</v>
      </c>
      <c r="C7" s="109" t="s">
        <v>53</v>
      </c>
      <c r="D7" s="109">
        <v>100</v>
      </c>
      <c r="E7" s="109" t="s">
        <v>263</v>
      </c>
      <c r="F7" s="109">
        <v>90</v>
      </c>
      <c r="G7" s="109" t="s">
        <v>263</v>
      </c>
      <c r="H7" s="109" t="s">
        <v>90</v>
      </c>
      <c r="I7" s="109" t="s">
        <v>90</v>
      </c>
      <c r="J7" s="109">
        <f t="shared" si="1"/>
        <v>100</v>
      </c>
      <c r="L7" s="111" t="s">
        <v>272</v>
      </c>
      <c r="M7" s="111" t="s">
        <v>273</v>
      </c>
    </row>
    <row r="8" spans="1:13" ht="30" customHeight="1" x14ac:dyDescent="0.15">
      <c r="A8" s="109">
        <v>47012007</v>
      </c>
      <c r="B8" s="109">
        <v>0</v>
      </c>
      <c r="C8" s="109">
        <v>2</v>
      </c>
      <c r="D8" s="109">
        <v>100</v>
      </c>
      <c r="E8" s="109">
        <v>90</v>
      </c>
      <c r="F8" s="109" t="s">
        <v>90</v>
      </c>
      <c r="G8" s="109">
        <v>1</v>
      </c>
      <c r="H8" s="109" t="s">
        <v>90</v>
      </c>
      <c r="I8" s="109" t="s">
        <v>90</v>
      </c>
      <c r="J8" s="109">
        <f t="shared" si="1"/>
        <v>100</v>
      </c>
      <c r="L8" s="111" t="s">
        <v>284</v>
      </c>
      <c r="M8" s="111" t="s">
        <v>285</v>
      </c>
    </row>
    <row r="9" spans="1:13" ht="30" customHeight="1" x14ac:dyDescent="0.15">
      <c r="A9" s="109">
        <v>47012008</v>
      </c>
      <c r="B9" s="109">
        <v>0</v>
      </c>
      <c r="C9" s="109">
        <v>1</v>
      </c>
      <c r="D9" s="109">
        <v>100</v>
      </c>
      <c r="E9" s="109">
        <v>90</v>
      </c>
      <c r="F9" s="109" t="s">
        <v>90</v>
      </c>
      <c r="G9" s="109" t="s">
        <v>263</v>
      </c>
      <c r="H9" s="109" t="s">
        <v>90</v>
      </c>
      <c r="I9" s="109" t="s">
        <v>90</v>
      </c>
      <c r="J9" s="109">
        <f t="shared" ref="J9:J25" si="2">D9</f>
        <v>100</v>
      </c>
      <c r="L9" s="111" t="s">
        <v>274</v>
      </c>
      <c r="M9" s="111" t="s">
        <v>275</v>
      </c>
    </row>
    <row r="10" spans="1:13" ht="30" customHeight="1" x14ac:dyDescent="0.15">
      <c r="A10" s="109">
        <v>47012009</v>
      </c>
      <c r="B10" s="109">
        <v>0</v>
      </c>
      <c r="C10" s="109">
        <v>3</v>
      </c>
      <c r="D10" s="109">
        <v>100</v>
      </c>
      <c r="E10" s="109" t="s">
        <v>315</v>
      </c>
      <c r="F10" s="109" t="s">
        <v>315</v>
      </c>
      <c r="G10" s="109">
        <v>1</v>
      </c>
      <c r="H10" s="109" t="s">
        <v>315</v>
      </c>
      <c r="I10" s="109">
        <v>139</v>
      </c>
      <c r="J10" s="109">
        <f t="shared" ref="J10" si="3">D10</f>
        <v>100</v>
      </c>
      <c r="L10" s="111" t="s">
        <v>440</v>
      </c>
      <c r="M10" s="111" t="s">
        <v>302</v>
      </c>
    </row>
    <row r="11" spans="1:13" ht="30" customHeight="1" x14ac:dyDescent="0.15">
      <c r="A11" s="113">
        <v>47012010</v>
      </c>
      <c r="B11" s="113">
        <v>1</v>
      </c>
      <c r="C11" s="113" t="s">
        <v>53</v>
      </c>
      <c r="D11" s="113">
        <v>100</v>
      </c>
      <c r="E11" s="113" t="s">
        <v>263</v>
      </c>
      <c r="F11" s="113" t="s">
        <v>90</v>
      </c>
      <c r="G11" s="113">
        <v>1</v>
      </c>
      <c r="H11" s="113" t="s">
        <v>90</v>
      </c>
      <c r="I11" s="113" t="s">
        <v>90</v>
      </c>
      <c r="J11" s="113">
        <f t="shared" si="2"/>
        <v>100</v>
      </c>
      <c r="L11" s="116" t="s">
        <v>279</v>
      </c>
      <c r="M11" s="116" t="s">
        <v>288</v>
      </c>
    </row>
    <row r="12" spans="1:13" ht="30" customHeight="1" x14ac:dyDescent="0.15">
      <c r="A12" s="113">
        <v>47012011</v>
      </c>
      <c r="B12" s="113">
        <v>0</v>
      </c>
      <c r="C12" s="113">
        <v>102</v>
      </c>
      <c r="D12" s="113">
        <v>70</v>
      </c>
      <c r="E12" s="113" t="s">
        <v>263</v>
      </c>
      <c r="F12" s="113" t="s">
        <v>90</v>
      </c>
      <c r="G12" s="113" t="s">
        <v>263</v>
      </c>
      <c r="H12" s="113" t="s">
        <v>90</v>
      </c>
      <c r="I12" s="113" t="s">
        <v>90</v>
      </c>
      <c r="J12" s="113">
        <f t="shared" si="2"/>
        <v>70</v>
      </c>
      <c r="L12" s="116" t="s">
        <v>280</v>
      </c>
      <c r="M12" s="116" t="s">
        <v>276</v>
      </c>
    </row>
    <row r="13" spans="1:13" ht="30" customHeight="1" x14ac:dyDescent="0.15">
      <c r="A13" s="113">
        <v>47012012</v>
      </c>
      <c r="B13" s="113">
        <v>0</v>
      </c>
      <c r="C13" s="113">
        <v>101</v>
      </c>
      <c r="D13" s="113">
        <v>100</v>
      </c>
      <c r="E13" s="113" t="s">
        <v>263</v>
      </c>
      <c r="F13" s="113" t="s">
        <v>90</v>
      </c>
      <c r="G13" s="113" t="s">
        <v>263</v>
      </c>
      <c r="H13" s="113" t="s">
        <v>90</v>
      </c>
      <c r="I13" s="113" t="s">
        <v>90</v>
      </c>
      <c r="J13" s="113">
        <f t="shared" si="2"/>
        <v>100</v>
      </c>
      <c r="L13" s="116" t="s">
        <v>281</v>
      </c>
      <c r="M13" s="116" t="s">
        <v>277</v>
      </c>
    </row>
    <row r="14" spans="1:13" ht="30" customHeight="1" x14ac:dyDescent="0.15">
      <c r="A14" s="113">
        <v>47012013</v>
      </c>
      <c r="B14" s="113">
        <v>0</v>
      </c>
      <c r="C14" s="113">
        <v>100</v>
      </c>
      <c r="D14" s="113">
        <v>50</v>
      </c>
      <c r="E14" s="113" t="s">
        <v>263</v>
      </c>
      <c r="F14" s="113" t="s">
        <v>90</v>
      </c>
      <c r="G14" s="113" t="s">
        <v>263</v>
      </c>
      <c r="H14" s="113">
        <v>3</v>
      </c>
      <c r="I14" s="113" t="s">
        <v>90</v>
      </c>
      <c r="J14" s="113">
        <f t="shared" si="2"/>
        <v>50</v>
      </c>
      <c r="L14" s="116" t="s">
        <v>282</v>
      </c>
      <c r="M14" s="116" t="s">
        <v>287</v>
      </c>
    </row>
    <row r="15" spans="1:13" ht="30" customHeight="1" x14ac:dyDescent="0.15">
      <c r="A15" s="118">
        <v>47012014</v>
      </c>
      <c r="B15" s="118">
        <v>1</v>
      </c>
      <c r="C15" s="118" t="s">
        <v>53</v>
      </c>
      <c r="D15" s="118">
        <v>100</v>
      </c>
      <c r="E15" s="118" t="s">
        <v>263</v>
      </c>
      <c r="F15" s="118" t="s">
        <v>90</v>
      </c>
      <c r="G15" s="118">
        <v>1</v>
      </c>
      <c r="H15" s="118" t="s">
        <v>90</v>
      </c>
      <c r="I15" s="118" t="s">
        <v>90</v>
      </c>
      <c r="J15" s="118">
        <f t="shared" si="2"/>
        <v>100</v>
      </c>
      <c r="L15" s="120" t="s">
        <v>283</v>
      </c>
      <c r="M15" s="120" t="s">
        <v>289</v>
      </c>
    </row>
    <row r="16" spans="1:13" ht="30" customHeight="1" x14ac:dyDescent="0.15">
      <c r="A16" s="118">
        <v>47012015</v>
      </c>
      <c r="B16" s="118">
        <v>0</v>
      </c>
      <c r="C16" s="118">
        <v>207</v>
      </c>
      <c r="D16" s="118">
        <v>100</v>
      </c>
      <c r="E16" s="118" t="s">
        <v>263</v>
      </c>
      <c r="F16" s="118" t="s">
        <v>90</v>
      </c>
      <c r="G16" s="118">
        <v>1</v>
      </c>
      <c r="H16" s="118" t="s">
        <v>90</v>
      </c>
      <c r="I16" s="118" t="s">
        <v>90</v>
      </c>
      <c r="J16" s="118">
        <f t="shared" si="2"/>
        <v>100</v>
      </c>
      <c r="L16" s="120" t="s">
        <v>290</v>
      </c>
      <c r="M16" s="120" t="s">
        <v>291</v>
      </c>
    </row>
    <row r="17" spans="1:13" ht="30" customHeight="1" x14ac:dyDescent="0.15">
      <c r="A17" s="118">
        <v>47012016</v>
      </c>
      <c r="B17" s="118">
        <v>0</v>
      </c>
      <c r="C17" s="118">
        <v>206</v>
      </c>
      <c r="D17" s="118">
        <v>100</v>
      </c>
      <c r="E17" s="118" t="s">
        <v>263</v>
      </c>
      <c r="F17" s="118" t="s">
        <v>90</v>
      </c>
      <c r="G17" s="118">
        <v>1</v>
      </c>
      <c r="H17" s="118" t="s">
        <v>90</v>
      </c>
      <c r="I17" s="118" t="s">
        <v>90</v>
      </c>
      <c r="J17" s="118">
        <f t="shared" si="2"/>
        <v>100</v>
      </c>
      <c r="L17" s="120" t="s">
        <v>292</v>
      </c>
      <c r="M17" s="120" t="s">
        <v>286</v>
      </c>
    </row>
    <row r="18" spans="1:13" ht="30" customHeight="1" x14ac:dyDescent="0.15">
      <c r="A18" s="118">
        <v>47012017</v>
      </c>
      <c r="B18" s="118">
        <v>0</v>
      </c>
      <c r="C18" s="118">
        <v>205</v>
      </c>
      <c r="D18" s="118">
        <v>100</v>
      </c>
      <c r="E18" s="118" t="s">
        <v>263</v>
      </c>
      <c r="F18" s="118" t="s">
        <v>90</v>
      </c>
      <c r="G18" s="118">
        <v>1</v>
      </c>
      <c r="H18" s="118" t="s">
        <v>90</v>
      </c>
      <c r="I18" s="118" t="s">
        <v>90</v>
      </c>
      <c r="J18" s="118">
        <f t="shared" si="2"/>
        <v>100</v>
      </c>
      <c r="L18" s="120" t="s">
        <v>294</v>
      </c>
      <c r="M18" s="120" t="s">
        <v>293</v>
      </c>
    </row>
    <row r="19" spans="1:13" ht="30" customHeight="1" x14ac:dyDescent="0.15">
      <c r="A19" s="118">
        <v>47012018</v>
      </c>
      <c r="B19" s="118">
        <v>0</v>
      </c>
      <c r="C19" s="118">
        <v>204</v>
      </c>
      <c r="D19" s="118">
        <v>100</v>
      </c>
      <c r="E19" s="118" t="s">
        <v>263</v>
      </c>
      <c r="F19" s="118" t="s">
        <v>90</v>
      </c>
      <c r="G19" s="118">
        <v>1</v>
      </c>
      <c r="H19" s="118" t="s">
        <v>90</v>
      </c>
      <c r="I19" s="118" t="s">
        <v>90</v>
      </c>
      <c r="J19" s="118">
        <f t="shared" si="2"/>
        <v>100</v>
      </c>
      <c r="L19" s="120" t="s">
        <v>295</v>
      </c>
      <c r="M19" s="120" t="s">
        <v>300</v>
      </c>
    </row>
    <row r="20" spans="1:13" ht="30" customHeight="1" x14ac:dyDescent="0.15">
      <c r="A20" s="118">
        <v>47012019</v>
      </c>
      <c r="B20" s="118">
        <v>0</v>
      </c>
      <c r="C20" s="118">
        <v>203</v>
      </c>
      <c r="D20" s="118">
        <v>100</v>
      </c>
      <c r="E20" s="118" t="s">
        <v>263</v>
      </c>
      <c r="F20" s="118" t="s">
        <v>90</v>
      </c>
      <c r="G20" s="118">
        <v>1</v>
      </c>
      <c r="H20" s="118" t="s">
        <v>90</v>
      </c>
      <c r="I20" s="118" t="s">
        <v>90</v>
      </c>
      <c r="J20" s="118">
        <f t="shared" si="2"/>
        <v>100</v>
      </c>
      <c r="L20" s="120" t="s">
        <v>296</v>
      </c>
      <c r="M20" s="120" t="s">
        <v>301</v>
      </c>
    </row>
    <row r="21" spans="1:13" ht="30" customHeight="1" x14ac:dyDescent="0.15">
      <c r="A21" s="118">
        <v>47012020</v>
      </c>
      <c r="B21" s="118">
        <v>0</v>
      </c>
      <c r="C21" s="118">
        <v>202</v>
      </c>
      <c r="D21" s="118">
        <v>50</v>
      </c>
      <c r="E21" s="118" t="s">
        <v>263</v>
      </c>
      <c r="F21" s="118" t="s">
        <v>90</v>
      </c>
      <c r="G21" s="118" t="s">
        <v>263</v>
      </c>
      <c r="H21" s="118" t="s">
        <v>90</v>
      </c>
      <c r="I21" s="118" t="s">
        <v>90</v>
      </c>
      <c r="J21" s="118">
        <f t="shared" si="2"/>
        <v>50</v>
      </c>
      <c r="L21" s="120" t="s">
        <v>297</v>
      </c>
      <c r="M21" s="120" t="s">
        <v>291</v>
      </c>
    </row>
    <row r="22" spans="1:13" ht="30" customHeight="1" x14ac:dyDescent="0.15">
      <c r="A22" s="118">
        <v>47012021</v>
      </c>
      <c r="B22" s="118">
        <v>0</v>
      </c>
      <c r="C22" s="118">
        <v>201</v>
      </c>
      <c r="D22" s="118">
        <v>50</v>
      </c>
      <c r="E22" s="118" t="s">
        <v>263</v>
      </c>
      <c r="F22" s="118" t="s">
        <v>90</v>
      </c>
      <c r="G22" s="118" t="s">
        <v>263</v>
      </c>
      <c r="H22" s="118" t="s">
        <v>90</v>
      </c>
      <c r="I22" s="118" t="s">
        <v>90</v>
      </c>
      <c r="J22" s="118">
        <f t="shared" si="2"/>
        <v>50</v>
      </c>
      <c r="L22" s="120" t="s">
        <v>298</v>
      </c>
      <c r="M22" s="120" t="s">
        <v>293</v>
      </c>
    </row>
    <row r="23" spans="1:13" ht="30" customHeight="1" x14ac:dyDescent="0.15">
      <c r="A23" s="118">
        <v>47012022</v>
      </c>
      <c r="B23" s="118">
        <v>0</v>
      </c>
      <c r="C23" s="118">
        <v>200</v>
      </c>
      <c r="D23" s="118">
        <v>100</v>
      </c>
      <c r="E23" s="118" t="s">
        <v>263</v>
      </c>
      <c r="F23" s="118" t="s">
        <v>90</v>
      </c>
      <c r="G23" s="118" t="s">
        <v>263</v>
      </c>
      <c r="H23" s="118" t="s">
        <v>90</v>
      </c>
      <c r="I23" s="118" t="s">
        <v>90</v>
      </c>
      <c r="J23" s="118">
        <f t="shared" si="2"/>
        <v>100</v>
      </c>
      <c r="L23" s="120" t="s">
        <v>299</v>
      </c>
      <c r="M23" s="120" t="s">
        <v>301</v>
      </c>
    </row>
    <row r="24" spans="1:13" ht="30" customHeight="1" x14ac:dyDescent="0.15">
      <c r="A24" s="118">
        <v>47012023</v>
      </c>
      <c r="B24" s="118">
        <v>0</v>
      </c>
      <c r="C24" s="118" t="s">
        <v>53</v>
      </c>
      <c r="D24" s="118">
        <v>100</v>
      </c>
      <c r="E24" s="118" t="s">
        <v>90</v>
      </c>
      <c r="F24" s="118" t="s">
        <v>90</v>
      </c>
      <c r="G24" s="118">
        <v>0</v>
      </c>
      <c r="H24" s="118" t="s">
        <v>90</v>
      </c>
      <c r="I24" s="118">
        <v>0</v>
      </c>
      <c r="J24" s="118">
        <v>100</v>
      </c>
      <c r="L24" s="120" t="s">
        <v>457</v>
      </c>
      <c r="M24" s="120" t="s">
        <v>302</v>
      </c>
    </row>
    <row r="25" spans="1:13" ht="30" customHeight="1" x14ac:dyDescent="0.15">
      <c r="A25" s="122">
        <v>47012024</v>
      </c>
      <c r="B25" s="122">
        <v>1</v>
      </c>
      <c r="C25" s="122" t="s">
        <v>53</v>
      </c>
      <c r="D25" s="122">
        <v>100</v>
      </c>
      <c r="E25" s="122" t="s">
        <v>263</v>
      </c>
      <c r="F25" s="122" t="s">
        <v>90</v>
      </c>
      <c r="G25" s="122">
        <v>1</v>
      </c>
      <c r="H25" s="122" t="s">
        <v>90</v>
      </c>
      <c r="I25" s="122" t="s">
        <v>90</v>
      </c>
      <c r="J25" s="122">
        <f t="shared" si="2"/>
        <v>100</v>
      </c>
      <c r="L25" s="124" t="s">
        <v>303</v>
      </c>
      <c r="M25" s="124" t="s">
        <v>357</v>
      </c>
    </row>
    <row r="26" spans="1:13" ht="30" customHeight="1" x14ac:dyDescent="0.15">
      <c r="A26" s="122">
        <v>47012025</v>
      </c>
      <c r="B26" s="122">
        <v>0</v>
      </c>
      <c r="C26" s="122">
        <v>306</v>
      </c>
      <c r="D26" s="122">
        <v>100</v>
      </c>
      <c r="E26" s="122" t="s">
        <v>263</v>
      </c>
      <c r="F26" s="122" t="s">
        <v>90</v>
      </c>
      <c r="G26" s="122">
        <v>1</v>
      </c>
      <c r="H26" s="122" t="s">
        <v>90</v>
      </c>
      <c r="I26" s="122" t="s">
        <v>90</v>
      </c>
      <c r="J26" s="122">
        <f t="shared" ref="J26:J68" si="4">D26</f>
        <v>100</v>
      </c>
      <c r="L26" s="124" t="s">
        <v>304</v>
      </c>
      <c r="M26" s="124" t="s">
        <v>305</v>
      </c>
    </row>
    <row r="27" spans="1:13" ht="30" customHeight="1" x14ac:dyDescent="0.15">
      <c r="A27" s="122">
        <v>47012026</v>
      </c>
      <c r="B27" s="122">
        <v>0</v>
      </c>
      <c r="C27" s="122">
        <v>305</v>
      </c>
      <c r="D27" s="122">
        <v>30</v>
      </c>
      <c r="E27" s="122" t="s">
        <v>263</v>
      </c>
      <c r="F27" s="122">
        <v>50</v>
      </c>
      <c r="G27" s="122" t="s">
        <v>315</v>
      </c>
      <c r="H27" s="122" t="s">
        <v>90</v>
      </c>
      <c r="I27" s="122" t="s">
        <v>90</v>
      </c>
      <c r="J27" s="122">
        <f t="shared" si="4"/>
        <v>30</v>
      </c>
      <c r="L27" s="124" t="s">
        <v>306</v>
      </c>
      <c r="M27" s="124" t="s">
        <v>346</v>
      </c>
    </row>
    <row r="28" spans="1:13" ht="30" customHeight="1" x14ac:dyDescent="0.15">
      <c r="A28" s="122">
        <v>47012027</v>
      </c>
      <c r="B28" s="122">
        <v>0</v>
      </c>
      <c r="C28" s="122">
        <v>304</v>
      </c>
      <c r="D28" s="122">
        <v>50</v>
      </c>
      <c r="E28" s="122" t="s">
        <v>263</v>
      </c>
      <c r="F28" s="122">
        <v>50</v>
      </c>
      <c r="G28" s="122" t="s">
        <v>315</v>
      </c>
      <c r="H28" s="122" t="s">
        <v>90</v>
      </c>
      <c r="I28" s="122" t="s">
        <v>90</v>
      </c>
      <c r="J28" s="122">
        <f t="shared" si="4"/>
        <v>50</v>
      </c>
      <c r="L28" s="124" t="s">
        <v>307</v>
      </c>
      <c r="M28" s="124" t="s">
        <v>313</v>
      </c>
    </row>
    <row r="29" spans="1:13" ht="30" customHeight="1" x14ac:dyDescent="0.15">
      <c r="A29" s="122">
        <v>47012028</v>
      </c>
      <c r="B29" s="122">
        <v>0</v>
      </c>
      <c r="C29" s="122">
        <v>303</v>
      </c>
      <c r="D29" s="122">
        <v>100</v>
      </c>
      <c r="E29" s="122" t="s">
        <v>263</v>
      </c>
      <c r="F29" s="122">
        <v>50</v>
      </c>
      <c r="G29" s="122" t="s">
        <v>315</v>
      </c>
      <c r="H29" s="122" t="s">
        <v>90</v>
      </c>
      <c r="I29" s="122" t="s">
        <v>90</v>
      </c>
      <c r="J29" s="122">
        <f t="shared" si="4"/>
        <v>100</v>
      </c>
      <c r="L29" s="124" t="s">
        <v>308</v>
      </c>
      <c r="M29" s="124" t="s">
        <v>312</v>
      </c>
    </row>
    <row r="30" spans="1:13" ht="30" customHeight="1" x14ac:dyDescent="0.15">
      <c r="A30" s="122">
        <v>47012029</v>
      </c>
      <c r="B30" s="122">
        <v>0</v>
      </c>
      <c r="C30" s="122">
        <v>302</v>
      </c>
      <c r="D30" s="122">
        <v>20</v>
      </c>
      <c r="E30" s="122">
        <v>50</v>
      </c>
      <c r="F30" s="122" t="s">
        <v>90</v>
      </c>
      <c r="G30" s="122" t="s">
        <v>315</v>
      </c>
      <c r="H30" s="122" t="s">
        <v>90</v>
      </c>
      <c r="I30" s="122" t="s">
        <v>90</v>
      </c>
      <c r="J30" s="122">
        <f t="shared" si="4"/>
        <v>20</v>
      </c>
      <c r="L30" s="124" t="s">
        <v>309</v>
      </c>
      <c r="M30" s="124" t="s">
        <v>346</v>
      </c>
    </row>
    <row r="31" spans="1:13" ht="30" customHeight="1" x14ac:dyDescent="0.15">
      <c r="A31" s="122">
        <v>47012030</v>
      </c>
      <c r="B31" s="122">
        <v>0</v>
      </c>
      <c r="C31" s="122">
        <v>301</v>
      </c>
      <c r="D31" s="122">
        <v>40</v>
      </c>
      <c r="E31" s="122">
        <v>50</v>
      </c>
      <c r="F31" s="122" t="s">
        <v>90</v>
      </c>
      <c r="G31" s="122">
        <v>3</v>
      </c>
      <c r="H31" s="122" t="s">
        <v>90</v>
      </c>
      <c r="I31" s="122" t="s">
        <v>90</v>
      </c>
      <c r="J31" s="122">
        <f t="shared" si="4"/>
        <v>40</v>
      </c>
      <c r="L31" s="124" t="s">
        <v>310</v>
      </c>
      <c r="M31" s="124" t="s">
        <v>314</v>
      </c>
    </row>
    <row r="32" spans="1:13" ht="30" customHeight="1" x14ac:dyDescent="0.15">
      <c r="A32" s="122">
        <v>47012031</v>
      </c>
      <c r="B32" s="122">
        <v>0</v>
      </c>
      <c r="C32" s="122">
        <v>300</v>
      </c>
      <c r="D32" s="122">
        <v>100</v>
      </c>
      <c r="E32" s="122">
        <v>50</v>
      </c>
      <c r="F32" s="122" t="s">
        <v>90</v>
      </c>
      <c r="G32" s="122" t="s">
        <v>315</v>
      </c>
      <c r="H32" s="122" t="s">
        <v>90</v>
      </c>
      <c r="I32" s="122" t="s">
        <v>90</v>
      </c>
      <c r="J32" s="122">
        <f t="shared" si="4"/>
        <v>100</v>
      </c>
      <c r="L32" s="124" t="s">
        <v>311</v>
      </c>
      <c r="M32" s="124" t="s">
        <v>312</v>
      </c>
    </row>
    <row r="33" spans="1:13" ht="30" customHeight="1" x14ac:dyDescent="0.15">
      <c r="A33" s="127">
        <v>47012032</v>
      </c>
      <c r="B33" s="127">
        <v>1</v>
      </c>
      <c r="C33" s="127" t="s">
        <v>53</v>
      </c>
      <c r="D33" s="127">
        <v>100</v>
      </c>
      <c r="E33" s="127" t="s">
        <v>263</v>
      </c>
      <c r="F33" s="127" t="s">
        <v>90</v>
      </c>
      <c r="G33" s="127">
        <v>1</v>
      </c>
      <c r="H33" s="127" t="s">
        <v>90</v>
      </c>
      <c r="I33" s="127" t="s">
        <v>90</v>
      </c>
      <c r="J33" s="127">
        <f t="shared" si="4"/>
        <v>100</v>
      </c>
      <c r="L33" s="129" t="s">
        <v>316</v>
      </c>
      <c r="M33" s="129" t="s">
        <v>356</v>
      </c>
    </row>
    <row r="34" spans="1:13" ht="30" customHeight="1" x14ac:dyDescent="0.15">
      <c r="A34" s="127">
        <v>47012033</v>
      </c>
      <c r="B34" s="127">
        <v>0</v>
      </c>
      <c r="C34" s="127">
        <v>329</v>
      </c>
      <c r="D34" s="127">
        <v>100</v>
      </c>
      <c r="E34" s="127" t="s">
        <v>263</v>
      </c>
      <c r="F34" s="127" t="s">
        <v>90</v>
      </c>
      <c r="G34" s="127">
        <v>1</v>
      </c>
      <c r="H34" s="127" t="s">
        <v>90</v>
      </c>
      <c r="I34" s="127" t="s">
        <v>90</v>
      </c>
      <c r="J34" s="127">
        <f t="shared" si="4"/>
        <v>100</v>
      </c>
      <c r="L34" s="129" t="s">
        <v>317</v>
      </c>
      <c r="M34" s="129" t="s">
        <v>355</v>
      </c>
    </row>
    <row r="35" spans="1:13" ht="30" customHeight="1" x14ac:dyDescent="0.15">
      <c r="A35" s="127">
        <v>47012034</v>
      </c>
      <c r="B35" s="127">
        <v>0</v>
      </c>
      <c r="C35" s="127">
        <v>328</v>
      </c>
      <c r="D35" s="127">
        <v>100</v>
      </c>
      <c r="E35" s="127" t="s">
        <v>263</v>
      </c>
      <c r="F35" s="127" t="s">
        <v>90</v>
      </c>
      <c r="G35" s="127">
        <v>1</v>
      </c>
      <c r="H35" s="127" t="s">
        <v>90</v>
      </c>
      <c r="I35" s="127" t="s">
        <v>90</v>
      </c>
      <c r="J35" s="127">
        <f t="shared" si="4"/>
        <v>100</v>
      </c>
      <c r="L35" s="129" t="s">
        <v>318</v>
      </c>
      <c r="M35" s="129" t="s">
        <v>359</v>
      </c>
    </row>
    <row r="36" spans="1:13" ht="30" customHeight="1" x14ac:dyDescent="0.15">
      <c r="A36" s="127">
        <v>47012035</v>
      </c>
      <c r="B36" s="127">
        <v>0</v>
      </c>
      <c r="C36" s="127">
        <v>327</v>
      </c>
      <c r="D36" s="127">
        <v>100</v>
      </c>
      <c r="E36" s="127" t="s">
        <v>263</v>
      </c>
      <c r="F36" s="127" t="s">
        <v>90</v>
      </c>
      <c r="G36" s="127">
        <v>1</v>
      </c>
      <c r="H36" s="127" t="s">
        <v>90</v>
      </c>
      <c r="I36" s="127" t="s">
        <v>90</v>
      </c>
      <c r="J36" s="127">
        <f t="shared" si="4"/>
        <v>100</v>
      </c>
      <c r="L36" s="129" t="s">
        <v>319</v>
      </c>
      <c r="M36" s="129" t="s">
        <v>341</v>
      </c>
    </row>
    <row r="37" spans="1:13" ht="42" x14ac:dyDescent="0.15">
      <c r="A37" s="127">
        <v>47012036</v>
      </c>
      <c r="B37" s="127">
        <v>0</v>
      </c>
      <c r="C37" s="127">
        <v>326</v>
      </c>
      <c r="D37" s="127">
        <v>100</v>
      </c>
      <c r="E37" s="127" t="s">
        <v>263</v>
      </c>
      <c r="F37" s="127" t="s">
        <v>90</v>
      </c>
      <c r="G37" s="127">
        <v>1</v>
      </c>
      <c r="H37" s="127" t="s">
        <v>90</v>
      </c>
      <c r="I37" s="127" t="s">
        <v>90</v>
      </c>
      <c r="J37" s="127">
        <f t="shared" si="4"/>
        <v>100</v>
      </c>
      <c r="L37" s="129" t="s">
        <v>343</v>
      </c>
      <c r="M37" s="129" t="s">
        <v>358</v>
      </c>
    </row>
    <row r="38" spans="1:13" ht="30" customHeight="1" x14ac:dyDescent="0.15">
      <c r="A38" s="127">
        <v>47012037</v>
      </c>
      <c r="B38" s="127">
        <v>0</v>
      </c>
      <c r="C38" s="127">
        <v>325</v>
      </c>
      <c r="D38" s="127">
        <v>100</v>
      </c>
      <c r="E38" s="127" t="s">
        <v>263</v>
      </c>
      <c r="F38" s="127" t="s">
        <v>90</v>
      </c>
      <c r="G38" s="127">
        <v>1</v>
      </c>
      <c r="H38" s="127" t="s">
        <v>90</v>
      </c>
      <c r="I38" s="127" t="s">
        <v>90</v>
      </c>
      <c r="J38" s="127">
        <f t="shared" si="4"/>
        <v>100</v>
      </c>
      <c r="L38" s="129" t="s">
        <v>344</v>
      </c>
      <c r="M38" s="129" t="s">
        <v>312</v>
      </c>
    </row>
    <row r="39" spans="1:13" ht="30" customHeight="1" x14ac:dyDescent="0.15">
      <c r="A39" s="127">
        <v>47012038</v>
      </c>
      <c r="B39" s="127">
        <v>0</v>
      </c>
      <c r="C39" s="127">
        <v>324</v>
      </c>
      <c r="D39" s="127">
        <v>100</v>
      </c>
      <c r="E39" s="127" t="s">
        <v>263</v>
      </c>
      <c r="F39" s="127" t="s">
        <v>90</v>
      </c>
      <c r="G39" s="127">
        <v>1</v>
      </c>
      <c r="H39" s="127" t="s">
        <v>90</v>
      </c>
      <c r="I39" s="127" t="s">
        <v>90</v>
      </c>
      <c r="J39" s="127">
        <f t="shared" si="4"/>
        <v>100</v>
      </c>
      <c r="L39" s="129" t="s">
        <v>345</v>
      </c>
      <c r="M39" s="129" t="s">
        <v>342</v>
      </c>
    </row>
    <row r="40" spans="1:13" ht="30" customHeight="1" x14ac:dyDescent="0.15">
      <c r="A40" s="127">
        <v>47012039</v>
      </c>
      <c r="B40" s="127">
        <v>0</v>
      </c>
      <c r="C40" s="127">
        <v>323</v>
      </c>
      <c r="D40" s="127">
        <v>20</v>
      </c>
      <c r="E40" s="127" t="s">
        <v>263</v>
      </c>
      <c r="F40" s="127" t="s">
        <v>90</v>
      </c>
      <c r="G40" s="127" t="s">
        <v>263</v>
      </c>
      <c r="H40" s="127" t="s">
        <v>90</v>
      </c>
      <c r="I40" s="127" t="s">
        <v>90</v>
      </c>
      <c r="J40" s="127">
        <f t="shared" si="4"/>
        <v>20</v>
      </c>
      <c r="L40" s="129" t="s">
        <v>320</v>
      </c>
      <c r="M40" s="129" t="s">
        <v>347</v>
      </c>
    </row>
    <row r="41" spans="1:13" ht="30" customHeight="1" x14ac:dyDescent="0.15">
      <c r="A41" s="127">
        <v>47012040</v>
      </c>
      <c r="B41" s="127">
        <v>0</v>
      </c>
      <c r="C41" s="127">
        <v>322</v>
      </c>
      <c r="D41" s="127">
        <v>40</v>
      </c>
      <c r="E41" s="127" t="s">
        <v>263</v>
      </c>
      <c r="F41" s="127" t="s">
        <v>90</v>
      </c>
      <c r="G41" s="127" t="s">
        <v>263</v>
      </c>
      <c r="H41" s="127" t="s">
        <v>90</v>
      </c>
      <c r="I41" s="127" t="s">
        <v>90</v>
      </c>
      <c r="J41" s="127">
        <f t="shared" si="4"/>
        <v>40</v>
      </c>
      <c r="L41" s="129" t="s">
        <v>321</v>
      </c>
      <c r="M41" s="129" t="s">
        <v>341</v>
      </c>
    </row>
    <row r="42" spans="1:13" ht="30" customHeight="1" x14ac:dyDescent="0.15">
      <c r="A42" s="127">
        <v>47012041</v>
      </c>
      <c r="B42" s="127">
        <v>0</v>
      </c>
      <c r="C42" s="127">
        <v>321</v>
      </c>
      <c r="D42" s="127">
        <v>40</v>
      </c>
      <c r="E42" s="127" t="s">
        <v>263</v>
      </c>
      <c r="F42" s="127" t="s">
        <v>90</v>
      </c>
      <c r="G42" s="127" t="s">
        <v>263</v>
      </c>
      <c r="H42" s="127" t="s">
        <v>90</v>
      </c>
      <c r="I42" s="127" t="s">
        <v>90</v>
      </c>
      <c r="J42" s="127">
        <f t="shared" si="4"/>
        <v>40</v>
      </c>
      <c r="L42" s="129" t="s">
        <v>322</v>
      </c>
      <c r="M42" s="129" t="s">
        <v>342</v>
      </c>
    </row>
    <row r="43" spans="1:13" ht="30" customHeight="1" x14ac:dyDescent="0.15">
      <c r="A43" s="127">
        <v>47012042</v>
      </c>
      <c r="B43" s="127">
        <v>0</v>
      </c>
      <c r="C43" s="127">
        <v>320</v>
      </c>
      <c r="D43" s="127">
        <v>100</v>
      </c>
      <c r="E43" s="127" t="s">
        <v>263</v>
      </c>
      <c r="F43" s="127" t="s">
        <v>90</v>
      </c>
      <c r="G43" s="127" t="s">
        <v>263</v>
      </c>
      <c r="H43" s="127" t="s">
        <v>90</v>
      </c>
      <c r="I43" s="127" t="s">
        <v>90</v>
      </c>
      <c r="J43" s="127">
        <f t="shared" si="4"/>
        <v>100</v>
      </c>
      <c r="L43" s="129" t="s">
        <v>323</v>
      </c>
      <c r="M43" s="129" t="s">
        <v>360</v>
      </c>
    </row>
    <row r="44" spans="1:13" ht="30" customHeight="1" x14ac:dyDescent="0.15">
      <c r="A44" s="132">
        <v>47012043</v>
      </c>
      <c r="B44" s="132">
        <v>1</v>
      </c>
      <c r="C44" s="132" t="s">
        <v>53</v>
      </c>
      <c r="D44" s="132">
        <v>100</v>
      </c>
      <c r="E44" s="132" t="s">
        <v>263</v>
      </c>
      <c r="F44" s="132" t="s">
        <v>90</v>
      </c>
      <c r="G44" s="132">
        <v>1</v>
      </c>
      <c r="H44" s="132" t="s">
        <v>90</v>
      </c>
      <c r="I44" s="132" t="s">
        <v>90</v>
      </c>
      <c r="J44" s="132">
        <f t="shared" si="4"/>
        <v>100</v>
      </c>
      <c r="L44" s="134" t="s">
        <v>324</v>
      </c>
      <c r="M44" s="134" t="s">
        <v>361</v>
      </c>
    </row>
    <row r="45" spans="1:13" ht="42" x14ac:dyDescent="0.15">
      <c r="A45" s="132">
        <v>47012044</v>
      </c>
      <c r="B45" s="132">
        <v>0</v>
      </c>
      <c r="C45" s="132">
        <v>354</v>
      </c>
      <c r="D45" s="132">
        <v>100</v>
      </c>
      <c r="E45" s="132" t="s">
        <v>263</v>
      </c>
      <c r="F45" s="132" t="s">
        <v>90</v>
      </c>
      <c r="G45" s="132">
        <v>1</v>
      </c>
      <c r="H45" s="132" t="s">
        <v>90</v>
      </c>
      <c r="I45" s="132" t="s">
        <v>90</v>
      </c>
      <c r="J45" s="132">
        <f t="shared" si="4"/>
        <v>100</v>
      </c>
      <c r="L45" s="134" t="s">
        <v>325</v>
      </c>
      <c r="M45" s="134" t="s">
        <v>362</v>
      </c>
    </row>
    <row r="46" spans="1:13" ht="30" customHeight="1" x14ac:dyDescent="0.15">
      <c r="A46" s="132">
        <v>47012045</v>
      </c>
      <c r="B46" s="132">
        <v>0</v>
      </c>
      <c r="C46" s="132">
        <v>353</v>
      </c>
      <c r="D46" s="132">
        <v>100</v>
      </c>
      <c r="E46" s="132" t="s">
        <v>263</v>
      </c>
      <c r="F46" s="132" t="s">
        <v>90</v>
      </c>
      <c r="G46" s="132">
        <v>1</v>
      </c>
      <c r="H46" s="132" t="s">
        <v>90</v>
      </c>
      <c r="I46" s="132" t="s">
        <v>90</v>
      </c>
      <c r="J46" s="132">
        <f t="shared" si="4"/>
        <v>100</v>
      </c>
      <c r="L46" s="134" t="s">
        <v>329</v>
      </c>
      <c r="M46" s="134" t="s">
        <v>348</v>
      </c>
    </row>
    <row r="47" spans="1:13" ht="30" customHeight="1" x14ac:dyDescent="0.15">
      <c r="A47" s="132">
        <v>47012046</v>
      </c>
      <c r="B47" s="132">
        <v>0</v>
      </c>
      <c r="C47" s="132">
        <v>352</v>
      </c>
      <c r="D47" s="132">
        <v>100</v>
      </c>
      <c r="E47" s="132" t="s">
        <v>263</v>
      </c>
      <c r="F47" s="132" t="s">
        <v>90</v>
      </c>
      <c r="G47" s="132">
        <v>1</v>
      </c>
      <c r="H47" s="132" t="s">
        <v>90</v>
      </c>
      <c r="I47" s="132" t="s">
        <v>90</v>
      </c>
      <c r="J47" s="132">
        <f t="shared" si="4"/>
        <v>100</v>
      </c>
      <c r="L47" s="134" t="s">
        <v>330</v>
      </c>
      <c r="M47" s="134" t="s">
        <v>349</v>
      </c>
    </row>
    <row r="48" spans="1:13" ht="30" customHeight="1" x14ac:dyDescent="0.15">
      <c r="A48" s="132">
        <v>47012047</v>
      </c>
      <c r="B48" s="132">
        <v>0</v>
      </c>
      <c r="C48" s="132">
        <v>351</v>
      </c>
      <c r="D48" s="132">
        <v>100</v>
      </c>
      <c r="E48" s="132" t="s">
        <v>263</v>
      </c>
      <c r="F48" s="132" t="s">
        <v>90</v>
      </c>
      <c r="G48" s="132">
        <v>1</v>
      </c>
      <c r="H48" s="132" t="s">
        <v>90</v>
      </c>
      <c r="I48" s="132" t="s">
        <v>90</v>
      </c>
      <c r="J48" s="132">
        <f t="shared" si="4"/>
        <v>100</v>
      </c>
      <c r="L48" s="134" t="s">
        <v>331</v>
      </c>
      <c r="M48" s="134" t="s">
        <v>350</v>
      </c>
    </row>
    <row r="49" spans="1:13" ht="30" customHeight="1" x14ac:dyDescent="0.15">
      <c r="A49" s="132">
        <v>47012048</v>
      </c>
      <c r="B49" s="132">
        <v>0</v>
      </c>
      <c r="C49" s="132">
        <v>350</v>
      </c>
      <c r="D49" s="132">
        <v>100</v>
      </c>
      <c r="E49" s="132" t="s">
        <v>263</v>
      </c>
      <c r="F49" s="132" t="s">
        <v>90</v>
      </c>
      <c r="G49" s="132">
        <v>1</v>
      </c>
      <c r="H49" s="132" t="s">
        <v>90</v>
      </c>
      <c r="I49" s="132" t="s">
        <v>90</v>
      </c>
      <c r="J49" s="132">
        <f t="shared" si="4"/>
        <v>100</v>
      </c>
      <c r="L49" s="134" t="s">
        <v>332</v>
      </c>
      <c r="M49" s="134" t="s">
        <v>351</v>
      </c>
    </row>
    <row r="50" spans="1:13" ht="30" customHeight="1" x14ac:dyDescent="0.15">
      <c r="A50" s="132">
        <v>47012049</v>
      </c>
      <c r="B50" s="132">
        <v>0</v>
      </c>
      <c r="C50" s="132">
        <v>349</v>
      </c>
      <c r="D50" s="132">
        <v>100</v>
      </c>
      <c r="E50" s="132" t="s">
        <v>263</v>
      </c>
      <c r="F50" s="132" t="s">
        <v>90</v>
      </c>
      <c r="G50" s="132">
        <v>1</v>
      </c>
      <c r="H50" s="132" t="s">
        <v>90</v>
      </c>
      <c r="I50" s="132" t="s">
        <v>90</v>
      </c>
      <c r="J50" s="132">
        <f t="shared" si="4"/>
        <v>100</v>
      </c>
      <c r="L50" s="134" t="s">
        <v>333</v>
      </c>
      <c r="M50" s="134" t="s">
        <v>352</v>
      </c>
    </row>
    <row r="51" spans="1:13" ht="30" customHeight="1" x14ac:dyDescent="0.15">
      <c r="A51" s="132">
        <v>47012050</v>
      </c>
      <c r="B51" s="132">
        <v>0</v>
      </c>
      <c r="C51" s="132">
        <v>348</v>
      </c>
      <c r="D51" s="132">
        <v>20</v>
      </c>
      <c r="E51" s="132" t="s">
        <v>263</v>
      </c>
      <c r="F51" s="132" t="s">
        <v>90</v>
      </c>
      <c r="G51" s="132" t="s">
        <v>263</v>
      </c>
      <c r="H51" s="132" t="s">
        <v>90</v>
      </c>
      <c r="I51" s="132" t="s">
        <v>90</v>
      </c>
      <c r="J51" s="132">
        <f t="shared" si="4"/>
        <v>20</v>
      </c>
      <c r="L51" s="134" t="s">
        <v>334</v>
      </c>
      <c r="M51" s="134" t="s">
        <v>346</v>
      </c>
    </row>
    <row r="52" spans="1:13" ht="30" customHeight="1" x14ac:dyDescent="0.15">
      <c r="A52" s="132">
        <v>47012051</v>
      </c>
      <c r="B52" s="132">
        <v>0</v>
      </c>
      <c r="C52" s="132">
        <v>347</v>
      </c>
      <c r="D52" s="132">
        <v>40</v>
      </c>
      <c r="E52" s="132" t="s">
        <v>263</v>
      </c>
      <c r="F52" s="132" t="s">
        <v>90</v>
      </c>
      <c r="G52" s="132" t="s">
        <v>263</v>
      </c>
      <c r="H52" s="132" t="s">
        <v>90</v>
      </c>
      <c r="I52" s="132" t="s">
        <v>90</v>
      </c>
      <c r="J52" s="132">
        <f t="shared" si="4"/>
        <v>40</v>
      </c>
      <c r="L52" s="134" t="s">
        <v>335</v>
      </c>
      <c r="M52" s="134" t="s">
        <v>363</v>
      </c>
    </row>
    <row r="53" spans="1:13" ht="30" customHeight="1" x14ac:dyDescent="0.15">
      <c r="A53" s="132">
        <v>47012052</v>
      </c>
      <c r="B53" s="132">
        <v>0</v>
      </c>
      <c r="C53" s="132">
        <v>346</v>
      </c>
      <c r="D53" s="132">
        <v>40</v>
      </c>
      <c r="E53" s="132" t="s">
        <v>263</v>
      </c>
      <c r="F53" s="132" t="s">
        <v>90</v>
      </c>
      <c r="G53" s="132" t="s">
        <v>263</v>
      </c>
      <c r="H53" s="132" t="s">
        <v>90</v>
      </c>
      <c r="I53" s="132" t="s">
        <v>90</v>
      </c>
      <c r="J53" s="132">
        <f t="shared" si="4"/>
        <v>40</v>
      </c>
      <c r="L53" s="134" t="s">
        <v>336</v>
      </c>
      <c r="M53" s="134" t="s">
        <v>353</v>
      </c>
    </row>
    <row r="54" spans="1:13" ht="30" customHeight="1" x14ac:dyDescent="0.15">
      <c r="A54" s="132">
        <v>47012053</v>
      </c>
      <c r="B54" s="132">
        <v>0</v>
      </c>
      <c r="C54" s="132">
        <v>345</v>
      </c>
      <c r="D54" s="132">
        <v>40</v>
      </c>
      <c r="E54" s="132" t="s">
        <v>263</v>
      </c>
      <c r="F54" s="132" t="s">
        <v>90</v>
      </c>
      <c r="G54" s="132" t="s">
        <v>263</v>
      </c>
      <c r="H54" s="132" t="s">
        <v>90</v>
      </c>
      <c r="I54" s="132" t="s">
        <v>90</v>
      </c>
      <c r="J54" s="132">
        <f t="shared" si="4"/>
        <v>40</v>
      </c>
      <c r="L54" s="134" t="s">
        <v>337</v>
      </c>
      <c r="M54" s="134" t="s">
        <v>354</v>
      </c>
    </row>
    <row r="55" spans="1:13" ht="30" customHeight="1" x14ac:dyDescent="0.15">
      <c r="A55" s="132">
        <v>47012054</v>
      </c>
      <c r="B55" s="132">
        <v>0</v>
      </c>
      <c r="C55" s="132">
        <v>343</v>
      </c>
      <c r="D55" s="132">
        <v>100</v>
      </c>
      <c r="E55" s="132" t="s">
        <v>263</v>
      </c>
      <c r="F55" s="132" t="s">
        <v>90</v>
      </c>
      <c r="G55" s="132" t="s">
        <v>263</v>
      </c>
      <c r="H55" s="132" t="s">
        <v>90</v>
      </c>
      <c r="I55" s="132" t="s">
        <v>90</v>
      </c>
      <c r="J55" s="132">
        <f t="shared" si="4"/>
        <v>100</v>
      </c>
      <c r="L55" s="134" t="s">
        <v>338</v>
      </c>
      <c r="M55" s="134" t="s">
        <v>364</v>
      </c>
    </row>
    <row r="56" spans="1:13" ht="30" customHeight="1" x14ac:dyDescent="0.15">
      <c r="A56" s="132">
        <v>47012055</v>
      </c>
      <c r="B56" s="132">
        <v>0</v>
      </c>
      <c r="C56" s="132">
        <v>362</v>
      </c>
      <c r="D56" s="132">
        <v>100</v>
      </c>
      <c r="E56" s="132">
        <v>30</v>
      </c>
      <c r="F56" s="132" t="s">
        <v>90</v>
      </c>
      <c r="G56" s="132">
        <v>1</v>
      </c>
      <c r="H56" s="132" t="s">
        <v>90</v>
      </c>
      <c r="I56" s="132" t="s">
        <v>90</v>
      </c>
      <c r="J56" s="132">
        <f t="shared" si="4"/>
        <v>100</v>
      </c>
      <c r="L56" s="134" t="s">
        <v>326</v>
      </c>
      <c r="M56" s="134" t="s">
        <v>340</v>
      </c>
    </row>
    <row r="57" spans="1:13" ht="30" customHeight="1" x14ac:dyDescent="0.15">
      <c r="A57" s="132">
        <v>47012056</v>
      </c>
      <c r="B57" s="132">
        <v>0</v>
      </c>
      <c r="C57" s="132">
        <v>361</v>
      </c>
      <c r="D57" s="132">
        <v>100</v>
      </c>
      <c r="E57" s="132">
        <v>30</v>
      </c>
      <c r="F57" s="132" t="s">
        <v>90</v>
      </c>
      <c r="G57" s="132">
        <v>1</v>
      </c>
      <c r="H57" s="132" t="s">
        <v>90</v>
      </c>
      <c r="I57" s="132" t="s">
        <v>90</v>
      </c>
      <c r="J57" s="132">
        <f t="shared" si="4"/>
        <v>100</v>
      </c>
      <c r="L57" s="134" t="s">
        <v>327</v>
      </c>
      <c r="M57" s="134" t="s">
        <v>368</v>
      </c>
    </row>
    <row r="58" spans="1:13" ht="30" customHeight="1" x14ac:dyDescent="0.15">
      <c r="A58" s="132">
        <v>47012057</v>
      </c>
      <c r="B58" s="132">
        <v>0</v>
      </c>
      <c r="C58" s="132">
        <v>360</v>
      </c>
      <c r="D58" s="132">
        <v>100</v>
      </c>
      <c r="E58" s="132">
        <v>30</v>
      </c>
      <c r="F58" s="132" t="s">
        <v>90</v>
      </c>
      <c r="G58" s="132">
        <v>1</v>
      </c>
      <c r="H58" s="132" t="s">
        <v>90</v>
      </c>
      <c r="I58" s="132" t="s">
        <v>90</v>
      </c>
      <c r="J58" s="132">
        <f t="shared" si="4"/>
        <v>100</v>
      </c>
      <c r="L58" s="134" t="s">
        <v>328</v>
      </c>
      <c r="M58" s="134" t="s">
        <v>339</v>
      </c>
    </row>
    <row r="59" spans="1:13" ht="30" customHeight="1" x14ac:dyDescent="0.15">
      <c r="A59" s="132">
        <v>47012058</v>
      </c>
      <c r="B59" s="132">
        <v>0</v>
      </c>
      <c r="C59" s="132" t="s">
        <v>263</v>
      </c>
      <c r="D59" s="132">
        <v>100</v>
      </c>
      <c r="E59" s="132" t="s">
        <v>263</v>
      </c>
      <c r="F59" s="132" t="s">
        <v>90</v>
      </c>
      <c r="G59" s="132">
        <v>0</v>
      </c>
      <c r="H59" s="132" t="s">
        <v>90</v>
      </c>
      <c r="I59" s="132">
        <v>0</v>
      </c>
      <c r="J59" s="132">
        <f t="shared" si="4"/>
        <v>100</v>
      </c>
      <c r="L59" s="134" t="s">
        <v>405</v>
      </c>
      <c r="M59" s="134" t="s">
        <v>406</v>
      </c>
    </row>
    <row r="60" spans="1:13" ht="30" customHeight="1" x14ac:dyDescent="0.15">
      <c r="A60" s="105">
        <v>47012059</v>
      </c>
      <c r="B60" s="105">
        <v>1</v>
      </c>
      <c r="C60" s="105" t="s">
        <v>53</v>
      </c>
      <c r="D60" s="105">
        <v>100</v>
      </c>
      <c r="E60" s="105" t="s">
        <v>263</v>
      </c>
      <c r="F60" s="105" t="s">
        <v>90</v>
      </c>
      <c r="G60" s="105">
        <v>1</v>
      </c>
      <c r="H60" s="105" t="s">
        <v>90</v>
      </c>
      <c r="I60" s="105" t="s">
        <v>90</v>
      </c>
      <c r="J60" s="105">
        <f t="shared" si="4"/>
        <v>100</v>
      </c>
      <c r="L60" s="107" t="s">
        <v>265</v>
      </c>
      <c r="M60" s="107" t="s">
        <v>266</v>
      </c>
    </row>
    <row r="61" spans="1:13" ht="30" customHeight="1" x14ac:dyDescent="0.15">
      <c r="A61" s="105">
        <v>47012060</v>
      </c>
      <c r="B61" s="105">
        <v>0</v>
      </c>
      <c r="C61" s="105" t="s">
        <v>53</v>
      </c>
      <c r="D61" s="105">
        <v>70</v>
      </c>
      <c r="E61" s="105" t="s">
        <v>263</v>
      </c>
      <c r="F61" s="105" t="s">
        <v>90</v>
      </c>
      <c r="G61" s="105" t="s">
        <v>263</v>
      </c>
      <c r="H61" s="105" t="s">
        <v>90</v>
      </c>
      <c r="I61" s="105" t="s">
        <v>90</v>
      </c>
      <c r="J61" s="105">
        <f t="shared" si="4"/>
        <v>70</v>
      </c>
      <c r="L61" s="107" t="s">
        <v>267</v>
      </c>
      <c r="M61" s="107" t="s">
        <v>268</v>
      </c>
    </row>
    <row r="62" spans="1:13" ht="30" customHeight="1" x14ac:dyDescent="0.15">
      <c r="A62" s="105">
        <v>47012061</v>
      </c>
      <c r="B62" s="105">
        <v>0</v>
      </c>
      <c r="C62" s="105" t="s">
        <v>53</v>
      </c>
      <c r="D62" s="105">
        <v>100</v>
      </c>
      <c r="E62" s="105" t="s">
        <v>263</v>
      </c>
      <c r="F62" s="105" t="s">
        <v>90</v>
      </c>
      <c r="G62" s="105" t="s">
        <v>263</v>
      </c>
      <c r="H62" s="105" t="s">
        <v>90</v>
      </c>
      <c r="I62" s="105" t="s">
        <v>90</v>
      </c>
      <c r="J62" s="105">
        <f t="shared" si="4"/>
        <v>100</v>
      </c>
      <c r="L62" s="107" t="s">
        <v>269</v>
      </c>
      <c r="M62" s="107" t="s">
        <v>278</v>
      </c>
    </row>
    <row r="63" spans="1:13" ht="30" customHeight="1" x14ac:dyDescent="0.15">
      <c r="A63" s="105">
        <v>47012062</v>
      </c>
      <c r="B63" s="105">
        <v>0</v>
      </c>
      <c r="C63" s="105" t="s">
        <v>431</v>
      </c>
      <c r="D63" s="105">
        <v>100</v>
      </c>
      <c r="E63" s="105" t="s">
        <v>90</v>
      </c>
      <c r="F63" s="105" t="s">
        <v>90</v>
      </c>
      <c r="G63" s="105">
        <v>0</v>
      </c>
      <c r="H63" s="105" t="s">
        <v>90</v>
      </c>
      <c r="I63" s="105">
        <v>0</v>
      </c>
      <c r="J63" s="105">
        <v>100</v>
      </c>
      <c r="L63" s="107" t="s">
        <v>428</v>
      </c>
      <c r="M63" s="107" t="s">
        <v>302</v>
      </c>
    </row>
    <row r="64" spans="1:13" ht="30" customHeight="1" x14ac:dyDescent="0.15">
      <c r="A64" s="109">
        <v>47012063</v>
      </c>
      <c r="B64" s="109">
        <v>1</v>
      </c>
      <c r="C64" s="109" t="s">
        <v>53</v>
      </c>
      <c r="D64" s="109">
        <v>100</v>
      </c>
      <c r="E64" s="109" t="s">
        <v>263</v>
      </c>
      <c r="F64" s="109" t="s">
        <v>90</v>
      </c>
      <c r="G64" s="109">
        <v>1</v>
      </c>
      <c r="H64" s="109" t="s">
        <v>90</v>
      </c>
      <c r="I64" s="109" t="s">
        <v>90</v>
      </c>
      <c r="J64" s="109">
        <f t="shared" si="4"/>
        <v>100</v>
      </c>
      <c r="L64" s="111" t="s">
        <v>270</v>
      </c>
      <c r="M64" s="111" t="s">
        <v>271</v>
      </c>
    </row>
    <row r="65" spans="1:13" ht="30" customHeight="1" x14ac:dyDescent="0.15">
      <c r="A65" s="109">
        <v>47012064</v>
      </c>
      <c r="B65" s="109">
        <v>0</v>
      </c>
      <c r="C65" s="109" t="s">
        <v>53</v>
      </c>
      <c r="D65" s="109">
        <v>100</v>
      </c>
      <c r="E65" s="109" t="s">
        <v>263</v>
      </c>
      <c r="F65" s="109">
        <v>90</v>
      </c>
      <c r="G65" s="109" t="s">
        <v>263</v>
      </c>
      <c r="H65" s="109" t="s">
        <v>90</v>
      </c>
      <c r="I65" s="109" t="s">
        <v>90</v>
      </c>
      <c r="J65" s="109">
        <f t="shared" si="4"/>
        <v>100</v>
      </c>
      <c r="L65" s="111" t="s">
        <v>272</v>
      </c>
      <c r="M65" s="111" t="s">
        <v>273</v>
      </c>
    </row>
    <row r="66" spans="1:13" ht="30" customHeight="1" x14ac:dyDescent="0.15">
      <c r="A66" s="109">
        <v>47012065</v>
      </c>
      <c r="B66" s="109">
        <v>0</v>
      </c>
      <c r="C66" s="109">
        <v>2</v>
      </c>
      <c r="D66" s="109">
        <v>100</v>
      </c>
      <c r="E66" s="109">
        <v>90</v>
      </c>
      <c r="F66" s="109" t="s">
        <v>90</v>
      </c>
      <c r="G66" s="109">
        <v>1</v>
      </c>
      <c r="H66" s="109" t="s">
        <v>90</v>
      </c>
      <c r="I66" s="109" t="s">
        <v>90</v>
      </c>
      <c r="J66" s="109">
        <f t="shared" si="4"/>
        <v>100</v>
      </c>
      <c r="L66" s="111" t="s">
        <v>284</v>
      </c>
      <c r="M66" s="111" t="s">
        <v>285</v>
      </c>
    </row>
    <row r="67" spans="1:13" ht="30" customHeight="1" x14ac:dyDescent="0.15">
      <c r="A67" s="109">
        <v>47012066</v>
      </c>
      <c r="B67" s="109">
        <v>0</v>
      </c>
      <c r="C67" s="109">
        <v>1</v>
      </c>
      <c r="D67" s="109">
        <v>100</v>
      </c>
      <c r="E67" s="109">
        <v>90</v>
      </c>
      <c r="F67" s="109" t="s">
        <v>90</v>
      </c>
      <c r="G67" s="109" t="s">
        <v>263</v>
      </c>
      <c r="H67" s="109" t="s">
        <v>90</v>
      </c>
      <c r="I67" s="109" t="s">
        <v>90</v>
      </c>
      <c r="J67" s="109">
        <f t="shared" si="4"/>
        <v>100</v>
      </c>
      <c r="L67" s="111" t="s">
        <v>274</v>
      </c>
      <c r="M67" s="111" t="s">
        <v>275</v>
      </c>
    </row>
    <row r="68" spans="1:13" ht="30" customHeight="1" x14ac:dyDescent="0.15">
      <c r="A68" s="109">
        <v>47012067</v>
      </c>
      <c r="B68" s="109">
        <v>0</v>
      </c>
      <c r="C68" s="109">
        <v>3</v>
      </c>
      <c r="D68" s="109">
        <v>100</v>
      </c>
      <c r="E68" s="109" t="s">
        <v>315</v>
      </c>
      <c r="F68" s="109" t="s">
        <v>315</v>
      </c>
      <c r="G68" s="109">
        <v>1</v>
      </c>
      <c r="H68" s="109" t="s">
        <v>315</v>
      </c>
      <c r="I68" s="109">
        <v>139</v>
      </c>
      <c r="J68" s="109">
        <f t="shared" si="4"/>
        <v>100</v>
      </c>
      <c r="L68" s="111" t="s">
        <v>440</v>
      </c>
      <c r="M68" s="111" t="s">
        <v>302</v>
      </c>
    </row>
    <row r="69" spans="1:13" ht="30" customHeight="1" x14ac:dyDescent="0.15">
      <c r="A69" s="113">
        <v>47012068</v>
      </c>
      <c r="B69" s="113">
        <v>1</v>
      </c>
      <c r="C69" s="113" t="s">
        <v>53</v>
      </c>
      <c r="D69" s="113">
        <v>100</v>
      </c>
      <c r="E69" s="113" t="s">
        <v>263</v>
      </c>
      <c r="F69" s="113" t="s">
        <v>90</v>
      </c>
      <c r="G69" s="113">
        <v>1</v>
      </c>
      <c r="H69" s="113" t="s">
        <v>90</v>
      </c>
      <c r="I69" s="113" t="s">
        <v>90</v>
      </c>
      <c r="J69" s="113">
        <f t="shared" ref="J69:J116" si="5">D69</f>
        <v>100</v>
      </c>
      <c r="L69" s="116" t="s">
        <v>279</v>
      </c>
      <c r="M69" s="116" t="s">
        <v>288</v>
      </c>
    </row>
    <row r="70" spans="1:13" ht="30" customHeight="1" x14ac:dyDescent="0.15">
      <c r="A70" s="113">
        <v>47012069</v>
      </c>
      <c r="B70" s="113">
        <v>0</v>
      </c>
      <c r="C70" s="113">
        <v>102</v>
      </c>
      <c r="D70" s="113">
        <v>70</v>
      </c>
      <c r="E70" s="113" t="s">
        <v>263</v>
      </c>
      <c r="F70" s="113" t="s">
        <v>90</v>
      </c>
      <c r="G70" s="113" t="s">
        <v>263</v>
      </c>
      <c r="H70" s="113" t="s">
        <v>90</v>
      </c>
      <c r="I70" s="113" t="s">
        <v>90</v>
      </c>
      <c r="J70" s="113">
        <f t="shared" si="5"/>
        <v>70</v>
      </c>
      <c r="L70" s="116" t="s">
        <v>280</v>
      </c>
      <c r="M70" s="116" t="s">
        <v>276</v>
      </c>
    </row>
    <row r="71" spans="1:13" ht="30" customHeight="1" x14ac:dyDescent="0.15">
      <c r="A71" s="113">
        <v>47012070</v>
      </c>
      <c r="B71" s="113">
        <v>0</v>
      </c>
      <c r="C71" s="113">
        <v>101</v>
      </c>
      <c r="D71" s="113">
        <v>100</v>
      </c>
      <c r="E71" s="113" t="s">
        <v>263</v>
      </c>
      <c r="F71" s="113" t="s">
        <v>90</v>
      </c>
      <c r="G71" s="113" t="s">
        <v>263</v>
      </c>
      <c r="H71" s="113" t="s">
        <v>90</v>
      </c>
      <c r="I71" s="113" t="s">
        <v>90</v>
      </c>
      <c r="J71" s="113">
        <f t="shared" si="5"/>
        <v>100</v>
      </c>
      <c r="L71" s="116" t="s">
        <v>281</v>
      </c>
      <c r="M71" s="116" t="s">
        <v>277</v>
      </c>
    </row>
    <row r="72" spans="1:13" ht="30" customHeight="1" x14ac:dyDescent="0.15">
      <c r="A72" s="113">
        <v>47012071</v>
      </c>
      <c r="B72" s="113">
        <v>0</v>
      </c>
      <c r="C72" s="113">
        <v>100</v>
      </c>
      <c r="D72" s="113">
        <v>50</v>
      </c>
      <c r="E72" s="113" t="s">
        <v>263</v>
      </c>
      <c r="F72" s="113" t="s">
        <v>90</v>
      </c>
      <c r="G72" s="113" t="s">
        <v>263</v>
      </c>
      <c r="H72" s="113">
        <v>3</v>
      </c>
      <c r="I72" s="113" t="s">
        <v>90</v>
      </c>
      <c r="J72" s="113">
        <f t="shared" si="5"/>
        <v>50</v>
      </c>
      <c r="L72" s="116" t="s">
        <v>282</v>
      </c>
      <c r="M72" s="116" t="s">
        <v>287</v>
      </c>
    </row>
    <row r="73" spans="1:13" ht="30" customHeight="1" x14ac:dyDescent="0.15">
      <c r="A73" s="118">
        <v>47012072</v>
      </c>
      <c r="B73" s="118">
        <v>1</v>
      </c>
      <c r="C73" s="118" t="s">
        <v>53</v>
      </c>
      <c r="D73" s="118">
        <v>100</v>
      </c>
      <c r="E73" s="118" t="s">
        <v>263</v>
      </c>
      <c r="F73" s="118" t="s">
        <v>90</v>
      </c>
      <c r="G73" s="118">
        <v>1</v>
      </c>
      <c r="H73" s="118" t="s">
        <v>90</v>
      </c>
      <c r="I73" s="118" t="s">
        <v>90</v>
      </c>
      <c r="J73" s="118">
        <f t="shared" si="5"/>
        <v>100</v>
      </c>
      <c r="L73" s="120" t="s">
        <v>283</v>
      </c>
      <c r="M73" s="120" t="s">
        <v>289</v>
      </c>
    </row>
    <row r="74" spans="1:13" ht="30" customHeight="1" x14ac:dyDescent="0.15">
      <c r="A74" s="118">
        <v>47012073</v>
      </c>
      <c r="B74" s="118">
        <v>0</v>
      </c>
      <c r="C74" s="118">
        <v>207</v>
      </c>
      <c r="D74" s="118">
        <v>100</v>
      </c>
      <c r="E74" s="118" t="s">
        <v>263</v>
      </c>
      <c r="F74" s="118" t="s">
        <v>90</v>
      </c>
      <c r="G74" s="118">
        <v>1</v>
      </c>
      <c r="H74" s="118" t="s">
        <v>90</v>
      </c>
      <c r="I74" s="118" t="s">
        <v>90</v>
      </c>
      <c r="J74" s="118">
        <f t="shared" si="5"/>
        <v>100</v>
      </c>
      <c r="L74" s="120" t="s">
        <v>290</v>
      </c>
      <c r="M74" s="120" t="s">
        <v>291</v>
      </c>
    </row>
    <row r="75" spans="1:13" ht="30" customHeight="1" x14ac:dyDescent="0.15">
      <c r="A75" s="118">
        <v>47012074</v>
      </c>
      <c r="B75" s="118">
        <v>0</v>
      </c>
      <c r="C75" s="118">
        <v>206</v>
      </c>
      <c r="D75" s="118">
        <v>100</v>
      </c>
      <c r="E75" s="118" t="s">
        <v>263</v>
      </c>
      <c r="F75" s="118" t="s">
        <v>90</v>
      </c>
      <c r="G75" s="118">
        <v>1</v>
      </c>
      <c r="H75" s="118" t="s">
        <v>90</v>
      </c>
      <c r="I75" s="118" t="s">
        <v>90</v>
      </c>
      <c r="J75" s="118">
        <f t="shared" si="5"/>
        <v>100</v>
      </c>
      <c r="L75" s="120" t="s">
        <v>292</v>
      </c>
      <c r="M75" s="120" t="s">
        <v>286</v>
      </c>
    </row>
    <row r="76" spans="1:13" ht="30" customHeight="1" x14ac:dyDescent="0.15">
      <c r="A76" s="118">
        <v>47012075</v>
      </c>
      <c r="B76" s="118">
        <v>0</v>
      </c>
      <c r="C76" s="118">
        <v>205</v>
      </c>
      <c r="D76" s="118">
        <v>100</v>
      </c>
      <c r="E76" s="118" t="s">
        <v>263</v>
      </c>
      <c r="F76" s="118" t="s">
        <v>90</v>
      </c>
      <c r="G76" s="118">
        <v>1</v>
      </c>
      <c r="H76" s="118" t="s">
        <v>90</v>
      </c>
      <c r="I76" s="118" t="s">
        <v>90</v>
      </c>
      <c r="J76" s="118">
        <f t="shared" si="5"/>
        <v>100</v>
      </c>
      <c r="L76" s="120" t="s">
        <v>294</v>
      </c>
      <c r="M76" s="120" t="s">
        <v>293</v>
      </c>
    </row>
    <row r="77" spans="1:13" ht="30" customHeight="1" x14ac:dyDescent="0.15">
      <c r="A77" s="118">
        <v>47012076</v>
      </c>
      <c r="B77" s="118">
        <v>0</v>
      </c>
      <c r="C77" s="118">
        <v>204</v>
      </c>
      <c r="D77" s="118">
        <v>100</v>
      </c>
      <c r="E77" s="118" t="s">
        <v>263</v>
      </c>
      <c r="F77" s="118" t="s">
        <v>90</v>
      </c>
      <c r="G77" s="118">
        <v>1</v>
      </c>
      <c r="H77" s="118" t="s">
        <v>90</v>
      </c>
      <c r="I77" s="118" t="s">
        <v>90</v>
      </c>
      <c r="J77" s="118">
        <f t="shared" si="5"/>
        <v>100</v>
      </c>
      <c r="L77" s="120" t="s">
        <v>295</v>
      </c>
      <c r="M77" s="120" t="s">
        <v>300</v>
      </c>
    </row>
    <row r="78" spans="1:13" ht="30" customHeight="1" x14ac:dyDescent="0.15">
      <c r="A78" s="118">
        <v>47012077</v>
      </c>
      <c r="B78" s="118">
        <v>0</v>
      </c>
      <c r="C78" s="118">
        <v>203</v>
      </c>
      <c r="D78" s="118">
        <v>100</v>
      </c>
      <c r="E78" s="118" t="s">
        <v>263</v>
      </c>
      <c r="F78" s="118" t="s">
        <v>90</v>
      </c>
      <c r="G78" s="118">
        <v>1</v>
      </c>
      <c r="H78" s="118" t="s">
        <v>90</v>
      </c>
      <c r="I78" s="118" t="s">
        <v>90</v>
      </c>
      <c r="J78" s="118">
        <f t="shared" si="5"/>
        <v>100</v>
      </c>
      <c r="L78" s="120" t="s">
        <v>296</v>
      </c>
      <c r="M78" s="120" t="s">
        <v>301</v>
      </c>
    </row>
    <row r="79" spans="1:13" ht="30" customHeight="1" x14ac:dyDescent="0.15">
      <c r="A79" s="118">
        <v>47012078</v>
      </c>
      <c r="B79" s="118">
        <v>0</v>
      </c>
      <c r="C79" s="118">
        <v>202</v>
      </c>
      <c r="D79" s="118">
        <v>50</v>
      </c>
      <c r="E79" s="118" t="s">
        <v>263</v>
      </c>
      <c r="F79" s="118" t="s">
        <v>90</v>
      </c>
      <c r="G79" s="118" t="s">
        <v>263</v>
      </c>
      <c r="H79" s="118" t="s">
        <v>90</v>
      </c>
      <c r="I79" s="118" t="s">
        <v>90</v>
      </c>
      <c r="J79" s="118">
        <f t="shared" si="5"/>
        <v>50</v>
      </c>
      <c r="L79" s="120" t="s">
        <v>297</v>
      </c>
      <c r="M79" s="120" t="s">
        <v>291</v>
      </c>
    </row>
    <row r="80" spans="1:13" ht="30" customHeight="1" x14ac:dyDescent="0.15">
      <c r="A80" s="118">
        <v>47012079</v>
      </c>
      <c r="B80" s="118">
        <v>0</v>
      </c>
      <c r="C80" s="118">
        <v>201</v>
      </c>
      <c r="D80" s="118">
        <v>50</v>
      </c>
      <c r="E80" s="118" t="s">
        <v>263</v>
      </c>
      <c r="F80" s="118" t="s">
        <v>90</v>
      </c>
      <c r="G80" s="118" t="s">
        <v>263</v>
      </c>
      <c r="H80" s="118" t="s">
        <v>90</v>
      </c>
      <c r="I80" s="118" t="s">
        <v>90</v>
      </c>
      <c r="J80" s="118">
        <f t="shared" si="5"/>
        <v>50</v>
      </c>
      <c r="L80" s="120" t="s">
        <v>298</v>
      </c>
      <c r="M80" s="120" t="s">
        <v>293</v>
      </c>
    </row>
    <row r="81" spans="1:13" ht="30" customHeight="1" x14ac:dyDescent="0.15">
      <c r="A81" s="118">
        <v>47012080</v>
      </c>
      <c r="B81" s="118">
        <v>0</v>
      </c>
      <c r="C81" s="118">
        <v>200</v>
      </c>
      <c r="D81" s="118">
        <v>100</v>
      </c>
      <c r="E81" s="118" t="s">
        <v>263</v>
      </c>
      <c r="F81" s="118" t="s">
        <v>90</v>
      </c>
      <c r="G81" s="118" t="s">
        <v>263</v>
      </c>
      <c r="H81" s="118" t="s">
        <v>90</v>
      </c>
      <c r="I81" s="118" t="s">
        <v>90</v>
      </c>
      <c r="J81" s="118">
        <f t="shared" si="5"/>
        <v>100</v>
      </c>
      <c r="L81" s="120" t="s">
        <v>299</v>
      </c>
      <c r="M81" s="120" t="s">
        <v>301</v>
      </c>
    </row>
    <row r="82" spans="1:13" ht="30" customHeight="1" x14ac:dyDescent="0.15">
      <c r="A82" s="118">
        <v>47012081</v>
      </c>
      <c r="B82" s="118">
        <v>0</v>
      </c>
      <c r="C82" s="118" t="s">
        <v>53</v>
      </c>
      <c r="D82" s="118">
        <v>100</v>
      </c>
      <c r="E82" s="118" t="s">
        <v>90</v>
      </c>
      <c r="F82" s="118" t="s">
        <v>90</v>
      </c>
      <c r="G82" s="118">
        <v>0</v>
      </c>
      <c r="H82" s="118" t="s">
        <v>90</v>
      </c>
      <c r="I82" s="118">
        <v>0</v>
      </c>
      <c r="J82" s="118">
        <v>100</v>
      </c>
      <c r="L82" s="120" t="s">
        <v>457</v>
      </c>
      <c r="M82" s="120" t="s">
        <v>302</v>
      </c>
    </row>
    <row r="83" spans="1:13" ht="30" customHeight="1" x14ac:dyDescent="0.15">
      <c r="A83" s="122">
        <v>47012082</v>
      </c>
      <c r="B83" s="122">
        <v>1</v>
      </c>
      <c r="C83" s="122" t="s">
        <v>53</v>
      </c>
      <c r="D83" s="122">
        <v>100</v>
      </c>
      <c r="E83" s="122" t="s">
        <v>263</v>
      </c>
      <c r="F83" s="122" t="s">
        <v>90</v>
      </c>
      <c r="G83" s="122">
        <v>1</v>
      </c>
      <c r="H83" s="122" t="s">
        <v>90</v>
      </c>
      <c r="I83" s="122" t="s">
        <v>90</v>
      </c>
      <c r="J83" s="122">
        <f t="shared" si="5"/>
        <v>100</v>
      </c>
      <c r="L83" s="124" t="s">
        <v>303</v>
      </c>
      <c r="M83" s="124" t="s">
        <v>357</v>
      </c>
    </row>
    <row r="84" spans="1:13" ht="30" customHeight="1" x14ac:dyDescent="0.15">
      <c r="A84" s="122">
        <v>47012083</v>
      </c>
      <c r="B84" s="122">
        <v>0</v>
      </c>
      <c r="C84" s="122">
        <v>306</v>
      </c>
      <c r="D84" s="122">
        <v>100</v>
      </c>
      <c r="E84" s="122" t="s">
        <v>263</v>
      </c>
      <c r="F84" s="122" t="s">
        <v>90</v>
      </c>
      <c r="G84" s="122">
        <v>1</v>
      </c>
      <c r="H84" s="122" t="s">
        <v>90</v>
      </c>
      <c r="I84" s="122" t="s">
        <v>90</v>
      </c>
      <c r="J84" s="122">
        <f t="shared" si="5"/>
        <v>100</v>
      </c>
      <c r="L84" s="124" t="s">
        <v>304</v>
      </c>
      <c r="M84" s="124" t="s">
        <v>305</v>
      </c>
    </row>
    <row r="85" spans="1:13" ht="30" customHeight="1" x14ac:dyDescent="0.15">
      <c r="A85" s="122">
        <v>47012084</v>
      </c>
      <c r="B85" s="122">
        <v>0</v>
      </c>
      <c r="C85" s="122">
        <v>305</v>
      </c>
      <c r="D85" s="122">
        <v>30</v>
      </c>
      <c r="E85" s="122" t="s">
        <v>263</v>
      </c>
      <c r="F85" s="122">
        <v>50</v>
      </c>
      <c r="G85" s="122" t="s">
        <v>315</v>
      </c>
      <c r="H85" s="122" t="s">
        <v>90</v>
      </c>
      <c r="I85" s="122" t="s">
        <v>90</v>
      </c>
      <c r="J85" s="122">
        <f t="shared" si="5"/>
        <v>30</v>
      </c>
      <c r="L85" s="124" t="s">
        <v>306</v>
      </c>
      <c r="M85" s="124" t="s">
        <v>346</v>
      </c>
    </row>
    <row r="86" spans="1:13" ht="30" customHeight="1" x14ac:dyDescent="0.15">
      <c r="A86" s="122">
        <v>47012085</v>
      </c>
      <c r="B86" s="122">
        <v>0</v>
      </c>
      <c r="C86" s="122">
        <v>304</v>
      </c>
      <c r="D86" s="122">
        <v>50</v>
      </c>
      <c r="E86" s="122" t="s">
        <v>263</v>
      </c>
      <c r="F86" s="122">
        <v>50</v>
      </c>
      <c r="G86" s="122" t="s">
        <v>315</v>
      </c>
      <c r="H86" s="122" t="s">
        <v>90</v>
      </c>
      <c r="I86" s="122" t="s">
        <v>90</v>
      </c>
      <c r="J86" s="122">
        <f t="shared" si="5"/>
        <v>50</v>
      </c>
      <c r="L86" s="124" t="s">
        <v>307</v>
      </c>
      <c r="M86" s="124" t="s">
        <v>313</v>
      </c>
    </row>
    <row r="87" spans="1:13" ht="30" customHeight="1" x14ac:dyDescent="0.15">
      <c r="A87" s="122">
        <v>47012086</v>
      </c>
      <c r="B87" s="122">
        <v>0</v>
      </c>
      <c r="C87" s="122">
        <v>303</v>
      </c>
      <c r="D87" s="122">
        <v>100</v>
      </c>
      <c r="E87" s="122" t="s">
        <v>263</v>
      </c>
      <c r="F87" s="122">
        <v>50</v>
      </c>
      <c r="G87" s="122" t="s">
        <v>315</v>
      </c>
      <c r="H87" s="122" t="s">
        <v>90</v>
      </c>
      <c r="I87" s="122" t="s">
        <v>90</v>
      </c>
      <c r="J87" s="122">
        <f t="shared" si="5"/>
        <v>100</v>
      </c>
      <c r="L87" s="124" t="s">
        <v>308</v>
      </c>
      <c r="M87" s="124" t="s">
        <v>312</v>
      </c>
    </row>
    <row r="88" spans="1:13" ht="30" customHeight="1" x14ac:dyDescent="0.15">
      <c r="A88" s="122">
        <v>47012087</v>
      </c>
      <c r="B88" s="122">
        <v>0</v>
      </c>
      <c r="C88" s="122">
        <v>302</v>
      </c>
      <c r="D88" s="122">
        <v>20</v>
      </c>
      <c r="E88" s="122">
        <v>50</v>
      </c>
      <c r="F88" s="122" t="s">
        <v>90</v>
      </c>
      <c r="G88" s="122" t="s">
        <v>315</v>
      </c>
      <c r="H88" s="122" t="s">
        <v>90</v>
      </c>
      <c r="I88" s="122" t="s">
        <v>90</v>
      </c>
      <c r="J88" s="122">
        <f t="shared" si="5"/>
        <v>20</v>
      </c>
      <c r="L88" s="124" t="s">
        <v>309</v>
      </c>
      <c r="M88" s="124" t="s">
        <v>346</v>
      </c>
    </row>
    <row r="89" spans="1:13" ht="30" customHeight="1" x14ac:dyDescent="0.15">
      <c r="A89" s="122">
        <v>47012088</v>
      </c>
      <c r="B89" s="122">
        <v>0</v>
      </c>
      <c r="C89" s="122">
        <v>301</v>
      </c>
      <c r="D89" s="122">
        <v>40</v>
      </c>
      <c r="E89" s="122">
        <v>50</v>
      </c>
      <c r="F89" s="122" t="s">
        <v>90</v>
      </c>
      <c r="G89" s="122">
        <v>3</v>
      </c>
      <c r="H89" s="122" t="s">
        <v>90</v>
      </c>
      <c r="I89" s="122" t="s">
        <v>90</v>
      </c>
      <c r="J89" s="122">
        <f t="shared" si="5"/>
        <v>40</v>
      </c>
      <c r="L89" s="124" t="s">
        <v>310</v>
      </c>
      <c r="M89" s="124" t="s">
        <v>314</v>
      </c>
    </row>
    <row r="90" spans="1:13" ht="30" customHeight="1" x14ac:dyDescent="0.15">
      <c r="A90" s="122">
        <v>47012089</v>
      </c>
      <c r="B90" s="122">
        <v>0</v>
      </c>
      <c r="C90" s="122">
        <v>300</v>
      </c>
      <c r="D90" s="122">
        <v>100</v>
      </c>
      <c r="E90" s="122">
        <v>50</v>
      </c>
      <c r="F90" s="122" t="s">
        <v>90</v>
      </c>
      <c r="G90" s="122" t="s">
        <v>315</v>
      </c>
      <c r="H90" s="122" t="s">
        <v>90</v>
      </c>
      <c r="I90" s="122" t="s">
        <v>90</v>
      </c>
      <c r="J90" s="122">
        <f t="shared" si="5"/>
        <v>100</v>
      </c>
      <c r="L90" s="124" t="s">
        <v>311</v>
      </c>
      <c r="M90" s="124" t="s">
        <v>312</v>
      </c>
    </row>
    <row r="91" spans="1:13" ht="30" customHeight="1" x14ac:dyDescent="0.15">
      <c r="A91" s="127">
        <v>47012090</v>
      </c>
      <c r="B91" s="127">
        <v>1</v>
      </c>
      <c r="C91" s="127" t="s">
        <v>53</v>
      </c>
      <c r="D91" s="127">
        <v>100</v>
      </c>
      <c r="E91" s="127" t="s">
        <v>263</v>
      </c>
      <c r="F91" s="127" t="s">
        <v>90</v>
      </c>
      <c r="G91" s="127">
        <v>1</v>
      </c>
      <c r="H91" s="127" t="s">
        <v>90</v>
      </c>
      <c r="I91" s="127" t="s">
        <v>90</v>
      </c>
      <c r="J91" s="127">
        <f t="shared" si="5"/>
        <v>100</v>
      </c>
      <c r="L91" s="129" t="s">
        <v>316</v>
      </c>
      <c r="M91" s="129" t="s">
        <v>356</v>
      </c>
    </row>
    <row r="92" spans="1:13" ht="30" customHeight="1" x14ac:dyDescent="0.15">
      <c r="A92" s="127">
        <v>47012091</v>
      </c>
      <c r="B92" s="127">
        <v>0</v>
      </c>
      <c r="C92" s="127">
        <v>329</v>
      </c>
      <c r="D92" s="127">
        <v>100</v>
      </c>
      <c r="E92" s="127" t="s">
        <v>263</v>
      </c>
      <c r="F92" s="127" t="s">
        <v>90</v>
      </c>
      <c r="G92" s="127">
        <v>1</v>
      </c>
      <c r="H92" s="127" t="s">
        <v>90</v>
      </c>
      <c r="I92" s="127" t="s">
        <v>90</v>
      </c>
      <c r="J92" s="127">
        <f t="shared" si="5"/>
        <v>100</v>
      </c>
      <c r="L92" s="129" t="s">
        <v>317</v>
      </c>
      <c r="M92" s="129" t="s">
        <v>355</v>
      </c>
    </row>
    <row r="93" spans="1:13" ht="30" customHeight="1" x14ac:dyDescent="0.15">
      <c r="A93" s="127">
        <v>47012092</v>
      </c>
      <c r="B93" s="127">
        <v>0</v>
      </c>
      <c r="C93" s="127">
        <v>328</v>
      </c>
      <c r="D93" s="127">
        <v>100</v>
      </c>
      <c r="E93" s="127" t="s">
        <v>263</v>
      </c>
      <c r="F93" s="127" t="s">
        <v>90</v>
      </c>
      <c r="G93" s="127">
        <v>1</v>
      </c>
      <c r="H93" s="127" t="s">
        <v>90</v>
      </c>
      <c r="I93" s="127" t="s">
        <v>90</v>
      </c>
      <c r="J93" s="127">
        <f t="shared" si="5"/>
        <v>100</v>
      </c>
      <c r="L93" s="129" t="s">
        <v>318</v>
      </c>
      <c r="M93" s="129" t="s">
        <v>359</v>
      </c>
    </row>
    <row r="94" spans="1:13" ht="30" customHeight="1" x14ac:dyDescent="0.15">
      <c r="A94" s="127">
        <v>47012093</v>
      </c>
      <c r="B94" s="127">
        <v>0</v>
      </c>
      <c r="C94" s="127">
        <v>327</v>
      </c>
      <c r="D94" s="127">
        <v>100</v>
      </c>
      <c r="E94" s="127" t="s">
        <v>263</v>
      </c>
      <c r="F94" s="127" t="s">
        <v>90</v>
      </c>
      <c r="G94" s="127">
        <v>1</v>
      </c>
      <c r="H94" s="127" t="s">
        <v>90</v>
      </c>
      <c r="I94" s="127" t="s">
        <v>90</v>
      </c>
      <c r="J94" s="127">
        <f t="shared" si="5"/>
        <v>100</v>
      </c>
      <c r="L94" s="129" t="s">
        <v>319</v>
      </c>
      <c r="M94" s="129" t="s">
        <v>341</v>
      </c>
    </row>
    <row r="95" spans="1:13" ht="42" x14ac:dyDescent="0.15">
      <c r="A95" s="127">
        <v>47012094</v>
      </c>
      <c r="B95" s="127">
        <v>0</v>
      </c>
      <c r="C95" s="127">
        <v>326</v>
      </c>
      <c r="D95" s="127">
        <v>100</v>
      </c>
      <c r="E95" s="127" t="s">
        <v>263</v>
      </c>
      <c r="F95" s="127" t="s">
        <v>90</v>
      </c>
      <c r="G95" s="127">
        <v>1</v>
      </c>
      <c r="H95" s="127" t="s">
        <v>90</v>
      </c>
      <c r="I95" s="127" t="s">
        <v>90</v>
      </c>
      <c r="J95" s="127">
        <f t="shared" si="5"/>
        <v>100</v>
      </c>
      <c r="L95" s="129" t="s">
        <v>343</v>
      </c>
      <c r="M95" s="129" t="s">
        <v>358</v>
      </c>
    </row>
    <row r="96" spans="1:13" ht="30" customHeight="1" x14ac:dyDescent="0.15">
      <c r="A96" s="127">
        <v>47012095</v>
      </c>
      <c r="B96" s="127">
        <v>0</v>
      </c>
      <c r="C96" s="127">
        <v>325</v>
      </c>
      <c r="D96" s="127">
        <v>100</v>
      </c>
      <c r="E96" s="127" t="s">
        <v>263</v>
      </c>
      <c r="F96" s="127" t="s">
        <v>90</v>
      </c>
      <c r="G96" s="127">
        <v>1</v>
      </c>
      <c r="H96" s="127" t="s">
        <v>90</v>
      </c>
      <c r="I96" s="127" t="s">
        <v>90</v>
      </c>
      <c r="J96" s="127">
        <f t="shared" si="5"/>
        <v>100</v>
      </c>
      <c r="L96" s="129" t="s">
        <v>344</v>
      </c>
      <c r="M96" s="129" t="s">
        <v>312</v>
      </c>
    </row>
    <row r="97" spans="1:13" ht="30" customHeight="1" x14ac:dyDescent="0.15">
      <c r="A97" s="127">
        <v>47012096</v>
      </c>
      <c r="B97" s="127">
        <v>0</v>
      </c>
      <c r="C97" s="127">
        <v>324</v>
      </c>
      <c r="D97" s="127">
        <v>100</v>
      </c>
      <c r="E97" s="127" t="s">
        <v>263</v>
      </c>
      <c r="F97" s="127" t="s">
        <v>90</v>
      </c>
      <c r="G97" s="127">
        <v>1</v>
      </c>
      <c r="H97" s="127" t="s">
        <v>90</v>
      </c>
      <c r="I97" s="127" t="s">
        <v>90</v>
      </c>
      <c r="J97" s="127">
        <f t="shared" si="5"/>
        <v>100</v>
      </c>
      <c r="L97" s="129" t="s">
        <v>345</v>
      </c>
      <c r="M97" s="129" t="s">
        <v>342</v>
      </c>
    </row>
    <row r="98" spans="1:13" ht="30" customHeight="1" x14ac:dyDescent="0.15">
      <c r="A98" s="127">
        <v>47012097</v>
      </c>
      <c r="B98" s="127">
        <v>0</v>
      </c>
      <c r="C98" s="127">
        <v>323</v>
      </c>
      <c r="D98" s="127">
        <v>20</v>
      </c>
      <c r="E98" s="127" t="s">
        <v>263</v>
      </c>
      <c r="F98" s="127" t="s">
        <v>90</v>
      </c>
      <c r="G98" s="127" t="s">
        <v>263</v>
      </c>
      <c r="H98" s="127" t="s">
        <v>90</v>
      </c>
      <c r="I98" s="127" t="s">
        <v>90</v>
      </c>
      <c r="J98" s="127">
        <f t="shared" si="5"/>
        <v>20</v>
      </c>
      <c r="L98" s="129" t="s">
        <v>320</v>
      </c>
      <c r="M98" s="129" t="s">
        <v>347</v>
      </c>
    </row>
    <row r="99" spans="1:13" ht="30" customHeight="1" x14ac:dyDescent="0.15">
      <c r="A99" s="127">
        <v>47012098</v>
      </c>
      <c r="B99" s="127">
        <v>0</v>
      </c>
      <c r="C99" s="127">
        <v>322</v>
      </c>
      <c r="D99" s="127">
        <v>40</v>
      </c>
      <c r="E99" s="127" t="s">
        <v>263</v>
      </c>
      <c r="F99" s="127" t="s">
        <v>90</v>
      </c>
      <c r="G99" s="127" t="s">
        <v>263</v>
      </c>
      <c r="H99" s="127" t="s">
        <v>90</v>
      </c>
      <c r="I99" s="127" t="s">
        <v>90</v>
      </c>
      <c r="J99" s="127">
        <f t="shared" si="5"/>
        <v>40</v>
      </c>
      <c r="L99" s="129" t="s">
        <v>321</v>
      </c>
      <c r="M99" s="129" t="s">
        <v>341</v>
      </c>
    </row>
    <row r="100" spans="1:13" ht="30" customHeight="1" x14ac:dyDescent="0.15">
      <c r="A100" s="127">
        <v>47012099</v>
      </c>
      <c r="B100" s="127">
        <v>0</v>
      </c>
      <c r="C100" s="127">
        <v>321</v>
      </c>
      <c r="D100" s="127">
        <v>40</v>
      </c>
      <c r="E100" s="127" t="s">
        <v>263</v>
      </c>
      <c r="F100" s="127" t="s">
        <v>90</v>
      </c>
      <c r="G100" s="127" t="s">
        <v>263</v>
      </c>
      <c r="H100" s="127" t="s">
        <v>90</v>
      </c>
      <c r="I100" s="127" t="s">
        <v>90</v>
      </c>
      <c r="J100" s="127">
        <f t="shared" si="5"/>
        <v>40</v>
      </c>
      <c r="L100" s="129" t="s">
        <v>322</v>
      </c>
      <c r="M100" s="129" t="s">
        <v>342</v>
      </c>
    </row>
    <row r="101" spans="1:13" ht="30" customHeight="1" x14ac:dyDescent="0.15">
      <c r="A101" s="127">
        <v>47012100</v>
      </c>
      <c r="B101" s="127">
        <v>0</v>
      </c>
      <c r="C101" s="127">
        <v>320</v>
      </c>
      <c r="D101" s="127">
        <v>100</v>
      </c>
      <c r="E101" s="127" t="s">
        <v>263</v>
      </c>
      <c r="F101" s="127" t="s">
        <v>90</v>
      </c>
      <c r="G101" s="127" t="s">
        <v>263</v>
      </c>
      <c r="H101" s="127" t="s">
        <v>90</v>
      </c>
      <c r="I101" s="127" t="s">
        <v>90</v>
      </c>
      <c r="J101" s="127">
        <f t="shared" si="5"/>
        <v>100</v>
      </c>
      <c r="L101" s="129" t="s">
        <v>323</v>
      </c>
      <c r="M101" s="129" t="s">
        <v>360</v>
      </c>
    </row>
    <row r="102" spans="1:13" ht="30" customHeight="1" x14ac:dyDescent="0.15">
      <c r="A102" s="132">
        <v>47012101</v>
      </c>
      <c r="B102" s="132">
        <v>1</v>
      </c>
      <c r="C102" s="132" t="s">
        <v>53</v>
      </c>
      <c r="D102" s="132">
        <v>100</v>
      </c>
      <c r="E102" s="132" t="s">
        <v>263</v>
      </c>
      <c r="F102" s="132" t="s">
        <v>90</v>
      </c>
      <c r="G102" s="132">
        <v>1</v>
      </c>
      <c r="H102" s="132" t="s">
        <v>90</v>
      </c>
      <c r="I102" s="132" t="s">
        <v>90</v>
      </c>
      <c r="J102" s="132">
        <f t="shared" si="5"/>
        <v>100</v>
      </c>
      <c r="L102" s="134" t="s">
        <v>324</v>
      </c>
      <c r="M102" s="134" t="s">
        <v>361</v>
      </c>
    </row>
    <row r="103" spans="1:13" ht="42" x14ac:dyDescent="0.15">
      <c r="A103" s="132">
        <v>47012102</v>
      </c>
      <c r="B103" s="132">
        <v>0</v>
      </c>
      <c r="C103" s="132">
        <v>354</v>
      </c>
      <c r="D103" s="132">
        <v>100</v>
      </c>
      <c r="E103" s="132" t="s">
        <v>263</v>
      </c>
      <c r="F103" s="132" t="s">
        <v>90</v>
      </c>
      <c r="G103" s="132">
        <v>1</v>
      </c>
      <c r="H103" s="132" t="s">
        <v>90</v>
      </c>
      <c r="I103" s="132" t="s">
        <v>90</v>
      </c>
      <c r="J103" s="132">
        <f t="shared" si="5"/>
        <v>100</v>
      </c>
      <c r="L103" s="134" t="s">
        <v>325</v>
      </c>
      <c r="M103" s="134" t="s">
        <v>362</v>
      </c>
    </row>
    <row r="104" spans="1:13" ht="30" customHeight="1" x14ac:dyDescent="0.15">
      <c r="A104" s="132">
        <v>47012103</v>
      </c>
      <c r="B104" s="132">
        <v>0</v>
      </c>
      <c r="C104" s="132">
        <v>353</v>
      </c>
      <c r="D104" s="132">
        <v>100</v>
      </c>
      <c r="E104" s="132" t="s">
        <v>263</v>
      </c>
      <c r="F104" s="132" t="s">
        <v>90</v>
      </c>
      <c r="G104" s="132">
        <v>1</v>
      </c>
      <c r="H104" s="132" t="s">
        <v>90</v>
      </c>
      <c r="I104" s="132" t="s">
        <v>90</v>
      </c>
      <c r="J104" s="132">
        <f t="shared" si="5"/>
        <v>100</v>
      </c>
      <c r="L104" s="134" t="s">
        <v>329</v>
      </c>
      <c r="M104" s="134" t="s">
        <v>348</v>
      </c>
    </row>
    <row r="105" spans="1:13" ht="30" customHeight="1" x14ac:dyDescent="0.15">
      <c r="A105" s="132">
        <v>47012104</v>
      </c>
      <c r="B105" s="132">
        <v>0</v>
      </c>
      <c r="C105" s="132">
        <v>352</v>
      </c>
      <c r="D105" s="132">
        <v>100</v>
      </c>
      <c r="E105" s="132" t="s">
        <v>263</v>
      </c>
      <c r="F105" s="132" t="s">
        <v>90</v>
      </c>
      <c r="G105" s="132">
        <v>1</v>
      </c>
      <c r="H105" s="132" t="s">
        <v>90</v>
      </c>
      <c r="I105" s="132" t="s">
        <v>90</v>
      </c>
      <c r="J105" s="132">
        <f t="shared" si="5"/>
        <v>100</v>
      </c>
      <c r="L105" s="134" t="s">
        <v>330</v>
      </c>
      <c r="M105" s="134" t="s">
        <v>349</v>
      </c>
    </row>
    <row r="106" spans="1:13" ht="30" customHeight="1" x14ac:dyDescent="0.15">
      <c r="A106" s="132">
        <v>47012105</v>
      </c>
      <c r="B106" s="132">
        <v>0</v>
      </c>
      <c r="C106" s="132">
        <v>351</v>
      </c>
      <c r="D106" s="132">
        <v>100</v>
      </c>
      <c r="E106" s="132" t="s">
        <v>263</v>
      </c>
      <c r="F106" s="132" t="s">
        <v>90</v>
      </c>
      <c r="G106" s="132">
        <v>1</v>
      </c>
      <c r="H106" s="132" t="s">
        <v>90</v>
      </c>
      <c r="I106" s="132" t="s">
        <v>90</v>
      </c>
      <c r="J106" s="132">
        <f t="shared" si="5"/>
        <v>100</v>
      </c>
      <c r="L106" s="134" t="s">
        <v>331</v>
      </c>
      <c r="M106" s="134" t="s">
        <v>350</v>
      </c>
    </row>
    <row r="107" spans="1:13" ht="30" customHeight="1" x14ac:dyDescent="0.15">
      <c r="A107" s="132">
        <v>47012106</v>
      </c>
      <c r="B107" s="132">
        <v>0</v>
      </c>
      <c r="C107" s="132">
        <v>350</v>
      </c>
      <c r="D107" s="132">
        <v>100</v>
      </c>
      <c r="E107" s="132" t="s">
        <v>263</v>
      </c>
      <c r="F107" s="132" t="s">
        <v>90</v>
      </c>
      <c r="G107" s="132">
        <v>1</v>
      </c>
      <c r="H107" s="132" t="s">
        <v>90</v>
      </c>
      <c r="I107" s="132" t="s">
        <v>90</v>
      </c>
      <c r="J107" s="132">
        <f t="shared" si="5"/>
        <v>100</v>
      </c>
      <c r="L107" s="134" t="s">
        <v>332</v>
      </c>
      <c r="M107" s="134" t="s">
        <v>351</v>
      </c>
    </row>
    <row r="108" spans="1:13" ht="30" customHeight="1" x14ac:dyDescent="0.15">
      <c r="A108" s="132">
        <v>47012107</v>
      </c>
      <c r="B108" s="132">
        <v>0</v>
      </c>
      <c r="C108" s="132">
        <v>349</v>
      </c>
      <c r="D108" s="132">
        <v>100</v>
      </c>
      <c r="E108" s="132" t="s">
        <v>263</v>
      </c>
      <c r="F108" s="132" t="s">
        <v>90</v>
      </c>
      <c r="G108" s="132">
        <v>1</v>
      </c>
      <c r="H108" s="132" t="s">
        <v>90</v>
      </c>
      <c r="I108" s="132" t="s">
        <v>90</v>
      </c>
      <c r="J108" s="132">
        <f t="shared" si="5"/>
        <v>100</v>
      </c>
      <c r="L108" s="134" t="s">
        <v>333</v>
      </c>
      <c r="M108" s="134" t="s">
        <v>352</v>
      </c>
    </row>
    <row r="109" spans="1:13" ht="30" customHeight="1" x14ac:dyDescent="0.15">
      <c r="A109" s="132">
        <v>47012108</v>
      </c>
      <c r="B109" s="132">
        <v>0</v>
      </c>
      <c r="C109" s="132">
        <v>348</v>
      </c>
      <c r="D109" s="132">
        <v>20</v>
      </c>
      <c r="E109" s="132" t="s">
        <v>263</v>
      </c>
      <c r="F109" s="132" t="s">
        <v>90</v>
      </c>
      <c r="G109" s="132" t="s">
        <v>263</v>
      </c>
      <c r="H109" s="132" t="s">
        <v>90</v>
      </c>
      <c r="I109" s="132" t="s">
        <v>90</v>
      </c>
      <c r="J109" s="132">
        <f t="shared" si="5"/>
        <v>20</v>
      </c>
      <c r="L109" s="134" t="s">
        <v>334</v>
      </c>
      <c r="M109" s="134" t="s">
        <v>346</v>
      </c>
    </row>
    <row r="110" spans="1:13" ht="30" customHeight="1" x14ac:dyDescent="0.15">
      <c r="A110" s="132">
        <v>47012109</v>
      </c>
      <c r="B110" s="132">
        <v>0</v>
      </c>
      <c r="C110" s="132">
        <v>347</v>
      </c>
      <c r="D110" s="132">
        <v>40</v>
      </c>
      <c r="E110" s="132" t="s">
        <v>263</v>
      </c>
      <c r="F110" s="132" t="s">
        <v>90</v>
      </c>
      <c r="G110" s="132" t="s">
        <v>263</v>
      </c>
      <c r="H110" s="132" t="s">
        <v>90</v>
      </c>
      <c r="I110" s="132" t="s">
        <v>90</v>
      </c>
      <c r="J110" s="132">
        <f t="shared" si="5"/>
        <v>40</v>
      </c>
      <c r="L110" s="134" t="s">
        <v>335</v>
      </c>
      <c r="M110" s="134" t="s">
        <v>363</v>
      </c>
    </row>
    <row r="111" spans="1:13" ht="30" customHeight="1" x14ac:dyDescent="0.15">
      <c r="A111" s="132">
        <v>47012110</v>
      </c>
      <c r="B111" s="132">
        <v>0</v>
      </c>
      <c r="C111" s="132">
        <v>346</v>
      </c>
      <c r="D111" s="132">
        <v>40</v>
      </c>
      <c r="E111" s="132" t="s">
        <v>263</v>
      </c>
      <c r="F111" s="132" t="s">
        <v>90</v>
      </c>
      <c r="G111" s="132" t="s">
        <v>263</v>
      </c>
      <c r="H111" s="132" t="s">
        <v>90</v>
      </c>
      <c r="I111" s="132" t="s">
        <v>90</v>
      </c>
      <c r="J111" s="132">
        <f t="shared" si="5"/>
        <v>40</v>
      </c>
      <c r="L111" s="134" t="s">
        <v>336</v>
      </c>
      <c r="M111" s="134" t="s">
        <v>353</v>
      </c>
    </row>
    <row r="112" spans="1:13" ht="30" customHeight="1" x14ac:dyDescent="0.15">
      <c r="A112" s="132">
        <v>47012111</v>
      </c>
      <c r="B112" s="132">
        <v>0</v>
      </c>
      <c r="C112" s="132">
        <v>345</v>
      </c>
      <c r="D112" s="132">
        <v>40</v>
      </c>
      <c r="E112" s="132" t="s">
        <v>263</v>
      </c>
      <c r="F112" s="132" t="s">
        <v>90</v>
      </c>
      <c r="G112" s="132" t="s">
        <v>263</v>
      </c>
      <c r="H112" s="132" t="s">
        <v>90</v>
      </c>
      <c r="I112" s="132" t="s">
        <v>90</v>
      </c>
      <c r="J112" s="132">
        <f t="shared" si="5"/>
        <v>40</v>
      </c>
      <c r="L112" s="134" t="s">
        <v>337</v>
      </c>
      <c r="M112" s="134" t="s">
        <v>354</v>
      </c>
    </row>
    <row r="113" spans="1:13" ht="30" customHeight="1" x14ac:dyDescent="0.15">
      <c r="A113" s="132">
        <v>47012112</v>
      </c>
      <c r="B113" s="132">
        <v>0</v>
      </c>
      <c r="C113" s="132">
        <v>343</v>
      </c>
      <c r="D113" s="132">
        <v>100</v>
      </c>
      <c r="E113" s="132" t="s">
        <v>263</v>
      </c>
      <c r="F113" s="132" t="s">
        <v>90</v>
      </c>
      <c r="G113" s="132" t="s">
        <v>263</v>
      </c>
      <c r="H113" s="132" t="s">
        <v>90</v>
      </c>
      <c r="I113" s="132" t="s">
        <v>90</v>
      </c>
      <c r="J113" s="132">
        <f t="shared" si="5"/>
        <v>100</v>
      </c>
      <c r="L113" s="134" t="s">
        <v>338</v>
      </c>
      <c r="M113" s="134" t="s">
        <v>364</v>
      </c>
    </row>
    <row r="114" spans="1:13" ht="30" customHeight="1" x14ac:dyDescent="0.15">
      <c r="A114" s="132">
        <v>47012113</v>
      </c>
      <c r="B114" s="132">
        <v>0</v>
      </c>
      <c r="C114" s="132">
        <v>362</v>
      </c>
      <c r="D114" s="132">
        <v>100</v>
      </c>
      <c r="E114" s="132">
        <v>30</v>
      </c>
      <c r="F114" s="132" t="s">
        <v>90</v>
      </c>
      <c r="G114" s="132">
        <v>1</v>
      </c>
      <c r="H114" s="132" t="s">
        <v>90</v>
      </c>
      <c r="I114" s="132" t="s">
        <v>90</v>
      </c>
      <c r="J114" s="132">
        <f t="shared" si="5"/>
        <v>100</v>
      </c>
      <c r="L114" s="134" t="s">
        <v>326</v>
      </c>
      <c r="M114" s="134" t="s">
        <v>340</v>
      </c>
    </row>
    <row r="115" spans="1:13" ht="30" customHeight="1" x14ac:dyDescent="0.15">
      <c r="A115" s="132">
        <v>47012114</v>
      </c>
      <c r="B115" s="132">
        <v>0</v>
      </c>
      <c r="C115" s="132">
        <v>361</v>
      </c>
      <c r="D115" s="132">
        <v>100</v>
      </c>
      <c r="E115" s="132">
        <v>30</v>
      </c>
      <c r="F115" s="132" t="s">
        <v>90</v>
      </c>
      <c r="G115" s="132">
        <v>1</v>
      </c>
      <c r="H115" s="132" t="s">
        <v>90</v>
      </c>
      <c r="I115" s="132" t="s">
        <v>90</v>
      </c>
      <c r="J115" s="132">
        <f t="shared" si="5"/>
        <v>100</v>
      </c>
      <c r="L115" s="134" t="s">
        <v>327</v>
      </c>
      <c r="M115" s="134" t="s">
        <v>368</v>
      </c>
    </row>
    <row r="116" spans="1:13" ht="30" customHeight="1" x14ac:dyDescent="0.15">
      <c r="A116" s="132">
        <v>47012115</v>
      </c>
      <c r="B116" s="132">
        <v>0</v>
      </c>
      <c r="C116" s="132">
        <v>360</v>
      </c>
      <c r="D116" s="132">
        <v>100</v>
      </c>
      <c r="E116" s="132">
        <v>30</v>
      </c>
      <c r="F116" s="132" t="s">
        <v>90</v>
      </c>
      <c r="G116" s="132">
        <v>1</v>
      </c>
      <c r="H116" s="132" t="s">
        <v>90</v>
      </c>
      <c r="I116" s="132" t="s">
        <v>90</v>
      </c>
      <c r="J116" s="132">
        <f t="shared" si="5"/>
        <v>100</v>
      </c>
      <c r="L116" s="134" t="s">
        <v>328</v>
      </c>
      <c r="M116" s="134" t="s">
        <v>339</v>
      </c>
    </row>
    <row r="117" spans="1:13" ht="30" customHeight="1" x14ac:dyDescent="0.15">
      <c r="A117" s="132">
        <v>47012116</v>
      </c>
      <c r="B117" s="132">
        <v>0</v>
      </c>
      <c r="C117" s="132" t="s">
        <v>263</v>
      </c>
      <c r="D117" s="132">
        <v>100</v>
      </c>
      <c r="E117" s="132" t="s">
        <v>263</v>
      </c>
      <c r="F117" s="132" t="s">
        <v>90</v>
      </c>
      <c r="G117" s="132">
        <v>0</v>
      </c>
      <c r="H117" s="132" t="s">
        <v>90</v>
      </c>
      <c r="I117" s="132">
        <v>0</v>
      </c>
      <c r="J117" s="132">
        <f t="shared" ref="J117:J125" si="6">D117</f>
        <v>100</v>
      </c>
      <c r="L117" s="134" t="s">
        <v>405</v>
      </c>
      <c r="M117" s="134" t="s">
        <v>406</v>
      </c>
    </row>
    <row r="118" spans="1:13" s="49" customFormat="1" ht="30" customHeight="1" x14ac:dyDescent="0.15">
      <c r="A118" s="147">
        <v>47012117</v>
      </c>
      <c r="B118" s="147">
        <v>1</v>
      </c>
      <c r="C118" s="147">
        <v>406</v>
      </c>
      <c r="D118" s="147">
        <v>100</v>
      </c>
      <c r="E118" s="147" t="s">
        <v>90</v>
      </c>
      <c r="F118" s="147" t="s">
        <v>90</v>
      </c>
      <c r="G118" s="147">
        <v>1</v>
      </c>
      <c r="H118" s="147" t="s">
        <v>90</v>
      </c>
      <c r="I118" s="147">
        <v>1499</v>
      </c>
      <c r="J118" s="147">
        <f t="shared" ref="J118:J124" si="7">D118</f>
        <v>100</v>
      </c>
      <c r="K118" s="39"/>
      <c r="L118" s="148" t="s">
        <v>402</v>
      </c>
      <c r="M118" s="148"/>
    </row>
    <row r="119" spans="1:13" s="49" customFormat="1" ht="30" customHeight="1" x14ac:dyDescent="0.15">
      <c r="A119" s="147">
        <v>47012118</v>
      </c>
      <c r="B119" s="147">
        <v>1</v>
      </c>
      <c r="C119" s="147">
        <v>407</v>
      </c>
      <c r="D119" s="147">
        <v>100</v>
      </c>
      <c r="E119" s="147" t="s">
        <v>90</v>
      </c>
      <c r="F119" s="147" t="s">
        <v>90</v>
      </c>
      <c r="G119" s="147">
        <v>1</v>
      </c>
      <c r="H119" s="147" t="s">
        <v>90</v>
      </c>
      <c r="I119" s="147">
        <v>1500</v>
      </c>
      <c r="J119" s="147">
        <f t="shared" si="7"/>
        <v>100</v>
      </c>
      <c r="K119" s="39"/>
      <c r="L119" s="148" t="s">
        <v>404</v>
      </c>
      <c r="M119" s="148"/>
    </row>
    <row r="120" spans="1:13" s="49" customFormat="1" ht="30" customHeight="1" x14ac:dyDescent="0.15">
      <c r="A120" s="147">
        <v>47012119</v>
      </c>
      <c r="B120" s="147">
        <v>1</v>
      </c>
      <c r="C120" s="147">
        <v>404</v>
      </c>
      <c r="D120" s="147">
        <v>100</v>
      </c>
      <c r="E120" s="147" t="s">
        <v>90</v>
      </c>
      <c r="F120" s="147" t="s">
        <v>90</v>
      </c>
      <c r="G120" s="147">
        <v>1</v>
      </c>
      <c r="H120" s="147" t="s">
        <v>90</v>
      </c>
      <c r="I120" s="147">
        <v>1431</v>
      </c>
      <c r="J120" s="147">
        <f t="shared" si="7"/>
        <v>100</v>
      </c>
      <c r="K120" s="39"/>
      <c r="L120" s="148" t="s">
        <v>401</v>
      </c>
      <c r="M120" s="148"/>
    </row>
    <row r="121" spans="1:13" s="49" customFormat="1" ht="30" customHeight="1" x14ac:dyDescent="0.15">
      <c r="A121" s="147">
        <v>47012120</v>
      </c>
      <c r="B121" s="147">
        <v>1</v>
      </c>
      <c r="C121" s="147">
        <v>405</v>
      </c>
      <c r="D121" s="147">
        <v>100</v>
      </c>
      <c r="E121" s="147" t="s">
        <v>90</v>
      </c>
      <c r="F121" s="147" t="s">
        <v>90</v>
      </c>
      <c r="G121" s="147">
        <v>1</v>
      </c>
      <c r="H121" s="147" t="s">
        <v>90</v>
      </c>
      <c r="I121" s="147">
        <v>1432</v>
      </c>
      <c r="J121" s="147">
        <f t="shared" si="7"/>
        <v>100</v>
      </c>
      <c r="K121" s="39"/>
      <c r="L121" s="148" t="s">
        <v>403</v>
      </c>
      <c r="M121" s="148"/>
    </row>
    <row r="122" spans="1:13" s="49" customFormat="1" ht="30" customHeight="1" x14ac:dyDescent="0.15">
      <c r="A122" s="147">
        <v>47012121</v>
      </c>
      <c r="B122" s="147">
        <v>1</v>
      </c>
      <c r="C122" s="147">
        <v>403</v>
      </c>
      <c r="D122" s="147">
        <v>100</v>
      </c>
      <c r="E122" s="147" t="s">
        <v>90</v>
      </c>
      <c r="F122" s="147" t="s">
        <v>90</v>
      </c>
      <c r="G122" s="147">
        <v>1</v>
      </c>
      <c r="H122" s="147" t="s">
        <v>90</v>
      </c>
      <c r="I122" s="147">
        <v>1495</v>
      </c>
      <c r="J122" s="147">
        <f t="shared" si="7"/>
        <v>100</v>
      </c>
      <c r="K122" s="39"/>
      <c r="L122" s="148" t="s">
        <v>452</v>
      </c>
      <c r="M122" s="149" t="s">
        <v>442</v>
      </c>
    </row>
    <row r="123" spans="1:13" s="49" customFormat="1" ht="30" customHeight="1" x14ac:dyDescent="0.15">
      <c r="A123" s="147">
        <v>47012122</v>
      </c>
      <c r="B123" s="147">
        <v>1</v>
      </c>
      <c r="C123" s="147">
        <v>402</v>
      </c>
      <c r="D123" s="147">
        <v>100</v>
      </c>
      <c r="E123" s="147" t="s">
        <v>90</v>
      </c>
      <c r="F123" s="147" t="s">
        <v>90</v>
      </c>
      <c r="G123" s="147">
        <v>1</v>
      </c>
      <c r="H123" s="147" t="s">
        <v>90</v>
      </c>
      <c r="I123" s="147">
        <v>1496</v>
      </c>
      <c r="J123" s="147">
        <f t="shared" si="7"/>
        <v>100</v>
      </c>
      <c r="K123" s="39"/>
      <c r="L123" s="148" t="s">
        <v>450</v>
      </c>
      <c r="M123" s="149" t="s">
        <v>447</v>
      </c>
    </row>
    <row r="124" spans="1:13" s="49" customFormat="1" ht="30" customHeight="1" x14ac:dyDescent="0.15">
      <c r="A124" s="147">
        <v>47012123</v>
      </c>
      <c r="B124" s="147">
        <v>1</v>
      </c>
      <c r="C124" s="147">
        <v>401</v>
      </c>
      <c r="D124" s="147">
        <v>100</v>
      </c>
      <c r="E124" s="147" t="s">
        <v>90</v>
      </c>
      <c r="F124" s="147" t="s">
        <v>90</v>
      </c>
      <c r="G124" s="147">
        <v>1</v>
      </c>
      <c r="H124" s="147" t="s">
        <v>90</v>
      </c>
      <c r="I124" s="147">
        <v>1501</v>
      </c>
      <c r="J124" s="147">
        <f t="shared" si="7"/>
        <v>100</v>
      </c>
      <c r="K124" s="39"/>
      <c r="L124" s="148" t="s">
        <v>451</v>
      </c>
      <c r="M124" s="149" t="s">
        <v>444</v>
      </c>
    </row>
    <row r="125" spans="1:13" ht="30" customHeight="1" x14ac:dyDescent="0.15">
      <c r="A125" s="122">
        <v>47012124</v>
      </c>
      <c r="B125" s="122">
        <v>1</v>
      </c>
      <c r="C125" s="122">
        <v>406</v>
      </c>
      <c r="D125" s="122">
        <v>100</v>
      </c>
      <c r="E125" s="122" t="s">
        <v>90</v>
      </c>
      <c r="F125" s="122" t="s">
        <v>90</v>
      </c>
      <c r="G125" s="122">
        <v>1</v>
      </c>
      <c r="H125" s="122" t="s">
        <v>90</v>
      </c>
      <c r="I125" s="122">
        <v>1499</v>
      </c>
      <c r="J125" s="122">
        <f t="shared" si="6"/>
        <v>100</v>
      </c>
      <c r="L125" s="124" t="s">
        <v>402</v>
      </c>
      <c r="M125" s="124"/>
    </row>
    <row r="126" spans="1:13" ht="30" customHeight="1" x14ac:dyDescent="0.15">
      <c r="A126" s="122">
        <v>47012125</v>
      </c>
      <c r="B126" s="122">
        <v>1</v>
      </c>
      <c r="C126" s="122">
        <v>407</v>
      </c>
      <c r="D126" s="122">
        <v>100</v>
      </c>
      <c r="E126" s="122" t="s">
        <v>90</v>
      </c>
      <c r="F126" s="122" t="s">
        <v>90</v>
      </c>
      <c r="G126" s="122">
        <v>1</v>
      </c>
      <c r="H126" s="122" t="s">
        <v>90</v>
      </c>
      <c r="I126" s="122">
        <v>1500</v>
      </c>
      <c r="J126" s="122">
        <f t="shared" ref="J126:J132" si="8">D126</f>
        <v>100</v>
      </c>
      <c r="L126" s="124" t="s">
        <v>404</v>
      </c>
      <c r="M126" s="124"/>
    </row>
    <row r="127" spans="1:13" ht="30" customHeight="1" x14ac:dyDescent="0.15">
      <c r="A127" s="122">
        <v>47012126</v>
      </c>
      <c r="B127" s="122">
        <v>1</v>
      </c>
      <c r="C127" s="122">
        <v>404</v>
      </c>
      <c r="D127" s="122">
        <v>100</v>
      </c>
      <c r="E127" s="122" t="s">
        <v>90</v>
      </c>
      <c r="F127" s="122" t="s">
        <v>90</v>
      </c>
      <c r="G127" s="122">
        <v>1</v>
      </c>
      <c r="H127" s="122" t="s">
        <v>90</v>
      </c>
      <c r="I127" s="122">
        <v>1431</v>
      </c>
      <c r="J127" s="122">
        <f t="shared" si="8"/>
        <v>100</v>
      </c>
      <c r="L127" s="124" t="s">
        <v>401</v>
      </c>
      <c r="M127" s="124"/>
    </row>
    <row r="128" spans="1:13" ht="30" customHeight="1" x14ac:dyDescent="0.15">
      <c r="A128" s="122">
        <v>47012127</v>
      </c>
      <c r="B128" s="122">
        <v>1</v>
      </c>
      <c r="C128" s="122">
        <v>405</v>
      </c>
      <c r="D128" s="122">
        <v>100</v>
      </c>
      <c r="E128" s="122" t="s">
        <v>90</v>
      </c>
      <c r="F128" s="122" t="s">
        <v>90</v>
      </c>
      <c r="G128" s="122">
        <v>1</v>
      </c>
      <c r="H128" s="122" t="s">
        <v>90</v>
      </c>
      <c r="I128" s="122">
        <v>1432</v>
      </c>
      <c r="J128" s="122">
        <f t="shared" si="8"/>
        <v>100</v>
      </c>
      <c r="L128" s="124" t="s">
        <v>403</v>
      </c>
      <c r="M128" s="124"/>
    </row>
    <row r="129" spans="1:13" ht="30" customHeight="1" x14ac:dyDescent="0.15">
      <c r="A129" s="122">
        <v>47012128</v>
      </c>
      <c r="B129" s="122">
        <v>1</v>
      </c>
      <c r="C129" s="122">
        <v>403</v>
      </c>
      <c r="D129" s="122">
        <v>100</v>
      </c>
      <c r="E129" s="122" t="s">
        <v>90</v>
      </c>
      <c r="F129" s="122" t="s">
        <v>90</v>
      </c>
      <c r="G129" s="122">
        <v>1</v>
      </c>
      <c r="H129" s="122" t="s">
        <v>90</v>
      </c>
      <c r="I129" s="122">
        <v>1495</v>
      </c>
      <c r="J129" s="122">
        <f t="shared" si="8"/>
        <v>100</v>
      </c>
      <c r="L129" s="124" t="s">
        <v>452</v>
      </c>
      <c r="M129" s="125" t="s">
        <v>442</v>
      </c>
    </row>
    <row r="130" spans="1:13" ht="30" customHeight="1" x14ac:dyDescent="0.15">
      <c r="A130" s="122">
        <v>47012129</v>
      </c>
      <c r="B130" s="122">
        <v>1</v>
      </c>
      <c r="C130" s="122">
        <v>402</v>
      </c>
      <c r="D130" s="122">
        <v>100</v>
      </c>
      <c r="E130" s="122" t="s">
        <v>90</v>
      </c>
      <c r="F130" s="122" t="s">
        <v>90</v>
      </c>
      <c r="G130" s="122">
        <v>1</v>
      </c>
      <c r="H130" s="122" t="s">
        <v>90</v>
      </c>
      <c r="I130" s="122">
        <v>1496</v>
      </c>
      <c r="J130" s="122">
        <f t="shared" ref="J130:J131" si="9">D130</f>
        <v>100</v>
      </c>
      <c r="L130" s="124" t="s">
        <v>450</v>
      </c>
      <c r="M130" s="125" t="s">
        <v>447</v>
      </c>
    </row>
    <row r="131" spans="1:13" ht="30" customHeight="1" x14ac:dyDescent="0.15">
      <c r="A131" s="122">
        <v>47012130</v>
      </c>
      <c r="B131" s="122">
        <v>1</v>
      </c>
      <c r="C131" s="122">
        <v>401</v>
      </c>
      <c r="D131" s="122">
        <v>100</v>
      </c>
      <c r="E131" s="122" t="s">
        <v>90</v>
      </c>
      <c r="F131" s="122" t="s">
        <v>90</v>
      </c>
      <c r="G131" s="122">
        <v>1</v>
      </c>
      <c r="H131" s="122" t="s">
        <v>90</v>
      </c>
      <c r="I131" s="122">
        <v>1501</v>
      </c>
      <c r="J131" s="122">
        <f t="shared" si="9"/>
        <v>100</v>
      </c>
      <c r="L131" s="124" t="s">
        <v>451</v>
      </c>
      <c r="M131" s="125" t="s">
        <v>444</v>
      </c>
    </row>
    <row r="132" spans="1:13" ht="30" customHeight="1" x14ac:dyDescent="0.15">
      <c r="A132" s="132">
        <v>47012131</v>
      </c>
      <c r="B132" s="132">
        <v>0</v>
      </c>
      <c r="C132" s="132">
        <v>506</v>
      </c>
      <c r="D132" s="132">
        <v>100</v>
      </c>
      <c r="E132" s="132" t="s">
        <v>90</v>
      </c>
      <c r="F132" s="132" t="s">
        <v>90</v>
      </c>
      <c r="G132" s="132">
        <v>0</v>
      </c>
      <c r="H132" s="132" t="s">
        <v>90</v>
      </c>
      <c r="I132" s="132">
        <v>1499</v>
      </c>
      <c r="J132" s="132">
        <f t="shared" si="8"/>
        <v>100</v>
      </c>
      <c r="L132" s="134" t="s">
        <v>432</v>
      </c>
      <c r="M132" s="134"/>
    </row>
    <row r="133" spans="1:13" ht="30" customHeight="1" x14ac:dyDescent="0.15">
      <c r="A133" s="132">
        <v>47012132</v>
      </c>
      <c r="B133" s="132">
        <v>0</v>
      </c>
      <c r="C133" s="132">
        <v>507</v>
      </c>
      <c r="D133" s="132">
        <v>100</v>
      </c>
      <c r="E133" s="132" t="s">
        <v>90</v>
      </c>
      <c r="F133" s="132" t="s">
        <v>90</v>
      </c>
      <c r="G133" s="132">
        <v>0</v>
      </c>
      <c r="H133" s="132" t="s">
        <v>90</v>
      </c>
      <c r="I133" s="132">
        <v>1500</v>
      </c>
      <c r="J133" s="132">
        <f t="shared" ref="J133:J136" si="10">D133</f>
        <v>100</v>
      </c>
      <c r="L133" s="134" t="s">
        <v>433</v>
      </c>
      <c r="M133" s="134"/>
    </row>
    <row r="134" spans="1:13" ht="30" customHeight="1" x14ac:dyDescent="0.15">
      <c r="A134" s="132">
        <v>47012133</v>
      </c>
      <c r="B134" s="132">
        <v>0</v>
      </c>
      <c r="C134" s="132">
        <v>504</v>
      </c>
      <c r="D134" s="132">
        <v>100</v>
      </c>
      <c r="E134" s="132" t="s">
        <v>90</v>
      </c>
      <c r="F134" s="132" t="s">
        <v>90</v>
      </c>
      <c r="G134" s="132">
        <v>0</v>
      </c>
      <c r="H134" s="132" t="s">
        <v>90</v>
      </c>
      <c r="I134" s="132">
        <v>1431</v>
      </c>
      <c r="J134" s="132">
        <f t="shared" si="10"/>
        <v>100</v>
      </c>
      <c r="L134" s="134" t="s">
        <v>434</v>
      </c>
      <c r="M134" s="134"/>
    </row>
    <row r="135" spans="1:13" ht="30" customHeight="1" x14ac:dyDescent="0.15">
      <c r="A135" s="132">
        <v>47012134</v>
      </c>
      <c r="B135" s="132">
        <v>0</v>
      </c>
      <c r="C135" s="132">
        <v>505</v>
      </c>
      <c r="D135" s="132">
        <v>100</v>
      </c>
      <c r="E135" s="132" t="s">
        <v>90</v>
      </c>
      <c r="F135" s="132" t="s">
        <v>90</v>
      </c>
      <c r="G135" s="132">
        <v>0</v>
      </c>
      <c r="H135" s="132" t="s">
        <v>90</v>
      </c>
      <c r="I135" s="132">
        <v>1432</v>
      </c>
      <c r="J135" s="132">
        <f t="shared" si="10"/>
        <v>100</v>
      </c>
      <c r="L135" s="134" t="s">
        <v>435</v>
      </c>
      <c r="M135" s="134"/>
    </row>
    <row r="136" spans="1:13" ht="30" customHeight="1" x14ac:dyDescent="0.15">
      <c r="A136" s="132">
        <v>47012135</v>
      </c>
      <c r="B136" s="132">
        <v>0</v>
      </c>
      <c r="C136" s="132">
        <v>503</v>
      </c>
      <c r="D136" s="132">
        <v>100</v>
      </c>
      <c r="E136" s="132" t="s">
        <v>90</v>
      </c>
      <c r="F136" s="132" t="s">
        <v>90</v>
      </c>
      <c r="G136" s="132">
        <v>0</v>
      </c>
      <c r="H136" s="132" t="s">
        <v>90</v>
      </c>
      <c r="I136" s="132">
        <v>1495</v>
      </c>
      <c r="J136" s="132">
        <f t="shared" si="10"/>
        <v>100</v>
      </c>
      <c r="L136" s="134" t="s">
        <v>441</v>
      </c>
      <c r="M136" s="135" t="s">
        <v>443</v>
      </c>
    </row>
    <row r="137" spans="1:13" ht="30" customHeight="1" x14ac:dyDescent="0.15">
      <c r="A137" s="132">
        <v>47012136</v>
      </c>
      <c r="B137" s="132">
        <v>0</v>
      </c>
      <c r="C137" s="132">
        <v>502</v>
      </c>
      <c r="D137" s="132">
        <v>100</v>
      </c>
      <c r="E137" s="132" t="s">
        <v>90</v>
      </c>
      <c r="F137" s="132" t="s">
        <v>90</v>
      </c>
      <c r="G137" s="132">
        <v>0</v>
      </c>
      <c r="H137" s="132" t="s">
        <v>90</v>
      </c>
      <c r="I137" s="132">
        <v>1496</v>
      </c>
      <c r="J137" s="132">
        <f t="shared" ref="J137:J138" si="11">D137</f>
        <v>100</v>
      </c>
      <c r="L137" s="134" t="s">
        <v>449</v>
      </c>
      <c r="M137" s="135" t="s">
        <v>448</v>
      </c>
    </row>
    <row r="138" spans="1:13" ht="30" customHeight="1" x14ac:dyDescent="0.15">
      <c r="A138" s="132">
        <v>47012137</v>
      </c>
      <c r="B138" s="132">
        <v>0</v>
      </c>
      <c r="C138" s="132">
        <v>501</v>
      </c>
      <c r="D138" s="132">
        <v>100</v>
      </c>
      <c r="E138" s="132" t="s">
        <v>90</v>
      </c>
      <c r="F138" s="132" t="s">
        <v>90</v>
      </c>
      <c r="G138" s="132">
        <v>0</v>
      </c>
      <c r="H138" s="132" t="s">
        <v>90</v>
      </c>
      <c r="I138" s="132">
        <v>1501</v>
      </c>
      <c r="J138" s="132">
        <f t="shared" si="11"/>
        <v>100</v>
      </c>
      <c r="L138" s="134" t="s">
        <v>446</v>
      </c>
      <c r="M138" s="135" t="s">
        <v>445</v>
      </c>
    </row>
  </sheetData>
  <autoFilter ref="A1:G1"/>
  <phoneticPr fontId="5"/>
  <conditionalFormatting sqref="K139:K1048576 K1:K2 K9 K33:K58 K11:K23">
    <cfRule type="duplicateValues" dxfId="24" priority="32"/>
  </conditionalFormatting>
  <conditionalFormatting sqref="K3:K4 K6:K8">
    <cfRule type="duplicateValues" dxfId="23" priority="34"/>
  </conditionalFormatting>
  <conditionalFormatting sqref="K25">
    <cfRule type="duplicateValues" dxfId="22" priority="29"/>
  </conditionalFormatting>
  <conditionalFormatting sqref="K26:K32">
    <cfRule type="duplicateValues" dxfId="21" priority="28"/>
  </conditionalFormatting>
  <conditionalFormatting sqref="K67 K60 K91:K116 K69:K81">
    <cfRule type="duplicateValues" dxfId="20" priority="26"/>
  </conditionalFormatting>
  <conditionalFormatting sqref="K61:K62 K64:K66">
    <cfRule type="duplicateValues" dxfId="19" priority="27"/>
  </conditionalFormatting>
  <conditionalFormatting sqref="K83">
    <cfRule type="duplicateValues" dxfId="18" priority="24"/>
  </conditionalFormatting>
  <conditionalFormatting sqref="K84:K90">
    <cfRule type="duplicateValues" dxfId="17" priority="23"/>
  </conditionalFormatting>
  <conditionalFormatting sqref="K117">
    <cfRule type="duplicateValues" dxfId="16" priority="22"/>
  </conditionalFormatting>
  <conditionalFormatting sqref="K59">
    <cfRule type="duplicateValues" dxfId="15" priority="21"/>
  </conditionalFormatting>
  <conditionalFormatting sqref="K5">
    <cfRule type="duplicateValues" dxfId="14" priority="20"/>
  </conditionalFormatting>
  <conditionalFormatting sqref="K63">
    <cfRule type="duplicateValues" dxfId="13" priority="19"/>
  </conditionalFormatting>
  <conditionalFormatting sqref="K125">
    <cfRule type="duplicateValues" dxfId="12" priority="18"/>
  </conditionalFormatting>
  <conditionalFormatting sqref="K126:K128">
    <cfRule type="duplicateValues" dxfId="11" priority="17"/>
  </conditionalFormatting>
  <conditionalFormatting sqref="K132">
    <cfRule type="duplicateValues" dxfId="10" priority="16"/>
  </conditionalFormatting>
  <conditionalFormatting sqref="K133:K135">
    <cfRule type="duplicateValues" dxfId="9" priority="15"/>
  </conditionalFormatting>
  <conditionalFormatting sqref="K10">
    <cfRule type="duplicateValues" dxfId="8" priority="14"/>
  </conditionalFormatting>
  <conditionalFormatting sqref="K68">
    <cfRule type="duplicateValues" dxfId="7" priority="13"/>
  </conditionalFormatting>
  <conditionalFormatting sqref="K129">
    <cfRule type="duplicateValues" dxfId="6" priority="12"/>
  </conditionalFormatting>
  <conditionalFormatting sqref="K136">
    <cfRule type="duplicateValues" dxfId="5" priority="10"/>
  </conditionalFormatting>
  <conditionalFormatting sqref="K137:K138">
    <cfRule type="duplicateValues" dxfId="4" priority="39"/>
  </conditionalFormatting>
  <conditionalFormatting sqref="K130:K131">
    <cfRule type="duplicateValues" dxfId="3" priority="44"/>
  </conditionalFormatting>
  <conditionalFormatting sqref="K118:K124">
    <cfRule type="duplicateValues" dxfId="2" priority="49"/>
  </conditionalFormatting>
  <conditionalFormatting sqref="K24">
    <cfRule type="duplicateValues" dxfId="1" priority="2"/>
  </conditionalFormatting>
  <conditionalFormatting sqref="K8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5"/>
  <sheetViews>
    <sheetView showGridLines="0" workbookViewId="0">
      <pane xSplit="5" ySplit="1" topLeftCell="F53" activePane="bottomRight" state="frozen"/>
      <selection pane="topRight"/>
      <selection pane="bottomLeft"/>
      <selection pane="bottomRight" activeCell="D74" activeCellId="1" sqref="D70 D7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47012001_47012001</v>
      </c>
      <c r="B2" s="105">
        <v>47012001</v>
      </c>
      <c r="C2" s="105">
        <v>47012001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彼女…凄い速さで走っていったけど_x000D_あなた達が何かしたの？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" s="105">
        <v>47012001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47012001_47012002</v>
      </c>
      <c r="B3" s="105">
        <v>47012001</v>
      </c>
      <c r="C3" s="105">
        <v>47012002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薙刀乱舞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105">
        <v>47012002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" s="47"/>
      <c r="Q3" s="47"/>
      <c r="R3" s="47"/>
    </row>
    <row r="4" spans="1:18" ht="21" customHeight="1" x14ac:dyDescent="0.15">
      <c r="A4" s="39" t="str">
        <f t="shared" si="1"/>
        <v>47012001_47012003</v>
      </c>
      <c r="B4" s="105">
        <v>47012001</v>
      </c>
      <c r="C4" s="105">
        <v>47012003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水流薙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属性パネルを青の時限式ダメージパネルに2個変換</v>
      </c>
      <c r="F4" s="105">
        <v>47012003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47012001_47012004</v>
      </c>
      <c r="B5" s="105">
        <v>47012001</v>
      </c>
      <c r="C5" s="105">
        <v>47012004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あぁ…彼女を迎えに来たのね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この先に行けば、きっと会えるわ</v>
      </c>
      <c r="F5" s="105">
        <v>47012004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47012002_47012005</v>
      </c>
      <c r="B6" s="109">
        <v>47012002</v>
      </c>
      <c r="C6" s="109">
        <v>47012005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ゆ？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自身の防御力大UP</v>
      </c>
      <c r="F6" s="109">
        <v>47012005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47012002_47012006</v>
      </c>
      <c r="B7" s="109">
        <v>47012002</v>
      </c>
      <c r="C7" s="109">
        <v>47012006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ゆ！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7" s="109">
        <v>47012006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22" si="2">B8&amp;"_"&amp;C8</f>
        <v>47012002_47012007</v>
      </c>
      <c r="B8" s="109">
        <v>47012002</v>
      </c>
      <c r="C8" s="109">
        <v>47012007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ゆ！？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8" s="109">
        <v>47012007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" si="3">B9&amp;"_"&amp;C9</f>
        <v>47012002_47012008</v>
      </c>
      <c r="B9" s="109">
        <v>47012002</v>
      </c>
      <c r="C9" s="109">
        <v>47012008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ゆ！！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</v>
      </c>
      <c r="F9" s="109">
        <v>47012008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2"/>
        <v>47012002_47012009</v>
      </c>
      <c r="B10" s="109">
        <v>47012002</v>
      </c>
      <c r="C10" s="109">
        <v>47012009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ゆゆ！！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ゆららもトモエと共に去っていった</v>
      </c>
      <c r="F10" s="109">
        <v>47012009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139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2"/>
        <v>47012003_47012010</v>
      </c>
      <c r="B11" s="113">
        <v>47012003</v>
      </c>
      <c r="C11" s="113">
        <v>47012010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あなた達も彼女を追っているのかしら？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1" s="113">
        <v>47012010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2"/>
        <v>47012003_47012011</v>
      </c>
      <c r="B12" s="113">
        <v>47012003</v>
      </c>
      <c r="C12" s="113">
        <v>47012011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スクウェアターゲット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2" s="113">
        <v>47012011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2" s="47"/>
      <c r="Q12" s="47"/>
      <c r="R12" s="47"/>
    </row>
    <row r="13" spans="1:18" ht="21" customHeight="1" x14ac:dyDescent="0.15">
      <c r="A13" s="39" t="str">
        <f t="shared" si="2"/>
        <v>47012003_47012012</v>
      </c>
      <c r="B13" s="113">
        <v>47012003</v>
      </c>
      <c r="C13" s="113">
        <v>47012012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撃ち抜いちゃうよ！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属性パネルを黄のダメージパネルに1個変換</v>
      </c>
      <c r="F13" s="113">
        <v>47012012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47012003_47012013</v>
      </c>
      <c r="B14" s="113">
        <v>47012003</v>
      </c>
      <c r="C14" s="113">
        <v>47012013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甘噛だから大丈夫♪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14" s="113">
        <v>47012013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si="2"/>
        <v>47012004_47012014</v>
      </c>
      <c r="B15" s="118">
        <v>47012004</v>
      </c>
      <c r="C15" s="118">
        <v>47012014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邪魔をするなら…_x000D_あなた達を持ち帰るのもいいかも？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118">
        <v>47012014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47012004_47012015</v>
      </c>
      <c r="B16" s="118">
        <v>47012004</v>
      </c>
      <c r="C16" s="118">
        <v>47012015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オクタゴナルターゲット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8回連続攻撃+_x000D_全ユニットのボムの爆風を30%DOWN</v>
      </c>
      <c r="F16" s="118">
        <v>47012015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47012004_47012016</v>
      </c>
      <c r="B17" s="118">
        <v>47012004</v>
      </c>
      <c r="C17" s="118">
        <v>47012016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だいじょうぶ…痛くしないから♪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17" s="118">
        <v>47012016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2"/>
        <v>47012004_47012017</v>
      </c>
      <c r="B18" s="118">
        <v>47012004</v>
      </c>
      <c r="C18" s="118">
        <v>47012017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にしし…見切れるかなっ？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属性パネルを黄のダメージパネルに1個変換+_x000D_4回連続攻撃</v>
      </c>
      <c r="F18" s="118">
        <v>47012017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2"/>
        <v>47012004_47012018</v>
      </c>
      <c r="B19" s="118">
        <v>47012004</v>
      </c>
      <c r="C19" s="118">
        <v>47012018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しっぽでぎゅっと！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2ターン全ユニットの回復力10%DOWN</v>
      </c>
      <c r="F19" s="118">
        <v>47012018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204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47012004_47012019</v>
      </c>
      <c r="B20" s="118">
        <v>47012004</v>
      </c>
      <c r="C20" s="118">
        <v>47012019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いっただっきまぁす♪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0" s="118">
        <v>47012019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47012004_47012020</v>
      </c>
      <c r="B21" s="118">
        <v>47012004</v>
      </c>
      <c r="C21" s="118">
        <v>47012020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オクタゴナルターゲット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8回連続攻撃+_x000D_全ユニットのボムの爆風を30%DOWN</v>
      </c>
      <c r="F21" s="118">
        <v>47012020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7"/>
      <c r="Q21" s="47"/>
      <c r="R21" s="47"/>
    </row>
    <row r="22" spans="1:18" ht="21" customHeight="1" x14ac:dyDescent="0.15">
      <c r="A22" s="39" t="str">
        <f t="shared" si="2"/>
        <v>47012004_47012021</v>
      </c>
      <c r="B22" s="118">
        <v>47012004</v>
      </c>
      <c r="C22" s="118">
        <v>47012021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にしし…見切れるかなっ？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属性パネルを黄のダメージパネルに1個変換+_x000D_4回連続攻撃</v>
      </c>
      <c r="F22" s="118">
        <v>47012021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7"/>
      <c r="Q22" s="47"/>
      <c r="R22" s="47"/>
    </row>
    <row r="23" spans="1:18" ht="21" customHeight="1" x14ac:dyDescent="0.15">
      <c r="A23" s="39" t="str">
        <f t="shared" ref="A23" si="4">B23&amp;"_"&amp;C23</f>
        <v>47012004_47012022</v>
      </c>
      <c r="B23" s="118">
        <v>47012004</v>
      </c>
      <c r="C23" s="118">
        <v>47012022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いっただっきまぁす♪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23" s="118">
        <v>47012022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ref="A24" si="5">B24&amp;"_"&amp;C24</f>
        <v>47012004_47012023</v>
      </c>
      <c r="B24" s="118">
        <v>47012004</v>
      </c>
      <c r="C24" s="118">
        <v>47012023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邪魔されちゃったか…まぁいいけど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彼女だいぶ混乱してるみたいだから_x000D_うっかり近づくと危ないかもね〜</v>
      </c>
      <c r="F24" s="118">
        <v>47012023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ref="A25" si="6">B25&amp;"_"&amp;C25</f>
        <v>47012005_47012024</v>
      </c>
      <c r="B25" s="122">
        <v>47012005</v>
      </c>
      <c r="C25" s="122">
        <v>47012024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蛇さん…怖いです〜！_x000D_あれれ？ここはどこですか〜？？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25" s="122">
        <v>47012024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ref="A26:A31" si="7">B26&amp;"_"&amp;C26</f>
        <v>47012005_47012025</v>
      </c>
      <c r="B26" s="122">
        <v>47012005</v>
      </c>
      <c r="C26" s="122">
        <v>47012025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うわ〜ん！ここはどこですか〜！？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2ターン種族マシンのユニットにスキルバインド+_x000D_全体攻撃</v>
      </c>
      <c r="F26" s="122">
        <v>47012025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7"/>
        <v>47012005_47012026</v>
      </c>
      <c r="B27" s="122">
        <v>47012005</v>
      </c>
      <c r="C27" s="122">
        <v>47012026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27" s="122">
        <v>47012026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7" s="47"/>
      <c r="Q27" s="47"/>
      <c r="R27" s="47"/>
    </row>
    <row r="28" spans="1:18" ht="21" customHeight="1" x14ac:dyDescent="0.15">
      <c r="A28" s="39" t="str">
        <f t="shared" si="7"/>
        <v>47012005_47012027</v>
      </c>
      <c r="B28" s="122">
        <v>47012005</v>
      </c>
      <c r="C28" s="122">
        <v>47012027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あわわわわっ！足がふらつきます〜！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ボムパネルを吸収して攻撃+_x000D_1ターン全ユニットの攻撃力10%DOWN</v>
      </c>
      <c r="F28" s="122">
        <v>47012027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8" s="47"/>
      <c r="Q28" s="47"/>
      <c r="R28" s="47"/>
    </row>
    <row r="29" spans="1:18" ht="21" customHeight="1" x14ac:dyDescent="0.15">
      <c r="A29" s="39" t="str">
        <f t="shared" si="7"/>
        <v>47012005_47012028</v>
      </c>
      <c r="B29" s="122">
        <v>47012005</v>
      </c>
      <c r="C29" s="122">
        <v>47012028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そこに蛇さんが！？近づかないで〜！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29" s="122">
        <v>47012028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7"/>
        <v>47012005_47012029</v>
      </c>
      <c r="B30" s="122">
        <v>47012005</v>
      </c>
      <c r="C30" s="122">
        <v>47012029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30" s="122">
        <v>47012029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0" s="48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0" s="47"/>
      <c r="Q30" s="47"/>
      <c r="R30" s="47"/>
    </row>
    <row r="31" spans="1:18" ht="21" customHeight="1" x14ac:dyDescent="0.15">
      <c r="A31" s="39" t="str">
        <f t="shared" si="7"/>
        <v>47012005_47012030</v>
      </c>
      <c r="B31" s="122">
        <v>47012005</v>
      </c>
      <c r="C31" s="122">
        <v>47012030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うぅ〜頭がクラクラします〜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ボムパネルを吸収して攻撃+_x000D_1ターン全ユニットにスキルバインド</v>
      </c>
      <c r="F31" s="122">
        <v>47012030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1" s="47"/>
      <c r="Q31" s="47"/>
      <c r="R31" s="47"/>
    </row>
    <row r="32" spans="1:18" ht="21" customHeight="1" x14ac:dyDescent="0.15">
      <c r="A32" s="39" t="str">
        <f t="shared" ref="A32:A57" si="8">B32&amp;"_"&amp;C32</f>
        <v>47012005_47012031</v>
      </c>
      <c r="B32" s="122">
        <v>47012005</v>
      </c>
      <c r="C32" s="122">
        <v>47012031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そこに蛇さんが！？近づかないで〜！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32" s="122">
        <v>47012031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8"/>
        <v>47012006_47012032</v>
      </c>
      <c r="B33" s="127">
        <v>47012006</v>
      </c>
      <c r="C33" s="127">
        <v>47012032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あわわ！？_x000D_桜さんが〜咲いてないです〜？？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状態異常耐性+_x000D_ボムパネルを吸収して攻撃</v>
      </c>
      <c r="F33" s="127">
        <v>47012032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8"/>
        <v>47012006_47012033</v>
      </c>
      <c r="B34" s="127">
        <v>47012006</v>
      </c>
      <c r="C34" s="127">
        <v>47012033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へ、蛇さんはいませんね〜？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2ターン全ユニットのタップ数1DOWN+_x000D_全体攻撃</v>
      </c>
      <c r="F34" s="127">
        <v>47012033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329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8"/>
        <v>47012006_47012034</v>
      </c>
      <c r="B35" s="127">
        <v>47012006</v>
      </c>
      <c r="C35" s="127">
        <v>47012034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散った桜さんも力を借してください〜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2ターン種族マシンのユニットにスキルバインド+_x000D_属性パネルをマグネットパネルに1個変換</v>
      </c>
      <c r="F35" s="127">
        <v>47012034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328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8"/>
        <v>47012006_47012035</v>
      </c>
      <c r="B36" s="127">
        <v>47012006</v>
      </c>
      <c r="C36" s="127">
        <v>47012035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桜花・縦艶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特定部分を時限式ダメージパネルと_x000D_赤パネルに変換+単体攻撃</v>
      </c>
      <c r="F36" s="127">
        <v>47012035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327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8"/>
        <v>47012006_47012036</v>
      </c>
      <c r="B37" s="127">
        <v>47012006</v>
      </c>
      <c r="C37" s="127">
        <v>47012036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うわ〜ん！毛虫さんがいっぱいです〜！？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ボムパネルを吸収して攻撃+_x000D_全ユニットのボムの爆風を30%DOWN+_x000D_2ターン全ユニットの回復力10%DOWN</v>
      </c>
      <c r="F37" s="127">
        <v>47012036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326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8"/>
        <v>47012006_47012037</v>
      </c>
      <c r="B38" s="127">
        <v>47012006</v>
      </c>
      <c r="C38" s="127">
        <v>47012037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はわわわ！突風が〜！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38" s="127">
        <v>47012037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325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8"/>
        <v>47012006_47012038</v>
      </c>
      <c r="B39" s="127">
        <v>47012006</v>
      </c>
      <c r="C39" s="127">
        <v>47012038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桜花・横艶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特定部分を時限式ダメージパネルと_x000D_緑パネルに変換+単体攻撃</v>
      </c>
      <c r="F39" s="127">
        <v>47012038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324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8"/>
        <v>47012006_47012039</v>
      </c>
      <c r="B40" s="127">
        <v>47012006</v>
      </c>
      <c r="C40" s="127">
        <v>47012039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40" s="127">
        <v>47012039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323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40" s="47"/>
      <c r="Q40" s="47"/>
      <c r="R40" s="47"/>
    </row>
    <row r="41" spans="1:18" ht="21" customHeight="1" x14ac:dyDescent="0.15">
      <c r="A41" s="39" t="str">
        <f t="shared" si="8"/>
        <v>47012006_47012040</v>
      </c>
      <c r="B41" s="127">
        <v>47012006</v>
      </c>
      <c r="C41" s="127">
        <v>47012040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桜花・縦艶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特定部分を時限式ダメージパネルと_x000D_赤パネルに変換+単体攻撃</v>
      </c>
      <c r="F41" s="127">
        <v>47012040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322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1" s="47"/>
      <c r="Q41" s="47"/>
      <c r="R41" s="47"/>
    </row>
    <row r="42" spans="1:18" ht="21" customHeight="1" x14ac:dyDescent="0.15">
      <c r="A42" s="39" t="str">
        <f t="shared" si="8"/>
        <v>47012006_47012041</v>
      </c>
      <c r="B42" s="127">
        <v>47012006</v>
      </c>
      <c r="C42" s="127">
        <v>47012041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桜花・横艶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特定部分を時限式ダメージパネルと_x000D_緑パネルに変換+単体攻撃</v>
      </c>
      <c r="F42" s="127">
        <v>47012041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321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42" s="47"/>
      <c r="Q42" s="47"/>
      <c r="R42" s="47"/>
    </row>
    <row r="43" spans="1:18" ht="21" customHeight="1" x14ac:dyDescent="0.15">
      <c r="A43" s="39" t="str">
        <f t="shared" si="8"/>
        <v>47012006_47012042</v>
      </c>
      <c r="B43" s="127">
        <v>47012006</v>
      </c>
      <c r="C43" s="127">
        <v>47012042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あわわ！？毛虫さん離れてください〜！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ボムパネルを吸収して攻撃+_x000D_属性パネルをマグネットパネルに1個変換</v>
      </c>
      <c r="F43" s="127">
        <v>47012042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8"/>
        <v>47012007_47012043</v>
      </c>
      <c r="B44" s="132">
        <v>47012007</v>
      </c>
      <c r="C44" s="132">
        <v>47012043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蛇さんも、毛虫さんもいませんね〜？？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状態異常耐性+_x000D_ボムパネルを吸収して攻撃</v>
      </c>
      <c r="F44" s="132">
        <v>47012043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8"/>
        <v>47012007_47012044</v>
      </c>
      <c r="B45" s="132">
        <v>47012007</v>
      </c>
      <c r="C45" s="132">
        <v>47012044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枯れ木さんに〜？_x000D_どんどん桜を咲かせます〜？？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2ターン全ユニットのCパネル生成延長(特大)+_x000D_全ユニットのボムの爆風を30%DOWN+_x000D_全体攻撃</v>
      </c>
      <c r="F45" s="132">
        <v>47012044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354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8"/>
        <v>47012007_47012045</v>
      </c>
      <c r="B46" s="132">
        <v>47012007</v>
      </c>
      <c r="C46" s="132">
        <v>47012045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特定部分を黄の時限式ダメージパネルに変換+_x000D_全体攻撃</v>
      </c>
      <c r="F46" s="132">
        <v>47012045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353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8"/>
        <v>47012007_47012046</v>
      </c>
      <c r="B47" s="132">
        <v>47012007</v>
      </c>
      <c r="C47" s="132">
        <v>47012046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桜花・散らし緑桜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特定部分を緑の時限式ダメージパネルに変換+_x000D_全体攻撃</v>
      </c>
      <c r="F47" s="132">
        <v>47012046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352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8"/>
        <v>47012007_47012047</v>
      </c>
      <c r="B48" s="132">
        <v>47012007</v>
      </c>
      <c r="C48" s="132">
        <v>47012047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特定部分を黄の時限式ダメージパネルに変換+_x000D_単体攻撃</v>
      </c>
      <c r="F48" s="132">
        <v>47012047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351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8"/>
        <v>47012007_47012048</v>
      </c>
      <c r="B49" s="132">
        <v>47012007</v>
      </c>
      <c r="C49" s="132">
        <v>47012048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桜花・散らし赤桜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特定部分を赤の時限式ダメージパネルに変換+_x000D_単体攻撃</v>
      </c>
      <c r="F49" s="132">
        <v>47012048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8"/>
        <v>47012007_47012049</v>
      </c>
      <c r="B50" s="132">
        <v>47012007</v>
      </c>
      <c r="C50" s="132">
        <v>47012049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サクヤ式・桜舞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1ターン全ユニットにスキルバインド</v>
      </c>
      <c r="F50" s="132">
        <v>47012049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349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8"/>
        <v>47012007_47012050</v>
      </c>
      <c r="B51" s="132">
        <v>47012007</v>
      </c>
      <c r="C51" s="132">
        <v>47012050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51" s="132">
        <v>47012050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348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1" s="47"/>
      <c r="Q51" s="47"/>
      <c r="R51" s="47"/>
    </row>
    <row r="52" spans="1:18" ht="21" customHeight="1" x14ac:dyDescent="0.15">
      <c r="A52" s="39" t="str">
        <f t="shared" si="8"/>
        <v>47012007_47012051</v>
      </c>
      <c r="B52" s="132">
        <v>47012007</v>
      </c>
      <c r="C52" s="132">
        <v>47012051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うわ〜ん！鳥さんつつかないで〜！？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1ターン全ユニットのCパネル生成延長(特大)+_x000D_全体攻撃</v>
      </c>
      <c r="F52" s="132">
        <v>47012051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347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2" s="47"/>
      <c r="Q52" s="47"/>
      <c r="R52" s="47"/>
    </row>
    <row r="53" spans="1:18" ht="21" customHeight="1" x14ac:dyDescent="0.15">
      <c r="A53" s="39" t="str">
        <f t="shared" si="8"/>
        <v>47012007_47012052</v>
      </c>
      <c r="B53" s="132">
        <v>47012007</v>
      </c>
      <c r="C53" s="132">
        <v>47012052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特定部分を黄の時限式ダメージパネルに変換+_x000D_全体攻撃</v>
      </c>
      <c r="F53" s="132">
        <v>47012052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346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3" s="47"/>
      <c r="Q53" s="47"/>
      <c r="R53" s="47"/>
    </row>
    <row r="54" spans="1:18" ht="21" customHeight="1" x14ac:dyDescent="0.15">
      <c r="A54" s="39" t="str">
        <f t="shared" si="8"/>
        <v>47012007_47012053</v>
      </c>
      <c r="B54" s="132">
        <v>47012007</v>
      </c>
      <c r="C54" s="132">
        <v>47012053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桜花・散らし緑桜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特定部分を緑の時限式ダメージパネルに変換+_x000D_全体攻撃</v>
      </c>
      <c r="F54" s="132">
        <v>47012053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345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4" s="47"/>
      <c r="Q54" s="47"/>
      <c r="R54" s="47"/>
    </row>
    <row r="55" spans="1:18" ht="21" customHeight="1" x14ac:dyDescent="0.15">
      <c r="A55" s="39" t="str">
        <f t="shared" si="8"/>
        <v>47012007_47012054</v>
      </c>
      <c r="B55" s="132">
        <v>47012007</v>
      </c>
      <c r="C55" s="132">
        <v>47012054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あわわ！？鳥さん離れてください〜！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ボムパネルを吸収して攻撃+_x000D_属性パネルをマグネットパネルに1個変換</v>
      </c>
      <c r="F55" s="132">
        <v>47012054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343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8"/>
        <v>47012007_47012055</v>
      </c>
      <c r="B56" s="132">
        <v>47012007</v>
      </c>
      <c r="C56" s="132">
        <v>47012055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最後の枯れ木に桜さんを咲かせますよ〜？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2ターン後に超強力な全体攻撃</v>
      </c>
      <c r="F56" s="132">
        <v>47012055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362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8"/>
        <v>47012007_47012056</v>
      </c>
      <c r="B57" s="132">
        <v>47012007</v>
      </c>
      <c r="C57" s="132">
        <v>47012056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やったぁ〜！満開です！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特定部分をハート＆緑＆黄パネルに変換</v>
      </c>
      <c r="F57" s="132">
        <v>47012056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361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:A114" si="9">B58&amp;"_"&amp;C58</f>
        <v>47012007_47012057</v>
      </c>
      <c r="B58" s="132">
        <v>47012007</v>
      </c>
      <c r="C58" s="132">
        <v>47012057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あ〜！桜さんを散らさないでください〜！！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58" s="132">
        <v>47012057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9"/>
        <v>47012007_47012058</v>
      </c>
      <c r="B59" s="132">
        <v>47012007</v>
      </c>
      <c r="C59" s="132">
        <v>47012058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え！わたしを迎えに来てくれたんですか〜？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お花見が出来なくて皆さんが困ってる…_x000D_はい！一緒に皆さんのところに帰りましょう！</v>
      </c>
      <c r="F59" s="132">
        <v>47012058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9" s="48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9"/>
        <v>47012008_47012059</v>
      </c>
      <c r="B60" s="105">
        <v>47012008</v>
      </c>
      <c r="C60" s="105">
        <v>47012059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彼女…凄い速さで走っていったけど_x000D_あなた達が何かしたの？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状態異常耐性+赤属性ダメージ30%軽減</v>
      </c>
      <c r="F60" s="105">
        <v>47012059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9"/>
        <v>47012008_47012060</v>
      </c>
      <c r="B61" s="105">
        <v>47012008</v>
      </c>
      <c r="C61" s="105">
        <v>47012060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薙刀乱舞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1" s="105">
        <v>47012060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61" s="47"/>
      <c r="Q61" s="47"/>
      <c r="R61" s="47"/>
    </row>
    <row r="62" spans="1:18" ht="21" customHeight="1" x14ac:dyDescent="0.15">
      <c r="A62" s="39" t="str">
        <f t="shared" si="9"/>
        <v>47012008_47012061</v>
      </c>
      <c r="B62" s="105">
        <v>47012008</v>
      </c>
      <c r="C62" s="105">
        <v>47012061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水流薙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属性パネルを青の時限式ダメージパネルに3個変換</v>
      </c>
      <c r="F62" s="105">
        <v>47012061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9"/>
        <v>47012008_47012062</v>
      </c>
      <c r="B63" s="105">
        <v>47012008</v>
      </c>
      <c r="C63" s="105">
        <v>47012062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あぁ…彼女を迎えに来たのね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この先に行けば、きっと会えるわ</v>
      </c>
      <c r="F63" s="105">
        <v>47012062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9"/>
        <v>47012009_47012063</v>
      </c>
      <c r="B64" s="109">
        <v>47012009</v>
      </c>
      <c r="C64" s="109">
        <v>47012063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ゆ？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自身の防御力大UP</v>
      </c>
      <c r="F64" s="109">
        <v>47012063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 t="str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9"/>
        <v>47012009_47012064</v>
      </c>
      <c r="B65" s="109">
        <v>47012009</v>
      </c>
      <c r="C65" s="109">
        <v>47012064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ゆ！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表示しない</v>
      </c>
      <c r="F65" s="109">
        <v>47012064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 t="str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65" s="48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9"/>
        <v>47012009_47012065</v>
      </c>
      <c r="B66" s="109">
        <v>47012009</v>
      </c>
      <c r="C66" s="109">
        <v>47012065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ゆ！？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66" s="109">
        <v>47012065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9"/>
        <v>47012009_47012066</v>
      </c>
      <c r="B67" s="109">
        <v>47012009</v>
      </c>
      <c r="C67" s="109">
        <v>47012066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ゆ！！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単体攻撃</v>
      </c>
      <c r="F67" s="109">
        <v>47012066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90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9"/>
        <v>47012009_47012067</v>
      </c>
      <c r="B68" s="109">
        <v>47012009</v>
      </c>
      <c r="C68" s="109">
        <v>47012067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ゆゆ！！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ゆららもトモエと共に去っていった</v>
      </c>
      <c r="F68" s="109">
        <v>47012067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139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9"/>
        <v>47012010_47012068</v>
      </c>
      <c r="B69" s="113">
        <v>47012010</v>
      </c>
      <c r="C69" s="113">
        <v>47012068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あなた達も彼女を追っているのかしら？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状態異常耐性+赤属性ダメージ40%軽減+_x000D_全ユニットのボムの爆風を60%DOWN</v>
      </c>
      <c r="F69" s="113">
        <v>47012068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 t="str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9"/>
        <v>47012010_47012069</v>
      </c>
      <c r="B70" s="113">
        <v>47012010</v>
      </c>
      <c r="C70" s="113">
        <v>47012069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スクウェアターゲット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0" s="113">
        <v>47012069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70" s="47"/>
      <c r="Q70" s="47"/>
      <c r="R70" s="47"/>
    </row>
    <row r="71" spans="1:18" ht="21" customHeight="1" x14ac:dyDescent="0.15">
      <c r="A71" s="39" t="str">
        <f t="shared" si="9"/>
        <v>47012010_47012070</v>
      </c>
      <c r="B71" s="113">
        <v>47012010</v>
      </c>
      <c r="C71" s="113">
        <v>47012070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撃ち抜いちゃうよ！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属性パネルを黄のダメージパネルに3個変換</v>
      </c>
      <c r="F71" s="113">
        <v>47012070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9"/>
        <v>47012010_47012071</v>
      </c>
      <c r="B72" s="113">
        <v>47012010</v>
      </c>
      <c r="C72" s="113">
        <v>47012071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甘噛だから大丈夫♪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72" s="113">
        <v>47012071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47"/>
      <c r="Q72" s="47"/>
      <c r="R72" s="47"/>
    </row>
    <row r="73" spans="1:18" ht="21" customHeight="1" x14ac:dyDescent="0.15">
      <c r="A73" s="39" t="str">
        <f t="shared" si="9"/>
        <v>47012011_47012072</v>
      </c>
      <c r="B73" s="118">
        <v>47012011</v>
      </c>
      <c r="C73" s="118">
        <v>47012072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邪魔をするなら…_x000D_あなた達を持ち帰るのもいいかも？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状態異常耐性+赤属性ダメージ40%軽減</v>
      </c>
      <c r="F73" s="118">
        <v>47012072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8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9"/>
        <v>47012011_47012073</v>
      </c>
      <c r="B74" s="118">
        <v>47012011</v>
      </c>
      <c r="C74" s="118">
        <v>47012073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オクタゴナルターゲット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8回連続攻撃+_x000D_全ユニットのボムの爆風を60%DOWN</v>
      </c>
      <c r="F74" s="118">
        <v>47012073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207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9"/>
        <v>47012011_47012074</v>
      </c>
      <c r="B75" s="118">
        <v>47012011</v>
      </c>
      <c r="C75" s="118">
        <v>47012074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だいじょうぶ…痛くしないから♪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2ターン全ユニットにウィルス</v>
      </c>
      <c r="F75" s="118">
        <v>47012074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206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si="9"/>
        <v>47012011_47012075</v>
      </c>
      <c r="B76" s="118">
        <v>47012011</v>
      </c>
      <c r="C76" s="118">
        <v>47012075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にしし…見切れるかなっ？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属性パネルを黄のダメージパネルに3個変換+_x000D_4回連続攻撃</v>
      </c>
      <c r="F76" s="118">
        <v>47012075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205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si="9"/>
        <v>47012011_47012076</v>
      </c>
      <c r="B77" s="118">
        <v>47012011</v>
      </c>
      <c r="C77" s="118">
        <v>47012076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しっぽでぎゅっと！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2ターン全ユニットの回復力30%DOWN</v>
      </c>
      <c r="F77" s="118">
        <v>47012076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204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9"/>
        <v>47012011_47012077</v>
      </c>
      <c r="B78" s="118">
        <v>47012011</v>
      </c>
      <c r="C78" s="118">
        <v>47012077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いっただっきまぁす♪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78" s="118">
        <v>47012077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203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9"/>
        <v>47012011_47012078</v>
      </c>
      <c r="B79" s="118">
        <v>47012011</v>
      </c>
      <c r="C79" s="118">
        <v>47012078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オクタゴナルターゲット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8回連続攻撃+_x000D_全ユニットのボムの爆風を60%DOWN</v>
      </c>
      <c r="F79" s="118">
        <v>47012078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9" s="47"/>
      <c r="Q79" s="47"/>
      <c r="R79" s="47"/>
    </row>
    <row r="80" spans="1:18" ht="21" customHeight="1" x14ac:dyDescent="0.15">
      <c r="A80" s="39" t="str">
        <f t="shared" si="9"/>
        <v>47012011_47012079</v>
      </c>
      <c r="B80" s="118">
        <v>47012011</v>
      </c>
      <c r="C80" s="118">
        <v>47012079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にしし…見切れるかなっ？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属性パネルを黄のダメージパネルに3個変換+_x000D_4回連続攻撃</v>
      </c>
      <c r="F80" s="118">
        <v>47012079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8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8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47"/>
      <c r="Q80" s="47"/>
      <c r="R80" s="47"/>
    </row>
    <row r="81" spans="1:18" ht="21" customHeight="1" x14ac:dyDescent="0.15">
      <c r="A81" s="39" t="str">
        <f t="shared" si="9"/>
        <v>47012011_47012080</v>
      </c>
      <c r="B81" s="118">
        <v>47012011</v>
      </c>
      <c r="C81" s="118">
        <v>47012080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いっただっきまぁす♪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81" s="118">
        <v>47012080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8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8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21" customHeight="1" x14ac:dyDescent="0.15">
      <c r="A82" s="39" t="str">
        <f t="shared" ref="A82" si="10">B82&amp;"_"&amp;C82</f>
        <v>47012011_47012081</v>
      </c>
      <c r="B82" s="118">
        <v>47012011</v>
      </c>
      <c r="C82" s="118">
        <v>47012081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邪魔されちゃったか…まぁいいけど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彼女だいぶ混乱してるみたいだから_x000D_うっかり近づくと危ないかもね〜</v>
      </c>
      <c r="F82" s="118">
        <v>47012081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8" t="str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82" s="4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21" customHeight="1" x14ac:dyDescent="0.15">
      <c r="A83" s="39" t="str">
        <f t="shared" si="9"/>
        <v>47012012_47012082</v>
      </c>
      <c r="B83" s="122">
        <v>47012012</v>
      </c>
      <c r="C83" s="122">
        <v>47012082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蛇さん…怖いです〜！_x000D_あれれ？ここはどこですか〜？？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83" s="122">
        <v>47012082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 t="str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8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21" customHeight="1" x14ac:dyDescent="0.15">
      <c r="A84" s="39" t="str">
        <f t="shared" si="9"/>
        <v>47012012_47012083</v>
      </c>
      <c r="B84" s="122">
        <v>47012012</v>
      </c>
      <c r="C84" s="122">
        <v>47012083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うわ〜ん！ここはどこですか〜！？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4ターン種族マシンのユニットにスキルバインド+_x000D_全体攻撃</v>
      </c>
      <c r="F84" s="122">
        <v>47012083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306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8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21" customHeight="1" x14ac:dyDescent="0.15">
      <c r="A85" s="39" t="str">
        <f t="shared" si="9"/>
        <v>47012012_47012084</v>
      </c>
      <c r="B85" s="122">
        <v>47012012</v>
      </c>
      <c r="C85" s="122">
        <v>47012084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85" s="122">
        <v>47012084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305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5" s="48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8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8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5" s="47"/>
      <c r="Q85" s="47"/>
      <c r="R85" s="47"/>
    </row>
    <row r="86" spans="1:18" ht="21" customHeight="1" x14ac:dyDescent="0.15">
      <c r="A86" s="39" t="str">
        <f t="shared" si="9"/>
        <v>47012012_47012085</v>
      </c>
      <c r="B86" s="122">
        <v>47012012</v>
      </c>
      <c r="C86" s="122">
        <v>47012085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あわわわわっ！足がふらつきます〜！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ボムパネルを吸収して攻撃+_x000D_1ターン全ユニットの攻撃力30%DOWN</v>
      </c>
      <c r="F86" s="122">
        <v>47012085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304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6" s="48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8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8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6" s="47"/>
      <c r="Q86" s="47"/>
      <c r="R86" s="47"/>
    </row>
    <row r="87" spans="1:18" ht="21" customHeight="1" x14ac:dyDescent="0.15">
      <c r="A87" s="39" t="str">
        <f t="shared" si="9"/>
        <v>47012012_47012086</v>
      </c>
      <c r="B87" s="122">
        <v>47012012</v>
      </c>
      <c r="C87" s="122">
        <v>47012086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そこに蛇さんが！？近づかないで〜！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87" s="122">
        <v>47012086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303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7" s="48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8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8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21" customHeight="1" x14ac:dyDescent="0.15">
      <c r="A88" s="39" t="str">
        <f t="shared" si="9"/>
        <v>47012012_47012087</v>
      </c>
      <c r="B88" s="122">
        <v>47012012</v>
      </c>
      <c r="C88" s="122">
        <v>47012087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88" s="122">
        <v>47012087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302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8" s="48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8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8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8" s="47"/>
      <c r="Q88" s="47"/>
      <c r="R88" s="47"/>
    </row>
    <row r="89" spans="1:18" ht="21" customHeight="1" x14ac:dyDescent="0.15">
      <c r="A89" s="39" t="str">
        <f t="shared" si="9"/>
        <v>47012012_47012088</v>
      </c>
      <c r="B89" s="122">
        <v>47012012</v>
      </c>
      <c r="C89" s="122">
        <v>47012088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うぅ〜頭がクラクラします〜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ボムパネルを吸収して攻撃+_x000D_1ターン全ユニットにスキルバインド</v>
      </c>
      <c r="F89" s="122">
        <v>47012088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301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89" s="48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89" s="48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8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89" s="47"/>
      <c r="Q89" s="47"/>
      <c r="R89" s="47"/>
    </row>
    <row r="90" spans="1:18" ht="21" customHeight="1" x14ac:dyDescent="0.15">
      <c r="A90" s="39" t="str">
        <f t="shared" si="9"/>
        <v>47012012_47012089</v>
      </c>
      <c r="B90" s="122">
        <v>47012012</v>
      </c>
      <c r="C90" s="122">
        <v>47012089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そこに蛇さんが！？近づかないで〜！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90" s="122">
        <v>47012089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8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8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21" customHeight="1" x14ac:dyDescent="0.15">
      <c r="A91" s="39" t="str">
        <f t="shared" si="9"/>
        <v>47012013_47012090</v>
      </c>
      <c r="B91" s="127">
        <v>47012013</v>
      </c>
      <c r="C91" s="127">
        <v>47012090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あわわ！？_x000D_桜さんが〜咲いてないです〜？？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状態異常耐性+赤属性ダメージ50%軽減+_x000D_ボムパネルを吸収して攻撃</v>
      </c>
      <c r="F91" s="127">
        <v>47012090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 t="str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8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21" customHeight="1" x14ac:dyDescent="0.15">
      <c r="A92" s="39" t="str">
        <f t="shared" si="9"/>
        <v>47012013_47012091</v>
      </c>
      <c r="B92" s="127">
        <v>47012013</v>
      </c>
      <c r="C92" s="127">
        <v>47012091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へ、蛇さんはいませんね〜？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4ターン全ユニットのタップ数2DOWN+_x000D_全体攻撃</v>
      </c>
      <c r="F92" s="127">
        <v>47012091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329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21" customHeight="1" x14ac:dyDescent="0.15">
      <c r="A93" s="39" t="str">
        <f t="shared" si="9"/>
        <v>47012013_47012092</v>
      </c>
      <c r="B93" s="127">
        <v>47012013</v>
      </c>
      <c r="C93" s="127">
        <v>47012092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散った桜さんも力を借してください〜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4ターン種族マシンのユニットにスキルバインド+_x000D_属性パネルをマグネットパネルに1個変換</v>
      </c>
      <c r="F93" s="127">
        <v>47012092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328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8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21" customHeight="1" x14ac:dyDescent="0.15">
      <c r="A94" s="39" t="str">
        <f t="shared" si="9"/>
        <v>47012013_47012093</v>
      </c>
      <c r="B94" s="127">
        <v>47012013</v>
      </c>
      <c r="C94" s="127">
        <v>47012093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桜花・縦艶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特定部分を時限式ダメージパネルと_x000D_赤パネルに変換+単体攻撃</v>
      </c>
      <c r="F94" s="127">
        <v>47012093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327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8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21" customHeight="1" x14ac:dyDescent="0.15">
      <c r="A95" s="39" t="str">
        <f t="shared" si="9"/>
        <v>47012013_47012094</v>
      </c>
      <c r="B95" s="127">
        <v>47012013</v>
      </c>
      <c r="C95" s="127">
        <v>47012094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うわ〜ん！毛虫さんがいっぱいです〜！？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ボムパネルを吸収して攻撃+_x000D_全ユニットのボムの爆風を60%DOWN+_x000D_2ターン全ユニットの回復力30%DOWN</v>
      </c>
      <c r="F95" s="127">
        <v>47012094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326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8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21" customHeight="1" x14ac:dyDescent="0.15">
      <c r="A96" s="39" t="str">
        <f t="shared" si="9"/>
        <v>47012013_47012095</v>
      </c>
      <c r="B96" s="127">
        <v>47012013</v>
      </c>
      <c r="C96" s="127">
        <v>47012095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はわわわ！突風が〜！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96" s="127">
        <v>47012095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325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8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21" customHeight="1" x14ac:dyDescent="0.15">
      <c r="A97" s="39" t="str">
        <f t="shared" si="9"/>
        <v>47012013_47012096</v>
      </c>
      <c r="B97" s="127">
        <v>47012013</v>
      </c>
      <c r="C97" s="127">
        <v>47012096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桜花・横艶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特定部分を時限式ダメージパネルと_x000D_緑パネルに変換+単体攻撃</v>
      </c>
      <c r="F97" s="127">
        <v>47012096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324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8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21" customHeight="1" x14ac:dyDescent="0.15">
      <c r="A98" s="39" t="str">
        <f t="shared" si="9"/>
        <v>47012013_47012097</v>
      </c>
      <c r="B98" s="127">
        <v>47012013</v>
      </c>
      <c r="C98" s="127">
        <v>47012097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98" s="127">
        <v>47012097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323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8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8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8" s="47"/>
      <c r="Q98" s="47"/>
      <c r="R98" s="47"/>
    </row>
    <row r="99" spans="1:18" ht="21" customHeight="1" x14ac:dyDescent="0.15">
      <c r="A99" s="39" t="str">
        <f t="shared" si="9"/>
        <v>47012013_47012098</v>
      </c>
      <c r="B99" s="127">
        <v>47012013</v>
      </c>
      <c r="C99" s="127">
        <v>47012098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桜花・縦艶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特定部分を時限式ダメージパネルと_x000D_赤パネルに変換+単体攻撃</v>
      </c>
      <c r="F99" s="127">
        <v>47012098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322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8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8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9" s="47"/>
      <c r="Q99" s="47"/>
      <c r="R99" s="47"/>
    </row>
    <row r="100" spans="1:18" ht="21" customHeight="1" x14ac:dyDescent="0.15">
      <c r="A100" s="39" t="str">
        <f t="shared" si="9"/>
        <v>47012013_47012099</v>
      </c>
      <c r="B100" s="127">
        <v>47012013</v>
      </c>
      <c r="C100" s="127">
        <v>47012099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桜花・横艶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特定部分を時限式ダメージパネルと_x000D_緑パネルに変換+単体攻撃</v>
      </c>
      <c r="F100" s="127">
        <v>47012099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321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8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8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0" s="47"/>
      <c r="Q100" s="47"/>
      <c r="R100" s="47"/>
    </row>
    <row r="101" spans="1:18" ht="21" customHeight="1" x14ac:dyDescent="0.15">
      <c r="A101" s="39" t="str">
        <f t="shared" si="9"/>
        <v>47012013_47012100</v>
      </c>
      <c r="B101" s="127">
        <v>47012013</v>
      </c>
      <c r="C101" s="127">
        <v>47012100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あわわ！？毛虫さん離れてください〜！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ボムパネルを吸収して攻撃+_x000D_属性パネルをマグネットパネルに1個変換</v>
      </c>
      <c r="F101" s="127">
        <v>47012100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320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8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8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21" customHeight="1" x14ac:dyDescent="0.15">
      <c r="A102" s="39" t="str">
        <f t="shared" si="9"/>
        <v>47012014_47012101</v>
      </c>
      <c r="B102" s="132">
        <v>47012014</v>
      </c>
      <c r="C102" s="132">
        <v>47012101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蛇さんも、毛虫さんもいませんね〜？？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状態異常耐性+赤属性ダメージ50%軽減+_x000D_ボムパネルを吸収して攻撃</v>
      </c>
      <c r="F102" s="132">
        <v>47012101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 t="str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8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21" customHeight="1" x14ac:dyDescent="0.15">
      <c r="A103" s="39" t="str">
        <f t="shared" si="9"/>
        <v>47012014_47012102</v>
      </c>
      <c r="B103" s="132">
        <v>47012014</v>
      </c>
      <c r="C103" s="132">
        <v>47012102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枯れ木さんに〜？_x000D_どんどん桜を咲かせます〜？？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4ターン全ユニットのCパネル生成延長(特大)+_x000D_全ユニットのボムの爆風を60%DOWN+_x000D_全体攻撃</v>
      </c>
      <c r="F103" s="132">
        <v>47012102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354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8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21" customHeight="1" x14ac:dyDescent="0.15">
      <c r="A104" s="39" t="str">
        <f t="shared" si="9"/>
        <v>47012014_47012103</v>
      </c>
      <c r="B104" s="132">
        <v>47012014</v>
      </c>
      <c r="C104" s="132">
        <v>47012103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特定部分を黄の時限式ダメージパネルに変換+_x000D_全体攻撃</v>
      </c>
      <c r="F104" s="132">
        <v>47012103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353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8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21" customHeight="1" x14ac:dyDescent="0.15">
      <c r="A105" s="39" t="str">
        <f t="shared" si="9"/>
        <v>47012014_47012104</v>
      </c>
      <c r="B105" s="132">
        <v>47012014</v>
      </c>
      <c r="C105" s="132">
        <v>47012104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桜花・散らし緑桜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特定部分を緑の時限式ダメージパネルに変換+_x000D_全体攻撃</v>
      </c>
      <c r="F105" s="132">
        <v>47012104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352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8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21" customHeight="1" x14ac:dyDescent="0.15">
      <c r="A106" s="39" t="str">
        <f t="shared" si="9"/>
        <v>47012014_47012105</v>
      </c>
      <c r="B106" s="132">
        <v>47012014</v>
      </c>
      <c r="C106" s="132">
        <v>47012105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特定部分を黄の時限式ダメージパネルに変換+_x000D_単体攻撃</v>
      </c>
      <c r="F106" s="132">
        <v>47012105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351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8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21" customHeight="1" x14ac:dyDescent="0.15">
      <c r="A107" s="39" t="str">
        <f t="shared" si="9"/>
        <v>47012014_47012106</v>
      </c>
      <c r="B107" s="132">
        <v>47012014</v>
      </c>
      <c r="C107" s="132">
        <v>47012106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桜花・散らし赤桜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特定部分を赤の時限式ダメージパネルに変換+_x000D_単体攻撃</v>
      </c>
      <c r="F107" s="132">
        <v>47012106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350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8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9"/>
        <v>47012014_47012107</v>
      </c>
      <c r="B108" s="132">
        <v>47012014</v>
      </c>
      <c r="C108" s="132">
        <v>47012107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サクヤ式・桜舞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2ターン全ユニットにスキルバインド</v>
      </c>
      <c r="F108" s="132">
        <v>47012107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349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8" s="48" t="str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9"/>
        <v>47012014_47012108</v>
      </c>
      <c r="B109" s="132">
        <v>47012014</v>
      </c>
      <c r="C109" s="132">
        <v>47012108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桜さんをいっぱい咲かせますよ〜？？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特定部分をハートボムパネル(大)に変換+_x000D_単体攻撃</v>
      </c>
      <c r="F109" s="132">
        <v>47012108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348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 t="str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09" s="47"/>
      <c r="Q109" s="47"/>
      <c r="R109" s="47"/>
    </row>
    <row r="110" spans="1:18" ht="21" customHeight="1" x14ac:dyDescent="0.15">
      <c r="A110" s="39" t="str">
        <f t="shared" si="9"/>
        <v>47012014_47012109</v>
      </c>
      <c r="B110" s="132">
        <v>47012014</v>
      </c>
      <c r="C110" s="132">
        <v>47012109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うわ〜ん！鳥さんつつかないで〜！？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1ターン全ユニットのCパネル生成延長(特大)+_x000D_全体攻撃</v>
      </c>
      <c r="F110" s="132">
        <v>47012109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347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 t="str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0" s="47"/>
      <c r="Q110" s="47"/>
      <c r="R110" s="47"/>
    </row>
    <row r="111" spans="1:18" ht="21" customHeight="1" x14ac:dyDescent="0.15">
      <c r="A111" s="39" t="str">
        <f t="shared" si="9"/>
        <v>47012014_47012110</v>
      </c>
      <c r="B111" s="132">
        <v>47012014</v>
      </c>
      <c r="C111" s="132">
        <v>47012110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桜花・散らし黄桜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特定部分を黄の時限式ダメージパネルに変換+_x000D_全体攻撃</v>
      </c>
      <c r="F111" s="132">
        <v>47012110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346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1" s="48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8" t="str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1" s="47"/>
      <c r="Q111" s="47"/>
      <c r="R111" s="47"/>
    </row>
    <row r="112" spans="1:18" ht="21" customHeight="1" x14ac:dyDescent="0.15">
      <c r="A112" s="39" t="str">
        <f t="shared" si="9"/>
        <v>47012014_47012111</v>
      </c>
      <c r="B112" s="132">
        <v>47012014</v>
      </c>
      <c r="C112" s="132">
        <v>47012111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桜花・散らし緑桜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特定部分を緑の時限式ダメージパネルに変換+_x000D_全体攻撃</v>
      </c>
      <c r="F112" s="132">
        <v>47012111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345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2" s="48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8" t="str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2" s="47"/>
      <c r="Q112" s="47"/>
      <c r="R112" s="47"/>
    </row>
    <row r="113" spans="1:18" ht="21" customHeight="1" x14ac:dyDescent="0.15">
      <c r="A113" s="39" t="str">
        <f t="shared" si="9"/>
        <v>47012014_47012112</v>
      </c>
      <c r="B113" s="132">
        <v>47012014</v>
      </c>
      <c r="C113" s="132">
        <v>47012112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あわわ！？鳥さん離れてください〜！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ボムパネルを吸収して攻撃+_x000D_属性パネルをマグネットパネルに1個変換</v>
      </c>
      <c r="F113" s="132">
        <v>47012112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3" s="48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343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 t="str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3" s="48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9"/>
        <v>47012014_47012113</v>
      </c>
      <c r="B114" s="132">
        <v>47012014</v>
      </c>
      <c r="C114" s="132">
        <v>47012113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最後の枯れ木に桜さんを咲かせますよ〜？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2ターン後に超強力な全体攻撃</v>
      </c>
      <c r="F114" s="132">
        <v>47012113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362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8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ref="A115" si="11">B115&amp;"_"&amp;C115</f>
        <v>47012014_47012114</v>
      </c>
      <c r="B115" s="132">
        <v>47012014</v>
      </c>
      <c r="C115" s="132">
        <v>47012114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やったぁ〜！満開です！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特定部分をハート＆緑＆黄パネルに変換</v>
      </c>
      <c r="F115" s="132">
        <v>47012114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361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8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ref="A116:A126" si="12">B116&amp;"_"&amp;C116</f>
        <v>47012014_47012115</v>
      </c>
      <c r="B116" s="132">
        <v>47012014</v>
      </c>
      <c r="C116" s="132">
        <v>47012115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あ〜！桜さんを散らさないでください〜！！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2回連続全体攻撃</v>
      </c>
      <c r="F116" s="132">
        <v>47012115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360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8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12"/>
        <v>47012014_47012116</v>
      </c>
      <c r="B117" s="132">
        <v>47012014</v>
      </c>
      <c r="C117" s="132">
        <v>47012116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え！わたしを迎えに来てくれたんですか〜？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お花見が出来なくて皆さんが困ってる…_x000D_はい！一緒に皆さんのところに帰りましょう！</v>
      </c>
      <c r="F117" s="132">
        <v>47012116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 t="str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7" s="48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8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12"/>
        <v>47012005_47012117</v>
      </c>
      <c r="B118" s="147">
        <v>47012005</v>
      </c>
      <c r="C118" s="147">
        <v>47012117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あれ？サクヤさま？_x000D_サクヤさまがいっぱいいます〜？？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18" s="147">
        <v>47012117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8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1499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12"/>
        <v>47012005_47012118</v>
      </c>
      <c r="B119" s="147">
        <v>47012005</v>
      </c>
      <c r="C119" s="147">
        <v>47012118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あれ？サクヤさま？_x000D_サクヤさまがいっぱいいます〜？？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19" s="147">
        <v>47012118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48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8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1500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si="12"/>
        <v>47012005_47012119</v>
      </c>
      <c r="B120" s="147">
        <v>47012005</v>
      </c>
      <c r="C120" s="147">
        <v>47012119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あれ？センコさま？センコさまの_x000D_狐さんがいっぱいいます〜？？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20" s="147">
        <v>47012119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48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8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1431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2"/>
        <v>47012005_47012120</v>
      </c>
      <c r="B121" s="147">
        <v>47012005</v>
      </c>
      <c r="C121" s="147">
        <v>47012120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あれ？センコさま？センコさまの_x000D_狐さんがいっぱいいます〜？？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21" s="147">
        <v>47012120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 t="str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1" s="48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1432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ref="A122:A124" si="13">B122&amp;"_"&amp;C122</f>
        <v>47012005_47012121</v>
      </c>
      <c r="B122" s="147">
        <v>47012005</v>
      </c>
      <c r="C122" s="147">
        <v>47012121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あれ？牛若丸さま？あの方は_x000D_皆さまとお花見のはずでは？？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22" s="147">
        <v>47012121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 t="str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2" s="48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1495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si="13"/>
        <v>47012005_47012122</v>
      </c>
      <c r="B123" s="147">
        <v>47012005</v>
      </c>
      <c r="C123" s="147">
        <v>47012122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沖田さま？お団子が〜_x000D_お団子がいっぱい見えます〜？？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23" s="147">
        <v>47012122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8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1496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21" customHeight="1" x14ac:dyDescent="0.15">
      <c r="A124" s="39" t="str">
        <f t="shared" si="13"/>
        <v>47012005_47012123</v>
      </c>
      <c r="B124" s="147">
        <v>47012005</v>
      </c>
      <c r="C124" s="147">
        <v>47012123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ドガさま？ドガさまのネズミさんが_x000D_いつもよりも沢山います〜？？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状態異常耐性+_x000D_全ユニットのボムの爆風を30%DOWN</v>
      </c>
      <c r="F124" s="147">
        <v>47012123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8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1501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21" customHeight="1" x14ac:dyDescent="0.15">
      <c r="A125" s="39" t="str">
        <f t="shared" si="12"/>
        <v>47012007_47012131</v>
      </c>
      <c r="B125" s="132">
        <v>47012007</v>
      </c>
      <c r="C125" s="132">
        <v>47012131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はっ！サクヤさまでしたか〜_x000D_わたしを迎えに来てくれたんですか〜？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お花見で舞を踊られる…？_x000D_サクヤさまの舞はとても美しいですから_x000D_負けないくらい満開の桜を咲かせます〜！</v>
      </c>
      <c r="F125" s="132">
        <v>47012131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506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1499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21" customHeight="1" x14ac:dyDescent="0.15">
      <c r="A126" s="39" t="str">
        <f t="shared" si="12"/>
        <v>47012007_47012132</v>
      </c>
      <c r="B126" s="132">
        <v>47012007</v>
      </c>
      <c r="C126" s="132">
        <v>47012132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はっ！サクヤさまでしたか〜_x000D_わたしを迎えに来てくれたんですか〜？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お花見で舞を踊られる…？_x000D_サクヤさまの舞はとても美しいですから_x000D_負けないくらい満開の桜を咲かせます〜！</v>
      </c>
      <c r="F126" s="132">
        <v>47012132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507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1500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21" customHeight="1" x14ac:dyDescent="0.15">
      <c r="A127" s="39" t="str">
        <f t="shared" ref="A127:A140" si="14">B127&amp;"_"&amp;C127</f>
        <v>47012007_47012133</v>
      </c>
      <c r="B127" s="132">
        <v>47012007</v>
      </c>
      <c r="C127" s="132">
        <v>47012133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センコさま…サクヤさまが探している？_x000D_見つけて頂き感謝します〜！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サクヤさま本当に心配しているのでしょうか〜_x000D_あわわ！頭を撫でるのはおやめください〜！</v>
      </c>
      <c r="F127" s="132">
        <v>47012133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504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1431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21" customHeight="1" x14ac:dyDescent="0.15">
      <c r="A128" s="39" t="str">
        <f t="shared" si="14"/>
        <v>47012007_47012134</v>
      </c>
      <c r="B128" s="132">
        <v>47012007</v>
      </c>
      <c r="C128" s="132">
        <v>47012134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センコさま…サクヤさまが探している？_x000D_見つけて頂き感謝します〜！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サクヤさま本当に心配しているのでしょうか〜_x000D_あわわ！頭を撫でるのはおやめください〜！</v>
      </c>
      <c r="F128" s="132">
        <v>47012134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1432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21" customHeight="1" x14ac:dyDescent="0.15">
      <c r="A129" s="39" t="str">
        <f t="shared" si="14"/>
        <v>47012007_47012135</v>
      </c>
      <c r="B129" s="132">
        <v>47012007</v>
      </c>
      <c r="C129" s="132">
        <v>47012135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はっ！牛若丸さま！_x000D_皆さまが私を探しているんですか？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一緒にお花見会場に戻ります〜_x000D_皆さまの為にも満開の桜を咲かせます！</v>
      </c>
      <c r="F129" s="132">
        <v>47012135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1495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21" customHeight="1" x14ac:dyDescent="0.15">
      <c r="A130" s="39" t="str">
        <f t="shared" si="14"/>
        <v>47012007_47012136</v>
      </c>
      <c r="B130" s="132">
        <v>47012007</v>
      </c>
      <c r="C130" s="132">
        <v>47012136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はっ！沖田さま！_x000D_皆さまが私を探しているんですか？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見つけてくれてありがとうございます！_x000D_お花見のお団子を美味しくする為にも_x000D_戻って満開の桜を咲かせます〜！</v>
      </c>
      <c r="F130" s="132">
        <v>47012136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1496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21" customHeight="1" x14ac:dyDescent="0.15">
      <c r="A131" s="39" t="str">
        <f t="shared" ref="A131" si="15">B131&amp;"_"&amp;C131</f>
        <v>47012007_47012137</v>
      </c>
      <c r="B131" s="132">
        <v>47012007</v>
      </c>
      <c r="C131" s="132">
        <v>47012137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はっ！ドガさま！_x000D_皆さまが私を探しているんですか？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お花見が出来なくて皆さんが困ってる…_x000D_ドガさまの桜のデッサンの為にも_x000D_満開の桜を咲かせます〜！</v>
      </c>
      <c r="F131" s="132">
        <v>47012137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1501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21" customHeight="1" x14ac:dyDescent="0.15">
      <c r="A132" s="39" t="str">
        <f t="shared" si="14"/>
        <v>47012012_47012124</v>
      </c>
      <c r="B132" s="122">
        <v>47012012</v>
      </c>
      <c r="C132" s="122">
        <v>47012124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あれ？サクヤさま？_x000D_サクヤさまがいっぱいいます〜？？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2" s="122">
        <v>47012124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8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1499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21" customHeight="1" x14ac:dyDescent="0.15">
      <c r="A133" s="39" t="str">
        <f t="shared" si="14"/>
        <v>47012012_47012125</v>
      </c>
      <c r="B133" s="122">
        <v>47012012</v>
      </c>
      <c r="C133" s="122">
        <v>47012125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あれ？サクヤさま？_x000D_サクヤさまがいっぱいいます〜？？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3" s="122">
        <v>47012125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8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1500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21" customHeight="1" x14ac:dyDescent="0.15">
      <c r="A134" s="39" t="str">
        <f t="shared" si="14"/>
        <v>47012012_47012126</v>
      </c>
      <c r="B134" s="122">
        <v>47012012</v>
      </c>
      <c r="C134" s="122">
        <v>47012126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あれ？センコさま？センコさまの_x000D_狐さんがいっぱいいます〜？？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4" s="122">
        <v>47012126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8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1431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21" customHeight="1" x14ac:dyDescent="0.15">
      <c r="A135" s="39" t="str">
        <f t="shared" si="14"/>
        <v>47012012_47012127</v>
      </c>
      <c r="B135" s="122">
        <v>47012012</v>
      </c>
      <c r="C135" s="122">
        <v>47012127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あれ？センコさま？センコさまの_x000D_狐さんがいっぱいいます〜？？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5" s="122">
        <v>47012127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8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1432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21" customHeight="1" x14ac:dyDescent="0.15">
      <c r="A136" s="39" t="str">
        <f t="shared" ref="A136:A138" si="16">B136&amp;"_"&amp;C136</f>
        <v>47012012_47012128</v>
      </c>
      <c r="B136" s="122">
        <v>47012012</v>
      </c>
      <c r="C136" s="122">
        <v>47012128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あれ？牛若丸さま？あの方は_x000D_皆さまとお花見のはずでは？？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6" s="122">
        <v>47012128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8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1495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21" customHeight="1" x14ac:dyDescent="0.15">
      <c r="A137" s="39" t="str">
        <f t="shared" si="16"/>
        <v>47012012_47012129</v>
      </c>
      <c r="B137" s="122">
        <v>47012012</v>
      </c>
      <c r="C137" s="122">
        <v>47012129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沖田さま？お団子が〜_x000D_お団子がいっぱい見えます〜？？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7" s="122">
        <v>47012129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8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1496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21" customHeight="1" x14ac:dyDescent="0.15">
      <c r="A138" s="39" t="str">
        <f t="shared" si="16"/>
        <v>47012012_47012130</v>
      </c>
      <c r="B138" s="122">
        <v>47012012</v>
      </c>
      <c r="C138" s="122">
        <v>47012130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ドガさま？ドガさまのネズミさんが_x000D_いつもよりも沢山います〜？？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状態異常耐性+赤属性ダメージ50%軽減+_x000D_全ユニットのボムの爆風を60%DOWN</v>
      </c>
      <c r="F138" s="122">
        <v>47012130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8" s="48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1501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21" customHeight="1" x14ac:dyDescent="0.15">
      <c r="A139" s="39" t="str">
        <f t="shared" si="14"/>
        <v>47012014_47012131</v>
      </c>
      <c r="B139" s="132">
        <v>47012014</v>
      </c>
      <c r="C139" s="132">
        <v>47012131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はっ！サクヤさまでしたか〜_x000D_わたしを迎えに来てくれたんですか〜？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お花見で舞を踊られる…？_x000D_サクヤさまの舞はとても美しいですから_x000D_負けないくらい満開の桜を咲かせます〜！</v>
      </c>
      <c r="F139" s="132">
        <v>47012131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506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1499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21" customHeight="1" x14ac:dyDescent="0.15">
      <c r="A140" s="39" t="str">
        <f t="shared" si="14"/>
        <v>47012014_47012132</v>
      </c>
      <c r="B140" s="132">
        <v>47012014</v>
      </c>
      <c r="C140" s="132">
        <v>47012132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はっ！サクヤさまでしたか〜_x000D_わたしを迎えに来てくれたんですか〜？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お花見で舞を踊られる…？_x000D_サクヤさまの舞はとても美しいですから_x000D_負けないくらい満開の桜を咲かせます〜！</v>
      </c>
      <c r="F140" s="132">
        <v>47012132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507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8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1500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21" customHeight="1" x14ac:dyDescent="0.15">
      <c r="A141" s="39" t="str">
        <f t="shared" ref="A141:A142" si="17">B141&amp;"_"&amp;C141</f>
        <v>47012014_47012133</v>
      </c>
      <c r="B141" s="132">
        <v>47012014</v>
      </c>
      <c r="C141" s="132">
        <v>47012133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センコさま…サクヤさまが探している？_x000D_見つけて頂き感謝します〜！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サクヤさま本当に心配しているのでしょうか〜_x000D_あわわ！頭を撫でるのはおやめください〜！</v>
      </c>
      <c r="F141" s="132">
        <v>47012133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504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8" t="str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1431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21" customHeight="1" x14ac:dyDescent="0.15">
      <c r="A142" s="39" t="str">
        <f t="shared" si="17"/>
        <v>47012014_47012134</v>
      </c>
      <c r="B142" s="132">
        <v>47012014</v>
      </c>
      <c r="C142" s="132">
        <v>47012134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センコさま…サクヤさまが探している？_x000D_見つけて頂き感謝します〜！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サクヤさま本当に心配しているのでしょうか〜_x000D_あわわ！頭を撫でるのはおやめください〜！</v>
      </c>
      <c r="F142" s="132">
        <v>47012134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505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8" t="str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1432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21" customHeight="1" x14ac:dyDescent="0.15">
      <c r="A143" s="39" t="str">
        <f t="shared" ref="A143:A145" si="18">B143&amp;"_"&amp;C143</f>
        <v>47012014_47012135</v>
      </c>
      <c r="B143" s="132">
        <v>47012014</v>
      </c>
      <c r="C143" s="132">
        <v>47012135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はっ！牛若丸さま！_x000D_皆さまが私を探しているんですか？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一緒にお花見会場に戻ります〜_x000D_皆さまの為にも満開の桜を咲かせます！</v>
      </c>
      <c r="F143" s="132">
        <v>47012135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503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8" t="str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1495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21" customHeight="1" x14ac:dyDescent="0.15">
      <c r="A144" s="39" t="str">
        <f t="shared" si="18"/>
        <v>47012014_47012136</v>
      </c>
      <c r="B144" s="132">
        <v>47012014</v>
      </c>
      <c r="C144" s="132">
        <v>47012136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はっ！沖田さま！_x000D_皆さまが私を探しているんですか？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見つけてくれてありがとうございます！_x000D_お花見のお団子を美味しくする為にも_x000D_戻って満開の桜を咲かせます〜！</v>
      </c>
      <c r="F144" s="132">
        <v>47012136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502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8" t="str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1496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21" customHeight="1" x14ac:dyDescent="0.15">
      <c r="A145" s="39" t="str">
        <f t="shared" si="18"/>
        <v>47012014_47012137</v>
      </c>
      <c r="B145" s="132">
        <v>47012014</v>
      </c>
      <c r="C145" s="132">
        <v>47012137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はっ！ドガさま！_x000D_皆さまが私を探しているんですか？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お花見が出来なくて皆さんが困ってる…_x000D_ドガさまの桜のデッサンの為にも_x000D_満開の桜を咲かせます〜！</v>
      </c>
      <c r="F145" s="132">
        <v>47012137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501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8" t="str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1501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2"/>
  <sheetViews>
    <sheetView workbookViewId="0">
      <selection activeCell="G6" sqref="G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151</v>
      </c>
      <c r="B1" s="61" t="s">
        <v>152</v>
      </c>
      <c r="C1" s="62" t="s">
        <v>153</v>
      </c>
      <c r="D1" s="68" t="s">
        <v>154</v>
      </c>
      <c r="E1" s="63" t="s">
        <v>155</v>
      </c>
      <c r="F1" s="61" t="s">
        <v>156</v>
      </c>
      <c r="G1" s="61" t="s">
        <v>157</v>
      </c>
      <c r="H1" s="61" t="s">
        <v>158</v>
      </c>
      <c r="I1" s="61" t="s">
        <v>159</v>
      </c>
      <c r="J1" s="61" t="s">
        <v>160</v>
      </c>
      <c r="K1" s="61" t="s">
        <v>161</v>
      </c>
      <c r="L1" s="61" t="s">
        <v>162</v>
      </c>
      <c r="M1" s="61" t="s">
        <v>163</v>
      </c>
      <c r="N1" s="61" t="s">
        <v>164</v>
      </c>
      <c r="O1" s="61" t="s">
        <v>165</v>
      </c>
      <c r="P1" s="61" t="s">
        <v>166</v>
      </c>
      <c r="Q1" s="61" t="s">
        <v>167</v>
      </c>
      <c r="R1" s="61" t="s">
        <v>168</v>
      </c>
    </row>
    <row r="2" spans="1:18" x14ac:dyDescent="0.15">
      <c r="A2" s="54">
        <v>47012</v>
      </c>
      <c r="B2" s="54">
        <v>1</v>
      </c>
      <c r="C2" s="67" t="str">
        <f>A2&amp; "_"&amp;B2</f>
        <v>47012_1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4">
        <v>1</v>
      </c>
      <c r="F2" s="54" t="s">
        <v>537</v>
      </c>
      <c r="G2" s="54">
        <v>705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140</v>
      </c>
      <c r="Q2" s="54" t="s">
        <v>169</v>
      </c>
      <c r="R2" s="54" t="s">
        <v>170</v>
      </c>
    </row>
    <row r="3" spans="1:18" x14ac:dyDescent="0.15">
      <c r="A3" s="54">
        <v>47012</v>
      </c>
      <c r="B3" s="54">
        <v>1</v>
      </c>
      <c r="C3" s="67" t="str">
        <f t="shared" ref="C3:C6" si="0">A3&amp; "_"&amp;B3</f>
        <v>47012_1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4">
        <v>2</v>
      </c>
      <c r="F3" s="54" t="s">
        <v>536</v>
      </c>
      <c r="G3" s="54">
        <v>121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280</v>
      </c>
      <c r="Q3" s="54" t="s">
        <v>169</v>
      </c>
      <c r="R3" s="54" t="s">
        <v>170</v>
      </c>
    </row>
    <row r="4" spans="1:18" x14ac:dyDescent="0.15">
      <c r="A4" s="54">
        <v>47012</v>
      </c>
      <c r="B4" s="54">
        <v>1</v>
      </c>
      <c r="C4" s="67" t="str">
        <f t="shared" si="0"/>
        <v>47012_1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4">
        <v>3</v>
      </c>
      <c r="F4" s="54" t="s">
        <v>536</v>
      </c>
      <c r="G4" s="54">
        <v>122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280</v>
      </c>
      <c r="Q4" s="54" t="s">
        <v>169</v>
      </c>
      <c r="R4" s="54" t="s">
        <v>170</v>
      </c>
    </row>
    <row r="5" spans="1:18" x14ac:dyDescent="0.15">
      <c r="A5" s="54">
        <v>47012</v>
      </c>
      <c r="B5" s="54">
        <v>1</v>
      </c>
      <c r="C5" s="67" t="str">
        <f t="shared" si="0"/>
        <v>47012_1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4">
        <v>4</v>
      </c>
      <c r="F5" s="54" t="s">
        <v>536</v>
      </c>
      <c r="G5" s="54">
        <v>123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280</v>
      </c>
      <c r="Q5" s="54" t="s">
        <v>169</v>
      </c>
      <c r="R5" s="54" t="s">
        <v>170</v>
      </c>
    </row>
    <row r="6" spans="1:18" ht="16" thickBot="1" x14ac:dyDescent="0.2">
      <c r="A6" s="215">
        <v>47012</v>
      </c>
      <c r="B6" s="215">
        <v>1</v>
      </c>
      <c r="C6" s="216" t="str">
        <f t="shared" si="0"/>
        <v>47012_1</v>
      </c>
      <c r="D6" s="2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15">
        <v>5</v>
      </c>
      <c r="F6" s="215" t="s">
        <v>536</v>
      </c>
      <c r="G6" s="215">
        <v>795</v>
      </c>
      <c r="H6" s="215">
        <v>1</v>
      </c>
      <c r="I6" s="215">
        <v>1</v>
      </c>
      <c r="J6" s="215">
        <v>1</v>
      </c>
      <c r="K6" s="215">
        <v>0</v>
      </c>
      <c r="L6" s="215">
        <v>0</v>
      </c>
      <c r="M6" s="215">
        <v>0</v>
      </c>
      <c r="N6" s="215">
        <v>0</v>
      </c>
      <c r="O6" s="215">
        <v>1</v>
      </c>
      <c r="P6" s="215">
        <v>20</v>
      </c>
      <c r="Q6" s="215" t="s">
        <v>169</v>
      </c>
      <c r="R6" s="215" t="s">
        <v>170</v>
      </c>
    </row>
    <row r="7" spans="1:18" ht="16" thickTop="1" x14ac:dyDescent="0.15">
      <c r="A7" s="140">
        <v>47012</v>
      </c>
      <c r="B7" s="233">
        <v>2</v>
      </c>
      <c r="C7" s="213" t="str">
        <f t="shared" ref="C7:C11" si="1">A7&amp; "_"&amp;B7</f>
        <v>47012_2</v>
      </c>
      <c r="D7" s="214" t="str">
        <f ca="1">VLOOKUP($C7,OFFSET([2]stages!$A$1,0,0,COUNTA([2]stages!$A:$A),MATCH(D$1,[2]stages!$2:$2,0)-MATCH($C$1,[2]stages!$2:$2,0)+1),MATCH(D$1,[2]stages!$2:$2,0)-MATCH($C$1,[2]stages!$2:$2,0)+1,FALSE)</f>
        <v>everyone</v>
      </c>
      <c r="E7" s="140">
        <v>6</v>
      </c>
      <c r="F7" s="140" t="s">
        <v>537</v>
      </c>
      <c r="G7" s="140">
        <v>705</v>
      </c>
      <c r="H7" s="140">
        <v>1</v>
      </c>
      <c r="I7" s="140">
        <v>1</v>
      </c>
      <c r="J7" s="140">
        <v>1</v>
      </c>
      <c r="K7" s="140">
        <v>0</v>
      </c>
      <c r="L7" s="140">
        <v>0</v>
      </c>
      <c r="M7" s="140">
        <v>0</v>
      </c>
      <c r="N7" s="140">
        <v>0</v>
      </c>
      <c r="O7" s="140">
        <v>1</v>
      </c>
      <c r="P7" s="140">
        <v>380</v>
      </c>
      <c r="Q7" s="140" t="s">
        <v>169</v>
      </c>
      <c r="R7" s="140" t="s">
        <v>170</v>
      </c>
    </row>
    <row r="8" spans="1:18" x14ac:dyDescent="0.15">
      <c r="A8" s="54">
        <v>47012</v>
      </c>
      <c r="B8" s="55">
        <v>2</v>
      </c>
      <c r="C8" s="67" t="str">
        <f t="shared" si="1"/>
        <v>47012_2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4">
        <v>7</v>
      </c>
      <c r="F8" s="54" t="s">
        <v>536</v>
      </c>
      <c r="G8" s="54">
        <v>607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100</v>
      </c>
      <c r="Q8" s="54" t="s">
        <v>169</v>
      </c>
      <c r="R8" s="54" t="s">
        <v>170</v>
      </c>
    </row>
    <row r="9" spans="1:18" x14ac:dyDescent="0.15">
      <c r="A9" s="54">
        <v>47012</v>
      </c>
      <c r="B9" s="55">
        <v>2</v>
      </c>
      <c r="C9" s="67" t="str">
        <f t="shared" si="1"/>
        <v>47012_2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4">
        <v>8</v>
      </c>
      <c r="F9" s="54" t="s">
        <v>536</v>
      </c>
      <c r="G9" s="54">
        <v>608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100</v>
      </c>
      <c r="Q9" s="54" t="s">
        <v>169</v>
      </c>
      <c r="R9" s="54" t="s">
        <v>170</v>
      </c>
    </row>
    <row r="10" spans="1:18" x14ac:dyDescent="0.15">
      <c r="A10" s="54">
        <v>47012</v>
      </c>
      <c r="B10" s="55">
        <v>2</v>
      </c>
      <c r="C10" s="67" t="str">
        <f t="shared" si="1"/>
        <v>47012_2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4">
        <v>9</v>
      </c>
      <c r="F10" s="54" t="s">
        <v>536</v>
      </c>
      <c r="G10" s="54">
        <v>609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100</v>
      </c>
      <c r="Q10" s="54" t="s">
        <v>169</v>
      </c>
      <c r="R10" s="54" t="s">
        <v>170</v>
      </c>
    </row>
    <row r="11" spans="1:18" x14ac:dyDescent="0.15">
      <c r="A11" s="54">
        <v>47012</v>
      </c>
      <c r="B11" s="55">
        <v>2</v>
      </c>
      <c r="C11" s="67" t="str">
        <f t="shared" si="1"/>
        <v>47012_2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4">
        <v>10</v>
      </c>
      <c r="F11" s="54" t="s">
        <v>536</v>
      </c>
      <c r="G11" s="54">
        <v>795</v>
      </c>
      <c r="H11" s="54">
        <v>1</v>
      </c>
      <c r="I11" s="54">
        <v>1</v>
      </c>
      <c r="J11" s="54">
        <v>1</v>
      </c>
      <c r="K11" s="54">
        <v>0</v>
      </c>
      <c r="L11" s="54">
        <v>0</v>
      </c>
      <c r="M11" s="54">
        <v>0</v>
      </c>
      <c r="N11" s="54">
        <v>0</v>
      </c>
      <c r="O11" s="54">
        <v>1</v>
      </c>
      <c r="P11" s="54">
        <v>20</v>
      </c>
      <c r="Q11" s="54" t="s">
        <v>169</v>
      </c>
      <c r="R11" s="54" t="s">
        <v>170</v>
      </c>
    </row>
    <row r="12" spans="1:18" x14ac:dyDescent="0.15">
      <c r="A12" s="54">
        <v>47012</v>
      </c>
      <c r="B12" s="55">
        <v>2</v>
      </c>
      <c r="C12" s="67" t="str">
        <f t="shared" ref="C12" si="2">A12&amp; "_"&amp;B12</f>
        <v>47012_2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4">
        <v>11</v>
      </c>
      <c r="F12" s="140" t="s">
        <v>537</v>
      </c>
      <c r="G12" s="140">
        <v>705</v>
      </c>
      <c r="H12" s="54">
        <v>2</v>
      </c>
      <c r="I12" s="54">
        <v>1</v>
      </c>
      <c r="J12" s="54">
        <v>1</v>
      </c>
      <c r="K12" s="54">
        <v>0</v>
      </c>
      <c r="L12" s="54">
        <v>0</v>
      </c>
      <c r="M12" s="54">
        <v>0</v>
      </c>
      <c r="N12" s="54">
        <v>0</v>
      </c>
      <c r="O12" s="54">
        <v>1</v>
      </c>
      <c r="P12" s="54">
        <v>300</v>
      </c>
      <c r="Q12" s="54" t="s">
        <v>169</v>
      </c>
      <c r="R12" s="54" t="s">
        <v>170</v>
      </c>
    </row>
  </sheetData>
  <phoneticPr fontId="5"/>
  <dataValidations count="1">
    <dataValidation type="list" allowBlank="1" showInputMessage="1" showErrorMessage="1" sqref="F3:F6 F8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188</v>
      </c>
      <c r="B1" s="69" t="s">
        <v>189</v>
      </c>
      <c r="C1" s="73" t="s">
        <v>190</v>
      </c>
      <c r="D1" s="73" t="s">
        <v>33</v>
      </c>
      <c r="E1" s="69" t="s">
        <v>191</v>
      </c>
      <c r="F1" s="73" t="s">
        <v>192</v>
      </c>
      <c r="G1" s="73" t="s">
        <v>33</v>
      </c>
      <c r="H1" s="69" t="s">
        <v>193</v>
      </c>
      <c r="I1" s="86" t="s">
        <v>195</v>
      </c>
      <c r="J1" s="75" t="s">
        <v>127</v>
      </c>
      <c r="K1" s="74" t="s">
        <v>186</v>
      </c>
      <c r="L1" s="87" t="s">
        <v>185</v>
      </c>
      <c r="M1" s="76" t="s">
        <v>196</v>
      </c>
    </row>
    <row r="2" spans="1:13" x14ac:dyDescent="0.15">
      <c r="A2" s="77" t="s">
        <v>200</v>
      </c>
      <c r="B2" s="78">
        <f>floors!$C$2</f>
        <v>47012</v>
      </c>
      <c r="C2" s="79" t="str">
        <f ca="1">VLOOKUP($B2,OFFSET([2]quests!$A$1,0,0,COUNTA([2]quests!$A:$A),MATCH(C$1,[2]quests!$1:$1,0)-MATCH($B$1,[2]quests!$1:$1,0)+1),MATCH(C$1,[2]quests!$1:$1,0)-MATCH($B$1,[2]quests!$1:$1,0)+1,FALSE)</f>
        <v>春呼ぶキミの行方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2" t="s">
        <v>213</v>
      </c>
      <c r="F2" s="79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79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1">
        <v>0</v>
      </c>
      <c r="I2">
        <v>1</v>
      </c>
      <c r="J2" s="80" t="s">
        <v>198</v>
      </c>
      <c r="K2" s="88" t="str">
        <f>VLOOKUP(I2,[6]stage_hints!$A:$C,3,FALSE)</f>
        <v>長くつなげて大ダメージ</v>
      </c>
      <c r="L2" s="89" t="str">
        <f>VLOOKUP(I2,[6]stage_hints!$A:$D,4,FALSE)</f>
        <v>パネルを長くつなげるほど_x000D_大ダメージを与えることができます</v>
      </c>
      <c r="M2" s="54" t="s">
        <v>210</v>
      </c>
    </row>
    <row r="3" spans="1:13" x14ac:dyDescent="0.15">
      <c r="A3" s="77" t="s">
        <v>200</v>
      </c>
      <c r="B3" s="78">
        <f>floors!$C$2</f>
        <v>47012</v>
      </c>
      <c r="C3" s="79" t="str">
        <f ca="1">VLOOKUP($B3,OFFSET([2]quests!$A$1,0,0,COUNTA([2]quests!$A:$A),MATCH(C$1,[2]quests!$1:$1,0)-MATCH($B$1,[2]quests!$1:$1,0)+1),MATCH(C$1,[2]quests!$1:$1,0)-MATCH($B$1,[2]quests!$1:$1,0)+1,FALSE)</f>
        <v>春呼ぶキミの行方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2" t="s">
        <v>213</v>
      </c>
      <c r="F3" s="79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79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1">
        <v>0</v>
      </c>
      <c r="I3">
        <v>2</v>
      </c>
      <c r="J3" s="80" t="s">
        <v>198</v>
      </c>
      <c r="K3" s="88" t="str">
        <f>VLOOKUP(I3,[6]stage_hints!$A:$C,3,FALSE)</f>
        <v>属性の相性</v>
      </c>
      <c r="L3" s="89" t="str">
        <f>VLOOKUP(I3,[6]stage_hints!$A:$D,4,FALSE)</f>
        <v>赤＞青　青＞黄　黄＞緑　緑＞赤_x000D_敵属性に最適なパーティがオススメです</v>
      </c>
      <c r="M3" s="54" t="s">
        <v>210</v>
      </c>
    </row>
    <row r="4" spans="1:13" x14ac:dyDescent="0.15">
      <c r="A4" s="77" t="s">
        <v>200</v>
      </c>
      <c r="B4" s="78">
        <f>floors!$C$2</f>
        <v>47012</v>
      </c>
      <c r="C4" s="79" t="str">
        <f ca="1">VLOOKUP($B4,OFFSET([2]quests!$A$1,0,0,COUNTA([2]quests!$A:$A),MATCH(C$1,[2]quests!$1:$1,0)-MATCH($B$1,[2]quests!$1:$1,0)+1),MATCH(C$1,[2]quests!$1:$1,0)-MATCH($B$1,[2]quests!$1:$1,0)+1,FALSE)</f>
        <v>春呼ぶキミの行方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2" t="s">
        <v>213</v>
      </c>
      <c r="F4" s="79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79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1">
        <v>0</v>
      </c>
      <c r="I4">
        <v>3</v>
      </c>
      <c r="J4" s="80" t="s">
        <v>198</v>
      </c>
      <c r="K4" s="88" t="str">
        <f>VLOOKUP(I4,[6]stage_hints!$A:$C,3,FALSE)</f>
        <v>ターゲット</v>
      </c>
      <c r="L4" s="89" t="str">
        <f>VLOOKUP(I4,[6]stage_hints!$A:$D,4,FALSE)</f>
        <v>敵ユニットをタップすると_x000D_その敵を狙い撃ちできます</v>
      </c>
      <c r="M4" s="54" t="s">
        <v>210</v>
      </c>
    </row>
    <row r="5" spans="1:13" x14ac:dyDescent="0.15">
      <c r="A5" s="77" t="s">
        <v>200</v>
      </c>
      <c r="B5" s="78">
        <f>floors!$C$2</f>
        <v>47012</v>
      </c>
      <c r="C5" s="79" t="str">
        <f ca="1">VLOOKUP($B5,OFFSET([2]quests!$A$1,0,0,COUNTA([2]quests!$A:$A),MATCH(C$1,[2]quests!$1:$1,0)-MATCH($B$1,[2]quests!$1:$1,0)+1),MATCH(C$1,[2]quests!$1:$1,0)-MATCH($B$1,[2]quests!$1:$1,0)+1,FALSE)</f>
        <v>春呼ぶキミの行方</v>
      </c>
      <c r="D5" s="7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2" t="s">
        <v>213</v>
      </c>
      <c r="F5" s="79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79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1">
        <v>0</v>
      </c>
      <c r="I5">
        <v>5</v>
      </c>
      <c r="J5" s="80" t="s">
        <v>198</v>
      </c>
      <c r="K5" s="88" t="str">
        <f>VLOOKUP(I5,[6]stage_hints!$A:$C,3,FALSE)</f>
        <v>ユニット強化でレベルアップ</v>
      </c>
      <c r="L5" s="89" t="str">
        <f>VLOOKUP(I5,[6]stage_hints!$A:$D,4,FALSE)</f>
        <v>「ユニット強化」でレベルアップすると_x000D_勝てない敵にも勝てるようになります</v>
      </c>
      <c r="M5" s="54" t="s">
        <v>210</v>
      </c>
    </row>
    <row r="6" spans="1:13" x14ac:dyDescent="0.15">
      <c r="A6" s="77" t="s">
        <v>200</v>
      </c>
      <c r="B6" s="78">
        <f>floors!$C$2</f>
        <v>47012</v>
      </c>
      <c r="C6" s="79" t="str">
        <f ca="1">VLOOKUP($B6,OFFSET([2]quests!$A$1,0,0,COUNTA([2]quests!$A:$A),MATCH(C$1,[2]quests!$1:$1,0)-MATCH($B$1,[2]quests!$1:$1,0)+1),MATCH(C$1,[2]quests!$1:$1,0)-MATCH($B$1,[2]quests!$1:$1,0)+1,FALSE)</f>
        <v>春呼ぶキミの行方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2" t="s">
        <v>213</v>
      </c>
      <c r="F6" s="79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79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1">
        <v>0</v>
      </c>
      <c r="I6">
        <v>6</v>
      </c>
      <c r="J6" s="80" t="s">
        <v>198</v>
      </c>
      <c r="K6" s="88" t="str">
        <f>VLOOKUP(I6,[6]stage_hints!$A:$C,3,FALSE)</f>
        <v>ユニット強化の属性ボーナス</v>
      </c>
      <c r="L6" s="89" t="str">
        <f>VLOOKUP(I6,[6]stage_hints!$A:$D,4,FALSE)</f>
        <v>同属性ユニットを強化素材にすると_x000D_経験値が多くもらえます</v>
      </c>
      <c r="M6" s="54" t="s">
        <v>210</v>
      </c>
    </row>
    <row r="7" spans="1:13" x14ac:dyDescent="0.15">
      <c r="A7" s="77" t="s">
        <v>200</v>
      </c>
      <c r="B7" s="78">
        <f>floors!$C$2</f>
        <v>47012</v>
      </c>
      <c r="C7" s="79" t="str">
        <f ca="1">VLOOKUP($B7,OFFSET([2]quests!$A$1,0,0,COUNTA([2]quests!$A:$A),MATCH(C$1,[2]quests!$1:$1,0)-MATCH($B$1,[2]quests!$1:$1,0)+1),MATCH(C$1,[2]quests!$1:$1,0)-MATCH($B$1,[2]quests!$1:$1,0)+1,FALSE)</f>
        <v>春呼ぶキミの行方</v>
      </c>
      <c r="D7" s="7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2" t="s">
        <v>213</v>
      </c>
      <c r="F7" s="79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79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1">
        <v>0</v>
      </c>
      <c r="I7">
        <v>7</v>
      </c>
      <c r="J7" s="80" t="s">
        <v>198</v>
      </c>
      <c r="K7" s="88" t="str">
        <f>VLOOKUP(I7,[6]stage_hints!$A:$C,3,FALSE)</f>
        <v>メタルダックで経験値を獲得</v>
      </c>
      <c r="L7" s="89" t="str">
        <f>VLOOKUP(I7,[6]stage_hints!$A:$D,4,FALSE)</f>
        <v>「メタルなアヒル」を強化素材にすると_x000D_大量の経験値がもらえます</v>
      </c>
      <c r="M7" s="54" t="s">
        <v>210</v>
      </c>
    </row>
    <row r="8" spans="1:13" x14ac:dyDescent="0.15">
      <c r="A8" s="77" t="s">
        <v>200</v>
      </c>
      <c r="B8" s="78">
        <f>floors!$C$2</f>
        <v>47012</v>
      </c>
      <c r="C8" s="79" t="str">
        <f ca="1">VLOOKUP($B8,OFFSET([2]quests!$A$1,0,0,COUNTA([2]quests!$A:$A),MATCH(C$1,[2]quests!$1:$1,0)-MATCH($B$1,[2]quests!$1:$1,0)+1),MATCH(C$1,[2]quests!$1:$1,0)-MATCH($B$1,[2]quests!$1:$1,0)+1,FALSE)</f>
        <v>春呼ぶキミの行方</v>
      </c>
      <c r="D8" s="79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82" t="s">
        <v>213</v>
      </c>
      <c r="F8" s="79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79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1">
        <v>0</v>
      </c>
      <c r="I8">
        <v>8</v>
      </c>
      <c r="J8" s="80" t="s">
        <v>198</v>
      </c>
      <c r="K8" s="88" t="str">
        <f>VLOOKUP(I8,[6]stage_hints!$A:$C,3,FALSE)</f>
        <v>ゲリラクエストは要チェック</v>
      </c>
      <c r="L8" s="89" t="str">
        <f>VLOOKUP(I8,[6]stage_hints!$A:$D,4,FALSE)</f>
        <v>時間限定の「アヒル捕獲作戦」では_x000D_経験値素材ユニットが多く手に入ります</v>
      </c>
      <c r="M8" s="54" t="s">
        <v>210</v>
      </c>
    </row>
    <row r="9" spans="1:13" x14ac:dyDescent="0.15">
      <c r="A9" s="77" t="s">
        <v>200</v>
      </c>
      <c r="B9" s="78">
        <f>floors!$C$2</f>
        <v>47012</v>
      </c>
      <c r="C9" s="79" t="str">
        <f ca="1">VLOOKUP($B9,OFFSET([2]quests!$A$1,0,0,COUNTA([2]quests!$A:$A),MATCH(C$1,[2]quests!$1:$1,0)-MATCH($B$1,[2]quests!$1:$1,0)+1),MATCH(C$1,[2]quests!$1:$1,0)-MATCH($B$1,[2]quests!$1:$1,0)+1,FALSE)</f>
        <v>春呼ぶキミの行方</v>
      </c>
      <c r="D9" s="7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82" t="s">
        <v>213</v>
      </c>
      <c r="F9" s="79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79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1">
        <v>0</v>
      </c>
      <c r="I9">
        <v>9</v>
      </c>
      <c r="J9" s="80" t="s">
        <v>198</v>
      </c>
      <c r="K9" s="88" t="str">
        <f>VLOOKUP(I9,[6]stage_hints!$A:$C,3,FALSE)</f>
        <v>ゴールドダックでビットを獲得</v>
      </c>
      <c r="L9" s="89" t="str">
        <f>VLOOKUP(I9,[6]stage_hints!$A:$D,4,FALSE)</f>
        <v>「ゴールドなアヒル」を売却すると_x000D_大量のビットがもらえます</v>
      </c>
      <c r="M9" s="54" t="s">
        <v>210</v>
      </c>
    </row>
    <row r="10" spans="1:13" x14ac:dyDescent="0.15">
      <c r="A10" s="77" t="s">
        <v>200</v>
      </c>
      <c r="B10" s="78">
        <f>floors!$C$2</f>
        <v>47012</v>
      </c>
      <c r="C10" s="79" t="str">
        <f ca="1">VLOOKUP($B10,OFFSET([2]quests!$A$1,0,0,COUNTA([2]quests!$A:$A),MATCH(C$1,[2]quests!$1:$1,0)-MATCH($B$1,[2]quests!$1:$1,0)+1),MATCH(C$1,[2]quests!$1:$1,0)-MATCH($B$1,[2]quests!$1:$1,0)+1,FALSE)</f>
        <v>春呼ぶキミの行方</v>
      </c>
      <c r="D10" s="79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82" t="s">
        <v>213</v>
      </c>
      <c r="F10" s="79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79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1">
        <v>0</v>
      </c>
      <c r="I10">
        <v>10</v>
      </c>
      <c r="J10" s="80" t="s">
        <v>198</v>
      </c>
      <c r="K10" s="88" t="str">
        <f>VLOOKUP(I10,[6]stage_hints!$A:$C,3,FALSE)</f>
        <v>土日に大量のビットを獲得</v>
      </c>
      <c r="L10" s="89" t="str">
        <f>VLOOKUP(I10,[6]stage_hints!$A:$D,4,FALSE)</f>
        <v>土日限定の「ゴールドカジノ」では_x000D_売却素材ユニットが多く手に入ります</v>
      </c>
      <c r="M10" s="54" t="s">
        <v>210</v>
      </c>
    </row>
    <row r="11" spans="1:13" x14ac:dyDescent="0.15">
      <c r="A11" s="77" t="s">
        <v>200</v>
      </c>
      <c r="B11" s="78">
        <f>floors!$C$2</f>
        <v>47012</v>
      </c>
      <c r="C11" s="79" t="str">
        <f ca="1">VLOOKUP($B11,OFFSET([2]quests!$A$1,0,0,COUNTA([2]quests!$A:$A),MATCH(C$1,[2]quests!$1:$1,0)-MATCH($B$1,[2]quests!$1:$1,0)+1),MATCH(C$1,[2]quests!$1:$1,0)-MATCH($B$1,[2]quests!$1:$1,0)+1,FALSE)</f>
        <v>春呼ぶキミの行方</v>
      </c>
      <c r="D11" s="79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82" t="s">
        <v>213</v>
      </c>
      <c r="F11" s="79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79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1">
        <v>0</v>
      </c>
      <c r="I11">
        <v>11</v>
      </c>
      <c r="J11" s="80" t="s">
        <v>198</v>
      </c>
      <c r="K11" s="88" t="str">
        <f>VLOOKUP(I11,[6]stage_hints!$A:$C,3,FALSE)</f>
        <v>ゲリラクエストは要チェック</v>
      </c>
      <c r="L11" s="89" t="str">
        <f>VLOOKUP(I11,[6]stage_hints!$A:$D,4,FALSE)</f>
        <v>時間限定の「アヒル捕獲作戦」では_x000D_経験値素材ユニットが多く手に入ります</v>
      </c>
      <c r="M11" s="54" t="s">
        <v>210</v>
      </c>
    </row>
    <row r="12" spans="1:13" x14ac:dyDescent="0.15">
      <c r="A12" s="77" t="s">
        <v>200</v>
      </c>
      <c r="B12" s="78">
        <f>floors!$C$2</f>
        <v>47012</v>
      </c>
      <c r="C12" s="79" t="str">
        <f ca="1">VLOOKUP($B12,OFFSET([2]quests!$A$1,0,0,COUNTA([2]quests!$A:$A),MATCH(C$1,[2]quests!$1:$1,0)-MATCH($B$1,[2]quests!$1:$1,0)+1),MATCH(C$1,[2]quests!$1:$1,0)-MATCH($B$1,[2]quests!$1:$1,0)+1,FALSE)</f>
        <v>春呼ぶキミの行方</v>
      </c>
      <c r="D12" s="79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82" t="s">
        <v>213</v>
      </c>
      <c r="F12" s="79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79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1">
        <v>0</v>
      </c>
      <c r="I12">
        <v>12</v>
      </c>
      <c r="J12" s="80" t="s">
        <v>198</v>
      </c>
      <c r="K12" s="88" t="str">
        <f>VLOOKUP(I12,[6]stage_hints!$A:$C,3,FALSE)</f>
        <v>ユニットのお気に入り登録</v>
      </c>
      <c r="L12" s="89" t="str">
        <f>VLOOKUP(I12,[6]stage_hints!$A:$D,4,FALSE)</f>
        <v>大事なユニットを誤って消さないように_x000D_フォルダから「お気に入り登録」しましょう</v>
      </c>
      <c r="M12" s="54" t="s">
        <v>210</v>
      </c>
    </row>
    <row r="13" spans="1:13" x14ac:dyDescent="0.15">
      <c r="A13" s="77" t="s">
        <v>200</v>
      </c>
      <c r="B13" s="78">
        <f>floors!$C$2</f>
        <v>47012</v>
      </c>
      <c r="C13" s="79" t="str">
        <f ca="1">VLOOKUP($B13,OFFSET([2]quests!$A$1,0,0,COUNTA([2]quests!$A:$A),MATCH(C$1,[2]quests!$1:$1,0)-MATCH($B$1,[2]quests!$1:$1,0)+1),MATCH(C$1,[2]quests!$1:$1,0)-MATCH($B$1,[2]quests!$1:$1,0)+1,FALSE)</f>
        <v>春呼ぶキミの行方</v>
      </c>
      <c r="D13" s="79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82" t="s">
        <v>213</v>
      </c>
      <c r="F13" s="79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79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1">
        <v>0</v>
      </c>
      <c r="I13">
        <v>13</v>
      </c>
      <c r="J13" s="80" t="s">
        <v>198</v>
      </c>
      <c r="K13" s="88" t="str">
        <f>VLOOKUP(I13,[6]stage_hints!$A:$C,3,FALSE)</f>
        <v>ユニットの覚醒</v>
      </c>
      <c r="L13" s="89" t="str">
        <f>VLOOKUP(I13,[6]stage_hints!$A:$D,4,FALSE)</f>
        <v>ユニットを覚醒させると_x000D_比べものにならない強さが手に入ります</v>
      </c>
      <c r="M13" s="54" t="s">
        <v>210</v>
      </c>
    </row>
    <row r="14" spans="1:13" x14ac:dyDescent="0.15">
      <c r="A14" s="77" t="s">
        <v>200</v>
      </c>
      <c r="B14" s="78">
        <f>floors!$C$2</f>
        <v>47012</v>
      </c>
      <c r="C14" s="79" t="str">
        <f ca="1">VLOOKUP($B14,OFFSET([2]quests!$A$1,0,0,COUNTA([2]quests!$A:$A),MATCH(C$1,[2]quests!$1:$1,0)-MATCH($B$1,[2]quests!$1:$1,0)+1),MATCH(C$1,[2]quests!$1:$1,0)-MATCH($B$1,[2]quests!$1:$1,0)+1,FALSE)</f>
        <v>春呼ぶキミの行方</v>
      </c>
      <c r="D14" s="79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82" t="s">
        <v>213</v>
      </c>
      <c r="F14" s="79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79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1">
        <v>0</v>
      </c>
      <c r="I14">
        <v>14</v>
      </c>
      <c r="J14" s="80" t="s">
        <v>198</v>
      </c>
      <c r="K14" s="88" t="str">
        <f>VLOOKUP(I14,[6]stage_hints!$A:$C,3,FALSE)</f>
        <v>覚醒するにはレベルを最大に</v>
      </c>
      <c r="L14" s="89" t="str">
        <f>VLOOKUP(I14,[6]stage_hints!$A:$D,4,FALSE)</f>
        <v>覚醒するにはユニットのレベルを_x000D_最大まで上げる必要があります</v>
      </c>
      <c r="M14" s="54" t="s">
        <v>210</v>
      </c>
    </row>
    <row r="15" spans="1:13" x14ac:dyDescent="0.15">
      <c r="A15" s="77" t="s">
        <v>200</v>
      </c>
      <c r="B15" s="78">
        <f>floors!$C$2</f>
        <v>47012</v>
      </c>
      <c r="C15" s="79" t="str">
        <f ca="1">VLOOKUP($B15,OFFSET([2]quests!$A$1,0,0,COUNTA([2]quests!$A:$A),MATCH(C$1,[2]quests!$1:$1,0)-MATCH($B$1,[2]quests!$1:$1,0)+1),MATCH(C$1,[2]quests!$1:$1,0)-MATCH($B$1,[2]quests!$1:$1,0)+1,FALSE)</f>
        <v>春呼ぶキミの行方</v>
      </c>
      <c r="D15" s="79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82" t="s">
        <v>213</v>
      </c>
      <c r="F15" s="79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79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1">
        <v>0</v>
      </c>
      <c r="I15">
        <v>15</v>
      </c>
      <c r="J15" s="80" t="s">
        <v>198</v>
      </c>
      <c r="K15" s="88" t="str">
        <f>VLOOKUP(I15,[6]stage_hints!$A:$C,3,FALSE)</f>
        <v>覚醒素材を獲得</v>
      </c>
      <c r="L15" s="89" t="str">
        <f>VLOOKUP(I15,[6]stage_hints!$A:$D,4,FALSE)</f>
        <v>「曜日クエスト」では_x000D_ユニットの覚醒に必要な素材が手に入ります</v>
      </c>
      <c r="M15" s="54" t="s">
        <v>210</v>
      </c>
    </row>
    <row r="16" spans="1:13" x14ac:dyDescent="0.15">
      <c r="A16" s="77" t="s">
        <v>200</v>
      </c>
      <c r="B16" s="78">
        <f>floors!$C$2</f>
        <v>47012</v>
      </c>
      <c r="C16" s="79" t="str">
        <f ca="1">VLOOKUP($B16,OFFSET([2]quests!$A$1,0,0,COUNTA([2]quests!$A:$A),MATCH(C$1,[2]quests!$1:$1,0)-MATCH($B$1,[2]quests!$1:$1,0)+1),MATCH(C$1,[2]quests!$1:$1,0)-MATCH($B$1,[2]quests!$1:$1,0)+1,FALSE)</f>
        <v>春呼ぶキミの行方</v>
      </c>
      <c r="D16" s="79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82" t="s">
        <v>213</v>
      </c>
      <c r="F16" s="79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79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1">
        <v>0</v>
      </c>
      <c r="I16">
        <v>16</v>
      </c>
      <c r="J16" s="80" t="s">
        <v>198</v>
      </c>
      <c r="K16" s="88" t="str">
        <f>VLOOKUP(I16,[6]stage_hints!$A:$C,3,FALSE)</f>
        <v>マルチプレイのメリット（その1）</v>
      </c>
      <c r="L16" s="89" t="str">
        <f>VLOOKUP(I16,[6]stage_hints!$A:$D,4,FALSE)</f>
        <v>他のプレイヤーとマルチプレイで遊ぶと_x000D_ポリゴンがもらえます（100人まで）</v>
      </c>
      <c r="M16" s="54" t="s">
        <v>210</v>
      </c>
    </row>
    <row r="17" spans="1:13" x14ac:dyDescent="0.15">
      <c r="A17" s="77" t="s">
        <v>200</v>
      </c>
      <c r="B17" s="78">
        <f>floors!$C$2</f>
        <v>47012</v>
      </c>
      <c r="C17" s="79" t="str">
        <f ca="1">VLOOKUP($B17,OFFSET([2]quests!$A$1,0,0,COUNTA([2]quests!$A:$A),MATCH(C$1,[2]quests!$1:$1,0)-MATCH($B$1,[2]quests!$1:$1,0)+1),MATCH(C$1,[2]quests!$1:$1,0)-MATCH($B$1,[2]quests!$1:$1,0)+1,FALSE)</f>
        <v>春呼ぶキミの行方</v>
      </c>
      <c r="D17" s="79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82" t="s">
        <v>213</v>
      </c>
      <c r="F17" s="79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79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1">
        <v>0</v>
      </c>
      <c r="I17">
        <v>17</v>
      </c>
      <c r="J17" s="80" t="s">
        <v>198</v>
      </c>
      <c r="K17" s="88" t="str">
        <f>VLOOKUP(I17,[6]stage_hints!$A:$C,3,FALSE)</f>
        <v>リンクガチャ</v>
      </c>
      <c r="L17" s="89" t="str">
        <f>VLOOKUP(I17,[6]stage_hints!$A:$D,4,FALSE)</f>
        <v>無料のリンクガチャを回して_x000D_経験値素材や売却素材を獲得しましょう</v>
      </c>
      <c r="M17" s="54" t="s">
        <v>210</v>
      </c>
    </row>
    <row r="18" spans="1:13" x14ac:dyDescent="0.15">
      <c r="A18" s="77" t="s">
        <v>200</v>
      </c>
      <c r="B18" s="78">
        <f>floors!$C$2</f>
        <v>47012</v>
      </c>
      <c r="C18" s="79" t="str">
        <f ca="1">VLOOKUP($B18,OFFSET([2]quests!$A$1,0,0,COUNTA([2]quests!$A:$A),MATCH(C$1,[2]quests!$1:$1,0)-MATCH($B$1,[2]quests!$1:$1,0)+1),MATCH(C$1,[2]quests!$1:$1,0)-MATCH($B$1,[2]quests!$1:$1,0)+1,FALSE)</f>
        <v>春呼ぶキミの行方</v>
      </c>
      <c r="D18" s="79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82" t="s">
        <v>213</v>
      </c>
      <c r="F18" s="79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79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1">
        <v>0</v>
      </c>
      <c r="I18">
        <v>18</v>
      </c>
      <c r="J18" s="80" t="s">
        <v>198</v>
      </c>
      <c r="K18" s="88" t="str">
        <f>VLOOKUP(I18,[6]stage_hints!$A:$C,3,FALSE)</f>
        <v>マルチプレイのメリット（その2）</v>
      </c>
      <c r="L18" s="89" t="str">
        <f>VLOOKUP(I18,[6]stage_hints!$A:$D,4,FALSE)</f>
        <v>マルチプレイならリンクが2倍もらえます_x000D_リンクガチャをたくさん回しましょう</v>
      </c>
      <c r="M18" s="54" t="s">
        <v>210</v>
      </c>
    </row>
    <row r="19" spans="1:13" x14ac:dyDescent="0.15">
      <c r="A19" s="77" t="s">
        <v>200</v>
      </c>
      <c r="B19" s="78">
        <f>floors!$C$2</f>
        <v>47012</v>
      </c>
      <c r="C19" s="79" t="str">
        <f ca="1">VLOOKUP($B19,OFFSET([2]quests!$A$1,0,0,COUNTA([2]quests!$A:$A),MATCH(C$1,[2]quests!$1:$1,0)-MATCH($B$1,[2]quests!$1:$1,0)+1),MATCH(C$1,[2]quests!$1:$1,0)-MATCH($B$1,[2]quests!$1:$1,0)+1,FALSE)</f>
        <v>春呼ぶキミの行方</v>
      </c>
      <c r="D19" s="79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82" t="s">
        <v>213</v>
      </c>
      <c r="F19" s="79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79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1">
        <v>0</v>
      </c>
      <c r="I19">
        <v>19</v>
      </c>
      <c r="J19" s="80" t="s">
        <v>198</v>
      </c>
      <c r="K19" s="88" t="str">
        <f>VLOOKUP(I19,[6]stage_hints!$A:$C,3,FALSE)</f>
        <v>ソロ専用タワーオブザクイーン</v>
      </c>
      <c r="L19" s="89" t="str">
        <f>VLOOKUP(I19,[6]stage_hints!$A:$D,4,FALSE)</f>
        <v>ソロ専用の「タワーオブザクイーン」は_x000D_期間限定で定期的に開催されます_x000D_ここでしか獲得できない報酬もあるようです</v>
      </c>
      <c r="M19" s="54" t="s">
        <v>210</v>
      </c>
    </row>
    <row r="20" spans="1:13" x14ac:dyDescent="0.15">
      <c r="A20" s="77" t="s">
        <v>200</v>
      </c>
      <c r="B20" s="78">
        <f>floors!$C$2</f>
        <v>47012</v>
      </c>
      <c r="C20" s="79" t="str">
        <f ca="1">VLOOKUP($B20,OFFSET([2]quests!$A$1,0,0,COUNTA([2]quests!$A:$A),MATCH(C$1,[2]quests!$1:$1,0)-MATCH($B$1,[2]quests!$1:$1,0)+1),MATCH(C$1,[2]quests!$1:$1,0)-MATCH($B$1,[2]quests!$1:$1,0)+1,FALSE)</f>
        <v>春呼ぶキミの行方</v>
      </c>
      <c r="D20" s="79" t="str">
        <f ca="1">VLOOKUP($B20,OFFSET([2]quests!$A$1,0,0,COUNTA([2]quests!$A:$A),MATCH(D$1,[2]quests!$1:$1,0)-MATCH($B$1,[2]quests!$1:$1,0)+1),MATCH(D$1,[2]quests!$1:$1,0)-MATCH($B$1,[2]quests!$1:$1,0)+1,FALSE)</f>
        <v>季節イベント</v>
      </c>
      <c r="E20" s="82" t="s">
        <v>213</v>
      </c>
      <c r="F20" s="79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79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1">
        <v>0</v>
      </c>
      <c r="I20">
        <v>20</v>
      </c>
      <c r="J20" s="80" t="s">
        <v>198</v>
      </c>
      <c r="K20" s="88" t="str">
        <f>VLOOKUP(I20,[6]stage_hints!$A:$C,3,FALSE)</f>
        <v>マルチプレイのメリット（その3）</v>
      </c>
      <c r="L20" s="89" t="str">
        <f>VLOOKUP(I20,[6]stage_hints!$A:$D,4,FALSE)</f>
        <v>マルチプレイへの参加はエナジー消費ゼロ_x000D_いつでも好きなだけ遊ぶことができます</v>
      </c>
      <c r="M20" s="54" t="s">
        <v>210</v>
      </c>
    </row>
    <row r="21" spans="1:13" x14ac:dyDescent="0.15">
      <c r="A21" s="77" t="s">
        <v>200</v>
      </c>
      <c r="B21" s="78">
        <f>floors!$C$2</f>
        <v>47012</v>
      </c>
      <c r="C21" s="79" t="str">
        <f ca="1">VLOOKUP($B21,OFFSET([2]quests!$A$1,0,0,COUNTA([2]quests!$A:$A),MATCH(C$1,[2]quests!$1:$1,0)-MATCH($B$1,[2]quests!$1:$1,0)+1),MATCH(C$1,[2]quests!$1:$1,0)-MATCH($B$1,[2]quests!$1:$1,0)+1,FALSE)</f>
        <v>春呼ぶキミの行方</v>
      </c>
      <c r="D21" s="79" t="str">
        <f ca="1">VLOOKUP($B21,OFFSET([2]quests!$A$1,0,0,COUNTA([2]quests!$A:$A),MATCH(D$1,[2]quests!$1:$1,0)-MATCH($B$1,[2]quests!$1:$1,0)+1),MATCH(D$1,[2]quests!$1:$1,0)-MATCH($B$1,[2]quests!$1:$1,0)+1,FALSE)</f>
        <v>季節イベント</v>
      </c>
      <c r="E21" s="82" t="s">
        <v>213</v>
      </c>
      <c r="F21" s="79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79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1">
        <v>0</v>
      </c>
      <c r="I21">
        <v>21</v>
      </c>
      <c r="J21" s="80" t="s">
        <v>198</v>
      </c>
      <c r="K21" s="88" t="str">
        <f>VLOOKUP(I21,[6]stage_hints!$A:$C,3,FALSE)</f>
        <v>スキルを有効に</v>
      </c>
      <c r="L21" s="89" t="str">
        <f>VLOOKUP(I21,[6]stage_hints!$A:$D,4,FALSE)</f>
        <v>ターン経過でユニットのスキルが使えます_x000D_強力スキルでバトルを有利に進めましょう</v>
      </c>
      <c r="M21" s="54" t="s">
        <v>210</v>
      </c>
    </row>
    <row r="22" spans="1:13" x14ac:dyDescent="0.15">
      <c r="A22" s="77" t="s">
        <v>200</v>
      </c>
      <c r="B22" s="78">
        <f>floors!$C$2</f>
        <v>47012</v>
      </c>
      <c r="C22" s="79" t="str">
        <f ca="1">VLOOKUP($B22,OFFSET([2]quests!$A$1,0,0,COUNTA([2]quests!$A:$A),MATCH(C$1,[2]quests!$1:$1,0)-MATCH($B$1,[2]quests!$1:$1,0)+1),MATCH(C$1,[2]quests!$1:$1,0)-MATCH($B$1,[2]quests!$1:$1,0)+1,FALSE)</f>
        <v>春呼ぶキミの行方</v>
      </c>
      <c r="D22" s="79" t="str">
        <f ca="1">VLOOKUP($B22,OFFSET([2]quests!$A$1,0,0,COUNTA([2]quests!$A:$A),MATCH(D$1,[2]quests!$1:$1,0)-MATCH($B$1,[2]quests!$1:$1,0)+1),MATCH(D$1,[2]quests!$1:$1,0)-MATCH($B$1,[2]quests!$1:$1,0)+1,FALSE)</f>
        <v>季節イベント</v>
      </c>
      <c r="E22" s="82" t="s">
        <v>213</v>
      </c>
      <c r="F22" s="79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79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1">
        <v>0</v>
      </c>
      <c r="I22">
        <v>22</v>
      </c>
      <c r="J22" s="80" t="s">
        <v>198</v>
      </c>
      <c r="K22" s="88" t="str">
        <f>VLOOKUP(I22,[6]stage_hints!$A:$C,3,FALSE)</f>
        <v>フィーバーで一発逆転（その1）</v>
      </c>
      <c r="L22" s="89" t="str">
        <f>VLOOKUP(I22,[6]stage_hints!$A:$D,4,FALSE)</f>
        <v>フィーバーは攻撃と回復を兼ね備えます_x000D_ピンチからの一発逆転を狙いましょう</v>
      </c>
      <c r="M22" s="54" t="s">
        <v>210</v>
      </c>
    </row>
    <row r="23" spans="1:13" x14ac:dyDescent="0.15">
      <c r="A23" s="77" t="s">
        <v>200</v>
      </c>
      <c r="B23" s="78">
        <f>floors!$C$2</f>
        <v>47012</v>
      </c>
      <c r="C23" s="79" t="str">
        <f ca="1">VLOOKUP($B23,OFFSET([2]quests!$A$1,0,0,COUNTA([2]quests!$A:$A),MATCH(C$1,[2]quests!$1:$1,0)-MATCH($B$1,[2]quests!$1:$1,0)+1),MATCH(C$1,[2]quests!$1:$1,0)-MATCH($B$1,[2]quests!$1:$1,0)+1,FALSE)</f>
        <v>春呼ぶキミの行方</v>
      </c>
      <c r="D23" s="79" t="str">
        <f ca="1">VLOOKUP($B23,OFFSET([2]quests!$A$1,0,0,COUNTA([2]quests!$A:$A),MATCH(D$1,[2]quests!$1:$1,0)-MATCH($B$1,[2]quests!$1:$1,0)+1),MATCH(D$1,[2]quests!$1:$1,0)-MATCH($B$1,[2]quests!$1:$1,0)+1,FALSE)</f>
        <v>季節イベント</v>
      </c>
      <c r="E23" s="82" t="s">
        <v>213</v>
      </c>
      <c r="F23" s="79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79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1">
        <v>0</v>
      </c>
      <c r="I23">
        <v>23</v>
      </c>
      <c r="J23" s="80" t="s">
        <v>198</v>
      </c>
      <c r="K23" s="88" t="str">
        <f>VLOOKUP(I23,[6]stage_hints!$A:$C,3,FALSE)</f>
        <v>フィーバーで一発逆転（その2）</v>
      </c>
      <c r="L23" s="89" t="str">
        <f>VLOOKUP(I23,[6]stage_hints!$A:$D,4,FALSE)</f>
        <v>フィーバー中は虹色のボムパネルを狙って_x000D_画面上のパネルを一気に破壊しましょう</v>
      </c>
      <c r="M23" s="54" t="s">
        <v>210</v>
      </c>
    </row>
    <row r="24" spans="1:13" x14ac:dyDescent="0.15">
      <c r="A24" s="77" t="s">
        <v>200</v>
      </c>
      <c r="B24" s="78">
        <f>floors!$C$2</f>
        <v>47012</v>
      </c>
      <c r="C24" s="79" t="str">
        <f ca="1">VLOOKUP($B24,OFFSET([2]quests!$A$1,0,0,COUNTA([2]quests!$A:$A),MATCH(C$1,[2]quests!$1:$1,0)-MATCH($B$1,[2]quests!$1:$1,0)+1),MATCH(C$1,[2]quests!$1:$1,0)-MATCH($B$1,[2]quests!$1:$1,0)+1,FALSE)</f>
        <v>春呼ぶキミの行方</v>
      </c>
      <c r="D24" s="79" t="str">
        <f ca="1">VLOOKUP($B24,OFFSET([2]quests!$A$1,0,0,COUNTA([2]quests!$A:$A),MATCH(D$1,[2]quests!$1:$1,0)-MATCH($B$1,[2]quests!$1:$1,0)+1),MATCH(D$1,[2]quests!$1:$1,0)-MATCH($B$1,[2]quests!$1:$1,0)+1,FALSE)</f>
        <v>季節イベント</v>
      </c>
      <c r="E24" s="82" t="s">
        <v>213</v>
      </c>
      <c r="F24" s="79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79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1">
        <v>0</v>
      </c>
      <c r="I24">
        <v>24</v>
      </c>
      <c r="J24" s="80" t="s">
        <v>198</v>
      </c>
      <c r="K24" s="88" t="str">
        <f>VLOOKUP(I24,[6]stage_hints!$A:$C,3,FALSE)</f>
        <v>果実を使って限界突破</v>
      </c>
      <c r="L24" s="89" t="str">
        <f>VLOOKUP(I24,[6]stage_hints!$A:$D,4,FALSE)</f>
        <v>攻めの果実 癒しの果実_x000D_生命の果実をユニット強化に使うと_x000D_ステータスが限界突破します（計99個迄）</v>
      </c>
      <c r="M24" s="54" t="s">
        <v>210</v>
      </c>
    </row>
    <row r="25" spans="1:13" x14ac:dyDescent="0.15">
      <c r="A25" s="77" t="s">
        <v>200</v>
      </c>
      <c r="B25" s="78">
        <f>floors!$C$2</f>
        <v>47012</v>
      </c>
      <c r="C25" s="79" t="str">
        <f ca="1">VLOOKUP($B25,OFFSET([2]quests!$A$1,0,0,COUNTA([2]quests!$A:$A),MATCH(C$1,[2]quests!$1:$1,0)-MATCH($B$1,[2]quests!$1:$1,0)+1),MATCH(C$1,[2]quests!$1:$1,0)-MATCH($B$1,[2]quests!$1:$1,0)+1,FALSE)</f>
        <v>春呼ぶキミの行方</v>
      </c>
      <c r="D25" s="79" t="str">
        <f ca="1">VLOOKUP($B25,OFFSET([2]quests!$A$1,0,0,COUNTA([2]quests!$A:$A),MATCH(D$1,[2]quests!$1:$1,0)-MATCH($B$1,[2]quests!$1:$1,0)+1),MATCH(D$1,[2]quests!$1:$1,0)-MATCH($B$1,[2]quests!$1:$1,0)+1,FALSE)</f>
        <v>季節イベント</v>
      </c>
      <c r="E25" s="82" t="s">
        <v>213</v>
      </c>
      <c r="F25" s="79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79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1">
        <v>0</v>
      </c>
      <c r="I25">
        <v>25</v>
      </c>
      <c r="J25" s="80" t="s">
        <v>198</v>
      </c>
      <c r="K25" s="88" t="str">
        <f>VLOOKUP(I25,[6]stage_hints!$A:$C,3,FALSE)</f>
        <v>スキルレベルアップ</v>
      </c>
      <c r="L25" s="89" t="str">
        <f>VLOOKUP(I25,[6]stage_hints!$A:$D,4,FALSE)</f>
        <v>「秘術の果実」を強化に使うと_x000D_スキルレベルを上げることができます</v>
      </c>
      <c r="M25" s="54" t="s">
        <v>210</v>
      </c>
    </row>
    <row r="26" spans="1:13" x14ac:dyDescent="0.15">
      <c r="A26" s="77" t="s">
        <v>200</v>
      </c>
      <c r="B26" s="78">
        <f>floors!$C$2</f>
        <v>47012</v>
      </c>
      <c r="C26" s="79" t="str">
        <f ca="1">VLOOKUP($B26,OFFSET([2]quests!$A$1,0,0,COUNTA([2]quests!$A:$A),MATCH(C$1,[2]quests!$1:$1,0)-MATCH($B$1,[2]quests!$1:$1,0)+1),MATCH(C$1,[2]quests!$1:$1,0)-MATCH($B$1,[2]quests!$1:$1,0)+1,FALSE)</f>
        <v>春呼ぶキミの行方</v>
      </c>
      <c r="D26" s="79" t="str">
        <f ca="1">VLOOKUP($B26,OFFSET([2]quests!$A$1,0,0,COUNTA([2]quests!$A:$A),MATCH(D$1,[2]quests!$1:$1,0)-MATCH($B$1,[2]quests!$1:$1,0)+1),MATCH(D$1,[2]quests!$1:$1,0)-MATCH($B$1,[2]quests!$1:$1,0)+1,FALSE)</f>
        <v>季節イベント</v>
      </c>
      <c r="E26" s="82" t="s">
        <v>213</v>
      </c>
      <c r="F26" s="79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79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1">
        <v>0</v>
      </c>
      <c r="I26">
        <v>26</v>
      </c>
      <c r="J26" s="80" t="s">
        <v>198</v>
      </c>
      <c r="K26" s="88" t="str">
        <f>VLOOKUP(I26,[6]stage_hints!$A:$C,3,FALSE)</f>
        <v>スキルレベルの効果</v>
      </c>
      <c r="L26" s="89" t="str">
        <f>VLOOKUP(I26,[6]stage_hints!$A:$D,4,FALSE)</f>
        <v>スキルレベルが上がると_x000D_短いターンでスキルを使うことができます</v>
      </c>
      <c r="M26" s="54" t="s">
        <v>210</v>
      </c>
    </row>
    <row r="27" spans="1:13" x14ac:dyDescent="0.15">
      <c r="A27" s="77" t="s">
        <v>200</v>
      </c>
      <c r="B27" s="78">
        <f>floors!$C$2</f>
        <v>47012</v>
      </c>
      <c r="C27" s="79" t="str">
        <f ca="1">VLOOKUP($B27,OFFSET([2]quests!$A$1,0,0,COUNTA([2]quests!$A:$A),MATCH(C$1,[2]quests!$1:$1,0)-MATCH($B$1,[2]quests!$1:$1,0)+1),MATCH(C$1,[2]quests!$1:$1,0)-MATCH($B$1,[2]quests!$1:$1,0)+1,FALSE)</f>
        <v>春呼ぶキミの行方</v>
      </c>
      <c r="D27" s="79" t="str">
        <f ca="1">VLOOKUP($B27,OFFSET([2]quests!$A$1,0,0,COUNTA([2]quests!$A:$A),MATCH(D$1,[2]quests!$1:$1,0)-MATCH($B$1,[2]quests!$1:$1,0)+1),MATCH(D$1,[2]quests!$1:$1,0)-MATCH($B$1,[2]quests!$1:$1,0)+1,FALSE)</f>
        <v>季節イベント</v>
      </c>
      <c r="E27" s="82" t="s">
        <v>213</v>
      </c>
      <c r="F27" s="79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79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1">
        <v>0</v>
      </c>
      <c r="I27">
        <v>39</v>
      </c>
      <c r="J27" s="80" t="s">
        <v>198</v>
      </c>
      <c r="K27" s="88" t="str">
        <f>VLOOKUP(I27,[6]stage_hints!$A:$C,3,FALSE)</f>
        <v>システム適合者を確認</v>
      </c>
      <c r="L27" s="89" t="str">
        <f>VLOOKUP(I27,[6]stage_hints!$A:$D,4,FALSE)</f>
        <v>ALICEが 「アナタ」を呼んでいます</v>
      </c>
      <c r="M27" s="54" t="s">
        <v>210</v>
      </c>
    </row>
    <row r="28" spans="1:13" x14ac:dyDescent="0.15">
      <c r="A28" s="77" t="s">
        <v>200</v>
      </c>
      <c r="B28" s="78">
        <f>floors!$C$2</f>
        <v>47012</v>
      </c>
      <c r="C28" s="79" t="str">
        <f ca="1">VLOOKUP($B28,OFFSET([2]quests!$A$1,0,0,COUNTA([2]quests!$A:$A),MATCH(C$1,[2]quests!$1:$1,0)-MATCH($B$1,[2]quests!$1:$1,0)+1),MATCH(C$1,[2]quests!$1:$1,0)-MATCH($B$1,[2]quests!$1:$1,0)+1,FALSE)</f>
        <v>春呼ぶキミの行方</v>
      </c>
      <c r="D28" s="79" t="str">
        <f ca="1">VLOOKUP($B28,OFFSET([2]quests!$A$1,0,0,COUNTA([2]quests!$A:$A),MATCH(D$1,[2]quests!$1:$1,0)-MATCH($B$1,[2]quests!$1:$1,0)+1),MATCH(D$1,[2]quests!$1:$1,0)-MATCH($B$1,[2]quests!$1:$1,0)+1,FALSE)</f>
        <v>季節イベント</v>
      </c>
      <c r="E28" s="82" t="s">
        <v>214</v>
      </c>
      <c r="F28" s="79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79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1">
        <v>0</v>
      </c>
      <c r="I28">
        <v>3</v>
      </c>
      <c r="J28" s="80" t="s">
        <v>198</v>
      </c>
      <c r="K28" s="88" t="str">
        <f>VLOOKUP(I28,[6]stage_hints!$A:$C,3,FALSE)</f>
        <v>ターゲット</v>
      </c>
      <c r="L28" s="89" t="str">
        <f>VLOOKUP(I28,[6]stage_hints!$A:$D,4,FALSE)</f>
        <v>敵ユニットをタップすると_x000D_その敵を狙い撃ちできます</v>
      </c>
      <c r="M28" s="54" t="s">
        <v>210</v>
      </c>
    </row>
    <row r="29" spans="1:13" x14ac:dyDescent="0.15">
      <c r="A29" s="77" t="s">
        <v>200</v>
      </c>
      <c r="B29" s="78">
        <f>floors!$C$2</f>
        <v>47012</v>
      </c>
      <c r="C29" s="79" t="str">
        <f ca="1">VLOOKUP($B29,OFFSET([2]quests!$A$1,0,0,COUNTA([2]quests!$A:$A),MATCH(C$1,[2]quests!$1:$1,0)-MATCH($B$1,[2]quests!$1:$1,0)+1),MATCH(C$1,[2]quests!$1:$1,0)-MATCH($B$1,[2]quests!$1:$1,0)+1,FALSE)</f>
        <v>春呼ぶキミの行方</v>
      </c>
      <c r="D29" s="79" t="str">
        <f ca="1">VLOOKUP($B29,OFFSET([2]quests!$A$1,0,0,COUNTA([2]quests!$A:$A),MATCH(D$1,[2]quests!$1:$1,0)-MATCH($B$1,[2]quests!$1:$1,0)+1),MATCH(D$1,[2]quests!$1:$1,0)-MATCH($B$1,[2]quests!$1:$1,0)+1,FALSE)</f>
        <v>季節イベント</v>
      </c>
      <c r="E29" s="82" t="s">
        <v>214</v>
      </c>
      <c r="F29" s="79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79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1">
        <v>0</v>
      </c>
      <c r="I29">
        <v>6</v>
      </c>
      <c r="J29" s="80" t="s">
        <v>198</v>
      </c>
      <c r="K29" s="88" t="str">
        <f>VLOOKUP(I29,[6]stage_hints!$A:$C,3,FALSE)</f>
        <v>ユニット強化の属性ボーナス</v>
      </c>
      <c r="L29" s="89" t="str">
        <f>VLOOKUP(I29,[6]stage_hints!$A:$D,4,FALSE)</f>
        <v>同属性ユニットを強化素材にすると_x000D_経験値が多くもらえます</v>
      </c>
      <c r="M29" s="54" t="s">
        <v>210</v>
      </c>
    </row>
    <row r="30" spans="1:13" x14ac:dyDescent="0.15">
      <c r="A30" s="77" t="s">
        <v>200</v>
      </c>
      <c r="B30" s="78">
        <f>floors!$C$2</f>
        <v>47012</v>
      </c>
      <c r="C30" s="79" t="str">
        <f ca="1">VLOOKUP($B30,OFFSET([2]quests!$A$1,0,0,COUNTA([2]quests!$A:$A),MATCH(C$1,[2]quests!$1:$1,0)-MATCH($B$1,[2]quests!$1:$1,0)+1),MATCH(C$1,[2]quests!$1:$1,0)-MATCH($B$1,[2]quests!$1:$1,0)+1,FALSE)</f>
        <v>春呼ぶキミの行方</v>
      </c>
      <c r="D30" s="79" t="str">
        <f ca="1">VLOOKUP($B30,OFFSET([2]quests!$A$1,0,0,COUNTA([2]quests!$A:$A),MATCH(D$1,[2]quests!$1:$1,0)-MATCH($B$1,[2]quests!$1:$1,0)+1),MATCH(D$1,[2]quests!$1:$1,0)-MATCH($B$1,[2]quests!$1:$1,0)+1,FALSE)</f>
        <v>季節イベント</v>
      </c>
      <c r="E30" s="82" t="s">
        <v>214</v>
      </c>
      <c r="F30" s="79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79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1">
        <v>0</v>
      </c>
      <c r="I30">
        <v>7</v>
      </c>
      <c r="J30" s="80" t="s">
        <v>198</v>
      </c>
      <c r="K30" s="88" t="str">
        <f>VLOOKUP(I30,[6]stage_hints!$A:$C,3,FALSE)</f>
        <v>メタルダックで経験値を獲得</v>
      </c>
      <c r="L30" s="89" t="str">
        <f>VLOOKUP(I30,[6]stage_hints!$A:$D,4,FALSE)</f>
        <v>「メタルなアヒル」を強化素材にすると_x000D_大量の経験値がもらえます</v>
      </c>
      <c r="M30" s="54" t="s">
        <v>210</v>
      </c>
    </row>
    <row r="31" spans="1:13" x14ac:dyDescent="0.15">
      <c r="A31" s="77" t="s">
        <v>200</v>
      </c>
      <c r="B31" s="78">
        <f>floors!$C$2</f>
        <v>47012</v>
      </c>
      <c r="C31" s="79" t="str">
        <f ca="1">VLOOKUP($B31,OFFSET([2]quests!$A$1,0,0,COUNTA([2]quests!$A:$A),MATCH(C$1,[2]quests!$1:$1,0)-MATCH($B$1,[2]quests!$1:$1,0)+1),MATCH(C$1,[2]quests!$1:$1,0)-MATCH($B$1,[2]quests!$1:$1,0)+1,FALSE)</f>
        <v>春呼ぶキミの行方</v>
      </c>
      <c r="D31" s="79" t="str">
        <f ca="1">VLOOKUP($B31,OFFSET([2]quests!$A$1,0,0,COUNTA([2]quests!$A:$A),MATCH(D$1,[2]quests!$1:$1,0)-MATCH($B$1,[2]quests!$1:$1,0)+1),MATCH(D$1,[2]quests!$1:$1,0)-MATCH($B$1,[2]quests!$1:$1,0)+1,FALSE)</f>
        <v>季節イベント</v>
      </c>
      <c r="E31" s="82" t="s">
        <v>214</v>
      </c>
      <c r="F31" s="79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79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1">
        <v>0</v>
      </c>
      <c r="I31">
        <v>8</v>
      </c>
      <c r="J31" s="80" t="s">
        <v>198</v>
      </c>
      <c r="K31" s="88" t="str">
        <f>VLOOKUP(I31,[6]stage_hints!$A:$C,3,FALSE)</f>
        <v>ゲリラクエストは要チェック</v>
      </c>
      <c r="L31" s="89" t="str">
        <f>VLOOKUP(I31,[6]stage_hints!$A:$D,4,FALSE)</f>
        <v>時間限定の「アヒル捕獲作戦」では_x000D_経験値素材ユニットが多く手に入ります</v>
      </c>
      <c r="M31" s="54" t="s">
        <v>210</v>
      </c>
    </row>
    <row r="32" spans="1:13" x14ac:dyDescent="0.15">
      <c r="A32" s="77" t="s">
        <v>200</v>
      </c>
      <c r="B32" s="78">
        <f>floors!$C$2</f>
        <v>47012</v>
      </c>
      <c r="C32" s="79" t="str">
        <f ca="1">VLOOKUP($B32,OFFSET([2]quests!$A$1,0,0,COUNTA([2]quests!$A:$A),MATCH(C$1,[2]quests!$1:$1,0)-MATCH($B$1,[2]quests!$1:$1,0)+1),MATCH(C$1,[2]quests!$1:$1,0)-MATCH($B$1,[2]quests!$1:$1,0)+1,FALSE)</f>
        <v>春呼ぶキミの行方</v>
      </c>
      <c r="D32" s="79" t="str">
        <f ca="1">VLOOKUP($B32,OFFSET([2]quests!$A$1,0,0,COUNTA([2]quests!$A:$A),MATCH(D$1,[2]quests!$1:$1,0)-MATCH($B$1,[2]quests!$1:$1,0)+1),MATCH(D$1,[2]quests!$1:$1,0)-MATCH($B$1,[2]quests!$1:$1,0)+1,FALSE)</f>
        <v>季節イベント</v>
      </c>
      <c r="E32" s="82" t="s">
        <v>214</v>
      </c>
      <c r="F32" s="79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79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1">
        <v>0</v>
      </c>
      <c r="I32">
        <v>9</v>
      </c>
      <c r="J32" s="80" t="s">
        <v>198</v>
      </c>
      <c r="K32" s="88" t="str">
        <f>VLOOKUP(I32,[6]stage_hints!$A:$C,3,FALSE)</f>
        <v>ゴールドダックでビットを獲得</v>
      </c>
      <c r="L32" s="89" t="str">
        <f>VLOOKUP(I32,[6]stage_hints!$A:$D,4,FALSE)</f>
        <v>「ゴールドなアヒル」を売却すると_x000D_大量のビットがもらえます</v>
      </c>
      <c r="M32" s="54" t="s">
        <v>210</v>
      </c>
    </row>
    <row r="33" spans="1:13" x14ac:dyDescent="0.15">
      <c r="A33" s="77" t="s">
        <v>200</v>
      </c>
      <c r="B33" s="78">
        <f>floors!$C$2</f>
        <v>47012</v>
      </c>
      <c r="C33" s="79" t="str">
        <f ca="1">VLOOKUP($B33,OFFSET([2]quests!$A$1,0,0,COUNTA([2]quests!$A:$A),MATCH(C$1,[2]quests!$1:$1,0)-MATCH($B$1,[2]quests!$1:$1,0)+1),MATCH(C$1,[2]quests!$1:$1,0)-MATCH($B$1,[2]quests!$1:$1,0)+1,FALSE)</f>
        <v>春呼ぶキミの行方</v>
      </c>
      <c r="D33" s="79" t="str">
        <f ca="1">VLOOKUP($B33,OFFSET([2]quests!$A$1,0,0,COUNTA([2]quests!$A:$A),MATCH(D$1,[2]quests!$1:$1,0)-MATCH($B$1,[2]quests!$1:$1,0)+1),MATCH(D$1,[2]quests!$1:$1,0)-MATCH($B$1,[2]quests!$1:$1,0)+1,FALSE)</f>
        <v>季節イベント</v>
      </c>
      <c r="E33" s="82" t="s">
        <v>214</v>
      </c>
      <c r="F33" s="79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79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1">
        <v>0</v>
      </c>
      <c r="I33">
        <v>10</v>
      </c>
      <c r="J33" s="80" t="s">
        <v>198</v>
      </c>
      <c r="K33" s="88" t="str">
        <f>VLOOKUP(I33,[6]stage_hints!$A:$C,3,FALSE)</f>
        <v>土日に大量のビットを獲得</v>
      </c>
      <c r="L33" s="89" t="str">
        <f>VLOOKUP(I33,[6]stage_hints!$A:$D,4,FALSE)</f>
        <v>土日限定の「ゴールドカジノ」では_x000D_売却素材ユニットが多く手に入ります</v>
      </c>
      <c r="M33" s="54" t="s">
        <v>210</v>
      </c>
    </row>
    <row r="34" spans="1:13" x14ac:dyDescent="0.15">
      <c r="A34" s="77" t="s">
        <v>200</v>
      </c>
      <c r="B34" s="78">
        <f>floors!$C$2</f>
        <v>47012</v>
      </c>
      <c r="C34" s="79" t="str">
        <f ca="1">VLOOKUP($B34,OFFSET([2]quests!$A$1,0,0,COUNTA([2]quests!$A:$A),MATCH(C$1,[2]quests!$1:$1,0)-MATCH($B$1,[2]quests!$1:$1,0)+1),MATCH(C$1,[2]quests!$1:$1,0)-MATCH($B$1,[2]quests!$1:$1,0)+1,FALSE)</f>
        <v>春呼ぶキミの行方</v>
      </c>
      <c r="D34" s="79" t="str">
        <f ca="1">VLOOKUP($B34,OFFSET([2]quests!$A$1,0,0,COUNTA([2]quests!$A:$A),MATCH(D$1,[2]quests!$1:$1,0)-MATCH($B$1,[2]quests!$1:$1,0)+1),MATCH(D$1,[2]quests!$1:$1,0)-MATCH($B$1,[2]quests!$1:$1,0)+1,FALSE)</f>
        <v>季節イベント</v>
      </c>
      <c r="E34" s="82" t="s">
        <v>214</v>
      </c>
      <c r="F34" s="79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79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1">
        <v>0</v>
      </c>
      <c r="I34">
        <v>11</v>
      </c>
      <c r="J34" s="80" t="s">
        <v>198</v>
      </c>
      <c r="K34" s="88" t="str">
        <f>VLOOKUP(I34,[6]stage_hints!$A:$C,3,FALSE)</f>
        <v>ゲリラクエストは要チェック</v>
      </c>
      <c r="L34" s="89" t="str">
        <f>VLOOKUP(I34,[6]stage_hints!$A:$D,4,FALSE)</f>
        <v>時間限定の「アヒル捕獲作戦」では_x000D_経験値素材ユニットが多く手に入ります</v>
      </c>
      <c r="M34" s="54" t="s">
        <v>210</v>
      </c>
    </row>
    <row r="35" spans="1:13" x14ac:dyDescent="0.15">
      <c r="A35" s="77" t="s">
        <v>200</v>
      </c>
      <c r="B35" s="78">
        <f>floors!$C$2</f>
        <v>47012</v>
      </c>
      <c r="C35" s="79" t="str">
        <f ca="1">VLOOKUP($B35,OFFSET([2]quests!$A$1,0,0,COUNTA([2]quests!$A:$A),MATCH(C$1,[2]quests!$1:$1,0)-MATCH($B$1,[2]quests!$1:$1,0)+1),MATCH(C$1,[2]quests!$1:$1,0)-MATCH($B$1,[2]quests!$1:$1,0)+1,FALSE)</f>
        <v>春呼ぶキミの行方</v>
      </c>
      <c r="D35" s="79" t="str">
        <f ca="1">VLOOKUP($B35,OFFSET([2]quests!$A$1,0,0,COUNTA([2]quests!$A:$A),MATCH(D$1,[2]quests!$1:$1,0)-MATCH($B$1,[2]quests!$1:$1,0)+1),MATCH(D$1,[2]quests!$1:$1,0)-MATCH($B$1,[2]quests!$1:$1,0)+1,FALSE)</f>
        <v>季節イベント</v>
      </c>
      <c r="E35" s="82" t="s">
        <v>214</v>
      </c>
      <c r="F35" s="79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79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1">
        <v>0</v>
      </c>
      <c r="I35">
        <v>12</v>
      </c>
      <c r="J35" s="80" t="s">
        <v>198</v>
      </c>
      <c r="K35" s="88" t="str">
        <f>VLOOKUP(I35,[6]stage_hints!$A:$C,3,FALSE)</f>
        <v>ユニットのお気に入り登録</v>
      </c>
      <c r="L35" s="89" t="str">
        <f>VLOOKUP(I35,[6]stage_hints!$A:$D,4,FALSE)</f>
        <v>大事なユニットを誤って消さないように_x000D_フォルダから「お気に入り登録」しましょう</v>
      </c>
      <c r="M35" s="54" t="s">
        <v>210</v>
      </c>
    </row>
    <row r="36" spans="1:13" x14ac:dyDescent="0.15">
      <c r="A36" s="77" t="s">
        <v>200</v>
      </c>
      <c r="B36" s="78">
        <f>floors!$C$2</f>
        <v>47012</v>
      </c>
      <c r="C36" s="79" t="str">
        <f ca="1">VLOOKUP($B36,OFFSET([2]quests!$A$1,0,0,COUNTA([2]quests!$A:$A),MATCH(C$1,[2]quests!$1:$1,0)-MATCH($B$1,[2]quests!$1:$1,0)+1),MATCH(C$1,[2]quests!$1:$1,0)-MATCH($B$1,[2]quests!$1:$1,0)+1,FALSE)</f>
        <v>春呼ぶキミの行方</v>
      </c>
      <c r="D36" s="79" t="str">
        <f ca="1">VLOOKUP($B36,OFFSET([2]quests!$A$1,0,0,COUNTA([2]quests!$A:$A),MATCH(D$1,[2]quests!$1:$1,0)-MATCH($B$1,[2]quests!$1:$1,0)+1),MATCH(D$1,[2]quests!$1:$1,0)-MATCH($B$1,[2]quests!$1:$1,0)+1,FALSE)</f>
        <v>季節イベント</v>
      </c>
      <c r="E36" s="82" t="s">
        <v>214</v>
      </c>
      <c r="F36" s="79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79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1">
        <v>0</v>
      </c>
      <c r="I36">
        <v>13</v>
      </c>
      <c r="J36" s="80" t="s">
        <v>198</v>
      </c>
      <c r="K36" s="88" t="str">
        <f>VLOOKUP(I36,[6]stage_hints!$A:$C,3,FALSE)</f>
        <v>ユニットの覚醒</v>
      </c>
      <c r="L36" s="89" t="str">
        <f>VLOOKUP(I36,[6]stage_hints!$A:$D,4,FALSE)</f>
        <v>ユニットを覚醒させると_x000D_比べものにならない強さが手に入ります</v>
      </c>
      <c r="M36" s="54" t="s">
        <v>210</v>
      </c>
    </row>
    <row r="37" spans="1:13" x14ac:dyDescent="0.15">
      <c r="A37" s="77" t="s">
        <v>200</v>
      </c>
      <c r="B37" s="78">
        <f>floors!$C$2</f>
        <v>47012</v>
      </c>
      <c r="C37" s="79" t="str">
        <f ca="1">VLOOKUP($B37,OFFSET([2]quests!$A$1,0,0,COUNTA([2]quests!$A:$A),MATCH(C$1,[2]quests!$1:$1,0)-MATCH($B$1,[2]quests!$1:$1,0)+1),MATCH(C$1,[2]quests!$1:$1,0)-MATCH($B$1,[2]quests!$1:$1,0)+1,FALSE)</f>
        <v>春呼ぶキミの行方</v>
      </c>
      <c r="D37" s="79" t="str">
        <f ca="1">VLOOKUP($B37,OFFSET([2]quests!$A$1,0,0,COUNTA([2]quests!$A:$A),MATCH(D$1,[2]quests!$1:$1,0)-MATCH($B$1,[2]quests!$1:$1,0)+1),MATCH(D$1,[2]quests!$1:$1,0)-MATCH($B$1,[2]quests!$1:$1,0)+1,FALSE)</f>
        <v>季節イベント</v>
      </c>
      <c r="E37" s="82" t="s">
        <v>214</v>
      </c>
      <c r="F37" s="79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79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1">
        <v>0</v>
      </c>
      <c r="I37">
        <v>14</v>
      </c>
      <c r="J37" s="80" t="s">
        <v>198</v>
      </c>
      <c r="K37" s="88" t="str">
        <f>VLOOKUP(I37,[6]stage_hints!$A:$C,3,FALSE)</f>
        <v>覚醒するにはレベルを最大に</v>
      </c>
      <c r="L37" s="89" t="str">
        <f>VLOOKUP(I37,[6]stage_hints!$A:$D,4,FALSE)</f>
        <v>覚醒するにはユニットのレベルを_x000D_最大まで上げる必要があります</v>
      </c>
      <c r="M37" s="54" t="s">
        <v>210</v>
      </c>
    </row>
    <row r="38" spans="1:13" x14ac:dyDescent="0.15">
      <c r="A38" s="77" t="s">
        <v>200</v>
      </c>
      <c r="B38" s="78">
        <f>floors!$C$2</f>
        <v>47012</v>
      </c>
      <c r="C38" s="79" t="str">
        <f ca="1">VLOOKUP($B38,OFFSET([2]quests!$A$1,0,0,COUNTA([2]quests!$A:$A),MATCH(C$1,[2]quests!$1:$1,0)-MATCH($B$1,[2]quests!$1:$1,0)+1),MATCH(C$1,[2]quests!$1:$1,0)-MATCH($B$1,[2]quests!$1:$1,0)+1,FALSE)</f>
        <v>春呼ぶキミの行方</v>
      </c>
      <c r="D38" s="79" t="str">
        <f ca="1">VLOOKUP($B38,OFFSET([2]quests!$A$1,0,0,COUNTA([2]quests!$A:$A),MATCH(D$1,[2]quests!$1:$1,0)-MATCH($B$1,[2]quests!$1:$1,0)+1),MATCH(D$1,[2]quests!$1:$1,0)-MATCH($B$1,[2]quests!$1:$1,0)+1,FALSE)</f>
        <v>季節イベント</v>
      </c>
      <c r="E38" s="82" t="s">
        <v>214</v>
      </c>
      <c r="F38" s="79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79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1">
        <v>0</v>
      </c>
      <c r="I38">
        <v>15</v>
      </c>
      <c r="J38" s="80" t="s">
        <v>198</v>
      </c>
      <c r="K38" s="88" t="str">
        <f>VLOOKUP(I38,[6]stage_hints!$A:$C,3,FALSE)</f>
        <v>覚醒素材を獲得</v>
      </c>
      <c r="L38" s="89" t="str">
        <f>VLOOKUP(I38,[6]stage_hints!$A:$D,4,FALSE)</f>
        <v>「曜日クエスト」では_x000D_ユニットの覚醒に必要な素材が手に入ります</v>
      </c>
      <c r="M38" s="54" t="s">
        <v>210</v>
      </c>
    </row>
    <row r="39" spans="1:13" x14ac:dyDescent="0.15">
      <c r="A39" s="77" t="s">
        <v>200</v>
      </c>
      <c r="B39" s="78">
        <f>floors!$C$2</f>
        <v>47012</v>
      </c>
      <c r="C39" s="79" t="str">
        <f ca="1">VLOOKUP($B39,OFFSET([2]quests!$A$1,0,0,COUNTA([2]quests!$A:$A),MATCH(C$1,[2]quests!$1:$1,0)-MATCH($B$1,[2]quests!$1:$1,0)+1),MATCH(C$1,[2]quests!$1:$1,0)-MATCH($B$1,[2]quests!$1:$1,0)+1,FALSE)</f>
        <v>春呼ぶキミの行方</v>
      </c>
      <c r="D39" s="79" t="str">
        <f ca="1">VLOOKUP($B39,OFFSET([2]quests!$A$1,0,0,COUNTA([2]quests!$A:$A),MATCH(D$1,[2]quests!$1:$1,0)-MATCH($B$1,[2]quests!$1:$1,0)+1),MATCH(D$1,[2]quests!$1:$1,0)-MATCH($B$1,[2]quests!$1:$1,0)+1,FALSE)</f>
        <v>季節イベント</v>
      </c>
      <c r="E39" s="82" t="s">
        <v>214</v>
      </c>
      <c r="F39" s="79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79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1">
        <v>0</v>
      </c>
      <c r="I39">
        <v>16</v>
      </c>
      <c r="J39" s="80" t="s">
        <v>198</v>
      </c>
      <c r="K39" s="88" t="str">
        <f>VLOOKUP(I39,[6]stage_hints!$A:$C,3,FALSE)</f>
        <v>マルチプレイのメリット（その1）</v>
      </c>
      <c r="L39" s="89" t="str">
        <f>VLOOKUP(I39,[6]stage_hints!$A:$D,4,FALSE)</f>
        <v>他のプレイヤーとマルチプレイで遊ぶと_x000D_ポリゴンがもらえます（100人まで）</v>
      </c>
      <c r="M39" s="54" t="s">
        <v>210</v>
      </c>
    </row>
    <row r="40" spans="1:13" x14ac:dyDescent="0.15">
      <c r="A40" s="77" t="s">
        <v>200</v>
      </c>
      <c r="B40" s="78">
        <f>floors!$C$2</f>
        <v>47012</v>
      </c>
      <c r="C40" s="79" t="str">
        <f ca="1">VLOOKUP($B40,OFFSET([2]quests!$A$1,0,0,COUNTA([2]quests!$A:$A),MATCH(C$1,[2]quests!$1:$1,0)-MATCH($B$1,[2]quests!$1:$1,0)+1),MATCH(C$1,[2]quests!$1:$1,0)-MATCH($B$1,[2]quests!$1:$1,0)+1,FALSE)</f>
        <v>春呼ぶキミの行方</v>
      </c>
      <c r="D40" s="79" t="str">
        <f ca="1">VLOOKUP($B40,OFFSET([2]quests!$A$1,0,0,COUNTA([2]quests!$A:$A),MATCH(D$1,[2]quests!$1:$1,0)-MATCH($B$1,[2]quests!$1:$1,0)+1),MATCH(D$1,[2]quests!$1:$1,0)-MATCH($B$1,[2]quests!$1:$1,0)+1,FALSE)</f>
        <v>季節イベント</v>
      </c>
      <c r="E40" s="82" t="s">
        <v>214</v>
      </c>
      <c r="F40" s="79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79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1">
        <v>0</v>
      </c>
      <c r="I40">
        <v>17</v>
      </c>
      <c r="J40" s="80" t="s">
        <v>198</v>
      </c>
      <c r="K40" s="88" t="str">
        <f>VLOOKUP(I40,[6]stage_hints!$A:$C,3,FALSE)</f>
        <v>リンクガチャ</v>
      </c>
      <c r="L40" s="89" t="str">
        <f>VLOOKUP(I40,[6]stage_hints!$A:$D,4,FALSE)</f>
        <v>無料のリンクガチャを回して_x000D_経験値素材や売却素材を獲得しましょう</v>
      </c>
      <c r="M40" s="54" t="s">
        <v>210</v>
      </c>
    </row>
    <row r="41" spans="1:13" x14ac:dyDescent="0.15">
      <c r="A41" s="77" t="s">
        <v>200</v>
      </c>
      <c r="B41" s="78">
        <f>floors!$C$2</f>
        <v>47012</v>
      </c>
      <c r="C41" s="79" t="str">
        <f ca="1">VLOOKUP($B41,OFFSET([2]quests!$A$1,0,0,COUNTA([2]quests!$A:$A),MATCH(C$1,[2]quests!$1:$1,0)-MATCH($B$1,[2]quests!$1:$1,0)+1),MATCH(C$1,[2]quests!$1:$1,0)-MATCH($B$1,[2]quests!$1:$1,0)+1,FALSE)</f>
        <v>春呼ぶキミの行方</v>
      </c>
      <c r="D41" s="79" t="str">
        <f ca="1">VLOOKUP($B41,OFFSET([2]quests!$A$1,0,0,COUNTA([2]quests!$A:$A),MATCH(D$1,[2]quests!$1:$1,0)-MATCH($B$1,[2]quests!$1:$1,0)+1),MATCH(D$1,[2]quests!$1:$1,0)-MATCH($B$1,[2]quests!$1:$1,0)+1,FALSE)</f>
        <v>季節イベント</v>
      </c>
      <c r="E41" s="82" t="s">
        <v>214</v>
      </c>
      <c r="F41" s="79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79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1">
        <v>0</v>
      </c>
      <c r="I41">
        <v>18</v>
      </c>
      <c r="J41" s="80" t="s">
        <v>198</v>
      </c>
      <c r="K41" s="88" t="str">
        <f>VLOOKUP(I41,[6]stage_hints!$A:$C,3,FALSE)</f>
        <v>マルチプレイのメリット（その2）</v>
      </c>
      <c r="L41" s="89" t="str">
        <f>VLOOKUP(I41,[6]stage_hints!$A:$D,4,FALSE)</f>
        <v>マルチプレイならリンクが2倍もらえます_x000D_リンクガチャをたくさん回しましょう</v>
      </c>
      <c r="M41" s="54" t="s">
        <v>210</v>
      </c>
    </row>
    <row r="42" spans="1:13" x14ac:dyDescent="0.15">
      <c r="A42" s="77" t="s">
        <v>200</v>
      </c>
      <c r="B42" s="78">
        <f>floors!$C$2</f>
        <v>47012</v>
      </c>
      <c r="C42" s="79" t="str">
        <f ca="1">VLOOKUP($B42,OFFSET([2]quests!$A$1,0,0,COUNTA([2]quests!$A:$A),MATCH(C$1,[2]quests!$1:$1,0)-MATCH($B$1,[2]quests!$1:$1,0)+1),MATCH(C$1,[2]quests!$1:$1,0)-MATCH($B$1,[2]quests!$1:$1,0)+1,FALSE)</f>
        <v>春呼ぶキミの行方</v>
      </c>
      <c r="D42" s="79" t="str">
        <f ca="1">VLOOKUP($B42,OFFSET([2]quests!$A$1,0,0,COUNTA([2]quests!$A:$A),MATCH(D$1,[2]quests!$1:$1,0)-MATCH($B$1,[2]quests!$1:$1,0)+1),MATCH(D$1,[2]quests!$1:$1,0)-MATCH($B$1,[2]quests!$1:$1,0)+1,FALSE)</f>
        <v>季節イベント</v>
      </c>
      <c r="E42" s="82" t="s">
        <v>214</v>
      </c>
      <c r="F42" s="79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79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1">
        <v>0</v>
      </c>
      <c r="I42">
        <v>19</v>
      </c>
      <c r="J42" s="80" t="s">
        <v>198</v>
      </c>
      <c r="K42" s="88" t="str">
        <f>VLOOKUP(I42,[6]stage_hints!$A:$C,3,FALSE)</f>
        <v>ソロ専用タワーオブザクイーン</v>
      </c>
      <c r="L42" s="89" t="str">
        <f>VLOOKUP(I42,[6]stage_hints!$A:$D,4,FALSE)</f>
        <v>ソロ専用の「タワーオブザクイーン」は_x000D_期間限定で定期的に開催されます_x000D_ここでしか獲得できない報酬もあるようです</v>
      </c>
      <c r="M42" s="54" t="s">
        <v>210</v>
      </c>
    </row>
    <row r="43" spans="1:13" x14ac:dyDescent="0.15">
      <c r="A43" s="77" t="s">
        <v>200</v>
      </c>
      <c r="B43" s="78">
        <f>floors!$C$2</f>
        <v>47012</v>
      </c>
      <c r="C43" s="79" t="str">
        <f ca="1">VLOOKUP($B43,OFFSET([2]quests!$A$1,0,0,COUNTA([2]quests!$A:$A),MATCH(C$1,[2]quests!$1:$1,0)-MATCH($B$1,[2]quests!$1:$1,0)+1),MATCH(C$1,[2]quests!$1:$1,0)-MATCH($B$1,[2]quests!$1:$1,0)+1,FALSE)</f>
        <v>春呼ぶキミの行方</v>
      </c>
      <c r="D43" s="79" t="str">
        <f ca="1">VLOOKUP($B43,OFFSET([2]quests!$A$1,0,0,COUNTA([2]quests!$A:$A),MATCH(D$1,[2]quests!$1:$1,0)-MATCH($B$1,[2]quests!$1:$1,0)+1),MATCH(D$1,[2]quests!$1:$1,0)-MATCH($B$1,[2]quests!$1:$1,0)+1,FALSE)</f>
        <v>季節イベント</v>
      </c>
      <c r="E43" s="82" t="s">
        <v>214</v>
      </c>
      <c r="F43" s="79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79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1">
        <v>0</v>
      </c>
      <c r="I43">
        <v>20</v>
      </c>
      <c r="J43" s="80" t="s">
        <v>198</v>
      </c>
      <c r="K43" s="88" t="str">
        <f>VLOOKUP(I43,[6]stage_hints!$A:$C,3,FALSE)</f>
        <v>マルチプレイのメリット（その3）</v>
      </c>
      <c r="L43" s="89" t="str">
        <f>VLOOKUP(I43,[6]stage_hints!$A:$D,4,FALSE)</f>
        <v>マルチプレイへの参加はエナジー消費ゼロ_x000D_いつでも好きなだけ遊ぶことができます</v>
      </c>
      <c r="M43" s="54" t="s">
        <v>210</v>
      </c>
    </row>
    <row r="44" spans="1:13" x14ac:dyDescent="0.15">
      <c r="A44" s="77" t="s">
        <v>200</v>
      </c>
      <c r="B44" s="78">
        <f>floors!$C$2</f>
        <v>47012</v>
      </c>
      <c r="C44" s="79" t="str">
        <f ca="1">VLOOKUP($B44,OFFSET([2]quests!$A$1,0,0,COUNTA([2]quests!$A:$A),MATCH(C$1,[2]quests!$1:$1,0)-MATCH($B$1,[2]quests!$1:$1,0)+1),MATCH(C$1,[2]quests!$1:$1,0)-MATCH($B$1,[2]quests!$1:$1,0)+1,FALSE)</f>
        <v>春呼ぶキミの行方</v>
      </c>
      <c r="D44" s="79" t="str">
        <f ca="1">VLOOKUP($B44,OFFSET([2]quests!$A$1,0,0,COUNTA([2]quests!$A:$A),MATCH(D$1,[2]quests!$1:$1,0)-MATCH($B$1,[2]quests!$1:$1,0)+1),MATCH(D$1,[2]quests!$1:$1,0)-MATCH($B$1,[2]quests!$1:$1,0)+1,FALSE)</f>
        <v>季節イベント</v>
      </c>
      <c r="E44" s="82" t="s">
        <v>214</v>
      </c>
      <c r="F44" s="79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79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1">
        <v>0</v>
      </c>
      <c r="I44">
        <v>21</v>
      </c>
      <c r="J44" s="80" t="s">
        <v>198</v>
      </c>
      <c r="K44" s="88" t="str">
        <f>VLOOKUP(I44,[6]stage_hints!$A:$C,3,FALSE)</f>
        <v>スキルを有効に</v>
      </c>
      <c r="L44" s="89" t="str">
        <f>VLOOKUP(I44,[6]stage_hints!$A:$D,4,FALSE)</f>
        <v>ターン経過でユニットのスキルが使えます_x000D_強力スキルでバトルを有利に進めましょう</v>
      </c>
      <c r="M44" s="54" t="s">
        <v>210</v>
      </c>
    </row>
    <row r="45" spans="1:13" x14ac:dyDescent="0.15">
      <c r="A45" s="77" t="s">
        <v>200</v>
      </c>
      <c r="B45" s="78">
        <f>floors!$C$2</f>
        <v>47012</v>
      </c>
      <c r="C45" s="79" t="str">
        <f ca="1">VLOOKUP($B45,OFFSET([2]quests!$A$1,0,0,COUNTA([2]quests!$A:$A),MATCH(C$1,[2]quests!$1:$1,0)-MATCH($B$1,[2]quests!$1:$1,0)+1),MATCH(C$1,[2]quests!$1:$1,0)-MATCH($B$1,[2]quests!$1:$1,0)+1,FALSE)</f>
        <v>春呼ぶキミの行方</v>
      </c>
      <c r="D45" s="79" t="str">
        <f ca="1">VLOOKUP($B45,OFFSET([2]quests!$A$1,0,0,COUNTA([2]quests!$A:$A),MATCH(D$1,[2]quests!$1:$1,0)-MATCH($B$1,[2]quests!$1:$1,0)+1),MATCH(D$1,[2]quests!$1:$1,0)-MATCH($B$1,[2]quests!$1:$1,0)+1,FALSE)</f>
        <v>季節イベント</v>
      </c>
      <c r="E45" s="82" t="s">
        <v>214</v>
      </c>
      <c r="F45" s="79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79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1">
        <v>0</v>
      </c>
      <c r="I45">
        <v>22</v>
      </c>
      <c r="J45" s="80" t="s">
        <v>198</v>
      </c>
      <c r="K45" s="88" t="str">
        <f>VLOOKUP(I45,[6]stage_hints!$A:$C,3,FALSE)</f>
        <v>フィーバーで一発逆転（その1）</v>
      </c>
      <c r="L45" s="89" t="str">
        <f>VLOOKUP(I45,[6]stage_hints!$A:$D,4,FALSE)</f>
        <v>フィーバーは攻撃と回復を兼ね備えます_x000D_ピンチからの一発逆転を狙いましょう</v>
      </c>
      <c r="M45" s="54" t="s">
        <v>210</v>
      </c>
    </row>
    <row r="46" spans="1:13" x14ac:dyDescent="0.15">
      <c r="A46" s="77" t="s">
        <v>200</v>
      </c>
      <c r="B46" s="78">
        <f>floors!$C$2</f>
        <v>47012</v>
      </c>
      <c r="C46" s="79" t="str">
        <f ca="1">VLOOKUP($B46,OFFSET([2]quests!$A$1,0,0,COUNTA([2]quests!$A:$A),MATCH(C$1,[2]quests!$1:$1,0)-MATCH($B$1,[2]quests!$1:$1,0)+1),MATCH(C$1,[2]quests!$1:$1,0)-MATCH($B$1,[2]quests!$1:$1,0)+1,FALSE)</f>
        <v>春呼ぶキミの行方</v>
      </c>
      <c r="D46" s="79" t="str">
        <f ca="1">VLOOKUP($B46,OFFSET([2]quests!$A$1,0,0,COUNTA([2]quests!$A:$A),MATCH(D$1,[2]quests!$1:$1,0)-MATCH($B$1,[2]quests!$1:$1,0)+1),MATCH(D$1,[2]quests!$1:$1,0)-MATCH($B$1,[2]quests!$1:$1,0)+1,FALSE)</f>
        <v>季節イベント</v>
      </c>
      <c r="E46" s="82" t="s">
        <v>214</v>
      </c>
      <c r="F46" s="79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79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1">
        <v>0</v>
      </c>
      <c r="I46">
        <v>23</v>
      </c>
      <c r="J46" s="80" t="s">
        <v>198</v>
      </c>
      <c r="K46" s="88" t="str">
        <f>VLOOKUP(I46,[6]stage_hints!$A:$C,3,FALSE)</f>
        <v>フィーバーで一発逆転（その2）</v>
      </c>
      <c r="L46" s="89" t="str">
        <f>VLOOKUP(I46,[6]stage_hints!$A:$D,4,FALSE)</f>
        <v>フィーバー中は虹色のボムパネルを狙って_x000D_画面上のパネルを一気に破壊しましょう</v>
      </c>
      <c r="M46" s="54" t="s">
        <v>210</v>
      </c>
    </row>
    <row r="47" spans="1:13" x14ac:dyDescent="0.15">
      <c r="A47" s="77" t="s">
        <v>200</v>
      </c>
      <c r="B47" s="78">
        <f>floors!$C$2</f>
        <v>47012</v>
      </c>
      <c r="C47" s="79" t="str">
        <f ca="1">VLOOKUP($B47,OFFSET([2]quests!$A$1,0,0,COUNTA([2]quests!$A:$A),MATCH(C$1,[2]quests!$1:$1,0)-MATCH($B$1,[2]quests!$1:$1,0)+1),MATCH(C$1,[2]quests!$1:$1,0)-MATCH($B$1,[2]quests!$1:$1,0)+1,FALSE)</f>
        <v>春呼ぶキミの行方</v>
      </c>
      <c r="D47" s="79" t="str">
        <f ca="1">VLOOKUP($B47,OFFSET([2]quests!$A$1,0,0,COUNTA([2]quests!$A:$A),MATCH(D$1,[2]quests!$1:$1,0)-MATCH($B$1,[2]quests!$1:$1,0)+1),MATCH(D$1,[2]quests!$1:$1,0)-MATCH($B$1,[2]quests!$1:$1,0)+1,FALSE)</f>
        <v>季節イベント</v>
      </c>
      <c r="E47" s="82" t="s">
        <v>214</v>
      </c>
      <c r="F47" s="79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79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1">
        <v>0</v>
      </c>
      <c r="I47">
        <v>24</v>
      </c>
      <c r="J47" s="80" t="s">
        <v>198</v>
      </c>
      <c r="K47" s="88" t="str">
        <f>VLOOKUP(I47,[6]stage_hints!$A:$C,3,FALSE)</f>
        <v>果実を使って限界突破</v>
      </c>
      <c r="L47" s="89" t="str">
        <f>VLOOKUP(I47,[6]stage_hints!$A:$D,4,FALSE)</f>
        <v>攻めの果実 癒しの果実_x000D_生命の果実をユニット強化に使うと_x000D_ステータスが限界突破します（計99個迄）</v>
      </c>
      <c r="M47" s="54" t="s">
        <v>210</v>
      </c>
    </row>
    <row r="48" spans="1:13" x14ac:dyDescent="0.15">
      <c r="A48" s="77" t="s">
        <v>200</v>
      </c>
      <c r="B48" s="78">
        <f>floors!$C$2</f>
        <v>47012</v>
      </c>
      <c r="C48" s="79" t="str">
        <f ca="1">VLOOKUP($B48,OFFSET([2]quests!$A$1,0,0,COUNTA([2]quests!$A:$A),MATCH(C$1,[2]quests!$1:$1,0)-MATCH($B$1,[2]quests!$1:$1,0)+1),MATCH(C$1,[2]quests!$1:$1,0)-MATCH($B$1,[2]quests!$1:$1,0)+1,FALSE)</f>
        <v>春呼ぶキミの行方</v>
      </c>
      <c r="D48" s="79" t="str">
        <f ca="1">VLOOKUP($B48,OFFSET([2]quests!$A$1,0,0,COUNTA([2]quests!$A:$A),MATCH(D$1,[2]quests!$1:$1,0)-MATCH($B$1,[2]quests!$1:$1,0)+1),MATCH(D$1,[2]quests!$1:$1,0)-MATCH($B$1,[2]quests!$1:$1,0)+1,FALSE)</f>
        <v>季節イベント</v>
      </c>
      <c r="E48" s="82" t="s">
        <v>214</v>
      </c>
      <c r="F48" s="79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79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1">
        <v>0</v>
      </c>
      <c r="I48">
        <v>25</v>
      </c>
      <c r="J48" s="80" t="s">
        <v>198</v>
      </c>
      <c r="K48" s="88" t="str">
        <f>VLOOKUP(I48,[6]stage_hints!$A:$C,3,FALSE)</f>
        <v>スキルレベルアップ</v>
      </c>
      <c r="L48" s="89" t="str">
        <f>VLOOKUP(I48,[6]stage_hints!$A:$D,4,FALSE)</f>
        <v>「秘術の果実」を強化に使うと_x000D_スキルレベルを上げることができます</v>
      </c>
      <c r="M48" s="54" t="s">
        <v>210</v>
      </c>
    </row>
    <row r="49" spans="1:13" x14ac:dyDescent="0.15">
      <c r="A49" s="77" t="s">
        <v>200</v>
      </c>
      <c r="B49" s="78">
        <f>floors!$C$2</f>
        <v>47012</v>
      </c>
      <c r="C49" s="79" t="str">
        <f ca="1">VLOOKUP($B49,OFFSET([2]quests!$A$1,0,0,COUNTA([2]quests!$A:$A),MATCH(C$1,[2]quests!$1:$1,0)-MATCH($B$1,[2]quests!$1:$1,0)+1),MATCH(C$1,[2]quests!$1:$1,0)-MATCH($B$1,[2]quests!$1:$1,0)+1,FALSE)</f>
        <v>春呼ぶキミの行方</v>
      </c>
      <c r="D49" s="79" t="str">
        <f ca="1">VLOOKUP($B49,OFFSET([2]quests!$A$1,0,0,COUNTA([2]quests!$A:$A),MATCH(D$1,[2]quests!$1:$1,0)-MATCH($B$1,[2]quests!$1:$1,0)+1),MATCH(D$1,[2]quests!$1:$1,0)-MATCH($B$1,[2]quests!$1:$1,0)+1,FALSE)</f>
        <v>季節イベント</v>
      </c>
      <c r="E49" s="82" t="s">
        <v>214</v>
      </c>
      <c r="F49" s="79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79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1">
        <v>0</v>
      </c>
      <c r="I49">
        <v>26</v>
      </c>
      <c r="J49" s="80" t="s">
        <v>198</v>
      </c>
      <c r="K49" s="88" t="str">
        <f>VLOOKUP(I49,[6]stage_hints!$A:$C,3,FALSE)</f>
        <v>スキルレベルの効果</v>
      </c>
      <c r="L49" s="89" t="str">
        <f>VLOOKUP(I49,[6]stage_hints!$A:$D,4,FALSE)</f>
        <v>スキルレベルが上がると_x000D_短いターンでスキルを使うことができます</v>
      </c>
      <c r="M49" s="54" t="s">
        <v>210</v>
      </c>
    </row>
    <row r="50" spans="1:13" x14ac:dyDescent="0.15">
      <c r="A50" s="77" t="s">
        <v>200</v>
      </c>
      <c r="B50" s="78">
        <f>floors!$C$2</f>
        <v>47012</v>
      </c>
      <c r="C50" s="79" t="str">
        <f ca="1">VLOOKUP($B50,OFFSET([2]quests!$A$1,0,0,COUNTA([2]quests!$A:$A),MATCH(C$1,[2]quests!$1:$1,0)-MATCH($B$1,[2]quests!$1:$1,0)+1),MATCH(C$1,[2]quests!$1:$1,0)-MATCH($B$1,[2]quests!$1:$1,0)+1,FALSE)</f>
        <v>春呼ぶキミの行方</v>
      </c>
      <c r="D50" s="79" t="str">
        <f ca="1">VLOOKUP($B50,OFFSET([2]quests!$A$1,0,0,COUNTA([2]quests!$A:$A),MATCH(D$1,[2]quests!$1:$1,0)-MATCH($B$1,[2]quests!$1:$1,0)+1),MATCH(D$1,[2]quests!$1:$1,0)-MATCH($B$1,[2]quests!$1:$1,0)+1,FALSE)</f>
        <v>季節イベント</v>
      </c>
      <c r="E50" s="82" t="s">
        <v>214</v>
      </c>
      <c r="F50" s="79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79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1">
        <v>0</v>
      </c>
      <c r="I50">
        <v>27</v>
      </c>
      <c r="J50" s="80" t="s">
        <v>198</v>
      </c>
      <c r="K50" s="88" t="str">
        <f>VLOOKUP(I50,[6]stage_hints!$A:$C,3,FALSE)</f>
        <v>ホーム画面からデッキを編成</v>
      </c>
      <c r="L50" s="89" t="str">
        <f>VLOOKUP(I50,[6]stage_hints!$A:$D,4,FALSE)</f>
        <v>ホーム画面でユニットを長押しすると_x000D_すぐにパーティ編成に移動できます</v>
      </c>
      <c r="M50" s="54" t="s">
        <v>210</v>
      </c>
    </row>
    <row r="51" spans="1:13" x14ac:dyDescent="0.15">
      <c r="A51" s="77" t="s">
        <v>200</v>
      </c>
      <c r="B51" s="78">
        <f>floors!$C$2</f>
        <v>47012</v>
      </c>
      <c r="C51" s="79" t="str">
        <f ca="1">VLOOKUP($B51,OFFSET([2]quests!$A$1,0,0,COUNTA([2]quests!$A:$A),MATCH(C$1,[2]quests!$1:$1,0)-MATCH($B$1,[2]quests!$1:$1,0)+1),MATCH(C$1,[2]quests!$1:$1,0)-MATCH($B$1,[2]quests!$1:$1,0)+1,FALSE)</f>
        <v>春呼ぶキミの行方</v>
      </c>
      <c r="D51" s="79" t="str">
        <f ca="1">VLOOKUP($B51,OFFSET([2]quests!$A$1,0,0,COUNTA([2]quests!$A:$A),MATCH(D$1,[2]quests!$1:$1,0)-MATCH($B$1,[2]quests!$1:$1,0)+1),MATCH(D$1,[2]quests!$1:$1,0)-MATCH($B$1,[2]quests!$1:$1,0)+1,FALSE)</f>
        <v>季節イベント</v>
      </c>
      <c r="E51" s="82" t="s">
        <v>214</v>
      </c>
      <c r="F51" s="79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79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1">
        <v>0</v>
      </c>
      <c r="I51">
        <v>28</v>
      </c>
      <c r="J51" s="80" t="s">
        <v>198</v>
      </c>
      <c r="K51" s="88" t="str">
        <f>VLOOKUP(I51,[6]stage_hints!$A:$C,3,FALSE)</f>
        <v>ステータス情報は長押しで</v>
      </c>
      <c r="L51" s="89" t="str">
        <f>VLOOKUP(I51,[6]stage_hints!$A:$D,4,FALSE)</f>
        <v>ユニットのアイコンを長押しすると_x000D_ステータス情報を確認することができます</v>
      </c>
      <c r="M51" s="54" t="s">
        <v>210</v>
      </c>
    </row>
    <row r="52" spans="1:13" x14ac:dyDescent="0.15">
      <c r="A52" s="77" t="s">
        <v>200</v>
      </c>
      <c r="B52" s="78">
        <f>floors!$C$2</f>
        <v>47012</v>
      </c>
      <c r="C52" s="79" t="str">
        <f ca="1">VLOOKUP($B52,OFFSET([2]quests!$A$1,0,0,COUNTA([2]quests!$A:$A),MATCH(C$1,[2]quests!$1:$1,0)-MATCH($B$1,[2]quests!$1:$1,0)+1),MATCH(C$1,[2]quests!$1:$1,0)-MATCH($B$1,[2]quests!$1:$1,0)+1,FALSE)</f>
        <v>春呼ぶキミの行方</v>
      </c>
      <c r="D52" s="79" t="str">
        <f ca="1">VLOOKUP($B52,OFFSET([2]quests!$A$1,0,0,COUNTA([2]quests!$A:$A),MATCH(D$1,[2]quests!$1:$1,0)-MATCH($B$1,[2]quests!$1:$1,0)+1),MATCH(D$1,[2]quests!$1:$1,0)-MATCH($B$1,[2]quests!$1:$1,0)+1,FALSE)</f>
        <v>季節イベント</v>
      </c>
      <c r="E52" s="82" t="s">
        <v>214</v>
      </c>
      <c r="F52" s="79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79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1">
        <v>0</v>
      </c>
      <c r="I52">
        <v>29</v>
      </c>
      <c r="J52" s="80" t="s">
        <v>198</v>
      </c>
      <c r="K52" s="88" t="str">
        <f>VLOOKUP(I52,[6]stage_hints!$A:$C,3,FALSE)</f>
        <v>「バグ」のメリット</v>
      </c>
      <c r="L52" s="89" t="str">
        <f>VLOOKUP(I52,[6]stage_hints!$A:$D,4,FALSE)</f>
        <v>ユニットの「バグ」を増やすと_x000D_報酬をもらえる確率がアップします</v>
      </c>
      <c r="M52" s="54" t="s">
        <v>210</v>
      </c>
    </row>
    <row r="53" spans="1:13" x14ac:dyDescent="0.15">
      <c r="A53" s="77" t="s">
        <v>200</v>
      </c>
      <c r="B53" s="78">
        <f>floors!$C$2</f>
        <v>47012</v>
      </c>
      <c r="C53" s="79" t="str">
        <f ca="1">VLOOKUP($B53,OFFSET([2]quests!$A$1,0,0,COUNTA([2]quests!$A:$A),MATCH(C$1,[2]quests!$1:$1,0)-MATCH($B$1,[2]quests!$1:$1,0)+1),MATCH(C$1,[2]quests!$1:$1,0)-MATCH($B$1,[2]quests!$1:$1,0)+1,FALSE)</f>
        <v>春呼ぶキミの行方</v>
      </c>
      <c r="D53" s="79" t="str">
        <f ca="1">VLOOKUP($B53,OFFSET([2]quests!$A$1,0,0,COUNTA([2]quests!$A:$A),MATCH(D$1,[2]quests!$1:$1,0)-MATCH($B$1,[2]quests!$1:$1,0)+1),MATCH(D$1,[2]quests!$1:$1,0)-MATCH($B$1,[2]quests!$1:$1,0)+1,FALSE)</f>
        <v>季節イベント</v>
      </c>
      <c r="E53" s="82" t="s">
        <v>214</v>
      </c>
      <c r="F53" s="79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79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1">
        <v>0</v>
      </c>
      <c r="I53">
        <v>30</v>
      </c>
      <c r="J53" s="80" t="s">
        <v>198</v>
      </c>
      <c r="K53" s="88" t="str">
        <f>VLOOKUP(I53,[6]stage_hints!$A:$C,3,FALSE)</f>
        <v>「バグ」の増やし方</v>
      </c>
      <c r="L53" s="89" t="str">
        <f>VLOOKUP(I53,[6]stage_hints!$A:$D,4,FALSE)</f>
        <v>同じユニット同士を強化で合成すると_x000D_「バグ」を増やすことができます</v>
      </c>
      <c r="M53" s="54" t="s">
        <v>210</v>
      </c>
    </row>
    <row r="54" spans="1:13" x14ac:dyDescent="0.15">
      <c r="A54" s="77" t="s">
        <v>200</v>
      </c>
      <c r="B54" s="78">
        <f>floors!$C$2</f>
        <v>47012</v>
      </c>
      <c r="C54" s="79" t="str">
        <f ca="1">VLOOKUP($B54,OFFSET([2]quests!$A$1,0,0,COUNTA([2]quests!$A:$A),MATCH(C$1,[2]quests!$1:$1,0)-MATCH($B$1,[2]quests!$1:$1,0)+1),MATCH(C$1,[2]quests!$1:$1,0)-MATCH($B$1,[2]quests!$1:$1,0)+1,FALSE)</f>
        <v>春呼ぶキミの行方</v>
      </c>
      <c r="D54" s="79" t="str">
        <f ca="1">VLOOKUP($B54,OFFSET([2]quests!$A$1,0,0,COUNTA([2]quests!$A:$A),MATCH(D$1,[2]quests!$1:$1,0)-MATCH($B$1,[2]quests!$1:$1,0)+1),MATCH(D$1,[2]quests!$1:$1,0)-MATCH($B$1,[2]quests!$1:$1,0)+1,FALSE)</f>
        <v>季節イベント</v>
      </c>
      <c r="E54" s="82" t="s">
        <v>214</v>
      </c>
      <c r="F54" s="79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79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1">
        <v>0</v>
      </c>
      <c r="I54">
        <v>31</v>
      </c>
      <c r="J54" s="80" t="s">
        <v>198</v>
      </c>
      <c r="K54" s="88" t="str">
        <f>VLOOKUP(I54,[6]stage_hints!$A:$C,3,FALSE)</f>
        <v>イベントはお知らせでチェック</v>
      </c>
      <c r="L54" s="89" t="str">
        <f>VLOOKUP(I54,[6]stage_hints!$A:$D,4,FALSE)</f>
        <v>イベント限定ユニットを取り忘れないように_x000D_お知らせをこまめにチェックしましょう</v>
      </c>
      <c r="M54" s="54" t="s">
        <v>210</v>
      </c>
    </row>
    <row r="55" spans="1:13" x14ac:dyDescent="0.15">
      <c r="A55" s="77" t="s">
        <v>200</v>
      </c>
      <c r="B55" s="78">
        <f>floors!$C$2</f>
        <v>47012</v>
      </c>
      <c r="C55" s="79" t="str">
        <f ca="1">VLOOKUP($B55,OFFSET([2]quests!$A$1,0,0,COUNTA([2]quests!$A:$A),MATCH(C$1,[2]quests!$1:$1,0)-MATCH($B$1,[2]quests!$1:$1,0)+1),MATCH(C$1,[2]quests!$1:$1,0)-MATCH($B$1,[2]quests!$1:$1,0)+1,FALSE)</f>
        <v>春呼ぶキミの行方</v>
      </c>
      <c r="D55" s="79" t="str">
        <f ca="1">VLOOKUP($B55,OFFSET([2]quests!$A$1,0,0,COUNTA([2]quests!$A:$A),MATCH(D$1,[2]quests!$1:$1,0)-MATCH($B$1,[2]quests!$1:$1,0)+1),MATCH(D$1,[2]quests!$1:$1,0)-MATCH($B$1,[2]quests!$1:$1,0)+1,FALSE)</f>
        <v>季節イベント</v>
      </c>
      <c r="E55" s="82" t="s">
        <v>214</v>
      </c>
      <c r="F55" s="79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79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1">
        <v>0</v>
      </c>
      <c r="I55">
        <v>32</v>
      </c>
      <c r="J55" s="80" t="s">
        <v>198</v>
      </c>
      <c r="K55" s="88" t="str">
        <f>VLOOKUP(I55,[6]stage_hints!$A:$C,3,FALSE)</f>
        <v>敵の連続攻撃には</v>
      </c>
      <c r="L55" s="89" t="str">
        <f>VLOOKUP(I55,[6]stage_hints!$A:$D,4,FALSE)</f>
        <v>カウンタースキルを持つユニットがいれば_x000D_ダメージ回数分の反撃ができます</v>
      </c>
      <c r="M55" s="54" t="s">
        <v>210</v>
      </c>
    </row>
    <row r="56" spans="1:13" x14ac:dyDescent="0.15">
      <c r="A56" s="77" t="s">
        <v>200</v>
      </c>
      <c r="B56" s="78">
        <f>floors!$C$2</f>
        <v>47012</v>
      </c>
      <c r="C56" s="79" t="str">
        <f ca="1">VLOOKUP($B56,OFFSET([2]quests!$A$1,0,0,COUNTA([2]quests!$A:$A),MATCH(C$1,[2]quests!$1:$1,0)-MATCH($B$1,[2]quests!$1:$1,0)+1),MATCH(C$1,[2]quests!$1:$1,0)-MATCH($B$1,[2]quests!$1:$1,0)+1,FALSE)</f>
        <v>春呼ぶキミの行方</v>
      </c>
      <c r="D56" s="79" t="str">
        <f ca="1">VLOOKUP($B56,OFFSET([2]quests!$A$1,0,0,COUNTA([2]quests!$A:$A),MATCH(D$1,[2]quests!$1:$1,0)-MATCH($B$1,[2]quests!$1:$1,0)+1),MATCH(D$1,[2]quests!$1:$1,0)-MATCH($B$1,[2]quests!$1:$1,0)+1,FALSE)</f>
        <v>季節イベント</v>
      </c>
      <c r="E56" s="82" t="s">
        <v>214</v>
      </c>
      <c r="F56" s="79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79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1">
        <v>0</v>
      </c>
      <c r="I56">
        <v>33</v>
      </c>
      <c r="J56" s="80" t="s">
        <v>198</v>
      </c>
      <c r="K56" s="88" t="str">
        <f>VLOOKUP(I56,[6]stage_hints!$A:$C,3,FALSE)</f>
        <v>敵のカウンター攻撃には</v>
      </c>
      <c r="L56" s="89" t="str">
        <f>VLOOKUP(I56,[6]stage_hints!$A:$D,4,FALSE)</f>
        <v>カウンターブレイクスキルを持っていれば_x000D_敵のカウンターを解除して攻撃ができます</v>
      </c>
      <c r="M56" s="54" t="s">
        <v>210</v>
      </c>
    </row>
    <row r="57" spans="1:13" x14ac:dyDescent="0.15">
      <c r="A57" s="77" t="s">
        <v>200</v>
      </c>
      <c r="B57" s="78">
        <f>floors!$C$2</f>
        <v>47012</v>
      </c>
      <c r="C57" s="79" t="str">
        <f ca="1">VLOOKUP($B57,OFFSET([2]quests!$A$1,0,0,COUNTA([2]quests!$A:$A),MATCH(C$1,[2]quests!$1:$1,0)-MATCH($B$1,[2]quests!$1:$1,0)+1),MATCH(C$1,[2]quests!$1:$1,0)-MATCH($B$1,[2]quests!$1:$1,0)+1,FALSE)</f>
        <v>春呼ぶキミの行方</v>
      </c>
      <c r="D57" s="79" t="str">
        <f ca="1">VLOOKUP($B57,OFFSET([2]quests!$A$1,0,0,COUNTA([2]quests!$A:$A),MATCH(D$1,[2]quests!$1:$1,0)-MATCH($B$1,[2]quests!$1:$1,0)+1),MATCH(D$1,[2]quests!$1:$1,0)-MATCH($B$1,[2]quests!$1:$1,0)+1,FALSE)</f>
        <v>季節イベント</v>
      </c>
      <c r="E57" s="82" t="s">
        <v>214</v>
      </c>
      <c r="F57" s="79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79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1">
        <v>0</v>
      </c>
      <c r="I57">
        <v>34</v>
      </c>
      <c r="J57" s="80" t="s">
        <v>198</v>
      </c>
      <c r="K57" s="88" t="str">
        <f>VLOOKUP(I57,[6]stage_hints!$A:$C,3,FALSE)</f>
        <v>ステータスをスキルで下げられたら</v>
      </c>
      <c r="L57" s="89" t="str">
        <f>VLOOKUP(I57,[6]stage_hints!$A:$D,4,FALSE)</f>
        <v>ステータスダウンのスキルを受けたら_x000D_ステータスアップスキルで上書きしましょう</v>
      </c>
      <c r="M57" s="54" t="s">
        <v>210</v>
      </c>
    </row>
    <row r="58" spans="1:13" x14ac:dyDescent="0.15">
      <c r="A58" s="77" t="s">
        <v>200</v>
      </c>
      <c r="B58" s="78">
        <f>floors!$C$2</f>
        <v>47012</v>
      </c>
      <c r="C58" s="79" t="str">
        <f ca="1">VLOOKUP($B58,OFFSET([2]quests!$A$1,0,0,COUNTA([2]quests!$A:$A),MATCH(C$1,[2]quests!$1:$1,0)-MATCH($B$1,[2]quests!$1:$1,0)+1),MATCH(C$1,[2]quests!$1:$1,0)-MATCH($B$1,[2]quests!$1:$1,0)+1,FALSE)</f>
        <v>春呼ぶキミの行方</v>
      </c>
      <c r="D58" s="79" t="str">
        <f ca="1">VLOOKUP($B58,OFFSET([2]quests!$A$1,0,0,COUNTA([2]quests!$A:$A),MATCH(D$1,[2]quests!$1:$1,0)-MATCH($B$1,[2]quests!$1:$1,0)+1),MATCH(D$1,[2]quests!$1:$1,0)-MATCH($B$1,[2]quests!$1:$1,0)+1,FALSE)</f>
        <v>季節イベント</v>
      </c>
      <c r="E58" s="82" t="s">
        <v>214</v>
      </c>
      <c r="F58" s="79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79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1">
        <v>0</v>
      </c>
      <c r="I58">
        <v>35</v>
      </c>
      <c r="J58" s="80" t="s">
        <v>198</v>
      </c>
      <c r="K58" s="88" t="str">
        <f>VLOOKUP(I58,[6]stage_hints!$A:$C,3,FALSE)</f>
        <v>敵のステータスがスキルで上がったら</v>
      </c>
      <c r="L58" s="89" t="str">
        <f>VLOOKUP(I58,[6]stage_hints!$A:$D,4,FALSE)</f>
        <v>敵のステータスがスキルでアップしたときは_x000D_ステータスダウンスキルで上書きしましょう</v>
      </c>
      <c r="M58" s="54" t="s">
        <v>210</v>
      </c>
    </row>
    <row r="59" spans="1:13" x14ac:dyDescent="0.15">
      <c r="A59" s="77" t="s">
        <v>200</v>
      </c>
      <c r="B59" s="78">
        <f>floors!$C$2</f>
        <v>47012</v>
      </c>
      <c r="C59" s="79" t="str">
        <f ca="1">VLOOKUP($B59,OFFSET([2]quests!$A$1,0,0,COUNTA([2]quests!$A:$A),MATCH(C$1,[2]quests!$1:$1,0)-MATCH($B$1,[2]quests!$1:$1,0)+1),MATCH(C$1,[2]quests!$1:$1,0)-MATCH($B$1,[2]quests!$1:$1,0)+1,FALSE)</f>
        <v>春呼ぶキミの行方</v>
      </c>
      <c r="D59" s="79" t="str">
        <f ca="1">VLOOKUP($B59,OFFSET([2]quests!$A$1,0,0,COUNTA([2]quests!$A:$A),MATCH(D$1,[2]quests!$1:$1,0)-MATCH($B$1,[2]quests!$1:$1,0)+1),MATCH(D$1,[2]quests!$1:$1,0)-MATCH($B$1,[2]quests!$1:$1,0)+1,FALSE)</f>
        <v>季節イベント</v>
      </c>
      <c r="E59" s="82" t="s">
        <v>214</v>
      </c>
      <c r="F59" s="79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79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1">
        <v>0</v>
      </c>
      <c r="I59">
        <v>39</v>
      </c>
      <c r="J59" s="80" t="s">
        <v>198</v>
      </c>
      <c r="K59" s="88" t="str">
        <f>VLOOKUP(I59,[6]stage_hints!$A:$C,3,FALSE)</f>
        <v>システム適合者を確認</v>
      </c>
      <c r="L59" s="89" t="str">
        <f>VLOOKUP(I59,[6]stage_hints!$A:$D,4,FALSE)</f>
        <v>ALICEが 「アナタ」を呼んでいます</v>
      </c>
      <c r="M59" s="54" t="s">
        <v>210</v>
      </c>
    </row>
    <row r="60" spans="1:13" x14ac:dyDescent="0.15">
      <c r="A60" s="77" t="s">
        <v>200</v>
      </c>
      <c r="B60" s="78">
        <f>floors!$C$2</f>
        <v>47012</v>
      </c>
      <c r="C60" s="79" t="str">
        <f ca="1">VLOOKUP($B60,OFFSET([2]quests!$A$1,0,0,COUNTA([2]quests!$A:$A),MATCH(C$1,[2]quests!$1:$1,0)-MATCH($B$1,[2]quests!$1:$1,0)+1),MATCH(C$1,[2]quests!$1:$1,0)-MATCH($B$1,[2]quests!$1:$1,0)+1,FALSE)</f>
        <v>春呼ぶキミの行方</v>
      </c>
      <c r="D60" s="79" t="str">
        <f ca="1">VLOOKUP($B60,OFFSET([2]quests!$A$1,0,0,COUNTA([2]quests!$A:$A),MATCH(D$1,[2]quests!$1:$1,0)-MATCH($B$1,[2]quests!$1:$1,0)+1),MATCH(D$1,[2]quests!$1:$1,0)-MATCH($B$1,[2]quests!$1:$1,0)+1,FALSE)</f>
        <v>季節イベント</v>
      </c>
      <c r="E60" s="82" t="s">
        <v>215</v>
      </c>
      <c r="F60" s="79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79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1">
        <v>0</v>
      </c>
      <c r="I60" s="91">
        <v>3</v>
      </c>
      <c r="J60" s="80" t="s">
        <v>198</v>
      </c>
      <c r="K60" s="88" t="str">
        <f>VLOOKUP(I60,[6]stage_hints!$A:$C,3,FALSE)</f>
        <v>ターゲット</v>
      </c>
      <c r="L60" s="89" t="str">
        <f>VLOOKUP(I60,[6]stage_hints!$A:$D,4,FALSE)</f>
        <v>敵ユニットをタップすると_x000D_その敵を狙い撃ちできます</v>
      </c>
      <c r="M60" s="54" t="s">
        <v>210</v>
      </c>
    </row>
    <row r="61" spans="1:13" x14ac:dyDescent="0.15">
      <c r="A61" s="77" t="s">
        <v>200</v>
      </c>
      <c r="B61" s="78">
        <f>floors!$C$2</f>
        <v>47012</v>
      </c>
      <c r="C61" s="79" t="str">
        <f ca="1">VLOOKUP($B61,OFFSET([2]quests!$A$1,0,0,COUNTA([2]quests!$A:$A),MATCH(C$1,[2]quests!$1:$1,0)-MATCH($B$1,[2]quests!$1:$1,0)+1),MATCH(C$1,[2]quests!$1:$1,0)-MATCH($B$1,[2]quests!$1:$1,0)+1,FALSE)</f>
        <v>春呼ぶキミの行方</v>
      </c>
      <c r="D61" s="79" t="str">
        <f ca="1">VLOOKUP($B61,OFFSET([2]quests!$A$1,0,0,COUNTA([2]quests!$A:$A),MATCH(D$1,[2]quests!$1:$1,0)-MATCH($B$1,[2]quests!$1:$1,0)+1),MATCH(D$1,[2]quests!$1:$1,0)-MATCH($B$1,[2]quests!$1:$1,0)+1,FALSE)</f>
        <v>季節イベント</v>
      </c>
      <c r="E61" s="82" t="s">
        <v>215</v>
      </c>
      <c r="F61" s="79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79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1">
        <v>0</v>
      </c>
      <c r="I61" s="91">
        <v>6</v>
      </c>
      <c r="J61" s="80" t="s">
        <v>198</v>
      </c>
      <c r="K61" s="88" t="str">
        <f>VLOOKUP(I61,[6]stage_hints!$A:$C,3,FALSE)</f>
        <v>ユニット強化の属性ボーナス</v>
      </c>
      <c r="L61" s="89" t="str">
        <f>VLOOKUP(I61,[6]stage_hints!$A:$D,4,FALSE)</f>
        <v>同属性ユニットを強化素材にすると_x000D_経験値が多くもらえます</v>
      </c>
      <c r="M61" s="54" t="s">
        <v>210</v>
      </c>
    </row>
    <row r="62" spans="1:13" x14ac:dyDescent="0.15">
      <c r="A62" s="77" t="s">
        <v>200</v>
      </c>
      <c r="B62" s="78">
        <f>floors!$C$2</f>
        <v>47012</v>
      </c>
      <c r="C62" s="79" t="str">
        <f ca="1">VLOOKUP($B62,OFFSET([2]quests!$A$1,0,0,COUNTA([2]quests!$A:$A),MATCH(C$1,[2]quests!$1:$1,0)-MATCH($B$1,[2]quests!$1:$1,0)+1),MATCH(C$1,[2]quests!$1:$1,0)-MATCH($B$1,[2]quests!$1:$1,0)+1,FALSE)</f>
        <v>春呼ぶキミの行方</v>
      </c>
      <c r="D62" s="79" t="str">
        <f ca="1">VLOOKUP($B62,OFFSET([2]quests!$A$1,0,0,COUNTA([2]quests!$A:$A),MATCH(D$1,[2]quests!$1:$1,0)-MATCH($B$1,[2]quests!$1:$1,0)+1),MATCH(D$1,[2]quests!$1:$1,0)-MATCH($B$1,[2]quests!$1:$1,0)+1,FALSE)</f>
        <v>季節イベント</v>
      </c>
      <c r="E62" s="82" t="s">
        <v>215</v>
      </c>
      <c r="F62" s="79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79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1">
        <v>0</v>
      </c>
      <c r="I62" s="91">
        <v>7</v>
      </c>
      <c r="J62" s="80" t="s">
        <v>198</v>
      </c>
      <c r="K62" s="88" t="str">
        <f>VLOOKUP(I62,[6]stage_hints!$A:$C,3,FALSE)</f>
        <v>メタルダックで経験値を獲得</v>
      </c>
      <c r="L62" s="89" t="str">
        <f>VLOOKUP(I62,[6]stage_hints!$A:$D,4,FALSE)</f>
        <v>「メタルなアヒル」を強化素材にすると_x000D_大量の経験値がもらえます</v>
      </c>
      <c r="M62" s="54" t="s">
        <v>210</v>
      </c>
    </row>
    <row r="63" spans="1:13" x14ac:dyDescent="0.15">
      <c r="A63" s="77" t="s">
        <v>200</v>
      </c>
      <c r="B63" s="78">
        <f>floors!$C$2</f>
        <v>47012</v>
      </c>
      <c r="C63" s="79" t="str">
        <f ca="1">VLOOKUP($B63,OFFSET([2]quests!$A$1,0,0,COUNTA([2]quests!$A:$A),MATCH(C$1,[2]quests!$1:$1,0)-MATCH($B$1,[2]quests!$1:$1,0)+1),MATCH(C$1,[2]quests!$1:$1,0)-MATCH($B$1,[2]quests!$1:$1,0)+1,FALSE)</f>
        <v>春呼ぶキミの行方</v>
      </c>
      <c r="D63" s="79" t="str">
        <f ca="1">VLOOKUP($B63,OFFSET([2]quests!$A$1,0,0,COUNTA([2]quests!$A:$A),MATCH(D$1,[2]quests!$1:$1,0)-MATCH($B$1,[2]quests!$1:$1,0)+1),MATCH(D$1,[2]quests!$1:$1,0)-MATCH($B$1,[2]quests!$1:$1,0)+1,FALSE)</f>
        <v>季節イベント</v>
      </c>
      <c r="E63" s="82" t="s">
        <v>215</v>
      </c>
      <c r="F63" s="79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79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1">
        <v>0</v>
      </c>
      <c r="I63" s="91">
        <v>8</v>
      </c>
      <c r="J63" s="80" t="s">
        <v>198</v>
      </c>
      <c r="K63" s="88" t="str">
        <f>VLOOKUP(I63,[6]stage_hints!$A:$C,3,FALSE)</f>
        <v>ゲリラクエストは要チェック</v>
      </c>
      <c r="L63" s="89" t="str">
        <f>VLOOKUP(I63,[6]stage_hints!$A:$D,4,FALSE)</f>
        <v>時間限定の「アヒル捕獲作戦」では_x000D_経験値素材ユニットが多く手に入ります</v>
      </c>
      <c r="M63" s="54" t="s">
        <v>210</v>
      </c>
    </row>
    <row r="64" spans="1:13" x14ac:dyDescent="0.15">
      <c r="A64" s="77" t="s">
        <v>200</v>
      </c>
      <c r="B64" s="78">
        <f>floors!$C$2</f>
        <v>47012</v>
      </c>
      <c r="C64" s="79" t="str">
        <f ca="1">VLOOKUP($B64,OFFSET([2]quests!$A$1,0,0,COUNTA([2]quests!$A:$A),MATCH(C$1,[2]quests!$1:$1,0)-MATCH($B$1,[2]quests!$1:$1,0)+1),MATCH(C$1,[2]quests!$1:$1,0)-MATCH($B$1,[2]quests!$1:$1,0)+1,FALSE)</f>
        <v>春呼ぶキミの行方</v>
      </c>
      <c r="D64" s="79" t="str">
        <f ca="1">VLOOKUP($B64,OFFSET([2]quests!$A$1,0,0,COUNTA([2]quests!$A:$A),MATCH(D$1,[2]quests!$1:$1,0)-MATCH($B$1,[2]quests!$1:$1,0)+1),MATCH(D$1,[2]quests!$1:$1,0)-MATCH($B$1,[2]quests!$1:$1,0)+1,FALSE)</f>
        <v>季節イベント</v>
      </c>
      <c r="E64" s="82" t="s">
        <v>215</v>
      </c>
      <c r="F64" s="79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79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1">
        <v>0</v>
      </c>
      <c r="I64" s="91">
        <v>9</v>
      </c>
      <c r="J64" s="80" t="s">
        <v>198</v>
      </c>
      <c r="K64" s="88" t="str">
        <f>VLOOKUP(I64,[6]stage_hints!$A:$C,3,FALSE)</f>
        <v>ゴールドダックでビットを獲得</v>
      </c>
      <c r="L64" s="89" t="str">
        <f>VLOOKUP(I64,[6]stage_hints!$A:$D,4,FALSE)</f>
        <v>「ゴールドなアヒル」を売却すると_x000D_大量のビットがもらえます</v>
      </c>
      <c r="M64" s="54" t="s">
        <v>210</v>
      </c>
    </row>
    <row r="65" spans="1:13" x14ac:dyDescent="0.15">
      <c r="A65" s="77" t="s">
        <v>200</v>
      </c>
      <c r="B65" s="78">
        <f>floors!$C$2</f>
        <v>47012</v>
      </c>
      <c r="C65" s="79" t="str">
        <f ca="1">VLOOKUP($B65,OFFSET([2]quests!$A$1,0,0,COUNTA([2]quests!$A:$A),MATCH(C$1,[2]quests!$1:$1,0)-MATCH($B$1,[2]quests!$1:$1,0)+1),MATCH(C$1,[2]quests!$1:$1,0)-MATCH($B$1,[2]quests!$1:$1,0)+1,FALSE)</f>
        <v>春呼ぶキミの行方</v>
      </c>
      <c r="D65" s="79" t="str">
        <f ca="1">VLOOKUP($B65,OFFSET([2]quests!$A$1,0,0,COUNTA([2]quests!$A:$A),MATCH(D$1,[2]quests!$1:$1,0)-MATCH($B$1,[2]quests!$1:$1,0)+1),MATCH(D$1,[2]quests!$1:$1,0)-MATCH($B$1,[2]quests!$1:$1,0)+1,FALSE)</f>
        <v>季節イベント</v>
      </c>
      <c r="E65" s="82" t="s">
        <v>215</v>
      </c>
      <c r="F65" s="79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79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1">
        <v>0</v>
      </c>
      <c r="I65" s="91">
        <v>10</v>
      </c>
      <c r="J65" s="80" t="s">
        <v>198</v>
      </c>
      <c r="K65" s="88" t="str">
        <f>VLOOKUP(I65,[6]stage_hints!$A:$C,3,FALSE)</f>
        <v>土日に大量のビットを獲得</v>
      </c>
      <c r="L65" s="89" t="str">
        <f>VLOOKUP(I65,[6]stage_hints!$A:$D,4,FALSE)</f>
        <v>土日限定の「ゴールドカジノ」では_x000D_売却素材ユニットが多く手に入ります</v>
      </c>
      <c r="M65" s="54" t="s">
        <v>210</v>
      </c>
    </row>
    <row r="66" spans="1:13" x14ac:dyDescent="0.15">
      <c r="A66" s="77" t="s">
        <v>200</v>
      </c>
      <c r="B66" s="78">
        <f>floors!$C$2</f>
        <v>47012</v>
      </c>
      <c r="C66" s="79" t="str">
        <f ca="1">VLOOKUP($B66,OFFSET([2]quests!$A$1,0,0,COUNTA([2]quests!$A:$A),MATCH(C$1,[2]quests!$1:$1,0)-MATCH($B$1,[2]quests!$1:$1,0)+1),MATCH(C$1,[2]quests!$1:$1,0)-MATCH($B$1,[2]quests!$1:$1,0)+1,FALSE)</f>
        <v>春呼ぶキミの行方</v>
      </c>
      <c r="D66" s="79" t="str">
        <f ca="1">VLOOKUP($B66,OFFSET([2]quests!$A$1,0,0,COUNTA([2]quests!$A:$A),MATCH(D$1,[2]quests!$1:$1,0)-MATCH($B$1,[2]quests!$1:$1,0)+1),MATCH(D$1,[2]quests!$1:$1,0)-MATCH($B$1,[2]quests!$1:$1,0)+1,FALSE)</f>
        <v>季節イベント</v>
      </c>
      <c r="E66" s="82" t="s">
        <v>215</v>
      </c>
      <c r="F66" s="79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79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1">
        <v>0</v>
      </c>
      <c r="I66" s="91">
        <v>11</v>
      </c>
      <c r="J66" s="80" t="s">
        <v>198</v>
      </c>
      <c r="K66" s="88" t="str">
        <f>VLOOKUP(I66,[6]stage_hints!$A:$C,3,FALSE)</f>
        <v>ゲリラクエストは要チェック</v>
      </c>
      <c r="L66" s="89" t="str">
        <f>VLOOKUP(I66,[6]stage_hints!$A:$D,4,FALSE)</f>
        <v>時間限定の「アヒル捕獲作戦」では_x000D_経験値素材ユニットが多く手に入ります</v>
      </c>
      <c r="M66" s="54" t="s">
        <v>210</v>
      </c>
    </row>
    <row r="67" spans="1:13" x14ac:dyDescent="0.15">
      <c r="A67" s="77" t="s">
        <v>200</v>
      </c>
      <c r="B67" s="78">
        <f>floors!$C$2</f>
        <v>47012</v>
      </c>
      <c r="C67" s="79" t="str">
        <f ca="1">VLOOKUP($B67,OFFSET([2]quests!$A$1,0,0,COUNTA([2]quests!$A:$A),MATCH(C$1,[2]quests!$1:$1,0)-MATCH($B$1,[2]quests!$1:$1,0)+1),MATCH(C$1,[2]quests!$1:$1,0)-MATCH($B$1,[2]quests!$1:$1,0)+1,FALSE)</f>
        <v>春呼ぶキミの行方</v>
      </c>
      <c r="D67" s="79" t="str">
        <f ca="1">VLOOKUP($B67,OFFSET([2]quests!$A$1,0,0,COUNTA([2]quests!$A:$A),MATCH(D$1,[2]quests!$1:$1,0)-MATCH($B$1,[2]quests!$1:$1,0)+1),MATCH(D$1,[2]quests!$1:$1,0)-MATCH($B$1,[2]quests!$1:$1,0)+1,FALSE)</f>
        <v>季節イベント</v>
      </c>
      <c r="E67" s="82" t="s">
        <v>215</v>
      </c>
      <c r="F67" s="79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79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1">
        <v>0</v>
      </c>
      <c r="I67" s="91">
        <v>12</v>
      </c>
      <c r="J67" s="80" t="s">
        <v>198</v>
      </c>
      <c r="K67" s="88" t="str">
        <f>VLOOKUP(I67,[6]stage_hints!$A:$C,3,FALSE)</f>
        <v>ユニットのお気に入り登録</v>
      </c>
      <c r="L67" s="89" t="str">
        <f>VLOOKUP(I67,[6]stage_hints!$A:$D,4,FALSE)</f>
        <v>大事なユニットを誤って消さないように_x000D_フォルダから「お気に入り登録」しましょう</v>
      </c>
      <c r="M67" s="54" t="s">
        <v>210</v>
      </c>
    </row>
    <row r="68" spans="1:13" x14ac:dyDescent="0.15">
      <c r="A68" s="77" t="s">
        <v>200</v>
      </c>
      <c r="B68" s="78">
        <f>floors!$C$2</f>
        <v>47012</v>
      </c>
      <c r="C68" s="79" t="str">
        <f ca="1">VLOOKUP($B68,OFFSET([2]quests!$A$1,0,0,COUNTA([2]quests!$A:$A),MATCH(C$1,[2]quests!$1:$1,0)-MATCH($B$1,[2]quests!$1:$1,0)+1),MATCH(C$1,[2]quests!$1:$1,0)-MATCH($B$1,[2]quests!$1:$1,0)+1,FALSE)</f>
        <v>春呼ぶキミの行方</v>
      </c>
      <c r="D68" s="79" t="str">
        <f ca="1">VLOOKUP($B68,OFFSET([2]quests!$A$1,0,0,COUNTA([2]quests!$A:$A),MATCH(D$1,[2]quests!$1:$1,0)-MATCH($B$1,[2]quests!$1:$1,0)+1),MATCH(D$1,[2]quests!$1:$1,0)-MATCH($B$1,[2]quests!$1:$1,0)+1,FALSE)</f>
        <v>季節イベント</v>
      </c>
      <c r="E68" s="82" t="s">
        <v>215</v>
      </c>
      <c r="F68" s="79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79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1">
        <v>0</v>
      </c>
      <c r="I68" s="91">
        <v>13</v>
      </c>
      <c r="J68" s="80" t="s">
        <v>198</v>
      </c>
      <c r="K68" s="88" t="str">
        <f>VLOOKUP(I68,[6]stage_hints!$A:$C,3,FALSE)</f>
        <v>ユニットの覚醒</v>
      </c>
      <c r="L68" s="89" t="str">
        <f>VLOOKUP(I68,[6]stage_hints!$A:$D,4,FALSE)</f>
        <v>ユニットを覚醒させると_x000D_比べものにならない強さが手に入ります</v>
      </c>
      <c r="M68" s="54" t="s">
        <v>210</v>
      </c>
    </row>
    <row r="69" spans="1:13" x14ac:dyDescent="0.15">
      <c r="A69" s="77" t="s">
        <v>200</v>
      </c>
      <c r="B69" s="78">
        <f>floors!$C$2</f>
        <v>47012</v>
      </c>
      <c r="C69" s="79" t="str">
        <f ca="1">VLOOKUP($B69,OFFSET([2]quests!$A$1,0,0,COUNTA([2]quests!$A:$A),MATCH(C$1,[2]quests!$1:$1,0)-MATCH($B$1,[2]quests!$1:$1,0)+1),MATCH(C$1,[2]quests!$1:$1,0)-MATCH($B$1,[2]quests!$1:$1,0)+1,FALSE)</f>
        <v>春呼ぶキミの行方</v>
      </c>
      <c r="D69" s="79" t="str">
        <f ca="1">VLOOKUP($B69,OFFSET([2]quests!$A$1,0,0,COUNTA([2]quests!$A:$A),MATCH(D$1,[2]quests!$1:$1,0)-MATCH($B$1,[2]quests!$1:$1,0)+1),MATCH(D$1,[2]quests!$1:$1,0)-MATCH($B$1,[2]quests!$1:$1,0)+1,FALSE)</f>
        <v>季節イベント</v>
      </c>
      <c r="E69" s="82" t="s">
        <v>215</v>
      </c>
      <c r="F69" s="79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79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1">
        <v>0</v>
      </c>
      <c r="I69" s="91">
        <v>14</v>
      </c>
      <c r="J69" s="80" t="s">
        <v>198</v>
      </c>
      <c r="K69" s="88" t="str">
        <f>VLOOKUP(I69,[6]stage_hints!$A:$C,3,FALSE)</f>
        <v>覚醒するにはレベルを最大に</v>
      </c>
      <c r="L69" s="89" t="str">
        <f>VLOOKUP(I69,[6]stage_hints!$A:$D,4,FALSE)</f>
        <v>覚醒するにはユニットのレベルを_x000D_最大まで上げる必要があります</v>
      </c>
      <c r="M69" s="54" t="s">
        <v>210</v>
      </c>
    </row>
    <row r="70" spans="1:13" x14ac:dyDescent="0.15">
      <c r="A70" s="77" t="s">
        <v>200</v>
      </c>
      <c r="B70" s="78">
        <f>floors!$C$2</f>
        <v>47012</v>
      </c>
      <c r="C70" s="79" t="str">
        <f ca="1">VLOOKUP($B70,OFFSET([2]quests!$A$1,0,0,COUNTA([2]quests!$A:$A),MATCH(C$1,[2]quests!$1:$1,0)-MATCH($B$1,[2]quests!$1:$1,0)+1),MATCH(C$1,[2]quests!$1:$1,0)-MATCH($B$1,[2]quests!$1:$1,0)+1,FALSE)</f>
        <v>春呼ぶキミの行方</v>
      </c>
      <c r="D70" s="79" t="str">
        <f ca="1">VLOOKUP($B70,OFFSET([2]quests!$A$1,0,0,COUNTA([2]quests!$A:$A),MATCH(D$1,[2]quests!$1:$1,0)-MATCH($B$1,[2]quests!$1:$1,0)+1),MATCH(D$1,[2]quests!$1:$1,0)-MATCH($B$1,[2]quests!$1:$1,0)+1,FALSE)</f>
        <v>季節イベント</v>
      </c>
      <c r="E70" s="82" t="s">
        <v>215</v>
      </c>
      <c r="F70" s="79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79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1">
        <v>0</v>
      </c>
      <c r="I70" s="91">
        <v>15</v>
      </c>
      <c r="J70" s="80" t="s">
        <v>198</v>
      </c>
      <c r="K70" s="88" t="str">
        <f>VLOOKUP(I70,[6]stage_hints!$A:$C,3,FALSE)</f>
        <v>覚醒素材を獲得</v>
      </c>
      <c r="L70" s="89" t="str">
        <f>VLOOKUP(I70,[6]stage_hints!$A:$D,4,FALSE)</f>
        <v>「曜日クエスト」では_x000D_ユニットの覚醒に必要な素材が手に入ります</v>
      </c>
      <c r="M70" s="54" t="s">
        <v>210</v>
      </c>
    </row>
    <row r="71" spans="1:13" x14ac:dyDescent="0.15">
      <c r="A71" s="77" t="s">
        <v>200</v>
      </c>
      <c r="B71" s="78">
        <f>floors!$C$2</f>
        <v>47012</v>
      </c>
      <c r="C71" s="79" t="str">
        <f ca="1">VLOOKUP($B71,OFFSET([2]quests!$A$1,0,0,COUNTA([2]quests!$A:$A),MATCH(C$1,[2]quests!$1:$1,0)-MATCH($B$1,[2]quests!$1:$1,0)+1),MATCH(C$1,[2]quests!$1:$1,0)-MATCH($B$1,[2]quests!$1:$1,0)+1,FALSE)</f>
        <v>春呼ぶキミの行方</v>
      </c>
      <c r="D71" s="79" t="str">
        <f ca="1">VLOOKUP($B71,OFFSET([2]quests!$A$1,0,0,COUNTA([2]quests!$A:$A),MATCH(D$1,[2]quests!$1:$1,0)-MATCH($B$1,[2]quests!$1:$1,0)+1),MATCH(D$1,[2]quests!$1:$1,0)-MATCH($B$1,[2]quests!$1:$1,0)+1,FALSE)</f>
        <v>季節イベント</v>
      </c>
      <c r="E71" s="82" t="s">
        <v>215</v>
      </c>
      <c r="F71" s="79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79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1">
        <v>0</v>
      </c>
      <c r="I71" s="91">
        <v>16</v>
      </c>
      <c r="J71" s="80" t="s">
        <v>198</v>
      </c>
      <c r="K71" s="88" t="str">
        <f>VLOOKUP(I71,[6]stage_hints!$A:$C,3,FALSE)</f>
        <v>マルチプレイのメリット（その1）</v>
      </c>
      <c r="L71" s="89" t="str">
        <f>VLOOKUP(I71,[6]stage_hints!$A:$D,4,FALSE)</f>
        <v>他のプレイヤーとマルチプレイで遊ぶと_x000D_ポリゴンがもらえます（100人まで）</v>
      </c>
      <c r="M71" s="54" t="s">
        <v>210</v>
      </c>
    </row>
    <row r="72" spans="1:13" x14ac:dyDescent="0.15">
      <c r="A72" s="77" t="s">
        <v>200</v>
      </c>
      <c r="B72" s="78">
        <f>floors!$C$2</f>
        <v>47012</v>
      </c>
      <c r="C72" s="79" t="str">
        <f ca="1">VLOOKUP($B72,OFFSET([2]quests!$A$1,0,0,COUNTA([2]quests!$A:$A),MATCH(C$1,[2]quests!$1:$1,0)-MATCH($B$1,[2]quests!$1:$1,0)+1),MATCH(C$1,[2]quests!$1:$1,0)-MATCH($B$1,[2]quests!$1:$1,0)+1,FALSE)</f>
        <v>春呼ぶキミの行方</v>
      </c>
      <c r="D72" s="79" t="str">
        <f ca="1">VLOOKUP($B72,OFFSET([2]quests!$A$1,0,0,COUNTA([2]quests!$A:$A),MATCH(D$1,[2]quests!$1:$1,0)-MATCH($B$1,[2]quests!$1:$1,0)+1),MATCH(D$1,[2]quests!$1:$1,0)-MATCH($B$1,[2]quests!$1:$1,0)+1,FALSE)</f>
        <v>季節イベント</v>
      </c>
      <c r="E72" s="82" t="s">
        <v>215</v>
      </c>
      <c r="F72" s="79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79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1">
        <v>0</v>
      </c>
      <c r="I72" s="91">
        <v>17</v>
      </c>
      <c r="J72" s="80" t="s">
        <v>198</v>
      </c>
      <c r="K72" s="88" t="str">
        <f>VLOOKUP(I72,[6]stage_hints!$A:$C,3,FALSE)</f>
        <v>リンクガチャ</v>
      </c>
      <c r="L72" s="89" t="str">
        <f>VLOOKUP(I72,[6]stage_hints!$A:$D,4,FALSE)</f>
        <v>無料のリンクガチャを回して_x000D_経験値素材や売却素材を獲得しましょう</v>
      </c>
      <c r="M72" s="54" t="s">
        <v>210</v>
      </c>
    </row>
    <row r="73" spans="1:13" x14ac:dyDescent="0.15">
      <c r="A73" s="77" t="s">
        <v>200</v>
      </c>
      <c r="B73" s="78">
        <f>floors!$C$2</f>
        <v>47012</v>
      </c>
      <c r="C73" s="79" t="str">
        <f ca="1">VLOOKUP($B73,OFFSET([2]quests!$A$1,0,0,COUNTA([2]quests!$A:$A),MATCH(C$1,[2]quests!$1:$1,0)-MATCH($B$1,[2]quests!$1:$1,0)+1),MATCH(C$1,[2]quests!$1:$1,0)-MATCH($B$1,[2]quests!$1:$1,0)+1,FALSE)</f>
        <v>春呼ぶキミの行方</v>
      </c>
      <c r="D73" s="79" t="str">
        <f ca="1">VLOOKUP($B73,OFFSET([2]quests!$A$1,0,0,COUNTA([2]quests!$A:$A),MATCH(D$1,[2]quests!$1:$1,0)-MATCH($B$1,[2]quests!$1:$1,0)+1),MATCH(D$1,[2]quests!$1:$1,0)-MATCH($B$1,[2]quests!$1:$1,0)+1,FALSE)</f>
        <v>季節イベント</v>
      </c>
      <c r="E73" s="82" t="s">
        <v>215</v>
      </c>
      <c r="F73" s="79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79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1">
        <v>0</v>
      </c>
      <c r="I73" s="91">
        <v>18</v>
      </c>
      <c r="J73" s="80" t="s">
        <v>198</v>
      </c>
      <c r="K73" s="88" t="str">
        <f>VLOOKUP(I73,[6]stage_hints!$A:$C,3,FALSE)</f>
        <v>マルチプレイのメリット（その2）</v>
      </c>
      <c r="L73" s="89" t="str">
        <f>VLOOKUP(I73,[6]stage_hints!$A:$D,4,FALSE)</f>
        <v>マルチプレイならリンクが2倍もらえます_x000D_リンクガチャをたくさん回しましょう</v>
      </c>
      <c r="M73" s="54" t="s">
        <v>210</v>
      </c>
    </row>
    <row r="74" spans="1:13" x14ac:dyDescent="0.15">
      <c r="A74" s="77" t="s">
        <v>200</v>
      </c>
      <c r="B74" s="78">
        <f>floors!$C$2</f>
        <v>47012</v>
      </c>
      <c r="C74" s="79" t="str">
        <f ca="1">VLOOKUP($B74,OFFSET([2]quests!$A$1,0,0,COUNTA([2]quests!$A:$A),MATCH(C$1,[2]quests!$1:$1,0)-MATCH($B$1,[2]quests!$1:$1,0)+1),MATCH(C$1,[2]quests!$1:$1,0)-MATCH($B$1,[2]quests!$1:$1,0)+1,FALSE)</f>
        <v>春呼ぶキミの行方</v>
      </c>
      <c r="D74" s="79" t="str">
        <f ca="1">VLOOKUP($B74,OFFSET([2]quests!$A$1,0,0,COUNTA([2]quests!$A:$A),MATCH(D$1,[2]quests!$1:$1,0)-MATCH($B$1,[2]quests!$1:$1,0)+1),MATCH(D$1,[2]quests!$1:$1,0)-MATCH($B$1,[2]quests!$1:$1,0)+1,FALSE)</f>
        <v>季節イベント</v>
      </c>
      <c r="E74" s="82" t="s">
        <v>215</v>
      </c>
      <c r="F74" s="79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79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1">
        <v>0</v>
      </c>
      <c r="I74" s="91">
        <v>19</v>
      </c>
      <c r="J74" s="80" t="s">
        <v>198</v>
      </c>
      <c r="K74" s="88" t="str">
        <f>VLOOKUP(I74,[6]stage_hints!$A:$C,3,FALSE)</f>
        <v>ソロ専用タワーオブザクイーン</v>
      </c>
      <c r="L74" s="89" t="str">
        <f>VLOOKUP(I74,[6]stage_hints!$A:$D,4,FALSE)</f>
        <v>ソロ専用の「タワーオブザクイーン」は_x000D_期間限定で定期的に開催されます_x000D_ここでしか獲得できない報酬もあるようです</v>
      </c>
      <c r="M74" s="54" t="s">
        <v>210</v>
      </c>
    </row>
    <row r="75" spans="1:13" x14ac:dyDescent="0.15">
      <c r="A75" s="77" t="s">
        <v>200</v>
      </c>
      <c r="B75" s="78">
        <f>floors!$C$2</f>
        <v>47012</v>
      </c>
      <c r="C75" s="79" t="str">
        <f ca="1">VLOOKUP($B75,OFFSET([2]quests!$A$1,0,0,COUNTA([2]quests!$A:$A),MATCH(C$1,[2]quests!$1:$1,0)-MATCH($B$1,[2]quests!$1:$1,0)+1),MATCH(C$1,[2]quests!$1:$1,0)-MATCH($B$1,[2]quests!$1:$1,0)+1,FALSE)</f>
        <v>春呼ぶキミの行方</v>
      </c>
      <c r="D75" s="79" t="str">
        <f ca="1">VLOOKUP($B75,OFFSET([2]quests!$A$1,0,0,COUNTA([2]quests!$A:$A),MATCH(D$1,[2]quests!$1:$1,0)-MATCH($B$1,[2]quests!$1:$1,0)+1),MATCH(D$1,[2]quests!$1:$1,0)-MATCH($B$1,[2]quests!$1:$1,0)+1,FALSE)</f>
        <v>季節イベント</v>
      </c>
      <c r="E75" s="82" t="s">
        <v>215</v>
      </c>
      <c r="F75" s="79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79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1">
        <v>0</v>
      </c>
      <c r="I75" s="91">
        <v>20</v>
      </c>
      <c r="J75" s="80" t="s">
        <v>198</v>
      </c>
      <c r="K75" s="88" t="str">
        <f>VLOOKUP(I75,[6]stage_hints!$A:$C,3,FALSE)</f>
        <v>マルチプレイのメリット（その3）</v>
      </c>
      <c r="L75" s="89" t="str">
        <f>VLOOKUP(I75,[6]stage_hints!$A:$D,4,FALSE)</f>
        <v>マルチプレイへの参加はエナジー消費ゼロ_x000D_いつでも好きなだけ遊ぶことができます</v>
      </c>
      <c r="M75" s="54" t="s">
        <v>210</v>
      </c>
    </row>
    <row r="76" spans="1:13" x14ac:dyDescent="0.15">
      <c r="A76" s="77" t="s">
        <v>200</v>
      </c>
      <c r="B76" s="78">
        <f>floors!$C$2</f>
        <v>47012</v>
      </c>
      <c r="C76" s="79" t="str">
        <f ca="1">VLOOKUP($B76,OFFSET([2]quests!$A$1,0,0,COUNTA([2]quests!$A:$A),MATCH(C$1,[2]quests!$1:$1,0)-MATCH($B$1,[2]quests!$1:$1,0)+1),MATCH(C$1,[2]quests!$1:$1,0)-MATCH($B$1,[2]quests!$1:$1,0)+1,FALSE)</f>
        <v>春呼ぶキミの行方</v>
      </c>
      <c r="D76" s="79" t="str">
        <f ca="1">VLOOKUP($B76,OFFSET([2]quests!$A$1,0,0,COUNTA([2]quests!$A:$A),MATCH(D$1,[2]quests!$1:$1,0)-MATCH($B$1,[2]quests!$1:$1,0)+1),MATCH(D$1,[2]quests!$1:$1,0)-MATCH($B$1,[2]quests!$1:$1,0)+1,FALSE)</f>
        <v>季節イベント</v>
      </c>
      <c r="E76" s="82" t="s">
        <v>215</v>
      </c>
      <c r="F76" s="79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79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1">
        <v>0</v>
      </c>
      <c r="I76" s="91">
        <v>21</v>
      </c>
      <c r="J76" s="80" t="s">
        <v>198</v>
      </c>
      <c r="K76" s="88" t="str">
        <f>VLOOKUP(I76,[6]stage_hints!$A:$C,3,FALSE)</f>
        <v>スキルを有効に</v>
      </c>
      <c r="L76" s="89" t="str">
        <f>VLOOKUP(I76,[6]stage_hints!$A:$D,4,FALSE)</f>
        <v>ターン経過でユニットのスキルが使えます_x000D_強力スキルでバトルを有利に進めましょう</v>
      </c>
      <c r="M76" s="54" t="s">
        <v>210</v>
      </c>
    </row>
    <row r="77" spans="1:13" x14ac:dyDescent="0.15">
      <c r="A77" s="77" t="s">
        <v>200</v>
      </c>
      <c r="B77" s="78">
        <f>floors!$C$2</f>
        <v>47012</v>
      </c>
      <c r="C77" s="79" t="str">
        <f ca="1">VLOOKUP($B77,OFFSET([2]quests!$A$1,0,0,COUNTA([2]quests!$A:$A),MATCH(C$1,[2]quests!$1:$1,0)-MATCH($B$1,[2]quests!$1:$1,0)+1),MATCH(C$1,[2]quests!$1:$1,0)-MATCH($B$1,[2]quests!$1:$1,0)+1,FALSE)</f>
        <v>春呼ぶキミの行方</v>
      </c>
      <c r="D77" s="79" t="str">
        <f ca="1">VLOOKUP($B77,OFFSET([2]quests!$A$1,0,0,COUNTA([2]quests!$A:$A),MATCH(D$1,[2]quests!$1:$1,0)-MATCH($B$1,[2]quests!$1:$1,0)+1),MATCH(D$1,[2]quests!$1:$1,0)-MATCH($B$1,[2]quests!$1:$1,0)+1,FALSE)</f>
        <v>季節イベント</v>
      </c>
      <c r="E77" s="82" t="s">
        <v>215</v>
      </c>
      <c r="F77" s="79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79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1">
        <v>0</v>
      </c>
      <c r="I77" s="91">
        <v>22</v>
      </c>
      <c r="J77" s="80" t="s">
        <v>198</v>
      </c>
      <c r="K77" s="88" t="str">
        <f>VLOOKUP(I77,[6]stage_hints!$A:$C,3,FALSE)</f>
        <v>フィーバーで一発逆転（その1）</v>
      </c>
      <c r="L77" s="89" t="str">
        <f>VLOOKUP(I77,[6]stage_hints!$A:$D,4,FALSE)</f>
        <v>フィーバーは攻撃と回復を兼ね備えます_x000D_ピンチからの一発逆転を狙いましょう</v>
      </c>
      <c r="M77" s="54" t="s">
        <v>210</v>
      </c>
    </row>
    <row r="78" spans="1:13" x14ac:dyDescent="0.15">
      <c r="A78" s="77" t="s">
        <v>200</v>
      </c>
      <c r="B78" s="78">
        <f>floors!$C$2</f>
        <v>47012</v>
      </c>
      <c r="C78" s="79" t="str">
        <f ca="1">VLOOKUP($B78,OFFSET([2]quests!$A$1,0,0,COUNTA([2]quests!$A:$A),MATCH(C$1,[2]quests!$1:$1,0)-MATCH($B$1,[2]quests!$1:$1,0)+1),MATCH(C$1,[2]quests!$1:$1,0)-MATCH($B$1,[2]quests!$1:$1,0)+1,FALSE)</f>
        <v>春呼ぶキミの行方</v>
      </c>
      <c r="D78" s="79" t="str">
        <f ca="1">VLOOKUP($B78,OFFSET([2]quests!$A$1,0,0,COUNTA([2]quests!$A:$A),MATCH(D$1,[2]quests!$1:$1,0)-MATCH($B$1,[2]quests!$1:$1,0)+1),MATCH(D$1,[2]quests!$1:$1,0)-MATCH($B$1,[2]quests!$1:$1,0)+1,FALSE)</f>
        <v>季節イベント</v>
      </c>
      <c r="E78" s="82" t="s">
        <v>215</v>
      </c>
      <c r="F78" s="79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79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1">
        <v>0</v>
      </c>
      <c r="I78" s="91">
        <v>23</v>
      </c>
      <c r="J78" s="80" t="s">
        <v>198</v>
      </c>
      <c r="K78" s="88" t="str">
        <f>VLOOKUP(I78,[6]stage_hints!$A:$C,3,FALSE)</f>
        <v>フィーバーで一発逆転（その2）</v>
      </c>
      <c r="L78" s="89" t="str">
        <f>VLOOKUP(I78,[6]stage_hints!$A:$D,4,FALSE)</f>
        <v>フィーバー中は虹色のボムパネルを狙って_x000D_画面上のパネルを一気に破壊しましょう</v>
      </c>
      <c r="M78" s="54" t="s">
        <v>210</v>
      </c>
    </row>
    <row r="79" spans="1:13" x14ac:dyDescent="0.15">
      <c r="A79" s="77" t="s">
        <v>200</v>
      </c>
      <c r="B79" s="78">
        <f>floors!$C$2</f>
        <v>47012</v>
      </c>
      <c r="C79" s="79" t="str">
        <f ca="1">VLOOKUP($B79,OFFSET([2]quests!$A$1,0,0,COUNTA([2]quests!$A:$A),MATCH(C$1,[2]quests!$1:$1,0)-MATCH($B$1,[2]quests!$1:$1,0)+1),MATCH(C$1,[2]quests!$1:$1,0)-MATCH($B$1,[2]quests!$1:$1,0)+1,FALSE)</f>
        <v>春呼ぶキミの行方</v>
      </c>
      <c r="D79" s="79" t="str">
        <f ca="1">VLOOKUP($B79,OFFSET([2]quests!$A$1,0,0,COUNTA([2]quests!$A:$A),MATCH(D$1,[2]quests!$1:$1,0)-MATCH($B$1,[2]quests!$1:$1,0)+1),MATCH(D$1,[2]quests!$1:$1,0)-MATCH($B$1,[2]quests!$1:$1,0)+1,FALSE)</f>
        <v>季節イベント</v>
      </c>
      <c r="E79" s="82" t="s">
        <v>215</v>
      </c>
      <c r="F79" s="79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79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1">
        <v>0</v>
      </c>
      <c r="I79" s="91">
        <v>24</v>
      </c>
      <c r="J79" s="80" t="s">
        <v>198</v>
      </c>
      <c r="K79" s="88" t="str">
        <f>VLOOKUP(I79,[6]stage_hints!$A:$C,3,FALSE)</f>
        <v>果実を使って限界突破</v>
      </c>
      <c r="L79" s="89" t="str">
        <f>VLOOKUP(I79,[6]stage_hints!$A:$D,4,FALSE)</f>
        <v>攻めの果実 癒しの果実_x000D_生命の果実をユニット強化に使うと_x000D_ステータスが限界突破します（計99個迄）</v>
      </c>
      <c r="M79" s="54" t="s">
        <v>210</v>
      </c>
    </row>
    <row r="80" spans="1:13" x14ac:dyDescent="0.15">
      <c r="A80" s="77" t="s">
        <v>200</v>
      </c>
      <c r="B80" s="78">
        <f>floors!$C$2</f>
        <v>47012</v>
      </c>
      <c r="C80" s="79" t="str">
        <f ca="1">VLOOKUP($B80,OFFSET([2]quests!$A$1,0,0,COUNTA([2]quests!$A:$A),MATCH(C$1,[2]quests!$1:$1,0)-MATCH($B$1,[2]quests!$1:$1,0)+1),MATCH(C$1,[2]quests!$1:$1,0)-MATCH($B$1,[2]quests!$1:$1,0)+1,FALSE)</f>
        <v>春呼ぶキミの行方</v>
      </c>
      <c r="D80" s="79" t="str">
        <f ca="1">VLOOKUP($B80,OFFSET([2]quests!$A$1,0,0,COUNTA([2]quests!$A:$A),MATCH(D$1,[2]quests!$1:$1,0)-MATCH($B$1,[2]quests!$1:$1,0)+1),MATCH(D$1,[2]quests!$1:$1,0)-MATCH($B$1,[2]quests!$1:$1,0)+1,FALSE)</f>
        <v>季節イベント</v>
      </c>
      <c r="E80" s="82" t="s">
        <v>215</v>
      </c>
      <c r="F80" s="79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79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1">
        <v>0</v>
      </c>
      <c r="I80" s="91">
        <v>25</v>
      </c>
      <c r="J80" s="80" t="s">
        <v>198</v>
      </c>
      <c r="K80" s="88" t="str">
        <f>VLOOKUP(I80,[6]stage_hints!$A:$C,3,FALSE)</f>
        <v>スキルレベルアップ</v>
      </c>
      <c r="L80" s="89" t="str">
        <f>VLOOKUP(I80,[6]stage_hints!$A:$D,4,FALSE)</f>
        <v>「秘術の果実」を強化に使うと_x000D_スキルレベルを上げることができます</v>
      </c>
      <c r="M80" s="54" t="s">
        <v>210</v>
      </c>
    </row>
    <row r="81" spans="1:13" x14ac:dyDescent="0.15">
      <c r="A81" s="77" t="s">
        <v>200</v>
      </c>
      <c r="B81" s="78">
        <f>floors!$C$2</f>
        <v>47012</v>
      </c>
      <c r="C81" s="79" t="str">
        <f ca="1">VLOOKUP($B81,OFFSET([2]quests!$A$1,0,0,COUNTA([2]quests!$A:$A),MATCH(C$1,[2]quests!$1:$1,0)-MATCH($B$1,[2]quests!$1:$1,0)+1),MATCH(C$1,[2]quests!$1:$1,0)-MATCH($B$1,[2]quests!$1:$1,0)+1,FALSE)</f>
        <v>春呼ぶキミの行方</v>
      </c>
      <c r="D81" s="79" t="str">
        <f ca="1">VLOOKUP($B81,OFFSET([2]quests!$A$1,0,0,COUNTA([2]quests!$A:$A),MATCH(D$1,[2]quests!$1:$1,0)-MATCH($B$1,[2]quests!$1:$1,0)+1),MATCH(D$1,[2]quests!$1:$1,0)-MATCH($B$1,[2]quests!$1:$1,0)+1,FALSE)</f>
        <v>季節イベント</v>
      </c>
      <c r="E81" s="82" t="s">
        <v>215</v>
      </c>
      <c r="F81" s="79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79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1">
        <v>0</v>
      </c>
      <c r="I81" s="91">
        <v>26</v>
      </c>
      <c r="J81" s="80" t="s">
        <v>198</v>
      </c>
      <c r="K81" s="88" t="str">
        <f>VLOOKUP(I81,[6]stage_hints!$A:$C,3,FALSE)</f>
        <v>スキルレベルの効果</v>
      </c>
      <c r="L81" s="89" t="str">
        <f>VLOOKUP(I81,[6]stage_hints!$A:$D,4,FALSE)</f>
        <v>スキルレベルが上がると_x000D_短いターンでスキルを使うことができます</v>
      </c>
      <c r="M81" s="54" t="s">
        <v>210</v>
      </c>
    </row>
    <row r="82" spans="1:13" x14ac:dyDescent="0.15">
      <c r="A82" s="77" t="s">
        <v>200</v>
      </c>
      <c r="B82" s="78">
        <f>floors!$C$2</f>
        <v>47012</v>
      </c>
      <c r="C82" s="79" t="str">
        <f ca="1">VLOOKUP($B82,OFFSET([2]quests!$A$1,0,0,COUNTA([2]quests!$A:$A),MATCH(C$1,[2]quests!$1:$1,0)-MATCH($B$1,[2]quests!$1:$1,0)+1),MATCH(C$1,[2]quests!$1:$1,0)-MATCH($B$1,[2]quests!$1:$1,0)+1,FALSE)</f>
        <v>春呼ぶキミの行方</v>
      </c>
      <c r="D82" s="79" t="str">
        <f ca="1">VLOOKUP($B82,OFFSET([2]quests!$A$1,0,0,COUNTA([2]quests!$A:$A),MATCH(D$1,[2]quests!$1:$1,0)-MATCH($B$1,[2]quests!$1:$1,0)+1),MATCH(D$1,[2]quests!$1:$1,0)-MATCH($B$1,[2]quests!$1:$1,0)+1,FALSE)</f>
        <v>季節イベント</v>
      </c>
      <c r="E82" s="82" t="s">
        <v>215</v>
      </c>
      <c r="F82" s="79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79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1">
        <v>0</v>
      </c>
      <c r="I82" s="91">
        <v>27</v>
      </c>
      <c r="J82" s="80" t="s">
        <v>198</v>
      </c>
      <c r="K82" s="88" t="str">
        <f>VLOOKUP(I82,[6]stage_hints!$A:$C,3,FALSE)</f>
        <v>ホーム画面からデッキを編成</v>
      </c>
      <c r="L82" s="89" t="str">
        <f>VLOOKUP(I82,[6]stage_hints!$A:$D,4,FALSE)</f>
        <v>ホーム画面でユニットを長押しすると_x000D_すぐにパーティ編成に移動できます</v>
      </c>
      <c r="M82" s="54" t="s">
        <v>210</v>
      </c>
    </row>
    <row r="83" spans="1:13" x14ac:dyDescent="0.15">
      <c r="A83" s="77" t="s">
        <v>200</v>
      </c>
      <c r="B83" s="78">
        <f>floors!$C$2</f>
        <v>47012</v>
      </c>
      <c r="C83" s="79" t="str">
        <f ca="1">VLOOKUP($B83,OFFSET([2]quests!$A$1,0,0,COUNTA([2]quests!$A:$A),MATCH(C$1,[2]quests!$1:$1,0)-MATCH($B$1,[2]quests!$1:$1,0)+1),MATCH(C$1,[2]quests!$1:$1,0)-MATCH($B$1,[2]quests!$1:$1,0)+1,FALSE)</f>
        <v>春呼ぶキミの行方</v>
      </c>
      <c r="D83" s="79" t="str">
        <f ca="1">VLOOKUP($B83,OFFSET([2]quests!$A$1,0,0,COUNTA([2]quests!$A:$A),MATCH(D$1,[2]quests!$1:$1,0)-MATCH($B$1,[2]quests!$1:$1,0)+1),MATCH(D$1,[2]quests!$1:$1,0)-MATCH($B$1,[2]quests!$1:$1,0)+1,FALSE)</f>
        <v>季節イベント</v>
      </c>
      <c r="E83" s="82" t="s">
        <v>215</v>
      </c>
      <c r="F83" s="79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79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1">
        <v>0</v>
      </c>
      <c r="I83" s="91">
        <v>28</v>
      </c>
      <c r="J83" s="80" t="s">
        <v>198</v>
      </c>
      <c r="K83" s="88" t="str">
        <f>VLOOKUP(I83,[6]stage_hints!$A:$C,3,FALSE)</f>
        <v>ステータス情報は長押しで</v>
      </c>
      <c r="L83" s="89" t="str">
        <f>VLOOKUP(I83,[6]stage_hints!$A:$D,4,FALSE)</f>
        <v>ユニットのアイコンを長押しすると_x000D_ステータス情報を確認することができます</v>
      </c>
      <c r="M83" s="54" t="s">
        <v>210</v>
      </c>
    </row>
    <row r="84" spans="1:13" x14ac:dyDescent="0.15">
      <c r="A84" s="77" t="s">
        <v>200</v>
      </c>
      <c r="B84" s="78">
        <f>floors!$C$2</f>
        <v>47012</v>
      </c>
      <c r="C84" s="79" t="str">
        <f ca="1">VLOOKUP($B84,OFFSET([2]quests!$A$1,0,0,COUNTA([2]quests!$A:$A),MATCH(C$1,[2]quests!$1:$1,0)-MATCH($B$1,[2]quests!$1:$1,0)+1),MATCH(C$1,[2]quests!$1:$1,0)-MATCH($B$1,[2]quests!$1:$1,0)+1,FALSE)</f>
        <v>春呼ぶキミの行方</v>
      </c>
      <c r="D84" s="79" t="str">
        <f ca="1">VLOOKUP($B84,OFFSET([2]quests!$A$1,0,0,COUNTA([2]quests!$A:$A),MATCH(D$1,[2]quests!$1:$1,0)-MATCH($B$1,[2]quests!$1:$1,0)+1),MATCH(D$1,[2]quests!$1:$1,0)-MATCH($B$1,[2]quests!$1:$1,0)+1,FALSE)</f>
        <v>季節イベント</v>
      </c>
      <c r="E84" s="82" t="s">
        <v>215</v>
      </c>
      <c r="F84" s="79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79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1">
        <v>0</v>
      </c>
      <c r="I84" s="91">
        <v>29</v>
      </c>
      <c r="J84" s="80" t="s">
        <v>198</v>
      </c>
      <c r="K84" s="88" t="str">
        <f>VLOOKUP(I84,[6]stage_hints!$A:$C,3,FALSE)</f>
        <v>「バグ」のメリット</v>
      </c>
      <c r="L84" s="89" t="str">
        <f>VLOOKUP(I84,[6]stage_hints!$A:$D,4,FALSE)</f>
        <v>ユニットの「バグ」を増やすと_x000D_報酬をもらえる確率がアップします</v>
      </c>
      <c r="M84" s="54" t="s">
        <v>210</v>
      </c>
    </row>
    <row r="85" spans="1:13" x14ac:dyDescent="0.15">
      <c r="A85" s="77" t="s">
        <v>200</v>
      </c>
      <c r="B85" s="78">
        <f>floors!$C$2</f>
        <v>47012</v>
      </c>
      <c r="C85" s="79" t="str">
        <f ca="1">VLOOKUP($B85,OFFSET([2]quests!$A$1,0,0,COUNTA([2]quests!$A:$A),MATCH(C$1,[2]quests!$1:$1,0)-MATCH($B$1,[2]quests!$1:$1,0)+1),MATCH(C$1,[2]quests!$1:$1,0)-MATCH($B$1,[2]quests!$1:$1,0)+1,FALSE)</f>
        <v>春呼ぶキミの行方</v>
      </c>
      <c r="D85" s="79" t="str">
        <f ca="1">VLOOKUP($B85,OFFSET([2]quests!$A$1,0,0,COUNTA([2]quests!$A:$A),MATCH(D$1,[2]quests!$1:$1,0)-MATCH($B$1,[2]quests!$1:$1,0)+1),MATCH(D$1,[2]quests!$1:$1,0)-MATCH($B$1,[2]quests!$1:$1,0)+1,FALSE)</f>
        <v>季節イベント</v>
      </c>
      <c r="E85" s="82" t="s">
        <v>215</v>
      </c>
      <c r="F85" s="79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79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1">
        <v>0</v>
      </c>
      <c r="I85" s="91">
        <v>30</v>
      </c>
      <c r="J85" s="80" t="s">
        <v>198</v>
      </c>
      <c r="K85" s="88" t="str">
        <f>VLOOKUP(I85,[6]stage_hints!$A:$C,3,FALSE)</f>
        <v>「バグ」の増やし方</v>
      </c>
      <c r="L85" s="89" t="str">
        <f>VLOOKUP(I85,[6]stage_hints!$A:$D,4,FALSE)</f>
        <v>同じユニット同士を強化で合成すると_x000D_「バグ」を増やすことができます</v>
      </c>
      <c r="M85" s="54" t="s">
        <v>210</v>
      </c>
    </row>
    <row r="86" spans="1:13" x14ac:dyDescent="0.15">
      <c r="A86" s="77" t="s">
        <v>200</v>
      </c>
      <c r="B86" s="78">
        <f>floors!$C$2</f>
        <v>47012</v>
      </c>
      <c r="C86" s="79" t="str">
        <f ca="1">VLOOKUP($B86,OFFSET([2]quests!$A$1,0,0,COUNTA([2]quests!$A:$A),MATCH(C$1,[2]quests!$1:$1,0)-MATCH($B$1,[2]quests!$1:$1,0)+1),MATCH(C$1,[2]quests!$1:$1,0)-MATCH($B$1,[2]quests!$1:$1,0)+1,FALSE)</f>
        <v>春呼ぶキミの行方</v>
      </c>
      <c r="D86" s="79" t="str">
        <f ca="1">VLOOKUP($B86,OFFSET([2]quests!$A$1,0,0,COUNTA([2]quests!$A:$A),MATCH(D$1,[2]quests!$1:$1,0)-MATCH($B$1,[2]quests!$1:$1,0)+1),MATCH(D$1,[2]quests!$1:$1,0)-MATCH($B$1,[2]quests!$1:$1,0)+1,FALSE)</f>
        <v>季節イベント</v>
      </c>
      <c r="E86" s="82" t="s">
        <v>215</v>
      </c>
      <c r="F86" s="79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79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1">
        <v>0</v>
      </c>
      <c r="I86" s="91">
        <v>31</v>
      </c>
      <c r="J86" s="80" t="s">
        <v>198</v>
      </c>
      <c r="K86" s="88" t="str">
        <f>VLOOKUP(I86,[6]stage_hints!$A:$C,3,FALSE)</f>
        <v>イベントはお知らせでチェック</v>
      </c>
      <c r="L86" s="89" t="str">
        <f>VLOOKUP(I86,[6]stage_hints!$A:$D,4,FALSE)</f>
        <v>イベント限定ユニットを取り忘れないように_x000D_お知らせをこまめにチェックしましょう</v>
      </c>
      <c r="M86" s="54" t="s">
        <v>210</v>
      </c>
    </row>
    <row r="87" spans="1:13" x14ac:dyDescent="0.15">
      <c r="A87" s="77" t="s">
        <v>200</v>
      </c>
      <c r="B87" s="78">
        <f>floors!$C$2</f>
        <v>47012</v>
      </c>
      <c r="C87" s="79" t="str">
        <f ca="1">VLOOKUP($B87,OFFSET([2]quests!$A$1,0,0,COUNTA([2]quests!$A:$A),MATCH(C$1,[2]quests!$1:$1,0)-MATCH($B$1,[2]quests!$1:$1,0)+1),MATCH(C$1,[2]quests!$1:$1,0)-MATCH($B$1,[2]quests!$1:$1,0)+1,FALSE)</f>
        <v>春呼ぶキミの行方</v>
      </c>
      <c r="D87" s="79" t="str">
        <f ca="1">VLOOKUP($B87,OFFSET([2]quests!$A$1,0,0,COUNTA([2]quests!$A:$A),MATCH(D$1,[2]quests!$1:$1,0)-MATCH($B$1,[2]quests!$1:$1,0)+1),MATCH(D$1,[2]quests!$1:$1,0)-MATCH($B$1,[2]quests!$1:$1,0)+1,FALSE)</f>
        <v>季節イベント</v>
      </c>
      <c r="E87" s="82" t="s">
        <v>215</v>
      </c>
      <c r="F87" s="79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79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1">
        <v>0</v>
      </c>
      <c r="I87" s="91">
        <v>32</v>
      </c>
      <c r="J87" s="80" t="s">
        <v>198</v>
      </c>
      <c r="K87" s="88" t="str">
        <f>VLOOKUP(I87,[6]stage_hints!$A:$C,3,FALSE)</f>
        <v>敵の連続攻撃には</v>
      </c>
      <c r="L87" s="89" t="str">
        <f>VLOOKUP(I87,[6]stage_hints!$A:$D,4,FALSE)</f>
        <v>カウンタースキルを持つユニットがいれば_x000D_ダメージ回数分の反撃ができます</v>
      </c>
      <c r="M87" s="54" t="s">
        <v>210</v>
      </c>
    </row>
    <row r="88" spans="1:13" x14ac:dyDescent="0.15">
      <c r="A88" s="77" t="s">
        <v>200</v>
      </c>
      <c r="B88" s="78">
        <f>floors!$C$2</f>
        <v>47012</v>
      </c>
      <c r="C88" s="79" t="str">
        <f ca="1">VLOOKUP($B88,OFFSET([2]quests!$A$1,0,0,COUNTA([2]quests!$A:$A),MATCH(C$1,[2]quests!$1:$1,0)-MATCH($B$1,[2]quests!$1:$1,0)+1),MATCH(C$1,[2]quests!$1:$1,0)-MATCH($B$1,[2]quests!$1:$1,0)+1,FALSE)</f>
        <v>春呼ぶキミの行方</v>
      </c>
      <c r="D88" s="79" t="str">
        <f ca="1">VLOOKUP($B88,OFFSET([2]quests!$A$1,0,0,COUNTA([2]quests!$A:$A),MATCH(D$1,[2]quests!$1:$1,0)-MATCH($B$1,[2]quests!$1:$1,0)+1),MATCH(D$1,[2]quests!$1:$1,0)-MATCH($B$1,[2]quests!$1:$1,0)+1,FALSE)</f>
        <v>季節イベント</v>
      </c>
      <c r="E88" s="82" t="s">
        <v>215</v>
      </c>
      <c r="F88" s="79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79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1">
        <v>0</v>
      </c>
      <c r="I88" s="91">
        <v>33</v>
      </c>
      <c r="J88" s="80" t="s">
        <v>198</v>
      </c>
      <c r="K88" s="88" t="str">
        <f>VLOOKUP(I88,[6]stage_hints!$A:$C,3,FALSE)</f>
        <v>敵のカウンター攻撃には</v>
      </c>
      <c r="L88" s="89" t="str">
        <f>VLOOKUP(I88,[6]stage_hints!$A:$D,4,FALSE)</f>
        <v>カウンターブレイクスキルを持っていれば_x000D_敵のカウンターを解除して攻撃ができます</v>
      </c>
      <c r="M88" s="54" t="s">
        <v>210</v>
      </c>
    </row>
    <row r="89" spans="1:13" x14ac:dyDescent="0.15">
      <c r="A89" s="77" t="s">
        <v>200</v>
      </c>
      <c r="B89" s="78">
        <f>floors!$C$2</f>
        <v>47012</v>
      </c>
      <c r="C89" s="79" t="str">
        <f ca="1">VLOOKUP($B89,OFFSET([2]quests!$A$1,0,0,COUNTA([2]quests!$A:$A),MATCH(C$1,[2]quests!$1:$1,0)-MATCH($B$1,[2]quests!$1:$1,0)+1),MATCH(C$1,[2]quests!$1:$1,0)-MATCH($B$1,[2]quests!$1:$1,0)+1,FALSE)</f>
        <v>春呼ぶキミの行方</v>
      </c>
      <c r="D89" s="79" t="str">
        <f ca="1">VLOOKUP($B89,OFFSET([2]quests!$A$1,0,0,COUNTA([2]quests!$A:$A),MATCH(D$1,[2]quests!$1:$1,0)-MATCH($B$1,[2]quests!$1:$1,0)+1),MATCH(D$1,[2]quests!$1:$1,0)-MATCH($B$1,[2]quests!$1:$1,0)+1,FALSE)</f>
        <v>季節イベント</v>
      </c>
      <c r="E89" s="82" t="s">
        <v>215</v>
      </c>
      <c r="F89" s="79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79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1">
        <v>0</v>
      </c>
      <c r="I89" s="91">
        <v>34</v>
      </c>
      <c r="J89" s="80" t="s">
        <v>198</v>
      </c>
      <c r="K89" s="88" t="str">
        <f>VLOOKUP(I89,[6]stage_hints!$A:$C,3,FALSE)</f>
        <v>ステータスをスキルで下げられたら</v>
      </c>
      <c r="L89" s="89" t="str">
        <f>VLOOKUP(I89,[6]stage_hints!$A:$D,4,FALSE)</f>
        <v>ステータスダウンのスキルを受けたら_x000D_ステータスアップスキルで上書きしましょう</v>
      </c>
      <c r="M89" s="54" t="s">
        <v>210</v>
      </c>
    </row>
    <row r="90" spans="1:13" x14ac:dyDescent="0.15">
      <c r="A90" s="77" t="s">
        <v>200</v>
      </c>
      <c r="B90" s="78">
        <f>floors!$C$2</f>
        <v>47012</v>
      </c>
      <c r="C90" s="79" t="str">
        <f ca="1">VLOOKUP($B90,OFFSET([2]quests!$A$1,0,0,COUNTA([2]quests!$A:$A),MATCH(C$1,[2]quests!$1:$1,0)-MATCH($B$1,[2]quests!$1:$1,0)+1),MATCH(C$1,[2]quests!$1:$1,0)-MATCH($B$1,[2]quests!$1:$1,0)+1,FALSE)</f>
        <v>春呼ぶキミの行方</v>
      </c>
      <c r="D90" s="79" t="str">
        <f ca="1">VLOOKUP($B90,OFFSET([2]quests!$A$1,0,0,COUNTA([2]quests!$A:$A),MATCH(D$1,[2]quests!$1:$1,0)-MATCH($B$1,[2]quests!$1:$1,0)+1),MATCH(D$1,[2]quests!$1:$1,0)-MATCH($B$1,[2]quests!$1:$1,0)+1,FALSE)</f>
        <v>季節イベント</v>
      </c>
      <c r="E90" s="82" t="s">
        <v>215</v>
      </c>
      <c r="F90" s="79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79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1">
        <v>0</v>
      </c>
      <c r="I90" s="91">
        <v>35</v>
      </c>
      <c r="J90" s="80" t="s">
        <v>198</v>
      </c>
      <c r="K90" s="88" t="str">
        <f>VLOOKUP(I90,[6]stage_hints!$A:$C,3,FALSE)</f>
        <v>敵のステータスがスキルで上がったら</v>
      </c>
      <c r="L90" s="89" t="str">
        <f>VLOOKUP(I90,[6]stage_hints!$A:$D,4,FALSE)</f>
        <v>敵のステータスがスキルでアップしたときは_x000D_ステータスダウンスキルで上書きしましょう</v>
      </c>
      <c r="M90" s="54" t="s">
        <v>210</v>
      </c>
    </row>
    <row r="91" spans="1:13" x14ac:dyDescent="0.15">
      <c r="A91" s="77" t="s">
        <v>200</v>
      </c>
      <c r="B91" s="78">
        <f>floors!$C$2</f>
        <v>47012</v>
      </c>
      <c r="C91" s="79" t="str">
        <f ca="1">VLOOKUP($B91,OFFSET([2]quests!$A$1,0,0,COUNTA([2]quests!$A:$A),MATCH(C$1,[2]quests!$1:$1,0)-MATCH($B$1,[2]quests!$1:$1,0)+1),MATCH(C$1,[2]quests!$1:$1,0)-MATCH($B$1,[2]quests!$1:$1,0)+1,FALSE)</f>
        <v>春呼ぶキミの行方</v>
      </c>
      <c r="D91" s="79" t="str">
        <f ca="1">VLOOKUP($B91,OFFSET([2]quests!$A$1,0,0,COUNTA([2]quests!$A:$A),MATCH(D$1,[2]quests!$1:$1,0)-MATCH($B$1,[2]quests!$1:$1,0)+1),MATCH(D$1,[2]quests!$1:$1,0)-MATCH($B$1,[2]quests!$1:$1,0)+1,FALSE)</f>
        <v>季節イベント</v>
      </c>
      <c r="E91" s="82" t="s">
        <v>215</v>
      </c>
      <c r="F91" s="79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79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1">
        <v>0</v>
      </c>
      <c r="I91" s="91">
        <v>36</v>
      </c>
      <c r="J91" s="80" t="s">
        <v>198</v>
      </c>
      <c r="K91" s="88" t="str">
        <f>VLOOKUP(I91,[6]stage_hints!$A:$C,3,FALSE)</f>
        <v>タワーオブザクイーンのボス</v>
      </c>
      <c r="L91" s="89" t="str">
        <f>VLOOKUP(I91,[6]stage_hints!$A:$D,4,FALSE)</f>
        <v>「タワーオブザクイーン」最上階のボスは_x000D_15階の初回クリア報酬で獲得できるほか_x000D_その階にて低確率でドロップもします</v>
      </c>
      <c r="M91" s="54" t="s">
        <v>210</v>
      </c>
    </row>
    <row r="92" spans="1:13" x14ac:dyDescent="0.15">
      <c r="A92" s="77" t="s">
        <v>200</v>
      </c>
      <c r="B92" s="78">
        <f>floors!$C$2</f>
        <v>47012</v>
      </c>
      <c r="C92" s="79" t="str">
        <f ca="1">VLOOKUP($B92,OFFSET([2]quests!$A$1,0,0,COUNTA([2]quests!$A:$A),MATCH(C$1,[2]quests!$1:$1,0)-MATCH($B$1,[2]quests!$1:$1,0)+1),MATCH(C$1,[2]quests!$1:$1,0)-MATCH($B$1,[2]quests!$1:$1,0)+1,FALSE)</f>
        <v>春呼ぶキミの行方</v>
      </c>
      <c r="D92" s="79" t="str">
        <f ca="1">VLOOKUP($B92,OFFSET([2]quests!$A$1,0,0,COUNTA([2]quests!$A:$A),MATCH(D$1,[2]quests!$1:$1,0)-MATCH($B$1,[2]quests!$1:$1,0)+1),MATCH(D$1,[2]quests!$1:$1,0)-MATCH($B$1,[2]quests!$1:$1,0)+1,FALSE)</f>
        <v>季節イベント</v>
      </c>
      <c r="E92" s="82" t="s">
        <v>215</v>
      </c>
      <c r="F92" s="79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79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1">
        <v>0</v>
      </c>
      <c r="I92" s="91">
        <v>37</v>
      </c>
      <c r="J92" s="80" t="s">
        <v>198</v>
      </c>
      <c r="K92" s="88" t="str">
        <f>VLOOKUP(I92,[6]stage_hints!$A:$C,3,FALSE)</f>
        <v>限界突破値の引き継ぎ</v>
      </c>
      <c r="L92" s="89" t="str">
        <f>VLOOKUP(I92,[6]stage_hints!$A:$D,4,FALSE)</f>
        <v>同じユニットを強化で合成すると_x000D_限界突破値を引き継げます（覚醒前後も可）</v>
      </c>
      <c r="M92" s="54" t="s">
        <v>210</v>
      </c>
    </row>
    <row r="93" spans="1:13" x14ac:dyDescent="0.15">
      <c r="A93" s="77" t="s">
        <v>200</v>
      </c>
      <c r="B93" s="78">
        <f>floors!$C$2</f>
        <v>47012</v>
      </c>
      <c r="C93" s="79" t="str">
        <f ca="1">VLOOKUP($B93,OFFSET([2]quests!$A$1,0,0,COUNTA([2]quests!$A:$A),MATCH(C$1,[2]quests!$1:$1,0)-MATCH($B$1,[2]quests!$1:$1,0)+1),MATCH(C$1,[2]quests!$1:$1,0)-MATCH($B$1,[2]quests!$1:$1,0)+1,FALSE)</f>
        <v>春呼ぶキミの行方</v>
      </c>
      <c r="D93" s="79" t="str">
        <f ca="1">VLOOKUP($B93,OFFSET([2]quests!$A$1,0,0,COUNTA([2]quests!$A:$A),MATCH(D$1,[2]quests!$1:$1,0)-MATCH($B$1,[2]quests!$1:$1,0)+1),MATCH(D$1,[2]quests!$1:$1,0)-MATCH($B$1,[2]quests!$1:$1,0)+1,FALSE)</f>
        <v>季節イベント</v>
      </c>
      <c r="E93" s="82" t="s">
        <v>215</v>
      </c>
      <c r="F93" s="79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79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1">
        <v>0</v>
      </c>
      <c r="I93" s="91">
        <v>39</v>
      </c>
      <c r="J93" s="80" t="s">
        <v>198</v>
      </c>
      <c r="K93" s="88" t="str">
        <f>VLOOKUP(I93,[6]stage_hints!$A:$C,3,FALSE)</f>
        <v>システム適合者を確認</v>
      </c>
      <c r="L93" s="89" t="str">
        <f>VLOOKUP(I93,[6]stage_hints!$A:$D,4,FALSE)</f>
        <v>ALICEが 「アナタ」を呼んでいます</v>
      </c>
      <c r="M93" s="54" t="s">
        <v>210</v>
      </c>
    </row>
    <row r="94" spans="1:13" x14ac:dyDescent="0.15">
      <c r="A94" s="77" t="s">
        <v>200</v>
      </c>
      <c r="B94" s="78">
        <f>floors!$C$2</f>
        <v>47012</v>
      </c>
      <c r="C94" s="79" t="str">
        <f ca="1">VLOOKUP($B94,OFFSET([2]quests!$A$1,0,0,COUNTA([2]quests!$A:$A),MATCH(C$1,[2]quests!$1:$1,0)-MATCH($B$1,[2]quests!$1:$1,0)+1),MATCH(C$1,[2]quests!$1:$1,0)-MATCH($B$1,[2]quests!$1:$1,0)+1,FALSE)</f>
        <v>春呼ぶキミの行方</v>
      </c>
      <c r="D94" s="79" t="str">
        <f ca="1">VLOOKUP($B94,OFFSET([2]quests!$A$1,0,0,COUNTA([2]quests!$A:$A),MATCH(D$1,[2]quests!$1:$1,0)-MATCH($B$1,[2]quests!$1:$1,0)+1),MATCH(D$1,[2]quests!$1:$1,0)-MATCH($B$1,[2]quests!$1:$1,0)+1,FALSE)</f>
        <v>季節イベント</v>
      </c>
      <c r="E94" s="82" t="s">
        <v>216</v>
      </c>
      <c r="F94" s="79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79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1">
        <v>0</v>
      </c>
      <c r="I94">
        <v>12</v>
      </c>
      <c r="J94" s="80" t="s">
        <v>198</v>
      </c>
      <c r="K94" s="88" t="str">
        <f>VLOOKUP(I94,[6]stage_hints!$A:$C,3,FALSE)</f>
        <v>ユニットのお気に入り登録</v>
      </c>
      <c r="L94" s="89" t="str">
        <f>VLOOKUP(I94,[6]stage_hints!$A:$D,4,FALSE)</f>
        <v>大事なユニットを誤って消さないように_x000D_フォルダから「お気に入り登録」しましょう</v>
      </c>
      <c r="M94" s="54" t="s">
        <v>210</v>
      </c>
    </row>
    <row r="95" spans="1:13" x14ac:dyDescent="0.15">
      <c r="A95" s="77" t="s">
        <v>200</v>
      </c>
      <c r="B95" s="78">
        <f>floors!$C$2</f>
        <v>47012</v>
      </c>
      <c r="C95" s="79" t="str">
        <f ca="1">VLOOKUP($B95,OFFSET([2]quests!$A$1,0,0,COUNTA([2]quests!$A:$A),MATCH(C$1,[2]quests!$1:$1,0)-MATCH($B$1,[2]quests!$1:$1,0)+1),MATCH(C$1,[2]quests!$1:$1,0)-MATCH($B$1,[2]quests!$1:$1,0)+1,FALSE)</f>
        <v>春呼ぶキミの行方</v>
      </c>
      <c r="D95" s="79" t="str">
        <f ca="1">VLOOKUP($B95,OFFSET([2]quests!$A$1,0,0,COUNTA([2]quests!$A:$A),MATCH(D$1,[2]quests!$1:$1,0)-MATCH($B$1,[2]quests!$1:$1,0)+1),MATCH(D$1,[2]quests!$1:$1,0)-MATCH($B$1,[2]quests!$1:$1,0)+1,FALSE)</f>
        <v>季節イベント</v>
      </c>
      <c r="E95" s="82" t="s">
        <v>216</v>
      </c>
      <c r="F95" s="79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79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1">
        <v>0</v>
      </c>
      <c r="I95">
        <v>17</v>
      </c>
      <c r="J95" s="80" t="s">
        <v>198</v>
      </c>
      <c r="K95" s="88" t="str">
        <f>VLOOKUP(I95,[6]stage_hints!$A:$C,3,FALSE)</f>
        <v>リンクガチャ</v>
      </c>
      <c r="L95" s="89" t="str">
        <f>VLOOKUP(I95,[6]stage_hints!$A:$D,4,FALSE)</f>
        <v>無料のリンクガチャを回して_x000D_経験値素材や売却素材を獲得しましょう</v>
      </c>
      <c r="M95" s="54" t="s">
        <v>210</v>
      </c>
    </row>
    <row r="96" spans="1:13" x14ac:dyDescent="0.15">
      <c r="A96" s="77" t="s">
        <v>200</v>
      </c>
      <c r="B96" s="78">
        <f>floors!$C$2</f>
        <v>47012</v>
      </c>
      <c r="C96" s="79" t="str">
        <f ca="1">VLOOKUP($B96,OFFSET([2]quests!$A$1,0,0,COUNTA([2]quests!$A:$A),MATCH(C$1,[2]quests!$1:$1,0)-MATCH($B$1,[2]quests!$1:$1,0)+1),MATCH(C$1,[2]quests!$1:$1,0)-MATCH($B$1,[2]quests!$1:$1,0)+1,FALSE)</f>
        <v>春呼ぶキミの行方</v>
      </c>
      <c r="D96" s="79" t="str">
        <f ca="1">VLOOKUP($B96,OFFSET([2]quests!$A$1,0,0,COUNTA([2]quests!$A:$A),MATCH(D$1,[2]quests!$1:$1,0)-MATCH($B$1,[2]quests!$1:$1,0)+1),MATCH(D$1,[2]quests!$1:$1,0)-MATCH($B$1,[2]quests!$1:$1,0)+1,FALSE)</f>
        <v>季節イベント</v>
      </c>
      <c r="E96" s="82" t="s">
        <v>216</v>
      </c>
      <c r="F96" s="79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79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1">
        <v>0</v>
      </c>
      <c r="I96">
        <v>19</v>
      </c>
      <c r="J96" s="80" t="s">
        <v>198</v>
      </c>
      <c r="K96" s="88" t="str">
        <f>VLOOKUP(I96,[6]stage_hints!$A:$C,3,FALSE)</f>
        <v>ソロ専用タワーオブザクイーン</v>
      </c>
      <c r="L96" s="89" t="str">
        <f>VLOOKUP(I96,[6]stage_hints!$A:$D,4,FALSE)</f>
        <v>ソロ専用の「タワーオブザクイーン」は_x000D_期間限定で定期的に開催されます_x000D_ここでしか獲得できない報酬もあるようです</v>
      </c>
      <c r="M96" s="54" t="s">
        <v>210</v>
      </c>
    </row>
    <row r="97" spans="1:13" x14ac:dyDescent="0.15">
      <c r="A97" s="77" t="s">
        <v>200</v>
      </c>
      <c r="B97" s="78">
        <f>floors!$C$2</f>
        <v>47012</v>
      </c>
      <c r="C97" s="79" t="str">
        <f ca="1">VLOOKUP($B97,OFFSET([2]quests!$A$1,0,0,COUNTA([2]quests!$A:$A),MATCH(C$1,[2]quests!$1:$1,0)-MATCH($B$1,[2]quests!$1:$1,0)+1),MATCH(C$1,[2]quests!$1:$1,0)-MATCH($B$1,[2]quests!$1:$1,0)+1,FALSE)</f>
        <v>春呼ぶキミの行方</v>
      </c>
      <c r="D97" s="79" t="str">
        <f ca="1">VLOOKUP($B97,OFFSET([2]quests!$A$1,0,0,COUNTA([2]quests!$A:$A),MATCH(D$1,[2]quests!$1:$1,0)-MATCH($B$1,[2]quests!$1:$1,0)+1),MATCH(D$1,[2]quests!$1:$1,0)-MATCH($B$1,[2]quests!$1:$1,0)+1,FALSE)</f>
        <v>季節イベント</v>
      </c>
      <c r="E97" s="82" t="s">
        <v>216</v>
      </c>
      <c r="F97" s="79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79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1">
        <v>0</v>
      </c>
      <c r="I97">
        <v>21</v>
      </c>
      <c r="J97" s="80" t="s">
        <v>198</v>
      </c>
      <c r="K97" s="88" t="str">
        <f>VLOOKUP(I97,[6]stage_hints!$A:$C,3,FALSE)</f>
        <v>スキルを有効に</v>
      </c>
      <c r="L97" s="89" t="str">
        <f>VLOOKUP(I97,[6]stage_hints!$A:$D,4,FALSE)</f>
        <v>ターン経過でユニットのスキルが使えます_x000D_強力スキルでバトルを有利に進めましょう</v>
      </c>
      <c r="M97" s="54" t="s">
        <v>210</v>
      </c>
    </row>
    <row r="98" spans="1:13" x14ac:dyDescent="0.15">
      <c r="A98" s="77" t="s">
        <v>200</v>
      </c>
      <c r="B98" s="78">
        <f>floors!$C$2</f>
        <v>47012</v>
      </c>
      <c r="C98" s="79" t="str">
        <f ca="1">VLOOKUP($B98,OFFSET([2]quests!$A$1,0,0,COUNTA([2]quests!$A:$A),MATCH(C$1,[2]quests!$1:$1,0)-MATCH($B$1,[2]quests!$1:$1,0)+1),MATCH(C$1,[2]quests!$1:$1,0)-MATCH($B$1,[2]quests!$1:$1,0)+1,FALSE)</f>
        <v>春呼ぶキミの行方</v>
      </c>
      <c r="D98" s="79" t="str">
        <f ca="1">VLOOKUP($B98,OFFSET([2]quests!$A$1,0,0,COUNTA([2]quests!$A:$A),MATCH(D$1,[2]quests!$1:$1,0)-MATCH($B$1,[2]quests!$1:$1,0)+1),MATCH(D$1,[2]quests!$1:$1,0)-MATCH($B$1,[2]quests!$1:$1,0)+1,FALSE)</f>
        <v>季節イベント</v>
      </c>
      <c r="E98" s="82" t="s">
        <v>216</v>
      </c>
      <c r="F98" s="79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79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1">
        <v>0</v>
      </c>
      <c r="I98">
        <v>27</v>
      </c>
      <c r="J98" s="80" t="s">
        <v>198</v>
      </c>
      <c r="K98" s="88" t="str">
        <f>VLOOKUP(I98,[6]stage_hints!$A:$C,3,FALSE)</f>
        <v>ホーム画面からデッキを編成</v>
      </c>
      <c r="L98" s="89" t="str">
        <f>VLOOKUP(I98,[6]stage_hints!$A:$D,4,FALSE)</f>
        <v>ホーム画面でユニットを長押しすると_x000D_すぐにパーティ編成に移動できます</v>
      </c>
      <c r="M98" s="54" t="s">
        <v>210</v>
      </c>
    </row>
    <row r="99" spans="1:13" x14ac:dyDescent="0.15">
      <c r="A99" s="77" t="s">
        <v>200</v>
      </c>
      <c r="B99" s="78">
        <f>floors!$C$2</f>
        <v>47012</v>
      </c>
      <c r="C99" s="79" t="str">
        <f ca="1">VLOOKUP($B99,OFFSET([2]quests!$A$1,0,0,COUNTA([2]quests!$A:$A),MATCH(C$1,[2]quests!$1:$1,0)-MATCH($B$1,[2]quests!$1:$1,0)+1),MATCH(C$1,[2]quests!$1:$1,0)-MATCH($B$1,[2]quests!$1:$1,0)+1,FALSE)</f>
        <v>春呼ぶキミの行方</v>
      </c>
      <c r="D99" s="79" t="str">
        <f ca="1">VLOOKUP($B99,OFFSET([2]quests!$A$1,0,0,COUNTA([2]quests!$A:$A),MATCH(D$1,[2]quests!$1:$1,0)-MATCH($B$1,[2]quests!$1:$1,0)+1),MATCH(D$1,[2]quests!$1:$1,0)-MATCH($B$1,[2]quests!$1:$1,0)+1,FALSE)</f>
        <v>季節イベント</v>
      </c>
      <c r="E99" s="82" t="s">
        <v>216</v>
      </c>
      <c r="F99" s="79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79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1">
        <v>0</v>
      </c>
      <c r="I99">
        <v>28</v>
      </c>
      <c r="J99" s="80" t="s">
        <v>198</v>
      </c>
      <c r="K99" s="88" t="str">
        <f>VLOOKUP(I99,[6]stage_hints!$A:$C,3,FALSE)</f>
        <v>ステータス情報は長押しで</v>
      </c>
      <c r="L99" s="89" t="str">
        <f>VLOOKUP(I99,[6]stage_hints!$A:$D,4,FALSE)</f>
        <v>ユニットのアイコンを長押しすると_x000D_ステータス情報を確認することができます</v>
      </c>
      <c r="M99" s="54" t="s">
        <v>210</v>
      </c>
    </row>
    <row r="100" spans="1:13" x14ac:dyDescent="0.15">
      <c r="A100" s="77" t="s">
        <v>200</v>
      </c>
      <c r="B100" s="78">
        <f>floors!$C$2</f>
        <v>47012</v>
      </c>
      <c r="C100" s="79" t="str">
        <f ca="1">VLOOKUP($B100,OFFSET([2]quests!$A$1,0,0,COUNTA([2]quests!$A:$A),MATCH(C$1,[2]quests!$1:$1,0)-MATCH($B$1,[2]quests!$1:$1,0)+1),MATCH(C$1,[2]quests!$1:$1,0)-MATCH($B$1,[2]quests!$1:$1,0)+1,FALSE)</f>
        <v>春呼ぶキミの行方</v>
      </c>
      <c r="D100" s="79" t="str">
        <f ca="1">VLOOKUP($B100,OFFSET([2]quests!$A$1,0,0,COUNTA([2]quests!$A:$A),MATCH(D$1,[2]quests!$1:$1,0)-MATCH($B$1,[2]quests!$1:$1,0)+1),MATCH(D$1,[2]quests!$1:$1,0)-MATCH($B$1,[2]quests!$1:$1,0)+1,FALSE)</f>
        <v>季節イベント</v>
      </c>
      <c r="E100" s="82" t="s">
        <v>216</v>
      </c>
      <c r="F100" s="79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79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1">
        <v>0</v>
      </c>
      <c r="I100">
        <v>29</v>
      </c>
      <c r="J100" s="80" t="s">
        <v>198</v>
      </c>
      <c r="K100" s="88" t="str">
        <f>VLOOKUP(I100,[6]stage_hints!$A:$C,3,FALSE)</f>
        <v>「バグ」のメリット</v>
      </c>
      <c r="L100" s="89" t="str">
        <f>VLOOKUP(I100,[6]stage_hints!$A:$D,4,FALSE)</f>
        <v>ユニットの「バグ」を増やすと_x000D_報酬をもらえる確率がアップします</v>
      </c>
      <c r="M100" s="54" t="s">
        <v>210</v>
      </c>
    </row>
    <row r="101" spans="1:13" x14ac:dyDescent="0.15">
      <c r="A101" s="77" t="s">
        <v>200</v>
      </c>
      <c r="B101" s="78">
        <f>floors!$C$2</f>
        <v>47012</v>
      </c>
      <c r="C101" s="79" t="str">
        <f ca="1">VLOOKUP($B101,OFFSET([2]quests!$A$1,0,0,COUNTA([2]quests!$A:$A),MATCH(C$1,[2]quests!$1:$1,0)-MATCH($B$1,[2]quests!$1:$1,0)+1),MATCH(C$1,[2]quests!$1:$1,0)-MATCH($B$1,[2]quests!$1:$1,0)+1,FALSE)</f>
        <v>春呼ぶキミの行方</v>
      </c>
      <c r="D101" s="79" t="str">
        <f ca="1">VLOOKUP($B101,OFFSET([2]quests!$A$1,0,0,COUNTA([2]quests!$A:$A),MATCH(D$1,[2]quests!$1:$1,0)-MATCH($B$1,[2]quests!$1:$1,0)+1),MATCH(D$1,[2]quests!$1:$1,0)-MATCH($B$1,[2]quests!$1:$1,0)+1,FALSE)</f>
        <v>季節イベント</v>
      </c>
      <c r="E101" s="82" t="s">
        <v>216</v>
      </c>
      <c r="F101" s="79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79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1">
        <v>0</v>
      </c>
      <c r="I101">
        <v>30</v>
      </c>
      <c r="J101" s="80" t="s">
        <v>198</v>
      </c>
      <c r="K101" s="88" t="str">
        <f>VLOOKUP(I101,[6]stage_hints!$A:$C,3,FALSE)</f>
        <v>「バグ」の増やし方</v>
      </c>
      <c r="L101" s="89" t="str">
        <f>VLOOKUP(I101,[6]stage_hints!$A:$D,4,FALSE)</f>
        <v>同じユニット同士を強化で合成すると_x000D_「バグ」を増やすことができます</v>
      </c>
      <c r="M101" s="54" t="s">
        <v>210</v>
      </c>
    </row>
    <row r="102" spans="1:13" x14ac:dyDescent="0.15">
      <c r="A102" s="77" t="s">
        <v>200</v>
      </c>
      <c r="B102" s="78">
        <f>floors!$C$2</f>
        <v>47012</v>
      </c>
      <c r="C102" s="79" t="str">
        <f ca="1">VLOOKUP($B102,OFFSET([2]quests!$A$1,0,0,COUNTA([2]quests!$A:$A),MATCH(C$1,[2]quests!$1:$1,0)-MATCH($B$1,[2]quests!$1:$1,0)+1),MATCH(C$1,[2]quests!$1:$1,0)-MATCH($B$1,[2]quests!$1:$1,0)+1,FALSE)</f>
        <v>春呼ぶキミの行方</v>
      </c>
      <c r="D102" s="79" t="str">
        <f ca="1">VLOOKUP($B102,OFFSET([2]quests!$A$1,0,0,COUNTA([2]quests!$A:$A),MATCH(D$1,[2]quests!$1:$1,0)-MATCH($B$1,[2]quests!$1:$1,0)+1),MATCH(D$1,[2]quests!$1:$1,0)-MATCH($B$1,[2]quests!$1:$1,0)+1,FALSE)</f>
        <v>季節イベント</v>
      </c>
      <c r="E102" s="82" t="s">
        <v>216</v>
      </c>
      <c r="F102" s="79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79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1">
        <v>0</v>
      </c>
      <c r="I102">
        <v>32</v>
      </c>
      <c r="J102" s="80" t="s">
        <v>198</v>
      </c>
      <c r="K102" s="88" t="str">
        <f>VLOOKUP(I102,[6]stage_hints!$A:$C,3,FALSE)</f>
        <v>敵の連続攻撃には</v>
      </c>
      <c r="L102" s="89" t="str">
        <f>VLOOKUP(I102,[6]stage_hints!$A:$D,4,FALSE)</f>
        <v>カウンタースキルを持つユニットがいれば_x000D_ダメージ回数分の反撃ができます</v>
      </c>
      <c r="M102" s="54" t="s">
        <v>210</v>
      </c>
    </row>
    <row r="103" spans="1:13" x14ac:dyDescent="0.15">
      <c r="A103" s="77" t="s">
        <v>200</v>
      </c>
      <c r="B103" s="78">
        <f>floors!$C$2</f>
        <v>47012</v>
      </c>
      <c r="C103" s="79" t="str">
        <f ca="1">VLOOKUP($B103,OFFSET([2]quests!$A$1,0,0,COUNTA([2]quests!$A:$A),MATCH(C$1,[2]quests!$1:$1,0)-MATCH($B$1,[2]quests!$1:$1,0)+1),MATCH(C$1,[2]quests!$1:$1,0)-MATCH($B$1,[2]quests!$1:$1,0)+1,FALSE)</f>
        <v>春呼ぶキミの行方</v>
      </c>
      <c r="D103" s="79" t="str">
        <f ca="1">VLOOKUP($B103,OFFSET([2]quests!$A$1,0,0,COUNTA([2]quests!$A:$A),MATCH(D$1,[2]quests!$1:$1,0)-MATCH($B$1,[2]quests!$1:$1,0)+1),MATCH(D$1,[2]quests!$1:$1,0)-MATCH($B$1,[2]quests!$1:$1,0)+1,FALSE)</f>
        <v>季節イベント</v>
      </c>
      <c r="E103" s="82" t="s">
        <v>216</v>
      </c>
      <c r="F103" s="79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79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1">
        <v>0</v>
      </c>
      <c r="I103">
        <v>33</v>
      </c>
      <c r="J103" s="80" t="s">
        <v>198</v>
      </c>
      <c r="K103" s="88" t="str">
        <f>VLOOKUP(I103,[6]stage_hints!$A:$C,3,FALSE)</f>
        <v>敵のカウンター攻撃には</v>
      </c>
      <c r="L103" s="89" t="str">
        <f>VLOOKUP(I103,[6]stage_hints!$A:$D,4,FALSE)</f>
        <v>カウンターブレイクスキルを持っていれば_x000D_敵のカウンターを解除して攻撃ができます</v>
      </c>
      <c r="M103" s="54" t="s">
        <v>210</v>
      </c>
    </row>
    <row r="104" spans="1:13" x14ac:dyDescent="0.15">
      <c r="A104" s="77" t="s">
        <v>200</v>
      </c>
      <c r="B104" s="78">
        <f>floors!$C$2</f>
        <v>47012</v>
      </c>
      <c r="C104" s="79" t="str">
        <f ca="1">VLOOKUP($B104,OFFSET([2]quests!$A$1,0,0,COUNTA([2]quests!$A:$A),MATCH(C$1,[2]quests!$1:$1,0)-MATCH($B$1,[2]quests!$1:$1,0)+1),MATCH(C$1,[2]quests!$1:$1,0)-MATCH($B$1,[2]quests!$1:$1,0)+1,FALSE)</f>
        <v>春呼ぶキミの行方</v>
      </c>
      <c r="D104" s="79" t="str">
        <f ca="1">VLOOKUP($B104,OFFSET([2]quests!$A$1,0,0,COUNTA([2]quests!$A:$A),MATCH(D$1,[2]quests!$1:$1,0)-MATCH($B$1,[2]quests!$1:$1,0)+1),MATCH(D$1,[2]quests!$1:$1,0)-MATCH($B$1,[2]quests!$1:$1,0)+1,FALSE)</f>
        <v>季節イベント</v>
      </c>
      <c r="E104" s="82" t="s">
        <v>216</v>
      </c>
      <c r="F104" s="79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79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1">
        <v>0</v>
      </c>
      <c r="I104">
        <v>34</v>
      </c>
      <c r="J104" s="80" t="s">
        <v>198</v>
      </c>
      <c r="K104" s="88" t="str">
        <f>VLOOKUP(I104,[6]stage_hints!$A:$C,3,FALSE)</f>
        <v>ステータスをスキルで下げられたら</v>
      </c>
      <c r="L104" s="89" t="str">
        <f>VLOOKUP(I104,[6]stage_hints!$A:$D,4,FALSE)</f>
        <v>ステータスダウンのスキルを受けたら_x000D_ステータスアップスキルで上書きしましょう</v>
      </c>
      <c r="M104" s="54" t="s">
        <v>210</v>
      </c>
    </row>
    <row r="105" spans="1:13" x14ac:dyDescent="0.15">
      <c r="A105" s="77" t="s">
        <v>200</v>
      </c>
      <c r="B105" s="78">
        <f>floors!$C$2</f>
        <v>47012</v>
      </c>
      <c r="C105" s="79" t="str">
        <f ca="1">VLOOKUP($B105,OFFSET([2]quests!$A$1,0,0,COUNTA([2]quests!$A:$A),MATCH(C$1,[2]quests!$1:$1,0)-MATCH($B$1,[2]quests!$1:$1,0)+1),MATCH(C$1,[2]quests!$1:$1,0)-MATCH($B$1,[2]quests!$1:$1,0)+1,FALSE)</f>
        <v>春呼ぶキミの行方</v>
      </c>
      <c r="D105" s="79" t="str">
        <f ca="1">VLOOKUP($B105,OFFSET([2]quests!$A$1,0,0,COUNTA([2]quests!$A:$A),MATCH(D$1,[2]quests!$1:$1,0)-MATCH($B$1,[2]quests!$1:$1,0)+1),MATCH(D$1,[2]quests!$1:$1,0)-MATCH($B$1,[2]quests!$1:$1,0)+1,FALSE)</f>
        <v>季節イベント</v>
      </c>
      <c r="E105" s="82" t="s">
        <v>216</v>
      </c>
      <c r="F105" s="79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79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1">
        <v>0</v>
      </c>
      <c r="I105">
        <v>35</v>
      </c>
      <c r="J105" s="80" t="s">
        <v>198</v>
      </c>
      <c r="K105" s="88" t="str">
        <f>VLOOKUP(I105,[6]stage_hints!$A:$C,3,FALSE)</f>
        <v>敵のステータスがスキルで上がったら</v>
      </c>
      <c r="L105" s="89" t="str">
        <f>VLOOKUP(I105,[6]stage_hints!$A:$D,4,FALSE)</f>
        <v>敵のステータスがスキルでアップしたときは_x000D_ステータスダウンスキルで上書きしましょう</v>
      </c>
      <c r="M105" s="54" t="s">
        <v>210</v>
      </c>
    </row>
    <row r="106" spans="1:13" x14ac:dyDescent="0.15">
      <c r="A106" s="77" t="s">
        <v>200</v>
      </c>
      <c r="B106" s="78">
        <f>floors!$C$2</f>
        <v>47012</v>
      </c>
      <c r="C106" s="79" t="str">
        <f ca="1">VLOOKUP($B106,OFFSET([2]quests!$A$1,0,0,COUNTA([2]quests!$A:$A),MATCH(C$1,[2]quests!$1:$1,0)-MATCH($B$1,[2]quests!$1:$1,0)+1),MATCH(C$1,[2]quests!$1:$1,0)-MATCH($B$1,[2]quests!$1:$1,0)+1,FALSE)</f>
        <v>春呼ぶキミの行方</v>
      </c>
      <c r="D106" s="79" t="str">
        <f ca="1">VLOOKUP($B106,OFFSET([2]quests!$A$1,0,0,COUNTA([2]quests!$A:$A),MATCH(D$1,[2]quests!$1:$1,0)-MATCH($B$1,[2]quests!$1:$1,0)+1),MATCH(D$1,[2]quests!$1:$1,0)-MATCH($B$1,[2]quests!$1:$1,0)+1,FALSE)</f>
        <v>季節イベント</v>
      </c>
      <c r="E106" s="82" t="s">
        <v>216</v>
      </c>
      <c r="F106" s="79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79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1">
        <v>0</v>
      </c>
      <c r="I106">
        <v>36</v>
      </c>
      <c r="J106" s="80" t="s">
        <v>198</v>
      </c>
      <c r="K106" s="88" t="str">
        <f>VLOOKUP(I106,[6]stage_hints!$A:$C,3,FALSE)</f>
        <v>タワーオブザクイーンのボス</v>
      </c>
      <c r="L106" s="89" t="str">
        <f>VLOOKUP(I106,[6]stage_hints!$A:$D,4,FALSE)</f>
        <v>「タワーオブザクイーン」最上階のボスは_x000D_15階の初回クリア報酬で獲得できるほか_x000D_その階にて低確率でドロップもします</v>
      </c>
      <c r="M106" s="54" t="s">
        <v>210</v>
      </c>
    </row>
    <row r="107" spans="1:13" x14ac:dyDescent="0.15">
      <c r="A107" s="77" t="s">
        <v>200</v>
      </c>
      <c r="B107" s="78">
        <f>floors!$C$2</f>
        <v>47012</v>
      </c>
      <c r="C107" s="79" t="str">
        <f ca="1">VLOOKUP($B107,OFFSET([2]quests!$A$1,0,0,COUNTA([2]quests!$A:$A),MATCH(C$1,[2]quests!$1:$1,0)-MATCH($B$1,[2]quests!$1:$1,0)+1),MATCH(C$1,[2]quests!$1:$1,0)-MATCH($B$1,[2]quests!$1:$1,0)+1,FALSE)</f>
        <v>春呼ぶキミの行方</v>
      </c>
      <c r="D107" s="79" t="str">
        <f ca="1">VLOOKUP($B107,OFFSET([2]quests!$A$1,0,0,COUNTA([2]quests!$A:$A),MATCH(D$1,[2]quests!$1:$1,0)-MATCH($B$1,[2]quests!$1:$1,0)+1),MATCH(D$1,[2]quests!$1:$1,0)-MATCH($B$1,[2]quests!$1:$1,0)+1,FALSE)</f>
        <v>季節イベント</v>
      </c>
      <c r="E107" s="82" t="s">
        <v>216</v>
      </c>
      <c r="F107" s="79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79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1">
        <v>0</v>
      </c>
      <c r="I107">
        <v>37</v>
      </c>
      <c r="J107" s="80" t="s">
        <v>198</v>
      </c>
      <c r="K107" s="88" t="str">
        <f>VLOOKUP(I107,[6]stage_hints!$A:$C,3,FALSE)</f>
        <v>限界突破値の引き継ぎ</v>
      </c>
      <c r="L107" s="89" t="str">
        <f>VLOOKUP(I107,[6]stage_hints!$A:$D,4,FALSE)</f>
        <v>同じユニットを強化で合成すると_x000D_限界突破値を引き継げます（覚醒前後も可）</v>
      </c>
      <c r="M107" s="54" t="s">
        <v>210</v>
      </c>
    </row>
    <row r="108" spans="1:13" x14ac:dyDescent="0.15">
      <c r="A108" s="77" t="s">
        <v>200</v>
      </c>
      <c r="B108" s="78">
        <f>floors!$C$2</f>
        <v>47012</v>
      </c>
      <c r="C108" s="79" t="str">
        <f ca="1">VLOOKUP($B108,OFFSET([2]quests!$A$1,0,0,COUNTA([2]quests!$A:$A),MATCH(C$1,[2]quests!$1:$1,0)-MATCH($B$1,[2]quests!$1:$1,0)+1),MATCH(C$1,[2]quests!$1:$1,0)-MATCH($B$1,[2]quests!$1:$1,0)+1,FALSE)</f>
        <v>春呼ぶキミの行方</v>
      </c>
      <c r="D108" s="79" t="str">
        <f ca="1">VLOOKUP($B108,OFFSET([2]quests!$A$1,0,0,COUNTA([2]quests!$A:$A),MATCH(D$1,[2]quests!$1:$1,0)-MATCH($B$1,[2]quests!$1:$1,0)+1),MATCH(D$1,[2]quests!$1:$1,0)-MATCH($B$1,[2]quests!$1:$1,0)+1,FALSE)</f>
        <v>季節イベント</v>
      </c>
      <c r="E108" s="82" t="s">
        <v>216</v>
      </c>
      <c r="F108" s="79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79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1">
        <v>0</v>
      </c>
      <c r="I108">
        <v>39</v>
      </c>
      <c r="J108" s="80" t="s">
        <v>198</v>
      </c>
      <c r="K108" s="88" t="str">
        <f>VLOOKUP(I108,[6]stage_hints!$A:$C,3,FALSE)</f>
        <v>システム適合者を確認</v>
      </c>
      <c r="L108" s="89" t="str">
        <f>VLOOKUP(I108,[6]stage_hints!$A:$D,4,FALSE)</f>
        <v>ALICEが 「アナタ」を呼んでいます</v>
      </c>
      <c r="M108" s="54" t="s">
        <v>210</v>
      </c>
    </row>
    <row r="109" spans="1:13" x14ac:dyDescent="0.15">
      <c r="A109" s="77" t="s">
        <v>200</v>
      </c>
      <c r="B109" s="78">
        <f>floors!$C$2</f>
        <v>47012</v>
      </c>
      <c r="C109" s="79" t="str">
        <f ca="1">VLOOKUP($B109,OFFSET([2]quests!$A$1,0,0,COUNTA([2]quests!$A:$A),MATCH(C$1,[2]quests!$1:$1,0)-MATCH($B$1,[2]quests!$1:$1,0)+1),MATCH(C$1,[2]quests!$1:$1,0)-MATCH($B$1,[2]quests!$1:$1,0)+1,FALSE)</f>
        <v>春呼ぶキミの行方</v>
      </c>
      <c r="D109" s="79" t="str">
        <f ca="1">VLOOKUP($B109,OFFSET([2]quests!$A$1,0,0,COUNTA([2]quests!$A:$A),MATCH(D$1,[2]quests!$1:$1,0)-MATCH($B$1,[2]quests!$1:$1,0)+1),MATCH(D$1,[2]quests!$1:$1,0)-MATCH($B$1,[2]quests!$1:$1,0)+1,FALSE)</f>
        <v>季節イベント</v>
      </c>
      <c r="E109" s="82" t="s">
        <v>217</v>
      </c>
      <c r="F109" s="79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79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1">
        <v>0</v>
      </c>
      <c r="I109">
        <v>12</v>
      </c>
      <c r="J109" s="80" t="s">
        <v>198</v>
      </c>
      <c r="K109" s="88" t="str">
        <f>VLOOKUP(I109,[6]stage_hints!$A:$C,3,FALSE)</f>
        <v>ユニットのお気に入り登録</v>
      </c>
      <c r="L109" s="89" t="str">
        <f>VLOOKUP(I109,[6]stage_hints!$A:$D,4,FALSE)</f>
        <v>大事なユニットを誤って消さないように_x000D_フォルダから「お気に入り登録」しましょう</v>
      </c>
      <c r="M109" s="54" t="s">
        <v>210</v>
      </c>
    </row>
    <row r="110" spans="1:13" x14ac:dyDescent="0.15">
      <c r="A110" s="77" t="s">
        <v>200</v>
      </c>
      <c r="B110" s="78">
        <f>floors!$C$2</f>
        <v>47012</v>
      </c>
      <c r="C110" s="79" t="str">
        <f ca="1">VLOOKUP($B110,OFFSET([2]quests!$A$1,0,0,COUNTA([2]quests!$A:$A),MATCH(C$1,[2]quests!$1:$1,0)-MATCH($B$1,[2]quests!$1:$1,0)+1),MATCH(C$1,[2]quests!$1:$1,0)-MATCH($B$1,[2]quests!$1:$1,0)+1,FALSE)</f>
        <v>春呼ぶキミの行方</v>
      </c>
      <c r="D110" s="79" t="str">
        <f ca="1">VLOOKUP($B110,OFFSET([2]quests!$A$1,0,0,COUNTA([2]quests!$A:$A),MATCH(D$1,[2]quests!$1:$1,0)-MATCH($B$1,[2]quests!$1:$1,0)+1),MATCH(D$1,[2]quests!$1:$1,0)-MATCH($B$1,[2]quests!$1:$1,0)+1,FALSE)</f>
        <v>季節イベント</v>
      </c>
      <c r="E110" s="82" t="s">
        <v>217</v>
      </c>
      <c r="F110" s="79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79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1">
        <v>0</v>
      </c>
      <c r="I110">
        <v>17</v>
      </c>
      <c r="J110" s="80" t="s">
        <v>198</v>
      </c>
      <c r="K110" s="88" t="str">
        <f>VLOOKUP(I110,[6]stage_hints!$A:$C,3,FALSE)</f>
        <v>リンクガチャ</v>
      </c>
      <c r="L110" s="89" t="str">
        <f>VLOOKUP(I110,[6]stage_hints!$A:$D,4,FALSE)</f>
        <v>無料のリンクガチャを回して_x000D_経験値素材や売却素材を獲得しましょう</v>
      </c>
      <c r="M110" s="54" t="s">
        <v>210</v>
      </c>
    </row>
    <row r="111" spans="1:13" x14ac:dyDescent="0.15">
      <c r="A111" s="77" t="s">
        <v>200</v>
      </c>
      <c r="B111" s="78">
        <f>floors!$C$2</f>
        <v>47012</v>
      </c>
      <c r="C111" s="79" t="str">
        <f ca="1">VLOOKUP($B111,OFFSET([2]quests!$A$1,0,0,COUNTA([2]quests!$A:$A),MATCH(C$1,[2]quests!$1:$1,0)-MATCH($B$1,[2]quests!$1:$1,0)+1),MATCH(C$1,[2]quests!$1:$1,0)-MATCH($B$1,[2]quests!$1:$1,0)+1,FALSE)</f>
        <v>春呼ぶキミの行方</v>
      </c>
      <c r="D111" s="79" t="str">
        <f ca="1">VLOOKUP($B111,OFFSET([2]quests!$A$1,0,0,COUNTA([2]quests!$A:$A),MATCH(D$1,[2]quests!$1:$1,0)-MATCH($B$1,[2]quests!$1:$1,0)+1),MATCH(D$1,[2]quests!$1:$1,0)-MATCH($B$1,[2]quests!$1:$1,0)+1,FALSE)</f>
        <v>季節イベント</v>
      </c>
      <c r="E111" s="82" t="s">
        <v>217</v>
      </c>
      <c r="F111" s="79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79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1">
        <v>0</v>
      </c>
      <c r="I111">
        <v>19</v>
      </c>
      <c r="J111" s="80" t="s">
        <v>198</v>
      </c>
      <c r="K111" s="88" t="str">
        <f>VLOOKUP(I111,[6]stage_hints!$A:$C,3,FALSE)</f>
        <v>ソロ専用タワーオブザクイーン</v>
      </c>
      <c r="L111" s="89" t="str">
        <f>VLOOKUP(I111,[6]stage_hints!$A:$D,4,FALSE)</f>
        <v>ソロ専用の「タワーオブザクイーン」は_x000D_期間限定で定期的に開催されます_x000D_ここでしか獲得できない報酬もあるようです</v>
      </c>
      <c r="M111" s="54" t="s">
        <v>210</v>
      </c>
    </row>
    <row r="112" spans="1:13" x14ac:dyDescent="0.15">
      <c r="A112" s="77" t="s">
        <v>200</v>
      </c>
      <c r="B112" s="78">
        <f>floors!$C$2</f>
        <v>47012</v>
      </c>
      <c r="C112" s="79" t="str">
        <f ca="1">VLOOKUP($B112,OFFSET([2]quests!$A$1,0,0,COUNTA([2]quests!$A:$A),MATCH(C$1,[2]quests!$1:$1,0)-MATCH($B$1,[2]quests!$1:$1,0)+1),MATCH(C$1,[2]quests!$1:$1,0)-MATCH($B$1,[2]quests!$1:$1,0)+1,FALSE)</f>
        <v>春呼ぶキミの行方</v>
      </c>
      <c r="D112" s="79" t="str">
        <f ca="1">VLOOKUP($B112,OFFSET([2]quests!$A$1,0,0,COUNTA([2]quests!$A:$A),MATCH(D$1,[2]quests!$1:$1,0)-MATCH($B$1,[2]quests!$1:$1,0)+1),MATCH(D$1,[2]quests!$1:$1,0)-MATCH($B$1,[2]quests!$1:$1,0)+1,FALSE)</f>
        <v>季節イベント</v>
      </c>
      <c r="E112" s="82" t="s">
        <v>217</v>
      </c>
      <c r="F112" s="79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79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1">
        <v>0</v>
      </c>
      <c r="I112">
        <v>21</v>
      </c>
      <c r="J112" s="80" t="s">
        <v>198</v>
      </c>
      <c r="K112" s="88" t="str">
        <f>VLOOKUP(I112,[6]stage_hints!$A:$C,3,FALSE)</f>
        <v>スキルを有効に</v>
      </c>
      <c r="L112" s="89" t="str">
        <f>VLOOKUP(I112,[6]stage_hints!$A:$D,4,FALSE)</f>
        <v>ターン経過でユニットのスキルが使えます_x000D_強力スキルでバトルを有利に進めましょう</v>
      </c>
      <c r="M112" s="54" t="s">
        <v>210</v>
      </c>
    </row>
    <row r="113" spans="1:13" x14ac:dyDescent="0.15">
      <c r="A113" s="77" t="s">
        <v>200</v>
      </c>
      <c r="B113" s="78">
        <f>floors!$C$2</f>
        <v>47012</v>
      </c>
      <c r="C113" s="79" t="str">
        <f ca="1">VLOOKUP($B113,OFFSET([2]quests!$A$1,0,0,COUNTA([2]quests!$A:$A),MATCH(C$1,[2]quests!$1:$1,0)-MATCH($B$1,[2]quests!$1:$1,0)+1),MATCH(C$1,[2]quests!$1:$1,0)-MATCH($B$1,[2]quests!$1:$1,0)+1,FALSE)</f>
        <v>春呼ぶキミの行方</v>
      </c>
      <c r="D113" s="79" t="str">
        <f ca="1">VLOOKUP($B113,OFFSET([2]quests!$A$1,0,0,COUNTA([2]quests!$A:$A),MATCH(D$1,[2]quests!$1:$1,0)-MATCH($B$1,[2]quests!$1:$1,0)+1),MATCH(D$1,[2]quests!$1:$1,0)-MATCH($B$1,[2]quests!$1:$1,0)+1,FALSE)</f>
        <v>季節イベント</v>
      </c>
      <c r="E113" s="82" t="s">
        <v>217</v>
      </c>
      <c r="F113" s="79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79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1">
        <v>0</v>
      </c>
      <c r="I113">
        <v>29</v>
      </c>
      <c r="J113" s="80" t="s">
        <v>198</v>
      </c>
      <c r="K113" s="88" t="str">
        <f>VLOOKUP(I113,[6]stage_hints!$A:$C,3,FALSE)</f>
        <v>「バグ」のメリット</v>
      </c>
      <c r="L113" s="89" t="str">
        <f>VLOOKUP(I113,[6]stage_hints!$A:$D,4,FALSE)</f>
        <v>ユニットの「バグ」を増やすと_x000D_報酬をもらえる確率がアップします</v>
      </c>
      <c r="M113" s="54" t="s">
        <v>210</v>
      </c>
    </row>
    <row r="114" spans="1:13" x14ac:dyDescent="0.15">
      <c r="A114" s="77" t="s">
        <v>200</v>
      </c>
      <c r="B114" s="78">
        <f>floors!$C$2</f>
        <v>47012</v>
      </c>
      <c r="C114" s="79" t="str">
        <f ca="1">VLOOKUP($B114,OFFSET([2]quests!$A$1,0,0,COUNTA([2]quests!$A:$A),MATCH(C$1,[2]quests!$1:$1,0)-MATCH($B$1,[2]quests!$1:$1,0)+1),MATCH(C$1,[2]quests!$1:$1,0)-MATCH($B$1,[2]quests!$1:$1,0)+1,FALSE)</f>
        <v>春呼ぶキミの行方</v>
      </c>
      <c r="D114" s="79" t="str">
        <f ca="1">VLOOKUP($B114,OFFSET([2]quests!$A$1,0,0,COUNTA([2]quests!$A:$A),MATCH(D$1,[2]quests!$1:$1,0)-MATCH($B$1,[2]quests!$1:$1,0)+1),MATCH(D$1,[2]quests!$1:$1,0)-MATCH($B$1,[2]quests!$1:$1,0)+1,FALSE)</f>
        <v>季節イベント</v>
      </c>
      <c r="E114" s="82" t="s">
        <v>217</v>
      </c>
      <c r="F114" s="79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79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1">
        <v>0</v>
      </c>
      <c r="I114">
        <v>30</v>
      </c>
      <c r="J114" s="80" t="s">
        <v>198</v>
      </c>
      <c r="K114" s="88" t="str">
        <f>VLOOKUP(I114,[6]stage_hints!$A:$C,3,FALSE)</f>
        <v>「バグ」の増やし方</v>
      </c>
      <c r="L114" s="89" t="str">
        <f>VLOOKUP(I114,[6]stage_hints!$A:$D,4,FALSE)</f>
        <v>同じユニット同士を強化で合成すると_x000D_「バグ」を増やすことができます</v>
      </c>
      <c r="M114" s="54" t="s">
        <v>210</v>
      </c>
    </row>
    <row r="115" spans="1:13" x14ac:dyDescent="0.15">
      <c r="A115" s="77" t="s">
        <v>200</v>
      </c>
      <c r="B115" s="78">
        <f>floors!$C$2</f>
        <v>47012</v>
      </c>
      <c r="C115" s="79" t="str">
        <f ca="1">VLOOKUP($B115,OFFSET([2]quests!$A$1,0,0,COUNTA([2]quests!$A:$A),MATCH(C$1,[2]quests!$1:$1,0)-MATCH($B$1,[2]quests!$1:$1,0)+1),MATCH(C$1,[2]quests!$1:$1,0)-MATCH($B$1,[2]quests!$1:$1,0)+1,FALSE)</f>
        <v>春呼ぶキミの行方</v>
      </c>
      <c r="D115" s="79" t="str">
        <f ca="1">VLOOKUP($B115,OFFSET([2]quests!$A$1,0,0,COUNTA([2]quests!$A:$A),MATCH(D$1,[2]quests!$1:$1,0)-MATCH($B$1,[2]quests!$1:$1,0)+1),MATCH(D$1,[2]quests!$1:$1,0)-MATCH($B$1,[2]quests!$1:$1,0)+1,FALSE)</f>
        <v>季節イベント</v>
      </c>
      <c r="E115" s="82" t="s">
        <v>217</v>
      </c>
      <c r="F115" s="79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79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1">
        <v>0</v>
      </c>
      <c r="I115">
        <v>32</v>
      </c>
      <c r="J115" s="80" t="s">
        <v>198</v>
      </c>
      <c r="K115" s="88" t="str">
        <f>VLOOKUP(I115,[6]stage_hints!$A:$C,3,FALSE)</f>
        <v>敵の連続攻撃には</v>
      </c>
      <c r="L115" s="89" t="str">
        <f>VLOOKUP(I115,[6]stage_hints!$A:$D,4,FALSE)</f>
        <v>カウンタースキルを持つユニットがいれば_x000D_ダメージ回数分の反撃ができます</v>
      </c>
      <c r="M115" s="54" t="s">
        <v>210</v>
      </c>
    </row>
    <row r="116" spans="1:13" x14ac:dyDescent="0.15">
      <c r="A116" s="77" t="s">
        <v>200</v>
      </c>
      <c r="B116" s="78">
        <f>floors!$C$2</f>
        <v>47012</v>
      </c>
      <c r="C116" s="79" t="str">
        <f ca="1">VLOOKUP($B116,OFFSET([2]quests!$A$1,0,0,COUNTA([2]quests!$A:$A),MATCH(C$1,[2]quests!$1:$1,0)-MATCH($B$1,[2]quests!$1:$1,0)+1),MATCH(C$1,[2]quests!$1:$1,0)-MATCH($B$1,[2]quests!$1:$1,0)+1,FALSE)</f>
        <v>春呼ぶキミの行方</v>
      </c>
      <c r="D116" s="79" t="str">
        <f ca="1">VLOOKUP($B116,OFFSET([2]quests!$A$1,0,0,COUNTA([2]quests!$A:$A),MATCH(D$1,[2]quests!$1:$1,0)-MATCH($B$1,[2]quests!$1:$1,0)+1),MATCH(D$1,[2]quests!$1:$1,0)-MATCH($B$1,[2]quests!$1:$1,0)+1,FALSE)</f>
        <v>季節イベント</v>
      </c>
      <c r="E116" s="82" t="s">
        <v>217</v>
      </c>
      <c r="F116" s="79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79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1">
        <v>0</v>
      </c>
      <c r="I116">
        <v>33</v>
      </c>
      <c r="J116" s="80" t="s">
        <v>198</v>
      </c>
      <c r="K116" s="88" t="str">
        <f>VLOOKUP(I116,[6]stage_hints!$A:$C,3,FALSE)</f>
        <v>敵のカウンター攻撃には</v>
      </c>
      <c r="L116" s="89" t="str">
        <f>VLOOKUP(I116,[6]stage_hints!$A:$D,4,FALSE)</f>
        <v>カウンターブレイクスキルを持っていれば_x000D_敵のカウンターを解除して攻撃ができます</v>
      </c>
      <c r="M116" s="54" t="s">
        <v>210</v>
      </c>
    </row>
    <row r="117" spans="1:13" x14ac:dyDescent="0.15">
      <c r="A117" s="77" t="s">
        <v>200</v>
      </c>
      <c r="B117" s="78">
        <f>floors!$C$2</f>
        <v>47012</v>
      </c>
      <c r="C117" s="79" t="str">
        <f ca="1">VLOOKUP($B117,OFFSET([2]quests!$A$1,0,0,COUNTA([2]quests!$A:$A),MATCH(C$1,[2]quests!$1:$1,0)-MATCH($B$1,[2]quests!$1:$1,0)+1),MATCH(C$1,[2]quests!$1:$1,0)-MATCH($B$1,[2]quests!$1:$1,0)+1,FALSE)</f>
        <v>春呼ぶキミの行方</v>
      </c>
      <c r="D117" s="79" t="str">
        <f ca="1">VLOOKUP($B117,OFFSET([2]quests!$A$1,0,0,COUNTA([2]quests!$A:$A),MATCH(D$1,[2]quests!$1:$1,0)-MATCH($B$1,[2]quests!$1:$1,0)+1),MATCH(D$1,[2]quests!$1:$1,0)-MATCH($B$1,[2]quests!$1:$1,0)+1,FALSE)</f>
        <v>季節イベント</v>
      </c>
      <c r="E117" s="82" t="s">
        <v>217</v>
      </c>
      <c r="F117" s="79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79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1">
        <v>0</v>
      </c>
      <c r="I117">
        <v>34</v>
      </c>
      <c r="J117" s="80" t="s">
        <v>198</v>
      </c>
      <c r="K117" s="88" t="str">
        <f>VLOOKUP(I117,[6]stage_hints!$A:$C,3,FALSE)</f>
        <v>ステータスをスキルで下げられたら</v>
      </c>
      <c r="L117" s="89" t="str">
        <f>VLOOKUP(I117,[6]stage_hints!$A:$D,4,FALSE)</f>
        <v>ステータスダウンのスキルを受けたら_x000D_ステータスアップスキルで上書きしましょう</v>
      </c>
      <c r="M117" s="54" t="s">
        <v>210</v>
      </c>
    </row>
    <row r="118" spans="1:13" x14ac:dyDescent="0.15">
      <c r="A118" s="77" t="s">
        <v>200</v>
      </c>
      <c r="B118" s="78">
        <f>floors!$C$2</f>
        <v>47012</v>
      </c>
      <c r="C118" s="79" t="str">
        <f ca="1">VLOOKUP($B118,OFFSET([2]quests!$A$1,0,0,COUNTA([2]quests!$A:$A),MATCH(C$1,[2]quests!$1:$1,0)-MATCH($B$1,[2]quests!$1:$1,0)+1),MATCH(C$1,[2]quests!$1:$1,0)-MATCH($B$1,[2]quests!$1:$1,0)+1,FALSE)</f>
        <v>春呼ぶキミの行方</v>
      </c>
      <c r="D118" s="79" t="str">
        <f ca="1">VLOOKUP($B118,OFFSET([2]quests!$A$1,0,0,COUNTA([2]quests!$A:$A),MATCH(D$1,[2]quests!$1:$1,0)-MATCH($B$1,[2]quests!$1:$1,0)+1),MATCH(D$1,[2]quests!$1:$1,0)-MATCH($B$1,[2]quests!$1:$1,0)+1,FALSE)</f>
        <v>季節イベント</v>
      </c>
      <c r="E118" s="82" t="s">
        <v>217</v>
      </c>
      <c r="F118" s="79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79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1">
        <v>0</v>
      </c>
      <c r="I118">
        <v>35</v>
      </c>
      <c r="J118" s="80" t="s">
        <v>198</v>
      </c>
      <c r="K118" s="88" t="str">
        <f>VLOOKUP(I118,[6]stage_hints!$A:$C,3,FALSE)</f>
        <v>敵のステータスがスキルで上がったら</v>
      </c>
      <c r="L118" s="89" t="str">
        <f>VLOOKUP(I118,[6]stage_hints!$A:$D,4,FALSE)</f>
        <v>敵のステータスがスキルでアップしたときは_x000D_ステータスダウンスキルで上書きしましょう</v>
      </c>
      <c r="M118" s="54" t="s">
        <v>210</v>
      </c>
    </row>
    <row r="119" spans="1:13" x14ac:dyDescent="0.15">
      <c r="A119" s="77" t="s">
        <v>200</v>
      </c>
      <c r="B119" s="78">
        <f>floors!$C$2</f>
        <v>47012</v>
      </c>
      <c r="C119" s="79" t="str">
        <f ca="1">VLOOKUP($B119,OFFSET([2]quests!$A$1,0,0,COUNTA([2]quests!$A:$A),MATCH(C$1,[2]quests!$1:$1,0)-MATCH($B$1,[2]quests!$1:$1,0)+1),MATCH(C$1,[2]quests!$1:$1,0)-MATCH($B$1,[2]quests!$1:$1,0)+1,FALSE)</f>
        <v>春呼ぶキミの行方</v>
      </c>
      <c r="D119" s="79" t="str">
        <f ca="1">VLOOKUP($B119,OFFSET([2]quests!$A$1,0,0,COUNTA([2]quests!$A:$A),MATCH(D$1,[2]quests!$1:$1,0)-MATCH($B$1,[2]quests!$1:$1,0)+1),MATCH(D$1,[2]quests!$1:$1,0)-MATCH($B$1,[2]quests!$1:$1,0)+1,FALSE)</f>
        <v>季節イベント</v>
      </c>
      <c r="E119" s="82" t="s">
        <v>217</v>
      </c>
      <c r="F119" s="79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79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1">
        <v>0</v>
      </c>
      <c r="I119">
        <v>36</v>
      </c>
      <c r="J119" s="80" t="s">
        <v>198</v>
      </c>
      <c r="K119" s="88" t="str">
        <f>VLOOKUP(I119,[6]stage_hints!$A:$C,3,FALSE)</f>
        <v>タワーオブザクイーンのボス</v>
      </c>
      <c r="L119" s="89" t="str">
        <f>VLOOKUP(I119,[6]stage_hints!$A:$D,4,FALSE)</f>
        <v>「タワーオブザクイーン」最上階のボスは_x000D_15階の初回クリア報酬で獲得できるほか_x000D_その階にて低確率でドロップもします</v>
      </c>
      <c r="M119" s="54" t="s">
        <v>210</v>
      </c>
    </row>
    <row r="120" spans="1:13" x14ac:dyDescent="0.15">
      <c r="A120" s="77" t="s">
        <v>200</v>
      </c>
      <c r="B120" s="78">
        <f>floors!$C$2</f>
        <v>47012</v>
      </c>
      <c r="C120" s="79" t="str">
        <f ca="1">VLOOKUP($B120,OFFSET([2]quests!$A$1,0,0,COUNTA([2]quests!$A:$A),MATCH(C$1,[2]quests!$1:$1,0)-MATCH($B$1,[2]quests!$1:$1,0)+1),MATCH(C$1,[2]quests!$1:$1,0)-MATCH($B$1,[2]quests!$1:$1,0)+1,FALSE)</f>
        <v>春呼ぶキミの行方</v>
      </c>
      <c r="D120" s="79" t="str">
        <f ca="1">VLOOKUP($B120,OFFSET([2]quests!$A$1,0,0,COUNTA([2]quests!$A:$A),MATCH(D$1,[2]quests!$1:$1,0)-MATCH($B$1,[2]quests!$1:$1,0)+1),MATCH(D$1,[2]quests!$1:$1,0)-MATCH($B$1,[2]quests!$1:$1,0)+1,FALSE)</f>
        <v>季節イベント</v>
      </c>
      <c r="E120" s="82" t="s">
        <v>217</v>
      </c>
      <c r="F120" s="79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79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1">
        <v>0</v>
      </c>
      <c r="I120">
        <v>37</v>
      </c>
      <c r="J120" s="80" t="s">
        <v>198</v>
      </c>
      <c r="K120" s="88" t="str">
        <f>VLOOKUP(I120,[6]stage_hints!$A:$C,3,FALSE)</f>
        <v>限界突破値の引き継ぎ</v>
      </c>
      <c r="L120" s="89" t="str">
        <f>VLOOKUP(I120,[6]stage_hints!$A:$D,4,FALSE)</f>
        <v>同じユニットを強化で合成すると_x000D_限界突破値を引き継げます（覚醒前後も可）</v>
      </c>
      <c r="M120" s="54" t="s">
        <v>210</v>
      </c>
    </row>
    <row r="121" spans="1:13" x14ac:dyDescent="0.15">
      <c r="A121" s="77" t="s">
        <v>200</v>
      </c>
      <c r="B121" s="78">
        <f>floors!$C$2</f>
        <v>47012</v>
      </c>
      <c r="C121" s="79" t="str">
        <f ca="1">VLOOKUP($B121,OFFSET([2]quests!$A$1,0,0,COUNTA([2]quests!$A:$A),MATCH(C$1,[2]quests!$1:$1,0)-MATCH($B$1,[2]quests!$1:$1,0)+1),MATCH(C$1,[2]quests!$1:$1,0)-MATCH($B$1,[2]quests!$1:$1,0)+1,FALSE)</f>
        <v>春呼ぶキミの行方</v>
      </c>
      <c r="D121" s="79" t="str">
        <f ca="1">VLOOKUP($B121,OFFSET([2]quests!$A$1,0,0,COUNTA([2]quests!$A:$A),MATCH(D$1,[2]quests!$1:$1,0)-MATCH($B$1,[2]quests!$1:$1,0)+1),MATCH(D$1,[2]quests!$1:$1,0)-MATCH($B$1,[2]quests!$1:$1,0)+1,FALSE)</f>
        <v>季節イベント</v>
      </c>
      <c r="E121" s="82" t="s">
        <v>217</v>
      </c>
      <c r="F121" s="79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79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1">
        <v>0</v>
      </c>
      <c r="I121">
        <v>39</v>
      </c>
      <c r="J121" s="80" t="s">
        <v>198</v>
      </c>
      <c r="K121" s="88" t="str">
        <f>VLOOKUP(I121,[6]stage_hints!$A:$C,3,FALSE)</f>
        <v>システム適合者を確認</v>
      </c>
      <c r="L121" s="89" t="str">
        <f>VLOOKUP(I121,[6]stage_hints!$A:$D,4,FALSE)</f>
        <v>ALICEが 「アナタ」を呼んでいます</v>
      </c>
      <c r="M121" s="54" t="s">
        <v>210</v>
      </c>
    </row>
    <row r="122" spans="1:13" x14ac:dyDescent="0.15">
      <c r="A122" s="77" t="s">
        <v>200</v>
      </c>
      <c r="B122" s="78">
        <f>floors!$C$2</f>
        <v>47012</v>
      </c>
      <c r="C122" s="79" t="str">
        <f ca="1">VLOOKUP($B122,OFFSET([2]quests!$A$1,0,0,COUNTA([2]quests!$A:$A),MATCH(C$1,[2]quests!$1:$1,0)-MATCH($B$1,[2]quests!$1:$1,0)+1),MATCH(C$1,[2]quests!$1:$1,0)-MATCH($B$1,[2]quests!$1:$1,0)+1,FALSE)</f>
        <v>春呼ぶキミの行方</v>
      </c>
      <c r="D122" s="79" t="str">
        <f ca="1">VLOOKUP($B122,OFFSET([2]quests!$A$1,0,0,COUNTA([2]quests!$A:$A),MATCH(D$1,[2]quests!$1:$1,0)-MATCH($B$1,[2]quests!$1:$1,0)+1),MATCH(D$1,[2]quests!$1:$1,0)-MATCH($B$1,[2]quests!$1:$1,0)+1,FALSE)</f>
        <v>季節イベント</v>
      </c>
      <c r="E122" s="82" t="s">
        <v>218</v>
      </c>
      <c r="F122" s="79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79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1">
        <v>0</v>
      </c>
      <c r="I122">
        <v>12</v>
      </c>
      <c r="J122" s="80" t="s">
        <v>198</v>
      </c>
      <c r="K122" s="88" t="str">
        <f>VLOOKUP(I122,[6]stage_hints!$A:$C,3,FALSE)</f>
        <v>ユニットのお気に入り登録</v>
      </c>
      <c r="L122" s="89" t="str">
        <f>VLOOKUP(I122,[6]stage_hints!$A:$D,4,FALSE)</f>
        <v>大事なユニットを誤って消さないように_x000D_フォルダから「お気に入り登録」しましょう</v>
      </c>
      <c r="M122" s="54" t="s">
        <v>210</v>
      </c>
    </row>
    <row r="123" spans="1:13" x14ac:dyDescent="0.15">
      <c r="A123" s="77" t="s">
        <v>200</v>
      </c>
      <c r="B123" s="78">
        <f>floors!$C$2</f>
        <v>47012</v>
      </c>
      <c r="C123" s="79" t="str">
        <f ca="1">VLOOKUP($B123,OFFSET([2]quests!$A$1,0,0,COUNTA([2]quests!$A:$A),MATCH(C$1,[2]quests!$1:$1,0)-MATCH($B$1,[2]quests!$1:$1,0)+1),MATCH(C$1,[2]quests!$1:$1,0)-MATCH($B$1,[2]quests!$1:$1,0)+1,FALSE)</f>
        <v>春呼ぶキミの行方</v>
      </c>
      <c r="D123" s="79" t="str">
        <f ca="1">VLOOKUP($B123,OFFSET([2]quests!$A$1,0,0,COUNTA([2]quests!$A:$A),MATCH(D$1,[2]quests!$1:$1,0)-MATCH($B$1,[2]quests!$1:$1,0)+1),MATCH(D$1,[2]quests!$1:$1,0)-MATCH($B$1,[2]quests!$1:$1,0)+1,FALSE)</f>
        <v>季節イベント</v>
      </c>
      <c r="E123" s="82" t="s">
        <v>218</v>
      </c>
      <c r="F123" s="79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79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1">
        <v>0</v>
      </c>
      <c r="I123">
        <v>17</v>
      </c>
      <c r="J123" s="80" t="s">
        <v>198</v>
      </c>
      <c r="K123" s="88" t="str">
        <f>VLOOKUP(I123,[6]stage_hints!$A:$C,3,FALSE)</f>
        <v>リンクガチャ</v>
      </c>
      <c r="L123" s="89" t="str">
        <f>VLOOKUP(I123,[6]stage_hints!$A:$D,4,FALSE)</f>
        <v>無料のリンクガチャを回して_x000D_経験値素材や売却素材を獲得しましょう</v>
      </c>
      <c r="M123" s="54" t="s">
        <v>210</v>
      </c>
    </row>
    <row r="124" spans="1:13" x14ac:dyDescent="0.15">
      <c r="A124" s="77" t="s">
        <v>200</v>
      </c>
      <c r="B124" s="78">
        <f>floors!$C$2</f>
        <v>47012</v>
      </c>
      <c r="C124" s="79" t="str">
        <f ca="1">VLOOKUP($B124,OFFSET([2]quests!$A$1,0,0,COUNTA([2]quests!$A:$A),MATCH(C$1,[2]quests!$1:$1,0)-MATCH($B$1,[2]quests!$1:$1,0)+1),MATCH(C$1,[2]quests!$1:$1,0)-MATCH($B$1,[2]quests!$1:$1,0)+1,FALSE)</f>
        <v>春呼ぶキミの行方</v>
      </c>
      <c r="D124" s="79" t="str">
        <f ca="1">VLOOKUP($B124,OFFSET([2]quests!$A$1,0,0,COUNTA([2]quests!$A:$A),MATCH(D$1,[2]quests!$1:$1,0)-MATCH($B$1,[2]quests!$1:$1,0)+1),MATCH(D$1,[2]quests!$1:$1,0)-MATCH($B$1,[2]quests!$1:$1,0)+1,FALSE)</f>
        <v>季節イベント</v>
      </c>
      <c r="E124" s="82" t="s">
        <v>218</v>
      </c>
      <c r="F124" s="79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79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1">
        <v>0</v>
      </c>
      <c r="I124">
        <v>19</v>
      </c>
      <c r="J124" s="80" t="s">
        <v>198</v>
      </c>
      <c r="K124" s="88" t="str">
        <f>VLOOKUP(I124,[6]stage_hints!$A:$C,3,FALSE)</f>
        <v>ソロ専用タワーオブザクイーン</v>
      </c>
      <c r="L124" s="89" t="str">
        <f>VLOOKUP(I124,[6]stage_hints!$A:$D,4,FALSE)</f>
        <v>ソロ専用の「タワーオブザクイーン」は_x000D_期間限定で定期的に開催されます_x000D_ここでしか獲得できない報酬もあるようです</v>
      </c>
      <c r="M124" s="54" t="s">
        <v>210</v>
      </c>
    </row>
    <row r="125" spans="1:13" x14ac:dyDescent="0.15">
      <c r="A125" s="77" t="s">
        <v>200</v>
      </c>
      <c r="B125" s="78">
        <f>floors!$C$2</f>
        <v>47012</v>
      </c>
      <c r="C125" s="79" t="str">
        <f ca="1">VLOOKUP($B125,OFFSET([2]quests!$A$1,0,0,COUNTA([2]quests!$A:$A),MATCH(C$1,[2]quests!$1:$1,0)-MATCH($B$1,[2]quests!$1:$1,0)+1),MATCH(C$1,[2]quests!$1:$1,0)-MATCH($B$1,[2]quests!$1:$1,0)+1,FALSE)</f>
        <v>春呼ぶキミの行方</v>
      </c>
      <c r="D125" s="79" t="str">
        <f ca="1">VLOOKUP($B125,OFFSET([2]quests!$A$1,0,0,COUNTA([2]quests!$A:$A),MATCH(D$1,[2]quests!$1:$1,0)-MATCH($B$1,[2]quests!$1:$1,0)+1),MATCH(D$1,[2]quests!$1:$1,0)-MATCH($B$1,[2]quests!$1:$1,0)+1,FALSE)</f>
        <v>季節イベント</v>
      </c>
      <c r="E125" s="82" t="s">
        <v>218</v>
      </c>
      <c r="F125" s="79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79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1">
        <v>0</v>
      </c>
      <c r="I125">
        <v>21</v>
      </c>
      <c r="J125" s="80" t="s">
        <v>198</v>
      </c>
      <c r="K125" s="88" t="str">
        <f>VLOOKUP(I125,[6]stage_hints!$A:$C,3,FALSE)</f>
        <v>スキルを有効に</v>
      </c>
      <c r="L125" s="89" t="str">
        <f>VLOOKUP(I125,[6]stage_hints!$A:$D,4,FALSE)</f>
        <v>ターン経過でユニットのスキルが使えます_x000D_強力スキルでバトルを有利に進めましょう</v>
      </c>
      <c r="M125" s="54" t="s">
        <v>210</v>
      </c>
    </row>
    <row r="126" spans="1:13" x14ac:dyDescent="0.15">
      <c r="A126" s="77" t="s">
        <v>200</v>
      </c>
      <c r="B126" s="78">
        <f>floors!$C$2</f>
        <v>47012</v>
      </c>
      <c r="C126" s="79" t="str">
        <f ca="1">VLOOKUP($B126,OFFSET([2]quests!$A$1,0,0,COUNTA([2]quests!$A:$A),MATCH(C$1,[2]quests!$1:$1,0)-MATCH($B$1,[2]quests!$1:$1,0)+1),MATCH(C$1,[2]quests!$1:$1,0)-MATCH($B$1,[2]quests!$1:$1,0)+1,FALSE)</f>
        <v>春呼ぶキミの行方</v>
      </c>
      <c r="D126" s="79" t="str">
        <f ca="1">VLOOKUP($B126,OFFSET([2]quests!$A$1,0,0,COUNTA([2]quests!$A:$A),MATCH(D$1,[2]quests!$1:$1,0)-MATCH($B$1,[2]quests!$1:$1,0)+1),MATCH(D$1,[2]quests!$1:$1,0)-MATCH($B$1,[2]quests!$1:$1,0)+1,FALSE)</f>
        <v>季節イベント</v>
      </c>
      <c r="E126" s="82" t="s">
        <v>218</v>
      </c>
      <c r="F126" s="79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79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1">
        <v>0</v>
      </c>
      <c r="I126">
        <v>29</v>
      </c>
      <c r="J126" s="80" t="s">
        <v>198</v>
      </c>
      <c r="K126" s="88" t="str">
        <f>VLOOKUP(I126,[6]stage_hints!$A:$C,3,FALSE)</f>
        <v>「バグ」のメリット</v>
      </c>
      <c r="L126" s="89" t="str">
        <f>VLOOKUP(I126,[6]stage_hints!$A:$D,4,FALSE)</f>
        <v>ユニットの「バグ」を増やすと_x000D_報酬をもらえる確率がアップします</v>
      </c>
      <c r="M126" s="54" t="s">
        <v>210</v>
      </c>
    </row>
    <row r="127" spans="1:13" x14ac:dyDescent="0.15">
      <c r="A127" s="77" t="s">
        <v>200</v>
      </c>
      <c r="B127" s="78">
        <f>floors!$C$2</f>
        <v>47012</v>
      </c>
      <c r="C127" s="79" t="str">
        <f ca="1">VLOOKUP($B127,OFFSET([2]quests!$A$1,0,0,COUNTA([2]quests!$A:$A),MATCH(C$1,[2]quests!$1:$1,0)-MATCH($B$1,[2]quests!$1:$1,0)+1),MATCH(C$1,[2]quests!$1:$1,0)-MATCH($B$1,[2]quests!$1:$1,0)+1,FALSE)</f>
        <v>春呼ぶキミの行方</v>
      </c>
      <c r="D127" s="79" t="str">
        <f ca="1">VLOOKUP($B127,OFFSET([2]quests!$A$1,0,0,COUNTA([2]quests!$A:$A),MATCH(D$1,[2]quests!$1:$1,0)-MATCH($B$1,[2]quests!$1:$1,0)+1),MATCH(D$1,[2]quests!$1:$1,0)-MATCH($B$1,[2]quests!$1:$1,0)+1,FALSE)</f>
        <v>季節イベント</v>
      </c>
      <c r="E127" s="82" t="s">
        <v>218</v>
      </c>
      <c r="F127" s="79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79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1">
        <v>0</v>
      </c>
      <c r="I127">
        <v>30</v>
      </c>
      <c r="J127" s="80" t="s">
        <v>198</v>
      </c>
      <c r="K127" s="88" t="str">
        <f>VLOOKUP(I127,[6]stage_hints!$A:$C,3,FALSE)</f>
        <v>「バグ」の増やし方</v>
      </c>
      <c r="L127" s="89" t="str">
        <f>VLOOKUP(I127,[6]stage_hints!$A:$D,4,FALSE)</f>
        <v>同じユニット同士を強化で合成すると_x000D_「バグ」を増やすことができます</v>
      </c>
      <c r="M127" s="54" t="s">
        <v>210</v>
      </c>
    </row>
    <row r="128" spans="1:13" x14ac:dyDescent="0.15">
      <c r="A128" s="77" t="s">
        <v>200</v>
      </c>
      <c r="B128" s="78">
        <f>floors!$C$2</f>
        <v>47012</v>
      </c>
      <c r="C128" s="79" t="str">
        <f ca="1">VLOOKUP($B128,OFFSET([2]quests!$A$1,0,0,COUNTA([2]quests!$A:$A),MATCH(C$1,[2]quests!$1:$1,0)-MATCH($B$1,[2]quests!$1:$1,0)+1),MATCH(C$1,[2]quests!$1:$1,0)-MATCH($B$1,[2]quests!$1:$1,0)+1,FALSE)</f>
        <v>春呼ぶキミの行方</v>
      </c>
      <c r="D128" s="79" t="str">
        <f ca="1">VLOOKUP($B128,OFFSET([2]quests!$A$1,0,0,COUNTA([2]quests!$A:$A),MATCH(D$1,[2]quests!$1:$1,0)-MATCH($B$1,[2]quests!$1:$1,0)+1),MATCH(D$1,[2]quests!$1:$1,0)-MATCH($B$1,[2]quests!$1:$1,0)+1,FALSE)</f>
        <v>季節イベント</v>
      </c>
      <c r="E128" s="82" t="s">
        <v>218</v>
      </c>
      <c r="F128" s="79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79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1">
        <v>0</v>
      </c>
      <c r="I128">
        <v>32</v>
      </c>
      <c r="J128" s="80" t="s">
        <v>198</v>
      </c>
      <c r="K128" s="88" t="str">
        <f>VLOOKUP(I128,[6]stage_hints!$A:$C,3,FALSE)</f>
        <v>敵の連続攻撃には</v>
      </c>
      <c r="L128" s="89" t="str">
        <f>VLOOKUP(I128,[6]stage_hints!$A:$D,4,FALSE)</f>
        <v>カウンタースキルを持つユニットがいれば_x000D_ダメージ回数分の反撃ができます</v>
      </c>
      <c r="M128" s="54" t="s">
        <v>210</v>
      </c>
    </row>
    <row r="129" spans="1:13" x14ac:dyDescent="0.15">
      <c r="A129" s="77" t="s">
        <v>200</v>
      </c>
      <c r="B129" s="78">
        <f>floors!$C$2</f>
        <v>47012</v>
      </c>
      <c r="C129" s="79" t="str">
        <f ca="1">VLOOKUP($B129,OFFSET([2]quests!$A$1,0,0,COUNTA([2]quests!$A:$A),MATCH(C$1,[2]quests!$1:$1,0)-MATCH($B$1,[2]quests!$1:$1,0)+1),MATCH(C$1,[2]quests!$1:$1,0)-MATCH($B$1,[2]quests!$1:$1,0)+1,FALSE)</f>
        <v>春呼ぶキミの行方</v>
      </c>
      <c r="D129" s="79" t="str">
        <f ca="1">VLOOKUP($B129,OFFSET([2]quests!$A$1,0,0,COUNTA([2]quests!$A:$A),MATCH(D$1,[2]quests!$1:$1,0)-MATCH($B$1,[2]quests!$1:$1,0)+1),MATCH(D$1,[2]quests!$1:$1,0)-MATCH($B$1,[2]quests!$1:$1,0)+1,FALSE)</f>
        <v>季節イベント</v>
      </c>
      <c r="E129" s="82" t="s">
        <v>218</v>
      </c>
      <c r="F129" s="79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79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1">
        <v>0</v>
      </c>
      <c r="I129">
        <v>33</v>
      </c>
      <c r="J129" s="80" t="s">
        <v>198</v>
      </c>
      <c r="K129" s="88" t="str">
        <f>VLOOKUP(I129,[6]stage_hints!$A:$C,3,FALSE)</f>
        <v>敵のカウンター攻撃には</v>
      </c>
      <c r="L129" s="89" t="str">
        <f>VLOOKUP(I129,[6]stage_hints!$A:$D,4,FALSE)</f>
        <v>カウンターブレイクスキルを持っていれば_x000D_敵のカウンターを解除して攻撃ができます</v>
      </c>
      <c r="M129" s="54" t="s">
        <v>210</v>
      </c>
    </row>
    <row r="130" spans="1:13" x14ac:dyDescent="0.15">
      <c r="A130" s="77" t="s">
        <v>200</v>
      </c>
      <c r="B130" s="78">
        <f>floors!$C$2</f>
        <v>47012</v>
      </c>
      <c r="C130" s="79" t="str">
        <f ca="1">VLOOKUP($B130,OFFSET([2]quests!$A$1,0,0,COUNTA([2]quests!$A:$A),MATCH(C$1,[2]quests!$1:$1,0)-MATCH($B$1,[2]quests!$1:$1,0)+1),MATCH(C$1,[2]quests!$1:$1,0)-MATCH($B$1,[2]quests!$1:$1,0)+1,FALSE)</f>
        <v>春呼ぶキミの行方</v>
      </c>
      <c r="D130" s="79" t="str">
        <f ca="1">VLOOKUP($B130,OFFSET([2]quests!$A$1,0,0,COUNTA([2]quests!$A:$A),MATCH(D$1,[2]quests!$1:$1,0)-MATCH($B$1,[2]quests!$1:$1,0)+1),MATCH(D$1,[2]quests!$1:$1,0)-MATCH($B$1,[2]quests!$1:$1,0)+1,FALSE)</f>
        <v>季節イベント</v>
      </c>
      <c r="E130" s="82" t="s">
        <v>218</v>
      </c>
      <c r="F130" s="79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79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1">
        <v>0</v>
      </c>
      <c r="I130">
        <v>34</v>
      </c>
      <c r="J130" s="80" t="s">
        <v>198</v>
      </c>
      <c r="K130" s="88" t="str">
        <f>VLOOKUP(I130,[6]stage_hints!$A:$C,3,FALSE)</f>
        <v>ステータスをスキルで下げられたら</v>
      </c>
      <c r="L130" s="89" t="str">
        <f>VLOOKUP(I130,[6]stage_hints!$A:$D,4,FALSE)</f>
        <v>ステータスダウンのスキルを受けたら_x000D_ステータスアップスキルで上書きしましょう</v>
      </c>
      <c r="M130" s="54" t="s">
        <v>210</v>
      </c>
    </row>
    <row r="131" spans="1:13" x14ac:dyDescent="0.15">
      <c r="A131" s="77" t="s">
        <v>200</v>
      </c>
      <c r="B131" s="78">
        <f>floors!$C$2</f>
        <v>47012</v>
      </c>
      <c r="C131" s="79" t="str">
        <f ca="1">VLOOKUP($B131,OFFSET([2]quests!$A$1,0,0,COUNTA([2]quests!$A:$A),MATCH(C$1,[2]quests!$1:$1,0)-MATCH($B$1,[2]quests!$1:$1,0)+1),MATCH(C$1,[2]quests!$1:$1,0)-MATCH($B$1,[2]quests!$1:$1,0)+1,FALSE)</f>
        <v>春呼ぶキミの行方</v>
      </c>
      <c r="D131" s="79" t="str">
        <f ca="1">VLOOKUP($B131,OFFSET([2]quests!$A$1,0,0,COUNTA([2]quests!$A:$A),MATCH(D$1,[2]quests!$1:$1,0)-MATCH($B$1,[2]quests!$1:$1,0)+1),MATCH(D$1,[2]quests!$1:$1,0)-MATCH($B$1,[2]quests!$1:$1,0)+1,FALSE)</f>
        <v>季節イベント</v>
      </c>
      <c r="E131" s="82" t="s">
        <v>218</v>
      </c>
      <c r="F131" s="79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79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1">
        <v>0</v>
      </c>
      <c r="I131">
        <v>35</v>
      </c>
      <c r="J131" s="80" t="s">
        <v>198</v>
      </c>
      <c r="K131" s="88" t="str">
        <f>VLOOKUP(I131,[6]stage_hints!$A:$C,3,FALSE)</f>
        <v>敵のステータスがスキルで上がったら</v>
      </c>
      <c r="L131" s="89" t="str">
        <f>VLOOKUP(I131,[6]stage_hints!$A:$D,4,FALSE)</f>
        <v>敵のステータスがスキルでアップしたときは_x000D_ステータスダウンスキルで上書きしましょう</v>
      </c>
      <c r="M131" s="54" t="s">
        <v>210</v>
      </c>
    </row>
    <row r="132" spans="1:13" x14ac:dyDescent="0.15">
      <c r="A132" s="77" t="s">
        <v>200</v>
      </c>
      <c r="B132" s="78">
        <f>floors!$C$2</f>
        <v>47012</v>
      </c>
      <c r="C132" s="79" t="str">
        <f ca="1">VLOOKUP($B132,OFFSET([2]quests!$A$1,0,0,COUNTA([2]quests!$A:$A),MATCH(C$1,[2]quests!$1:$1,0)-MATCH($B$1,[2]quests!$1:$1,0)+1),MATCH(C$1,[2]quests!$1:$1,0)-MATCH($B$1,[2]quests!$1:$1,0)+1,FALSE)</f>
        <v>春呼ぶキミの行方</v>
      </c>
      <c r="D132" s="79" t="str">
        <f ca="1">VLOOKUP($B132,OFFSET([2]quests!$A$1,0,0,COUNTA([2]quests!$A:$A),MATCH(D$1,[2]quests!$1:$1,0)-MATCH($B$1,[2]quests!$1:$1,0)+1),MATCH(D$1,[2]quests!$1:$1,0)-MATCH($B$1,[2]quests!$1:$1,0)+1,FALSE)</f>
        <v>季節イベント</v>
      </c>
      <c r="E132" s="82" t="s">
        <v>218</v>
      </c>
      <c r="F132" s="79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79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1">
        <v>0</v>
      </c>
      <c r="I132">
        <v>36</v>
      </c>
      <c r="J132" s="80" t="s">
        <v>198</v>
      </c>
      <c r="K132" s="88" t="str">
        <f>VLOOKUP(I132,[6]stage_hints!$A:$C,3,FALSE)</f>
        <v>タワーオブザクイーンのボス</v>
      </c>
      <c r="L132" s="89" t="str">
        <f>VLOOKUP(I132,[6]stage_hints!$A:$D,4,FALSE)</f>
        <v>「タワーオブザクイーン」最上階のボスは_x000D_15階の初回クリア報酬で獲得できるほか_x000D_その階にて低確率でドロップもします</v>
      </c>
      <c r="M132" s="54" t="s">
        <v>210</v>
      </c>
    </row>
    <row r="133" spans="1:13" x14ac:dyDescent="0.15">
      <c r="A133" s="77" t="s">
        <v>200</v>
      </c>
      <c r="B133" s="78">
        <f>floors!$C$2</f>
        <v>47012</v>
      </c>
      <c r="C133" s="79" t="str">
        <f ca="1">VLOOKUP($B133,OFFSET([2]quests!$A$1,0,0,COUNTA([2]quests!$A:$A),MATCH(C$1,[2]quests!$1:$1,0)-MATCH($B$1,[2]quests!$1:$1,0)+1),MATCH(C$1,[2]quests!$1:$1,0)-MATCH($B$1,[2]quests!$1:$1,0)+1,FALSE)</f>
        <v>春呼ぶキミの行方</v>
      </c>
      <c r="D133" s="79" t="str">
        <f ca="1">VLOOKUP($B133,OFFSET([2]quests!$A$1,0,0,COUNTA([2]quests!$A:$A),MATCH(D$1,[2]quests!$1:$1,0)-MATCH($B$1,[2]quests!$1:$1,0)+1),MATCH(D$1,[2]quests!$1:$1,0)-MATCH($B$1,[2]quests!$1:$1,0)+1,FALSE)</f>
        <v>季節イベント</v>
      </c>
      <c r="E133" s="82" t="s">
        <v>218</v>
      </c>
      <c r="F133" s="79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79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1">
        <v>0</v>
      </c>
      <c r="I133">
        <v>37</v>
      </c>
      <c r="J133" s="80" t="s">
        <v>198</v>
      </c>
      <c r="K133" s="88" t="str">
        <f>VLOOKUP(I133,[6]stage_hints!$A:$C,3,FALSE)</f>
        <v>限界突破値の引き継ぎ</v>
      </c>
      <c r="L133" s="89" t="str">
        <f>VLOOKUP(I133,[6]stage_hints!$A:$D,4,FALSE)</f>
        <v>同じユニットを強化で合成すると_x000D_限界突破値を引き継げます（覚醒前後も可）</v>
      </c>
      <c r="M133" s="54" t="s">
        <v>210</v>
      </c>
    </row>
    <row r="134" spans="1:13" x14ac:dyDescent="0.15">
      <c r="A134" s="77" t="s">
        <v>200</v>
      </c>
      <c r="B134" s="78">
        <f>floors!$C$2</f>
        <v>47012</v>
      </c>
      <c r="C134" s="79" t="str">
        <f ca="1">VLOOKUP($B134,OFFSET([2]quests!$A$1,0,0,COUNTA([2]quests!$A:$A),MATCH(C$1,[2]quests!$1:$1,0)-MATCH($B$1,[2]quests!$1:$1,0)+1),MATCH(C$1,[2]quests!$1:$1,0)-MATCH($B$1,[2]quests!$1:$1,0)+1,FALSE)</f>
        <v>春呼ぶキミの行方</v>
      </c>
      <c r="D134" s="79" t="str">
        <f ca="1">VLOOKUP($B134,OFFSET([2]quests!$A$1,0,0,COUNTA([2]quests!$A:$A),MATCH(D$1,[2]quests!$1:$1,0)-MATCH($B$1,[2]quests!$1:$1,0)+1),MATCH(D$1,[2]quests!$1:$1,0)-MATCH($B$1,[2]quests!$1:$1,0)+1,FALSE)</f>
        <v>季節イベント</v>
      </c>
      <c r="E134" s="82" t="s">
        <v>218</v>
      </c>
      <c r="F134" s="79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79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1">
        <v>0</v>
      </c>
      <c r="I134">
        <v>39</v>
      </c>
      <c r="J134" s="80" t="s">
        <v>198</v>
      </c>
      <c r="K134" s="88" t="str">
        <f>VLOOKUP(I134,[6]stage_hints!$A:$C,3,FALSE)</f>
        <v>システム適合者を確認</v>
      </c>
      <c r="L134" s="89" t="str">
        <f>VLOOKUP(I134,[6]stage_hints!$A:$D,4,FALSE)</f>
        <v>ALICEが 「アナタ」を呼んでいます</v>
      </c>
      <c r="M134" s="54" t="s">
        <v>210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R19"/>
  <sheetViews>
    <sheetView showGridLines="0" workbookViewId="0">
      <pane ySplit="1" topLeftCell="A2" activePane="bottomLeft" state="frozen"/>
      <selection pane="bottomLeft" activeCell="L6" sqref="L6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2.6640625" bestFit="1" customWidth="1"/>
    <col min="13" max="13" width="42.6640625" customWidth="1"/>
    <col min="16" max="16" width="41.5" customWidth="1"/>
  </cols>
  <sheetData>
    <row r="1" spans="1:18" x14ac:dyDescent="0.15">
      <c r="A1" s="72" t="s">
        <v>188</v>
      </c>
      <c r="B1" s="69" t="s">
        <v>151</v>
      </c>
      <c r="C1" s="73" t="s">
        <v>190</v>
      </c>
      <c r="D1" s="73" t="s">
        <v>33</v>
      </c>
      <c r="E1" s="69" t="s">
        <v>191</v>
      </c>
      <c r="F1" s="73" t="s">
        <v>18</v>
      </c>
      <c r="G1" s="73" t="s">
        <v>33</v>
      </c>
      <c r="H1" s="69" t="s">
        <v>193</v>
      </c>
      <c r="I1" s="84" t="s">
        <v>194</v>
      </c>
      <c r="J1" s="86" t="s">
        <v>195</v>
      </c>
      <c r="K1" s="75" t="s">
        <v>127</v>
      </c>
      <c r="L1" s="74" t="s">
        <v>186</v>
      </c>
      <c r="M1" s="87" t="s">
        <v>185</v>
      </c>
      <c r="N1" s="76" t="s">
        <v>196</v>
      </c>
    </row>
    <row r="2" spans="1:18" ht="77" customHeight="1" x14ac:dyDescent="0.15">
      <c r="A2" s="150" t="s">
        <v>200</v>
      </c>
      <c r="B2" s="151">
        <f>floors!$C$2</f>
        <v>47012</v>
      </c>
      <c r="C2" s="152" t="str">
        <f ca="1">VLOOKUP($B2,OFFSET([2]quests!$A$1,0,0,COUNTA([2]quests!$A:$A),MATCH(C$1,[2]quests!$1:$1,0)-MATCH($B$1,[2]quests!$1:$1,0)+1),MATCH(C$1,[2]quests!$1:$1,0)-MATCH($B$1,[2]quests!$1:$1,0)+1,FALSE)</f>
        <v>春呼ぶキミの行方</v>
      </c>
      <c r="D2" s="152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153">
        <v>1</v>
      </c>
      <c r="F2" s="152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【上級】春呼ぶキミの行方</v>
      </c>
      <c r="G2" s="152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152">
        <v>0</v>
      </c>
      <c r="I2" s="85">
        <f>ROW()-1</f>
        <v>1</v>
      </c>
      <c r="J2" s="167" t="str">
        <f>B2&amp;TEXT(I2,"00")</f>
        <v>4701201</v>
      </c>
      <c r="K2" s="153" t="s">
        <v>198</v>
      </c>
      <c r="L2" s="154" t="s">
        <v>399</v>
      </c>
      <c r="M2" s="155" t="s">
        <v>577</v>
      </c>
      <c r="N2" s="156" t="s">
        <v>199</v>
      </c>
      <c r="P2" s="155" t="s">
        <v>577</v>
      </c>
      <c r="Q2">
        <f>LEN(P2)</f>
        <v>63</v>
      </c>
      <c r="R2">
        <v>64</v>
      </c>
    </row>
    <row r="3" spans="1:18" ht="77" customHeight="1" x14ac:dyDescent="0.15">
      <c r="A3" s="150" t="s">
        <v>200</v>
      </c>
      <c r="B3" s="151">
        <f>floors!$C$2</f>
        <v>47012</v>
      </c>
      <c r="C3" s="152" t="str">
        <f ca="1">VLOOKUP($B3,OFFSET([2]quests!$A$1,0,0,COUNTA([2]quests!$A:$A),MATCH(C$1,[2]quests!$1:$1,0)-MATCH($B$1,[2]quests!$1:$1,0)+1),MATCH(C$1,[2]quests!$1:$1,0)-MATCH($B$1,[2]quests!$1:$1,0)+1,FALSE)</f>
        <v>春呼ぶキミの行方</v>
      </c>
      <c r="D3" s="152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153">
        <v>1</v>
      </c>
      <c r="F3" s="152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【上級】春呼ぶキミの行方</v>
      </c>
      <c r="G3" s="152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152">
        <v>0</v>
      </c>
      <c r="I3" s="85">
        <f t="shared" ref="I3:I19" si="0">ROW()-1</f>
        <v>2</v>
      </c>
      <c r="J3" s="167" t="str">
        <f t="shared" ref="J3:J8" si="1">B3&amp;TEXT(I3,"00")</f>
        <v>4701202</v>
      </c>
      <c r="K3" s="153" t="s">
        <v>198</v>
      </c>
      <c r="L3" s="157" t="s">
        <v>398</v>
      </c>
      <c r="M3" s="158" t="s">
        <v>579</v>
      </c>
      <c r="N3" s="156" t="s">
        <v>199</v>
      </c>
      <c r="P3" s="158" t="s">
        <v>579</v>
      </c>
      <c r="Q3">
        <f>LEN(P3)</f>
        <v>63</v>
      </c>
    </row>
    <row r="4" spans="1:18" ht="77" customHeight="1" x14ac:dyDescent="0.15">
      <c r="A4" s="150" t="s">
        <v>200</v>
      </c>
      <c r="B4" s="151">
        <f>floors!$C$2</f>
        <v>47012</v>
      </c>
      <c r="C4" s="152" t="str">
        <f ca="1">VLOOKUP($B4,OFFSET([2]quests!$A$1,0,0,COUNTA([2]quests!$A:$A),MATCH(C$1,[2]quests!$1:$1,0)-MATCH($B$1,[2]quests!$1:$1,0)+1),MATCH(C$1,[2]quests!$1:$1,0)-MATCH($B$1,[2]quests!$1:$1,0)+1,FALSE)</f>
        <v>春呼ぶキミの行方</v>
      </c>
      <c r="D4" s="152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153">
        <v>1</v>
      </c>
      <c r="F4" s="152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【上級】春呼ぶキミの行方</v>
      </c>
      <c r="G4" s="152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152">
        <v>0</v>
      </c>
      <c r="I4" s="85">
        <f t="shared" si="0"/>
        <v>3</v>
      </c>
      <c r="J4" s="167" t="str">
        <f t="shared" si="1"/>
        <v>4701203</v>
      </c>
      <c r="K4" s="153" t="s">
        <v>198</v>
      </c>
      <c r="L4" s="157" t="s">
        <v>400</v>
      </c>
      <c r="M4" s="158" t="s">
        <v>582</v>
      </c>
      <c r="N4" s="156" t="s">
        <v>199</v>
      </c>
      <c r="P4" s="158" t="s">
        <v>582</v>
      </c>
      <c r="Q4">
        <f>LEN(P4)</f>
        <v>64</v>
      </c>
    </row>
    <row r="5" spans="1:18" ht="77" customHeight="1" x14ac:dyDescent="0.15">
      <c r="A5" s="150" t="s">
        <v>197</v>
      </c>
      <c r="B5" s="151">
        <f>floors!$C$2</f>
        <v>47012</v>
      </c>
      <c r="C5" s="152" t="str">
        <f ca="1">VLOOKUP($B5,OFFSET([2]quests!$A$1,0,0,COUNTA([2]quests!$A:$A),MATCH(C$1,[2]quests!$1:$1,0)-MATCH($B$1,[2]quests!$1:$1,0)+1),MATCH(C$1,[2]quests!$1:$1,0)-MATCH($B$1,[2]quests!$1:$1,0)+1,FALSE)</f>
        <v>春呼ぶキミの行方</v>
      </c>
      <c r="D5" s="152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153">
        <v>1</v>
      </c>
      <c r="F5" s="152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【上級】春呼ぶキミの行方</v>
      </c>
      <c r="G5" s="152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152">
        <v>1</v>
      </c>
      <c r="I5" s="85">
        <f t="shared" si="0"/>
        <v>4</v>
      </c>
      <c r="J5" s="167" t="str">
        <f t="shared" si="1"/>
        <v>4701204</v>
      </c>
      <c r="K5" s="153" t="s">
        <v>198</v>
      </c>
      <c r="L5" s="157" t="s">
        <v>262</v>
      </c>
      <c r="M5" s="158" t="s">
        <v>559</v>
      </c>
      <c r="N5" s="156" t="s">
        <v>199</v>
      </c>
      <c r="P5" s="158" t="s">
        <v>559</v>
      </c>
      <c r="Q5">
        <f>LEN(P5)</f>
        <v>63</v>
      </c>
    </row>
    <row r="6" spans="1:18" ht="77" customHeight="1" x14ac:dyDescent="0.15">
      <c r="A6" s="150" t="s">
        <v>197</v>
      </c>
      <c r="B6" s="151">
        <f>floors!$C$2</f>
        <v>47012</v>
      </c>
      <c r="C6" s="152" t="str">
        <f ca="1">VLOOKUP($B6,OFFSET([2]quests!$A$1,0,0,COUNTA([2]quests!$A:$A),MATCH(C$1,[2]quests!$1:$1,0)-MATCH($B$1,[2]quests!$1:$1,0)+1),MATCH(C$1,[2]quests!$1:$1,0)-MATCH($B$1,[2]quests!$1:$1,0)+1,FALSE)</f>
        <v>春呼ぶキミの行方</v>
      </c>
      <c r="D6" s="152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153">
        <v>1</v>
      </c>
      <c r="F6" s="152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【上級】春呼ぶキミの行方</v>
      </c>
      <c r="G6" s="152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152">
        <v>2</v>
      </c>
      <c r="I6" s="85">
        <f t="shared" si="0"/>
        <v>5</v>
      </c>
      <c r="J6" s="167" t="str">
        <f t="shared" si="1"/>
        <v>4701205</v>
      </c>
      <c r="K6" s="153" t="s">
        <v>198</v>
      </c>
      <c r="L6" s="157" t="s">
        <v>262</v>
      </c>
      <c r="M6" s="158" t="s">
        <v>496</v>
      </c>
      <c r="N6" s="156" t="s">
        <v>199</v>
      </c>
      <c r="P6" s="158" t="s">
        <v>496</v>
      </c>
      <c r="Q6">
        <f t="shared" ref="Q6" si="2">LEN(P6)</f>
        <v>64</v>
      </c>
    </row>
    <row r="7" spans="1:18" ht="77" customHeight="1" x14ac:dyDescent="0.15">
      <c r="A7" s="150" t="s">
        <v>197</v>
      </c>
      <c r="B7" s="151">
        <f>floors!$C$2</f>
        <v>47012</v>
      </c>
      <c r="C7" s="159" t="str">
        <f ca="1">VLOOKUP($B7,OFFSET([2]quests!$A$1,0,0,COUNTA([2]quests!$A:$A),MATCH(C$1,[2]quests!$1:$1,0)-MATCH($B$1,[2]quests!$1:$1,0)+1),MATCH(C$1,[2]quests!$1:$1,0)-MATCH($B$1,[2]quests!$1:$1,0)+1,FALSE)</f>
        <v>春呼ぶキミの行方</v>
      </c>
      <c r="D7" s="15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153">
        <v>1</v>
      </c>
      <c r="F7" s="159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【上級】春呼ぶキミの行方</v>
      </c>
      <c r="G7" s="159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159">
        <v>3</v>
      </c>
      <c r="I7" s="85">
        <f t="shared" si="0"/>
        <v>6</v>
      </c>
      <c r="J7" s="167" t="str">
        <f t="shared" ref="J7" si="3">B7&amp;TEXT(I7,"00")</f>
        <v>4701206</v>
      </c>
      <c r="K7" s="153" t="s">
        <v>198</v>
      </c>
      <c r="L7" s="157" t="s">
        <v>262</v>
      </c>
      <c r="M7" s="158" t="s">
        <v>560</v>
      </c>
      <c r="N7" s="156" t="s">
        <v>199</v>
      </c>
      <c r="P7" s="158" t="s">
        <v>560</v>
      </c>
      <c r="Q7">
        <f>LEN(P7)</f>
        <v>62</v>
      </c>
    </row>
    <row r="8" spans="1:18" ht="77" customHeight="1" x14ac:dyDescent="0.15">
      <c r="A8" s="150" t="s">
        <v>197</v>
      </c>
      <c r="B8" s="151">
        <f>floors!$C$2</f>
        <v>47012</v>
      </c>
      <c r="C8" s="159" t="str">
        <f ca="1">VLOOKUP($B8,OFFSET([2]quests!$A$1,0,0,COUNTA([2]quests!$A:$A),MATCH(C$1,[2]quests!$1:$1,0)-MATCH($B$1,[2]quests!$1:$1,0)+1),MATCH(C$1,[2]quests!$1:$1,0)-MATCH($B$1,[2]quests!$1:$1,0)+1,FALSE)</f>
        <v>春呼ぶキミの行方</v>
      </c>
      <c r="D8" s="159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153">
        <v>1</v>
      </c>
      <c r="F8" s="159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【上級】春呼ぶキミの行方</v>
      </c>
      <c r="G8" s="159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159">
        <v>3</v>
      </c>
      <c r="I8" s="85">
        <f t="shared" si="0"/>
        <v>7</v>
      </c>
      <c r="J8" s="167" t="str">
        <f t="shared" si="1"/>
        <v>4701207</v>
      </c>
      <c r="K8" s="153" t="s">
        <v>198</v>
      </c>
      <c r="L8" s="157" t="s">
        <v>262</v>
      </c>
      <c r="M8" s="158" t="s">
        <v>562</v>
      </c>
      <c r="N8" s="156" t="s">
        <v>199</v>
      </c>
      <c r="P8" s="158" t="s">
        <v>562</v>
      </c>
      <c r="Q8">
        <f>LEN(P8)</f>
        <v>64</v>
      </c>
    </row>
    <row r="9" spans="1:18" ht="70" x14ac:dyDescent="0.15">
      <c r="A9" s="150" t="s">
        <v>197</v>
      </c>
      <c r="B9" s="151">
        <f>floors!$C$2</f>
        <v>47012</v>
      </c>
      <c r="C9" s="159" t="str">
        <f ca="1">VLOOKUP($B9,OFFSET([2]quests!$A$1,0,0,COUNTA([2]quests!$A:$A),MATCH(C$1,[2]quests!$1:$1,0)-MATCH($B$1,[2]quests!$1:$1,0)+1),MATCH(C$1,[2]quests!$1:$1,0)-MATCH($B$1,[2]quests!$1:$1,0)+1,FALSE)</f>
        <v>春呼ぶキミの行方</v>
      </c>
      <c r="D9" s="15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153">
        <v>1</v>
      </c>
      <c r="F9" s="159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【上級】春呼ぶキミの行方</v>
      </c>
      <c r="G9" s="159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159">
        <v>3</v>
      </c>
      <c r="I9" s="85">
        <f t="shared" si="0"/>
        <v>8</v>
      </c>
      <c r="J9" s="167" t="str">
        <f t="shared" ref="J9" si="4">B9&amp;TEXT(I9,"00")</f>
        <v>4701208</v>
      </c>
      <c r="K9" s="153" t="s">
        <v>198</v>
      </c>
      <c r="L9" s="157" t="s">
        <v>262</v>
      </c>
      <c r="M9" s="158" t="s">
        <v>563</v>
      </c>
      <c r="N9" s="156" t="s">
        <v>199</v>
      </c>
      <c r="P9" s="158" t="s">
        <v>563</v>
      </c>
      <c r="Q9">
        <f>LEN(P9)</f>
        <v>64</v>
      </c>
    </row>
    <row r="10" spans="1:18" ht="77" customHeight="1" thickBot="1" x14ac:dyDescent="0.2">
      <c r="A10" s="160" t="s">
        <v>197</v>
      </c>
      <c r="B10" s="161">
        <f>floors!$C$2</f>
        <v>47012</v>
      </c>
      <c r="C10" s="162" t="str">
        <f ca="1">VLOOKUP($B10,OFFSET([2]quests!$A$1,0,0,COUNTA([2]quests!$A:$A),MATCH(C$1,[2]quests!$1:$1,0)-MATCH($B$1,[2]quests!$1:$1,0)+1),MATCH(C$1,[2]quests!$1:$1,0)-MATCH($B$1,[2]quests!$1:$1,0)+1,FALSE)</f>
        <v>春呼ぶキミの行方</v>
      </c>
      <c r="D10" s="162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163">
        <v>1</v>
      </c>
      <c r="F10" s="162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【上級】春呼ぶキミの行方</v>
      </c>
      <c r="G10" s="162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162">
        <v>3</v>
      </c>
      <c r="I10" s="143">
        <f t="shared" si="0"/>
        <v>9</v>
      </c>
      <c r="J10" s="168" t="str">
        <f t="shared" ref="J10" si="5">B10&amp;TEXT(I10,"00")</f>
        <v>4701209</v>
      </c>
      <c r="K10" s="163" t="s">
        <v>198</v>
      </c>
      <c r="L10" s="164" t="s">
        <v>262</v>
      </c>
      <c r="M10" s="165" t="s">
        <v>561</v>
      </c>
      <c r="N10" s="166" t="s">
        <v>199</v>
      </c>
      <c r="P10" s="165" t="s">
        <v>561</v>
      </c>
      <c r="Q10">
        <f>LEN(P10)</f>
        <v>63</v>
      </c>
    </row>
    <row r="11" spans="1:18" ht="57" thickTop="1" x14ac:dyDescent="0.15">
      <c r="A11" s="169" t="s">
        <v>200</v>
      </c>
      <c r="B11" s="170">
        <f>floors!$C$2</f>
        <v>47012</v>
      </c>
      <c r="C11" s="171" t="str">
        <f ca="1">VLOOKUP($B11,OFFSET([2]quests!$A$1,0,0,COUNTA([2]quests!$A:$A),MATCH(C$1,[2]quests!$1:$1,0)-MATCH($B$1,[2]quests!$1:$1,0)+1),MATCH(C$1,[2]quests!$1:$1,0)-MATCH($B$1,[2]quests!$1:$1,0)+1,FALSE)</f>
        <v>春呼ぶキミの行方</v>
      </c>
      <c r="D11" s="171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172">
        <v>2</v>
      </c>
      <c r="F11" s="17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1" s="171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171">
        <v>0</v>
      </c>
      <c r="I11" s="139">
        <f>ROW()-1</f>
        <v>10</v>
      </c>
      <c r="J11" s="183" t="str">
        <f>B11&amp;TEXT(I11,"00")</f>
        <v>4701210</v>
      </c>
      <c r="K11" s="172" t="s">
        <v>198</v>
      </c>
      <c r="L11" s="177" t="s">
        <v>399</v>
      </c>
      <c r="M11" s="178" t="s">
        <v>576</v>
      </c>
      <c r="N11" s="179" t="s">
        <v>199</v>
      </c>
    </row>
    <row r="12" spans="1:18" ht="70" x14ac:dyDescent="0.15">
      <c r="A12" s="173" t="s">
        <v>200</v>
      </c>
      <c r="B12" s="174">
        <f>floors!$C$2</f>
        <v>47012</v>
      </c>
      <c r="C12" s="171" t="str">
        <f ca="1">VLOOKUP($B12,OFFSET([2]quests!$A$1,0,0,COUNTA([2]quests!$A:$A),MATCH(C$1,[2]quests!$1:$1,0)-MATCH($B$1,[2]quests!$1:$1,0)+1),MATCH(C$1,[2]quests!$1:$1,0)-MATCH($B$1,[2]quests!$1:$1,0)+1,FALSE)</f>
        <v>春呼ぶキミの行方</v>
      </c>
      <c r="D12" s="171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175">
        <v>2</v>
      </c>
      <c r="F12" s="17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2" s="171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171">
        <v>0</v>
      </c>
      <c r="I12" s="85">
        <f t="shared" si="0"/>
        <v>11</v>
      </c>
      <c r="J12" s="167" t="str">
        <f t="shared" ref="J12:J13" si="6">B12&amp;TEXT(I12,"00")</f>
        <v>4701211</v>
      </c>
      <c r="K12" s="175" t="s">
        <v>198</v>
      </c>
      <c r="L12" s="180" t="s">
        <v>398</v>
      </c>
      <c r="M12" s="181" t="s">
        <v>578</v>
      </c>
      <c r="N12" s="182" t="s">
        <v>199</v>
      </c>
    </row>
    <row r="13" spans="1:18" ht="56" x14ac:dyDescent="0.15">
      <c r="A13" s="173" t="s">
        <v>200</v>
      </c>
      <c r="B13" s="174">
        <f>floors!$C$2</f>
        <v>47012</v>
      </c>
      <c r="C13" s="171" t="str">
        <f ca="1">VLOOKUP($B13,OFFSET([2]quests!$A$1,0,0,COUNTA([2]quests!$A:$A),MATCH(C$1,[2]quests!$1:$1,0)-MATCH($B$1,[2]quests!$1:$1,0)+1),MATCH(C$1,[2]quests!$1:$1,0)-MATCH($B$1,[2]quests!$1:$1,0)+1,FALSE)</f>
        <v>春呼ぶキミの行方</v>
      </c>
      <c r="D13" s="171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175">
        <v>2</v>
      </c>
      <c r="F13" s="17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3" s="171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171">
        <v>0</v>
      </c>
      <c r="I13" s="85">
        <f t="shared" si="0"/>
        <v>12</v>
      </c>
      <c r="J13" s="167" t="str">
        <f t="shared" si="6"/>
        <v>4701212</v>
      </c>
      <c r="K13" s="175" t="s">
        <v>198</v>
      </c>
      <c r="L13" s="180" t="s">
        <v>400</v>
      </c>
      <c r="M13" s="181" t="s">
        <v>580</v>
      </c>
      <c r="N13" s="182" t="s">
        <v>199</v>
      </c>
    </row>
    <row r="14" spans="1:18" ht="70" x14ac:dyDescent="0.15">
      <c r="A14" s="173" t="s">
        <v>197</v>
      </c>
      <c r="B14" s="174">
        <f>floors!$C$2</f>
        <v>47012</v>
      </c>
      <c r="C14" s="171" t="str">
        <f ca="1">VLOOKUP($B14,OFFSET([2]quests!$A$1,0,0,COUNTA([2]quests!$A:$A),MATCH(C$1,[2]quests!$1:$1,0)-MATCH($B$1,[2]quests!$1:$1,0)+1),MATCH(C$1,[2]quests!$1:$1,0)-MATCH($B$1,[2]quests!$1:$1,0)+1,FALSE)</f>
        <v>春呼ぶキミの行方</v>
      </c>
      <c r="D14" s="171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175">
        <v>2</v>
      </c>
      <c r="F14" s="17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4" s="171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171">
        <v>1</v>
      </c>
      <c r="I14" s="85">
        <f t="shared" si="0"/>
        <v>13</v>
      </c>
      <c r="J14" s="167" t="str">
        <f t="shared" ref="J14:J17" si="7">B14&amp;TEXT(I14,"00")</f>
        <v>4701213</v>
      </c>
      <c r="K14" s="175" t="s">
        <v>198</v>
      </c>
      <c r="L14" s="180" t="s">
        <v>262</v>
      </c>
      <c r="M14" s="181" t="s">
        <v>581</v>
      </c>
      <c r="N14" s="182" t="s">
        <v>199</v>
      </c>
    </row>
    <row r="15" spans="1:18" ht="70" x14ac:dyDescent="0.15">
      <c r="A15" s="173" t="s">
        <v>197</v>
      </c>
      <c r="B15" s="174">
        <f>floors!$C$2</f>
        <v>47012</v>
      </c>
      <c r="C15" s="171" t="str">
        <f ca="1">VLOOKUP($B15,OFFSET([2]quests!$A$1,0,0,COUNTA([2]quests!$A:$A),MATCH(C$1,[2]quests!$1:$1,0)-MATCH($B$1,[2]quests!$1:$1,0)+1),MATCH(C$1,[2]quests!$1:$1,0)-MATCH($B$1,[2]quests!$1:$1,0)+1,FALSE)</f>
        <v>春呼ぶキミの行方</v>
      </c>
      <c r="D15" s="171" t="str">
        <f ca="1">VLOOKUP($B15,OFFSET([2]quests!$A$1,0,0,COUNTA([2]quests!$A:$A),MATCH(D$1,[2]quests!$1:$1,0)-MATCH($B$1,[2]quests!$1:$1,0)+1),MATCH(D$1,[2]quests!$1:$1,0)-MATCH($B$1,[2]quests!$1:$1,0)+1,FALSE)</f>
        <v>季節イベント</v>
      </c>
      <c r="E15" s="175">
        <v>2</v>
      </c>
      <c r="F15" s="17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5" s="171" t="str">
        <f ca="1">VLOOKUP($B15&amp;"_"&amp;$E15,OFFSET([2]stages!$A$1,0,0,COUNTA([2]stages!$A:$A),MATCH(G$1,[2]stages!$2:$2,0)-MATCH("temp_stage",[2]stages!$2:$2,0)+1),MATCH(G$1,[2]stages!$2:$2,0)-MATCH("temp_stage",[2]stages!$2:$2,0)+1,FALSE)</f>
        <v>季節イベント</v>
      </c>
      <c r="H15" s="171">
        <v>2</v>
      </c>
      <c r="I15" s="85">
        <f t="shared" si="0"/>
        <v>14</v>
      </c>
      <c r="J15" s="167" t="str">
        <f t="shared" si="7"/>
        <v>4701214</v>
      </c>
      <c r="K15" s="175" t="s">
        <v>198</v>
      </c>
      <c r="L15" s="180" t="s">
        <v>262</v>
      </c>
      <c r="M15" s="181" t="s">
        <v>584</v>
      </c>
      <c r="N15" s="182" t="s">
        <v>199</v>
      </c>
    </row>
    <row r="16" spans="1:18" ht="56" x14ac:dyDescent="0.15">
      <c r="A16" s="173" t="s">
        <v>197</v>
      </c>
      <c r="B16" s="174">
        <f>floors!$C$2</f>
        <v>47012</v>
      </c>
      <c r="C16" s="176" t="str">
        <f ca="1">VLOOKUP($B16,OFFSET([2]quests!$A$1,0,0,COUNTA([2]quests!$A:$A),MATCH(C$1,[2]quests!$1:$1,0)-MATCH($B$1,[2]quests!$1:$1,0)+1),MATCH(C$1,[2]quests!$1:$1,0)-MATCH($B$1,[2]quests!$1:$1,0)+1,FALSE)</f>
        <v>春呼ぶキミの行方</v>
      </c>
      <c r="D16" s="176" t="str">
        <f ca="1">VLOOKUP($B16,OFFSET([2]quests!$A$1,0,0,COUNTA([2]quests!$A:$A),MATCH(D$1,[2]quests!$1:$1,0)-MATCH($B$1,[2]quests!$1:$1,0)+1),MATCH(D$1,[2]quests!$1:$1,0)-MATCH($B$1,[2]quests!$1:$1,0)+1,FALSE)</f>
        <v>季節イベント</v>
      </c>
      <c r="E16" s="175">
        <v>2</v>
      </c>
      <c r="F16" s="176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6" s="176" t="str">
        <f ca="1">VLOOKUP($B16&amp;"_"&amp;$E16,OFFSET([2]stages!$A$1,0,0,COUNTA([2]stages!$A:$A),MATCH(G$1,[2]stages!$2:$2,0)-MATCH("temp_stage",[2]stages!$2:$2,0)+1),MATCH(G$1,[2]stages!$2:$2,0)-MATCH("temp_stage",[2]stages!$2:$2,0)+1,FALSE)</f>
        <v>季節イベント</v>
      </c>
      <c r="H16" s="176">
        <v>3</v>
      </c>
      <c r="I16" s="85">
        <f t="shared" si="0"/>
        <v>15</v>
      </c>
      <c r="J16" s="167" t="str">
        <f t="shared" si="7"/>
        <v>4701215</v>
      </c>
      <c r="K16" s="175" t="s">
        <v>198</v>
      </c>
      <c r="L16" s="180" t="s">
        <v>262</v>
      </c>
      <c r="M16" s="181" t="s">
        <v>585</v>
      </c>
      <c r="N16" s="182" t="s">
        <v>199</v>
      </c>
    </row>
    <row r="17" spans="1:14" ht="56" x14ac:dyDescent="0.15">
      <c r="A17" s="173" t="s">
        <v>197</v>
      </c>
      <c r="B17" s="174">
        <f>floors!$C$2</f>
        <v>47012</v>
      </c>
      <c r="C17" s="171" t="str">
        <f ca="1">VLOOKUP($B17,OFFSET([2]quests!$A$1,0,0,COUNTA([2]quests!$A:$A),MATCH(C$1,[2]quests!$1:$1,0)-MATCH($B$1,[2]quests!$1:$1,0)+1),MATCH(C$1,[2]quests!$1:$1,0)-MATCH($B$1,[2]quests!$1:$1,0)+1,FALSE)</f>
        <v>春呼ぶキミの行方</v>
      </c>
      <c r="D17" s="171" t="str">
        <f ca="1">VLOOKUP($B17,OFFSET([2]quests!$A$1,0,0,COUNTA([2]quests!$A:$A),MATCH(D$1,[2]quests!$1:$1,0)-MATCH($B$1,[2]quests!$1:$1,0)+1),MATCH(D$1,[2]quests!$1:$1,0)-MATCH($B$1,[2]quests!$1:$1,0)+1,FALSE)</f>
        <v>季節イベント</v>
      </c>
      <c r="E17" s="175">
        <v>2</v>
      </c>
      <c r="F17" s="17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7" s="171" t="str">
        <f ca="1">VLOOKUP($B17&amp;"_"&amp;$E17,OFFSET([2]stages!$A$1,0,0,COUNTA([2]stages!$A:$A),MATCH(G$1,[2]stages!$2:$2,0)-MATCH("temp_stage",[2]stages!$2:$2,0)+1),MATCH(G$1,[2]stages!$2:$2,0)-MATCH("temp_stage",[2]stages!$2:$2,0)+1,FALSE)</f>
        <v>季節イベント</v>
      </c>
      <c r="H17" s="171">
        <v>3</v>
      </c>
      <c r="I17" s="85">
        <f t="shared" si="0"/>
        <v>16</v>
      </c>
      <c r="J17" s="167" t="str">
        <f t="shared" si="7"/>
        <v>4701216</v>
      </c>
      <c r="K17" s="175" t="s">
        <v>198</v>
      </c>
      <c r="L17" s="180" t="s">
        <v>262</v>
      </c>
      <c r="M17" s="181" t="s">
        <v>586</v>
      </c>
      <c r="N17" s="182" t="s">
        <v>199</v>
      </c>
    </row>
    <row r="18" spans="1:14" ht="70" x14ac:dyDescent="0.15">
      <c r="A18" s="173" t="s">
        <v>197</v>
      </c>
      <c r="B18" s="174">
        <f>floors!$C$2</f>
        <v>47012</v>
      </c>
      <c r="C18" s="171" t="str">
        <f ca="1">VLOOKUP($B18,OFFSET([2]quests!$A$1,0,0,COUNTA([2]quests!$A:$A),MATCH(C$1,[2]quests!$1:$1,0)-MATCH($B$1,[2]quests!$1:$1,0)+1),MATCH(C$1,[2]quests!$1:$1,0)-MATCH($B$1,[2]quests!$1:$1,0)+1,FALSE)</f>
        <v>春呼ぶキミの行方</v>
      </c>
      <c r="D18" s="171" t="str">
        <f ca="1">VLOOKUP($B18,OFFSET([2]quests!$A$1,0,0,COUNTA([2]quests!$A:$A),MATCH(D$1,[2]quests!$1:$1,0)-MATCH($B$1,[2]quests!$1:$1,0)+1),MATCH(D$1,[2]quests!$1:$1,0)-MATCH($B$1,[2]quests!$1:$1,0)+1,FALSE)</f>
        <v>季節イベント</v>
      </c>
      <c r="E18" s="175">
        <v>2</v>
      </c>
      <c r="F18" s="17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8" s="171" t="str">
        <f ca="1">VLOOKUP($B18&amp;"_"&amp;$E18,OFFSET([2]stages!$A$1,0,0,COUNTA([2]stages!$A:$A),MATCH(G$1,[2]stages!$2:$2,0)-MATCH("temp_stage",[2]stages!$2:$2,0)+1),MATCH(G$1,[2]stages!$2:$2,0)-MATCH("temp_stage",[2]stages!$2:$2,0)+1,FALSE)</f>
        <v>季節イベント</v>
      </c>
      <c r="H18" s="171">
        <v>3</v>
      </c>
      <c r="I18" s="85">
        <f t="shared" si="0"/>
        <v>17</v>
      </c>
      <c r="J18" s="167" t="str">
        <f t="shared" ref="J18:J19" si="8">B18&amp;TEXT(I18,"00")</f>
        <v>4701217</v>
      </c>
      <c r="K18" s="175" t="s">
        <v>198</v>
      </c>
      <c r="L18" s="180" t="s">
        <v>262</v>
      </c>
      <c r="M18" s="181" t="s">
        <v>587</v>
      </c>
      <c r="N18" s="182" t="s">
        <v>199</v>
      </c>
    </row>
    <row r="19" spans="1:14" ht="56" x14ac:dyDescent="0.15">
      <c r="A19" s="173" t="s">
        <v>197</v>
      </c>
      <c r="B19" s="174">
        <f>floors!$C$2</f>
        <v>47012</v>
      </c>
      <c r="C19" s="171" t="str">
        <f ca="1">VLOOKUP($B19,OFFSET([2]quests!$A$1,0,0,COUNTA([2]quests!$A:$A),MATCH(C$1,[2]quests!$1:$1,0)-MATCH($B$1,[2]quests!$1:$1,0)+1),MATCH(C$1,[2]quests!$1:$1,0)-MATCH($B$1,[2]quests!$1:$1,0)+1,FALSE)</f>
        <v>春呼ぶキミの行方</v>
      </c>
      <c r="D19" s="171" t="str">
        <f ca="1">VLOOKUP($B19,OFFSET([2]quests!$A$1,0,0,COUNTA([2]quests!$A:$A),MATCH(D$1,[2]quests!$1:$1,0)-MATCH($B$1,[2]quests!$1:$1,0)+1),MATCH(D$1,[2]quests!$1:$1,0)-MATCH($B$1,[2]quests!$1:$1,0)+1,FALSE)</f>
        <v>季節イベント</v>
      </c>
      <c r="E19" s="175">
        <v>2</v>
      </c>
      <c r="F19" s="17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9" s="171" t="str">
        <f ca="1">VLOOKUP($B19&amp;"_"&amp;$E19,OFFSET([2]stages!$A$1,0,0,COUNTA([2]stages!$A:$A),MATCH(G$1,[2]stages!$2:$2,0)-MATCH("temp_stage",[2]stages!$2:$2,0)+1),MATCH(G$1,[2]stages!$2:$2,0)-MATCH("temp_stage",[2]stages!$2:$2,0)+1,FALSE)</f>
        <v>季節イベント</v>
      </c>
      <c r="H19" s="171">
        <v>3</v>
      </c>
      <c r="I19" s="85">
        <f t="shared" si="0"/>
        <v>18</v>
      </c>
      <c r="J19" s="167" t="str">
        <f t="shared" si="8"/>
        <v>4701218</v>
      </c>
      <c r="K19" s="175" t="s">
        <v>198</v>
      </c>
      <c r="L19" s="180" t="s">
        <v>262</v>
      </c>
      <c r="M19" s="181" t="s">
        <v>583</v>
      </c>
      <c r="N19" s="182" t="s">
        <v>199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4"/>
  <sheetViews>
    <sheetView showGridLines="0" tabSelected="1" workbookViewId="0">
      <pane ySplit="1" topLeftCell="A2" activePane="bottomLeft" state="frozen"/>
      <selection pane="bottomLeft" activeCell="K23" sqref="K23"/>
    </sheetView>
  </sheetViews>
  <sheetFormatPr baseColWidth="12" defaultColWidth="13" defaultRowHeight="15" outlineLevelCol="1" x14ac:dyDescent="0.15"/>
  <cols>
    <col min="1" max="1" width="10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219</v>
      </c>
      <c r="B1" s="93" t="s">
        <v>220</v>
      </c>
      <c r="C1" s="73" t="s">
        <v>221</v>
      </c>
      <c r="D1" s="73" t="s">
        <v>33</v>
      </c>
      <c r="E1" s="93" t="s">
        <v>222</v>
      </c>
      <c r="F1" s="73" t="s">
        <v>223</v>
      </c>
      <c r="G1" s="73" t="s">
        <v>33</v>
      </c>
      <c r="H1" s="93" t="s">
        <v>224</v>
      </c>
      <c r="I1" s="93" t="s">
        <v>225</v>
      </c>
      <c r="J1" s="93" t="s">
        <v>226</v>
      </c>
      <c r="K1" s="69" t="s">
        <v>227</v>
      </c>
      <c r="L1" s="69" t="s">
        <v>228</v>
      </c>
      <c r="M1" s="69" t="s">
        <v>157</v>
      </c>
      <c r="N1" s="73" t="s">
        <v>16</v>
      </c>
      <c r="O1" s="69" t="s">
        <v>229</v>
      </c>
      <c r="P1" s="69" t="s">
        <v>57</v>
      </c>
      <c r="Q1" s="69" t="s">
        <v>230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231</v>
      </c>
      <c r="X1" s="69" t="s">
        <v>232</v>
      </c>
    </row>
    <row r="2" spans="1:24" x14ac:dyDescent="0.15">
      <c r="A2" s="94" t="str">
        <f>B2&amp;"_"&amp;E2&amp;"_"&amp;H2&amp;"_"&amp;I2&amp;"_"&amp;J2</f>
        <v>47012_1_everyone_clear_1</v>
      </c>
      <c r="B2" s="78">
        <v>47012</v>
      </c>
      <c r="C2" s="79" t="str">
        <f ca="1">VLOOKUP($B2,OFFSET([2]quests!$A$1,0,0,COUNTA([2]quests!$A:$A),MATCH(C$1,[2]quests!$1:$1,0)-MATCH($B$1,[2]quests!$1:$1,0)+1),MATCH(C$1,[2]quests!$1:$1,0)-MATCH($B$1,[2]quests!$1:$1,0)+1,FALSE)</f>
        <v>春呼ぶキミの行方</v>
      </c>
      <c r="D2" s="79" t="str">
        <f ca="1">VLOOKUP($B2,OFFSET([2]quests!$A$1,0,0,COUNTA([2]quests!$A:$A),MATCH(D$1,[2]quests!$1:$1,0)-MATCH($B$1,[2]quests!$1:$1,0)+1),MATCH(D$1,[2]quests!$1:$1,0)-MATCH($B$1,[2]quests!$1:$1,0)+1,FALSE)</f>
        <v>季節イベント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【上級】春呼ぶキミの行方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季節イベント</v>
      </c>
      <c r="H2" s="81" t="s">
        <v>233</v>
      </c>
      <c r="I2" s="80" t="s">
        <v>234</v>
      </c>
      <c r="J2" s="80">
        <v>1</v>
      </c>
      <c r="K2" s="80">
        <v>90</v>
      </c>
      <c r="L2" s="80" t="s">
        <v>538</v>
      </c>
      <c r="M2" s="80">
        <v>705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0">
        <v>2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6" t="s">
        <v>236</v>
      </c>
      <c r="X2" s="97" t="s">
        <v>237</v>
      </c>
    </row>
    <row r="3" spans="1:24" x14ac:dyDescent="0.15">
      <c r="A3" s="94" t="str">
        <f>B3&amp;"_"&amp;E3&amp;"_"&amp;H3&amp;"_"&amp;I3&amp;"_"&amp;J3</f>
        <v>47012_1_everyone_clear_2</v>
      </c>
      <c r="B3" s="78">
        <v>47012</v>
      </c>
      <c r="C3" s="79" t="str">
        <f ca="1">VLOOKUP($B3,OFFSET([2]quests!$A$1,0,0,COUNTA([2]quests!$A:$A),MATCH(C$1,[2]quests!$1:$1,0)-MATCH($B$1,[2]quests!$1:$1,0)+1),MATCH(C$1,[2]quests!$1:$1,0)-MATCH($B$1,[2]quests!$1:$1,0)+1,FALSE)</f>
        <v>春呼ぶキミの行方</v>
      </c>
      <c r="D3" s="79" t="str">
        <f ca="1">VLOOKUP($B3,OFFSET([2]quests!$A$1,0,0,COUNTA([2]quests!$A:$A),MATCH(D$1,[2]quests!$1:$1,0)-MATCH($B$1,[2]quests!$1:$1,0)+1),MATCH(D$1,[2]quests!$1:$1,0)-MATCH($B$1,[2]quests!$1:$1,0)+1,FALSE)</f>
        <v>季節イベント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【上級】春呼ぶキミの行方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季節イベント</v>
      </c>
      <c r="H3" s="81" t="s">
        <v>233</v>
      </c>
      <c r="I3" s="80" t="s">
        <v>234</v>
      </c>
      <c r="J3" s="80">
        <v>2</v>
      </c>
      <c r="K3" s="80">
        <v>10</v>
      </c>
      <c r="L3" s="80" t="s">
        <v>538</v>
      </c>
      <c r="M3" s="80">
        <v>705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0">
        <v>3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6" t="s">
        <v>236</v>
      </c>
      <c r="X3" s="97" t="s">
        <v>237</v>
      </c>
    </row>
    <row r="4" spans="1:24" x14ac:dyDescent="0.15">
      <c r="A4" s="94" t="str">
        <f>B4&amp;"_"&amp;E4&amp;"_"&amp;H4&amp;"_"&amp;I4&amp;"_"&amp;J4</f>
        <v>47012_1_everyone_full_member_3</v>
      </c>
      <c r="B4" s="78">
        <v>47012</v>
      </c>
      <c r="C4" s="79" t="str">
        <f ca="1">VLOOKUP($B4,OFFSET([2]quests!$A$1,0,0,COUNTA([2]quests!$A:$A),MATCH(C$1,[2]quests!$1:$1,0)-MATCH($B$1,[2]quests!$1:$1,0)+1),MATCH(C$1,[2]quests!$1:$1,0)-MATCH($B$1,[2]quests!$1:$1,0)+1,FALSE)</f>
        <v>春呼ぶキミの行方</v>
      </c>
      <c r="D4" s="79" t="str">
        <f ca="1">VLOOKUP($B4,OFFSET([2]quests!$A$1,0,0,COUNTA([2]quests!$A:$A),MATCH(D$1,[2]quests!$1:$1,0)-MATCH($B$1,[2]quests!$1:$1,0)+1),MATCH(D$1,[2]quests!$1:$1,0)-MATCH($B$1,[2]quests!$1:$1,0)+1,FALSE)</f>
        <v>季節イベント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【上級】春呼ぶキミの行方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季節イベント</v>
      </c>
      <c r="H4" s="81" t="s">
        <v>233</v>
      </c>
      <c r="I4" s="80" t="s">
        <v>539</v>
      </c>
      <c r="J4" s="80">
        <v>3</v>
      </c>
      <c r="K4" s="80">
        <v>72</v>
      </c>
      <c r="L4" s="80" t="s">
        <v>538</v>
      </c>
      <c r="M4" s="80">
        <v>705</v>
      </c>
      <c r="N4" s="95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/>
      </c>
      <c r="O4" s="80">
        <v>1</v>
      </c>
      <c r="P4" s="80">
        <v>1</v>
      </c>
      <c r="Q4" s="80">
        <v>1</v>
      </c>
      <c r="R4" s="80">
        <v>0</v>
      </c>
      <c r="S4" s="80">
        <v>0</v>
      </c>
      <c r="T4" s="80">
        <v>0</v>
      </c>
      <c r="U4" s="80">
        <v>0</v>
      </c>
      <c r="V4" s="80">
        <v>1</v>
      </c>
      <c r="W4" s="96" t="s">
        <v>236</v>
      </c>
      <c r="X4" s="97" t="s">
        <v>237</v>
      </c>
    </row>
    <row r="5" spans="1:24" x14ac:dyDescent="0.15">
      <c r="A5" s="94" t="str">
        <f>B5&amp;"_"&amp;E5&amp;"_"&amp;H5&amp;"_"&amp;I5&amp;"_"&amp;J5</f>
        <v>47012_1_everyone_full_member_4</v>
      </c>
      <c r="B5" s="78">
        <v>47012</v>
      </c>
      <c r="C5" s="79" t="str">
        <f ca="1">VLOOKUP($B5,OFFSET([2]quests!$A$1,0,0,COUNTA([2]quests!$A:$A),MATCH(C$1,[2]quests!$1:$1,0)-MATCH($B$1,[2]quests!$1:$1,0)+1),MATCH(C$1,[2]quests!$1:$1,0)-MATCH($B$1,[2]quests!$1:$1,0)+1,FALSE)</f>
        <v>春呼ぶキミの行方</v>
      </c>
      <c r="D5" s="79" t="str">
        <f ca="1">VLOOKUP($B5,OFFSET([2]quests!$A$1,0,0,COUNTA([2]quests!$A:$A),MATCH(D$1,[2]quests!$1:$1,0)-MATCH($B$1,[2]quests!$1:$1,0)+1),MATCH(D$1,[2]quests!$1:$1,0)-MATCH($B$1,[2]quests!$1:$1,0)+1,FALSE)</f>
        <v>季節イベント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【上級】春呼ぶキミの行方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季節イベント</v>
      </c>
      <c r="H5" s="81" t="s">
        <v>233</v>
      </c>
      <c r="I5" s="80" t="s">
        <v>539</v>
      </c>
      <c r="J5" s="80">
        <v>4</v>
      </c>
      <c r="K5" s="80">
        <v>9</v>
      </c>
      <c r="L5" s="80" t="s">
        <v>235</v>
      </c>
      <c r="M5" s="80">
        <v>121</v>
      </c>
      <c r="N5" s="95" t="str">
        <f ca="1">IF(L5="unit",VLOOKUP($M5,OFFSET([4]characters!$A$1,0,0,COUNTA([4]characters!$A:$A),MATCH(N$1,[4]characters!$1:$1,0)-MATCH("character_id",[4]characters!$1:$1,0)+1),MATCH(N$1,[4]characters!$1:$1,0)-MATCH("character_id",[4]characters!$1:$1,0)+1,FALSE),"")</f>
        <v>攻めの果実</v>
      </c>
      <c r="O5" s="80">
        <v>1</v>
      </c>
      <c r="P5" s="80">
        <v>1</v>
      </c>
      <c r="Q5" s="80">
        <v>1</v>
      </c>
      <c r="R5" s="80">
        <v>0</v>
      </c>
      <c r="S5" s="80">
        <v>0</v>
      </c>
      <c r="T5" s="80">
        <v>0</v>
      </c>
      <c r="U5" s="80">
        <v>0</v>
      </c>
      <c r="V5" s="80">
        <v>1</v>
      </c>
      <c r="W5" s="96" t="s">
        <v>236</v>
      </c>
      <c r="X5" s="97" t="s">
        <v>237</v>
      </c>
    </row>
    <row r="6" spans="1:24" x14ac:dyDescent="0.15">
      <c r="A6" s="94" t="str">
        <f t="shared" ref="A6:A8" si="0">B6&amp;"_"&amp;E6&amp;"_"&amp;H6&amp;"_"&amp;I6&amp;"_"&amp;J6</f>
        <v>47012_1_everyone_full_member_5</v>
      </c>
      <c r="B6" s="78">
        <v>47012</v>
      </c>
      <c r="C6" s="79" t="str">
        <f ca="1">VLOOKUP($B6,OFFSET([2]quests!$A$1,0,0,COUNTA([2]quests!$A:$A),MATCH(C$1,[2]quests!$1:$1,0)-MATCH($B$1,[2]quests!$1:$1,0)+1),MATCH(C$1,[2]quests!$1:$1,0)-MATCH($B$1,[2]quests!$1:$1,0)+1,FALSE)</f>
        <v>春呼ぶキミの行方</v>
      </c>
      <c r="D6" s="79" t="str">
        <f ca="1">VLOOKUP($B6,OFFSET([2]quests!$A$1,0,0,COUNTA([2]quests!$A:$A),MATCH(D$1,[2]quests!$1:$1,0)-MATCH($B$1,[2]quests!$1:$1,0)+1),MATCH(D$1,[2]quests!$1:$1,0)-MATCH($B$1,[2]quests!$1:$1,0)+1,FALSE)</f>
        <v>季節イベント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【上級】春呼ぶキミの行方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季節イベント</v>
      </c>
      <c r="H6" s="81" t="s">
        <v>233</v>
      </c>
      <c r="I6" s="80" t="s">
        <v>539</v>
      </c>
      <c r="J6" s="80">
        <v>5</v>
      </c>
      <c r="K6" s="80">
        <v>9</v>
      </c>
      <c r="L6" s="80" t="s">
        <v>235</v>
      </c>
      <c r="M6" s="80">
        <v>122</v>
      </c>
      <c r="N6" s="95" t="str">
        <f ca="1">IF(L6="unit",VLOOKUP($M6,OFFSET([4]characters!$A$1,0,0,COUNTA([4]characters!$A:$A),MATCH(N$1,[4]characters!$1:$1,0)-MATCH("character_id",[4]characters!$1:$1,0)+1),MATCH(N$1,[4]characters!$1:$1,0)-MATCH("character_id",[4]characters!$1:$1,0)+1,FALSE),"")</f>
        <v>生命の果実</v>
      </c>
      <c r="O6" s="80">
        <v>1</v>
      </c>
      <c r="P6" s="80">
        <v>1</v>
      </c>
      <c r="Q6" s="80">
        <v>1</v>
      </c>
      <c r="R6" s="80">
        <v>0</v>
      </c>
      <c r="S6" s="80">
        <v>0</v>
      </c>
      <c r="T6" s="80">
        <v>0</v>
      </c>
      <c r="U6" s="80">
        <v>0</v>
      </c>
      <c r="V6" s="80">
        <v>1</v>
      </c>
      <c r="W6" s="96" t="s">
        <v>236</v>
      </c>
      <c r="X6" s="97" t="s">
        <v>237</v>
      </c>
    </row>
    <row r="7" spans="1:24" x14ac:dyDescent="0.15">
      <c r="A7" s="94" t="str">
        <f t="shared" si="0"/>
        <v>47012_1_everyone_full_member_6</v>
      </c>
      <c r="B7" s="78">
        <v>47012</v>
      </c>
      <c r="C7" s="79" t="str">
        <f ca="1">VLOOKUP($B7,OFFSET([2]quests!$A$1,0,0,COUNTA([2]quests!$A:$A),MATCH(C$1,[2]quests!$1:$1,0)-MATCH($B$1,[2]quests!$1:$1,0)+1),MATCH(C$1,[2]quests!$1:$1,0)-MATCH($B$1,[2]quests!$1:$1,0)+1,FALSE)</f>
        <v>春呼ぶキミの行方</v>
      </c>
      <c r="D7" s="79" t="str">
        <f ca="1">VLOOKUP($B7,OFFSET([2]quests!$A$1,0,0,COUNTA([2]quests!$A:$A),MATCH(D$1,[2]quests!$1:$1,0)-MATCH($B$1,[2]quests!$1:$1,0)+1),MATCH(D$1,[2]quests!$1:$1,0)-MATCH($B$1,[2]quests!$1:$1,0)+1,FALSE)</f>
        <v>季節イベント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【上級】春呼ぶキミの行方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季節イベント</v>
      </c>
      <c r="H7" s="81" t="s">
        <v>233</v>
      </c>
      <c r="I7" s="80" t="s">
        <v>539</v>
      </c>
      <c r="J7" s="80">
        <v>6</v>
      </c>
      <c r="K7" s="80">
        <v>9</v>
      </c>
      <c r="L7" s="80" t="s">
        <v>235</v>
      </c>
      <c r="M7" s="80">
        <v>123</v>
      </c>
      <c r="N7" s="95" t="str">
        <f ca="1">IF(L7="unit",VLOOKUP($M7,OFFSET([4]characters!$A$1,0,0,COUNTA([4]characters!$A:$A),MATCH(N$1,[4]characters!$1:$1,0)-MATCH("character_id",[4]characters!$1:$1,0)+1),MATCH(N$1,[4]characters!$1:$1,0)-MATCH("character_id",[4]characters!$1:$1,0)+1,FALSE),"")</f>
        <v>癒しの果実</v>
      </c>
      <c r="O7" s="80">
        <v>1</v>
      </c>
      <c r="P7" s="80">
        <v>1</v>
      </c>
      <c r="Q7" s="80">
        <v>1</v>
      </c>
      <c r="R7" s="80">
        <v>0</v>
      </c>
      <c r="S7" s="80">
        <v>0</v>
      </c>
      <c r="T7" s="80">
        <v>0</v>
      </c>
      <c r="U7" s="80">
        <v>0</v>
      </c>
      <c r="V7" s="80">
        <v>1</v>
      </c>
      <c r="W7" s="96" t="s">
        <v>236</v>
      </c>
      <c r="X7" s="97" t="s">
        <v>237</v>
      </c>
    </row>
    <row r="8" spans="1:24" ht="16" thickBot="1" x14ac:dyDescent="0.2">
      <c r="A8" s="221" t="str">
        <f t="shared" si="0"/>
        <v>47012_1_everyone_full_member_7</v>
      </c>
      <c r="B8" s="222">
        <v>47012</v>
      </c>
      <c r="C8" s="141" t="str">
        <f ca="1">VLOOKUP($B8,OFFSET([2]quests!$A$1,0,0,COUNTA([2]quests!$A:$A),MATCH(C$1,[2]quests!$1:$1,0)-MATCH($B$1,[2]quests!$1:$1,0)+1),MATCH(C$1,[2]quests!$1:$1,0)-MATCH($B$1,[2]quests!$1:$1,0)+1,FALSE)</f>
        <v>春呼ぶキミの行方</v>
      </c>
      <c r="D8" s="141" t="str">
        <f ca="1">VLOOKUP($B8,OFFSET([2]quests!$A$1,0,0,COUNTA([2]quests!$A:$A),MATCH(D$1,[2]quests!$1:$1,0)-MATCH($B$1,[2]quests!$1:$1,0)+1),MATCH(D$1,[2]quests!$1:$1,0)-MATCH($B$1,[2]quests!$1:$1,0)+1,FALSE)</f>
        <v>季節イベント</v>
      </c>
      <c r="E8" s="223">
        <v>1</v>
      </c>
      <c r="F8" s="141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【上級】春呼ぶキミの行方</v>
      </c>
      <c r="G8" s="141" t="str">
        <f ca="1">VLOOKUP($B8&amp;"_"&amp;$E8,OFFSET([2]stages!$A$1,0,0,COUNTA([2]stages!$A:$A),MATCH(G$1,[2]stages!$2:$2,0)-MATCH("temp_stage",[2]stages!$2:$2,0)+1),MATCH(G$1,[2]stages!$2:$2,0)-MATCH("temp_stage",[2]stages!$2:$2,0)+1,FALSE)</f>
        <v>季節イベント</v>
      </c>
      <c r="H8" s="142" t="s">
        <v>233</v>
      </c>
      <c r="I8" s="223" t="s">
        <v>539</v>
      </c>
      <c r="J8" s="223">
        <v>7</v>
      </c>
      <c r="K8" s="223">
        <v>1</v>
      </c>
      <c r="L8" s="223" t="s">
        <v>235</v>
      </c>
      <c r="M8" s="223">
        <v>795</v>
      </c>
      <c r="N8" s="224" t="str">
        <f ca="1">IF(L8="unit",VLOOKUP($M8,OFFSET([4]characters!$A$1,0,0,COUNTA([4]characters!$A:$A),MATCH(N$1,[4]characters!$1:$1,0)-MATCH("character_id",[4]characters!$1:$1,0)+1),MATCH(N$1,[4]characters!$1:$1,0)-MATCH("character_id",[4]characters!$1:$1,0)+1,FALSE),"")</f>
        <v>桜花の果実</v>
      </c>
      <c r="O8" s="223">
        <v>1</v>
      </c>
      <c r="P8" s="223">
        <v>1</v>
      </c>
      <c r="Q8" s="223">
        <v>1</v>
      </c>
      <c r="R8" s="223">
        <v>0</v>
      </c>
      <c r="S8" s="223">
        <v>0</v>
      </c>
      <c r="T8" s="223">
        <v>0</v>
      </c>
      <c r="U8" s="223">
        <v>0</v>
      </c>
      <c r="V8" s="223">
        <v>1</v>
      </c>
      <c r="W8" s="225" t="s">
        <v>236</v>
      </c>
      <c r="X8" s="226" t="s">
        <v>237</v>
      </c>
    </row>
    <row r="9" spans="1:24" ht="16" thickTop="1" x14ac:dyDescent="0.15">
      <c r="A9" s="94" t="str">
        <f t="shared" ref="A9:A14" si="1">B9&amp;"_"&amp;E9&amp;"_"&amp;H9&amp;"_"&amp;I9&amp;"_"&amp;J9</f>
        <v>47012_2_everyone_clear_8</v>
      </c>
      <c r="B9" s="137">
        <v>47012</v>
      </c>
      <c r="C9" s="79" t="str">
        <f ca="1">VLOOKUP($B9,OFFSET([2]quests!$A$1,0,0,COUNTA([2]quests!$A:$A),MATCH(C$1,[2]quests!$1:$1,0)-MATCH($B$1,[2]quests!$1:$1,0)+1),MATCH(C$1,[2]quests!$1:$1,0)-MATCH($B$1,[2]quests!$1:$1,0)+1,FALSE)</f>
        <v>春呼ぶキミの行方</v>
      </c>
      <c r="D9" s="79" t="str">
        <f ca="1">VLOOKUP($B9,OFFSET([2]quests!$A$1,0,0,COUNTA([2]quests!$A:$A),MATCH(D$1,[2]quests!$1:$1,0)-MATCH($B$1,[2]quests!$1:$1,0)+1),MATCH(D$1,[2]quests!$1:$1,0)-MATCH($B$1,[2]quests!$1:$1,0)+1,FALSE)</f>
        <v>季節イベント</v>
      </c>
      <c r="E9" s="227">
        <v>2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季節イベント</v>
      </c>
      <c r="H9" s="81" t="s">
        <v>233</v>
      </c>
      <c r="I9" s="138" t="s">
        <v>541</v>
      </c>
      <c r="J9" s="138">
        <v>8</v>
      </c>
      <c r="K9" s="138">
        <v>30</v>
      </c>
      <c r="L9" s="138" t="s">
        <v>542</v>
      </c>
      <c r="M9" s="138">
        <v>705</v>
      </c>
      <c r="N9" s="218" t="str">
        <f ca="1">IF(L9="unit",VLOOKUP($M9,OFFSET([4]characters!$A$1,0,0,COUNTA([4]characters!$A:$A),MATCH(N$1,[4]characters!$1:$1,0)-MATCH("character_id",[4]characters!$1:$1,0)+1),MATCH(N$1,[4]characters!$1:$1,0)-MATCH("character_id",[4]characters!$1:$1,0)+1,FALSE),"")</f>
        <v/>
      </c>
      <c r="O9" s="138">
        <v>2</v>
      </c>
      <c r="P9" s="138">
        <v>1</v>
      </c>
      <c r="Q9" s="138">
        <v>1</v>
      </c>
      <c r="R9" s="138">
        <v>0</v>
      </c>
      <c r="S9" s="138">
        <v>0</v>
      </c>
      <c r="T9" s="138">
        <v>0</v>
      </c>
      <c r="U9" s="138">
        <v>0</v>
      </c>
      <c r="V9" s="138">
        <v>1</v>
      </c>
      <c r="W9" s="219" t="s">
        <v>236</v>
      </c>
      <c r="X9" s="220" t="s">
        <v>237</v>
      </c>
    </row>
    <row r="10" spans="1:24" x14ac:dyDescent="0.15">
      <c r="A10" s="94" t="str">
        <f t="shared" si="1"/>
        <v>47012_2_everyone_clear_9</v>
      </c>
      <c r="B10" s="78">
        <v>47012</v>
      </c>
      <c r="C10" s="79" t="str">
        <f ca="1">VLOOKUP($B10,OFFSET([2]quests!$A$1,0,0,COUNTA([2]quests!$A:$A),MATCH(C$1,[2]quests!$1:$1,0)-MATCH($B$1,[2]quests!$1:$1,0)+1),MATCH(C$1,[2]quests!$1:$1,0)-MATCH($B$1,[2]quests!$1:$1,0)+1,FALSE)</f>
        <v>春呼ぶキミの行方</v>
      </c>
      <c r="D10" s="79" t="str">
        <f ca="1">VLOOKUP($B10,OFFSET([2]quests!$A$1,0,0,COUNTA([2]quests!$A:$A),MATCH(D$1,[2]quests!$1:$1,0)-MATCH($B$1,[2]quests!$1:$1,0)+1),MATCH(D$1,[2]quests!$1:$1,0)-MATCH($B$1,[2]quests!$1:$1,0)+1,FALSE)</f>
        <v>季節イベント</v>
      </c>
      <c r="E10" s="228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季節イベント</v>
      </c>
      <c r="H10" s="81" t="s">
        <v>233</v>
      </c>
      <c r="I10" s="80" t="s">
        <v>540</v>
      </c>
      <c r="J10" s="80">
        <v>9</v>
      </c>
      <c r="K10" s="80">
        <v>70</v>
      </c>
      <c r="L10" s="80" t="s">
        <v>543</v>
      </c>
      <c r="M10" s="80">
        <v>705</v>
      </c>
      <c r="N10" s="95" t="str">
        <f ca="1">IF(L10="unit",VLOOKUP($M10,OFFSET([4]characters!$A$1,0,0,COUNTA([4]characters!$A:$A),MATCH(N$1,[4]characters!$1:$1,0)-MATCH("character_id",[4]characters!$1:$1,0)+1),MATCH(N$1,[4]characters!$1:$1,0)-MATCH("character_id",[4]characters!$1:$1,0)+1,FALSE),"")</f>
        <v/>
      </c>
      <c r="O10" s="80">
        <v>3</v>
      </c>
      <c r="P10" s="80">
        <v>1</v>
      </c>
      <c r="Q10" s="80">
        <v>1</v>
      </c>
      <c r="R10" s="80">
        <v>0</v>
      </c>
      <c r="S10" s="80">
        <v>0</v>
      </c>
      <c r="T10" s="80">
        <v>0</v>
      </c>
      <c r="U10" s="80">
        <v>0</v>
      </c>
      <c r="V10" s="80">
        <v>1</v>
      </c>
      <c r="W10" s="96" t="s">
        <v>236</v>
      </c>
      <c r="X10" s="97" t="s">
        <v>237</v>
      </c>
    </row>
    <row r="11" spans="1:24" x14ac:dyDescent="0.15">
      <c r="A11" s="94" t="str">
        <f t="shared" si="1"/>
        <v>47012_2_everyone_no_continue_10</v>
      </c>
      <c r="B11" s="78">
        <v>47012</v>
      </c>
      <c r="C11" s="79" t="str">
        <f ca="1">VLOOKUP($B11,OFFSET([2]quests!$A$1,0,0,COUNTA([2]quests!$A:$A),MATCH(C$1,[2]quests!$1:$1,0)-MATCH($B$1,[2]quests!$1:$1,0)+1),MATCH(C$1,[2]quests!$1:$1,0)-MATCH($B$1,[2]quests!$1:$1,0)+1,FALSE)</f>
        <v>春呼ぶキミの行方</v>
      </c>
      <c r="D11" s="79" t="str">
        <f ca="1">VLOOKUP($B11,OFFSET([2]quests!$A$1,0,0,COUNTA([2]quests!$A:$A),MATCH(D$1,[2]quests!$1:$1,0)-MATCH($B$1,[2]quests!$1:$1,0)+1),MATCH(D$1,[2]quests!$1:$1,0)-MATCH($B$1,[2]quests!$1:$1,0)+1,FALSE)</f>
        <v>季節イベント</v>
      </c>
      <c r="E11" s="228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季節イベント</v>
      </c>
      <c r="H11" s="81" t="s">
        <v>233</v>
      </c>
      <c r="I11" s="80" t="s">
        <v>238</v>
      </c>
      <c r="J11" s="80">
        <v>10</v>
      </c>
      <c r="K11" s="80">
        <v>70</v>
      </c>
      <c r="L11" s="80" t="s">
        <v>543</v>
      </c>
      <c r="M11" s="80">
        <v>705</v>
      </c>
      <c r="N11" s="95" t="str">
        <f ca="1">IF(L11="unit",VLOOKUP($M11,OFFSET([4]characters!$A$1,0,0,COUNTA([4]characters!$A:$A),MATCH(N$1,[4]characters!$1:$1,0)-MATCH("character_id",[4]characters!$1:$1,0)+1),MATCH(N$1,[4]characters!$1:$1,0)-MATCH("character_id",[4]characters!$1:$1,0)+1,FALSE),"")</f>
        <v/>
      </c>
      <c r="O11" s="80">
        <v>2</v>
      </c>
      <c r="P11" s="80">
        <v>1</v>
      </c>
      <c r="Q11" s="80">
        <v>1</v>
      </c>
      <c r="R11" s="80">
        <v>0</v>
      </c>
      <c r="S11" s="80">
        <v>0</v>
      </c>
      <c r="T11" s="80">
        <v>0</v>
      </c>
      <c r="U11" s="80">
        <v>0</v>
      </c>
      <c r="V11" s="80">
        <v>1</v>
      </c>
      <c r="W11" s="96" t="s">
        <v>236</v>
      </c>
      <c r="X11" s="97" t="s">
        <v>237</v>
      </c>
    </row>
    <row r="12" spans="1:24" x14ac:dyDescent="0.15">
      <c r="A12" s="94" t="str">
        <f t="shared" si="1"/>
        <v>47012_2_everyone_no_continue_11</v>
      </c>
      <c r="B12" s="78">
        <v>47012</v>
      </c>
      <c r="C12" s="79" t="str">
        <f ca="1">VLOOKUP($B12,OFFSET([2]quests!$A$1,0,0,COUNTA([2]quests!$A:$A),MATCH(C$1,[2]quests!$1:$1,0)-MATCH($B$1,[2]quests!$1:$1,0)+1),MATCH(C$1,[2]quests!$1:$1,0)-MATCH($B$1,[2]quests!$1:$1,0)+1,FALSE)</f>
        <v>春呼ぶキミの行方</v>
      </c>
      <c r="D12" s="79" t="str">
        <f ca="1">VLOOKUP($B12,OFFSET([2]quests!$A$1,0,0,COUNTA([2]quests!$A:$A),MATCH(D$1,[2]quests!$1:$1,0)-MATCH($B$1,[2]quests!$1:$1,0)+1),MATCH(D$1,[2]quests!$1:$1,0)-MATCH($B$1,[2]quests!$1:$1,0)+1,FALSE)</f>
        <v>季節イベント</v>
      </c>
      <c r="E12" s="228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季節イベント</v>
      </c>
      <c r="H12" s="81" t="s">
        <v>233</v>
      </c>
      <c r="I12" s="80" t="s">
        <v>238</v>
      </c>
      <c r="J12" s="80">
        <v>11</v>
      </c>
      <c r="K12" s="80">
        <v>30</v>
      </c>
      <c r="L12" s="80" t="s">
        <v>543</v>
      </c>
      <c r="M12" s="80">
        <v>705</v>
      </c>
      <c r="N12" s="95" t="str">
        <f ca="1">IF(L12="unit",VLOOKUP($M12,OFFSET([4]characters!$A$1,0,0,COUNTA([4]characters!$A:$A),MATCH(N$1,[4]characters!$1:$1,0)-MATCH("character_id",[4]characters!$1:$1,0)+1),MATCH(N$1,[4]characters!$1:$1,0)-MATCH("character_id",[4]characters!$1:$1,0)+1,FALSE),"")</f>
        <v/>
      </c>
      <c r="O12" s="80">
        <v>3</v>
      </c>
      <c r="P12" s="80">
        <v>1</v>
      </c>
      <c r="Q12" s="80">
        <v>1</v>
      </c>
      <c r="R12" s="80">
        <v>0</v>
      </c>
      <c r="S12" s="80">
        <v>0</v>
      </c>
      <c r="T12" s="80">
        <v>0</v>
      </c>
      <c r="U12" s="80">
        <v>0</v>
      </c>
      <c r="V12" s="80">
        <v>1</v>
      </c>
      <c r="W12" s="96" t="s">
        <v>236</v>
      </c>
      <c r="X12" s="97" t="s">
        <v>237</v>
      </c>
    </row>
    <row r="13" spans="1:24" x14ac:dyDescent="0.15">
      <c r="A13" s="94" t="str">
        <f t="shared" si="1"/>
        <v>47012_2_everyone_full_member_12</v>
      </c>
      <c r="B13" s="78">
        <v>47012</v>
      </c>
      <c r="C13" s="79" t="str">
        <f ca="1">VLOOKUP($B13,OFFSET([2]quests!$A$1,0,0,COUNTA([2]quests!$A:$A),MATCH(C$1,[2]quests!$1:$1,0)-MATCH($B$1,[2]quests!$1:$1,0)+1),MATCH(C$1,[2]quests!$1:$1,0)-MATCH($B$1,[2]quests!$1:$1,0)+1,FALSE)</f>
        <v>春呼ぶキミの行方</v>
      </c>
      <c r="D13" s="79" t="str">
        <f ca="1">VLOOKUP($B13,OFFSET([2]quests!$A$1,0,0,COUNTA([2]quests!$A:$A),MATCH(D$1,[2]quests!$1:$1,0)-MATCH($B$1,[2]quests!$1:$1,0)+1),MATCH(D$1,[2]quests!$1:$1,0)-MATCH($B$1,[2]quests!$1:$1,0)+1,FALSE)</f>
        <v>季節イベント</v>
      </c>
      <c r="E13" s="228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季節イベント</v>
      </c>
      <c r="H13" s="81" t="s">
        <v>233</v>
      </c>
      <c r="I13" s="80" t="s">
        <v>539</v>
      </c>
      <c r="J13" s="80">
        <v>12</v>
      </c>
      <c r="K13" s="80">
        <v>70</v>
      </c>
      <c r="L13" s="80" t="s">
        <v>543</v>
      </c>
      <c r="M13" s="80">
        <v>705</v>
      </c>
      <c r="N13" s="95" t="str">
        <f ca="1">IF(L13="unit",VLOOKUP($M13,OFFSET([4]characters!$A$1,0,0,COUNTA([4]characters!$A:$A),MATCH(N$1,[4]characters!$1:$1,0)-MATCH("character_id",[4]characters!$1:$1,0)+1),MATCH(N$1,[4]characters!$1:$1,0)-MATCH("character_id",[4]characters!$1:$1,0)+1,FALSE),"")</f>
        <v/>
      </c>
      <c r="O13" s="80">
        <v>2</v>
      </c>
      <c r="P13" s="80">
        <v>1</v>
      </c>
      <c r="Q13" s="80">
        <v>1</v>
      </c>
      <c r="R13" s="80">
        <v>0</v>
      </c>
      <c r="S13" s="80">
        <v>0</v>
      </c>
      <c r="T13" s="80">
        <v>0</v>
      </c>
      <c r="U13" s="80">
        <v>0</v>
      </c>
      <c r="V13" s="80">
        <v>1</v>
      </c>
      <c r="W13" s="96" t="s">
        <v>236</v>
      </c>
      <c r="X13" s="97" t="s">
        <v>237</v>
      </c>
    </row>
    <row r="14" spans="1:24" x14ac:dyDescent="0.15">
      <c r="A14" s="94" t="str">
        <f t="shared" si="1"/>
        <v>47012_2_everyone_full_member_13</v>
      </c>
      <c r="B14" s="78">
        <v>47012</v>
      </c>
      <c r="C14" s="79" t="str">
        <f ca="1">VLOOKUP($B14,OFFSET([2]quests!$A$1,0,0,COUNTA([2]quests!$A:$A),MATCH(C$1,[2]quests!$1:$1,0)-MATCH($B$1,[2]quests!$1:$1,0)+1),MATCH(C$1,[2]quests!$1:$1,0)-MATCH($B$1,[2]quests!$1:$1,0)+1,FALSE)</f>
        <v>春呼ぶキミの行方</v>
      </c>
      <c r="D14" s="79" t="str">
        <f ca="1">VLOOKUP($B14,OFFSET([2]quests!$A$1,0,0,COUNTA([2]quests!$A:$A),MATCH(D$1,[2]quests!$1:$1,0)-MATCH($B$1,[2]quests!$1:$1,0)+1),MATCH(D$1,[2]quests!$1:$1,0)-MATCH($B$1,[2]quests!$1:$1,0)+1,FALSE)</f>
        <v>季節イベント</v>
      </c>
      <c r="E14" s="228">
        <v>2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【ウィザード級】春呼ぶキミの行方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季節イベント</v>
      </c>
      <c r="H14" s="81" t="s">
        <v>233</v>
      </c>
      <c r="I14" s="80" t="s">
        <v>539</v>
      </c>
      <c r="J14" s="80">
        <v>13</v>
      </c>
      <c r="K14" s="80">
        <v>30</v>
      </c>
      <c r="L14" s="80" t="s">
        <v>543</v>
      </c>
      <c r="M14" s="80">
        <v>705</v>
      </c>
      <c r="N14" s="95" t="str">
        <f ca="1">IF(L14="unit",VLOOKUP($M14,OFFSET([4]characters!$A$1,0,0,COUNTA([4]characters!$A:$A),MATCH(N$1,[4]characters!$1:$1,0)-MATCH("character_id",[4]characters!$1:$1,0)+1),MATCH(N$1,[4]characters!$1:$1,0)-MATCH("character_id",[4]characters!$1:$1,0)+1,FALSE),"")</f>
        <v/>
      </c>
      <c r="O14" s="80">
        <v>3</v>
      </c>
      <c r="P14" s="80">
        <v>1</v>
      </c>
      <c r="Q14" s="80">
        <v>1</v>
      </c>
      <c r="R14" s="80">
        <v>0</v>
      </c>
      <c r="S14" s="80">
        <v>0</v>
      </c>
      <c r="T14" s="80">
        <v>0</v>
      </c>
      <c r="U14" s="80">
        <v>0</v>
      </c>
      <c r="V14" s="80">
        <v>1</v>
      </c>
      <c r="W14" s="96" t="s">
        <v>236</v>
      </c>
      <c r="X14" s="97" t="s">
        <v>237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2017-04-07T11:13:27Z</dcterms:modified>
</cp:coreProperties>
</file>