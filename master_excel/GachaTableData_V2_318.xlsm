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25600" yWindow="0" windowWidth="24180" windowHeight="14640" tabRatio="943" activeTab="2"/>
  </bookViews>
  <sheets>
    <sheet name="Sheet1" sheetId="107" r:id="rId1"/>
    <sheet name="output" sheetId="103" r:id="rId2"/>
    <sheet name="input_318100" sheetId="106" r:id="rId3"/>
    <sheet name="tables_318100" sheetId="82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3" hidden="1">tables_318100!$A$1:$T$245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06" l="1"/>
  <c r="A2" i="106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C17" i="106"/>
  <c r="D17" i="106"/>
  <c r="G17" i="106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H149" i="82"/>
  <c r="B149" i="82"/>
  <c r="G150" i="82"/>
  <c r="C150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G185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G197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H213" i="82"/>
  <c r="B213" i="82"/>
  <c r="G214" i="82"/>
  <c r="C214" i="82"/>
  <c r="H214" i="82"/>
  <c r="B214" i="82"/>
  <c r="G215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G224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G239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G246" i="82"/>
  <c r="C246" i="82"/>
  <c r="H246" i="82"/>
  <c r="B246" i="82"/>
  <c r="G247" i="82"/>
  <c r="C247" i="82"/>
  <c r="H247" i="82"/>
  <c r="B247" i="82"/>
  <c r="G248" i="82"/>
  <c r="C248" i="82"/>
  <c r="H248" i="82"/>
  <c r="B248" i="82"/>
  <c r="G249" i="82"/>
  <c r="C249" i="82"/>
  <c r="H249" i="82"/>
  <c r="B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E17" i="106"/>
  <c r="H17" i="106"/>
  <c r="M2" i="82"/>
  <c r="M4" i="82"/>
  <c r="M6" i="82"/>
  <c r="M8" i="82"/>
  <c r="B18" i="106"/>
  <c r="C18" i="106"/>
  <c r="D18" i="106"/>
  <c r="G18" i="106"/>
  <c r="E18" i="106"/>
  <c r="H18" i="106"/>
  <c r="M3" i="82"/>
  <c r="M5" i="82"/>
  <c r="M7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B21" i="106"/>
  <c r="C21" i="106"/>
  <c r="D21" i="106"/>
  <c r="G21" i="106"/>
  <c r="E21" i="106"/>
  <c r="H21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C19" i="106"/>
  <c r="D19" i="106"/>
  <c r="G19" i="106"/>
  <c r="E19" i="106"/>
  <c r="H19" i="106"/>
  <c r="M138" i="82"/>
  <c r="C22" i="106"/>
  <c r="D22" i="106"/>
  <c r="G22" i="106"/>
  <c r="E22" i="106"/>
  <c r="H22" i="106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R10" i="106"/>
  <c r="M161" i="82"/>
  <c r="R11" i="106"/>
  <c r="M162" i="82"/>
  <c r="R12" i="106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R3" i="106"/>
  <c r="M176" i="82"/>
  <c r="R4" i="106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R7" i="106"/>
  <c r="M203" i="82"/>
  <c r="R8" i="106"/>
  <c r="M204" i="82"/>
  <c r="R9" i="106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R5" i="106"/>
  <c r="M238" i="82"/>
  <c r="R6" i="106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B36" i="106"/>
  <c r="B37" i="106"/>
  <c r="B38" i="106"/>
  <c r="B39" i="106"/>
  <c r="B40" i="106"/>
  <c r="B41" i="106"/>
  <c r="B42" i="106"/>
  <c r="B43" i="106"/>
  <c r="C36" i="106"/>
  <c r="C37" i="106"/>
  <c r="C38" i="106"/>
  <c r="C39" i="106"/>
  <c r="C40" i="106"/>
  <c r="C41" i="106"/>
  <c r="C42" i="106"/>
  <c r="C43" i="106"/>
  <c r="B5" i="106"/>
  <c r="B17" i="106"/>
  <c r="E20" i="106"/>
  <c r="C20" i="106"/>
  <c r="D20" i="106"/>
  <c r="G20" i="106"/>
  <c r="H20" i="106"/>
  <c r="E23" i="106"/>
  <c r="C23" i="106"/>
  <c r="D23" i="106"/>
  <c r="G23" i="106"/>
  <c r="H23" i="106"/>
  <c r="A246" i="82"/>
  <c r="F246" i="82"/>
  <c r="I246" i="82"/>
  <c r="J246" i="82"/>
  <c r="K246" i="82"/>
  <c r="L246" i="82"/>
  <c r="N246" i="82"/>
  <c r="O246" i="82"/>
  <c r="P246" i="82"/>
  <c r="Q246" i="82"/>
  <c r="R246" i="82"/>
  <c r="S246" i="82"/>
  <c r="T246" i="82"/>
  <c r="A247" i="82"/>
  <c r="F247" i="82"/>
  <c r="I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I249" i="82"/>
  <c r="J249" i="82"/>
  <c r="K249" i="82"/>
  <c r="L249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C2" i="103"/>
  <c r="C3" i="103"/>
  <c r="M4" i="106"/>
  <c r="F43" i="106"/>
  <c r="F42" i="106"/>
  <c r="M12" i="106"/>
  <c r="M11" i="106"/>
  <c r="M10" i="106"/>
  <c r="M9" i="106"/>
  <c r="M8" i="106"/>
  <c r="M7" i="106"/>
  <c r="M6" i="106"/>
  <c r="M5" i="106"/>
  <c r="M3" i="106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B24" i="106"/>
  <c r="F41" i="106"/>
  <c r="F38" i="106"/>
  <c r="F37" i="106"/>
  <c r="F36" i="106"/>
  <c r="I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<sst xmlns="http://schemas.openxmlformats.org/spreadsheetml/2006/main" count="193" uniqueCount="142">
  <si>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</si>
  <si>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</si>
  <si>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</si>
  <si>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</si>
  <si>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</si>
  <si>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</si>
  <si>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</si>
  <si>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</si>
  <si>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</si>
  <si>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</si>
  <si>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</si>
  <si>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</si>
  <si>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</si>
  <si>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</si>
  <si>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</si>
  <si>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</si>
  <si>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</si>
  <si>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</si>
  <si>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</si>
  <si>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</si>
  <si>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</si>
  <si>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</si>
  <si>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</si>
  <si>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</si>
  <si>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</si>
  <si>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</si>
  <si>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</si>
  <si>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</si>
  <si>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</si>
  <si>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</si>
  <si>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</si>
  <si>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</si>
  <si>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</si>
  <si>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</si>
  <si>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</si>
  <si>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</si>
  <si>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</si>
  <si>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</si>
  <si>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</si>
  <si>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</si>
  <si>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</si>
  <si>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</si>
  <si>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</si>
  <si>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</si>
  <si>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</si>
  <si>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</si>
  <si>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</si>
  <si>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</si>
  <si>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</si>
  <si>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</si>
  <si>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</si>
  <si>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</si>
  <si>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</si>
  <si>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</si>
  <si>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name</t>
    <phoneticPr fontId="17"/>
  </si>
  <si>
    <t>バグ設定ユニット数</t>
    <rPh sb="2" eb="9">
      <t>セッテイy</t>
    </rPh>
    <phoneticPr fontId="17"/>
  </si>
  <si>
    <t>単発ガチャ</t>
    <rPh sb="0" eb="5">
      <t>タンパt</t>
    </rPh>
    <phoneticPr fontId="17"/>
  </si>
  <si>
    <t>unit_level</t>
    <phoneticPr fontId="17"/>
  </si>
  <si>
    <t>フェス限定キャラ数</t>
    <rPh sb="3" eb="8">
      <t>ゲン</t>
    </rPh>
    <rPh sb="8" eb="9">
      <t>シュt</t>
    </rPh>
    <phoneticPr fontId="17"/>
  </si>
  <si>
    <t>１０連ガチャ</t>
    <rPh sb="2" eb="6">
      <t>レン</t>
    </rPh>
    <phoneticPr fontId="17"/>
  </si>
  <si>
    <t>確定枠</t>
    <rPh sb="0" eb="3">
      <t>カクテ</t>
    </rPh>
    <phoneticPr fontId="17"/>
  </si>
  <si>
    <t>今回のガチャID</t>
    <rPh sb="0" eb="3">
      <t>コンカ</t>
    </rPh>
    <phoneticPr fontId="17"/>
  </si>
  <si>
    <t>other</t>
    <phoneticPr fontId="17"/>
  </si>
  <si>
    <t>総ユニット数</t>
    <rPh sb="0" eb="1">
      <t>ソウ</t>
    </rPh>
    <rPh sb="5" eb="6">
      <t>ス</t>
    </rPh>
    <phoneticPr fontId="17"/>
  </si>
  <si>
    <t>総ユニット数</t>
    <rPh sb="0" eb="6">
      <t>ソウユニッt</t>
    </rPh>
    <phoneticPr fontId="17"/>
  </si>
  <si>
    <t>レベル設定ユニット数</t>
    <rPh sb="3" eb="10">
      <t>セッテイy</t>
    </rPh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</si>
  <si>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</si>
  <si>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</si>
  <si>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</si>
  <si>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</si>
  <si>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</si>
  <si>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</si>
  <si>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</si>
  <si>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</si>
  <si>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</si>
  <si>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</si>
  <si>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基準確率</t>
    <rPh sb="0" eb="2">
      <t>キジュン</t>
    </rPh>
    <rPh sb="2" eb="4">
      <t>ヒョウジュンカクリツ</t>
    </rPh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</si>
  <si>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</si>
  <si>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</si>
  <si>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</si>
  <si>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</si>
  <si>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</si>
  <si>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</si>
  <si>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</si>
  <si>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</si>
  <si>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</si>
  <si>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</si>
  <si>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</si>
  <si>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</si>
  <si>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</si>
  <si>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</si>
  <si>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</si>
  <si>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</si>
  <si>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</si>
  <si>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</si>
  <si>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</si>
  <si>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</si>
  <si>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</si>
  <si>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</si>
  <si>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</si>
  <si>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</si>
  <si>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</si>
  <si>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</si>
  <si>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</si>
  <si>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</si>
  <si>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</si>
  <si>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</si>
  <si>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</si>
  <si>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</si>
  <si>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</si>
  <si>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</si>
  <si>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</si>
  <si>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</si>
  <si>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</si>
  <si>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</si>
  <si>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</si>
  <si>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</si>
  <si>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</si>
  <si>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</si>
  <si>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</si>
  <si>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</si>
  <si>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W.N.S</t>
    <phoneticPr fontId="17"/>
  </si>
  <si>
    <t>SS</t>
    <phoneticPr fontId="17"/>
  </si>
  <si>
    <t>SSS</t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</si>
  <si>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</si>
  <si>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</si>
  <si>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</si>
  <si>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</si>
  <si>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</si>
  <si>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</si>
  <si>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</si>
  <si>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</si>
  <si>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</si>
  <si>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</si>
  <si>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</si>
  <si>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</si>
  <si>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r>
      <t>gacha_</t>
    </r>
    <r>
      <rPr>
        <sz val="12"/>
        <color theme="1"/>
        <rFont val="ＭＳ Ｐゴシック"/>
        <family val="2"/>
        <charset val="128"/>
        <scheme val="minor"/>
      </rPr>
      <t>settle</t>
    </r>
    <r>
      <rPr>
        <sz val="12"/>
        <color theme="1"/>
        <rFont val="ＭＳ Ｐゴシック"/>
        <family val="2"/>
        <charset val="128"/>
        <scheme val="minor"/>
      </rPr>
      <t>_tables_</t>
    </r>
    <phoneticPr fontId="17"/>
  </si>
  <si>
    <t>gacha_select_tables_</t>
    <phoneticPr fontId="17"/>
  </si>
  <si>
    <t>tables_settle_319101</t>
    <phoneticPr fontId="17"/>
  </si>
  <si>
    <t>skip</t>
    <phoneticPr fontId="17"/>
  </si>
  <si>
    <t>tables_318100</t>
    <phoneticPr fontId="17"/>
  </si>
  <si>
    <t>old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</si>
</sst>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2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</cellStyleXfs>
  <cellXfs count="91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0" fillId="4" borderId="1" xfId="0" applyFill="1" applyBorder="1"/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9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7" fillId="0" borderId="1" xfId="3036" applyFont="1" applyBorder="1"/>
    <xf numFmtId="0" fontId="49" fillId="26" borderId="1" xfId="0" applyFont="1" applyFill="1" applyBorder="1" applyAlignment="1">
      <alignment vertical="center"/>
    </xf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2" borderId="1" xfId="0" applyFont="1" applyFill="1" applyBorder="1" applyAlignment="1">
      <alignment horizontal="left" vertical="center"/>
    </xf>
    <xf numFmtId="0" fontId="22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3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4" fillId="0" borderId="1" xfId="2978" applyFont="1" applyBorder="1"/>
    <xf numFmtId="0" fontId="21" fillId="27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2" fillId="0" borderId="1" xfId="3036" applyFont="1" applyBorder="1"/>
  </cellXfs>
  <cellStyles count="3662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未定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未定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未定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1040</v>
          </cell>
          <cell r="B841" t="str">
            <v>ja</v>
          </cell>
          <cell r="C841" t="str">
            <v>UsagiKun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blue</v>
          </cell>
          <cell r="I841">
            <v>5</v>
          </cell>
          <cell r="J841" t="str">
            <v>DropWizSSS</v>
          </cell>
          <cell r="K841" t="str">
            <v>attack</v>
          </cell>
          <cell r="L841" t="str">
            <v>攻撃タイプ</v>
          </cell>
          <cell r="M841" t="str">
            <v>unknown</v>
          </cell>
        </row>
        <row r="849">
          <cell r="F84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95</v>
      </c>
    </row>
    <row r="2" spans="1:1">
      <c r="A2" t="s">
        <v>96</v>
      </c>
    </row>
    <row r="3" spans="1:1">
      <c r="A3" t="s">
        <v>97</v>
      </c>
    </row>
    <row r="4" spans="1:1">
      <c r="A4" t="s">
        <v>98</v>
      </c>
    </row>
  </sheetData>
  <phoneticPr fontId="17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D15" sqref="D15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52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90" t="s">
        <v>141</v>
      </c>
      <c r="B2" s="86" t="s">
        <v>137</v>
      </c>
      <c r="C2" s="68" t="str">
        <f>RIGHT(F2,6)</f>
        <v>318100</v>
      </c>
      <c r="D2" s="20" t="s">
        <v>46</v>
      </c>
      <c r="E2" s="18" t="str">
        <f t="shared" ref="E2:E6" si="0">B2&amp;C2&amp;D2</f>
        <v>gacha_select_tables_318100.tmp</v>
      </c>
      <c r="F2" s="89" t="s">
        <v>140</v>
      </c>
      <c r="G2" s="67" t="s">
        <v>102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88" t="s">
        <v>139</v>
      </c>
      <c r="B3" s="84" t="s">
        <v>136</v>
      </c>
      <c r="C3" s="68" t="str">
        <f>RIGHT(F3,6)</f>
        <v>319101</v>
      </c>
      <c r="D3" s="20" t="s">
        <v>46</v>
      </c>
      <c r="E3" s="18" t="str">
        <f t="shared" si="0"/>
        <v>gacha_settle_tables_319101.tmp</v>
      </c>
      <c r="F3" s="87" t="s">
        <v>138</v>
      </c>
      <c r="G3" s="67" t="s">
        <v>102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44" t="s">
        <v>66</v>
      </c>
      <c r="B4" s="28" t="s">
        <v>51</v>
      </c>
      <c r="C4" s="46" t="s">
        <v>71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>
      <c r="A5" s="44" t="s">
        <v>66</v>
      </c>
      <c r="B5" s="20" t="s">
        <v>49</v>
      </c>
      <c r="C5" s="46" t="s">
        <v>71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69" t="s">
        <v>7</v>
      </c>
      <c r="P5" s="69" t="s">
        <v>9</v>
      </c>
      <c r="Q5" s="69" t="s">
        <v>6</v>
      </c>
      <c r="R5" s="69" t="s">
        <v>103</v>
      </c>
      <c r="S5" s="69" t="s">
        <v>8</v>
      </c>
      <c r="T5" s="69" t="s">
        <v>104</v>
      </c>
      <c r="U5" s="69" t="s">
        <v>5</v>
      </c>
    </row>
    <row r="6" spans="1:21">
      <c r="A6" s="44" t="s">
        <v>66</v>
      </c>
      <c r="B6" s="20" t="s">
        <v>50</v>
      </c>
      <c r="C6" s="46" t="s">
        <v>71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tabSelected="1" topLeftCell="B5" workbookViewId="0">
      <selection activeCell="B17" sqref="B17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318100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6">
        <v>434</v>
      </c>
      <c r="M3" s="53" t="str">
        <f>VLOOKUP(L3,[1]characters!$A:$C,3,FALSE)</f>
        <v>D.R.T.H.</v>
      </c>
      <c r="N3" s="51">
        <v>8.9999999999999993E-3</v>
      </c>
      <c r="O3" s="53">
        <f>VLOOKUP(L3,[1]characters!$A:$I,9,FALSE)</f>
        <v>4</v>
      </c>
      <c r="P3" s="53" t="str">
        <f>VLOOKUP(L3,[1]characters!$A:$J,10,FALSE)</f>
        <v>PremiumSS</v>
      </c>
      <c r="Q3" s="53" t="str">
        <f>P3&amp;O3</f>
        <v>PremiumSS4</v>
      </c>
      <c r="R3">
        <f t="shared" ref="R3:R12" si="0">N3*A$32</f>
        <v>101087.99999999999</v>
      </c>
    </row>
    <row r="4" spans="1:18">
      <c r="A4" s="49" t="s">
        <v>67</v>
      </c>
      <c r="B4" s="49"/>
      <c r="L4" s="6">
        <v>435</v>
      </c>
      <c r="M4" s="53" t="str">
        <f>VLOOKUP(L4,[1]characters!$A:$C,3,FALSE)</f>
        <v>曝弾の密偵 D.R.T.H.</v>
      </c>
      <c r="N4" s="51">
        <v>1E-3</v>
      </c>
      <c r="O4" s="53">
        <f>VLOOKUP(L4,[1]characters!$A:$I,9,FALSE)</f>
        <v>5</v>
      </c>
      <c r="P4" s="53" t="str">
        <f>VLOOKUP(L4,[1]characters!$A:$J,10,FALSE)</f>
        <v>PremiumSS</v>
      </c>
      <c r="Q4" s="53" t="str">
        <f>P4&amp;O4</f>
        <v>PremiumSS5</v>
      </c>
      <c r="R4">
        <f t="shared" si="0"/>
        <v>11232</v>
      </c>
    </row>
    <row r="5" spans="1:18">
      <c r="A5" s="47" t="s">
        <v>84</v>
      </c>
      <c r="B5" s="48">
        <f>1-B6-B7</f>
        <v>0.5</v>
      </c>
      <c r="L5" s="6">
        <v>660</v>
      </c>
      <c r="M5" s="53" t="str">
        <f>VLOOKUP(L5,[1]characters!$A:$C,3,FALSE)</f>
        <v>烏天狗 フウガ</v>
      </c>
      <c r="N5" s="51">
        <v>8.9999999999999993E-3</v>
      </c>
      <c r="O5" s="53">
        <f>VLOOKUP(L5,[1]characters!$A:$I,9,FALSE)</f>
        <v>4</v>
      </c>
      <c r="P5" s="53" t="str">
        <f>VLOOKUP(L5,[1]characters!$A:$J,10,FALSE)</f>
        <v>PremiumSS</v>
      </c>
      <c r="Q5" s="53" t="str">
        <f t="shared" ref="Q5:Q6" si="1">P5&amp;O5</f>
        <v>PremiumSS4</v>
      </c>
      <c r="R5">
        <f t="shared" si="0"/>
        <v>101087.99999999999</v>
      </c>
    </row>
    <row r="6" spans="1:18">
      <c r="A6" s="47" t="s">
        <v>85</v>
      </c>
      <c r="B6" s="48">
        <v>0.45</v>
      </c>
      <c r="L6" s="47">
        <v>661</v>
      </c>
      <c r="M6" s="53" t="str">
        <f>VLOOKUP(L6,[1]characters!$A:$C,3,FALSE)</f>
        <v>疾風の天狗礫 フウガ</v>
      </c>
      <c r="N6" s="51">
        <v>1E-3</v>
      </c>
      <c r="O6" s="53">
        <f>VLOOKUP(L6,[1]characters!$A:$I,9,FALSE)</f>
        <v>5</v>
      </c>
      <c r="P6" s="53" t="str">
        <f>VLOOKUP(L6,[1]characters!$A:$J,10,FALSE)</f>
        <v>PremiumSS</v>
      </c>
      <c r="Q6" s="53" t="str">
        <f t="shared" si="1"/>
        <v>PremiumSS5</v>
      </c>
      <c r="R6">
        <f t="shared" si="0"/>
        <v>11232</v>
      </c>
    </row>
    <row r="7" spans="1:18">
      <c r="A7" s="47" t="s">
        <v>86</v>
      </c>
      <c r="B7" s="48">
        <v>0.05</v>
      </c>
      <c r="L7" s="47">
        <v>481</v>
      </c>
      <c r="M7" s="53" t="str">
        <f>VLOOKUP(L7,[1]characters!$A:$C,3,FALSE)</f>
        <v>沢庵宗彭</v>
      </c>
      <c r="N7" s="51">
        <v>0.02</v>
      </c>
      <c r="O7" s="53">
        <f>VLOOKUP(L7,[1]characters!$A:$I,9,FALSE)</f>
        <v>3</v>
      </c>
      <c r="P7" s="53" t="str">
        <f>VLOOKUP(L7,[1]characters!$A:$J,10,FALSE)</f>
        <v>PremiumS</v>
      </c>
      <c r="Q7" s="53" t="str">
        <f>IF(P7="PremiumSS",P7,"Premium")&amp;O7</f>
        <v>Premium3</v>
      </c>
      <c r="R7">
        <f t="shared" si="0"/>
        <v>224640</v>
      </c>
    </row>
    <row r="8" spans="1:18">
      <c r="L8" s="47">
        <v>482</v>
      </c>
      <c r="M8" s="53" t="str">
        <f>VLOOKUP(L8,[1]characters!$A:$C,3,FALSE)</f>
        <v>魁僧 沢庵宗彭</v>
      </c>
      <c r="N8" s="51">
        <v>1.7999999999999999E-2</v>
      </c>
      <c r="O8" s="53">
        <f>VLOOKUP(L8,[1]characters!$A:$I,9,FALSE)</f>
        <v>4</v>
      </c>
      <c r="P8" s="53" t="str">
        <f>VLOOKUP(L8,[1]characters!$A:$J,10,FALSE)</f>
        <v>PremiumS</v>
      </c>
      <c r="Q8" s="53" t="str">
        <f t="shared" ref="Q8:Q12" si="2">IF(P8="PremiumSS",P8,"Premium")&amp;O8</f>
        <v>Premium4</v>
      </c>
      <c r="R8">
        <f t="shared" si="0"/>
        <v>202175.99999999997</v>
      </c>
    </row>
    <row r="9" spans="1:18">
      <c r="A9" s="50" t="s">
        <v>68</v>
      </c>
      <c r="B9" s="50"/>
      <c r="L9" s="47">
        <v>483</v>
      </c>
      <c r="M9" s="53" t="str">
        <f>VLOOKUP(L9,[1]characters!$A:$C,3,FALSE)</f>
        <v xml:space="preserve">命経死遂 沢庵宗彭 </v>
      </c>
      <c r="N9" s="51">
        <v>2E-3</v>
      </c>
      <c r="O9" s="53">
        <f>VLOOKUP(L9,[1]characters!$A:$I,9,FALSE)</f>
        <v>5</v>
      </c>
      <c r="P9" s="53" t="str">
        <f>VLOOKUP(L9,[1]characters!$A:$J,10,FALSE)</f>
        <v>PremiumS</v>
      </c>
      <c r="Q9" s="53" t="str">
        <f t="shared" si="2"/>
        <v>Premium5</v>
      </c>
      <c r="R9">
        <f t="shared" si="0"/>
        <v>22464</v>
      </c>
    </row>
    <row r="10" spans="1:18">
      <c r="A10" s="47" t="s">
        <v>114</v>
      </c>
      <c r="B10" s="48">
        <f>1-B11-B12</f>
        <v>0.97</v>
      </c>
      <c r="L10" s="47">
        <v>395</v>
      </c>
      <c r="M10" s="53" t="str">
        <f>VLOOKUP(L10,[1]characters!$A:$C,3,FALSE)</f>
        <v>乙姫</v>
      </c>
      <c r="N10" s="51">
        <v>0.02</v>
      </c>
      <c r="O10" s="53">
        <f>VLOOKUP(L10,[1]characters!$A:$I,9,FALSE)</f>
        <v>3</v>
      </c>
      <c r="P10" s="53" t="str">
        <f>VLOOKUP(L10,[1]characters!$A:$J,10,FALSE)</f>
        <v>PremiumS</v>
      </c>
      <c r="Q10" s="53" t="str">
        <f t="shared" si="2"/>
        <v>Premium3</v>
      </c>
      <c r="R10">
        <f t="shared" si="0"/>
        <v>224640</v>
      </c>
    </row>
    <row r="11" spans="1:18">
      <c r="A11" s="47" t="s">
        <v>70</v>
      </c>
      <c r="B11" s="48">
        <v>0.03</v>
      </c>
      <c r="L11" s="47">
        <v>396</v>
      </c>
      <c r="M11" s="53" t="str">
        <f>VLOOKUP(L11,[1]characters!$A:$C,3,FALSE)</f>
        <v>竜宮の水雷 乙姫</v>
      </c>
      <c r="N11" s="51">
        <v>1.7999999999999999E-2</v>
      </c>
      <c r="O11" s="53">
        <f>VLOOKUP(L11,[1]characters!$A:$I,9,FALSE)</f>
        <v>4</v>
      </c>
      <c r="P11" s="53" t="str">
        <f>VLOOKUP(L11,[1]characters!$A:$J,10,FALSE)</f>
        <v>PremiumS</v>
      </c>
      <c r="Q11" s="53" t="str">
        <f t="shared" si="2"/>
        <v>Premium4</v>
      </c>
      <c r="R11">
        <f t="shared" si="0"/>
        <v>202175.99999999997</v>
      </c>
    </row>
    <row r="12" spans="1:18">
      <c r="A12" s="47" t="s">
        <v>69</v>
      </c>
      <c r="B12" s="48">
        <v>0</v>
      </c>
      <c r="L12" s="47">
        <v>397</v>
      </c>
      <c r="M12" s="53" t="str">
        <f>VLOOKUP(L12,[1]characters!$A:$C,3,FALSE)</f>
        <v>禁断の追箱 乙姫</v>
      </c>
      <c r="N12" s="51">
        <v>2E-3</v>
      </c>
      <c r="O12" s="53">
        <f>VLOOKUP(L12,[1]characters!$A:$I,9,FALSE)</f>
        <v>5</v>
      </c>
      <c r="P12" s="53" t="str">
        <f>VLOOKUP(L12,[1]characters!$A:$J,10,FALSE)</f>
        <v>PremiumS</v>
      </c>
      <c r="Q12" s="53" t="str">
        <f t="shared" si="2"/>
        <v>Premium5</v>
      </c>
      <c r="R12">
        <f t="shared" si="0"/>
        <v>22464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0.5</v>
      </c>
      <c r="C17" s="65">
        <f t="shared" ref="C17:C23" si="3">SUMIF(Q:Q,A17,N:N)</f>
        <v>0.04</v>
      </c>
      <c r="D17" s="58">
        <f t="shared" ref="D17:D24" si="4">B17-C17</f>
        <v>0.46</v>
      </c>
      <c r="E17">
        <f>COUNTIF(tables_318100!B:B,input_318100!A17)-COUNTIF(Q:Q,A17)</f>
        <v>72</v>
      </c>
      <c r="F17" s="60">
        <f t="shared" ref="F17:F23" si="5">IFERROR(D17/E17,0)</f>
        <v>6.3888888888888893E-3</v>
      </c>
      <c r="G17">
        <f t="shared" ref="G17:G23" si="6">A$32*D17</f>
        <v>5166720</v>
      </c>
      <c r="H17">
        <f t="shared" ref="H17:H23" si="7">IFERROR(ROUND(G17/E17,5),0)</f>
        <v>71760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0.42299999999999999</v>
      </c>
      <c r="C18" s="65">
        <f t="shared" si="3"/>
        <v>3.5999999999999997E-2</v>
      </c>
      <c r="D18" s="58">
        <f t="shared" si="4"/>
        <v>0.38700000000000001</v>
      </c>
      <c r="E18">
        <f>COUNTIF(tables_318100!B:B,input_318100!A18)-COUNTIF(Q:Q,A18)</f>
        <v>72</v>
      </c>
      <c r="F18" s="60">
        <f t="shared" si="5"/>
        <v>5.3750000000000004E-3</v>
      </c>
      <c r="G18">
        <f t="shared" si="6"/>
        <v>4346784</v>
      </c>
      <c r="H18">
        <f t="shared" si="7"/>
        <v>60372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v>2.7E-2</v>
      </c>
      <c r="C19" s="65">
        <f t="shared" si="3"/>
        <v>1.7999999999999999E-2</v>
      </c>
      <c r="D19" s="58">
        <f t="shared" si="4"/>
        <v>9.0000000000000011E-3</v>
      </c>
      <c r="E19">
        <f>COUNTIF(tables_318100!B:B,input_318100!A19)-COUNTIF(Q:Q,A19)</f>
        <v>24</v>
      </c>
      <c r="F19" s="60">
        <f t="shared" si="5"/>
        <v>3.7500000000000006E-4</v>
      </c>
      <c r="G19">
        <f t="shared" si="6"/>
        <v>101088.00000000001</v>
      </c>
      <c r="H19">
        <f t="shared" si="7"/>
        <v>4212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ref="D20:D23" si="10">B20-C20</f>
        <v>0</v>
      </c>
      <c r="E20">
        <f>COUNTIF(tables_318100!B:B,input_318100!A20)-COUNTIF(Q:Q,A20)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4.7E-2</v>
      </c>
      <c r="C21" s="65">
        <f t="shared" si="3"/>
        <v>4.0000000000000001E-3</v>
      </c>
      <c r="D21" s="58">
        <f t="shared" si="10"/>
        <v>4.2999999999999997E-2</v>
      </c>
      <c r="E21">
        <f>COUNTIF(tables_318100!B:B,input_318100!A21)-COUNTIF(Q:Q,A21)</f>
        <v>52</v>
      </c>
      <c r="F21" s="60">
        <f t="shared" si="5"/>
        <v>8.2692307692307687E-4</v>
      </c>
      <c r="G21">
        <f t="shared" si="6"/>
        <v>482975.99999999994</v>
      </c>
      <c r="H21">
        <f t="shared" si="7"/>
        <v>9288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v>3.0000000000000001E-3</v>
      </c>
      <c r="C22" s="65">
        <f t="shared" si="3"/>
        <v>2E-3</v>
      </c>
      <c r="D22" s="58">
        <f t="shared" si="10"/>
        <v>1E-3</v>
      </c>
      <c r="E22">
        <f>COUNTIF(tables_318100!B:B,input_318100!A22)-COUNTIF(Q:Q,A22)</f>
        <v>24</v>
      </c>
      <c r="F22" s="60">
        <f t="shared" si="5"/>
        <v>4.1666666666666665E-5</v>
      </c>
      <c r="G22">
        <f t="shared" si="6"/>
        <v>11232</v>
      </c>
      <c r="H22">
        <f t="shared" si="7"/>
        <v>468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10"/>
        <v>0</v>
      </c>
      <c r="E23">
        <f>COUNTIF(tables_318100!B:B,input_318100!A23)-COUNTIF(Q:Q,A23)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0.1</v>
      </c>
      <c r="D24" s="59">
        <f t="shared" si="4"/>
        <v>0.9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72*24*52*125</f>
        <v>11232000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SUMIF(tables_318100!B:B,input_318100!A36,tables_318100!M:M)</f>
        <v>5616000</v>
      </c>
      <c r="C36" s="72">
        <f t="shared" ref="C36:C42" ca="1" si="11">B36/B$43</f>
        <v>0.5</v>
      </c>
      <c r="E36">
        <v>3</v>
      </c>
      <c r="F36" s="73">
        <f ca="1">C36</f>
        <v>0.5</v>
      </c>
    </row>
    <row r="37" spans="1:6">
      <c r="A37" s="47" t="s">
        <v>126</v>
      </c>
      <c r="B37">
        <f ca="1">SUMIF(tables_318100!B:B,input_318100!A37,tables_318100!M:M)</f>
        <v>4751136</v>
      </c>
      <c r="C37" s="72">
        <f t="shared" ca="1" si="11"/>
        <v>0.42299999999999999</v>
      </c>
      <c r="E37">
        <v>4</v>
      </c>
      <c r="F37" s="73">
        <f ca="1">SUM(C37:C39)</f>
        <v>0.45</v>
      </c>
    </row>
    <row r="38" spans="1:6">
      <c r="A38" s="47" t="s">
        <v>132</v>
      </c>
      <c r="B38">
        <f ca="1">SUMIF(tables_318100!B:B,input_318100!A38,tables_318100!M:M)</f>
        <v>303264</v>
      </c>
      <c r="C38" s="72">
        <f t="shared" ca="1" si="11"/>
        <v>2.7E-2</v>
      </c>
      <c r="E38">
        <v>5</v>
      </c>
      <c r="F38" s="73">
        <f ca="1">SUM(C40:C42)</f>
        <v>0.05</v>
      </c>
    </row>
    <row r="39" spans="1:6">
      <c r="A39" s="47" t="s">
        <v>133</v>
      </c>
      <c r="B39">
        <f>SUMIF(tables_318100!B:B,input_318100!A39,tables_318100!M:M)</f>
        <v>0</v>
      </c>
      <c r="C39" s="72">
        <f t="shared" ca="1" si="11"/>
        <v>0</v>
      </c>
    </row>
    <row r="40" spans="1:6">
      <c r="A40" s="47" t="s">
        <v>127</v>
      </c>
      <c r="B40">
        <f ca="1">SUMIF(tables_318100!B:B,input_318100!A40,tables_318100!M:M)</f>
        <v>527904</v>
      </c>
      <c r="C40" s="72">
        <f t="shared" ca="1" si="11"/>
        <v>4.7E-2</v>
      </c>
      <c r="E40" t="s">
        <v>120</v>
      </c>
    </row>
    <row r="41" spans="1:6">
      <c r="A41" s="47" t="s">
        <v>134</v>
      </c>
      <c r="B41">
        <f ca="1">SUMIF(tables_318100!B:B,input_318100!A41,tables_318100!M:M)</f>
        <v>33696</v>
      </c>
      <c r="C41" s="72">
        <f t="shared" ca="1" si="11"/>
        <v>3.0000000000000001E-3</v>
      </c>
      <c r="E41" t="s">
        <v>121</v>
      </c>
      <c r="F41" s="73">
        <f ca="1">C36+C37+C40</f>
        <v>0.97000000000000008</v>
      </c>
    </row>
    <row r="42" spans="1:6">
      <c r="A42" s="47" t="s">
        <v>135</v>
      </c>
      <c r="B42">
        <f>SUMIF(tables_318100!B:B,input_318100!A42,tables_318100!M:M)</f>
        <v>0</v>
      </c>
      <c r="C42" s="72">
        <f t="shared" ca="1" si="11"/>
        <v>0</v>
      </c>
      <c r="E42" t="s">
        <v>122</v>
      </c>
      <c r="F42" s="73">
        <f ca="1">C38+C41</f>
        <v>0.03</v>
      </c>
    </row>
    <row r="43" spans="1:6">
      <c r="A43" s="55" t="s">
        <v>74</v>
      </c>
      <c r="B43">
        <f ca="1">SUM(B36:B42)</f>
        <v>11232000</v>
      </c>
      <c r="C43" s="73">
        <f ca="1">SUM(C36:C42)</f>
        <v>1</v>
      </c>
      <c r="E43" t="s">
        <v>123</v>
      </c>
      <c r="F43" s="73">
        <f ca="1">C39+C42</f>
        <v>0</v>
      </c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55"/>
  <sheetViews>
    <sheetView showGridLines="0" zoomScale="75" zoomScaleNormal="75" zoomScalePageLayoutView="75" workbookViewId="0">
      <pane ySplit="1" topLeftCell="A2" activePane="bottomLeft" state="frozen"/>
      <selection activeCell="A20" sqref="A20:XFD20"/>
      <selection pane="bottomLeft" activeCell="B249" sqref="B249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92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input_318100!A$2</f>
        <v>318100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IFERROR(VLOOKUP(E2,input_318100!L:R,7,FALSE),VLOOKUP(tables_318100!B2,input_318100!A:H,8,FALSE))</f>
        <v>71760</v>
      </c>
      <c r="N2" s="63">
        <f t="shared" ref="N2:N65" ca="1" si="0">M2/SUM(M:M)</f>
        <v>6.3888888888888893E-3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input_318100!A$2</f>
        <v>318100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IFERROR(VLOOKUP(E3,input_318100!L:R,7,FALSE),VLOOKUP(tables_318100!B3,input_318100!A:H,8,FALSE))</f>
        <v>60372</v>
      </c>
      <c r="N3" s="63">
        <f t="shared" ca="1" si="0"/>
        <v>5.3749999999999996E-3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input_318100!A$2</f>
        <v>318100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IFERROR(VLOOKUP(E4,input_318100!L:R,7,FALSE),VLOOKUP(tables_318100!B4,input_318100!A:H,8,FALSE))</f>
        <v>71760</v>
      </c>
      <c r="N4" s="63">
        <f t="shared" ca="1" si="0"/>
        <v>6.3888888888888893E-3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input_318100!A$2</f>
        <v>318100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IFERROR(VLOOKUP(E5,input_318100!L:R,7,FALSE),VLOOKUP(tables_318100!B5,input_318100!A:H,8,FALSE))</f>
        <v>60372</v>
      </c>
      <c r="N5" s="63">
        <f t="shared" ca="1" si="0"/>
        <v>5.3749999999999996E-3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input_318100!A$2</f>
        <v>318100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IFERROR(VLOOKUP(E6,input_318100!L:R,7,FALSE),VLOOKUP(tables_318100!B6,input_318100!A:H,8,FALSE))</f>
        <v>71760</v>
      </c>
      <c r="N6" s="63">
        <f t="shared" ca="1" si="0"/>
        <v>6.3888888888888893E-3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input_318100!A$2</f>
        <v>318100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IFERROR(VLOOKUP(E7,input_318100!L:R,7,FALSE),VLOOKUP(tables_318100!B7,input_318100!A:H,8,FALSE))</f>
        <v>60372</v>
      </c>
      <c r="N7" s="63">
        <f t="shared" ca="1" si="0"/>
        <v>5.3749999999999996E-3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input_318100!A$2</f>
        <v>318100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IFERROR(VLOOKUP(E8,input_318100!L:R,7,FALSE),VLOOKUP(tables_318100!B8,input_318100!A:H,8,FALSE))</f>
        <v>71760</v>
      </c>
      <c r="N8" s="63">
        <f t="shared" ca="1" si="0"/>
        <v>6.3888888888888893E-3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input_318100!A$2</f>
        <v>318100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IFERROR(VLOOKUP(E9,input_318100!L:R,7,FALSE),VLOOKUP(tables_318100!B9,input_318100!A:H,8,FALSE))</f>
        <v>60372</v>
      </c>
      <c r="N9" s="63">
        <f t="shared" ca="1" si="0"/>
        <v>5.3749999999999996E-3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input_318100!A$2</f>
        <v>318100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IFERROR(VLOOKUP(E10,input_318100!L:R,7,FALSE),VLOOKUP(tables_318100!B10,input_318100!A:H,8,FALSE))</f>
        <v>71760</v>
      </c>
      <c r="N10" s="63">
        <f t="shared" ca="1" si="0"/>
        <v>6.3888888888888893E-3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input_318100!A$2</f>
        <v>318100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IFERROR(VLOOKUP(E11,input_318100!L:R,7,FALSE),VLOOKUP(tables_318100!B11,input_318100!A:H,8,FALSE))</f>
        <v>60372</v>
      </c>
      <c r="N11" s="63">
        <f t="shared" ca="1" si="0"/>
        <v>5.3749999999999996E-3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input_318100!A$2</f>
        <v>318100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IFERROR(VLOOKUP(E12,input_318100!L:R,7,FALSE),VLOOKUP(tables_318100!B12,input_318100!A:H,8,FALSE))</f>
        <v>71760</v>
      </c>
      <c r="N12" s="63">
        <f t="shared" ca="1" si="0"/>
        <v>6.3888888888888893E-3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input_318100!A$2</f>
        <v>318100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IFERROR(VLOOKUP(E13,input_318100!L:R,7,FALSE),VLOOKUP(tables_318100!B13,input_318100!A:H,8,FALSE))</f>
        <v>60372</v>
      </c>
      <c r="N13" s="63">
        <f t="shared" ca="1" si="0"/>
        <v>5.3749999999999996E-3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input_318100!A$2</f>
        <v>318100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IFERROR(VLOOKUP(E14,input_318100!L:R,7,FALSE),VLOOKUP(tables_318100!B14,input_318100!A:H,8,FALSE))</f>
        <v>71760</v>
      </c>
      <c r="N14" s="63">
        <f t="shared" ca="1" si="0"/>
        <v>6.3888888888888893E-3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input_318100!A$2</f>
        <v>318100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IFERROR(VLOOKUP(E15,input_318100!L:R,7,FALSE),VLOOKUP(tables_318100!B15,input_318100!A:H,8,FALSE))</f>
        <v>60372</v>
      </c>
      <c r="N15" s="63">
        <f t="shared" ca="1" si="0"/>
        <v>5.3749999999999996E-3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input_318100!A$2</f>
        <v>318100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IFERROR(VLOOKUP(E16,input_318100!L:R,7,FALSE),VLOOKUP(tables_318100!B16,input_318100!A:H,8,FALSE))</f>
        <v>71760</v>
      </c>
      <c r="N16" s="63">
        <f t="shared" ca="1" si="0"/>
        <v>6.3888888888888893E-3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input_318100!A$2</f>
        <v>318100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IFERROR(VLOOKUP(E17,input_318100!L:R,7,FALSE),VLOOKUP(tables_318100!B17,input_318100!A:H,8,FALSE))</f>
        <v>60372</v>
      </c>
      <c r="N17" s="63">
        <f t="shared" ca="1" si="0"/>
        <v>5.3749999999999996E-3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input_318100!A$2</f>
        <v>318100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IFERROR(VLOOKUP(E18,input_318100!L:R,7,FALSE),VLOOKUP(tables_318100!B18,input_318100!A:H,8,FALSE))</f>
        <v>71760</v>
      </c>
      <c r="N18" s="63">
        <f t="shared" ca="1" si="0"/>
        <v>6.3888888888888893E-3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input_318100!A$2</f>
        <v>318100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IFERROR(VLOOKUP(E19,input_318100!L:R,7,FALSE),VLOOKUP(tables_318100!B19,input_318100!A:H,8,FALSE))</f>
        <v>60372</v>
      </c>
      <c r="N19" s="63">
        <f t="shared" ca="1" si="0"/>
        <v>5.3749999999999996E-3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input_318100!A$2</f>
        <v>318100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IFERROR(VLOOKUP(E20,input_318100!L:R,7,FALSE),VLOOKUP(tables_318100!B20,input_318100!A:H,8,FALSE))</f>
        <v>71760</v>
      </c>
      <c r="N20" s="63">
        <f t="shared" ca="1" si="0"/>
        <v>6.3888888888888893E-3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input_318100!A$2</f>
        <v>318100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IFERROR(VLOOKUP(E21,input_318100!L:R,7,FALSE),VLOOKUP(tables_318100!B21,input_318100!A:H,8,FALSE))</f>
        <v>60372</v>
      </c>
      <c r="N21" s="63">
        <f t="shared" ca="1" si="0"/>
        <v>5.3749999999999996E-3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input_318100!A$2</f>
        <v>318100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IFERROR(VLOOKUP(E22,input_318100!L:R,7,FALSE),VLOOKUP(tables_318100!B22,input_318100!A:H,8,FALSE))</f>
        <v>71760</v>
      </c>
      <c r="N22" s="63">
        <f t="shared" ca="1" si="0"/>
        <v>6.3888888888888893E-3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input_318100!A$2</f>
        <v>318100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IFERROR(VLOOKUP(E23,input_318100!L:R,7,FALSE),VLOOKUP(tables_318100!B23,input_318100!A:H,8,FALSE))</f>
        <v>60372</v>
      </c>
      <c r="N23" s="63">
        <f t="shared" ca="1" si="0"/>
        <v>5.3749999999999996E-3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input_318100!A$2</f>
        <v>318100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IFERROR(VLOOKUP(E24,input_318100!L:R,7,FALSE),VLOOKUP(tables_318100!B24,input_318100!A:H,8,FALSE))</f>
        <v>71760</v>
      </c>
      <c r="N24" s="63">
        <f t="shared" ca="1" si="0"/>
        <v>6.3888888888888893E-3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input_318100!A$2</f>
        <v>318100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IFERROR(VLOOKUP(E25,input_318100!L:R,7,FALSE),VLOOKUP(tables_318100!B25,input_318100!A:H,8,FALSE))</f>
        <v>60372</v>
      </c>
      <c r="N25" s="63">
        <f t="shared" ca="1" si="0"/>
        <v>5.3749999999999996E-3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input_318100!A$2</f>
        <v>318100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IFERROR(VLOOKUP(E26,input_318100!L:R,7,FALSE),VLOOKUP(tables_318100!B26,input_318100!A:H,8,FALSE))</f>
        <v>71760</v>
      </c>
      <c r="N26" s="63">
        <f t="shared" ca="1" si="0"/>
        <v>6.3888888888888893E-3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input_318100!A$2</f>
        <v>318100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IFERROR(VLOOKUP(E27,input_318100!L:R,7,FALSE),VLOOKUP(tables_318100!B27,input_318100!A:H,8,FALSE))</f>
        <v>60372</v>
      </c>
      <c r="N27" s="63">
        <f t="shared" ca="1" si="0"/>
        <v>5.3749999999999996E-3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input_318100!A$2</f>
        <v>318100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IFERROR(VLOOKUP(E28,input_318100!L:R,7,FALSE),VLOOKUP(tables_318100!B28,input_318100!A:H,8,FALSE))</f>
        <v>71760</v>
      </c>
      <c r="N28" s="63">
        <f t="shared" ca="1" si="0"/>
        <v>6.3888888888888893E-3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input_318100!A$2</f>
        <v>318100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IFERROR(VLOOKUP(E29,input_318100!L:R,7,FALSE),VLOOKUP(tables_318100!B29,input_318100!A:H,8,FALSE))</f>
        <v>60372</v>
      </c>
      <c r="N29" s="63">
        <f t="shared" ca="1" si="0"/>
        <v>5.3749999999999996E-3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input_318100!A$2</f>
        <v>318100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IFERROR(VLOOKUP(E30,input_318100!L:R,7,FALSE),VLOOKUP(tables_318100!B30,input_318100!A:H,8,FALSE))</f>
        <v>71760</v>
      </c>
      <c r="N30" s="63">
        <f t="shared" ca="1" si="0"/>
        <v>6.3888888888888893E-3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input_318100!A$2</f>
        <v>318100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IFERROR(VLOOKUP(E31,input_318100!L:R,7,FALSE),VLOOKUP(tables_318100!B31,input_318100!A:H,8,FALSE))</f>
        <v>60372</v>
      </c>
      <c r="N31" s="63">
        <f t="shared" ca="1" si="0"/>
        <v>5.3749999999999996E-3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input_318100!A$2</f>
        <v>318100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IFERROR(VLOOKUP(E32,input_318100!L:R,7,FALSE),VLOOKUP(tables_318100!B32,input_318100!A:H,8,FALSE))</f>
        <v>71760</v>
      </c>
      <c r="N32" s="63">
        <f t="shared" ca="1" si="0"/>
        <v>6.3888888888888893E-3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input_318100!A$2</f>
        <v>318100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IFERROR(VLOOKUP(E33,input_318100!L:R,7,FALSE),VLOOKUP(tables_318100!B33,input_318100!A:H,8,FALSE))</f>
        <v>60372</v>
      </c>
      <c r="N33" s="63">
        <f t="shared" ca="1" si="0"/>
        <v>5.3749999999999996E-3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input_318100!A$2</f>
        <v>318100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IFERROR(VLOOKUP(E34,input_318100!L:R,7,FALSE),VLOOKUP(tables_318100!B34,input_318100!A:H,8,FALSE))</f>
        <v>71760</v>
      </c>
      <c r="N34" s="63">
        <f t="shared" ca="1" si="0"/>
        <v>6.3888888888888893E-3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input_318100!A$2</f>
        <v>318100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IFERROR(VLOOKUP(E35,input_318100!L:R,7,FALSE),VLOOKUP(tables_318100!B35,input_318100!A:H,8,FALSE))</f>
        <v>60372</v>
      </c>
      <c r="N35" s="63">
        <f t="shared" ca="1" si="0"/>
        <v>5.3749999999999996E-3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input_318100!A$2</f>
        <v>318100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IFERROR(VLOOKUP(E36,input_318100!L:R,7,FALSE),VLOOKUP(tables_318100!B36,input_318100!A:H,8,FALSE))</f>
        <v>71760</v>
      </c>
      <c r="N36" s="63">
        <f t="shared" ca="1" si="0"/>
        <v>6.3888888888888893E-3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input_318100!A$2</f>
        <v>318100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IFERROR(VLOOKUP(E37,input_318100!L:R,7,FALSE),VLOOKUP(tables_318100!B37,input_318100!A:H,8,FALSE))</f>
        <v>60372</v>
      </c>
      <c r="N37" s="63">
        <f t="shared" ca="1" si="0"/>
        <v>5.3749999999999996E-3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input_318100!A$2</f>
        <v>318100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IFERROR(VLOOKUP(E38,input_318100!L:R,7,FALSE),VLOOKUP(tables_318100!B38,input_318100!A:H,8,FALSE))</f>
        <v>71760</v>
      </c>
      <c r="N38" s="63">
        <f t="shared" ca="1" si="0"/>
        <v>6.3888888888888893E-3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input_318100!A$2</f>
        <v>318100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IFERROR(VLOOKUP(E39,input_318100!L:R,7,FALSE),VLOOKUP(tables_318100!B39,input_318100!A:H,8,FALSE))</f>
        <v>60372</v>
      </c>
      <c r="N39" s="63">
        <f t="shared" ca="1" si="0"/>
        <v>5.3749999999999996E-3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input_318100!A$2</f>
        <v>318100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IFERROR(VLOOKUP(E40,input_318100!L:R,7,FALSE),VLOOKUP(tables_318100!B40,input_318100!A:H,8,FALSE))</f>
        <v>71760</v>
      </c>
      <c r="N40" s="63">
        <f t="shared" ca="1" si="0"/>
        <v>6.3888888888888893E-3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input_318100!A$2</f>
        <v>318100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IFERROR(VLOOKUP(E41,input_318100!L:R,7,FALSE),VLOOKUP(tables_318100!B41,input_318100!A:H,8,FALSE))</f>
        <v>60372</v>
      </c>
      <c r="N41" s="63">
        <f t="shared" ca="1" si="0"/>
        <v>5.3749999999999996E-3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input_318100!A$2</f>
        <v>318100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IFERROR(VLOOKUP(E42,input_318100!L:R,7,FALSE),VLOOKUP(tables_318100!B42,input_318100!A:H,8,FALSE))</f>
        <v>71760</v>
      </c>
      <c r="N42" s="63">
        <f t="shared" ca="1" si="0"/>
        <v>6.3888888888888893E-3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input_318100!A$2</f>
        <v>318100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IFERROR(VLOOKUP(E43,input_318100!L:R,7,FALSE),VLOOKUP(tables_318100!B43,input_318100!A:H,8,FALSE))</f>
        <v>60372</v>
      </c>
      <c r="N43" s="63">
        <f t="shared" ca="1" si="0"/>
        <v>5.3749999999999996E-3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input_318100!A$2</f>
        <v>318100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IFERROR(VLOOKUP(E44,input_318100!L:R,7,FALSE),VLOOKUP(tables_318100!B44,input_318100!A:H,8,FALSE))</f>
        <v>9288</v>
      </c>
      <c r="N44" s="63">
        <f t="shared" ca="1" si="0"/>
        <v>8.2692307692307687E-4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input_318100!A$2</f>
        <v>318100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IFERROR(VLOOKUP(E45,input_318100!L:R,7,FALSE),VLOOKUP(tables_318100!B45,input_318100!A:H,8,FALSE))</f>
        <v>71760</v>
      </c>
      <c r="N45" s="63">
        <f t="shared" ca="1" si="0"/>
        <v>6.3888888888888893E-3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input_318100!A$2</f>
        <v>318100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IFERROR(VLOOKUP(E46,input_318100!L:R,7,FALSE),VLOOKUP(tables_318100!B46,input_318100!A:H,8,FALSE))</f>
        <v>60372</v>
      </c>
      <c r="N46" s="63">
        <f t="shared" ca="1" si="0"/>
        <v>5.3749999999999996E-3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input_318100!A$2</f>
        <v>318100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IFERROR(VLOOKUP(E47,input_318100!L:R,7,FALSE),VLOOKUP(tables_318100!B47,input_318100!A:H,8,FALSE))</f>
        <v>9288</v>
      </c>
      <c r="N47" s="63">
        <f t="shared" ca="1" si="0"/>
        <v>8.2692307692307687E-4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input_318100!A$2</f>
        <v>318100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IFERROR(VLOOKUP(E48,input_318100!L:R,7,FALSE),VLOOKUP(tables_318100!B48,input_318100!A:H,8,FALSE))</f>
        <v>71760</v>
      </c>
      <c r="N48" s="63">
        <f t="shared" ca="1" si="0"/>
        <v>6.3888888888888893E-3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input_318100!A$2</f>
        <v>318100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IFERROR(VLOOKUP(E49,input_318100!L:R,7,FALSE),VLOOKUP(tables_318100!B49,input_318100!A:H,8,FALSE))</f>
        <v>60372</v>
      </c>
      <c r="N49" s="63">
        <f t="shared" ca="1" si="0"/>
        <v>5.3749999999999996E-3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input_318100!A$2</f>
        <v>318100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IFERROR(VLOOKUP(E50,input_318100!L:R,7,FALSE),VLOOKUP(tables_318100!B50,input_318100!A:H,8,FALSE))</f>
        <v>9288</v>
      </c>
      <c r="N50" s="63">
        <f t="shared" ca="1" si="0"/>
        <v>8.2692307692307687E-4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input_318100!A$2</f>
        <v>318100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IFERROR(VLOOKUP(E51,input_318100!L:R,7,FALSE),VLOOKUP(tables_318100!B51,input_318100!A:H,8,FALSE))</f>
        <v>71760</v>
      </c>
      <c r="N51" s="63">
        <f t="shared" ca="1" si="0"/>
        <v>6.3888888888888893E-3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input_318100!A$2</f>
        <v>318100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IFERROR(VLOOKUP(E52,input_318100!L:R,7,FALSE),VLOOKUP(tables_318100!B52,input_318100!A:H,8,FALSE))</f>
        <v>60372</v>
      </c>
      <c r="N52" s="63">
        <f t="shared" ca="1" si="0"/>
        <v>5.3749999999999996E-3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input_318100!A$2</f>
        <v>318100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IFERROR(VLOOKUP(E53,input_318100!L:R,7,FALSE),VLOOKUP(tables_318100!B53,input_318100!A:H,8,FALSE))</f>
        <v>9288</v>
      </c>
      <c r="N53" s="63">
        <f t="shared" ca="1" si="0"/>
        <v>8.2692307692307687E-4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input_318100!A$2</f>
        <v>318100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IFERROR(VLOOKUP(E54,input_318100!L:R,7,FALSE),VLOOKUP(tables_318100!B54,input_318100!A:H,8,FALSE))</f>
        <v>71760</v>
      </c>
      <c r="N54" s="63">
        <f t="shared" ca="1" si="0"/>
        <v>6.3888888888888893E-3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input_318100!A$2</f>
        <v>318100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IFERROR(VLOOKUP(E55,input_318100!L:R,7,FALSE),VLOOKUP(tables_318100!B55,input_318100!A:H,8,FALSE))</f>
        <v>60372</v>
      </c>
      <c r="N55" s="63">
        <f t="shared" ca="1" si="0"/>
        <v>5.3749999999999996E-3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input_318100!A$2</f>
        <v>318100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IFERROR(VLOOKUP(E56,input_318100!L:R,7,FALSE),VLOOKUP(tables_318100!B56,input_318100!A:H,8,FALSE))</f>
        <v>9288</v>
      </c>
      <c r="N56" s="63">
        <f t="shared" ca="1" si="0"/>
        <v>8.2692307692307687E-4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input_318100!A$2</f>
        <v>318100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IFERROR(VLOOKUP(E57,input_318100!L:R,7,FALSE),VLOOKUP(tables_318100!B57,input_318100!A:H,8,FALSE))</f>
        <v>71760</v>
      </c>
      <c r="N57" s="63">
        <f t="shared" ca="1" si="0"/>
        <v>6.3888888888888893E-3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input_318100!A$2</f>
        <v>318100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IFERROR(VLOOKUP(E58,input_318100!L:R,7,FALSE),VLOOKUP(tables_318100!B58,input_318100!A:H,8,FALSE))</f>
        <v>60372</v>
      </c>
      <c r="N58" s="63">
        <f t="shared" ca="1" si="0"/>
        <v>5.3749999999999996E-3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input_318100!A$2</f>
        <v>318100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IFERROR(VLOOKUP(E59,input_318100!L:R,7,FALSE),VLOOKUP(tables_318100!B59,input_318100!A:H,8,FALSE))</f>
        <v>9288</v>
      </c>
      <c r="N59" s="63">
        <f t="shared" ca="1" si="0"/>
        <v>8.2692307692307687E-4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input_318100!A$2</f>
        <v>318100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IFERROR(VLOOKUP(E60,input_318100!L:R,7,FALSE),VLOOKUP(tables_318100!B60,input_318100!A:H,8,FALSE))</f>
        <v>71760</v>
      </c>
      <c r="N60" s="63">
        <f t="shared" ca="1" si="0"/>
        <v>6.3888888888888893E-3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input_318100!A$2</f>
        <v>318100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IFERROR(VLOOKUP(E61,input_318100!L:R,7,FALSE),VLOOKUP(tables_318100!B61,input_318100!A:H,8,FALSE))</f>
        <v>60372</v>
      </c>
      <c r="N61" s="63">
        <f t="shared" ca="1" si="0"/>
        <v>5.3749999999999996E-3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input_318100!A$2</f>
        <v>318100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IFERROR(VLOOKUP(E62,input_318100!L:R,7,FALSE),VLOOKUP(tables_318100!B62,input_318100!A:H,8,FALSE))</f>
        <v>9288</v>
      </c>
      <c r="N62" s="63">
        <f t="shared" ca="1" si="0"/>
        <v>8.2692307692307687E-4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input_318100!A$2</f>
        <v>318100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IFERROR(VLOOKUP(E63,input_318100!L:R,7,FALSE),VLOOKUP(tables_318100!B63,input_318100!A:H,8,FALSE))</f>
        <v>71760</v>
      </c>
      <c r="N63" s="63">
        <f t="shared" ca="1" si="0"/>
        <v>6.3888888888888893E-3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input_318100!A$2</f>
        <v>318100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IFERROR(VLOOKUP(E64,input_318100!L:R,7,FALSE),VLOOKUP(tables_318100!B64,input_318100!A:H,8,FALSE))</f>
        <v>60372</v>
      </c>
      <c r="N64" s="63">
        <f t="shared" ca="1" si="0"/>
        <v>5.3749999999999996E-3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input_318100!A$2</f>
        <v>318100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IFERROR(VLOOKUP(E65,input_318100!L:R,7,FALSE),VLOOKUP(tables_318100!B65,input_318100!A:H,8,FALSE))</f>
        <v>9288</v>
      </c>
      <c r="N65" s="63">
        <f t="shared" ca="1" si="0"/>
        <v>8.2692307692307687E-4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input_318100!A$2</f>
        <v>318100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IFERROR(VLOOKUP(E66,input_318100!L:R,7,FALSE),VLOOKUP(tables_318100!B66,input_318100!A:H,8,FALSE))</f>
        <v>71760</v>
      </c>
      <c r="N66" s="63">
        <f t="shared" ref="N66:N129" ca="1" si="3">M66/SUM(M:M)</f>
        <v>6.3888888888888893E-3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input_318100!A$2</f>
        <v>318100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IFERROR(VLOOKUP(E67,input_318100!L:R,7,FALSE),VLOOKUP(tables_318100!B67,input_318100!A:H,8,FALSE))</f>
        <v>60372</v>
      </c>
      <c r="N67" s="63">
        <f t="shared" ca="1" si="3"/>
        <v>5.3749999999999996E-3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input_318100!A$2</f>
        <v>318100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IFERROR(VLOOKUP(E68,input_318100!L:R,7,FALSE),VLOOKUP(tables_318100!B68,input_318100!A:H,8,FALSE))</f>
        <v>9288</v>
      </c>
      <c r="N68" s="63">
        <f t="shared" ca="1" si="3"/>
        <v>8.2692307692307687E-4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input_318100!A$2</f>
        <v>318100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IFERROR(VLOOKUP(E69,input_318100!L:R,7,FALSE),VLOOKUP(tables_318100!B69,input_318100!A:H,8,FALSE))</f>
        <v>71760</v>
      </c>
      <c r="N69" s="63">
        <f t="shared" ca="1" si="3"/>
        <v>6.3888888888888893E-3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input_318100!A$2</f>
        <v>318100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IFERROR(VLOOKUP(E70,input_318100!L:R,7,FALSE),VLOOKUP(tables_318100!B70,input_318100!A:H,8,FALSE))</f>
        <v>60372</v>
      </c>
      <c r="N70" s="63">
        <f t="shared" ca="1" si="3"/>
        <v>5.3749999999999996E-3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input_318100!A$2</f>
        <v>318100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IFERROR(VLOOKUP(E71,input_318100!L:R,7,FALSE),VLOOKUP(tables_318100!B71,input_318100!A:H,8,FALSE))</f>
        <v>9288</v>
      </c>
      <c r="N71" s="63">
        <f t="shared" ca="1" si="3"/>
        <v>8.2692307692307687E-4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input_318100!A$2</f>
        <v>318100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IFERROR(VLOOKUP(E72,input_318100!L:R,7,FALSE),VLOOKUP(tables_318100!B72,input_318100!A:H,8,FALSE))</f>
        <v>71760</v>
      </c>
      <c r="N72" s="63">
        <f t="shared" ca="1" si="3"/>
        <v>6.3888888888888893E-3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input_318100!A$2</f>
        <v>318100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IFERROR(VLOOKUP(E73,input_318100!L:R,7,FALSE),VLOOKUP(tables_318100!B73,input_318100!A:H,8,FALSE))</f>
        <v>60372</v>
      </c>
      <c r="N73" s="63">
        <f t="shared" ca="1" si="3"/>
        <v>5.3749999999999996E-3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input_318100!A$2</f>
        <v>318100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IFERROR(VLOOKUP(E74,input_318100!L:R,7,FALSE),VLOOKUP(tables_318100!B74,input_318100!A:H,8,FALSE))</f>
        <v>9288</v>
      </c>
      <c r="N74" s="63">
        <f t="shared" ca="1" si="3"/>
        <v>8.2692307692307687E-4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input_318100!A$2</f>
        <v>318100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IFERROR(VLOOKUP(E75,input_318100!L:R,7,FALSE),VLOOKUP(tables_318100!B75,input_318100!A:H,8,FALSE))</f>
        <v>71760</v>
      </c>
      <c r="N75" s="63">
        <f t="shared" ca="1" si="3"/>
        <v>6.3888888888888893E-3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input_318100!A$2</f>
        <v>318100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IFERROR(VLOOKUP(E76,input_318100!L:R,7,FALSE),VLOOKUP(tables_318100!B76,input_318100!A:H,8,FALSE))</f>
        <v>60372</v>
      </c>
      <c r="N76" s="63">
        <f t="shared" ca="1" si="3"/>
        <v>5.3749999999999996E-3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input_318100!A$2</f>
        <v>318100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IFERROR(VLOOKUP(E77,input_318100!L:R,7,FALSE),VLOOKUP(tables_318100!B77,input_318100!A:H,8,FALSE))</f>
        <v>9288</v>
      </c>
      <c r="N77" s="63">
        <f t="shared" ca="1" si="3"/>
        <v>8.2692307692307687E-4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input_318100!A$2</f>
        <v>318100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IFERROR(VLOOKUP(E78,input_318100!L:R,7,FALSE),VLOOKUP(tables_318100!B78,input_318100!A:H,8,FALSE))</f>
        <v>71760</v>
      </c>
      <c r="N78" s="63">
        <f t="shared" ca="1" si="3"/>
        <v>6.3888888888888893E-3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input_318100!A$2</f>
        <v>318100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IFERROR(VLOOKUP(E79,input_318100!L:R,7,FALSE),VLOOKUP(tables_318100!B79,input_318100!A:H,8,FALSE))</f>
        <v>60372</v>
      </c>
      <c r="N79" s="63">
        <f t="shared" ca="1" si="3"/>
        <v>5.3749999999999996E-3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input_318100!A$2</f>
        <v>318100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IFERROR(VLOOKUP(E80,input_318100!L:R,7,FALSE),VLOOKUP(tables_318100!B80,input_318100!A:H,8,FALSE))</f>
        <v>9288</v>
      </c>
      <c r="N80" s="63">
        <f t="shared" ca="1" si="3"/>
        <v>8.2692307692307687E-4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input_318100!A$2</f>
        <v>318100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IFERROR(VLOOKUP(E81,input_318100!L:R,7,FALSE),VLOOKUP(tables_318100!B81,input_318100!A:H,8,FALSE))</f>
        <v>71760</v>
      </c>
      <c r="N81" s="63">
        <f t="shared" ca="1" si="3"/>
        <v>6.3888888888888893E-3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input_318100!A$2</f>
        <v>318100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IFERROR(VLOOKUP(E82,input_318100!L:R,7,FALSE),VLOOKUP(tables_318100!B82,input_318100!A:H,8,FALSE))</f>
        <v>60372</v>
      </c>
      <c r="N82" s="63">
        <f t="shared" ca="1" si="3"/>
        <v>5.3749999999999996E-3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input_318100!A$2</f>
        <v>318100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IFERROR(VLOOKUP(E83,input_318100!L:R,7,FALSE),VLOOKUP(tables_318100!B83,input_318100!A:H,8,FALSE))</f>
        <v>9288</v>
      </c>
      <c r="N83" s="63">
        <f t="shared" ca="1" si="3"/>
        <v>8.2692307692307687E-4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input_318100!A$2</f>
        <v>318100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IFERROR(VLOOKUP(E84,input_318100!L:R,7,FALSE),VLOOKUP(tables_318100!B84,input_318100!A:H,8,FALSE))</f>
        <v>71760</v>
      </c>
      <c r="N84" s="63">
        <f t="shared" ca="1" si="3"/>
        <v>6.3888888888888893E-3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input_318100!A$2</f>
        <v>318100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IFERROR(VLOOKUP(E85,input_318100!L:R,7,FALSE),VLOOKUP(tables_318100!B85,input_318100!A:H,8,FALSE))</f>
        <v>60372</v>
      </c>
      <c r="N85" s="63">
        <f t="shared" ca="1" si="3"/>
        <v>5.3749999999999996E-3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input_318100!A$2</f>
        <v>318100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IFERROR(VLOOKUP(E86,input_318100!L:R,7,FALSE),VLOOKUP(tables_318100!B86,input_318100!A:H,8,FALSE))</f>
        <v>9288</v>
      </c>
      <c r="N86" s="63">
        <f t="shared" ca="1" si="3"/>
        <v>8.2692307692307687E-4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input_318100!A$2</f>
        <v>318100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IFERROR(VLOOKUP(E87,input_318100!L:R,7,FALSE),VLOOKUP(tables_318100!B87,input_318100!A:H,8,FALSE))</f>
        <v>71760</v>
      </c>
      <c r="N87" s="63">
        <f t="shared" ca="1" si="3"/>
        <v>6.3888888888888893E-3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input_318100!A$2</f>
        <v>318100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IFERROR(VLOOKUP(E88,input_318100!L:R,7,FALSE),VLOOKUP(tables_318100!B88,input_318100!A:H,8,FALSE))</f>
        <v>60372</v>
      </c>
      <c r="N88" s="63">
        <f t="shared" ca="1" si="3"/>
        <v>5.3749999999999996E-3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input_318100!A$2</f>
        <v>318100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IFERROR(VLOOKUP(E89,input_318100!L:R,7,FALSE),VLOOKUP(tables_318100!B89,input_318100!A:H,8,FALSE))</f>
        <v>9288</v>
      </c>
      <c r="N89" s="63">
        <f t="shared" ca="1" si="3"/>
        <v>8.2692307692307687E-4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input_318100!A$2</f>
        <v>318100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IFERROR(VLOOKUP(E90,input_318100!L:R,7,FALSE),VLOOKUP(tables_318100!B90,input_318100!A:H,8,FALSE))</f>
        <v>71760</v>
      </c>
      <c r="N90" s="63">
        <f t="shared" ca="1" si="3"/>
        <v>6.3888888888888893E-3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input_318100!A$2</f>
        <v>318100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IFERROR(VLOOKUP(E91,input_318100!L:R,7,FALSE),VLOOKUP(tables_318100!B91,input_318100!A:H,8,FALSE))</f>
        <v>60372</v>
      </c>
      <c r="N91" s="63">
        <f t="shared" ca="1" si="3"/>
        <v>5.3749999999999996E-3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input_318100!A$2</f>
        <v>318100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IFERROR(VLOOKUP(E92,input_318100!L:R,7,FALSE),VLOOKUP(tables_318100!B92,input_318100!A:H,8,FALSE))</f>
        <v>9288</v>
      </c>
      <c r="N92" s="63">
        <f t="shared" ca="1" si="3"/>
        <v>8.2692307692307687E-4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input_318100!A$2</f>
        <v>318100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IFERROR(VLOOKUP(E93,input_318100!L:R,7,FALSE),VLOOKUP(tables_318100!B93,input_318100!A:H,8,FALSE))</f>
        <v>71760</v>
      </c>
      <c r="N93" s="63">
        <f t="shared" ca="1" si="3"/>
        <v>6.3888888888888893E-3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input_318100!A$2</f>
        <v>318100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IFERROR(VLOOKUP(E94,input_318100!L:R,7,FALSE),VLOOKUP(tables_318100!B94,input_318100!A:H,8,FALSE))</f>
        <v>60372</v>
      </c>
      <c r="N94" s="63">
        <f t="shared" ca="1" si="3"/>
        <v>5.3749999999999996E-3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input_318100!A$2</f>
        <v>318100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IFERROR(VLOOKUP(E95,input_318100!L:R,7,FALSE),VLOOKUP(tables_318100!B95,input_318100!A:H,8,FALSE))</f>
        <v>9288</v>
      </c>
      <c r="N95" s="63">
        <f t="shared" ca="1" si="3"/>
        <v>8.2692307692307687E-4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input_318100!A$2</f>
        <v>318100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IFERROR(VLOOKUP(E96,input_318100!L:R,7,FALSE),VLOOKUP(tables_318100!B96,input_318100!A:H,8,FALSE))</f>
        <v>71760</v>
      </c>
      <c r="N96" s="63">
        <f t="shared" ca="1" si="3"/>
        <v>6.3888888888888893E-3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input_318100!A$2</f>
        <v>318100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IFERROR(VLOOKUP(E97,input_318100!L:R,7,FALSE),VLOOKUP(tables_318100!B97,input_318100!A:H,8,FALSE))</f>
        <v>60372</v>
      </c>
      <c r="N97" s="63">
        <f t="shared" ca="1" si="3"/>
        <v>5.3749999999999996E-3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input_318100!A$2</f>
        <v>318100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IFERROR(VLOOKUP(E98,input_318100!L:R,7,FALSE),VLOOKUP(tables_318100!B98,input_318100!A:H,8,FALSE))</f>
        <v>9288</v>
      </c>
      <c r="N98" s="63">
        <f t="shared" ca="1" si="3"/>
        <v>8.2692307692307687E-4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input_318100!A$2</f>
        <v>318100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IFERROR(VLOOKUP(E99,input_318100!L:R,7,FALSE),VLOOKUP(tables_318100!B99,input_318100!A:H,8,FALSE))</f>
        <v>71760</v>
      </c>
      <c r="N99" s="63">
        <f t="shared" ca="1" si="3"/>
        <v>6.3888888888888893E-3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input_318100!A$2</f>
        <v>318100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IFERROR(VLOOKUP(E100,input_318100!L:R,7,FALSE),VLOOKUP(tables_318100!B100,input_318100!A:H,8,FALSE))</f>
        <v>60372</v>
      </c>
      <c r="N100" s="63">
        <f t="shared" ca="1" si="3"/>
        <v>5.3749999999999996E-3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input_318100!A$2</f>
        <v>318100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IFERROR(VLOOKUP(E101,input_318100!L:R,7,FALSE),VLOOKUP(tables_318100!B101,input_318100!A:H,8,FALSE))</f>
        <v>9288</v>
      </c>
      <c r="N101" s="63">
        <f t="shared" ca="1" si="3"/>
        <v>8.2692307692307687E-4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input_318100!A$2</f>
        <v>318100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IFERROR(VLOOKUP(E102,input_318100!L:R,7,FALSE),VLOOKUP(tables_318100!B102,input_318100!A:H,8,FALSE))</f>
        <v>71760</v>
      </c>
      <c r="N102" s="63">
        <f t="shared" ca="1" si="3"/>
        <v>6.3888888888888893E-3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input_318100!A$2</f>
        <v>318100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IFERROR(VLOOKUP(E103,input_318100!L:R,7,FALSE),VLOOKUP(tables_318100!B103,input_318100!A:H,8,FALSE))</f>
        <v>60372</v>
      </c>
      <c r="N103" s="63">
        <f t="shared" ca="1" si="3"/>
        <v>5.3749999999999996E-3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input_318100!A$2</f>
        <v>318100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IFERROR(VLOOKUP(E104,input_318100!L:R,7,FALSE),VLOOKUP(tables_318100!B104,input_318100!A:H,8,FALSE))</f>
        <v>9288</v>
      </c>
      <c r="N104" s="63">
        <f t="shared" ca="1" si="3"/>
        <v>8.2692307692307687E-4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input_318100!A$2</f>
        <v>318100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IFERROR(VLOOKUP(E105,input_318100!L:R,7,FALSE),VLOOKUP(tables_318100!B105,input_318100!A:H,8,FALSE))</f>
        <v>71760</v>
      </c>
      <c r="N105" s="63">
        <f t="shared" ca="1" si="3"/>
        <v>6.3888888888888893E-3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input_318100!A$2</f>
        <v>318100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IFERROR(VLOOKUP(E106,input_318100!L:R,7,FALSE),VLOOKUP(tables_318100!B106,input_318100!A:H,8,FALSE))</f>
        <v>60372</v>
      </c>
      <c r="N106" s="63">
        <f t="shared" ca="1" si="3"/>
        <v>5.3749999999999996E-3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input_318100!A$2</f>
        <v>318100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IFERROR(VLOOKUP(E107,input_318100!L:R,7,FALSE),VLOOKUP(tables_318100!B107,input_318100!A:H,8,FALSE))</f>
        <v>9288</v>
      </c>
      <c r="N107" s="63">
        <f t="shared" ca="1" si="3"/>
        <v>8.2692307692307687E-4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input_318100!A$2</f>
        <v>318100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IFERROR(VLOOKUP(E108,input_318100!L:R,7,FALSE),VLOOKUP(tables_318100!B108,input_318100!A:H,8,FALSE))</f>
        <v>71760</v>
      </c>
      <c r="N108" s="63">
        <f t="shared" ca="1" si="3"/>
        <v>6.3888888888888893E-3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input_318100!A$2</f>
        <v>318100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IFERROR(VLOOKUP(E109,input_318100!L:R,7,FALSE),VLOOKUP(tables_318100!B109,input_318100!A:H,8,FALSE))</f>
        <v>60372</v>
      </c>
      <c r="N109" s="63">
        <f t="shared" ca="1" si="3"/>
        <v>5.3749999999999996E-3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input_318100!A$2</f>
        <v>318100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IFERROR(VLOOKUP(E110,input_318100!L:R,7,FALSE),VLOOKUP(tables_318100!B110,input_318100!A:H,8,FALSE))</f>
        <v>9288</v>
      </c>
      <c r="N110" s="63">
        <f t="shared" ca="1" si="3"/>
        <v>8.2692307692307687E-4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input_318100!A$2</f>
        <v>318100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IFERROR(VLOOKUP(E111,input_318100!L:R,7,FALSE),VLOOKUP(tables_318100!B111,input_318100!A:H,8,FALSE))</f>
        <v>71760</v>
      </c>
      <c r="N111" s="63">
        <f t="shared" ca="1" si="3"/>
        <v>6.3888888888888893E-3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input_318100!A$2</f>
        <v>318100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IFERROR(VLOOKUP(E112,input_318100!L:R,7,FALSE),VLOOKUP(tables_318100!B112,input_318100!A:H,8,FALSE))</f>
        <v>60372</v>
      </c>
      <c r="N112" s="63">
        <f t="shared" ca="1" si="3"/>
        <v>5.3749999999999996E-3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input_318100!A$2</f>
        <v>318100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IFERROR(VLOOKUP(E113,input_318100!L:R,7,FALSE),VLOOKUP(tables_318100!B113,input_318100!A:H,8,FALSE))</f>
        <v>9288</v>
      </c>
      <c r="N113" s="63">
        <f t="shared" ca="1" si="3"/>
        <v>8.2692307692307687E-4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input_318100!A$2</f>
        <v>318100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IFERROR(VLOOKUP(E114,input_318100!L:R,7,FALSE),VLOOKUP(tables_318100!B114,input_318100!A:H,8,FALSE))</f>
        <v>71760</v>
      </c>
      <c r="N114" s="63">
        <f t="shared" ca="1" si="3"/>
        <v>6.3888888888888893E-3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input_318100!A$2</f>
        <v>318100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IFERROR(VLOOKUP(E115,input_318100!L:R,7,FALSE),VLOOKUP(tables_318100!B115,input_318100!A:H,8,FALSE))</f>
        <v>60372</v>
      </c>
      <c r="N115" s="63">
        <f t="shared" ca="1" si="3"/>
        <v>5.3749999999999996E-3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input_318100!A$2</f>
        <v>318100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IFERROR(VLOOKUP(E116,input_318100!L:R,7,FALSE),VLOOKUP(tables_318100!B116,input_318100!A:H,8,FALSE))</f>
        <v>9288</v>
      </c>
      <c r="N116" s="63">
        <f t="shared" ca="1" si="3"/>
        <v>8.2692307692307687E-4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input_318100!A$2</f>
        <v>318100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IFERROR(VLOOKUP(E117,input_318100!L:R,7,FALSE),VLOOKUP(tables_318100!B117,input_318100!A:H,8,FALSE))</f>
        <v>71760</v>
      </c>
      <c r="N117" s="63">
        <f t="shared" ca="1" si="3"/>
        <v>6.3888888888888893E-3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input_318100!A$2</f>
        <v>318100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IFERROR(VLOOKUP(E118,input_318100!L:R,7,FALSE),VLOOKUP(tables_318100!B118,input_318100!A:H,8,FALSE))</f>
        <v>60372</v>
      </c>
      <c r="N118" s="63">
        <f t="shared" ca="1" si="3"/>
        <v>5.3749999999999996E-3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input_318100!A$2</f>
        <v>318100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IFERROR(VLOOKUP(E119,input_318100!L:R,7,FALSE),VLOOKUP(tables_318100!B119,input_318100!A:H,8,FALSE))</f>
        <v>9288</v>
      </c>
      <c r="N119" s="63">
        <f t="shared" ca="1" si="3"/>
        <v>8.2692307692307687E-4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input_318100!A$2</f>
        <v>318100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IFERROR(VLOOKUP(E120,input_318100!L:R,7,FALSE),VLOOKUP(tables_318100!B120,input_318100!A:H,8,FALSE))</f>
        <v>71760</v>
      </c>
      <c r="N120" s="63">
        <f t="shared" ca="1" si="3"/>
        <v>6.3888888888888893E-3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input_318100!A$2</f>
        <v>318100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IFERROR(VLOOKUP(E121,input_318100!L:R,7,FALSE),VLOOKUP(tables_318100!B121,input_318100!A:H,8,FALSE))</f>
        <v>60372</v>
      </c>
      <c r="N121" s="63">
        <f t="shared" ca="1" si="3"/>
        <v>5.3749999999999996E-3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input_318100!A$2</f>
        <v>318100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IFERROR(VLOOKUP(E122,input_318100!L:R,7,FALSE),VLOOKUP(tables_318100!B122,input_318100!A:H,8,FALSE))</f>
        <v>9288</v>
      </c>
      <c r="N122" s="63">
        <f t="shared" ca="1" si="3"/>
        <v>8.2692307692307687E-4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input_318100!A$2</f>
        <v>318100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IFERROR(VLOOKUP(E123,input_318100!L:R,7,FALSE),VLOOKUP(tables_318100!B123,input_318100!A:H,8,FALSE))</f>
        <v>71760</v>
      </c>
      <c r="N123" s="63">
        <f t="shared" ca="1" si="3"/>
        <v>6.3888888888888893E-3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input_318100!A$2</f>
        <v>318100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IFERROR(VLOOKUP(E124,input_318100!L:R,7,FALSE),VLOOKUP(tables_318100!B124,input_318100!A:H,8,FALSE))</f>
        <v>60372</v>
      </c>
      <c r="N124" s="63">
        <f t="shared" ca="1" si="3"/>
        <v>5.3749999999999996E-3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input_318100!A$2</f>
        <v>318100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IFERROR(VLOOKUP(E125,input_318100!L:R,7,FALSE),VLOOKUP(tables_318100!B125,input_318100!A:H,8,FALSE))</f>
        <v>9288</v>
      </c>
      <c r="N125" s="63">
        <f t="shared" ca="1" si="3"/>
        <v>8.2692307692307687E-4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input_318100!A$2</f>
        <v>318100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IFERROR(VLOOKUP(E126,input_318100!L:R,7,FALSE),VLOOKUP(tables_318100!B126,input_318100!A:H,8,FALSE))</f>
        <v>71760</v>
      </c>
      <c r="N126" s="63">
        <f t="shared" ca="1" si="3"/>
        <v>6.3888888888888893E-3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input_318100!A$2</f>
        <v>318100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IFERROR(VLOOKUP(E127,input_318100!L:R,7,FALSE),VLOOKUP(tables_318100!B127,input_318100!A:H,8,FALSE))</f>
        <v>60372</v>
      </c>
      <c r="N127" s="63">
        <f t="shared" ca="1" si="3"/>
        <v>5.3749999999999996E-3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input_318100!A$2</f>
        <v>318100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IFERROR(VLOOKUP(E128,input_318100!L:R,7,FALSE),VLOOKUP(tables_318100!B128,input_318100!A:H,8,FALSE))</f>
        <v>9288</v>
      </c>
      <c r="N128" s="63">
        <f t="shared" ca="1" si="3"/>
        <v>8.2692307692307687E-4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input_318100!A$2</f>
        <v>318100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IFERROR(VLOOKUP(E129,input_318100!L:R,7,FALSE),VLOOKUP(tables_318100!B129,input_318100!A:H,8,FALSE))</f>
        <v>71760</v>
      </c>
      <c r="N129" s="63">
        <f t="shared" ca="1" si="3"/>
        <v>6.3888888888888893E-3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input_318100!A$2</f>
        <v>318100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IFERROR(VLOOKUP(E130,input_318100!L:R,7,FALSE),VLOOKUP(tables_318100!B130,input_318100!A:H,8,FALSE))</f>
        <v>60372</v>
      </c>
      <c r="N130" s="63">
        <f t="shared" ref="N130:N193" ca="1" si="6">M130/SUM(M:M)</f>
        <v>5.3749999999999996E-3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input_318100!A$2</f>
        <v>318100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IFERROR(VLOOKUP(E131,input_318100!L:R,7,FALSE),VLOOKUP(tables_318100!B131,input_318100!A:H,8,FALSE))</f>
        <v>9288</v>
      </c>
      <c r="N131" s="63">
        <f t="shared" ca="1" si="6"/>
        <v>8.2692307692307687E-4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input_318100!A$2</f>
        <v>318100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IFERROR(VLOOKUP(E132,input_318100!L:R,7,FALSE),VLOOKUP(tables_318100!B132,input_318100!A:H,8,FALSE))</f>
        <v>71760</v>
      </c>
      <c r="N132" s="63">
        <f t="shared" ca="1" si="6"/>
        <v>6.3888888888888893E-3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input_318100!A$2</f>
        <v>318100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IFERROR(VLOOKUP(E133,input_318100!L:R,7,FALSE),VLOOKUP(tables_318100!B133,input_318100!A:H,8,FALSE))</f>
        <v>60372</v>
      </c>
      <c r="N133" s="63">
        <f t="shared" ca="1" si="6"/>
        <v>5.3749999999999996E-3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input_318100!A$2</f>
        <v>318100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IFERROR(VLOOKUP(E134,input_318100!L:R,7,FALSE),VLOOKUP(tables_318100!B134,input_318100!A:H,8,FALSE))</f>
        <v>9288</v>
      </c>
      <c r="N134" s="63">
        <f t="shared" ca="1" si="6"/>
        <v>8.2692307692307687E-4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input_318100!A$2</f>
        <v>318100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IFERROR(VLOOKUP(E135,input_318100!L:R,7,FALSE),VLOOKUP(tables_318100!B135,input_318100!A:H,8,FALSE))</f>
        <v>71760</v>
      </c>
      <c r="N135" s="63">
        <f t="shared" ca="1" si="6"/>
        <v>6.3888888888888893E-3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input_318100!A$2</f>
        <v>318100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IFERROR(VLOOKUP(E136,input_318100!L:R,7,FALSE),VLOOKUP(tables_318100!B136,input_318100!A:H,8,FALSE))</f>
        <v>60372</v>
      </c>
      <c r="N136" s="63">
        <f t="shared" ca="1" si="6"/>
        <v>5.3749999999999996E-3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input_318100!A$2</f>
        <v>318100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IFERROR(VLOOKUP(E137,input_318100!L:R,7,FALSE),VLOOKUP(tables_318100!B137,input_318100!A:H,8,FALSE))</f>
        <v>9288</v>
      </c>
      <c r="N137" s="63">
        <f t="shared" ca="1" si="6"/>
        <v>8.2692307692307687E-4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input_318100!A$2</f>
        <v>318100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IFERROR(VLOOKUP(E138,input_318100!L:R,7,FALSE),VLOOKUP(tables_318100!B138,input_318100!A:H,8,FALSE))</f>
        <v>4212</v>
      </c>
      <c r="N138" s="63">
        <f t="shared" ca="1" si="6"/>
        <v>3.7500000000000001E-4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input_318100!A$2</f>
        <v>318100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IFERROR(VLOOKUP(E139,input_318100!L:R,7,FALSE),VLOOKUP(tables_318100!B139,input_318100!A:H,8,FALSE))</f>
        <v>468</v>
      </c>
      <c r="N139" s="63">
        <f t="shared" ca="1" si="6"/>
        <v>4.1666666666666665E-5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input_318100!A$2</f>
        <v>318100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IFERROR(VLOOKUP(E140,input_318100!L:R,7,FALSE),VLOOKUP(tables_318100!B140,input_318100!A:H,8,FALSE))</f>
        <v>4212</v>
      </c>
      <c r="N140" s="63">
        <f t="shared" ca="1" si="6"/>
        <v>3.7500000000000001E-4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input_318100!A$2</f>
        <v>318100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IFERROR(VLOOKUP(E141,input_318100!L:R,7,FALSE),VLOOKUP(tables_318100!B141,input_318100!A:H,8,FALSE))</f>
        <v>468</v>
      </c>
      <c r="N141" s="63">
        <f t="shared" ca="1" si="6"/>
        <v>4.1666666666666665E-5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input_318100!A$2</f>
        <v>318100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IFERROR(VLOOKUP(E142,input_318100!L:R,7,FALSE),VLOOKUP(tables_318100!B142,input_318100!A:H,8,FALSE))</f>
        <v>4212</v>
      </c>
      <c r="N142" s="63">
        <f t="shared" ca="1" si="6"/>
        <v>3.7500000000000001E-4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input_318100!A$2</f>
        <v>318100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IFERROR(VLOOKUP(E143,input_318100!L:R,7,FALSE),VLOOKUP(tables_318100!B143,input_318100!A:H,8,FALSE))</f>
        <v>468</v>
      </c>
      <c r="N143" s="63">
        <f t="shared" ca="1" si="6"/>
        <v>4.1666666666666665E-5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input_318100!A$2</f>
        <v>318100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IFERROR(VLOOKUP(E144,input_318100!L:R,7,FALSE),VLOOKUP(tables_318100!B144,input_318100!A:H,8,FALSE))</f>
        <v>4212</v>
      </c>
      <c r="N144" s="63">
        <f t="shared" ca="1" si="6"/>
        <v>3.7500000000000001E-4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input_318100!A$2</f>
        <v>318100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IFERROR(VLOOKUP(E145,input_318100!L:R,7,FALSE),VLOOKUP(tables_318100!B145,input_318100!A:H,8,FALSE))</f>
        <v>468</v>
      </c>
      <c r="N145" s="63">
        <f t="shared" ca="1" si="6"/>
        <v>4.1666666666666665E-5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input_318100!A$2</f>
        <v>318100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IFERROR(VLOOKUP(E146,input_318100!L:R,7,FALSE),VLOOKUP(tables_318100!B146,input_318100!A:H,8,FALSE))</f>
        <v>71760</v>
      </c>
      <c r="N146" s="63">
        <f t="shared" ca="1" si="6"/>
        <v>6.3888888888888893E-3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input_318100!A$2</f>
        <v>318100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IFERROR(VLOOKUP(E147,input_318100!L:R,7,FALSE),VLOOKUP(tables_318100!B147,input_318100!A:H,8,FALSE))</f>
        <v>60372</v>
      </c>
      <c r="N147" s="63">
        <f t="shared" ca="1" si="6"/>
        <v>5.3749999999999996E-3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input_318100!A$2</f>
        <v>318100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IFERROR(VLOOKUP(E148,input_318100!L:R,7,FALSE),VLOOKUP(tables_318100!B148,input_318100!A:H,8,FALSE))</f>
        <v>9288</v>
      </c>
      <c r="N148" s="63">
        <f t="shared" ca="1" si="6"/>
        <v>8.2692307692307687E-4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input_318100!A$2</f>
        <v>318100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IFERROR(VLOOKUP(E149,input_318100!L:R,7,FALSE),VLOOKUP(tables_318100!B149,input_318100!A:H,8,FALSE))</f>
        <v>4212</v>
      </c>
      <c r="N149" s="63">
        <f t="shared" ca="1" si="6"/>
        <v>3.7500000000000001E-4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input_318100!A$2</f>
        <v>318100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IFERROR(VLOOKUP(E150,input_318100!L:R,7,FALSE),VLOOKUP(tables_318100!B150,input_318100!A:H,8,FALSE))</f>
        <v>468</v>
      </c>
      <c r="N150" s="63">
        <f t="shared" ca="1" si="6"/>
        <v>4.1666666666666665E-5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input_318100!A$2</f>
        <v>318100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IFERROR(VLOOKUP(E151,input_318100!L:R,7,FALSE),VLOOKUP(tables_318100!B151,input_318100!A:H,8,FALSE))</f>
        <v>4212</v>
      </c>
      <c r="N151" s="63">
        <f t="shared" ca="1" si="6"/>
        <v>3.7500000000000001E-4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input_318100!A$2</f>
        <v>318100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IFERROR(VLOOKUP(E152,input_318100!L:R,7,FALSE),VLOOKUP(tables_318100!B152,input_318100!A:H,8,FALSE))</f>
        <v>468</v>
      </c>
      <c r="N152" s="63">
        <f t="shared" ca="1" si="6"/>
        <v>4.1666666666666665E-5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input_318100!A$2</f>
        <v>318100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IFERROR(VLOOKUP(E153,input_318100!L:R,7,FALSE),VLOOKUP(tables_318100!B153,input_318100!A:H,8,FALSE))</f>
        <v>71760</v>
      </c>
      <c r="N153" s="63">
        <f t="shared" ca="1" si="6"/>
        <v>6.3888888888888893E-3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input_318100!A$2</f>
        <v>318100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IFERROR(VLOOKUP(E154,input_318100!L:R,7,FALSE),VLOOKUP(tables_318100!B154,input_318100!A:H,8,FALSE))</f>
        <v>60372</v>
      </c>
      <c r="N154" s="63">
        <f t="shared" ca="1" si="6"/>
        <v>5.3749999999999996E-3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input_318100!A$2</f>
        <v>318100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IFERROR(VLOOKUP(E155,input_318100!L:R,7,FALSE),VLOOKUP(tables_318100!B155,input_318100!A:H,8,FALSE))</f>
        <v>9288</v>
      </c>
      <c r="N155" s="63">
        <f t="shared" ca="1" si="6"/>
        <v>8.2692307692307687E-4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input_318100!A$2</f>
        <v>318100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IFERROR(VLOOKUP(E156,input_318100!L:R,7,FALSE),VLOOKUP(tables_318100!B156,input_318100!A:H,8,FALSE))</f>
        <v>4212</v>
      </c>
      <c r="N156" s="63">
        <f t="shared" ca="1" si="6"/>
        <v>3.7500000000000001E-4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input_318100!A$2</f>
        <v>318100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IFERROR(VLOOKUP(E157,input_318100!L:R,7,FALSE),VLOOKUP(tables_318100!B157,input_318100!A:H,8,FALSE))</f>
        <v>468</v>
      </c>
      <c r="N157" s="63">
        <f t="shared" ca="1" si="6"/>
        <v>4.1666666666666665E-5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input_318100!A$2</f>
        <v>318100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IFERROR(VLOOKUP(E158,input_318100!L:R,7,FALSE),VLOOKUP(tables_318100!B158,input_318100!A:H,8,FALSE))</f>
        <v>71760</v>
      </c>
      <c r="N158" s="63">
        <f t="shared" ca="1" si="6"/>
        <v>6.3888888888888893E-3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input_318100!A$2</f>
        <v>318100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IFERROR(VLOOKUP(E159,input_318100!L:R,7,FALSE),VLOOKUP(tables_318100!B159,input_318100!A:H,8,FALSE))</f>
        <v>60372</v>
      </c>
      <c r="N159" s="63">
        <f t="shared" ca="1" si="6"/>
        <v>5.3749999999999996E-3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input_318100!A$2</f>
        <v>318100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IFERROR(VLOOKUP(E160,input_318100!L:R,7,FALSE),VLOOKUP(tables_318100!B160,input_318100!A:H,8,FALSE))</f>
        <v>9288</v>
      </c>
      <c r="N160" s="63">
        <f t="shared" ca="1" si="6"/>
        <v>8.2692307692307687E-4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input_318100!A$2</f>
        <v>318100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>IFERROR(VLOOKUP(E161,input_318100!L:R,7,FALSE),VLOOKUP(tables_318100!B161,input_318100!A:H,8,FALSE))</f>
        <v>224640</v>
      </c>
      <c r="N161" s="63">
        <f t="shared" ca="1" si="6"/>
        <v>0.02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input_318100!A$2</f>
        <v>318100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>IFERROR(VLOOKUP(E162,input_318100!L:R,7,FALSE),VLOOKUP(tables_318100!B162,input_318100!A:H,8,FALSE))</f>
        <v>202175.99999999997</v>
      </c>
      <c r="N162" s="63">
        <f t="shared" ca="1" si="6"/>
        <v>1.7999999999999999E-2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input_318100!A$2</f>
        <v>318100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>IFERROR(VLOOKUP(E163,input_318100!L:R,7,FALSE),VLOOKUP(tables_318100!B163,input_318100!A:H,8,FALSE))</f>
        <v>22464</v>
      </c>
      <c r="N163" s="63">
        <f t="shared" ca="1" si="6"/>
        <v>2E-3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input_318100!A$2</f>
        <v>318100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IFERROR(VLOOKUP(E164,input_318100!L:R,7,FALSE),VLOOKUP(tables_318100!B164,input_318100!A:H,8,FALSE))</f>
        <v>4212</v>
      </c>
      <c r="N164" s="63">
        <f t="shared" ca="1" si="6"/>
        <v>3.7500000000000001E-4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input_318100!A$2</f>
        <v>318100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IFERROR(VLOOKUP(E165,input_318100!L:R,7,FALSE),VLOOKUP(tables_318100!B165,input_318100!A:H,8,FALSE))</f>
        <v>468</v>
      </c>
      <c r="N165" s="63">
        <f t="shared" ca="1" si="6"/>
        <v>4.1666666666666665E-5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input_318100!A$2</f>
        <v>318100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IFERROR(VLOOKUP(E166,input_318100!L:R,7,FALSE),VLOOKUP(tables_318100!B166,input_318100!A:H,8,FALSE))</f>
        <v>71760</v>
      </c>
      <c r="N166" s="63">
        <f t="shared" ca="1" si="6"/>
        <v>6.3888888888888893E-3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input_318100!A$2</f>
        <v>318100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IFERROR(VLOOKUP(E167,input_318100!L:R,7,FALSE),VLOOKUP(tables_318100!B167,input_318100!A:H,8,FALSE))</f>
        <v>60372</v>
      </c>
      <c r="N167" s="63">
        <f t="shared" ca="1" si="6"/>
        <v>5.3749999999999996E-3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input_318100!A$2</f>
        <v>318100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IFERROR(VLOOKUP(E168,input_318100!L:R,7,FALSE),VLOOKUP(tables_318100!B168,input_318100!A:H,8,FALSE))</f>
        <v>9288</v>
      </c>
      <c r="N168" s="63">
        <f t="shared" ca="1" si="6"/>
        <v>8.2692307692307687E-4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input_318100!A$2</f>
        <v>318100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IFERROR(VLOOKUP(E169,input_318100!L:R,7,FALSE),VLOOKUP(tables_318100!B169,input_318100!A:H,8,FALSE))</f>
        <v>4212</v>
      </c>
      <c r="N169" s="63">
        <f t="shared" ca="1" si="6"/>
        <v>3.7500000000000001E-4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input_318100!A$2</f>
        <v>318100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IFERROR(VLOOKUP(E170,input_318100!L:R,7,FALSE),VLOOKUP(tables_318100!B170,input_318100!A:H,8,FALSE))</f>
        <v>468</v>
      </c>
      <c r="N170" s="63">
        <f t="shared" ca="1" si="6"/>
        <v>4.1666666666666665E-5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input_318100!A$2</f>
        <v>318100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IFERROR(VLOOKUP(E171,input_318100!L:R,7,FALSE),VLOOKUP(tables_318100!B171,input_318100!A:H,8,FALSE))</f>
        <v>71760</v>
      </c>
      <c r="N171" s="63">
        <f t="shared" ca="1" si="6"/>
        <v>6.3888888888888893E-3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input_318100!A$2</f>
        <v>318100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IFERROR(VLOOKUP(E172,input_318100!L:R,7,FALSE),VLOOKUP(tables_318100!B172,input_318100!A:H,8,FALSE))</f>
        <v>60372</v>
      </c>
      <c r="N172" s="63">
        <f t="shared" ca="1" si="6"/>
        <v>5.3749999999999996E-3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input_318100!A$2</f>
        <v>318100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IFERROR(VLOOKUP(E173,input_318100!L:R,7,FALSE),VLOOKUP(tables_318100!B173,input_318100!A:H,8,FALSE))</f>
        <v>9288</v>
      </c>
      <c r="N173" s="63">
        <f t="shared" ca="1" si="6"/>
        <v>8.2692307692307687E-4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input_318100!A$2</f>
        <v>318100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IFERROR(VLOOKUP(E174,input_318100!L:R,7,FALSE),VLOOKUP(tables_318100!B174,input_318100!A:H,8,FALSE))</f>
        <v>4212</v>
      </c>
      <c r="N174" s="63">
        <f t="shared" ca="1" si="6"/>
        <v>3.7500000000000001E-4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input_318100!A$2</f>
        <v>318100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IFERROR(VLOOKUP(E175,input_318100!L:R,7,FALSE),VLOOKUP(tables_318100!B175,input_318100!A:H,8,FALSE))</f>
        <v>468</v>
      </c>
      <c r="N175" s="63">
        <f t="shared" ca="1" si="6"/>
        <v>4.1666666666666665E-5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input_318100!A$2</f>
        <v>318100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>IFERROR(VLOOKUP(E176,input_318100!L:R,7,FALSE),VLOOKUP(tables_318100!B176,input_318100!A:H,8,FALSE))</f>
        <v>101087.99999999999</v>
      </c>
      <c r="N176" s="63">
        <f t="shared" ca="1" si="6"/>
        <v>8.9999999999999993E-3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input_318100!A$2</f>
        <v>318100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>IFERROR(VLOOKUP(E177,input_318100!L:R,7,FALSE),VLOOKUP(tables_318100!B177,input_318100!A:H,8,FALSE))</f>
        <v>11232</v>
      </c>
      <c r="N177" s="63">
        <f t="shared" ca="1" si="6"/>
        <v>1E-3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input_318100!A$2</f>
        <v>318100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IFERROR(VLOOKUP(E178,input_318100!L:R,7,FALSE),VLOOKUP(tables_318100!B178,input_318100!A:H,8,FALSE))</f>
        <v>71760</v>
      </c>
      <c r="N178" s="63">
        <f t="shared" ca="1" si="6"/>
        <v>6.3888888888888893E-3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input_318100!A$2</f>
        <v>318100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IFERROR(VLOOKUP(E179,input_318100!L:R,7,FALSE),VLOOKUP(tables_318100!B179,input_318100!A:H,8,FALSE))</f>
        <v>60372</v>
      </c>
      <c r="N179" s="63">
        <f t="shared" ca="1" si="6"/>
        <v>5.3749999999999996E-3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input_318100!A$2</f>
        <v>318100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IFERROR(VLOOKUP(E180,input_318100!L:R,7,FALSE),VLOOKUP(tables_318100!B180,input_318100!A:H,8,FALSE))</f>
        <v>9288</v>
      </c>
      <c r="N180" s="63">
        <f t="shared" ca="1" si="6"/>
        <v>8.2692307692307687E-4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input_318100!A$2</f>
        <v>318100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IFERROR(VLOOKUP(E181,input_318100!L:R,7,FALSE),VLOOKUP(tables_318100!B181,input_318100!A:H,8,FALSE))</f>
        <v>71760</v>
      </c>
      <c r="N181" s="63">
        <f t="shared" ca="1" si="6"/>
        <v>6.3888888888888893E-3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input_318100!A$2</f>
        <v>318100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IFERROR(VLOOKUP(E182,input_318100!L:R,7,FALSE),VLOOKUP(tables_318100!B182,input_318100!A:H,8,FALSE))</f>
        <v>60372</v>
      </c>
      <c r="N182" s="63">
        <f t="shared" ca="1" si="6"/>
        <v>5.3749999999999996E-3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input_318100!A$2</f>
        <v>318100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IFERROR(VLOOKUP(E183,input_318100!L:R,7,FALSE),VLOOKUP(tables_318100!B183,input_318100!A:H,8,FALSE))</f>
        <v>9288</v>
      </c>
      <c r="N183" s="63">
        <f t="shared" ca="1" si="6"/>
        <v>8.2692307692307687E-4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input_318100!A$2</f>
        <v>318100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IFERROR(VLOOKUP(E184,input_318100!L:R,7,FALSE),VLOOKUP(tables_318100!B184,input_318100!A:H,8,FALSE))</f>
        <v>4212</v>
      </c>
      <c r="N184" s="63">
        <f t="shared" ca="1" si="6"/>
        <v>3.7500000000000001E-4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input_318100!A$2</f>
        <v>318100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IFERROR(VLOOKUP(E185,input_318100!L:R,7,FALSE),VLOOKUP(tables_318100!B185,input_318100!A:H,8,FALSE))</f>
        <v>468</v>
      </c>
      <c r="N185" s="63">
        <f t="shared" ca="1" si="6"/>
        <v>4.1666666666666665E-5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input_318100!A$2</f>
        <v>318100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IFERROR(VLOOKUP(E186,input_318100!L:R,7,FALSE),VLOOKUP(tables_318100!B186,input_318100!A:H,8,FALSE))</f>
        <v>71760</v>
      </c>
      <c r="N186" s="63">
        <f t="shared" ca="1" si="6"/>
        <v>6.3888888888888893E-3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input_318100!A$2</f>
        <v>318100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IFERROR(VLOOKUP(E187,input_318100!L:R,7,FALSE),VLOOKUP(tables_318100!B187,input_318100!A:H,8,FALSE))</f>
        <v>60372</v>
      </c>
      <c r="N187" s="63">
        <f t="shared" ca="1" si="6"/>
        <v>5.3749999999999996E-3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input_318100!A$2</f>
        <v>318100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IFERROR(VLOOKUP(E188,input_318100!L:R,7,FALSE),VLOOKUP(tables_318100!B188,input_318100!A:H,8,FALSE))</f>
        <v>9288</v>
      </c>
      <c r="N188" s="63">
        <f t="shared" ca="1" si="6"/>
        <v>8.2692307692307687E-4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input_318100!A$2</f>
        <v>318100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IFERROR(VLOOKUP(E189,input_318100!L:R,7,FALSE),VLOOKUP(tables_318100!B189,input_318100!A:H,8,FALSE))</f>
        <v>4212</v>
      </c>
      <c r="N189" s="63">
        <f t="shared" ca="1" si="6"/>
        <v>3.7500000000000001E-4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input_318100!A$2</f>
        <v>318100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IFERROR(VLOOKUP(E190,input_318100!L:R,7,FALSE),VLOOKUP(tables_318100!B190,input_318100!A:H,8,FALSE))</f>
        <v>468</v>
      </c>
      <c r="N190" s="63">
        <f t="shared" ca="1" si="6"/>
        <v>4.1666666666666665E-5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input_318100!A$2</f>
        <v>318100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IFERROR(VLOOKUP(E191,input_318100!L:R,7,FALSE),VLOOKUP(tables_318100!B191,input_318100!A:H,8,FALSE))</f>
        <v>4212</v>
      </c>
      <c r="N191" s="63">
        <f t="shared" ca="1" si="6"/>
        <v>3.7500000000000001E-4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input_318100!A$2</f>
        <v>318100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IFERROR(VLOOKUP(E192,input_318100!L:R,7,FALSE),VLOOKUP(tables_318100!B192,input_318100!A:H,8,FALSE))</f>
        <v>468</v>
      </c>
      <c r="N192" s="63">
        <f t="shared" ca="1" si="6"/>
        <v>4.1666666666666665E-5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input_318100!A$2</f>
        <v>318100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IFERROR(VLOOKUP(E193,input_318100!L:R,7,FALSE),VLOOKUP(tables_318100!B193,input_318100!A:H,8,FALSE))</f>
        <v>71760</v>
      </c>
      <c r="N193" s="63">
        <f t="shared" ca="1" si="6"/>
        <v>6.3888888888888893E-3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input_318100!A$2</f>
        <v>318100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IFERROR(VLOOKUP(E194,input_318100!L:R,7,FALSE),VLOOKUP(tables_318100!B194,input_318100!A:H,8,FALSE))</f>
        <v>60372</v>
      </c>
      <c r="N194" s="63">
        <f t="shared" ref="N194:N257" ca="1" si="9">M194/SUM(M:M)</f>
        <v>5.3749999999999996E-3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input_318100!A$2</f>
        <v>318100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IFERROR(VLOOKUP(E195,input_318100!L:R,7,FALSE),VLOOKUP(tables_318100!B195,input_318100!A:H,8,FALSE))</f>
        <v>9288</v>
      </c>
      <c r="N195" s="63">
        <f t="shared" ca="1" si="9"/>
        <v>8.2692307692307687E-4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input_318100!A$2</f>
        <v>318100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IFERROR(VLOOKUP(E196,input_318100!L:R,7,FALSE),VLOOKUP(tables_318100!B196,input_318100!A:H,8,FALSE))</f>
        <v>4212</v>
      </c>
      <c r="N196" s="63">
        <f t="shared" ca="1" si="9"/>
        <v>3.7500000000000001E-4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input_318100!A$2</f>
        <v>318100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IFERROR(VLOOKUP(E197,input_318100!L:R,7,FALSE),VLOOKUP(tables_318100!B197,input_318100!A:H,8,FALSE))</f>
        <v>468</v>
      </c>
      <c r="N197" s="63">
        <f t="shared" ca="1" si="9"/>
        <v>4.1666666666666665E-5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input_318100!A$2</f>
        <v>318100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IFERROR(VLOOKUP(E198,input_318100!L:R,7,FALSE),VLOOKUP(tables_318100!B198,input_318100!A:H,8,FALSE))</f>
        <v>71760</v>
      </c>
      <c r="N198" s="63">
        <f t="shared" ca="1" si="9"/>
        <v>6.3888888888888893E-3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input_318100!A$2</f>
        <v>318100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IFERROR(VLOOKUP(E199,input_318100!L:R,7,FALSE),VLOOKUP(tables_318100!B199,input_318100!A:H,8,FALSE))</f>
        <v>60372</v>
      </c>
      <c r="N199" s="63">
        <f t="shared" ca="1" si="9"/>
        <v>5.3749999999999996E-3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input_318100!A$2</f>
        <v>318100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IFERROR(VLOOKUP(E200,input_318100!L:R,7,FALSE),VLOOKUP(tables_318100!B200,input_318100!A:H,8,FALSE))</f>
        <v>9288</v>
      </c>
      <c r="N200" s="63">
        <f t="shared" ca="1" si="9"/>
        <v>8.2692307692307687E-4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input_318100!A$2</f>
        <v>318100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IFERROR(VLOOKUP(E201,input_318100!L:R,7,FALSE),VLOOKUP(tables_318100!B201,input_318100!A:H,8,FALSE))</f>
        <v>4212</v>
      </c>
      <c r="N201" s="63">
        <f t="shared" ca="1" si="9"/>
        <v>3.7500000000000001E-4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input_318100!A$2</f>
        <v>318100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IFERROR(VLOOKUP(E202,input_318100!L:R,7,FALSE),VLOOKUP(tables_318100!B202,input_318100!A:H,8,FALSE))</f>
        <v>468</v>
      </c>
      <c r="N202" s="63">
        <f t="shared" ca="1" si="9"/>
        <v>4.1666666666666665E-5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input_318100!A$2</f>
        <v>318100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>IFERROR(VLOOKUP(E203,input_318100!L:R,7,FALSE),VLOOKUP(tables_318100!B203,input_318100!A:H,8,FALSE))</f>
        <v>224640</v>
      </c>
      <c r="N203" s="63">
        <f t="shared" ca="1" si="9"/>
        <v>0.02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input_318100!A$2</f>
        <v>318100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>IFERROR(VLOOKUP(E204,input_318100!L:R,7,FALSE),VLOOKUP(tables_318100!B204,input_318100!A:H,8,FALSE))</f>
        <v>202175.99999999997</v>
      </c>
      <c r="N204" s="63">
        <f t="shared" ca="1" si="9"/>
        <v>1.7999999999999999E-2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input_318100!A$2</f>
        <v>318100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>IFERROR(VLOOKUP(E205,input_318100!L:R,7,FALSE),VLOOKUP(tables_318100!B205,input_318100!A:H,8,FALSE))</f>
        <v>22464</v>
      </c>
      <c r="N205" s="63">
        <f t="shared" ca="1" si="9"/>
        <v>2E-3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input_318100!A$2</f>
        <v>318100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IFERROR(VLOOKUP(E206,input_318100!L:R,7,FALSE),VLOOKUP(tables_318100!B206,input_318100!A:H,8,FALSE))</f>
        <v>4212</v>
      </c>
      <c r="N206" s="63">
        <f t="shared" ca="1" si="9"/>
        <v>3.7500000000000001E-4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input_318100!A$2</f>
        <v>318100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IFERROR(VLOOKUP(E207,input_318100!L:R,7,FALSE),VLOOKUP(tables_318100!B207,input_318100!A:H,8,FALSE))</f>
        <v>468</v>
      </c>
      <c r="N207" s="63">
        <f t="shared" ca="1" si="9"/>
        <v>4.1666666666666665E-5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input_318100!A$2</f>
        <v>318100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IFERROR(VLOOKUP(E208,input_318100!L:R,7,FALSE),VLOOKUP(tables_318100!B208,input_318100!A:H,8,FALSE))</f>
        <v>4212</v>
      </c>
      <c r="N208" s="63">
        <f t="shared" ca="1" si="9"/>
        <v>3.7500000000000001E-4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input_318100!A$2</f>
        <v>318100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IFERROR(VLOOKUP(E209,input_318100!L:R,7,FALSE),VLOOKUP(tables_318100!B209,input_318100!A:H,8,FALSE))</f>
        <v>468</v>
      </c>
      <c r="N209" s="63">
        <f t="shared" ca="1" si="9"/>
        <v>4.1666666666666665E-5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input_318100!A$2</f>
        <v>318100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IFERROR(VLOOKUP(E210,input_318100!L:R,7,FALSE),VLOOKUP(tables_318100!B210,input_318100!A:H,8,FALSE))</f>
        <v>71760</v>
      </c>
      <c r="N210" s="63">
        <f t="shared" ca="1" si="9"/>
        <v>6.3888888888888893E-3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input_318100!A$2</f>
        <v>318100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IFERROR(VLOOKUP(E211,input_318100!L:R,7,FALSE),VLOOKUP(tables_318100!B211,input_318100!A:H,8,FALSE))</f>
        <v>60372</v>
      </c>
      <c r="N211" s="63">
        <f t="shared" ca="1" si="9"/>
        <v>5.3749999999999996E-3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input_318100!A$2</f>
        <v>318100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IFERROR(VLOOKUP(E212,input_318100!L:R,7,FALSE),VLOOKUP(tables_318100!B212,input_318100!A:H,8,FALSE))</f>
        <v>9288</v>
      </c>
      <c r="N212" s="63">
        <f t="shared" ca="1" si="9"/>
        <v>8.2692307692307687E-4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input_318100!A$2</f>
        <v>318100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IFERROR(VLOOKUP(E213,input_318100!L:R,7,FALSE),VLOOKUP(tables_318100!B213,input_318100!A:H,8,FALSE))</f>
        <v>4212</v>
      </c>
      <c r="N213" s="63">
        <f t="shared" ca="1" si="9"/>
        <v>3.7500000000000001E-4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input_318100!A$2</f>
        <v>318100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IFERROR(VLOOKUP(E214,input_318100!L:R,7,FALSE),VLOOKUP(tables_318100!B214,input_318100!A:H,8,FALSE))</f>
        <v>468</v>
      </c>
      <c r="N214" s="63">
        <f t="shared" ca="1" si="9"/>
        <v>4.1666666666666665E-5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input_318100!A$2</f>
        <v>318100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IFERROR(VLOOKUP(E215,input_318100!L:R,7,FALSE),VLOOKUP(tables_318100!B215,input_318100!A:H,8,FALSE))</f>
        <v>4212</v>
      </c>
      <c r="N215" s="63">
        <f t="shared" ca="1" si="9"/>
        <v>3.7500000000000001E-4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input_318100!A$2</f>
        <v>318100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IFERROR(VLOOKUP(E216,input_318100!L:R,7,FALSE),VLOOKUP(tables_318100!B216,input_318100!A:H,8,FALSE))</f>
        <v>468</v>
      </c>
      <c r="N216" s="63">
        <f t="shared" ca="1" si="9"/>
        <v>4.1666666666666665E-5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input_318100!A$2</f>
        <v>318100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IFERROR(VLOOKUP(E217,input_318100!L:R,7,FALSE),VLOOKUP(tables_318100!B217,input_318100!A:H,8,FALSE))</f>
        <v>71760</v>
      </c>
      <c r="N217" s="63">
        <f t="shared" ca="1" si="9"/>
        <v>6.3888888888888893E-3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input_318100!A$2</f>
        <v>318100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IFERROR(VLOOKUP(E218,input_318100!L:R,7,FALSE),VLOOKUP(tables_318100!B218,input_318100!A:H,8,FALSE))</f>
        <v>60372</v>
      </c>
      <c r="N218" s="63">
        <f t="shared" ca="1" si="9"/>
        <v>5.3749999999999996E-3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input_318100!A$2</f>
        <v>318100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IFERROR(VLOOKUP(E219,input_318100!L:R,7,FALSE),VLOOKUP(tables_318100!B219,input_318100!A:H,8,FALSE))</f>
        <v>9288</v>
      </c>
      <c r="N219" s="63">
        <f t="shared" ca="1" si="9"/>
        <v>8.2692307692307687E-4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input_318100!A$2</f>
        <v>318100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IFERROR(VLOOKUP(E220,input_318100!L:R,7,FALSE),VLOOKUP(tables_318100!B220,input_318100!A:H,8,FALSE))</f>
        <v>71760</v>
      </c>
      <c r="N220" s="63">
        <f t="shared" ca="1" si="9"/>
        <v>6.3888888888888893E-3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input_318100!A$2</f>
        <v>318100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IFERROR(VLOOKUP(E221,input_318100!L:R,7,FALSE),VLOOKUP(tables_318100!B221,input_318100!A:H,8,FALSE))</f>
        <v>60372</v>
      </c>
      <c r="N221" s="63">
        <f t="shared" ca="1" si="9"/>
        <v>5.3749999999999996E-3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input_318100!A$2</f>
        <v>318100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IFERROR(VLOOKUP(E222,input_318100!L:R,7,FALSE),VLOOKUP(tables_318100!B222,input_318100!A:H,8,FALSE))</f>
        <v>9288</v>
      </c>
      <c r="N222" s="63">
        <f t="shared" ca="1" si="9"/>
        <v>8.2692307692307687E-4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input_318100!A$2</f>
        <v>318100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IFERROR(VLOOKUP(E223,input_318100!L:R,7,FALSE),VLOOKUP(tables_318100!B223,input_318100!A:H,8,FALSE))</f>
        <v>4212</v>
      </c>
      <c r="N223" s="63">
        <f t="shared" ca="1" si="9"/>
        <v>3.7500000000000001E-4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input_318100!A$2</f>
        <v>318100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IFERROR(VLOOKUP(E224,input_318100!L:R,7,FALSE),VLOOKUP(tables_318100!B224,input_318100!A:H,8,FALSE))</f>
        <v>468</v>
      </c>
      <c r="N224" s="63">
        <f t="shared" ca="1" si="9"/>
        <v>4.1666666666666665E-5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input_318100!A$2</f>
        <v>318100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IFERROR(VLOOKUP(E225,input_318100!L:R,7,FALSE),VLOOKUP(tables_318100!B225,input_318100!A:H,8,FALSE))</f>
        <v>71760</v>
      </c>
      <c r="N225" s="63">
        <f t="shared" ca="1" si="9"/>
        <v>6.3888888888888893E-3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input_318100!A$2</f>
        <v>318100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IFERROR(VLOOKUP(E226,input_318100!L:R,7,FALSE),VLOOKUP(tables_318100!B226,input_318100!A:H,8,FALSE))</f>
        <v>60372</v>
      </c>
      <c r="N226" s="63">
        <f t="shared" ca="1" si="9"/>
        <v>5.3749999999999996E-3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input_318100!A$2</f>
        <v>318100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IFERROR(VLOOKUP(E227,input_318100!L:R,7,FALSE),VLOOKUP(tables_318100!B227,input_318100!A:H,8,FALSE))</f>
        <v>9288</v>
      </c>
      <c r="N227" s="63">
        <f t="shared" ca="1" si="9"/>
        <v>8.2692307692307687E-4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input_318100!A$2</f>
        <v>318100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IFERROR(VLOOKUP(E228,input_318100!L:R,7,FALSE),VLOOKUP(tables_318100!B228,input_318100!A:H,8,FALSE))</f>
        <v>71760</v>
      </c>
      <c r="N228" s="63">
        <f t="shared" ca="1" si="9"/>
        <v>6.3888888888888893E-3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input_318100!A$2</f>
        <v>318100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IFERROR(VLOOKUP(E229,input_318100!L:R,7,FALSE),VLOOKUP(tables_318100!B229,input_318100!A:H,8,FALSE))</f>
        <v>60372</v>
      </c>
      <c r="N229" s="63">
        <f t="shared" ca="1" si="9"/>
        <v>5.3749999999999996E-3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input_318100!A$2</f>
        <v>318100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IFERROR(VLOOKUP(E230,input_318100!L:R,7,FALSE),VLOOKUP(tables_318100!B230,input_318100!A:H,8,FALSE))</f>
        <v>9288</v>
      </c>
      <c r="N230" s="63">
        <f t="shared" ca="1" si="9"/>
        <v>8.2692307692307687E-4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input_318100!A$2</f>
        <v>318100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IFERROR(VLOOKUP(E231,input_318100!L:R,7,FALSE),VLOOKUP(tables_318100!B231,input_318100!A:H,8,FALSE))</f>
        <v>4212</v>
      </c>
      <c r="N231" s="63">
        <f t="shared" ca="1" si="9"/>
        <v>3.7500000000000001E-4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input_318100!A$2</f>
        <v>318100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IFERROR(VLOOKUP(E232,input_318100!L:R,7,FALSE),VLOOKUP(tables_318100!B232,input_318100!A:H,8,FALSE))</f>
        <v>468</v>
      </c>
      <c r="N232" s="63">
        <f t="shared" ca="1" si="9"/>
        <v>4.1666666666666665E-5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input_318100!A$2</f>
        <v>318100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IFERROR(VLOOKUP(E233,input_318100!L:R,7,FALSE),VLOOKUP(tables_318100!B233,input_318100!A:H,8,FALSE))</f>
        <v>71760</v>
      </c>
      <c r="N233" s="63">
        <f t="shared" ca="1" si="9"/>
        <v>6.3888888888888893E-3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input_318100!A$2</f>
        <v>318100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IFERROR(VLOOKUP(E234,input_318100!L:R,7,FALSE),VLOOKUP(tables_318100!B234,input_318100!A:H,8,FALSE))</f>
        <v>60372</v>
      </c>
      <c r="N234" s="63">
        <f t="shared" ca="1" si="9"/>
        <v>5.3749999999999996E-3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input_318100!A$2</f>
        <v>318100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IFERROR(VLOOKUP(E235,input_318100!L:R,7,FALSE),VLOOKUP(tables_318100!B235,input_318100!A:H,8,FALSE))</f>
        <v>9288</v>
      </c>
      <c r="N235" s="63">
        <f t="shared" ca="1" si="9"/>
        <v>8.2692307692307687E-4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input_318100!A$2</f>
        <v>318100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IFERROR(VLOOKUP(E236,input_318100!L:R,7,FALSE),VLOOKUP(tables_318100!B236,input_318100!A:H,8,FALSE))</f>
        <v>4212</v>
      </c>
      <c r="N236" s="63">
        <f t="shared" ca="1" si="9"/>
        <v>3.7500000000000001E-4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input_318100!A$2</f>
        <v>318100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IFERROR(VLOOKUP(E237,input_318100!L:R,7,FALSE),VLOOKUP(tables_318100!B237,input_318100!A:H,8,FALSE))</f>
        <v>468</v>
      </c>
      <c r="N237" s="63">
        <f t="shared" ca="1" si="9"/>
        <v>4.1666666666666665E-5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input_318100!A$2</f>
        <v>318100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>IFERROR(VLOOKUP(E238,input_318100!L:R,7,FALSE),VLOOKUP(tables_318100!B238,input_318100!A:H,8,FALSE))</f>
        <v>101087.99999999999</v>
      </c>
      <c r="N238" s="63">
        <f t="shared" ca="1" si="9"/>
        <v>8.9999999999999993E-3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input_318100!A$2</f>
        <v>318100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>IFERROR(VLOOKUP(E239,input_318100!L:R,7,FALSE),VLOOKUP(tables_318100!B239,input_318100!A:H,8,FALSE))</f>
        <v>11232</v>
      </c>
      <c r="N239" s="63">
        <f t="shared" ca="1" si="9"/>
        <v>1E-3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input_318100!A$2</f>
        <v>318100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IFERROR(VLOOKUP(E240,input_318100!L:R,7,FALSE),VLOOKUP(tables_318100!B240,input_318100!A:H,8,FALSE))</f>
        <v>71760</v>
      </c>
      <c r="N240" s="63">
        <f t="shared" ca="1" si="9"/>
        <v>6.3888888888888893E-3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input_318100!A$2</f>
        <v>318100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IFERROR(VLOOKUP(E241,input_318100!L:R,7,FALSE),VLOOKUP(tables_318100!B241,input_318100!A:H,8,FALSE))</f>
        <v>60372</v>
      </c>
      <c r="N241" s="63">
        <f t="shared" ca="1" si="9"/>
        <v>5.3749999999999996E-3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input_318100!A$2</f>
        <v>318100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IFERROR(VLOOKUP(E242,input_318100!L:R,7,FALSE),VLOOKUP(tables_318100!B242,input_318100!A:H,8,FALSE))</f>
        <v>9288</v>
      </c>
      <c r="N242" s="63">
        <f t="shared" ca="1" si="9"/>
        <v>8.2692307692307687E-4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input_318100!A$2</f>
        <v>318100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IFERROR(VLOOKUP(E243,input_318100!L:R,7,FALSE),VLOOKUP(tables_318100!B243,input_318100!A:H,8,FALSE))</f>
        <v>71760</v>
      </c>
      <c r="N243" s="63">
        <f t="shared" ca="1" si="9"/>
        <v>6.3888888888888893E-3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input_318100!A$2</f>
        <v>318100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IFERROR(VLOOKUP(E244,input_318100!L:R,7,FALSE),VLOOKUP(tables_318100!B244,input_318100!A:H,8,FALSE))</f>
        <v>60372</v>
      </c>
      <c r="N244" s="63">
        <f t="shared" ca="1" si="9"/>
        <v>5.3749999999999996E-3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input_318100!A$2</f>
        <v>318100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IFERROR(VLOOKUP(E245,input_318100!L:R,7,FALSE),VLOOKUP(tables_318100!B245,input_318100!A:H,8,FALSE))</f>
        <v>9288</v>
      </c>
      <c r="N245" s="63">
        <f t="shared" ca="1" si="9"/>
        <v>8.2692307692307687E-4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input_318100!A$2</f>
        <v>318100</v>
      </c>
      <c r="B246" s="7" t="str">
        <f t="shared" ref="B246:B255" si="12">C246&amp;IF(C246="premium",,D246)&amp;H246</f>
        <v>Premium3</v>
      </c>
      <c r="C246" s="7" t="str">
        <f t="shared" ref="C246:C255" si="13">IF(G246="PremiumSS",G246,IF(G246="PremiumSSS",G246,"Premium"))</f>
        <v>Premium</v>
      </c>
      <c r="D246" s="7"/>
      <c r="E246" s="85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IFERROR(VLOOKUP(E246,input_318100!L:R,7,FALSE),VLOOKUP(tables_318100!B246,input_318100!A:H,8,FALSE))</f>
        <v>71760</v>
      </c>
      <c r="N246" s="63">
        <f t="shared" ca="1" si="9"/>
        <v>6.3888888888888893E-3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input_318100!A$2</f>
        <v>318100</v>
      </c>
      <c r="B247" s="7" t="str">
        <f t="shared" si="12"/>
        <v>Premium4</v>
      </c>
      <c r="C247" s="7" t="str">
        <f t="shared" si="13"/>
        <v>Premium</v>
      </c>
      <c r="D247" s="7"/>
      <c r="E247" s="85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IFERROR(VLOOKUP(E247,input_318100!L:R,7,FALSE),VLOOKUP(tables_318100!B247,input_318100!A:H,8,FALSE))</f>
        <v>60372</v>
      </c>
      <c r="N247" s="63">
        <f t="shared" ca="1" si="9"/>
        <v>5.3749999999999996E-3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input_318100!A$2</f>
        <v>318100</v>
      </c>
      <c r="B248" s="7" t="str">
        <f t="shared" si="12"/>
        <v>Premium5</v>
      </c>
      <c r="C248" s="7" t="str">
        <f t="shared" si="13"/>
        <v>Premium</v>
      </c>
      <c r="D248" s="7"/>
      <c r="E248" s="85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IFERROR(VLOOKUP(E248,input_318100!L:R,7,FALSE),VLOOKUP(tables_318100!B248,input_318100!A:H,8,FALSE))</f>
        <v>9288</v>
      </c>
      <c r="N248" s="63">
        <f t="shared" ca="1" si="9"/>
        <v>8.2692307692307687E-4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input_318100!A$2</f>
        <v>318100</v>
      </c>
      <c r="B249" s="7" t="str">
        <f t="shared" si="12"/>
        <v>Premium3</v>
      </c>
      <c r="C249" s="7" t="str">
        <f t="shared" si="13"/>
        <v>Premium</v>
      </c>
      <c r="D249" s="7"/>
      <c r="E249" s="85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IFERROR(VLOOKUP(E249,input_318100!L:R,7,FALSE),VLOOKUP(tables_318100!B249,input_318100!A:H,8,FALSE))</f>
        <v>71760</v>
      </c>
      <c r="N249" s="63">
        <f t="shared" ca="1" si="9"/>
        <v>6.3888888888888893E-3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input_318100!A$2</f>
        <v>318100</v>
      </c>
      <c r="B250" s="7" t="str">
        <f t="shared" si="12"/>
        <v>Premium4</v>
      </c>
      <c r="C250" s="7" t="str">
        <f t="shared" si="13"/>
        <v>Premium</v>
      </c>
      <c r="D250" s="7"/>
      <c r="E250" s="85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IFERROR(VLOOKUP(E250,input_318100!L:R,7,FALSE),VLOOKUP(tables_318100!B250,input_318100!A:H,8,FALSE))</f>
        <v>60372</v>
      </c>
      <c r="N250" s="63">
        <f t="shared" ca="1" si="9"/>
        <v>5.3749999999999996E-3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input_318100!A$2</f>
        <v>318100</v>
      </c>
      <c r="B251" s="7" t="str">
        <f t="shared" si="12"/>
        <v>Premium5</v>
      </c>
      <c r="C251" s="7" t="str">
        <f t="shared" si="13"/>
        <v>Premium</v>
      </c>
      <c r="D251" s="7"/>
      <c r="E251" s="85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IFERROR(VLOOKUP(E251,input_318100!L:R,7,FALSE),VLOOKUP(tables_318100!B251,input_318100!A:H,8,FALSE))</f>
        <v>9288</v>
      </c>
      <c r="N251" s="63">
        <f t="shared" ca="1" si="9"/>
        <v>8.2692307692307687E-4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input_318100!A$2</f>
        <v>318100</v>
      </c>
      <c r="B252" s="7" t="str">
        <f t="shared" si="12"/>
        <v>PremiumSS4</v>
      </c>
      <c r="C252" s="7" t="str">
        <f t="shared" si="13"/>
        <v>PremiumSS</v>
      </c>
      <c r="D252" s="7"/>
      <c r="E252" s="85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IFERROR(VLOOKUP(E252,input_318100!L:R,7,FALSE),VLOOKUP(tables_318100!B252,input_318100!A:H,8,FALSE))</f>
        <v>4212</v>
      </c>
      <c r="N252" s="63">
        <f t="shared" ca="1" si="9"/>
        <v>3.7500000000000001E-4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input_318100!A$2</f>
        <v>318100</v>
      </c>
      <c r="B253" s="7" t="str">
        <f t="shared" si="12"/>
        <v>PremiumSS5</v>
      </c>
      <c r="C253" s="7" t="str">
        <f t="shared" si="13"/>
        <v>PremiumSS</v>
      </c>
      <c r="D253" s="7"/>
      <c r="E253" s="85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IFERROR(VLOOKUP(E253,input_318100!L:R,7,FALSE),VLOOKUP(tables_318100!B253,input_318100!A:H,8,FALSE))</f>
        <v>468</v>
      </c>
      <c r="N253" s="63">
        <f t="shared" ca="1" si="9"/>
        <v>4.1666666666666665E-5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input_318100!A$2</f>
        <v>318100</v>
      </c>
      <c r="B254" s="7" t="str">
        <f t="shared" si="12"/>
        <v>PremiumSS4</v>
      </c>
      <c r="C254" s="7" t="str">
        <f t="shared" si="13"/>
        <v>PremiumSS</v>
      </c>
      <c r="D254" s="7"/>
      <c r="E254" s="85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IFERROR(VLOOKUP(E254,input_318100!L:R,7,FALSE),VLOOKUP(tables_318100!B254,input_318100!A:H,8,FALSE))</f>
        <v>4212</v>
      </c>
      <c r="N254" s="63">
        <f t="shared" ca="1" si="9"/>
        <v>3.7500000000000001E-4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input_318100!A$2</f>
        <v>318100</v>
      </c>
      <c r="B255" s="7" t="str">
        <f t="shared" si="12"/>
        <v>PremiumSS5</v>
      </c>
      <c r="C255" s="7" t="str">
        <f t="shared" si="13"/>
        <v>PremiumSS</v>
      </c>
      <c r="D255" s="7"/>
      <c r="E255" s="85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IFERROR(VLOOKUP(E255,input_318100!L:R,7,FALSE),VLOOKUP(tables_318100!B255,input_318100!A:H,8,FALSE))</f>
        <v>468</v>
      </c>
      <c r="N255" s="63">
        <f t="shared" ca="1" si="9"/>
        <v>4.1666666666666665E-5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</sheetData>
  <sortState ref="A2:U189">
    <sortCondition ref="A2:A189"/>
    <sortCondition ref="E2:E189"/>
  </sortState>
  <phoneticPr fontId="1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0" t="s">
        <v>105</v>
      </c>
      <c r="H1" s="70" t="s">
        <v>106</v>
      </c>
      <c r="I1" s="71" t="s">
        <v>107</v>
      </c>
      <c r="J1" s="71" t="s">
        <v>108</v>
      </c>
      <c r="K1" s="71" t="s">
        <v>109</v>
      </c>
      <c r="L1" s="71" t="s">
        <v>110</v>
      </c>
      <c r="M1" s="71" t="s">
        <v>111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112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54</v>
      </c>
      <c r="C1" s="32" t="s">
        <v>57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62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61</v>
      </c>
    </row>
    <row r="3" spans="1:8">
      <c r="A3" s="34">
        <v>300</v>
      </c>
    </row>
    <row r="5" spans="1:8">
      <c r="A5" s="35" t="s">
        <v>56</v>
      </c>
      <c r="B5" s="36" t="str">
        <f>$A$3 &amp; "1"</f>
        <v>3001</v>
      </c>
      <c r="C5" s="43"/>
      <c r="D5" s="35" t="s">
        <v>59</v>
      </c>
      <c r="E5" s="36" t="str">
        <f>$A$3 &amp; "0"</f>
        <v>3000</v>
      </c>
      <c r="F5" s="43"/>
      <c r="G5" s="35" t="s">
        <v>60</v>
      </c>
      <c r="H5" s="36" t="str">
        <f>$A$3 &amp; "3"</f>
        <v>3003</v>
      </c>
    </row>
    <row r="6" spans="1:8">
      <c r="A6" s="37" t="s">
        <v>58</v>
      </c>
      <c r="B6" s="38"/>
      <c r="C6" s="43"/>
      <c r="D6" s="37" t="s">
        <v>58</v>
      </c>
      <c r="E6" s="38"/>
      <c r="F6" s="43"/>
      <c r="G6" s="37" t="s">
        <v>58</v>
      </c>
      <c r="H6" s="38"/>
    </row>
    <row r="7" spans="1:8">
      <c r="A7" s="40">
        <f>COUNTIFS(tables_318100!$G:$G,"PremiumSSS",tables_318100!$A:$A,B5)</f>
        <v>0</v>
      </c>
      <c r="B7" s="38"/>
      <c r="C7" s="43"/>
      <c r="D7" s="40">
        <f>COUNTIFS(tables_318100!$G:$G,"PremiumSSS",tables_318100!$A:$A,E5)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55</v>
      </c>
      <c r="B9" s="38"/>
      <c r="C9" s="43"/>
      <c r="D9" s="37" t="s">
        <v>55</v>
      </c>
      <c r="E9" s="38"/>
      <c r="F9" s="43"/>
      <c r="G9" s="37" t="s">
        <v>55</v>
      </c>
      <c r="H9" s="38"/>
    </row>
    <row r="10" spans="1:8">
      <c r="A10" s="40">
        <f>COUNTIFS(tables_318100!$T:$T,"&gt;1",tables_318100!$A:$A,B5)</f>
        <v>0</v>
      </c>
      <c r="B10" s="38"/>
      <c r="C10" s="43"/>
      <c r="D10" s="40">
        <f>COUNTIFS(tables_318100!$T:$T,"&gt;1", tables_318100!$A:$A,E5)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65</v>
      </c>
      <c r="B12" s="38"/>
      <c r="C12" s="43"/>
      <c r="D12" s="37" t="s">
        <v>65</v>
      </c>
      <c r="E12" s="38"/>
      <c r="F12" s="43"/>
      <c r="G12" s="37" t="s">
        <v>65</v>
      </c>
      <c r="H12" s="38"/>
    </row>
    <row r="13" spans="1:8">
      <c r="A13" s="40">
        <f>COUNTIFS(tables_318100!$O:$O,"&gt;1",tables_318100!$A:$A,B5)</f>
        <v>0</v>
      </c>
      <c r="B13" s="38"/>
      <c r="C13" s="43"/>
      <c r="D13" s="40">
        <f>COUNTIFS(tables_318100!$O:$O,"&gt;1", tables_318100!$A:$A,E5)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63</v>
      </c>
      <c r="B15" s="38"/>
      <c r="C15" s="43"/>
      <c r="D15" s="37" t="s">
        <v>64</v>
      </c>
      <c r="E15" s="38"/>
      <c r="F15" s="43"/>
      <c r="G15" s="37" t="s">
        <v>64</v>
      </c>
      <c r="H15" s="38"/>
    </row>
    <row r="16" spans="1:8">
      <c r="A16" s="41">
        <f ca="1">COUNTIF(tables_318100!$A:$A,B5)</f>
        <v>0</v>
      </c>
      <c r="B16" s="39"/>
      <c r="C16" s="43"/>
      <c r="D16" s="41">
        <f ca="1">COUNTIF(tables_318100!$A:$A,E5)</f>
        <v>0</v>
      </c>
      <c r="E16" s="39"/>
      <c r="F16" s="43"/>
      <c r="G16" s="41" t="e">
        <f>COUNTIF(#REF!,H5)</f>
        <v>#REF!</v>
      </c>
      <c r="H16" s="39"/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output</vt:lpstr>
      <vt:lpstr>input_318100</vt:lpstr>
      <vt:lpstr>tables_318100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2016-03-31T13:33:54Z</dcterms:modified>
</cp:coreProperties>
</file>